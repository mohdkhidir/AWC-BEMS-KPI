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embeddings/oleObject2.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codeName="ThisWorkbook"/>
  <mc:AlternateContent xmlns:mc="http://schemas.openxmlformats.org/markup-compatibility/2006">
    <mc:Choice Requires="x15">
      <x15ac:absPath xmlns:x15ac="http://schemas.microsoft.com/office/spreadsheetml/2010/11/ac" url="C:\Users\khidir.gazali\AWC-BEMS-KPI\"/>
    </mc:Choice>
  </mc:AlternateContent>
  <xr:revisionPtr revIDLastSave="0" documentId="13_ncr:1_{6370F754-8925-488A-811D-B39EA970509C}" xr6:coauthVersionLast="47" xr6:coauthVersionMax="47" xr10:uidLastSave="{00000000-0000-0000-0000-000000000000}"/>
  <bookViews>
    <workbookView xWindow="-108" yWindow="-108" windowWidth="23256" windowHeight="12456" tabRatio="599" activeTab="6" xr2:uid="{00000000-000D-0000-FFFF-FFFF00000000}"/>
  </bookViews>
  <sheets>
    <sheet name="BEMSdar" sheetId="19" r:id="rId1"/>
    <sheet name="B1&amp;B2 UNSCHEDULED" sheetId="58" r:id="rId2"/>
    <sheet name="B3-SCHEDULED" sheetId="61" r:id="rId3"/>
    <sheet name="B4-UPTIME" sheetId="62" r:id="rId4"/>
    <sheet name="B5-T&amp;C" sheetId="53" r:id="rId5"/>
    <sheet name="Public Holiday" sheetId="7" r:id="rId6"/>
    <sheet name="KDI" sheetId="1" r:id="rId7"/>
    <sheet name="Sheet1" sheetId="9" state="hidden"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_05_04_2009" localSheetId="2">#REF!</definedName>
    <definedName name="_05_04_2009" localSheetId="3">#REF!</definedName>
    <definedName name="_05_04_2009" localSheetId="4">#REF!</definedName>
    <definedName name="_05_04_2009" localSheetId="5">#REF!</definedName>
    <definedName name="_05_04_2009">#REF!</definedName>
    <definedName name="_xlnm._FilterDatabase" localSheetId="1" hidden="1">'B1&amp;B2 UNSCHEDULED'!$A$21:$W$107</definedName>
    <definedName name="_xlnm._FilterDatabase" localSheetId="2" hidden="1">'B3-SCHEDULED'!$A$19:$P$216</definedName>
    <definedName name="_xlnm._FilterDatabase" localSheetId="3" hidden="1">'B4-UPTIME'!$18:$137</definedName>
    <definedName name="_xlnm._FilterDatabase" localSheetId="7" hidden="1">Sheet1!$A$3:$G$84</definedName>
    <definedName name="a" localSheetId="2">'[1]Term Outstanding Payment'!#REF!</definedName>
    <definedName name="a" localSheetId="3">'[1]Term Outstanding Payment'!#REF!</definedName>
    <definedName name="a" localSheetId="4">'[1]Term Outstanding Payment'!#REF!</definedName>
    <definedName name="a" localSheetId="5">'[1]Term Outstanding Payment'!#REF!</definedName>
    <definedName name="a">'[1]Term Outstanding Payment'!#REF!</definedName>
    <definedName name="AA" localSheetId="2">#REF!</definedName>
    <definedName name="AA" localSheetId="3">#REF!</definedName>
    <definedName name="AA" localSheetId="4">#REF!</definedName>
    <definedName name="AA" localSheetId="5">#REF!</definedName>
    <definedName name="AA">#REF!</definedName>
    <definedName name="aaa" localSheetId="2">#REF!</definedName>
    <definedName name="aaa" localSheetId="3">#REF!</definedName>
    <definedName name="aaa" localSheetId="4">#REF!</definedName>
    <definedName name="aaa" localSheetId="5">#REF!</definedName>
    <definedName name="aaa">#REF!</definedName>
    <definedName name="aaaaa" localSheetId="2">#REF!</definedName>
    <definedName name="aaaaa" localSheetId="3">#REF!</definedName>
    <definedName name="aaaaa" localSheetId="4">#REF!</definedName>
    <definedName name="aaaaa" localSheetId="5">#REF!</definedName>
    <definedName name="aaaaa">#REF!</definedName>
    <definedName name="aaaaaaaaaa" localSheetId="2">#REF!</definedName>
    <definedName name="aaaaaaaaaa" localSheetId="4">#REF!</definedName>
    <definedName name="aaaaaaaaaa" localSheetId="5">#REF!</definedName>
    <definedName name="aaaaaaaaaa">#REF!</definedName>
    <definedName name="AAAAAAAAAAAAA" localSheetId="2">#REF!</definedName>
    <definedName name="AAAAAAAAAAAAA" localSheetId="4">#REF!</definedName>
    <definedName name="AAAAAAAAAAAAA" localSheetId="5">#REF!</definedName>
    <definedName name="AAAAAAAAAAAAA">#REF!</definedName>
    <definedName name="AAAAAAAAAAAAAAAAAA" localSheetId="2">#REF!</definedName>
    <definedName name="AAAAAAAAAAAAAAAAAA" localSheetId="4">#REF!</definedName>
    <definedName name="AAAAAAAAAAAAAAAAAA" localSheetId="5">#REF!</definedName>
    <definedName name="AAAAAAAAAAAAAAAAAA">#REF!</definedName>
    <definedName name="AAAAAAAAAAAAAAAAAAAAA" localSheetId="2">#REF!</definedName>
    <definedName name="AAAAAAAAAAAAAAAAAAAAA" localSheetId="4">#REF!</definedName>
    <definedName name="AAAAAAAAAAAAAAAAAAAAA" localSheetId="5">#REF!</definedName>
    <definedName name="AAAAAAAAAAAAAAAAAAAAA">#REF!</definedName>
    <definedName name="AAAAAAAAAAAAAAAAAAAAAAAAAAA" localSheetId="2">#REF!</definedName>
    <definedName name="AAAAAAAAAAAAAAAAAAAAAAAAAAA" localSheetId="4">#REF!</definedName>
    <definedName name="AAAAAAAAAAAAAAAAAAAAAAAAAAA" localSheetId="5">#REF!</definedName>
    <definedName name="AAAAAAAAAAAAAAAAAAAAAAAAAAA">#REF!</definedName>
    <definedName name="AAAAAAAAAAAAAAAAAAAAAAAAAAAA" localSheetId="2">#REF!</definedName>
    <definedName name="AAAAAAAAAAAAAAAAAAAAAAAAAAAA" localSheetId="4">#REF!</definedName>
    <definedName name="AAAAAAAAAAAAAAAAAAAAAAAAAAAA" localSheetId="5">#REF!</definedName>
    <definedName name="AAAAAAAAAAAAAAAAAAAAAAAAAAAA">#REF!</definedName>
    <definedName name="AAAAAAAAAAAAAAAAAAAAAAAAAAAAAA" localSheetId="2">#REF!</definedName>
    <definedName name="AAAAAAAAAAAAAAAAAAAAAAAAAAAAAA" localSheetId="4">#REF!</definedName>
    <definedName name="AAAAAAAAAAAAAAAAAAAAAAAAAAAAAA" localSheetId="5">#REF!</definedName>
    <definedName name="AAAAAAAAAAAAAAAAAAAAAAAAAAAAAA">#REF!</definedName>
    <definedName name="AAAAAAAAAAAAAAAAAAAAAAAAAAAAAAA" localSheetId="2">#REF!</definedName>
    <definedName name="AAAAAAAAAAAAAAAAAAAAAAAAAAAAAAA" localSheetId="4">#REF!</definedName>
    <definedName name="AAAAAAAAAAAAAAAAAAAAAAAAAAAAAAA" localSheetId="5">#REF!</definedName>
    <definedName name="AAAAAAAAAAAAAAAAAAAAAAAAAAAAAAA">#REF!</definedName>
    <definedName name="AAAAAAAAAAAAAAAAAAAAAAAAAAAAAAAAA" localSheetId="2">#REF!</definedName>
    <definedName name="AAAAAAAAAAAAAAAAAAAAAAAAAAAAAAAAA" localSheetId="4">#REF!</definedName>
    <definedName name="AAAAAAAAAAAAAAAAAAAAAAAAAAAAAAAAA" localSheetId="5">#REF!</definedName>
    <definedName name="AAAAAAAAAAAAAAAAAAAAAAAAAAAAAAAAA">#REF!</definedName>
    <definedName name="AAAAAAAAAAAAAAAAAAAAAAAAAAAAAAAAAA" localSheetId="2">#REF!</definedName>
    <definedName name="AAAAAAAAAAAAAAAAAAAAAAAAAAAAAAAAAA" localSheetId="4">#REF!</definedName>
    <definedName name="AAAAAAAAAAAAAAAAAAAAAAAAAAAAAAAAAA" localSheetId="5">#REF!</definedName>
    <definedName name="AAAAAAAAAAAAAAAAAAAAAAAAAAAAAAAAAA">#REF!</definedName>
    <definedName name="ab" localSheetId="2">'[2]Table A.1'!#REF!</definedName>
    <definedName name="ab" localSheetId="4">'[2]Table A.1'!#REF!</definedName>
    <definedName name="ab" localSheetId="5">'[2]Table A.1'!#REF!</definedName>
    <definedName name="ab">'[2]Table A.1'!#REF!</definedName>
    <definedName name="ac" localSheetId="2">'[2]Table A.1'!#REF!</definedName>
    <definedName name="ac" localSheetId="4">'[2]Table A.1'!#REF!</definedName>
    <definedName name="ac" localSheetId="5">'[2]Table A.1'!#REF!</definedName>
    <definedName name="ac">'[2]Table A.1'!#REF!</definedName>
    <definedName name="ACHGYJF" localSheetId="2">#REF!</definedName>
    <definedName name="ACHGYJF" localSheetId="3">#REF!</definedName>
    <definedName name="ACHGYJF" localSheetId="4">#REF!</definedName>
    <definedName name="ACHGYJF" localSheetId="5">#REF!</definedName>
    <definedName name="ACHGYJF">#REF!</definedName>
    <definedName name="ad" localSheetId="2">'[2]Table A.1'!#REF!</definedName>
    <definedName name="ad" localSheetId="3">'[2]Table A.1'!#REF!</definedName>
    <definedName name="ad" localSheetId="4">'[2]Table A.1'!#REF!</definedName>
    <definedName name="ad" localSheetId="5">'[2]Table A.1'!#REF!</definedName>
    <definedName name="ad">'[2]Table A.1'!#REF!</definedName>
    <definedName name="ae" localSheetId="2">'[2]Table A.1'!#REF!</definedName>
    <definedName name="ae" localSheetId="3">'[2]Table A.1'!#REF!</definedName>
    <definedName name="ae" localSheetId="4">'[2]Table A.1'!#REF!</definedName>
    <definedName name="ae" localSheetId="5">'[2]Table A.1'!#REF!</definedName>
    <definedName name="ae">'[2]Table A.1'!#REF!</definedName>
    <definedName name="af" localSheetId="2">'[2]Table A.1'!#REF!</definedName>
    <definedName name="af" localSheetId="4">'[2]Table A.1'!#REF!</definedName>
    <definedName name="af" localSheetId="5">'[2]Table A.1'!#REF!</definedName>
    <definedName name="af">'[2]Table A.1'!#REF!</definedName>
    <definedName name="AKHIR" localSheetId="1">'B1&amp;B2 UNSCHEDULED'!$M$8</definedName>
    <definedName name="AKHIR" localSheetId="2">#REF!</definedName>
    <definedName name="AKHIR" localSheetId="3">'[3]B1&amp; B2 UNSCHEDULED'!$L$8</definedName>
    <definedName name="AKHIR">#REF!</definedName>
    <definedName name="all" localSheetId="2">#REF!</definedName>
    <definedName name="all" localSheetId="3">#REF!</definedName>
    <definedName name="all" localSheetId="4">#REF!</definedName>
    <definedName name="all" localSheetId="5">#REF!</definedName>
    <definedName name="all">#REF!</definedName>
    <definedName name="AV" localSheetId="2">#REF!</definedName>
    <definedName name="AV" localSheetId="3">#REF!</definedName>
    <definedName name="AV" localSheetId="4">#REF!</definedName>
    <definedName name="AV" localSheetId="5">#REF!</definedName>
    <definedName name="AV">#REF!</definedName>
    <definedName name="AWAL" localSheetId="1">'B1&amp;B2 UNSCHEDULED'!$M$6</definedName>
    <definedName name="AWAL" localSheetId="2">#REF!</definedName>
    <definedName name="AWAL" localSheetId="3">#REF!</definedName>
    <definedName name="AWAL">#REF!</definedName>
    <definedName name="BBBBBBBBBBBB" localSheetId="2">#REF!</definedName>
    <definedName name="BBBBBBBBBBBB" localSheetId="4">#REF!</definedName>
    <definedName name="BBBBBBBBBBBB" localSheetId="5">#REF!</definedName>
    <definedName name="BBBBBBBBBBBB">#REF!</definedName>
    <definedName name="BBBBBBBBBBBBB" localSheetId="2">#REF!</definedName>
    <definedName name="BBBBBBBBBBBBB" localSheetId="4">#REF!</definedName>
    <definedName name="BBBBBBBBBBBBB" localSheetId="5">#REF!</definedName>
    <definedName name="BBBBBBBBBBBBB">#REF!</definedName>
    <definedName name="BBBBBBBBBBBBBB" localSheetId="2">#REF!</definedName>
    <definedName name="BBBBBBBBBBBBBB" localSheetId="4">#REF!</definedName>
    <definedName name="BBBBBBBBBBBBBB" localSheetId="5">#REF!</definedName>
    <definedName name="BBBBBBBBBBBBBB">#REF!</definedName>
    <definedName name="CAAAE" localSheetId="2">#REF!</definedName>
    <definedName name="CAAAE" localSheetId="4">#REF!</definedName>
    <definedName name="CAAAE" localSheetId="5">#REF!</definedName>
    <definedName name="CAAAE">#REF!</definedName>
    <definedName name="Ce" localSheetId="2">#REF!</definedName>
    <definedName name="Ce" localSheetId="4">#REF!</definedName>
    <definedName name="Ce" localSheetId="5">#REF!</definedName>
    <definedName name="Ce">#REF!</definedName>
    <definedName name="CFDSSSSS" localSheetId="2">#REF!</definedName>
    <definedName name="CFDSSSSS" localSheetId="4">#REF!</definedName>
    <definedName name="CFDSSSSS" localSheetId="5">#REF!</definedName>
    <definedName name="CFDSSSSS">#REF!</definedName>
    <definedName name="CFE" localSheetId="2">#REF!</definedName>
    <definedName name="CFE" localSheetId="4">#REF!</definedName>
    <definedName name="CFE" localSheetId="5">#REF!</definedName>
    <definedName name="CFE">#REF!</definedName>
    <definedName name="CFFFFFDS" localSheetId="2">'[4]Term Outstanding Payment'!#REF!</definedName>
    <definedName name="CFFFFFDS" localSheetId="4">'[4]Term Outstanding Payment'!#REF!</definedName>
    <definedName name="CFFFFFDS" localSheetId="5">'[4]Term Outstanding Payment'!#REF!</definedName>
    <definedName name="CFFFFFDS">'[4]Term Outstanding Payment'!#REF!</definedName>
    <definedName name="CRSFD" localSheetId="2">#REF!</definedName>
    <definedName name="CRSFD" localSheetId="3">#REF!</definedName>
    <definedName name="CRSFD" localSheetId="4">#REF!</definedName>
    <definedName name="CRSFD" localSheetId="5">#REF!</definedName>
    <definedName name="CRSFD">#REF!</definedName>
    <definedName name="CTRGSFD" localSheetId="2">#REF!</definedName>
    <definedName name="CTRGSFD" localSheetId="3">#REF!</definedName>
    <definedName name="CTRGSFD" localSheetId="4">#REF!</definedName>
    <definedName name="CTRGSFD" localSheetId="5">#REF!</definedName>
    <definedName name="CTRGSFD">#REF!</definedName>
    <definedName name="cuti">'Public Holiday'!$A$2:$A$47</definedName>
    <definedName name="DASDSAC" localSheetId="2">#REF!</definedName>
    <definedName name="DASDSAC" localSheetId="3">#REF!</definedName>
    <definedName name="DASDSAC" localSheetId="4">#REF!</definedName>
    <definedName name="DASDSAC" localSheetId="5">#REF!</definedName>
    <definedName name="DASDSAC">#REF!</definedName>
    <definedName name="date">'[5]Public Holiday'!$A$3:$A$44</definedName>
    <definedName name="dcfd" localSheetId="2">#REF!</definedName>
    <definedName name="dcfd" localSheetId="3">#REF!</definedName>
    <definedName name="dcfd" localSheetId="4">#REF!</definedName>
    <definedName name="dcfd" localSheetId="5">#REF!</definedName>
    <definedName name="dcfd">#REF!</definedName>
    <definedName name="DDDDDDDDDDD" localSheetId="2">#REF!</definedName>
    <definedName name="DDDDDDDDDDD" localSheetId="3">#REF!</definedName>
    <definedName name="DDDDDDDDDDD" localSheetId="4">#REF!</definedName>
    <definedName name="DDDDDDDDDDD" localSheetId="5">#REF!</definedName>
    <definedName name="DDDDDDDDDDD">#REF!</definedName>
    <definedName name="DDDDDDDDDDDDD" localSheetId="2">#REF!</definedName>
    <definedName name="DDDDDDDDDDDDD" localSheetId="3">#REF!</definedName>
    <definedName name="DDDDDDDDDDDDD" localSheetId="4">#REF!</definedName>
    <definedName name="DDDDDDDDDDDDD" localSheetId="5">#REF!</definedName>
    <definedName name="DDDDDDDDDDDDD">#REF!</definedName>
    <definedName name="DFBNG" localSheetId="2">#REF!</definedName>
    <definedName name="DFBNG" localSheetId="4">#REF!</definedName>
    <definedName name="DFBNG" localSheetId="5">#REF!</definedName>
    <definedName name="DFBNG">#REF!</definedName>
    <definedName name="dfd" localSheetId="2">#REF!</definedName>
    <definedName name="dfd" localSheetId="4">#REF!</definedName>
    <definedName name="dfd" localSheetId="5">#REF!</definedName>
    <definedName name="dfd">#REF!</definedName>
    <definedName name="dfhbcv" localSheetId="2">#REF!</definedName>
    <definedName name="dfhbcv" localSheetId="4">#REF!</definedName>
    <definedName name="dfhbcv" localSheetId="5">#REF!</definedName>
    <definedName name="dfhbcv">#REF!</definedName>
    <definedName name="DFHGB" localSheetId="2">#REF!</definedName>
    <definedName name="DFHGB" localSheetId="4">#REF!</definedName>
    <definedName name="DFHGB" localSheetId="5">#REF!</definedName>
    <definedName name="DFHGB">#REF!</definedName>
    <definedName name="dfssa" localSheetId="2">#REF!</definedName>
    <definedName name="dfssa" localSheetId="4">#REF!</definedName>
    <definedName name="dfssa" localSheetId="5">#REF!</definedName>
    <definedName name="dfssa">#REF!</definedName>
    <definedName name="dggggggggggggg" localSheetId="2">#REF!</definedName>
    <definedName name="dggggggggggggg" localSheetId="4">#REF!</definedName>
    <definedName name="dggggggggggggg" localSheetId="5">#REF!</definedName>
    <definedName name="dggggggggggggg">#REF!</definedName>
    <definedName name="dsgsf" localSheetId="2">#REF!</definedName>
    <definedName name="dsgsf" localSheetId="4">#REF!</definedName>
    <definedName name="dsgsf" localSheetId="5">#REF!</definedName>
    <definedName name="dsgsf">#REF!</definedName>
    <definedName name="DSSSSSSSSSSSSSSSSSF" localSheetId="2">#REF!</definedName>
    <definedName name="DSSSSSSSSSSSSSSSSSF" localSheetId="4">#REF!</definedName>
    <definedName name="DSSSSSSSSSSSSSSSSSF" localSheetId="5">#REF!</definedName>
    <definedName name="DSSSSSSSSSSSSSSSSSF">#REF!</definedName>
    <definedName name="EACFE" localSheetId="2">#REF!</definedName>
    <definedName name="EACFE" localSheetId="4">#REF!</definedName>
    <definedName name="EACFE" localSheetId="5">#REF!</definedName>
    <definedName name="EACFE">#REF!</definedName>
    <definedName name="eec" localSheetId="2">#REF!</definedName>
    <definedName name="eec" localSheetId="4">#REF!</definedName>
    <definedName name="eec" localSheetId="5">#REF!</definedName>
    <definedName name="eec">#REF!</definedName>
    <definedName name="EERC" localSheetId="2">#REF!</definedName>
    <definedName name="EERC" localSheetId="4">#REF!</definedName>
    <definedName name="EERC" localSheetId="5">#REF!</definedName>
    <definedName name="EERC">#REF!</definedName>
    <definedName name="EWA" localSheetId="2">#REF!</definedName>
    <definedName name="EWA" localSheetId="4">#REF!</definedName>
    <definedName name="EWA" localSheetId="5">#REF!</definedName>
    <definedName name="EWA">#REF!</definedName>
    <definedName name="EWEC" localSheetId="2">#REF!</definedName>
    <definedName name="EWEC" localSheetId="4">#REF!</definedName>
    <definedName name="EWEC" localSheetId="5">#REF!</definedName>
    <definedName name="EWEC">#REF!</definedName>
    <definedName name="ewtwet" localSheetId="2">[6]Hidden!#REF!</definedName>
    <definedName name="ewtwet" localSheetId="4">[6]Hidden!#REF!</definedName>
    <definedName name="ewtwet" localSheetId="5">[6]Hidden!#REF!</definedName>
    <definedName name="ewtwet">[6]Hidden!#REF!</definedName>
    <definedName name="excel" localSheetId="2">#REF!</definedName>
    <definedName name="excel" localSheetId="3">#REF!</definedName>
    <definedName name="excel" localSheetId="4">#REF!</definedName>
    <definedName name="excel" localSheetId="5">#REF!</definedName>
    <definedName name="excel">#REF!</definedName>
    <definedName name="Excel_BuiltIn__FilterDatabase_2" localSheetId="2">#REF!</definedName>
    <definedName name="Excel_BuiltIn__FilterDatabase_2" localSheetId="3">#REF!</definedName>
    <definedName name="Excel_BuiltIn__FilterDatabase_2" localSheetId="4">#REF!</definedName>
    <definedName name="Excel_BuiltIn__FilterDatabase_2" localSheetId="5">#REF!</definedName>
    <definedName name="Excel_BuiltIn__FilterDatabase_2">#REF!</definedName>
    <definedName name="Excel_BuiltIn__FilterDatabase_4" localSheetId="2">#REF!</definedName>
    <definedName name="Excel_BuiltIn__FilterDatabase_4" localSheetId="3">#REF!</definedName>
    <definedName name="Excel_BuiltIn__FilterDatabase_4" localSheetId="4">#REF!</definedName>
    <definedName name="Excel_BuiltIn__FilterDatabase_4" localSheetId="5">#REF!</definedName>
    <definedName name="Excel_BuiltIn__FilterDatabase_4">#REF!</definedName>
    <definedName name="Excel_BuiltIn__FilterDatabase_5" localSheetId="2">#REF!</definedName>
    <definedName name="Excel_BuiltIn__FilterDatabase_5" localSheetId="4">#REF!</definedName>
    <definedName name="Excel_BuiltIn__FilterDatabase_5" localSheetId="5">#REF!</definedName>
    <definedName name="Excel_BuiltIn__FilterDatabase_5">#REF!</definedName>
    <definedName name="Excel_BuiltIn__FilterDatabase_8" localSheetId="2">#REF!</definedName>
    <definedName name="Excel_BuiltIn__FilterDatabase_8" localSheetId="4">#REF!</definedName>
    <definedName name="Excel_BuiltIn__FilterDatabase_8" localSheetId="5">#REF!</definedName>
    <definedName name="Excel_BuiltIn__FilterDatabase_8">#REF!</definedName>
    <definedName name="Excel_BuiltIn_Print_Area_1" localSheetId="2">#REF!</definedName>
    <definedName name="Excel_BuiltIn_Print_Area_1" localSheetId="4">#REF!</definedName>
    <definedName name="Excel_BuiltIn_Print_Area_1" localSheetId="5">#REF!</definedName>
    <definedName name="Excel_BuiltIn_Print_Area_1">#REF!</definedName>
    <definedName name="Excel_BuiltIn_Print_Area_1_1" localSheetId="2">#REF!</definedName>
    <definedName name="Excel_BuiltIn_Print_Area_1_1" localSheetId="4">#REF!</definedName>
    <definedName name="Excel_BuiltIn_Print_Area_1_1" localSheetId="5">#REF!</definedName>
    <definedName name="Excel_BuiltIn_Print_Area_1_1">#REF!</definedName>
    <definedName name="Excel_BuiltIn_Print_Area_10_1" localSheetId="2">#REF!</definedName>
    <definedName name="Excel_BuiltIn_Print_Area_10_1" localSheetId="4">#REF!</definedName>
    <definedName name="Excel_BuiltIn_Print_Area_10_1" localSheetId="5">#REF!</definedName>
    <definedName name="Excel_BuiltIn_Print_Area_10_1">#REF!</definedName>
    <definedName name="Excel_BuiltIn_Print_Area_3_1" localSheetId="2">#REF!</definedName>
    <definedName name="Excel_BuiltIn_Print_Area_3_1" localSheetId="4">#REF!</definedName>
    <definedName name="Excel_BuiltIn_Print_Area_3_1" localSheetId="5">#REF!</definedName>
    <definedName name="Excel_BuiltIn_Print_Area_3_1">#REF!</definedName>
    <definedName name="Excel_BuiltIn_Print_Area_3_1_1" localSheetId="2">#REF!</definedName>
    <definedName name="Excel_BuiltIn_Print_Area_3_1_1" localSheetId="4">#REF!</definedName>
    <definedName name="Excel_BuiltIn_Print_Area_3_1_1" localSheetId="5">#REF!</definedName>
    <definedName name="Excel_BuiltIn_Print_Area_3_1_1">#REF!</definedName>
    <definedName name="Excel_BuiltIn_Print_Area_3_1_1_1" localSheetId="2">#REF!</definedName>
    <definedName name="Excel_BuiltIn_Print_Area_3_1_1_1" localSheetId="4">#REF!</definedName>
    <definedName name="Excel_BuiltIn_Print_Area_3_1_1_1" localSheetId="5">#REF!</definedName>
    <definedName name="Excel_BuiltIn_Print_Area_3_1_1_1">#REF!</definedName>
    <definedName name="Excel_BuiltIn_Print_Area_6" localSheetId="2">'[4]Term Outstanding Payment'!#REF!</definedName>
    <definedName name="Excel_BuiltIn_Print_Area_6" localSheetId="4">'[4]Term Outstanding Payment'!#REF!</definedName>
    <definedName name="Excel_BuiltIn_Print_Area_6" localSheetId="5">'[4]Term Outstanding Payment'!#REF!</definedName>
    <definedName name="Excel_BuiltIn_Print_Area_6">'[4]Term Outstanding Payment'!#REF!</definedName>
    <definedName name="Excel_BuiltIn_Print_Area_8_1" localSheetId="2">#REF!</definedName>
    <definedName name="Excel_BuiltIn_Print_Area_8_1" localSheetId="3">#REF!</definedName>
    <definedName name="Excel_BuiltIn_Print_Area_8_1" localSheetId="4">#REF!</definedName>
    <definedName name="Excel_BuiltIn_Print_Area_8_1" localSheetId="5">#REF!</definedName>
    <definedName name="Excel_BuiltIn_Print_Area_8_1">#REF!</definedName>
    <definedName name="Excel_BuiltIn_Print_Area_9_1" localSheetId="2">#REF!</definedName>
    <definedName name="Excel_BuiltIn_Print_Area_9_1" localSheetId="3">#REF!</definedName>
    <definedName name="Excel_BuiltIn_Print_Area_9_1" localSheetId="4">#REF!</definedName>
    <definedName name="Excel_BuiltIn_Print_Area_9_1" localSheetId="5">#REF!</definedName>
    <definedName name="Excel_BuiltIn_Print_Area_9_1">#REF!</definedName>
    <definedName name="Excel_BuiltIn_Print_Area_9_1_1" localSheetId="2">#REF!</definedName>
    <definedName name="Excel_BuiltIn_Print_Area_9_1_1" localSheetId="3">#REF!</definedName>
    <definedName name="Excel_BuiltIn_Print_Area_9_1_1" localSheetId="4">#REF!</definedName>
    <definedName name="Excel_BuiltIn_Print_Area_9_1_1" localSheetId="5">#REF!</definedName>
    <definedName name="Excel_BuiltIn_Print_Area_9_1_1">#REF!</definedName>
    <definedName name="Excel_BuiltIn_Print_JMN_25_9_13" localSheetId="2">#REF!</definedName>
    <definedName name="Excel_BuiltIn_Print_JMN_25_9_13" localSheetId="4">#REF!</definedName>
    <definedName name="Excel_BuiltIn_Print_JMN_25_9_13" localSheetId="5">#REF!</definedName>
    <definedName name="Excel_BuiltIn_Print_JMN_25_9_13">#REF!</definedName>
    <definedName name="Excel_BuiltIn_Print_Titles_1_1" localSheetId="2">#REF!</definedName>
    <definedName name="Excel_BuiltIn_Print_Titles_1_1" localSheetId="4">#REF!</definedName>
    <definedName name="Excel_BuiltIn_Print_Titles_1_1" localSheetId="5">#REF!</definedName>
    <definedName name="Excel_BuiltIn_Print_Titles_1_1">#REF!</definedName>
    <definedName name="Excel_BuiltIn_Print_Titles_8" localSheetId="2">#REF!</definedName>
    <definedName name="Excel_BuiltIn_Print_Titles_8" localSheetId="4">#REF!</definedName>
    <definedName name="Excel_BuiltIn_Print_Titles_8" localSheetId="5">#REF!</definedName>
    <definedName name="Excel_BuiltIn_Print_Titles_8">#REF!</definedName>
    <definedName name="Excel_BuiltIn_Print_Titles_9" localSheetId="2">#REF!</definedName>
    <definedName name="Excel_BuiltIn_Print_Titles_9" localSheetId="4">#REF!</definedName>
    <definedName name="Excel_BuiltIn_Print_Titles_9" localSheetId="5">#REF!</definedName>
    <definedName name="Excel_BuiltIn_Print_Titles_9">#REF!</definedName>
    <definedName name="fasdfasfasfsaf" localSheetId="2">#REF!</definedName>
    <definedName name="fasdfasfasfsaf" localSheetId="4">#REF!</definedName>
    <definedName name="fasdfasfasfsaf" localSheetId="5">#REF!</definedName>
    <definedName name="fasdfasfasfsaf">#REF!</definedName>
    <definedName name="FCXXF" localSheetId="2">#REF!</definedName>
    <definedName name="FCXXF" localSheetId="4">#REF!</definedName>
    <definedName name="FCXXF" localSheetId="5">#REF!</definedName>
    <definedName name="FCXXF">#REF!</definedName>
    <definedName name="fdgfdgdfgdg" localSheetId="2">#REF!</definedName>
    <definedName name="fdgfdgdfgdg" localSheetId="4">#REF!</definedName>
    <definedName name="fdgfdgdfgdg" localSheetId="5">#REF!</definedName>
    <definedName name="fdgfdgdfgdg">#REF!</definedName>
    <definedName name="FFFFFFFFFFFFFFFFF" localSheetId="2">#REF!</definedName>
    <definedName name="FFFFFFFFFFFFFFFFF" localSheetId="4">#REF!</definedName>
    <definedName name="FFFFFFFFFFFFFFFFF" localSheetId="5">#REF!</definedName>
    <definedName name="FFFFFFFFFFFFFFFFF">#REF!</definedName>
    <definedName name="ffgdsdfg" localSheetId="2">#REF!</definedName>
    <definedName name="ffgdsdfg" localSheetId="4">#REF!</definedName>
    <definedName name="ffgdsdfg" localSheetId="5">#REF!</definedName>
    <definedName name="ffgdsdfg">#REF!</definedName>
    <definedName name="GAAAAAAAFC" localSheetId="2">#REF!</definedName>
    <definedName name="GAAAAAAAFC" localSheetId="4">#REF!</definedName>
    <definedName name="GAAAAAAAFC" localSheetId="5">#REF!</definedName>
    <definedName name="GAAAAAAAFC">#REF!</definedName>
    <definedName name="GDRGT" localSheetId="2">#REF!</definedName>
    <definedName name="GDRGT" localSheetId="4">#REF!</definedName>
    <definedName name="GDRGT" localSheetId="5">#REF!</definedName>
    <definedName name="GDRGT">#REF!</definedName>
    <definedName name="GDSF" localSheetId="2">#REF!</definedName>
    <definedName name="GDSF" localSheetId="4">#REF!</definedName>
    <definedName name="GDSF" localSheetId="5">#REF!</definedName>
    <definedName name="GDSF">#REF!</definedName>
    <definedName name="GFHDNHZ" localSheetId="2">#REF!</definedName>
    <definedName name="GFHDNHZ" localSheetId="4">#REF!</definedName>
    <definedName name="GFHDNHZ" localSheetId="5">#REF!</definedName>
    <definedName name="GFHDNHZ">#REF!</definedName>
    <definedName name="GFNBC" localSheetId="2">#REF!</definedName>
    <definedName name="GFNBC" localSheetId="4">#REF!</definedName>
    <definedName name="GFNBC" localSheetId="5">#REF!</definedName>
    <definedName name="GFNBC">#REF!</definedName>
    <definedName name="gfre" localSheetId="2">#REF!</definedName>
    <definedName name="gfre" localSheetId="4">#REF!</definedName>
    <definedName name="gfre" localSheetId="5">#REF!</definedName>
    <definedName name="gfre">#REF!</definedName>
    <definedName name="ggggg" localSheetId="2">#REF!</definedName>
    <definedName name="ggggg" localSheetId="4">#REF!</definedName>
    <definedName name="ggggg" localSheetId="5">#REF!</definedName>
    <definedName name="ggggg">#REF!</definedName>
    <definedName name="gggggggggggggggggg" localSheetId="2">#REF!</definedName>
    <definedName name="gggggggggggggggggg" localSheetId="4">#REF!</definedName>
    <definedName name="gggggggggggggggggg" localSheetId="5">#REF!</definedName>
    <definedName name="gggggggggggggggggg">#REF!</definedName>
    <definedName name="GGGGGGGGGGGGGGGGGGGGG" localSheetId="2">#REF!</definedName>
    <definedName name="GGGGGGGGGGGGGGGGGGGGG" localSheetId="4">#REF!</definedName>
    <definedName name="GGGGGGGGGGGGGGGGGGGGG" localSheetId="5">#REF!</definedName>
    <definedName name="GGGGGGGGGGGGGGGGGGGGG">#REF!</definedName>
    <definedName name="GGGZDG" localSheetId="2">#REF!</definedName>
    <definedName name="GGGZDG" localSheetId="4">#REF!</definedName>
    <definedName name="GGGZDG" localSheetId="5">#REF!</definedName>
    <definedName name="GGGZDG">#REF!</definedName>
    <definedName name="GHNVGC" localSheetId="2">#REF!</definedName>
    <definedName name="GHNVGC" localSheetId="4">#REF!</definedName>
    <definedName name="GHNVGC" localSheetId="5">#REF!</definedName>
    <definedName name="GHNVGC">#REF!</definedName>
    <definedName name="GRFCEZSX" localSheetId="2">#REF!</definedName>
    <definedName name="GRFCEZSX" localSheetId="4">#REF!</definedName>
    <definedName name="GRFCEZSX" localSheetId="5">#REF!</definedName>
    <definedName name="GRFCEZSX">#REF!</definedName>
    <definedName name="gsdfgsdgsds" localSheetId="2">#REF!</definedName>
    <definedName name="gsdfgsdgsds" localSheetId="4">#REF!</definedName>
    <definedName name="gsdfgsdgsds" localSheetId="5">#REF!</definedName>
    <definedName name="gsdfgsdgsds">#REF!</definedName>
    <definedName name="GZDFA" localSheetId="2">#REF!</definedName>
    <definedName name="GZDFA" localSheetId="4">#REF!</definedName>
    <definedName name="GZDFA" localSheetId="5">#REF!</definedName>
    <definedName name="GZDFA">#REF!</definedName>
    <definedName name="hdfhdfhdfhf" localSheetId="2">[6]Hidden!#REF!</definedName>
    <definedName name="hdfhdfhdfhf" localSheetId="4">[6]Hidden!#REF!</definedName>
    <definedName name="hdfhdfhdfhf" localSheetId="5">[6]Hidden!#REF!</definedName>
    <definedName name="hdfhdfhdfhf">[6]Hidden!#REF!</definedName>
    <definedName name="HSA" localSheetId="2">#REF!</definedName>
    <definedName name="HSA" localSheetId="3">#REF!</definedName>
    <definedName name="HSA" localSheetId="4">#REF!</definedName>
    <definedName name="HSA" localSheetId="5">#REF!</definedName>
    <definedName name="HSA">#REF!</definedName>
    <definedName name="hujung" localSheetId="1">'B1&amp;B2 UNSCHEDULED'!$P$8</definedName>
    <definedName name="hujung" localSheetId="2">#REF!</definedName>
    <definedName name="hujung" localSheetId="3">#REF!</definedName>
    <definedName name="hujung">#REF!</definedName>
    <definedName name="I" localSheetId="2">#REF!</definedName>
    <definedName name="I" localSheetId="3">#REF!</definedName>
    <definedName name="I" localSheetId="4">#REF!</definedName>
    <definedName name="I" localSheetId="5">#REF!</definedName>
    <definedName name="I">#REF!</definedName>
    <definedName name="ILA" localSheetId="2">#REF!</definedName>
    <definedName name="ILA" localSheetId="4">#REF!</definedName>
    <definedName name="ILA" localSheetId="5">#REF!</definedName>
    <definedName name="ILA">#REF!</definedName>
    <definedName name="kkk" localSheetId="2">#REF!</definedName>
    <definedName name="kkk" localSheetId="4">#REF!</definedName>
    <definedName name="kkk" localSheetId="5">#REF!</definedName>
    <definedName name="kkk">#REF!</definedName>
    <definedName name="kkkkk" localSheetId="2">#REF!</definedName>
    <definedName name="kkkkk" localSheetId="4">#REF!</definedName>
    <definedName name="kkkkk" localSheetId="5">#REF!</definedName>
    <definedName name="kkkkk">#REF!</definedName>
    <definedName name="LA" localSheetId="2">#REF!</definedName>
    <definedName name="LA" localSheetId="4">#REF!</definedName>
    <definedName name="LA" localSheetId="5">#REF!</definedName>
    <definedName name="LA">#REF!</definedName>
    <definedName name="LALA" localSheetId="2">#REF!</definedName>
    <definedName name="LALA" localSheetId="4">#REF!</definedName>
    <definedName name="LALA" localSheetId="5">#REF!</definedName>
    <definedName name="LALA">#REF!</definedName>
    <definedName name="list" localSheetId="2">#REF!</definedName>
    <definedName name="list" localSheetId="4">#REF!</definedName>
    <definedName name="list" localSheetId="5">#REF!</definedName>
    <definedName name="list">#REF!</definedName>
    <definedName name="ll" localSheetId="2">#REF!</definedName>
    <definedName name="ll" localSheetId="4">#REF!</definedName>
    <definedName name="ll" localSheetId="5">#REF!</definedName>
    <definedName name="ll">#REF!</definedName>
    <definedName name="LLLLL" localSheetId="2">#REF!</definedName>
    <definedName name="LLLLL" localSheetId="4">#REF!</definedName>
    <definedName name="LLLLL" localSheetId="5">#REF!</definedName>
    <definedName name="LLLLL">#REF!</definedName>
    <definedName name="mappingMay" localSheetId="2">#REF!</definedName>
    <definedName name="mappingMay" localSheetId="4">#REF!</definedName>
    <definedName name="mappingMay" localSheetId="5">#REF!</definedName>
    <definedName name="mappingMay">#REF!</definedName>
    <definedName name="mmm" localSheetId="2">[6]Hidden!#REF!</definedName>
    <definedName name="mmm" localSheetId="4">[6]Hidden!#REF!</definedName>
    <definedName name="mmm" localSheetId="5">[6]Hidden!#REF!</definedName>
    <definedName name="mmm">[6]Hidden!#REF!</definedName>
    <definedName name="MMMMMMMMMMMMMM" localSheetId="2">#REF!</definedName>
    <definedName name="MMMMMMMMMMMMMM" localSheetId="3">#REF!</definedName>
    <definedName name="MMMMMMMMMMMMMM" localSheetId="4">#REF!</definedName>
    <definedName name="MMMMMMMMMMMMMM" localSheetId="5">#REF!</definedName>
    <definedName name="MMMMMMMMMMMMMM">#REF!</definedName>
    <definedName name="my_name" localSheetId="2">#REF!</definedName>
    <definedName name="my_name" localSheetId="3">#REF!</definedName>
    <definedName name="my_name" localSheetId="4">#REF!</definedName>
    <definedName name="my_name" localSheetId="5">#REF!</definedName>
    <definedName name="my_name">#REF!</definedName>
    <definedName name="my_name_Ila" localSheetId="2">#REF!</definedName>
    <definedName name="my_name_Ila" localSheetId="3">#REF!</definedName>
    <definedName name="my_name_Ila" localSheetId="4">#REF!</definedName>
    <definedName name="my_name_Ila" localSheetId="5">#REF!</definedName>
    <definedName name="my_name_Ila">#REF!</definedName>
    <definedName name="nnn" localSheetId="2">#REF!</definedName>
    <definedName name="nnn" localSheetId="4">#REF!</definedName>
    <definedName name="nnn" localSheetId="5">#REF!</definedName>
    <definedName name="nnn">#REF!</definedName>
    <definedName name="NNNN" localSheetId="2">#REF!</definedName>
    <definedName name="NNNN" localSheetId="4">#REF!</definedName>
    <definedName name="NNNN" localSheetId="5">#REF!</definedName>
    <definedName name="NNNN">#REF!</definedName>
    <definedName name="NNNNNNNNNNNNNNNN" localSheetId="2">#REF!</definedName>
    <definedName name="NNNNNNNNNNNNNNNN" localSheetId="4">#REF!</definedName>
    <definedName name="NNNNNNNNNNNNNNNN" localSheetId="5">#REF!</definedName>
    <definedName name="NNNNNNNNNNNNNNNN">#REF!</definedName>
    <definedName name="NNNNNNNNNNNNNNNNNNNNNNNNNNNNNNN" localSheetId="2">#REF!</definedName>
    <definedName name="NNNNNNNNNNNNNNNNNNNNNNNNNNNNNNN" localSheetId="4">#REF!</definedName>
    <definedName name="NNNNNNNNNNNNNNNNNNNNNNNNNNNNNNN" localSheetId="5">#REF!</definedName>
    <definedName name="NNNNNNNNNNNNNNNNNNNNNNNNNNNNNNN">#REF!</definedName>
    <definedName name="NNNNNNNNNNNNNNNNNNNNNNNNNNNNNNNNNN" localSheetId="2">#REF!</definedName>
    <definedName name="NNNNNNNNNNNNNNNNNNNNNNNNNNNNNNNNNN" localSheetId="4">#REF!</definedName>
    <definedName name="NNNNNNNNNNNNNNNNNNNNNNNNNNNNNNNNNN" localSheetId="5">#REF!</definedName>
    <definedName name="NNNNNNNNNNNNNNNNNNNNNNNNNNNNNNNNNN">#REF!</definedName>
    <definedName name="NO" localSheetId="2">#REF!</definedName>
    <definedName name="NO" localSheetId="4">#REF!</definedName>
    <definedName name="NO" localSheetId="5">#REF!</definedName>
    <definedName name="NO">#REF!</definedName>
    <definedName name="OLE_LINK2" localSheetId="7">Sheet1!$G$61</definedName>
    <definedName name="OOO" localSheetId="2">#REF!</definedName>
    <definedName name="OOO" localSheetId="4">#REF!</definedName>
    <definedName name="OOO" localSheetId="5">#REF!</definedName>
    <definedName name="OOO">#REF!</definedName>
    <definedName name="OOOOOOOOO" localSheetId="2">#REF!</definedName>
    <definedName name="OOOOOOOOO" localSheetId="4">#REF!</definedName>
    <definedName name="OOOOOOOOO" localSheetId="5">#REF!</definedName>
    <definedName name="OOOOOOOOO">#REF!</definedName>
    <definedName name="PP" localSheetId="2">#REF!</definedName>
    <definedName name="PP" localSheetId="4">#REF!</definedName>
    <definedName name="PP" localSheetId="5">#REF!</definedName>
    <definedName name="PP">#REF!</definedName>
    <definedName name="ppmmay13" localSheetId="2">[6]Hidden!#REF!</definedName>
    <definedName name="ppmmay13" localSheetId="4">[6]Hidden!#REF!</definedName>
    <definedName name="ppmmay13" localSheetId="5">[6]Hidden!#REF!</definedName>
    <definedName name="ppmmay13">[6]Hidden!#REF!</definedName>
    <definedName name="PPP" localSheetId="2">#REF!</definedName>
    <definedName name="PPP" localSheetId="3">#REF!</definedName>
    <definedName name="PPP" localSheetId="4">#REF!</definedName>
    <definedName name="PPP" localSheetId="5">#REF!</definedName>
    <definedName name="PPP">#REF!</definedName>
    <definedName name="PPPPPPP" localSheetId="2">#REF!</definedName>
    <definedName name="PPPPPPP" localSheetId="3">#REF!</definedName>
    <definedName name="PPPPPPP" localSheetId="4">#REF!</definedName>
    <definedName name="PPPPPPP" localSheetId="5">#REF!</definedName>
    <definedName name="PPPPPPP">#REF!</definedName>
    <definedName name="_xlnm.Print_Area" localSheetId="1">'B1&amp;B2 UNSCHEDULED'!$A$1:$V$106</definedName>
    <definedName name="_xlnm.Print_Area" localSheetId="2">'B3-SCHEDULED'!$A$1:$M$216</definedName>
    <definedName name="_xlnm.Print_Area" localSheetId="3">'B4-UPTIME'!$A$1:$AB$58</definedName>
    <definedName name="_xlnm.Print_Area" localSheetId="4">'B5-T&amp;C'!$A$1:$P$24</definedName>
    <definedName name="_xlnm.Print_Area" localSheetId="0">BEMSdar!$A$1:$O$34</definedName>
    <definedName name="_xlnm.Print_Area" localSheetId="6">KDI!$A$1:$I$11</definedName>
    <definedName name="_xlnm.Print_Titles" localSheetId="1">'B1&amp;B2 UNSCHEDULED'!$21:$22</definedName>
    <definedName name="_xlnm.Print_Titles" localSheetId="2">'B3-SCHEDULED'!$19:$20</definedName>
    <definedName name="_xlnm.Print_Titles" localSheetId="3">'B4-UPTIME'!$17:$18</definedName>
    <definedName name="_xlnm.Print_Titles" localSheetId="4">'B5-T&amp;C'!$18:$18</definedName>
    <definedName name="QQQ" localSheetId="2">#REF!</definedName>
    <definedName name="QQQ" localSheetId="3">#REF!</definedName>
    <definedName name="QQQ" localSheetId="4">#REF!</definedName>
    <definedName name="QQQ" localSheetId="5">#REF!</definedName>
    <definedName name="QQQ">#REF!</definedName>
    <definedName name="REEEEEEEW" localSheetId="2">#REF!</definedName>
    <definedName name="REEEEEEEW" localSheetId="4">#REF!</definedName>
    <definedName name="REEEEEEEW" localSheetId="5">#REF!</definedName>
    <definedName name="REEEEEEEW">#REF!</definedName>
    <definedName name="REST" localSheetId="2">#REF!</definedName>
    <definedName name="REST" localSheetId="4">#REF!</definedName>
    <definedName name="REST" localSheetId="5">#REF!</definedName>
    <definedName name="REST">#REF!</definedName>
    <definedName name="rewc" localSheetId="2">#REF!</definedName>
    <definedName name="rewc" localSheetId="4">#REF!</definedName>
    <definedName name="rewc" localSheetId="5">#REF!</definedName>
    <definedName name="rewc">#REF!</definedName>
    <definedName name="rewwrwer" localSheetId="2">[6]Hidden!#REF!</definedName>
    <definedName name="rewwrwer" localSheetId="4">[6]Hidden!#REF!</definedName>
    <definedName name="rewwrwer" localSheetId="5">[6]Hidden!#REF!</definedName>
    <definedName name="rewwrwer">[6]Hidden!#REF!</definedName>
    <definedName name="rfc" localSheetId="2">#REF!</definedName>
    <definedName name="rfc" localSheetId="3">#REF!</definedName>
    <definedName name="rfc" localSheetId="4">#REF!</definedName>
    <definedName name="rfc" localSheetId="5">#REF!</definedName>
    <definedName name="rfc">#REF!</definedName>
    <definedName name="rfdfsd" localSheetId="2">#REF!</definedName>
    <definedName name="rfdfsd" localSheetId="3">#REF!</definedName>
    <definedName name="rfdfsd" localSheetId="4">#REF!</definedName>
    <definedName name="rfdfsd" localSheetId="5">#REF!</definedName>
    <definedName name="rfdfsd">#REF!</definedName>
    <definedName name="RGCCCCCCSX" localSheetId="2">#REF!</definedName>
    <definedName name="RGCCCCCCSX" localSheetId="3">#REF!</definedName>
    <definedName name="RGCCCCCCSX" localSheetId="4">#REF!</definedName>
    <definedName name="RGCCCCCCSX" localSheetId="5">#REF!</definedName>
    <definedName name="RGCCCCCCSX">#REF!</definedName>
    <definedName name="rgfd" localSheetId="2">#REF!</definedName>
    <definedName name="rgfd" localSheetId="4">#REF!</definedName>
    <definedName name="rgfd" localSheetId="5">#REF!</definedName>
    <definedName name="rgfd">#REF!</definedName>
    <definedName name="rrhrdhdr" localSheetId="2">#REF!</definedName>
    <definedName name="rrhrdhdr" localSheetId="4">#REF!</definedName>
    <definedName name="rrhrdhdr" localSheetId="5">#REF!</definedName>
    <definedName name="rrhrdhdr">#REF!</definedName>
    <definedName name="RRRRRRRRRRRRRRRRRRR" localSheetId="2">#REF!</definedName>
    <definedName name="RRRRRRRRRRRRRRRRRRR" localSheetId="4">#REF!</definedName>
    <definedName name="RRRRRRRRRRRRRRRRRRR" localSheetId="5">#REF!</definedName>
    <definedName name="RRRRRRRRRRRRRRRRRRR">#REF!</definedName>
    <definedName name="rtr" localSheetId="2">#REF!</definedName>
    <definedName name="rtr" localSheetId="4">#REF!</definedName>
    <definedName name="rtr" localSheetId="5">#REF!</definedName>
    <definedName name="rtr">#REF!</definedName>
    <definedName name="rtwertert" localSheetId="2">#REF!</definedName>
    <definedName name="rtwertert" localSheetId="4">#REF!</definedName>
    <definedName name="rtwertert" localSheetId="5">#REF!</definedName>
    <definedName name="rtwertert">#REF!</definedName>
    <definedName name="sdssfsf" localSheetId="2">#REF!</definedName>
    <definedName name="sdssfsf" localSheetId="4">#REF!</definedName>
    <definedName name="sdssfsf" localSheetId="5">#REF!</definedName>
    <definedName name="sdssfsf">#REF!</definedName>
    <definedName name="SiterSheet4" localSheetId="2">[6]Hidden!#REF!</definedName>
    <definedName name="SiterSheet4" localSheetId="4">[6]Hidden!#REF!</definedName>
    <definedName name="SiterSheet4" localSheetId="5">[6]Hidden!#REF!</definedName>
    <definedName name="SiterSheet4">[6]Hidden!#REF!</definedName>
    <definedName name="SiteSheet" localSheetId="2">[6]Hidden!#REF!</definedName>
    <definedName name="SiteSheet" localSheetId="4">[6]Hidden!#REF!</definedName>
    <definedName name="SiteSheet" localSheetId="5">[6]Hidden!#REF!</definedName>
    <definedName name="SiteSheet">[6]Hidden!#REF!</definedName>
    <definedName name="ss" localSheetId="2">[7]Hidden!#REF!</definedName>
    <definedName name="ss" localSheetId="4">[7]Hidden!#REF!</definedName>
    <definedName name="ss" localSheetId="5">[7]Hidden!#REF!</definedName>
    <definedName name="ss">[7]Hidden!#REF!</definedName>
    <definedName name="SSSS" localSheetId="2">#REF!</definedName>
    <definedName name="SSSS" localSheetId="3">#REF!</definedName>
    <definedName name="SSSS" localSheetId="4">#REF!</definedName>
    <definedName name="SSSS" localSheetId="5">#REF!</definedName>
    <definedName name="SSSS">#REF!</definedName>
    <definedName name="SSSSSSSSSSS" localSheetId="2">#REF!</definedName>
    <definedName name="SSSSSSSSSSS" localSheetId="3">#REF!</definedName>
    <definedName name="SSSSSSSSSSS" localSheetId="4">#REF!</definedName>
    <definedName name="SSSSSSSSSSS" localSheetId="5">#REF!</definedName>
    <definedName name="SSSSSSSSSSS">#REF!</definedName>
    <definedName name="SSSSSSSSSSSS" localSheetId="2">'[4]Term Outstanding Payment'!#REF!</definedName>
    <definedName name="SSSSSSSSSSSS" localSheetId="3">'[4]Term Outstanding Payment'!#REF!</definedName>
    <definedName name="SSSSSSSSSSSS" localSheetId="4">'[4]Term Outstanding Payment'!#REF!</definedName>
    <definedName name="SSSSSSSSSSSS" localSheetId="5">'[4]Term Outstanding Payment'!#REF!</definedName>
    <definedName name="SSSSSSSSSSSS">'[4]Term Outstanding Payment'!#REF!</definedName>
    <definedName name="SSSSSSSSSSSSSS" localSheetId="2">#REF!</definedName>
    <definedName name="SSSSSSSSSSSSSS" localSheetId="3">#REF!</definedName>
    <definedName name="SSSSSSSSSSSSSS" localSheetId="4">#REF!</definedName>
    <definedName name="SSSSSSSSSSSSSS" localSheetId="5">#REF!</definedName>
    <definedName name="SSSSSSSSSSSSSS">#REF!</definedName>
    <definedName name="SSSSSSSSSSSSSSSSSSSSS" localSheetId="2">#REF!</definedName>
    <definedName name="SSSSSSSSSSSSSSSSSSSSS" localSheetId="3">#REF!</definedName>
    <definedName name="SSSSSSSSSSSSSSSSSSSSS" localSheetId="4">#REF!</definedName>
    <definedName name="SSSSSSSSSSSSSSSSSSSSS" localSheetId="5">#REF!</definedName>
    <definedName name="SSSSSSSSSSSSSSSSSSSSS">#REF!</definedName>
    <definedName name="SSSSSSSSSSSSSSSSSSSSSSSSSS" localSheetId="2">#REF!</definedName>
    <definedName name="SSSSSSSSSSSSSSSSSSSSSSSSSS" localSheetId="3">#REF!</definedName>
    <definedName name="SSSSSSSSSSSSSSSSSSSSSSSSSS" localSheetId="4">#REF!</definedName>
    <definedName name="SSSSSSSSSSSSSSSSSSSSSSSSSS" localSheetId="5">#REF!</definedName>
    <definedName name="SSSSSSSSSSSSSSSSSSSSSSSSSS">#REF!</definedName>
    <definedName name="SSSSSSSSSSSSSSSSSSSSSSSSSSSSSSS" localSheetId="2">#REF!</definedName>
    <definedName name="SSSSSSSSSSSSSSSSSSSSSSSSSSSSSSS" localSheetId="4">#REF!</definedName>
    <definedName name="SSSSSSSSSSSSSSSSSSSSSSSSSSSSSSS" localSheetId="5">#REF!</definedName>
    <definedName name="SSSSSSSSSSSSSSSSSSSSSSSSSSSSSSS">#REF!</definedName>
    <definedName name="SUM" localSheetId="2">#REF!</definedName>
    <definedName name="SUM" localSheetId="4">#REF!</definedName>
    <definedName name="SUM" localSheetId="5">#REF!</definedName>
    <definedName name="SUM">#REF!</definedName>
    <definedName name="tarikhcuti" localSheetId="1">'[8]Public Holiday'!$A$3:$A$50</definedName>
    <definedName name="tarikhcuti" localSheetId="2">'[9]Public Holiday'!$A$4:$A$45</definedName>
    <definedName name="tarikhcuti" localSheetId="3">'[10]Public Holiday'!$A$4:$A$45</definedName>
    <definedName name="tarikhcuti" localSheetId="4">'[11]Public Holiday'!$A$4:$A$43</definedName>
    <definedName name="tarikhcuti">'Public Holiday'!$A$4:$A$47</definedName>
    <definedName name="tertertyertert" localSheetId="2">#REF!</definedName>
    <definedName name="tertertyertert" localSheetId="3">#REF!</definedName>
    <definedName name="tertertyertert" localSheetId="4">#REF!</definedName>
    <definedName name="tertertyertert" localSheetId="5">#REF!</definedName>
    <definedName name="tertertyertert">#REF!</definedName>
    <definedName name="TickCell" localSheetId="2">#REF!</definedName>
    <definedName name="TickCell" localSheetId="3">#REF!</definedName>
    <definedName name="TickCell" localSheetId="4">#REF!</definedName>
    <definedName name="TickCell" localSheetId="5">#REF!</definedName>
    <definedName name="TickCell">#REF!</definedName>
    <definedName name="try" localSheetId="2">#REF!</definedName>
    <definedName name="try" localSheetId="3">#REF!</definedName>
    <definedName name="try" localSheetId="4">#REF!</definedName>
    <definedName name="try" localSheetId="5">#REF!</definedName>
    <definedName name="try">#REF!</definedName>
    <definedName name="tryrtyyu" localSheetId="2">[6]Hidden!#REF!</definedName>
    <definedName name="tryrtyyu" localSheetId="3">[6]Hidden!#REF!</definedName>
    <definedName name="tryrtyyu" localSheetId="4">[6]Hidden!#REF!</definedName>
    <definedName name="tryrtyyu" localSheetId="5">[6]Hidden!#REF!</definedName>
    <definedName name="tryrtyyu">[6]Hidden!#REF!</definedName>
    <definedName name="twewtweewt" localSheetId="2">#REF!</definedName>
    <definedName name="twewtweewt" localSheetId="3">#REF!</definedName>
    <definedName name="twewtweewt" localSheetId="4">#REF!</definedName>
    <definedName name="twewtweewt" localSheetId="5">#REF!</definedName>
    <definedName name="twewtweewt">#REF!</definedName>
    <definedName name="ukjj" localSheetId="2">#REF!</definedName>
    <definedName name="ukjj" localSheetId="3">#REF!</definedName>
    <definedName name="ukjj" localSheetId="4">#REF!</definedName>
    <definedName name="ukjj" localSheetId="5">#REF!</definedName>
    <definedName name="ukjj">#REF!</definedName>
    <definedName name="value">'[12]HWMS 1'!$D$2</definedName>
    <definedName name="VEEEEEEEEE" localSheetId="2">#REF!</definedName>
    <definedName name="VEEEEEEEEE" localSheetId="3">#REF!</definedName>
    <definedName name="VEEEEEEEEE" localSheetId="4">#REF!</definedName>
    <definedName name="VEEEEEEEEE" localSheetId="5">#REF!</definedName>
    <definedName name="VEEEEEEEEE">#REF!</definedName>
    <definedName name="vtecax" localSheetId="2">#REF!</definedName>
    <definedName name="vtecax" localSheetId="3">#REF!</definedName>
    <definedName name="vtecax" localSheetId="4">#REF!</definedName>
    <definedName name="vtecax" localSheetId="5">#REF!</definedName>
    <definedName name="vtecax">#REF!</definedName>
    <definedName name="WAE" localSheetId="2">#REF!</definedName>
    <definedName name="WAE" localSheetId="3">#REF!</definedName>
    <definedName name="WAE" localSheetId="4">#REF!</definedName>
    <definedName name="WAE" localSheetId="5">#REF!</definedName>
    <definedName name="WAE">#REF!</definedName>
    <definedName name="WEA" localSheetId="2">#REF!</definedName>
    <definedName name="WEA" localSheetId="4">#REF!</definedName>
    <definedName name="WEA" localSheetId="5">#REF!</definedName>
    <definedName name="WEA">#REF!</definedName>
    <definedName name="Yes" localSheetId="2">#REF!</definedName>
    <definedName name="Yes" localSheetId="4">#REF!</definedName>
    <definedName name="Yes" localSheetId="5">#REF!</definedName>
    <definedName name="Yes">#REF!</definedName>
    <definedName name="yttyrty" localSheetId="2">#REF!</definedName>
    <definedName name="yttyrty" localSheetId="4">#REF!</definedName>
    <definedName name="yttyrty" localSheetId="5">#REF!</definedName>
    <definedName name="yttyrty">#REF!</definedName>
    <definedName name="zhGFFFDX" localSheetId="2">#REF!</definedName>
    <definedName name="zhGFFFDX" localSheetId="4">#REF!</definedName>
    <definedName name="zhGFFFDX" localSheetId="5">#REF!</definedName>
    <definedName name="zhGFFFDX">#REF!</definedName>
    <definedName name="ZZ" localSheetId="2">[7]Hidden!#REF!</definedName>
    <definedName name="ZZ" localSheetId="4">[7]Hidden!#REF!</definedName>
    <definedName name="ZZ" localSheetId="5">[7]Hidden!#REF!</definedName>
    <definedName name="ZZ">[7]Hidden!#REF!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9" i="62" l="1"/>
  <c r="U7" i="62"/>
  <c r="R99" i="58"/>
  <c r="Z53" i="62"/>
  <c r="Z54" i="62"/>
  <c r="Z55" i="62"/>
  <c r="Z56" i="62"/>
  <c r="Z57" i="62"/>
  <c r="Y53" i="62"/>
  <c r="Y54" i="62"/>
  <c r="Y55" i="62"/>
  <c r="Y56" i="62"/>
  <c r="Y57" i="62"/>
  <c r="T53" i="62"/>
  <c r="T54" i="62"/>
  <c r="T55" i="62"/>
  <c r="T56" i="62"/>
  <c r="T57" i="62"/>
  <c r="C88" i="58"/>
  <c r="D88" i="58"/>
  <c r="M88" i="58" s="1"/>
  <c r="O88" i="58"/>
  <c r="R88" i="58"/>
  <c r="S88" i="58"/>
  <c r="U88" i="58"/>
  <c r="D98" i="61"/>
  <c r="K98" i="61" s="1"/>
  <c r="L98" i="61"/>
  <c r="AA53" i="62" l="1"/>
  <c r="AA54" i="62"/>
  <c r="AA55" i="62"/>
  <c r="AA56" i="62"/>
  <c r="AA57" i="62"/>
  <c r="C82" i="58"/>
  <c r="D82" i="58"/>
  <c r="M82" i="58" s="1"/>
  <c r="O82" i="58"/>
  <c r="R82" i="58"/>
  <c r="S82" i="58"/>
  <c r="U82" i="58"/>
  <c r="R104" i="58"/>
  <c r="S104" i="58"/>
  <c r="U86" i="58"/>
  <c r="U17" i="10" l="1"/>
  <c r="AC16" i="10"/>
  <c r="AB16" i="10"/>
  <c r="Z16" i="10"/>
  <c r="X16" i="10"/>
  <c r="U16" i="10"/>
  <c r="T16" i="10"/>
  <c r="R16" i="10"/>
  <c r="O16" i="10"/>
  <c r="M16" i="10"/>
  <c r="A16" i="10"/>
  <c r="AC15" i="10"/>
  <c r="AB15" i="10"/>
  <c r="Z15" i="10"/>
  <c r="X15" i="10"/>
  <c r="U15" i="10"/>
  <c r="T15" i="10"/>
  <c r="R15" i="10"/>
  <c r="O15" i="10"/>
  <c r="M15" i="10"/>
  <c r="A15" i="10"/>
  <c r="AC14" i="10"/>
  <c r="AB14" i="10"/>
  <c r="Z14" i="10"/>
  <c r="X14" i="10"/>
  <c r="U14" i="10"/>
  <c r="T14" i="10"/>
  <c r="R14" i="10"/>
  <c r="O14" i="10"/>
  <c r="M14" i="10"/>
  <c r="A14" i="10"/>
  <c r="AC13" i="10"/>
  <c r="AB13" i="10"/>
  <c r="Z13" i="10"/>
  <c r="X13" i="10"/>
  <c r="U13" i="10"/>
  <c r="T13" i="10"/>
  <c r="R13" i="10"/>
  <c r="O13" i="10"/>
  <c r="M13" i="10"/>
  <c r="A13" i="10"/>
  <c r="AC12" i="10"/>
  <c r="AB12" i="10"/>
  <c r="Z12" i="10"/>
  <c r="X12" i="10"/>
  <c r="U12" i="10"/>
  <c r="T12" i="10"/>
  <c r="R12" i="10"/>
  <c r="O12" i="10"/>
  <c r="M12" i="10"/>
  <c r="A12" i="10"/>
  <c r="AC11" i="10"/>
  <c r="AB11" i="10"/>
  <c r="Z11" i="10"/>
  <c r="X11" i="10"/>
  <c r="U11" i="10"/>
  <c r="T11" i="10"/>
  <c r="R11" i="10"/>
  <c r="O11" i="10"/>
  <c r="M11" i="10"/>
  <c r="A11" i="10"/>
  <c r="AC10" i="10"/>
  <c r="AB10" i="10"/>
  <c r="Z10" i="10"/>
  <c r="X10" i="10"/>
  <c r="U10" i="10"/>
  <c r="T10" i="10"/>
  <c r="R10" i="10"/>
  <c r="O10" i="10"/>
  <c r="M10" i="10"/>
  <c r="A10" i="10"/>
  <c r="AC9" i="10"/>
  <c r="AB9" i="10"/>
  <c r="Z9" i="10"/>
  <c r="X9" i="10"/>
  <c r="U9" i="10"/>
  <c r="T9" i="10"/>
  <c r="R9" i="10"/>
  <c r="O9" i="10"/>
  <c r="M9" i="10"/>
  <c r="A9" i="10"/>
  <c r="AC8" i="10"/>
  <c r="AB8" i="10"/>
  <c r="Z8" i="10"/>
  <c r="X8" i="10"/>
  <c r="U8" i="10"/>
  <c r="T8" i="10"/>
  <c r="R8" i="10"/>
  <c r="O8" i="10"/>
  <c r="M8" i="10"/>
  <c r="A8" i="10"/>
  <c r="AC7" i="10"/>
  <c r="AB7" i="10"/>
  <c r="Z7" i="10"/>
  <c r="X7" i="10"/>
  <c r="U7" i="10"/>
  <c r="T7" i="10"/>
  <c r="S7" i="10"/>
  <c r="R7" i="10"/>
  <c r="O7" i="10"/>
  <c r="M7" i="10"/>
  <c r="AC6" i="10"/>
  <c r="AB6" i="10"/>
  <c r="Z6" i="10"/>
  <c r="X6" i="10"/>
  <c r="U6" i="10"/>
  <c r="T6" i="10"/>
  <c r="S6" i="10"/>
  <c r="R6" i="10"/>
  <c r="O6" i="10"/>
  <c r="M6" i="10"/>
  <c r="O24" i="53"/>
  <c r="K9" i="53"/>
  <c r="K7" i="53"/>
  <c r="WZX115" i="62"/>
  <c r="WZV115" i="62"/>
  <c r="WZT115" i="62"/>
  <c r="WZR115" i="62"/>
  <c r="WZP115" i="62"/>
  <c r="WZN115" i="62"/>
  <c r="WZL115" i="62"/>
  <c r="WZJ115" i="62"/>
  <c r="WZH115" i="62"/>
  <c r="WZF115" i="62"/>
  <c r="WZD115" i="62"/>
  <c r="WZB115" i="62"/>
  <c r="WYZ115" i="62"/>
  <c r="WYX115" i="62"/>
  <c r="WYV115" i="62"/>
  <c r="WYT115" i="62"/>
  <c r="WYR115" i="62"/>
  <c r="WYP115" i="62"/>
  <c r="WYN115" i="62"/>
  <c r="WYL115" i="62"/>
  <c r="WYJ115" i="62"/>
  <c r="WYH115" i="62"/>
  <c r="WYF115" i="62"/>
  <c r="WYD115" i="62"/>
  <c r="WYB115" i="62"/>
  <c r="WXZ115" i="62"/>
  <c r="WXX115" i="62"/>
  <c r="WXV115" i="62"/>
  <c r="WXT115" i="62"/>
  <c r="WXR115" i="62"/>
  <c r="WXP115" i="62"/>
  <c r="WXN115" i="62"/>
  <c r="WXL115" i="62"/>
  <c r="WXJ115" i="62"/>
  <c r="WXH115" i="62"/>
  <c r="WXF115" i="62"/>
  <c r="WXD115" i="62"/>
  <c r="WXB115" i="62"/>
  <c r="WWZ115" i="62"/>
  <c r="WWX115" i="62"/>
  <c r="WWV115" i="62"/>
  <c r="WWT115" i="62"/>
  <c r="WWR115" i="62"/>
  <c r="WWP115" i="62"/>
  <c r="WWN115" i="62"/>
  <c r="WWL115" i="62"/>
  <c r="WWJ115" i="62"/>
  <c r="WWH115" i="62"/>
  <c r="WWF115" i="62"/>
  <c r="WWD115" i="62"/>
  <c r="WWB115" i="62"/>
  <c r="WVZ115" i="62"/>
  <c r="WVX115" i="62"/>
  <c r="WVV115" i="62"/>
  <c r="WVT115" i="62"/>
  <c r="WVR115" i="62"/>
  <c r="WVP115" i="62"/>
  <c r="WVN115" i="62"/>
  <c r="WVL115" i="62"/>
  <c r="WVJ115" i="62"/>
  <c r="WVH115" i="62"/>
  <c r="WVF115" i="62"/>
  <c r="WVD115" i="62"/>
  <c r="WVB115" i="62"/>
  <c r="WUZ115" i="62"/>
  <c r="WUX115" i="62"/>
  <c r="WUV115" i="62"/>
  <c r="WUT115" i="62"/>
  <c r="WUR115" i="62"/>
  <c r="WUP115" i="62"/>
  <c r="WUN115" i="62"/>
  <c r="WUL115" i="62"/>
  <c r="WUJ115" i="62"/>
  <c r="WUH115" i="62"/>
  <c r="WUF115" i="62"/>
  <c r="WUD115" i="62"/>
  <c r="WUB115" i="62"/>
  <c r="WTZ115" i="62"/>
  <c r="WTX115" i="62"/>
  <c r="WTV115" i="62"/>
  <c r="WTT115" i="62"/>
  <c r="WTR115" i="62"/>
  <c r="WTP115" i="62"/>
  <c r="WTN115" i="62"/>
  <c r="WTL115" i="62"/>
  <c r="WTJ115" i="62"/>
  <c r="WTH115" i="62"/>
  <c r="WTF115" i="62"/>
  <c r="WTD115" i="62"/>
  <c r="WTB115" i="62"/>
  <c r="WSZ115" i="62"/>
  <c r="WSX115" i="62"/>
  <c r="WSV115" i="62"/>
  <c r="WST115" i="62"/>
  <c r="WSR115" i="62"/>
  <c r="WSP115" i="62"/>
  <c r="WSN115" i="62"/>
  <c r="WSL115" i="62"/>
  <c r="WSJ115" i="62"/>
  <c r="WSH115" i="62"/>
  <c r="WSF115" i="62"/>
  <c r="WSD115" i="62"/>
  <c r="WSB115" i="62"/>
  <c r="WRZ115" i="62"/>
  <c r="WRX115" i="62"/>
  <c r="WRV115" i="62"/>
  <c r="WRT115" i="62"/>
  <c r="WRR115" i="62"/>
  <c r="WRP115" i="62"/>
  <c r="WRN115" i="62"/>
  <c r="WRL115" i="62"/>
  <c r="WRJ115" i="62"/>
  <c r="WRH115" i="62"/>
  <c r="WRF115" i="62"/>
  <c r="WRD115" i="62"/>
  <c r="WRB115" i="62"/>
  <c r="WQZ115" i="62"/>
  <c r="WQX115" i="62"/>
  <c r="WQV115" i="62"/>
  <c r="WQT115" i="62"/>
  <c r="WQR115" i="62"/>
  <c r="WQP115" i="62"/>
  <c r="WQN115" i="62"/>
  <c r="WQL115" i="62"/>
  <c r="WQJ115" i="62"/>
  <c r="WQH115" i="62"/>
  <c r="WQF115" i="62"/>
  <c r="WQD115" i="62"/>
  <c r="WQB115" i="62"/>
  <c r="WPZ115" i="62"/>
  <c r="WPX115" i="62"/>
  <c r="WPV115" i="62"/>
  <c r="WPT115" i="62"/>
  <c r="WPR115" i="62"/>
  <c r="WPP115" i="62"/>
  <c r="WPN115" i="62"/>
  <c r="WPL115" i="62"/>
  <c r="WPJ115" i="62"/>
  <c r="WPH115" i="62"/>
  <c r="WPF115" i="62"/>
  <c r="WPD115" i="62"/>
  <c r="WPB115" i="62"/>
  <c r="WOZ115" i="62"/>
  <c r="WOX115" i="62"/>
  <c r="WOV115" i="62"/>
  <c r="WOT115" i="62"/>
  <c r="WOR115" i="62"/>
  <c r="WOP115" i="62"/>
  <c r="WON115" i="62"/>
  <c r="WOL115" i="62"/>
  <c r="WOJ115" i="62"/>
  <c r="WOH115" i="62"/>
  <c r="WOF115" i="62"/>
  <c r="WOD115" i="62"/>
  <c r="WOB115" i="62"/>
  <c r="WNZ115" i="62"/>
  <c r="WNX115" i="62"/>
  <c r="WNV115" i="62"/>
  <c r="WNT115" i="62"/>
  <c r="WNR115" i="62"/>
  <c r="WNP115" i="62"/>
  <c r="WNN115" i="62"/>
  <c r="WNL115" i="62"/>
  <c r="WNJ115" i="62"/>
  <c r="WNH115" i="62"/>
  <c r="WNF115" i="62"/>
  <c r="WND115" i="62"/>
  <c r="WNB115" i="62"/>
  <c r="WMZ115" i="62"/>
  <c r="WMX115" i="62"/>
  <c r="WMV115" i="62"/>
  <c r="WMT115" i="62"/>
  <c r="WMR115" i="62"/>
  <c r="WMP115" i="62"/>
  <c r="WMN115" i="62"/>
  <c r="WML115" i="62"/>
  <c r="WMJ115" i="62"/>
  <c r="WMH115" i="62"/>
  <c r="WMF115" i="62"/>
  <c r="WMD115" i="62"/>
  <c r="WMB115" i="62"/>
  <c r="WLZ115" i="62"/>
  <c r="WLX115" i="62"/>
  <c r="WLV115" i="62"/>
  <c r="WLT115" i="62"/>
  <c r="WLR115" i="62"/>
  <c r="WLP115" i="62"/>
  <c r="WLN115" i="62"/>
  <c r="WLL115" i="62"/>
  <c r="WLJ115" i="62"/>
  <c r="WLH115" i="62"/>
  <c r="WLF115" i="62"/>
  <c r="WLD115" i="62"/>
  <c r="WLB115" i="62"/>
  <c r="WKZ115" i="62"/>
  <c r="WKX115" i="62"/>
  <c r="WKV115" i="62"/>
  <c r="WKT115" i="62"/>
  <c r="WKR115" i="62"/>
  <c r="WKP115" i="62"/>
  <c r="WKN115" i="62"/>
  <c r="WKL115" i="62"/>
  <c r="WKJ115" i="62"/>
  <c r="WKH115" i="62"/>
  <c r="WKF115" i="62"/>
  <c r="WKD115" i="62"/>
  <c r="WKB115" i="62"/>
  <c r="WJZ115" i="62"/>
  <c r="WJX115" i="62"/>
  <c r="WJV115" i="62"/>
  <c r="WJT115" i="62"/>
  <c r="WJR115" i="62"/>
  <c r="WJP115" i="62"/>
  <c r="WJN115" i="62"/>
  <c r="WJL115" i="62"/>
  <c r="WJJ115" i="62"/>
  <c r="WJH115" i="62"/>
  <c r="WJF115" i="62"/>
  <c r="WJD115" i="62"/>
  <c r="WJB115" i="62"/>
  <c r="WIZ115" i="62"/>
  <c r="WIX115" i="62"/>
  <c r="WIV115" i="62"/>
  <c r="WIT115" i="62"/>
  <c r="WIR115" i="62"/>
  <c r="WIP115" i="62"/>
  <c r="WIN115" i="62"/>
  <c r="WIL115" i="62"/>
  <c r="WIJ115" i="62"/>
  <c r="WIH115" i="62"/>
  <c r="WIF115" i="62"/>
  <c r="WID115" i="62"/>
  <c r="WIB115" i="62"/>
  <c r="WHZ115" i="62"/>
  <c r="WHX115" i="62"/>
  <c r="WHV115" i="62"/>
  <c r="WHT115" i="62"/>
  <c r="WHR115" i="62"/>
  <c r="WHP115" i="62"/>
  <c r="WHN115" i="62"/>
  <c r="WHL115" i="62"/>
  <c r="WHJ115" i="62"/>
  <c r="WHH115" i="62"/>
  <c r="WHF115" i="62"/>
  <c r="WHD115" i="62"/>
  <c r="WHB115" i="62"/>
  <c r="WGZ115" i="62"/>
  <c r="WGX115" i="62"/>
  <c r="WGV115" i="62"/>
  <c r="WGT115" i="62"/>
  <c r="WGR115" i="62"/>
  <c r="WGP115" i="62"/>
  <c r="WGN115" i="62"/>
  <c r="WGL115" i="62"/>
  <c r="WGJ115" i="62"/>
  <c r="WGH115" i="62"/>
  <c r="WGF115" i="62"/>
  <c r="WGD115" i="62"/>
  <c r="WGB115" i="62"/>
  <c r="WFZ115" i="62"/>
  <c r="WFX115" i="62"/>
  <c r="WFV115" i="62"/>
  <c r="WFT115" i="62"/>
  <c r="WFR115" i="62"/>
  <c r="WFP115" i="62"/>
  <c r="WFN115" i="62"/>
  <c r="WFL115" i="62"/>
  <c r="WFJ115" i="62"/>
  <c r="WFH115" i="62"/>
  <c r="WFF115" i="62"/>
  <c r="WFD115" i="62"/>
  <c r="WFB115" i="62"/>
  <c r="WEZ115" i="62"/>
  <c r="WEX115" i="62"/>
  <c r="WEV115" i="62"/>
  <c r="WET115" i="62"/>
  <c r="WER115" i="62"/>
  <c r="WEP115" i="62"/>
  <c r="WEN115" i="62"/>
  <c r="WEL115" i="62"/>
  <c r="WEJ115" i="62"/>
  <c r="WEH115" i="62"/>
  <c r="WEF115" i="62"/>
  <c r="WED115" i="62"/>
  <c r="WEB115" i="62"/>
  <c r="WDZ115" i="62"/>
  <c r="WDX115" i="62"/>
  <c r="WDV115" i="62"/>
  <c r="WDT115" i="62"/>
  <c r="WDR115" i="62"/>
  <c r="WDP115" i="62"/>
  <c r="WDN115" i="62"/>
  <c r="WDL115" i="62"/>
  <c r="WDJ115" i="62"/>
  <c r="WDH115" i="62"/>
  <c r="WDF115" i="62"/>
  <c r="WDD115" i="62"/>
  <c r="WDB115" i="62"/>
  <c r="WCZ115" i="62"/>
  <c r="WCX115" i="62"/>
  <c r="WCV115" i="62"/>
  <c r="WCT115" i="62"/>
  <c r="WCR115" i="62"/>
  <c r="WCP115" i="62"/>
  <c r="WCN115" i="62"/>
  <c r="WCL115" i="62"/>
  <c r="WCJ115" i="62"/>
  <c r="WCH115" i="62"/>
  <c r="WCF115" i="62"/>
  <c r="WCD115" i="62"/>
  <c r="WCB115" i="62"/>
  <c r="WBZ115" i="62"/>
  <c r="WBX115" i="62"/>
  <c r="WBV115" i="62"/>
  <c r="WBT115" i="62"/>
  <c r="WBR115" i="62"/>
  <c r="WBP115" i="62"/>
  <c r="WBN115" i="62"/>
  <c r="WBL115" i="62"/>
  <c r="WBJ115" i="62"/>
  <c r="WBH115" i="62"/>
  <c r="WBF115" i="62"/>
  <c r="WBD115" i="62"/>
  <c r="WBB115" i="62"/>
  <c r="WAZ115" i="62"/>
  <c r="WAX115" i="62"/>
  <c r="WAV115" i="62"/>
  <c r="WAT115" i="62"/>
  <c r="WAR115" i="62"/>
  <c r="WAP115" i="62"/>
  <c r="WAN115" i="62"/>
  <c r="WAL115" i="62"/>
  <c r="WAJ115" i="62"/>
  <c r="WAH115" i="62"/>
  <c r="WAF115" i="62"/>
  <c r="WAD115" i="62"/>
  <c r="WAB115" i="62"/>
  <c r="VZZ115" i="62"/>
  <c r="VZX115" i="62"/>
  <c r="VZV115" i="62"/>
  <c r="VZT115" i="62"/>
  <c r="VZR115" i="62"/>
  <c r="VZP115" i="62"/>
  <c r="VZN115" i="62"/>
  <c r="VZL115" i="62"/>
  <c r="VZJ115" i="62"/>
  <c r="VZH115" i="62"/>
  <c r="VZF115" i="62"/>
  <c r="VZD115" i="62"/>
  <c r="VZB115" i="62"/>
  <c r="VYZ115" i="62"/>
  <c r="VYX115" i="62"/>
  <c r="VYV115" i="62"/>
  <c r="VYT115" i="62"/>
  <c r="VYR115" i="62"/>
  <c r="VYP115" i="62"/>
  <c r="VYN115" i="62"/>
  <c r="VYL115" i="62"/>
  <c r="VYJ115" i="62"/>
  <c r="VYH115" i="62"/>
  <c r="VYF115" i="62"/>
  <c r="VYD115" i="62"/>
  <c r="VYB115" i="62"/>
  <c r="VXZ115" i="62"/>
  <c r="VXX115" i="62"/>
  <c r="VXV115" i="62"/>
  <c r="VXT115" i="62"/>
  <c r="VXR115" i="62"/>
  <c r="VXP115" i="62"/>
  <c r="VXN115" i="62"/>
  <c r="VXL115" i="62"/>
  <c r="VXJ115" i="62"/>
  <c r="VXH115" i="62"/>
  <c r="VXF115" i="62"/>
  <c r="VXD115" i="62"/>
  <c r="VXB115" i="62"/>
  <c r="VWZ115" i="62"/>
  <c r="VWX115" i="62"/>
  <c r="VWV115" i="62"/>
  <c r="VWT115" i="62"/>
  <c r="VWR115" i="62"/>
  <c r="VWP115" i="62"/>
  <c r="VWN115" i="62"/>
  <c r="VWL115" i="62"/>
  <c r="VWJ115" i="62"/>
  <c r="VWH115" i="62"/>
  <c r="VWF115" i="62"/>
  <c r="VWD115" i="62"/>
  <c r="VWB115" i="62"/>
  <c r="VVZ115" i="62"/>
  <c r="VVX115" i="62"/>
  <c r="VVV115" i="62"/>
  <c r="VVT115" i="62"/>
  <c r="VVR115" i="62"/>
  <c r="VVP115" i="62"/>
  <c r="VVN115" i="62"/>
  <c r="VVL115" i="62"/>
  <c r="VVJ115" i="62"/>
  <c r="VVH115" i="62"/>
  <c r="VVF115" i="62"/>
  <c r="VVD115" i="62"/>
  <c r="VVB115" i="62"/>
  <c r="VUZ115" i="62"/>
  <c r="VUX115" i="62"/>
  <c r="VUV115" i="62"/>
  <c r="VUT115" i="62"/>
  <c r="VUR115" i="62"/>
  <c r="VUP115" i="62"/>
  <c r="VUN115" i="62"/>
  <c r="VUL115" i="62"/>
  <c r="VUJ115" i="62"/>
  <c r="VUH115" i="62"/>
  <c r="VUF115" i="62"/>
  <c r="VUD115" i="62"/>
  <c r="VUB115" i="62"/>
  <c r="VTZ115" i="62"/>
  <c r="VTX115" i="62"/>
  <c r="VTV115" i="62"/>
  <c r="VTT115" i="62"/>
  <c r="VTR115" i="62"/>
  <c r="VTP115" i="62"/>
  <c r="VTN115" i="62"/>
  <c r="VTL115" i="62"/>
  <c r="VTJ115" i="62"/>
  <c r="VTH115" i="62"/>
  <c r="VTF115" i="62"/>
  <c r="VTD115" i="62"/>
  <c r="VTB115" i="62"/>
  <c r="VSZ115" i="62"/>
  <c r="VSX115" i="62"/>
  <c r="VSV115" i="62"/>
  <c r="VST115" i="62"/>
  <c r="VSR115" i="62"/>
  <c r="VSP115" i="62"/>
  <c r="VSN115" i="62"/>
  <c r="VSL115" i="62"/>
  <c r="VSJ115" i="62"/>
  <c r="VSH115" i="62"/>
  <c r="VSF115" i="62"/>
  <c r="VSD115" i="62"/>
  <c r="VSB115" i="62"/>
  <c r="VRZ115" i="62"/>
  <c r="VRX115" i="62"/>
  <c r="VRV115" i="62"/>
  <c r="VRT115" i="62"/>
  <c r="VRR115" i="62"/>
  <c r="VRP115" i="62"/>
  <c r="VRN115" i="62"/>
  <c r="VRL115" i="62"/>
  <c r="VRJ115" i="62"/>
  <c r="VRH115" i="62"/>
  <c r="VRF115" i="62"/>
  <c r="VRD115" i="62"/>
  <c r="VRB115" i="62"/>
  <c r="VQZ115" i="62"/>
  <c r="VQX115" i="62"/>
  <c r="VQV115" i="62"/>
  <c r="VQT115" i="62"/>
  <c r="VQR115" i="62"/>
  <c r="VQP115" i="62"/>
  <c r="VQN115" i="62"/>
  <c r="VQL115" i="62"/>
  <c r="VQJ115" i="62"/>
  <c r="VQH115" i="62"/>
  <c r="VQF115" i="62"/>
  <c r="VQD115" i="62"/>
  <c r="VQB115" i="62"/>
  <c r="VPZ115" i="62"/>
  <c r="VPX115" i="62"/>
  <c r="VPV115" i="62"/>
  <c r="VPT115" i="62"/>
  <c r="VPR115" i="62"/>
  <c r="VPP115" i="62"/>
  <c r="VPN115" i="62"/>
  <c r="VPL115" i="62"/>
  <c r="VPJ115" i="62"/>
  <c r="VPH115" i="62"/>
  <c r="VPF115" i="62"/>
  <c r="VPD115" i="62"/>
  <c r="VPB115" i="62"/>
  <c r="VOZ115" i="62"/>
  <c r="VOX115" i="62"/>
  <c r="VOV115" i="62"/>
  <c r="VOT115" i="62"/>
  <c r="VOR115" i="62"/>
  <c r="VOP115" i="62"/>
  <c r="VON115" i="62"/>
  <c r="VOL115" i="62"/>
  <c r="VOJ115" i="62"/>
  <c r="VOH115" i="62"/>
  <c r="VOF115" i="62"/>
  <c r="VOD115" i="62"/>
  <c r="VOB115" i="62"/>
  <c r="VNZ115" i="62"/>
  <c r="VNX115" i="62"/>
  <c r="VNV115" i="62"/>
  <c r="VNT115" i="62"/>
  <c r="VNR115" i="62"/>
  <c r="VNP115" i="62"/>
  <c r="VNN115" i="62"/>
  <c r="VNL115" i="62"/>
  <c r="VNJ115" i="62"/>
  <c r="VNH115" i="62"/>
  <c r="VNF115" i="62"/>
  <c r="VND115" i="62"/>
  <c r="VNB115" i="62"/>
  <c r="VMZ115" i="62"/>
  <c r="VMX115" i="62"/>
  <c r="VMV115" i="62"/>
  <c r="VMT115" i="62"/>
  <c r="VMR115" i="62"/>
  <c r="VMP115" i="62"/>
  <c r="VMN115" i="62"/>
  <c r="VML115" i="62"/>
  <c r="VMJ115" i="62"/>
  <c r="VMH115" i="62"/>
  <c r="VMF115" i="62"/>
  <c r="VMD115" i="62"/>
  <c r="VMB115" i="62"/>
  <c r="VLZ115" i="62"/>
  <c r="VLX115" i="62"/>
  <c r="VLV115" i="62"/>
  <c r="VLT115" i="62"/>
  <c r="VLR115" i="62"/>
  <c r="VLP115" i="62"/>
  <c r="VLN115" i="62"/>
  <c r="VLL115" i="62"/>
  <c r="VLJ115" i="62"/>
  <c r="VLH115" i="62"/>
  <c r="VLF115" i="62"/>
  <c r="VLD115" i="62"/>
  <c r="VLB115" i="62"/>
  <c r="VKZ115" i="62"/>
  <c r="VKX115" i="62"/>
  <c r="VKV115" i="62"/>
  <c r="VKT115" i="62"/>
  <c r="VKR115" i="62"/>
  <c r="VKP115" i="62"/>
  <c r="VKN115" i="62"/>
  <c r="VKL115" i="62"/>
  <c r="VKJ115" i="62"/>
  <c r="VKH115" i="62"/>
  <c r="VKF115" i="62"/>
  <c r="VKD115" i="62"/>
  <c r="VKB115" i="62"/>
  <c r="VJZ115" i="62"/>
  <c r="VJX115" i="62"/>
  <c r="VJV115" i="62"/>
  <c r="VJT115" i="62"/>
  <c r="VJR115" i="62"/>
  <c r="VJP115" i="62"/>
  <c r="VJN115" i="62"/>
  <c r="VJL115" i="62"/>
  <c r="VJJ115" i="62"/>
  <c r="VJH115" i="62"/>
  <c r="VJF115" i="62"/>
  <c r="VJD115" i="62"/>
  <c r="VJB115" i="62"/>
  <c r="VIZ115" i="62"/>
  <c r="VIX115" i="62"/>
  <c r="VIV115" i="62"/>
  <c r="VIT115" i="62"/>
  <c r="VIR115" i="62"/>
  <c r="VIP115" i="62"/>
  <c r="VIN115" i="62"/>
  <c r="VIL115" i="62"/>
  <c r="VIJ115" i="62"/>
  <c r="VIH115" i="62"/>
  <c r="VIF115" i="62"/>
  <c r="VID115" i="62"/>
  <c r="VIB115" i="62"/>
  <c r="VHZ115" i="62"/>
  <c r="VHX115" i="62"/>
  <c r="VHV115" i="62"/>
  <c r="VHT115" i="62"/>
  <c r="VHR115" i="62"/>
  <c r="VHP115" i="62"/>
  <c r="VHN115" i="62"/>
  <c r="VHL115" i="62"/>
  <c r="VHJ115" i="62"/>
  <c r="VHH115" i="62"/>
  <c r="VHF115" i="62"/>
  <c r="VHD115" i="62"/>
  <c r="VHB115" i="62"/>
  <c r="VGZ115" i="62"/>
  <c r="VGX115" i="62"/>
  <c r="VGV115" i="62"/>
  <c r="VGT115" i="62"/>
  <c r="VGR115" i="62"/>
  <c r="VGP115" i="62"/>
  <c r="VGN115" i="62"/>
  <c r="VGL115" i="62"/>
  <c r="VGJ115" i="62"/>
  <c r="VGH115" i="62"/>
  <c r="VGF115" i="62"/>
  <c r="VGD115" i="62"/>
  <c r="VGB115" i="62"/>
  <c r="VFZ115" i="62"/>
  <c r="VFX115" i="62"/>
  <c r="VFV115" i="62"/>
  <c r="VFT115" i="62"/>
  <c r="VFR115" i="62"/>
  <c r="VFP115" i="62"/>
  <c r="VFN115" i="62"/>
  <c r="VFL115" i="62"/>
  <c r="VFJ115" i="62"/>
  <c r="VFH115" i="62"/>
  <c r="VFF115" i="62"/>
  <c r="VFD115" i="62"/>
  <c r="VFB115" i="62"/>
  <c r="VEZ115" i="62"/>
  <c r="VEX115" i="62"/>
  <c r="VEV115" i="62"/>
  <c r="VET115" i="62"/>
  <c r="VER115" i="62"/>
  <c r="VEP115" i="62"/>
  <c r="VEN115" i="62"/>
  <c r="VEL115" i="62"/>
  <c r="VEJ115" i="62"/>
  <c r="VEH115" i="62"/>
  <c r="VEF115" i="62"/>
  <c r="VED115" i="62"/>
  <c r="VEB115" i="62"/>
  <c r="VDZ115" i="62"/>
  <c r="VDX115" i="62"/>
  <c r="VDV115" i="62"/>
  <c r="VDT115" i="62"/>
  <c r="VDR115" i="62"/>
  <c r="VDP115" i="62"/>
  <c r="VDN115" i="62"/>
  <c r="VDL115" i="62"/>
  <c r="VDJ115" i="62"/>
  <c r="VDH115" i="62"/>
  <c r="VDF115" i="62"/>
  <c r="VDD115" i="62"/>
  <c r="VDB115" i="62"/>
  <c r="VCZ115" i="62"/>
  <c r="VCX115" i="62"/>
  <c r="VCV115" i="62"/>
  <c r="VCT115" i="62"/>
  <c r="VCR115" i="62"/>
  <c r="VCP115" i="62"/>
  <c r="VCN115" i="62"/>
  <c r="VCL115" i="62"/>
  <c r="VCJ115" i="62"/>
  <c r="VCH115" i="62"/>
  <c r="VCF115" i="62"/>
  <c r="VCD115" i="62"/>
  <c r="VCB115" i="62"/>
  <c r="VBZ115" i="62"/>
  <c r="VBX115" i="62"/>
  <c r="VBV115" i="62"/>
  <c r="VBT115" i="62"/>
  <c r="VBR115" i="62"/>
  <c r="VBP115" i="62"/>
  <c r="VBN115" i="62"/>
  <c r="VBL115" i="62"/>
  <c r="VBJ115" i="62"/>
  <c r="VBH115" i="62"/>
  <c r="VBF115" i="62"/>
  <c r="VBD115" i="62"/>
  <c r="VBB115" i="62"/>
  <c r="VAZ115" i="62"/>
  <c r="VAX115" i="62"/>
  <c r="VAV115" i="62"/>
  <c r="VAT115" i="62"/>
  <c r="VAR115" i="62"/>
  <c r="VAP115" i="62"/>
  <c r="VAN115" i="62"/>
  <c r="VAL115" i="62"/>
  <c r="VAJ115" i="62"/>
  <c r="VAH115" i="62"/>
  <c r="VAF115" i="62"/>
  <c r="VAD115" i="62"/>
  <c r="VAB115" i="62"/>
  <c r="UZZ115" i="62"/>
  <c r="UZX115" i="62"/>
  <c r="UZV115" i="62"/>
  <c r="UZT115" i="62"/>
  <c r="UZR115" i="62"/>
  <c r="UZP115" i="62"/>
  <c r="UZN115" i="62"/>
  <c r="UZL115" i="62"/>
  <c r="UZJ115" i="62"/>
  <c r="UZH115" i="62"/>
  <c r="UZF115" i="62"/>
  <c r="UZD115" i="62"/>
  <c r="UZB115" i="62"/>
  <c r="UYZ115" i="62"/>
  <c r="UYX115" i="62"/>
  <c r="UYV115" i="62"/>
  <c r="UYT115" i="62"/>
  <c r="UYR115" i="62"/>
  <c r="UYP115" i="62"/>
  <c r="UYN115" i="62"/>
  <c r="UYL115" i="62"/>
  <c r="UYJ115" i="62"/>
  <c r="UYH115" i="62"/>
  <c r="UYF115" i="62"/>
  <c r="UYD115" i="62"/>
  <c r="UYB115" i="62"/>
  <c r="UXZ115" i="62"/>
  <c r="UXX115" i="62"/>
  <c r="UXV115" i="62"/>
  <c r="UXT115" i="62"/>
  <c r="UXR115" i="62"/>
  <c r="UXP115" i="62"/>
  <c r="UXN115" i="62"/>
  <c r="UXL115" i="62"/>
  <c r="UXJ115" i="62"/>
  <c r="UXH115" i="62"/>
  <c r="UXF115" i="62"/>
  <c r="UXD115" i="62"/>
  <c r="UXB115" i="62"/>
  <c r="UWZ115" i="62"/>
  <c r="UWX115" i="62"/>
  <c r="UWV115" i="62"/>
  <c r="UWT115" i="62"/>
  <c r="UWR115" i="62"/>
  <c r="UWP115" i="62"/>
  <c r="UWN115" i="62"/>
  <c r="UWL115" i="62"/>
  <c r="UWJ115" i="62"/>
  <c r="UWH115" i="62"/>
  <c r="UWF115" i="62"/>
  <c r="UWD115" i="62"/>
  <c r="UWB115" i="62"/>
  <c r="UVZ115" i="62"/>
  <c r="UVX115" i="62"/>
  <c r="UVV115" i="62"/>
  <c r="UVT115" i="62"/>
  <c r="UVR115" i="62"/>
  <c r="UVP115" i="62"/>
  <c r="UVN115" i="62"/>
  <c r="UVL115" i="62"/>
  <c r="UVJ115" i="62"/>
  <c r="UVH115" i="62"/>
  <c r="UVF115" i="62"/>
  <c r="UVD115" i="62"/>
  <c r="UVB115" i="62"/>
  <c r="UUZ115" i="62"/>
  <c r="UUX115" i="62"/>
  <c r="UUV115" i="62"/>
  <c r="UUT115" i="62"/>
  <c r="UUR115" i="62"/>
  <c r="UUP115" i="62"/>
  <c r="UUN115" i="62"/>
  <c r="UUL115" i="62"/>
  <c r="UUJ115" i="62"/>
  <c r="UUH115" i="62"/>
  <c r="UUF115" i="62"/>
  <c r="UUD115" i="62"/>
  <c r="UUB115" i="62"/>
  <c r="UTZ115" i="62"/>
  <c r="UTX115" i="62"/>
  <c r="UTV115" i="62"/>
  <c r="UTT115" i="62"/>
  <c r="UTR115" i="62"/>
  <c r="UTP115" i="62"/>
  <c r="UTN115" i="62"/>
  <c r="UTL115" i="62"/>
  <c r="UTJ115" i="62"/>
  <c r="UTH115" i="62"/>
  <c r="UTF115" i="62"/>
  <c r="UTD115" i="62"/>
  <c r="UTB115" i="62"/>
  <c r="USZ115" i="62"/>
  <c r="USX115" i="62"/>
  <c r="USV115" i="62"/>
  <c r="UST115" i="62"/>
  <c r="USR115" i="62"/>
  <c r="USP115" i="62"/>
  <c r="USN115" i="62"/>
  <c r="USL115" i="62"/>
  <c r="USJ115" i="62"/>
  <c r="USH115" i="62"/>
  <c r="USF115" i="62"/>
  <c r="USD115" i="62"/>
  <c r="USB115" i="62"/>
  <c r="URZ115" i="62"/>
  <c r="URX115" i="62"/>
  <c r="URV115" i="62"/>
  <c r="URT115" i="62"/>
  <c r="URR115" i="62"/>
  <c r="URP115" i="62"/>
  <c r="URN115" i="62"/>
  <c r="URL115" i="62"/>
  <c r="URJ115" i="62"/>
  <c r="URH115" i="62"/>
  <c r="URF115" i="62"/>
  <c r="URD115" i="62"/>
  <c r="URB115" i="62"/>
  <c r="UQZ115" i="62"/>
  <c r="UQX115" i="62"/>
  <c r="UQV115" i="62"/>
  <c r="UQT115" i="62"/>
  <c r="UQR115" i="62"/>
  <c r="UQP115" i="62"/>
  <c r="UQN115" i="62"/>
  <c r="UQL115" i="62"/>
  <c r="UQJ115" i="62"/>
  <c r="UQH115" i="62"/>
  <c r="UQF115" i="62"/>
  <c r="UQD115" i="62"/>
  <c r="UQB115" i="62"/>
  <c r="UPZ115" i="62"/>
  <c r="UPX115" i="62"/>
  <c r="UPV115" i="62"/>
  <c r="UPT115" i="62"/>
  <c r="UPR115" i="62"/>
  <c r="UPP115" i="62"/>
  <c r="UPN115" i="62"/>
  <c r="UPL115" i="62"/>
  <c r="UPJ115" i="62"/>
  <c r="UPH115" i="62"/>
  <c r="UPF115" i="62"/>
  <c r="UPD115" i="62"/>
  <c r="UPB115" i="62"/>
  <c r="UOZ115" i="62"/>
  <c r="UOX115" i="62"/>
  <c r="UOV115" i="62"/>
  <c r="UOT115" i="62"/>
  <c r="UOR115" i="62"/>
  <c r="UOP115" i="62"/>
  <c r="UON115" i="62"/>
  <c r="UOL115" i="62"/>
  <c r="UOJ115" i="62"/>
  <c r="UOH115" i="62"/>
  <c r="UOF115" i="62"/>
  <c r="UOD115" i="62"/>
  <c r="UOB115" i="62"/>
  <c r="UNZ115" i="62"/>
  <c r="UNX115" i="62"/>
  <c r="UNV115" i="62"/>
  <c r="UNT115" i="62"/>
  <c r="UNR115" i="62"/>
  <c r="UNP115" i="62"/>
  <c r="UNN115" i="62"/>
  <c r="UNL115" i="62"/>
  <c r="UNJ115" i="62"/>
  <c r="UNH115" i="62"/>
  <c r="UNF115" i="62"/>
  <c r="UND115" i="62"/>
  <c r="UNB115" i="62"/>
  <c r="UMZ115" i="62"/>
  <c r="UMX115" i="62"/>
  <c r="UMV115" i="62"/>
  <c r="UMT115" i="62"/>
  <c r="UMR115" i="62"/>
  <c r="UMP115" i="62"/>
  <c r="UMN115" i="62"/>
  <c r="UML115" i="62"/>
  <c r="UMJ115" i="62"/>
  <c r="UMH115" i="62"/>
  <c r="UMF115" i="62"/>
  <c r="UMD115" i="62"/>
  <c r="UMB115" i="62"/>
  <c r="ULZ115" i="62"/>
  <c r="ULX115" i="62"/>
  <c r="ULV115" i="62"/>
  <c r="ULT115" i="62"/>
  <c r="ULR115" i="62"/>
  <c r="ULP115" i="62"/>
  <c r="ULN115" i="62"/>
  <c r="ULL115" i="62"/>
  <c r="ULJ115" i="62"/>
  <c r="ULH115" i="62"/>
  <c r="ULF115" i="62"/>
  <c r="ULD115" i="62"/>
  <c r="ULB115" i="62"/>
  <c r="UKZ115" i="62"/>
  <c r="UKX115" i="62"/>
  <c r="UKV115" i="62"/>
  <c r="UKT115" i="62"/>
  <c r="UKR115" i="62"/>
  <c r="UKP115" i="62"/>
  <c r="UKN115" i="62"/>
  <c r="UKL115" i="62"/>
  <c r="UKJ115" i="62"/>
  <c r="UKH115" i="62"/>
  <c r="UKF115" i="62"/>
  <c r="UKD115" i="62"/>
  <c r="UKB115" i="62"/>
  <c r="UJZ115" i="62"/>
  <c r="UJX115" i="62"/>
  <c r="UJV115" i="62"/>
  <c r="UJT115" i="62"/>
  <c r="UJR115" i="62"/>
  <c r="UJP115" i="62"/>
  <c r="UJN115" i="62"/>
  <c r="UJL115" i="62"/>
  <c r="UJJ115" i="62"/>
  <c r="UJH115" i="62"/>
  <c r="UJF115" i="62"/>
  <c r="UJD115" i="62"/>
  <c r="UJB115" i="62"/>
  <c r="UIZ115" i="62"/>
  <c r="UIX115" i="62"/>
  <c r="UIV115" i="62"/>
  <c r="UIT115" i="62"/>
  <c r="UIR115" i="62"/>
  <c r="UIP115" i="62"/>
  <c r="UIN115" i="62"/>
  <c r="UIL115" i="62"/>
  <c r="UIJ115" i="62"/>
  <c r="UIH115" i="62"/>
  <c r="UIF115" i="62"/>
  <c r="UID115" i="62"/>
  <c r="UIB115" i="62"/>
  <c r="UHZ115" i="62"/>
  <c r="UHX115" i="62"/>
  <c r="UHV115" i="62"/>
  <c r="UHT115" i="62"/>
  <c r="UHR115" i="62"/>
  <c r="UHP115" i="62"/>
  <c r="UHN115" i="62"/>
  <c r="UHL115" i="62"/>
  <c r="UHJ115" i="62"/>
  <c r="UHH115" i="62"/>
  <c r="UHF115" i="62"/>
  <c r="UHD115" i="62"/>
  <c r="UHB115" i="62"/>
  <c r="UGZ115" i="62"/>
  <c r="UGX115" i="62"/>
  <c r="UGV115" i="62"/>
  <c r="UGT115" i="62"/>
  <c r="UGR115" i="62"/>
  <c r="UGP115" i="62"/>
  <c r="UGN115" i="62"/>
  <c r="UGL115" i="62"/>
  <c r="UGJ115" i="62"/>
  <c r="UGH115" i="62"/>
  <c r="UGF115" i="62"/>
  <c r="UGD115" i="62"/>
  <c r="UGB115" i="62"/>
  <c r="UFZ115" i="62"/>
  <c r="UFX115" i="62"/>
  <c r="UFV115" i="62"/>
  <c r="UFT115" i="62"/>
  <c r="UFR115" i="62"/>
  <c r="UFP115" i="62"/>
  <c r="UFN115" i="62"/>
  <c r="UFL115" i="62"/>
  <c r="UFJ115" i="62"/>
  <c r="UFH115" i="62"/>
  <c r="UFF115" i="62"/>
  <c r="UFD115" i="62"/>
  <c r="UFB115" i="62"/>
  <c r="UEZ115" i="62"/>
  <c r="UEX115" i="62"/>
  <c r="UEV115" i="62"/>
  <c r="UET115" i="62"/>
  <c r="UER115" i="62"/>
  <c r="UEP115" i="62"/>
  <c r="UEN115" i="62"/>
  <c r="UEL115" i="62"/>
  <c r="UEJ115" i="62"/>
  <c r="UEH115" i="62"/>
  <c r="UEF115" i="62"/>
  <c r="UED115" i="62"/>
  <c r="UEB115" i="62"/>
  <c r="UDZ115" i="62"/>
  <c r="UDX115" i="62"/>
  <c r="UDV115" i="62"/>
  <c r="UDT115" i="62"/>
  <c r="UDR115" i="62"/>
  <c r="UDP115" i="62"/>
  <c r="UDN115" i="62"/>
  <c r="UDL115" i="62"/>
  <c r="UDJ115" i="62"/>
  <c r="UDH115" i="62"/>
  <c r="UDF115" i="62"/>
  <c r="UDD115" i="62"/>
  <c r="UDB115" i="62"/>
  <c r="UCZ115" i="62"/>
  <c r="UCX115" i="62"/>
  <c r="UCV115" i="62"/>
  <c r="UCT115" i="62"/>
  <c r="UCR115" i="62"/>
  <c r="UCP115" i="62"/>
  <c r="UCN115" i="62"/>
  <c r="UCL115" i="62"/>
  <c r="UCJ115" i="62"/>
  <c r="UCH115" i="62"/>
  <c r="UCF115" i="62"/>
  <c r="UCD115" i="62"/>
  <c r="UCB115" i="62"/>
  <c r="UBZ115" i="62"/>
  <c r="UBX115" i="62"/>
  <c r="UBV115" i="62"/>
  <c r="UBT115" i="62"/>
  <c r="UBR115" i="62"/>
  <c r="UBP115" i="62"/>
  <c r="UBN115" i="62"/>
  <c r="UBL115" i="62"/>
  <c r="UBJ115" i="62"/>
  <c r="UBH115" i="62"/>
  <c r="UBF115" i="62"/>
  <c r="UBD115" i="62"/>
  <c r="UBB115" i="62"/>
  <c r="UAZ115" i="62"/>
  <c r="UAX115" i="62"/>
  <c r="UAV115" i="62"/>
  <c r="UAT115" i="62"/>
  <c r="UAR115" i="62"/>
  <c r="UAP115" i="62"/>
  <c r="UAN115" i="62"/>
  <c r="UAL115" i="62"/>
  <c r="UAJ115" i="62"/>
  <c r="UAH115" i="62"/>
  <c r="UAF115" i="62"/>
  <c r="UAD115" i="62"/>
  <c r="UAB115" i="62"/>
  <c r="TZZ115" i="62"/>
  <c r="TZX115" i="62"/>
  <c r="TZV115" i="62"/>
  <c r="TZT115" i="62"/>
  <c r="TZR115" i="62"/>
  <c r="TZP115" i="62"/>
  <c r="TZN115" i="62"/>
  <c r="TZL115" i="62"/>
  <c r="TZJ115" i="62"/>
  <c r="TZH115" i="62"/>
  <c r="TZF115" i="62"/>
  <c r="TZD115" i="62"/>
  <c r="TZB115" i="62"/>
  <c r="TYZ115" i="62"/>
  <c r="TYX115" i="62"/>
  <c r="TYV115" i="62"/>
  <c r="TYT115" i="62"/>
  <c r="TYR115" i="62"/>
  <c r="TYP115" i="62"/>
  <c r="TYN115" i="62"/>
  <c r="TYL115" i="62"/>
  <c r="TYJ115" i="62"/>
  <c r="TYH115" i="62"/>
  <c r="TYF115" i="62"/>
  <c r="TYD115" i="62"/>
  <c r="TYB115" i="62"/>
  <c r="TXZ115" i="62"/>
  <c r="TXX115" i="62"/>
  <c r="TXV115" i="62"/>
  <c r="TXT115" i="62"/>
  <c r="TXR115" i="62"/>
  <c r="TXP115" i="62"/>
  <c r="TXN115" i="62"/>
  <c r="TXL115" i="62"/>
  <c r="TXJ115" i="62"/>
  <c r="TXH115" i="62"/>
  <c r="TXF115" i="62"/>
  <c r="TXD115" i="62"/>
  <c r="TXB115" i="62"/>
  <c r="TWZ115" i="62"/>
  <c r="TWX115" i="62"/>
  <c r="TWV115" i="62"/>
  <c r="TWT115" i="62"/>
  <c r="TWR115" i="62"/>
  <c r="TWP115" i="62"/>
  <c r="TWN115" i="62"/>
  <c r="TWL115" i="62"/>
  <c r="TWJ115" i="62"/>
  <c r="TWH115" i="62"/>
  <c r="TWF115" i="62"/>
  <c r="TWD115" i="62"/>
  <c r="TWB115" i="62"/>
  <c r="TVZ115" i="62"/>
  <c r="TVX115" i="62"/>
  <c r="TVV115" i="62"/>
  <c r="TVT115" i="62"/>
  <c r="TVR115" i="62"/>
  <c r="TVP115" i="62"/>
  <c r="TVN115" i="62"/>
  <c r="TVL115" i="62"/>
  <c r="TVJ115" i="62"/>
  <c r="TVH115" i="62"/>
  <c r="TVF115" i="62"/>
  <c r="TVD115" i="62"/>
  <c r="TVB115" i="62"/>
  <c r="TUZ115" i="62"/>
  <c r="TUX115" i="62"/>
  <c r="TUV115" i="62"/>
  <c r="TUT115" i="62"/>
  <c r="TUR115" i="62"/>
  <c r="TUP115" i="62"/>
  <c r="TUN115" i="62"/>
  <c r="TUL115" i="62"/>
  <c r="TUJ115" i="62"/>
  <c r="TUH115" i="62"/>
  <c r="TUF115" i="62"/>
  <c r="TUD115" i="62"/>
  <c r="TUB115" i="62"/>
  <c r="TTZ115" i="62"/>
  <c r="TTX115" i="62"/>
  <c r="TTV115" i="62"/>
  <c r="TTT115" i="62"/>
  <c r="TTR115" i="62"/>
  <c r="TTP115" i="62"/>
  <c r="TTN115" i="62"/>
  <c r="TTL115" i="62"/>
  <c r="TTJ115" i="62"/>
  <c r="TTH115" i="62"/>
  <c r="TTF115" i="62"/>
  <c r="TTD115" i="62"/>
  <c r="TTB115" i="62"/>
  <c r="TSZ115" i="62"/>
  <c r="TSX115" i="62"/>
  <c r="TSV115" i="62"/>
  <c r="TST115" i="62"/>
  <c r="TSR115" i="62"/>
  <c r="TSP115" i="62"/>
  <c r="TSN115" i="62"/>
  <c r="TSL115" i="62"/>
  <c r="TSJ115" i="62"/>
  <c r="TSH115" i="62"/>
  <c r="TSF115" i="62"/>
  <c r="TSD115" i="62"/>
  <c r="TSB115" i="62"/>
  <c r="TRZ115" i="62"/>
  <c r="TRX115" i="62"/>
  <c r="TRV115" i="62"/>
  <c r="TRT115" i="62"/>
  <c r="TRR115" i="62"/>
  <c r="TRP115" i="62"/>
  <c r="TRN115" i="62"/>
  <c r="TRL115" i="62"/>
  <c r="TRJ115" i="62"/>
  <c r="TRH115" i="62"/>
  <c r="TRF115" i="62"/>
  <c r="TRD115" i="62"/>
  <c r="TRB115" i="62"/>
  <c r="TQZ115" i="62"/>
  <c r="TQX115" i="62"/>
  <c r="TQV115" i="62"/>
  <c r="TQT115" i="62"/>
  <c r="TQR115" i="62"/>
  <c r="TQP115" i="62"/>
  <c r="TQN115" i="62"/>
  <c r="TQL115" i="62"/>
  <c r="TQJ115" i="62"/>
  <c r="TQH115" i="62"/>
  <c r="TQF115" i="62"/>
  <c r="TQD115" i="62"/>
  <c r="TQB115" i="62"/>
  <c r="TPZ115" i="62"/>
  <c r="TPX115" i="62"/>
  <c r="TPV115" i="62"/>
  <c r="TPT115" i="62"/>
  <c r="TPR115" i="62"/>
  <c r="TPP115" i="62"/>
  <c r="TPN115" i="62"/>
  <c r="TPL115" i="62"/>
  <c r="TPJ115" i="62"/>
  <c r="TPH115" i="62"/>
  <c r="TPF115" i="62"/>
  <c r="TPD115" i="62"/>
  <c r="TPB115" i="62"/>
  <c r="TOZ115" i="62"/>
  <c r="TOX115" i="62"/>
  <c r="TOV115" i="62"/>
  <c r="TOT115" i="62"/>
  <c r="TOR115" i="62"/>
  <c r="TOP115" i="62"/>
  <c r="TON115" i="62"/>
  <c r="TOL115" i="62"/>
  <c r="TOJ115" i="62"/>
  <c r="TOH115" i="62"/>
  <c r="TOF115" i="62"/>
  <c r="TOD115" i="62"/>
  <c r="TOB115" i="62"/>
  <c r="TNZ115" i="62"/>
  <c r="TNX115" i="62"/>
  <c r="TNV115" i="62"/>
  <c r="TNT115" i="62"/>
  <c r="TNR115" i="62"/>
  <c r="TNP115" i="62"/>
  <c r="TNN115" i="62"/>
  <c r="TNL115" i="62"/>
  <c r="TNJ115" i="62"/>
  <c r="TNH115" i="62"/>
  <c r="TNF115" i="62"/>
  <c r="TND115" i="62"/>
  <c r="TNB115" i="62"/>
  <c r="TMZ115" i="62"/>
  <c r="TMX115" i="62"/>
  <c r="TMV115" i="62"/>
  <c r="TMT115" i="62"/>
  <c r="TMR115" i="62"/>
  <c r="TMP115" i="62"/>
  <c r="TMN115" i="62"/>
  <c r="TML115" i="62"/>
  <c r="TMJ115" i="62"/>
  <c r="TMH115" i="62"/>
  <c r="TMF115" i="62"/>
  <c r="TMD115" i="62"/>
  <c r="TMB115" i="62"/>
  <c r="TLZ115" i="62"/>
  <c r="TLX115" i="62"/>
  <c r="TLV115" i="62"/>
  <c r="TLT115" i="62"/>
  <c r="TLR115" i="62"/>
  <c r="TLP115" i="62"/>
  <c r="TLN115" i="62"/>
  <c r="TLL115" i="62"/>
  <c r="TLJ115" i="62"/>
  <c r="TLH115" i="62"/>
  <c r="TLF115" i="62"/>
  <c r="TLD115" i="62"/>
  <c r="TLB115" i="62"/>
  <c r="TKZ115" i="62"/>
  <c r="TKX115" i="62"/>
  <c r="TKV115" i="62"/>
  <c r="TKT115" i="62"/>
  <c r="TKR115" i="62"/>
  <c r="TKP115" i="62"/>
  <c r="TKN115" i="62"/>
  <c r="TKL115" i="62"/>
  <c r="TKJ115" i="62"/>
  <c r="TKH115" i="62"/>
  <c r="TKF115" i="62"/>
  <c r="TKD115" i="62"/>
  <c r="TKB115" i="62"/>
  <c r="TJZ115" i="62"/>
  <c r="TJX115" i="62"/>
  <c r="TJV115" i="62"/>
  <c r="TJT115" i="62"/>
  <c r="TJR115" i="62"/>
  <c r="TJP115" i="62"/>
  <c r="TJN115" i="62"/>
  <c r="TJL115" i="62"/>
  <c r="TJJ115" i="62"/>
  <c r="TJH115" i="62"/>
  <c r="TJF115" i="62"/>
  <c r="TJD115" i="62"/>
  <c r="TJB115" i="62"/>
  <c r="TIZ115" i="62"/>
  <c r="TIX115" i="62"/>
  <c r="TIV115" i="62"/>
  <c r="TIT115" i="62"/>
  <c r="TIR115" i="62"/>
  <c r="TIP115" i="62"/>
  <c r="TIN115" i="62"/>
  <c r="TIL115" i="62"/>
  <c r="TIJ115" i="62"/>
  <c r="TIH115" i="62"/>
  <c r="TIF115" i="62"/>
  <c r="TID115" i="62"/>
  <c r="TIB115" i="62"/>
  <c r="THZ115" i="62"/>
  <c r="THX115" i="62"/>
  <c r="THV115" i="62"/>
  <c r="THT115" i="62"/>
  <c r="THR115" i="62"/>
  <c r="THP115" i="62"/>
  <c r="THN115" i="62"/>
  <c r="THL115" i="62"/>
  <c r="THJ115" i="62"/>
  <c r="THH115" i="62"/>
  <c r="THF115" i="62"/>
  <c r="THD115" i="62"/>
  <c r="THB115" i="62"/>
  <c r="TGZ115" i="62"/>
  <c r="TGX115" i="62"/>
  <c r="TGV115" i="62"/>
  <c r="TGT115" i="62"/>
  <c r="TGR115" i="62"/>
  <c r="TGP115" i="62"/>
  <c r="TGN115" i="62"/>
  <c r="TGL115" i="62"/>
  <c r="TGJ115" i="62"/>
  <c r="TGH115" i="62"/>
  <c r="TGF115" i="62"/>
  <c r="TGD115" i="62"/>
  <c r="TGB115" i="62"/>
  <c r="TFZ115" i="62"/>
  <c r="TFX115" i="62"/>
  <c r="TFV115" i="62"/>
  <c r="TFT115" i="62"/>
  <c r="TFR115" i="62"/>
  <c r="TFP115" i="62"/>
  <c r="TFN115" i="62"/>
  <c r="TFL115" i="62"/>
  <c r="TFJ115" i="62"/>
  <c r="TFH115" i="62"/>
  <c r="TFF115" i="62"/>
  <c r="TFD115" i="62"/>
  <c r="TFB115" i="62"/>
  <c r="TEZ115" i="62"/>
  <c r="TEX115" i="62"/>
  <c r="TEV115" i="62"/>
  <c r="TET115" i="62"/>
  <c r="TER115" i="62"/>
  <c r="TEP115" i="62"/>
  <c r="TEN115" i="62"/>
  <c r="TEL115" i="62"/>
  <c r="TEJ115" i="62"/>
  <c r="TEH115" i="62"/>
  <c r="TEF115" i="62"/>
  <c r="TED115" i="62"/>
  <c r="TEB115" i="62"/>
  <c r="TDZ115" i="62"/>
  <c r="TDX115" i="62"/>
  <c r="TDV115" i="62"/>
  <c r="TDT115" i="62"/>
  <c r="TDR115" i="62"/>
  <c r="TDP115" i="62"/>
  <c r="TDN115" i="62"/>
  <c r="TDL115" i="62"/>
  <c r="TDJ115" i="62"/>
  <c r="TDH115" i="62"/>
  <c r="TDF115" i="62"/>
  <c r="TDD115" i="62"/>
  <c r="TDB115" i="62"/>
  <c r="TCZ115" i="62"/>
  <c r="TCX115" i="62"/>
  <c r="TCV115" i="62"/>
  <c r="TCT115" i="62"/>
  <c r="TCR115" i="62"/>
  <c r="TCP115" i="62"/>
  <c r="TCN115" i="62"/>
  <c r="TCL115" i="62"/>
  <c r="TCJ115" i="62"/>
  <c r="TCH115" i="62"/>
  <c r="TCF115" i="62"/>
  <c r="TCD115" i="62"/>
  <c r="TCB115" i="62"/>
  <c r="TBZ115" i="62"/>
  <c r="TBX115" i="62"/>
  <c r="TBV115" i="62"/>
  <c r="TBT115" i="62"/>
  <c r="TBR115" i="62"/>
  <c r="TBP115" i="62"/>
  <c r="TBN115" i="62"/>
  <c r="TBL115" i="62"/>
  <c r="TBJ115" i="62"/>
  <c r="TBH115" i="62"/>
  <c r="TBF115" i="62"/>
  <c r="TBD115" i="62"/>
  <c r="TBB115" i="62"/>
  <c r="TAZ115" i="62"/>
  <c r="TAX115" i="62"/>
  <c r="TAV115" i="62"/>
  <c r="TAT115" i="62"/>
  <c r="TAR115" i="62"/>
  <c r="TAP115" i="62"/>
  <c r="TAN115" i="62"/>
  <c r="TAL115" i="62"/>
  <c r="TAJ115" i="62"/>
  <c r="TAH115" i="62"/>
  <c r="TAF115" i="62"/>
  <c r="TAD115" i="62"/>
  <c r="TAB115" i="62"/>
  <c r="SZZ115" i="62"/>
  <c r="SZX115" i="62"/>
  <c r="SZV115" i="62"/>
  <c r="SZT115" i="62"/>
  <c r="SZR115" i="62"/>
  <c r="SZP115" i="62"/>
  <c r="SZN115" i="62"/>
  <c r="SZL115" i="62"/>
  <c r="SZJ115" i="62"/>
  <c r="SZH115" i="62"/>
  <c r="SZF115" i="62"/>
  <c r="SZD115" i="62"/>
  <c r="SZB115" i="62"/>
  <c r="SYZ115" i="62"/>
  <c r="SYX115" i="62"/>
  <c r="SYV115" i="62"/>
  <c r="SYT115" i="62"/>
  <c r="SYR115" i="62"/>
  <c r="SYP115" i="62"/>
  <c r="SYN115" i="62"/>
  <c r="SYL115" i="62"/>
  <c r="SYJ115" i="62"/>
  <c r="SYH115" i="62"/>
  <c r="SYF115" i="62"/>
  <c r="SYD115" i="62"/>
  <c r="SYB115" i="62"/>
  <c r="SXZ115" i="62"/>
  <c r="SXX115" i="62"/>
  <c r="SXV115" i="62"/>
  <c r="SXT115" i="62"/>
  <c r="SXR115" i="62"/>
  <c r="SXP115" i="62"/>
  <c r="SXN115" i="62"/>
  <c r="SXL115" i="62"/>
  <c r="SXJ115" i="62"/>
  <c r="SXH115" i="62"/>
  <c r="SXF115" i="62"/>
  <c r="SXD115" i="62"/>
  <c r="SXB115" i="62"/>
  <c r="SWZ115" i="62"/>
  <c r="SWX115" i="62"/>
  <c r="SWV115" i="62"/>
  <c r="SWT115" i="62"/>
  <c r="SWR115" i="62"/>
  <c r="SWP115" i="62"/>
  <c r="SWN115" i="62"/>
  <c r="SWL115" i="62"/>
  <c r="SWJ115" i="62"/>
  <c r="SWH115" i="62"/>
  <c r="SWF115" i="62"/>
  <c r="SWD115" i="62"/>
  <c r="SWB115" i="62"/>
  <c r="SVZ115" i="62"/>
  <c r="SVX115" i="62"/>
  <c r="SVV115" i="62"/>
  <c r="SVT115" i="62"/>
  <c r="SVR115" i="62"/>
  <c r="SVP115" i="62"/>
  <c r="SVN115" i="62"/>
  <c r="SVL115" i="62"/>
  <c r="SVJ115" i="62"/>
  <c r="SVH115" i="62"/>
  <c r="SVF115" i="62"/>
  <c r="SVD115" i="62"/>
  <c r="SVB115" i="62"/>
  <c r="SUZ115" i="62"/>
  <c r="SUX115" i="62"/>
  <c r="SUV115" i="62"/>
  <c r="SUT115" i="62"/>
  <c r="SUR115" i="62"/>
  <c r="SUP115" i="62"/>
  <c r="SUN115" i="62"/>
  <c r="SUL115" i="62"/>
  <c r="SUJ115" i="62"/>
  <c r="SUH115" i="62"/>
  <c r="SUF115" i="62"/>
  <c r="SUD115" i="62"/>
  <c r="SUB115" i="62"/>
  <c r="STZ115" i="62"/>
  <c r="STX115" i="62"/>
  <c r="STV115" i="62"/>
  <c r="STT115" i="62"/>
  <c r="STR115" i="62"/>
  <c r="STP115" i="62"/>
  <c r="STN115" i="62"/>
  <c r="STL115" i="62"/>
  <c r="STJ115" i="62"/>
  <c r="STH115" i="62"/>
  <c r="STF115" i="62"/>
  <c r="STD115" i="62"/>
  <c r="STB115" i="62"/>
  <c r="SSZ115" i="62"/>
  <c r="SSX115" i="62"/>
  <c r="SSV115" i="62"/>
  <c r="SST115" i="62"/>
  <c r="SSR115" i="62"/>
  <c r="SSP115" i="62"/>
  <c r="SSN115" i="62"/>
  <c r="SSL115" i="62"/>
  <c r="SSJ115" i="62"/>
  <c r="SSH115" i="62"/>
  <c r="SSF115" i="62"/>
  <c r="SSD115" i="62"/>
  <c r="SSB115" i="62"/>
  <c r="SRZ115" i="62"/>
  <c r="SRX115" i="62"/>
  <c r="SRV115" i="62"/>
  <c r="SRT115" i="62"/>
  <c r="SRR115" i="62"/>
  <c r="SRP115" i="62"/>
  <c r="SRN115" i="62"/>
  <c r="SRL115" i="62"/>
  <c r="SRJ115" i="62"/>
  <c r="SRH115" i="62"/>
  <c r="SRF115" i="62"/>
  <c r="SRD115" i="62"/>
  <c r="SRB115" i="62"/>
  <c r="SQZ115" i="62"/>
  <c r="SQX115" i="62"/>
  <c r="SQV115" i="62"/>
  <c r="SQT115" i="62"/>
  <c r="SQR115" i="62"/>
  <c r="SQP115" i="62"/>
  <c r="SQN115" i="62"/>
  <c r="SQL115" i="62"/>
  <c r="SQJ115" i="62"/>
  <c r="SQH115" i="62"/>
  <c r="SQF115" i="62"/>
  <c r="SQD115" i="62"/>
  <c r="SQB115" i="62"/>
  <c r="SPZ115" i="62"/>
  <c r="SPX115" i="62"/>
  <c r="SPV115" i="62"/>
  <c r="SPT115" i="62"/>
  <c r="SPR115" i="62"/>
  <c r="SPP115" i="62"/>
  <c r="SPN115" i="62"/>
  <c r="SPL115" i="62"/>
  <c r="SPJ115" i="62"/>
  <c r="SPH115" i="62"/>
  <c r="SPF115" i="62"/>
  <c r="SPD115" i="62"/>
  <c r="SPB115" i="62"/>
  <c r="SOZ115" i="62"/>
  <c r="SOX115" i="62"/>
  <c r="SOV115" i="62"/>
  <c r="SOT115" i="62"/>
  <c r="SOR115" i="62"/>
  <c r="SOP115" i="62"/>
  <c r="SON115" i="62"/>
  <c r="SOL115" i="62"/>
  <c r="SOJ115" i="62"/>
  <c r="SOH115" i="62"/>
  <c r="SOF115" i="62"/>
  <c r="SOD115" i="62"/>
  <c r="SOB115" i="62"/>
  <c r="SNZ115" i="62"/>
  <c r="SNX115" i="62"/>
  <c r="SNV115" i="62"/>
  <c r="SNT115" i="62"/>
  <c r="SNR115" i="62"/>
  <c r="SNP115" i="62"/>
  <c r="SNN115" i="62"/>
  <c r="SNL115" i="62"/>
  <c r="SNJ115" i="62"/>
  <c r="SNH115" i="62"/>
  <c r="SNF115" i="62"/>
  <c r="SND115" i="62"/>
  <c r="SNB115" i="62"/>
  <c r="SMZ115" i="62"/>
  <c r="SMX115" i="62"/>
  <c r="SMV115" i="62"/>
  <c r="SMT115" i="62"/>
  <c r="SMR115" i="62"/>
  <c r="SMP115" i="62"/>
  <c r="SMN115" i="62"/>
  <c r="SML115" i="62"/>
  <c r="SMJ115" i="62"/>
  <c r="SMH115" i="62"/>
  <c r="SMF115" i="62"/>
  <c r="SMD115" i="62"/>
  <c r="SMB115" i="62"/>
  <c r="SLZ115" i="62"/>
  <c r="SLX115" i="62"/>
  <c r="SLV115" i="62"/>
  <c r="SLT115" i="62"/>
  <c r="SLR115" i="62"/>
  <c r="SLP115" i="62"/>
  <c r="SLN115" i="62"/>
  <c r="SLL115" i="62"/>
  <c r="SLJ115" i="62"/>
  <c r="SLH115" i="62"/>
  <c r="SLF115" i="62"/>
  <c r="SLD115" i="62"/>
  <c r="SLB115" i="62"/>
  <c r="SKZ115" i="62"/>
  <c r="SKX115" i="62"/>
  <c r="SKV115" i="62"/>
  <c r="SKT115" i="62"/>
  <c r="SKR115" i="62"/>
  <c r="SKP115" i="62"/>
  <c r="SKN115" i="62"/>
  <c r="SKL115" i="62"/>
  <c r="SKJ115" i="62"/>
  <c r="SKH115" i="62"/>
  <c r="SKF115" i="62"/>
  <c r="SKD115" i="62"/>
  <c r="SKB115" i="62"/>
  <c r="SJZ115" i="62"/>
  <c r="SJX115" i="62"/>
  <c r="SJV115" i="62"/>
  <c r="SJT115" i="62"/>
  <c r="SJR115" i="62"/>
  <c r="SJP115" i="62"/>
  <c r="SJN115" i="62"/>
  <c r="SJL115" i="62"/>
  <c r="SJJ115" i="62"/>
  <c r="SJH115" i="62"/>
  <c r="SJF115" i="62"/>
  <c r="SJD115" i="62"/>
  <c r="SJB115" i="62"/>
  <c r="SIZ115" i="62"/>
  <c r="SIX115" i="62"/>
  <c r="SIV115" i="62"/>
  <c r="SIT115" i="62"/>
  <c r="SIR115" i="62"/>
  <c r="SIP115" i="62"/>
  <c r="SIN115" i="62"/>
  <c r="SIL115" i="62"/>
  <c r="SIJ115" i="62"/>
  <c r="SIH115" i="62"/>
  <c r="SIF115" i="62"/>
  <c r="SID115" i="62"/>
  <c r="SIB115" i="62"/>
  <c r="SHZ115" i="62"/>
  <c r="SHX115" i="62"/>
  <c r="SHV115" i="62"/>
  <c r="SHT115" i="62"/>
  <c r="SHR115" i="62"/>
  <c r="SHP115" i="62"/>
  <c r="SHN115" i="62"/>
  <c r="SHL115" i="62"/>
  <c r="SHJ115" i="62"/>
  <c r="SHH115" i="62"/>
  <c r="SHF115" i="62"/>
  <c r="SHD115" i="62"/>
  <c r="SHB115" i="62"/>
  <c r="SGZ115" i="62"/>
  <c r="SGX115" i="62"/>
  <c r="SGV115" i="62"/>
  <c r="SGT115" i="62"/>
  <c r="SGR115" i="62"/>
  <c r="SGP115" i="62"/>
  <c r="SGN115" i="62"/>
  <c r="SGL115" i="62"/>
  <c r="SGJ115" i="62"/>
  <c r="SGH115" i="62"/>
  <c r="SGF115" i="62"/>
  <c r="SGD115" i="62"/>
  <c r="SGB115" i="62"/>
  <c r="SFZ115" i="62"/>
  <c r="SFX115" i="62"/>
  <c r="SFV115" i="62"/>
  <c r="SFT115" i="62"/>
  <c r="SFR115" i="62"/>
  <c r="SFP115" i="62"/>
  <c r="SFN115" i="62"/>
  <c r="SFL115" i="62"/>
  <c r="SFJ115" i="62"/>
  <c r="SFH115" i="62"/>
  <c r="SFF115" i="62"/>
  <c r="SFD115" i="62"/>
  <c r="SFB115" i="62"/>
  <c r="SEZ115" i="62"/>
  <c r="SEX115" i="62"/>
  <c r="SEV115" i="62"/>
  <c r="SET115" i="62"/>
  <c r="SER115" i="62"/>
  <c r="SEP115" i="62"/>
  <c r="SEN115" i="62"/>
  <c r="SEL115" i="62"/>
  <c r="SEJ115" i="62"/>
  <c r="SEH115" i="62"/>
  <c r="SEF115" i="62"/>
  <c r="SED115" i="62"/>
  <c r="SEB115" i="62"/>
  <c r="SDZ115" i="62"/>
  <c r="SDX115" i="62"/>
  <c r="SDV115" i="62"/>
  <c r="SDT115" i="62"/>
  <c r="SDR115" i="62"/>
  <c r="SDP115" i="62"/>
  <c r="SDN115" i="62"/>
  <c r="SDL115" i="62"/>
  <c r="SDJ115" i="62"/>
  <c r="SDH115" i="62"/>
  <c r="SDF115" i="62"/>
  <c r="SDD115" i="62"/>
  <c r="SDB115" i="62"/>
  <c r="SCZ115" i="62"/>
  <c r="SCX115" i="62"/>
  <c r="SCV115" i="62"/>
  <c r="SCT115" i="62"/>
  <c r="SCR115" i="62"/>
  <c r="SCP115" i="62"/>
  <c r="SCN115" i="62"/>
  <c r="SCL115" i="62"/>
  <c r="SCJ115" i="62"/>
  <c r="SCH115" i="62"/>
  <c r="SCF115" i="62"/>
  <c r="SCD115" i="62"/>
  <c r="SCB115" i="62"/>
  <c r="SBZ115" i="62"/>
  <c r="SBX115" i="62"/>
  <c r="SBV115" i="62"/>
  <c r="SBT115" i="62"/>
  <c r="SBR115" i="62"/>
  <c r="SBP115" i="62"/>
  <c r="SBN115" i="62"/>
  <c r="SBL115" i="62"/>
  <c r="SBJ115" i="62"/>
  <c r="SBH115" i="62"/>
  <c r="SBF115" i="62"/>
  <c r="SBD115" i="62"/>
  <c r="SBB115" i="62"/>
  <c r="SAZ115" i="62"/>
  <c r="SAX115" i="62"/>
  <c r="SAV115" i="62"/>
  <c r="SAT115" i="62"/>
  <c r="SAR115" i="62"/>
  <c r="SAP115" i="62"/>
  <c r="SAN115" i="62"/>
  <c r="SAL115" i="62"/>
  <c r="SAJ115" i="62"/>
  <c r="SAH115" i="62"/>
  <c r="SAF115" i="62"/>
  <c r="SAD115" i="62"/>
  <c r="SAB115" i="62"/>
  <c r="RZZ115" i="62"/>
  <c r="RZX115" i="62"/>
  <c r="RZV115" i="62"/>
  <c r="RZT115" i="62"/>
  <c r="RZR115" i="62"/>
  <c r="RZP115" i="62"/>
  <c r="RZN115" i="62"/>
  <c r="RZL115" i="62"/>
  <c r="RZJ115" i="62"/>
  <c r="RZH115" i="62"/>
  <c r="RZF115" i="62"/>
  <c r="RZD115" i="62"/>
  <c r="RZB115" i="62"/>
  <c r="RYZ115" i="62"/>
  <c r="RYX115" i="62"/>
  <c r="RYV115" i="62"/>
  <c r="RYT115" i="62"/>
  <c r="RYR115" i="62"/>
  <c r="RYP115" i="62"/>
  <c r="RYN115" i="62"/>
  <c r="RYL115" i="62"/>
  <c r="RYJ115" i="62"/>
  <c r="RYH115" i="62"/>
  <c r="RYF115" i="62"/>
  <c r="RYD115" i="62"/>
  <c r="RYB115" i="62"/>
  <c r="RXZ115" i="62"/>
  <c r="RXX115" i="62"/>
  <c r="RXV115" i="62"/>
  <c r="RXT115" i="62"/>
  <c r="RXR115" i="62"/>
  <c r="RXP115" i="62"/>
  <c r="RXN115" i="62"/>
  <c r="RXL115" i="62"/>
  <c r="RXJ115" i="62"/>
  <c r="RXH115" i="62"/>
  <c r="RXF115" i="62"/>
  <c r="RXD115" i="62"/>
  <c r="RXB115" i="62"/>
  <c r="RWZ115" i="62"/>
  <c r="RWX115" i="62"/>
  <c r="RWV115" i="62"/>
  <c r="RWT115" i="62"/>
  <c r="RWR115" i="62"/>
  <c r="RWP115" i="62"/>
  <c r="RWN115" i="62"/>
  <c r="RWL115" i="62"/>
  <c r="RWJ115" i="62"/>
  <c r="RWH115" i="62"/>
  <c r="RWF115" i="62"/>
  <c r="RWD115" i="62"/>
  <c r="RWB115" i="62"/>
  <c r="RVZ115" i="62"/>
  <c r="RVX115" i="62"/>
  <c r="RVV115" i="62"/>
  <c r="RVT115" i="62"/>
  <c r="RVR115" i="62"/>
  <c r="RVP115" i="62"/>
  <c r="RVN115" i="62"/>
  <c r="RVL115" i="62"/>
  <c r="RVJ115" i="62"/>
  <c r="RVH115" i="62"/>
  <c r="RVF115" i="62"/>
  <c r="RVD115" i="62"/>
  <c r="RVB115" i="62"/>
  <c r="RUZ115" i="62"/>
  <c r="RUX115" i="62"/>
  <c r="RUV115" i="62"/>
  <c r="RUT115" i="62"/>
  <c r="RUR115" i="62"/>
  <c r="RUP115" i="62"/>
  <c r="RUN115" i="62"/>
  <c r="RUL115" i="62"/>
  <c r="RUJ115" i="62"/>
  <c r="RUH115" i="62"/>
  <c r="RUF115" i="62"/>
  <c r="RUD115" i="62"/>
  <c r="RUB115" i="62"/>
  <c r="RTZ115" i="62"/>
  <c r="RTX115" i="62"/>
  <c r="RTV115" i="62"/>
  <c r="RTT115" i="62"/>
  <c r="RTR115" i="62"/>
  <c r="RTP115" i="62"/>
  <c r="RTN115" i="62"/>
  <c r="RTL115" i="62"/>
  <c r="RTJ115" i="62"/>
  <c r="RTH115" i="62"/>
  <c r="RTF115" i="62"/>
  <c r="RTD115" i="62"/>
  <c r="RTB115" i="62"/>
  <c r="RSZ115" i="62"/>
  <c r="RSX115" i="62"/>
  <c r="RSV115" i="62"/>
  <c r="RST115" i="62"/>
  <c r="RSR115" i="62"/>
  <c r="RSP115" i="62"/>
  <c r="RSN115" i="62"/>
  <c r="RSL115" i="62"/>
  <c r="RSJ115" i="62"/>
  <c r="RSH115" i="62"/>
  <c r="RSF115" i="62"/>
  <c r="RSD115" i="62"/>
  <c r="RSB115" i="62"/>
  <c r="RRZ115" i="62"/>
  <c r="RRX115" i="62"/>
  <c r="RRV115" i="62"/>
  <c r="RRT115" i="62"/>
  <c r="RRR115" i="62"/>
  <c r="RRP115" i="62"/>
  <c r="RRN115" i="62"/>
  <c r="RRL115" i="62"/>
  <c r="RRJ115" i="62"/>
  <c r="RRH115" i="62"/>
  <c r="RRF115" i="62"/>
  <c r="RRD115" i="62"/>
  <c r="RRB115" i="62"/>
  <c r="RQZ115" i="62"/>
  <c r="RQX115" i="62"/>
  <c r="RQV115" i="62"/>
  <c r="RQT115" i="62"/>
  <c r="RQR115" i="62"/>
  <c r="RQP115" i="62"/>
  <c r="RQN115" i="62"/>
  <c r="RQL115" i="62"/>
  <c r="RQJ115" i="62"/>
  <c r="RQH115" i="62"/>
  <c r="RQF115" i="62"/>
  <c r="RQD115" i="62"/>
  <c r="RQB115" i="62"/>
  <c r="RPZ115" i="62"/>
  <c r="RPX115" i="62"/>
  <c r="RPV115" i="62"/>
  <c r="RPT115" i="62"/>
  <c r="RPR115" i="62"/>
  <c r="RPP115" i="62"/>
  <c r="RPN115" i="62"/>
  <c r="RPL115" i="62"/>
  <c r="RPJ115" i="62"/>
  <c r="RPH115" i="62"/>
  <c r="RPF115" i="62"/>
  <c r="RPD115" i="62"/>
  <c r="RPB115" i="62"/>
  <c r="ROZ115" i="62"/>
  <c r="ROX115" i="62"/>
  <c r="ROV115" i="62"/>
  <c r="ROT115" i="62"/>
  <c r="ROR115" i="62"/>
  <c r="ROP115" i="62"/>
  <c r="RON115" i="62"/>
  <c r="ROL115" i="62"/>
  <c r="ROJ115" i="62"/>
  <c r="ROH115" i="62"/>
  <c r="ROF115" i="62"/>
  <c r="ROD115" i="62"/>
  <c r="ROB115" i="62"/>
  <c r="RNZ115" i="62"/>
  <c r="RNX115" i="62"/>
  <c r="RNV115" i="62"/>
  <c r="RNT115" i="62"/>
  <c r="RNR115" i="62"/>
  <c r="RNP115" i="62"/>
  <c r="RNN115" i="62"/>
  <c r="RNL115" i="62"/>
  <c r="RNJ115" i="62"/>
  <c r="RNH115" i="62"/>
  <c r="RNF115" i="62"/>
  <c r="RND115" i="62"/>
  <c r="RNB115" i="62"/>
  <c r="RMZ115" i="62"/>
  <c r="RMX115" i="62"/>
  <c r="RMV115" i="62"/>
  <c r="RMT115" i="62"/>
  <c r="RMR115" i="62"/>
  <c r="RMP115" i="62"/>
  <c r="RMN115" i="62"/>
  <c r="RML115" i="62"/>
  <c r="RMJ115" i="62"/>
  <c r="RMH115" i="62"/>
  <c r="RMF115" i="62"/>
  <c r="RMD115" i="62"/>
  <c r="RMB115" i="62"/>
  <c r="RLZ115" i="62"/>
  <c r="RLX115" i="62"/>
  <c r="RLV115" i="62"/>
  <c r="RLT115" i="62"/>
  <c r="RLR115" i="62"/>
  <c r="RLP115" i="62"/>
  <c r="RLN115" i="62"/>
  <c r="RLL115" i="62"/>
  <c r="RLJ115" i="62"/>
  <c r="RLH115" i="62"/>
  <c r="RLF115" i="62"/>
  <c r="RLD115" i="62"/>
  <c r="RLB115" i="62"/>
  <c r="RKZ115" i="62"/>
  <c r="RKX115" i="62"/>
  <c r="RKV115" i="62"/>
  <c r="RKT115" i="62"/>
  <c r="RKR115" i="62"/>
  <c r="RKP115" i="62"/>
  <c r="RKN115" i="62"/>
  <c r="RKL115" i="62"/>
  <c r="RKJ115" i="62"/>
  <c r="RKH115" i="62"/>
  <c r="RKF115" i="62"/>
  <c r="RKD115" i="62"/>
  <c r="RKB115" i="62"/>
  <c r="RJZ115" i="62"/>
  <c r="RJX115" i="62"/>
  <c r="RJV115" i="62"/>
  <c r="RJT115" i="62"/>
  <c r="RJR115" i="62"/>
  <c r="RJP115" i="62"/>
  <c r="RJN115" i="62"/>
  <c r="RJL115" i="62"/>
  <c r="RJJ115" i="62"/>
  <c r="RJH115" i="62"/>
  <c r="RJF115" i="62"/>
  <c r="RJD115" i="62"/>
  <c r="RJB115" i="62"/>
  <c r="RIZ115" i="62"/>
  <c r="RIX115" i="62"/>
  <c r="RIV115" i="62"/>
  <c r="RIT115" i="62"/>
  <c r="RIR115" i="62"/>
  <c r="RIP115" i="62"/>
  <c r="RIN115" i="62"/>
  <c r="RIL115" i="62"/>
  <c r="RIJ115" i="62"/>
  <c r="RIH115" i="62"/>
  <c r="RIF115" i="62"/>
  <c r="RID115" i="62"/>
  <c r="RIB115" i="62"/>
  <c r="RHZ115" i="62"/>
  <c r="RHX115" i="62"/>
  <c r="RHV115" i="62"/>
  <c r="RHT115" i="62"/>
  <c r="RHR115" i="62"/>
  <c r="RHP115" i="62"/>
  <c r="RHN115" i="62"/>
  <c r="RHL115" i="62"/>
  <c r="RHJ115" i="62"/>
  <c r="RHH115" i="62"/>
  <c r="RHF115" i="62"/>
  <c r="RHD115" i="62"/>
  <c r="RHB115" i="62"/>
  <c r="RGZ115" i="62"/>
  <c r="RGX115" i="62"/>
  <c r="RGV115" i="62"/>
  <c r="RGT115" i="62"/>
  <c r="RGR115" i="62"/>
  <c r="RGP115" i="62"/>
  <c r="RGN115" i="62"/>
  <c r="RGL115" i="62"/>
  <c r="RGJ115" i="62"/>
  <c r="RGH115" i="62"/>
  <c r="RGF115" i="62"/>
  <c r="RGD115" i="62"/>
  <c r="RGB115" i="62"/>
  <c r="RFZ115" i="62"/>
  <c r="RFX115" i="62"/>
  <c r="RFV115" i="62"/>
  <c r="RFT115" i="62"/>
  <c r="RFR115" i="62"/>
  <c r="RFP115" i="62"/>
  <c r="RFN115" i="62"/>
  <c r="RFL115" i="62"/>
  <c r="RFJ115" i="62"/>
  <c r="RFH115" i="62"/>
  <c r="RFF115" i="62"/>
  <c r="RFD115" i="62"/>
  <c r="RFB115" i="62"/>
  <c r="REZ115" i="62"/>
  <c r="REX115" i="62"/>
  <c r="REV115" i="62"/>
  <c r="RET115" i="62"/>
  <c r="RER115" i="62"/>
  <c r="REP115" i="62"/>
  <c r="REN115" i="62"/>
  <c r="REL115" i="62"/>
  <c r="REJ115" i="62"/>
  <c r="REH115" i="62"/>
  <c r="REF115" i="62"/>
  <c r="RED115" i="62"/>
  <c r="REB115" i="62"/>
  <c r="RDZ115" i="62"/>
  <c r="RDX115" i="62"/>
  <c r="RDV115" i="62"/>
  <c r="RDT115" i="62"/>
  <c r="RDR115" i="62"/>
  <c r="RDP115" i="62"/>
  <c r="RDN115" i="62"/>
  <c r="RDL115" i="62"/>
  <c r="RDJ115" i="62"/>
  <c r="RDH115" i="62"/>
  <c r="RDF115" i="62"/>
  <c r="RDD115" i="62"/>
  <c r="RDB115" i="62"/>
  <c r="RCZ115" i="62"/>
  <c r="RCX115" i="62"/>
  <c r="RCV115" i="62"/>
  <c r="RCT115" i="62"/>
  <c r="RCR115" i="62"/>
  <c r="RCP115" i="62"/>
  <c r="RCN115" i="62"/>
  <c r="RCL115" i="62"/>
  <c r="RCJ115" i="62"/>
  <c r="RCH115" i="62"/>
  <c r="RCF115" i="62"/>
  <c r="RCD115" i="62"/>
  <c r="RCB115" i="62"/>
  <c r="RBZ115" i="62"/>
  <c r="RBX115" i="62"/>
  <c r="RBV115" i="62"/>
  <c r="RBT115" i="62"/>
  <c r="RBR115" i="62"/>
  <c r="RBP115" i="62"/>
  <c r="RBN115" i="62"/>
  <c r="RBL115" i="62"/>
  <c r="RBJ115" i="62"/>
  <c r="RBH115" i="62"/>
  <c r="RBF115" i="62"/>
  <c r="RBD115" i="62"/>
  <c r="RBB115" i="62"/>
  <c r="RAZ115" i="62"/>
  <c r="RAX115" i="62"/>
  <c r="RAV115" i="62"/>
  <c r="RAT115" i="62"/>
  <c r="RAR115" i="62"/>
  <c r="RAP115" i="62"/>
  <c r="RAN115" i="62"/>
  <c r="RAL115" i="62"/>
  <c r="RAJ115" i="62"/>
  <c r="RAH115" i="62"/>
  <c r="RAF115" i="62"/>
  <c r="RAD115" i="62"/>
  <c r="RAB115" i="62"/>
  <c r="QZZ115" i="62"/>
  <c r="QZX115" i="62"/>
  <c r="QZV115" i="62"/>
  <c r="QZT115" i="62"/>
  <c r="QZR115" i="62"/>
  <c r="QZP115" i="62"/>
  <c r="QZN115" i="62"/>
  <c r="QZL115" i="62"/>
  <c r="QZJ115" i="62"/>
  <c r="QZH115" i="62"/>
  <c r="QZF115" i="62"/>
  <c r="QZD115" i="62"/>
  <c r="QZB115" i="62"/>
  <c r="QYZ115" i="62"/>
  <c r="QYX115" i="62"/>
  <c r="QYV115" i="62"/>
  <c r="QYT115" i="62"/>
  <c r="QYR115" i="62"/>
  <c r="QYP115" i="62"/>
  <c r="QYN115" i="62"/>
  <c r="QYL115" i="62"/>
  <c r="QYJ115" i="62"/>
  <c r="QYH115" i="62"/>
  <c r="QYF115" i="62"/>
  <c r="QYD115" i="62"/>
  <c r="QYB115" i="62"/>
  <c r="QXZ115" i="62"/>
  <c r="QXX115" i="62"/>
  <c r="QXV115" i="62"/>
  <c r="QXT115" i="62"/>
  <c r="QXR115" i="62"/>
  <c r="QXP115" i="62"/>
  <c r="QXN115" i="62"/>
  <c r="QXL115" i="62"/>
  <c r="QXJ115" i="62"/>
  <c r="QXH115" i="62"/>
  <c r="QXF115" i="62"/>
  <c r="QXD115" i="62"/>
  <c r="QXB115" i="62"/>
  <c r="QWZ115" i="62"/>
  <c r="QWX115" i="62"/>
  <c r="QWV115" i="62"/>
  <c r="QWT115" i="62"/>
  <c r="QWR115" i="62"/>
  <c r="QWP115" i="62"/>
  <c r="QWN115" i="62"/>
  <c r="QWL115" i="62"/>
  <c r="QWJ115" i="62"/>
  <c r="QWH115" i="62"/>
  <c r="QWF115" i="62"/>
  <c r="QWD115" i="62"/>
  <c r="QWB115" i="62"/>
  <c r="QVZ115" i="62"/>
  <c r="QVX115" i="62"/>
  <c r="QVV115" i="62"/>
  <c r="QVT115" i="62"/>
  <c r="QVR115" i="62"/>
  <c r="QVP115" i="62"/>
  <c r="QVN115" i="62"/>
  <c r="QVL115" i="62"/>
  <c r="QVJ115" i="62"/>
  <c r="QVH115" i="62"/>
  <c r="QVF115" i="62"/>
  <c r="QVD115" i="62"/>
  <c r="QVB115" i="62"/>
  <c r="QUZ115" i="62"/>
  <c r="QUX115" i="62"/>
  <c r="QUV115" i="62"/>
  <c r="QUT115" i="62"/>
  <c r="QUR115" i="62"/>
  <c r="QUP115" i="62"/>
  <c r="QUN115" i="62"/>
  <c r="QUL115" i="62"/>
  <c r="QUJ115" i="62"/>
  <c r="QUH115" i="62"/>
  <c r="QUF115" i="62"/>
  <c r="QUD115" i="62"/>
  <c r="QUB115" i="62"/>
  <c r="QTZ115" i="62"/>
  <c r="QTX115" i="62"/>
  <c r="QTV115" i="62"/>
  <c r="QTT115" i="62"/>
  <c r="QTR115" i="62"/>
  <c r="QTP115" i="62"/>
  <c r="QTN115" i="62"/>
  <c r="QTL115" i="62"/>
  <c r="QTJ115" i="62"/>
  <c r="QTH115" i="62"/>
  <c r="QTF115" i="62"/>
  <c r="QTD115" i="62"/>
  <c r="QTB115" i="62"/>
  <c r="QSZ115" i="62"/>
  <c r="QSX115" i="62"/>
  <c r="QSV115" i="62"/>
  <c r="QST115" i="62"/>
  <c r="QSR115" i="62"/>
  <c r="QSP115" i="62"/>
  <c r="QSN115" i="62"/>
  <c r="QSL115" i="62"/>
  <c r="QSJ115" i="62"/>
  <c r="QSH115" i="62"/>
  <c r="QSF115" i="62"/>
  <c r="QSD115" i="62"/>
  <c r="QSB115" i="62"/>
  <c r="QRZ115" i="62"/>
  <c r="QRX115" i="62"/>
  <c r="QRV115" i="62"/>
  <c r="QRT115" i="62"/>
  <c r="QRR115" i="62"/>
  <c r="QRP115" i="62"/>
  <c r="QRN115" i="62"/>
  <c r="QRL115" i="62"/>
  <c r="QRJ115" i="62"/>
  <c r="QRH115" i="62"/>
  <c r="QRF115" i="62"/>
  <c r="QRD115" i="62"/>
  <c r="QRB115" i="62"/>
  <c r="QQZ115" i="62"/>
  <c r="QQX115" i="62"/>
  <c r="QQV115" i="62"/>
  <c r="QQT115" i="62"/>
  <c r="QQR115" i="62"/>
  <c r="QQP115" i="62"/>
  <c r="QQN115" i="62"/>
  <c r="QQL115" i="62"/>
  <c r="QQJ115" i="62"/>
  <c r="QQH115" i="62"/>
  <c r="QQF115" i="62"/>
  <c r="QQD115" i="62"/>
  <c r="QQB115" i="62"/>
  <c r="QPZ115" i="62"/>
  <c r="QPX115" i="62"/>
  <c r="QPV115" i="62"/>
  <c r="QPT115" i="62"/>
  <c r="QPR115" i="62"/>
  <c r="QPP115" i="62"/>
  <c r="QPN115" i="62"/>
  <c r="QPL115" i="62"/>
  <c r="QPJ115" i="62"/>
  <c r="QPH115" i="62"/>
  <c r="QPF115" i="62"/>
  <c r="QPD115" i="62"/>
  <c r="QPB115" i="62"/>
  <c r="QOZ115" i="62"/>
  <c r="QOX115" i="62"/>
  <c r="QOV115" i="62"/>
  <c r="QOT115" i="62"/>
  <c r="QOR115" i="62"/>
  <c r="QOP115" i="62"/>
  <c r="QON115" i="62"/>
  <c r="QOL115" i="62"/>
  <c r="QOJ115" i="62"/>
  <c r="QOH115" i="62"/>
  <c r="QOF115" i="62"/>
  <c r="QOD115" i="62"/>
  <c r="QOB115" i="62"/>
  <c r="QNZ115" i="62"/>
  <c r="QNX115" i="62"/>
  <c r="QNV115" i="62"/>
  <c r="QNT115" i="62"/>
  <c r="QNR115" i="62"/>
  <c r="QNP115" i="62"/>
  <c r="QNN115" i="62"/>
  <c r="QNL115" i="62"/>
  <c r="QNJ115" i="62"/>
  <c r="QNH115" i="62"/>
  <c r="QNF115" i="62"/>
  <c r="QND115" i="62"/>
  <c r="QNB115" i="62"/>
  <c r="QMZ115" i="62"/>
  <c r="QMX115" i="62"/>
  <c r="QMV115" i="62"/>
  <c r="QMT115" i="62"/>
  <c r="QMR115" i="62"/>
  <c r="QMP115" i="62"/>
  <c r="QMN115" i="62"/>
  <c r="QML115" i="62"/>
  <c r="QMJ115" i="62"/>
  <c r="QMH115" i="62"/>
  <c r="QMF115" i="62"/>
  <c r="QMD115" i="62"/>
  <c r="QMB115" i="62"/>
  <c r="QLZ115" i="62"/>
  <c r="QLX115" i="62"/>
  <c r="QLV115" i="62"/>
  <c r="QLT115" i="62"/>
  <c r="QLR115" i="62"/>
  <c r="QLP115" i="62"/>
  <c r="QLN115" i="62"/>
  <c r="QLL115" i="62"/>
  <c r="QLJ115" i="62"/>
  <c r="QLH115" i="62"/>
  <c r="QLF115" i="62"/>
  <c r="QLD115" i="62"/>
  <c r="QLB115" i="62"/>
  <c r="QKZ115" i="62"/>
  <c r="QKX115" i="62"/>
  <c r="QKV115" i="62"/>
  <c r="QKT115" i="62"/>
  <c r="QKR115" i="62"/>
  <c r="QKP115" i="62"/>
  <c r="QKN115" i="62"/>
  <c r="QKL115" i="62"/>
  <c r="QKJ115" i="62"/>
  <c r="QKH115" i="62"/>
  <c r="QKF115" i="62"/>
  <c r="QKD115" i="62"/>
  <c r="QKB115" i="62"/>
  <c r="QJZ115" i="62"/>
  <c r="QJX115" i="62"/>
  <c r="QJV115" i="62"/>
  <c r="QJT115" i="62"/>
  <c r="QJR115" i="62"/>
  <c r="QJP115" i="62"/>
  <c r="QJN115" i="62"/>
  <c r="QJL115" i="62"/>
  <c r="QJJ115" i="62"/>
  <c r="QJH115" i="62"/>
  <c r="QJF115" i="62"/>
  <c r="QJD115" i="62"/>
  <c r="QJB115" i="62"/>
  <c r="QIZ115" i="62"/>
  <c r="QIX115" i="62"/>
  <c r="QIV115" i="62"/>
  <c r="QIT115" i="62"/>
  <c r="QIR115" i="62"/>
  <c r="QIP115" i="62"/>
  <c r="QIN115" i="62"/>
  <c r="QIL115" i="62"/>
  <c r="QIJ115" i="62"/>
  <c r="QIH115" i="62"/>
  <c r="QIF115" i="62"/>
  <c r="QID115" i="62"/>
  <c r="QIB115" i="62"/>
  <c r="QHZ115" i="62"/>
  <c r="QHX115" i="62"/>
  <c r="QHV115" i="62"/>
  <c r="QHT115" i="62"/>
  <c r="QHR115" i="62"/>
  <c r="QHP115" i="62"/>
  <c r="QHN115" i="62"/>
  <c r="QHL115" i="62"/>
  <c r="QHJ115" i="62"/>
  <c r="QHH115" i="62"/>
  <c r="QHF115" i="62"/>
  <c r="QHD115" i="62"/>
  <c r="QHB115" i="62"/>
  <c r="QGZ115" i="62"/>
  <c r="QGX115" i="62"/>
  <c r="QGV115" i="62"/>
  <c r="QGT115" i="62"/>
  <c r="QGR115" i="62"/>
  <c r="QGP115" i="62"/>
  <c r="QGN115" i="62"/>
  <c r="QGL115" i="62"/>
  <c r="QGJ115" i="62"/>
  <c r="QGH115" i="62"/>
  <c r="QGF115" i="62"/>
  <c r="QGD115" i="62"/>
  <c r="QGB115" i="62"/>
  <c r="QFZ115" i="62"/>
  <c r="QFX115" i="62"/>
  <c r="QFV115" i="62"/>
  <c r="QFT115" i="62"/>
  <c r="QFR115" i="62"/>
  <c r="QFP115" i="62"/>
  <c r="QFN115" i="62"/>
  <c r="QFL115" i="62"/>
  <c r="QFJ115" i="62"/>
  <c r="QFH115" i="62"/>
  <c r="QFF115" i="62"/>
  <c r="QFD115" i="62"/>
  <c r="QFB115" i="62"/>
  <c r="QEZ115" i="62"/>
  <c r="QEX115" i="62"/>
  <c r="QEV115" i="62"/>
  <c r="QET115" i="62"/>
  <c r="QER115" i="62"/>
  <c r="QEP115" i="62"/>
  <c r="QEN115" i="62"/>
  <c r="QEL115" i="62"/>
  <c r="QEJ115" i="62"/>
  <c r="QEH115" i="62"/>
  <c r="QEF115" i="62"/>
  <c r="QED115" i="62"/>
  <c r="QEB115" i="62"/>
  <c r="QDZ115" i="62"/>
  <c r="QDX115" i="62"/>
  <c r="QDV115" i="62"/>
  <c r="QDT115" i="62"/>
  <c r="QDR115" i="62"/>
  <c r="QDP115" i="62"/>
  <c r="QDN115" i="62"/>
  <c r="QDL115" i="62"/>
  <c r="QDJ115" i="62"/>
  <c r="QDH115" i="62"/>
  <c r="QDF115" i="62"/>
  <c r="QDD115" i="62"/>
  <c r="QDB115" i="62"/>
  <c r="QCZ115" i="62"/>
  <c r="QCX115" i="62"/>
  <c r="QCV115" i="62"/>
  <c r="QCT115" i="62"/>
  <c r="QCR115" i="62"/>
  <c r="QCP115" i="62"/>
  <c r="QCN115" i="62"/>
  <c r="QCL115" i="62"/>
  <c r="QCJ115" i="62"/>
  <c r="QCH115" i="62"/>
  <c r="QCF115" i="62"/>
  <c r="QCD115" i="62"/>
  <c r="QCB115" i="62"/>
  <c r="QBZ115" i="62"/>
  <c r="QBX115" i="62"/>
  <c r="QBV115" i="62"/>
  <c r="QBT115" i="62"/>
  <c r="QBR115" i="62"/>
  <c r="QBP115" i="62"/>
  <c r="QBN115" i="62"/>
  <c r="QBL115" i="62"/>
  <c r="QBJ115" i="62"/>
  <c r="QBH115" i="62"/>
  <c r="QBF115" i="62"/>
  <c r="QBD115" i="62"/>
  <c r="QBB115" i="62"/>
  <c r="QAZ115" i="62"/>
  <c r="QAX115" i="62"/>
  <c r="QAV115" i="62"/>
  <c r="QAT115" i="62"/>
  <c r="QAR115" i="62"/>
  <c r="QAP115" i="62"/>
  <c r="QAN115" i="62"/>
  <c r="QAL115" i="62"/>
  <c r="QAJ115" i="62"/>
  <c r="QAH115" i="62"/>
  <c r="QAF115" i="62"/>
  <c r="QAD115" i="62"/>
  <c r="QAB115" i="62"/>
  <c r="PZZ115" i="62"/>
  <c r="PZX115" i="62"/>
  <c r="PZV115" i="62"/>
  <c r="PZT115" i="62"/>
  <c r="PZR115" i="62"/>
  <c r="PZP115" i="62"/>
  <c r="PZN115" i="62"/>
  <c r="PZL115" i="62"/>
  <c r="PZJ115" i="62"/>
  <c r="PZH115" i="62"/>
  <c r="PZF115" i="62"/>
  <c r="PZD115" i="62"/>
  <c r="PZB115" i="62"/>
  <c r="PYZ115" i="62"/>
  <c r="PYX115" i="62"/>
  <c r="PYV115" i="62"/>
  <c r="PYT115" i="62"/>
  <c r="PYR115" i="62"/>
  <c r="PYP115" i="62"/>
  <c r="PYN115" i="62"/>
  <c r="PYL115" i="62"/>
  <c r="PYJ115" i="62"/>
  <c r="PYH115" i="62"/>
  <c r="PYF115" i="62"/>
  <c r="PYD115" i="62"/>
  <c r="PYB115" i="62"/>
  <c r="PXZ115" i="62"/>
  <c r="PXX115" i="62"/>
  <c r="PXV115" i="62"/>
  <c r="PXT115" i="62"/>
  <c r="PXR115" i="62"/>
  <c r="PXP115" i="62"/>
  <c r="PXN115" i="62"/>
  <c r="PXL115" i="62"/>
  <c r="PXJ115" i="62"/>
  <c r="PXH115" i="62"/>
  <c r="PXF115" i="62"/>
  <c r="PXD115" i="62"/>
  <c r="PXB115" i="62"/>
  <c r="PWZ115" i="62"/>
  <c r="PWX115" i="62"/>
  <c r="PWV115" i="62"/>
  <c r="PWT115" i="62"/>
  <c r="PWR115" i="62"/>
  <c r="PWP115" i="62"/>
  <c r="PWN115" i="62"/>
  <c r="PWL115" i="62"/>
  <c r="PWJ115" i="62"/>
  <c r="PWH115" i="62"/>
  <c r="PWF115" i="62"/>
  <c r="PWD115" i="62"/>
  <c r="PWB115" i="62"/>
  <c r="PVZ115" i="62"/>
  <c r="PVX115" i="62"/>
  <c r="PVV115" i="62"/>
  <c r="PVT115" i="62"/>
  <c r="PVR115" i="62"/>
  <c r="PVP115" i="62"/>
  <c r="PVN115" i="62"/>
  <c r="PVL115" i="62"/>
  <c r="PVJ115" i="62"/>
  <c r="PVH115" i="62"/>
  <c r="PVF115" i="62"/>
  <c r="PVD115" i="62"/>
  <c r="PVB115" i="62"/>
  <c r="PUZ115" i="62"/>
  <c r="PUX115" i="62"/>
  <c r="PUV115" i="62"/>
  <c r="PUT115" i="62"/>
  <c r="PUR115" i="62"/>
  <c r="PUP115" i="62"/>
  <c r="PUN115" i="62"/>
  <c r="PUL115" i="62"/>
  <c r="PUJ115" i="62"/>
  <c r="PUH115" i="62"/>
  <c r="PUF115" i="62"/>
  <c r="PUD115" i="62"/>
  <c r="PUB115" i="62"/>
  <c r="PTZ115" i="62"/>
  <c r="PTX115" i="62"/>
  <c r="PTV115" i="62"/>
  <c r="PTT115" i="62"/>
  <c r="PTR115" i="62"/>
  <c r="PTP115" i="62"/>
  <c r="PTN115" i="62"/>
  <c r="PTL115" i="62"/>
  <c r="PTJ115" i="62"/>
  <c r="PTH115" i="62"/>
  <c r="PTF115" i="62"/>
  <c r="PTD115" i="62"/>
  <c r="PTB115" i="62"/>
  <c r="PSZ115" i="62"/>
  <c r="PSX115" i="62"/>
  <c r="PSV115" i="62"/>
  <c r="PST115" i="62"/>
  <c r="PSR115" i="62"/>
  <c r="PSP115" i="62"/>
  <c r="PSN115" i="62"/>
  <c r="PSL115" i="62"/>
  <c r="PSJ115" i="62"/>
  <c r="PSH115" i="62"/>
  <c r="PSF115" i="62"/>
  <c r="PSD115" i="62"/>
  <c r="PSB115" i="62"/>
  <c r="PRZ115" i="62"/>
  <c r="PRX115" i="62"/>
  <c r="PRV115" i="62"/>
  <c r="PRT115" i="62"/>
  <c r="PRR115" i="62"/>
  <c r="PRP115" i="62"/>
  <c r="PRN115" i="62"/>
  <c r="PRL115" i="62"/>
  <c r="PRJ115" i="62"/>
  <c r="PRH115" i="62"/>
  <c r="PRF115" i="62"/>
  <c r="PRD115" i="62"/>
  <c r="PRB115" i="62"/>
  <c r="PQZ115" i="62"/>
  <c r="PQX115" i="62"/>
  <c r="PQV115" i="62"/>
  <c r="PQT115" i="62"/>
  <c r="PQR115" i="62"/>
  <c r="PQP115" i="62"/>
  <c r="PQN115" i="62"/>
  <c r="PQL115" i="62"/>
  <c r="PQJ115" i="62"/>
  <c r="PQH115" i="62"/>
  <c r="PQF115" i="62"/>
  <c r="PQD115" i="62"/>
  <c r="PQB115" i="62"/>
  <c r="PPZ115" i="62"/>
  <c r="PPX115" i="62"/>
  <c r="PPV115" i="62"/>
  <c r="PPT115" i="62"/>
  <c r="PPR115" i="62"/>
  <c r="PPP115" i="62"/>
  <c r="PPN115" i="62"/>
  <c r="PPL115" i="62"/>
  <c r="PPJ115" i="62"/>
  <c r="PPH115" i="62"/>
  <c r="PPF115" i="62"/>
  <c r="PPD115" i="62"/>
  <c r="PPB115" i="62"/>
  <c r="POZ115" i="62"/>
  <c r="POX115" i="62"/>
  <c r="POV115" i="62"/>
  <c r="POT115" i="62"/>
  <c r="POR115" i="62"/>
  <c r="POP115" i="62"/>
  <c r="PON115" i="62"/>
  <c r="POL115" i="62"/>
  <c r="POJ115" i="62"/>
  <c r="POH115" i="62"/>
  <c r="POF115" i="62"/>
  <c r="POD115" i="62"/>
  <c r="POB115" i="62"/>
  <c r="PNZ115" i="62"/>
  <c r="PNX115" i="62"/>
  <c r="PNV115" i="62"/>
  <c r="PNT115" i="62"/>
  <c r="PNR115" i="62"/>
  <c r="PNP115" i="62"/>
  <c r="PNN115" i="62"/>
  <c r="PNL115" i="62"/>
  <c r="PNJ115" i="62"/>
  <c r="PNH115" i="62"/>
  <c r="PNF115" i="62"/>
  <c r="PND115" i="62"/>
  <c r="PNB115" i="62"/>
  <c r="PMZ115" i="62"/>
  <c r="PMX115" i="62"/>
  <c r="PMV115" i="62"/>
  <c r="PMT115" i="62"/>
  <c r="PMR115" i="62"/>
  <c r="PMP115" i="62"/>
  <c r="PMN115" i="62"/>
  <c r="PML115" i="62"/>
  <c r="PMJ115" i="62"/>
  <c r="PMH115" i="62"/>
  <c r="PMF115" i="62"/>
  <c r="PMD115" i="62"/>
  <c r="PMB115" i="62"/>
  <c r="PLZ115" i="62"/>
  <c r="PLX115" i="62"/>
  <c r="PLV115" i="62"/>
  <c r="PLT115" i="62"/>
  <c r="PLR115" i="62"/>
  <c r="PLP115" i="62"/>
  <c r="PLN115" i="62"/>
  <c r="PLL115" i="62"/>
  <c r="PLJ115" i="62"/>
  <c r="PLH115" i="62"/>
  <c r="PLF115" i="62"/>
  <c r="PLD115" i="62"/>
  <c r="PLB115" i="62"/>
  <c r="PKZ115" i="62"/>
  <c r="PKX115" i="62"/>
  <c r="PKV115" i="62"/>
  <c r="PKT115" i="62"/>
  <c r="PKR115" i="62"/>
  <c r="PKP115" i="62"/>
  <c r="PKN115" i="62"/>
  <c r="PKL115" i="62"/>
  <c r="PKJ115" i="62"/>
  <c r="PKH115" i="62"/>
  <c r="PKF115" i="62"/>
  <c r="PKD115" i="62"/>
  <c r="PKB115" i="62"/>
  <c r="PJZ115" i="62"/>
  <c r="PJX115" i="62"/>
  <c r="PJV115" i="62"/>
  <c r="PJT115" i="62"/>
  <c r="PJR115" i="62"/>
  <c r="PJP115" i="62"/>
  <c r="PJN115" i="62"/>
  <c r="PJL115" i="62"/>
  <c r="PJJ115" i="62"/>
  <c r="PJH115" i="62"/>
  <c r="PJF115" i="62"/>
  <c r="PJD115" i="62"/>
  <c r="PJB115" i="62"/>
  <c r="PIZ115" i="62"/>
  <c r="PIX115" i="62"/>
  <c r="PIV115" i="62"/>
  <c r="PIT115" i="62"/>
  <c r="PIR115" i="62"/>
  <c r="PIP115" i="62"/>
  <c r="PIN115" i="62"/>
  <c r="PIL115" i="62"/>
  <c r="PIJ115" i="62"/>
  <c r="PIH115" i="62"/>
  <c r="PIF115" i="62"/>
  <c r="PID115" i="62"/>
  <c r="PIB115" i="62"/>
  <c r="PHZ115" i="62"/>
  <c r="PHX115" i="62"/>
  <c r="PHV115" i="62"/>
  <c r="PHT115" i="62"/>
  <c r="PHR115" i="62"/>
  <c r="PHP115" i="62"/>
  <c r="PHN115" i="62"/>
  <c r="PHL115" i="62"/>
  <c r="PHJ115" i="62"/>
  <c r="PHH115" i="62"/>
  <c r="PHF115" i="62"/>
  <c r="PHD115" i="62"/>
  <c r="PHB115" i="62"/>
  <c r="PGZ115" i="62"/>
  <c r="PGX115" i="62"/>
  <c r="PGV115" i="62"/>
  <c r="PGT115" i="62"/>
  <c r="PGR115" i="62"/>
  <c r="PGP115" i="62"/>
  <c r="PGN115" i="62"/>
  <c r="PGL115" i="62"/>
  <c r="PGJ115" i="62"/>
  <c r="PGH115" i="62"/>
  <c r="PGF115" i="62"/>
  <c r="PGD115" i="62"/>
  <c r="PGB115" i="62"/>
  <c r="PFZ115" i="62"/>
  <c r="PFX115" i="62"/>
  <c r="PFV115" i="62"/>
  <c r="PFT115" i="62"/>
  <c r="PFR115" i="62"/>
  <c r="PFP115" i="62"/>
  <c r="PFN115" i="62"/>
  <c r="PFL115" i="62"/>
  <c r="PFJ115" i="62"/>
  <c r="PFH115" i="62"/>
  <c r="PFF115" i="62"/>
  <c r="PFD115" i="62"/>
  <c r="PFB115" i="62"/>
  <c r="PEZ115" i="62"/>
  <c r="PEX115" i="62"/>
  <c r="PEV115" i="62"/>
  <c r="PET115" i="62"/>
  <c r="PER115" i="62"/>
  <c r="PEP115" i="62"/>
  <c r="PEN115" i="62"/>
  <c r="PEL115" i="62"/>
  <c r="PEJ115" i="62"/>
  <c r="PEH115" i="62"/>
  <c r="PEF115" i="62"/>
  <c r="PED115" i="62"/>
  <c r="PEB115" i="62"/>
  <c r="PDZ115" i="62"/>
  <c r="PDX115" i="62"/>
  <c r="PDV115" i="62"/>
  <c r="PDT115" i="62"/>
  <c r="PDR115" i="62"/>
  <c r="PDP115" i="62"/>
  <c r="PDN115" i="62"/>
  <c r="PDL115" i="62"/>
  <c r="PDJ115" i="62"/>
  <c r="PDH115" i="62"/>
  <c r="PDF115" i="62"/>
  <c r="PDD115" i="62"/>
  <c r="PDB115" i="62"/>
  <c r="PCZ115" i="62"/>
  <c r="PCX115" i="62"/>
  <c r="PCV115" i="62"/>
  <c r="PCT115" i="62"/>
  <c r="PCR115" i="62"/>
  <c r="PCP115" i="62"/>
  <c r="PCN115" i="62"/>
  <c r="PCL115" i="62"/>
  <c r="PCJ115" i="62"/>
  <c r="PCH115" i="62"/>
  <c r="PCF115" i="62"/>
  <c r="PCD115" i="62"/>
  <c r="PCB115" i="62"/>
  <c r="PBZ115" i="62"/>
  <c r="PBX115" i="62"/>
  <c r="PBV115" i="62"/>
  <c r="PBT115" i="62"/>
  <c r="PBR115" i="62"/>
  <c r="PBP115" i="62"/>
  <c r="PBN115" i="62"/>
  <c r="PBL115" i="62"/>
  <c r="PBJ115" i="62"/>
  <c r="PBH115" i="62"/>
  <c r="PBF115" i="62"/>
  <c r="PBD115" i="62"/>
  <c r="PBB115" i="62"/>
  <c r="PAZ115" i="62"/>
  <c r="PAX115" i="62"/>
  <c r="PAV115" i="62"/>
  <c r="PAT115" i="62"/>
  <c r="PAR115" i="62"/>
  <c r="PAP115" i="62"/>
  <c r="PAN115" i="62"/>
  <c r="PAL115" i="62"/>
  <c r="PAJ115" i="62"/>
  <c r="PAH115" i="62"/>
  <c r="PAF115" i="62"/>
  <c r="PAD115" i="62"/>
  <c r="PAB115" i="62"/>
  <c r="OZZ115" i="62"/>
  <c r="OZX115" i="62"/>
  <c r="OZV115" i="62"/>
  <c r="OZT115" i="62"/>
  <c r="OZR115" i="62"/>
  <c r="OZP115" i="62"/>
  <c r="OZN115" i="62"/>
  <c r="OZL115" i="62"/>
  <c r="OZJ115" i="62"/>
  <c r="OZH115" i="62"/>
  <c r="OZF115" i="62"/>
  <c r="OZD115" i="62"/>
  <c r="OZB115" i="62"/>
  <c r="OYZ115" i="62"/>
  <c r="OYX115" i="62"/>
  <c r="OYV115" i="62"/>
  <c r="OYT115" i="62"/>
  <c r="OYR115" i="62"/>
  <c r="OYP115" i="62"/>
  <c r="OYN115" i="62"/>
  <c r="OYL115" i="62"/>
  <c r="OYJ115" i="62"/>
  <c r="OYH115" i="62"/>
  <c r="OYF115" i="62"/>
  <c r="OYD115" i="62"/>
  <c r="OYB115" i="62"/>
  <c r="OXZ115" i="62"/>
  <c r="OXX115" i="62"/>
  <c r="OXV115" i="62"/>
  <c r="OXT115" i="62"/>
  <c r="OXR115" i="62"/>
  <c r="OXP115" i="62"/>
  <c r="OXN115" i="62"/>
  <c r="OXL115" i="62"/>
  <c r="OXJ115" i="62"/>
  <c r="OXH115" i="62"/>
  <c r="OXF115" i="62"/>
  <c r="OXD115" i="62"/>
  <c r="OXB115" i="62"/>
  <c r="OWZ115" i="62"/>
  <c r="OWX115" i="62"/>
  <c r="OWV115" i="62"/>
  <c r="OWT115" i="62"/>
  <c r="OWR115" i="62"/>
  <c r="OWP115" i="62"/>
  <c r="OWN115" i="62"/>
  <c r="OWL115" i="62"/>
  <c r="OWJ115" i="62"/>
  <c r="OWH115" i="62"/>
  <c r="OWF115" i="62"/>
  <c r="OWD115" i="62"/>
  <c r="OWB115" i="62"/>
  <c r="OVZ115" i="62"/>
  <c r="OVX115" i="62"/>
  <c r="OVV115" i="62"/>
  <c r="OVT115" i="62"/>
  <c r="OVR115" i="62"/>
  <c r="OVP115" i="62"/>
  <c r="OVN115" i="62"/>
  <c r="OVL115" i="62"/>
  <c r="OVJ115" i="62"/>
  <c r="OVH115" i="62"/>
  <c r="OVF115" i="62"/>
  <c r="OVD115" i="62"/>
  <c r="OVB115" i="62"/>
  <c r="OUZ115" i="62"/>
  <c r="OUX115" i="62"/>
  <c r="OUV115" i="62"/>
  <c r="OUT115" i="62"/>
  <c r="OUR115" i="62"/>
  <c r="OUP115" i="62"/>
  <c r="OUN115" i="62"/>
  <c r="OUL115" i="62"/>
  <c r="OUJ115" i="62"/>
  <c r="OUH115" i="62"/>
  <c r="OUF115" i="62"/>
  <c r="OUD115" i="62"/>
  <c r="OUB115" i="62"/>
  <c r="OTZ115" i="62"/>
  <c r="OTX115" i="62"/>
  <c r="OTV115" i="62"/>
  <c r="OTT115" i="62"/>
  <c r="OTR115" i="62"/>
  <c r="OTP115" i="62"/>
  <c r="OTN115" i="62"/>
  <c r="OTL115" i="62"/>
  <c r="OTJ115" i="62"/>
  <c r="OTH115" i="62"/>
  <c r="OTF115" i="62"/>
  <c r="OTD115" i="62"/>
  <c r="OTB115" i="62"/>
  <c r="OSZ115" i="62"/>
  <c r="OSX115" i="62"/>
  <c r="OSV115" i="62"/>
  <c r="OST115" i="62"/>
  <c r="OSR115" i="62"/>
  <c r="OSP115" i="62"/>
  <c r="OSN115" i="62"/>
  <c r="OSL115" i="62"/>
  <c r="OSJ115" i="62"/>
  <c r="OSH115" i="62"/>
  <c r="OSF115" i="62"/>
  <c r="OSD115" i="62"/>
  <c r="OSB115" i="62"/>
  <c r="ORZ115" i="62"/>
  <c r="ORX115" i="62"/>
  <c r="ORV115" i="62"/>
  <c r="ORT115" i="62"/>
  <c r="ORR115" i="62"/>
  <c r="ORP115" i="62"/>
  <c r="ORN115" i="62"/>
  <c r="ORL115" i="62"/>
  <c r="ORJ115" i="62"/>
  <c r="ORH115" i="62"/>
  <c r="ORF115" i="62"/>
  <c r="ORD115" i="62"/>
  <c r="ORB115" i="62"/>
  <c r="OQZ115" i="62"/>
  <c r="OQX115" i="62"/>
  <c r="OQV115" i="62"/>
  <c r="OQT115" i="62"/>
  <c r="OQR115" i="62"/>
  <c r="OQP115" i="62"/>
  <c r="OQN115" i="62"/>
  <c r="OQL115" i="62"/>
  <c r="OQJ115" i="62"/>
  <c r="OQH115" i="62"/>
  <c r="OQF115" i="62"/>
  <c r="OQD115" i="62"/>
  <c r="OQB115" i="62"/>
  <c r="OPZ115" i="62"/>
  <c r="OPX115" i="62"/>
  <c r="OPV115" i="62"/>
  <c r="OPT115" i="62"/>
  <c r="OPR115" i="62"/>
  <c r="OPP115" i="62"/>
  <c r="OPN115" i="62"/>
  <c r="OPL115" i="62"/>
  <c r="OPJ115" i="62"/>
  <c r="OPH115" i="62"/>
  <c r="OPF115" i="62"/>
  <c r="OPD115" i="62"/>
  <c r="OPB115" i="62"/>
  <c r="OOZ115" i="62"/>
  <c r="OOX115" i="62"/>
  <c r="OOV115" i="62"/>
  <c r="OOT115" i="62"/>
  <c r="OOR115" i="62"/>
  <c r="OOP115" i="62"/>
  <c r="OON115" i="62"/>
  <c r="OOL115" i="62"/>
  <c r="OOJ115" i="62"/>
  <c r="OOH115" i="62"/>
  <c r="OOF115" i="62"/>
  <c r="OOD115" i="62"/>
  <c r="OOB115" i="62"/>
  <c r="ONZ115" i="62"/>
  <c r="ONX115" i="62"/>
  <c r="ONV115" i="62"/>
  <c r="ONT115" i="62"/>
  <c r="ONR115" i="62"/>
  <c r="ONP115" i="62"/>
  <c r="ONN115" i="62"/>
  <c r="ONL115" i="62"/>
  <c r="ONJ115" i="62"/>
  <c r="ONH115" i="62"/>
  <c r="ONF115" i="62"/>
  <c r="OND115" i="62"/>
  <c r="ONB115" i="62"/>
  <c r="OMZ115" i="62"/>
  <c r="OMX115" i="62"/>
  <c r="OMV115" i="62"/>
  <c r="OMT115" i="62"/>
  <c r="OMR115" i="62"/>
  <c r="OMP115" i="62"/>
  <c r="OMN115" i="62"/>
  <c r="OML115" i="62"/>
  <c r="OMJ115" i="62"/>
  <c r="OMH115" i="62"/>
  <c r="OMF115" i="62"/>
  <c r="OMD115" i="62"/>
  <c r="OMB115" i="62"/>
  <c r="OLZ115" i="62"/>
  <c r="OLX115" i="62"/>
  <c r="OLV115" i="62"/>
  <c r="OLT115" i="62"/>
  <c r="OLR115" i="62"/>
  <c r="OLP115" i="62"/>
  <c r="OLN115" i="62"/>
  <c r="OLL115" i="62"/>
  <c r="OLJ115" i="62"/>
  <c r="OLH115" i="62"/>
  <c r="OLF115" i="62"/>
  <c r="OLD115" i="62"/>
  <c r="OLB115" i="62"/>
  <c r="OKZ115" i="62"/>
  <c r="OKX115" i="62"/>
  <c r="OKV115" i="62"/>
  <c r="OKT115" i="62"/>
  <c r="OKR115" i="62"/>
  <c r="OKP115" i="62"/>
  <c r="OKN115" i="62"/>
  <c r="OKL115" i="62"/>
  <c r="OKJ115" i="62"/>
  <c r="OKH115" i="62"/>
  <c r="OKF115" i="62"/>
  <c r="OKD115" i="62"/>
  <c r="OKB115" i="62"/>
  <c r="OJZ115" i="62"/>
  <c r="OJX115" i="62"/>
  <c r="OJV115" i="62"/>
  <c r="OJT115" i="62"/>
  <c r="OJR115" i="62"/>
  <c r="OJP115" i="62"/>
  <c r="OJN115" i="62"/>
  <c r="OJL115" i="62"/>
  <c r="OJJ115" i="62"/>
  <c r="OJH115" i="62"/>
  <c r="OJF115" i="62"/>
  <c r="OJD115" i="62"/>
  <c r="OJB115" i="62"/>
  <c r="OIZ115" i="62"/>
  <c r="OIX115" i="62"/>
  <c r="OIV115" i="62"/>
  <c r="OIT115" i="62"/>
  <c r="OIR115" i="62"/>
  <c r="OIP115" i="62"/>
  <c r="OIN115" i="62"/>
  <c r="OIL115" i="62"/>
  <c r="OIJ115" i="62"/>
  <c r="OIH115" i="62"/>
  <c r="OIF115" i="62"/>
  <c r="OID115" i="62"/>
  <c r="OIB115" i="62"/>
  <c r="OHZ115" i="62"/>
  <c r="OHX115" i="62"/>
  <c r="OHV115" i="62"/>
  <c r="OHT115" i="62"/>
  <c r="OHR115" i="62"/>
  <c r="OHP115" i="62"/>
  <c r="OHN115" i="62"/>
  <c r="OHL115" i="62"/>
  <c r="OHJ115" i="62"/>
  <c r="OHH115" i="62"/>
  <c r="OHF115" i="62"/>
  <c r="OHD115" i="62"/>
  <c r="OHB115" i="62"/>
  <c r="OGZ115" i="62"/>
  <c r="OGX115" i="62"/>
  <c r="OGV115" i="62"/>
  <c r="OGT115" i="62"/>
  <c r="OGR115" i="62"/>
  <c r="OGP115" i="62"/>
  <c r="OGN115" i="62"/>
  <c r="OGL115" i="62"/>
  <c r="OGJ115" i="62"/>
  <c r="OGH115" i="62"/>
  <c r="OGF115" i="62"/>
  <c r="OGD115" i="62"/>
  <c r="OGB115" i="62"/>
  <c r="OFZ115" i="62"/>
  <c r="OFX115" i="62"/>
  <c r="OFV115" i="62"/>
  <c r="OFT115" i="62"/>
  <c r="OFR115" i="62"/>
  <c r="OFP115" i="62"/>
  <c r="OFN115" i="62"/>
  <c r="OFL115" i="62"/>
  <c r="OFJ115" i="62"/>
  <c r="OFH115" i="62"/>
  <c r="OFF115" i="62"/>
  <c r="OFD115" i="62"/>
  <c r="OFB115" i="62"/>
  <c r="OEZ115" i="62"/>
  <c r="OEX115" i="62"/>
  <c r="OEV115" i="62"/>
  <c r="OET115" i="62"/>
  <c r="OER115" i="62"/>
  <c r="OEP115" i="62"/>
  <c r="OEN115" i="62"/>
  <c r="OEL115" i="62"/>
  <c r="OEJ115" i="62"/>
  <c r="OEH115" i="62"/>
  <c r="OEF115" i="62"/>
  <c r="OED115" i="62"/>
  <c r="OEB115" i="62"/>
  <c r="ODZ115" i="62"/>
  <c r="ODX115" i="62"/>
  <c r="ODV115" i="62"/>
  <c r="ODT115" i="62"/>
  <c r="ODR115" i="62"/>
  <c r="ODP115" i="62"/>
  <c r="ODN115" i="62"/>
  <c r="ODL115" i="62"/>
  <c r="ODJ115" i="62"/>
  <c r="ODH115" i="62"/>
  <c r="ODF115" i="62"/>
  <c r="ODD115" i="62"/>
  <c r="ODB115" i="62"/>
  <c r="OCZ115" i="62"/>
  <c r="OCX115" i="62"/>
  <c r="OCV115" i="62"/>
  <c r="OCT115" i="62"/>
  <c r="OCR115" i="62"/>
  <c r="OCP115" i="62"/>
  <c r="OCN115" i="62"/>
  <c r="OCL115" i="62"/>
  <c r="OCJ115" i="62"/>
  <c r="OCH115" i="62"/>
  <c r="OCF115" i="62"/>
  <c r="OCD115" i="62"/>
  <c r="OCB115" i="62"/>
  <c r="OBZ115" i="62"/>
  <c r="OBX115" i="62"/>
  <c r="OBV115" i="62"/>
  <c r="OBT115" i="62"/>
  <c r="OBR115" i="62"/>
  <c r="OBP115" i="62"/>
  <c r="OBN115" i="62"/>
  <c r="OBL115" i="62"/>
  <c r="OBJ115" i="62"/>
  <c r="OBH115" i="62"/>
  <c r="OBF115" i="62"/>
  <c r="OBD115" i="62"/>
  <c r="OBB115" i="62"/>
  <c r="OAZ115" i="62"/>
  <c r="OAX115" i="62"/>
  <c r="OAV115" i="62"/>
  <c r="OAT115" i="62"/>
  <c r="OAR115" i="62"/>
  <c r="OAP115" i="62"/>
  <c r="OAN115" i="62"/>
  <c r="OAL115" i="62"/>
  <c r="OAJ115" i="62"/>
  <c r="OAH115" i="62"/>
  <c r="OAF115" i="62"/>
  <c r="OAD115" i="62"/>
  <c r="OAB115" i="62"/>
  <c r="NZZ115" i="62"/>
  <c r="NZX115" i="62"/>
  <c r="NZV115" i="62"/>
  <c r="NZT115" i="62"/>
  <c r="NZR115" i="62"/>
  <c r="NZP115" i="62"/>
  <c r="NZN115" i="62"/>
  <c r="NZL115" i="62"/>
  <c r="NZJ115" i="62"/>
  <c r="NZH115" i="62"/>
  <c r="NZF115" i="62"/>
  <c r="NZD115" i="62"/>
  <c r="NZB115" i="62"/>
  <c r="NYZ115" i="62"/>
  <c r="NYX115" i="62"/>
  <c r="NYV115" i="62"/>
  <c r="NYT115" i="62"/>
  <c r="NYR115" i="62"/>
  <c r="NYP115" i="62"/>
  <c r="NYN115" i="62"/>
  <c r="NYL115" i="62"/>
  <c r="NYJ115" i="62"/>
  <c r="NYH115" i="62"/>
  <c r="NYF115" i="62"/>
  <c r="NYD115" i="62"/>
  <c r="NYB115" i="62"/>
  <c r="NXZ115" i="62"/>
  <c r="NXX115" i="62"/>
  <c r="NXV115" i="62"/>
  <c r="NXT115" i="62"/>
  <c r="NXR115" i="62"/>
  <c r="NXP115" i="62"/>
  <c r="NXN115" i="62"/>
  <c r="NXL115" i="62"/>
  <c r="NXJ115" i="62"/>
  <c r="NXH115" i="62"/>
  <c r="NXF115" i="62"/>
  <c r="NXD115" i="62"/>
  <c r="NXB115" i="62"/>
  <c r="NWZ115" i="62"/>
  <c r="NWX115" i="62"/>
  <c r="NWV115" i="62"/>
  <c r="NWT115" i="62"/>
  <c r="NWR115" i="62"/>
  <c r="NWP115" i="62"/>
  <c r="NWN115" i="62"/>
  <c r="NWL115" i="62"/>
  <c r="NWJ115" i="62"/>
  <c r="NWH115" i="62"/>
  <c r="NWF115" i="62"/>
  <c r="NWD115" i="62"/>
  <c r="NWB115" i="62"/>
  <c r="NVZ115" i="62"/>
  <c r="NVX115" i="62"/>
  <c r="NVV115" i="62"/>
  <c r="NVT115" i="62"/>
  <c r="NVR115" i="62"/>
  <c r="NVP115" i="62"/>
  <c r="NVN115" i="62"/>
  <c r="NVL115" i="62"/>
  <c r="NVJ115" i="62"/>
  <c r="NVH115" i="62"/>
  <c r="NVF115" i="62"/>
  <c r="NVD115" i="62"/>
  <c r="NVB115" i="62"/>
  <c r="NUZ115" i="62"/>
  <c r="NUX115" i="62"/>
  <c r="NUV115" i="62"/>
  <c r="NUT115" i="62"/>
  <c r="NUR115" i="62"/>
  <c r="NUP115" i="62"/>
  <c r="NUN115" i="62"/>
  <c r="NUL115" i="62"/>
  <c r="NUJ115" i="62"/>
  <c r="NUH115" i="62"/>
  <c r="NUF115" i="62"/>
  <c r="NUD115" i="62"/>
  <c r="NUB115" i="62"/>
  <c r="NTZ115" i="62"/>
  <c r="NTX115" i="62"/>
  <c r="NTV115" i="62"/>
  <c r="NTT115" i="62"/>
  <c r="NTR115" i="62"/>
  <c r="NTP115" i="62"/>
  <c r="NTN115" i="62"/>
  <c r="NTL115" i="62"/>
  <c r="NTJ115" i="62"/>
  <c r="NTH115" i="62"/>
  <c r="NTF115" i="62"/>
  <c r="NTD115" i="62"/>
  <c r="NTB115" i="62"/>
  <c r="NSZ115" i="62"/>
  <c r="NSX115" i="62"/>
  <c r="NSV115" i="62"/>
  <c r="NST115" i="62"/>
  <c r="NSR115" i="62"/>
  <c r="NSP115" i="62"/>
  <c r="NSN115" i="62"/>
  <c r="NSL115" i="62"/>
  <c r="NSJ115" i="62"/>
  <c r="NSH115" i="62"/>
  <c r="NSF115" i="62"/>
  <c r="NSD115" i="62"/>
  <c r="NSB115" i="62"/>
  <c r="NRZ115" i="62"/>
  <c r="NRX115" i="62"/>
  <c r="NRV115" i="62"/>
  <c r="NRT115" i="62"/>
  <c r="NRR115" i="62"/>
  <c r="NRP115" i="62"/>
  <c r="NRN115" i="62"/>
  <c r="NRL115" i="62"/>
  <c r="NRJ115" i="62"/>
  <c r="NRH115" i="62"/>
  <c r="NRF115" i="62"/>
  <c r="NRD115" i="62"/>
  <c r="NRB115" i="62"/>
  <c r="NQZ115" i="62"/>
  <c r="NQX115" i="62"/>
  <c r="NQV115" i="62"/>
  <c r="NQT115" i="62"/>
  <c r="NQR115" i="62"/>
  <c r="NQP115" i="62"/>
  <c r="NQN115" i="62"/>
  <c r="NQL115" i="62"/>
  <c r="NQJ115" i="62"/>
  <c r="NQH115" i="62"/>
  <c r="NQF115" i="62"/>
  <c r="NQD115" i="62"/>
  <c r="NQB115" i="62"/>
  <c r="NPZ115" i="62"/>
  <c r="NPX115" i="62"/>
  <c r="NPV115" i="62"/>
  <c r="NPT115" i="62"/>
  <c r="NPR115" i="62"/>
  <c r="NPP115" i="62"/>
  <c r="NPN115" i="62"/>
  <c r="NPL115" i="62"/>
  <c r="NPJ115" i="62"/>
  <c r="NPH115" i="62"/>
  <c r="NPF115" i="62"/>
  <c r="NPD115" i="62"/>
  <c r="NPB115" i="62"/>
  <c r="NOZ115" i="62"/>
  <c r="NOX115" i="62"/>
  <c r="NOV115" i="62"/>
  <c r="NOT115" i="62"/>
  <c r="NOR115" i="62"/>
  <c r="NOP115" i="62"/>
  <c r="NON115" i="62"/>
  <c r="NOL115" i="62"/>
  <c r="NOJ115" i="62"/>
  <c r="NOH115" i="62"/>
  <c r="NOF115" i="62"/>
  <c r="NOD115" i="62"/>
  <c r="NOB115" i="62"/>
  <c r="NNZ115" i="62"/>
  <c r="NNX115" i="62"/>
  <c r="NNV115" i="62"/>
  <c r="NNT115" i="62"/>
  <c r="NNR115" i="62"/>
  <c r="NNP115" i="62"/>
  <c r="NNN115" i="62"/>
  <c r="NNL115" i="62"/>
  <c r="NNJ115" i="62"/>
  <c r="NNH115" i="62"/>
  <c r="NNF115" i="62"/>
  <c r="NND115" i="62"/>
  <c r="NNB115" i="62"/>
  <c r="NMZ115" i="62"/>
  <c r="NMX115" i="62"/>
  <c r="NMV115" i="62"/>
  <c r="NMT115" i="62"/>
  <c r="NMR115" i="62"/>
  <c r="NMP115" i="62"/>
  <c r="NMN115" i="62"/>
  <c r="NML115" i="62"/>
  <c r="NMJ115" i="62"/>
  <c r="NMH115" i="62"/>
  <c r="NMF115" i="62"/>
  <c r="NMD115" i="62"/>
  <c r="NMB115" i="62"/>
  <c r="NLZ115" i="62"/>
  <c r="NLX115" i="62"/>
  <c r="NLV115" i="62"/>
  <c r="NLT115" i="62"/>
  <c r="NLR115" i="62"/>
  <c r="NLP115" i="62"/>
  <c r="NLN115" i="62"/>
  <c r="NLL115" i="62"/>
  <c r="NLJ115" i="62"/>
  <c r="NLH115" i="62"/>
  <c r="NLF115" i="62"/>
  <c r="NLD115" i="62"/>
  <c r="NLB115" i="62"/>
  <c r="NKZ115" i="62"/>
  <c r="NKX115" i="62"/>
  <c r="NKV115" i="62"/>
  <c r="NKT115" i="62"/>
  <c r="NKR115" i="62"/>
  <c r="NKP115" i="62"/>
  <c r="NKN115" i="62"/>
  <c r="NKL115" i="62"/>
  <c r="NKJ115" i="62"/>
  <c r="NKH115" i="62"/>
  <c r="NKF115" i="62"/>
  <c r="NKD115" i="62"/>
  <c r="NKB115" i="62"/>
  <c r="NJZ115" i="62"/>
  <c r="NJX115" i="62"/>
  <c r="NJV115" i="62"/>
  <c r="NJT115" i="62"/>
  <c r="NJR115" i="62"/>
  <c r="NJP115" i="62"/>
  <c r="NJN115" i="62"/>
  <c r="NJL115" i="62"/>
  <c r="NJJ115" i="62"/>
  <c r="NJH115" i="62"/>
  <c r="NJF115" i="62"/>
  <c r="NJD115" i="62"/>
  <c r="NJB115" i="62"/>
  <c r="NIZ115" i="62"/>
  <c r="NIX115" i="62"/>
  <c r="NIV115" i="62"/>
  <c r="NIT115" i="62"/>
  <c r="NIR115" i="62"/>
  <c r="NIP115" i="62"/>
  <c r="NIN115" i="62"/>
  <c r="NIL115" i="62"/>
  <c r="NIJ115" i="62"/>
  <c r="NIH115" i="62"/>
  <c r="NIF115" i="62"/>
  <c r="NID115" i="62"/>
  <c r="NIB115" i="62"/>
  <c r="NHZ115" i="62"/>
  <c r="NHX115" i="62"/>
  <c r="NHV115" i="62"/>
  <c r="NHT115" i="62"/>
  <c r="NHR115" i="62"/>
  <c r="NHP115" i="62"/>
  <c r="NHN115" i="62"/>
  <c r="NHL115" i="62"/>
  <c r="NHJ115" i="62"/>
  <c r="NHH115" i="62"/>
  <c r="NHF115" i="62"/>
  <c r="NHD115" i="62"/>
  <c r="NHB115" i="62"/>
  <c r="NGZ115" i="62"/>
  <c r="NGX115" i="62"/>
  <c r="NGV115" i="62"/>
  <c r="NGT115" i="62"/>
  <c r="NGR115" i="62"/>
  <c r="NGP115" i="62"/>
  <c r="NGN115" i="62"/>
  <c r="NGL115" i="62"/>
  <c r="NGJ115" i="62"/>
  <c r="NGH115" i="62"/>
  <c r="NGF115" i="62"/>
  <c r="NGD115" i="62"/>
  <c r="NGB115" i="62"/>
  <c r="NFZ115" i="62"/>
  <c r="NFX115" i="62"/>
  <c r="NFV115" i="62"/>
  <c r="NFT115" i="62"/>
  <c r="NFR115" i="62"/>
  <c r="NFP115" i="62"/>
  <c r="NFN115" i="62"/>
  <c r="NFL115" i="62"/>
  <c r="NFJ115" i="62"/>
  <c r="NFH115" i="62"/>
  <c r="NFF115" i="62"/>
  <c r="NFD115" i="62"/>
  <c r="NFB115" i="62"/>
  <c r="NEZ115" i="62"/>
  <c r="NEX115" i="62"/>
  <c r="NEV115" i="62"/>
  <c r="NET115" i="62"/>
  <c r="NER115" i="62"/>
  <c r="NEP115" i="62"/>
  <c r="NEN115" i="62"/>
  <c r="NEL115" i="62"/>
  <c r="NEJ115" i="62"/>
  <c r="NEH115" i="62"/>
  <c r="NEF115" i="62"/>
  <c r="NED115" i="62"/>
  <c r="NEB115" i="62"/>
  <c r="NDZ115" i="62"/>
  <c r="NDX115" i="62"/>
  <c r="NDV115" i="62"/>
  <c r="NDT115" i="62"/>
  <c r="NDR115" i="62"/>
  <c r="NDP115" i="62"/>
  <c r="NDN115" i="62"/>
  <c r="NDL115" i="62"/>
  <c r="NDJ115" i="62"/>
  <c r="NDH115" i="62"/>
  <c r="NDF115" i="62"/>
  <c r="NDD115" i="62"/>
  <c r="NDB115" i="62"/>
  <c r="NCZ115" i="62"/>
  <c r="NCX115" i="62"/>
  <c r="NCV115" i="62"/>
  <c r="NCT115" i="62"/>
  <c r="NCR115" i="62"/>
  <c r="NCP115" i="62"/>
  <c r="NCN115" i="62"/>
  <c r="NCL115" i="62"/>
  <c r="NCJ115" i="62"/>
  <c r="NCH115" i="62"/>
  <c r="NCF115" i="62"/>
  <c r="NCD115" i="62"/>
  <c r="NCB115" i="62"/>
  <c r="NBZ115" i="62"/>
  <c r="NBX115" i="62"/>
  <c r="NBV115" i="62"/>
  <c r="NBT115" i="62"/>
  <c r="NBR115" i="62"/>
  <c r="NBP115" i="62"/>
  <c r="NBN115" i="62"/>
  <c r="NBL115" i="62"/>
  <c r="NBJ115" i="62"/>
  <c r="NBH115" i="62"/>
  <c r="NBF115" i="62"/>
  <c r="NBD115" i="62"/>
  <c r="NBB115" i="62"/>
  <c r="NAZ115" i="62"/>
  <c r="NAX115" i="62"/>
  <c r="NAV115" i="62"/>
  <c r="NAT115" i="62"/>
  <c r="NAR115" i="62"/>
  <c r="NAP115" i="62"/>
  <c r="NAN115" i="62"/>
  <c r="NAL115" i="62"/>
  <c r="NAJ115" i="62"/>
  <c r="NAH115" i="62"/>
  <c r="NAF115" i="62"/>
  <c r="NAD115" i="62"/>
  <c r="NAB115" i="62"/>
  <c r="MZZ115" i="62"/>
  <c r="MZX115" i="62"/>
  <c r="MZV115" i="62"/>
  <c r="MZT115" i="62"/>
  <c r="MZR115" i="62"/>
  <c r="MZP115" i="62"/>
  <c r="MZN115" i="62"/>
  <c r="MZL115" i="62"/>
  <c r="MZJ115" i="62"/>
  <c r="MZH115" i="62"/>
  <c r="MZF115" i="62"/>
  <c r="MZD115" i="62"/>
  <c r="MZB115" i="62"/>
  <c r="MYZ115" i="62"/>
  <c r="MYX115" i="62"/>
  <c r="MYV115" i="62"/>
  <c r="MYT115" i="62"/>
  <c r="MYR115" i="62"/>
  <c r="MYP115" i="62"/>
  <c r="MYN115" i="62"/>
  <c r="MYL115" i="62"/>
  <c r="MYJ115" i="62"/>
  <c r="MYH115" i="62"/>
  <c r="MYF115" i="62"/>
  <c r="MYD115" i="62"/>
  <c r="MYB115" i="62"/>
  <c r="MXZ115" i="62"/>
  <c r="MXX115" i="62"/>
  <c r="MXV115" i="62"/>
  <c r="MXT115" i="62"/>
  <c r="MXR115" i="62"/>
  <c r="MXP115" i="62"/>
  <c r="MXN115" i="62"/>
  <c r="MXL115" i="62"/>
  <c r="MXJ115" i="62"/>
  <c r="MXH115" i="62"/>
  <c r="MXF115" i="62"/>
  <c r="MXD115" i="62"/>
  <c r="MXB115" i="62"/>
  <c r="MWZ115" i="62"/>
  <c r="MWX115" i="62"/>
  <c r="MWV115" i="62"/>
  <c r="MWT115" i="62"/>
  <c r="MWR115" i="62"/>
  <c r="MWP115" i="62"/>
  <c r="MWN115" i="62"/>
  <c r="MWL115" i="62"/>
  <c r="MWJ115" i="62"/>
  <c r="MWH115" i="62"/>
  <c r="MWF115" i="62"/>
  <c r="MWD115" i="62"/>
  <c r="MWB115" i="62"/>
  <c r="MVZ115" i="62"/>
  <c r="MVX115" i="62"/>
  <c r="MVV115" i="62"/>
  <c r="MVT115" i="62"/>
  <c r="MVR115" i="62"/>
  <c r="MVP115" i="62"/>
  <c r="MVN115" i="62"/>
  <c r="MVL115" i="62"/>
  <c r="MVJ115" i="62"/>
  <c r="MVH115" i="62"/>
  <c r="MVF115" i="62"/>
  <c r="MVD115" i="62"/>
  <c r="MVB115" i="62"/>
  <c r="MUZ115" i="62"/>
  <c r="MUX115" i="62"/>
  <c r="MUV115" i="62"/>
  <c r="MUT115" i="62"/>
  <c r="MUR115" i="62"/>
  <c r="MUP115" i="62"/>
  <c r="MUN115" i="62"/>
  <c r="MUL115" i="62"/>
  <c r="MUJ115" i="62"/>
  <c r="MUH115" i="62"/>
  <c r="MUF115" i="62"/>
  <c r="MUD115" i="62"/>
  <c r="MUB115" i="62"/>
  <c r="MTZ115" i="62"/>
  <c r="MTX115" i="62"/>
  <c r="MTV115" i="62"/>
  <c r="MTT115" i="62"/>
  <c r="MTR115" i="62"/>
  <c r="MTP115" i="62"/>
  <c r="MTN115" i="62"/>
  <c r="MTL115" i="62"/>
  <c r="MTJ115" i="62"/>
  <c r="MTH115" i="62"/>
  <c r="MTF115" i="62"/>
  <c r="MTD115" i="62"/>
  <c r="MTB115" i="62"/>
  <c r="MSZ115" i="62"/>
  <c r="MSX115" i="62"/>
  <c r="MSV115" i="62"/>
  <c r="MST115" i="62"/>
  <c r="MSR115" i="62"/>
  <c r="MSP115" i="62"/>
  <c r="MSN115" i="62"/>
  <c r="MSL115" i="62"/>
  <c r="MSJ115" i="62"/>
  <c r="MSH115" i="62"/>
  <c r="MSF115" i="62"/>
  <c r="MSD115" i="62"/>
  <c r="MSB115" i="62"/>
  <c r="MRZ115" i="62"/>
  <c r="MRX115" i="62"/>
  <c r="MRV115" i="62"/>
  <c r="MRT115" i="62"/>
  <c r="MRR115" i="62"/>
  <c r="MRP115" i="62"/>
  <c r="MRN115" i="62"/>
  <c r="MRL115" i="62"/>
  <c r="MRJ115" i="62"/>
  <c r="MRH115" i="62"/>
  <c r="MRF115" i="62"/>
  <c r="MRD115" i="62"/>
  <c r="MRB115" i="62"/>
  <c r="MQZ115" i="62"/>
  <c r="MQX115" i="62"/>
  <c r="MQV115" i="62"/>
  <c r="MQT115" i="62"/>
  <c r="MQR115" i="62"/>
  <c r="MQP115" i="62"/>
  <c r="MQN115" i="62"/>
  <c r="MQL115" i="62"/>
  <c r="MQJ115" i="62"/>
  <c r="MQH115" i="62"/>
  <c r="MQF115" i="62"/>
  <c r="MQD115" i="62"/>
  <c r="MQB115" i="62"/>
  <c r="MPZ115" i="62"/>
  <c r="MPX115" i="62"/>
  <c r="MPV115" i="62"/>
  <c r="MPT115" i="62"/>
  <c r="MPR115" i="62"/>
  <c r="MPP115" i="62"/>
  <c r="MPN115" i="62"/>
  <c r="MPL115" i="62"/>
  <c r="MPJ115" i="62"/>
  <c r="MPH115" i="62"/>
  <c r="MPF115" i="62"/>
  <c r="MPD115" i="62"/>
  <c r="MPB115" i="62"/>
  <c r="MOZ115" i="62"/>
  <c r="MOX115" i="62"/>
  <c r="MOV115" i="62"/>
  <c r="MOT115" i="62"/>
  <c r="MOR115" i="62"/>
  <c r="MOP115" i="62"/>
  <c r="MON115" i="62"/>
  <c r="MOL115" i="62"/>
  <c r="MOJ115" i="62"/>
  <c r="MOH115" i="62"/>
  <c r="MOF115" i="62"/>
  <c r="MOD115" i="62"/>
  <c r="MOB115" i="62"/>
  <c r="MNZ115" i="62"/>
  <c r="MNX115" i="62"/>
  <c r="MNV115" i="62"/>
  <c r="MNT115" i="62"/>
  <c r="MNR115" i="62"/>
  <c r="MNP115" i="62"/>
  <c r="MNN115" i="62"/>
  <c r="MNL115" i="62"/>
  <c r="MNJ115" i="62"/>
  <c r="MNH115" i="62"/>
  <c r="MNF115" i="62"/>
  <c r="MND115" i="62"/>
  <c r="MNB115" i="62"/>
  <c r="MMZ115" i="62"/>
  <c r="MMX115" i="62"/>
  <c r="MMV115" i="62"/>
  <c r="MMT115" i="62"/>
  <c r="MMR115" i="62"/>
  <c r="MMP115" i="62"/>
  <c r="MMN115" i="62"/>
  <c r="MML115" i="62"/>
  <c r="MMJ115" i="62"/>
  <c r="MMH115" i="62"/>
  <c r="MMF115" i="62"/>
  <c r="MMD115" i="62"/>
  <c r="MMB115" i="62"/>
  <c r="MLZ115" i="62"/>
  <c r="MLX115" i="62"/>
  <c r="MLV115" i="62"/>
  <c r="MLT115" i="62"/>
  <c r="MLR115" i="62"/>
  <c r="MLP115" i="62"/>
  <c r="MLN115" i="62"/>
  <c r="MLL115" i="62"/>
  <c r="MLJ115" i="62"/>
  <c r="MLH115" i="62"/>
  <c r="MLF115" i="62"/>
  <c r="MLD115" i="62"/>
  <c r="MLB115" i="62"/>
  <c r="MKZ115" i="62"/>
  <c r="MKX115" i="62"/>
  <c r="MKV115" i="62"/>
  <c r="MKT115" i="62"/>
  <c r="MKR115" i="62"/>
  <c r="MKP115" i="62"/>
  <c r="MKN115" i="62"/>
  <c r="MKL115" i="62"/>
  <c r="MKJ115" i="62"/>
  <c r="MKH115" i="62"/>
  <c r="MKF115" i="62"/>
  <c r="MKD115" i="62"/>
  <c r="MKB115" i="62"/>
  <c r="MJZ115" i="62"/>
  <c r="MJX115" i="62"/>
  <c r="MJV115" i="62"/>
  <c r="MJT115" i="62"/>
  <c r="MJR115" i="62"/>
  <c r="MJP115" i="62"/>
  <c r="MJN115" i="62"/>
  <c r="MJL115" i="62"/>
  <c r="MJJ115" i="62"/>
  <c r="MJH115" i="62"/>
  <c r="MJF115" i="62"/>
  <c r="MJD115" i="62"/>
  <c r="MJB115" i="62"/>
  <c r="MIZ115" i="62"/>
  <c r="MIX115" i="62"/>
  <c r="MIV115" i="62"/>
  <c r="MIT115" i="62"/>
  <c r="MIR115" i="62"/>
  <c r="MIP115" i="62"/>
  <c r="MIN115" i="62"/>
  <c r="MIL115" i="62"/>
  <c r="MIJ115" i="62"/>
  <c r="MIH115" i="62"/>
  <c r="MIF115" i="62"/>
  <c r="MID115" i="62"/>
  <c r="MIB115" i="62"/>
  <c r="MHZ115" i="62"/>
  <c r="MHX115" i="62"/>
  <c r="MHV115" i="62"/>
  <c r="MHT115" i="62"/>
  <c r="MHR115" i="62"/>
  <c r="MHP115" i="62"/>
  <c r="MHN115" i="62"/>
  <c r="MHL115" i="62"/>
  <c r="MHJ115" i="62"/>
  <c r="MHH115" i="62"/>
  <c r="MHF115" i="62"/>
  <c r="MHD115" i="62"/>
  <c r="MHB115" i="62"/>
  <c r="MGZ115" i="62"/>
  <c r="MGX115" i="62"/>
  <c r="MGV115" i="62"/>
  <c r="MGT115" i="62"/>
  <c r="MGR115" i="62"/>
  <c r="MGP115" i="62"/>
  <c r="MGN115" i="62"/>
  <c r="MGL115" i="62"/>
  <c r="MGJ115" i="62"/>
  <c r="MGH115" i="62"/>
  <c r="MGF115" i="62"/>
  <c r="MGD115" i="62"/>
  <c r="MGB115" i="62"/>
  <c r="MFZ115" i="62"/>
  <c r="MFX115" i="62"/>
  <c r="MFV115" i="62"/>
  <c r="MFT115" i="62"/>
  <c r="MFR115" i="62"/>
  <c r="MFP115" i="62"/>
  <c r="MFN115" i="62"/>
  <c r="MFL115" i="62"/>
  <c r="MFJ115" i="62"/>
  <c r="MFH115" i="62"/>
  <c r="MFF115" i="62"/>
  <c r="MFD115" i="62"/>
  <c r="MFB115" i="62"/>
  <c r="MEZ115" i="62"/>
  <c r="MEX115" i="62"/>
  <c r="MEV115" i="62"/>
  <c r="MET115" i="62"/>
  <c r="MER115" i="62"/>
  <c r="MEP115" i="62"/>
  <c r="MEN115" i="62"/>
  <c r="MEL115" i="62"/>
  <c r="MEJ115" i="62"/>
  <c r="MEH115" i="62"/>
  <c r="MEF115" i="62"/>
  <c r="MED115" i="62"/>
  <c r="MEB115" i="62"/>
  <c r="MDZ115" i="62"/>
  <c r="MDX115" i="62"/>
  <c r="MDV115" i="62"/>
  <c r="MDT115" i="62"/>
  <c r="MDR115" i="62"/>
  <c r="MDP115" i="62"/>
  <c r="MDN115" i="62"/>
  <c r="MDL115" i="62"/>
  <c r="MDJ115" i="62"/>
  <c r="MDH115" i="62"/>
  <c r="MDF115" i="62"/>
  <c r="MDD115" i="62"/>
  <c r="MDB115" i="62"/>
  <c r="MCZ115" i="62"/>
  <c r="MCX115" i="62"/>
  <c r="MCV115" i="62"/>
  <c r="MCT115" i="62"/>
  <c r="MCR115" i="62"/>
  <c r="MCP115" i="62"/>
  <c r="MCN115" i="62"/>
  <c r="MCL115" i="62"/>
  <c r="MCJ115" i="62"/>
  <c r="MCH115" i="62"/>
  <c r="MCF115" i="62"/>
  <c r="MCD115" i="62"/>
  <c r="MCB115" i="62"/>
  <c r="MBZ115" i="62"/>
  <c r="MBX115" i="62"/>
  <c r="MBV115" i="62"/>
  <c r="MBT115" i="62"/>
  <c r="MBR115" i="62"/>
  <c r="MBP115" i="62"/>
  <c r="MBN115" i="62"/>
  <c r="MBL115" i="62"/>
  <c r="MBJ115" i="62"/>
  <c r="MBH115" i="62"/>
  <c r="MBF115" i="62"/>
  <c r="MBD115" i="62"/>
  <c r="MBB115" i="62"/>
  <c r="MAZ115" i="62"/>
  <c r="MAX115" i="62"/>
  <c r="MAV115" i="62"/>
  <c r="MAT115" i="62"/>
  <c r="MAR115" i="62"/>
  <c r="MAP115" i="62"/>
  <c r="MAN115" i="62"/>
  <c r="MAL115" i="62"/>
  <c r="MAJ115" i="62"/>
  <c r="MAH115" i="62"/>
  <c r="MAF115" i="62"/>
  <c r="MAD115" i="62"/>
  <c r="MAB115" i="62"/>
  <c r="LZZ115" i="62"/>
  <c r="LZX115" i="62"/>
  <c r="LZV115" i="62"/>
  <c r="LZT115" i="62"/>
  <c r="LZR115" i="62"/>
  <c r="LZP115" i="62"/>
  <c r="LZN115" i="62"/>
  <c r="LZL115" i="62"/>
  <c r="LZJ115" i="62"/>
  <c r="LZH115" i="62"/>
  <c r="LZF115" i="62"/>
  <c r="LZD115" i="62"/>
  <c r="LZB115" i="62"/>
  <c r="LYZ115" i="62"/>
  <c r="LYX115" i="62"/>
  <c r="LYV115" i="62"/>
  <c r="LYT115" i="62"/>
  <c r="LYR115" i="62"/>
  <c r="LYP115" i="62"/>
  <c r="LYN115" i="62"/>
  <c r="LYL115" i="62"/>
  <c r="LYJ115" i="62"/>
  <c r="LYH115" i="62"/>
  <c r="LYF115" i="62"/>
  <c r="LYD115" i="62"/>
  <c r="LYB115" i="62"/>
  <c r="LXZ115" i="62"/>
  <c r="LXX115" i="62"/>
  <c r="LXV115" i="62"/>
  <c r="LXT115" i="62"/>
  <c r="LXR115" i="62"/>
  <c r="LXP115" i="62"/>
  <c r="LXN115" i="62"/>
  <c r="LXL115" i="62"/>
  <c r="LXJ115" i="62"/>
  <c r="LXH115" i="62"/>
  <c r="LXF115" i="62"/>
  <c r="LXD115" i="62"/>
  <c r="LXB115" i="62"/>
  <c r="LWZ115" i="62"/>
  <c r="LWX115" i="62"/>
  <c r="LWV115" i="62"/>
  <c r="LWT115" i="62"/>
  <c r="LWR115" i="62"/>
  <c r="LWP115" i="62"/>
  <c r="LWN115" i="62"/>
  <c r="LWL115" i="62"/>
  <c r="LWJ115" i="62"/>
  <c r="LWH115" i="62"/>
  <c r="LWF115" i="62"/>
  <c r="LWD115" i="62"/>
  <c r="LWB115" i="62"/>
  <c r="LVZ115" i="62"/>
  <c r="LVX115" i="62"/>
  <c r="LVV115" i="62"/>
  <c r="LVT115" i="62"/>
  <c r="LVR115" i="62"/>
  <c r="LVP115" i="62"/>
  <c r="LVN115" i="62"/>
  <c r="LVL115" i="62"/>
  <c r="LVJ115" i="62"/>
  <c r="LVH115" i="62"/>
  <c r="LVF115" i="62"/>
  <c r="LVD115" i="62"/>
  <c r="LVB115" i="62"/>
  <c r="LUZ115" i="62"/>
  <c r="LUX115" i="62"/>
  <c r="LUV115" i="62"/>
  <c r="LUT115" i="62"/>
  <c r="LUR115" i="62"/>
  <c r="LUP115" i="62"/>
  <c r="LUN115" i="62"/>
  <c r="LUL115" i="62"/>
  <c r="LUJ115" i="62"/>
  <c r="LUH115" i="62"/>
  <c r="LUF115" i="62"/>
  <c r="LUD115" i="62"/>
  <c r="LUB115" i="62"/>
  <c r="LTZ115" i="62"/>
  <c r="LTX115" i="62"/>
  <c r="LTV115" i="62"/>
  <c r="LTT115" i="62"/>
  <c r="LTR115" i="62"/>
  <c r="LTP115" i="62"/>
  <c r="LTN115" i="62"/>
  <c r="LTL115" i="62"/>
  <c r="LTJ115" i="62"/>
  <c r="LTH115" i="62"/>
  <c r="LTF115" i="62"/>
  <c r="LTD115" i="62"/>
  <c r="LTB115" i="62"/>
  <c r="LSZ115" i="62"/>
  <c r="LSX115" i="62"/>
  <c r="LSV115" i="62"/>
  <c r="LST115" i="62"/>
  <c r="LSR115" i="62"/>
  <c r="LSP115" i="62"/>
  <c r="LSN115" i="62"/>
  <c r="LSL115" i="62"/>
  <c r="LSJ115" i="62"/>
  <c r="LSH115" i="62"/>
  <c r="LSF115" i="62"/>
  <c r="LSD115" i="62"/>
  <c r="LSB115" i="62"/>
  <c r="LRZ115" i="62"/>
  <c r="LRX115" i="62"/>
  <c r="LRV115" i="62"/>
  <c r="LRT115" i="62"/>
  <c r="LRR115" i="62"/>
  <c r="LRP115" i="62"/>
  <c r="LRN115" i="62"/>
  <c r="LRL115" i="62"/>
  <c r="LRJ115" i="62"/>
  <c r="LRH115" i="62"/>
  <c r="LRF115" i="62"/>
  <c r="LRD115" i="62"/>
  <c r="LRB115" i="62"/>
  <c r="LQZ115" i="62"/>
  <c r="LQX115" i="62"/>
  <c r="LQV115" i="62"/>
  <c r="LQT115" i="62"/>
  <c r="LQR115" i="62"/>
  <c r="LQP115" i="62"/>
  <c r="LQN115" i="62"/>
  <c r="LQL115" i="62"/>
  <c r="LQJ115" i="62"/>
  <c r="LQH115" i="62"/>
  <c r="LQF115" i="62"/>
  <c r="LQD115" i="62"/>
  <c r="LQB115" i="62"/>
  <c r="LPZ115" i="62"/>
  <c r="LPX115" i="62"/>
  <c r="LPV115" i="62"/>
  <c r="LPT115" i="62"/>
  <c r="LPR115" i="62"/>
  <c r="LPP115" i="62"/>
  <c r="LPN115" i="62"/>
  <c r="LPL115" i="62"/>
  <c r="LPJ115" i="62"/>
  <c r="LPH115" i="62"/>
  <c r="LPF115" i="62"/>
  <c r="LPD115" i="62"/>
  <c r="LPB115" i="62"/>
  <c r="LOZ115" i="62"/>
  <c r="LOX115" i="62"/>
  <c r="LOV115" i="62"/>
  <c r="LOT115" i="62"/>
  <c r="LOR115" i="62"/>
  <c r="LOP115" i="62"/>
  <c r="LON115" i="62"/>
  <c r="LOL115" i="62"/>
  <c r="LOJ115" i="62"/>
  <c r="LOH115" i="62"/>
  <c r="LOF115" i="62"/>
  <c r="LOD115" i="62"/>
  <c r="LOB115" i="62"/>
  <c r="LNZ115" i="62"/>
  <c r="LNX115" i="62"/>
  <c r="LNV115" i="62"/>
  <c r="LNT115" i="62"/>
  <c r="LNR115" i="62"/>
  <c r="LNP115" i="62"/>
  <c r="LNN115" i="62"/>
  <c r="LNL115" i="62"/>
  <c r="LNJ115" i="62"/>
  <c r="LNH115" i="62"/>
  <c r="LNF115" i="62"/>
  <c r="LND115" i="62"/>
  <c r="LNB115" i="62"/>
  <c r="LMZ115" i="62"/>
  <c r="LMX115" i="62"/>
  <c r="LMV115" i="62"/>
  <c r="LMT115" i="62"/>
  <c r="LMR115" i="62"/>
  <c r="LMP115" i="62"/>
  <c r="LMN115" i="62"/>
  <c r="LML115" i="62"/>
  <c r="LMJ115" i="62"/>
  <c r="LMH115" i="62"/>
  <c r="LMF115" i="62"/>
  <c r="LMD115" i="62"/>
  <c r="LMB115" i="62"/>
  <c r="LLZ115" i="62"/>
  <c r="LLX115" i="62"/>
  <c r="LLV115" i="62"/>
  <c r="LLT115" i="62"/>
  <c r="LLR115" i="62"/>
  <c r="LLP115" i="62"/>
  <c r="LLN115" i="62"/>
  <c r="LLL115" i="62"/>
  <c r="LLJ115" i="62"/>
  <c r="LLH115" i="62"/>
  <c r="LLF115" i="62"/>
  <c r="LLD115" i="62"/>
  <c r="LLB115" i="62"/>
  <c r="LKZ115" i="62"/>
  <c r="LKX115" i="62"/>
  <c r="LKV115" i="62"/>
  <c r="LKT115" i="62"/>
  <c r="LKR115" i="62"/>
  <c r="LKP115" i="62"/>
  <c r="LKN115" i="62"/>
  <c r="LKL115" i="62"/>
  <c r="LKJ115" i="62"/>
  <c r="LKH115" i="62"/>
  <c r="LKF115" i="62"/>
  <c r="LKD115" i="62"/>
  <c r="LKB115" i="62"/>
  <c r="LJZ115" i="62"/>
  <c r="LJX115" i="62"/>
  <c r="LJV115" i="62"/>
  <c r="LJT115" i="62"/>
  <c r="LJR115" i="62"/>
  <c r="LJP115" i="62"/>
  <c r="LJN115" i="62"/>
  <c r="LJL115" i="62"/>
  <c r="LJJ115" i="62"/>
  <c r="LJH115" i="62"/>
  <c r="LJF115" i="62"/>
  <c r="LJD115" i="62"/>
  <c r="LJB115" i="62"/>
  <c r="LIZ115" i="62"/>
  <c r="LIX115" i="62"/>
  <c r="LIV115" i="62"/>
  <c r="LIT115" i="62"/>
  <c r="LIR115" i="62"/>
  <c r="LIP115" i="62"/>
  <c r="LIN115" i="62"/>
  <c r="LIL115" i="62"/>
  <c r="LIJ115" i="62"/>
  <c r="LIH115" i="62"/>
  <c r="LIF115" i="62"/>
  <c r="LID115" i="62"/>
  <c r="LIB115" i="62"/>
  <c r="LHZ115" i="62"/>
  <c r="LHX115" i="62"/>
  <c r="LHV115" i="62"/>
  <c r="LHT115" i="62"/>
  <c r="LHR115" i="62"/>
  <c r="LHP115" i="62"/>
  <c r="LHN115" i="62"/>
  <c r="LHL115" i="62"/>
  <c r="LHJ115" i="62"/>
  <c r="LHH115" i="62"/>
  <c r="LHF115" i="62"/>
  <c r="LHD115" i="62"/>
  <c r="LHB115" i="62"/>
  <c r="LGZ115" i="62"/>
  <c r="LGX115" i="62"/>
  <c r="LGV115" i="62"/>
  <c r="LGT115" i="62"/>
  <c r="LGR115" i="62"/>
  <c r="LGP115" i="62"/>
  <c r="LGN115" i="62"/>
  <c r="LGL115" i="62"/>
  <c r="LGJ115" i="62"/>
  <c r="LGH115" i="62"/>
  <c r="LGF115" i="62"/>
  <c r="LGD115" i="62"/>
  <c r="LGB115" i="62"/>
  <c r="LFZ115" i="62"/>
  <c r="LFX115" i="62"/>
  <c r="LFV115" i="62"/>
  <c r="LFT115" i="62"/>
  <c r="LFR115" i="62"/>
  <c r="LFP115" i="62"/>
  <c r="LFN115" i="62"/>
  <c r="LFL115" i="62"/>
  <c r="LFJ115" i="62"/>
  <c r="LFH115" i="62"/>
  <c r="LFF115" i="62"/>
  <c r="LFD115" i="62"/>
  <c r="LFB115" i="62"/>
  <c r="LEZ115" i="62"/>
  <c r="LEX115" i="62"/>
  <c r="LEV115" i="62"/>
  <c r="LET115" i="62"/>
  <c r="LER115" i="62"/>
  <c r="LEP115" i="62"/>
  <c r="LEN115" i="62"/>
  <c r="LEL115" i="62"/>
  <c r="LEJ115" i="62"/>
  <c r="LEH115" i="62"/>
  <c r="LEF115" i="62"/>
  <c r="LED115" i="62"/>
  <c r="LEB115" i="62"/>
  <c r="LDZ115" i="62"/>
  <c r="LDX115" i="62"/>
  <c r="LDV115" i="62"/>
  <c r="LDT115" i="62"/>
  <c r="LDR115" i="62"/>
  <c r="LDP115" i="62"/>
  <c r="LDN115" i="62"/>
  <c r="LDL115" i="62"/>
  <c r="LDJ115" i="62"/>
  <c r="LDH115" i="62"/>
  <c r="LDF115" i="62"/>
  <c r="LDD115" i="62"/>
  <c r="LDB115" i="62"/>
  <c r="LCZ115" i="62"/>
  <c r="LCX115" i="62"/>
  <c r="LCV115" i="62"/>
  <c r="LCT115" i="62"/>
  <c r="LCR115" i="62"/>
  <c r="LCP115" i="62"/>
  <c r="LCN115" i="62"/>
  <c r="LCL115" i="62"/>
  <c r="LCJ115" i="62"/>
  <c r="LCH115" i="62"/>
  <c r="LCF115" i="62"/>
  <c r="LCD115" i="62"/>
  <c r="LCB115" i="62"/>
  <c r="LBZ115" i="62"/>
  <c r="LBX115" i="62"/>
  <c r="LBV115" i="62"/>
  <c r="LBT115" i="62"/>
  <c r="LBR115" i="62"/>
  <c r="LBP115" i="62"/>
  <c r="LBN115" i="62"/>
  <c r="LBL115" i="62"/>
  <c r="LBJ115" i="62"/>
  <c r="LBH115" i="62"/>
  <c r="LBF115" i="62"/>
  <c r="LBD115" i="62"/>
  <c r="LBB115" i="62"/>
  <c r="LAZ115" i="62"/>
  <c r="LAX115" i="62"/>
  <c r="LAV115" i="62"/>
  <c r="LAT115" i="62"/>
  <c r="LAR115" i="62"/>
  <c r="LAP115" i="62"/>
  <c r="LAN115" i="62"/>
  <c r="LAL115" i="62"/>
  <c r="LAJ115" i="62"/>
  <c r="LAH115" i="62"/>
  <c r="LAF115" i="62"/>
  <c r="LAD115" i="62"/>
  <c r="LAB115" i="62"/>
  <c r="KZZ115" i="62"/>
  <c r="KZX115" i="62"/>
  <c r="KZV115" i="62"/>
  <c r="KZT115" i="62"/>
  <c r="KZR115" i="62"/>
  <c r="KZP115" i="62"/>
  <c r="KZN115" i="62"/>
  <c r="KZL115" i="62"/>
  <c r="KZJ115" i="62"/>
  <c r="KZH115" i="62"/>
  <c r="KZF115" i="62"/>
  <c r="KZD115" i="62"/>
  <c r="KZB115" i="62"/>
  <c r="KYZ115" i="62"/>
  <c r="KYX115" i="62"/>
  <c r="KYV115" i="62"/>
  <c r="KYT115" i="62"/>
  <c r="KYR115" i="62"/>
  <c r="KYP115" i="62"/>
  <c r="KYN115" i="62"/>
  <c r="KYL115" i="62"/>
  <c r="KYJ115" i="62"/>
  <c r="KYH115" i="62"/>
  <c r="KYF115" i="62"/>
  <c r="KYD115" i="62"/>
  <c r="KYB115" i="62"/>
  <c r="KXZ115" i="62"/>
  <c r="KXX115" i="62"/>
  <c r="KXV115" i="62"/>
  <c r="KXT115" i="62"/>
  <c r="KXR115" i="62"/>
  <c r="KXP115" i="62"/>
  <c r="KXN115" i="62"/>
  <c r="KXL115" i="62"/>
  <c r="KXJ115" i="62"/>
  <c r="KXH115" i="62"/>
  <c r="KXF115" i="62"/>
  <c r="KXD115" i="62"/>
  <c r="KXB115" i="62"/>
  <c r="KWZ115" i="62"/>
  <c r="KWX115" i="62"/>
  <c r="KWV115" i="62"/>
  <c r="KWT115" i="62"/>
  <c r="KWR115" i="62"/>
  <c r="KWP115" i="62"/>
  <c r="KWN115" i="62"/>
  <c r="KWL115" i="62"/>
  <c r="KWJ115" i="62"/>
  <c r="KWH115" i="62"/>
  <c r="KWF115" i="62"/>
  <c r="KWD115" i="62"/>
  <c r="KWB115" i="62"/>
  <c r="KVZ115" i="62"/>
  <c r="KVX115" i="62"/>
  <c r="KVV115" i="62"/>
  <c r="KVT115" i="62"/>
  <c r="KVR115" i="62"/>
  <c r="KVP115" i="62"/>
  <c r="KVN115" i="62"/>
  <c r="KVL115" i="62"/>
  <c r="KVJ115" i="62"/>
  <c r="KVH115" i="62"/>
  <c r="KVF115" i="62"/>
  <c r="KVD115" i="62"/>
  <c r="KVB115" i="62"/>
  <c r="KUZ115" i="62"/>
  <c r="KUX115" i="62"/>
  <c r="KUV115" i="62"/>
  <c r="KUT115" i="62"/>
  <c r="KUR115" i="62"/>
  <c r="KUP115" i="62"/>
  <c r="KUN115" i="62"/>
  <c r="KUL115" i="62"/>
  <c r="KUJ115" i="62"/>
  <c r="KUH115" i="62"/>
  <c r="KUF115" i="62"/>
  <c r="KUD115" i="62"/>
  <c r="KUB115" i="62"/>
  <c r="KTZ115" i="62"/>
  <c r="KTX115" i="62"/>
  <c r="KTV115" i="62"/>
  <c r="KTT115" i="62"/>
  <c r="KTR115" i="62"/>
  <c r="KTP115" i="62"/>
  <c r="KTN115" i="62"/>
  <c r="KTL115" i="62"/>
  <c r="KTJ115" i="62"/>
  <c r="KTH115" i="62"/>
  <c r="KTF115" i="62"/>
  <c r="KTD115" i="62"/>
  <c r="KTB115" i="62"/>
  <c r="KSZ115" i="62"/>
  <c r="KSX115" i="62"/>
  <c r="KSV115" i="62"/>
  <c r="KST115" i="62"/>
  <c r="KSR115" i="62"/>
  <c r="KSP115" i="62"/>
  <c r="KSN115" i="62"/>
  <c r="KSL115" i="62"/>
  <c r="KSJ115" i="62"/>
  <c r="KSH115" i="62"/>
  <c r="KSF115" i="62"/>
  <c r="KSD115" i="62"/>
  <c r="KSB115" i="62"/>
  <c r="KRZ115" i="62"/>
  <c r="KRX115" i="62"/>
  <c r="KRV115" i="62"/>
  <c r="KRT115" i="62"/>
  <c r="KRR115" i="62"/>
  <c r="KRP115" i="62"/>
  <c r="KRN115" i="62"/>
  <c r="KRL115" i="62"/>
  <c r="KRJ115" i="62"/>
  <c r="KRH115" i="62"/>
  <c r="KRF115" i="62"/>
  <c r="KRD115" i="62"/>
  <c r="KRB115" i="62"/>
  <c r="KQZ115" i="62"/>
  <c r="KQX115" i="62"/>
  <c r="KQV115" i="62"/>
  <c r="KQT115" i="62"/>
  <c r="KQR115" i="62"/>
  <c r="KQP115" i="62"/>
  <c r="KQN115" i="62"/>
  <c r="KQL115" i="62"/>
  <c r="KQJ115" i="62"/>
  <c r="KQH115" i="62"/>
  <c r="KQF115" i="62"/>
  <c r="KQD115" i="62"/>
  <c r="KQB115" i="62"/>
  <c r="KPZ115" i="62"/>
  <c r="KPX115" i="62"/>
  <c r="KPV115" i="62"/>
  <c r="KPT115" i="62"/>
  <c r="KPR115" i="62"/>
  <c r="KPP115" i="62"/>
  <c r="KPN115" i="62"/>
  <c r="KPL115" i="62"/>
  <c r="KPJ115" i="62"/>
  <c r="KPH115" i="62"/>
  <c r="KPF115" i="62"/>
  <c r="KPD115" i="62"/>
  <c r="KPB115" i="62"/>
  <c r="KOZ115" i="62"/>
  <c r="KOX115" i="62"/>
  <c r="KOV115" i="62"/>
  <c r="KOT115" i="62"/>
  <c r="KOR115" i="62"/>
  <c r="KOP115" i="62"/>
  <c r="KON115" i="62"/>
  <c r="KOL115" i="62"/>
  <c r="KOJ115" i="62"/>
  <c r="KOH115" i="62"/>
  <c r="KOF115" i="62"/>
  <c r="KOD115" i="62"/>
  <c r="KOB115" i="62"/>
  <c r="KNZ115" i="62"/>
  <c r="KNX115" i="62"/>
  <c r="KNV115" i="62"/>
  <c r="KNT115" i="62"/>
  <c r="KNR115" i="62"/>
  <c r="KNP115" i="62"/>
  <c r="KNN115" i="62"/>
  <c r="KNL115" i="62"/>
  <c r="KNJ115" i="62"/>
  <c r="KNH115" i="62"/>
  <c r="KNF115" i="62"/>
  <c r="KND115" i="62"/>
  <c r="KNB115" i="62"/>
  <c r="KMZ115" i="62"/>
  <c r="KMX115" i="62"/>
  <c r="KMV115" i="62"/>
  <c r="KMT115" i="62"/>
  <c r="KMR115" i="62"/>
  <c r="KMP115" i="62"/>
  <c r="KMN115" i="62"/>
  <c r="KML115" i="62"/>
  <c r="KMJ115" i="62"/>
  <c r="KMH115" i="62"/>
  <c r="KMF115" i="62"/>
  <c r="KMD115" i="62"/>
  <c r="KMB115" i="62"/>
  <c r="KLZ115" i="62"/>
  <c r="KLX115" i="62"/>
  <c r="KLV115" i="62"/>
  <c r="KLT115" i="62"/>
  <c r="KLR115" i="62"/>
  <c r="KLP115" i="62"/>
  <c r="KLN115" i="62"/>
  <c r="KLL115" i="62"/>
  <c r="KLJ115" i="62"/>
  <c r="KLH115" i="62"/>
  <c r="KLF115" i="62"/>
  <c r="KLD115" i="62"/>
  <c r="KLB115" i="62"/>
  <c r="KKZ115" i="62"/>
  <c r="KKX115" i="62"/>
  <c r="KKV115" i="62"/>
  <c r="KKT115" i="62"/>
  <c r="KKR115" i="62"/>
  <c r="KKP115" i="62"/>
  <c r="KKN115" i="62"/>
  <c r="KKL115" i="62"/>
  <c r="KKJ115" i="62"/>
  <c r="KKH115" i="62"/>
  <c r="KKF115" i="62"/>
  <c r="KKD115" i="62"/>
  <c r="KKB115" i="62"/>
  <c r="KJZ115" i="62"/>
  <c r="KJX115" i="62"/>
  <c r="KJV115" i="62"/>
  <c r="KJT115" i="62"/>
  <c r="KJR115" i="62"/>
  <c r="KJP115" i="62"/>
  <c r="KJN115" i="62"/>
  <c r="KJL115" i="62"/>
  <c r="KJJ115" i="62"/>
  <c r="KJH115" i="62"/>
  <c r="KJF115" i="62"/>
  <c r="KJD115" i="62"/>
  <c r="KJB115" i="62"/>
  <c r="KIZ115" i="62"/>
  <c r="KIX115" i="62"/>
  <c r="KIV115" i="62"/>
  <c r="KIT115" i="62"/>
  <c r="KIR115" i="62"/>
  <c r="KIP115" i="62"/>
  <c r="KIN115" i="62"/>
  <c r="KIL115" i="62"/>
  <c r="KIJ115" i="62"/>
  <c r="KIH115" i="62"/>
  <c r="KIF115" i="62"/>
  <c r="KID115" i="62"/>
  <c r="KIB115" i="62"/>
  <c r="KHZ115" i="62"/>
  <c r="KHX115" i="62"/>
  <c r="KHV115" i="62"/>
  <c r="KHT115" i="62"/>
  <c r="KHR115" i="62"/>
  <c r="KHP115" i="62"/>
  <c r="KHN115" i="62"/>
  <c r="KHL115" i="62"/>
  <c r="KHJ115" i="62"/>
  <c r="KHH115" i="62"/>
  <c r="KHF115" i="62"/>
  <c r="KHD115" i="62"/>
  <c r="KHB115" i="62"/>
  <c r="KGZ115" i="62"/>
  <c r="KGX115" i="62"/>
  <c r="KGV115" i="62"/>
  <c r="KGT115" i="62"/>
  <c r="KGR115" i="62"/>
  <c r="KGP115" i="62"/>
  <c r="KGN115" i="62"/>
  <c r="KGL115" i="62"/>
  <c r="KGJ115" i="62"/>
  <c r="KGH115" i="62"/>
  <c r="KGF115" i="62"/>
  <c r="KGD115" i="62"/>
  <c r="KGB115" i="62"/>
  <c r="KFZ115" i="62"/>
  <c r="KFX115" i="62"/>
  <c r="KFV115" i="62"/>
  <c r="KFT115" i="62"/>
  <c r="KFR115" i="62"/>
  <c r="KFP115" i="62"/>
  <c r="KFN115" i="62"/>
  <c r="KFL115" i="62"/>
  <c r="KFJ115" i="62"/>
  <c r="KFH115" i="62"/>
  <c r="KFF115" i="62"/>
  <c r="KFD115" i="62"/>
  <c r="KFB115" i="62"/>
  <c r="KEZ115" i="62"/>
  <c r="KEX115" i="62"/>
  <c r="KEV115" i="62"/>
  <c r="KET115" i="62"/>
  <c r="KER115" i="62"/>
  <c r="KEP115" i="62"/>
  <c r="KEN115" i="62"/>
  <c r="KEL115" i="62"/>
  <c r="KEJ115" i="62"/>
  <c r="KEH115" i="62"/>
  <c r="KEF115" i="62"/>
  <c r="KED115" i="62"/>
  <c r="KEB115" i="62"/>
  <c r="KDZ115" i="62"/>
  <c r="KDX115" i="62"/>
  <c r="KDV115" i="62"/>
  <c r="KDT115" i="62"/>
  <c r="KDR115" i="62"/>
  <c r="KDP115" i="62"/>
  <c r="KDN115" i="62"/>
  <c r="KDL115" i="62"/>
  <c r="KDJ115" i="62"/>
  <c r="KDH115" i="62"/>
  <c r="KDF115" i="62"/>
  <c r="KDD115" i="62"/>
  <c r="KDB115" i="62"/>
  <c r="KCZ115" i="62"/>
  <c r="KCX115" i="62"/>
  <c r="KCV115" i="62"/>
  <c r="KCT115" i="62"/>
  <c r="KCR115" i="62"/>
  <c r="KCP115" i="62"/>
  <c r="KCN115" i="62"/>
  <c r="KCL115" i="62"/>
  <c r="KCJ115" i="62"/>
  <c r="KCH115" i="62"/>
  <c r="KCF115" i="62"/>
  <c r="KCD115" i="62"/>
  <c r="KCB115" i="62"/>
  <c r="KBZ115" i="62"/>
  <c r="KBX115" i="62"/>
  <c r="KBV115" i="62"/>
  <c r="KBT115" i="62"/>
  <c r="KBR115" i="62"/>
  <c r="KBP115" i="62"/>
  <c r="KBN115" i="62"/>
  <c r="KBL115" i="62"/>
  <c r="KBJ115" i="62"/>
  <c r="KBH115" i="62"/>
  <c r="KBF115" i="62"/>
  <c r="KBD115" i="62"/>
  <c r="KBB115" i="62"/>
  <c r="KAZ115" i="62"/>
  <c r="KAX115" i="62"/>
  <c r="KAV115" i="62"/>
  <c r="KAT115" i="62"/>
  <c r="KAR115" i="62"/>
  <c r="KAP115" i="62"/>
  <c r="KAN115" i="62"/>
  <c r="KAL115" i="62"/>
  <c r="KAJ115" i="62"/>
  <c r="KAH115" i="62"/>
  <c r="KAF115" i="62"/>
  <c r="KAD115" i="62"/>
  <c r="KAB115" i="62"/>
  <c r="JZZ115" i="62"/>
  <c r="JZX115" i="62"/>
  <c r="JZV115" i="62"/>
  <c r="JZT115" i="62"/>
  <c r="JZR115" i="62"/>
  <c r="JZP115" i="62"/>
  <c r="JZN115" i="62"/>
  <c r="JZL115" i="62"/>
  <c r="JZJ115" i="62"/>
  <c r="JZH115" i="62"/>
  <c r="JZF115" i="62"/>
  <c r="JZD115" i="62"/>
  <c r="JZB115" i="62"/>
  <c r="JYZ115" i="62"/>
  <c r="JYX115" i="62"/>
  <c r="JYV115" i="62"/>
  <c r="JYT115" i="62"/>
  <c r="JYR115" i="62"/>
  <c r="JYP115" i="62"/>
  <c r="JYN115" i="62"/>
  <c r="JYL115" i="62"/>
  <c r="JYJ115" i="62"/>
  <c r="JYH115" i="62"/>
  <c r="JYF115" i="62"/>
  <c r="JYD115" i="62"/>
  <c r="JYB115" i="62"/>
  <c r="JXZ115" i="62"/>
  <c r="JXX115" i="62"/>
  <c r="JXV115" i="62"/>
  <c r="JXT115" i="62"/>
  <c r="JXR115" i="62"/>
  <c r="JXP115" i="62"/>
  <c r="JXN115" i="62"/>
  <c r="JXL115" i="62"/>
  <c r="JXJ115" i="62"/>
  <c r="JXH115" i="62"/>
  <c r="JXF115" i="62"/>
  <c r="JXD115" i="62"/>
  <c r="JXB115" i="62"/>
  <c r="JWZ115" i="62"/>
  <c r="JWX115" i="62"/>
  <c r="JWV115" i="62"/>
  <c r="JWT115" i="62"/>
  <c r="JWR115" i="62"/>
  <c r="JWP115" i="62"/>
  <c r="JWN115" i="62"/>
  <c r="JWL115" i="62"/>
  <c r="JWJ115" i="62"/>
  <c r="JWH115" i="62"/>
  <c r="JWF115" i="62"/>
  <c r="JWD115" i="62"/>
  <c r="JWB115" i="62"/>
  <c r="JVZ115" i="62"/>
  <c r="JVX115" i="62"/>
  <c r="JVV115" i="62"/>
  <c r="JVT115" i="62"/>
  <c r="JVR115" i="62"/>
  <c r="JVP115" i="62"/>
  <c r="JVN115" i="62"/>
  <c r="JVL115" i="62"/>
  <c r="JVJ115" i="62"/>
  <c r="JVH115" i="62"/>
  <c r="JVF115" i="62"/>
  <c r="JVD115" i="62"/>
  <c r="JVB115" i="62"/>
  <c r="JUZ115" i="62"/>
  <c r="JUX115" i="62"/>
  <c r="JUV115" i="62"/>
  <c r="JUT115" i="62"/>
  <c r="JUR115" i="62"/>
  <c r="JUP115" i="62"/>
  <c r="JUN115" i="62"/>
  <c r="JUL115" i="62"/>
  <c r="JUJ115" i="62"/>
  <c r="JUH115" i="62"/>
  <c r="JUF115" i="62"/>
  <c r="JUD115" i="62"/>
  <c r="JUB115" i="62"/>
  <c r="JTZ115" i="62"/>
  <c r="JTX115" i="62"/>
  <c r="JTV115" i="62"/>
  <c r="JTT115" i="62"/>
  <c r="JTR115" i="62"/>
  <c r="JTP115" i="62"/>
  <c r="JTN115" i="62"/>
  <c r="JTL115" i="62"/>
  <c r="JTJ115" i="62"/>
  <c r="JTH115" i="62"/>
  <c r="JTF115" i="62"/>
  <c r="JTD115" i="62"/>
  <c r="JTB115" i="62"/>
  <c r="JSZ115" i="62"/>
  <c r="JSX115" i="62"/>
  <c r="JSV115" i="62"/>
  <c r="JST115" i="62"/>
  <c r="JSR115" i="62"/>
  <c r="JSP115" i="62"/>
  <c r="JSN115" i="62"/>
  <c r="JSL115" i="62"/>
  <c r="JSJ115" i="62"/>
  <c r="JSH115" i="62"/>
  <c r="JSF115" i="62"/>
  <c r="JSD115" i="62"/>
  <c r="JSB115" i="62"/>
  <c r="JRZ115" i="62"/>
  <c r="JRX115" i="62"/>
  <c r="JRV115" i="62"/>
  <c r="JRT115" i="62"/>
  <c r="JRR115" i="62"/>
  <c r="JRP115" i="62"/>
  <c r="JRN115" i="62"/>
  <c r="JRL115" i="62"/>
  <c r="JRJ115" i="62"/>
  <c r="JRH115" i="62"/>
  <c r="JRF115" i="62"/>
  <c r="JRD115" i="62"/>
  <c r="JRB115" i="62"/>
  <c r="JQZ115" i="62"/>
  <c r="JQX115" i="62"/>
  <c r="JQV115" i="62"/>
  <c r="JQT115" i="62"/>
  <c r="JQR115" i="62"/>
  <c r="JQP115" i="62"/>
  <c r="JQN115" i="62"/>
  <c r="JQL115" i="62"/>
  <c r="JQJ115" i="62"/>
  <c r="JQH115" i="62"/>
  <c r="JQF115" i="62"/>
  <c r="JQD115" i="62"/>
  <c r="JQB115" i="62"/>
  <c r="JPZ115" i="62"/>
  <c r="JPX115" i="62"/>
  <c r="JPV115" i="62"/>
  <c r="JPT115" i="62"/>
  <c r="JPR115" i="62"/>
  <c r="JPP115" i="62"/>
  <c r="JPN115" i="62"/>
  <c r="JPL115" i="62"/>
  <c r="JPJ115" i="62"/>
  <c r="JPH115" i="62"/>
  <c r="JPF115" i="62"/>
  <c r="JPD115" i="62"/>
  <c r="JPB115" i="62"/>
  <c r="JOZ115" i="62"/>
  <c r="JOX115" i="62"/>
  <c r="JOV115" i="62"/>
  <c r="JOT115" i="62"/>
  <c r="JOR115" i="62"/>
  <c r="JOP115" i="62"/>
  <c r="JON115" i="62"/>
  <c r="JOL115" i="62"/>
  <c r="JOJ115" i="62"/>
  <c r="JOH115" i="62"/>
  <c r="JOF115" i="62"/>
  <c r="JOD115" i="62"/>
  <c r="JOB115" i="62"/>
  <c r="JNZ115" i="62"/>
  <c r="JNX115" i="62"/>
  <c r="JNV115" i="62"/>
  <c r="JNT115" i="62"/>
  <c r="JNR115" i="62"/>
  <c r="JNP115" i="62"/>
  <c r="JNN115" i="62"/>
  <c r="JNL115" i="62"/>
  <c r="JNJ115" i="62"/>
  <c r="JNH115" i="62"/>
  <c r="JNF115" i="62"/>
  <c r="JND115" i="62"/>
  <c r="JNB115" i="62"/>
  <c r="JMZ115" i="62"/>
  <c r="JMX115" i="62"/>
  <c r="JMV115" i="62"/>
  <c r="JMT115" i="62"/>
  <c r="JMR115" i="62"/>
  <c r="JMP115" i="62"/>
  <c r="JMN115" i="62"/>
  <c r="JML115" i="62"/>
  <c r="JMJ115" i="62"/>
  <c r="JMH115" i="62"/>
  <c r="JMF115" i="62"/>
  <c r="JMD115" i="62"/>
  <c r="JMB115" i="62"/>
  <c r="JLZ115" i="62"/>
  <c r="JLX115" i="62"/>
  <c r="JLV115" i="62"/>
  <c r="JLT115" i="62"/>
  <c r="JLR115" i="62"/>
  <c r="JLP115" i="62"/>
  <c r="JLN115" i="62"/>
  <c r="JLL115" i="62"/>
  <c r="JLJ115" i="62"/>
  <c r="JLH115" i="62"/>
  <c r="JLF115" i="62"/>
  <c r="JLD115" i="62"/>
  <c r="JLB115" i="62"/>
  <c r="JKZ115" i="62"/>
  <c r="JKX115" i="62"/>
  <c r="JKV115" i="62"/>
  <c r="JKT115" i="62"/>
  <c r="JKR115" i="62"/>
  <c r="JKP115" i="62"/>
  <c r="JKN115" i="62"/>
  <c r="JKL115" i="62"/>
  <c r="JKJ115" i="62"/>
  <c r="JKH115" i="62"/>
  <c r="JKF115" i="62"/>
  <c r="JKD115" i="62"/>
  <c r="JKB115" i="62"/>
  <c r="JJZ115" i="62"/>
  <c r="JJX115" i="62"/>
  <c r="JJV115" i="62"/>
  <c r="JJT115" i="62"/>
  <c r="JJR115" i="62"/>
  <c r="JJP115" i="62"/>
  <c r="JJN115" i="62"/>
  <c r="JJL115" i="62"/>
  <c r="JJJ115" i="62"/>
  <c r="JJH115" i="62"/>
  <c r="JJF115" i="62"/>
  <c r="JJD115" i="62"/>
  <c r="JJB115" i="62"/>
  <c r="JIZ115" i="62"/>
  <c r="JIX115" i="62"/>
  <c r="JIV115" i="62"/>
  <c r="JIT115" i="62"/>
  <c r="JIR115" i="62"/>
  <c r="JIP115" i="62"/>
  <c r="JIN115" i="62"/>
  <c r="JIL115" i="62"/>
  <c r="JIJ115" i="62"/>
  <c r="JIH115" i="62"/>
  <c r="JIF115" i="62"/>
  <c r="JID115" i="62"/>
  <c r="JIB115" i="62"/>
  <c r="JHZ115" i="62"/>
  <c r="JHX115" i="62"/>
  <c r="JHV115" i="62"/>
  <c r="JHT115" i="62"/>
  <c r="JHR115" i="62"/>
  <c r="JHP115" i="62"/>
  <c r="JHN115" i="62"/>
  <c r="JHL115" i="62"/>
  <c r="JHJ115" i="62"/>
  <c r="JHH115" i="62"/>
  <c r="JHF115" i="62"/>
  <c r="JHD115" i="62"/>
  <c r="JHB115" i="62"/>
  <c r="JGZ115" i="62"/>
  <c r="JGX115" i="62"/>
  <c r="JGV115" i="62"/>
  <c r="JGT115" i="62"/>
  <c r="JGR115" i="62"/>
  <c r="JGP115" i="62"/>
  <c r="JGN115" i="62"/>
  <c r="JGL115" i="62"/>
  <c r="JGJ115" i="62"/>
  <c r="JGH115" i="62"/>
  <c r="JGF115" i="62"/>
  <c r="JGD115" i="62"/>
  <c r="JGB115" i="62"/>
  <c r="JFZ115" i="62"/>
  <c r="JFX115" i="62"/>
  <c r="JFV115" i="62"/>
  <c r="JFT115" i="62"/>
  <c r="JFR115" i="62"/>
  <c r="JFP115" i="62"/>
  <c r="JFN115" i="62"/>
  <c r="JFL115" i="62"/>
  <c r="JFJ115" i="62"/>
  <c r="JFH115" i="62"/>
  <c r="JFF115" i="62"/>
  <c r="JFD115" i="62"/>
  <c r="JFB115" i="62"/>
  <c r="JEZ115" i="62"/>
  <c r="JEX115" i="62"/>
  <c r="JEV115" i="62"/>
  <c r="JET115" i="62"/>
  <c r="JER115" i="62"/>
  <c r="JEP115" i="62"/>
  <c r="JEN115" i="62"/>
  <c r="JEL115" i="62"/>
  <c r="JEJ115" i="62"/>
  <c r="JEH115" i="62"/>
  <c r="JEF115" i="62"/>
  <c r="JED115" i="62"/>
  <c r="JEB115" i="62"/>
  <c r="JDZ115" i="62"/>
  <c r="JDX115" i="62"/>
  <c r="JDV115" i="62"/>
  <c r="JDT115" i="62"/>
  <c r="JDR115" i="62"/>
  <c r="JDP115" i="62"/>
  <c r="JDN115" i="62"/>
  <c r="JDL115" i="62"/>
  <c r="JDJ115" i="62"/>
  <c r="JDH115" i="62"/>
  <c r="JDF115" i="62"/>
  <c r="JDD115" i="62"/>
  <c r="JDB115" i="62"/>
  <c r="JCZ115" i="62"/>
  <c r="JCX115" i="62"/>
  <c r="JCV115" i="62"/>
  <c r="JCT115" i="62"/>
  <c r="JCR115" i="62"/>
  <c r="JCP115" i="62"/>
  <c r="JCN115" i="62"/>
  <c r="JCL115" i="62"/>
  <c r="JCJ115" i="62"/>
  <c r="JCH115" i="62"/>
  <c r="JCF115" i="62"/>
  <c r="JCD115" i="62"/>
  <c r="JCB115" i="62"/>
  <c r="JBZ115" i="62"/>
  <c r="JBX115" i="62"/>
  <c r="JBV115" i="62"/>
  <c r="JBT115" i="62"/>
  <c r="JBR115" i="62"/>
  <c r="JBP115" i="62"/>
  <c r="JBN115" i="62"/>
  <c r="JBL115" i="62"/>
  <c r="JBJ115" i="62"/>
  <c r="JBH115" i="62"/>
  <c r="JBF115" i="62"/>
  <c r="JBD115" i="62"/>
  <c r="JBB115" i="62"/>
  <c r="JAZ115" i="62"/>
  <c r="JAX115" i="62"/>
  <c r="JAV115" i="62"/>
  <c r="JAT115" i="62"/>
  <c r="JAR115" i="62"/>
  <c r="JAP115" i="62"/>
  <c r="JAN115" i="62"/>
  <c r="JAL115" i="62"/>
  <c r="JAJ115" i="62"/>
  <c r="JAH115" i="62"/>
  <c r="JAF115" i="62"/>
  <c r="JAD115" i="62"/>
  <c r="JAB115" i="62"/>
  <c r="IZZ115" i="62"/>
  <c r="IZX115" i="62"/>
  <c r="IZV115" i="62"/>
  <c r="IZT115" i="62"/>
  <c r="IZR115" i="62"/>
  <c r="IZP115" i="62"/>
  <c r="IZN115" i="62"/>
  <c r="IZL115" i="62"/>
  <c r="IZJ115" i="62"/>
  <c r="IZH115" i="62"/>
  <c r="IZF115" i="62"/>
  <c r="IZD115" i="62"/>
  <c r="IZB115" i="62"/>
  <c r="IYZ115" i="62"/>
  <c r="IYX115" i="62"/>
  <c r="IYV115" i="62"/>
  <c r="IYT115" i="62"/>
  <c r="IYR115" i="62"/>
  <c r="IYP115" i="62"/>
  <c r="IYN115" i="62"/>
  <c r="IYL115" i="62"/>
  <c r="IYJ115" i="62"/>
  <c r="IYH115" i="62"/>
  <c r="IYF115" i="62"/>
  <c r="IYD115" i="62"/>
  <c r="IYB115" i="62"/>
  <c r="IXZ115" i="62"/>
  <c r="IXX115" i="62"/>
  <c r="IXV115" i="62"/>
  <c r="IXT115" i="62"/>
  <c r="IXR115" i="62"/>
  <c r="IXP115" i="62"/>
  <c r="IXN115" i="62"/>
  <c r="IXL115" i="62"/>
  <c r="IXJ115" i="62"/>
  <c r="IXH115" i="62"/>
  <c r="IXF115" i="62"/>
  <c r="IXD115" i="62"/>
  <c r="IXB115" i="62"/>
  <c r="IWZ115" i="62"/>
  <c r="IWX115" i="62"/>
  <c r="IWV115" i="62"/>
  <c r="IWT115" i="62"/>
  <c r="IWR115" i="62"/>
  <c r="IWP115" i="62"/>
  <c r="IWN115" i="62"/>
  <c r="IWL115" i="62"/>
  <c r="IWJ115" i="62"/>
  <c r="IWH115" i="62"/>
  <c r="IWF115" i="62"/>
  <c r="IWD115" i="62"/>
  <c r="IWB115" i="62"/>
  <c r="IVZ115" i="62"/>
  <c r="IVX115" i="62"/>
  <c r="IVV115" i="62"/>
  <c r="IVT115" i="62"/>
  <c r="IVR115" i="62"/>
  <c r="IVP115" i="62"/>
  <c r="IVN115" i="62"/>
  <c r="IVL115" i="62"/>
  <c r="IVJ115" i="62"/>
  <c r="IVH115" i="62"/>
  <c r="IVF115" i="62"/>
  <c r="IVD115" i="62"/>
  <c r="IVB115" i="62"/>
  <c r="IUZ115" i="62"/>
  <c r="IUX115" i="62"/>
  <c r="IUV115" i="62"/>
  <c r="IUT115" i="62"/>
  <c r="IUR115" i="62"/>
  <c r="IUP115" i="62"/>
  <c r="IUN115" i="62"/>
  <c r="IUL115" i="62"/>
  <c r="IUJ115" i="62"/>
  <c r="IUH115" i="62"/>
  <c r="IUF115" i="62"/>
  <c r="IUD115" i="62"/>
  <c r="IUB115" i="62"/>
  <c r="ITZ115" i="62"/>
  <c r="ITX115" i="62"/>
  <c r="ITV115" i="62"/>
  <c r="ITT115" i="62"/>
  <c r="ITR115" i="62"/>
  <c r="ITP115" i="62"/>
  <c r="ITN115" i="62"/>
  <c r="ITL115" i="62"/>
  <c r="ITJ115" i="62"/>
  <c r="ITH115" i="62"/>
  <c r="ITF115" i="62"/>
  <c r="ITD115" i="62"/>
  <c r="ITB115" i="62"/>
  <c r="ISZ115" i="62"/>
  <c r="ISX115" i="62"/>
  <c r="ISV115" i="62"/>
  <c r="IST115" i="62"/>
  <c r="ISR115" i="62"/>
  <c r="ISP115" i="62"/>
  <c r="ISN115" i="62"/>
  <c r="ISL115" i="62"/>
  <c r="ISJ115" i="62"/>
  <c r="ISH115" i="62"/>
  <c r="ISF115" i="62"/>
  <c r="ISD115" i="62"/>
  <c r="ISB115" i="62"/>
  <c r="IRZ115" i="62"/>
  <c r="IRX115" i="62"/>
  <c r="IRV115" i="62"/>
  <c r="IRT115" i="62"/>
  <c r="IRR115" i="62"/>
  <c r="IRP115" i="62"/>
  <c r="IRN115" i="62"/>
  <c r="IRL115" i="62"/>
  <c r="IRJ115" i="62"/>
  <c r="IRH115" i="62"/>
  <c r="IRF115" i="62"/>
  <c r="IRD115" i="62"/>
  <c r="IRB115" i="62"/>
  <c r="IQZ115" i="62"/>
  <c r="IQX115" i="62"/>
  <c r="IQV115" i="62"/>
  <c r="IQT115" i="62"/>
  <c r="IQR115" i="62"/>
  <c r="IQP115" i="62"/>
  <c r="IQN115" i="62"/>
  <c r="IQL115" i="62"/>
  <c r="IQJ115" i="62"/>
  <c r="IQH115" i="62"/>
  <c r="IQF115" i="62"/>
  <c r="IQD115" i="62"/>
  <c r="IQB115" i="62"/>
  <c r="IPZ115" i="62"/>
  <c r="IPX115" i="62"/>
  <c r="IPV115" i="62"/>
  <c r="IPT115" i="62"/>
  <c r="IPR115" i="62"/>
  <c r="IPP115" i="62"/>
  <c r="IPN115" i="62"/>
  <c r="IPL115" i="62"/>
  <c r="IPJ115" i="62"/>
  <c r="IPH115" i="62"/>
  <c r="IPF115" i="62"/>
  <c r="IPD115" i="62"/>
  <c r="IPB115" i="62"/>
  <c r="IOZ115" i="62"/>
  <c r="IOX115" i="62"/>
  <c r="IOV115" i="62"/>
  <c r="IOT115" i="62"/>
  <c r="IOR115" i="62"/>
  <c r="IOP115" i="62"/>
  <c r="ION115" i="62"/>
  <c r="IOL115" i="62"/>
  <c r="IOJ115" i="62"/>
  <c r="IOH115" i="62"/>
  <c r="IOF115" i="62"/>
  <c r="IOD115" i="62"/>
  <c r="IOB115" i="62"/>
  <c r="INZ115" i="62"/>
  <c r="INX115" i="62"/>
  <c r="INV115" i="62"/>
  <c r="INT115" i="62"/>
  <c r="INR115" i="62"/>
  <c r="INP115" i="62"/>
  <c r="INN115" i="62"/>
  <c r="INL115" i="62"/>
  <c r="INJ115" i="62"/>
  <c r="INH115" i="62"/>
  <c r="INF115" i="62"/>
  <c r="IND115" i="62"/>
  <c r="INB115" i="62"/>
  <c r="IMZ115" i="62"/>
  <c r="IMX115" i="62"/>
  <c r="IMV115" i="62"/>
  <c r="IMT115" i="62"/>
  <c r="IMR115" i="62"/>
  <c r="IMP115" i="62"/>
  <c r="IMN115" i="62"/>
  <c r="IML115" i="62"/>
  <c r="IMJ115" i="62"/>
  <c r="IMH115" i="62"/>
  <c r="IMF115" i="62"/>
  <c r="IMD115" i="62"/>
  <c r="IMB115" i="62"/>
  <c r="ILZ115" i="62"/>
  <c r="ILX115" i="62"/>
  <c r="ILV115" i="62"/>
  <c r="ILT115" i="62"/>
  <c r="ILR115" i="62"/>
  <c r="ILP115" i="62"/>
  <c r="ILN115" i="62"/>
  <c r="ILL115" i="62"/>
  <c r="ILJ115" i="62"/>
  <c r="ILH115" i="62"/>
  <c r="ILF115" i="62"/>
  <c r="ILD115" i="62"/>
  <c r="ILB115" i="62"/>
  <c r="IKZ115" i="62"/>
  <c r="IKX115" i="62"/>
  <c r="IKV115" i="62"/>
  <c r="IKT115" i="62"/>
  <c r="IKR115" i="62"/>
  <c r="IKP115" i="62"/>
  <c r="IKN115" i="62"/>
  <c r="IKL115" i="62"/>
  <c r="IKJ115" i="62"/>
  <c r="IKH115" i="62"/>
  <c r="IKF115" i="62"/>
  <c r="IKD115" i="62"/>
  <c r="IKB115" i="62"/>
  <c r="IJZ115" i="62"/>
  <c r="IJX115" i="62"/>
  <c r="IJV115" i="62"/>
  <c r="IJT115" i="62"/>
  <c r="IJR115" i="62"/>
  <c r="IJP115" i="62"/>
  <c r="IJN115" i="62"/>
  <c r="IJL115" i="62"/>
  <c r="IJJ115" i="62"/>
  <c r="IJH115" i="62"/>
  <c r="IJF115" i="62"/>
  <c r="IJD115" i="62"/>
  <c r="IJB115" i="62"/>
  <c r="IIZ115" i="62"/>
  <c r="IIX115" i="62"/>
  <c r="IIV115" i="62"/>
  <c r="IIT115" i="62"/>
  <c r="IIR115" i="62"/>
  <c r="IIP115" i="62"/>
  <c r="IIN115" i="62"/>
  <c r="IIL115" i="62"/>
  <c r="IIJ115" i="62"/>
  <c r="IIH115" i="62"/>
  <c r="IIF115" i="62"/>
  <c r="IID115" i="62"/>
  <c r="IIB115" i="62"/>
  <c r="IHZ115" i="62"/>
  <c r="IHX115" i="62"/>
  <c r="IHV115" i="62"/>
  <c r="IHT115" i="62"/>
  <c r="IHR115" i="62"/>
  <c r="IHP115" i="62"/>
  <c r="IHN115" i="62"/>
  <c r="IHL115" i="62"/>
  <c r="IHJ115" i="62"/>
  <c r="IHH115" i="62"/>
  <c r="IHF115" i="62"/>
  <c r="IHD115" i="62"/>
  <c r="IHB115" i="62"/>
  <c r="IGZ115" i="62"/>
  <c r="IGX115" i="62"/>
  <c r="IGV115" i="62"/>
  <c r="IGT115" i="62"/>
  <c r="IGR115" i="62"/>
  <c r="IGP115" i="62"/>
  <c r="IGN115" i="62"/>
  <c r="IGL115" i="62"/>
  <c r="IGJ115" i="62"/>
  <c r="IGH115" i="62"/>
  <c r="IGF115" i="62"/>
  <c r="IGD115" i="62"/>
  <c r="IGB115" i="62"/>
  <c r="IFZ115" i="62"/>
  <c r="IFX115" i="62"/>
  <c r="IFV115" i="62"/>
  <c r="IFT115" i="62"/>
  <c r="IFR115" i="62"/>
  <c r="IFP115" i="62"/>
  <c r="IFN115" i="62"/>
  <c r="IFL115" i="62"/>
  <c r="IFJ115" i="62"/>
  <c r="IFH115" i="62"/>
  <c r="IFF115" i="62"/>
  <c r="IFD115" i="62"/>
  <c r="IFB115" i="62"/>
  <c r="IEZ115" i="62"/>
  <c r="IEX115" i="62"/>
  <c r="IEV115" i="62"/>
  <c r="IET115" i="62"/>
  <c r="IER115" i="62"/>
  <c r="IEP115" i="62"/>
  <c r="IEN115" i="62"/>
  <c r="IEL115" i="62"/>
  <c r="IEJ115" i="62"/>
  <c r="IEH115" i="62"/>
  <c r="IEF115" i="62"/>
  <c r="IED115" i="62"/>
  <c r="IEB115" i="62"/>
  <c r="IDZ115" i="62"/>
  <c r="IDX115" i="62"/>
  <c r="IDV115" i="62"/>
  <c r="IDT115" i="62"/>
  <c r="IDR115" i="62"/>
  <c r="IDP115" i="62"/>
  <c r="IDN115" i="62"/>
  <c r="IDL115" i="62"/>
  <c r="IDJ115" i="62"/>
  <c r="IDH115" i="62"/>
  <c r="IDF115" i="62"/>
  <c r="IDD115" i="62"/>
  <c r="IDB115" i="62"/>
  <c r="ICZ115" i="62"/>
  <c r="ICX115" i="62"/>
  <c r="ICV115" i="62"/>
  <c r="ICT115" i="62"/>
  <c r="ICR115" i="62"/>
  <c r="ICP115" i="62"/>
  <c r="ICN115" i="62"/>
  <c r="ICL115" i="62"/>
  <c r="ICJ115" i="62"/>
  <c r="ICH115" i="62"/>
  <c r="ICF115" i="62"/>
  <c r="ICD115" i="62"/>
  <c r="ICB115" i="62"/>
  <c r="IBZ115" i="62"/>
  <c r="IBX115" i="62"/>
  <c r="IBV115" i="62"/>
  <c r="IBT115" i="62"/>
  <c r="IBR115" i="62"/>
  <c r="IBP115" i="62"/>
  <c r="IBN115" i="62"/>
  <c r="IBL115" i="62"/>
  <c r="IBJ115" i="62"/>
  <c r="IBH115" i="62"/>
  <c r="IBF115" i="62"/>
  <c r="IBD115" i="62"/>
  <c r="IBB115" i="62"/>
  <c r="IAZ115" i="62"/>
  <c r="IAX115" i="62"/>
  <c r="IAV115" i="62"/>
  <c r="IAT115" i="62"/>
  <c r="IAR115" i="62"/>
  <c r="IAP115" i="62"/>
  <c r="IAN115" i="62"/>
  <c r="IAL115" i="62"/>
  <c r="IAJ115" i="62"/>
  <c r="IAH115" i="62"/>
  <c r="IAF115" i="62"/>
  <c r="IAD115" i="62"/>
  <c r="IAB115" i="62"/>
  <c r="HZZ115" i="62"/>
  <c r="HZX115" i="62"/>
  <c r="HZV115" i="62"/>
  <c r="HZT115" i="62"/>
  <c r="HZR115" i="62"/>
  <c r="HZP115" i="62"/>
  <c r="HZN115" i="62"/>
  <c r="HZL115" i="62"/>
  <c r="HZJ115" i="62"/>
  <c r="HZH115" i="62"/>
  <c r="HZF115" i="62"/>
  <c r="HZD115" i="62"/>
  <c r="HZB115" i="62"/>
  <c r="HYZ115" i="62"/>
  <c r="HYX115" i="62"/>
  <c r="HYV115" i="62"/>
  <c r="HYT115" i="62"/>
  <c r="HYR115" i="62"/>
  <c r="HYP115" i="62"/>
  <c r="HYN115" i="62"/>
  <c r="HYL115" i="62"/>
  <c r="HYJ115" i="62"/>
  <c r="HYH115" i="62"/>
  <c r="HYF115" i="62"/>
  <c r="HYD115" i="62"/>
  <c r="HYB115" i="62"/>
  <c r="HXZ115" i="62"/>
  <c r="HXX115" i="62"/>
  <c r="HXV115" i="62"/>
  <c r="HXT115" i="62"/>
  <c r="HXR115" i="62"/>
  <c r="HXP115" i="62"/>
  <c r="HXN115" i="62"/>
  <c r="HXL115" i="62"/>
  <c r="HXJ115" i="62"/>
  <c r="HXH115" i="62"/>
  <c r="HXF115" i="62"/>
  <c r="HXD115" i="62"/>
  <c r="HXB115" i="62"/>
  <c r="HWZ115" i="62"/>
  <c r="HWX115" i="62"/>
  <c r="HWV115" i="62"/>
  <c r="HWT115" i="62"/>
  <c r="HWR115" i="62"/>
  <c r="HWP115" i="62"/>
  <c r="HWN115" i="62"/>
  <c r="HWL115" i="62"/>
  <c r="HWJ115" i="62"/>
  <c r="HWH115" i="62"/>
  <c r="HWF115" i="62"/>
  <c r="HWD115" i="62"/>
  <c r="HWB115" i="62"/>
  <c r="HVZ115" i="62"/>
  <c r="HVX115" i="62"/>
  <c r="HVV115" i="62"/>
  <c r="HVT115" i="62"/>
  <c r="HVR115" i="62"/>
  <c r="HVP115" i="62"/>
  <c r="HVN115" i="62"/>
  <c r="HVL115" i="62"/>
  <c r="HVJ115" i="62"/>
  <c r="HVH115" i="62"/>
  <c r="HVF115" i="62"/>
  <c r="HVD115" i="62"/>
  <c r="HVB115" i="62"/>
  <c r="HUZ115" i="62"/>
  <c r="HUX115" i="62"/>
  <c r="HUV115" i="62"/>
  <c r="HUT115" i="62"/>
  <c r="HUR115" i="62"/>
  <c r="HUP115" i="62"/>
  <c r="HUN115" i="62"/>
  <c r="HUL115" i="62"/>
  <c r="HUJ115" i="62"/>
  <c r="HUH115" i="62"/>
  <c r="HUF115" i="62"/>
  <c r="HUD115" i="62"/>
  <c r="HUB115" i="62"/>
  <c r="HTZ115" i="62"/>
  <c r="HTX115" i="62"/>
  <c r="HTV115" i="62"/>
  <c r="HTT115" i="62"/>
  <c r="HTR115" i="62"/>
  <c r="HTP115" i="62"/>
  <c r="HTN115" i="62"/>
  <c r="HTL115" i="62"/>
  <c r="HTJ115" i="62"/>
  <c r="HTH115" i="62"/>
  <c r="HTF115" i="62"/>
  <c r="HTD115" i="62"/>
  <c r="HTB115" i="62"/>
  <c r="HSZ115" i="62"/>
  <c r="HSX115" i="62"/>
  <c r="HSV115" i="62"/>
  <c r="HST115" i="62"/>
  <c r="HSR115" i="62"/>
  <c r="HSP115" i="62"/>
  <c r="HSN115" i="62"/>
  <c r="HSL115" i="62"/>
  <c r="HSJ115" i="62"/>
  <c r="HSH115" i="62"/>
  <c r="HSF115" i="62"/>
  <c r="HSD115" i="62"/>
  <c r="HSB115" i="62"/>
  <c r="HRZ115" i="62"/>
  <c r="HRX115" i="62"/>
  <c r="HRV115" i="62"/>
  <c r="HRT115" i="62"/>
  <c r="HRR115" i="62"/>
  <c r="HRP115" i="62"/>
  <c r="HRN115" i="62"/>
  <c r="HRL115" i="62"/>
  <c r="HRJ115" i="62"/>
  <c r="HRH115" i="62"/>
  <c r="HRF115" i="62"/>
  <c r="HRD115" i="62"/>
  <c r="HRB115" i="62"/>
  <c r="HQZ115" i="62"/>
  <c r="HQX115" i="62"/>
  <c r="HQV115" i="62"/>
  <c r="HQT115" i="62"/>
  <c r="HQR115" i="62"/>
  <c r="HQP115" i="62"/>
  <c r="HQN115" i="62"/>
  <c r="HQL115" i="62"/>
  <c r="HQJ115" i="62"/>
  <c r="HQH115" i="62"/>
  <c r="HQF115" i="62"/>
  <c r="HQD115" i="62"/>
  <c r="HQB115" i="62"/>
  <c r="HPZ115" i="62"/>
  <c r="HPX115" i="62"/>
  <c r="HPV115" i="62"/>
  <c r="HPT115" i="62"/>
  <c r="HPR115" i="62"/>
  <c r="HPP115" i="62"/>
  <c r="HPN115" i="62"/>
  <c r="HPL115" i="62"/>
  <c r="HPJ115" i="62"/>
  <c r="HPH115" i="62"/>
  <c r="HPF115" i="62"/>
  <c r="HPD115" i="62"/>
  <c r="HPB115" i="62"/>
  <c r="HOZ115" i="62"/>
  <c r="HOX115" i="62"/>
  <c r="HOV115" i="62"/>
  <c r="HOT115" i="62"/>
  <c r="HOR115" i="62"/>
  <c r="HOP115" i="62"/>
  <c r="HON115" i="62"/>
  <c r="HOL115" i="62"/>
  <c r="HOJ115" i="62"/>
  <c r="HOH115" i="62"/>
  <c r="HOF115" i="62"/>
  <c r="HOD115" i="62"/>
  <c r="HOB115" i="62"/>
  <c r="HNZ115" i="62"/>
  <c r="HNX115" i="62"/>
  <c r="HNV115" i="62"/>
  <c r="HNT115" i="62"/>
  <c r="HNR115" i="62"/>
  <c r="HNP115" i="62"/>
  <c r="HNN115" i="62"/>
  <c r="HNL115" i="62"/>
  <c r="HNJ115" i="62"/>
  <c r="HNH115" i="62"/>
  <c r="HNF115" i="62"/>
  <c r="HND115" i="62"/>
  <c r="HNB115" i="62"/>
  <c r="HMZ115" i="62"/>
  <c r="HMX115" i="62"/>
  <c r="HMV115" i="62"/>
  <c r="HMT115" i="62"/>
  <c r="HMR115" i="62"/>
  <c r="HMP115" i="62"/>
  <c r="HMN115" i="62"/>
  <c r="HML115" i="62"/>
  <c r="HMJ115" i="62"/>
  <c r="HMH115" i="62"/>
  <c r="HMF115" i="62"/>
  <c r="HMD115" i="62"/>
  <c r="HMB115" i="62"/>
  <c r="HLZ115" i="62"/>
  <c r="HLX115" i="62"/>
  <c r="HLV115" i="62"/>
  <c r="HLT115" i="62"/>
  <c r="HLR115" i="62"/>
  <c r="HLP115" i="62"/>
  <c r="HLN115" i="62"/>
  <c r="HLL115" i="62"/>
  <c r="HLJ115" i="62"/>
  <c r="HLH115" i="62"/>
  <c r="HLF115" i="62"/>
  <c r="HLD115" i="62"/>
  <c r="HLB115" i="62"/>
  <c r="HKZ115" i="62"/>
  <c r="HKX115" i="62"/>
  <c r="HKV115" i="62"/>
  <c r="HKT115" i="62"/>
  <c r="HKR115" i="62"/>
  <c r="HKP115" i="62"/>
  <c r="HKN115" i="62"/>
  <c r="HKL115" i="62"/>
  <c r="HKJ115" i="62"/>
  <c r="HKH115" i="62"/>
  <c r="HKF115" i="62"/>
  <c r="HKD115" i="62"/>
  <c r="HKB115" i="62"/>
  <c r="HJZ115" i="62"/>
  <c r="HJX115" i="62"/>
  <c r="HJV115" i="62"/>
  <c r="HJT115" i="62"/>
  <c r="HJR115" i="62"/>
  <c r="HJP115" i="62"/>
  <c r="HJN115" i="62"/>
  <c r="HJL115" i="62"/>
  <c r="HJJ115" i="62"/>
  <c r="HJH115" i="62"/>
  <c r="HJF115" i="62"/>
  <c r="HJD115" i="62"/>
  <c r="HJB115" i="62"/>
  <c r="HIZ115" i="62"/>
  <c r="HIX115" i="62"/>
  <c r="HIV115" i="62"/>
  <c r="HIT115" i="62"/>
  <c r="HIR115" i="62"/>
  <c r="HIP115" i="62"/>
  <c r="HIN115" i="62"/>
  <c r="HIL115" i="62"/>
  <c r="HIJ115" i="62"/>
  <c r="HIH115" i="62"/>
  <c r="HIF115" i="62"/>
  <c r="HID115" i="62"/>
  <c r="HIB115" i="62"/>
  <c r="HHZ115" i="62"/>
  <c r="HHX115" i="62"/>
  <c r="HHV115" i="62"/>
  <c r="HHT115" i="62"/>
  <c r="HHR115" i="62"/>
  <c r="HHP115" i="62"/>
  <c r="HHN115" i="62"/>
  <c r="HHL115" i="62"/>
  <c r="HHJ115" i="62"/>
  <c r="HHH115" i="62"/>
  <c r="HHF115" i="62"/>
  <c r="HHD115" i="62"/>
  <c r="HHB115" i="62"/>
  <c r="HGZ115" i="62"/>
  <c r="HGX115" i="62"/>
  <c r="HGV115" i="62"/>
  <c r="HGT115" i="62"/>
  <c r="HGR115" i="62"/>
  <c r="HGP115" i="62"/>
  <c r="HGN115" i="62"/>
  <c r="HGL115" i="62"/>
  <c r="HGJ115" i="62"/>
  <c r="HGH115" i="62"/>
  <c r="HGF115" i="62"/>
  <c r="HGD115" i="62"/>
  <c r="HGB115" i="62"/>
  <c r="HFZ115" i="62"/>
  <c r="HFX115" i="62"/>
  <c r="HFV115" i="62"/>
  <c r="HFT115" i="62"/>
  <c r="HFR115" i="62"/>
  <c r="HFP115" i="62"/>
  <c r="HFN115" i="62"/>
  <c r="HFL115" i="62"/>
  <c r="HFJ115" i="62"/>
  <c r="HFH115" i="62"/>
  <c r="HFF115" i="62"/>
  <c r="HFD115" i="62"/>
  <c r="HFB115" i="62"/>
  <c r="HEZ115" i="62"/>
  <c r="HEX115" i="62"/>
  <c r="HEV115" i="62"/>
  <c r="HET115" i="62"/>
  <c r="HER115" i="62"/>
  <c r="HEP115" i="62"/>
  <c r="HEN115" i="62"/>
  <c r="HEL115" i="62"/>
  <c r="HEJ115" i="62"/>
  <c r="HEH115" i="62"/>
  <c r="HEF115" i="62"/>
  <c r="HED115" i="62"/>
  <c r="HEB115" i="62"/>
  <c r="HDZ115" i="62"/>
  <c r="HDX115" i="62"/>
  <c r="HDV115" i="62"/>
  <c r="HDT115" i="62"/>
  <c r="HDR115" i="62"/>
  <c r="HDP115" i="62"/>
  <c r="HDN115" i="62"/>
  <c r="HDL115" i="62"/>
  <c r="HDJ115" i="62"/>
  <c r="HDH115" i="62"/>
  <c r="HDF115" i="62"/>
  <c r="HDD115" i="62"/>
  <c r="HDB115" i="62"/>
  <c r="HCZ115" i="62"/>
  <c r="HCX115" i="62"/>
  <c r="HCV115" i="62"/>
  <c r="HCT115" i="62"/>
  <c r="HCR115" i="62"/>
  <c r="HCP115" i="62"/>
  <c r="HCN115" i="62"/>
  <c r="HCL115" i="62"/>
  <c r="HCJ115" i="62"/>
  <c r="HCH115" i="62"/>
  <c r="HCF115" i="62"/>
  <c r="HCD115" i="62"/>
  <c r="HCB115" i="62"/>
  <c r="HBZ115" i="62"/>
  <c r="HBX115" i="62"/>
  <c r="HBV115" i="62"/>
  <c r="HBT115" i="62"/>
  <c r="HBR115" i="62"/>
  <c r="HBP115" i="62"/>
  <c r="HBN115" i="62"/>
  <c r="HBL115" i="62"/>
  <c r="HBJ115" i="62"/>
  <c r="HBH115" i="62"/>
  <c r="HBF115" i="62"/>
  <c r="HBD115" i="62"/>
  <c r="HBB115" i="62"/>
  <c r="HAZ115" i="62"/>
  <c r="HAX115" i="62"/>
  <c r="HAV115" i="62"/>
  <c r="HAT115" i="62"/>
  <c r="HAR115" i="62"/>
  <c r="HAP115" i="62"/>
  <c r="HAN115" i="62"/>
  <c r="HAL115" i="62"/>
  <c r="HAJ115" i="62"/>
  <c r="HAH115" i="62"/>
  <c r="HAF115" i="62"/>
  <c r="HAD115" i="62"/>
  <c r="HAB115" i="62"/>
  <c r="GZZ115" i="62"/>
  <c r="GZX115" i="62"/>
  <c r="GZV115" i="62"/>
  <c r="GZT115" i="62"/>
  <c r="GZR115" i="62"/>
  <c r="GZP115" i="62"/>
  <c r="GZN115" i="62"/>
  <c r="GZL115" i="62"/>
  <c r="GZJ115" i="62"/>
  <c r="GZH115" i="62"/>
  <c r="GZF115" i="62"/>
  <c r="GZD115" i="62"/>
  <c r="GZB115" i="62"/>
  <c r="GYZ115" i="62"/>
  <c r="GYX115" i="62"/>
  <c r="GYV115" i="62"/>
  <c r="GYT115" i="62"/>
  <c r="GYR115" i="62"/>
  <c r="GYP115" i="62"/>
  <c r="GYN115" i="62"/>
  <c r="GYL115" i="62"/>
  <c r="GYJ115" i="62"/>
  <c r="GYH115" i="62"/>
  <c r="GYF115" i="62"/>
  <c r="GYD115" i="62"/>
  <c r="GYB115" i="62"/>
  <c r="GXZ115" i="62"/>
  <c r="GXX115" i="62"/>
  <c r="GXV115" i="62"/>
  <c r="GXT115" i="62"/>
  <c r="GXR115" i="62"/>
  <c r="GXP115" i="62"/>
  <c r="GXN115" i="62"/>
  <c r="GXL115" i="62"/>
  <c r="GXJ115" i="62"/>
  <c r="GXH115" i="62"/>
  <c r="GXF115" i="62"/>
  <c r="GXD115" i="62"/>
  <c r="GXB115" i="62"/>
  <c r="GWZ115" i="62"/>
  <c r="GWX115" i="62"/>
  <c r="GWV115" i="62"/>
  <c r="GWT115" i="62"/>
  <c r="GWR115" i="62"/>
  <c r="GWP115" i="62"/>
  <c r="GWN115" i="62"/>
  <c r="GWL115" i="62"/>
  <c r="GWJ115" i="62"/>
  <c r="GWH115" i="62"/>
  <c r="GWF115" i="62"/>
  <c r="GWD115" i="62"/>
  <c r="GWB115" i="62"/>
  <c r="GVZ115" i="62"/>
  <c r="GVX115" i="62"/>
  <c r="GVV115" i="62"/>
  <c r="GVT115" i="62"/>
  <c r="GVR115" i="62"/>
  <c r="GVP115" i="62"/>
  <c r="GVN115" i="62"/>
  <c r="GVL115" i="62"/>
  <c r="GVJ115" i="62"/>
  <c r="GVH115" i="62"/>
  <c r="GVF115" i="62"/>
  <c r="GVD115" i="62"/>
  <c r="GVB115" i="62"/>
  <c r="GUZ115" i="62"/>
  <c r="GUX115" i="62"/>
  <c r="GUV115" i="62"/>
  <c r="GUT115" i="62"/>
  <c r="GUR115" i="62"/>
  <c r="GUP115" i="62"/>
  <c r="GUN115" i="62"/>
  <c r="GUL115" i="62"/>
  <c r="GUJ115" i="62"/>
  <c r="GUH115" i="62"/>
  <c r="GUF115" i="62"/>
  <c r="GUD115" i="62"/>
  <c r="GUB115" i="62"/>
  <c r="GTZ115" i="62"/>
  <c r="GTX115" i="62"/>
  <c r="GTV115" i="62"/>
  <c r="GTT115" i="62"/>
  <c r="GTR115" i="62"/>
  <c r="GTP115" i="62"/>
  <c r="GTN115" i="62"/>
  <c r="GTL115" i="62"/>
  <c r="GTJ115" i="62"/>
  <c r="GTH115" i="62"/>
  <c r="GTF115" i="62"/>
  <c r="GTD115" i="62"/>
  <c r="GTB115" i="62"/>
  <c r="GSZ115" i="62"/>
  <c r="GSX115" i="62"/>
  <c r="GSV115" i="62"/>
  <c r="GST115" i="62"/>
  <c r="GSR115" i="62"/>
  <c r="GSP115" i="62"/>
  <c r="GSN115" i="62"/>
  <c r="GSL115" i="62"/>
  <c r="GSJ115" i="62"/>
  <c r="GSH115" i="62"/>
  <c r="GSF115" i="62"/>
  <c r="GSD115" i="62"/>
  <c r="GSB115" i="62"/>
  <c r="GRZ115" i="62"/>
  <c r="GRX115" i="62"/>
  <c r="GRV115" i="62"/>
  <c r="GRT115" i="62"/>
  <c r="GRR115" i="62"/>
  <c r="GRP115" i="62"/>
  <c r="GRN115" i="62"/>
  <c r="GRL115" i="62"/>
  <c r="GRJ115" i="62"/>
  <c r="GRH115" i="62"/>
  <c r="GRF115" i="62"/>
  <c r="GRD115" i="62"/>
  <c r="GRB115" i="62"/>
  <c r="GQZ115" i="62"/>
  <c r="GQX115" i="62"/>
  <c r="GQV115" i="62"/>
  <c r="GQT115" i="62"/>
  <c r="GQR115" i="62"/>
  <c r="GQP115" i="62"/>
  <c r="GQN115" i="62"/>
  <c r="GQL115" i="62"/>
  <c r="GQJ115" i="62"/>
  <c r="GQH115" i="62"/>
  <c r="GQF115" i="62"/>
  <c r="GQD115" i="62"/>
  <c r="GQB115" i="62"/>
  <c r="GPZ115" i="62"/>
  <c r="GPX115" i="62"/>
  <c r="GPV115" i="62"/>
  <c r="GPT115" i="62"/>
  <c r="GPR115" i="62"/>
  <c r="GPP115" i="62"/>
  <c r="GPN115" i="62"/>
  <c r="GPL115" i="62"/>
  <c r="GPJ115" i="62"/>
  <c r="GPH115" i="62"/>
  <c r="GPF115" i="62"/>
  <c r="GPD115" i="62"/>
  <c r="GPB115" i="62"/>
  <c r="GOZ115" i="62"/>
  <c r="GOX115" i="62"/>
  <c r="GOV115" i="62"/>
  <c r="GOT115" i="62"/>
  <c r="GOR115" i="62"/>
  <c r="GOP115" i="62"/>
  <c r="GON115" i="62"/>
  <c r="GOL115" i="62"/>
  <c r="GOJ115" i="62"/>
  <c r="GOH115" i="62"/>
  <c r="GOF115" i="62"/>
  <c r="GOD115" i="62"/>
  <c r="GOB115" i="62"/>
  <c r="GNZ115" i="62"/>
  <c r="GNX115" i="62"/>
  <c r="GNV115" i="62"/>
  <c r="GNT115" i="62"/>
  <c r="GNR115" i="62"/>
  <c r="GNP115" i="62"/>
  <c r="GNN115" i="62"/>
  <c r="GNL115" i="62"/>
  <c r="GNJ115" i="62"/>
  <c r="GNH115" i="62"/>
  <c r="GNF115" i="62"/>
  <c r="GND115" i="62"/>
  <c r="GNB115" i="62"/>
  <c r="GMZ115" i="62"/>
  <c r="GMX115" i="62"/>
  <c r="GMV115" i="62"/>
  <c r="GMT115" i="62"/>
  <c r="GMR115" i="62"/>
  <c r="GMP115" i="62"/>
  <c r="GMN115" i="62"/>
  <c r="GML115" i="62"/>
  <c r="GMJ115" i="62"/>
  <c r="GMH115" i="62"/>
  <c r="GMF115" i="62"/>
  <c r="GMD115" i="62"/>
  <c r="GMB115" i="62"/>
  <c r="GLZ115" i="62"/>
  <c r="GLX115" i="62"/>
  <c r="GLV115" i="62"/>
  <c r="GLT115" i="62"/>
  <c r="GLR115" i="62"/>
  <c r="GLP115" i="62"/>
  <c r="GLN115" i="62"/>
  <c r="GLL115" i="62"/>
  <c r="GLJ115" i="62"/>
  <c r="GLH115" i="62"/>
  <c r="GLF115" i="62"/>
  <c r="GLD115" i="62"/>
  <c r="GLB115" i="62"/>
  <c r="GKZ115" i="62"/>
  <c r="GKX115" i="62"/>
  <c r="GKV115" i="62"/>
  <c r="GKT115" i="62"/>
  <c r="GKR115" i="62"/>
  <c r="GKP115" i="62"/>
  <c r="GKN115" i="62"/>
  <c r="GKL115" i="62"/>
  <c r="GKJ115" i="62"/>
  <c r="GKH115" i="62"/>
  <c r="GKF115" i="62"/>
  <c r="GKD115" i="62"/>
  <c r="GKB115" i="62"/>
  <c r="GJZ115" i="62"/>
  <c r="GJX115" i="62"/>
  <c r="GJV115" i="62"/>
  <c r="GJT115" i="62"/>
  <c r="GJR115" i="62"/>
  <c r="GJP115" i="62"/>
  <c r="GJN115" i="62"/>
  <c r="GJL115" i="62"/>
  <c r="GJJ115" i="62"/>
  <c r="GJH115" i="62"/>
  <c r="GJF115" i="62"/>
  <c r="GJD115" i="62"/>
  <c r="GJB115" i="62"/>
  <c r="GIZ115" i="62"/>
  <c r="GIX115" i="62"/>
  <c r="GIV115" i="62"/>
  <c r="GIT115" i="62"/>
  <c r="GIR115" i="62"/>
  <c r="GIP115" i="62"/>
  <c r="GIN115" i="62"/>
  <c r="GIL115" i="62"/>
  <c r="GIJ115" i="62"/>
  <c r="GIH115" i="62"/>
  <c r="GIF115" i="62"/>
  <c r="GID115" i="62"/>
  <c r="GIB115" i="62"/>
  <c r="GHZ115" i="62"/>
  <c r="GHX115" i="62"/>
  <c r="GHV115" i="62"/>
  <c r="GHT115" i="62"/>
  <c r="GHR115" i="62"/>
  <c r="GHP115" i="62"/>
  <c r="GHN115" i="62"/>
  <c r="GHL115" i="62"/>
  <c r="GHJ115" i="62"/>
  <c r="GHH115" i="62"/>
  <c r="GHF115" i="62"/>
  <c r="GHD115" i="62"/>
  <c r="GHB115" i="62"/>
  <c r="GGZ115" i="62"/>
  <c r="GGX115" i="62"/>
  <c r="GGV115" i="62"/>
  <c r="GGT115" i="62"/>
  <c r="GGR115" i="62"/>
  <c r="GGP115" i="62"/>
  <c r="GGN115" i="62"/>
  <c r="GGL115" i="62"/>
  <c r="GGJ115" i="62"/>
  <c r="GGH115" i="62"/>
  <c r="GGF115" i="62"/>
  <c r="GGD115" i="62"/>
  <c r="GGB115" i="62"/>
  <c r="GFZ115" i="62"/>
  <c r="GFX115" i="62"/>
  <c r="GFV115" i="62"/>
  <c r="GFT115" i="62"/>
  <c r="GFR115" i="62"/>
  <c r="GFP115" i="62"/>
  <c r="GFN115" i="62"/>
  <c r="GFL115" i="62"/>
  <c r="GFJ115" i="62"/>
  <c r="GFH115" i="62"/>
  <c r="GFF115" i="62"/>
  <c r="GFD115" i="62"/>
  <c r="GFB115" i="62"/>
  <c r="GEZ115" i="62"/>
  <c r="GEX115" i="62"/>
  <c r="GEV115" i="62"/>
  <c r="GET115" i="62"/>
  <c r="GER115" i="62"/>
  <c r="GEP115" i="62"/>
  <c r="GEN115" i="62"/>
  <c r="GEL115" i="62"/>
  <c r="GEJ115" i="62"/>
  <c r="GEH115" i="62"/>
  <c r="GEF115" i="62"/>
  <c r="GED115" i="62"/>
  <c r="GEB115" i="62"/>
  <c r="GDZ115" i="62"/>
  <c r="GDX115" i="62"/>
  <c r="GDV115" i="62"/>
  <c r="GDT115" i="62"/>
  <c r="GDR115" i="62"/>
  <c r="GDP115" i="62"/>
  <c r="GDN115" i="62"/>
  <c r="GDL115" i="62"/>
  <c r="GDJ115" i="62"/>
  <c r="GDH115" i="62"/>
  <c r="GDF115" i="62"/>
  <c r="GDD115" i="62"/>
  <c r="GDB115" i="62"/>
  <c r="GCZ115" i="62"/>
  <c r="GCX115" i="62"/>
  <c r="GCV115" i="62"/>
  <c r="GCT115" i="62"/>
  <c r="GCR115" i="62"/>
  <c r="GCP115" i="62"/>
  <c r="GCN115" i="62"/>
  <c r="GCL115" i="62"/>
  <c r="GCJ115" i="62"/>
  <c r="GCH115" i="62"/>
  <c r="GCF115" i="62"/>
  <c r="GCD115" i="62"/>
  <c r="GCB115" i="62"/>
  <c r="GBZ115" i="62"/>
  <c r="GBX115" i="62"/>
  <c r="GBV115" i="62"/>
  <c r="GBT115" i="62"/>
  <c r="GBR115" i="62"/>
  <c r="GBP115" i="62"/>
  <c r="GBN115" i="62"/>
  <c r="GBL115" i="62"/>
  <c r="GBJ115" i="62"/>
  <c r="GBH115" i="62"/>
  <c r="GBF115" i="62"/>
  <c r="GBD115" i="62"/>
  <c r="GBB115" i="62"/>
  <c r="GAZ115" i="62"/>
  <c r="GAX115" i="62"/>
  <c r="GAV115" i="62"/>
  <c r="GAT115" i="62"/>
  <c r="GAR115" i="62"/>
  <c r="GAP115" i="62"/>
  <c r="GAN115" i="62"/>
  <c r="GAL115" i="62"/>
  <c r="GAJ115" i="62"/>
  <c r="GAH115" i="62"/>
  <c r="GAF115" i="62"/>
  <c r="GAD115" i="62"/>
  <c r="GAB115" i="62"/>
  <c r="FZZ115" i="62"/>
  <c r="FZX115" i="62"/>
  <c r="FZV115" i="62"/>
  <c r="FZT115" i="62"/>
  <c r="FZR115" i="62"/>
  <c r="FZP115" i="62"/>
  <c r="FZN115" i="62"/>
  <c r="FZL115" i="62"/>
  <c r="FZJ115" i="62"/>
  <c r="FZH115" i="62"/>
  <c r="FZF115" i="62"/>
  <c r="FZD115" i="62"/>
  <c r="FZB115" i="62"/>
  <c r="FYZ115" i="62"/>
  <c r="FYX115" i="62"/>
  <c r="FYV115" i="62"/>
  <c r="FYT115" i="62"/>
  <c r="FYR115" i="62"/>
  <c r="FYP115" i="62"/>
  <c r="FYN115" i="62"/>
  <c r="FYL115" i="62"/>
  <c r="FYJ115" i="62"/>
  <c r="FYH115" i="62"/>
  <c r="FYF115" i="62"/>
  <c r="FYD115" i="62"/>
  <c r="FYB115" i="62"/>
  <c r="FXZ115" i="62"/>
  <c r="FXX115" i="62"/>
  <c r="FXV115" i="62"/>
  <c r="FXT115" i="62"/>
  <c r="FXR115" i="62"/>
  <c r="FXP115" i="62"/>
  <c r="FXN115" i="62"/>
  <c r="FXL115" i="62"/>
  <c r="FXJ115" i="62"/>
  <c r="FXH115" i="62"/>
  <c r="FXF115" i="62"/>
  <c r="FXD115" i="62"/>
  <c r="FXB115" i="62"/>
  <c r="FWZ115" i="62"/>
  <c r="FWX115" i="62"/>
  <c r="FWV115" i="62"/>
  <c r="FWT115" i="62"/>
  <c r="FWR115" i="62"/>
  <c r="FWP115" i="62"/>
  <c r="FWN115" i="62"/>
  <c r="FWL115" i="62"/>
  <c r="FWJ115" i="62"/>
  <c r="FWH115" i="62"/>
  <c r="FWF115" i="62"/>
  <c r="FWD115" i="62"/>
  <c r="FWB115" i="62"/>
  <c r="FVZ115" i="62"/>
  <c r="FVX115" i="62"/>
  <c r="FVV115" i="62"/>
  <c r="FVT115" i="62"/>
  <c r="FVR115" i="62"/>
  <c r="FVP115" i="62"/>
  <c r="FVN115" i="62"/>
  <c r="FVL115" i="62"/>
  <c r="FVJ115" i="62"/>
  <c r="FVH115" i="62"/>
  <c r="FVF115" i="62"/>
  <c r="FVD115" i="62"/>
  <c r="FVB115" i="62"/>
  <c r="FUZ115" i="62"/>
  <c r="FUX115" i="62"/>
  <c r="FUV115" i="62"/>
  <c r="FUT115" i="62"/>
  <c r="FUR115" i="62"/>
  <c r="FUP115" i="62"/>
  <c r="FUN115" i="62"/>
  <c r="FUL115" i="62"/>
  <c r="FUJ115" i="62"/>
  <c r="FUH115" i="62"/>
  <c r="FUF115" i="62"/>
  <c r="FUD115" i="62"/>
  <c r="FUB115" i="62"/>
  <c r="FTZ115" i="62"/>
  <c r="FTX115" i="62"/>
  <c r="FTV115" i="62"/>
  <c r="FTT115" i="62"/>
  <c r="FTR115" i="62"/>
  <c r="FTP115" i="62"/>
  <c r="FTN115" i="62"/>
  <c r="FTL115" i="62"/>
  <c r="FTJ115" i="62"/>
  <c r="FTH115" i="62"/>
  <c r="FTF115" i="62"/>
  <c r="FTD115" i="62"/>
  <c r="FTB115" i="62"/>
  <c r="FSZ115" i="62"/>
  <c r="FSX115" i="62"/>
  <c r="FSV115" i="62"/>
  <c r="FST115" i="62"/>
  <c r="FSR115" i="62"/>
  <c r="FSP115" i="62"/>
  <c r="FSN115" i="62"/>
  <c r="FSL115" i="62"/>
  <c r="FSJ115" i="62"/>
  <c r="FSH115" i="62"/>
  <c r="FSF115" i="62"/>
  <c r="FSD115" i="62"/>
  <c r="FSB115" i="62"/>
  <c r="FRZ115" i="62"/>
  <c r="FRX115" i="62"/>
  <c r="FRV115" i="62"/>
  <c r="FRT115" i="62"/>
  <c r="FRR115" i="62"/>
  <c r="FRP115" i="62"/>
  <c r="FRN115" i="62"/>
  <c r="FRL115" i="62"/>
  <c r="FRJ115" i="62"/>
  <c r="FRH115" i="62"/>
  <c r="FRF115" i="62"/>
  <c r="FRD115" i="62"/>
  <c r="FRB115" i="62"/>
  <c r="FQZ115" i="62"/>
  <c r="FQX115" i="62"/>
  <c r="FQV115" i="62"/>
  <c r="FQT115" i="62"/>
  <c r="FQR115" i="62"/>
  <c r="FQP115" i="62"/>
  <c r="FQN115" i="62"/>
  <c r="FQL115" i="62"/>
  <c r="FQJ115" i="62"/>
  <c r="FQH115" i="62"/>
  <c r="FQF115" i="62"/>
  <c r="FQD115" i="62"/>
  <c r="FQB115" i="62"/>
  <c r="FPZ115" i="62"/>
  <c r="FPX115" i="62"/>
  <c r="FPV115" i="62"/>
  <c r="FPT115" i="62"/>
  <c r="FPR115" i="62"/>
  <c r="FPP115" i="62"/>
  <c r="FPN115" i="62"/>
  <c r="FPL115" i="62"/>
  <c r="FPJ115" i="62"/>
  <c r="FPH115" i="62"/>
  <c r="FPF115" i="62"/>
  <c r="FPD115" i="62"/>
  <c r="FPB115" i="62"/>
  <c r="FOZ115" i="62"/>
  <c r="FOX115" i="62"/>
  <c r="FOV115" i="62"/>
  <c r="FOT115" i="62"/>
  <c r="FOR115" i="62"/>
  <c r="FOP115" i="62"/>
  <c r="FON115" i="62"/>
  <c r="FOL115" i="62"/>
  <c r="FOJ115" i="62"/>
  <c r="FOH115" i="62"/>
  <c r="FOF115" i="62"/>
  <c r="FOD115" i="62"/>
  <c r="FOB115" i="62"/>
  <c r="FNZ115" i="62"/>
  <c r="FNX115" i="62"/>
  <c r="FNV115" i="62"/>
  <c r="FNT115" i="62"/>
  <c r="FNR115" i="62"/>
  <c r="FNP115" i="62"/>
  <c r="FNN115" i="62"/>
  <c r="FNL115" i="62"/>
  <c r="FNJ115" i="62"/>
  <c r="FNH115" i="62"/>
  <c r="FNF115" i="62"/>
  <c r="FND115" i="62"/>
  <c r="FNB115" i="62"/>
  <c r="FMZ115" i="62"/>
  <c r="FMX115" i="62"/>
  <c r="FMV115" i="62"/>
  <c r="FMT115" i="62"/>
  <c r="FMR115" i="62"/>
  <c r="FMP115" i="62"/>
  <c r="FMN115" i="62"/>
  <c r="FML115" i="62"/>
  <c r="FMJ115" i="62"/>
  <c r="FMH115" i="62"/>
  <c r="FMF115" i="62"/>
  <c r="FMD115" i="62"/>
  <c r="FMB115" i="62"/>
  <c r="FLZ115" i="62"/>
  <c r="FLX115" i="62"/>
  <c r="FLV115" i="62"/>
  <c r="FLT115" i="62"/>
  <c r="FLR115" i="62"/>
  <c r="FLP115" i="62"/>
  <c r="FLN115" i="62"/>
  <c r="FLL115" i="62"/>
  <c r="FLJ115" i="62"/>
  <c r="FLH115" i="62"/>
  <c r="FLF115" i="62"/>
  <c r="FLD115" i="62"/>
  <c r="FLB115" i="62"/>
  <c r="FKZ115" i="62"/>
  <c r="FKX115" i="62"/>
  <c r="FKV115" i="62"/>
  <c r="FKT115" i="62"/>
  <c r="FKR115" i="62"/>
  <c r="FKP115" i="62"/>
  <c r="FKN115" i="62"/>
  <c r="FKL115" i="62"/>
  <c r="FKJ115" i="62"/>
  <c r="FKH115" i="62"/>
  <c r="FKF115" i="62"/>
  <c r="FKD115" i="62"/>
  <c r="FKB115" i="62"/>
  <c r="FJZ115" i="62"/>
  <c r="FJX115" i="62"/>
  <c r="FJV115" i="62"/>
  <c r="FJT115" i="62"/>
  <c r="FJR115" i="62"/>
  <c r="FJP115" i="62"/>
  <c r="FJN115" i="62"/>
  <c r="FJL115" i="62"/>
  <c r="FJJ115" i="62"/>
  <c r="FJH115" i="62"/>
  <c r="FJF115" i="62"/>
  <c r="FJD115" i="62"/>
  <c r="FJB115" i="62"/>
  <c r="FIZ115" i="62"/>
  <c r="FIX115" i="62"/>
  <c r="FIV115" i="62"/>
  <c r="FIT115" i="62"/>
  <c r="FIR115" i="62"/>
  <c r="FIP115" i="62"/>
  <c r="FIN115" i="62"/>
  <c r="FIL115" i="62"/>
  <c r="FIJ115" i="62"/>
  <c r="FIH115" i="62"/>
  <c r="FIF115" i="62"/>
  <c r="FID115" i="62"/>
  <c r="FIB115" i="62"/>
  <c r="FHZ115" i="62"/>
  <c r="FHX115" i="62"/>
  <c r="FHV115" i="62"/>
  <c r="FHT115" i="62"/>
  <c r="FHR115" i="62"/>
  <c r="FHP115" i="62"/>
  <c r="FHN115" i="62"/>
  <c r="FHL115" i="62"/>
  <c r="FHJ115" i="62"/>
  <c r="FHH115" i="62"/>
  <c r="FHF115" i="62"/>
  <c r="FHD115" i="62"/>
  <c r="FHB115" i="62"/>
  <c r="FGZ115" i="62"/>
  <c r="FGX115" i="62"/>
  <c r="FGV115" i="62"/>
  <c r="FGT115" i="62"/>
  <c r="FGR115" i="62"/>
  <c r="FGP115" i="62"/>
  <c r="FGN115" i="62"/>
  <c r="FGL115" i="62"/>
  <c r="FGJ115" i="62"/>
  <c r="FGH115" i="62"/>
  <c r="FGF115" i="62"/>
  <c r="FGD115" i="62"/>
  <c r="FGB115" i="62"/>
  <c r="FFZ115" i="62"/>
  <c r="FFX115" i="62"/>
  <c r="FFV115" i="62"/>
  <c r="FFT115" i="62"/>
  <c r="FFR115" i="62"/>
  <c r="FFP115" i="62"/>
  <c r="FFN115" i="62"/>
  <c r="FFL115" i="62"/>
  <c r="FFJ115" i="62"/>
  <c r="FFH115" i="62"/>
  <c r="FFF115" i="62"/>
  <c r="FFD115" i="62"/>
  <c r="FFB115" i="62"/>
  <c r="FEZ115" i="62"/>
  <c r="FEX115" i="62"/>
  <c r="FEV115" i="62"/>
  <c r="FET115" i="62"/>
  <c r="FER115" i="62"/>
  <c r="FEP115" i="62"/>
  <c r="FEN115" i="62"/>
  <c r="FEL115" i="62"/>
  <c r="FEJ115" i="62"/>
  <c r="FEH115" i="62"/>
  <c r="FEF115" i="62"/>
  <c r="FED115" i="62"/>
  <c r="FEB115" i="62"/>
  <c r="FDZ115" i="62"/>
  <c r="FDX115" i="62"/>
  <c r="FDV115" i="62"/>
  <c r="FDT115" i="62"/>
  <c r="FDR115" i="62"/>
  <c r="FDP115" i="62"/>
  <c r="FDN115" i="62"/>
  <c r="FDL115" i="62"/>
  <c r="FDJ115" i="62"/>
  <c r="FDH115" i="62"/>
  <c r="FDF115" i="62"/>
  <c r="FDD115" i="62"/>
  <c r="FDB115" i="62"/>
  <c r="FCZ115" i="62"/>
  <c r="FCX115" i="62"/>
  <c r="FCV115" i="62"/>
  <c r="FCT115" i="62"/>
  <c r="FCR115" i="62"/>
  <c r="FCP115" i="62"/>
  <c r="FCN115" i="62"/>
  <c r="FCL115" i="62"/>
  <c r="FCJ115" i="62"/>
  <c r="FCH115" i="62"/>
  <c r="FCF115" i="62"/>
  <c r="FCD115" i="62"/>
  <c r="FCB115" i="62"/>
  <c r="FBZ115" i="62"/>
  <c r="FBX115" i="62"/>
  <c r="FBV115" i="62"/>
  <c r="FBT115" i="62"/>
  <c r="FBR115" i="62"/>
  <c r="FBP115" i="62"/>
  <c r="FBN115" i="62"/>
  <c r="FBL115" i="62"/>
  <c r="FBJ115" i="62"/>
  <c r="FBH115" i="62"/>
  <c r="FBF115" i="62"/>
  <c r="FBD115" i="62"/>
  <c r="FBB115" i="62"/>
  <c r="FAZ115" i="62"/>
  <c r="FAX115" i="62"/>
  <c r="FAV115" i="62"/>
  <c r="FAT115" i="62"/>
  <c r="FAR115" i="62"/>
  <c r="FAP115" i="62"/>
  <c r="FAN115" i="62"/>
  <c r="FAL115" i="62"/>
  <c r="FAJ115" i="62"/>
  <c r="FAH115" i="62"/>
  <c r="FAF115" i="62"/>
  <c r="FAD115" i="62"/>
  <c r="FAB115" i="62"/>
  <c r="EZZ115" i="62"/>
  <c r="EZX115" i="62"/>
  <c r="EZV115" i="62"/>
  <c r="EZT115" i="62"/>
  <c r="EZR115" i="62"/>
  <c r="EZP115" i="62"/>
  <c r="EZN115" i="62"/>
  <c r="EZL115" i="62"/>
  <c r="EZJ115" i="62"/>
  <c r="EZH115" i="62"/>
  <c r="EZF115" i="62"/>
  <c r="EZD115" i="62"/>
  <c r="EZB115" i="62"/>
  <c r="EYZ115" i="62"/>
  <c r="EYX115" i="62"/>
  <c r="EYV115" i="62"/>
  <c r="EYT115" i="62"/>
  <c r="EYR115" i="62"/>
  <c r="EYP115" i="62"/>
  <c r="EYN115" i="62"/>
  <c r="EYL115" i="62"/>
  <c r="EYJ115" i="62"/>
  <c r="EYH115" i="62"/>
  <c r="EYF115" i="62"/>
  <c r="EYD115" i="62"/>
  <c r="EYB115" i="62"/>
  <c r="EXZ115" i="62"/>
  <c r="EXX115" i="62"/>
  <c r="EXV115" i="62"/>
  <c r="EXT115" i="62"/>
  <c r="EXR115" i="62"/>
  <c r="EXP115" i="62"/>
  <c r="EXN115" i="62"/>
  <c r="EXL115" i="62"/>
  <c r="EXJ115" i="62"/>
  <c r="EXH115" i="62"/>
  <c r="EXF115" i="62"/>
  <c r="EXD115" i="62"/>
  <c r="EXB115" i="62"/>
  <c r="EWZ115" i="62"/>
  <c r="EWX115" i="62"/>
  <c r="EWV115" i="62"/>
  <c r="EWT115" i="62"/>
  <c r="EWR115" i="62"/>
  <c r="EWP115" i="62"/>
  <c r="EWN115" i="62"/>
  <c r="EWL115" i="62"/>
  <c r="EWJ115" i="62"/>
  <c r="EWH115" i="62"/>
  <c r="EWF115" i="62"/>
  <c r="EWD115" i="62"/>
  <c r="EWB115" i="62"/>
  <c r="EVZ115" i="62"/>
  <c r="EVX115" i="62"/>
  <c r="EVV115" i="62"/>
  <c r="EVT115" i="62"/>
  <c r="EVR115" i="62"/>
  <c r="EVP115" i="62"/>
  <c r="EVN115" i="62"/>
  <c r="EVL115" i="62"/>
  <c r="EVJ115" i="62"/>
  <c r="EVH115" i="62"/>
  <c r="EVF115" i="62"/>
  <c r="EVD115" i="62"/>
  <c r="EVB115" i="62"/>
  <c r="EUZ115" i="62"/>
  <c r="EUX115" i="62"/>
  <c r="EUV115" i="62"/>
  <c r="EUT115" i="62"/>
  <c r="EUR115" i="62"/>
  <c r="EUP115" i="62"/>
  <c r="EUN115" i="62"/>
  <c r="EUL115" i="62"/>
  <c r="EUJ115" i="62"/>
  <c r="EUH115" i="62"/>
  <c r="EUF115" i="62"/>
  <c r="EUD115" i="62"/>
  <c r="EUB115" i="62"/>
  <c r="ETZ115" i="62"/>
  <c r="ETX115" i="62"/>
  <c r="ETV115" i="62"/>
  <c r="ETT115" i="62"/>
  <c r="ETR115" i="62"/>
  <c r="ETP115" i="62"/>
  <c r="ETN115" i="62"/>
  <c r="ETL115" i="62"/>
  <c r="ETJ115" i="62"/>
  <c r="ETH115" i="62"/>
  <c r="ETF115" i="62"/>
  <c r="ETD115" i="62"/>
  <c r="ETB115" i="62"/>
  <c r="ESZ115" i="62"/>
  <c r="ESX115" i="62"/>
  <c r="ESV115" i="62"/>
  <c r="EST115" i="62"/>
  <c r="ESR115" i="62"/>
  <c r="ESP115" i="62"/>
  <c r="ESN115" i="62"/>
  <c r="ESL115" i="62"/>
  <c r="ESJ115" i="62"/>
  <c r="ESH115" i="62"/>
  <c r="ESF115" i="62"/>
  <c r="ESD115" i="62"/>
  <c r="ESB115" i="62"/>
  <c r="ERZ115" i="62"/>
  <c r="ERX115" i="62"/>
  <c r="ERV115" i="62"/>
  <c r="ERT115" i="62"/>
  <c r="ERR115" i="62"/>
  <c r="ERP115" i="62"/>
  <c r="ERN115" i="62"/>
  <c r="ERL115" i="62"/>
  <c r="ERJ115" i="62"/>
  <c r="ERH115" i="62"/>
  <c r="ERF115" i="62"/>
  <c r="ERD115" i="62"/>
  <c r="ERB115" i="62"/>
  <c r="EQZ115" i="62"/>
  <c r="EQX115" i="62"/>
  <c r="EQV115" i="62"/>
  <c r="EQT115" i="62"/>
  <c r="EQR115" i="62"/>
  <c r="EQP115" i="62"/>
  <c r="EQN115" i="62"/>
  <c r="EQL115" i="62"/>
  <c r="EQJ115" i="62"/>
  <c r="EQH115" i="62"/>
  <c r="EQF115" i="62"/>
  <c r="EQD115" i="62"/>
  <c r="EQB115" i="62"/>
  <c r="EPZ115" i="62"/>
  <c r="EPX115" i="62"/>
  <c r="EPV115" i="62"/>
  <c r="EPT115" i="62"/>
  <c r="EPR115" i="62"/>
  <c r="EPP115" i="62"/>
  <c r="EPN115" i="62"/>
  <c r="EPL115" i="62"/>
  <c r="EPJ115" i="62"/>
  <c r="EPH115" i="62"/>
  <c r="EPF115" i="62"/>
  <c r="EPD115" i="62"/>
  <c r="EPB115" i="62"/>
  <c r="EOZ115" i="62"/>
  <c r="EOX115" i="62"/>
  <c r="EOV115" i="62"/>
  <c r="EOT115" i="62"/>
  <c r="EOR115" i="62"/>
  <c r="EOP115" i="62"/>
  <c r="EON115" i="62"/>
  <c r="EOL115" i="62"/>
  <c r="EOJ115" i="62"/>
  <c r="EOH115" i="62"/>
  <c r="EOF115" i="62"/>
  <c r="EOD115" i="62"/>
  <c r="EOB115" i="62"/>
  <c r="ENZ115" i="62"/>
  <c r="ENX115" i="62"/>
  <c r="ENV115" i="62"/>
  <c r="ENT115" i="62"/>
  <c r="ENR115" i="62"/>
  <c r="ENP115" i="62"/>
  <c r="ENN115" i="62"/>
  <c r="ENL115" i="62"/>
  <c r="ENJ115" i="62"/>
  <c r="ENH115" i="62"/>
  <c r="ENF115" i="62"/>
  <c r="END115" i="62"/>
  <c r="ENB115" i="62"/>
  <c r="EMZ115" i="62"/>
  <c r="EMX115" i="62"/>
  <c r="EMV115" i="62"/>
  <c r="EMT115" i="62"/>
  <c r="EMR115" i="62"/>
  <c r="EMP115" i="62"/>
  <c r="EMN115" i="62"/>
  <c r="EML115" i="62"/>
  <c r="EMJ115" i="62"/>
  <c r="EMH115" i="62"/>
  <c r="EMF115" i="62"/>
  <c r="EMD115" i="62"/>
  <c r="EMB115" i="62"/>
  <c r="ELZ115" i="62"/>
  <c r="ELX115" i="62"/>
  <c r="ELV115" i="62"/>
  <c r="ELT115" i="62"/>
  <c r="ELR115" i="62"/>
  <c r="ELP115" i="62"/>
  <c r="ELN115" i="62"/>
  <c r="ELL115" i="62"/>
  <c r="ELJ115" i="62"/>
  <c r="ELH115" i="62"/>
  <c r="ELF115" i="62"/>
  <c r="ELD115" i="62"/>
  <c r="ELB115" i="62"/>
  <c r="EKZ115" i="62"/>
  <c r="EKX115" i="62"/>
  <c r="EKV115" i="62"/>
  <c r="EKT115" i="62"/>
  <c r="EKR115" i="62"/>
  <c r="EKP115" i="62"/>
  <c r="EKN115" i="62"/>
  <c r="EKL115" i="62"/>
  <c r="EKJ115" i="62"/>
  <c r="EKH115" i="62"/>
  <c r="EKF115" i="62"/>
  <c r="EKD115" i="62"/>
  <c r="EKB115" i="62"/>
  <c r="EJZ115" i="62"/>
  <c r="EJX115" i="62"/>
  <c r="EJV115" i="62"/>
  <c r="EJT115" i="62"/>
  <c r="EJR115" i="62"/>
  <c r="EJP115" i="62"/>
  <c r="EJN115" i="62"/>
  <c r="EJL115" i="62"/>
  <c r="EJJ115" i="62"/>
  <c r="EJH115" i="62"/>
  <c r="EJF115" i="62"/>
  <c r="EJD115" i="62"/>
  <c r="EJB115" i="62"/>
  <c r="EIZ115" i="62"/>
  <c r="EIX115" i="62"/>
  <c r="EIV115" i="62"/>
  <c r="EIT115" i="62"/>
  <c r="EIR115" i="62"/>
  <c r="EIP115" i="62"/>
  <c r="EIN115" i="62"/>
  <c r="EIL115" i="62"/>
  <c r="EIJ115" i="62"/>
  <c r="EIH115" i="62"/>
  <c r="EIF115" i="62"/>
  <c r="EID115" i="62"/>
  <c r="EIB115" i="62"/>
  <c r="EHZ115" i="62"/>
  <c r="EHX115" i="62"/>
  <c r="EHV115" i="62"/>
  <c r="EHT115" i="62"/>
  <c r="EHR115" i="62"/>
  <c r="EHP115" i="62"/>
  <c r="EHN115" i="62"/>
  <c r="EHL115" i="62"/>
  <c r="EHJ115" i="62"/>
  <c r="EHH115" i="62"/>
  <c r="EHF115" i="62"/>
  <c r="EHD115" i="62"/>
  <c r="EHB115" i="62"/>
  <c r="EGZ115" i="62"/>
  <c r="EGX115" i="62"/>
  <c r="EGV115" i="62"/>
  <c r="EGT115" i="62"/>
  <c r="EGR115" i="62"/>
  <c r="EGP115" i="62"/>
  <c r="EGN115" i="62"/>
  <c r="EGL115" i="62"/>
  <c r="EGJ115" i="62"/>
  <c r="EGH115" i="62"/>
  <c r="EGF115" i="62"/>
  <c r="EGD115" i="62"/>
  <c r="EGB115" i="62"/>
  <c r="EFZ115" i="62"/>
  <c r="EFX115" i="62"/>
  <c r="EFV115" i="62"/>
  <c r="EFT115" i="62"/>
  <c r="EFR115" i="62"/>
  <c r="EFP115" i="62"/>
  <c r="EFN115" i="62"/>
  <c r="EFL115" i="62"/>
  <c r="EFJ115" i="62"/>
  <c r="EFH115" i="62"/>
  <c r="EFF115" i="62"/>
  <c r="EFD115" i="62"/>
  <c r="EFB115" i="62"/>
  <c r="EEZ115" i="62"/>
  <c r="EEX115" i="62"/>
  <c r="EEV115" i="62"/>
  <c r="EET115" i="62"/>
  <c r="EER115" i="62"/>
  <c r="EEP115" i="62"/>
  <c r="EEN115" i="62"/>
  <c r="EEL115" i="62"/>
  <c r="EEJ115" i="62"/>
  <c r="EEH115" i="62"/>
  <c r="EEF115" i="62"/>
  <c r="EED115" i="62"/>
  <c r="EEB115" i="62"/>
  <c r="EDZ115" i="62"/>
  <c r="EDX115" i="62"/>
  <c r="EDV115" i="62"/>
  <c r="EDT115" i="62"/>
  <c r="EDR115" i="62"/>
  <c r="EDP115" i="62"/>
  <c r="EDN115" i="62"/>
  <c r="EDL115" i="62"/>
  <c r="EDJ115" i="62"/>
  <c r="EDH115" i="62"/>
  <c r="EDF115" i="62"/>
  <c r="EDD115" i="62"/>
  <c r="EDB115" i="62"/>
  <c r="ECZ115" i="62"/>
  <c r="ECX115" i="62"/>
  <c r="ECV115" i="62"/>
  <c r="ECT115" i="62"/>
  <c r="ECR115" i="62"/>
  <c r="ECP115" i="62"/>
  <c r="ECN115" i="62"/>
  <c r="ECL115" i="62"/>
  <c r="ECJ115" i="62"/>
  <c r="ECH115" i="62"/>
  <c r="ECF115" i="62"/>
  <c r="ECD115" i="62"/>
  <c r="ECB115" i="62"/>
  <c r="EBZ115" i="62"/>
  <c r="EBX115" i="62"/>
  <c r="EBV115" i="62"/>
  <c r="EBT115" i="62"/>
  <c r="EBR115" i="62"/>
  <c r="EBP115" i="62"/>
  <c r="EBN115" i="62"/>
  <c r="EBL115" i="62"/>
  <c r="EBJ115" i="62"/>
  <c r="EBH115" i="62"/>
  <c r="EBF115" i="62"/>
  <c r="EBD115" i="62"/>
  <c r="EBB115" i="62"/>
  <c r="EAZ115" i="62"/>
  <c r="EAX115" i="62"/>
  <c r="EAV115" i="62"/>
  <c r="EAT115" i="62"/>
  <c r="EAR115" i="62"/>
  <c r="EAP115" i="62"/>
  <c r="EAN115" i="62"/>
  <c r="EAL115" i="62"/>
  <c r="EAJ115" i="62"/>
  <c r="EAH115" i="62"/>
  <c r="EAF115" i="62"/>
  <c r="EAD115" i="62"/>
  <c r="EAB115" i="62"/>
  <c r="DZZ115" i="62"/>
  <c r="DZX115" i="62"/>
  <c r="DZV115" i="62"/>
  <c r="DZT115" i="62"/>
  <c r="DZR115" i="62"/>
  <c r="DZP115" i="62"/>
  <c r="DZN115" i="62"/>
  <c r="DZL115" i="62"/>
  <c r="DZJ115" i="62"/>
  <c r="DZH115" i="62"/>
  <c r="DZF115" i="62"/>
  <c r="DZD115" i="62"/>
  <c r="DZB115" i="62"/>
  <c r="DYZ115" i="62"/>
  <c r="DYX115" i="62"/>
  <c r="DYV115" i="62"/>
  <c r="DYT115" i="62"/>
  <c r="DYR115" i="62"/>
  <c r="DYP115" i="62"/>
  <c r="DYN115" i="62"/>
  <c r="DYL115" i="62"/>
  <c r="DYJ115" i="62"/>
  <c r="DYH115" i="62"/>
  <c r="DYF115" i="62"/>
  <c r="DYD115" i="62"/>
  <c r="DYB115" i="62"/>
  <c r="DXZ115" i="62"/>
  <c r="DXX115" i="62"/>
  <c r="DXV115" i="62"/>
  <c r="DXT115" i="62"/>
  <c r="DXR115" i="62"/>
  <c r="DXP115" i="62"/>
  <c r="DXN115" i="62"/>
  <c r="DXL115" i="62"/>
  <c r="DXJ115" i="62"/>
  <c r="DXH115" i="62"/>
  <c r="DXF115" i="62"/>
  <c r="DXD115" i="62"/>
  <c r="DXB115" i="62"/>
  <c r="DWZ115" i="62"/>
  <c r="DWX115" i="62"/>
  <c r="DWV115" i="62"/>
  <c r="DWT115" i="62"/>
  <c r="DWR115" i="62"/>
  <c r="DWP115" i="62"/>
  <c r="DWN115" i="62"/>
  <c r="DWL115" i="62"/>
  <c r="DWJ115" i="62"/>
  <c r="DWH115" i="62"/>
  <c r="DWF115" i="62"/>
  <c r="DWD115" i="62"/>
  <c r="DWB115" i="62"/>
  <c r="DVZ115" i="62"/>
  <c r="DVX115" i="62"/>
  <c r="DVV115" i="62"/>
  <c r="DVT115" i="62"/>
  <c r="DVR115" i="62"/>
  <c r="DVP115" i="62"/>
  <c r="DVN115" i="62"/>
  <c r="DVL115" i="62"/>
  <c r="DVJ115" i="62"/>
  <c r="DVH115" i="62"/>
  <c r="DVF115" i="62"/>
  <c r="DVD115" i="62"/>
  <c r="DVB115" i="62"/>
  <c r="DUZ115" i="62"/>
  <c r="DUX115" i="62"/>
  <c r="DUV115" i="62"/>
  <c r="DUT115" i="62"/>
  <c r="DUR115" i="62"/>
  <c r="DUP115" i="62"/>
  <c r="DUN115" i="62"/>
  <c r="DUL115" i="62"/>
  <c r="DUJ115" i="62"/>
  <c r="DUH115" i="62"/>
  <c r="DUF115" i="62"/>
  <c r="DUD115" i="62"/>
  <c r="DUB115" i="62"/>
  <c r="DTZ115" i="62"/>
  <c r="DTX115" i="62"/>
  <c r="DTV115" i="62"/>
  <c r="DTT115" i="62"/>
  <c r="DTR115" i="62"/>
  <c r="DTP115" i="62"/>
  <c r="DTN115" i="62"/>
  <c r="DTL115" i="62"/>
  <c r="DTJ115" i="62"/>
  <c r="DTH115" i="62"/>
  <c r="DTF115" i="62"/>
  <c r="DTD115" i="62"/>
  <c r="DTB115" i="62"/>
  <c r="DSZ115" i="62"/>
  <c r="DSX115" i="62"/>
  <c r="DSV115" i="62"/>
  <c r="DST115" i="62"/>
  <c r="DSR115" i="62"/>
  <c r="DSP115" i="62"/>
  <c r="DSN115" i="62"/>
  <c r="DSL115" i="62"/>
  <c r="DSJ115" i="62"/>
  <c r="DSH115" i="62"/>
  <c r="DSF115" i="62"/>
  <c r="DSD115" i="62"/>
  <c r="DSB115" i="62"/>
  <c r="DRZ115" i="62"/>
  <c r="DRX115" i="62"/>
  <c r="DRV115" i="62"/>
  <c r="DRT115" i="62"/>
  <c r="DRR115" i="62"/>
  <c r="DRP115" i="62"/>
  <c r="DRN115" i="62"/>
  <c r="DRL115" i="62"/>
  <c r="DRJ115" i="62"/>
  <c r="DRH115" i="62"/>
  <c r="DRF115" i="62"/>
  <c r="DRD115" i="62"/>
  <c r="DRB115" i="62"/>
  <c r="DQZ115" i="62"/>
  <c r="DQX115" i="62"/>
  <c r="DQV115" i="62"/>
  <c r="DQT115" i="62"/>
  <c r="DQR115" i="62"/>
  <c r="DQP115" i="62"/>
  <c r="DQN115" i="62"/>
  <c r="DQL115" i="62"/>
  <c r="DQJ115" i="62"/>
  <c r="DQH115" i="62"/>
  <c r="DQF115" i="62"/>
  <c r="DQD115" i="62"/>
  <c r="DQB115" i="62"/>
  <c r="DPZ115" i="62"/>
  <c r="DPX115" i="62"/>
  <c r="DPV115" i="62"/>
  <c r="DPT115" i="62"/>
  <c r="DPR115" i="62"/>
  <c r="DPP115" i="62"/>
  <c r="DPN115" i="62"/>
  <c r="DPL115" i="62"/>
  <c r="DPJ115" i="62"/>
  <c r="DPH115" i="62"/>
  <c r="DPF115" i="62"/>
  <c r="DPD115" i="62"/>
  <c r="DPB115" i="62"/>
  <c r="DOZ115" i="62"/>
  <c r="DOX115" i="62"/>
  <c r="DOV115" i="62"/>
  <c r="DOT115" i="62"/>
  <c r="DOR115" i="62"/>
  <c r="DOP115" i="62"/>
  <c r="DON115" i="62"/>
  <c r="DOL115" i="62"/>
  <c r="DOJ115" i="62"/>
  <c r="DOH115" i="62"/>
  <c r="DOF115" i="62"/>
  <c r="DOD115" i="62"/>
  <c r="DOB115" i="62"/>
  <c r="DNZ115" i="62"/>
  <c r="DNX115" i="62"/>
  <c r="DNV115" i="62"/>
  <c r="DNT115" i="62"/>
  <c r="DNR115" i="62"/>
  <c r="DNP115" i="62"/>
  <c r="DNN115" i="62"/>
  <c r="DNL115" i="62"/>
  <c r="DNJ115" i="62"/>
  <c r="DNH115" i="62"/>
  <c r="DNF115" i="62"/>
  <c r="DND115" i="62"/>
  <c r="DNB115" i="62"/>
  <c r="DMZ115" i="62"/>
  <c r="DMX115" i="62"/>
  <c r="DMV115" i="62"/>
  <c r="DMT115" i="62"/>
  <c r="DMR115" i="62"/>
  <c r="DMP115" i="62"/>
  <c r="DMN115" i="62"/>
  <c r="DML115" i="62"/>
  <c r="DMJ115" i="62"/>
  <c r="DMH115" i="62"/>
  <c r="DMF115" i="62"/>
  <c r="DMD115" i="62"/>
  <c r="DMB115" i="62"/>
  <c r="DLZ115" i="62"/>
  <c r="DLX115" i="62"/>
  <c r="DLV115" i="62"/>
  <c r="DLT115" i="62"/>
  <c r="DLR115" i="62"/>
  <c r="DLP115" i="62"/>
  <c r="DLN115" i="62"/>
  <c r="DLL115" i="62"/>
  <c r="DLJ115" i="62"/>
  <c r="DLH115" i="62"/>
  <c r="DLF115" i="62"/>
  <c r="DLD115" i="62"/>
  <c r="DLB115" i="62"/>
  <c r="DKZ115" i="62"/>
  <c r="DKX115" i="62"/>
  <c r="DKV115" i="62"/>
  <c r="DKT115" i="62"/>
  <c r="DKR115" i="62"/>
  <c r="DKP115" i="62"/>
  <c r="DKN115" i="62"/>
  <c r="DKL115" i="62"/>
  <c r="DKJ115" i="62"/>
  <c r="DKH115" i="62"/>
  <c r="DKF115" i="62"/>
  <c r="DKD115" i="62"/>
  <c r="DKB115" i="62"/>
  <c r="DJZ115" i="62"/>
  <c r="DJX115" i="62"/>
  <c r="DJV115" i="62"/>
  <c r="DJT115" i="62"/>
  <c r="DJR115" i="62"/>
  <c r="DJP115" i="62"/>
  <c r="DJN115" i="62"/>
  <c r="DJL115" i="62"/>
  <c r="DJJ115" i="62"/>
  <c r="DJH115" i="62"/>
  <c r="DJF115" i="62"/>
  <c r="DJD115" i="62"/>
  <c r="DJB115" i="62"/>
  <c r="DIZ115" i="62"/>
  <c r="DIX115" i="62"/>
  <c r="DIV115" i="62"/>
  <c r="DIT115" i="62"/>
  <c r="DIR115" i="62"/>
  <c r="DIP115" i="62"/>
  <c r="DIN115" i="62"/>
  <c r="DIL115" i="62"/>
  <c r="DIJ115" i="62"/>
  <c r="DIH115" i="62"/>
  <c r="DIF115" i="62"/>
  <c r="DID115" i="62"/>
  <c r="DIB115" i="62"/>
  <c r="DHZ115" i="62"/>
  <c r="DHX115" i="62"/>
  <c r="DHV115" i="62"/>
  <c r="DHT115" i="62"/>
  <c r="DHR115" i="62"/>
  <c r="DHP115" i="62"/>
  <c r="DHN115" i="62"/>
  <c r="DHL115" i="62"/>
  <c r="DHJ115" i="62"/>
  <c r="DHH115" i="62"/>
  <c r="DHF115" i="62"/>
  <c r="DHD115" i="62"/>
  <c r="DHB115" i="62"/>
  <c r="DGZ115" i="62"/>
  <c r="DGX115" i="62"/>
  <c r="DGV115" i="62"/>
  <c r="DGT115" i="62"/>
  <c r="DGR115" i="62"/>
  <c r="DGP115" i="62"/>
  <c r="DGN115" i="62"/>
  <c r="DGL115" i="62"/>
  <c r="DGJ115" i="62"/>
  <c r="DGH115" i="62"/>
  <c r="DGF115" i="62"/>
  <c r="DGD115" i="62"/>
  <c r="DGB115" i="62"/>
  <c r="DFZ115" i="62"/>
  <c r="DFX115" i="62"/>
  <c r="DFV115" i="62"/>
  <c r="DFT115" i="62"/>
  <c r="DFR115" i="62"/>
  <c r="DFP115" i="62"/>
  <c r="DFN115" i="62"/>
  <c r="DFL115" i="62"/>
  <c r="DFJ115" i="62"/>
  <c r="DFH115" i="62"/>
  <c r="DFF115" i="62"/>
  <c r="DFD115" i="62"/>
  <c r="DFB115" i="62"/>
  <c r="DEZ115" i="62"/>
  <c r="DEX115" i="62"/>
  <c r="DEV115" i="62"/>
  <c r="DET115" i="62"/>
  <c r="DER115" i="62"/>
  <c r="DEP115" i="62"/>
  <c r="DEN115" i="62"/>
  <c r="DEL115" i="62"/>
  <c r="DEJ115" i="62"/>
  <c r="DEH115" i="62"/>
  <c r="DEF115" i="62"/>
  <c r="DED115" i="62"/>
  <c r="DEB115" i="62"/>
  <c r="DDZ115" i="62"/>
  <c r="DDX115" i="62"/>
  <c r="DDV115" i="62"/>
  <c r="DDT115" i="62"/>
  <c r="DDR115" i="62"/>
  <c r="DDP115" i="62"/>
  <c r="DDN115" i="62"/>
  <c r="DDL115" i="62"/>
  <c r="DDJ115" i="62"/>
  <c r="DDH115" i="62"/>
  <c r="DDF115" i="62"/>
  <c r="DDD115" i="62"/>
  <c r="DDB115" i="62"/>
  <c r="DCZ115" i="62"/>
  <c r="DCX115" i="62"/>
  <c r="DCV115" i="62"/>
  <c r="DCT115" i="62"/>
  <c r="DCR115" i="62"/>
  <c r="DCP115" i="62"/>
  <c r="DCN115" i="62"/>
  <c r="DCL115" i="62"/>
  <c r="DCJ115" i="62"/>
  <c r="DCH115" i="62"/>
  <c r="DCF115" i="62"/>
  <c r="DCD115" i="62"/>
  <c r="DCB115" i="62"/>
  <c r="DBZ115" i="62"/>
  <c r="DBX115" i="62"/>
  <c r="DBV115" i="62"/>
  <c r="DBT115" i="62"/>
  <c r="DBR115" i="62"/>
  <c r="DBP115" i="62"/>
  <c r="DBN115" i="62"/>
  <c r="DBL115" i="62"/>
  <c r="DBJ115" i="62"/>
  <c r="DBH115" i="62"/>
  <c r="DBF115" i="62"/>
  <c r="DBD115" i="62"/>
  <c r="DBB115" i="62"/>
  <c r="DAZ115" i="62"/>
  <c r="DAX115" i="62"/>
  <c r="DAV115" i="62"/>
  <c r="DAT115" i="62"/>
  <c r="DAR115" i="62"/>
  <c r="DAP115" i="62"/>
  <c r="DAN115" i="62"/>
  <c r="DAL115" i="62"/>
  <c r="DAJ115" i="62"/>
  <c r="DAH115" i="62"/>
  <c r="DAF115" i="62"/>
  <c r="DAD115" i="62"/>
  <c r="DAB115" i="62"/>
  <c r="CZZ115" i="62"/>
  <c r="CZX115" i="62"/>
  <c r="CZV115" i="62"/>
  <c r="CZT115" i="62"/>
  <c r="CZR115" i="62"/>
  <c r="CZP115" i="62"/>
  <c r="CZN115" i="62"/>
  <c r="CZL115" i="62"/>
  <c r="CZJ115" i="62"/>
  <c r="CZH115" i="62"/>
  <c r="CZF115" i="62"/>
  <c r="CZD115" i="62"/>
  <c r="CZB115" i="62"/>
  <c r="CYZ115" i="62"/>
  <c r="CYX115" i="62"/>
  <c r="CYV115" i="62"/>
  <c r="CYT115" i="62"/>
  <c r="CYR115" i="62"/>
  <c r="CYP115" i="62"/>
  <c r="CYN115" i="62"/>
  <c r="CYL115" i="62"/>
  <c r="CYJ115" i="62"/>
  <c r="CYH115" i="62"/>
  <c r="CYF115" i="62"/>
  <c r="CYD115" i="62"/>
  <c r="CYB115" i="62"/>
  <c r="CXZ115" i="62"/>
  <c r="CXX115" i="62"/>
  <c r="CXV115" i="62"/>
  <c r="CXT115" i="62"/>
  <c r="CXR115" i="62"/>
  <c r="CXP115" i="62"/>
  <c r="CXN115" i="62"/>
  <c r="CXL115" i="62"/>
  <c r="CXJ115" i="62"/>
  <c r="CXH115" i="62"/>
  <c r="CXF115" i="62"/>
  <c r="CXD115" i="62"/>
  <c r="CXB115" i="62"/>
  <c r="CWZ115" i="62"/>
  <c r="CWX115" i="62"/>
  <c r="CWV115" i="62"/>
  <c r="CWT115" i="62"/>
  <c r="CWR115" i="62"/>
  <c r="CWP115" i="62"/>
  <c r="CWN115" i="62"/>
  <c r="CWL115" i="62"/>
  <c r="CWJ115" i="62"/>
  <c r="CWH115" i="62"/>
  <c r="CWF115" i="62"/>
  <c r="CWD115" i="62"/>
  <c r="CWB115" i="62"/>
  <c r="CVZ115" i="62"/>
  <c r="CVX115" i="62"/>
  <c r="CVV115" i="62"/>
  <c r="CVT115" i="62"/>
  <c r="CVR115" i="62"/>
  <c r="CVP115" i="62"/>
  <c r="CVN115" i="62"/>
  <c r="CVL115" i="62"/>
  <c r="CVJ115" i="62"/>
  <c r="CVH115" i="62"/>
  <c r="CVF115" i="62"/>
  <c r="CVD115" i="62"/>
  <c r="CVB115" i="62"/>
  <c r="CUZ115" i="62"/>
  <c r="CUX115" i="62"/>
  <c r="CUV115" i="62"/>
  <c r="CUT115" i="62"/>
  <c r="CUR115" i="62"/>
  <c r="CUP115" i="62"/>
  <c r="CUN115" i="62"/>
  <c r="CUL115" i="62"/>
  <c r="CUJ115" i="62"/>
  <c r="CUH115" i="62"/>
  <c r="CUF115" i="62"/>
  <c r="CUD115" i="62"/>
  <c r="CUB115" i="62"/>
  <c r="CTZ115" i="62"/>
  <c r="CTX115" i="62"/>
  <c r="CTV115" i="62"/>
  <c r="CTT115" i="62"/>
  <c r="CTR115" i="62"/>
  <c r="CTP115" i="62"/>
  <c r="CTN115" i="62"/>
  <c r="CTL115" i="62"/>
  <c r="CTJ115" i="62"/>
  <c r="CTH115" i="62"/>
  <c r="CTF115" i="62"/>
  <c r="CTD115" i="62"/>
  <c r="CTB115" i="62"/>
  <c r="CSZ115" i="62"/>
  <c r="CSX115" i="62"/>
  <c r="CSV115" i="62"/>
  <c r="CST115" i="62"/>
  <c r="CSR115" i="62"/>
  <c r="CSP115" i="62"/>
  <c r="CSN115" i="62"/>
  <c r="CSL115" i="62"/>
  <c r="CSJ115" i="62"/>
  <c r="CSH115" i="62"/>
  <c r="CSF115" i="62"/>
  <c r="CSD115" i="62"/>
  <c r="CSB115" i="62"/>
  <c r="CRZ115" i="62"/>
  <c r="CRX115" i="62"/>
  <c r="CRV115" i="62"/>
  <c r="CRT115" i="62"/>
  <c r="CRR115" i="62"/>
  <c r="CRP115" i="62"/>
  <c r="CRN115" i="62"/>
  <c r="CRL115" i="62"/>
  <c r="CRJ115" i="62"/>
  <c r="CRH115" i="62"/>
  <c r="CRF115" i="62"/>
  <c r="CRD115" i="62"/>
  <c r="CRB115" i="62"/>
  <c r="CQZ115" i="62"/>
  <c r="CQX115" i="62"/>
  <c r="CQV115" i="62"/>
  <c r="CQT115" i="62"/>
  <c r="CQR115" i="62"/>
  <c r="CQP115" i="62"/>
  <c r="CQN115" i="62"/>
  <c r="CQL115" i="62"/>
  <c r="CQJ115" i="62"/>
  <c r="CQH115" i="62"/>
  <c r="CQF115" i="62"/>
  <c r="CQD115" i="62"/>
  <c r="CQB115" i="62"/>
  <c r="CPZ115" i="62"/>
  <c r="CPX115" i="62"/>
  <c r="CPV115" i="62"/>
  <c r="CPT115" i="62"/>
  <c r="CPR115" i="62"/>
  <c r="CPP115" i="62"/>
  <c r="CPN115" i="62"/>
  <c r="CPL115" i="62"/>
  <c r="CPJ115" i="62"/>
  <c r="CPH115" i="62"/>
  <c r="CPF115" i="62"/>
  <c r="CPD115" i="62"/>
  <c r="CPB115" i="62"/>
  <c r="COZ115" i="62"/>
  <c r="COX115" i="62"/>
  <c r="COV115" i="62"/>
  <c r="COT115" i="62"/>
  <c r="COR115" i="62"/>
  <c r="COP115" i="62"/>
  <c r="CON115" i="62"/>
  <c r="COL115" i="62"/>
  <c r="COJ115" i="62"/>
  <c r="COH115" i="62"/>
  <c r="COF115" i="62"/>
  <c r="COD115" i="62"/>
  <c r="COB115" i="62"/>
  <c r="CNZ115" i="62"/>
  <c r="CNX115" i="62"/>
  <c r="CNV115" i="62"/>
  <c r="CNT115" i="62"/>
  <c r="CNR115" i="62"/>
  <c r="CNP115" i="62"/>
  <c r="CNN115" i="62"/>
  <c r="CNL115" i="62"/>
  <c r="CNJ115" i="62"/>
  <c r="CNH115" i="62"/>
  <c r="CNF115" i="62"/>
  <c r="CND115" i="62"/>
  <c r="CNB115" i="62"/>
  <c r="CMZ115" i="62"/>
  <c r="CMX115" i="62"/>
  <c r="CMV115" i="62"/>
  <c r="CMT115" i="62"/>
  <c r="CMR115" i="62"/>
  <c r="CMP115" i="62"/>
  <c r="CMN115" i="62"/>
  <c r="CML115" i="62"/>
  <c r="CMJ115" i="62"/>
  <c r="CMH115" i="62"/>
  <c r="CMF115" i="62"/>
  <c r="CMD115" i="62"/>
  <c r="CMB115" i="62"/>
  <c r="CLZ115" i="62"/>
  <c r="CLX115" i="62"/>
  <c r="CLV115" i="62"/>
  <c r="CLT115" i="62"/>
  <c r="CLR115" i="62"/>
  <c r="CLP115" i="62"/>
  <c r="CLN115" i="62"/>
  <c r="CLL115" i="62"/>
  <c r="CLJ115" i="62"/>
  <c r="CLH115" i="62"/>
  <c r="CLF115" i="62"/>
  <c r="CLD115" i="62"/>
  <c r="CLB115" i="62"/>
  <c r="CKZ115" i="62"/>
  <c r="CKX115" i="62"/>
  <c r="CKV115" i="62"/>
  <c r="CKT115" i="62"/>
  <c r="CKR115" i="62"/>
  <c r="CKP115" i="62"/>
  <c r="CKN115" i="62"/>
  <c r="CKL115" i="62"/>
  <c r="CKJ115" i="62"/>
  <c r="CKH115" i="62"/>
  <c r="CKF115" i="62"/>
  <c r="CKD115" i="62"/>
  <c r="CKB115" i="62"/>
  <c r="CJZ115" i="62"/>
  <c r="CJX115" i="62"/>
  <c r="CJV115" i="62"/>
  <c r="CJT115" i="62"/>
  <c r="CJR115" i="62"/>
  <c r="CJP115" i="62"/>
  <c r="CJN115" i="62"/>
  <c r="CJL115" i="62"/>
  <c r="CJJ115" i="62"/>
  <c r="CJH115" i="62"/>
  <c r="CJF115" i="62"/>
  <c r="CJD115" i="62"/>
  <c r="CJB115" i="62"/>
  <c r="CIZ115" i="62"/>
  <c r="CIX115" i="62"/>
  <c r="CIV115" i="62"/>
  <c r="CIT115" i="62"/>
  <c r="CIR115" i="62"/>
  <c r="CIP115" i="62"/>
  <c r="CIN115" i="62"/>
  <c r="CIL115" i="62"/>
  <c r="CIJ115" i="62"/>
  <c r="CIH115" i="62"/>
  <c r="CIF115" i="62"/>
  <c r="CID115" i="62"/>
  <c r="CIB115" i="62"/>
  <c r="CHZ115" i="62"/>
  <c r="CHX115" i="62"/>
  <c r="CHV115" i="62"/>
  <c r="CHT115" i="62"/>
  <c r="CHR115" i="62"/>
  <c r="CHP115" i="62"/>
  <c r="CHN115" i="62"/>
  <c r="CHL115" i="62"/>
  <c r="CHJ115" i="62"/>
  <c r="CHH115" i="62"/>
  <c r="CHF115" i="62"/>
  <c r="CHD115" i="62"/>
  <c r="CHB115" i="62"/>
  <c r="CGZ115" i="62"/>
  <c r="CGX115" i="62"/>
  <c r="CGV115" i="62"/>
  <c r="CGT115" i="62"/>
  <c r="CGR115" i="62"/>
  <c r="CGP115" i="62"/>
  <c r="CGN115" i="62"/>
  <c r="CGL115" i="62"/>
  <c r="CGJ115" i="62"/>
  <c r="CGH115" i="62"/>
  <c r="CGF115" i="62"/>
  <c r="CGD115" i="62"/>
  <c r="CGB115" i="62"/>
  <c r="CFZ115" i="62"/>
  <c r="CFX115" i="62"/>
  <c r="CFV115" i="62"/>
  <c r="CFT115" i="62"/>
  <c r="CFR115" i="62"/>
  <c r="CFP115" i="62"/>
  <c r="CFN115" i="62"/>
  <c r="CFL115" i="62"/>
  <c r="CFJ115" i="62"/>
  <c r="CFH115" i="62"/>
  <c r="CFF115" i="62"/>
  <c r="CFD115" i="62"/>
  <c r="CFB115" i="62"/>
  <c r="CEZ115" i="62"/>
  <c r="CEX115" i="62"/>
  <c r="CEV115" i="62"/>
  <c r="CET115" i="62"/>
  <c r="CER115" i="62"/>
  <c r="CEP115" i="62"/>
  <c r="CEN115" i="62"/>
  <c r="CEL115" i="62"/>
  <c r="CEJ115" i="62"/>
  <c r="CEH115" i="62"/>
  <c r="CEF115" i="62"/>
  <c r="CED115" i="62"/>
  <c r="CEB115" i="62"/>
  <c r="CDZ115" i="62"/>
  <c r="CDX115" i="62"/>
  <c r="CDV115" i="62"/>
  <c r="CDT115" i="62"/>
  <c r="CDR115" i="62"/>
  <c r="CDP115" i="62"/>
  <c r="CDN115" i="62"/>
  <c r="CDL115" i="62"/>
  <c r="CDJ115" i="62"/>
  <c r="CDH115" i="62"/>
  <c r="CDF115" i="62"/>
  <c r="CDD115" i="62"/>
  <c r="CDB115" i="62"/>
  <c r="CCZ115" i="62"/>
  <c r="CCX115" i="62"/>
  <c r="CCV115" i="62"/>
  <c r="CCT115" i="62"/>
  <c r="CCR115" i="62"/>
  <c r="CCP115" i="62"/>
  <c r="CCN115" i="62"/>
  <c r="CCL115" i="62"/>
  <c r="CCJ115" i="62"/>
  <c r="CCH115" i="62"/>
  <c r="CCF115" i="62"/>
  <c r="CCD115" i="62"/>
  <c r="CCB115" i="62"/>
  <c r="CBZ115" i="62"/>
  <c r="CBX115" i="62"/>
  <c r="CBV115" i="62"/>
  <c r="CBT115" i="62"/>
  <c r="CBR115" i="62"/>
  <c r="CBP115" i="62"/>
  <c r="CBN115" i="62"/>
  <c r="CBL115" i="62"/>
  <c r="CBJ115" i="62"/>
  <c r="CBH115" i="62"/>
  <c r="CBF115" i="62"/>
  <c r="CBD115" i="62"/>
  <c r="CBB115" i="62"/>
  <c r="CAZ115" i="62"/>
  <c r="CAX115" i="62"/>
  <c r="CAV115" i="62"/>
  <c r="CAT115" i="62"/>
  <c r="CAR115" i="62"/>
  <c r="CAP115" i="62"/>
  <c r="CAN115" i="62"/>
  <c r="CAL115" i="62"/>
  <c r="CAJ115" i="62"/>
  <c r="CAH115" i="62"/>
  <c r="CAF115" i="62"/>
  <c r="CAD115" i="62"/>
  <c r="CAB115" i="62"/>
  <c r="BZZ115" i="62"/>
  <c r="BZX115" i="62"/>
  <c r="BZV115" i="62"/>
  <c r="BZT115" i="62"/>
  <c r="BZR115" i="62"/>
  <c r="BZP115" i="62"/>
  <c r="BZN115" i="62"/>
  <c r="BZL115" i="62"/>
  <c r="BZJ115" i="62"/>
  <c r="BZH115" i="62"/>
  <c r="BZF115" i="62"/>
  <c r="BZD115" i="62"/>
  <c r="BZB115" i="62"/>
  <c r="BYZ115" i="62"/>
  <c r="BYX115" i="62"/>
  <c r="BYV115" i="62"/>
  <c r="BYT115" i="62"/>
  <c r="BYR115" i="62"/>
  <c r="BYP115" i="62"/>
  <c r="BYN115" i="62"/>
  <c r="BYL115" i="62"/>
  <c r="BYJ115" i="62"/>
  <c r="BYH115" i="62"/>
  <c r="BYF115" i="62"/>
  <c r="BYD115" i="62"/>
  <c r="BYB115" i="62"/>
  <c r="BXZ115" i="62"/>
  <c r="BXX115" i="62"/>
  <c r="BXV115" i="62"/>
  <c r="BXT115" i="62"/>
  <c r="BXR115" i="62"/>
  <c r="BXP115" i="62"/>
  <c r="BXN115" i="62"/>
  <c r="BXL115" i="62"/>
  <c r="BXJ115" i="62"/>
  <c r="BXH115" i="62"/>
  <c r="BXF115" i="62"/>
  <c r="BXD115" i="62"/>
  <c r="BXB115" i="62"/>
  <c r="BWZ115" i="62"/>
  <c r="BWX115" i="62"/>
  <c r="BWV115" i="62"/>
  <c r="BWT115" i="62"/>
  <c r="BWR115" i="62"/>
  <c r="BWP115" i="62"/>
  <c r="BWN115" i="62"/>
  <c r="BWL115" i="62"/>
  <c r="BWJ115" i="62"/>
  <c r="BWH115" i="62"/>
  <c r="BWF115" i="62"/>
  <c r="BWD115" i="62"/>
  <c r="BWB115" i="62"/>
  <c r="BVZ115" i="62"/>
  <c r="BVX115" i="62"/>
  <c r="BVV115" i="62"/>
  <c r="BVT115" i="62"/>
  <c r="BVR115" i="62"/>
  <c r="BVP115" i="62"/>
  <c r="BVN115" i="62"/>
  <c r="BVL115" i="62"/>
  <c r="BVJ115" i="62"/>
  <c r="BVH115" i="62"/>
  <c r="BVF115" i="62"/>
  <c r="BVD115" i="62"/>
  <c r="BVB115" i="62"/>
  <c r="BUZ115" i="62"/>
  <c r="BUX115" i="62"/>
  <c r="BUV115" i="62"/>
  <c r="BUT115" i="62"/>
  <c r="BUR115" i="62"/>
  <c r="BUP115" i="62"/>
  <c r="BUN115" i="62"/>
  <c r="BUL115" i="62"/>
  <c r="BUJ115" i="62"/>
  <c r="BUH115" i="62"/>
  <c r="BUF115" i="62"/>
  <c r="BUD115" i="62"/>
  <c r="BUB115" i="62"/>
  <c r="BTZ115" i="62"/>
  <c r="BTX115" i="62"/>
  <c r="BTV115" i="62"/>
  <c r="BTT115" i="62"/>
  <c r="BTR115" i="62"/>
  <c r="BTP115" i="62"/>
  <c r="BTN115" i="62"/>
  <c r="BTL115" i="62"/>
  <c r="BTJ115" i="62"/>
  <c r="BTH115" i="62"/>
  <c r="BTF115" i="62"/>
  <c r="BTD115" i="62"/>
  <c r="BTB115" i="62"/>
  <c r="BSZ115" i="62"/>
  <c r="BSX115" i="62"/>
  <c r="BSV115" i="62"/>
  <c r="BST115" i="62"/>
  <c r="BSR115" i="62"/>
  <c r="BSP115" i="62"/>
  <c r="BSN115" i="62"/>
  <c r="BSL115" i="62"/>
  <c r="BSJ115" i="62"/>
  <c r="BSH115" i="62"/>
  <c r="BSF115" i="62"/>
  <c r="BSD115" i="62"/>
  <c r="BSB115" i="62"/>
  <c r="BRZ115" i="62"/>
  <c r="BRX115" i="62"/>
  <c r="BRV115" i="62"/>
  <c r="BRT115" i="62"/>
  <c r="BRR115" i="62"/>
  <c r="BRP115" i="62"/>
  <c r="BRN115" i="62"/>
  <c r="BRL115" i="62"/>
  <c r="BRJ115" i="62"/>
  <c r="BRH115" i="62"/>
  <c r="BRF115" i="62"/>
  <c r="BRD115" i="62"/>
  <c r="BRB115" i="62"/>
  <c r="BQZ115" i="62"/>
  <c r="BQX115" i="62"/>
  <c r="BQV115" i="62"/>
  <c r="BQT115" i="62"/>
  <c r="BQR115" i="62"/>
  <c r="BQP115" i="62"/>
  <c r="BQN115" i="62"/>
  <c r="BQL115" i="62"/>
  <c r="BQJ115" i="62"/>
  <c r="BQH115" i="62"/>
  <c r="BQF115" i="62"/>
  <c r="BQD115" i="62"/>
  <c r="BQB115" i="62"/>
  <c r="BPZ115" i="62"/>
  <c r="BPX115" i="62"/>
  <c r="BPV115" i="62"/>
  <c r="BPT115" i="62"/>
  <c r="BPR115" i="62"/>
  <c r="BPP115" i="62"/>
  <c r="BPN115" i="62"/>
  <c r="BPL115" i="62"/>
  <c r="BPJ115" i="62"/>
  <c r="BPH115" i="62"/>
  <c r="BPF115" i="62"/>
  <c r="BPD115" i="62"/>
  <c r="BPB115" i="62"/>
  <c r="BOZ115" i="62"/>
  <c r="BOX115" i="62"/>
  <c r="BOV115" i="62"/>
  <c r="BOT115" i="62"/>
  <c r="BOR115" i="62"/>
  <c r="BOP115" i="62"/>
  <c r="BON115" i="62"/>
  <c r="BOL115" i="62"/>
  <c r="BOJ115" i="62"/>
  <c r="BOH115" i="62"/>
  <c r="BOF115" i="62"/>
  <c r="BOD115" i="62"/>
  <c r="BOB115" i="62"/>
  <c r="BNZ115" i="62"/>
  <c r="BNX115" i="62"/>
  <c r="BNV115" i="62"/>
  <c r="BNT115" i="62"/>
  <c r="BNR115" i="62"/>
  <c r="BNP115" i="62"/>
  <c r="BNN115" i="62"/>
  <c r="BNL115" i="62"/>
  <c r="BNJ115" i="62"/>
  <c r="BNH115" i="62"/>
  <c r="BNF115" i="62"/>
  <c r="BND115" i="62"/>
  <c r="BNB115" i="62"/>
  <c r="BMZ115" i="62"/>
  <c r="BMX115" i="62"/>
  <c r="BMV115" i="62"/>
  <c r="BMT115" i="62"/>
  <c r="BMR115" i="62"/>
  <c r="BMP115" i="62"/>
  <c r="BMN115" i="62"/>
  <c r="BML115" i="62"/>
  <c r="BMJ115" i="62"/>
  <c r="BMH115" i="62"/>
  <c r="BMF115" i="62"/>
  <c r="BMD115" i="62"/>
  <c r="BMB115" i="62"/>
  <c r="BLZ115" i="62"/>
  <c r="BLX115" i="62"/>
  <c r="BLV115" i="62"/>
  <c r="BLT115" i="62"/>
  <c r="BLR115" i="62"/>
  <c r="BLP115" i="62"/>
  <c r="BLN115" i="62"/>
  <c r="BLL115" i="62"/>
  <c r="BLJ115" i="62"/>
  <c r="BLH115" i="62"/>
  <c r="BLF115" i="62"/>
  <c r="BLD115" i="62"/>
  <c r="BLB115" i="62"/>
  <c r="BKZ115" i="62"/>
  <c r="BKX115" i="62"/>
  <c r="BKV115" i="62"/>
  <c r="BKT115" i="62"/>
  <c r="BKR115" i="62"/>
  <c r="BKP115" i="62"/>
  <c r="BKN115" i="62"/>
  <c r="BKL115" i="62"/>
  <c r="BKJ115" i="62"/>
  <c r="BKH115" i="62"/>
  <c r="BKF115" i="62"/>
  <c r="BKD115" i="62"/>
  <c r="BKB115" i="62"/>
  <c r="BJZ115" i="62"/>
  <c r="BJX115" i="62"/>
  <c r="BJV115" i="62"/>
  <c r="BJT115" i="62"/>
  <c r="BJR115" i="62"/>
  <c r="BJP115" i="62"/>
  <c r="BJN115" i="62"/>
  <c r="BJL115" i="62"/>
  <c r="BJJ115" i="62"/>
  <c r="BJH115" i="62"/>
  <c r="BJF115" i="62"/>
  <c r="BJD115" i="62"/>
  <c r="BJB115" i="62"/>
  <c r="BIZ115" i="62"/>
  <c r="BIX115" i="62"/>
  <c r="BIV115" i="62"/>
  <c r="BIT115" i="62"/>
  <c r="BIR115" i="62"/>
  <c r="BIP115" i="62"/>
  <c r="BIN115" i="62"/>
  <c r="BIL115" i="62"/>
  <c r="BIJ115" i="62"/>
  <c r="BIH115" i="62"/>
  <c r="BIF115" i="62"/>
  <c r="BID115" i="62"/>
  <c r="BIB115" i="62"/>
  <c r="BHZ115" i="62"/>
  <c r="BHX115" i="62"/>
  <c r="BHV115" i="62"/>
  <c r="BHT115" i="62"/>
  <c r="BHR115" i="62"/>
  <c r="BHP115" i="62"/>
  <c r="BHN115" i="62"/>
  <c r="BHL115" i="62"/>
  <c r="BHJ115" i="62"/>
  <c r="BHH115" i="62"/>
  <c r="BHF115" i="62"/>
  <c r="BHD115" i="62"/>
  <c r="BHB115" i="62"/>
  <c r="BGZ115" i="62"/>
  <c r="BGX115" i="62"/>
  <c r="BGV115" i="62"/>
  <c r="BGT115" i="62"/>
  <c r="BGR115" i="62"/>
  <c r="BGP115" i="62"/>
  <c r="BGN115" i="62"/>
  <c r="BGL115" i="62"/>
  <c r="BGJ115" i="62"/>
  <c r="BGH115" i="62"/>
  <c r="BGF115" i="62"/>
  <c r="BGD115" i="62"/>
  <c r="BGB115" i="62"/>
  <c r="BFZ115" i="62"/>
  <c r="BFX115" i="62"/>
  <c r="BFV115" i="62"/>
  <c r="BFT115" i="62"/>
  <c r="BFR115" i="62"/>
  <c r="BFP115" i="62"/>
  <c r="BFN115" i="62"/>
  <c r="BFL115" i="62"/>
  <c r="BFJ115" i="62"/>
  <c r="BFH115" i="62"/>
  <c r="BFF115" i="62"/>
  <c r="BFD115" i="62"/>
  <c r="BFB115" i="62"/>
  <c r="BEZ115" i="62"/>
  <c r="BEX115" i="62"/>
  <c r="BEV115" i="62"/>
  <c r="BET115" i="62"/>
  <c r="BER115" i="62"/>
  <c r="BEP115" i="62"/>
  <c r="BEN115" i="62"/>
  <c r="BEL115" i="62"/>
  <c r="BEJ115" i="62"/>
  <c r="BEH115" i="62"/>
  <c r="BEF115" i="62"/>
  <c r="BED115" i="62"/>
  <c r="BEB115" i="62"/>
  <c r="BDZ115" i="62"/>
  <c r="BDX115" i="62"/>
  <c r="BDV115" i="62"/>
  <c r="BDT115" i="62"/>
  <c r="BDR115" i="62"/>
  <c r="BDP115" i="62"/>
  <c r="BDN115" i="62"/>
  <c r="BDL115" i="62"/>
  <c r="BDJ115" i="62"/>
  <c r="BDH115" i="62"/>
  <c r="BDF115" i="62"/>
  <c r="BDD115" i="62"/>
  <c r="BDB115" i="62"/>
  <c r="BCZ115" i="62"/>
  <c r="BCX115" i="62"/>
  <c r="BCV115" i="62"/>
  <c r="BCT115" i="62"/>
  <c r="BCR115" i="62"/>
  <c r="BCP115" i="62"/>
  <c r="BCN115" i="62"/>
  <c r="BCL115" i="62"/>
  <c r="BCJ115" i="62"/>
  <c r="BCH115" i="62"/>
  <c r="BCF115" i="62"/>
  <c r="BCD115" i="62"/>
  <c r="BCB115" i="62"/>
  <c r="BBZ115" i="62"/>
  <c r="BBX115" i="62"/>
  <c r="BBV115" i="62"/>
  <c r="BBT115" i="62"/>
  <c r="BBR115" i="62"/>
  <c r="BBP115" i="62"/>
  <c r="BBN115" i="62"/>
  <c r="BBL115" i="62"/>
  <c r="BBJ115" i="62"/>
  <c r="BBH115" i="62"/>
  <c r="BBF115" i="62"/>
  <c r="BBD115" i="62"/>
  <c r="BBB115" i="62"/>
  <c r="BAZ115" i="62"/>
  <c r="BAX115" i="62"/>
  <c r="BAV115" i="62"/>
  <c r="BAT115" i="62"/>
  <c r="BAR115" i="62"/>
  <c r="BAP115" i="62"/>
  <c r="BAN115" i="62"/>
  <c r="BAL115" i="62"/>
  <c r="BAJ115" i="62"/>
  <c r="BAH115" i="62"/>
  <c r="BAF115" i="62"/>
  <c r="BAD115" i="62"/>
  <c r="BAB115" i="62"/>
  <c r="AZZ115" i="62"/>
  <c r="AZX115" i="62"/>
  <c r="AZV115" i="62"/>
  <c r="AZT115" i="62"/>
  <c r="AZR115" i="62"/>
  <c r="AZP115" i="62"/>
  <c r="AZN115" i="62"/>
  <c r="AZL115" i="62"/>
  <c r="AZJ115" i="62"/>
  <c r="AZH115" i="62"/>
  <c r="AZF115" i="62"/>
  <c r="AZD115" i="62"/>
  <c r="AZB115" i="62"/>
  <c r="AYZ115" i="62"/>
  <c r="AYX115" i="62"/>
  <c r="AYV115" i="62"/>
  <c r="AYT115" i="62"/>
  <c r="AYR115" i="62"/>
  <c r="AYP115" i="62"/>
  <c r="AYN115" i="62"/>
  <c r="AYL115" i="62"/>
  <c r="AYJ115" i="62"/>
  <c r="AYH115" i="62"/>
  <c r="AYF115" i="62"/>
  <c r="AYD115" i="62"/>
  <c r="AYB115" i="62"/>
  <c r="AXZ115" i="62"/>
  <c r="AXX115" i="62"/>
  <c r="AXV115" i="62"/>
  <c r="AXT115" i="62"/>
  <c r="AXR115" i="62"/>
  <c r="AXP115" i="62"/>
  <c r="AXN115" i="62"/>
  <c r="AXL115" i="62"/>
  <c r="AXJ115" i="62"/>
  <c r="AXH115" i="62"/>
  <c r="AXF115" i="62"/>
  <c r="AXD115" i="62"/>
  <c r="AXB115" i="62"/>
  <c r="AWZ115" i="62"/>
  <c r="AWX115" i="62"/>
  <c r="AWV115" i="62"/>
  <c r="AWT115" i="62"/>
  <c r="AWR115" i="62"/>
  <c r="AWP115" i="62"/>
  <c r="AWN115" i="62"/>
  <c r="AWL115" i="62"/>
  <c r="AWJ115" i="62"/>
  <c r="AWH115" i="62"/>
  <c r="AWF115" i="62"/>
  <c r="AWD115" i="62"/>
  <c r="AWB115" i="62"/>
  <c r="AVZ115" i="62"/>
  <c r="AVX115" i="62"/>
  <c r="AVV115" i="62"/>
  <c r="AVT115" i="62"/>
  <c r="AVR115" i="62"/>
  <c r="AVP115" i="62"/>
  <c r="AVN115" i="62"/>
  <c r="AVL115" i="62"/>
  <c r="AVJ115" i="62"/>
  <c r="AVH115" i="62"/>
  <c r="AVF115" i="62"/>
  <c r="AVD115" i="62"/>
  <c r="AVB115" i="62"/>
  <c r="AUZ115" i="62"/>
  <c r="AUX115" i="62"/>
  <c r="AUV115" i="62"/>
  <c r="AUT115" i="62"/>
  <c r="AUR115" i="62"/>
  <c r="AUP115" i="62"/>
  <c r="AUN115" i="62"/>
  <c r="AUL115" i="62"/>
  <c r="AUJ115" i="62"/>
  <c r="AUH115" i="62"/>
  <c r="AUF115" i="62"/>
  <c r="AUD115" i="62"/>
  <c r="AUB115" i="62"/>
  <c r="ATZ115" i="62"/>
  <c r="ATX115" i="62"/>
  <c r="ATV115" i="62"/>
  <c r="ATT115" i="62"/>
  <c r="ATR115" i="62"/>
  <c r="ATP115" i="62"/>
  <c r="ATN115" i="62"/>
  <c r="ATL115" i="62"/>
  <c r="ATJ115" i="62"/>
  <c r="ATH115" i="62"/>
  <c r="ATF115" i="62"/>
  <c r="ATD115" i="62"/>
  <c r="ATB115" i="62"/>
  <c r="ASZ115" i="62"/>
  <c r="ASX115" i="62"/>
  <c r="ASV115" i="62"/>
  <c r="AST115" i="62"/>
  <c r="ASR115" i="62"/>
  <c r="ASP115" i="62"/>
  <c r="ASN115" i="62"/>
  <c r="ASL115" i="62"/>
  <c r="ASJ115" i="62"/>
  <c r="ASH115" i="62"/>
  <c r="ASF115" i="62"/>
  <c r="ASD115" i="62"/>
  <c r="ASB115" i="62"/>
  <c r="ARZ115" i="62"/>
  <c r="ARX115" i="62"/>
  <c r="ARV115" i="62"/>
  <c r="ART115" i="62"/>
  <c r="ARR115" i="62"/>
  <c r="ARP115" i="62"/>
  <c r="ARN115" i="62"/>
  <c r="ARL115" i="62"/>
  <c r="ARJ115" i="62"/>
  <c r="ARH115" i="62"/>
  <c r="ARF115" i="62"/>
  <c r="ARD115" i="62"/>
  <c r="ARB115" i="62"/>
  <c r="AQZ115" i="62"/>
  <c r="AQX115" i="62"/>
  <c r="AQV115" i="62"/>
  <c r="AQT115" i="62"/>
  <c r="AQR115" i="62"/>
  <c r="AQP115" i="62"/>
  <c r="AQN115" i="62"/>
  <c r="AQL115" i="62"/>
  <c r="AQJ115" i="62"/>
  <c r="AQH115" i="62"/>
  <c r="AQF115" i="62"/>
  <c r="AQD115" i="62"/>
  <c r="AQB115" i="62"/>
  <c r="APZ115" i="62"/>
  <c r="APX115" i="62"/>
  <c r="APV115" i="62"/>
  <c r="APT115" i="62"/>
  <c r="APR115" i="62"/>
  <c r="APP115" i="62"/>
  <c r="APN115" i="62"/>
  <c r="APL115" i="62"/>
  <c r="APJ115" i="62"/>
  <c r="APH115" i="62"/>
  <c r="APF115" i="62"/>
  <c r="APD115" i="62"/>
  <c r="APB115" i="62"/>
  <c r="AOZ115" i="62"/>
  <c r="AOX115" i="62"/>
  <c r="AOV115" i="62"/>
  <c r="AOT115" i="62"/>
  <c r="AOR115" i="62"/>
  <c r="AOP115" i="62"/>
  <c r="AON115" i="62"/>
  <c r="AOL115" i="62"/>
  <c r="AOJ115" i="62"/>
  <c r="AOH115" i="62"/>
  <c r="AOF115" i="62"/>
  <c r="AOD115" i="62"/>
  <c r="AOB115" i="62"/>
  <c r="ANZ115" i="62"/>
  <c r="ANX115" i="62"/>
  <c r="ANV115" i="62"/>
  <c r="ANT115" i="62"/>
  <c r="ANR115" i="62"/>
  <c r="ANP115" i="62"/>
  <c r="ANN115" i="62"/>
  <c r="ANL115" i="62"/>
  <c r="ANJ115" i="62"/>
  <c r="ANH115" i="62"/>
  <c r="ANF115" i="62"/>
  <c r="AND115" i="62"/>
  <c r="ANB115" i="62"/>
  <c r="AMZ115" i="62"/>
  <c r="AMX115" i="62"/>
  <c r="AMV115" i="62"/>
  <c r="AMT115" i="62"/>
  <c r="AMR115" i="62"/>
  <c r="AMP115" i="62"/>
  <c r="AMN115" i="62"/>
  <c r="AML115" i="62"/>
  <c r="AMJ115" i="62"/>
  <c r="AMH115" i="62"/>
  <c r="AMF115" i="62"/>
  <c r="AMD115" i="62"/>
  <c r="AMB115" i="62"/>
  <c r="ALZ115" i="62"/>
  <c r="ALX115" i="62"/>
  <c r="ALV115" i="62"/>
  <c r="ALT115" i="62"/>
  <c r="ALR115" i="62"/>
  <c r="ALP115" i="62"/>
  <c r="ALN115" i="62"/>
  <c r="ALL115" i="62"/>
  <c r="ALJ115" i="62"/>
  <c r="ALH115" i="62"/>
  <c r="ALF115" i="62"/>
  <c r="ALD115" i="62"/>
  <c r="ALB115" i="62"/>
  <c r="AKZ115" i="62"/>
  <c r="AKX115" i="62"/>
  <c r="AKV115" i="62"/>
  <c r="AKT115" i="62"/>
  <c r="AKR115" i="62"/>
  <c r="AKP115" i="62"/>
  <c r="AKN115" i="62"/>
  <c r="AKL115" i="62"/>
  <c r="AKJ115" i="62"/>
  <c r="AKH115" i="62"/>
  <c r="AKF115" i="62"/>
  <c r="AKD115" i="62"/>
  <c r="AKB115" i="62"/>
  <c r="AJZ115" i="62"/>
  <c r="AJX115" i="62"/>
  <c r="AJV115" i="62"/>
  <c r="AJT115" i="62"/>
  <c r="AJR115" i="62"/>
  <c r="AJP115" i="62"/>
  <c r="AJN115" i="62"/>
  <c r="AJL115" i="62"/>
  <c r="AJJ115" i="62"/>
  <c r="AJH115" i="62"/>
  <c r="AJF115" i="62"/>
  <c r="AJD115" i="62"/>
  <c r="AJB115" i="62"/>
  <c r="AIZ115" i="62"/>
  <c r="AIX115" i="62"/>
  <c r="AIV115" i="62"/>
  <c r="AIT115" i="62"/>
  <c r="AIR115" i="62"/>
  <c r="AIP115" i="62"/>
  <c r="AIN115" i="62"/>
  <c r="AIL115" i="62"/>
  <c r="AIJ115" i="62"/>
  <c r="AIH115" i="62"/>
  <c r="AIF115" i="62"/>
  <c r="AID115" i="62"/>
  <c r="AIB115" i="62"/>
  <c r="AHZ115" i="62"/>
  <c r="AHX115" i="62"/>
  <c r="AHV115" i="62"/>
  <c r="AHT115" i="62"/>
  <c r="AHR115" i="62"/>
  <c r="AHP115" i="62"/>
  <c r="AHN115" i="62"/>
  <c r="AHL115" i="62"/>
  <c r="AHJ115" i="62"/>
  <c r="AHH115" i="62"/>
  <c r="AHF115" i="62"/>
  <c r="AHD115" i="62"/>
  <c r="AHB115" i="62"/>
  <c r="AGZ115" i="62"/>
  <c r="AGX115" i="62"/>
  <c r="AGV115" i="62"/>
  <c r="AGT115" i="62"/>
  <c r="AGR115" i="62"/>
  <c r="AGP115" i="62"/>
  <c r="AGN115" i="62"/>
  <c r="AGL115" i="62"/>
  <c r="AGJ115" i="62"/>
  <c r="AGH115" i="62"/>
  <c r="AGF115" i="62"/>
  <c r="AGD115" i="62"/>
  <c r="AGB115" i="62"/>
  <c r="AFZ115" i="62"/>
  <c r="AFX115" i="62"/>
  <c r="AFV115" i="62"/>
  <c r="AFT115" i="62"/>
  <c r="AFR115" i="62"/>
  <c r="AFP115" i="62"/>
  <c r="AFN115" i="62"/>
  <c r="AFL115" i="62"/>
  <c r="AFJ115" i="62"/>
  <c r="AFH115" i="62"/>
  <c r="AFF115" i="62"/>
  <c r="AFD115" i="62"/>
  <c r="AFB115" i="62"/>
  <c r="AEZ115" i="62"/>
  <c r="AEX115" i="62"/>
  <c r="AEV115" i="62"/>
  <c r="AET115" i="62"/>
  <c r="AER115" i="62"/>
  <c r="AEP115" i="62"/>
  <c r="AEN115" i="62"/>
  <c r="AEL115" i="62"/>
  <c r="AEJ115" i="62"/>
  <c r="AEH115" i="62"/>
  <c r="AEF115" i="62"/>
  <c r="AED115" i="62"/>
  <c r="AEB115" i="62"/>
  <c r="ADZ115" i="62"/>
  <c r="ADX115" i="62"/>
  <c r="ADV115" i="62"/>
  <c r="ADT115" i="62"/>
  <c r="ADR115" i="62"/>
  <c r="ADP115" i="62"/>
  <c r="ADN115" i="62"/>
  <c r="ADL115" i="62"/>
  <c r="ADJ115" i="62"/>
  <c r="ADH115" i="62"/>
  <c r="ADF115" i="62"/>
  <c r="ADD115" i="62"/>
  <c r="ADB115" i="62"/>
  <c r="ACZ115" i="62"/>
  <c r="ACX115" i="62"/>
  <c r="ACV115" i="62"/>
  <c r="ACT115" i="62"/>
  <c r="ACR115" i="62"/>
  <c r="ACP115" i="62"/>
  <c r="ACN115" i="62"/>
  <c r="ACL115" i="62"/>
  <c r="ACJ115" i="62"/>
  <c r="ACH115" i="62"/>
  <c r="ACF115" i="62"/>
  <c r="ACD115" i="62"/>
  <c r="ACB115" i="62"/>
  <c r="ABZ115" i="62"/>
  <c r="ABX115" i="62"/>
  <c r="ABV115" i="62"/>
  <c r="ABT115" i="62"/>
  <c r="ABR115" i="62"/>
  <c r="ABP115" i="62"/>
  <c r="ABN115" i="62"/>
  <c r="ABL115" i="62"/>
  <c r="ABJ115" i="62"/>
  <c r="ABH115" i="62"/>
  <c r="ABF115" i="62"/>
  <c r="ABD115" i="62"/>
  <c r="ABB115" i="62"/>
  <c r="AAZ115" i="62"/>
  <c r="AAX115" i="62"/>
  <c r="AAV115" i="62"/>
  <c r="AAT115" i="62"/>
  <c r="AAR115" i="62"/>
  <c r="AAP115" i="62"/>
  <c r="AAN115" i="62"/>
  <c r="AAL115" i="62"/>
  <c r="AAJ115" i="62"/>
  <c r="AAH115" i="62"/>
  <c r="AAF115" i="62"/>
  <c r="AAD115" i="62"/>
  <c r="AAB115" i="62"/>
  <c r="ZZ115" i="62"/>
  <c r="ZX115" i="62"/>
  <c r="ZV115" i="62"/>
  <c r="ZT115" i="62"/>
  <c r="ZR115" i="62"/>
  <c r="ZP115" i="62"/>
  <c r="ZN115" i="62"/>
  <c r="ZL115" i="62"/>
  <c r="ZJ115" i="62"/>
  <c r="ZH115" i="62"/>
  <c r="ZF115" i="62"/>
  <c r="ZD115" i="62"/>
  <c r="ZB115" i="62"/>
  <c r="YZ115" i="62"/>
  <c r="YX115" i="62"/>
  <c r="YV115" i="62"/>
  <c r="YT115" i="62"/>
  <c r="YR115" i="62"/>
  <c r="YP115" i="62"/>
  <c r="YN115" i="62"/>
  <c r="YL115" i="62"/>
  <c r="YJ115" i="62"/>
  <c r="YH115" i="62"/>
  <c r="YF115" i="62"/>
  <c r="YD115" i="62"/>
  <c r="YB115" i="62"/>
  <c r="XZ115" i="62"/>
  <c r="XX115" i="62"/>
  <c r="XV115" i="62"/>
  <c r="XT115" i="62"/>
  <c r="XR115" i="62"/>
  <c r="XP115" i="62"/>
  <c r="XN115" i="62"/>
  <c r="XL115" i="62"/>
  <c r="XJ115" i="62"/>
  <c r="XH115" i="62"/>
  <c r="XF115" i="62"/>
  <c r="XD115" i="62"/>
  <c r="XB115" i="62"/>
  <c r="WZ115" i="62"/>
  <c r="WX115" i="62"/>
  <c r="WV115" i="62"/>
  <c r="WT115" i="62"/>
  <c r="WR115" i="62"/>
  <c r="WP115" i="62"/>
  <c r="WN115" i="62"/>
  <c r="WL115" i="62"/>
  <c r="WJ115" i="62"/>
  <c r="WH115" i="62"/>
  <c r="WF115" i="62"/>
  <c r="WD115" i="62"/>
  <c r="WB115" i="62"/>
  <c r="VZ115" i="62"/>
  <c r="VX115" i="62"/>
  <c r="VV115" i="62"/>
  <c r="VT115" i="62"/>
  <c r="VR115" i="62"/>
  <c r="VP115" i="62"/>
  <c r="VN115" i="62"/>
  <c r="VL115" i="62"/>
  <c r="VJ115" i="62"/>
  <c r="VH115" i="62"/>
  <c r="VF115" i="62"/>
  <c r="VD115" i="62"/>
  <c r="VB115" i="62"/>
  <c r="UZ115" i="62"/>
  <c r="UX115" i="62"/>
  <c r="UV115" i="62"/>
  <c r="UT115" i="62"/>
  <c r="UR115" i="62"/>
  <c r="UP115" i="62"/>
  <c r="UN115" i="62"/>
  <c r="UL115" i="62"/>
  <c r="UJ115" i="62"/>
  <c r="UH115" i="62"/>
  <c r="UF115" i="62"/>
  <c r="UD115" i="62"/>
  <c r="UB115" i="62"/>
  <c r="TZ115" i="62"/>
  <c r="TX115" i="62"/>
  <c r="TV115" i="62"/>
  <c r="TT115" i="62"/>
  <c r="TR115" i="62"/>
  <c r="TP115" i="62"/>
  <c r="TN115" i="62"/>
  <c r="TL115" i="62"/>
  <c r="TJ115" i="62"/>
  <c r="TH115" i="62"/>
  <c r="TF115" i="62"/>
  <c r="TD115" i="62"/>
  <c r="TB115" i="62"/>
  <c r="SZ115" i="62"/>
  <c r="SX115" i="62"/>
  <c r="SV115" i="62"/>
  <c r="ST115" i="62"/>
  <c r="SR115" i="62"/>
  <c r="SP115" i="62"/>
  <c r="SN115" i="62"/>
  <c r="SL115" i="62"/>
  <c r="SJ115" i="62"/>
  <c r="SH115" i="62"/>
  <c r="SF115" i="62"/>
  <c r="SD115" i="62"/>
  <c r="SB115" i="62"/>
  <c r="RZ115" i="62"/>
  <c r="RX115" i="62"/>
  <c r="RV115" i="62"/>
  <c r="RT115" i="62"/>
  <c r="RR115" i="62"/>
  <c r="RP115" i="62"/>
  <c r="RN115" i="62"/>
  <c r="RL115" i="62"/>
  <c r="RJ115" i="62"/>
  <c r="RH115" i="62"/>
  <c r="RF115" i="62"/>
  <c r="RD115" i="62"/>
  <c r="RB115" i="62"/>
  <c r="QZ115" i="62"/>
  <c r="QX115" i="62"/>
  <c r="QV115" i="62"/>
  <c r="QT115" i="62"/>
  <c r="QR115" i="62"/>
  <c r="QP115" i="62"/>
  <c r="QN115" i="62"/>
  <c r="QL115" i="62"/>
  <c r="QJ115" i="62"/>
  <c r="QH115" i="62"/>
  <c r="QF115" i="62"/>
  <c r="QD115" i="62"/>
  <c r="QB115" i="62"/>
  <c r="PZ115" i="62"/>
  <c r="PX115" i="62"/>
  <c r="PV115" i="62"/>
  <c r="PT115" i="62"/>
  <c r="PR115" i="62"/>
  <c r="PP115" i="62"/>
  <c r="PN115" i="62"/>
  <c r="PL115" i="62"/>
  <c r="PJ115" i="62"/>
  <c r="PH115" i="62"/>
  <c r="PF115" i="62"/>
  <c r="PD115" i="62"/>
  <c r="PB115" i="62"/>
  <c r="OZ115" i="62"/>
  <c r="OX115" i="62"/>
  <c r="OV115" i="62"/>
  <c r="OT115" i="62"/>
  <c r="OR115" i="62"/>
  <c r="OP115" i="62"/>
  <c r="ON115" i="62"/>
  <c r="OL115" i="62"/>
  <c r="OJ115" i="62"/>
  <c r="OH115" i="62"/>
  <c r="OF115" i="62"/>
  <c r="OD115" i="62"/>
  <c r="OB115" i="62"/>
  <c r="NZ115" i="62"/>
  <c r="NX115" i="62"/>
  <c r="NV115" i="62"/>
  <c r="NT115" i="62"/>
  <c r="NR115" i="62"/>
  <c r="NP115" i="62"/>
  <c r="NN115" i="62"/>
  <c r="NL115" i="62"/>
  <c r="NJ115" i="62"/>
  <c r="NH115" i="62"/>
  <c r="NF115" i="62"/>
  <c r="ND115" i="62"/>
  <c r="NB115" i="62"/>
  <c r="MZ115" i="62"/>
  <c r="MX115" i="62"/>
  <c r="MV115" i="62"/>
  <c r="MT115" i="62"/>
  <c r="MR115" i="62"/>
  <c r="MP115" i="62"/>
  <c r="MN115" i="62"/>
  <c r="ML115" i="62"/>
  <c r="MJ115" i="62"/>
  <c r="MH115" i="62"/>
  <c r="MF115" i="62"/>
  <c r="MD115" i="62"/>
  <c r="MB115" i="62"/>
  <c r="LZ115" i="62"/>
  <c r="LX115" i="62"/>
  <c r="LV115" i="62"/>
  <c r="LT115" i="62"/>
  <c r="LR115" i="62"/>
  <c r="LP115" i="62"/>
  <c r="LN115" i="62"/>
  <c r="LL115" i="62"/>
  <c r="LJ115" i="62"/>
  <c r="LH115" i="62"/>
  <c r="LF115" i="62"/>
  <c r="LD115" i="62"/>
  <c r="LB115" i="62"/>
  <c r="KZ115" i="62"/>
  <c r="KX115" i="62"/>
  <c r="KV115" i="62"/>
  <c r="KT115" i="62"/>
  <c r="KR115" i="62"/>
  <c r="KP115" i="62"/>
  <c r="KN115" i="62"/>
  <c r="KL115" i="62"/>
  <c r="KJ115" i="62"/>
  <c r="KH115" i="62"/>
  <c r="KF115" i="62"/>
  <c r="KD115" i="62"/>
  <c r="KB115" i="62"/>
  <c r="JZ115" i="62"/>
  <c r="JX115" i="62"/>
  <c r="JV115" i="62"/>
  <c r="JT115" i="62"/>
  <c r="JR115" i="62"/>
  <c r="JP115" i="62"/>
  <c r="JN115" i="62"/>
  <c r="JL115" i="62"/>
  <c r="JJ115" i="62"/>
  <c r="JH115" i="62"/>
  <c r="JF115" i="62"/>
  <c r="JD115" i="62"/>
  <c r="JB115" i="62"/>
  <c r="IZ115" i="62"/>
  <c r="IX115" i="62"/>
  <c r="IV115" i="62"/>
  <c r="IT115" i="62"/>
  <c r="IR115" i="62"/>
  <c r="IP115" i="62"/>
  <c r="IN115" i="62"/>
  <c r="IL115" i="62"/>
  <c r="IJ115" i="62"/>
  <c r="IH115" i="62"/>
  <c r="IF115" i="62"/>
  <c r="ID115" i="62"/>
  <c r="IB115" i="62"/>
  <c r="HZ115" i="62"/>
  <c r="HX115" i="62"/>
  <c r="HV115" i="62"/>
  <c r="HT115" i="62"/>
  <c r="HR115" i="62"/>
  <c r="HP115" i="62"/>
  <c r="HN115" i="62"/>
  <c r="HL115" i="62"/>
  <c r="HJ115" i="62"/>
  <c r="HH115" i="62"/>
  <c r="HF115" i="62"/>
  <c r="HD115" i="62"/>
  <c r="HB115" i="62"/>
  <c r="GZ115" i="62"/>
  <c r="GX115" i="62"/>
  <c r="GV115" i="62"/>
  <c r="GT115" i="62"/>
  <c r="GR115" i="62"/>
  <c r="GP115" i="62"/>
  <c r="GN115" i="62"/>
  <c r="GL115" i="62"/>
  <c r="GJ115" i="62"/>
  <c r="GH115" i="62"/>
  <c r="GF115" i="62"/>
  <c r="GD115" i="62"/>
  <c r="GB115" i="62"/>
  <c r="FZ115" i="62"/>
  <c r="FX115" i="62"/>
  <c r="FV115" i="62"/>
  <c r="FT115" i="62"/>
  <c r="FR115" i="62"/>
  <c r="FP115" i="62"/>
  <c r="FN115" i="62"/>
  <c r="FL115" i="62"/>
  <c r="FJ115" i="62"/>
  <c r="FH115" i="62"/>
  <c r="FF115" i="62"/>
  <c r="FD115" i="62"/>
  <c r="FB115" i="62"/>
  <c r="EZ115" i="62"/>
  <c r="EX115" i="62"/>
  <c r="EV115" i="62"/>
  <c r="ET115" i="62"/>
  <c r="ER115" i="62"/>
  <c r="EP115" i="62"/>
  <c r="EN115" i="62"/>
  <c r="EL115" i="62"/>
  <c r="EJ115" i="62"/>
  <c r="EH115" i="62"/>
  <c r="EF115" i="62"/>
  <c r="ED115" i="62"/>
  <c r="EB115" i="62"/>
  <c r="DZ115" i="62"/>
  <c r="DX115" i="62"/>
  <c r="DV115" i="62"/>
  <c r="DT115" i="62"/>
  <c r="DR115" i="62"/>
  <c r="DP115" i="62"/>
  <c r="DN115" i="62"/>
  <c r="DL115" i="62"/>
  <c r="DJ115" i="62"/>
  <c r="DH115" i="62"/>
  <c r="DF115" i="62"/>
  <c r="DD115" i="62"/>
  <c r="DB115" i="62"/>
  <c r="CZ115" i="62"/>
  <c r="CX115" i="62"/>
  <c r="CV115" i="62"/>
  <c r="CT115" i="62"/>
  <c r="CR115" i="62"/>
  <c r="CP115" i="62"/>
  <c r="CN115" i="62"/>
  <c r="CL115" i="62"/>
  <c r="CJ115" i="62"/>
  <c r="CH115" i="62"/>
  <c r="CF115" i="62"/>
  <c r="CD115" i="62"/>
  <c r="CB115" i="62"/>
  <c r="BZ115" i="62"/>
  <c r="BX115" i="62"/>
  <c r="BV115" i="62"/>
  <c r="BT115" i="62"/>
  <c r="BR115" i="62"/>
  <c r="BP115" i="62"/>
  <c r="BN115" i="62"/>
  <c r="BL115" i="62"/>
  <c r="BJ115" i="62"/>
  <c r="BH115" i="62"/>
  <c r="BF115" i="62"/>
  <c r="BD115" i="62"/>
  <c r="BB115" i="62"/>
  <c r="AZ115" i="62"/>
  <c r="AX115" i="62"/>
  <c r="AV115" i="62"/>
  <c r="AT115" i="62"/>
  <c r="AR115" i="62"/>
  <c r="AP115" i="62"/>
  <c r="AN115" i="62"/>
  <c r="AL115" i="62"/>
  <c r="AJ115" i="62"/>
  <c r="AH115" i="62"/>
  <c r="Z52" i="62"/>
  <c r="Y52" i="62"/>
  <c r="T52" i="62"/>
  <c r="Z51" i="62"/>
  <c r="Y51" i="62"/>
  <c r="T51" i="62"/>
  <c r="Z50" i="62"/>
  <c r="Y50" i="62"/>
  <c r="T50" i="62"/>
  <c r="Z49" i="62"/>
  <c r="Y49" i="62"/>
  <c r="T49" i="62"/>
  <c r="Z48" i="62"/>
  <c r="Y48" i="62"/>
  <c r="T48" i="62"/>
  <c r="Z47" i="62"/>
  <c r="Y47" i="62"/>
  <c r="T47" i="62"/>
  <c r="Z46" i="62"/>
  <c r="Y46" i="62"/>
  <c r="T46" i="62"/>
  <c r="Z45" i="62"/>
  <c r="Y45" i="62"/>
  <c r="T45" i="62"/>
  <c r="Z44" i="62"/>
  <c r="Y44" i="62"/>
  <c r="T44" i="62"/>
  <c r="Z43" i="62"/>
  <c r="Y43" i="62"/>
  <c r="T43" i="62"/>
  <c r="T42" i="62"/>
  <c r="Z41" i="62"/>
  <c r="Y41" i="62"/>
  <c r="T41" i="62"/>
  <c r="Z40" i="62"/>
  <c r="Y40" i="62"/>
  <c r="T40" i="62"/>
  <c r="Z39" i="62"/>
  <c r="Y39" i="62"/>
  <c r="T39" i="62"/>
  <c r="Z38" i="62"/>
  <c r="Y38" i="62"/>
  <c r="T38" i="62"/>
  <c r="Z37" i="62"/>
  <c r="Y37" i="62"/>
  <c r="T37" i="62"/>
  <c r="Z36" i="62"/>
  <c r="Y36" i="62"/>
  <c r="T36" i="62"/>
  <c r="Z35" i="62"/>
  <c r="Y35" i="62"/>
  <c r="T35" i="62"/>
  <c r="Z34" i="62"/>
  <c r="Y34" i="62"/>
  <c r="T34" i="62"/>
  <c r="Z33" i="62"/>
  <c r="Y33" i="62"/>
  <c r="T33" i="62"/>
  <c r="Z32" i="62"/>
  <c r="Y32" i="62"/>
  <c r="T32" i="62"/>
  <c r="Z31" i="62"/>
  <c r="Y31" i="62"/>
  <c r="T31" i="62"/>
  <c r="Z30" i="62"/>
  <c r="Y30" i="62"/>
  <c r="T30" i="62"/>
  <c r="Z29" i="62"/>
  <c r="Y29" i="62"/>
  <c r="T29" i="62"/>
  <c r="Z28" i="62"/>
  <c r="Y28" i="62"/>
  <c r="T28" i="62"/>
  <c r="Z27" i="62"/>
  <c r="Y27" i="62"/>
  <c r="T27" i="62"/>
  <c r="Z26" i="62"/>
  <c r="Y26" i="62"/>
  <c r="T26" i="62"/>
  <c r="Z25" i="62"/>
  <c r="Y25" i="62"/>
  <c r="T25" i="62"/>
  <c r="Z24" i="62"/>
  <c r="Y24" i="62"/>
  <c r="T24" i="62"/>
  <c r="Z23" i="62"/>
  <c r="Y23" i="62"/>
  <c r="T23" i="62"/>
  <c r="Z22" i="62"/>
  <c r="Y22" i="62"/>
  <c r="T22" i="62"/>
  <c r="Z21" i="62"/>
  <c r="Y21" i="62"/>
  <c r="T21" i="62"/>
  <c r="Z20" i="62"/>
  <c r="Y20" i="62"/>
  <c r="T20" i="62"/>
  <c r="Z19" i="62"/>
  <c r="Y19" i="62"/>
  <c r="T19" i="62"/>
  <c r="L203" i="61"/>
  <c r="D203" i="61"/>
  <c r="K203" i="61" s="1"/>
  <c r="L202" i="61"/>
  <c r="D202" i="61"/>
  <c r="K202" i="61" s="1"/>
  <c r="L196" i="61"/>
  <c r="D196" i="61"/>
  <c r="K196" i="61" s="1"/>
  <c r="L200" i="61"/>
  <c r="D200" i="61"/>
  <c r="K200" i="61" s="1"/>
  <c r="L199" i="61"/>
  <c r="D199" i="61"/>
  <c r="K199" i="61" s="1"/>
  <c r="L182" i="61"/>
  <c r="K182" i="61"/>
  <c r="L181" i="61"/>
  <c r="D181" i="61"/>
  <c r="K181" i="61" s="1"/>
  <c r="L180" i="61"/>
  <c r="D180" i="61"/>
  <c r="K180" i="61" s="1"/>
  <c r="L179" i="61"/>
  <c r="D179" i="61"/>
  <c r="K179" i="61" s="1"/>
  <c r="L178" i="61"/>
  <c r="D178" i="61"/>
  <c r="K178" i="61" s="1"/>
  <c r="L177" i="61"/>
  <c r="D177" i="61"/>
  <c r="K177" i="61" s="1"/>
  <c r="L176" i="61"/>
  <c r="D176" i="61"/>
  <c r="K176" i="61" s="1"/>
  <c r="L175" i="61"/>
  <c r="D175" i="61"/>
  <c r="K175" i="61" s="1"/>
  <c r="L174" i="61"/>
  <c r="D174" i="61"/>
  <c r="K174" i="61" s="1"/>
  <c r="L173" i="61"/>
  <c r="D173" i="61"/>
  <c r="K173" i="61" s="1"/>
  <c r="L172" i="61"/>
  <c r="D172" i="61"/>
  <c r="K172" i="61" s="1"/>
  <c r="L171" i="61"/>
  <c r="D171" i="61"/>
  <c r="K171" i="61" s="1"/>
  <c r="L170" i="61"/>
  <c r="D170" i="61"/>
  <c r="K170" i="61" s="1"/>
  <c r="L169" i="61"/>
  <c r="D169" i="61"/>
  <c r="K169" i="61" s="1"/>
  <c r="L168" i="61"/>
  <c r="D168" i="61"/>
  <c r="K168" i="61" s="1"/>
  <c r="L167" i="61"/>
  <c r="D167" i="61"/>
  <c r="K167" i="61" s="1"/>
  <c r="L166" i="61"/>
  <c r="D166" i="61"/>
  <c r="K166" i="61" s="1"/>
  <c r="L165" i="61"/>
  <c r="D165" i="61"/>
  <c r="K165" i="61" s="1"/>
  <c r="L164" i="61"/>
  <c r="D164" i="61"/>
  <c r="K164" i="61" s="1"/>
  <c r="L163" i="61"/>
  <c r="D163" i="61"/>
  <c r="K163" i="61" s="1"/>
  <c r="L162" i="61"/>
  <c r="D162" i="61"/>
  <c r="K162" i="61" s="1"/>
  <c r="L161" i="61"/>
  <c r="D161" i="61"/>
  <c r="K161" i="61" s="1"/>
  <c r="L194" i="61"/>
  <c r="D194" i="61"/>
  <c r="K194" i="61" s="1"/>
  <c r="L160" i="61"/>
  <c r="D160" i="61"/>
  <c r="K160" i="61" s="1"/>
  <c r="L159" i="61"/>
  <c r="D159" i="61"/>
  <c r="K159" i="61" s="1"/>
  <c r="L158" i="61"/>
  <c r="D158" i="61"/>
  <c r="K158" i="61" s="1"/>
  <c r="L157" i="61"/>
  <c r="D157" i="61"/>
  <c r="K157" i="61" s="1"/>
  <c r="L156" i="61"/>
  <c r="D156" i="61"/>
  <c r="K156" i="61" s="1"/>
  <c r="L155" i="61"/>
  <c r="D155" i="61"/>
  <c r="K155" i="61" s="1"/>
  <c r="L154" i="61"/>
  <c r="D154" i="61"/>
  <c r="K154" i="61" s="1"/>
  <c r="L153" i="61"/>
  <c r="D153" i="61"/>
  <c r="K153" i="61" s="1"/>
  <c r="L152" i="61"/>
  <c r="D152" i="61"/>
  <c r="K152" i="61" s="1"/>
  <c r="L151" i="61"/>
  <c r="D151" i="61"/>
  <c r="K151" i="61" s="1"/>
  <c r="L150" i="61"/>
  <c r="D150" i="61"/>
  <c r="K150" i="61" s="1"/>
  <c r="L149" i="61"/>
  <c r="D149" i="61"/>
  <c r="K149" i="61" s="1"/>
  <c r="L148" i="61"/>
  <c r="D148" i="61"/>
  <c r="K148" i="61" s="1"/>
  <c r="L147" i="61"/>
  <c r="D147" i="61"/>
  <c r="K147" i="61" s="1"/>
  <c r="L146" i="61"/>
  <c r="D146" i="61"/>
  <c r="K146" i="61" s="1"/>
  <c r="L145" i="61"/>
  <c r="D145" i="61"/>
  <c r="K145" i="61" s="1"/>
  <c r="L144" i="61"/>
  <c r="D144" i="61"/>
  <c r="K144" i="61" s="1"/>
  <c r="L143" i="61"/>
  <c r="D143" i="61"/>
  <c r="K143" i="61" s="1"/>
  <c r="L142" i="61"/>
  <c r="D142" i="61"/>
  <c r="K142" i="61" s="1"/>
  <c r="L141" i="61"/>
  <c r="D141" i="61"/>
  <c r="K141" i="61" s="1"/>
  <c r="L140" i="61"/>
  <c r="D140" i="61"/>
  <c r="K140" i="61" s="1"/>
  <c r="L139" i="61"/>
  <c r="D139" i="61"/>
  <c r="K139" i="61" s="1"/>
  <c r="L138" i="61"/>
  <c r="D138" i="61"/>
  <c r="K138" i="61" s="1"/>
  <c r="L137" i="61"/>
  <c r="D137" i="61"/>
  <c r="K137" i="61" s="1"/>
  <c r="L136" i="61"/>
  <c r="D136" i="61"/>
  <c r="K136" i="61" s="1"/>
  <c r="L135" i="61"/>
  <c r="D135" i="61"/>
  <c r="K135" i="61" s="1"/>
  <c r="L134" i="61"/>
  <c r="D134" i="61"/>
  <c r="K134" i="61" s="1"/>
  <c r="L133" i="61"/>
  <c r="D133" i="61"/>
  <c r="K133" i="61" s="1"/>
  <c r="L132" i="61"/>
  <c r="D132" i="61"/>
  <c r="K132" i="61" s="1"/>
  <c r="L131" i="61"/>
  <c r="D131" i="61"/>
  <c r="K131" i="61" s="1"/>
  <c r="L130" i="61"/>
  <c r="D130" i="61"/>
  <c r="K130" i="61" s="1"/>
  <c r="L129" i="61"/>
  <c r="D129" i="61"/>
  <c r="K129" i="61" s="1"/>
  <c r="L128" i="61"/>
  <c r="D128" i="61"/>
  <c r="K128" i="61" s="1"/>
  <c r="L127" i="61"/>
  <c r="D127" i="61"/>
  <c r="K127" i="61" s="1"/>
  <c r="L126" i="61"/>
  <c r="D126" i="61"/>
  <c r="K126" i="61" s="1"/>
  <c r="L125" i="61"/>
  <c r="D125" i="61"/>
  <c r="K125" i="61" s="1"/>
  <c r="L124" i="61"/>
  <c r="D124" i="61"/>
  <c r="K124" i="61" s="1"/>
  <c r="L123" i="61"/>
  <c r="D123" i="61"/>
  <c r="K123" i="61" s="1"/>
  <c r="L122" i="61"/>
  <c r="D122" i="61"/>
  <c r="K122" i="61" s="1"/>
  <c r="L121" i="61"/>
  <c r="D121" i="61"/>
  <c r="K121" i="61" s="1"/>
  <c r="L120" i="61"/>
  <c r="D120" i="61"/>
  <c r="K120" i="61" s="1"/>
  <c r="L119" i="61"/>
  <c r="D119" i="61"/>
  <c r="K119" i="61" s="1"/>
  <c r="L118" i="61"/>
  <c r="D118" i="61"/>
  <c r="K118" i="61" s="1"/>
  <c r="L186" i="61"/>
  <c r="D186" i="61"/>
  <c r="K186" i="61" s="1"/>
  <c r="L117" i="61"/>
  <c r="D117" i="61"/>
  <c r="K117" i="61" s="1"/>
  <c r="L116" i="61"/>
  <c r="D116" i="61"/>
  <c r="K116" i="61" s="1"/>
  <c r="L115" i="61"/>
  <c r="D115" i="61"/>
  <c r="K115" i="61" s="1"/>
  <c r="L114" i="61"/>
  <c r="D114" i="61"/>
  <c r="K114" i="61" s="1"/>
  <c r="L113" i="61"/>
  <c r="D113" i="61"/>
  <c r="K113" i="61" s="1"/>
  <c r="L112" i="61"/>
  <c r="D112" i="61"/>
  <c r="K112" i="61" s="1"/>
  <c r="L111" i="61"/>
  <c r="D111" i="61"/>
  <c r="K111" i="61" s="1"/>
  <c r="L110" i="61"/>
  <c r="D110" i="61"/>
  <c r="K110" i="61" s="1"/>
  <c r="L109" i="61"/>
  <c r="D109" i="61"/>
  <c r="K109" i="61" s="1"/>
  <c r="L108" i="61"/>
  <c r="D108" i="61"/>
  <c r="K108" i="61" s="1"/>
  <c r="L107" i="61"/>
  <c r="D107" i="61"/>
  <c r="K107" i="61" s="1"/>
  <c r="L106" i="61"/>
  <c r="D106" i="61"/>
  <c r="K106" i="61" s="1"/>
  <c r="L193" i="61"/>
  <c r="D193" i="61"/>
  <c r="K193" i="61" s="1"/>
  <c r="L192" i="61"/>
  <c r="D192" i="61"/>
  <c r="K192" i="61" s="1"/>
  <c r="L191" i="61"/>
  <c r="K191" i="61"/>
  <c r="L190" i="61"/>
  <c r="D190" i="61"/>
  <c r="K190" i="61" s="1"/>
  <c r="L189" i="61"/>
  <c r="D189" i="61"/>
  <c r="K189" i="61" s="1"/>
  <c r="L105" i="61"/>
  <c r="D105" i="61"/>
  <c r="K105" i="61" s="1"/>
  <c r="L104" i="61"/>
  <c r="D104" i="61"/>
  <c r="K104" i="61" s="1"/>
  <c r="L103" i="61"/>
  <c r="D103" i="61"/>
  <c r="K103" i="61" s="1"/>
  <c r="L102" i="61"/>
  <c r="D102" i="61"/>
  <c r="K102" i="61" s="1"/>
  <c r="L101" i="61"/>
  <c r="D101" i="61"/>
  <c r="K101" i="61" s="1"/>
  <c r="L100" i="61"/>
  <c r="D100" i="61"/>
  <c r="K100" i="61" s="1"/>
  <c r="L99" i="61"/>
  <c r="D99" i="61"/>
  <c r="K99" i="61" s="1"/>
  <c r="L188" i="61"/>
  <c r="D188" i="61"/>
  <c r="K188" i="61" s="1"/>
  <c r="L187" i="61"/>
  <c r="D187" i="61"/>
  <c r="K187" i="61" s="1"/>
  <c r="L97" i="61"/>
  <c r="D97" i="61"/>
  <c r="K97" i="61" s="1"/>
  <c r="L96" i="61"/>
  <c r="D96" i="61"/>
  <c r="K96" i="61" s="1"/>
  <c r="L95" i="61"/>
  <c r="D95" i="61"/>
  <c r="K95" i="61" s="1"/>
  <c r="L94" i="61"/>
  <c r="D94" i="61"/>
  <c r="K94" i="61" s="1"/>
  <c r="L93" i="61"/>
  <c r="D93" i="61"/>
  <c r="K93" i="61" s="1"/>
  <c r="L92" i="61"/>
  <c r="D92" i="61"/>
  <c r="K92" i="61" s="1"/>
  <c r="L91" i="61"/>
  <c r="D91" i="61"/>
  <c r="K91" i="61" s="1"/>
  <c r="L90" i="61"/>
  <c r="D90" i="61"/>
  <c r="K90" i="61" s="1"/>
  <c r="L89" i="61"/>
  <c r="D89" i="61"/>
  <c r="K89" i="61" s="1"/>
  <c r="L88" i="61"/>
  <c r="D88" i="61"/>
  <c r="K88" i="61" s="1"/>
  <c r="L87" i="61"/>
  <c r="D87" i="61"/>
  <c r="K87" i="61" s="1"/>
  <c r="L86" i="61"/>
  <c r="D86" i="61"/>
  <c r="K86" i="61" s="1"/>
  <c r="L85" i="61"/>
  <c r="D85" i="61"/>
  <c r="K85" i="61" s="1"/>
  <c r="L84" i="61"/>
  <c r="D84" i="61"/>
  <c r="K84" i="61" s="1"/>
  <c r="L83" i="61"/>
  <c r="D83" i="61"/>
  <c r="K83" i="61" s="1"/>
  <c r="L82" i="61"/>
  <c r="D82" i="61"/>
  <c r="K82" i="61" s="1"/>
  <c r="L81" i="61"/>
  <c r="D81" i="61"/>
  <c r="K81" i="61" s="1"/>
  <c r="L80" i="61"/>
  <c r="D80" i="61"/>
  <c r="K80" i="61" s="1"/>
  <c r="L79" i="61"/>
  <c r="D79" i="61"/>
  <c r="K79" i="61" s="1"/>
  <c r="L78" i="61"/>
  <c r="D78" i="61"/>
  <c r="K78" i="61" s="1"/>
  <c r="L77" i="61"/>
  <c r="D77" i="61"/>
  <c r="K77" i="61" s="1"/>
  <c r="L76" i="61"/>
  <c r="D76" i="61"/>
  <c r="K76" i="61" s="1"/>
  <c r="L75" i="61"/>
  <c r="D75" i="61"/>
  <c r="K75" i="61" s="1"/>
  <c r="L74" i="61"/>
  <c r="D74" i="61"/>
  <c r="K74" i="61" s="1"/>
  <c r="L73" i="61"/>
  <c r="D73" i="61"/>
  <c r="K73" i="61" s="1"/>
  <c r="L72" i="61"/>
  <c r="D72" i="61"/>
  <c r="K72" i="61" s="1"/>
  <c r="L71" i="61"/>
  <c r="D71" i="61"/>
  <c r="K71" i="61" s="1"/>
  <c r="L70" i="61"/>
  <c r="D70" i="61"/>
  <c r="K70" i="61" s="1"/>
  <c r="L69" i="61"/>
  <c r="D69" i="61"/>
  <c r="K69" i="61" s="1"/>
  <c r="L68" i="61"/>
  <c r="D68" i="61"/>
  <c r="K68" i="61" s="1"/>
  <c r="L67" i="61"/>
  <c r="D67" i="61"/>
  <c r="K67" i="61" s="1"/>
  <c r="L66" i="61"/>
  <c r="D66" i="61"/>
  <c r="K66" i="61" s="1"/>
  <c r="L65" i="61"/>
  <c r="D65" i="61"/>
  <c r="K65" i="61" s="1"/>
  <c r="L64" i="61"/>
  <c r="D64" i="61"/>
  <c r="K64" i="61" s="1"/>
  <c r="L63" i="61"/>
  <c r="D63" i="61"/>
  <c r="K63" i="61" s="1"/>
  <c r="L62" i="61"/>
  <c r="D62" i="61"/>
  <c r="K62" i="61" s="1"/>
  <c r="L61" i="61"/>
  <c r="D61" i="61"/>
  <c r="K61" i="61" s="1"/>
  <c r="L60" i="61"/>
  <c r="D60" i="61"/>
  <c r="K60" i="61" s="1"/>
  <c r="L59" i="61"/>
  <c r="D59" i="61"/>
  <c r="K59" i="61" s="1"/>
  <c r="L58" i="61"/>
  <c r="D58" i="61"/>
  <c r="K58" i="61" s="1"/>
  <c r="L57" i="61"/>
  <c r="D57" i="61"/>
  <c r="K57" i="61" s="1"/>
  <c r="L56" i="61"/>
  <c r="D56" i="61"/>
  <c r="K56" i="61" s="1"/>
  <c r="L55" i="61"/>
  <c r="D55" i="61"/>
  <c r="K55" i="61" s="1"/>
  <c r="L54" i="61"/>
  <c r="D54" i="61"/>
  <c r="K54" i="61" s="1"/>
  <c r="L53" i="61"/>
  <c r="D53" i="61"/>
  <c r="K53" i="61" s="1"/>
  <c r="L52" i="61"/>
  <c r="D52" i="61"/>
  <c r="K52" i="61" s="1"/>
  <c r="L51" i="61"/>
  <c r="D51" i="61"/>
  <c r="K51" i="61" s="1"/>
  <c r="L50" i="61"/>
  <c r="D50" i="61"/>
  <c r="K50" i="61" s="1"/>
  <c r="L185" i="61"/>
  <c r="D185" i="61"/>
  <c r="K185" i="61" s="1"/>
  <c r="L49" i="61"/>
  <c r="D49" i="61"/>
  <c r="K49" i="61" s="1"/>
  <c r="L48" i="61"/>
  <c r="D48" i="61"/>
  <c r="K48" i="61" s="1"/>
  <c r="L47" i="61"/>
  <c r="D47" i="61"/>
  <c r="K47" i="61" s="1"/>
  <c r="L46" i="61"/>
  <c r="D46" i="61"/>
  <c r="K46" i="61" s="1"/>
  <c r="L45" i="61"/>
  <c r="D45" i="61"/>
  <c r="K45" i="61" s="1"/>
  <c r="L44" i="61"/>
  <c r="D44" i="61"/>
  <c r="K44" i="61" s="1"/>
  <c r="L43" i="61"/>
  <c r="D43" i="61"/>
  <c r="K43" i="61" s="1"/>
  <c r="L42" i="61"/>
  <c r="D42" i="61"/>
  <c r="K42" i="61" s="1"/>
  <c r="L184" i="61"/>
  <c r="D184" i="61"/>
  <c r="K184" i="61" s="1"/>
  <c r="L41" i="61"/>
  <c r="D41" i="61"/>
  <c r="K41" i="61" s="1"/>
  <c r="L40" i="61"/>
  <c r="D40" i="61"/>
  <c r="K40" i="61" s="1"/>
  <c r="L39" i="61"/>
  <c r="D39" i="61"/>
  <c r="K39" i="61" s="1"/>
  <c r="L38" i="61"/>
  <c r="D38" i="61"/>
  <c r="K38" i="61" s="1"/>
  <c r="L37" i="61"/>
  <c r="D37" i="61"/>
  <c r="K37" i="61" s="1"/>
  <c r="L36" i="61"/>
  <c r="D36" i="61"/>
  <c r="K36" i="61" s="1"/>
  <c r="L35" i="61"/>
  <c r="D35" i="61"/>
  <c r="K35" i="61" s="1"/>
  <c r="L34" i="61"/>
  <c r="D34" i="61"/>
  <c r="K34" i="61" s="1"/>
  <c r="L33" i="61"/>
  <c r="D33" i="61"/>
  <c r="K33" i="61" s="1"/>
  <c r="L32" i="61"/>
  <c r="D32" i="61"/>
  <c r="K32" i="61" s="1"/>
  <c r="L31" i="61"/>
  <c r="D31" i="61"/>
  <c r="K31" i="61" s="1"/>
  <c r="L30" i="61"/>
  <c r="D30" i="61"/>
  <c r="K30" i="61" s="1"/>
  <c r="L29" i="61"/>
  <c r="D29" i="61"/>
  <c r="K29" i="61" s="1"/>
  <c r="L28" i="61"/>
  <c r="D28" i="61"/>
  <c r="K28" i="61" s="1"/>
  <c r="L27" i="61"/>
  <c r="D27" i="61"/>
  <c r="K27" i="61" s="1"/>
  <c r="L26" i="61"/>
  <c r="D26" i="61"/>
  <c r="K26" i="61" s="1"/>
  <c r="L25" i="61"/>
  <c r="D25" i="61"/>
  <c r="K25" i="61" s="1"/>
  <c r="L24" i="61"/>
  <c r="D24" i="61"/>
  <c r="K24" i="61" s="1"/>
  <c r="L23" i="61"/>
  <c r="D23" i="61"/>
  <c r="K23" i="61" s="1"/>
  <c r="L22" i="61"/>
  <c r="D22" i="61"/>
  <c r="K22" i="61" s="1"/>
  <c r="J11" i="61"/>
  <c r="J9" i="61"/>
  <c r="O23" i="19"/>
  <c r="N23" i="19"/>
  <c r="L23" i="19"/>
  <c r="O22" i="19"/>
  <c r="N22" i="19"/>
  <c r="O19" i="19"/>
  <c r="E13" i="19"/>
  <c r="E11" i="19"/>
  <c r="S105" i="58"/>
  <c r="O105" i="58"/>
  <c r="D105" i="58"/>
  <c r="M105" i="58" s="1"/>
  <c r="C105" i="58"/>
  <c r="O104" i="58"/>
  <c r="D104" i="58"/>
  <c r="M104" i="58" s="1"/>
  <c r="U104" i="58" s="1"/>
  <c r="C104" i="58"/>
  <c r="S103" i="58"/>
  <c r="R103" i="58"/>
  <c r="O103" i="58"/>
  <c r="D103" i="58"/>
  <c r="M103" i="58" s="1"/>
  <c r="U103" i="58" s="1"/>
  <c r="C103" i="58"/>
  <c r="S102" i="58"/>
  <c r="R102" i="58"/>
  <c r="O102" i="58"/>
  <c r="D102" i="58"/>
  <c r="M102" i="58" s="1"/>
  <c r="U102" i="58" s="1"/>
  <c r="C102" i="58"/>
  <c r="S101" i="58"/>
  <c r="R101" i="58"/>
  <c r="O101" i="58"/>
  <c r="D101" i="58"/>
  <c r="M101" i="58" s="1"/>
  <c r="C101" i="58"/>
  <c r="U100" i="58"/>
  <c r="S100" i="58"/>
  <c r="R100" i="58"/>
  <c r="O100" i="58"/>
  <c r="D100" i="58"/>
  <c r="M100" i="58" s="1"/>
  <c r="C100" i="58"/>
  <c r="S99" i="58"/>
  <c r="O99" i="58"/>
  <c r="D99" i="58"/>
  <c r="M99" i="58" s="1"/>
  <c r="U99" i="58" s="1"/>
  <c r="C99" i="58"/>
  <c r="U97" i="58"/>
  <c r="S97" i="58"/>
  <c r="R97" i="58"/>
  <c r="O97" i="58"/>
  <c r="D97" i="58"/>
  <c r="M97" i="58" s="1"/>
  <c r="C97" i="58"/>
  <c r="U96" i="58"/>
  <c r="S96" i="58"/>
  <c r="O96" i="58"/>
  <c r="D96" i="58"/>
  <c r="M96" i="58" s="1"/>
  <c r="C96" i="58"/>
  <c r="S95" i="58"/>
  <c r="R95" i="58"/>
  <c r="O95" i="58"/>
  <c r="D95" i="58"/>
  <c r="M95" i="58" s="1"/>
  <c r="C95" i="58"/>
  <c r="S94" i="58"/>
  <c r="R94" i="58"/>
  <c r="O94" i="58"/>
  <c r="D94" i="58"/>
  <c r="M94" i="58" s="1"/>
  <c r="C94" i="58"/>
  <c r="S93" i="58"/>
  <c r="R93" i="58"/>
  <c r="O93" i="58"/>
  <c r="D93" i="58"/>
  <c r="M93" i="58" s="1"/>
  <c r="C93" i="58"/>
  <c r="S92" i="58"/>
  <c r="R92" i="58"/>
  <c r="O92" i="58"/>
  <c r="D92" i="58"/>
  <c r="M92" i="58" s="1"/>
  <c r="C92" i="58"/>
  <c r="S91" i="58"/>
  <c r="R91" i="58"/>
  <c r="O91" i="58"/>
  <c r="D91" i="58"/>
  <c r="M91" i="58" s="1"/>
  <c r="C91" i="58"/>
  <c r="U83" i="58"/>
  <c r="S83" i="58"/>
  <c r="R83" i="58"/>
  <c r="O83" i="58"/>
  <c r="D83" i="58"/>
  <c r="M83" i="58" s="1"/>
  <c r="C83" i="58"/>
  <c r="U89" i="58"/>
  <c r="S89" i="58"/>
  <c r="R89" i="58"/>
  <c r="O89" i="58"/>
  <c r="D89" i="58"/>
  <c r="M89" i="58" s="1"/>
  <c r="C89" i="58"/>
  <c r="U81" i="58"/>
  <c r="S81" i="58"/>
  <c r="R81" i="58"/>
  <c r="O81" i="58"/>
  <c r="D81" i="58"/>
  <c r="M81" i="58" s="1"/>
  <c r="C81" i="58"/>
  <c r="U80" i="58"/>
  <c r="S80" i="58"/>
  <c r="R80" i="58"/>
  <c r="O80" i="58"/>
  <c r="D80" i="58"/>
  <c r="M80" i="58" s="1"/>
  <c r="C80" i="58"/>
  <c r="U79" i="58"/>
  <c r="S79" i="58"/>
  <c r="R79" i="58"/>
  <c r="O79" i="58"/>
  <c r="D79" i="58"/>
  <c r="M79" i="58" s="1"/>
  <c r="C79" i="58"/>
  <c r="U78" i="58"/>
  <c r="S78" i="58"/>
  <c r="R78" i="58"/>
  <c r="O78" i="58"/>
  <c r="D78" i="58"/>
  <c r="M78" i="58" s="1"/>
  <c r="C78" i="58"/>
  <c r="U77" i="58"/>
  <c r="S77" i="58"/>
  <c r="R77" i="58"/>
  <c r="O77" i="58"/>
  <c r="D77" i="58"/>
  <c r="M77" i="58" s="1"/>
  <c r="C77" i="58"/>
  <c r="U76" i="58"/>
  <c r="S76" i="58"/>
  <c r="R76" i="58"/>
  <c r="O76" i="58"/>
  <c r="D76" i="58"/>
  <c r="M76" i="58" s="1"/>
  <c r="C76" i="58"/>
  <c r="U75" i="58"/>
  <c r="S75" i="58"/>
  <c r="R75" i="58"/>
  <c r="O75" i="58"/>
  <c r="D75" i="58"/>
  <c r="M75" i="58" s="1"/>
  <c r="C75" i="58"/>
  <c r="U74" i="58"/>
  <c r="S74" i="58"/>
  <c r="R74" i="58"/>
  <c r="O74" i="58"/>
  <c r="D74" i="58"/>
  <c r="M74" i="58" s="1"/>
  <c r="C74" i="58"/>
  <c r="U73" i="58"/>
  <c r="S73" i="58"/>
  <c r="R73" i="58"/>
  <c r="O73" i="58"/>
  <c r="D73" i="58"/>
  <c r="M73" i="58" s="1"/>
  <c r="C73" i="58"/>
  <c r="U72" i="58"/>
  <c r="S72" i="58"/>
  <c r="R72" i="58"/>
  <c r="O72" i="58"/>
  <c r="D72" i="58"/>
  <c r="M72" i="58" s="1"/>
  <c r="C72" i="58"/>
  <c r="U71" i="58"/>
  <c r="S71" i="58"/>
  <c r="O71" i="58"/>
  <c r="D71" i="58"/>
  <c r="M71" i="58" s="1"/>
  <c r="C71" i="58"/>
  <c r="U70" i="58"/>
  <c r="S70" i="58"/>
  <c r="R70" i="58"/>
  <c r="O70" i="58"/>
  <c r="D70" i="58"/>
  <c r="M70" i="58" s="1"/>
  <c r="C70" i="58"/>
  <c r="U69" i="58"/>
  <c r="S69" i="58"/>
  <c r="R69" i="58"/>
  <c r="O69" i="58"/>
  <c r="D69" i="58"/>
  <c r="M69" i="58" s="1"/>
  <c r="C69" i="58"/>
  <c r="U68" i="58"/>
  <c r="S68" i="58"/>
  <c r="R68" i="58"/>
  <c r="O68" i="58"/>
  <c r="D68" i="58"/>
  <c r="M68" i="58" s="1"/>
  <c r="C68" i="58"/>
  <c r="U67" i="58"/>
  <c r="S67" i="58"/>
  <c r="R67" i="58"/>
  <c r="O67" i="58"/>
  <c r="D67" i="58"/>
  <c r="M67" i="58" s="1"/>
  <c r="C67" i="58"/>
  <c r="U66" i="58"/>
  <c r="S66" i="58"/>
  <c r="R66" i="58"/>
  <c r="O66" i="58"/>
  <c r="D66" i="58"/>
  <c r="M66" i="58" s="1"/>
  <c r="C66" i="58"/>
  <c r="U65" i="58"/>
  <c r="S65" i="58"/>
  <c r="R65" i="58"/>
  <c r="O65" i="58"/>
  <c r="D65" i="58"/>
  <c r="M65" i="58" s="1"/>
  <c r="C65" i="58"/>
  <c r="U64" i="58"/>
  <c r="S64" i="58"/>
  <c r="R64" i="58"/>
  <c r="O64" i="58"/>
  <c r="D64" i="58"/>
  <c r="M64" i="58" s="1"/>
  <c r="C64" i="58"/>
  <c r="U63" i="58"/>
  <c r="S63" i="58"/>
  <c r="R63" i="58"/>
  <c r="O63" i="58"/>
  <c r="D63" i="58"/>
  <c r="M63" i="58" s="1"/>
  <c r="C63" i="58"/>
  <c r="U62" i="58"/>
  <c r="S62" i="58"/>
  <c r="R62" i="58"/>
  <c r="O62" i="58"/>
  <c r="M62" i="58"/>
  <c r="U87" i="58"/>
  <c r="S87" i="58"/>
  <c r="R87" i="58"/>
  <c r="O87" i="58"/>
  <c r="D87" i="58"/>
  <c r="M87" i="58" s="1"/>
  <c r="C87" i="58"/>
  <c r="U61" i="58"/>
  <c r="S61" i="58"/>
  <c r="R61" i="58"/>
  <c r="O61" i="58"/>
  <c r="D61" i="58"/>
  <c r="M61" i="58" s="1"/>
  <c r="C61" i="58"/>
  <c r="U60" i="58"/>
  <c r="S60" i="58"/>
  <c r="R60" i="58"/>
  <c r="O60" i="58"/>
  <c r="D60" i="58"/>
  <c r="M60" i="58" s="1"/>
  <c r="C60" i="58"/>
  <c r="U59" i="58"/>
  <c r="S59" i="58"/>
  <c r="R59" i="58"/>
  <c r="O59" i="58"/>
  <c r="D59" i="58"/>
  <c r="M59" i="58" s="1"/>
  <c r="C59" i="58"/>
  <c r="U58" i="58"/>
  <c r="S58" i="58"/>
  <c r="R58" i="58"/>
  <c r="O58" i="58"/>
  <c r="D58" i="58"/>
  <c r="M58" i="58" s="1"/>
  <c r="C58" i="58"/>
  <c r="R57" i="58"/>
  <c r="O57" i="58"/>
  <c r="D57" i="58"/>
  <c r="M57" i="58" s="1"/>
  <c r="U57" i="58" s="1"/>
  <c r="C57" i="58"/>
  <c r="U56" i="58"/>
  <c r="S56" i="58"/>
  <c r="R56" i="58"/>
  <c r="O56" i="58"/>
  <c r="D56" i="58"/>
  <c r="M56" i="58" s="1"/>
  <c r="C56" i="58"/>
  <c r="U55" i="58"/>
  <c r="S55" i="58"/>
  <c r="O55" i="58"/>
  <c r="D55" i="58"/>
  <c r="M55" i="58" s="1"/>
  <c r="C55" i="58"/>
  <c r="U54" i="58"/>
  <c r="S54" i="58"/>
  <c r="R54" i="58"/>
  <c r="O54" i="58"/>
  <c r="D54" i="58"/>
  <c r="M54" i="58" s="1"/>
  <c r="C54" i="58"/>
  <c r="S86" i="58"/>
  <c r="R86" i="58"/>
  <c r="O86" i="58"/>
  <c r="D86" i="58"/>
  <c r="M86" i="58" s="1"/>
  <c r="C86" i="58"/>
  <c r="U53" i="58"/>
  <c r="S53" i="58"/>
  <c r="R53" i="58"/>
  <c r="O53" i="58"/>
  <c r="D53" i="58"/>
  <c r="M53" i="58" s="1"/>
  <c r="C53" i="58"/>
  <c r="U52" i="58"/>
  <c r="S52" i="58"/>
  <c r="R52" i="58"/>
  <c r="O52" i="58"/>
  <c r="D52" i="58"/>
  <c r="M52" i="58" s="1"/>
  <c r="C52" i="58"/>
  <c r="U51" i="58"/>
  <c r="S51" i="58"/>
  <c r="R51" i="58"/>
  <c r="O51" i="58"/>
  <c r="D51" i="58"/>
  <c r="M51" i="58" s="1"/>
  <c r="C51" i="58"/>
  <c r="S85" i="58"/>
  <c r="R85" i="58"/>
  <c r="O85" i="58"/>
  <c r="D85" i="58"/>
  <c r="M85" i="58" s="1"/>
  <c r="U85" i="58" s="1"/>
  <c r="C85" i="58"/>
  <c r="U50" i="58"/>
  <c r="S50" i="58"/>
  <c r="R50" i="58"/>
  <c r="O50" i="58"/>
  <c r="D50" i="58"/>
  <c r="M50" i="58" s="1"/>
  <c r="C50" i="58"/>
  <c r="U49" i="58"/>
  <c r="S49" i="58"/>
  <c r="R49" i="58"/>
  <c r="O49" i="58"/>
  <c r="D49" i="58"/>
  <c r="M49" i="58" s="1"/>
  <c r="C49" i="58"/>
  <c r="U48" i="58"/>
  <c r="S48" i="58"/>
  <c r="R48" i="58"/>
  <c r="O48" i="58"/>
  <c r="D48" i="58"/>
  <c r="M48" i="58" s="1"/>
  <c r="C48" i="58"/>
  <c r="U47" i="58"/>
  <c r="S47" i="58"/>
  <c r="R47" i="58"/>
  <c r="O47" i="58"/>
  <c r="D47" i="58"/>
  <c r="M47" i="58" s="1"/>
  <c r="C47" i="58"/>
  <c r="U46" i="58"/>
  <c r="S46" i="58"/>
  <c r="R46" i="58"/>
  <c r="O46" i="58"/>
  <c r="D46" i="58"/>
  <c r="M46" i="58" s="1"/>
  <c r="C46" i="58"/>
  <c r="U45" i="58"/>
  <c r="S45" i="58"/>
  <c r="R45" i="58"/>
  <c r="O45" i="58"/>
  <c r="D45" i="58"/>
  <c r="M45" i="58" s="1"/>
  <c r="C45" i="58"/>
  <c r="U44" i="58"/>
  <c r="S44" i="58"/>
  <c r="R44" i="58"/>
  <c r="O44" i="58"/>
  <c r="D44" i="58"/>
  <c r="M44" i="58" s="1"/>
  <c r="C44" i="58"/>
  <c r="U43" i="58"/>
  <c r="S43" i="58"/>
  <c r="R43" i="58"/>
  <c r="O43" i="58"/>
  <c r="D43" i="58"/>
  <c r="M43" i="58" s="1"/>
  <c r="C43" i="58"/>
  <c r="U42" i="58"/>
  <c r="S42" i="58"/>
  <c r="R42" i="58"/>
  <c r="O42" i="58"/>
  <c r="D42" i="58"/>
  <c r="M42" i="58" s="1"/>
  <c r="C42" i="58"/>
  <c r="U41" i="58"/>
  <c r="S41" i="58"/>
  <c r="R41" i="58"/>
  <c r="O41" i="58"/>
  <c r="D41" i="58"/>
  <c r="M41" i="58" s="1"/>
  <c r="C41" i="58"/>
  <c r="U40" i="58"/>
  <c r="S40" i="58"/>
  <c r="R40" i="58"/>
  <c r="O40" i="58"/>
  <c r="D40" i="58"/>
  <c r="M40" i="58" s="1"/>
  <c r="C40" i="58"/>
  <c r="U39" i="58"/>
  <c r="S39" i="58"/>
  <c r="R39" i="58"/>
  <c r="O39" i="58"/>
  <c r="D39" i="58"/>
  <c r="M39" i="58" s="1"/>
  <c r="C39" i="58"/>
  <c r="U38" i="58"/>
  <c r="S38" i="58"/>
  <c r="R38" i="58"/>
  <c r="O38" i="58"/>
  <c r="D38" i="58"/>
  <c r="M38" i="58" s="1"/>
  <c r="C38" i="58"/>
  <c r="U37" i="58"/>
  <c r="S37" i="58"/>
  <c r="R37" i="58"/>
  <c r="O37" i="58"/>
  <c r="M37" i="58"/>
  <c r="C37" i="58"/>
  <c r="U36" i="58"/>
  <c r="S36" i="58"/>
  <c r="R36" i="58"/>
  <c r="O36" i="58"/>
  <c r="D36" i="58"/>
  <c r="M36" i="58" s="1"/>
  <c r="C36" i="58"/>
  <c r="U35" i="58"/>
  <c r="S35" i="58"/>
  <c r="R35" i="58"/>
  <c r="O35" i="58"/>
  <c r="D35" i="58"/>
  <c r="M35" i="58" s="1"/>
  <c r="C35" i="58"/>
  <c r="U34" i="58"/>
  <c r="S34" i="58"/>
  <c r="R34" i="58"/>
  <c r="O34" i="58"/>
  <c r="D34" i="58"/>
  <c r="M34" i="58" s="1"/>
  <c r="C34" i="58"/>
  <c r="U33" i="58"/>
  <c r="S33" i="58"/>
  <c r="R33" i="58"/>
  <c r="O33" i="58"/>
  <c r="D33" i="58"/>
  <c r="M33" i="58" s="1"/>
  <c r="C33" i="58"/>
  <c r="U32" i="58"/>
  <c r="S32" i="58"/>
  <c r="R32" i="58"/>
  <c r="O32" i="58"/>
  <c r="D32" i="58"/>
  <c r="M32" i="58" s="1"/>
  <c r="C32" i="58"/>
  <c r="U31" i="58"/>
  <c r="S31" i="58"/>
  <c r="R31" i="58"/>
  <c r="O31" i="58"/>
  <c r="D31" i="58"/>
  <c r="M31" i="58" s="1"/>
  <c r="C31" i="58"/>
  <c r="U30" i="58"/>
  <c r="S30" i="58"/>
  <c r="R30" i="58"/>
  <c r="O30" i="58"/>
  <c r="D30" i="58"/>
  <c r="M30" i="58" s="1"/>
  <c r="C30" i="58"/>
  <c r="U29" i="58"/>
  <c r="S29" i="58"/>
  <c r="R29" i="58"/>
  <c r="O29" i="58"/>
  <c r="D29" i="58"/>
  <c r="M29" i="58" s="1"/>
  <c r="C29" i="58"/>
  <c r="U28" i="58"/>
  <c r="S28" i="58"/>
  <c r="O28" i="58"/>
  <c r="D28" i="58"/>
  <c r="M28" i="58" s="1"/>
  <c r="C28" i="58"/>
  <c r="U27" i="58"/>
  <c r="S27" i="58"/>
  <c r="R27" i="58"/>
  <c r="O27" i="58"/>
  <c r="D27" i="58"/>
  <c r="M27" i="58" s="1"/>
  <c r="C27" i="58"/>
  <c r="U26" i="58"/>
  <c r="S26" i="58"/>
  <c r="R26" i="58"/>
  <c r="O26" i="58"/>
  <c r="D26" i="58"/>
  <c r="M26" i="58" s="1"/>
  <c r="C26" i="58"/>
  <c r="U25" i="58"/>
  <c r="S25" i="58"/>
  <c r="R25" i="58"/>
  <c r="O25" i="58"/>
  <c r="D25" i="58"/>
  <c r="M25" i="58" s="1"/>
  <c r="C25" i="58"/>
  <c r="U24" i="58"/>
  <c r="S24" i="58"/>
  <c r="O24" i="58"/>
  <c r="D24" i="58"/>
  <c r="M24" i="58" s="1"/>
  <c r="C24" i="58"/>
  <c r="M12" i="58"/>
  <c r="M10" i="58"/>
  <c r="U95" i="58" l="1"/>
  <c r="U94" i="58"/>
  <c r="U93" i="58"/>
  <c r="U92" i="58"/>
  <c r="U91" i="58"/>
  <c r="U105" i="58"/>
  <c r="AA43" i="62"/>
  <c r="AA47" i="62"/>
  <c r="AA45" i="62"/>
  <c r="AA48" i="62"/>
  <c r="AA51" i="62"/>
  <c r="AA49" i="62"/>
  <c r="AA41" i="62"/>
  <c r="AA37" i="62"/>
  <c r="AA35" i="62"/>
  <c r="AA34" i="62"/>
  <c r="AA31" i="62"/>
  <c r="AA28" i="62"/>
  <c r="AA27" i="62"/>
  <c r="AA26" i="62"/>
  <c r="AA25" i="62"/>
  <c r="AA23" i="62"/>
  <c r="AA22" i="62"/>
  <c r="AA21" i="62"/>
  <c r="AA20" i="62"/>
  <c r="AA19" i="62"/>
  <c r="AA50" i="62"/>
  <c r="AA44" i="62"/>
  <c r="AA40" i="62"/>
  <c r="AA52" i="62"/>
  <c r="AA46" i="62"/>
  <c r="AA39" i="62"/>
  <c r="AA38" i="62"/>
  <c r="AA36" i="62"/>
  <c r="AA33" i="62"/>
  <c r="AA32" i="62"/>
  <c r="AA30" i="62"/>
  <c r="AA29" i="62"/>
  <c r="AA24" i="62"/>
  <c r="L216" i="61"/>
  <c r="L21" i="19" s="1"/>
  <c r="N21" i="19" s="1"/>
  <c r="O21" i="19" s="1"/>
  <c r="U106" i="58" l="1"/>
  <c r="L20" i="19" s="1"/>
  <c r="AA58" i="62"/>
  <c r="L24" i="19" l="1"/>
  <c r="N20" i="19"/>
  <c r="N24" i="19" l="1"/>
  <c r="O24" i="19" s="1"/>
  <c r="O20" i="19"/>
</calcChain>
</file>

<file path=xl/sharedStrings.xml><?xml version="1.0" encoding="utf-8"?>
<sst xmlns="http://schemas.openxmlformats.org/spreadsheetml/2006/main" count="11727" uniqueCount="1634">
  <si>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</si>
  <si>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</si>
  <si>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</si>
  <si>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</si>
  <si>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</si>
  <si>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</si>
  <si>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</si>
  <si>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</si>
  <si>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</si>
  <si>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</si>
  <si>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</si>
  <si>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</si>
  <si>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</si>
  <si>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</si>
  <si>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</si>
  <si>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</si>
  <si>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</si>
  <si>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</si>
  <si>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</si>
  <si>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</si>
  <si>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</si>
  <si>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</si>
  <si>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</si>
  <si>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</si>
  <si>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</si>
  <si>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rPr>
        <sz val="11"/>
        <color rgb="FF000000"/>
        <rFont val="Tahoma"/>
        <family val="2"/>
      </rPr>
      <t>1</t>
    </r>
    <r>
      <rPr>
        <vertAlign val="superscript"/>
        <sz val="11"/>
        <color indexed="8"/>
        <rFont val="Tahoma"/>
        <family val="2"/>
      </rPr>
      <t>st</t>
    </r>
    <r>
      <rPr>
        <sz val="11"/>
        <color indexed="8"/>
        <rFont val="Tahoma"/>
        <family val="2"/>
      </rPr>
      <t xml:space="preserve"> level of Uptime Target (TRKPI)</t>
    </r>
  </si>
  <si>
    <r>
      <rPr>
        <sz val="11"/>
        <color theme="1"/>
        <rFont val="Tahoma"/>
        <family val="2"/>
      </rP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</si>
  <si>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</si>
  <si>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</si>
  <si>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</si>
  <si>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</si>
  <si>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t>
  </si>
  <si>
    <t>Tarikh</t>
  </si>
  <si>
    <t>Hari</t>
  </si>
  <si>
    <t>Cuti</t>
  </si>
  <si>
    <t>Negeri Berkenaan</t>
  </si>
  <si>
    <t>Khamis</t>
  </si>
  <si>
    <t>Tahun Baru</t>
  </si>
  <si>
    <t>Putrajaya</t>
  </si>
  <si>
    <t>Selasa</t>
  </si>
  <si>
    <t>Tahun Baru Cina</t>
  </si>
  <si>
    <t>Rabu</t>
  </si>
  <si>
    <t>Tahun Baru Cina Hari Kedua</t>
  </si>
  <si>
    <t>Isnin</t>
  </si>
  <si>
    <t>Hari Wilayah Persekutuan</t>
  </si>
  <si>
    <t>Hari Thaipusam</t>
  </si>
  <si>
    <t>Sabtu</t>
  </si>
  <si>
    <t>Hari Nuzul Al-Quran</t>
  </si>
  <si>
    <t>Hari Raya Aidilfitri</t>
  </si>
  <si>
    <t>Ahad</t>
  </si>
  <si>
    <t>Hari Raya Aidilfitri Hari Kedua</t>
  </si>
  <si>
    <t>Jumaat</t>
  </si>
  <si>
    <t>Hari Pekerja</t>
  </si>
  <si>
    <t>Hari Wesak</t>
  </si>
  <si>
    <t>Hari Keputeraan YDP Agong</t>
  </si>
  <si>
    <t>Hari Raya Haji</t>
  </si>
  <si>
    <t>Hari Raya Haji Kedua</t>
  </si>
  <si>
    <t>Awal Muharram</t>
  </si>
  <si>
    <t>Hari Kebangsaan</t>
  </si>
  <si>
    <t>Maulidur Rasul</t>
  </si>
  <si>
    <t>Hari Malaysia</t>
  </si>
  <si>
    <t>Hari Deepavali</t>
  </si>
  <si>
    <t>Cuti Hari Deepavali</t>
  </si>
  <si>
    <t>Hari Krismas</t>
  </si>
  <si>
    <t>* Subject to change (Tertakluk kepada perubahan), TBC - To be confirmed</t>
  </si>
  <si>
    <t>MINISTRY OF HEALTH</t>
  </si>
  <si>
    <r>
      <rPr>
        <b/>
        <sz val="14"/>
        <rFont val="Arial"/>
        <family val="2"/>
      </rPr>
      <t>Deduction Mapping Report</t>
    </r>
    <r>
      <rPr>
        <sz val="8"/>
        <color theme="1"/>
        <rFont val="Calibri"/>
        <family val="2"/>
        <scheme val="minor"/>
      </rPr>
      <t xml:space="preserve">
</t>
    </r>
    <r>
      <rPr>
        <sz val="12"/>
        <color theme="1"/>
        <rFont val="Calibri"/>
        <family val="2"/>
        <scheme val="minor"/>
      </rPr>
      <t>Biomedical Engineering Maintenance Services (BEMS)</t>
    </r>
  </si>
  <si>
    <t>HOSPITAL NAME :</t>
  </si>
  <si>
    <t>Institut Kanser Negara</t>
  </si>
  <si>
    <t xml:space="preserve">STATE: </t>
  </si>
  <si>
    <t>W.P. Putrajaya</t>
  </si>
  <si>
    <t>MONTH/YEAR :</t>
  </si>
  <si>
    <t xml:space="preserve">COMPANY: </t>
  </si>
  <si>
    <t>Ambang Wira Sdn Bhd</t>
  </si>
  <si>
    <t/>
  </si>
  <si>
    <t>MONTHLY SERVICE FEE (RM) :</t>
  </si>
  <si>
    <t>BEMS MONTHLY FEE (RM) @ 97.5%   :</t>
  </si>
  <si>
    <t>FMS MONTHLY FEE (RM) @ 2.5%   :</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</si>
  <si>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</si>
  <si>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</si>
  <si>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</si>
  <si>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</si>
  <si>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</si>
  <si>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</si>
  <si>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</si>
  <si>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</si>
  <si>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</si>
  <si>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</si>
  <si>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</si>
  <si>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</si>
  <si>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</si>
  <si>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</si>
  <si>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Siti Norsaliana Binti Abu Khalid</t>
  </si>
  <si>
    <t>Mohd Shahrulnizam bin Tarmizi</t>
  </si>
  <si>
    <t>Head of BEMS</t>
  </si>
  <si>
    <t>Facility Manager</t>
  </si>
  <si>
    <t>Ambang Wira Sdn Bhd- Institut Kanser Negara</t>
  </si>
  <si>
    <t xml:space="preserve">Date: </t>
  </si>
  <si>
    <t>INDICATOR B.1  RESPONSE TIME &amp; B.2 REPAIR TIME</t>
  </si>
  <si>
    <t>HOSPITAL NAME:</t>
  </si>
  <si>
    <t>INSTITUT KANSER NEGARA</t>
  </si>
  <si>
    <t>FIRST DATE OF THE MONTH :</t>
  </si>
  <si>
    <t>(For Calculation)</t>
  </si>
  <si>
    <t>STATE:</t>
  </si>
  <si>
    <t>WILAYAH PERSEKUTUAN  PUTRAJAYA</t>
  </si>
  <si>
    <t>LAST DATE OF THE MONTH :</t>
  </si>
  <si>
    <t>COMPANY:</t>
  </si>
  <si>
    <t>AMBANG WIRA SDN BHD</t>
  </si>
  <si>
    <t>BEMS MONTHLY FEE (RM)
@ 97.5%   :</t>
  </si>
  <si>
    <t>MONTH/YEAR:</t>
  </si>
  <si>
    <t>FMS MONTHLY FEE (RM)
@ 2.5%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</si>
  <si>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</si>
  <si>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</si>
  <si>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</si>
  <si>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</si>
  <si>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</si>
  <si>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</si>
  <si>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Asset No</t>
  </si>
  <si>
    <t>Asset Description</t>
  </si>
  <si>
    <t>Asset Purchase Price (RM)</t>
  </si>
  <si>
    <t>Work Order No.</t>
  </si>
  <si>
    <t>User Location</t>
  </si>
  <si>
    <t>Work Order/ Complaint Details</t>
  </si>
  <si>
    <t>Response Category
(Emergency/ Normal)</t>
  </si>
  <si>
    <t>Total Response Time
(minutes)</t>
  </si>
  <si>
    <t>Work Request  Date</t>
  </si>
  <si>
    <t>Response Time (Minutes)</t>
  </si>
  <si>
    <t>Work Completion Date</t>
  </si>
  <si>
    <t>Deduction Ringgit Equivalent
(RM)</t>
  </si>
  <si>
    <t>Indicator B.1</t>
  </si>
  <si>
    <t>Indicator B.2</t>
  </si>
  <si>
    <t>Validate Status
(Y/N)</t>
  </si>
  <si>
    <t>Deduction Value (RM)</t>
  </si>
  <si>
    <t>Remarks/ Exemption</t>
  </si>
  <si>
    <t>Total Repair Time (day)</t>
  </si>
  <si>
    <t>Last date of 7 working days
(dd/mm/yy)</t>
  </si>
  <si>
    <t>Demerit Point</t>
  </si>
  <si>
    <t>Current Month (Work Order Completed)</t>
  </si>
  <si>
    <t>IKN400755</t>
  </si>
  <si>
    <t>IKNWIBE26008258</t>
  </si>
  <si>
    <t>04LA132</t>
  </si>
  <si>
    <t>MESIN ACL ELITE PRO ALARM SAMPLE LEVEL LOW - PATOLOGI ARAS 4</t>
  </si>
  <si>
    <t>Normal</t>
  </si>
  <si>
    <t>0 days, 0 hrs, 20 mins</t>
  </si>
  <si>
    <t>02-May-2026 09:40:00</t>
  </si>
  <si>
    <t>02-May-2026 10:00:00</t>
  </si>
  <si>
    <t>08-May-2026 11:00:00</t>
  </si>
  <si>
    <t>N</t>
  </si>
  <si>
    <t>M-RUN CALIBRATION , QC, ALLIGNMENT THE PROBE, TEST FUNCTIONING OK</t>
  </si>
  <si>
    <t>IKN400342</t>
  </si>
  <si>
    <t>IKNWIBE26008371</t>
  </si>
  <si>
    <t>07WF121</t>
  </si>
  <si>
    <t>0 days, 0 hrs, 5 mins</t>
  </si>
  <si>
    <t>04-May-2026 20:40:00</t>
  </si>
  <si>
    <t>04-May-2026 20:45:00</t>
  </si>
  <si>
    <t>05-May-2026 19:30:00</t>
  </si>
  <si>
    <t xml:space="preserve">L, QE:12-RE -SEAT CONNECTOR HOSE , MONITORING FOR 1 DAY TESTED OKAY </t>
  </si>
  <si>
    <t>IKN400965</t>
  </si>
  <si>
    <t>IKNWIBE26008469</t>
  </si>
  <si>
    <t>01RT177</t>
  </si>
  <si>
    <t>0 days, 0 hrs, 3 mins</t>
  </si>
  <si>
    <t>05-May-2026 16:37:00</t>
  </si>
  <si>
    <t>05-May-2026 16:40:00</t>
  </si>
  <si>
    <t>05-May-2026 21:00:00</t>
  </si>
  <si>
    <t>L, QE:12-REPLACED WITH NEW UPS BATTERIES AND TESTED PDU TURNED ON UNIT LEFT</t>
  </si>
  <si>
    <t>IKN400231</t>
  </si>
  <si>
    <t>IKNWIBE26008530</t>
  </si>
  <si>
    <t>09WJ126</t>
  </si>
  <si>
    <t>06-May-2026 10:48:00</t>
  </si>
  <si>
    <t>IKN400366</t>
  </si>
  <si>
    <t>IKNWIBE26008551</t>
  </si>
  <si>
    <t>07WE113</t>
  </si>
  <si>
    <t>06-May-2026 17:24:00</t>
  </si>
  <si>
    <t>IKN400288</t>
  </si>
  <si>
    <t>IKNWIBE26008552</t>
  </si>
  <si>
    <t>08WH121</t>
  </si>
  <si>
    <t>0 days, 0 hrs, 41 mins</t>
  </si>
  <si>
    <t>06-May-2026 17:49:00</t>
  </si>
  <si>
    <t>06-May-2026 18:30:00</t>
  </si>
  <si>
    <t>08-May-2026 18:45:00</t>
  </si>
  <si>
    <t>L, QE:10-REPAIR MACHINE CLEAN THE MOTOR DRIVER,ROTATE CLOCKWISE, CLEAN USING CONTACT CLEANER , MAKE SURE MOTOR FUNCTIONING WELL, TEST MACHINE PASSER, MOTOR DRIVER FUNCTIONING WELL, DOOR CLOSE WELL , UNIT READY FOR USE</t>
  </si>
  <si>
    <t>IKN400956</t>
  </si>
  <si>
    <t>IKNWIBE26008603</t>
  </si>
  <si>
    <t>01RT172</t>
  </si>
  <si>
    <t>0 days, 0 hrs, 21 mins</t>
  </si>
  <si>
    <t>07-May-2026 08:09:00</t>
  </si>
  <si>
    <t>07-May-2026 08:30:00</t>
  </si>
  <si>
    <t>07-May-2026 18:00:00</t>
  </si>
  <si>
    <t>L, QE:1- REPLACED WHOLE SYSTEM SPEAKER AND TESTED OKAY . UNIT LEFT WITH GOOD WORKING CONDITION</t>
  </si>
  <si>
    <t>IKNWIBE26008698</t>
  </si>
  <si>
    <t>09WJ130</t>
  </si>
  <si>
    <t>0 days, 0 hrs, 29 mins</t>
  </si>
  <si>
    <t>08-May-2026 13:31:00</t>
  </si>
  <si>
    <t>08-May-2026 14:00:00</t>
  </si>
  <si>
    <t>08-May-2026 17:00:00</t>
  </si>
  <si>
    <t>L, QE:12-TIGHTEN TUBING , MAKE SURE NO LEAKING , TEST MATTRESS PASSED, UNIT READY FOR USE</t>
  </si>
  <si>
    <t>IKN400198</t>
  </si>
  <si>
    <t>IKNWIBE26008699</t>
  </si>
  <si>
    <t>0 days, 0 hrs, 26 mins</t>
  </si>
  <si>
    <t>08-May-2026 14:49:00</t>
  </si>
  <si>
    <t>08-May-2026 15:15:00</t>
  </si>
  <si>
    <t>08-May-2026 16:15:00</t>
  </si>
  <si>
    <t xml:space="preserve">L, QE:12-TIGHTEN TUBING , MAKE SURE NO LEAKING , TEST MATTRESS PASSED, UNIT FULLY INFLATE AND READY FOR USE
</t>
  </si>
  <si>
    <t>IKN402180</t>
  </si>
  <si>
    <t>IKNWIBE26008704</t>
  </si>
  <si>
    <t>03NM158</t>
  </si>
  <si>
    <t>0 days, 0 hrs, 10 mins</t>
  </si>
  <si>
    <t>08-May-2026 11:10:00</t>
  </si>
  <si>
    <t xml:space="preserve">L, QE:12- VENDOR TROUBLESHOOT RUN DETECTOR CALIBRATION AND CREATED  NEW MAP FOR CO57 FLOOD FOURCE , UNIT FUNCTIONING OKAY </t>
  </si>
  <si>
    <t>IKN400267</t>
  </si>
  <si>
    <t>IKNWIBE26008805</t>
  </si>
  <si>
    <t>08WG143</t>
  </si>
  <si>
    <t>BP CUFF LEAKING- WAD 8A</t>
  </si>
  <si>
    <t>0 days, 0 hrs, 19 mins</t>
  </si>
  <si>
    <t>11-May-2026 09:11:00</t>
  </si>
  <si>
    <t>11-May-2026 09:30:00</t>
  </si>
  <si>
    <t>11-May-2026 10:00:00</t>
  </si>
  <si>
    <t xml:space="preserve">L, QE:12-TEST UNIT, CUFF INFLATE WELL, UNIT READY FOR USE
</t>
  </si>
  <si>
    <t>IKN400300</t>
  </si>
  <si>
    <t>IKNWIBE26008806</t>
  </si>
  <si>
    <t>RIPPLE MATTRESS ROSAK- WAD 8B</t>
  </si>
  <si>
    <t>11-May-2026 09:39:00</t>
  </si>
  <si>
    <t>11-May-2026 12:00:00</t>
  </si>
  <si>
    <t xml:space="preserve">L, QE:12-TIGHTEN TUBING ,UNIT INFLATE OKAY, TEST PASSED, UNIT READY FOR USE, NO LEAKING AT ALL 
</t>
  </si>
  <si>
    <t>IKN402009</t>
  </si>
  <si>
    <t>IKNWIBE26009008</t>
  </si>
  <si>
    <t>04PC109</t>
  </si>
  <si>
    <t>CM- REQ FOR PERFORMANCE CHECK</t>
  </si>
  <si>
    <t>Corrective Maintenance (CM)</t>
  </si>
  <si>
    <t>11-May-2026 16:00:00</t>
  </si>
  <si>
    <t>11-May-2026 16:10:00</t>
  </si>
  <si>
    <t>11-May-2026 17:10:00</t>
  </si>
  <si>
    <t xml:space="preserve">AN- DONE PERFORMANCE CHECKING AS PER CHECKLIST ATTACHED </t>
  </si>
  <si>
    <t>IKN402187</t>
  </si>
  <si>
    <t>IKNWIBE26009013</t>
  </si>
  <si>
    <t>03ID162</t>
  </si>
  <si>
    <t>CM- MONITOR FAULTY</t>
  </si>
  <si>
    <t>11-May-2026 14:00:00</t>
  </si>
  <si>
    <t>11-May-2026 14:05:00</t>
  </si>
  <si>
    <t xml:space="preserve">L, QE:12-REPLACE NEW MONITOR WARRANTY TESTSED OKAY </t>
  </si>
  <si>
    <t>IKN401237</t>
  </si>
  <si>
    <t>IKNWIBE26009079</t>
  </si>
  <si>
    <t>03NM108</t>
  </si>
  <si>
    <t>0 days, 0 hrs, 16 mins</t>
  </si>
  <si>
    <t>12-May-2026 10:59:00</t>
  </si>
  <si>
    <t>12-May-2026 11:15:00</t>
  </si>
  <si>
    <t>12-May-2026 13:00:00</t>
  </si>
  <si>
    <t>IKN402179</t>
  </si>
  <si>
    <t>IKNWIBE26009088</t>
  </si>
  <si>
    <t>03NM161</t>
  </si>
  <si>
    <t>0 days, 0 hrs, 15 mins</t>
  </si>
  <si>
    <t>12-May-2026 10:00:00</t>
  </si>
  <si>
    <t>12-May-2026 10:15:00</t>
  </si>
  <si>
    <t>12-May-2026 13:15:00</t>
  </si>
  <si>
    <t xml:space="preserve">L, QE:12-XELAERIS MAINTAINANCE COMPLETE BY VENDOR TESTED OKAY </t>
  </si>
  <si>
    <t>IKNWIBE26009089</t>
  </si>
  <si>
    <t>12-May-2026 16:00:00</t>
  </si>
  <si>
    <t xml:space="preserve">L, QE:12-XELERIS MAINTAINANACE COMPLETE BY  VENDOR TEST OKAY </t>
  </si>
  <si>
    <t>IKN400007</t>
  </si>
  <si>
    <t>IKNWIBE26009091</t>
  </si>
  <si>
    <t>01AE118</t>
  </si>
  <si>
    <t>MACHINE SPO2 ROSAK- ACCU</t>
  </si>
  <si>
    <t>IKN400446</t>
  </si>
  <si>
    <t>IKNWIBE26009165</t>
  </si>
  <si>
    <t>06WC113</t>
  </si>
  <si>
    <t>0 days, 0 hrs, 39 mins</t>
  </si>
  <si>
    <t>13-May-2026 11:21:00</t>
  </si>
  <si>
    <t>13-May-2026 12:00:00</t>
  </si>
  <si>
    <t>13-May-2026 15:00:00</t>
  </si>
  <si>
    <t>IKNWIBE26009181</t>
  </si>
  <si>
    <t>13-May-2026 14:00:00</t>
  </si>
  <si>
    <t>13-May-2026 14:15:00</t>
  </si>
  <si>
    <t>13-May-2026 15:30:00</t>
  </si>
  <si>
    <t xml:space="preserve">L, QE:16-VENDOR TROUBLESHOOT PERFORMED LFC AND CONFIGURE TESTED OKAY </t>
  </si>
  <si>
    <t>IKN400044</t>
  </si>
  <si>
    <t>IKNWIBE26009182</t>
  </si>
  <si>
    <t>05IC113</t>
  </si>
  <si>
    <t>BP CUFF LEAKING - ICU</t>
  </si>
  <si>
    <t>0 days, 0 hrs, 8 mins</t>
  </si>
  <si>
    <t>13-May-2026 15:52:00</t>
  </si>
  <si>
    <t>13-May-2026 16:00:00</t>
  </si>
  <si>
    <t>13-May-2026 16:15:00</t>
  </si>
  <si>
    <t>IKN400348</t>
  </si>
  <si>
    <t>IKNWIBE26009187</t>
  </si>
  <si>
    <t>CM- REPLACE POWER CORD</t>
  </si>
  <si>
    <t>13-May-2026 17:00:00</t>
  </si>
  <si>
    <t>13-May-2026 17:10:00</t>
  </si>
  <si>
    <t>13-May-2026 17:40:00</t>
  </si>
  <si>
    <t xml:space="preserve">L, QE:16-REPLACE NEW POWER CARD , TESTED AND FUNCTIONING </t>
  </si>
  <si>
    <t>IKN401246</t>
  </si>
  <si>
    <t>IKNWIBE26009257</t>
  </si>
  <si>
    <t>01RT156</t>
  </si>
  <si>
    <t>CM- MONACO MONTHLY CHECKING</t>
  </si>
  <si>
    <t>14-May-2026 13:00:00</t>
  </si>
  <si>
    <t>14-May-2026 14:01:00</t>
  </si>
  <si>
    <t>L, QE:12- MONTHLY CHECKING DONE AS PER  CHECKLIST ATTACHED</t>
  </si>
  <si>
    <t>IKN400774</t>
  </si>
  <si>
    <t>IKNWIBE26009258</t>
  </si>
  <si>
    <t>03ID156</t>
  </si>
  <si>
    <t>CM- MYRIAN MONTHLY CHECKING</t>
  </si>
  <si>
    <t>0 days, 0 hrs, 4 mins</t>
  </si>
  <si>
    <t>14-May-2026 12:00:00</t>
  </si>
  <si>
    <t>14-May-2026 12:04:00</t>
  </si>
  <si>
    <t>14-May-2026 14:03:00</t>
  </si>
  <si>
    <t xml:space="preserve">L, QE:12-MAYRIAN MONTHLY CHECKING COMPLETE BY VENDOR </t>
  </si>
  <si>
    <t>IKN400878</t>
  </si>
  <si>
    <t>IKNWIBE26009263</t>
  </si>
  <si>
    <t>14-May-2026 15:00:00</t>
  </si>
  <si>
    <t>14-May-2026 15:15:00</t>
  </si>
  <si>
    <t>14-May-2026 16:15:00</t>
  </si>
  <si>
    <t xml:space="preserve">L, QE:12-DONE PERFORMANCE CHECKING 
</t>
  </si>
  <si>
    <t>IKN400497</t>
  </si>
  <si>
    <t>IKNWIBE26009264</t>
  </si>
  <si>
    <t>14-May-2026 15:10:00</t>
  </si>
  <si>
    <t>14-May-2026 16:10:00</t>
  </si>
  <si>
    <t xml:space="preserve">L, QE:12- DONE PERFORMANCE CHECKING </t>
  </si>
  <si>
    <t>IKNWIBE26009337</t>
  </si>
  <si>
    <t>BP SET TIDAK BOLEH CHARGER-7B</t>
  </si>
  <si>
    <t>15-May-2026 12:28:00</t>
  </si>
  <si>
    <t>IKN400828</t>
  </si>
  <si>
    <t>IKNWIBE26009338</t>
  </si>
  <si>
    <t>01RT275</t>
  </si>
  <si>
    <t>IKN400967</t>
  </si>
  <si>
    <t>IKNWIBE26009435</t>
  </si>
  <si>
    <t>01RT165</t>
  </si>
  <si>
    <t>0 days, 0 hrs, 7 mins</t>
  </si>
  <si>
    <t>18-May-2026 08:31:00</t>
  </si>
  <si>
    <t>18-May-2026 08:38:00</t>
  </si>
  <si>
    <t>18-May-2026 09:16:00</t>
  </si>
  <si>
    <t xml:space="preserve">L, QE:12-ADD WATER PRESSURE AND RESET VACCUM SYSTEM . RETURNED TO FUNCTIONING </t>
  </si>
  <si>
    <t>IKNWIBE26009515</t>
  </si>
  <si>
    <t>MACHINE BP LEAKING- WAD 8A</t>
  </si>
  <si>
    <t>19-May-2026 09:34:00</t>
  </si>
  <si>
    <t>19-May-2026 10:00:00</t>
  </si>
  <si>
    <t>19-May-2026 11:00:00</t>
  </si>
  <si>
    <t xml:space="preserve">L, QE:12-REPLACE NEW CUFF ADULT , TEST UNIT PASSED, UNIT READY TO USE
</t>
  </si>
  <si>
    <t>IKN400410</t>
  </si>
  <si>
    <t>IKNWIBE26009519</t>
  </si>
  <si>
    <t>06WD153</t>
  </si>
  <si>
    <t>19-May-2026 11:21:00</t>
  </si>
  <si>
    <t>19-May-2026 12:00:00</t>
  </si>
  <si>
    <t>19-May-2026 14:00:00</t>
  </si>
  <si>
    <t xml:space="preserve">L, QE:12-TIGHTEN THE TUBING , MAKE SURE NO LEAKCAGE , TEST MATTRESS FULLY INFLATE PASSED , UNIT READY TO USE
</t>
  </si>
  <si>
    <t>IKN400756</t>
  </si>
  <si>
    <t>IKNWIBE26009521</t>
  </si>
  <si>
    <t>19-May-2026 12:18:00</t>
  </si>
  <si>
    <t>IKN400782</t>
  </si>
  <si>
    <t>IKNWIBE26009527</t>
  </si>
  <si>
    <t>03ID178</t>
  </si>
  <si>
    <t>CM- DISPLAY FAULTY</t>
  </si>
  <si>
    <t>19-May-2026 15:00:00</t>
  </si>
  <si>
    <t>19-May-2026 15:05:00</t>
  </si>
  <si>
    <t>19-May-2026 16:00:00</t>
  </si>
  <si>
    <t>SH, QE:12-VENDOR TROUBLESHOOT AND RESETTHE MONITOR CABLE . TESTED OKAY</t>
  </si>
  <si>
    <t>IKN400340</t>
  </si>
  <si>
    <t>IKNWIBE26009540</t>
  </si>
  <si>
    <t>0 days, 0 hrs, 11 mins</t>
  </si>
  <si>
    <t>19-May-2026 20:19:00</t>
  </si>
  <si>
    <t>19-May-2026 20:30:00</t>
  </si>
  <si>
    <t xml:space="preserve">L, QE:12- TIGHTEN CONNECTOR INSIDE, THE MATTRESS, TESTED FULL INFLATED , TRIED SWAP THE COMPRESSOR , THIGHTEN ALL THE HOSE CONNECTOR INSIDE THE MACHINE, STILL THE MATTRESS NOT FECT ALTERNATE BUT FULLY INFLATE , THEN THE ALARM KEEP BUZZING , TRIED SWAP THE ROTOR ASSEMBLY BECAUSE THIS IS THE CHEMICAL PART FOR ALTERNATE THE METTERSS PRESSURE, TESTED OKAY ABLE TO ALTERNATE THE MATTRESS AIR PRESURRE , FUNCTIONING ALARM SILENT 
</t>
  </si>
  <si>
    <t>IKN400349</t>
  </si>
  <si>
    <t>IKNWIBE26009591</t>
  </si>
  <si>
    <t>07WF143</t>
  </si>
  <si>
    <t>0 days, 0 hrs, 17 mins</t>
  </si>
  <si>
    <t>20-May-2026 07:43:00</t>
  </si>
  <si>
    <t>20-May-2026 08:00:00</t>
  </si>
  <si>
    <t>20-May-2026 15:30:00</t>
  </si>
  <si>
    <t xml:space="preserve">L, QE:12-REPLACE NEW CASTOR ,TESTING OKAY AND THE CASTOR ABLE TO MOVE SMOOTHLY
</t>
  </si>
  <si>
    <t>IKN400099</t>
  </si>
  <si>
    <t>IKNWIBE26009598</t>
  </si>
  <si>
    <t>20-May-2026 10:52:00</t>
  </si>
  <si>
    <t>20-May-2026 11:00:00</t>
  </si>
  <si>
    <t>20-May-2026 11:15:00</t>
  </si>
  <si>
    <t>Y</t>
  </si>
  <si>
    <t>L, QE:12-UNIT TEST AND FUNCTIONING AND WORKING IN GOOD CONDITION</t>
  </si>
  <si>
    <t>IKN400741</t>
  </si>
  <si>
    <t>IKNWIBE26009599</t>
  </si>
  <si>
    <t>04LA126</t>
  </si>
  <si>
    <t>0 days, 0 hrs, 34 mins</t>
  </si>
  <si>
    <t>20-May-2026 11:26:00</t>
  </si>
  <si>
    <t>20-May-2026 12:00:00</t>
  </si>
  <si>
    <t>20-May-2026 13:00:00</t>
  </si>
  <si>
    <t xml:space="preserve">L, QE:12- REPLACE ALKALINE BATTERY 1-5 V LR 41 H 
</t>
  </si>
  <si>
    <t>IKNWIBE26009663</t>
  </si>
  <si>
    <t>0 days, 0 hrs, 23 mins</t>
  </si>
  <si>
    <t>21-May-2026 08:07:00</t>
  </si>
  <si>
    <t>21-May-2026 08:30:00</t>
  </si>
  <si>
    <t>21-May-2026 09:00:00</t>
  </si>
  <si>
    <t xml:space="preserve">L, QE:12-RESET EMERGENCY BUTTON AND GENERATOR , UNIT RETURNED TO FUNCTIONING AND TESTED OKAY
</t>
  </si>
  <si>
    <t>IKNWIBE26009669</t>
  </si>
  <si>
    <t>VACCUM TARGET DROP(5.3) -LINAC 2</t>
  </si>
  <si>
    <t>0 days, 0 hrs, 6 mins</t>
  </si>
  <si>
    <t>21-May-2026 09:12:00</t>
  </si>
  <si>
    <t>21-May-2026 09:18:00</t>
  </si>
  <si>
    <t>21-May-2026 11:00:00</t>
  </si>
  <si>
    <t xml:space="preserve">L, QE:12-RECONDITIONING AND RESET VACCUM SYSTEM. TESTED OK AND STABLE , UNIT LEFT WITH GOOD WORKING CONDITION 
</t>
  </si>
  <si>
    <t>IKN400978</t>
  </si>
  <si>
    <t>IKNWIBE26009676</t>
  </si>
  <si>
    <t>01RT116</t>
  </si>
  <si>
    <t>21-May-2026 11:17:00</t>
  </si>
  <si>
    <t>IKN400579</t>
  </si>
  <si>
    <t>IKNWIBE26009686</t>
  </si>
  <si>
    <t>01NW105</t>
  </si>
  <si>
    <t>READING NOT ACCURATE</t>
  </si>
  <si>
    <t>21-May-2026 14:00:00</t>
  </si>
  <si>
    <t>IKN402228</t>
  </si>
  <si>
    <t>IKNWIBE26009690</t>
  </si>
  <si>
    <t>03OC133</t>
  </si>
  <si>
    <t>CM-VERIFY THE RESULT ACCURACY</t>
  </si>
  <si>
    <t>21-May-2026 15:00:00</t>
  </si>
  <si>
    <t>21-May-2026 15:10:00</t>
  </si>
  <si>
    <t>21-May-2026 17:00:00</t>
  </si>
  <si>
    <t>L, QE:12-VENDOR TROUBLESHOOT AND DONE CALIBRATION TESTED OKAY</t>
  </si>
  <si>
    <t>IKN401461</t>
  </si>
  <si>
    <t>IKNWIBE26009691</t>
  </si>
  <si>
    <t>21-May-2026 16:30:00</t>
  </si>
  <si>
    <t>IKN401223</t>
  </si>
  <si>
    <t>IKNWIBE26009692</t>
  </si>
  <si>
    <t>03NM139</t>
  </si>
  <si>
    <t>CM- YEARLY CALIBRATION</t>
  </si>
  <si>
    <t>21-May-2026 10:00:00</t>
  </si>
  <si>
    <t>21-May-2026 10:10:00</t>
  </si>
  <si>
    <t>21-May-2026 11:10:00</t>
  </si>
  <si>
    <t xml:space="preserve">L, QE:15-YEARLY CALIBRATION DONE BY VENDOR, CALIBRATION PASSED
</t>
  </si>
  <si>
    <t>IKN401225</t>
  </si>
  <si>
    <t>IKNWIBE26009693</t>
  </si>
  <si>
    <t>IKN401227</t>
  </si>
  <si>
    <t>IKNWIBE26009694</t>
  </si>
  <si>
    <t>IKN401229</t>
  </si>
  <si>
    <t>IKNWIBE26009695</t>
  </si>
  <si>
    <t>03WA125</t>
  </si>
  <si>
    <t>IKN401231</t>
  </si>
  <si>
    <t>IKNWIBE26009696</t>
  </si>
  <si>
    <t>03NM154</t>
  </si>
  <si>
    <t>L, QE:15-YEARLY CALIBRATION DONE BY VENDOR, CALIBRATION PASSED</t>
  </si>
  <si>
    <t>IKN400232</t>
  </si>
  <si>
    <t>IKNWIBE26009700</t>
  </si>
  <si>
    <t>21-May-2026 20:18:00</t>
  </si>
  <si>
    <t>IKN400762</t>
  </si>
  <si>
    <t>IKNWIBE26009774</t>
  </si>
  <si>
    <t>04LA133</t>
  </si>
  <si>
    <t>0 days, 0 hrs, 9 mins</t>
  </si>
  <si>
    <t>22-May-2026 15:51:00</t>
  </si>
  <si>
    <t>22-May-2026 16:00:00</t>
  </si>
  <si>
    <t>22-May-2026 17:00:00</t>
  </si>
  <si>
    <t xml:space="preserve">L, QE:12-REPLACE PROBE , TEST FUNCTIONING OKAY
</t>
  </si>
  <si>
    <t>IKN401581</t>
  </si>
  <si>
    <t>IKNWIBE26009782</t>
  </si>
  <si>
    <t>01KT101</t>
  </si>
  <si>
    <t>0 days, 0 hrs, 32 mins</t>
  </si>
  <si>
    <t>22-May-2026 17:48:00</t>
  </si>
  <si>
    <t>22-May-2026 18:20:00</t>
  </si>
  <si>
    <t>28-May-2026 09:30:00</t>
  </si>
  <si>
    <t>L, QE:12-  NEXT VISIT , USER ALREADY CHANGE THE LOCATION OF THE BALANCES , NO NEED TO CHANGE THE LENGTH OF THE POWER LEAD</t>
  </si>
  <si>
    <t>IKN400308</t>
  </si>
  <si>
    <t>IKNWIBE26009802</t>
  </si>
  <si>
    <t>08WH133</t>
  </si>
  <si>
    <t>23-May-2026 06:21:00</t>
  </si>
  <si>
    <t>23-May-2026 09:00:00</t>
  </si>
  <si>
    <t xml:space="preserve">L, QE:12- CHECK WITH ECG TESTER, TEST FUNCTIONING OKAY
</t>
  </si>
  <si>
    <t>IKN400798</t>
  </si>
  <si>
    <t>IKNWIBE26009808</t>
  </si>
  <si>
    <t>03ID181</t>
  </si>
  <si>
    <t>24-May-2026 06:58:00</t>
  </si>
  <si>
    <t>24-May-2026 09:00:00</t>
  </si>
  <si>
    <t>IKNWIBE26009875</t>
  </si>
  <si>
    <t>0 days, 0 hrs, 22 mins</t>
  </si>
  <si>
    <t>25-May-2026 09:38:00</t>
  </si>
  <si>
    <t>25-May-2026 10:00:00</t>
  </si>
  <si>
    <t>25-May-2026 10:20:00</t>
  </si>
  <si>
    <t>L, QE:12- SETTING AUTO PICKUP ROTOR, TEST FUNCTIONING OKAY</t>
  </si>
  <si>
    <t>IKN401472</t>
  </si>
  <si>
    <t>IKNWIBE26009880</t>
  </si>
  <si>
    <t>09WJ136</t>
  </si>
  <si>
    <t>0 days, 0 hrs, 47 mins</t>
  </si>
  <si>
    <t>25-May-2026 10:13:00</t>
  </si>
  <si>
    <t>25-May-2026 11:00:00</t>
  </si>
  <si>
    <t>25-May-2026 12:30:00</t>
  </si>
  <si>
    <t>L, QE:12- RESET PLUG, ALL PLUG WALL CAN USE, ON MACHINE OK, UNIT READY FOR USE</t>
  </si>
  <si>
    <t>IKN400527</t>
  </si>
  <si>
    <t>IKNWIBE26009895</t>
  </si>
  <si>
    <t>CM- REQ PERFORMANCE CHECK</t>
  </si>
  <si>
    <t>0 days, 0 hrs, 30 mins</t>
  </si>
  <si>
    <t>25-May-2026 15:00:00</t>
  </si>
  <si>
    <t>25-May-2026 15:30:00</t>
  </si>
  <si>
    <t>25-May-2026 16:30:00</t>
  </si>
  <si>
    <t xml:space="preserve">L, QE:12-DONE PERFORMING CHECKING </t>
  </si>
  <si>
    <t>IKNWIBE26009962</t>
  </si>
  <si>
    <t>26-May-2026 12:36:00</t>
  </si>
  <si>
    <t>IKN400875</t>
  </si>
  <si>
    <t>IKNWIBE26009967</t>
  </si>
  <si>
    <t>26-May-2026 13:00:00</t>
  </si>
  <si>
    <t>IKNWIBE26009968</t>
  </si>
  <si>
    <t>26-May-2026 14:59:00</t>
  </si>
  <si>
    <t>IKNWIBE26009975</t>
  </si>
  <si>
    <t>26-May-2026 20:00:00</t>
  </si>
  <si>
    <t>IKNWIBE26010047</t>
  </si>
  <si>
    <t>28-May-2026 09:44:00</t>
  </si>
  <si>
    <t>IKN400976</t>
  </si>
  <si>
    <t>IKNWIBE26010048</t>
  </si>
  <si>
    <t>01RT117</t>
  </si>
  <si>
    <t>MACHINE LINAC 2 TABLE LONG- RT</t>
  </si>
  <si>
    <t>28-May-2026 10:00:00</t>
  </si>
  <si>
    <t>IKN400997</t>
  </si>
  <si>
    <t>IKNWIBE26010058</t>
  </si>
  <si>
    <t>03NM132</t>
  </si>
  <si>
    <t>28-May-2026 16:25:00</t>
  </si>
  <si>
    <t>IKN400563</t>
  </si>
  <si>
    <t>IKNWIBE26010111</t>
  </si>
  <si>
    <t>01NW106</t>
  </si>
  <si>
    <t>CM- FALSE MESSAGE</t>
  </si>
  <si>
    <t>29-May-2026 10:30:00</t>
  </si>
  <si>
    <t>IKN401362</t>
  </si>
  <si>
    <t>IKNWIBE26010125</t>
  </si>
  <si>
    <t>03DU103</t>
  </si>
  <si>
    <t>30-May-2026 16:16:00</t>
  </si>
  <si>
    <t>Current Month (Work Order Open)</t>
  </si>
  <si>
    <t>Previous Month (Work Order Closed)</t>
  </si>
  <si>
    <t>IKN400171</t>
  </si>
  <si>
    <t>IKNWIBE26002579</t>
  </si>
  <si>
    <t>05IC131</t>
  </si>
  <si>
    <t xml:space="preserve">DEVICE FAILURE </t>
  </si>
  <si>
    <t>09-Feb-2026 09:00:00</t>
  </si>
  <si>
    <t>Quotation received : 9/02/26
PO Date : 17/2/26 Waiting Parts (from German) ETA : Middle May 2026
SH QE12-INSTALLED NEW REP-KIT LP PNEUMUTIKCONT 42dXL PCB board,reload new software unit test and functioning in good condition</t>
  </si>
  <si>
    <t>IKN400168</t>
  </si>
  <si>
    <t>IKNWIBE26003259</t>
  </si>
  <si>
    <t>05IC115</t>
  </si>
  <si>
    <t>LCD BLANK - ICU ARAS 5</t>
  </si>
  <si>
    <t>20-Feb-2026 10:00:00</t>
  </si>
  <si>
    <t xml:space="preserve">Quotation received : 25-26/02/26
PO Date : 26/2/26
Waiting Parts (Display board)
ETA : Middle May 2026
L, QE:12- INSTALED NEW KIT DISPLAY , REPLACED NEW OXYGEN SENSOR , UNIT TEST AND  FUNCTIONING IN GOOD CONDITION </t>
  </si>
  <si>
    <t>IKN400787</t>
  </si>
  <si>
    <t>IKNWIBE26005007</t>
  </si>
  <si>
    <t>03ID106</t>
  </si>
  <si>
    <t>CM - TUBE HEAD NOT FULLY LOCK</t>
  </si>
  <si>
    <t>16-Mar-2026 14:00:00</t>
  </si>
  <si>
    <t xml:space="preserve">PROBLEM : TUBE HEAD NOT FULLY LOCK
SR NO : 122557 (16/3/2026) &amp; 122558     
(5/5/2026) STATUS : WAITING PARTS FROM VENDOR (CARESTREAM) L, QE:12-VENDOR TROUBLESHOOT AND NEED TO ESCALATE TO PRINCIPLE FOR FURTHER TROUBLESHHOOT . VENDOR REPLACE PART , TESTED TUBE HEAD STILL ABLE TO MOVE WHEN EXTRAFORCE APPLIED , VENDOR PERFORMED TAU BRAKE ADJUSTMENT , TESTED TO RELEASED THE BRAKE AND ABSERVE THE TUBE HEAD NO TUBE  DROP OR MOVEMENT  </t>
  </si>
  <si>
    <t>IKN400937</t>
  </si>
  <si>
    <t>IKNWIBE26005651</t>
  </si>
  <si>
    <t>03MC127</t>
  </si>
  <si>
    <t>BP Set Screen Blinking - MBC Aras 3</t>
  </si>
  <si>
    <t>0 days, 0 hrs, 04 mins</t>
  </si>
  <si>
    <t>24-Mar-2026 16:04:00</t>
  </si>
  <si>
    <t>IKN401353</t>
  </si>
  <si>
    <t>IKNWIBE26008078</t>
  </si>
  <si>
    <t>05OT159</t>
  </si>
  <si>
    <t>MACHINE CANNOT SHOOT</t>
  </si>
  <si>
    <t>28-Apr-2026 10:30:00</t>
  </si>
  <si>
    <t>PROB : INVERTER ERROR ,QUO DATE:30/4/2026 STATUS : UNDER TROUBLESHOOTING BY SPECIALIST VENDOR TITAN ON 6,8 &amp;12/5/2026 L, QE:12- FUTHER TROUBLESHOOT BY VENDOR AND FOUND PIN AT CONNECTOR PLUG WAS BURNED. PIN WAS REPLACED. TESTED OK</t>
  </si>
  <si>
    <t>IKN400758</t>
  </si>
  <si>
    <t>IKNWIBE26008154</t>
  </si>
  <si>
    <t>MACHINE IRIS STRIP</t>
  </si>
  <si>
    <t>STRIP CONVEYOR STUCK, DONE CLEAN THE MOTOR AND TESTED OK</t>
  </si>
  <si>
    <t>IKN401071</t>
  </si>
  <si>
    <t>IKNWIBE26008234</t>
  </si>
  <si>
    <t>03MC108</t>
  </si>
  <si>
    <t>RUSTED METAL ON THE TOWER SCOPE IS REQUESTED TO BE REPAINTED</t>
  </si>
  <si>
    <t>30-Apr-2026 17:00:00</t>
  </si>
  <si>
    <t>01-May-2026 12:00:00</t>
  </si>
  <si>
    <t>M-PAINT AS PER REQUESTED</t>
  </si>
  <si>
    <t>Previous Month (Work Order Open)</t>
  </si>
  <si>
    <t>IKN401007</t>
  </si>
  <si>
    <t>IKNWIBE26005707</t>
  </si>
  <si>
    <t>03MC111</t>
  </si>
  <si>
    <t>MESIN REPROCESSING KELUAR ERROR E61</t>
  </si>
  <si>
    <t>6-15 April 8hari</t>
  </si>
  <si>
    <t>IKN400200</t>
  </si>
  <si>
    <t>IKNWIBE26006149</t>
  </si>
  <si>
    <t>MESIN RIPPLE MATTRESS ROSAK</t>
  </si>
  <si>
    <t>PROB: DOUBLE COMPRESSOR ASSEMBLY FAULTY
REQ QUO DATE : 6/4/2026
QUO DATE : 30/4/2026
PO: AWSB 72180. Loaner 9/4/26</t>
  </si>
  <si>
    <t>IKNWIBE26006568</t>
  </si>
  <si>
    <t>ANGULATION NOT FUNCTIONING PROPERLY</t>
  </si>
  <si>
    <t>PROB: ANGULATION PROBLEM
DN : 7/4/2026 (DONE GIVE LOANER UNIT)
STATUS : SEND TO VENDOR (HOSPIMETRIX SDN BHD) FOR FURTHER TROUBLESHOOT.</t>
  </si>
  <si>
    <t>IKN400973</t>
  </si>
  <si>
    <t>IKNWIBE26006779</t>
  </si>
  <si>
    <t>01RT118</t>
  </si>
  <si>
    <t>LASER PUDAR BAHAGIAN KANAN</t>
  </si>
  <si>
    <t>10-Apr-2026 09:57:00</t>
  </si>
  <si>
    <t>IKNWIBE26006790</t>
  </si>
  <si>
    <t>MESIN ARKITEK LEAKING  PATOLOGI</t>
  </si>
  <si>
    <t>0 days, 0 hrs, 53 mins</t>
  </si>
  <si>
    <t>10-Apr-2026 14:07:00</t>
  </si>
  <si>
    <t>IKN401261</t>
  </si>
  <si>
    <t>IKNWIBE26007972</t>
  </si>
  <si>
    <t>05WB113</t>
  </si>
  <si>
    <t>MESIN RIPPLE MATTRESS KEMPIS</t>
  </si>
  <si>
    <t>0 days, 0 hrs, 37 mins</t>
  </si>
  <si>
    <t>27-Apr-2026 19:00:00</t>
  </si>
  <si>
    <t>IKN400565</t>
  </si>
  <si>
    <t>IKNWIBE26008075</t>
  </si>
  <si>
    <t>03NM155</t>
  </si>
  <si>
    <t>ECG- CABLE NOT DETECT</t>
  </si>
  <si>
    <t>28-Apr-2026 09:10:00</t>
  </si>
  <si>
    <t xml:space="preserve">TOTAL DEDUCTION FOR IND. B.1: </t>
  </si>
  <si>
    <t>-</t>
  </si>
  <si>
    <t>TOTAL DEDUCTION FOR IND. B.2:</t>
  </si>
  <si>
    <t xml:space="preserve"> </t>
  </si>
  <si>
    <t xml:space="preserve">                                                                                                                                                                                                                                                                                                                                                                                                                                                                                                                                                                                                                                                                                                                                                                                                                                                                                                                                                                                                                                                                                                                                                                                                                                                                                                                                                                                                                                                                                                                                                                                                                                                                                                                                                                                                                                                                                                                                                                                                                                                                                                                                                                                                                                                                                                         </t>
  </si>
  <si>
    <r>
      <rPr>
        <b/>
        <sz val="16"/>
        <rFont val="Arial"/>
        <family val="2"/>
      </rPr>
      <t xml:space="preserve">Deduction Mapping Report
</t>
    </r>
    <r>
      <rPr>
        <sz val="16"/>
        <rFont val="Arial"/>
        <family val="2"/>
      </rPr>
      <t>Biomedical Engineering Maintenance Services (BEMS)</t>
    </r>
  </si>
  <si>
    <t>INDICATOR B.3 SCHEDULED MAINTENANCE</t>
  </si>
  <si>
    <t>STATE :</t>
  </si>
  <si>
    <t>COMPANY :</t>
  </si>
  <si>
    <t>2) Deduction Value for Indicator B.3 is Deduction Ringgit Equivalent (per event)</t>
  </si>
  <si>
    <t>3) Rescheduled Date is the final rescheduled date if there are multiple rescheduling</t>
  </si>
  <si>
    <t>4) Display only asset affected by deduction</t>
  </si>
  <si>
    <t>Scheduled Start Date</t>
  </si>
  <si>
    <t>Maintenance Date</t>
  </si>
  <si>
    <t>Rescheduled Date</t>
  </si>
  <si>
    <t>Indicator B.3</t>
  </si>
  <si>
    <t>Current Month (Closed)</t>
  </si>
  <si>
    <t>NA</t>
  </si>
  <si>
    <t>Current Month (Open)</t>
  </si>
  <si>
    <t>IKN401352</t>
  </si>
  <si>
    <t>Dosimeters, Radiation</t>
  </si>
  <si>
    <t>IKNWOBE26005182</t>
  </si>
  <si>
    <t>03NM180</t>
  </si>
  <si>
    <t>ASSET OUT FOR CALIBRATION Send 9/4/26</t>
  </si>
  <si>
    <t>IKN400533</t>
  </si>
  <si>
    <t>Radiation Monitors</t>
  </si>
  <si>
    <t>IKNWOBE26005185</t>
  </si>
  <si>
    <t>03WA114</t>
  </si>
  <si>
    <t>IKN401340</t>
  </si>
  <si>
    <t>IKNWOBE26005187</t>
  </si>
  <si>
    <t>IKN401341</t>
  </si>
  <si>
    <t>IKNWOBE26005188</t>
  </si>
  <si>
    <t>IKN401343</t>
  </si>
  <si>
    <t>IKNWOBE26005189</t>
  </si>
  <si>
    <t>IKN401344</t>
  </si>
  <si>
    <t>IKNWOBE26005190</t>
  </si>
  <si>
    <t>IKN401347</t>
  </si>
  <si>
    <t>IKNWOBE26005191</t>
  </si>
  <si>
    <t>IKN401348</t>
  </si>
  <si>
    <t>IKNWOBE26005192</t>
  </si>
  <si>
    <t>IKN401160</t>
  </si>
  <si>
    <t>IKNWOBE26005230</t>
  </si>
  <si>
    <t>03ID169</t>
  </si>
  <si>
    <t>IKN401161</t>
  </si>
  <si>
    <t>IKNWOBE26005231</t>
  </si>
  <si>
    <t>IKN401162</t>
  </si>
  <si>
    <t>IKNWOBE26005232</t>
  </si>
  <si>
    <t>IKN400985</t>
  </si>
  <si>
    <t>Calibrators, Radioisotope</t>
  </si>
  <si>
    <t>IKNWOBE26005234</t>
  </si>
  <si>
    <t>03NM138</t>
  </si>
  <si>
    <t>ASSET IN USE</t>
  </si>
  <si>
    <t>IKN400500</t>
  </si>
  <si>
    <t>Concentrators, Oxygen</t>
  </si>
  <si>
    <t>IKNWOBE26005357</t>
  </si>
  <si>
    <t>28-Apr-2026 00:00:00</t>
  </si>
  <si>
    <t>IKN400501</t>
  </si>
  <si>
    <t>IKNWOBE26005358</t>
  </si>
  <si>
    <t>Previous Month (Closed)</t>
  </si>
  <si>
    <t>Previous Month (Open)</t>
  </si>
  <si>
    <t>IKN401282</t>
  </si>
  <si>
    <t>Testers</t>
  </si>
  <si>
    <t>IKNWOBE26001870</t>
  </si>
  <si>
    <t>01RT213</t>
  </si>
  <si>
    <t>24-Feb-2026 00:00:00</t>
  </si>
  <si>
    <t>IKN401690</t>
  </si>
  <si>
    <t>IKNWOBE26001880</t>
  </si>
  <si>
    <t>21-Feb-2026 00:00:00</t>
  </si>
  <si>
    <t>IKN401281</t>
  </si>
  <si>
    <t>IKNWOBE26001881</t>
  </si>
  <si>
    <t>26-Feb-2026 00:00:00</t>
  </si>
  <si>
    <t>Sphygmomanometers, Electronic, Automatic</t>
  </si>
  <si>
    <t>IKNWOBE26003536</t>
  </si>
  <si>
    <t>TOTAL DEDUCTION FOR IND. B.3:</t>
  </si>
  <si>
    <r>
      <rPr>
        <b/>
        <sz val="16"/>
        <rFont val="Arial"/>
        <family val="2"/>
      </rPr>
      <t>Deduction Mapping Report</t>
    </r>
    <r>
      <rPr>
        <sz val="16"/>
        <color theme="1"/>
        <rFont val="Arial"/>
        <family val="2"/>
      </rPr>
      <t xml:space="preserve">
Biomedical Engineering Maintenance Services (BEMS)</t>
    </r>
  </si>
  <si>
    <t>INDICATOR B.4 UPTIME GUARANTEE</t>
  </si>
  <si>
    <t>MONTH/YEAR  :</t>
  </si>
  <si>
    <t>BEMS MONTHLY FEE (RM)@ 97.5%  :</t>
  </si>
  <si>
    <t>FMS MONTHLY FEE (RM) @ 2.5%  :</t>
  </si>
  <si>
    <t>2) Deduction Value for 1st cut off is Deduction Ringgit Equivalent (per event)</t>
  </si>
  <si>
    <t>3) Deduction Value for 2nd cut off is Deduction Ringgit Equivalent (per event) multiply by 2</t>
  </si>
  <si>
    <t>No.</t>
  </si>
  <si>
    <t>Type Code</t>
  </si>
  <si>
    <t>Type Description</t>
  </si>
  <si>
    <t>Asset Purchase cost (RM)</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</si>
  <si>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</si>
  <si>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</si>
  <si>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</si>
  <si>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</si>
  <si>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</si>
  <si>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</si>
  <si>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</si>
  <si>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</si>
  <si>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</si>
  <si>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</si>
  <si>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</si>
  <si>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</si>
  <si>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</si>
  <si>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</si>
  <si>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</si>
  <si>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</si>
  <si>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</si>
  <si>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</si>
  <si>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</si>
  <si>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</si>
  <si>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</si>
  <si>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</si>
  <si>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IKN400440</t>
  </si>
  <si>
    <t>16-173</t>
  </si>
  <si>
    <t>IKN400645</t>
  </si>
  <si>
    <t>13-215</t>
  </si>
  <si>
    <t>Infusion Pumps, General-Purpose</t>
  </si>
  <si>
    <t>IKN401714</t>
  </si>
  <si>
    <t>IKN402165</t>
  </si>
  <si>
    <t>12-649</t>
  </si>
  <si>
    <t>Physiologic Monitoring Systems, Stress Exercise</t>
  </si>
  <si>
    <t>IKN400439</t>
  </si>
  <si>
    <t>IKN401076</t>
  </si>
  <si>
    <t>12-306</t>
  </si>
  <si>
    <t>Lavage Units, Surgical</t>
  </si>
  <si>
    <t>IKN402147</t>
  </si>
  <si>
    <t>15-605</t>
  </si>
  <si>
    <t>Testers (Ion Chamber Set)</t>
  </si>
  <si>
    <t>18-034</t>
  </si>
  <si>
    <t>Video Image Processors, Endoscopic</t>
  </si>
  <si>
    <t>IKN402081</t>
  </si>
  <si>
    <t>11-758</t>
  </si>
  <si>
    <t>Radiographic/Fluoroscopic Units, Mobile</t>
  </si>
  <si>
    <t>IKN400422</t>
  </si>
  <si>
    <t>RW</t>
  </si>
  <si>
    <t>IKN400482</t>
  </si>
  <si>
    <t>17-679</t>
  </si>
  <si>
    <t>Laser Imagers</t>
  </si>
  <si>
    <t>IKN400653</t>
  </si>
  <si>
    <t>17-429</t>
  </si>
  <si>
    <t>Ventilators, Intensive Care</t>
  </si>
  <si>
    <t>IKN402184</t>
  </si>
  <si>
    <t>12-647</t>
  </si>
  <si>
    <t>Physiologic Monitoring Systems, Acute Care</t>
  </si>
  <si>
    <t>13-272</t>
  </si>
  <si>
    <t>Radiographic Units, Mobile</t>
  </si>
  <si>
    <t>15-999</t>
  </si>
  <si>
    <t>Washers, Flexible Endoscope</t>
  </si>
  <si>
    <t>IKN400293</t>
  </si>
  <si>
    <t>17-148</t>
  </si>
  <si>
    <t>Oximeters, Pulse</t>
  </si>
  <si>
    <t>IKN400029</t>
  </si>
  <si>
    <t>IKN400722</t>
  </si>
  <si>
    <t>15-104</t>
  </si>
  <si>
    <t>Analyzers, Laboratory, Hematology, Platelet Aggregation</t>
  </si>
  <si>
    <t>18-147</t>
  </si>
  <si>
    <t>Mattress Systems, Alternating-Pressure</t>
  </si>
  <si>
    <t>IKN402139</t>
  </si>
  <si>
    <t>15-073</t>
  </si>
  <si>
    <t>Bronchoscopes, Flexible</t>
  </si>
  <si>
    <t>13-469</t>
  </si>
  <si>
    <t>Scanning Systems, Computed Tomography</t>
  </si>
  <si>
    <t>17-916</t>
  </si>
  <si>
    <t>Analyzers, Laboratory, Immunoassay, Chemiluminescent</t>
  </si>
  <si>
    <t>16-378</t>
  </si>
  <si>
    <t>Analyzers, Laboratory, Urine, Automated</t>
  </si>
  <si>
    <t>TOTAL DEDUCTION FOR IND. B.4:</t>
  </si>
  <si>
    <t>0 days, 1 hrs, 8 mins</t>
  </si>
  <si>
    <t>31-Mar-2026 09:30:00</t>
  </si>
  <si>
    <t>31-Mar-2026 10:00:00</t>
  </si>
  <si>
    <t>M-REPLACE NEW BATTERY ,UNIT TEST FUNCTIONING WELL. UNIT PROPOSE TO BER DUE TO AUDATED TECHNOLOGY</t>
  </si>
  <si>
    <t xml:space="preserve">
PO : 
ETA : </t>
  </si>
  <si>
    <t xml:space="preserve">CHARGER FAULTY
WAITING PARTS FROM VENDOR (B BROUN)
PO : 
ETA : </t>
  </si>
  <si>
    <t xml:space="preserve">LCD BOARD FAULTY
WAITING PARTS FROM VENDOR 
PO : 
ETA : </t>
  </si>
  <si>
    <t>IKN401075</t>
  </si>
  <si>
    <r>
      <rPr>
        <b/>
        <sz val="14"/>
        <rFont val="Arial"/>
        <family val="2"/>
      </rPr>
      <t xml:space="preserve">Deduction Mapping Report
</t>
    </r>
    <r>
      <rPr>
        <sz val="14"/>
        <rFont val="Arial"/>
        <family val="2"/>
      </rPr>
      <t>Biomedical Engineering Maintenance Services (BEMS)</t>
    </r>
  </si>
  <si>
    <t>INDICATOR B.5 TESTING &amp; COMMISSIONING AND WARRANTY MANAGEMENT</t>
  </si>
  <si>
    <t>BEMS MONTHLY FEE (RM) @ 97.5%  :</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</si>
  <si>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</si>
  <si>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</si>
  <si>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</si>
  <si>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</si>
  <si>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</si>
  <si>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</si>
  <si>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</si>
  <si>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</si>
  <si>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</si>
  <si>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</si>
  <si>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</si>
  <si>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</si>
  <si>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</si>
  <si>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Work Order Close</t>
  </si>
  <si>
    <t>Testing and Commissioning (T&amp;C)</t>
  </si>
  <si>
    <t>IKNWIBE26009270</t>
  </si>
  <si>
    <t xml:space="preserve">TNC- DEEP VEIN TROMBOSIS PUMP </t>
  </si>
  <si>
    <t>14-May-2026 11:10:00</t>
  </si>
  <si>
    <t>14-May-2026 12:10:00</t>
  </si>
  <si>
    <t>IKN402272</t>
  </si>
  <si>
    <t>IKNWIBE26009271</t>
  </si>
  <si>
    <t>IKN402273</t>
  </si>
  <si>
    <t>IKNWIBE26009272</t>
  </si>
  <si>
    <t>IKN402274</t>
  </si>
  <si>
    <t>IKNWIBE26009273</t>
  </si>
  <si>
    <t>IKN402275</t>
  </si>
  <si>
    <t>TOTAL DEDUCTION FOR IND. B.5:</t>
  </si>
  <si>
    <t>Equipments</t>
  </si>
  <si>
    <t>Group</t>
  </si>
  <si>
    <t>Operating Hours</t>
  </si>
  <si>
    <t>Operating Hours/WK (Days)</t>
  </si>
  <si>
    <t xml:space="preserve">Uptime Equipment      </t>
  </si>
  <si>
    <t xml:space="preserve">Uptime Equipment   </t>
  </si>
  <si>
    <t>&lt; 5YRS</t>
  </si>
  <si>
    <t>5-10 YRS</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</si>
  <si>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</si>
  <si>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</si>
  <si>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</si>
  <si>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</si>
  <si>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</si>
  <si>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</si>
  <si>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</si>
  <si>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</si>
  <si>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</si>
  <si>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</si>
  <si>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</si>
  <si>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</si>
  <si>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</si>
  <si>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</si>
  <si>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</si>
  <si>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</si>
  <si>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</si>
  <si>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</si>
  <si>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</si>
  <si>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</si>
  <si>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</si>
  <si>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</si>
  <si>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</si>
  <si>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</si>
  <si>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</si>
  <si>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</si>
  <si>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</si>
  <si>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</si>
  <si>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</si>
  <si>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</si>
  <si>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</si>
  <si>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</si>
  <si>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</si>
  <si>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</si>
  <si>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</si>
  <si>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</si>
  <si>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</si>
  <si>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</si>
  <si>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</si>
  <si>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</si>
  <si>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</si>
  <si>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</si>
  <si>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</si>
  <si>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</si>
  <si>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</si>
  <si>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</si>
  <si>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</si>
  <si>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</si>
  <si>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</si>
  <si>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</si>
  <si>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</si>
  <si>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</si>
  <si>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</si>
  <si>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</si>
  <si>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r>
      <rPr>
        <sz val="8"/>
        <color theme="1"/>
        <rFont val="Arial"/>
        <family val="2"/>
      </rP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</si>
  <si>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</si>
  <si>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</si>
  <si>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</si>
  <si>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</si>
  <si>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</si>
  <si>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</si>
  <si>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</si>
  <si>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</si>
  <si>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</si>
  <si>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</si>
  <si>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</si>
  <si>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</si>
  <si>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</si>
  <si>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</si>
  <si>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</si>
  <si>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</si>
  <si>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</si>
  <si>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</si>
  <si>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</si>
  <si>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</si>
  <si>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</si>
  <si>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</si>
  <si>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</si>
  <si>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</si>
  <si>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</si>
  <si>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</si>
  <si>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</si>
  <si>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</si>
  <si>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t xml:space="preserve">No
</t>
  </si>
  <si>
    <t>Contract</t>
  </si>
  <si>
    <t>wo</t>
  </si>
  <si>
    <t>Hours</t>
  </si>
  <si>
    <t>Total Hours</t>
  </si>
  <si>
    <t>Total Hours / Year</t>
  </si>
  <si>
    <t>Balance Uptime</t>
  </si>
  <si>
    <t>Uptime Percentage</t>
  </si>
  <si>
    <t>Uptime TRKPI</t>
  </si>
  <si>
    <t>Uptime Deduction Yes / No</t>
  </si>
  <si>
    <t>IKN400966</t>
  </si>
  <si>
    <t>LINEAR ACCELERATOR</t>
  </si>
  <si>
    <t>RT159</t>
  </si>
  <si>
    <t>Lazer Double</t>
  </si>
  <si>
    <t>Response On_Time</t>
  </si>
  <si>
    <t>Strands</t>
  </si>
  <si>
    <t>IKN400292</t>
  </si>
  <si>
    <t>WAD 8A</t>
  </si>
  <si>
    <t>Infucient Pump-Mesin Problem</t>
  </si>
  <si>
    <t>Yes</t>
  </si>
  <si>
    <t>RT</t>
  </si>
  <si>
    <t>sendingg image from vsim to mosaiq</t>
  </si>
  <si>
    <t>IKN400151</t>
  </si>
  <si>
    <t>WAD 7A</t>
  </si>
  <si>
    <t>Motor ripple mattress rosak</t>
  </si>
  <si>
    <t>Linear Accelerators</t>
  </si>
  <si>
    <t>Table verticle movement problem</t>
  </si>
  <si>
    <t>NB 355296</t>
  </si>
  <si>
    <t>WAD 7B</t>
  </si>
  <si>
    <t>Ripple Mattress tidak boleh pump</t>
  </si>
  <si>
    <t>IKN400350</t>
  </si>
  <si>
    <t xml:space="preserve">BP Set warna putih rosak. </t>
  </si>
  <si>
    <t>IKN400775</t>
  </si>
  <si>
    <t>Scanning Systems, Ultrasonic, General-Purpose</t>
  </si>
  <si>
    <t>ID</t>
  </si>
  <si>
    <t>Ultrasound tidak keluar gambar</t>
  </si>
  <si>
    <t>IKN400567</t>
  </si>
  <si>
    <t>Cameras, Gamma</t>
  </si>
  <si>
    <t>NM</t>
  </si>
  <si>
    <t>MEGP detector one collision</t>
  </si>
  <si>
    <t>IKN400786</t>
  </si>
  <si>
    <t>Radiographic/Fluoroscopic Systems, Angiographic/Intervention</t>
  </si>
  <si>
    <t>Request for user training at Radiology Department (Angio) on 23/10/2019.</t>
  </si>
  <si>
    <t>RIPPLE MATTRESS CONNECTOR 
TUBING ROSAK - WAD 7B</t>
  </si>
  <si>
    <t>MACHINE TOMOTHERAPHY 
MLC PROBLEM- RT</t>
  </si>
  <si>
    <t>MACHINE INFUSION PUMP 
BUTTON WARNA HIJAU PATAH- WAD 9A</t>
  </si>
  <si>
    <t>WAYAR CHARGER INFUSION 
PUMP TERCABUT- WAD 7A</t>
  </si>
  <si>
    <t>MACHINE INFUSION PUMP 
ROSAK (ERROR 2035)- WAD 8B</t>
  </si>
  <si>
    <t>SPEAKER MACHINE NOVALIS 
ROSAK- RT</t>
  </si>
  <si>
    <t>RIPPLE MATTRESS TIDAK 
KEMBANG- WAD 9A (ASSET NUM: NB355553)</t>
  </si>
  <si>
    <t>RIPPLE MATTRESS TIDAK 
KEMBANG- WAD 9A</t>
  </si>
  <si>
    <t>ENHANCED QC FAILED- 
KLINIK NUKLEAR</t>
  </si>
  <si>
    <t>MACHINE ECG ERROR- 
KLINIK NUKLEAR</t>
  </si>
  <si>
    <t>CM- PREDICTIVE MAINTENANCE 
XELERIS</t>
  </si>
  <si>
    <t>CM- PREDICTIVE 
MAINTENANCE XELERIS</t>
  </si>
  <si>
    <t>INFUSION PUMP TIDAK BOLEH 
CLOSE- WAD 6A</t>
  </si>
  <si>
    <t>XELERIS CANNOT BOOT UP- 
KLINIK PERUBATAN NUKLEAR</t>
  </si>
  <si>
    <t>Corrective 
Maintenance (CM)</t>
  </si>
  <si>
    <t>CM- PERFORMANCE CHECK 
Concentrators, Oxygen</t>
  </si>
  <si>
    <t>GA MACHINE OXYGEN PIPE 
LINE LOW PRESSURE DETECTECT - BOT ARAS1</t>
  </si>
  <si>
    <t>MACHINE LINAC2 VACUUM 
VALUE DROP (-4.72)- RT</t>
  </si>
  <si>
    <t>RIPPLE MATTRESS TIDAK 
KEMBANG - WAD 6B</t>
  </si>
  <si>
    <t>MACHINE ACL TOP KELUAR 
ERROR READING OUT OF FENCE- LAB- HEMATOLOGI</t>
  </si>
  <si>
    <t>RIPPLE MATTRESS TIDAK 
KEMBANG - WAD 7B</t>
  </si>
  <si>
    <t>RODA BP SET SUSAH 
BERGERAK- WAD 7B</t>
  </si>
  <si>
    <t>KEPALA CHARGER INFUSION 
PUMP TIDAK BERFUNGSI- ICU</t>
  </si>
  <si>
    <t>THERMOMETER BACTEC 
HABIS BATTERY- MIKROBIOLOGI LAB</t>
  </si>
  <si>
    <t>MACHINE NOVALIS -MAJA 
RAWATAN TIDAK BOLEH GERAK 'INTERLOCK HWFA'-LINAC 3</t>
  </si>
  <si>
    <t>CT SIM 1'TABLE UNLOCK AND 
MACHINE OFF'</t>
  </si>
  <si>
    <t>INFUSION PUMP ROSAK WATER 
NOT RUNNING - WAD 9A</t>
  </si>
  <si>
    <t>MACHINE ARCHITECT' 
ASPIRATION ERROR'</t>
  </si>
  <si>
    <t>PANJANGKAN WIYER 
PENIMBANG-SAJIAN ARAS 1</t>
  </si>
  <si>
    <t>PATIENT LEAD MACHINE 
DEFIBRILLATORS NOT DETECT - WAD 8B</t>
  </si>
  <si>
    <t>MACHINE GENERAL XRAY 
TIDAK BERFUNGSI-RADIOLOGI</t>
  </si>
  <si>
    <t>MACHINE ACL ALARM ROTOR 
ERROR- LAB</t>
  </si>
  <si>
    <t>PENIMBANG TIDAK BOLEH ON- 
WAD 9A</t>
  </si>
  <si>
    <t>MACHINE CT SIM 1 IMAGE 
TIDAK DAPAT DIHANTAR KE SYNGUGO.VIA- RT</t>
  </si>
  <si>
    <t>MACHINE ARCHITECT LEAKING 
- PATOLOGI</t>
  </si>
  <si>
    <t>MESIN COAG PROBLEM PROBE- 
PATOLOGI ARAS 4</t>
  </si>
  <si>
    <t>SVI DAN KV PLANA NOT 
DETECTED- LINAC 2- RT</t>
  </si>
  <si>
    <t>MACHINE HAND FOOD MONITOR 
ERROR, MACHINE DETECT CONTAMINATION LIFE HAND, BILA CHECK GUNA SERVER METER TIADA CONTAMINATION- JAB PERUBATAN NUKLEAR</t>
  </si>
  <si>
    <t>FEEDING PUMP KELUAR 8888- 
WAD 5A</t>
  </si>
  <si>
    <t>LCD BOARD FAULTY
WAITING PARTS FROM VENDOR (Welch Allyn)
Quotation:30/3/2026                                 PO: 31/3/2026                                         ETA : Middle May 2026
PPM DONE AS A PERCHECKLIST</t>
  </si>
  <si>
    <t>CALIBRATION DONE AS PER CERTIFICATE ATTACHED</t>
  </si>
  <si>
    <t>IKN402141</t>
  </si>
  <si>
    <t>IKNWOBE26003573</t>
  </si>
  <si>
    <t>03NM153</t>
  </si>
  <si>
    <t>ASSET IN USE,
CALIBRATION COMPLETED BY VENDOR. UNIT TESTED OKAY.</t>
  </si>
  <si>
    <t>ASSET IN USE ( Patient Paliative loan )
PPM DONE AS A CHECKLIST</t>
  </si>
  <si>
    <t>IKNWOBE26007422</t>
  </si>
  <si>
    <t>IKNWOBE26007423</t>
  </si>
  <si>
    <t>IKNWOBE26007424</t>
  </si>
  <si>
    <t>IKNWOBE26007425</t>
  </si>
  <si>
    <t>IKNWOBE26007426</t>
  </si>
  <si>
    <t>IKNWOBE26007427</t>
  </si>
  <si>
    <t>IKNWOBE26007428</t>
  </si>
  <si>
    <t>IKNWOBE26007429</t>
  </si>
  <si>
    <t>IKNWOBE26007430</t>
  </si>
  <si>
    <t>IKNWOBE26007431</t>
  </si>
  <si>
    <t>IKNWOBE26007432</t>
  </si>
  <si>
    <t>IKNWOBE26007433</t>
  </si>
  <si>
    <t>IKNWOBE26007434</t>
  </si>
  <si>
    <t>IKNWOBE26007435</t>
  </si>
  <si>
    <t>IKNWOBE26007436</t>
  </si>
  <si>
    <t>IKNWOBE26007437</t>
  </si>
  <si>
    <t>IKNWOBE26007438</t>
  </si>
  <si>
    <t>IKNWOBE26007439</t>
  </si>
  <si>
    <t>IKNWOBE26007440</t>
  </si>
  <si>
    <t>IKNWOBE26007441</t>
  </si>
  <si>
    <t>IKNWOBE26007442</t>
  </si>
  <si>
    <t>IKNWOBE26007443</t>
  </si>
  <si>
    <t>IKNWOBE26007444</t>
  </si>
  <si>
    <t>IKNWOBE26007445</t>
  </si>
  <si>
    <t>IKNWOBE26007446</t>
  </si>
  <si>
    <t>IKNWOBE26007447</t>
  </si>
  <si>
    <t>IKNWOBE26007448</t>
  </si>
  <si>
    <t>IKNWOBE26007449</t>
  </si>
  <si>
    <t>IKNWOBE26007450</t>
  </si>
  <si>
    <t>IKNWOBE26007451</t>
  </si>
  <si>
    <t>IKNWOBE26007452</t>
  </si>
  <si>
    <t>IKNWOBE26007453</t>
  </si>
  <si>
    <t>IKNWOBE26007454</t>
  </si>
  <si>
    <t>IKNWOBE26007455</t>
  </si>
  <si>
    <t>IKNWOBE26007456</t>
  </si>
  <si>
    <t>IKNWOBE26007457</t>
  </si>
  <si>
    <t>IKNWOBE26007458</t>
  </si>
  <si>
    <t>IKNWOBE26007459</t>
  </si>
  <si>
    <t>IKNWOBE26007460</t>
  </si>
  <si>
    <t>IKNWOBE26007461</t>
  </si>
  <si>
    <t>IKNWOBE26007462</t>
  </si>
  <si>
    <t>IKNWOBE26007463</t>
  </si>
  <si>
    <t>IKNWOBE26007464</t>
  </si>
  <si>
    <t>IKNWOBE26007465</t>
  </si>
  <si>
    <t>IKNWOBE26007466</t>
  </si>
  <si>
    <t>IKNWOBE26007467</t>
  </si>
  <si>
    <t>IKNWOBE26007468</t>
  </si>
  <si>
    <t>IKNWOBE26007469</t>
  </si>
  <si>
    <t>IKNWOBE26007470</t>
  </si>
  <si>
    <t>IKNWOBE26007471</t>
  </si>
  <si>
    <t>IKNWOBE26007472</t>
  </si>
  <si>
    <t>IKNWOBE26007475</t>
  </si>
  <si>
    <t>IKNWOBE26007476</t>
  </si>
  <si>
    <t>IKNWOBE26007477</t>
  </si>
  <si>
    <t>IKNWOBE26007480</t>
  </si>
  <si>
    <t>IKNWOBE26007481</t>
  </si>
  <si>
    <t>IKNWOBE26007482</t>
  </si>
  <si>
    <t>IKNWOBE26007483</t>
  </si>
  <si>
    <t>IKNWOBE26007484</t>
  </si>
  <si>
    <t>IKNWOBE26007485</t>
  </si>
  <si>
    <t>IKNWOBE26007486</t>
  </si>
  <si>
    <t>IKNWOBE26007487</t>
  </si>
  <si>
    <t>IKNWOBE26007488</t>
  </si>
  <si>
    <t>IKNWOBE26007489</t>
  </si>
  <si>
    <t>IKNWOBE26007490</t>
  </si>
  <si>
    <t>IKNWOBE26007491</t>
  </si>
  <si>
    <t>IKNWOBE26007492</t>
  </si>
  <si>
    <t>IKNWOBE26007493</t>
  </si>
  <si>
    <t>IKNWOBE26007494</t>
  </si>
  <si>
    <t>IKNWOBE26007495</t>
  </si>
  <si>
    <t>IKNWOBE26007496</t>
  </si>
  <si>
    <t>IKNWOBE26007497</t>
  </si>
  <si>
    <t>IKNWOBE26007498</t>
  </si>
  <si>
    <t>IKNWOBE26007499</t>
  </si>
  <si>
    <t>IKNWOBE26007500</t>
  </si>
  <si>
    <t>IKNWOBE26007501</t>
  </si>
  <si>
    <t>IKNWOBE26007502</t>
  </si>
  <si>
    <t>IKNWOBE26007503</t>
  </si>
  <si>
    <t>IKNWOBE26007504</t>
  </si>
  <si>
    <t>IKNWOBE26007505</t>
  </si>
  <si>
    <t>IKNWOBE26007506</t>
  </si>
  <si>
    <t>IKNWOBE26007507</t>
  </si>
  <si>
    <t>IKNWOBE26007508</t>
  </si>
  <si>
    <t>IKNWOBE26007509</t>
  </si>
  <si>
    <t>IKNWOBE26007510</t>
  </si>
  <si>
    <t>IKNWOBE26007511</t>
  </si>
  <si>
    <t>IKNWOBE26007512</t>
  </si>
  <si>
    <t>IKNWOBE26007513</t>
  </si>
  <si>
    <t>IKNWOBE26007514</t>
  </si>
  <si>
    <t>IKNWOBE26007515</t>
  </si>
  <si>
    <t>IKNWOBE26007516</t>
  </si>
  <si>
    <t>IKNWOBE26007517</t>
  </si>
  <si>
    <t>IKNWOBE26007518</t>
  </si>
  <si>
    <t>IKNWOBE26007519</t>
  </si>
  <si>
    <t>IKNWOBE26007520</t>
  </si>
  <si>
    <t>IKNWOBE26007521</t>
  </si>
  <si>
    <t>IKNWOBE26007522</t>
  </si>
  <si>
    <t>IKNWOBE26007523</t>
  </si>
  <si>
    <t>IKNWOBE26007524</t>
  </si>
  <si>
    <t>IKNWOBE26007525</t>
  </si>
  <si>
    <t>IKNWOBE26007526</t>
  </si>
  <si>
    <t>IKNWOBE26007527</t>
  </si>
  <si>
    <t>IKNWOBE26007528</t>
  </si>
  <si>
    <t>IKNWOBE26007529</t>
  </si>
  <si>
    <t>IKNWOBE26007530</t>
  </si>
  <si>
    <t>IKNWOBE26007531</t>
  </si>
  <si>
    <t>IKNWOBE26007532</t>
  </si>
  <si>
    <t>IKNWOBE26007533</t>
  </si>
  <si>
    <t>IKNWOBE26007535</t>
  </si>
  <si>
    <t>IKNWOBE26007536</t>
  </si>
  <si>
    <t>IKNWOBE26007537</t>
  </si>
  <si>
    <t>IKNWOBE26007538</t>
  </si>
  <si>
    <t>IKNWOBE26007539</t>
  </si>
  <si>
    <t>IKNWOBE26007540</t>
  </si>
  <si>
    <t>IKNWOBE26007541</t>
  </si>
  <si>
    <t>IKNWOBE26007542</t>
  </si>
  <si>
    <t>IKNWOBE26007543</t>
  </si>
  <si>
    <t>IKNWOBE26007544</t>
  </si>
  <si>
    <t>IKNWOBE26007545</t>
  </si>
  <si>
    <t>IKNWOBE26007546</t>
  </si>
  <si>
    <t>IKNWOBE26007547</t>
  </si>
  <si>
    <t>IKNWOBE26007548</t>
  </si>
  <si>
    <t>IKNWOBE26007549</t>
  </si>
  <si>
    <t>IKNWOBE26007550</t>
  </si>
  <si>
    <t>IKNWOBE26007551</t>
  </si>
  <si>
    <t>IKNWOBE26007552</t>
  </si>
  <si>
    <t>IKNWOBE26007553</t>
  </si>
  <si>
    <t>IKNWOBE26007554</t>
  </si>
  <si>
    <t>IKNWOBE26007555</t>
  </si>
  <si>
    <t>IKNWOBE26007556</t>
  </si>
  <si>
    <t>IKNWOBE26007557</t>
  </si>
  <si>
    <t>IKNWOBE26007558</t>
  </si>
  <si>
    <t>IKNWOBE26007559</t>
  </si>
  <si>
    <t>IKNWOBE26007560</t>
  </si>
  <si>
    <t>IKNWOBE26007561</t>
  </si>
  <si>
    <t>IKNWOBE26007563</t>
  </si>
  <si>
    <t>IKNWOBE26007564</t>
  </si>
  <si>
    <t>IKNWOBE26007565</t>
  </si>
  <si>
    <t>IKNWOBE26007566</t>
  </si>
  <si>
    <t>IKNWOBE26007567</t>
  </si>
  <si>
    <t>IKNWOBE26007568</t>
  </si>
  <si>
    <t>IKNWOBE26007569</t>
  </si>
  <si>
    <t>IKNWOBE26007570</t>
  </si>
  <si>
    <t>IKNWOBE26007571</t>
  </si>
  <si>
    <t>IKNWOBE26007572</t>
  </si>
  <si>
    <t>IKNWOBE26007573</t>
  </si>
  <si>
    <t>IKNWOBE26007574</t>
  </si>
  <si>
    <t>IKNWOBE26007575</t>
  </si>
  <si>
    <t>IKNWOBE26007576</t>
  </si>
  <si>
    <t>IKNWOBE26007577</t>
  </si>
  <si>
    <t>IKNWOBE26007578</t>
  </si>
  <si>
    <t>IKNWOBE26007579</t>
  </si>
  <si>
    <t>IKNWOBE26007580</t>
  </si>
  <si>
    <t>IKNWOBE26007581</t>
  </si>
  <si>
    <t>IKNWOBE26007582</t>
  </si>
  <si>
    <t>IKNWOBE26007583</t>
  </si>
  <si>
    <t>IKNWOBE26007584</t>
  </si>
  <si>
    <t>IKNWOBE26007585</t>
  </si>
  <si>
    <t>IKNWOBE26007586</t>
  </si>
  <si>
    <t>IKNWOBE26007587</t>
  </si>
  <si>
    <t>IKNWOBE26007588</t>
  </si>
  <si>
    <t>IKNWOBE26007589</t>
  </si>
  <si>
    <t>IKNWOBE26007590</t>
  </si>
  <si>
    <t>IKNWOBE26007591</t>
  </si>
  <si>
    <t>IKNWOBE26007592</t>
  </si>
  <si>
    <t>IKNWOBE26007593</t>
  </si>
  <si>
    <t>IKNWOBE26007594</t>
  </si>
  <si>
    <t>IKNWOBE26007595</t>
  </si>
  <si>
    <t>IKNWOBE26007596</t>
  </si>
  <si>
    <t>IKNWOBE26007597</t>
  </si>
  <si>
    <t>IKNWOBE26007598</t>
  </si>
  <si>
    <t>IKNWIBE26009335</t>
  </si>
  <si>
    <t>IKN400699</t>
  </si>
  <si>
    <t>IKN400034</t>
  </si>
  <si>
    <t>IKN400100</t>
  </si>
  <si>
    <t>IKN400101</t>
  </si>
  <si>
    <t>IKN400102</t>
  </si>
  <si>
    <t>IKN400103</t>
  </si>
  <si>
    <t>IKN400104</t>
  </si>
  <si>
    <t>IKN400139</t>
  </si>
  <si>
    <t>IKN400140</t>
  </si>
  <si>
    <t>IKN400667</t>
  </si>
  <si>
    <t>IKN400670</t>
  </si>
  <si>
    <t>IKN400671</t>
  </si>
  <si>
    <t>IKN400684</t>
  </si>
  <si>
    <t>IKN400685</t>
  </si>
  <si>
    <t>IKN400686</t>
  </si>
  <si>
    <t>IKN400687</t>
  </si>
  <si>
    <t>IKN400690</t>
  </si>
  <si>
    <t>IKN400806</t>
  </si>
  <si>
    <t>IKN400961</t>
  </si>
  <si>
    <t>IKN401198</t>
  </si>
  <si>
    <t>IKN400226</t>
  </si>
  <si>
    <t>IKN400227</t>
  </si>
  <si>
    <t>IKN400228</t>
  </si>
  <si>
    <t>IKN400229</t>
  </si>
  <si>
    <t>IKN400304</t>
  </si>
  <si>
    <t>IKN400714</t>
  </si>
  <si>
    <t>IKN400717</t>
  </si>
  <si>
    <t>IKN402145</t>
  </si>
  <si>
    <t>IKN401197</t>
  </si>
  <si>
    <t>IKN402174</t>
  </si>
  <si>
    <t>IKN400737</t>
  </si>
  <si>
    <t>IKN400753</t>
  </si>
  <si>
    <t>IKN400962</t>
  </si>
  <si>
    <t>IKN401003</t>
  </si>
  <si>
    <t>IKN401287</t>
  </si>
  <si>
    <t>IKN402025</t>
  </si>
  <si>
    <t>IKN402120</t>
  </si>
  <si>
    <t>IKN401103</t>
  </si>
  <si>
    <t>IKN400224</t>
  </si>
  <si>
    <t>IKN400225</t>
  </si>
  <si>
    <t>IKN400230</t>
  </si>
  <si>
    <t>IKN400233</t>
  </si>
  <si>
    <t>IKN400234</t>
  </si>
  <si>
    <t>IKN400235</t>
  </si>
  <si>
    <t>IKN400291</t>
  </si>
  <si>
    <t>IKN400296</t>
  </si>
  <si>
    <t>IKN400297</t>
  </si>
  <si>
    <t>IKN400311</t>
  </si>
  <si>
    <t>IKN400718</t>
  </si>
  <si>
    <t>IKN400742</t>
  </si>
  <si>
    <t>IKN402053</t>
  </si>
  <si>
    <t>IKN401318</t>
  </si>
  <si>
    <t>IKN401367</t>
  </si>
  <si>
    <t>IKN400167</t>
  </si>
  <si>
    <t>IKN400502</t>
  </si>
  <si>
    <t>IKN402119</t>
  </si>
  <si>
    <t>IKN402216</t>
  </si>
  <si>
    <t>IKN400035</t>
  </si>
  <si>
    <t>IKN400082</t>
  </si>
  <si>
    <t>IKN400105</t>
  </si>
  <si>
    <t>IKN400106</t>
  </si>
  <si>
    <t>IKN400107</t>
  </si>
  <si>
    <t>IKN400108</t>
  </si>
  <si>
    <t>IKN400109</t>
  </si>
  <si>
    <t>IKN400110</t>
  </si>
  <si>
    <t>IKN400141</t>
  </si>
  <si>
    <t>IKN400142</t>
  </si>
  <si>
    <t>IKN400264</t>
  </si>
  <si>
    <t>IKN400265</t>
  </si>
  <si>
    <t>IKN400471</t>
  </si>
  <si>
    <t>IKN400472</t>
  </si>
  <si>
    <t>IKN400473</t>
  </si>
  <si>
    <t>IKN400703</t>
  </si>
  <si>
    <t>IKN401387</t>
  </si>
  <si>
    <t>IKN400217</t>
  </si>
  <si>
    <t>IKN400702</t>
  </si>
  <si>
    <t>IKN400743</t>
  </si>
  <si>
    <t>IKN401122</t>
  </si>
  <si>
    <t>IKN401123</t>
  </si>
  <si>
    <t>IKN402214</t>
  </si>
  <si>
    <t>IKN400993</t>
  </si>
  <si>
    <t>IKN400984</t>
  </si>
  <si>
    <t>IKN400436</t>
  </si>
  <si>
    <t>IKN400428</t>
  </si>
  <si>
    <t>IKN400592</t>
  </si>
  <si>
    <t>IKN400488</t>
  </si>
  <si>
    <t>IKN400872</t>
  </si>
  <si>
    <t>IKN400873</t>
  </si>
  <si>
    <t>IKN400874</t>
  </si>
  <si>
    <t>IKN402213</t>
  </si>
  <si>
    <t>IKN402217</t>
  </si>
  <si>
    <t>IKN400008</t>
  </si>
  <si>
    <t>IKN400353</t>
  </si>
  <si>
    <t>IKN400360</t>
  </si>
  <si>
    <t>IKN402219</t>
  </si>
  <si>
    <t>IKN401689</t>
  </si>
  <si>
    <t>IKN402210</t>
  </si>
  <si>
    <t>IKN402211</t>
  </si>
  <si>
    <t>IKN400036</t>
  </si>
  <si>
    <t>IKN400083</t>
  </si>
  <si>
    <t>IKN400111</t>
  </si>
  <si>
    <t>IKN400112</t>
  </si>
  <si>
    <t>IKN400113</t>
  </si>
  <si>
    <t>IKN400114</t>
  </si>
  <si>
    <t>IKN400115</t>
  </si>
  <si>
    <t>IKN400116</t>
  </si>
  <si>
    <t>IKN400143</t>
  </si>
  <si>
    <t>IKN400144</t>
  </si>
  <si>
    <t>IKN400481</t>
  </si>
  <si>
    <t>IKN400867</t>
  </si>
  <si>
    <t>IKN400869</t>
  </si>
  <si>
    <t>IKN400870</t>
  </si>
  <si>
    <t>IKN400963</t>
  </si>
  <si>
    <t>IKN400969</t>
  </si>
  <si>
    <t>IKN400868</t>
  </si>
  <si>
    <t>IKN400799</t>
  </si>
  <si>
    <t>IKN400833</t>
  </si>
  <si>
    <t>IKN400674</t>
  </si>
  <si>
    <t>IKN400677</t>
  </si>
  <si>
    <t>IKN400736</t>
  </si>
  <si>
    <t>IKN400871</t>
  </si>
  <si>
    <t>IKN401004</t>
  </si>
  <si>
    <t>IKN400037</t>
  </si>
  <si>
    <t>IKN400084</t>
  </si>
  <si>
    <t>IKN400117</t>
  </si>
  <si>
    <t>IKN400118</t>
  </si>
  <si>
    <t>IKN400119</t>
  </si>
  <si>
    <t>IKN400120</t>
  </si>
  <si>
    <t>IKN400121</t>
  </si>
  <si>
    <t>IKN400122</t>
  </si>
  <si>
    <t>IKN400145</t>
  </si>
  <si>
    <t>IKN400146</t>
  </si>
  <si>
    <t>IKN401260</t>
  </si>
  <si>
    <t>IKN402072</t>
  </si>
  <si>
    <t>IKN400307</t>
  </si>
  <si>
    <t>IKN400486</t>
  </si>
  <si>
    <t>IKN400487</t>
  </si>
  <si>
    <t>IKN400545</t>
  </si>
  <si>
    <t>IKN400560</t>
  </si>
  <si>
    <t>IKN400573</t>
  </si>
  <si>
    <t>IKN400577</t>
  </si>
  <si>
    <t>IKN400593</t>
  </si>
  <si>
    <t>IKN400598</t>
  </si>
  <si>
    <t>IKN400599</t>
  </si>
  <si>
    <t>IKN400608</t>
  </si>
  <si>
    <t>IKN400654</t>
  </si>
  <si>
    <t>IKN400665</t>
  </si>
  <si>
    <t>IKN400530</t>
  </si>
  <si>
    <t>IKN400553</t>
  </si>
  <si>
    <t>IKN400571</t>
  </si>
  <si>
    <t>IKN400724</t>
  </si>
  <si>
    <t>IKN400838</t>
  </si>
  <si>
    <t>IKN401173</t>
  </si>
  <si>
    <t>IKN400020</t>
  </si>
  <si>
    <t>IKN400021</t>
  </si>
  <si>
    <t>IKN400575</t>
  </si>
  <si>
    <t>IKN402074</t>
  </si>
  <si>
    <t>Analgesia Units, Inhalation</t>
  </si>
  <si>
    <t>Infusion/ Monitoring Line Organizer System</t>
  </si>
  <si>
    <t>Infusion Pumps, Syringe</t>
  </si>
  <si>
    <t>Stimulators, Electrical, Peripheral Nerve, Acupuncture</t>
  </si>
  <si>
    <t>Pumps, Enteral Feeding</t>
  </si>
  <si>
    <t>Cystoscopes, Flexible</t>
  </si>
  <si>
    <t>Radiation Survey Meters, Geiger-Muller</t>
  </si>
  <si>
    <t>Incubators, Laboratory, Thermocycling</t>
  </si>
  <si>
    <t>Incubators, Test Tube, Portable</t>
  </si>
  <si>
    <t>Mixers, Clinical Laboratory</t>
  </si>
  <si>
    <t>Monitors, Bedside, Intracranial Pressure</t>
  </si>
  <si>
    <t>Sedimentation Rate Units</t>
  </si>
  <si>
    <t>Lights, Surgical</t>
  </si>
  <si>
    <t>Baths, Water, Laboratory</t>
  </si>
  <si>
    <t>Ovens, Drying</t>
  </si>
  <si>
    <t>Radiographic units, dental intraoral</t>
  </si>
  <si>
    <t>Electrocardiographs, Multichannel, Interpretative</t>
  </si>
  <si>
    <t>Defibrillators, External, Automated</t>
  </si>
  <si>
    <t>Nebulizers, Nonheated</t>
  </si>
  <si>
    <t>Ergometers, Bicycle</t>
  </si>
  <si>
    <t>Exercisers, Continuous Passive Motion</t>
  </si>
  <si>
    <t>Spirometers, Diagnostic</t>
  </si>
  <si>
    <t>Carbon Dioxide Monitors, Laboratory Incubator</t>
  </si>
  <si>
    <t>Warming Units, Patient, Forced-Air</t>
  </si>
  <si>
    <t>Injectors, Contrast Media</t>
  </si>
  <si>
    <t>Monitors, Physiologic, Vital Signs</t>
  </si>
  <si>
    <t>Scanning Systems, Magnetic Resonance Imaging, Full-Body</t>
  </si>
  <si>
    <t>Anesthesia Units</t>
  </si>
  <si>
    <t>Recorders, Tape, Video</t>
  </si>
  <si>
    <t>Warming Units, Patient, Radiant, Adult</t>
  </si>
  <si>
    <t>Television Monitors</t>
  </si>
  <si>
    <t>Radiographic Systems, Digital</t>
  </si>
  <si>
    <t>Lights, Infrared</t>
  </si>
  <si>
    <t>Hand Drills, Surgical</t>
  </si>
  <si>
    <t>Dispensers, Liquid, Laboratory</t>
  </si>
  <si>
    <t>Seal Crimpers, Bottle/Vial/Tube</t>
  </si>
  <si>
    <t>Shakers, Laboratory</t>
  </si>
  <si>
    <t>Microscopes, Light, Laboratory</t>
  </si>
  <si>
    <t>Tables, Operating</t>
  </si>
  <si>
    <t>04PY130</t>
  </si>
  <si>
    <t>04TC108</t>
  </si>
  <si>
    <t>04TC129</t>
  </si>
  <si>
    <t>04TC119</t>
  </si>
  <si>
    <t>01RT233</t>
  </si>
  <si>
    <t>01RT212</t>
  </si>
  <si>
    <t>03NM112</t>
  </si>
  <si>
    <t>04LA140</t>
  </si>
  <si>
    <t>06WC107</t>
  </si>
  <si>
    <t>05OT169</t>
  </si>
  <si>
    <t>03ID157</t>
  </si>
  <si>
    <t>04LA136</t>
  </si>
  <si>
    <t>06WD124</t>
  </si>
  <si>
    <t>05IC114</t>
  </si>
  <si>
    <t>04HP104</t>
  </si>
  <si>
    <t>03ID111</t>
  </si>
  <si>
    <t>08WG113</t>
  </si>
  <si>
    <t>04PY115</t>
  </si>
  <si>
    <t>09WJ209</t>
  </si>
  <si>
    <t>03NM133</t>
  </si>
  <si>
    <t>03NM148</t>
  </si>
  <si>
    <t>03NM166</t>
  </si>
  <si>
    <t>01AE119</t>
  </si>
  <si>
    <t>07WF133</t>
  </si>
  <si>
    <t>05OT167</t>
  </si>
  <si>
    <t>03ID186</t>
  </si>
  <si>
    <t>04TC127</t>
  </si>
  <si>
    <t>01RT159</t>
  </si>
  <si>
    <t>05IC116</t>
  </si>
  <si>
    <t>04LA131</t>
  </si>
  <si>
    <t>03WA177</t>
  </si>
  <si>
    <t>03NM152</t>
  </si>
  <si>
    <t>03NM184</t>
  </si>
  <si>
    <t>03NM186</t>
  </si>
  <si>
    <t>04DO105</t>
  </si>
  <si>
    <t>04DO111</t>
  </si>
  <si>
    <t>04LA114</t>
  </si>
  <si>
    <t>04DO125</t>
  </si>
  <si>
    <t>04LA130</t>
  </si>
  <si>
    <t>03NM124</t>
  </si>
  <si>
    <t>03NM183</t>
  </si>
  <si>
    <t>01RT278</t>
  </si>
  <si>
    <t>03NM185</t>
  </si>
  <si>
    <t>01AE112</t>
  </si>
  <si>
    <t>01RT184</t>
  </si>
  <si>
    <t>02-May-2026 00:00:00</t>
  </si>
  <si>
    <t>04-May-2026 00:00:00</t>
  </si>
  <si>
    <t>05-May-2026 00:00:00</t>
  </si>
  <si>
    <t>06-May-2026 00:00:00</t>
  </si>
  <si>
    <t>07-May-2026 00:00:00</t>
  </si>
  <si>
    <t>08-May-2026 00:00:00</t>
  </si>
  <si>
    <t>11-May-2026 00:00:00</t>
  </si>
  <si>
    <t>12-May-2026 00:00:00</t>
  </si>
  <si>
    <t>13-May-2026 00:00:00</t>
  </si>
  <si>
    <t>14-May-2026 00:00:00</t>
  </si>
  <si>
    <t>15-May-2026 00:00:00</t>
  </si>
  <si>
    <t>18-May-2026 00:00:00</t>
  </si>
  <si>
    <t>19-May-2026 00:00:00</t>
  </si>
  <si>
    <t>20-May-2026 00:00:00</t>
  </si>
  <si>
    <t>21-May-2026 00:00:00</t>
  </si>
  <si>
    <t>22-May-2026 00:00:00</t>
  </si>
  <si>
    <t>23-May-2026 00:00:00</t>
  </si>
  <si>
    <t>25-May-2026 00:00:00</t>
  </si>
  <si>
    <t>26-May-2026 00:00:00</t>
  </si>
  <si>
    <t>29-May-2026 00:00:00</t>
  </si>
  <si>
    <t>04-May-2026 08:00:00</t>
  </si>
  <si>
    <t>04-May-2026 09:00:00</t>
  </si>
  <si>
    <t>04-May-2026 10:00:00</t>
  </si>
  <si>
    <t>04-May-2026 11:00:00</t>
  </si>
  <si>
    <t>04-May-2026 12:00:00</t>
  </si>
  <si>
    <t>04-May-2026 16:00:00</t>
  </si>
  <si>
    <t>04-May-2026 15:00:00</t>
  </si>
  <si>
    <t>04-May-2026 17:30:00</t>
  </si>
  <si>
    <t>04-May-2026 15:50:00</t>
  </si>
  <si>
    <t>04-May-2026 18:30:00</t>
  </si>
  <si>
    <t>04-May-2026 20:00:00</t>
  </si>
  <si>
    <t>06-May-2026 08:00:00</t>
  </si>
  <si>
    <t>06-May-2026 10:00:00</t>
  </si>
  <si>
    <t>06-May-2026 11:00:00</t>
  </si>
  <si>
    <t>06-May-2026 12:00:00</t>
  </si>
  <si>
    <t>07-May-2026 11:00:00</t>
  </si>
  <si>
    <t>07-May-2026 09:00:00</t>
  </si>
  <si>
    <t>07-May-2026 10:00:00</t>
  </si>
  <si>
    <t>07-May-2026 15:30:00</t>
  </si>
  <si>
    <t>08-May-2026 08:30:00</t>
  </si>
  <si>
    <t>08-May-2026 10:00:00</t>
  </si>
  <si>
    <t>08-May-2026 09:30:00</t>
  </si>
  <si>
    <t>08-May-2026 08:00:00</t>
  </si>
  <si>
    <t>08-May-2026 11:30:00</t>
  </si>
  <si>
    <t>11-May-2026 09:00:00</t>
  </si>
  <si>
    <t>11-May-2026 17:40:00</t>
  </si>
  <si>
    <t>11-May-2026 11:00:00</t>
  </si>
  <si>
    <t>11-May-2026 08:30:00</t>
  </si>
  <si>
    <t>11-May-2026 13:00:00</t>
  </si>
  <si>
    <t>11-May-2026 15:00:00</t>
  </si>
  <si>
    <t>11-May-2026 08:00:00</t>
  </si>
  <si>
    <t>12-May-2026 15:00:00</t>
  </si>
  <si>
    <t>12-May-2026 15:30:00</t>
  </si>
  <si>
    <t>13-May-2026 09:00:00</t>
  </si>
  <si>
    <t>13-May-2026 12:30:00</t>
  </si>
  <si>
    <t>13-May-2026 10:30:00</t>
  </si>
  <si>
    <t>13-May-2026 08:30:00</t>
  </si>
  <si>
    <t>13-May-2026 13:30:00</t>
  </si>
  <si>
    <t>14-May-2026 08:00:00</t>
  </si>
  <si>
    <t>14-May-2026 09:00:00</t>
  </si>
  <si>
    <t>14-May-2026 10:00:00</t>
  </si>
  <si>
    <t>14-May-2026 11:00:00</t>
  </si>
  <si>
    <t>14-May-2026 14:00:00</t>
  </si>
  <si>
    <t>14-May-2026 16:00:00</t>
  </si>
  <si>
    <t>14-May-2026 17:30:00</t>
  </si>
  <si>
    <t>14-May-2026 18:30:00</t>
  </si>
  <si>
    <t>15-May-2026 11:00:00</t>
  </si>
  <si>
    <t>15-May-2026 15:00:00</t>
  </si>
  <si>
    <t>15-May-2026 15:30:00</t>
  </si>
  <si>
    <t>15-May-2026 14:00:00</t>
  </si>
  <si>
    <t>18-May-2026 09:00:00</t>
  </si>
  <si>
    <t>18-May-2026 08:00:00</t>
  </si>
  <si>
    <t>18-May-2026 09:15:00</t>
  </si>
  <si>
    <t>18-May-2026 10:30:00</t>
  </si>
  <si>
    <t>18-May-2026 15:00:00</t>
  </si>
  <si>
    <t>18-May-2026 13:00:00</t>
  </si>
  <si>
    <t>19-May-2026 12:15:00</t>
  </si>
  <si>
    <t>28-May-2026 19:30:00</t>
  </si>
  <si>
    <t>19-May-2026 09:00:00</t>
  </si>
  <si>
    <t>20-May-2026 15:00:00</t>
  </si>
  <si>
    <t>20-May-2026 10:00:00</t>
  </si>
  <si>
    <t>20-May-2026 09:00:00</t>
  </si>
  <si>
    <t>20-May-2026 08:30:00</t>
  </si>
  <si>
    <t>20-May-2026 14:00:00</t>
  </si>
  <si>
    <t>20-May-2026 17:40:00</t>
  </si>
  <si>
    <t>20-May-2026 18:40:00</t>
  </si>
  <si>
    <t>20-May-2026 12:10:00</t>
  </si>
  <si>
    <t>20-May-2026 13:15:00</t>
  </si>
  <si>
    <t>18-May-2026 16:00:00</t>
  </si>
  <si>
    <t>22-May-2026 08:00:00</t>
  </si>
  <si>
    <t>22-May-2026 08:30:00</t>
  </si>
  <si>
    <t>22-May-2026 10:00:00</t>
  </si>
  <si>
    <t>25-May-2026 08:00:00</t>
  </si>
  <si>
    <t>25-May-2026 09:00:00</t>
  </si>
  <si>
    <t>25-May-2026 12:00:00</t>
  </si>
  <si>
    <t>25-May-2026 14:00:00</t>
  </si>
  <si>
    <t>25-May-2026 16:00:00</t>
  </si>
  <si>
    <t>25-May-2026 17:40:00</t>
  </si>
  <si>
    <t>25-May-2026 18:40:00</t>
  </si>
  <si>
    <t>26-May-2026 08:00:00</t>
  </si>
  <si>
    <t>26-May-2026 09:00:00</t>
  </si>
  <si>
    <t>26-May-2026 14:00:00</t>
  </si>
  <si>
    <t>26-May-2026 10:00:00</t>
  </si>
  <si>
    <t>26-May-2026 11:00:00</t>
  </si>
  <si>
    <t>15-May-2026 10:35:00</t>
  </si>
  <si>
    <t xml:space="preserve">L, QE:16 -UNIT PROPOSSED BER
</t>
  </si>
  <si>
    <t>L, QE:16- MAINTENANCE DONE AS PER HEPPM CHECKLIST ATTACHED,UNIT FUNCTIONING IN GOOD CONDITION</t>
  </si>
  <si>
    <t xml:space="preserve">L, QE:16- MAINTENANCE DONE AS PER HEPPM CHECKLIST ATTACHED,UNIT FUNCTIONING IN GOOD CONDITION
</t>
  </si>
  <si>
    <t xml:space="preserve">L, QE:16- PPM DONE AS PER HEPPM CHECKLIST
</t>
  </si>
  <si>
    <t xml:space="preserve"> L, QE:16- MAINTENANCE DONE AS PER HEPPM CHECKLIST ATTACHED,UNIT FUNCTIONING IN GOOD CONDITION
</t>
  </si>
  <si>
    <t>L, QE:16- PPM DONE AS PERCHECKLIST</t>
  </si>
  <si>
    <t xml:space="preserve">L, QE:16- PPM DONE AS PERCHECKLIST
</t>
  </si>
  <si>
    <t xml:space="preserve">AN- QE:16, PPM DONE AS PER HEPPM CHECKLIST </t>
  </si>
  <si>
    <t xml:space="preserve">AN-QE:16, PPM DONE AS PER HEPPM CHECKLIST </t>
  </si>
  <si>
    <t xml:space="preserve">AN- QE:16. PPM DONE AS PER HEPPM CHECKLIST </t>
  </si>
  <si>
    <t xml:space="preserve">L, QE:16- UNIT FUNCTIONING OKAY , PPM COMPLETE
</t>
  </si>
  <si>
    <t>AN- QE:16. PPM DONE AS PER HEPPM CHECKLIST</t>
  </si>
  <si>
    <t xml:space="preserve">L, QE:16- PPM COMPLETE  AS PER CHECKLIST.UNIT FUNCTIONING OKAY 
</t>
  </si>
  <si>
    <t xml:space="preserve">L, QE:16- PPM DONE AS PERCHECKLIST AT 09WJ222 9B </t>
  </si>
  <si>
    <t xml:space="preserve">L, QE:16- PPM DONE AS PERCHECKLIST </t>
  </si>
  <si>
    <t xml:space="preserve">L, QE:16- PPM DONE AS PERCHECKLIST 
</t>
  </si>
  <si>
    <t>AN- QE:16. PPM DONE AS PER HEPPM CHECKLIST ATTACHED</t>
  </si>
  <si>
    <t xml:space="preserve">L, QE:16- PPM HAS BEEN COMPLETE PLEASE REFER VENDOR ATTACHED
</t>
  </si>
  <si>
    <t xml:space="preserve">L, QE:16- PPM COMPLETE  AS PER CHECKLIST.UNIT TESTED OKAY 
</t>
  </si>
  <si>
    <t xml:space="preserve">L, QE:16- PPM DONE AS PERCHECKLIST
</t>
  </si>
  <si>
    <t xml:space="preserve">L, QE:16- PPM HAS BEEN COMPLETE AS PER HEPPM CHECKLIST
</t>
  </si>
  <si>
    <t xml:space="preserve">L, QE:16- PPM DONE AS PERCHECKLIST AT KLINIK KESEJAHTERAAN </t>
  </si>
  <si>
    <t>L, QE:16- PPM DONE AS PER HEPPM CHECKLIST</t>
  </si>
  <si>
    <t xml:space="preserve">L, QE:16- PPM DONE AS PER VENDOR CHECKLIST ATTACHED
</t>
  </si>
  <si>
    <t xml:space="preserve">L, QE:16- PPM DONE AS PER HEPPM CHECKLIST </t>
  </si>
  <si>
    <t xml:space="preserve">L, QE:16- MAINTENANCE DONE AS PER HEPPM CHECKLIST ATTACHED
</t>
  </si>
  <si>
    <t xml:space="preserve">L, QE:16- MAINTENANCE DONE AS PER HEPPM CHECKLIST ATTACHED
</t>
  </si>
  <si>
    <t xml:space="preserve">L, QE:16- PPM COMPLETE  AS PER CHECKLIST BY VENDOR .TESTED OKAY 
</t>
  </si>
  <si>
    <t xml:space="preserve">L, QE:16- MAINTENANCE DONE AS PER HEPPM ATTACHED
</t>
  </si>
  <si>
    <t xml:space="preserve">L, QE:16- PPM COMPLETE BY VENDOR .UNIT TESTED OKAY </t>
  </si>
  <si>
    <t xml:space="preserve">L, QE:16- PPM COMPLETE  AS PER CHECKLIST. TESTED OKAY </t>
  </si>
  <si>
    <t xml:space="preserve">L, QE:16- PPM COMPLETE  AS PER CHECKLIST. TESTED OKAY
</t>
  </si>
  <si>
    <t>L, QE:16- UNIT ALREADY BEYOND ECONOMIC REPAIR (BER) , UNIT CANNOT BE USED</t>
  </si>
  <si>
    <t>L, QE:16- MAINTENANCE DONE AS PER HEPPM CHECKLIST ATTACHED, UNIT FUNCTIONING IN GOOD CONDITION</t>
  </si>
  <si>
    <t xml:space="preserve">L, QE:16- QC COMPLETE BY VENDOR. TESTED OKAY </t>
  </si>
  <si>
    <t xml:space="preserve">L, QE:16- QC NOT DONE. UNIT ALREADY DISMANTLE
</t>
  </si>
  <si>
    <t xml:space="preserve">L, QE:12- UNIT PROPOSER TO BER </t>
  </si>
  <si>
    <t xml:space="preserve">L, QE:16-UNIT PROPOSED BER </t>
  </si>
  <si>
    <t xml:space="preserve">L, QE:16- PPM DONE AS PER HEPPM CHECKLIST ATTACHED
</t>
  </si>
  <si>
    <t>L, QE:16- MAINTENANCE DONE AS PER HEPPM CHECKLIST ATTACHED</t>
  </si>
  <si>
    <t xml:space="preserve">L, QE:16- MAINTENANCE DONE ACCORDING HEPPM CHECKLIST ATTACHED,UNIT FUNCTIONING IN GOOD CONDITION
</t>
  </si>
  <si>
    <t xml:space="preserve">L, QE:16 -MAINTENANCE DONE AS PER HEPPM CHECKLIST ATTACHED, UNIT FUNCTIONING IN GOOD CONDITION
</t>
  </si>
  <si>
    <t xml:space="preserve">L, QE:16- DONE AS PER HEPPM CHECKLIST ATTACHED
</t>
  </si>
  <si>
    <t xml:space="preserve">L, QE:16- PPM DONE AS PERCHECKLIST ATTACHED
</t>
  </si>
  <si>
    <t>L, QE:16- PPM DONE AS PER HEPPM CHECKLIST ATTACHED</t>
  </si>
  <si>
    <t xml:space="preserve">L, QE:16- PPM DONE AS PER HEPPM CHECKLIST 
</t>
  </si>
  <si>
    <t xml:space="preserve"> L, QE:16- MAINTENANCE DONE AS PER HEPPM CHECKLIST ATTACHED,UNIT FUNCTIONING IN GOOD CONDITION</t>
  </si>
  <si>
    <t>L, QE:16- PPM DONE AS PERCHECKLIST AT 09WJ222 9B</t>
  </si>
  <si>
    <t xml:space="preserve">L, QE:16- PPM DONE AS PERCHECKLIST, </t>
  </si>
  <si>
    <t>L, QE:16 -MAINTENANCE DONE AS PER HEPPM CHECKLIST ATTACHED,  UNIT FUNCTIONING IN GOOD CONDITION</t>
  </si>
  <si>
    <t>L, QE:16- PPM COMPLETE  AS PER CHECKLIST.UNIT FUNCTIONING OKAY</t>
  </si>
  <si>
    <t>L, QE:16-MAINTENANCE DONE AS PER  CALIBRATION CERTIFICATE ATTACHED (SINCE CALIBRATION VALID TILL 2027)</t>
  </si>
  <si>
    <t>L, QE:16- MAINTENANCE DONE ACCORDING TO HEPPM CHECKLIST ATTACHED,UNIT FUNCTIONING IN GOOD CONDITION</t>
  </si>
  <si>
    <t>L, QE:16- MAINTENANCE DONE AS PER HEPPM CHECKLIST ATTACHED,UNIT FUNCTIONING AND WORKING IN GOOD CONDITION</t>
  </si>
  <si>
    <t>L, QE:16- MAINTENANCE DONE ACCORDING TO HEPPM CHECKLIST ATTACHED, UNIT FUNCTIONING IN GOOD CONDITION</t>
  </si>
  <si>
    <t>L, QE:16- PPM HAS BEEN COMPLETE AS PER HEPPM CHECKLIST</t>
  </si>
  <si>
    <t xml:space="preserve">DEEP VEIN TROMBOSIS 
PUMP </t>
  </si>
  <si>
    <t>1 YEAR</t>
  </si>
  <si>
    <t>SUPPLIER INSAN DAMAI SDN BHD</t>
  </si>
  <si>
    <t>IKN402270</t>
  </si>
  <si>
    <t>Warmer Units, Patient, Forced-Air</t>
  </si>
  <si>
    <t>L, QE:16-MAINTAINANCE DONE AS PE CHEKLIST ATTACHED (PPM WARRANTY)</t>
  </si>
  <si>
    <t>L, QE:16- QC DONE AS PER JOBSHEET BY VENDOR ATTACHED.</t>
  </si>
  <si>
    <t>CAUCH STUCK AT CERTAIN ANGLE. RAILING BELT LOST TENSION AND DISJOINTED FROM COUPLING CLAMP. RE-JOIN THE BELT AND DO TENSION ADJUSTMENT/ALLIGMENT.</t>
  </si>
  <si>
    <t>0 days, 0 hrs, 06 mins</t>
  </si>
  <si>
    <t>SERVER CONFLIT, RESTART SYNGO-VIO SERVER AND CONFIGURATE. TESTED OK AND UNIT LEFT.</t>
  </si>
  <si>
    <t>0 days, 0 hrs, 05 mins</t>
  </si>
  <si>
    <t>SPO2 SENSOR CABLE TEAR OFF, REPLACED WITH NEW SPO2 SENSOR AND TESTED PASS.UNIT RETURN WITH FULL FUNCTIONING.</t>
  </si>
  <si>
    <t>0 days, 0 hrs, 12 mins</t>
  </si>
  <si>
    <t>DO PERFORMANCE TEST WITH IN 4 HOURS, DEMONSTRATED ACCEPTABLE INFUSION ACCURACY. UNIT TESTED OKAY</t>
  </si>
  <si>
    <t xml:space="preserve">NO PHYSICAL DAMAGE ON UNIT, USER MISSUNDERTAND THE LOCK ON IV LINE AS A PART OF THE MACHINE. UNIT OK </t>
  </si>
  <si>
    <t>IKN400199</t>
  </si>
  <si>
    <t>Scales, Patient, Floor</t>
  </si>
  <si>
    <t>Waiting Que calibrate ON 10/6/2026</t>
  </si>
  <si>
    <t>15-May-2026 16:00:00</t>
  </si>
  <si>
    <t xml:space="preserve">WAITING PARTS FROM VENDOR (Welch Allyn)                                             PROBLEM : LCD BOARD FAULTY
Quotation:30/3/2026  PO:  71520, 31/3/2026                                         ETA : Middle May 2026
L, QE:16- DISMANTLE MACHINE, FOUND OUT LCD BOARD  FAILURE CAUSE BLINKING ,
REPLACE NEW LCD BOARD ,FUNCTION AND TESTED FIT TO USE FUNCTIONING </t>
  </si>
  <si>
    <t xml:space="preserve">L, QE:12-TEST ALL THE BUTTON ENTER MODE, TESTED OKAY NO ERROR. ASK USER TO USE THEN STILL POPUP THE ERROR . DISMANTLE THE UNIT , RESEAT ALL CABLE , TRY TO CHANGE THE BATTERY BECAUSE THE BATTERY IS DAMAGED, TRIED TO RUN THE UNIT FOR 2 HOUR , NO ERROR , POP UP . USER ALREADY TESTED MACHINE , ALL OKAY AND FUNCTIONING. </t>
  </si>
  <si>
    <t>15-May-2026 13:00:00</t>
  </si>
  <si>
    <t>15-May-2026 18:00:00</t>
  </si>
  <si>
    <t xml:space="preserve">L, QE:12-ALREADY REPLACED NEW POWER CARD, STILL SAME , THE MACHINE NOT ABLE TO CHANGE , LED CHANGING INDICATOR NOT BLINKING , UNDER TROUBLESHOOTING. CHECK FUSE IN THE SMPS BOARD, CHECK POWER CARD CONNECTION , RESEAT CABLE TESTED OKAY AND ABLE TO CHANGE LED BLINKING. </t>
  </si>
  <si>
    <t>14-May-2026 11:30:00</t>
  </si>
  <si>
    <t xml:space="preserve">L, QE:12-REPLACE NEW CHARGER , TESTED AND ABLE TO CHANGE THE MACHINE 
</t>
  </si>
  <si>
    <t xml:space="preserve">L, QE:16-PPM NOT DONE DUE TO THE UNIT (SPIROPERFECT) HAVE BEEN TAKEN TOGETHER WITH THE BER ITEM ,USER REQUEST FOR BER ONE SET OF SPIROMETER 
</t>
  </si>
  <si>
    <t>15-May-2026 09:00:00</t>
  </si>
  <si>
    <t>19-May-2026 14:30:00</t>
  </si>
  <si>
    <t xml:space="preserve">L, QE:16- ROUTINE INSPECTION DONE AS PER CHECKLIST ATTACHED. UNIT FUNCTIONING IN GOOD CONDITION
</t>
  </si>
  <si>
    <t>20-May-2026 16:30:00</t>
  </si>
  <si>
    <t>L, QE:16- ROUTINE INSPECTION DONE AS PER CHECKLIST ATTACHED. UNIT FUNCTIONING IN GOOD CONDITION</t>
  </si>
  <si>
    <t>L, QE:16- MAINTENANCE DONE AS PER HEPPM CHECKLIST ATTACHED - UNIT FUNCTIONING IN GOOD CONDITON</t>
  </si>
  <si>
    <t>22-May-2026 09:00:00</t>
  </si>
  <si>
    <t>26-May-2026 15:00:00</t>
  </si>
  <si>
    <t>29-May-2026 09:40:00</t>
  </si>
  <si>
    <t>29-May-2026 08:30:00</t>
  </si>
  <si>
    <t>VENDOR NOT AVAILABLE</t>
  </si>
  <si>
    <t>UNDER BM IKNWIBE26007972 WAITING PARTS</t>
  </si>
  <si>
    <t>UNIT SEND OUT FOR CALIBRATION</t>
  </si>
  <si>
    <t>0 days, 0 hrs, 49 mins</t>
  </si>
  <si>
    <t xml:space="preserve">PROB :LEFT HAND DETECTOR INTERMITTENT DETECT
STATUS: UNDER TROUBLESHOOT BY GUIDING FROM SUPPLIER NUVIA Instruments GmbH </t>
  </si>
  <si>
    <t>0 days, 0 hrs, 09 mins</t>
  </si>
  <si>
    <t>REPLACED KV ARM MICROSWITHES AND TESTED OK. UNIT LEFT WITH FULL FUNCTIONING.</t>
  </si>
  <si>
    <t>REPLACED FINE POT AND NO INHIBIT POP-UP. TESTED OK AND UNIT LEFT WITH GOOD WORKING CONDITION.</t>
  </si>
  <si>
    <t xml:space="preserve">PROB :FALSE MESSAGE
STATUS: UNDER TROUBLESHOOT BY GUIDING FROM SUPPLIER NUVIA Instruments GmbH </t>
  </si>
  <si>
    <t>Analyzers, Laboratory, Hematology, Coagulation, Automated</t>
  </si>
  <si>
    <t>10-134</t>
  </si>
  <si>
    <t>15-098</t>
  </si>
  <si>
    <t>12-660</t>
  </si>
  <si>
    <t>26-May-2026 13:05:00</t>
  </si>
  <si>
    <t>26-May-2026 14:05:00</t>
  </si>
  <si>
    <t xml:space="preserve">AN- DONE PERFORMANCE CHECKING </t>
  </si>
  <si>
    <t>26-May-2026 15:05:00</t>
  </si>
  <si>
    <t>26-May-2026 16:05:00</t>
  </si>
  <si>
    <t xml:space="preserve">AN- CLEAN LEVEL SENSOR FROM WASTE DIRTY. TEST FUNCTIONING OKAY </t>
  </si>
  <si>
    <t xml:space="preserve">AN- QE:16. PPM COMPLETED AS PER CHECKLIST </t>
  </si>
  <si>
    <t xml:space="preserve">AN- QE:16. PPM COMPLETED AS PER CHECKLIST. UNIT TESTED OKAY </t>
  </si>
  <si>
    <t>26-May-2026 14:30:00</t>
  </si>
  <si>
    <t xml:space="preserve">AN- QE;16. PPM COMPLEATED AS PER CHECKLIST. UNIT TESTED OKAY </t>
  </si>
  <si>
    <t>26-May-2026 11:30:00</t>
  </si>
  <si>
    <t xml:space="preserve">AN- QE:16. PPM COMPLETED AS PER CHECKLIST.UNIT TESTED OKAY </t>
  </si>
  <si>
    <t>26-May-2026 13:30:00</t>
  </si>
  <si>
    <t xml:space="preserve">AN- QE:16. PPM COMPLTED AS PER CHECKLIST </t>
  </si>
  <si>
    <t>26-May-2026 16:00:00</t>
  </si>
  <si>
    <t xml:space="preserve">AN- QE:16.PPM COMPLETED AS PER CHECKLIST. UNIT TESTED OKAY </t>
  </si>
  <si>
    <t>26-May-2026 10:30:00</t>
  </si>
  <si>
    <t xml:space="preserve">AN- QE:16. PPM COMPLETED AS PER CHECKLIST. UNIT TESTED OKAY. REPLACED CUFF (CHILD) </t>
  </si>
  <si>
    <t>29-May-2026 12:00:00</t>
  </si>
  <si>
    <t>EQUIPMENT SEND FOR CALIBRATION</t>
  </si>
  <si>
    <t>PROBE ALLIGNMENT FAULTY, DO PROBE ALLIGNMENT ADJUSTMENT, TEST FUNCTIONING OK.</t>
  </si>
  <si>
    <t>PROB: RO BOTTLE CRACK
QUO DATE : 16/4/2026 (Q3121389) 
PO DATE : 24/4/2026 (AWSB-72351)
ETA :Waiting date manufacture</t>
  </si>
  <si>
    <t>PROB: LASER MODULE FAULTY
QUO DATE : 14/4/2026 FROM VENDOR DELTA
PO DATE : 24/4/2026 (PO:AWSB-72348)
ETA : END June 2026</t>
  </si>
  <si>
    <t>VENDOR DONE TROUBLESHOOT ON 26/3/2026 &amp; 6/4/2026 (OLYMPUS)                                                                                                                                   PROBLEM : THE SENSOR FAULTY.            QUOTATION RECEIVED :  10/4/2026 (SOW000876) &amp; 24/4/2026 (280001613)                                    
PO DATE : AWSB-72253 &amp; AWSB-72586                                                ETA : End June 2026. Loan unit given 15/4/25</t>
  </si>
  <si>
    <t>waiting update from vendor by email. Done arrived at malaysia yesterday</t>
  </si>
  <si>
    <t>L, QE:16- MAINTENANCE DONE AS PER HEPPM CHECKLIST ATTACHED,UNIT FUNCTIONING IN GOOD CONDITION. BY TRANSMEDIC.</t>
  </si>
  <si>
    <t xml:space="preserve">VENDOR DO EARLY </t>
  </si>
  <si>
    <t>PROB :LOW PRESSURE DETECTED
QUO DATE : 17/5/2026 (DRAEGER)
PO DATE : 20/5/2026 (AWSB-900123)
ETA : END JUNE
STATUS:Waiting Parts</t>
  </si>
  <si>
    <t>PROB: SHUTTER VALVE FAULTY
QUO DATE :13-05-2026
PO DATE: 15/5/2026 (AWSB-900126)
ETA:2-3 MONTHS
WAITING PARTS</t>
  </si>
  <si>
    <t>PROB :READING NOT ACCURATE
QUO DATE : 21-05-2026 (H&amp;A MEDICAL)
SR NO : E.26.0078 (22-05-2026)
PO DATE : 26/5/2026(AWSB-900125)
ETA : END JUNE
STATUS: SEND TO GERMAN FOR TROUBLESHOOT</t>
  </si>
  <si>
    <r>
      <rPr>
        <sz val="48"/>
        <rFont val="Arial"/>
        <family val="2"/>
      </rPr>
      <t>PROB :ASSY LED FAULTY
QUO DATE : 20/5/2026 (STRAITS SCIENTIFIC)
PO DATE : 25/5/2026(AWSB-900124)</t>
    </r>
    <r>
      <rPr>
        <sz val="48"/>
        <color rgb="FFFF0000"/>
        <rFont val="Arial"/>
        <family val="2"/>
      </rPr>
      <t xml:space="preserve">
</t>
    </r>
    <r>
      <rPr>
        <sz val="48"/>
        <rFont val="Arial"/>
        <family val="2"/>
      </rPr>
      <t>ETA : 4-6 WEEKS (EARLY JUNE)</t>
    </r>
    <r>
      <rPr>
        <sz val="48"/>
        <color rgb="FFFF0000"/>
        <rFont val="Arial"/>
        <family val="2"/>
      </rPr>
      <t xml:space="preserve">
</t>
    </r>
    <r>
      <rPr>
        <sz val="48"/>
        <rFont val="Arial"/>
        <family val="2"/>
      </rPr>
      <t>STATUS: WAITING PARTS</t>
    </r>
  </si>
  <si>
    <t>PROB : ECG FAULTY
QUO DATE : 28/4/2026
PO DATE : 5/5/2026 (AWSB-72179)
STATUS : WAITING PARTS FROM VENDOR RICHONE
ETA : Middle June 2026 Asset EOL</t>
  </si>
  <si>
    <t>L, QE:12-UNIT CONNECT TO POWER SUPPLY , RESET MACHINE , TEST CLOSER DOOR MACHINE PASSED , UNIT READY FOR USE</t>
  </si>
  <si>
    <t>L, QE:12- ADVICE USER TO USE  ALL LIMB CLISTO PATIENT FIXED AND ENSURE ALL LIMB CLIP IN GOOD CONDITION , TESTED USING ANALYSER AND TO PERSON OKAY. IU</t>
  </si>
  <si>
    <t>L, QE:12-REPLACE NEW CUFF ,AND PULSE OXIMETER PROBE UNIT FUNCTIONING IN GOOD CONDITION</t>
  </si>
  <si>
    <t>L, QE:12- TEST USING STANDARD WEIGHT , FROUND WEIGHLESS THAN 60KG , THE DISPLAYED RESULT LOWER BY 200G, FOR WEIGHT MORE THAN 60KG, THE DISPLAYED RESULT IS LOWER BY 400G, THIS MODEL ALREADY ADSELECTED, AND CA SENT 24/12/2025</t>
  </si>
  <si>
    <t xml:space="preserve">L, QE:12-CHECK SUPPLY WITH FEMS ,TEST FUNCTIONING OKAY
</t>
  </si>
  <si>
    <r>
      <t xml:space="preserve">Deduction Mapping Report
</t>
    </r>
    <r>
      <rPr>
        <sz val="38"/>
        <rFont val="Calibri"/>
        <family val="2"/>
        <scheme val="minor"/>
      </rPr>
      <t>Biomedical Engineering Maintenance Services (BEMS)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</si>
</sst>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1" formatCode="_-* #,##0_-;\-* #,##0_-;_-* &quot;-&quot;_-;_-@_-"/>
    <numFmt numFmtId="43" formatCode="_-* #,##0.00_-;\-* #,##0.00_-;_-* &quot;-&quot;??_-;_-@_-"/>
    <numFmt numFmtId="164" formatCode="[$-409]d\-mmm\-yy;@"/>
    <numFmt numFmtId="165" formatCode="[$-14809]d/m/yyyy;@"/>
    <numFmt numFmtId="166" formatCode="[$-14409]d/m/yyyy;@"/>
    <numFmt numFmtId="167" formatCode="0.00_ "/>
    <numFmt numFmtId="168" formatCode="dd\-mmm\-yyyy"/>
    <numFmt numFmtId="169" formatCode="[$-C09]dd\-mmm\-yy;@"/>
    <numFmt numFmtId="170" formatCode="dd\-mmm\-yyyy\ hh:mm:ss"/>
    <numFmt numFmtId="171" formatCode="mmm\-yyyy"/>
    <numFmt numFmtId="172" formatCode="0.000"/>
    <numFmt numFmtId="173" formatCode="#,##0.00_);[Red]\(#,##0.00\)"/>
    <numFmt numFmtId="174" formatCode="#,##0.00;[Red]#,##0.00"/>
    <numFmt numFmtId="175" formatCode="&quot;RM&quot;#,##0.00"/>
    <numFmt numFmtId="176" formatCode="d\ &quot;days&quot;\,\ h\ &quot;hrs&quot;\,\ mm\ &quot;mins&quot;"/>
    <numFmt numFmtId="177" formatCode="[$-409]d\-mmm\-yyyy;@"/>
    <numFmt numFmtId="178" formatCode="m/d;@"/>
  </numFmts>
  <fonts count="155">
    <font>
      <sz val="11"/>
      <color theme="1"/>
      <name val="Calibri"/>
      <charset val="134"/>
      <scheme val="minor"/>
    </font>
    <font>
      <sz val="11"/>
      <color theme="1"/>
      <name val="Calibri"/>
      <family val="2"/>
      <scheme val="minor"/>
    </font>
    <font>
      <b/>
      <sz val="9"/>
      <color theme="1"/>
      <name val="Arial"/>
      <family val="2"/>
    </font>
    <font>
      <b/>
      <sz val="10"/>
      <color theme="1"/>
      <name val="Arial"/>
      <family val="2"/>
    </font>
    <font>
      <sz val="10"/>
      <name val="Arial"/>
      <family val="2"/>
    </font>
    <font>
      <sz val="10"/>
      <color theme="1"/>
      <name val="Calibri"/>
      <family val="2"/>
      <scheme val="minor"/>
    </font>
    <font>
      <sz val="9"/>
      <color theme="1"/>
      <name val="Arial"/>
      <family val="2"/>
    </font>
    <font>
      <sz val="10"/>
      <color theme="1"/>
      <name val="Arial"/>
      <family val="2"/>
    </font>
    <font>
      <b/>
      <sz val="10"/>
      <name val="Arial"/>
      <family val="2"/>
    </font>
    <font>
      <sz val="8"/>
      <color theme="1"/>
      <name val="Arial"/>
      <family val="2"/>
    </font>
    <font>
      <sz val="11"/>
      <color theme="1"/>
      <name val="Arial"/>
      <family val="2"/>
    </font>
    <font>
      <sz val="12"/>
      <color theme="1"/>
      <name val="Arial"/>
      <family val="2"/>
    </font>
    <font>
      <sz val="12"/>
      <name val="Arial"/>
      <family val="2"/>
    </font>
    <font>
      <sz val="14"/>
      <color theme="1"/>
      <name val="Arial"/>
      <family val="2"/>
    </font>
    <font>
      <b/>
      <sz val="14"/>
      <name val="Arial"/>
      <family val="2"/>
    </font>
    <font>
      <b/>
      <sz val="12"/>
      <name val="Arial"/>
      <family val="2"/>
    </font>
    <font>
      <b/>
      <sz val="12"/>
      <color theme="1"/>
      <name val="Arial"/>
      <family val="2"/>
    </font>
    <font>
      <sz val="16"/>
      <color theme="1"/>
      <name val="Arial"/>
      <family val="2"/>
    </font>
    <font>
      <b/>
      <sz val="16"/>
      <color theme="1"/>
      <name val="Arial"/>
      <family val="2"/>
    </font>
    <font>
      <b/>
      <sz val="14"/>
      <color theme="1"/>
      <name val="Arial"/>
      <family val="2"/>
    </font>
    <font>
      <i/>
      <sz val="12"/>
      <name val="Arial"/>
      <family val="2"/>
    </font>
    <font>
      <b/>
      <i/>
      <sz val="12"/>
      <color rgb="FF0070C0"/>
      <name val="Arial"/>
      <family val="2"/>
    </font>
    <font>
      <sz val="12"/>
      <color theme="0"/>
      <name val="Arial"/>
      <family val="2"/>
    </font>
    <font>
      <sz val="16"/>
      <name val="Arial"/>
      <family val="2"/>
    </font>
    <font>
      <sz val="14"/>
      <name val="Arial"/>
      <family val="2"/>
    </font>
    <font>
      <sz val="16"/>
      <name val="Calibri"/>
      <family val="2"/>
    </font>
    <font>
      <sz val="16"/>
      <color theme="1"/>
      <name val="Calibri"/>
      <family val="2"/>
    </font>
    <font>
      <b/>
      <sz val="16"/>
      <name val="Arial"/>
      <family val="2"/>
    </font>
    <font>
      <i/>
      <sz val="14"/>
      <name val="Arial"/>
      <family val="2"/>
    </font>
    <font>
      <sz val="16"/>
      <color rgb="FF000000"/>
      <name val="Calibri"/>
      <family val="2"/>
    </font>
    <font>
      <b/>
      <i/>
      <sz val="14"/>
      <color rgb="FF0070C0"/>
      <name val="Arial"/>
      <family val="2"/>
    </font>
    <font>
      <sz val="14"/>
      <color theme="0"/>
      <name val="Arial"/>
      <family val="2"/>
    </font>
    <font>
      <sz val="33"/>
      <name val="Arial"/>
      <family val="2"/>
    </font>
    <font>
      <sz val="16"/>
      <name val="Tahoma"/>
      <family val="2"/>
    </font>
    <font>
      <sz val="16"/>
      <name val="Calibri"/>
      <family val="2"/>
      <scheme val="minor"/>
    </font>
    <font>
      <b/>
      <sz val="20"/>
      <name val="Arial"/>
      <family val="2"/>
    </font>
    <font>
      <sz val="20"/>
      <name val="Arial"/>
      <family val="2"/>
    </font>
    <font>
      <sz val="24"/>
      <name val="Arial"/>
      <family val="2"/>
    </font>
    <font>
      <sz val="24"/>
      <color theme="1"/>
      <name val="Arial"/>
      <family val="2"/>
    </font>
    <font>
      <sz val="11"/>
      <name val="Calibri"/>
      <family val="2"/>
      <scheme val="minor"/>
    </font>
    <font>
      <sz val="11"/>
      <color theme="5"/>
      <name val="Calibri"/>
      <family val="2"/>
      <scheme val="minor"/>
    </font>
    <font>
      <sz val="20"/>
      <name val="Calibri"/>
      <family val="2"/>
      <scheme val="minor"/>
    </font>
    <font>
      <b/>
      <sz val="20"/>
      <name val="Calibri"/>
      <family val="2"/>
      <scheme val="minor"/>
    </font>
    <font>
      <sz val="18"/>
      <name val="Calibri"/>
      <family val="2"/>
      <scheme val="minor"/>
    </font>
    <font>
      <sz val="28"/>
      <name val="Calibri"/>
      <family val="2"/>
      <scheme val="minor"/>
    </font>
    <font>
      <sz val="28"/>
      <color theme="1"/>
      <name val="Calibri"/>
      <family val="2"/>
      <scheme val="minor"/>
    </font>
    <font>
      <i/>
      <sz val="20"/>
      <name val="Tahoma"/>
      <family val="2"/>
    </font>
    <font>
      <b/>
      <sz val="20"/>
      <name val="Tahoma"/>
      <family val="2"/>
    </font>
    <font>
      <b/>
      <sz val="16"/>
      <name val="Calibri"/>
      <family val="2"/>
      <scheme val="minor"/>
    </font>
    <font>
      <b/>
      <sz val="18"/>
      <name val="Calibri"/>
      <family val="2"/>
      <scheme val="minor"/>
    </font>
    <font>
      <b/>
      <i/>
      <sz val="20"/>
      <name val="Tahoma"/>
      <family val="2"/>
    </font>
    <font>
      <sz val="20"/>
      <name val="Tahoma"/>
      <family val="2"/>
    </font>
    <font>
      <sz val="24"/>
      <name val="Calibri"/>
      <family val="2"/>
      <scheme val="minor"/>
    </font>
    <font>
      <sz val="24"/>
      <color theme="1"/>
      <name val="Calibri"/>
      <family val="2"/>
      <scheme val="minor"/>
    </font>
    <font>
      <b/>
      <sz val="24"/>
      <name val="Calibri"/>
      <family val="2"/>
      <scheme val="minor"/>
    </font>
    <font>
      <b/>
      <sz val="22"/>
      <color rgb="FFFF0000"/>
      <name val="Calibri"/>
      <family val="2"/>
      <scheme val="minor"/>
    </font>
    <font>
      <sz val="26"/>
      <name val="Calibri"/>
      <family val="2"/>
      <scheme val="minor"/>
    </font>
    <font>
      <b/>
      <sz val="24"/>
      <color rgb="FFFF0000"/>
      <name val="Congenial Black"/>
    </font>
    <font>
      <sz val="24"/>
      <color rgb="FFFF0000"/>
      <name val="Calibri"/>
      <family val="2"/>
      <scheme val="minor"/>
    </font>
    <font>
      <b/>
      <sz val="28"/>
      <name val="Arial"/>
      <family val="2"/>
    </font>
    <font>
      <b/>
      <sz val="36"/>
      <color theme="1"/>
      <name val="Arial"/>
      <family val="2"/>
    </font>
    <font>
      <b/>
      <sz val="28"/>
      <color theme="1"/>
      <name val="Arial"/>
      <family val="2"/>
    </font>
    <font>
      <b/>
      <sz val="36"/>
      <color rgb="FF0070C0"/>
      <name val="Arial"/>
      <family val="2"/>
    </font>
    <font>
      <b/>
      <sz val="36"/>
      <color rgb="FF00B050"/>
      <name val="Arial"/>
      <family val="2"/>
    </font>
    <font>
      <b/>
      <sz val="36"/>
      <name val="Arial"/>
      <family val="2"/>
    </font>
    <font>
      <b/>
      <sz val="36"/>
      <color rgb="FFFF0000"/>
      <name val="Arial"/>
      <family val="2"/>
    </font>
    <font>
      <sz val="28"/>
      <name val="Arial"/>
      <family val="2"/>
    </font>
    <font>
      <b/>
      <sz val="28"/>
      <name val="Calibri"/>
      <family val="2"/>
      <scheme val="minor"/>
    </font>
    <font>
      <sz val="42"/>
      <name val="Arial"/>
      <family val="2"/>
    </font>
    <font>
      <b/>
      <sz val="42"/>
      <name val="Arial"/>
      <family val="2"/>
    </font>
    <font>
      <sz val="42"/>
      <color rgb="FFFF0000"/>
      <name val="Arial"/>
      <family val="2"/>
    </font>
    <font>
      <b/>
      <sz val="28"/>
      <name val="Tahoma"/>
      <family val="2"/>
    </font>
    <font>
      <b/>
      <sz val="42"/>
      <color theme="1"/>
      <name val="Arial"/>
      <family val="2"/>
    </font>
    <font>
      <b/>
      <sz val="42"/>
      <color rgb="FFFF0000"/>
      <name val="Arial"/>
      <family val="2"/>
    </font>
    <font>
      <i/>
      <sz val="28"/>
      <name val="Calibri"/>
      <family val="2"/>
      <scheme val="minor"/>
    </font>
    <font>
      <sz val="42"/>
      <name val="Calibri"/>
      <family val="2"/>
      <scheme val="minor"/>
    </font>
    <font>
      <sz val="9"/>
      <color theme="1"/>
      <name val="Calibri"/>
      <family val="2"/>
      <scheme val="minor"/>
    </font>
    <font>
      <sz val="9"/>
      <name val="Arial"/>
      <family val="2"/>
    </font>
    <font>
      <sz val="8"/>
      <name val="Arial"/>
      <family val="2"/>
    </font>
    <font>
      <b/>
      <sz val="9"/>
      <name val="Arial"/>
      <family val="2"/>
    </font>
    <font>
      <sz val="9"/>
      <color rgb="FF000000"/>
      <name val="Arial"/>
      <family val="2"/>
    </font>
    <font>
      <i/>
      <sz val="9"/>
      <color theme="1"/>
      <name val="Arial"/>
      <family val="2"/>
    </font>
    <font>
      <b/>
      <sz val="9"/>
      <color theme="1"/>
      <name val="Calibri"/>
      <family val="2"/>
      <scheme val="minor"/>
    </font>
    <font>
      <sz val="11"/>
      <name val="Tahoma"/>
      <family val="2"/>
    </font>
    <font>
      <sz val="11"/>
      <color theme="1"/>
      <name val="Tahoma"/>
      <family val="2"/>
    </font>
    <font>
      <b/>
      <sz val="11"/>
      <name val="Tahoma"/>
      <family val="2"/>
    </font>
    <font>
      <sz val="11"/>
      <color rgb="FF000000"/>
      <name val="Tahoma"/>
      <family val="2"/>
    </font>
    <font>
      <sz val="11"/>
      <color indexed="8"/>
      <name val="Calibri"/>
      <family val="2"/>
    </font>
    <font>
      <sz val="11"/>
      <color indexed="9"/>
      <name val="Calibri"/>
      <family val="2"/>
    </font>
    <font>
      <sz val="11"/>
      <color theme="0"/>
      <name val="Calibri"/>
      <family val="2"/>
      <scheme val="minor"/>
    </font>
    <font>
      <sz val="11"/>
      <color indexed="14"/>
      <name val="Calibri"/>
      <family val="2"/>
    </font>
    <font>
      <b/>
      <sz val="11"/>
      <color indexed="13"/>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1"/>
      <color indexed="62"/>
      <name val="Calibri"/>
      <family val="2"/>
    </font>
    <font>
      <sz val="11"/>
      <color indexed="62"/>
      <name val="Calibri"/>
      <family val="2"/>
    </font>
    <font>
      <sz val="11"/>
      <color indexed="13"/>
      <name val="Calibri"/>
      <family val="2"/>
    </font>
    <font>
      <sz val="11"/>
      <color indexed="60"/>
      <name val="Calibri"/>
      <family val="2"/>
    </font>
    <font>
      <sz val="11"/>
      <color rgb="FF9C6500"/>
      <name val="Calibri"/>
      <family val="2"/>
      <scheme val="minor"/>
    </font>
    <font>
      <sz val="10"/>
      <color indexed="8"/>
      <name val="Arial"/>
      <family val="2"/>
    </font>
    <font>
      <sz val="10"/>
      <name val="Arial Narrow"/>
      <family val="2"/>
    </font>
    <font>
      <sz val="11"/>
      <name val="Calibri"/>
      <family val="2"/>
    </font>
    <font>
      <sz val="10"/>
      <color theme="1"/>
      <name val="Calibri"/>
      <family val="2"/>
    </font>
    <font>
      <b/>
      <sz val="11"/>
      <color indexed="63"/>
      <name val="Calibri"/>
      <family val="2"/>
    </font>
    <font>
      <b/>
      <sz val="18"/>
      <color indexed="62"/>
      <name val="Cambria"/>
      <family val="1"/>
    </font>
    <font>
      <b/>
      <sz val="11"/>
      <color indexed="8"/>
      <name val="Calibri"/>
      <family val="2"/>
    </font>
    <font>
      <sz val="11"/>
      <color indexed="10"/>
      <name val="Calibri"/>
      <family val="2"/>
    </font>
    <font>
      <vertAlign val="superscript"/>
      <sz val="11"/>
      <color indexed="8"/>
      <name val="Tahoma"/>
      <family val="2"/>
    </font>
    <font>
      <sz val="11"/>
      <color indexed="8"/>
      <name val="Tahoma"/>
      <family val="2"/>
    </font>
    <font>
      <vertAlign val="superscript"/>
      <sz val="8"/>
      <color theme="1"/>
      <name val="Arial"/>
      <family val="2"/>
    </font>
    <font>
      <sz val="8"/>
      <color theme="1"/>
      <name val="Calibri"/>
      <family val="2"/>
      <scheme val="minor"/>
    </font>
    <font>
      <sz val="12"/>
      <color theme="1"/>
      <name val="Calibri"/>
      <family val="2"/>
      <scheme val="minor"/>
    </font>
    <font>
      <sz val="11"/>
      <color theme="1"/>
      <name val="Calibri"/>
      <family val="2"/>
      <scheme val="minor"/>
    </font>
    <font>
      <sz val="28"/>
      <name val="Calibri"/>
      <family val="2"/>
      <scheme val="minor"/>
    </font>
    <font>
      <sz val="28"/>
      <color theme="1"/>
      <name val="Calibri"/>
      <family val="2"/>
      <scheme val="minor"/>
    </font>
    <font>
      <b/>
      <sz val="22"/>
      <color rgb="FFFF0000"/>
      <name val="Calibri"/>
      <family val="2"/>
      <scheme val="minor"/>
    </font>
    <font>
      <sz val="11"/>
      <color rgb="FFFF0000"/>
      <name val="Calibri"/>
      <family val="2"/>
      <scheme val="minor"/>
    </font>
    <font>
      <b/>
      <sz val="42"/>
      <name val="Arial"/>
      <family val="2"/>
    </font>
    <font>
      <b/>
      <sz val="36"/>
      <name val="Arial"/>
      <family val="2"/>
    </font>
    <font>
      <sz val="11"/>
      <color theme="5"/>
      <name val="Calibri"/>
      <family val="2"/>
      <scheme val="minor"/>
    </font>
    <font>
      <sz val="24"/>
      <name val="Calibri"/>
      <family val="2"/>
      <scheme val="minor"/>
    </font>
    <font>
      <sz val="8"/>
      <name val="Calibri"/>
      <family val="2"/>
      <scheme val="minor"/>
    </font>
    <font>
      <b/>
      <sz val="26"/>
      <color rgb="FFFF0000"/>
      <name val="Calibri"/>
      <family val="2"/>
      <scheme val="minor"/>
    </font>
    <font>
      <sz val="28"/>
      <color rgb="FFFF0000"/>
      <name val="Calibri"/>
      <family val="2"/>
      <scheme val="minor"/>
    </font>
    <font>
      <sz val="16"/>
      <color theme="1"/>
      <name val="Arial"/>
      <family val="2"/>
    </font>
    <font>
      <sz val="11"/>
      <name val="Calibri"/>
      <family val="2"/>
      <scheme val="minor"/>
    </font>
    <font>
      <sz val="24"/>
      <color theme="1"/>
      <name val="Calibri"/>
      <family val="2"/>
      <scheme val="minor"/>
    </font>
    <font>
      <sz val="24"/>
      <color theme="1"/>
      <name val="Arial"/>
      <family val="2"/>
    </font>
    <font>
      <b/>
      <sz val="16"/>
      <color theme="1"/>
      <name val="Calibri"/>
      <family val="2"/>
      <scheme val="minor"/>
    </font>
    <font>
      <b/>
      <sz val="18"/>
      <color rgb="FFFF0000"/>
      <name val="Calibri"/>
      <family val="2"/>
      <scheme val="minor"/>
    </font>
    <font>
      <sz val="26"/>
      <name val="Calibri"/>
      <family val="2"/>
      <scheme val="minor"/>
    </font>
    <font>
      <sz val="28"/>
      <color theme="0"/>
      <name val="Calibri"/>
      <family val="2"/>
      <scheme val="minor"/>
    </font>
    <font>
      <sz val="16"/>
      <name val="Calibri"/>
      <family val="2"/>
    </font>
    <font>
      <sz val="48"/>
      <name val="Calibri"/>
      <family val="2"/>
      <scheme val="minor"/>
    </font>
    <font>
      <sz val="24"/>
      <name val="Arial"/>
      <family val="2"/>
    </font>
    <font>
      <sz val="16"/>
      <color theme="1"/>
      <name val="Calibri"/>
      <family val="2"/>
    </font>
    <font>
      <sz val="48"/>
      <name val="Arial"/>
      <family val="2"/>
    </font>
    <font>
      <sz val="48"/>
      <color theme="1"/>
      <name val="Arial"/>
      <family val="2"/>
    </font>
    <font>
      <b/>
      <sz val="48"/>
      <color theme="1"/>
      <name val="Arial"/>
      <family val="2"/>
    </font>
    <font>
      <b/>
      <sz val="48"/>
      <name val="Arial"/>
      <family val="2"/>
    </font>
    <font>
      <b/>
      <sz val="48"/>
      <color rgb="FF0070C0"/>
      <name val="Arial"/>
      <family val="2"/>
    </font>
    <font>
      <b/>
      <sz val="48"/>
      <color rgb="FF00B050"/>
      <name val="Arial"/>
      <family val="2"/>
    </font>
    <font>
      <sz val="48"/>
      <color theme="0"/>
      <name val="Arial"/>
      <family val="2"/>
    </font>
    <font>
      <b/>
      <sz val="48"/>
      <color rgb="FFFF0000"/>
      <name val="Arial"/>
      <family val="2"/>
    </font>
    <font>
      <sz val="48"/>
      <color rgb="FFFF0000"/>
      <name val="Arial"/>
      <family val="2"/>
    </font>
    <font>
      <sz val="36"/>
      <name val="Calibri"/>
      <family val="2"/>
      <scheme val="minor"/>
    </font>
    <font>
      <b/>
      <sz val="40"/>
      <name val="Arial"/>
      <family val="2"/>
    </font>
    <font>
      <b/>
      <sz val="38"/>
      <name val="Arial"/>
      <family val="2"/>
    </font>
    <font>
      <sz val="38"/>
      <name val="Calibri"/>
      <family val="2"/>
      <scheme val="minor"/>
    </font>
    <font>
      <b/>
      <sz val="36"/>
      <name val="Calibri"/>
      <family val="2"/>
      <scheme val="minor"/>
    </font>
    <font>
      <sz val="32"/>
      <name val="Calibri"/>
      <family val="2"/>
      <scheme val="minor"/>
    </font>
    <font>
      <sz val="32"/>
      <name val="Arial"/>
      <family val="2"/>
    </font>
  </fonts>
  <fills count="42">
    <fill>
      <patternFill patternType="none"/>
    </fill>
    <fill>
      <patternFill patternType="gray125"/>
    </fill>
    <fill>
      <patternFill patternType="solid">
        <fgColor theme="4" tint="0.39985351115451523"/>
        <bgColor indexed="64"/>
      </patternFill>
    </fill>
    <fill>
      <patternFill patternType="solid">
        <fgColor theme="0"/>
        <bgColor indexed="64"/>
      </patternFill>
    </fill>
    <fill>
      <patternFill patternType="solid">
        <fgColor rgb="FF00FFFF"/>
        <bgColor indexed="64"/>
      </patternFill>
    </fill>
    <fill>
      <patternFill patternType="solid">
        <fgColor rgb="FFFF9999"/>
        <bgColor indexed="64"/>
      </patternFill>
    </fill>
    <fill>
      <patternFill patternType="solid">
        <fgColor rgb="FFFFCC99"/>
        <bgColor indexed="64"/>
      </patternFill>
    </fill>
    <fill>
      <patternFill patternType="solid">
        <fgColor theme="7" tint="0.59999389629810485"/>
        <bgColor indexed="64"/>
      </patternFill>
    </fill>
    <fill>
      <patternFill patternType="solid">
        <fgColor rgb="FFFFFF00"/>
        <bgColor indexed="64"/>
      </patternFill>
    </fill>
    <fill>
      <patternFill patternType="solid">
        <fgColor rgb="FFD9D9D9"/>
        <bgColor indexed="64"/>
      </patternFill>
    </fill>
    <fill>
      <patternFill patternType="solid">
        <fgColor theme="5" tint="0.59999389629810485"/>
        <bgColor indexed="64"/>
      </patternFill>
    </fill>
    <fill>
      <patternFill patternType="solid">
        <fgColor theme="0"/>
        <bgColor theme="0"/>
      </patternFill>
    </fill>
    <fill>
      <patternFill patternType="solid">
        <fgColor theme="4" tint="0.59999389629810485"/>
        <bgColor indexed="64"/>
      </patternFill>
    </fill>
    <fill>
      <patternFill patternType="solid">
        <fgColor rgb="FF89E0FF"/>
        <bgColor indexed="64"/>
      </patternFill>
    </fill>
    <fill>
      <patternFill patternType="solid">
        <fgColor rgb="FF76E3FF"/>
        <bgColor indexed="64"/>
      </patternFill>
    </fill>
    <fill>
      <patternFill patternType="solid">
        <fgColor rgb="FF33CCFF"/>
        <bgColor indexed="64"/>
      </patternFill>
    </fill>
    <fill>
      <patternFill patternType="solid">
        <fgColor rgb="FFFFE699"/>
        <bgColor indexed="64"/>
      </patternFill>
    </fill>
    <fill>
      <patternFill patternType="solid">
        <fgColor rgb="FF33CCFF"/>
        <bgColor theme="4"/>
      </patternFill>
    </fill>
    <fill>
      <patternFill patternType="solid">
        <fgColor theme="0"/>
        <bgColor theme="4" tint="0.79985961485641044"/>
      </patternFill>
    </fill>
    <fill>
      <patternFill patternType="solid">
        <fgColor rgb="FFCCCC00"/>
        <bgColor indexed="64"/>
      </patternFill>
    </fill>
    <fill>
      <patternFill patternType="solid">
        <fgColor rgb="FFFFEB9C"/>
        <bgColor indexed="64"/>
      </patternFill>
    </fill>
    <fill>
      <patternFill patternType="solid">
        <fgColor indexed="44"/>
        <bgColor indexed="64"/>
      </patternFill>
    </fill>
    <fill>
      <patternFill patternType="solid">
        <fgColor indexed="29"/>
        <bgColor indexed="64"/>
      </patternFill>
    </fill>
    <fill>
      <patternFill patternType="solid">
        <fgColor indexed="26"/>
        <bgColor indexed="64"/>
      </patternFill>
    </fill>
    <fill>
      <patternFill patternType="solid">
        <fgColor indexed="22"/>
        <bgColor indexed="64"/>
      </patternFill>
    </fill>
    <fill>
      <patternFill patternType="solid">
        <fgColor indexed="27"/>
        <bgColor indexed="64"/>
      </patternFill>
    </fill>
    <fill>
      <patternFill patternType="solid">
        <fgColor indexed="43"/>
        <bgColor indexed="64"/>
      </patternFill>
    </fill>
    <fill>
      <patternFill patternType="solid">
        <fgColor indexed="45"/>
        <bgColor indexed="64"/>
      </patternFill>
    </fill>
    <fill>
      <patternFill patternType="solid">
        <fgColor indexed="53"/>
        <bgColor indexed="64"/>
      </patternFill>
    </fill>
    <fill>
      <patternFill patternType="solid">
        <fgColor theme="5" tint="0.39985351115451523"/>
        <bgColor indexed="64"/>
      </patternFill>
    </fill>
    <fill>
      <patternFill patternType="solid">
        <fgColor indexed="51"/>
        <bgColor indexed="64"/>
      </patternFill>
    </fill>
    <fill>
      <patternFill patternType="solid">
        <fgColor theme="6" tint="0.39985351115451523"/>
        <bgColor indexed="64"/>
      </patternFill>
    </fill>
    <fill>
      <patternFill patternType="solid">
        <fgColor theme="7" tint="0.39985351115451523"/>
        <bgColor indexed="64"/>
      </patternFill>
    </fill>
    <fill>
      <patternFill patternType="solid">
        <fgColor theme="8" tint="0.39985351115451523"/>
        <bgColor indexed="64"/>
      </patternFill>
    </fill>
    <fill>
      <patternFill patternType="solid">
        <fgColor theme="9" tint="0.39985351115451523"/>
        <bgColor indexed="64"/>
      </patternFill>
    </fill>
    <fill>
      <patternFill patternType="solid">
        <fgColor indexed="56"/>
        <bgColor indexed="64"/>
      </patternFill>
    </fill>
    <fill>
      <patternFill patternType="solid">
        <fgColor indexed="54"/>
        <bgColor indexed="64"/>
      </patternFill>
    </fill>
    <fill>
      <patternFill patternType="solid">
        <fgColor indexed="49"/>
        <bgColor indexed="64"/>
      </patternFill>
    </fill>
    <fill>
      <patternFill patternType="solid">
        <fgColor indexed="13"/>
        <bgColor indexed="64"/>
      </patternFill>
    </fill>
    <fill>
      <patternFill patternType="solid">
        <fgColor indexed="46"/>
        <bgColor indexed="64"/>
      </patternFill>
    </fill>
    <fill>
      <patternFill patternType="solid">
        <fgColor indexed="9"/>
        <bgColor indexed="64"/>
      </patternFill>
    </fill>
    <fill>
      <patternFill patternType="solid">
        <fgColor indexed="55"/>
        <bgColor indexed="64"/>
      </patternFill>
    </fill>
  </fills>
  <borders count="5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right style="medium">
        <color auto="1"/>
      </right>
      <top style="medium">
        <color auto="1"/>
      </top>
      <bottom style="medium">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right style="thin">
        <color auto="1"/>
      </right>
      <top style="thin">
        <color auto="1"/>
      </top>
      <bottom/>
      <diagonal/>
    </border>
    <border>
      <left style="thin">
        <color auto="1"/>
      </left>
      <right style="thin">
        <color auto="1"/>
      </right>
      <top/>
      <bottom/>
      <diagonal/>
    </border>
    <border>
      <left style="thin">
        <color rgb="FFD8D8D8"/>
      </left>
      <right style="thin">
        <color rgb="FFD8D8D8"/>
      </right>
      <top style="thin">
        <color rgb="FFD8D8D8"/>
      </top>
      <bottom style="thin">
        <color rgb="FFD8D8D8"/>
      </bottom>
      <diagonal/>
    </border>
    <border>
      <left style="thin">
        <color auto="1"/>
      </left>
      <right/>
      <top/>
      <bottom/>
      <diagonal/>
    </border>
    <border>
      <left/>
      <right/>
      <top style="thin">
        <color theme="4" tint="0.39985351115451523"/>
      </top>
      <bottom/>
      <diagonal/>
    </border>
    <border>
      <left/>
      <right style="thin">
        <color auto="1"/>
      </right>
      <top/>
      <bottom style="thin">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thin">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style="thin">
        <color auto="1"/>
      </right>
      <top style="thin">
        <color auto="1"/>
      </top>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bottom style="medium">
        <color auto="1"/>
      </bottom>
      <diagonal/>
    </border>
    <border>
      <left style="thin">
        <color auto="1"/>
      </left>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style="medium">
        <color auto="1"/>
      </bottom>
      <diagonal/>
    </border>
    <border>
      <left style="thin">
        <color rgb="FF000000"/>
      </left>
      <right style="thin">
        <color rgb="FF000000"/>
      </right>
      <top style="thin">
        <color auto="1"/>
      </top>
      <bottom style="thin">
        <color rgb="FF000000"/>
      </bottom>
      <diagonal/>
    </border>
    <border>
      <left style="thin">
        <color rgb="FF000000"/>
      </left>
      <right style="thin">
        <color auto="1"/>
      </right>
      <top style="thin">
        <color auto="1"/>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s>
  <cellStyleXfs count="114">
    <xf numFmtId="0" fontId="0" fillId="0" borderId="0"/>
    <xf numFmtId="43" fontId="115" fillId="0" borderId="0" applyFont="0" applyFill="0" applyBorder="0" applyAlignment="0" applyProtection="0"/>
    <xf numFmtId="9" fontId="115" fillId="0" borderId="0" applyFont="0" applyFill="0" applyBorder="0" applyAlignment="0" applyProtection="0"/>
    <xf numFmtId="0" fontId="87" fillId="21" borderId="0" applyNumberFormat="0" applyBorder="0" applyAlignment="0" applyProtection="0"/>
    <xf numFmtId="0" fontId="87" fillId="22" borderId="0" applyNumberFormat="0" applyBorder="0" applyAlignment="0" applyProtection="0"/>
    <xf numFmtId="0" fontId="87" fillId="23" borderId="0" applyNumberFormat="0" applyBorder="0" applyAlignment="0" applyProtection="0"/>
    <xf numFmtId="0" fontId="87" fillId="24" borderId="0" applyNumberFormat="0" applyBorder="0" applyAlignment="0" applyProtection="0"/>
    <xf numFmtId="0" fontId="87" fillId="25" borderId="0" applyNumberFormat="0" applyBorder="0" applyAlignment="0" applyProtection="0"/>
    <xf numFmtId="0" fontId="87" fillId="23" borderId="0" applyNumberFormat="0" applyBorder="0" applyAlignment="0" applyProtection="0"/>
    <xf numFmtId="0" fontId="87" fillId="25" borderId="0" applyNumberFormat="0" applyBorder="0" applyAlignment="0" applyProtection="0"/>
    <xf numFmtId="0" fontId="87" fillId="22" borderId="0" applyNumberFormat="0" applyBorder="0" applyAlignment="0" applyProtection="0"/>
    <xf numFmtId="0" fontId="87" fillId="26" borderId="0" applyNumberFormat="0" applyBorder="0" applyAlignment="0" applyProtection="0"/>
    <xf numFmtId="0" fontId="87" fillId="27" borderId="0" applyNumberFormat="0" applyBorder="0" applyAlignment="0" applyProtection="0"/>
    <xf numFmtId="0" fontId="87" fillId="25" borderId="0" applyNumberFormat="0" applyBorder="0" applyAlignment="0" applyProtection="0"/>
    <xf numFmtId="0" fontId="87" fillId="23" borderId="0" applyNumberFormat="0" applyBorder="0" applyAlignment="0" applyProtection="0"/>
    <xf numFmtId="0" fontId="88" fillId="25" borderId="0" applyNumberFormat="0" applyBorder="0" applyAlignment="0" applyProtection="0"/>
    <xf numFmtId="0" fontId="89" fillId="2" borderId="0" applyNumberFormat="0" applyBorder="0" applyAlignment="0" applyProtection="0"/>
    <xf numFmtId="0" fontId="88" fillId="28" borderId="0" applyNumberFormat="0" applyBorder="0" applyAlignment="0" applyProtection="0"/>
    <xf numFmtId="0" fontId="89" fillId="29" borderId="0" applyNumberFormat="0" applyBorder="0" applyAlignment="0" applyProtection="0"/>
    <xf numFmtId="0" fontId="88" fillId="30" borderId="0" applyNumberFormat="0" applyBorder="0" applyAlignment="0" applyProtection="0"/>
    <xf numFmtId="0" fontId="89" fillId="31" borderId="0" applyNumberFormat="0" applyBorder="0" applyAlignment="0" applyProtection="0"/>
    <xf numFmtId="0" fontId="88" fillId="27" borderId="0" applyNumberFormat="0" applyBorder="0" applyAlignment="0" applyProtection="0"/>
    <xf numFmtId="0" fontId="89" fillId="32" borderId="0" applyNumberFormat="0" applyBorder="0" applyAlignment="0" applyProtection="0"/>
    <xf numFmtId="0" fontId="88" fillId="25" borderId="0" applyNumberFormat="0" applyBorder="0" applyAlignment="0" applyProtection="0"/>
    <xf numFmtId="0" fontId="89" fillId="33" borderId="0" applyNumberFormat="0" applyBorder="0" applyAlignment="0" applyProtection="0"/>
    <xf numFmtId="0" fontId="88" fillId="22" borderId="0" applyNumberFormat="0" applyBorder="0" applyAlignment="0" applyProtection="0"/>
    <xf numFmtId="0" fontId="89" fillId="34" borderId="0" applyNumberFormat="0" applyBorder="0" applyAlignment="0" applyProtection="0"/>
    <xf numFmtId="0" fontId="88" fillId="35" borderId="0" applyNumberFormat="0" applyBorder="0" applyAlignment="0" applyProtection="0"/>
    <xf numFmtId="0" fontId="88" fillId="28" borderId="0" applyNumberFormat="0" applyBorder="0" applyAlignment="0" applyProtection="0"/>
    <xf numFmtId="0" fontId="88" fillId="30" borderId="0" applyNumberFormat="0" applyBorder="0" applyAlignment="0" applyProtection="0"/>
    <xf numFmtId="0" fontId="88" fillId="36" borderId="0" applyNumberFormat="0" applyBorder="0" applyAlignment="0" applyProtection="0"/>
    <xf numFmtId="0" fontId="88" fillId="37" borderId="0" applyNumberFormat="0" applyBorder="0" applyAlignment="0" applyProtection="0"/>
    <xf numFmtId="0" fontId="88" fillId="38" borderId="0" applyNumberFormat="0" applyBorder="0" applyAlignment="0" applyProtection="0"/>
    <xf numFmtId="0" fontId="90" fillId="39" borderId="0" applyNumberFormat="0" applyBorder="0" applyAlignment="0" applyProtection="0"/>
    <xf numFmtId="0" fontId="91" fillId="40" borderId="42" applyNumberFormat="0" applyAlignment="0" applyProtection="0"/>
    <xf numFmtId="0" fontId="92" fillId="41" borderId="43" applyNumberFormat="0" applyAlignment="0" applyProtection="0"/>
    <xf numFmtId="41" fontId="115" fillId="0" borderId="0" applyFont="0" applyFill="0" applyBorder="0" applyAlignment="0" applyProtection="0"/>
    <xf numFmtId="43" fontId="115" fillId="0" borderId="0" applyFont="0" applyFill="0" applyBorder="0" applyAlignment="0" applyProtection="0"/>
    <xf numFmtId="43" fontId="115" fillId="0" borderId="0" applyFont="0" applyFill="0" applyBorder="0" applyAlignment="0" applyProtection="0"/>
    <xf numFmtId="43" fontId="4" fillId="0" borderId="0" applyFont="0" applyFill="0" applyBorder="0" applyAlignment="0" applyProtection="0"/>
    <xf numFmtId="43" fontId="11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93" fillId="0" borderId="0" applyNumberFormat="0" applyFill="0" applyBorder="0" applyAlignment="0" applyProtection="0"/>
    <xf numFmtId="0" fontId="94" fillId="25" borderId="0" applyNumberFormat="0" applyBorder="0" applyAlignment="0" applyProtection="0"/>
    <xf numFmtId="0" fontId="95" fillId="0" borderId="44" applyNumberFormat="0" applyFill="0" applyAlignment="0" applyProtection="0"/>
    <xf numFmtId="0" fontId="96" fillId="0" borderId="45" applyNumberFormat="0" applyFill="0" applyAlignment="0" applyProtection="0"/>
    <xf numFmtId="0" fontId="97" fillId="0" borderId="46" applyNumberFormat="0" applyFill="0" applyAlignment="0" applyProtection="0"/>
    <xf numFmtId="0" fontId="97" fillId="0" borderId="0" applyNumberFormat="0" applyFill="0" applyBorder="0" applyAlignment="0" applyProtection="0"/>
    <xf numFmtId="0" fontId="98" fillId="26" borderId="42" applyNumberFormat="0" applyAlignment="0" applyProtection="0"/>
    <xf numFmtId="0" fontId="99" fillId="0" borderId="47" applyNumberFormat="0" applyFill="0" applyAlignment="0" applyProtection="0"/>
    <xf numFmtId="0" fontId="100" fillId="26" borderId="0" applyNumberFormat="0" applyBorder="0" applyAlignment="0" applyProtection="0"/>
    <xf numFmtId="0" fontId="101" fillId="20" borderId="0" applyNumberFormat="0" applyBorder="0" applyAlignment="0" applyProtection="0"/>
    <xf numFmtId="0" fontId="4" fillId="0" borderId="0"/>
    <xf numFmtId="0" fontId="4" fillId="0" borderId="0"/>
    <xf numFmtId="0" fontId="87" fillId="0" borderId="0" applyFill="0" applyProtection="0"/>
    <xf numFmtId="0" fontId="87" fillId="0" borderId="0" applyFill="0" applyProtection="0"/>
    <xf numFmtId="0" fontId="115" fillId="0" borderId="0"/>
    <xf numFmtId="0" fontId="115" fillId="0" borderId="0"/>
    <xf numFmtId="0" fontId="4" fillId="0" borderId="0"/>
    <xf numFmtId="0" fontId="115" fillId="0" borderId="0"/>
    <xf numFmtId="0" fontId="115" fillId="0" borderId="0"/>
    <xf numFmtId="0" fontId="4" fillId="0" borderId="0"/>
    <xf numFmtId="0" fontId="4" fillId="0" borderId="0"/>
    <xf numFmtId="0" fontId="87" fillId="0" borderId="0" applyFill="0" applyProtection="0"/>
    <xf numFmtId="0" fontId="87" fillId="0" borderId="0" applyFill="0" applyProtection="0"/>
    <xf numFmtId="0" fontId="4" fillId="0" borderId="0"/>
    <xf numFmtId="0" fontId="102" fillId="0" borderId="0"/>
    <xf numFmtId="0" fontId="102" fillId="0" borderId="0"/>
    <xf numFmtId="0" fontId="102" fillId="0" borderId="0"/>
    <xf numFmtId="0" fontId="103" fillId="0" borderId="0">
      <alignment vertical="top" wrapText="1"/>
    </xf>
    <xf numFmtId="0" fontId="115" fillId="0" borderId="0"/>
    <xf numFmtId="0" fontId="104" fillId="0" borderId="0"/>
    <xf numFmtId="0" fontId="11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5" fillId="0" borderId="0"/>
    <xf numFmtId="0" fontId="87" fillId="0" borderId="0" applyFill="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03" fillId="0" borderId="0">
      <alignment vertical="top" wrapText="1"/>
    </xf>
    <xf numFmtId="0" fontId="87" fillId="0" borderId="0" applyFill="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7" fillId="0" borderId="0" applyFill="0" applyProtection="0"/>
    <xf numFmtId="0" fontId="4" fillId="0" borderId="0"/>
    <xf numFmtId="0" fontId="4" fillId="0" borderId="0"/>
    <xf numFmtId="0" fontId="4" fillId="0" borderId="0"/>
    <xf numFmtId="0" fontId="4" fillId="0" borderId="0"/>
    <xf numFmtId="0" fontId="102" fillId="23" borderId="48" applyNumberFormat="0" applyFont="0" applyAlignment="0" applyProtection="0"/>
    <xf numFmtId="0" fontId="106" fillId="40" borderId="49" applyNumberFormat="0" applyAlignment="0" applyProtection="0"/>
    <xf numFmtId="0" fontId="107" fillId="0" borderId="0" applyNumberFormat="0" applyFill="0" applyBorder="0" applyAlignment="0" applyProtection="0"/>
    <xf numFmtId="0" fontId="108" fillId="0" borderId="50" applyNumberFormat="0" applyFill="0" applyAlignment="0" applyProtection="0"/>
    <xf numFmtId="0" fontId="109" fillId="0" borderId="0" applyNumberFormat="0" applyFill="0" applyBorder="0" applyAlignment="0" applyProtection="0"/>
  </cellStyleXfs>
  <cellXfs count="863">
    <xf numFmtId="0" fontId="0" fillId="0" borderId="0" xfId="0"/>
    <xf numFmtId="0" fontId="2" fillId="2" borderId="0" xfId="66" applyFont="1" applyFill="1" applyAlignment="1">
      <alignment horizontal="center" vertical="center" wrapText="1"/>
    </xf>
    <xf numFmtId="0" fontId="3" fillId="0" borderId="0" xfId="66" applyFont="1" applyAlignment="1">
      <alignment horizontal="left" vertical="center" wrapText="1"/>
    </xf>
    <xf numFmtId="0" fontId="4" fillId="0" borderId="0" xfId="66" applyAlignment="1">
      <alignment vertical="center" wrapText="1"/>
    </xf>
    <xf numFmtId="0" fontId="5" fillId="0" borderId="0" xfId="0" applyFont="1"/>
    <xf numFmtId="0" fontId="5" fillId="0" borderId="0" xfId="0" applyFont="1" applyAlignment="1">
      <alignment horizontal="center" vertical="center"/>
    </xf>
    <xf numFmtId="10" fontId="5" fillId="0" borderId="0" xfId="0" applyNumberFormat="1" applyFont="1" applyAlignment="1">
      <alignment horizontal="center" vertical="center"/>
    </xf>
    <xf numFmtId="9" fontId="5" fillId="0" borderId="0" xfId="0" applyNumberFormat="1" applyFont="1" applyAlignment="1">
      <alignment horizontal="center" vertical="center"/>
    </xf>
    <xf numFmtId="0" fontId="6" fillId="2" borderId="1" xfId="66" applyFont="1" applyFill="1" applyBorder="1" applyAlignment="1">
      <alignment horizontal="center" vertical="center" wrapText="1"/>
    </xf>
    <xf numFmtId="49" fontId="6" fillId="2" borderId="1" xfId="66" applyNumberFormat="1" applyFont="1" applyFill="1" applyBorder="1" applyAlignment="1">
      <alignment horizontal="center" vertical="center" wrapText="1"/>
    </xf>
    <xf numFmtId="0" fontId="7" fillId="0" borderId="1" xfId="66" applyFont="1" applyBorder="1" applyAlignment="1">
      <alignment horizontal="center" vertical="center" wrapText="1"/>
    </xf>
    <xf numFmtId="0" fontId="4" fillId="3" borderId="1" xfId="0" applyFont="1" applyFill="1" applyBorder="1" applyAlignment="1">
      <alignment horizontal="left" vertical="center"/>
    </xf>
    <xf numFmtId="0" fontId="7" fillId="0" borderId="4" xfId="0" applyFont="1" applyBorder="1" applyAlignment="1">
      <alignment horizontal="left" vertical="center" wrapText="1"/>
    </xf>
    <xf numFmtId="43" fontId="4" fillId="0" borderId="1" xfId="1" applyFont="1" applyFill="1" applyBorder="1" applyAlignment="1">
      <alignment horizontal="left" vertical="center" wrapText="1"/>
    </xf>
    <xf numFmtId="0" fontId="4" fillId="0" borderId="1" xfId="66"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7" fillId="0" borderId="1" xfId="0" applyFont="1" applyBorder="1" applyAlignment="1">
      <alignment horizontal="left" vertical="center" wrapText="1"/>
    </xf>
    <xf numFmtId="43" fontId="7" fillId="0" borderId="1" xfId="1" applyFont="1" applyBorder="1" applyAlignment="1">
      <alignment horizontal="left" vertical="center" wrapText="1"/>
    </xf>
    <xf numFmtId="49" fontId="4" fillId="4" borderId="1" xfId="0" applyNumberFormat="1" applyFont="1" applyFill="1" applyBorder="1" applyAlignment="1">
      <alignment horizontal="center" vertical="center"/>
    </xf>
    <xf numFmtId="0" fontId="7" fillId="0" borderId="5" xfId="0" applyFont="1" applyBorder="1" applyAlignment="1">
      <alignment vertical="center" wrapText="1"/>
    </xf>
    <xf numFmtId="0" fontId="4" fillId="3" borderId="1" xfId="0" applyFont="1" applyFill="1" applyBorder="1" applyAlignment="1">
      <alignment horizontal="left" vertical="center" wrapText="1"/>
    </xf>
    <xf numFmtId="1" fontId="4" fillId="5" borderId="1" xfId="0" applyNumberFormat="1" applyFont="1" applyFill="1" applyBorder="1" applyAlignment="1">
      <alignment horizontal="center" vertical="center" wrapText="1"/>
    </xf>
    <xf numFmtId="0" fontId="4" fillId="0" borderId="5" xfId="0" applyFont="1" applyBorder="1" applyAlignment="1">
      <alignment horizontal="center" vertical="center" wrapText="1"/>
    </xf>
    <xf numFmtId="0" fontId="7" fillId="0" borderId="1"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 xfId="0" applyFont="1" applyBorder="1" applyAlignment="1">
      <alignment vertical="center" wrapText="1"/>
    </xf>
    <xf numFmtId="14" fontId="7" fillId="0" borderId="1" xfId="0" applyNumberFormat="1" applyFont="1" applyBorder="1" applyAlignment="1">
      <alignment vertical="center" wrapText="1"/>
    </xf>
    <xf numFmtId="20" fontId="7" fillId="6" borderId="1" xfId="0" applyNumberFormat="1" applyFont="1" applyFill="1" applyBorder="1" applyAlignment="1">
      <alignment horizontal="center" vertical="center" wrapText="1"/>
    </xf>
    <xf numFmtId="165" fontId="7" fillId="0" borderId="1" xfId="0" applyNumberFormat="1" applyFont="1" applyBorder="1" applyAlignment="1">
      <alignment horizontal="center" vertical="center" wrapText="1"/>
    </xf>
    <xf numFmtId="20" fontId="4" fillId="6"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20" fontId="7" fillId="7" borderId="1" xfId="0" applyNumberFormat="1" applyFont="1" applyFill="1" applyBorder="1" applyAlignment="1">
      <alignment horizontal="center" vertical="center" wrapText="1"/>
    </xf>
    <xf numFmtId="1" fontId="6" fillId="2" borderId="1" xfId="66" applyNumberFormat="1" applyFont="1" applyFill="1" applyBorder="1" applyAlignment="1">
      <alignment horizontal="center" vertical="center" wrapText="1"/>
    </xf>
    <xf numFmtId="0" fontId="6" fillId="2" borderId="1" xfId="66" applyFont="1" applyFill="1" applyBorder="1" applyAlignment="1">
      <alignment vertical="center" wrapText="1"/>
    </xf>
    <xf numFmtId="43" fontId="4" fillId="0" borderId="1" xfId="1" applyFont="1" applyFill="1" applyBorder="1" applyAlignment="1">
      <alignment horizontal="center" vertical="center" wrapText="1"/>
    </xf>
    <xf numFmtId="43" fontId="8" fillId="0" borderId="1" xfId="66" applyNumberFormat="1" applyFont="1" applyBorder="1" applyAlignment="1">
      <alignment horizontal="left" vertical="center" wrapText="1"/>
    </xf>
    <xf numFmtId="43" fontId="8" fillId="0" borderId="1" xfId="66" applyNumberFormat="1" applyFont="1" applyBorder="1" applyAlignment="1">
      <alignment vertical="center" wrapText="1"/>
    </xf>
    <xf numFmtId="166" fontId="6" fillId="2" borderId="1" xfId="66" applyNumberFormat="1" applyFont="1" applyFill="1" applyBorder="1" applyAlignment="1">
      <alignment horizontal="center" vertical="center" wrapText="1"/>
    </xf>
    <xf numFmtId="1" fontId="4" fillId="0" borderId="1" xfId="0" applyNumberFormat="1" applyFont="1" applyBorder="1" applyAlignment="1">
      <alignment horizontal="center" vertical="center" wrapText="1" shrinkToFit="1"/>
    </xf>
    <xf numFmtId="166" fontId="4" fillId="0" borderId="1" xfId="0" applyNumberFormat="1" applyFont="1" applyBorder="1" applyAlignment="1">
      <alignment horizontal="left" vertical="center" wrapText="1" shrinkToFit="1"/>
    </xf>
    <xf numFmtId="166" fontId="4" fillId="0" borderId="1" xfId="0" applyNumberFormat="1" applyFont="1" applyBorder="1" applyAlignment="1">
      <alignment horizontal="center" vertical="center" wrapText="1" shrinkToFit="1"/>
    </xf>
    <xf numFmtId="0" fontId="2" fillId="8" borderId="0" xfId="66" applyFont="1" applyFill="1" applyAlignment="1">
      <alignment horizontal="center" vertical="center" wrapText="1"/>
    </xf>
    <xf numFmtId="0" fontId="6" fillId="2" borderId="5" xfId="66" applyFont="1" applyFill="1" applyBorder="1" applyAlignment="1">
      <alignment horizontal="left" vertical="center" wrapText="1"/>
    </xf>
    <xf numFmtId="0" fontId="6" fillId="8" borderId="1" xfId="66" applyFont="1" applyFill="1" applyBorder="1" applyAlignment="1">
      <alignment horizontal="center" vertical="center" wrapText="1"/>
    </xf>
    <xf numFmtId="43" fontId="4" fillId="0" borderId="1" xfId="66" applyNumberFormat="1" applyBorder="1" applyAlignment="1">
      <alignment horizontal="center" vertical="center" wrapText="1"/>
    </xf>
    <xf numFmtId="0" fontId="7" fillId="0" borderId="5" xfId="66" applyFont="1" applyBorder="1" applyAlignment="1">
      <alignment horizontal="left" vertical="center" wrapText="1"/>
    </xf>
    <xf numFmtId="0" fontId="7" fillId="0" borderId="1" xfId="66" applyFont="1" applyBorder="1" applyAlignment="1">
      <alignment horizontal="left" vertical="center" wrapText="1"/>
    </xf>
    <xf numFmtId="0" fontId="4" fillId="0" borderId="5" xfId="66" applyBorder="1" applyAlignment="1">
      <alignment horizontal="left" vertical="center" wrapText="1"/>
    </xf>
    <xf numFmtId="0" fontId="4" fillId="0" borderId="1" xfId="66" applyBorder="1" applyAlignment="1">
      <alignment horizontal="left" vertical="center" wrapText="1"/>
    </xf>
    <xf numFmtId="43" fontId="5" fillId="0" borderId="0" xfId="0" applyNumberFormat="1" applyFont="1"/>
    <xf numFmtId="0" fontId="3" fillId="0" borderId="0" xfId="66" applyFont="1" applyAlignment="1">
      <alignment horizontal="center" vertical="center" wrapText="1"/>
    </xf>
    <xf numFmtId="0" fontId="4" fillId="0" borderId="0" xfId="66" applyAlignment="1">
      <alignment horizontal="center" vertical="center" wrapText="1"/>
    </xf>
    <xf numFmtId="10" fontId="2" fillId="8" borderId="0" xfId="66" applyNumberFormat="1" applyFont="1" applyFill="1" applyAlignment="1">
      <alignment horizontal="center" vertical="center" wrapText="1"/>
    </xf>
    <xf numFmtId="9" fontId="2" fillId="8" borderId="0" xfId="66" applyNumberFormat="1" applyFont="1" applyFill="1" applyAlignment="1">
      <alignment horizontal="center" vertical="center" wrapText="1"/>
    </xf>
    <xf numFmtId="10" fontId="3" fillId="0" borderId="0" xfId="66" applyNumberFormat="1" applyFont="1" applyAlignment="1">
      <alignment horizontal="center" vertical="center" wrapText="1"/>
    </xf>
    <xf numFmtId="9" fontId="3" fillId="8" borderId="0" xfId="66" applyNumberFormat="1" applyFont="1" applyFill="1" applyAlignment="1">
      <alignment horizontal="center" vertical="center" wrapText="1"/>
    </xf>
    <xf numFmtId="0" fontId="0" fillId="0" borderId="0" xfId="0" applyAlignment="1">
      <alignment horizontal="left"/>
    </xf>
    <xf numFmtId="0" fontId="9" fillId="0" borderId="9" xfId="0" applyFont="1" applyBorder="1" applyAlignment="1">
      <alignment horizontal="left"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9" fontId="9" fillId="0" borderId="12" xfId="0" applyNumberFormat="1" applyFont="1" applyBorder="1" applyAlignment="1">
      <alignment horizontal="center" vertical="center" wrapText="1"/>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0" fontId="11" fillId="0" borderId="0" xfId="66" applyFont="1" applyAlignment="1">
      <alignment horizontal="center" vertical="center" wrapText="1"/>
    </xf>
    <xf numFmtId="0" fontId="13" fillId="0" borderId="0" xfId="66"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vertical="center" wrapText="1"/>
    </xf>
    <xf numFmtId="167" fontId="14" fillId="3" borderId="0" xfId="66" applyNumberFormat="1" applyFont="1" applyFill="1" applyAlignment="1">
      <alignment horizontal="center" vertical="center" wrapText="1"/>
    </xf>
    <xf numFmtId="0" fontId="12" fillId="3" borderId="0" xfId="66" applyFont="1" applyFill="1" applyAlignment="1">
      <alignment wrapText="1"/>
    </xf>
    <xf numFmtId="167" fontId="15" fillId="3" borderId="0" xfId="66" applyNumberFormat="1" applyFont="1" applyFill="1" applyAlignment="1">
      <alignment horizontal="center" vertical="center" wrapText="1"/>
    </xf>
    <xf numFmtId="0" fontId="11" fillId="3" borderId="0" xfId="0" applyFont="1" applyFill="1" applyAlignment="1">
      <alignment vertical="center"/>
    </xf>
    <xf numFmtId="0" fontId="11" fillId="3" borderId="0" xfId="0" applyFont="1" applyFill="1" applyAlignment="1">
      <alignment horizontal="right" vertical="center"/>
    </xf>
    <xf numFmtId="0" fontId="16" fillId="3" borderId="0" xfId="0" applyFont="1" applyFill="1" applyAlignment="1">
      <alignment horizontal="center" vertical="center"/>
    </xf>
    <xf numFmtId="0" fontId="16" fillId="3" borderId="0" xfId="0" applyFont="1" applyFill="1" applyAlignment="1">
      <alignment horizontal="left" vertical="center"/>
    </xf>
    <xf numFmtId="0" fontId="12" fillId="3" borderId="0" xfId="0" applyFont="1" applyFill="1" applyAlignment="1">
      <alignment vertical="center"/>
    </xf>
    <xf numFmtId="0" fontId="15" fillId="3" borderId="15" xfId="0" applyFont="1" applyFill="1" applyBorder="1" applyAlignment="1">
      <alignment horizontal="center" vertical="center" wrapText="1"/>
    </xf>
    <xf numFmtId="4" fontId="15" fillId="3" borderId="0" xfId="1" applyNumberFormat="1" applyFont="1" applyFill="1" applyAlignment="1">
      <alignment horizontal="left" vertical="center"/>
    </xf>
    <xf numFmtId="0" fontId="11" fillId="3" borderId="0" xfId="0" applyFont="1" applyFill="1" applyAlignment="1">
      <alignment horizontal="center" vertical="center"/>
    </xf>
    <xf numFmtId="0" fontId="17" fillId="2" borderId="1" xfId="66" applyFont="1" applyFill="1" applyBorder="1" applyAlignment="1">
      <alignment horizontal="center" vertical="center"/>
    </xf>
    <xf numFmtId="0" fontId="17" fillId="2" borderId="1" xfId="66" applyFont="1" applyFill="1" applyBorder="1" applyAlignment="1">
      <alignment horizontal="center" vertical="center" wrapText="1"/>
    </xf>
    <xf numFmtId="164" fontId="17" fillId="2" borderId="1" xfId="66" applyNumberFormat="1" applyFont="1" applyFill="1" applyBorder="1" applyAlignment="1">
      <alignment horizontal="center" vertical="center" wrapText="1"/>
    </xf>
    <xf numFmtId="49" fontId="17" fillId="2" borderId="1" xfId="66" applyNumberFormat="1" applyFont="1" applyFill="1" applyBorder="1" applyAlignment="1">
      <alignment horizontal="center" vertical="center" wrapText="1"/>
    </xf>
    <xf numFmtId="0" fontId="17" fillId="0" borderId="1" xfId="66" applyFont="1" applyBorder="1" applyAlignment="1">
      <alignment horizontal="center" vertical="center" wrapText="1"/>
    </xf>
    <xf numFmtId="0" fontId="17" fillId="0" borderId="1" xfId="66" applyFont="1" applyBorder="1" applyAlignment="1">
      <alignment vertical="center" wrapText="1"/>
    </xf>
    <xf numFmtId="168" fontId="17" fillId="11" borderId="1" xfId="0" applyNumberFormat="1" applyFont="1" applyFill="1" applyBorder="1" applyAlignment="1">
      <alignment horizontal="center" vertical="center"/>
    </xf>
    <xf numFmtId="169" fontId="17" fillId="11" borderId="1" xfId="0" applyNumberFormat="1" applyFont="1" applyFill="1" applyBorder="1" applyAlignment="1">
      <alignment horizontal="center" vertical="center"/>
    </xf>
    <xf numFmtId="167" fontId="15" fillId="3" borderId="0" xfId="66" applyNumberFormat="1" applyFont="1" applyFill="1" applyAlignment="1">
      <alignment horizontal="left" vertical="center" wrapText="1"/>
    </xf>
    <xf numFmtId="0" fontId="11" fillId="3" borderId="0" xfId="0" applyFont="1" applyFill="1" applyAlignment="1">
      <alignment vertical="center" wrapText="1"/>
    </xf>
    <xf numFmtId="0" fontId="11" fillId="3" borderId="0" xfId="0" applyFont="1" applyFill="1" applyAlignment="1">
      <alignment horizontal="left" vertical="center"/>
    </xf>
    <xf numFmtId="0" fontId="11" fillId="3" borderId="0" xfId="0" applyFont="1" applyFill="1" applyAlignment="1">
      <alignment horizontal="center" vertical="center" wrapText="1"/>
    </xf>
    <xf numFmtId="0" fontId="20" fillId="3" borderId="0" xfId="0" applyFont="1" applyFill="1" applyAlignment="1">
      <alignment horizontal="left" vertical="center"/>
    </xf>
    <xf numFmtId="15" fontId="17" fillId="2" borderId="1" xfId="66" applyNumberFormat="1" applyFont="1" applyFill="1" applyBorder="1" applyAlignment="1">
      <alignment horizontal="center" vertical="center" wrapText="1"/>
    </xf>
    <xf numFmtId="169" fontId="17" fillId="11" borderId="1" xfId="0" applyNumberFormat="1" applyFont="1" applyFill="1" applyBorder="1" applyAlignment="1">
      <alignment horizontal="left" vertical="center"/>
    </xf>
    <xf numFmtId="170" fontId="17" fillId="11" borderId="1" xfId="0" applyNumberFormat="1" applyFont="1" applyFill="1" applyBorder="1" applyAlignment="1">
      <alignment horizontal="center" vertical="center"/>
    </xf>
    <xf numFmtId="4" fontId="21" fillId="3" borderId="0" xfId="0" applyNumberFormat="1" applyFont="1" applyFill="1" applyAlignment="1">
      <alignment horizontal="left" vertical="center"/>
    </xf>
    <xf numFmtId="4" fontId="22" fillId="3" borderId="0" xfId="1" applyNumberFormat="1" applyFont="1" applyFill="1" applyAlignment="1">
      <alignment vertical="center"/>
    </xf>
    <xf numFmtId="0" fontId="22" fillId="3" borderId="0" xfId="0" applyFont="1" applyFill="1" applyAlignment="1">
      <alignment vertical="center"/>
    </xf>
    <xf numFmtId="4" fontId="17" fillId="11" borderId="1" xfId="0" applyNumberFormat="1" applyFont="1" applyFill="1" applyBorder="1" applyAlignment="1">
      <alignment horizontal="center" vertical="center"/>
    </xf>
    <xf numFmtId="1" fontId="17" fillId="2" borderId="1" xfId="66" applyNumberFormat="1" applyFont="1" applyFill="1" applyBorder="1" applyAlignment="1">
      <alignment horizontal="center" vertical="center" wrapText="1"/>
    </xf>
    <xf numFmtId="0" fontId="13" fillId="0" borderId="1" xfId="66" applyFont="1" applyBorder="1" applyAlignment="1">
      <alignment horizontal="center" vertical="center" wrapText="1"/>
    </xf>
    <xf numFmtId="167" fontId="14" fillId="0" borderId="0" xfId="66" applyNumberFormat="1" applyFont="1" applyAlignment="1">
      <alignment vertical="center" wrapText="1"/>
    </xf>
    <xf numFmtId="167" fontId="14" fillId="0" borderId="0" xfId="66" applyNumberFormat="1" applyFont="1" applyAlignment="1">
      <alignment vertical="top" wrapText="1"/>
    </xf>
    <xf numFmtId="0" fontId="10" fillId="0" borderId="0" xfId="58" applyFont="1" applyAlignment="1">
      <alignment vertical="center"/>
    </xf>
    <xf numFmtId="0" fontId="13" fillId="0" borderId="0" xfId="58" applyFont="1" applyAlignment="1">
      <alignment vertical="center"/>
    </xf>
    <xf numFmtId="0" fontId="24" fillId="0" borderId="0" xfId="58" applyFont="1" applyAlignment="1">
      <alignment vertical="center"/>
    </xf>
    <xf numFmtId="0" fontId="13" fillId="0" borderId="0" xfId="58" applyFont="1"/>
    <xf numFmtId="0" fontId="13" fillId="0" borderId="0" xfId="58" applyFont="1" applyAlignment="1">
      <alignment horizontal="center" wrapText="1"/>
    </xf>
    <xf numFmtId="0" fontId="25" fillId="0" borderId="0" xfId="58" applyFont="1" applyAlignment="1">
      <alignment vertical="center"/>
    </xf>
    <xf numFmtId="0" fontId="26" fillId="0" borderId="0" xfId="58" applyFont="1" applyAlignment="1">
      <alignment vertical="center"/>
    </xf>
    <xf numFmtId="0" fontId="25" fillId="0" borderId="0" xfId="0" applyFont="1" applyAlignment="1">
      <alignment vertical="center"/>
    </xf>
    <xf numFmtId="0" fontId="26" fillId="3" borderId="0" xfId="58" applyFont="1" applyFill="1" applyAlignment="1">
      <alignment vertical="center"/>
    </xf>
    <xf numFmtId="0" fontId="115" fillId="0" borderId="0" xfId="58"/>
    <xf numFmtId="0" fontId="115" fillId="0" borderId="0" xfId="58" applyAlignment="1">
      <alignment horizontal="center"/>
    </xf>
    <xf numFmtId="172" fontId="115" fillId="0" borderId="0" xfId="58" applyNumberFormat="1" applyAlignment="1">
      <alignment horizontal="center"/>
    </xf>
    <xf numFmtId="43" fontId="0" fillId="0" borderId="0" xfId="40" applyFont="1" applyAlignment="1">
      <alignment horizontal="center"/>
    </xf>
    <xf numFmtId="167" fontId="27" fillId="3" borderId="0" xfId="66" applyNumberFormat="1" applyFont="1" applyFill="1" applyAlignment="1">
      <alignment horizontal="center" vertical="center" wrapText="1"/>
    </xf>
    <xf numFmtId="0" fontId="10" fillId="3" borderId="0" xfId="58" applyFont="1" applyFill="1" applyAlignment="1">
      <alignment vertical="center"/>
    </xf>
    <xf numFmtId="0" fontId="4" fillId="3" borderId="0" xfId="66" applyFill="1" applyAlignment="1">
      <alignment wrapText="1"/>
    </xf>
    <xf numFmtId="0" fontId="13" fillId="3" borderId="0" xfId="58" applyFont="1" applyFill="1" applyAlignment="1">
      <alignment vertical="center"/>
    </xf>
    <xf numFmtId="0" fontId="13" fillId="3" borderId="0" xfId="58" applyFont="1" applyFill="1" applyAlignment="1">
      <alignment horizontal="right" vertical="center"/>
    </xf>
    <xf numFmtId="0" fontId="13" fillId="3" borderId="0" xfId="58" applyFont="1" applyFill="1" applyAlignment="1">
      <alignment horizontal="center" vertical="center"/>
    </xf>
    <xf numFmtId="0" fontId="19" fillId="3" borderId="0" xfId="58" applyFont="1" applyFill="1" applyAlignment="1">
      <alignment horizontal="left" vertical="center"/>
    </xf>
    <xf numFmtId="0" fontId="24" fillId="3" borderId="0" xfId="58" applyFont="1" applyFill="1" applyAlignment="1">
      <alignment vertical="center"/>
    </xf>
    <xf numFmtId="0" fontId="24" fillId="3" borderId="0" xfId="58" applyFont="1" applyFill="1" applyAlignment="1">
      <alignment horizontal="center" vertical="center"/>
    </xf>
    <xf numFmtId="0" fontId="14" fillId="3" borderId="0" xfId="58" applyFont="1" applyFill="1" applyAlignment="1">
      <alignment horizontal="left" vertical="center" wrapText="1"/>
    </xf>
    <xf numFmtId="0" fontId="13" fillId="3" borderId="0" xfId="58" applyFont="1" applyFill="1"/>
    <xf numFmtId="0" fontId="13" fillId="3" borderId="0" xfId="58" applyFont="1" applyFill="1" applyAlignment="1">
      <alignment horizontal="center"/>
    </xf>
    <xf numFmtId="0" fontId="25" fillId="0" borderId="1" xfId="58" applyFont="1" applyBorder="1" applyAlignment="1">
      <alignment horizontal="center" vertical="center"/>
    </xf>
    <xf numFmtId="0" fontId="26" fillId="0" borderId="1" xfId="58" applyFont="1" applyBorder="1" applyAlignment="1">
      <alignment horizontal="center" vertical="center"/>
    </xf>
    <xf numFmtId="0" fontId="25" fillId="0" borderId="1" xfId="72" applyFont="1" applyBorder="1" applyAlignment="1">
      <alignment horizontal="left" vertical="center" wrapText="1"/>
    </xf>
    <xf numFmtId="0" fontId="25" fillId="0" borderId="1" xfId="72" applyFont="1" applyBorder="1" applyAlignment="1">
      <alignment vertical="center" wrapText="1"/>
    </xf>
    <xf numFmtId="0" fontId="26" fillId="0" borderId="1" xfId="0" applyFont="1" applyBorder="1" applyAlignment="1">
      <alignment horizontal="center" vertical="center"/>
    </xf>
    <xf numFmtId="0" fontId="25" fillId="3" borderId="1" xfId="0" applyFont="1" applyFill="1" applyBorder="1" applyAlignment="1">
      <alignment horizontal="center" vertical="center"/>
    </xf>
    <xf numFmtId="0" fontId="26" fillId="0" borderId="20" xfId="0" applyFont="1" applyBorder="1" applyAlignment="1">
      <alignment horizontal="center" vertical="center"/>
    </xf>
    <xf numFmtId="0" fontId="19" fillId="3" borderId="0" xfId="58" applyFont="1" applyFill="1" applyAlignment="1">
      <alignment horizontal="center" vertical="center"/>
    </xf>
    <xf numFmtId="4" fontId="14" fillId="3" borderId="0" xfId="40" applyNumberFormat="1" applyFont="1" applyFill="1" applyAlignment="1">
      <alignment horizontal="center" vertical="center"/>
    </xf>
    <xf numFmtId="0" fontId="28" fillId="3" borderId="0" xfId="58" applyFont="1" applyFill="1" applyAlignment="1">
      <alignment horizontal="left" vertical="center"/>
    </xf>
    <xf numFmtId="4" fontId="19" fillId="12" borderId="1" xfId="58" applyNumberFormat="1" applyFont="1" applyFill="1" applyBorder="1" applyAlignment="1">
      <alignment horizontal="center" vertical="center" wrapText="1"/>
    </xf>
    <xf numFmtId="173" fontId="25" fillId="0" borderId="1" xfId="40" applyNumberFormat="1" applyFont="1" applyBorder="1" applyAlignment="1">
      <alignment horizontal="center" vertical="center"/>
    </xf>
    <xf numFmtId="0" fontId="25" fillId="0" borderId="6" xfId="58" applyFont="1" applyBorder="1" applyAlignment="1">
      <alignment horizontal="center" vertical="center"/>
    </xf>
    <xf numFmtId="1" fontId="25" fillId="3" borderId="1" xfId="61" applyNumberFormat="1" applyFont="1" applyFill="1" applyBorder="1" applyAlignment="1">
      <alignment horizontal="center" vertical="center" wrapText="1"/>
    </xf>
    <xf numFmtId="43" fontId="25" fillId="0" borderId="1" xfId="58" applyNumberFormat="1" applyFont="1" applyBorder="1" applyAlignment="1">
      <alignment vertical="center"/>
    </xf>
    <xf numFmtId="173" fontId="25" fillId="0" borderId="1" xfId="72" applyNumberFormat="1" applyFont="1" applyBorder="1" applyAlignment="1">
      <alignment horizontal="center" vertical="center"/>
    </xf>
    <xf numFmtId="0" fontId="26" fillId="0" borderId="6" xfId="58" applyFont="1" applyBorder="1" applyAlignment="1">
      <alignment horizontal="center" vertical="center"/>
    </xf>
    <xf numFmtId="1" fontId="29" fillId="3" borderId="1" xfId="61" applyNumberFormat="1" applyFont="1" applyFill="1" applyBorder="1" applyAlignment="1">
      <alignment horizontal="center" vertical="center" wrapText="1"/>
    </xf>
    <xf numFmtId="43" fontId="26" fillId="0" borderId="1" xfId="58" applyNumberFormat="1" applyFont="1" applyBorder="1" applyAlignment="1">
      <alignment vertical="center"/>
    </xf>
    <xf numFmtId="1" fontId="25" fillId="0" borderId="1" xfId="61" applyNumberFormat="1" applyFont="1" applyBorder="1" applyAlignment="1">
      <alignment horizontal="center" vertical="center" wrapText="1"/>
    </xf>
    <xf numFmtId="173" fontId="26" fillId="0" borderId="1" xfId="1" applyNumberFormat="1" applyFont="1" applyBorder="1" applyAlignment="1">
      <alignment horizontal="center" vertical="center"/>
    </xf>
    <xf numFmtId="0" fontId="26" fillId="0" borderId="6" xfId="0" applyFont="1" applyBorder="1" applyAlignment="1">
      <alignment horizontal="center" vertical="center"/>
    </xf>
    <xf numFmtId="1" fontId="29" fillId="3" borderId="1" xfId="60" applyNumberFormat="1" applyFont="1" applyFill="1" applyBorder="1" applyAlignment="1">
      <alignment horizontal="center" vertical="center" wrapText="1"/>
    </xf>
    <xf numFmtId="43" fontId="26" fillId="0" borderId="1" xfId="0" applyNumberFormat="1" applyFont="1" applyBorder="1" applyAlignment="1">
      <alignment horizontal="center" vertical="center"/>
    </xf>
    <xf numFmtId="174" fontId="26" fillId="0" borderId="1" xfId="1" applyNumberFormat="1" applyFont="1" applyBorder="1" applyAlignment="1">
      <alignment horizontal="center" vertical="center"/>
    </xf>
    <xf numFmtId="172" fontId="14" fillId="3" borderId="0" xfId="66" applyNumberFormat="1" applyFont="1" applyFill="1" applyAlignment="1">
      <alignment horizontal="center" vertical="center" wrapText="1"/>
    </xf>
    <xf numFmtId="172" fontId="13" fillId="3" borderId="0" xfId="58" applyNumberFormat="1" applyFont="1" applyFill="1" applyAlignment="1">
      <alignment horizontal="center" vertical="center"/>
    </xf>
    <xf numFmtId="172" fontId="28" fillId="3" borderId="0" xfId="58" applyNumberFormat="1" applyFont="1" applyFill="1" applyAlignment="1">
      <alignment horizontal="center" vertical="center"/>
    </xf>
    <xf numFmtId="172" fontId="30" fillId="3" borderId="0" xfId="58" applyNumberFormat="1" applyFont="1" applyFill="1" applyAlignment="1">
      <alignment horizontal="center" vertical="center"/>
    </xf>
    <xf numFmtId="4" fontId="31" fillId="3" borderId="0" xfId="40" applyNumberFormat="1" applyFont="1" applyFill="1" applyAlignment="1">
      <alignment horizontal="center" vertical="center"/>
    </xf>
    <xf numFmtId="172" fontId="13" fillId="3" borderId="0" xfId="58" applyNumberFormat="1" applyFont="1" applyFill="1" applyAlignment="1">
      <alignment horizontal="center"/>
    </xf>
    <xf numFmtId="172" fontId="19" fillId="12" borderId="1" xfId="58" applyNumberFormat="1" applyFont="1" applyFill="1" applyBorder="1" applyAlignment="1">
      <alignment horizontal="center" vertical="center" wrapText="1"/>
    </xf>
    <xf numFmtId="0" fontId="26" fillId="0" borderId="0" xfId="58" applyFont="1" applyAlignment="1">
      <alignment horizontal="center" vertical="center"/>
    </xf>
    <xf numFmtId="43" fontId="26" fillId="0" borderId="1" xfId="0" applyNumberFormat="1" applyFont="1" applyBorder="1" applyAlignment="1">
      <alignment vertical="center"/>
    </xf>
    <xf numFmtId="4" fontId="13" fillId="3" borderId="0" xfId="58" applyNumberFormat="1" applyFont="1" applyFill="1" applyAlignment="1">
      <alignment horizontal="right" vertical="center"/>
    </xf>
    <xf numFmtId="0" fontId="31" fillId="3" borderId="0" xfId="58" applyFont="1" applyFill="1" applyAlignment="1">
      <alignment horizontal="center" vertical="center"/>
    </xf>
    <xf numFmtId="0" fontId="13" fillId="3" borderId="0" xfId="58" applyFont="1" applyFill="1" applyAlignment="1">
      <alignment horizontal="center" vertical="center" wrapText="1"/>
    </xf>
    <xf numFmtId="0" fontId="25" fillId="0" borderId="1" xfId="58" applyFont="1" applyBorder="1" applyAlignment="1">
      <alignment vertical="center"/>
    </xf>
    <xf numFmtId="0" fontId="25" fillId="0" borderId="1" xfId="0" applyFont="1" applyBorder="1" applyAlignment="1">
      <alignment vertical="center"/>
    </xf>
    <xf numFmtId="0" fontId="10" fillId="3" borderId="0" xfId="58" applyFont="1" applyFill="1" applyAlignment="1">
      <alignment horizontal="center" vertical="center"/>
    </xf>
    <xf numFmtId="0" fontId="19" fillId="12" borderId="1" xfId="58" applyFont="1" applyFill="1" applyBorder="1" applyAlignment="1">
      <alignment horizontal="center" vertical="center" wrapText="1"/>
    </xf>
    <xf numFmtId="4" fontId="25" fillId="7" borderId="1" xfId="40" applyNumberFormat="1" applyFont="1" applyFill="1" applyBorder="1" applyAlignment="1">
      <alignment horizontal="center" vertical="center"/>
    </xf>
    <xf numFmtId="4" fontId="25" fillId="7" borderId="1" xfId="1" applyNumberFormat="1" applyFont="1" applyFill="1" applyBorder="1" applyAlignment="1">
      <alignment horizontal="center" vertical="center"/>
    </xf>
    <xf numFmtId="3" fontId="25" fillId="0" borderId="1" xfId="40" applyNumberFormat="1" applyFont="1" applyBorder="1" applyAlignment="1">
      <alignment horizontal="center" vertical="center"/>
    </xf>
    <xf numFmtId="0" fontId="25" fillId="0" borderId="1" xfId="40" applyNumberFormat="1" applyFont="1" applyBorder="1" applyAlignment="1">
      <alignment horizontal="center" vertical="center"/>
    </xf>
    <xf numFmtId="43" fontId="25" fillId="0" borderId="1" xfId="40" applyFont="1" applyBorder="1" applyAlignment="1">
      <alignment horizontal="center" vertical="center"/>
    </xf>
    <xf numFmtId="0" fontId="25" fillId="0" borderId="1" xfId="40" applyNumberFormat="1" applyFont="1" applyFill="1" applyBorder="1" applyAlignment="1">
      <alignment horizontal="center" vertical="center"/>
    </xf>
    <xf numFmtId="3" fontId="25" fillId="0" borderId="1" xfId="40" applyNumberFormat="1" applyFont="1" applyFill="1" applyBorder="1" applyAlignment="1">
      <alignment horizontal="center" vertical="center"/>
    </xf>
    <xf numFmtId="43" fontId="25" fillId="0" borderId="1" xfId="40" applyFont="1" applyFill="1" applyBorder="1" applyAlignment="1">
      <alignment horizontal="center" vertical="center"/>
    </xf>
    <xf numFmtId="3" fontId="25" fillId="0" borderId="1" xfId="1" applyNumberFormat="1" applyFont="1" applyBorder="1" applyAlignment="1">
      <alignment horizontal="center" vertical="center"/>
    </xf>
    <xf numFmtId="0" fontId="25" fillId="0" borderId="1" xfId="1" applyNumberFormat="1" applyFont="1" applyBorder="1" applyAlignment="1">
      <alignment horizontal="center" vertical="center"/>
    </xf>
    <xf numFmtId="43" fontId="25" fillId="0" borderId="1" xfId="1" applyFont="1" applyBorder="1" applyAlignment="1">
      <alignment horizontal="center" vertical="center"/>
    </xf>
    <xf numFmtId="43" fontId="13" fillId="3" borderId="0" xfId="40" applyFont="1" applyFill="1" applyAlignment="1">
      <alignment horizontal="center"/>
    </xf>
    <xf numFmtId="43" fontId="19" fillId="12" borderId="1" xfId="40" applyFont="1" applyFill="1" applyBorder="1" applyAlignment="1">
      <alignment horizontal="center" vertical="center" wrapText="1"/>
    </xf>
    <xf numFmtId="43" fontId="25" fillId="7" borderId="1" xfId="40" applyFont="1" applyFill="1" applyBorder="1" applyAlignment="1">
      <alignment horizontal="center" vertical="center"/>
    </xf>
    <xf numFmtId="0" fontId="25" fillId="0" borderId="1" xfId="58" applyFont="1" applyBorder="1" applyAlignment="1">
      <alignment vertical="center" wrapText="1"/>
    </xf>
    <xf numFmtId="0" fontId="25" fillId="3" borderId="1" xfId="58" applyFont="1" applyFill="1" applyBorder="1" applyAlignment="1">
      <alignment vertical="center" wrapText="1"/>
    </xf>
    <xf numFmtId="0" fontId="25" fillId="3" borderId="1" xfId="58" applyFont="1" applyFill="1" applyBorder="1" applyAlignment="1">
      <alignment horizontal="center" vertical="center" wrapText="1"/>
    </xf>
    <xf numFmtId="43" fontId="25" fillId="7" borderId="1" xfId="1" applyFont="1" applyFill="1" applyBorder="1" applyAlignment="1">
      <alignment horizontal="center" vertical="center"/>
    </xf>
    <xf numFmtId="0" fontId="25" fillId="0" borderId="1" xfId="0" applyFont="1" applyBorder="1" applyAlignment="1">
      <alignment vertical="center" wrapText="1"/>
    </xf>
    <xf numFmtId="0" fontId="25" fillId="3" borderId="1" xfId="0" applyFont="1" applyFill="1" applyBorder="1" applyAlignment="1">
      <alignment vertical="center" wrapText="1"/>
    </xf>
    <xf numFmtId="0" fontId="25" fillId="3" borderId="1" xfId="0" applyFont="1" applyFill="1" applyBorder="1" applyAlignment="1">
      <alignment horizontal="center" vertical="center" wrapText="1"/>
    </xf>
    <xf numFmtId="43" fontId="18" fillId="7" borderId="7" xfId="40" applyFont="1" applyFill="1" applyBorder="1" applyAlignment="1">
      <alignment horizontal="center" vertical="center"/>
    </xf>
    <xf numFmtId="0" fontId="23" fillId="0" borderId="1" xfId="58" applyFont="1" applyBorder="1" applyAlignment="1">
      <alignment vertical="center" wrapText="1"/>
    </xf>
    <xf numFmtId="0" fontId="115" fillId="0" borderId="0" xfId="58" applyAlignment="1">
      <alignment horizontal="center" wrapText="1"/>
    </xf>
    <xf numFmtId="0" fontId="32" fillId="11" borderId="4" xfId="58" applyFont="1" applyFill="1" applyBorder="1" applyAlignment="1">
      <alignment horizontal="center" vertical="center"/>
    </xf>
    <xf numFmtId="0" fontId="32" fillId="0" borderId="1" xfId="58" applyFont="1" applyBorder="1" applyAlignment="1">
      <alignment horizontal="left" vertical="center" wrapText="1"/>
    </xf>
    <xf numFmtId="0" fontId="32" fillId="11" borderId="0" xfId="58" applyFont="1" applyFill="1" applyAlignment="1">
      <alignment horizontal="center" vertical="center"/>
    </xf>
    <xf numFmtId="0" fontId="32" fillId="0" borderId="0" xfId="58" applyFont="1" applyAlignment="1">
      <alignment horizontal="left" vertical="center" wrapText="1"/>
    </xf>
    <xf numFmtId="0" fontId="33" fillId="0" borderId="0" xfId="57" applyFont="1" applyAlignment="1">
      <alignment vertical="center" wrapText="1"/>
    </xf>
    <xf numFmtId="0" fontId="34" fillId="0" borderId="0" xfId="57" applyFont="1" applyAlignment="1">
      <alignment vertical="center"/>
    </xf>
    <xf numFmtId="0" fontId="35" fillId="0" borderId="0" xfId="66" applyFont="1" applyAlignment="1">
      <alignment horizontal="center" vertical="center" wrapText="1"/>
    </xf>
    <xf numFmtId="0" fontId="36" fillId="0" borderId="0" xfId="66" applyFont="1" applyAlignment="1">
      <alignment horizontal="left" vertical="center" wrapText="1"/>
    </xf>
    <xf numFmtId="0" fontId="37" fillId="0" borderId="0" xfId="66" applyFont="1" applyAlignment="1">
      <alignment horizontal="left" vertical="center" wrapText="1"/>
    </xf>
    <xf numFmtId="0" fontId="115" fillId="0" borderId="0" xfId="57"/>
    <xf numFmtId="0" fontId="38" fillId="0" borderId="0" xfId="66" applyFont="1" applyAlignment="1">
      <alignment horizontal="left" vertical="center" wrapText="1"/>
    </xf>
    <xf numFmtId="0" fontId="39" fillId="0" borderId="0" xfId="57" applyFont="1"/>
    <xf numFmtId="0" fontId="39" fillId="3" borderId="0" xfId="57" applyFont="1" applyFill="1"/>
    <xf numFmtId="0" fontId="40" fillId="0" borderId="0" xfId="57" applyFont="1"/>
    <xf numFmtId="0" fontId="37" fillId="0" borderId="1" xfId="66" applyFont="1" applyBorder="1" applyAlignment="1">
      <alignment horizontal="left" vertical="center" wrapText="1"/>
    </xf>
    <xf numFmtId="0" fontId="34" fillId="0" borderId="0" xfId="57" applyFont="1" applyAlignment="1">
      <alignment horizontal="left" vertical="center" wrapText="1"/>
    </xf>
    <xf numFmtId="0" fontId="36" fillId="8" borderId="0" xfId="66" applyFont="1" applyFill="1" applyAlignment="1">
      <alignment horizontal="left" vertical="center" wrapText="1"/>
    </xf>
    <xf numFmtId="0" fontId="23" fillId="0" borderId="0" xfId="57" applyFont="1" applyAlignment="1">
      <alignment vertical="center" wrapText="1"/>
    </xf>
    <xf numFmtId="164" fontId="34" fillId="0" borderId="0" xfId="57" applyNumberFormat="1" applyFont="1" applyAlignment="1">
      <alignment horizontal="center" vertical="center" wrapText="1"/>
    </xf>
    <xf numFmtId="0" fontId="34" fillId="0" borderId="0" xfId="57" applyFont="1" applyAlignment="1">
      <alignment vertical="center" wrapText="1"/>
    </xf>
    <xf numFmtId="0" fontId="36" fillId="0" borderId="0" xfId="57" applyFont="1" applyAlignment="1">
      <alignment horizontal="left" vertical="center" wrapText="1"/>
    </xf>
    <xf numFmtId="0" fontId="41" fillId="0" borderId="0" xfId="57" applyFont="1" applyAlignment="1">
      <alignment horizontal="left" vertical="center" wrapText="1"/>
    </xf>
    <xf numFmtId="0" fontId="41" fillId="0" borderId="0" xfId="57" applyFont="1" applyAlignment="1">
      <alignment horizontal="center" vertical="center" wrapText="1"/>
    </xf>
    <xf numFmtId="15" fontId="41" fillId="0" borderId="0" xfId="57" applyNumberFormat="1" applyFont="1" applyAlignment="1">
      <alignment horizontal="center" vertical="center" wrapText="1"/>
    </xf>
    <xf numFmtId="169" fontId="41" fillId="0" borderId="0" xfId="57" applyNumberFormat="1" applyFont="1" applyAlignment="1">
      <alignment horizontal="center" vertical="center" wrapText="1"/>
    </xf>
    <xf numFmtId="0" fontId="34" fillId="0" borderId="0" xfId="57" applyFont="1" applyAlignment="1">
      <alignment horizontal="center" vertical="center" wrapText="1"/>
    </xf>
    <xf numFmtId="167" fontId="27" fillId="3" borderId="0" xfId="66" applyNumberFormat="1" applyFont="1" applyFill="1" applyAlignment="1">
      <alignment vertical="center" wrapText="1"/>
    </xf>
    <xf numFmtId="0" fontId="23" fillId="3" borderId="0" xfId="66" applyFont="1" applyFill="1" applyAlignment="1">
      <alignment vertical="center" wrapText="1"/>
    </xf>
    <xf numFmtId="167" fontId="35" fillId="3" borderId="0" xfId="66" applyNumberFormat="1" applyFont="1" applyFill="1" applyAlignment="1">
      <alignment horizontal="left" vertical="center" wrapText="1"/>
    </xf>
    <xf numFmtId="167" fontId="35" fillId="0" borderId="0" xfId="66" applyNumberFormat="1" applyFont="1" applyAlignment="1">
      <alignment horizontal="center" vertical="center" wrapText="1"/>
    </xf>
    <xf numFmtId="0" fontId="41" fillId="3" borderId="0" xfId="57" applyFont="1" applyFill="1" applyAlignment="1">
      <alignment horizontal="right" vertical="center" wrapText="1"/>
    </xf>
    <xf numFmtId="0" fontId="43" fillId="3" borderId="0" xfId="57" applyFont="1" applyFill="1" applyAlignment="1">
      <alignment horizontal="right" vertical="center" wrapText="1"/>
    </xf>
    <xf numFmtId="0" fontId="41" fillId="3" borderId="0" xfId="57" applyFont="1" applyFill="1" applyAlignment="1">
      <alignment horizontal="left" vertical="center" wrapText="1"/>
    </xf>
    <xf numFmtId="0" fontId="42" fillId="3" borderId="0" xfId="57" applyFont="1" applyFill="1" applyAlignment="1">
      <alignment horizontal="left" vertical="center" wrapText="1"/>
    </xf>
    <xf numFmtId="0" fontId="42" fillId="0" borderId="0" xfId="57" applyFont="1" applyAlignment="1">
      <alignment horizontal="center" vertical="center" wrapText="1"/>
    </xf>
    <xf numFmtId="0" fontId="33" fillId="3" borderId="0" xfId="57" applyFont="1" applyFill="1" applyAlignment="1">
      <alignment vertical="center" wrapText="1"/>
    </xf>
    <xf numFmtId="0" fontId="36" fillId="3" borderId="0" xfId="57" applyFont="1" applyFill="1" applyAlignment="1">
      <alignment horizontal="left" vertical="center" wrapText="1"/>
    </xf>
    <xf numFmtId="0" fontId="34" fillId="3" borderId="0" xfId="57" applyFont="1" applyFill="1" applyAlignment="1">
      <alignment vertical="center"/>
    </xf>
    <xf numFmtId="0" fontId="41" fillId="3" borderId="0" xfId="57" applyFont="1" applyFill="1" applyAlignment="1">
      <alignment horizontal="center" vertical="center" wrapText="1"/>
    </xf>
    <xf numFmtId="0" fontId="34" fillId="3" borderId="0" xfId="57" applyFont="1" applyFill="1" applyAlignment="1">
      <alignment vertical="center" wrapText="1"/>
    </xf>
    <xf numFmtId="0" fontId="42" fillId="12" borderId="1" xfId="66" applyFont="1" applyFill="1" applyBorder="1" applyAlignment="1">
      <alignment horizontal="center" vertical="center" wrapText="1"/>
    </xf>
    <xf numFmtId="0" fontId="44" fillId="0" borderId="1" xfId="57" applyFont="1" applyBorder="1" applyAlignment="1">
      <alignment horizontal="center" vertical="center" wrapText="1"/>
    </xf>
    <xf numFmtId="0" fontId="44" fillId="0" borderId="1" xfId="57" applyFont="1" applyBorder="1" applyAlignment="1">
      <alignment horizontal="left" vertical="center" wrapText="1"/>
    </xf>
    <xf numFmtId="175" fontId="44" fillId="0" borderId="1" xfId="66" applyNumberFormat="1" applyFont="1" applyBorder="1" applyAlignment="1">
      <alignment horizontal="center" vertical="center" wrapText="1"/>
    </xf>
    <xf numFmtId="175" fontId="44" fillId="3" borderId="1" xfId="66" applyNumberFormat="1" applyFont="1" applyFill="1" applyBorder="1" applyAlignment="1">
      <alignment horizontal="center" vertical="center" wrapText="1"/>
    </xf>
    <xf numFmtId="175" fontId="45" fillId="0" borderId="1" xfId="66" applyNumberFormat="1" applyFont="1" applyBorder="1" applyAlignment="1">
      <alignment horizontal="center" vertical="center" wrapText="1"/>
    </xf>
    <xf numFmtId="167" fontId="35" fillId="3" borderId="0" xfId="66" applyNumberFormat="1" applyFont="1" applyFill="1" applyAlignment="1">
      <alignment horizontal="center" vertical="center" wrapText="1"/>
    </xf>
    <xf numFmtId="15" fontId="35" fillId="3" borderId="0" xfId="66" applyNumberFormat="1" applyFont="1" applyFill="1" applyAlignment="1">
      <alignment horizontal="center" vertical="center" wrapText="1"/>
    </xf>
    <xf numFmtId="169" fontId="35" fillId="3" borderId="0" xfId="66" applyNumberFormat="1" applyFont="1" applyFill="1" applyAlignment="1">
      <alignment horizontal="center" vertical="center" wrapText="1"/>
    </xf>
    <xf numFmtId="0" fontId="42" fillId="3" borderId="0" xfId="57" applyFont="1" applyFill="1" applyAlignment="1">
      <alignment horizontal="center" vertical="center" wrapText="1"/>
    </xf>
    <xf numFmtId="15" fontId="42" fillId="3" borderId="0" xfId="57" applyNumberFormat="1" applyFont="1" applyFill="1" applyAlignment="1">
      <alignment horizontal="center" vertical="center" wrapText="1"/>
    </xf>
    <xf numFmtId="169" fontId="41" fillId="3" borderId="0" xfId="57" applyNumberFormat="1" applyFont="1" applyFill="1" applyAlignment="1">
      <alignment horizontal="center" vertical="center" wrapText="1"/>
    </xf>
    <xf numFmtId="169" fontId="46" fillId="3" borderId="0" xfId="57" applyNumberFormat="1" applyFont="1" applyFill="1" applyAlignment="1">
      <alignment horizontal="center" vertical="center" wrapText="1"/>
    </xf>
    <xf numFmtId="15" fontId="41" fillId="3" borderId="0" xfId="57" applyNumberFormat="1" applyFont="1" applyFill="1" applyAlignment="1">
      <alignment horizontal="center" vertical="center" wrapText="1"/>
    </xf>
    <xf numFmtId="164" fontId="47" fillId="3" borderId="0" xfId="57" applyNumberFormat="1" applyFont="1" applyFill="1" applyAlignment="1">
      <alignment horizontal="center" vertical="center" wrapText="1"/>
    </xf>
    <xf numFmtId="0" fontId="35" fillId="3" borderId="0" xfId="66" applyFont="1" applyFill="1" applyAlignment="1">
      <alignment horizontal="center" vertical="center" wrapText="1"/>
    </xf>
    <xf numFmtId="15" fontId="47" fillId="3" borderId="0" xfId="57" applyNumberFormat="1" applyFont="1" applyFill="1" applyAlignment="1">
      <alignment horizontal="center" vertical="center" wrapText="1"/>
    </xf>
    <xf numFmtId="169" fontId="47" fillId="3" borderId="0" xfId="57" applyNumberFormat="1" applyFont="1" applyFill="1" applyAlignment="1">
      <alignment horizontal="center" vertical="center" wrapText="1"/>
    </xf>
    <xf numFmtId="0" fontId="42" fillId="13" borderId="15" xfId="66" applyFont="1" applyFill="1" applyBorder="1" applyAlignment="1">
      <alignment horizontal="center" vertical="center" wrapText="1"/>
    </xf>
    <xf numFmtId="15" fontId="42" fillId="13" borderId="15" xfId="66" applyNumberFormat="1" applyFont="1" applyFill="1" applyBorder="1" applyAlignment="1">
      <alignment horizontal="center" vertical="center" wrapText="1"/>
    </xf>
    <xf numFmtId="169" fontId="41" fillId="13" borderId="0" xfId="57" applyNumberFormat="1" applyFont="1" applyFill="1" applyAlignment="1">
      <alignment horizontal="center" vertical="center" wrapText="1"/>
    </xf>
    <xf numFmtId="167" fontId="48" fillId="3" borderId="0" xfId="66" applyNumberFormat="1" applyFont="1" applyFill="1" applyAlignment="1">
      <alignment horizontal="center" vertical="center" wrapText="1"/>
    </xf>
    <xf numFmtId="0" fontId="48" fillId="3" borderId="6" xfId="57" applyFont="1" applyFill="1" applyBorder="1" applyAlignment="1">
      <alignment horizontal="center" vertical="center" wrapText="1"/>
    </xf>
    <xf numFmtId="169" fontId="42" fillId="3" borderId="0" xfId="57" applyNumberFormat="1" applyFont="1" applyFill="1" applyAlignment="1">
      <alignment horizontal="center" vertical="center" wrapText="1"/>
    </xf>
    <xf numFmtId="0" fontId="49" fillId="3" borderId="0" xfId="57" applyFont="1" applyFill="1" applyAlignment="1">
      <alignment horizontal="left" vertical="center" wrapText="1"/>
    </xf>
    <xf numFmtId="0" fontId="48" fillId="3" borderId="0" xfId="57" applyFont="1" applyFill="1" applyAlignment="1">
      <alignment horizontal="center" vertical="center" wrapText="1"/>
    </xf>
    <xf numFmtId="43" fontId="48" fillId="3" borderId="6" xfId="38" applyFont="1" applyFill="1" applyBorder="1" applyAlignment="1">
      <alignment horizontal="center" vertical="center" wrapText="1"/>
    </xf>
    <xf numFmtId="169" fontId="50" fillId="3" borderId="0" xfId="57" applyNumberFormat="1" applyFont="1" applyFill="1" applyAlignment="1">
      <alignment horizontal="center" vertical="center" wrapText="1"/>
    </xf>
    <xf numFmtId="169" fontId="51" fillId="3" borderId="0" xfId="57" applyNumberFormat="1" applyFont="1" applyFill="1" applyAlignment="1">
      <alignment horizontal="center" vertical="center" wrapText="1"/>
    </xf>
    <xf numFmtId="0" fontId="34" fillId="3" borderId="0" xfId="57" applyFont="1" applyFill="1" applyAlignment="1">
      <alignment horizontal="center" vertical="center" wrapText="1"/>
    </xf>
    <xf numFmtId="0" fontId="33" fillId="3" borderId="0" xfId="57" applyFont="1" applyFill="1" applyAlignment="1">
      <alignment horizontal="center" vertical="center" wrapText="1"/>
    </xf>
    <xf numFmtId="0" fontId="34" fillId="3" borderId="0" xfId="57" applyFont="1" applyFill="1" applyAlignment="1">
      <alignment horizontal="center" vertical="center"/>
    </xf>
    <xf numFmtId="169" fontId="41" fillId="13" borderId="15" xfId="66" applyNumberFormat="1" applyFont="1" applyFill="1" applyBorder="1" applyAlignment="1">
      <alignment horizontal="center" vertical="center" wrapText="1"/>
    </xf>
    <xf numFmtId="0" fontId="41" fillId="13" borderId="15" xfId="66" applyFont="1" applyFill="1" applyBorder="1" applyAlignment="1">
      <alignment horizontal="center" vertical="center" wrapText="1"/>
    </xf>
    <xf numFmtId="169" fontId="44" fillId="0" borderId="1" xfId="57" applyNumberFormat="1" applyFont="1" applyBorder="1" applyAlignment="1">
      <alignment horizontal="center" vertical="center" wrapText="1"/>
    </xf>
    <xf numFmtId="0" fontId="44" fillId="0" borderId="1" xfId="66" applyFont="1" applyBorder="1" applyAlignment="1">
      <alignment horizontal="center" vertical="center" wrapText="1"/>
    </xf>
    <xf numFmtId="43" fontId="44" fillId="3" borderId="1" xfId="38" applyFont="1" applyFill="1" applyBorder="1" applyAlignment="1">
      <alignment horizontal="center" vertical="center" wrapText="1"/>
    </xf>
    <xf numFmtId="43" fontId="44" fillId="7" borderId="1" xfId="57" applyNumberFormat="1" applyFont="1" applyFill="1" applyBorder="1" applyAlignment="1">
      <alignment horizontal="center" vertical="center" wrapText="1"/>
    </xf>
    <xf numFmtId="169" fontId="45" fillId="0" borderId="1" xfId="57" applyNumberFormat="1" applyFont="1" applyBorder="1" applyAlignment="1">
      <alignment horizontal="center" vertical="center" wrapText="1"/>
    </xf>
    <xf numFmtId="0" fontId="45" fillId="0" borderId="1" xfId="66" applyFont="1" applyBorder="1" applyAlignment="1">
      <alignment horizontal="center" vertical="center" wrapText="1"/>
    </xf>
    <xf numFmtId="43" fontId="45" fillId="7" borderId="1" xfId="57" applyNumberFormat="1" applyFont="1" applyFill="1" applyBorder="1" applyAlignment="1">
      <alignment horizontal="center" vertical="center" wrapText="1"/>
    </xf>
    <xf numFmtId="167" fontId="27" fillId="3" borderId="0" xfId="66" applyNumberFormat="1" applyFont="1" applyFill="1" applyAlignment="1">
      <alignment horizontal="left" vertical="center" wrapText="1"/>
    </xf>
    <xf numFmtId="0" fontId="48" fillId="3" borderId="7" xfId="57" applyFont="1" applyFill="1" applyBorder="1" applyAlignment="1">
      <alignment horizontal="left" vertical="center" wrapText="1"/>
    </xf>
    <xf numFmtId="0" fontId="48" fillId="3" borderId="0" xfId="57" applyFont="1" applyFill="1" applyAlignment="1">
      <alignment horizontal="left" vertical="center" wrapText="1"/>
    </xf>
    <xf numFmtId="43" fontId="48" fillId="3" borderId="7" xfId="38" applyFont="1" applyFill="1" applyBorder="1" applyAlignment="1">
      <alignment horizontal="left" vertical="center" wrapText="1"/>
    </xf>
    <xf numFmtId="0" fontId="33" fillId="3" borderId="0" xfId="57" applyFont="1" applyFill="1" applyAlignment="1">
      <alignment horizontal="left" vertical="center" wrapText="1"/>
    </xf>
    <xf numFmtId="0" fontId="34" fillId="3" borderId="0" xfId="57" applyFont="1" applyFill="1" applyAlignment="1">
      <alignment horizontal="left" vertical="center" wrapText="1"/>
    </xf>
    <xf numFmtId="0" fontId="42" fillId="0" borderId="0" xfId="66" applyFont="1" applyAlignment="1">
      <alignment horizontal="center" vertical="center" wrapText="1"/>
    </xf>
    <xf numFmtId="0" fontId="41" fillId="0" borderId="0" xfId="66" applyFont="1" applyAlignment="1">
      <alignment horizontal="left" vertical="center" wrapText="1"/>
    </xf>
    <xf numFmtId="0" fontId="52" fillId="0" borderId="0" xfId="66" applyFont="1" applyAlignment="1">
      <alignment horizontal="left" vertical="center" wrapText="1"/>
    </xf>
    <xf numFmtId="0" fontId="52" fillId="3" borderId="0" xfId="66" applyFont="1" applyFill="1" applyAlignment="1">
      <alignment horizontal="left" vertical="center" wrapText="1"/>
    </xf>
    <xf numFmtId="0" fontId="53" fillId="0" borderId="0" xfId="66" applyFont="1" applyAlignment="1">
      <alignment horizontal="left" vertical="center" wrapText="1"/>
    </xf>
    <xf numFmtId="43" fontId="45" fillId="3" borderId="1" xfId="38" applyFont="1" applyFill="1" applyBorder="1" applyAlignment="1">
      <alignment horizontal="center" vertical="center" wrapText="1"/>
    </xf>
    <xf numFmtId="168" fontId="45" fillId="0" borderId="1" xfId="57" applyNumberFormat="1" applyFont="1" applyBorder="1" applyAlignment="1">
      <alignment horizontal="center" vertical="center" wrapText="1"/>
    </xf>
    <xf numFmtId="168" fontId="44" fillId="0" borderId="1" xfId="57" applyNumberFormat="1" applyFont="1" applyBorder="1" applyAlignment="1">
      <alignment horizontal="center" vertical="center" wrapText="1"/>
    </xf>
    <xf numFmtId="15" fontId="54" fillId="13" borderId="6" xfId="66" applyNumberFormat="1" applyFont="1" applyFill="1" applyBorder="1" applyAlignment="1">
      <alignment horizontal="center" vertical="center" wrapText="1"/>
    </xf>
    <xf numFmtId="0" fontId="44" fillId="3" borderId="1" xfId="57" applyFont="1" applyFill="1" applyBorder="1" applyAlignment="1">
      <alignment horizontal="center" vertical="center" wrapText="1"/>
    </xf>
    <xf numFmtId="0" fontId="44" fillId="3" borderId="1" xfId="57" applyFont="1" applyFill="1" applyBorder="1" applyAlignment="1">
      <alignment horizontal="left" vertical="center" wrapText="1"/>
    </xf>
    <xf numFmtId="0" fontId="44" fillId="3" borderId="1" xfId="57" applyFont="1" applyFill="1" applyBorder="1" applyAlignment="1">
      <alignment vertical="center" wrapText="1"/>
    </xf>
    <xf numFmtId="175" fontId="44" fillId="0" borderId="2" xfId="66" applyNumberFormat="1" applyFont="1" applyBorder="1" applyAlignment="1">
      <alignment horizontal="center" vertical="center" wrapText="1"/>
    </xf>
    <xf numFmtId="0" fontId="52" fillId="0" borderId="0" xfId="57" applyFont="1" applyAlignment="1">
      <alignment horizontal="center" vertical="center" wrapText="1"/>
    </xf>
    <xf numFmtId="0" fontId="52" fillId="0" borderId="0" xfId="57" applyFont="1" applyAlignment="1">
      <alignment horizontal="left" vertical="center" wrapText="1"/>
    </xf>
    <xf numFmtId="169" fontId="54" fillId="13" borderId="6" xfId="66" applyNumberFormat="1" applyFont="1" applyFill="1" applyBorder="1" applyAlignment="1">
      <alignment horizontal="center" vertical="center" wrapText="1"/>
    </xf>
    <xf numFmtId="170" fontId="45" fillId="0" borderId="1" xfId="57" applyNumberFormat="1" applyFont="1" applyBorder="1" applyAlignment="1">
      <alignment horizontal="center" vertical="center" wrapText="1"/>
    </xf>
    <xf numFmtId="170" fontId="44" fillId="0" borderId="1" xfId="57" applyNumberFormat="1" applyFont="1" applyBorder="1" applyAlignment="1">
      <alignment horizontal="center" vertical="center" wrapText="1"/>
    </xf>
    <xf numFmtId="0" fontId="52" fillId="13" borderId="0" xfId="57" applyFont="1" applyFill="1" applyAlignment="1">
      <alignment horizontal="center" vertical="center" wrapText="1"/>
    </xf>
    <xf numFmtId="15" fontId="52" fillId="13" borderId="0" xfId="57" applyNumberFormat="1" applyFont="1" applyFill="1" applyAlignment="1">
      <alignment horizontal="center" vertical="center" wrapText="1"/>
    </xf>
    <xf numFmtId="169" fontId="52" fillId="13" borderId="0" xfId="57" applyNumberFormat="1" applyFont="1" applyFill="1" applyAlignment="1">
      <alignment horizontal="center" vertical="center" wrapText="1"/>
    </xf>
    <xf numFmtId="0" fontId="44" fillId="3" borderId="1" xfId="57" applyFont="1" applyFill="1" applyBorder="1" applyAlignment="1">
      <alignment horizontal="center" vertical="center"/>
    </xf>
    <xf numFmtId="0" fontId="54" fillId="13" borderId="0" xfId="66" applyFont="1" applyFill="1" applyAlignment="1">
      <alignment horizontal="center" vertical="center" wrapText="1"/>
    </xf>
    <xf numFmtId="15" fontId="54" fillId="13" borderId="0" xfId="66" applyNumberFormat="1" applyFont="1" applyFill="1" applyAlignment="1">
      <alignment horizontal="center" vertical="center" wrapText="1"/>
    </xf>
    <xf numFmtId="169" fontId="54" fillId="13" borderId="0" xfId="66" applyNumberFormat="1" applyFont="1" applyFill="1" applyAlignment="1">
      <alignment horizontal="center" vertical="center" wrapText="1"/>
    </xf>
    <xf numFmtId="168" fontId="44" fillId="3" borderId="1" xfId="57" applyNumberFormat="1" applyFont="1" applyFill="1" applyBorder="1" applyAlignment="1">
      <alignment horizontal="center" vertical="center" wrapText="1"/>
    </xf>
    <xf numFmtId="0" fontId="44" fillId="3" borderId="1" xfId="66" applyFont="1" applyFill="1" applyBorder="1" applyAlignment="1">
      <alignment horizontal="center" vertical="center" wrapText="1"/>
    </xf>
    <xf numFmtId="169" fontId="52" fillId="14" borderId="0" xfId="57" applyNumberFormat="1" applyFont="1" applyFill="1" applyAlignment="1">
      <alignment horizontal="center" vertical="center" wrapText="1"/>
    </xf>
    <xf numFmtId="43" fontId="52" fillId="7" borderId="3" xfId="57" applyNumberFormat="1" applyFont="1" applyFill="1" applyBorder="1" applyAlignment="1">
      <alignment horizontal="center" vertical="center" wrapText="1"/>
    </xf>
    <xf numFmtId="0" fontId="55" fillId="3" borderId="0" xfId="57" applyFont="1" applyFill="1" applyAlignment="1">
      <alignment horizontal="center" vertical="center"/>
    </xf>
    <xf numFmtId="0" fontId="54" fillId="13" borderId="17" xfId="66" applyFont="1" applyFill="1" applyBorder="1" applyAlignment="1">
      <alignment horizontal="left" vertical="center" wrapText="1"/>
    </xf>
    <xf numFmtId="0" fontId="55" fillId="0" borderId="0" xfId="57" applyFont="1" applyAlignment="1">
      <alignment vertical="center"/>
    </xf>
    <xf numFmtId="14" fontId="56" fillId="0" borderId="0" xfId="57" applyNumberFormat="1" applyFont="1"/>
    <xf numFmtId="0" fontId="57" fillId="0" borderId="0" xfId="57" applyFont="1" applyAlignment="1">
      <alignment vertical="center" wrapText="1"/>
    </xf>
    <xf numFmtId="0" fontId="58" fillId="0" borderId="0" xfId="66" applyFont="1" applyAlignment="1">
      <alignment horizontal="left" vertical="center" wrapText="1"/>
    </xf>
    <xf numFmtId="0" fontId="40" fillId="0" borderId="0" xfId="57" applyFont="1" applyAlignment="1">
      <alignment horizontal="center" vertical="center"/>
    </xf>
    <xf numFmtId="169" fontId="35" fillId="13" borderId="0" xfId="66" applyNumberFormat="1" applyFont="1" applyFill="1" applyAlignment="1">
      <alignment horizontal="center" vertical="center" wrapText="1"/>
    </xf>
    <xf numFmtId="169" fontId="36" fillId="0" borderId="0" xfId="57" applyNumberFormat="1" applyFont="1" applyAlignment="1">
      <alignment horizontal="center" vertical="center" wrapText="1"/>
    </xf>
    <xf numFmtId="169" fontId="36" fillId="3" borderId="0" xfId="57" applyNumberFormat="1" applyFont="1" applyFill="1" applyAlignment="1">
      <alignment horizontal="center" vertical="center" wrapText="1"/>
    </xf>
    <xf numFmtId="169" fontId="35" fillId="0" borderId="0" xfId="57" applyNumberFormat="1" applyFont="1" applyAlignment="1">
      <alignment horizontal="center" vertical="center" wrapText="1"/>
    </xf>
    <xf numFmtId="0" fontId="44" fillId="3" borderId="0" xfId="0" applyFont="1" applyFill="1" applyAlignment="1">
      <alignment vertical="center"/>
    </xf>
    <xf numFmtId="0" fontId="44" fillId="0" borderId="0" xfId="0" applyFont="1" applyAlignment="1">
      <alignment horizontal="left" vertical="center"/>
    </xf>
    <xf numFmtId="0" fontId="59" fillId="2" borderId="0" xfId="66" applyFont="1" applyFill="1" applyAlignment="1">
      <alignment horizontal="center" vertical="center" wrapText="1"/>
    </xf>
    <xf numFmtId="0" fontId="60" fillId="2" borderId="0" xfId="66" applyFont="1" applyFill="1" applyAlignment="1">
      <alignment horizontal="center" vertical="center" wrapText="1"/>
    </xf>
    <xf numFmtId="0" fontId="61" fillId="0" borderId="0" xfId="66" applyFont="1" applyAlignment="1">
      <alignment horizontal="center" vertical="center" wrapText="1"/>
    </xf>
    <xf numFmtId="0" fontId="60" fillId="0" borderId="0" xfId="66" applyFont="1" applyAlignment="1">
      <alignment horizontal="center" vertical="center" wrapText="1"/>
    </xf>
    <xf numFmtId="0" fontId="62" fillId="0" borderId="0" xfId="66" applyFont="1" applyAlignment="1">
      <alignment horizontal="center" vertical="center" wrapText="1"/>
    </xf>
    <xf numFmtId="0" fontId="63" fillId="0" borderId="0" xfId="66" applyFont="1" applyAlignment="1">
      <alignment horizontal="center" vertical="center" wrapText="1"/>
    </xf>
    <xf numFmtId="0" fontId="64" fillId="0" borderId="0" xfId="66" applyFont="1" applyAlignment="1">
      <alignment horizontal="center" vertical="center" wrapText="1"/>
    </xf>
    <xf numFmtId="0" fontId="65" fillId="0" borderId="0" xfId="66" applyFont="1" applyAlignment="1">
      <alignment horizontal="center" vertical="center" wrapText="1"/>
    </xf>
    <xf numFmtId="0" fontId="44" fillId="0" borderId="0" xfId="0" applyFont="1" applyAlignment="1">
      <alignment horizontal="center" vertical="center"/>
    </xf>
    <xf numFmtId="0" fontId="44" fillId="0" borderId="0" xfId="0" applyFont="1" applyAlignment="1">
      <alignment horizontal="center" vertical="center" wrapText="1"/>
    </xf>
    <xf numFmtId="0" fontId="44" fillId="0" borderId="0" xfId="0" applyFont="1" applyAlignment="1">
      <alignment horizontal="left" vertical="center" wrapText="1"/>
    </xf>
    <xf numFmtId="0" fontId="44" fillId="0" borderId="0" xfId="0" applyFont="1" applyAlignment="1">
      <alignment vertical="center" wrapText="1"/>
    </xf>
    <xf numFmtId="176" fontId="66" fillId="0" borderId="0" xfId="0" applyNumberFormat="1" applyFont="1" applyAlignment="1">
      <alignment horizontal="center" vertical="center" wrapText="1"/>
    </xf>
    <xf numFmtId="22" fontId="66" fillId="0" borderId="0" xfId="0" applyNumberFormat="1" applyFont="1" applyAlignment="1">
      <alignment horizontal="center" vertical="center" wrapText="1"/>
    </xf>
    <xf numFmtId="170" fontId="66" fillId="0" borderId="0" xfId="0" applyNumberFormat="1" applyFont="1" applyAlignment="1">
      <alignment horizontal="center" vertical="center" wrapText="1"/>
    </xf>
    <xf numFmtId="170" fontId="44" fillId="0" borderId="0" xfId="0" applyNumberFormat="1" applyFont="1" applyAlignment="1">
      <alignment horizontal="center" vertical="center" wrapText="1"/>
    </xf>
    <xf numFmtId="0" fontId="44" fillId="0" borderId="0" xfId="0" applyFont="1" applyAlignment="1">
      <alignment horizontal="right" vertical="center"/>
    </xf>
    <xf numFmtId="164" fontId="44" fillId="0" borderId="0" xfId="0" applyNumberFormat="1" applyFont="1" applyAlignment="1">
      <alignment horizontal="center" vertical="center"/>
    </xf>
    <xf numFmtId="1" fontId="44" fillId="0" borderId="0" xfId="0" applyNumberFormat="1" applyFont="1" applyAlignment="1">
      <alignment horizontal="center" vertical="center"/>
    </xf>
    <xf numFmtId="0" fontId="66" fillId="0" borderId="0" xfId="0" applyFont="1" applyAlignment="1">
      <alignment vertical="center" wrapText="1"/>
    </xf>
    <xf numFmtId="0" fontId="44" fillId="0" borderId="0" xfId="0" applyFont="1" applyAlignment="1">
      <alignment vertical="center"/>
    </xf>
    <xf numFmtId="0" fontId="44" fillId="3" borderId="0" xfId="0" applyFont="1" applyFill="1" applyAlignment="1">
      <alignment horizontal="center" vertical="center"/>
    </xf>
    <xf numFmtId="167" fontId="59" fillId="3" borderId="0" xfId="66" applyNumberFormat="1" applyFont="1" applyFill="1" applyAlignment="1">
      <alignment horizontal="center" vertical="center" wrapText="1"/>
    </xf>
    <xf numFmtId="0" fontId="66" fillId="3" borderId="0" xfId="66" applyFont="1" applyFill="1" applyAlignment="1">
      <alignment horizontal="center" vertical="center" wrapText="1"/>
    </xf>
    <xf numFmtId="167" fontId="59" fillId="3" borderId="0" xfId="66" applyNumberFormat="1" applyFont="1" applyFill="1" applyAlignment="1">
      <alignment horizontal="left" vertical="center" wrapText="1"/>
    </xf>
    <xf numFmtId="167" fontId="59" fillId="3" borderId="0" xfId="66" applyNumberFormat="1" applyFont="1" applyFill="1" applyAlignment="1">
      <alignment vertical="center" wrapText="1"/>
    </xf>
    <xf numFmtId="0" fontId="44" fillId="3" borderId="0" xfId="0" applyFont="1" applyFill="1" applyAlignment="1">
      <alignment horizontal="center" vertical="center" wrapText="1"/>
    </xf>
    <xf numFmtId="0" fontId="44" fillId="3" borderId="0" xfId="0" applyFont="1" applyFill="1" applyAlignment="1">
      <alignment horizontal="left" vertical="center" wrapText="1"/>
    </xf>
    <xf numFmtId="0" fontId="44" fillId="3" borderId="0" xfId="0" applyFont="1" applyFill="1" applyAlignment="1">
      <alignment vertical="center" wrapText="1"/>
    </xf>
    <xf numFmtId="0" fontId="44" fillId="3" borderId="0" xfId="0" applyFont="1" applyFill="1" applyAlignment="1">
      <alignment horizontal="left" vertical="center"/>
    </xf>
    <xf numFmtId="0" fontId="68" fillId="2" borderId="1" xfId="66" applyFont="1" applyFill="1" applyBorder="1" applyAlignment="1">
      <alignment horizontal="center" vertical="center" wrapText="1"/>
    </xf>
    <xf numFmtId="0" fontId="69" fillId="15" borderId="5" xfId="66" applyFont="1" applyFill="1" applyBorder="1" applyAlignment="1">
      <alignment horizontal="left" vertical="center"/>
    </xf>
    <xf numFmtId="0" fontId="69" fillId="15" borderId="6" xfId="66" applyFont="1" applyFill="1" applyBorder="1" applyAlignment="1">
      <alignment horizontal="center" vertical="center"/>
    </xf>
    <xf numFmtId="0" fontId="69" fillId="15" borderId="6" xfId="66" applyFont="1" applyFill="1" applyBorder="1" applyAlignment="1">
      <alignment horizontal="left" vertical="center"/>
    </xf>
    <xf numFmtId="0" fontId="69" fillId="15" borderId="6" xfId="66" applyFont="1" applyFill="1" applyBorder="1" applyAlignment="1">
      <alignment vertical="center"/>
    </xf>
    <xf numFmtId="0" fontId="44" fillId="3" borderId="21" xfId="0" applyFont="1" applyFill="1" applyBorder="1" applyAlignment="1">
      <alignment horizontal="center" vertical="center" wrapText="1"/>
    </xf>
    <xf numFmtId="164" fontId="71" fillId="3" borderId="0" xfId="0" applyNumberFormat="1" applyFont="1" applyFill="1" applyAlignment="1">
      <alignment horizontal="center" vertical="center" wrapText="1"/>
    </xf>
    <xf numFmtId="0" fontId="59" fillId="3" borderId="0" xfId="66" applyFont="1" applyFill="1" applyAlignment="1">
      <alignment horizontal="center" vertical="center" wrapText="1"/>
    </xf>
    <xf numFmtId="0" fontId="59" fillId="3" borderId="0" xfId="66" applyFont="1" applyFill="1" applyAlignment="1">
      <alignment horizontal="left" vertical="center" wrapText="1"/>
    </xf>
    <xf numFmtId="0" fontId="71" fillId="3" borderId="0" xfId="0" applyFont="1" applyFill="1" applyAlignment="1">
      <alignment horizontal="center" vertical="center"/>
    </xf>
    <xf numFmtId="164" fontId="68" fillId="2" borderId="1" xfId="66" applyNumberFormat="1" applyFont="1" applyFill="1" applyBorder="1" applyAlignment="1">
      <alignment horizontal="center" vertical="center" wrapText="1"/>
    </xf>
    <xf numFmtId="0" fontId="69" fillId="15" borderId="6" xfId="66" applyFont="1" applyFill="1" applyBorder="1" applyAlignment="1">
      <alignment horizontal="center" vertical="center" wrapText="1"/>
    </xf>
    <xf numFmtId="176" fontId="59" fillId="3" borderId="0" xfId="66" applyNumberFormat="1" applyFont="1" applyFill="1" applyAlignment="1">
      <alignment horizontal="center" vertical="center" wrapText="1"/>
    </xf>
    <xf numFmtId="22" fontId="59" fillId="3" borderId="0" xfId="66" applyNumberFormat="1" applyFont="1" applyFill="1" applyAlignment="1">
      <alignment horizontal="center" vertical="center" wrapText="1"/>
    </xf>
    <xf numFmtId="170" fontId="59" fillId="3" borderId="0" xfId="66" applyNumberFormat="1" applyFont="1" applyFill="1" applyAlignment="1">
      <alignment horizontal="center" vertical="center" wrapText="1"/>
    </xf>
    <xf numFmtId="176" fontId="66" fillId="3" borderId="0" xfId="0" applyNumberFormat="1" applyFont="1" applyFill="1" applyAlignment="1">
      <alignment horizontal="center" vertical="center" wrapText="1"/>
    </xf>
    <xf numFmtId="22" fontId="66" fillId="3" borderId="0" xfId="0" applyNumberFormat="1" applyFont="1" applyFill="1" applyAlignment="1">
      <alignment horizontal="center" vertical="center" wrapText="1"/>
    </xf>
    <xf numFmtId="170" fontId="66" fillId="3" borderId="0" xfId="0" applyNumberFormat="1" applyFont="1" applyFill="1" applyAlignment="1">
      <alignment horizontal="center" vertical="center" wrapText="1"/>
    </xf>
    <xf numFmtId="170" fontId="44" fillId="3" borderId="0" xfId="0" applyNumberFormat="1" applyFont="1" applyFill="1" applyAlignment="1">
      <alignment horizontal="center" vertical="center" wrapText="1"/>
    </xf>
    <xf numFmtId="176" fontId="59" fillId="3" borderId="0" xfId="0" applyNumberFormat="1" applyFont="1" applyFill="1" applyAlignment="1">
      <alignment horizontal="center" vertical="center" wrapText="1"/>
    </xf>
    <xf numFmtId="22" fontId="59" fillId="3" borderId="0" xfId="0" applyNumberFormat="1" applyFont="1" applyFill="1" applyAlignment="1">
      <alignment horizontal="center" vertical="center" wrapText="1"/>
    </xf>
    <xf numFmtId="170" fontId="59" fillId="3" borderId="0" xfId="0" applyNumberFormat="1" applyFont="1" applyFill="1" applyAlignment="1">
      <alignment horizontal="center" vertical="center" wrapText="1"/>
    </xf>
    <xf numFmtId="176" fontId="69" fillId="15" borderId="6" xfId="66" applyNumberFormat="1" applyFont="1" applyFill="1" applyBorder="1" applyAlignment="1">
      <alignment horizontal="center" vertical="center" wrapText="1"/>
    </xf>
    <xf numFmtId="22" fontId="69" fillId="15" borderId="6" xfId="66" applyNumberFormat="1" applyFont="1" applyFill="1" applyBorder="1" applyAlignment="1">
      <alignment horizontal="center" vertical="center" wrapText="1"/>
    </xf>
    <xf numFmtId="170" fontId="69" fillId="15" borderId="6" xfId="66" applyNumberFormat="1" applyFont="1" applyFill="1" applyBorder="1" applyAlignment="1">
      <alignment horizontal="center" vertical="center" wrapText="1"/>
    </xf>
    <xf numFmtId="167" fontId="59" fillId="0" borderId="0" xfId="66" applyNumberFormat="1" applyFont="1" applyAlignment="1">
      <alignment horizontal="right" vertical="center" wrapText="1"/>
    </xf>
    <xf numFmtId="167" fontId="59" fillId="0" borderId="0" xfId="66" applyNumberFormat="1" applyFont="1" applyAlignment="1">
      <alignment horizontal="center" vertical="center" wrapText="1"/>
    </xf>
    <xf numFmtId="177" fontId="67" fillId="0" borderId="6" xfId="0" applyNumberFormat="1" applyFont="1" applyBorder="1" applyAlignment="1">
      <alignment horizontal="center" vertical="center"/>
    </xf>
    <xf numFmtId="177" fontId="67" fillId="0" borderId="0" xfId="0" applyNumberFormat="1" applyFont="1" applyAlignment="1">
      <alignment horizontal="right" vertical="center"/>
    </xf>
    <xf numFmtId="177" fontId="67" fillId="0" borderId="0" xfId="0" applyNumberFormat="1" applyFont="1" applyAlignment="1">
      <alignment horizontal="center" vertical="center"/>
    </xf>
    <xf numFmtId="178" fontId="67" fillId="0" borderId="6" xfId="0" applyNumberFormat="1" applyFont="1" applyBorder="1" applyAlignment="1">
      <alignment horizontal="center" vertical="center"/>
    </xf>
    <xf numFmtId="4" fontId="67" fillId="0" borderId="0" xfId="0" applyNumberFormat="1" applyFont="1" applyAlignment="1">
      <alignment horizontal="right" vertical="center"/>
    </xf>
    <xf numFmtId="4" fontId="67" fillId="0" borderId="0" xfId="0" applyNumberFormat="1" applyFont="1" applyAlignment="1">
      <alignment horizontal="center" vertical="center"/>
    </xf>
    <xf numFmtId="4" fontId="67" fillId="0" borderId="6" xfId="0" applyNumberFormat="1" applyFont="1" applyBorder="1" applyAlignment="1">
      <alignment horizontal="center" vertical="center"/>
    </xf>
    <xf numFmtId="1" fontId="68" fillId="2" borderId="1" xfId="66" applyNumberFormat="1" applyFont="1" applyFill="1" applyBorder="1" applyAlignment="1">
      <alignment horizontal="center" vertical="center" wrapText="1"/>
    </xf>
    <xf numFmtId="0" fontId="68" fillId="2" borderId="5" xfId="66" applyFont="1" applyFill="1" applyBorder="1" applyAlignment="1">
      <alignment horizontal="center" vertical="center" wrapText="1"/>
    </xf>
    <xf numFmtId="0" fontId="69" fillId="15" borderId="6" xfId="66" applyFont="1" applyFill="1" applyBorder="1" applyAlignment="1">
      <alignment horizontal="right" vertical="center"/>
    </xf>
    <xf numFmtId="164" fontId="59" fillId="0" borderId="0" xfId="66" applyNumberFormat="1" applyFont="1" applyAlignment="1">
      <alignment horizontal="center" vertical="center" wrapText="1"/>
    </xf>
    <xf numFmtId="1" fontId="59" fillId="0" borderId="0" xfId="66" applyNumberFormat="1" applyFont="1" applyAlignment="1">
      <alignment horizontal="center" vertical="center" wrapText="1"/>
    </xf>
    <xf numFmtId="4" fontId="74" fillId="0" borderId="0" xfId="0" applyNumberFormat="1" applyFont="1" applyAlignment="1">
      <alignment horizontal="center" vertical="center"/>
    </xf>
    <xf numFmtId="4" fontId="67" fillId="0" borderId="7" xfId="0" applyNumberFormat="1" applyFont="1" applyBorder="1" applyAlignment="1">
      <alignment horizontal="center" vertical="center"/>
    </xf>
    <xf numFmtId="164" fontId="69" fillId="15" borderId="6" xfId="66" applyNumberFormat="1" applyFont="1" applyFill="1" applyBorder="1" applyAlignment="1">
      <alignment horizontal="center" vertical="center"/>
    </xf>
    <xf numFmtId="167" fontId="59" fillId="0" borderId="0" xfId="66" applyNumberFormat="1" applyFont="1" applyAlignment="1">
      <alignment vertical="center" wrapText="1"/>
    </xf>
    <xf numFmtId="0" fontId="69" fillId="2" borderId="0" xfId="66" applyFont="1" applyFill="1" applyAlignment="1">
      <alignment horizontal="center" vertical="center" wrapText="1"/>
    </xf>
    <xf numFmtId="0" fontId="68" fillId="2" borderId="1" xfId="66" applyFont="1" applyFill="1" applyBorder="1" applyAlignment="1">
      <alignment vertical="center" wrapText="1"/>
    </xf>
    <xf numFmtId="0" fontId="69" fillId="15" borderId="7" xfId="66" applyFont="1" applyFill="1" applyBorder="1" applyAlignment="1">
      <alignment vertical="center"/>
    </xf>
    <xf numFmtId="0" fontId="69" fillId="0" borderId="0" xfId="66" applyFont="1" applyAlignment="1">
      <alignment horizontal="center" vertical="center" wrapText="1"/>
    </xf>
    <xf numFmtId="0" fontId="73" fillId="0" borderId="0" xfId="66" applyFont="1" applyAlignment="1">
      <alignment horizontal="center" vertical="center" wrapText="1"/>
    </xf>
    <xf numFmtId="0" fontId="69" fillId="15" borderId="16" xfId="66" applyFont="1" applyFill="1" applyBorder="1" applyAlignment="1">
      <alignment horizontal="left" vertical="center"/>
    </xf>
    <xf numFmtId="0" fontId="69" fillId="17" borderId="22" xfId="0" applyFont="1" applyFill="1" applyBorder="1" applyAlignment="1">
      <alignment horizontal="center" vertical="center"/>
    </xf>
    <xf numFmtId="0" fontId="69" fillId="17" borderId="22" xfId="0" applyFont="1" applyFill="1" applyBorder="1" applyAlignment="1">
      <alignment horizontal="left" vertical="center"/>
    </xf>
    <xf numFmtId="0" fontId="69" fillId="17" borderId="22" xfId="0" applyFont="1" applyFill="1" applyBorder="1" applyAlignment="1">
      <alignment vertical="center"/>
    </xf>
    <xf numFmtId="0" fontId="69" fillId="15" borderId="21" xfId="66" applyFont="1" applyFill="1" applyBorder="1" applyAlignment="1">
      <alignment horizontal="left" vertical="center"/>
    </xf>
    <xf numFmtId="0" fontId="69" fillId="15" borderId="0" xfId="66" applyFont="1" applyFill="1" applyAlignment="1">
      <alignment horizontal="center" vertical="center"/>
    </xf>
    <xf numFmtId="0" fontId="69" fillId="15" borderId="0" xfId="66" applyFont="1" applyFill="1" applyAlignment="1">
      <alignment horizontal="left" vertical="center"/>
    </xf>
    <xf numFmtId="0" fontId="69" fillId="15" borderId="0" xfId="66" applyFont="1" applyFill="1" applyAlignment="1">
      <alignment vertical="center"/>
    </xf>
    <xf numFmtId="0" fontId="68" fillId="15" borderId="0" xfId="0" applyFont="1" applyFill="1" applyAlignment="1">
      <alignment horizontal="left" vertical="center" wrapText="1"/>
    </xf>
    <xf numFmtId="0" fontId="68" fillId="15" borderId="0" xfId="0" applyFont="1" applyFill="1" applyAlignment="1">
      <alignment horizontal="center" vertical="center" wrapText="1"/>
    </xf>
    <xf numFmtId="22" fontId="69" fillId="15" borderId="0" xfId="66" applyNumberFormat="1" applyFont="1" applyFill="1" applyAlignment="1">
      <alignment horizontal="left" vertical="center"/>
    </xf>
    <xf numFmtId="170" fontId="69" fillId="15" borderId="0" xfId="66" applyNumberFormat="1" applyFont="1" applyFill="1" applyAlignment="1">
      <alignment horizontal="left" vertical="center"/>
    </xf>
    <xf numFmtId="170" fontId="68" fillId="11" borderId="0" xfId="0" applyNumberFormat="1" applyFont="1" applyFill="1" applyAlignment="1">
      <alignment horizontal="center" vertical="center" wrapText="1"/>
    </xf>
    <xf numFmtId="170" fontId="70" fillId="18" borderId="0" xfId="0" applyNumberFormat="1" applyFont="1" applyFill="1" applyAlignment="1">
      <alignment horizontal="center" vertical="center" wrapText="1"/>
    </xf>
    <xf numFmtId="170" fontId="68" fillId="3" borderId="0" xfId="0" applyNumberFormat="1" applyFont="1" applyFill="1" applyAlignment="1">
      <alignment horizontal="center" vertical="center" wrapText="1"/>
    </xf>
    <xf numFmtId="170" fontId="68" fillId="0" borderId="0" xfId="0" applyNumberFormat="1" applyFont="1" applyAlignment="1">
      <alignment horizontal="center" vertical="center" wrapText="1"/>
    </xf>
    <xf numFmtId="170" fontId="68" fillId="18" borderId="0" xfId="0" applyNumberFormat="1" applyFont="1" applyFill="1" applyAlignment="1">
      <alignment horizontal="center" vertical="center" wrapText="1"/>
    </xf>
    <xf numFmtId="43" fontId="69" fillId="7" borderId="23" xfId="66" applyNumberFormat="1" applyFont="1" applyFill="1" applyBorder="1" applyAlignment="1">
      <alignment horizontal="center" vertical="center" wrapText="1"/>
    </xf>
    <xf numFmtId="170" fontId="69" fillId="15" borderId="15" xfId="66" applyNumberFormat="1" applyFont="1" applyFill="1" applyBorder="1" applyAlignment="1">
      <alignment horizontal="center" vertical="center" wrapText="1"/>
    </xf>
    <xf numFmtId="170" fontId="69" fillId="15" borderId="18" xfId="66" applyNumberFormat="1" applyFont="1" applyFill="1" applyBorder="1" applyAlignment="1">
      <alignment horizontal="center" vertical="center" wrapText="1"/>
    </xf>
    <xf numFmtId="169" fontId="69" fillId="15" borderId="17" xfId="66" applyNumberFormat="1" applyFont="1" applyFill="1" applyBorder="1" applyAlignment="1">
      <alignment horizontal="center" vertical="center" wrapText="1"/>
    </xf>
    <xf numFmtId="170" fontId="69" fillId="15" borderId="7" xfId="66" applyNumberFormat="1" applyFont="1" applyFill="1" applyBorder="1" applyAlignment="1">
      <alignment horizontal="center" vertical="center" wrapText="1"/>
    </xf>
    <xf numFmtId="43" fontId="68" fillId="7" borderId="3" xfId="66" applyNumberFormat="1" applyFont="1" applyFill="1" applyBorder="1" applyAlignment="1">
      <alignment horizontal="center" vertical="center" wrapText="1"/>
    </xf>
    <xf numFmtId="0" fontId="68" fillId="0" borderId="3" xfId="0" applyFont="1" applyBorder="1" applyAlignment="1">
      <alignment vertical="center"/>
    </xf>
    <xf numFmtId="0" fontId="72" fillId="3" borderId="0" xfId="66" applyFont="1" applyFill="1" applyAlignment="1">
      <alignment horizontal="center" vertical="center" wrapText="1"/>
    </xf>
    <xf numFmtId="170" fontId="69" fillId="3" borderId="0" xfId="66" applyNumberFormat="1" applyFont="1" applyFill="1" applyAlignment="1">
      <alignment horizontal="center" vertical="center" wrapText="1"/>
    </xf>
    <xf numFmtId="0" fontId="75" fillId="0" borderId="0" xfId="0" applyFont="1" applyAlignment="1">
      <alignment vertical="center"/>
    </xf>
    <xf numFmtId="170" fontId="69" fillId="0" borderId="0" xfId="0" applyNumberFormat="1" applyFont="1" applyAlignment="1">
      <alignment horizontal="right" vertical="center" wrapText="1"/>
    </xf>
    <xf numFmtId="0" fontId="0" fillId="3" borderId="0" xfId="0" applyFill="1" applyAlignment="1">
      <alignment vertical="center"/>
    </xf>
    <xf numFmtId="0" fontId="10" fillId="3" borderId="0" xfId="0" applyFont="1" applyFill="1" applyAlignment="1">
      <alignment vertical="center"/>
    </xf>
    <xf numFmtId="0" fontId="6" fillId="3" borderId="0" xfId="0" applyFont="1" applyFill="1" applyAlignment="1">
      <alignment vertical="center"/>
    </xf>
    <xf numFmtId="0" fontId="76" fillId="3" borderId="0" xfId="0" applyFont="1" applyFill="1" applyAlignment="1">
      <alignment vertical="center"/>
    </xf>
    <xf numFmtId="0" fontId="77" fillId="3" borderId="0" xfId="66" applyFont="1" applyFill="1"/>
    <xf numFmtId="0" fontId="4" fillId="3" borderId="0" xfId="66" applyFill="1"/>
    <xf numFmtId="0" fontId="6" fillId="3" borderId="0" xfId="0" applyFont="1" applyFill="1" applyAlignment="1">
      <alignment horizontal="right" vertical="center"/>
    </xf>
    <xf numFmtId="0" fontId="6" fillId="3" borderId="0" xfId="0" applyFont="1" applyFill="1" applyAlignment="1">
      <alignment horizontal="right" vertical="center" wrapText="1"/>
    </xf>
    <xf numFmtId="17" fontId="2" fillId="3" borderId="0" xfId="0" applyNumberFormat="1" applyFont="1" applyFill="1" applyAlignment="1">
      <alignment horizontal="center" vertical="center"/>
    </xf>
    <xf numFmtId="0" fontId="76" fillId="3" borderId="0" xfId="0" applyFont="1" applyFill="1" applyAlignment="1">
      <alignment horizontal="right" vertical="center"/>
    </xf>
    <xf numFmtId="167" fontId="78" fillId="3" borderId="0" xfId="66" applyNumberFormat="1" applyFont="1" applyFill="1" applyAlignment="1">
      <alignment horizontal="left" vertical="center" wrapText="1"/>
    </xf>
    <xf numFmtId="3" fontId="79" fillId="3" borderId="1" xfId="66" applyNumberFormat="1" applyFont="1" applyFill="1" applyBorder="1" applyAlignment="1">
      <alignment horizontal="center" vertical="center" wrapText="1"/>
    </xf>
    <xf numFmtId="3" fontId="79" fillId="3" borderId="1" xfId="66" applyNumberFormat="1" applyFont="1" applyFill="1" applyBorder="1" applyAlignment="1">
      <alignment horizontal="center" vertical="center"/>
    </xf>
    <xf numFmtId="0" fontId="77" fillId="3" borderId="24" xfId="66" applyFont="1" applyFill="1" applyBorder="1"/>
    <xf numFmtId="0" fontId="79" fillId="3" borderId="0" xfId="66" applyFont="1" applyFill="1"/>
    <xf numFmtId="167" fontId="14" fillId="3" borderId="0" xfId="66" applyNumberFormat="1" applyFont="1" applyFill="1" applyAlignment="1">
      <alignment horizontal="right" vertical="center" wrapText="1"/>
    </xf>
    <xf numFmtId="0" fontId="2" fillId="3" borderId="21" xfId="0" applyFont="1" applyFill="1" applyBorder="1" applyAlignment="1">
      <alignment vertical="center"/>
    </xf>
    <xf numFmtId="0" fontId="6" fillId="3" borderId="0" xfId="0" applyFont="1" applyFill="1" applyAlignment="1">
      <alignment horizontal="left" vertical="center"/>
    </xf>
    <xf numFmtId="0" fontId="77" fillId="3" borderId="0" xfId="0" applyFont="1" applyFill="1" applyAlignment="1">
      <alignment horizontal="right" vertical="center"/>
    </xf>
    <xf numFmtId="17" fontId="2" fillId="3" borderId="21" xfId="0" applyNumberFormat="1" applyFont="1" applyFill="1" applyBorder="1" applyAlignment="1">
      <alignment vertical="center"/>
    </xf>
    <xf numFmtId="17" fontId="79" fillId="3" borderId="15" xfId="0" applyNumberFormat="1" applyFont="1" applyFill="1" applyBorder="1" applyAlignment="1">
      <alignment horizontal="right" vertical="center"/>
    </xf>
    <xf numFmtId="17" fontId="2" fillId="3" borderId="0" xfId="0" applyNumberFormat="1" applyFont="1" applyFill="1" applyAlignment="1">
      <alignment vertical="center"/>
    </xf>
    <xf numFmtId="0" fontId="76" fillId="3" borderId="0" xfId="0" applyFont="1" applyFill="1" applyAlignment="1">
      <alignment horizontal="left" vertical="center"/>
    </xf>
    <xf numFmtId="4" fontId="78" fillId="3" borderId="0" xfId="66" applyNumberFormat="1" applyFont="1" applyFill="1" applyAlignment="1">
      <alignment horizontal="center" vertical="center" wrapText="1"/>
    </xf>
    <xf numFmtId="4" fontId="78" fillId="3" borderId="0" xfId="66" applyNumberFormat="1" applyFont="1" applyFill="1" applyAlignment="1">
      <alignment horizontal="right" vertical="center" wrapText="1"/>
    </xf>
    <xf numFmtId="0" fontId="4" fillId="3" borderId="0" xfId="66" applyFill="1" applyAlignment="1">
      <alignment vertical="center" wrapText="1"/>
    </xf>
    <xf numFmtId="0" fontId="2" fillId="3" borderId="0" xfId="0" applyFont="1" applyFill="1" applyAlignment="1">
      <alignment vertical="center"/>
    </xf>
    <xf numFmtId="4" fontId="2" fillId="3" borderId="0" xfId="0" applyNumberFormat="1" applyFont="1" applyFill="1" applyAlignment="1">
      <alignment horizontal="center" vertical="center"/>
    </xf>
    <xf numFmtId="167" fontId="78" fillId="3" borderId="0" xfId="66" applyNumberFormat="1" applyFont="1" applyFill="1" applyAlignment="1">
      <alignment horizontal="center" vertical="center" wrapText="1"/>
    </xf>
    <xf numFmtId="167" fontId="14" fillId="3" borderId="0" xfId="66" applyNumberFormat="1" applyFont="1" applyFill="1" applyAlignment="1">
      <alignment vertical="center" wrapText="1"/>
    </xf>
    <xf numFmtId="167" fontId="14" fillId="3" borderId="0" xfId="66" applyNumberFormat="1" applyFont="1" applyFill="1" applyAlignment="1">
      <alignment vertical="top" wrapText="1"/>
    </xf>
    <xf numFmtId="17" fontId="81" fillId="3" borderId="0" xfId="0" applyNumberFormat="1" applyFont="1" applyFill="1" applyAlignment="1">
      <alignment horizontal="right" vertical="center"/>
    </xf>
    <xf numFmtId="4" fontId="2" fillId="3" borderId="0" xfId="0" applyNumberFormat="1" applyFont="1" applyFill="1" applyAlignment="1">
      <alignment horizontal="left" vertical="center"/>
    </xf>
    <xf numFmtId="4" fontId="81" fillId="3" borderId="0" xfId="0" applyNumberFormat="1" applyFont="1" applyFill="1" applyAlignment="1">
      <alignment horizontal="right" vertical="center"/>
    </xf>
    <xf numFmtId="164" fontId="2" fillId="3" borderId="0" xfId="0" applyNumberFormat="1" applyFont="1" applyFill="1" applyAlignment="1">
      <alignment vertical="center"/>
    </xf>
    <xf numFmtId="4" fontId="2" fillId="3" borderId="0" xfId="0" applyNumberFormat="1" applyFont="1" applyFill="1" applyAlignment="1">
      <alignment horizontal="right" vertical="center"/>
    </xf>
    <xf numFmtId="4" fontId="82" fillId="3" borderId="0" xfId="0" applyNumberFormat="1" applyFont="1" applyFill="1" applyAlignment="1">
      <alignment horizontal="right" vertical="center"/>
    </xf>
    <xf numFmtId="2" fontId="79" fillId="3" borderId="1" xfId="66" applyNumberFormat="1" applyFont="1" applyFill="1" applyBorder="1" applyAlignment="1">
      <alignment horizontal="center" vertical="center"/>
    </xf>
    <xf numFmtId="2" fontId="4" fillId="3" borderId="0" xfId="66" applyNumberFormat="1" applyFill="1"/>
    <xf numFmtId="0" fontId="6" fillId="3" borderId="0" xfId="0" applyFont="1" applyFill="1" applyAlignment="1">
      <alignment vertical="center" wrapText="1"/>
    </xf>
    <xf numFmtId="0" fontId="76" fillId="3" borderId="0" xfId="0" applyFont="1" applyFill="1" applyAlignment="1">
      <alignment vertical="center" wrapText="1"/>
    </xf>
    <xf numFmtId="0" fontId="4" fillId="0" borderId="0" xfId="66" applyAlignment="1">
      <alignment horizontal="center"/>
    </xf>
    <xf numFmtId="0" fontId="4" fillId="0" borderId="0" xfId="66"/>
    <xf numFmtId="164" fontId="4" fillId="0" borderId="1" xfId="66" applyNumberFormat="1" applyBorder="1" applyAlignment="1">
      <alignment horizontal="center" wrapText="1"/>
    </xf>
    <xf numFmtId="0" fontId="4" fillId="0" borderId="1" xfId="66" applyBorder="1" applyAlignment="1">
      <alignment horizontal="left" wrapText="1"/>
    </xf>
    <xf numFmtId="0" fontId="4" fillId="0" borderId="0" xfId="66" applyAlignment="1">
      <alignment horizontal="left"/>
    </xf>
    <xf numFmtId="0" fontId="83" fillId="0" borderId="0" xfId="0" applyFont="1" applyAlignment="1">
      <alignment horizontal="center" vertical="center"/>
    </xf>
    <xf numFmtId="0" fontId="84" fillId="0" borderId="0" xfId="0" applyFont="1"/>
    <xf numFmtId="0" fontId="84" fillId="0" borderId="33" xfId="0" applyFont="1" applyBorder="1" applyAlignment="1">
      <alignment horizontal="center" vertical="center"/>
    </xf>
    <xf numFmtId="0" fontId="84" fillId="0" borderId="36" xfId="0" applyFont="1" applyBorder="1" applyAlignment="1">
      <alignment horizontal="center" vertical="center"/>
    </xf>
    <xf numFmtId="0" fontId="85" fillId="19" borderId="2" xfId="0" applyFont="1" applyFill="1" applyBorder="1" applyAlignment="1">
      <alignment horizontal="center" vertical="center" wrapText="1"/>
    </xf>
    <xf numFmtId="0" fontId="84" fillId="0" borderId="39" xfId="0" applyFont="1" applyBorder="1" applyAlignment="1">
      <alignment horizontal="center" vertical="center" wrapText="1"/>
    </xf>
    <xf numFmtId="0" fontId="84" fillId="0" borderId="19" xfId="0" applyFont="1" applyBorder="1" applyAlignment="1">
      <alignment horizontal="center" vertical="center" wrapText="1"/>
    </xf>
    <xf numFmtId="0" fontId="84" fillId="0" borderId="21" xfId="0" applyFont="1" applyBorder="1" applyAlignment="1">
      <alignment horizontal="center" vertical="center" wrapText="1"/>
    </xf>
    <xf numFmtId="0" fontId="84" fillId="0" borderId="38" xfId="0" applyFont="1" applyBorder="1" applyAlignment="1">
      <alignment horizontal="center" vertical="center" wrapText="1"/>
    </xf>
    <xf numFmtId="0" fontId="84" fillId="0" borderId="16" xfId="0" applyFont="1" applyBorder="1" applyAlignment="1">
      <alignment horizontal="center" vertical="center" wrapText="1"/>
    </xf>
    <xf numFmtId="0" fontId="84" fillId="0" borderId="15" xfId="0" applyFont="1" applyBorder="1" applyAlignment="1">
      <alignment horizontal="center" vertical="center" wrapText="1"/>
    </xf>
    <xf numFmtId="0" fontId="86" fillId="0" borderId="40" xfId="0" applyFont="1" applyBorder="1" applyAlignment="1">
      <alignment horizontal="center" vertical="center" wrapText="1" readingOrder="1"/>
    </xf>
    <xf numFmtId="0" fontId="84" fillId="0" borderId="17"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41" xfId="0" applyFont="1" applyBorder="1" applyAlignment="1">
      <alignment horizontal="center" vertical="center" wrapText="1" readingOrder="1"/>
    </xf>
    <xf numFmtId="0" fontId="84" fillId="0" borderId="0" xfId="0" applyFont="1" applyAlignment="1">
      <alignment vertical="center"/>
    </xf>
    <xf numFmtId="9" fontId="84" fillId="0" borderId="0" xfId="2" applyFont="1" applyAlignment="1">
      <alignment vertical="center"/>
    </xf>
    <xf numFmtId="0" fontId="6" fillId="3" borderId="0" xfId="0" quotePrefix="1" applyFont="1" applyFill="1" applyAlignment="1">
      <alignment horizontal="right" vertical="center"/>
    </xf>
    <xf numFmtId="43" fontId="25" fillId="0" borderId="1" xfId="58" quotePrefix="1" applyNumberFormat="1" applyFont="1" applyBorder="1" applyAlignment="1">
      <alignment horizontal="center" vertical="center"/>
    </xf>
    <xf numFmtId="43" fontId="26" fillId="0" borderId="1" xfId="58" quotePrefix="1" applyNumberFormat="1" applyFont="1" applyBorder="1" applyAlignment="1">
      <alignment horizontal="center" vertical="center"/>
    </xf>
    <xf numFmtId="43" fontId="26" fillId="0" borderId="1" xfId="0" quotePrefix="1" applyNumberFormat="1" applyFont="1" applyBorder="1" applyAlignment="1">
      <alignment horizontal="center" vertical="center"/>
    </xf>
    <xf numFmtId="0" fontId="17" fillId="11" borderId="1" xfId="0" quotePrefix="1" applyFont="1" applyFill="1" applyBorder="1" applyAlignment="1">
      <alignment horizontal="center" vertical="center"/>
    </xf>
    <xf numFmtId="0" fontId="23" fillId="11" borderId="1" xfId="0" quotePrefix="1" applyFont="1" applyFill="1" applyBorder="1" applyAlignment="1">
      <alignment horizontal="center" vertical="center"/>
    </xf>
    <xf numFmtId="43" fontId="19" fillId="0" borderId="1" xfId="0" quotePrefix="1" applyNumberFormat="1" applyFont="1" applyBorder="1" applyAlignment="1">
      <alignment horizontal="right" vertical="center"/>
    </xf>
    <xf numFmtId="170" fontId="116" fillId="0" borderId="1" xfId="57" quotePrefix="1" applyNumberFormat="1" applyFont="1" applyBorder="1" applyAlignment="1">
      <alignment horizontal="center" vertical="center" wrapText="1"/>
    </xf>
    <xf numFmtId="0" fontId="116" fillId="0" borderId="1" xfId="57" applyFont="1" applyBorder="1" applyAlignment="1">
      <alignment horizontal="left" vertical="center" wrapText="1"/>
    </xf>
    <xf numFmtId="170" fontId="44" fillId="0" borderId="1" xfId="57" quotePrefix="1" applyNumberFormat="1" applyFont="1" applyBorder="1" applyAlignment="1">
      <alignment horizontal="center" vertical="center" wrapText="1"/>
    </xf>
    <xf numFmtId="0" fontId="117" fillId="3" borderId="1" xfId="57" applyFont="1" applyFill="1" applyBorder="1" applyAlignment="1">
      <alignment horizontal="left" vertical="center" wrapText="1"/>
    </xf>
    <xf numFmtId="0" fontId="118" fillId="0" borderId="0" xfId="57" applyFont="1" applyAlignment="1">
      <alignment vertical="center" wrapText="1"/>
    </xf>
    <xf numFmtId="0" fontId="44" fillId="0" borderId="51" xfId="57" applyFont="1" applyBorder="1" applyAlignment="1">
      <alignment horizontal="center" vertical="center" wrapText="1"/>
    </xf>
    <xf numFmtId="0" fontId="44" fillId="0" borderId="51" xfId="57" applyFont="1" applyBorder="1" applyAlignment="1">
      <alignment horizontal="left" vertical="center" wrapText="1"/>
    </xf>
    <xf numFmtId="175" fontId="44" fillId="0" borderId="51" xfId="66" applyNumberFormat="1" applyFont="1" applyBorder="1" applyAlignment="1">
      <alignment horizontal="center" vertical="center" wrapText="1"/>
    </xf>
    <xf numFmtId="170" fontId="44" fillId="0" borderId="51" xfId="57" applyNumberFormat="1" applyFont="1" applyBorder="1" applyAlignment="1">
      <alignment horizontal="center" vertical="center" wrapText="1"/>
    </xf>
    <xf numFmtId="168" fontId="45" fillId="0" borderId="51" xfId="57" applyNumberFormat="1" applyFont="1" applyBorder="1" applyAlignment="1">
      <alignment horizontal="center" vertical="center" wrapText="1"/>
    </xf>
    <xf numFmtId="0" fontId="44" fillId="0" borderId="51" xfId="66" applyFont="1" applyBorder="1" applyAlignment="1">
      <alignment horizontal="center" vertical="center" wrapText="1"/>
    </xf>
    <xf numFmtId="43" fontId="44" fillId="3" borderId="51" xfId="38" applyFont="1" applyFill="1" applyBorder="1" applyAlignment="1">
      <alignment horizontal="center" vertical="center" wrapText="1"/>
    </xf>
    <xf numFmtId="43" fontId="44" fillId="7" borderId="51" xfId="57" applyNumberFormat="1" applyFont="1" applyFill="1" applyBorder="1" applyAlignment="1">
      <alignment horizontal="center" vertical="center" wrapText="1"/>
    </xf>
    <xf numFmtId="0" fontId="45" fillId="3" borderId="51" xfId="57" applyFont="1" applyFill="1" applyBorder="1" applyAlignment="1">
      <alignment horizontal="left" vertical="center" wrapText="1"/>
    </xf>
    <xf numFmtId="0" fontId="121" fillId="0" borderId="0" xfId="66" applyFont="1" applyAlignment="1">
      <alignment horizontal="center" vertical="center" wrapText="1"/>
    </xf>
    <xf numFmtId="0" fontId="122" fillId="0" borderId="0" xfId="57" applyFont="1"/>
    <xf numFmtId="170" fontId="44" fillId="3" borderId="1" xfId="57" applyNumberFormat="1" applyFont="1" applyFill="1" applyBorder="1" applyAlignment="1">
      <alignment horizontal="center" vertical="center"/>
    </xf>
    <xf numFmtId="168" fontId="44" fillId="3" borderId="1" xfId="57" applyNumberFormat="1" applyFont="1" applyFill="1" applyBorder="1" applyAlignment="1">
      <alignment horizontal="center" vertical="center"/>
    </xf>
    <xf numFmtId="175" fontId="123" fillId="0" borderId="0" xfId="66" applyNumberFormat="1" applyFont="1" applyAlignment="1">
      <alignment horizontal="center" vertical="center" wrapText="1"/>
    </xf>
    <xf numFmtId="0" fontId="116" fillId="3" borderId="1" xfId="57" applyFont="1" applyFill="1" applyBorder="1" applyAlignment="1">
      <alignment horizontal="center" vertical="center" wrapText="1"/>
    </xf>
    <xf numFmtId="14" fontId="125" fillId="0" borderId="0" xfId="57" applyNumberFormat="1" applyFont="1" applyAlignment="1">
      <alignment horizontal="center" vertical="center"/>
    </xf>
    <xf numFmtId="0" fontId="123" fillId="0" borderId="0" xfId="66" applyFont="1" applyAlignment="1">
      <alignment horizontal="left" vertical="center" wrapText="1"/>
    </xf>
    <xf numFmtId="43" fontId="126" fillId="7" borderId="1" xfId="57" applyNumberFormat="1" applyFont="1" applyFill="1" applyBorder="1" applyAlignment="1">
      <alignment horizontal="center" vertical="center" wrapText="1"/>
    </xf>
    <xf numFmtId="0" fontId="119" fillId="0" borderId="0" xfId="57" applyFont="1"/>
    <xf numFmtId="169" fontId="127" fillId="11" borderId="1" xfId="0" applyNumberFormat="1" applyFont="1" applyFill="1" applyBorder="1" applyAlignment="1">
      <alignment horizontal="left" vertical="center" wrapText="1"/>
    </xf>
    <xf numFmtId="169" fontId="127" fillId="11" borderId="1" xfId="0" applyNumberFormat="1" applyFont="1" applyFill="1" applyBorder="1" applyAlignment="1">
      <alignment horizontal="center" vertical="center"/>
    </xf>
    <xf numFmtId="0" fontId="127" fillId="11" borderId="1" xfId="0" applyFont="1" applyFill="1" applyBorder="1" applyAlignment="1">
      <alignment horizontal="left" vertical="center" wrapText="1"/>
    </xf>
    <xf numFmtId="0" fontId="116" fillId="0" borderId="1" xfId="57" applyFont="1" applyBorder="1" applyAlignment="1">
      <alignment horizontal="center" vertical="center" wrapText="1"/>
    </xf>
    <xf numFmtId="175" fontId="116" fillId="0" borderId="1" xfId="66" applyNumberFormat="1" applyFont="1" applyBorder="1" applyAlignment="1">
      <alignment horizontal="center" vertical="center" wrapText="1"/>
    </xf>
    <xf numFmtId="170" fontId="116" fillId="0" borderId="1" xfId="57" applyNumberFormat="1" applyFont="1" applyBorder="1" applyAlignment="1">
      <alignment horizontal="center" vertical="center" wrapText="1"/>
    </xf>
    <xf numFmtId="169" fontId="116" fillId="0" borderId="1" xfId="57" applyNumberFormat="1" applyFont="1" applyBorder="1" applyAlignment="1">
      <alignment horizontal="center" vertical="center" wrapText="1"/>
    </xf>
    <xf numFmtId="0" fontId="116" fillId="0" borderId="1" xfId="66" applyFont="1" applyBorder="1" applyAlignment="1">
      <alignment horizontal="center" vertical="center" wrapText="1"/>
    </xf>
    <xf numFmtId="43" fontId="116" fillId="3" borderId="1" xfId="38" applyFont="1" applyFill="1" applyBorder="1" applyAlignment="1">
      <alignment horizontal="center" vertical="center" wrapText="1"/>
    </xf>
    <xf numFmtId="43" fontId="116" fillId="7" borderId="1" xfId="57" applyNumberFormat="1" applyFont="1" applyFill="1" applyBorder="1" applyAlignment="1">
      <alignment horizontal="center" vertical="center" wrapText="1"/>
    </xf>
    <xf numFmtId="0" fontId="128" fillId="0" borderId="0" xfId="57" applyFont="1"/>
    <xf numFmtId="0" fontId="117" fillId="0" borderId="1" xfId="57" applyFont="1" applyBorder="1" applyAlignment="1">
      <alignment horizontal="center" vertical="center" wrapText="1"/>
    </xf>
    <xf numFmtId="0" fontId="117" fillId="0" borderId="1" xfId="57" applyFont="1" applyBorder="1" applyAlignment="1">
      <alignment horizontal="left" vertical="center" wrapText="1"/>
    </xf>
    <xf numFmtId="175" fontId="117" fillId="3" borderId="1" xfId="66" applyNumberFormat="1" applyFont="1" applyFill="1" applyBorder="1" applyAlignment="1">
      <alignment horizontal="center" vertical="center" wrapText="1"/>
    </xf>
    <xf numFmtId="170" fontId="117" fillId="0" borderId="1" xfId="57" applyNumberFormat="1" applyFont="1" applyBorder="1" applyAlignment="1">
      <alignment horizontal="center" vertical="center" wrapText="1"/>
    </xf>
    <xf numFmtId="169" fontId="117" fillId="0" borderId="1" xfId="57" applyNumberFormat="1" applyFont="1" applyBorder="1" applyAlignment="1">
      <alignment horizontal="center" vertical="center" wrapText="1"/>
    </xf>
    <xf numFmtId="0" fontId="117" fillId="0" borderId="1" xfId="66" applyFont="1" applyBorder="1" applyAlignment="1">
      <alignment horizontal="center" vertical="center" wrapText="1"/>
    </xf>
    <xf numFmtId="43" fontId="117" fillId="3" borderId="1" xfId="38" applyFont="1" applyFill="1" applyBorder="1" applyAlignment="1">
      <alignment horizontal="center" vertical="center" wrapText="1"/>
    </xf>
    <xf numFmtId="43" fontId="117" fillId="7" borderId="1" xfId="57" applyNumberFormat="1" applyFont="1" applyFill="1" applyBorder="1" applyAlignment="1">
      <alignment horizontal="center" vertical="center" wrapText="1"/>
    </xf>
    <xf numFmtId="0" fontId="129" fillId="0" borderId="0" xfId="66" applyFont="1" applyAlignment="1">
      <alignment horizontal="left" vertical="center" wrapText="1"/>
    </xf>
    <xf numFmtId="0" fontId="130" fillId="0" borderId="0" xfId="66" applyFont="1" applyAlignment="1">
      <alignment horizontal="left" vertical="center" wrapText="1"/>
    </xf>
    <xf numFmtId="175" fontId="117" fillId="0" borderId="1" xfId="66" applyNumberFormat="1" applyFont="1" applyBorder="1" applyAlignment="1">
      <alignment horizontal="center" vertical="center" wrapText="1"/>
    </xf>
    <xf numFmtId="0" fontId="1" fillId="0" borderId="0" xfId="57" applyFont="1"/>
    <xf numFmtId="0" fontId="131" fillId="0" borderId="0" xfId="57" applyFont="1" applyAlignment="1">
      <alignment vertical="center"/>
    </xf>
    <xf numFmtId="168" fontId="117" fillId="0" borderId="1" xfId="57" applyNumberFormat="1" applyFont="1" applyBorder="1" applyAlignment="1">
      <alignment horizontal="center" vertical="center" wrapText="1"/>
    </xf>
    <xf numFmtId="168" fontId="116" fillId="0" borderId="1" xfId="57" applyNumberFormat="1" applyFont="1" applyBorder="1" applyAlignment="1">
      <alignment horizontal="center" vertical="center" wrapText="1"/>
    </xf>
    <xf numFmtId="0" fontId="132" fillId="0" borderId="0" xfId="57" applyFont="1" applyAlignment="1">
      <alignment vertical="center"/>
    </xf>
    <xf numFmtId="0" fontId="116" fillId="3" borderId="1" xfId="57" applyFont="1" applyFill="1" applyBorder="1" applyAlignment="1">
      <alignment horizontal="left" vertical="center" wrapText="1"/>
    </xf>
    <xf numFmtId="14" fontId="133" fillId="0" borderId="0" xfId="57" applyNumberFormat="1" applyFont="1"/>
    <xf numFmtId="170" fontId="134" fillId="0" borderId="1" xfId="57" quotePrefix="1" applyNumberFormat="1" applyFont="1" applyBorder="1" applyAlignment="1">
      <alignment horizontal="center" vertical="center" wrapText="1"/>
    </xf>
    <xf numFmtId="0" fontId="118" fillId="0" borderId="0" xfId="57" applyFont="1" applyAlignment="1">
      <alignment vertical="center"/>
    </xf>
    <xf numFmtId="0" fontId="135" fillId="0" borderId="1" xfId="72" applyFont="1" applyBorder="1" applyAlignment="1">
      <alignment horizontal="left" vertical="center" wrapText="1"/>
    </xf>
    <xf numFmtId="0" fontId="26" fillId="0" borderId="1" xfId="0" quotePrefix="1" applyFont="1" applyBorder="1" applyAlignment="1">
      <alignment horizontal="center" vertical="center"/>
    </xf>
    <xf numFmtId="0" fontId="136" fillId="0" borderId="0" xfId="57" applyFont="1"/>
    <xf numFmtId="0" fontId="137" fillId="0" borderId="0" xfId="66" applyFont="1" applyAlignment="1">
      <alignment horizontal="left" vertical="center" wrapText="1"/>
    </xf>
    <xf numFmtId="43" fontId="135" fillId="0" borderId="1" xfId="58" applyNumberFormat="1" applyFont="1" applyBorder="1" applyAlignment="1">
      <alignment vertical="center"/>
    </xf>
    <xf numFmtId="43" fontId="138" fillId="0" borderId="1" xfId="58" quotePrefix="1" applyNumberFormat="1" applyFont="1" applyBorder="1" applyAlignment="1">
      <alignment horizontal="center" vertical="center"/>
    </xf>
    <xf numFmtId="43" fontId="138" fillId="0" borderId="1" xfId="0" applyNumberFormat="1" applyFont="1" applyBorder="1" applyAlignment="1">
      <alignment vertical="center"/>
    </xf>
    <xf numFmtId="43" fontId="138" fillId="0" borderId="1" xfId="0" quotePrefix="1" applyNumberFormat="1" applyFont="1" applyBorder="1" applyAlignment="1">
      <alignment horizontal="center" vertical="center"/>
    </xf>
    <xf numFmtId="0" fontId="25" fillId="3" borderId="1" xfId="58" applyFont="1" applyFill="1" applyBorder="1" applyAlignment="1">
      <alignment horizontal="center" vertical="center"/>
    </xf>
    <xf numFmtId="0" fontId="139" fillId="0" borderId="1" xfId="66" applyFont="1" applyBorder="1" applyAlignment="1">
      <alignment horizontal="center" vertical="center" wrapText="1"/>
    </xf>
    <xf numFmtId="0" fontId="139" fillId="11" borderId="1" xfId="0" applyFont="1" applyFill="1" applyBorder="1" applyAlignment="1">
      <alignment horizontal="center" vertical="center"/>
    </xf>
    <xf numFmtId="0" fontId="140" fillId="0" borderId="1" xfId="0" applyFont="1" applyBorder="1" applyAlignment="1">
      <alignment horizontal="left" vertical="center" wrapText="1"/>
    </xf>
    <xf numFmtId="175" fontId="140" fillId="0" borderId="1" xfId="1" applyNumberFormat="1" applyFont="1" applyFill="1" applyBorder="1" applyAlignment="1">
      <alignment vertical="center" wrapText="1"/>
    </xf>
    <xf numFmtId="0" fontId="139" fillId="11" borderId="1" xfId="0" applyFont="1" applyFill="1" applyBorder="1" applyAlignment="1">
      <alignment horizontal="left" vertical="center"/>
    </xf>
    <xf numFmtId="0" fontId="139" fillId="0" borderId="5" xfId="0" applyFont="1" applyBorder="1" applyAlignment="1">
      <alignment horizontal="center" vertical="center"/>
    </xf>
    <xf numFmtId="0" fontId="139" fillId="16" borderId="1" xfId="0" applyFont="1" applyFill="1" applyBorder="1" applyAlignment="1">
      <alignment horizontal="center" vertical="center" wrapText="1"/>
    </xf>
    <xf numFmtId="22" fontId="139" fillId="11" borderId="1" xfId="0" applyNumberFormat="1" applyFont="1" applyFill="1" applyBorder="1" applyAlignment="1">
      <alignment horizontal="center" vertical="center" wrapText="1"/>
    </xf>
    <xf numFmtId="43" fontId="140" fillId="7" borderId="1" xfId="1" applyFont="1" applyFill="1" applyBorder="1" applyAlignment="1">
      <alignment horizontal="right" vertical="center" wrapText="1"/>
    </xf>
    <xf numFmtId="0" fontId="140" fillId="3" borderId="1" xfId="66" applyFont="1" applyFill="1" applyBorder="1" applyAlignment="1">
      <alignment horizontal="center" vertical="center" wrapText="1"/>
    </xf>
    <xf numFmtId="43" fontId="141" fillId="7" borderId="1" xfId="66" applyNumberFormat="1" applyFont="1" applyFill="1" applyBorder="1" applyAlignment="1">
      <alignment horizontal="center" vertical="center" wrapText="1"/>
    </xf>
    <xf numFmtId="1" fontId="140" fillId="7" borderId="1" xfId="0" applyNumberFormat="1" applyFont="1" applyFill="1" applyBorder="1" applyAlignment="1">
      <alignment horizontal="center" vertical="center" wrapText="1" shrinkToFit="1"/>
    </xf>
    <xf numFmtId="164" fontId="140" fillId="7" borderId="1" xfId="0" applyNumberFormat="1" applyFont="1" applyFill="1" applyBorder="1" applyAlignment="1">
      <alignment horizontal="center" vertical="center" wrapText="1" shrinkToFit="1"/>
    </xf>
    <xf numFmtId="0" fontId="140" fillId="0" borderId="1" xfId="66" applyFont="1" applyBorder="1" applyAlignment="1">
      <alignment horizontal="center" vertical="center" wrapText="1"/>
    </xf>
    <xf numFmtId="0" fontId="140" fillId="7" borderId="1" xfId="0" applyFont="1" applyFill="1" applyBorder="1" applyAlignment="1">
      <alignment horizontal="center" vertical="center"/>
    </xf>
    <xf numFmtId="0" fontId="139" fillId="0" borderId="1" xfId="0" applyFont="1" applyBorder="1" applyAlignment="1">
      <alignment vertical="center" wrapText="1"/>
    </xf>
    <xf numFmtId="0" fontId="141" fillId="0" borderId="0" xfId="66" applyFont="1" applyAlignment="1">
      <alignment horizontal="center" vertical="center" wrapText="1"/>
    </xf>
    <xf numFmtId="0" fontId="139" fillId="0" borderId="1" xfId="0" applyFont="1" applyBorder="1" applyAlignment="1">
      <alignment horizontal="left" vertical="center" wrapText="1"/>
    </xf>
    <xf numFmtId="175" fontId="139" fillId="0" borderId="1" xfId="1" applyNumberFormat="1" applyFont="1" applyFill="1" applyBorder="1" applyAlignment="1">
      <alignment vertical="center" wrapText="1"/>
    </xf>
    <xf numFmtId="0" fontId="139" fillId="11" borderId="1" xfId="0" applyFont="1" applyFill="1" applyBorder="1" applyAlignment="1">
      <alignment horizontal="left" vertical="center" wrapText="1"/>
    </xf>
    <xf numFmtId="43" fontId="139" fillId="7" borderId="1" xfId="1" applyFont="1" applyFill="1" applyBorder="1" applyAlignment="1">
      <alignment horizontal="right" vertical="center" wrapText="1"/>
    </xf>
    <xf numFmtId="0" fontId="139" fillId="3" borderId="1" xfId="66" applyFont="1" applyFill="1" applyBorder="1" applyAlignment="1">
      <alignment horizontal="center" vertical="center" wrapText="1"/>
    </xf>
    <xf numFmtId="43" fontId="142" fillId="7" borderId="1" xfId="66" applyNumberFormat="1" applyFont="1" applyFill="1" applyBorder="1" applyAlignment="1">
      <alignment horizontal="center" vertical="center" wrapText="1"/>
    </xf>
    <xf numFmtId="164" fontId="139" fillId="7" borderId="1" xfId="0" applyNumberFormat="1" applyFont="1" applyFill="1" applyBorder="1" applyAlignment="1">
      <alignment horizontal="center" vertical="center" wrapText="1" shrinkToFit="1"/>
    </xf>
    <xf numFmtId="0" fontId="139" fillId="7" borderId="1" xfId="0" applyFont="1" applyFill="1" applyBorder="1" applyAlignment="1">
      <alignment horizontal="center" vertical="center"/>
    </xf>
    <xf numFmtId="0" fontId="142" fillId="0" borderId="0" xfId="66" applyFont="1" applyAlignment="1">
      <alignment horizontal="center" vertical="center" wrapText="1"/>
    </xf>
    <xf numFmtId="0" fontId="143" fillId="0" borderId="0" xfId="66" applyFont="1" applyAlignment="1">
      <alignment horizontal="center" vertical="center" wrapText="1"/>
    </xf>
    <xf numFmtId="170" fontId="139" fillId="11" borderId="1" xfId="0" applyNumberFormat="1" applyFont="1" applyFill="1" applyBorder="1" applyAlignment="1">
      <alignment horizontal="center" vertical="center" wrapText="1"/>
    </xf>
    <xf numFmtId="1" fontId="139" fillId="7" borderId="1" xfId="0" applyNumberFormat="1" applyFont="1" applyFill="1" applyBorder="1" applyAlignment="1">
      <alignment horizontal="center" vertical="center" wrapText="1" shrinkToFit="1"/>
    </xf>
    <xf numFmtId="0" fontId="140" fillId="11" borderId="1" xfId="0" applyFont="1" applyFill="1" applyBorder="1" applyAlignment="1">
      <alignment horizontal="center" vertical="center"/>
    </xf>
    <xf numFmtId="0" fontId="140" fillId="11" borderId="1" xfId="0" applyFont="1" applyFill="1" applyBorder="1" applyAlignment="1">
      <alignment horizontal="left" vertical="center" wrapText="1"/>
    </xf>
    <xf numFmtId="0" fontId="140" fillId="0" borderId="5" xfId="0" applyFont="1" applyBorder="1" applyAlignment="1">
      <alignment horizontal="center" vertical="center"/>
    </xf>
    <xf numFmtId="0" fontId="140" fillId="16" borderId="1" xfId="0" applyFont="1" applyFill="1" applyBorder="1" applyAlignment="1">
      <alignment horizontal="center" vertical="center" wrapText="1"/>
    </xf>
    <xf numFmtId="22" fontId="140" fillId="11" borderId="1" xfId="0" applyNumberFormat="1" applyFont="1" applyFill="1" applyBorder="1" applyAlignment="1">
      <alignment horizontal="center" vertical="center" wrapText="1"/>
    </xf>
    <xf numFmtId="170" fontId="140" fillId="11" borderId="1" xfId="0" applyNumberFormat="1" applyFont="1" applyFill="1" applyBorder="1" applyAlignment="1">
      <alignment horizontal="center" vertical="center" wrapText="1"/>
    </xf>
    <xf numFmtId="0" fontId="140" fillId="0" borderId="1" xfId="0" applyFont="1" applyBorder="1" applyAlignment="1">
      <alignment vertical="center" wrapText="1"/>
    </xf>
    <xf numFmtId="0" fontId="144" fillId="0" borderId="0" xfId="66" applyFont="1" applyAlignment="1">
      <alignment horizontal="center" vertical="center" wrapText="1"/>
    </xf>
    <xf numFmtId="43" fontId="139" fillId="7" borderId="1" xfId="66" applyNumberFormat="1" applyFont="1" applyFill="1" applyBorder="1" applyAlignment="1">
      <alignment horizontal="center" vertical="center" wrapText="1"/>
    </xf>
    <xf numFmtId="0" fontId="139" fillId="0" borderId="0" xfId="66" applyFont="1" applyAlignment="1">
      <alignment horizontal="center" vertical="center" wrapText="1"/>
    </xf>
    <xf numFmtId="0" fontId="139" fillId="0" borderId="5" xfId="0" applyFont="1" applyBorder="1" applyAlignment="1">
      <alignment horizontal="center" vertical="center" wrapText="1"/>
    </xf>
    <xf numFmtId="0" fontId="140" fillId="11" borderId="1" xfId="0" applyFont="1" applyFill="1" applyBorder="1" applyAlignment="1">
      <alignment horizontal="left" vertical="center"/>
    </xf>
    <xf numFmtId="0" fontId="139" fillId="3" borderId="1" xfId="0" applyFont="1" applyFill="1" applyBorder="1" applyAlignment="1">
      <alignment horizontal="left" vertical="center" wrapText="1"/>
    </xf>
    <xf numFmtId="175" fontId="139" fillId="3" borderId="1" xfId="1" applyNumberFormat="1" applyFont="1" applyFill="1" applyBorder="1" applyAlignment="1">
      <alignment vertical="center" wrapText="1"/>
    </xf>
    <xf numFmtId="0" fontId="142" fillId="3" borderId="0" xfId="66" applyFont="1" applyFill="1" applyAlignment="1">
      <alignment horizontal="center" vertical="center" wrapText="1"/>
    </xf>
    <xf numFmtId="0" fontId="143" fillId="3" borderId="0" xfId="66" applyFont="1" applyFill="1" applyAlignment="1">
      <alignment horizontal="center" vertical="center" wrapText="1"/>
    </xf>
    <xf numFmtId="0" fontId="140" fillId="3" borderId="1" xfId="0" applyFont="1" applyFill="1" applyBorder="1" applyAlignment="1">
      <alignment horizontal="left" vertical="center" wrapText="1"/>
    </xf>
    <xf numFmtId="175" fontId="140" fillId="3" borderId="1" xfId="1" applyNumberFormat="1" applyFont="1" applyFill="1" applyBorder="1" applyAlignment="1">
      <alignment vertical="center" wrapText="1"/>
    </xf>
    <xf numFmtId="170" fontId="145" fillId="11" borderId="1" xfId="0" applyNumberFormat="1" applyFont="1" applyFill="1" applyBorder="1" applyAlignment="1">
      <alignment horizontal="center" vertical="center" wrapText="1"/>
    </xf>
    <xf numFmtId="0" fontId="146" fillId="0" borderId="0" xfId="66" applyFont="1" applyAlignment="1">
      <alignment horizontal="center" vertical="center" wrapText="1"/>
    </xf>
    <xf numFmtId="0" fontId="147" fillId="0" borderId="1" xfId="0" applyFont="1" applyBorder="1" applyAlignment="1">
      <alignment vertical="center" wrapText="1"/>
    </xf>
    <xf numFmtId="170" fontId="139" fillId="18" borderId="2" xfId="0" applyNumberFormat="1" applyFont="1" applyFill="1" applyBorder="1" applyAlignment="1">
      <alignment horizontal="center" vertical="center" wrapText="1"/>
    </xf>
    <xf numFmtId="1" fontId="139" fillId="3" borderId="1" xfId="0" applyNumberFormat="1" applyFont="1" applyFill="1" applyBorder="1" applyAlignment="1">
      <alignment horizontal="center" vertical="center" wrapText="1" shrinkToFit="1"/>
    </xf>
    <xf numFmtId="1" fontId="139" fillId="3" borderId="3" xfId="0" applyNumberFormat="1" applyFont="1" applyFill="1" applyBorder="1" applyAlignment="1">
      <alignment horizontal="center" vertical="center" wrapText="1" shrinkToFit="1"/>
    </xf>
    <xf numFmtId="170" fontId="140" fillId="18" borderId="2" xfId="0" applyNumberFormat="1" applyFont="1" applyFill="1" applyBorder="1" applyAlignment="1">
      <alignment horizontal="center" vertical="center" wrapText="1"/>
    </xf>
    <xf numFmtId="1" fontId="140" fillId="3" borderId="3" xfId="0" applyNumberFormat="1" applyFont="1" applyFill="1" applyBorder="1" applyAlignment="1">
      <alignment horizontal="center" vertical="center" wrapText="1" shrinkToFit="1"/>
    </xf>
    <xf numFmtId="0" fontId="144" fillId="0" borderId="0" xfId="66" applyFont="1" applyAlignment="1">
      <alignment horizontal="left" vertical="center" wrapText="1"/>
    </xf>
    <xf numFmtId="170" fontId="139" fillId="0" borderId="1" xfId="66" applyNumberFormat="1" applyFont="1" applyBorder="1" applyAlignment="1">
      <alignment horizontal="center" vertical="center" wrapText="1"/>
    </xf>
    <xf numFmtId="0" fontId="140" fillId="11" borderId="2" xfId="0" applyFont="1" applyFill="1" applyBorder="1" applyAlignment="1">
      <alignment horizontal="center" vertical="center"/>
    </xf>
    <xf numFmtId="0" fontId="139" fillId="0" borderId="2" xfId="0" applyFont="1" applyBorder="1" applyAlignment="1">
      <alignment horizontal="left" vertical="center" wrapText="1"/>
    </xf>
    <xf numFmtId="175" fontId="139" fillId="0" borderId="2" xfId="1" applyNumberFormat="1" applyFont="1" applyFill="1" applyBorder="1" applyAlignment="1">
      <alignment vertical="center" wrapText="1"/>
    </xf>
    <xf numFmtId="0" fontId="140" fillId="11" borderId="2" xfId="0" applyFont="1" applyFill="1" applyBorder="1" applyAlignment="1">
      <alignment horizontal="left" vertical="center" wrapText="1"/>
    </xf>
    <xf numFmtId="0" fontId="139" fillId="0" borderId="16" xfId="0" applyFont="1" applyBorder="1" applyAlignment="1">
      <alignment horizontal="center" vertical="center"/>
    </xf>
    <xf numFmtId="0" fontId="139" fillId="16" borderId="2" xfId="0" applyFont="1" applyFill="1" applyBorder="1" applyAlignment="1">
      <alignment horizontal="center" vertical="center" wrapText="1"/>
    </xf>
    <xf numFmtId="170" fontId="140" fillId="11" borderId="2" xfId="0" applyNumberFormat="1" applyFont="1" applyFill="1" applyBorder="1" applyAlignment="1">
      <alignment horizontal="center" vertical="center" wrapText="1"/>
    </xf>
    <xf numFmtId="170" fontId="145" fillId="18" borderId="2" xfId="0" applyNumberFormat="1" applyFont="1" applyFill="1" applyBorder="1" applyAlignment="1">
      <alignment horizontal="center" vertical="center" wrapText="1"/>
    </xf>
    <xf numFmtId="43" fontId="139" fillId="7" borderId="2" xfId="1" applyFont="1" applyFill="1" applyBorder="1" applyAlignment="1">
      <alignment horizontal="right" vertical="center" wrapText="1"/>
    </xf>
    <xf numFmtId="0" fontId="139" fillId="3" borderId="2" xfId="66" applyFont="1" applyFill="1" applyBorder="1" applyAlignment="1">
      <alignment horizontal="center" vertical="center" wrapText="1"/>
    </xf>
    <xf numFmtId="0" fontId="142" fillId="0" borderId="0" xfId="66" applyFont="1" applyAlignment="1">
      <alignment horizontal="left" vertical="center" wrapText="1"/>
    </xf>
    <xf numFmtId="176" fontId="154" fillId="3" borderId="0" xfId="0" applyNumberFormat="1" applyFont="1" applyFill="1" applyAlignment="1">
      <alignment horizontal="center" vertical="center" wrapText="1"/>
    </xf>
    <xf numFmtId="22" fontId="154" fillId="3" borderId="0" xfId="0" applyNumberFormat="1" applyFont="1" applyFill="1" applyAlignment="1">
      <alignment horizontal="center" vertical="center" wrapText="1"/>
    </xf>
    <xf numFmtId="170" fontId="154" fillId="3" borderId="0" xfId="0" applyNumberFormat="1" applyFont="1" applyFill="1" applyAlignment="1">
      <alignment horizontal="center" vertical="center" wrapText="1"/>
    </xf>
    <xf numFmtId="170" fontId="153" fillId="3" borderId="0" xfId="0" applyNumberFormat="1" applyFont="1" applyFill="1" applyAlignment="1">
      <alignment horizontal="center" vertical="center" wrapText="1"/>
    </xf>
    <xf numFmtId="167" fontId="27" fillId="3" borderId="0" xfId="66" applyNumberFormat="1" applyFont="1" applyFill="1" applyAlignment="1">
      <alignment horizontal="center" vertical="center" wrapText="1"/>
    </xf>
    <xf numFmtId="167" fontId="27" fillId="3" borderId="0" xfId="66" applyNumberFormat="1" applyFont="1" applyFill="1" applyAlignment="1">
      <alignment vertical="center" wrapText="1"/>
    </xf>
    <xf numFmtId="167" fontId="27" fillId="3" borderId="0" xfId="66" applyNumberFormat="1" applyFont="1" applyFill="1" applyAlignment="1">
      <alignment horizontal="center" wrapText="1"/>
    </xf>
    <xf numFmtId="167" fontId="27" fillId="3" borderId="0" xfId="66" applyNumberFormat="1" applyFont="1" applyFill="1" applyAlignment="1">
      <alignment wrapText="1"/>
    </xf>
    <xf numFmtId="0" fontId="41" fillId="3" borderId="0" xfId="57" applyFont="1" applyFill="1" applyAlignment="1">
      <alignment horizontal="right" vertical="center" wrapText="1"/>
    </xf>
    <xf numFmtId="0" fontId="41" fillId="3" borderId="17" xfId="57" applyFont="1" applyFill="1" applyBorder="1" applyAlignment="1">
      <alignment horizontal="right" vertical="center" wrapText="1"/>
    </xf>
    <xf numFmtId="0" fontId="42" fillId="3" borderId="5" xfId="57" applyFont="1" applyFill="1" applyBorder="1" applyAlignment="1">
      <alignment horizontal="left" vertical="center" wrapText="1"/>
    </xf>
    <xf numFmtId="0" fontId="42" fillId="3" borderId="6" xfId="57" applyFont="1" applyFill="1" applyBorder="1" applyAlignment="1">
      <alignment horizontal="left" vertical="center" wrapText="1"/>
    </xf>
    <xf numFmtId="0" fontId="42" fillId="3" borderId="7" xfId="57" applyFont="1" applyFill="1" applyBorder="1" applyAlignment="1">
      <alignment horizontal="left" vertical="center" wrapText="1"/>
    </xf>
    <xf numFmtId="169" fontId="41" fillId="3" borderId="0" xfId="57" applyNumberFormat="1" applyFont="1" applyFill="1" applyAlignment="1">
      <alignment horizontal="right" vertical="center" wrapText="1"/>
    </xf>
    <xf numFmtId="171" fontId="49" fillId="3" borderId="5" xfId="57" applyNumberFormat="1" applyFont="1" applyFill="1" applyBorder="1" applyAlignment="1">
      <alignment horizontal="left" vertical="center" wrapText="1"/>
    </xf>
    <xf numFmtId="171" fontId="49" fillId="3" borderId="6" xfId="57" applyNumberFormat="1" applyFont="1" applyFill="1" applyBorder="1" applyAlignment="1">
      <alignment horizontal="left" vertical="center" wrapText="1"/>
    </xf>
    <xf numFmtId="169" fontId="41" fillId="3" borderId="17" xfId="57" applyNumberFormat="1" applyFont="1" applyFill="1" applyBorder="1" applyAlignment="1">
      <alignment horizontal="right" vertical="center" wrapText="1"/>
    </xf>
    <xf numFmtId="4" fontId="49" fillId="3" borderId="5" xfId="57" applyNumberFormat="1" applyFont="1" applyFill="1" applyBorder="1" applyAlignment="1">
      <alignment horizontal="left" vertical="center" wrapText="1"/>
    </xf>
    <xf numFmtId="4" fontId="49" fillId="3" borderId="6" xfId="57" applyNumberFormat="1" applyFont="1" applyFill="1" applyBorder="1" applyAlignment="1">
      <alignment horizontal="left" vertical="center" wrapText="1"/>
    </xf>
    <xf numFmtId="0" fontId="42" fillId="12" borderId="1" xfId="66" applyFont="1" applyFill="1" applyBorder="1" applyAlignment="1">
      <alignment horizontal="center" vertical="center" wrapText="1"/>
    </xf>
    <xf numFmtId="0" fontId="42" fillId="13" borderId="16" xfId="66" applyFont="1" applyFill="1" applyBorder="1" applyAlignment="1">
      <alignment horizontal="left" vertical="center" wrapText="1"/>
    </xf>
    <xf numFmtId="0" fontId="42" fillId="13" borderId="15" xfId="66" applyFont="1" applyFill="1" applyBorder="1" applyAlignment="1">
      <alignment horizontal="left" vertical="center" wrapText="1"/>
    </xf>
    <xf numFmtId="0" fontId="54" fillId="13" borderId="6" xfId="66" applyFont="1" applyFill="1" applyBorder="1" applyAlignment="1">
      <alignment horizontal="left" vertical="center" wrapText="1"/>
    </xf>
    <xf numFmtId="0" fontId="54" fillId="13" borderId="21" xfId="66" applyFont="1" applyFill="1" applyBorder="1" applyAlignment="1">
      <alignment horizontal="left" vertical="center" wrapText="1"/>
    </xf>
    <xf numFmtId="0" fontId="54" fillId="13" borderId="0" xfId="66" applyFont="1" applyFill="1" applyAlignment="1">
      <alignment horizontal="left" vertical="center" wrapText="1"/>
    </xf>
    <xf numFmtId="0" fontId="54" fillId="0" borderId="0" xfId="57" applyFont="1" applyAlignment="1">
      <alignment horizontal="right" vertical="center" wrapText="1"/>
    </xf>
    <xf numFmtId="0" fontId="54" fillId="0" borderId="17" xfId="57" applyFont="1" applyBorder="1" applyAlignment="1">
      <alignment horizontal="right" vertical="center" wrapText="1"/>
    </xf>
    <xf numFmtId="49" fontId="42" fillId="12" borderId="1" xfId="66" applyNumberFormat="1" applyFont="1" applyFill="1" applyBorder="1" applyAlignment="1">
      <alignment horizontal="left" vertical="center" wrapText="1"/>
    </xf>
    <xf numFmtId="0" fontId="42" fillId="12" borderId="1" xfId="66" applyFont="1" applyFill="1" applyBorder="1" applyAlignment="1">
      <alignment horizontal="left" vertical="center" wrapText="1"/>
    </xf>
    <xf numFmtId="0" fontId="42" fillId="12" borderId="2" xfId="66" applyFont="1" applyFill="1" applyBorder="1" applyAlignment="1">
      <alignment horizontal="center" vertical="center" wrapText="1"/>
    </xf>
    <xf numFmtId="0" fontId="42" fillId="12" borderId="3" xfId="66" applyFont="1" applyFill="1" applyBorder="1" applyAlignment="1">
      <alignment horizontal="center" vertical="center" wrapText="1"/>
    </xf>
    <xf numFmtId="49" fontId="42" fillId="12" borderId="1" xfId="66" applyNumberFormat="1" applyFont="1" applyFill="1" applyBorder="1" applyAlignment="1">
      <alignment horizontal="center" vertical="center" wrapText="1"/>
    </xf>
    <xf numFmtId="15" fontId="42" fillId="12" borderId="1" xfId="66" applyNumberFormat="1" applyFont="1" applyFill="1" applyBorder="1" applyAlignment="1">
      <alignment horizontal="center" vertical="center" wrapText="1"/>
    </xf>
    <xf numFmtId="169" fontId="42" fillId="12" borderId="1" xfId="66" applyNumberFormat="1" applyFont="1" applyFill="1" applyBorder="1" applyAlignment="1">
      <alignment horizontal="center" vertical="center" wrapText="1"/>
    </xf>
    <xf numFmtId="169" fontId="42" fillId="12" borderId="7" xfId="66" applyNumberFormat="1" applyFont="1" applyFill="1" applyBorder="1" applyAlignment="1">
      <alignment horizontal="center" vertical="center" wrapText="1"/>
    </xf>
    <xf numFmtId="1" fontId="42" fillId="12" borderId="1" xfId="66" applyNumberFormat="1" applyFont="1" applyFill="1" applyBorder="1" applyAlignment="1">
      <alignment horizontal="center" vertical="center" wrapText="1"/>
    </xf>
    <xf numFmtId="0" fontId="84" fillId="0" borderId="21" xfId="0" applyFont="1" applyBorder="1" applyAlignment="1">
      <alignment horizontal="center" vertical="center" wrapText="1"/>
    </xf>
    <xf numFmtId="0" fontId="84" fillId="0" borderId="17" xfId="0" applyFont="1" applyBorder="1" applyAlignment="1">
      <alignment horizontal="center" vertical="center" wrapText="1"/>
    </xf>
    <xf numFmtId="0" fontId="85" fillId="19" borderId="25" xfId="0" applyFont="1" applyFill="1" applyBorder="1" applyAlignment="1">
      <alignment horizontal="center" vertical="center" wrapText="1"/>
    </xf>
    <xf numFmtId="0" fontId="85" fillId="19" borderId="29" xfId="0" applyFont="1" applyFill="1" applyBorder="1" applyAlignment="1">
      <alignment horizontal="center" vertical="center" wrapText="1"/>
    </xf>
    <xf numFmtId="0" fontId="84" fillId="0" borderId="25" xfId="0" applyFont="1" applyBorder="1" applyAlignment="1">
      <alignment horizontal="center" vertical="center"/>
    </xf>
    <xf numFmtId="0" fontId="84" fillId="0" borderId="29" xfId="0" applyFont="1" applyBorder="1" applyAlignment="1">
      <alignment horizontal="center" vertical="center"/>
    </xf>
    <xf numFmtId="0" fontId="84" fillId="0" borderId="2" xfId="0" applyFont="1" applyBorder="1" applyAlignment="1">
      <alignment horizontal="center" vertical="center"/>
    </xf>
    <xf numFmtId="0" fontId="84" fillId="0" borderId="19" xfId="0" applyFont="1" applyBorder="1" applyAlignment="1">
      <alignment horizontal="center" vertical="center"/>
    </xf>
    <xf numFmtId="0" fontId="84" fillId="0" borderId="3" xfId="0" applyFont="1" applyBorder="1" applyAlignment="1">
      <alignment horizontal="center" vertical="center"/>
    </xf>
    <xf numFmtId="0" fontId="84" fillId="0" borderId="1" xfId="0" applyFont="1" applyBorder="1" applyAlignment="1">
      <alignment horizontal="center" vertical="center"/>
    </xf>
    <xf numFmtId="0" fontId="85" fillId="19" borderId="38" xfId="0" applyFont="1" applyFill="1" applyBorder="1" applyAlignment="1">
      <alignment horizontal="center" vertical="center" wrapText="1"/>
    </xf>
    <xf numFmtId="0" fontId="85" fillId="19" borderId="2" xfId="0" applyFont="1" applyFill="1" applyBorder="1" applyAlignment="1">
      <alignment horizontal="center" vertical="center" wrapText="1"/>
    </xf>
    <xf numFmtId="0" fontId="84" fillId="0" borderId="38" xfId="0" applyFont="1" applyBorder="1" applyAlignment="1">
      <alignment horizontal="center" vertical="center" wrapText="1"/>
    </xf>
    <xf numFmtId="0" fontId="84" fillId="0" borderId="2" xfId="0" applyFont="1" applyBorder="1" applyAlignment="1">
      <alignment horizontal="center" vertical="center" wrapText="1"/>
    </xf>
    <xf numFmtId="0" fontId="84" fillId="0" borderId="1" xfId="0" applyFont="1" applyBorder="1" applyAlignment="1">
      <alignment horizontal="center" vertical="center" wrapText="1"/>
    </xf>
    <xf numFmtId="0" fontId="84" fillId="0" borderId="3" xfId="0" applyFont="1" applyBorder="1" applyAlignment="1">
      <alignment horizontal="center" vertical="center" wrapText="1"/>
    </xf>
    <xf numFmtId="0" fontId="84" fillId="0" borderId="34" xfId="0" applyFont="1" applyBorder="1" applyAlignment="1">
      <alignment horizontal="left" vertical="center" wrapText="1"/>
    </xf>
    <xf numFmtId="0" fontId="84" fillId="0" borderId="11" xfId="0" applyFont="1" applyBorder="1" applyAlignment="1">
      <alignment horizontal="left" vertical="center" wrapText="1"/>
    </xf>
    <xf numFmtId="0" fontId="84" fillId="0" borderId="35" xfId="0" applyFont="1" applyBorder="1" applyAlignment="1">
      <alignment horizontal="left" vertical="center" wrapText="1"/>
    </xf>
    <xf numFmtId="0" fontId="85" fillId="19" borderId="26" xfId="0" applyFont="1" applyFill="1" applyBorder="1" applyAlignment="1">
      <alignment horizontal="center" vertical="center" wrapText="1"/>
    </xf>
    <xf numFmtId="0" fontId="85" fillId="19" borderId="27" xfId="0" applyFont="1" applyFill="1" applyBorder="1" applyAlignment="1">
      <alignment horizontal="center" vertical="center" wrapText="1"/>
    </xf>
    <xf numFmtId="0" fontId="85" fillId="19" borderId="28" xfId="0" applyFont="1" applyFill="1" applyBorder="1" applyAlignment="1">
      <alignment horizontal="center" vertical="center" wrapText="1"/>
    </xf>
    <xf numFmtId="0" fontId="85" fillId="19" borderId="30" xfId="0" applyFont="1" applyFill="1" applyBorder="1" applyAlignment="1">
      <alignment horizontal="center" vertical="center" wrapText="1"/>
    </xf>
    <xf numFmtId="0" fontId="85" fillId="19" borderId="31" xfId="0" applyFont="1" applyFill="1" applyBorder="1" applyAlignment="1">
      <alignment horizontal="center" vertical="center" wrapText="1"/>
    </xf>
    <xf numFmtId="0" fontId="85" fillId="19" borderId="32" xfId="0" applyFont="1" applyFill="1" applyBorder="1" applyAlignment="1">
      <alignment horizontal="center" vertical="center" wrapText="1"/>
    </xf>
    <xf numFmtId="0" fontId="85" fillId="19" borderId="21" xfId="0" applyFont="1" applyFill="1" applyBorder="1" applyAlignment="1">
      <alignment horizontal="center" vertical="center" wrapText="1"/>
    </xf>
    <xf numFmtId="0" fontId="85" fillId="19" borderId="17" xfId="0" applyFont="1" applyFill="1" applyBorder="1" applyAlignment="1">
      <alignment horizontal="center" vertical="center" wrapText="1"/>
    </xf>
    <xf numFmtId="0" fontId="84" fillId="0" borderId="26" xfId="0" applyFont="1" applyBorder="1" applyAlignment="1">
      <alignment horizontal="left" vertical="center" wrapText="1"/>
    </xf>
    <xf numFmtId="0" fontId="84" fillId="0" borderId="27" xfId="0" applyFont="1" applyBorder="1" applyAlignment="1">
      <alignment horizontal="left" vertical="center" wrapText="1"/>
    </xf>
    <xf numFmtId="0" fontId="84" fillId="0" borderId="28" xfId="0" applyFont="1" applyBorder="1" applyAlignment="1">
      <alignment horizontal="left" vertical="center" wrapText="1"/>
    </xf>
    <xf numFmtId="0" fontId="84" fillId="0" borderId="21" xfId="0" applyFont="1" applyBorder="1" applyAlignment="1">
      <alignment horizontal="left" vertical="center" wrapText="1"/>
    </xf>
    <xf numFmtId="0" fontId="84" fillId="0" borderId="0" xfId="0" applyFont="1" applyAlignment="1">
      <alignment horizontal="left" vertical="center" wrapText="1"/>
    </xf>
    <xf numFmtId="0" fontId="84" fillId="0" borderId="17" xfId="0" applyFont="1" applyBorder="1" applyAlignment="1">
      <alignment horizontal="left" vertical="center" wrapText="1"/>
    </xf>
    <xf numFmtId="0" fontId="84" fillId="0" borderId="16" xfId="0" applyFont="1" applyBorder="1" applyAlignment="1">
      <alignment horizontal="left" vertical="center" wrapText="1"/>
    </xf>
    <xf numFmtId="0" fontId="84" fillId="0" borderId="15" xfId="0" applyFont="1" applyBorder="1" applyAlignment="1">
      <alignment horizontal="left" vertical="center" wrapText="1"/>
    </xf>
    <xf numFmtId="0" fontId="84" fillId="0" borderId="18" xfId="0" applyFont="1" applyBorder="1" applyAlignment="1">
      <alignment horizontal="left" vertical="center" wrapText="1"/>
    </xf>
    <xf numFmtId="0" fontId="84" fillId="0" borderId="37" xfId="0" applyFont="1" applyBorder="1" applyAlignment="1">
      <alignment horizontal="left" vertical="center" wrapText="1"/>
    </xf>
    <xf numFmtId="0" fontId="84" fillId="0" borderId="24" xfId="0" applyFont="1" applyBorder="1" applyAlignment="1">
      <alignment horizontal="left" vertical="center" wrapText="1"/>
    </xf>
    <xf numFmtId="0" fontId="84" fillId="0" borderId="23" xfId="0" applyFont="1" applyBorder="1" applyAlignment="1">
      <alignment horizontal="left" vertical="center" wrapText="1"/>
    </xf>
    <xf numFmtId="0" fontId="84" fillId="0" borderId="5" xfId="0" applyFont="1" applyBorder="1" applyAlignment="1">
      <alignment horizontal="center" vertical="center" wrapText="1"/>
    </xf>
    <xf numFmtId="0" fontId="84" fillId="0" borderId="6" xfId="0" applyFont="1" applyBorder="1" applyAlignment="1">
      <alignment horizontal="center" vertical="center" wrapText="1"/>
    </xf>
    <xf numFmtId="0" fontId="84" fillId="0" borderId="7" xfId="0" applyFont="1" applyBorder="1" applyAlignment="1">
      <alignment horizontal="center" vertical="center" wrapText="1"/>
    </xf>
    <xf numFmtId="0" fontId="84" fillId="0" borderId="16" xfId="0" applyFont="1" applyBorder="1" applyAlignment="1">
      <alignment horizontal="center" vertical="center" wrapText="1"/>
    </xf>
    <xf numFmtId="0" fontId="84" fillId="0" borderId="18" xfId="0" applyFont="1" applyBorder="1" applyAlignment="1">
      <alignment horizontal="center" vertical="center" wrapText="1"/>
    </xf>
    <xf numFmtId="0" fontId="84" fillId="0" borderId="34" xfId="0" applyFont="1" applyBorder="1" applyAlignment="1">
      <alignment horizontal="center" vertical="center" wrapText="1"/>
    </xf>
    <xf numFmtId="0" fontId="84" fillId="0" borderId="35" xfId="0" applyFont="1" applyBorder="1" applyAlignment="1">
      <alignment horizontal="center" vertical="center" wrapText="1"/>
    </xf>
    <xf numFmtId="167" fontId="14" fillId="3" borderId="0" xfId="66" applyNumberFormat="1" applyFont="1" applyFill="1" applyAlignment="1">
      <alignment horizontal="center" wrapText="1"/>
    </xf>
    <xf numFmtId="167" fontId="14" fillId="3" borderId="0" xfId="66" applyNumberFormat="1" applyFont="1" applyFill="1" applyAlignment="1">
      <alignment horizontal="center" vertical="top" wrapText="1"/>
    </xf>
    <xf numFmtId="167" fontId="14" fillId="3" borderId="0" xfId="66" applyNumberFormat="1" applyFont="1" applyFill="1" applyAlignment="1">
      <alignment horizontal="center" vertical="center" wrapText="1"/>
    </xf>
    <xf numFmtId="0" fontId="2" fillId="3" borderId="1" xfId="0" applyFont="1" applyFill="1" applyBorder="1" applyAlignment="1">
      <alignment horizontal="right" vertical="center"/>
    </xf>
    <xf numFmtId="0" fontId="2" fillId="3" borderId="5" xfId="0" applyFont="1" applyFill="1" applyBorder="1" applyAlignment="1">
      <alignment horizontal="right" vertical="center"/>
    </xf>
    <xf numFmtId="0" fontId="2" fillId="3" borderId="6" xfId="0" applyFont="1" applyFill="1" applyBorder="1" applyAlignment="1">
      <alignment horizontal="right" vertical="center"/>
    </xf>
    <xf numFmtId="0" fontId="2" fillId="3" borderId="7" xfId="0" applyFont="1" applyFill="1" applyBorder="1" applyAlignment="1">
      <alignment horizontal="right" vertical="center"/>
    </xf>
    <xf numFmtId="171" fontId="2" fillId="3" borderId="5" xfId="0" applyNumberFormat="1" applyFont="1" applyFill="1" applyBorder="1" applyAlignment="1">
      <alignment horizontal="right" vertical="center"/>
    </xf>
    <xf numFmtId="171" fontId="2" fillId="3" borderId="7" xfId="0" applyNumberFormat="1" applyFont="1" applyFill="1" applyBorder="1" applyAlignment="1">
      <alignment horizontal="right" vertical="center"/>
    </xf>
    <xf numFmtId="0" fontId="6" fillId="3" borderId="0" xfId="0" applyFont="1" applyFill="1" applyAlignment="1">
      <alignment horizontal="right" vertical="center"/>
    </xf>
    <xf numFmtId="0" fontId="6" fillId="3" borderId="17" xfId="0" applyFont="1" applyFill="1" applyBorder="1" applyAlignment="1">
      <alignment horizontal="right" vertical="center"/>
    </xf>
    <xf numFmtId="4" fontId="79" fillId="3" borderId="5" xfId="1" applyNumberFormat="1" applyFont="1" applyFill="1" applyBorder="1" applyAlignment="1">
      <alignment horizontal="right" vertical="center"/>
    </xf>
    <xf numFmtId="4" fontId="79" fillId="3" borderId="7" xfId="1" applyNumberFormat="1" applyFont="1" applyFill="1" applyBorder="1" applyAlignment="1">
      <alignment horizontal="right" vertical="center"/>
    </xf>
    <xf numFmtId="0" fontId="6" fillId="3" borderId="0" xfId="0" applyFont="1" applyFill="1" applyAlignment="1">
      <alignment horizontal="right" vertical="center" wrapText="1"/>
    </xf>
    <xf numFmtId="0" fontId="6" fillId="3" borderId="17" xfId="0" applyFont="1" applyFill="1" applyBorder="1" applyAlignment="1">
      <alignment horizontal="right" vertical="center" wrapText="1"/>
    </xf>
    <xf numFmtId="4" fontId="79" fillId="3" borderId="5" xfId="66" applyNumberFormat="1" applyFont="1" applyFill="1" applyBorder="1" applyAlignment="1">
      <alignment horizontal="center" vertical="center" wrapText="1"/>
    </xf>
    <xf numFmtId="4" fontId="79" fillId="3" borderId="7" xfId="66" applyNumberFormat="1" applyFont="1" applyFill="1" applyBorder="1" applyAlignment="1">
      <alignment horizontal="center" vertical="center" wrapText="1"/>
    </xf>
    <xf numFmtId="0" fontId="80" fillId="3" borderId="1" xfId="66" applyFont="1" applyFill="1" applyBorder="1" applyAlignment="1">
      <alignment horizontal="left" vertical="center" wrapText="1"/>
    </xf>
    <xf numFmtId="0" fontId="80" fillId="3" borderId="1" xfId="66" applyFont="1" applyFill="1" applyBorder="1" applyAlignment="1">
      <alignment horizontal="center" vertical="center" wrapText="1"/>
    </xf>
    <xf numFmtId="4" fontId="2" fillId="3" borderId="5" xfId="1" applyNumberFormat="1" applyFont="1" applyFill="1" applyBorder="1" applyAlignment="1">
      <alignment horizontal="right" vertical="center"/>
    </xf>
    <xf numFmtId="4" fontId="2" fillId="3" borderId="7" xfId="1" applyNumberFormat="1" applyFont="1" applyFill="1" applyBorder="1" applyAlignment="1">
      <alignment horizontal="right" vertical="center"/>
    </xf>
    <xf numFmtId="0" fontId="77" fillId="3" borderId="1" xfId="66" applyFont="1" applyFill="1" applyBorder="1" applyAlignment="1">
      <alignment horizontal="left" vertical="center" wrapText="1"/>
    </xf>
    <xf numFmtId="4" fontId="79" fillId="3" borderId="1" xfId="66" applyNumberFormat="1" applyFont="1" applyFill="1" applyBorder="1" applyAlignment="1">
      <alignment horizontal="center" vertical="center" wrapText="1"/>
    </xf>
    <xf numFmtId="167" fontId="79" fillId="3" borderId="1" xfId="66" applyNumberFormat="1" applyFont="1" applyFill="1" applyBorder="1" applyAlignment="1">
      <alignment horizontal="center" vertical="center" wrapText="1"/>
    </xf>
    <xf numFmtId="4" fontId="79" fillId="3" borderId="1" xfId="66" applyNumberFormat="1" applyFont="1" applyFill="1" applyBorder="1" applyAlignment="1">
      <alignment horizontal="center" vertical="center"/>
    </xf>
    <xf numFmtId="0" fontId="77" fillId="3" borderId="1" xfId="66" applyFont="1" applyFill="1" applyBorder="1" applyAlignment="1">
      <alignment horizontal="center" vertical="center"/>
    </xf>
    <xf numFmtId="0" fontId="77" fillId="3" borderId="1" xfId="66" applyFont="1" applyFill="1" applyBorder="1" applyAlignment="1">
      <alignment vertical="center" wrapText="1"/>
    </xf>
    <xf numFmtId="0" fontId="79" fillId="3" borderId="1" xfId="66" applyFont="1" applyFill="1" applyBorder="1" applyAlignment="1">
      <alignment horizontal="center" vertical="center" wrapText="1"/>
    </xf>
    <xf numFmtId="0" fontId="44" fillId="3" borderId="0" xfId="0" applyFont="1" applyFill="1" applyAlignment="1">
      <alignment horizontal="center" vertical="center"/>
    </xf>
    <xf numFmtId="0" fontId="44" fillId="3" borderId="0" xfId="0" applyFont="1" applyFill="1" applyAlignment="1">
      <alignment horizontal="left" vertical="center"/>
    </xf>
    <xf numFmtId="167" fontId="69" fillId="3" borderId="0" xfId="66" applyNumberFormat="1" applyFont="1" applyFill="1" applyAlignment="1">
      <alignment horizontal="center" vertical="center" wrapText="1"/>
    </xf>
    <xf numFmtId="167" fontId="150" fillId="3" borderId="0" xfId="66" applyNumberFormat="1" applyFont="1" applyFill="1" applyAlignment="1">
      <alignment horizontal="center" vertical="center" wrapText="1"/>
    </xf>
    <xf numFmtId="167" fontId="149" fillId="3" borderId="0" xfId="66" applyNumberFormat="1" applyFont="1" applyFill="1" applyAlignment="1">
      <alignment horizontal="center" vertical="center" wrapText="1"/>
    </xf>
    <xf numFmtId="0" fontId="148" fillId="3" borderId="0" xfId="0" applyFont="1" applyFill="1" applyAlignment="1">
      <alignment horizontal="right" vertical="center" wrapText="1"/>
    </xf>
    <xf numFmtId="0" fontId="148" fillId="3" borderId="17" xfId="0" applyFont="1" applyFill="1" applyBorder="1" applyAlignment="1">
      <alignment horizontal="right" vertical="center" wrapText="1"/>
    </xf>
    <xf numFmtId="0" fontId="152" fillId="3" borderId="5" xfId="0" applyFont="1" applyFill="1" applyBorder="1" applyAlignment="1">
      <alignment vertical="center"/>
    </xf>
    <xf numFmtId="0" fontId="152" fillId="3" borderId="6" xfId="0" applyFont="1" applyFill="1" applyBorder="1" applyAlignment="1">
      <alignment vertical="center"/>
    </xf>
    <xf numFmtId="0" fontId="152" fillId="3" borderId="7" xfId="0" applyFont="1" applyFill="1" applyBorder="1" applyAlignment="1">
      <alignment vertical="center" wrapText="1"/>
    </xf>
    <xf numFmtId="165" fontId="153" fillId="3" borderId="0" xfId="0" applyNumberFormat="1" applyFont="1" applyFill="1" applyAlignment="1">
      <alignment horizontal="right" vertical="center"/>
    </xf>
    <xf numFmtId="164" fontId="153" fillId="3" borderId="17" xfId="0" applyNumberFormat="1" applyFont="1" applyFill="1" applyBorder="1" applyAlignment="1">
      <alignment horizontal="right" vertical="center"/>
    </xf>
    <xf numFmtId="14" fontId="152" fillId="0" borderId="5" xfId="0" applyNumberFormat="1" applyFont="1" applyBorder="1" applyAlignment="1">
      <alignment horizontal="left" vertical="center"/>
    </xf>
    <xf numFmtId="0" fontId="152" fillId="0" borderId="6" xfId="0" applyFont="1" applyBorder="1" applyAlignment="1">
      <alignment horizontal="left" vertical="center"/>
    </xf>
    <xf numFmtId="17" fontId="74" fillId="0" borderId="6" xfId="0" applyNumberFormat="1" applyFont="1" applyBorder="1" applyAlignment="1">
      <alignment horizontal="center" vertical="center"/>
    </xf>
    <xf numFmtId="164" fontId="74" fillId="0" borderId="7" xfId="0" applyNumberFormat="1" applyFont="1" applyBorder="1" applyAlignment="1">
      <alignment horizontal="center" vertical="center"/>
    </xf>
    <xf numFmtId="170" fontId="68" fillId="2" borderId="7" xfId="66" applyNumberFormat="1" applyFont="1" applyFill="1" applyBorder="1" applyAlignment="1">
      <alignment horizontal="center" vertical="center" wrapText="1"/>
    </xf>
    <xf numFmtId="1" fontId="68" fillId="2" borderId="1" xfId="66" applyNumberFormat="1" applyFont="1" applyFill="1" applyBorder="1" applyAlignment="1">
      <alignment horizontal="center" vertical="center" wrapText="1"/>
    </xf>
    <xf numFmtId="0" fontId="68" fillId="2" borderId="5" xfId="66" applyFont="1" applyFill="1" applyBorder="1" applyAlignment="1">
      <alignment horizontal="center" vertical="center" wrapText="1"/>
    </xf>
    <xf numFmtId="0" fontId="68" fillId="2" borderId="6" xfId="66" applyFont="1" applyFill="1" applyBorder="1" applyAlignment="1">
      <alignment horizontal="center" vertical="center" wrapText="1"/>
    </xf>
    <xf numFmtId="0" fontId="68" fillId="2" borderId="7" xfId="66" applyFont="1" applyFill="1" applyBorder="1" applyAlignment="1">
      <alignment horizontal="center" vertical="center" wrapText="1"/>
    </xf>
    <xf numFmtId="164" fontId="153" fillId="3" borderId="0" xfId="0" applyNumberFormat="1" applyFont="1" applyFill="1" applyAlignment="1">
      <alignment horizontal="right" wrapText="1"/>
    </xf>
    <xf numFmtId="164" fontId="153" fillId="3" borderId="17" xfId="0" applyNumberFormat="1" applyFont="1" applyFill="1" applyBorder="1" applyAlignment="1">
      <alignment horizontal="right" wrapText="1"/>
    </xf>
    <xf numFmtId="4" fontId="152" fillId="0" borderId="5" xfId="0" applyNumberFormat="1" applyFont="1" applyBorder="1" applyAlignment="1">
      <alignment horizontal="left" vertical="center"/>
    </xf>
    <xf numFmtId="4" fontId="152" fillId="0" borderId="6" xfId="0" applyNumberFormat="1" applyFont="1" applyBorder="1" applyAlignment="1">
      <alignment horizontal="left" vertical="center"/>
    </xf>
    <xf numFmtId="171" fontId="152" fillId="3" borderId="5" xfId="0" applyNumberFormat="1" applyFont="1" applyFill="1" applyBorder="1" applyAlignment="1">
      <alignment horizontal="left" vertical="center"/>
    </xf>
    <xf numFmtId="171" fontId="152" fillId="3" borderId="6" xfId="0" applyNumberFormat="1" applyFont="1" applyFill="1" applyBorder="1" applyAlignment="1">
      <alignment horizontal="left" vertical="center"/>
    </xf>
    <xf numFmtId="171" fontId="152" fillId="3" borderId="7" xfId="0" applyNumberFormat="1" applyFont="1" applyFill="1" applyBorder="1" applyAlignment="1">
      <alignment horizontal="left" vertical="center" wrapText="1"/>
    </xf>
    <xf numFmtId="164" fontId="68" fillId="2" borderId="6" xfId="66" applyNumberFormat="1" applyFont="1" applyFill="1" applyBorder="1" applyAlignment="1">
      <alignment horizontal="center" vertical="center" wrapText="1"/>
    </xf>
    <xf numFmtId="0" fontId="68" fillId="2" borderId="7" xfId="66" applyFont="1" applyFill="1" applyBorder="1" applyAlignment="1">
      <alignment horizontal="left" vertical="center" wrapText="1"/>
    </xf>
    <xf numFmtId="22" fontId="68" fillId="15" borderId="15" xfId="0" applyNumberFormat="1" applyFont="1" applyFill="1" applyBorder="1" applyAlignment="1">
      <alignment horizontal="center" vertical="center" wrapText="1"/>
    </xf>
    <xf numFmtId="0" fontId="69" fillId="15" borderId="6" xfId="66" applyFont="1" applyFill="1" applyBorder="1" applyAlignment="1">
      <alignment horizontal="center" vertical="center"/>
    </xf>
    <xf numFmtId="0" fontId="120" fillId="0" borderId="1" xfId="0" applyFont="1" applyBorder="1" applyAlignment="1">
      <alignment horizontal="right" vertical="center" wrapText="1"/>
    </xf>
    <xf numFmtId="0" fontId="69" fillId="0" borderId="1" xfId="0" applyFont="1" applyBorder="1" applyAlignment="1">
      <alignment horizontal="right" vertical="center" wrapText="1"/>
    </xf>
    <xf numFmtId="0" fontId="69" fillId="0" borderId="3" xfId="0" applyFont="1" applyBorder="1" applyAlignment="1">
      <alignment horizontal="left" vertical="center" wrapText="1"/>
    </xf>
    <xf numFmtId="164" fontId="69" fillId="0" borderId="3" xfId="0" applyNumberFormat="1" applyFont="1" applyBorder="1" applyAlignment="1">
      <alignment horizontal="left" vertical="center" wrapText="1"/>
    </xf>
    <xf numFmtId="0" fontId="68" fillId="2" borderId="1" xfId="66" applyFont="1" applyFill="1" applyBorder="1" applyAlignment="1">
      <alignment horizontal="center" vertical="center" wrapText="1"/>
    </xf>
    <xf numFmtId="49" fontId="68" fillId="2" borderId="1" xfId="66" applyNumberFormat="1" applyFont="1" applyFill="1" applyBorder="1" applyAlignment="1">
      <alignment horizontal="center" vertical="center" wrapText="1"/>
    </xf>
    <xf numFmtId="0" fontId="68" fillId="2" borderId="2" xfId="66" applyFont="1" applyFill="1" applyBorder="1" applyAlignment="1">
      <alignment horizontal="left" vertical="center" wrapText="1"/>
    </xf>
    <xf numFmtId="0" fontId="68" fillId="2" borderId="3" xfId="66" applyFont="1" applyFill="1" applyBorder="1" applyAlignment="1">
      <alignment horizontal="left" vertical="center" wrapText="1"/>
    </xf>
    <xf numFmtId="0" fontId="68" fillId="2" borderId="2" xfId="66" applyFont="1" applyFill="1" applyBorder="1" applyAlignment="1">
      <alignment vertical="center" wrapText="1"/>
    </xf>
    <xf numFmtId="0" fontId="68" fillId="2" borderId="3" xfId="66" applyFont="1" applyFill="1" applyBorder="1" applyAlignment="1">
      <alignment vertical="center" wrapText="1"/>
    </xf>
    <xf numFmtId="0" fontId="68" fillId="2" borderId="1" xfId="66" applyFont="1" applyFill="1" applyBorder="1" applyAlignment="1">
      <alignment horizontal="left" vertical="center" wrapText="1"/>
    </xf>
    <xf numFmtId="164" fontId="68" fillId="2" borderId="1" xfId="66" applyNumberFormat="1" applyFont="1" applyFill="1" applyBorder="1" applyAlignment="1">
      <alignment horizontal="center" vertical="center" wrapText="1"/>
    </xf>
    <xf numFmtId="176" fontId="68" fillId="2" borderId="1" xfId="66" applyNumberFormat="1" applyFont="1" applyFill="1" applyBorder="1" applyAlignment="1">
      <alignment horizontal="center" vertical="center" wrapText="1"/>
    </xf>
    <xf numFmtId="22" fontId="68" fillId="2" borderId="6" xfId="66" applyNumberFormat="1" applyFont="1" applyFill="1" applyBorder="1" applyAlignment="1">
      <alignment horizontal="center" vertical="center" wrapText="1"/>
    </xf>
    <xf numFmtId="170" fontId="68" fillId="2" borderId="1" xfId="66" applyNumberFormat="1" applyFont="1" applyFill="1" applyBorder="1" applyAlignment="1">
      <alignment horizontal="center" vertical="center" wrapText="1"/>
    </xf>
    <xf numFmtId="0" fontId="19" fillId="3" borderId="5" xfId="58" applyFont="1" applyFill="1" applyBorder="1" applyAlignment="1">
      <alignment horizontal="left" vertical="center"/>
    </xf>
    <xf numFmtId="0" fontId="19" fillId="3" borderId="6" xfId="58" applyFont="1" applyFill="1" applyBorder="1" applyAlignment="1">
      <alignment horizontal="left" vertical="center"/>
    </xf>
    <xf numFmtId="0" fontId="19" fillId="3" borderId="6" xfId="58" applyFont="1" applyFill="1" applyBorder="1" applyAlignment="1">
      <alignment horizontal="center" vertical="center"/>
    </xf>
    <xf numFmtId="0" fontId="19" fillId="3" borderId="7" xfId="58" applyFont="1" applyFill="1" applyBorder="1" applyAlignment="1">
      <alignment horizontal="left" vertical="center"/>
    </xf>
    <xf numFmtId="0" fontId="13" fillId="3" borderId="0" xfId="58" applyFont="1" applyFill="1" applyAlignment="1">
      <alignment horizontal="right" vertical="center"/>
    </xf>
    <xf numFmtId="17" fontId="13" fillId="3" borderId="0" xfId="58" quotePrefix="1" applyNumberFormat="1" applyFont="1" applyFill="1" applyAlignment="1">
      <alignment horizontal="right" vertical="center"/>
    </xf>
    <xf numFmtId="17" fontId="13" fillId="3" borderId="0" xfId="58" applyNumberFormat="1" applyFont="1" applyFill="1" applyAlignment="1">
      <alignment horizontal="right" vertical="center"/>
    </xf>
    <xf numFmtId="171" fontId="19" fillId="3" borderId="1" xfId="58" applyNumberFormat="1" applyFont="1" applyFill="1" applyBorder="1" applyAlignment="1">
      <alignment horizontal="right" vertical="center"/>
    </xf>
    <xf numFmtId="0" fontId="13" fillId="3" borderId="0" xfId="58" applyFont="1" applyFill="1" applyAlignment="1">
      <alignment horizontal="right" vertical="center" wrapText="1"/>
    </xf>
    <xf numFmtId="4" fontId="13" fillId="3" borderId="0" xfId="58" applyNumberFormat="1" applyFont="1" applyFill="1" applyAlignment="1">
      <alignment horizontal="right" vertical="center"/>
    </xf>
    <xf numFmtId="4" fontId="19" fillId="3" borderId="5" xfId="58" applyNumberFormat="1" applyFont="1" applyFill="1" applyBorder="1" applyAlignment="1">
      <alignment horizontal="right" vertical="center"/>
    </xf>
    <xf numFmtId="4" fontId="19" fillId="3" borderId="6" xfId="58" applyNumberFormat="1" applyFont="1" applyFill="1" applyBorder="1" applyAlignment="1">
      <alignment horizontal="right" vertical="center"/>
    </xf>
    <xf numFmtId="4" fontId="19" fillId="3" borderId="7" xfId="58" applyNumberFormat="1" applyFont="1" applyFill="1" applyBorder="1" applyAlignment="1">
      <alignment horizontal="right" vertical="center"/>
    </xf>
    <xf numFmtId="4" fontId="19" fillId="3" borderId="1" xfId="58" applyNumberFormat="1" applyFont="1" applyFill="1" applyBorder="1" applyAlignment="1">
      <alignment horizontal="right" vertical="center"/>
    </xf>
    <xf numFmtId="0" fontId="13" fillId="3" borderId="0" xfId="58" applyFont="1" applyFill="1" applyAlignment="1">
      <alignment horizontal="left" vertical="center"/>
    </xf>
    <xf numFmtId="0" fontId="13" fillId="3" borderId="0" xfId="58" applyFont="1" applyFill="1" applyAlignment="1">
      <alignment horizontal="center" vertical="center"/>
    </xf>
    <xf numFmtId="0" fontId="18" fillId="0" borderId="5" xfId="58" applyFont="1" applyBorder="1" applyAlignment="1">
      <alignment horizontal="right" vertical="center"/>
    </xf>
    <xf numFmtId="0" fontId="18" fillId="0" borderId="6" xfId="58" applyFont="1" applyBorder="1" applyAlignment="1">
      <alignment horizontal="right" vertical="center"/>
    </xf>
    <xf numFmtId="0" fontId="18" fillId="0" borderId="6" xfId="58" applyFont="1" applyBorder="1" applyAlignment="1">
      <alignment horizontal="center" vertical="center"/>
    </xf>
    <xf numFmtId="0" fontId="18" fillId="0" borderId="7" xfId="58" applyFont="1" applyBorder="1" applyAlignment="1">
      <alignment horizontal="right" vertical="center"/>
    </xf>
    <xf numFmtId="49" fontId="19" fillId="12" borderId="2" xfId="58" applyNumberFormat="1" applyFont="1" applyFill="1" applyBorder="1" applyAlignment="1">
      <alignment horizontal="center" vertical="center" wrapText="1"/>
    </xf>
    <xf numFmtId="49" fontId="19" fillId="12" borderId="19" xfId="58" applyNumberFormat="1" applyFont="1" applyFill="1" applyBorder="1" applyAlignment="1">
      <alignment horizontal="center" vertical="center" wrapText="1"/>
    </xf>
    <xf numFmtId="43" fontId="19" fillId="12" borderId="2" xfId="40" applyFont="1" applyFill="1" applyBorder="1" applyAlignment="1">
      <alignment horizontal="center" vertical="center" wrapText="1"/>
    </xf>
    <xf numFmtId="43" fontId="19" fillId="12" borderId="19" xfId="40" applyFont="1" applyFill="1" applyBorder="1" applyAlignment="1">
      <alignment horizontal="center" vertical="center" wrapText="1"/>
    </xf>
    <xf numFmtId="4" fontId="19" fillId="12" borderId="2" xfId="58" applyNumberFormat="1" applyFont="1" applyFill="1" applyBorder="1" applyAlignment="1">
      <alignment horizontal="center" vertical="center" wrapText="1"/>
    </xf>
    <xf numFmtId="4" fontId="19" fillId="12" borderId="19" xfId="58" applyNumberFormat="1" applyFont="1" applyFill="1" applyBorder="1" applyAlignment="1">
      <alignment horizontal="center" vertical="center" wrapText="1"/>
    </xf>
    <xf numFmtId="0" fontId="19" fillId="12" borderId="1" xfId="58" applyFont="1" applyFill="1" applyBorder="1" applyAlignment="1">
      <alignment horizontal="center" vertical="center" wrapText="1"/>
    </xf>
    <xf numFmtId="43" fontId="19" fillId="12" borderId="1" xfId="40" applyFont="1" applyFill="1" applyBorder="1" applyAlignment="1">
      <alignment horizontal="center" vertical="center" wrapText="1"/>
    </xf>
    <xf numFmtId="0" fontId="19" fillId="12" borderId="1" xfId="66" applyFont="1" applyFill="1" applyBorder="1" applyAlignment="1">
      <alignment horizontal="center" vertical="center" wrapText="1"/>
    </xf>
    <xf numFmtId="4" fontId="19" fillId="12" borderId="1" xfId="58" applyNumberFormat="1" applyFont="1" applyFill="1" applyBorder="1" applyAlignment="1">
      <alignment horizontal="center" vertical="center"/>
    </xf>
    <xf numFmtId="4" fontId="19" fillId="12" borderId="1" xfId="58" applyNumberFormat="1" applyFont="1" applyFill="1" applyBorder="1" applyAlignment="1">
      <alignment horizontal="center" vertical="center" wrapText="1"/>
    </xf>
    <xf numFmtId="0" fontId="16" fillId="3" borderId="1" xfId="0" applyFont="1" applyFill="1" applyBorder="1" applyAlignment="1">
      <alignment horizontal="left" vertical="center"/>
    </xf>
    <xf numFmtId="0" fontId="11" fillId="3" borderId="0" xfId="0" applyFont="1" applyFill="1" applyAlignment="1">
      <alignment horizontal="right" vertical="center"/>
    </xf>
    <xf numFmtId="0" fontId="11" fillId="3" borderId="17" xfId="0" applyFont="1" applyFill="1" applyBorder="1" applyAlignment="1">
      <alignment horizontal="right" vertical="center"/>
    </xf>
    <xf numFmtId="171" fontId="16" fillId="3" borderId="5" xfId="0" applyNumberFormat="1" applyFont="1" applyFill="1" applyBorder="1" applyAlignment="1">
      <alignment horizontal="right" vertical="center"/>
    </xf>
    <xf numFmtId="171" fontId="16" fillId="3" borderId="6" xfId="0" applyNumberFormat="1" applyFont="1" applyFill="1" applyBorder="1" applyAlignment="1">
      <alignment horizontal="right" vertical="center"/>
    </xf>
    <xf numFmtId="171" fontId="16" fillId="3" borderId="7" xfId="0" applyNumberFormat="1" applyFont="1" applyFill="1" applyBorder="1" applyAlignment="1">
      <alignment horizontal="right" vertical="center"/>
    </xf>
    <xf numFmtId="0" fontId="18" fillId="10" borderId="16" xfId="66" applyFont="1" applyFill="1" applyBorder="1" applyAlignment="1">
      <alignment horizontal="left" vertical="center"/>
    </xf>
    <xf numFmtId="0" fontId="18" fillId="10" borderId="15" xfId="66" applyFont="1" applyFill="1" applyBorder="1" applyAlignment="1">
      <alignment horizontal="left" vertical="center"/>
    </xf>
    <xf numFmtId="0" fontId="18" fillId="10" borderId="18" xfId="66" applyFont="1" applyFill="1" applyBorder="1" applyAlignment="1">
      <alignment horizontal="left" vertical="center"/>
    </xf>
    <xf numFmtId="0" fontId="19" fillId="0" borderId="5" xfId="0" applyFont="1" applyBorder="1" applyAlignment="1">
      <alignment horizontal="right" vertical="center"/>
    </xf>
    <xf numFmtId="0" fontId="19" fillId="0" borderId="6" xfId="0" applyFont="1" applyBorder="1" applyAlignment="1">
      <alignment horizontal="right" vertical="center"/>
    </xf>
    <xf numFmtId="0" fontId="19" fillId="0" borderId="7" xfId="0" applyFont="1" applyBorder="1" applyAlignment="1">
      <alignment horizontal="right" vertical="center"/>
    </xf>
    <xf numFmtId="43" fontId="11" fillId="3" borderId="0" xfId="1" applyFont="1" applyFill="1" applyBorder="1" applyAlignment="1">
      <alignment horizontal="right" vertical="center" wrapText="1"/>
    </xf>
    <xf numFmtId="43" fontId="11" fillId="3" borderId="17" xfId="1" applyFont="1" applyFill="1" applyBorder="1" applyAlignment="1">
      <alignment horizontal="right" vertical="center" wrapText="1"/>
    </xf>
    <xf numFmtId="43" fontId="16" fillId="3" borderId="5" xfId="1" applyFont="1" applyFill="1" applyBorder="1" applyAlignment="1">
      <alignment horizontal="left" vertical="center"/>
    </xf>
    <xf numFmtId="43" fontId="16" fillId="3" borderId="6" xfId="1" applyFont="1" applyFill="1" applyBorder="1" applyAlignment="1">
      <alignment horizontal="left" vertical="center"/>
    </xf>
    <xf numFmtId="43" fontId="16" fillId="3" borderId="7" xfId="1" applyFont="1" applyFill="1" applyBorder="1" applyAlignment="1">
      <alignment horizontal="left" vertical="center"/>
    </xf>
    <xf numFmtId="43" fontId="16" fillId="3" borderId="5" xfId="1" applyFont="1" applyFill="1" applyBorder="1" applyAlignment="1">
      <alignment horizontal="center" vertical="center"/>
    </xf>
    <xf numFmtId="43" fontId="16" fillId="3" borderId="6" xfId="1" applyFont="1" applyFill="1" applyBorder="1" applyAlignment="1">
      <alignment horizontal="center" vertical="center"/>
    </xf>
    <xf numFmtId="43" fontId="16" fillId="3" borderId="7" xfId="1" applyFont="1" applyFill="1" applyBorder="1" applyAlignment="1">
      <alignment horizontal="center" vertical="center"/>
    </xf>
    <xf numFmtId="0" fontId="9" fillId="9" borderId="10" xfId="0" applyFont="1" applyFill="1" applyBorder="1" applyAlignment="1">
      <alignment vertical="center" wrapText="1"/>
    </xf>
    <xf numFmtId="0" fontId="9" fillId="9" borderId="11" xfId="0" applyFont="1" applyFill="1" applyBorder="1" applyAlignment="1">
      <alignment vertical="center" wrapText="1"/>
    </xf>
    <xf numFmtId="0" fontId="9" fillId="9" borderId="14" xfId="0" applyFont="1" applyFill="1" applyBorder="1" applyAlignment="1">
      <alignmen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2" fillId="2" borderId="2" xfId="66" applyFont="1" applyFill="1" applyBorder="1" applyAlignment="1">
      <alignment horizontal="left" vertical="center" wrapText="1"/>
    </xf>
    <xf numFmtId="0" fontId="2" fillId="2" borderId="3" xfId="66" applyFont="1" applyFill="1" applyBorder="1" applyAlignment="1">
      <alignment horizontal="left" vertical="center" wrapText="1"/>
    </xf>
    <xf numFmtId="0" fontId="6" fillId="2" borderId="5" xfId="66" applyFont="1" applyFill="1" applyBorder="1" applyAlignment="1">
      <alignment horizontal="center" vertical="center" wrapText="1"/>
    </xf>
    <xf numFmtId="0" fontId="6" fillId="2" borderId="6" xfId="66" applyFont="1" applyFill="1" applyBorder="1" applyAlignment="1">
      <alignment vertical="center" wrapText="1"/>
    </xf>
    <xf numFmtId="0" fontId="6" fillId="2" borderId="7" xfId="66" applyFont="1" applyFill="1" applyBorder="1" applyAlignment="1">
      <alignment horizontal="center" vertical="center" wrapText="1"/>
    </xf>
    <xf numFmtId="0" fontId="6" fillId="2" borderId="6" xfId="66" applyFont="1" applyFill="1" applyBorder="1" applyAlignment="1">
      <alignment horizontal="center" vertical="center" wrapText="1"/>
    </xf>
    <xf numFmtId="0" fontId="6" fillId="2" borderId="6" xfId="66" applyFont="1" applyFill="1" applyBorder="1" applyAlignment="1">
      <alignment horizontal="left" vertical="center" wrapText="1"/>
    </xf>
    <xf numFmtId="0" fontId="6" fillId="2" borderId="1" xfId="66" applyFont="1" applyFill="1" applyBorder="1" applyAlignment="1">
      <alignment horizontal="center" vertical="center" wrapText="1"/>
    </xf>
    <xf numFmtId="49" fontId="6" fillId="2" borderId="1" xfId="66" applyNumberFormat="1" applyFont="1" applyFill="1" applyBorder="1" applyAlignment="1">
      <alignment horizontal="center" vertical="center" wrapText="1"/>
    </xf>
    <xf numFmtId="0" fontId="6" fillId="2" borderId="2" xfId="66" applyFont="1" applyFill="1" applyBorder="1" applyAlignment="1">
      <alignment horizontal="center" vertical="center" wrapText="1"/>
    </xf>
    <xf numFmtId="0" fontId="6" fillId="2" borderId="3" xfId="66" applyFont="1" applyFill="1" applyBorder="1" applyAlignment="1">
      <alignment horizontal="center" vertical="center" wrapText="1"/>
    </xf>
    <xf numFmtId="164" fontId="6" fillId="2" borderId="1" xfId="66" applyNumberFormat="1" applyFont="1" applyFill="1" applyBorder="1" applyAlignment="1">
      <alignment horizontal="center" vertical="center" wrapText="1"/>
    </xf>
    <xf numFmtId="20" fontId="6" fillId="2" borderId="1" xfId="66" applyNumberFormat="1" applyFont="1" applyFill="1" applyBorder="1" applyAlignment="1">
      <alignment horizontal="center" vertical="center" wrapText="1"/>
    </xf>
    <xf numFmtId="165" fontId="6" fillId="2" borderId="1" xfId="66" applyNumberFormat="1" applyFont="1" applyFill="1" applyBorder="1" applyAlignment="1">
      <alignment horizontal="center" vertical="center" wrapText="1"/>
    </xf>
    <xf numFmtId="1" fontId="6" fillId="2" borderId="1" xfId="66" applyNumberFormat="1" applyFont="1" applyFill="1" applyBorder="1" applyAlignment="1">
      <alignment horizontal="center" vertical="center" wrapText="1"/>
    </xf>
  </cellXfs>
  <cellStyles count="114">
    <cellStyle name="20% - Accent1 2" xfId="3" xr:uid="{00000000-0005-0000-0000-000031000000}"/>
    <cellStyle name="20% - Accent2 2" xfId="4" xr:uid="{00000000-0005-0000-0000-000032000000}"/>
    <cellStyle name="20% - Accent3 2" xfId="5" xr:uid="{00000000-0005-0000-0000-000033000000}"/>
    <cellStyle name="20% - Accent4 2" xfId="6" xr:uid="{00000000-0005-0000-0000-000034000000}"/>
    <cellStyle name="20% - Accent5 2" xfId="7" xr:uid="{00000000-0005-0000-0000-000035000000}"/>
    <cellStyle name="20% - Accent6 2" xfId="8" xr:uid="{00000000-0005-0000-0000-000036000000}"/>
    <cellStyle name="40% - Accent1 2" xfId="9" xr:uid="{00000000-0005-0000-0000-000037000000}"/>
    <cellStyle name="40% - Accent2 2" xfId="10" xr:uid="{00000000-0005-0000-0000-000038000000}"/>
    <cellStyle name="40% - Accent3 2" xfId="11" xr:uid="{00000000-0005-0000-0000-000039000000}"/>
    <cellStyle name="40% - Accent4 2" xfId="12" xr:uid="{00000000-0005-0000-0000-00003A000000}"/>
    <cellStyle name="40% - Accent5 2" xfId="13" xr:uid="{00000000-0005-0000-0000-00003B000000}"/>
    <cellStyle name="40% - Accent6 2" xfId="14" xr:uid="{00000000-0005-0000-0000-00003C000000}"/>
    <cellStyle name="60% - Accent1 2" xfId="15" xr:uid="{00000000-0005-0000-0000-00003D000000}"/>
    <cellStyle name="60% - Accent1 3" xfId="16" xr:uid="{00000000-0005-0000-0000-00003E000000}"/>
    <cellStyle name="60% - Accent2 2" xfId="17" xr:uid="{00000000-0005-0000-0000-00003F000000}"/>
    <cellStyle name="60% - Accent2 3" xfId="18" xr:uid="{00000000-0005-0000-0000-000040000000}"/>
    <cellStyle name="60% - Accent3 2" xfId="19" xr:uid="{00000000-0005-0000-0000-000041000000}"/>
    <cellStyle name="60% - Accent3 3" xfId="20" xr:uid="{00000000-0005-0000-0000-000042000000}"/>
    <cellStyle name="60% - Accent4 2" xfId="21" xr:uid="{00000000-0005-0000-0000-000043000000}"/>
    <cellStyle name="60% - Accent4 3" xfId="22" xr:uid="{00000000-0005-0000-0000-000044000000}"/>
    <cellStyle name="60% - Accent5 2" xfId="23" xr:uid="{00000000-0005-0000-0000-000045000000}"/>
    <cellStyle name="60% - Accent5 3" xfId="24" xr:uid="{00000000-0005-0000-0000-000046000000}"/>
    <cellStyle name="60% - Accent6 2" xfId="25" xr:uid="{00000000-0005-0000-0000-000047000000}"/>
    <cellStyle name="60% - Accent6 3" xfId="26" xr:uid="{00000000-0005-0000-0000-000048000000}"/>
    <cellStyle name="Accent1 2" xfId="27" xr:uid="{00000000-0005-0000-0000-000049000000}"/>
    <cellStyle name="Accent2 2" xfId="28" xr:uid="{00000000-0005-0000-0000-00004A000000}"/>
    <cellStyle name="Accent3 2" xfId="29" xr:uid="{00000000-0005-0000-0000-00004B000000}"/>
    <cellStyle name="Accent4 2" xfId="30" xr:uid="{00000000-0005-0000-0000-00004C000000}"/>
    <cellStyle name="Accent5 2" xfId="31" xr:uid="{00000000-0005-0000-0000-00004D000000}"/>
    <cellStyle name="Accent6 2" xfId="32" xr:uid="{00000000-0005-0000-0000-00004E000000}"/>
    <cellStyle name="Bad 2" xfId="33" xr:uid="{00000000-0005-0000-0000-00004F000000}"/>
    <cellStyle name="Calculation 2" xfId="34" xr:uid="{00000000-0005-0000-0000-000050000000}"/>
    <cellStyle name="Check Cell 2" xfId="35" xr:uid="{00000000-0005-0000-0000-000051000000}"/>
    <cellStyle name="Comma" xfId="1" builtinId="3"/>
    <cellStyle name="Comma [0] 2" xfId="36" xr:uid="{00000000-0005-0000-0000-000052000000}"/>
    <cellStyle name="Comma 2" xfId="37" xr:uid="{00000000-0005-0000-0000-000053000000}"/>
    <cellStyle name="Comma 3" xfId="38" xr:uid="{00000000-0005-0000-0000-000054000000}"/>
    <cellStyle name="Comma 36" xfId="39" xr:uid="{00000000-0005-0000-0000-000055000000}"/>
    <cellStyle name="Comma 4" xfId="40" xr:uid="{00000000-0005-0000-0000-000056000000}"/>
    <cellStyle name="Comma 42" xfId="41" xr:uid="{00000000-0005-0000-0000-000057000000}"/>
    <cellStyle name="Comma 43" xfId="42" xr:uid="{00000000-0005-0000-0000-000058000000}"/>
    <cellStyle name="Explanatory Text 2" xfId="43" xr:uid="{00000000-0005-0000-0000-000059000000}"/>
    <cellStyle name="Good 2" xfId="44" xr:uid="{00000000-0005-0000-0000-00005A000000}"/>
    <cellStyle name="Heading 1 2" xfId="45" xr:uid="{00000000-0005-0000-0000-00005B000000}"/>
    <cellStyle name="Heading 2 2" xfId="46" xr:uid="{00000000-0005-0000-0000-00005C000000}"/>
    <cellStyle name="Heading 3 2" xfId="47" xr:uid="{00000000-0005-0000-0000-00005D000000}"/>
    <cellStyle name="Heading 4 2" xfId="48" xr:uid="{00000000-0005-0000-0000-00005E000000}"/>
    <cellStyle name="Input 2" xfId="49" xr:uid="{00000000-0005-0000-0000-00005F000000}"/>
    <cellStyle name="Linked Cell 2" xfId="50" xr:uid="{00000000-0005-0000-0000-000060000000}"/>
    <cellStyle name="Neutral 2" xfId="51" xr:uid="{00000000-0005-0000-0000-000061000000}"/>
    <cellStyle name="Neutral 3" xfId="52" xr:uid="{00000000-0005-0000-0000-000062000000}"/>
    <cellStyle name="Normal" xfId="0" builtinId="0"/>
    <cellStyle name="Normal 10" xfId="53" xr:uid="{00000000-0005-0000-0000-000063000000}"/>
    <cellStyle name="Normal 11" xfId="54" xr:uid="{00000000-0005-0000-0000-000064000000}"/>
    <cellStyle name="Normal 12" xfId="55" xr:uid="{00000000-0005-0000-0000-000065000000}"/>
    <cellStyle name="Normal 13" xfId="56" xr:uid="{00000000-0005-0000-0000-000066000000}"/>
    <cellStyle name="Normal 14" xfId="57" xr:uid="{00000000-0005-0000-0000-000067000000}"/>
    <cellStyle name="Normal 15" xfId="58" xr:uid="{00000000-0005-0000-0000-000068000000}"/>
    <cellStyle name="Normal 16" xfId="59" xr:uid="{00000000-0005-0000-0000-000069000000}"/>
    <cellStyle name="Normal 17 2 3" xfId="60" xr:uid="{00000000-0005-0000-0000-00006A000000}"/>
    <cellStyle name="Normal 17 2 3 2" xfId="61" xr:uid="{00000000-0005-0000-0000-00006B000000}"/>
    <cellStyle name="Normal 18" xfId="62" xr:uid="{00000000-0005-0000-0000-00006C000000}"/>
    <cellStyle name="Normal 19" xfId="63" xr:uid="{00000000-0005-0000-0000-00006D000000}"/>
    <cellStyle name="Normal 2" xfId="64" xr:uid="{00000000-0005-0000-0000-00006E000000}"/>
    <cellStyle name="Normal 2 2" xfId="65" xr:uid="{00000000-0005-0000-0000-00006F000000}"/>
    <cellStyle name="Normal 2 2 2" xfId="66" xr:uid="{00000000-0005-0000-0000-000070000000}"/>
    <cellStyle name="Normal 2 2 3" xfId="67" xr:uid="{00000000-0005-0000-0000-000071000000}"/>
    <cellStyle name="Normal 2 3" xfId="68" xr:uid="{00000000-0005-0000-0000-000072000000}"/>
    <cellStyle name="Normal 2 4" xfId="69" xr:uid="{00000000-0005-0000-0000-000073000000}"/>
    <cellStyle name="Normal 2 5" xfId="70" xr:uid="{00000000-0005-0000-0000-000074000000}"/>
    <cellStyle name="Normal 2 6" xfId="71" xr:uid="{00000000-0005-0000-0000-000075000000}"/>
    <cellStyle name="Normal 2 7" xfId="72" xr:uid="{00000000-0005-0000-0000-000076000000}"/>
    <cellStyle name="Normal 2 8" xfId="73" xr:uid="{00000000-0005-0000-0000-000077000000}"/>
    <cellStyle name="Normal 20" xfId="74" xr:uid="{00000000-0005-0000-0000-000078000000}"/>
    <cellStyle name="Normal 21" xfId="75" xr:uid="{00000000-0005-0000-0000-000079000000}"/>
    <cellStyle name="Normal 22" xfId="76" xr:uid="{00000000-0005-0000-0000-00007A000000}"/>
    <cellStyle name="Normal 23" xfId="77" xr:uid="{00000000-0005-0000-0000-00007B000000}"/>
    <cellStyle name="Normal 24" xfId="78" xr:uid="{00000000-0005-0000-0000-00007C000000}"/>
    <cellStyle name="Normal 25" xfId="79" xr:uid="{00000000-0005-0000-0000-00007D000000}"/>
    <cellStyle name="Normal 26" xfId="80" xr:uid="{00000000-0005-0000-0000-00007E000000}"/>
    <cellStyle name="Normal 27" xfId="81" xr:uid="{00000000-0005-0000-0000-00007F000000}"/>
    <cellStyle name="Normal 28" xfId="82" xr:uid="{00000000-0005-0000-0000-000080000000}"/>
    <cellStyle name="Normal 29" xfId="83" xr:uid="{00000000-0005-0000-0000-000081000000}"/>
    <cellStyle name="Normal 3" xfId="84" xr:uid="{00000000-0005-0000-0000-000082000000}"/>
    <cellStyle name="Normal 3 2" xfId="85" xr:uid="{00000000-0005-0000-0000-000083000000}"/>
    <cellStyle name="Normal 30" xfId="86" xr:uid="{00000000-0005-0000-0000-000084000000}"/>
    <cellStyle name="Normal 31" xfId="87" xr:uid="{00000000-0005-0000-0000-000085000000}"/>
    <cellStyle name="Normal 32" xfId="88" xr:uid="{00000000-0005-0000-0000-000086000000}"/>
    <cellStyle name="Normal 33" xfId="89" xr:uid="{00000000-0005-0000-0000-000087000000}"/>
    <cellStyle name="Normal 35" xfId="90" xr:uid="{00000000-0005-0000-0000-000088000000}"/>
    <cellStyle name="Normal 36" xfId="91" xr:uid="{00000000-0005-0000-0000-000089000000}"/>
    <cellStyle name="Normal 37" xfId="92" xr:uid="{00000000-0005-0000-0000-00008A000000}"/>
    <cellStyle name="Normal 38" xfId="93" xr:uid="{00000000-0005-0000-0000-00008B000000}"/>
    <cellStyle name="Normal 39" xfId="94" xr:uid="{00000000-0005-0000-0000-00008C000000}"/>
    <cellStyle name="Normal 4" xfId="95" xr:uid="{00000000-0005-0000-0000-00008D000000}"/>
    <cellStyle name="Normal 4 2" xfId="96" xr:uid="{00000000-0005-0000-0000-00008E000000}"/>
    <cellStyle name="Normal 40" xfId="97" xr:uid="{00000000-0005-0000-0000-00008F000000}"/>
    <cellStyle name="Normal 41" xfId="98" xr:uid="{00000000-0005-0000-0000-000090000000}"/>
    <cellStyle name="Normal 42" xfId="99" xr:uid="{00000000-0005-0000-0000-000091000000}"/>
    <cellStyle name="Normal 43" xfId="100" xr:uid="{00000000-0005-0000-0000-000092000000}"/>
    <cellStyle name="Normal 44" xfId="101" xr:uid="{00000000-0005-0000-0000-000093000000}"/>
    <cellStyle name="Normal 45" xfId="102" xr:uid="{00000000-0005-0000-0000-000094000000}"/>
    <cellStyle name="Normal 5" xfId="103" xr:uid="{00000000-0005-0000-0000-000095000000}"/>
    <cellStyle name="Normal 5 2" xfId="104" xr:uid="{00000000-0005-0000-0000-000096000000}"/>
    <cellStyle name="Normal 6" xfId="105" xr:uid="{00000000-0005-0000-0000-000097000000}"/>
    <cellStyle name="Normal 7" xfId="106" xr:uid="{00000000-0005-0000-0000-000098000000}"/>
    <cellStyle name="Normal 8" xfId="107" xr:uid="{00000000-0005-0000-0000-000099000000}"/>
    <cellStyle name="Normal 9" xfId="108" xr:uid="{00000000-0005-0000-0000-00009A000000}"/>
    <cellStyle name="Note 2" xfId="109" xr:uid="{00000000-0005-0000-0000-00009B000000}"/>
    <cellStyle name="Output 2" xfId="110" xr:uid="{00000000-0005-0000-0000-00009C000000}"/>
    <cellStyle name="Percent" xfId="2" builtinId="5"/>
    <cellStyle name="Title 2" xfId="111" xr:uid="{00000000-0005-0000-0000-00009D000000}"/>
    <cellStyle name="Total 2" xfId="112" xr:uid="{00000000-0005-0000-0000-00009E000000}"/>
    <cellStyle name="Warning Text 2" xfId="113" xr:uid="{00000000-0005-0000-0000-00009F000000}"/>
  </cellStyles>
  <dxfs count="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66FF"/>
      <color rgb="FFFF7C80"/>
      <color rgb="FFFF99CC"/>
      <color rgb="FFFF00FF"/>
      <color rgb="FF33CCFF"/>
      <color rgb="FF00FFFF"/>
      <color rgb="FFFFFF99"/>
      <color rgb="FF89E0FF"/>
      <color rgb="FF00CC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2.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externalLink" Target="externalLinks/externalLink11.xml"/><Relationship Id="rId29" Type="http://www.wps.cn/officeDocument/2021/sharedlinks" Target="NUL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10" Type="http://schemas.openxmlformats.org/officeDocument/2006/relationships/externalLink" Target="externalLinks/externalLink1.xml"/><Relationship Id="rId19" Type="http://schemas.openxmlformats.org/officeDocument/2006/relationships/externalLink" Target="externalLinks/externalLink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 Id="rId22" Type="http://schemas.openxmlformats.org/officeDocument/2006/relationships/externalLink" Target="externalLinks/externalLink13.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6</xdr:col>
      <xdr:colOff>188625</xdr:colOff>
      <xdr:row>0</xdr:row>
      <xdr:rowOff>19050</xdr:rowOff>
    </xdr:from>
    <xdr:to>
      <xdr:col>6</xdr:col>
      <xdr:colOff>1085056</xdr:colOff>
      <xdr:row>0</xdr:row>
      <xdr:rowOff>645257</xdr:rowOff>
    </xdr:to>
    <xdr:pic>
      <xdr:nvPicPr>
        <xdr:cNvPr id="2" name="Picture 7" descr="logo">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401975" y="19050"/>
          <a:ext cx="896431" cy="626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1761844</xdr:colOff>
      <xdr:row>0</xdr:row>
      <xdr:rowOff>0</xdr:rowOff>
    </xdr:from>
    <xdr:to>
      <xdr:col>9</xdr:col>
      <xdr:colOff>3733519</xdr:colOff>
      <xdr:row>1</xdr:row>
      <xdr:rowOff>95250</xdr:rowOff>
    </xdr:to>
    <xdr:pic>
      <xdr:nvPicPr>
        <xdr:cNvPr id="2" name="Picture 7" descr="logo">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831094" y="0"/>
          <a:ext cx="1971675"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0300-000001D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6</xdr:col>
      <xdr:colOff>2178323</xdr:colOff>
      <xdr:row>1</xdr:row>
      <xdr:rowOff>22225</xdr:rowOff>
    </xdr:from>
    <xdr:to>
      <xdr:col>6</xdr:col>
      <xdr:colOff>3676648</xdr:colOff>
      <xdr:row>2</xdr:row>
      <xdr:rowOff>50801</xdr:rowOff>
    </xdr:to>
    <xdr:pic>
      <xdr:nvPicPr>
        <xdr:cNvPr id="2" name="Picture 7"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7196073" y="371475"/>
          <a:ext cx="1498325" cy="9017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13</xdr:col>
      <xdr:colOff>73093</xdr:colOff>
      <xdr:row>0</xdr:row>
      <xdr:rowOff>185788</xdr:rowOff>
    </xdr:from>
    <xdr:to>
      <xdr:col>15</xdr:col>
      <xdr:colOff>314129</xdr:colOff>
      <xdr:row>0</xdr:row>
      <xdr:rowOff>988609</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2296843" y="185788"/>
          <a:ext cx="1743869"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6</xdr:col>
      <xdr:colOff>541259</xdr:colOff>
      <xdr:row>0</xdr:row>
      <xdr:rowOff>435428</xdr:rowOff>
    </xdr:from>
    <xdr:to>
      <xdr:col>7</xdr:col>
      <xdr:colOff>79376</xdr:colOff>
      <xdr:row>0</xdr:row>
      <xdr:rowOff>1211035</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4439900" y="434975"/>
          <a:ext cx="1834515" cy="7759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30480</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ablet/Download/C:/tablet/Download/PC1/Users/Salasiah/Desktop/EO%202/SEPTEMBER/BPA/EO/Deduction/NONIE%20BAGI/SK%20Pendrive/nana/PERFORMANCE%20REPORT/BPA/2011/repot%20team%202010/DATABASE%20MASTER/dak%20man/OUTSTANDING%20PAYMENT/TOTAL%20OUTSTANDING%20PAYMENT%20(Ogos08).xls" TargetMode="External"/><Relationship Id="rId2" Type="http://schemas.microsoft.com/office/2019/04/relationships/externalLinkLongPath" Target="/tablet/Download/C:/tablet/Download/PC1/Users/Salasiah/Desktop/EO%202/SEPTEMBER/BPA/EO/Deduction/NONIE%20BAGI/SK%20Pendrive/nana/PERFORMANCE%20REPORT/BPA/2011/repot%20team%202010/DATABASE%20MASTER/dak%20man/OUTSTANDING%20PAYMENT/TOTAL%20OUTSTANDING%20PAYMENT%20(Ogos08).xls?5D3F9A08" TargetMode="External"/><Relationship Id="rId1" Type="http://schemas.openxmlformats.org/officeDocument/2006/relationships/externalLinkPath" Target="file:///\\5D3F9A08\TOTAL%20OUTSTANDING%20PAYMENT%20(Ogos08).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tablet/Download/C:/tablet/Download/Quinnie/DRAFT%20FOLDER/Cost%20estimate/NIF%20RMSB%2026.12.2002/VO%20-%20RMSB%20FEMS%2026.12.2002%20CFRates.xls" TargetMode="External"/><Relationship Id="rId1" Type="http://schemas.openxmlformats.org/officeDocument/2006/relationships/externalLinkPath" Target="/tablet/Download/C:/tablet/Download/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tablet/Download/C:/tablet/Download/C:/Users/Head%20Of%20BEMS/Desktop/Document/mapping/LETTER/2024/MAPPING%20BEMS_IKN%20MAY%202024.xlsx" TargetMode="External"/><Relationship Id="rId1" Type="http://schemas.openxmlformats.org/officeDocument/2006/relationships/externalLinkPath" Target="/tablet/Download/C:/tablet/Download/C:/Users/Head%20Of%20BEMS/Desktop/Document/mapping/LETTER/2024/MAPPING%20BEMS_IKN%20MAY%202024.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ablet/Download/C:/tablet/Download/02DAD46E/TOTAL%20OUTSTANDING%20PAYMENT%20(Ogos08).xls" TargetMode="External"/><Relationship Id="rId1" Type="http://schemas.openxmlformats.org/officeDocument/2006/relationships/externalLinkPath" Target="/tablet/Download/C:/tablet/Download/02DAD46E/TOTAL%20OUTSTANDING%20PAYMENT%20(Ogos08).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tablet/Download/C:/tablet/Download/PC2/Users/Public/Documents/MAPPING%20BEMS_IKN%20(Dec%202020)-1st%20draft%2006012021.xlsx" TargetMode="External"/><Relationship Id="rId1" Type="http://schemas.openxmlformats.org/officeDocument/2006/relationships/externalLinkPath" Target="/tablet/Download/C:/tablet/Download/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tablet/Download/C:/tablet/Download/hq/medivest/Users/acer/Documents/data%20laptop%20apsb%20latest/lain-lain%202012/Yearly%20Planner%202013%20SBN.xls" TargetMode="External"/><Relationship Id="rId1" Type="http://schemas.openxmlformats.org/officeDocument/2006/relationships/externalLinkPath" Target="/tablet/Download/C:/tablet/Download/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tablet/Download/C:/tablet/Download/hq/medivest/Users/AP%20KLG/Documents/data%20laptop%20apsb%20latest@120413/folder%20for%20staff%20contract%20(ira)/warranty/yearly%20planner%202013%20as%20at%2019_2_13.xls" TargetMode="External"/><Relationship Id="rId1" Type="http://schemas.openxmlformats.org/officeDocument/2006/relationships/externalLinkPath" Target="/tablet/Download/C:/tablet/Download/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tablet/Download/C:/tablet/Download/C:/Users/user/AppData/Local/Microsoft/Windows/INetCache/Content.Outlook/P1J7AALU/MAPPING%20BEMS_IKN%20DEC%202023.xlsx" TargetMode="External"/><Relationship Id="rId1" Type="http://schemas.openxmlformats.org/officeDocument/2006/relationships/externalLinkPath" Target="/tablet/Download/C:/tablet/Download/C:/Users/user/AppData/Local/Microsoft/Windows/INetCache/Content.Outlook/P1J7AALU/MAPPING%20BEMS_IKN%20DEC%202023.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tablet/Download/C:/tablet/Download/C:/Users/user/AppData/Local/Microsoft/Windows/INetCache/Content.Outlook/S9UTTOG3/MAPPING%20MAY%202024%20B3.xlsx" TargetMode="External"/><Relationship Id="rId1" Type="http://schemas.openxmlformats.org/officeDocument/2006/relationships/externalLinkPath" Target="/tablet/Download/C:/tablet/Download/C:/Users/user/AppData/Local/Microsoft/Windows/INetCache/Content.Outlook/S9UTTOG3/MAPPING%20MAY%202024%20B3.xlsx"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tablet/Download/C:/tablet/Download/C:/Users/Head%20Of%20BEMS/Desktop/Document/mapping/LETTER/2024/MAPPING%20BEMS_IKN%20FEB%202024.xlsx" TargetMode="External"/><Relationship Id="rId1" Type="http://schemas.openxmlformats.org/officeDocument/2006/relationships/externalLinkPath" Target="/tablet/Download/C:/tablet/Download/C:/Users/Head%20Of%20BEMS/Desktop/Document/mapping/LETTER/2024/MAPPING%20BEMS_IKN%20FEB%202024.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tablet/Download/C:/tablet/Download/C:/Users/User/Desktop/MAPPING%20PREVCM/MAPPING%20BEMS%20MAY%202025.xlsx" TargetMode="External"/><Relationship Id="rId1" Type="http://schemas.openxmlformats.org/officeDocument/2006/relationships/externalLinkPath" Target="/tablet/Download/C:/tablet/Download/C:/Users/User/Desktop/MAPPING%20PREVCM/MAPPING%20BEMS%20MAY%202025.xlsx"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tablet/Download/C:/tablet/Download/PC1/Users/CC%20copy's/Simulation%20on%20Taiping/DAR_HWMS%20sample.xls" TargetMode="External"/><Relationship Id="rId1" Type="http://schemas.openxmlformats.org/officeDocument/2006/relationships/externalLinkPath" Target="/tablet/Download/C:/tablet/Download/PC1/Users/CC%20copy's/Simulation%20on%20Taiping/DAR_HWMS%20sample.xls" TargetMode="External"/></Relationships>
</file>

<file path=xl/externalLinks/_rels/externalLink13.xml.rels><?xml version="1.0" encoding="UTF-8" standalone="yes"?>
<Relationships xmlns="http://schemas.openxmlformats.org/package/2006/relationships"><Relationship Id="rId2" Type="http://schemas.openxmlformats.org/officeDocument/2006/relationships/externalLinkPath" Target="../../../tablet/Download/C:/tablet/Download/C:/Users/User/Desktop/DAILY%20LOG%20IKN/ASSET%20MASTERLIST%20NCI/Asset%20Masterlist%20NCI%20update%2029112024.xlsx" TargetMode="External"/><Relationship Id="rId1" Type="http://schemas.openxmlformats.org/officeDocument/2006/relationships/externalLinkPath" Target="/tablet/Download/C:/tablet/Download/C:/Users/User/Desktop/DAILY%20LOG%20IKN/ASSET%20MASTERLIST%20NCI/Asset%20Masterlist%20NCI%20update%2029112024.xlsx"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tablet/Download/C:/tablet/Download/C:/Users/User/Downloads/MAPPING_BEMS_AUG_2025%20(2).xlsx" TargetMode="External"/><Relationship Id="rId1" Type="http://schemas.openxmlformats.org/officeDocument/2006/relationships/externalLinkPath" Target="/tablet/Download/C:/tablet/Download/C:/Users/User/Downloads/MAPPING_BEMS_AUG_2025%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3"/>
    </xxl21:alternateUrls>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sheetName val="B4-UPTIME "/>
      <sheetName val="B4-UPTIME updated"/>
      <sheetName val="B5-T&amp;C"/>
      <sheetName val="Sheet1 "/>
      <sheetName val="Sheet1"/>
      <sheetName val="Sheet2"/>
      <sheetName val="BEM1/25Sdar"/>
    </sheetNames>
    <sheetDataSet>
      <sheetData sheetId="0"/>
      <sheetData sheetId="1"/>
      <sheetData sheetId="2"/>
      <sheetData sheetId="3">
        <row r="8">
          <cell r="L8">
            <v>45443</v>
          </cell>
        </row>
      </sheetData>
      <sheetData sheetId="4"/>
      <sheetData sheetId="5"/>
      <sheetData sheetId="6"/>
      <sheetData sheetId="7"/>
      <sheetData sheetId="8"/>
      <sheetData sheetId="9"/>
      <sheetData sheetId="10"/>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3-SCHEDULED (2)"/>
      <sheetName val="KDI"/>
      <sheetName val="Public Holiday"/>
      <sheetName val="BEMSdar"/>
      <sheetName val="B1&amp; B2 UNSCHEDULED"/>
      <sheetName val="B3-SCHEDULED "/>
      <sheetName val="B4-UPTIME "/>
      <sheetName val="B5-T&amp;C"/>
      <sheetName val="Sheet1"/>
      <sheetName val="Sheet2"/>
      <sheetName val="B3-SCHEDULED"/>
      <sheetName val="B4-UPTIME"/>
      <sheetName val="B5-T&amp;C (UPDATE)"/>
    </sheetNames>
    <sheetDataSet>
      <sheetData sheetId="0"/>
      <sheetData sheetId="1" refreshError="1"/>
      <sheetData sheetId="2">
        <row r="3">
          <cell r="A3">
            <v>44927</v>
          </cell>
        </row>
        <row r="4">
          <cell r="A4">
            <v>45292</v>
          </cell>
        </row>
        <row r="5">
          <cell r="A5">
            <v>44928</v>
          </cell>
        </row>
        <row r="6">
          <cell r="A6">
            <v>45316</v>
          </cell>
        </row>
        <row r="7">
          <cell r="A7">
            <v>44948</v>
          </cell>
        </row>
        <row r="8">
          <cell r="A8">
            <v>45323</v>
          </cell>
        </row>
        <row r="9">
          <cell r="A9">
            <v>44584</v>
          </cell>
        </row>
        <row r="10">
          <cell r="A10">
            <v>45332</v>
          </cell>
        </row>
        <row r="11">
          <cell r="A11">
            <v>44585</v>
          </cell>
        </row>
        <row r="12">
          <cell r="A12">
            <v>45333</v>
          </cell>
        </row>
        <row r="13">
          <cell r="A13">
            <v>44958</v>
          </cell>
        </row>
        <row r="14">
          <cell r="A14">
            <v>45334</v>
          </cell>
        </row>
        <row r="15">
          <cell r="A15">
            <v>44962</v>
          </cell>
        </row>
        <row r="16">
          <cell r="A16">
            <v>45379</v>
          </cell>
        </row>
        <row r="17">
          <cell r="A17">
            <v>44963</v>
          </cell>
        </row>
        <row r="18">
          <cell r="A18">
            <v>45392</v>
          </cell>
        </row>
        <row r="19">
          <cell r="A19">
            <v>45024</v>
          </cell>
        </row>
        <row r="20">
          <cell r="A20">
            <v>45393</v>
          </cell>
        </row>
        <row r="21">
          <cell r="A21">
            <v>45037</v>
          </cell>
        </row>
        <row r="22">
          <cell r="A22">
            <v>45413</v>
          </cell>
        </row>
        <row r="23">
          <cell r="A23">
            <v>45038</v>
          </cell>
        </row>
        <row r="24">
          <cell r="A24">
            <v>45434</v>
          </cell>
        </row>
        <row r="25">
          <cell r="A25">
            <v>45039</v>
          </cell>
        </row>
        <row r="26">
          <cell r="A26">
            <v>45446</v>
          </cell>
        </row>
        <row r="27">
          <cell r="A27">
            <v>45040</v>
          </cell>
        </row>
        <row r="28">
          <cell r="A28">
            <v>45460</v>
          </cell>
        </row>
        <row r="29">
          <cell r="A29">
            <v>45047</v>
          </cell>
        </row>
        <row r="30">
          <cell r="A30">
            <v>45480</v>
          </cell>
        </row>
        <row r="31">
          <cell r="A31">
            <v>45050</v>
          </cell>
        </row>
        <row r="32">
          <cell r="A32">
            <v>45481</v>
          </cell>
        </row>
        <row r="33">
          <cell r="A33">
            <v>45082</v>
          </cell>
        </row>
        <row r="34">
          <cell r="A34">
            <v>45535</v>
          </cell>
        </row>
        <row r="35">
          <cell r="A35">
            <v>45106</v>
          </cell>
        </row>
        <row r="36">
          <cell r="A36">
            <v>45551</v>
          </cell>
        </row>
        <row r="37">
          <cell r="A37">
            <v>45126</v>
          </cell>
        </row>
        <row r="38">
          <cell r="A38">
            <v>45551</v>
          </cell>
        </row>
        <row r="39">
          <cell r="A39">
            <v>45169</v>
          </cell>
        </row>
        <row r="40">
          <cell r="A40">
            <v>45552</v>
          </cell>
        </row>
        <row r="41">
          <cell r="A41">
            <v>45185</v>
          </cell>
        </row>
        <row r="42">
          <cell r="A42">
            <v>45596</v>
          </cell>
        </row>
        <row r="43">
          <cell r="A43">
            <v>45197</v>
          </cell>
        </row>
        <row r="44">
          <cell r="A44">
            <v>45651</v>
          </cell>
        </row>
        <row r="45">
          <cell r="A45">
            <v>45242</v>
          </cell>
        </row>
        <row r="47">
          <cell r="A47">
            <v>45243</v>
          </cell>
        </row>
        <row r="49">
          <cell r="A49">
            <v>45285</v>
          </cell>
        </row>
      </sheetData>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hantar"/>
      <sheetName val="B3-SCHEDULED (2)"/>
      <sheetName val="B3-SCHEDULED"/>
      <sheetName val="B5-T&amp;C"/>
      <sheetName val="B4-UPTIME"/>
      <sheetName val="Sheet1"/>
      <sheetName val="Sheet2"/>
    </sheetNames>
    <sheetDataSet>
      <sheetData sheetId="0" refreshError="1"/>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refreshError="1"/>
      <sheetData sheetId="4" refreshError="1"/>
      <sheetData sheetId="5"/>
      <sheetData sheetId="6" refreshError="1"/>
      <sheetData sheetId="7" refreshError="1"/>
      <sheetData sheetId="8" refreshError="1"/>
      <sheetData sheetId="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sheetName val="B4-UPTIME"/>
      <sheetName val="B4-UPTIME updated"/>
      <sheetName val="B5-T&amp;C"/>
      <sheetName val="Sheet1"/>
      <sheetName val="Sheet2"/>
    </sheetNames>
    <sheetDataSet>
      <sheetData sheetId="0"/>
      <sheetData sheetId="1">
        <row r="4">
          <cell r="A4">
            <v>45292</v>
          </cell>
        </row>
        <row r="6">
          <cell r="A6">
            <v>45316</v>
          </cell>
        </row>
        <row r="8">
          <cell r="A8">
            <v>45323</v>
          </cell>
        </row>
        <row r="10">
          <cell r="A10">
            <v>45332</v>
          </cell>
        </row>
        <row r="12">
          <cell r="A12">
            <v>45333</v>
          </cell>
        </row>
        <row r="14">
          <cell r="A14">
            <v>45334</v>
          </cell>
        </row>
        <row r="16">
          <cell r="A16">
            <v>45379</v>
          </cell>
        </row>
        <row r="18">
          <cell r="A18">
            <v>45392</v>
          </cell>
        </row>
        <row r="20">
          <cell r="A20">
            <v>45393</v>
          </cell>
        </row>
        <row r="22">
          <cell r="A22">
            <v>45413</v>
          </cell>
        </row>
        <row r="24">
          <cell r="A24">
            <v>45434</v>
          </cell>
        </row>
        <row r="26">
          <cell r="A26">
            <v>45446</v>
          </cell>
        </row>
        <row r="28">
          <cell r="A28">
            <v>45460</v>
          </cell>
        </row>
        <row r="30">
          <cell r="A30">
            <v>45480</v>
          </cell>
        </row>
        <row r="32">
          <cell r="A32">
            <v>45481</v>
          </cell>
        </row>
        <row r="34">
          <cell r="A34">
            <v>45535</v>
          </cell>
        </row>
        <row r="36">
          <cell r="A36">
            <v>45551</v>
          </cell>
        </row>
        <row r="38">
          <cell r="A38">
            <v>45551</v>
          </cell>
        </row>
        <row r="40">
          <cell r="A40">
            <v>45552</v>
          </cell>
        </row>
        <row r="42">
          <cell r="A42">
            <v>45596</v>
          </cell>
        </row>
        <row r="44">
          <cell r="A44">
            <v>45651</v>
          </cell>
        </row>
      </sheetData>
      <sheetData sheetId="2"/>
      <sheetData sheetId="3"/>
      <sheetData sheetId="4"/>
      <sheetData sheetId="5"/>
      <sheetData sheetId="6"/>
      <sheetData sheetId="7"/>
      <sheetData sheetId="8"/>
      <sheetData sheetId="9"/>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MAY)"/>
      <sheetName val="B4-UPTIME"/>
      <sheetName val="B5-T&amp;C"/>
      <sheetName val="Sheet1"/>
      <sheetName val="Sheet2"/>
    </sheetNames>
    <sheetDataSet>
      <sheetData sheetId="0" refreshError="1"/>
      <sheetData sheetId="1">
        <row r="4">
          <cell r="A4">
            <v>45658</v>
          </cell>
        </row>
        <row r="6">
          <cell r="A6">
            <v>45686</v>
          </cell>
        </row>
        <row r="8">
          <cell r="A8">
            <v>45687</v>
          </cell>
        </row>
        <row r="10">
          <cell r="A10">
            <v>45689</v>
          </cell>
        </row>
        <row r="12">
          <cell r="A12">
            <v>45699</v>
          </cell>
        </row>
        <row r="14">
          <cell r="A14">
            <v>45734</v>
          </cell>
        </row>
        <row r="16">
          <cell r="A16">
            <v>45748</v>
          </cell>
        </row>
        <row r="18">
          <cell r="A18">
            <v>45749</v>
          </cell>
        </row>
        <row r="20">
          <cell r="A20">
            <v>45778</v>
          </cell>
        </row>
        <row r="22">
          <cell r="A22">
            <v>45789</v>
          </cell>
        </row>
        <row r="24">
          <cell r="A24">
            <v>45810</v>
          </cell>
        </row>
        <row r="26">
          <cell r="A26">
            <v>45815</v>
          </cell>
        </row>
        <row r="28">
          <cell r="A28">
            <v>45816</v>
          </cell>
        </row>
        <row r="30">
          <cell r="A30">
            <v>45835</v>
          </cell>
        </row>
        <row r="32">
          <cell r="A32">
            <v>45900</v>
          </cell>
        </row>
        <row r="34">
          <cell r="A34">
            <v>45901</v>
          </cell>
        </row>
        <row r="36">
          <cell r="A36">
            <v>45905</v>
          </cell>
        </row>
        <row r="38">
          <cell r="A38">
            <v>45916</v>
          </cell>
        </row>
        <row r="40">
          <cell r="A40">
            <v>45950</v>
          </cell>
        </row>
        <row r="42">
          <cell r="A42">
            <v>46016</v>
          </cell>
        </row>
      </sheetData>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WMS 1"/>
      <sheetName val="HWMS 2"/>
    </sheetNames>
    <sheetDataSet>
      <sheetData sheetId="0"/>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setDetails_UEM"/>
      <sheetName val="NW"/>
      <sheetName val="AUDIT"/>
    </sheetNames>
    <sheetDataSet>
      <sheetData sheetId="0" refreshError="1">
        <row r="3">
          <cell r="A3" t="str">
            <v>IKN400557</v>
          </cell>
          <cell r="B3">
            <v>557</v>
          </cell>
          <cell r="C3" t="str">
            <v>Institut Kanser Negara</v>
          </cell>
          <cell r="D3" t="str">
            <v>KKM/IKN/H/17/9</v>
          </cell>
          <cell r="E3" t="str">
            <v>10-208</v>
          </cell>
          <cell r="F3" t="str">
            <v>Aspirators</v>
          </cell>
          <cell r="G3" t="str">
            <v>MC</v>
          </cell>
          <cell r="H3" t="str">
            <v>MULTI-DISCIPLINE CLINIC</v>
          </cell>
          <cell r="I3" t="str">
            <v>03MC107</v>
          </cell>
          <cell r="J3" t="str">
            <v>TREATMENT 1</v>
          </cell>
          <cell r="K3" t="str">
            <v>BMED</v>
          </cell>
          <cell r="L3" t="str">
            <v>Critical</v>
          </cell>
          <cell r="M3" t="str">
            <v>Italy</v>
          </cell>
          <cell r="N3" t="str">
            <v>Hospivac</v>
          </cell>
          <cell r="O3" t="str">
            <v>Hospivac 350</v>
          </cell>
          <cell r="P3" t="str">
            <v>140701786</v>
          </cell>
          <cell r="Q3" t="str">
            <v>Not Applicable</v>
          </cell>
          <cell r="R3" t="str">
            <v>Ca-Mi Snc</v>
          </cell>
          <cell r="S3" t="str">
            <v>ONE DENTAL SUPPLY AND MARKETING SDN BHD</v>
          </cell>
          <cell r="T3" t="str">
            <v>Functioning</v>
          </cell>
          <cell r="U3" t="str">
            <v>Asset</v>
          </cell>
          <cell r="V3">
            <v>4280</v>
          </cell>
          <cell r="W3" t="str">
            <v>KEW</v>
          </cell>
          <cell r="X3" t="str">
            <v>27/09/2017</v>
          </cell>
          <cell r="Y3" t="str">
            <v>KEW</v>
          </cell>
          <cell r="Z3" t="str">
            <v>13/11/2017</v>
          </cell>
          <cell r="AA3" t="str">
            <v>13/11/2018</v>
          </cell>
          <cell r="AB3" t="str">
            <v>No</v>
          </cell>
          <cell r="AC3" t="str">
            <v>13/11/2017</v>
          </cell>
          <cell r="AD3" t="str">
            <v>Good</v>
          </cell>
          <cell r="AE3" t="str">
            <v>V3 - Added Installed Facilities (New)</v>
          </cell>
          <cell r="AF3">
            <v>43404</v>
          </cell>
          <cell r="AG3">
            <v>2.17</v>
          </cell>
          <cell r="AH3" t="str">
            <v>PPM</v>
          </cell>
          <cell r="AI3" t="str">
            <v>Strands</v>
          </cell>
          <cell r="AJ3" t="str">
            <v>Strands PW</v>
          </cell>
          <cell r="AK3" t="str">
            <v>SNF received. 1st batch of V3 asset (December 2020)</v>
          </cell>
        </row>
        <row r="4">
          <cell r="A4" t="str">
            <v>IKN400558</v>
          </cell>
          <cell r="B4">
            <v>558</v>
          </cell>
          <cell r="C4" t="str">
            <v>Institut Kanser Negara</v>
          </cell>
          <cell r="D4" t="str">
            <v>KKM/IKN/H/17/12</v>
          </cell>
          <cell r="E4" t="str">
            <v>15-161</v>
          </cell>
          <cell r="F4" t="str">
            <v>Mixers, Clinical Laboratory</v>
          </cell>
          <cell r="G4" t="str">
            <v>MC</v>
          </cell>
          <cell r="H4" t="str">
            <v>MULTI-DISCIPLINE CLINIC</v>
          </cell>
          <cell r="I4" t="str">
            <v>03MC107</v>
          </cell>
          <cell r="J4" t="str">
            <v>TREATMENT 1</v>
          </cell>
          <cell r="K4" t="str">
            <v>BMED</v>
          </cell>
          <cell r="L4" t="str">
            <v>Normal</v>
          </cell>
          <cell r="M4" t="str">
            <v>USA</v>
          </cell>
          <cell r="N4" t="str">
            <v>Dentamerica</v>
          </cell>
          <cell r="O4" t="str">
            <v>Blendex</v>
          </cell>
          <cell r="P4" t="str">
            <v>G00097</v>
          </cell>
          <cell r="Q4" t="str">
            <v>Not Applicable</v>
          </cell>
          <cell r="R4" t="str">
            <v>Dentamerica</v>
          </cell>
          <cell r="S4" t="str">
            <v>One Dental Supply &amp; Marketing Sdn. Bhd.</v>
          </cell>
          <cell r="T4" t="str">
            <v>Functioning</v>
          </cell>
          <cell r="U4" t="str">
            <v>Asset</v>
          </cell>
          <cell r="V4">
            <v>3120</v>
          </cell>
          <cell r="W4" t="str">
            <v>KEW</v>
          </cell>
          <cell r="X4" t="str">
            <v>27/09/2017</v>
          </cell>
          <cell r="Y4" t="str">
            <v>KEW</v>
          </cell>
          <cell r="Z4" t="str">
            <v>28/11/2017</v>
          </cell>
          <cell r="AA4" t="str">
            <v>28/11/2018</v>
          </cell>
          <cell r="AB4" t="str">
            <v>No</v>
          </cell>
          <cell r="AC4" t="str">
            <v>28/11/2017</v>
          </cell>
          <cell r="AD4" t="str">
            <v>Good</v>
          </cell>
          <cell r="AE4" t="str">
            <v>V3 - Added Installed Facilities (New)</v>
          </cell>
          <cell r="AF4">
            <v>43404</v>
          </cell>
          <cell r="AG4">
            <v>2.17</v>
          </cell>
          <cell r="AH4" t="str">
            <v>PPM</v>
          </cell>
          <cell r="AI4" t="str">
            <v>Strands</v>
          </cell>
          <cell r="AJ4" t="str">
            <v>Strands PW</v>
          </cell>
          <cell r="AK4" t="str">
            <v>SNF received. 1st batch of V3 asset (December 2020)</v>
          </cell>
        </row>
        <row r="5">
          <cell r="A5" t="str">
            <v>IKN400559</v>
          </cell>
          <cell r="B5">
            <v>559</v>
          </cell>
          <cell r="C5" t="str">
            <v>Institut Kanser Negara</v>
          </cell>
          <cell r="D5" t="str">
            <v>KKM/IKN/H/17/7</v>
          </cell>
          <cell r="E5" t="str">
            <v>18-231</v>
          </cell>
          <cell r="F5" t="str">
            <v>Electrosurgical Units, Monopolar/Bipolar</v>
          </cell>
          <cell r="G5" t="str">
            <v>MC</v>
          </cell>
          <cell r="H5" t="str">
            <v>MULTI-DISCIPLINE CLINIC</v>
          </cell>
          <cell r="I5" t="str">
            <v>03MC107</v>
          </cell>
          <cell r="J5" t="str">
            <v>TREATMENT 1</v>
          </cell>
          <cell r="K5" t="str">
            <v>BMED</v>
          </cell>
          <cell r="L5" t="str">
            <v>Critical</v>
          </cell>
          <cell r="M5" t="str">
            <v>UK</v>
          </cell>
          <cell r="N5" t="str">
            <v>Eschmann</v>
          </cell>
          <cell r="O5" t="str">
            <v>Eschmann E30</v>
          </cell>
          <cell r="P5" t="str">
            <v>12103003</v>
          </cell>
          <cell r="Q5" t="str">
            <v>Not Applicable</v>
          </cell>
          <cell r="R5" t="str">
            <v>Eschmann Bros &amp; Walsh Ltd</v>
          </cell>
          <cell r="S5" t="str">
            <v>Uni Dex (Malaysia) Sdn. Bhd.</v>
          </cell>
          <cell r="T5" t="str">
            <v>Functioning</v>
          </cell>
          <cell r="U5" t="str">
            <v>Asset</v>
          </cell>
          <cell r="V5">
            <v>32478</v>
          </cell>
          <cell r="W5" t="str">
            <v>KEW</v>
          </cell>
          <cell r="X5" t="str">
            <v>28/09/2017</v>
          </cell>
          <cell r="Y5" t="str">
            <v>KEW</v>
          </cell>
          <cell r="Z5" t="str">
            <v>15/11/2017</v>
          </cell>
          <cell r="AA5" t="str">
            <v>15/11/2018</v>
          </cell>
          <cell r="AB5" t="str">
            <v>No</v>
          </cell>
          <cell r="AC5" t="str">
            <v>15/11/2017</v>
          </cell>
          <cell r="AD5" t="str">
            <v>Good</v>
          </cell>
          <cell r="AE5" t="str">
            <v>V3 - Added Installed Facilities (New)</v>
          </cell>
          <cell r="AF5">
            <v>43404</v>
          </cell>
          <cell r="AG5">
            <v>2.17</v>
          </cell>
          <cell r="AH5" t="str">
            <v>PPM</v>
          </cell>
          <cell r="AI5" t="str">
            <v>Strands</v>
          </cell>
          <cell r="AJ5" t="str">
            <v>Strands PW</v>
          </cell>
          <cell r="AK5" t="str">
            <v>SNF received. 1st batch of V3 asset (December 2020)</v>
          </cell>
        </row>
        <row r="6">
          <cell r="A6" t="str">
            <v>IKN400858</v>
          </cell>
          <cell r="B6">
            <v>858</v>
          </cell>
          <cell r="C6" t="str">
            <v>Institut Kanser Negara</v>
          </cell>
          <cell r="E6" t="str">
            <v>17-508</v>
          </cell>
          <cell r="F6" t="str">
            <v>Printers, Video</v>
          </cell>
          <cell r="G6" t="str">
            <v>RT</v>
          </cell>
          <cell r="H6" t="str">
            <v>RADIATION TREATMENT UNIT</v>
          </cell>
          <cell r="I6" t="str">
            <v>01RT127</v>
          </cell>
          <cell r="J6" t="str">
            <v>BRACHY OT 2</v>
          </cell>
          <cell r="K6" t="str">
            <v>BMED</v>
          </cell>
          <cell r="L6" t="str">
            <v>Normal</v>
          </cell>
          <cell r="M6" t="str">
            <v>Japan</v>
          </cell>
          <cell r="N6" t="str">
            <v>Sony</v>
          </cell>
          <cell r="O6" t="str">
            <v>Sony UP-25MD</v>
          </cell>
          <cell r="P6" t="str">
            <v>705115</v>
          </cell>
          <cell r="Q6" t="str">
            <v>Not Applicable</v>
          </cell>
          <cell r="R6" t="str">
            <v>Sony Corp</v>
          </cell>
          <cell r="S6" t="str">
            <v>V Medical Services</v>
          </cell>
          <cell r="T6" t="str">
            <v>Functioning</v>
          </cell>
          <cell r="U6" t="str">
            <v>Asset</v>
          </cell>
          <cell r="V6">
            <v>5000</v>
          </cell>
          <cell r="W6" t="str">
            <v>Estimate</v>
          </cell>
          <cell r="X6" t="str">
            <v>01/09/2010</v>
          </cell>
          <cell r="Y6" t="str">
            <v>KEW</v>
          </cell>
          <cell r="Z6" t="str">
            <v>16/08/2013</v>
          </cell>
          <cell r="AA6" t="str">
            <v>15/08/2015</v>
          </cell>
          <cell r="AB6" t="str">
            <v>No</v>
          </cell>
          <cell r="AC6" t="str">
            <v>31/08/2013</v>
          </cell>
          <cell r="AD6" t="str">
            <v>Good</v>
          </cell>
          <cell r="AE6" t="str">
            <v>V1 - Existing / No Claim</v>
          </cell>
          <cell r="AF6">
            <v>42720</v>
          </cell>
          <cell r="AG6">
            <v>9.17</v>
          </cell>
          <cell r="AH6" t="str">
            <v>RI</v>
          </cell>
          <cell r="AI6" t="str">
            <v>package</v>
          </cell>
          <cell r="AJ6" t="str">
            <v>Strands PW</v>
          </cell>
          <cell r="AK6" t="str">
            <v>located BOT</v>
          </cell>
        </row>
        <row r="7">
          <cell r="A7" t="str">
            <v>IKN400859</v>
          </cell>
          <cell r="B7">
            <v>859</v>
          </cell>
          <cell r="C7" t="str">
            <v>Institut Kanser Negara</v>
          </cell>
          <cell r="D7" t="e">
            <v>#N/A</v>
          </cell>
          <cell r="E7" t="str">
            <v>12-093</v>
          </cell>
          <cell r="F7" t="str">
            <v>Immobilizers</v>
          </cell>
          <cell r="G7" t="str">
            <v>PY</v>
          </cell>
          <cell r="H7" t="str">
            <v>PHYSIOTHERAPY</v>
          </cell>
          <cell r="I7" t="str">
            <v>04PY115</v>
          </cell>
          <cell r="J7" t="str">
            <v>GYMNASIUM</v>
          </cell>
          <cell r="K7" t="str">
            <v>BMED</v>
          </cell>
          <cell r="L7" t="str">
            <v>Normal</v>
          </cell>
          <cell r="M7" t="str">
            <v>TAIWAN</v>
          </cell>
          <cell r="N7" t="str">
            <v>PUMA</v>
          </cell>
          <cell r="O7" t="str">
            <v>DLD-20-10V</v>
          </cell>
          <cell r="P7" t="str">
            <v>VA070021</v>
          </cell>
          <cell r="Q7" t="str">
            <v>Not Applicable</v>
          </cell>
          <cell r="R7" t="str">
            <v>MY POWER TOOLS</v>
          </cell>
          <cell r="S7" t="str">
            <v>MY POWER TOOLS</v>
          </cell>
          <cell r="T7" t="str">
            <v>Functioning</v>
          </cell>
          <cell r="U7" t="str">
            <v>Asset</v>
          </cell>
          <cell r="V7">
            <v>1</v>
          </cell>
          <cell r="W7" t="str">
            <v>KEW</v>
          </cell>
          <cell r="X7" t="str">
            <v>01/09/2010</v>
          </cell>
          <cell r="Y7" t="str">
            <v>KEW</v>
          </cell>
          <cell r="Z7" t="str">
            <v>16/08/2013</v>
          </cell>
          <cell r="AA7" t="str">
            <v>15/08/2015</v>
          </cell>
          <cell r="AB7" t="str">
            <v>No</v>
          </cell>
          <cell r="AC7" t="str">
            <v>16/08/2013</v>
          </cell>
          <cell r="AD7" t="str">
            <v>Good</v>
          </cell>
          <cell r="AE7" t="str">
            <v>V10 - Asset in initial fee submission(new/replacement hosp)</v>
          </cell>
          <cell r="AF7">
            <v>43699</v>
          </cell>
          <cell r="AG7">
            <v>9.17</v>
          </cell>
          <cell r="AH7" t="str">
            <v>PPM</v>
          </cell>
          <cell r="AI7" t="str">
            <v>package</v>
          </cell>
          <cell r="AJ7" t="str">
            <v>Strands PW F</v>
          </cell>
        </row>
        <row r="8">
          <cell r="A8" t="str">
            <v>IKN400860</v>
          </cell>
          <cell r="B8">
            <v>860</v>
          </cell>
          <cell r="C8" t="str">
            <v>Institut Kanser Negara</v>
          </cell>
          <cell r="E8" t="str">
            <v>12-282</v>
          </cell>
          <cell r="F8" t="str">
            <v>Lights, Surgical</v>
          </cell>
          <cell r="G8" t="str">
            <v>MC</v>
          </cell>
          <cell r="H8" t="str">
            <v>MULTI-DISCIPLINE CLINIC</v>
          </cell>
          <cell r="I8" t="str">
            <v>03MC107</v>
          </cell>
          <cell r="J8" t="str">
            <v>TREATMENT 1</v>
          </cell>
          <cell r="K8" t="str">
            <v>BMED</v>
          </cell>
          <cell r="L8" t="str">
            <v>Normal</v>
          </cell>
          <cell r="M8" t="str">
            <v>USA</v>
          </cell>
          <cell r="N8" t="str">
            <v>Welch Allyn</v>
          </cell>
          <cell r="O8" t="str">
            <v>Welch Allyn GS900</v>
          </cell>
          <cell r="P8" t="str">
            <v>10032911105639</v>
          </cell>
          <cell r="Q8" t="str">
            <v>Not Applicable</v>
          </cell>
          <cell r="R8" t="str">
            <v>Welch Allyn Inc</v>
          </cell>
          <cell r="S8" t="str">
            <v>Welch Allyn Malaysia Sdn Bhd</v>
          </cell>
          <cell r="T8" t="str">
            <v>Functioning</v>
          </cell>
          <cell r="U8" t="str">
            <v>Asset</v>
          </cell>
          <cell r="V8">
            <v>10585</v>
          </cell>
          <cell r="W8" t="str">
            <v>KEW</v>
          </cell>
          <cell r="X8" t="str">
            <v>01/09/2010</v>
          </cell>
          <cell r="Y8" t="str">
            <v>KEW</v>
          </cell>
          <cell r="Z8" t="str">
            <v>16/08/2013</v>
          </cell>
          <cell r="AA8" t="str">
            <v>15/08/2015</v>
          </cell>
          <cell r="AB8" t="str">
            <v>No</v>
          </cell>
          <cell r="AC8" t="str">
            <v>31/08/2013</v>
          </cell>
          <cell r="AD8" t="str">
            <v>Good</v>
          </cell>
          <cell r="AE8" t="str">
            <v>V1 - Existing / No Claim</v>
          </cell>
          <cell r="AF8">
            <v>42235</v>
          </cell>
          <cell r="AG8">
            <v>9.17</v>
          </cell>
          <cell r="AH8" t="str">
            <v>PPM</v>
          </cell>
          <cell r="AI8" t="str">
            <v>Not in contract</v>
          </cell>
          <cell r="AJ8" t="str">
            <v>Strands PW</v>
          </cell>
        </row>
        <row r="9">
          <cell r="A9" t="str">
            <v>IKN400918</v>
          </cell>
          <cell r="B9">
            <v>917</v>
          </cell>
          <cell r="C9" t="str">
            <v>Institut Kanser Negara</v>
          </cell>
          <cell r="D9" t="str">
            <v>KKM/IKN/H/13/565</v>
          </cell>
          <cell r="E9" t="str">
            <v>16-241</v>
          </cell>
          <cell r="F9" t="str">
            <v>Scanning Systems, Ultrasonic, Abdominal</v>
          </cell>
          <cell r="G9" t="str">
            <v>MC</v>
          </cell>
          <cell r="H9" t="str">
            <v>MULTI-DISCIPLINE CLINIC</v>
          </cell>
          <cell r="I9" t="str">
            <v>03MC107</v>
          </cell>
          <cell r="J9" t="str">
            <v>TREATMENT 1</v>
          </cell>
          <cell r="K9" t="str">
            <v>BMED</v>
          </cell>
          <cell r="L9" t="str">
            <v>Normal</v>
          </cell>
          <cell r="M9" t="str">
            <v>UK</v>
          </cell>
          <cell r="N9" t="str">
            <v>Portascan</v>
          </cell>
          <cell r="O9" t="str">
            <v>Portascan+</v>
          </cell>
          <cell r="P9" t="str">
            <v>01025</v>
          </cell>
          <cell r="Q9" t="str">
            <v>Not Applicable</v>
          </cell>
          <cell r="R9" t="str">
            <v>Mediwatch Ltd</v>
          </cell>
          <cell r="S9" t="str">
            <v>MKS Medic Sdn Bhd</v>
          </cell>
          <cell r="T9" t="str">
            <v>Functioning</v>
          </cell>
          <cell r="U9" t="str">
            <v>Asset</v>
          </cell>
          <cell r="V9">
            <v>107510</v>
          </cell>
          <cell r="W9" t="str">
            <v>KEW</v>
          </cell>
          <cell r="X9" t="str">
            <v>01/09/2010</v>
          </cell>
          <cell r="Y9" t="str">
            <v>KEW</v>
          </cell>
          <cell r="Z9" t="str">
            <v>16/08/2013</v>
          </cell>
          <cell r="AA9" t="str">
            <v>15/08/2015</v>
          </cell>
          <cell r="AB9" t="str">
            <v>No</v>
          </cell>
          <cell r="AC9" t="str">
            <v>31/08/2013</v>
          </cell>
          <cell r="AD9" t="str">
            <v>Good</v>
          </cell>
          <cell r="AE9" t="str">
            <v>V1 - Existing / No Claim</v>
          </cell>
          <cell r="AF9">
            <v>42235</v>
          </cell>
          <cell r="AG9">
            <v>9.17</v>
          </cell>
          <cell r="AH9" t="str">
            <v>PPM</v>
          </cell>
          <cell r="AI9" t="str">
            <v>Strands</v>
          </cell>
          <cell r="AJ9" t="str">
            <v>Strands PW</v>
          </cell>
        </row>
        <row r="10">
          <cell r="A10" t="str">
            <v>IKN400919</v>
          </cell>
          <cell r="B10">
            <v>918</v>
          </cell>
          <cell r="C10" t="str">
            <v>Institut Kanser Negara</v>
          </cell>
          <cell r="E10" t="str">
            <v>16-173</v>
          </cell>
          <cell r="F10" t="str">
            <v>Sphygmomanometers, Electronic, Automatic</v>
          </cell>
          <cell r="G10" t="str">
            <v>MC</v>
          </cell>
          <cell r="H10" t="str">
            <v>MULTI-DISCIPLINE CLINIC</v>
          </cell>
          <cell r="I10" t="str">
            <v>03MC108</v>
          </cell>
          <cell r="J10" t="str">
            <v>TREATMENT/PROCEDURE</v>
          </cell>
          <cell r="K10" t="str">
            <v>BMED</v>
          </cell>
          <cell r="L10" t="str">
            <v>Normal</v>
          </cell>
          <cell r="M10" t="str">
            <v>USA</v>
          </cell>
          <cell r="N10" t="str">
            <v>Connex</v>
          </cell>
          <cell r="O10" t="str">
            <v>Connex ProBP 3400</v>
          </cell>
          <cell r="P10" t="str">
            <v>100001600613</v>
          </cell>
          <cell r="Q10" t="str">
            <v>Not Applicable</v>
          </cell>
          <cell r="R10" t="str">
            <v>Welch Allyn Inc</v>
          </cell>
          <cell r="S10" t="str">
            <v>Welch Allyn Malaysia Sdn Bhd</v>
          </cell>
          <cell r="T10" t="str">
            <v>Functioning</v>
          </cell>
          <cell r="U10" t="str">
            <v>Asset</v>
          </cell>
          <cell r="V10">
            <v>4510</v>
          </cell>
          <cell r="W10" t="str">
            <v>KEW</v>
          </cell>
          <cell r="X10" t="str">
            <v>01/09/2010</v>
          </cell>
          <cell r="Y10" t="str">
            <v>KEW</v>
          </cell>
          <cell r="Z10" t="str">
            <v>16/08/2013</v>
          </cell>
          <cell r="AA10" t="str">
            <v>15/08/2015</v>
          </cell>
          <cell r="AB10" t="str">
            <v>No</v>
          </cell>
          <cell r="AC10" t="str">
            <v>31/08/2013</v>
          </cell>
          <cell r="AD10" t="str">
            <v>Good</v>
          </cell>
          <cell r="AE10" t="str">
            <v>V1 - Existing / No Claim</v>
          </cell>
          <cell r="AF10">
            <v>42235</v>
          </cell>
          <cell r="AG10">
            <v>9.17</v>
          </cell>
          <cell r="AH10" t="str">
            <v>PPM</v>
          </cell>
          <cell r="AI10" t="str">
            <v>strands</v>
          </cell>
          <cell r="AJ10" t="str">
            <v>Strands PW</v>
          </cell>
        </row>
        <row r="11">
          <cell r="A11" t="str">
            <v>IKN400920</v>
          </cell>
          <cell r="B11">
            <v>919</v>
          </cell>
          <cell r="C11" t="str">
            <v>Institut Kanser Negara</v>
          </cell>
          <cell r="E11" t="str">
            <v>11-134</v>
          </cell>
          <cell r="F11" t="str">
            <v>Defibrillators, External, Manual</v>
          </cell>
          <cell r="G11" t="str">
            <v>MC</v>
          </cell>
          <cell r="H11" t="str">
            <v>MULTI-DISCIPLINE CLINIC</v>
          </cell>
          <cell r="I11" t="str">
            <v>03MC124</v>
          </cell>
          <cell r="J11" t="str">
            <v>RESUS EQ. BAY</v>
          </cell>
          <cell r="K11" t="str">
            <v>BMED</v>
          </cell>
          <cell r="L11" t="str">
            <v>Critical</v>
          </cell>
          <cell r="M11" t="str">
            <v>USA</v>
          </cell>
          <cell r="N11" t="str">
            <v>Responder</v>
          </cell>
          <cell r="O11" t="str">
            <v>Responder 2000</v>
          </cell>
          <cell r="P11" t="str">
            <v>3206725</v>
          </cell>
          <cell r="Q11" t="str">
            <v>Not Applicable</v>
          </cell>
          <cell r="R11" t="str">
            <v>GE Medical Systems</v>
          </cell>
          <cell r="S11" t="str">
            <v>Antah Sir Radin Sdn. Bhd.</v>
          </cell>
          <cell r="T11" t="str">
            <v>Functioning</v>
          </cell>
          <cell r="U11" t="str">
            <v>Asset</v>
          </cell>
          <cell r="V11">
            <v>45000</v>
          </cell>
          <cell r="W11" t="str">
            <v>Estimate</v>
          </cell>
          <cell r="X11" t="str">
            <v>01/09/2010</v>
          </cell>
          <cell r="Y11" t="str">
            <v>KEW</v>
          </cell>
          <cell r="Z11" t="str">
            <v>16/08/2013</v>
          </cell>
          <cell r="AA11" t="str">
            <v>15/08/2015</v>
          </cell>
          <cell r="AB11" t="str">
            <v>No</v>
          </cell>
          <cell r="AC11" t="str">
            <v>31/08/2013</v>
          </cell>
          <cell r="AD11" t="str">
            <v>Good</v>
          </cell>
          <cell r="AE11" t="str">
            <v>V1 - Existing / No Claim</v>
          </cell>
          <cell r="AF11">
            <v>42605</v>
          </cell>
          <cell r="AG11">
            <v>9.17</v>
          </cell>
          <cell r="AH11" t="str">
            <v>PPM</v>
          </cell>
          <cell r="AI11" t="str">
            <v>Strands</v>
          </cell>
          <cell r="AJ11" t="str">
            <v>Strands PW</v>
          </cell>
          <cell r="AK11" t="str">
            <v>Crash Trolley (FEMS)</v>
          </cell>
        </row>
        <row r="12">
          <cell r="A12" t="str">
            <v>IKN400925</v>
          </cell>
          <cell r="B12">
            <v>924</v>
          </cell>
          <cell r="C12" t="str">
            <v>Institut Kanser Negara</v>
          </cell>
          <cell r="D12" t="str">
            <v>KKM/IKN/H/13/557</v>
          </cell>
          <cell r="E12" t="str">
            <v>16-231</v>
          </cell>
          <cell r="F12" t="str">
            <v>Electrocardiographs, Multichannel, Interpretative</v>
          </cell>
          <cell r="G12" t="str">
            <v>MC</v>
          </cell>
          <cell r="H12" t="str">
            <v>MULTI-DISCIPLINE CLINIC</v>
          </cell>
          <cell r="I12" t="str">
            <v>03MC107</v>
          </cell>
          <cell r="J12" t="str">
            <v>TREATMENT 1</v>
          </cell>
          <cell r="K12" t="str">
            <v>BMED</v>
          </cell>
          <cell r="L12" t="str">
            <v>Normal</v>
          </cell>
          <cell r="M12" t="str">
            <v>China</v>
          </cell>
          <cell r="N12" t="str">
            <v>Mac</v>
          </cell>
          <cell r="O12" t="str">
            <v>MAC 800</v>
          </cell>
          <cell r="P12" t="str">
            <v>SJ412450340 WA</v>
          </cell>
          <cell r="Q12" t="str">
            <v>Not Applicable</v>
          </cell>
          <cell r="R12" t="str">
            <v>GE Healthcare Systems</v>
          </cell>
          <cell r="S12" t="str">
            <v>GE Healthcare Technologies</v>
          </cell>
          <cell r="T12" t="str">
            <v>Functioning</v>
          </cell>
          <cell r="U12" t="str">
            <v>Asset</v>
          </cell>
          <cell r="V12">
            <v>25260</v>
          </cell>
          <cell r="W12" t="str">
            <v>KEW</v>
          </cell>
          <cell r="X12" t="str">
            <v>01/09/2010</v>
          </cell>
          <cell r="Y12" t="str">
            <v>KEW</v>
          </cell>
          <cell r="Z12" t="str">
            <v>16/08/2013</v>
          </cell>
          <cell r="AA12" t="str">
            <v>15/08/2015</v>
          </cell>
          <cell r="AB12" t="str">
            <v>No</v>
          </cell>
          <cell r="AC12" t="str">
            <v>31/08/2013</v>
          </cell>
          <cell r="AD12" t="str">
            <v>Good</v>
          </cell>
          <cell r="AE12" t="str">
            <v>V1 - Existing / No Claim</v>
          </cell>
          <cell r="AF12">
            <v>42235</v>
          </cell>
          <cell r="AG12">
            <v>9.17</v>
          </cell>
          <cell r="AH12" t="str">
            <v>PPM</v>
          </cell>
          <cell r="AI12" t="str">
            <v>Strands</v>
          </cell>
          <cell r="AJ12" t="str">
            <v>Strands PW</v>
          </cell>
        </row>
        <row r="13">
          <cell r="A13" t="str">
            <v>IKN400926</v>
          </cell>
          <cell r="B13">
            <v>925</v>
          </cell>
          <cell r="C13" t="str">
            <v>Institut Kanser Negara</v>
          </cell>
          <cell r="D13" t="str">
            <v>KKM/IKN/H/13/532</v>
          </cell>
          <cell r="E13" t="str">
            <v>12-282</v>
          </cell>
          <cell r="F13" t="str">
            <v>Lights, Surgical</v>
          </cell>
          <cell r="G13" t="str">
            <v>MC</v>
          </cell>
          <cell r="H13" t="str">
            <v>MULTI-DISCIPLINE CLINIC</v>
          </cell>
          <cell r="I13" t="str">
            <v>03MC118</v>
          </cell>
          <cell r="J13" t="str">
            <v>C/E 5</v>
          </cell>
          <cell r="K13" t="str">
            <v>BMED</v>
          </cell>
          <cell r="L13" t="str">
            <v>Critical</v>
          </cell>
          <cell r="M13" t="str">
            <v>USA</v>
          </cell>
          <cell r="N13" t="str">
            <v>Welch Allyn</v>
          </cell>
          <cell r="O13" t="str">
            <v>Welch Allyn GS600</v>
          </cell>
          <cell r="P13" t="str">
            <v>GS-600-06</v>
          </cell>
          <cell r="Q13" t="str">
            <v>Not Applicable</v>
          </cell>
          <cell r="R13" t="str">
            <v>Welch Allyn Inc</v>
          </cell>
          <cell r="S13" t="str">
            <v>Welch Allyn Malaysia Sdn Bhd</v>
          </cell>
          <cell r="T13" t="str">
            <v>Functioning</v>
          </cell>
          <cell r="U13" t="str">
            <v>Asset</v>
          </cell>
          <cell r="V13">
            <v>5050</v>
          </cell>
          <cell r="W13" t="str">
            <v>KEW</v>
          </cell>
          <cell r="X13" t="str">
            <v>01/09/2010</v>
          </cell>
          <cell r="Y13" t="str">
            <v>KEW</v>
          </cell>
          <cell r="Z13" t="str">
            <v>16/08/2013</v>
          </cell>
          <cell r="AA13" t="str">
            <v>15/08/2015</v>
          </cell>
          <cell r="AB13" t="str">
            <v>No</v>
          </cell>
          <cell r="AC13" t="str">
            <v>31/08/2013</v>
          </cell>
          <cell r="AD13" t="str">
            <v>Good</v>
          </cell>
          <cell r="AE13" t="str">
            <v>V1 - Existing / No Claim</v>
          </cell>
          <cell r="AF13">
            <v>42800</v>
          </cell>
          <cell r="AG13">
            <v>9.17</v>
          </cell>
          <cell r="AH13" t="str">
            <v>PPM</v>
          </cell>
          <cell r="AI13" t="str">
            <v>Strands</v>
          </cell>
          <cell r="AJ13" t="str">
            <v>Strands PW</v>
          </cell>
        </row>
        <row r="14">
          <cell r="A14" t="str">
            <v>IKN400927</v>
          </cell>
          <cell r="B14">
            <v>926</v>
          </cell>
          <cell r="C14" t="str">
            <v>Institut Kanser Negara</v>
          </cell>
          <cell r="D14" t="str">
            <v>KKM/IKN/H/13/534</v>
          </cell>
          <cell r="E14" t="str">
            <v>12-282</v>
          </cell>
          <cell r="F14" t="str">
            <v>Lights, Surgical</v>
          </cell>
          <cell r="G14" t="str">
            <v>MC</v>
          </cell>
          <cell r="H14" t="str">
            <v>MULTI-DISCIPLINE CLINIC</v>
          </cell>
          <cell r="I14" t="str">
            <v>04MC142</v>
          </cell>
          <cell r="K14" t="str">
            <v>BMED</v>
          </cell>
          <cell r="L14" t="str">
            <v>Critical</v>
          </cell>
          <cell r="M14" t="str">
            <v>USA</v>
          </cell>
          <cell r="N14" t="str">
            <v>Welch Allyn</v>
          </cell>
          <cell r="O14" t="str">
            <v>Welch Allyn GS600</v>
          </cell>
          <cell r="P14" t="str">
            <v>GS-600-07</v>
          </cell>
          <cell r="Q14" t="str">
            <v>Not Applicable</v>
          </cell>
          <cell r="R14" t="str">
            <v>Welch Allyn Inc</v>
          </cell>
          <cell r="S14" t="str">
            <v>Welch Allyn Malaysia Sdn Bhd</v>
          </cell>
          <cell r="T14" t="str">
            <v>Functioning</v>
          </cell>
          <cell r="U14" t="str">
            <v>Asset</v>
          </cell>
          <cell r="V14">
            <v>5050</v>
          </cell>
          <cell r="W14" t="str">
            <v>KEW</v>
          </cell>
          <cell r="X14" t="str">
            <v>01/09/2010</v>
          </cell>
          <cell r="Y14" t="str">
            <v>KEW</v>
          </cell>
          <cell r="Z14" t="str">
            <v>16/08/2013</v>
          </cell>
          <cell r="AA14" t="str">
            <v>15/08/2015</v>
          </cell>
          <cell r="AB14" t="str">
            <v>No</v>
          </cell>
          <cell r="AC14" t="str">
            <v>31/08/2013</v>
          </cell>
          <cell r="AD14" t="str">
            <v>Good</v>
          </cell>
          <cell r="AE14" t="str">
            <v>V1 - Existing / No Claim</v>
          </cell>
          <cell r="AF14">
            <v>42800</v>
          </cell>
          <cell r="AG14">
            <v>9.17</v>
          </cell>
          <cell r="AH14" t="str">
            <v>PPM</v>
          </cell>
          <cell r="AI14" t="str">
            <v>Strands</v>
          </cell>
          <cell r="AJ14" t="str">
            <v>Strands PW</v>
          </cell>
          <cell r="AK14" t="str">
            <v>[29/7/2024, Indira]: Change Location.</v>
          </cell>
        </row>
        <row r="15">
          <cell r="A15" t="str">
            <v>IKN400928</v>
          </cell>
          <cell r="B15">
            <v>927</v>
          </cell>
          <cell r="C15" t="str">
            <v>Institut Kanser Negara</v>
          </cell>
          <cell r="D15" t="str">
            <v>KKM/IKN/H/13/536</v>
          </cell>
          <cell r="E15" t="str">
            <v>12-282</v>
          </cell>
          <cell r="F15" t="str">
            <v>Lights, Surgical</v>
          </cell>
          <cell r="G15" t="str">
            <v>MC</v>
          </cell>
          <cell r="H15" t="str">
            <v>MULTI-DISCIPLINE CLINIC</v>
          </cell>
          <cell r="I15" t="str">
            <v>03MC121</v>
          </cell>
          <cell r="J15" t="str">
            <v>C/E 3</v>
          </cell>
          <cell r="K15" t="str">
            <v>BMED</v>
          </cell>
          <cell r="L15" t="str">
            <v>Critical</v>
          </cell>
          <cell r="M15" t="str">
            <v>USA</v>
          </cell>
          <cell r="N15" t="str">
            <v>Welch Allyn</v>
          </cell>
          <cell r="O15" t="str">
            <v>Welch Allyn GS600</v>
          </cell>
          <cell r="P15" t="str">
            <v>GS-600-08</v>
          </cell>
          <cell r="Q15" t="str">
            <v>Not Applicable</v>
          </cell>
          <cell r="R15" t="str">
            <v>Welch Allyn Inc</v>
          </cell>
          <cell r="S15" t="str">
            <v>Welch Allyn Malaysia Sdn Bhd</v>
          </cell>
          <cell r="T15" t="str">
            <v>Functioning</v>
          </cell>
          <cell r="U15" t="str">
            <v>Asset</v>
          </cell>
          <cell r="V15">
            <v>5050</v>
          </cell>
          <cell r="W15" t="str">
            <v>KEW</v>
          </cell>
          <cell r="X15" t="str">
            <v>01/09/2010</v>
          </cell>
          <cell r="Y15" t="str">
            <v>KEW</v>
          </cell>
          <cell r="Z15" t="str">
            <v>16/08/2013</v>
          </cell>
          <cell r="AA15" t="str">
            <v>15/08/2015</v>
          </cell>
          <cell r="AB15" t="str">
            <v>No</v>
          </cell>
          <cell r="AC15" t="str">
            <v>31/08/2013</v>
          </cell>
          <cell r="AD15" t="str">
            <v>Good</v>
          </cell>
          <cell r="AE15" t="str">
            <v>V1 - Existing / No Claim</v>
          </cell>
          <cell r="AF15">
            <v>42800</v>
          </cell>
          <cell r="AG15">
            <v>9.17</v>
          </cell>
          <cell r="AH15" t="str">
            <v>PPM</v>
          </cell>
          <cell r="AI15" t="str">
            <v>Strands</v>
          </cell>
          <cell r="AJ15" t="str">
            <v>Strands PW</v>
          </cell>
        </row>
        <row r="16">
          <cell r="A16" t="str">
            <v>IKN400929</v>
          </cell>
          <cell r="B16">
            <v>928</v>
          </cell>
          <cell r="C16" t="str">
            <v>Institut Kanser Negara</v>
          </cell>
          <cell r="D16" t="str">
            <v>KKM/IKN/H/13/537</v>
          </cell>
          <cell r="E16" t="str">
            <v>12-282</v>
          </cell>
          <cell r="F16" t="str">
            <v>Lights, Surgical</v>
          </cell>
          <cell r="G16" t="str">
            <v>MC</v>
          </cell>
          <cell r="H16" t="str">
            <v>MULTI-DISCIPLINE CLINIC</v>
          </cell>
          <cell r="I16" t="str">
            <v>03MC127</v>
          </cell>
          <cell r="J16" t="str">
            <v>C/E 1 (ENT)</v>
          </cell>
          <cell r="K16" t="str">
            <v>BMED</v>
          </cell>
          <cell r="L16" t="str">
            <v>Critical</v>
          </cell>
          <cell r="M16" t="str">
            <v>USA</v>
          </cell>
          <cell r="N16" t="str">
            <v>Welch Allyn</v>
          </cell>
          <cell r="O16" t="str">
            <v>Welch Allyn GS600</v>
          </cell>
          <cell r="P16" t="str">
            <v>GS-600-09</v>
          </cell>
          <cell r="Q16" t="str">
            <v>Not Applicable</v>
          </cell>
          <cell r="R16" t="str">
            <v>Welch Allyn Inc</v>
          </cell>
          <cell r="S16" t="str">
            <v>Welch Allyn Malaysia Sdn Bhd</v>
          </cell>
          <cell r="T16" t="str">
            <v>Functioning</v>
          </cell>
          <cell r="U16" t="str">
            <v>Asset</v>
          </cell>
          <cell r="V16">
            <v>5050</v>
          </cell>
          <cell r="W16" t="str">
            <v>KEW</v>
          </cell>
          <cell r="X16" t="str">
            <v>01/09/2010</v>
          </cell>
          <cell r="Y16" t="str">
            <v>KEW</v>
          </cell>
          <cell r="Z16" t="str">
            <v>16/08/2013</v>
          </cell>
          <cell r="AA16" t="str">
            <v>15/08/2015</v>
          </cell>
          <cell r="AB16" t="str">
            <v>No</v>
          </cell>
          <cell r="AC16" t="str">
            <v>31/08/2013</v>
          </cell>
          <cell r="AD16" t="str">
            <v>Good</v>
          </cell>
          <cell r="AE16" t="str">
            <v>V1 - Existing / No Claim</v>
          </cell>
          <cell r="AF16">
            <v>42800</v>
          </cell>
          <cell r="AG16">
            <v>9.17</v>
          </cell>
          <cell r="AH16" t="str">
            <v>PPM</v>
          </cell>
          <cell r="AI16" t="str">
            <v>Strands</v>
          </cell>
          <cell r="AJ16" t="str">
            <v>Strands PW</v>
          </cell>
        </row>
        <row r="17">
          <cell r="A17" t="str">
            <v>IKN400930</v>
          </cell>
          <cell r="B17">
            <v>929</v>
          </cell>
          <cell r="C17" t="str">
            <v>Institut Kanser Negara</v>
          </cell>
          <cell r="D17" t="str">
            <v>KKM/IKN/H/13/538</v>
          </cell>
          <cell r="E17" t="str">
            <v>12-282</v>
          </cell>
          <cell r="F17" t="str">
            <v>Lights, Surgical</v>
          </cell>
          <cell r="G17" t="str">
            <v>MC</v>
          </cell>
          <cell r="H17" t="str">
            <v>MULTI-DISCIPLINE CLINIC</v>
          </cell>
          <cell r="I17" t="str">
            <v>03MC128</v>
          </cell>
          <cell r="J17" t="str">
            <v>C/E 2</v>
          </cell>
          <cell r="K17" t="str">
            <v>BMED</v>
          </cell>
          <cell r="L17" t="str">
            <v>Critical</v>
          </cell>
          <cell r="M17" t="str">
            <v>USA</v>
          </cell>
          <cell r="N17" t="str">
            <v>Welch Allyn</v>
          </cell>
          <cell r="O17" t="str">
            <v>Welch Allyn GS600</v>
          </cell>
          <cell r="P17" t="str">
            <v>GS-600-10</v>
          </cell>
          <cell r="Q17" t="str">
            <v>Not Applicable</v>
          </cell>
          <cell r="R17" t="str">
            <v>Welch Allyn Inc</v>
          </cell>
          <cell r="S17" t="str">
            <v>Welch Allyn Malaysia Sdn Bhd</v>
          </cell>
          <cell r="T17" t="str">
            <v>Functioning</v>
          </cell>
          <cell r="U17" t="str">
            <v>Asset</v>
          </cell>
          <cell r="V17">
            <v>5050</v>
          </cell>
          <cell r="W17" t="str">
            <v>KEW</v>
          </cell>
          <cell r="X17" t="str">
            <v>01/09/2010</v>
          </cell>
          <cell r="Y17" t="str">
            <v>KEW</v>
          </cell>
          <cell r="Z17" t="str">
            <v>16/08/2013</v>
          </cell>
          <cell r="AA17" t="str">
            <v>15/08/2015</v>
          </cell>
          <cell r="AB17" t="str">
            <v>No</v>
          </cell>
          <cell r="AC17" t="str">
            <v>31/08/2013</v>
          </cell>
          <cell r="AD17" t="str">
            <v>Good</v>
          </cell>
          <cell r="AE17" t="str">
            <v>V1 - Existing / No Claim</v>
          </cell>
          <cell r="AF17">
            <v>42800</v>
          </cell>
          <cell r="AG17">
            <v>9.17</v>
          </cell>
          <cell r="AH17" t="str">
            <v>PPM</v>
          </cell>
          <cell r="AI17" t="str">
            <v>Strands</v>
          </cell>
          <cell r="AJ17" t="str">
            <v>Strands PW</v>
          </cell>
        </row>
        <row r="18">
          <cell r="A18" t="str">
            <v>IKN400931</v>
          </cell>
          <cell r="B18">
            <v>930</v>
          </cell>
          <cell r="C18" t="str">
            <v>Institut Kanser Negara</v>
          </cell>
          <cell r="D18" t="str">
            <v>KKM/IKN/H/13/574</v>
          </cell>
          <cell r="E18" t="str">
            <v>15-045</v>
          </cell>
          <cell r="F18" t="str">
            <v>Nebulizers, Nonheated</v>
          </cell>
          <cell r="G18" t="str">
            <v>MC</v>
          </cell>
          <cell r="H18" t="str">
            <v>MULTI-DISCIPLINE CLINIC</v>
          </cell>
          <cell r="I18" t="str">
            <v>03MC107</v>
          </cell>
          <cell r="J18" t="str">
            <v>TREATMENT 1</v>
          </cell>
          <cell r="K18" t="str">
            <v>BMED</v>
          </cell>
          <cell r="L18" t="str">
            <v>Normal</v>
          </cell>
          <cell r="M18" t="str">
            <v>Germany</v>
          </cell>
          <cell r="N18" t="str">
            <v>Pari Boy</v>
          </cell>
          <cell r="O18" t="str">
            <v>Pari Boy SX 085</v>
          </cell>
          <cell r="P18" t="str">
            <v>2W12F13800</v>
          </cell>
          <cell r="Q18" t="str">
            <v>Not Applicable</v>
          </cell>
          <cell r="R18" t="str">
            <v>Pari GmbH</v>
          </cell>
          <cell r="S18" t="str">
            <v>Welch Allyn Malaysia Sdn Bhd</v>
          </cell>
          <cell r="T18" t="str">
            <v>Functioning</v>
          </cell>
          <cell r="U18" t="str">
            <v>Asset</v>
          </cell>
          <cell r="V18">
            <v>1140</v>
          </cell>
          <cell r="W18" t="str">
            <v>KEW</v>
          </cell>
          <cell r="X18" t="str">
            <v>01/09/2010</v>
          </cell>
          <cell r="Y18" t="str">
            <v>KEW</v>
          </cell>
          <cell r="Z18" t="str">
            <v>16/08/2013</v>
          </cell>
          <cell r="AA18" t="str">
            <v>15/08/2015</v>
          </cell>
          <cell r="AB18" t="str">
            <v>No</v>
          </cell>
          <cell r="AC18" t="str">
            <v>31/08/2013</v>
          </cell>
          <cell r="AD18" t="str">
            <v>Good</v>
          </cell>
          <cell r="AE18" t="str">
            <v>V1 - Existing / No Claim</v>
          </cell>
          <cell r="AF18">
            <v>42235</v>
          </cell>
          <cell r="AG18">
            <v>9.17</v>
          </cell>
          <cell r="AH18" t="str">
            <v>PPM</v>
          </cell>
          <cell r="AI18" t="str">
            <v>Strands</v>
          </cell>
          <cell r="AJ18" t="str">
            <v>Strands PW</v>
          </cell>
        </row>
        <row r="19">
          <cell r="A19" t="str">
            <v>IKN400932</v>
          </cell>
          <cell r="B19">
            <v>931</v>
          </cell>
          <cell r="C19" t="str">
            <v>Institut Kanser Negara</v>
          </cell>
          <cell r="D19" t="str">
            <v>KKM/IKN/H/13/575</v>
          </cell>
          <cell r="E19" t="str">
            <v>15-045</v>
          </cell>
          <cell r="F19" t="str">
            <v>Nebulizers, Nonheated</v>
          </cell>
          <cell r="G19" t="str">
            <v>MC</v>
          </cell>
          <cell r="H19" t="str">
            <v>MULTI-DISCIPLINE CLINIC</v>
          </cell>
          <cell r="I19" t="str">
            <v>03MC107</v>
          </cell>
          <cell r="J19" t="str">
            <v>TREATMENT 1</v>
          </cell>
          <cell r="K19" t="str">
            <v>BMED</v>
          </cell>
          <cell r="L19" t="str">
            <v>Normal</v>
          </cell>
          <cell r="M19" t="str">
            <v>Germany</v>
          </cell>
          <cell r="N19" t="str">
            <v>Pari Boy</v>
          </cell>
          <cell r="O19" t="str">
            <v>Pari Boy SX 085</v>
          </cell>
          <cell r="P19" t="str">
            <v>2W12F13721</v>
          </cell>
          <cell r="Q19" t="str">
            <v>Not Applicable</v>
          </cell>
          <cell r="R19" t="str">
            <v>Pari GmbH</v>
          </cell>
          <cell r="S19" t="str">
            <v>Welch Allyn Malaysia Sdn Bhd</v>
          </cell>
          <cell r="T19" t="str">
            <v>Functioning</v>
          </cell>
          <cell r="U19" t="str">
            <v>Asset</v>
          </cell>
          <cell r="V19">
            <v>1140</v>
          </cell>
          <cell r="W19" t="str">
            <v>KEW</v>
          </cell>
          <cell r="X19" t="str">
            <v>01/09/2010</v>
          </cell>
          <cell r="Y19" t="str">
            <v>KEW</v>
          </cell>
          <cell r="Z19" t="str">
            <v>16/08/2013</v>
          </cell>
          <cell r="AA19" t="str">
            <v>15/08/2015</v>
          </cell>
          <cell r="AB19" t="str">
            <v>No</v>
          </cell>
          <cell r="AC19" t="str">
            <v>31/08/2013</v>
          </cell>
          <cell r="AD19" t="str">
            <v>Good</v>
          </cell>
          <cell r="AE19" t="str">
            <v>V1 - Existing / No Claim</v>
          </cell>
          <cell r="AF19">
            <v>42235</v>
          </cell>
          <cell r="AG19">
            <v>9.17</v>
          </cell>
          <cell r="AH19" t="str">
            <v>PPM</v>
          </cell>
          <cell r="AI19" t="str">
            <v>Strands</v>
          </cell>
          <cell r="AJ19" t="str">
            <v>Strands PW</v>
          </cell>
        </row>
        <row r="20">
          <cell r="A20" t="str">
            <v>IKN400934</v>
          </cell>
          <cell r="B20">
            <v>933</v>
          </cell>
          <cell r="C20" t="str">
            <v>Institut Kanser Negara</v>
          </cell>
          <cell r="D20" t="str">
            <v>KKM/IKN/I/13/5684</v>
          </cell>
          <cell r="E20" t="str">
            <v>16-173</v>
          </cell>
          <cell r="F20" t="str">
            <v>Sphygmomanometers, Electronic, Automatic</v>
          </cell>
          <cell r="G20" t="str">
            <v>MC</v>
          </cell>
          <cell r="H20" t="str">
            <v>MULTI-DISCIPLINE CLINIC</v>
          </cell>
          <cell r="I20" t="str">
            <v>03MC107</v>
          </cell>
          <cell r="J20" t="str">
            <v>TREATMENT 1</v>
          </cell>
          <cell r="K20" t="str">
            <v>BMED</v>
          </cell>
          <cell r="L20" t="str">
            <v>Critical</v>
          </cell>
          <cell r="M20" t="str">
            <v>USA</v>
          </cell>
          <cell r="N20" t="str">
            <v>Connex</v>
          </cell>
          <cell r="O20" t="str">
            <v>Connex ProBP 3400</v>
          </cell>
          <cell r="P20" t="str">
            <v>100000860413</v>
          </cell>
          <cell r="Q20" t="str">
            <v>Not Applicable</v>
          </cell>
          <cell r="R20" t="str">
            <v>Welch Allyn Inc</v>
          </cell>
          <cell r="S20" t="str">
            <v>Welch Allyn Malaysia Sdn Bhd</v>
          </cell>
          <cell r="T20" t="str">
            <v>Functioning</v>
          </cell>
          <cell r="U20" t="str">
            <v>Asset</v>
          </cell>
          <cell r="V20">
            <v>336</v>
          </cell>
          <cell r="W20" t="str">
            <v>KEW</v>
          </cell>
          <cell r="X20" t="str">
            <v>01/09/2010</v>
          </cell>
          <cell r="Y20" t="str">
            <v>KEW</v>
          </cell>
          <cell r="Z20" t="str">
            <v>16/08/2013</v>
          </cell>
          <cell r="AA20" t="str">
            <v>15/08/2015</v>
          </cell>
          <cell r="AB20" t="str">
            <v>No</v>
          </cell>
          <cell r="AC20" t="str">
            <v>31/08/2013</v>
          </cell>
          <cell r="AD20" t="str">
            <v>Good</v>
          </cell>
          <cell r="AE20" t="str">
            <v>V1 - Existing / No Claim</v>
          </cell>
          <cell r="AF20">
            <v>42799</v>
          </cell>
          <cell r="AG20">
            <v>9.17</v>
          </cell>
          <cell r="AH20" t="str">
            <v>PPM</v>
          </cell>
          <cell r="AI20" t="str">
            <v>Strands</v>
          </cell>
          <cell r="AJ20" t="str">
            <v>Strands PW</v>
          </cell>
        </row>
        <row r="21">
          <cell r="A21" t="str">
            <v>IKN400935</v>
          </cell>
          <cell r="B21">
            <v>934</v>
          </cell>
          <cell r="C21" t="str">
            <v>Institut Kanser Negara</v>
          </cell>
          <cell r="D21" t="str">
            <v>KKM/IKN/I/13/5683</v>
          </cell>
          <cell r="E21" t="str">
            <v>16-173</v>
          </cell>
          <cell r="F21" t="str">
            <v>Sphygmomanometers, Electronic, Automatic</v>
          </cell>
          <cell r="G21" t="str">
            <v>MC</v>
          </cell>
          <cell r="H21" t="str">
            <v>MULTI-DISCIPLINE CLINIC</v>
          </cell>
          <cell r="I21" t="str">
            <v>03MC119</v>
          </cell>
          <cell r="J21" t="str">
            <v>C/E 4</v>
          </cell>
          <cell r="K21" t="str">
            <v>BMED</v>
          </cell>
          <cell r="L21" t="str">
            <v>Critical</v>
          </cell>
          <cell r="M21" t="str">
            <v>USA</v>
          </cell>
          <cell r="N21" t="str">
            <v>Connex</v>
          </cell>
          <cell r="O21" t="str">
            <v>Connex ProBP 3400</v>
          </cell>
          <cell r="P21" t="str">
            <v>100000660313</v>
          </cell>
          <cell r="Q21" t="str">
            <v>Not Applicable</v>
          </cell>
          <cell r="R21" t="str">
            <v>Welch Allyn Inc</v>
          </cell>
          <cell r="S21" t="str">
            <v>Welch Allyn Malaysia Sdn Bhd</v>
          </cell>
          <cell r="T21" t="str">
            <v>Functioning</v>
          </cell>
          <cell r="U21" t="str">
            <v>Asset</v>
          </cell>
          <cell r="V21">
            <v>336</v>
          </cell>
          <cell r="W21" t="str">
            <v>KEW</v>
          </cell>
          <cell r="X21" t="str">
            <v>01/09/2010</v>
          </cell>
          <cell r="Y21" t="str">
            <v>KEW</v>
          </cell>
          <cell r="Z21" t="str">
            <v>16/08/2013</v>
          </cell>
          <cell r="AA21" t="str">
            <v>15/08/2015</v>
          </cell>
          <cell r="AB21" t="str">
            <v>No</v>
          </cell>
          <cell r="AC21" t="str">
            <v>31/08/2013</v>
          </cell>
          <cell r="AD21" t="str">
            <v>Good</v>
          </cell>
          <cell r="AE21" t="str">
            <v>V1 - Existing / No Claim</v>
          </cell>
          <cell r="AF21">
            <v>42800</v>
          </cell>
          <cell r="AG21">
            <v>9.17</v>
          </cell>
          <cell r="AH21" t="str">
            <v>PPM</v>
          </cell>
          <cell r="AI21" t="str">
            <v>Strands</v>
          </cell>
          <cell r="AJ21" t="str">
            <v>Strands PW</v>
          </cell>
        </row>
        <row r="22">
          <cell r="A22" t="str">
            <v>IKN400936</v>
          </cell>
          <cell r="B22">
            <v>935</v>
          </cell>
          <cell r="C22" t="str">
            <v>Institut Kanser Negara</v>
          </cell>
          <cell r="D22" t="str">
            <v>KKM/IKN/I/13/5681</v>
          </cell>
          <cell r="E22" t="str">
            <v>16-173</v>
          </cell>
          <cell r="F22" t="str">
            <v>Sphygmomanometers, Electronic, Automatic</v>
          </cell>
          <cell r="G22" t="str">
            <v>MC</v>
          </cell>
          <cell r="H22" t="str">
            <v>MULTI-DISCIPLINE CLINIC</v>
          </cell>
          <cell r="I22" t="str">
            <v>03MC121</v>
          </cell>
          <cell r="J22" t="str">
            <v>C/E 3</v>
          </cell>
          <cell r="K22" t="str">
            <v>BMED</v>
          </cell>
          <cell r="L22" t="str">
            <v>Critical</v>
          </cell>
          <cell r="M22" t="str">
            <v>USA</v>
          </cell>
          <cell r="N22" t="str">
            <v>Connex</v>
          </cell>
          <cell r="O22" t="str">
            <v>Connex ProBP 3400</v>
          </cell>
          <cell r="P22" t="str">
            <v>100003020413</v>
          </cell>
          <cell r="Q22" t="str">
            <v>Not Applicable</v>
          </cell>
          <cell r="R22" t="str">
            <v>Welch Allyn Inc</v>
          </cell>
          <cell r="S22" t="str">
            <v>Welch Allyn Malaysia Sdn Bhd</v>
          </cell>
          <cell r="T22" t="str">
            <v>Functioning</v>
          </cell>
          <cell r="U22" t="str">
            <v>Asset</v>
          </cell>
          <cell r="V22">
            <v>336</v>
          </cell>
          <cell r="W22" t="str">
            <v>KEW</v>
          </cell>
          <cell r="X22" t="str">
            <v>01/09/2010</v>
          </cell>
          <cell r="Y22" t="str">
            <v>KEW</v>
          </cell>
          <cell r="Z22" t="str">
            <v>16/08/2013</v>
          </cell>
          <cell r="AA22" t="str">
            <v>15/08/2015</v>
          </cell>
          <cell r="AB22" t="str">
            <v>No</v>
          </cell>
          <cell r="AC22" t="str">
            <v>31/08/2013</v>
          </cell>
          <cell r="AD22" t="str">
            <v>Good</v>
          </cell>
          <cell r="AE22" t="str">
            <v>V1 - Existing / No Claim</v>
          </cell>
          <cell r="AF22">
            <v>42800</v>
          </cell>
          <cell r="AG22">
            <v>9.17</v>
          </cell>
          <cell r="AH22" t="str">
            <v>PPM</v>
          </cell>
          <cell r="AI22" t="str">
            <v>Strands</v>
          </cell>
          <cell r="AJ22" t="str">
            <v>Strands PW</v>
          </cell>
        </row>
        <row r="23">
          <cell r="A23" t="str">
            <v>IKN400937</v>
          </cell>
          <cell r="B23">
            <v>936</v>
          </cell>
          <cell r="C23" t="str">
            <v>Institut Kanser Negara</v>
          </cell>
          <cell r="D23" t="str">
            <v>KKM/IKN/I/13/5682</v>
          </cell>
          <cell r="E23" t="str">
            <v>16-173</v>
          </cell>
          <cell r="F23" t="str">
            <v>Sphygmomanometers, Electronic, Automatic</v>
          </cell>
          <cell r="G23" t="str">
            <v>MC</v>
          </cell>
          <cell r="H23" t="str">
            <v>MULTI-DISCIPLINE CLINIC</v>
          </cell>
          <cell r="I23" t="str">
            <v>03MC127</v>
          </cell>
          <cell r="J23" t="str">
            <v>C/E 1 (ENT)</v>
          </cell>
          <cell r="K23" t="str">
            <v>BMED</v>
          </cell>
          <cell r="L23" t="str">
            <v>Critical</v>
          </cell>
          <cell r="M23" t="str">
            <v>USA</v>
          </cell>
          <cell r="N23" t="str">
            <v>Connex</v>
          </cell>
          <cell r="O23" t="str">
            <v>Connex ProBP 3400</v>
          </cell>
          <cell r="P23" t="str">
            <v>100001980413</v>
          </cell>
          <cell r="Q23" t="str">
            <v>Not Applicable</v>
          </cell>
          <cell r="R23" t="str">
            <v>Welch Allyn Inc</v>
          </cell>
          <cell r="S23" t="str">
            <v>Welch Allyn Malaysia Sdn Bhd</v>
          </cell>
          <cell r="T23" t="str">
            <v>Functioning</v>
          </cell>
          <cell r="U23" t="str">
            <v>Asset</v>
          </cell>
          <cell r="V23">
            <v>336</v>
          </cell>
          <cell r="W23" t="str">
            <v>KEW</v>
          </cell>
          <cell r="X23" t="str">
            <v>01/09/2010</v>
          </cell>
          <cell r="Y23" t="str">
            <v>KEW</v>
          </cell>
          <cell r="Z23" t="str">
            <v>16/08/2013</v>
          </cell>
          <cell r="AA23" t="str">
            <v>15/08/2015</v>
          </cell>
          <cell r="AB23" t="str">
            <v>No</v>
          </cell>
          <cell r="AC23" t="str">
            <v>31/08/2013</v>
          </cell>
          <cell r="AD23" t="str">
            <v>Good</v>
          </cell>
          <cell r="AE23" t="str">
            <v>V1 - Existing / No Claim</v>
          </cell>
          <cell r="AF23">
            <v>42800</v>
          </cell>
          <cell r="AG23">
            <v>9.17</v>
          </cell>
          <cell r="AH23" t="str">
            <v>PPM</v>
          </cell>
          <cell r="AI23" t="str">
            <v>Strands</v>
          </cell>
          <cell r="AJ23" t="str">
            <v>Strands PW</v>
          </cell>
        </row>
        <row r="24">
          <cell r="A24" t="str">
            <v>IKN400938</v>
          </cell>
          <cell r="B24">
            <v>937</v>
          </cell>
          <cell r="C24" t="str">
            <v>Institut Kanser Negara</v>
          </cell>
          <cell r="D24" t="str">
            <v>KKM/IKN/I/13/5680</v>
          </cell>
          <cell r="E24" t="str">
            <v>16-173</v>
          </cell>
          <cell r="F24" t="str">
            <v>Sphygmomanometers, Electronic, Automatic</v>
          </cell>
          <cell r="G24" t="str">
            <v>MC</v>
          </cell>
          <cell r="H24" t="str">
            <v>MULTI-DISCIPLINE CLINIC</v>
          </cell>
          <cell r="I24" t="str">
            <v>03MC128</v>
          </cell>
          <cell r="J24" t="str">
            <v>C/E 2</v>
          </cell>
          <cell r="K24" t="str">
            <v>BMED</v>
          </cell>
          <cell r="L24" t="str">
            <v>Critical</v>
          </cell>
          <cell r="M24" t="str">
            <v>USA</v>
          </cell>
          <cell r="N24" t="str">
            <v>Connex</v>
          </cell>
          <cell r="O24" t="str">
            <v>Connex ProBP 3400</v>
          </cell>
          <cell r="P24" t="str">
            <v>100000880313</v>
          </cell>
          <cell r="Q24" t="str">
            <v>Not Applicable</v>
          </cell>
          <cell r="R24" t="str">
            <v>Welch Allyn Inc</v>
          </cell>
          <cell r="S24" t="str">
            <v>Welch Allyn Malaysia Sdn Bhd</v>
          </cell>
          <cell r="T24" t="str">
            <v>Functioning</v>
          </cell>
          <cell r="U24" t="str">
            <v>Asset</v>
          </cell>
          <cell r="V24">
            <v>336</v>
          </cell>
          <cell r="W24" t="str">
            <v>KEW</v>
          </cell>
          <cell r="X24" t="str">
            <v>01/09/2010</v>
          </cell>
          <cell r="Y24" t="str">
            <v>KEW</v>
          </cell>
          <cell r="Z24" t="str">
            <v>16/08/2013</v>
          </cell>
          <cell r="AA24" t="str">
            <v>15/08/2015</v>
          </cell>
          <cell r="AB24" t="str">
            <v>No</v>
          </cell>
          <cell r="AC24" t="str">
            <v>31/08/2013</v>
          </cell>
          <cell r="AD24" t="str">
            <v>Good</v>
          </cell>
          <cell r="AE24" t="str">
            <v>V1 - Existing / No Claim</v>
          </cell>
          <cell r="AF24">
            <v>42800</v>
          </cell>
          <cell r="AG24">
            <v>9.17</v>
          </cell>
          <cell r="AH24" t="str">
            <v>PPM</v>
          </cell>
          <cell r="AI24" t="str">
            <v>Strands</v>
          </cell>
          <cell r="AJ24" t="str">
            <v>Strands PW</v>
          </cell>
        </row>
        <row r="25">
          <cell r="A25" t="str">
            <v>IKN400940</v>
          </cell>
          <cell r="B25">
            <v>939</v>
          </cell>
          <cell r="C25" t="str">
            <v>Institut Kanser Negara</v>
          </cell>
          <cell r="E25" t="str">
            <v>16-156</v>
          </cell>
          <cell r="F25" t="str">
            <v>Sphygmomanometers, Aneroid</v>
          </cell>
          <cell r="G25" t="str">
            <v>MC</v>
          </cell>
          <cell r="H25" t="str">
            <v>MULTI-DISCIPLINE CLINIC</v>
          </cell>
          <cell r="I25" t="str">
            <v>03MC127</v>
          </cell>
          <cell r="J25" t="str">
            <v>C/E 1 (ENT)</v>
          </cell>
          <cell r="K25" t="str">
            <v>BMED</v>
          </cell>
          <cell r="L25" t="str">
            <v>Normal</v>
          </cell>
          <cell r="M25" t="str">
            <v>Germany</v>
          </cell>
          <cell r="N25" t="str">
            <v>Erka</v>
          </cell>
          <cell r="O25" t="str">
            <v>D-83646</v>
          </cell>
          <cell r="P25" t="str">
            <v>13400144</v>
          </cell>
          <cell r="Q25" t="str">
            <v>Not Applicable</v>
          </cell>
          <cell r="R25" t="str">
            <v>Erka GmbH &amp; Co</v>
          </cell>
          <cell r="S25" t="str">
            <v>Acucare Systems (M) Sdn bhd</v>
          </cell>
          <cell r="T25" t="str">
            <v>Functioning</v>
          </cell>
          <cell r="U25" t="str">
            <v>Asset</v>
          </cell>
          <cell r="V25">
            <v>505</v>
          </cell>
          <cell r="W25" t="str">
            <v>KEW</v>
          </cell>
          <cell r="X25" t="str">
            <v>01/09/2010</v>
          </cell>
          <cell r="Y25" t="str">
            <v>KEW</v>
          </cell>
          <cell r="Z25" t="str">
            <v>16/08/2013</v>
          </cell>
          <cell r="AA25" t="str">
            <v>15/08/2015</v>
          </cell>
          <cell r="AB25" t="str">
            <v>No</v>
          </cell>
          <cell r="AC25" t="str">
            <v>31/08/2013</v>
          </cell>
          <cell r="AD25" t="str">
            <v>Good</v>
          </cell>
          <cell r="AE25" t="str">
            <v>V1 - Existing / No Claim</v>
          </cell>
          <cell r="AF25">
            <v>42832</v>
          </cell>
          <cell r="AG25">
            <v>9.17</v>
          </cell>
          <cell r="AH25" t="str">
            <v>PPM</v>
          </cell>
          <cell r="AI25" t="str">
            <v>Not in contract</v>
          </cell>
          <cell r="AJ25" t="str">
            <v>Strands PW</v>
          </cell>
        </row>
        <row r="26">
          <cell r="A26" t="str">
            <v>IKN400941</v>
          </cell>
          <cell r="B26">
            <v>940</v>
          </cell>
          <cell r="C26" t="str">
            <v>Institut Kanser Negara</v>
          </cell>
          <cell r="D26" t="str">
            <v>KKM/IKN/H/13/2486</v>
          </cell>
          <cell r="E26" t="str">
            <v>11-585</v>
          </cell>
          <cell r="F26" t="str">
            <v>Ear/Nose/Throat Treatment Units</v>
          </cell>
          <cell r="G26" t="str">
            <v>MC</v>
          </cell>
          <cell r="H26" t="str">
            <v>MULTI-DISCIPLINE CLINIC</v>
          </cell>
          <cell r="I26" t="str">
            <v>03MC127</v>
          </cell>
          <cell r="J26" t="str">
            <v>C/E 1 (ENT)</v>
          </cell>
          <cell r="K26" t="str">
            <v>BMED</v>
          </cell>
          <cell r="L26" t="str">
            <v>Normal</v>
          </cell>
          <cell r="M26" t="str">
            <v>Germany</v>
          </cell>
          <cell r="N26" t="str">
            <v>Atmos</v>
          </cell>
          <cell r="O26" t="str">
            <v>Atmos C31</v>
          </cell>
          <cell r="P26" t="str">
            <v>030044554-101360-2012-12</v>
          </cell>
          <cell r="Q26" t="str">
            <v>Not Applicable</v>
          </cell>
          <cell r="R26" t="str">
            <v>Atmos Medizintechnik GmbH &amp; Co KG</v>
          </cell>
          <cell r="S26" t="str">
            <v>Atmos Medizintechnik (M) Sdn Bhd</v>
          </cell>
          <cell r="T26" t="str">
            <v>Functioning</v>
          </cell>
          <cell r="U26" t="str">
            <v>Asset</v>
          </cell>
          <cell r="W26" t="str">
            <v>Estimate</v>
          </cell>
          <cell r="X26" t="str">
            <v>01/09/2010</v>
          </cell>
          <cell r="Y26" t="str">
            <v>KEW</v>
          </cell>
          <cell r="Z26" t="str">
            <v>16/08/2013</v>
          </cell>
          <cell r="AA26" t="str">
            <v>15/08/2015</v>
          </cell>
          <cell r="AB26" t="str">
            <v>No</v>
          </cell>
          <cell r="AC26" t="str">
            <v>31/08/2013</v>
          </cell>
          <cell r="AD26" t="str">
            <v>Good</v>
          </cell>
          <cell r="AE26" t="str">
            <v>V1 - Existing / No Claim</v>
          </cell>
          <cell r="AF26">
            <v>42800</v>
          </cell>
          <cell r="AG26">
            <v>9.17</v>
          </cell>
          <cell r="AH26" t="str">
            <v>PPM</v>
          </cell>
          <cell r="AI26" t="str">
            <v>Strands</v>
          </cell>
          <cell r="AJ26" t="str">
            <v>Strands Package</v>
          </cell>
          <cell r="AK26" t="str">
            <v>Pecah Kewpa. Complement with IKN402031. Package Code ZE0001. [28/12/2023, HIDAYAH]: CURRENT LOC NM.</v>
          </cell>
        </row>
        <row r="27">
          <cell r="A27" t="str">
            <v>IKN400942</v>
          </cell>
          <cell r="B27">
            <v>941</v>
          </cell>
          <cell r="C27" t="str">
            <v>Institut Kanser Negara</v>
          </cell>
          <cell r="D27" t="str">
            <v>KKM/IKN/H/13/320</v>
          </cell>
          <cell r="E27" t="str">
            <v>10-960</v>
          </cell>
          <cell r="F27" t="str">
            <v>Colposcopes</v>
          </cell>
          <cell r="G27" t="str">
            <v>MC</v>
          </cell>
          <cell r="H27" t="str">
            <v>MULTI-DISCIPLINE CLINIC</v>
          </cell>
          <cell r="I27" t="str">
            <v>03MC127</v>
          </cell>
          <cell r="J27" t="str">
            <v>C/E 1 (ENT)</v>
          </cell>
          <cell r="K27" t="str">
            <v>BMED</v>
          </cell>
          <cell r="L27" t="str">
            <v>Normal</v>
          </cell>
          <cell r="M27" t="str">
            <v>Japan</v>
          </cell>
          <cell r="N27" t="str">
            <v>Olympus</v>
          </cell>
          <cell r="O27" t="str">
            <v>Olympus OCS-500</v>
          </cell>
          <cell r="P27" t="str">
            <v>110342</v>
          </cell>
          <cell r="Q27" t="str">
            <v>Not Applicable</v>
          </cell>
          <cell r="R27" t="str">
            <v>Olympus Optical Co Ltd</v>
          </cell>
          <cell r="S27" t="str">
            <v>Endodynamics</v>
          </cell>
          <cell r="T27" t="str">
            <v>Functioning</v>
          </cell>
          <cell r="U27" t="str">
            <v>Asset</v>
          </cell>
          <cell r="V27">
            <v>155820</v>
          </cell>
          <cell r="W27" t="str">
            <v>KEW</v>
          </cell>
          <cell r="X27" t="str">
            <v>01/09/2010</v>
          </cell>
          <cell r="Y27" t="str">
            <v>KEW</v>
          </cell>
          <cell r="Z27" t="str">
            <v>16/08/2013</v>
          </cell>
          <cell r="AA27" t="str">
            <v>15/08/2015</v>
          </cell>
          <cell r="AB27" t="str">
            <v>No</v>
          </cell>
          <cell r="AC27" t="str">
            <v>31/08/2013</v>
          </cell>
          <cell r="AD27" t="str">
            <v>Good</v>
          </cell>
          <cell r="AE27" t="str">
            <v>V1 - Existing / No Claim</v>
          </cell>
          <cell r="AF27">
            <v>42235</v>
          </cell>
          <cell r="AG27">
            <v>9.17</v>
          </cell>
          <cell r="AH27" t="str">
            <v>PPM</v>
          </cell>
          <cell r="AI27" t="str">
            <v>Strands</v>
          </cell>
          <cell r="AJ27" t="str">
            <v>Strands Package</v>
          </cell>
          <cell r="AK27" t="str">
            <v>Package Code EN0028</v>
          </cell>
        </row>
        <row r="28">
          <cell r="A28" t="str">
            <v>IKN400943</v>
          </cell>
          <cell r="B28">
            <v>942</v>
          </cell>
          <cell r="C28" t="str">
            <v>Institut Kanser Negara</v>
          </cell>
          <cell r="E28" t="str">
            <v>12-343</v>
          </cell>
          <cell r="F28" t="str">
            <v>Light Sources, Fiberoptic, Flexible Endoscopic</v>
          </cell>
          <cell r="G28" t="str">
            <v>MC</v>
          </cell>
          <cell r="H28" t="str">
            <v>MULTI-DISCIPLINE CLINIC</v>
          </cell>
          <cell r="I28" t="str">
            <v>03MC127</v>
          </cell>
          <cell r="J28" t="str">
            <v>C/E 1 (ENT)</v>
          </cell>
          <cell r="K28" t="str">
            <v>BMED</v>
          </cell>
          <cell r="L28" t="str">
            <v>Normal</v>
          </cell>
          <cell r="M28" t="str">
            <v>Japan</v>
          </cell>
          <cell r="N28" t="str">
            <v>Olympus</v>
          </cell>
          <cell r="O28" t="str">
            <v>Olympus CLH-250</v>
          </cell>
          <cell r="P28" t="str">
            <v>7232991</v>
          </cell>
          <cell r="Q28" t="str">
            <v>Not Applicable</v>
          </cell>
          <cell r="R28" t="str">
            <v>Olympus Optical Co Ltd</v>
          </cell>
          <cell r="S28" t="str">
            <v>Endodynamics</v>
          </cell>
          <cell r="T28" t="str">
            <v>Functioning</v>
          </cell>
          <cell r="U28" t="str">
            <v>Asset</v>
          </cell>
          <cell r="V28">
            <v>38575</v>
          </cell>
          <cell r="W28" t="str">
            <v>KEW</v>
          </cell>
          <cell r="X28" t="str">
            <v>01/09/2010</v>
          </cell>
          <cell r="Y28" t="str">
            <v>KEW</v>
          </cell>
          <cell r="Z28" t="str">
            <v>16/08/2013</v>
          </cell>
          <cell r="AA28" t="str">
            <v>15/08/2015</v>
          </cell>
          <cell r="AB28" t="str">
            <v>No</v>
          </cell>
          <cell r="AC28" t="str">
            <v>31/08/2013</v>
          </cell>
          <cell r="AD28" t="str">
            <v>Good</v>
          </cell>
          <cell r="AE28" t="str">
            <v>V1 - Existing / No Claim</v>
          </cell>
          <cell r="AF28">
            <v>42800</v>
          </cell>
          <cell r="AG28">
            <v>9.17</v>
          </cell>
          <cell r="AH28" t="str">
            <v>PPM</v>
          </cell>
          <cell r="AI28" t="str">
            <v>Strands</v>
          </cell>
          <cell r="AJ28" t="str">
            <v>Strands Package</v>
          </cell>
          <cell r="AK28" t="str">
            <v>Package Code EN0028</v>
          </cell>
        </row>
        <row r="29">
          <cell r="A29" t="str">
            <v>IKN400944</v>
          </cell>
          <cell r="B29">
            <v>943</v>
          </cell>
          <cell r="C29" t="str">
            <v>Institut Kanser Negara</v>
          </cell>
          <cell r="E29" t="str">
            <v>15-967</v>
          </cell>
          <cell r="F29" t="str">
            <v>Television Systems, Endoscope</v>
          </cell>
          <cell r="G29" t="str">
            <v>MC</v>
          </cell>
          <cell r="H29" t="str">
            <v>MULTI-DISCIPLINE CLINIC</v>
          </cell>
          <cell r="I29" t="str">
            <v>03MC127</v>
          </cell>
          <cell r="J29" t="str">
            <v>C/E 1 (ENT)</v>
          </cell>
          <cell r="K29" t="str">
            <v>BMED</v>
          </cell>
          <cell r="L29" t="str">
            <v>Normal</v>
          </cell>
          <cell r="M29" t="str">
            <v>JAPAN</v>
          </cell>
          <cell r="N29" t="str">
            <v>Olympus</v>
          </cell>
          <cell r="O29" t="str">
            <v>Olympus OEV261H</v>
          </cell>
          <cell r="P29" t="str">
            <v>7245440</v>
          </cell>
          <cell r="Q29" t="str">
            <v>Not Applicable</v>
          </cell>
          <cell r="R29" t="str">
            <v>Olympus Medical Systems Corp</v>
          </cell>
          <cell r="S29" t="str">
            <v>Endodynamics</v>
          </cell>
          <cell r="T29" t="str">
            <v>Functioning</v>
          </cell>
          <cell r="U29" t="str">
            <v>Asset</v>
          </cell>
          <cell r="V29">
            <v>20000</v>
          </cell>
          <cell r="W29" t="str">
            <v>Estimate</v>
          </cell>
          <cell r="X29" t="str">
            <v>01/09/2010</v>
          </cell>
          <cell r="Y29" t="str">
            <v>KEW</v>
          </cell>
          <cell r="Z29" t="str">
            <v>16/08/2013</v>
          </cell>
          <cell r="AA29" t="str">
            <v>15/08/2015</v>
          </cell>
          <cell r="AB29" t="str">
            <v>No</v>
          </cell>
          <cell r="AC29" t="str">
            <v>31/08/2013</v>
          </cell>
          <cell r="AD29" t="str">
            <v>Good</v>
          </cell>
          <cell r="AE29" t="str">
            <v>V1 - Existing / No Claim</v>
          </cell>
          <cell r="AF29">
            <v>42605</v>
          </cell>
          <cell r="AG29">
            <v>9.17</v>
          </cell>
          <cell r="AH29" t="str">
            <v>RI</v>
          </cell>
          <cell r="AI29" t="str">
            <v>package</v>
          </cell>
          <cell r="AJ29" t="str">
            <v>Strands Package</v>
          </cell>
          <cell r="AK29" t="str">
            <v>IKNB03MC127</v>
          </cell>
        </row>
        <row r="30">
          <cell r="A30" t="str">
            <v>IKN400945</v>
          </cell>
          <cell r="B30">
            <v>944</v>
          </cell>
          <cell r="C30" t="str">
            <v>Institut Kanser Negara</v>
          </cell>
          <cell r="E30" t="str">
            <v>13-274</v>
          </cell>
          <cell r="F30" t="str">
            <v>Recorders, Tape, Video</v>
          </cell>
          <cell r="G30" t="str">
            <v>MC</v>
          </cell>
          <cell r="H30" t="str">
            <v>MULTI-DISCIPLINE CLINIC</v>
          </cell>
          <cell r="I30" t="str">
            <v>03MC127</v>
          </cell>
          <cell r="J30" t="str">
            <v>C/E 1 (ENT)</v>
          </cell>
          <cell r="K30" t="str">
            <v>BMED</v>
          </cell>
          <cell r="L30" t="str">
            <v>Normal</v>
          </cell>
          <cell r="M30" t="str">
            <v>China</v>
          </cell>
          <cell r="N30" t="str">
            <v>Sony</v>
          </cell>
          <cell r="O30" t="str">
            <v>Sony DVD-1000MD</v>
          </cell>
          <cell r="P30" t="str">
            <v>35240</v>
          </cell>
          <cell r="Q30" t="str">
            <v>Not Applicable</v>
          </cell>
          <cell r="R30" t="str">
            <v>Sony Corp</v>
          </cell>
          <cell r="S30" t="str">
            <v>Endodynamics</v>
          </cell>
          <cell r="T30" t="str">
            <v>Functioning</v>
          </cell>
          <cell r="U30" t="str">
            <v>Asset</v>
          </cell>
          <cell r="V30">
            <v>4000</v>
          </cell>
          <cell r="W30" t="str">
            <v>Estimate</v>
          </cell>
          <cell r="X30" t="str">
            <v>01/09/2010</v>
          </cell>
          <cell r="Y30" t="str">
            <v>KEW</v>
          </cell>
          <cell r="Z30" t="str">
            <v>16/08/2013</v>
          </cell>
          <cell r="AA30" t="str">
            <v>15/08/2015</v>
          </cell>
          <cell r="AB30" t="str">
            <v>No</v>
          </cell>
          <cell r="AC30" t="str">
            <v>31/08/2013</v>
          </cell>
          <cell r="AD30" t="str">
            <v>Good</v>
          </cell>
          <cell r="AE30" t="str">
            <v>V1 - Existing / No Claim</v>
          </cell>
          <cell r="AF30">
            <v>42643</v>
          </cell>
          <cell r="AG30">
            <v>9.17</v>
          </cell>
          <cell r="AH30" t="str">
            <v>RI</v>
          </cell>
          <cell r="AI30" t="str">
            <v>package</v>
          </cell>
          <cell r="AJ30" t="str">
            <v>Strands Package</v>
          </cell>
          <cell r="AK30" t="str">
            <v>IKNB03MC127</v>
          </cell>
        </row>
        <row r="31">
          <cell r="A31" t="str">
            <v>IKN400946</v>
          </cell>
          <cell r="B31">
            <v>945</v>
          </cell>
          <cell r="C31" t="str">
            <v>Institut Kanser Negara</v>
          </cell>
          <cell r="E31" t="str">
            <v>18-034</v>
          </cell>
          <cell r="F31" t="str">
            <v>Video Image Processors, Endoscopic</v>
          </cell>
          <cell r="G31" t="str">
            <v>MC</v>
          </cell>
          <cell r="H31" t="str">
            <v>MULTI-DISCIPLINE CLINIC</v>
          </cell>
          <cell r="I31" t="str">
            <v>03MC127</v>
          </cell>
          <cell r="J31" t="str">
            <v>C/E 1 (ENT)</v>
          </cell>
          <cell r="K31" t="str">
            <v>BMED</v>
          </cell>
          <cell r="L31" t="str">
            <v>Normal</v>
          </cell>
          <cell r="M31" t="str">
            <v>JAPAN</v>
          </cell>
          <cell r="N31" t="str">
            <v>Evis Exera III</v>
          </cell>
          <cell r="O31" t="str">
            <v>Evis Exera III CV-190</v>
          </cell>
          <cell r="P31" t="str">
            <v>713165</v>
          </cell>
          <cell r="Q31" t="str">
            <v>Not Applicable</v>
          </cell>
          <cell r="R31" t="str">
            <v>Olympus Medical Systems Corp</v>
          </cell>
          <cell r="S31" t="str">
            <v>Endodynamics</v>
          </cell>
          <cell r="T31" t="str">
            <v>Functioning</v>
          </cell>
          <cell r="U31" t="str">
            <v>Asset</v>
          </cell>
          <cell r="V31">
            <v>80000</v>
          </cell>
          <cell r="W31" t="str">
            <v>Estimate</v>
          </cell>
          <cell r="X31" t="str">
            <v>01/09/2010</v>
          </cell>
          <cell r="Y31" t="str">
            <v>KEW</v>
          </cell>
          <cell r="Z31" t="str">
            <v>16/08/2013</v>
          </cell>
          <cell r="AA31" t="str">
            <v>15/08/2015</v>
          </cell>
          <cell r="AB31" t="str">
            <v>No</v>
          </cell>
          <cell r="AC31" t="str">
            <v>31/08/2013</v>
          </cell>
          <cell r="AD31" t="str">
            <v>Good</v>
          </cell>
          <cell r="AE31" t="str">
            <v>V1 - Existing / No Claim</v>
          </cell>
          <cell r="AF31">
            <v>42605</v>
          </cell>
          <cell r="AG31">
            <v>9.17</v>
          </cell>
          <cell r="AH31" t="str">
            <v>PPM</v>
          </cell>
          <cell r="AI31" t="str">
            <v>package</v>
          </cell>
          <cell r="AJ31" t="str">
            <v>Strands PW</v>
          </cell>
        </row>
        <row r="32">
          <cell r="A32" t="str">
            <v>IKN400947</v>
          </cell>
          <cell r="B32">
            <v>946</v>
          </cell>
          <cell r="C32" t="str">
            <v>Institut Kanser Negara</v>
          </cell>
          <cell r="E32" t="str">
            <v>13-274</v>
          </cell>
          <cell r="F32" t="str">
            <v>Recorders, Tape, Video</v>
          </cell>
          <cell r="G32" t="str">
            <v>MC</v>
          </cell>
          <cell r="H32" t="str">
            <v>MULTI-DISCIPLINE CLINIC</v>
          </cell>
          <cell r="I32" t="str">
            <v>03MC127</v>
          </cell>
          <cell r="J32" t="str">
            <v>C/E 1 (ENT)</v>
          </cell>
          <cell r="K32" t="str">
            <v>BMED</v>
          </cell>
          <cell r="L32" t="str">
            <v>Normal</v>
          </cell>
          <cell r="M32" t="str">
            <v>USA</v>
          </cell>
          <cell r="N32" t="str">
            <v>Medicapture</v>
          </cell>
          <cell r="O32" t="str">
            <v>Medicapture</v>
          </cell>
          <cell r="P32" t="str">
            <v>803731</v>
          </cell>
          <cell r="Q32" t="str">
            <v>Not Applicable</v>
          </cell>
          <cell r="R32" t="str">
            <v>Medicapture Inc</v>
          </cell>
          <cell r="S32" t="str">
            <v>Endodynamics</v>
          </cell>
          <cell r="T32" t="str">
            <v>Functioning</v>
          </cell>
          <cell r="U32" t="str">
            <v>Asset</v>
          </cell>
          <cell r="V32">
            <v>8000</v>
          </cell>
          <cell r="W32" t="str">
            <v>Estimate</v>
          </cell>
          <cell r="X32" t="str">
            <v>01/09/2010</v>
          </cell>
          <cell r="Y32" t="str">
            <v>KEW</v>
          </cell>
          <cell r="Z32" t="str">
            <v>16/08/2013</v>
          </cell>
          <cell r="AA32" t="str">
            <v>15/08/2015</v>
          </cell>
          <cell r="AB32" t="str">
            <v>No</v>
          </cell>
          <cell r="AC32" t="str">
            <v>31/08/2013</v>
          </cell>
          <cell r="AD32" t="str">
            <v>Good</v>
          </cell>
          <cell r="AE32" t="str">
            <v>V1 - Existing / No Claim</v>
          </cell>
          <cell r="AF32">
            <v>42605</v>
          </cell>
          <cell r="AG32">
            <v>9.17</v>
          </cell>
          <cell r="AH32" t="str">
            <v>RI</v>
          </cell>
          <cell r="AI32" t="str">
            <v>package</v>
          </cell>
          <cell r="AJ32" t="str">
            <v>Strands Package</v>
          </cell>
          <cell r="AK32" t="str">
            <v>IKNB03MC127</v>
          </cell>
        </row>
        <row r="33">
          <cell r="A33" t="str">
            <v>IKN400948</v>
          </cell>
          <cell r="B33">
            <v>947</v>
          </cell>
          <cell r="C33" t="str">
            <v>Institut Kanser Negara</v>
          </cell>
          <cell r="E33" t="str">
            <v>17-002</v>
          </cell>
          <cell r="F33" t="str">
            <v>Cameras, Video, Endoscope</v>
          </cell>
          <cell r="G33" t="str">
            <v>MC</v>
          </cell>
          <cell r="H33" t="str">
            <v>MULTI-DISCIPLINE CLINIC</v>
          </cell>
          <cell r="I33" t="str">
            <v>03MC127</v>
          </cell>
          <cell r="J33" t="str">
            <v>C/E 1 (ENT)</v>
          </cell>
          <cell r="K33" t="str">
            <v>BMED</v>
          </cell>
          <cell r="L33" t="str">
            <v>Normal</v>
          </cell>
          <cell r="M33" t="str">
            <v>JAPAN</v>
          </cell>
          <cell r="N33" t="str">
            <v>Olympus</v>
          </cell>
          <cell r="O33" t="str">
            <v>Olympus OTV-S7</v>
          </cell>
          <cell r="P33" t="str">
            <v>7291748</v>
          </cell>
          <cell r="Q33" t="str">
            <v>Not Applicable</v>
          </cell>
          <cell r="R33" t="str">
            <v>Olympus Optical Co Ltd</v>
          </cell>
          <cell r="S33" t="str">
            <v>Endodynamics</v>
          </cell>
          <cell r="T33" t="str">
            <v>Functioning</v>
          </cell>
          <cell r="U33" t="str">
            <v>Asset</v>
          </cell>
          <cell r="V33">
            <v>5000</v>
          </cell>
          <cell r="W33" t="str">
            <v>Estimate</v>
          </cell>
          <cell r="X33" t="str">
            <v>01/09/2010</v>
          </cell>
          <cell r="Y33" t="str">
            <v>KEW</v>
          </cell>
          <cell r="Z33" t="str">
            <v>16/08/2013</v>
          </cell>
          <cell r="AA33" t="str">
            <v>15/08/2015</v>
          </cell>
          <cell r="AB33" t="str">
            <v>No</v>
          </cell>
          <cell r="AC33" t="str">
            <v>31/08/2013</v>
          </cell>
          <cell r="AD33" t="str">
            <v>Good</v>
          </cell>
          <cell r="AE33" t="str">
            <v>V1 - Existing / No Claim</v>
          </cell>
          <cell r="AF33">
            <v>42605</v>
          </cell>
          <cell r="AG33">
            <v>9.17</v>
          </cell>
          <cell r="AH33" t="str">
            <v>PPM</v>
          </cell>
          <cell r="AI33" t="str">
            <v>package</v>
          </cell>
          <cell r="AJ33" t="str">
            <v>Strands PW</v>
          </cell>
        </row>
        <row r="34">
          <cell r="A34" t="str">
            <v>IKN400949</v>
          </cell>
          <cell r="B34">
            <v>948</v>
          </cell>
          <cell r="C34" t="str">
            <v>Institut Kanser Negara</v>
          </cell>
          <cell r="E34" t="str">
            <v>12-343</v>
          </cell>
          <cell r="F34" t="str">
            <v>Light Sources, Fiberoptic, Flexible Endoscopic</v>
          </cell>
          <cell r="G34" t="str">
            <v>MC</v>
          </cell>
          <cell r="H34" t="str">
            <v>MULTI-DISCIPLINE CLINIC</v>
          </cell>
          <cell r="I34" t="str">
            <v>03MC127</v>
          </cell>
          <cell r="J34" t="str">
            <v>C/E 1 (ENT)</v>
          </cell>
          <cell r="K34" t="str">
            <v>BMED</v>
          </cell>
          <cell r="L34" t="str">
            <v>Normal</v>
          </cell>
          <cell r="M34" t="str">
            <v>JAPAN</v>
          </cell>
          <cell r="N34" t="str">
            <v>Olympus</v>
          </cell>
          <cell r="O34" t="str">
            <v>Olympus CLV-S45</v>
          </cell>
          <cell r="P34" t="str">
            <v>7311822</v>
          </cell>
          <cell r="Q34" t="str">
            <v>Not Applicable</v>
          </cell>
          <cell r="R34" t="str">
            <v>Olympus Optical Co Ltd</v>
          </cell>
          <cell r="S34" t="str">
            <v>Endodynamics</v>
          </cell>
          <cell r="T34" t="str">
            <v>Functioning</v>
          </cell>
          <cell r="U34" t="str">
            <v>Asset</v>
          </cell>
          <cell r="V34">
            <v>15000</v>
          </cell>
          <cell r="W34" t="str">
            <v>Estimate</v>
          </cell>
          <cell r="X34" t="str">
            <v>01/09/2010</v>
          </cell>
          <cell r="Y34" t="str">
            <v>KEW</v>
          </cell>
          <cell r="Z34" t="str">
            <v>16/08/2013</v>
          </cell>
          <cell r="AA34" t="str">
            <v>15/08/2015</v>
          </cell>
          <cell r="AB34" t="str">
            <v>No</v>
          </cell>
          <cell r="AC34" t="str">
            <v>31/08/2013</v>
          </cell>
          <cell r="AD34" t="str">
            <v>Good</v>
          </cell>
          <cell r="AE34" t="str">
            <v>V1 - Existing / No Claim</v>
          </cell>
          <cell r="AF34">
            <v>42800</v>
          </cell>
          <cell r="AG34">
            <v>9.17</v>
          </cell>
          <cell r="AH34" t="str">
            <v>PPM</v>
          </cell>
          <cell r="AI34" t="str">
            <v>package</v>
          </cell>
          <cell r="AJ34" t="str">
            <v>Strands PW</v>
          </cell>
        </row>
        <row r="35">
          <cell r="A35" t="str">
            <v>IKN400950</v>
          </cell>
          <cell r="B35">
            <v>949</v>
          </cell>
          <cell r="C35" t="str">
            <v>Institut Kanser Negara</v>
          </cell>
          <cell r="D35" t="str">
            <v>KKM/IKN/H/13/3542</v>
          </cell>
          <cell r="E35" t="str">
            <v>25-209</v>
          </cell>
          <cell r="F35" t="str">
            <v>Monitors, Physiologic, Vital Signs</v>
          </cell>
          <cell r="G35" t="str">
            <v>MC</v>
          </cell>
          <cell r="H35" t="str">
            <v>MULTI-DISCIPLINE CLINIC</v>
          </cell>
          <cell r="I35" t="str">
            <v>03MC107</v>
          </cell>
          <cell r="J35" t="str">
            <v>TREATMENT 1</v>
          </cell>
          <cell r="K35" t="str">
            <v>BMED</v>
          </cell>
          <cell r="L35" t="str">
            <v>Critical</v>
          </cell>
          <cell r="M35" t="str">
            <v>Mexico</v>
          </cell>
          <cell r="N35" t="str">
            <v>Carespace</v>
          </cell>
          <cell r="O35" t="str">
            <v>Carescape V100</v>
          </cell>
          <cell r="P35" t="str">
            <v>SH612450579SA</v>
          </cell>
          <cell r="Q35" t="str">
            <v>Not Applicable</v>
          </cell>
          <cell r="R35" t="str">
            <v>GE Healthcare Systems</v>
          </cell>
          <cell r="S35" t="str">
            <v>GE Healthcare Technologies</v>
          </cell>
          <cell r="T35" t="str">
            <v>Functioning</v>
          </cell>
          <cell r="U35" t="str">
            <v>Asset</v>
          </cell>
          <cell r="V35">
            <v>18765</v>
          </cell>
          <cell r="W35" t="str">
            <v>KEW</v>
          </cell>
          <cell r="X35" t="str">
            <v>01/09/2010</v>
          </cell>
          <cell r="Y35" t="str">
            <v>KEW</v>
          </cell>
          <cell r="Z35" t="str">
            <v>16/08/2013</v>
          </cell>
          <cell r="AA35" t="str">
            <v>15/08/2015</v>
          </cell>
          <cell r="AB35" t="str">
            <v>No</v>
          </cell>
          <cell r="AC35" t="str">
            <v>31/08/2013</v>
          </cell>
          <cell r="AD35" t="str">
            <v>Good</v>
          </cell>
          <cell r="AE35" t="str">
            <v>V1 - Existing / No Claim</v>
          </cell>
          <cell r="AF35">
            <v>42799</v>
          </cell>
          <cell r="AG35">
            <v>9.17</v>
          </cell>
          <cell r="AH35" t="str">
            <v>PPM</v>
          </cell>
          <cell r="AI35" t="str">
            <v>Strands</v>
          </cell>
          <cell r="AJ35" t="str">
            <v>Strands PW</v>
          </cell>
        </row>
        <row r="36">
          <cell r="A36" t="str">
            <v>IKN400960</v>
          </cell>
          <cell r="B36">
            <v>959</v>
          </cell>
          <cell r="C36" t="str">
            <v>Institut Kanser Negara</v>
          </cell>
          <cell r="D36" t="str">
            <v>KKM/IKN/H/13/4943</v>
          </cell>
          <cell r="E36" t="str">
            <v>12-647</v>
          </cell>
          <cell r="F36" t="str">
            <v>Physiologic Monitoring Systems, Acute Care</v>
          </cell>
          <cell r="G36" t="str">
            <v>MC</v>
          </cell>
          <cell r="H36" t="str">
            <v>MULTI-DISCIPLINE CLINIC</v>
          </cell>
          <cell r="I36" t="str">
            <v>03MC108</v>
          </cell>
          <cell r="J36" t="str">
            <v>TREATMENT/PROCEDURE</v>
          </cell>
          <cell r="K36" t="str">
            <v>BMED</v>
          </cell>
          <cell r="L36" t="str">
            <v>Critical</v>
          </cell>
          <cell r="M36" t="str">
            <v>Finland</v>
          </cell>
          <cell r="N36" t="str">
            <v>CareScape</v>
          </cell>
          <cell r="O36" t="str">
            <v>CareScape B650</v>
          </cell>
          <cell r="P36" t="str">
            <v>SEW12357360HA</v>
          </cell>
          <cell r="Q36" t="str">
            <v>Not Applicable</v>
          </cell>
          <cell r="R36" t="str">
            <v>GE Medical Systems</v>
          </cell>
          <cell r="S36" t="str">
            <v>GE Healthcare Technologies</v>
          </cell>
          <cell r="T36" t="str">
            <v>Functioning</v>
          </cell>
          <cell r="U36" t="str">
            <v>Asset</v>
          </cell>
          <cell r="V36">
            <v>87400</v>
          </cell>
          <cell r="W36" t="str">
            <v>KEW</v>
          </cell>
          <cell r="X36" t="str">
            <v>01/09/2010</v>
          </cell>
          <cell r="Y36" t="str">
            <v>KEW</v>
          </cell>
          <cell r="Z36" t="str">
            <v>16/08/2013</v>
          </cell>
          <cell r="AA36" t="str">
            <v>15/08/2015</v>
          </cell>
          <cell r="AB36" t="str">
            <v>No</v>
          </cell>
          <cell r="AC36" t="str">
            <v>31/08/2013</v>
          </cell>
          <cell r="AD36" t="str">
            <v>Good</v>
          </cell>
          <cell r="AE36" t="str">
            <v>V1 - Existing / No Claim</v>
          </cell>
          <cell r="AF36">
            <v>42799</v>
          </cell>
          <cell r="AG36">
            <v>9.17</v>
          </cell>
          <cell r="AH36" t="str">
            <v>PPM</v>
          </cell>
          <cell r="AI36" t="str">
            <v>Strands</v>
          </cell>
          <cell r="AJ36" t="str">
            <v>Strands PW</v>
          </cell>
        </row>
        <row r="37">
          <cell r="A37" t="str">
            <v>IKN401000</v>
          </cell>
          <cell r="B37">
            <v>998</v>
          </cell>
          <cell r="C37" t="str">
            <v>Institut Kanser Negara</v>
          </cell>
          <cell r="D37" t="str">
            <v>KKM/IKN/H/13/5432</v>
          </cell>
          <cell r="E37" t="str">
            <v>17-679</v>
          </cell>
          <cell r="F37" t="str">
            <v>Laser Imagers</v>
          </cell>
          <cell r="G37" t="str">
            <v>NM</v>
          </cell>
          <cell r="H37" t="str">
            <v>NUCLEAR MED (DIAGNOSTIC)</v>
          </cell>
          <cell r="I37" t="str">
            <v>03NM166</v>
          </cell>
          <cell r="J37" t="str">
            <v>REPORTING</v>
          </cell>
          <cell r="K37" t="str">
            <v>BMED</v>
          </cell>
          <cell r="L37" t="str">
            <v>Normal</v>
          </cell>
          <cell r="M37" t="str">
            <v>USA</v>
          </cell>
          <cell r="N37" t="str">
            <v>DryPix</v>
          </cell>
          <cell r="O37" t="str">
            <v>DryPix Plus</v>
          </cell>
          <cell r="P37" t="str">
            <v>26510102</v>
          </cell>
          <cell r="Q37" t="str">
            <v>Not Applicable</v>
          </cell>
          <cell r="R37" t="str">
            <v>FujiFilm Corp</v>
          </cell>
          <cell r="S37" t="str">
            <v>Advance Altimas Sdn Bhd</v>
          </cell>
          <cell r="T37" t="str">
            <v>Functioning</v>
          </cell>
          <cell r="U37" t="str">
            <v>Asset</v>
          </cell>
          <cell r="V37">
            <v>80000</v>
          </cell>
          <cell r="W37" t="str">
            <v>Estimate</v>
          </cell>
          <cell r="X37" t="str">
            <v>01/09/2010</v>
          </cell>
          <cell r="Y37" t="str">
            <v>KEW</v>
          </cell>
          <cell r="Z37" t="str">
            <v>16/08/2013</v>
          </cell>
          <cell r="AA37" t="str">
            <v>15/08/2015</v>
          </cell>
          <cell r="AB37" t="str">
            <v>No</v>
          </cell>
          <cell r="AC37" t="str">
            <v>31/08/2013</v>
          </cell>
          <cell r="AD37" t="str">
            <v>Good</v>
          </cell>
          <cell r="AE37" t="str">
            <v>V1 - Existing / No Claim</v>
          </cell>
          <cell r="AF37">
            <v>42605</v>
          </cell>
          <cell r="AG37">
            <v>9.17</v>
          </cell>
          <cell r="AH37" t="str">
            <v>PPM</v>
          </cell>
          <cell r="AI37" t="str">
            <v>Strands</v>
          </cell>
          <cell r="AJ37" t="str">
            <v>Strands Package. Proposed for V4 P2.23</v>
          </cell>
          <cell r="AK37" t="str">
            <v>Package Code XK0001B</v>
          </cell>
        </row>
        <row r="38">
          <cell r="A38" t="str">
            <v>IKN401002</v>
          </cell>
          <cell r="B38">
            <v>1000</v>
          </cell>
          <cell r="C38" t="str">
            <v>Institut Kanser Negara</v>
          </cell>
          <cell r="D38" t="str">
            <v>KKM/IKN/H/13/731</v>
          </cell>
          <cell r="E38" t="str">
            <v>10-208</v>
          </cell>
          <cell r="F38" t="str">
            <v>Aspirators</v>
          </cell>
          <cell r="G38" t="str">
            <v>MC</v>
          </cell>
          <cell r="H38" t="str">
            <v>MULTI-DISCIPLINE CLINIC</v>
          </cell>
          <cell r="I38" t="str">
            <v>03MC108</v>
          </cell>
          <cell r="J38" t="str">
            <v>TREATMENT/PROCEDURE</v>
          </cell>
          <cell r="K38" t="str">
            <v>BMED</v>
          </cell>
          <cell r="L38" t="str">
            <v>Critical</v>
          </cell>
          <cell r="M38" t="str">
            <v>Switzerland</v>
          </cell>
          <cell r="N38" t="str">
            <v>Senator</v>
          </cell>
          <cell r="O38" t="str">
            <v>Senator</v>
          </cell>
          <cell r="P38" t="str">
            <v>1220749</v>
          </cell>
          <cell r="Q38" t="str">
            <v>Not Applicable</v>
          </cell>
          <cell r="R38" t="str">
            <v>Ardo Medical AG</v>
          </cell>
          <cell r="S38" t="str">
            <v>Histopoint</v>
          </cell>
          <cell r="T38" t="str">
            <v>Functioning</v>
          </cell>
          <cell r="U38" t="str">
            <v>Asset</v>
          </cell>
          <cell r="V38">
            <v>7580</v>
          </cell>
          <cell r="W38" t="str">
            <v>KEW</v>
          </cell>
          <cell r="X38" t="str">
            <v>01/09/2010</v>
          </cell>
          <cell r="Y38" t="str">
            <v>KEW</v>
          </cell>
          <cell r="Z38" t="str">
            <v>16/08/2013</v>
          </cell>
          <cell r="AA38" t="str">
            <v>15/08/2015</v>
          </cell>
          <cell r="AB38" t="str">
            <v>No</v>
          </cell>
          <cell r="AC38" t="str">
            <v>31/08/2013</v>
          </cell>
          <cell r="AD38" t="str">
            <v>Good</v>
          </cell>
          <cell r="AE38" t="str">
            <v>V1 - Existing / No Claim</v>
          </cell>
          <cell r="AF38">
            <v>42800</v>
          </cell>
          <cell r="AG38">
            <v>9.17</v>
          </cell>
          <cell r="AH38" t="str">
            <v>PPM</v>
          </cell>
          <cell r="AI38" t="str">
            <v>Strands</v>
          </cell>
          <cell r="AJ38" t="str">
            <v>Strands PW</v>
          </cell>
        </row>
        <row r="39">
          <cell r="A39" t="str">
            <v>IKN401007</v>
          </cell>
          <cell r="B39">
            <v>1005</v>
          </cell>
          <cell r="C39" t="str">
            <v>Institut Kanser Negara</v>
          </cell>
          <cell r="D39" t="str">
            <v>KKM/IKN/H/13/3887</v>
          </cell>
          <cell r="E39" t="str">
            <v>15-999</v>
          </cell>
          <cell r="F39" t="str">
            <v>Washers, Flexible Endoscope</v>
          </cell>
          <cell r="G39" t="str">
            <v>MC</v>
          </cell>
          <cell r="H39" t="str">
            <v>MULTI-DISCIPLINE CLINIC</v>
          </cell>
          <cell r="I39" t="str">
            <v>03MC111</v>
          </cell>
          <cell r="J39" t="str">
            <v>SCOPE WASH</v>
          </cell>
          <cell r="K39" t="str">
            <v>BMED</v>
          </cell>
          <cell r="L39" t="str">
            <v>Normal</v>
          </cell>
          <cell r="M39" t="str">
            <v>Japan</v>
          </cell>
          <cell r="N39" t="str">
            <v>Olympus</v>
          </cell>
          <cell r="O39" t="str">
            <v>Olympus OER-AW</v>
          </cell>
          <cell r="P39" t="str">
            <v>2220744</v>
          </cell>
          <cell r="Q39" t="str">
            <v>Not Applicable</v>
          </cell>
          <cell r="R39" t="str">
            <v>Olympus Medical Systems Corp</v>
          </cell>
          <cell r="S39" t="str">
            <v>Endodynamics</v>
          </cell>
          <cell r="T39" t="str">
            <v>Functioning</v>
          </cell>
          <cell r="U39" t="str">
            <v>Asset</v>
          </cell>
          <cell r="V39">
            <v>126300</v>
          </cell>
          <cell r="W39" t="str">
            <v>KEW</v>
          </cell>
          <cell r="X39" t="str">
            <v>01/09/2010</v>
          </cell>
          <cell r="Y39" t="str">
            <v>KEW</v>
          </cell>
          <cell r="Z39" t="str">
            <v>16/08/2013</v>
          </cell>
          <cell r="AA39" t="str">
            <v>15/08/2015</v>
          </cell>
          <cell r="AB39" t="str">
            <v>No</v>
          </cell>
          <cell r="AC39" t="str">
            <v>31/08/2013</v>
          </cell>
          <cell r="AD39" t="str">
            <v>Good</v>
          </cell>
          <cell r="AE39" t="str">
            <v>V1 - Existing / No Claim</v>
          </cell>
          <cell r="AF39">
            <v>43063</v>
          </cell>
          <cell r="AG39">
            <v>9.17</v>
          </cell>
          <cell r="AH39" t="str">
            <v>PPM</v>
          </cell>
          <cell r="AI39" t="str">
            <v>Strands</v>
          </cell>
          <cell r="AJ39" t="str">
            <v>Strands PW</v>
          </cell>
        </row>
        <row r="40">
          <cell r="A40" t="str">
            <v>IKN401008</v>
          </cell>
          <cell r="B40">
            <v>1006</v>
          </cell>
          <cell r="C40" t="str">
            <v>Institut Kanser Negara</v>
          </cell>
          <cell r="D40" t="str">
            <v>KKM/IKN/H/13/3937</v>
          </cell>
          <cell r="E40" t="str">
            <v>15-605</v>
          </cell>
          <cell r="F40" t="str">
            <v>Testers</v>
          </cell>
          <cell r="G40" t="str">
            <v>MC</v>
          </cell>
          <cell r="H40" t="str">
            <v>MULTI-DISCIPLINE CLINIC</v>
          </cell>
          <cell r="I40" t="str">
            <v>03MC111</v>
          </cell>
          <cell r="J40" t="str">
            <v>SCOPE WASH</v>
          </cell>
          <cell r="K40" t="str">
            <v>BMED</v>
          </cell>
          <cell r="L40" t="str">
            <v>Normal</v>
          </cell>
          <cell r="M40" t="str">
            <v>Japan</v>
          </cell>
          <cell r="N40" t="str">
            <v>Olympus Jap</v>
          </cell>
          <cell r="O40" t="str">
            <v>Mu-1/ Mb-155</v>
          </cell>
          <cell r="P40" t="str">
            <v>7249963</v>
          </cell>
          <cell r="Q40" t="str">
            <v>Not Applicable</v>
          </cell>
          <cell r="R40" t="str">
            <v>Olympus Jap</v>
          </cell>
          <cell r="S40" t="str">
            <v>Endodynamics</v>
          </cell>
          <cell r="T40" t="str">
            <v>Functioning</v>
          </cell>
          <cell r="U40" t="str">
            <v>Asset</v>
          </cell>
          <cell r="V40">
            <v>2700</v>
          </cell>
          <cell r="W40" t="str">
            <v>KEW</v>
          </cell>
          <cell r="X40" t="str">
            <v>01/09/2010</v>
          </cell>
          <cell r="Y40" t="str">
            <v>KEW</v>
          </cell>
          <cell r="Z40" t="str">
            <v>16/08/2013</v>
          </cell>
          <cell r="AA40" t="str">
            <v>15/08/2015</v>
          </cell>
          <cell r="AB40" t="str">
            <v>No</v>
          </cell>
          <cell r="AC40" t="str">
            <v>31/08/2013</v>
          </cell>
          <cell r="AD40" t="str">
            <v>Good</v>
          </cell>
          <cell r="AE40" t="str">
            <v>V1 - Existing / No Claim</v>
          </cell>
          <cell r="AF40">
            <v>42542</v>
          </cell>
          <cell r="AG40">
            <v>9.17</v>
          </cell>
          <cell r="AH40" t="str">
            <v>PPM</v>
          </cell>
          <cell r="AI40" t="str">
            <v>Strands</v>
          </cell>
          <cell r="AJ40" t="str">
            <v>Strands PW</v>
          </cell>
        </row>
        <row r="41">
          <cell r="A41" t="str">
            <v>IKN401009</v>
          </cell>
          <cell r="B41">
            <v>1007</v>
          </cell>
          <cell r="C41" t="str">
            <v>Institut Kanser Negara</v>
          </cell>
          <cell r="D41" t="str">
            <v>KKM/IKN/H/13/173</v>
          </cell>
          <cell r="E41" t="str">
            <v>17-665</v>
          </cell>
          <cell r="F41" t="str">
            <v>Colonoscopes, Video</v>
          </cell>
          <cell r="G41" t="str">
            <v>MC</v>
          </cell>
          <cell r="H41" t="str">
            <v>MULTI-DISCIPLINE CLINIC</v>
          </cell>
          <cell r="I41" t="str">
            <v>03MC108</v>
          </cell>
          <cell r="J41" t="str">
            <v>TREATMENT/PROCEDURE</v>
          </cell>
          <cell r="K41" t="str">
            <v>BMED</v>
          </cell>
          <cell r="L41" t="str">
            <v>Normal</v>
          </cell>
          <cell r="M41" t="str">
            <v>Japan</v>
          </cell>
          <cell r="N41" t="str">
            <v>Olympus</v>
          </cell>
          <cell r="O41" t="str">
            <v>Olympus PCF-H190L</v>
          </cell>
          <cell r="P41" t="str">
            <v>2200270</v>
          </cell>
          <cell r="Q41" t="str">
            <v>Not Applicable</v>
          </cell>
          <cell r="R41" t="str">
            <v>Olympus Medical Systems Corp</v>
          </cell>
          <cell r="S41" t="str">
            <v>Endodynamics</v>
          </cell>
          <cell r="T41" t="str">
            <v>Functioning</v>
          </cell>
          <cell r="U41" t="str">
            <v>Asset</v>
          </cell>
          <cell r="V41">
            <v>143382</v>
          </cell>
          <cell r="W41" t="str">
            <v>KEW</v>
          </cell>
          <cell r="X41" t="str">
            <v>01/09/2010</v>
          </cell>
          <cell r="Y41" t="str">
            <v>KEW</v>
          </cell>
          <cell r="Z41" t="str">
            <v>16/08/2013</v>
          </cell>
          <cell r="AA41" t="str">
            <v>15/08/2015</v>
          </cell>
          <cell r="AB41" t="str">
            <v>No</v>
          </cell>
          <cell r="AC41" t="str">
            <v>31/08/2013</v>
          </cell>
          <cell r="AD41" t="str">
            <v>Good</v>
          </cell>
          <cell r="AE41" t="str">
            <v>V1 - Existing / No Claim</v>
          </cell>
          <cell r="AF41">
            <v>42514</v>
          </cell>
          <cell r="AG41">
            <v>9.17</v>
          </cell>
          <cell r="AH41" t="str">
            <v>PPM</v>
          </cell>
          <cell r="AI41" t="str">
            <v>Strands</v>
          </cell>
          <cell r="AJ41" t="str">
            <v>Strands PW</v>
          </cell>
        </row>
        <row r="42">
          <cell r="A42" t="str">
            <v>IKN401010</v>
          </cell>
          <cell r="B42">
            <v>1008</v>
          </cell>
          <cell r="C42" t="str">
            <v>Institut Kanser Negara</v>
          </cell>
          <cell r="D42" t="str">
            <v>KKM/IKN/H/13/175</v>
          </cell>
          <cell r="E42" t="str">
            <v>17-663</v>
          </cell>
          <cell r="F42" t="str">
            <v>Gastroscopes, Flexible, Video</v>
          </cell>
          <cell r="G42" t="str">
            <v>MC</v>
          </cell>
          <cell r="H42" t="str">
            <v>MULTI-DISCIPLINE CLINIC</v>
          </cell>
          <cell r="I42" t="str">
            <v>03MC108</v>
          </cell>
          <cell r="J42" t="str">
            <v>TREATMENT/PROCEDURE</v>
          </cell>
          <cell r="K42" t="str">
            <v>BMED</v>
          </cell>
          <cell r="L42" t="str">
            <v>Normal</v>
          </cell>
          <cell r="M42" t="str">
            <v>Japan</v>
          </cell>
          <cell r="N42" t="str">
            <v>Olympus</v>
          </cell>
          <cell r="O42" t="str">
            <v>Olympus GIF-XTQ160</v>
          </cell>
          <cell r="P42" t="str">
            <v>2200808</v>
          </cell>
          <cell r="Q42" t="str">
            <v>Not Applicable</v>
          </cell>
          <cell r="R42" t="str">
            <v>Olympus Optical Co Ltd</v>
          </cell>
          <cell r="S42" t="str">
            <v>Endodynamics</v>
          </cell>
          <cell r="T42" t="str">
            <v>Functioning</v>
          </cell>
          <cell r="U42" t="str">
            <v>Asset</v>
          </cell>
          <cell r="V42">
            <v>118230</v>
          </cell>
          <cell r="W42" t="str">
            <v>KEW</v>
          </cell>
          <cell r="X42" t="str">
            <v>01/09/2010</v>
          </cell>
          <cell r="Y42" t="str">
            <v>KEW</v>
          </cell>
          <cell r="Z42" t="str">
            <v>16/08/2013</v>
          </cell>
          <cell r="AA42" t="str">
            <v>15/08/2015</v>
          </cell>
          <cell r="AB42" t="str">
            <v>No</v>
          </cell>
          <cell r="AC42" t="str">
            <v>31/08/2013</v>
          </cell>
          <cell r="AD42" t="str">
            <v>Good</v>
          </cell>
          <cell r="AE42" t="str">
            <v>V1 - Existing / No Claim</v>
          </cell>
          <cell r="AF42">
            <v>42514</v>
          </cell>
          <cell r="AG42">
            <v>9.17</v>
          </cell>
          <cell r="AH42" t="str">
            <v>PPM</v>
          </cell>
          <cell r="AI42" t="str">
            <v>Strands</v>
          </cell>
          <cell r="AJ42" t="str">
            <v>Strands PW</v>
          </cell>
        </row>
        <row r="43">
          <cell r="A43" t="str">
            <v>IKN401012</v>
          </cell>
          <cell r="B43">
            <v>1010</v>
          </cell>
          <cell r="C43" t="str">
            <v>Institut Kanser Negara</v>
          </cell>
          <cell r="E43" t="str">
            <v>12-343</v>
          </cell>
          <cell r="F43" t="str">
            <v>Light Sources, Fiberoptic, Flexible Endoscopic</v>
          </cell>
          <cell r="G43" t="str">
            <v>MC</v>
          </cell>
          <cell r="H43" t="str">
            <v>MULTI-DISCIPLINE CLINIC</v>
          </cell>
          <cell r="I43" t="str">
            <v>03MC108</v>
          </cell>
          <cell r="J43" t="str">
            <v>TREATMENT/PROCEDURE</v>
          </cell>
          <cell r="K43" t="str">
            <v>BMED</v>
          </cell>
          <cell r="L43" t="str">
            <v>Normal</v>
          </cell>
          <cell r="M43" t="str">
            <v>JAPAN</v>
          </cell>
          <cell r="N43" t="str">
            <v>Olympus</v>
          </cell>
          <cell r="O43" t="str">
            <v>Olympus CLV-S45</v>
          </cell>
          <cell r="P43" t="str">
            <v>7211418</v>
          </cell>
          <cell r="Q43" t="str">
            <v>Not Applicable</v>
          </cell>
          <cell r="R43" t="str">
            <v>Karl Storz GmbH</v>
          </cell>
          <cell r="S43" t="str">
            <v>Endodynamics</v>
          </cell>
          <cell r="T43" t="str">
            <v>Functioning</v>
          </cell>
          <cell r="U43" t="str">
            <v>Asset</v>
          </cell>
          <cell r="V43">
            <v>35000</v>
          </cell>
          <cell r="W43" t="str">
            <v>Estimate</v>
          </cell>
          <cell r="X43" t="str">
            <v>01/09/2010</v>
          </cell>
          <cell r="Y43" t="str">
            <v>KEW</v>
          </cell>
          <cell r="Z43" t="str">
            <v>16/08/2013</v>
          </cell>
          <cell r="AA43" t="str">
            <v>15/08/2015</v>
          </cell>
          <cell r="AB43" t="str">
            <v>No</v>
          </cell>
          <cell r="AC43" t="str">
            <v>31/08/2013</v>
          </cell>
          <cell r="AD43" t="str">
            <v>Good</v>
          </cell>
          <cell r="AE43" t="str">
            <v>V1 - Existing / No Claim</v>
          </cell>
          <cell r="AF43">
            <v>43543</v>
          </cell>
          <cell r="AG43">
            <v>9.17</v>
          </cell>
          <cell r="AH43" t="str">
            <v>PPM</v>
          </cell>
          <cell r="AI43" t="str">
            <v>package</v>
          </cell>
          <cell r="AJ43" t="str">
            <v>Strands PW</v>
          </cell>
        </row>
        <row r="44">
          <cell r="A44" t="str">
            <v>IKN401070</v>
          </cell>
          <cell r="B44">
            <v>1068</v>
          </cell>
          <cell r="C44" t="str">
            <v>Institut Kanser Negara</v>
          </cell>
          <cell r="D44" t="str">
            <v>KKM/IKN/H/13/3935-03</v>
          </cell>
          <cell r="E44" t="str">
            <v>12-343</v>
          </cell>
          <cell r="F44" t="str">
            <v>Light Sources, Fiberoptic, Flexible Endoscopic</v>
          </cell>
          <cell r="G44" t="str">
            <v>MC</v>
          </cell>
          <cell r="H44" t="str">
            <v>MULTI-DISCIPLINE CLINIC</v>
          </cell>
          <cell r="I44" t="str">
            <v>03MC108</v>
          </cell>
          <cell r="J44" t="str">
            <v>TREATMENT/PROCEDURE</v>
          </cell>
          <cell r="K44" t="str">
            <v>BMED</v>
          </cell>
          <cell r="L44" t="str">
            <v>Normal</v>
          </cell>
          <cell r="M44" t="str">
            <v>Japan</v>
          </cell>
          <cell r="N44" t="str">
            <v>Evis Exera III</v>
          </cell>
          <cell r="O44" t="str">
            <v>Evis Exera III CLV-190</v>
          </cell>
          <cell r="P44" t="str">
            <v>7222936</v>
          </cell>
          <cell r="Q44" t="str">
            <v>Not Applicable</v>
          </cell>
          <cell r="R44" t="str">
            <v>Olympus Medical Systems Corp</v>
          </cell>
          <cell r="S44" t="str">
            <v>Endodynamics</v>
          </cell>
          <cell r="T44" t="str">
            <v>Functioning</v>
          </cell>
          <cell r="U44" t="str">
            <v>Asset</v>
          </cell>
          <cell r="V44">
            <v>52460</v>
          </cell>
          <cell r="W44" t="str">
            <v>Estimate</v>
          </cell>
          <cell r="X44" t="str">
            <v>01/09/2010</v>
          </cell>
          <cell r="Y44" t="str">
            <v>KEW</v>
          </cell>
          <cell r="Z44" t="str">
            <v>16/08/2013</v>
          </cell>
          <cell r="AA44" t="str">
            <v>15/08/2015</v>
          </cell>
          <cell r="AB44" t="str">
            <v>No</v>
          </cell>
          <cell r="AC44" t="str">
            <v>31/08/2013</v>
          </cell>
          <cell r="AD44" t="str">
            <v>Good</v>
          </cell>
          <cell r="AE44" t="str">
            <v>V1 - Existing / No Claim</v>
          </cell>
          <cell r="AF44">
            <v>42605</v>
          </cell>
          <cell r="AG44">
            <v>9.17</v>
          </cell>
          <cell r="AH44" t="str">
            <v>PPM</v>
          </cell>
          <cell r="AI44" t="str">
            <v>Strands</v>
          </cell>
          <cell r="AJ44" t="str">
            <v>Strands Package</v>
          </cell>
          <cell r="AK44" t="str">
            <v>Package Code EP0110</v>
          </cell>
        </row>
        <row r="45">
          <cell r="A45" t="str">
            <v>IKN401071</v>
          </cell>
          <cell r="B45">
            <v>1069</v>
          </cell>
          <cell r="C45" t="str">
            <v>Institut Kanser Negara</v>
          </cell>
          <cell r="D45" t="str">
            <v>KKM/IKN/H/13/3935</v>
          </cell>
          <cell r="E45" t="str">
            <v>18-034</v>
          </cell>
          <cell r="F45" t="str">
            <v>Video Image Processors, Endoscopic</v>
          </cell>
          <cell r="G45" t="str">
            <v>MC</v>
          </cell>
          <cell r="H45" t="str">
            <v>MULTI-DISCIPLINE CLINIC</v>
          </cell>
          <cell r="I45" t="str">
            <v>03MC108</v>
          </cell>
          <cell r="J45" t="str">
            <v>TREATMENT/PROCEDURE</v>
          </cell>
          <cell r="K45" t="str">
            <v>BMED</v>
          </cell>
          <cell r="L45" t="str">
            <v>Normal</v>
          </cell>
          <cell r="M45" t="str">
            <v>JAPAN</v>
          </cell>
          <cell r="N45" t="str">
            <v>Evis Exera III</v>
          </cell>
          <cell r="O45" t="str">
            <v>Evis Exera III CV-190</v>
          </cell>
          <cell r="P45" t="str">
            <v>7211777</v>
          </cell>
          <cell r="Q45" t="str">
            <v>Not Applicable</v>
          </cell>
          <cell r="R45" t="str">
            <v>Olympus Medical Systems Corp</v>
          </cell>
          <cell r="S45" t="str">
            <v>Endodynamics</v>
          </cell>
          <cell r="T45" t="str">
            <v>Functioning</v>
          </cell>
          <cell r="U45" t="str">
            <v>Asset</v>
          </cell>
          <cell r="V45">
            <v>80000</v>
          </cell>
          <cell r="W45" t="str">
            <v>Estimate</v>
          </cell>
          <cell r="X45" t="str">
            <v>01/09/2010</v>
          </cell>
          <cell r="Y45" t="str">
            <v>KEW</v>
          </cell>
          <cell r="Z45" t="str">
            <v>16/08/2013</v>
          </cell>
          <cell r="AA45" t="str">
            <v>15/08/2015</v>
          </cell>
          <cell r="AB45" t="str">
            <v>No</v>
          </cell>
          <cell r="AC45" t="str">
            <v>31/08/2013</v>
          </cell>
          <cell r="AD45" t="str">
            <v>Good</v>
          </cell>
          <cell r="AE45" t="str">
            <v>V1 - Existing / No Claim</v>
          </cell>
          <cell r="AF45">
            <v>42605</v>
          </cell>
          <cell r="AG45">
            <v>9.17</v>
          </cell>
          <cell r="AH45" t="str">
            <v>PPM</v>
          </cell>
          <cell r="AI45" t="str">
            <v>Strands</v>
          </cell>
          <cell r="AJ45" t="str">
            <v>Strands Package</v>
          </cell>
          <cell r="AK45" t="str">
            <v>Package Code EP0110</v>
          </cell>
        </row>
        <row r="46">
          <cell r="A46" t="str">
            <v>IKN401072</v>
          </cell>
          <cell r="B46">
            <v>1070</v>
          </cell>
          <cell r="C46" t="str">
            <v>Institut Kanser Negara</v>
          </cell>
          <cell r="D46" t="str">
            <v>KKM/IKN/H/13/3935-02</v>
          </cell>
          <cell r="E46" t="str">
            <v>15-967</v>
          </cell>
          <cell r="F46" t="str">
            <v>Television Systems, Endoscope</v>
          </cell>
          <cell r="G46" t="str">
            <v>MC</v>
          </cell>
          <cell r="H46" t="str">
            <v>MULTI-DISCIPLINE CLINIC</v>
          </cell>
          <cell r="I46" t="str">
            <v>03MC108</v>
          </cell>
          <cell r="J46" t="str">
            <v>TREATMENT/PROCEDURE</v>
          </cell>
          <cell r="K46" t="str">
            <v>BMED</v>
          </cell>
          <cell r="L46" t="str">
            <v>Normal</v>
          </cell>
          <cell r="M46" t="str">
            <v>JAPAN</v>
          </cell>
          <cell r="N46" t="str">
            <v>Olympus</v>
          </cell>
          <cell r="O46" t="str">
            <v>Olympus OEV261H</v>
          </cell>
          <cell r="P46" t="str">
            <v>7246184</v>
          </cell>
          <cell r="Q46" t="str">
            <v>Not Applicable</v>
          </cell>
          <cell r="R46" t="str">
            <v>Olympus Medical Systems Corp</v>
          </cell>
          <cell r="S46" t="str">
            <v>Endodynamics</v>
          </cell>
          <cell r="T46" t="str">
            <v>Functioning</v>
          </cell>
          <cell r="U46" t="str">
            <v>Asset</v>
          </cell>
          <cell r="V46">
            <v>30000</v>
          </cell>
          <cell r="W46" t="str">
            <v>Estimate</v>
          </cell>
          <cell r="X46" t="str">
            <v>01/09/2010</v>
          </cell>
          <cell r="Y46" t="str">
            <v>KEW</v>
          </cell>
          <cell r="Z46" t="str">
            <v>16/08/2013</v>
          </cell>
          <cell r="AA46" t="str">
            <v>15/08/2015</v>
          </cell>
          <cell r="AB46" t="str">
            <v>No</v>
          </cell>
          <cell r="AC46" t="str">
            <v>31/08/2013</v>
          </cell>
          <cell r="AD46" t="str">
            <v>Good</v>
          </cell>
          <cell r="AE46" t="str">
            <v>V1 - Existing / No Claim</v>
          </cell>
          <cell r="AF46">
            <v>42605</v>
          </cell>
          <cell r="AG46">
            <v>9.17</v>
          </cell>
          <cell r="AH46" t="str">
            <v>RI</v>
          </cell>
          <cell r="AI46" t="str">
            <v>Strands</v>
          </cell>
          <cell r="AJ46" t="str">
            <v>Strands Package</v>
          </cell>
          <cell r="AK46" t="str">
            <v>Package Code EP0110</v>
          </cell>
        </row>
        <row r="47">
          <cell r="A47" t="str">
            <v>IKN401073</v>
          </cell>
          <cell r="B47">
            <v>1071</v>
          </cell>
          <cell r="C47" t="str">
            <v>Institut Kanser Negara</v>
          </cell>
          <cell r="D47" t="str">
            <v>KKM/IKN/H/13/3935-04</v>
          </cell>
          <cell r="E47" t="str">
            <v>13-274</v>
          </cell>
          <cell r="F47" t="str">
            <v>Recorders, Tape, Video</v>
          </cell>
          <cell r="G47" t="str">
            <v>MC</v>
          </cell>
          <cell r="H47" t="str">
            <v>MULTI-DISCIPLINE CLINIC</v>
          </cell>
          <cell r="I47" t="str">
            <v>03MC108</v>
          </cell>
          <cell r="J47" t="str">
            <v>TREATMENT/PROCEDURE</v>
          </cell>
          <cell r="K47" t="str">
            <v>BMED</v>
          </cell>
          <cell r="L47" t="str">
            <v>Normal</v>
          </cell>
          <cell r="M47" t="str">
            <v>China</v>
          </cell>
          <cell r="N47" t="str">
            <v>Sony</v>
          </cell>
          <cell r="O47" t="str">
            <v>Sony DVD-1000MD</v>
          </cell>
          <cell r="P47" t="str">
            <v>35243</v>
          </cell>
          <cell r="Q47" t="str">
            <v>Not Applicable</v>
          </cell>
          <cell r="R47" t="str">
            <v>Sony Corp</v>
          </cell>
          <cell r="S47" t="str">
            <v>Endodynamics</v>
          </cell>
          <cell r="T47" t="str">
            <v>Functioning</v>
          </cell>
          <cell r="U47" t="str">
            <v>Asset</v>
          </cell>
          <cell r="V47">
            <v>4000</v>
          </cell>
          <cell r="W47" t="str">
            <v>Estimate</v>
          </cell>
          <cell r="X47" t="str">
            <v>01/09/2010</v>
          </cell>
          <cell r="Y47" t="str">
            <v>KEW</v>
          </cell>
          <cell r="Z47" t="str">
            <v>16/08/2013</v>
          </cell>
          <cell r="AA47" t="str">
            <v>15/08/2015</v>
          </cell>
          <cell r="AB47" t="str">
            <v>No</v>
          </cell>
          <cell r="AC47" t="str">
            <v>31/08/2013</v>
          </cell>
          <cell r="AD47" t="str">
            <v>Good</v>
          </cell>
          <cell r="AE47" t="str">
            <v>V1 - Existing / No Claim</v>
          </cell>
          <cell r="AF47">
            <v>42605</v>
          </cell>
          <cell r="AG47">
            <v>9.17</v>
          </cell>
          <cell r="AH47" t="str">
            <v>RI</v>
          </cell>
          <cell r="AI47" t="str">
            <v>Strands</v>
          </cell>
          <cell r="AJ47" t="str">
            <v>Strands Package</v>
          </cell>
          <cell r="AK47" t="str">
            <v>Package Code EP0110</v>
          </cell>
        </row>
        <row r="48">
          <cell r="A48" t="str">
            <v>IKN401074</v>
          </cell>
          <cell r="B48">
            <v>1072</v>
          </cell>
          <cell r="C48" t="str">
            <v>Institut Kanser Negara</v>
          </cell>
          <cell r="D48" t="str">
            <v>KKM/IKN/H/13/3935-08</v>
          </cell>
          <cell r="E48" t="str">
            <v>17-508</v>
          </cell>
          <cell r="F48" t="str">
            <v>Printers, Video</v>
          </cell>
          <cell r="G48" t="str">
            <v>MC</v>
          </cell>
          <cell r="H48" t="str">
            <v>MULTI-DISCIPLINE CLINIC</v>
          </cell>
          <cell r="I48" t="str">
            <v>03MC108</v>
          </cell>
          <cell r="J48" t="str">
            <v>TREATMENT/PROCEDURE</v>
          </cell>
          <cell r="K48" t="str">
            <v>BMED</v>
          </cell>
          <cell r="L48" t="str">
            <v>Normal</v>
          </cell>
          <cell r="M48" t="str">
            <v>Japan</v>
          </cell>
          <cell r="N48" t="str">
            <v>Sony</v>
          </cell>
          <cell r="O48" t="str">
            <v>Sony UP-25MD</v>
          </cell>
          <cell r="P48" t="str">
            <v>713164</v>
          </cell>
          <cell r="Q48" t="str">
            <v>Not Applicable</v>
          </cell>
          <cell r="R48" t="str">
            <v>Sony Corp</v>
          </cell>
          <cell r="S48" t="str">
            <v>V Medical Services</v>
          </cell>
          <cell r="T48" t="str">
            <v>Functioning</v>
          </cell>
          <cell r="U48" t="str">
            <v>Asset</v>
          </cell>
          <cell r="V48">
            <v>4000</v>
          </cell>
          <cell r="W48" t="str">
            <v>Estimate</v>
          </cell>
          <cell r="X48" t="str">
            <v>01/09/2010</v>
          </cell>
          <cell r="Y48" t="str">
            <v>KEW</v>
          </cell>
          <cell r="Z48" t="str">
            <v>16/08/2013</v>
          </cell>
          <cell r="AA48" t="str">
            <v>15/08/2015</v>
          </cell>
          <cell r="AB48" t="str">
            <v>No</v>
          </cell>
          <cell r="AC48" t="str">
            <v>31/08/2013</v>
          </cell>
          <cell r="AD48" t="str">
            <v>Good</v>
          </cell>
          <cell r="AE48" t="str">
            <v>V1 - Existing / No Claim</v>
          </cell>
          <cell r="AF48">
            <v>42605</v>
          </cell>
          <cell r="AG48">
            <v>9.17</v>
          </cell>
          <cell r="AH48" t="str">
            <v>RI</v>
          </cell>
          <cell r="AI48" t="str">
            <v>Strands</v>
          </cell>
          <cell r="AJ48" t="str">
            <v>Strands Package</v>
          </cell>
          <cell r="AK48" t="str">
            <v>Package Code EP0110</v>
          </cell>
        </row>
        <row r="49">
          <cell r="A49" t="str">
            <v>IKN401075</v>
          </cell>
          <cell r="B49">
            <v>1073</v>
          </cell>
          <cell r="C49" t="str">
            <v>Institut Kanser Negara</v>
          </cell>
          <cell r="D49" t="str">
            <v>KKM/IKN/H/13/3935-05</v>
          </cell>
          <cell r="E49" t="str">
            <v>18-231</v>
          </cell>
          <cell r="F49" t="str">
            <v>Electrosurgical Units, Monopolar/Bipolar</v>
          </cell>
          <cell r="G49" t="str">
            <v>MC</v>
          </cell>
          <cell r="H49" t="str">
            <v>MULTI-DISCIPLINE CLINIC</v>
          </cell>
          <cell r="I49" t="str">
            <v>03MC108</v>
          </cell>
          <cell r="J49" t="str">
            <v>TREATMENT/PROCEDURE</v>
          </cell>
          <cell r="K49" t="str">
            <v>BMED</v>
          </cell>
          <cell r="L49" t="str">
            <v>Critical</v>
          </cell>
          <cell r="M49" t="str">
            <v>Japan</v>
          </cell>
          <cell r="N49" t="str">
            <v>Olympus</v>
          </cell>
          <cell r="O49" t="str">
            <v>Olympus PSD-30</v>
          </cell>
          <cell r="P49" t="str">
            <v>7274818</v>
          </cell>
          <cell r="Q49" t="str">
            <v>Not Applicable</v>
          </cell>
          <cell r="R49" t="str">
            <v>Olympus Medical Systems Corp</v>
          </cell>
          <cell r="S49" t="str">
            <v>Endodynamics</v>
          </cell>
          <cell r="T49" t="str">
            <v>Functioning</v>
          </cell>
          <cell r="U49" t="str">
            <v>Asset</v>
          </cell>
          <cell r="V49">
            <v>20000</v>
          </cell>
          <cell r="W49" t="str">
            <v>Estimate</v>
          </cell>
          <cell r="X49" t="str">
            <v>01/09/2010</v>
          </cell>
          <cell r="Y49" t="str">
            <v>KEW</v>
          </cell>
          <cell r="Z49" t="str">
            <v>16/08/2013</v>
          </cell>
          <cell r="AA49" t="str">
            <v>15/08/2015</v>
          </cell>
          <cell r="AB49" t="str">
            <v>No</v>
          </cell>
          <cell r="AC49" t="str">
            <v>31/08/2013</v>
          </cell>
          <cell r="AD49" t="str">
            <v>Good</v>
          </cell>
          <cell r="AE49" t="str">
            <v>V1 - Existing / No Claim</v>
          </cell>
          <cell r="AF49">
            <v>43430</v>
          </cell>
          <cell r="AG49">
            <v>9.17</v>
          </cell>
          <cell r="AH49" t="str">
            <v>PPM</v>
          </cell>
          <cell r="AI49" t="str">
            <v>Strands</v>
          </cell>
          <cell r="AJ49" t="str">
            <v>Strands Package</v>
          </cell>
          <cell r="AK49" t="str">
            <v>Package Code EP0110</v>
          </cell>
        </row>
        <row r="50">
          <cell r="A50" t="str">
            <v>IKN401076</v>
          </cell>
          <cell r="B50">
            <v>1074</v>
          </cell>
          <cell r="C50" t="str">
            <v>Institut Kanser Negara</v>
          </cell>
          <cell r="D50" t="str">
            <v>KKM/IKN/H/13/3935-06</v>
          </cell>
          <cell r="E50" t="str">
            <v>12-306</v>
          </cell>
          <cell r="F50" t="str">
            <v>Lavage Units, Surgical</v>
          </cell>
          <cell r="G50" t="str">
            <v>MC</v>
          </cell>
          <cell r="H50" t="str">
            <v>MULTI-DISCIPLINE CLINIC</v>
          </cell>
          <cell r="I50" t="str">
            <v>03MC108</v>
          </cell>
          <cell r="J50" t="str">
            <v>TREATMENT/PROCEDURE</v>
          </cell>
          <cell r="K50" t="str">
            <v>BMED</v>
          </cell>
          <cell r="L50" t="str">
            <v>Critical</v>
          </cell>
          <cell r="M50" t="str">
            <v>JAPAN</v>
          </cell>
          <cell r="N50" t="str">
            <v>Olympus</v>
          </cell>
          <cell r="O50" t="str">
            <v>Olympus OFP-2</v>
          </cell>
          <cell r="P50" t="str">
            <v>21214324</v>
          </cell>
          <cell r="Q50" t="str">
            <v>Not Applicable</v>
          </cell>
          <cell r="R50" t="str">
            <v>Olympus Optical Co Ltd</v>
          </cell>
          <cell r="S50" t="str">
            <v>Endodynamics</v>
          </cell>
          <cell r="T50" t="str">
            <v>Functioning</v>
          </cell>
          <cell r="U50" t="str">
            <v>Asset</v>
          </cell>
          <cell r="V50">
            <v>5000</v>
          </cell>
          <cell r="W50" t="str">
            <v>Estimate</v>
          </cell>
          <cell r="X50" t="str">
            <v>01/09/2010</v>
          </cell>
          <cell r="Y50" t="str">
            <v>KEW</v>
          </cell>
          <cell r="Z50" t="str">
            <v>16/08/2013</v>
          </cell>
          <cell r="AA50" t="str">
            <v>15/08/2015</v>
          </cell>
          <cell r="AB50" t="str">
            <v>No</v>
          </cell>
          <cell r="AC50" t="str">
            <v>31/08/2013</v>
          </cell>
          <cell r="AD50" t="str">
            <v>Good</v>
          </cell>
          <cell r="AE50" t="str">
            <v>V1 - Existing / No Claim</v>
          </cell>
          <cell r="AF50">
            <v>42605</v>
          </cell>
          <cell r="AG50">
            <v>9.17</v>
          </cell>
          <cell r="AH50" t="str">
            <v>PPM</v>
          </cell>
          <cell r="AI50" t="str">
            <v>Strands</v>
          </cell>
          <cell r="AJ50" t="str">
            <v>Strands Package</v>
          </cell>
          <cell r="AK50" t="str">
            <v>Package Code EP0110</v>
          </cell>
        </row>
        <row r="51">
          <cell r="A51" t="str">
            <v>IKN401077</v>
          </cell>
          <cell r="B51">
            <v>1075</v>
          </cell>
          <cell r="C51" t="str">
            <v>Institut Kanser Negara</v>
          </cell>
          <cell r="D51" t="str">
            <v>KKM/IKN/H/13/3935-07</v>
          </cell>
          <cell r="E51" t="str">
            <v>10-208</v>
          </cell>
          <cell r="F51" t="str">
            <v>Aspirators</v>
          </cell>
          <cell r="G51" t="str">
            <v>MC</v>
          </cell>
          <cell r="H51" t="str">
            <v>MULTI-DISCIPLINE CLINIC</v>
          </cell>
          <cell r="I51" t="str">
            <v>03MC108</v>
          </cell>
          <cell r="J51" t="str">
            <v>TREATMENT/PROCEDURE</v>
          </cell>
          <cell r="K51" t="str">
            <v>BMED</v>
          </cell>
          <cell r="L51" t="str">
            <v>Critical</v>
          </cell>
          <cell r="M51" t="str">
            <v>Japan</v>
          </cell>
          <cell r="N51" t="str">
            <v>Olympus</v>
          </cell>
          <cell r="O51" t="str">
            <v>Olympus SSU-2</v>
          </cell>
          <cell r="P51" t="str">
            <v>21214442</v>
          </cell>
          <cell r="Q51" t="str">
            <v>Not Applicable</v>
          </cell>
          <cell r="R51" t="str">
            <v>Olympus Optical Co Ltd</v>
          </cell>
          <cell r="S51" t="str">
            <v>Endodynamics</v>
          </cell>
          <cell r="T51" t="str">
            <v>Functioning</v>
          </cell>
          <cell r="U51" t="str">
            <v>Asset</v>
          </cell>
          <cell r="V51">
            <v>4000</v>
          </cell>
          <cell r="W51" t="str">
            <v>Estimate</v>
          </cell>
          <cell r="X51" t="str">
            <v>01/09/2010</v>
          </cell>
          <cell r="Y51" t="str">
            <v>KEW</v>
          </cell>
          <cell r="Z51" t="str">
            <v>16/08/2013</v>
          </cell>
          <cell r="AA51" t="str">
            <v>15/08/2015</v>
          </cell>
          <cell r="AB51" t="str">
            <v>No</v>
          </cell>
          <cell r="AC51" t="str">
            <v>31/08/2013</v>
          </cell>
          <cell r="AD51" t="str">
            <v>Good</v>
          </cell>
          <cell r="AE51" t="str">
            <v>V1 - Existing / No Claim</v>
          </cell>
          <cell r="AF51">
            <v>42605</v>
          </cell>
          <cell r="AG51">
            <v>9.17</v>
          </cell>
          <cell r="AH51" t="str">
            <v>PPM</v>
          </cell>
          <cell r="AI51" t="str">
            <v>Strands</v>
          </cell>
          <cell r="AJ51" t="str">
            <v>Strands Package</v>
          </cell>
          <cell r="AK51" t="str">
            <v>Package Code EP0110</v>
          </cell>
        </row>
        <row r="52">
          <cell r="A52" t="str">
            <v>IKN401090</v>
          </cell>
          <cell r="B52">
            <v>1088</v>
          </cell>
          <cell r="C52" t="str">
            <v>Institut Kanser Negara</v>
          </cell>
          <cell r="E52" t="str">
            <v>12-282</v>
          </cell>
          <cell r="F52" t="str">
            <v>Lights, Surgical</v>
          </cell>
          <cell r="G52" t="str">
            <v>MC</v>
          </cell>
          <cell r="H52" t="str">
            <v>MULTI-DISCIPLINE CLINIC</v>
          </cell>
          <cell r="I52" t="str">
            <v>03MC108</v>
          </cell>
          <cell r="J52" t="str">
            <v>TREATMENT/PROCEDURE</v>
          </cell>
          <cell r="K52" t="str">
            <v>BMED</v>
          </cell>
          <cell r="L52" t="str">
            <v>Normal</v>
          </cell>
          <cell r="M52" t="str">
            <v>USA</v>
          </cell>
          <cell r="N52" t="str">
            <v>Welch Allyn</v>
          </cell>
          <cell r="O52" t="str">
            <v>Welch Allyn GS900</v>
          </cell>
          <cell r="P52" t="str">
            <v>10033711107108</v>
          </cell>
          <cell r="Q52" t="str">
            <v>Not Applicable</v>
          </cell>
          <cell r="R52" t="str">
            <v>Welch Allyn Inc</v>
          </cell>
          <cell r="S52" t="str">
            <v>Welch Allyn Malaysia Sdn Bhd</v>
          </cell>
          <cell r="T52" t="str">
            <v>Functioning</v>
          </cell>
          <cell r="U52" t="str">
            <v>Asset</v>
          </cell>
          <cell r="V52">
            <v>10585</v>
          </cell>
          <cell r="W52" t="str">
            <v>KEW</v>
          </cell>
          <cell r="X52" t="str">
            <v>01/09/2010</v>
          </cell>
          <cell r="Y52" t="str">
            <v>KEW</v>
          </cell>
          <cell r="Z52" t="str">
            <v>16/08/2013</v>
          </cell>
          <cell r="AA52" t="str">
            <v>15/08/2015</v>
          </cell>
          <cell r="AB52" t="str">
            <v>No</v>
          </cell>
          <cell r="AC52" t="str">
            <v>31/08/2013</v>
          </cell>
          <cell r="AD52" t="str">
            <v>Good</v>
          </cell>
          <cell r="AE52" t="str">
            <v>V1 - Existing / No Claim</v>
          </cell>
          <cell r="AF52">
            <v>42235</v>
          </cell>
          <cell r="AG52">
            <v>9.17</v>
          </cell>
          <cell r="AH52" t="str">
            <v>PPM</v>
          </cell>
          <cell r="AI52" t="str">
            <v>Not in contract- FEMS -ambulan</v>
          </cell>
          <cell r="AJ52" t="str">
            <v>Strands PW</v>
          </cell>
        </row>
        <row r="53">
          <cell r="A53" t="str">
            <v>IKN401311</v>
          </cell>
          <cell r="B53">
            <v>1307</v>
          </cell>
          <cell r="C53" t="str">
            <v>Institut Kanser Negara</v>
          </cell>
          <cell r="D53" t="str">
            <v>KKM/IKN/H/16/11</v>
          </cell>
          <cell r="E53" t="str">
            <v>18-231</v>
          </cell>
          <cell r="F53" t="str">
            <v>Electrosurgical Units, Monopolar/Bipolar</v>
          </cell>
          <cell r="G53" t="str">
            <v>MC</v>
          </cell>
          <cell r="H53" t="str">
            <v>MULTI-DISCIPLINE CLINIC</v>
          </cell>
          <cell r="I53" t="str">
            <v>03MC107</v>
          </cell>
          <cell r="J53" t="str">
            <v>TREATMENT 1</v>
          </cell>
          <cell r="K53" t="str">
            <v>BMED</v>
          </cell>
          <cell r="L53" t="str">
            <v>Critical</v>
          </cell>
          <cell r="M53" t="str">
            <v>USA</v>
          </cell>
          <cell r="N53" t="str">
            <v>Covidien</v>
          </cell>
          <cell r="O53" t="str">
            <v>Force FX-8CS</v>
          </cell>
          <cell r="P53" t="str">
            <v>F5L75006AX</v>
          </cell>
          <cell r="Q53" t="str">
            <v>Not Applicable</v>
          </cell>
          <cell r="R53" t="str">
            <v>Covidien Co</v>
          </cell>
          <cell r="S53" t="str">
            <v>Medtronic</v>
          </cell>
          <cell r="T53" t="str">
            <v>Functioning</v>
          </cell>
          <cell r="U53" t="str">
            <v>Asset</v>
          </cell>
          <cell r="V53">
            <v>36000</v>
          </cell>
          <cell r="W53" t="str">
            <v>KEW</v>
          </cell>
          <cell r="X53" t="str">
            <v>12/08/2016</v>
          </cell>
          <cell r="Y53" t="str">
            <v>KEW</v>
          </cell>
          <cell r="Z53" t="str">
            <v>07/10/2016</v>
          </cell>
          <cell r="AA53" t="str">
            <v>08/10/2018</v>
          </cell>
          <cell r="AB53" t="str">
            <v>No</v>
          </cell>
          <cell r="AC53" t="str">
            <v>07/10/2016</v>
          </cell>
          <cell r="AD53" t="str">
            <v>Good</v>
          </cell>
          <cell r="AE53" t="str">
            <v>V3 - Added Installed Facilities (New)</v>
          </cell>
          <cell r="AF53">
            <v>42799</v>
          </cell>
          <cell r="AG53">
            <v>3.25</v>
          </cell>
          <cell r="AH53" t="str">
            <v>PPM</v>
          </cell>
          <cell r="AI53" t="str">
            <v>Strands</v>
          </cell>
          <cell r="AJ53" t="str">
            <v>Strands PW</v>
          </cell>
          <cell r="AK53" t="str">
            <v>SNF received on 25.2.2020</v>
          </cell>
        </row>
        <row r="54">
          <cell r="A54" t="str">
            <v>IKN401338</v>
          </cell>
          <cell r="B54">
            <v>1332</v>
          </cell>
          <cell r="C54" t="str">
            <v>Institut Kanser Negara</v>
          </cell>
          <cell r="D54" t="str">
            <v>KKM/IKN/H/16/37</v>
          </cell>
          <cell r="E54" t="str">
            <v>18-231</v>
          </cell>
          <cell r="F54" t="str">
            <v>Electrosurgical Units, Monopolar/Bipolar</v>
          </cell>
          <cell r="G54" t="str">
            <v>MC</v>
          </cell>
          <cell r="H54" t="str">
            <v>MULTI-DISCIPLINE CLINIC</v>
          </cell>
          <cell r="I54" t="str">
            <v>03MC107</v>
          </cell>
          <cell r="J54" t="str">
            <v>TREATMENT 1</v>
          </cell>
          <cell r="K54" t="str">
            <v>BMED</v>
          </cell>
          <cell r="L54" t="str">
            <v>Critical</v>
          </cell>
          <cell r="M54" t="str">
            <v>France</v>
          </cell>
          <cell r="N54" t="str">
            <v>Servotome</v>
          </cell>
          <cell r="O54" t="str">
            <v>Servotome</v>
          </cell>
          <cell r="P54" t="str">
            <v>871532005</v>
          </cell>
          <cell r="Q54" t="str">
            <v>Not Applicable</v>
          </cell>
          <cell r="R54" t="str">
            <v>Satelec</v>
          </cell>
          <cell r="S54" t="str">
            <v>RAF SYNERGY SDN BHD</v>
          </cell>
          <cell r="T54" t="str">
            <v>Functioning</v>
          </cell>
          <cell r="U54" t="str">
            <v>Asset</v>
          </cell>
          <cell r="V54">
            <v>16000</v>
          </cell>
          <cell r="W54" t="str">
            <v>KEW</v>
          </cell>
          <cell r="X54" t="str">
            <v>27/10/2016</v>
          </cell>
          <cell r="Y54" t="str">
            <v>KEW</v>
          </cell>
          <cell r="Z54" t="str">
            <v>06/12/2016</v>
          </cell>
          <cell r="AA54" t="str">
            <v>06/12/2018</v>
          </cell>
          <cell r="AB54" t="str">
            <v>No</v>
          </cell>
          <cell r="AC54" t="str">
            <v>06/12/2016</v>
          </cell>
          <cell r="AD54" t="str">
            <v>Good</v>
          </cell>
          <cell r="AE54" t="str">
            <v>V3 - Added Installed Facilities (New)</v>
          </cell>
          <cell r="AF54">
            <v>42951</v>
          </cell>
          <cell r="AG54">
            <v>3.08</v>
          </cell>
          <cell r="AH54" t="str">
            <v>PPM</v>
          </cell>
          <cell r="AI54" t="str">
            <v>Strands</v>
          </cell>
          <cell r="AJ54" t="str">
            <v>Strands PW</v>
          </cell>
          <cell r="AK54" t="str">
            <v>SNF received on 25.2.2020</v>
          </cell>
        </row>
        <row r="55">
          <cell r="A55" t="str">
            <v>IKN401444</v>
          </cell>
          <cell r="B55">
            <v>1419</v>
          </cell>
          <cell r="C55" t="str">
            <v>Institut Kanser Negara</v>
          </cell>
          <cell r="D55" t="str">
            <v>KKM/IKN/H/13/2432</v>
          </cell>
          <cell r="E55" t="str">
            <v>13-461</v>
          </cell>
          <cell r="F55" t="str">
            <v>Scales, Patient, Floor</v>
          </cell>
          <cell r="G55" t="str">
            <v>DO</v>
          </cell>
          <cell r="H55" t="str">
            <v>DAY ONCOLOGY UNIT</v>
          </cell>
          <cell r="I55" t="str">
            <v>04DO105</v>
          </cell>
          <cell r="J55" t="str">
            <v>C/E</v>
          </cell>
          <cell r="K55" t="str">
            <v>BMED</v>
          </cell>
          <cell r="L55" t="str">
            <v>Normal</v>
          </cell>
          <cell r="M55" t="str">
            <v>USA</v>
          </cell>
          <cell r="N55" t="str">
            <v>Detecto</v>
          </cell>
          <cell r="O55" t="str">
            <v>758 C</v>
          </cell>
          <cell r="P55" t="str">
            <v>E34812-0038</v>
          </cell>
          <cell r="Q55" t="str">
            <v>Not Applicable</v>
          </cell>
          <cell r="R55" t="str">
            <v>DETECTO</v>
          </cell>
          <cell r="S55" t="str">
            <v>ACUCARE SYSTEM SDN BHD</v>
          </cell>
          <cell r="T55" t="str">
            <v>Functioning</v>
          </cell>
          <cell r="U55" t="str">
            <v>Asset</v>
          </cell>
          <cell r="V55">
            <v>9380</v>
          </cell>
          <cell r="W55" t="str">
            <v>KEW</v>
          </cell>
          <cell r="X55" t="str">
            <v>01/09/2010</v>
          </cell>
          <cell r="Y55" t="str">
            <v>Estimate</v>
          </cell>
          <cell r="Z55" t="str">
            <v>16/08/2013</v>
          </cell>
          <cell r="AA55" t="str">
            <v>15/08/2015</v>
          </cell>
          <cell r="AB55" t="str">
            <v>No</v>
          </cell>
          <cell r="AC55" t="str">
            <v>31/08/2013</v>
          </cell>
          <cell r="AD55" t="str">
            <v>Good</v>
          </cell>
          <cell r="AE55" t="str">
            <v>V1 - Existing / No Claim</v>
          </cell>
          <cell r="AF55">
            <v>43430</v>
          </cell>
          <cell r="AG55">
            <v>9.17</v>
          </cell>
          <cell r="AH55" t="str">
            <v>PPM</v>
          </cell>
          <cell r="AI55" t="str">
            <v>Strands</v>
          </cell>
          <cell r="AJ55" t="str">
            <v>Strands PW. Proposed for V4 P2.23</v>
          </cell>
        </row>
        <row r="56">
          <cell r="A56" t="str">
            <v>IKN401525</v>
          </cell>
          <cell r="B56">
            <v>1465</v>
          </cell>
          <cell r="C56" t="str">
            <v>Institut Kanser Negara</v>
          </cell>
          <cell r="D56" t="str">
            <v>KKM/IKN/H/16/35 &amp; KKM/IKN/H21/82 (Accessory)</v>
          </cell>
          <cell r="E56" t="str">
            <v>10-792</v>
          </cell>
          <cell r="F56" t="str">
            <v>Chairs, Examination/Treatment, Dentistry</v>
          </cell>
          <cell r="G56" t="str">
            <v>MC</v>
          </cell>
          <cell r="H56" t="str">
            <v>MULTI-DISCIPLINE CLINIC</v>
          </cell>
          <cell r="I56" t="str">
            <v>03MC107</v>
          </cell>
          <cell r="J56" t="str">
            <v>TREATMENT 1</v>
          </cell>
          <cell r="K56" t="str">
            <v>BMED</v>
          </cell>
          <cell r="L56" t="str">
            <v>Normal</v>
          </cell>
          <cell r="M56" t="str">
            <v>Germany</v>
          </cell>
          <cell r="N56" t="str">
            <v>KAVO</v>
          </cell>
          <cell r="O56" t="str">
            <v>RAF 1058 LIFE</v>
          </cell>
          <cell r="P56" t="str">
            <v>2016-08-1000650</v>
          </cell>
          <cell r="Q56" t="str">
            <v>Not Applicable</v>
          </cell>
          <cell r="R56" t="str">
            <v>KALTENBACH &amp; VOIGT GMBH</v>
          </cell>
          <cell r="S56" t="str">
            <v>RAF SYNERGY SDN BHD</v>
          </cell>
          <cell r="T56" t="str">
            <v>Functioning</v>
          </cell>
          <cell r="U56" t="str">
            <v>Asset</v>
          </cell>
          <cell r="V56">
            <v>72000</v>
          </cell>
          <cell r="W56" t="str">
            <v>KEW</v>
          </cell>
          <cell r="X56" t="str">
            <v>27/10/2016</v>
          </cell>
          <cell r="Y56" t="str">
            <v>KEW</v>
          </cell>
          <cell r="Z56" t="str">
            <v>06/12/2016</v>
          </cell>
          <cell r="AA56" t="str">
            <v>06/12/2018</v>
          </cell>
          <cell r="AB56" t="str">
            <v>No</v>
          </cell>
          <cell r="AC56" t="str">
            <v>06/12/2016</v>
          </cell>
          <cell r="AD56" t="str">
            <v>Good</v>
          </cell>
          <cell r="AE56" t="str">
            <v>V3 - Added Installed Facilities (New)</v>
          </cell>
          <cell r="AF56">
            <v>43019</v>
          </cell>
          <cell r="AG56">
            <v>3.08</v>
          </cell>
          <cell r="AH56" t="str">
            <v>PPM</v>
          </cell>
          <cell r="AI56" t="str">
            <v>Strands</v>
          </cell>
          <cell r="AJ56" t="str">
            <v>Strands PW</v>
          </cell>
          <cell r="AK56" t="str">
            <v>SNF received on 25.2.2020. [17/5/2024, SHARIFAH]: Add KEWPA Accessory SN: KAV-1.007.5540</v>
          </cell>
        </row>
        <row r="57">
          <cell r="A57" t="str">
            <v>IKN401532</v>
          </cell>
          <cell r="B57">
            <v>1472</v>
          </cell>
          <cell r="C57" t="str">
            <v>Institut Kanser Negara</v>
          </cell>
          <cell r="E57" t="str">
            <v>17-848</v>
          </cell>
          <cell r="F57" t="str">
            <v>Biopsy Guns</v>
          </cell>
          <cell r="G57" t="str">
            <v>MC</v>
          </cell>
          <cell r="H57" t="str">
            <v>MULTI-DISCIPLINE CLINIC</v>
          </cell>
          <cell r="I57" t="str">
            <v>03MC108</v>
          </cell>
          <cell r="J57" t="str">
            <v>TREATMENT/PROCEDURE</v>
          </cell>
          <cell r="K57" t="str">
            <v>BMED</v>
          </cell>
          <cell r="L57" t="str">
            <v>Critical</v>
          </cell>
          <cell r="M57" t="str">
            <v>USA</v>
          </cell>
          <cell r="N57" t="str">
            <v>Magnum</v>
          </cell>
          <cell r="O57" t="str">
            <v>Magnum MG1522</v>
          </cell>
          <cell r="P57" t="str">
            <v>51DY0001</v>
          </cell>
          <cell r="Q57" t="str">
            <v>Not Applicable</v>
          </cell>
          <cell r="R57" t="str">
            <v>Bard Peripheral Vascular Inc</v>
          </cell>
          <cell r="S57" t="str">
            <v>SAPPHIRE MEDTECH INDUSTRIES</v>
          </cell>
          <cell r="T57" t="str">
            <v>Functioning</v>
          </cell>
          <cell r="U57" t="str">
            <v>Asset</v>
          </cell>
          <cell r="V57">
            <v>7750</v>
          </cell>
          <cell r="W57" t="str">
            <v>KEW</v>
          </cell>
          <cell r="X57" t="str">
            <v>25/09/2014</v>
          </cell>
          <cell r="Y57" t="str">
            <v>KEW</v>
          </cell>
          <cell r="Z57" t="str">
            <v>09/10/2014</v>
          </cell>
          <cell r="AA57" t="str">
            <v>09/10/2015</v>
          </cell>
          <cell r="AB57" t="str">
            <v>No</v>
          </cell>
          <cell r="AC57" t="str">
            <v>09/10/2014</v>
          </cell>
          <cell r="AD57" t="str">
            <v>Good</v>
          </cell>
          <cell r="AE57" t="str">
            <v>V3 - Added Installed Facilities (New)</v>
          </cell>
          <cell r="AF57">
            <v>42899</v>
          </cell>
          <cell r="AG57">
            <v>5.17</v>
          </cell>
          <cell r="AH57" t="str">
            <v>PPM</v>
          </cell>
          <cell r="AI57" t="str">
            <v>Not in contract</v>
          </cell>
          <cell r="AJ57" t="str">
            <v>Strands PW</v>
          </cell>
          <cell r="AK57" t="str">
            <v>Unit not found. So will be under V4 later</v>
          </cell>
        </row>
        <row r="58">
          <cell r="A58" t="str">
            <v>IKN401617</v>
          </cell>
          <cell r="B58">
            <v>1551</v>
          </cell>
          <cell r="C58" t="str">
            <v>Institut Kanser Negara</v>
          </cell>
          <cell r="D58" t="str">
            <v>KKM/IKN/H/16/36</v>
          </cell>
          <cell r="E58" t="str">
            <v>10-208</v>
          </cell>
          <cell r="F58" t="str">
            <v>Aspirators</v>
          </cell>
          <cell r="G58" t="str">
            <v>MC</v>
          </cell>
          <cell r="H58" t="str">
            <v>MULTI-DISCIPLINE CLINIC</v>
          </cell>
          <cell r="I58" t="str">
            <v>03MC107</v>
          </cell>
          <cell r="J58" t="str">
            <v>TREATMENT 1</v>
          </cell>
          <cell r="K58" t="str">
            <v>BMED</v>
          </cell>
          <cell r="L58" t="str">
            <v>Critical</v>
          </cell>
          <cell r="M58" t="str">
            <v>Korea</v>
          </cell>
          <cell r="N58" t="str">
            <v>Omega</v>
          </cell>
          <cell r="O58" t="str">
            <v>S101C</v>
          </cell>
          <cell r="P58" t="str">
            <v>SIC 16380034</v>
          </cell>
          <cell r="Q58" t="str">
            <v>Not Applicable</v>
          </cell>
          <cell r="R58" t="str">
            <v>OMEGA</v>
          </cell>
          <cell r="S58" t="str">
            <v>RAF SYNERGY SDN BHD</v>
          </cell>
          <cell r="T58" t="str">
            <v>Functioning</v>
          </cell>
          <cell r="U58" t="str">
            <v>Asset</v>
          </cell>
          <cell r="V58">
            <v>4900</v>
          </cell>
          <cell r="W58" t="str">
            <v>KEW</v>
          </cell>
          <cell r="X58" t="str">
            <v>27/10/2016</v>
          </cell>
          <cell r="Y58" t="str">
            <v>KEW</v>
          </cell>
          <cell r="Z58" t="str">
            <v>06/12/2016</v>
          </cell>
          <cell r="AA58" t="str">
            <v>06/12/2018</v>
          </cell>
          <cell r="AB58" t="str">
            <v>No</v>
          </cell>
          <cell r="AC58" t="str">
            <v>06/12/2016</v>
          </cell>
          <cell r="AD58" t="str">
            <v>Good</v>
          </cell>
          <cell r="AE58" t="str">
            <v>V3 - Added Installed Facilities (New)</v>
          </cell>
          <cell r="AF58">
            <v>42951</v>
          </cell>
          <cell r="AG58">
            <v>3.08</v>
          </cell>
          <cell r="AH58" t="str">
            <v>PPM</v>
          </cell>
          <cell r="AI58" t="str">
            <v>Strands</v>
          </cell>
          <cell r="AJ58" t="str">
            <v>Strands PW</v>
          </cell>
          <cell r="AK58" t="str">
            <v>SNF received. 1st batch of V3 asset (December 2020)</v>
          </cell>
        </row>
        <row r="59">
          <cell r="A59" t="str">
            <v>IKN401618</v>
          </cell>
          <cell r="B59">
            <v>1552</v>
          </cell>
          <cell r="C59" t="str">
            <v>Institut Kanser Negara</v>
          </cell>
          <cell r="D59" t="str">
            <v>KKM/IKN/H/16/39</v>
          </cell>
          <cell r="E59" t="str">
            <v>10-972</v>
          </cell>
          <cell r="F59" t="str">
            <v>Compressors, Medical-Air</v>
          </cell>
          <cell r="G59" t="str">
            <v>MC</v>
          </cell>
          <cell r="H59" t="str">
            <v>MULTI-DISCIPLINE CLINIC</v>
          </cell>
          <cell r="I59" t="str">
            <v>03MC107</v>
          </cell>
          <cell r="J59" t="str">
            <v>TREATMENT 1</v>
          </cell>
          <cell r="K59" t="str">
            <v>BMED</v>
          </cell>
          <cell r="L59" t="str">
            <v>Normal</v>
          </cell>
          <cell r="M59" t="str">
            <v>Germany</v>
          </cell>
          <cell r="N59" t="str">
            <v>Tornado</v>
          </cell>
          <cell r="O59" t="str">
            <v>Tornado 1</v>
          </cell>
          <cell r="P59" t="str">
            <v>H 103304706</v>
          </cell>
          <cell r="Q59" t="str">
            <v>Not Applicable</v>
          </cell>
          <cell r="R59" t="str">
            <v>Durr Dental Ag</v>
          </cell>
          <cell r="S59" t="str">
            <v>RAF SYNERGY SDN BHD</v>
          </cell>
          <cell r="T59" t="str">
            <v>Functioning</v>
          </cell>
          <cell r="U59" t="str">
            <v>Asset</v>
          </cell>
          <cell r="V59">
            <v>7000</v>
          </cell>
          <cell r="W59" t="str">
            <v>KEW</v>
          </cell>
          <cell r="X59" t="str">
            <v>27/10/2016</v>
          </cell>
          <cell r="Y59" t="str">
            <v>KEW</v>
          </cell>
          <cell r="Z59" t="str">
            <v>06/12/2016</v>
          </cell>
          <cell r="AA59" t="str">
            <v>06/12/2018</v>
          </cell>
          <cell r="AB59" t="str">
            <v>No</v>
          </cell>
          <cell r="AC59" t="str">
            <v>06/12/2016</v>
          </cell>
          <cell r="AD59" t="str">
            <v>Good</v>
          </cell>
          <cell r="AE59" t="str">
            <v>V3 - Added Installed Facilities (New)</v>
          </cell>
          <cell r="AF59">
            <v>42951</v>
          </cell>
          <cell r="AG59">
            <v>3.08</v>
          </cell>
          <cell r="AH59" t="str">
            <v>PPM</v>
          </cell>
          <cell r="AI59" t="str">
            <v>Strands</v>
          </cell>
          <cell r="AJ59" t="str">
            <v>Strands PW</v>
          </cell>
          <cell r="AK59" t="str">
            <v>SNF received. 1st batch of V3 asset (December 2020)</v>
          </cell>
        </row>
        <row r="60">
          <cell r="A60" t="str">
            <v>IKN401619</v>
          </cell>
          <cell r="B60">
            <v>1553</v>
          </cell>
          <cell r="C60" t="str">
            <v>Institut Kanser Negara</v>
          </cell>
          <cell r="D60" t="str">
            <v>KKM/IKN/H/16/38</v>
          </cell>
          <cell r="E60" t="str">
            <v>88-026</v>
          </cell>
          <cell r="F60" t="str">
            <v>Cameras, Video, Dental, Intraoral/Extraoral</v>
          </cell>
          <cell r="G60" t="str">
            <v>MC</v>
          </cell>
          <cell r="H60" t="str">
            <v>MULTI-DISCIPLINE CLINIC</v>
          </cell>
          <cell r="I60" t="str">
            <v>03MC107</v>
          </cell>
          <cell r="J60" t="str">
            <v>TREATMENT 1</v>
          </cell>
          <cell r="K60" t="str">
            <v>BMED</v>
          </cell>
          <cell r="L60" t="str">
            <v>Critical</v>
          </cell>
          <cell r="M60" t="str">
            <v>France</v>
          </cell>
          <cell r="N60" t="str">
            <v>Satelec</v>
          </cell>
          <cell r="O60" t="str">
            <v>Durr Vista Cam-1x</v>
          </cell>
          <cell r="P60" t="str">
            <v>H006083</v>
          </cell>
          <cell r="Q60" t="str">
            <v>Not Applicable</v>
          </cell>
          <cell r="R60" t="str">
            <v>DURR DENTAL AG</v>
          </cell>
          <cell r="S60" t="str">
            <v>RAF SYNERGY SDN BHD</v>
          </cell>
          <cell r="T60" t="str">
            <v>Functioning</v>
          </cell>
          <cell r="U60" t="str">
            <v>Asset</v>
          </cell>
          <cell r="V60">
            <v>20000</v>
          </cell>
          <cell r="W60" t="str">
            <v>KEW</v>
          </cell>
          <cell r="X60" t="str">
            <v>27/10/2016</v>
          </cell>
          <cell r="Y60" t="str">
            <v>KEW</v>
          </cell>
          <cell r="Z60" t="str">
            <v>06/12/2016</v>
          </cell>
          <cell r="AA60" t="str">
            <v>06/12/2018</v>
          </cell>
          <cell r="AB60" t="str">
            <v>No</v>
          </cell>
          <cell r="AC60" t="str">
            <v>06/12/2016</v>
          </cell>
          <cell r="AD60" t="str">
            <v>Good</v>
          </cell>
          <cell r="AE60" t="str">
            <v>V3 - Added Installed Facilities (New)</v>
          </cell>
          <cell r="AF60">
            <v>42951</v>
          </cell>
          <cell r="AG60">
            <v>3.08</v>
          </cell>
          <cell r="AH60" t="str">
            <v>PPM</v>
          </cell>
          <cell r="AI60" t="str">
            <v>Strands</v>
          </cell>
          <cell r="AJ60" t="str">
            <v>Strands PW</v>
          </cell>
          <cell r="AK60" t="str">
            <v>SNF received. 1st batch of V3 asset (December 2020)</v>
          </cell>
        </row>
        <row r="61">
          <cell r="A61" t="str">
            <v>IKN402001</v>
          </cell>
          <cell r="B61">
            <v>1656</v>
          </cell>
          <cell r="C61" t="str">
            <v>Institut Kanser Negara</v>
          </cell>
          <cell r="D61" t="str">
            <v>KKM/IKN/H/19/5</v>
          </cell>
          <cell r="E61" t="str">
            <v>16-666</v>
          </cell>
          <cell r="F61" t="str">
            <v>Dental Hand Instruments, Surgical</v>
          </cell>
          <cell r="G61" t="str">
            <v>MC</v>
          </cell>
          <cell r="H61" t="str">
            <v>MULTI-DISCIPLINE CLINIC</v>
          </cell>
          <cell r="I61" t="str">
            <v>03MC107</v>
          </cell>
          <cell r="J61" t="str">
            <v>TREATMENT 1</v>
          </cell>
          <cell r="K61" t="str">
            <v>BMED</v>
          </cell>
          <cell r="L61" t="str">
            <v>Normal</v>
          </cell>
          <cell r="M61" t="str">
            <v>Switzerland</v>
          </cell>
          <cell r="N61" t="str">
            <v>DEPUY SYNTHES</v>
          </cell>
          <cell r="O61" t="str">
            <v>01.001.560</v>
          </cell>
          <cell r="P61" t="str">
            <v>(21)3699</v>
          </cell>
          <cell r="Q61" t="str">
            <v>Not Applicable</v>
          </cell>
          <cell r="R61" t="str">
            <v>DEPUY SYNTHES</v>
          </cell>
          <cell r="S61" t="str">
            <v>JOHNSON &amp; JOHNSON SDN BHD</v>
          </cell>
          <cell r="T61" t="str">
            <v>Functioning</v>
          </cell>
          <cell r="U61" t="str">
            <v>Asset</v>
          </cell>
          <cell r="V61">
            <v>89980</v>
          </cell>
          <cell r="W61" t="str">
            <v>KEW</v>
          </cell>
          <cell r="X61">
            <v>43677</v>
          </cell>
          <cell r="Y61" t="str">
            <v>KEW</v>
          </cell>
          <cell r="Z61">
            <v>43725</v>
          </cell>
          <cell r="AA61">
            <v>44091</v>
          </cell>
          <cell r="AB61" t="str">
            <v>No</v>
          </cell>
          <cell r="AC61">
            <v>43725</v>
          </cell>
          <cell r="AD61" t="str">
            <v>Good</v>
          </cell>
          <cell r="AE61" t="str">
            <v>V3 - Added Installed Facilities (New)</v>
          </cell>
          <cell r="AG61">
            <v>9.17</v>
          </cell>
          <cell r="AH61" t="str">
            <v>PPM</v>
          </cell>
          <cell r="AI61" t="str">
            <v>strands</v>
          </cell>
          <cell r="AJ61" t="str">
            <v>Strands PW</v>
          </cell>
        </row>
        <row r="62">
          <cell r="A62" t="str">
            <v>IKN402002</v>
          </cell>
          <cell r="B62">
            <v>1657</v>
          </cell>
          <cell r="C62" t="str">
            <v>Institut Kanser Negara</v>
          </cell>
          <cell r="D62" t="str">
            <v>KKM/IKN/H/19/19</v>
          </cell>
          <cell r="E62" t="str">
            <v>15-976</v>
          </cell>
          <cell r="F62" t="str">
            <v>Scanning Systems, Ultrasonic, General-Purpose</v>
          </cell>
          <cell r="G62" t="str">
            <v>MC</v>
          </cell>
          <cell r="H62" t="str">
            <v>MULTI-DISCIPLINE CLINIC</v>
          </cell>
          <cell r="I62" t="str">
            <v>03MC128</v>
          </cell>
          <cell r="J62" t="str">
            <v>C/E 2</v>
          </cell>
          <cell r="K62" t="str">
            <v>BMED</v>
          </cell>
          <cell r="L62" t="str">
            <v>Normal</v>
          </cell>
          <cell r="M62" t="str">
            <v>CHINA</v>
          </cell>
          <cell r="N62" t="str">
            <v>MINDRAY</v>
          </cell>
          <cell r="O62" t="str">
            <v>DC-70X</v>
          </cell>
          <cell r="P62" t="str">
            <v>CJ1-99001151</v>
          </cell>
          <cell r="Q62" t="str">
            <v>Not Applicable</v>
          </cell>
          <cell r="R62" t="str">
            <v>MINDRAY</v>
          </cell>
          <cell r="S62" t="str">
            <v>INFINITY MEDICAL SDN BHD</v>
          </cell>
          <cell r="T62" t="str">
            <v>Functioning</v>
          </cell>
          <cell r="U62" t="str">
            <v>Asset</v>
          </cell>
          <cell r="V62">
            <v>142800</v>
          </cell>
          <cell r="W62" t="str">
            <v>KEW</v>
          </cell>
          <cell r="X62">
            <v>43788</v>
          </cell>
          <cell r="Y62" t="str">
            <v>KEW</v>
          </cell>
          <cell r="Z62">
            <v>43791</v>
          </cell>
          <cell r="AA62">
            <v>44887</v>
          </cell>
          <cell r="AB62" t="str">
            <v>No</v>
          </cell>
          <cell r="AC62">
            <v>43791</v>
          </cell>
          <cell r="AD62" t="str">
            <v>Good</v>
          </cell>
          <cell r="AE62" t="str">
            <v>V3 - Added Installed Facilities (New)</v>
          </cell>
          <cell r="AG62">
            <v>9.17</v>
          </cell>
          <cell r="AH62" t="str">
            <v>PPM</v>
          </cell>
          <cell r="AI62" t="str">
            <v>strands</v>
          </cell>
          <cell r="AJ62" t="str">
            <v>Strands DW</v>
          </cell>
        </row>
        <row r="63">
          <cell r="A63" t="str">
            <v>IKN402021</v>
          </cell>
          <cell r="B63">
            <v>1676</v>
          </cell>
          <cell r="C63" t="str">
            <v>Institut Kanser Negara</v>
          </cell>
          <cell r="D63" t="str">
            <v>KKM/IKN/H/20/9</v>
          </cell>
          <cell r="E63" t="str">
            <v>10-429</v>
          </cell>
          <cell r="F63" t="str">
            <v>Blood-Flow Detectors, Ultrasonic</v>
          </cell>
          <cell r="G63" t="str">
            <v>MC</v>
          </cell>
          <cell r="H63" t="str">
            <v>MULTI-DISCIPLINE CLINIC</v>
          </cell>
          <cell r="I63" t="str">
            <v>03MC107</v>
          </cell>
          <cell r="J63" t="str">
            <v>TREATMENT 1</v>
          </cell>
          <cell r="K63" t="str">
            <v>BMED</v>
          </cell>
          <cell r="L63" t="str">
            <v>Normal</v>
          </cell>
          <cell r="M63" t="str">
            <v>United Kingdom</v>
          </cell>
          <cell r="N63" t="str">
            <v>Huntleigh</v>
          </cell>
          <cell r="O63" t="str">
            <v>DMX-R</v>
          </cell>
          <cell r="P63" t="str">
            <v>(21)772A200785119</v>
          </cell>
          <cell r="Q63" t="str">
            <v>Not Applicable</v>
          </cell>
          <cell r="R63" t="str">
            <v>Huntleigh</v>
          </cell>
          <cell r="S63" t="str">
            <v>J &amp; J MURNI SDN BHD</v>
          </cell>
          <cell r="T63" t="str">
            <v>Functioning</v>
          </cell>
          <cell r="U63" t="str">
            <v>Asset</v>
          </cell>
          <cell r="V63">
            <v>15000</v>
          </cell>
          <cell r="W63" t="str">
            <v>KEW</v>
          </cell>
          <cell r="X63">
            <v>43907</v>
          </cell>
          <cell r="Y63" t="str">
            <v>KEW</v>
          </cell>
          <cell r="Z63">
            <v>43949</v>
          </cell>
          <cell r="AA63">
            <v>44314</v>
          </cell>
          <cell r="AB63" t="str">
            <v>No</v>
          </cell>
          <cell r="AC63">
            <v>43949</v>
          </cell>
          <cell r="AD63" t="str">
            <v>Good</v>
          </cell>
          <cell r="AE63" t="str">
            <v>V3 - Added Installed Facilities (New)</v>
          </cell>
          <cell r="AG63">
            <v>9.17</v>
          </cell>
          <cell r="AH63" t="str">
            <v>PPM</v>
          </cell>
          <cell r="AI63" t="str">
            <v>Strands</v>
          </cell>
          <cell r="AJ63" t="str">
            <v>Strands PW</v>
          </cell>
          <cell r="AK63" t="str">
            <v>SNF received on 19.5.2020</v>
          </cell>
        </row>
        <row r="64">
          <cell r="A64" t="str">
            <v>IKN402022</v>
          </cell>
          <cell r="B64">
            <v>1677</v>
          </cell>
          <cell r="C64" t="str">
            <v>Institut Kanser Negara</v>
          </cell>
          <cell r="D64" t="str">
            <v>KKM/IKN/H/20/8</v>
          </cell>
          <cell r="E64" t="str">
            <v>14-074</v>
          </cell>
          <cell r="F64" t="str">
            <v>Tourniquets, Pneumatic</v>
          </cell>
          <cell r="G64" t="str">
            <v>MC</v>
          </cell>
          <cell r="H64" t="str">
            <v>MULTI-DISCIPLINE CLINIC</v>
          </cell>
          <cell r="I64" t="str">
            <v>OT</v>
          </cell>
          <cell r="J64" t="str">
            <v>OPERATION THEATRE</v>
          </cell>
          <cell r="K64" t="str">
            <v>BMED</v>
          </cell>
          <cell r="L64" t="str">
            <v>Normal</v>
          </cell>
          <cell r="M64" t="str">
            <v>USA</v>
          </cell>
          <cell r="N64" t="str">
            <v>Zimmer</v>
          </cell>
          <cell r="O64" t="str">
            <v>ATS 4000</v>
          </cell>
          <cell r="P64" t="str">
            <v>40190814-007</v>
          </cell>
          <cell r="Q64" t="str">
            <v>Not Applicable</v>
          </cell>
          <cell r="R64" t="str">
            <v>Zimmer</v>
          </cell>
          <cell r="S64" t="str">
            <v>Metro Jendela Sdn Bhd</v>
          </cell>
          <cell r="T64" t="str">
            <v>Functioning</v>
          </cell>
          <cell r="U64" t="str">
            <v>Asset</v>
          </cell>
          <cell r="V64">
            <v>43000</v>
          </cell>
          <cell r="W64" t="str">
            <v>KEW</v>
          </cell>
          <cell r="X64">
            <v>43907</v>
          </cell>
          <cell r="Y64" t="str">
            <v>KEW</v>
          </cell>
          <cell r="Z64">
            <v>43950</v>
          </cell>
          <cell r="AA64">
            <v>44680</v>
          </cell>
          <cell r="AB64" t="str">
            <v>No</v>
          </cell>
          <cell r="AC64">
            <v>43950</v>
          </cell>
          <cell r="AD64" t="str">
            <v>Good</v>
          </cell>
          <cell r="AE64" t="str">
            <v>V3 - Added Installed Facilities (New)</v>
          </cell>
          <cell r="AG64">
            <v>9.17</v>
          </cell>
          <cell r="AH64" t="str">
            <v>PPM</v>
          </cell>
          <cell r="AI64" t="str">
            <v>Strands</v>
          </cell>
          <cell r="AJ64" t="str">
            <v>Strands PW</v>
          </cell>
          <cell r="AK64" t="str">
            <v>SNF received on 19.5.2020. [28/12/2023, INDIRA]: CURRENT LOC: OT.</v>
          </cell>
        </row>
        <row r="65">
          <cell r="A65" t="str">
            <v>IKN402031</v>
          </cell>
          <cell r="B65">
            <v>1686</v>
          </cell>
          <cell r="C65" t="str">
            <v>Institut Kanser Negara</v>
          </cell>
          <cell r="D65" t="str">
            <v>KKM/IKN/H/13/24</v>
          </cell>
          <cell r="E65" t="str">
            <v>12-539</v>
          </cell>
          <cell r="F65" t="str">
            <v>Microscopes, Light, Operating</v>
          </cell>
          <cell r="G65" t="str">
            <v>MC</v>
          </cell>
          <cell r="H65" t="str">
            <v>MULTI-DISCIPLINE CLINIC</v>
          </cell>
          <cell r="I65" t="str">
            <v>03MC127</v>
          </cell>
          <cell r="J65" t="str">
            <v>C/E 1 (ENT)</v>
          </cell>
          <cell r="K65" t="str">
            <v>BMED</v>
          </cell>
          <cell r="L65" t="str">
            <v>Normal</v>
          </cell>
          <cell r="M65" t="str">
            <v>Germany</v>
          </cell>
          <cell r="N65" t="str">
            <v>CARL ZEISS</v>
          </cell>
          <cell r="O65" t="str">
            <v>OPMI PICO</v>
          </cell>
          <cell r="P65">
            <v>6898101023</v>
          </cell>
          <cell r="Q65" t="str">
            <v>Not Applicable</v>
          </cell>
          <cell r="R65" t="str">
            <v>CARL ZEISS</v>
          </cell>
          <cell r="S65" t="str">
            <v>Atmos Medizintechnik (M) Sdn Bhd</v>
          </cell>
          <cell r="T65" t="str">
            <v>Functioning</v>
          </cell>
          <cell r="U65" t="str">
            <v>Asset</v>
          </cell>
          <cell r="V65">
            <v>70601</v>
          </cell>
          <cell r="W65" t="str">
            <v>KEW</v>
          </cell>
          <cell r="X65">
            <v>41516</v>
          </cell>
          <cell r="Y65" t="str">
            <v>KEW</v>
          </cell>
          <cell r="Z65">
            <v>41516</v>
          </cell>
          <cell r="AA65">
            <v>41881</v>
          </cell>
          <cell r="AB65" t="str">
            <v>NO</v>
          </cell>
          <cell r="AC65">
            <v>41516</v>
          </cell>
          <cell r="AD65" t="str">
            <v>Good</v>
          </cell>
          <cell r="AE65" t="str">
            <v>V1 - Existing / No Claim</v>
          </cell>
          <cell r="AG65">
            <v>9.17</v>
          </cell>
          <cell r="AH65" t="str">
            <v>PPM</v>
          </cell>
          <cell r="AI65" t="str">
            <v>Strands</v>
          </cell>
          <cell r="AJ65" t="str">
            <v>Strands Package</v>
          </cell>
          <cell r="AK65" t="str">
            <v>Pecah Kewpa. Complement with IKN400941 but different Model/Brand. Package Code ZE0001. [28/12/2023, HIDAYAH]: CURRENT LOC NM.</v>
          </cell>
        </row>
        <row r="66">
          <cell r="A66" t="str">
            <v>IKN402037</v>
          </cell>
          <cell r="B66">
            <v>1692</v>
          </cell>
          <cell r="C66" t="str">
            <v>Institut Kanser Negara</v>
          </cell>
          <cell r="D66" t="str">
            <v>KKM/IKN/H/20/34</v>
          </cell>
          <cell r="E66" t="str">
            <v>88-027</v>
          </cell>
          <cell r="F66" t="str">
            <v>Dental Handpiece Maintenance Unit</v>
          </cell>
          <cell r="G66" t="str">
            <v>MC</v>
          </cell>
          <cell r="H66" t="str">
            <v>MULTI-DISCIPLINE CLINIC</v>
          </cell>
          <cell r="I66" t="str">
            <v>03MC107</v>
          </cell>
          <cell r="J66" t="str">
            <v>TREATMENT 1</v>
          </cell>
          <cell r="K66" t="str">
            <v>BMED</v>
          </cell>
          <cell r="L66" t="str">
            <v>Normal</v>
          </cell>
          <cell r="M66" t="str">
            <v>CHINA</v>
          </cell>
          <cell r="N66" t="str">
            <v>META SYSTEMS</v>
          </cell>
          <cell r="O66" t="str">
            <v>EQ-V FULL GP</v>
          </cell>
          <cell r="P66" t="str">
            <v>EQV0262001406</v>
          </cell>
          <cell r="Q66" t="str">
            <v>Not Applicable</v>
          </cell>
          <cell r="R66" t="str">
            <v>META SYSTEMS CO. LTD</v>
          </cell>
          <cell r="S66" t="str">
            <v>One Dental Supply &amp; Marketing Sdn Bhd</v>
          </cell>
          <cell r="T66" t="str">
            <v>Functioning</v>
          </cell>
          <cell r="U66" t="str">
            <v>Asset</v>
          </cell>
          <cell r="V66">
            <v>4500</v>
          </cell>
          <cell r="W66" t="str">
            <v>KEW</v>
          </cell>
          <cell r="X66">
            <v>43907</v>
          </cell>
          <cell r="Y66" t="str">
            <v>KEW</v>
          </cell>
          <cell r="Z66">
            <v>44050</v>
          </cell>
          <cell r="AA66">
            <v>44415</v>
          </cell>
          <cell r="AB66" t="str">
            <v>No</v>
          </cell>
          <cell r="AC66">
            <v>44050</v>
          </cell>
          <cell r="AD66" t="str">
            <v>Good</v>
          </cell>
          <cell r="AE66" t="str">
            <v>V3 - Added Installed Facilities (New)</v>
          </cell>
          <cell r="AG66">
            <v>9.17</v>
          </cell>
          <cell r="AH66" t="str">
            <v>PPM</v>
          </cell>
          <cell r="AI66" t="str">
            <v>Strands</v>
          </cell>
          <cell r="AJ66" t="str">
            <v>Strands PW</v>
          </cell>
          <cell r="AK66" t="str">
            <v>SNF received on 18/12/2020</v>
          </cell>
        </row>
        <row r="67">
          <cell r="A67" t="str">
            <v>IKN402038</v>
          </cell>
          <cell r="B67">
            <v>1693</v>
          </cell>
          <cell r="C67" t="str">
            <v>Institut Kanser Negara</v>
          </cell>
          <cell r="D67" t="str">
            <v>KKM/IKN/H/20/35</v>
          </cell>
          <cell r="E67" t="str">
            <v>88-013</v>
          </cell>
          <cell r="F67" t="str">
            <v>Micromotor, Dental</v>
          </cell>
          <cell r="G67" t="str">
            <v>MC</v>
          </cell>
          <cell r="H67" t="str">
            <v>MULTI-DISCIPLINE CLINIC</v>
          </cell>
          <cell r="I67" t="str">
            <v>03MC107</v>
          </cell>
          <cell r="J67" t="str">
            <v>TREATMENT 1</v>
          </cell>
          <cell r="K67" t="str">
            <v>BMED</v>
          </cell>
          <cell r="L67" t="str">
            <v>Normal</v>
          </cell>
          <cell r="M67" t="str">
            <v>CHINA</v>
          </cell>
          <cell r="N67" t="str">
            <v>Woodpeeker Medical</v>
          </cell>
          <cell r="O67" t="str">
            <v>Endo Rader Plus</v>
          </cell>
          <cell r="P67" t="str">
            <v>E2@10222WS</v>
          </cell>
          <cell r="Q67" t="str">
            <v>Not Applicable</v>
          </cell>
          <cell r="R67" t="str">
            <v>Woodpeeker Medical Instrument</v>
          </cell>
          <cell r="S67" t="str">
            <v>One Dental Supply &amp; Marketing Sdn Bhd</v>
          </cell>
          <cell r="T67" t="str">
            <v>Functioning</v>
          </cell>
          <cell r="U67" t="str">
            <v>Asset</v>
          </cell>
          <cell r="V67">
            <v>7500</v>
          </cell>
          <cell r="W67" t="str">
            <v>KEW</v>
          </cell>
          <cell r="X67">
            <v>43907</v>
          </cell>
          <cell r="Y67" t="str">
            <v>KEW</v>
          </cell>
          <cell r="Z67">
            <v>44050</v>
          </cell>
          <cell r="AA67">
            <v>44415</v>
          </cell>
          <cell r="AB67" t="str">
            <v>No</v>
          </cell>
          <cell r="AC67">
            <v>44050</v>
          </cell>
          <cell r="AD67" t="str">
            <v>Good</v>
          </cell>
          <cell r="AE67" t="str">
            <v>V3 - Added Installed Facilities (New)</v>
          </cell>
          <cell r="AG67">
            <v>9.17</v>
          </cell>
          <cell r="AH67" t="str">
            <v>PPM</v>
          </cell>
          <cell r="AI67" t="str">
            <v>Strands</v>
          </cell>
          <cell r="AJ67" t="str">
            <v>Strands PW</v>
          </cell>
          <cell r="AK67" t="str">
            <v>SNF received on 18/12/2020</v>
          </cell>
        </row>
        <row r="68">
          <cell r="A68" t="str">
            <v>IKN402039</v>
          </cell>
          <cell r="B68">
            <v>1694</v>
          </cell>
          <cell r="C68" t="str">
            <v>Institut Kanser Negara</v>
          </cell>
          <cell r="D68" t="str">
            <v>KKM/IKN/H/20/63</v>
          </cell>
          <cell r="E68" t="str">
            <v>10-208</v>
          </cell>
          <cell r="F68" t="str">
            <v>Aspirators</v>
          </cell>
          <cell r="G68" t="str">
            <v>MC</v>
          </cell>
          <cell r="H68" t="str">
            <v>MULTI-DISCIPLINE CLINIC</v>
          </cell>
          <cell r="I68" t="str">
            <v>03MC107</v>
          </cell>
          <cell r="J68" t="str">
            <v>TREATMENT 1</v>
          </cell>
          <cell r="K68" t="str">
            <v>BMED</v>
          </cell>
          <cell r="L68" t="str">
            <v>Normal</v>
          </cell>
          <cell r="M68" t="str">
            <v>CHINA</v>
          </cell>
          <cell r="N68" t="str">
            <v>DYNAMIC</v>
          </cell>
          <cell r="O68" t="str">
            <v>DS 1000</v>
          </cell>
          <cell r="P68">
            <v>19643</v>
          </cell>
          <cell r="Q68" t="str">
            <v>Not Applicable</v>
          </cell>
          <cell r="R68" t="str">
            <v>Jiangsu Dynamic Medical Technology Co.,Ltd</v>
          </cell>
          <cell r="S68" t="str">
            <v>One Dental Supply &amp; Marketing Sdn Bhd</v>
          </cell>
          <cell r="T68" t="str">
            <v>Functioning</v>
          </cell>
          <cell r="U68" t="str">
            <v>Asset</v>
          </cell>
          <cell r="V68">
            <v>6000</v>
          </cell>
          <cell r="W68" t="str">
            <v>KEW</v>
          </cell>
          <cell r="X68">
            <v>44130</v>
          </cell>
          <cell r="Y68" t="str">
            <v>KEW</v>
          </cell>
          <cell r="Z68">
            <v>44154</v>
          </cell>
          <cell r="AA68">
            <v>44884</v>
          </cell>
          <cell r="AB68" t="str">
            <v>No</v>
          </cell>
          <cell r="AC68">
            <v>44154</v>
          </cell>
          <cell r="AD68" t="str">
            <v>Good</v>
          </cell>
          <cell r="AE68" t="str">
            <v>V3 - Added Installed Facilities (New)</v>
          </cell>
          <cell r="AF68" t="str">
            <v>NA</v>
          </cell>
          <cell r="AG68">
            <v>5.17</v>
          </cell>
          <cell r="AH68" t="str">
            <v>PPM</v>
          </cell>
          <cell r="AI68" t="str">
            <v>Not in contract</v>
          </cell>
          <cell r="AJ68" t="str">
            <v>Strands PW</v>
          </cell>
        </row>
        <row r="69">
          <cell r="A69" t="str">
            <v>IKN402040</v>
          </cell>
          <cell r="B69">
            <v>1695</v>
          </cell>
          <cell r="C69" t="str">
            <v>Institut Kanser Negara</v>
          </cell>
          <cell r="D69" t="str">
            <v>KKM/IKN/H/20/67</v>
          </cell>
          <cell r="E69" t="str">
            <v>17-663</v>
          </cell>
          <cell r="F69" t="str">
            <v>Gastroscopes, Flexible, Video</v>
          </cell>
          <cell r="G69" t="str">
            <v>MC</v>
          </cell>
          <cell r="H69" t="str">
            <v>MULTI-DISCIPLINE CLINIC</v>
          </cell>
          <cell r="I69" t="str">
            <v>03MC108</v>
          </cell>
          <cell r="J69" t="str">
            <v>TREATMENT/PROCEDURE</v>
          </cell>
          <cell r="K69" t="str">
            <v>BMED</v>
          </cell>
          <cell r="L69" t="str">
            <v>Normal</v>
          </cell>
          <cell r="M69" t="str">
            <v>Japan</v>
          </cell>
          <cell r="N69" t="str">
            <v>Olympus</v>
          </cell>
          <cell r="O69" t="str">
            <v>Olympus GIF-H170</v>
          </cell>
          <cell r="P69">
            <v>2032729</v>
          </cell>
          <cell r="Q69" t="str">
            <v>Not Applicable</v>
          </cell>
          <cell r="R69" t="str">
            <v>Olympus Optical Co Ltd</v>
          </cell>
          <cell r="S69" t="str">
            <v>J &amp; J MURNI SDN BHD</v>
          </cell>
          <cell r="T69" t="str">
            <v>Functioning</v>
          </cell>
          <cell r="U69" t="str">
            <v>Asset</v>
          </cell>
          <cell r="V69">
            <v>125900</v>
          </cell>
          <cell r="W69" t="str">
            <v>KEW</v>
          </cell>
          <cell r="X69">
            <v>44154</v>
          </cell>
          <cell r="Y69" t="str">
            <v>KEW</v>
          </cell>
          <cell r="Z69">
            <v>44160</v>
          </cell>
          <cell r="AA69">
            <v>44524</v>
          </cell>
          <cell r="AB69" t="str">
            <v>No</v>
          </cell>
          <cell r="AC69">
            <v>44160</v>
          </cell>
          <cell r="AD69" t="str">
            <v>Good</v>
          </cell>
          <cell r="AE69" t="str">
            <v>V3 - Added Installed Facilities (New)</v>
          </cell>
          <cell r="AG69">
            <v>9.17</v>
          </cell>
          <cell r="AH69" t="str">
            <v>PPM</v>
          </cell>
          <cell r="AI69" t="str">
            <v>Not in contract</v>
          </cell>
          <cell r="AJ69" t="str">
            <v>Proposed for V3 P2.23</v>
          </cell>
          <cell r="AK69" t="str">
            <v>SNF received on 11/10/2023.</v>
          </cell>
        </row>
        <row r="70">
          <cell r="A70" t="str">
            <v>IKN402041</v>
          </cell>
          <cell r="B70">
            <v>1696</v>
          </cell>
          <cell r="C70" t="str">
            <v>Institut Kanser Negara</v>
          </cell>
          <cell r="D70" t="str">
            <v>KKM/IKN/H/20/68</v>
          </cell>
          <cell r="E70" t="str">
            <v>17-663</v>
          </cell>
          <cell r="F70" t="str">
            <v>Gastroscopes, Flexible, Video</v>
          </cell>
          <cell r="G70" t="str">
            <v>MC</v>
          </cell>
          <cell r="H70" t="str">
            <v>MULTI-DISCIPLINE CLINIC</v>
          </cell>
          <cell r="I70" t="str">
            <v>03MC108</v>
          </cell>
          <cell r="J70" t="str">
            <v>TREATMENT/PROCEDURE</v>
          </cell>
          <cell r="K70" t="str">
            <v>BMED</v>
          </cell>
          <cell r="L70" t="str">
            <v>Normal</v>
          </cell>
          <cell r="M70" t="str">
            <v>Japan</v>
          </cell>
          <cell r="N70" t="str">
            <v>Olympus</v>
          </cell>
          <cell r="O70" t="str">
            <v>Olympus GIF-H170</v>
          </cell>
          <cell r="P70">
            <v>2032940</v>
          </cell>
          <cell r="Q70" t="str">
            <v>Not Applicable</v>
          </cell>
          <cell r="R70" t="str">
            <v>Olympus Optical Co Ltd</v>
          </cell>
          <cell r="S70" t="str">
            <v>J &amp; J MURNI SDN BHD</v>
          </cell>
          <cell r="T70" t="str">
            <v>Functioning</v>
          </cell>
          <cell r="U70" t="str">
            <v>Asset</v>
          </cell>
          <cell r="V70">
            <v>125900</v>
          </cell>
          <cell r="W70" t="str">
            <v>KEW</v>
          </cell>
          <cell r="X70">
            <v>44154</v>
          </cell>
          <cell r="Y70" t="str">
            <v>KEW</v>
          </cell>
          <cell r="Z70">
            <v>44160</v>
          </cell>
          <cell r="AA70">
            <v>44524</v>
          </cell>
          <cell r="AB70" t="str">
            <v>No</v>
          </cell>
          <cell r="AC70">
            <v>44160</v>
          </cell>
          <cell r="AD70" t="str">
            <v>Good</v>
          </cell>
          <cell r="AE70" t="str">
            <v>V3 - Added Installed Facilities (New)</v>
          </cell>
          <cell r="AG70">
            <v>9.17</v>
          </cell>
          <cell r="AH70" t="str">
            <v>PPM</v>
          </cell>
          <cell r="AI70" t="str">
            <v>Not in contract</v>
          </cell>
          <cell r="AJ70" t="str">
            <v>Proposed for V3 P2.23</v>
          </cell>
          <cell r="AK70" t="str">
            <v>SNF received on 11/10/2023.</v>
          </cell>
        </row>
        <row r="71">
          <cell r="A71" t="str">
            <v>IKN402042</v>
          </cell>
          <cell r="B71">
            <v>1697</v>
          </cell>
          <cell r="C71" t="str">
            <v>Institut Kanser Negara</v>
          </cell>
          <cell r="D71" t="str">
            <v>KKM/IKN/H/20/69</v>
          </cell>
          <cell r="E71" t="str">
            <v>17-665</v>
          </cell>
          <cell r="F71" t="str">
            <v>Gastroscopes,Video</v>
          </cell>
          <cell r="G71" t="str">
            <v>MC</v>
          </cell>
          <cell r="H71" t="str">
            <v>MULTI-DISCIPLINE CLINIC</v>
          </cell>
          <cell r="I71" t="str">
            <v>03MC108</v>
          </cell>
          <cell r="J71" t="str">
            <v>TREATMENT/PROCEDURE</v>
          </cell>
          <cell r="K71" t="str">
            <v>BMED</v>
          </cell>
          <cell r="L71" t="str">
            <v>Normal</v>
          </cell>
          <cell r="M71" t="str">
            <v>Japan</v>
          </cell>
          <cell r="N71" t="str">
            <v>Olympus</v>
          </cell>
          <cell r="O71" t="str">
            <v>Olympus CF-H170L</v>
          </cell>
          <cell r="P71">
            <v>2026002</v>
          </cell>
          <cell r="Q71" t="str">
            <v>Not Applicable</v>
          </cell>
          <cell r="R71" t="str">
            <v>Olympus Optical Co Ltd</v>
          </cell>
          <cell r="S71" t="str">
            <v>J &amp; J MURNI SDN BHD</v>
          </cell>
          <cell r="T71" t="str">
            <v>Functioning</v>
          </cell>
          <cell r="U71" t="str">
            <v>Asset</v>
          </cell>
          <cell r="V71">
            <v>77350</v>
          </cell>
          <cell r="W71" t="str">
            <v>KEW</v>
          </cell>
          <cell r="X71">
            <v>44154</v>
          </cell>
          <cell r="Y71" t="str">
            <v>KEW</v>
          </cell>
          <cell r="Z71">
            <v>44160</v>
          </cell>
          <cell r="AA71">
            <v>44524</v>
          </cell>
          <cell r="AB71" t="str">
            <v>No</v>
          </cell>
          <cell r="AC71">
            <v>44160</v>
          </cell>
          <cell r="AD71" t="str">
            <v>Good</v>
          </cell>
          <cell r="AE71" t="str">
            <v>V3 - Added Installed Facilities (New)</v>
          </cell>
          <cell r="AF71" t="str">
            <v>NA</v>
          </cell>
          <cell r="AG71">
            <v>5.17</v>
          </cell>
          <cell r="AH71" t="str">
            <v>PPM</v>
          </cell>
          <cell r="AI71" t="str">
            <v>Not in contract</v>
          </cell>
          <cell r="AJ71" t="str">
            <v>Strands PW</v>
          </cell>
        </row>
        <row r="72">
          <cell r="A72" t="str">
            <v>IKN402049</v>
          </cell>
          <cell r="B72">
            <v>1704</v>
          </cell>
          <cell r="C72" t="str">
            <v>Institut Kanser Negara</v>
          </cell>
          <cell r="E72" t="str">
            <v>10-960</v>
          </cell>
          <cell r="F72" t="str">
            <v>Colposcopes</v>
          </cell>
          <cell r="G72" t="str">
            <v>MC</v>
          </cell>
          <cell r="H72" t="str">
            <v>MULTI-DISCIPLINE CLINIC</v>
          </cell>
          <cell r="I72" t="str">
            <v>03MC108</v>
          </cell>
          <cell r="J72" t="str">
            <v>TREATMENT/PROCEDURE</v>
          </cell>
          <cell r="K72" t="str">
            <v>BMED</v>
          </cell>
          <cell r="L72" t="str">
            <v>Normal</v>
          </cell>
          <cell r="M72" t="str">
            <v>Japan</v>
          </cell>
          <cell r="N72" t="str">
            <v>ATMOS</v>
          </cell>
          <cell r="O72" t="str">
            <v>ATMOS iView 31 Colposcope</v>
          </cell>
          <cell r="P72">
            <v>1036002</v>
          </cell>
          <cell r="Q72" t="str">
            <v>Not Applicable</v>
          </cell>
          <cell r="R72" t="str">
            <v>Atmos Medizintechnik GmbH &amp; Co KG</v>
          </cell>
          <cell r="S72" t="str">
            <v>UMMI Surgical Sdn Bhd</v>
          </cell>
          <cell r="T72" t="str">
            <v>Functioning</v>
          </cell>
          <cell r="U72" t="str">
            <v>Asset</v>
          </cell>
          <cell r="V72">
            <v>107490</v>
          </cell>
          <cell r="W72" t="str">
            <v>KEW</v>
          </cell>
          <cell r="X72">
            <v>44111</v>
          </cell>
          <cell r="Y72" t="str">
            <v>KEW</v>
          </cell>
          <cell r="Z72">
            <v>44188</v>
          </cell>
          <cell r="AA72">
            <v>44553</v>
          </cell>
          <cell r="AB72" t="str">
            <v>No</v>
          </cell>
          <cell r="AC72">
            <v>44188</v>
          </cell>
          <cell r="AD72" t="str">
            <v>Good</v>
          </cell>
          <cell r="AE72" t="str">
            <v>V3 - Added Installed Facilities (New)</v>
          </cell>
          <cell r="AF72" t="str">
            <v>NA</v>
          </cell>
          <cell r="AG72">
            <v>5.17</v>
          </cell>
          <cell r="AH72" t="str">
            <v>PPM</v>
          </cell>
          <cell r="AI72" t="str">
            <v>Not in contract</v>
          </cell>
          <cell r="AJ72" t="str">
            <v>Strands PW</v>
          </cell>
        </row>
        <row r="73">
          <cell r="A73" t="str">
            <v>IKN402053</v>
          </cell>
          <cell r="B73">
            <v>1708</v>
          </cell>
          <cell r="C73" t="str">
            <v>Institut Kanser Negara</v>
          </cell>
          <cell r="D73" t="str">
            <v>KKM/IKN/H/19/2</v>
          </cell>
          <cell r="E73" t="str">
            <v>18-426</v>
          </cell>
          <cell r="F73" t="str">
            <v>Radiographic Units, dental intraoral</v>
          </cell>
          <cell r="G73" t="str">
            <v>MC</v>
          </cell>
          <cell r="H73" t="str">
            <v>MULTI-DISCIPLINE CLINIC</v>
          </cell>
          <cell r="I73" t="str">
            <v>03ID109</v>
          </cell>
          <cell r="J73" t="str">
            <v>INDUCTION</v>
          </cell>
          <cell r="K73" t="str">
            <v>BMED</v>
          </cell>
          <cell r="L73" t="str">
            <v>Normal</v>
          </cell>
          <cell r="M73" t="str">
            <v>Finland</v>
          </cell>
          <cell r="N73" t="str">
            <v>Planmeca</v>
          </cell>
          <cell r="O73" t="str">
            <v>Pro X</v>
          </cell>
          <cell r="P73" t="str">
            <v>IPX031651</v>
          </cell>
          <cell r="Q73" t="str">
            <v>Not Applicable</v>
          </cell>
          <cell r="R73" t="str">
            <v>Planmeca</v>
          </cell>
          <cell r="S73" t="str">
            <v>Medik Link Sales &amp; Services Sdn Bhd</v>
          </cell>
          <cell r="T73" t="str">
            <v>Functioning</v>
          </cell>
          <cell r="U73" t="str">
            <v>Asset</v>
          </cell>
          <cell r="V73">
            <v>50000</v>
          </cell>
          <cell r="W73" t="str">
            <v>KEW</v>
          </cell>
          <cell r="X73">
            <v>43637</v>
          </cell>
          <cell r="Y73" t="str">
            <v>KEW</v>
          </cell>
          <cell r="Z73">
            <v>43650</v>
          </cell>
          <cell r="AA73">
            <v>44016</v>
          </cell>
          <cell r="AB73" t="str">
            <v>No</v>
          </cell>
          <cell r="AC73">
            <v>43650</v>
          </cell>
          <cell r="AD73" t="str">
            <v>Good</v>
          </cell>
          <cell r="AE73" t="str">
            <v>V3 - Added Installed Facilities (New)</v>
          </cell>
          <cell r="AF73">
            <v>43650</v>
          </cell>
          <cell r="AG73">
            <v>9.17</v>
          </cell>
          <cell r="AH73" t="str">
            <v>PPM</v>
          </cell>
          <cell r="AI73" t="str">
            <v>Strands</v>
          </cell>
          <cell r="AJ73" t="str">
            <v>Proposed for V3 P2.23</v>
          </cell>
          <cell r="AK73" t="str">
            <v>Unit under MDC, located at ID.</v>
          </cell>
        </row>
        <row r="74">
          <cell r="A74" t="str">
            <v>IKN402054</v>
          </cell>
          <cell r="B74">
            <v>1709</v>
          </cell>
          <cell r="C74" t="str">
            <v>Institut Kanser Negara</v>
          </cell>
          <cell r="D74" t="str">
            <v>KKM/IKN/H/13/3438</v>
          </cell>
          <cell r="E74" t="str">
            <v>13-396</v>
          </cell>
          <cell r="F74" t="str">
            <v>Rhinoscopes</v>
          </cell>
          <cell r="G74" t="str">
            <v>MC</v>
          </cell>
          <cell r="H74" t="str">
            <v>MULTI-DISCIPLINE CLINIC</v>
          </cell>
          <cell r="I74" t="str">
            <v>03MC111</v>
          </cell>
          <cell r="J74" t="str">
            <v>SCOPE WASH</v>
          </cell>
          <cell r="K74" t="str">
            <v>BMED</v>
          </cell>
          <cell r="L74" t="str">
            <v>Normal</v>
          </cell>
          <cell r="M74" t="str">
            <v>Japan</v>
          </cell>
          <cell r="N74" t="str">
            <v>Olympus</v>
          </cell>
          <cell r="O74" t="str">
            <v>Olympus ENF-T3</v>
          </cell>
          <cell r="P74">
            <v>2325042</v>
          </cell>
          <cell r="Q74" t="str">
            <v>Not Applicable</v>
          </cell>
          <cell r="R74" t="str">
            <v>Olympus Optical Co Ltd</v>
          </cell>
          <cell r="S74" t="str">
            <v>Endodynamics</v>
          </cell>
          <cell r="T74" t="str">
            <v>Functioning</v>
          </cell>
          <cell r="U74" t="str">
            <v>Asset</v>
          </cell>
          <cell r="V74">
            <v>59362</v>
          </cell>
          <cell r="W74" t="str">
            <v>KEW</v>
          </cell>
          <cell r="X74">
            <v>41516</v>
          </cell>
          <cell r="Y74" t="str">
            <v>KEW</v>
          </cell>
          <cell r="Z74">
            <v>41516</v>
          </cell>
          <cell r="AA74">
            <v>42246</v>
          </cell>
          <cell r="AB74" t="str">
            <v>No</v>
          </cell>
          <cell r="AC74">
            <v>41516</v>
          </cell>
          <cell r="AD74" t="str">
            <v>Good</v>
          </cell>
          <cell r="AE74" t="str">
            <v>V1 - Existing / No Claim</v>
          </cell>
          <cell r="AG74">
            <v>9.17</v>
          </cell>
          <cell r="AH74" t="str">
            <v>PPM</v>
          </cell>
          <cell r="AI74" t="str">
            <v>Strands</v>
          </cell>
          <cell r="AJ74" t="str">
            <v>Strands PW</v>
          </cell>
          <cell r="AK74" t="str">
            <v>Only have KKM no in contract. Register with new IKN no</v>
          </cell>
        </row>
        <row r="75">
          <cell r="A75" t="str">
            <v>IKN402073</v>
          </cell>
          <cell r="B75">
            <v>1728</v>
          </cell>
          <cell r="C75" t="str">
            <v>Institut Kanser Negara</v>
          </cell>
          <cell r="D75" t="str">
            <v>KKM/IKN/H/21/63</v>
          </cell>
          <cell r="E75" t="str">
            <v>10-082</v>
          </cell>
          <cell r="F75" t="str">
            <v>Amalgamators</v>
          </cell>
          <cell r="G75" t="str">
            <v>MC</v>
          </cell>
          <cell r="H75" t="str">
            <v>MULTI-DISCIPLINE CLINIC</v>
          </cell>
          <cell r="I75" t="str">
            <v>03MC107</v>
          </cell>
          <cell r="J75" t="str">
            <v>TREATMENT 1</v>
          </cell>
          <cell r="K75" t="str">
            <v>BMED</v>
          </cell>
          <cell r="L75" t="str">
            <v>Normal</v>
          </cell>
          <cell r="M75" t="str">
            <v>TAIWAN</v>
          </cell>
          <cell r="N75" t="str">
            <v>MONITEX</v>
          </cell>
          <cell r="O75" t="str">
            <v>AM-1</v>
          </cell>
          <cell r="P75" t="str">
            <v>20K1319</v>
          </cell>
          <cell r="Q75" t="str">
            <v>Not Applicable</v>
          </cell>
          <cell r="R75" t="str">
            <v>MONITEX INDUSTRIAL CO LTD</v>
          </cell>
          <cell r="S75" t="str">
            <v>N.K LUCK SDN BHD</v>
          </cell>
          <cell r="T75" t="str">
            <v>Functioning</v>
          </cell>
          <cell r="U75" t="str">
            <v>Asset</v>
          </cell>
          <cell r="V75">
            <v>2000</v>
          </cell>
          <cell r="W75" t="str">
            <v>KEW</v>
          </cell>
          <cell r="X75">
            <v>44454</v>
          </cell>
          <cell r="Y75" t="str">
            <v>KEW</v>
          </cell>
          <cell r="Z75">
            <v>44469</v>
          </cell>
          <cell r="AA75">
            <v>44834</v>
          </cell>
          <cell r="AB75" t="str">
            <v>No</v>
          </cell>
          <cell r="AC75">
            <v>44517</v>
          </cell>
          <cell r="AD75" t="str">
            <v>Good</v>
          </cell>
          <cell r="AE75" t="str">
            <v>V3 - Added Installed Facilities (New)</v>
          </cell>
          <cell r="AF75">
            <v>44517</v>
          </cell>
          <cell r="AG75">
            <v>9.17</v>
          </cell>
          <cell r="AH75" t="str">
            <v>PPM</v>
          </cell>
          <cell r="AJ75" t="str">
            <v>Strands DW</v>
          </cell>
        </row>
        <row r="76">
          <cell r="A76" t="str">
            <v>IKN402075</v>
          </cell>
          <cell r="B76">
            <v>1730</v>
          </cell>
          <cell r="C76" t="str">
            <v>Institut Kanser Negara</v>
          </cell>
          <cell r="D76" t="str">
            <v>KKM/IKN/H/20/80</v>
          </cell>
          <cell r="E76" t="str">
            <v>13-108</v>
          </cell>
          <cell r="F76" t="str">
            <v>Pressure Measuring Units, Esophageal</v>
          </cell>
          <cell r="G76" t="str">
            <v>MC</v>
          </cell>
          <cell r="H76" t="str">
            <v>MULTI-DISCIPLINE CLINIC</v>
          </cell>
          <cell r="I76" t="str">
            <v>03MC108</v>
          </cell>
          <cell r="J76" t="str">
            <v>TREATMENT/PROCEDURE</v>
          </cell>
          <cell r="K76" t="str">
            <v>BMED</v>
          </cell>
          <cell r="L76" t="str">
            <v>Normal</v>
          </cell>
          <cell r="N76" t="str">
            <v>Insight Ultima HRiM</v>
          </cell>
          <cell r="O76" t="str">
            <v>Insight Ultima HRiM</v>
          </cell>
          <cell r="P76" t="str">
            <v>084-005180/K14C009B</v>
          </cell>
          <cell r="Q76" t="str">
            <v>Not Applicable</v>
          </cell>
          <cell r="R76" t="str">
            <v>Sandhill Scientific</v>
          </cell>
          <cell r="T76" t="str">
            <v>Functioning</v>
          </cell>
          <cell r="V76">
            <v>279000</v>
          </cell>
          <cell r="W76" t="str">
            <v>KEW</v>
          </cell>
          <cell r="X76">
            <v>41988</v>
          </cell>
          <cell r="Y76" t="str">
            <v>KEW</v>
          </cell>
          <cell r="Z76" t="str">
            <v>N/A</v>
          </cell>
          <cell r="AA76" t="str">
            <v>N/A</v>
          </cell>
          <cell r="AB76" t="str">
            <v>NO</v>
          </cell>
          <cell r="AC76">
            <v>44151</v>
          </cell>
          <cell r="AD76" t="str">
            <v>Good</v>
          </cell>
          <cell r="AE76" t="str">
            <v>V3 - Added Installed Facilities (New)</v>
          </cell>
          <cell r="AF76">
            <v>44151</v>
          </cell>
          <cell r="AG76">
            <v>9.17</v>
          </cell>
          <cell r="AH76" t="str">
            <v>PPM</v>
          </cell>
          <cell r="AJ76" t="str">
            <v>Strands PW SET F</v>
          </cell>
          <cell r="AK76" t="str">
            <v>HRiM Catherer (scopes)=US-38-2504 (SN), (REF)=K123245-E-1047-D. Unit received from Hospital Sg.Buloh</v>
          </cell>
        </row>
        <row r="77">
          <cell r="A77" t="str">
            <v>IKN402076</v>
          </cell>
          <cell r="B77">
            <v>1731</v>
          </cell>
          <cell r="C77" t="str">
            <v>Institut Kanser Negara</v>
          </cell>
          <cell r="D77" t="str">
            <v>KKM/IKN/H/20/80</v>
          </cell>
          <cell r="E77" t="str">
            <v>15-164</v>
          </cell>
          <cell r="F77" t="str">
            <v>pH Meters</v>
          </cell>
          <cell r="G77" t="str">
            <v>MC</v>
          </cell>
          <cell r="H77" t="str">
            <v>MULTI-DISCIPLINE CLINIC</v>
          </cell>
          <cell r="I77" t="str">
            <v>03MC108</v>
          </cell>
          <cell r="J77" t="str">
            <v>TREATMENT/PROCEDURE</v>
          </cell>
          <cell r="K77" t="str">
            <v>BMED</v>
          </cell>
          <cell r="L77" t="str">
            <v>Normal</v>
          </cell>
          <cell r="N77" t="str">
            <v>ZepHr</v>
          </cell>
          <cell r="O77" t="str">
            <v>Sleuth ZepHr</v>
          </cell>
          <cell r="P77" t="str">
            <v>J149005C</v>
          </cell>
          <cell r="Q77" t="str">
            <v>Not Applicable</v>
          </cell>
          <cell r="R77" t="str">
            <v>Sandhill Scientific</v>
          </cell>
          <cell r="T77" t="str">
            <v>Functioning</v>
          </cell>
          <cell r="V77">
            <v>35000</v>
          </cell>
          <cell r="W77" t="str">
            <v>KEW</v>
          </cell>
          <cell r="X77">
            <v>41988</v>
          </cell>
          <cell r="Y77" t="str">
            <v>KEW</v>
          </cell>
          <cell r="Z77" t="str">
            <v>N/A</v>
          </cell>
          <cell r="AA77" t="str">
            <v>N/A</v>
          </cell>
          <cell r="AB77" t="str">
            <v>No</v>
          </cell>
          <cell r="AC77">
            <v>44151</v>
          </cell>
          <cell r="AD77" t="str">
            <v>Good</v>
          </cell>
          <cell r="AE77" t="str">
            <v>V3 - Added Installed Facilities (New)</v>
          </cell>
          <cell r="AF77">
            <v>44151</v>
          </cell>
          <cell r="AG77">
            <v>9.17</v>
          </cell>
          <cell r="AH77" t="str">
            <v>PPM</v>
          </cell>
          <cell r="AJ77" t="str">
            <v>Strands PW SET F</v>
          </cell>
          <cell r="AK77" t="str">
            <v>Share KEWPA IKN402075.</v>
          </cell>
        </row>
        <row r="78">
          <cell r="A78" t="str">
            <v>IKN402090</v>
          </cell>
          <cell r="B78">
            <v>1745</v>
          </cell>
          <cell r="C78" t="str">
            <v>Institut Kanser Negara</v>
          </cell>
          <cell r="D78" t="str">
            <v>KKM/IKN/H/20/78</v>
          </cell>
          <cell r="E78" t="str">
            <v>15-164</v>
          </cell>
          <cell r="F78" t="str">
            <v>pH Meters</v>
          </cell>
          <cell r="G78" t="str">
            <v>MC</v>
          </cell>
          <cell r="H78" t="str">
            <v>MULTI-DISCIPLINE CLINIC</v>
          </cell>
          <cell r="I78" t="str">
            <v>03MC108</v>
          </cell>
          <cell r="J78" t="str">
            <v>TREATMENT/PROCEDURE</v>
          </cell>
          <cell r="K78" t="str">
            <v>BMED</v>
          </cell>
          <cell r="L78" t="str">
            <v>Normal</v>
          </cell>
          <cell r="N78" t="str">
            <v>ZepHr</v>
          </cell>
          <cell r="O78" t="str">
            <v>ZepHR PH Monitoring System</v>
          </cell>
          <cell r="P78" t="str">
            <v>J0099028C</v>
          </cell>
          <cell r="Q78" t="str">
            <v>Not Applicable</v>
          </cell>
          <cell r="R78" t="str">
            <v>Sandhill Scientific</v>
          </cell>
          <cell r="T78" t="str">
            <v>Functioning</v>
          </cell>
          <cell r="V78">
            <v>35000</v>
          </cell>
          <cell r="W78" t="str">
            <v>KEW</v>
          </cell>
          <cell r="X78">
            <v>40396</v>
          </cell>
          <cell r="Y78" t="str">
            <v>KEW</v>
          </cell>
          <cell r="Z78" t="str">
            <v>N/A</v>
          </cell>
          <cell r="AA78" t="str">
            <v>N/A</v>
          </cell>
          <cell r="AB78" t="str">
            <v>No</v>
          </cell>
          <cell r="AC78">
            <v>44151</v>
          </cell>
          <cell r="AD78" t="str">
            <v>Good</v>
          </cell>
          <cell r="AE78" t="str">
            <v>V3 - Added Installed Facilities (New)</v>
          </cell>
          <cell r="AF78">
            <v>44151</v>
          </cell>
          <cell r="AG78">
            <v>9.17</v>
          </cell>
          <cell r="AH78" t="str">
            <v>PPM</v>
          </cell>
          <cell r="AJ78" t="str">
            <v>Strands PW</v>
          </cell>
          <cell r="AK78" t="str">
            <v>PACKAGE IKN402075, IKN402076,IKN402090</v>
          </cell>
        </row>
        <row r="79">
          <cell r="A79" t="str">
            <v>IKN402091</v>
          </cell>
          <cell r="B79">
            <v>1746</v>
          </cell>
          <cell r="C79" t="str">
            <v>Institut Kanser Negara</v>
          </cell>
          <cell r="D79" t="str">
            <v>KKM/IKN/H/20/79</v>
          </cell>
          <cell r="E79" t="str">
            <v>17-663-037</v>
          </cell>
          <cell r="F79" t="str">
            <v>Gastroscopes, Flexible, Video</v>
          </cell>
          <cell r="G79" t="str">
            <v>MC</v>
          </cell>
          <cell r="H79" t="str">
            <v>MULTI-DISCIPLINE CLINIC</v>
          </cell>
          <cell r="I79" t="str">
            <v>03MC108</v>
          </cell>
          <cell r="J79" t="str">
            <v>TREATMENT/PROCEDURE</v>
          </cell>
          <cell r="K79" t="str">
            <v>BMED</v>
          </cell>
          <cell r="L79" t="str">
            <v>Normal</v>
          </cell>
          <cell r="M79" t="str">
            <v>Japan</v>
          </cell>
          <cell r="N79" t="str">
            <v>Olympus</v>
          </cell>
          <cell r="O79" t="str">
            <v>Olympus GIF-XP150N</v>
          </cell>
          <cell r="P79" t="str">
            <v>2612536</v>
          </cell>
          <cell r="Q79" t="str">
            <v>Not Applicable</v>
          </cell>
          <cell r="R79" t="str">
            <v>Olympus Optical Co Ltd</v>
          </cell>
          <cell r="S79" t="str">
            <v>Olympus Optical Co Ltd</v>
          </cell>
          <cell r="T79" t="str">
            <v>Functioning</v>
          </cell>
          <cell r="U79" t="str">
            <v>Asset</v>
          </cell>
          <cell r="V79">
            <v>66000</v>
          </cell>
          <cell r="W79" t="str">
            <v>KEW</v>
          </cell>
          <cell r="X79">
            <v>42699</v>
          </cell>
          <cell r="Y79" t="str">
            <v>KEW</v>
          </cell>
          <cell r="Z79">
            <v>42709</v>
          </cell>
          <cell r="AA79">
            <v>43074</v>
          </cell>
          <cell r="AB79" t="str">
            <v>No</v>
          </cell>
          <cell r="AC79">
            <v>44470</v>
          </cell>
          <cell r="AD79" t="str">
            <v>Good</v>
          </cell>
          <cell r="AE79" t="str">
            <v>V3 - Added Installed Facilities (New)</v>
          </cell>
          <cell r="AF79">
            <v>44470</v>
          </cell>
          <cell r="AG79">
            <v>9.17</v>
          </cell>
          <cell r="AH79" t="str">
            <v>PPM</v>
          </cell>
          <cell r="AJ79" t="str">
            <v>Strands PW</v>
          </cell>
        </row>
        <row r="80">
          <cell r="A80" t="str">
            <v>IKN402094</v>
          </cell>
          <cell r="B80">
            <v>1749</v>
          </cell>
          <cell r="C80" t="str">
            <v>Institut Kanser Negara</v>
          </cell>
          <cell r="D80" t="str">
            <v>KKM/IKN/H/21/73</v>
          </cell>
          <cell r="E80" t="str">
            <v>16-353</v>
          </cell>
          <cell r="F80" t="str">
            <v>VERTEX ECOLIGHT BOX UV</v>
          </cell>
          <cell r="G80" t="str">
            <v>MC</v>
          </cell>
          <cell r="H80" t="str">
            <v>MULTI-DISCIPLINE CLINIC</v>
          </cell>
          <cell r="I80" t="str">
            <v>03MC108</v>
          </cell>
          <cell r="J80" t="str">
            <v>TREATMENT 1</v>
          </cell>
          <cell r="K80" t="str">
            <v>BMED</v>
          </cell>
          <cell r="L80" t="str">
            <v>Normal</v>
          </cell>
          <cell r="M80" t="str">
            <v>NETHERLANDS</v>
          </cell>
          <cell r="N80" t="str">
            <v>VERTEX</v>
          </cell>
          <cell r="O80" t="str">
            <v>ECO LIGHT BOX</v>
          </cell>
          <cell r="P80" t="str">
            <v>201901-1827</v>
          </cell>
          <cell r="Q80" t="str">
            <v>Not Applicable</v>
          </cell>
          <cell r="R80" t="str">
            <v>NETHERLANDS</v>
          </cell>
          <cell r="S80" t="str">
            <v>QS DENTAL SUPPLY SDN BHD</v>
          </cell>
          <cell r="T80" t="str">
            <v>Functioning</v>
          </cell>
          <cell r="U80" t="str">
            <v>Asset</v>
          </cell>
          <cell r="V80">
            <v>2300</v>
          </cell>
          <cell r="W80" t="str">
            <v>KEW</v>
          </cell>
          <cell r="X80">
            <v>44476</v>
          </cell>
          <cell r="Y80" t="str">
            <v>KEW</v>
          </cell>
          <cell r="Z80">
            <v>44517</v>
          </cell>
          <cell r="AA80">
            <v>44882</v>
          </cell>
          <cell r="AB80" t="str">
            <v>NO</v>
          </cell>
          <cell r="AC80">
            <v>44517</v>
          </cell>
          <cell r="AD80" t="str">
            <v>Good</v>
          </cell>
          <cell r="AE80" t="str">
            <v>V3 - Added Installed Facilities (New)</v>
          </cell>
          <cell r="AF80">
            <v>44517</v>
          </cell>
          <cell r="AG80">
            <v>9.17</v>
          </cell>
          <cell r="AH80" t="str">
            <v>PPM</v>
          </cell>
          <cell r="AI80" t="str">
            <v>Not in Contract</v>
          </cell>
          <cell r="AJ80" t="str">
            <v>Proposed for V3 P2.23</v>
          </cell>
          <cell r="AK80" t="str">
            <v>KKM follow P2.23 list.</v>
          </cell>
        </row>
        <row r="81">
          <cell r="A81" t="str">
            <v>IKN402118</v>
          </cell>
          <cell r="B81">
            <v>1773</v>
          </cell>
          <cell r="C81" t="str">
            <v>Institut Kanser Negara</v>
          </cell>
          <cell r="D81" t="str">
            <v>Shahira/Accuvein</v>
          </cell>
          <cell r="E81" t="str">
            <v>NA</v>
          </cell>
          <cell r="F81" t="str">
            <v>ACCUVEIN VEIN VIEWER</v>
          </cell>
          <cell r="G81" t="str">
            <v>DO</v>
          </cell>
          <cell r="H81" t="str">
            <v>DAY ONCOLOGY UNIT</v>
          </cell>
          <cell r="I81" t="str">
            <v>04DO124</v>
          </cell>
          <cell r="J81" t="str">
            <v>TREATMENT ROOM</v>
          </cell>
          <cell r="K81" t="str">
            <v>BMED</v>
          </cell>
          <cell r="L81" t="str">
            <v>Normal</v>
          </cell>
          <cell r="M81" t="str">
            <v>USA</v>
          </cell>
          <cell r="N81" t="str">
            <v>ACCUVEIN</v>
          </cell>
          <cell r="O81" t="str">
            <v>AV500</v>
          </cell>
          <cell r="P81" t="str">
            <v>C212 HF57021090110</v>
          </cell>
          <cell r="Q81" t="str">
            <v>Not Applicable</v>
          </cell>
          <cell r="R81" t="str">
            <v>ACCUVEIN INC</v>
          </cell>
          <cell r="S81" t="str">
            <v>UTAS MAJU SDN BHD</v>
          </cell>
          <cell r="T81" t="str">
            <v>Functioning</v>
          </cell>
          <cell r="U81" t="str">
            <v>Asset</v>
          </cell>
          <cell r="V81">
            <v>200000</v>
          </cell>
          <cell r="W81" t="str">
            <v>KEW</v>
          </cell>
          <cell r="X81" t="str">
            <v>NA</v>
          </cell>
          <cell r="Y81" t="str">
            <v>NA</v>
          </cell>
          <cell r="Z81">
            <v>44692</v>
          </cell>
          <cell r="AA81">
            <v>45423</v>
          </cell>
          <cell r="AB81" t="str">
            <v>YES</v>
          </cell>
          <cell r="AC81">
            <v>44692</v>
          </cell>
          <cell r="AD81" t="str">
            <v>Good</v>
          </cell>
          <cell r="AE81" t="str">
            <v>V3 - Added Installed Facilities (New)</v>
          </cell>
          <cell r="AF81">
            <v>44692</v>
          </cell>
          <cell r="AG81" t="str">
            <v>NA</v>
          </cell>
          <cell r="AH81" t="str">
            <v>PPM</v>
          </cell>
          <cell r="AI81" t="str">
            <v>Not in Contract</v>
          </cell>
          <cell r="AJ81" t="str">
            <v>Proposed for V3 P2.24</v>
          </cell>
          <cell r="AK81" t="str">
            <v>(PIC: SHAHIRA: ASSET SUMBANGAN)</v>
          </cell>
        </row>
        <row r="82">
          <cell r="A82" t="str">
            <v>IKN402139</v>
          </cell>
          <cell r="B82">
            <v>1794</v>
          </cell>
          <cell r="C82" t="str">
            <v>Institut Kanser Negara</v>
          </cell>
          <cell r="D82" t="str">
            <v>KKM/IKN/H/22/70</v>
          </cell>
          <cell r="E82" t="str">
            <v>15-073</v>
          </cell>
          <cell r="F82" t="str">
            <v>Bronchoscopes, Flexible</v>
          </cell>
          <cell r="G82" t="str">
            <v>IC</v>
          </cell>
          <cell r="H82" t="str">
            <v>INTENSIVE CARE UNIT</v>
          </cell>
          <cell r="I82" t="str">
            <v>IC</v>
          </cell>
          <cell r="J82" t="str">
            <v>INTENSIVE CARE UNIT</v>
          </cell>
          <cell r="K82" t="str">
            <v>BMED</v>
          </cell>
          <cell r="L82" t="str">
            <v>Normal</v>
          </cell>
          <cell r="M82" t="str">
            <v>CHINA</v>
          </cell>
          <cell r="N82" t="str">
            <v>INSIGHTERS</v>
          </cell>
          <cell r="O82" t="str">
            <v>I5-PF1</v>
          </cell>
          <cell r="P82" t="str">
            <v>C201226004</v>
          </cell>
          <cell r="Q82" t="str">
            <v>Not Applicable</v>
          </cell>
          <cell r="R82" t="str">
            <v>SHENZEN INSIGHTERS MEDICAL TECHNOLOGY</v>
          </cell>
          <cell r="S82" t="str">
            <v>Perniagaan Bekalan Abadi Sdn.Bhd.</v>
          </cell>
          <cell r="T82" t="str">
            <v>Functioning</v>
          </cell>
          <cell r="U82" t="str">
            <v>ASSET</v>
          </cell>
          <cell r="V82">
            <v>58000</v>
          </cell>
          <cell r="W82" t="str">
            <v>KEW</v>
          </cell>
          <cell r="X82">
            <v>44855</v>
          </cell>
          <cell r="Y82" t="str">
            <v>KEW</v>
          </cell>
          <cell r="Z82">
            <v>44855</v>
          </cell>
          <cell r="AA82">
            <v>45585</v>
          </cell>
          <cell r="AB82" t="str">
            <v>YES</v>
          </cell>
          <cell r="AC82">
            <v>44855</v>
          </cell>
          <cell r="AD82" t="str">
            <v>GOOD</v>
          </cell>
          <cell r="AE82" t="str">
            <v>V3 - Added Installed Facilities (New)</v>
          </cell>
          <cell r="AF82">
            <v>45008</v>
          </cell>
          <cell r="AG82" t="str">
            <v>NA</v>
          </cell>
          <cell r="AH82" t="str">
            <v>PPM</v>
          </cell>
          <cell r="AI82" t="str">
            <v>Not in contract</v>
          </cell>
          <cell r="AJ82" t="str">
            <v>Strands V3 P1.23</v>
          </cell>
          <cell r="AK82" t="str">
            <v>(PIC: IMRAN) [23/8/2023, Sharifah]: V3 P1.23, add KKM No.</v>
          </cell>
        </row>
        <row r="83">
          <cell r="A83" t="str">
            <v>IKN402150</v>
          </cell>
          <cell r="B83">
            <v>1805</v>
          </cell>
          <cell r="C83" t="str">
            <v>Institut Kanser Negara</v>
          </cell>
          <cell r="D83" t="str">
            <v>KKM/IKN/H/23/30</v>
          </cell>
          <cell r="E83" t="str">
            <v>13-217</v>
          </cell>
          <cell r="F83" t="str">
            <v>Syringe Pump/Total Anesthesia Intravenous Pump</v>
          </cell>
          <cell r="G83" t="str">
            <v>IC</v>
          </cell>
          <cell r="H83" t="str">
            <v>INTENSIVE CARE UNIT</v>
          </cell>
          <cell r="I83" t="str">
            <v>05IC115</v>
          </cell>
          <cell r="J83" t="str">
            <v>ICU RM 4</v>
          </cell>
          <cell r="K83" t="str">
            <v>BMED</v>
          </cell>
          <cell r="L83" t="str">
            <v>Normal</v>
          </cell>
          <cell r="N83" t="str">
            <v>BENEFUSION NSP</v>
          </cell>
          <cell r="O83" t="str">
            <v>TCI&amp;TIVA</v>
          </cell>
          <cell r="P83" t="str">
            <v>SG1-39016070</v>
          </cell>
          <cell r="R83" t="str">
            <v>SHENZEN MINDRAY SCIENTIFIC CO. LTD</v>
          </cell>
          <cell r="S83" t="str">
            <v>SCHMIDT BIOMEDTECH SDN BHD</v>
          </cell>
          <cell r="T83" t="str">
            <v>Functioning</v>
          </cell>
          <cell r="U83" t="str">
            <v>Asset</v>
          </cell>
          <cell r="V83">
            <v>12000</v>
          </cell>
          <cell r="W83" t="str">
            <v>KEW</v>
          </cell>
          <cell r="X83">
            <v>45236</v>
          </cell>
          <cell r="Y83" t="str">
            <v>KEW</v>
          </cell>
          <cell r="Z83">
            <v>45236</v>
          </cell>
          <cell r="AA83">
            <v>45966</v>
          </cell>
          <cell r="AB83" t="str">
            <v>YES</v>
          </cell>
          <cell r="AC83">
            <v>45236</v>
          </cell>
          <cell r="AD83" t="str">
            <v>GOOD</v>
          </cell>
          <cell r="AE83" t="str">
            <v>V3 - Added Installed Facilities (New)</v>
          </cell>
          <cell r="AF83">
            <v>45251</v>
          </cell>
          <cell r="AG83" t="str">
            <v>NA</v>
          </cell>
          <cell r="AH83" t="str">
            <v>PPM</v>
          </cell>
          <cell r="AI83" t="str">
            <v>Strands</v>
          </cell>
          <cell r="AJ83" t="str">
            <v>Proposed for V3 P2.23</v>
          </cell>
          <cell r="AK83" t="str">
            <v>SNF received on November 2023.</v>
          </cell>
        </row>
        <row r="84">
          <cell r="A84" t="str">
            <v>IKN402151</v>
          </cell>
          <cell r="B84">
            <v>1806</v>
          </cell>
          <cell r="C84" t="str">
            <v>Institut Kanser Negara</v>
          </cell>
          <cell r="D84" t="str">
            <v>KKM/IKN/H/22/109</v>
          </cell>
          <cell r="E84" t="str">
            <v>15-709</v>
          </cell>
          <cell r="F84" t="str">
            <v>Analyzers, Laboratory, Blood Gas/pH</v>
          </cell>
          <cell r="G84" t="str">
            <v>IC</v>
          </cell>
          <cell r="H84" t="str">
            <v>INTENSIVE CARE UNIT</v>
          </cell>
          <cell r="I84" t="str">
            <v>05IC122</v>
          </cell>
          <cell r="J84" t="str">
            <v>STAT LAB</v>
          </cell>
          <cell r="K84" t="str">
            <v>BMED</v>
          </cell>
          <cell r="L84" t="str">
            <v>Normal</v>
          </cell>
          <cell r="M84" t="str">
            <v>Denmark</v>
          </cell>
          <cell r="N84" t="str">
            <v>Radiometer</v>
          </cell>
          <cell r="O84" t="str">
            <v>ABL 90</v>
          </cell>
          <cell r="P84" t="str">
            <v>092R029440010</v>
          </cell>
          <cell r="Q84" t="str">
            <v>Not Applicable</v>
          </cell>
          <cell r="R84" t="str">
            <v>Radiometer Medical ApS</v>
          </cell>
          <cell r="S84" t="str">
            <v>Anugerah Saintifik Sdn Bhd</v>
          </cell>
          <cell r="T84" t="str">
            <v>Functioning</v>
          </cell>
          <cell r="U84" t="str">
            <v>Asset</v>
          </cell>
          <cell r="V84">
            <v>49000</v>
          </cell>
          <cell r="W84" t="str">
            <v>KEW</v>
          </cell>
          <cell r="X84">
            <v>44980</v>
          </cell>
          <cell r="Y84" t="str">
            <v>KEW</v>
          </cell>
          <cell r="Z84">
            <v>44874</v>
          </cell>
          <cell r="AA84">
            <v>45239</v>
          </cell>
          <cell r="AB84" t="str">
            <v>No</v>
          </cell>
          <cell r="AC84">
            <v>44980</v>
          </cell>
          <cell r="AD84" t="str">
            <v>Good</v>
          </cell>
          <cell r="AE84" t="str">
            <v>V6</v>
          </cell>
          <cell r="AF84">
            <v>45008</v>
          </cell>
          <cell r="AG84" t="str">
            <v>NA</v>
          </cell>
          <cell r="AH84" t="str">
            <v>PPM</v>
          </cell>
          <cell r="AI84" t="str">
            <v>NA</v>
          </cell>
          <cell r="AJ84" t="str">
            <v>Strands V3 P1.23</v>
          </cell>
          <cell r="AK84" t="str">
            <v>[8/12/2023, Imran]: New IKN No., V3 P1.23.</v>
          </cell>
        </row>
        <row r="85">
          <cell r="A85" t="str">
            <v>IKN402185</v>
          </cell>
          <cell r="B85">
            <v>1831</v>
          </cell>
          <cell r="C85" t="str">
            <v>Institut Kanser Negara</v>
          </cell>
          <cell r="D85" t="str">
            <v>KKM/IKN/H/24/18</v>
          </cell>
          <cell r="E85" t="str">
            <v>16-231</v>
          </cell>
          <cell r="F85" t="str">
            <v>ECG</v>
          </cell>
          <cell r="G85" t="str">
            <v>DO</v>
          </cell>
          <cell r="H85" t="str">
            <v>DAYCARE ONCOLOGY CLINIC</v>
          </cell>
          <cell r="I85" t="str">
            <v>04DO125</v>
          </cell>
          <cell r="J85" t="str">
            <v>PROCEDURE ROOM</v>
          </cell>
          <cell r="K85" t="str">
            <v>BMED</v>
          </cell>
          <cell r="L85" t="str">
            <v>Normal</v>
          </cell>
          <cell r="M85" t="str">
            <v>USA, Assamble in China</v>
          </cell>
          <cell r="N85" t="str">
            <v>GE MAC 5</v>
          </cell>
          <cell r="O85" t="str">
            <v>MAC 5 A4</v>
          </cell>
          <cell r="P85" t="str">
            <v>SUE2420034WA</v>
          </cell>
          <cell r="R85" t="str">
            <v>GE Medical Systems Information Technologies, Inc</v>
          </cell>
          <cell r="S85" t="str">
            <v>Insan Damai Sdn Bhd</v>
          </cell>
          <cell r="T85" t="str">
            <v>Functioning</v>
          </cell>
          <cell r="U85" t="str">
            <v>Asset</v>
          </cell>
          <cell r="V85" t="str">
            <v>RM</v>
          </cell>
          <cell r="W85" t="str">
            <v>KEW</v>
          </cell>
          <cell r="X85">
            <v>45467</v>
          </cell>
          <cell r="Y85" t="str">
            <v>KEW</v>
          </cell>
          <cell r="Z85">
            <v>45474</v>
          </cell>
          <cell r="AA85">
            <v>45839</v>
          </cell>
          <cell r="AB85" t="str">
            <v>Yes</v>
          </cell>
          <cell r="AC85">
            <v>45474</v>
          </cell>
          <cell r="AD85" t="str">
            <v>Good</v>
          </cell>
          <cell r="AE85" t="str">
            <v>V3 - Added Installed Facilities (New)</v>
          </cell>
          <cell r="AF85">
            <v>45492</v>
          </cell>
          <cell r="AG85" t="str">
            <v>NA</v>
          </cell>
          <cell r="AH85" t="str">
            <v>PPM</v>
          </cell>
          <cell r="AI85" t="str">
            <v>Not in Contract</v>
          </cell>
          <cell r="AJ85" t="str">
            <v>Proposed for V3 P2.24</v>
          </cell>
          <cell r="AK85" t="str">
            <v>Accessories: 10 Lead AHA Patient Cable MAC 5 A4, Patient Interface Cable MAC 5 A4, Power Adapter 24Vdc 2.5A, Rechargeable battery MAC 5 A4, Local Made Cart Trolley MAC 5 A4</v>
          </cell>
        </row>
        <row r="86">
          <cell r="A86" t="str">
            <v>IKN402186</v>
          </cell>
          <cell r="B86">
            <v>1832</v>
          </cell>
          <cell r="C86" t="str">
            <v>Institut Kanser Negara</v>
          </cell>
          <cell r="D86" t="str">
            <v>KKM/IKN/H/24/26</v>
          </cell>
          <cell r="F86" t="str">
            <v>Defibrillator</v>
          </cell>
          <cell r="G86" t="str">
            <v>DO</v>
          </cell>
          <cell r="AC86">
            <v>45484</v>
          </cell>
          <cell r="AF86">
            <v>45512</v>
          </cell>
          <cell r="AI86" t="str">
            <v>Not in Contract</v>
          </cell>
          <cell r="AJ86" t="str">
            <v>Proposed for V3 P2.24</v>
          </cell>
          <cell r="AK86" t="str">
            <v>SNF 8/8/2024</v>
          </cell>
        </row>
        <row r="87">
          <cell r="A87" t="str">
            <v>IKN402187</v>
          </cell>
          <cell r="B87">
            <v>1833</v>
          </cell>
          <cell r="C87" t="str">
            <v>Institut Kanser Negara</v>
          </cell>
          <cell r="D87" t="str">
            <v>KKM/IKN/H/24/34</v>
          </cell>
          <cell r="F87" t="str">
            <v>Ultrasound</v>
          </cell>
          <cell r="G87" t="str">
            <v>ID</v>
          </cell>
          <cell r="H87" t="str">
            <v>IMAGING DEPARTMENT</v>
          </cell>
          <cell r="J87" t="str">
            <v>RADIOGRAPHER</v>
          </cell>
          <cell r="AB87" t="str">
            <v>No</v>
          </cell>
          <cell r="AD87" t="str">
            <v>Good</v>
          </cell>
          <cell r="AE87" t="str">
            <v>V3 - Added Installed Facilities (New)</v>
          </cell>
          <cell r="AF87">
            <v>45508</v>
          </cell>
          <cell r="AG87" t="str">
            <v>NA</v>
          </cell>
          <cell r="AH87" t="str">
            <v>PPM</v>
          </cell>
          <cell r="AI87" t="str">
            <v>NA</v>
          </cell>
          <cell r="AJ87" t="str">
            <v>TnC Anis Ultrasound 25/6/2024</v>
          </cell>
          <cell r="AK87" t="str">
            <v>SNF 2/8/2024</v>
          </cell>
        </row>
        <row r="88">
          <cell r="A88" t="str">
            <v>IKN400003</v>
          </cell>
          <cell r="B88">
            <v>3</v>
          </cell>
          <cell r="C88" t="str">
            <v>Institut Kanser Negara</v>
          </cell>
          <cell r="D88" t="str">
            <v>KKM/IKN/H/13/4932</v>
          </cell>
          <cell r="E88" t="str">
            <v>18-595</v>
          </cell>
          <cell r="F88" t="str">
            <v>Ophthalmoscopes/Otoscopes</v>
          </cell>
          <cell r="G88" t="str">
            <v>AE</v>
          </cell>
          <cell r="H88" t="str">
            <v>EMERGENCY UNIT</v>
          </cell>
          <cell r="I88" t="str">
            <v>01AE106</v>
          </cell>
          <cell r="J88" t="str">
            <v>C/E ROOM</v>
          </cell>
          <cell r="K88" t="str">
            <v>BMED</v>
          </cell>
          <cell r="L88" t="str">
            <v>Normal</v>
          </cell>
          <cell r="M88" t="str">
            <v>USA</v>
          </cell>
          <cell r="N88" t="str">
            <v>Welch Allyn</v>
          </cell>
          <cell r="O88" t="str">
            <v>Welch Allyn 71904</v>
          </cell>
          <cell r="P88" t="str">
            <v>GD0019-9</v>
          </cell>
          <cell r="Q88" t="str">
            <v>Not Applicable</v>
          </cell>
          <cell r="R88" t="str">
            <v>Welch Allyn Inc</v>
          </cell>
          <cell r="S88" t="str">
            <v>Welch Allyn Malaysia Sdn Bhd</v>
          </cell>
          <cell r="T88" t="str">
            <v>Functioning</v>
          </cell>
          <cell r="U88" t="str">
            <v>Asset</v>
          </cell>
          <cell r="V88">
            <v>4690</v>
          </cell>
          <cell r="W88" t="str">
            <v>KEW</v>
          </cell>
          <cell r="X88" t="str">
            <v>01/09/2010</v>
          </cell>
          <cell r="Y88" t="str">
            <v>KEW</v>
          </cell>
          <cell r="Z88" t="str">
            <v>16/08/2013</v>
          </cell>
          <cell r="AA88" t="str">
            <v>15/08/2015</v>
          </cell>
          <cell r="AB88" t="str">
            <v>No</v>
          </cell>
          <cell r="AC88" t="str">
            <v>31/08/2013</v>
          </cell>
          <cell r="AD88" t="str">
            <v>Good</v>
          </cell>
          <cell r="AE88" t="str">
            <v>V1 - Existing / No Claim</v>
          </cell>
          <cell r="AF88">
            <v>42800</v>
          </cell>
          <cell r="AG88">
            <v>9.17</v>
          </cell>
          <cell r="AH88" t="str">
            <v>RI</v>
          </cell>
          <cell r="AI88" t="str">
            <v>Strands</v>
          </cell>
          <cell r="AJ88" t="str">
            <v>Not under maintenance</v>
          </cell>
        </row>
        <row r="89">
          <cell r="A89" t="str">
            <v>IKN400026</v>
          </cell>
          <cell r="B89">
            <v>26</v>
          </cell>
          <cell r="C89" t="str">
            <v>Institut Kanser Negara</v>
          </cell>
          <cell r="D89" t="e">
            <v>#N/A</v>
          </cell>
          <cell r="E89" t="str">
            <v>18-595</v>
          </cell>
          <cell r="F89" t="str">
            <v>Ophthalmoscopes/Otoscopes</v>
          </cell>
          <cell r="G89" t="str">
            <v>IC</v>
          </cell>
          <cell r="H89" t="str">
            <v>INTENSIVE CARE UNIT</v>
          </cell>
          <cell r="I89" t="str">
            <v>05IC106</v>
          </cell>
          <cell r="J89" t="str">
            <v>EQ. ROOM</v>
          </cell>
          <cell r="K89" t="str">
            <v>BMED</v>
          </cell>
          <cell r="L89" t="str">
            <v>Normal</v>
          </cell>
          <cell r="M89" t="str">
            <v>USA</v>
          </cell>
          <cell r="N89" t="str">
            <v>Welch Allyn</v>
          </cell>
          <cell r="O89" t="str">
            <v>Welch Allyn 97150-BIM</v>
          </cell>
          <cell r="P89" t="str">
            <v>GD0019-30</v>
          </cell>
          <cell r="Q89" t="str">
            <v>Not Applicable</v>
          </cell>
          <cell r="R89" t="str">
            <v>Welch Allyn Inc</v>
          </cell>
          <cell r="S89" t="str">
            <v>Welch Allyn Malaysia Sdn Bhd</v>
          </cell>
          <cell r="T89" t="str">
            <v>Functioning</v>
          </cell>
          <cell r="U89" t="str">
            <v>Asset</v>
          </cell>
          <cell r="V89">
            <v>4690</v>
          </cell>
          <cell r="W89" t="str">
            <v>KEW</v>
          </cell>
          <cell r="X89" t="str">
            <v>01/09/2010</v>
          </cell>
          <cell r="Y89" t="str">
            <v>KEW</v>
          </cell>
          <cell r="Z89" t="str">
            <v>16/08/2013</v>
          </cell>
          <cell r="AA89" t="str">
            <v>15/08/2015</v>
          </cell>
          <cell r="AB89" t="str">
            <v>No</v>
          </cell>
          <cell r="AC89" t="str">
            <v>31/08/2013</v>
          </cell>
          <cell r="AD89" t="str">
            <v>Good</v>
          </cell>
          <cell r="AE89" t="str">
            <v>V1 - Existing / No Claim</v>
          </cell>
          <cell r="AF89">
            <v>42235</v>
          </cell>
          <cell r="AG89">
            <v>9.17</v>
          </cell>
          <cell r="AH89" t="str">
            <v>RI</v>
          </cell>
          <cell r="AI89" t="str">
            <v>Not in contract</v>
          </cell>
          <cell r="AJ89" t="str">
            <v>Not under maintenance</v>
          </cell>
          <cell r="AK89" t="str">
            <v>Will be under V4. Taken out of contract as agreed by IKN</v>
          </cell>
        </row>
        <row r="90">
          <cell r="A90" t="str">
            <v>IKN400027</v>
          </cell>
          <cell r="B90">
            <v>27</v>
          </cell>
          <cell r="C90" t="str">
            <v>Institut Kanser Negara</v>
          </cell>
          <cell r="D90" t="e">
            <v>#N/A</v>
          </cell>
          <cell r="E90" t="str">
            <v>18-595</v>
          </cell>
          <cell r="F90" t="str">
            <v>Ophthalmoscopes/Otoscopes</v>
          </cell>
          <cell r="G90" t="str">
            <v>IC</v>
          </cell>
          <cell r="H90" t="str">
            <v>INTENSIVE CARE UNIT</v>
          </cell>
          <cell r="I90" t="str">
            <v>05IC106</v>
          </cell>
          <cell r="J90" t="str">
            <v>EQ. ROOM</v>
          </cell>
          <cell r="K90" t="str">
            <v>BMED</v>
          </cell>
          <cell r="L90" t="str">
            <v>Normal</v>
          </cell>
          <cell r="M90" t="str">
            <v>USA</v>
          </cell>
          <cell r="N90" t="str">
            <v>Welch Allyn</v>
          </cell>
          <cell r="O90" t="str">
            <v>Welch Allyn 97150-BIM</v>
          </cell>
          <cell r="P90" t="str">
            <v>GD0019-21</v>
          </cell>
          <cell r="Q90" t="str">
            <v>Not Applicable</v>
          </cell>
          <cell r="R90" t="str">
            <v>Welch Allyn Inc</v>
          </cell>
          <cell r="S90" t="str">
            <v>Welch Allyn Malaysia Sdn Bhd</v>
          </cell>
          <cell r="T90" t="str">
            <v>Functioning</v>
          </cell>
          <cell r="U90" t="str">
            <v>Asset</v>
          </cell>
          <cell r="V90">
            <v>4690</v>
          </cell>
          <cell r="W90" t="str">
            <v>KEW</v>
          </cell>
          <cell r="X90" t="str">
            <v>01/09/2010</v>
          </cell>
          <cell r="Y90" t="str">
            <v>KEW</v>
          </cell>
          <cell r="Z90" t="str">
            <v>16/08/2013</v>
          </cell>
          <cell r="AA90" t="str">
            <v>15/08/2015</v>
          </cell>
          <cell r="AB90" t="str">
            <v>No</v>
          </cell>
          <cell r="AC90" t="str">
            <v>31/08/2013</v>
          </cell>
          <cell r="AD90" t="str">
            <v>Good</v>
          </cell>
          <cell r="AE90" t="str">
            <v>V1 - Existing / No Claim</v>
          </cell>
          <cell r="AF90">
            <v>42235</v>
          </cell>
          <cell r="AG90">
            <v>9.17</v>
          </cell>
          <cell r="AH90" t="str">
            <v>RI</v>
          </cell>
          <cell r="AI90" t="str">
            <v>Not in contract</v>
          </cell>
          <cell r="AJ90" t="str">
            <v>Not under maintenance</v>
          </cell>
          <cell r="AK90" t="str">
            <v>Will be under V4. Taken out of contract as agreed by IKN</v>
          </cell>
        </row>
        <row r="91">
          <cell r="A91" t="str">
            <v>IKN400028</v>
          </cell>
          <cell r="B91">
            <v>28</v>
          </cell>
          <cell r="C91" t="str">
            <v>Institut Kanser Negara</v>
          </cell>
          <cell r="D91" t="e">
            <v>#N/A</v>
          </cell>
          <cell r="E91" t="str">
            <v>18-595</v>
          </cell>
          <cell r="F91" t="str">
            <v>Ophthalmoscopes/Otoscopes</v>
          </cell>
          <cell r="G91" t="str">
            <v>IC</v>
          </cell>
          <cell r="H91" t="str">
            <v>INTENSIVE CARE UNIT</v>
          </cell>
          <cell r="I91" t="str">
            <v>05IC106</v>
          </cell>
          <cell r="J91" t="str">
            <v>EQ. ROOM</v>
          </cell>
          <cell r="K91" t="str">
            <v>BMED</v>
          </cell>
          <cell r="L91" t="str">
            <v>Normal</v>
          </cell>
          <cell r="M91" t="str">
            <v>USA</v>
          </cell>
          <cell r="N91" t="str">
            <v>Welch Allyn</v>
          </cell>
          <cell r="O91" t="str">
            <v>Welch Allyn 97150-BIM</v>
          </cell>
          <cell r="P91" t="str">
            <v>GD0019-44</v>
          </cell>
          <cell r="Q91" t="str">
            <v>Not Applicable</v>
          </cell>
          <cell r="R91" t="str">
            <v>Welch Allyn Inc</v>
          </cell>
          <cell r="S91" t="str">
            <v>Welch Allyn Malaysia Sdn Bhd</v>
          </cell>
          <cell r="T91" t="str">
            <v>Functioning</v>
          </cell>
          <cell r="U91" t="str">
            <v>Asset</v>
          </cell>
          <cell r="V91">
            <v>4690</v>
          </cell>
          <cell r="W91" t="str">
            <v>KEW</v>
          </cell>
          <cell r="X91" t="str">
            <v>01/09/2010</v>
          </cell>
          <cell r="Y91" t="str">
            <v>KEW</v>
          </cell>
          <cell r="Z91" t="str">
            <v>16/08/2013</v>
          </cell>
          <cell r="AA91" t="str">
            <v>15/08/2015</v>
          </cell>
          <cell r="AB91" t="str">
            <v>No</v>
          </cell>
          <cell r="AC91" t="str">
            <v>31/08/2013</v>
          </cell>
          <cell r="AD91" t="str">
            <v>Good</v>
          </cell>
          <cell r="AE91" t="str">
            <v>V1 - Existing / No Claim</v>
          </cell>
          <cell r="AF91">
            <v>42235</v>
          </cell>
          <cell r="AG91">
            <v>9.17</v>
          </cell>
          <cell r="AH91" t="str">
            <v>RI</v>
          </cell>
          <cell r="AI91" t="str">
            <v>Not in contract</v>
          </cell>
          <cell r="AJ91" t="str">
            <v>Not under maintenance</v>
          </cell>
          <cell r="AK91" t="str">
            <v>Will be under V4. Taken out of contract as agreed by IKN</v>
          </cell>
        </row>
        <row r="92">
          <cell r="A92" t="str">
            <v>IKN400081</v>
          </cell>
          <cell r="B92">
            <v>81</v>
          </cell>
          <cell r="C92" t="str">
            <v>Institut Kanser Negara</v>
          </cell>
          <cell r="D92" t="str">
            <v>KKM/IKN/H/13/1624</v>
          </cell>
          <cell r="E92" t="str">
            <v>18-595</v>
          </cell>
          <cell r="F92" t="str">
            <v>Ophthalmoscopes/Otoscopes</v>
          </cell>
          <cell r="G92" t="str">
            <v>IC</v>
          </cell>
          <cell r="H92" t="str">
            <v>INTENSIVE CARE UNIT</v>
          </cell>
          <cell r="I92" t="str">
            <v>05IC106</v>
          </cell>
          <cell r="J92" t="str">
            <v>EQ. ROOM</v>
          </cell>
          <cell r="K92" t="str">
            <v>BMED</v>
          </cell>
          <cell r="L92" t="str">
            <v>Normal</v>
          </cell>
          <cell r="M92" t="str">
            <v>USA</v>
          </cell>
          <cell r="N92" t="str">
            <v>Welch Allyn</v>
          </cell>
          <cell r="O92" t="str">
            <v>Welch Allyn 97150-BIM</v>
          </cell>
          <cell r="P92" t="str">
            <v>GD0019-23</v>
          </cell>
          <cell r="Q92" t="str">
            <v>Not Applicable</v>
          </cell>
          <cell r="R92" t="str">
            <v>Welch Allyn Inc</v>
          </cell>
          <cell r="S92" t="str">
            <v>Welch Allyn Malaysia Sdn Bhd</v>
          </cell>
          <cell r="T92" t="str">
            <v>Functioning</v>
          </cell>
          <cell r="U92" t="str">
            <v>Asset</v>
          </cell>
          <cell r="V92">
            <v>4690</v>
          </cell>
          <cell r="W92" t="str">
            <v>KEW</v>
          </cell>
          <cell r="X92" t="str">
            <v>01/09/2010</v>
          </cell>
          <cell r="Y92" t="str">
            <v>KEW</v>
          </cell>
          <cell r="Z92" t="str">
            <v>16/08/2013</v>
          </cell>
          <cell r="AA92" t="str">
            <v>15/08/2015</v>
          </cell>
          <cell r="AB92" t="str">
            <v>No</v>
          </cell>
          <cell r="AC92" t="str">
            <v>31/08/2013</v>
          </cell>
          <cell r="AD92" t="str">
            <v>Good</v>
          </cell>
          <cell r="AE92" t="str">
            <v>V1 - Existing / No Claim</v>
          </cell>
          <cell r="AF92">
            <v>42235</v>
          </cell>
          <cell r="AG92">
            <v>9.17</v>
          </cell>
          <cell r="AH92" t="str">
            <v>RI</v>
          </cell>
          <cell r="AI92" t="str">
            <v>Strands</v>
          </cell>
          <cell r="AJ92" t="str">
            <v>Not under maintenance</v>
          </cell>
        </row>
        <row r="93">
          <cell r="A93" t="str">
            <v>IKN400166</v>
          </cell>
          <cell r="B93">
            <v>166</v>
          </cell>
          <cell r="C93" t="str">
            <v>Institut Kanser Negara</v>
          </cell>
          <cell r="D93" t="e">
            <v>#N/A</v>
          </cell>
          <cell r="E93" t="str">
            <v>18-595</v>
          </cell>
          <cell r="F93" t="str">
            <v>Ophthalmoscopes/Otoscopes</v>
          </cell>
          <cell r="G93" t="str">
            <v>IC</v>
          </cell>
          <cell r="H93" t="str">
            <v>INTENSIVE CARE UNIT</v>
          </cell>
          <cell r="I93" t="str">
            <v>05IC106</v>
          </cell>
          <cell r="J93" t="str">
            <v>EQ. ROOM</v>
          </cell>
          <cell r="K93" t="str">
            <v>BMED</v>
          </cell>
          <cell r="L93" t="str">
            <v>Normal</v>
          </cell>
          <cell r="M93" t="str">
            <v>USA</v>
          </cell>
          <cell r="N93" t="str">
            <v>Welch Allyn</v>
          </cell>
          <cell r="O93" t="str">
            <v>Welch Allyn 97150-BIM</v>
          </cell>
          <cell r="P93" t="str">
            <v>GD0019-31</v>
          </cell>
          <cell r="Q93" t="str">
            <v>Not Applicable</v>
          </cell>
          <cell r="R93" t="str">
            <v>Welch Allyn Inc</v>
          </cell>
          <cell r="S93" t="str">
            <v>Welch Allyn Malaysia Sdn Bhd</v>
          </cell>
          <cell r="T93" t="str">
            <v>Functioning</v>
          </cell>
          <cell r="U93" t="str">
            <v>Asset</v>
          </cell>
          <cell r="V93">
            <v>4690</v>
          </cell>
          <cell r="W93" t="str">
            <v>KEW</v>
          </cell>
          <cell r="X93" t="str">
            <v>01/09/2010</v>
          </cell>
          <cell r="Y93" t="str">
            <v>KEW</v>
          </cell>
          <cell r="Z93" t="str">
            <v>16/08/2013</v>
          </cell>
          <cell r="AA93" t="str">
            <v>15/08/2015</v>
          </cell>
          <cell r="AB93" t="str">
            <v>No</v>
          </cell>
          <cell r="AC93" t="str">
            <v>31/08/2013</v>
          </cell>
          <cell r="AD93" t="str">
            <v>Good</v>
          </cell>
          <cell r="AE93" t="str">
            <v>V1 - Existing / No Claim</v>
          </cell>
          <cell r="AF93">
            <v>42235</v>
          </cell>
          <cell r="AG93">
            <v>9.17</v>
          </cell>
          <cell r="AH93" t="str">
            <v>RI</v>
          </cell>
          <cell r="AI93" t="str">
            <v>Not in contract</v>
          </cell>
          <cell r="AJ93" t="str">
            <v>Not under maintenance</v>
          </cell>
          <cell r="AK93" t="str">
            <v>Will be under V4. Taken out of contract as agreed by IKN</v>
          </cell>
        </row>
        <row r="94">
          <cell r="A94" t="str">
            <v>IKN400207</v>
          </cell>
          <cell r="B94">
            <v>207</v>
          </cell>
          <cell r="C94" t="str">
            <v>Institut Kanser Negara</v>
          </cell>
          <cell r="D94" t="e">
            <v>#N/A</v>
          </cell>
          <cell r="E94" t="str">
            <v>16-158</v>
          </cell>
          <cell r="F94" t="str">
            <v>Sphygmomanometers, Mercury</v>
          </cell>
          <cell r="G94" t="str">
            <v>WJ</v>
          </cell>
          <cell r="H94" t="str">
            <v>MULTIDISCIPLINE WARD 1</v>
          </cell>
          <cell r="I94" t="str">
            <v>09WJ130</v>
          </cell>
          <cell r="J94" t="str">
            <v>TREATMENT/ PROCEDURE</v>
          </cell>
          <cell r="K94" t="str">
            <v>BMED</v>
          </cell>
          <cell r="L94" t="str">
            <v>Normal</v>
          </cell>
          <cell r="M94" t="str">
            <v>Germany</v>
          </cell>
          <cell r="N94" t="str">
            <v>Erka</v>
          </cell>
          <cell r="O94" t="str">
            <v>Erkameter 3000</v>
          </cell>
          <cell r="P94" t="str">
            <v>13500746</v>
          </cell>
          <cell r="Q94" t="str">
            <v>Not Applicable</v>
          </cell>
          <cell r="R94" t="str">
            <v>Erka GmbH &amp; Co</v>
          </cell>
          <cell r="S94" t="str">
            <v>Acucare Systems (M) Sdn bhd</v>
          </cell>
          <cell r="T94" t="str">
            <v>Functioning</v>
          </cell>
          <cell r="U94" t="str">
            <v>Asset</v>
          </cell>
          <cell r="V94">
            <v>505</v>
          </cell>
          <cell r="W94" t="str">
            <v>KEW</v>
          </cell>
          <cell r="X94" t="str">
            <v>01/09/2010</v>
          </cell>
          <cell r="Y94" t="str">
            <v>KEW</v>
          </cell>
          <cell r="Z94" t="str">
            <v>16/08/2013</v>
          </cell>
          <cell r="AA94" t="str">
            <v>15/08/2015</v>
          </cell>
          <cell r="AB94" t="str">
            <v>No</v>
          </cell>
          <cell r="AC94" t="str">
            <v>31/08/2013</v>
          </cell>
          <cell r="AD94" t="str">
            <v>Good</v>
          </cell>
          <cell r="AE94" t="str">
            <v>V4 - Decommissioned Installed Facility</v>
          </cell>
          <cell r="AF94">
            <v>42235</v>
          </cell>
          <cell r="AG94">
            <v>9.17</v>
          </cell>
          <cell r="AH94" t="str">
            <v>PPM</v>
          </cell>
          <cell r="AI94" t="str">
            <v>Not in contract</v>
          </cell>
          <cell r="AJ94" t="str">
            <v>Not under maintenance</v>
          </cell>
          <cell r="AK94" t="e">
            <v>#N/A</v>
          </cell>
        </row>
        <row r="95">
          <cell r="A95" t="str">
            <v>IKN400219</v>
          </cell>
          <cell r="B95">
            <v>219</v>
          </cell>
          <cell r="C95" t="str">
            <v>Institut Kanser Negara</v>
          </cell>
          <cell r="D95" t="e">
            <v>#N/A</v>
          </cell>
          <cell r="E95" t="str">
            <v>16-158</v>
          </cell>
          <cell r="F95" t="str">
            <v>Sphygmomanometers, Mercury</v>
          </cell>
          <cell r="G95" t="str">
            <v>WJ</v>
          </cell>
          <cell r="H95" t="str">
            <v>MULTIDISCIPLINE WARD 1</v>
          </cell>
          <cell r="I95" t="str">
            <v>09WJ222</v>
          </cell>
          <cell r="J95" t="str">
            <v>TREATMENT</v>
          </cell>
          <cell r="K95" t="str">
            <v>BMED</v>
          </cell>
          <cell r="L95" t="str">
            <v>Normal</v>
          </cell>
          <cell r="M95" t="str">
            <v>Germany</v>
          </cell>
          <cell r="N95" t="str">
            <v>Erka</v>
          </cell>
          <cell r="O95" t="str">
            <v>Erkameter 3000</v>
          </cell>
          <cell r="P95" t="str">
            <v>13500749</v>
          </cell>
          <cell r="Q95" t="str">
            <v>Not Applicable</v>
          </cell>
          <cell r="R95" t="str">
            <v>Erka GmbH &amp; Co</v>
          </cell>
          <cell r="S95" t="str">
            <v>Acucare Systems (M) Sdn bhd</v>
          </cell>
          <cell r="T95" t="str">
            <v>Functioning</v>
          </cell>
          <cell r="U95" t="str">
            <v>Asset</v>
          </cell>
          <cell r="V95">
            <v>505</v>
          </cell>
          <cell r="W95" t="str">
            <v>KEW</v>
          </cell>
          <cell r="X95" t="str">
            <v>01/09/2010</v>
          </cell>
          <cell r="Y95" t="str">
            <v>KEW</v>
          </cell>
          <cell r="Z95" t="str">
            <v>16/08/2013</v>
          </cell>
          <cell r="AA95" t="str">
            <v>15/08/2015</v>
          </cell>
          <cell r="AB95" t="str">
            <v>No</v>
          </cell>
          <cell r="AC95" t="str">
            <v>31/08/2013</v>
          </cell>
          <cell r="AD95" t="str">
            <v>Good</v>
          </cell>
          <cell r="AE95" t="str">
            <v>V4 - Decommissioned Installed Facility</v>
          </cell>
          <cell r="AF95">
            <v>42235</v>
          </cell>
          <cell r="AG95">
            <v>9.17</v>
          </cell>
          <cell r="AH95" t="str">
            <v>PPM</v>
          </cell>
          <cell r="AI95" t="str">
            <v>Not in contract</v>
          </cell>
          <cell r="AJ95" t="str">
            <v>Not under maintenance</v>
          </cell>
          <cell r="AK95" t="e">
            <v>#N/A</v>
          </cell>
        </row>
        <row r="96">
          <cell r="A96" t="str">
            <v>IKN400220</v>
          </cell>
          <cell r="B96">
            <v>220</v>
          </cell>
          <cell r="C96" t="str">
            <v>Institut Kanser Negara</v>
          </cell>
          <cell r="D96" t="e">
            <v>#N/A</v>
          </cell>
          <cell r="E96" t="str">
            <v>18-595</v>
          </cell>
          <cell r="F96" t="str">
            <v>Ophthalmoscopes/Otoscopes</v>
          </cell>
          <cell r="G96" t="str">
            <v>WJ</v>
          </cell>
          <cell r="H96" t="str">
            <v>MULTIDISCIPLINE WARD 1</v>
          </cell>
          <cell r="I96" t="str">
            <v>09WJ222</v>
          </cell>
          <cell r="J96" t="str">
            <v>TREATMENT</v>
          </cell>
          <cell r="K96" t="str">
            <v>BMED</v>
          </cell>
          <cell r="L96" t="str">
            <v>Normal</v>
          </cell>
          <cell r="M96" t="str">
            <v>USA</v>
          </cell>
          <cell r="N96" t="str">
            <v>Welch Allyn</v>
          </cell>
          <cell r="O96" t="str">
            <v>Welch Allyn 71904</v>
          </cell>
          <cell r="P96" t="str">
            <v>GD0019-19</v>
          </cell>
          <cell r="Q96" t="str">
            <v>Not Applicable</v>
          </cell>
          <cell r="R96" t="str">
            <v>Welch Allyn Inc</v>
          </cell>
          <cell r="S96" t="str">
            <v>Welch Allyn Malaysia Sdn Bhd</v>
          </cell>
          <cell r="T96" t="str">
            <v>Functioning</v>
          </cell>
          <cell r="U96" t="str">
            <v>Asset</v>
          </cell>
          <cell r="V96">
            <v>4690</v>
          </cell>
          <cell r="W96" t="str">
            <v>KEW</v>
          </cell>
          <cell r="X96" t="str">
            <v>01/09/2010</v>
          </cell>
          <cell r="Y96" t="str">
            <v>KEW</v>
          </cell>
          <cell r="Z96" t="str">
            <v>16/08/2013</v>
          </cell>
          <cell r="AA96" t="str">
            <v>15/08/2015</v>
          </cell>
          <cell r="AB96" t="str">
            <v>No</v>
          </cell>
          <cell r="AC96" t="str">
            <v>31/08/2013</v>
          </cell>
          <cell r="AD96" t="str">
            <v>Good</v>
          </cell>
          <cell r="AE96" t="str">
            <v>V1 - Existing / No Claim</v>
          </cell>
          <cell r="AF96">
            <v>42944</v>
          </cell>
          <cell r="AG96">
            <v>9.17</v>
          </cell>
          <cell r="AH96" t="str">
            <v>RI</v>
          </cell>
          <cell r="AI96" t="str">
            <v>Not in contract</v>
          </cell>
          <cell r="AJ96" t="str">
            <v>Not under maintenance</v>
          </cell>
          <cell r="AK96" t="str">
            <v>Will be under V4. Taken out of contract as agreed by IKN</v>
          </cell>
        </row>
        <row r="97">
          <cell r="A97" t="str">
            <v>IKN400272</v>
          </cell>
          <cell r="B97">
            <v>272</v>
          </cell>
          <cell r="C97" t="str">
            <v>Institut Kanser Negara</v>
          </cell>
          <cell r="D97" t="str">
            <v>KKM/IKN/H/13/2561</v>
          </cell>
          <cell r="E97" t="str">
            <v>18-595</v>
          </cell>
          <cell r="F97" t="str">
            <v>Ophthalmoscopes/Otoscopes</v>
          </cell>
          <cell r="G97" t="str">
            <v>WG</v>
          </cell>
          <cell r="H97" t="str">
            <v>RT/ONCO WARD 1 (M)</v>
          </cell>
          <cell r="I97" t="str">
            <v>08WG107</v>
          </cell>
          <cell r="J97" t="str">
            <v>TREATMENT / PROCEDURE</v>
          </cell>
          <cell r="K97" t="str">
            <v>BMED</v>
          </cell>
          <cell r="L97" t="str">
            <v>Normal</v>
          </cell>
          <cell r="M97" t="str">
            <v>USA</v>
          </cell>
          <cell r="N97" t="str">
            <v>Welch Allyn</v>
          </cell>
          <cell r="O97" t="str">
            <v>Welch Allyn 71904</v>
          </cell>
          <cell r="P97" t="str">
            <v>GD0019-17</v>
          </cell>
          <cell r="Q97" t="str">
            <v>Not Applicable</v>
          </cell>
          <cell r="R97" t="str">
            <v>Welch Allyn Inc</v>
          </cell>
          <cell r="S97" t="str">
            <v>Welch Allyn Malaysia Sdn Bhd</v>
          </cell>
          <cell r="T97" t="str">
            <v>Functioning</v>
          </cell>
          <cell r="U97" t="str">
            <v>Asset</v>
          </cell>
          <cell r="V97">
            <v>4690</v>
          </cell>
          <cell r="W97" t="str">
            <v>KEW</v>
          </cell>
          <cell r="X97" t="str">
            <v>01/09/2010</v>
          </cell>
          <cell r="Y97" t="str">
            <v>KEW</v>
          </cell>
          <cell r="Z97" t="str">
            <v>16/08/2013</v>
          </cell>
          <cell r="AA97" t="str">
            <v>15/08/2015</v>
          </cell>
          <cell r="AB97" t="str">
            <v>No</v>
          </cell>
          <cell r="AC97" t="str">
            <v>31/08/2013</v>
          </cell>
          <cell r="AD97" t="str">
            <v>Good</v>
          </cell>
          <cell r="AE97" t="str">
            <v>V1 - Existing / No Claim</v>
          </cell>
          <cell r="AF97">
            <v>42235</v>
          </cell>
          <cell r="AG97">
            <v>9.17</v>
          </cell>
          <cell r="AH97" t="str">
            <v>RI</v>
          </cell>
          <cell r="AI97" t="str">
            <v>Strands</v>
          </cell>
          <cell r="AJ97" t="str">
            <v>Not under maintenance</v>
          </cell>
        </row>
        <row r="98">
          <cell r="A98" t="str">
            <v>IKN400273</v>
          </cell>
          <cell r="B98">
            <v>273</v>
          </cell>
          <cell r="C98" t="str">
            <v>Institut Kanser Negara</v>
          </cell>
          <cell r="D98" t="e">
            <v>#N/A</v>
          </cell>
          <cell r="E98" t="str">
            <v>16-158</v>
          </cell>
          <cell r="F98" t="str">
            <v>Sphygmomanometers, Mercury</v>
          </cell>
          <cell r="G98" t="str">
            <v>WJ</v>
          </cell>
          <cell r="H98" t="str">
            <v>MULTIDISCIPLINE WARD 1</v>
          </cell>
          <cell r="I98" t="str">
            <v>09WJ126</v>
          </cell>
          <cell r="J98" t="str">
            <v>EQUIPT. ROOM</v>
          </cell>
          <cell r="K98" t="str">
            <v>BMED</v>
          </cell>
          <cell r="L98" t="str">
            <v>Normal</v>
          </cell>
          <cell r="M98" t="str">
            <v>Germany</v>
          </cell>
          <cell r="N98" t="str">
            <v>Erka</v>
          </cell>
          <cell r="O98" t="str">
            <v>Erkameter 3000</v>
          </cell>
          <cell r="P98" t="str">
            <v>12508913</v>
          </cell>
          <cell r="Q98" t="str">
            <v>Not Applicable</v>
          </cell>
          <cell r="R98" t="str">
            <v>Erka GmbH &amp; Co</v>
          </cell>
          <cell r="S98" t="str">
            <v>Acucare Systems (M) Sdn bhd</v>
          </cell>
          <cell r="T98" t="str">
            <v>Functioning</v>
          </cell>
          <cell r="U98" t="str">
            <v>Asset</v>
          </cell>
          <cell r="V98">
            <v>505</v>
          </cell>
          <cell r="W98" t="str">
            <v>KEW</v>
          </cell>
          <cell r="X98" t="str">
            <v>01/09/2010</v>
          </cell>
          <cell r="Y98" t="str">
            <v>KEW</v>
          </cell>
          <cell r="Z98" t="str">
            <v>16/08/2013</v>
          </cell>
          <cell r="AA98" t="str">
            <v>15/08/2015</v>
          </cell>
          <cell r="AB98" t="str">
            <v>No</v>
          </cell>
          <cell r="AC98" t="str">
            <v>31/08/2013</v>
          </cell>
          <cell r="AD98" t="str">
            <v>Good</v>
          </cell>
          <cell r="AE98" t="str">
            <v>V4 - Decommissioned Installed Facility</v>
          </cell>
          <cell r="AF98">
            <v>42235</v>
          </cell>
          <cell r="AG98">
            <v>9.17</v>
          </cell>
          <cell r="AH98" t="str">
            <v>PPM</v>
          </cell>
          <cell r="AI98" t="str">
            <v>Not in contract</v>
          </cell>
          <cell r="AJ98" t="str">
            <v>Not under maintenance</v>
          </cell>
          <cell r="AK98" t="e">
            <v>#N/A</v>
          </cell>
        </row>
        <row r="99">
          <cell r="A99" t="str">
            <v>IKN400274</v>
          </cell>
          <cell r="B99">
            <v>274</v>
          </cell>
          <cell r="C99" t="str">
            <v>Institut Kanser Negara</v>
          </cell>
          <cell r="D99" t="e">
            <v>#N/A</v>
          </cell>
          <cell r="E99" t="str">
            <v>16-158</v>
          </cell>
          <cell r="F99" t="str">
            <v>Sphygmomanometers, Mercury</v>
          </cell>
          <cell r="G99" t="str">
            <v>WJ</v>
          </cell>
          <cell r="H99" t="str">
            <v>MULTIDISCIPLINE WARD 1</v>
          </cell>
          <cell r="I99" t="str">
            <v>09WJ126</v>
          </cell>
          <cell r="J99" t="str">
            <v>EQUIPT. ROOM</v>
          </cell>
          <cell r="K99" t="str">
            <v>BMED</v>
          </cell>
          <cell r="L99" t="str">
            <v>Normal</v>
          </cell>
          <cell r="M99" t="str">
            <v>Germany</v>
          </cell>
          <cell r="N99" t="str">
            <v>Erka</v>
          </cell>
          <cell r="O99" t="str">
            <v>Erkameter 3000</v>
          </cell>
          <cell r="P99" t="str">
            <v>12508925</v>
          </cell>
          <cell r="Q99" t="str">
            <v>Not Applicable</v>
          </cell>
          <cell r="R99" t="str">
            <v>Erka GmbH &amp; Co</v>
          </cell>
          <cell r="S99" t="str">
            <v>Acucare Systems (M) Sdn bhd</v>
          </cell>
          <cell r="T99" t="str">
            <v>Functioning</v>
          </cell>
          <cell r="U99" t="str">
            <v>Asset</v>
          </cell>
          <cell r="V99">
            <v>505</v>
          </cell>
          <cell r="W99" t="str">
            <v>KEW</v>
          </cell>
          <cell r="X99" t="str">
            <v>01/09/2010</v>
          </cell>
          <cell r="Y99" t="str">
            <v>KEW</v>
          </cell>
          <cell r="Z99" t="str">
            <v>16/08/2013</v>
          </cell>
          <cell r="AA99" t="str">
            <v>15/08/2015</v>
          </cell>
          <cell r="AB99" t="str">
            <v>No</v>
          </cell>
          <cell r="AC99" t="str">
            <v>31/08/2013</v>
          </cell>
          <cell r="AD99" t="str">
            <v>Good</v>
          </cell>
          <cell r="AE99" t="str">
            <v>V4 - Decommissioned Installed Facility</v>
          </cell>
          <cell r="AF99">
            <v>42235</v>
          </cell>
          <cell r="AG99">
            <v>9.17</v>
          </cell>
          <cell r="AH99" t="str">
            <v>PPM</v>
          </cell>
          <cell r="AI99" t="str">
            <v>Not in contract</v>
          </cell>
          <cell r="AJ99" t="str">
            <v>Not under maintenance</v>
          </cell>
          <cell r="AK99" t="e">
            <v>#N/A</v>
          </cell>
        </row>
        <row r="100">
          <cell r="A100" t="str">
            <v>IKN400275</v>
          </cell>
          <cell r="B100">
            <v>275</v>
          </cell>
          <cell r="C100" t="str">
            <v>Institut Kanser Negara</v>
          </cell>
          <cell r="D100" t="str">
            <v>KKM/IKN/H/13/3167</v>
          </cell>
          <cell r="E100" t="str">
            <v>18-595</v>
          </cell>
          <cell r="F100" t="str">
            <v>Ophthalmoscopes/Otoscopes</v>
          </cell>
          <cell r="G100" t="str">
            <v>WH</v>
          </cell>
          <cell r="H100" t="str">
            <v>RT/ONCO WARD 2 (M)</v>
          </cell>
          <cell r="I100" t="str">
            <v>08WH107</v>
          </cell>
          <cell r="J100" t="str">
            <v>TREATMENT / PROCEDURE</v>
          </cell>
          <cell r="K100" t="str">
            <v>BMED</v>
          </cell>
          <cell r="L100" t="str">
            <v>Normal</v>
          </cell>
          <cell r="M100" t="str">
            <v>USA</v>
          </cell>
          <cell r="N100" t="str">
            <v>Welch Allyn</v>
          </cell>
          <cell r="O100" t="str">
            <v>Welch Allyn 71904</v>
          </cell>
          <cell r="P100" t="str">
            <v>GD0019-18</v>
          </cell>
          <cell r="Q100" t="str">
            <v>Not Applicable</v>
          </cell>
          <cell r="R100" t="str">
            <v>Welch Allyn Inc</v>
          </cell>
          <cell r="S100" t="str">
            <v>Welch Allyn Malaysia Sdn Bhd</v>
          </cell>
          <cell r="T100" t="str">
            <v>Functioning</v>
          </cell>
          <cell r="U100" t="str">
            <v>Asset</v>
          </cell>
          <cell r="V100">
            <v>4690</v>
          </cell>
          <cell r="W100" t="str">
            <v>KEW</v>
          </cell>
          <cell r="X100" t="str">
            <v>01/09/2010</v>
          </cell>
          <cell r="Y100" t="str">
            <v>KEW</v>
          </cell>
          <cell r="Z100" t="str">
            <v>16/08/2013</v>
          </cell>
          <cell r="AA100" t="str">
            <v>15/08/2015</v>
          </cell>
          <cell r="AB100" t="str">
            <v>No</v>
          </cell>
          <cell r="AC100" t="str">
            <v>31/08/2013</v>
          </cell>
          <cell r="AD100" t="str">
            <v>Good</v>
          </cell>
          <cell r="AE100" t="str">
            <v>V1 - Existing / No Claim</v>
          </cell>
          <cell r="AF100">
            <v>43033</v>
          </cell>
          <cell r="AG100">
            <v>9.17</v>
          </cell>
          <cell r="AH100" t="str">
            <v>RI</v>
          </cell>
          <cell r="AI100" t="str">
            <v>Strands</v>
          </cell>
          <cell r="AJ100" t="str">
            <v>Not under maintenance</v>
          </cell>
        </row>
        <row r="101">
          <cell r="A101" t="str">
            <v>IKN400314</v>
          </cell>
          <cell r="B101">
            <v>314</v>
          </cell>
          <cell r="C101" t="str">
            <v>Institut Kanser Negara</v>
          </cell>
          <cell r="D101" t="str">
            <v>KKM/IKN/H/13/2460</v>
          </cell>
          <cell r="E101" t="str">
            <v>18-595</v>
          </cell>
          <cell r="F101" t="str">
            <v>Ophthalmoscopes/Otoscopes</v>
          </cell>
          <cell r="G101" t="str">
            <v>WF</v>
          </cell>
          <cell r="H101" t="str">
            <v>RT/ONCO WARD 2 (F)</v>
          </cell>
          <cell r="I101" t="str">
            <v>07WF107</v>
          </cell>
          <cell r="J101" t="str">
            <v>TREATMENT / PROCEDDURE</v>
          </cell>
          <cell r="K101" t="str">
            <v>BMED</v>
          </cell>
          <cell r="L101" t="str">
            <v>Normal</v>
          </cell>
          <cell r="M101" t="str">
            <v>USA</v>
          </cell>
          <cell r="N101" t="str">
            <v>Welch Allyn</v>
          </cell>
          <cell r="O101" t="str">
            <v>Welch Allyn 71904</v>
          </cell>
          <cell r="P101" t="str">
            <v>GD0019-16</v>
          </cell>
          <cell r="Q101" t="str">
            <v>Not Applicable</v>
          </cell>
          <cell r="R101" t="str">
            <v>Welch Allyn Inc</v>
          </cell>
          <cell r="S101" t="str">
            <v>Welch Allyn Malaysia Sdn Bhd</v>
          </cell>
          <cell r="T101" t="str">
            <v>Functioning</v>
          </cell>
          <cell r="U101" t="str">
            <v>Asset</v>
          </cell>
          <cell r="V101">
            <v>4690</v>
          </cell>
          <cell r="W101" t="str">
            <v>KEW</v>
          </cell>
          <cell r="X101" t="str">
            <v>01/09/2010</v>
          </cell>
          <cell r="Y101" t="str">
            <v>KEW</v>
          </cell>
          <cell r="Z101" t="str">
            <v>16/08/2013</v>
          </cell>
          <cell r="AA101" t="str">
            <v>15/08/2015</v>
          </cell>
          <cell r="AB101" t="str">
            <v>No</v>
          </cell>
          <cell r="AC101" t="str">
            <v>31/08/2013</v>
          </cell>
          <cell r="AD101" t="str">
            <v>Good</v>
          </cell>
          <cell r="AE101" t="str">
            <v>V1 - Existing / No Claim</v>
          </cell>
          <cell r="AF101">
            <v>42235</v>
          </cell>
          <cell r="AG101">
            <v>9.17</v>
          </cell>
          <cell r="AH101" t="str">
            <v>RI</v>
          </cell>
          <cell r="AI101" t="str">
            <v>Strands</v>
          </cell>
          <cell r="AJ101" t="str">
            <v>Not under maintenance</v>
          </cell>
        </row>
        <row r="102">
          <cell r="A102" t="str">
            <v>IKN400317</v>
          </cell>
          <cell r="B102">
            <v>317</v>
          </cell>
          <cell r="C102" t="str">
            <v>Institut Kanser Negara</v>
          </cell>
          <cell r="D102" t="str">
            <v>KKM/IKN/H/13/3177</v>
          </cell>
          <cell r="E102" t="str">
            <v>18-595</v>
          </cell>
          <cell r="F102" t="str">
            <v>Ophthalmoscopes/Otoscopes</v>
          </cell>
          <cell r="G102" t="str">
            <v>WF</v>
          </cell>
          <cell r="H102" t="str">
            <v>RT/ONCO WARD 2 (F)</v>
          </cell>
          <cell r="I102" t="str">
            <v>07WF107</v>
          </cell>
          <cell r="J102" t="str">
            <v>TREATMENT / PROCEDDURE</v>
          </cell>
          <cell r="K102" t="str">
            <v>BMED</v>
          </cell>
          <cell r="L102" t="str">
            <v>Normal</v>
          </cell>
          <cell r="M102" t="str">
            <v>USA</v>
          </cell>
          <cell r="N102" t="str">
            <v>Welch Allyn</v>
          </cell>
          <cell r="O102" t="str">
            <v>Welch Allyn 97150-BIM</v>
          </cell>
          <cell r="P102" t="str">
            <v>GD0019-40</v>
          </cell>
          <cell r="Q102" t="str">
            <v>Not Applicable</v>
          </cell>
          <cell r="R102" t="str">
            <v>Welch Allyn Inc</v>
          </cell>
          <cell r="S102" t="str">
            <v>Welch Allyn Malaysia Sdn Bhd</v>
          </cell>
          <cell r="T102" t="str">
            <v>Functioning</v>
          </cell>
          <cell r="U102" t="str">
            <v>Asset</v>
          </cell>
          <cell r="V102">
            <v>4690</v>
          </cell>
          <cell r="W102" t="str">
            <v>KEW</v>
          </cell>
          <cell r="X102" t="str">
            <v>01/09/2010</v>
          </cell>
          <cell r="Y102" t="str">
            <v>KEW</v>
          </cell>
          <cell r="Z102" t="str">
            <v>16/08/2013</v>
          </cell>
          <cell r="AA102" t="str">
            <v>15/08/2015</v>
          </cell>
          <cell r="AB102" t="str">
            <v>No</v>
          </cell>
          <cell r="AC102" t="str">
            <v>31/08/2013</v>
          </cell>
          <cell r="AD102" t="str">
            <v>Good</v>
          </cell>
          <cell r="AE102" t="str">
            <v>V1 - Existing / No Claim</v>
          </cell>
          <cell r="AF102">
            <v>42235</v>
          </cell>
          <cell r="AG102">
            <v>9.17</v>
          </cell>
          <cell r="AH102" t="str">
            <v>RI</v>
          </cell>
          <cell r="AI102" t="str">
            <v>Strands</v>
          </cell>
          <cell r="AJ102" t="str">
            <v>Not under maintenance</v>
          </cell>
        </row>
        <row r="103">
          <cell r="A103" t="str">
            <v>IKN400318</v>
          </cell>
          <cell r="B103">
            <v>318</v>
          </cell>
          <cell r="C103" t="str">
            <v>Institut Kanser Negara</v>
          </cell>
          <cell r="D103" t="e">
            <v>#N/A</v>
          </cell>
          <cell r="E103" t="str">
            <v>16-158</v>
          </cell>
          <cell r="F103" t="str">
            <v>Sphygmomanometers, Mercury</v>
          </cell>
          <cell r="G103" t="str">
            <v>WF</v>
          </cell>
          <cell r="H103" t="str">
            <v>RT/ONCO WARD 2 (F)</v>
          </cell>
          <cell r="I103" t="str">
            <v>07WF107</v>
          </cell>
          <cell r="J103" t="str">
            <v>TREATMENT / PROCEDDURE</v>
          </cell>
          <cell r="K103" t="str">
            <v>BMED</v>
          </cell>
          <cell r="L103" t="str">
            <v>Normal</v>
          </cell>
          <cell r="M103" t="str">
            <v>Germany</v>
          </cell>
          <cell r="N103" t="str">
            <v>Erka</v>
          </cell>
          <cell r="O103" t="str">
            <v>Erkameter 3000</v>
          </cell>
          <cell r="P103" t="str">
            <v>13500747</v>
          </cell>
          <cell r="Q103" t="str">
            <v>Not Applicable</v>
          </cell>
          <cell r="R103" t="str">
            <v>Erka GmbH &amp; Co</v>
          </cell>
          <cell r="S103" t="str">
            <v>Acucare Systems (M) Sdn bhd</v>
          </cell>
          <cell r="T103" t="str">
            <v>Functioning</v>
          </cell>
          <cell r="U103" t="str">
            <v>Asset</v>
          </cell>
          <cell r="V103">
            <v>505</v>
          </cell>
          <cell r="W103" t="str">
            <v>KEW</v>
          </cell>
          <cell r="X103" t="str">
            <v>01/09/2010</v>
          </cell>
          <cell r="Y103" t="str">
            <v>KEW</v>
          </cell>
          <cell r="Z103" t="str">
            <v>16/08/2013</v>
          </cell>
          <cell r="AA103" t="str">
            <v>15/08/2015</v>
          </cell>
          <cell r="AB103" t="str">
            <v>No</v>
          </cell>
          <cell r="AC103" t="str">
            <v>31/08/2013</v>
          </cell>
          <cell r="AD103" t="str">
            <v>Good</v>
          </cell>
          <cell r="AE103" t="str">
            <v>V4 - Decommissioned Installed Facility</v>
          </cell>
          <cell r="AF103">
            <v>42235</v>
          </cell>
          <cell r="AG103">
            <v>9.17</v>
          </cell>
          <cell r="AH103" t="str">
            <v>PPM</v>
          </cell>
          <cell r="AI103" t="str">
            <v>Not in contract</v>
          </cell>
          <cell r="AJ103" t="str">
            <v>Not under maintenance</v>
          </cell>
          <cell r="AK103" t="e">
            <v>#N/A</v>
          </cell>
        </row>
        <row r="104">
          <cell r="A104" t="str">
            <v>IKN400351</v>
          </cell>
          <cell r="B104">
            <v>351</v>
          </cell>
          <cell r="C104" t="str">
            <v>Institut Kanser Negara</v>
          </cell>
          <cell r="D104" t="e">
            <v>#N/A</v>
          </cell>
          <cell r="E104" t="str">
            <v>18-595</v>
          </cell>
          <cell r="F104" t="str">
            <v>Ophthalmoscopes/Otoscopes</v>
          </cell>
          <cell r="G104" t="str">
            <v>WF</v>
          </cell>
          <cell r="H104" t="str">
            <v>RT/ONCO WARD 2 (F)</v>
          </cell>
          <cell r="I104" t="str">
            <v>07WF143</v>
          </cell>
          <cell r="J104" t="str">
            <v>NURSE STATION</v>
          </cell>
          <cell r="K104" t="str">
            <v>BMED</v>
          </cell>
          <cell r="L104" t="str">
            <v>Normal</v>
          </cell>
          <cell r="M104" t="str">
            <v>USA</v>
          </cell>
          <cell r="N104" t="str">
            <v>Welch Allyn</v>
          </cell>
          <cell r="O104" t="str">
            <v>Welch Allyn 97150-BIM</v>
          </cell>
          <cell r="P104" t="str">
            <v>GD0019-41</v>
          </cell>
          <cell r="Q104" t="str">
            <v>Not Applicable</v>
          </cell>
          <cell r="R104" t="str">
            <v>Welch Allyn Inc</v>
          </cell>
          <cell r="S104" t="str">
            <v>Welch Allyn Malaysia Sdn Bhd</v>
          </cell>
          <cell r="T104" t="str">
            <v>Functioning</v>
          </cell>
          <cell r="U104" t="str">
            <v>Asset</v>
          </cell>
          <cell r="V104">
            <v>4690</v>
          </cell>
          <cell r="W104" t="str">
            <v>KEW</v>
          </cell>
          <cell r="X104" t="str">
            <v>01/09/2010</v>
          </cell>
          <cell r="Y104" t="str">
            <v>KEW</v>
          </cell>
          <cell r="Z104" t="str">
            <v>16/08/2013</v>
          </cell>
          <cell r="AA104" t="str">
            <v>15/08/2015</v>
          </cell>
          <cell r="AB104" t="str">
            <v>No</v>
          </cell>
          <cell r="AC104" t="str">
            <v>31/08/2013</v>
          </cell>
          <cell r="AD104" t="str">
            <v>Good</v>
          </cell>
          <cell r="AE104" t="str">
            <v>V1 - Existing / No Claim</v>
          </cell>
          <cell r="AF104">
            <v>42235</v>
          </cell>
          <cell r="AG104">
            <v>9.17</v>
          </cell>
          <cell r="AH104" t="str">
            <v>RI</v>
          </cell>
          <cell r="AI104" t="str">
            <v>Not in contract</v>
          </cell>
          <cell r="AJ104" t="str">
            <v>Not under maintenance</v>
          </cell>
          <cell r="AK104" t="str">
            <v>Will be under V4. Taken out of contract as agreed by IKN</v>
          </cell>
        </row>
        <row r="105">
          <cell r="A105" t="str">
            <v>IKN400354</v>
          </cell>
          <cell r="B105">
            <v>354</v>
          </cell>
          <cell r="C105" t="str">
            <v>Institut Kanser Negara</v>
          </cell>
          <cell r="D105" t="str">
            <v>KKM/IKN/H/13/2240</v>
          </cell>
          <cell r="E105" t="str">
            <v>18-595</v>
          </cell>
          <cell r="F105" t="str">
            <v>Ophthalmoscopes/Otoscopes</v>
          </cell>
          <cell r="G105" t="str">
            <v>WE</v>
          </cell>
          <cell r="H105" t="str">
            <v>RT/ONCO WARD 1 (F)</v>
          </cell>
          <cell r="I105" t="str">
            <v>07WE107</v>
          </cell>
          <cell r="J105" t="str">
            <v>TREATMENT / PROCESURE</v>
          </cell>
          <cell r="K105" t="str">
            <v>BMED</v>
          </cell>
          <cell r="L105" t="str">
            <v>Normal</v>
          </cell>
          <cell r="M105" t="str">
            <v>USA</v>
          </cell>
          <cell r="N105" t="str">
            <v>Welch Allyn</v>
          </cell>
          <cell r="O105" t="str">
            <v>Welch Allyn 71904</v>
          </cell>
          <cell r="P105" t="str">
            <v>GD0019-5</v>
          </cell>
          <cell r="Q105" t="str">
            <v>Not Applicable</v>
          </cell>
          <cell r="R105" t="str">
            <v>Welch Allyn Inc</v>
          </cell>
          <cell r="S105" t="str">
            <v>Welch Allyn Malaysia Sdn Bhd</v>
          </cell>
          <cell r="T105" t="str">
            <v>Functioning</v>
          </cell>
          <cell r="U105" t="str">
            <v>Asset</v>
          </cell>
          <cell r="V105">
            <v>4690</v>
          </cell>
          <cell r="W105" t="str">
            <v>KEW</v>
          </cell>
          <cell r="X105" t="str">
            <v>01/09/2010</v>
          </cell>
          <cell r="Y105" t="str">
            <v>KEW</v>
          </cell>
          <cell r="Z105" t="str">
            <v>16/08/2013</v>
          </cell>
          <cell r="AA105" t="str">
            <v>15/08/2015</v>
          </cell>
          <cell r="AB105" t="str">
            <v>No</v>
          </cell>
          <cell r="AC105" t="str">
            <v>31/08/2013</v>
          </cell>
          <cell r="AD105" t="str">
            <v>Good</v>
          </cell>
          <cell r="AE105" t="str">
            <v>V1 - Existing / No Claim</v>
          </cell>
          <cell r="AF105">
            <v>42235</v>
          </cell>
          <cell r="AG105">
            <v>9.17</v>
          </cell>
          <cell r="AH105" t="str">
            <v>RI</v>
          </cell>
          <cell r="AI105" t="str">
            <v>Strands</v>
          </cell>
          <cell r="AJ105" t="str">
            <v>Not under maintenance</v>
          </cell>
        </row>
        <row r="106">
          <cell r="A106" t="str">
            <v>IKN400388</v>
          </cell>
          <cell r="B106">
            <v>388</v>
          </cell>
          <cell r="C106" t="str">
            <v>Institut Kanser Negara</v>
          </cell>
          <cell r="D106" t="e">
            <v>#N/A</v>
          </cell>
          <cell r="E106" t="str">
            <v>16-158</v>
          </cell>
          <cell r="F106" t="str">
            <v>Sphygmomanometers, Mercury</v>
          </cell>
          <cell r="G106" t="str">
            <v>WE</v>
          </cell>
          <cell r="H106" t="str">
            <v>RT/ONCO WARD 1 (F)</v>
          </cell>
          <cell r="I106" t="str">
            <v>07WE143</v>
          </cell>
          <cell r="J106" t="str">
            <v>NURSE STATION</v>
          </cell>
          <cell r="K106" t="str">
            <v>BMED</v>
          </cell>
          <cell r="L106" t="str">
            <v>Normal</v>
          </cell>
          <cell r="M106" t="str">
            <v>Germany</v>
          </cell>
          <cell r="N106" t="str">
            <v>Erka</v>
          </cell>
          <cell r="O106" t="str">
            <v>Erkameter 3000</v>
          </cell>
          <cell r="P106" t="str">
            <v>13500763</v>
          </cell>
          <cell r="Q106" t="str">
            <v>Not Applicable</v>
          </cell>
          <cell r="R106" t="str">
            <v>Erka GmbH &amp; Co</v>
          </cell>
          <cell r="S106" t="str">
            <v>Acucare Systems (M) Sdn bhd</v>
          </cell>
          <cell r="T106" t="str">
            <v>Functioning</v>
          </cell>
          <cell r="U106" t="str">
            <v>Asset</v>
          </cell>
          <cell r="V106">
            <v>505</v>
          </cell>
          <cell r="W106" t="str">
            <v>KEW</v>
          </cell>
          <cell r="X106" t="str">
            <v>01/09/2010</v>
          </cell>
          <cell r="Y106" t="str">
            <v>KEW</v>
          </cell>
          <cell r="Z106" t="str">
            <v>16/08/2013</v>
          </cell>
          <cell r="AA106" t="str">
            <v>15/08/2015</v>
          </cell>
          <cell r="AB106" t="str">
            <v>No</v>
          </cell>
          <cell r="AC106" t="str">
            <v>31/08/2013</v>
          </cell>
          <cell r="AD106" t="str">
            <v>Good</v>
          </cell>
          <cell r="AE106" t="str">
            <v>V4 - Decommissioned Installed Facility</v>
          </cell>
          <cell r="AF106">
            <v>42235</v>
          </cell>
          <cell r="AG106">
            <v>9.17</v>
          </cell>
          <cell r="AH106" t="str">
            <v>PPM</v>
          </cell>
          <cell r="AI106" t="str">
            <v>Not in contract</v>
          </cell>
          <cell r="AJ106" t="str">
            <v>Not under maintenance</v>
          </cell>
          <cell r="AK106" t="e">
            <v>#N/A</v>
          </cell>
        </row>
        <row r="107">
          <cell r="A107" t="str">
            <v>IKN400391</v>
          </cell>
          <cell r="B107">
            <v>391</v>
          </cell>
          <cell r="C107" t="str">
            <v>Institut Kanser Negara</v>
          </cell>
          <cell r="D107" t="str">
            <v>KKM/IKN/H/13/2326</v>
          </cell>
          <cell r="E107" t="str">
            <v>18-595</v>
          </cell>
          <cell r="F107" t="str">
            <v>Ophthalmoscopes/Otoscopes</v>
          </cell>
          <cell r="G107" t="str">
            <v>WE</v>
          </cell>
          <cell r="H107" t="str">
            <v>RT/ONCO WARD 1 (F)</v>
          </cell>
          <cell r="I107" t="str">
            <v>07WE143</v>
          </cell>
          <cell r="J107" t="str">
            <v>NURSE STATION</v>
          </cell>
          <cell r="K107" t="str">
            <v>BMED</v>
          </cell>
          <cell r="L107" t="str">
            <v>Normal</v>
          </cell>
          <cell r="M107" t="str">
            <v>USA</v>
          </cell>
          <cell r="N107" t="str">
            <v>Welch Allyn</v>
          </cell>
          <cell r="O107" t="str">
            <v>Welch Allyn 97150-BIM</v>
          </cell>
          <cell r="P107" t="str">
            <v>GD0019-38</v>
          </cell>
          <cell r="Q107" t="str">
            <v>Not Applicable</v>
          </cell>
          <cell r="R107" t="str">
            <v>Welch Allyn Inc</v>
          </cell>
          <cell r="S107" t="str">
            <v>Welch Allyn Malaysia Sdn Bhd</v>
          </cell>
          <cell r="T107" t="str">
            <v>Functioning</v>
          </cell>
          <cell r="U107" t="str">
            <v>Asset</v>
          </cell>
          <cell r="V107">
            <v>4690</v>
          </cell>
          <cell r="W107" t="str">
            <v>KEW</v>
          </cell>
          <cell r="X107" t="str">
            <v>01/09/2010</v>
          </cell>
          <cell r="Y107" t="str">
            <v>KEW</v>
          </cell>
          <cell r="Z107" t="str">
            <v>16/08/2013</v>
          </cell>
          <cell r="AA107" t="str">
            <v>15/08/2015</v>
          </cell>
          <cell r="AB107" t="str">
            <v>No</v>
          </cell>
          <cell r="AC107" t="str">
            <v>31/08/2013</v>
          </cell>
          <cell r="AD107" t="str">
            <v>Good</v>
          </cell>
          <cell r="AE107" t="str">
            <v>V1 - Existing / No Claim</v>
          </cell>
          <cell r="AF107">
            <v>42235</v>
          </cell>
          <cell r="AG107">
            <v>9.17</v>
          </cell>
          <cell r="AH107" t="str">
            <v>RI</v>
          </cell>
          <cell r="AI107" t="str">
            <v>Strands</v>
          </cell>
          <cell r="AJ107" t="str">
            <v>Not under maintenance</v>
          </cell>
        </row>
        <row r="108">
          <cell r="A108" t="str">
            <v>IKN400396</v>
          </cell>
          <cell r="B108">
            <v>396</v>
          </cell>
          <cell r="C108" t="str">
            <v>Institut Kanser Negara</v>
          </cell>
          <cell r="D108" t="str">
            <v>KKM/IKN/H/13/1467</v>
          </cell>
          <cell r="E108" t="str">
            <v>18-595</v>
          </cell>
          <cell r="F108" t="str">
            <v>Ophthalmoscopes/Otoscopes</v>
          </cell>
          <cell r="G108" t="str">
            <v>WD</v>
          </cell>
          <cell r="H108" t="str">
            <v>RT/ONCO PAED/ADOLESCENT WARD</v>
          </cell>
          <cell r="I108" t="str">
            <v>06WD124</v>
          </cell>
          <cell r="J108" t="str">
            <v>TREATMENT / PROCEDURE</v>
          </cell>
          <cell r="K108" t="str">
            <v>BMED</v>
          </cell>
          <cell r="L108" t="str">
            <v>Normal</v>
          </cell>
          <cell r="M108" t="str">
            <v>USA</v>
          </cell>
          <cell r="N108" t="str">
            <v>Welch Allyn</v>
          </cell>
          <cell r="O108" t="str">
            <v>Welch Allyn 71904</v>
          </cell>
          <cell r="P108" t="str">
            <v>GD0019-4</v>
          </cell>
          <cell r="Q108" t="str">
            <v>Not Applicable</v>
          </cell>
          <cell r="R108" t="str">
            <v>Welch Allyn Inc</v>
          </cell>
          <cell r="S108" t="str">
            <v>Welch Allyn Malaysia Sdn Bhd</v>
          </cell>
          <cell r="T108" t="str">
            <v>Functioning</v>
          </cell>
          <cell r="U108" t="str">
            <v>Asset</v>
          </cell>
          <cell r="V108">
            <v>4690</v>
          </cell>
          <cell r="W108" t="str">
            <v>KEW</v>
          </cell>
          <cell r="X108" t="str">
            <v>01/09/2010</v>
          </cell>
          <cell r="Y108" t="str">
            <v>KEW</v>
          </cell>
          <cell r="Z108" t="str">
            <v>16/08/2013</v>
          </cell>
          <cell r="AA108" t="str">
            <v>15/08/2015</v>
          </cell>
          <cell r="AB108" t="str">
            <v>No</v>
          </cell>
          <cell r="AC108" t="str">
            <v>31/08/2013</v>
          </cell>
          <cell r="AD108" t="str">
            <v>Good</v>
          </cell>
          <cell r="AE108" t="str">
            <v>V1 - Existing / No Claim</v>
          </cell>
          <cell r="AF108">
            <v>42235</v>
          </cell>
          <cell r="AG108">
            <v>9.17</v>
          </cell>
          <cell r="AH108" t="str">
            <v>RI</v>
          </cell>
          <cell r="AI108" t="str">
            <v>Strands</v>
          </cell>
          <cell r="AJ108" t="str">
            <v>Not under maintenance</v>
          </cell>
        </row>
        <row r="109">
          <cell r="A109" t="str">
            <v>IKN400544</v>
          </cell>
          <cell r="B109">
            <v>544</v>
          </cell>
          <cell r="C109" t="str">
            <v>Institut Kanser Negara</v>
          </cell>
          <cell r="D109" t="e">
            <v>#N/A</v>
          </cell>
          <cell r="E109" t="str">
            <v>16-158</v>
          </cell>
          <cell r="F109" t="str">
            <v>Sphygmomanometers, Mercury</v>
          </cell>
          <cell r="G109" t="str">
            <v>NM</v>
          </cell>
          <cell r="H109" t="str">
            <v>NUCLEAR MED (DIAGNOSTIC)</v>
          </cell>
          <cell r="I109" t="str">
            <v>03NM109</v>
          </cell>
          <cell r="J109" t="str">
            <v>TREATMENT 2 (RAS) (-VE)</v>
          </cell>
          <cell r="K109" t="str">
            <v>BMED</v>
          </cell>
          <cell r="L109" t="str">
            <v>Normal</v>
          </cell>
          <cell r="M109" t="str">
            <v>Germany</v>
          </cell>
          <cell r="N109" t="str">
            <v>Erka</v>
          </cell>
          <cell r="O109" t="str">
            <v>Erkameter 3000</v>
          </cell>
          <cell r="P109" t="str">
            <v>13500751</v>
          </cell>
          <cell r="Q109" t="str">
            <v>Not Applicable</v>
          </cell>
          <cell r="R109" t="str">
            <v>Erka GmbH &amp; Co</v>
          </cell>
          <cell r="S109" t="str">
            <v>Acucare Systems (M) Sdn bhd</v>
          </cell>
          <cell r="T109" t="str">
            <v>Functioning</v>
          </cell>
          <cell r="U109" t="str">
            <v>Asset</v>
          </cell>
          <cell r="V109">
            <v>505</v>
          </cell>
          <cell r="W109" t="str">
            <v>KEW</v>
          </cell>
          <cell r="X109" t="str">
            <v>01/09/2010</v>
          </cell>
          <cell r="Y109" t="str">
            <v>KEW</v>
          </cell>
          <cell r="Z109" t="str">
            <v>16/08/2013</v>
          </cell>
          <cell r="AA109" t="str">
            <v>15/08/2015</v>
          </cell>
          <cell r="AB109" t="str">
            <v>No</v>
          </cell>
          <cell r="AC109" t="str">
            <v>31/08/2013</v>
          </cell>
          <cell r="AD109" t="str">
            <v>Good</v>
          </cell>
          <cell r="AE109" t="str">
            <v>V4 - Decommissioned Installed Facility</v>
          </cell>
          <cell r="AF109">
            <v>42235</v>
          </cell>
          <cell r="AG109">
            <v>9.17</v>
          </cell>
          <cell r="AH109" t="str">
            <v>PPM</v>
          </cell>
          <cell r="AI109" t="str">
            <v>Not in contract</v>
          </cell>
          <cell r="AJ109" t="str">
            <v>Not under maintenance</v>
          </cell>
          <cell r="AK109" t="e">
            <v>#N/A</v>
          </cell>
        </row>
        <row r="110">
          <cell r="A110" t="str">
            <v>IKN400551</v>
          </cell>
          <cell r="B110">
            <v>551</v>
          </cell>
          <cell r="C110" t="str">
            <v>Institut Kanser Negara</v>
          </cell>
          <cell r="D110" t="str">
            <v>KKM/IKN/H/13/3026</v>
          </cell>
          <cell r="E110" t="str">
            <v>12-815</v>
          </cell>
          <cell r="F110" t="str">
            <v>Ophthalmoscopes</v>
          </cell>
          <cell r="G110" t="str">
            <v>NM</v>
          </cell>
          <cell r="H110" t="str">
            <v>NUCLEAR MED (DIAGNOSTIC)</v>
          </cell>
          <cell r="I110" t="str">
            <v>03NM109</v>
          </cell>
          <cell r="J110" t="str">
            <v>TREATMENT 2 (RAS) (-VE)</v>
          </cell>
          <cell r="K110" t="str">
            <v>BMED</v>
          </cell>
          <cell r="L110" t="str">
            <v>Normal</v>
          </cell>
          <cell r="M110" t="str">
            <v>USA</v>
          </cell>
          <cell r="N110" t="str">
            <v>Welch Allyn</v>
          </cell>
          <cell r="O110" t="str">
            <v>Welch Allyn 767</v>
          </cell>
          <cell r="P110" t="str">
            <v>767-06</v>
          </cell>
          <cell r="Q110" t="str">
            <v>Not Applicable</v>
          </cell>
          <cell r="R110" t="str">
            <v>Welch Allyn Inc</v>
          </cell>
          <cell r="S110" t="str">
            <v>Welch Allyn Malaysia Sdn Bhd</v>
          </cell>
          <cell r="T110" t="str">
            <v>Functioning</v>
          </cell>
          <cell r="U110" t="str">
            <v>Asset</v>
          </cell>
          <cell r="V110">
            <v>5773</v>
          </cell>
          <cell r="W110" t="str">
            <v>KEW</v>
          </cell>
          <cell r="X110" t="str">
            <v>01/09/2010</v>
          </cell>
          <cell r="Y110" t="str">
            <v>KEW</v>
          </cell>
          <cell r="Z110" t="str">
            <v>16/08/2013</v>
          </cell>
          <cell r="AA110" t="str">
            <v>15/08/2015</v>
          </cell>
          <cell r="AB110" t="str">
            <v>No</v>
          </cell>
          <cell r="AC110" t="str">
            <v>31/08/2013</v>
          </cell>
          <cell r="AD110" t="str">
            <v>Good</v>
          </cell>
          <cell r="AE110" t="str">
            <v>V4 - Decommissioned Installed Facility</v>
          </cell>
          <cell r="AF110">
            <v>42235</v>
          </cell>
          <cell r="AG110">
            <v>9.17</v>
          </cell>
          <cell r="AH110" t="str">
            <v>RI</v>
          </cell>
          <cell r="AI110" t="str">
            <v>Strands</v>
          </cell>
          <cell r="AJ110" t="str">
            <v>Strands PW. Proposed for V4 P2.23</v>
          </cell>
        </row>
        <row r="111">
          <cell r="A111" t="str">
            <v>IKN400569</v>
          </cell>
          <cell r="B111">
            <v>569</v>
          </cell>
          <cell r="C111" t="str">
            <v>Institut Kanser Negara</v>
          </cell>
          <cell r="D111" t="str">
            <v>KKM/IKN/H/13/3027</v>
          </cell>
          <cell r="E111" t="str">
            <v>12-815</v>
          </cell>
          <cell r="F111" t="str">
            <v>Ophthalmoscopes</v>
          </cell>
          <cell r="G111" t="str">
            <v>NM</v>
          </cell>
          <cell r="H111" t="str">
            <v>NUCLEAR MED (DIAGNOSTIC)</v>
          </cell>
          <cell r="I111" t="str">
            <v>03NM182</v>
          </cell>
          <cell r="J111" t="str">
            <v>C/E 5 (VE)</v>
          </cell>
          <cell r="K111" t="str">
            <v>BMED</v>
          </cell>
          <cell r="L111" t="str">
            <v>Normal</v>
          </cell>
          <cell r="M111" t="str">
            <v>USA</v>
          </cell>
          <cell r="N111" t="str">
            <v>Welch Allyn</v>
          </cell>
          <cell r="O111" t="str">
            <v>Welch Allyn 767</v>
          </cell>
          <cell r="P111" t="str">
            <v>767-07</v>
          </cell>
          <cell r="Q111" t="str">
            <v>Not Applicable</v>
          </cell>
          <cell r="R111" t="str">
            <v>Welch Allyn Inc</v>
          </cell>
          <cell r="S111" t="str">
            <v>Welch Allyn Malaysia Sdn Bhd</v>
          </cell>
          <cell r="T111" t="str">
            <v>Functioning</v>
          </cell>
          <cell r="U111" t="str">
            <v>Asset</v>
          </cell>
          <cell r="V111">
            <v>5773</v>
          </cell>
          <cell r="W111" t="str">
            <v>KEW</v>
          </cell>
          <cell r="X111" t="str">
            <v>01/09/2010</v>
          </cell>
          <cell r="Y111" t="str">
            <v>KEW</v>
          </cell>
          <cell r="Z111" t="str">
            <v>16/08/2013</v>
          </cell>
          <cell r="AA111" t="str">
            <v>15/08/2015</v>
          </cell>
          <cell r="AB111" t="str">
            <v>No</v>
          </cell>
          <cell r="AC111" t="str">
            <v>31/08/2013</v>
          </cell>
          <cell r="AD111" t="str">
            <v>Good</v>
          </cell>
          <cell r="AE111" t="str">
            <v>V4 - Decommissioned Installed Facility</v>
          </cell>
          <cell r="AF111">
            <v>42235</v>
          </cell>
          <cell r="AG111">
            <v>9.17</v>
          </cell>
          <cell r="AH111" t="str">
            <v>RI</v>
          </cell>
          <cell r="AI111" t="str">
            <v>Strands</v>
          </cell>
          <cell r="AJ111" t="str">
            <v>Strands PW. Proposed for V4 P2.23</v>
          </cell>
        </row>
        <row r="112">
          <cell r="A112" t="str">
            <v>IKN400572</v>
          </cell>
          <cell r="B112">
            <v>572</v>
          </cell>
          <cell r="C112" t="str">
            <v>Institut Kanser Negara</v>
          </cell>
          <cell r="D112" t="str">
            <v>KKM/IKN/H/13/3028</v>
          </cell>
          <cell r="E112" t="str">
            <v>12-815</v>
          </cell>
          <cell r="F112" t="str">
            <v>Ophthalmoscopes</v>
          </cell>
          <cell r="G112" t="str">
            <v>NM</v>
          </cell>
          <cell r="H112" t="str">
            <v>NUCLEAR MED (DIAGNOSTIC)</v>
          </cell>
          <cell r="I112" t="str">
            <v>03NM183</v>
          </cell>
          <cell r="J112" t="str">
            <v>C/E 4 (VE)</v>
          </cell>
          <cell r="K112" t="str">
            <v>BMED</v>
          </cell>
          <cell r="L112" t="str">
            <v>Normal</v>
          </cell>
          <cell r="M112" t="str">
            <v>USA</v>
          </cell>
          <cell r="N112" t="str">
            <v>Welch Allyn</v>
          </cell>
          <cell r="O112" t="str">
            <v>Welch Allyn 767</v>
          </cell>
          <cell r="P112" t="str">
            <v>767-08</v>
          </cell>
          <cell r="Q112" t="str">
            <v>Not Applicable</v>
          </cell>
          <cell r="R112" t="str">
            <v>Welch Allyn Inc</v>
          </cell>
          <cell r="S112" t="str">
            <v>Welch Allyn Malaysia Sdn Bhd</v>
          </cell>
          <cell r="T112" t="str">
            <v>Functioning</v>
          </cell>
          <cell r="U112" t="str">
            <v>Asset</v>
          </cell>
          <cell r="V112">
            <v>5773</v>
          </cell>
          <cell r="W112" t="str">
            <v>KEW</v>
          </cell>
          <cell r="X112" t="str">
            <v>01/09/2010</v>
          </cell>
          <cell r="Y112" t="str">
            <v>KEW</v>
          </cell>
          <cell r="Z112" t="str">
            <v>16/08/2013</v>
          </cell>
          <cell r="AA112" t="str">
            <v>15/08/2015</v>
          </cell>
          <cell r="AB112" t="str">
            <v>No</v>
          </cell>
          <cell r="AC112" t="str">
            <v>31/08/2013</v>
          </cell>
          <cell r="AD112" t="str">
            <v>Good</v>
          </cell>
          <cell r="AE112" t="str">
            <v>V4 - Decommissioned Installed Facility</v>
          </cell>
          <cell r="AF112">
            <v>42235</v>
          </cell>
          <cell r="AG112">
            <v>9.17</v>
          </cell>
          <cell r="AH112" t="str">
            <v>RI</v>
          </cell>
          <cell r="AI112" t="str">
            <v>Strands</v>
          </cell>
          <cell r="AJ112" t="str">
            <v>Strands PW. Proposed for V4 P2.23</v>
          </cell>
        </row>
        <row r="113">
          <cell r="A113" t="str">
            <v>IKN400574</v>
          </cell>
          <cell r="B113">
            <v>574</v>
          </cell>
          <cell r="C113" t="str">
            <v>Institut Kanser Negara</v>
          </cell>
          <cell r="D113" t="str">
            <v>KKM/IKN/H/13/3029</v>
          </cell>
          <cell r="E113" t="str">
            <v>12-815</v>
          </cell>
          <cell r="F113" t="str">
            <v>Ophthalmoscopes</v>
          </cell>
          <cell r="G113" t="str">
            <v>NM</v>
          </cell>
          <cell r="H113" t="str">
            <v>NUCLEAR MED (DIAGNOSTIC)</v>
          </cell>
          <cell r="I113" t="str">
            <v>03NM184</v>
          </cell>
          <cell r="J113" t="str">
            <v>C/E 3 (VE)</v>
          </cell>
          <cell r="K113" t="str">
            <v>BMED</v>
          </cell>
          <cell r="L113" t="str">
            <v>Normal</v>
          </cell>
          <cell r="M113" t="str">
            <v>USA</v>
          </cell>
          <cell r="N113" t="str">
            <v>Welch Allyn</v>
          </cell>
          <cell r="O113" t="str">
            <v>Welch Allyn 767</v>
          </cell>
          <cell r="P113" t="str">
            <v>767-09</v>
          </cell>
          <cell r="Q113" t="str">
            <v>Not Applicable</v>
          </cell>
          <cell r="R113" t="str">
            <v>Welch Allyn Inc</v>
          </cell>
          <cell r="S113" t="str">
            <v>Welch Allyn Malaysia Sdn Bhd</v>
          </cell>
          <cell r="T113" t="str">
            <v>Functioning</v>
          </cell>
          <cell r="U113" t="str">
            <v>Asset</v>
          </cell>
          <cell r="V113">
            <v>5773</v>
          </cell>
          <cell r="W113" t="str">
            <v>KEW</v>
          </cell>
          <cell r="X113" t="str">
            <v>01/09/2010</v>
          </cell>
          <cell r="Y113" t="str">
            <v>KEW</v>
          </cell>
          <cell r="Z113" t="str">
            <v>16/08/2013</v>
          </cell>
          <cell r="AA113" t="str">
            <v>15/08/2015</v>
          </cell>
          <cell r="AB113" t="str">
            <v>No</v>
          </cell>
          <cell r="AC113" t="str">
            <v>31/08/2013</v>
          </cell>
          <cell r="AD113" t="str">
            <v>Good</v>
          </cell>
          <cell r="AE113" t="str">
            <v>V4 - Decommissioned Installed Facility</v>
          </cell>
          <cell r="AF113">
            <v>42235</v>
          </cell>
          <cell r="AG113">
            <v>9.17</v>
          </cell>
          <cell r="AH113" t="str">
            <v>RI</v>
          </cell>
          <cell r="AI113" t="str">
            <v>Strands</v>
          </cell>
          <cell r="AJ113" t="str">
            <v>Strands PW. Proposed for V4 P2.23</v>
          </cell>
        </row>
        <row r="114">
          <cell r="A114" t="str">
            <v>IKN400576</v>
          </cell>
          <cell r="B114">
            <v>576</v>
          </cell>
          <cell r="C114" t="str">
            <v>Institut Kanser Negara</v>
          </cell>
          <cell r="D114" t="str">
            <v>KKM/IKN/H/13/3030</v>
          </cell>
          <cell r="E114" t="str">
            <v>12-815</v>
          </cell>
          <cell r="F114" t="str">
            <v>Ophthalmoscopes</v>
          </cell>
          <cell r="G114" t="str">
            <v>NM</v>
          </cell>
          <cell r="H114" t="str">
            <v>NUCLEAR MED (DIAGNOSTIC)</v>
          </cell>
          <cell r="I114" t="str">
            <v>03NM185</v>
          </cell>
          <cell r="J114" t="str">
            <v>C/E 2 (VE)</v>
          </cell>
          <cell r="K114" t="str">
            <v>BMED</v>
          </cell>
          <cell r="L114" t="str">
            <v>Normal</v>
          </cell>
          <cell r="M114" t="str">
            <v>USA</v>
          </cell>
          <cell r="N114" t="str">
            <v>Welch Allyn</v>
          </cell>
          <cell r="O114" t="str">
            <v>Welch Allyn 767</v>
          </cell>
          <cell r="P114" t="str">
            <v>767-10</v>
          </cell>
          <cell r="Q114" t="str">
            <v>Not Applicable</v>
          </cell>
          <cell r="R114" t="str">
            <v>Welch Allyn Inc</v>
          </cell>
          <cell r="S114" t="str">
            <v>Welch Allyn Malaysia Sdn Bhd</v>
          </cell>
          <cell r="T114" t="str">
            <v>Functioning</v>
          </cell>
          <cell r="U114" t="str">
            <v>Asset</v>
          </cell>
          <cell r="V114">
            <v>5773</v>
          </cell>
          <cell r="W114" t="str">
            <v>KEW</v>
          </cell>
          <cell r="X114" t="str">
            <v>01/09/2010</v>
          </cell>
          <cell r="Y114" t="str">
            <v>KEW</v>
          </cell>
          <cell r="Z114" t="str">
            <v>16/08/2013</v>
          </cell>
          <cell r="AA114" t="str">
            <v>15/08/2015</v>
          </cell>
          <cell r="AB114" t="str">
            <v>No</v>
          </cell>
          <cell r="AC114" t="str">
            <v>31/08/2013</v>
          </cell>
          <cell r="AD114" t="str">
            <v>Good</v>
          </cell>
          <cell r="AE114" t="str">
            <v>V4 - Decommissioned Installed Facility</v>
          </cell>
          <cell r="AF114">
            <v>42235</v>
          </cell>
          <cell r="AG114">
            <v>9.17</v>
          </cell>
          <cell r="AH114" t="str">
            <v>RI</v>
          </cell>
          <cell r="AI114" t="str">
            <v>Strands</v>
          </cell>
          <cell r="AJ114" t="str">
            <v>Strands PW. Proposed for V4 P2.23</v>
          </cell>
        </row>
        <row r="115">
          <cell r="A115" t="str">
            <v>IKN400578</v>
          </cell>
          <cell r="B115">
            <v>578</v>
          </cell>
          <cell r="C115" t="str">
            <v>Institut Kanser Negara</v>
          </cell>
          <cell r="D115" t="str">
            <v>KKM/IKN/H/13/3031</v>
          </cell>
          <cell r="E115" t="str">
            <v>12-815</v>
          </cell>
          <cell r="F115" t="str">
            <v>Ophthalmoscopes</v>
          </cell>
          <cell r="G115" t="str">
            <v>NM</v>
          </cell>
          <cell r="H115" t="str">
            <v>NUCLEAR MED (DIAGNOSTIC)</v>
          </cell>
          <cell r="I115" t="str">
            <v>03NM186</v>
          </cell>
          <cell r="J115" t="str">
            <v>C/E 1 (VE)</v>
          </cell>
          <cell r="K115" t="str">
            <v>BMED</v>
          </cell>
          <cell r="L115" t="str">
            <v>Normal</v>
          </cell>
          <cell r="M115" t="str">
            <v>USA</v>
          </cell>
          <cell r="N115" t="str">
            <v>Welch Allyn</v>
          </cell>
          <cell r="O115" t="str">
            <v>Welch Allyn 767</v>
          </cell>
          <cell r="P115" t="str">
            <v>767-11</v>
          </cell>
          <cell r="Q115" t="str">
            <v>Not Applicable</v>
          </cell>
          <cell r="R115" t="str">
            <v>Welch Allyn Inc</v>
          </cell>
          <cell r="S115" t="str">
            <v>Welch Allyn Malaysia Sdn Bhd</v>
          </cell>
          <cell r="T115" t="str">
            <v>Functioning</v>
          </cell>
          <cell r="U115" t="str">
            <v>Asset</v>
          </cell>
          <cell r="V115">
            <v>5773</v>
          </cell>
          <cell r="W115" t="str">
            <v>KEW</v>
          </cell>
          <cell r="X115" t="str">
            <v>01/09/2010</v>
          </cell>
          <cell r="Y115" t="str">
            <v>KEW</v>
          </cell>
          <cell r="Z115" t="str">
            <v>16/08/2013</v>
          </cell>
          <cell r="AA115" t="str">
            <v>15/08/2015</v>
          </cell>
          <cell r="AB115" t="str">
            <v>No</v>
          </cell>
          <cell r="AC115" t="str">
            <v>31/08/2013</v>
          </cell>
          <cell r="AD115" t="str">
            <v>Good</v>
          </cell>
          <cell r="AE115" t="str">
            <v>V4 - Decommissioned Installed Facility</v>
          </cell>
          <cell r="AF115">
            <v>42235</v>
          </cell>
          <cell r="AG115">
            <v>9.17</v>
          </cell>
          <cell r="AH115" t="str">
            <v>RI</v>
          </cell>
          <cell r="AI115" t="str">
            <v>Strands</v>
          </cell>
          <cell r="AJ115" t="str">
            <v>Strands PW. Proposed for V4 P2.23</v>
          </cell>
        </row>
        <row r="116">
          <cell r="A116" t="str">
            <v>IKN400584</v>
          </cell>
          <cell r="B116">
            <v>584</v>
          </cell>
          <cell r="C116" t="str">
            <v>Institut Kanser Negara</v>
          </cell>
          <cell r="D116" t="str">
            <v>KKM/IKN/H/13/3024</v>
          </cell>
          <cell r="E116" t="str">
            <v>12-815</v>
          </cell>
          <cell r="F116" t="str">
            <v>Ophthalmoscopes</v>
          </cell>
          <cell r="G116" t="str">
            <v>NM</v>
          </cell>
          <cell r="H116" t="str">
            <v>NUCLEAR MED (DIAGNOSTIC)</v>
          </cell>
          <cell r="I116" t="str">
            <v>03NM108</v>
          </cell>
          <cell r="J116" t="str">
            <v>TREATMENT 1 (RAI)(VE)</v>
          </cell>
          <cell r="K116" t="str">
            <v>BMED</v>
          </cell>
          <cell r="L116" t="str">
            <v>Normal</v>
          </cell>
          <cell r="M116" t="str">
            <v>USA</v>
          </cell>
          <cell r="N116" t="str">
            <v>Welch Allyn</v>
          </cell>
          <cell r="O116" t="str">
            <v>Welch Allyn 767</v>
          </cell>
          <cell r="P116" t="str">
            <v>767-05</v>
          </cell>
          <cell r="Q116" t="str">
            <v>Not Applicable</v>
          </cell>
          <cell r="R116" t="str">
            <v>Welch Allyn Inc</v>
          </cell>
          <cell r="S116" t="str">
            <v>Welch Allyn Malaysia Sdn Bhd</v>
          </cell>
          <cell r="T116" t="str">
            <v>Functioning</v>
          </cell>
          <cell r="U116" t="str">
            <v>Asset</v>
          </cell>
          <cell r="V116">
            <v>5773</v>
          </cell>
          <cell r="W116" t="str">
            <v>KEW</v>
          </cell>
          <cell r="X116" t="str">
            <v>01/09/2010</v>
          </cell>
          <cell r="Y116" t="str">
            <v>KEW</v>
          </cell>
          <cell r="Z116" t="str">
            <v>16/08/2013</v>
          </cell>
          <cell r="AA116" t="str">
            <v>15/08/2015</v>
          </cell>
          <cell r="AB116" t="str">
            <v>No</v>
          </cell>
          <cell r="AC116" t="str">
            <v>31/08/2013</v>
          </cell>
          <cell r="AD116" t="str">
            <v>Good</v>
          </cell>
          <cell r="AE116" t="str">
            <v>V4 - Decommissioned Installed Facility</v>
          </cell>
          <cell r="AF116">
            <v>42235</v>
          </cell>
          <cell r="AG116">
            <v>9.17</v>
          </cell>
          <cell r="AH116" t="str">
            <v>RI</v>
          </cell>
          <cell r="AI116" t="str">
            <v>Strands</v>
          </cell>
          <cell r="AJ116" t="str">
            <v>Strands PW. Proposed for V4 P2.23</v>
          </cell>
        </row>
        <row r="117">
          <cell r="A117" t="str">
            <v>IKN400662</v>
          </cell>
          <cell r="B117">
            <v>662</v>
          </cell>
          <cell r="C117" t="str">
            <v>Institut Kanser Negara</v>
          </cell>
          <cell r="D117" t="e">
            <v>#N/A</v>
          </cell>
          <cell r="E117" t="str">
            <v>16-158</v>
          </cell>
          <cell r="F117" t="str">
            <v>Sphygmomanometers, Mercury</v>
          </cell>
          <cell r="G117" t="str">
            <v>DO</v>
          </cell>
          <cell r="H117" t="str">
            <v>DAY ONCOLOGY UNIT</v>
          </cell>
          <cell r="I117" t="str">
            <v>04DO138</v>
          </cell>
          <cell r="J117" t="str">
            <v>CHEMOTHERAPY BAY (4 BEDS)</v>
          </cell>
          <cell r="K117" t="str">
            <v>BMED</v>
          </cell>
          <cell r="L117" t="str">
            <v>Normal</v>
          </cell>
          <cell r="M117" t="str">
            <v>Germany</v>
          </cell>
          <cell r="N117" t="str">
            <v>Erka</v>
          </cell>
          <cell r="O117" t="str">
            <v>Erkameter 3000</v>
          </cell>
          <cell r="P117" t="str">
            <v>13500748</v>
          </cell>
          <cell r="Q117" t="str">
            <v>Not Applicable</v>
          </cell>
          <cell r="R117" t="str">
            <v>Erka GmbH &amp; Co</v>
          </cell>
          <cell r="S117" t="str">
            <v>Acucare Systems (M) Sdn bhd</v>
          </cell>
          <cell r="T117" t="str">
            <v>Functioning</v>
          </cell>
          <cell r="U117" t="str">
            <v>Asset</v>
          </cell>
          <cell r="V117">
            <v>505</v>
          </cell>
          <cell r="W117" t="str">
            <v>KEW</v>
          </cell>
          <cell r="X117" t="str">
            <v>01/09/2010</v>
          </cell>
          <cell r="Y117" t="str">
            <v>KEW</v>
          </cell>
          <cell r="Z117" t="str">
            <v>16/08/2013</v>
          </cell>
          <cell r="AA117" t="str">
            <v>15/08/2015</v>
          </cell>
          <cell r="AB117" t="str">
            <v>No</v>
          </cell>
          <cell r="AC117" t="str">
            <v>31/08/2013</v>
          </cell>
          <cell r="AD117" t="str">
            <v>Good</v>
          </cell>
          <cell r="AE117" t="str">
            <v>V4 - Decommissioned Installed Facility</v>
          </cell>
          <cell r="AF117">
            <v>42235</v>
          </cell>
          <cell r="AG117">
            <v>9.17</v>
          </cell>
          <cell r="AH117" t="str">
            <v>PPM</v>
          </cell>
          <cell r="AI117" t="str">
            <v>Not in contract</v>
          </cell>
          <cell r="AJ117" t="str">
            <v>Not under maintenance</v>
          </cell>
          <cell r="AK117" t="e">
            <v>#N/A</v>
          </cell>
        </row>
        <row r="118">
          <cell r="A118" t="str">
            <v>IKN400668</v>
          </cell>
          <cell r="B118">
            <v>668</v>
          </cell>
          <cell r="C118" t="str">
            <v>Institut Kanser Negara</v>
          </cell>
          <cell r="D118" t="str">
            <v>KKM/IKN/H/13/1200</v>
          </cell>
          <cell r="E118" t="str">
            <v>18-595</v>
          </cell>
          <cell r="F118" t="str">
            <v>Ophthalmoscopes/Otoscopes</v>
          </cell>
          <cell r="G118" t="str">
            <v>TC</v>
          </cell>
          <cell r="H118" t="str">
            <v>TRADITIONAL COMPLEMENTARY MEDICINE</v>
          </cell>
          <cell r="I118" t="str">
            <v>04TC125</v>
          </cell>
          <cell r="J118" t="str">
            <v>ASSESSMENT</v>
          </cell>
          <cell r="K118" t="str">
            <v>BMED</v>
          </cell>
          <cell r="L118" t="str">
            <v>Normal</v>
          </cell>
          <cell r="M118" t="str">
            <v>USA</v>
          </cell>
          <cell r="N118" t="str">
            <v>Welch Allyn</v>
          </cell>
          <cell r="O118" t="str">
            <v>Welch Allyn 71904</v>
          </cell>
          <cell r="P118" t="str">
            <v>GD0019-3</v>
          </cell>
          <cell r="Q118" t="str">
            <v>Not Applicable</v>
          </cell>
          <cell r="R118" t="str">
            <v>Welch Allyn Inc</v>
          </cell>
          <cell r="S118" t="str">
            <v>Welch Allyn Malaysia Sdn Bhd</v>
          </cell>
          <cell r="T118" t="str">
            <v>Functioning</v>
          </cell>
          <cell r="U118" t="str">
            <v>Asset</v>
          </cell>
          <cell r="V118">
            <v>4690</v>
          </cell>
          <cell r="W118" t="str">
            <v>KEW</v>
          </cell>
          <cell r="X118" t="str">
            <v>01/09/2010</v>
          </cell>
          <cell r="Y118" t="str">
            <v>KEW</v>
          </cell>
          <cell r="Z118" t="str">
            <v>16/08/2013</v>
          </cell>
          <cell r="AA118" t="str">
            <v>15/08/2015</v>
          </cell>
          <cell r="AB118" t="str">
            <v>No</v>
          </cell>
          <cell r="AC118" t="str">
            <v>31/08/2013</v>
          </cell>
          <cell r="AD118" t="str">
            <v>Good</v>
          </cell>
          <cell r="AE118" t="str">
            <v>V1 - Existing / No Claim</v>
          </cell>
          <cell r="AF118">
            <v>42235</v>
          </cell>
          <cell r="AG118">
            <v>9.17</v>
          </cell>
          <cell r="AH118" t="str">
            <v>RI</v>
          </cell>
          <cell r="AI118" t="str">
            <v>Strands</v>
          </cell>
          <cell r="AJ118" t="str">
            <v>Not under maintenance</v>
          </cell>
          <cell r="AK118" t="str">
            <v>V4 ON 22 FEB 2021.</v>
          </cell>
        </row>
        <row r="119">
          <cell r="A119" t="str">
            <v>IKN400682</v>
          </cell>
          <cell r="B119">
            <v>682</v>
          </cell>
          <cell r="C119" t="str">
            <v>Institut Kanser Negara</v>
          </cell>
          <cell r="D119" t="str">
            <v>KKM/IKN/H/13/1243</v>
          </cell>
          <cell r="E119" t="str">
            <v>12-815</v>
          </cell>
          <cell r="F119" t="str">
            <v>Ophthalmoscopes</v>
          </cell>
          <cell r="G119" t="str">
            <v>TC</v>
          </cell>
          <cell r="H119" t="str">
            <v>TRADITIONAL COMPLEMENTARY MEDICINE</v>
          </cell>
          <cell r="I119" t="str">
            <v>04TC127</v>
          </cell>
          <cell r="J119" t="str">
            <v>C/E</v>
          </cell>
          <cell r="K119" t="str">
            <v>BMED</v>
          </cell>
          <cell r="L119" t="str">
            <v>Normal</v>
          </cell>
          <cell r="M119" t="str">
            <v>USA</v>
          </cell>
          <cell r="N119" t="str">
            <v>Welch Allyn</v>
          </cell>
          <cell r="O119" t="str">
            <v>Welch Allyn 767</v>
          </cell>
          <cell r="P119" t="str">
            <v>716-1</v>
          </cell>
          <cell r="Q119" t="str">
            <v>Not Applicable</v>
          </cell>
          <cell r="R119" t="str">
            <v>Welch Allyn Inc</v>
          </cell>
          <cell r="S119" t="str">
            <v>Welch Allyn Malaysia Sdn Bhd</v>
          </cell>
          <cell r="T119" t="str">
            <v>Functioning</v>
          </cell>
          <cell r="U119" t="str">
            <v>Asset</v>
          </cell>
          <cell r="V119">
            <v>5773</v>
          </cell>
          <cell r="W119" t="str">
            <v>KEW</v>
          </cell>
          <cell r="X119" t="str">
            <v>01/09/2010</v>
          </cell>
          <cell r="Y119" t="str">
            <v>KEW</v>
          </cell>
          <cell r="Z119" t="str">
            <v>16/08/2013</v>
          </cell>
          <cell r="AA119" t="str">
            <v>15/08/2015</v>
          </cell>
          <cell r="AB119" t="str">
            <v>No</v>
          </cell>
          <cell r="AC119" t="str">
            <v>31/08/2013</v>
          </cell>
          <cell r="AD119" t="str">
            <v>Good</v>
          </cell>
          <cell r="AE119" t="str">
            <v>V4 - Decommissioned Installed Facility</v>
          </cell>
          <cell r="AF119">
            <v>42235</v>
          </cell>
          <cell r="AG119">
            <v>9.17</v>
          </cell>
          <cell r="AH119" t="str">
            <v>RI</v>
          </cell>
          <cell r="AI119" t="str">
            <v>Strands</v>
          </cell>
          <cell r="AJ119" t="str">
            <v>Strands PW. Proposed for V4 P2.23</v>
          </cell>
        </row>
        <row r="120">
          <cell r="A120" t="str">
            <v>IKN400811</v>
          </cell>
          <cell r="B120">
            <v>811</v>
          </cell>
          <cell r="C120" t="str">
            <v>Institut Kanser Negara</v>
          </cell>
          <cell r="E120" t="str">
            <v>16-158</v>
          </cell>
          <cell r="F120" t="str">
            <v>Sphygmomanometers, Mercury</v>
          </cell>
          <cell r="G120" t="str">
            <v>RT</v>
          </cell>
          <cell r="H120" t="str">
            <v>RADIATION TREATMENT UNIT</v>
          </cell>
          <cell r="I120" t="str">
            <v>01RT233</v>
          </cell>
          <cell r="J120" t="str">
            <v>EQ ROOM</v>
          </cell>
          <cell r="K120" t="str">
            <v>BMED</v>
          </cell>
          <cell r="L120" t="str">
            <v>Normal</v>
          </cell>
          <cell r="M120" t="str">
            <v>Germany</v>
          </cell>
          <cell r="N120" t="str">
            <v>Erka</v>
          </cell>
          <cell r="O120" t="str">
            <v>Erkameter 3000</v>
          </cell>
          <cell r="P120" t="str">
            <v>13500755</v>
          </cell>
          <cell r="Q120" t="str">
            <v>Not Applicable</v>
          </cell>
          <cell r="R120" t="str">
            <v>Erka GmbH &amp; Co</v>
          </cell>
          <cell r="S120" t="str">
            <v>Acucare Systems (M) Sdn bhd</v>
          </cell>
          <cell r="T120" t="str">
            <v>Functioning</v>
          </cell>
          <cell r="U120" t="str">
            <v>Asset</v>
          </cell>
          <cell r="V120">
            <v>505</v>
          </cell>
          <cell r="W120" t="str">
            <v>KEW</v>
          </cell>
          <cell r="X120" t="str">
            <v>01/09/2010</v>
          </cell>
          <cell r="Y120" t="str">
            <v>KEW</v>
          </cell>
          <cell r="Z120" t="str">
            <v>16/08/2013</v>
          </cell>
          <cell r="AA120" t="str">
            <v>15/08/2015</v>
          </cell>
          <cell r="AB120" t="str">
            <v>No</v>
          </cell>
          <cell r="AC120" t="str">
            <v>31/08/2013</v>
          </cell>
          <cell r="AD120" t="str">
            <v>Good</v>
          </cell>
          <cell r="AE120" t="str">
            <v>V4 - Decommissioned Installed Facility</v>
          </cell>
          <cell r="AF120">
            <v>42235</v>
          </cell>
          <cell r="AG120">
            <v>9.17</v>
          </cell>
          <cell r="AH120" t="str">
            <v>PPM</v>
          </cell>
          <cell r="AI120" t="str">
            <v>Not in contract</v>
          </cell>
          <cell r="AJ120" t="str">
            <v>Not under maintenance</v>
          </cell>
        </row>
        <row r="121">
          <cell r="A121" t="str">
            <v>IKN400837</v>
          </cell>
          <cell r="B121">
            <v>837</v>
          </cell>
          <cell r="C121" t="str">
            <v>Institut Kanser Negara</v>
          </cell>
          <cell r="D121" t="str">
            <v>KKM/IKN/H/13/2603</v>
          </cell>
          <cell r="E121" t="str">
            <v>18-595</v>
          </cell>
          <cell r="F121" t="str">
            <v>Ophthalmoscopes/Otoscopes</v>
          </cell>
          <cell r="G121" t="str">
            <v>RT</v>
          </cell>
          <cell r="H121" t="str">
            <v>RADIATION TREATMENT UNIT</v>
          </cell>
          <cell r="I121" t="str">
            <v>01RT237</v>
          </cell>
          <cell r="J121" t="str">
            <v>N/S</v>
          </cell>
          <cell r="K121" t="str">
            <v>BMED</v>
          </cell>
          <cell r="L121" t="str">
            <v>Normal</v>
          </cell>
          <cell r="M121" t="str">
            <v>USA</v>
          </cell>
          <cell r="N121" t="str">
            <v>Welch Allyn</v>
          </cell>
          <cell r="O121" t="str">
            <v>Welch Allyn 71904</v>
          </cell>
          <cell r="P121" t="str">
            <v>GD0019-8</v>
          </cell>
          <cell r="Q121" t="str">
            <v>Not Applicable</v>
          </cell>
          <cell r="R121" t="str">
            <v>Welch Allyn Inc</v>
          </cell>
          <cell r="S121" t="str">
            <v>Welch Allyn Malaysia Sdn Bhd</v>
          </cell>
          <cell r="T121" t="str">
            <v>Functioning</v>
          </cell>
          <cell r="U121" t="str">
            <v>Asset</v>
          </cell>
          <cell r="V121">
            <v>4690</v>
          </cell>
          <cell r="W121" t="str">
            <v>KEW</v>
          </cell>
          <cell r="X121" t="str">
            <v>01/09/2010</v>
          </cell>
          <cell r="Y121" t="str">
            <v>KEW</v>
          </cell>
          <cell r="Z121" t="str">
            <v>16/08/2013</v>
          </cell>
          <cell r="AA121" t="str">
            <v>15/08/2015</v>
          </cell>
          <cell r="AB121" t="str">
            <v>No</v>
          </cell>
          <cell r="AC121" t="str">
            <v>31/08/2013</v>
          </cell>
          <cell r="AD121" t="str">
            <v>Good</v>
          </cell>
          <cell r="AE121" t="str">
            <v>V1 - Existing / No Claim</v>
          </cell>
          <cell r="AF121">
            <v>42235</v>
          </cell>
          <cell r="AG121">
            <v>9.17</v>
          </cell>
          <cell r="AH121" t="str">
            <v>RI</v>
          </cell>
          <cell r="AI121" t="str">
            <v>Strands</v>
          </cell>
          <cell r="AJ121" t="str">
            <v>Not under maintenance</v>
          </cell>
        </row>
        <row r="122">
          <cell r="A122" t="str">
            <v>IKN400884</v>
          </cell>
          <cell r="B122">
            <v>883</v>
          </cell>
          <cell r="C122" t="str">
            <v>Institut Kanser Negara</v>
          </cell>
          <cell r="D122" t="str">
            <v>KKM/IKN/H/13/1618</v>
          </cell>
          <cell r="E122" t="str">
            <v>18-595</v>
          </cell>
          <cell r="F122" t="str">
            <v>Ophthalmoscopes/Otoscopes</v>
          </cell>
          <cell r="G122" t="str">
            <v>OC</v>
          </cell>
          <cell r="H122" t="str">
            <v>ONCOLOGY CLINIC</v>
          </cell>
          <cell r="I122" t="str">
            <v>03OC109</v>
          </cell>
          <cell r="J122" t="str">
            <v>C/E 1 (VIP)</v>
          </cell>
          <cell r="K122" t="str">
            <v>BMED</v>
          </cell>
          <cell r="L122" t="str">
            <v>Normal</v>
          </cell>
          <cell r="M122" t="str">
            <v>USA</v>
          </cell>
          <cell r="N122" t="str">
            <v>Welch Allyn</v>
          </cell>
          <cell r="O122" t="str">
            <v>Welch Allyn 71904</v>
          </cell>
          <cell r="P122" t="str">
            <v>GD0019-10</v>
          </cell>
          <cell r="Q122" t="str">
            <v>Not Applicable</v>
          </cell>
          <cell r="R122" t="str">
            <v>Welch Allyn Inc</v>
          </cell>
          <cell r="S122" t="str">
            <v>Welch Allyn Malaysia Sdn Bhd</v>
          </cell>
          <cell r="T122" t="str">
            <v>Functioning</v>
          </cell>
          <cell r="U122" t="str">
            <v>Asset</v>
          </cell>
          <cell r="V122">
            <v>4690</v>
          </cell>
          <cell r="W122" t="str">
            <v>KEW</v>
          </cell>
          <cell r="X122" t="str">
            <v>01/09/2010</v>
          </cell>
          <cell r="Y122" t="str">
            <v>KEW</v>
          </cell>
          <cell r="Z122" t="str">
            <v>16/08/2013</v>
          </cell>
          <cell r="AA122" t="str">
            <v>15/08/2015</v>
          </cell>
          <cell r="AB122" t="str">
            <v>No</v>
          </cell>
          <cell r="AC122" t="str">
            <v>31/08/2013</v>
          </cell>
          <cell r="AD122" t="str">
            <v>Good</v>
          </cell>
          <cell r="AE122" t="str">
            <v>V1 - Existing / No Claim</v>
          </cell>
          <cell r="AF122">
            <v>42235</v>
          </cell>
          <cell r="AG122">
            <v>9.17</v>
          </cell>
          <cell r="AH122" t="str">
            <v>RI</v>
          </cell>
          <cell r="AI122" t="str">
            <v>Strands</v>
          </cell>
          <cell r="AJ122" t="str">
            <v>Not under maintenance</v>
          </cell>
        </row>
        <row r="123">
          <cell r="A123" t="str">
            <v>IKN400885</v>
          </cell>
          <cell r="B123">
            <v>884</v>
          </cell>
          <cell r="C123" t="str">
            <v>Institut Kanser Negara</v>
          </cell>
          <cell r="D123" t="str">
            <v>KKM/IKN/H/13/1619</v>
          </cell>
          <cell r="E123" t="str">
            <v>18-595</v>
          </cell>
          <cell r="F123" t="str">
            <v>Ophthalmoscopes/Otoscopes</v>
          </cell>
          <cell r="G123" t="str">
            <v>OC</v>
          </cell>
          <cell r="H123" t="str">
            <v>ONCOLOGY CLINIC</v>
          </cell>
          <cell r="I123" t="str">
            <v>03OC117</v>
          </cell>
          <cell r="J123" t="str">
            <v>C/E 6</v>
          </cell>
          <cell r="K123" t="str">
            <v>BMED</v>
          </cell>
          <cell r="L123" t="str">
            <v>Normal</v>
          </cell>
          <cell r="M123" t="str">
            <v>USA</v>
          </cell>
          <cell r="N123" t="str">
            <v>Welch Allyn</v>
          </cell>
          <cell r="O123" t="str">
            <v>Welch Allyn 71904</v>
          </cell>
          <cell r="P123" t="str">
            <v>GD0019-11</v>
          </cell>
          <cell r="Q123" t="str">
            <v>Not Applicable</v>
          </cell>
          <cell r="R123" t="str">
            <v>Welch Allyn Inc</v>
          </cell>
          <cell r="S123" t="str">
            <v>Welch Allyn Malaysia Sdn Bhd</v>
          </cell>
          <cell r="T123" t="str">
            <v>Functioning</v>
          </cell>
          <cell r="U123" t="str">
            <v>Asset</v>
          </cell>
          <cell r="V123">
            <v>4690</v>
          </cell>
          <cell r="W123" t="str">
            <v>KEW</v>
          </cell>
          <cell r="X123" t="str">
            <v>01/09/2010</v>
          </cell>
          <cell r="Y123" t="str">
            <v>KEW</v>
          </cell>
          <cell r="Z123" t="str">
            <v>16/08/2013</v>
          </cell>
          <cell r="AA123" t="str">
            <v>15/08/2015</v>
          </cell>
          <cell r="AB123" t="str">
            <v>No</v>
          </cell>
          <cell r="AC123" t="str">
            <v>31/08/2013</v>
          </cell>
          <cell r="AD123" t="str">
            <v>Good</v>
          </cell>
          <cell r="AE123" t="str">
            <v>V1 - Existing / No Claim</v>
          </cell>
          <cell r="AF123">
            <v>42802</v>
          </cell>
          <cell r="AG123">
            <v>9.17</v>
          </cell>
          <cell r="AH123" t="str">
            <v>RI</v>
          </cell>
          <cell r="AI123" t="str">
            <v>Strands</v>
          </cell>
          <cell r="AJ123" t="str">
            <v>Not under maintenance</v>
          </cell>
        </row>
        <row r="124">
          <cell r="A124" t="str">
            <v>IKN400886</v>
          </cell>
          <cell r="B124">
            <v>885</v>
          </cell>
          <cell r="C124" t="str">
            <v>Institut Kanser Negara</v>
          </cell>
          <cell r="D124" t="str">
            <v>KKM/IKN/H/13/1620</v>
          </cell>
          <cell r="E124" t="str">
            <v>18-595</v>
          </cell>
          <cell r="F124" t="str">
            <v>Ophthalmoscopes/Otoscopes</v>
          </cell>
          <cell r="G124" t="str">
            <v>OC</v>
          </cell>
          <cell r="H124" t="str">
            <v>ONCOLOGY CLINIC</v>
          </cell>
          <cell r="I124" t="str">
            <v>03OC118</v>
          </cell>
          <cell r="J124" t="str">
            <v>C/E 5</v>
          </cell>
          <cell r="K124" t="str">
            <v>BMED</v>
          </cell>
          <cell r="L124" t="str">
            <v>Normal</v>
          </cell>
          <cell r="M124" t="str">
            <v>USA</v>
          </cell>
          <cell r="N124" t="str">
            <v>Welch Allyn</v>
          </cell>
          <cell r="O124" t="str">
            <v>Welch Allyn 71904</v>
          </cell>
          <cell r="P124" t="str">
            <v>GD0019-12</v>
          </cell>
          <cell r="Q124" t="str">
            <v>Not Applicable</v>
          </cell>
          <cell r="R124" t="str">
            <v>Welch Allyn Inc</v>
          </cell>
          <cell r="S124" t="str">
            <v>Welch Allyn Malaysia Sdn Bhd</v>
          </cell>
          <cell r="T124" t="str">
            <v>Functioning</v>
          </cell>
          <cell r="U124" t="str">
            <v>Asset</v>
          </cell>
          <cell r="V124">
            <v>4690</v>
          </cell>
          <cell r="W124" t="str">
            <v>KEW</v>
          </cell>
          <cell r="X124" t="str">
            <v>01/09/2010</v>
          </cell>
          <cell r="Y124" t="str">
            <v>KEW</v>
          </cell>
          <cell r="Z124" t="str">
            <v>16/08/2013</v>
          </cell>
          <cell r="AA124" t="str">
            <v>15/08/2015</v>
          </cell>
          <cell r="AB124" t="str">
            <v>No</v>
          </cell>
          <cell r="AC124" t="str">
            <v>31/08/2013</v>
          </cell>
          <cell r="AD124" t="str">
            <v>Good</v>
          </cell>
          <cell r="AE124" t="str">
            <v>V1 - Existing / No Claim</v>
          </cell>
          <cell r="AF124">
            <v>42802</v>
          </cell>
          <cell r="AG124">
            <v>9.17</v>
          </cell>
          <cell r="AH124" t="str">
            <v>RI</v>
          </cell>
          <cell r="AI124" t="str">
            <v>Strands</v>
          </cell>
          <cell r="AJ124" t="str">
            <v>Not under maintenance</v>
          </cell>
        </row>
        <row r="125">
          <cell r="A125" t="str">
            <v>IKN400887</v>
          </cell>
          <cell r="B125">
            <v>886</v>
          </cell>
          <cell r="C125" t="str">
            <v>Institut Kanser Negara</v>
          </cell>
          <cell r="D125" t="str">
            <v>KKM/IKN/H/13/1621</v>
          </cell>
          <cell r="E125" t="str">
            <v>18-595</v>
          </cell>
          <cell r="F125" t="str">
            <v>Ophthalmoscopes/Otoscopes</v>
          </cell>
          <cell r="G125" t="str">
            <v>OC</v>
          </cell>
          <cell r="H125" t="str">
            <v>ONCOLOGY CLINIC</v>
          </cell>
          <cell r="I125" t="str">
            <v>03OC119</v>
          </cell>
          <cell r="J125" t="str">
            <v>C/E 4</v>
          </cell>
          <cell r="K125" t="str">
            <v>BMED</v>
          </cell>
          <cell r="L125" t="str">
            <v>Normal</v>
          </cell>
          <cell r="M125" t="str">
            <v>USA</v>
          </cell>
          <cell r="N125" t="str">
            <v>Welch Allyn</v>
          </cell>
          <cell r="O125" t="str">
            <v>Welch Allyn 71904</v>
          </cell>
          <cell r="P125" t="str">
            <v>GD0019-13</v>
          </cell>
          <cell r="Q125" t="str">
            <v>Not Applicable</v>
          </cell>
          <cell r="R125" t="str">
            <v>Welch Allyn Inc</v>
          </cell>
          <cell r="S125" t="str">
            <v>Welch Allyn Malaysia Sdn Bhd</v>
          </cell>
          <cell r="T125" t="str">
            <v>Functioning</v>
          </cell>
          <cell r="U125" t="str">
            <v>Asset</v>
          </cell>
          <cell r="V125">
            <v>4690</v>
          </cell>
          <cell r="W125" t="str">
            <v>KEW</v>
          </cell>
          <cell r="X125" t="str">
            <v>01/09/2010</v>
          </cell>
          <cell r="Y125" t="str">
            <v>KEW</v>
          </cell>
          <cell r="Z125" t="str">
            <v>16/08/2013</v>
          </cell>
          <cell r="AA125" t="str">
            <v>15/08/2015</v>
          </cell>
          <cell r="AB125" t="str">
            <v>No</v>
          </cell>
          <cell r="AC125" t="str">
            <v>31/08/2013</v>
          </cell>
          <cell r="AD125" t="str">
            <v>Good</v>
          </cell>
          <cell r="AE125" t="str">
            <v>V1 - Existing / No Claim</v>
          </cell>
          <cell r="AF125">
            <v>42235</v>
          </cell>
          <cell r="AG125">
            <v>9.17</v>
          </cell>
          <cell r="AH125" t="str">
            <v>RI</v>
          </cell>
          <cell r="AI125" t="str">
            <v>Strands</v>
          </cell>
          <cell r="AJ125" t="str">
            <v>Not under maintenance</v>
          </cell>
        </row>
        <row r="126">
          <cell r="A126" t="str">
            <v>IKN400888</v>
          </cell>
          <cell r="B126">
            <v>887</v>
          </cell>
          <cell r="C126" t="str">
            <v>Institut Kanser Negara</v>
          </cell>
          <cell r="D126" t="str">
            <v>KKM/IKN/H/13/1622</v>
          </cell>
          <cell r="E126" t="str">
            <v>18-595</v>
          </cell>
          <cell r="F126" t="str">
            <v>Ophthalmoscopes/Otoscopes</v>
          </cell>
          <cell r="G126" t="str">
            <v>OC</v>
          </cell>
          <cell r="H126" t="str">
            <v>ONCOLOGY CLINIC</v>
          </cell>
          <cell r="I126" t="str">
            <v>03OC120</v>
          </cell>
          <cell r="J126" t="str">
            <v>C/E 3</v>
          </cell>
          <cell r="K126" t="str">
            <v>BMED</v>
          </cell>
          <cell r="L126" t="str">
            <v>Normal</v>
          </cell>
          <cell r="M126" t="str">
            <v>USA</v>
          </cell>
          <cell r="N126" t="str">
            <v>Welch Allyn</v>
          </cell>
          <cell r="O126" t="str">
            <v>Welch Allyn 71904</v>
          </cell>
          <cell r="P126" t="str">
            <v>GD0019-14</v>
          </cell>
          <cell r="Q126" t="str">
            <v>Not Applicable</v>
          </cell>
          <cell r="R126" t="str">
            <v>Welch Allyn Inc</v>
          </cell>
          <cell r="S126" t="str">
            <v>Welch Allyn Malaysia Sdn Bhd</v>
          </cell>
          <cell r="T126" t="str">
            <v>Functioning</v>
          </cell>
          <cell r="U126" t="str">
            <v>Asset</v>
          </cell>
          <cell r="V126">
            <v>4690</v>
          </cell>
          <cell r="W126" t="str">
            <v>KEW</v>
          </cell>
          <cell r="X126" t="str">
            <v>01/09/2010</v>
          </cell>
          <cell r="Y126" t="str">
            <v>KEW</v>
          </cell>
          <cell r="Z126" t="str">
            <v>16/08/2013</v>
          </cell>
          <cell r="AA126" t="str">
            <v>15/08/2015</v>
          </cell>
          <cell r="AB126" t="str">
            <v>No</v>
          </cell>
          <cell r="AC126" t="str">
            <v>31/08/2013</v>
          </cell>
          <cell r="AD126" t="str">
            <v>Good</v>
          </cell>
          <cell r="AE126" t="str">
            <v>V1 - Existing / No Claim</v>
          </cell>
          <cell r="AF126">
            <v>42802</v>
          </cell>
          <cell r="AG126">
            <v>9.17</v>
          </cell>
          <cell r="AH126" t="str">
            <v>RI</v>
          </cell>
          <cell r="AI126" t="str">
            <v>Strands</v>
          </cell>
          <cell r="AJ126" t="str">
            <v>Not under maintenance</v>
          </cell>
        </row>
        <row r="127">
          <cell r="A127" t="str">
            <v>IKN400889</v>
          </cell>
          <cell r="B127">
            <v>888</v>
          </cell>
          <cell r="C127" t="str">
            <v>Institut Kanser Negara</v>
          </cell>
          <cell r="D127" t="str">
            <v>KKM/IKN/H/13/1623</v>
          </cell>
          <cell r="E127" t="str">
            <v>18-595</v>
          </cell>
          <cell r="F127" t="str">
            <v>Ophthalmoscopes/Otoscopes</v>
          </cell>
          <cell r="G127" t="str">
            <v>OC</v>
          </cell>
          <cell r="H127" t="str">
            <v>ONCOLOGY CLINIC</v>
          </cell>
          <cell r="I127" t="str">
            <v>03OC121</v>
          </cell>
          <cell r="J127" t="str">
            <v>C/E2</v>
          </cell>
          <cell r="K127" t="str">
            <v>BMED</v>
          </cell>
          <cell r="L127" t="str">
            <v>Normal</v>
          </cell>
          <cell r="M127" t="str">
            <v>USA</v>
          </cell>
          <cell r="N127" t="str">
            <v>Welch Allyn</v>
          </cell>
          <cell r="O127" t="str">
            <v>Welch Allyn 71904</v>
          </cell>
          <cell r="P127" t="str">
            <v>GD0019-15</v>
          </cell>
          <cell r="Q127" t="str">
            <v>Not Applicable</v>
          </cell>
          <cell r="R127" t="str">
            <v>Welch Allyn Inc</v>
          </cell>
          <cell r="S127" t="str">
            <v>Welch Allyn Malaysia Sdn Bhd</v>
          </cell>
          <cell r="T127" t="str">
            <v>Functioning</v>
          </cell>
          <cell r="U127" t="str">
            <v>Asset</v>
          </cell>
          <cell r="V127">
            <v>4690</v>
          </cell>
          <cell r="W127" t="str">
            <v>KEW</v>
          </cell>
          <cell r="X127" t="str">
            <v>01/09/2010</v>
          </cell>
          <cell r="Y127" t="str">
            <v>KEW</v>
          </cell>
          <cell r="Z127" t="str">
            <v>16/08/2013</v>
          </cell>
          <cell r="AA127" t="str">
            <v>15/08/2015</v>
          </cell>
          <cell r="AB127" t="str">
            <v>No</v>
          </cell>
          <cell r="AC127" t="str">
            <v>31/08/2013</v>
          </cell>
          <cell r="AD127" t="str">
            <v>Good</v>
          </cell>
          <cell r="AE127" t="str">
            <v>V1 - Existing / No Claim</v>
          </cell>
          <cell r="AF127">
            <v>42802</v>
          </cell>
          <cell r="AG127">
            <v>9.17</v>
          </cell>
          <cell r="AH127" t="str">
            <v>RI</v>
          </cell>
          <cell r="AI127" t="str">
            <v>Strands</v>
          </cell>
          <cell r="AJ127" t="str">
            <v>Not under maintenance</v>
          </cell>
        </row>
        <row r="128">
          <cell r="A128" t="str">
            <v>IKN400911</v>
          </cell>
          <cell r="B128">
            <v>910</v>
          </cell>
          <cell r="C128" t="str">
            <v>Institut Kanser Negara</v>
          </cell>
          <cell r="D128" t="e">
            <v>#N/A</v>
          </cell>
          <cell r="E128" t="str">
            <v>16-158</v>
          </cell>
          <cell r="F128" t="str">
            <v>Sphygmomanometers, Mercury</v>
          </cell>
          <cell r="G128" t="str">
            <v>OC</v>
          </cell>
          <cell r="H128" t="str">
            <v>ONCOLOGY CLINIC</v>
          </cell>
          <cell r="I128" t="str">
            <v>03OC104</v>
          </cell>
          <cell r="J128" t="str">
            <v>C/E 7</v>
          </cell>
          <cell r="K128" t="str">
            <v>BMED</v>
          </cell>
          <cell r="L128" t="str">
            <v>Normal</v>
          </cell>
          <cell r="M128" t="str">
            <v>Germany</v>
          </cell>
          <cell r="N128" t="str">
            <v>Erka</v>
          </cell>
          <cell r="O128" t="str">
            <v>Erkameter 3000</v>
          </cell>
          <cell r="P128" t="str">
            <v>12508922</v>
          </cell>
          <cell r="Q128" t="str">
            <v>Not Applicable</v>
          </cell>
          <cell r="R128" t="str">
            <v>Erka GmbH &amp; Co</v>
          </cell>
          <cell r="S128" t="str">
            <v>Acucare Systems (M) Sdn bhd</v>
          </cell>
          <cell r="T128" t="str">
            <v>Functioning</v>
          </cell>
          <cell r="U128" t="str">
            <v>Asset</v>
          </cell>
          <cell r="V128">
            <v>505</v>
          </cell>
          <cell r="W128" t="str">
            <v>KEW</v>
          </cell>
          <cell r="X128" t="str">
            <v>01/09/2010</v>
          </cell>
          <cell r="Y128" t="str">
            <v>KEW</v>
          </cell>
          <cell r="Z128" t="str">
            <v>16/08/2013</v>
          </cell>
          <cell r="AA128" t="str">
            <v>15/08/2015</v>
          </cell>
          <cell r="AB128" t="str">
            <v>No</v>
          </cell>
          <cell r="AC128" t="str">
            <v>31/08/2013</v>
          </cell>
          <cell r="AD128" t="str">
            <v>Good</v>
          </cell>
          <cell r="AE128" t="str">
            <v>V4 - Decommissioned Installed Facility</v>
          </cell>
          <cell r="AF128">
            <v>42235</v>
          </cell>
          <cell r="AG128">
            <v>9.17</v>
          </cell>
          <cell r="AH128" t="str">
            <v>PPM</v>
          </cell>
          <cell r="AI128" t="str">
            <v>Not in contract</v>
          </cell>
          <cell r="AJ128" t="str">
            <v>Not under maintenance</v>
          </cell>
          <cell r="AK128" t="e">
            <v>#N/A</v>
          </cell>
        </row>
        <row r="129">
          <cell r="A129" t="str">
            <v>IKN400912</v>
          </cell>
          <cell r="B129">
            <v>911</v>
          </cell>
          <cell r="C129" t="str">
            <v>Institut Kanser Negara</v>
          </cell>
          <cell r="D129" t="e">
            <v>#N/A</v>
          </cell>
          <cell r="E129" t="str">
            <v>16-158</v>
          </cell>
          <cell r="F129" t="str">
            <v>Sphygmomanometers, Mercury</v>
          </cell>
          <cell r="G129" t="str">
            <v>OC</v>
          </cell>
          <cell r="H129" t="str">
            <v>ONCOLOGY CLINIC</v>
          </cell>
          <cell r="I129" t="str">
            <v>03OC105</v>
          </cell>
          <cell r="J129" t="str">
            <v>C/E 8</v>
          </cell>
          <cell r="K129" t="str">
            <v>BMED</v>
          </cell>
          <cell r="L129" t="str">
            <v>Normal</v>
          </cell>
          <cell r="M129" t="str">
            <v>Germany</v>
          </cell>
          <cell r="N129" t="str">
            <v>Erka</v>
          </cell>
          <cell r="O129" t="str">
            <v>Erkameter 3000</v>
          </cell>
          <cell r="P129" t="str">
            <v>12508923</v>
          </cell>
          <cell r="Q129" t="str">
            <v>Not Applicable</v>
          </cell>
          <cell r="R129" t="str">
            <v>Erka GmbH &amp; Co</v>
          </cell>
          <cell r="S129" t="str">
            <v>Acucare Systems (M) Sdn bhd</v>
          </cell>
          <cell r="T129" t="str">
            <v>Functioning</v>
          </cell>
          <cell r="U129" t="str">
            <v>Asset</v>
          </cell>
          <cell r="V129">
            <v>505</v>
          </cell>
          <cell r="W129" t="str">
            <v>KEW</v>
          </cell>
          <cell r="X129" t="str">
            <v>01/09/2010</v>
          </cell>
          <cell r="Y129" t="str">
            <v>KEW</v>
          </cell>
          <cell r="Z129" t="str">
            <v>16/08/2013</v>
          </cell>
          <cell r="AA129" t="str">
            <v>15/08/2015</v>
          </cell>
          <cell r="AB129" t="str">
            <v>No</v>
          </cell>
          <cell r="AC129" t="str">
            <v>31/08/2013</v>
          </cell>
          <cell r="AD129" t="str">
            <v>Good</v>
          </cell>
          <cell r="AE129" t="str">
            <v>V4 - Decommissioned Installed Facility</v>
          </cell>
          <cell r="AF129">
            <v>42235</v>
          </cell>
          <cell r="AG129">
            <v>9.17</v>
          </cell>
          <cell r="AH129" t="str">
            <v>PPM</v>
          </cell>
          <cell r="AI129" t="str">
            <v>Not in contract</v>
          </cell>
          <cell r="AJ129" t="str">
            <v>Not under maintenance</v>
          </cell>
          <cell r="AK129" t="e">
            <v>#N/A</v>
          </cell>
        </row>
        <row r="130">
          <cell r="A130" t="str">
            <v>IKN400913</v>
          </cell>
          <cell r="B130">
            <v>912</v>
          </cell>
          <cell r="C130" t="str">
            <v>Institut Kanser Negara</v>
          </cell>
          <cell r="D130" t="e">
            <v>#N/A</v>
          </cell>
          <cell r="E130" t="str">
            <v>16-158</v>
          </cell>
          <cell r="F130" t="str">
            <v>Sphygmomanometers, Mercury</v>
          </cell>
          <cell r="G130" t="str">
            <v>OC</v>
          </cell>
          <cell r="H130" t="str">
            <v>ONCOLOGY CLINIC</v>
          </cell>
          <cell r="I130" t="str">
            <v>03OC133</v>
          </cell>
          <cell r="J130" t="str">
            <v>ASSESSMENT</v>
          </cell>
          <cell r="K130" t="str">
            <v>BMED</v>
          </cell>
          <cell r="L130" t="str">
            <v>Normal</v>
          </cell>
          <cell r="M130" t="str">
            <v>Germany</v>
          </cell>
          <cell r="N130" t="str">
            <v>Erka</v>
          </cell>
          <cell r="O130" t="str">
            <v>Erkameter 3000</v>
          </cell>
          <cell r="P130" t="str">
            <v>13500752</v>
          </cell>
          <cell r="Q130" t="str">
            <v>Not Applicable</v>
          </cell>
          <cell r="R130" t="str">
            <v>Erka GmbH &amp; Co</v>
          </cell>
          <cell r="S130" t="str">
            <v>Acucare Systems (M) Sdn bhd</v>
          </cell>
          <cell r="T130" t="str">
            <v>Functioning</v>
          </cell>
          <cell r="U130" t="str">
            <v>Asset</v>
          </cell>
          <cell r="V130">
            <v>505</v>
          </cell>
          <cell r="W130" t="str">
            <v>KEW</v>
          </cell>
          <cell r="X130" t="str">
            <v>01/09/2010</v>
          </cell>
          <cell r="Y130" t="str">
            <v>KEW</v>
          </cell>
          <cell r="Z130" t="str">
            <v>16/08/2013</v>
          </cell>
          <cell r="AA130" t="str">
            <v>15/08/2015</v>
          </cell>
          <cell r="AB130" t="str">
            <v>No</v>
          </cell>
          <cell r="AC130" t="str">
            <v>31/08/2013</v>
          </cell>
          <cell r="AD130" t="str">
            <v>Good</v>
          </cell>
          <cell r="AE130" t="str">
            <v>V4 - Decommissioned Installed Facility</v>
          </cell>
          <cell r="AF130">
            <v>42235</v>
          </cell>
          <cell r="AG130">
            <v>9.17</v>
          </cell>
          <cell r="AH130" t="str">
            <v>PPM</v>
          </cell>
          <cell r="AI130" t="str">
            <v>Not in contract</v>
          </cell>
          <cell r="AJ130" t="str">
            <v>Not under maintenance</v>
          </cell>
          <cell r="AK130" t="e">
            <v>#N/A</v>
          </cell>
        </row>
        <row r="131">
          <cell r="A131" t="str">
            <v>IKN400970</v>
          </cell>
          <cell r="B131">
            <v>968</v>
          </cell>
          <cell r="C131" t="str">
            <v>Institut Kanser Negara</v>
          </cell>
          <cell r="D131" t="e">
            <v>#N/A</v>
          </cell>
          <cell r="E131" t="str">
            <v>16-158</v>
          </cell>
          <cell r="F131" t="str">
            <v>Sphygmomanometers, Mercury</v>
          </cell>
          <cell r="G131" t="str">
            <v>RT</v>
          </cell>
          <cell r="H131" t="str">
            <v>RADIATION TREATMENT UNIT</v>
          </cell>
          <cell r="I131" t="str">
            <v>01RT109</v>
          </cell>
          <cell r="J131" t="str">
            <v>C/L 1</v>
          </cell>
          <cell r="K131" t="str">
            <v>BMED</v>
          </cell>
          <cell r="L131" t="str">
            <v>Normal</v>
          </cell>
          <cell r="M131" t="str">
            <v>Germany</v>
          </cell>
          <cell r="N131" t="str">
            <v>Erka</v>
          </cell>
          <cell r="O131" t="str">
            <v>Erkameter 3000</v>
          </cell>
          <cell r="P131" t="str">
            <v>13500759</v>
          </cell>
          <cell r="Q131" t="str">
            <v>Not Applicable</v>
          </cell>
          <cell r="R131" t="str">
            <v>Erka GmbH &amp; Co</v>
          </cell>
          <cell r="S131" t="str">
            <v>Acucare Systems (M) Sdn bhd</v>
          </cell>
          <cell r="T131" t="str">
            <v>Functioning</v>
          </cell>
          <cell r="U131" t="str">
            <v>Asset</v>
          </cell>
          <cell r="V131">
            <v>505</v>
          </cell>
          <cell r="W131" t="str">
            <v>KEW</v>
          </cell>
          <cell r="X131" t="str">
            <v>01/09/2010</v>
          </cell>
          <cell r="Y131" t="str">
            <v>KEW</v>
          </cell>
          <cell r="Z131" t="str">
            <v>16/08/2013</v>
          </cell>
          <cell r="AA131" t="str">
            <v>15/08/2015</v>
          </cell>
          <cell r="AB131" t="str">
            <v>No</v>
          </cell>
          <cell r="AC131" t="str">
            <v>31/08/2013</v>
          </cell>
          <cell r="AD131" t="str">
            <v>Good</v>
          </cell>
          <cell r="AE131" t="str">
            <v>V4 - Decommissioned Installed Facility</v>
          </cell>
          <cell r="AF131">
            <v>42235</v>
          </cell>
          <cell r="AG131">
            <v>9.17</v>
          </cell>
          <cell r="AH131" t="str">
            <v>PPM</v>
          </cell>
          <cell r="AI131" t="str">
            <v>Not in contract</v>
          </cell>
          <cell r="AJ131" t="str">
            <v>Not under maintenance</v>
          </cell>
          <cell r="AK131" t="e">
            <v>#N/A</v>
          </cell>
        </row>
        <row r="132">
          <cell r="A132" t="str">
            <v>IKN400971</v>
          </cell>
          <cell r="B132">
            <v>969</v>
          </cell>
          <cell r="C132" t="str">
            <v>Institut Kanser Negara</v>
          </cell>
          <cell r="D132" t="e">
            <v>#N/A</v>
          </cell>
          <cell r="E132" t="str">
            <v>16-158</v>
          </cell>
          <cell r="F132" t="str">
            <v>Sphygmomanometers, Mercury</v>
          </cell>
          <cell r="G132" t="str">
            <v>RT</v>
          </cell>
          <cell r="H132" t="str">
            <v>RADIATION TREATMENT UNIT</v>
          </cell>
          <cell r="I132" t="str">
            <v>01RT110</v>
          </cell>
          <cell r="J132" t="str">
            <v>C/E 2</v>
          </cell>
          <cell r="K132" t="str">
            <v>BMED</v>
          </cell>
          <cell r="L132" t="str">
            <v>Normal</v>
          </cell>
          <cell r="M132" t="str">
            <v>Germany</v>
          </cell>
          <cell r="N132" t="str">
            <v>Erka</v>
          </cell>
          <cell r="O132" t="str">
            <v>Erkameter 3000</v>
          </cell>
          <cell r="P132" t="str">
            <v>12508915</v>
          </cell>
          <cell r="Q132" t="str">
            <v>Not Applicable</v>
          </cell>
          <cell r="R132" t="str">
            <v>Erka GmbH &amp; Co</v>
          </cell>
          <cell r="S132" t="str">
            <v>Acucare Systems (M) Sdn bhd</v>
          </cell>
          <cell r="T132" t="str">
            <v>Functioning</v>
          </cell>
          <cell r="U132" t="str">
            <v>Asset</v>
          </cell>
          <cell r="V132">
            <v>505</v>
          </cell>
          <cell r="W132" t="str">
            <v>KEW</v>
          </cell>
          <cell r="X132" t="str">
            <v>01/09/2010</v>
          </cell>
          <cell r="Y132" t="str">
            <v>KEW</v>
          </cell>
          <cell r="Z132" t="str">
            <v>16/08/2013</v>
          </cell>
          <cell r="AA132" t="str">
            <v>15/08/2015</v>
          </cell>
          <cell r="AB132" t="str">
            <v>No</v>
          </cell>
          <cell r="AC132" t="str">
            <v>31/08/2013</v>
          </cell>
          <cell r="AD132" t="str">
            <v>Good</v>
          </cell>
          <cell r="AE132" t="str">
            <v>V4 - Decommissioned Installed Facility</v>
          </cell>
          <cell r="AF132">
            <v>42235</v>
          </cell>
          <cell r="AG132">
            <v>9.17</v>
          </cell>
          <cell r="AH132" t="str">
            <v>PPM</v>
          </cell>
          <cell r="AI132" t="str">
            <v>Not in contract</v>
          </cell>
          <cell r="AJ132" t="str">
            <v>Not under maintenance</v>
          </cell>
          <cell r="AK132" t="e">
            <v>#N/A</v>
          </cell>
        </row>
        <row r="133">
          <cell r="A133" t="str">
            <v>IKN401062</v>
          </cell>
          <cell r="B133">
            <v>1060</v>
          </cell>
          <cell r="C133" t="str">
            <v>Institut Kanser Negara</v>
          </cell>
          <cell r="D133" t="e">
            <v>#N/A</v>
          </cell>
          <cell r="E133" t="str">
            <v>16-158</v>
          </cell>
          <cell r="F133" t="str">
            <v>Sphygmomanometers, Mercury</v>
          </cell>
          <cell r="G133" t="str">
            <v>OT</v>
          </cell>
          <cell r="H133" t="str">
            <v>OPERATING THEATRE</v>
          </cell>
          <cell r="I133" t="str">
            <v>05OT169</v>
          </cell>
          <cell r="J133" t="str">
            <v>EQ. ROOM</v>
          </cell>
          <cell r="K133" t="str">
            <v>BMED</v>
          </cell>
          <cell r="L133" t="str">
            <v>Normal</v>
          </cell>
          <cell r="M133" t="str">
            <v>Germany</v>
          </cell>
          <cell r="N133" t="str">
            <v>Erka</v>
          </cell>
          <cell r="O133" t="str">
            <v>Erkameter 3000</v>
          </cell>
          <cell r="P133" t="str">
            <v>13500820</v>
          </cell>
          <cell r="Q133" t="str">
            <v>Not Applicable</v>
          </cell>
          <cell r="R133" t="str">
            <v>Erka GmbH &amp; Co</v>
          </cell>
          <cell r="S133" t="str">
            <v>Acucare Systems (M) Sdn bhd</v>
          </cell>
          <cell r="T133" t="str">
            <v>Functioning</v>
          </cell>
          <cell r="U133" t="str">
            <v>Asset</v>
          </cell>
          <cell r="V133">
            <v>505</v>
          </cell>
          <cell r="W133" t="str">
            <v>KEW</v>
          </cell>
          <cell r="X133" t="str">
            <v>01/09/2010</v>
          </cell>
          <cell r="Y133" t="str">
            <v>KEW</v>
          </cell>
          <cell r="Z133" t="str">
            <v>16/08/2013</v>
          </cell>
          <cell r="AA133" t="str">
            <v>15/08/2015</v>
          </cell>
          <cell r="AB133" t="str">
            <v>No</v>
          </cell>
          <cell r="AC133" t="str">
            <v>31/08/2013</v>
          </cell>
          <cell r="AD133" t="str">
            <v>Good</v>
          </cell>
          <cell r="AE133" t="str">
            <v>V4 - Decommissioned Installed Facility</v>
          </cell>
          <cell r="AF133">
            <v>42235</v>
          </cell>
          <cell r="AG133">
            <v>9.17</v>
          </cell>
          <cell r="AH133" t="str">
            <v>PPM</v>
          </cell>
          <cell r="AI133" t="str">
            <v>Not in contract</v>
          </cell>
          <cell r="AJ133" t="str">
            <v>Not under maintenance</v>
          </cell>
          <cell r="AK133" t="e">
            <v>#N/A</v>
          </cell>
        </row>
        <row r="134">
          <cell r="A134" t="str">
            <v>IKN401063</v>
          </cell>
          <cell r="B134">
            <v>1061</v>
          </cell>
          <cell r="C134" t="str">
            <v>Institut Kanser Negara</v>
          </cell>
          <cell r="D134" t="e">
            <v>#N/A</v>
          </cell>
          <cell r="E134" t="str">
            <v>16-158</v>
          </cell>
          <cell r="F134" t="str">
            <v>Sphygmomanometers, Mercury</v>
          </cell>
          <cell r="G134" t="str">
            <v>OT</v>
          </cell>
          <cell r="H134" t="str">
            <v>OPERATING THEATRE</v>
          </cell>
          <cell r="I134" t="str">
            <v>05OT169</v>
          </cell>
          <cell r="J134" t="str">
            <v>EQ. ROOM</v>
          </cell>
          <cell r="K134" t="str">
            <v>BMED</v>
          </cell>
          <cell r="L134" t="str">
            <v>Critical</v>
          </cell>
          <cell r="M134" t="str">
            <v>Germany</v>
          </cell>
          <cell r="N134" t="str">
            <v>Erka</v>
          </cell>
          <cell r="O134" t="str">
            <v>Erkameter 3000</v>
          </cell>
          <cell r="P134" t="str">
            <v>13500750</v>
          </cell>
          <cell r="Q134" t="str">
            <v>Not Applicable</v>
          </cell>
          <cell r="R134" t="str">
            <v>Erka GmbH &amp; Co</v>
          </cell>
          <cell r="S134" t="str">
            <v>Acucare Systems (M) Sdn bhd</v>
          </cell>
          <cell r="T134" t="str">
            <v>Functioning</v>
          </cell>
          <cell r="U134" t="str">
            <v>Asset</v>
          </cell>
          <cell r="V134">
            <v>336</v>
          </cell>
          <cell r="W134" t="str">
            <v>KEW</v>
          </cell>
          <cell r="X134" t="str">
            <v>01/09/2010</v>
          </cell>
          <cell r="Y134" t="str">
            <v>KEW</v>
          </cell>
          <cell r="Z134" t="str">
            <v>16/08/2013</v>
          </cell>
          <cell r="AA134" t="str">
            <v>15/08/2015</v>
          </cell>
          <cell r="AB134" t="str">
            <v>No</v>
          </cell>
          <cell r="AC134" t="str">
            <v>31/08/2013</v>
          </cell>
          <cell r="AD134" t="str">
            <v>Good</v>
          </cell>
          <cell r="AE134" t="str">
            <v>V4 - Decommissioned Installed Facility</v>
          </cell>
          <cell r="AF134">
            <v>42803</v>
          </cell>
          <cell r="AG134">
            <v>9.17</v>
          </cell>
          <cell r="AH134" t="str">
            <v>PPM</v>
          </cell>
          <cell r="AI134" t="str">
            <v>Not in contract</v>
          </cell>
          <cell r="AJ134" t="str">
            <v>Not under maintenance</v>
          </cell>
          <cell r="AK134" t="e">
            <v>#N/A</v>
          </cell>
        </row>
        <row r="135">
          <cell r="A135" t="str">
            <v>IKN401064</v>
          </cell>
          <cell r="B135">
            <v>1062</v>
          </cell>
          <cell r="C135" t="str">
            <v>Institut Kanser Negara</v>
          </cell>
          <cell r="D135" t="str">
            <v>KKM/IKN/H/13/177</v>
          </cell>
          <cell r="E135" t="str">
            <v>18-595</v>
          </cell>
          <cell r="F135" t="str">
            <v>Ophthalmoscopes/Otoscopes</v>
          </cell>
          <cell r="G135" t="str">
            <v>OT</v>
          </cell>
          <cell r="H135" t="str">
            <v>OPERATING THEATRE</v>
          </cell>
          <cell r="I135" t="str">
            <v>05OT158</v>
          </cell>
          <cell r="J135" t="str">
            <v>NURSE STATION</v>
          </cell>
          <cell r="K135" t="str">
            <v>BMED</v>
          </cell>
          <cell r="L135" t="str">
            <v>Normal</v>
          </cell>
          <cell r="M135" t="str">
            <v>USA</v>
          </cell>
          <cell r="N135" t="str">
            <v>Welch Allyn</v>
          </cell>
          <cell r="O135" t="str">
            <v>Welch Allyn 97150-BIM</v>
          </cell>
          <cell r="P135" t="str">
            <v>GD0019-33</v>
          </cell>
          <cell r="Q135" t="str">
            <v>Not Applicable</v>
          </cell>
          <cell r="R135" t="str">
            <v>Welch Allyn Inc</v>
          </cell>
          <cell r="S135" t="str">
            <v>Welch Allyn Malaysia Sdn Bhd</v>
          </cell>
          <cell r="T135" t="str">
            <v>Functioning</v>
          </cell>
          <cell r="U135" t="str">
            <v>Asset</v>
          </cell>
          <cell r="V135">
            <v>4690</v>
          </cell>
          <cell r="W135" t="str">
            <v>KEW</v>
          </cell>
          <cell r="X135" t="str">
            <v>01/09/2010</v>
          </cell>
          <cell r="Y135" t="str">
            <v>KEW</v>
          </cell>
          <cell r="Z135" t="str">
            <v>16/08/2013</v>
          </cell>
          <cell r="AA135" t="str">
            <v>15/08/2015</v>
          </cell>
          <cell r="AB135" t="str">
            <v>No</v>
          </cell>
          <cell r="AC135" t="str">
            <v>31/08/2013</v>
          </cell>
          <cell r="AD135" t="str">
            <v>Good</v>
          </cell>
          <cell r="AE135" t="str">
            <v>V1 - Existing / No Claim</v>
          </cell>
          <cell r="AF135">
            <v>42803</v>
          </cell>
          <cell r="AG135">
            <v>9.17</v>
          </cell>
          <cell r="AH135" t="str">
            <v>RI</v>
          </cell>
          <cell r="AI135" t="str">
            <v>Strands</v>
          </cell>
          <cell r="AJ135" t="str">
            <v>Not under maintenance</v>
          </cell>
        </row>
        <row r="136">
          <cell r="A136" t="str">
            <v>IKN401065</v>
          </cell>
          <cell r="B136">
            <v>1063</v>
          </cell>
          <cell r="C136" t="str">
            <v>Institut Kanser Negara</v>
          </cell>
          <cell r="D136" t="str">
            <v>KKM/IKN/H/13/176</v>
          </cell>
          <cell r="E136" t="str">
            <v>18-595</v>
          </cell>
          <cell r="F136" t="str">
            <v>Ophthalmoscopes/Otoscopes</v>
          </cell>
          <cell r="G136" t="str">
            <v>OT</v>
          </cell>
          <cell r="H136" t="str">
            <v>OPERATING THEATRE</v>
          </cell>
          <cell r="I136" t="str">
            <v>05OT150</v>
          </cell>
          <cell r="J136" t="str">
            <v>RECEPTION STAFF BASE</v>
          </cell>
          <cell r="K136" t="str">
            <v>BMED</v>
          </cell>
          <cell r="L136" t="str">
            <v>Normal</v>
          </cell>
          <cell r="M136" t="str">
            <v>USA</v>
          </cell>
          <cell r="N136" t="str">
            <v>Welch Allyn</v>
          </cell>
          <cell r="O136" t="str">
            <v>Welch Allyn 97150-BIM</v>
          </cell>
          <cell r="P136" t="str">
            <v>GD0019-32</v>
          </cell>
          <cell r="Q136" t="str">
            <v>Not Applicable</v>
          </cell>
          <cell r="R136" t="str">
            <v>Welch Allyn Inc</v>
          </cell>
          <cell r="S136" t="str">
            <v>Welch Allyn Malaysia Sdn Bhd</v>
          </cell>
          <cell r="T136" t="str">
            <v>Functioning</v>
          </cell>
          <cell r="U136" t="str">
            <v>Asset</v>
          </cell>
          <cell r="V136">
            <v>4690</v>
          </cell>
          <cell r="W136" t="str">
            <v>KEW</v>
          </cell>
          <cell r="X136" t="str">
            <v>01/09/2010</v>
          </cell>
          <cell r="Y136" t="str">
            <v>KEW</v>
          </cell>
          <cell r="Z136" t="str">
            <v>16/08/2013</v>
          </cell>
          <cell r="AA136" t="str">
            <v>15/08/2015</v>
          </cell>
          <cell r="AB136" t="str">
            <v>No</v>
          </cell>
          <cell r="AC136" t="str">
            <v>31/08/2013</v>
          </cell>
          <cell r="AD136" t="str">
            <v>Good</v>
          </cell>
          <cell r="AE136" t="str">
            <v>V1 - Existing / No Claim</v>
          </cell>
          <cell r="AF136">
            <v>42803</v>
          </cell>
          <cell r="AG136">
            <v>9.17</v>
          </cell>
          <cell r="AH136" t="str">
            <v>RI</v>
          </cell>
          <cell r="AI136" t="str">
            <v>Strands</v>
          </cell>
          <cell r="AJ136" t="str">
            <v>Not under maintenance</v>
          </cell>
        </row>
        <row r="137">
          <cell r="A137" t="str">
            <v>IKN401066</v>
          </cell>
          <cell r="B137">
            <v>1064</v>
          </cell>
          <cell r="C137" t="str">
            <v>Institut Kanser Negara</v>
          </cell>
          <cell r="D137" t="e">
            <v>#N/A</v>
          </cell>
          <cell r="E137" t="str">
            <v>18-595</v>
          </cell>
          <cell r="F137" t="str">
            <v>Ophthalmoscopes/Otoscopes</v>
          </cell>
          <cell r="G137" t="str">
            <v>OT</v>
          </cell>
          <cell r="H137" t="str">
            <v>OPERATING THEATRE</v>
          </cell>
          <cell r="I137" t="str">
            <v>05OT169</v>
          </cell>
          <cell r="J137" t="str">
            <v>EQ. ROOM</v>
          </cell>
          <cell r="K137" t="str">
            <v>BMED</v>
          </cell>
          <cell r="L137" t="str">
            <v>Normal</v>
          </cell>
          <cell r="M137" t="str">
            <v>USA</v>
          </cell>
          <cell r="N137" t="str">
            <v>Welch Allyn</v>
          </cell>
          <cell r="O137" t="str">
            <v>Welch Allyn 97150-BIM</v>
          </cell>
          <cell r="P137" t="str">
            <v>N/A</v>
          </cell>
          <cell r="Q137" t="str">
            <v>Not Applicable</v>
          </cell>
          <cell r="R137" t="str">
            <v>Welch Allyn Inc</v>
          </cell>
          <cell r="S137" t="str">
            <v>Welch Allyn Malaysia Sdn Bhd</v>
          </cell>
          <cell r="T137" t="str">
            <v>Functioning</v>
          </cell>
          <cell r="U137" t="str">
            <v>Asset</v>
          </cell>
          <cell r="V137">
            <v>4690</v>
          </cell>
          <cell r="W137" t="str">
            <v>KEW</v>
          </cell>
          <cell r="X137" t="str">
            <v>01/09/2010</v>
          </cell>
          <cell r="Y137" t="str">
            <v>KEW</v>
          </cell>
          <cell r="Z137" t="str">
            <v>16/08/2013</v>
          </cell>
          <cell r="AA137" t="str">
            <v>15/08/2015</v>
          </cell>
          <cell r="AB137" t="str">
            <v>No</v>
          </cell>
          <cell r="AC137" t="str">
            <v>31/08/2013</v>
          </cell>
          <cell r="AD137" t="str">
            <v>Good</v>
          </cell>
          <cell r="AE137" t="str">
            <v>V1 - Existing / No Claim</v>
          </cell>
          <cell r="AF137">
            <v>42235</v>
          </cell>
          <cell r="AG137">
            <v>9.17</v>
          </cell>
          <cell r="AH137" t="str">
            <v>RI</v>
          </cell>
          <cell r="AI137" t="str">
            <v>Not in contract</v>
          </cell>
          <cell r="AJ137" t="str">
            <v>Not under maintenance</v>
          </cell>
          <cell r="AK137" t="str">
            <v>Will be under V4. Taken out of contract as agreed by IKN</v>
          </cell>
        </row>
        <row r="138">
          <cell r="A138" t="str">
            <v>IKN401067</v>
          </cell>
          <cell r="B138">
            <v>1065</v>
          </cell>
          <cell r="C138" t="str">
            <v>Institut Kanser Negara</v>
          </cell>
          <cell r="D138" t="e">
            <v>#N/A</v>
          </cell>
          <cell r="E138" t="str">
            <v>18-595</v>
          </cell>
          <cell r="F138" t="str">
            <v>Ophthalmoscopes/Otoscopes</v>
          </cell>
          <cell r="G138" t="str">
            <v>OT</v>
          </cell>
          <cell r="H138" t="str">
            <v>OPERATING THEATRE</v>
          </cell>
          <cell r="I138" t="str">
            <v>05OT169</v>
          </cell>
          <cell r="J138" t="str">
            <v>EQ. ROOM</v>
          </cell>
          <cell r="K138" t="str">
            <v>BMED</v>
          </cell>
          <cell r="L138" t="str">
            <v>Normal</v>
          </cell>
          <cell r="M138" t="str">
            <v>USA</v>
          </cell>
          <cell r="N138" t="str">
            <v>Welch Allyn</v>
          </cell>
          <cell r="O138" t="str">
            <v>Welch Allyn 97150-BIM</v>
          </cell>
          <cell r="P138" t="str">
            <v>N/A</v>
          </cell>
          <cell r="Q138" t="str">
            <v>Not Applicable</v>
          </cell>
          <cell r="R138" t="str">
            <v>Welch Allyn Inc</v>
          </cell>
          <cell r="S138" t="str">
            <v>Welch Allyn Malaysia Sdn Bhd</v>
          </cell>
          <cell r="T138" t="str">
            <v>Functioning</v>
          </cell>
          <cell r="U138" t="str">
            <v>Asset</v>
          </cell>
          <cell r="V138">
            <v>4690</v>
          </cell>
          <cell r="W138" t="str">
            <v>KEW</v>
          </cell>
          <cell r="X138" t="str">
            <v>01/09/2010</v>
          </cell>
          <cell r="Y138" t="str">
            <v>KEW</v>
          </cell>
          <cell r="Z138" t="str">
            <v>16/08/2013</v>
          </cell>
          <cell r="AA138" t="str">
            <v>15/08/2015</v>
          </cell>
          <cell r="AB138" t="str">
            <v>No</v>
          </cell>
          <cell r="AC138" t="str">
            <v>31/08/2013</v>
          </cell>
          <cell r="AD138" t="str">
            <v>Good</v>
          </cell>
          <cell r="AE138" t="str">
            <v>V1 - Existing / No Claim</v>
          </cell>
          <cell r="AF138">
            <v>42235</v>
          </cell>
          <cell r="AG138">
            <v>9.17</v>
          </cell>
          <cell r="AH138" t="str">
            <v>RI</v>
          </cell>
          <cell r="AI138" t="str">
            <v>Not in contract</v>
          </cell>
          <cell r="AJ138" t="str">
            <v>Not under maintenance</v>
          </cell>
          <cell r="AK138" t="str">
            <v>Will be under V4. Taken out of contract as agreed by IKN</v>
          </cell>
        </row>
        <row r="139">
          <cell r="A139" t="str">
            <v>IKN401114</v>
          </cell>
          <cell r="B139">
            <v>1112</v>
          </cell>
          <cell r="C139" t="str">
            <v>Institut Kanser Negara</v>
          </cell>
          <cell r="D139" t="e">
            <v>#N/A</v>
          </cell>
          <cell r="E139" t="str">
            <v>16-158</v>
          </cell>
          <cell r="F139" t="str">
            <v>Sphygmomanometers, Mercury</v>
          </cell>
          <cell r="G139" t="str">
            <v>AE</v>
          </cell>
          <cell r="H139" t="str">
            <v>EMERGENCY UNIT</v>
          </cell>
          <cell r="I139" t="str">
            <v>01AE118</v>
          </cell>
          <cell r="J139" t="str">
            <v>RESUSCITATION TREATMENT 1</v>
          </cell>
          <cell r="K139" t="str">
            <v>BMED</v>
          </cell>
          <cell r="L139" t="str">
            <v>Normal</v>
          </cell>
          <cell r="M139" t="str">
            <v>Germany</v>
          </cell>
          <cell r="N139" t="str">
            <v>Erka</v>
          </cell>
          <cell r="O139" t="str">
            <v>Erkameter 3000</v>
          </cell>
          <cell r="P139" t="str">
            <v>13500745</v>
          </cell>
          <cell r="Q139" t="str">
            <v>Not Applicable</v>
          </cell>
          <cell r="R139" t="str">
            <v>Erka GmbH &amp; Co</v>
          </cell>
          <cell r="S139" t="str">
            <v>Acucare Systems (M) Sdn bhd</v>
          </cell>
          <cell r="T139" t="str">
            <v>Functioning</v>
          </cell>
          <cell r="U139" t="str">
            <v>Asset</v>
          </cell>
          <cell r="V139">
            <v>505</v>
          </cell>
          <cell r="W139" t="str">
            <v>KEW</v>
          </cell>
          <cell r="X139" t="str">
            <v>01/09/2010</v>
          </cell>
          <cell r="Y139" t="str">
            <v>KEW</v>
          </cell>
          <cell r="Z139" t="str">
            <v>16/08/2013</v>
          </cell>
          <cell r="AA139" t="str">
            <v>15/08/2015</v>
          </cell>
          <cell r="AB139" t="str">
            <v>No</v>
          </cell>
          <cell r="AC139" t="str">
            <v>31/08/2013</v>
          </cell>
          <cell r="AD139" t="str">
            <v>Good</v>
          </cell>
          <cell r="AE139" t="str">
            <v>V4 - Decommissioned Installed Facility</v>
          </cell>
          <cell r="AF139">
            <v>42235</v>
          </cell>
          <cell r="AG139">
            <v>9.17</v>
          </cell>
          <cell r="AH139" t="str">
            <v>PPM</v>
          </cell>
          <cell r="AI139" t="str">
            <v>Not in contract</v>
          </cell>
          <cell r="AJ139" t="str">
            <v>Not under maintenance</v>
          </cell>
          <cell r="AK139" t="e">
            <v>#N/A</v>
          </cell>
        </row>
        <row r="140">
          <cell r="A140" t="str">
            <v>IKN401115</v>
          </cell>
          <cell r="B140">
            <v>1113</v>
          </cell>
          <cell r="C140" t="str">
            <v>Institut Kanser Negara</v>
          </cell>
          <cell r="D140" t="e">
            <v>#N/A</v>
          </cell>
          <cell r="E140" t="str">
            <v>16-158</v>
          </cell>
          <cell r="F140" t="str">
            <v>Sphygmomanometers, Mercury</v>
          </cell>
          <cell r="G140" t="str">
            <v>AE</v>
          </cell>
          <cell r="H140" t="str">
            <v>EMERGENCY UNIT</v>
          </cell>
          <cell r="I140" t="str">
            <v>01AE119</v>
          </cell>
          <cell r="J140" t="str">
            <v>RESUSCITATION/TREATMENT</v>
          </cell>
          <cell r="K140" t="str">
            <v>BMED</v>
          </cell>
          <cell r="L140" t="str">
            <v>Normal</v>
          </cell>
          <cell r="M140" t="str">
            <v>Germany</v>
          </cell>
          <cell r="N140" t="str">
            <v>Erka</v>
          </cell>
          <cell r="O140" t="str">
            <v>Erkameter 3000</v>
          </cell>
          <cell r="P140" t="str">
            <v>13500762</v>
          </cell>
          <cell r="Q140" t="str">
            <v>Not Applicable</v>
          </cell>
          <cell r="R140" t="str">
            <v>Erka GmbH &amp; Co</v>
          </cell>
          <cell r="S140" t="str">
            <v>Acucare Systems (M) Sdn bhd</v>
          </cell>
          <cell r="T140" t="str">
            <v>Functioning</v>
          </cell>
          <cell r="U140" t="str">
            <v>Asset</v>
          </cell>
          <cell r="V140">
            <v>505</v>
          </cell>
          <cell r="W140" t="str">
            <v>KEW</v>
          </cell>
          <cell r="X140" t="str">
            <v>01/09/2010</v>
          </cell>
          <cell r="Y140" t="str">
            <v>KEW</v>
          </cell>
          <cell r="Z140" t="str">
            <v>16/08/2013</v>
          </cell>
          <cell r="AA140" t="str">
            <v>15/08/2015</v>
          </cell>
          <cell r="AB140" t="str">
            <v>No</v>
          </cell>
          <cell r="AC140" t="str">
            <v>31/08/2013</v>
          </cell>
          <cell r="AD140" t="str">
            <v>Good</v>
          </cell>
          <cell r="AE140" t="str">
            <v>V4 - Decommissioned Installed Facility</v>
          </cell>
          <cell r="AF140">
            <v>42235</v>
          </cell>
          <cell r="AG140">
            <v>9.17</v>
          </cell>
          <cell r="AH140" t="str">
            <v>PPM</v>
          </cell>
          <cell r="AI140" t="str">
            <v>Not in contract</v>
          </cell>
          <cell r="AJ140" t="str">
            <v>Not under maintenance</v>
          </cell>
          <cell r="AK140" t="e">
            <v>#N/A</v>
          </cell>
        </row>
        <row r="141">
          <cell r="A141" t="str">
            <v>IKN401132</v>
          </cell>
          <cell r="B141">
            <v>1130</v>
          </cell>
          <cell r="C141" t="str">
            <v>Institut Kanser Negara</v>
          </cell>
          <cell r="D141" t="e">
            <v>#N/A</v>
          </cell>
          <cell r="E141" t="str">
            <v>18-595</v>
          </cell>
          <cell r="F141" t="str">
            <v>Ophthalmoscopes/Otoscopes</v>
          </cell>
          <cell r="G141" t="str">
            <v>AE</v>
          </cell>
          <cell r="H141" t="str">
            <v>EMERGENCY UNIT</v>
          </cell>
          <cell r="I141" t="str">
            <v>01AE106</v>
          </cell>
          <cell r="J141" t="str">
            <v>C/E ROOM</v>
          </cell>
          <cell r="K141" t="str">
            <v>BMED</v>
          </cell>
          <cell r="L141" t="str">
            <v>Normal</v>
          </cell>
          <cell r="M141" t="str">
            <v>USA</v>
          </cell>
          <cell r="N141" t="str">
            <v>Welch Allyn</v>
          </cell>
          <cell r="O141" t="str">
            <v>Welch Allyn 71904</v>
          </cell>
          <cell r="P141" t="str">
            <v>N/A</v>
          </cell>
          <cell r="Q141" t="str">
            <v>Not Applicable</v>
          </cell>
          <cell r="R141" t="str">
            <v>Welch Allyn Inc</v>
          </cell>
          <cell r="S141" t="str">
            <v>Welch Allyn Malaysia Sdn Bhd</v>
          </cell>
          <cell r="T141" t="str">
            <v>Functioning</v>
          </cell>
          <cell r="U141" t="str">
            <v>Asset</v>
          </cell>
          <cell r="V141">
            <v>4690</v>
          </cell>
          <cell r="W141" t="str">
            <v>KEW</v>
          </cell>
          <cell r="X141" t="str">
            <v>01/09/2010</v>
          </cell>
          <cell r="Y141" t="str">
            <v>KEW</v>
          </cell>
          <cell r="Z141" t="str">
            <v>16/08/2013</v>
          </cell>
          <cell r="AA141" t="str">
            <v>15/08/2015</v>
          </cell>
          <cell r="AB141" t="str">
            <v>No</v>
          </cell>
          <cell r="AC141" t="str">
            <v>31/08/2013</v>
          </cell>
          <cell r="AD141" t="str">
            <v>Good</v>
          </cell>
          <cell r="AE141" t="str">
            <v>V1 - Existing / No Claim</v>
          </cell>
          <cell r="AF141">
            <v>42235</v>
          </cell>
          <cell r="AG141">
            <v>9.17</v>
          </cell>
          <cell r="AH141" t="str">
            <v>RI</v>
          </cell>
          <cell r="AI141" t="str">
            <v>Not in contract</v>
          </cell>
          <cell r="AJ141" t="str">
            <v>Not under maintenance</v>
          </cell>
          <cell r="AK141" t="str">
            <v>Will be under V4. Taken out of contract as agreed by IKN</v>
          </cell>
        </row>
        <row r="142">
          <cell r="A142" t="str">
            <v>IKN401153</v>
          </cell>
          <cell r="B142">
            <v>1151</v>
          </cell>
          <cell r="C142" t="str">
            <v>Institut Kanser Negara</v>
          </cell>
          <cell r="D142" t="e">
            <v>#N/A</v>
          </cell>
          <cell r="E142" t="str">
            <v>18-595</v>
          </cell>
          <cell r="F142" t="str">
            <v>Ophthalmoscopes/Otoscopes</v>
          </cell>
          <cell r="G142" t="str">
            <v>OC</v>
          </cell>
          <cell r="H142" t="str">
            <v>ONCOLOGY CLINIC</v>
          </cell>
          <cell r="I142" t="str">
            <v>03OC104</v>
          </cell>
          <cell r="J142" t="str">
            <v>C/E 7</v>
          </cell>
          <cell r="K142" t="str">
            <v>BMED</v>
          </cell>
          <cell r="L142" t="str">
            <v>Normal</v>
          </cell>
          <cell r="M142" t="str">
            <v>USA</v>
          </cell>
          <cell r="N142" t="str">
            <v>Welch Allyn</v>
          </cell>
          <cell r="O142" t="str">
            <v>Welch Allyn 71904</v>
          </cell>
          <cell r="P142" t="str">
            <v>GD0019-39</v>
          </cell>
          <cell r="Q142" t="str">
            <v>Not Applicable</v>
          </cell>
          <cell r="R142" t="str">
            <v>Welch Allyn Inc</v>
          </cell>
          <cell r="S142" t="str">
            <v>Welch Allyn Malaysia Sdn Bhd</v>
          </cell>
          <cell r="T142" t="str">
            <v>Functioning</v>
          </cell>
          <cell r="U142" t="str">
            <v>Asset</v>
          </cell>
          <cell r="V142">
            <v>4690</v>
          </cell>
          <cell r="W142" t="str">
            <v>KEW</v>
          </cell>
          <cell r="X142" t="str">
            <v>01/09/2010</v>
          </cell>
          <cell r="Y142" t="str">
            <v>KEW</v>
          </cell>
          <cell r="Z142" t="str">
            <v>16/08/2013</v>
          </cell>
          <cell r="AA142" t="str">
            <v>15/08/2015</v>
          </cell>
          <cell r="AB142" t="str">
            <v>No</v>
          </cell>
          <cell r="AC142" t="str">
            <v>31/08/2013</v>
          </cell>
          <cell r="AD142" t="str">
            <v>Good</v>
          </cell>
          <cell r="AE142" t="str">
            <v>V1 - Existing / No Claim</v>
          </cell>
          <cell r="AF142">
            <v>42797</v>
          </cell>
          <cell r="AG142">
            <v>9.17</v>
          </cell>
          <cell r="AH142" t="str">
            <v>RI</v>
          </cell>
          <cell r="AI142" t="str">
            <v>Not in contract</v>
          </cell>
          <cell r="AJ142" t="str">
            <v>Not under maintenance</v>
          </cell>
          <cell r="AK142" t="str">
            <v>Will be under V4. Taken out of contract as agreed by IKN</v>
          </cell>
        </row>
        <row r="143">
          <cell r="A143" t="str">
            <v>IKN401154</v>
          </cell>
          <cell r="B143">
            <v>1152</v>
          </cell>
          <cell r="C143" t="str">
            <v>Institut Kanser Negara</v>
          </cell>
          <cell r="D143" t="str">
            <v>KKM/IKN/H/13/1625</v>
          </cell>
          <cell r="E143" t="str">
            <v>18-595</v>
          </cell>
          <cell r="F143" t="str">
            <v>Ophthalmoscopes/Otoscopes</v>
          </cell>
          <cell r="G143" t="str">
            <v>OC</v>
          </cell>
          <cell r="H143" t="str">
            <v>ONCOLOGY CLINIC</v>
          </cell>
          <cell r="I143" t="str">
            <v>03OC105</v>
          </cell>
          <cell r="J143" t="str">
            <v>C/E 8</v>
          </cell>
          <cell r="K143" t="str">
            <v>BMED</v>
          </cell>
          <cell r="L143" t="str">
            <v>Normal</v>
          </cell>
          <cell r="M143" t="str">
            <v>USA</v>
          </cell>
          <cell r="N143" t="str">
            <v>Welch Allyn</v>
          </cell>
          <cell r="O143" t="str">
            <v>Welch Allyn 71904</v>
          </cell>
          <cell r="P143" t="str">
            <v>GD0019-24</v>
          </cell>
          <cell r="Q143" t="str">
            <v>Not Applicable</v>
          </cell>
          <cell r="R143" t="str">
            <v>Welch Allyn Inc</v>
          </cell>
          <cell r="S143" t="str">
            <v>Welch Allyn Malaysia Sdn Bhd</v>
          </cell>
          <cell r="T143" t="str">
            <v>Functioning</v>
          </cell>
          <cell r="U143" t="str">
            <v>Asset</v>
          </cell>
          <cell r="V143">
            <v>4690</v>
          </cell>
          <cell r="W143" t="str">
            <v>KEW</v>
          </cell>
          <cell r="X143" t="str">
            <v>01/09/2010</v>
          </cell>
          <cell r="Y143" t="str">
            <v>KEW</v>
          </cell>
          <cell r="Z143" t="str">
            <v>16/08/2013</v>
          </cell>
          <cell r="AA143" t="str">
            <v>15/08/2015</v>
          </cell>
          <cell r="AB143" t="str">
            <v>No</v>
          </cell>
          <cell r="AC143" t="str">
            <v>31/08/2013</v>
          </cell>
          <cell r="AD143" t="str">
            <v>Good</v>
          </cell>
          <cell r="AE143" t="str">
            <v>V1 - Existing / No Claim</v>
          </cell>
          <cell r="AF143">
            <v>42802</v>
          </cell>
          <cell r="AG143">
            <v>9.17</v>
          </cell>
          <cell r="AH143" t="str">
            <v>RI</v>
          </cell>
          <cell r="AI143" t="str">
            <v>Strands</v>
          </cell>
          <cell r="AJ143" t="str">
            <v>Not under maintenance</v>
          </cell>
        </row>
        <row r="144">
          <cell r="A144" t="str">
            <v>IKN401155</v>
          </cell>
          <cell r="B144">
            <v>1153</v>
          </cell>
          <cell r="C144" t="str">
            <v>Institut Kanser Negara</v>
          </cell>
          <cell r="D144" t="e">
            <v>#N/A</v>
          </cell>
          <cell r="E144" t="str">
            <v>18-595</v>
          </cell>
          <cell r="F144" t="str">
            <v>Ophthalmoscopes/Otoscopes</v>
          </cell>
          <cell r="G144" t="str">
            <v>OC</v>
          </cell>
          <cell r="H144" t="str">
            <v>ONCOLOGY CLINIC</v>
          </cell>
          <cell r="I144" t="str">
            <v>03OC106</v>
          </cell>
          <cell r="J144" t="str">
            <v>C/E 9</v>
          </cell>
          <cell r="K144" t="str">
            <v>BMED</v>
          </cell>
          <cell r="L144" t="str">
            <v>Normal</v>
          </cell>
          <cell r="M144" t="str">
            <v>USA</v>
          </cell>
          <cell r="N144" t="str">
            <v>Welch Allyn</v>
          </cell>
          <cell r="O144" t="str">
            <v>Welch Allyn 71904</v>
          </cell>
          <cell r="P144" t="str">
            <v>GD0019-25</v>
          </cell>
          <cell r="Q144" t="str">
            <v>Not Applicable</v>
          </cell>
          <cell r="R144" t="str">
            <v>Welch Allyn Inc</v>
          </cell>
          <cell r="S144" t="str">
            <v>Welch Allyn Malaysia Sdn Bhd</v>
          </cell>
          <cell r="T144" t="str">
            <v>Functioning</v>
          </cell>
          <cell r="U144" t="str">
            <v>Asset</v>
          </cell>
          <cell r="V144">
            <v>4690</v>
          </cell>
          <cell r="W144" t="str">
            <v>KEW</v>
          </cell>
          <cell r="X144" t="str">
            <v>01/09/2010</v>
          </cell>
          <cell r="Y144" t="str">
            <v>KEW</v>
          </cell>
          <cell r="Z144" t="str">
            <v>16/08/2013</v>
          </cell>
          <cell r="AA144" t="str">
            <v>15/08/2015</v>
          </cell>
          <cell r="AB144" t="str">
            <v>No</v>
          </cell>
          <cell r="AC144" t="str">
            <v>31/08/2013</v>
          </cell>
          <cell r="AD144" t="str">
            <v>Good</v>
          </cell>
          <cell r="AE144" t="str">
            <v>V1 - Existing / No Claim</v>
          </cell>
          <cell r="AF144">
            <v>42802</v>
          </cell>
          <cell r="AG144">
            <v>9.17</v>
          </cell>
          <cell r="AH144" t="str">
            <v>RI</v>
          </cell>
          <cell r="AI144" t="str">
            <v>Not in contract</v>
          </cell>
          <cell r="AJ144" t="str">
            <v>Not under maintenance</v>
          </cell>
          <cell r="AK144" t="str">
            <v>Will be under V4. Taken out of contract as agreed by IKN</v>
          </cell>
        </row>
        <row r="145">
          <cell r="A145" t="str">
            <v>IKN401156</v>
          </cell>
          <cell r="B145">
            <v>1154</v>
          </cell>
          <cell r="C145" t="str">
            <v>Institut Kanser Negara</v>
          </cell>
          <cell r="D145" t="str">
            <v>KKM/IKN/H/13/1627</v>
          </cell>
          <cell r="E145" t="str">
            <v>18-595</v>
          </cell>
          <cell r="F145" t="str">
            <v>Ophthalmoscopes/Otoscopes</v>
          </cell>
          <cell r="G145" t="str">
            <v>OC</v>
          </cell>
          <cell r="H145" t="str">
            <v>ONCOLOGY CLINIC</v>
          </cell>
          <cell r="I145" t="str">
            <v>03OC107</v>
          </cell>
          <cell r="J145" t="str">
            <v>C/E 10</v>
          </cell>
          <cell r="K145" t="str">
            <v>BMED</v>
          </cell>
          <cell r="L145" t="str">
            <v>Normal</v>
          </cell>
          <cell r="M145" t="str">
            <v>USA</v>
          </cell>
          <cell r="N145" t="str">
            <v>Welch Allyn</v>
          </cell>
          <cell r="O145" t="str">
            <v>Welch Allyn 71904</v>
          </cell>
          <cell r="P145" t="str">
            <v>GD0019-26</v>
          </cell>
          <cell r="Q145" t="str">
            <v>Not Applicable</v>
          </cell>
          <cell r="R145" t="str">
            <v>Welch Allyn Inc</v>
          </cell>
          <cell r="S145" t="str">
            <v>Welch Allyn Malaysia Sdn Bhd</v>
          </cell>
          <cell r="T145" t="str">
            <v>Functioning</v>
          </cell>
          <cell r="U145" t="str">
            <v>Asset</v>
          </cell>
          <cell r="V145">
            <v>4690</v>
          </cell>
          <cell r="W145" t="str">
            <v>KEW</v>
          </cell>
          <cell r="X145" t="str">
            <v>01/09/2010</v>
          </cell>
          <cell r="Y145" t="str">
            <v>KEW</v>
          </cell>
          <cell r="Z145" t="str">
            <v>16/08/2013</v>
          </cell>
          <cell r="AA145" t="str">
            <v>15/08/2015</v>
          </cell>
          <cell r="AB145" t="str">
            <v>No</v>
          </cell>
          <cell r="AC145" t="str">
            <v>31/08/2013</v>
          </cell>
          <cell r="AD145" t="str">
            <v>Good</v>
          </cell>
          <cell r="AE145" t="str">
            <v>V1 - Existing / No Claim</v>
          </cell>
          <cell r="AF145">
            <v>42802</v>
          </cell>
          <cell r="AG145">
            <v>9.17</v>
          </cell>
          <cell r="AH145" t="str">
            <v>RI</v>
          </cell>
          <cell r="AI145" t="str">
            <v>Strands</v>
          </cell>
          <cell r="AJ145" t="str">
            <v>Not under maintenance</v>
          </cell>
        </row>
        <row r="146">
          <cell r="A146" t="str">
            <v>IKN401157</v>
          </cell>
          <cell r="B146">
            <v>1155</v>
          </cell>
          <cell r="C146" t="str">
            <v>Institut Kanser Negara</v>
          </cell>
          <cell r="D146" t="str">
            <v>KKM/IKN/H/13/1617</v>
          </cell>
          <cell r="E146" t="str">
            <v>18-595</v>
          </cell>
          <cell r="F146" t="str">
            <v>Ophthalmoscopes/Otoscopes</v>
          </cell>
          <cell r="G146" t="str">
            <v>OC</v>
          </cell>
          <cell r="H146" t="str">
            <v>ONCOLOGY CLINIC</v>
          </cell>
          <cell r="I146" t="str">
            <v>03OC108</v>
          </cell>
          <cell r="J146" t="str">
            <v>C/E 11</v>
          </cell>
          <cell r="K146" t="str">
            <v>BMED</v>
          </cell>
          <cell r="L146" t="str">
            <v>Normal</v>
          </cell>
          <cell r="M146" t="str">
            <v>USA</v>
          </cell>
          <cell r="N146" t="str">
            <v>Welch Allyn</v>
          </cell>
          <cell r="O146" t="str">
            <v>Welch Allyn 71904</v>
          </cell>
          <cell r="P146" t="str">
            <v>GD0019-27</v>
          </cell>
          <cell r="Q146" t="str">
            <v>Not Applicable</v>
          </cell>
          <cell r="R146" t="str">
            <v>Welch Allyn Inc</v>
          </cell>
          <cell r="S146" t="str">
            <v>Welch Allyn Malaysia Sdn Bhd</v>
          </cell>
          <cell r="T146" t="str">
            <v>Functioning</v>
          </cell>
          <cell r="U146" t="str">
            <v>Asset</v>
          </cell>
          <cell r="V146">
            <v>4690</v>
          </cell>
          <cell r="W146" t="str">
            <v>KEW</v>
          </cell>
          <cell r="X146" t="str">
            <v>01/09/2010</v>
          </cell>
          <cell r="Y146" t="str">
            <v>KEW</v>
          </cell>
          <cell r="Z146" t="str">
            <v>16/08/2013</v>
          </cell>
          <cell r="AA146" t="str">
            <v>15/08/2015</v>
          </cell>
          <cell r="AB146" t="str">
            <v>No</v>
          </cell>
          <cell r="AC146" t="str">
            <v>31/08/2013</v>
          </cell>
          <cell r="AD146" t="str">
            <v>Good</v>
          </cell>
          <cell r="AE146" t="str">
            <v>V1 - Existing / No Claim</v>
          </cell>
          <cell r="AF146">
            <v>42802</v>
          </cell>
          <cell r="AG146">
            <v>9.17</v>
          </cell>
          <cell r="AH146" t="str">
            <v>RI</v>
          </cell>
          <cell r="AI146" t="str">
            <v>Strands</v>
          </cell>
          <cell r="AJ146" t="str">
            <v>Not under maintenance</v>
          </cell>
        </row>
        <row r="147">
          <cell r="A147" t="str">
            <v>IKN401158</v>
          </cell>
          <cell r="B147">
            <v>1156</v>
          </cell>
          <cell r="C147" t="str">
            <v>Institut Kanser Negara</v>
          </cell>
          <cell r="D147" t="e">
            <v>#N/A</v>
          </cell>
          <cell r="E147" t="str">
            <v>18-595</v>
          </cell>
          <cell r="F147" t="str">
            <v>Ophthalmoscopes/Otoscopes</v>
          </cell>
          <cell r="G147" t="str">
            <v>OC</v>
          </cell>
          <cell r="H147" t="str">
            <v>ONCOLOGY CLINIC</v>
          </cell>
          <cell r="I147" t="str">
            <v>03OC109</v>
          </cell>
          <cell r="J147" t="str">
            <v>C/E 1 (VIP)</v>
          </cell>
          <cell r="K147" t="str">
            <v>BMED</v>
          </cell>
          <cell r="L147" t="str">
            <v>Normal</v>
          </cell>
          <cell r="M147" t="str">
            <v>USA</v>
          </cell>
          <cell r="N147" t="str">
            <v>Welch Allyn</v>
          </cell>
          <cell r="O147" t="str">
            <v>Welch Allyn 71904</v>
          </cell>
          <cell r="P147" t="str">
            <v>GD0019-11</v>
          </cell>
          <cell r="Q147" t="str">
            <v>Not Applicable</v>
          </cell>
          <cell r="R147" t="str">
            <v>Welch Allyn Inc</v>
          </cell>
          <cell r="S147" t="str">
            <v>Welch Allyn Malaysia Sdn Bhd</v>
          </cell>
          <cell r="T147" t="str">
            <v>Functioning</v>
          </cell>
          <cell r="U147" t="str">
            <v>Asset</v>
          </cell>
          <cell r="V147">
            <v>4690</v>
          </cell>
          <cell r="W147" t="str">
            <v>KEW</v>
          </cell>
          <cell r="X147" t="str">
            <v>01/09/2010</v>
          </cell>
          <cell r="Y147" t="str">
            <v>KEW</v>
          </cell>
          <cell r="Z147" t="str">
            <v>16/08/2013</v>
          </cell>
          <cell r="AA147" t="str">
            <v>15/08/2015</v>
          </cell>
          <cell r="AB147" t="str">
            <v>No</v>
          </cell>
          <cell r="AC147" t="str">
            <v>31/08/2013</v>
          </cell>
          <cell r="AD147" t="str">
            <v>Good</v>
          </cell>
          <cell r="AE147" t="str">
            <v>V1 - Existing / No Claim</v>
          </cell>
          <cell r="AF147">
            <v>42802</v>
          </cell>
          <cell r="AG147">
            <v>9.17</v>
          </cell>
          <cell r="AH147" t="str">
            <v>RI</v>
          </cell>
          <cell r="AI147" t="str">
            <v>Not in contract</v>
          </cell>
          <cell r="AJ147" t="str">
            <v>Not under maintenance</v>
          </cell>
          <cell r="AK147" t="str">
            <v>Will be under V4. Taken out of contract as agreed by IKN</v>
          </cell>
        </row>
        <row r="148">
          <cell r="A148" t="str">
            <v>IKN401201</v>
          </cell>
          <cell r="B148">
            <v>1199</v>
          </cell>
          <cell r="C148" t="str">
            <v>Institut Kanser Negara</v>
          </cell>
          <cell r="D148" t="e">
            <v>#N/A</v>
          </cell>
          <cell r="E148" t="str">
            <v>15-076</v>
          </cell>
          <cell r="F148" t="str">
            <v>Laryngoscopes, Rigid</v>
          </cell>
          <cell r="G148" t="str">
            <v>WJ</v>
          </cell>
          <cell r="H148" t="str">
            <v>MULTIDISCIPLINE WARD 1</v>
          </cell>
          <cell r="I148" t="str">
            <v>09WJ126</v>
          </cell>
          <cell r="J148" t="str">
            <v>EQUIPT. ROOM</v>
          </cell>
          <cell r="K148" t="str">
            <v>BMED</v>
          </cell>
          <cell r="L148" t="str">
            <v>Normal</v>
          </cell>
          <cell r="M148" t="str">
            <v>Not Available</v>
          </cell>
          <cell r="N148" t="str">
            <v>Not Available</v>
          </cell>
          <cell r="O148" t="str">
            <v>Not Available</v>
          </cell>
          <cell r="P148" t="str">
            <v>Not Available</v>
          </cell>
          <cell r="Q148" t="str">
            <v>Not Available</v>
          </cell>
          <cell r="R148" t="str">
            <v>Not Available</v>
          </cell>
          <cell r="S148" t="str">
            <v>ANTAH SRI RADIN SDN BHD</v>
          </cell>
          <cell r="T148" t="str">
            <v>Functioning</v>
          </cell>
          <cell r="U148" t="str">
            <v>Asset</v>
          </cell>
          <cell r="V148">
            <v>4000</v>
          </cell>
          <cell r="W148" t="str">
            <v>Estimate</v>
          </cell>
          <cell r="X148" t="str">
            <v>01/09/2010</v>
          </cell>
          <cell r="Y148" t="str">
            <v>Estimate</v>
          </cell>
          <cell r="Z148" t="str">
            <v>16/08/2013</v>
          </cell>
          <cell r="AA148" t="str">
            <v>15/08/2015</v>
          </cell>
          <cell r="AB148" t="str">
            <v>No</v>
          </cell>
          <cell r="AC148" t="str">
            <v>31/08/2013</v>
          </cell>
          <cell r="AD148" t="str">
            <v>Good</v>
          </cell>
          <cell r="AE148" t="str">
            <v>V4 - Decommissioned Installed Facility</v>
          </cell>
          <cell r="AF148">
            <v>42387</v>
          </cell>
          <cell r="AG148">
            <v>9.17</v>
          </cell>
          <cell r="AH148" t="str">
            <v>RI</v>
          </cell>
          <cell r="AI148" t="str">
            <v>Not in contract</v>
          </cell>
          <cell r="AJ148" t="str">
            <v>Not under maintenance</v>
          </cell>
          <cell r="AK148" t="str">
            <v>Will be under V4. Taken out of contract as agreed by IKN</v>
          </cell>
        </row>
        <row r="149">
          <cell r="A149" t="str">
            <v>IKN401202</v>
          </cell>
          <cell r="B149">
            <v>1200</v>
          </cell>
          <cell r="C149" t="str">
            <v>Institut Kanser Negara</v>
          </cell>
          <cell r="D149" t="e">
            <v>#N/A</v>
          </cell>
          <cell r="E149" t="str">
            <v>15-076</v>
          </cell>
          <cell r="F149" t="str">
            <v>Laryngoscopes, Rigid</v>
          </cell>
          <cell r="G149" t="str">
            <v>WJ</v>
          </cell>
          <cell r="H149" t="str">
            <v>MULTIDISCIPLINE WARD 1</v>
          </cell>
          <cell r="I149" t="str">
            <v>09WJ126</v>
          </cell>
          <cell r="J149" t="str">
            <v>EQUIPT. ROOM</v>
          </cell>
          <cell r="K149" t="str">
            <v>BMED</v>
          </cell>
          <cell r="L149" t="str">
            <v>Normal</v>
          </cell>
          <cell r="M149" t="str">
            <v>Not Available</v>
          </cell>
          <cell r="N149" t="str">
            <v>Not Available</v>
          </cell>
          <cell r="O149" t="str">
            <v>Not Available</v>
          </cell>
          <cell r="P149" t="str">
            <v>Not Available</v>
          </cell>
          <cell r="Q149" t="str">
            <v>Not Available</v>
          </cell>
          <cell r="R149" t="str">
            <v>Not Available</v>
          </cell>
          <cell r="S149" t="str">
            <v>ANTAH SRI RADIN SDN BHD</v>
          </cell>
          <cell r="T149" t="str">
            <v>Functioning</v>
          </cell>
          <cell r="U149" t="str">
            <v>Asset</v>
          </cell>
          <cell r="V149">
            <v>4000</v>
          </cell>
          <cell r="W149" t="str">
            <v>Estimate</v>
          </cell>
          <cell r="X149" t="str">
            <v>01/09/2010</v>
          </cell>
          <cell r="Y149" t="str">
            <v>Estimate</v>
          </cell>
          <cell r="Z149" t="str">
            <v>16/08/2013</v>
          </cell>
          <cell r="AA149" t="str">
            <v>15/08/2015</v>
          </cell>
          <cell r="AB149" t="str">
            <v>No</v>
          </cell>
          <cell r="AC149" t="str">
            <v>31/08/2013</v>
          </cell>
          <cell r="AD149" t="str">
            <v>Good</v>
          </cell>
          <cell r="AE149" t="str">
            <v>V4 - Decommissioned Installed Facility</v>
          </cell>
          <cell r="AF149">
            <v>42387</v>
          </cell>
          <cell r="AG149">
            <v>9.17</v>
          </cell>
          <cell r="AH149" t="str">
            <v>RI</v>
          </cell>
          <cell r="AI149" t="str">
            <v>Not in contract</v>
          </cell>
          <cell r="AJ149" t="str">
            <v>Not under maintenance</v>
          </cell>
          <cell r="AK149" t="str">
            <v>Will be under V4. Taken out of contract as agreed by IKN</v>
          </cell>
        </row>
        <row r="150">
          <cell r="A150" t="str">
            <v>IKN401203</v>
          </cell>
          <cell r="B150">
            <v>1201</v>
          </cell>
          <cell r="C150" t="str">
            <v>Institut Kanser Negara</v>
          </cell>
          <cell r="D150" t="e">
            <v>#N/A</v>
          </cell>
          <cell r="E150" t="str">
            <v>18-595</v>
          </cell>
          <cell r="F150" t="str">
            <v>Ophthalmoscopes/Otoscopes</v>
          </cell>
          <cell r="G150" t="str">
            <v>WJ</v>
          </cell>
          <cell r="H150" t="str">
            <v>MULTIDISCIPLINE WARD 1</v>
          </cell>
          <cell r="I150" t="str">
            <v>09WJ126</v>
          </cell>
          <cell r="J150" t="str">
            <v>EQUIPT. ROOM</v>
          </cell>
          <cell r="K150" t="str">
            <v>BMED</v>
          </cell>
          <cell r="L150" t="str">
            <v>Normal</v>
          </cell>
          <cell r="M150" t="str">
            <v>USA</v>
          </cell>
          <cell r="N150" t="str">
            <v>Welch Allyn</v>
          </cell>
          <cell r="O150" t="str">
            <v>Welch Allyn 97150-BIM</v>
          </cell>
          <cell r="P150" t="str">
            <v>N/A</v>
          </cell>
          <cell r="Q150" t="str">
            <v>Not Applicable</v>
          </cell>
          <cell r="R150" t="str">
            <v>Welch Allyn Inc</v>
          </cell>
          <cell r="S150" t="str">
            <v>Welch Allyn Malaysia Sdn Bhd</v>
          </cell>
          <cell r="T150" t="str">
            <v>Functioning</v>
          </cell>
          <cell r="U150" t="str">
            <v>Asset</v>
          </cell>
          <cell r="V150">
            <v>4690</v>
          </cell>
          <cell r="W150" t="str">
            <v>KEW</v>
          </cell>
          <cell r="X150" t="str">
            <v>01/09/2010</v>
          </cell>
          <cell r="Y150" t="str">
            <v>KEW</v>
          </cell>
          <cell r="Z150" t="str">
            <v>16/08/2013</v>
          </cell>
          <cell r="AA150" t="str">
            <v>15/08/2015</v>
          </cell>
          <cell r="AB150" t="str">
            <v>No</v>
          </cell>
          <cell r="AC150" t="str">
            <v>31/08/2013</v>
          </cell>
          <cell r="AD150" t="str">
            <v>Good</v>
          </cell>
          <cell r="AE150" t="str">
            <v>V1 - Existing / No Claim</v>
          </cell>
          <cell r="AF150">
            <v>42235</v>
          </cell>
          <cell r="AG150">
            <v>9.17</v>
          </cell>
          <cell r="AH150" t="str">
            <v>RI</v>
          </cell>
          <cell r="AI150" t="str">
            <v>not in contract</v>
          </cell>
          <cell r="AJ150" t="str">
            <v>Not under maintenance</v>
          </cell>
          <cell r="AK150" t="str">
            <v>Will be under V4. Taken out of contract as agreed by IKN</v>
          </cell>
        </row>
        <row r="151">
          <cell r="A151" t="str">
            <v>IKN401204</v>
          </cell>
          <cell r="B151">
            <v>1202</v>
          </cell>
          <cell r="C151" t="str">
            <v>Institut Kanser Negara</v>
          </cell>
          <cell r="D151" t="e">
            <v>#N/A</v>
          </cell>
          <cell r="E151" t="str">
            <v>15-076</v>
          </cell>
          <cell r="F151" t="str">
            <v>Laryngoscopes, Rigid</v>
          </cell>
          <cell r="G151" t="str">
            <v>WJ</v>
          </cell>
          <cell r="H151" t="str">
            <v>MULTIDISCIPLINE WARD 1</v>
          </cell>
          <cell r="I151" t="str">
            <v>09WJ126</v>
          </cell>
          <cell r="J151" t="str">
            <v>EQUIPT. ROOM</v>
          </cell>
          <cell r="K151" t="str">
            <v>BMED</v>
          </cell>
          <cell r="L151" t="str">
            <v>Normal</v>
          </cell>
          <cell r="M151" t="str">
            <v>Not Available</v>
          </cell>
          <cell r="N151" t="str">
            <v>Not Available</v>
          </cell>
          <cell r="O151" t="str">
            <v>Not Available</v>
          </cell>
          <cell r="P151" t="str">
            <v>Not Available</v>
          </cell>
          <cell r="Q151" t="str">
            <v>Not Available</v>
          </cell>
          <cell r="R151" t="str">
            <v>Not Available</v>
          </cell>
          <cell r="S151" t="str">
            <v>ANTAH SRI RADIN SDN BHD</v>
          </cell>
          <cell r="T151" t="str">
            <v>Functioning</v>
          </cell>
          <cell r="U151" t="str">
            <v>Asset</v>
          </cell>
          <cell r="V151">
            <v>4000</v>
          </cell>
          <cell r="W151" t="str">
            <v>Estimate</v>
          </cell>
          <cell r="X151" t="str">
            <v>01/09/2010</v>
          </cell>
          <cell r="Y151" t="str">
            <v>Estimate</v>
          </cell>
          <cell r="Z151" t="str">
            <v>16/08/2013</v>
          </cell>
          <cell r="AA151" t="str">
            <v>15/08/2015</v>
          </cell>
          <cell r="AB151" t="str">
            <v>No</v>
          </cell>
          <cell r="AC151" t="str">
            <v>31/08/2013</v>
          </cell>
          <cell r="AD151" t="str">
            <v>Good</v>
          </cell>
          <cell r="AE151" t="str">
            <v>V4 - Decommissioned Installed Facility</v>
          </cell>
          <cell r="AF151">
            <v>42387</v>
          </cell>
          <cell r="AG151">
            <v>9.17</v>
          </cell>
          <cell r="AH151" t="str">
            <v>RI</v>
          </cell>
          <cell r="AI151" t="str">
            <v>Not in contract</v>
          </cell>
          <cell r="AJ151" t="str">
            <v>Not under maintenance</v>
          </cell>
          <cell r="AK151" t="str">
            <v>Will be under V4. Taken out of contract as agreed by IKN</v>
          </cell>
        </row>
        <row r="152">
          <cell r="A152" t="str">
            <v>IKN401205</v>
          </cell>
          <cell r="B152">
            <v>1203</v>
          </cell>
          <cell r="C152" t="str">
            <v>Institut Kanser Negara</v>
          </cell>
          <cell r="D152" t="e">
            <v>#N/A</v>
          </cell>
          <cell r="E152" t="str">
            <v>15-076</v>
          </cell>
          <cell r="F152" t="str">
            <v>Laryngoscopes, Rigid</v>
          </cell>
          <cell r="G152" t="str">
            <v>WJ</v>
          </cell>
          <cell r="H152" t="str">
            <v>MULTIDISCIPLINE WARD 1</v>
          </cell>
          <cell r="I152" t="str">
            <v>09WJ126</v>
          </cell>
          <cell r="J152" t="str">
            <v>EQUIPT. ROOM</v>
          </cell>
          <cell r="K152" t="str">
            <v>BMED</v>
          </cell>
          <cell r="L152" t="str">
            <v>Normal</v>
          </cell>
          <cell r="M152" t="str">
            <v>Not Available</v>
          </cell>
          <cell r="N152" t="str">
            <v>Not Available</v>
          </cell>
          <cell r="O152" t="str">
            <v>Not Available</v>
          </cell>
          <cell r="P152" t="str">
            <v>Not Available</v>
          </cell>
          <cell r="Q152" t="str">
            <v>Not Available</v>
          </cell>
          <cell r="R152" t="str">
            <v>Not Available</v>
          </cell>
          <cell r="S152" t="str">
            <v>ANTAH SRI RADIN SDN BHD</v>
          </cell>
          <cell r="T152" t="str">
            <v>Functioning</v>
          </cell>
          <cell r="U152" t="str">
            <v>Asset</v>
          </cell>
          <cell r="V152">
            <v>4000</v>
          </cell>
          <cell r="W152" t="str">
            <v>Estimate</v>
          </cell>
          <cell r="X152" t="str">
            <v>01/09/2010</v>
          </cell>
          <cell r="Y152" t="str">
            <v>Estimate</v>
          </cell>
          <cell r="Z152" t="str">
            <v>16/08/2013</v>
          </cell>
          <cell r="AA152" t="str">
            <v>15/08/2015</v>
          </cell>
          <cell r="AB152" t="str">
            <v>No</v>
          </cell>
          <cell r="AC152" t="str">
            <v>31/08/2013</v>
          </cell>
          <cell r="AD152" t="str">
            <v>Good</v>
          </cell>
          <cell r="AE152" t="str">
            <v>V4 - Decommissioned Installed Facility</v>
          </cell>
          <cell r="AF152">
            <v>42387</v>
          </cell>
          <cell r="AG152">
            <v>9.17</v>
          </cell>
          <cell r="AH152" t="str">
            <v>RI</v>
          </cell>
          <cell r="AI152" t="str">
            <v>Not in contract</v>
          </cell>
          <cell r="AJ152" t="str">
            <v>Not under maintenance</v>
          </cell>
          <cell r="AK152" t="str">
            <v>Will be under V4. Taken out of contract as agreed by IKN</v>
          </cell>
        </row>
        <row r="153">
          <cell r="A153" t="str">
            <v>IKN401206</v>
          </cell>
          <cell r="B153">
            <v>1204</v>
          </cell>
          <cell r="C153" t="str">
            <v>Institut Kanser Negara</v>
          </cell>
          <cell r="D153" t="e">
            <v>#N/A</v>
          </cell>
          <cell r="E153" t="str">
            <v>18-595</v>
          </cell>
          <cell r="F153" t="str">
            <v>Ophthalmoscopes/Otoscopes</v>
          </cell>
          <cell r="G153" t="str">
            <v>WJ</v>
          </cell>
          <cell r="H153" t="str">
            <v>MULTIDISCIPLINE WARD 1</v>
          </cell>
          <cell r="I153" t="str">
            <v>09WJ126</v>
          </cell>
          <cell r="J153" t="str">
            <v>EQUIPT. ROOM</v>
          </cell>
          <cell r="K153" t="str">
            <v>BMED</v>
          </cell>
          <cell r="L153" t="str">
            <v>Normal</v>
          </cell>
          <cell r="M153" t="str">
            <v>USA</v>
          </cell>
          <cell r="N153" t="str">
            <v>Welch Allyn</v>
          </cell>
          <cell r="O153" t="str">
            <v>Welch Allyn 97150-BIM</v>
          </cell>
          <cell r="P153" t="str">
            <v>N/A</v>
          </cell>
          <cell r="Q153" t="str">
            <v>Not Applicable</v>
          </cell>
          <cell r="R153" t="str">
            <v>Welch Allyn Inc</v>
          </cell>
          <cell r="S153" t="str">
            <v>Welch Allyn Malaysia Sdn Bhd</v>
          </cell>
          <cell r="T153" t="str">
            <v>Functioning</v>
          </cell>
          <cell r="U153" t="str">
            <v>Asset</v>
          </cell>
          <cell r="V153">
            <v>4690</v>
          </cell>
          <cell r="W153" t="str">
            <v>KEW</v>
          </cell>
          <cell r="X153" t="str">
            <v>01/09/2010</v>
          </cell>
          <cell r="Y153" t="str">
            <v>KEW</v>
          </cell>
          <cell r="Z153" t="str">
            <v>16/08/2013</v>
          </cell>
          <cell r="AA153" t="str">
            <v>15/08/2015</v>
          </cell>
          <cell r="AB153" t="str">
            <v>No</v>
          </cell>
          <cell r="AC153" t="str">
            <v>31/08/2013</v>
          </cell>
          <cell r="AD153" t="str">
            <v>Good</v>
          </cell>
          <cell r="AE153" t="str">
            <v>V1 - Existing / No Claim</v>
          </cell>
          <cell r="AF153">
            <v>42235</v>
          </cell>
          <cell r="AG153">
            <v>9.17</v>
          </cell>
          <cell r="AH153" t="str">
            <v>RI</v>
          </cell>
          <cell r="AI153" t="str">
            <v>Not in contract</v>
          </cell>
          <cell r="AJ153" t="str">
            <v>Not under maintenance</v>
          </cell>
          <cell r="AK153" t="str">
            <v>Will be under V4. Taken out of contract as agreed by IKN</v>
          </cell>
        </row>
        <row r="154">
          <cell r="A154" t="str">
            <v>IKN401207</v>
          </cell>
          <cell r="B154">
            <v>1205</v>
          </cell>
          <cell r="C154" t="str">
            <v>Institut Kanser Negara</v>
          </cell>
          <cell r="D154" t="e">
            <v>#N/A</v>
          </cell>
          <cell r="E154" t="str">
            <v>18-595</v>
          </cell>
          <cell r="F154" t="str">
            <v>Ophthalmoscopes/Otoscopes</v>
          </cell>
          <cell r="G154" t="str">
            <v>WG</v>
          </cell>
          <cell r="H154" t="str">
            <v>RT/ONCO WARD 1 (M)</v>
          </cell>
          <cell r="I154" t="str">
            <v>08WG107</v>
          </cell>
          <cell r="J154" t="str">
            <v>TREATMENT / PROCEDURE</v>
          </cell>
          <cell r="K154" t="str">
            <v>BMED</v>
          </cell>
          <cell r="L154" t="str">
            <v>Normal</v>
          </cell>
          <cell r="M154" t="str">
            <v>USA</v>
          </cell>
          <cell r="N154" t="str">
            <v>Welch Allyn</v>
          </cell>
          <cell r="O154" t="str">
            <v>Welch Allyn 97150-BIM</v>
          </cell>
          <cell r="P154" t="str">
            <v>N/A</v>
          </cell>
          <cell r="Q154" t="str">
            <v>Not Applicable</v>
          </cell>
          <cell r="R154" t="str">
            <v>Welch Allyn Inc</v>
          </cell>
          <cell r="S154" t="str">
            <v>Welch Allyn Malaysia Sdn Bhd</v>
          </cell>
          <cell r="T154" t="str">
            <v>Functioning</v>
          </cell>
          <cell r="U154" t="str">
            <v>Asset</v>
          </cell>
          <cell r="V154">
            <v>4690</v>
          </cell>
          <cell r="W154" t="str">
            <v>KEW</v>
          </cell>
          <cell r="X154" t="str">
            <v>01/09/2010</v>
          </cell>
          <cell r="Y154" t="str">
            <v>KEW</v>
          </cell>
          <cell r="Z154" t="str">
            <v>16/08/2013</v>
          </cell>
          <cell r="AA154" t="str">
            <v>15/08/2015</v>
          </cell>
          <cell r="AB154" t="str">
            <v>No</v>
          </cell>
          <cell r="AC154" t="str">
            <v>31/08/2013</v>
          </cell>
          <cell r="AD154" t="str">
            <v>Good</v>
          </cell>
          <cell r="AE154" t="str">
            <v>V1 - Existing / No Claim</v>
          </cell>
          <cell r="AF154">
            <v>42235</v>
          </cell>
          <cell r="AG154">
            <v>9.17</v>
          </cell>
          <cell r="AH154" t="str">
            <v>RI</v>
          </cell>
          <cell r="AI154" t="str">
            <v>Not in contract</v>
          </cell>
          <cell r="AJ154" t="str">
            <v>Not under maintenance</v>
          </cell>
          <cell r="AK154" t="str">
            <v>Will be under V4. Taken out of contract as agreed by IKN</v>
          </cell>
        </row>
        <row r="155">
          <cell r="A155" t="str">
            <v>IKN401208</v>
          </cell>
          <cell r="B155">
            <v>1206</v>
          </cell>
          <cell r="C155" t="str">
            <v>Institut Kanser Negara</v>
          </cell>
          <cell r="D155" t="e">
            <v>#N/A</v>
          </cell>
          <cell r="E155" t="str">
            <v>18-595</v>
          </cell>
          <cell r="F155" t="str">
            <v>Ophthalmoscopes/Otoscopes</v>
          </cell>
          <cell r="G155" t="str">
            <v>WE</v>
          </cell>
          <cell r="H155" t="str">
            <v>RT/ONCO WARD 1 (F)</v>
          </cell>
          <cell r="I155" t="str">
            <v>07WE143</v>
          </cell>
          <cell r="J155" t="str">
            <v>NURSE STATION</v>
          </cell>
          <cell r="K155" t="str">
            <v>BMED</v>
          </cell>
          <cell r="L155" t="str">
            <v>Normal</v>
          </cell>
          <cell r="M155" t="str">
            <v>USA</v>
          </cell>
          <cell r="N155" t="str">
            <v>Welch Allyn</v>
          </cell>
          <cell r="O155" t="str">
            <v>Welch Allyn 97150-BIM</v>
          </cell>
          <cell r="P155" t="str">
            <v>0</v>
          </cell>
          <cell r="Q155" t="str">
            <v>Not Applicable</v>
          </cell>
          <cell r="R155" t="str">
            <v>Welch Allyn Inc</v>
          </cell>
          <cell r="S155" t="str">
            <v>Welch Allyn Malaysia Sdn Bhd</v>
          </cell>
          <cell r="T155" t="str">
            <v>Functioning</v>
          </cell>
          <cell r="U155" t="str">
            <v>Asset</v>
          </cell>
          <cell r="V155">
            <v>4690</v>
          </cell>
          <cell r="W155" t="str">
            <v>KEW</v>
          </cell>
          <cell r="X155" t="str">
            <v>01/09/2010</v>
          </cell>
          <cell r="Y155" t="str">
            <v>KEW</v>
          </cell>
          <cell r="Z155" t="str">
            <v>16/08/2013</v>
          </cell>
          <cell r="AA155" t="str">
            <v>15/08/2015</v>
          </cell>
          <cell r="AB155" t="str">
            <v>No</v>
          </cell>
          <cell r="AC155" t="str">
            <v>31/08/2013</v>
          </cell>
          <cell r="AD155" t="str">
            <v>Good</v>
          </cell>
          <cell r="AE155" t="str">
            <v>V1 - Existing / No Claim</v>
          </cell>
          <cell r="AF155">
            <v>42235</v>
          </cell>
          <cell r="AG155">
            <v>9.17</v>
          </cell>
          <cell r="AH155" t="str">
            <v>RI</v>
          </cell>
          <cell r="AI155" t="str">
            <v>Not in contract</v>
          </cell>
          <cell r="AJ155" t="str">
            <v>Not under maintenance</v>
          </cell>
          <cell r="AK155" t="str">
            <v>Will be under V4. Taken out of contract as agreed by IKN</v>
          </cell>
        </row>
        <row r="156">
          <cell r="A156" t="str">
            <v>IKN401209</v>
          </cell>
          <cell r="B156">
            <v>1207</v>
          </cell>
          <cell r="C156" t="str">
            <v>Institut Kanser Negara</v>
          </cell>
          <cell r="D156" t="e">
            <v>#N/A</v>
          </cell>
          <cell r="E156" t="str">
            <v>15-076</v>
          </cell>
          <cell r="F156" t="str">
            <v>Laryngoscopes, Rigid</v>
          </cell>
          <cell r="G156" t="str">
            <v>WF</v>
          </cell>
          <cell r="H156" t="str">
            <v>RT/ONCO WARD 2 (F)</v>
          </cell>
          <cell r="I156" t="str">
            <v>07WF143</v>
          </cell>
          <cell r="J156" t="str">
            <v>NURSE STATION</v>
          </cell>
          <cell r="K156" t="str">
            <v>BMED</v>
          </cell>
          <cell r="L156" t="str">
            <v>Normal</v>
          </cell>
          <cell r="M156" t="str">
            <v>Not Available</v>
          </cell>
          <cell r="N156" t="str">
            <v>Not Available</v>
          </cell>
          <cell r="O156" t="str">
            <v>Not Available</v>
          </cell>
          <cell r="P156" t="str">
            <v>Not Available</v>
          </cell>
          <cell r="Q156" t="str">
            <v>Not Available</v>
          </cell>
          <cell r="R156" t="str">
            <v>Not Available</v>
          </cell>
          <cell r="S156" t="str">
            <v>ANTAH SRI RADIN SDN BHD</v>
          </cell>
          <cell r="T156" t="str">
            <v>Functioning</v>
          </cell>
          <cell r="U156" t="str">
            <v>Asset</v>
          </cell>
          <cell r="V156">
            <v>4000</v>
          </cell>
          <cell r="W156" t="str">
            <v>Estimate</v>
          </cell>
          <cell r="X156" t="str">
            <v>01/09/2010</v>
          </cell>
          <cell r="Y156" t="str">
            <v>Estimate</v>
          </cell>
          <cell r="Z156" t="str">
            <v>16/08/2013</v>
          </cell>
          <cell r="AA156" t="str">
            <v>15/08/2015</v>
          </cell>
          <cell r="AB156" t="str">
            <v>No</v>
          </cell>
          <cell r="AC156" t="str">
            <v>31/08/2013</v>
          </cell>
          <cell r="AD156" t="str">
            <v>Good</v>
          </cell>
          <cell r="AE156" t="str">
            <v>V4 - Decommissioned Installed Facility</v>
          </cell>
          <cell r="AF156">
            <v>42661</v>
          </cell>
          <cell r="AG156">
            <v>9.17</v>
          </cell>
          <cell r="AH156" t="str">
            <v>RI</v>
          </cell>
          <cell r="AI156" t="str">
            <v>Not in contract</v>
          </cell>
          <cell r="AJ156" t="str">
            <v>Not under maintenance</v>
          </cell>
          <cell r="AK156" t="str">
            <v>Will be under V4. Taken out of contract as agreed by IKN</v>
          </cell>
        </row>
        <row r="157">
          <cell r="A157" t="str">
            <v>IKN401210</v>
          </cell>
          <cell r="B157">
            <v>1208</v>
          </cell>
          <cell r="C157" t="str">
            <v>Institut Kanser Negara</v>
          </cell>
          <cell r="D157" t="e">
            <v>#N/A</v>
          </cell>
          <cell r="E157" t="str">
            <v>15-076</v>
          </cell>
          <cell r="F157" t="str">
            <v>Laryngoscopes, Rigid</v>
          </cell>
          <cell r="G157" t="str">
            <v>WF</v>
          </cell>
          <cell r="H157" t="str">
            <v>RT/ONCO WARD 2 (F)</v>
          </cell>
          <cell r="I157" t="str">
            <v>07WF107</v>
          </cell>
          <cell r="J157" t="str">
            <v>TREATMENT / PROCEDDURE</v>
          </cell>
          <cell r="K157" t="str">
            <v>BMED</v>
          </cell>
          <cell r="L157" t="str">
            <v>Normal</v>
          </cell>
          <cell r="M157" t="str">
            <v>Not Available</v>
          </cell>
          <cell r="N157" t="str">
            <v>Not Available</v>
          </cell>
          <cell r="O157" t="str">
            <v>Not Available</v>
          </cell>
          <cell r="P157" t="str">
            <v>Not Available</v>
          </cell>
          <cell r="Q157" t="str">
            <v>Not Available</v>
          </cell>
          <cell r="R157" t="str">
            <v>Not Available</v>
          </cell>
          <cell r="S157" t="str">
            <v>ANTAH SRI RADIN SDN BHD</v>
          </cell>
          <cell r="T157" t="str">
            <v>Functioning</v>
          </cell>
          <cell r="U157" t="str">
            <v>Asset</v>
          </cell>
          <cell r="V157">
            <v>4000</v>
          </cell>
          <cell r="W157" t="str">
            <v>Estimate</v>
          </cell>
          <cell r="X157" t="str">
            <v>01/09/2010</v>
          </cell>
          <cell r="Y157" t="str">
            <v>Estimate</v>
          </cell>
          <cell r="Z157" t="str">
            <v>16/08/2013</v>
          </cell>
          <cell r="AA157" t="str">
            <v>15/08/2015</v>
          </cell>
          <cell r="AB157" t="str">
            <v>No</v>
          </cell>
          <cell r="AC157" t="str">
            <v>31/08/2013</v>
          </cell>
          <cell r="AD157" t="str">
            <v>Good</v>
          </cell>
          <cell r="AE157" t="str">
            <v>V4 - Decommissioned Installed Facility</v>
          </cell>
          <cell r="AF157">
            <v>42397</v>
          </cell>
          <cell r="AG157">
            <v>9.17</v>
          </cell>
          <cell r="AH157" t="str">
            <v>RI</v>
          </cell>
          <cell r="AI157" t="str">
            <v>Not in contract</v>
          </cell>
          <cell r="AJ157" t="str">
            <v>Not under maintenance</v>
          </cell>
          <cell r="AK157" t="str">
            <v>Will be under V4. Taken out of contract as agreed by IKN</v>
          </cell>
        </row>
        <row r="158">
          <cell r="A158" t="str">
            <v>IKN401211</v>
          </cell>
          <cell r="B158">
            <v>1209</v>
          </cell>
          <cell r="C158" t="str">
            <v>Institut Kanser Negara</v>
          </cell>
          <cell r="D158" t="e">
            <v>#N/A</v>
          </cell>
          <cell r="E158" t="str">
            <v>15-076</v>
          </cell>
          <cell r="F158" t="str">
            <v>Laryngoscopes, Rigid</v>
          </cell>
          <cell r="G158" t="str">
            <v>WG</v>
          </cell>
          <cell r="H158" t="str">
            <v>RT/ONCO WARD 1 (M)</v>
          </cell>
          <cell r="I158" t="str">
            <v>08WG113</v>
          </cell>
          <cell r="J158" t="str">
            <v>EQUIPMENT ROOM</v>
          </cell>
          <cell r="K158" t="str">
            <v>BMED</v>
          </cell>
          <cell r="L158" t="str">
            <v>Normal</v>
          </cell>
          <cell r="M158" t="str">
            <v>Not Available</v>
          </cell>
          <cell r="N158" t="str">
            <v>Not Available</v>
          </cell>
          <cell r="O158" t="str">
            <v>Not Available</v>
          </cell>
          <cell r="P158" t="str">
            <v>NOT AVAILABE</v>
          </cell>
          <cell r="Q158" t="str">
            <v>NOT AVAILABLE</v>
          </cell>
          <cell r="R158" t="str">
            <v>Not Available</v>
          </cell>
          <cell r="S158" t="str">
            <v>ANTAH SRI RADIN SDN BHD</v>
          </cell>
          <cell r="T158" t="str">
            <v>Functioning</v>
          </cell>
          <cell r="U158" t="str">
            <v>Asset</v>
          </cell>
          <cell r="V158">
            <v>4000</v>
          </cell>
          <cell r="W158" t="str">
            <v>Estimate</v>
          </cell>
          <cell r="X158" t="str">
            <v>01/09/2010</v>
          </cell>
          <cell r="Y158" t="str">
            <v>Estimate</v>
          </cell>
          <cell r="Z158" t="str">
            <v>16/08/2013</v>
          </cell>
          <cell r="AA158" t="str">
            <v>15/08/2015</v>
          </cell>
          <cell r="AB158" t="str">
            <v>No</v>
          </cell>
          <cell r="AC158" t="str">
            <v>31/08/2013</v>
          </cell>
          <cell r="AD158" t="str">
            <v>Good</v>
          </cell>
          <cell r="AE158" t="str">
            <v>V4 - Decommissioned Installed Facility</v>
          </cell>
          <cell r="AF158">
            <v>42387</v>
          </cell>
          <cell r="AG158">
            <v>9.17</v>
          </cell>
          <cell r="AH158" t="str">
            <v>RI</v>
          </cell>
          <cell r="AI158" t="str">
            <v>Not in contract</v>
          </cell>
          <cell r="AJ158" t="str">
            <v>Not under maintenance</v>
          </cell>
          <cell r="AK158" t="str">
            <v>Will be under V4. Taken out of contract as agreed by IKN</v>
          </cell>
        </row>
        <row r="159">
          <cell r="A159" t="str">
            <v>IKN401212</v>
          </cell>
          <cell r="B159">
            <v>1210</v>
          </cell>
          <cell r="C159" t="str">
            <v>Institut Kanser Negara</v>
          </cell>
          <cell r="D159" t="e">
            <v>#N/A</v>
          </cell>
          <cell r="E159" t="str">
            <v>15-076</v>
          </cell>
          <cell r="F159" t="str">
            <v>Laryngoscopes, Rigid</v>
          </cell>
          <cell r="G159" t="str">
            <v>WG</v>
          </cell>
          <cell r="H159" t="str">
            <v>RT/ONCO WARD 1 (M)</v>
          </cell>
          <cell r="I159" t="str">
            <v>08WG107</v>
          </cell>
          <cell r="J159" t="str">
            <v>TREATMENT / PROCEDURE</v>
          </cell>
          <cell r="K159" t="str">
            <v>BMED</v>
          </cell>
          <cell r="L159" t="str">
            <v>Normal</v>
          </cell>
          <cell r="M159" t="str">
            <v>Not Available</v>
          </cell>
          <cell r="N159" t="str">
            <v>Not Available</v>
          </cell>
          <cell r="O159" t="str">
            <v>Not Available</v>
          </cell>
          <cell r="P159" t="str">
            <v>Not Available</v>
          </cell>
          <cell r="Q159" t="str">
            <v>Not Available</v>
          </cell>
          <cell r="R159" t="str">
            <v>Not Available</v>
          </cell>
          <cell r="S159" t="str">
            <v>ANTAH SRI RADIN SDN BHD</v>
          </cell>
          <cell r="T159" t="str">
            <v>Functioning</v>
          </cell>
          <cell r="U159" t="str">
            <v>Asset</v>
          </cell>
          <cell r="V159">
            <v>4000</v>
          </cell>
          <cell r="W159" t="str">
            <v>Estimate</v>
          </cell>
          <cell r="X159" t="str">
            <v>01/09/2010</v>
          </cell>
          <cell r="Y159" t="str">
            <v>Estimate</v>
          </cell>
          <cell r="Z159" t="str">
            <v>16/08/2013</v>
          </cell>
          <cell r="AA159" t="str">
            <v>15/08/2015</v>
          </cell>
          <cell r="AB159" t="str">
            <v>No</v>
          </cell>
          <cell r="AC159" t="str">
            <v>31/08/2013</v>
          </cell>
          <cell r="AD159" t="str">
            <v>Good</v>
          </cell>
          <cell r="AE159" t="str">
            <v>V4 - Decommissioned Installed Facility</v>
          </cell>
          <cell r="AF159">
            <v>42397</v>
          </cell>
          <cell r="AG159">
            <v>9.17</v>
          </cell>
          <cell r="AH159" t="str">
            <v>RI</v>
          </cell>
          <cell r="AI159" t="str">
            <v>Not in contract</v>
          </cell>
          <cell r="AJ159" t="str">
            <v>Not under maintenance</v>
          </cell>
          <cell r="AK159" t="str">
            <v>Will be under V4. Taken out of contract as agreed by IKN</v>
          </cell>
        </row>
        <row r="160">
          <cell r="A160" t="str">
            <v>IKN401218</v>
          </cell>
          <cell r="B160">
            <v>1216</v>
          </cell>
          <cell r="C160" t="str">
            <v>Institut Kanser Negara</v>
          </cell>
          <cell r="D160" t="str">
            <v>KKM/IKN/H/13/3025</v>
          </cell>
          <cell r="E160" t="str">
            <v>18-595</v>
          </cell>
          <cell r="F160" t="str">
            <v>Ophthalmoscopes/Otoscopes</v>
          </cell>
          <cell r="G160" t="str">
            <v>NM</v>
          </cell>
          <cell r="H160" t="str">
            <v>NUCLEAR MED (DIAGNOSTIC)</v>
          </cell>
          <cell r="I160" t="str">
            <v>03NM152</v>
          </cell>
          <cell r="J160" t="str">
            <v>NURSE STATION</v>
          </cell>
          <cell r="K160" t="str">
            <v>BMED</v>
          </cell>
          <cell r="L160" t="str">
            <v>Normal</v>
          </cell>
          <cell r="M160" t="str">
            <v>USA</v>
          </cell>
          <cell r="N160" t="str">
            <v>Welch Allyn</v>
          </cell>
          <cell r="O160" t="str">
            <v>Welch Allyn 97150-BIM</v>
          </cell>
          <cell r="P160" t="str">
            <v>N/A</v>
          </cell>
          <cell r="Q160" t="str">
            <v>Not Applicable</v>
          </cell>
          <cell r="R160" t="str">
            <v>Welch Allyn Inc</v>
          </cell>
          <cell r="S160" t="str">
            <v>Welch Allyn Malaysia Sdn Bhd</v>
          </cell>
          <cell r="T160" t="str">
            <v>Functioning</v>
          </cell>
          <cell r="U160" t="str">
            <v>Asset</v>
          </cell>
          <cell r="V160">
            <v>4690</v>
          </cell>
          <cell r="W160" t="str">
            <v>KEW</v>
          </cell>
          <cell r="X160" t="str">
            <v>01/09/2010</v>
          </cell>
          <cell r="Y160" t="str">
            <v>KEW</v>
          </cell>
          <cell r="Z160" t="str">
            <v>16/08/2013</v>
          </cell>
          <cell r="AA160" t="str">
            <v>15/08/2015</v>
          </cell>
          <cell r="AB160" t="str">
            <v>No</v>
          </cell>
          <cell r="AC160" t="str">
            <v>31/08/2013</v>
          </cell>
          <cell r="AD160" t="str">
            <v>Good</v>
          </cell>
          <cell r="AE160" t="str">
            <v>V1 - Existing / No Claim</v>
          </cell>
          <cell r="AF160">
            <v>42235</v>
          </cell>
          <cell r="AG160">
            <v>9.17</v>
          </cell>
          <cell r="AH160" t="str">
            <v>RI</v>
          </cell>
          <cell r="AI160" t="str">
            <v>Strands</v>
          </cell>
          <cell r="AJ160" t="str">
            <v>Not under maintenance</v>
          </cell>
        </row>
        <row r="161">
          <cell r="A161" t="str">
            <v>IKN401243</v>
          </cell>
          <cell r="B161">
            <v>1241</v>
          </cell>
          <cell r="C161" t="str">
            <v>Institut Kanser Negara</v>
          </cell>
          <cell r="D161" t="e">
            <v>#N/A</v>
          </cell>
          <cell r="E161" t="str">
            <v>18-595</v>
          </cell>
          <cell r="F161" t="str">
            <v>Ophthalmoscopes/Otoscopes</v>
          </cell>
          <cell r="G161" t="str">
            <v>WG</v>
          </cell>
          <cell r="H161" t="str">
            <v>RT/ONCO WARD 1 (M)</v>
          </cell>
          <cell r="I161" t="str">
            <v>08WG107</v>
          </cell>
          <cell r="J161" t="str">
            <v>TREATMENT / PROCEDURE</v>
          </cell>
          <cell r="K161" t="str">
            <v>BMED</v>
          </cell>
          <cell r="L161" t="str">
            <v>Normal</v>
          </cell>
          <cell r="M161" t="str">
            <v>USA</v>
          </cell>
          <cell r="N161" t="str">
            <v>Welch Allyn</v>
          </cell>
          <cell r="O161" t="str">
            <v>Welch Allyn 97150-BIM</v>
          </cell>
          <cell r="P161" t="str">
            <v>N/A</v>
          </cell>
          <cell r="Q161" t="str">
            <v>Not Applicable</v>
          </cell>
          <cell r="R161" t="str">
            <v>Welch Allyn Inc</v>
          </cell>
          <cell r="S161" t="str">
            <v>Welch Allyn Malaysia Sdn Bhd</v>
          </cell>
          <cell r="T161" t="str">
            <v>Functioning</v>
          </cell>
          <cell r="U161" t="str">
            <v>Asset</v>
          </cell>
          <cell r="V161">
            <v>4690</v>
          </cell>
          <cell r="W161" t="str">
            <v>KEW</v>
          </cell>
          <cell r="X161" t="str">
            <v>01/09/2010</v>
          </cell>
          <cell r="Y161" t="str">
            <v>KEW</v>
          </cell>
          <cell r="Z161" t="str">
            <v>16/08/2013</v>
          </cell>
          <cell r="AA161" t="str">
            <v>15/08/2015</v>
          </cell>
          <cell r="AB161" t="str">
            <v>No</v>
          </cell>
          <cell r="AC161" t="str">
            <v>31/08/2013</v>
          </cell>
          <cell r="AD161" t="str">
            <v>Good</v>
          </cell>
          <cell r="AE161" t="str">
            <v>V1 - Existing / No Claim</v>
          </cell>
          <cell r="AF161">
            <v>42235</v>
          </cell>
          <cell r="AG161">
            <v>9.17</v>
          </cell>
          <cell r="AH161" t="str">
            <v>RI</v>
          </cell>
          <cell r="AI161" t="str">
            <v>Not in contract</v>
          </cell>
          <cell r="AJ161" t="str">
            <v>Not under maintenance</v>
          </cell>
          <cell r="AK161" t="str">
            <v>Will be under V4. Taken out of contract as agreed by IKN</v>
          </cell>
        </row>
        <row r="162">
          <cell r="A162" t="str">
            <v>IKN401245</v>
          </cell>
          <cell r="B162">
            <v>1243</v>
          </cell>
          <cell r="C162" t="str">
            <v>Institut Kanser Negara</v>
          </cell>
          <cell r="D162" t="e">
            <v>#N/A</v>
          </cell>
          <cell r="E162" t="str">
            <v>16-158</v>
          </cell>
          <cell r="F162" t="str">
            <v>Sphygmomanometers, Mercury</v>
          </cell>
          <cell r="G162" t="str">
            <v>NM</v>
          </cell>
          <cell r="H162" t="str">
            <v>NUCLEAR MED (DIAGNOSTIC)</v>
          </cell>
          <cell r="I162" t="str">
            <v>03NM109</v>
          </cell>
          <cell r="J162" t="str">
            <v>TREATMENT 2 (RAS) (-VE)</v>
          </cell>
          <cell r="K162" t="str">
            <v>BMED</v>
          </cell>
          <cell r="L162" t="str">
            <v>Normal</v>
          </cell>
          <cell r="M162" t="str">
            <v>Germany</v>
          </cell>
          <cell r="N162" t="str">
            <v>Erka</v>
          </cell>
          <cell r="O162" t="str">
            <v>Erkameter 3000</v>
          </cell>
          <cell r="P162" t="str">
            <v>12508899</v>
          </cell>
          <cell r="Q162" t="str">
            <v>Not Applicable</v>
          </cell>
          <cell r="R162" t="str">
            <v>Erka GmbH &amp; Co</v>
          </cell>
          <cell r="S162" t="str">
            <v>Acucare Systems (M) Sdn bhd</v>
          </cell>
          <cell r="T162" t="str">
            <v>Functioning</v>
          </cell>
          <cell r="U162" t="str">
            <v>Asset</v>
          </cell>
          <cell r="V162">
            <v>505</v>
          </cell>
          <cell r="W162" t="str">
            <v>KEW</v>
          </cell>
          <cell r="X162" t="str">
            <v>01/09/2010</v>
          </cell>
          <cell r="Y162" t="str">
            <v>KEW</v>
          </cell>
          <cell r="Z162" t="str">
            <v>16/08/2013</v>
          </cell>
          <cell r="AA162" t="str">
            <v>15/08/2015</v>
          </cell>
          <cell r="AB162" t="str">
            <v>No</v>
          </cell>
          <cell r="AC162" t="str">
            <v>31/08/2013</v>
          </cell>
          <cell r="AD162" t="str">
            <v>Good</v>
          </cell>
          <cell r="AE162" t="str">
            <v>V4 - Decommissioned Installed Facility</v>
          </cell>
          <cell r="AF162">
            <v>42235</v>
          </cell>
          <cell r="AG162">
            <v>9.17</v>
          </cell>
          <cell r="AH162" t="str">
            <v>PPM</v>
          </cell>
          <cell r="AI162" t="str">
            <v>Not in contract</v>
          </cell>
          <cell r="AJ162" t="str">
            <v>Not under maintenance</v>
          </cell>
          <cell r="AK162" t="e">
            <v>#N/A</v>
          </cell>
        </row>
        <row r="163">
          <cell r="A163" t="str">
            <v>IKN401267</v>
          </cell>
          <cell r="B163">
            <v>1263</v>
          </cell>
          <cell r="C163" t="str">
            <v>Institut Kanser Negara</v>
          </cell>
          <cell r="D163" t="e">
            <v>#N/A</v>
          </cell>
          <cell r="E163" t="str">
            <v>15-076</v>
          </cell>
          <cell r="F163" t="str">
            <v>Laryngoscopes, Rigid</v>
          </cell>
          <cell r="G163" t="str">
            <v>RT</v>
          </cell>
          <cell r="H163" t="str">
            <v>RADIATION TREATMENT UNIT</v>
          </cell>
          <cell r="I163" t="str">
            <v>01RT243</v>
          </cell>
          <cell r="J163" t="str">
            <v>NURSE STATION</v>
          </cell>
          <cell r="K163" t="str">
            <v>BMED</v>
          </cell>
          <cell r="L163" t="str">
            <v>Normal</v>
          </cell>
          <cell r="M163" t="str">
            <v>Not Available</v>
          </cell>
          <cell r="N163" t="str">
            <v>Not Available</v>
          </cell>
          <cell r="O163" t="str">
            <v>Not Available</v>
          </cell>
          <cell r="P163" t="str">
            <v>Not Available</v>
          </cell>
          <cell r="Q163" t="str">
            <v>Not Available</v>
          </cell>
          <cell r="R163" t="str">
            <v>Not Available</v>
          </cell>
          <cell r="S163" t="str">
            <v>Antah Sir Radin Sdn. Bhd.</v>
          </cell>
          <cell r="T163" t="str">
            <v>Functioning</v>
          </cell>
          <cell r="U163" t="str">
            <v>Asset</v>
          </cell>
          <cell r="V163">
            <v>4000</v>
          </cell>
          <cell r="W163" t="str">
            <v>KEW</v>
          </cell>
          <cell r="X163" t="str">
            <v>01/09/2010</v>
          </cell>
          <cell r="Y163" t="str">
            <v>KEW</v>
          </cell>
          <cell r="Z163" t="str">
            <v>16/08/2013</v>
          </cell>
          <cell r="AA163" t="str">
            <v>15/08/2015</v>
          </cell>
          <cell r="AB163" t="str">
            <v>No</v>
          </cell>
          <cell r="AC163" t="str">
            <v>16/08/2013</v>
          </cell>
          <cell r="AD163" t="str">
            <v>Good</v>
          </cell>
          <cell r="AE163" t="str">
            <v>V4 - Decommissioned Installed Facility</v>
          </cell>
          <cell r="AF163">
            <v>42681</v>
          </cell>
          <cell r="AG163">
            <v>9.17</v>
          </cell>
          <cell r="AH163" t="str">
            <v>RI</v>
          </cell>
          <cell r="AI163" t="str">
            <v>Not in contract</v>
          </cell>
          <cell r="AJ163" t="str">
            <v>Not under maintenance</v>
          </cell>
          <cell r="AK163" t="str">
            <v>Will be under V4. Taken out of contract as agreed by IKN</v>
          </cell>
        </row>
        <row r="164">
          <cell r="A164" t="str">
            <v>IKN401268</v>
          </cell>
          <cell r="B164">
            <v>1264</v>
          </cell>
          <cell r="C164" t="str">
            <v>Institut Kanser Negara</v>
          </cell>
          <cell r="D164" t="e">
            <v>#N/A</v>
          </cell>
          <cell r="E164" t="str">
            <v>15-076</v>
          </cell>
          <cell r="F164" t="str">
            <v>Laryngoscopes, Rigid</v>
          </cell>
          <cell r="G164" t="str">
            <v>RT</v>
          </cell>
          <cell r="H164" t="str">
            <v>RADIATION TREATMENT UNIT</v>
          </cell>
          <cell r="I164" t="str">
            <v>01RT243</v>
          </cell>
          <cell r="J164" t="str">
            <v>NURSE STATION</v>
          </cell>
          <cell r="K164" t="str">
            <v>BMED</v>
          </cell>
          <cell r="L164" t="str">
            <v>Normal</v>
          </cell>
          <cell r="M164" t="str">
            <v>Not Available</v>
          </cell>
          <cell r="N164" t="str">
            <v>Not Available</v>
          </cell>
          <cell r="O164" t="str">
            <v>Not Available</v>
          </cell>
          <cell r="P164" t="str">
            <v>Not Available</v>
          </cell>
          <cell r="Q164" t="str">
            <v>Not Available</v>
          </cell>
          <cell r="R164" t="str">
            <v>Not Available</v>
          </cell>
          <cell r="S164" t="str">
            <v>Antah Sir Radin Sdn. Bhd.</v>
          </cell>
          <cell r="T164" t="str">
            <v>Functioning</v>
          </cell>
          <cell r="U164" t="str">
            <v>Asset</v>
          </cell>
          <cell r="V164">
            <v>4000</v>
          </cell>
          <cell r="W164" t="str">
            <v>KEW</v>
          </cell>
          <cell r="X164" t="str">
            <v>01/09/2010</v>
          </cell>
          <cell r="Y164" t="str">
            <v>KEW</v>
          </cell>
          <cell r="Z164" t="str">
            <v>16/08/2013</v>
          </cell>
          <cell r="AA164" t="str">
            <v>15/08/2015</v>
          </cell>
          <cell r="AB164" t="str">
            <v>No</v>
          </cell>
          <cell r="AC164" t="str">
            <v>16/08/2013</v>
          </cell>
          <cell r="AD164" t="str">
            <v>Good</v>
          </cell>
          <cell r="AE164" t="str">
            <v>V4 - Decommissioned Installed Facility</v>
          </cell>
          <cell r="AF164">
            <v>42681</v>
          </cell>
          <cell r="AG164">
            <v>9.17</v>
          </cell>
          <cell r="AH164" t="str">
            <v>RI</v>
          </cell>
          <cell r="AI164" t="str">
            <v>Not in contract</v>
          </cell>
          <cell r="AJ164" t="str">
            <v>Not under maintenance</v>
          </cell>
          <cell r="AK164" t="str">
            <v>Will be under V4. Taken out of contract as agreed by IKN</v>
          </cell>
        </row>
        <row r="165">
          <cell r="A165" t="str">
            <v>IKN401269</v>
          </cell>
          <cell r="B165">
            <v>1265</v>
          </cell>
          <cell r="C165" t="str">
            <v>Institut Kanser Negara</v>
          </cell>
          <cell r="D165" t="e">
            <v>#N/A</v>
          </cell>
          <cell r="E165" t="str">
            <v>15-076</v>
          </cell>
          <cell r="F165" t="str">
            <v>Laryngoscopes, Rigid</v>
          </cell>
          <cell r="G165" t="str">
            <v>AE</v>
          </cell>
          <cell r="H165" t="str">
            <v>EMERGENCY UNIT</v>
          </cell>
          <cell r="I165" t="str">
            <v>01AE112</v>
          </cell>
          <cell r="J165" t="str">
            <v>EMERGENCY TROLLEY BAY</v>
          </cell>
          <cell r="K165" t="str">
            <v>BMED</v>
          </cell>
          <cell r="L165" t="str">
            <v>Normal</v>
          </cell>
          <cell r="M165" t="str">
            <v>Not Available</v>
          </cell>
          <cell r="N165" t="str">
            <v>Not Available</v>
          </cell>
          <cell r="O165" t="str">
            <v>Not Available</v>
          </cell>
          <cell r="P165" t="str">
            <v>Not Available</v>
          </cell>
          <cell r="Q165" t="str">
            <v>Not Available</v>
          </cell>
          <cell r="R165" t="str">
            <v>Not Available</v>
          </cell>
          <cell r="S165" t="str">
            <v>Antah Sir Radin Sdn. Bhd.</v>
          </cell>
          <cell r="T165" t="str">
            <v>Functioning</v>
          </cell>
          <cell r="U165" t="str">
            <v>Asset</v>
          </cell>
          <cell r="V165">
            <v>4000</v>
          </cell>
          <cell r="W165" t="str">
            <v>KEW</v>
          </cell>
          <cell r="X165" t="str">
            <v>01/09/2010</v>
          </cell>
          <cell r="Y165" t="str">
            <v>KEW</v>
          </cell>
          <cell r="Z165" t="str">
            <v>16/08/2013</v>
          </cell>
          <cell r="AA165" t="str">
            <v>15/08/2015</v>
          </cell>
          <cell r="AB165" t="str">
            <v>No</v>
          </cell>
          <cell r="AC165" t="str">
            <v>16/08/2013</v>
          </cell>
          <cell r="AD165" t="str">
            <v>Good</v>
          </cell>
          <cell r="AE165" t="str">
            <v>V4 - Decommissioned Installed Facility</v>
          </cell>
          <cell r="AF165">
            <v>43543</v>
          </cell>
          <cell r="AG165">
            <v>9.17</v>
          </cell>
          <cell r="AH165" t="str">
            <v>RI</v>
          </cell>
          <cell r="AI165" t="str">
            <v>Not in contract</v>
          </cell>
          <cell r="AJ165" t="str">
            <v>Not under maintenance</v>
          </cell>
          <cell r="AK165" t="str">
            <v>Will be under V4. Taken out of contract as agreed by IKN</v>
          </cell>
        </row>
        <row r="166">
          <cell r="A166" t="str">
            <v>IKN401270</v>
          </cell>
          <cell r="B166">
            <v>1266</v>
          </cell>
          <cell r="C166" t="str">
            <v>Institut Kanser Negara</v>
          </cell>
          <cell r="D166" t="e">
            <v>#N/A</v>
          </cell>
          <cell r="E166" t="str">
            <v>15-076</v>
          </cell>
          <cell r="F166" t="str">
            <v>Laryngoscopes, Rigid</v>
          </cell>
          <cell r="G166" t="str">
            <v>AE</v>
          </cell>
          <cell r="H166" t="str">
            <v>EMERGENCY UNIT</v>
          </cell>
          <cell r="I166" t="str">
            <v>01AE112</v>
          </cell>
          <cell r="J166" t="str">
            <v>EMERGENCY TROLLEY BAY</v>
          </cell>
          <cell r="K166" t="str">
            <v>BMED</v>
          </cell>
          <cell r="L166" t="str">
            <v>Normal</v>
          </cell>
          <cell r="M166" t="str">
            <v>Not Available</v>
          </cell>
          <cell r="N166" t="str">
            <v>Not Available</v>
          </cell>
          <cell r="O166" t="str">
            <v>Not Available</v>
          </cell>
          <cell r="P166" t="str">
            <v>Not Available</v>
          </cell>
          <cell r="Q166" t="str">
            <v>Not Available</v>
          </cell>
          <cell r="R166" t="str">
            <v>Not Available</v>
          </cell>
          <cell r="S166" t="str">
            <v>Not Available</v>
          </cell>
          <cell r="T166" t="str">
            <v>Functioning</v>
          </cell>
          <cell r="U166" t="str">
            <v>Asset</v>
          </cell>
          <cell r="V166">
            <v>4000</v>
          </cell>
          <cell r="W166" t="str">
            <v>KEW</v>
          </cell>
          <cell r="X166" t="str">
            <v>01/09/2010</v>
          </cell>
          <cell r="Y166" t="str">
            <v>KEW</v>
          </cell>
          <cell r="Z166" t="str">
            <v>16/08/2013</v>
          </cell>
          <cell r="AA166" t="str">
            <v>15/08/2015</v>
          </cell>
          <cell r="AB166" t="str">
            <v>No</v>
          </cell>
          <cell r="AC166" t="str">
            <v>16/08/2013</v>
          </cell>
          <cell r="AD166" t="str">
            <v>Good</v>
          </cell>
          <cell r="AE166" t="str">
            <v>V4 - Decommissioned Installed Facility</v>
          </cell>
          <cell r="AF166">
            <v>42681</v>
          </cell>
          <cell r="AG166">
            <v>9.17</v>
          </cell>
          <cell r="AH166" t="str">
            <v>RI</v>
          </cell>
          <cell r="AI166" t="str">
            <v>Not in contract</v>
          </cell>
          <cell r="AJ166" t="str">
            <v>Not under maintenance</v>
          </cell>
          <cell r="AK166" t="str">
            <v>Will be under V4. Taken out of contract as agreed by IKN</v>
          </cell>
        </row>
        <row r="167">
          <cell r="A167" t="str">
            <v>IKN401271</v>
          </cell>
          <cell r="B167">
            <v>1267</v>
          </cell>
          <cell r="C167" t="str">
            <v>Institut Kanser Negara</v>
          </cell>
          <cell r="D167" t="e">
            <v>#N/A</v>
          </cell>
          <cell r="E167" t="str">
            <v>15-076</v>
          </cell>
          <cell r="F167" t="str">
            <v>Laryngoscopes, Rigid</v>
          </cell>
          <cell r="G167" t="str">
            <v>AE</v>
          </cell>
          <cell r="H167" t="str">
            <v>EMERGENCY UNIT</v>
          </cell>
          <cell r="I167" t="str">
            <v>01AE119</v>
          </cell>
          <cell r="J167" t="str">
            <v>RESUSCITATION/TREATMENT</v>
          </cell>
          <cell r="K167" t="str">
            <v>BMED</v>
          </cell>
          <cell r="L167" t="str">
            <v>Normal</v>
          </cell>
          <cell r="M167" t="str">
            <v>Not Available</v>
          </cell>
          <cell r="N167" t="str">
            <v>Not Available</v>
          </cell>
          <cell r="O167" t="str">
            <v>Not Available</v>
          </cell>
          <cell r="P167" t="str">
            <v>Not Available</v>
          </cell>
          <cell r="Q167" t="str">
            <v>Not Available</v>
          </cell>
          <cell r="R167" t="str">
            <v>Not Available</v>
          </cell>
          <cell r="S167" t="str">
            <v>Antah Sir Radin Sdn. Bhd.</v>
          </cell>
          <cell r="T167" t="str">
            <v>Functioning</v>
          </cell>
          <cell r="U167" t="str">
            <v>Asset</v>
          </cell>
          <cell r="V167">
            <v>4000</v>
          </cell>
          <cell r="W167" t="str">
            <v>KEW</v>
          </cell>
          <cell r="X167" t="str">
            <v>01/09/2010</v>
          </cell>
          <cell r="Y167" t="str">
            <v>KEW</v>
          </cell>
          <cell r="Z167" t="str">
            <v>16/08/2013</v>
          </cell>
          <cell r="AA167" t="str">
            <v>15/08/2015</v>
          </cell>
          <cell r="AB167" t="str">
            <v>No</v>
          </cell>
          <cell r="AC167" t="str">
            <v>16/08/2013</v>
          </cell>
          <cell r="AD167" t="str">
            <v>Good</v>
          </cell>
          <cell r="AE167" t="str">
            <v>V4 - Decommissioned Installed Facility</v>
          </cell>
          <cell r="AF167">
            <v>42681</v>
          </cell>
          <cell r="AG167">
            <v>9.17</v>
          </cell>
          <cell r="AH167" t="str">
            <v>RI</v>
          </cell>
          <cell r="AI167" t="str">
            <v>Not in contract</v>
          </cell>
          <cell r="AJ167" t="str">
            <v>Not under maintenance</v>
          </cell>
          <cell r="AK167" t="str">
            <v>Will be under V4. Taken out of contract as agreed by IKN</v>
          </cell>
        </row>
        <row r="168">
          <cell r="A168" t="str">
            <v>IKN401272</v>
          </cell>
          <cell r="B168">
            <v>1268</v>
          </cell>
          <cell r="C168" t="str">
            <v>Institut Kanser Negara</v>
          </cell>
          <cell r="D168" t="e">
            <v>#N/A</v>
          </cell>
          <cell r="E168" t="str">
            <v>15-076</v>
          </cell>
          <cell r="F168" t="str">
            <v>Laryngoscopes, Rigid</v>
          </cell>
          <cell r="G168" t="str">
            <v>AE</v>
          </cell>
          <cell r="H168" t="str">
            <v>EMERGENCY UNIT</v>
          </cell>
          <cell r="I168" t="str">
            <v>01AE119</v>
          </cell>
          <cell r="J168" t="str">
            <v>RESUSCITATION/TREATMENT</v>
          </cell>
          <cell r="K168" t="str">
            <v>BMED</v>
          </cell>
          <cell r="L168" t="str">
            <v>Normal</v>
          </cell>
          <cell r="M168" t="str">
            <v>Not Available</v>
          </cell>
          <cell r="N168" t="str">
            <v>Not Available</v>
          </cell>
          <cell r="O168" t="str">
            <v>Not Available</v>
          </cell>
          <cell r="P168" t="str">
            <v>Not Available</v>
          </cell>
          <cell r="Q168" t="str">
            <v>Not Available</v>
          </cell>
          <cell r="R168" t="str">
            <v>Not Available</v>
          </cell>
          <cell r="S168" t="str">
            <v>Antah Sir Radin Sdn. Bhd.</v>
          </cell>
          <cell r="T168" t="str">
            <v>Functioning</v>
          </cell>
          <cell r="U168" t="str">
            <v>Asset</v>
          </cell>
          <cell r="V168">
            <v>4000</v>
          </cell>
          <cell r="W168" t="str">
            <v>KEW</v>
          </cell>
          <cell r="X168" t="str">
            <v>01/09/2010</v>
          </cell>
          <cell r="Y168" t="str">
            <v>KEW</v>
          </cell>
          <cell r="Z168" t="str">
            <v>16/08/2013</v>
          </cell>
          <cell r="AA168" t="str">
            <v>15/08/2015</v>
          </cell>
          <cell r="AB168" t="str">
            <v>No</v>
          </cell>
          <cell r="AC168" t="str">
            <v>16/08/2013</v>
          </cell>
          <cell r="AD168" t="str">
            <v>Good</v>
          </cell>
          <cell r="AE168" t="str">
            <v>V4 - Decommissioned Installed Facility</v>
          </cell>
          <cell r="AF168">
            <v>42681</v>
          </cell>
          <cell r="AG168">
            <v>9.17</v>
          </cell>
          <cell r="AH168" t="str">
            <v>RI</v>
          </cell>
          <cell r="AI168" t="str">
            <v>Not in contract</v>
          </cell>
          <cell r="AJ168" t="str">
            <v>Not under maintenance</v>
          </cell>
          <cell r="AK168" t="str">
            <v>Will be under V4. Taken out of contract as agreed by IKN</v>
          </cell>
        </row>
        <row r="169">
          <cell r="A169" t="str">
            <v>IKN401283</v>
          </cell>
          <cell r="B169">
            <v>1279</v>
          </cell>
          <cell r="C169" t="str">
            <v>Institut Kanser Negara</v>
          </cell>
          <cell r="D169" t="e">
            <v>#N/A</v>
          </cell>
          <cell r="E169" t="str">
            <v>15-076</v>
          </cell>
          <cell r="F169" t="str">
            <v>Laryngoscopes, Rigid</v>
          </cell>
          <cell r="G169" t="str">
            <v>RT</v>
          </cell>
          <cell r="H169" t="str">
            <v>RADIATION TREATMENT UNIT</v>
          </cell>
          <cell r="I169" t="str">
            <v>01RT116</v>
          </cell>
          <cell r="J169" t="str">
            <v>CT SIMULATOR 1</v>
          </cell>
          <cell r="K169" t="str">
            <v>BMED</v>
          </cell>
          <cell r="L169" t="str">
            <v>Normal</v>
          </cell>
          <cell r="M169" t="str">
            <v>Not Available</v>
          </cell>
          <cell r="N169" t="str">
            <v>Not Available</v>
          </cell>
          <cell r="O169" t="str">
            <v>Not Available</v>
          </cell>
          <cell r="P169" t="str">
            <v>Not Available</v>
          </cell>
          <cell r="Q169" t="str">
            <v>Not Available</v>
          </cell>
          <cell r="R169" t="str">
            <v>Not Available</v>
          </cell>
          <cell r="S169" t="str">
            <v>Not Available</v>
          </cell>
          <cell r="T169" t="str">
            <v>Functioning</v>
          </cell>
          <cell r="U169" t="str">
            <v>Asset</v>
          </cell>
          <cell r="V169">
            <v>4000</v>
          </cell>
          <cell r="W169" t="str">
            <v>KEW</v>
          </cell>
          <cell r="X169" t="str">
            <v>01/09/2010</v>
          </cell>
          <cell r="Y169" t="str">
            <v>KEW</v>
          </cell>
          <cell r="Z169" t="str">
            <v>16/08/2013</v>
          </cell>
          <cell r="AA169" t="str">
            <v>15/08/2015</v>
          </cell>
          <cell r="AB169" t="str">
            <v>No</v>
          </cell>
          <cell r="AC169" t="str">
            <v>16/08/2013</v>
          </cell>
          <cell r="AD169" t="str">
            <v>Good</v>
          </cell>
          <cell r="AE169" t="str">
            <v>V4 - Decommissioned Installed Facility</v>
          </cell>
          <cell r="AF169">
            <v>42681</v>
          </cell>
          <cell r="AG169">
            <v>9.17</v>
          </cell>
          <cell r="AH169" t="str">
            <v>RI</v>
          </cell>
          <cell r="AI169" t="str">
            <v>Not in contract</v>
          </cell>
          <cell r="AJ169" t="str">
            <v>Not under maintenance</v>
          </cell>
          <cell r="AK169" t="str">
            <v>Will be under V4. Taken out of contract as agreed by IKN</v>
          </cell>
        </row>
        <row r="170">
          <cell r="A170" t="str">
            <v>IKN401284</v>
          </cell>
          <cell r="B170">
            <v>1280</v>
          </cell>
          <cell r="C170" t="str">
            <v>Institut Kanser Negara</v>
          </cell>
          <cell r="D170" t="e">
            <v>#N/A</v>
          </cell>
          <cell r="E170" t="str">
            <v>15-076</v>
          </cell>
          <cell r="F170" t="str">
            <v>Laryngoscopes, Rigid</v>
          </cell>
          <cell r="G170" t="str">
            <v>RT</v>
          </cell>
          <cell r="H170" t="str">
            <v>RADIATION TREATMENT UNIT</v>
          </cell>
          <cell r="I170" t="str">
            <v>01RT116</v>
          </cell>
          <cell r="J170" t="str">
            <v>CT SIMULATOR 1</v>
          </cell>
          <cell r="K170" t="str">
            <v>BMED</v>
          </cell>
          <cell r="L170" t="str">
            <v>Normal</v>
          </cell>
          <cell r="M170" t="str">
            <v>Not Available</v>
          </cell>
          <cell r="N170" t="str">
            <v>Not Available</v>
          </cell>
          <cell r="O170" t="str">
            <v>Not Available</v>
          </cell>
          <cell r="P170" t="str">
            <v>Not Available</v>
          </cell>
          <cell r="Q170" t="str">
            <v>Not Available</v>
          </cell>
          <cell r="R170" t="str">
            <v>Not Available</v>
          </cell>
          <cell r="S170" t="str">
            <v>Not Available</v>
          </cell>
          <cell r="T170" t="str">
            <v>Functioning</v>
          </cell>
          <cell r="U170" t="str">
            <v>Asset</v>
          </cell>
          <cell r="V170">
            <v>4000</v>
          </cell>
          <cell r="W170" t="str">
            <v>KEW</v>
          </cell>
          <cell r="X170" t="str">
            <v>01/09/2010</v>
          </cell>
          <cell r="Y170" t="str">
            <v>KEW</v>
          </cell>
          <cell r="Z170" t="str">
            <v>16/08/2013</v>
          </cell>
          <cell r="AA170" t="str">
            <v>15/08/2015</v>
          </cell>
          <cell r="AB170" t="str">
            <v>No</v>
          </cell>
          <cell r="AC170" t="str">
            <v>16/08/2013</v>
          </cell>
          <cell r="AD170" t="str">
            <v>Good</v>
          </cell>
          <cell r="AE170" t="str">
            <v>V4 - Decommissioned Installed Facility</v>
          </cell>
          <cell r="AF170">
            <v>42681</v>
          </cell>
          <cell r="AG170">
            <v>9.17</v>
          </cell>
          <cell r="AH170" t="str">
            <v>RI</v>
          </cell>
          <cell r="AI170" t="str">
            <v>Not in contract</v>
          </cell>
          <cell r="AJ170" t="str">
            <v>Not under maintenance</v>
          </cell>
          <cell r="AK170" t="str">
            <v>Will be under V4. Taken out of contract as agreed by IKN</v>
          </cell>
        </row>
        <row r="171">
          <cell r="A171" t="str">
            <v>IKN401285</v>
          </cell>
          <cell r="B171">
            <v>1281</v>
          </cell>
          <cell r="C171" t="str">
            <v>Institut Kanser Negara</v>
          </cell>
          <cell r="D171" t="e">
            <v>#N/A</v>
          </cell>
          <cell r="E171" t="str">
            <v>15-076</v>
          </cell>
          <cell r="F171" t="str">
            <v>Laryngoscopes, Rigid</v>
          </cell>
          <cell r="G171" t="str">
            <v>RT</v>
          </cell>
          <cell r="H171" t="str">
            <v>RADIATION TREATMENT UNIT</v>
          </cell>
          <cell r="I171" t="str">
            <v>01RT237</v>
          </cell>
          <cell r="J171" t="str">
            <v>N/S</v>
          </cell>
          <cell r="K171" t="str">
            <v>BMED</v>
          </cell>
          <cell r="L171" t="str">
            <v>Normal</v>
          </cell>
          <cell r="M171" t="str">
            <v>Not Available</v>
          </cell>
          <cell r="N171" t="str">
            <v>Not Available</v>
          </cell>
          <cell r="O171" t="str">
            <v>Not Available</v>
          </cell>
          <cell r="P171" t="str">
            <v>Not Available</v>
          </cell>
          <cell r="Q171" t="str">
            <v>Not Available</v>
          </cell>
          <cell r="R171" t="str">
            <v>Not Available</v>
          </cell>
          <cell r="S171" t="str">
            <v>Antah Sir Radin Sdn. Bhd.</v>
          </cell>
          <cell r="T171" t="str">
            <v>Functioning</v>
          </cell>
          <cell r="U171" t="str">
            <v>Asset</v>
          </cell>
          <cell r="V171">
            <v>4000</v>
          </cell>
          <cell r="W171" t="str">
            <v>KEW</v>
          </cell>
          <cell r="X171" t="str">
            <v>01/09/2010</v>
          </cell>
          <cell r="Y171" t="str">
            <v>KEW</v>
          </cell>
          <cell r="Z171" t="str">
            <v>16/08/2013</v>
          </cell>
          <cell r="AA171" t="str">
            <v>15/08/2015</v>
          </cell>
          <cell r="AB171" t="str">
            <v>No</v>
          </cell>
          <cell r="AC171" t="str">
            <v>16/08/2013</v>
          </cell>
          <cell r="AD171" t="str">
            <v>Good</v>
          </cell>
          <cell r="AE171" t="str">
            <v>V4 - Decommissioned Installed Facility</v>
          </cell>
          <cell r="AF171">
            <v>42681</v>
          </cell>
          <cell r="AG171">
            <v>9.17</v>
          </cell>
          <cell r="AH171" t="str">
            <v>RI</v>
          </cell>
          <cell r="AI171" t="str">
            <v>Not in contract</v>
          </cell>
          <cell r="AJ171" t="str">
            <v>Not under maintenance</v>
          </cell>
          <cell r="AK171" t="str">
            <v>Will be under V4. Taken out of contract as agreed by IKN</v>
          </cell>
        </row>
        <row r="172">
          <cell r="A172" t="str">
            <v>IKN401286</v>
          </cell>
          <cell r="B172">
            <v>1282</v>
          </cell>
          <cell r="C172" t="str">
            <v>Institut Kanser Negara</v>
          </cell>
          <cell r="D172" t="e">
            <v>#N/A</v>
          </cell>
          <cell r="E172" t="str">
            <v>15-076</v>
          </cell>
          <cell r="F172" t="str">
            <v>Laryngoscopes, Rigid</v>
          </cell>
          <cell r="G172" t="str">
            <v>RT</v>
          </cell>
          <cell r="H172" t="str">
            <v>RADIATION TREATMENT UNIT</v>
          </cell>
          <cell r="I172" t="str">
            <v>01RT237</v>
          </cell>
          <cell r="J172" t="str">
            <v>N/S</v>
          </cell>
          <cell r="K172" t="str">
            <v>BMED</v>
          </cell>
          <cell r="L172" t="str">
            <v>Normal</v>
          </cell>
          <cell r="M172" t="str">
            <v>Not Available</v>
          </cell>
          <cell r="N172" t="str">
            <v>Not Available</v>
          </cell>
          <cell r="O172" t="str">
            <v>Not Available</v>
          </cell>
          <cell r="P172" t="str">
            <v>Not Available</v>
          </cell>
          <cell r="Q172" t="str">
            <v>Not Available</v>
          </cell>
          <cell r="R172" t="str">
            <v>Not Available</v>
          </cell>
          <cell r="S172" t="str">
            <v>Antah Sir Radin Sdn. Bhd.</v>
          </cell>
          <cell r="T172" t="str">
            <v>Functioning</v>
          </cell>
          <cell r="U172" t="str">
            <v>Asset</v>
          </cell>
          <cell r="V172">
            <v>4000</v>
          </cell>
          <cell r="W172" t="str">
            <v>KEW</v>
          </cell>
          <cell r="X172" t="str">
            <v>01/09/2010</v>
          </cell>
          <cell r="Y172" t="str">
            <v>KEW</v>
          </cell>
          <cell r="Z172" t="str">
            <v>16/08/2013</v>
          </cell>
          <cell r="AA172" t="str">
            <v>15/08/2015</v>
          </cell>
          <cell r="AB172" t="str">
            <v>No</v>
          </cell>
          <cell r="AC172" t="str">
            <v>16/08/2013</v>
          </cell>
          <cell r="AD172" t="str">
            <v>Good</v>
          </cell>
          <cell r="AE172" t="str">
            <v>V4 - Decommissioned Installed Facility</v>
          </cell>
          <cell r="AF172">
            <v>42681</v>
          </cell>
          <cell r="AG172">
            <v>9.17</v>
          </cell>
          <cell r="AH172" t="str">
            <v>RI</v>
          </cell>
          <cell r="AI172" t="str">
            <v>Not in contract</v>
          </cell>
          <cell r="AJ172" t="str">
            <v>Not under maintenance</v>
          </cell>
          <cell r="AK172" t="str">
            <v>Will be under V4. Taken out of contract as agreed by IKN</v>
          </cell>
        </row>
        <row r="173">
          <cell r="A173" t="str">
            <v>IKN401293</v>
          </cell>
          <cell r="B173">
            <v>1289</v>
          </cell>
          <cell r="C173" t="str">
            <v>Institut Kanser Negara</v>
          </cell>
          <cell r="D173" t="e">
            <v>#N/A</v>
          </cell>
          <cell r="E173" t="str">
            <v>16-158</v>
          </cell>
          <cell r="F173" t="str">
            <v>Sphygmomanometers, Mercury</v>
          </cell>
          <cell r="G173" t="str">
            <v>IC</v>
          </cell>
          <cell r="H173" t="str">
            <v>INTENSIVE CARE UNIT</v>
          </cell>
          <cell r="I173" t="str">
            <v>05IC121</v>
          </cell>
          <cell r="J173" t="str">
            <v>MEDICATION PREPARATION</v>
          </cell>
          <cell r="K173" t="str">
            <v>BMED</v>
          </cell>
          <cell r="L173" t="str">
            <v>Critical</v>
          </cell>
          <cell r="M173" t="str">
            <v>Germany</v>
          </cell>
          <cell r="N173" t="str">
            <v>Erka</v>
          </cell>
          <cell r="O173" t="str">
            <v>Erkameter 3000</v>
          </cell>
          <cell r="P173" t="str">
            <v>13500753</v>
          </cell>
          <cell r="Q173" t="str">
            <v>Not Available</v>
          </cell>
          <cell r="R173" t="str">
            <v>Erka GmbH &amp; Co</v>
          </cell>
          <cell r="S173" t="str">
            <v>Acucare Sdn. Bhd</v>
          </cell>
          <cell r="T173" t="str">
            <v>Functioning</v>
          </cell>
          <cell r="U173" t="str">
            <v>Asset</v>
          </cell>
          <cell r="V173">
            <v>505</v>
          </cell>
          <cell r="W173" t="str">
            <v>KEW</v>
          </cell>
          <cell r="X173" t="str">
            <v>01/09/2010</v>
          </cell>
          <cell r="Y173" t="str">
            <v>KEW</v>
          </cell>
          <cell r="Z173" t="str">
            <v>16/08/2013</v>
          </cell>
          <cell r="AA173" t="str">
            <v>15/08/2015</v>
          </cell>
          <cell r="AB173" t="str">
            <v>No</v>
          </cell>
          <cell r="AC173" t="str">
            <v>31/08/2013</v>
          </cell>
          <cell r="AD173" t="str">
            <v>Good</v>
          </cell>
          <cell r="AE173" t="str">
            <v>V4 - Decommissioned Installed Facility</v>
          </cell>
          <cell r="AF173">
            <v>42590</v>
          </cell>
          <cell r="AG173">
            <v>9.17</v>
          </cell>
          <cell r="AH173" t="str">
            <v>PPM</v>
          </cell>
          <cell r="AI173" t="str">
            <v>Not in contract</v>
          </cell>
          <cell r="AJ173" t="str">
            <v>Not under maintenance</v>
          </cell>
          <cell r="AK173" t="e">
            <v>#N/A</v>
          </cell>
        </row>
        <row r="174">
          <cell r="A174" t="str">
            <v>IKN401294</v>
          </cell>
          <cell r="B174">
            <v>1290</v>
          </cell>
          <cell r="C174" t="str">
            <v>Institut Kanser Negara</v>
          </cell>
          <cell r="D174" t="e">
            <v>#N/A</v>
          </cell>
          <cell r="E174" t="str">
            <v>18-595</v>
          </cell>
          <cell r="F174" t="str">
            <v>Ophthalmoscopes/Otoscopes</v>
          </cell>
          <cell r="G174" t="str">
            <v>WB</v>
          </cell>
          <cell r="H174" t="str">
            <v>SURGICAL ONCO MALE WARD</v>
          </cell>
          <cell r="I174" t="str">
            <v>05WB107</v>
          </cell>
          <cell r="J174" t="str">
            <v>TREATMENT / PROCEDURE</v>
          </cell>
          <cell r="K174" t="str">
            <v>BMED</v>
          </cell>
          <cell r="L174" t="str">
            <v>Normal</v>
          </cell>
          <cell r="M174" t="str">
            <v>USA</v>
          </cell>
          <cell r="N174" t="str">
            <v>Welch Allyn</v>
          </cell>
          <cell r="O174" t="str">
            <v>Welch Allyn 97150-BIM</v>
          </cell>
          <cell r="P174" t="str">
            <v>Not Available</v>
          </cell>
          <cell r="Q174" t="str">
            <v>Not Available</v>
          </cell>
          <cell r="R174" t="str">
            <v>Welch Allyn Inc</v>
          </cell>
          <cell r="S174" t="str">
            <v>Welch Allyn</v>
          </cell>
          <cell r="T174" t="str">
            <v>Functioning</v>
          </cell>
          <cell r="U174" t="str">
            <v>Asset</v>
          </cell>
          <cell r="V174">
            <v>4690</v>
          </cell>
          <cell r="W174" t="str">
            <v>KEW</v>
          </cell>
          <cell r="X174" t="str">
            <v>01/09/2010</v>
          </cell>
          <cell r="Y174" t="str">
            <v>KEW</v>
          </cell>
          <cell r="Z174" t="str">
            <v>16/08/2013</v>
          </cell>
          <cell r="AA174" t="str">
            <v>15/08/2015</v>
          </cell>
          <cell r="AB174" t="str">
            <v>No</v>
          </cell>
          <cell r="AC174" t="str">
            <v>31/08/2013</v>
          </cell>
          <cell r="AD174" t="str">
            <v>Good</v>
          </cell>
          <cell r="AE174" t="str">
            <v>V1 - Existing / No Claim</v>
          </cell>
          <cell r="AF174">
            <v>42590</v>
          </cell>
          <cell r="AG174">
            <v>9.17</v>
          </cell>
          <cell r="AH174" t="str">
            <v>RI</v>
          </cell>
          <cell r="AI174" t="str">
            <v>Not in contract</v>
          </cell>
          <cell r="AJ174" t="str">
            <v>Not under maintenance</v>
          </cell>
          <cell r="AK174" t="str">
            <v>Will be under V4. Taken out of contract as agreed by IKN</v>
          </cell>
        </row>
        <row r="175">
          <cell r="A175" t="str">
            <v>IKN401295</v>
          </cell>
          <cell r="B175">
            <v>1291</v>
          </cell>
          <cell r="C175" t="str">
            <v>Institut Kanser Negara</v>
          </cell>
          <cell r="D175" t="e">
            <v>#N/A</v>
          </cell>
          <cell r="E175" t="str">
            <v>15-076</v>
          </cell>
          <cell r="F175" t="str">
            <v>Laryngoscopes, Rigid</v>
          </cell>
          <cell r="G175" t="str">
            <v>WB</v>
          </cell>
          <cell r="H175" t="str">
            <v>SURGICAL ONCO MALE WARD</v>
          </cell>
          <cell r="I175" t="str">
            <v>05WB107</v>
          </cell>
          <cell r="J175" t="str">
            <v>TREATMENT / PROCEDURE</v>
          </cell>
          <cell r="K175" t="str">
            <v>BMED</v>
          </cell>
          <cell r="L175" t="str">
            <v>Normal</v>
          </cell>
          <cell r="M175" t="str">
            <v>Not Available</v>
          </cell>
          <cell r="N175" t="str">
            <v>Not Available</v>
          </cell>
          <cell r="O175" t="str">
            <v>Not Available</v>
          </cell>
          <cell r="P175" t="str">
            <v>Not Available</v>
          </cell>
          <cell r="Q175" t="str">
            <v>Not Available</v>
          </cell>
          <cell r="R175" t="str">
            <v>Not Available</v>
          </cell>
          <cell r="S175" t="str">
            <v>Antah Sri Radin</v>
          </cell>
          <cell r="T175" t="str">
            <v>Functioning</v>
          </cell>
          <cell r="U175" t="str">
            <v>Asset</v>
          </cell>
          <cell r="V175">
            <v>4000</v>
          </cell>
          <cell r="W175" t="str">
            <v>KEW</v>
          </cell>
          <cell r="X175" t="str">
            <v>01/09/2010</v>
          </cell>
          <cell r="Y175" t="str">
            <v>KEW</v>
          </cell>
          <cell r="Z175" t="str">
            <v>16/08/2013</v>
          </cell>
          <cell r="AA175" t="str">
            <v>15/08/2015</v>
          </cell>
          <cell r="AB175" t="str">
            <v>No</v>
          </cell>
          <cell r="AC175" t="str">
            <v>31/08/2013</v>
          </cell>
          <cell r="AD175" t="str">
            <v>Good</v>
          </cell>
          <cell r="AE175" t="str">
            <v>V4 - Decommissioned Installed Facility</v>
          </cell>
          <cell r="AF175">
            <v>42590</v>
          </cell>
          <cell r="AG175">
            <v>9.17</v>
          </cell>
          <cell r="AH175" t="str">
            <v>RI</v>
          </cell>
          <cell r="AI175" t="str">
            <v>Not in contract</v>
          </cell>
          <cell r="AJ175" t="str">
            <v>Not under maintenance</v>
          </cell>
          <cell r="AK175" t="str">
            <v>Will be under V4. Taken out of contract as agreed by IKN</v>
          </cell>
        </row>
        <row r="176">
          <cell r="A176" t="str">
            <v>IKN401296</v>
          </cell>
          <cell r="B176">
            <v>1292</v>
          </cell>
          <cell r="C176" t="str">
            <v>Institut Kanser Negara</v>
          </cell>
          <cell r="D176" t="e">
            <v>#N/A</v>
          </cell>
          <cell r="E176" t="str">
            <v>15-076</v>
          </cell>
          <cell r="F176" t="str">
            <v>Laryngoscopes, Rigid</v>
          </cell>
          <cell r="G176" t="str">
            <v>WB</v>
          </cell>
          <cell r="H176" t="str">
            <v>SURGICAL ONCO MALE WARD</v>
          </cell>
          <cell r="I176" t="str">
            <v>05WB107</v>
          </cell>
          <cell r="J176" t="str">
            <v>TREATMENT / PROCEDURE</v>
          </cell>
          <cell r="K176" t="str">
            <v>BMED</v>
          </cell>
          <cell r="L176" t="str">
            <v>Normal</v>
          </cell>
          <cell r="M176" t="str">
            <v>Not Available</v>
          </cell>
          <cell r="N176" t="str">
            <v>Not Available</v>
          </cell>
          <cell r="O176" t="str">
            <v>Not Available</v>
          </cell>
          <cell r="P176" t="str">
            <v>Not Available</v>
          </cell>
          <cell r="Q176" t="str">
            <v>Not Available</v>
          </cell>
          <cell r="R176" t="str">
            <v>Not Available</v>
          </cell>
          <cell r="S176" t="str">
            <v>Antah Sri Radin</v>
          </cell>
          <cell r="T176" t="str">
            <v>Functioning</v>
          </cell>
          <cell r="U176" t="str">
            <v>Asset</v>
          </cell>
          <cell r="V176">
            <v>505</v>
          </cell>
          <cell r="W176" t="str">
            <v>KEW</v>
          </cell>
          <cell r="X176" t="str">
            <v>01/09/2010</v>
          </cell>
          <cell r="Y176" t="str">
            <v>KEW</v>
          </cell>
          <cell r="Z176" t="str">
            <v>16/08/2013</v>
          </cell>
          <cell r="AA176" t="str">
            <v>15/08/2015</v>
          </cell>
          <cell r="AB176" t="str">
            <v>No</v>
          </cell>
          <cell r="AC176" t="str">
            <v>31/08/2013</v>
          </cell>
          <cell r="AD176" t="str">
            <v>Good</v>
          </cell>
          <cell r="AE176" t="str">
            <v>V4 - Decommissioned Installed Facility</v>
          </cell>
          <cell r="AF176">
            <v>42590</v>
          </cell>
          <cell r="AG176">
            <v>9.17</v>
          </cell>
          <cell r="AH176" t="str">
            <v>RI</v>
          </cell>
          <cell r="AI176" t="str">
            <v>Not in contract</v>
          </cell>
          <cell r="AJ176" t="str">
            <v>Not under maintenance</v>
          </cell>
          <cell r="AK176" t="str">
            <v>Will be under V4. Taken out of contract as agreed by IKN</v>
          </cell>
        </row>
        <row r="177">
          <cell r="A177" t="str">
            <v>IKN401297</v>
          </cell>
          <cell r="B177">
            <v>1293</v>
          </cell>
          <cell r="C177" t="str">
            <v>Institut Kanser Negara</v>
          </cell>
          <cell r="D177" t="e">
            <v>#N/A</v>
          </cell>
          <cell r="E177" t="str">
            <v>16-158</v>
          </cell>
          <cell r="F177" t="str">
            <v>Sphygmomanometers, Mercury</v>
          </cell>
          <cell r="G177" t="str">
            <v>WB</v>
          </cell>
          <cell r="H177" t="str">
            <v>SURGICAL ONCO MALE WARD</v>
          </cell>
          <cell r="I177" t="str">
            <v>05WB107</v>
          </cell>
          <cell r="J177" t="str">
            <v>TREATMENT / PROCEDURE</v>
          </cell>
          <cell r="K177" t="str">
            <v>BMED</v>
          </cell>
          <cell r="L177" t="str">
            <v>Critical</v>
          </cell>
          <cell r="M177" t="str">
            <v>Germany</v>
          </cell>
          <cell r="N177" t="str">
            <v>Erka</v>
          </cell>
          <cell r="O177" t="str">
            <v>Erkameter 3000</v>
          </cell>
          <cell r="P177" t="str">
            <v>13500744</v>
          </cell>
          <cell r="Q177" t="str">
            <v>Not Available</v>
          </cell>
          <cell r="R177" t="str">
            <v>Erka GmbH &amp; Co</v>
          </cell>
          <cell r="S177" t="str">
            <v>Acucare Sdn. Bhd</v>
          </cell>
          <cell r="T177" t="str">
            <v>Functioning</v>
          </cell>
          <cell r="U177" t="str">
            <v>Asset</v>
          </cell>
          <cell r="V177">
            <v>505</v>
          </cell>
          <cell r="W177" t="str">
            <v>KEW</v>
          </cell>
          <cell r="X177" t="str">
            <v>01/09/2010</v>
          </cell>
          <cell r="Y177" t="str">
            <v>KEW</v>
          </cell>
          <cell r="Z177" t="str">
            <v>16/08/2013</v>
          </cell>
          <cell r="AA177" t="str">
            <v>15/08/2015</v>
          </cell>
          <cell r="AB177" t="str">
            <v>No</v>
          </cell>
          <cell r="AC177" t="str">
            <v>31/08/2013</v>
          </cell>
          <cell r="AD177" t="str">
            <v>Good</v>
          </cell>
          <cell r="AE177" t="str">
            <v>V4 - Decommissioned Installed Facility</v>
          </cell>
          <cell r="AF177">
            <v>42590</v>
          </cell>
          <cell r="AG177">
            <v>9.17</v>
          </cell>
          <cell r="AH177" t="str">
            <v>PPM</v>
          </cell>
          <cell r="AI177" t="str">
            <v>Not in contract</v>
          </cell>
          <cell r="AJ177" t="str">
            <v>Not under maintenance</v>
          </cell>
          <cell r="AK177" t="e">
            <v>#N/A</v>
          </cell>
        </row>
        <row r="178">
          <cell r="A178" t="str">
            <v>IKN401298</v>
          </cell>
          <cell r="B178">
            <v>1294</v>
          </cell>
          <cell r="C178" t="str">
            <v>Institut Kanser Negara</v>
          </cell>
          <cell r="D178" t="e">
            <v>#N/A</v>
          </cell>
          <cell r="E178" t="str">
            <v>15-076</v>
          </cell>
          <cell r="F178" t="str">
            <v>Laryngoscopes, Rigid</v>
          </cell>
          <cell r="G178" t="str">
            <v>IC</v>
          </cell>
          <cell r="H178" t="str">
            <v>INTENSIVE CARE UNIT</v>
          </cell>
          <cell r="I178" t="str">
            <v>05IC121</v>
          </cell>
          <cell r="J178" t="str">
            <v>MEDICATION PREPARATION</v>
          </cell>
          <cell r="K178" t="str">
            <v>BMED</v>
          </cell>
          <cell r="L178" t="str">
            <v>Normal</v>
          </cell>
          <cell r="M178" t="str">
            <v>Not Available</v>
          </cell>
          <cell r="N178" t="str">
            <v>Not Available</v>
          </cell>
          <cell r="O178" t="str">
            <v>Not Available</v>
          </cell>
          <cell r="P178" t="str">
            <v>Not Available</v>
          </cell>
          <cell r="Q178" t="str">
            <v>Not Available</v>
          </cell>
          <cell r="R178" t="str">
            <v>Not Available</v>
          </cell>
          <cell r="S178" t="str">
            <v>Antah Sri Radin</v>
          </cell>
          <cell r="T178" t="str">
            <v>Functioning</v>
          </cell>
          <cell r="U178" t="str">
            <v>Asset</v>
          </cell>
          <cell r="V178">
            <v>4000</v>
          </cell>
          <cell r="W178" t="str">
            <v>KEW</v>
          </cell>
          <cell r="X178" t="str">
            <v>01/09/2010</v>
          </cell>
          <cell r="Y178" t="str">
            <v>KEW</v>
          </cell>
          <cell r="Z178" t="str">
            <v>16/08/2013</v>
          </cell>
          <cell r="AA178" t="str">
            <v>15/08/2015</v>
          </cell>
          <cell r="AB178" t="str">
            <v>No</v>
          </cell>
          <cell r="AC178" t="str">
            <v>31/08/2013</v>
          </cell>
          <cell r="AD178" t="str">
            <v>Good</v>
          </cell>
          <cell r="AE178" t="str">
            <v>V4 - Decommissioned Installed Facility</v>
          </cell>
          <cell r="AF178">
            <v>42590</v>
          </cell>
          <cell r="AG178">
            <v>9.17</v>
          </cell>
          <cell r="AH178" t="str">
            <v>RI</v>
          </cell>
          <cell r="AI178" t="str">
            <v>Not in contract</v>
          </cell>
          <cell r="AJ178" t="str">
            <v>Not under maintenance</v>
          </cell>
          <cell r="AK178" t="str">
            <v>Will be under V4. Taken out of contract as agreed by IKN</v>
          </cell>
        </row>
        <row r="179">
          <cell r="A179" t="str">
            <v>IKN401299</v>
          </cell>
          <cell r="B179">
            <v>1295</v>
          </cell>
          <cell r="C179" t="str">
            <v>Institut Kanser Negara</v>
          </cell>
          <cell r="D179" t="e">
            <v>#N/A</v>
          </cell>
          <cell r="E179" t="str">
            <v>15-076</v>
          </cell>
          <cell r="F179" t="str">
            <v>Laryngoscopes, Rigid</v>
          </cell>
          <cell r="G179" t="str">
            <v>IC</v>
          </cell>
          <cell r="H179" t="str">
            <v>INTENSIVE CARE UNIT</v>
          </cell>
          <cell r="I179" t="str">
            <v>05IC121</v>
          </cell>
          <cell r="J179" t="str">
            <v>MEDICATION PREPARATION</v>
          </cell>
          <cell r="K179" t="str">
            <v>BMED</v>
          </cell>
          <cell r="L179" t="str">
            <v>Normal</v>
          </cell>
          <cell r="M179" t="str">
            <v>Not Available</v>
          </cell>
          <cell r="N179" t="str">
            <v>Not Available</v>
          </cell>
          <cell r="O179" t="str">
            <v>Not Available</v>
          </cell>
          <cell r="P179" t="str">
            <v>Not Available</v>
          </cell>
          <cell r="Q179" t="str">
            <v>Not Available</v>
          </cell>
          <cell r="R179" t="str">
            <v>Not Available</v>
          </cell>
          <cell r="S179" t="str">
            <v>Antah Sri Radin</v>
          </cell>
          <cell r="T179" t="str">
            <v>Functioning</v>
          </cell>
          <cell r="U179" t="str">
            <v>Asset</v>
          </cell>
          <cell r="V179">
            <v>4000</v>
          </cell>
          <cell r="W179" t="str">
            <v>KEW</v>
          </cell>
          <cell r="X179" t="str">
            <v>01/09/2010</v>
          </cell>
          <cell r="Y179" t="str">
            <v>KEW</v>
          </cell>
          <cell r="Z179" t="str">
            <v>16/08/2013</v>
          </cell>
          <cell r="AA179" t="str">
            <v>15/08/2015</v>
          </cell>
          <cell r="AB179" t="str">
            <v>No</v>
          </cell>
          <cell r="AC179" t="str">
            <v>31/08/2013</v>
          </cell>
          <cell r="AD179" t="str">
            <v>Good</v>
          </cell>
          <cell r="AE179" t="str">
            <v>V4 - Decommissioned Installed Facility</v>
          </cell>
          <cell r="AF179">
            <v>42590</v>
          </cell>
          <cell r="AG179">
            <v>9.17</v>
          </cell>
          <cell r="AH179" t="str">
            <v>RI</v>
          </cell>
          <cell r="AI179" t="str">
            <v>Not in contract</v>
          </cell>
          <cell r="AJ179" t="str">
            <v>Not under maintenance</v>
          </cell>
          <cell r="AK179" t="str">
            <v>Will be under V4. Taken out of contract as agreed by IKN</v>
          </cell>
        </row>
        <row r="180">
          <cell r="A180" t="str">
            <v>IKN401300</v>
          </cell>
          <cell r="B180">
            <v>1296</v>
          </cell>
          <cell r="C180" t="str">
            <v>Institut Kanser Negara</v>
          </cell>
          <cell r="D180" t="e">
            <v>#N/A</v>
          </cell>
          <cell r="E180" t="str">
            <v>16-158</v>
          </cell>
          <cell r="F180" t="str">
            <v>Sphygmomanometers, Mercury</v>
          </cell>
          <cell r="G180" t="str">
            <v>WC</v>
          </cell>
          <cell r="H180" t="str">
            <v>SURGICAL ONCO FEMALE WARD</v>
          </cell>
          <cell r="I180" t="str">
            <v>06WC107</v>
          </cell>
          <cell r="J180" t="str">
            <v>TREATMENT / PROCEDURE</v>
          </cell>
          <cell r="K180" t="str">
            <v>BMED</v>
          </cell>
          <cell r="L180" t="str">
            <v>Critical</v>
          </cell>
          <cell r="M180" t="str">
            <v>Germany</v>
          </cell>
          <cell r="N180" t="str">
            <v>Erka</v>
          </cell>
          <cell r="O180" t="str">
            <v>Erkameter 3000</v>
          </cell>
          <cell r="P180" t="str">
            <v>13500819</v>
          </cell>
          <cell r="Q180" t="str">
            <v>Not Available</v>
          </cell>
          <cell r="R180" t="str">
            <v>Erka GmbH &amp; Co</v>
          </cell>
          <cell r="S180" t="str">
            <v>Acucare Sdn. Bhd</v>
          </cell>
          <cell r="T180" t="str">
            <v>Functioning</v>
          </cell>
          <cell r="U180" t="str">
            <v>Asset</v>
          </cell>
          <cell r="V180">
            <v>505</v>
          </cell>
          <cell r="W180" t="str">
            <v>KEW</v>
          </cell>
          <cell r="X180" t="str">
            <v>01/09/2010</v>
          </cell>
          <cell r="Y180" t="str">
            <v>KEW</v>
          </cell>
          <cell r="Z180" t="str">
            <v>15/08/2013</v>
          </cell>
          <cell r="AA180" t="str">
            <v>15/08/2015</v>
          </cell>
          <cell r="AB180" t="str">
            <v>No</v>
          </cell>
          <cell r="AC180" t="str">
            <v>31/08/2013</v>
          </cell>
          <cell r="AD180" t="str">
            <v>Good</v>
          </cell>
          <cell r="AE180" t="str">
            <v>V4 - Decommissioned Installed Facility</v>
          </cell>
          <cell r="AF180">
            <v>42590</v>
          </cell>
          <cell r="AG180">
            <v>9.17</v>
          </cell>
          <cell r="AH180" t="str">
            <v>PPM</v>
          </cell>
          <cell r="AI180" t="str">
            <v>Not in contract</v>
          </cell>
          <cell r="AJ180" t="str">
            <v>Not under maintenance</v>
          </cell>
          <cell r="AK180" t="e">
            <v>#N/A</v>
          </cell>
        </row>
        <row r="181">
          <cell r="A181" t="str">
            <v>IKN401301</v>
          </cell>
          <cell r="B181">
            <v>1297</v>
          </cell>
          <cell r="C181" t="str">
            <v>Institut Kanser Negara</v>
          </cell>
          <cell r="D181" t="e">
            <v>#N/A</v>
          </cell>
          <cell r="E181" t="str">
            <v>15-076</v>
          </cell>
          <cell r="F181" t="str">
            <v>Laryngoscopes, Rigid</v>
          </cell>
          <cell r="G181" t="str">
            <v>WC</v>
          </cell>
          <cell r="H181" t="str">
            <v>SURGICAL ONCO FEMALE WARD</v>
          </cell>
          <cell r="I181" t="str">
            <v>06WC107</v>
          </cell>
          <cell r="J181" t="str">
            <v>TREATMENT / PROCEDURE</v>
          </cell>
          <cell r="K181" t="str">
            <v>BMED</v>
          </cell>
          <cell r="L181" t="str">
            <v>Normal</v>
          </cell>
          <cell r="M181" t="str">
            <v>Not Available</v>
          </cell>
          <cell r="N181" t="str">
            <v>Not Available</v>
          </cell>
          <cell r="O181" t="str">
            <v>Not Available</v>
          </cell>
          <cell r="P181" t="str">
            <v>Not Available</v>
          </cell>
          <cell r="Q181" t="str">
            <v>Not Available</v>
          </cell>
          <cell r="R181" t="str">
            <v>Not Available</v>
          </cell>
          <cell r="S181" t="str">
            <v>Antah Sri Radin</v>
          </cell>
          <cell r="T181" t="str">
            <v>Functioning</v>
          </cell>
          <cell r="U181" t="str">
            <v>Asset</v>
          </cell>
          <cell r="V181">
            <v>4000</v>
          </cell>
          <cell r="W181" t="str">
            <v>KEW</v>
          </cell>
          <cell r="X181" t="str">
            <v>01/09/2010</v>
          </cell>
          <cell r="Y181" t="str">
            <v>KEW</v>
          </cell>
          <cell r="Z181" t="str">
            <v>16/08/2013</v>
          </cell>
          <cell r="AA181" t="str">
            <v>15/08/2015</v>
          </cell>
          <cell r="AB181" t="str">
            <v>No</v>
          </cell>
          <cell r="AC181" t="str">
            <v>31/08/2013</v>
          </cell>
          <cell r="AD181" t="str">
            <v>Good</v>
          </cell>
          <cell r="AE181" t="str">
            <v>V4 - Decommissioned Installed Facility</v>
          </cell>
          <cell r="AF181">
            <v>42590</v>
          </cell>
          <cell r="AG181">
            <v>9.17</v>
          </cell>
          <cell r="AH181" t="str">
            <v>RI</v>
          </cell>
          <cell r="AI181" t="str">
            <v>Not in contract</v>
          </cell>
          <cell r="AJ181" t="str">
            <v>Not under maintenance</v>
          </cell>
          <cell r="AK181" t="str">
            <v>Will be under V4. Taken out of contract as agreed by IKN</v>
          </cell>
        </row>
        <row r="182">
          <cell r="A182" t="str">
            <v>IKN401302</v>
          </cell>
          <cell r="B182">
            <v>1298</v>
          </cell>
          <cell r="C182" t="str">
            <v>Institut Kanser Negara</v>
          </cell>
          <cell r="D182" t="e">
            <v>#N/A</v>
          </cell>
          <cell r="E182" t="str">
            <v>15-076</v>
          </cell>
          <cell r="F182" t="str">
            <v>Laryngoscopes, Rigid</v>
          </cell>
          <cell r="G182" t="str">
            <v>WC</v>
          </cell>
          <cell r="H182" t="str">
            <v>SURGICAL ONCO FEMALE WARD</v>
          </cell>
          <cell r="I182" t="str">
            <v>06WC107</v>
          </cell>
          <cell r="J182" t="str">
            <v>TREATMENT / PROCEDURE</v>
          </cell>
          <cell r="K182" t="str">
            <v>BMED</v>
          </cell>
          <cell r="L182" t="str">
            <v>Normal</v>
          </cell>
          <cell r="M182" t="str">
            <v>Not Available</v>
          </cell>
          <cell r="N182" t="str">
            <v>Not Available</v>
          </cell>
          <cell r="O182" t="str">
            <v>Not Available</v>
          </cell>
          <cell r="P182" t="str">
            <v>Not Available</v>
          </cell>
          <cell r="Q182" t="str">
            <v>Not Available</v>
          </cell>
          <cell r="R182" t="str">
            <v>Not Available</v>
          </cell>
          <cell r="S182" t="str">
            <v>ANTAH SRI RADIN</v>
          </cell>
          <cell r="T182" t="str">
            <v>Functioning</v>
          </cell>
          <cell r="U182" t="str">
            <v>Asset</v>
          </cell>
          <cell r="V182">
            <v>4000</v>
          </cell>
          <cell r="W182" t="str">
            <v>KEW</v>
          </cell>
          <cell r="X182" t="str">
            <v>01/09/2010</v>
          </cell>
          <cell r="Y182" t="str">
            <v>KEW</v>
          </cell>
          <cell r="Z182" t="str">
            <v>15/08/2013</v>
          </cell>
          <cell r="AA182" t="str">
            <v>15/08/2015</v>
          </cell>
          <cell r="AB182" t="str">
            <v>No</v>
          </cell>
          <cell r="AC182" t="str">
            <v>31/08/2013</v>
          </cell>
          <cell r="AD182" t="str">
            <v>Good</v>
          </cell>
          <cell r="AE182" t="str">
            <v>V4 - Decommissioned Installed Facility</v>
          </cell>
          <cell r="AF182">
            <v>42585</v>
          </cell>
          <cell r="AG182">
            <v>9.17</v>
          </cell>
          <cell r="AH182" t="str">
            <v>RI</v>
          </cell>
          <cell r="AI182" t="str">
            <v>Not in contract</v>
          </cell>
          <cell r="AJ182" t="str">
            <v>Not under maintenance</v>
          </cell>
          <cell r="AK182" t="str">
            <v>Will be under V4. Taken out of contract as agreed by IKN</v>
          </cell>
        </row>
        <row r="183">
          <cell r="A183" t="str">
            <v>IKN401303</v>
          </cell>
          <cell r="B183">
            <v>1299</v>
          </cell>
          <cell r="C183" t="str">
            <v>Institut Kanser Negara</v>
          </cell>
          <cell r="D183" t="str">
            <v>KKM/IKN/H/13/1354</v>
          </cell>
          <cell r="E183" t="str">
            <v>18-595</v>
          </cell>
          <cell r="F183" t="str">
            <v>Ophthalmoscopes/Otoscopes</v>
          </cell>
          <cell r="G183" t="str">
            <v>WC</v>
          </cell>
          <cell r="H183" t="str">
            <v>SURGICAL ONCO FEMALE WARD</v>
          </cell>
          <cell r="I183" t="str">
            <v>06WC107</v>
          </cell>
          <cell r="J183" t="str">
            <v>TREATMENT / PROCEDURE</v>
          </cell>
          <cell r="K183" t="str">
            <v>BMED</v>
          </cell>
          <cell r="L183" t="str">
            <v>Normal</v>
          </cell>
          <cell r="M183" t="str">
            <v>USA</v>
          </cell>
          <cell r="N183" t="str">
            <v>Welch Allyn</v>
          </cell>
          <cell r="O183" t="str">
            <v>Welch Allyn 97150-BIM</v>
          </cell>
          <cell r="P183" t="str">
            <v>Not Available</v>
          </cell>
          <cell r="Q183" t="str">
            <v>Not Available</v>
          </cell>
          <cell r="R183" t="str">
            <v>Welch Allyn Inc</v>
          </cell>
          <cell r="S183" t="str">
            <v>Welch Allyn</v>
          </cell>
          <cell r="T183" t="str">
            <v>Functioning</v>
          </cell>
          <cell r="U183" t="str">
            <v>Asset</v>
          </cell>
          <cell r="V183">
            <v>4690</v>
          </cell>
          <cell r="W183" t="str">
            <v>KEW</v>
          </cell>
          <cell r="X183" t="str">
            <v>01/09/2010</v>
          </cell>
          <cell r="Y183" t="str">
            <v>KEW</v>
          </cell>
          <cell r="Z183" t="str">
            <v>16/08/2013</v>
          </cell>
          <cell r="AA183" t="str">
            <v>15/08/2015</v>
          </cell>
          <cell r="AB183" t="str">
            <v>No</v>
          </cell>
          <cell r="AC183" t="str">
            <v>31/08/2013</v>
          </cell>
          <cell r="AD183" t="str">
            <v>Good</v>
          </cell>
          <cell r="AE183" t="str">
            <v>V1 - Existing / No Claim</v>
          </cell>
          <cell r="AF183">
            <v>42590</v>
          </cell>
          <cell r="AG183">
            <v>9.17</v>
          </cell>
          <cell r="AH183" t="str">
            <v>RI</v>
          </cell>
          <cell r="AI183" t="str">
            <v>Strands</v>
          </cell>
          <cell r="AJ183" t="str">
            <v>Not under maintenance</v>
          </cell>
        </row>
        <row r="184">
          <cell r="A184" t="str">
            <v>IKN401304</v>
          </cell>
          <cell r="B184">
            <v>1300</v>
          </cell>
          <cell r="C184" t="str">
            <v>Institut Kanser Negara</v>
          </cell>
          <cell r="D184" t="str">
            <v>KKM/IKN/H/13/1355</v>
          </cell>
          <cell r="E184" t="str">
            <v>18-595</v>
          </cell>
          <cell r="F184" t="str">
            <v>Ophthalmoscopes/Otoscopes</v>
          </cell>
          <cell r="G184" t="str">
            <v>WC</v>
          </cell>
          <cell r="H184" t="str">
            <v>SURGICAL ONCO FEMALE WARD</v>
          </cell>
          <cell r="I184" t="str">
            <v>06WC107</v>
          </cell>
          <cell r="J184" t="str">
            <v>TREATMENT / PROCEDURE</v>
          </cell>
          <cell r="K184" t="str">
            <v>BMED</v>
          </cell>
          <cell r="L184" t="str">
            <v>Normal</v>
          </cell>
          <cell r="M184" t="str">
            <v>USA</v>
          </cell>
          <cell r="N184" t="str">
            <v>Welch Allyn</v>
          </cell>
          <cell r="O184" t="str">
            <v>Welch Allyn 97150-BIM</v>
          </cell>
          <cell r="P184" t="str">
            <v>Not Available</v>
          </cell>
          <cell r="Q184" t="str">
            <v>Not Available</v>
          </cell>
          <cell r="R184" t="str">
            <v>Welch Allyn Inc</v>
          </cell>
          <cell r="S184" t="str">
            <v>Welch Allyn</v>
          </cell>
          <cell r="T184" t="str">
            <v>Functioning</v>
          </cell>
          <cell r="U184" t="str">
            <v>Asset</v>
          </cell>
          <cell r="V184">
            <v>4690</v>
          </cell>
          <cell r="W184" t="str">
            <v>KEW</v>
          </cell>
          <cell r="X184" t="str">
            <v>01/09/2010</v>
          </cell>
          <cell r="Y184" t="str">
            <v>KEW</v>
          </cell>
          <cell r="Z184" t="str">
            <v>16/08/2013</v>
          </cell>
          <cell r="AA184" t="str">
            <v>15/08/2015</v>
          </cell>
          <cell r="AB184" t="str">
            <v>No</v>
          </cell>
          <cell r="AC184" t="str">
            <v>31/08/2013</v>
          </cell>
          <cell r="AD184" t="str">
            <v>Good</v>
          </cell>
          <cell r="AE184" t="str">
            <v>V1 - Existing / No Claim</v>
          </cell>
          <cell r="AF184">
            <v>42590</v>
          </cell>
          <cell r="AG184">
            <v>9.17</v>
          </cell>
          <cell r="AH184" t="str">
            <v>RI</v>
          </cell>
          <cell r="AI184" t="str">
            <v>Strands</v>
          </cell>
          <cell r="AJ184" t="str">
            <v>Not under maintenance</v>
          </cell>
        </row>
        <row r="185">
          <cell r="A185" t="str">
            <v>IKN401305</v>
          </cell>
          <cell r="B185">
            <v>1301</v>
          </cell>
          <cell r="C185" t="str">
            <v>Institut Kanser Negara</v>
          </cell>
          <cell r="D185" t="e">
            <v>#N/A</v>
          </cell>
          <cell r="E185" t="str">
            <v>16-158</v>
          </cell>
          <cell r="F185" t="str">
            <v>Sphygmomanometers, Mercury</v>
          </cell>
          <cell r="G185" t="str">
            <v>WD</v>
          </cell>
          <cell r="H185" t="str">
            <v>RT/ONCO PAED/ADOLESCENT WARD</v>
          </cell>
          <cell r="I185" t="str">
            <v>06WD154</v>
          </cell>
          <cell r="J185" t="str">
            <v>CLEAN UTILITY</v>
          </cell>
          <cell r="K185" t="str">
            <v>BMED</v>
          </cell>
          <cell r="L185" t="str">
            <v>Critical</v>
          </cell>
          <cell r="M185" t="str">
            <v>Germany</v>
          </cell>
          <cell r="N185" t="str">
            <v>Erka</v>
          </cell>
          <cell r="O185" t="str">
            <v>Erkameter 3000</v>
          </cell>
          <cell r="P185" t="str">
            <v>13500822</v>
          </cell>
          <cell r="Q185" t="str">
            <v>Not Available</v>
          </cell>
          <cell r="R185" t="str">
            <v>Erka GmbH &amp; Co</v>
          </cell>
          <cell r="S185" t="str">
            <v>Acucare Sdn. Bhd</v>
          </cell>
          <cell r="T185" t="str">
            <v>Functioning</v>
          </cell>
          <cell r="U185" t="str">
            <v>Asset</v>
          </cell>
          <cell r="V185">
            <v>505</v>
          </cell>
          <cell r="W185" t="str">
            <v>KEW</v>
          </cell>
          <cell r="X185" t="str">
            <v>01/09/2010</v>
          </cell>
          <cell r="Y185" t="str">
            <v>KEW</v>
          </cell>
          <cell r="Z185" t="str">
            <v>16/08/2013</v>
          </cell>
          <cell r="AA185" t="str">
            <v>15/08/2015</v>
          </cell>
          <cell r="AB185" t="str">
            <v>No</v>
          </cell>
          <cell r="AC185" t="str">
            <v>31/08/2013</v>
          </cell>
          <cell r="AD185" t="str">
            <v>Good</v>
          </cell>
          <cell r="AE185" t="str">
            <v>V4 - Decommissioned Installed Facility</v>
          </cell>
          <cell r="AF185">
            <v>42590</v>
          </cell>
          <cell r="AG185">
            <v>9.17</v>
          </cell>
          <cell r="AH185" t="str">
            <v>PPM</v>
          </cell>
          <cell r="AI185" t="str">
            <v>Not in contract</v>
          </cell>
          <cell r="AJ185" t="str">
            <v>Not under maintenance</v>
          </cell>
          <cell r="AK185" t="e">
            <v>#N/A</v>
          </cell>
        </row>
        <row r="186">
          <cell r="A186" t="str">
            <v>IKN401306</v>
          </cell>
          <cell r="B186">
            <v>1302</v>
          </cell>
          <cell r="C186" t="str">
            <v>Institut Kanser Negara</v>
          </cell>
          <cell r="D186" t="e">
            <v>#N/A</v>
          </cell>
          <cell r="E186" t="str">
            <v>15-076</v>
          </cell>
          <cell r="F186" t="str">
            <v>Laryngoscopes, Rigid</v>
          </cell>
          <cell r="G186" t="str">
            <v>WD</v>
          </cell>
          <cell r="H186" t="str">
            <v>RT/ONCO PAED/ADOLESCENT WARD</v>
          </cell>
          <cell r="I186" t="str">
            <v>06WD154</v>
          </cell>
          <cell r="J186" t="str">
            <v>CLEAN UTILITY</v>
          </cell>
          <cell r="K186" t="str">
            <v>BMED</v>
          </cell>
          <cell r="L186" t="str">
            <v>Normal</v>
          </cell>
          <cell r="M186" t="str">
            <v>Not Available</v>
          </cell>
          <cell r="N186" t="str">
            <v>Not Available</v>
          </cell>
          <cell r="O186" t="str">
            <v>Not Available</v>
          </cell>
          <cell r="P186" t="str">
            <v>Not Available</v>
          </cell>
          <cell r="Q186" t="str">
            <v>Not Available</v>
          </cell>
          <cell r="R186" t="str">
            <v>Not Available</v>
          </cell>
          <cell r="S186" t="str">
            <v>Antah Sri Radin</v>
          </cell>
          <cell r="T186" t="str">
            <v>Functioning</v>
          </cell>
          <cell r="U186" t="str">
            <v>Asset</v>
          </cell>
          <cell r="V186">
            <v>4000</v>
          </cell>
          <cell r="W186" t="str">
            <v>KEW</v>
          </cell>
          <cell r="X186" t="str">
            <v>01/09/2010</v>
          </cell>
          <cell r="Y186" t="str">
            <v>KEW</v>
          </cell>
          <cell r="Z186" t="str">
            <v>16/08/2013</v>
          </cell>
          <cell r="AA186" t="str">
            <v>15/08/2015</v>
          </cell>
          <cell r="AB186" t="str">
            <v>No</v>
          </cell>
          <cell r="AC186" t="str">
            <v>31/08/2013</v>
          </cell>
          <cell r="AD186" t="str">
            <v>Good</v>
          </cell>
          <cell r="AE186" t="str">
            <v>V4 - Decommissioned Installed Facility</v>
          </cell>
          <cell r="AF186">
            <v>42590</v>
          </cell>
          <cell r="AG186">
            <v>9.17</v>
          </cell>
          <cell r="AH186" t="str">
            <v>RI</v>
          </cell>
          <cell r="AI186" t="str">
            <v>Not in contract</v>
          </cell>
          <cell r="AJ186" t="str">
            <v>Not under maintenance</v>
          </cell>
          <cell r="AK186" t="str">
            <v>Will be under V4. Taken out of contract as agreed by IKN</v>
          </cell>
        </row>
        <row r="187">
          <cell r="A187" t="str">
            <v>IKN401307</v>
          </cell>
          <cell r="B187">
            <v>1303</v>
          </cell>
          <cell r="C187" t="str">
            <v>Institut Kanser Negara</v>
          </cell>
          <cell r="D187" t="e">
            <v>#N/A</v>
          </cell>
          <cell r="E187" t="str">
            <v>15-076</v>
          </cell>
          <cell r="F187" t="str">
            <v>Laryngoscopes, Rigid</v>
          </cell>
          <cell r="G187" t="str">
            <v>WD</v>
          </cell>
          <cell r="H187" t="str">
            <v>RT/ONCO PAED/ADOLESCENT WARD</v>
          </cell>
          <cell r="I187" t="str">
            <v>06WD154</v>
          </cell>
          <cell r="J187" t="str">
            <v>CLEAN UTILITY</v>
          </cell>
          <cell r="K187" t="str">
            <v>BMED</v>
          </cell>
          <cell r="L187" t="str">
            <v>Normal</v>
          </cell>
          <cell r="M187" t="str">
            <v>Not Available</v>
          </cell>
          <cell r="N187" t="str">
            <v>Not Available</v>
          </cell>
          <cell r="O187" t="str">
            <v>Not Available</v>
          </cell>
          <cell r="P187" t="str">
            <v>Not Available</v>
          </cell>
          <cell r="Q187" t="str">
            <v>Not Available</v>
          </cell>
          <cell r="R187" t="str">
            <v>Not Available</v>
          </cell>
          <cell r="S187" t="str">
            <v>Antah Sri Radin</v>
          </cell>
          <cell r="T187" t="str">
            <v>Functioning</v>
          </cell>
          <cell r="U187" t="str">
            <v>Asset</v>
          </cell>
          <cell r="V187">
            <v>4000</v>
          </cell>
          <cell r="W187" t="str">
            <v>KEW</v>
          </cell>
          <cell r="X187" t="str">
            <v>01/09/2010</v>
          </cell>
          <cell r="Y187" t="str">
            <v>KEW</v>
          </cell>
          <cell r="Z187" t="str">
            <v>16/08/2013</v>
          </cell>
          <cell r="AA187" t="str">
            <v>15/08/2015</v>
          </cell>
          <cell r="AB187" t="str">
            <v>No</v>
          </cell>
          <cell r="AC187" t="str">
            <v>31/08/2013</v>
          </cell>
          <cell r="AD187" t="str">
            <v>Good</v>
          </cell>
          <cell r="AE187" t="str">
            <v>V4 - Decommissioned Installed Facility</v>
          </cell>
          <cell r="AF187">
            <v>42590</v>
          </cell>
          <cell r="AG187">
            <v>9.17</v>
          </cell>
          <cell r="AH187" t="str">
            <v>RI</v>
          </cell>
          <cell r="AI187" t="str">
            <v>Not in contract</v>
          </cell>
          <cell r="AJ187" t="str">
            <v>Not under maintenance</v>
          </cell>
          <cell r="AK187" t="str">
            <v>Will be under V4. Taken out of contract as agreed by IKN</v>
          </cell>
        </row>
        <row r="188">
          <cell r="A188" t="str">
            <v>IKN401308</v>
          </cell>
          <cell r="B188">
            <v>1304</v>
          </cell>
          <cell r="C188" t="str">
            <v>Institut Kanser Negara</v>
          </cell>
          <cell r="D188" t="str">
            <v>KKM/IKN/H/13/1469</v>
          </cell>
          <cell r="E188" t="str">
            <v>18-595</v>
          </cell>
          <cell r="F188" t="str">
            <v>Ophthalmoscopes/Otoscopes</v>
          </cell>
          <cell r="G188" t="str">
            <v>WD</v>
          </cell>
          <cell r="H188" t="str">
            <v>RT/ONCO PAED/ADOLESCENT WARD</v>
          </cell>
          <cell r="I188" t="str">
            <v>06WD154</v>
          </cell>
          <cell r="J188" t="str">
            <v>CLEAN UTILITY</v>
          </cell>
          <cell r="K188" t="str">
            <v>BMED</v>
          </cell>
          <cell r="L188" t="str">
            <v>Normal</v>
          </cell>
          <cell r="M188" t="str">
            <v>USA</v>
          </cell>
          <cell r="N188" t="str">
            <v>Welch Allyn</v>
          </cell>
          <cell r="O188" t="str">
            <v>Welch Allyn 97150-BIM</v>
          </cell>
          <cell r="P188" t="str">
            <v>Not Available</v>
          </cell>
          <cell r="Q188" t="str">
            <v>Not Available</v>
          </cell>
          <cell r="R188" t="str">
            <v>Welch Allyn Inc</v>
          </cell>
          <cell r="S188" t="str">
            <v>Welch Allyn</v>
          </cell>
          <cell r="T188" t="str">
            <v>Functioning</v>
          </cell>
          <cell r="U188" t="str">
            <v>Asset</v>
          </cell>
          <cell r="V188">
            <v>4690</v>
          </cell>
          <cell r="W188" t="str">
            <v>KEW</v>
          </cell>
          <cell r="X188" t="str">
            <v>01/09/2010</v>
          </cell>
          <cell r="Y188" t="str">
            <v>KEW</v>
          </cell>
          <cell r="Z188" t="str">
            <v>16/08/2013</v>
          </cell>
          <cell r="AA188" t="str">
            <v>15/08/2015</v>
          </cell>
          <cell r="AB188" t="str">
            <v>No</v>
          </cell>
          <cell r="AC188" t="str">
            <v>31/08/2013</v>
          </cell>
          <cell r="AD188" t="str">
            <v>Good</v>
          </cell>
          <cell r="AE188" t="str">
            <v>V1 - Existing / No Claim</v>
          </cell>
          <cell r="AF188">
            <v>42590</v>
          </cell>
          <cell r="AG188">
            <v>9.17</v>
          </cell>
          <cell r="AH188" t="str">
            <v>RI</v>
          </cell>
          <cell r="AI188" t="str">
            <v>Strands</v>
          </cell>
          <cell r="AJ188" t="str">
            <v>Not under maintenance</v>
          </cell>
        </row>
        <row r="189">
          <cell r="A189" t="str">
            <v>IKN401309</v>
          </cell>
          <cell r="B189">
            <v>1305</v>
          </cell>
          <cell r="C189" t="str">
            <v>Institut Kanser Negara</v>
          </cell>
          <cell r="D189" t="e">
            <v>#N/A</v>
          </cell>
          <cell r="E189" t="str">
            <v>15-076</v>
          </cell>
          <cell r="F189" t="str">
            <v>Laryngoscopes, Rigid</v>
          </cell>
          <cell r="G189" t="str">
            <v>WE</v>
          </cell>
          <cell r="H189" t="str">
            <v>RT/ONCO WARD 1 (F)</v>
          </cell>
          <cell r="I189" t="str">
            <v>07WE107</v>
          </cell>
          <cell r="J189" t="str">
            <v>TREATMENT / PROCESURE</v>
          </cell>
          <cell r="K189" t="str">
            <v>BMED</v>
          </cell>
          <cell r="L189" t="str">
            <v>Normal</v>
          </cell>
          <cell r="M189" t="str">
            <v>Not Available</v>
          </cell>
          <cell r="N189" t="str">
            <v>Not Available</v>
          </cell>
          <cell r="O189" t="str">
            <v>Not Available</v>
          </cell>
          <cell r="P189" t="str">
            <v>Not Available</v>
          </cell>
          <cell r="Q189" t="str">
            <v>Not Available</v>
          </cell>
          <cell r="R189" t="str">
            <v>Not Available</v>
          </cell>
          <cell r="S189" t="str">
            <v>Antah Sri Radin</v>
          </cell>
          <cell r="T189" t="str">
            <v>Functioning</v>
          </cell>
          <cell r="U189" t="str">
            <v>Asset</v>
          </cell>
          <cell r="V189">
            <v>4000</v>
          </cell>
          <cell r="W189" t="str">
            <v>KEW</v>
          </cell>
          <cell r="X189" t="str">
            <v>01/09/2010</v>
          </cell>
          <cell r="Y189" t="str">
            <v>KEW</v>
          </cell>
          <cell r="Z189" t="str">
            <v>16/08/2013</v>
          </cell>
          <cell r="AA189" t="str">
            <v>15/08/2015</v>
          </cell>
          <cell r="AB189" t="str">
            <v>No</v>
          </cell>
          <cell r="AC189" t="str">
            <v>31/08/2013</v>
          </cell>
          <cell r="AD189" t="str">
            <v>Good</v>
          </cell>
          <cell r="AE189" t="str">
            <v>V4 - Decommissioned Installed Facility</v>
          </cell>
          <cell r="AF189">
            <v>42590</v>
          </cell>
          <cell r="AG189">
            <v>9.17</v>
          </cell>
          <cell r="AH189" t="str">
            <v>RI</v>
          </cell>
          <cell r="AI189" t="str">
            <v>Not in contract</v>
          </cell>
          <cell r="AJ189" t="str">
            <v>Not under maintenance</v>
          </cell>
          <cell r="AK189" t="str">
            <v>Will be under V4. Taken out of contract as agreed by IKN</v>
          </cell>
        </row>
        <row r="190">
          <cell r="A190" t="str">
            <v>IKN401310</v>
          </cell>
          <cell r="B190">
            <v>1306</v>
          </cell>
          <cell r="C190" t="str">
            <v>Institut Kanser Negara</v>
          </cell>
          <cell r="D190" t="e">
            <v>#N/A</v>
          </cell>
          <cell r="E190" t="str">
            <v>15-076</v>
          </cell>
          <cell r="F190" t="str">
            <v>Laryngoscopes, Rigid</v>
          </cell>
          <cell r="G190" t="str">
            <v>WE</v>
          </cell>
          <cell r="H190" t="str">
            <v>RT/ONCO WARD 1 (F)</v>
          </cell>
          <cell r="I190" t="str">
            <v>07WE107</v>
          </cell>
          <cell r="J190" t="str">
            <v>TREATMENT / PROCESURE</v>
          </cell>
          <cell r="K190" t="str">
            <v>BMED</v>
          </cell>
          <cell r="L190" t="str">
            <v>Normal</v>
          </cell>
          <cell r="M190" t="str">
            <v>Not Available</v>
          </cell>
          <cell r="N190" t="str">
            <v>Not Available</v>
          </cell>
          <cell r="O190" t="str">
            <v>Not Available</v>
          </cell>
          <cell r="P190" t="str">
            <v>Not Available</v>
          </cell>
          <cell r="Q190" t="str">
            <v>Not Available</v>
          </cell>
          <cell r="R190" t="str">
            <v>Not Available</v>
          </cell>
          <cell r="S190" t="str">
            <v>Antah Sri Radin</v>
          </cell>
          <cell r="T190" t="str">
            <v>Functioning</v>
          </cell>
          <cell r="U190" t="str">
            <v>Asset</v>
          </cell>
          <cell r="V190">
            <v>4000</v>
          </cell>
          <cell r="W190" t="str">
            <v>KEW</v>
          </cell>
          <cell r="X190" t="str">
            <v>01/09/2010</v>
          </cell>
          <cell r="Y190" t="str">
            <v>KEW</v>
          </cell>
          <cell r="Z190" t="str">
            <v>16/08/2013</v>
          </cell>
          <cell r="AA190" t="str">
            <v>15/08/2015</v>
          </cell>
          <cell r="AB190" t="str">
            <v>No</v>
          </cell>
          <cell r="AC190" t="str">
            <v>31/08/2013</v>
          </cell>
          <cell r="AD190" t="str">
            <v>Good</v>
          </cell>
          <cell r="AE190" t="str">
            <v>V4 - Decommissioned Installed Facility</v>
          </cell>
          <cell r="AF190">
            <v>42590</v>
          </cell>
          <cell r="AG190">
            <v>9.17</v>
          </cell>
          <cell r="AH190" t="str">
            <v>RI</v>
          </cell>
          <cell r="AI190" t="str">
            <v>Not in contract</v>
          </cell>
          <cell r="AJ190" t="str">
            <v>Not under maintenance</v>
          </cell>
          <cell r="AK190" t="str">
            <v>Will be under V4. Taken out of contract as agreed by IKN</v>
          </cell>
        </row>
        <row r="191">
          <cell r="A191" t="str">
            <v>IKN401319</v>
          </cell>
          <cell r="B191">
            <v>1313</v>
          </cell>
          <cell r="C191" t="str">
            <v>Institut Kanser Negara</v>
          </cell>
          <cell r="D191" t="e">
            <v>#N/A</v>
          </cell>
          <cell r="E191" t="str">
            <v>15-076</v>
          </cell>
          <cell r="F191" t="str">
            <v>Laryngoscopes, Rigid</v>
          </cell>
          <cell r="G191" t="str">
            <v>OC</v>
          </cell>
          <cell r="H191" t="str">
            <v>ONCOLOGY CLINIC</v>
          </cell>
          <cell r="I191" t="str">
            <v>03OC133</v>
          </cell>
          <cell r="J191" t="str">
            <v>ASSESSMENT</v>
          </cell>
          <cell r="K191" t="str">
            <v>BMED</v>
          </cell>
          <cell r="L191" t="str">
            <v>Normal</v>
          </cell>
          <cell r="M191" t="str">
            <v>Not Available</v>
          </cell>
          <cell r="N191" t="str">
            <v>Not Available</v>
          </cell>
          <cell r="O191" t="str">
            <v>Not Available</v>
          </cell>
          <cell r="P191" t="str">
            <v>Not Available</v>
          </cell>
          <cell r="Q191" t="str">
            <v>Not Available</v>
          </cell>
          <cell r="R191" t="str">
            <v>Not Available</v>
          </cell>
          <cell r="S191" t="str">
            <v>Antah Sir Radin Sdn. Bhd.</v>
          </cell>
          <cell r="T191" t="str">
            <v>Functioning</v>
          </cell>
          <cell r="U191" t="str">
            <v>Asset</v>
          </cell>
          <cell r="V191">
            <v>4000</v>
          </cell>
          <cell r="W191" t="str">
            <v>KEW</v>
          </cell>
          <cell r="X191" t="str">
            <v>01/09/2010</v>
          </cell>
          <cell r="Y191" t="str">
            <v>KEW</v>
          </cell>
          <cell r="Z191" t="str">
            <v>31/08/2013</v>
          </cell>
          <cell r="AA191" t="str">
            <v>15/08/2015</v>
          </cell>
          <cell r="AB191" t="str">
            <v>No</v>
          </cell>
          <cell r="AC191" t="str">
            <v>31/08/2013</v>
          </cell>
          <cell r="AD191" t="str">
            <v>Good</v>
          </cell>
          <cell r="AE191" t="str">
            <v>V4 - Decommissioned Installed Facility</v>
          </cell>
          <cell r="AF191">
            <v>42630</v>
          </cell>
          <cell r="AG191">
            <v>9.17</v>
          </cell>
          <cell r="AH191" t="str">
            <v>RI</v>
          </cell>
          <cell r="AI191" t="str">
            <v>Not in contract</v>
          </cell>
          <cell r="AJ191" t="str">
            <v>Not under maintenance</v>
          </cell>
          <cell r="AK191" t="str">
            <v>Will be under V4. Taken out of contract as agreed by IKN</v>
          </cell>
        </row>
        <row r="192">
          <cell r="A192" t="str">
            <v>IKN401320</v>
          </cell>
          <cell r="B192">
            <v>1314</v>
          </cell>
          <cell r="C192" t="str">
            <v>Institut Kanser Negara</v>
          </cell>
          <cell r="D192" t="e">
            <v>#N/A</v>
          </cell>
          <cell r="E192" t="str">
            <v>15-076</v>
          </cell>
          <cell r="F192" t="str">
            <v>Laryngoscopes, Rigid</v>
          </cell>
          <cell r="G192" t="str">
            <v>OC</v>
          </cell>
          <cell r="H192" t="str">
            <v>ONCOLOGY CLINIC</v>
          </cell>
          <cell r="I192" t="str">
            <v>03OC133</v>
          </cell>
          <cell r="J192" t="str">
            <v>ASSESSMENT</v>
          </cell>
          <cell r="K192" t="str">
            <v>BMED</v>
          </cell>
          <cell r="L192" t="str">
            <v>Normal</v>
          </cell>
          <cell r="M192" t="str">
            <v>Not Available</v>
          </cell>
          <cell r="N192" t="str">
            <v>Not Available</v>
          </cell>
          <cell r="O192" t="str">
            <v>Not Available</v>
          </cell>
          <cell r="P192" t="str">
            <v>Not Available</v>
          </cell>
          <cell r="Q192" t="str">
            <v>Not Available</v>
          </cell>
          <cell r="R192" t="str">
            <v>Not Available</v>
          </cell>
          <cell r="S192" t="str">
            <v>Antah Sir Radin Sdn. Bhd.</v>
          </cell>
          <cell r="T192" t="str">
            <v>Functioning</v>
          </cell>
          <cell r="U192" t="str">
            <v>Asset</v>
          </cell>
          <cell r="V192">
            <v>4000</v>
          </cell>
          <cell r="W192" t="str">
            <v>KEW</v>
          </cell>
          <cell r="X192" t="str">
            <v>01/09/2010</v>
          </cell>
          <cell r="Y192" t="str">
            <v>KEW</v>
          </cell>
          <cell r="Z192" t="str">
            <v>31/08/2013</v>
          </cell>
          <cell r="AA192" t="str">
            <v>15/08/2015</v>
          </cell>
          <cell r="AB192" t="str">
            <v>No</v>
          </cell>
          <cell r="AC192" t="str">
            <v>31/08/2013</v>
          </cell>
          <cell r="AD192" t="str">
            <v>Good</v>
          </cell>
          <cell r="AE192" t="str">
            <v>V4 - Decommissioned Installed Facility</v>
          </cell>
          <cell r="AF192">
            <v>42630</v>
          </cell>
          <cell r="AG192">
            <v>9.17</v>
          </cell>
          <cell r="AH192" t="str">
            <v>RI</v>
          </cell>
          <cell r="AI192" t="str">
            <v>Not in contract</v>
          </cell>
          <cell r="AJ192" t="str">
            <v>Not under maintenance</v>
          </cell>
          <cell r="AK192" t="str">
            <v>Will be under V4. Taken out of contract as agreed by IKN</v>
          </cell>
        </row>
        <row r="193">
          <cell r="A193" t="str">
            <v>IKN401323</v>
          </cell>
          <cell r="B193">
            <v>1317</v>
          </cell>
          <cell r="C193" t="str">
            <v>Institut Kanser Negara</v>
          </cell>
          <cell r="D193" t="str">
            <v>KKM/IKN/H/13/5071</v>
          </cell>
          <cell r="E193" t="str">
            <v>15-076</v>
          </cell>
          <cell r="F193" t="str">
            <v>Laryngoscopes, Rigid</v>
          </cell>
          <cell r="G193" t="str">
            <v>WH</v>
          </cell>
          <cell r="H193" t="str">
            <v>RT/ONCO WARD 2 (M)</v>
          </cell>
          <cell r="I193" t="str">
            <v>08WH135</v>
          </cell>
          <cell r="J193" t="str">
            <v>4 BED BAY 2</v>
          </cell>
          <cell r="K193" t="str">
            <v>BMED</v>
          </cell>
          <cell r="L193" t="str">
            <v>Normal</v>
          </cell>
          <cell r="M193" t="str">
            <v>Not Available</v>
          </cell>
          <cell r="N193" t="str">
            <v>Not Available</v>
          </cell>
          <cell r="O193" t="str">
            <v>Not Available</v>
          </cell>
          <cell r="P193" t="str">
            <v>Not Available</v>
          </cell>
          <cell r="Q193" t="str">
            <v>Not Available</v>
          </cell>
          <cell r="R193" t="str">
            <v>Not Available</v>
          </cell>
          <cell r="S193" t="str">
            <v>Antah Sir Radin Sdn. Bhd.</v>
          </cell>
          <cell r="T193" t="str">
            <v>Functioning</v>
          </cell>
          <cell r="U193" t="str">
            <v>Asset</v>
          </cell>
          <cell r="V193">
            <v>4000</v>
          </cell>
          <cell r="W193" t="str">
            <v>KEW</v>
          </cell>
          <cell r="X193" t="str">
            <v>01/09/2010</v>
          </cell>
          <cell r="Y193" t="str">
            <v>KEW</v>
          </cell>
          <cell r="Z193" t="str">
            <v>31/08/2013</v>
          </cell>
          <cell r="AA193" t="str">
            <v>15/08/2015</v>
          </cell>
          <cell r="AB193" t="str">
            <v>No</v>
          </cell>
          <cell r="AC193" t="str">
            <v>31/08/2013</v>
          </cell>
          <cell r="AD193" t="str">
            <v>Good</v>
          </cell>
          <cell r="AE193" t="str">
            <v>V4 - Decommissioned Installed Facility</v>
          </cell>
          <cell r="AF193">
            <v>42630</v>
          </cell>
          <cell r="AG193">
            <v>9.17</v>
          </cell>
          <cell r="AH193" t="str">
            <v>RI</v>
          </cell>
          <cell r="AI193" t="str">
            <v>Strands</v>
          </cell>
          <cell r="AJ193" t="str">
            <v>Not under maintenance</v>
          </cell>
        </row>
        <row r="194">
          <cell r="A194" t="str">
            <v>IKN401324</v>
          </cell>
          <cell r="B194">
            <v>1318</v>
          </cell>
          <cell r="C194" t="str">
            <v>Institut Kanser Negara</v>
          </cell>
          <cell r="D194" t="str">
            <v>KKM/IKN/H/13/5072</v>
          </cell>
          <cell r="E194" t="str">
            <v>15-076</v>
          </cell>
          <cell r="F194" t="str">
            <v>Laryngoscopes, Rigid</v>
          </cell>
          <cell r="G194" t="str">
            <v>WH</v>
          </cell>
          <cell r="H194" t="str">
            <v>RT/ONCO WARD 2 (M)</v>
          </cell>
          <cell r="I194" t="str">
            <v>08WH117</v>
          </cell>
          <cell r="J194" t="str">
            <v>SISTER</v>
          </cell>
          <cell r="K194" t="str">
            <v>BMED</v>
          </cell>
          <cell r="L194" t="str">
            <v>Normal</v>
          </cell>
          <cell r="M194" t="str">
            <v>Not Available</v>
          </cell>
          <cell r="N194" t="str">
            <v>Not Available</v>
          </cell>
          <cell r="O194" t="str">
            <v>Not Available</v>
          </cell>
          <cell r="P194" t="str">
            <v>Not Available</v>
          </cell>
          <cell r="Q194" t="str">
            <v>Not Available</v>
          </cell>
          <cell r="R194" t="str">
            <v>Not Available</v>
          </cell>
          <cell r="S194" t="str">
            <v>Antah Sir Radin Sdn. Bhd.</v>
          </cell>
          <cell r="T194" t="str">
            <v>Functioning</v>
          </cell>
          <cell r="U194" t="str">
            <v>Asset</v>
          </cell>
          <cell r="V194">
            <v>4000</v>
          </cell>
          <cell r="W194" t="str">
            <v>KEW</v>
          </cell>
          <cell r="X194" t="str">
            <v>01/09/2010</v>
          </cell>
          <cell r="Y194" t="str">
            <v>KEW</v>
          </cell>
          <cell r="Z194" t="str">
            <v>31/08/2013</v>
          </cell>
          <cell r="AA194" t="str">
            <v>15/08/2015</v>
          </cell>
          <cell r="AB194" t="str">
            <v>No</v>
          </cell>
          <cell r="AC194" t="str">
            <v>31/08/2013</v>
          </cell>
          <cell r="AD194" t="str">
            <v>Good</v>
          </cell>
          <cell r="AE194" t="str">
            <v>V4 - Decommissioned Installed Facility</v>
          </cell>
          <cell r="AF194">
            <v>42630</v>
          </cell>
          <cell r="AG194">
            <v>9.17</v>
          </cell>
          <cell r="AH194" t="str">
            <v>RI</v>
          </cell>
          <cell r="AI194" t="str">
            <v>Strands</v>
          </cell>
          <cell r="AJ194" t="str">
            <v>Not under maintenance</v>
          </cell>
        </row>
        <row r="195">
          <cell r="A195" t="str">
            <v>IKN401325</v>
          </cell>
          <cell r="B195">
            <v>1319</v>
          </cell>
          <cell r="C195" t="str">
            <v>Institut Kanser Negara</v>
          </cell>
          <cell r="D195" t="str">
            <v>KKM/IKN/H/13/5073</v>
          </cell>
          <cell r="E195" t="str">
            <v>18-595</v>
          </cell>
          <cell r="F195" t="str">
            <v>Ophthalmoscopes/Otoscopes</v>
          </cell>
          <cell r="G195" t="str">
            <v>WH</v>
          </cell>
          <cell r="H195" t="str">
            <v>RT/ONCO WARD 2 (M)</v>
          </cell>
          <cell r="I195" t="str">
            <v>08WH135</v>
          </cell>
          <cell r="J195" t="str">
            <v>4 BED BAY 2</v>
          </cell>
          <cell r="K195" t="str">
            <v>BMED</v>
          </cell>
          <cell r="L195" t="str">
            <v>Normal</v>
          </cell>
          <cell r="M195" t="str">
            <v>USA</v>
          </cell>
          <cell r="N195" t="str">
            <v>Welch Allyn</v>
          </cell>
          <cell r="O195" t="str">
            <v>Welch Allyn 97150-BIM</v>
          </cell>
          <cell r="P195" t="str">
            <v>GD0019-36</v>
          </cell>
          <cell r="Q195" t="str">
            <v>Not Available</v>
          </cell>
          <cell r="R195" t="str">
            <v>Welch Allyn Inc</v>
          </cell>
          <cell r="S195" t="str">
            <v>Welch Allyn</v>
          </cell>
          <cell r="T195" t="str">
            <v>Functioning</v>
          </cell>
          <cell r="U195" t="str">
            <v>Asset</v>
          </cell>
          <cell r="V195">
            <v>4690</v>
          </cell>
          <cell r="W195" t="str">
            <v>KEW</v>
          </cell>
          <cell r="X195" t="str">
            <v>01/09/2010</v>
          </cell>
          <cell r="Y195" t="str">
            <v>KEW</v>
          </cell>
          <cell r="Z195" t="str">
            <v>31/08/2013</v>
          </cell>
          <cell r="AA195" t="str">
            <v>15/08/2015</v>
          </cell>
          <cell r="AB195" t="str">
            <v>No</v>
          </cell>
          <cell r="AC195" t="str">
            <v>31/08/2013</v>
          </cell>
          <cell r="AD195" t="str">
            <v>Good</v>
          </cell>
          <cell r="AE195" t="str">
            <v>V1 - Existing / No Claim</v>
          </cell>
          <cell r="AF195">
            <v>42622</v>
          </cell>
          <cell r="AG195">
            <v>9.17</v>
          </cell>
          <cell r="AH195" t="str">
            <v>RI</v>
          </cell>
          <cell r="AI195" t="str">
            <v>Strands</v>
          </cell>
          <cell r="AJ195" t="str">
            <v>Not under maintenance</v>
          </cell>
        </row>
        <row r="196">
          <cell r="A196" t="str">
            <v>IKN401326</v>
          </cell>
          <cell r="B196">
            <v>1320</v>
          </cell>
          <cell r="C196" t="str">
            <v>Institut Kanser Negara</v>
          </cell>
          <cell r="D196" t="e">
            <v>#N/A</v>
          </cell>
          <cell r="E196" t="str">
            <v>18-595</v>
          </cell>
          <cell r="F196" t="str">
            <v>Ophthalmoscopes/Otoscopes</v>
          </cell>
          <cell r="G196" t="str">
            <v>WH</v>
          </cell>
          <cell r="H196" t="str">
            <v>RT/ONCO WARD 2 (M)</v>
          </cell>
          <cell r="I196" t="str">
            <v>08WH117</v>
          </cell>
          <cell r="J196" t="str">
            <v>SISTER</v>
          </cell>
          <cell r="K196" t="str">
            <v>BMED</v>
          </cell>
          <cell r="L196" t="str">
            <v>Normal</v>
          </cell>
          <cell r="M196" t="str">
            <v>USA</v>
          </cell>
          <cell r="N196" t="str">
            <v>Welch Allyn</v>
          </cell>
          <cell r="O196" t="str">
            <v>Welch Allyn 11710</v>
          </cell>
          <cell r="P196" t="str">
            <v>GD0019-37</v>
          </cell>
          <cell r="Q196" t="str">
            <v>Not Available</v>
          </cell>
          <cell r="R196" t="str">
            <v>Welch Allyn Inc</v>
          </cell>
          <cell r="S196" t="str">
            <v>Welch Allyn</v>
          </cell>
          <cell r="T196" t="str">
            <v>Functioning</v>
          </cell>
          <cell r="U196" t="str">
            <v>Asset</v>
          </cell>
          <cell r="V196">
            <v>4690</v>
          </cell>
          <cell r="W196" t="str">
            <v>KEW</v>
          </cell>
          <cell r="X196" t="str">
            <v>01/09/2010</v>
          </cell>
          <cell r="Y196" t="str">
            <v>KEW</v>
          </cell>
          <cell r="Z196" t="str">
            <v>31/08/2013</v>
          </cell>
          <cell r="AA196" t="str">
            <v>15/08/2015</v>
          </cell>
          <cell r="AB196" t="str">
            <v>No</v>
          </cell>
          <cell r="AC196" t="str">
            <v>31/08/2013</v>
          </cell>
          <cell r="AD196" t="str">
            <v>Good</v>
          </cell>
          <cell r="AE196" t="str">
            <v>V1 - Existing / No Claim</v>
          </cell>
          <cell r="AF196">
            <v>42622</v>
          </cell>
          <cell r="AG196">
            <v>9.17</v>
          </cell>
          <cell r="AH196" t="str">
            <v>RI</v>
          </cell>
          <cell r="AI196" t="str">
            <v>Not in contract</v>
          </cell>
          <cell r="AJ196" t="str">
            <v>Not under maintenance</v>
          </cell>
          <cell r="AK196" t="str">
            <v>Will be under V4. Taken out of contract as agreed by IKN</v>
          </cell>
        </row>
        <row r="197">
          <cell r="A197" t="str">
            <v>IKN401327</v>
          </cell>
          <cell r="B197">
            <v>1321</v>
          </cell>
          <cell r="C197" t="str">
            <v>Institut Kanser Negara</v>
          </cell>
          <cell r="D197" t="e">
            <v>#N/A</v>
          </cell>
          <cell r="E197" t="str">
            <v>16-158</v>
          </cell>
          <cell r="F197" t="str">
            <v>Sphygmomanometers, Mercury</v>
          </cell>
          <cell r="G197" t="str">
            <v>WH</v>
          </cell>
          <cell r="H197" t="str">
            <v>RT/ONCO WARD 2 (M)</v>
          </cell>
          <cell r="I197" t="str">
            <v>08WH135</v>
          </cell>
          <cell r="J197" t="str">
            <v>4 BED BAY 2</v>
          </cell>
          <cell r="K197" t="str">
            <v>BMED</v>
          </cell>
          <cell r="L197" t="str">
            <v>Critical</v>
          </cell>
          <cell r="M197" t="str">
            <v>Germany</v>
          </cell>
          <cell r="N197" t="str">
            <v>Erka</v>
          </cell>
          <cell r="O197" t="str">
            <v>Erka</v>
          </cell>
          <cell r="P197" t="str">
            <v>13500757</v>
          </cell>
          <cell r="Q197" t="str">
            <v>Not Available</v>
          </cell>
          <cell r="R197" t="str">
            <v>Erka GmbH &amp; Co</v>
          </cell>
          <cell r="S197" t="str">
            <v>Acucare Sdn. Bhd</v>
          </cell>
          <cell r="T197" t="str">
            <v>Functioning</v>
          </cell>
          <cell r="U197" t="str">
            <v>Asset</v>
          </cell>
          <cell r="V197">
            <v>505</v>
          </cell>
          <cell r="W197" t="str">
            <v>KEW</v>
          </cell>
          <cell r="X197" t="str">
            <v>01/09/2010</v>
          </cell>
          <cell r="Y197" t="str">
            <v>KEW</v>
          </cell>
          <cell r="Z197" t="str">
            <v>31/08/2013</v>
          </cell>
          <cell r="AA197" t="str">
            <v>15/08/2015</v>
          </cell>
          <cell r="AB197" t="str">
            <v>No</v>
          </cell>
          <cell r="AC197" t="str">
            <v>31/08/2013</v>
          </cell>
          <cell r="AD197" t="str">
            <v>Good</v>
          </cell>
          <cell r="AE197" t="str">
            <v>V4 - Decommissioned Installed Facility</v>
          </cell>
          <cell r="AF197">
            <v>42622</v>
          </cell>
          <cell r="AG197">
            <v>9.17</v>
          </cell>
          <cell r="AH197" t="str">
            <v>PPM</v>
          </cell>
          <cell r="AI197" t="str">
            <v>Not in contract</v>
          </cell>
          <cell r="AJ197" t="str">
            <v>Not under maintenance</v>
          </cell>
          <cell r="AK197" t="e">
            <v>#N/A</v>
          </cell>
        </row>
        <row r="198">
          <cell r="A198" t="str">
            <v>IKN401328</v>
          </cell>
          <cell r="B198">
            <v>1322</v>
          </cell>
          <cell r="C198" t="str">
            <v>Institut Kanser Negara</v>
          </cell>
          <cell r="D198" t="e">
            <v>#N/A</v>
          </cell>
          <cell r="E198" t="str">
            <v>16-158</v>
          </cell>
          <cell r="F198" t="str">
            <v>Sphygmomanometers, Mercury</v>
          </cell>
          <cell r="G198" t="str">
            <v>WG</v>
          </cell>
          <cell r="H198" t="str">
            <v>RT/ONCO WARD 1 (M)</v>
          </cell>
          <cell r="I198" t="str">
            <v>08WG135</v>
          </cell>
          <cell r="J198" t="str">
            <v>4 BED BAY 2</v>
          </cell>
          <cell r="K198" t="str">
            <v>BMED</v>
          </cell>
          <cell r="L198" t="str">
            <v>Critical</v>
          </cell>
          <cell r="M198" t="str">
            <v>Germany</v>
          </cell>
          <cell r="N198" t="str">
            <v>Erka</v>
          </cell>
          <cell r="O198" t="str">
            <v>Erka</v>
          </cell>
          <cell r="P198" t="str">
            <v>13500760</v>
          </cell>
          <cell r="Q198" t="str">
            <v>Not Available</v>
          </cell>
          <cell r="R198" t="str">
            <v>Erka GmbH &amp; Co</v>
          </cell>
          <cell r="S198" t="str">
            <v>Acucare Sdn. Bhd</v>
          </cell>
          <cell r="T198" t="str">
            <v>Functioning</v>
          </cell>
          <cell r="U198" t="str">
            <v>Asset</v>
          </cell>
          <cell r="V198">
            <v>505</v>
          </cell>
          <cell r="W198" t="str">
            <v>KEW</v>
          </cell>
          <cell r="X198" t="str">
            <v>01/09/2010</v>
          </cell>
          <cell r="Y198" t="str">
            <v>KEW</v>
          </cell>
          <cell r="Z198" t="str">
            <v>31/08/2013</v>
          </cell>
          <cell r="AA198" t="str">
            <v>15/08/2015</v>
          </cell>
          <cell r="AB198" t="str">
            <v>No</v>
          </cell>
          <cell r="AC198" t="str">
            <v>31/08/2013</v>
          </cell>
          <cell r="AD198" t="str">
            <v>Good</v>
          </cell>
          <cell r="AE198" t="str">
            <v>V4 - Decommissioned Installed Facility</v>
          </cell>
          <cell r="AF198">
            <v>42622</v>
          </cell>
          <cell r="AG198">
            <v>9.17</v>
          </cell>
          <cell r="AH198" t="str">
            <v>PPM</v>
          </cell>
          <cell r="AI198" t="str">
            <v>Not in contract</v>
          </cell>
          <cell r="AJ198" t="str">
            <v>Not under maintenance</v>
          </cell>
          <cell r="AK198" t="e">
            <v>#N/A</v>
          </cell>
        </row>
        <row r="199">
          <cell r="A199" t="str">
            <v>IKN401329</v>
          </cell>
          <cell r="B199">
            <v>1323</v>
          </cell>
          <cell r="C199" t="str">
            <v>Institut Kanser Negara</v>
          </cell>
          <cell r="D199" t="e">
            <v>#N/A</v>
          </cell>
          <cell r="E199" t="str">
            <v>16-158</v>
          </cell>
          <cell r="F199" t="str">
            <v>Sphygmomanometers, Mercury</v>
          </cell>
          <cell r="G199" t="str">
            <v>DO</v>
          </cell>
          <cell r="H199" t="str">
            <v>DAY ONCOLOGY UNIT</v>
          </cell>
          <cell r="I199" t="str">
            <v>04do105</v>
          </cell>
          <cell r="J199" t="str">
            <v>C/E</v>
          </cell>
          <cell r="K199" t="str">
            <v>BMED</v>
          </cell>
          <cell r="L199" t="str">
            <v>Critical</v>
          </cell>
          <cell r="M199" t="str">
            <v>Germany</v>
          </cell>
          <cell r="N199" t="str">
            <v>Erka</v>
          </cell>
          <cell r="O199" t="str">
            <v>Erkameter 3000</v>
          </cell>
          <cell r="P199" t="str">
            <v>12508908</v>
          </cell>
          <cell r="Q199" t="str">
            <v>Not Available</v>
          </cell>
          <cell r="R199" t="str">
            <v>Erka GmbH &amp; Co</v>
          </cell>
          <cell r="S199" t="str">
            <v>Acucare System (M) Sdn. Bhd</v>
          </cell>
          <cell r="T199" t="str">
            <v>Functioning</v>
          </cell>
          <cell r="U199" t="str">
            <v>Asset</v>
          </cell>
          <cell r="V199">
            <v>505</v>
          </cell>
          <cell r="W199" t="str">
            <v>KEW</v>
          </cell>
          <cell r="X199" t="str">
            <v>01/09/2010</v>
          </cell>
          <cell r="Y199" t="str">
            <v>KEW</v>
          </cell>
          <cell r="Z199" t="str">
            <v>16/08/2013</v>
          </cell>
          <cell r="AA199" t="str">
            <v>15/08/2015</v>
          </cell>
          <cell r="AB199" t="str">
            <v>No</v>
          </cell>
          <cell r="AC199" t="str">
            <v>31/08/2013</v>
          </cell>
          <cell r="AD199" t="str">
            <v>Good</v>
          </cell>
          <cell r="AE199" t="str">
            <v>V4 - Decommissioned Installed Facility</v>
          </cell>
          <cell r="AF199">
            <v>42704</v>
          </cell>
          <cell r="AG199">
            <v>9.17</v>
          </cell>
          <cell r="AH199" t="str">
            <v>PPM</v>
          </cell>
          <cell r="AI199" t="str">
            <v>Not in contract</v>
          </cell>
          <cell r="AJ199" t="str">
            <v>Not under maintenance</v>
          </cell>
          <cell r="AK199" t="e">
            <v>#N/A</v>
          </cell>
        </row>
        <row r="200">
          <cell r="A200" t="str">
            <v>IKN401330</v>
          </cell>
          <cell r="B200">
            <v>1324</v>
          </cell>
          <cell r="C200" t="str">
            <v>Institut Kanser Negara</v>
          </cell>
          <cell r="D200" t="e">
            <v>#N/A</v>
          </cell>
          <cell r="E200" t="str">
            <v>15-076</v>
          </cell>
          <cell r="F200" t="str">
            <v>Laryngoscopes, Rigid</v>
          </cell>
          <cell r="G200" t="str">
            <v>DO</v>
          </cell>
          <cell r="H200" t="str">
            <v>DAY ONCOLOGY UNIT</v>
          </cell>
          <cell r="I200" t="str">
            <v>04do133</v>
          </cell>
          <cell r="J200" t="str">
            <v>CLEAN UTILITY</v>
          </cell>
          <cell r="K200" t="str">
            <v>BMED</v>
          </cell>
          <cell r="L200" t="str">
            <v>Normal</v>
          </cell>
          <cell r="M200" t="str">
            <v>Not Available</v>
          </cell>
          <cell r="N200" t="str">
            <v>Not Available</v>
          </cell>
          <cell r="O200" t="str">
            <v>Not Available</v>
          </cell>
          <cell r="P200" t="str">
            <v>Not Available</v>
          </cell>
          <cell r="Q200" t="str">
            <v>Not Available</v>
          </cell>
          <cell r="R200" t="str">
            <v>Not Available</v>
          </cell>
          <cell r="S200" t="str">
            <v>Antah Sri Radin Sdn. Bhd</v>
          </cell>
          <cell r="T200" t="str">
            <v>Functioning</v>
          </cell>
          <cell r="U200" t="str">
            <v>Asset</v>
          </cell>
          <cell r="V200">
            <v>4000</v>
          </cell>
          <cell r="W200" t="str">
            <v>KEW</v>
          </cell>
          <cell r="X200" t="str">
            <v>01/09/2010</v>
          </cell>
          <cell r="Y200" t="str">
            <v>KEW</v>
          </cell>
          <cell r="Z200" t="str">
            <v>16/08/2013</v>
          </cell>
          <cell r="AA200" t="str">
            <v>15/08/2015</v>
          </cell>
          <cell r="AB200" t="str">
            <v>No</v>
          </cell>
          <cell r="AC200" t="str">
            <v>31/08/2013</v>
          </cell>
          <cell r="AD200" t="str">
            <v>Good</v>
          </cell>
          <cell r="AE200" t="str">
            <v>V4 - Decommissioned Installed Facility</v>
          </cell>
          <cell r="AF200">
            <v>42704</v>
          </cell>
          <cell r="AG200">
            <v>9.17</v>
          </cell>
          <cell r="AH200" t="str">
            <v>RI</v>
          </cell>
          <cell r="AI200" t="str">
            <v>Not in contract</v>
          </cell>
          <cell r="AJ200" t="str">
            <v>Not under maintenance</v>
          </cell>
          <cell r="AK200" t="str">
            <v>Will be under V4. Taken out of contract as agreed by IKN</v>
          </cell>
        </row>
        <row r="201">
          <cell r="A201" t="str">
            <v>IKN401331</v>
          </cell>
          <cell r="B201">
            <v>1325</v>
          </cell>
          <cell r="C201" t="str">
            <v>Institut Kanser Negara</v>
          </cell>
          <cell r="D201" t="e">
            <v>#N/A</v>
          </cell>
          <cell r="E201" t="str">
            <v>15-076</v>
          </cell>
          <cell r="F201" t="str">
            <v>Laryngoscopes, Rigid</v>
          </cell>
          <cell r="G201" t="str">
            <v>DO</v>
          </cell>
          <cell r="H201" t="str">
            <v>DAY ONCOLOGY UNIT</v>
          </cell>
          <cell r="I201" t="str">
            <v>04do133</v>
          </cell>
          <cell r="J201" t="str">
            <v>CLEAN UTILITY</v>
          </cell>
          <cell r="K201" t="str">
            <v>BMED</v>
          </cell>
          <cell r="L201" t="str">
            <v>Normal</v>
          </cell>
          <cell r="M201" t="str">
            <v>Not Available</v>
          </cell>
          <cell r="N201" t="str">
            <v>Not Available</v>
          </cell>
          <cell r="O201" t="str">
            <v>Not Available</v>
          </cell>
          <cell r="P201" t="str">
            <v>Not Available</v>
          </cell>
          <cell r="Q201" t="str">
            <v>Not Available</v>
          </cell>
          <cell r="R201" t="str">
            <v>Not Available</v>
          </cell>
          <cell r="S201" t="str">
            <v>Antah Sri Radin Sdn. Bhd</v>
          </cell>
          <cell r="T201" t="str">
            <v>Functioning</v>
          </cell>
          <cell r="U201" t="str">
            <v>Asset</v>
          </cell>
          <cell r="V201">
            <v>4000</v>
          </cell>
          <cell r="W201" t="str">
            <v>KEW</v>
          </cell>
          <cell r="X201" t="str">
            <v>01/09/2010</v>
          </cell>
          <cell r="Y201" t="str">
            <v>KEW</v>
          </cell>
          <cell r="Z201" t="str">
            <v>16/08/2013</v>
          </cell>
          <cell r="AA201" t="str">
            <v>15/08/2015</v>
          </cell>
          <cell r="AB201" t="str">
            <v>No</v>
          </cell>
          <cell r="AC201" t="str">
            <v>31/08/2013</v>
          </cell>
          <cell r="AD201" t="str">
            <v>Good</v>
          </cell>
          <cell r="AE201" t="str">
            <v>V4 - Decommissioned Installed Facility</v>
          </cell>
          <cell r="AF201">
            <v>42704</v>
          </cell>
          <cell r="AG201">
            <v>9.17</v>
          </cell>
          <cell r="AH201" t="str">
            <v>RI</v>
          </cell>
          <cell r="AI201" t="str">
            <v>Not in contract</v>
          </cell>
          <cell r="AJ201" t="str">
            <v>Not under maintenance</v>
          </cell>
          <cell r="AK201" t="str">
            <v>Will be under V4. Taken out of contract as agreed by IKN</v>
          </cell>
        </row>
        <row r="202">
          <cell r="A202" t="str">
            <v>IKN401332</v>
          </cell>
          <cell r="B202">
            <v>1326</v>
          </cell>
          <cell r="C202" t="str">
            <v>Institut Kanser Negara</v>
          </cell>
          <cell r="D202" t="str">
            <v>KKM/IKN/H/13/5123</v>
          </cell>
          <cell r="E202" t="str">
            <v>18-595</v>
          </cell>
          <cell r="F202" t="str">
            <v>Ophthalmoscopes/Otoscopes</v>
          </cell>
          <cell r="G202" t="str">
            <v>DO</v>
          </cell>
          <cell r="H202" t="str">
            <v>DAY ONCOLOGY UNIT</v>
          </cell>
          <cell r="I202" t="str">
            <v>04DO105</v>
          </cell>
          <cell r="J202" t="str">
            <v>C/E</v>
          </cell>
          <cell r="K202" t="str">
            <v>BMED</v>
          </cell>
          <cell r="L202" t="str">
            <v>Normal</v>
          </cell>
          <cell r="M202" t="str">
            <v>USA</v>
          </cell>
          <cell r="N202" t="str">
            <v>Welch Allyn</v>
          </cell>
          <cell r="O202" t="str">
            <v>Welch Allyn 71904</v>
          </cell>
          <cell r="P202" t="str">
            <v>GD0019-29</v>
          </cell>
          <cell r="Q202" t="str">
            <v>Not Available</v>
          </cell>
          <cell r="R202" t="str">
            <v>Welch Allyn Inc</v>
          </cell>
          <cell r="S202" t="str">
            <v>Welch Allyn</v>
          </cell>
          <cell r="T202" t="str">
            <v>Functioning</v>
          </cell>
          <cell r="U202" t="str">
            <v>Asset</v>
          </cell>
          <cell r="V202">
            <v>4690</v>
          </cell>
          <cell r="W202" t="str">
            <v>KEW</v>
          </cell>
          <cell r="X202" t="str">
            <v>01/09/2010</v>
          </cell>
          <cell r="Y202" t="str">
            <v>KEW</v>
          </cell>
          <cell r="Z202" t="str">
            <v>16/08/2013</v>
          </cell>
          <cell r="AA202" t="str">
            <v>15/08/2015</v>
          </cell>
          <cell r="AB202" t="str">
            <v>No</v>
          </cell>
          <cell r="AC202" t="str">
            <v>16/08/2013</v>
          </cell>
          <cell r="AD202" t="str">
            <v>Good</v>
          </cell>
          <cell r="AE202" t="str">
            <v>V1 - Existing / No Claim</v>
          </cell>
          <cell r="AF202">
            <v>42663</v>
          </cell>
          <cell r="AG202">
            <v>9.17</v>
          </cell>
          <cell r="AH202" t="str">
            <v>RI</v>
          </cell>
          <cell r="AI202" t="str">
            <v>Strands</v>
          </cell>
          <cell r="AJ202" t="str">
            <v>Not under maintenance</v>
          </cell>
        </row>
        <row r="203">
          <cell r="A203" t="str">
            <v>IKN401333</v>
          </cell>
          <cell r="B203">
            <v>1327</v>
          </cell>
          <cell r="C203" t="str">
            <v>Institut Kanser Negara</v>
          </cell>
          <cell r="D203" t="str">
            <v>KKM/IKN/H/13/5122</v>
          </cell>
          <cell r="E203" t="str">
            <v>18-595</v>
          </cell>
          <cell r="F203" t="str">
            <v>Ophthalmoscopes/Otoscopes</v>
          </cell>
          <cell r="G203" t="str">
            <v>DO</v>
          </cell>
          <cell r="H203" t="str">
            <v>DAY ONCOLOGY UNIT</v>
          </cell>
          <cell r="I203" t="str">
            <v>04DO131</v>
          </cell>
          <cell r="J203" t="str">
            <v>NURSE STATION</v>
          </cell>
          <cell r="K203" t="str">
            <v>BMED</v>
          </cell>
          <cell r="L203" t="str">
            <v>Normal</v>
          </cell>
          <cell r="M203" t="str">
            <v>USA</v>
          </cell>
          <cell r="N203" t="str">
            <v>Welch Allyn</v>
          </cell>
          <cell r="O203" t="str">
            <v>Welch Allyn 97150-BIM</v>
          </cell>
          <cell r="P203" t="str">
            <v>GD0019-7</v>
          </cell>
          <cell r="Q203" t="str">
            <v>Not Available</v>
          </cell>
          <cell r="R203" t="str">
            <v>Welch Allyn Inc</v>
          </cell>
          <cell r="S203" t="str">
            <v>Welch Allyn Malaysia Sdn. Bhd</v>
          </cell>
          <cell r="T203" t="str">
            <v>Functioning</v>
          </cell>
          <cell r="U203" t="str">
            <v>Asset</v>
          </cell>
          <cell r="V203">
            <v>4690</v>
          </cell>
          <cell r="W203" t="str">
            <v>KEW</v>
          </cell>
          <cell r="X203" t="str">
            <v>01/09/2010</v>
          </cell>
          <cell r="Y203" t="str">
            <v>KEW</v>
          </cell>
          <cell r="Z203" t="str">
            <v>16/08/2013</v>
          </cell>
          <cell r="AA203" t="str">
            <v>15/08/2015</v>
          </cell>
          <cell r="AB203" t="str">
            <v>No</v>
          </cell>
          <cell r="AC203" t="str">
            <v>31/08/2013</v>
          </cell>
          <cell r="AD203" t="str">
            <v>Good</v>
          </cell>
          <cell r="AE203" t="str">
            <v>V1 - Existing / No Claim</v>
          </cell>
          <cell r="AF203">
            <v>42704</v>
          </cell>
          <cell r="AG203">
            <v>9.17</v>
          </cell>
          <cell r="AH203" t="str">
            <v>RI</v>
          </cell>
          <cell r="AI203" t="str">
            <v>Strands</v>
          </cell>
          <cell r="AJ203" t="str">
            <v>Not under maintenance</v>
          </cell>
        </row>
        <row r="204">
          <cell r="A204" t="str">
            <v>IKN401334</v>
          </cell>
          <cell r="B204">
            <v>1328</v>
          </cell>
          <cell r="C204" t="str">
            <v>Institut Kanser Negara</v>
          </cell>
          <cell r="D204" t="e">
            <v>#N/A</v>
          </cell>
          <cell r="E204" t="str">
            <v>18-595</v>
          </cell>
          <cell r="F204" t="str">
            <v>Ophthalmoscopes/Otoscopes</v>
          </cell>
          <cell r="G204" t="str">
            <v>DO</v>
          </cell>
          <cell r="H204" t="str">
            <v>DAY ONCOLOGY UNIT</v>
          </cell>
          <cell r="I204" t="str">
            <v>04do133</v>
          </cell>
          <cell r="J204" t="str">
            <v>CLEAN UTILITY</v>
          </cell>
          <cell r="K204" t="str">
            <v>BMED</v>
          </cell>
          <cell r="L204" t="str">
            <v>Normal</v>
          </cell>
          <cell r="M204" t="str">
            <v>USA</v>
          </cell>
          <cell r="N204" t="str">
            <v>Welch Allyn</v>
          </cell>
          <cell r="O204" t="str">
            <v>Welch Allyn 97150-BIM</v>
          </cell>
          <cell r="P204" t="str">
            <v>Not Available</v>
          </cell>
          <cell r="Q204" t="str">
            <v>Not Available</v>
          </cell>
          <cell r="R204" t="str">
            <v>Welch Allyn Inc</v>
          </cell>
          <cell r="S204" t="str">
            <v>Welch Allyn Malaysia Sdn. Bhd</v>
          </cell>
          <cell r="T204" t="str">
            <v>Functioning</v>
          </cell>
          <cell r="U204" t="str">
            <v>Asset</v>
          </cell>
          <cell r="V204">
            <v>4690</v>
          </cell>
          <cell r="W204" t="str">
            <v>KEW</v>
          </cell>
          <cell r="X204" t="str">
            <v>01/09/2010</v>
          </cell>
          <cell r="Y204" t="str">
            <v>KEW</v>
          </cell>
          <cell r="Z204" t="str">
            <v>16/08/2013</v>
          </cell>
          <cell r="AA204" t="str">
            <v>15/08/2015</v>
          </cell>
          <cell r="AB204" t="str">
            <v>No</v>
          </cell>
          <cell r="AC204" t="str">
            <v>31/08/2013</v>
          </cell>
          <cell r="AD204" t="str">
            <v>Good</v>
          </cell>
          <cell r="AE204" t="str">
            <v>V1 - Existing / No Claim</v>
          </cell>
          <cell r="AF204">
            <v>42704</v>
          </cell>
          <cell r="AG204">
            <v>9.17</v>
          </cell>
          <cell r="AH204" t="str">
            <v>RI</v>
          </cell>
          <cell r="AI204" t="str">
            <v>Not in contract</v>
          </cell>
          <cell r="AJ204" t="str">
            <v>Not under maintenance</v>
          </cell>
          <cell r="AK204" t="str">
            <v>Will be under V4. Taken out of contract as agreed by IKN</v>
          </cell>
        </row>
        <row r="205">
          <cell r="A205" t="str">
            <v>IKN401372</v>
          </cell>
          <cell r="B205">
            <v>1366</v>
          </cell>
          <cell r="C205" t="str">
            <v>Institut Kanser Negara</v>
          </cell>
          <cell r="D205" t="str">
            <v>KKM/IKN/H/13/2665-01</v>
          </cell>
          <cell r="E205" t="str">
            <v>15-076</v>
          </cell>
          <cell r="F205" t="str">
            <v>Laryngoscopes, Rigid</v>
          </cell>
          <cell r="G205" t="str">
            <v>ID</v>
          </cell>
          <cell r="H205" t="str">
            <v>IMAGING DEPARTMENT</v>
          </cell>
          <cell r="I205" t="str">
            <v>03id107</v>
          </cell>
          <cell r="J205" t="str">
            <v>RESUS EQ.BAY</v>
          </cell>
          <cell r="K205" t="str">
            <v>BMED</v>
          </cell>
          <cell r="L205" t="str">
            <v>Normal</v>
          </cell>
          <cell r="M205" t="str">
            <v>Not Available</v>
          </cell>
          <cell r="N205" t="str">
            <v>Not Available</v>
          </cell>
          <cell r="O205" t="str">
            <v>Not Available</v>
          </cell>
          <cell r="P205" t="str">
            <v>Not Available</v>
          </cell>
          <cell r="Q205" t="str">
            <v>Not Available</v>
          </cell>
          <cell r="R205" t="str">
            <v>Not Available</v>
          </cell>
          <cell r="S205" t="str">
            <v>Antah Sri Radin Sdn. Bhd</v>
          </cell>
          <cell r="T205" t="str">
            <v>Functioning</v>
          </cell>
          <cell r="U205" t="str">
            <v>Asset</v>
          </cell>
          <cell r="V205">
            <v>4000</v>
          </cell>
          <cell r="W205" t="str">
            <v>KEW</v>
          </cell>
          <cell r="X205" t="str">
            <v>01/09/2010</v>
          </cell>
          <cell r="Y205" t="str">
            <v>KEW</v>
          </cell>
          <cell r="Z205" t="str">
            <v>16/08/2013</v>
          </cell>
          <cell r="AA205" t="str">
            <v>15/08/2015</v>
          </cell>
          <cell r="AB205" t="str">
            <v>No</v>
          </cell>
          <cell r="AC205" t="str">
            <v>31/08/2013</v>
          </cell>
          <cell r="AD205" t="str">
            <v>Good</v>
          </cell>
          <cell r="AE205" t="str">
            <v>V4 - Decommissioned Installed Facility</v>
          </cell>
          <cell r="AF205">
            <v>42696</v>
          </cell>
          <cell r="AG205">
            <v>9.17</v>
          </cell>
          <cell r="AH205" t="str">
            <v>RI</v>
          </cell>
          <cell r="AI205" t="str">
            <v>Not in contract</v>
          </cell>
          <cell r="AJ205" t="str">
            <v>Not under maintenance</v>
          </cell>
          <cell r="AK205" t="str">
            <v>Will be under V4. Taken out of contract as agreed by IKN. Under MRI</v>
          </cell>
        </row>
        <row r="206">
          <cell r="A206" t="str">
            <v>IKN401373</v>
          </cell>
          <cell r="B206">
            <v>1367</v>
          </cell>
          <cell r="C206" t="str">
            <v>Institut Kanser Negara</v>
          </cell>
          <cell r="D206" t="str">
            <v>KKM/IKN/H/13/3940-13</v>
          </cell>
          <cell r="E206" t="str">
            <v>15-076</v>
          </cell>
          <cell r="F206" t="str">
            <v>Laryngoscopes, Rigid</v>
          </cell>
          <cell r="G206" t="str">
            <v>ID</v>
          </cell>
          <cell r="H206" t="str">
            <v>IMAGING DEPARTMENT</v>
          </cell>
          <cell r="I206" t="str">
            <v>03ID107</v>
          </cell>
          <cell r="J206" t="str">
            <v>RESUS EQ.BAY</v>
          </cell>
          <cell r="K206" t="str">
            <v>BMED</v>
          </cell>
          <cell r="L206" t="str">
            <v>Normal</v>
          </cell>
          <cell r="M206" t="str">
            <v>Not Available</v>
          </cell>
          <cell r="N206" t="str">
            <v>Not Available</v>
          </cell>
          <cell r="O206" t="str">
            <v>Not Available</v>
          </cell>
          <cell r="P206" t="str">
            <v>Not Available</v>
          </cell>
          <cell r="Q206" t="str">
            <v>Not Available</v>
          </cell>
          <cell r="R206" t="str">
            <v>Not Available</v>
          </cell>
          <cell r="S206" t="str">
            <v>Antah Sri Radin Sdn. Bhd</v>
          </cell>
          <cell r="T206" t="str">
            <v>Functioning</v>
          </cell>
          <cell r="U206" t="str">
            <v>Asset</v>
          </cell>
          <cell r="V206">
            <v>4000</v>
          </cell>
          <cell r="W206" t="str">
            <v>KEW</v>
          </cell>
          <cell r="X206" t="str">
            <v>01/09/2010</v>
          </cell>
          <cell r="Y206" t="str">
            <v>KEW</v>
          </cell>
          <cell r="Z206" t="str">
            <v>16/08/2013</v>
          </cell>
          <cell r="AA206" t="str">
            <v>15/08/2015</v>
          </cell>
          <cell r="AB206" t="str">
            <v>No</v>
          </cell>
          <cell r="AC206" t="str">
            <v>31/08/2013</v>
          </cell>
          <cell r="AD206" t="str">
            <v>Good</v>
          </cell>
          <cell r="AE206" t="str">
            <v>V4 - Decommissioned Installed Facility</v>
          </cell>
          <cell r="AF206">
            <v>42697</v>
          </cell>
          <cell r="AG206">
            <v>9.17</v>
          </cell>
          <cell r="AH206" t="str">
            <v>RI</v>
          </cell>
          <cell r="AI206" t="str">
            <v>Not in contract</v>
          </cell>
          <cell r="AJ206" t="str">
            <v>Not under maintenance</v>
          </cell>
          <cell r="AK206" t="str">
            <v>Will be under V4. Taken out of contract as agreed by IKN. Dekat Nurse Bay</v>
          </cell>
        </row>
        <row r="207">
          <cell r="A207" t="str">
            <v>IKN401374</v>
          </cell>
          <cell r="B207">
            <v>1368</v>
          </cell>
          <cell r="C207" t="str">
            <v>Institut Kanser Negara</v>
          </cell>
          <cell r="D207" t="str">
            <v>NA</v>
          </cell>
          <cell r="E207" t="str">
            <v>15-076</v>
          </cell>
          <cell r="F207" t="str">
            <v>Laryngoscopes, Rigid</v>
          </cell>
          <cell r="G207" t="str">
            <v>WA</v>
          </cell>
          <cell r="H207" t="str">
            <v>NUCLEAR MED WARD (THERAPY)</v>
          </cell>
          <cell r="I207" t="str">
            <v>03WA121</v>
          </cell>
          <cell r="J207" t="str">
            <v>N/S 2</v>
          </cell>
          <cell r="K207" t="str">
            <v>BMED</v>
          </cell>
          <cell r="L207" t="str">
            <v>Normal</v>
          </cell>
          <cell r="M207" t="str">
            <v>Not Available</v>
          </cell>
          <cell r="N207" t="str">
            <v>Not Available</v>
          </cell>
          <cell r="O207" t="str">
            <v>Not Available</v>
          </cell>
          <cell r="P207" t="str">
            <v>Not Available</v>
          </cell>
          <cell r="Q207" t="str">
            <v>Not Available</v>
          </cell>
          <cell r="R207" t="str">
            <v>Not Available</v>
          </cell>
          <cell r="S207" t="str">
            <v>Antah Sri Radin Sdn. Bhd</v>
          </cell>
          <cell r="T207" t="str">
            <v>Functioning</v>
          </cell>
          <cell r="U207" t="str">
            <v>Asset</v>
          </cell>
          <cell r="V207">
            <v>4000</v>
          </cell>
          <cell r="W207" t="str">
            <v>KEW</v>
          </cell>
          <cell r="X207" t="str">
            <v>01/09/2010</v>
          </cell>
          <cell r="Y207" t="str">
            <v>KEW</v>
          </cell>
          <cell r="Z207" t="str">
            <v>16/08/2013</v>
          </cell>
          <cell r="AA207" t="str">
            <v>15/08/2015</v>
          </cell>
          <cell r="AB207" t="str">
            <v>No</v>
          </cell>
          <cell r="AC207" t="str">
            <v>31/08/2013</v>
          </cell>
          <cell r="AD207" t="str">
            <v>Good</v>
          </cell>
          <cell r="AE207" t="str">
            <v>V4 - Decommissioned Installed Facility</v>
          </cell>
          <cell r="AF207">
            <v>42697</v>
          </cell>
          <cell r="AG207">
            <v>9.17</v>
          </cell>
          <cell r="AH207" t="str">
            <v>RI</v>
          </cell>
          <cell r="AI207" t="str">
            <v>Not in contract</v>
          </cell>
          <cell r="AJ207" t="str">
            <v>Not under maintenance</v>
          </cell>
          <cell r="AK207" t="str">
            <v>Will be under V4. Taken out of contract as agreed by IKN</v>
          </cell>
        </row>
        <row r="208">
          <cell r="A208" t="str">
            <v>IKN401375</v>
          </cell>
          <cell r="B208">
            <v>1369</v>
          </cell>
          <cell r="C208" t="str">
            <v>Institut Kanser Negara</v>
          </cell>
          <cell r="D208" t="e">
            <v>#N/A</v>
          </cell>
          <cell r="E208" t="str">
            <v>15-076</v>
          </cell>
          <cell r="F208" t="str">
            <v>Laryngoscopes, Rigid</v>
          </cell>
          <cell r="G208" t="str">
            <v>NM</v>
          </cell>
          <cell r="H208" t="str">
            <v>NUCLEAR MED (DIAGNOSTIC)</v>
          </cell>
          <cell r="I208" t="str">
            <v>03nm155</v>
          </cell>
          <cell r="J208" t="str">
            <v>STRESS LAB</v>
          </cell>
          <cell r="K208" t="str">
            <v>BMED</v>
          </cell>
          <cell r="L208" t="str">
            <v>Normal</v>
          </cell>
          <cell r="M208" t="str">
            <v>Not Available</v>
          </cell>
          <cell r="N208" t="str">
            <v>Not Available</v>
          </cell>
          <cell r="O208" t="str">
            <v>Not Available</v>
          </cell>
          <cell r="P208" t="str">
            <v>Not Available</v>
          </cell>
          <cell r="Q208" t="str">
            <v>Not Available</v>
          </cell>
          <cell r="R208" t="str">
            <v>Not Available</v>
          </cell>
          <cell r="S208" t="str">
            <v>Antah Sri Radin Sdn. Bhd</v>
          </cell>
          <cell r="T208" t="str">
            <v>Functioning</v>
          </cell>
          <cell r="U208" t="str">
            <v>Asset</v>
          </cell>
          <cell r="V208">
            <v>4000</v>
          </cell>
          <cell r="W208" t="str">
            <v>KEW</v>
          </cell>
          <cell r="X208" t="str">
            <v>01/09/2010</v>
          </cell>
          <cell r="Y208" t="str">
            <v>KEW</v>
          </cell>
          <cell r="Z208" t="str">
            <v>16/08/2013</v>
          </cell>
          <cell r="AA208" t="str">
            <v>15/08/2015</v>
          </cell>
          <cell r="AB208" t="str">
            <v>No</v>
          </cell>
          <cell r="AC208" t="str">
            <v>31/08/2013</v>
          </cell>
          <cell r="AD208" t="str">
            <v>Good</v>
          </cell>
          <cell r="AE208" t="str">
            <v>V4 - Decommissioned Installed Facility</v>
          </cell>
          <cell r="AF208">
            <v>42696</v>
          </cell>
          <cell r="AG208">
            <v>9.17</v>
          </cell>
          <cell r="AH208" t="str">
            <v>RI</v>
          </cell>
          <cell r="AI208" t="str">
            <v>Not in contract</v>
          </cell>
          <cell r="AJ208" t="str">
            <v>Not under maintenance</v>
          </cell>
          <cell r="AK208" t="str">
            <v>Will be under V4. Taken out of contract as agreed by IKN</v>
          </cell>
        </row>
        <row r="209">
          <cell r="A209" t="str">
            <v>IKN401376</v>
          </cell>
          <cell r="B209">
            <v>1370</v>
          </cell>
          <cell r="C209" t="str">
            <v>Institut Kanser Negara</v>
          </cell>
          <cell r="D209" t="e">
            <v>#N/A</v>
          </cell>
          <cell r="E209" t="str">
            <v>15-076</v>
          </cell>
          <cell r="F209" t="str">
            <v>Laryngoscopes, Rigid</v>
          </cell>
          <cell r="G209" t="str">
            <v>NM</v>
          </cell>
          <cell r="H209" t="str">
            <v>NUCLEAR MED (DIAGNOSTIC)</v>
          </cell>
          <cell r="I209" t="str">
            <v>03nm155</v>
          </cell>
          <cell r="J209" t="str">
            <v>STRESS LAB</v>
          </cell>
          <cell r="K209" t="str">
            <v>BMED</v>
          </cell>
          <cell r="L209" t="str">
            <v>Normal</v>
          </cell>
          <cell r="M209" t="str">
            <v>Not Available</v>
          </cell>
          <cell r="N209" t="str">
            <v>Not Available</v>
          </cell>
          <cell r="O209" t="str">
            <v>Not Available</v>
          </cell>
          <cell r="P209" t="str">
            <v>Not Available</v>
          </cell>
          <cell r="Q209" t="str">
            <v>Not Available</v>
          </cell>
          <cell r="R209" t="str">
            <v>Not Available</v>
          </cell>
          <cell r="S209" t="str">
            <v>Antah Sri Radin Sdn. Bhd</v>
          </cell>
          <cell r="T209" t="str">
            <v>Functioning</v>
          </cell>
          <cell r="U209" t="str">
            <v>Asset</v>
          </cell>
          <cell r="V209">
            <v>4000</v>
          </cell>
          <cell r="W209" t="str">
            <v>KEW</v>
          </cell>
          <cell r="X209" t="str">
            <v>01/09/2010</v>
          </cell>
          <cell r="Y209" t="str">
            <v>KEW</v>
          </cell>
          <cell r="Z209" t="str">
            <v>16/08/2013</v>
          </cell>
          <cell r="AA209" t="str">
            <v>15/08/2015</v>
          </cell>
          <cell r="AB209" t="str">
            <v>No</v>
          </cell>
          <cell r="AC209" t="str">
            <v>31/08/2013</v>
          </cell>
          <cell r="AD209" t="str">
            <v>Good</v>
          </cell>
          <cell r="AE209" t="str">
            <v>V4 - Decommissioned Installed Facility</v>
          </cell>
          <cell r="AF209">
            <v>42696</v>
          </cell>
          <cell r="AG209">
            <v>9.17</v>
          </cell>
          <cell r="AH209" t="str">
            <v>RI</v>
          </cell>
          <cell r="AI209" t="str">
            <v>Not in contract</v>
          </cell>
          <cell r="AJ209" t="str">
            <v>Not under maintenance</v>
          </cell>
          <cell r="AK209" t="str">
            <v>Will be under V4. Taken out of contract as agreed by IKN</v>
          </cell>
        </row>
        <row r="210">
          <cell r="A210" t="str">
            <v>IKN401377</v>
          </cell>
          <cell r="B210">
            <v>1371</v>
          </cell>
          <cell r="C210" t="str">
            <v>Institut Kanser Negara</v>
          </cell>
          <cell r="D210" t="e">
            <v>#N/A</v>
          </cell>
          <cell r="E210" t="str">
            <v>15-076</v>
          </cell>
          <cell r="F210" t="str">
            <v>Laryngoscopes, Rigid</v>
          </cell>
          <cell r="G210" t="str">
            <v>WA</v>
          </cell>
          <cell r="H210" t="str">
            <v>NUCLEAR MED WARD (THERAPY)</v>
          </cell>
          <cell r="I210" t="str">
            <v>03WA121</v>
          </cell>
          <cell r="J210" t="str">
            <v>N/S 2</v>
          </cell>
          <cell r="K210" t="str">
            <v>BMED</v>
          </cell>
          <cell r="L210" t="str">
            <v>Normal</v>
          </cell>
          <cell r="M210" t="str">
            <v>Not Available</v>
          </cell>
          <cell r="N210" t="str">
            <v>Not Available</v>
          </cell>
          <cell r="O210" t="str">
            <v>Not Available</v>
          </cell>
          <cell r="P210" t="str">
            <v>Not Available</v>
          </cell>
          <cell r="Q210" t="str">
            <v>Not Available</v>
          </cell>
          <cell r="R210" t="str">
            <v>Not Available</v>
          </cell>
          <cell r="S210" t="str">
            <v>Antah Sri Radin Sdn. Bhd</v>
          </cell>
          <cell r="T210" t="str">
            <v>Functioning</v>
          </cell>
          <cell r="U210" t="str">
            <v>Asset</v>
          </cell>
          <cell r="V210">
            <v>4000</v>
          </cell>
          <cell r="W210" t="str">
            <v>KEW</v>
          </cell>
          <cell r="X210" t="str">
            <v>01/09/2010</v>
          </cell>
          <cell r="Y210" t="str">
            <v>KEW</v>
          </cell>
          <cell r="Z210" t="str">
            <v>16/08/2013</v>
          </cell>
          <cell r="AA210" t="str">
            <v>15/08/2015</v>
          </cell>
          <cell r="AB210" t="str">
            <v>No</v>
          </cell>
          <cell r="AC210" t="str">
            <v>31/08/2013</v>
          </cell>
          <cell r="AD210" t="str">
            <v>Good</v>
          </cell>
          <cell r="AE210" t="str">
            <v>V4 - Decommissioned Installed Facility</v>
          </cell>
          <cell r="AF210">
            <v>42697</v>
          </cell>
          <cell r="AG210">
            <v>9.17</v>
          </cell>
          <cell r="AH210" t="str">
            <v>RI</v>
          </cell>
          <cell r="AI210" t="str">
            <v>Not in contract</v>
          </cell>
          <cell r="AJ210" t="str">
            <v>Not under maintenance</v>
          </cell>
          <cell r="AK210" t="str">
            <v>Will be under V4. Taken out of contract as agreed by IKN</v>
          </cell>
        </row>
        <row r="211">
          <cell r="A211" t="str">
            <v>IKN401378</v>
          </cell>
          <cell r="B211">
            <v>1372</v>
          </cell>
          <cell r="C211" t="str">
            <v>Institut Kanser Negara</v>
          </cell>
          <cell r="D211" t="e">
            <v>#N/A</v>
          </cell>
          <cell r="E211" t="str">
            <v>15-076</v>
          </cell>
          <cell r="F211" t="str">
            <v>Laryngoscopes, Rigid</v>
          </cell>
          <cell r="G211" t="str">
            <v>WA</v>
          </cell>
          <cell r="H211" t="str">
            <v>NUCLEAR MED WARD (THERAPY)</v>
          </cell>
          <cell r="I211" t="str">
            <v>03WA117</v>
          </cell>
          <cell r="J211" t="str">
            <v>N/S 1</v>
          </cell>
          <cell r="K211" t="str">
            <v>BMED</v>
          </cell>
          <cell r="L211" t="str">
            <v>Normal</v>
          </cell>
          <cell r="M211" t="str">
            <v>Not Available</v>
          </cell>
          <cell r="N211" t="str">
            <v>Not Available</v>
          </cell>
          <cell r="O211" t="str">
            <v>Not Available</v>
          </cell>
          <cell r="P211" t="str">
            <v>Not Available</v>
          </cell>
          <cell r="Q211" t="str">
            <v>N</v>
          </cell>
          <cell r="R211" t="str">
            <v>Not Available</v>
          </cell>
          <cell r="S211" t="str">
            <v>Antah Sri Radin Sdn. Bhd</v>
          </cell>
          <cell r="T211" t="str">
            <v>Functioning</v>
          </cell>
          <cell r="U211" t="str">
            <v>Asset</v>
          </cell>
          <cell r="V211">
            <v>4000</v>
          </cell>
          <cell r="W211" t="str">
            <v>KEW</v>
          </cell>
          <cell r="X211" t="str">
            <v>01/09/2010</v>
          </cell>
          <cell r="Y211" t="str">
            <v>KEW</v>
          </cell>
          <cell r="Z211" t="str">
            <v>16/08/2013</v>
          </cell>
          <cell r="AA211" t="str">
            <v>15/08/2015</v>
          </cell>
          <cell r="AB211" t="str">
            <v>No</v>
          </cell>
          <cell r="AC211" t="str">
            <v>31/08/2013</v>
          </cell>
          <cell r="AD211" t="str">
            <v>Good</v>
          </cell>
          <cell r="AE211" t="str">
            <v>V4 - Decommissioned Installed Facility</v>
          </cell>
          <cell r="AF211">
            <v>42697</v>
          </cell>
          <cell r="AG211">
            <v>9.17</v>
          </cell>
          <cell r="AH211" t="str">
            <v>RI</v>
          </cell>
          <cell r="AI211" t="str">
            <v>Not in contract</v>
          </cell>
          <cell r="AJ211" t="str">
            <v>Not under maintenance</v>
          </cell>
          <cell r="AK211" t="str">
            <v>Will be under V4. Taken out of contract as agreed by IKN</v>
          </cell>
        </row>
        <row r="212">
          <cell r="A212" t="str">
            <v>IKN401379</v>
          </cell>
          <cell r="B212">
            <v>1373</v>
          </cell>
          <cell r="C212" t="str">
            <v>Institut Kanser Negara</v>
          </cell>
          <cell r="D212" t="e">
            <v>#N/A</v>
          </cell>
          <cell r="E212" t="str">
            <v>15-076</v>
          </cell>
          <cell r="F212" t="str">
            <v>Laryngoscopes, Rigid</v>
          </cell>
          <cell r="G212" t="str">
            <v>WA</v>
          </cell>
          <cell r="H212" t="str">
            <v>NUCLEAR MED WARD (THERAPY)</v>
          </cell>
          <cell r="I212" t="str">
            <v>03WA117</v>
          </cell>
          <cell r="J212" t="str">
            <v>N/S 1</v>
          </cell>
          <cell r="K212" t="str">
            <v>BMED</v>
          </cell>
          <cell r="L212" t="str">
            <v>Normal</v>
          </cell>
          <cell r="M212" t="str">
            <v>Not Available</v>
          </cell>
          <cell r="N212" t="str">
            <v>Not Available</v>
          </cell>
          <cell r="O212" t="str">
            <v>Not Available</v>
          </cell>
          <cell r="P212" t="str">
            <v>Not Available</v>
          </cell>
          <cell r="Q212" t="str">
            <v>Not Available</v>
          </cell>
          <cell r="R212" t="str">
            <v>Not Available</v>
          </cell>
          <cell r="S212" t="str">
            <v>Antah Sri Radin Sdn. Bhd</v>
          </cell>
          <cell r="T212" t="str">
            <v>Functioning</v>
          </cell>
          <cell r="U212" t="str">
            <v>Asset</v>
          </cell>
          <cell r="V212">
            <v>4000</v>
          </cell>
          <cell r="W212" t="str">
            <v>KEW</v>
          </cell>
          <cell r="X212" t="str">
            <v>01/09/2010</v>
          </cell>
          <cell r="Y212" t="str">
            <v>KEW</v>
          </cell>
          <cell r="Z212" t="str">
            <v>16/08/2013</v>
          </cell>
          <cell r="AA212" t="str">
            <v>15/08/2015</v>
          </cell>
          <cell r="AB212" t="str">
            <v>No</v>
          </cell>
          <cell r="AC212" t="str">
            <v>31/08/2013</v>
          </cell>
          <cell r="AD212" t="str">
            <v>Good</v>
          </cell>
          <cell r="AE212" t="str">
            <v>V4 - Decommissioned Installed Facility</v>
          </cell>
          <cell r="AF212">
            <v>42697</v>
          </cell>
          <cell r="AG212">
            <v>9.17</v>
          </cell>
          <cell r="AH212" t="str">
            <v>RI</v>
          </cell>
          <cell r="AI212" t="str">
            <v>Not in contract</v>
          </cell>
          <cell r="AJ212" t="str">
            <v>Not under maintenance</v>
          </cell>
          <cell r="AK212" t="str">
            <v>Will be under V4. Taken out of contract as agreed by IKN</v>
          </cell>
        </row>
        <row r="213">
          <cell r="A213" t="str">
            <v>IKN401406</v>
          </cell>
          <cell r="B213">
            <v>1390</v>
          </cell>
          <cell r="C213" t="str">
            <v>Institut Kanser Negara</v>
          </cell>
          <cell r="D213" t="e">
            <v>#N/A</v>
          </cell>
          <cell r="E213" t="str">
            <v>17-887</v>
          </cell>
          <cell r="F213" t="str">
            <v>Thermometers, Electronic, Infrared, Ear</v>
          </cell>
          <cell r="G213" t="str">
            <v>WJ</v>
          </cell>
          <cell r="H213" t="str">
            <v>MULTIDISCIPLINE WARD 1</v>
          </cell>
          <cell r="I213" t="str">
            <v>09WJ222</v>
          </cell>
          <cell r="J213" t="str">
            <v>TREATMENT</v>
          </cell>
          <cell r="K213" t="str">
            <v>BMED</v>
          </cell>
          <cell r="L213" t="str">
            <v>Normal</v>
          </cell>
          <cell r="M213" t="str">
            <v>Mexico</v>
          </cell>
          <cell r="N213" t="str">
            <v>Thermoscan</v>
          </cell>
          <cell r="O213" t="str">
            <v>Thermoscan Pro 4000</v>
          </cell>
          <cell r="P213" t="str">
            <v>33412K01028</v>
          </cell>
          <cell r="Q213" t="str">
            <v>Not Available</v>
          </cell>
          <cell r="R213" t="str">
            <v>Welch Allyn Inc</v>
          </cell>
          <cell r="S213" t="str">
            <v>Welch Allyn Malaysia Sdn. Bhd</v>
          </cell>
          <cell r="T213" t="str">
            <v>Functioning</v>
          </cell>
          <cell r="U213" t="str">
            <v>Asset</v>
          </cell>
          <cell r="V213">
            <v>540</v>
          </cell>
          <cell r="W213" t="str">
            <v>KEW</v>
          </cell>
          <cell r="X213" t="str">
            <v>01/09/2010</v>
          </cell>
          <cell r="Y213" t="str">
            <v>KEW</v>
          </cell>
          <cell r="Z213" t="str">
            <v>16/08/2013</v>
          </cell>
          <cell r="AA213" t="str">
            <v>15/08/2015</v>
          </cell>
          <cell r="AB213" t="str">
            <v>No</v>
          </cell>
          <cell r="AC213" t="str">
            <v>31/08/2013</v>
          </cell>
          <cell r="AD213" t="str">
            <v>Good</v>
          </cell>
          <cell r="AE213" t="str">
            <v>V1 - Existing / No Claim</v>
          </cell>
          <cell r="AF213">
            <v>42781</v>
          </cell>
          <cell r="AG213">
            <v>9.17</v>
          </cell>
          <cell r="AH213" t="str">
            <v>RI</v>
          </cell>
          <cell r="AI213" t="str">
            <v>Not in contract</v>
          </cell>
          <cell r="AJ213" t="str">
            <v>Not under maintenance</v>
          </cell>
          <cell r="AK213" t="str">
            <v>Repalced new unit (RTM). S/N:31419K41381. B.Braun Thermoscan5</v>
          </cell>
        </row>
        <row r="214">
          <cell r="A214" t="str">
            <v>IKN401408</v>
          </cell>
          <cell r="B214">
            <v>1391</v>
          </cell>
          <cell r="C214" t="str">
            <v>Institut Kanser Negara</v>
          </cell>
          <cell r="D214" t="e">
            <v>#N/A</v>
          </cell>
          <cell r="E214" t="str">
            <v>17-887</v>
          </cell>
          <cell r="F214" t="str">
            <v>Thermometers, Electronic, Infrared, Ear</v>
          </cell>
          <cell r="G214" t="str">
            <v>WJ</v>
          </cell>
          <cell r="H214" t="str">
            <v>MULTIDISCIPLINE WARD 1</v>
          </cell>
          <cell r="I214" t="str">
            <v>09WJ130</v>
          </cell>
          <cell r="J214" t="str">
            <v>TREATMENT/ PROCEDURE</v>
          </cell>
          <cell r="K214" t="str">
            <v>BMED</v>
          </cell>
          <cell r="L214" t="str">
            <v>Normal</v>
          </cell>
          <cell r="M214" t="str">
            <v>Mexico</v>
          </cell>
          <cell r="N214" t="str">
            <v>Thermoscan</v>
          </cell>
          <cell r="O214" t="str">
            <v>Thermoscan Pro 4000</v>
          </cell>
          <cell r="P214" t="str">
            <v>33412K00600</v>
          </cell>
          <cell r="Q214" t="str">
            <v>Not Available</v>
          </cell>
          <cell r="R214" t="str">
            <v>Welch Allyn Inc</v>
          </cell>
          <cell r="S214" t="str">
            <v>Welch Allyn Malaysia Sdn. Bhd</v>
          </cell>
          <cell r="T214" t="str">
            <v>Functioning</v>
          </cell>
          <cell r="U214" t="str">
            <v>Asset</v>
          </cell>
          <cell r="V214">
            <v>540</v>
          </cell>
          <cell r="W214" t="str">
            <v>KEW</v>
          </cell>
          <cell r="X214" t="str">
            <v>01/09/2010</v>
          </cell>
          <cell r="Y214" t="str">
            <v>KEW</v>
          </cell>
          <cell r="Z214" t="str">
            <v>16/08/2013</v>
          </cell>
          <cell r="AA214" t="str">
            <v>15/08/2015</v>
          </cell>
          <cell r="AB214" t="str">
            <v>No</v>
          </cell>
          <cell r="AC214" t="str">
            <v>31/08/2013</v>
          </cell>
          <cell r="AD214" t="str">
            <v>Good</v>
          </cell>
          <cell r="AE214" t="str">
            <v>V1 - Existing / No Claim</v>
          </cell>
          <cell r="AF214">
            <v>42781</v>
          </cell>
          <cell r="AG214">
            <v>9.17</v>
          </cell>
          <cell r="AH214" t="str">
            <v>RI</v>
          </cell>
          <cell r="AI214" t="str">
            <v>Not in contract</v>
          </cell>
          <cell r="AJ214" t="str">
            <v>Not under maintenance</v>
          </cell>
          <cell r="AK214" t="e">
            <v>#N/A</v>
          </cell>
        </row>
        <row r="215">
          <cell r="A215" t="str">
            <v>IKN401409</v>
          </cell>
          <cell r="B215">
            <v>1392</v>
          </cell>
          <cell r="C215" t="str">
            <v>Institut Kanser Negara</v>
          </cell>
          <cell r="D215" t="e">
            <v>#N/A</v>
          </cell>
          <cell r="E215" t="str">
            <v>17-887</v>
          </cell>
          <cell r="F215" t="str">
            <v>Thermometers, Electronic, Infrared, Ear</v>
          </cell>
          <cell r="G215" t="str">
            <v>WJ</v>
          </cell>
          <cell r="H215" t="str">
            <v>MULTIDISCIPLINE WARD 1</v>
          </cell>
          <cell r="I215" t="str">
            <v>09WJ209</v>
          </cell>
          <cell r="J215" t="str">
            <v>NURSE STATION</v>
          </cell>
          <cell r="K215" t="str">
            <v>BMED</v>
          </cell>
          <cell r="L215" t="str">
            <v>Normal</v>
          </cell>
          <cell r="M215" t="str">
            <v>Mexico</v>
          </cell>
          <cell r="N215" t="str">
            <v>Thermoscan</v>
          </cell>
          <cell r="O215" t="str">
            <v>Thermoscan Pro 4000</v>
          </cell>
          <cell r="P215" t="str">
            <v>33312K08739</v>
          </cell>
          <cell r="Q215" t="str">
            <v>Not Available</v>
          </cell>
          <cell r="R215" t="str">
            <v>Welch Allyn Inc</v>
          </cell>
          <cell r="S215" t="str">
            <v>Welch Allyn Malaysia Sdn. Bhd</v>
          </cell>
          <cell r="T215" t="str">
            <v>Functioning</v>
          </cell>
          <cell r="U215" t="str">
            <v>Asset</v>
          </cell>
          <cell r="V215">
            <v>540</v>
          </cell>
          <cell r="W215" t="str">
            <v>KEW</v>
          </cell>
          <cell r="X215" t="str">
            <v>01/09/2010</v>
          </cell>
          <cell r="Y215" t="str">
            <v>KEW</v>
          </cell>
          <cell r="Z215" t="str">
            <v>16/08/2013</v>
          </cell>
          <cell r="AA215" t="str">
            <v>15/08/2015</v>
          </cell>
          <cell r="AB215" t="str">
            <v>No</v>
          </cell>
          <cell r="AC215" t="str">
            <v>31/08/2013</v>
          </cell>
          <cell r="AD215" t="str">
            <v>Good</v>
          </cell>
          <cell r="AE215" t="str">
            <v>V1 - Existing / No Claim</v>
          </cell>
          <cell r="AF215">
            <v>42781</v>
          </cell>
          <cell r="AG215">
            <v>9.17</v>
          </cell>
          <cell r="AH215" t="str">
            <v>RI</v>
          </cell>
          <cell r="AI215" t="str">
            <v>Not in contract</v>
          </cell>
          <cell r="AJ215" t="str">
            <v>Not under maintenance</v>
          </cell>
          <cell r="AK215" t="e">
            <v>#N/A</v>
          </cell>
        </row>
        <row r="216">
          <cell r="A216" t="str">
            <v>IKN401410</v>
          </cell>
          <cell r="B216">
            <v>1393</v>
          </cell>
          <cell r="C216" t="str">
            <v>Institut Kanser Negara</v>
          </cell>
          <cell r="D216" t="e">
            <v>#N/A</v>
          </cell>
          <cell r="E216" t="str">
            <v>17-887</v>
          </cell>
          <cell r="F216" t="str">
            <v>Thermometers, Electronic, Infrared, Ear</v>
          </cell>
          <cell r="G216" t="str">
            <v>WJ</v>
          </cell>
          <cell r="H216" t="str">
            <v>MULTIDISCIPLINE WARD 1</v>
          </cell>
          <cell r="I216" t="str">
            <v>09WJ136</v>
          </cell>
          <cell r="J216" t="str">
            <v>NURSE STATION</v>
          </cell>
          <cell r="K216" t="str">
            <v>BMED</v>
          </cell>
          <cell r="L216" t="str">
            <v>Normal</v>
          </cell>
          <cell r="M216" t="str">
            <v>Mexico</v>
          </cell>
          <cell r="N216" t="str">
            <v>Thermoscan</v>
          </cell>
          <cell r="O216" t="str">
            <v>Thermoscan Pro 4000</v>
          </cell>
          <cell r="P216" t="str">
            <v>33412K00425</v>
          </cell>
          <cell r="Q216" t="str">
            <v>Not Available</v>
          </cell>
          <cell r="R216" t="str">
            <v>Welch Allyn Inc</v>
          </cell>
          <cell r="S216" t="str">
            <v>Welch Allyn Malaysia Sdn. Bhd</v>
          </cell>
          <cell r="T216" t="str">
            <v>Functioning</v>
          </cell>
          <cell r="U216" t="str">
            <v>Asset</v>
          </cell>
          <cell r="V216">
            <v>540</v>
          </cell>
          <cell r="W216" t="str">
            <v>KEW</v>
          </cell>
          <cell r="X216" t="str">
            <v>01/09/2010</v>
          </cell>
          <cell r="Y216" t="str">
            <v>KEW</v>
          </cell>
          <cell r="Z216" t="str">
            <v>16/08/2013</v>
          </cell>
          <cell r="AA216" t="str">
            <v>15/08/2015</v>
          </cell>
          <cell r="AB216" t="str">
            <v>No</v>
          </cell>
          <cell r="AC216" t="str">
            <v>31/08/2013</v>
          </cell>
          <cell r="AD216" t="str">
            <v>Good</v>
          </cell>
          <cell r="AE216" t="str">
            <v>V1 - Existing / No Claim</v>
          </cell>
          <cell r="AF216">
            <v>42781</v>
          </cell>
          <cell r="AG216">
            <v>9.17</v>
          </cell>
          <cell r="AH216" t="str">
            <v>RI</v>
          </cell>
          <cell r="AI216" t="str">
            <v>Not in contract</v>
          </cell>
          <cell r="AJ216" t="str">
            <v>Not under maintenance</v>
          </cell>
          <cell r="AK216" t="e">
            <v>#N/A</v>
          </cell>
        </row>
        <row r="217">
          <cell r="A217" t="str">
            <v>IKN401411</v>
          </cell>
          <cell r="B217">
            <v>1394</v>
          </cell>
          <cell r="C217" t="str">
            <v>Institut Kanser Negara</v>
          </cell>
          <cell r="D217" t="e">
            <v>#N/A</v>
          </cell>
          <cell r="E217" t="str">
            <v>17-887</v>
          </cell>
          <cell r="F217" t="str">
            <v>Thermometers, Electronic, Infrared, Ear</v>
          </cell>
          <cell r="G217" t="str">
            <v>WJ</v>
          </cell>
          <cell r="H217" t="str">
            <v>MULTIDISCIPLINE WARD 1</v>
          </cell>
          <cell r="I217" t="str">
            <v>09WJ136</v>
          </cell>
          <cell r="J217" t="str">
            <v>NURSE STATION</v>
          </cell>
          <cell r="K217" t="str">
            <v>BMED</v>
          </cell>
          <cell r="L217" t="str">
            <v>Normal</v>
          </cell>
          <cell r="M217" t="str">
            <v>Mexico</v>
          </cell>
          <cell r="N217" t="str">
            <v>Thermoscan</v>
          </cell>
          <cell r="O217" t="str">
            <v>Thermoscan Pro 4000</v>
          </cell>
          <cell r="P217" t="str">
            <v>33412K00675</v>
          </cell>
          <cell r="Q217" t="str">
            <v>Not Available</v>
          </cell>
          <cell r="R217" t="str">
            <v>Welch Allyn Inc</v>
          </cell>
          <cell r="S217" t="str">
            <v>Welch Allyn Malaysia Sdn. Bhd</v>
          </cell>
          <cell r="T217" t="str">
            <v>Functioning</v>
          </cell>
          <cell r="U217" t="str">
            <v>Asset</v>
          </cell>
          <cell r="V217">
            <v>540</v>
          </cell>
          <cell r="W217" t="str">
            <v>KEW</v>
          </cell>
          <cell r="X217" t="str">
            <v>01/09/2010</v>
          </cell>
          <cell r="Y217" t="str">
            <v>KEW</v>
          </cell>
          <cell r="Z217" t="str">
            <v>16/08/2013</v>
          </cell>
          <cell r="AA217" t="str">
            <v>15/08/2015</v>
          </cell>
          <cell r="AB217" t="str">
            <v>No</v>
          </cell>
          <cell r="AC217" t="str">
            <v>31/08/2013</v>
          </cell>
          <cell r="AD217" t="str">
            <v>Good</v>
          </cell>
          <cell r="AE217" t="str">
            <v>V1 - Existing / No Claim</v>
          </cell>
          <cell r="AF217">
            <v>42781</v>
          </cell>
          <cell r="AG217">
            <v>9.17</v>
          </cell>
          <cell r="AH217" t="str">
            <v>RI</v>
          </cell>
          <cell r="AI217" t="str">
            <v>Not in contract</v>
          </cell>
          <cell r="AJ217" t="str">
            <v>Not under maintenance</v>
          </cell>
          <cell r="AK217" t="e">
            <v>#N/A</v>
          </cell>
        </row>
        <row r="218">
          <cell r="A218" t="str">
            <v>IKN401414</v>
          </cell>
          <cell r="B218">
            <v>1396</v>
          </cell>
          <cell r="C218" t="str">
            <v>Institut Kanser Negara</v>
          </cell>
          <cell r="D218" t="e">
            <v>#N/A</v>
          </cell>
          <cell r="E218" t="str">
            <v>17-887</v>
          </cell>
          <cell r="F218" t="str">
            <v>Thermometers, Electronic, Infrared, Ear</v>
          </cell>
          <cell r="G218" t="str">
            <v>WH</v>
          </cell>
          <cell r="H218" t="str">
            <v>RT/ONCO WARD 2 (M)</v>
          </cell>
          <cell r="I218" t="str">
            <v>08WH143</v>
          </cell>
          <cell r="J218" t="str">
            <v>NURSE STATION</v>
          </cell>
          <cell r="K218" t="str">
            <v>BMED</v>
          </cell>
          <cell r="L218" t="str">
            <v>Normal</v>
          </cell>
          <cell r="M218" t="str">
            <v>Mexico</v>
          </cell>
          <cell r="N218" t="str">
            <v>Thermoscan</v>
          </cell>
          <cell r="O218" t="str">
            <v>Thermoscan Pro 4000</v>
          </cell>
          <cell r="P218" t="str">
            <v>33312K08851</v>
          </cell>
          <cell r="Q218" t="str">
            <v>Not Available</v>
          </cell>
          <cell r="R218" t="str">
            <v>Welch Allyn Inc</v>
          </cell>
          <cell r="S218" t="str">
            <v>Welch Allyn Malaysia Sdn. Bhd</v>
          </cell>
          <cell r="T218" t="str">
            <v>Functioning</v>
          </cell>
          <cell r="U218" t="str">
            <v>Asset</v>
          </cell>
          <cell r="V218">
            <v>540</v>
          </cell>
          <cell r="W218" t="str">
            <v>KEW</v>
          </cell>
          <cell r="X218" t="str">
            <v>01/09/2010</v>
          </cell>
          <cell r="Y218" t="str">
            <v>KEW</v>
          </cell>
          <cell r="Z218" t="str">
            <v>16/08/2013</v>
          </cell>
          <cell r="AA218" t="str">
            <v>15/08/2015</v>
          </cell>
          <cell r="AB218" t="str">
            <v>No</v>
          </cell>
          <cell r="AC218" t="str">
            <v>31/08/2013</v>
          </cell>
          <cell r="AD218" t="str">
            <v>Good</v>
          </cell>
          <cell r="AE218" t="str">
            <v>V1 - Existing / No Claim</v>
          </cell>
          <cell r="AF218">
            <v>42776</v>
          </cell>
          <cell r="AG218">
            <v>9.17</v>
          </cell>
          <cell r="AH218" t="str">
            <v>RI</v>
          </cell>
          <cell r="AI218" t="str">
            <v>Not in contract</v>
          </cell>
          <cell r="AJ218" t="str">
            <v>Not under maintenance</v>
          </cell>
          <cell r="AK218" t="e">
            <v>#N/A</v>
          </cell>
        </row>
        <row r="219">
          <cell r="A219" t="str">
            <v>IKN401417</v>
          </cell>
          <cell r="B219">
            <v>1398</v>
          </cell>
          <cell r="C219" t="str">
            <v>Institut Kanser Negara</v>
          </cell>
          <cell r="D219" t="e">
            <v>#N/A</v>
          </cell>
          <cell r="E219" t="str">
            <v>17-887</v>
          </cell>
          <cell r="F219" t="str">
            <v>Thermometers, Electronic, Infrared, Ear</v>
          </cell>
          <cell r="G219" t="str">
            <v>WH</v>
          </cell>
          <cell r="H219" t="str">
            <v>RT/ONCO WARD 2 (M)</v>
          </cell>
          <cell r="I219" t="str">
            <v>08WH143</v>
          </cell>
          <cell r="J219" t="str">
            <v>NURSE STATION</v>
          </cell>
          <cell r="K219" t="str">
            <v>BMED</v>
          </cell>
          <cell r="L219" t="str">
            <v>Normal</v>
          </cell>
          <cell r="M219" t="str">
            <v>Mexico</v>
          </cell>
          <cell r="N219" t="str">
            <v>Thermoscan</v>
          </cell>
          <cell r="O219" t="str">
            <v>Thermoscan Pro 4000</v>
          </cell>
          <cell r="P219" t="str">
            <v>33412K00407</v>
          </cell>
          <cell r="Q219" t="str">
            <v>Not Available</v>
          </cell>
          <cell r="R219" t="str">
            <v>Welch Allyn Inc</v>
          </cell>
          <cell r="S219" t="str">
            <v>Welch Allyn Malaysia Sdn. Bhd</v>
          </cell>
          <cell r="T219" t="str">
            <v>Functioning</v>
          </cell>
          <cell r="U219" t="str">
            <v>Asset</v>
          </cell>
          <cell r="V219">
            <v>540</v>
          </cell>
          <cell r="W219" t="str">
            <v>KEW</v>
          </cell>
          <cell r="X219" t="str">
            <v>01/09/2010</v>
          </cell>
          <cell r="Y219" t="str">
            <v>KEW</v>
          </cell>
          <cell r="Z219" t="str">
            <v>16/08/2013</v>
          </cell>
          <cell r="AA219" t="str">
            <v>15/08/2015</v>
          </cell>
          <cell r="AB219" t="str">
            <v>No</v>
          </cell>
          <cell r="AC219" t="str">
            <v>31/08/2013</v>
          </cell>
          <cell r="AD219" t="str">
            <v>Good</v>
          </cell>
          <cell r="AE219" t="str">
            <v>V1 - Existing / No Claim</v>
          </cell>
          <cell r="AF219">
            <v>42780</v>
          </cell>
          <cell r="AG219">
            <v>9.17</v>
          </cell>
          <cell r="AH219" t="str">
            <v>RI</v>
          </cell>
          <cell r="AI219" t="str">
            <v>Not in contract</v>
          </cell>
          <cell r="AJ219" t="str">
            <v>Not under maintenance</v>
          </cell>
          <cell r="AK219" t="e">
            <v>#N/A</v>
          </cell>
        </row>
        <row r="220">
          <cell r="A220" t="str">
            <v>IKN401418</v>
          </cell>
          <cell r="B220">
            <v>1399</v>
          </cell>
          <cell r="C220" t="str">
            <v>Institut Kanser Negara</v>
          </cell>
          <cell r="D220" t="str">
            <v>KKM/IKN/H/13/3988</v>
          </cell>
          <cell r="E220" t="str">
            <v>17-887</v>
          </cell>
          <cell r="F220" t="str">
            <v>Thermometers, Electronic, Infrared, Ear</v>
          </cell>
          <cell r="G220" t="str">
            <v>WG</v>
          </cell>
          <cell r="H220" t="str">
            <v>RT/ONCO WARD 1 (M)</v>
          </cell>
          <cell r="I220" t="str">
            <v>08WG143</v>
          </cell>
          <cell r="J220" t="str">
            <v>NURSE STATION</v>
          </cell>
          <cell r="K220" t="str">
            <v>BMED</v>
          </cell>
          <cell r="L220" t="str">
            <v>Normal</v>
          </cell>
          <cell r="M220" t="str">
            <v>Mexico</v>
          </cell>
          <cell r="N220" t="str">
            <v>Thermoscan</v>
          </cell>
          <cell r="O220" t="str">
            <v>Thermoscan Pro 4000</v>
          </cell>
          <cell r="P220" t="str">
            <v>33412K00412</v>
          </cell>
          <cell r="Q220" t="str">
            <v>Not Available</v>
          </cell>
          <cell r="R220" t="str">
            <v>Welch Allyn Inc</v>
          </cell>
          <cell r="S220" t="str">
            <v>Welch Allyn Malaysia Sdn. Bhd</v>
          </cell>
          <cell r="T220" t="str">
            <v>Functioning</v>
          </cell>
          <cell r="U220" t="str">
            <v>Asset</v>
          </cell>
          <cell r="V220">
            <v>540</v>
          </cell>
          <cell r="W220" t="str">
            <v>KEW</v>
          </cell>
          <cell r="X220" t="str">
            <v>01/09/2010</v>
          </cell>
          <cell r="Y220" t="str">
            <v>KEW</v>
          </cell>
          <cell r="Z220" t="str">
            <v>16/08/2013</v>
          </cell>
          <cell r="AA220" t="str">
            <v>15/08/2015</v>
          </cell>
          <cell r="AB220" t="str">
            <v>No</v>
          </cell>
          <cell r="AC220" t="str">
            <v>31/08/2013</v>
          </cell>
          <cell r="AD220" t="str">
            <v>Good</v>
          </cell>
          <cell r="AE220" t="str">
            <v>V1 - Existing / No Claim</v>
          </cell>
          <cell r="AF220">
            <v>42780</v>
          </cell>
          <cell r="AG220">
            <v>9.17</v>
          </cell>
          <cell r="AH220" t="str">
            <v>RI</v>
          </cell>
          <cell r="AI220" t="str">
            <v>Strands</v>
          </cell>
          <cell r="AJ220" t="str">
            <v>Not under maintenance</v>
          </cell>
        </row>
        <row r="221">
          <cell r="A221" t="str">
            <v>IKN401423</v>
          </cell>
          <cell r="B221">
            <v>1402</v>
          </cell>
          <cell r="C221" t="str">
            <v>Institut Kanser Negara</v>
          </cell>
          <cell r="D221" t="str">
            <v>KKM/IKN/I/13/5383</v>
          </cell>
          <cell r="E221" t="str">
            <v>17-887</v>
          </cell>
          <cell r="F221" t="str">
            <v>Thermometers, Electronic, Infrared, Ear</v>
          </cell>
          <cell r="G221" t="str">
            <v>WF</v>
          </cell>
          <cell r="H221" t="str">
            <v>RT/ONCO WARD 2 (F)</v>
          </cell>
          <cell r="I221" t="str">
            <v>07WF143</v>
          </cell>
          <cell r="J221" t="str">
            <v>NURSE STATION</v>
          </cell>
          <cell r="K221" t="str">
            <v>BMED</v>
          </cell>
          <cell r="L221" t="str">
            <v>Normal</v>
          </cell>
          <cell r="M221" t="str">
            <v>Mexico</v>
          </cell>
          <cell r="N221" t="str">
            <v>Thermoscan</v>
          </cell>
          <cell r="O221" t="str">
            <v>Thermoscan Pro 4000</v>
          </cell>
          <cell r="P221" t="str">
            <v>33412K01109</v>
          </cell>
          <cell r="Q221" t="str">
            <v>Not Available</v>
          </cell>
          <cell r="R221" t="str">
            <v>Welch Allyn Inc</v>
          </cell>
          <cell r="S221" t="str">
            <v>Welch Allyn Malaysia Sdn. Bhd</v>
          </cell>
          <cell r="T221" t="str">
            <v>Functioning</v>
          </cell>
          <cell r="U221" t="str">
            <v>Asset</v>
          </cell>
          <cell r="V221">
            <v>540</v>
          </cell>
          <cell r="W221" t="str">
            <v>KEW</v>
          </cell>
          <cell r="X221" t="str">
            <v>01/09/2010</v>
          </cell>
          <cell r="Y221" t="str">
            <v>KEW</v>
          </cell>
          <cell r="Z221" t="str">
            <v>16/08/2013</v>
          </cell>
          <cell r="AA221" t="str">
            <v>15/08/2015</v>
          </cell>
          <cell r="AB221" t="str">
            <v>No</v>
          </cell>
          <cell r="AC221" t="str">
            <v>31/08/2013</v>
          </cell>
          <cell r="AD221" t="str">
            <v>Good</v>
          </cell>
          <cell r="AE221" t="str">
            <v>V1 - Existing / No Claim</v>
          </cell>
          <cell r="AF221">
            <v>42780</v>
          </cell>
          <cell r="AG221">
            <v>9.17</v>
          </cell>
          <cell r="AH221" t="str">
            <v>RI</v>
          </cell>
          <cell r="AI221" t="str">
            <v>Strands</v>
          </cell>
          <cell r="AJ221" t="str">
            <v>Not under maintenance</v>
          </cell>
        </row>
        <row r="222">
          <cell r="A222" t="str">
            <v>IKN401424</v>
          </cell>
          <cell r="B222">
            <v>1403</v>
          </cell>
          <cell r="C222" t="str">
            <v>Institut Kanser Negara</v>
          </cell>
          <cell r="D222" t="str">
            <v>KKM/IKN/I/13/5384</v>
          </cell>
          <cell r="E222" t="str">
            <v>17-887</v>
          </cell>
          <cell r="F222" t="str">
            <v>Thermometers, Electronic, Infrared, Ear</v>
          </cell>
          <cell r="G222" t="str">
            <v>WF</v>
          </cell>
          <cell r="H222" t="str">
            <v>RT/ONCO WARD 2 (F)</v>
          </cell>
          <cell r="I222" t="str">
            <v>07WF143</v>
          </cell>
          <cell r="J222" t="str">
            <v>NURSE STATION</v>
          </cell>
          <cell r="K222" t="str">
            <v>BMED</v>
          </cell>
          <cell r="L222" t="str">
            <v>Normal</v>
          </cell>
          <cell r="M222" t="str">
            <v>Mexico</v>
          </cell>
          <cell r="N222" t="str">
            <v>Thermoscan</v>
          </cell>
          <cell r="O222" t="str">
            <v>Thermoscan Pro 4000</v>
          </cell>
          <cell r="P222" t="str">
            <v>33312K06491</v>
          </cell>
          <cell r="Q222" t="str">
            <v>Not Available</v>
          </cell>
          <cell r="R222" t="str">
            <v>Welch Allyn Inc</v>
          </cell>
          <cell r="S222" t="str">
            <v>Welch Allyn Malaysia Sdn. Bhd</v>
          </cell>
          <cell r="T222" t="str">
            <v>Functioning</v>
          </cell>
          <cell r="U222" t="str">
            <v>Asset</v>
          </cell>
          <cell r="V222">
            <v>540</v>
          </cell>
          <cell r="W222" t="str">
            <v>KEW</v>
          </cell>
          <cell r="X222" t="str">
            <v>01/09/2010</v>
          </cell>
          <cell r="Y222" t="str">
            <v>KEW</v>
          </cell>
          <cell r="Z222" t="str">
            <v>16/08/2013</v>
          </cell>
          <cell r="AA222" t="str">
            <v>15/08/2015</v>
          </cell>
          <cell r="AB222" t="str">
            <v>No</v>
          </cell>
          <cell r="AC222" t="str">
            <v>31/08/2013</v>
          </cell>
          <cell r="AD222" t="str">
            <v>Good</v>
          </cell>
          <cell r="AE222" t="str">
            <v>V1 - Existing / No Claim</v>
          </cell>
          <cell r="AF222">
            <v>42780</v>
          </cell>
          <cell r="AG222">
            <v>9.17</v>
          </cell>
          <cell r="AH222" t="str">
            <v>RI</v>
          </cell>
          <cell r="AI222" t="str">
            <v>Strands</v>
          </cell>
          <cell r="AJ222" t="str">
            <v>Not under maintenance</v>
          </cell>
        </row>
        <row r="223">
          <cell r="A223" t="str">
            <v>IKN401425</v>
          </cell>
          <cell r="B223">
            <v>1404</v>
          </cell>
          <cell r="C223" t="str">
            <v>Institut Kanser Negara</v>
          </cell>
          <cell r="D223" t="str">
            <v>KKM/IKN/H/13/3519</v>
          </cell>
          <cell r="E223" t="str">
            <v>17-887</v>
          </cell>
          <cell r="F223" t="str">
            <v>Thermometers, Electronic, Infrared, Ear</v>
          </cell>
          <cell r="G223" t="str">
            <v>WE</v>
          </cell>
          <cell r="H223" t="str">
            <v>RT/ONCO WARD 1 (F)</v>
          </cell>
          <cell r="I223" t="str">
            <v>07WE143</v>
          </cell>
          <cell r="J223" t="str">
            <v>NURSE STATION</v>
          </cell>
          <cell r="K223" t="str">
            <v>BMED</v>
          </cell>
          <cell r="L223" t="str">
            <v>Normal</v>
          </cell>
          <cell r="M223" t="str">
            <v>Mexico</v>
          </cell>
          <cell r="N223" t="str">
            <v>Thermoscan</v>
          </cell>
          <cell r="O223" t="str">
            <v>Thermoscan Pro 4000</v>
          </cell>
          <cell r="P223" t="str">
            <v>33412K05053</v>
          </cell>
          <cell r="Q223" t="str">
            <v>Not Available</v>
          </cell>
          <cell r="R223" t="str">
            <v>Welch Allyn Inc</v>
          </cell>
          <cell r="S223" t="str">
            <v>Welch Allyn Malaysia Sdn. Bhd</v>
          </cell>
          <cell r="T223" t="str">
            <v>Functioning</v>
          </cell>
          <cell r="U223" t="str">
            <v>Asset</v>
          </cell>
          <cell r="V223">
            <v>540</v>
          </cell>
          <cell r="W223" t="str">
            <v>KEW</v>
          </cell>
          <cell r="X223" t="str">
            <v>01/09/2010</v>
          </cell>
          <cell r="Y223" t="str">
            <v>KEW</v>
          </cell>
          <cell r="Z223" t="str">
            <v>16/08/2013</v>
          </cell>
          <cell r="AA223" t="str">
            <v>15/08/2015</v>
          </cell>
          <cell r="AB223" t="str">
            <v>No</v>
          </cell>
          <cell r="AC223" t="str">
            <v>31/08/2013</v>
          </cell>
          <cell r="AD223" t="str">
            <v>Good</v>
          </cell>
          <cell r="AE223" t="str">
            <v>V1 - Existing / No Claim</v>
          </cell>
          <cell r="AF223">
            <v>42780</v>
          </cell>
          <cell r="AG223">
            <v>9.17</v>
          </cell>
          <cell r="AH223" t="str">
            <v>RI</v>
          </cell>
          <cell r="AI223" t="str">
            <v>Strands</v>
          </cell>
          <cell r="AJ223" t="str">
            <v>Not under maintenance</v>
          </cell>
        </row>
        <row r="224">
          <cell r="A224" t="str">
            <v>IKN401426</v>
          </cell>
          <cell r="B224">
            <v>1405</v>
          </cell>
          <cell r="C224" t="str">
            <v>Institut Kanser Negara</v>
          </cell>
          <cell r="D224" t="str">
            <v>KKM/IKN/H/13/3520</v>
          </cell>
          <cell r="E224" t="str">
            <v>17-887</v>
          </cell>
          <cell r="F224" t="str">
            <v>Thermometers, Electronic, Infrared, Ear</v>
          </cell>
          <cell r="G224" t="str">
            <v>WE</v>
          </cell>
          <cell r="H224" t="str">
            <v>RT/ONCO WARD 1 (F)</v>
          </cell>
          <cell r="I224" t="str">
            <v>07WE143</v>
          </cell>
          <cell r="J224" t="str">
            <v>NURSE STATION</v>
          </cell>
          <cell r="K224" t="str">
            <v>BMED</v>
          </cell>
          <cell r="L224" t="str">
            <v>Normal</v>
          </cell>
          <cell r="M224" t="str">
            <v>Mexico</v>
          </cell>
          <cell r="N224" t="str">
            <v>Thermoscan</v>
          </cell>
          <cell r="O224" t="str">
            <v>Thermoscan Pro 4000</v>
          </cell>
          <cell r="P224" t="str">
            <v>33412K01051</v>
          </cell>
          <cell r="Q224" t="str">
            <v>Not Available</v>
          </cell>
          <cell r="R224" t="str">
            <v>Welch Allyn Inc</v>
          </cell>
          <cell r="S224" t="str">
            <v>Welch Allyn Malaysia Sdn. Bhd</v>
          </cell>
          <cell r="T224" t="str">
            <v>Functioning</v>
          </cell>
          <cell r="U224" t="str">
            <v>Asset</v>
          </cell>
          <cell r="V224">
            <v>540</v>
          </cell>
          <cell r="W224" t="str">
            <v>KEW</v>
          </cell>
          <cell r="X224" t="str">
            <v>01/09/2010</v>
          </cell>
          <cell r="Y224" t="str">
            <v>KEW</v>
          </cell>
          <cell r="Z224" t="str">
            <v>16/08/2013</v>
          </cell>
          <cell r="AA224" t="str">
            <v>15/08/2015</v>
          </cell>
          <cell r="AB224" t="str">
            <v>No</v>
          </cell>
          <cell r="AC224" t="str">
            <v>31/08/2013</v>
          </cell>
          <cell r="AD224" t="str">
            <v>Good</v>
          </cell>
          <cell r="AE224" t="str">
            <v>V1 - Existing / No Claim</v>
          </cell>
          <cell r="AF224">
            <v>42780</v>
          </cell>
          <cell r="AG224">
            <v>9.17</v>
          </cell>
          <cell r="AH224" t="str">
            <v>RI</v>
          </cell>
          <cell r="AI224" t="str">
            <v>Strands</v>
          </cell>
          <cell r="AJ224" t="str">
            <v>Not under maintenance</v>
          </cell>
        </row>
        <row r="225">
          <cell r="A225" t="str">
            <v>IKN401427</v>
          </cell>
          <cell r="B225">
            <v>1406</v>
          </cell>
          <cell r="C225" t="str">
            <v>Institut Kanser Negara</v>
          </cell>
          <cell r="D225" t="e">
            <v>#N/A</v>
          </cell>
          <cell r="E225" t="str">
            <v>17-887</v>
          </cell>
          <cell r="F225" t="str">
            <v>Thermometers, Electronic, Infrared, Ear</v>
          </cell>
          <cell r="G225" t="str">
            <v>WD</v>
          </cell>
          <cell r="H225" t="str">
            <v>RT/ONCO PAED/ADOLESCENT WARD</v>
          </cell>
          <cell r="I225" t="str">
            <v>06WD146</v>
          </cell>
          <cell r="J225" t="str">
            <v>NURSE STATION</v>
          </cell>
          <cell r="K225" t="str">
            <v>BMED</v>
          </cell>
          <cell r="L225" t="str">
            <v>Normal</v>
          </cell>
          <cell r="M225" t="str">
            <v>Mexico</v>
          </cell>
          <cell r="N225" t="str">
            <v>Thermoscan</v>
          </cell>
          <cell r="O225" t="str">
            <v>Thermoscan Pro 4000</v>
          </cell>
          <cell r="P225" t="str">
            <v>33412K00406</v>
          </cell>
          <cell r="Q225" t="str">
            <v>Not Available</v>
          </cell>
          <cell r="R225" t="str">
            <v>Welch Allyn Inc</v>
          </cell>
          <cell r="S225" t="str">
            <v>Welch Allyn Malaysia Sdn. Bhd</v>
          </cell>
          <cell r="T225" t="str">
            <v>Functioning</v>
          </cell>
          <cell r="U225" t="str">
            <v>Asset</v>
          </cell>
          <cell r="V225">
            <v>540</v>
          </cell>
          <cell r="W225" t="str">
            <v>KEW</v>
          </cell>
          <cell r="X225" t="str">
            <v>01/09/2010</v>
          </cell>
          <cell r="Y225" t="str">
            <v>KEW</v>
          </cell>
          <cell r="Z225" t="str">
            <v>16/08/2013</v>
          </cell>
          <cell r="AA225" t="str">
            <v>15/08/2015</v>
          </cell>
          <cell r="AB225" t="str">
            <v>No</v>
          </cell>
          <cell r="AC225" t="str">
            <v>31/08/2013</v>
          </cell>
          <cell r="AD225" t="str">
            <v>Good</v>
          </cell>
          <cell r="AE225" t="str">
            <v>V1 - Existing / No Claim</v>
          </cell>
          <cell r="AF225">
            <v>42780</v>
          </cell>
          <cell r="AG225">
            <v>9.17</v>
          </cell>
          <cell r="AH225" t="str">
            <v>RI</v>
          </cell>
          <cell r="AI225" t="str">
            <v>Not in contract</v>
          </cell>
          <cell r="AJ225" t="str">
            <v>Not under maintenance</v>
          </cell>
          <cell r="AK225" t="e">
            <v>#N/A</v>
          </cell>
        </row>
        <row r="226">
          <cell r="A226" t="str">
            <v>IKN401428</v>
          </cell>
          <cell r="B226">
            <v>1407</v>
          </cell>
          <cell r="C226" t="str">
            <v>Institut Kanser Negara</v>
          </cell>
          <cell r="D226" t="e">
            <v>#N/A</v>
          </cell>
          <cell r="E226" t="str">
            <v>17-887</v>
          </cell>
          <cell r="F226" t="str">
            <v>Thermometers, Electronic, Infrared, Ear</v>
          </cell>
          <cell r="G226" t="str">
            <v>WD</v>
          </cell>
          <cell r="H226" t="str">
            <v>RT/ONCO PAED/ADOLESCENT WARD</v>
          </cell>
          <cell r="I226" t="str">
            <v>06WD124</v>
          </cell>
          <cell r="J226" t="str">
            <v>TREATMENT / PROCEDURE</v>
          </cell>
          <cell r="K226" t="str">
            <v>BMED</v>
          </cell>
          <cell r="L226" t="str">
            <v>Normal</v>
          </cell>
          <cell r="M226" t="str">
            <v>Mexico</v>
          </cell>
          <cell r="N226" t="str">
            <v>Thermoscan</v>
          </cell>
          <cell r="O226" t="str">
            <v>Thermoscan Pro 4000</v>
          </cell>
          <cell r="P226" t="str">
            <v>33412K01815</v>
          </cell>
          <cell r="Q226" t="str">
            <v>Not Available</v>
          </cell>
          <cell r="R226" t="str">
            <v>Welch Allyn Inc</v>
          </cell>
          <cell r="S226" t="str">
            <v>Welch Allyn Malaysia Sdn. Bhd</v>
          </cell>
          <cell r="T226" t="str">
            <v>Functioning</v>
          </cell>
          <cell r="U226" t="str">
            <v>Asset</v>
          </cell>
          <cell r="V226">
            <v>540</v>
          </cell>
          <cell r="W226" t="str">
            <v>KEW</v>
          </cell>
          <cell r="X226" t="str">
            <v>01/09/2010</v>
          </cell>
          <cell r="Y226" t="str">
            <v>KEW</v>
          </cell>
          <cell r="Z226" t="str">
            <v>16/08/2013</v>
          </cell>
          <cell r="AA226" t="str">
            <v>15/08/2015</v>
          </cell>
          <cell r="AB226" t="str">
            <v>No</v>
          </cell>
          <cell r="AC226" t="str">
            <v>31/08/2013</v>
          </cell>
          <cell r="AD226" t="str">
            <v>Good</v>
          </cell>
          <cell r="AE226" t="str">
            <v>V1 - Existing / No Claim</v>
          </cell>
          <cell r="AF226">
            <v>42780</v>
          </cell>
          <cell r="AG226">
            <v>9.17</v>
          </cell>
          <cell r="AH226" t="str">
            <v>RI</v>
          </cell>
          <cell r="AI226" t="str">
            <v>Not in contract</v>
          </cell>
          <cell r="AJ226" t="str">
            <v>Not under maintenance</v>
          </cell>
          <cell r="AK226" t="e">
            <v>#N/A</v>
          </cell>
        </row>
        <row r="227">
          <cell r="A227" t="str">
            <v>IKN401429</v>
          </cell>
          <cell r="B227">
            <v>1408</v>
          </cell>
          <cell r="C227" t="str">
            <v>Institut Kanser Negara</v>
          </cell>
          <cell r="D227" t="e">
            <v>#N/A</v>
          </cell>
          <cell r="E227" t="str">
            <v>17-887</v>
          </cell>
          <cell r="F227" t="str">
            <v>Thermometers, Electronic, Infrared, Ear</v>
          </cell>
          <cell r="G227" t="str">
            <v>WD</v>
          </cell>
          <cell r="H227" t="str">
            <v>RT/ONCO PAED/ADOLESCENT WARD</v>
          </cell>
          <cell r="I227" t="str">
            <v>06WD146</v>
          </cell>
          <cell r="J227" t="str">
            <v>NURSE STATION</v>
          </cell>
          <cell r="K227" t="str">
            <v>BMED</v>
          </cell>
          <cell r="L227" t="str">
            <v>Normal</v>
          </cell>
          <cell r="M227" t="str">
            <v>Mexico</v>
          </cell>
          <cell r="N227" t="str">
            <v>Thermoscan</v>
          </cell>
          <cell r="O227" t="str">
            <v>Thermoscan Pro 4000</v>
          </cell>
          <cell r="P227" t="str">
            <v>33412K00260</v>
          </cell>
          <cell r="Q227" t="str">
            <v>Not Available</v>
          </cell>
          <cell r="R227" t="str">
            <v>Welch Allyn Inc</v>
          </cell>
          <cell r="S227" t="str">
            <v>Welch Allyn Malaysia Sdn. Bhd</v>
          </cell>
          <cell r="T227" t="str">
            <v>Functioning</v>
          </cell>
          <cell r="U227" t="str">
            <v>Asset</v>
          </cell>
          <cell r="V227">
            <v>540</v>
          </cell>
          <cell r="W227" t="str">
            <v>Replacement</v>
          </cell>
          <cell r="X227" t="str">
            <v>01/09/2010</v>
          </cell>
          <cell r="Y227" t="str">
            <v>KEW</v>
          </cell>
          <cell r="Z227" t="str">
            <v>16/08/2013</v>
          </cell>
          <cell r="AA227" t="str">
            <v>15/08/2015</v>
          </cell>
          <cell r="AB227" t="str">
            <v>No</v>
          </cell>
          <cell r="AC227" t="str">
            <v>31/08/2013</v>
          </cell>
          <cell r="AD227" t="str">
            <v>Good</v>
          </cell>
          <cell r="AE227" t="str">
            <v>V1 - Existing / No Claim</v>
          </cell>
          <cell r="AF227">
            <v>42780</v>
          </cell>
          <cell r="AG227">
            <v>9.17</v>
          </cell>
          <cell r="AH227" t="str">
            <v>RI</v>
          </cell>
          <cell r="AI227" t="str">
            <v>Not in contract</v>
          </cell>
          <cell r="AJ227" t="str">
            <v>Not under maintenance</v>
          </cell>
          <cell r="AK227" t="e">
            <v>#N/A</v>
          </cell>
        </row>
        <row r="228">
          <cell r="A228" t="str">
            <v>IKN401431</v>
          </cell>
          <cell r="B228">
            <v>1409</v>
          </cell>
          <cell r="C228" t="str">
            <v>Institut Kanser Negara</v>
          </cell>
          <cell r="D228" t="e">
            <v>#N/A</v>
          </cell>
          <cell r="E228" t="str">
            <v>17-887</v>
          </cell>
          <cell r="F228" t="str">
            <v>Thermometers, Electronic, Infrared, Ear</v>
          </cell>
          <cell r="G228" t="str">
            <v>WC</v>
          </cell>
          <cell r="H228" t="str">
            <v>SURGICAL ONCO FEMALE WARD</v>
          </cell>
          <cell r="I228" t="str">
            <v>06WC107</v>
          </cell>
          <cell r="J228" t="str">
            <v>TREATMENT / PROCEDURE</v>
          </cell>
          <cell r="K228" t="str">
            <v>BMED</v>
          </cell>
          <cell r="L228" t="str">
            <v>Normal</v>
          </cell>
          <cell r="M228" t="str">
            <v>Mexico</v>
          </cell>
          <cell r="N228" t="str">
            <v>Thermoscan</v>
          </cell>
          <cell r="O228" t="str">
            <v>Thermoscan Pro 4000</v>
          </cell>
          <cell r="P228" t="str">
            <v>29612K05674</v>
          </cell>
          <cell r="Q228" t="str">
            <v>Not Available</v>
          </cell>
          <cell r="R228" t="str">
            <v>Welch Allyn Inc</v>
          </cell>
          <cell r="S228" t="str">
            <v>Welch Allyn Malaysia Sdn. Bhd</v>
          </cell>
          <cell r="T228" t="str">
            <v>Functioning</v>
          </cell>
          <cell r="U228" t="str">
            <v>Asset</v>
          </cell>
          <cell r="V228">
            <v>540</v>
          </cell>
          <cell r="W228" t="str">
            <v>KEW</v>
          </cell>
          <cell r="X228" t="str">
            <v>01/09/2010</v>
          </cell>
          <cell r="Y228" t="str">
            <v>KEW</v>
          </cell>
          <cell r="Z228" t="str">
            <v>16/08/2013</v>
          </cell>
          <cell r="AA228" t="str">
            <v>15/08/2015</v>
          </cell>
          <cell r="AB228" t="str">
            <v>No</v>
          </cell>
          <cell r="AC228" t="str">
            <v>31/08/2013</v>
          </cell>
          <cell r="AD228" t="str">
            <v>Good</v>
          </cell>
          <cell r="AE228" t="str">
            <v>V1 - Existing / No Claim</v>
          </cell>
          <cell r="AF228">
            <v>42780</v>
          </cell>
          <cell r="AG228">
            <v>9.17</v>
          </cell>
          <cell r="AH228" t="str">
            <v>RI</v>
          </cell>
          <cell r="AI228" t="str">
            <v>Not in contract</v>
          </cell>
          <cell r="AJ228" t="str">
            <v>Not under maintenance</v>
          </cell>
          <cell r="AK228" t="e">
            <v>#N/A</v>
          </cell>
        </row>
        <row r="229">
          <cell r="A229" t="str">
            <v>IKN401440</v>
          </cell>
          <cell r="B229">
            <v>1416</v>
          </cell>
          <cell r="C229" t="str">
            <v>Institut Kanser Negara</v>
          </cell>
          <cell r="D229" t="str">
            <v>KKM/IKN/I/13/4630</v>
          </cell>
          <cell r="E229" t="str">
            <v>17-887</v>
          </cell>
          <cell r="F229" t="str">
            <v>Thermometers, Electronic, Infrared, Ear</v>
          </cell>
          <cell r="G229" t="str">
            <v>WA</v>
          </cell>
          <cell r="H229" t="str">
            <v>NUCLEAR MED WARD (THERAPY)</v>
          </cell>
          <cell r="I229" t="str">
            <v>03WA117</v>
          </cell>
          <cell r="J229" t="str">
            <v>N/S 1</v>
          </cell>
          <cell r="K229" t="str">
            <v>BMED</v>
          </cell>
          <cell r="L229" t="str">
            <v>Normal</v>
          </cell>
          <cell r="M229" t="str">
            <v>Mexico</v>
          </cell>
          <cell r="N229" t="str">
            <v>Thermoscan</v>
          </cell>
          <cell r="O229" t="str">
            <v>Thermoscan Pro 4000</v>
          </cell>
          <cell r="P229" t="str">
            <v>33412K04471</v>
          </cell>
          <cell r="Q229" t="str">
            <v>Not Available</v>
          </cell>
          <cell r="R229" t="str">
            <v>Welch Allyn Inc</v>
          </cell>
          <cell r="S229" t="str">
            <v>Welch Allyn Malaysia Sdn. Bhd</v>
          </cell>
          <cell r="T229" t="str">
            <v>Functioning</v>
          </cell>
          <cell r="U229" t="str">
            <v>Asset</v>
          </cell>
          <cell r="V229">
            <v>540</v>
          </cell>
          <cell r="W229" t="str">
            <v>KEW</v>
          </cell>
          <cell r="X229" t="str">
            <v>01/09/2010</v>
          </cell>
          <cell r="Y229" t="str">
            <v>KEW</v>
          </cell>
          <cell r="Z229" t="str">
            <v>16/08/2013</v>
          </cell>
          <cell r="AA229" t="str">
            <v>15/08/2015</v>
          </cell>
          <cell r="AB229" t="str">
            <v>No</v>
          </cell>
          <cell r="AC229" t="str">
            <v>31/08/2013</v>
          </cell>
          <cell r="AD229" t="str">
            <v>Good</v>
          </cell>
          <cell r="AE229" t="str">
            <v>V1 - Existing / No Claim</v>
          </cell>
          <cell r="AF229">
            <v>42780</v>
          </cell>
          <cell r="AG229">
            <v>9.17</v>
          </cell>
          <cell r="AH229" t="str">
            <v>RI</v>
          </cell>
          <cell r="AI229" t="str">
            <v>Strands</v>
          </cell>
          <cell r="AJ229" t="str">
            <v>Not under maintenance</v>
          </cell>
        </row>
        <row r="230">
          <cell r="A230" t="str">
            <v>IKN401441</v>
          </cell>
          <cell r="B230">
            <v>1417</v>
          </cell>
          <cell r="C230" t="str">
            <v>Institut Kanser Negara</v>
          </cell>
          <cell r="D230" t="str">
            <v>KKM/IKN/I/13/4629</v>
          </cell>
          <cell r="E230" t="str">
            <v>17-887</v>
          </cell>
          <cell r="F230" t="str">
            <v>Thermometers, Electronic, Infrared, Ear</v>
          </cell>
          <cell r="G230" t="str">
            <v>WA</v>
          </cell>
          <cell r="H230" t="str">
            <v>NUCLEAR MED WARD (THERAPY)</v>
          </cell>
          <cell r="I230" t="str">
            <v>03WA121</v>
          </cell>
          <cell r="J230" t="str">
            <v>N/S 2</v>
          </cell>
          <cell r="K230" t="str">
            <v>BMED</v>
          </cell>
          <cell r="L230" t="str">
            <v>Normal</v>
          </cell>
          <cell r="M230" t="str">
            <v>Mexico</v>
          </cell>
          <cell r="N230" t="str">
            <v>Thermoscan</v>
          </cell>
          <cell r="O230" t="str">
            <v>Thermoscan Pro 4000</v>
          </cell>
          <cell r="P230" t="str">
            <v>33412K04806</v>
          </cell>
          <cell r="Q230" t="str">
            <v>Not Available</v>
          </cell>
          <cell r="R230" t="str">
            <v>Welch Allyn Inc</v>
          </cell>
          <cell r="S230" t="str">
            <v>Welch Allyn Malaysia Sdn. Bhd</v>
          </cell>
          <cell r="T230" t="str">
            <v>Functioning</v>
          </cell>
          <cell r="U230" t="str">
            <v>Asset</v>
          </cell>
          <cell r="V230">
            <v>540</v>
          </cell>
          <cell r="W230" t="str">
            <v>KEW</v>
          </cell>
          <cell r="X230" t="str">
            <v>01/09/2010</v>
          </cell>
          <cell r="Y230" t="str">
            <v>KEW</v>
          </cell>
          <cell r="Z230" t="str">
            <v>16/08/2013</v>
          </cell>
          <cell r="AA230" t="str">
            <v>15/08/2015</v>
          </cell>
          <cell r="AB230" t="str">
            <v>No</v>
          </cell>
          <cell r="AC230" t="str">
            <v>31/08/2013</v>
          </cell>
          <cell r="AD230" t="str">
            <v>Good</v>
          </cell>
          <cell r="AE230" t="str">
            <v>V1 - Existing / No Claim</v>
          </cell>
          <cell r="AF230">
            <v>42780</v>
          </cell>
          <cell r="AG230">
            <v>9.17</v>
          </cell>
          <cell r="AH230" t="str">
            <v>RI</v>
          </cell>
          <cell r="AI230" t="str">
            <v>Strands</v>
          </cell>
          <cell r="AJ230" t="str">
            <v>Not under maintenance</v>
          </cell>
        </row>
        <row r="231">
          <cell r="A231" t="str">
            <v>IKN401448</v>
          </cell>
          <cell r="B231">
            <v>1421</v>
          </cell>
          <cell r="C231" t="str">
            <v>Institut Kanser Negara</v>
          </cell>
          <cell r="D231" t="str">
            <v>KKM/IKN/H/13/866</v>
          </cell>
          <cell r="E231" t="str">
            <v>17-887</v>
          </cell>
          <cell r="F231" t="str">
            <v>Thermometers, Electronic, Infrared, Ear</v>
          </cell>
          <cell r="G231" t="str">
            <v>TC</v>
          </cell>
          <cell r="H231" t="str">
            <v>TRADITIONAL COMPLEMENTARY MEDICINE</v>
          </cell>
          <cell r="I231" t="str">
            <v>04TC128</v>
          </cell>
          <cell r="J231" t="str">
            <v>TREATMENT 1 (REFLEXOLOGY</v>
          </cell>
          <cell r="K231" t="str">
            <v>BMED</v>
          </cell>
          <cell r="L231" t="str">
            <v>Normal</v>
          </cell>
          <cell r="M231" t="str">
            <v>Mexico</v>
          </cell>
          <cell r="N231" t="str">
            <v>Thermoscan</v>
          </cell>
          <cell r="O231" t="str">
            <v>Thermoscan Pro 4000</v>
          </cell>
          <cell r="P231" t="str">
            <v>33412K00594</v>
          </cell>
          <cell r="Q231" t="str">
            <v>Not Available</v>
          </cell>
          <cell r="R231" t="str">
            <v>Welch Allyn Inc</v>
          </cell>
          <cell r="S231" t="str">
            <v>Welch Allyn Malaysia Sdn. Bhd</v>
          </cell>
          <cell r="T231" t="str">
            <v>Functioning</v>
          </cell>
          <cell r="U231" t="str">
            <v>Asset</v>
          </cell>
          <cell r="V231">
            <v>540</v>
          </cell>
          <cell r="W231" t="str">
            <v>KEW</v>
          </cell>
          <cell r="X231" t="str">
            <v>01/09/2010</v>
          </cell>
          <cell r="Y231" t="str">
            <v>KEW</v>
          </cell>
          <cell r="Z231" t="str">
            <v>16/08/2013</v>
          </cell>
          <cell r="AA231" t="str">
            <v>15/08/2015</v>
          </cell>
          <cell r="AB231" t="str">
            <v>No</v>
          </cell>
          <cell r="AC231" t="str">
            <v>31/08/2013</v>
          </cell>
          <cell r="AD231" t="str">
            <v>Good</v>
          </cell>
          <cell r="AE231" t="str">
            <v>V1 - Existing / No Claim</v>
          </cell>
          <cell r="AF231">
            <v>42780</v>
          </cell>
          <cell r="AG231">
            <v>9.17</v>
          </cell>
          <cell r="AH231" t="str">
            <v>RI</v>
          </cell>
          <cell r="AI231" t="str">
            <v>Strands</v>
          </cell>
          <cell r="AJ231" t="str">
            <v>Not under maintenance</v>
          </cell>
        </row>
        <row r="232">
          <cell r="A232" t="str">
            <v>IKN401452</v>
          </cell>
          <cell r="B232">
            <v>1423</v>
          </cell>
          <cell r="C232" t="str">
            <v>Institut Kanser Negara</v>
          </cell>
          <cell r="D232" t="str">
            <v>KKM/IKN/H/13/3646</v>
          </cell>
          <cell r="E232" t="str">
            <v>17-887</v>
          </cell>
          <cell r="F232" t="str">
            <v>Thermometers, Electronic, Infrared, Ear</v>
          </cell>
          <cell r="G232" t="str">
            <v>DO</v>
          </cell>
          <cell r="H232" t="str">
            <v>DAY ONCOLOGY UNIT</v>
          </cell>
          <cell r="I232" t="str">
            <v>04DO131</v>
          </cell>
          <cell r="J232" t="str">
            <v>NURSE STATION</v>
          </cell>
          <cell r="K232" t="str">
            <v>BMED</v>
          </cell>
          <cell r="L232" t="str">
            <v>Normal</v>
          </cell>
          <cell r="M232" t="str">
            <v>Mexico</v>
          </cell>
          <cell r="N232" t="str">
            <v>Thermoscan</v>
          </cell>
          <cell r="O232" t="str">
            <v>Thermoscan Pro 4000</v>
          </cell>
          <cell r="P232" t="str">
            <v>33412K00576</v>
          </cell>
          <cell r="Q232" t="str">
            <v>Not Applicable</v>
          </cell>
          <cell r="R232" t="str">
            <v>Welch Allyn Inc</v>
          </cell>
          <cell r="S232" t="str">
            <v>Welch Allyn Malaysia Sdn. Bhd</v>
          </cell>
          <cell r="T232" t="str">
            <v>Functioning</v>
          </cell>
          <cell r="U232" t="str">
            <v>Asset</v>
          </cell>
          <cell r="V232">
            <v>540</v>
          </cell>
          <cell r="W232" t="str">
            <v>KEW</v>
          </cell>
          <cell r="X232" t="str">
            <v>01/09/2010</v>
          </cell>
          <cell r="Y232" t="str">
            <v>KEW</v>
          </cell>
          <cell r="Z232" t="str">
            <v>16/08/2013</v>
          </cell>
          <cell r="AA232" t="str">
            <v>15/08/2015</v>
          </cell>
          <cell r="AB232" t="str">
            <v>No</v>
          </cell>
          <cell r="AC232" t="str">
            <v>31/08/2013</v>
          </cell>
          <cell r="AD232" t="str">
            <v>Good</v>
          </cell>
          <cell r="AE232" t="str">
            <v>V1 - Existing / No Claim</v>
          </cell>
          <cell r="AF232">
            <v>42793</v>
          </cell>
          <cell r="AG232">
            <v>9.17</v>
          </cell>
          <cell r="AH232" t="str">
            <v>RI</v>
          </cell>
          <cell r="AI232" t="str">
            <v>Strands</v>
          </cell>
          <cell r="AJ232" t="str">
            <v>Not under maintenance</v>
          </cell>
        </row>
        <row r="233">
          <cell r="A233" t="str">
            <v>IKN401455</v>
          </cell>
          <cell r="B233">
            <v>1425</v>
          </cell>
          <cell r="C233" t="str">
            <v>Institut Kanser Negara</v>
          </cell>
          <cell r="D233" t="e">
            <v>#N/A</v>
          </cell>
          <cell r="E233" t="str">
            <v>17-887</v>
          </cell>
          <cell r="F233" t="str">
            <v>Thermometers, Electronic, Infrared, Ear</v>
          </cell>
          <cell r="G233" t="str">
            <v>WB</v>
          </cell>
          <cell r="H233" t="str">
            <v>SURGICAL ONCO MALE WARD</v>
          </cell>
          <cell r="I233" t="str">
            <v>05WB107</v>
          </cell>
          <cell r="J233" t="str">
            <v>TREATMENT / PROCEDURE</v>
          </cell>
          <cell r="K233" t="str">
            <v>BMED</v>
          </cell>
          <cell r="L233" t="str">
            <v>Normal</v>
          </cell>
          <cell r="M233" t="str">
            <v>Mexico</v>
          </cell>
          <cell r="N233" t="str">
            <v>Thermoscan</v>
          </cell>
          <cell r="O233" t="str">
            <v>Thermoscan Pro 4000</v>
          </cell>
          <cell r="P233" t="str">
            <v>33412K00780</v>
          </cell>
          <cell r="Q233" t="str">
            <v>Not Available</v>
          </cell>
          <cell r="R233" t="str">
            <v>Welch Allyn Inc</v>
          </cell>
          <cell r="S233" t="str">
            <v>Welch Allyn Malaysia Sdn. Bhd</v>
          </cell>
          <cell r="T233" t="str">
            <v>Functioning</v>
          </cell>
          <cell r="U233" t="str">
            <v>Asset</v>
          </cell>
          <cell r="V233">
            <v>540</v>
          </cell>
          <cell r="W233" t="str">
            <v>KEW</v>
          </cell>
          <cell r="X233" t="str">
            <v>01/09/2010</v>
          </cell>
          <cell r="Y233" t="str">
            <v>KEW</v>
          </cell>
          <cell r="Z233" t="str">
            <v>16/08/2013</v>
          </cell>
          <cell r="AA233" t="str">
            <v>15/08/2015</v>
          </cell>
          <cell r="AB233" t="str">
            <v>No</v>
          </cell>
          <cell r="AC233" t="str">
            <v>31/08/2013</v>
          </cell>
          <cell r="AD233" t="str">
            <v>Good</v>
          </cell>
          <cell r="AE233" t="str">
            <v>V1 - Existing / No Claim</v>
          </cell>
          <cell r="AF233">
            <v>42780</v>
          </cell>
          <cell r="AG233">
            <v>9.17</v>
          </cell>
          <cell r="AH233" t="str">
            <v>RI</v>
          </cell>
          <cell r="AI233" t="str">
            <v>Not in contract</v>
          </cell>
          <cell r="AJ233" t="str">
            <v>Not under maintenance</v>
          </cell>
          <cell r="AK233" t="e">
            <v>#N/A</v>
          </cell>
        </row>
        <row r="234">
          <cell r="A234" t="str">
            <v>IKN401456</v>
          </cell>
          <cell r="B234">
            <v>1426</v>
          </cell>
          <cell r="C234" t="str">
            <v>Institut Kanser Negara</v>
          </cell>
          <cell r="D234" t="e">
            <v>#N/A</v>
          </cell>
          <cell r="E234" t="str">
            <v>17-887</v>
          </cell>
          <cell r="F234" t="str">
            <v>Thermometers, Electronic, Infrared, Ear</v>
          </cell>
          <cell r="G234" t="str">
            <v>WB</v>
          </cell>
          <cell r="H234" t="str">
            <v>SURGICAL ONCO MALE WARD</v>
          </cell>
          <cell r="I234" t="str">
            <v>05WB143</v>
          </cell>
          <cell r="J234" t="str">
            <v>NURSES STATION</v>
          </cell>
          <cell r="K234" t="str">
            <v>BMED</v>
          </cell>
          <cell r="L234" t="str">
            <v>Normal</v>
          </cell>
          <cell r="M234" t="str">
            <v>Mexico</v>
          </cell>
          <cell r="N234" t="str">
            <v>Thermoscan</v>
          </cell>
          <cell r="O234" t="str">
            <v>Thermoscan Pro 4000</v>
          </cell>
          <cell r="P234" t="str">
            <v>33412K00806</v>
          </cell>
          <cell r="Q234" t="str">
            <v>Not Available</v>
          </cell>
          <cell r="R234" t="str">
            <v>Welch Allyn Inc</v>
          </cell>
          <cell r="S234" t="str">
            <v>Welch Allyn Malaysia Sdn. Bhd</v>
          </cell>
          <cell r="T234" t="str">
            <v>Functioning</v>
          </cell>
          <cell r="U234" t="str">
            <v>Asset</v>
          </cell>
          <cell r="V234">
            <v>540</v>
          </cell>
          <cell r="W234" t="str">
            <v>KEW</v>
          </cell>
          <cell r="X234" t="str">
            <v>01/09/2010</v>
          </cell>
          <cell r="Y234" t="str">
            <v>KEW</v>
          </cell>
          <cell r="Z234" t="str">
            <v>16/08/2013</v>
          </cell>
          <cell r="AA234" t="str">
            <v>15/08/2015</v>
          </cell>
          <cell r="AB234" t="str">
            <v>No</v>
          </cell>
          <cell r="AC234" t="str">
            <v>31/08/2013</v>
          </cell>
          <cell r="AD234" t="str">
            <v>Good</v>
          </cell>
          <cell r="AE234" t="str">
            <v>V1 - Existing / No Claim</v>
          </cell>
          <cell r="AF234">
            <v>42780</v>
          </cell>
          <cell r="AG234">
            <v>9.17</v>
          </cell>
          <cell r="AH234" t="str">
            <v>RI</v>
          </cell>
          <cell r="AI234" t="str">
            <v>Not in contract</v>
          </cell>
          <cell r="AJ234" t="str">
            <v>Not under maintenance</v>
          </cell>
          <cell r="AK234" t="e">
            <v>#N/A</v>
          </cell>
        </row>
        <row r="235">
          <cell r="A235" t="str">
            <v>IKN401457</v>
          </cell>
          <cell r="B235">
            <v>1427</v>
          </cell>
          <cell r="C235" t="str">
            <v>Institut Kanser Negara</v>
          </cell>
          <cell r="D235" t="e">
            <v>#N/A</v>
          </cell>
          <cell r="E235" t="str">
            <v>17-887</v>
          </cell>
          <cell r="F235" t="str">
            <v>Thermometers, Electronic, Infrared, Ear</v>
          </cell>
          <cell r="G235" t="str">
            <v>WB</v>
          </cell>
          <cell r="H235" t="str">
            <v>SURGICAL ONCO MALE WARD</v>
          </cell>
          <cell r="I235" t="str">
            <v>05WB143</v>
          </cell>
          <cell r="J235" t="str">
            <v>NURSES STATION</v>
          </cell>
          <cell r="K235" t="str">
            <v>BMED</v>
          </cell>
          <cell r="L235" t="str">
            <v>Normal</v>
          </cell>
          <cell r="M235" t="str">
            <v>Mexico</v>
          </cell>
          <cell r="N235" t="str">
            <v>Thermoscan</v>
          </cell>
          <cell r="O235" t="str">
            <v>Thermoscan Pro 4000</v>
          </cell>
          <cell r="P235" t="str">
            <v>33412K01587</v>
          </cell>
          <cell r="Q235" t="str">
            <v>Not Available</v>
          </cell>
          <cell r="R235" t="str">
            <v>Welch Allyn Inc</v>
          </cell>
          <cell r="S235" t="str">
            <v>Welch Allyn Malaysia Sdn. Bhd</v>
          </cell>
          <cell r="T235" t="str">
            <v>Functioning</v>
          </cell>
          <cell r="U235" t="str">
            <v>Asset</v>
          </cell>
          <cell r="V235">
            <v>540</v>
          </cell>
          <cell r="W235" t="str">
            <v>KEW</v>
          </cell>
          <cell r="X235" t="str">
            <v>01/09/2010</v>
          </cell>
          <cell r="Y235" t="str">
            <v>KEW</v>
          </cell>
          <cell r="Z235" t="str">
            <v>16/08/2013</v>
          </cell>
          <cell r="AA235" t="str">
            <v>15/08/2015</v>
          </cell>
          <cell r="AB235" t="str">
            <v>No</v>
          </cell>
          <cell r="AC235" t="str">
            <v>31/08/2013</v>
          </cell>
          <cell r="AD235" t="str">
            <v>Good</v>
          </cell>
          <cell r="AE235" t="str">
            <v>V1 - Existing / No Claim</v>
          </cell>
          <cell r="AF235">
            <v>42780</v>
          </cell>
          <cell r="AG235">
            <v>9.17</v>
          </cell>
          <cell r="AH235" t="str">
            <v>RI</v>
          </cell>
          <cell r="AI235" t="str">
            <v>Not in contract</v>
          </cell>
          <cell r="AJ235" t="str">
            <v>Not under maintenance</v>
          </cell>
          <cell r="AK235" t="e">
            <v>#N/A</v>
          </cell>
        </row>
        <row r="236">
          <cell r="A236" t="str">
            <v>IKN401459</v>
          </cell>
          <cell r="B236">
            <v>1428</v>
          </cell>
          <cell r="C236" t="str">
            <v>Institut Kanser Negara</v>
          </cell>
          <cell r="D236" t="e">
            <v>#N/A</v>
          </cell>
          <cell r="E236" t="str">
            <v>17-887</v>
          </cell>
          <cell r="F236" t="str">
            <v>Thermometers, Electronic, Infrared, Ear</v>
          </cell>
          <cell r="G236" t="str">
            <v>IC</v>
          </cell>
          <cell r="H236" t="str">
            <v>INTENSIVE CARE UNIT</v>
          </cell>
          <cell r="I236" t="str">
            <v>05IC140</v>
          </cell>
          <cell r="J236" t="str">
            <v>NURSE STATION 1</v>
          </cell>
          <cell r="K236" t="str">
            <v>BMED</v>
          </cell>
          <cell r="L236" t="str">
            <v>Normal</v>
          </cell>
          <cell r="M236" t="str">
            <v>Mexico</v>
          </cell>
          <cell r="N236" t="str">
            <v>Thermoscan</v>
          </cell>
          <cell r="O236" t="str">
            <v>Thermoscan Pro 4000</v>
          </cell>
          <cell r="P236" t="str">
            <v>33312K06563</v>
          </cell>
          <cell r="Q236" t="str">
            <v>Not Available</v>
          </cell>
          <cell r="R236" t="str">
            <v>Welch Allyn Inc</v>
          </cell>
          <cell r="S236" t="str">
            <v>Welch Allyn Malaysia Sdn. Bhd</v>
          </cell>
          <cell r="T236" t="str">
            <v>Functioning</v>
          </cell>
          <cell r="U236" t="str">
            <v>Asset</v>
          </cell>
          <cell r="V236">
            <v>540</v>
          </cell>
          <cell r="W236" t="str">
            <v>KEW</v>
          </cell>
          <cell r="X236" t="str">
            <v>01/09/2010</v>
          </cell>
          <cell r="Y236" t="str">
            <v>KEW</v>
          </cell>
          <cell r="Z236" t="str">
            <v>16/08/2013</v>
          </cell>
          <cell r="AA236" t="str">
            <v>15/08/2015</v>
          </cell>
          <cell r="AB236" t="str">
            <v>No</v>
          </cell>
          <cell r="AC236" t="str">
            <v>31/08/2013</v>
          </cell>
          <cell r="AD236" t="str">
            <v>Good</v>
          </cell>
          <cell r="AE236" t="str">
            <v>V1 - Existing / No Claim</v>
          </cell>
          <cell r="AF236">
            <v>42780</v>
          </cell>
          <cell r="AG236">
            <v>9.17</v>
          </cell>
          <cell r="AH236" t="str">
            <v>RI</v>
          </cell>
          <cell r="AI236" t="str">
            <v>Not in contract</v>
          </cell>
          <cell r="AJ236" t="str">
            <v>Not under maintenance</v>
          </cell>
          <cell r="AK236" t="e">
            <v>#N/A</v>
          </cell>
        </row>
        <row r="237">
          <cell r="A237" t="str">
            <v>IKN401460</v>
          </cell>
          <cell r="B237">
            <v>1429</v>
          </cell>
          <cell r="C237" t="str">
            <v>Institut Kanser Negara</v>
          </cell>
          <cell r="D237" t="e">
            <v>#N/A</v>
          </cell>
          <cell r="E237" t="str">
            <v>17-887</v>
          </cell>
          <cell r="F237" t="str">
            <v>Thermometers, Electronic, Infrared, Ear</v>
          </cell>
          <cell r="G237" t="str">
            <v>IC</v>
          </cell>
          <cell r="H237" t="str">
            <v>INTENSIVE CARE UNIT</v>
          </cell>
          <cell r="I237" t="str">
            <v>05IC140</v>
          </cell>
          <cell r="J237" t="str">
            <v>NURSE STATION 1</v>
          </cell>
          <cell r="K237" t="str">
            <v>BMED</v>
          </cell>
          <cell r="L237" t="str">
            <v>Normal</v>
          </cell>
          <cell r="M237" t="str">
            <v>Mexico</v>
          </cell>
          <cell r="N237" t="str">
            <v>Thermoscan</v>
          </cell>
          <cell r="O237" t="str">
            <v>Thermoscan Pro 4000</v>
          </cell>
          <cell r="P237" t="str">
            <v>33412K01008</v>
          </cell>
          <cell r="Q237" t="str">
            <v>Not Available</v>
          </cell>
          <cell r="R237" t="str">
            <v>Welch Allyn Inc</v>
          </cell>
          <cell r="S237" t="str">
            <v>Welch Allyn Malaysia Sdn. Bhd</v>
          </cell>
          <cell r="T237" t="str">
            <v>Functioning</v>
          </cell>
          <cell r="U237" t="str">
            <v>Asset</v>
          </cell>
          <cell r="V237">
            <v>540</v>
          </cell>
          <cell r="W237" t="str">
            <v>KEW</v>
          </cell>
          <cell r="X237" t="str">
            <v>01/09/2010</v>
          </cell>
          <cell r="Y237" t="str">
            <v>KEW</v>
          </cell>
          <cell r="Z237" t="str">
            <v>16/08/2013</v>
          </cell>
          <cell r="AA237" t="str">
            <v>15/08/2015</v>
          </cell>
          <cell r="AB237" t="str">
            <v>No</v>
          </cell>
          <cell r="AC237" t="str">
            <v>31/08/2013</v>
          </cell>
          <cell r="AD237" t="str">
            <v>Good</v>
          </cell>
          <cell r="AE237" t="str">
            <v>V1 - Existing / No Claim</v>
          </cell>
          <cell r="AF237">
            <v>42780</v>
          </cell>
          <cell r="AG237">
            <v>9.17</v>
          </cell>
          <cell r="AH237" t="str">
            <v>RI</v>
          </cell>
          <cell r="AI237" t="str">
            <v>Not in contract</v>
          </cell>
          <cell r="AJ237" t="str">
            <v>Not under maintenance</v>
          </cell>
          <cell r="AK237" t="e">
            <v>#N/A</v>
          </cell>
        </row>
        <row r="238">
          <cell r="A238" t="str">
            <v>IKN401463</v>
          </cell>
          <cell r="B238">
            <v>1431</v>
          </cell>
          <cell r="C238" t="str">
            <v>Institut Kanser Negara</v>
          </cell>
          <cell r="D238" t="e">
            <v>#N/A</v>
          </cell>
          <cell r="E238" t="str">
            <v>17-887</v>
          </cell>
          <cell r="F238" t="str">
            <v>Thermometers, Electronic, Infrared, Ear</v>
          </cell>
          <cell r="G238" t="str">
            <v>WJ</v>
          </cell>
          <cell r="H238" t="str">
            <v>MULTIDISCIPLINE WARD 1</v>
          </cell>
          <cell r="I238" t="str">
            <v>09WJ209</v>
          </cell>
          <cell r="J238" t="str">
            <v>NURSE STATION</v>
          </cell>
          <cell r="K238" t="str">
            <v>BMED</v>
          </cell>
          <cell r="L238" t="str">
            <v>Normal</v>
          </cell>
          <cell r="M238" t="str">
            <v>Mexico</v>
          </cell>
          <cell r="N238" t="str">
            <v>Thermoscan</v>
          </cell>
          <cell r="O238" t="str">
            <v>Thermoscan Pro 4000</v>
          </cell>
          <cell r="P238" t="str">
            <v>33412K01023</v>
          </cell>
          <cell r="Q238" t="str">
            <v>Not Available</v>
          </cell>
          <cell r="R238" t="str">
            <v>Welch Allyn Inc</v>
          </cell>
          <cell r="S238" t="str">
            <v>Welch Allyn Malaysia Sdn. Bhd</v>
          </cell>
          <cell r="T238" t="str">
            <v>Functioning</v>
          </cell>
          <cell r="U238" t="str">
            <v>Asset</v>
          </cell>
          <cell r="V238">
            <v>540</v>
          </cell>
          <cell r="W238" t="str">
            <v>KEW</v>
          </cell>
          <cell r="X238" t="str">
            <v>01/09/2010</v>
          </cell>
          <cell r="Y238" t="str">
            <v>KEW</v>
          </cell>
          <cell r="Z238" t="str">
            <v>16/08/2013</v>
          </cell>
          <cell r="AA238" t="str">
            <v>15/08/2015</v>
          </cell>
          <cell r="AB238" t="str">
            <v>No</v>
          </cell>
          <cell r="AC238" t="str">
            <v>31/08/2013</v>
          </cell>
          <cell r="AD238" t="str">
            <v>Good</v>
          </cell>
          <cell r="AE238" t="str">
            <v>V1 - Existing / No Claim</v>
          </cell>
          <cell r="AF238">
            <v>42780</v>
          </cell>
          <cell r="AG238">
            <v>9.17</v>
          </cell>
          <cell r="AH238" t="str">
            <v>RI</v>
          </cell>
          <cell r="AI238" t="str">
            <v>Not in contract</v>
          </cell>
          <cell r="AJ238" t="str">
            <v>Not under maintenance</v>
          </cell>
          <cell r="AK238" t="e">
            <v>#N/A</v>
          </cell>
        </row>
        <row r="239">
          <cell r="A239" t="str">
            <v>IKN401464</v>
          </cell>
          <cell r="B239">
            <v>1432</v>
          </cell>
          <cell r="C239" t="str">
            <v>Institut Kanser Negara</v>
          </cell>
          <cell r="D239" t="e">
            <v>#N/A</v>
          </cell>
          <cell r="E239" t="str">
            <v>17-887</v>
          </cell>
          <cell r="F239" t="str">
            <v>Thermometers, Electronic, Infrared, Ear</v>
          </cell>
          <cell r="G239" t="str">
            <v>WJ</v>
          </cell>
          <cell r="H239" t="str">
            <v>MULTIDISCIPLINE WARD 1</v>
          </cell>
          <cell r="I239" t="str">
            <v>09WJ205</v>
          </cell>
          <cell r="J239" t="str">
            <v>NURSE STATION</v>
          </cell>
          <cell r="K239" t="str">
            <v>BMED</v>
          </cell>
          <cell r="L239" t="str">
            <v>Normal</v>
          </cell>
          <cell r="M239" t="str">
            <v>Mexico</v>
          </cell>
          <cell r="N239" t="str">
            <v>Thermoscan</v>
          </cell>
          <cell r="O239" t="str">
            <v>Thermoscan Pro 4000</v>
          </cell>
          <cell r="P239" t="str">
            <v>33412K00505</v>
          </cell>
          <cell r="Q239" t="str">
            <v>Not Available</v>
          </cell>
          <cell r="R239" t="str">
            <v>Welch Allyn Inc</v>
          </cell>
          <cell r="S239" t="str">
            <v>Welch Allyn Malaysia Sdn. Bhd</v>
          </cell>
          <cell r="T239" t="str">
            <v>Functioning</v>
          </cell>
          <cell r="U239" t="str">
            <v>Asset</v>
          </cell>
          <cell r="V239">
            <v>540</v>
          </cell>
          <cell r="W239" t="str">
            <v>KEW</v>
          </cell>
          <cell r="X239" t="str">
            <v>01/09/2010</v>
          </cell>
          <cell r="Y239" t="str">
            <v>KEW</v>
          </cell>
          <cell r="Z239" t="str">
            <v>16/08/2013</v>
          </cell>
          <cell r="AA239" t="str">
            <v>15/08/2015</v>
          </cell>
          <cell r="AB239" t="str">
            <v>No</v>
          </cell>
          <cell r="AC239" t="str">
            <v>31/08/2013</v>
          </cell>
          <cell r="AD239" t="str">
            <v>Good</v>
          </cell>
          <cell r="AE239" t="str">
            <v>V1 - Existing / No Claim</v>
          </cell>
          <cell r="AF239">
            <v>42781</v>
          </cell>
          <cell r="AG239">
            <v>9.17</v>
          </cell>
          <cell r="AH239" t="str">
            <v>RI</v>
          </cell>
          <cell r="AI239" t="str">
            <v>Not in contract</v>
          </cell>
          <cell r="AJ239" t="str">
            <v>Not under maintenance</v>
          </cell>
          <cell r="AK239" t="e">
            <v>#N/A</v>
          </cell>
        </row>
        <row r="240">
          <cell r="A240" t="str">
            <v>IKN401465</v>
          </cell>
          <cell r="B240">
            <v>1433</v>
          </cell>
          <cell r="C240" t="str">
            <v>Institut Kanser Negara</v>
          </cell>
          <cell r="D240" t="e">
            <v>#N/A</v>
          </cell>
          <cell r="E240" t="str">
            <v>17-887</v>
          </cell>
          <cell r="F240" t="str">
            <v>Thermometers, Electronic, Infrared, Ear</v>
          </cell>
          <cell r="G240" t="str">
            <v>WJ</v>
          </cell>
          <cell r="H240" t="str">
            <v>MULTIDISCIPLINE WARD 1</v>
          </cell>
          <cell r="I240" t="str">
            <v>09WJ205</v>
          </cell>
          <cell r="J240" t="str">
            <v>NURSE STATION</v>
          </cell>
          <cell r="K240" t="str">
            <v>BMED</v>
          </cell>
          <cell r="L240" t="str">
            <v>Normal</v>
          </cell>
          <cell r="M240" t="str">
            <v>Mexico</v>
          </cell>
          <cell r="N240" t="str">
            <v>Thermoscan</v>
          </cell>
          <cell r="O240" t="str">
            <v>Thermoscan Pro 4000</v>
          </cell>
          <cell r="P240" t="str">
            <v>33412K05108</v>
          </cell>
          <cell r="Q240" t="str">
            <v>Not Available</v>
          </cell>
          <cell r="R240" t="str">
            <v>Welch Allyn Inc</v>
          </cell>
          <cell r="S240" t="str">
            <v>Welch Allyn Malaysia Sdn. Bhd</v>
          </cell>
          <cell r="T240" t="str">
            <v>Functioning</v>
          </cell>
          <cell r="U240" t="str">
            <v>Asset</v>
          </cell>
          <cell r="V240">
            <v>540</v>
          </cell>
          <cell r="W240" t="str">
            <v>KEW</v>
          </cell>
          <cell r="X240" t="str">
            <v>01/09/2010</v>
          </cell>
          <cell r="Y240" t="str">
            <v>KEW</v>
          </cell>
          <cell r="Z240" t="str">
            <v>16/08/2013</v>
          </cell>
          <cell r="AA240" t="str">
            <v>15/08/2015</v>
          </cell>
          <cell r="AB240" t="str">
            <v>No</v>
          </cell>
          <cell r="AC240" t="str">
            <v>31/08/2013</v>
          </cell>
          <cell r="AD240" t="str">
            <v>Good</v>
          </cell>
          <cell r="AE240" t="str">
            <v>V1 - Existing / No Claim</v>
          </cell>
          <cell r="AF240">
            <v>42780</v>
          </cell>
          <cell r="AG240">
            <v>9.17</v>
          </cell>
          <cell r="AH240" t="str">
            <v>RI</v>
          </cell>
          <cell r="AI240" t="str">
            <v>Not in contract</v>
          </cell>
          <cell r="AJ240" t="str">
            <v>Not under maintenance</v>
          </cell>
          <cell r="AK240" t="e">
            <v>#N/A</v>
          </cell>
        </row>
        <row r="241">
          <cell r="A241" t="str">
            <v>IKN401467</v>
          </cell>
          <cell r="B241">
            <v>1434</v>
          </cell>
          <cell r="C241" t="str">
            <v>Institut Kanser Negara</v>
          </cell>
          <cell r="D241" t="str">
            <v>KKM/IKN/I/13/3989</v>
          </cell>
          <cell r="E241" t="str">
            <v>17-887</v>
          </cell>
          <cell r="F241" t="str">
            <v>Thermometers, Electronic, Infrared, Ear</v>
          </cell>
          <cell r="G241" t="str">
            <v>WG</v>
          </cell>
          <cell r="H241" t="str">
            <v>RT/ONCO WARD 1 (M)</v>
          </cell>
          <cell r="I241" t="str">
            <v>08WG143</v>
          </cell>
          <cell r="J241" t="str">
            <v>NURSE STATION</v>
          </cell>
          <cell r="K241" t="str">
            <v>BMED</v>
          </cell>
          <cell r="L241" t="str">
            <v>Normal</v>
          </cell>
          <cell r="M241" t="str">
            <v>Mexico</v>
          </cell>
          <cell r="N241" t="str">
            <v>Thermoscan</v>
          </cell>
          <cell r="O241" t="str">
            <v>Thermoscan Pro 4000</v>
          </cell>
          <cell r="P241" t="str">
            <v>33412K00663</v>
          </cell>
          <cell r="Q241" t="str">
            <v>Not Applicable</v>
          </cell>
          <cell r="R241" t="str">
            <v>Welch Allyn Inc</v>
          </cell>
          <cell r="S241" t="str">
            <v>Welch Allyn Malaysia Sdn. Bhd</v>
          </cell>
          <cell r="T241" t="str">
            <v>Functioning</v>
          </cell>
          <cell r="U241" t="str">
            <v>Asset</v>
          </cell>
          <cell r="V241">
            <v>540</v>
          </cell>
          <cell r="W241" t="str">
            <v>KEW</v>
          </cell>
          <cell r="X241" t="str">
            <v>01/09/2010</v>
          </cell>
          <cell r="Y241" t="str">
            <v>KEW</v>
          </cell>
          <cell r="Z241" t="str">
            <v>16/08/2013</v>
          </cell>
          <cell r="AA241" t="str">
            <v>15/08/2015</v>
          </cell>
          <cell r="AB241" t="str">
            <v>No</v>
          </cell>
          <cell r="AC241" t="str">
            <v>31/08/2013</v>
          </cell>
          <cell r="AD241" t="str">
            <v>Good</v>
          </cell>
          <cell r="AE241" t="str">
            <v>V1 - Existing / No Claim</v>
          </cell>
          <cell r="AF241">
            <v>42789</v>
          </cell>
          <cell r="AG241">
            <v>9.17</v>
          </cell>
          <cell r="AH241" t="str">
            <v>RI</v>
          </cell>
          <cell r="AI241" t="str">
            <v>Strands</v>
          </cell>
          <cell r="AJ241" t="str">
            <v>Not under maintenance</v>
          </cell>
        </row>
        <row r="242">
          <cell r="A242" t="str">
            <v>IKN401468</v>
          </cell>
          <cell r="B242">
            <v>1435</v>
          </cell>
          <cell r="C242" t="str">
            <v>Institut Kanser Negara</v>
          </cell>
          <cell r="D242" t="e">
            <v>#N/A</v>
          </cell>
          <cell r="E242" t="str">
            <v>17-887</v>
          </cell>
          <cell r="F242" t="str">
            <v>Thermometers, Electronic, Infrared, Ear</v>
          </cell>
          <cell r="G242" t="str">
            <v>WC</v>
          </cell>
          <cell r="H242" t="str">
            <v>SURGICAL ONCO FEMALE WARD</v>
          </cell>
          <cell r="I242" t="str">
            <v>06WC143</v>
          </cell>
          <cell r="J242" t="str">
            <v>NURSE STATION</v>
          </cell>
          <cell r="K242" t="str">
            <v>BMED</v>
          </cell>
          <cell r="L242" t="str">
            <v>Normal</v>
          </cell>
          <cell r="M242" t="str">
            <v>Mexico</v>
          </cell>
          <cell r="N242" t="str">
            <v>Thermoscan</v>
          </cell>
          <cell r="O242" t="str">
            <v>Thermoscan Pro 4000</v>
          </cell>
          <cell r="P242" t="str">
            <v>22414K07527</v>
          </cell>
          <cell r="Q242" t="str">
            <v>Not Available</v>
          </cell>
          <cell r="R242" t="str">
            <v>Welch Allyn Inc</v>
          </cell>
          <cell r="S242" t="str">
            <v>Welch Allyn Malaysia Sdn. Bhd</v>
          </cell>
          <cell r="T242" t="str">
            <v>Functioning</v>
          </cell>
          <cell r="U242" t="str">
            <v>Asset</v>
          </cell>
          <cell r="V242">
            <v>540</v>
          </cell>
          <cell r="W242" t="str">
            <v>KEW</v>
          </cell>
          <cell r="X242" t="str">
            <v>01/09/2010</v>
          </cell>
          <cell r="Y242" t="str">
            <v>KEW</v>
          </cell>
          <cell r="Z242" t="str">
            <v>16/08/2013</v>
          </cell>
          <cell r="AA242" t="str">
            <v>15/08/2015</v>
          </cell>
          <cell r="AB242" t="str">
            <v>No</v>
          </cell>
          <cell r="AC242" t="str">
            <v>31/08/2013</v>
          </cell>
          <cell r="AD242" t="str">
            <v>Good</v>
          </cell>
          <cell r="AE242" t="str">
            <v>V1 - Existing / No Claim</v>
          </cell>
          <cell r="AF242">
            <v>42780</v>
          </cell>
          <cell r="AG242">
            <v>9.17</v>
          </cell>
          <cell r="AH242" t="str">
            <v>RI</v>
          </cell>
          <cell r="AI242" t="str">
            <v>Not in contract</v>
          </cell>
          <cell r="AJ242" t="str">
            <v>Not under maintenance</v>
          </cell>
          <cell r="AK242" t="e">
            <v>#N/A</v>
          </cell>
        </row>
        <row r="243">
          <cell r="A243" t="str">
            <v>IKN401469</v>
          </cell>
          <cell r="B243">
            <v>1436</v>
          </cell>
          <cell r="C243" t="str">
            <v>Institut Kanser Negara</v>
          </cell>
          <cell r="D243" t="e">
            <v>#N/A</v>
          </cell>
          <cell r="E243" t="str">
            <v>17-887</v>
          </cell>
          <cell r="F243" t="str">
            <v>Thermometers, Electronic, Infrared, Ear</v>
          </cell>
          <cell r="G243" t="str">
            <v>WC</v>
          </cell>
          <cell r="H243" t="str">
            <v>SURGICAL ONCO FEMALE WARD</v>
          </cell>
          <cell r="I243" t="str">
            <v>06WC143</v>
          </cell>
          <cell r="J243" t="str">
            <v>NURSE STATION</v>
          </cell>
          <cell r="K243" t="str">
            <v>BMED</v>
          </cell>
          <cell r="L243" t="str">
            <v>Normal</v>
          </cell>
          <cell r="M243" t="str">
            <v>Mexico</v>
          </cell>
          <cell r="N243" t="str">
            <v>Thermoscan</v>
          </cell>
          <cell r="O243" t="str">
            <v>Thermoscan Pro 4000</v>
          </cell>
          <cell r="P243" t="str">
            <v>33412K00299</v>
          </cell>
          <cell r="Q243" t="str">
            <v>Not Available</v>
          </cell>
          <cell r="R243" t="str">
            <v>Welch Allyn Inc</v>
          </cell>
          <cell r="S243" t="str">
            <v>Welch Allyn Malaysia Sdn. Bhd</v>
          </cell>
          <cell r="T243" t="str">
            <v>Functioning</v>
          </cell>
          <cell r="U243" t="str">
            <v>Asset</v>
          </cell>
          <cell r="V243">
            <v>540</v>
          </cell>
          <cell r="W243" t="str">
            <v>KEW</v>
          </cell>
          <cell r="X243" t="str">
            <v>01/09/2010</v>
          </cell>
          <cell r="Y243" t="str">
            <v>KEW</v>
          </cell>
          <cell r="Z243" t="str">
            <v>16/08/2013</v>
          </cell>
          <cell r="AA243" t="str">
            <v>15/08/2015</v>
          </cell>
          <cell r="AB243" t="str">
            <v>No</v>
          </cell>
          <cell r="AC243" t="str">
            <v>31/08/2013</v>
          </cell>
          <cell r="AD243" t="str">
            <v>Good</v>
          </cell>
          <cell r="AE243" t="str">
            <v>V1 - Existing / No Claim</v>
          </cell>
          <cell r="AF243">
            <v>42780</v>
          </cell>
          <cell r="AG243">
            <v>9.17</v>
          </cell>
          <cell r="AH243" t="str">
            <v>RI</v>
          </cell>
          <cell r="AI243" t="str">
            <v>Not in contract</v>
          </cell>
          <cell r="AJ243" t="str">
            <v>Not under maintenance</v>
          </cell>
          <cell r="AK243" t="e">
            <v>#N/A</v>
          </cell>
        </row>
        <row r="244">
          <cell r="A244" t="str">
            <v>IKN401473</v>
          </cell>
          <cell r="B244">
            <v>1439</v>
          </cell>
          <cell r="C244" t="str">
            <v>Institut Kanser Negara</v>
          </cell>
          <cell r="D244" t="e">
            <v>#N/A</v>
          </cell>
          <cell r="E244" t="str">
            <v>17-887</v>
          </cell>
          <cell r="F244" t="str">
            <v>Thermometers, Electronic, Infrared, Ear</v>
          </cell>
          <cell r="G244" t="str">
            <v>OT</v>
          </cell>
          <cell r="H244" t="str">
            <v>OPERATING THEATRE</v>
          </cell>
          <cell r="I244" t="str">
            <v>05OT158</v>
          </cell>
          <cell r="J244" t="str">
            <v>NURSE STATION</v>
          </cell>
          <cell r="K244" t="str">
            <v>BMED</v>
          </cell>
          <cell r="L244" t="str">
            <v>Normal</v>
          </cell>
          <cell r="M244" t="str">
            <v>Mexico</v>
          </cell>
          <cell r="N244" t="str">
            <v>Thermoscan</v>
          </cell>
          <cell r="O244" t="str">
            <v>Thermoscan Pro 4000</v>
          </cell>
          <cell r="P244" t="str">
            <v>33412K08730</v>
          </cell>
          <cell r="Q244" t="str">
            <v>Not Available</v>
          </cell>
          <cell r="R244" t="str">
            <v>Welch Allyn Inc</v>
          </cell>
          <cell r="S244" t="str">
            <v>Welch Allyn Malaysia Sdn. Bhd</v>
          </cell>
          <cell r="T244" t="str">
            <v>Functioning</v>
          </cell>
          <cell r="U244" t="str">
            <v>Asset</v>
          </cell>
          <cell r="V244">
            <v>540</v>
          </cell>
          <cell r="W244" t="str">
            <v>KEW</v>
          </cell>
          <cell r="X244" t="str">
            <v>01/09/2010</v>
          </cell>
          <cell r="Y244" t="str">
            <v>KEW</v>
          </cell>
          <cell r="Z244" t="str">
            <v>16/08/2013</v>
          </cell>
          <cell r="AA244" t="str">
            <v>15/08/2015</v>
          </cell>
          <cell r="AB244" t="str">
            <v>No</v>
          </cell>
          <cell r="AC244" t="str">
            <v>31/08/2013</v>
          </cell>
          <cell r="AD244" t="str">
            <v>Good</v>
          </cell>
          <cell r="AE244" t="str">
            <v>V1 - Existing / No Claim</v>
          </cell>
          <cell r="AF244">
            <v>42781</v>
          </cell>
          <cell r="AG244">
            <v>9.17</v>
          </cell>
          <cell r="AH244" t="str">
            <v>RI</v>
          </cell>
          <cell r="AI244" t="str">
            <v>Not in contract</v>
          </cell>
          <cell r="AJ244" t="str">
            <v>Not under maintenance</v>
          </cell>
          <cell r="AK244" t="e">
            <v>#N/A</v>
          </cell>
        </row>
        <row r="245">
          <cell r="A245" t="str">
            <v>IKN401474</v>
          </cell>
          <cell r="B245">
            <v>1440</v>
          </cell>
          <cell r="C245" t="str">
            <v>Institut Kanser Negara</v>
          </cell>
          <cell r="D245" t="str">
            <v>KKM/IKN/I/13/2196</v>
          </cell>
          <cell r="E245" t="str">
            <v>17-887</v>
          </cell>
          <cell r="F245" t="str">
            <v>Thermometers, Electronic, Infrared, Ear</v>
          </cell>
          <cell r="G245" t="str">
            <v>OT</v>
          </cell>
          <cell r="H245" t="str">
            <v>OPERATING THEATRE</v>
          </cell>
          <cell r="I245" t="str">
            <v>05OT158</v>
          </cell>
          <cell r="J245" t="str">
            <v>NURSE STATION</v>
          </cell>
          <cell r="K245" t="str">
            <v>BMED</v>
          </cell>
          <cell r="L245" t="str">
            <v>Normal</v>
          </cell>
          <cell r="M245" t="str">
            <v>Mexico</v>
          </cell>
          <cell r="N245" t="str">
            <v>Thermoscan</v>
          </cell>
          <cell r="O245" t="str">
            <v>Thermoscan Pro 4000</v>
          </cell>
          <cell r="P245" t="str">
            <v>33412K08738</v>
          </cell>
          <cell r="Q245" t="str">
            <v>Not Applicable</v>
          </cell>
          <cell r="R245" t="str">
            <v>Welch Allyn Inc</v>
          </cell>
          <cell r="S245" t="str">
            <v>Welch Allyn Malaysia Sdn. Bhd</v>
          </cell>
          <cell r="T245" t="str">
            <v>Functioning</v>
          </cell>
          <cell r="U245" t="str">
            <v>Asset</v>
          </cell>
          <cell r="V245">
            <v>540</v>
          </cell>
          <cell r="W245" t="str">
            <v>KEW</v>
          </cell>
          <cell r="X245" t="str">
            <v>01/09/2010</v>
          </cell>
          <cell r="Y245" t="str">
            <v>KEW</v>
          </cell>
          <cell r="Z245" t="str">
            <v>16/08/2013</v>
          </cell>
          <cell r="AA245" t="str">
            <v>15/08/2015</v>
          </cell>
          <cell r="AB245" t="str">
            <v>No</v>
          </cell>
          <cell r="AC245" t="str">
            <v>31/08/2013</v>
          </cell>
          <cell r="AD245" t="str">
            <v>Good</v>
          </cell>
          <cell r="AE245" t="str">
            <v>V1 - Existing / No Claim</v>
          </cell>
          <cell r="AF245">
            <v>42803</v>
          </cell>
          <cell r="AG245">
            <v>9.17</v>
          </cell>
          <cell r="AH245" t="str">
            <v>RI</v>
          </cell>
          <cell r="AI245" t="str">
            <v>Strands</v>
          </cell>
          <cell r="AJ245" t="str">
            <v>Not under maintenance</v>
          </cell>
        </row>
        <row r="246">
          <cell r="A246" t="str">
            <v>IKN401475</v>
          </cell>
          <cell r="B246">
            <v>1441</v>
          </cell>
          <cell r="C246" t="str">
            <v>Institut Kanser Negara</v>
          </cell>
          <cell r="D246" t="e">
            <v>#N/A</v>
          </cell>
          <cell r="E246" t="str">
            <v>17-887</v>
          </cell>
          <cell r="F246" t="str">
            <v>Thermometers, Electronic, Infrared, Ear</v>
          </cell>
          <cell r="G246" t="str">
            <v>RT</v>
          </cell>
          <cell r="H246" t="str">
            <v>RADIATION TREATMENT UNIT</v>
          </cell>
          <cell r="I246" t="str">
            <v>01RT243</v>
          </cell>
          <cell r="J246" t="str">
            <v>NURSE STATION</v>
          </cell>
          <cell r="K246" t="str">
            <v>BMED</v>
          </cell>
          <cell r="L246" t="str">
            <v>Normal</v>
          </cell>
          <cell r="M246" t="str">
            <v>Mexico</v>
          </cell>
          <cell r="N246" t="str">
            <v>Thermoscan</v>
          </cell>
          <cell r="O246" t="str">
            <v>Thermoscan Pro 4000</v>
          </cell>
          <cell r="P246" t="str">
            <v>33412K00447</v>
          </cell>
          <cell r="Q246" t="str">
            <v>Not Applicable</v>
          </cell>
          <cell r="R246" t="str">
            <v>Welch Allyn Inc</v>
          </cell>
          <cell r="S246" t="str">
            <v>Welch Allyn Malaysia Sdn Bhd</v>
          </cell>
          <cell r="T246" t="str">
            <v>Functioning</v>
          </cell>
          <cell r="U246" t="str">
            <v>Asset</v>
          </cell>
          <cell r="V246">
            <v>540</v>
          </cell>
          <cell r="W246" t="str">
            <v>KEW</v>
          </cell>
          <cell r="X246" t="str">
            <v>01/09/2010</v>
          </cell>
          <cell r="Y246" t="str">
            <v>KEW</v>
          </cell>
          <cell r="Z246" t="str">
            <v>16/08/2013</v>
          </cell>
          <cell r="AA246" t="str">
            <v>15/08/2015</v>
          </cell>
          <cell r="AB246" t="str">
            <v>No</v>
          </cell>
          <cell r="AC246" t="str">
            <v>31/08/2013</v>
          </cell>
          <cell r="AD246" t="str">
            <v>Good</v>
          </cell>
          <cell r="AE246" t="str">
            <v>V1 - Existing / No Claim</v>
          </cell>
          <cell r="AF246">
            <v>42816</v>
          </cell>
          <cell r="AG246">
            <v>9.17</v>
          </cell>
          <cell r="AH246" t="str">
            <v>RI</v>
          </cell>
          <cell r="AI246" t="str">
            <v>Not in contract</v>
          </cell>
          <cell r="AJ246" t="str">
            <v>Not under maintenance</v>
          </cell>
          <cell r="AK246" t="e">
            <v>#N/A</v>
          </cell>
        </row>
        <row r="247">
          <cell r="A247" t="str">
            <v>IKN401478</v>
          </cell>
          <cell r="B247">
            <v>1443</v>
          </cell>
          <cell r="C247" t="str">
            <v>Institut Kanser Negara</v>
          </cell>
          <cell r="D247" t="e">
            <v>#N/A</v>
          </cell>
          <cell r="E247" t="str">
            <v>17-887</v>
          </cell>
          <cell r="F247" t="str">
            <v>Thermometers, Electronic, Infrared, Ear</v>
          </cell>
          <cell r="G247" t="str">
            <v>RT</v>
          </cell>
          <cell r="H247" t="str">
            <v>RADIATION TREATMENT UNIT</v>
          </cell>
          <cell r="I247" t="str">
            <v>01RT264</v>
          </cell>
          <cell r="J247" t="str">
            <v>SISTER</v>
          </cell>
          <cell r="K247" t="str">
            <v>BMED</v>
          </cell>
          <cell r="L247" t="str">
            <v>Normal</v>
          </cell>
          <cell r="M247" t="str">
            <v>Mexico</v>
          </cell>
          <cell r="N247" t="str">
            <v>Thermoscan</v>
          </cell>
          <cell r="O247" t="str">
            <v>Thermoscan Pro 4000</v>
          </cell>
          <cell r="P247" t="str">
            <v>04413K07501</v>
          </cell>
          <cell r="Q247" t="str">
            <v>Not Applicable</v>
          </cell>
          <cell r="R247" t="str">
            <v>Welch Allyn Inc</v>
          </cell>
          <cell r="S247" t="str">
            <v>Welch Allyn Malaysia Sdn Bhd</v>
          </cell>
          <cell r="T247" t="str">
            <v>Functioning</v>
          </cell>
          <cell r="U247" t="str">
            <v>Asset</v>
          </cell>
          <cell r="V247">
            <v>540</v>
          </cell>
          <cell r="W247" t="str">
            <v>KEW</v>
          </cell>
          <cell r="X247" t="str">
            <v>01/09/2010</v>
          </cell>
          <cell r="Y247" t="str">
            <v>KEW</v>
          </cell>
          <cell r="Z247" t="str">
            <v>16/08/2013</v>
          </cell>
          <cell r="AA247" t="str">
            <v>15/08/2015</v>
          </cell>
          <cell r="AB247" t="str">
            <v>No</v>
          </cell>
          <cell r="AC247" t="str">
            <v>31/08/2013</v>
          </cell>
          <cell r="AD247" t="str">
            <v>Good</v>
          </cell>
          <cell r="AE247" t="str">
            <v>V1 - Existing / No Claim</v>
          </cell>
          <cell r="AF247">
            <v>42816</v>
          </cell>
          <cell r="AG247">
            <v>9.17</v>
          </cell>
          <cell r="AH247" t="str">
            <v>RI</v>
          </cell>
          <cell r="AI247" t="str">
            <v>Not in contract</v>
          </cell>
          <cell r="AJ247" t="str">
            <v>Not under maintenance</v>
          </cell>
        </row>
        <row r="248">
          <cell r="A248" t="str">
            <v>IKN401531</v>
          </cell>
          <cell r="B248">
            <v>1471</v>
          </cell>
          <cell r="C248" t="str">
            <v>Institut Kanser Negara</v>
          </cell>
          <cell r="D248" t="str">
            <v>KKM/IKN/I/13/3647</v>
          </cell>
          <cell r="E248" t="str">
            <v>17-887</v>
          </cell>
          <cell r="F248" t="str">
            <v>Thermometers, Electronic, Infrared, Ear</v>
          </cell>
          <cell r="G248" t="str">
            <v>DO</v>
          </cell>
          <cell r="H248" t="str">
            <v>DAY ONCOLOGY UNIT</v>
          </cell>
          <cell r="I248" t="str">
            <v>04DO131</v>
          </cell>
          <cell r="J248" t="str">
            <v>NURSE STATION</v>
          </cell>
          <cell r="K248" t="str">
            <v>BMED</v>
          </cell>
          <cell r="L248" t="str">
            <v>Normal</v>
          </cell>
          <cell r="M248" t="str">
            <v>Mexico</v>
          </cell>
          <cell r="N248" t="str">
            <v>Thermoscan</v>
          </cell>
          <cell r="O248" t="str">
            <v>Thermoscan Pro 4000</v>
          </cell>
          <cell r="P248" t="str">
            <v>33412K00638</v>
          </cell>
          <cell r="Q248" t="str">
            <v>Not Applicable</v>
          </cell>
          <cell r="R248" t="str">
            <v>Welch Allyn Inc</v>
          </cell>
          <cell r="S248" t="str">
            <v>Welch Allyn Malaysia Sdn. Bhd</v>
          </cell>
          <cell r="T248" t="str">
            <v>Functioning</v>
          </cell>
          <cell r="U248" t="str">
            <v>Asset</v>
          </cell>
          <cell r="V248">
            <v>540</v>
          </cell>
          <cell r="W248" t="str">
            <v>KEW</v>
          </cell>
          <cell r="X248" t="str">
            <v>01/09/2010</v>
          </cell>
          <cell r="Y248" t="str">
            <v>Estimate</v>
          </cell>
          <cell r="Z248" t="str">
            <v>16/08/2013</v>
          </cell>
          <cell r="AA248" t="str">
            <v>15/08/2015</v>
          </cell>
          <cell r="AB248" t="str">
            <v>No</v>
          </cell>
          <cell r="AC248" t="str">
            <v>31/08/2013</v>
          </cell>
          <cell r="AD248" t="str">
            <v>Good</v>
          </cell>
          <cell r="AE248" t="str">
            <v>V1 - Existing / No Claim</v>
          </cell>
          <cell r="AF248">
            <v>42839</v>
          </cell>
          <cell r="AG248">
            <v>9.17</v>
          </cell>
          <cell r="AH248" t="str">
            <v>RI</v>
          </cell>
          <cell r="AI248" t="str">
            <v>Strands</v>
          </cell>
          <cell r="AJ248" t="str">
            <v>Not under maintenance</v>
          </cell>
        </row>
        <row r="249">
          <cell r="A249" t="str">
            <v>IKN401548</v>
          </cell>
          <cell r="B249">
            <v>1487</v>
          </cell>
          <cell r="C249" t="str">
            <v>Institut Kanser Negara</v>
          </cell>
          <cell r="D249" t="str">
            <v>KKM/IKN/H/13/5216</v>
          </cell>
          <cell r="E249" t="str">
            <v>13-325</v>
          </cell>
          <cell r="F249" t="str">
            <v>Regulators, Suction</v>
          </cell>
          <cell r="G249" t="str">
            <v>IC</v>
          </cell>
          <cell r="H249" t="str">
            <v>INTENSIVE CARE UNIT</v>
          </cell>
          <cell r="I249" t="str">
            <v>05IC111</v>
          </cell>
          <cell r="J249" t="str">
            <v>ISOL 1(-VE)</v>
          </cell>
          <cell r="K249" t="str">
            <v>BMED</v>
          </cell>
          <cell r="L249" t="str">
            <v>Normal</v>
          </cell>
          <cell r="M249" t="str">
            <v>United States</v>
          </cell>
          <cell r="N249" t="str">
            <v>OHIO</v>
          </cell>
          <cell r="O249" t="str">
            <v>R244047311229905</v>
          </cell>
          <cell r="P249" t="str">
            <v>GPHS65141</v>
          </cell>
          <cell r="Q249" t="str">
            <v>Not Applicable</v>
          </cell>
          <cell r="R249" t="str">
            <v>OHIO</v>
          </cell>
          <cell r="S249" t="str">
            <v>Respimedic</v>
          </cell>
          <cell r="T249" t="str">
            <v>Functioning</v>
          </cell>
          <cell r="U249" t="str">
            <v>Asset</v>
          </cell>
          <cell r="V249">
            <v>920</v>
          </cell>
          <cell r="W249" t="str">
            <v>KEW</v>
          </cell>
          <cell r="X249" t="str">
            <v>01/09/2010</v>
          </cell>
          <cell r="Y249" t="str">
            <v>KEW</v>
          </cell>
          <cell r="Z249" t="str">
            <v>16/08/2013</v>
          </cell>
          <cell r="AA249" t="str">
            <v>15/08/2015</v>
          </cell>
          <cell r="AB249" t="str">
            <v>No</v>
          </cell>
          <cell r="AC249" t="str">
            <v>31/08/2013</v>
          </cell>
          <cell r="AD249" t="str">
            <v>Good</v>
          </cell>
          <cell r="AE249" t="str">
            <v>V4 - Decommissioned Installed Facility</v>
          </cell>
          <cell r="AF249">
            <v>42920</v>
          </cell>
          <cell r="AG249">
            <v>9.17</v>
          </cell>
          <cell r="AH249" t="str">
            <v>RI</v>
          </cell>
          <cell r="AI249" t="str">
            <v>Strands</v>
          </cell>
          <cell r="AJ249" t="str">
            <v>Not under maintenance</v>
          </cell>
        </row>
        <row r="250">
          <cell r="A250" t="str">
            <v>IKN401549</v>
          </cell>
          <cell r="B250">
            <v>1488</v>
          </cell>
          <cell r="C250" t="str">
            <v>Institut Kanser Negara</v>
          </cell>
          <cell r="D250" t="str">
            <v>KKM/IKN/H/13/5214</v>
          </cell>
          <cell r="E250" t="str">
            <v>13-325</v>
          </cell>
          <cell r="F250" t="str">
            <v>Regulators, Suction</v>
          </cell>
          <cell r="G250" t="str">
            <v>IC</v>
          </cell>
          <cell r="H250" t="str">
            <v>INTENSIVE CARE UNIT</v>
          </cell>
          <cell r="I250" t="str">
            <v>05IC116</v>
          </cell>
          <cell r="J250" t="str">
            <v>ISOL 2 (+VE)</v>
          </cell>
          <cell r="K250" t="str">
            <v>BMED</v>
          </cell>
          <cell r="L250" t="str">
            <v>Normal</v>
          </cell>
          <cell r="M250" t="str">
            <v>United States</v>
          </cell>
          <cell r="N250" t="str">
            <v>OHIO</v>
          </cell>
          <cell r="O250" t="str">
            <v>R244047311229905</v>
          </cell>
          <cell r="P250" t="str">
            <v>GPHS65149</v>
          </cell>
          <cell r="Q250" t="str">
            <v>Not Applicable</v>
          </cell>
          <cell r="R250" t="str">
            <v>OHIO</v>
          </cell>
          <cell r="S250" t="str">
            <v>Respimedic</v>
          </cell>
          <cell r="T250" t="str">
            <v>Functioning</v>
          </cell>
          <cell r="U250" t="str">
            <v>Asset</v>
          </cell>
          <cell r="V250">
            <v>920</v>
          </cell>
          <cell r="W250" t="str">
            <v>KEW</v>
          </cell>
          <cell r="X250" t="str">
            <v>01/09/2010</v>
          </cell>
          <cell r="Y250" t="str">
            <v>KEW</v>
          </cell>
          <cell r="Z250" t="str">
            <v>16/08/2013</v>
          </cell>
          <cell r="AA250" t="str">
            <v>15/08/2015</v>
          </cell>
          <cell r="AB250" t="str">
            <v>No</v>
          </cell>
          <cell r="AC250" t="str">
            <v>31/08/2013</v>
          </cell>
          <cell r="AD250" t="str">
            <v>Good</v>
          </cell>
          <cell r="AE250" t="str">
            <v>V4 - Decommissioned Installed Facility</v>
          </cell>
          <cell r="AF250">
            <v>42920</v>
          </cell>
          <cell r="AG250">
            <v>9.17</v>
          </cell>
          <cell r="AH250" t="str">
            <v>RI</v>
          </cell>
          <cell r="AI250" t="str">
            <v>Strands</v>
          </cell>
          <cell r="AJ250" t="str">
            <v>Not under maintenance</v>
          </cell>
        </row>
        <row r="251">
          <cell r="A251" t="str">
            <v>IKN401550</v>
          </cell>
          <cell r="B251">
            <v>1489</v>
          </cell>
          <cell r="C251" t="str">
            <v>Institut Kanser Negara</v>
          </cell>
          <cell r="D251" t="str">
            <v>KKM/IKN/H/13/5210</v>
          </cell>
          <cell r="E251" t="str">
            <v>13-325</v>
          </cell>
          <cell r="F251" t="str">
            <v>Regulators, Suction</v>
          </cell>
          <cell r="G251" t="str">
            <v>IC</v>
          </cell>
          <cell r="H251" t="str">
            <v>INTENSIVE CARE UNIT</v>
          </cell>
          <cell r="I251" t="str">
            <v>05IC129</v>
          </cell>
          <cell r="J251" t="str">
            <v>ISOL 4 (+VE)</v>
          </cell>
          <cell r="K251" t="str">
            <v>BMED</v>
          </cell>
          <cell r="L251" t="str">
            <v>Normal</v>
          </cell>
          <cell r="M251" t="str">
            <v>United States</v>
          </cell>
          <cell r="N251" t="str">
            <v>OHIO</v>
          </cell>
          <cell r="O251" t="str">
            <v>R244047311229905</v>
          </cell>
          <cell r="P251" t="str">
            <v>GPHS65130</v>
          </cell>
          <cell r="Q251" t="str">
            <v>Not Applicable</v>
          </cell>
          <cell r="R251" t="str">
            <v>OHIO</v>
          </cell>
          <cell r="S251" t="str">
            <v>Respimedic</v>
          </cell>
          <cell r="T251" t="str">
            <v>Functioning</v>
          </cell>
          <cell r="U251" t="str">
            <v>Asset</v>
          </cell>
          <cell r="V251">
            <v>920</v>
          </cell>
          <cell r="W251" t="str">
            <v>KEW</v>
          </cell>
          <cell r="X251" t="str">
            <v>01/09/2010</v>
          </cell>
          <cell r="Y251" t="str">
            <v>KEW</v>
          </cell>
          <cell r="Z251" t="str">
            <v>16/08/2013</v>
          </cell>
          <cell r="AA251" t="str">
            <v>15/08/2015</v>
          </cell>
          <cell r="AB251" t="str">
            <v>No</v>
          </cell>
          <cell r="AC251" t="str">
            <v>31/08/2013</v>
          </cell>
          <cell r="AD251" t="str">
            <v>Good</v>
          </cell>
          <cell r="AE251" t="str">
            <v>V4 - Decommissioned Installed Facility</v>
          </cell>
          <cell r="AF251">
            <v>42920</v>
          </cell>
          <cell r="AG251">
            <v>9.17</v>
          </cell>
          <cell r="AH251" t="str">
            <v>RI</v>
          </cell>
          <cell r="AI251" t="str">
            <v>Strands</v>
          </cell>
          <cell r="AJ251" t="str">
            <v>Not under maintenance</v>
          </cell>
        </row>
        <row r="252">
          <cell r="A252" t="str">
            <v>IKN401551</v>
          </cell>
          <cell r="B252">
            <v>1490</v>
          </cell>
          <cell r="C252" t="str">
            <v>Institut Kanser Negara</v>
          </cell>
          <cell r="D252" t="str">
            <v>KKM/IKN/H/13/5212</v>
          </cell>
          <cell r="E252" t="str">
            <v>13-325</v>
          </cell>
          <cell r="F252" t="str">
            <v>Regulators, Suction</v>
          </cell>
          <cell r="G252" t="str">
            <v>IC</v>
          </cell>
          <cell r="H252" t="str">
            <v>INTENSIVE CARE UNIT</v>
          </cell>
          <cell r="I252" t="str">
            <v>05IC115</v>
          </cell>
          <cell r="J252" t="str">
            <v>ICU RM 4</v>
          </cell>
          <cell r="K252" t="str">
            <v>BMED</v>
          </cell>
          <cell r="L252" t="str">
            <v>Normal</v>
          </cell>
          <cell r="M252" t="str">
            <v>United States</v>
          </cell>
          <cell r="N252" t="str">
            <v>OHIO</v>
          </cell>
          <cell r="O252" t="str">
            <v>R244047311229905</v>
          </cell>
          <cell r="P252" t="str">
            <v>GPHS65138</v>
          </cell>
          <cell r="Q252" t="str">
            <v>Not Applicable</v>
          </cell>
          <cell r="R252" t="str">
            <v>OHIO</v>
          </cell>
          <cell r="S252" t="str">
            <v>Respimedic</v>
          </cell>
          <cell r="T252" t="str">
            <v>Functioning</v>
          </cell>
          <cell r="U252" t="str">
            <v>Asset</v>
          </cell>
          <cell r="V252">
            <v>920</v>
          </cell>
          <cell r="W252" t="str">
            <v>KEW</v>
          </cell>
          <cell r="X252" t="str">
            <v>01/09/2010</v>
          </cell>
          <cell r="Y252" t="str">
            <v>KEW</v>
          </cell>
          <cell r="Z252" t="str">
            <v>16/08/2013</v>
          </cell>
          <cell r="AA252" t="str">
            <v>15/08/2015</v>
          </cell>
          <cell r="AB252" t="str">
            <v>No</v>
          </cell>
          <cell r="AC252" t="str">
            <v>31/08/2013</v>
          </cell>
          <cell r="AD252" t="str">
            <v>Good</v>
          </cell>
          <cell r="AE252" t="str">
            <v>V4 - Decommissioned Installed Facility</v>
          </cell>
          <cell r="AF252">
            <v>42920</v>
          </cell>
          <cell r="AG252">
            <v>9.17</v>
          </cell>
          <cell r="AH252" t="str">
            <v>RI</v>
          </cell>
          <cell r="AI252" t="str">
            <v>Strands</v>
          </cell>
          <cell r="AJ252" t="str">
            <v>Not under maintenance</v>
          </cell>
        </row>
        <row r="253">
          <cell r="A253" t="str">
            <v>IKN401552</v>
          </cell>
          <cell r="B253">
            <v>1491</v>
          </cell>
          <cell r="C253" t="str">
            <v>Institut Kanser Negara</v>
          </cell>
          <cell r="D253" t="str">
            <v>KKM/IKN/H/13/5213</v>
          </cell>
          <cell r="E253" t="str">
            <v>13-325</v>
          </cell>
          <cell r="F253" t="str">
            <v>Regulators, Suction</v>
          </cell>
          <cell r="G253" t="str">
            <v>IC</v>
          </cell>
          <cell r="H253" t="str">
            <v>INTENSIVE CARE UNIT</v>
          </cell>
          <cell r="I253" t="str">
            <v>05IC114</v>
          </cell>
          <cell r="J253" t="str">
            <v>ICU RM 3</v>
          </cell>
          <cell r="K253" t="str">
            <v>BMED</v>
          </cell>
          <cell r="L253" t="str">
            <v>Normal</v>
          </cell>
          <cell r="M253" t="str">
            <v>United States</v>
          </cell>
          <cell r="N253" t="str">
            <v>OHIO</v>
          </cell>
          <cell r="O253" t="str">
            <v>R244047311229905</v>
          </cell>
          <cell r="P253" t="str">
            <v>GPHS65139</v>
          </cell>
          <cell r="Q253" t="str">
            <v>Not Applicable</v>
          </cell>
          <cell r="R253" t="str">
            <v>OHIO</v>
          </cell>
          <cell r="S253" t="str">
            <v>Respimedic</v>
          </cell>
          <cell r="T253" t="str">
            <v>Functioning</v>
          </cell>
          <cell r="U253" t="str">
            <v>Asset</v>
          </cell>
          <cell r="V253">
            <v>920</v>
          </cell>
          <cell r="W253" t="str">
            <v>KEW</v>
          </cell>
          <cell r="X253" t="str">
            <v>01/09/2010</v>
          </cell>
          <cell r="Y253" t="str">
            <v>KEW</v>
          </cell>
          <cell r="Z253" t="str">
            <v>16/08/2013</v>
          </cell>
          <cell r="AA253" t="str">
            <v>15/08/2015</v>
          </cell>
          <cell r="AB253" t="str">
            <v>No</v>
          </cell>
          <cell r="AC253" t="str">
            <v>31/08/2013</v>
          </cell>
          <cell r="AD253" t="str">
            <v>Good</v>
          </cell>
          <cell r="AE253" t="str">
            <v>V4 - Decommissioned Installed Facility</v>
          </cell>
          <cell r="AF253">
            <v>42920</v>
          </cell>
          <cell r="AG253">
            <v>9.17</v>
          </cell>
          <cell r="AH253" t="str">
            <v>RI</v>
          </cell>
          <cell r="AI253" t="str">
            <v>Strands</v>
          </cell>
          <cell r="AJ253" t="str">
            <v>Not under maintenance</v>
          </cell>
        </row>
        <row r="254">
          <cell r="A254" t="str">
            <v>IKN401553</v>
          </cell>
          <cell r="B254">
            <v>1492</v>
          </cell>
          <cell r="C254" t="str">
            <v>Institut Kanser Negara</v>
          </cell>
          <cell r="D254" t="str">
            <v>KKM/IKN/H/13/5215</v>
          </cell>
          <cell r="E254" t="str">
            <v>13-325</v>
          </cell>
          <cell r="F254" t="str">
            <v>Regulators, Suction</v>
          </cell>
          <cell r="G254" t="str">
            <v>IC</v>
          </cell>
          <cell r="H254" t="str">
            <v>INTENSIVE CARE UNIT</v>
          </cell>
          <cell r="I254" t="str">
            <v>05IC112</v>
          </cell>
          <cell r="J254" t="str">
            <v>ICU RM 1</v>
          </cell>
          <cell r="K254" t="str">
            <v>BMED</v>
          </cell>
          <cell r="L254" t="str">
            <v>Normal</v>
          </cell>
          <cell r="M254" t="str">
            <v>United States</v>
          </cell>
          <cell r="N254" t="str">
            <v>OHIO</v>
          </cell>
          <cell r="O254" t="str">
            <v>R244047311229905</v>
          </cell>
          <cell r="P254" t="str">
            <v>GPHS65121</v>
          </cell>
          <cell r="Q254" t="str">
            <v>Not Applicable</v>
          </cell>
          <cell r="R254" t="str">
            <v>OHIO</v>
          </cell>
          <cell r="S254" t="str">
            <v>Respimedic</v>
          </cell>
          <cell r="T254" t="str">
            <v>Functioning</v>
          </cell>
          <cell r="U254" t="str">
            <v>Asset</v>
          </cell>
          <cell r="V254">
            <v>920</v>
          </cell>
          <cell r="W254" t="str">
            <v>KEW</v>
          </cell>
          <cell r="X254" t="str">
            <v>01/09/2010</v>
          </cell>
          <cell r="Y254" t="str">
            <v>KEW</v>
          </cell>
          <cell r="Z254" t="str">
            <v>16/08/2013</v>
          </cell>
          <cell r="AA254" t="str">
            <v>15/08/2015</v>
          </cell>
          <cell r="AB254" t="str">
            <v>No</v>
          </cell>
          <cell r="AC254" t="str">
            <v>31/08/2013</v>
          </cell>
          <cell r="AD254" t="str">
            <v>Good</v>
          </cell>
          <cell r="AE254" t="str">
            <v>V4 - Decommissioned Installed Facility</v>
          </cell>
          <cell r="AF254">
            <v>42920</v>
          </cell>
          <cell r="AG254">
            <v>9.17</v>
          </cell>
          <cell r="AH254" t="str">
            <v>RI</v>
          </cell>
          <cell r="AI254" t="str">
            <v>Strands</v>
          </cell>
          <cell r="AJ254" t="str">
            <v>Not under maintenance</v>
          </cell>
        </row>
        <row r="255">
          <cell r="A255" t="str">
            <v>IKN401554</v>
          </cell>
          <cell r="B255">
            <v>1493</v>
          </cell>
          <cell r="C255" t="str">
            <v>Institut Kanser Negara</v>
          </cell>
          <cell r="D255" t="str">
            <v>KKM/IKN/H/13/2883</v>
          </cell>
          <cell r="E255" t="str">
            <v>13-325</v>
          </cell>
          <cell r="F255" t="str">
            <v>Regulators, Suction</v>
          </cell>
          <cell r="G255" t="str">
            <v>WB</v>
          </cell>
          <cell r="H255" t="str">
            <v>SURGICAL ONCO MALE WARD</v>
          </cell>
          <cell r="I255" t="str">
            <v>05WB113</v>
          </cell>
          <cell r="J255" t="str">
            <v>EQUIP. ROOM</v>
          </cell>
          <cell r="K255" t="str">
            <v>BMED</v>
          </cell>
          <cell r="L255" t="str">
            <v>Normal</v>
          </cell>
          <cell r="M255" t="str">
            <v>United States</v>
          </cell>
          <cell r="N255" t="str">
            <v>OHIO</v>
          </cell>
          <cell r="O255" t="str">
            <v>R244047311229905</v>
          </cell>
          <cell r="P255" t="str">
            <v>GPHS65047</v>
          </cell>
          <cell r="Q255" t="str">
            <v>Not Applicable</v>
          </cell>
          <cell r="R255" t="str">
            <v>OHIO</v>
          </cell>
          <cell r="S255" t="str">
            <v>Respimedic</v>
          </cell>
          <cell r="T255" t="str">
            <v>Functioning</v>
          </cell>
          <cell r="U255" t="str">
            <v>Asset</v>
          </cell>
          <cell r="V255">
            <v>920</v>
          </cell>
          <cell r="W255" t="str">
            <v>KEW</v>
          </cell>
          <cell r="X255" t="str">
            <v>01/09/2010</v>
          </cell>
          <cell r="Y255" t="str">
            <v>KEW</v>
          </cell>
          <cell r="Z255" t="str">
            <v>16/08/2013</v>
          </cell>
          <cell r="AA255" t="str">
            <v>15/08/2015</v>
          </cell>
          <cell r="AB255" t="str">
            <v>No</v>
          </cell>
          <cell r="AC255" t="str">
            <v>31/08/2013</v>
          </cell>
          <cell r="AD255" t="str">
            <v>Good</v>
          </cell>
          <cell r="AE255" t="str">
            <v>V4 - Decommissioned Installed Facility</v>
          </cell>
          <cell r="AF255">
            <v>42920</v>
          </cell>
          <cell r="AG255">
            <v>9.17</v>
          </cell>
          <cell r="AH255" t="str">
            <v>RI</v>
          </cell>
          <cell r="AI255" t="str">
            <v>Strands</v>
          </cell>
          <cell r="AJ255" t="str">
            <v>Not under maintenance</v>
          </cell>
        </row>
        <row r="256">
          <cell r="A256" t="str">
            <v>IKN401555</v>
          </cell>
          <cell r="B256">
            <v>1494</v>
          </cell>
          <cell r="C256" t="str">
            <v>Institut Kanser Negara</v>
          </cell>
          <cell r="D256" t="str">
            <v>KKM/IKN/H/13/2898</v>
          </cell>
          <cell r="E256" t="str">
            <v>13-325</v>
          </cell>
          <cell r="F256" t="str">
            <v>Regulators, Suction</v>
          </cell>
          <cell r="G256" t="str">
            <v>WB</v>
          </cell>
          <cell r="H256" t="str">
            <v>SURGICAL ONCO MALE WARD</v>
          </cell>
          <cell r="I256" t="str">
            <v>05WB113</v>
          </cell>
          <cell r="J256" t="str">
            <v>EQUIP. ROOM</v>
          </cell>
          <cell r="K256" t="str">
            <v>BMED</v>
          </cell>
          <cell r="L256" t="str">
            <v>Normal</v>
          </cell>
          <cell r="M256" t="str">
            <v>United States</v>
          </cell>
          <cell r="N256" t="str">
            <v>OHIO</v>
          </cell>
          <cell r="O256" t="str">
            <v>R244047311229905</v>
          </cell>
          <cell r="P256" t="str">
            <v>GPHS65072</v>
          </cell>
          <cell r="Q256" t="str">
            <v>Not Applicable</v>
          </cell>
          <cell r="R256" t="str">
            <v>OHIO</v>
          </cell>
          <cell r="S256" t="str">
            <v>Respimedic</v>
          </cell>
          <cell r="T256" t="str">
            <v>Functioning</v>
          </cell>
          <cell r="U256" t="str">
            <v>Asset</v>
          </cell>
          <cell r="V256">
            <v>920</v>
          </cell>
          <cell r="W256" t="str">
            <v>KEW</v>
          </cell>
          <cell r="X256" t="str">
            <v>01/09/2010</v>
          </cell>
          <cell r="Y256" t="str">
            <v>KEW</v>
          </cell>
          <cell r="Z256" t="str">
            <v>16/08/2013</v>
          </cell>
          <cell r="AA256" t="str">
            <v>15/08/2015</v>
          </cell>
          <cell r="AB256" t="str">
            <v>No</v>
          </cell>
          <cell r="AC256" t="str">
            <v>31/08/2013</v>
          </cell>
          <cell r="AD256" t="str">
            <v>Good</v>
          </cell>
          <cell r="AE256" t="str">
            <v>V4 - Decommissioned Installed Facility</v>
          </cell>
          <cell r="AF256">
            <v>42922</v>
          </cell>
          <cell r="AG256">
            <v>9.17</v>
          </cell>
          <cell r="AH256" t="str">
            <v>RI</v>
          </cell>
          <cell r="AI256" t="str">
            <v>Strands</v>
          </cell>
          <cell r="AJ256" t="str">
            <v>Not under maintenance</v>
          </cell>
        </row>
        <row r="257">
          <cell r="A257" t="str">
            <v>IKN401556</v>
          </cell>
          <cell r="B257">
            <v>1495</v>
          </cell>
          <cell r="C257" t="str">
            <v>Institut Kanser Negara</v>
          </cell>
          <cell r="D257" t="str">
            <v>KKM/IKN/H/13/2882</v>
          </cell>
          <cell r="E257" t="str">
            <v>13-325</v>
          </cell>
          <cell r="F257" t="str">
            <v>Regulators, Suction</v>
          </cell>
          <cell r="G257" t="str">
            <v>WB</v>
          </cell>
          <cell r="H257" t="str">
            <v>SURGICAL ONCO MALE WARD</v>
          </cell>
          <cell r="I257" t="str">
            <v>05WB113</v>
          </cell>
          <cell r="J257" t="str">
            <v>EQUIP. ROOM</v>
          </cell>
          <cell r="K257" t="str">
            <v>BMED</v>
          </cell>
          <cell r="L257" t="str">
            <v>Normal</v>
          </cell>
          <cell r="M257" t="str">
            <v>United States</v>
          </cell>
          <cell r="N257" t="str">
            <v>OHIO</v>
          </cell>
          <cell r="O257" t="str">
            <v>R244047311229905</v>
          </cell>
          <cell r="P257" t="str">
            <v>GPHS65035</v>
          </cell>
          <cell r="Q257" t="str">
            <v>Not Applicable</v>
          </cell>
          <cell r="R257" t="str">
            <v>OHIO</v>
          </cell>
          <cell r="S257" t="str">
            <v>Respimedic</v>
          </cell>
          <cell r="T257" t="str">
            <v>Functioning</v>
          </cell>
          <cell r="U257" t="str">
            <v>Asset</v>
          </cell>
          <cell r="V257">
            <v>920</v>
          </cell>
          <cell r="W257" t="str">
            <v>KEW</v>
          </cell>
          <cell r="X257" t="str">
            <v>01/09/2010</v>
          </cell>
          <cell r="Y257" t="str">
            <v>KEW</v>
          </cell>
          <cell r="Z257" t="str">
            <v>16/08/2013</v>
          </cell>
          <cell r="AA257" t="str">
            <v>15/08/2015</v>
          </cell>
          <cell r="AB257" t="str">
            <v>No</v>
          </cell>
          <cell r="AC257" t="str">
            <v>31/08/2013</v>
          </cell>
          <cell r="AD257" t="str">
            <v>Good</v>
          </cell>
          <cell r="AE257" t="str">
            <v>V4 - Decommissioned Installed Facility</v>
          </cell>
          <cell r="AF257">
            <v>42920</v>
          </cell>
          <cell r="AG257">
            <v>9.17</v>
          </cell>
          <cell r="AH257" t="str">
            <v>RI</v>
          </cell>
          <cell r="AI257" t="str">
            <v>Strands</v>
          </cell>
          <cell r="AJ257" t="str">
            <v>Not under maintenance</v>
          </cell>
        </row>
        <row r="258">
          <cell r="A258" t="str">
            <v>IKN401557</v>
          </cell>
          <cell r="B258">
            <v>1496</v>
          </cell>
          <cell r="C258" t="str">
            <v>Institut Kanser Negara</v>
          </cell>
          <cell r="D258" t="str">
            <v>KKM/IKN/H/13/2880</v>
          </cell>
          <cell r="E258" t="str">
            <v>13-325</v>
          </cell>
          <cell r="F258" t="str">
            <v>Regulators, Suction</v>
          </cell>
          <cell r="G258" t="str">
            <v>WB</v>
          </cell>
          <cell r="H258" t="str">
            <v>SURGICAL ONCO MALE WARD</v>
          </cell>
          <cell r="I258" t="str">
            <v>05WB113</v>
          </cell>
          <cell r="J258" t="str">
            <v>EQUIP. ROOM</v>
          </cell>
          <cell r="K258" t="str">
            <v>BMED</v>
          </cell>
          <cell r="L258" t="str">
            <v>Normal</v>
          </cell>
          <cell r="M258" t="str">
            <v>United States</v>
          </cell>
          <cell r="N258" t="str">
            <v>OHIO</v>
          </cell>
          <cell r="O258" t="str">
            <v>R244047311229905</v>
          </cell>
          <cell r="P258" t="str">
            <v>GPHS65061</v>
          </cell>
          <cell r="Q258" t="str">
            <v>Not Applicable</v>
          </cell>
          <cell r="R258" t="str">
            <v>OHIO</v>
          </cell>
          <cell r="S258" t="str">
            <v>Respimedic</v>
          </cell>
          <cell r="T258" t="str">
            <v>Functioning</v>
          </cell>
          <cell r="U258" t="str">
            <v>Asset</v>
          </cell>
          <cell r="V258">
            <v>920</v>
          </cell>
          <cell r="W258" t="str">
            <v>KEW</v>
          </cell>
          <cell r="X258" t="str">
            <v>01/09/2010</v>
          </cell>
          <cell r="Y258" t="str">
            <v>KEW</v>
          </cell>
          <cell r="Z258" t="str">
            <v>16/08/2013</v>
          </cell>
          <cell r="AA258" t="str">
            <v>15/08/2015</v>
          </cell>
          <cell r="AB258" t="str">
            <v>No</v>
          </cell>
          <cell r="AC258" t="str">
            <v>31/08/2013</v>
          </cell>
          <cell r="AD258" t="str">
            <v>Good</v>
          </cell>
          <cell r="AE258" t="str">
            <v>V4 - Decommissioned Installed Facility</v>
          </cell>
          <cell r="AF258">
            <v>42922</v>
          </cell>
          <cell r="AG258">
            <v>9.17</v>
          </cell>
          <cell r="AH258" t="str">
            <v>RI</v>
          </cell>
          <cell r="AI258" t="str">
            <v>Strands</v>
          </cell>
          <cell r="AJ258" t="str">
            <v>Not under maintenance</v>
          </cell>
        </row>
        <row r="259">
          <cell r="A259" t="str">
            <v>IKN401558</v>
          </cell>
          <cell r="B259">
            <v>1497</v>
          </cell>
          <cell r="C259" t="str">
            <v>Institut Kanser Negara</v>
          </cell>
          <cell r="D259" t="str">
            <v>KKM/IKN/H/13/2885</v>
          </cell>
          <cell r="E259" t="str">
            <v>13-325</v>
          </cell>
          <cell r="F259" t="str">
            <v>Regulators, Suction</v>
          </cell>
          <cell r="G259" t="str">
            <v>WB</v>
          </cell>
          <cell r="H259" t="str">
            <v>SURGICAL ONCO MALE WARD</v>
          </cell>
          <cell r="I259" t="str">
            <v>05WB113</v>
          </cell>
          <cell r="J259" t="str">
            <v>EQUIP. ROOM</v>
          </cell>
          <cell r="K259" t="str">
            <v>BMED</v>
          </cell>
          <cell r="L259" t="str">
            <v>Normal</v>
          </cell>
          <cell r="M259" t="str">
            <v>United States</v>
          </cell>
          <cell r="N259" t="str">
            <v>OHIO</v>
          </cell>
          <cell r="O259" t="str">
            <v>R244047311229905</v>
          </cell>
          <cell r="P259" t="str">
            <v>GPHS65039</v>
          </cell>
          <cell r="Q259" t="str">
            <v>Not Applicable</v>
          </cell>
          <cell r="R259" t="str">
            <v>OHIO</v>
          </cell>
          <cell r="S259" t="str">
            <v>Respimedic</v>
          </cell>
          <cell r="T259" t="str">
            <v>Functioning</v>
          </cell>
          <cell r="U259" t="str">
            <v>Asset</v>
          </cell>
          <cell r="V259">
            <v>920</v>
          </cell>
          <cell r="W259" t="str">
            <v>KEW</v>
          </cell>
          <cell r="X259" t="str">
            <v>01/09/2010</v>
          </cell>
          <cell r="Y259" t="str">
            <v>KEW</v>
          </cell>
          <cell r="Z259" t="str">
            <v>16/08/2013</v>
          </cell>
          <cell r="AA259" t="str">
            <v>15/08/2015</v>
          </cell>
          <cell r="AB259" t="str">
            <v>No</v>
          </cell>
          <cell r="AC259" t="str">
            <v>31/08/2013</v>
          </cell>
          <cell r="AD259" t="str">
            <v>Good</v>
          </cell>
          <cell r="AE259" t="str">
            <v>V4 - Decommissioned Installed Facility</v>
          </cell>
          <cell r="AF259">
            <v>42920</v>
          </cell>
          <cell r="AG259">
            <v>9.17</v>
          </cell>
          <cell r="AH259" t="str">
            <v>RI</v>
          </cell>
          <cell r="AI259" t="str">
            <v>Strands</v>
          </cell>
          <cell r="AJ259" t="str">
            <v>Not under maintenance</v>
          </cell>
        </row>
        <row r="260">
          <cell r="A260" t="str">
            <v>IKN401559</v>
          </cell>
          <cell r="B260">
            <v>1498</v>
          </cell>
          <cell r="C260" t="str">
            <v>Institut Kanser Negara</v>
          </cell>
          <cell r="D260" t="str">
            <v>KKM/IKN/H/13/2881</v>
          </cell>
          <cell r="E260" t="str">
            <v>13-325</v>
          </cell>
          <cell r="F260" t="str">
            <v>Regulators, Suction</v>
          </cell>
          <cell r="G260" t="str">
            <v>WB</v>
          </cell>
          <cell r="H260" t="str">
            <v>SURGICAL ONCO MALE WARD</v>
          </cell>
          <cell r="I260" t="str">
            <v>05WB113</v>
          </cell>
          <cell r="J260" t="str">
            <v>EQUIP. ROOM</v>
          </cell>
          <cell r="K260" t="str">
            <v>BMED</v>
          </cell>
          <cell r="L260" t="str">
            <v>Normal</v>
          </cell>
          <cell r="M260" t="str">
            <v>United States</v>
          </cell>
          <cell r="N260" t="str">
            <v>OHIO</v>
          </cell>
          <cell r="O260" t="str">
            <v>R244047311229905</v>
          </cell>
          <cell r="P260" t="str">
            <v>GPHS65045</v>
          </cell>
          <cell r="Q260" t="str">
            <v>Not Applicable</v>
          </cell>
          <cell r="R260" t="str">
            <v>OHIO</v>
          </cell>
          <cell r="S260" t="str">
            <v>Respimedic</v>
          </cell>
          <cell r="T260" t="str">
            <v>Functioning</v>
          </cell>
          <cell r="U260" t="str">
            <v>Asset</v>
          </cell>
          <cell r="V260">
            <v>920</v>
          </cell>
          <cell r="W260" t="str">
            <v>KEW</v>
          </cell>
          <cell r="X260" t="str">
            <v>01/09/2010</v>
          </cell>
          <cell r="Y260" t="str">
            <v>KEW</v>
          </cell>
          <cell r="Z260" t="str">
            <v>16/08/2013</v>
          </cell>
          <cell r="AA260" t="str">
            <v>15/08/2015</v>
          </cell>
          <cell r="AB260" t="str">
            <v>No</v>
          </cell>
          <cell r="AC260" t="str">
            <v>31/08/2013</v>
          </cell>
          <cell r="AD260" t="str">
            <v>Good</v>
          </cell>
          <cell r="AE260" t="str">
            <v>V4 - Decommissioned Installed Facility</v>
          </cell>
          <cell r="AF260">
            <v>42922</v>
          </cell>
          <cell r="AG260">
            <v>9.17</v>
          </cell>
          <cell r="AH260" t="str">
            <v>RI</v>
          </cell>
          <cell r="AI260" t="str">
            <v>Strands</v>
          </cell>
          <cell r="AJ260" t="str">
            <v>Not under maintenance</v>
          </cell>
        </row>
        <row r="261">
          <cell r="A261" t="str">
            <v>IKN401560</v>
          </cell>
          <cell r="B261">
            <v>1499</v>
          </cell>
          <cell r="C261" t="str">
            <v>Institut Kanser Negara</v>
          </cell>
          <cell r="D261" t="str">
            <v>KKM/IKN/H/13/2884</v>
          </cell>
          <cell r="E261" t="str">
            <v>13-325</v>
          </cell>
          <cell r="F261" t="str">
            <v>Regulators, Suction</v>
          </cell>
          <cell r="G261" t="str">
            <v>WB</v>
          </cell>
          <cell r="H261" t="str">
            <v>SURGICAL ONCO MALE WARD</v>
          </cell>
          <cell r="I261" t="str">
            <v>05WB113</v>
          </cell>
          <cell r="J261" t="str">
            <v>EQUIP. ROOM</v>
          </cell>
          <cell r="K261" t="str">
            <v>BMED</v>
          </cell>
          <cell r="L261" t="str">
            <v>Normal</v>
          </cell>
          <cell r="M261" t="str">
            <v>United States</v>
          </cell>
          <cell r="N261" t="str">
            <v>OHIO</v>
          </cell>
          <cell r="O261" t="str">
            <v>R244047311229905</v>
          </cell>
          <cell r="P261" t="str">
            <v>GPHS65074</v>
          </cell>
          <cell r="Q261" t="str">
            <v>Not Applicable</v>
          </cell>
          <cell r="R261" t="str">
            <v>OHIO</v>
          </cell>
          <cell r="S261" t="str">
            <v>Respimedic</v>
          </cell>
          <cell r="T261" t="str">
            <v>Functioning</v>
          </cell>
          <cell r="U261" t="str">
            <v>Asset</v>
          </cell>
          <cell r="V261">
            <v>920</v>
          </cell>
          <cell r="W261" t="str">
            <v>KEW</v>
          </cell>
          <cell r="X261" t="str">
            <v>01/09/2010</v>
          </cell>
          <cell r="Y261" t="str">
            <v>KEW</v>
          </cell>
          <cell r="Z261" t="str">
            <v>16/08/2013</v>
          </cell>
          <cell r="AA261" t="str">
            <v>15/08/2015</v>
          </cell>
          <cell r="AB261" t="str">
            <v>No</v>
          </cell>
          <cell r="AC261" t="str">
            <v>31/08/2013</v>
          </cell>
          <cell r="AD261" t="str">
            <v>Good</v>
          </cell>
          <cell r="AE261" t="str">
            <v>V4 - Decommissioned Installed Facility</v>
          </cell>
          <cell r="AF261">
            <v>42922</v>
          </cell>
          <cell r="AG261">
            <v>9.17</v>
          </cell>
          <cell r="AH261" t="str">
            <v>RI</v>
          </cell>
          <cell r="AI261" t="str">
            <v>Strands</v>
          </cell>
          <cell r="AJ261" t="str">
            <v>Not under maintenance</v>
          </cell>
        </row>
        <row r="262">
          <cell r="A262" t="str">
            <v>IKN401561</v>
          </cell>
          <cell r="B262">
            <v>1500</v>
          </cell>
          <cell r="C262" t="str">
            <v>Institut Kanser Negara</v>
          </cell>
          <cell r="D262" t="str">
            <v>KKM/IKN/H/13/3445</v>
          </cell>
          <cell r="E262" t="str">
            <v>13-325</v>
          </cell>
          <cell r="F262" t="str">
            <v>Regulators, Suction</v>
          </cell>
          <cell r="G262" t="str">
            <v>WB</v>
          </cell>
          <cell r="H262" t="str">
            <v>SURGICAL ONCO MALE WARD</v>
          </cell>
          <cell r="I262" t="str">
            <v>05WB113</v>
          </cell>
          <cell r="J262" t="str">
            <v>EQUIP. ROOM</v>
          </cell>
          <cell r="K262" t="str">
            <v>BMED</v>
          </cell>
          <cell r="L262" t="str">
            <v>Normal</v>
          </cell>
          <cell r="M262" t="str">
            <v>United States</v>
          </cell>
          <cell r="N262" t="str">
            <v>OHIO</v>
          </cell>
          <cell r="O262" t="str">
            <v>R244047311229905</v>
          </cell>
          <cell r="P262" t="str">
            <v>GPHS65128</v>
          </cell>
          <cell r="Q262" t="str">
            <v>Not Applicable</v>
          </cell>
          <cell r="R262" t="str">
            <v>OHIO</v>
          </cell>
          <cell r="S262" t="str">
            <v>Respimedic</v>
          </cell>
          <cell r="T262" t="str">
            <v>Functioning</v>
          </cell>
          <cell r="U262" t="str">
            <v>Asset</v>
          </cell>
          <cell r="V262">
            <v>920</v>
          </cell>
          <cell r="W262" t="str">
            <v>KEW</v>
          </cell>
          <cell r="X262" t="str">
            <v>01/09/2010</v>
          </cell>
          <cell r="Y262" t="str">
            <v>KEW</v>
          </cell>
          <cell r="Z262" t="str">
            <v>16/08/2013</v>
          </cell>
          <cell r="AA262" t="str">
            <v>15/08/2015</v>
          </cell>
          <cell r="AB262" t="str">
            <v>No</v>
          </cell>
          <cell r="AC262" t="str">
            <v>31/08/2013</v>
          </cell>
          <cell r="AD262" t="str">
            <v>Good</v>
          </cell>
          <cell r="AE262" t="str">
            <v>V4 - Decommissioned Installed Facility</v>
          </cell>
          <cell r="AF262">
            <v>42920</v>
          </cell>
          <cell r="AG262">
            <v>9.17</v>
          </cell>
          <cell r="AH262" t="str">
            <v>RI</v>
          </cell>
          <cell r="AI262" t="str">
            <v>Strands</v>
          </cell>
          <cell r="AJ262" t="str">
            <v>Not under maintenance</v>
          </cell>
        </row>
        <row r="263">
          <cell r="A263" t="str">
            <v>IKN401562</v>
          </cell>
          <cell r="B263">
            <v>1501</v>
          </cell>
          <cell r="C263" t="str">
            <v>Institut Kanser Negara</v>
          </cell>
          <cell r="D263" t="str">
            <v>KKM/IKN/H/13/2887</v>
          </cell>
          <cell r="E263" t="str">
            <v>13-325</v>
          </cell>
          <cell r="F263" t="str">
            <v>Regulators, Suction</v>
          </cell>
          <cell r="G263" t="str">
            <v>WB</v>
          </cell>
          <cell r="H263" t="str">
            <v>SURGICAL ONCO MALE WARD</v>
          </cell>
          <cell r="I263" t="str">
            <v>05WB113</v>
          </cell>
          <cell r="J263" t="str">
            <v>EQUIP. ROOM</v>
          </cell>
          <cell r="K263" t="str">
            <v>BMED</v>
          </cell>
          <cell r="L263" t="str">
            <v>Normal</v>
          </cell>
          <cell r="M263" t="str">
            <v>United States</v>
          </cell>
          <cell r="N263" t="str">
            <v>OHIO</v>
          </cell>
          <cell r="O263" t="str">
            <v>R244047311229905</v>
          </cell>
          <cell r="P263" t="str">
            <v>GPHS65063</v>
          </cell>
          <cell r="Q263" t="str">
            <v>Not Applicable</v>
          </cell>
          <cell r="R263" t="str">
            <v>OHIO</v>
          </cell>
          <cell r="S263" t="str">
            <v>Respimedic</v>
          </cell>
          <cell r="T263" t="str">
            <v>Functioning</v>
          </cell>
          <cell r="U263" t="str">
            <v>Asset</v>
          </cell>
          <cell r="V263">
            <v>920</v>
          </cell>
          <cell r="W263" t="str">
            <v>KEW</v>
          </cell>
          <cell r="X263" t="str">
            <v>01/09/2010</v>
          </cell>
          <cell r="Y263" t="str">
            <v>KEW</v>
          </cell>
          <cell r="Z263" t="str">
            <v>16/08/2013</v>
          </cell>
          <cell r="AA263" t="str">
            <v>15/08/2015</v>
          </cell>
          <cell r="AB263" t="str">
            <v>No</v>
          </cell>
          <cell r="AC263" t="str">
            <v>31/08/2013</v>
          </cell>
          <cell r="AD263" t="str">
            <v>Good</v>
          </cell>
          <cell r="AE263" t="str">
            <v>V4 - Decommissioned Installed Facility</v>
          </cell>
          <cell r="AF263">
            <v>42920</v>
          </cell>
          <cell r="AG263">
            <v>9.17</v>
          </cell>
          <cell r="AH263" t="str">
            <v>RI</v>
          </cell>
          <cell r="AI263" t="str">
            <v>Strands</v>
          </cell>
          <cell r="AJ263" t="str">
            <v>Not under maintenance</v>
          </cell>
        </row>
        <row r="264">
          <cell r="A264" t="str">
            <v>IKN401563</v>
          </cell>
          <cell r="B264">
            <v>1502</v>
          </cell>
          <cell r="C264" t="str">
            <v>Institut Kanser Negara</v>
          </cell>
          <cell r="D264" t="str">
            <v>KKM/IKN/H/13/2888</v>
          </cell>
          <cell r="E264" t="str">
            <v>13-325</v>
          </cell>
          <cell r="F264" t="str">
            <v>Regulators, Suction</v>
          </cell>
          <cell r="G264" t="str">
            <v>WB</v>
          </cell>
          <cell r="H264" t="str">
            <v>SURGICAL ONCO MALE WARD</v>
          </cell>
          <cell r="I264" t="str">
            <v>05WB113</v>
          </cell>
          <cell r="J264" t="str">
            <v>EQUIP. ROOM</v>
          </cell>
          <cell r="K264" t="str">
            <v>BMED</v>
          </cell>
          <cell r="L264" t="str">
            <v>Normal</v>
          </cell>
          <cell r="M264" t="str">
            <v>United States</v>
          </cell>
          <cell r="N264" t="str">
            <v>OHIO</v>
          </cell>
          <cell r="O264" t="str">
            <v>R244047311229905</v>
          </cell>
          <cell r="P264" t="str">
            <v>GPHS65066</v>
          </cell>
          <cell r="Q264" t="str">
            <v>Not Applicable</v>
          </cell>
          <cell r="R264" t="str">
            <v>OHIO</v>
          </cell>
          <cell r="S264" t="str">
            <v>Respimedic</v>
          </cell>
          <cell r="T264" t="str">
            <v>Functioning</v>
          </cell>
          <cell r="U264" t="str">
            <v>Asset</v>
          </cell>
          <cell r="V264">
            <v>920</v>
          </cell>
          <cell r="W264" t="str">
            <v>KEW</v>
          </cell>
          <cell r="X264" t="str">
            <v>01/09/2010</v>
          </cell>
          <cell r="Y264" t="str">
            <v>KEW</v>
          </cell>
          <cell r="Z264" t="str">
            <v>16/08/2013</v>
          </cell>
          <cell r="AA264" t="str">
            <v>15/08/2015</v>
          </cell>
          <cell r="AB264" t="str">
            <v>No</v>
          </cell>
          <cell r="AC264" t="str">
            <v>31/08/2013</v>
          </cell>
          <cell r="AD264" t="str">
            <v>Good</v>
          </cell>
          <cell r="AE264" t="str">
            <v>V4 - Decommissioned Installed Facility</v>
          </cell>
          <cell r="AF264">
            <v>42920</v>
          </cell>
          <cell r="AG264">
            <v>9.17</v>
          </cell>
          <cell r="AH264" t="str">
            <v>RI</v>
          </cell>
          <cell r="AI264" t="str">
            <v>Strands</v>
          </cell>
          <cell r="AJ264" t="str">
            <v>Not under maintenance</v>
          </cell>
        </row>
        <row r="265">
          <cell r="A265" t="str">
            <v>IKN401564</v>
          </cell>
          <cell r="B265">
            <v>1503</v>
          </cell>
          <cell r="C265" t="str">
            <v>Institut Kanser Negara</v>
          </cell>
          <cell r="D265" t="str">
            <v>KKM/IKN/H/13/5209</v>
          </cell>
          <cell r="E265" t="str">
            <v>13-325</v>
          </cell>
          <cell r="F265" t="str">
            <v>Regulators, Suction</v>
          </cell>
          <cell r="G265" t="str">
            <v>IC</v>
          </cell>
          <cell r="H265" t="str">
            <v>INTENSIVE CARE UNIT</v>
          </cell>
          <cell r="I265" t="str">
            <v>05IC113</v>
          </cell>
          <cell r="J265" t="str">
            <v>ICU RM 2</v>
          </cell>
          <cell r="K265" t="str">
            <v>BMED</v>
          </cell>
          <cell r="L265" t="str">
            <v>Normal</v>
          </cell>
          <cell r="M265" t="str">
            <v>United States</v>
          </cell>
          <cell r="N265" t="str">
            <v>OHIO</v>
          </cell>
          <cell r="O265" t="str">
            <v>R244047311229905</v>
          </cell>
          <cell r="P265" t="str">
            <v>GPHS65007</v>
          </cell>
          <cell r="Q265" t="str">
            <v>Not Applicable</v>
          </cell>
          <cell r="R265" t="str">
            <v>OHIO</v>
          </cell>
          <cell r="S265" t="str">
            <v>Respimedic</v>
          </cell>
          <cell r="T265" t="str">
            <v>Functioning</v>
          </cell>
          <cell r="U265" t="str">
            <v>Asset</v>
          </cell>
          <cell r="V265">
            <v>920</v>
          </cell>
          <cell r="W265" t="str">
            <v>KEW</v>
          </cell>
          <cell r="X265" t="str">
            <v>01/09/2010</v>
          </cell>
          <cell r="Y265" t="str">
            <v>KEW</v>
          </cell>
          <cell r="Z265" t="str">
            <v>16/08/2013</v>
          </cell>
          <cell r="AA265" t="str">
            <v>15/08/2015</v>
          </cell>
          <cell r="AB265" t="str">
            <v>No</v>
          </cell>
          <cell r="AC265" t="str">
            <v>31/08/2013</v>
          </cell>
          <cell r="AD265" t="str">
            <v>Good</v>
          </cell>
          <cell r="AE265" t="str">
            <v>V4 - Decommissioned Installed Facility</v>
          </cell>
          <cell r="AF265">
            <v>42920</v>
          </cell>
          <cell r="AG265">
            <v>9.17</v>
          </cell>
          <cell r="AH265" t="str">
            <v>RI</v>
          </cell>
          <cell r="AI265" t="str">
            <v>Strands</v>
          </cell>
          <cell r="AJ265" t="str">
            <v>Not under maintenance</v>
          </cell>
        </row>
        <row r="266">
          <cell r="A266" t="str">
            <v>IKN401565</v>
          </cell>
          <cell r="B266">
            <v>1504</v>
          </cell>
          <cell r="C266" t="str">
            <v>Institut Kanser Negara</v>
          </cell>
          <cell r="D266" t="str">
            <v>KKM/IKN/H/13/5211</v>
          </cell>
          <cell r="E266" t="str">
            <v>13-325</v>
          </cell>
          <cell r="F266" t="str">
            <v>Regulators, Suction</v>
          </cell>
          <cell r="G266" t="str">
            <v>IC</v>
          </cell>
          <cell r="H266" t="str">
            <v>INTENSIVE CARE UNIT</v>
          </cell>
          <cell r="I266" t="str">
            <v>05IC131</v>
          </cell>
          <cell r="J266" t="str">
            <v>ISOL 3 (+VE)</v>
          </cell>
          <cell r="K266" t="str">
            <v>BMED</v>
          </cell>
          <cell r="L266" t="str">
            <v>Normal</v>
          </cell>
          <cell r="M266" t="str">
            <v>United States</v>
          </cell>
          <cell r="N266" t="str">
            <v>OHIO</v>
          </cell>
          <cell r="O266" t="str">
            <v>R244047311229905</v>
          </cell>
          <cell r="P266" t="str">
            <v>GPHS 65000</v>
          </cell>
          <cell r="Q266" t="str">
            <v>Not Applicable</v>
          </cell>
          <cell r="R266" t="str">
            <v>OHIO</v>
          </cell>
          <cell r="S266" t="str">
            <v>Respimedic</v>
          </cell>
          <cell r="T266" t="str">
            <v>Functioning</v>
          </cell>
          <cell r="U266" t="str">
            <v>Asset</v>
          </cell>
          <cell r="V266">
            <v>920</v>
          </cell>
          <cell r="W266" t="str">
            <v>KEW</v>
          </cell>
          <cell r="X266" t="str">
            <v>01/09/2010</v>
          </cell>
          <cell r="Y266" t="str">
            <v>KEW</v>
          </cell>
          <cell r="Z266" t="str">
            <v>16/08/2013</v>
          </cell>
          <cell r="AA266" t="str">
            <v>15/08/2015</v>
          </cell>
          <cell r="AB266" t="str">
            <v>No</v>
          </cell>
          <cell r="AC266" t="str">
            <v>31/08/2013</v>
          </cell>
          <cell r="AD266" t="str">
            <v>Good</v>
          </cell>
          <cell r="AE266" t="str">
            <v>V4 - Decommissioned Installed Facility</v>
          </cell>
          <cell r="AF266">
            <v>42920</v>
          </cell>
          <cell r="AG266">
            <v>9.17</v>
          </cell>
          <cell r="AH266" t="str">
            <v>RI</v>
          </cell>
          <cell r="AI266" t="str">
            <v>Strands</v>
          </cell>
          <cell r="AJ266" t="str">
            <v>Not under maintenance</v>
          </cell>
        </row>
        <row r="267">
          <cell r="A267" t="str">
            <v>IKN401566</v>
          </cell>
          <cell r="B267">
            <v>1505</v>
          </cell>
          <cell r="C267" t="str">
            <v>Institut Kanser Negara</v>
          </cell>
          <cell r="D267" t="str">
            <v>KKM/IKN/I/13/8953</v>
          </cell>
          <cell r="E267" t="str">
            <v>13-325</v>
          </cell>
          <cell r="F267" t="str">
            <v>Regulators, Suction</v>
          </cell>
          <cell r="G267" t="str">
            <v>WC</v>
          </cell>
          <cell r="H267" t="str">
            <v>SURGICAL ONCO FEMALE WARD</v>
          </cell>
          <cell r="I267" t="str">
            <v>06WC113</v>
          </cell>
          <cell r="J267" t="str">
            <v>EQUIPMENT ROOM</v>
          </cell>
          <cell r="K267" t="str">
            <v>BMED</v>
          </cell>
          <cell r="L267" t="str">
            <v>Normal</v>
          </cell>
          <cell r="M267" t="str">
            <v>United States</v>
          </cell>
          <cell r="N267" t="str">
            <v>OHIO</v>
          </cell>
          <cell r="O267" t="str">
            <v>R244047311229905</v>
          </cell>
          <cell r="P267" t="str">
            <v>GPHS65129</v>
          </cell>
          <cell r="Q267" t="str">
            <v>Not Applicable</v>
          </cell>
          <cell r="R267" t="str">
            <v>OHIO</v>
          </cell>
          <cell r="S267" t="str">
            <v>Respimedic</v>
          </cell>
          <cell r="T267" t="str">
            <v>Functioning</v>
          </cell>
          <cell r="U267" t="str">
            <v>Asset</v>
          </cell>
          <cell r="V267">
            <v>920</v>
          </cell>
          <cell r="W267" t="str">
            <v>KEW</v>
          </cell>
          <cell r="X267" t="str">
            <v>01/09/2010</v>
          </cell>
          <cell r="Y267" t="str">
            <v>KEW</v>
          </cell>
          <cell r="Z267" t="str">
            <v>16/08/2013</v>
          </cell>
          <cell r="AA267" t="str">
            <v>15/08/2015</v>
          </cell>
          <cell r="AB267" t="str">
            <v>No</v>
          </cell>
          <cell r="AC267" t="str">
            <v>31/08/2013</v>
          </cell>
          <cell r="AD267" t="str">
            <v>Good</v>
          </cell>
          <cell r="AE267" t="str">
            <v>V4 - Decommissioned Installed Facility</v>
          </cell>
          <cell r="AF267">
            <v>42926</v>
          </cell>
          <cell r="AG267">
            <v>9.17</v>
          </cell>
          <cell r="AH267" t="str">
            <v>RI</v>
          </cell>
          <cell r="AI267" t="str">
            <v>Strands</v>
          </cell>
          <cell r="AJ267" t="str">
            <v>Not under maintenance</v>
          </cell>
        </row>
        <row r="268">
          <cell r="A268" t="str">
            <v>IKN401567</v>
          </cell>
          <cell r="B268">
            <v>1506</v>
          </cell>
          <cell r="C268" t="str">
            <v>Institut Kanser Negara</v>
          </cell>
          <cell r="D268" t="str">
            <v>KKM/IKN/I/13/8952</v>
          </cell>
          <cell r="E268" t="str">
            <v>13-325</v>
          </cell>
          <cell r="F268" t="str">
            <v>Regulators, Suction</v>
          </cell>
          <cell r="G268" t="str">
            <v>WC</v>
          </cell>
          <cell r="H268" t="str">
            <v>SURGICAL ONCO FEMALE WARD</v>
          </cell>
          <cell r="I268" t="str">
            <v>06WC113</v>
          </cell>
          <cell r="J268" t="str">
            <v>EQUIPMENT ROOM</v>
          </cell>
          <cell r="K268" t="str">
            <v>BMED</v>
          </cell>
          <cell r="L268" t="str">
            <v>Normal</v>
          </cell>
          <cell r="M268" t="str">
            <v>United States</v>
          </cell>
          <cell r="N268" t="str">
            <v>OHIO</v>
          </cell>
          <cell r="O268" t="str">
            <v>R244047311229905</v>
          </cell>
          <cell r="P268" t="str">
            <v>GPHS65134</v>
          </cell>
          <cell r="Q268" t="str">
            <v>Not Applicable</v>
          </cell>
          <cell r="R268" t="str">
            <v>OHIO</v>
          </cell>
          <cell r="S268" t="str">
            <v>Respimedic</v>
          </cell>
          <cell r="T268" t="str">
            <v>Functioning</v>
          </cell>
          <cell r="U268" t="str">
            <v>Asset</v>
          </cell>
          <cell r="V268">
            <v>920</v>
          </cell>
          <cell r="W268" t="str">
            <v>KEW</v>
          </cell>
          <cell r="X268" t="str">
            <v>01/09/2010</v>
          </cell>
          <cell r="Y268" t="str">
            <v>KEW</v>
          </cell>
          <cell r="Z268" t="str">
            <v>16/08/2013</v>
          </cell>
          <cell r="AA268" t="str">
            <v>15/08/2015</v>
          </cell>
          <cell r="AB268" t="str">
            <v>No</v>
          </cell>
          <cell r="AC268" t="str">
            <v>31/08/2013</v>
          </cell>
          <cell r="AD268" t="str">
            <v>Good</v>
          </cell>
          <cell r="AE268" t="str">
            <v>V4 - Decommissioned Installed Facility</v>
          </cell>
          <cell r="AF268">
            <v>42926</v>
          </cell>
          <cell r="AG268">
            <v>9.17</v>
          </cell>
          <cell r="AH268" t="str">
            <v>RI</v>
          </cell>
          <cell r="AI268" t="str">
            <v>Strands</v>
          </cell>
          <cell r="AJ268" t="str">
            <v>Not under maintenance</v>
          </cell>
        </row>
        <row r="269">
          <cell r="A269" t="str">
            <v>IKN401568</v>
          </cell>
          <cell r="B269">
            <v>1507</v>
          </cell>
          <cell r="C269" t="str">
            <v>Institut Kanser Negara</v>
          </cell>
          <cell r="D269" t="e">
            <v>#N/A</v>
          </cell>
          <cell r="E269" t="str">
            <v>13-325</v>
          </cell>
          <cell r="F269" t="str">
            <v>Regulators, Suction</v>
          </cell>
          <cell r="G269" t="str">
            <v>DO</v>
          </cell>
          <cell r="H269" t="str">
            <v>DAY ONCOLOGY UNIT</v>
          </cell>
          <cell r="I269" t="str">
            <v>04DO121</v>
          </cell>
          <cell r="J269" t="str">
            <v>TREATMENT BAY 4</v>
          </cell>
          <cell r="K269" t="str">
            <v>BMED</v>
          </cell>
          <cell r="L269" t="str">
            <v>Normal</v>
          </cell>
          <cell r="M269" t="str">
            <v>United States</v>
          </cell>
          <cell r="N269" t="str">
            <v>OHIO</v>
          </cell>
          <cell r="O269" t="str">
            <v>R244047311229905</v>
          </cell>
          <cell r="P269" t="str">
            <v>GPHS65191</v>
          </cell>
          <cell r="Q269" t="str">
            <v>Not Applicable</v>
          </cell>
          <cell r="R269" t="str">
            <v>OHIO</v>
          </cell>
          <cell r="S269" t="str">
            <v>Respimedic</v>
          </cell>
          <cell r="T269" t="str">
            <v>Functioning</v>
          </cell>
          <cell r="U269" t="str">
            <v>Asset</v>
          </cell>
          <cell r="V269">
            <v>920</v>
          </cell>
          <cell r="W269" t="str">
            <v>KEW</v>
          </cell>
          <cell r="X269" t="str">
            <v>01/09/2010</v>
          </cell>
          <cell r="Y269" t="str">
            <v>KEW</v>
          </cell>
          <cell r="Z269" t="str">
            <v>16/08/2013</v>
          </cell>
          <cell r="AA269" t="str">
            <v>15/08/2015</v>
          </cell>
          <cell r="AB269" t="str">
            <v>No</v>
          </cell>
          <cell r="AC269" t="str">
            <v>31/08/2013</v>
          </cell>
          <cell r="AD269" t="str">
            <v>Good</v>
          </cell>
          <cell r="AE269" t="str">
            <v>V4 - Decommissioned Installed Facility</v>
          </cell>
          <cell r="AF269">
            <v>42935</v>
          </cell>
          <cell r="AG269">
            <v>9.17</v>
          </cell>
          <cell r="AH269" t="str">
            <v>RI</v>
          </cell>
          <cell r="AI269" t="str">
            <v>Not in contract</v>
          </cell>
          <cell r="AJ269" t="str">
            <v>Not under maintenance</v>
          </cell>
          <cell r="AK269" t="e">
            <v>#N/A</v>
          </cell>
        </row>
        <row r="270">
          <cell r="A270" t="str">
            <v>IKN401569</v>
          </cell>
          <cell r="B270">
            <v>1508</v>
          </cell>
          <cell r="C270" t="str">
            <v>Institut Kanser Negara</v>
          </cell>
          <cell r="D270" t="e">
            <v>#N/A</v>
          </cell>
          <cell r="E270" t="str">
            <v>13-325</v>
          </cell>
          <cell r="F270" t="str">
            <v>Regulators, Suction</v>
          </cell>
          <cell r="G270" t="str">
            <v>DO</v>
          </cell>
          <cell r="H270" t="str">
            <v>DAY ONCOLOGY UNIT</v>
          </cell>
          <cell r="I270" t="str">
            <v>04DO118</v>
          </cell>
          <cell r="J270" t="str">
            <v>TREATMENT BAY 1</v>
          </cell>
          <cell r="K270" t="str">
            <v>BMED</v>
          </cell>
          <cell r="L270" t="str">
            <v>Normal</v>
          </cell>
          <cell r="M270" t="str">
            <v>United States</v>
          </cell>
          <cell r="N270" t="str">
            <v>OHIO</v>
          </cell>
          <cell r="O270" t="str">
            <v>R244047311229905</v>
          </cell>
          <cell r="P270" t="str">
            <v>GPHS65193</v>
          </cell>
          <cell r="Q270" t="str">
            <v>Not Applicable</v>
          </cell>
          <cell r="R270" t="str">
            <v>OHIO</v>
          </cell>
          <cell r="S270" t="str">
            <v>Respimedic</v>
          </cell>
          <cell r="T270" t="str">
            <v>Functioning</v>
          </cell>
          <cell r="U270" t="str">
            <v>Asset</v>
          </cell>
          <cell r="V270">
            <v>920</v>
          </cell>
          <cell r="W270" t="str">
            <v>KEW</v>
          </cell>
          <cell r="X270" t="str">
            <v>01/09/2010</v>
          </cell>
          <cell r="Y270" t="str">
            <v>KEW</v>
          </cell>
          <cell r="Z270" t="str">
            <v>16/08/2013</v>
          </cell>
          <cell r="AA270" t="str">
            <v>15/08/2015</v>
          </cell>
          <cell r="AB270" t="str">
            <v>No</v>
          </cell>
          <cell r="AC270" t="str">
            <v>31/08/2013</v>
          </cell>
          <cell r="AD270" t="str">
            <v>Good</v>
          </cell>
          <cell r="AE270" t="str">
            <v>V4 - Decommissioned Installed Facility</v>
          </cell>
          <cell r="AF270">
            <v>42935</v>
          </cell>
          <cell r="AG270">
            <v>9.17</v>
          </cell>
          <cell r="AH270" t="str">
            <v>RI</v>
          </cell>
          <cell r="AI270" t="str">
            <v>Not in contract</v>
          </cell>
          <cell r="AJ270" t="str">
            <v>Not under maintenance</v>
          </cell>
          <cell r="AK270" t="e">
            <v>#N/A</v>
          </cell>
        </row>
        <row r="271">
          <cell r="A271" t="str">
            <v>IKN401570</v>
          </cell>
          <cell r="B271">
            <v>1509</v>
          </cell>
          <cell r="C271" t="str">
            <v>Institut Kanser Negara</v>
          </cell>
          <cell r="D271" t="e">
            <v>#N/A</v>
          </cell>
          <cell r="E271" t="str">
            <v>13-325</v>
          </cell>
          <cell r="F271" t="str">
            <v>Regulators, Suction</v>
          </cell>
          <cell r="G271" t="str">
            <v>DO</v>
          </cell>
          <cell r="H271" t="str">
            <v>DAY ONCOLOGY UNIT</v>
          </cell>
          <cell r="I271" t="str">
            <v>04DO121</v>
          </cell>
          <cell r="J271" t="str">
            <v>TREATMENT BAY 4</v>
          </cell>
          <cell r="K271" t="str">
            <v>BMED</v>
          </cell>
          <cell r="L271" t="str">
            <v>Normal</v>
          </cell>
          <cell r="M271" t="str">
            <v>United States</v>
          </cell>
          <cell r="N271" t="str">
            <v>OHIO</v>
          </cell>
          <cell r="O271" t="str">
            <v>R244047311229905</v>
          </cell>
          <cell r="P271" t="str">
            <v>GPHS65195</v>
          </cell>
          <cell r="Q271" t="str">
            <v>Not Applicable</v>
          </cell>
          <cell r="R271" t="str">
            <v>OHIO</v>
          </cell>
          <cell r="S271" t="str">
            <v>Respimedic</v>
          </cell>
          <cell r="T271" t="str">
            <v>Functioning</v>
          </cell>
          <cell r="U271" t="str">
            <v>Asset</v>
          </cell>
          <cell r="V271">
            <v>920</v>
          </cell>
          <cell r="W271" t="str">
            <v>KEW</v>
          </cell>
          <cell r="X271" t="str">
            <v>01/09/2010</v>
          </cell>
          <cell r="Y271" t="str">
            <v>KEW</v>
          </cell>
          <cell r="Z271" t="str">
            <v>16/08/2013</v>
          </cell>
          <cell r="AA271" t="str">
            <v>15/08/2015</v>
          </cell>
          <cell r="AB271" t="str">
            <v>No</v>
          </cell>
          <cell r="AC271" t="str">
            <v>31/08/2013</v>
          </cell>
          <cell r="AD271" t="str">
            <v>Good</v>
          </cell>
          <cell r="AE271" t="str">
            <v>V4 - Decommissioned Installed Facility</v>
          </cell>
          <cell r="AF271">
            <v>42935</v>
          </cell>
          <cell r="AG271">
            <v>9.17</v>
          </cell>
          <cell r="AH271" t="str">
            <v>RI</v>
          </cell>
          <cell r="AI271" t="str">
            <v>Not in contract</v>
          </cell>
          <cell r="AJ271" t="str">
            <v>Not under maintenance</v>
          </cell>
          <cell r="AK271" t="e">
            <v>#N/A</v>
          </cell>
        </row>
        <row r="272">
          <cell r="A272" t="str">
            <v>IKN401571</v>
          </cell>
          <cell r="B272">
            <v>1510</v>
          </cell>
          <cell r="C272" t="str">
            <v>Institut Kanser Negara</v>
          </cell>
          <cell r="D272" t="e">
            <v>#N/A</v>
          </cell>
          <cell r="E272" t="str">
            <v>13-325</v>
          </cell>
          <cell r="F272" t="str">
            <v>Regulators, Suction</v>
          </cell>
          <cell r="G272" t="str">
            <v>DO</v>
          </cell>
          <cell r="H272" t="str">
            <v>DAY ONCOLOGY UNIT</v>
          </cell>
          <cell r="I272" t="str">
            <v>04DO118</v>
          </cell>
          <cell r="J272" t="str">
            <v>TREATMENT BAY 1</v>
          </cell>
          <cell r="K272" t="str">
            <v>BMED</v>
          </cell>
          <cell r="L272" t="str">
            <v>Normal</v>
          </cell>
          <cell r="M272" t="str">
            <v>United States</v>
          </cell>
          <cell r="N272" t="str">
            <v>OHIO</v>
          </cell>
          <cell r="O272" t="str">
            <v>R244047311229905</v>
          </cell>
          <cell r="P272" t="str">
            <v>GPHS65172</v>
          </cell>
          <cell r="Q272" t="str">
            <v>Not Applicable</v>
          </cell>
          <cell r="R272" t="str">
            <v>OHIO</v>
          </cell>
          <cell r="S272" t="str">
            <v>Respimedic</v>
          </cell>
          <cell r="T272" t="str">
            <v>Functioning</v>
          </cell>
          <cell r="U272" t="str">
            <v>Asset</v>
          </cell>
          <cell r="V272">
            <v>920</v>
          </cell>
          <cell r="W272" t="str">
            <v>KEW</v>
          </cell>
          <cell r="X272" t="str">
            <v>01/09/2010</v>
          </cell>
          <cell r="Y272" t="str">
            <v>KEW</v>
          </cell>
          <cell r="Z272" t="str">
            <v>16/08/2013</v>
          </cell>
          <cell r="AA272" t="str">
            <v>15/08/2015</v>
          </cell>
          <cell r="AB272" t="str">
            <v>No</v>
          </cell>
          <cell r="AC272" t="str">
            <v>31/08/2013</v>
          </cell>
          <cell r="AD272" t="str">
            <v>Good</v>
          </cell>
          <cell r="AE272" t="str">
            <v>V4 - Decommissioned Installed Facility</v>
          </cell>
          <cell r="AF272">
            <v>42935</v>
          </cell>
          <cell r="AG272">
            <v>9.17</v>
          </cell>
          <cell r="AH272" t="str">
            <v>RI</v>
          </cell>
          <cell r="AI272" t="str">
            <v>Not in contract</v>
          </cell>
          <cell r="AJ272" t="str">
            <v>Not under maintenance</v>
          </cell>
          <cell r="AK272" t="e">
            <v>#N/A</v>
          </cell>
        </row>
        <row r="273">
          <cell r="A273" t="str">
            <v>IKN401572</v>
          </cell>
          <cell r="B273">
            <v>1511</v>
          </cell>
          <cell r="C273" t="str">
            <v>Institut Kanser Negara</v>
          </cell>
          <cell r="D273" t="e">
            <v>#N/A</v>
          </cell>
          <cell r="E273" t="str">
            <v>13-325</v>
          </cell>
          <cell r="F273" t="str">
            <v>Regulators, Suction</v>
          </cell>
          <cell r="G273" t="str">
            <v>DO</v>
          </cell>
          <cell r="H273" t="str">
            <v>DAY ONCOLOGY UNIT</v>
          </cell>
          <cell r="I273" t="str">
            <v>04DO120</v>
          </cell>
          <cell r="J273" t="str">
            <v>TREATMENT BAY 3</v>
          </cell>
          <cell r="K273" t="str">
            <v>BMED</v>
          </cell>
          <cell r="L273" t="str">
            <v>Normal</v>
          </cell>
          <cell r="M273" t="str">
            <v>United States</v>
          </cell>
          <cell r="N273" t="str">
            <v>OHIO</v>
          </cell>
          <cell r="O273" t="str">
            <v>R244047311229905</v>
          </cell>
          <cell r="P273" t="str">
            <v>GPHS65171</v>
          </cell>
          <cell r="Q273" t="str">
            <v>Not Applicable</v>
          </cell>
          <cell r="R273" t="str">
            <v>OHIO</v>
          </cell>
          <cell r="S273" t="str">
            <v>Respimedic</v>
          </cell>
          <cell r="T273" t="str">
            <v>Functioning</v>
          </cell>
          <cell r="U273" t="str">
            <v>Asset</v>
          </cell>
          <cell r="V273">
            <v>920</v>
          </cell>
          <cell r="W273" t="str">
            <v>KEW</v>
          </cell>
          <cell r="X273" t="str">
            <v>01/09/2010</v>
          </cell>
          <cell r="Y273" t="str">
            <v>KEW</v>
          </cell>
          <cell r="Z273" t="str">
            <v>16/08/2013</v>
          </cell>
          <cell r="AA273" t="str">
            <v>15/08/2015</v>
          </cell>
          <cell r="AB273" t="str">
            <v>No</v>
          </cell>
          <cell r="AC273" t="str">
            <v>31/08/2013</v>
          </cell>
          <cell r="AD273" t="str">
            <v>Good</v>
          </cell>
          <cell r="AE273" t="str">
            <v>V4 - Decommissioned Installed Facility</v>
          </cell>
          <cell r="AF273">
            <v>42935</v>
          </cell>
          <cell r="AG273">
            <v>9.17</v>
          </cell>
          <cell r="AH273" t="str">
            <v>RI</v>
          </cell>
          <cell r="AI273" t="str">
            <v>Not in contract</v>
          </cell>
          <cell r="AJ273" t="str">
            <v>Not under maintenance</v>
          </cell>
          <cell r="AK273" t="e">
            <v>#N/A</v>
          </cell>
        </row>
        <row r="274">
          <cell r="A274" t="str">
            <v>IKN401573</v>
          </cell>
          <cell r="B274">
            <v>1512</v>
          </cell>
          <cell r="C274" t="str">
            <v>Institut Kanser Negara</v>
          </cell>
          <cell r="D274" t="e">
            <v>#N/A</v>
          </cell>
          <cell r="E274" t="str">
            <v>13-325</v>
          </cell>
          <cell r="F274" t="str">
            <v>Regulators, Suction</v>
          </cell>
          <cell r="G274" t="str">
            <v>DO</v>
          </cell>
          <cell r="H274" t="str">
            <v>DAY ONCOLOGY UNIT</v>
          </cell>
          <cell r="I274" t="str">
            <v>04DO119</v>
          </cell>
          <cell r="J274" t="str">
            <v>TREATMENT BAY 2</v>
          </cell>
          <cell r="K274" t="str">
            <v>BMED</v>
          </cell>
          <cell r="L274" t="str">
            <v>Normal</v>
          </cell>
          <cell r="M274" t="str">
            <v>United States</v>
          </cell>
          <cell r="N274" t="str">
            <v>OHIO</v>
          </cell>
          <cell r="O274" t="str">
            <v>R244047311229905</v>
          </cell>
          <cell r="P274" t="str">
            <v>GPHS65081</v>
          </cell>
          <cell r="Q274" t="str">
            <v>Not Applicable</v>
          </cell>
          <cell r="R274" t="str">
            <v>OHIO</v>
          </cell>
          <cell r="S274" t="str">
            <v>Respimedic</v>
          </cell>
          <cell r="T274" t="str">
            <v>Functioning</v>
          </cell>
          <cell r="U274" t="str">
            <v>Asset</v>
          </cell>
          <cell r="V274">
            <v>920</v>
          </cell>
          <cell r="W274" t="str">
            <v>KEW</v>
          </cell>
          <cell r="X274" t="str">
            <v>01/09/2010</v>
          </cell>
          <cell r="Y274" t="str">
            <v>KEW</v>
          </cell>
          <cell r="Z274" t="str">
            <v>16/08/2013</v>
          </cell>
          <cell r="AA274" t="str">
            <v>15/08/2015</v>
          </cell>
          <cell r="AB274" t="str">
            <v>No</v>
          </cell>
          <cell r="AC274" t="str">
            <v>31/08/2013</v>
          </cell>
          <cell r="AD274" t="str">
            <v>Good</v>
          </cell>
          <cell r="AE274" t="str">
            <v>V4 - Decommissioned Installed Facility</v>
          </cell>
          <cell r="AF274">
            <v>42935</v>
          </cell>
          <cell r="AG274">
            <v>9.17</v>
          </cell>
          <cell r="AH274" t="str">
            <v>RI</v>
          </cell>
          <cell r="AI274" t="str">
            <v>Not in contract</v>
          </cell>
          <cell r="AJ274" t="str">
            <v>Not under maintenance</v>
          </cell>
          <cell r="AK274" t="e">
            <v>#N/A</v>
          </cell>
        </row>
        <row r="275">
          <cell r="A275" t="str">
            <v>IKN401574</v>
          </cell>
          <cell r="B275">
            <v>1513</v>
          </cell>
          <cell r="C275" t="str">
            <v>Institut Kanser Negara</v>
          </cell>
          <cell r="D275" t="e">
            <v>#N/A</v>
          </cell>
          <cell r="E275" t="str">
            <v>13-325</v>
          </cell>
          <cell r="F275" t="str">
            <v>Regulators, Suction</v>
          </cell>
          <cell r="G275" t="str">
            <v>DO</v>
          </cell>
          <cell r="H275" t="str">
            <v>DAY ONCOLOGY UNIT</v>
          </cell>
          <cell r="I275" t="str">
            <v>04DO120</v>
          </cell>
          <cell r="J275" t="str">
            <v>TREATMENT BAY 3</v>
          </cell>
          <cell r="K275" t="str">
            <v>BMED</v>
          </cell>
          <cell r="L275" t="str">
            <v>Normal</v>
          </cell>
          <cell r="M275" t="str">
            <v>United States</v>
          </cell>
          <cell r="N275" t="str">
            <v>OHIO</v>
          </cell>
          <cell r="O275" t="str">
            <v>R244047311229905</v>
          </cell>
          <cell r="P275" t="str">
            <v>GPHS65085</v>
          </cell>
          <cell r="Q275" t="str">
            <v>Not Applicable</v>
          </cell>
          <cell r="R275" t="str">
            <v>OHIO</v>
          </cell>
          <cell r="S275" t="str">
            <v>Respimedic</v>
          </cell>
          <cell r="T275" t="str">
            <v>Functioning</v>
          </cell>
          <cell r="U275" t="str">
            <v>Asset</v>
          </cell>
          <cell r="V275">
            <v>920</v>
          </cell>
          <cell r="W275" t="str">
            <v>KEW</v>
          </cell>
          <cell r="X275" t="str">
            <v>01/09/2010</v>
          </cell>
          <cell r="Y275" t="str">
            <v>KEW</v>
          </cell>
          <cell r="Z275" t="str">
            <v>16/08/2013</v>
          </cell>
          <cell r="AA275" t="str">
            <v>15/08/2015</v>
          </cell>
          <cell r="AB275" t="str">
            <v>No</v>
          </cell>
          <cell r="AC275" t="str">
            <v>31/08/2013</v>
          </cell>
          <cell r="AD275" t="str">
            <v>Good</v>
          </cell>
          <cell r="AE275" t="str">
            <v>V4 - Decommissioned Installed Facility</v>
          </cell>
          <cell r="AF275">
            <v>42935</v>
          </cell>
          <cell r="AG275">
            <v>9.17</v>
          </cell>
          <cell r="AH275" t="str">
            <v>RI</v>
          </cell>
          <cell r="AI275" t="str">
            <v>Not in contract</v>
          </cell>
          <cell r="AJ275" t="str">
            <v>Not under maintenance</v>
          </cell>
          <cell r="AK275" t="e">
            <v>#N/A</v>
          </cell>
        </row>
        <row r="276">
          <cell r="A276" t="str">
            <v>IKN401575</v>
          </cell>
          <cell r="B276">
            <v>1514</v>
          </cell>
          <cell r="C276" t="str">
            <v>Institut Kanser Negara</v>
          </cell>
          <cell r="D276" t="e">
            <v>#N/A</v>
          </cell>
          <cell r="E276" t="str">
            <v>13-325</v>
          </cell>
          <cell r="F276" t="str">
            <v>Regulators, Suction</v>
          </cell>
          <cell r="G276" t="str">
            <v>DO</v>
          </cell>
          <cell r="H276" t="str">
            <v>DAY ONCOLOGY UNIT</v>
          </cell>
          <cell r="I276" t="str">
            <v>04DO124</v>
          </cell>
          <cell r="J276" t="str">
            <v>TREATMENT ROOM</v>
          </cell>
          <cell r="K276" t="str">
            <v>BMED</v>
          </cell>
          <cell r="L276" t="str">
            <v>Normal</v>
          </cell>
          <cell r="M276" t="str">
            <v>United States</v>
          </cell>
          <cell r="N276" t="str">
            <v>OHIO</v>
          </cell>
          <cell r="O276" t="str">
            <v>R244047311229905</v>
          </cell>
          <cell r="P276" t="str">
            <v>GPHS65180</v>
          </cell>
          <cell r="Q276" t="str">
            <v>Not Applicable</v>
          </cell>
          <cell r="R276" t="str">
            <v>OHIO</v>
          </cell>
          <cell r="S276" t="str">
            <v>Respimedic</v>
          </cell>
          <cell r="T276" t="str">
            <v>Functioning</v>
          </cell>
          <cell r="U276" t="str">
            <v>Asset</v>
          </cell>
          <cell r="V276">
            <v>920</v>
          </cell>
          <cell r="W276" t="str">
            <v>KEW</v>
          </cell>
          <cell r="X276" t="str">
            <v>01/09/2010</v>
          </cell>
          <cell r="Y276" t="str">
            <v>KEW</v>
          </cell>
          <cell r="Z276" t="str">
            <v>16/08/2013</v>
          </cell>
          <cell r="AA276" t="str">
            <v>15/08/2015</v>
          </cell>
          <cell r="AB276" t="str">
            <v>No</v>
          </cell>
          <cell r="AC276" t="str">
            <v>31/08/2013</v>
          </cell>
          <cell r="AD276" t="str">
            <v>Good</v>
          </cell>
          <cell r="AE276" t="str">
            <v>V4 - Decommissioned Installed Facility</v>
          </cell>
          <cell r="AF276">
            <v>42935</v>
          </cell>
          <cell r="AG276">
            <v>9.17</v>
          </cell>
          <cell r="AH276" t="str">
            <v>RI</v>
          </cell>
          <cell r="AI276" t="str">
            <v>Not in contract</v>
          </cell>
          <cell r="AJ276" t="str">
            <v>Not under maintenance</v>
          </cell>
          <cell r="AK276" t="e">
            <v>#N/A</v>
          </cell>
        </row>
        <row r="277">
          <cell r="A277" t="str">
            <v>IKN401576</v>
          </cell>
          <cell r="B277">
            <v>1515</v>
          </cell>
          <cell r="C277" t="str">
            <v>Institut Kanser Negara</v>
          </cell>
          <cell r="D277" t="e">
            <v>#N/A</v>
          </cell>
          <cell r="E277" t="str">
            <v>13-325</v>
          </cell>
          <cell r="F277" t="str">
            <v>Regulators, Suction</v>
          </cell>
          <cell r="G277" t="str">
            <v>DO</v>
          </cell>
          <cell r="H277" t="str">
            <v>DAY ONCOLOGY UNIT</v>
          </cell>
          <cell r="I277" t="str">
            <v>04DO121</v>
          </cell>
          <cell r="J277" t="str">
            <v>TREATMENT BAY 4</v>
          </cell>
          <cell r="K277" t="str">
            <v>BMED</v>
          </cell>
          <cell r="L277" t="str">
            <v>Normal</v>
          </cell>
          <cell r="M277" t="str">
            <v>United States</v>
          </cell>
          <cell r="N277" t="str">
            <v>OHIO</v>
          </cell>
          <cell r="O277" t="str">
            <v>R244047311229905</v>
          </cell>
          <cell r="P277" t="str">
            <v>GPHS65041</v>
          </cell>
          <cell r="Q277" t="str">
            <v>Not Applicable</v>
          </cell>
          <cell r="R277" t="str">
            <v>OHIO</v>
          </cell>
          <cell r="S277" t="str">
            <v>Respimedic</v>
          </cell>
          <cell r="T277" t="str">
            <v>Functioning</v>
          </cell>
          <cell r="U277" t="str">
            <v>Asset</v>
          </cell>
          <cell r="V277">
            <v>920</v>
          </cell>
          <cell r="W277" t="str">
            <v>KEW</v>
          </cell>
          <cell r="X277" t="str">
            <v>01/09/2010</v>
          </cell>
          <cell r="Y277" t="str">
            <v>KEW</v>
          </cell>
          <cell r="Z277" t="str">
            <v>16/08/2013</v>
          </cell>
          <cell r="AA277" t="str">
            <v>15/08/2015</v>
          </cell>
          <cell r="AB277" t="str">
            <v>No</v>
          </cell>
          <cell r="AC277" t="str">
            <v>31/08/2013</v>
          </cell>
          <cell r="AD277" t="str">
            <v>Good</v>
          </cell>
          <cell r="AE277" t="str">
            <v>V4 - Decommissioned Installed Facility</v>
          </cell>
          <cell r="AF277">
            <v>42935</v>
          </cell>
          <cell r="AG277">
            <v>9.17</v>
          </cell>
          <cell r="AH277" t="str">
            <v>RI</v>
          </cell>
          <cell r="AI277" t="str">
            <v>Not in contract</v>
          </cell>
          <cell r="AJ277" t="str">
            <v>Not under maintenance</v>
          </cell>
          <cell r="AK277" t="e">
            <v>#N/A</v>
          </cell>
        </row>
        <row r="278">
          <cell r="A278" t="str">
            <v>IKN401577</v>
          </cell>
          <cell r="B278">
            <v>1516</v>
          </cell>
          <cell r="C278" t="str">
            <v>Institut Kanser Negara</v>
          </cell>
          <cell r="D278" t="e">
            <v>#N/A</v>
          </cell>
          <cell r="E278" t="str">
            <v>13-325</v>
          </cell>
          <cell r="F278" t="str">
            <v>Regulators, Suction</v>
          </cell>
          <cell r="G278" t="str">
            <v>DO</v>
          </cell>
          <cell r="H278" t="str">
            <v>DAY ONCOLOGY UNIT</v>
          </cell>
          <cell r="I278" t="str">
            <v>04DO119</v>
          </cell>
          <cell r="J278" t="str">
            <v>TREATMENT BAY 2</v>
          </cell>
          <cell r="K278" t="str">
            <v>BMED</v>
          </cell>
          <cell r="L278" t="str">
            <v>Normal</v>
          </cell>
          <cell r="M278" t="str">
            <v>United States</v>
          </cell>
          <cell r="N278" t="str">
            <v>OHIO</v>
          </cell>
          <cell r="O278" t="str">
            <v>R244047311229905</v>
          </cell>
          <cell r="P278" t="str">
            <v>GPHS65199</v>
          </cell>
          <cell r="Q278" t="str">
            <v>Not Applicable</v>
          </cell>
          <cell r="R278" t="str">
            <v>OHIO</v>
          </cell>
          <cell r="S278" t="str">
            <v>Respimedic</v>
          </cell>
          <cell r="T278" t="str">
            <v>Functioning</v>
          </cell>
          <cell r="U278" t="str">
            <v>Asset</v>
          </cell>
          <cell r="V278">
            <v>920</v>
          </cell>
          <cell r="W278" t="str">
            <v>KEW</v>
          </cell>
          <cell r="X278" t="str">
            <v>01/09/2010</v>
          </cell>
          <cell r="Y278" t="str">
            <v>KEW</v>
          </cell>
          <cell r="Z278" t="str">
            <v>16/08/2013</v>
          </cell>
          <cell r="AA278" t="str">
            <v>15/08/2015</v>
          </cell>
          <cell r="AB278" t="str">
            <v>No</v>
          </cell>
          <cell r="AC278" t="str">
            <v>31/08/2013</v>
          </cell>
          <cell r="AD278" t="str">
            <v>Good</v>
          </cell>
          <cell r="AE278" t="str">
            <v>V4 - Decommissioned Installed Facility</v>
          </cell>
          <cell r="AF278">
            <v>42937</v>
          </cell>
          <cell r="AG278">
            <v>9.17</v>
          </cell>
          <cell r="AH278" t="str">
            <v>RI</v>
          </cell>
          <cell r="AI278" t="str">
            <v>Not in contract</v>
          </cell>
          <cell r="AJ278" t="str">
            <v>Not under maintenance</v>
          </cell>
          <cell r="AK278" t="e">
            <v>#N/A</v>
          </cell>
        </row>
        <row r="279">
          <cell r="A279" t="str">
            <v>IKN401578</v>
          </cell>
          <cell r="B279">
            <v>1517</v>
          </cell>
          <cell r="C279" t="str">
            <v>Institut Kanser Negara</v>
          </cell>
          <cell r="D279" t="e">
            <v>#N/A</v>
          </cell>
          <cell r="E279" t="str">
            <v>13-325</v>
          </cell>
          <cell r="F279" t="str">
            <v>Regulators, Suction</v>
          </cell>
          <cell r="G279" t="str">
            <v>DO</v>
          </cell>
          <cell r="H279" t="str">
            <v>DAY ONCOLOGY UNIT</v>
          </cell>
          <cell r="I279" t="str">
            <v>04DO119</v>
          </cell>
          <cell r="J279" t="str">
            <v>TREATMENT BAY 2</v>
          </cell>
          <cell r="K279" t="str">
            <v>BMED</v>
          </cell>
          <cell r="L279" t="str">
            <v>Normal</v>
          </cell>
          <cell r="M279" t="str">
            <v>United States</v>
          </cell>
          <cell r="N279" t="str">
            <v>OHIO</v>
          </cell>
          <cell r="O279" t="str">
            <v>R244047311229905</v>
          </cell>
          <cell r="P279" t="str">
            <v>GPHS65194</v>
          </cell>
          <cell r="Q279" t="str">
            <v>Not Applicable</v>
          </cell>
          <cell r="R279" t="str">
            <v>OHIO</v>
          </cell>
          <cell r="S279" t="str">
            <v>Respimedic</v>
          </cell>
          <cell r="T279" t="str">
            <v>Functioning</v>
          </cell>
          <cell r="U279" t="str">
            <v>Asset</v>
          </cell>
          <cell r="V279">
            <v>920</v>
          </cell>
          <cell r="W279" t="str">
            <v>KEW</v>
          </cell>
          <cell r="X279" t="str">
            <v>01/09/2010</v>
          </cell>
          <cell r="Y279" t="str">
            <v>KEW</v>
          </cell>
          <cell r="Z279" t="str">
            <v>16/08/2013</v>
          </cell>
          <cell r="AA279" t="str">
            <v>15/08/2015</v>
          </cell>
          <cell r="AB279" t="str">
            <v>No</v>
          </cell>
          <cell r="AC279" t="str">
            <v>31/08/2013</v>
          </cell>
          <cell r="AD279" t="str">
            <v>Good</v>
          </cell>
          <cell r="AE279" t="str">
            <v>V4 - Decommissioned Installed Facility</v>
          </cell>
          <cell r="AF279">
            <v>42937</v>
          </cell>
          <cell r="AG279">
            <v>9.17</v>
          </cell>
          <cell r="AH279" t="str">
            <v>RI</v>
          </cell>
          <cell r="AI279" t="str">
            <v>Not in contract</v>
          </cell>
          <cell r="AJ279" t="str">
            <v>Not under maintenance</v>
          </cell>
          <cell r="AK279" t="e">
            <v>#N/A</v>
          </cell>
        </row>
        <row r="280">
          <cell r="A280" t="str">
            <v>IKN401579</v>
          </cell>
          <cell r="B280">
            <v>1518</v>
          </cell>
          <cell r="C280" t="str">
            <v>Institut Kanser Negara</v>
          </cell>
          <cell r="D280" t="e">
            <v>#N/A</v>
          </cell>
          <cell r="E280" t="str">
            <v>13-325</v>
          </cell>
          <cell r="F280" t="str">
            <v>Regulators, Suction</v>
          </cell>
          <cell r="G280" t="str">
            <v>DO</v>
          </cell>
          <cell r="H280" t="str">
            <v>DAY ONCOLOGY UNIT</v>
          </cell>
          <cell r="I280" t="str">
            <v>04DO125</v>
          </cell>
          <cell r="J280" t="str">
            <v>PROCEDURE ROOM</v>
          </cell>
          <cell r="K280" t="str">
            <v>BMED</v>
          </cell>
          <cell r="L280" t="str">
            <v>Normal</v>
          </cell>
          <cell r="M280" t="str">
            <v>United States</v>
          </cell>
          <cell r="N280" t="str">
            <v>OHIO</v>
          </cell>
          <cell r="O280" t="str">
            <v>R244047311229905</v>
          </cell>
          <cell r="P280" t="str">
            <v>GPHS65170</v>
          </cell>
          <cell r="Q280" t="str">
            <v>Not Applicable</v>
          </cell>
          <cell r="R280" t="str">
            <v>OHIO</v>
          </cell>
          <cell r="S280" t="str">
            <v>Respimedic</v>
          </cell>
          <cell r="T280" t="str">
            <v>Functioning</v>
          </cell>
          <cell r="U280" t="str">
            <v>Asset</v>
          </cell>
          <cell r="V280">
            <v>920</v>
          </cell>
          <cell r="W280" t="str">
            <v>KEW</v>
          </cell>
          <cell r="X280" t="str">
            <v>01/09/2010</v>
          </cell>
          <cell r="Y280" t="str">
            <v>KEW</v>
          </cell>
          <cell r="Z280" t="str">
            <v>16/08/2013</v>
          </cell>
          <cell r="AA280" t="str">
            <v>15/08/2015</v>
          </cell>
          <cell r="AB280" t="str">
            <v>No</v>
          </cell>
          <cell r="AC280" t="str">
            <v>31/08/2013</v>
          </cell>
          <cell r="AD280" t="str">
            <v>Good</v>
          </cell>
          <cell r="AE280" t="str">
            <v>V4 - Decommissioned Installed Facility</v>
          </cell>
          <cell r="AF280">
            <v>42937</v>
          </cell>
          <cell r="AG280">
            <v>9.17</v>
          </cell>
          <cell r="AH280" t="str">
            <v>RI</v>
          </cell>
          <cell r="AI280" t="str">
            <v>Not in contract</v>
          </cell>
          <cell r="AJ280" t="str">
            <v>Not under maintenance</v>
          </cell>
          <cell r="AK280" t="e">
            <v>#N/A</v>
          </cell>
        </row>
        <row r="281">
          <cell r="A281" t="str">
            <v>IKN401580</v>
          </cell>
          <cell r="B281">
            <v>1519</v>
          </cell>
          <cell r="C281" t="str">
            <v>Institut Kanser Negara</v>
          </cell>
          <cell r="D281" t="str">
            <v>KKM/IKN/I/13/8957</v>
          </cell>
          <cell r="E281" t="str">
            <v>13-325</v>
          </cell>
          <cell r="F281" t="str">
            <v>Regulators, Suction</v>
          </cell>
          <cell r="G281" t="str">
            <v>DO</v>
          </cell>
          <cell r="H281" t="str">
            <v>DAY ONCOLOGY UNIT</v>
          </cell>
          <cell r="I281" t="str">
            <v>04DO118</v>
          </cell>
          <cell r="J281" t="str">
            <v>TREATMENT BAY 1</v>
          </cell>
          <cell r="K281" t="str">
            <v>BMED</v>
          </cell>
          <cell r="L281" t="str">
            <v>Normal</v>
          </cell>
          <cell r="M281" t="str">
            <v>United States</v>
          </cell>
          <cell r="N281" t="str">
            <v>OHIO</v>
          </cell>
          <cell r="O281" t="str">
            <v>R244047311229905</v>
          </cell>
          <cell r="P281" t="str">
            <v>GPHS65126</v>
          </cell>
          <cell r="Q281" t="str">
            <v>Not Applicable</v>
          </cell>
          <cell r="R281" t="str">
            <v>OHIO</v>
          </cell>
          <cell r="S281" t="str">
            <v>Respimedic</v>
          </cell>
          <cell r="T281" t="str">
            <v>Functioning</v>
          </cell>
          <cell r="U281" t="str">
            <v>Asset</v>
          </cell>
          <cell r="V281">
            <v>920</v>
          </cell>
          <cell r="W281" t="str">
            <v>KEW</v>
          </cell>
          <cell r="X281" t="str">
            <v>01/09/2010</v>
          </cell>
          <cell r="Y281" t="str">
            <v>KEW</v>
          </cell>
          <cell r="Z281" t="str">
            <v>16/08/2013</v>
          </cell>
          <cell r="AA281" t="str">
            <v>15/08/2015</v>
          </cell>
          <cell r="AB281" t="str">
            <v>No</v>
          </cell>
          <cell r="AC281" t="str">
            <v>31/08/2013</v>
          </cell>
          <cell r="AD281" t="str">
            <v>Good</v>
          </cell>
          <cell r="AE281" t="str">
            <v>V4 - Decommissioned Installed Facility</v>
          </cell>
          <cell r="AF281">
            <v>42937</v>
          </cell>
          <cell r="AG281">
            <v>9.17</v>
          </cell>
          <cell r="AH281" t="str">
            <v>RI</v>
          </cell>
          <cell r="AI281" t="str">
            <v>Strands</v>
          </cell>
          <cell r="AJ281" t="str">
            <v>Not under maintenance</v>
          </cell>
        </row>
        <row r="282">
          <cell r="A282" t="str">
            <v>IKN401587</v>
          </cell>
          <cell r="B282">
            <v>1521</v>
          </cell>
          <cell r="C282" t="str">
            <v>Institut Kanser Negara</v>
          </cell>
          <cell r="D282" t="str">
            <v>KKM/IKN/I/13/8958</v>
          </cell>
          <cell r="E282" t="str">
            <v>13-325</v>
          </cell>
          <cell r="F282" t="str">
            <v>Regulators, Suction</v>
          </cell>
          <cell r="G282" t="str">
            <v>WC</v>
          </cell>
          <cell r="H282" t="str">
            <v>SURGICAL ONCO FEMALE WARD</v>
          </cell>
          <cell r="I282" t="str">
            <v>06WC123</v>
          </cell>
          <cell r="J282" t="str">
            <v>ISOLATION 2 (-VE)</v>
          </cell>
          <cell r="K282" t="str">
            <v>BMED</v>
          </cell>
          <cell r="L282" t="str">
            <v>Normal</v>
          </cell>
          <cell r="M282" t="str">
            <v>United States</v>
          </cell>
          <cell r="N282" t="str">
            <v>OHIO</v>
          </cell>
          <cell r="O282" t="str">
            <v>R244047311229905</v>
          </cell>
          <cell r="P282" t="str">
            <v>GPHS65102</v>
          </cell>
          <cell r="Q282" t="str">
            <v>Not Applicable</v>
          </cell>
          <cell r="R282" t="str">
            <v>OHIO</v>
          </cell>
          <cell r="S282" t="str">
            <v>Respimedic</v>
          </cell>
          <cell r="T282" t="str">
            <v>Functioning</v>
          </cell>
          <cell r="U282" t="str">
            <v>Asset</v>
          </cell>
          <cell r="V282">
            <v>920</v>
          </cell>
          <cell r="W282" t="str">
            <v>KEW</v>
          </cell>
          <cell r="X282" t="str">
            <v>01/09/2010</v>
          </cell>
          <cell r="Y282" t="str">
            <v>KEW</v>
          </cell>
          <cell r="Z282" t="str">
            <v>16/08/2013</v>
          </cell>
          <cell r="AA282" t="str">
            <v>15/08/2015</v>
          </cell>
          <cell r="AB282" t="str">
            <v>No</v>
          </cell>
          <cell r="AC282" t="str">
            <v>31/08/2013</v>
          </cell>
          <cell r="AD282" t="str">
            <v>Good</v>
          </cell>
          <cell r="AE282" t="str">
            <v>V4 - Decommissioned Installed Facility</v>
          </cell>
          <cell r="AF282">
            <v>42926</v>
          </cell>
          <cell r="AG282">
            <v>9.17</v>
          </cell>
          <cell r="AH282" t="str">
            <v>RI</v>
          </cell>
          <cell r="AI282" t="str">
            <v>Strands</v>
          </cell>
          <cell r="AJ282" t="str">
            <v>Not under maintenance</v>
          </cell>
        </row>
        <row r="283">
          <cell r="A283" t="str">
            <v>IKN401588</v>
          </cell>
          <cell r="B283">
            <v>1522</v>
          </cell>
          <cell r="C283" t="str">
            <v>Institut Kanser Negara</v>
          </cell>
          <cell r="D283" t="str">
            <v>KKM/IKN/I/13/8954</v>
          </cell>
          <cell r="E283" t="str">
            <v>13-325</v>
          </cell>
          <cell r="F283" t="str">
            <v>Regulators, Suction</v>
          </cell>
          <cell r="G283" t="str">
            <v>WC</v>
          </cell>
          <cell r="H283" t="str">
            <v>SURGICAL ONCO FEMALE WARD</v>
          </cell>
          <cell r="I283" t="str">
            <v>06WC113</v>
          </cell>
          <cell r="J283" t="str">
            <v>EQUIPMENT ROOM</v>
          </cell>
          <cell r="K283" t="str">
            <v>BMED</v>
          </cell>
          <cell r="L283" t="str">
            <v>Normal</v>
          </cell>
          <cell r="M283" t="str">
            <v>United States</v>
          </cell>
          <cell r="N283" t="str">
            <v>OHIO</v>
          </cell>
          <cell r="O283" t="str">
            <v>R244047311229905</v>
          </cell>
          <cell r="P283" t="str">
            <v>GPHS65131</v>
          </cell>
          <cell r="Q283" t="str">
            <v>Not Applicable</v>
          </cell>
          <cell r="R283" t="str">
            <v>OHIO</v>
          </cell>
          <cell r="S283" t="str">
            <v>Respimedic</v>
          </cell>
          <cell r="T283" t="str">
            <v>Functioning</v>
          </cell>
          <cell r="U283" t="str">
            <v>Asset</v>
          </cell>
          <cell r="V283">
            <v>920</v>
          </cell>
          <cell r="W283" t="str">
            <v>KEW</v>
          </cell>
          <cell r="X283" t="str">
            <v>01/09/2010</v>
          </cell>
          <cell r="Y283" t="str">
            <v>KEW</v>
          </cell>
          <cell r="Z283" t="str">
            <v>16/08/2013</v>
          </cell>
          <cell r="AA283" t="str">
            <v>15/08/2015</v>
          </cell>
          <cell r="AB283" t="str">
            <v>No</v>
          </cell>
          <cell r="AC283" t="str">
            <v>31/08/2013</v>
          </cell>
          <cell r="AD283" t="str">
            <v>Good</v>
          </cell>
          <cell r="AE283" t="str">
            <v>V4 - Decommissioned Installed Facility</v>
          </cell>
          <cell r="AF283">
            <v>42926</v>
          </cell>
          <cell r="AG283">
            <v>9.17</v>
          </cell>
          <cell r="AH283" t="str">
            <v>RI</v>
          </cell>
          <cell r="AI283" t="str">
            <v>Strands</v>
          </cell>
          <cell r="AJ283" t="str">
            <v>Not under maintenance</v>
          </cell>
        </row>
        <row r="284">
          <cell r="A284" t="str">
            <v>IKN401589</v>
          </cell>
          <cell r="B284">
            <v>1523</v>
          </cell>
          <cell r="C284" t="str">
            <v>Institut Kanser Negara</v>
          </cell>
          <cell r="D284" t="str">
            <v>KKM/IKN/I/13/8956</v>
          </cell>
          <cell r="E284" t="str">
            <v>13-325</v>
          </cell>
          <cell r="F284" t="str">
            <v>Regulators, Suction</v>
          </cell>
          <cell r="G284" t="str">
            <v>WC</v>
          </cell>
          <cell r="H284" t="str">
            <v>SURGICAL ONCO FEMALE WARD</v>
          </cell>
          <cell r="I284" t="str">
            <v>06WC113</v>
          </cell>
          <cell r="J284" t="str">
            <v>EQUIPMENT ROOM</v>
          </cell>
          <cell r="K284" t="str">
            <v>BMED</v>
          </cell>
          <cell r="L284" t="str">
            <v>Normal</v>
          </cell>
          <cell r="M284" t="str">
            <v>United States</v>
          </cell>
          <cell r="N284" t="str">
            <v>OHIO</v>
          </cell>
          <cell r="O284" t="str">
            <v>R244047311229905</v>
          </cell>
          <cell r="P284" t="str">
            <v>GPHS65127</v>
          </cell>
          <cell r="Q284" t="str">
            <v>Not Applicable</v>
          </cell>
          <cell r="R284" t="str">
            <v>OHIO</v>
          </cell>
          <cell r="S284" t="str">
            <v>Respimedic</v>
          </cell>
          <cell r="T284" t="str">
            <v>Functioning</v>
          </cell>
          <cell r="U284" t="str">
            <v>Asset</v>
          </cell>
          <cell r="V284">
            <v>920</v>
          </cell>
          <cell r="W284" t="str">
            <v>KEW</v>
          </cell>
          <cell r="X284" t="str">
            <v>01/09/2010</v>
          </cell>
          <cell r="Y284" t="str">
            <v>KEW</v>
          </cell>
          <cell r="Z284" t="str">
            <v>16/08/2013</v>
          </cell>
          <cell r="AA284" t="str">
            <v>15/08/2015</v>
          </cell>
          <cell r="AB284" t="str">
            <v>No</v>
          </cell>
          <cell r="AC284" t="str">
            <v>31/08/2013</v>
          </cell>
          <cell r="AD284" t="str">
            <v>Good</v>
          </cell>
          <cell r="AE284" t="str">
            <v>V4 - Decommissioned Installed Facility</v>
          </cell>
          <cell r="AF284">
            <v>42926</v>
          </cell>
          <cell r="AG284">
            <v>9.17</v>
          </cell>
          <cell r="AH284" t="str">
            <v>RI</v>
          </cell>
          <cell r="AI284" t="str">
            <v>Strands</v>
          </cell>
          <cell r="AJ284" t="str">
            <v>Not under maintenance</v>
          </cell>
        </row>
        <row r="285">
          <cell r="A285" t="str">
            <v>IKN401590</v>
          </cell>
          <cell r="B285">
            <v>1524</v>
          </cell>
          <cell r="C285" t="str">
            <v>Institut Kanser Negara</v>
          </cell>
          <cell r="D285" t="str">
            <v>KKM/IKN/I/13/8951</v>
          </cell>
          <cell r="E285" t="str">
            <v>13-325</v>
          </cell>
          <cell r="F285" t="str">
            <v>Regulators, Suction</v>
          </cell>
          <cell r="G285" t="str">
            <v>WC</v>
          </cell>
          <cell r="H285" t="str">
            <v>SURGICAL ONCO FEMALE WARD</v>
          </cell>
          <cell r="I285" t="str">
            <v>06WC113</v>
          </cell>
          <cell r="J285" t="str">
            <v>EQUIPMENT ROOM</v>
          </cell>
          <cell r="K285" t="str">
            <v>BMED</v>
          </cell>
          <cell r="L285" t="str">
            <v>Normal</v>
          </cell>
          <cell r="M285" t="str">
            <v>United States</v>
          </cell>
          <cell r="N285" t="str">
            <v>OHIO</v>
          </cell>
          <cell r="O285" t="str">
            <v>R244047311229905</v>
          </cell>
          <cell r="P285" t="str">
            <v>GPHS65132</v>
          </cell>
          <cell r="Q285" t="str">
            <v>Not Applicable</v>
          </cell>
          <cell r="R285" t="str">
            <v>OHIO</v>
          </cell>
          <cell r="S285" t="str">
            <v>Respimedic</v>
          </cell>
          <cell r="T285" t="str">
            <v>Functioning</v>
          </cell>
          <cell r="U285" t="str">
            <v>Asset</v>
          </cell>
          <cell r="V285">
            <v>920</v>
          </cell>
          <cell r="W285" t="str">
            <v>KEW</v>
          </cell>
          <cell r="X285" t="str">
            <v>01/09/2010</v>
          </cell>
          <cell r="Y285" t="str">
            <v>KEW</v>
          </cell>
          <cell r="Z285" t="str">
            <v>16/08/2013</v>
          </cell>
          <cell r="AA285" t="str">
            <v>15/08/2015</v>
          </cell>
          <cell r="AB285" t="str">
            <v>No</v>
          </cell>
          <cell r="AC285" t="str">
            <v>31/08/2013</v>
          </cell>
          <cell r="AD285" t="str">
            <v>Good</v>
          </cell>
          <cell r="AE285" t="str">
            <v>V4 - Decommissioned Installed Facility</v>
          </cell>
          <cell r="AF285">
            <v>42926</v>
          </cell>
          <cell r="AG285">
            <v>9.17</v>
          </cell>
          <cell r="AH285" t="str">
            <v>RI</v>
          </cell>
          <cell r="AI285" t="str">
            <v>Strands</v>
          </cell>
          <cell r="AJ285" t="str">
            <v>Not under maintenance</v>
          </cell>
        </row>
        <row r="286">
          <cell r="A286" t="str">
            <v>IKN401591</v>
          </cell>
          <cell r="B286">
            <v>1525</v>
          </cell>
          <cell r="C286" t="str">
            <v>Institut Kanser Negara</v>
          </cell>
          <cell r="D286" t="e">
            <v>#N/A</v>
          </cell>
          <cell r="E286" t="str">
            <v>13-325</v>
          </cell>
          <cell r="F286" t="str">
            <v>Regulators, Suction</v>
          </cell>
          <cell r="G286" t="str">
            <v>WC</v>
          </cell>
          <cell r="H286" t="str">
            <v>SURGICAL ONCO FEMALE WARD</v>
          </cell>
          <cell r="I286" t="str">
            <v>06WC120</v>
          </cell>
          <cell r="J286" t="str">
            <v>ISOLATION 1</v>
          </cell>
          <cell r="K286" t="str">
            <v>BMED</v>
          </cell>
          <cell r="L286" t="str">
            <v>Normal</v>
          </cell>
          <cell r="M286" t="str">
            <v>United States</v>
          </cell>
          <cell r="N286" t="str">
            <v>OHIO</v>
          </cell>
          <cell r="O286" t="str">
            <v>R244047311229905</v>
          </cell>
          <cell r="P286" t="str">
            <v>GPHS65152</v>
          </cell>
          <cell r="Q286" t="str">
            <v>Not Applicable</v>
          </cell>
          <cell r="R286" t="str">
            <v>OHIO</v>
          </cell>
          <cell r="S286" t="str">
            <v>Respimedic</v>
          </cell>
          <cell r="T286" t="str">
            <v>Functioning</v>
          </cell>
          <cell r="U286" t="str">
            <v>Asset</v>
          </cell>
          <cell r="V286">
            <v>920</v>
          </cell>
          <cell r="W286" t="str">
            <v>KEW</v>
          </cell>
          <cell r="X286" t="str">
            <v>01/09/2010</v>
          </cell>
          <cell r="Y286" t="str">
            <v>KEW</v>
          </cell>
          <cell r="Z286" t="str">
            <v>16/08/2013</v>
          </cell>
          <cell r="AA286" t="str">
            <v>15/08/2015</v>
          </cell>
          <cell r="AB286" t="str">
            <v>No</v>
          </cell>
          <cell r="AC286" t="str">
            <v>31/08/2013</v>
          </cell>
          <cell r="AD286" t="str">
            <v>Good</v>
          </cell>
          <cell r="AE286" t="str">
            <v>V4 - Decommissioned Installed Facility</v>
          </cell>
          <cell r="AF286">
            <v>42922</v>
          </cell>
          <cell r="AG286">
            <v>9.17</v>
          </cell>
          <cell r="AH286" t="str">
            <v>RI</v>
          </cell>
          <cell r="AI286" t="str">
            <v>Not in contract</v>
          </cell>
          <cell r="AJ286" t="str">
            <v>Not under maintenance</v>
          </cell>
          <cell r="AK286" t="e">
            <v>#N/A</v>
          </cell>
        </row>
        <row r="287">
          <cell r="A287" t="str">
            <v>IKN401592</v>
          </cell>
          <cell r="B287">
            <v>1526</v>
          </cell>
          <cell r="C287" t="str">
            <v>Institut Kanser Negara</v>
          </cell>
          <cell r="D287" t="e">
            <v>#N/A</v>
          </cell>
          <cell r="E287" t="str">
            <v>13-325</v>
          </cell>
          <cell r="F287" t="str">
            <v>Regulators, Suction</v>
          </cell>
          <cell r="G287" t="str">
            <v>WC</v>
          </cell>
          <cell r="H287" t="str">
            <v>SURGICAL ONCO FEMALE WARD</v>
          </cell>
          <cell r="I287" t="str">
            <v>06WC120</v>
          </cell>
          <cell r="J287" t="str">
            <v>ISOLATION 1</v>
          </cell>
          <cell r="K287" t="str">
            <v>BMED</v>
          </cell>
          <cell r="L287" t="str">
            <v>Normal</v>
          </cell>
          <cell r="M287" t="str">
            <v>United States</v>
          </cell>
          <cell r="N287" t="str">
            <v>OHIO</v>
          </cell>
          <cell r="O287" t="str">
            <v>R244047311229905</v>
          </cell>
          <cell r="P287" t="str">
            <v>GPHS65077</v>
          </cell>
          <cell r="Q287" t="str">
            <v>Not Applicable</v>
          </cell>
          <cell r="R287" t="str">
            <v>OHIO</v>
          </cell>
          <cell r="S287" t="str">
            <v>Respimedic</v>
          </cell>
          <cell r="T287" t="str">
            <v>Functioning</v>
          </cell>
          <cell r="U287" t="str">
            <v>Asset</v>
          </cell>
          <cell r="V287">
            <v>920</v>
          </cell>
          <cell r="W287" t="str">
            <v>KEW</v>
          </cell>
          <cell r="X287" t="str">
            <v>01/09/2010</v>
          </cell>
          <cell r="Y287" t="str">
            <v>KEW</v>
          </cell>
          <cell r="Z287" t="str">
            <v>16/08/2013</v>
          </cell>
          <cell r="AA287" t="str">
            <v>15/08/2015</v>
          </cell>
          <cell r="AB287" t="str">
            <v>No</v>
          </cell>
          <cell r="AC287" t="str">
            <v>31/08/2013</v>
          </cell>
          <cell r="AD287" t="str">
            <v>Good</v>
          </cell>
          <cell r="AE287" t="str">
            <v>V4 - Decommissioned Installed Facility</v>
          </cell>
          <cell r="AF287">
            <v>42926</v>
          </cell>
          <cell r="AG287">
            <v>9.17</v>
          </cell>
          <cell r="AH287" t="str">
            <v>RI</v>
          </cell>
          <cell r="AI287" t="str">
            <v>Not in contract</v>
          </cell>
          <cell r="AJ287" t="str">
            <v>Not under maintenance</v>
          </cell>
          <cell r="AK287" t="e">
            <v>#N/A</v>
          </cell>
        </row>
        <row r="288">
          <cell r="A288" t="str">
            <v>IKN401593</v>
          </cell>
          <cell r="B288">
            <v>1527</v>
          </cell>
          <cell r="C288" t="str">
            <v>Institut Kanser Negara</v>
          </cell>
          <cell r="D288" t="str">
            <v>KKM/IKN/H/13/1492</v>
          </cell>
          <cell r="E288" t="str">
            <v>13-325</v>
          </cell>
          <cell r="F288" t="str">
            <v>Regulators, Suction</v>
          </cell>
          <cell r="G288" t="str">
            <v>WD</v>
          </cell>
          <cell r="H288" t="str">
            <v>RT/ONCO PAED/ADOLESCENT WARD</v>
          </cell>
          <cell r="I288" t="str">
            <v>06WD153</v>
          </cell>
          <cell r="J288" t="str">
            <v>EQP.ROOM</v>
          </cell>
          <cell r="K288" t="str">
            <v>BMED</v>
          </cell>
          <cell r="L288" t="str">
            <v>Normal</v>
          </cell>
          <cell r="M288" t="str">
            <v>United States</v>
          </cell>
          <cell r="N288" t="str">
            <v>OHIO</v>
          </cell>
          <cell r="O288" t="str">
            <v>R244047311229905</v>
          </cell>
          <cell r="P288" t="str">
            <v>GPHS65004</v>
          </cell>
          <cell r="Q288" t="str">
            <v>Not Applicable</v>
          </cell>
          <cell r="R288" t="str">
            <v>OHIO</v>
          </cell>
          <cell r="S288" t="str">
            <v>Respimedic</v>
          </cell>
          <cell r="T288" t="str">
            <v>Functioning</v>
          </cell>
          <cell r="U288" t="str">
            <v>Asset</v>
          </cell>
          <cell r="V288">
            <v>920</v>
          </cell>
          <cell r="W288" t="str">
            <v>KEW</v>
          </cell>
          <cell r="X288" t="str">
            <v>01/09/2010</v>
          </cell>
          <cell r="Y288" t="str">
            <v>KEW</v>
          </cell>
          <cell r="Z288" t="str">
            <v>16/08/2013</v>
          </cell>
          <cell r="AA288" t="str">
            <v>15/08/2015</v>
          </cell>
          <cell r="AB288" t="str">
            <v>No</v>
          </cell>
          <cell r="AC288" t="str">
            <v>31/08/2013</v>
          </cell>
          <cell r="AD288" t="str">
            <v>Good</v>
          </cell>
          <cell r="AE288" t="str">
            <v>V4 - Decommissioned Installed Facility</v>
          </cell>
          <cell r="AF288">
            <v>42927</v>
          </cell>
          <cell r="AG288">
            <v>9.17</v>
          </cell>
          <cell r="AH288" t="str">
            <v>RI</v>
          </cell>
          <cell r="AI288" t="str">
            <v>Strands</v>
          </cell>
          <cell r="AJ288" t="str">
            <v>Not under maintenance</v>
          </cell>
        </row>
        <row r="289">
          <cell r="A289" t="str">
            <v>IKN401594</v>
          </cell>
          <cell r="B289">
            <v>1528</v>
          </cell>
          <cell r="C289" t="str">
            <v>Institut Kanser Negara</v>
          </cell>
          <cell r="D289" t="str">
            <v>KKM/IKN/H/13/1487</v>
          </cell>
          <cell r="E289" t="str">
            <v>13-325</v>
          </cell>
          <cell r="F289" t="str">
            <v>Regulators, Suction</v>
          </cell>
          <cell r="G289" t="str">
            <v>WD</v>
          </cell>
          <cell r="H289" t="str">
            <v>RT/ONCO PAED/ADOLESCENT WARD</v>
          </cell>
          <cell r="I289" t="str">
            <v>06WD111</v>
          </cell>
          <cell r="J289" t="str">
            <v>ISOLATION 1 (+VE)</v>
          </cell>
          <cell r="K289" t="str">
            <v>BMED</v>
          </cell>
          <cell r="L289" t="str">
            <v>Normal</v>
          </cell>
          <cell r="M289" t="str">
            <v>United States</v>
          </cell>
          <cell r="N289" t="str">
            <v>OHIO</v>
          </cell>
          <cell r="O289" t="str">
            <v>R244047311229905</v>
          </cell>
          <cell r="P289" t="str">
            <v>GPHS65058</v>
          </cell>
          <cell r="Q289" t="str">
            <v>Not Applicable</v>
          </cell>
          <cell r="R289" t="str">
            <v>OHIO</v>
          </cell>
          <cell r="S289" t="str">
            <v>Respimedic</v>
          </cell>
          <cell r="T289" t="str">
            <v>Functioning</v>
          </cell>
          <cell r="U289" t="str">
            <v>Asset</v>
          </cell>
          <cell r="V289">
            <v>920</v>
          </cell>
          <cell r="W289" t="str">
            <v>KEW</v>
          </cell>
          <cell r="X289" t="str">
            <v>01/09/2010</v>
          </cell>
          <cell r="Y289" t="str">
            <v>KEW</v>
          </cell>
          <cell r="Z289" t="str">
            <v>16/08/2013</v>
          </cell>
          <cell r="AA289" t="str">
            <v>15/08/2015</v>
          </cell>
          <cell r="AB289" t="str">
            <v>No</v>
          </cell>
          <cell r="AC289" t="str">
            <v>31/08/2013</v>
          </cell>
          <cell r="AD289" t="str">
            <v>Good</v>
          </cell>
          <cell r="AE289" t="str">
            <v>V4 - Decommissioned Installed Facility</v>
          </cell>
          <cell r="AF289">
            <v>42927</v>
          </cell>
          <cell r="AG289">
            <v>9.17</v>
          </cell>
          <cell r="AH289" t="str">
            <v>RI</v>
          </cell>
          <cell r="AI289" t="str">
            <v>Strands</v>
          </cell>
          <cell r="AJ289" t="str">
            <v>Not under maintenance</v>
          </cell>
        </row>
        <row r="290">
          <cell r="A290" t="str">
            <v>IKN401595</v>
          </cell>
          <cell r="B290">
            <v>1529</v>
          </cell>
          <cell r="C290" t="str">
            <v>Institut Kanser Negara</v>
          </cell>
          <cell r="D290" t="str">
            <v>KKM/IKN/H/13/1486</v>
          </cell>
          <cell r="E290" t="str">
            <v>13-325</v>
          </cell>
          <cell r="F290" t="str">
            <v>Regulators, Suction</v>
          </cell>
          <cell r="G290" t="str">
            <v>WD</v>
          </cell>
          <cell r="H290" t="str">
            <v>RT/ONCO PAED/ADOLESCENT WARD</v>
          </cell>
          <cell r="I290" t="str">
            <v>06WD153</v>
          </cell>
          <cell r="J290" t="str">
            <v>EQP.ROOM</v>
          </cell>
          <cell r="K290" t="str">
            <v>BMED</v>
          </cell>
          <cell r="L290" t="str">
            <v>Normal</v>
          </cell>
          <cell r="M290" t="str">
            <v>United States</v>
          </cell>
          <cell r="N290" t="str">
            <v>OHIO</v>
          </cell>
          <cell r="O290" t="str">
            <v>R244047311229905</v>
          </cell>
          <cell r="P290" t="str">
            <v>GPHS65006</v>
          </cell>
          <cell r="Q290" t="str">
            <v>Not Applicable</v>
          </cell>
          <cell r="R290" t="str">
            <v>OHIO</v>
          </cell>
          <cell r="S290" t="str">
            <v>Respimedic</v>
          </cell>
          <cell r="T290" t="str">
            <v>Functioning</v>
          </cell>
          <cell r="U290" t="str">
            <v>Asset</v>
          </cell>
          <cell r="V290">
            <v>920</v>
          </cell>
          <cell r="W290" t="str">
            <v>KEW</v>
          </cell>
          <cell r="X290" t="str">
            <v>01/09/2010</v>
          </cell>
          <cell r="Y290" t="str">
            <v>KEW</v>
          </cell>
          <cell r="Z290" t="str">
            <v>16/08/2013</v>
          </cell>
          <cell r="AA290" t="str">
            <v>15/08/2015</v>
          </cell>
          <cell r="AB290" t="str">
            <v>No</v>
          </cell>
          <cell r="AC290" t="str">
            <v>31/08/2013</v>
          </cell>
          <cell r="AD290" t="str">
            <v>Good</v>
          </cell>
          <cell r="AE290" t="str">
            <v>V4 - Decommissioned Installed Facility</v>
          </cell>
          <cell r="AF290">
            <v>42926</v>
          </cell>
          <cell r="AG290">
            <v>9.17</v>
          </cell>
          <cell r="AH290" t="str">
            <v>RI</v>
          </cell>
          <cell r="AI290" t="str">
            <v>Strands</v>
          </cell>
          <cell r="AJ290" t="str">
            <v>Not under maintenance</v>
          </cell>
        </row>
        <row r="291">
          <cell r="A291" t="str">
            <v>IKN401596</v>
          </cell>
          <cell r="B291">
            <v>1530</v>
          </cell>
          <cell r="C291" t="str">
            <v>Institut Kanser Negara</v>
          </cell>
          <cell r="D291" t="str">
            <v>KKM/IKN/H/13/1483</v>
          </cell>
          <cell r="E291" t="str">
            <v>13-325</v>
          </cell>
          <cell r="F291" t="str">
            <v>Regulators, Suction</v>
          </cell>
          <cell r="G291" t="str">
            <v>WD</v>
          </cell>
          <cell r="H291" t="str">
            <v>RT/ONCO PAED/ADOLESCENT WARD</v>
          </cell>
          <cell r="I291" t="str">
            <v>06WD153</v>
          </cell>
          <cell r="J291" t="str">
            <v>EQP.ROOM</v>
          </cell>
          <cell r="K291" t="str">
            <v>BMED</v>
          </cell>
          <cell r="L291" t="str">
            <v>Normal</v>
          </cell>
          <cell r="M291" t="str">
            <v>United States</v>
          </cell>
          <cell r="N291" t="str">
            <v>OHIO</v>
          </cell>
          <cell r="O291" t="str">
            <v>R244047311229905</v>
          </cell>
          <cell r="P291" t="str">
            <v>GPHS65003</v>
          </cell>
          <cell r="Q291" t="str">
            <v>Not Applicable</v>
          </cell>
          <cell r="R291" t="str">
            <v>OHIO</v>
          </cell>
          <cell r="S291" t="str">
            <v>Respimedic</v>
          </cell>
          <cell r="T291" t="str">
            <v>Functioning</v>
          </cell>
          <cell r="U291" t="str">
            <v>Asset</v>
          </cell>
          <cell r="V291">
            <v>920</v>
          </cell>
          <cell r="W291" t="str">
            <v>KEW</v>
          </cell>
          <cell r="X291" t="str">
            <v>01/09/2010</v>
          </cell>
          <cell r="Y291" t="str">
            <v>KEW</v>
          </cell>
          <cell r="Z291" t="str">
            <v>16/08/2013</v>
          </cell>
          <cell r="AA291" t="str">
            <v>15/08/2015</v>
          </cell>
          <cell r="AB291" t="str">
            <v>No</v>
          </cell>
          <cell r="AC291" t="str">
            <v>31/08/2013</v>
          </cell>
          <cell r="AD291" t="str">
            <v>Good</v>
          </cell>
          <cell r="AE291" t="str">
            <v>V4 - Decommissioned Installed Facility</v>
          </cell>
          <cell r="AF291">
            <v>42926</v>
          </cell>
          <cell r="AG291">
            <v>9.17</v>
          </cell>
          <cell r="AH291" t="str">
            <v>RI</v>
          </cell>
          <cell r="AI291" t="str">
            <v>Strands</v>
          </cell>
          <cell r="AJ291" t="str">
            <v>Not under maintenance</v>
          </cell>
        </row>
        <row r="292">
          <cell r="A292" t="str">
            <v>IKN401597</v>
          </cell>
          <cell r="B292">
            <v>1531</v>
          </cell>
          <cell r="C292" t="str">
            <v>Institut Kanser Negara</v>
          </cell>
          <cell r="D292" t="str">
            <v>KKM/IKN/H/13/1485</v>
          </cell>
          <cell r="E292" t="str">
            <v>13-325</v>
          </cell>
          <cell r="F292" t="str">
            <v>Regulators, Suction</v>
          </cell>
          <cell r="G292" t="str">
            <v>WD</v>
          </cell>
          <cell r="H292" t="str">
            <v>RT/ONCO PAED/ADOLESCENT WARD</v>
          </cell>
          <cell r="I292" t="str">
            <v>06WD120</v>
          </cell>
          <cell r="J292" t="str">
            <v>ISOLATION 4 (-VE)</v>
          </cell>
          <cell r="K292" t="str">
            <v>BMED</v>
          </cell>
          <cell r="L292" t="str">
            <v>Normal</v>
          </cell>
          <cell r="M292" t="str">
            <v>United States</v>
          </cell>
          <cell r="N292" t="str">
            <v>OHIO</v>
          </cell>
          <cell r="O292" t="str">
            <v>R244047311229905</v>
          </cell>
          <cell r="P292" t="str">
            <v>GPHS65008</v>
          </cell>
          <cell r="Q292" t="str">
            <v>Not Applicable</v>
          </cell>
          <cell r="R292" t="str">
            <v>OHIO</v>
          </cell>
          <cell r="S292" t="str">
            <v>Respimedic</v>
          </cell>
          <cell r="T292" t="str">
            <v>Functioning</v>
          </cell>
          <cell r="U292" t="str">
            <v>Asset</v>
          </cell>
          <cell r="V292">
            <v>920</v>
          </cell>
          <cell r="W292" t="str">
            <v>KEW</v>
          </cell>
          <cell r="X292" t="str">
            <v>01/09/2010</v>
          </cell>
          <cell r="Y292" t="str">
            <v>KEW</v>
          </cell>
          <cell r="Z292" t="str">
            <v>16/08/2013</v>
          </cell>
          <cell r="AA292" t="str">
            <v>15/08/2015</v>
          </cell>
          <cell r="AB292" t="str">
            <v>No</v>
          </cell>
          <cell r="AC292" t="str">
            <v>31/08/2013</v>
          </cell>
          <cell r="AD292" t="str">
            <v>Good</v>
          </cell>
          <cell r="AE292" t="str">
            <v>V4 - Decommissioned Installed Facility</v>
          </cell>
          <cell r="AF292">
            <v>42926</v>
          </cell>
          <cell r="AG292">
            <v>9.17</v>
          </cell>
          <cell r="AH292" t="str">
            <v>RI</v>
          </cell>
          <cell r="AI292" t="str">
            <v>Strands</v>
          </cell>
          <cell r="AJ292" t="str">
            <v>Not under maintenance</v>
          </cell>
        </row>
        <row r="293">
          <cell r="A293" t="str">
            <v>IKN401598</v>
          </cell>
          <cell r="B293">
            <v>1532</v>
          </cell>
          <cell r="C293" t="str">
            <v>Institut Kanser Negara</v>
          </cell>
          <cell r="D293" t="str">
            <v>KKM/IKN/H/13/1490</v>
          </cell>
          <cell r="E293" t="str">
            <v>13-325</v>
          </cell>
          <cell r="F293" t="str">
            <v>Regulators, Suction</v>
          </cell>
          <cell r="G293" t="str">
            <v>WD</v>
          </cell>
          <cell r="H293" t="str">
            <v>RT/ONCO PAED/ADOLESCENT WARD</v>
          </cell>
          <cell r="I293" t="str">
            <v>06WD114</v>
          </cell>
          <cell r="J293" t="str">
            <v>ISOLATION 2 (+VE)</v>
          </cell>
          <cell r="K293" t="str">
            <v>BMED</v>
          </cell>
          <cell r="L293" t="str">
            <v>Normal</v>
          </cell>
          <cell r="M293" t="str">
            <v>United States</v>
          </cell>
          <cell r="N293" t="str">
            <v>OHIO</v>
          </cell>
          <cell r="O293" t="str">
            <v>R244047311229905</v>
          </cell>
          <cell r="P293" t="str">
            <v>GPHS65056</v>
          </cell>
          <cell r="Q293" t="str">
            <v>Not Applicable</v>
          </cell>
          <cell r="R293" t="str">
            <v>OHIO</v>
          </cell>
          <cell r="S293" t="str">
            <v>Respimedic</v>
          </cell>
          <cell r="T293" t="str">
            <v>Functioning</v>
          </cell>
          <cell r="U293" t="str">
            <v>Asset</v>
          </cell>
          <cell r="V293">
            <v>920</v>
          </cell>
          <cell r="W293" t="str">
            <v>KEW</v>
          </cell>
          <cell r="X293" t="str">
            <v>01/09/2010</v>
          </cell>
          <cell r="Y293" t="str">
            <v>KEW</v>
          </cell>
          <cell r="Z293" t="str">
            <v>16/08/2013</v>
          </cell>
          <cell r="AA293" t="str">
            <v>15/08/2015</v>
          </cell>
          <cell r="AB293" t="str">
            <v>No</v>
          </cell>
          <cell r="AC293" t="str">
            <v>31/08/2013</v>
          </cell>
          <cell r="AD293" t="str">
            <v>Good</v>
          </cell>
          <cell r="AE293" t="str">
            <v>V4 - Decommissioned Installed Facility</v>
          </cell>
          <cell r="AF293">
            <v>42926</v>
          </cell>
          <cell r="AG293">
            <v>9.17</v>
          </cell>
          <cell r="AH293" t="str">
            <v>RI</v>
          </cell>
          <cell r="AI293" t="str">
            <v>Strands</v>
          </cell>
          <cell r="AJ293" t="str">
            <v>Not under maintenance</v>
          </cell>
        </row>
        <row r="294">
          <cell r="A294" t="str">
            <v>IKN401599</v>
          </cell>
          <cell r="B294">
            <v>1533</v>
          </cell>
          <cell r="C294" t="str">
            <v>Institut Kanser Negara</v>
          </cell>
          <cell r="D294" t="str">
            <v>KKM/IKN/H/13/1484</v>
          </cell>
          <cell r="E294" t="str">
            <v>13-325</v>
          </cell>
          <cell r="F294" t="str">
            <v>Regulators, Suction</v>
          </cell>
          <cell r="G294" t="str">
            <v>WD</v>
          </cell>
          <cell r="H294" t="str">
            <v>RT/ONCO PAED/ADOLESCENT WARD</v>
          </cell>
          <cell r="I294" t="str">
            <v>06WD119</v>
          </cell>
          <cell r="J294" t="str">
            <v>ISOLATION 3(-VE)</v>
          </cell>
          <cell r="K294" t="str">
            <v>BMED</v>
          </cell>
          <cell r="L294" t="str">
            <v>Normal</v>
          </cell>
          <cell r="M294" t="str">
            <v>United States</v>
          </cell>
          <cell r="N294" t="str">
            <v>OHIO</v>
          </cell>
          <cell r="O294" t="str">
            <v>R244047311229905</v>
          </cell>
          <cell r="P294" t="str">
            <v>GPHS65055</v>
          </cell>
          <cell r="Q294" t="str">
            <v>Not Applicable</v>
          </cell>
          <cell r="R294" t="str">
            <v>OHIO</v>
          </cell>
          <cell r="S294" t="str">
            <v>Respimedic</v>
          </cell>
          <cell r="T294" t="str">
            <v>Functioning</v>
          </cell>
          <cell r="U294" t="str">
            <v>Asset</v>
          </cell>
          <cell r="V294">
            <v>920</v>
          </cell>
          <cell r="W294" t="str">
            <v>KEW</v>
          </cell>
          <cell r="X294" t="str">
            <v>01/09/2010</v>
          </cell>
          <cell r="Y294" t="str">
            <v>KEW</v>
          </cell>
          <cell r="Z294" t="str">
            <v>16/08/2013</v>
          </cell>
          <cell r="AA294" t="str">
            <v>15/08/2015</v>
          </cell>
          <cell r="AB294" t="str">
            <v>No</v>
          </cell>
          <cell r="AC294" t="str">
            <v>31/08/2013</v>
          </cell>
          <cell r="AD294" t="str">
            <v>Good</v>
          </cell>
          <cell r="AE294" t="str">
            <v>V4 - Decommissioned Installed Facility</v>
          </cell>
          <cell r="AF294">
            <v>42926</v>
          </cell>
          <cell r="AG294">
            <v>9.17</v>
          </cell>
          <cell r="AH294" t="str">
            <v>RI</v>
          </cell>
          <cell r="AI294" t="str">
            <v>Strands</v>
          </cell>
          <cell r="AJ294" t="str">
            <v>Not under maintenance</v>
          </cell>
        </row>
        <row r="295">
          <cell r="A295" t="str">
            <v>IKN401600</v>
          </cell>
          <cell r="B295">
            <v>1534</v>
          </cell>
          <cell r="C295" t="str">
            <v>Institut Kanser Negara</v>
          </cell>
          <cell r="D295" t="str">
            <v>KKM/IKN/H/13/1489</v>
          </cell>
          <cell r="E295" t="str">
            <v>13-325</v>
          </cell>
          <cell r="F295" t="str">
            <v>Regulators, Suction</v>
          </cell>
          <cell r="G295" t="str">
            <v>WD</v>
          </cell>
          <cell r="H295" t="str">
            <v>RT/ONCO PAED/ADOLESCENT WARD</v>
          </cell>
          <cell r="I295" t="str">
            <v>06WD153</v>
          </cell>
          <cell r="J295" t="str">
            <v>EQP.ROOM</v>
          </cell>
          <cell r="K295" t="str">
            <v>BMED</v>
          </cell>
          <cell r="L295" t="str">
            <v>Normal</v>
          </cell>
          <cell r="M295" t="str">
            <v>United States</v>
          </cell>
          <cell r="N295" t="str">
            <v>OHIO</v>
          </cell>
          <cell r="O295" t="str">
            <v>R244047311229905</v>
          </cell>
          <cell r="P295" t="str">
            <v>GPHS65005</v>
          </cell>
          <cell r="Q295" t="str">
            <v>Not Applicable</v>
          </cell>
          <cell r="R295" t="str">
            <v>OHIO</v>
          </cell>
          <cell r="S295" t="str">
            <v>Respimedic</v>
          </cell>
          <cell r="T295" t="str">
            <v>Functioning</v>
          </cell>
          <cell r="U295" t="str">
            <v>Asset</v>
          </cell>
          <cell r="V295">
            <v>920</v>
          </cell>
          <cell r="W295" t="str">
            <v>KEW</v>
          </cell>
          <cell r="X295" t="str">
            <v>01/09/2010</v>
          </cell>
          <cell r="Y295" t="str">
            <v>KEW</v>
          </cell>
          <cell r="Z295" t="str">
            <v>16/08/2013</v>
          </cell>
          <cell r="AA295" t="str">
            <v>15/08/2015</v>
          </cell>
          <cell r="AB295" t="str">
            <v>No</v>
          </cell>
          <cell r="AC295" t="str">
            <v>31/08/2013</v>
          </cell>
          <cell r="AD295" t="str">
            <v>Good</v>
          </cell>
          <cell r="AE295" t="str">
            <v>V4 - Decommissioned Installed Facility</v>
          </cell>
          <cell r="AF295">
            <v>42926</v>
          </cell>
          <cell r="AG295">
            <v>9.17</v>
          </cell>
          <cell r="AH295" t="str">
            <v>RI</v>
          </cell>
          <cell r="AI295" t="str">
            <v>Strands</v>
          </cell>
          <cell r="AJ295" t="str">
            <v>Not under maintenance</v>
          </cell>
        </row>
        <row r="296">
          <cell r="A296" t="str">
            <v>IKN401601</v>
          </cell>
          <cell r="B296">
            <v>1535</v>
          </cell>
          <cell r="C296" t="str">
            <v>Institut Kanser Negara</v>
          </cell>
          <cell r="D296" t="str">
            <v>KKM/IKN/H/13/1488</v>
          </cell>
          <cell r="E296" t="str">
            <v>13-325</v>
          </cell>
          <cell r="F296" t="str">
            <v>Regulators, Suction</v>
          </cell>
          <cell r="G296" t="str">
            <v>WD</v>
          </cell>
          <cell r="H296" t="str">
            <v>RT/ONCO PAED/ADOLESCENT WARD</v>
          </cell>
          <cell r="I296" t="str">
            <v>06WD124</v>
          </cell>
          <cell r="J296" t="str">
            <v>TREATMENT / PROCEDURE</v>
          </cell>
          <cell r="K296" t="str">
            <v>BMED</v>
          </cell>
          <cell r="L296" t="str">
            <v>Normal</v>
          </cell>
          <cell r="M296" t="str">
            <v>United States</v>
          </cell>
          <cell r="N296" t="str">
            <v>OHIO</v>
          </cell>
          <cell r="O296" t="str">
            <v>R244047311229905</v>
          </cell>
          <cell r="P296" t="str">
            <v>GPHS65009</v>
          </cell>
          <cell r="Q296" t="str">
            <v>Not Applicable</v>
          </cell>
          <cell r="R296" t="str">
            <v>OHIO</v>
          </cell>
          <cell r="S296" t="str">
            <v>Respimedic</v>
          </cell>
          <cell r="T296" t="str">
            <v>Functioning</v>
          </cell>
          <cell r="U296" t="str">
            <v>Asset</v>
          </cell>
          <cell r="V296">
            <v>920</v>
          </cell>
          <cell r="W296" t="str">
            <v>KEW</v>
          </cell>
          <cell r="X296" t="str">
            <v>01/09/2010</v>
          </cell>
          <cell r="Y296" t="str">
            <v>Estimate</v>
          </cell>
          <cell r="Z296" t="str">
            <v>16/08/2013</v>
          </cell>
          <cell r="AA296" t="str">
            <v>15/08/2015</v>
          </cell>
          <cell r="AB296" t="str">
            <v>No</v>
          </cell>
          <cell r="AC296" t="str">
            <v>31/08/2013</v>
          </cell>
          <cell r="AD296" t="str">
            <v>Good</v>
          </cell>
          <cell r="AE296" t="str">
            <v>V4 - Decommissioned Installed Facility</v>
          </cell>
          <cell r="AF296">
            <v>42926</v>
          </cell>
          <cell r="AG296">
            <v>9.17</v>
          </cell>
          <cell r="AH296" t="str">
            <v>RI</v>
          </cell>
          <cell r="AI296" t="str">
            <v>Strands</v>
          </cell>
          <cell r="AJ296" t="str">
            <v>Not under maintenance</v>
          </cell>
        </row>
        <row r="297">
          <cell r="A297" t="str">
            <v>IKN401602</v>
          </cell>
          <cell r="B297">
            <v>1536</v>
          </cell>
          <cell r="C297" t="str">
            <v>Institut Kanser Negara</v>
          </cell>
          <cell r="D297" t="str">
            <v>KKM/IKN/H/13/1491</v>
          </cell>
          <cell r="E297" t="str">
            <v>13-325</v>
          </cell>
          <cell r="F297" t="str">
            <v>Regulators, Suction</v>
          </cell>
          <cell r="G297" t="str">
            <v>WD</v>
          </cell>
          <cell r="H297" t="str">
            <v>RT/ONCO PAED/ADOLESCENT WARD</v>
          </cell>
          <cell r="I297" t="str">
            <v>06WD153</v>
          </cell>
          <cell r="J297" t="str">
            <v>EQP.ROOM</v>
          </cell>
          <cell r="K297" t="str">
            <v>BMED</v>
          </cell>
          <cell r="L297" t="str">
            <v>Normal</v>
          </cell>
          <cell r="M297" t="str">
            <v>United States</v>
          </cell>
          <cell r="N297" t="str">
            <v>OHIO</v>
          </cell>
          <cell r="O297" t="str">
            <v>R244047311229905</v>
          </cell>
          <cell r="P297" t="str">
            <v>GPHS65001</v>
          </cell>
          <cell r="Q297" t="str">
            <v>Not Applicable</v>
          </cell>
          <cell r="R297" t="str">
            <v>OHIO</v>
          </cell>
          <cell r="S297" t="str">
            <v>Respimedic</v>
          </cell>
          <cell r="T297" t="str">
            <v>Functioning</v>
          </cell>
          <cell r="U297" t="str">
            <v>Asset</v>
          </cell>
          <cell r="V297">
            <v>920</v>
          </cell>
          <cell r="W297" t="str">
            <v>KEW</v>
          </cell>
          <cell r="X297" t="str">
            <v>01/09/2010</v>
          </cell>
          <cell r="Y297" t="str">
            <v>KEW</v>
          </cell>
          <cell r="Z297" t="str">
            <v>16/08/2013</v>
          </cell>
          <cell r="AA297" t="str">
            <v>15/08/2015</v>
          </cell>
          <cell r="AB297" t="str">
            <v>No</v>
          </cell>
          <cell r="AC297" t="str">
            <v>31/08/2013</v>
          </cell>
          <cell r="AD297" t="str">
            <v>Good</v>
          </cell>
          <cell r="AE297" t="str">
            <v>V4 - Decommissioned Installed Facility</v>
          </cell>
          <cell r="AF297">
            <v>42927</v>
          </cell>
          <cell r="AG297">
            <v>9.17</v>
          </cell>
          <cell r="AH297" t="str">
            <v>RI</v>
          </cell>
          <cell r="AI297" t="str">
            <v>Strands</v>
          </cell>
          <cell r="AJ297" t="str">
            <v>Not under maintenance</v>
          </cell>
        </row>
        <row r="298">
          <cell r="A298" t="str">
            <v>IKN401603</v>
          </cell>
          <cell r="B298">
            <v>1537</v>
          </cell>
          <cell r="C298" t="str">
            <v>Institut Kanser Negara</v>
          </cell>
          <cell r="D298" t="e">
            <v>#N/A</v>
          </cell>
          <cell r="E298" t="str">
            <v>13-325</v>
          </cell>
          <cell r="F298" t="str">
            <v>Regulators, Suction</v>
          </cell>
          <cell r="G298" t="str">
            <v>WE</v>
          </cell>
          <cell r="H298" t="str">
            <v>RT/ONCO WARD 1 (F)</v>
          </cell>
          <cell r="I298" t="str">
            <v>07WE113</v>
          </cell>
          <cell r="J298" t="str">
            <v>EQUIPMENT ROOM</v>
          </cell>
          <cell r="K298" t="str">
            <v>BMED</v>
          </cell>
          <cell r="L298" t="str">
            <v>Normal</v>
          </cell>
          <cell r="M298" t="str">
            <v>United States</v>
          </cell>
          <cell r="N298" t="str">
            <v>OHIO</v>
          </cell>
          <cell r="O298" t="str">
            <v>R244047311229905</v>
          </cell>
          <cell r="P298" t="str">
            <v>GPHS65173</v>
          </cell>
          <cell r="Q298" t="str">
            <v>Not Applicable</v>
          </cell>
          <cell r="R298" t="str">
            <v>OHIO</v>
          </cell>
          <cell r="S298" t="str">
            <v>Respimedic</v>
          </cell>
          <cell r="T298" t="str">
            <v>Functioning</v>
          </cell>
          <cell r="U298" t="str">
            <v>Asset</v>
          </cell>
          <cell r="V298">
            <v>920</v>
          </cell>
          <cell r="W298" t="str">
            <v>KEW</v>
          </cell>
          <cell r="X298" t="str">
            <v>01/09/2010</v>
          </cell>
          <cell r="Y298" t="str">
            <v>KEW</v>
          </cell>
          <cell r="Z298" t="str">
            <v>16/08/2013</v>
          </cell>
          <cell r="AA298" t="str">
            <v>15/08/2015</v>
          </cell>
          <cell r="AB298" t="str">
            <v>No</v>
          </cell>
          <cell r="AC298" t="str">
            <v>31/08/2013</v>
          </cell>
          <cell r="AD298" t="str">
            <v>Good</v>
          </cell>
          <cell r="AE298" t="str">
            <v>V4 - Decommissioned Installed Facility</v>
          </cell>
          <cell r="AF298">
            <v>42927</v>
          </cell>
          <cell r="AG298">
            <v>9.17</v>
          </cell>
          <cell r="AH298" t="str">
            <v>RI</v>
          </cell>
          <cell r="AI298" t="str">
            <v>Not in contract</v>
          </cell>
          <cell r="AJ298" t="str">
            <v>Not under maintenance</v>
          </cell>
          <cell r="AK298" t="e">
            <v>#N/A</v>
          </cell>
        </row>
        <row r="299">
          <cell r="A299" t="str">
            <v>IKN401604</v>
          </cell>
          <cell r="B299">
            <v>1538</v>
          </cell>
          <cell r="C299" t="str">
            <v>Institut Kanser Negara</v>
          </cell>
          <cell r="D299" t="e">
            <v>#N/A</v>
          </cell>
          <cell r="E299" t="str">
            <v>13-325</v>
          </cell>
          <cell r="F299" t="str">
            <v>Regulators, Suction</v>
          </cell>
          <cell r="G299" t="str">
            <v>WE</v>
          </cell>
          <cell r="H299" t="str">
            <v>RT/ONCO WARD 1 (F)</v>
          </cell>
          <cell r="I299" t="str">
            <v>07WE113</v>
          </cell>
          <cell r="J299" t="str">
            <v>EQUIPMENT ROOM</v>
          </cell>
          <cell r="K299" t="str">
            <v>BMED</v>
          </cell>
          <cell r="L299" t="str">
            <v>Normal</v>
          </cell>
          <cell r="M299" t="str">
            <v>United States</v>
          </cell>
          <cell r="N299" t="str">
            <v>OHIO</v>
          </cell>
          <cell r="O299" t="str">
            <v>R244047311229905</v>
          </cell>
          <cell r="P299" t="str">
            <v>GPHS65096</v>
          </cell>
          <cell r="Q299" t="str">
            <v>Not Applicable</v>
          </cell>
          <cell r="R299" t="str">
            <v>OHIO</v>
          </cell>
          <cell r="S299" t="str">
            <v>Respimedic</v>
          </cell>
          <cell r="T299" t="str">
            <v>Functioning</v>
          </cell>
          <cell r="U299" t="str">
            <v>Asset</v>
          </cell>
          <cell r="V299">
            <v>920</v>
          </cell>
          <cell r="W299" t="str">
            <v>KEW</v>
          </cell>
          <cell r="X299" t="str">
            <v>01/09/2010</v>
          </cell>
          <cell r="Y299" t="str">
            <v>KEW</v>
          </cell>
          <cell r="Z299" t="str">
            <v>16/08/2013</v>
          </cell>
          <cell r="AA299" t="str">
            <v>15/08/2015</v>
          </cell>
          <cell r="AB299" t="str">
            <v>No</v>
          </cell>
          <cell r="AC299" t="str">
            <v>31/08/2013</v>
          </cell>
          <cell r="AD299" t="str">
            <v>Good</v>
          </cell>
          <cell r="AE299" t="str">
            <v>V4 - Decommissioned Installed Facility</v>
          </cell>
          <cell r="AF299">
            <v>42927</v>
          </cell>
          <cell r="AG299">
            <v>9.17</v>
          </cell>
          <cell r="AH299" t="str">
            <v>RI</v>
          </cell>
          <cell r="AI299" t="str">
            <v>Not in contract</v>
          </cell>
          <cell r="AJ299" t="str">
            <v>Not under maintenance</v>
          </cell>
          <cell r="AK299" t="e">
            <v>#N/A</v>
          </cell>
        </row>
        <row r="300">
          <cell r="A300" t="str">
            <v>IKN401605</v>
          </cell>
          <cell r="B300">
            <v>1539</v>
          </cell>
          <cell r="C300" t="str">
            <v>Institut Kanser Negara</v>
          </cell>
          <cell r="D300" t="str">
            <v>KKM/IKN/H/13/2239</v>
          </cell>
          <cell r="E300" t="str">
            <v>13-325</v>
          </cell>
          <cell r="F300" t="str">
            <v>Regulators, Suction</v>
          </cell>
          <cell r="G300" t="str">
            <v>WE</v>
          </cell>
          <cell r="H300" t="str">
            <v>RT/ONCO WARD 1 (F)</v>
          </cell>
          <cell r="I300" t="str">
            <v>07WE107</v>
          </cell>
          <cell r="J300" t="str">
            <v>TREATMENT / PROCESURE</v>
          </cell>
          <cell r="K300" t="str">
            <v>BMED</v>
          </cell>
          <cell r="L300" t="str">
            <v>Normal</v>
          </cell>
          <cell r="M300" t="str">
            <v>United States</v>
          </cell>
          <cell r="N300" t="str">
            <v>OHIO</v>
          </cell>
          <cell r="O300" t="str">
            <v>R244047311229905</v>
          </cell>
          <cell r="P300" t="str">
            <v>GPHS65197</v>
          </cell>
          <cell r="Q300" t="str">
            <v>Not Applicable</v>
          </cell>
          <cell r="R300" t="str">
            <v>OHIO</v>
          </cell>
          <cell r="S300" t="str">
            <v>Respimedic</v>
          </cell>
          <cell r="T300" t="str">
            <v>Functioning</v>
          </cell>
          <cell r="U300" t="str">
            <v>Asset</v>
          </cell>
          <cell r="V300">
            <v>920</v>
          </cell>
          <cell r="W300" t="str">
            <v>KEW</v>
          </cell>
          <cell r="X300" t="str">
            <v>01/09/2010</v>
          </cell>
          <cell r="Y300" t="str">
            <v>KEW</v>
          </cell>
          <cell r="Z300" t="str">
            <v>16/08/2013</v>
          </cell>
          <cell r="AA300" t="str">
            <v>15/08/2015</v>
          </cell>
          <cell r="AB300" t="str">
            <v>No</v>
          </cell>
          <cell r="AC300" t="str">
            <v>31/08/2013</v>
          </cell>
          <cell r="AD300" t="str">
            <v>Good</v>
          </cell>
          <cell r="AE300" t="str">
            <v>V4 - Decommissioned Installed Facility</v>
          </cell>
          <cell r="AF300">
            <v>42927</v>
          </cell>
          <cell r="AG300">
            <v>9.17</v>
          </cell>
          <cell r="AH300" t="str">
            <v>RI</v>
          </cell>
          <cell r="AI300" t="str">
            <v>Strands</v>
          </cell>
          <cell r="AJ300" t="str">
            <v>Not under maintenance</v>
          </cell>
        </row>
        <row r="301">
          <cell r="A301" t="str">
            <v>IKN401606</v>
          </cell>
          <cell r="B301">
            <v>1540</v>
          </cell>
          <cell r="C301" t="str">
            <v>Institut Kanser Negara</v>
          </cell>
          <cell r="D301" t="str">
            <v>KKM/IKN/H/13/2104</v>
          </cell>
          <cell r="E301" t="str">
            <v>13-325</v>
          </cell>
          <cell r="F301" t="str">
            <v>Regulators, Suction</v>
          </cell>
          <cell r="G301" t="str">
            <v>WE</v>
          </cell>
          <cell r="H301" t="str">
            <v>RT/ONCO WARD 1 (F)</v>
          </cell>
          <cell r="I301" t="str">
            <v>07WE113</v>
          </cell>
          <cell r="J301" t="str">
            <v>EQUIPMENT ROOM</v>
          </cell>
          <cell r="K301" t="str">
            <v>BMED</v>
          </cell>
          <cell r="L301" t="str">
            <v>Normal</v>
          </cell>
          <cell r="M301" t="str">
            <v>United States</v>
          </cell>
          <cell r="N301" t="str">
            <v>OHIO</v>
          </cell>
          <cell r="O301" t="str">
            <v>R244047311229905</v>
          </cell>
          <cell r="P301" t="str">
            <v>GPHS65196</v>
          </cell>
          <cell r="Q301" t="str">
            <v>Not Applicable</v>
          </cell>
          <cell r="R301" t="str">
            <v>OHIO</v>
          </cell>
          <cell r="S301" t="str">
            <v>Respimedic</v>
          </cell>
          <cell r="T301" t="str">
            <v>Functioning</v>
          </cell>
          <cell r="U301" t="str">
            <v>Asset</v>
          </cell>
          <cell r="V301">
            <v>920</v>
          </cell>
          <cell r="W301" t="str">
            <v>KEW</v>
          </cell>
          <cell r="X301" t="str">
            <v>01/09/2010</v>
          </cell>
          <cell r="Y301" t="str">
            <v>KEW</v>
          </cell>
          <cell r="Z301" t="str">
            <v>16/08/2013</v>
          </cell>
          <cell r="AA301" t="str">
            <v>15/08/2015</v>
          </cell>
          <cell r="AB301" t="str">
            <v>No</v>
          </cell>
          <cell r="AC301" t="str">
            <v>31/08/2013</v>
          </cell>
          <cell r="AD301" t="str">
            <v>Good</v>
          </cell>
          <cell r="AE301" t="str">
            <v>V4 - Decommissioned Installed Facility</v>
          </cell>
          <cell r="AF301">
            <v>42927</v>
          </cell>
          <cell r="AG301">
            <v>9.17</v>
          </cell>
          <cell r="AH301" t="str">
            <v>RI</v>
          </cell>
          <cell r="AI301" t="str">
            <v>Strands</v>
          </cell>
          <cell r="AJ301" t="str">
            <v>Not under maintenance</v>
          </cell>
        </row>
        <row r="302">
          <cell r="A302" t="str">
            <v>IKN401607</v>
          </cell>
          <cell r="B302">
            <v>1541</v>
          </cell>
          <cell r="C302" t="str">
            <v>Institut Kanser Negara</v>
          </cell>
          <cell r="D302" t="str">
            <v>KKM/IKN/H/13/2100</v>
          </cell>
          <cell r="E302" t="str">
            <v>13-325</v>
          </cell>
          <cell r="F302" t="str">
            <v>Regulators, Suction</v>
          </cell>
          <cell r="G302" t="str">
            <v>WE</v>
          </cell>
          <cell r="H302" t="str">
            <v>RT/ONCO WARD 1 (F)</v>
          </cell>
          <cell r="I302" t="str">
            <v>07WE113</v>
          </cell>
          <cell r="J302" t="str">
            <v>EQUIPMENT ROOM</v>
          </cell>
          <cell r="K302" t="str">
            <v>BMED</v>
          </cell>
          <cell r="L302" t="str">
            <v>Normal</v>
          </cell>
          <cell r="M302" t="str">
            <v>United States</v>
          </cell>
          <cell r="N302" t="str">
            <v>OHIO</v>
          </cell>
          <cell r="O302" t="str">
            <v>R244047311229905</v>
          </cell>
          <cell r="P302" t="str">
            <v>GPHS65189</v>
          </cell>
          <cell r="Q302" t="str">
            <v>Not Applicable</v>
          </cell>
          <cell r="R302" t="str">
            <v>OHIO</v>
          </cell>
          <cell r="S302" t="str">
            <v>Respimedic</v>
          </cell>
          <cell r="T302" t="str">
            <v>Functioning</v>
          </cell>
          <cell r="U302" t="str">
            <v>Asset</v>
          </cell>
          <cell r="V302">
            <v>920</v>
          </cell>
          <cell r="W302" t="str">
            <v>KEW</v>
          </cell>
          <cell r="X302" t="str">
            <v>01/09/2010</v>
          </cell>
          <cell r="Y302" t="str">
            <v>KEW</v>
          </cell>
          <cell r="Z302" t="str">
            <v>16/08/2013</v>
          </cell>
          <cell r="AA302" t="str">
            <v>15/08/2015</v>
          </cell>
          <cell r="AB302" t="str">
            <v>No</v>
          </cell>
          <cell r="AC302" t="str">
            <v>31/08/2013</v>
          </cell>
          <cell r="AD302" t="str">
            <v>Good</v>
          </cell>
          <cell r="AE302" t="str">
            <v>V4 - Decommissioned Installed Facility</v>
          </cell>
          <cell r="AF302">
            <v>42927</v>
          </cell>
          <cell r="AG302">
            <v>9.17</v>
          </cell>
          <cell r="AH302" t="str">
            <v>RI</v>
          </cell>
          <cell r="AI302" t="str">
            <v>Strands</v>
          </cell>
          <cell r="AJ302" t="str">
            <v>Not under maintenance</v>
          </cell>
        </row>
        <row r="303">
          <cell r="A303" t="str">
            <v>IKN401608</v>
          </cell>
          <cell r="B303">
            <v>1542</v>
          </cell>
          <cell r="C303" t="str">
            <v>Institut Kanser Negara</v>
          </cell>
          <cell r="D303" t="str">
            <v>KKM/IKN/H/13/2102</v>
          </cell>
          <cell r="E303" t="str">
            <v>13-325</v>
          </cell>
          <cell r="F303" t="str">
            <v>Regulators, Suction</v>
          </cell>
          <cell r="G303" t="str">
            <v>WE</v>
          </cell>
          <cell r="H303" t="str">
            <v>RT/ONCO WARD 1 (F)</v>
          </cell>
          <cell r="I303" t="str">
            <v>07WE123</v>
          </cell>
          <cell r="J303" t="str">
            <v>ISOLATION 2 (-VE)</v>
          </cell>
          <cell r="K303" t="str">
            <v>BMED</v>
          </cell>
          <cell r="L303" t="str">
            <v>Normal</v>
          </cell>
          <cell r="M303" t="str">
            <v>United States</v>
          </cell>
          <cell r="N303" t="str">
            <v>OHIO</v>
          </cell>
          <cell r="O303" t="str">
            <v>R244047311229905</v>
          </cell>
          <cell r="P303" t="str">
            <v>GPHS65192</v>
          </cell>
          <cell r="Q303" t="str">
            <v>Not Applicable</v>
          </cell>
          <cell r="R303" t="str">
            <v>OHIO</v>
          </cell>
          <cell r="S303" t="str">
            <v>Respimedic</v>
          </cell>
          <cell r="T303" t="str">
            <v>Functioning</v>
          </cell>
          <cell r="U303" t="str">
            <v>Asset</v>
          </cell>
          <cell r="V303">
            <v>920</v>
          </cell>
          <cell r="W303" t="str">
            <v>KEW</v>
          </cell>
          <cell r="X303" t="str">
            <v>01/09/2010</v>
          </cell>
          <cell r="Y303" t="str">
            <v>KEW</v>
          </cell>
          <cell r="Z303" t="str">
            <v>16/08/2013</v>
          </cell>
          <cell r="AA303" t="str">
            <v>15/08/2015</v>
          </cell>
          <cell r="AB303" t="str">
            <v>No</v>
          </cell>
          <cell r="AC303" t="str">
            <v>31/08/2013</v>
          </cell>
          <cell r="AD303" t="str">
            <v>Good</v>
          </cell>
          <cell r="AE303" t="str">
            <v>V4 - Decommissioned Installed Facility</v>
          </cell>
          <cell r="AF303">
            <v>42927</v>
          </cell>
          <cell r="AG303">
            <v>9.17</v>
          </cell>
          <cell r="AH303" t="str">
            <v>RI</v>
          </cell>
          <cell r="AI303" t="str">
            <v>Strands</v>
          </cell>
          <cell r="AJ303" t="str">
            <v>Not under maintenance</v>
          </cell>
        </row>
        <row r="304">
          <cell r="A304" t="str">
            <v>IKN401609</v>
          </cell>
          <cell r="B304">
            <v>1543</v>
          </cell>
          <cell r="C304" t="str">
            <v>Institut Kanser Negara</v>
          </cell>
          <cell r="D304" t="str">
            <v>KKM/IKN/H/13/2101</v>
          </cell>
          <cell r="E304" t="str">
            <v>13-325</v>
          </cell>
          <cell r="F304" t="str">
            <v>Regulators, Suction</v>
          </cell>
          <cell r="G304" t="str">
            <v>WE</v>
          </cell>
          <cell r="H304" t="str">
            <v>RT/ONCO WARD 1 (F)</v>
          </cell>
          <cell r="I304" t="str">
            <v>07WE120</v>
          </cell>
          <cell r="J304" t="str">
            <v>ISOLATION 1 (+)</v>
          </cell>
          <cell r="K304" t="str">
            <v>BMED</v>
          </cell>
          <cell r="L304" t="str">
            <v>Normal</v>
          </cell>
          <cell r="M304" t="str">
            <v>United States</v>
          </cell>
          <cell r="N304" t="str">
            <v>OHIO</v>
          </cell>
          <cell r="O304" t="str">
            <v>R244047311229905</v>
          </cell>
          <cell r="P304" t="str">
            <v>GPHS65185</v>
          </cell>
          <cell r="Q304" t="str">
            <v>Not Applicable</v>
          </cell>
          <cell r="R304" t="str">
            <v>OHIO</v>
          </cell>
          <cell r="S304" t="str">
            <v>Respimedic</v>
          </cell>
          <cell r="T304" t="str">
            <v>Functioning</v>
          </cell>
          <cell r="U304" t="str">
            <v>Asset</v>
          </cell>
          <cell r="V304">
            <v>920</v>
          </cell>
          <cell r="W304" t="str">
            <v>KEW</v>
          </cell>
          <cell r="X304" t="str">
            <v>01/09/2010</v>
          </cell>
          <cell r="Y304" t="str">
            <v>KEW</v>
          </cell>
          <cell r="Z304" t="str">
            <v>16/08/2013</v>
          </cell>
          <cell r="AA304" t="str">
            <v>15/08/2015</v>
          </cell>
          <cell r="AB304" t="str">
            <v>No</v>
          </cell>
          <cell r="AC304" t="str">
            <v>31/08/2013</v>
          </cell>
          <cell r="AD304" t="str">
            <v>Good</v>
          </cell>
          <cell r="AE304" t="str">
            <v>V4 - Decommissioned Installed Facility</v>
          </cell>
          <cell r="AF304">
            <v>42927</v>
          </cell>
          <cell r="AG304">
            <v>9.17</v>
          </cell>
          <cell r="AH304" t="str">
            <v>RI</v>
          </cell>
          <cell r="AI304" t="str">
            <v>Strands</v>
          </cell>
          <cell r="AJ304" t="str">
            <v>Not under maintenance</v>
          </cell>
        </row>
        <row r="305">
          <cell r="A305" t="str">
            <v>IKN401610</v>
          </cell>
          <cell r="B305">
            <v>1544</v>
          </cell>
          <cell r="C305" t="str">
            <v>Institut Kanser Negara</v>
          </cell>
          <cell r="D305" t="str">
            <v>KKM/IKN/H/13/2097</v>
          </cell>
          <cell r="E305" t="str">
            <v>13-325</v>
          </cell>
          <cell r="F305" t="str">
            <v>Regulators, Suction</v>
          </cell>
          <cell r="G305" t="str">
            <v>WE</v>
          </cell>
          <cell r="H305" t="str">
            <v>RT/ONCO WARD 1 (F)</v>
          </cell>
          <cell r="I305" t="str">
            <v>07WE113</v>
          </cell>
          <cell r="J305" t="str">
            <v>EQUIPMENT ROOM</v>
          </cell>
          <cell r="K305" t="str">
            <v>BMED</v>
          </cell>
          <cell r="L305" t="str">
            <v>Normal</v>
          </cell>
          <cell r="M305" t="str">
            <v>United States</v>
          </cell>
          <cell r="N305" t="str">
            <v>OHIO</v>
          </cell>
          <cell r="O305" t="str">
            <v>R244047311229905</v>
          </cell>
          <cell r="P305" t="str">
            <v>GPHS65124</v>
          </cell>
          <cell r="Q305" t="str">
            <v>Not Applicable</v>
          </cell>
          <cell r="R305" t="str">
            <v>OHIO</v>
          </cell>
          <cell r="S305" t="str">
            <v>Respimedic</v>
          </cell>
          <cell r="T305" t="str">
            <v>Functioning</v>
          </cell>
          <cell r="U305" t="str">
            <v>Asset</v>
          </cell>
          <cell r="V305">
            <v>920</v>
          </cell>
          <cell r="W305" t="str">
            <v>KEW</v>
          </cell>
          <cell r="X305" t="str">
            <v>01/09/2010</v>
          </cell>
          <cell r="Y305" t="str">
            <v>Estimate</v>
          </cell>
          <cell r="Z305" t="str">
            <v>16/08/2013</v>
          </cell>
          <cell r="AA305" t="str">
            <v>15/08/2015</v>
          </cell>
          <cell r="AB305" t="str">
            <v>No</v>
          </cell>
          <cell r="AC305" t="str">
            <v>31/08/2013</v>
          </cell>
          <cell r="AD305" t="str">
            <v>Good</v>
          </cell>
          <cell r="AE305" t="str">
            <v>V4 - Decommissioned Installed Facility</v>
          </cell>
          <cell r="AF305">
            <v>42927</v>
          </cell>
          <cell r="AG305">
            <v>9.17</v>
          </cell>
          <cell r="AH305" t="str">
            <v>RI</v>
          </cell>
          <cell r="AI305" t="str">
            <v>Strands</v>
          </cell>
          <cell r="AJ305" t="str">
            <v>Not under maintenance</v>
          </cell>
        </row>
        <row r="306">
          <cell r="A306" t="str">
            <v>IKN401611</v>
          </cell>
          <cell r="B306">
            <v>1545</v>
          </cell>
          <cell r="C306" t="str">
            <v>Institut Kanser Negara</v>
          </cell>
          <cell r="D306" t="str">
            <v>KKM/IKN/H/13/2236</v>
          </cell>
          <cell r="E306" t="str">
            <v>13-325</v>
          </cell>
          <cell r="F306" t="str">
            <v>Regulators, Suction</v>
          </cell>
          <cell r="G306" t="str">
            <v>WE</v>
          </cell>
          <cell r="H306" t="str">
            <v>RT/ONCO WARD 1 (F)</v>
          </cell>
          <cell r="I306" t="str">
            <v>07WE113</v>
          </cell>
          <cell r="J306" t="str">
            <v>EQUIPMENT ROOM</v>
          </cell>
          <cell r="K306" t="str">
            <v>BMED</v>
          </cell>
          <cell r="L306" t="str">
            <v>Normal</v>
          </cell>
          <cell r="M306" t="str">
            <v>United States</v>
          </cell>
          <cell r="N306" t="str">
            <v>OHIO</v>
          </cell>
          <cell r="O306" t="str">
            <v>R244047311229905</v>
          </cell>
          <cell r="P306" t="str">
            <v>GPHS65089</v>
          </cell>
          <cell r="Q306" t="str">
            <v>Not Applicable</v>
          </cell>
          <cell r="R306" t="str">
            <v>OHIO</v>
          </cell>
          <cell r="S306" t="str">
            <v>Respimedic</v>
          </cell>
          <cell r="T306" t="str">
            <v>Functioning</v>
          </cell>
          <cell r="U306" t="str">
            <v>Asset</v>
          </cell>
          <cell r="V306">
            <v>920</v>
          </cell>
          <cell r="W306" t="str">
            <v>KEW</v>
          </cell>
          <cell r="X306" t="str">
            <v>01/09/2010</v>
          </cell>
          <cell r="Y306" t="str">
            <v>KEW</v>
          </cell>
          <cell r="Z306" t="str">
            <v>16/08/2013</v>
          </cell>
          <cell r="AA306" t="str">
            <v>15/08/2015</v>
          </cell>
          <cell r="AB306" t="str">
            <v>No</v>
          </cell>
          <cell r="AC306" t="str">
            <v>31/08/2013</v>
          </cell>
          <cell r="AD306" t="str">
            <v>Good</v>
          </cell>
          <cell r="AE306" t="str">
            <v>V4 - Decommissioned Installed Facility</v>
          </cell>
          <cell r="AF306">
            <v>42927</v>
          </cell>
          <cell r="AG306">
            <v>9.17</v>
          </cell>
          <cell r="AH306" t="str">
            <v>RI</v>
          </cell>
          <cell r="AI306" t="str">
            <v>Strands</v>
          </cell>
          <cell r="AJ306" t="str">
            <v>Not under maintenance</v>
          </cell>
        </row>
        <row r="307">
          <cell r="A307" t="str">
            <v>IKN401620</v>
          </cell>
          <cell r="B307">
            <v>1554</v>
          </cell>
          <cell r="C307" t="str">
            <v>Institut Kanser Negara</v>
          </cell>
          <cell r="D307" t="e">
            <v>#N/A</v>
          </cell>
          <cell r="E307" t="str">
            <v>13-325</v>
          </cell>
          <cell r="F307" t="str">
            <v>Regulators, Suction</v>
          </cell>
          <cell r="G307" t="str">
            <v>WJ</v>
          </cell>
          <cell r="H307" t="str">
            <v>MULTIDISCIPLINE WARD 1</v>
          </cell>
          <cell r="I307" t="str">
            <v>09WJ126</v>
          </cell>
          <cell r="J307" t="str">
            <v>EQUIPT. ROOM</v>
          </cell>
          <cell r="K307" t="str">
            <v>BMED</v>
          </cell>
          <cell r="L307" t="str">
            <v>Normal</v>
          </cell>
          <cell r="M307" t="str">
            <v>United States</v>
          </cell>
          <cell r="N307" t="str">
            <v>OHIO</v>
          </cell>
          <cell r="O307" t="str">
            <v>R244047311229905</v>
          </cell>
          <cell r="P307" t="str">
            <v>GPHS65079</v>
          </cell>
          <cell r="Q307" t="str">
            <v>Not Applicable</v>
          </cell>
          <cell r="R307" t="str">
            <v>OHIO</v>
          </cell>
          <cell r="S307" t="str">
            <v>Respimedic</v>
          </cell>
          <cell r="T307" t="str">
            <v>Functioning</v>
          </cell>
          <cell r="U307" t="str">
            <v>Asset</v>
          </cell>
          <cell r="V307">
            <v>920</v>
          </cell>
          <cell r="W307" t="str">
            <v>KEW</v>
          </cell>
          <cell r="X307" t="str">
            <v>01/09/2010</v>
          </cell>
          <cell r="Y307" t="str">
            <v>KEW</v>
          </cell>
          <cell r="Z307" t="str">
            <v>16/08/2013</v>
          </cell>
          <cell r="AA307" t="str">
            <v>15/08/2015</v>
          </cell>
          <cell r="AB307" t="str">
            <v>No</v>
          </cell>
          <cell r="AC307" t="str">
            <v>31/08/2013</v>
          </cell>
          <cell r="AD307" t="str">
            <v>Good</v>
          </cell>
          <cell r="AE307" t="str">
            <v>V4 - Decommissioned Installed Facility</v>
          </cell>
          <cell r="AF307">
            <v>42955</v>
          </cell>
          <cell r="AG307">
            <v>9.17</v>
          </cell>
          <cell r="AH307" t="str">
            <v>RI</v>
          </cell>
          <cell r="AI307" t="str">
            <v>Not in contract</v>
          </cell>
          <cell r="AJ307" t="str">
            <v>Not under maintenance</v>
          </cell>
          <cell r="AK307" t="e">
            <v>#N/A</v>
          </cell>
        </row>
        <row r="308">
          <cell r="A308" t="str">
            <v>IKN401621</v>
          </cell>
          <cell r="B308">
            <v>1555</v>
          </cell>
          <cell r="C308" t="str">
            <v>Institut Kanser Negara</v>
          </cell>
          <cell r="D308" t="e">
            <v>#N/A</v>
          </cell>
          <cell r="E308" t="str">
            <v>13-325</v>
          </cell>
          <cell r="F308" t="str">
            <v>Regulators, Suction</v>
          </cell>
          <cell r="G308" t="str">
            <v>WJ</v>
          </cell>
          <cell r="H308" t="str">
            <v>MULTIDISCIPLINE WARD 1</v>
          </cell>
          <cell r="I308" t="str">
            <v>09WJ126</v>
          </cell>
          <cell r="J308" t="str">
            <v>EQUIPT. ROOM</v>
          </cell>
          <cell r="K308" t="str">
            <v>BMED</v>
          </cell>
          <cell r="L308" t="str">
            <v>Normal</v>
          </cell>
          <cell r="M308" t="str">
            <v>United States</v>
          </cell>
          <cell r="N308" t="str">
            <v>OHIO</v>
          </cell>
          <cell r="O308" t="str">
            <v>R244047311229905</v>
          </cell>
          <cell r="P308" t="str">
            <v>GPHS65088</v>
          </cell>
          <cell r="Q308" t="str">
            <v>Not Applicable</v>
          </cell>
          <cell r="R308" t="str">
            <v>OHIO</v>
          </cell>
          <cell r="S308" t="str">
            <v>Respimedic</v>
          </cell>
          <cell r="T308" t="str">
            <v>Functioning</v>
          </cell>
          <cell r="U308" t="str">
            <v>Asset</v>
          </cell>
          <cell r="V308">
            <v>920</v>
          </cell>
          <cell r="W308" t="str">
            <v>KEW</v>
          </cell>
          <cell r="X308" t="str">
            <v>01/09/2010</v>
          </cell>
          <cell r="Y308" t="str">
            <v>KEW</v>
          </cell>
          <cell r="Z308" t="str">
            <v>16/08/2013</v>
          </cell>
          <cell r="AA308" t="str">
            <v>15/08/2015</v>
          </cell>
          <cell r="AB308" t="str">
            <v>No</v>
          </cell>
          <cell r="AC308" t="str">
            <v>31/08/2013</v>
          </cell>
          <cell r="AD308" t="str">
            <v>Good</v>
          </cell>
          <cell r="AE308" t="str">
            <v>V4 - Decommissioned Installed Facility</v>
          </cell>
          <cell r="AF308">
            <v>42955</v>
          </cell>
          <cell r="AG308">
            <v>9.17</v>
          </cell>
          <cell r="AH308" t="str">
            <v>RI</v>
          </cell>
          <cell r="AI308" t="str">
            <v>Not in contract</v>
          </cell>
          <cell r="AJ308" t="str">
            <v>Not under maintenance</v>
          </cell>
          <cell r="AK308" t="e">
            <v>#N/A</v>
          </cell>
        </row>
        <row r="309">
          <cell r="A309" t="str">
            <v>IKN401622</v>
          </cell>
          <cell r="B309">
            <v>1556</v>
          </cell>
          <cell r="C309" t="str">
            <v>Institut Kanser Negara</v>
          </cell>
          <cell r="D309" t="e">
            <v>#N/A</v>
          </cell>
          <cell r="E309" t="str">
            <v>13-325</v>
          </cell>
          <cell r="F309" t="str">
            <v>Regulators, Suction</v>
          </cell>
          <cell r="G309" t="str">
            <v>WJ</v>
          </cell>
          <cell r="H309" t="str">
            <v>MULTIDISCIPLINE WARD 1</v>
          </cell>
          <cell r="I309" t="str">
            <v>09WJ222</v>
          </cell>
          <cell r="J309" t="str">
            <v>TREATMENT</v>
          </cell>
          <cell r="K309" t="str">
            <v>BMED</v>
          </cell>
          <cell r="L309" t="str">
            <v>Normal</v>
          </cell>
          <cell r="M309" t="str">
            <v>United States</v>
          </cell>
          <cell r="N309" t="str">
            <v>OHIO</v>
          </cell>
          <cell r="O309" t="str">
            <v>R244047311229905</v>
          </cell>
          <cell r="P309" t="str">
            <v>GPHS65017</v>
          </cell>
          <cell r="Q309" t="str">
            <v>Not Applicable</v>
          </cell>
          <cell r="R309" t="str">
            <v>OHIO</v>
          </cell>
          <cell r="S309" t="str">
            <v>Respimedic</v>
          </cell>
          <cell r="T309" t="str">
            <v>Functioning</v>
          </cell>
          <cell r="U309" t="str">
            <v>Asset</v>
          </cell>
          <cell r="V309">
            <v>920</v>
          </cell>
          <cell r="W309" t="str">
            <v>KEW</v>
          </cell>
          <cell r="X309" t="str">
            <v>01/09/2010</v>
          </cell>
          <cell r="Y309" t="str">
            <v>KEW</v>
          </cell>
          <cell r="Z309" t="str">
            <v>16/08/2013</v>
          </cell>
          <cell r="AA309" t="str">
            <v>15/08/2015</v>
          </cell>
          <cell r="AB309" t="str">
            <v>No</v>
          </cell>
          <cell r="AC309" t="str">
            <v>31/08/2013</v>
          </cell>
          <cell r="AD309" t="str">
            <v>Good</v>
          </cell>
          <cell r="AE309" t="str">
            <v>V4 - Decommissioned Installed Facility</v>
          </cell>
          <cell r="AF309">
            <v>42955</v>
          </cell>
          <cell r="AG309">
            <v>9.17</v>
          </cell>
          <cell r="AH309" t="str">
            <v>RI</v>
          </cell>
          <cell r="AI309" t="str">
            <v>Not in contract</v>
          </cell>
          <cell r="AJ309" t="str">
            <v>Not under maintenance</v>
          </cell>
          <cell r="AK309" t="e">
            <v>#N/A</v>
          </cell>
        </row>
        <row r="310">
          <cell r="A310" t="str">
            <v>IKN401623</v>
          </cell>
          <cell r="B310">
            <v>1557</v>
          </cell>
          <cell r="C310" t="str">
            <v>Institut Kanser Negara</v>
          </cell>
          <cell r="D310" t="e">
            <v>#N/A</v>
          </cell>
          <cell r="E310" t="str">
            <v>13-325</v>
          </cell>
          <cell r="F310" t="str">
            <v>Regulators, Suction</v>
          </cell>
          <cell r="G310" t="str">
            <v>WJ</v>
          </cell>
          <cell r="H310" t="str">
            <v>MULTIDISCIPLINE WARD 1</v>
          </cell>
          <cell r="I310" t="str">
            <v>09WJ222</v>
          </cell>
          <cell r="J310" t="str">
            <v>TREATMENT</v>
          </cell>
          <cell r="K310" t="str">
            <v>BMED</v>
          </cell>
          <cell r="L310" t="str">
            <v>Normal</v>
          </cell>
          <cell r="M310" t="str">
            <v>United States</v>
          </cell>
          <cell r="N310" t="str">
            <v>OHIO</v>
          </cell>
          <cell r="O310" t="str">
            <v>R244047311229905</v>
          </cell>
          <cell r="P310" t="str">
            <v>GPHS65154</v>
          </cell>
          <cell r="Q310" t="str">
            <v>Not Applicable</v>
          </cell>
          <cell r="R310" t="str">
            <v>OHIO</v>
          </cell>
          <cell r="S310" t="str">
            <v>Respimedic</v>
          </cell>
          <cell r="T310" t="str">
            <v>Functioning</v>
          </cell>
          <cell r="U310" t="str">
            <v>Asset</v>
          </cell>
          <cell r="V310">
            <v>920</v>
          </cell>
          <cell r="W310" t="str">
            <v>KEW</v>
          </cell>
          <cell r="X310" t="str">
            <v>01/09/2010</v>
          </cell>
          <cell r="Y310" t="str">
            <v>KEW</v>
          </cell>
          <cell r="Z310" t="str">
            <v>16/08/2013</v>
          </cell>
          <cell r="AA310" t="str">
            <v>15/08/2015</v>
          </cell>
          <cell r="AB310" t="str">
            <v>No</v>
          </cell>
          <cell r="AC310" t="str">
            <v>31/08/2013</v>
          </cell>
          <cell r="AD310" t="str">
            <v>Good</v>
          </cell>
          <cell r="AE310" t="str">
            <v>V4 - Decommissioned Installed Facility</v>
          </cell>
          <cell r="AF310">
            <v>42955</v>
          </cell>
          <cell r="AG310">
            <v>9.17</v>
          </cell>
          <cell r="AH310" t="str">
            <v>RI</v>
          </cell>
          <cell r="AI310" t="str">
            <v>Not in contract</v>
          </cell>
          <cell r="AJ310" t="str">
            <v>Not under maintenance</v>
          </cell>
          <cell r="AK310" t="e">
            <v>#N/A</v>
          </cell>
        </row>
        <row r="311">
          <cell r="A311" t="str">
            <v>IKN401624</v>
          </cell>
          <cell r="B311">
            <v>1558</v>
          </cell>
          <cell r="C311" t="str">
            <v>Institut Kanser Negara</v>
          </cell>
          <cell r="D311" t="e">
            <v>#N/A</v>
          </cell>
          <cell r="E311" t="str">
            <v>13-325</v>
          </cell>
          <cell r="F311" t="str">
            <v>Regulators, Suction</v>
          </cell>
          <cell r="G311" t="str">
            <v>WJ</v>
          </cell>
          <cell r="H311" t="str">
            <v>MULTIDISCIPLINE WARD 1</v>
          </cell>
          <cell r="I311" t="str">
            <v>09WJ222</v>
          </cell>
          <cell r="J311" t="str">
            <v>TREATMENT</v>
          </cell>
          <cell r="K311" t="str">
            <v>BMED</v>
          </cell>
          <cell r="L311" t="str">
            <v>Normal</v>
          </cell>
          <cell r="M311" t="str">
            <v>United States</v>
          </cell>
          <cell r="N311" t="str">
            <v>OHIO</v>
          </cell>
          <cell r="O311" t="str">
            <v>R244047311229905</v>
          </cell>
          <cell r="P311" t="str">
            <v>GPHS65018</v>
          </cell>
          <cell r="Q311" t="str">
            <v>Not Applicable</v>
          </cell>
          <cell r="R311" t="str">
            <v>OHIO</v>
          </cell>
          <cell r="S311" t="str">
            <v>Respimedic</v>
          </cell>
          <cell r="T311" t="str">
            <v>Functioning</v>
          </cell>
          <cell r="U311" t="str">
            <v>Asset</v>
          </cell>
          <cell r="V311">
            <v>920</v>
          </cell>
          <cell r="W311" t="str">
            <v>KEW</v>
          </cell>
          <cell r="X311" t="str">
            <v>01/09/2010</v>
          </cell>
          <cell r="Y311" t="str">
            <v>KEW</v>
          </cell>
          <cell r="Z311" t="str">
            <v>16/08/2013</v>
          </cell>
          <cell r="AA311" t="str">
            <v>15/08/2015</v>
          </cell>
          <cell r="AB311" t="str">
            <v>No</v>
          </cell>
          <cell r="AC311" t="str">
            <v>31/08/2013</v>
          </cell>
          <cell r="AD311" t="str">
            <v>Good</v>
          </cell>
          <cell r="AE311" t="str">
            <v>V4 - Decommissioned Installed Facility</v>
          </cell>
          <cell r="AF311">
            <v>42955</v>
          </cell>
          <cell r="AG311">
            <v>9.17</v>
          </cell>
          <cell r="AH311" t="str">
            <v>RI</v>
          </cell>
          <cell r="AI311" t="str">
            <v>Not in contract</v>
          </cell>
          <cell r="AJ311" t="str">
            <v>Not under maintenance</v>
          </cell>
          <cell r="AK311" t="e">
            <v>#N/A</v>
          </cell>
        </row>
        <row r="312">
          <cell r="A312" t="str">
            <v>IKN401625</v>
          </cell>
          <cell r="B312">
            <v>1559</v>
          </cell>
          <cell r="C312" t="str">
            <v>Institut Kanser Negara</v>
          </cell>
          <cell r="D312" t="e">
            <v>#N/A</v>
          </cell>
          <cell r="E312" t="str">
            <v>13-325</v>
          </cell>
          <cell r="F312" t="str">
            <v>Regulators, Suction</v>
          </cell>
          <cell r="G312" t="str">
            <v>WJ</v>
          </cell>
          <cell r="H312" t="str">
            <v>MULTIDISCIPLINE WARD 1</v>
          </cell>
          <cell r="I312" t="str">
            <v>09WJ130</v>
          </cell>
          <cell r="J312" t="str">
            <v>TREATMENT/ PROCEDURE</v>
          </cell>
          <cell r="K312" t="str">
            <v>BMED</v>
          </cell>
          <cell r="L312" t="str">
            <v>Normal</v>
          </cell>
          <cell r="M312" t="str">
            <v>United States</v>
          </cell>
          <cell r="N312" t="str">
            <v>OHIO</v>
          </cell>
          <cell r="O312" t="str">
            <v>R244047311229905</v>
          </cell>
          <cell r="P312" t="str">
            <v>GPHS65164</v>
          </cell>
          <cell r="Q312" t="str">
            <v>Not Applicable</v>
          </cell>
          <cell r="R312" t="str">
            <v>OHIO</v>
          </cell>
          <cell r="S312" t="str">
            <v>Respimedic</v>
          </cell>
          <cell r="T312" t="str">
            <v>Functioning</v>
          </cell>
          <cell r="U312" t="str">
            <v>Asset</v>
          </cell>
          <cell r="V312">
            <v>920</v>
          </cell>
          <cell r="W312" t="str">
            <v>KEW</v>
          </cell>
          <cell r="X312" t="str">
            <v>01/09/2010</v>
          </cell>
          <cell r="Y312" t="str">
            <v>KEW</v>
          </cell>
          <cell r="Z312" t="str">
            <v>16/08/2013</v>
          </cell>
          <cell r="AA312" t="str">
            <v>15/08/2015</v>
          </cell>
          <cell r="AB312" t="str">
            <v>No</v>
          </cell>
          <cell r="AC312" t="str">
            <v>31/08/2013</v>
          </cell>
          <cell r="AD312" t="str">
            <v>Good</v>
          </cell>
          <cell r="AE312" t="str">
            <v>V4 - Decommissioned Installed Facility</v>
          </cell>
          <cell r="AF312">
            <v>42955</v>
          </cell>
          <cell r="AG312">
            <v>9.17</v>
          </cell>
          <cell r="AH312" t="str">
            <v>RI</v>
          </cell>
          <cell r="AI312" t="str">
            <v>Not in contract</v>
          </cell>
          <cell r="AJ312" t="str">
            <v>Not under maintenance</v>
          </cell>
          <cell r="AK312" t="e">
            <v>#N/A</v>
          </cell>
        </row>
        <row r="313">
          <cell r="A313" t="str">
            <v>IKN401626</v>
          </cell>
          <cell r="B313">
            <v>1560</v>
          </cell>
          <cell r="C313" t="str">
            <v>Institut Kanser Negara</v>
          </cell>
          <cell r="D313" t="e">
            <v>#N/A</v>
          </cell>
          <cell r="E313" t="str">
            <v>13-325</v>
          </cell>
          <cell r="F313" t="str">
            <v>Regulators, Suction</v>
          </cell>
          <cell r="G313" t="str">
            <v>WJ</v>
          </cell>
          <cell r="H313" t="str">
            <v>MULTIDISCIPLINE WARD 1</v>
          </cell>
          <cell r="I313" t="str">
            <v>09WJ222</v>
          </cell>
          <cell r="J313" t="str">
            <v>TREATMENT</v>
          </cell>
          <cell r="K313" t="str">
            <v>BMED</v>
          </cell>
          <cell r="L313" t="str">
            <v>Normal</v>
          </cell>
          <cell r="M313" t="str">
            <v>United States</v>
          </cell>
          <cell r="N313" t="str">
            <v>OHIO</v>
          </cell>
          <cell r="O313" t="str">
            <v>R244047311229905</v>
          </cell>
          <cell r="P313" t="str">
            <v>GPHS65151</v>
          </cell>
          <cell r="Q313" t="str">
            <v>Not Applicable</v>
          </cell>
          <cell r="R313" t="str">
            <v>OHIO</v>
          </cell>
          <cell r="S313" t="str">
            <v>Respimedic</v>
          </cell>
          <cell r="T313" t="str">
            <v>Functioning</v>
          </cell>
          <cell r="U313" t="str">
            <v>Asset</v>
          </cell>
          <cell r="V313">
            <v>920</v>
          </cell>
          <cell r="W313" t="str">
            <v>KEW</v>
          </cell>
          <cell r="X313" t="str">
            <v>01/09/2010</v>
          </cell>
          <cell r="Y313" t="str">
            <v>KEW</v>
          </cell>
          <cell r="Z313" t="str">
            <v>16/08/2013</v>
          </cell>
          <cell r="AA313" t="str">
            <v>15/08/2015</v>
          </cell>
          <cell r="AB313" t="str">
            <v>No</v>
          </cell>
          <cell r="AC313" t="str">
            <v>31/08/2013</v>
          </cell>
          <cell r="AD313" t="str">
            <v>Good</v>
          </cell>
          <cell r="AE313" t="str">
            <v>V4 - Decommissioned Installed Facility</v>
          </cell>
          <cell r="AF313">
            <v>42955</v>
          </cell>
          <cell r="AG313">
            <v>9.17</v>
          </cell>
          <cell r="AH313" t="str">
            <v>RI</v>
          </cell>
          <cell r="AI313" t="str">
            <v>Not in contract</v>
          </cell>
          <cell r="AJ313" t="str">
            <v>Not under maintenance</v>
          </cell>
          <cell r="AK313" t="e">
            <v>#N/A</v>
          </cell>
        </row>
        <row r="314">
          <cell r="A314" t="str">
            <v>IKN401627</v>
          </cell>
          <cell r="B314">
            <v>1561</v>
          </cell>
          <cell r="C314" t="str">
            <v>Institut Kanser Negara</v>
          </cell>
          <cell r="D314" t="e">
            <v>#N/A</v>
          </cell>
          <cell r="E314" t="str">
            <v>13-325</v>
          </cell>
          <cell r="F314" t="str">
            <v>Regulators, Suction</v>
          </cell>
          <cell r="G314" t="str">
            <v>WJ</v>
          </cell>
          <cell r="H314" t="str">
            <v>MULTIDISCIPLINE WARD 1</v>
          </cell>
          <cell r="I314" t="str">
            <v>09WJ126</v>
          </cell>
          <cell r="J314" t="str">
            <v>EQUIPT. ROOM</v>
          </cell>
          <cell r="K314" t="str">
            <v>BMED</v>
          </cell>
          <cell r="L314" t="str">
            <v>Normal</v>
          </cell>
          <cell r="M314" t="str">
            <v>United States</v>
          </cell>
          <cell r="N314" t="str">
            <v>OHIO</v>
          </cell>
          <cell r="O314" t="str">
            <v>R244047311229905</v>
          </cell>
          <cell r="P314" t="str">
            <v>GPHS65119</v>
          </cell>
          <cell r="Q314" t="str">
            <v>Not Applicable</v>
          </cell>
          <cell r="R314" t="str">
            <v>OHIO</v>
          </cell>
          <cell r="S314" t="str">
            <v>Respimedic</v>
          </cell>
          <cell r="T314" t="str">
            <v>Functioning</v>
          </cell>
          <cell r="U314" t="str">
            <v>Asset</v>
          </cell>
          <cell r="V314">
            <v>920</v>
          </cell>
          <cell r="W314" t="str">
            <v>KEW</v>
          </cell>
          <cell r="X314" t="str">
            <v>01/09/2010</v>
          </cell>
          <cell r="Y314" t="str">
            <v>KEW</v>
          </cell>
          <cell r="Z314" t="str">
            <v>16/08/2013</v>
          </cell>
          <cell r="AA314" t="str">
            <v>15/08/2015</v>
          </cell>
          <cell r="AB314" t="str">
            <v>No</v>
          </cell>
          <cell r="AC314" t="str">
            <v>31/08/2013</v>
          </cell>
          <cell r="AD314" t="str">
            <v>Good</v>
          </cell>
          <cell r="AE314" t="str">
            <v>V4 - Decommissioned Installed Facility</v>
          </cell>
          <cell r="AF314">
            <v>42955</v>
          </cell>
          <cell r="AG314">
            <v>9.17</v>
          </cell>
          <cell r="AH314" t="str">
            <v>RI</v>
          </cell>
          <cell r="AI314" t="str">
            <v>Not in contract</v>
          </cell>
          <cell r="AJ314" t="str">
            <v>Not under maintenance</v>
          </cell>
          <cell r="AK314" t="e">
            <v>#N/A</v>
          </cell>
        </row>
        <row r="315">
          <cell r="A315" t="str">
            <v>IKN401628</v>
          </cell>
          <cell r="B315">
            <v>1562</v>
          </cell>
          <cell r="C315" t="str">
            <v>Institut Kanser Negara</v>
          </cell>
          <cell r="D315" t="e">
            <v>#N/A</v>
          </cell>
          <cell r="E315" t="str">
            <v>13-325</v>
          </cell>
          <cell r="F315" t="str">
            <v>Regulators, Suction</v>
          </cell>
          <cell r="G315" t="str">
            <v>WJ</v>
          </cell>
          <cell r="H315" t="str">
            <v>MULTIDISCIPLINE WARD 1</v>
          </cell>
          <cell r="I315" t="str">
            <v>09WJ126</v>
          </cell>
          <cell r="J315" t="str">
            <v>EQUIPT. ROOM</v>
          </cell>
          <cell r="K315" t="str">
            <v>BMED</v>
          </cell>
          <cell r="L315" t="str">
            <v>Normal</v>
          </cell>
          <cell r="M315" t="str">
            <v>United States</v>
          </cell>
          <cell r="N315" t="str">
            <v>OHIO</v>
          </cell>
          <cell r="O315" t="str">
            <v>R244047311229905</v>
          </cell>
          <cell r="P315" t="str">
            <v>GPHS65080</v>
          </cell>
          <cell r="Q315" t="str">
            <v>Not Applicable</v>
          </cell>
          <cell r="R315" t="str">
            <v>OHIO</v>
          </cell>
          <cell r="S315" t="str">
            <v>Respimedic</v>
          </cell>
          <cell r="T315" t="str">
            <v>Functioning</v>
          </cell>
          <cell r="U315" t="str">
            <v>Asset</v>
          </cell>
          <cell r="V315">
            <v>920</v>
          </cell>
          <cell r="W315" t="str">
            <v>KEW</v>
          </cell>
          <cell r="X315" t="str">
            <v>01/09/2010</v>
          </cell>
          <cell r="Y315" t="str">
            <v>KEW</v>
          </cell>
          <cell r="Z315" t="str">
            <v>16/08/2013</v>
          </cell>
          <cell r="AA315" t="str">
            <v>15/08/2015</v>
          </cell>
          <cell r="AB315" t="str">
            <v>No</v>
          </cell>
          <cell r="AC315" t="str">
            <v>31/08/2013</v>
          </cell>
          <cell r="AD315" t="str">
            <v>Good</v>
          </cell>
          <cell r="AE315" t="str">
            <v>V4 - Decommissioned Installed Facility</v>
          </cell>
          <cell r="AF315">
            <v>42955</v>
          </cell>
          <cell r="AG315">
            <v>9.17</v>
          </cell>
          <cell r="AH315" t="str">
            <v>RI</v>
          </cell>
          <cell r="AI315" t="str">
            <v>Not in contract</v>
          </cell>
          <cell r="AJ315" t="str">
            <v>Not under maintenance</v>
          </cell>
          <cell r="AK315" t="e">
            <v>#N/A</v>
          </cell>
        </row>
        <row r="316">
          <cell r="A316" t="str">
            <v>IKN401629</v>
          </cell>
          <cell r="B316">
            <v>1563</v>
          </cell>
          <cell r="C316" t="str">
            <v>Institut Kanser Negara</v>
          </cell>
          <cell r="D316" t="e">
            <v>#N/A</v>
          </cell>
          <cell r="E316" t="str">
            <v>13-325</v>
          </cell>
          <cell r="F316" t="str">
            <v>Regulators, Suction</v>
          </cell>
          <cell r="G316" t="str">
            <v>WJ</v>
          </cell>
          <cell r="H316" t="str">
            <v>MULTIDISCIPLINE WARD 1</v>
          </cell>
          <cell r="I316" t="str">
            <v>09WJ126</v>
          </cell>
          <cell r="J316" t="str">
            <v>EQUIPT. ROOM</v>
          </cell>
          <cell r="K316" t="str">
            <v>BMED</v>
          </cell>
          <cell r="L316" t="str">
            <v>Normal</v>
          </cell>
          <cell r="M316" t="str">
            <v>United States</v>
          </cell>
          <cell r="N316" t="str">
            <v>OHIO</v>
          </cell>
          <cell r="O316" t="str">
            <v>R244047311229905</v>
          </cell>
          <cell r="P316" t="str">
            <v>GPHS65175</v>
          </cell>
          <cell r="Q316" t="str">
            <v>Not Applicable</v>
          </cell>
          <cell r="R316" t="str">
            <v>OHIO</v>
          </cell>
          <cell r="S316" t="str">
            <v>Respimedic</v>
          </cell>
          <cell r="T316" t="str">
            <v>Functioning</v>
          </cell>
          <cell r="U316" t="str">
            <v>Asset</v>
          </cell>
          <cell r="V316">
            <v>920</v>
          </cell>
          <cell r="W316" t="str">
            <v>KEW</v>
          </cell>
          <cell r="X316" t="str">
            <v>01/09/2010</v>
          </cell>
          <cell r="Y316" t="str">
            <v>KEW</v>
          </cell>
          <cell r="Z316" t="str">
            <v>16/08/2013</v>
          </cell>
          <cell r="AA316" t="str">
            <v>15/08/2015</v>
          </cell>
          <cell r="AB316" t="str">
            <v>No</v>
          </cell>
          <cell r="AC316" t="str">
            <v>31/08/2013</v>
          </cell>
          <cell r="AD316" t="str">
            <v>Good</v>
          </cell>
          <cell r="AE316" t="str">
            <v>V4 - Decommissioned Installed Facility</v>
          </cell>
          <cell r="AF316">
            <v>42955</v>
          </cell>
          <cell r="AG316">
            <v>9.17</v>
          </cell>
          <cell r="AH316" t="str">
            <v>RI</v>
          </cell>
          <cell r="AI316" t="str">
            <v>Not in contract</v>
          </cell>
          <cell r="AJ316" t="str">
            <v>Not under maintenance</v>
          </cell>
          <cell r="AK316" t="e">
            <v>#N/A</v>
          </cell>
        </row>
        <row r="317">
          <cell r="A317" t="str">
            <v>IKN401637</v>
          </cell>
          <cell r="B317">
            <v>1567</v>
          </cell>
          <cell r="C317" t="str">
            <v>Institut Kanser Negara</v>
          </cell>
          <cell r="D317" t="e">
            <v>#N/A</v>
          </cell>
          <cell r="E317" t="str">
            <v>13-325</v>
          </cell>
          <cell r="F317" t="str">
            <v>Regulators, Suction</v>
          </cell>
          <cell r="G317" t="str">
            <v>WE</v>
          </cell>
          <cell r="H317" t="str">
            <v>RT/ONCO WARD 1 (F)</v>
          </cell>
          <cell r="I317" t="str">
            <v>07WE107</v>
          </cell>
          <cell r="J317" t="str">
            <v>TREATMENT / PROCESURE</v>
          </cell>
          <cell r="K317" t="str">
            <v>BMED</v>
          </cell>
          <cell r="L317" t="str">
            <v>Normal</v>
          </cell>
          <cell r="M317" t="str">
            <v>United States</v>
          </cell>
          <cell r="N317" t="str">
            <v>OHIO</v>
          </cell>
          <cell r="O317" t="str">
            <v>R244047311229905</v>
          </cell>
          <cell r="P317" t="str">
            <v>GPHS65084</v>
          </cell>
          <cell r="Q317" t="str">
            <v>Not Applicable</v>
          </cell>
          <cell r="R317" t="str">
            <v>OHIO</v>
          </cell>
          <cell r="S317" t="str">
            <v>Respimedic</v>
          </cell>
          <cell r="T317" t="str">
            <v>Functioning</v>
          </cell>
          <cell r="U317" t="str">
            <v>Asset</v>
          </cell>
          <cell r="V317">
            <v>920</v>
          </cell>
          <cell r="W317" t="str">
            <v>KEW</v>
          </cell>
          <cell r="X317" t="str">
            <v>01/09/2010</v>
          </cell>
          <cell r="Y317" t="str">
            <v>KEW</v>
          </cell>
          <cell r="Z317" t="str">
            <v>16/08/2013</v>
          </cell>
          <cell r="AA317" t="str">
            <v>15/08/2015</v>
          </cell>
          <cell r="AB317" t="str">
            <v>No</v>
          </cell>
          <cell r="AC317" t="str">
            <v>31/08/2013</v>
          </cell>
          <cell r="AD317" t="str">
            <v>Good</v>
          </cell>
          <cell r="AE317" t="str">
            <v>V4 - Decommissioned Installed Facility</v>
          </cell>
          <cell r="AF317">
            <v>42927</v>
          </cell>
          <cell r="AG317">
            <v>9.17</v>
          </cell>
          <cell r="AH317" t="str">
            <v>RI</v>
          </cell>
          <cell r="AI317" t="str">
            <v>Not in contract</v>
          </cell>
          <cell r="AJ317" t="str">
            <v>Not under maintenance</v>
          </cell>
          <cell r="AK317" t="e">
            <v>#N/A</v>
          </cell>
        </row>
        <row r="318">
          <cell r="A318" t="str">
            <v>IKN401638</v>
          </cell>
          <cell r="B318">
            <v>1568</v>
          </cell>
          <cell r="C318" t="str">
            <v>Institut Kanser Negara</v>
          </cell>
          <cell r="D318" t="e">
            <v>#N/A</v>
          </cell>
          <cell r="E318" t="str">
            <v>13-325</v>
          </cell>
          <cell r="F318" t="str">
            <v>Regulators, Suction</v>
          </cell>
          <cell r="G318" t="str">
            <v>WF</v>
          </cell>
          <cell r="H318" t="str">
            <v>RT/ONCO WARD 2 (F)</v>
          </cell>
          <cell r="I318" t="str">
            <v>07WF121</v>
          </cell>
          <cell r="J318" t="str">
            <v>EQUIPMENT ROOM</v>
          </cell>
          <cell r="K318" t="str">
            <v>BMED</v>
          </cell>
          <cell r="L318" t="str">
            <v>Normal</v>
          </cell>
          <cell r="M318" t="str">
            <v>United States</v>
          </cell>
          <cell r="N318" t="str">
            <v>OHIO</v>
          </cell>
          <cell r="O318" t="str">
            <v>R244047311229905</v>
          </cell>
          <cell r="P318" t="str">
            <v>GPHS65086</v>
          </cell>
          <cell r="Q318" t="str">
            <v>Not Applicable</v>
          </cell>
          <cell r="R318" t="str">
            <v>OHIO</v>
          </cell>
          <cell r="S318" t="str">
            <v>Respimedic</v>
          </cell>
          <cell r="T318" t="str">
            <v>Functioning</v>
          </cell>
          <cell r="U318" t="str">
            <v>Asset</v>
          </cell>
          <cell r="V318">
            <v>920</v>
          </cell>
          <cell r="W318" t="str">
            <v>KEW</v>
          </cell>
          <cell r="X318" t="str">
            <v>01/09/2010</v>
          </cell>
          <cell r="Y318" t="str">
            <v>KEW</v>
          </cell>
          <cell r="Z318" t="str">
            <v>16/08/2013</v>
          </cell>
          <cell r="AA318" t="str">
            <v>15/08/2015</v>
          </cell>
          <cell r="AB318" t="str">
            <v>No</v>
          </cell>
          <cell r="AC318" t="str">
            <v>31/08/2013</v>
          </cell>
          <cell r="AD318" t="str">
            <v>Good</v>
          </cell>
          <cell r="AE318" t="str">
            <v>V4 - Decommissioned Installed Facility</v>
          </cell>
          <cell r="AF318">
            <v>42928</v>
          </cell>
          <cell r="AG318">
            <v>9.17</v>
          </cell>
          <cell r="AH318" t="str">
            <v>RI</v>
          </cell>
          <cell r="AI318" t="str">
            <v>Not in contract</v>
          </cell>
          <cell r="AJ318" t="str">
            <v>Not under maintenance</v>
          </cell>
          <cell r="AK318" t="e">
            <v>#N/A</v>
          </cell>
        </row>
        <row r="319">
          <cell r="A319" t="str">
            <v>IKN401639</v>
          </cell>
          <cell r="B319">
            <v>1569</v>
          </cell>
          <cell r="C319" t="str">
            <v>Institut Kanser Negara</v>
          </cell>
          <cell r="D319" t="e">
            <v>#N/A</v>
          </cell>
          <cell r="E319" t="str">
            <v>13-325</v>
          </cell>
          <cell r="F319" t="str">
            <v>Regulators, Suction</v>
          </cell>
          <cell r="G319" t="str">
            <v>WF</v>
          </cell>
          <cell r="H319" t="str">
            <v>RT/ONCO WARD 2 (F)</v>
          </cell>
          <cell r="I319" t="str">
            <v>07WF121</v>
          </cell>
          <cell r="J319" t="str">
            <v>EQUIPMENT ROOM</v>
          </cell>
          <cell r="K319" t="str">
            <v>BMED</v>
          </cell>
          <cell r="L319" t="str">
            <v>Normal</v>
          </cell>
          <cell r="M319" t="str">
            <v>United States</v>
          </cell>
          <cell r="N319" t="str">
            <v>OHIO</v>
          </cell>
          <cell r="O319" t="str">
            <v>R244047311229905</v>
          </cell>
          <cell r="P319" t="str">
            <v>GPHS65087</v>
          </cell>
          <cell r="Q319" t="str">
            <v>Not Applicable</v>
          </cell>
          <cell r="R319" t="str">
            <v>OHIO</v>
          </cell>
          <cell r="S319" t="str">
            <v>Respimedic</v>
          </cell>
          <cell r="T319" t="str">
            <v>Functioning</v>
          </cell>
          <cell r="U319" t="str">
            <v>Asset</v>
          </cell>
          <cell r="V319">
            <v>920</v>
          </cell>
          <cell r="W319" t="str">
            <v>KEW</v>
          </cell>
          <cell r="X319" t="str">
            <v>01/09/2010</v>
          </cell>
          <cell r="Y319" t="str">
            <v>KEW</v>
          </cell>
          <cell r="Z319" t="str">
            <v>16/08/2013</v>
          </cell>
          <cell r="AA319" t="str">
            <v>15/08/2015</v>
          </cell>
          <cell r="AB319" t="str">
            <v>No</v>
          </cell>
          <cell r="AC319" t="str">
            <v>31/08/2013</v>
          </cell>
          <cell r="AD319" t="str">
            <v>Good</v>
          </cell>
          <cell r="AE319" t="str">
            <v>V4 - Decommissioned Installed Facility</v>
          </cell>
          <cell r="AF319">
            <v>42928</v>
          </cell>
          <cell r="AG319">
            <v>9.17</v>
          </cell>
          <cell r="AH319" t="str">
            <v>RI</v>
          </cell>
          <cell r="AI319" t="str">
            <v>Not in contract</v>
          </cell>
          <cell r="AJ319" t="str">
            <v>Not under maintenance</v>
          </cell>
          <cell r="AK319" t="e">
            <v>#N/A</v>
          </cell>
        </row>
        <row r="320">
          <cell r="A320" t="str">
            <v>IKN401640</v>
          </cell>
          <cell r="B320">
            <v>1570</v>
          </cell>
          <cell r="C320" t="str">
            <v>Institut Kanser Negara</v>
          </cell>
          <cell r="D320" t="e">
            <v>#N/A</v>
          </cell>
          <cell r="E320" t="str">
            <v>13-325</v>
          </cell>
          <cell r="F320" t="str">
            <v>Regulators, Suction</v>
          </cell>
          <cell r="G320" t="str">
            <v>WF</v>
          </cell>
          <cell r="H320" t="str">
            <v>RT/ONCO WARD 2 (F)</v>
          </cell>
          <cell r="I320" t="str">
            <v>07WF121</v>
          </cell>
          <cell r="J320" t="str">
            <v>EQUIPMENT ROOM</v>
          </cell>
          <cell r="K320" t="str">
            <v>BMED</v>
          </cell>
          <cell r="L320" t="str">
            <v>Normal</v>
          </cell>
          <cell r="M320" t="str">
            <v>United States</v>
          </cell>
          <cell r="N320" t="str">
            <v>OHIO</v>
          </cell>
          <cell r="O320" t="str">
            <v>R244047311229905</v>
          </cell>
          <cell r="P320" t="str">
            <v>GPHS65093</v>
          </cell>
          <cell r="Q320" t="str">
            <v>Not Applicable</v>
          </cell>
          <cell r="R320" t="str">
            <v>OHIO</v>
          </cell>
          <cell r="S320" t="str">
            <v>Respimedic</v>
          </cell>
          <cell r="T320" t="str">
            <v>Functioning</v>
          </cell>
          <cell r="U320" t="str">
            <v>Asset</v>
          </cell>
          <cell r="V320">
            <v>920</v>
          </cell>
          <cell r="W320" t="str">
            <v>KEW</v>
          </cell>
          <cell r="X320" t="str">
            <v>01/09/2010</v>
          </cell>
          <cell r="Y320" t="str">
            <v>KEW</v>
          </cell>
          <cell r="Z320" t="str">
            <v>16/08/2013</v>
          </cell>
          <cell r="AA320" t="str">
            <v>15/08/2015</v>
          </cell>
          <cell r="AB320" t="str">
            <v>No</v>
          </cell>
          <cell r="AC320" t="str">
            <v>31/08/2013</v>
          </cell>
          <cell r="AD320" t="str">
            <v>Good</v>
          </cell>
          <cell r="AE320" t="str">
            <v>V4 - Decommissioned Installed Facility</v>
          </cell>
          <cell r="AF320">
            <v>42928</v>
          </cell>
          <cell r="AG320">
            <v>9.17</v>
          </cell>
          <cell r="AH320" t="str">
            <v>RI</v>
          </cell>
          <cell r="AI320" t="str">
            <v>Not in contract</v>
          </cell>
          <cell r="AJ320" t="str">
            <v>Not under maintenance</v>
          </cell>
          <cell r="AK320" t="e">
            <v>#N/A</v>
          </cell>
        </row>
        <row r="321">
          <cell r="A321" t="str">
            <v>IKN401641</v>
          </cell>
          <cell r="B321">
            <v>1571</v>
          </cell>
          <cell r="C321" t="str">
            <v>Institut Kanser Negara</v>
          </cell>
          <cell r="D321" t="e">
            <v>#N/A</v>
          </cell>
          <cell r="E321" t="str">
            <v>13-325</v>
          </cell>
          <cell r="F321" t="str">
            <v>Regulators, Suction</v>
          </cell>
          <cell r="G321" t="str">
            <v>WF</v>
          </cell>
          <cell r="H321" t="str">
            <v>RT/ONCO WARD 2 (F)</v>
          </cell>
          <cell r="I321" t="str">
            <v>07WF113</v>
          </cell>
          <cell r="J321" t="str">
            <v>ISOLATION 1 (+VE)</v>
          </cell>
          <cell r="K321" t="str">
            <v>BMED</v>
          </cell>
          <cell r="L321" t="str">
            <v>Normal</v>
          </cell>
          <cell r="M321" t="str">
            <v>United States</v>
          </cell>
          <cell r="N321" t="str">
            <v>OHIO</v>
          </cell>
          <cell r="O321" t="str">
            <v>R244047311229905</v>
          </cell>
          <cell r="P321" t="str">
            <v>GPHS65092</v>
          </cell>
          <cell r="Q321" t="str">
            <v>Not Applicable</v>
          </cell>
          <cell r="R321" t="str">
            <v>OHIO</v>
          </cell>
          <cell r="S321" t="str">
            <v>Respimedic</v>
          </cell>
          <cell r="T321" t="str">
            <v>Functioning</v>
          </cell>
          <cell r="U321" t="str">
            <v>Asset</v>
          </cell>
          <cell r="V321">
            <v>920</v>
          </cell>
          <cell r="W321" t="str">
            <v>KEW</v>
          </cell>
          <cell r="X321" t="str">
            <v>01/09/2010</v>
          </cell>
          <cell r="Y321" t="str">
            <v>KEW</v>
          </cell>
          <cell r="Z321" t="str">
            <v>16/08/2013</v>
          </cell>
          <cell r="AA321" t="str">
            <v>15/08/2015</v>
          </cell>
          <cell r="AB321" t="str">
            <v>No</v>
          </cell>
          <cell r="AC321" t="str">
            <v>31/08/2013</v>
          </cell>
          <cell r="AD321" t="str">
            <v>Good</v>
          </cell>
          <cell r="AE321" t="str">
            <v>V4 - Decommissioned Installed Facility</v>
          </cell>
          <cell r="AF321">
            <v>42928</v>
          </cell>
          <cell r="AG321">
            <v>9.17</v>
          </cell>
          <cell r="AH321" t="str">
            <v>RI</v>
          </cell>
          <cell r="AI321" t="str">
            <v>Not in contract</v>
          </cell>
          <cell r="AJ321" t="str">
            <v>Not under maintenance</v>
          </cell>
          <cell r="AK321" t="e">
            <v>#N/A</v>
          </cell>
        </row>
        <row r="322">
          <cell r="A322" t="str">
            <v>IKN401642</v>
          </cell>
          <cell r="B322">
            <v>1572</v>
          </cell>
          <cell r="C322" t="str">
            <v>Institut Kanser Negara</v>
          </cell>
          <cell r="D322" t="e">
            <v>#N/A</v>
          </cell>
          <cell r="E322" t="str">
            <v>13-325</v>
          </cell>
          <cell r="F322" t="str">
            <v>Regulators, Suction</v>
          </cell>
          <cell r="G322" t="str">
            <v>WF</v>
          </cell>
          <cell r="H322" t="str">
            <v>RT/ONCO WARD 2 (F)</v>
          </cell>
          <cell r="I322" t="str">
            <v>07WF107</v>
          </cell>
          <cell r="J322" t="str">
            <v>TREATMENT / PROCEDDURE</v>
          </cell>
          <cell r="K322" t="str">
            <v>BMED</v>
          </cell>
          <cell r="L322" t="str">
            <v>Normal</v>
          </cell>
          <cell r="M322" t="str">
            <v>United States</v>
          </cell>
          <cell r="N322" t="str">
            <v>OHIO</v>
          </cell>
          <cell r="O322" t="str">
            <v>R244047311229905</v>
          </cell>
          <cell r="P322" t="str">
            <v>GPHS65090</v>
          </cell>
          <cell r="Q322" t="str">
            <v>Not Applicable</v>
          </cell>
          <cell r="R322" t="str">
            <v>OHIO</v>
          </cell>
          <cell r="S322" t="str">
            <v>Respimedic</v>
          </cell>
          <cell r="T322" t="str">
            <v>Functioning</v>
          </cell>
          <cell r="U322" t="str">
            <v>Asset</v>
          </cell>
          <cell r="V322">
            <v>920</v>
          </cell>
          <cell r="W322" t="str">
            <v>KEW</v>
          </cell>
          <cell r="X322" t="str">
            <v>01/09/2010</v>
          </cell>
          <cell r="Y322" t="str">
            <v>KEW</v>
          </cell>
          <cell r="Z322" t="str">
            <v>16/08/2013</v>
          </cell>
          <cell r="AA322" t="str">
            <v>15/08/2015</v>
          </cell>
          <cell r="AB322" t="str">
            <v>No</v>
          </cell>
          <cell r="AC322" t="str">
            <v>31/08/2013</v>
          </cell>
          <cell r="AD322" t="str">
            <v>Good</v>
          </cell>
          <cell r="AE322" t="str">
            <v>V4 - Decommissioned Installed Facility</v>
          </cell>
          <cell r="AF322">
            <v>42928</v>
          </cell>
          <cell r="AG322">
            <v>9.17</v>
          </cell>
          <cell r="AH322" t="str">
            <v>RI</v>
          </cell>
          <cell r="AI322" t="str">
            <v>Not in contract</v>
          </cell>
          <cell r="AJ322" t="str">
            <v>Not under maintenance</v>
          </cell>
          <cell r="AK322" t="e">
            <v>#N/A</v>
          </cell>
        </row>
        <row r="323">
          <cell r="A323" t="str">
            <v>IKN401643</v>
          </cell>
          <cell r="B323">
            <v>1573</v>
          </cell>
          <cell r="C323" t="str">
            <v>Institut Kanser Negara</v>
          </cell>
          <cell r="D323" t="e">
            <v>#N/A</v>
          </cell>
          <cell r="E323" t="str">
            <v>13-325</v>
          </cell>
          <cell r="F323" t="str">
            <v>Regulators, Suction</v>
          </cell>
          <cell r="G323" t="str">
            <v>WF</v>
          </cell>
          <cell r="H323" t="str">
            <v>RT/ONCO WARD 2 (F)</v>
          </cell>
          <cell r="I323" t="str">
            <v>07WF121</v>
          </cell>
          <cell r="J323" t="str">
            <v>EQUIPMENT ROOM</v>
          </cell>
          <cell r="K323" t="str">
            <v>BMED</v>
          </cell>
          <cell r="L323" t="str">
            <v>Normal</v>
          </cell>
          <cell r="M323" t="str">
            <v>United States</v>
          </cell>
          <cell r="N323" t="str">
            <v>OHIO</v>
          </cell>
          <cell r="O323" t="str">
            <v>R244047311229905</v>
          </cell>
          <cell r="P323" t="str">
            <v>GPHS65187</v>
          </cell>
          <cell r="Q323" t="str">
            <v>Not Applicable</v>
          </cell>
          <cell r="R323" t="str">
            <v>OHIO</v>
          </cell>
          <cell r="S323" t="str">
            <v>Respimedic</v>
          </cell>
          <cell r="T323" t="str">
            <v>Functioning</v>
          </cell>
          <cell r="U323" t="str">
            <v>Asset</v>
          </cell>
          <cell r="V323">
            <v>920</v>
          </cell>
          <cell r="W323" t="str">
            <v>KEW</v>
          </cell>
          <cell r="X323" t="str">
            <v>01/09/2010</v>
          </cell>
          <cell r="Y323" t="str">
            <v>KEW</v>
          </cell>
          <cell r="Z323" t="str">
            <v>16/08/2013</v>
          </cell>
          <cell r="AA323" t="str">
            <v>15/08/2015</v>
          </cell>
          <cell r="AB323" t="str">
            <v>No</v>
          </cell>
          <cell r="AC323" t="str">
            <v>31/08/2013</v>
          </cell>
          <cell r="AD323" t="str">
            <v>Good</v>
          </cell>
          <cell r="AE323" t="str">
            <v>V4 - Decommissioned Installed Facility</v>
          </cell>
          <cell r="AF323">
            <v>42928</v>
          </cell>
          <cell r="AG323">
            <v>9.17</v>
          </cell>
          <cell r="AH323" t="str">
            <v>RI</v>
          </cell>
          <cell r="AI323" t="str">
            <v>Not in contract</v>
          </cell>
          <cell r="AJ323" t="str">
            <v>Not under maintenance</v>
          </cell>
          <cell r="AK323" t="e">
            <v>#N/A</v>
          </cell>
        </row>
        <row r="324">
          <cell r="A324" t="str">
            <v>IKN401644</v>
          </cell>
          <cell r="B324">
            <v>1574</v>
          </cell>
          <cell r="C324" t="str">
            <v>Institut Kanser Negara</v>
          </cell>
          <cell r="D324" t="e">
            <v>#N/A</v>
          </cell>
          <cell r="E324" t="str">
            <v>13-325</v>
          </cell>
          <cell r="F324" t="str">
            <v>Regulators, Suction</v>
          </cell>
          <cell r="G324" t="str">
            <v>WF</v>
          </cell>
          <cell r="H324" t="str">
            <v>RT/ONCO WARD 2 (F)</v>
          </cell>
          <cell r="I324" t="str">
            <v>07WF121</v>
          </cell>
          <cell r="J324" t="str">
            <v>EQUIPMENT ROOM</v>
          </cell>
          <cell r="K324" t="str">
            <v>BMED</v>
          </cell>
          <cell r="L324" t="str">
            <v>Normal</v>
          </cell>
          <cell r="M324" t="str">
            <v>United States</v>
          </cell>
          <cell r="N324" t="str">
            <v>OHIO</v>
          </cell>
          <cell r="O324" t="str">
            <v>R244047311229905</v>
          </cell>
          <cell r="P324" t="str">
            <v>GPHS65144</v>
          </cell>
          <cell r="Q324" t="str">
            <v>Not Applicable</v>
          </cell>
          <cell r="R324" t="str">
            <v>OHIO</v>
          </cell>
          <cell r="S324" t="str">
            <v>Respimedic</v>
          </cell>
          <cell r="T324" t="str">
            <v>Functioning</v>
          </cell>
          <cell r="U324" t="str">
            <v>Asset</v>
          </cell>
          <cell r="V324">
            <v>920</v>
          </cell>
          <cell r="W324" t="str">
            <v>KEW</v>
          </cell>
          <cell r="X324" t="str">
            <v>01/09/2010</v>
          </cell>
          <cell r="Y324" t="str">
            <v>KEW</v>
          </cell>
          <cell r="Z324" t="str">
            <v>16/08/2013</v>
          </cell>
          <cell r="AA324" t="str">
            <v>15/08/2015</v>
          </cell>
          <cell r="AB324" t="str">
            <v>No</v>
          </cell>
          <cell r="AC324" t="str">
            <v>31/08/2013</v>
          </cell>
          <cell r="AD324" t="str">
            <v>Good</v>
          </cell>
          <cell r="AE324" t="str">
            <v>V4 - Decommissioned Installed Facility</v>
          </cell>
          <cell r="AF324">
            <v>42927</v>
          </cell>
          <cell r="AG324">
            <v>9.17</v>
          </cell>
          <cell r="AH324" t="str">
            <v>RI</v>
          </cell>
          <cell r="AI324" t="str">
            <v>Not in contract</v>
          </cell>
          <cell r="AJ324" t="str">
            <v>Not under maintenance</v>
          </cell>
          <cell r="AK324" t="e">
            <v>#N/A</v>
          </cell>
        </row>
        <row r="325">
          <cell r="A325" t="str">
            <v>IKN401645</v>
          </cell>
          <cell r="B325">
            <v>1575</v>
          </cell>
          <cell r="C325" t="str">
            <v>Institut Kanser Negara</v>
          </cell>
          <cell r="D325" t="e">
            <v>#N/A</v>
          </cell>
          <cell r="E325" t="str">
            <v>13-325</v>
          </cell>
          <cell r="F325" t="str">
            <v>Regulators, Suction</v>
          </cell>
          <cell r="G325" t="str">
            <v>WF</v>
          </cell>
          <cell r="H325" t="str">
            <v>RT/ONCO WARD 2 (F)</v>
          </cell>
          <cell r="I325" t="str">
            <v>07WF121</v>
          </cell>
          <cell r="J325" t="str">
            <v>EQUIPMENT ROOM</v>
          </cell>
          <cell r="K325" t="str">
            <v>BMED</v>
          </cell>
          <cell r="L325" t="str">
            <v>Normal</v>
          </cell>
          <cell r="M325" t="str">
            <v>United States</v>
          </cell>
          <cell r="N325" t="str">
            <v>OHIO</v>
          </cell>
          <cell r="O325" t="str">
            <v>R244047311229905</v>
          </cell>
          <cell r="P325" t="str">
            <v>GPHS65148</v>
          </cell>
          <cell r="Q325" t="str">
            <v>Not Applicable</v>
          </cell>
          <cell r="R325" t="str">
            <v>OHIO</v>
          </cell>
          <cell r="S325" t="str">
            <v>Respimedic</v>
          </cell>
          <cell r="T325" t="str">
            <v>Functioning</v>
          </cell>
          <cell r="U325" t="str">
            <v>Asset</v>
          </cell>
          <cell r="V325">
            <v>920</v>
          </cell>
          <cell r="W325" t="str">
            <v>KEW</v>
          </cell>
          <cell r="X325" t="str">
            <v>01/09/2010</v>
          </cell>
          <cell r="Y325" t="str">
            <v>KEW</v>
          </cell>
          <cell r="Z325" t="str">
            <v>16/08/2013</v>
          </cell>
          <cell r="AA325" t="str">
            <v>15/08/2015</v>
          </cell>
          <cell r="AB325" t="str">
            <v>No</v>
          </cell>
          <cell r="AC325" t="str">
            <v>31/08/2013</v>
          </cell>
          <cell r="AD325" t="str">
            <v>Good</v>
          </cell>
          <cell r="AE325" t="str">
            <v>V4 - Decommissioned Installed Facility</v>
          </cell>
          <cell r="AF325">
            <v>42927</v>
          </cell>
          <cell r="AG325">
            <v>9.17</v>
          </cell>
          <cell r="AH325" t="str">
            <v>RI</v>
          </cell>
          <cell r="AI325" t="str">
            <v>Not in contract</v>
          </cell>
          <cell r="AJ325" t="str">
            <v>Not under maintenance</v>
          </cell>
          <cell r="AK325" t="e">
            <v>#N/A</v>
          </cell>
        </row>
        <row r="326">
          <cell r="A326" t="str">
            <v>IKN401646</v>
          </cell>
          <cell r="B326">
            <v>1576</v>
          </cell>
          <cell r="C326" t="str">
            <v>Institut Kanser Negara</v>
          </cell>
          <cell r="D326" t="e">
            <v>#N/A</v>
          </cell>
          <cell r="E326" t="str">
            <v>13-325</v>
          </cell>
          <cell r="F326" t="str">
            <v>Regulators, Suction</v>
          </cell>
          <cell r="G326" t="str">
            <v>WF</v>
          </cell>
          <cell r="H326" t="str">
            <v>RT/ONCO WARD 2 (F)</v>
          </cell>
          <cell r="I326" t="str">
            <v>07WF121</v>
          </cell>
          <cell r="J326" t="str">
            <v>EQUIPMENT ROOM</v>
          </cell>
          <cell r="K326" t="str">
            <v>BMED</v>
          </cell>
          <cell r="L326" t="str">
            <v>Normal</v>
          </cell>
          <cell r="M326" t="str">
            <v>United States</v>
          </cell>
          <cell r="N326" t="str">
            <v>OHIO</v>
          </cell>
          <cell r="O326" t="str">
            <v>R244047311229905</v>
          </cell>
          <cell r="P326" t="str">
            <v>GPHS65146</v>
          </cell>
          <cell r="Q326" t="str">
            <v>Not Applicable</v>
          </cell>
          <cell r="R326" t="str">
            <v>OHIO</v>
          </cell>
          <cell r="S326" t="str">
            <v>Respimedic</v>
          </cell>
          <cell r="T326" t="str">
            <v>Functioning</v>
          </cell>
          <cell r="U326" t="str">
            <v>Asset</v>
          </cell>
          <cell r="V326">
            <v>920</v>
          </cell>
          <cell r="W326" t="str">
            <v>KEW</v>
          </cell>
          <cell r="X326" t="str">
            <v>01/09/2010</v>
          </cell>
          <cell r="Y326" t="str">
            <v>KEW</v>
          </cell>
          <cell r="Z326" t="str">
            <v>16/08/2013</v>
          </cell>
          <cell r="AA326" t="str">
            <v>15/08/2015</v>
          </cell>
          <cell r="AB326" t="str">
            <v>No</v>
          </cell>
          <cell r="AC326" t="str">
            <v>31/08/2013</v>
          </cell>
          <cell r="AD326" t="str">
            <v>Good</v>
          </cell>
          <cell r="AE326" t="str">
            <v>V4 - Decommissioned Installed Facility</v>
          </cell>
          <cell r="AF326">
            <v>42927</v>
          </cell>
          <cell r="AG326">
            <v>9.17</v>
          </cell>
          <cell r="AH326" t="str">
            <v>RI</v>
          </cell>
          <cell r="AI326" t="str">
            <v>Not in contract</v>
          </cell>
          <cell r="AJ326" t="str">
            <v>Not under maintenance</v>
          </cell>
          <cell r="AK326" t="e">
            <v>#N/A</v>
          </cell>
        </row>
        <row r="327">
          <cell r="A327" t="str">
            <v>IKN401647</v>
          </cell>
          <cell r="B327">
            <v>1577</v>
          </cell>
          <cell r="C327" t="str">
            <v>Institut Kanser Negara</v>
          </cell>
          <cell r="D327" t="e">
            <v>#N/A</v>
          </cell>
          <cell r="E327" t="str">
            <v>13-325</v>
          </cell>
          <cell r="F327" t="str">
            <v>Regulators, Suction</v>
          </cell>
          <cell r="G327" t="str">
            <v>WF</v>
          </cell>
          <cell r="H327" t="str">
            <v>RT/ONCO WARD 2 (F)</v>
          </cell>
          <cell r="I327" t="str">
            <v>07WF121</v>
          </cell>
          <cell r="J327" t="str">
            <v>EQUIPMENT ROOM</v>
          </cell>
          <cell r="K327" t="str">
            <v>BMED</v>
          </cell>
          <cell r="L327" t="str">
            <v>Normal</v>
          </cell>
          <cell r="M327" t="str">
            <v>United States</v>
          </cell>
          <cell r="N327" t="str">
            <v>OHIO</v>
          </cell>
          <cell r="O327" t="str">
            <v>R244047311229905</v>
          </cell>
          <cell r="P327" t="str">
            <v>GPHS65123</v>
          </cell>
          <cell r="Q327" t="str">
            <v>Not Applicable</v>
          </cell>
          <cell r="R327" t="str">
            <v>OHIO</v>
          </cell>
          <cell r="S327" t="str">
            <v>Respimedic</v>
          </cell>
          <cell r="T327" t="str">
            <v>Functioning</v>
          </cell>
          <cell r="U327" t="str">
            <v>Asset</v>
          </cell>
          <cell r="V327">
            <v>920</v>
          </cell>
          <cell r="W327" t="str">
            <v>KEW</v>
          </cell>
          <cell r="X327" t="str">
            <v>01/09/2010</v>
          </cell>
          <cell r="Y327" t="str">
            <v>KEW</v>
          </cell>
          <cell r="Z327" t="str">
            <v>16/08/2013</v>
          </cell>
          <cell r="AA327" t="str">
            <v>15/08/2015</v>
          </cell>
          <cell r="AB327" t="str">
            <v>No</v>
          </cell>
          <cell r="AC327" t="str">
            <v>31/08/2013</v>
          </cell>
          <cell r="AD327" t="str">
            <v>Good</v>
          </cell>
          <cell r="AE327" t="str">
            <v>V4 - Decommissioned Installed Facility</v>
          </cell>
          <cell r="AF327">
            <v>42927</v>
          </cell>
          <cell r="AG327">
            <v>9.17</v>
          </cell>
          <cell r="AH327" t="str">
            <v>RI</v>
          </cell>
          <cell r="AI327" t="str">
            <v>Not in contract</v>
          </cell>
          <cell r="AJ327" t="str">
            <v>Not under maintenance</v>
          </cell>
          <cell r="AK327" t="e">
            <v>#N/A</v>
          </cell>
        </row>
        <row r="328">
          <cell r="A328" t="str">
            <v>IKN401648</v>
          </cell>
          <cell r="B328">
            <v>1578</v>
          </cell>
          <cell r="C328" t="str">
            <v>Institut Kanser Negara</v>
          </cell>
          <cell r="D328" t="str">
            <v>KKM/IKN/H/13/5006</v>
          </cell>
          <cell r="E328" t="str">
            <v>13-325</v>
          </cell>
          <cell r="F328" t="str">
            <v>Regulators, Suction</v>
          </cell>
          <cell r="G328" t="str">
            <v>OT</v>
          </cell>
          <cell r="H328" t="str">
            <v>OPERATING THEATRE</v>
          </cell>
          <cell r="I328" t="str">
            <v>05OT159</v>
          </cell>
          <cell r="J328" t="str">
            <v>POST-OP/RECOVERY (FUTURE)</v>
          </cell>
          <cell r="K328" t="str">
            <v>BMED</v>
          </cell>
          <cell r="L328" t="str">
            <v>Normal</v>
          </cell>
          <cell r="M328" t="str">
            <v>United States</v>
          </cell>
          <cell r="N328" t="str">
            <v>OHIO</v>
          </cell>
          <cell r="O328" t="str">
            <v>R244047311229905</v>
          </cell>
          <cell r="P328" t="str">
            <v>GFJT00084</v>
          </cell>
          <cell r="Q328" t="str">
            <v>Not Applicable</v>
          </cell>
          <cell r="R328" t="str">
            <v>OHIO</v>
          </cell>
          <cell r="S328" t="str">
            <v>Respimedic</v>
          </cell>
          <cell r="T328" t="str">
            <v>Functioning</v>
          </cell>
          <cell r="U328" t="str">
            <v>Asset</v>
          </cell>
          <cell r="V328">
            <v>920</v>
          </cell>
          <cell r="W328" t="str">
            <v>KEW</v>
          </cell>
          <cell r="X328" t="str">
            <v>01/09/2010</v>
          </cell>
          <cell r="Y328" t="str">
            <v>KEW</v>
          </cell>
          <cell r="Z328" t="str">
            <v>16/08/2013</v>
          </cell>
          <cell r="AA328" t="str">
            <v>15/08/2015</v>
          </cell>
          <cell r="AB328" t="str">
            <v>No</v>
          </cell>
          <cell r="AC328" t="str">
            <v>31/08/2013</v>
          </cell>
          <cell r="AD328" t="str">
            <v>Good</v>
          </cell>
          <cell r="AE328" t="str">
            <v>V4 - Decommissioned Installed Facility</v>
          </cell>
          <cell r="AF328">
            <v>42928</v>
          </cell>
          <cell r="AG328">
            <v>9.17</v>
          </cell>
          <cell r="AH328" t="str">
            <v>RI</v>
          </cell>
          <cell r="AI328" t="str">
            <v>Strands</v>
          </cell>
          <cell r="AJ328" t="str">
            <v>Not under maintenance</v>
          </cell>
        </row>
        <row r="329">
          <cell r="A329" t="str">
            <v>IKN401649</v>
          </cell>
          <cell r="B329">
            <v>1579</v>
          </cell>
          <cell r="C329" t="str">
            <v>Institut Kanser Negara</v>
          </cell>
          <cell r="D329" t="str">
            <v>KKM/IKN/H/13/5011</v>
          </cell>
          <cell r="E329" t="str">
            <v>13-325</v>
          </cell>
          <cell r="F329" t="str">
            <v>Regulators, Suction</v>
          </cell>
          <cell r="G329" t="str">
            <v>OT</v>
          </cell>
          <cell r="H329" t="str">
            <v>OPERATING THEATRE</v>
          </cell>
          <cell r="I329" t="str">
            <v>05OT159</v>
          </cell>
          <cell r="J329" t="str">
            <v>POST-OP/RECOVERY (FUTURE)</v>
          </cell>
          <cell r="K329" t="str">
            <v>BMED</v>
          </cell>
          <cell r="L329" t="str">
            <v>Normal</v>
          </cell>
          <cell r="M329" t="str">
            <v>United States</v>
          </cell>
          <cell r="N329" t="str">
            <v>OHIO</v>
          </cell>
          <cell r="O329" t="str">
            <v>R244047311229905</v>
          </cell>
          <cell r="P329" t="str">
            <v>GFJT00083</v>
          </cell>
          <cell r="Q329" t="str">
            <v>Not Applicable</v>
          </cell>
          <cell r="R329" t="str">
            <v>OHIO</v>
          </cell>
          <cell r="S329" t="str">
            <v>Respimedic</v>
          </cell>
          <cell r="T329" t="str">
            <v>Functioning</v>
          </cell>
          <cell r="U329" t="str">
            <v>Asset</v>
          </cell>
          <cell r="V329">
            <v>920</v>
          </cell>
          <cell r="W329" t="str">
            <v>KEW</v>
          </cell>
          <cell r="X329" t="str">
            <v>01/09/2010</v>
          </cell>
          <cell r="Y329" t="str">
            <v>KEW</v>
          </cell>
          <cell r="Z329" t="str">
            <v>16/08/2013</v>
          </cell>
          <cell r="AA329" t="str">
            <v>15/08/2015</v>
          </cell>
          <cell r="AB329" t="str">
            <v>No</v>
          </cell>
          <cell r="AC329" t="str">
            <v>31/08/2013</v>
          </cell>
          <cell r="AD329" t="str">
            <v>Good</v>
          </cell>
          <cell r="AE329" t="str">
            <v>V4 - Decommissioned Installed Facility</v>
          </cell>
          <cell r="AF329">
            <v>42928</v>
          </cell>
          <cell r="AG329">
            <v>9.17</v>
          </cell>
          <cell r="AH329" t="str">
            <v>RI</v>
          </cell>
          <cell r="AI329" t="str">
            <v>Strands</v>
          </cell>
          <cell r="AJ329" t="str">
            <v>Not under maintenance</v>
          </cell>
        </row>
        <row r="330">
          <cell r="A330" t="str">
            <v>IKN401650</v>
          </cell>
          <cell r="B330">
            <v>1580</v>
          </cell>
          <cell r="C330" t="str">
            <v>Institut Kanser Negara</v>
          </cell>
          <cell r="D330" t="str">
            <v>KKM/IKN/H/13/5010</v>
          </cell>
          <cell r="E330" t="str">
            <v>13-325</v>
          </cell>
          <cell r="F330" t="str">
            <v>Regulators, Suction</v>
          </cell>
          <cell r="G330" t="str">
            <v>OT</v>
          </cell>
          <cell r="H330" t="str">
            <v>OPERATING THEATRE</v>
          </cell>
          <cell r="I330" t="str">
            <v>05OT128</v>
          </cell>
          <cell r="J330" t="str">
            <v>PRE-OP / PATIENT HOLDING</v>
          </cell>
          <cell r="K330" t="str">
            <v>BMED</v>
          </cell>
          <cell r="L330" t="str">
            <v>Normal</v>
          </cell>
          <cell r="M330" t="str">
            <v>United States</v>
          </cell>
          <cell r="N330" t="str">
            <v>OHIO</v>
          </cell>
          <cell r="O330" t="str">
            <v>R244047311229905</v>
          </cell>
          <cell r="P330" t="str">
            <v>GFJT00097</v>
          </cell>
          <cell r="Q330" t="str">
            <v>Not Applicable</v>
          </cell>
          <cell r="R330" t="str">
            <v>OHIO</v>
          </cell>
          <cell r="S330" t="str">
            <v>Respimedic</v>
          </cell>
          <cell r="T330" t="str">
            <v>Functioning</v>
          </cell>
          <cell r="U330" t="str">
            <v>Asset</v>
          </cell>
          <cell r="V330">
            <v>920</v>
          </cell>
          <cell r="W330" t="str">
            <v>KEW</v>
          </cell>
          <cell r="X330" t="str">
            <v>01/09/2010</v>
          </cell>
          <cell r="Y330" t="str">
            <v>KEW</v>
          </cell>
          <cell r="Z330" t="str">
            <v>16/08/2013</v>
          </cell>
          <cell r="AA330" t="str">
            <v>15/08/2015</v>
          </cell>
          <cell r="AB330" t="str">
            <v>No</v>
          </cell>
          <cell r="AC330" t="str">
            <v>31/08/2013</v>
          </cell>
          <cell r="AD330" t="str">
            <v>Good</v>
          </cell>
          <cell r="AE330" t="str">
            <v>V4 - Decommissioned Installed Facility</v>
          </cell>
          <cell r="AF330">
            <v>42928</v>
          </cell>
          <cell r="AG330">
            <v>9.17</v>
          </cell>
          <cell r="AH330" t="str">
            <v>RI</v>
          </cell>
          <cell r="AI330" t="str">
            <v>Strands</v>
          </cell>
          <cell r="AJ330" t="str">
            <v>Not under maintenance</v>
          </cell>
        </row>
        <row r="331">
          <cell r="A331" t="str">
            <v>IKN401651</v>
          </cell>
          <cell r="B331">
            <v>1581</v>
          </cell>
          <cell r="C331" t="str">
            <v>Institut Kanser Negara</v>
          </cell>
          <cell r="D331" t="str">
            <v>KKM/IKN/H/13/5008</v>
          </cell>
          <cell r="E331" t="str">
            <v>13-325</v>
          </cell>
          <cell r="F331" t="str">
            <v>Regulators, Suction</v>
          </cell>
          <cell r="G331" t="str">
            <v>OT</v>
          </cell>
          <cell r="H331" t="str">
            <v>OPERATING THEATRE</v>
          </cell>
          <cell r="I331" t="str">
            <v>05OT128</v>
          </cell>
          <cell r="J331" t="str">
            <v>PRE-OP / PATIENT HOLDING</v>
          </cell>
          <cell r="K331" t="str">
            <v>BMED</v>
          </cell>
          <cell r="L331" t="str">
            <v>Normal</v>
          </cell>
          <cell r="M331" t="str">
            <v>United States</v>
          </cell>
          <cell r="N331" t="str">
            <v>OHIO</v>
          </cell>
          <cell r="O331" t="str">
            <v>R244047311229905</v>
          </cell>
          <cell r="P331" t="str">
            <v>GFJT00094</v>
          </cell>
          <cell r="Q331" t="str">
            <v>Not Applicable</v>
          </cell>
          <cell r="R331" t="str">
            <v>OHIO</v>
          </cell>
          <cell r="S331" t="str">
            <v>Respimedic</v>
          </cell>
          <cell r="T331" t="str">
            <v>Functioning</v>
          </cell>
          <cell r="U331" t="str">
            <v>Asset</v>
          </cell>
          <cell r="V331">
            <v>920</v>
          </cell>
          <cell r="W331" t="str">
            <v>KEW</v>
          </cell>
          <cell r="X331" t="str">
            <v>01/09/2010</v>
          </cell>
          <cell r="Y331" t="str">
            <v>KEW</v>
          </cell>
          <cell r="Z331" t="str">
            <v>16/08/2013</v>
          </cell>
          <cell r="AA331" t="str">
            <v>15/08/2015</v>
          </cell>
          <cell r="AB331" t="str">
            <v>No</v>
          </cell>
          <cell r="AC331" t="str">
            <v>31/08/2013</v>
          </cell>
          <cell r="AD331" t="str">
            <v>Good</v>
          </cell>
          <cell r="AE331" t="str">
            <v>V4 - Decommissioned Installed Facility</v>
          </cell>
          <cell r="AF331">
            <v>42928</v>
          </cell>
          <cell r="AG331">
            <v>9.17</v>
          </cell>
          <cell r="AH331" t="str">
            <v>RI</v>
          </cell>
          <cell r="AI331" t="str">
            <v>Strands</v>
          </cell>
          <cell r="AJ331" t="str">
            <v>Not under maintenance</v>
          </cell>
        </row>
        <row r="332">
          <cell r="A332" t="str">
            <v>IKN401652</v>
          </cell>
          <cell r="B332">
            <v>1582</v>
          </cell>
          <cell r="C332" t="str">
            <v>Institut Kanser Negara</v>
          </cell>
          <cell r="D332" t="str">
            <v>KKM/IKN/H/13/5012</v>
          </cell>
          <cell r="E332" t="str">
            <v>13-325</v>
          </cell>
          <cell r="F332" t="str">
            <v>Regulators, Suction</v>
          </cell>
          <cell r="G332" t="str">
            <v>OT</v>
          </cell>
          <cell r="H332" t="str">
            <v>OPERATING THEATRE</v>
          </cell>
          <cell r="I332" t="str">
            <v>05OT123</v>
          </cell>
          <cell r="J332" t="str">
            <v>0T 1</v>
          </cell>
          <cell r="K332" t="str">
            <v>BMED</v>
          </cell>
          <cell r="L332" t="str">
            <v>Normal</v>
          </cell>
          <cell r="M332" t="str">
            <v>United States</v>
          </cell>
          <cell r="N332" t="str">
            <v>OHIO</v>
          </cell>
          <cell r="O332" t="str">
            <v>R244047311229905</v>
          </cell>
          <cell r="P332" t="str">
            <v>GFJT00081</v>
          </cell>
          <cell r="Q332" t="str">
            <v>Not Applicable</v>
          </cell>
          <cell r="R332" t="str">
            <v>OHIO</v>
          </cell>
          <cell r="S332" t="str">
            <v>Respimedic</v>
          </cell>
          <cell r="T332" t="str">
            <v>Functioning</v>
          </cell>
          <cell r="U332" t="str">
            <v>Asset</v>
          </cell>
          <cell r="V332">
            <v>920</v>
          </cell>
          <cell r="W332" t="str">
            <v>KEW</v>
          </cell>
          <cell r="X332" t="str">
            <v>01/09/2010</v>
          </cell>
          <cell r="Y332" t="str">
            <v>KEW</v>
          </cell>
          <cell r="Z332" t="str">
            <v>16/08/2013</v>
          </cell>
          <cell r="AA332" t="str">
            <v>15/08/2015</v>
          </cell>
          <cell r="AB332" t="str">
            <v>No</v>
          </cell>
          <cell r="AC332" t="str">
            <v>31/08/2013</v>
          </cell>
          <cell r="AD332" t="str">
            <v>Good</v>
          </cell>
          <cell r="AE332" t="str">
            <v>V4 - Decommissioned Installed Facility</v>
          </cell>
          <cell r="AF332">
            <v>42928</v>
          </cell>
          <cell r="AG332">
            <v>9.17</v>
          </cell>
          <cell r="AH332" t="str">
            <v>RI</v>
          </cell>
          <cell r="AI332" t="str">
            <v>Strands</v>
          </cell>
          <cell r="AJ332" t="str">
            <v>Not under maintenance</v>
          </cell>
        </row>
        <row r="333">
          <cell r="A333" t="str">
            <v>IKN401653</v>
          </cell>
          <cell r="B333">
            <v>1583</v>
          </cell>
          <cell r="C333" t="str">
            <v>Institut Kanser Negara</v>
          </cell>
          <cell r="D333" t="str">
            <v>KKM/IKN/H/13/5009</v>
          </cell>
          <cell r="E333" t="str">
            <v>13-325</v>
          </cell>
          <cell r="F333" t="str">
            <v>Regulators, Suction</v>
          </cell>
          <cell r="G333" t="str">
            <v>OT</v>
          </cell>
          <cell r="H333" t="str">
            <v>OPERATING THEATRE</v>
          </cell>
          <cell r="I333" t="str">
            <v>05OT123</v>
          </cell>
          <cell r="J333" t="str">
            <v>0T 1</v>
          </cell>
          <cell r="K333" t="str">
            <v>BMED</v>
          </cell>
          <cell r="L333" t="str">
            <v>Normal</v>
          </cell>
          <cell r="M333" t="str">
            <v>United States</v>
          </cell>
          <cell r="N333" t="str">
            <v>OHIO</v>
          </cell>
          <cell r="O333" t="str">
            <v>R244047311229905</v>
          </cell>
          <cell r="P333" t="str">
            <v>GFJT00095</v>
          </cell>
          <cell r="Q333" t="str">
            <v>Not Applicable</v>
          </cell>
          <cell r="R333" t="str">
            <v>OHIO</v>
          </cell>
          <cell r="S333" t="str">
            <v>Respimedic</v>
          </cell>
          <cell r="T333" t="str">
            <v>Functioning</v>
          </cell>
          <cell r="U333" t="str">
            <v>Asset</v>
          </cell>
          <cell r="V333">
            <v>920</v>
          </cell>
          <cell r="W333" t="str">
            <v>KEW</v>
          </cell>
          <cell r="X333" t="str">
            <v>01/09/2010</v>
          </cell>
          <cell r="Y333" t="str">
            <v>KEW</v>
          </cell>
          <cell r="Z333" t="str">
            <v>16/08/2013</v>
          </cell>
          <cell r="AA333" t="str">
            <v>15/08/2015</v>
          </cell>
          <cell r="AB333" t="str">
            <v>No</v>
          </cell>
          <cell r="AC333" t="str">
            <v>31/08/2013</v>
          </cell>
          <cell r="AD333" t="str">
            <v>Good</v>
          </cell>
          <cell r="AE333" t="str">
            <v>V4 - Decommissioned Installed Facility</v>
          </cell>
          <cell r="AF333">
            <v>42928</v>
          </cell>
          <cell r="AG333">
            <v>9.17</v>
          </cell>
          <cell r="AH333" t="str">
            <v>RI</v>
          </cell>
          <cell r="AI333" t="str">
            <v>Strands</v>
          </cell>
          <cell r="AJ333" t="str">
            <v>Not under maintenance</v>
          </cell>
        </row>
        <row r="334">
          <cell r="A334" t="str">
            <v>IKN401654</v>
          </cell>
          <cell r="B334">
            <v>1584</v>
          </cell>
          <cell r="C334" t="str">
            <v>Institut Kanser Negara</v>
          </cell>
          <cell r="D334" t="str">
            <v>KKM/IKN/H/13/5013</v>
          </cell>
          <cell r="E334" t="str">
            <v>13-325</v>
          </cell>
          <cell r="F334" t="str">
            <v>Regulators, Suction</v>
          </cell>
          <cell r="G334" t="str">
            <v>OT</v>
          </cell>
          <cell r="H334" t="str">
            <v>OPERATING THEATRE</v>
          </cell>
          <cell r="I334" t="str">
            <v>05OT123</v>
          </cell>
          <cell r="J334" t="str">
            <v>0T 1</v>
          </cell>
          <cell r="K334" t="str">
            <v>BMED</v>
          </cell>
          <cell r="L334" t="str">
            <v>Normal</v>
          </cell>
          <cell r="M334" t="str">
            <v>United States</v>
          </cell>
          <cell r="N334" t="str">
            <v>OHIO</v>
          </cell>
          <cell r="O334" t="str">
            <v>R244047311229905</v>
          </cell>
          <cell r="P334" t="str">
            <v>GFJT00085</v>
          </cell>
          <cell r="Q334" t="str">
            <v>Not Applicable</v>
          </cell>
          <cell r="R334" t="str">
            <v>OHIO</v>
          </cell>
          <cell r="S334" t="str">
            <v>Respimedic</v>
          </cell>
          <cell r="T334" t="str">
            <v>Functioning</v>
          </cell>
          <cell r="U334" t="str">
            <v>Asset</v>
          </cell>
          <cell r="V334">
            <v>920</v>
          </cell>
          <cell r="W334" t="str">
            <v>KEW</v>
          </cell>
          <cell r="X334" t="str">
            <v>01/09/2010</v>
          </cell>
          <cell r="Y334" t="str">
            <v>KEW</v>
          </cell>
          <cell r="Z334" t="str">
            <v>16/08/2013</v>
          </cell>
          <cell r="AA334" t="str">
            <v>15/08/2015</v>
          </cell>
          <cell r="AB334" t="str">
            <v>No</v>
          </cell>
          <cell r="AC334" t="str">
            <v>31/08/2013</v>
          </cell>
          <cell r="AD334" t="str">
            <v>Good</v>
          </cell>
          <cell r="AE334" t="str">
            <v>V4 - Decommissioned Installed Facility</v>
          </cell>
          <cell r="AF334">
            <v>42929</v>
          </cell>
          <cell r="AG334">
            <v>9.17</v>
          </cell>
          <cell r="AH334" t="str">
            <v>RI</v>
          </cell>
          <cell r="AI334" t="str">
            <v>Strands</v>
          </cell>
          <cell r="AJ334" t="str">
            <v>Not under maintenance</v>
          </cell>
        </row>
        <row r="335">
          <cell r="A335" t="str">
            <v>IKN401655</v>
          </cell>
          <cell r="B335">
            <v>1585</v>
          </cell>
          <cell r="C335" t="str">
            <v>Institut Kanser Negara</v>
          </cell>
          <cell r="D335" t="str">
            <v>KKM/IKN/H/13/5007</v>
          </cell>
          <cell r="E335" t="str">
            <v>13-325</v>
          </cell>
          <cell r="F335" t="str">
            <v>Regulators, Suction</v>
          </cell>
          <cell r="G335" t="str">
            <v>OT</v>
          </cell>
          <cell r="H335" t="str">
            <v>OPERATING THEATRE</v>
          </cell>
          <cell r="I335" t="str">
            <v>05OT120</v>
          </cell>
          <cell r="J335" t="str">
            <v>OT 2</v>
          </cell>
          <cell r="K335" t="str">
            <v>BMED</v>
          </cell>
          <cell r="L335" t="str">
            <v>Normal</v>
          </cell>
          <cell r="M335" t="str">
            <v>United States</v>
          </cell>
          <cell r="N335" t="str">
            <v>OHIO</v>
          </cell>
          <cell r="O335" t="str">
            <v>R244047311229905</v>
          </cell>
          <cell r="P335" t="str">
            <v>GFJT00100</v>
          </cell>
          <cell r="Q335" t="str">
            <v>Not Applicable</v>
          </cell>
          <cell r="R335" t="str">
            <v>OHIO</v>
          </cell>
          <cell r="S335" t="str">
            <v>Respimedic</v>
          </cell>
          <cell r="T335" t="str">
            <v>Functioning</v>
          </cell>
          <cell r="U335" t="str">
            <v>Asset</v>
          </cell>
          <cell r="V335">
            <v>920</v>
          </cell>
          <cell r="W335" t="str">
            <v>KEW</v>
          </cell>
          <cell r="X335" t="str">
            <v>01/09/2010</v>
          </cell>
          <cell r="Y335" t="str">
            <v>KEW</v>
          </cell>
          <cell r="Z335" t="str">
            <v>16/08/2013</v>
          </cell>
          <cell r="AA335" t="str">
            <v>15/08/2015</v>
          </cell>
          <cell r="AB335" t="str">
            <v>No</v>
          </cell>
          <cell r="AC335" t="str">
            <v>31/08/2013</v>
          </cell>
          <cell r="AD335" t="str">
            <v>Good</v>
          </cell>
          <cell r="AE335" t="str">
            <v>V4 - Decommissioned Installed Facility</v>
          </cell>
          <cell r="AF335">
            <v>42929</v>
          </cell>
          <cell r="AG335">
            <v>9.17</v>
          </cell>
          <cell r="AH335" t="str">
            <v>RI</v>
          </cell>
          <cell r="AI335" t="str">
            <v>Strands</v>
          </cell>
          <cell r="AJ335" t="str">
            <v>Not under maintenance</v>
          </cell>
        </row>
        <row r="336">
          <cell r="A336" t="str">
            <v>IKN401657</v>
          </cell>
          <cell r="B336">
            <v>1587</v>
          </cell>
          <cell r="C336" t="str">
            <v>Institut Kanser Negara</v>
          </cell>
          <cell r="D336" t="e">
            <v>#N/A</v>
          </cell>
          <cell r="E336" t="str">
            <v>13-325</v>
          </cell>
          <cell r="F336" t="str">
            <v>Regulators, Suction</v>
          </cell>
          <cell r="G336" t="str">
            <v>WG</v>
          </cell>
          <cell r="H336" t="str">
            <v>RT/ONCO WARD 1 (M)</v>
          </cell>
          <cell r="I336" t="str">
            <v>08WG111</v>
          </cell>
          <cell r="J336" t="str">
            <v>2 BED ROOM</v>
          </cell>
          <cell r="K336" t="str">
            <v>BMED</v>
          </cell>
          <cell r="L336" t="str">
            <v>Normal</v>
          </cell>
          <cell r="M336" t="str">
            <v>United States</v>
          </cell>
          <cell r="N336" t="str">
            <v>OHIO</v>
          </cell>
          <cell r="O336" t="str">
            <v>R244047311229905</v>
          </cell>
          <cell r="P336" t="str">
            <v>GPHS65157</v>
          </cell>
          <cell r="Q336" t="str">
            <v>Not Applicable</v>
          </cell>
          <cell r="R336" t="str">
            <v>OHIO</v>
          </cell>
          <cell r="S336" t="str">
            <v>Respimedic</v>
          </cell>
          <cell r="T336" t="str">
            <v>Functioning</v>
          </cell>
          <cell r="U336" t="str">
            <v>Asset</v>
          </cell>
          <cell r="V336">
            <v>920</v>
          </cell>
          <cell r="W336" t="str">
            <v>KEW</v>
          </cell>
          <cell r="X336" t="str">
            <v>01/09/2010</v>
          </cell>
          <cell r="Y336" t="str">
            <v>KEW</v>
          </cell>
          <cell r="Z336" t="str">
            <v>16/08/2013</v>
          </cell>
          <cell r="AA336" t="str">
            <v>15/08/2015</v>
          </cell>
          <cell r="AB336" t="str">
            <v>No</v>
          </cell>
          <cell r="AC336" t="str">
            <v>31/08/2013</v>
          </cell>
          <cell r="AD336" t="str">
            <v>Good</v>
          </cell>
          <cell r="AE336" t="str">
            <v>V4 - Decommissioned Installed Facility</v>
          </cell>
          <cell r="AF336">
            <v>42957</v>
          </cell>
          <cell r="AG336">
            <v>9.17</v>
          </cell>
          <cell r="AH336" t="str">
            <v>RI</v>
          </cell>
          <cell r="AI336" t="str">
            <v>Not in contract</v>
          </cell>
          <cell r="AJ336" t="str">
            <v>Not under maintenance</v>
          </cell>
          <cell r="AK336" t="e">
            <v>#N/A</v>
          </cell>
        </row>
        <row r="337">
          <cell r="A337" t="str">
            <v>IKN401658</v>
          </cell>
          <cell r="B337">
            <v>1588</v>
          </cell>
          <cell r="C337" t="str">
            <v>Institut Kanser Negara</v>
          </cell>
          <cell r="D337" t="e">
            <v>#N/A</v>
          </cell>
          <cell r="E337" t="str">
            <v>13-325</v>
          </cell>
          <cell r="F337" t="str">
            <v>Regulators, Suction</v>
          </cell>
          <cell r="G337" t="str">
            <v>WG</v>
          </cell>
          <cell r="H337" t="str">
            <v>RT/ONCO WARD 1 (M)</v>
          </cell>
          <cell r="I337" t="str">
            <v>08WG111</v>
          </cell>
          <cell r="J337" t="str">
            <v>2 BED ROOM</v>
          </cell>
          <cell r="K337" t="str">
            <v>BMED</v>
          </cell>
          <cell r="L337" t="str">
            <v>Normal</v>
          </cell>
          <cell r="M337" t="str">
            <v>United States</v>
          </cell>
          <cell r="N337" t="str">
            <v>OHIO</v>
          </cell>
          <cell r="O337" t="str">
            <v>R244047311229905</v>
          </cell>
          <cell r="P337" t="str">
            <v>GPHS65122</v>
          </cell>
          <cell r="Q337" t="str">
            <v>Not Applicable</v>
          </cell>
          <cell r="R337" t="str">
            <v>OHIO</v>
          </cell>
          <cell r="S337" t="str">
            <v>Respimedic</v>
          </cell>
          <cell r="T337" t="str">
            <v>Functioning</v>
          </cell>
          <cell r="U337" t="str">
            <v>Asset</v>
          </cell>
          <cell r="V337">
            <v>920</v>
          </cell>
          <cell r="W337" t="str">
            <v>KEW</v>
          </cell>
          <cell r="X337" t="str">
            <v>01/09/2010</v>
          </cell>
          <cell r="Y337" t="str">
            <v>KEW</v>
          </cell>
          <cell r="Z337" t="str">
            <v>16/08/2013</v>
          </cell>
          <cell r="AA337" t="str">
            <v>15/08/2015</v>
          </cell>
          <cell r="AB337" t="str">
            <v>No</v>
          </cell>
          <cell r="AC337" t="str">
            <v>31/08/2013</v>
          </cell>
          <cell r="AD337" t="str">
            <v>Good</v>
          </cell>
          <cell r="AE337" t="str">
            <v>V4 - Decommissioned Installed Facility</v>
          </cell>
          <cell r="AF337">
            <v>42957</v>
          </cell>
          <cell r="AG337">
            <v>9.17</v>
          </cell>
          <cell r="AH337" t="str">
            <v>RI</v>
          </cell>
          <cell r="AI337" t="str">
            <v>Not in contract</v>
          </cell>
          <cell r="AJ337" t="str">
            <v>Not under maintenance</v>
          </cell>
          <cell r="AK337" t="e">
            <v>#N/A</v>
          </cell>
        </row>
        <row r="338">
          <cell r="A338" t="str">
            <v>IKN401659</v>
          </cell>
          <cell r="B338">
            <v>1589</v>
          </cell>
          <cell r="C338" t="str">
            <v>Institut Kanser Negara</v>
          </cell>
          <cell r="D338" t="e">
            <v>#N/A</v>
          </cell>
          <cell r="E338" t="str">
            <v>13-325</v>
          </cell>
          <cell r="F338" t="str">
            <v>Regulators, Suction</v>
          </cell>
          <cell r="G338" t="str">
            <v>WG</v>
          </cell>
          <cell r="H338" t="str">
            <v>RT/ONCO WARD 1 (M)</v>
          </cell>
          <cell r="I338" t="str">
            <v>08WG108</v>
          </cell>
          <cell r="J338" t="str">
            <v>4 BED ROOM 1</v>
          </cell>
          <cell r="K338" t="str">
            <v>BMED</v>
          </cell>
          <cell r="L338" t="str">
            <v>Normal</v>
          </cell>
          <cell r="M338" t="str">
            <v>United States</v>
          </cell>
          <cell r="N338" t="str">
            <v>OHIO</v>
          </cell>
          <cell r="O338" t="str">
            <v>R244047311229905</v>
          </cell>
          <cell r="P338" t="str">
            <v>GPHS65156</v>
          </cell>
          <cell r="Q338" t="str">
            <v>Not Applicable</v>
          </cell>
          <cell r="R338" t="str">
            <v>OHIO</v>
          </cell>
          <cell r="S338" t="str">
            <v>Respimedic</v>
          </cell>
          <cell r="T338" t="str">
            <v>Functioning</v>
          </cell>
          <cell r="U338" t="str">
            <v>Asset</v>
          </cell>
          <cell r="V338">
            <v>920</v>
          </cell>
          <cell r="W338" t="str">
            <v>KEW</v>
          </cell>
          <cell r="X338" t="str">
            <v>01/09/2010</v>
          </cell>
          <cell r="Y338" t="str">
            <v>KEW</v>
          </cell>
          <cell r="Z338" t="str">
            <v>16/08/2013</v>
          </cell>
          <cell r="AA338" t="str">
            <v>15/08/2015</v>
          </cell>
          <cell r="AB338" t="str">
            <v>No</v>
          </cell>
          <cell r="AC338" t="str">
            <v>31/08/2013</v>
          </cell>
          <cell r="AD338" t="str">
            <v>Good</v>
          </cell>
          <cell r="AE338" t="str">
            <v>V4 - Decommissioned Installed Facility</v>
          </cell>
          <cell r="AF338">
            <v>42957</v>
          </cell>
          <cell r="AG338">
            <v>9.17</v>
          </cell>
          <cell r="AH338" t="str">
            <v>RI</v>
          </cell>
          <cell r="AI338" t="str">
            <v>Not in contract</v>
          </cell>
          <cell r="AJ338" t="str">
            <v>Not under maintenance</v>
          </cell>
          <cell r="AK338" t="e">
            <v>#N/A</v>
          </cell>
        </row>
        <row r="339">
          <cell r="A339" t="str">
            <v>IKN401660</v>
          </cell>
          <cell r="B339">
            <v>1590</v>
          </cell>
          <cell r="C339" t="str">
            <v>Institut Kanser Negara</v>
          </cell>
          <cell r="D339" t="e">
            <v>#N/A</v>
          </cell>
          <cell r="E339" t="str">
            <v>13-325</v>
          </cell>
          <cell r="F339" t="str">
            <v>Regulators, Suction</v>
          </cell>
          <cell r="G339" t="str">
            <v>WG</v>
          </cell>
          <cell r="H339" t="str">
            <v>RT/ONCO WARD 1 (M)</v>
          </cell>
          <cell r="I339" t="str">
            <v>08WG108</v>
          </cell>
          <cell r="J339" t="str">
            <v>4 BED ROOM 1</v>
          </cell>
          <cell r="K339" t="str">
            <v>BMED</v>
          </cell>
          <cell r="L339" t="str">
            <v>Normal</v>
          </cell>
          <cell r="M339" t="str">
            <v>United States</v>
          </cell>
          <cell r="N339" t="str">
            <v>OHIO</v>
          </cell>
          <cell r="O339" t="str">
            <v>R244047311229905</v>
          </cell>
          <cell r="P339" t="str">
            <v>GPHS65165</v>
          </cell>
          <cell r="Q339" t="str">
            <v>Not Applicable</v>
          </cell>
          <cell r="R339" t="str">
            <v>OHIO</v>
          </cell>
          <cell r="S339" t="str">
            <v>Respimedic</v>
          </cell>
          <cell r="T339" t="str">
            <v>Functioning</v>
          </cell>
          <cell r="U339" t="str">
            <v>Asset</v>
          </cell>
          <cell r="V339">
            <v>920</v>
          </cell>
          <cell r="W339" t="str">
            <v>KEW</v>
          </cell>
          <cell r="X339" t="str">
            <v>01/09/2010</v>
          </cell>
          <cell r="Y339" t="str">
            <v>KEW</v>
          </cell>
          <cell r="Z339" t="str">
            <v>16/08/2013</v>
          </cell>
          <cell r="AA339" t="str">
            <v>15/08/2015</v>
          </cell>
          <cell r="AB339" t="str">
            <v>No</v>
          </cell>
          <cell r="AC339" t="str">
            <v>31/08/2013</v>
          </cell>
          <cell r="AD339" t="str">
            <v>Good</v>
          </cell>
          <cell r="AE339" t="str">
            <v>V4 - Decommissioned Installed Facility</v>
          </cell>
          <cell r="AF339">
            <v>42957</v>
          </cell>
          <cell r="AG339">
            <v>9.17</v>
          </cell>
          <cell r="AH339" t="str">
            <v>RI</v>
          </cell>
          <cell r="AI339" t="str">
            <v>Not in contract</v>
          </cell>
          <cell r="AJ339" t="str">
            <v>Not under maintenance</v>
          </cell>
          <cell r="AK339" t="e">
            <v>#N/A</v>
          </cell>
        </row>
        <row r="340">
          <cell r="A340" t="str">
            <v>IKN401661</v>
          </cell>
          <cell r="B340">
            <v>1591</v>
          </cell>
          <cell r="C340" t="str">
            <v>Institut Kanser Negara</v>
          </cell>
          <cell r="D340" t="e">
            <v>#N/A</v>
          </cell>
          <cell r="E340" t="str">
            <v>13-325</v>
          </cell>
          <cell r="F340" t="str">
            <v>Regulators, Suction</v>
          </cell>
          <cell r="G340" t="str">
            <v>WG</v>
          </cell>
          <cell r="H340" t="str">
            <v>RT/ONCO WARD 1 (M)</v>
          </cell>
          <cell r="I340" t="str">
            <v>08WG108</v>
          </cell>
          <cell r="J340" t="str">
            <v>4 BED ROOM 1</v>
          </cell>
          <cell r="K340" t="str">
            <v>BMED</v>
          </cell>
          <cell r="L340" t="str">
            <v>Normal</v>
          </cell>
          <cell r="M340" t="str">
            <v>United States</v>
          </cell>
          <cell r="N340" t="str">
            <v>OHIO</v>
          </cell>
          <cell r="O340" t="str">
            <v>R244047311229905</v>
          </cell>
          <cell r="P340" t="str">
            <v>GPHS65147</v>
          </cell>
          <cell r="Q340" t="str">
            <v>Not Applicable</v>
          </cell>
          <cell r="R340" t="str">
            <v>OHIO</v>
          </cell>
          <cell r="S340" t="str">
            <v>Respimedic</v>
          </cell>
          <cell r="T340" t="str">
            <v>Functioning</v>
          </cell>
          <cell r="U340" t="str">
            <v>Asset</v>
          </cell>
          <cell r="V340">
            <v>920</v>
          </cell>
          <cell r="W340" t="str">
            <v>KEW</v>
          </cell>
          <cell r="X340" t="str">
            <v>01/09/2010</v>
          </cell>
          <cell r="Y340" t="str">
            <v>KEW</v>
          </cell>
          <cell r="Z340" t="str">
            <v>16/08/2013</v>
          </cell>
          <cell r="AA340" t="str">
            <v>15/08/2015</v>
          </cell>
          <cell r="AB340" t="str">
            <v>No</v>
          </cell>
          <cell r="AC340" t="str">
            <v>31/08/2013</v>
          </cell>
          <cell r="AD340" t="str">
            <v>Good</v>
          </cell>
          <cell r="AE340" t="str">
            <v>V4 - Decommissioned Installed Facility</v>
          </cell>
          <cell r="AF340">
            <v>42957</v>
          </cell>
          <cell r="AG340">
            <v>9.17</v>
          </cell>
          <cell r="AH340" t="str">
            <v>RI</v>
          </cell>
          <cell r="AI340" t="str">
            <v>Not in contract</v>
          </cell>
          <cell r="AJ340" t="str">
            <v>Not under maintenance</v>
          </cell>
          <cell r="AK340" t="e">
            <v>#N/A</v>
          </cell>
        </row>
        <row r="341">
          <cell r="A341" t="str">
            <v>IKN401662</v>
          </cell>
          <cell r="B341">
            <v>1592</v>
          </cell>
          <cell r="C341" t="str">
            <v>Institut Kanser Negara</v>
          </cell>
          <cell r="D341" t="e">
            <v>#N/A</v>
          </cell>
          <cell r="E341" t="str">
            <v>13-325</v>
          </cell>
          <cell r="F341" t="str">
            <v>Regulators, Suction</v>
          </cell>
          <cell r="G341" t="str">
            <v>WG</v>
          </cell>
          <cell r="H341" t="str">
            <v>RT/ONCO WARD 1 (M)</v>
          </cell>
          <cell r="I341" t="str">
            <v>08WG116</v>
          </cell>
          <cell r="J341" t="str">
            <v>4 BEDROOM 2</v>
          </cell>
          <cell r="K341" t="str">
            <v>BMED</v>
          </cell>
          <cell r="L341" t="str">
            <v>Normal</v>
          </cell>
          <cell r="M341" t="str">
            <v>United States</v>
          </cell>
          <cell r="N341" t="str">
            <v>OHIO</v>
          </cell>
          <cell r="O341" t="str">
            <v>R244047311229905</v>
          </cell>
          <cell r="P341" t="str">
            <v>GPHS65161</v>
          </cell>
          <cell r="Q341" t="str">
            <v>Not Applicable</v>
          </cell>
          <cell r="R341" t="str">
            <v>OHIO</v>
          </cell>
          <cell r="S341" t="str">
            <v>Respimedic</v>
          </cell>
          <cell r="T341" t="str">
            <v>Functioning</v>
          </cell>
          <cell r="U341" t="str">
            <v>Asset</v>
          </cell>
          <cell r="V341">
            <v>920</v>
          </cell>
          <cell r="W341" t="str">
            <v>KEW</v>
          </cell>
          <cell r="X341" t="str">
            <v>01/09/2010</v>
          </cell>
          <cell r="Y341" t="str">
            <v>KEW</v>
          </cell>
          <cell r="Z341" t="str">
            <v>16/08/2013</v>
          </cell>
          <cell r="AA341" t="str">
            <v>15/08/2015</v>
          </cell>
          <cell r="AB341" t="str">
            <v>No</v>
          </cell>
          <cell r="AC341" t="str">
            <v>31/08/2013</v>
          </cell>
          <cell r="AD341" t="str">
            <v>Good</v>
          </cell>
          <cell r="AE341" t="str">
            <v>V4 - Decommissioned Installed Facility</v>
          </cell>
          <cell r="AF341">
            <v>42957</v>
          </cell>
          <cell r="AG341">
            <v>9.17</v>
          </cell>
          <cell r="AH341" t="str">
            <v>RI</v>
          </cell>
          <cell r="AI341" t="str">
            <v>Not in contract</v>
          </cell>
          <cell r="AJ341" t="str">
            <v>Not under maintenance</v>
          </cell>
          <cell r="AK341" t="e">
            <v>#N/A</v>
          </cell>
        </row>
        <row r="342">
          <cell r="A342" t="str">
            <v>IKN401663</v>
          </cell>
          <cell r="B342">
            <v>1593</v>
          </cell>
          <cell r="C342" t="str">
            <v>Institut Kanser Negara</v>
          </cell>
          <cell r="D342" t="e">
            <v>#N/A</v>
          </cell>
          <cell r="E342" t="str">
            <v>13-325</v>
          </cell>
          <cell r="F342" t="str">
            <v>Regulators, Suction</v>
          </cell>
          <cell r="G342" t="str">
            <v>WG</v>
          </cell>
          <cell r="H342" t="str">
            <v>RT/ONCO WARD 1 (M)</v>
          </cell>
          <cell r="I342" t="str">
            <v>08WG116</v>
          </cell>
          <cell r="J342" t="str">
            <v>4 BEDROOM 2</v>
          </cell>
          <cell r="K342" t="str">
            <v>BMED</v>
          </cell>
          <cell r="L342" t="str">
            <v>Normal</v>
          </cell>
          <cell r="M342" t="str">
            <v>United States</v>
          </cell>
          <cell r="N342" t="str">
            <v>OHIO</v>
          </cell>
          <cell r="O342" t="str">
            <v>R244047311229905</v>
          </cell>
          <cell r="P342" t="str">
            <v>GPHS65140</v>
          </cell>
          <cell r="Q342" t="str">
            <v>Not Applicable</v>
          </cell>
          <cell r="R342" t="str">
            <v>OHIO</v>
          </cell>
          <cell r="S342" t="str">
            <v>Respimedic</v>
          </cell>
          <cell r="T342" t="str">
            <v>Functioning</v>
          </cell>
          <cell r="U342" t="str">
            <v>Asset</v>
          </cell>
          <cell r="V342">
            <v>920</v>
          </cell>
          <cell r="W342" t="str">
            <v>KEW</v>
          </cell>
          <cell r="X342" t="str">
            <v>01/09/2010</v>
          </cell>
          <cell r="Y342" t="str">
            <v>KEW</v>
          </cell>
          <cell r="Z342" t="str">
            <v>16/08/2013</v>
          </cell>
          <cell r="AA342" t="str">
            <v>15/08/2015</v>
          </cell>
          <cell r="AB342" t="str">
            <v>No</v>
          </cell>
          <cell r="AC342" t="str">
            <v>31/08/2013</v>
          </cell>
          <cell r="AD342" t="str">
            <v>Good</v>
          </cell>
          <cell r="AE342" t="str">
            <v>V4 - Decommissioned Installed Facility</v>
          </cell>
          <cell r="AF342">
            <v>42957</v>
          </cell>
          <cell r="AG342">
            <v>9.17</v>
          </cell>
          <cell r="AH342" t="str">
            <v>RI</v>
          </cell>
          <cell r="AI342" t="str">
            <v>Not in contract</v>
          </cell>
          <cell r="AJ342" t="str">
            <v>Not under maintenance</v>
          </cell>
          <cell r="AK342" t="e">
            <v>#N/A</v>
          </cell>
        </row>
        <row r="343">
          <cell r="A343" t="str">
            <v>IKN401664</v>
          </cell>
          <cell r="B343">
            <v>1594</v>
          </cell>
          <cell r="C343" t="str">
            <v>Institut Kanser Negara</v>
          </cell>
          <cell r="D343" t="e">
            <v>#N/A</v>
          </cell>
          <cell r="E343" t="str">
            <v>13-325</v>
          </cell>
          <cell r="F343" t="str">
            <v>Regulators, Suction</v>
          </cell>
          <cell r="G343" t="str">
            <v>WG</v>
          </cell>
          <cell r="H343" t="str">
            <v>RT/ONCO WARD 1 (M)</v>
          </cell>
          <cell r="I343" t="str">
            <v>08WG128</v>
          </cell>
          <cell r="J343" t="str">
            <v>4 BED ROOM</v>
          </cell>
          <cell r="K343" t="str">
            <v>BMED</v>
          </cell>
          <cell r="L343" t="str">
            <v>Normal</v>
          </cell>
          <cell r="M343" t="str">
            <v>United States</v>
          </cell>
          <cell r="N343" t="str">
            <v>OHIO</v>
          </cell>
          <cell r="O343" t="str">
            <v>R244047311229905</v>
          </cell>
          <cell r="P343" t="str">
            <v>GPHS65099</v>
          </cell>
          <cell r="Q343" t="str">
            <v>Not Applicable</v>
          </cell>
          <cell r="R343" t="str">
            <v>OHIO</v>
          </cell>
          <cell r="S343" t="str">
            <v>Respimedic</v>
          </cell>
          <cell r="T343" t="str">
            <v>Functioning</v>
          </cell>
          <cell r="U343" t="str">
            <v>Asset</v>
          </cell>
          <cell r="V343">
            <v>920</v>
          </cell>
          <cell r="W343" t="str">
            <v>KEW</v>
          </cell>
          <cell r="X343" t="str">
            <v>01/09/2010</v>
          </cell>
          <cell r="Y343" t="str">
            <v>KEW</v>
          </cell>
          <cell r="Z343" t="str">
            <v>16/08/2013</v>
          </cell>
          <cell r="AA343" t="str">
            <v>15/08/2015</v>
          </cell>
          <cell r="AB343" t="str">
            <v>No</v>
          </cell>
          <cell r="AC343" t="str">
            <v>31/08/2013</v>
          </cell>
          <cell r="AD343" t="str">
            <v>Good</v>
          </cell>
          <cell r="AE343" t="str">
            <v>V4 - Decommissioned Installed Facility</v>
          </cell>
          <cell r="AF343">
            <v>42962</v>
          </cell>
          <cell r="AG343">
            <v>9.17</v>
          </cell>
          <cell r="AH343" t="str">
            <v>RI</v>
          </cell>
          <cell r="AI343" t="str">
            <v>Not in contract</v>
          </cell>
          <cell r="AJ343" t="str">
            <v>Not under maintenance</v>
          </cell>
          <cell r="AK343" t="e">
            <v>#N/A</v>
          </cell>
        </row>
        <row r="344">
          <cell r="A344" t="str">
            <v>IKN401665</v>
          </cell>
          <cell r="B344">
            <v>1595</v>
          </cell>
          <cell r="C344" t="str">
            <v>Institut Kanser Negara</v>
          </cell>
          <cell r="D344" t="e">
            <v>#N/A</v>
          </cell>
          <cell r="E344" t="str">
            <v>13-325</v>
          </cell>
          <cell r="F344" t="str">
            <v>Regulators, Suction</v>
          </cell>
          <cell r="G344" t="str">
            <v>WG</v>
          </cell>
          <cell r="H344" t="str">
            <v>RT/ONCO WARD 1 (M)</v>
          </cell>
          <cell r="I344" t="str">
            <v>08WG128</v>
          </cell>
          <cell r="J344" t="str">
            <v>4 BED ROOM</v>
          </cell>
          <cell r="K344" t="str">
            <v>BMED</v>
          </cell>
          <cell r="L344" t="str">
            <v>Normal</v>
          </cell>
          <cell r="M344" t="str">
            <v>United States</v>
          </cell>
          <cell r="N344" t="str">
            <v>OHIO</v>
          </cell>
          <cell r="O344" t="str">
            <v>R244047311229905</v>
          </cell>
          <cell r="P344" t="str">
            <v>GPHS65160</v>
          </cell>
          <cell r="Q344" t="str">
            <v>Not Applicable</v>
          </cell>
          <cell r="R344" t="str">
            <v>OHIO</v>
          </cell>
          <cell r="S344" t="str">
            <v>Respimedic</v>
          </cell>
          <cell r="T344" t="str">
            <v>Functioning</v>
          </cell>
          <cell r="U344" t="str">
            <v>Asset</v>
          </cell>
          <cell r="V344">
            <v>920</v>
          </cell>
          <cell r="W344" t="str">
            <v>KEW</v>
          </cell>
          <cell r="X344" t="str">
            <v>01/09/2010</v>
          </cell>
          <cell r="Y344" t="str">
            <v>KEW</v>
          </cell>
          <cell r="Z344" t="str">
            <v>16/08/2013</v>
          </cell>
          <cell r="AA344" t="str">
            <v>15/08/2015</v>
          </cell>
          <cell r="AB344" t="str">
            <v>No</v>
          </cell>
          <cell r="AC344" t="str">
            <v>31/08/2013</v>
          </cell>
          <cell r="AD344" t="str">
            <v>Good</v>
          </cell>
          <cell r="AE344" t="str">
            <v>V4 - Decommissioned Installed Facility</v>
          </cell>
          <cell r="AF344">
            <v>42962</v>
          </cell>
          <cell r="AG344">
            <v>9.17</v>
          </cell>
          <cell r="AH344" t="str">
            <v>RI</v>
          </cell>
          <cell r="AI344" t="str">
            <v>Not in contract</v>
          </cell>
          <cell r="AJ344" t="str">
            <v>Not under maintenance</v>
          </cell>
          <cell r="AK344" t="e">
            <v>#N/A</v>
          </cell>
        </row>
        <row r="345">
          <cell r="A345" t="str">
            <v>IKN401666</v>
          </cell>
          <cell r="B345">
            <v>1596</v>
          </cell>
          <cell r="C345" t="str">
            <v>Institut Kanser Negara</v>
          </cell>
          <cell r="D345" t="e">
            <v>#N/A</v>
          </cell>
          <cell r="E345" t="str">
            <v>13-325</v>
          </cell>
          <cell r="F345" t="str">
            <v>Regulators, Suction</v>
          </cell>
          <cell r="G345" t="str">
            <v>WG</v>
          </cell>
          <cell r="H345" t="str">
            <v>RT/ONCO WARD 1 (M)</v>
          </cell>
          <cell r="I345" t="str">
            <v>08WG131</v>
          </cell>
          <cell r="J345" t="str">
            <v>4 BED ROOM4</v>
          </cell>
          <cell r="K345" t="str">
            <v>BMED</v>
          </cell>
          <cell r="L345" t="str">
            <v>Normal</v>
          </cell>
          <cell r="M345" t="str">
            <v>United States</v>
          </cell>
          <cell r="N345" t="str">
            <v>OHIO</v>
          </cell>
          <cell r="O345" t="str">
            <v>R244047311229905</v>
          </cell>
          <cell r="P345" t="str">
            <v>GPHS65162</v>
          </cell>
          <cell r="Q345" t="str">
            <v>Not Applicable</v>
          </cell>
          <cell r="R345" t="str">
            <v>OHIO</v>
          </cell>
          <cell r="S345" t="str">
            <v>Respimedic</v>
          </cell>
          <cell r="T345" t="str">
            <v>Functioning</v>
          </cell>
          <cell r="U345" t="str">
            <v>Asset</v>
          </cell>
          <cell r="V345">
            <v>920</v>
          </cell>
          <cell r="W345" t="str">
            <v>KEW</v>
          </cell>
          <cell r="X345" t="str">
            <v>01/09/2010</v>
          </cell>
          <cell r="Y345" t="str">
            <v>KEW</v>
          </cell>
          <cell r="Z345" t="str">
            <v>16/08/2013</v>
          </cell>
          <cell r="AA345" t="str">
            <v>15/08/2015</v>
          </cell>
          <cell r="AB345" t="str">
            <v>No</v>
          </cell>
          <cell r="AC345" t="str">
            <v>31/08/2013</v>
          </cell>
          <cell r="AD345" t="str">
            <v>Good</v>
          </cell>
          <cell r="AE345" t="str">
            <v>V4 - Decommissioned Installed Facility</v>
          </cell>
          <cell r="AF345">
            <v>42962</v>
          </cell>
          <cell r="AG345">
            <v>9.17</v>
          </cell>
          <cell r="AH345" t="str">
            <v>RI</v>
          </cell>
          <cell r="AI345" t="str">
            <v>Not in contract</v>
          </cell>
          <cell r="AJ345" t="str">
            <v>Not under maintenance</v>
          </cell>
          <cell r="AK345" t="e">
            <v>#N/A</v>
          </cell>
        </row>
        <row r="346">
          <cell r="A346" t="str">
            <v>IKN401667</v>
          </cell>
          <cell r="B346">
            <v>1597</v>
          </cell>
          <cell r="C346" t="str">
            <v>Institut Kanser Negara</v>
          </cell>
          <cell r="D346" t="e">
            <v>#N/A</v>
          </cell>
          <cell r="E346" t="str">
            <v>13-325</v>
          </cell>
          <cell r="F346" t="str">
            <v>Regulators, Suction</v>
          </cell>
          <cell r="G346" t="str">
            <v>WG</v>
          </cell>
          <cell r="H346" t="str">
            <v>RT/ONCO WARD 1 (M)</v>
          </cell>
          <cell r="I346" t="str">
            <v>08WG136</v>
          </cell>
          <cell r="J346" t="str">
            <v>4 BED BAY 1</v>
          </cell>
          <cell r="K346" t="str">
            <v>BMED</v>
          </cell>
          <cell r="L346" t="str">
            <v>Normal</v>
          </cell>
          <cell r="M346" t="str">
            <v>United States</v>
          </cell>
          <cell r="N346" t="str">
            <v>OHIO</v>
          </cell>
          <cell r="O346" t="str">
            <v>R244047311229905</v>
          </cell>
          <cell r="P346" t="str">
            <v>GPHS65155</v>
          </cell>
          <cell r="Q346" t="str">
            <v>Not Applicable</v>
          </cell>
          <cell r="R346" t="str">
            <v>OHIO</v>
          </cell>
          <cell r="S346" t="str">
            <v>Respimedic</v>
          </cell>
          <cell r="T346" t="str">
            <v>Functioning</v>
          </cell>
          <cell r="U346" t="str">
            <v>Asset</v>
          </cell>
          <cell r="V346">
            <v>920</v>
          </cell>
          <cell r="W346" t="str">
            <v>KEW</v>
          </cell>
          <cell r="X346" t="str">
            <v>01/09/2010</v>
          </cell>
          <cell r="Y346" t="str">
            <v>KEW</v>
          </cell>
          <cell r="Z346" t="str">
            <v>16/08/2013</v>
          </cell>
          <cell r="AA346" t="str">
            <v>15/08/2015</v>
          </cell>
          <cell r="AB346" t="str">
            <v>No</v>
          </cell>
          <cell r="AC346" t="str">
            <v>31/08/2013</v>
          </cell>
          <cell r="AD346" t="str">
            <v>Good</v>
          </cell>
          <cell r="AE346" t="str">
            <v>V4 - Decommissioned Installed Facility</v>
          </cell>
          <cell r="AF346">
            <v>42962</v>
          </cell>
          <cell r="AG346">
            <v>9.17</v>
          </cell>
          <cell r="AH346" t="str">
            <v>RI</v>
          </cell>
          <cell r="AI346" t="str">
            <v>Not in contract</v>
          </cell>
          <cell r="AJ346" t="str">
            <v>Not under maintenance</v>
          </cell>
          <cell r="AK346" t="e">
            <v>#N/A</v>
          </cell>
        </row>
        <row r="347">
          <cell r="A347" t="str">
            <v>IKN401668</v>
          </cell>
          <cell r="B347">
            <v>1598</v>
          </cell>
          <cell r="C347" t="str">
            <v>Institut Kanser Negara</v>
          </cell>
          <cell r="D347" t="e">
            <v>#N/A</v>
          </cell>
          <cell r="E347" t="str">
            <v>13-325</v>
          </cell>
          <cell r="F347" t="str">
            <v>Regulators, Suction</v>
          </cell>
          <cell r="G347" t="str">
            <v>WG</v>
          </cell>
          <cell r="H347" t="str">
            <v>RT/ONCO WARD 1 (M)</v>
          </cell>
          <cell r="I347" t="str">
            <v>08WG136</v>
          </cell>
          <cell r="J347" t="str">
            <v>4 BED BAY 1</v>
          </cell>
          <cell r="K347" t="str">
            <v>BMED</v>
          </cell>
          <cell r="L347" t="str">
            <v>Normal</v>
          </cell>
          <cell r="M347" t="str">
            <v>United States</v>
          </cell>
          <cell r="N347" t="str">
            <v>OHIO</v>
          </cell>
          <cell r="O347" t="str">
            <v>R244047311229905</v>
          </cell>
          <cell r="P347" t="str">
            <v>GPHS65145</v>
          </cell>
          <cell r="Q347" t="str">
            <v>Not Applicable</v>
          </cell>
          <cell r="R347" t="str">
            <v>OHIO</v>
          </cell>
          <cell r="S347" t="str">
            <v>Respimedic</v>
          </cell>
          <cell r="T347" t="str">
            <v>Functioning</v>
          </cell>
          <cell r="U347" t="str">
            <v>Asset</v>
          </cell>
          <cell r="V347">
            <v>920</v>
          </cell>
          <cell r="W347" t="str">
            <v>KEW</v>
          </cell>
          <cell r="X347" t="str">
            <v>01/09/2010</v>
          </cell>
          <cell r="Y347" t="str">
            <v>KEW</v>
          </cell>
          <cell r="Z347" t="str">
            <v>16/08/2013</v>
          </cell>
          <cell r="AA347" t="str">
            <v>15/08/2015</v>
          </cell>
          <cell r="AB347" t="str">
            <v>No</v>
          </cell>
          <cell r="AC347" t="str">
            <v>31/08/2013</v>
          </cell>
          <cell r="AD347" t="str">
            <v>Good</v>
          </cell>
          <cell r="AE347" t="str">
            <v>V4 - Decommissioned Installed Facility</v>
          </cell>
          <cell r="AF347">
            <v>42962</v>
          </cell>
          <cell r="AG347">
            <v>9.17</v>
          </cell>
          <cell r="AH347" t="str">
            <v>RI</v>
          </cell>
          <cell r="AI347" t="str">
            <v>Not in contract</v>
          </cell>
          <cell r="AJ347" t="str">
            <v>Not under maintenance</v>
          </cell>
          <cell r="AK347" t="e">
            <v>#N/A</v>
          </cell>
        </row>
        <row r="348">
          <cell r="A348" t="str">
            <v>IKN401669</v>
          </cell>
          <cell r="B348">
            <v>1599</v>
          </cell>
          <cell r="C348" t="str">
            <v>Institut Kanser Negara</v>
          </cell>
          <cell r="D348" t="e">
            <v>#N/A</v>
          </cell>
          <cell r="E348" t="str">
            <v>13-325</v>
          </cell>
          <cell r="F348" t="str">
            <v>Regulators, Suction</v>
          </cell>
          <cell r="G348" t="str">
            <v>WG</v>
          </cell>
          <cell r="H348" t="str">
            <v>RT/ONCO WARD 1 (M)</v>
          </cell>
          <cell r="I348" t="str">
            <v>08WG135</v>
          </cell>
          <cell r="J348" t="str">
            <v>4 BED BAY 2</v>
          </cell>
          <cell r="K348" t="str">
            <v>BMED</v>
          </cell>
          <cell r="L348" t="str">
            <v>Normal</v>
          </cell>
          <cell r="M348" t="str">
            <v>United States</v>
          </cell>
          <cell r="N348" t="str">
            <v>OHIO</v>
          </cell>
          <cell r="O348" t="str">
            <v>R244047311229905</v>
          </cell>
          <cell r="P348" t="str">
            <v>GPHS65163</v>
          </cell>
          <cell r="Q348" t="str">
            <v>Not Applicable</v>
          </cell>
          <cell r="R348" t="str">
            <v>OHIO</v>
          </cell>
          <cell r="S348" t="str">
            <v>Respimedic</v>
          </cell>
          <cell r="T348" t="str">
            <v>Functioning</v>
          </cell>
          <cell r="U348" t="str">
            <v>Asset</v>
          </cell>
          <cell r="V348">
            <v>920</v>
          </cell>
          <cell r="W348" t="str">
            <v>KEW</v>
          </cell>
          <cell r="X348" t="str">
            <v>01/09/2010</v>
          </cell>
          <cell r="Y348" t="str">
            <v>KEW</v>
          </cell>
          <cell r="Z348" t="str">
            <v>16/08/2013</v>
          </cell>
          <cell r="AA348" t="str">
            <v>15/08/2015</v>
          </cell>
          <cell r="AB348" t="str">
            <v>No</v>
          </cell>
          <cell r="AC348" t="str">
            <v>31/08/2013</v>
          </cell>
          <cell r="AD348" t="str">
            <v>Good</v>
          </cell>
          <cell r="AE348" t="str">
            <v>V4 - Decommissioned Installed Facility</v>
          </cell>
          <cell r="AF348">
            <v>42962</v>
          </cell>
          <cell r="AG348">
            <v>9.17</v>
          </cell>
          <cell r="AH348" t="str">
            <v>RI</v>
          </cell>
          <cell r="AI348" t="str">
            <v>Not in contract</v>
          </cell>
          <cell r="AJ348" t="str">
            <v>Not under maintenance</v>
          </cell>
          <cell r="AK348" t="e">
            <v>#N/A</v>
          </cell>
        </row>
        <row r="349">
          <cell r="A349" t="str">
            <v>IKN401670</v>
          </cell>
          <cell r="B349">
            <v>1600</v>
          </cell>
          <cell r="C349" t="str">
            <v>Institut Kanser Negara</v>
          </cell>
          <cell r="D349" t="e">
            <v>#N/A</v>
          </cell>
          <cell r="E349" t="str">
            <v>13-325</v>
          </cell>
          <cell r="F349" t="str">
            <v>Regulators, Suction</v>
          </cell>
          <cell r="G349" t="str">
            <v>WH</v>
          </cell>
          <cell r="H349" t="str">
            <v>RT/ONCO WARD 2 (M)</v>
          </cell>
          <cell r="I349" t="str">
            <v>08WH111</v>
          </cell>
          <cell r="J349" t="str">
            <v>2 BED ROOM</v>
          </cell>
          <cell r="K349" t="str">
            <v>BMED</v>
          </cell>
          <cell r="L349" t="str">
            <v>Normal</v>
          </cell>
          <cell r="M349" t="str">
            <v>United States</v>
          </cell>
          <cell r="N349" t="str">
            <v>OHIO</v>
          </cell>
          <cell r="O349" t="str">
            <v>R244047311229905</v>
          </cell>
          <cell r="P349" t="str">
            <v>GPHS65167</v>
          </cell>
          <cell r="Q349" t="str">
            <v>Not Applicable</v>
          </cell>
          <cell r="R349" t="str">
            <v>OHIO</v>
          </cell>
          <cell r="S349" t="str">
            <v>Respimedic</v>
          </cell>
          <cell r="T349" t="str">
            <v>Functioning</v>
          </cell>
          <cell r="U349" t="str">
            <v>Asset</v>
          </cell>
          <cell r="V349">
            <v>920</v>
          </cell>
          <cell r="W349" t="str">
            <v>KEW</v>
          </cell>
          <cell r="X349" t="str">
            <v>01/09/2010</v>
          </cell>
          <cell r="Y349" t="str">
            <v>KEW</v>
          </cell>
          <cell r="Z349" t="str">
            <v>16/08/2013</v>
          </cell>
          <cell r="AA349" t="str">
            <v>15/08/2015</v>
          </cell>
          <cell r="AB349" t="str">
            <v>No</v>
          </cell>
          <cell r="AC349" t="str">
            <v>31/08/2013</v>
          </cell>
          <cell r="AD349" t="str">
            <v>Good</v>
          </cell>
          <cell r="AE349" t="str">
            <v>V4 - Decommissioned Installed Facility</v>
          </cell>
          <cell r="AF349">
            <v>42962</v>
          </cell>
          <cell r="AG349">
            <v>9.17</v>
          </cell>
          <cell r="AH349" t="str">
            <v>RI</v>
          </cell>
          <cell r="AI349" t="str">
            <v>Not in contract</v>
          </cell>
          <cell r="AJ349" t="str">
            <v>Not under maintenance</v>
          </cell>
          <cell r="AK349" t="e">
            <v>#N/A</v>
          </cell>
        </row>
        <row r="350">
          <cell r="A350" t="str">
            <v>IKN401671</v>
          </cell>
          <cell r="B350">
            <v>1601</v>
          </cell>
          <cell r="C350" t="str">
            <v>Institut Kanser Negara</v>
          </cell>
          <cell r="D350" t="e">
            <v>#N/A</v>
          </cell>
          <cell r="E350" t="str">
            <v>13-325</v>
          </cell>
          <cell r="F350" t="str">
            <v>Regulators, Suction</v>
          </cell>
          <cell r="G350" t="str">
            <v>WH</v>
          </cell>
          <cell r="H350" t="str">
            <v>RT/ONCO WARD 2 (M)</v>
          </cell>
          <cell r="I350" t="str">
            <v>08WH111</v>
          </cell>
          <cell r="J350" t="str">
            <v>2 BED ROOM</v>
          </cell>
          <cell r="K350" t="str">
            <v>BMED</v>
          </cell>
          <cell r="L350" t="str">
            <v>Normal</v>
          </cell>
          <cell r="M350" t="str">
            <v>United States</v>
          </cell>
          <cell r="N350" t="str">
            <v>OHIO</v>
          </cell>
          <cell r="O350" t="str">
            <v>R244047311229905</v>
          </cell>
          <cell r="P350" t="str">
            <v>GPHS65116</v>
          </cell>
          <cell r="Q350" t="str">
            <v>Not Applicable</v>
          </cell>
          <cell r="R350" t="str">
            <v>OHIO</v>
          </cell>
          <cell r="S350" t="str">
            <v>Respimedic</v>
          </cell>
          <cell r="T350" t="str">
            <v>Functioning</v>
          </cell>
          <cell r="U350" t="str">
            <v>Asset</v>
          </cell>
          <cell r="V350">
            <v>920</v>
          </cell>
          <cell r="W350" t="str">
            <v>KEW</v>
          </cell>
          <cell r="X350" t="str">
            <v>01/09/2010</v>
          </cell>
          <cell r="Y350" t="str">
            <v>KEW</v>
          </cell>
          <cell r="Z350" t="str">
            <v>16/08/2013</v>
          </cell>
          <cell r="AA350" t="str">
            <v>15/08/2015</v>
          </cell>
          <cell r="AB350" t="str">
            <v>No</v>
          </cell>
          <cell r="AC350" t="str">
            <v>31/08/2013</v>
          </cell>
          <cell r="AD350" t="str">
            <v>Good</v>
          </cell>
          <cell r="AE350" t="str">
            <v>V4 - Decommissioned Installed Facility</v>
          </cell>
          <cell r="AF350">
            <v>42962</v>
          </cell>
          <cell r="AG350">
            <v>9.17</v>
          </cell>
          <cell r="AH350" t="str">
            <v>RI</v>
          </cell>
          <cell r="AI350" t="str">
            <v>Not in contract</v>
          </cell>
          <cell r="AJ350" t="str">
            <v>Not under maintenance</v>
          </cell>
          <cell r="AK350" t="e">
            <v>#N/A</v>
          </cell>
        </row>
        <row r="351">
          <cell r="A351" t="str">
            <v>IKN401672</v>
          </cell>
          <cell r="B351">
            <v>1602</v>
          </cell>
          <cell r="C351" t="str">
            <v>Institut Kanser Negara</v>
          </cell>
          <cell r="D351" t="e">
            <v>#N/A</v>
          </cell>
          <cell r="E351" t="str">
            <v>13-325</v>
          </cell>
          <cell r="F351" t="str">
            <v>Regulators, Suction</v>
          </cell>
          <cell r="G351" t="str">
            <v>WH</v>
          </cell>
          <cell r="H351" t="str">
            <v>RT/ONCO WARD 2 (M)</v>
          </cell>
          <cell r="I351" t="str">
            <v>08WH108</v>
          </cell>
          <cell r="J351" t="str">
            <v>4 BED ROOM 1</v>
          </cell>
          <cell r="K351" t="str">
            <v>BMED</v>
          </cell>
          <cell r="L351" t="str">
            <v>Normal</v>
          </cell>
          <cell r="M351" t="str">
            <v>United States</v>
          </cell>
          <cell r="N351" t="str">
            <v>OHIO</v>
          </cell>
          <cell r="O351" t="str">
            <v>R244047311229905</v>
          </cell>
          <cell r="P351" t="str">
            <v>GPHS65114</v>
          </cell>
          <cell r="Q351" t="str">
            <v>Not Applicable</v>
          </cell>
          <cell r="R351" t="str">
            <v>OHIO</v>
          </cell>
          <cell r="S351" t="str">
            <v>Respimedic</v>
          </cell>
          <cell r="T351" t="str">
            <v>Functioning</v>
          </cell>
          <cell r="U351" t="str">
            <v>Asset</v>
          </cell>
          <cell r="V351">
            <v>920</v>
          </cell>
          <cell r="W351" t="str">
            <v>KEW</v>
          </cell>
          <cell r="X351" t="str">
            <v>01/09/2010</v>
          </cell>
          <cell r="Y351" t="str">
            <v>KEW</v>
          </cell>
          <cell r="Z351" t="str">
            <v>16/08/2013</v>
          </cell>
          <cell r="AA351" t="str">
            <v>15/08/2015</v>
          </cell>
          <cell r="AB351" t="str">
            <v>No</v>
          </cell>
          <cell r="AC351" t="str">
            <v>31/08/2013</v>
          </cell>
          <cell r="AD351" t="str">
            <v>Good</v>
          </cell>
          <cell r="AE351" t="str">
            <v>V4 - Decommissioned Installed Facility</v>
          </cell>
          <cell r="AF351">
            <v>42962</v>
          </cell>
          <cell r="AG351">
            <v>9.17</v>
          </cell>
          <cell r="AH351" t="str">
            <v>RI</v>
          </cell>
          <cell r="AI351" t="str">
            <v>Not in contract</v>
          </cell>
          <cell r="AJ351" t="str">
            <v>Not under maintenance</v>
          </cell>
          <cell r="AK351" t="e">
            <v>#N/A</v>
          </cell>
        </row>
        <row r="352">
          <cell r="A352" t="str">
            <v>IKN401673</v>
          </cell>
          <cell r="B352">
            <v>1603</v>
          </cell>
          <cell r="C352" t="str">
            <v>Institut Kanser Negara</v>
          </cell>
          <cell r="D352" t="e">
            <v>#N/A</v>
          </cell>
          <cell r="E352" t="str">
            <v>13-325</v>
          </cell>
          <cell r="F352" t="str">
            <v>Regulators, Suction</v>
          </cell>
          <cell r="G352" t="str">
            <v>WH</v>
          </cell>
          <cell r="H352" t="str">
            <v>RT/ONCO WARD 2 (M)</v>
          </cell>
          <cell r="I352" t="str">
            <v>08WH108</v>
          </cell>
          <cell r="J352" t="str">
            <v>4 BED ROOM 1</v>
          </cell>
          <cell r="K352" t="str">
            <v>BMED</v>
          </cell>
          <cell r="L352" t="str">
            <v>Normal</v>
          </cell>
          <cell r="M352" t="str">
            <v>United States</v>
          </cell>
          <cell r="N352" t="str">
            <v>OHIO</v>
          </cell>
          <cell r="O352" t="str">
            <v>R244047311229905</v>
          </cell>
          <cell r="P352" t="str">
            <v>GPHS65117</v>
          </cell>
          <cell r="Q352" t="str">
            <v>Not Applicable</v>
          </cell>
          <cell r="R352" t="str">
            <v>OHIO</v>
          </cell>
          <cell r="S352" t="str">
            <v>Respimedic</v>
          </cell>
          <cell r="T352" t="str">
            <v>Functioning</v>
          </cell>
          <cell r="U352" t="str">
            <v>Asset</v>
          </cell>
          <cell r="V352">
            <v>920</v>
          </cell>
          <cell r="W352" t="str">
            <v>KEW</v>
          </cell>
          <cell r="X352" t="str">
            <v>01/09/2010</v>
          </cell>
          <cell r="Y352" t="str">
            <v>KEW</v>
          </cell>
          <cell r="Z352" t="str">
            <v>16/08/2013</v>
          </cell>
          <cell r="AA352" t="str">
            <v>15/08/2015</v>
          </cell>
          <cell r="AB352" t="str">
            <v>No</v>
          </cell>
          <cell r="AC352" t="str">
            <v>31/08/2013</v>
          </cell>
          <cell r="AD352" t="str">
            <v>Good</v>
          </cell>
          <cell r="AE352" t="str">
            <v>V4 - Decommissioned Installed Facility</v>
          </cell>
          <cell r="AF352">
            <v>42962</v>
          </cell>
          <cell r="AG352">
            <v>9.17</v>
          </cell>
          <cell r="AH352" t="str">
            <v>RI</v>
          </cell>
          <cell r="AI352" t="str">
            <v>Not in contract</v>
          </cell>
          <cell r="AJ352" t="str">
            <v>Not under maintenance</v>
          </cell>
          <cell r="AK352" t="e">
            <v>#N/A</v>
          </cell>
        </row>
        <row r="353">
          <cell r="A353" t="str">
            <v>IKN401674</v>
          </cell>
          <cell r="B353">
            <v>1604</v>
          </cell>
          <cell r="C353" t="str">
            <v>Institut Kanser Negara</v>
          </cell>
          <cell r="D353" t="e">
            <v>#N/A</v>
          </cell>
          <cell r="E353" t="str">
            <v>13-325</v>
          </cell>
          <cell r="F353" t="str">
            <v>Regulators, Suction</v>
          </cell>
          <cell r="G353" t="str">
            <v>WH</v>
          </cell>
          <cell r="H353" t="str">
            <v>RT/ONCO WARD 2 (M)</v>
          </cell>
          <cell r="I353" t="str">
            <v>08WH108</v>
          </cell>
          <cell r="J353" t="str">
            <v>4 BED ROOM 1</v>
          </cell>
          <cell r="K353" t="str">
            <v>BMED</v>
          </cell>
          <cell r="L353" t="str">
            <v>Normal</v>
          </cell>
          <cell r="M353" t="str">
            <v>United States</v>
          </cell>
          <cell r="N353" t="str">
            <v>OHIO</v>
          </cell>
          <cell r="O353" t="str">
            <v>R244047311229905</v>
          </cell>
          <cell r="P353" t="str">
            <v>GPHS65166</v>
          </cell>
          <cell r="Q353" t="str">
            <v>Not Applicable</v>
          </cell>
          <cell r="R353" t="str">
            <v>OHIO</v>
          </cell>
          <cell r="S353" t="str">
            <v>Respimedic</v>
          </cell>
          <cell r="T353" t="str">
            <v>Functioning</v>
          </cell>
          <cell r="U353" t="str">
            <v>Asset</v>
          </cell>
          <cell r="V353">
            <v>920</v>
          </cell>
          <cell r="W353" t="str">
            <v>KEW</v>
          </cell>
          <cell r="X353" t="str">
            <v>01/09/2010</v>
          </cell>
          <cell r="Y353" t="str">
            <v>KEW</v>
          </cell>
          <cell r="Z353" t="str">
            <v>16/08/2013</v>
          </cell>
          <cell r="AA353" t="str">
            <v>15/08/2015</v>
          </cell>
          <cell r="AB353" t="str">
            <v>No</v>
          </cell>
          <cell r="AC353" t="str">
            <v>31/08/2013</v>
          </cell>
          <cell r="AD353" t="str">
            <v>Good</v>
          </cell>
          <cell r="AE353" t="str">
            <v>V4 - Decommissioned Installed Facility</v>
          </cell>
          <cell r="AF353">
            <v>42962</v>
          </cell>
          <cell r="AG353">
            <v>9.17</v>
          </cell>
          <cell r="AH353" t="str">
            <v>RI</v>
          </cell>
          <cell r="AI353" t="str">
            <v>Not in contract</v>
          </cell>
          <cell r="AJ353" t="str">
            <v>Not under maintenance</v>
          </cell>
          <cell r="AK353" t="e">
            <v>#N/A</v>
          </cell>
        </row>
        <row r="354">
          <cell r="A354" t="str">
            <v>IKN401675</v>
          </cell>
          <cell r="B354">
            <v>1605</v>
          </cell>
          <cell r="C354" t="str">
            <v>Institut Kanser Negara</v>
          </cell>
          <cell r="D354" t="e">
            <v>#N/A</v>
          </cell>
          <cell r="E354" t="str">
            <v>13-325</v>
          </cell>
          <cell r="F354" t="str">
            <v>Regulators, Suction</v>
          </cell>
          <cell r="G354" t="str">
            <v>WH</v>
          </cell>
          <cell r="H354" t="str">
            <v>RT/ONCO WARD 2 (M)</v>
          </cell>
          <cell r="I354" t="str">
            <v>08WH115</v>
          </cell>
          <cell r="J354" t="str">
            <v>AIRLOCK</v>
          </cell>
          <cell r="K354" t="str">
            <v>BMED</v>
          </cell>
          <cell r="L354" t="str">
            <v>Normal</v>
          </cell>
          <cell r="M354" t="str">
            <v>United States</v>
          </cell>
          <cell r="N354" t="str">
            <v>OHIO</v>
          </cell>
          <cell r="O354" t="str">
            <v>R244047311229905</v>
          </cell>
          <cell r="P354" t="str">
            <v>GPHS65078</v>
          </cell>
          <cell r="Q354" t="str">
            <v>Not Applicable</v>
          </cell>
          <cell r="R354" t="str">
            <v>OHIO</v>
          </cell>
          <cell r="S354" t="str">
            <v>Respimedic</v>
          </cell>
          <cell r="T354" t="str">
            <v>Functioning</v>
          </cell>
          <cell r="U354" t="str">
            <v>Asset</v>
          </cell>
          <cell r="V354">
            <v>920</v>
          </cell>
          <cell r="W354" t="str">
            <v>KEW</v>
          </cell>
          <cell r="X354" t="str">
            <v>01/09/2010</v>
          </cell>
          <cell r="Y354" t="str">
            <v>KEW</v>
          </cell>
          <cell r="Z354" t="str">
            <v>16/08/2013</v>
          </cell>
          <cell r="AA354" t="str">
            <v>15/08/2015</v>
          </cell>
          <cell r="AB354" t="str">
            <v>No</v>
          </cell>
          <cell r="AC354" t="str">
            <v>31/08/2013</v>
          </cell>
          <cell r="AD354" t="str">
            <v>Good</v>
          </cell>
          <cell r="AE354" t="str">
            <v>V4 - Decommissioned Installed Facility</v>
          </cell>
          <cell r="AF354">
            <v>42962</v>
          </cell>
          <cell r="AG354">
            <v>9.17</v>
          </cell>
          <cell r="AH354" t="str">
            <v>RI</v>
          </cell>
          <cell r="AI354" t="str">
            <v>Not in contract</v>
          </cell>
          <cell r="AJ354" t="str">
            <v>Not under maintenance</v>
          </cell>
          <cell r="AK354" t="e">
            <v>#N/A</v>
          </cell>
        </row>
        <row r="355">
          <cell r="A355" t="str">
            <v>IKN401676</v>
          </cell>
          <cell r="B355">
            <v>1606</v>
          </cell>
          <cell r="C355" t="str">
            <v>Institut Kanser Negara</v>
          </cell>
          <cell r="D355" t="e">
            <v>#N/A</v>
          </cell>
          <cell r="E355" t="str">
            <v>13-325</v>
          </cell>
          <cell r="F355" t="str">
            <v>Regulators, Suction</v>
          </cell>
          <cell r="G355" t="str">
            <v>WH</v>
          </cell>
          <cell r="H355" t="str">
            <v>RT/ONCO WARD 2 (M)</v>
          </cell>
          <cell r="I355" t="str">
            <v>08WH124</v>
          </cell>
          <cell r="J355" t="str">
            <v>AIRLOCK</v>
          </cell>
          <cell r="K355" t="str">
            <v>BMED</v>
          </cell>
          <cell r="L355" t="str">
            <v>Normal</v>
          </cell>
          <cell r="M355" t="str">
            <v>United States</v>
          </cell>
          <cell r="N355" t="str">
            <v>OHIO</v>
          </cell>
          <cell r="O355" t="str">
            <v>R244047311229905</v>
          </cell>
          <cell r="P355" t="str">
            <v>GPHS65118</v>
          </cell>
          <cell r="Q355" t="str">
            <v>Not Applicable</v>
          </cell>
          <cell r="R355" t="str">
            <v>OHIO</v>
          </cell>
          <cell r="S355" t="str">
            <v>Respimedic</v>
          </cell>
          <cell r="T355" t="str">
            <v>Functioning</v>
          </cell>
          <cell r="U355" t="str">
            <v>Asset</v>
          </cell>
          <cell r="V355">
            <v>920</v>
          </cell>
          <cell r="W355" t="str">
            <v>KEW</v>
          </cell>
          <cell r="X355" t="str">
            <v>01/09/2010</v>
          </cell>
          <cell r="Y355" t="str">
            <v>KEW</v>
          </cell>
          <cell r="Z355" t="str">
            <v>16/08/2013</v>
          </cell>
          <cell r="AA355" t="str">
            <v>15/08/2015</v>
          </cell>
          <cell r="AB355" t="str">
            <v>No</v>
          </cell>
          <cell r="AC355" t="str">
            <v>31/08/2013</v>
          </cell>
          <cell r="AD355" t="str">
            <v>Good</v>
          </cell>
          <cell r="AE355" t="str">
            <v>V4 - Decommissioned Installed Facility</v>
          </cell>
          <cell r="AF355">
            <v>42962</v>
          </cell>
          <cell r="AG355">
            <v>9.17</v>
          </cell>
          <cell r="AH355" t="str">
            <v>RI</v>
          </cell>
          <cell r="AI355" t="str">
            <v>Not in contract</v>
          </cell>
          <cell r="AJ355" t="str">
            <v>Not under maintenance</v>
          </cell>
          <cell r="AK355" t="e">
            <v>#N/A</v>
          </cell>
        </row>
        <row r="356">
          <cell r="A356" t="str">
            <v>IKN401677</v>
          </cell>
          <cell r="B356">
            <v>1607</v>
          </cell>
          <cell r="C356" t="str">
            <v>Institut Kanser Negara</v>
          </cell>
          <cell r="D356" t="e">
            <v>#N/A</v>
          </cell>
          <cell r="E356" t="str">
            <v>13-325</v>
          </cell>
          <cell r="F356" t="str">
            <v>Regulators, Suction</v>
          </cell>
          <cell r="G356" t="str">
            <v>WH</v>
          </cell>
          <cell r="H356" t="str">
            <v>RT/ONCO WARD 2 (M)</v>
          </cell>
          <cell r="I356" t="str">
            <v>08WH128</v>
          </cell>
          <cell r="J356" t="str">
            <v>4 BED ROOM 3</v>
          </cell>
          <cell r="K356" t="str">
            <v>BMED</v>
          </cell>
          <cell r="L356" t="str">
            <v>Normal</v>
          </cell>
          <cell r="M356" t="str">
            <v>United States</v>
          </cell>
          <cell r="N356" t="str">
            <v>OHIO</v>
          </cell>
          <cell r="O356" t="str">
            <v>R244047311229905</v>
          </cell>
          <cell r="P356" t="str">
            <v>GPHS65168</v>
          </cell>
          <cell r="Q356" t="str">
            <v>Not Applicable</v>
          </cell>
          <cell r="R356" t="str">
            <v>OHIO</v>
          </cell>
          <cell r="S356" t="str">
            <v>Respimedic</v>
          </cell>
          <cell r="T356" t="str">
            <v>Functioning</v>
          </cell>
          <cell r="U356" t="str">
            <v>Asset</v>
          </cell>
          <cell r="V356">
            <v>920</v>
          </cell>
          <cell r="W356" t="str">
            <v>KEW</v>
          </cell>
          <cell r="X356" t="str">
            <v>01/09/2010</v>
          </cell>
          <cell r="Y356" t="str">
            <v>KEW</v>
          </cell>
          <cell r="Z356" t="str">
            <v>16/08/2013</v>
          </cell>
          <cell r="AA356" t="str">
            <v>15/08/2015</v>
          </cell>
          <cell r="AB356" t="str">
            <v>No</v>
          </cell>
          <cell r="AC356" t="str">
            <v>31/08/2013</v>
          </cell>
          <cell r="AD356" t="str">
            <v>Good</v>
          </cell>
          <cell r="AE356" t="str">
            <v>V4 - Decommissioned Installed Facility</v>
          </cell>
          <cell r="AF356">
            <v>42962</v>
          </cell>
          <cell r="AG356">
            <v>9.17</v>
          </cell>
          <cell r="AH356" t="str">
            <v>RI</v>
          </cell>
          <cell r="AI356" t="str">
            <v>Not in contract</v>
          </cell>
          <cell r="AJ356" t="str">
            <v>Not under maintenance</v>
          </cell>
          <cell r="AK356" t="e">
            <v>#N/A</v>
          </cell>
        </row>
        <row r="357">
          <cell r="A357" t="str">
            <v>IKN401678</v>
          </cell>
          <cell r="B357">
            <v>1608</v>
          </cell>
          <cell r="C357" t="str">
            <v>Institut Kanser Negara</v>
          </cell>
          <cell r="D357" t="e">
            <v>#N/A</v>
          </cell>
          <cell r="E357" t="str">
            <v>13-325</v>
          </cell>
          <cell r="F357" t="str">
            <v>Regulators, Suction</v>
          </cell>
          <cell r="G357" t="str">
            <v>WH</v>
          </cell>
          <cell r="H357" t="str">
            <v>RT/ONCO WARD 2 (M)</v>
          </cell>
          <cell r="I357" t="str">
            <v>08WH131</v>
          </cell>
          <cell r="J357" t="str">
            <v>4 BED ROOM 4</v>
          </cell>
          <cell r="K357" t="str">
            <v>BMED</v>
          </cell>
          <cell r="L357" t="str">
            <v>Normal</v>
          </cell>
          <cell r="M357" t="str">
            <v>United States</v>
          </cell>
          <cell r="N357" t="str">
            <v>OHIO</v>
          </cell>
          <cell r="O357" t="str">
            <v>R244047311229905</v>
          </cell>
          <cell r="P357" t="str">
            <v>GPHS65169</v>
          </cell>
          <cell r="Q357" t="str">
            <v>Not Applicable</v>
          </cell>
          <cell r="R357" t="str">
            <v>OHIO</v>
          </cell>
          <cell r="S357" t="str">
            <v>Respimedic</v>
          </cell>
          <cell r="T357" t="str">
            <v>Functioning</v>
          </cell>
          <cell r="U357" t="str">
            <v>Asset</v>
          </cell>
          <cell r="V357">
            <v>920</v>
          </cell>
          <cell r="W357" t="str">
            <v>KEW</v>
          </cell>
          <cell r="X357" t="str">
            <v>01/09/2010</v>
          </cell>
          <cell r="Y357" t="str">
            <v>KEW</v>
          </cell>
          <cell r="Z357" t="str">
            <v>16/08/2013</v>
          </cell>
          <cell r="AA357" t="str">
            <v>15/08/2015</v>
          </cell>
          <cell r="AB357" t="str">
            <v>No</v>
          </cell>
          <cell r="AC357" t="str">
            <v>31/08/2013</v>
          </cell>
          <cell r="AD357" t="str">
            <v>Good</v>
          </cell>
          <cell r="AE357" t="str">
            <v>V4 - Decommissioned Installed Facility</v>
          </cell>
          <cell r="AF357">
            <v>42962</v>
          </cell>
          <cell r="AG357">
            <v>9.17</v>
          </cell>
          <cell r="AH357" t="str">
            <v>RI</v>
          </cell>
          <cell r="AI357" t="str">
            <v>Not in contract</v>
          </cell>
          <cell r="AJ357" t="str">
            <v>Not under maintenance</v>
          </cell>
          <cell r="AK357" t="e">
            <v>#N/A</v>
          </cell>
        </row>
        <row r="358">
          <cell r="A358" t="str">
            <v>IKN401679</v>
          </cell>
          <cell r="B358">
            <v>1609</v>
          </cell>
          <cell r="C358" t="str">
            <v>Institut Kanser Negara</v>
          </cell>
          <cell r="D358" t="e">
            <v>#N/A</v>
          </cell>
          <cell r="E358" t="str">
            <v>13-325</v>
          </cell>
          <cell r="F358" t="str">
            <v>Regulators, Suction</v>
          </cell>
          <cell r="G358" t="str">
            <v>WH</v>
          </cell>
          <cell r="H358" t="str">
            <v>RT/ONCO WARD 2 (M)</v>
          </cell>
          <cell r="I358" t="str">
            <v>08WH131</v>
          </cell>
          <cell r="J358" t="str">
            <v>4 BED ROOM 4</v>
          </cell>
          <cell r="K358" t="str">
            <v>BMED</v>
          </cell>
          <cell r="L358" t="str">
            <v>Normal</v>
          </cell>
          <cell r="M358" t="str">
            <v>United States</v>
          </cell>
          <cell r="N358" t="str">
            <v>OHIO</v>
          </cell>
          <cell r="O358" t="str">
            <v>R244047311229905</v>
          </cell>
          <cell r="P358" t="str">
            <v>GPHS65112</v>
          </cell>
          <cell r="Q358" t="str">
            <v>Not Applicable</v>
          </cell>
          <cell r="R358" t="str">
            <v>OHIO</v>
          </cell>
          <cell r="S358" t="str">
            <v>Respimedic</v>
          </cell>
          <cell r="T358" t="str">
            <v>Functioning</v>
          </cell>
          <cell r="U358" t="str">
            <v>Asset</v>
          </cell>
          <cell r="V358">
            <v>920</v>
          </cell>
          <cell r="W358" t="str">
            <v>KEW</v>
          </cell>
          <cell r="X358" t="str">
            <v>01/09/2010</v>
          </cell>
          <cell r="Y358" t="str">
            <v>KEW</v>
          </cell>
          <cell r="Z358" t="str">
            <v>16/08/2013</v>
          </cell>
          <cell r="AA358" t="str">
            <v>15/08/2015</v>
          </cell>
          <cell r="AB358" t="str">
            <v>No</v>
          </cell>
          <cell r="AC358" t="str">
            <v>31/08/2013</v>
          </cell>
          <cell r="AD358" t="str">
            <v>Good</v>
          </cell>
          <cell r="AE358" t="str">
            <v>V4 - Decommissioned Installed Facility</v>
          </cell>
          <cell r="AF358">
            <v>42962</v>
          </cell>
          <cell r="AG358">
            <v>9.17</v>
          </cell>
          <cell r="AH358" t="str">
            <v>RI</v>
          </cell>
          <cell r="AI358" t="str">
            <v>Not in contract</v>
          </cell>
          <cell r="AJ358" t="str">
            <v>Not under maintenance</v>
          </cell>
          <cell r="AK358" t="e">
            <v>#N/A</v>
          </cell>
        </row>
        <row r="359">
          <cell r="A359" t="str">
            <v>IKN401680</v>
          </cell>
          <cell r="B359">
            <v>1610</v>
          </cell>
          <cell r="C359" t="str">
            <v>Institut Kanser Negara</v>
          </cell>
          <cell r="D359" t="e">
            <v>#N/A</v>
          </cell>
          <cell r="E359" t="str">
            <v>13-325</v>
          </cell>
          <cell r="F359" t="str">
            <v>Regulators, Suction</v>
          </cell>
          <cell r="G359" t="str">
            <v>WH</v>
          </cell>
          <cell r="H359" t="str">
            <v>RT/ONCO WARD 2 (M)</v>
          </cell>
          <cell r="I359" t="str">
            <v>08WH107</v>
          </cell>
          <cell r="J359" t="str">
            <v>TREATMENT / PROCEDURE</v>
          </cell>
          <cell r="K359" t="str">
            <v>BMED</v>
          </cell>
          <cell r="L359" t="str">
            <v>Normal</v>
          </cell>
          <cell r="M359" t="str">
            <v>United States</v>
          </cell>
          <cell r="N359" t="str">
            <v>OHIO</v>
          </cell>
          <cell r="O359" t="str">
            <v>R244047311229905</v>
          </cell>
          <cell r="P359" t="str">
            <v>GPHS65115</v>
          </cell>
          <cell r="Q359" t="str">
            <v>Not Applicable</v>
          </cell>
          <cell r="R359" t="str">
            <v>OHIO</v>
          </cell>
          <cell r="S359" t="str">
            <v>Respimedic</v>
          </cell>
          <cell r="T359" t="str">
            <v>Functioning</v>
          </cell>
          <cell r="U359" t="str">
            <v>Asset</v>
          </cell>
          <cell r="V359">
            <v>920</v>
          </cell>
          <cell r="W359" t="str">
            <v>KEW</v>
          </cell>
          <cell r="X359" t="str">
            <v>01/09/2010</v>
          </cell>
          <cell r="Y359" t="str">
            <v>KEW</v>
          </cell>
          <cell r="Z359" t="str">
            <v>16/08/2013</v>
          </cell>
          <cell r="AA359" t="str">
            <v>15/08/2015</v>
          </cell>
          <cell r="AB359" t="str">
            <v>No</v>
          </cell>
          <cell r="AC359" t="str">
            <v>31/08/2013</v>
          </cell>
          <cell r="AD359" t="str">
            <v>Good</v>
          </cell>
          <cell r="AE359" t="str">
            <v>V4 - Decommissioned Installed Facility</v>
          </cell>
          <cell r="AF359">
            <v>42962</v>
          </cell>
          <cell r="AG359">
            <v>9.17</v>
          </cell>
          <cell r="AH359" t="str">
            <v>RI</v>
          </cell>
          <cell r="AI359" t="str">
            <v>Not in contract</v>
          </cell>
          <cell r="AJ359" t="str">
            <v>Not under maintenance</v>
          </cell>
          <cell r="AK359" t="e">
            <v>#N/A</v>
          </cell>
        </row>
        <row r="360">
          <cell r="A360" t="str">
            <v>IKN400238</v>
          </cell>
          <cell r="B360">
            <v>238</v>
          </cell>
          <cell r="C360" t="str">
            <v>Institut Kanser Negara</v>
          </cell>
          <cell r="D360" t="e">
            <v>#N/A</v>
          </cell>
          <cell r="E360" t="str">
            <v>10-447</v>
          </cell>
          <cell r="F360" t="str">
            <v>Warming Units, Blood/Solution</v>
          </cell>
          <cell r="G360" t="str">
            <v>WG</v>
          </cell>
          <cell r="H360" t="str">
            <v>RT/ONCO WARD 1 (M)</v>
          </cell>
          <cell r="I360" t="str">
            <v>08WG113</v>
          </cell>
          <cell r="J360" t="str">
            <v>EQUIPMENT ROOM</v>
          </cell>
          <cell r="K360" t="str">
            <v>BMED</v>
          </cell>
          <cell r="L360" t="str">
            <v>Normal</v>
          </cell>
          <cell r="M360" t="str">
            <v>Japan</v>
          </cell>
          <cell r="N360" t="str">
            <v>Animec</v>
          </cell>
          <cell r="O360" t="str">
            <v>Animec AM-301</v>
          </cell>
          <cell r="P360" t="str">
            <v>2012D0156</v>
          </cell>
          <cell r="Q360" t="str">
            <v>Not Applicable</v>
          </cell>
          <cell r="R360" t="str">
            <v>Elltec Co Ltd</v>
          </cell>
          <cell r="S360" t="str">
            <v>IDS Services (Malaysia) Sdn Bhd</v>
          </cell>
          <cell r="T360" t="str">
            <v>Disposed</v>
          </cell>
          <cell r="U360" t="str">
            <v>Asset</v>
          </cell>
          <cell r="V360">
            <v>4990</v>
          </cell>
          <cell r="W360" t="str">
            <v>KEW</v>
          </cell>
          <cell r="X360" t="str">
            <v>01/09/2010</v>
          </cell>
          <cell r="Y360" t="str">
            <v>KEW</v>
          </cell>
          <cell r="Z360" t="str">
            <v>16/08/2013</v>
          </cell>
          <cell r="AA360" t="str">
            <v>15/08/2015</v>
          </cell>
          <cell r="AB360" t="str">
            <v>No</v>
          </cell>
          <cell r="AC360" t="str">
            <v>31/08/2013</v>
          </cell>
          <cell r="AD360" t="str">
            <v>Good</v>
          </cell>
          <cell r="AE360" t="str">
            <v>V4 - Decommissioned Installed Facility</v>
          </cell>
          <cell r="AF360">
            <v>42741</v>
          </cell>
          <cell r="AG360">
            <v>9.17</v>
          </cell>
          <cell r="AH360" t="str">
            <v>PPM</v>
          </cell>
          <cell r="AI360" t="str">
            <v>Not in contract</v>
          </cell>
          <cell r="AJ360" t="str">
            <v>Not in contract</v>
          </cell>
          <cell r="AK360" t="e">
            <v>#N/A</v>
          </cell>
        </row>
        <row r="361">
          <cell r="A361" t="str">
            <v>IKN400239</v>
          </cell>
          <cell r="B361">
            <v>239</v>
          </cell>
          <cell r="C361" t="str">
            <v>Institut Kanser Negara</v>
          </cell>
          <cell r="D361" t="e">
            <v>#N/A</v>
          </cell>
          <cell r="E361" t="str">
            <v>10-447</v>
          </cell>
          <cell r="F361" t="str">
            <v>Warming Units, Blood/Solution</v>
          </cell>
          <cell r="G361" t="str">
            <v>WG</v>
          </cell>
          <cell r="H361" t="str">
            <v>RT/ONCO WARD 1 (M)</v>
          </cell>
          <cell r="I361" t="str">
            <v>08WG113</v>
          </cell>
          <cell r="J361" t="str">
            <v>EQUIPMENT ROOM</v>
          </cell>
          <cell r="K361" t="str">
            <v>BMED</v>
          </cell>
          <cell r="L361" t="str">
            <v>Normal</v>
          </cell>
          <cell r="M361" t="str">
            <v>Japan</v>
          </cell>
          <cell r="N361" t="str">
            <v>Animec</v>
          </cell>
          <cell r="O361" t="str">
            <v>Animec AM-301</v>
          </cell>
          <cell r="P361" t="str">
            <v>2013D0249</v>
          </cell>
          <cell r="Q361" t="str">
            <v>Not Applicable</v>
          </cell>
          <cell r="R361" t="str">
            <v>Elltec Co Ltd</v>
          </cell>
          <cell r="S361" t="str">
            <v>IDS Services (Malaysia) Sdn Bhd</v>
          </cell>
          <cell r="T361" t="str">
            <v>Disposed</v>
          </cell>
          <cell r="U361" t="str">
            <v>Asset</v>
          </cell>
          <cell r="V361">
            <v>4990</v>
          </cell>
          <cell r="W361" t="str">
            <v>KEW</v>
          </cell>
          <cell r="X361" t="str">
            <v>01/09/2010</v>
          </cell>
          <cell r="Y361" t="str">
            <v>KEW</v>
          </cell>
          <cell r="Z361" t="str">
            <v>16/08/2013</v>
          </cell>
          <cell r="AA361" t="str">
            <v>15/08/2015</v>
          </cell>
          <cell r="AB361" t="str">
            <v>No</v>
          </cell>
          <cell r="AC361" t="str">
            <v>31/08/2013</v>
          </cell>
          <cell r="AD361" t="str">
            <v>Good</v>
          </cell>
          <cell r="AE361" t="str">
            <v>V4 - Decommissioned Installed Facility</v>
          </cell>
          <cell r="AF361">
            <v>42733</v>
          </cell>
          <cell r="AG361">
            <v>9.17</v>
          </cell>
          <cell r="AH361" t="str">
            <v>PPM</v>
          </cell>
          <cell r="AI361" t="str">
            <v>Not in contract</v>
          </cell>
          <cell r="AJ361" t="str">
            <v>Not in contract</v>
          </cell>
          <cell r="AK361" t="e">
            <v>#N/A</v>
          </cell>
        </row>
        <row r="362">
          <cell r="A362" t="str">
            <v>IKN400240</v>
          </cell>
          <cell r="B362">
            <v>240</v>
          </cell>
          <cell r="C362" t="str">
            <v>Institut Kanser Negara</v>
          </cell>
          <cell r="D362" t="e">
            <v>#N/A</v>
          </cell>
          <cell r="E362" t="str">
            <v>10-447</v>
          </cell>
          <cell r="F362" t="str">
            <v>Warming Units, Blood/Solution</v>
          </cell>
          <cell r="G362" t="str">
            <v>WG</v>
          </cell>
          <cell r="H362" t="str">
            <v>RT/ONCO WARD 1 (M)</v>
          </cell>
          <cell r="I362" t="str">
            <v>08WG113</v>
          </cell>
          <cell r="J362" t="str">
            <v>EQUIPMENT ROOM</v>
          </cell>
          <cell r="K362" t="str">
            <v>BMED</v>
          </cell>
          <cell r="L362" t="str">
            <v>Normal</v>
          </cell>
          <cell r="M362" t="str">
            <v>Japan</v>
          </cell>
          <cell r="N362" t="str">
            <v>Animec</v>
          </cell>
          <cell r="O362" t="str">
            <v>Animec AM-301</v>
          </cell>
          <cell r="P362" t="str">
            <v>2013D0250</v>
          </cell>
          <cell r="Q362" t="str">
            <v>Not Applicable</v>
          </cell>
          <cell r="R362" t="str">
            <v>Elltec Co Ltd</v>
          </cell>
          <cell r="S362" t="str">
            <v>IDS Services (Malaysia) Sdn Bhd</v>
          </cell>
          <cell r="T362" t="str">
            <v>Disposed</v>
          </cell>
          <cell r="U362" t="str">
            <v>Asset</v>
          </cell>
          <cell r="V362">
            <v>4990</v>
          </cell>
          <cell r="W362" t="str">
            <v>KEW</v>
          </cell>
          <cell r="X362" t="str">
            <v>01/09/2010</v>
          </cell>
          <cell r="Y362" t="str">
            <v>KEW</v>
          </cell>
          <cell r="Z362" t="str">
            <v>16/08/2013</v>
          </cell>
          <cell r="AA362" t="str">
            <v>15/08/2015</v>
          </cell>
          <cell r="AB362" t="str">
            <v>No</v>
          </cell>
          <cell r="AC362" t="str">
            <v>31/08/2013</v>
          </cell>
          <cell r="AD362" t="str">
            <v>Good</v>
          </cell>
          <cell r="AE362" t="str">
            <v>V4 - Decommissioned Installed Facility</v>
          </cell>
          <cell r="AF362">
            <v>42733</v>
          </cell>
          <cell r="AG362">
            <v>9.17</v>
          </cell>
          <cell r="AH362" t="str">
            <v>PPM</v>
          </cell>
          <cell r="AI362" t="str">
            <v>Not in contract</v>
          </cell>
          <cell r="AJ362" t="str">
            <v>Not in contract</v>
          </cell>
          <cell r="AK362" t="e">
            <v>#N/A</v>
          </cell>
        </row>
        <row r="363">
          <cell r="A363" t="str">
            <v>IKN400279</v>
          </cell>
          <cell r="B363">
            <v>279</v>
          </cell>
          <cell r="C363" t="str">
            <v>Institut Kanser Negara</v>
          </cell>
          <cell r="D363" t="e">
            <v>#N/A</v>
          </cell>
          <cell r="E363" t="str">
            <v>10-447</v>
          </cell>
          <cell r="F363" t="str">
            <v>Warming Units, Blood/Solution</v>
          </cell>
          <cell r="G363" t="str">
            <v>WH</v>
          </cell>
          <cell r="H363" t="str">
            <v>RT/ONCO WARD 2 (M)</v>
          </cell>
          <cell r="I363" t="str">
            <v>08WH121</v>
          </cell>
          <cell r="J363" t="str">
            <v>EQUIPMENT ROOM</v>
          </cell>
          <cell r="K363" t="str">
            <v>BMED</v>
          </cell>
          <cell r="L363" t="str">
            <v>Normal</v>
          </cell>
          <cell r="M363" t="str">
            <v>Japan</v>
          </cell>
          <cell r="N363" t="str">
            <v>Animec</v>
          </cell>
          <cell r="O363" t="str">
            <v>Animec AM-301</v>
          </cell>
          <cell r="P363" t="str">
            <v>2013D0246</v>
          </cell>
          <cell r="Q363" t="str">
            <v>Not Applicable</v>
          </cell>
          <cell r="R363" t="str">
            <v>Elltec Co Ltd</v>
          </cell>
          <cell r="S363" t="str">
            <v>IDS Services (Malaysia) Sdn Bhd</v>
          </cell>
          <cell r="T363" t="str">
            <v>Not In Use</v>
          </cell>
          <cell r="U363" t="str">
            <v>Asset</v>
          </cell>
          <cell r="V363">
            <v>4990</v>
          </cell>
          <cell r="W363" t="str">
            <v>KEW</v>
          </cell>
          <cell r="X363" t="str">
            <v>01/09/2010</v>
          </cell>
          <cell r="Y363" t="str">
            <v>KEW</v>
          </cell>
          <cell r="Z363" t="str">
            <v>16/08/2013</v>
          </cell>
          <cell r="AA363" t="str">
            <v>15/08/2015</v>
          </cell>
          <cell r="AB363" t="str">
            <v>No</v>
          </cell>
          <cell r="AC363" t="str">
            <v>31/08/2013</v>
          </cell>
          <cell r="AD363" t="str">
            <v>Request for Exemption</v>
          </cell>
          <cell r="AE363" t="str">
            <v>V4 - Decommissioned Installed Facility</v>
          </cell>
          <cell r="AF363">
            <v>43050</v>
          </cell>
          <cell r="AG363">
            <v>9.17</v>
          </cell>
          <cell r="AH363" t="str">
            <v>PPM</v>
          </cell>
          <cell r="AI363" t="str">
            <v>Not in contract</v>
          </cell>
          <cell r="AJ363" t="str">
            <v>Not in contract</v>
          </cell>
          <cell r="AK363" t="e">
            <v>#N/A</v>
          </cell>
        </row>
        <row r="364">
          <cell r="A364" t="str">
            <v>IKN400280</v>
          </cell>
          <cell r="B364">
            <v>280</v>
          </cell>
          <cell r="C364" t="str">
            <v>Institut Kanser Negara</v>
          </cell>
          <cell r="D364" t="e">
            <v>#N/A</v>
          </cell>
          <cell r="E364" t="str">
            <v>10-447</v>
          </cell>
          <cell r="F364" t="str">
            <v>Warming Units, Blood/Solution</v>
          </cell>
          <cell r="G364" t="str">
            <v>WH</v>
          </cell>
          <cell r="H364" t="str">
            <v>RT/ONCO WARD 2 (M)</v>
          </cell>
          <cell r="I364" t="str">
            <v>08WH121</v>
          </cell>
          <cell r="J364" t="str">
            <v>EQUIPMENT ROOM</v>
          </cell>
          <cell r="K364" t="str">
            <v>BMED</v>
          </cell>
          <cell r="L364" t="str">
            <v>Normal</v>
          </cell>
          <cell r="M364" t="str">
            <v>Japan</v>
          </cell>
          <cell r="N364" t="str">
            <v>Animec</v>
          </cell>
          <cell r="O364" t="str">
            <v>Animec AM-301</v>
          </cell>
          <cell r="P364" t="str">
            <v>2013D0245</v>
          </cell>
          <cell r="Q364" t="str">
            <v>Not Applicable</v>
          </cell>
          <cell r="R364" t="str">
            <v>Elltec Co Ltd</v>
          </cell>
          <cell r="S364" t="str">
            <v>IDS Services (Malaysia) Sdn Bhd</v>
          </cell>
          <cell r="T364" t="str">
            <v>Not In Use</v>
          </cell>
          <cell r="U364" t="str">
            <v>Asset</v>
          </cell>
          <cell r="V364">
            <v>4990</v>
          </cell>
          <cell r="W364" t="str">
            <v>KEW</v>
          </cell>
          <cell r="X364" t="str">
            <v>01/09/2010</v>
          </cell>
          <cell r="Y364" t="str">
            <v>KEW</v>
          </cell>
          <cell r="Z364" t="str">
            <v>16/08/2013</v>
          </cell>
          <cell r="AA364" t="str">
            <v>15/08/2015</v>
          </cell>
          <cell r="AB364" t="str">
            <v>No</v>
          </cell>
          <cell r="AC364" t="str">
            <v>31/08/2013</v>
          </cell>
          <cell r="AD364" t="str">
            <v>Good</v>
          </cell>
          <cell r="AE364" t="str">
            <v>V4 - Decommissioned Installed Facility</v>
          </cell>
          <cell r="AF364">
            <v>43050</v>
          </cell>
          <cell r="AG364">
            <v>9.17</v>
          </cell>
          <cell r="AH364" t="str">
            <v>PPM</v>
          </cell>
          <cell r="AI364" t="str">
            <v>Not in contract</v>
          </cell>
          <cell r="AJ364" t="str">
            <v>Not in contract</v>
          </cell>
          <cell r="AK364" t="e">
            <v>#N/A</v>
          </cell>
        </row>
        <row r="365">
          <cell r="A365" t="str">
            <v>IKN400281</v>
          </cell>
          <cell r="B365">
            <v>281</v>
          </cell>
          <cell r="C365" t="str">
            <v>Institut Kanser Negara</v>
          </cell>
          <cell r="D365" t="e">
            <v>#N/A</v>
          </cell>
          <cell r="E365" t="str">
            <v>10-447</v>
          </cell>
          <cell r="F365" t="str">
            <v>Warming Units, Blood/Solution</v>
          </cell>
          <cell r="G365" t="str">
            <v>WH</v>
          </cell>
          <cell r="H365" t="str">
            <v>RT/ONCO WARD 2 (M)</v>
          </cell>
          <cell r="I365" t="str">
            <v>08WH121</v>
          </cell>
          <cell r="J365" t="str">
            <v>EQUIPMENT ROOM</v>
          </cell>
          <cell r="K365" t="str">
            <v>BMED</v>
          </cell>
          <cell r="L365" t="str">
            <v>Normal</v>
          </cell>
          <cell r="M365" t="str">
            <v>Japan</v>
          </cell>
          <cell r="N365" t="str">
            <v>Animec</v>
          </cell>
          <cell r="O365" t="str">
            <v>Animec AM-301</v>
          </cell>
          <cell r="P365" t="str">
            <v>2012D0054</v>
          </cell>
          <cell r="Q365" t="str">
            <v>Not Applicable</v>
          </cell>
          <cell r="R365" t="str">
            <v>Elltec Co Ltd</v>
          </cell>
          <cell r="S365" t="str">
            <v>IDS Services (Malaysia) Sdn Bhd</v>
          </cell>
          <cell r="T365" t="str">
            <v>Disposed</v>
          </cell>
          <cell r="U365" t="str">
            <v>Asset</v>
          </cell>
          <cell r="V365">
            <v>4990</v>
          </cell>
          <cell r="W365" t="str">
            <v>KEW</v>
          </cell>
          <cell r="X365" t="str">
            <v>01/09/2010</v>
          </cell>
          <cell r="Y365" t="str">
            <v>KEW</v>
          </cell>
          <cell r="Z365" t="str">
            <v>16/08/2013</v>
          </cell>
          <cell r="AA365" t="str">
            <v>15/08/2015</v>
          </cell>
          <cell r="AB365" t="str">
            <v>No</v>
          </cell>
          <cell r="AC365" t="str">
            <v>31/08/2013</v>
          </cell>
          <cell r="AD365" t="str">
            <v>Good</v>
          </cell>
          <cell r="AE365" t="str">
            <v>V4 - Decommissioned Installed Facility</v>
          </cell>
          <cell r="AF365">
            <v>42538</v>
          </cell>
          <cell r="AG365">
            <v>9.17</v>
          </cell>
          <cell r="AH365" t="str">
            <v>PPM</v>
          </cell>
          <cell r="AI365" t="str">
            <v>Not in contract</v>
          </cell>
          <cell r="AJ365" t="str">
            <v>Not in contract</v>
          </cell>
          <cell r="AK365" t="e">
            <v>#N/A</v>
          </cell>
        </row>
        <row r="366">
          <cell r="A366" t="str">
            <v>IKN400393</v>
          </cell>
          <cell r="B366">
            <v>393</v>
          </cell>
          <cell r="C366" t="str">
            <v>Institut Kanser Negara</v>
          </cell>
          <cell r="D366" t="e">
            <v>#N/A</v>
          </cell>
          <cell r="E366" t="str">
            <v>10-447</v>
          </cell>
          <cell r="F366" t="str">
            <v>Warming Units, Blood/Solution</v>
          </cell>
          <cell r="G366" t="str">
            <v>WD</v>
          </cell>
          <cell r="H366" t="str">
            <v>RT/ONCO PAED/ADOLESCENT WARD</v>
          </cell>
          <cell r="I366" t="str">
            <v>06WD153</v>
          </cell>
          <cell r="J366" t="str">
            <v>EQP.ROOM</v>
          </cell>
          <cell r="K366" t="str">
            <v>BMED</v>
          </cell>
          <cell r="L366" t="str">
            <v>Normal</v>
          </cell>
          <cell r="M366" t="str">
            <v>Japan</v>
          </cell>
          <cell r="N366" t="str">
            <v>Animec</v>
          </cell>
          <cell r="O366" t="str">
            <v>Animec AM-301</v>
          </cell>
          <cell r="P366" t="str">
            <v>2013D0265</v>
          </cell>
          <cell r="Q366" t="str">
            <v>Not Applicable</v>
          </cell>
          <cell r="R366" t="str">
            <v>Elltec Co Ltd</v>
          </cell>
          <cell r="S366" t="str">
            <v>IDS Services (Malaysia) Sdn Bhd</v>
          </cell>
          <cell r="T366" t="str">
            <v>Disposed</v>
          </cell>
          <cell r="U366" t="str">
            <v>Asset</v>
          </cell>
          <cell r="V366">
            <v>4990</v>
          </cell>
          <cell r="W366" t="str">
            <v>KEW</v>
          </cell>
          <cell r="X366" t="str">
            <v>01/09/2010</v>
          </cell>
          <cell r="Y366" t="str">
            <v>KEW</v>
          </cell>
          <cell r="Z366" t="str">
            <v>16/08/2013</v>
          </cell>
          <cell r="AA366" t="str">
            <v>15/08/2015</v>
          </cell>
          <cell r="AB366" t="str">
            <v>No</v>
          </cell>
          <cell r="AC366" t="str">
            <v>31/08/2013</v>
          </cell>
          <cell r="AD366" t="str">
            <v>Request for Exemption</v>
          </cell>
          <cell r="AE366" t="str">
            <v>V4 - Decommissioned Installed Facility</v>
          </cell>
          <cell r="AF366">
            <v>42538</v>
          </cell>
          <cell r="AG366">
            <v>9.17</v>
          </cell>
          <cell r="AH366" t="str">
            <v>PPM</v>
          </cell>
          <cell r="AI366" t="str">
            <v>Not in contract</v>
          </cell>
          <cell r="AJ366" t="str">
            <v>Not in contract</v>
          </cell>
          <cell r="AK366" t="e">
            <v>#N/A</v>
          </cell>
        </row>
        <row r="367">
          <cell r="A367" t="str">
            <v>IKN400394</v>
          </cell>
          <cell r="B367">
            <v>394</v>
          </cell>
          <cell r="C367" t="str">
            <v>Institut Kanser Negara</v>
          </cell>
          <cell r="D367" t="e">
            <v>#N/A</v>
          </cell>
          <cell r="E367" t="str">
            <v>10-447</v>
          </cell>
          <cell r="F367" t="str">
            <v>Warming Units, Blood/Solution</v>
          </cell>
          <cell r="G367" t="str">
            <v>WD</v>
          </cell>
          <cell r="H367" t="str">
            <v>RT/ONCO PAED/ADOLESCENT WARD</v>
          </cell>
          <cell r="I367" t="str">
            <v>06WD153</v>
          </cell>
          <cell r="J367" t="str">
            <v>EQP.ROOM</v>
          </cell>
          <cell r="K367" t="str">
            <v>BMED</v>
          </cell>
          <cell r="L367" t="str">
            <v>Normal</v>
          </cell>
          <cell r="M367" t="str">
            <v>Japan</v>
          </cell>
          <cell r="N367" t="str">
            <v>Animec</v>
          </cell>
          <cell r="O367" t="str">
            <v>Animec AM-301</v>
          </cell>
          <cell r="P367" t="str">
            <v>2013D0266</v>
          </cell>
          <cell r="Q367" t="str">
            <v>Not Applicable</v>
          </cell>
          <cell r="R367" t="str">
            <v>Elltec Co Ltd</v>
          </cell>
          <cell r="S367" t="str">
            <v>IDS Services (Malaysia) Sdn Bhd</v>
          </cell>
          <cell r="T367" t="str">
            <v>Disposed</v>
          </cell>
          <cell r="U367" t="str">
            <v>Asset</v>
          </cell>
          <cell r="V367">
            <v>4990</v>
          </cell>
          <cell r="W367" t="str">
            <v>KEW</v>
          </cell>
          <cell r="X367" t="str">
            <v>01/09/2010</v>
          </cell>
          <cell r="Y367" t="str">
            <v>KEW</v>
          </cell>
          <cell r="Z367" t="str">
            <v>16/08/2013</v>
          </cell>
          <cell r="AA367" t="str">
            <v>15/08/2015</v>
          </cell>
          <cell r="AB367" t="str">
            <v>No</v>
          </cell>
          <cell r="AC367" t="str">
            <v>31/08/2013</v>
          </cell>
          <cell r="AD367" t="str">
            <v>Good</v>
          </cell>
          <cell r="AE367" t="str">
            <v>V4 - Decommissioned Installed Facility</v>
          </cell>
          <cell r="AF367">
            <v>42538</v>
          </cell>
          <cell r="AG367">
            <v>9.17</v>
          </cell>
          <cell r="AH367" t="str">
            <v>PPM</v>
          </cell>
          <cell r="AI367" t="str">
            <v>Not in contract</v>
          </cell>
          <cell r="AJ367" t="str">
            <v>Not in contract</v>
          </cell>
          <cell r="AK367" t="e">
            <v>#N/A</v>
          </cell>
        </row>
        <row r="368">
          <cell r="A368" t="str">
            <v>IKN400395</v>
          </cell>
          <cell r="B368">
            <v>395</v>
          </cell>
          <cell r="C368" t="str">
            <v>Institut Kanser Negara</v>
          </cell>
          <cell r="D368" t="e">
            <v>#N/A</v>
          </cell>
          <cell r="E368" t="str">
            <v>10-447</v>
          </cell>
          <cell r="F368" t="str">
            <v>Warming Units, Blood/Solution</v>
          </cell>
          <cell r="G368" t="str">
            <v>WD</v>
          </cell>
          <cell r="H368" t="str">
            <v>RT/ONCO PAED/ADOLESCENT WARD</v>
          </cell>
          <cell r="I368" t="str">
            <v>06WD153</v>
          </cell>
          <cell r="J368" t="str">
            <v>EQP.ROOM</v>
          </cell>
          <cell r="K368" t="str">
            <v>BMED</v>
          </cell>
          <cell r="L368" t="str">
            <v>Normal</v>
          </cell>
          <cell r="M368" t="str">
            <v>Japan</v>
          </cell>
          <cell r="N368" t="str">
            <v>Animec</v>
          </cell>
          <cell r="O368" t="str">
            <v>Animec AM-301</v>
          </cell>
          <cell r="P368" t="str">
            <v>2013D0264</v>
          </cell>
          <cell r="Q368" t="str">
            <v>Not Applicable</v>
          </cell>
          <cell r="R368" t="str">
            <v>Elltec Co Ltd</v>
          </cell>
          <cell r="S368" t="str">
            <v>IDS Services (Malaysia) Sdn Bhd</v>
          </cell>
          <cell r="T368" t="str">
            <v>Disposed</v>
          </cell>
          <cell r="U368" t="str">
            <v>Asset</v>
          </cell>
          <cell r="V368">
            <v>4990</v>
          </cell>
          <cell r="W368" t="str">
            <v>KEW</v>
          </cell>
          <cell r="X368" t="str">
            <v>01/09/2010</v>
          </cell>
          <cell r="Y368" t="str">
            <v>KEW</v>
          </cell>
          <cell r="Z368" t="str">
            <v>16/08/2013</v>
          </cell>
          <cell r="AA368" t="str">
            <v>15/08/2015</v>
          </cell>
          <cell r="AB368" t="str">
            <v>No</v>
          </cell>
          <cell r="AC368" t="str">
            <v>31/08/2013</v>
          </cell>
          <cell r="AD368" t="str">
            <v>Request for Exemption</v>
          </cell>
          <cell r="AE368" t="str">
            <v>V4 - Decommissioned Installed Facility</v>
          </cell>
          <cell r="AF368">
            <v>42538</v>
          </cell>
          <cell r="AG368">
            <v>9.17</v>
          </cell>
          <cell r="AH368" t="str">
            <v>PPM</v>
          </cell>
          <cell r="AI368" t="str">
            <v>Not in contract</v>
          </cell>
          <cell r="AJ368" t="str">
            <v>Not in contract</v>
          </cell>
          <cell r="AK368" t="e">
            <v>#N/A</v>
          </cell>
        </row>
        <row r="369">
          <cell r="A369" t="str">
            <v>IKN400431</v>
          </cell>
          <cell r="B369">
            <v>431</v>
          </cell>
          <cell r="C369" t="str">
            <v>Institut Kanser Negara</v>
          </cell>
          <cell r="D369" t="e">
            <v>#N/A</v>
          </cell>
          <cell r="E369" t="str">
            <v>10-447</v>
          </cell>
          <cell r="F369" t="str">
            <v>Warming Units, Blood/Solution</v>
          </cell>
          <cell r="G369" t="str">
            <v>WC</v>
          </cell>
          <cell r="H369" t="str">
            <v>SURGICAL ONCO FEMALE WARD</v>
          </cell>
          <cell r="I369" t="str">
            <v>06WC113</v>
          </cell>
          <cell r="J369" t="str">
            <v>EQUIPMENT ROOM</v>
          </cell>
          <cell r="K369" t="str">
            <v>BMED</v>
          </cell>
          <cell r="L369" t="str">
            <v>Normal</v>
          </cell>
          <cell r="M369" t="str">
            <v>Japan</v>
          </cell>
          <cell r="N369" t="str">
            <v>Animec</v>
          </cell>
          <cell r="O369" t="str">
            <v>Animec AM-301</v>
          </cell>
          <cell r="P369" t="str">
            <v>2013D0263</v>
          </cell>
          <cell r="Q369" t="str">
            <v>Not Applicable</v>
          </cell>
          <cell r="R369" t="str">
            <v>Elltec Co Ltd</v>
          </cell>
          <cell r="S369" t="str">
            <v>IDS Services (Malaysia) Sdn Bhd</v>
          </cell>
          <cell r="T369" t="str">
            <v>Disposed</v>
          </cell>
          <cell r="U369" t="str">
            <v>Asset</v>
          </cell>
          <cell r="V369">
            <v>4990</v>
          </cell>
          <cell r="W369" t="str">
            <v>KEW</v>
          </cell>
          <cell r="X369" t="str">
            <v>01/09/2010</v>
          </cell>
          <cell r="Y369" t="str">
            <v>KEW</v>
          </cell>
          <cell r="Z369" t="str">
            <v>16/08/2013</v>
          </cell>
          <cell r="AA369" t="str">
            <v>15/08/2015</v>
          </cell>
          <cell r="AB369" t="str">
            <v>No</v>
          </cell>
          <cell r="AC369" t="str">
            <v>31/08/2013</v>
          </cell>
          <cell r="AD369" t="str">
            <v>Good</v>
          </cell>
          <cell r="AE369" t="str">
            <v>V4 - Decommissioned Installed Facility</v>
          </cell>
          <cell r="AF369">
            <v>42538</v>
          </cell>
          <cell r="AG369">
            <v>9.17</v>
          </cell>
          <cell r="AH369" t="str">
            <v>PPM</v>
          </cell>
          <cell r="AI369" t="str">
            <v>Not in contract</v>
          </cell>
          <cell r="AJ369" t="str">
            <v>Not in contract</v>
          </cell>
          <cell r="AK369" t="e">
            <v>#N/A</v>
          </cell>
        </row>
        <row r="370">
          <cell r="A370" t="str">
            <v>IKN400432</v>
          </cell>
          <cell r="B370">
            <v>432</v>
          </cell>
          <cell r="C370" t="str">
            <v>Institut Kanser Negara</v>
          </cell>
          <cell r="D370" t="e">
            <v>#N/A</v>
          </cell>
          <cell r="E370" t="str">
            <v>10-447</v>
          </cell>
          <cell r="F370" t="str">
            <v>Warming Units, Blood/Solution</v>
          </cell>
          <cell r="G370" t="str">
            <v>WC</v>
          </cell>
          <cell r="H370" t="str">
            <v>SURGICAL ONCO FEMALE WARD</v>
          </cell>
          <cell r="I370" t="str">
            <v>06WC113</v>
          </cell>
          <cell r="J370" t="str">
            <v>EQUIPMENT ROOM</v>
          </cell>
          <cell r="K370" t="str">
            <v>BMED</v>
          </cell>
          <cell r="L370" t="str">
            <v>Normal</v>
          </cell>
          <cell r="M370" t="str">
            <v>Japan</v>
          </cell>
          <cell r="N370" t="str">
            <v>Animec</v>
          </cell>
          <cell r="O370" t="str">
            <v>Animec AM-301</v>
          </cell>
          <cell r="P370" t="str">
            <v>2013D0262</v>
          </cell>
          <cell r="Q370" t="str">
            <v>Not Applicable</v>
          </cell>
          <cell r="R370" t="str">
            <v>Elltec Co Ltd</v>
          </cell>
          <cell r="S370" t="str">
            <v>IDS Services (Malaysia) Sdn Bhd</v>
          </cell>
          <cell r="T370" t="str">
            <v>Disposed</v>
          </cell>
          <cell r="U370" t="str">
            <v>Asset</v>
          </cell>
          <cell r="V370">
            <v>4990</v>
          </cell>
          <cell r="W370" t="str">
            <v>KEW</v>
          </cell>
          <cell r="X370" t="str">
            <v>01/09/2010</v>
          </cell>
          <cell r="Y370" t="str">
            <v>KEW</v>
          </cell>
          <cell r="Z370" t="str">
            <v>16/08/2013</v>
          </cell>
          <cell r="AA370" t="str">
            <v>15/08/2015</v>
          </cell>
          <cell r="AB370" t="str">
            <v>No</v>
          </cell>
          <cell r="AC370" t="str">
            <v>31/08/2013</v>
          </cell>
          <cell r="AD370" t="str">
            <v>Good</v>
          </cell>
          <cell r="AE370" t="str">
            <v>V4 - Decommissioned Installed Facility</v>
          </cell>
          <cell r="AF370">
            <v>42538</v>
          </cell>
          <cell r="AG370">
            <v>9.17</v>
          </cell>
          <cell r="AH370" t="str">
            <v>PPM</v>
          </cell>
          <cell r="AI370" t="str">
            <v>Not in contract</v>
          </cell>
          <cell r="AJ370" t="str">
            <v>Not in contract</v>
          </cell>
          <cell r="AK370" t="e">
            <v>#N/A</v>
          </cell>
        </row>
        <row r="371">
          <cell r="A371" t="str">
            <v>IKN400433</v>
          </cell>
          <cell r="B371">
            <v>433</v>
          </cell>
          <cell r="C371" t="str">
            <v>Institut Kanser Negara</v>
          </cell>
          <cell r="D371" t="str">
            <v>KKM/IKN/H/13/2005</v>
          </cell>
          <cell r="E371" t="str">
            <v>11-134</v>
          </cell>
          <cell r="F371" t="str">
            <v>Defibrillators, External, Manual</v>
          </cell>
          <cell r="G371" t="str">
            <v>WC</v>
          </cell>
          <cell r="H371" t="str">
            <v>SURGICAL ONCO FEMALE WARD</v>
          </cell>
          <cell r="I371" t="str">
            <v>06WC133</v>
          </cell>
          <cell r="J371" t="str">
            <v>RESUS EQ. BAY</v>
          </cell>
          <cell r="K371" t="str">
            <v>BMED</v>
          </cell>
          <cell r="L371" t="str">
            <v>Critical</v>
          </cell>
          <cell r="M371" t="str">
            <v>USA</v>
          </cell>
          <cell r="N371" t="str">
            <v>Responder</v>
          </cell>
          <cell r="O371" t="str">
            <v>Responder 2000</v>
          </cell>
          <cell r="P371" t="str">
            <v>3206740</v>
          </cell>
          <cell r="Q371" t="str">
            <v>Not Applicable</v>
          </cell>
          <cell r="R371" t="str">
            <v>GE Medical Systems</v>
          </cell>
          <cell r="S371" t="str">
            <v>Antah Sir Radin Sdn. Bhd.</v>
          </cell>
          <cell r="T371" t="str">
            <v>Functioning</v>
          </cell>
          <cell r="U371" t="str">
            <v>Asset</v>
          </cell>
          <cell r="V371">
            <v>45000</v>
          </cell>
          <cell r="W371" t="str">
            <v>KEW</v>
          </cell>
          <cell r="X371" t="str">
            <v>01/09/2010</v>
          </cell>
          <cell r="Y371" t="str">
            <v>KEW</v>
          </cell>
          <cell r="Z371" t="str">
            <v>16/08/2013</v>
          </cell>
          <cell r="AA371" t="str">
            <v>15/08/2015</v>
          </cell>
          <cell r="AB371" t="str">
            <v>No</v>
          </cell>
          <cell r="AC371" t="str">
            <v>31/08/2013</v>
          </cell>
          <cell r="AD371" t="str">
            <v>Good</v>
          </cell>
          <cell r="AE371" t="str">
            <v>V3 - Added Installed Facilities (New)</v>
          </cell>
          <cell r="AF371">
            <v>42601</v>
          </cell>
          <cell r="AG371">
            <v>9.17</v>
          </cell>
          <cell r="AH371" t="str">
            <v>PPM</v>
          </cell>
          <cell r="AI371" t="str">
            <v>Strands</v>
          </cell>
          <cell r="AJ371" t="str">
            <v>Strands PW. Proposed for V4 P2.23</v>
          </cell>
          <cell r="AK371" t="str">
            <v>SNF received. 1st batch of V3 asset (December 2020). [18/9/2023, SHARIFAH]: PEP ON 8/8/2023, BER/BEMS/IKN/23/019 - Aset mengalami kerosakan pada mainboard dan theraphy board.</v>
          </cell>
        </row>
        <row r="372">
          <cell r="A372" t="str">
            <v>IKN400436</v>
          </cell>
          <cell r="B372">
            <v>436</v>
          </cell>
          <cell r="C372" t="str">
            <v>Institut Kanser Negara</v>
          </cell>
          <cell r="D372" t="e">
            <v>#N/A</v>
          </cell>
          <cell r="E372" t="str">
            <v>12-660</v>
          </cell>
          <cell r="F372" t="str">
            <v>Radiation Monitors</v>
          </cell>
          <cell r="G372" t="str">
            <v>NM</v>
          </cell>
          <cell r="H372" t="str">
            <v>NUCLEAR MED (DIAGNOSTIC)</v>
          </cell>
          <cell r="I372" t="str">
            <v>03NM161</v>
          </cell>
          <cell r="J372" t="str">
            <v>GAMMA CAMERA 1 (-VE)</v>
          </cell>
          <cell r="K372" t="str">
            <v>BMED</v>
          </cell>
          <cell r="L372" t="str">
            <v>Normal</v>
          </cell>
          <cell r="M372" t="str">
            <v>USA</v>
          </cell>
          <cell r="N372" t="str">
            <v>Ludlum</v>
          </cell>
          <cell r="O372" t="str">
            <v>Ludlum 375P</v>
          </cell>
          <cell r="P372">
            <v>294335</v>
          </cell>
          <cell r="Q372" t="str">
            <v>Not Applicable</v>
          </cell>
          <cell r="R372" t="str">
            <v>Ludlum Measurements Inc</v>
          </cell>
          <cell r="S372" t="str">
            <v>Advance Altimas Sdn Bhd</v>
          </cell>
          <cell r="T372" t="str">
            <v>Functioning</v>
          </cell>
          <cell r="U372" t="str">
            <v>Asset</v>
          </cell>
          <cell r="V372">
            <v>25000</v>
          </cell>
          <cell r="W372" t="str">
            <v>Estimate</v>
          </cell>
          <cell r="X372" t="str">
            <v>01/09/2010</v>
          </cell>
          <cell r="Y372" t="str">
            <v>KEW</v>
          </cell>
          <cell r="Z372" t="str">
            <v>16/08/2013</v>
          </cell>
          <cell r="AA372" t="str">
            <v>15/08/2015</v>
          </cell>
          <cell r="AB372" t="str">
            <v>No</v>
          </cell>
          <cell r="AC372" t="str">
            <v>31/08/2013</v>
          </cell>
          <cell r="AD372" t="str">
            <v>Good</v>
          </cell>
          <cell r="AE372" t="str">
            <v>V1 - Existing / No Claim</v>
          </cell>
          <cell r="AF372">
            <v>42601</v>
          </cell>
          <cell r="AG372">
            <v>9.17</v>
          </cell>
          <cell r="AH372" t="str">
            <v>PPM</v>
          </cell>
          <cell r="AI372" t="str">
            <v>package</v>
          </cell>
          <cell r="AJ372" t="str">
            <v>Strands Package. Proposed for V4 P2.23</v>
          </cell>
          <cell r="AK372" t="str">
            <v>BER PACKAGE GAMMA Package Code XK0001A.</v>
          </cell>
        </row>
        <row r="373">
          <cell r="A373" t="str">
            <v>IKN400467</v>
          </cell>
          <cell r="B373">
            <v>467</v>
          </cell>
          <cell r="C373" t="str">
            <v>Institut Kanser Negara</v>
          </cell>
          <cell r="D373" t="e">
            <v>#N/A</v>
          </cell>
          <cell r="E373" t="str">
            <v>10-447</v>
          </cell>
          <cell r="F373" t="str">
            <v>Warming Units, Blood/Solution</v>
          </cell>
          <cell r="G373" t="str">
            <v>WB</v>
          </cell>
          <cell r="H373" t="str">
            <v>SURGICAL ONCO MALE WARD</v>
          </cell>
          <cell r="I373" t="str">
            <v>05WB113</v>
          </cell>
          <cell r="J373" t="str">
            <v>EQUIP. ROOM</v>
          </cell>
          <cell r="K373" t="str">
            <v>BMED</v>
          </cell>
          <cell r="L373" t="str">
            <v>Normal</v>
          </cell>
          <cell r="M373" t="str">
            <v>Japan</v>
          </cell>
          <cell r="N373" t="str">
            <v>Animec</v>
          </cell>
          <cell r="O373" t="str">
            <v>Animec AM-301</v>
          </cell>
          <cell r="P373" t="str">
            <v>2013D0259</v>
          </cell>
          <cell r="Q373" t="str">
            <v>Not Applicable</v>
          </cell>
          <cell r="R373" t="str">
            <v>Elltec Co Ltd</v>
          </cell>
          <cell r="S373" t="str">
            <v>IDS Services (Malaysia) Sdn Bhd</v>
          </cell>
          <cell r="T373" t="str">
            <v>Disposed</v>
          </cell>
          <cell r="U373" t="str">
            <v>Asset</v>
          </cell>
          <cell r="V373">
            <v>4990</v>
          </cell>
          <cell r="W373" t="str">
            <v>KEW</v>
          </cell>
          <cell r="X373" t="str">
            <v>01/09/2010</v>
          </cell>
          <cell r="Y373" t="str">
            <v>KEW</v>
          </cell>
          <cell r="Z373" t="str">
            <v>16/08/2013</v>
          </cell>
          <cell r="AA373" t="str">
            <v>15/08/2015</v>
          </cell>
          <cell r="AB373" t="str">
            <v>No</v>
          </cell>
          <cell r="AC373" t="str">
            <v>31/08/2013</v>
          </cell>
          <cell r="AD373" t="str">
            <v>Good</v>
          </cell>
          <cell r="AE373" t="str">
            <v>V4 - Decommissioned Installed Facility</v>
          </cell>
          <cell r="AF373">
            <v>42538</v>
          </cell>
          <cell r="AG373">
            <v>9.17</v>
          </cell>
          <cell r="AH373" t="str">
            <v>PPM</v>
          </cell>
          <cell r="AI373" t="str">
            <v>Not in contract</v>
          </cell>
          <cell r="AJ373" t="str">
            <v>Not in contract</v>
          </cell>
          <cell r="AK373" t="e">
            <v>#N/A</v>
          </cell>
        </row>
        <row r="374">
          <cell r="A374" t="str">
            <v>IKN400468</v>
          </cell>
          <cell r="B374">
            <v>468</v>
          </cell>
          <cell r="C374" t="str">
            <v>Institut Kanser Negara</v>
          </cell>
          <cell r="D374" t="e">
            <v>#N/A</v>
          </cell>
          <cell r="E374" t="str">
            <v>10-447</v>
          </cell>
          <cell r="F374" t="str">
            <v>Warming Units, Blood/Solution</v>
          </cell>
          <cell r="G374" t="str">
            <v>WB</v>
          </cell>
          <cell r="H374" t="str">
            <v>SURGICAL ONCO MALE WARD</v>
          </cell>
          <cell r="I374" t="str">
            <v>05WB113</v>
          </cell>
          <cell r="J374" t="str">
            <v>EQUIP. ROOM</v>
          </cell>
          <cell r="K374" t="str">
            <v>BMED</v>
          </cell>
          <cell r="L374" t="str">
            <v>Normal</v>
          </cell>
          <cell r="M374" t="str">
            <v>Japan</v>
          </cell>
          <cell r="N374" t="str">
            <v>Animec</v>
          </cell>
          <cell r="O374" t="str">
            <v>Animec AM-301</v>
          </cell>
          <cell r="P374" t="str">
            <v>2013D0258</v>
          </cell>
          <cell r="Q374" t="str">
            <v>Not Applicable</v>
          </cell>
          <cell r="R374" t="str">
            <v>Elltec Co Ltd</v>
          </cell>
          <cell r="S374" t="str">
            <v>IDS Services (Malaysia) Sdn Bhd</v>
          </cell>
          <cell r="T374" t="str">
            <v>Disposed</v>
          </cell>
          <cell r="U374" t="str">
            <v>Asset</v>
          </cell>
          <cell r="V374">
            <v>4990</v>
          </cell>
          <cell r="W374" t="str">
            <v>KEW</v>
          </cell>
          <cell r="X374" t="str">
            <v>01/09/2010</v>
          </cell>
          <cell r="Y374" t="str">
            <v>KEW</v>
          </cell>
          <cell r="Z374" t="str">
            <v>16/08/2013</v>
          </cell>
          <cell r="AA374" t="str">
            <v>15/08/2015</v>
          </cell>
          <cell r="AB374" t="str">
            <v>No</v>
          </cell>
          <cell r="AC374" t="str">
            <v>31/08/2013</v>
          </cell>
          <cell r="AD374" t="str">
            <v>Good</v>
          </cell>
          <cell r="AE374" t="str">
            <v>V4 - Decommissioned Installed Facility</v>
          </cell>
          <cell r="AF374">
            <v>42538</v>
          </cell>
          <cell r="AG374">
            <v>9.17</v>
          </cell>
          <cell r="AH374" t="str">
            <v>PPM</v>
          </cell>
          <cell r="AI374" t="str">
            <v>Not in contract</v>
          </cell>
          <cell r="AJ374" t="str">
            <v>Not in contract</v>
          </cell>
          <cell r="AK374" t="e">
            <v>#N/A</v>
          </cell>
        </row>
        <row r="375">
          <cell r="A375" t="str">
            <v>IKN400479</v>
          </cell>
          <cell r="B375">
            <v>479</v>
          </cell>
          <cell r="C375" t="str">
            <v>Institut Kanser Negara</v>
          </cell>
          <cell r="D375" t="str">
            <v>KKM/IKN/H/13/430</v>
          </cell>
          <cell r="E375" t="str">
            <v>13-215</v>
          </cell>
          <cell r="F375" t="str">
            <v>Infusion Pumps, General-Purpose</v>
          </cell>
          <cell r="G375" t="str">
            <v>WB</v>
          </cell>
          <cell r="H375" t="str">
            <v>SURGICAL ONCO MALE WARD</v>
          </cell>
          <cell r="I375" t="str">
            <v>05WB113</v>
          </cell>
          <cell r="J375" t="str">
            <v>EQUIP. ROOM</v>
          </cell>
          <cell r="K375" t="str">
            <v>BMED</v>
          </cell>
          <cell r="L375" t="str">
            <v>Critical</v>
          </cell>
          <cell r="M375" t="str">
            <v>Germany</v>
          </cell>
          <cell r="N375" t="str">
            <v>Infusomat</v>
          </cell>
          <cell r="O375" t="str">
            <v>Infusomat Space</v>
          </cell>
          <cell r="P375" t="str">
            <v>212025</v>
          </cell>
          <cell r="Q375" t="str">
            <v>Not Applicable</v>
          </cell>
          <cell r="R375" t="str">
            <v>B Braun Melsungen AG</v>
          </cell>
          <cell r="S375" t="str">
            <v>B Braun Medical Supplies Sdn. Bhd.</v>
          </cell>
          <cell r="T375" t="str">
            <v>Functioning</v>
          </cell>
          <cell r="U375" t="str">
            <v>Asset</v>
          </cell>
          <cell r="V375">
            <v>10825</v>
          </cell>
          <cell r="W375" t="str">
            <v>KEW</v>
          </cell>
          <cell r="X375" t="str">
            <v>01/09/2010</v>
          </cell>
          <cell r="Y375" t="str">
            <v>KEW</v>
          </cell>
          <cell r="Z375" t="str">
            <v>16/08/2013</v>
          </cell>
          <cell r="AA375" t="str">
            <v>15/08/2015</v>
          </cell>
          <cell r="AB375" t="str">
            <v>No</v>
          </cell>
          <cell r="AC375" t="str">
            <v>31/08/2013</v>
          </cell>
          <cell r="AD375" t="str">
            <v>Good</v>
          </cell>
          <cell r="AE375" t="str">
            <v>V4 - Decommissioned Installed Facility</v>
          </cell>
          <cell r="AF375">
            <v>42788</v>
          </cell>
          <cell r="AG375">
            <v>9.17</v>
          </cell>
          <cell r="AH375" t="str">
            <v>PPM</v>
          </cell>
          <cell r="AI375" t="str">
            <v>Not in contract</v>
          </cell>
          <cell r="AJ375" t="str">
            <v>Not in contract</v>
          </cell>
          <cell r="AK375" t="str">
            <v>BER. Total damage due to internal leaking. [22/9/2023, SHARIFAH]: PEP ON FEB 2021, BER/BEMS/AWSB/21/001 - Asset mengalami kerosakan pada komponen-komponen utama.</v>
          </cell>
        </row>
        <row r="376">
          <cell r="A376" t="str">
            <v>IKN400505</v>
          </cell>
          <cell r="B376">
            <v>505</v>
          </cell>
          <cell r="C376" t="str">
            <v>Institut Kanser Negara</v>
          </cell>
          <cell r="D376" t="e">
            <v>#N/A</v>
          </cell>
          <cell r="E376" t="str">
            <v>15-045</v>
          </cell>
          <cell r="F376" t="str">
            <v>Nebulizers, Nonheated</v>
          </cell>
          <cell r="G376" t="str">
            <v>PC</v>
          </cell>
          <cell r="H376" t="str">
            <v>PALLIATIVE CARE UNIT</v>
          </cell>
          <cell r="I376" t="str">
            <v>04PC109</v>
          </cell>
          <cell r="J376" t="str">
            <v>GEN. STORE</v>
          </cell>
          <cell r="K376" t="str">
            <v>BMED</v>
          </cell>
          <cell r="L376" t="str">
            <v>Normal</v>
          </cell>
          <cell r="M376" t="str">
            <v>Germany</v>
          </cell>
          <cell r="N376" t="str">
            <v>Pari Boy</v>
          </cell>
          <cell r="O376" t="str">
            <v>Pari Boy SX 085</v>
          </cell>
          <cell r="P376" t="str">
            <v>2W12J05972</v>
          </cell>
          <cell r="Q376" t="str">
            <v>Not Applicable</v>
          </cell>
          <cell r="R376" t="str">
            <v>Pari GmbH</v>
          </cell>
          <cell r="S376" t="str">
            <v>Welch Allyn Malaysia Sdn Bhd</v>
          </cell>
          <cell r="T376" t="str">
            <v>Not Functioning</v>
          </cell>
          <cell r="U376" t="str">
            <v>Asset</v>
          </cell>
          <cell r="V376">
            <v>1140</v>
          </cell>
          <cell r="W376" t="str">
            <v>KEW</v>
          </cell>
          <cell r="X376" t="str">
            <v>01/09/2010</v>
          </cell>
          <cell r="Y376" t="str">
            <v>KEW</v>
          </cell>
          <cell r="Z376" t="str">
            <v>16/08/2013</v>
          </cell>
          <cell r="AA376" t="str">
            <v>15/08/2015</v>
          </cell>
          <cell r="AB376" t="str">
            <v>No</v>
          </cell>
          <cell r="AC376" t="str">
            <v>31/08/2013</v>
          </cell>
          <cell r="AD376" t="str">
            <v>Good</v>
          </cell>
          <cell r="AE376" t="str">
            <v>V4 - Decommissioned Installed Facility</v>
          </cell>
          <cell r="AF376">
            <v>43434</v>
          </cell>
          <cell r="AG376">
            <v>9.17</v>
          </cell>
          <cell r="AH376" t="str">
            <v>PPM</v>
          </cell>
          <cell r="AI376" t="str">
            <v>Not in contract</v>
          </cell>
          <cell r="AJ376" t="str">
            <v>Not in contract</v>
          </cell>
          <cell r="AK376" t="e">
            <v>#N/A</v>
          </cell>
        </row>
        <row r="377">
          <cell r="A377" t="str">
            <v>IKN400507</v>
          </cell>
          <cell r="B377">
            <v>507</v>
          </cell>
          <cell r="C377" t="str">
            <v>Institut Kanser Negara</v>
          </cell>
          <cell r="D377" t="e">
            <v>#N/A</v>
          </cell>
          <cell r="E377" t="str">
            <v>15-045</v>
          </cell>
          <cell r="F377" t="str">
            <v>Nebulizers, Nonheated</v>
          </cell>
          <cell r="G377" t="str">
            <v>PC</v>
          </cell>
          <cell r="H377" t="str">
            <v>PALLIATIVE CARE UNIT</v>
          </cell>
          <cell r="I377" t="str">
            <v>04PC109</v>
          </cell>
          <cell r="J377" t="str">
            <v>GEN. STORE</v>
          </cell>
          <cell r="K377" t="str">
            <v>BMED</v>
          </cell>
          <cell r="L377" t="str">
            <v>Normal</v>
          </cell>
          <cell r="M377" t="str">
            <v>Germany</v>
          </cell>
          <cell r="N377" t="str">
            <v>Pari Boy</v>
          </cell>
          <cell r="O377" t="str">
            <v>Pari Boy SX 085</v>
          </cell>
          <cell r="P377" t="str">
            <v>2W12J05927</v>
          </cell>
          <cell r="Q377" t="str">
            <v>Not Applicable</v>
          </cell>
          <cell r="R377" t="str">
            <v>Pari GmbH</v>
          </cell>
          <cell r="S377" t="str">
            <v>Welch Allyn Malaysia Sdn Bhd</v>
          </cell>
          <cell r="T377" t="str">
            <v>Transferred</v>
          </cell>
          <cell r="U377" t="str">
            <v>Asset</v>
          </cell>
          <cell r="V377">
            <v>1140</v>
          </cell>
          <cell r="W377" t="str">
            <v>KEW</v>
          </cell>
          <cell r="X377" t="str">
            <v>01/09/2010</v>
          </cell>
          <cell r="Y377" t="str">
            <v>KEW</v>
          </cell>
          <cell r="Z377" t="str">
            <v>16/08/2013</v>
          </cell>
          <cell r="AA377" t="str">
            <v>15/08/2015</v>
          </cell>
          <cell r="AB377" t="str">
            <v>No</v>
          </cell>
          <cell r="AC377" t="str">
            <v>31/08/2013</v>
          </cell>
          <cell r="AD377" t="str">
            <v>Good</v>
          </cell>
          <cell r="AE377" t="str">
            <v>V4 - Decommissioned Installed Facility</v>
          </cell>
          <cell r="AF377">
            <v>43367</v>
          </cell>
          <cell r="AG377">
            <v>9.17</v>
          </cell>
          <cell r="AH377" t="str">
            <v>PPM</v>
          </cell>
          <cell r="AI377" t="str">
            <v>Not in contract</v>
          </cell>
          <cell r="AJ377" t="str">
            <v>Not in contract</v>
          </cell>
          <cell r="AK377" t="str">
            <v>Transfer to Alor Setar.</v>
          </cell>
        </row>
        <row r="378">
          <cell r="A378" t="str">
            <v>IKN400508</v>
          </cell>
          <cell r="B378">
            <v>508</v>
          </cell>
          <cell r="C378" t="str">
            <v>Institut Kanser Negara</v>
          </cell>
          <cell r="D378" t="e">
            <v>#N/A</v>
          </cell>
          <cell r="E378" t="str">
            <v>15-045</v>
          </cell>
          <cell r="F378" t="str">
            <v>Nebulizers, Nonheated</v>
          </cell>
          <cell r="G378" t="str">
            <v>PC</v>
          </cell>
          <cell r="H378" t="str">
            <v>PALLIATIVE CARE UNIT</v>
          </cell>
          <cell r="I378" t="str">
            <v>04PC109</v>
          </cell>
          <cell r="J378" t="str">
            <v>GEN. STORE</v>
          </cell>
          <cell r="K378" t="str">
            <v>BMED</v>
          </cell>
          <cell r="L378" t="str">
            <v>Normal</v>
          </cell>
          <cell r="M378" t="str">
            <v>Germany</v>
          </cell>
          <cell r="N378" t="str">
            <v>Pari Boy</v>
          </cell>
          <cell r="O378" t="str">
            <v>Pari Boy SX 085</v>
          </cell>
          <cell r="P378" t="str">
            <v>2W12J05951</v>
          </cell>
          <cell r="Q378" t="str">
            <v>Not Applicable</v>
          </cell>
          <cell r="R378" t="str">
            <v>Pari GmbH</v>
          </cell>
          <cell r="S378" t="str">
            <v>Welch Allyn Malaysia Sdn Bhd</v>
          </cell>
          <cell r="T378" t="str">
            <v>Transferred</v>
          </cell>
          <cell r="U378" t="str">
            <v>Asset</v>
          </cell>
          <cell r="V378">
            <v>1140</v>
          </cell>
          <cell r="W378" t="str">
            <v>KEW</v>
          </cell>
          <cell r="X378" t="str">
            <v>01/09/2010</v>
          </cell>
          <cell r="Y378" t="str">
            <v>KEW</v>
          </cell>
          <cell r="Z378" t="str">
            <v>16/08/2013</v>
          </cell>
          <cell r="AA378" t="str">
            <v>15/08/2015</v>
          </cell>
          <cell r="AB378" t="str">
            <v>No</v>
          </cell>
          <cell r="AC378" t="str">
            <v>31/08/2013</v>
          </cell>
          <cell r="AD378" t="str">
            <v>Good</v>
          </cell>
          <cell r="AE378" t="str">
            <v>V4 - Decommissioned Installed Facility</v>
          </cell>
          <cell r="AF378">
            <v>43367</v>
          </cell>
          <cell r="AG378">
            <v>9.17</v>
          </cell>
          <cell r="AH378" t="str">
            <v>PPM</v>
          </cell>
          <cell r="AI378" t="str">
            <v>Not in contract</v>
          </cell>
          <cell r="AJ378" t="str">
            <v>Not in contract</v>
          </cell>
          <cell r="AK378" t="str">
            <v>Transfer to Alor Setar.</v>
          </cell>
        </row>
        <row r="379">
          <cell r="A379" t="str">
            <v>IKN400510</v>
          </cell>
          <cell r="B379">
            <v>510</v>
          </cell>
          <cell r="C379" t="str">
            <v>Institut Kanser Negara</v>
          </cell>
          <cell r="D379" t="e">
            <v>#N/A</v>
          </cell>
          <cell r="E379" t="str">
            <v>18-092</v>
          </cell>
          <cell r="F379" t="str">
            <v>Drivers, syringe</v>
          </cell>
          <cell r="G379" t="str">
            <v>PC</v>
          </cell>
          <cell r="H379" t="str">
            <v>PALLIATIVE CARE UNIT</v>
          </cell>
          <cell r="I379" t="str">
            <v>04PC109</v>
          </cell>
          <cell r="J379" t="str">
            <v>GEN. STORE</v>
          </cell>
          <cell r="K379" t="str">
            <v>BMED</v>
          </cell>
          <cell r="L379" t="str">
            <v>Normal</v>
          </cell>
          <cell r="M379" t="str">
            <v>UK</v>
          </cell>
          <cell r="N379" t="str">
            <v>Graseby</v>
          </cell>
          <cell r="O379" t="str">
            <v>Graseby MS-26</v>
          </cell>
          <cell r="P379" t="str">
            <v>14014769</v>
          </cell>
          <cell r="Q379" t="str">
            <v>Not Applicable</v>
          </cell>
          <cell r="R379" t="str">
            <v>Graseby Medical Ltd</v>
          </cell>
          <cell r="S379" t="str">
            <v>Primed Medical Services Sdn Bhd</v>
          </cell>
          <cell r="T379" t="str">
            <v>Disposed</v>
          </cell>
          <cell r="U379" t="str">
            <v>Asset</v>
          </cell>
          <cell r="V379">
            <v>3848</v>
          </cell>
          <cell r="W379" t="str">
            <v>KEW</v>
          </cell>
          <cell r="X379" t="str">
            <v>01/09/2010</v>
          </cell>
          <cell r="Y379" t="str">
            <v>KEW</v>
          </cell>
          <cell r="Z379" t="str">
            <v>16/08/2013</v>
          </cell>
          <cell r="AA379" t="str">
            <v>15/08/2015</v>
          </cell>
          <cell r="AB379" t="str">
            <v>No</v>
          </cell>
          <cell r="AC379" t="str">
            <v>31/08/2013</v>
          </cell>
          <cell r="AD379" t="str">
            <v>Good</v>
          </cell>
          <cell r="AE379" t="str">
            <v>V4 - Decommissioned Installed Facility</v>
          </cell>
          <cell r="AF379">
            <v>43243</v>
          </cell>
          <cell r="AG379">
            <v>9.17</v>
          </cell>
          <cell r="AH379" t="str">
            <v>PPM</v>
          </cell>
          <cell r="AI379" t="str">
            <v>Not in contract</v>
          </cell>
          <cell r="AJ379" t="str">
            <v>Not in contract</v>
          </cell>
        </row>
        <row r="380">
          <cell r="A380" t="str">
            <v>IKN400511</v>
          </cell>
          <cell r="B380">
            <v>511</v>
          </cell>
          <cell r="C380" t="str">
            <v>Institut Kanser Negara</v>
          </cell>
          <cell r="D380" t="e">
            <v>#N/A</v>
          </cell>
          <cell r="E380" t="str">
            <v>18-092</v>
          </cell>
          <cell r="F380" t="str">
            <v>Drivers, syringe</v>
          </cell>
          <cell r="G380" t="str">
            <v>PC</v>
          </cell>
          <cell r="H380" t="str">
            <v>PALLIATIVE CARE UNIT</v>
          </cell>
          <cell r="I380" t="str">
            <v>04PC109</v>
          </cell>
          <cell r="J380" t="str">
            <v>GEN. STORE</v>
          </cell>
          <cell r="K380" t="str">
            <v>BMED</v>
          </cell>
          <cell r="L380" t="str">
            <v>Normal</v>
          </cell>
          <cell r="M380" t="str">
            <v>UK</v>
          </cell>
          <cell r="N380" t="str">
            <v>Graseby</v>
          </cell>
          <cell r="O380" t="str">
            <v>Graseby MS-26</v>
          </cell>
          <cell r="P380" t="str">
            <v>14014766</v>
          </cell>
          <cell r="Q380" t="str">
            <v>Not Applicable</v>
          </cell>
          <cell r="R380" t="str">
            <v>Graseby Medical Ltd</v>
          </cell>
          <cell r="S380" t="str">
            <v>Primed Medical Services Sdn Bhd</v>
          </cell>
          <cell r="T380" t="str">
            <v>Disposed</v>
          </cell>
          <cell r="U380" t="str">
            <v>Asset</v>
          </cell>
          <cell r="V380">
            <v>3848</v>
          </cell>
          <cell r="W380" t="str">
            <v>KEW</v>
          </cell>
          <cell r="X380" t="str">
            <v>01/09/2010</v>
          </cell>
          <cell r="Y380" t="str">
            <v>KEW</v>
          </cell>
          <cell r="Z380" t="str">
            <v>16/08/2013</v>
          </cell>
          <cell r="AA380" t="str">
            <v>15/08/2015</v>
          </cell>
          <cell r="AB380" t="str">
            <v>No</v>
          </cell>
          <cell r="AC380" t="str">
            <v>31/08/2013</v>
          </cell>
          <cell r="AD380" t="str">
            <v>Good</v>
          </cell>
          <cell r="AE380" t="str">
            <v>V4 - Decommissioned Installed Facility</v>
          </cell>
          <cell r="AF380">
            <v>43243</v>
          </cell>
          <cell r="AG380">
            <v>9.17</v>
          </cell>
          <cell r="AH380" t="str">
            <v>PPM</v>
          </cell>
          <cell r="AI380" t="str">
            <v>Not in contract</v>
          </cell>
          <cell r="AJ380" t="str">
            <v>Not in contract</v>
          </cell>
        </row>
        <row r="381">
          <cell r="A381" t="str">
            <v>IKN400512</v>
          </cell>
          <cell r="B381">
            <v>512</v>
          </cell>
          <cell r="C381" t="str">
            <v>Institut Kanser Negara</v>
          </cell>
          <cell r="D381" t="e">
            <v>#N/A</v>
          </cell>
          <cell r="E381" t="str">
            <v>18-092</v>
          </cell>
          <cell r="F381" t="str">
            <v>Drivers, syringe</v>
          </cell>
          <cell r="G381" t="str">
            <v>PC</v>
          </cell>
          <cell r="H381" t="str">
            <v>PALLIATIVE CARE UNIT</v>
          </cell>
          <cell r="I381" t="str">
            <v>04PC109</v>
          </cell>
          <cell r="J381" t="str">
            <v>GEN. STORE</v>
          </cell>
          <cell r="K381" t="str">
            <v>BMED</v>
          </cell>
          <cell r="L381" t="str">
            <v>Normal</v>
          </cell>
          <cell r="M381" t="str">
            <v>UK</v>
          </cell>
          <cell r="N381" t="str">
            <v>Graseby</v>
          </cell>
          <cell r="O381" t="str">
            <v>Graseby MS-26</v>
          </cell>
          <cell r="P381" t="str">
            <v>14014785</v>
          </cell>
          <cell r="Q381" t="str">
            <v>Not Applicable</v>
          </cell>
          <cell r="R381" t="str">
            <v>Graseby Medical Ltd</v>
          </cell>
          <cell r="S381" t="str">
            <v>Primed Medical Services Sdn Bhd</v>
          </cell>
          <cell r="T381" t="str">
            <v>Disposed</v>
          </cell>
          <cell r="U381" t="str">
            <v>Asset</v>
          </cell>
          <cell r="V381">
            <v>3848</v>
          </cell>
          <cell r="W381" t="str">
            <v>KEW</v>
          </cell>
          <cell r="X381" t="str">
            <v>01/09/2010</v>
          </cell>
          <cell r="Y381" t="str">
            <v>KEW</v>
          </cell>
          <cell r="Z381" t="str">
            <v>16/08/2013</v>
          </cell>
          <cell r="AA381" t="str">
            <v>15/08/2015</v>
          </cell>
          <cell r="AB381" t="str">
            <v>No</v>
          </cell>
          <cell r="AC381" t="str">
            <v>31/08/2013</v>
          </cell>
          <cell r="AD381" t="str">
            <v>Good</v>
          </cell>
          <cell r="AE381" t="str">
            <v>V4 - Decommissioned Installed Facility</v>
          </cell>
          <cell r="AF381">
            <v>43430</v>
          </cell>
          <cell r="AG381">
            <v>9.17</v>
          </cell>
          <cell r="AH381" t="str">
            <v>PPM</v>
          </cell>
          <cell r="AI381" t="str">
            <v>Not in contract</v>
          </cell>
          <cell r="AJ381" t="str">
            <v>Not in contract</v>
          </cell>
        </row>
        <row r="382">
          <cell r="A382" t="str">
            <v>IKN400513</v>
          </cell>
          <cell r="B382">
            <v>513</v>
          </cell>
          <cell r="C382" t="str">
            <v>Institut Kanser Negara</v>
          </cell>
          <cell r="D382" t="e">
            <v>#N/A</v>
          </cell>
          <cell r="E382" t="str">
            <v>18-092</v>
          </cell>
          <cell r="F382" t="str">
            <v>Drivers, syringe</v>
          </cell>
          <cell r="G382" t="str">
            <v>PC</v>
          </cell>
          <cell r="H382" t="str">
            <v>PALLIATIVE CARE UNIT</v>
          </cell>
          <cell r="I382" t="str">
            <v>04PC109</v>
          </cell>
          <cell r="J382" t="str">
            <v>GEN. STORE</v>
          </cell>
          <cell r="K382" t="str">
            <v>BMED</v>
          </cell>
          <cell r="L382" t="str">
            <v>Normal</v>
          </cell>
          <cell r="M382" t="str">
            <v>UK</v>
          </cell>
          <cell r="N382" t="str">
            <v>Graseby</v>
          </cell>
          <cell r="O382" t="str">
            <v>Graseby MS-26</v>
          </cell>
          <cell r="P382" t="str">
            <v>14014768</v>
          </cell>
          <cell r="Q382" t="str">
            <v>Not Applicable</v>
          </cell>
          <cell r="R382" t="str">
            <v>Graseby Medical Ltd</v>
          </cell>
          <cell r="S382" t="str">
            <v>Primed Medical Services Sdn Bhd</v>
          </cell>
          <cell r="T382" t="str">
            <v>Disposed</v>
          </cell>
          <cell r="U382" t="str">
            <v>Asset</v>
          </cell>
          <cell r="V382">
            <v>3848</v>
          </cell>
          <cell r="W382" t="str">
            <v>KEW</v>
          </cell>
          <cell r="X382" t="str">
            <v>01/09/2010</v>
          </cell>
          <cell r="Y382" t="str">
            <v>KEW</v>
          </cell>
          <cell r="Z382" t="str">
            <v>16/08/2013</v>
          </cell>
          <cell r="AA382" t="str">
            <v>15/08/2015</v>
          </cell>
          <cell r="AB382" t="str">
            <v>No</v>
          </cell>
          <cell r="AC382" t="str">
            <v>31/08/2013</v>
          </cell>
          <cell r="AD382" t="str">
            <v>Good</v>
          </cell>
          <cell r="AE382" t="str">
            <v>V4 - Decommissioned Installed Facility</v>
          </cell>
          <cell r="AF382">
            <v>43243</v>
          </cell>
          <cell r="AG382">
            <v>9.17</v>
          </cell>
          <cell r="AH382" t="str">
            <v>PPM</v>
          </cell>
          <cell r="AI382" t="str">
            <v>Not in contract</v>
          </cell>
          <cell r="AJ382" t="str">
            <v>Not in contract</v>
          </cell>
        </row>
        <row r="383">
          <cell r="A383" t="str">
            <v>IKN400515</v>
          </cell>
          <cell r="B383">
            <v>515</v>
          </cell>
          <cell r="C383" t="str">
            <v>Institut Kanser Negara</v>
          </cell>
          <cell r="D383" t="e">
            <v>#N/A</v>
          </cell>
          <cell r="E383" t="str">
            <v>18-092</v>
          </cell>
          <cell r="F383" t="str">
            <v>Drivers, syringe</v>
          </cell>
          <cell r="G383" t="str">
            <v>PC</v>
          </cell>
          <cell r="H383" t="str">
            <v>PALLIATIVE CARE UNIT</v>
          </cell>
          <cell r="I383" t="str">
            <v>04PC109</v>
          </cell>
          <cell r="J383" t="str">
            <v>GEN. STORE</v>
          </cell>
          <cell r="K383" t="str">
            <v>BMED</v>
          </cell>
          <cell r="L383" t="str">
            <v>Normal</v>
          </cell>
          <cell r="M383" t="str">
            <v>UK</v>
          </cell>
          <cell r="N383" t="str">
            <v>Graseby</v>
          </cell>
          <cell r="O383" t="str">
            <v>Graseby MS-26</v>
          </cell>
          <cell r="P383" t="str">
            <v>14014770</v>
          </cell>
          <cell r="Q383" t="str">
            <v>Not Applicable</v>
          </cell>
          <cell r="R383" t="str">
            <v>Graseby Medical Ltd</v>
          </cell>
          <cell r="S383" t="str">
            <v>Primed Medical Services Sdn Bhd</v>
          </cell>
          <cell r="T383" t="str">
            <v>Disposed</v>
          </cell>
          <cell r="U383" t="str">
            <v>Asset</v>
          </cell>
          <cell r="V383">
            <v>3848</v>
          </cell>
          <cell r="W383" t="str">
            <v>KEW</v>
          </cell>
          <cell r="X383" t="str">
            <v>01/09/2010</v>
          </cell>
          <cell r="Y383" t="str">
            <v>KEW</v>
          </cell>
          <cell r="Z383" t="str">
            <v>16/08/2013</v>
          </cell>
          <cell r="AA383" t="str">
            <v>15/08/2015</v>
          </cell>
          <cell r="AB383" t="str">
            <v>No</v>
          </cell>
          <cell r="AC383" t="str">
            <v>31/08/2013</v>
          </cell>
          <cell r="AD383" t="str">
            <v>Good</v>
          </cell>
          <cell r="AE383" t="str">
            <v>V4 - Decommissioned Installed Facility</v>
          </cell>
          <cell r="AF383">
            <v>43243</v>
          </cell>
          <cell r="AG383">
            <v>9.17</v>
          </cell>
          <cell r="AH383" t="str">
            <v>PPM</v>
          </cell>
          <cell r="AI383" t="str">
            <v>Not in contract</v>
          </cell>
          <cell r="AJ383" t="str">
            <v>Not in contract</v>
          </cell>
        </row>
        <row r="384">
          <cell r="A384" t="str">
            <v>IKN400524</v>
          </cell>
          <cell r="B384">
            <v>524</v>
          </cell>
          <cell r="C384" t="str">
            <v>Institut Kanser Negara</v>
          </cell>
          <cell r="D384" t="e">
            <v>#N/A</v>
          </cell>
          <cell r="E384" t="str">
            <v>16-924</v>
          </cell>
          <cell r="F384" t="str">
            <v>Infusion Pumps, Patient-Controlled Analgesic</v>
          </cell>
          <cell r="G384" t="str">
            <v>PC</v>
          </cell>
          <cell r="H384" t="str">
            <v>PALLIATIVE CARE UNIT</v>
          </cell>
          <cell r="I384" t="str">
            <v>04PC109</v>
          </cell>
          <cell r="J384" t="str">
            <v>GEN. STORE</v>
          </cell>
          <cell r="K384" t="str">
            <v>BMED</v>
          </cell>
          <cell r="L384" t="str">
            <v>Critical</v>
          </cell>
          <cell r="M384" t="str">
            <v>Germany</v>
          </cell>
          <cell r="N384" t="str">
            <v>Perfusor</v>
          </cell>
          <cell r="O384" t="str">
            <v>Perfusor Space PCA</v>
          </cell>
          <cell r="P384" t="str">
            <v>186597</v>
          </cell>
          <cell r="Q384" t="str">
            <v>Not Applicable</v>
          </cell>
          <cell r="R384" t="str">
            <v>B Braun Melsungen AG</v>
          </cell>
          <cell r="S384" t="str">
            <v>B Braun Medical Supplies Sdn. Bhd.</v>
          </cell>
          <cell r="T384" t="str">
            <v>Transferred</v>
          </cell>
          <cell r="U384" t="str">
            <v>Asset</v>
          </cell>
          <cell r="V384">
            <v>16840</v>
          </cell>
          <cell r="W384" t="str">
            <v>KEW</v>
          </cell>
          <cell r="X384" t="str">
            <v>01/09/2010</v>
          </cell>
          <cell r="Y384" t="str">
            <v>KEW</v>
          </cell>
          <cell r="Z384" t="str">
            <v>16/08/2013</v>
          </cell>
          <cell r="AA384" t="str">
            <v>15/08/2015</v>
          </cell>
          <cell r="AB384" t="str">
            <v>No</v>
          </cell>
          <cell r="AC384" t="str">
            <v>31/08/2013</v>
          </cell>
          <cell r="AD384" t="str">
            <v>Good</v>
          </cell>
          <cell r="AE384" t="str">
            <v>V4 - Decommissioned Installed Facility</v>
          </cell>
          <cell r="AF384">
            <v>43367</v>
          </cell>
          <cell r="AG384">
            <v>9.17</v>
          </cell>
          <cell r="AH384" t="str">
            <v>PPM</v>
          </cell>
          <cell r="AI384" t="str">
            <v>Not in contract</v>
          </cell>
          <cell r="AJ384" t="str">
            <v>Not in contract</v>
          </cell>
          <cell r="AK384" t="str">
            <v>Transfer to Alor Setar.</v>
          </cell>
        </row>
        <row r="385">
          <cell r="A385" t="str">
            <v>IKN400526</v>
          </cell>
          <cell r="B385">
            <v>526</v>
          </cell>
          <cell r="C385" t="str">
            <v>Institut Kanser Negara</v>
          </cell>
          <cell r="D385" t="e">
            <v>#N/A</v>
          </cell>
          <cell r="E385" t="str">
            <v>16-924</v>
          </cell>
          <cell r="F385" t="str">
            <v>Infusion Pumps, Patient-Controlled Analgesic</v>
          </cell>
          <cell r="G385" t="str">
            <v>PC</v>
          </cell>
          <cell r="H385" t="str">
            <v>PALLIATIVE CARE UNIT</v>
          </cell>
          <cell r="I385" t="str">
            <v>04PC109</v>
          </cell>
          <cell r="J385" t="str">
            <v>GEN. STORE</v>
          </cell>
          <cell r="K385" t="str">
            <v>BMED</v>
          </cell>
          <cell r="L385" t="str">
            <v>Critical</v>
          </cell>
          <cell r="M385" t="str">
            <v>Germany</v>
          </cell>
          <cell r="N385" t="str">
            <v>Perfusor</v>
          </cell>
          <cell r="O385" t="str">
            <v>Perfusor Space PCA</v>
          </cell>
          <cell r="P385" t="str">
            <v>187812</v>
          </cell>
          <cell r="Q385" t="str">
            <v>Not Applicable</v>
          </cell>
          <cell r="R385" t="str">
            <v>B Braun Melsungen AG</v>
          </cell>
          <cell r="S385" t="str">
            <v>B Braun Medical Supplies Sdn. Bhd.</v>
          </cell>
          <cell r="T385" t="str">
            <v>Transferred</v>
          </cell>
          <cell r="U385" t="str">
            <v>Asset</v>
          </cell>
          <cell r="V385">
            <v>16840</v>
          </cell>
          <cell r="W385" t="str">
            <v>KEW</v>
          </cell>
          <cell r="X385" t="str">
            <v>01/09/2010</v>
          </cell>
          <cell r="Y385" t="str">
            <v>KEW</v>
          </cell>
          <cell r="Z385" t="str">
            <v>16/08/2013</v>
          </cell>
          <cell r="AA385" t="str">
            <v>15/08/2015</v>
          </cell>
          <cell r="AB385" t="str">
            <v>No</v>
          </cell>
          <cell r="AC385" t="str">
            <v>31/08/2013</v>
          </cell>
          <cell r="AD385" t="str">
            <v>Good</v>
          </cell>
          <cell r="AE385" t="str">
            <v>V4 - Decommissioned Installed Facility</v>
          </cell>
          <cell r="AF385">
            <v>43367</v>
          </cell>
          <cell r="AG385">
            <v>9.17</v>
          </cell>
          <cell r="AH385" t="str">
            <v>PPM</v>
          </cell>
          <cell r="AI385" t="str">
            <v>Not in contract</v>
          </cell>
          <cell r="AJ385" t="str">
            <v>Not in contract</v>
          </cell>
          <cell r="AK385" t="str">
            <v>Transfer to Alor Setar.</v>
          </cell>
        </row>
        <row r="386">
          <cell r="A386" t="str">
            <v>IKN400531</v>
          </cell>
          <cell r="B386">
            <v>531</v>
          </cell>
          <cell r="C386" t="str">
            <v>Institut Kanser Negara</v>
          </cell>
          <cell r="D386" t="e">
            <v>#N/A</v>
          </cell>
          <cell r="E386" t="str">
            <v>13-775</v>
          </cell>
          <cell r="F386" t="str">
            <v>Stimulators, Electrical, Neuromuscular</v>
          </cell>
          <cell r="G386" t="str">
            <v>PC</v>
          </cell>
          <cell r="H386" t="str">
            <v>PALLIATIVE CARE UNIT</v>
          </cell>
          <cell r="I386" t="str">
            <v>04PC109</v>
          </cell>
          <cell r="J386" t="str">
            <v>GEN. STORE</v>
          </cell>
          <cell r="K386" t="str">
            <v>BMED</v>
          </cell>
          <cell r="L386" t="str">
            <v>Normal</v>
          </cell>
          <cell r="M386" t="str">
            <v>Denmark</v>
          </cell>
          <cell r="N386" t="str">
            <v>Danmeter</v>
          </cell>
          <cell r="O386" t="str">
            <v>Elpha II 3000</v>
          </cell>
          <cell r="P386" t="str">
            <v>2013080056</v>
          </cell>
          <cell r="Q386" t="str">
            <v>Not Applicable</v>
          </cell>
          <cell r="R386" t="str">
            <v>Danmeter AS</v>
          </cell>
          <cell r="S386" t="str">
            <v>Maycare (M) Sdn. Bhd.</v>
          </cell>
          <cell r="T386" t="str">
            <v>Transferred</v>
          </cell>
          <cell r="U386" t="str">
            <v>Asset</v>
          </cell>
          <cell r="V386">
            <v>420</v>
          </cell>
          <cell r="W386" t="str">
            <v>KEW</v>
          </cell>
          <cell r="X386" t="str">
            <v>01/09/2010</v>
          </cell>
          <cell r="Y386" t="str">
            <v>KEW</v>
          </cell>
          <cell r="Z386" t="str">
            <v>16/08/2013</v>
          </cell>
          <cell r="AA386" t="str">
            <v>15/08/2015</v>
          </cell>
          <cell r="AB386" t="str">
            <v>No</v>
          </cell>
          <cell r="AC386" t="str">
            <v>31/08/2013</v>
          </cell>
          <cell r="AD386" t="str">
            <v>Good</v>
          </cell>
          <cell r="AE386" t="str">
            <v>V1 - Existing / No Claim</v>
          </cell>
          <cell r="AF386">
            <v>42235</v>
          </cell>
          <cell r="AG386">
            <v>9.17</v>
          </cell>
          <cell r="AH386" t="str">
            <v>PPM</v>
          </cell>
          <cell r="AI386" t="str">
            <v>Not in contract</v>
          </cell>
          <cell r="AJ386" t="str">
            <v>Not in contract</v>
          </cell>
          <cell r="AK386" t="str">
            <v>ASSET TRANSFER TO HOSP. SULTANAH BAHIYAH, KEDAH.</v>
          </cell>
        </row>
        <row r="387">
          <cell r="A387" t="str">
            <v>IKN400532</v>
          </cell>
          <cell r="B387">
            <v>532</v>
          </cell>
          <cell r="C387" t="str">
            <v>Institut Kanser Negara</v>
          </cell>
          <cell r="D387" t="e">
            <v>#N/A</v>
          </cell>
          <cell r="E387" t="str">
            <v>13-775</v>
          </cell>
          <cell r="F387" t="str">
            <v>Stimulators, Electrical, Neuromuscular</v>
          </cell>
          <cell r="G387" t="str">
            <v>PC</v>
          </cell>
          <cell r="H387" t="str">
            <v>PALLIATIVE CARE UNIT</v>
          </cell>
          <cell r="I387" t="str">
            <v>04PC109</v>
          </cell>
          <cell r="J387" t="str">
            <v>GEN. STORE</v>
          </cell>
          <cell r="K387" t="str">
            <v>BMED</v>
          </cell>
          <cell r="L387" t="str">
            <v>Normal</v>
          </cell>
          <cell r="M387" t="str">
            <v>Denmark</v>
          </cell>
          <cell r="N387" t="str">
            <v>Danmeter</v>
          </cell>
          <cell r="O387" t="str">
            <v>Elpha II 3000</v>
          </cell>
          <cell r="P387" t="str">
            <v>2013080057</v>
          </cell>
          <cell r="Q387" t="str">
            <v>Not Applicable</v>
          </cell>
          <cell r="R387" t="str">
            <v>Danmeter AS</v>
          </cell>
          <cell r="S387" t="str">
            <v>Maycare (M) Sdn. Bhd.</v>
          </cell>
          <cell r="T387" t="str">
            <v>Transferred</v>
          </cell>
          <cell r="U387" t="str">
            <v>Asset</v>
          </cell>
          <cell r="V387">
            <v>420</v>
          </cell>
          <cell r="W387" t="str">
            <v>KEW</v>
          </cell>
          <cell r="X387" t="str">
            <v>01/09/2010</v>
          </cell>
          <cell r="Y387" t="str">
            <v>KEW</v>
          </cell>
          <cell r="Z387" t="str">
            <v>16/08/2013</v>
          </cell>
          <cell r="AA387" t="str">
            <v>15/08/2015</v>
          </cell>
          <cell r="AB387" t="str">
            <v>No</v>
          </cell>
          <cell r="AC387" t="str">
            <v>31/08/2013</v>
          </cell>
          <cell r="AD387" t="str">
            <v>Good</v>
          </cell>
          <cell r="AE387" t="str">
            <v>V4 - Decommissioned Installed Facility</v>
          </cell>
          <cell r="AF387">
            <v>43367</v>
          </cell>
          <cell r="AG387">
            <v>9.17</v>
          </cell>
          <cell r="AH387" t="str">
            <v>PPM</v>
          </cell>
          <cell r="AI387" t="str">
            <v>Not in contract</v>
          </cell>
          <cell r="AJ387" t="str">
            <v>Not in contract</v>
          </cell>
          <cell r="AK387" t="str">
            <v>Transfer to Alor Setar.</v>
          </cell>
        </row>
        <row r="388">
          <cell r="A388" t="str">
            <v>IKN400540</v>
          </cell>
          <cell r="B388">
            <v>540</v>
          </cell>
          <cell r="C388" t="str">
            <v>Institut Kanser Negara</v>
          </cell>
          <cell r="D388" t="str">
            <v>KKM/IKN/H/13/2476</v>
          </cell>
          <cell r="E388" t="str">
            <v>12-660</v>
          </cell>
          <cell r="F388" t="str">
            <v>Radiation Monitors</v>
          </cell>
          <cell r="G388" t="str">
            <v>WA</v>
          </cell>
          <cell r="H388" t="str">
            <v>NUCLEAR MED WARD (THERAPY)</v>
          </cell>
          <cell r="I388" t="str">
            <v>03WA117</v>
          </cell>
          <cell r="J388" t="str">
            <v>N/S 1</v>
          </cell>
          <cell r="K388" t="str">
            <v>BMED</v>
          </cell>
          <cell r="L388" t="str">
            <v>Normal</v>
          </cell>
          <cell r="M388" t="str">
            <v>Germany</v>
          </cell>
          <cell r="N388" t="str">
            <v>CoMo</v>
          </cell>
          <cell r="O388" t="str">
            <v>CoMo 170</v>
          </cell>
          <cell r="P388" t="str">
            <v>5068DL</v>
          </cell>
          <cell r="Q388" t="str">
            <v>Not Applicable</v>
          </cell>
          <cell r="R388" t="str">
            <v>MED Nuklear-Medizintechnik Dresden GmbH</v>
          </cell>
          <cell r="S388" t="str">
            <v/>
          </cell>
          <cell r="T388" t="str">
            <v>Functioning</v>
          </cell>
          <cell r="U388" t="str">
            <v>Asset</v>
          </cell>
          <cell r="V388">
            <v>23270</v>
          </cell>
          <cell r="W388" t="str">
            <v>KEW</v>
          </cell>
          <cell r="X388" t="str">
            <v>01/09/2010</v>
          </cell>
          <cell r="Y388" t="str">
            <v>KEW</v>
          </cell>
          <cell r="Z388" t="str">
            <v>16/08/2013</v>
          </cell>
          <cell r="AA388" t="str">
            <v>15/08/2015</v>
          </cell>
          <cell r="AB388" t="str">
            <v>No</v>
          </cell>
          <cell r="AC388" t="str">
            <v>31/08/2013</v>
          </cell>
          <cell r="AD388" t="str">
            <v>Good</v>
          </cell>
          <cell r="AE388" t="str">
            <v>V4 - Decommissioned Installed Facility</v>
          </cell>
          <cell r="AF388">
            <v>42235</v>
          </cell>
          <cell r="AG388">
            <v>9.17</v>
          </cell>
          <cell r="AH388" t="str">
            <v>PPM</v>
          </cell>
          <cell r="AI388" t="str">
            <v>Strands</v>
          </cell>
          <cell r="AJ388" t="str">
            <v>Strands PW. Proposed for V4 P2.23</v>
          </cell>
          <cell r="AK388" t="str">
            <v>[ZARINA]: PEP ON 1/3/2023, BER/BEMS/IKN/23/004 - Aset mengalami kerosakan pada litar utama dan kabel.</v>
          </cell>
        </row>
        <row r="389">
          <cell r="A389" t="str">
            <v>IKN400554</v>
          </cell>
          <cell r="B389">
            <v>554</v>
          </cell>
          <cell r="C389" t="str">
            <v>Institut Kanser Negara</v>
          </cell>
          <cell r="D389" t="str">
            <v>KKM/IKN/H/13/5430-01</v>
          </cell>
          <cell r="E389" t="str">
            <v>17-882</v>
          </cell>
          <cell r="F389" t="str">
            <v>Defibrillator/Pacemakers, External</v>
          </cell>
          <cell r="G389" t="str">
            <v>NM</v>
          </cell>
          <cell r="H389" t="str">
            <v>NUCLEAR MED (DIAGNOSTIC)</v>
          </cell>
          <cell r="I389" t="str">
            <v>03NM161</v>
          </cell>
          <cell r="J389" t="str">
            <v>GAMMA CAMERA 1 (-VE)</v>
          </cell>
          <cell r="K389" t="str">
            <v>BMED</v>
          </cell>
          <cell r="L389" t="str">
            <v>Critical</v>
          </cell>
          <cell r="M389" t="str">
            <v>Germany</v>
          </cell>
          <cell r="N389" t="str">
            <v>HeartStart</v>
          </cell>
          <cell r="O389" t="str">
            <v>HeartStart XL+</v>
          </cell>
          <cell r="P389" t="str">
            <v>US91202396</v>
          </cell>
          <cell r="Q389" t="str">
            <v>Not Applicable</v>
          </cell>
          <cell r="R389" t="str">
            <v>Philips Medical System</v>
          </cell>
          <cell r="S389" t="str">
            <v>Advance Altimas Sdn Bhd</v>
          </cell>
          <cell r="T389" t="str">
            <v>Functioning</v>
          </cell>
          <cell r="U389" t="str">
            <v>Asset</v>
          </cell>
          <cell r="V389">
            <v>37000</v>
          </cell>
          <cell r="W389" t="str">
            <v>Estimate</v>
          </cell>
          <cell r="X389" t="str">
            <v>01/09/2010</v>
          </cell>
          <cell r="Y389" t="str">
            <v>KEW</v>
          </cell>
          <cell r="Z389" t="str">
            <v>16/08/2013</v>
          </cell>
          <cell r="AA389" t="str">
            <v>15/08/2015</v>
          </cell>
          <cell r="AB389" t="str">
            <v>No</v>
          </cell>
          <cell r="AC389" t="str">
            <v>31/08/2013</v>
          </cell>
          <cell r="AD389" t="str">
            <v>Good</v>
          </cell>
          <cell r="AE389" t="str">
            <v>V1 - Existing / No Claim</v>
          </cell>
          <cell r="AF389">
            <v>42601</v>
          </cell>
          <cell r="AG389">
            <v>9.17</v>
          </cell>
          <cell r="AH389" t="str">
            <v>PPM</v>
          </cell>
          <cell r="AI389" t="str">
            <v>Strands</v>
          </cell>
          <cell r="AJ389" t="str">
            <v>Strands Package. Proposed for V4 P2.23</v>
          </cell>
          <cell r="AK389" t="str">
            <v>Package Code XK0001A. [7/11/2023]: KKM no lama: KKM/IKN/H/13/3106, Update cost ikut KEWPA</v>
          </cell>
        </row>
        <row r="390">
          <cell r="A390" t="str">
            <v>IKN400555</v>
          </cell>
          <cell r="B390">
            <v>555</v>
          </cell>
          <cell r="C390" t="str">
            <v>Institut Kanser Negara</v>
          </cell>
          <cell r="D390" t="str">
            <v>KKM/IKN/H/13/5435</v>
          </cell>
          <cell r="E390" t="str">
            <v>12-647</v>
          </cell>
          <cell r="F390" t="str">
            <v>Physiologic Monitoring Systems, Acute Care</v>
          </cell>
          <cell r="G390" t="str">
            <v>NM</v>
          </cell>
          <cell r="H390" t="str">
            <v>NUCLEAR MED (DIAGNOSTIC)</v>
          </cell>
          <cell r="I390" t="str">
            <v>03NM161</v>
          </cell>
          <cell r="J390" t="str">
            <v>GAMMA CAMERA 1 (-VE)</v>
          </cell>
          <cell r="K390" t="str">
            <v>BMED</v>
          </cell>
          <cell r="L390" t="str">
            <v>Critical</v>
          </cell>
          <cell r="M390" t="str">
            <v>USA</v>
          </cell>
          <cell r="N390" t="str">
            <v>Cardiac Trigger</v>
          </cell>
          <cell r="O390" t="str">
            <v>Cardiac Trigger Monitor 3000</v>
          </cell>
          <cell r="P390" t="str">
            <v>12060289</v>
          </cell>
          <cell r="Q390" t="str">
            <v>Not Applicable</v>
          </cell>
          <cell r="R390" t="str">
            <v>Ivy Biomedical Systems Inc</v>
          </cell>
          <cell r="S390" t="str">
            <v>Advance Altimas Sdn Bhd</v>
          </cell>
          <cell r="T390" t="str">
            <v>Functioning</v>
          </cell>
          <cell r="U390" t="str">
            <v>Asset</v>
          </cell>
          <cell r="V390">
            <v>20000</v>
          </cell>
          <cell r="W390" t="str">
            <v>Estimate</v>
          </cell>
          <cell r="X390" t="str">
            <v>01/09/2010</v>
          </cell>
          <cell r="Y390" t="str">
            <v>KEW</v>
          </cell>
          <cell r="Z390" t="str">
            <v>16/08/2013</v>
          </cell>
          <cell r="AA390" t="str">
            <v>15/08/2015</v>
          </cell>
          <cell r="AB390" t="str">
            <v>No</v>
          </cell>
          <cell r="AC390" t="str">
            <v>31/08/2013</v>
          </cell>
          <cell r="AD390" t="str">
            <v>Good</v>
          </cell>
          <cell r="AE390" t="str">
            <v>V4 - Decommissioned Installed Facility</v>
          </cell>
          <cell r="AF390">
            <v>42601</v>
          </cell>
          <cell r="AG390">
            <v>9.17</v>
          </cell>
          <cell r="AH390" t="str">
            <v>PPM</v>
          </cell>
          <cell r="AI390" t="str">
            <v>Strands</v>
          </cell>
          <cell r="AJ390" t="str">
            <v>Strands Package. Proposed for V4 P2.23</v>
          </cell>
          <cell r="AK390" t="str">
            <v>Package Code XK0001A [22/9/2023, SHARIFAH]: PEP ON NOV 2020, BER/BEMS/AWSB/20/006 - Asset masih boleh digunakan namun asset tidak ekonomik diperbaiki lagi sekiranya rosak. SNF V4 received on 8/11/2023. [26/1/2024]: PEP JAN 2024, BER/BEMS/AWSB/20/006 - Penggunaan hendaklah dihentikan.</v>
          </cell>
        </row>
        <row r="391">
          <cell r="A391" t="str">
            <v>IKN400566</v>
          </cell>
          <cell r="B391">
            <v>566</v>
          </cell>
          <cell r="C391" t="str">
            <v>Institut Kanser Negara</v>
          </cell>
          <cell r="D391" t="str">
            <v>KKM/IKN/H/13/5430</v>
          </cell>
          <cell r="E391" t="str">
            <v>15-944</v>
          </cell>
          <cell r="F391" t="str">
            <v>Cameras, Gamma</v>
          </cell>
          <cell r="G391" t="str">
            <v>NM</v>
          </cell>
          <cell r="H391" t="str">
            <v>NUCLEAR MED (DIAGNOSTIC)</v>
          </cell>
          <cell r="I391" t="str">
            <v>03NM161</v>
          </cell>
          <cell r="J391" t="str">
            <v>GAMMA CAMERA 1 (-VE)</v>
          </cell>
          <cell r="K391" t="str">
            <v>BMED</v>
          </cell>
          <cell r="L391" t="str">
            <v>Normal</v>
          </cell>
          <cell r="M391" t="str">
            <v>The Netherlands</v>
          </cell>
          <cell r="N391" t="str">
            <v>Brightview</v>
          </cell>
          <cell r="O391" t="str">
            <v>Brightview XCT</v>
          </cell>
          <cell r="P391" t="str">
            <v>60000315</v>
          </cell>
          <cell r="Q391" t="str">
            <v>Not Applicable</v>
          </cell>
          <cell r="R391" t="str">
            <v>Philips Medical Systems</v>
          </cell>
          <cell r="S391" t="str">
            <v>Advance Altimas Sdn Bhd</v>
          </cell>
          <cell r="T391" t="str">
            <v>Not Functioning</v>
          </cell>
          <cell r="U391" t="str">
            <v>Asset</v>
          </cell>
          <cell r="V391">
            <v>3071300</v>
          </cell>
          <cell r="W391" t="str">
            <v>KEW</v>
          </cell>
          <cell r="X391" t="str">
            <v>01/09/2010</v>
          </cell>
          <cell r="Y391" t="str">
            <v>KEW</v>
          </cell>
          <cell r="Z391" t="str">
            <v>16/08/2013</v>
          </cell>
          <cell r="AA391" t="str">
            <v>15/08/2015</v>
          </cell>
          <cell r="AB391" t="str">
            <v>No</v>
          </cell>
          <cell r="AC391" t="str">
            <v>31/08/2013</v>
          </cell>
          <cell r="AD391" t="str">
            <v>Good</v>
          </cell>
          <cell r="AE391" t="str">
            <v>V1 - Existing / No Claim</v>
          </cell>
          <cell r="AF391">
            <v>42235</v>
          </cell>
          <cell r="AG391">
            <v>9.17</v>
          </cell>
          <cell r="AH391" t="str">
            <v>PPM</v>
          </cell>
          <cell r="AI391" t="str">
            <v>Strands</v>
          </cell>
          <cell r="AJ391" t="str">
            <v>Strands Package. Proposed for V4 P2.23</v>
          </cell>
          <cell r="AK391" t="str">
            <v>Package Code XK0001A. [SHARIFAH, 16/10/2023]: PEP ON 21/7/2022. BER/BEMS/IKN/22/003 - Aset tidak ekonomik digunakan lagi. Penggunaannya mestilah dihentikan. KEWPA lama: KKM/IKN/H/13/3797. SNF V4 received on 8/11/2023.</v>
          </cell>
        </row>
        <row r="392">
          <cell r="A392" t="str">
            <v>IKN400597</v>
          </cell>
          <cell r="B392">
            <v>597</v>
          </cell>
          <cell r="C392" t="str">
            <v>Institut Kanser Negara</v>
          </cell>
          <cell r="D392" t="e">
            <v>#N/A</v>
          </cell>
          <cell r="E392" t="str">
            <v>10-447</v>
          </cell>
          <cell r="F392" t="str">
            <v>Warming Units, Blood/Solution</v>
          </cell>
          <cell r="G392" t="str">
            <v>DO</v>
          </cell>
          <cell r="H392" t="str">
            <v>DAY ONCOLOGY UNIT</v>
          </cell>
          <cell r="I392" t="str">
            <v>04DO111</v>
          </cell>
          <cell r="J392" t="str">
            <v>EQUIP. ROOM</v>
          </cell>
          <cell r="K392" t="str">
            <v>BMED</v>
          </cell>
          <cell r="L392" t="str">
            <v>Normal</v>
          </cell>
          <cell r="M392" t="str">
            <v>Japan</v>
          </cell>
          <cell r="N392" t="str">
            <v>Animec</v>
          </cell>
          <cell r="O392" t="str">
            <v>Animec AM-301</v>
          </cell>
          <cell r="P392" t="str">
            <v>2013D0244</v>
          </cell>
          <cell r="Q392" t="str">
            <v>Not Applicable</v>
          </cell>
          <cell r="R392" t="str">
            <v>Elltec Co Ltd</v>
          </cell>
          <cell r="S392" t="str">
            <v>IDS Services (Malaysia) Sdn Bhd</v>
          </cell>
          <cell r="T392" t="str">
            <v>Disposed</v>
          </cell>
          <cell r="U392" t="str">
            <v>Asset</v>
          </cell>
          <cell r="V392">
            <v>4990</v>
          </cell>
          <cell r="W392" t="str">
            <v>KEW</v>
          </cell>
          <cell r="X392" t="str">
            <v>01/09/2010</v>
          </cell>
          <cell r="Y392" t="str">
            <v>KEW</v>
          </cell>
          <cell r="Z392" t="str">
            <v>16/08/2013</v>
          </cell>
          <cell r="AA392" t="str">
            <v>15/08/2015</v>
          </cell>
          <cell r="AB392" t="str">
            <v>No</v>
          </cell>
          <cell r="AC392" t="str">
            <v>31/08/2013</v>
          </cell>
          <cell r="AD392" t="str">
            <v>Good</v>
          </cell>
          <cell r="AE392" t="str">
            <v>V4 - Decommissioned Installed Facility</v>
          </cell>
          <cell r="AF392">
            <v>42733</v>
          </cell>
          <cell r="AG392">
            <v>9.17</v>
          </cell>
          <cell r="AH392" t="str">
            <v>PPM</v>
          </cell>
          <cell r="AI392" t="str">
            <v>Not in contract</v>
          </cell>
          <cell r="AJ392" t="str">
            <v>Not in contract</v>
          </cell>
          <cell r="AK392" t="e">
            <v>#N/A</v>
          </cell>
        </row>
        <row r="393">
          <cell r="A393" t="str">
            <v>IKN400669</v>
          </cell>
          <cell r="B393">
            <v>669</v>
          </cell>
          <cell r="C393" t="str">
            <v>Institut Kanser Negara</v>
          </cell>
          <cell r="E393" t="str">
            <v>13-763</v>
          </cell>
          <cell r="F393" t="str">
            <v>Stimulators, Electrical, Peripheral Nerve, Acupuncture</v>
          </cell>
          <cell r="G393" t="str">
            <v>TC</v>
          </cell>
          <cell r="H393" t="str">
            <v>TRADITIONAL COMPLEMENTARY MEDICINE</v>
          </cell>
          <cell r="I393" t="str">
            <v>04TC127</v>
          </cell>
          <cell r="J393" t="str">
            <v>C/E</v>
          </cell>
          <cell r="K393" t="str">
            <v>BMED</v>
          </cell>
          <cell r="L393" t="str">
            <v>Normal</v>
          </cell>
          <cell r="M393" t="str">
            <v>China</v>
          </cell>
          <cell r="N393" t="str">
            <v>Shantou</v>
          </cell>
          <cell r="O393" t="str">
            <v>Shantou Itpg-6805-D</v>
          </cell>
          <cell r="P393" t="str">
            <v>AD1206104</v>
          </cell>
          <cell r="Q393" t="str">
            <v>Not Applicable</v>
          </cell>
          <cell r="R393" t="str">
            <v>Shantou Medical</v>
          </cell>
          <cell r="S393" t="str">
            <v>ITP Academy Malaysia</v>
          </cell>
          <cell r="T393" t="str">
            <v>Disposed</v>
          </cell>
          <cell r="U393" t="str">
            <v>Asset</v>
          </cell>
          <cell r="V393">
            <v>10725</v>
          </cell>
          <cell r="W393" t="str">
            <v>KEW</v>
          </cell>
          <cell r="X393" t="str">
            <v>01/09/2010</v>
          </cell>
          <cell r="Y393" t="str">
            <v>KEW</v>
          </cell>
          <cell r="Z393" t="str">
            <v>16/08/2013</v>
          </cell>
          <cell r="AA393" t="str">
            <v>15/08/2015</v>
          </cell>
          <cell r="AB393" t="str">
            <v>No</v>
          </cell>
          <cell r="AC393" t="str">
            <v>31/08/2013</v>
          </cell>
          <cell r="AD393" t="str">
            <v>Request for Exemption</v>
          </cell>
          <cell r="AE393" t="str">
            <v>V4 - Decommissioned Installed Facility</v>
          </cell>
          <cell r="AF393">
            <v>42857</v>
          </cell>
          <cell r="AG393">
            <v>9.17</v>
          </cell>
          <cell r="AH393" t="str">
            <v>PPM</v>
          </cell>
          <cell r="AI393" t="str">
            <v>Not in contract</v>
          </cell>
          <cell r="AJ393" t="str">
            <v>Not in contract</v>
          </cell>
          <cell r="AK393" t="e">
            <v>#N/A</v>
          </cell>
        </row>
        <row r="394">
          <cell r="A394" t="str">
            <v>IKN400672</v>
          </cell>
          <cell r="B394">
            <v>672</v>
          </cell>
          <cell r="C394" t="str">
            <v>Institut Kanser Negara</v>
          </cell>
          <cell r="E394" t="str">
            <v>13-763</v>
          </cell>
          <cell r="F394" t="str">
            <v>Stimulators, Electrical, Peripheral Nerve, Acupuncture</v>
          </cell>
          <cell r="G394" t="str">
            <v>TC</v>
          </cell>
          <cell r="H394" t="str">
            <v>TRADITIONAL COMPLEMENTARY MEDICINE</v>
          </cell>
          <cell r="I394" t="str">
            <v>04TC129</v>
          </cell>
          <cell r="J394" t="str">
            <v>TREATMENT 2 (ACCUPUNCTURE)</v>
          </cell>
          <cell r="K394" t="str">
            <v>BMED</v>
          </cell>
          <cell r="L394" t="str">
            <v>Normal</v>
          </cell>
          <cell r="M394" t="str">
            <v>China</v>
          </cell>
          <cell r="N394" t="str">
            <v>Shantou</v>
          </cell>
          <cell r="O394" t="str">
            <v>Shantou Itpg-6805-D</v>
          </cell>
          <cell r="P394" t="str">
            <v>AD1206109</v>
          </cell>
          <cell r="Q394" t="str">
            <v>Not Applicable</v>
          </cell>
          <cell r="R394" t="str">
            <v>Shantou Medical</v>
          </cell>
          <cell r="S394" t="str">
            <v>ITP Academy Malaysia</v>
          </cell>
          <cell r="T394" t="str">
            <v>Disposed</v>
          </cell>
          <cell r="U394" t="str">
            <v>Asset</v>
          </cell>
          <cell r="V394">
            <v>10725</v>
          </cell>
          <cell r="W394" t="str">
            <v>KEW</v>
          </cell>
          <cell r="X394" t="str">
            <v>01/09/2010</v>
          </cell>
          <cell r="Y394" t="str">
            <v>KEW</v>
          </cell>
          <cell r="Z394" t="str">
            <v>16/08/2013</v>
          </cell>
          <cell r="AA394" t="str">
            <v>15/08/2015</v>
          </cell>
          <cell r="AB394" t="str">
            <v>No</v>
          </cell>
          <cell r="AC394" t="str">
            <v>31/08/2013</v>
          </cell>
          <cell r="AD394" t="str">
            <v>Good</v>
          </cell>
          <cell r="AE394" t="str">
            <v>V4 - Decommissioned Installed Facility</v>
          </cell>
          <cell r="AF394">
            <v>42733</v>
          </cell>
          <cell r="AG394">
            <v>9.17</v>
          </cell>
          <cell r="AH394" t="str">
            <v>PPM</v>
          </cell>
          <cell r="AI394" t="str">
            <v>Not in contract</v>
          </cell>
          <cell r="AJ394" t="str">
            <v>Not in contract</v>
          </cell>
          <cell r="AK394" t="e">
            <v>#N/A</v>
          </cell>
        </row>
        <row r="395">
          <cell r="A395" t="str">
            <v>IKN400673</v>
          </cell>
          <cell r="B395">
            <v>673</v>
          </cell>
          <cell r="C395" t="str">
            <v>Institut Kanser Negara</v>
          </cell>
          <cell r="D395" t="str">
            <v>KKM/IKN/H/13/1202</v>
          </cell>
          <cell r="E395" t="str">
            <v>12-278</v>
          </cell>
          <cell r="F395" t="str">
            <v>Lights, Infrared</v>
          </cell>
          <cell r="G395" t="str">
            <v>TC</v>
          </cell>
          <cell r="H395" t="str">
            <v>TRADITIONAL COMPLEMENTARY MEDICINE</v>
          </cell>
          <cell r="I395" t="str">
            <v>04TC108</v>
          </cell>
          <cell r="J395" t="str">
            <v>TREATMENT 3 (MOXISBUSTION</v>
          </cell>
          <cell r="K395" t="str">
            <v>BMED</v>
          </cell>
          <cell r="L395" t="str">
            <v>Normal</v>
          </cell>
          <cell r="M395" t="str">
            <v>China</v>
          </cell>
          <cell r="N395" t="str">
            <v>Chongqing</v>
          </cell>
          <cell r="O395" t="str">
            <v>Chongqing Itp-Xf29-Tdp</v>
          </cell>
          <cell r="P395" t="str">
            <v>12110072</v>
          </cell>
          <cell r="Q395" t="str">
            <v>Not Applicable</v>
          </cell>
          <cell r="R395" t="str">
            <v>Chongqing Xinfeng Me</v>
          </cell>
          <cell r="S395" t="str">
            <v>ITP Academy Malaysia</v>
          </cell>
          <cell r="T395" t="str">
            <v>Functioning</v>
          </cell>
          <cell r="U395" t="str">
            <v>Asset</v>
          </cell>
          <cell r="V395">
            <v>1410</v>
          </cell>
          <cell r="W395" t="str">
            <v>KEW</v>
          </cell>
          <cell r="X395" t="str">
            <v>01/09/2010</v>
          </cell>
          <cell r="Y395" t="str">
            <v>KEW</v>
          </cell>
          <cell r="Z395" t="str">
            <v>16/08/2013</v>
          </cell>
          <cell r="AA395" t="str">
            <v>15/08/2015</v>
          </cell>
          <cell r="AB395" t="str">
            <v>No</v>
          </cell>
          <cell r="AC395" t="str">
            <v>31/08/2013</v>
          </cell>
          <cell r="AD395" t="str">
            <v>Good</v>
          </cell>
          <cell r="AE395" t="str">
            <v>V1 - Existing / No Claim</v>
          </cell>
          <cell r="AF395">
            <v>42794</v>
          </cell>
          <cell r="AG395">
            <v>9.17</v>
          </cell>
          <cell r="AH395" t="str">
            <v>PPM</v>
          </cell>
          <cell r="AI395" t="str">
            <v>Strands</v>
          </cell>
          <cell r="AJ395" t="str">
            <v>Strands PW</v>
          </cell>
          <cell r="AK395" t="str">
            <v>[INDIRA, 17/10/2023]: Update KKM No. [27/12/2023, SHARIFAH]: PEP ON 22/12/2023, BER/BEMS/IKN/23/024 - Aset mengalami kerosakan pada komponen heater, mineral plate telah berkarat dan penggunaanya hendaklah dihentikan.</v>
          </cell>
        </row>
        <row r="396">
          <cell r="A396" t="str">
            <v>IKN400675</v>
          </cell>
          <cell r="B396">
            <v>675</v>
          </cell>
          <cell r="C396" t="str">
            <v>Institut Kanser Negara</v>
          </cell>
          <cell r="D396" t="str">
            <v>KKM/IKN/H/13/1204 (OLD) KKM/IKN/R/13/621-NEW</v>
          </cell>
          <cell r="E396" t="str">
            <v>12-278</v>
          </cell>
          <cell r="F396" t="str">
            <v>Lights, Infrared</v>
          </cell>
          <cell r="G396" t="str">
            <v>TC</v>
          </cell>
          <cell r="H396" t="str">
            <v>TRADITIONAL COMPLEMENTARY MEDICINE</v>
          </cell>
          <cell r="I396" t="str">
            <v>04TC129</v>
          </cell>
          <cell r="J396" t="str">
            <v>TREATMENT 2 (ACCUPUNCTURE)</v>
          </cell>
          <cell r="K396" t="str">
            <v>BMED</v>
          </cell>
          <cell r="L396" t="str">
            <v>Normal</v>
          </cell>
          <cell r="M396" t="str">
            <v>China</v>
          </cell>
          <cell r="N396" t="str">
            <v>Chongqing</v>
          </cell>
          <cell r="O396" t="str">
            <v>Chongqing Itp-Xf29-Tdp</v>
          </cell>
          <cell r="P396" t="str">
            <v>12110068</v>
          </cell>
          <cell r="Q396" t="str">
            <v>Not Applicable</v>
          </cell>
          <cell r="R396" t="str">
            <v>Chongqing Xinfeng Me</v>
          </cell>
          <cell r="S396" t="str">
            <v>ITP Academy Malaysia</v>
          </cell>
          <cell r="T396" t="str">
            <v>Functioning</v>
          </cell>
          <cell r="U396" t="str">
            <v>Asset</v>
          </cell>
          <cell r="V396">
            <v>1410</v>
          </cell>
          <cell r="W396" t="str">
            <v>KEW</v>
          </cell>
          <cell r="X396" t="str">
            <v>01/09/2010</v>
          </cell>
          <cell r="Y396" t="str">
            <v>KEW</v>
          </cell>
          <cell r="Z396" t="str">
            <v>16/08/2013</v>
          </cell>
          <cell r="AA396" t="str">
            <v>15/08/2015</v>
          </cell>
          <cell r="AB396" t="str">
            <v>No</v>
          </cell>
          <cell r="AC396" t="str">
            <v>31/08/2013</v>
          </cell>
          <cell r="AD396" t="str">
            <v>Good</v>
          </cell>
          <cell r="AE396" t="str">
            <v>V1 - Existing / No Claim</v>
          </cell>
          <cell r="AF396">
            <v>42794</v>
          </cell>
          <cell r="AG396">
            <v>9.17</v>
          </cell>
          <cell r="AH396" t="str">
            <v>PPM</v>
          </cell>
          <cell r="AI396" t="str">
            <v>Strands</v>
          </cell>
          <cell r="AJ396" t="str">
            <v>Strands PW. Proposed for V4 P2.23</v>
          </cell>
          <cell r="AK396" t="str">
            <v>[ZARINA]: PEP ON 1/3/2023, BER/BEMS/IKN/23/006 (KKM/IKN/H/13/1204) - Aset mengalami kerosakan pada komponen power cord dan mineral heating plate. [INDIRA, 17/10/2023]: Update KKM No.</v>
          </cell>
        </row>
        <row r="397">
          <cell r="A397" t="str">
            <v>IKN400676</v>
          </cell>
          <cell r="B397">
            <v>676</v>
          </cell>
          <cell r="C397" t="str">
            <v>Institut Kanser Negara</v>
          </cell>
          <cell r="D397" t="str">
            <v>KKM/IKN/H/13/1205</v>
          </cell>
          <cell r="E397" t="str">
            <v>12-278</v>
          </cell>
          <cell r="F397" t="str">
            <v>Lights, Infrared</v>
          </cell>
          <cell r="G397" t="str">
            <v>TC</v>
          </cell>
          <cell r="H397" t="str">
            <v>TRADITIONAL COMPLEMENTARY MEDICINE</v>
          </cell>
          <cell r="I397" t="str">
            <v>04TC129</v>
          </cell>
          <cell r="J397" t="str">
            <v>TREATMENT 2 (ACCUPUNCTURE)</v>
          </cell>
          <cell r="K397" t="str">
            <v>BMED</v>
          </cell>
          <cell r="L397" t="str">
            <v>Normal</v>
          </cell>
          <cell r="M397" t="str">
            <v>China</v>
          </cell>
          <cell r="N397" t="str">
            <v>Chongqing</v>
          </cell>
          <cell r="O397" t="str">
            <v>Chongqing Itp-Xf29-Tdp</v>
          </cell>
          <cell r="P397" t="str">
            <v>12110075</v>
          </cell>
          <cell r="Q397" t="str">
            <v>Not Applicable</v>
          </cell>
          <cell r="R397" t="str">
            <v>Chongqing Xinfeng Me</v>
          </cell>
          <cell r="S397" t="str">
            <v>ITP Academy Malaysia</v>
          </cell>
          <cell r="T397" t="str">
            <v>Functioning</v>
          </cell>
          <cell r="U397" t="str">
            <v>Asset</v>
          </cell>
          <cell r="V397">
            <v>1410</v>
          </cell>
          <cell r="W397" t="str">
            <v>KEW</v>
          </cell>
          <cell r="X397" t="str">
            <v>01/09/2010</v>
          </cell>
          <cell r="Y397" t="str">
            <v>KEW</v>
          </cell>
          <cell r="Z397" t="str">
            <v>16/08/2013</v>
          </cell>
          <cell r="AA397" t="str">
            <v>15/08/2015</v>
          </cell>
          <cell r="AB397" t="str">
            <v>No</v>
          </cell>
          <cell r="AC397" t="str">
            <v>31/08/2013</v>
          </cell>
          <cell r="AD397" t="str">
            <v>Good</v>
          </cell>
          <cell r="AE397" t="str">
            <v>V1 - Existing / No Claim</v>
          </cell>
          <cell r="AF397">
            <v>42794</v>
          </cell>
          <cell r="AG397">
            <v>9.17</v>
          </cell>
          <cell r="AH397" t="str">
            <v>PPM</v>
          </cell>
          <cell r="AI397" t="str">
            <v>Strands</v>
          </cell>
          <cell r="AJ397" t="str">
            <v>Strands PW</v>
          </cell>
          <cell r="AK397" t="str">
            <v>[INDIRA, 17/10/2023]: Update KKM No. [27/12/2023, SHARIFAH]: PEP ON 22/12/2023, BER/BEMS/IKN/23/025 - Komponen aset telah longgar, chasis retak dan mineral plat berkarat dan penggunaanya hendaklah dihentikan.</v>
          </cell>
        </row>
        <row r="398">
          <cell r="A398" t="str">
            <v>IKN400683</v>
          </cell>
          <cell r="B398">
            <v>683</v>
          </cell>
          <cell r="C398" t="str">
            <v>Institut Kanser Negara</v>
          </cell>
          <cell r="E398" t="str">
            <v>13-763</v>
          </cell>
          <cell r="F398" t="str">
            <v>Stimulators, Electrical, Peripheral Nerve, Acupuncture</v>
          </cell>
          <cell r="G398" t="str">
            <v>TC</v>
          </cell>
          <cell r="H398" t="str">
            <v>TRADITIONAL COMPLEMENTARY MEDICINE</v>
          </cell>
          <cell r="I398" t="str">
            <v>04TC119</v>
          </cell>
          <cell r="J398" t="str">
            <v>GEN.STORE</v>
          </cell>
          <cell r="K398" t="str">
            <v>BMED</v>
          </cell>
          <cell r="L398" t="str">
            <v>Normal</v>
          </cell>
          <cell r="M398" t="str">
            <v>China</v>
          </cell>
          <cell r="N398" t="str">
            <v>Shantou</v>
          </cell>
          <cell r="O398" t="str">
            <v>Shantou Itpg-6805-D</v>
          </cell>
          <cell r="P398" t="str">
            <v>AD1206102</v>
          </cell>
          <cell r="Q398" t="str">
            <v>Not Applicable</v>
          </cell>
          <cell r="R398" t="str">
            <v>Shantou Medical</v>
          </cell>
          <cell r="S398" t="str">
            <v>ITP Academy Malaysia</v>
          </cell>
          <cell r="T398" t="str">
            <v>Disposed</v>
          </cell>
          <cell r="U398" t="str">
            <v>Asset</v>
          </cell>
          <cell r="V398">
            <v>10725</v>
          </cell>
          <cell r="W398" t="str">
            <v>KEW</v>
          </cell>
          <cell r="X398" t="str">
            <v>01/09/2010</v>
          </cell>
          <cell r="Y398" t="str">
            <v>KEW</v>
          </cell>
          <cell r="Z398" t="str">
            <v>16/08/2013</v>
          </cell>
          <cell r="AA398" t="str">
            <v>15/08/2015</v>
          </cell>
          <cell r="AB398" t="str">
            <v>No</v>
          </cell>
          <cell r="AC398" t="str">
            <v>31/08/2013</v>
          </cell>
          <cell r="AD398" t="str">
            <v>Good</v>
          </cell>
          <cell r="AE398" t="str">
            <v>V4 - Decommissioned Installed Facility</v>
          </cell>
          <cell r="AF398">
            <v>42733</v>
          </cell>
          <cell r="AG398">
            <v>9.17</v>
          </cell>
          <cell r="AH398" t="str">
            <v>PPM</v>
          </cell>
          <cell r="AI398" t="str">
            <v>Not in contract</v>
          </cell>
          <cell r="AJ398" t="str">
            <v>Not in contract</v>
          </cell>
          <cell r="AK398" t="e">
            <v>#N/A</v>
          </cell>
        </row>
        <row r="399">
          <cell r="A399" t="str">
            <v>IKN400699</v>
          </cell>
          <cell r="B399">
            <v>699</v>
          </cell>
          <cell r="C399" t="str">
            <v>Institut Kanser Negara</v>
          </cell>
          <cell r="D399" t="str">
            <v>KKM/IKN/H/13/1422</v>
          </cell>
          <cell r="E399" t="str">
            <v>16-953</v>
          </cell>
          <cell r="F399" t="str">
            <v>Analgesia Units, Inhalation</v>
          </cell>
          <cell r="G399" t="str">
            <v>PY</v>
          </cell>
          <cell r="H399" t="str">
            <v>PHYSIOTHERAPY</v>
          </cell>
          <cell r="I399" t="str">
            <v>04PY130</v>
          </cell>
          <cell r="J399" t="str">
            <v>RESPIRATORY</v>
          </cell>
          <cell r="K399" t="str">
            <v>BMED</v>
          </cell>
          <cell r="L399" t="str">
            <v>Normal</v>
          </cell>
          <cell r="M399" t="str">
            <v>Germany</v>
          </cell>
          <cell r="N399" t="str">
            <v>Foggy</v>
          </cell>
          <cell r="O399" t="str">
            <v>Foggy Jet, 192-0000</v>
          </cell>
          <cell r="P399" t="str">
            <v>350-0912-1696</v>
          </cell>
          <cell r="Q399" t="str">
            <v>Not Applicable</v>
          </cell>
          <cell r="R399" t="str">
            <v>Heyer Medical AG</v>
          </cell>
          <cell r="S399" t="str">
            <v>Maycare (M) Sdn. Bhd.</v>
          </cell>
          <cell r="T399" t="str">
            <v>Functioning</v>
          </cell>
          <cell r="U399" t="str">
            <v>Asset</v>
          </cell>
          <cell r="V399">
            <v>96230</v>
          </cell>
          <cell r="W399" t="str">
            <v>KEW</v>
          </cell>
          <cell r="X399" t="str">
            <v>01/09/2010</v>
          </cell>
          <cell r="Y399" t="str">
            <v>KEW</v>
          </cell>
          <cell r="Z399" t="str">
            <v>16/08/2013</v>
          </cell>
          <cell r="AA399" t="str">
            <v>15/08/2015</v>
          </cell>
          <cell r="AB399" t="str">
            <v>No</v>
          </cell>
          <cell r="AC399" t="str">
            <v>31/08/2013</v>
          </cell>
          <cell r="AD399" t="str">
            <v>Good</v>
          </cell>
          <cell r="AE399" t="str">
            <v>V1 - Existing / No Claim</v>
          </cell>
          <cell r="AF399">
            <v>42802</v>
          </cell>
          <cell r="AG399">
            <v>9.17</v>
          </cell>
          <cell r="AH399" t="str">
            <v>RI</v>
          </cell>
          <cell r="AI399" t="str">
            <v>Strands</v>
          </cell>
          <cell r="AJ399" t="str">
            <v>Strands PW</v>
          </cell>
          <cell r="AK399" t="str">
            <v>PEP 23/7/2024</v>
          </cell>
        </row>
        <row r="400">
          <cell r="A400" t="str">
            <v>IKN400728</v>
          </cell>
          <cell r="B400">
            <v>728</v>
          </cell>
          <cell r="C400" t="str">
            <v>Institut Kanser Negara</v>
          </cell>
          <cell r="D400" t="str">
            <v>KKM/IKN/H/13/1903</v>
          </cell>
          <cell r="E400" t="str">
            <v>17-440</v>
          </cell>
          <cell r="F400" t="str">
            <v>Microscopes, Light, Laboratory, Inverted Stage</v>
          </cell>
          <cell r="G400" t="str">
            <v>LA</v>
          </cell>
          <cell r="H400" t="str">
            <v>PATHOLOGY</v>
          </cell>
          <cell r="I400" t="str">
            <v>04LA125</v>
          </cell>
          <cell r="J400" t="str">
            <v>OFFICE/RECORDS</v>
          </cell>
          <cell r="K400" t="str">
            <v>BMED</v>
          </cell>
          <cell r="L400" t="str">
            <v>Normal</v>
          </cell>
          <cell r="M400" t="str">
            <v>Japan</v>
          </cell>
          <cell r="N400" t="str">
            <v>Olympus</v>
          </cell>
          <cell r="O400" t="str">
            <v>Olympus BX 43</v>
          </cell>
          <cell r="P400" t="str">
            <v>2J49403</v>
          </cell>
          <cell r="Q400" t="str">
            <v>Not Applicable</v>
          </cell>
          <cell r="R400" t="str">
            <v>Olympus Corp</v>
          </cell>
          <cell r="S400" t="str">
            <v>Matrix Optics (M) Sdn Bhd</v>
          </cell>
          <cell r="T400" t="str">
            <v>Functioning</v>
          </cell>
          <cell r="U400" t="str">
            <v>Asset</v>
          </cell>
          <cell r="V400">
            <v>19380</v>
          </cell>
          <cell r="W400" t="str">
            <v>KEW</v>
          </cell>
          <cell r="X400" t="str">
            <v>01/09/2010</v>
          </cell>
          <cell r="Y400" t="str">
            <v>KEW</v>
          </cell>
          <cell r="Z400" t="str">
            <v>16/08/2013</v>
          </cell>
          <cell r="AA400" t="str">
            <v>15/08/2015</v>
          </cell>
          <cell r="AB400" t="str">
            <v>No</v>
          </cell>
          <cell r="AC400" t="str">
            <v>31/08/2013</v>
          </cell>
          <cell r="AD400" t="str">
            <v>Good</v>
          </cell>
          <cell r="AE400" t="str">
            <v>V5 - Transfer to other Hospitals/Healthcare Facility</v>
          </cell>
          <cell r="AF400">
            <v>42235</v>
          </cell>
          <cell r="AG400">
            <v>9.17</v>
          </cell>
          <cell r="AH400" t="str">
            <v>PPM</v>
          </cell>
          <cell r="AI400" t="str">
            <v>Not in contract</v>
          </cell>
          <cell r="AJ400" t="str">
            <v>Not in contract</v>
          </cell>
          <cell r="AK400" t="str">
            <v>SNF received on 28.5.2021. Under Strands previously. Transferred to Hospital Serdang.</v>
          </cell>
        </row>
        <row r="401">
          <cell r="A401" t="str">
            <v>IKN400729</v>
          </cell>
          <cell r="B401">
            <v>729</v>
          </cell>
          <cell r="C401" t="str">
            <v>Institut Kanser Negara</v>
          </cell>
          <cell r="D401" t="e">
            <v>#N/A</v>
          </cell>
          <cell r="E401" t="str">
            <v>17-440</v>
          </cell>
          <cell r="F401" t="str">
            <v>Microscopes, Light, Laboratory, Inverted Stage</v>
          </cell>
          <cell r="G401" t="str">
            <v>LA</v>
          </cell>
          <cell r="H401" t="str">
            <v>PATHOLOGY</v>
          </cell>
          <cell r="I401" t="str">
            <v>04LA125</v>
          </cell>
          <cell r="J401" t="str">
            <v>OFFICE/RECORDS</v>
          </cell>
          <cell r="K401" t="str">
            <v>BMED</v>
          </cell>
          <cell r="L401" t="str">
            <v>Normal</v>
          </cell>
          <cell r="M401" t="str">
            <v>Japan</v>
          </cell>
          <cell r="N401" t="str">
            <v>Olympus</v>
          </cell>
          <cell r="O401" t="str">
            <v>Olympus BX 43</v>
          </cell>
          <cell r="P401" t="str">
            <v>2J48395</v>
          </cell>
          <cell r="Q401" t="str">
            <v>Not Applicable</v>
          </cell>
          <cell r="R401" t="str">
            <v>Olympus Corp</v>
          </cell>
          <cell r="S401" t="str">
            <v>Matrix Optics (M) Sdn Bhd</v>
          </cell>
          <cell r="T401" t="str">
            <v>Disposed</v>
          </cell>
          <cell r="U401" t="str">
            <v>Asset</v>
          </cell>
          <cell r="V401">
            <v>19380</v>
          </cell>
          <cell r="W401" t="str">
            <v>KEW</v>
          </cell>
          <cell r="X401" t="str">
            <v>01/09/2010</v>
          </cell>
          <cell r="Y401" t="str">
            <v>KEW</v>
          </cell>
          <cell r="Z401" t="str">
            <v>16/08/2013</v>
          </cell>
          <cell r="AA401" t="str">
            <v>15/08/2015</v>
          </cell>
          <cell r="AB401" t="str">
            <v>No</v>
          </cell>
          <cell r="AC401" t="str">
            <v>31/08/2013</v>
          </cell>
          <cell r="AD401" t="str">
            <v>Request for Exemption</v>
          </cell>
          <cell r="AE401" t="str">
            <v>V4 - Decommissioned Installed Facility</v>
          </cell>
          <cell r="AF401">
            <v>42538</v>
          </cell>
          <cell r="AG401">
            <v>9.17</v>
          </cell>
          <cell r="AH401" t="str">
            <v>PPM</v>
          </cell>
          <cell r="AI401" t="str">
            <v>Not in contract</v>
          </cell>
          <cell r="AJ401" t="str">
            <v>Not in contract</v>
          </cell>
          <cell r="AK401" t="e">
            <v>#N/A</v>
          </cell>
        </row>
        <row r="402">
          <cell r="A402" t="str">
            <v>IKN400730</v>
          </cell>
          <cell r="B402">
            <v>730</v>
          </cell>
          <cell r="C402" t="str">
            <v>Institut Kanser Negara</v>
          </cell>
          <cell r="D402" t="e">
            <v>#N/A</v>
          </cell>
          <cell r="E402" t="str">
            <v>17-440</v>
          </cell>
          <cell r="F402" t="str">
            <v>Microscopes, Light, Laboratory, Inverted Stage</v>
          </cell>
          <cell r="G402" t="str">
            <v>LA</v>
          </cell>
          <cell r="H402" t="str">
            <v>PATHOLOGY</v>
          </cell>
          <cell r="I402" t="str">
            <v>04LA125</v>
          </cell>
          <cell r="J402" t="str">
            <v>OFFICE/RECORDS</v>
          </cell>
          <cell r="K402" t="str">
            <v>BMED</v>
          </cell>
          <cell r="L402" t="str">
            <v>Normal</v>
          </cell>
          <cell r="M402" t="str">
            <v>Japan</v>
          </cell>
          <cell r="N402" t="str">
            <v>Olympus</v>
          </cell>
          <cell r="O402" t="str">
            <v>Olympus BX 43</v>
          </cell>
          <cell r="P402" t="str">
            <v>2J49081</v>
          </cell>
          <cell r="Q402" t="str">
            <v>Not Applicable</v>
          </cell>
          <cell r="R402" t="str">
            <v>Olympus Corp</v>
          </cell>
          <cell r="S402" t="str">
            <v>Matrix Optics (M) Sdn Bhd</v>
          </cell>
          <cell r="T402" t="str">
            <v>Not In Use</v>
          </cell>
          <cell r="U402" t="str">
            <v>Asset</v>
          </cell>
          <cell r="V402">
            <v>19380</v>
          </cell>
          <cell r="W402" t="str">
            <v>KEW</v>
          </cell>
          <cell r="X402" t="str">
            <v>01/09/2010</v>
          </cell>
          <cell r="Y402" t="str">
            <v>KEW</v>
          </cell>
          <cell r="Z402" t="str">
            <v>16/08/2013</v>
          </cell>
          <cell r="AA402" t="str">
            <v>15/08/2015</v>
          </cell>
          <cell r="AB402" t="str">
            <v>No</v>
          </cell>
          <cell r="AC402" t="str">
            <v>31/08/2013</v>
          </cell>
          <cell r="AD402" t="str">
            <v>Good</v>
          </cell>
          <cell r="AE402" t="str">
            <v>V4 - Decommissioned Installed Facility</v>
          </cell>
          <cell r="AF402">
            <v>42951</v>
          </cell>
          <cell r="AG402">
            <v>9.17</v>
          </cell>
          <cell r="AH402" t="str">
            <v>PPM</v>
          </cell>
          <cell r="AI402" t="str">
            <v>Not in contract</v>
          </cell>
          <cell r="AJ402" t="str">
            <v>Not in contract</v>
          </cell>
          <cell r="AK402" t="e">
            <v>#N/A</v>
          </cell>
        </row>
        <row r="403">
          <cell r="A403" t="str">
            <v>IKN400731</v>
          </cell>
          <cell r="B403">
            <v>731</v>
          </cell>
          <cell r="C403" t="str">
            <v>Institut Kanser Negara</v>
          </cell>
          <cell r="D403" t="str">
            <v>KKM/IKN/H/13/4688</v>
          </cell>
          <cell r="E403" t="str">
            <v>15-709</v>
          </cell>
          <cell r="F403" t="str">
            <v>Analyzers, Laboratory, Blood Gas/pH</v>
          </cell>
          <cell r="G403" t="str">
            <v>LA</v>
          </cell>
          <cell r="H403" t="str">
            <v>PATHOLOGY</v>
          </cell>
          <cell r="I403" t="str">
            <v>04LA126</v>
          </cell>
          <cell r="J403" t="str">
            <v>MICROBIOLOGY UNIT</v>
          </cell>
          <cell r="K403" t="str">
            <v>BMED</v>
          </cell>
          <cell r="L403" t="str">
            <v>Critical</v>
          </cell>
          <cell r="M403" t="str">
            <v>Denmark</v>
          </cell>
          <cell r="N403" t="str">
            <v>Radiometer</v>
          </cell>
          <cell r="O403" t="str">
            <v>Radiometer ABL 80</v>
          </cell>
          <cell r="P403" t="str">
            <v>306028</v>
          </cell>
          <cell r="Q403" t="str">
            <v>Not Applicable</v>
          </cell>
          <cell r="R403" t="str">
            <v>Radiometer Medical ApS</v>
          </cell>
          <cell r="S403" t="str">
            <v>Metrojendela</v>
          </cell>
          <cell r="T403" t="str">
            <v>Functioning</v>
          </cell>
          <cell r="U403" t="str">
            <v>Asset</v>
          </cell>
          <cell r="V403">
            <v>76980</v>
          </cell>
          <cell r="W403" t="str">
            <v>KEW</v>
          </cell>
          <cell r="X403" t="str">
            <v>01/09/2010</v>
          </cell>
          <cell r="Y403" t="str">
            <v>KEW</v>
          </cell>
          <cell r="Z403" t="str">
            <v>16/08/2013</v>
          </cell>
          <cell r="AA403" t="str">
            <v>15/08/2015</v>
          </cell>
          <cell r="AB403" t="str">
            <v>No</v>
          </cell>
          <cell r="AC403" t="str">
            <v>31/08/2013</v>
          </cell>
          <cell r="AD403" t="str">
            <v>Good</v>
          </cell>
          <cell r="AE403" t="str">
            <v>V1 - Existing / No Claim</v>
          </cell>
          <cell r="AF403">
            <v>42790</v>
          </cell>
          <cell r="AG403">
            <v>9.17</v>
          </cell>
          <cell r="AH403" t="str">
            <v>PPM</v>
          </cell>
          <cell r="AI403" t="str">
            <v>Strands</v>
          </cell>
          <cell r="AJ403" t="str">
            <v>Strands Package</v>
          </cell>
          <cell r="AK403" t="str">
            <v>Package Code LC0005. [29/2/2024, SHARIFAH]: PEP ON 18/1/2024; BER/BEMS/IKN/23/029- TIADA BEKALAN REAGENTS/CONSUMABLE/SUPPLY. PENGGUNAAN DIHENTIKAN.</v>
          </cell>
        </row>
        <row r="404">
          <cell r="A404" t="str">
            <v>IKN400738</v>
          </cell>
          <cell r="B404">
            <v>738</v>
          </cell>
          <cell r="C404" t="str">
            <v>Institut Kanser Negara</v>
          </cell>
          <cell r="D404" t="str">
            <v>KKM/IKN/H/13/1848</v>
          </cell>
          <cell r="E404" t="str">
            <v>16-861</v>
          </cell>
          <cell r="F404" t="str">
            <v>Baths, Water, Laboratory</v>
          </cell>
          <cell r="G404" t="str">
            <v>LA</v>
          </cell>
          <cell r="H404" t="str">
            <v>PATHOLOGY</v>
          </cell>
          <cell r="I404" t="str">
            <v>04LA126</v>
          </cell>
          <cell r="J404" t="str">
            <v>MICROBIOLOGY UNIT</v>
          </cell>
          <cell r="K404" t="str">
            <v>BMED</v>
          </cell>
          <cell r="L404" t="str">
            <v>Normal</v>
          </cell>
          <cell r="M404" t="str">
            <v>Germany</v>
          </cell>
          <cell r="N404" t="str">
            <v>Memmert</v>
          </cell>
          <cell r="O404" t="str">
            <v>Memmert WNB14</v>
          </cell>
          <cell r="P404" t="str">
            <v>L412.0342</v>
          </cell>
          <cell r="Q404" t="str">
            <v>Not Applicable</v>
          </cell>
          <cell r="R404" t="str">
            <v>Memmert GmbH</v>
          </cell>
          <cell r="S404" t="str">
            <v>Saujana Saintifik Sdn Bhd</v>
          </cell>
          <cell r="T404" t="str">
            <v>Functioning</v>
          </cell>
          <cell r="U404" t="str">
            <v>Asset</v>
          </cell>
          <cell r="V404">
            <v>4210</v>
          </cell>
          <cell r="W404" t="str">
            <v>KEW</v>
          </cell>
          <cell r="X404" t="str">
            <v>01/09/2010</v>
          </cell>
          <cell r="Y404" t="str">
            <v>KEW</v>
          </cell>
          <cell r="Z404" t="str">
            <v>16/08/2013</v>
          </cell>
          <cell r="AA404" t="str">
            <v>15/08/2015</v>
          </cell>
          <cell r="AB404" t="str">
            <v>No</v>
          </cell>
          <cell r="AC404" t="str">
            <v>31/08/2013</v>
          </cell>
          <cell r="AD404" t="str">
            <v>Good</v>
          </cell>
          <cell r="AE404" t="str">
            <v>V5 - Transfer to other Hospitals/Healthcare Facility</v>
          </cell>
          <cell r="AF404" t="str">
            <v>24/2/2017 - 1/12/2022</v>
          </cell>
          <cell r="AG404">
            <v>9.17</v>
          </cell>
          <cell r="AH404" t="str">
            <v>PPM</v>
          </cell>
          <cell r="AI404" t="str">
            <v>Strands</v>
          </cell>
          <cell r="AJ404" t="str">
            <v>Strands (V4 P1.23.)</v>
          </cell>
          <cell r="AK404" t="str">
            <v>SNF received on 26.4.2022. Transfer to Hospital Putrajaya [18/9/2023, Sharifah]: V4 P1.23.</v>
          </cell>
        </row>
        <row r="405">
          <cell r="A405" t="str">
            <v>IKN400740</v>
          </cell>
          <cell r="B405">
            <v>740</v>
          </cell>
          <cell r="C405" t="str">
            <v>Institut Kanser Negara</v>
          </cell>
          <cell r="D405" t="str">
            <v>KKM/IKN/H/13/1864</v>
          </cell>
          <cell r="E405" t="str">
            <v>18-630</v>
          </cell>
          <cell r="F405" t="str">
            <v>Analyzers, Laboratory, Microbiology, Blood Culture, Mycobacteria</v>
          </cell>
          <cell r="G405" t="str">
            <v>LA</v>
          </cell>
          <cell r="H405" t="str">
            <v>PATHOLOGY</v>
          </cell>
          <cell r="I405" t="str">
            <v>04LA126</v>
          </cell>
          <cell r="J405" t="str">
            <v>MICROBIOLOGY UNIT</v>
          </cell>
          <cell r="K405" t="str">
            <v>BMED</v>
          </cell>
          <cell r="L405" t="str">
            <v>Normal</v>
          </cell>
          <cell r="M405" t="str">
            <v>USA</v>
          </cell>
          <cell r="N405" t="str">
            <v>Becton</v>
          </cell>
          <cell r="O405" t="str">
            <v>Becton Phoenix 100</v>
          </cell>
          <cell r="P405" t="str">
            <v>PX1747</v>
          </cell>
          <cell r="Q405" t="str">
            <v>Not Applicable</v>
          </cell>
          <cell r="R405" t="str">
            <v>Becton Dickinson &amp; Co</v>
          </cell>
          <cell r="S405" t="str">
            <v>Biomarketing Services (M) Sdn Bhd</v>
          </cell>
          <cell r="T405" t="str">
            <v>Functioning</v>
          </cell>
          <cell r="U405" t="str">
            <v>Asset</v>
          </cell>
          <cell r="V405">
            <v>342820</v>
          </cell>
          <cell r="W405" t="str">
            <v>KEW</v>
          </cell>
          <cell r="X405" t="str">
            <v>01/09/2010</v>
          </cell>
          <cell r="Y405" t="str">
            <v>KEW</v>
          </cell>
          <cell r="Z405" t="str">
            <v>16/08/2013</v>
          </cell>
          <cell r="AA405" t="str">
            <v>15/08/2015</v>
          </cell>
          <cell r="AB405" t="str">
            <v>No</v>
          </cell>
          <cell r="AC405" t="str">
            <v>31/08/2013</v>
          </cell>
          <cell r="AD405" t="str">
            <v>Good</v>
          </cell>
          <cell r="AE405" t="str">
            <v>V1 - Existing / No Claim</v>
          </cell>
          <cell r="AF405">
            <v>42790</v>
          </cell>
          <cell r="AG405">
            <v>9.17</v>
          </cell>
          <cell r="AH405" t="str">
            <v>PPM</v>
          </cell>
          <cell r="AI405" t="str">
            <v>Strands</v>
          </cell>
          <cell r="AJ405" t="str">
            <v>Strands Package</v>
          </cell>
          <cell r="AK405" t="str">
            <v>Package Code LR0016</v>
          </cell>
        </row>
        <row r="406">
          <cell r="A406" t="str">
            <v>IKN400751</v>
          </cell>
          <cell r="B406">
            <v>751</v>
          </cell>
          <cell r="C406" t="str">
            <v>Institut Kanser Negara</v>
          </cell>
          <cell r="D406" t="str">
            <v>KKM/IKN/H/13/1849</v>
          </cell>
          <cell r="E406" t="str">
            <v>15-146</v>
          </cell>
          <cell r="F406" t="str">
            <v>Analyzers, Laboratory, Hematology, Hemoglobin</v>
          </cell>
          <cell r="G406" t="str">
            <v>LA</v>
          </cell>
          <cell r="H406" t="str">
            <v>PATHOLOGY</v>
          </cell>
          <cell r="I406" t="str">
            <v>04LA133</v>
          </cell>
          <cell r="J406" t="str">
            <v>CHEMICAL PATHOLOGY 1</v>
          </cell>
          <cell r="K406" t="str">
            <v>BMED</v>
          </cell>
          <cell r="L406" t="str">
            <v>Normal</v>
          </cell>
          <cell r="M406" t="str">
            <v>USA</v>
          </cell>
          <cell r="N406" t="str">
            <v>Bio-Rad</v>
          </cell>
          <cell r="O406" t="str">
            <v>Bio-Rad D10</v>
          </cell>
          <cell r="P406" t="str">
            <v>DC2C695904</v>
          </cell>
          <cell r="Q406" t="str">
            <v>Not Applicable</v>
          </cell>
          <cell r="R406" t="str">
            <v>Bio-Rad Laboratories</v>
          </cell>
          <cell r="S406" t="str">
            <v>KL Scientific</v>
          </cell>
          <cell r="T406" t="str">
            <v>Functioning</v>
          </cell>
          <cell r="U406" t="str">
            <v>Asset</v>
          </cell>
          <cell r="V406">
            <v>221210</v>
          </cell>
          <cell r="W406" t="str">
            <v>KEW</v>
          </cell>
          <cell r="X406" t="str">
            <v>01/09/2010</v>
          </cell>
          <cell r="Y406" t="str">
            <v>KEW</v>
          </cell>
          <cell r="Z406" t="str">
            <v>16/08/2013</v>
          </cell>
          <cell r="AA406" t="str">
            <v>15/08/2015</v>
          </cell>
          <cell r="AB406" t="str">
            <v>No</v>
          </cell>
          <cell r="AC406" t="str">
            <v>31/08/2013</v>
          </cell>
          <cell r="AD406" t="str">
            <v>Good</v>
          </cell>
          <cell r="AE406" t="str">
            <v>V1 - Existing / No Claim</v>
          </cell>
          <cell r="AF406">
            <v>42790</v>
          </cell>
          <cell r="AG406">
            <v>9.17</v>
          </cell>
          <cell r="AH406" t="str">
            <v>PPM</v>
          </cell>
          <cell r="AI406" t="str">
            <v>Strands</v>
          </cell>
          <cell r="AJ406" t="str">
            <v>Strands Package</v>
          </cell>
          <cell r="AK406" t="str">
            <v>MEMO PERMOHONAN PELUPUSAN SUDAH DI SUBMIT. [DIKELUARKAN DARI ASSET 21/10/2024]</v>
          </cell>
        </row>
        <row r="407">
          <cell r="A407" t="str">
            <v>IKN400752</v>
          </cell>
          <cell r="B407">
            <v>752</v>
          </cell>
          <cell r="C407" t="str">
            <v>Institut Kanser Negara</v>
          </cell>
          <cell r="D407" t="str">
            <v>KKM/IKN/H/13/1799</v>
          </cell>
          <cell r="E407" t="str">
            <v>12-842</v>
          </cell>
          <cell r="F407" t="str">
            <v>Osmometers</v>
          </cell>
          <cell r="G407" t="str">
            <v>LA</v>
          </cell>
          <cell r="H407" t="str">
            <v>PATHOLOGY</v>
          </cell>
          <cell r="I407" t="str">
            <v>04LA134</v>
          </cell>
          <cell r="J407" t="str">
            <v>CHEMICAL PATHOLOGY 2</v>
          </cell>
          <cell r="K407" t="str">
            <v>BMED</v>
          </cell>
          <cell r="L407" t="str">
            <v>Normal</v>
          </cell>
          <cell r="M407" t="str">
            <v>Germany</v>
          </cell>
          <cell r="N407" t="str">
            <v>Osmomat</v>
          </cell>
          <cell r="O407" t="str">
            <v>Osmomat 030</v>
          </cell>
          <cell r="P407" t="str">
            <v>102810</v>
          </cell>
          <cell r="Q407" t="str">
            <v>Not Applicable</v>
          </cell>
          <cell r="R407" t="str">
            <v>Gonotec GMBH</v>
          </cell>
          <cell r="S407" t="str">
            <v>Biomarketing Services (M) Sdn Bhd</v>
          </cell>
          <cell r="T407" t="str">
            <v>Functioning</v>
          </cell>
          <cell r="U407" t="str">
            <v>Asset</v>
          </cell>
          <cell r="V407">
            <v>34880</v>
          </cell>
          <cell r="W407" t="str">
            <v>KEW</v>
          </cell>
          <cell r="X407" t="str">
            <v>01/09/2010</v>
          </cell>
          <cell r="Y407" t="str">
            <v>KEW</v>
          </cell>
          <cell r="Z407" t="str">
            <v>16/08/2013</v>
          </cell>
          <cell r="AA407" t="str">
            <v>15/08/2015</v>
          </cell>
          <cell r="AB407" t="str">
            <v>No</v>
          </cell>
          <cell r="AC407" t="str">
            <v>31/08/2013</v>
          </cell>
          <cell r="AD407" t="str">
            <v>Good</v>
          </cell>
          <cell r="AE407" t="str">
            <v>V1 - Existing / No Claim</v>
          </cell>
          <cell r="AF407">
            <v>42790</v>
          </cell>
          <cell r="AG407">
            <v>9.17</v>
          </cell>
          <cell r="AH407" t="str">
            <v>PPM</v>
          </cell>
          <cell r="AI407" t="str">
            <v>Strands</v>
          </cell>
          <cell r="AJ407" t="str">
            <v>Strands PW. Proposed for V4 P2.23</v>
          </cell>
          <cell r="AK407" t="str">
            <v>[18/9/2023, SHARIFAH]: PEP ON 27/7/2023, BER/BEMS/IKN/23/017 - Asset mengalami kerosakan pada probe tip.</v>
          </cell>
        </row>
        <row r="408">
          <cell r="A408" t="str">
            <v>IKN400759</v>
          </cell>
          <cell r="B408">
            <v>759</v>
          </cell>
          <cell r="C408" t="str">
            <v>Institut Kanser Negara</v>
          </cell>
          <cell r="D408" t="str">
            <v>KKM/IKN/H/13/4686</v>
          </cell>
          <cell r="E408" t="str">
            <v>16-378</v>
          </cell>
          <cell r="F408" t="str">
            <v>Analyzers, Laboratory, Urine, Automated</v>
          </cell>
          <cell r="G408" t="str">
            <v>LA</v>
          </cell>
          <cell r="H408" t="str">
            <v>PATHOLOGY</v>
          </cell>
          <cell r="I408" t="str">
            <v>04LA133</v>
          </cell>
          <cell r="J408" t="str">
            <v>CHEMICAL PATHOLOGY 1</v>
          </cell>
          <cell r="K408" t="str">
            <v>BMED</v>
          </cell>
          <cell r="L408" t="str">
            <v>Normal</v>
          </cell>
          <cell r="M408" t="str">
            <v>USA</v>
          </cell>
          <cell r="N408" t="str">
            <v>Ichem</v>
          </cell>
          <cell r="O408" t="str">
            <v>Ichem Velocity</v>
          </cell>
          <cell r="P408" t="str">
            <v>V01474</v>
          </cell>
          <cell r="Q408" t="str">
            <v>Not Applicable</v>
          </cell>
          <cell r="R408" t="str">
            <v>Iris Medical Instruments Inc</v>
          </cell>
          <cell r="S408" t="str">
            <v>Diagnostic Systems (M) Sdn Bhd</v>
          </cell>
          <cell r="T408" t="str">
            <v>Functioning</v>
          </cell>
          <cell r="U408" t="str">
            <v>Asset</v>
          </cell>
          <cell r="V408">
            <v>36080</v>
          </cell>
          <cell r="W408" t="str">
            <v>KEW</v>
          </cell>
          <cell r="X408" t="str">
            <v>01/09/2010</v>
          </cell>
          <cell r="Y408" t="str">
            <v>KEW</v>
          </cell>
          <cell r="Z408" t="str">
            <v>16/08/2013</v>
          </cell>
          <cell r="AA408" t="str">
            <v>15/08/2015</v>
          </cell>
          <cell r="AB408" t="str">
            <v>No</v>
          </cell>
          <cell r="AC408" t="str">
            <v>31/08/2013</v>
          </cell>
          <cell r="AD408" t="str">
            <v>Good</v>
          </cell>
          <cell r="AE408" t="str">
            <v>V1 - Existing / No Claim</v>
          </cell>
          <cell r="AF408">
            <v>42235</v>
          </cell>
          <cell r="AG408">
            <v>9.17</v>
          </cell>
          <cell r="AH408" t="str">
            <v>PPM</v>
          </cell>
          <cell r="AI408" t="str">
            <v>Strands</v>
          </cell>
          <cell r="AJ408" t="str">
            <v>Strands Package</v>
          </cell>
          <cell r="AK408" t="str">
            <v>Package Code LC0054. [17/12/2023, SHARIFAH]: PEP ON 7/12/2023, BER/BEMS/IKN/23/021 - Asset mengalami kerosakan pada internal CPU Board. Penggunaannya hendaklah dihentikan. SNF V4 received on 6/3/2024.</v>
          </cell>
        </row>
        <row r="409">
          <cell r="A409" t="str">
            <v>IKN400765</v>
          </cell>
          <cell r="B409">
            <v>765</v>
          </cell>
          <cell r="C409" t="str">
            <v>Institut Kanser Negara</v>
          </cell>
          <cell r="D409" t="str">
            <v>KKM/IKN/H/13/1879</v>
          </cell>
          <cell r="E409" t="str">
            <v>14-410</v>
          </cell>
          <cell r="F409" t="str">
            <v>Ovens, Drying</v>
          </cell>
          <cell r="G409" t="str">
            <v>LA</v>
          </cell>
          <cell r="H409" t="str">
            <v>PATHOLOGY</v>
          </cell>
          <cell r="I409" t="str">
            <v>04LA117</v>
          </cell>
          <cell r="J409" t="str">
            <v>WASH ROOM</v>
          </cell>
          <cell r="K409" t="str">
            <v>BMED</v>
          </cell>
          <cell r="L409" t="str">
            <v>Normal</v>
          </cell>
          <cell r="M409" t="str">
            <v>Germany</v>
          </cell>
          <cell r="N409" t="str">
            <v>Heratherm</v>
          </cell>
          <cell r="O409" t="str">
            <v>Heratherm OGS 100</v>
          </cell>
          <cell r="P409" t="str">
            <v>41419441</v>
          </cell>
          <cell r="Q409" t="str">
            <v>Not Applicable</v>
          </cell>
          <cell r="R409" t="str">
            <v>Thermo Scientific Inc</v>
          </cell>
          <cell r="S409" t="str">
            <v>Bumi Sains Sdn. Bhd.</v>
          </cell>
          <cell r="T409" t="str">
            <v>Functioning</v>
          </cell>
          <cell r="U409" t="str">
            <v>Asset</v>
          </cell>
          <cell r="V409">
            <v>6620</v>
          </cell>
          <cell r="W409" t="str">
            <v>KEW</v>
          </cell>
          <cell r="X409" t="str">
            <v>01/09/2010</v>
          </cell>
          <cell r="Y409" t="str">
            <v>KEW</v>
          </cell>
          <cell r="Z409" t="str">
            <v>16/08/2013</v>
          </cell>
          <cell r="AA409" t="str">
            <v>15/08/2015</v>
          </cell>
          <cell r="AB409" t="str">
            <v>No</v>
          </cell>
          <cell r="AC409" t="str">
            <v>31/08/2013</v>
          </cell>
          <cell r="AD409" t="str">
            <v>Good</v>
          </cell>
          <cell r="AE409" t="str">
            <v>V4 - Decommissioned Installed Facility</v>
          </cell>
          <cell r="AF409">
            <v>42235</v>
          </cell>
          <cell r="AG409">
            <v>9.17</v>
          </cell>
          <cell r="AH409" t="str">
            <v>PPM</v>
          </cell>
          <cell r="AI409" t="str">
            <v>Strands</v>
          </cell>
          <cell r="AJ409" t="str">
            <v>Strands PW</v>
          </cell>
          <cell r="AK409" t="str">
            <v>[28/2/2024, FAEZAH: SNF V4; TRANSFER TO HOSPITAL KAJANG, RECEIVED 19/2/2024.</v>
          </cell>
        </row>
        <row r="410">
          <cell r="A410" t="str">
            <v>IKN400783</v>
          </cell>
          <cell r="B410">
            <v>783</v>
          </cell>
          <cell r="C410" t="str">
            <v>Institut Kanser Negara</v>
          </cell>
          <cell r="D410" t="str">
            <v>KKM/IKN/H/13/3940 - 06</v>
          </cell>
          <cell r="E410" t="str">
            <v>17-679</v>
          </cell>
          <cell r="F410" t="str">
            <v>Laser Imagers</v>
          </cell>
          <cell r="G410" t="str">
            <v>ID</v>
          </cell>
          <cell r="H410" t="str">
            <v>IMAGING DEPARTMENT</v>
          </cell>
          <cell r="I410" t="str">
            <v>03ID178</v>
          </cell>
          <cell r="J410" t="str">
            <v>PACS BAY</v>
          </cell>
          <cell r="K410" t="str">
            <v>BMED</v>
          </cell>
          <cell r="L410" t="str">
            <v>Normal</v>
          </cell>
          <cell r="M410" t="str">
            <v>USA</v>
          </cell>
          <cell r="N410" t="str">
            <v>DryView</v>
          </cell>
          <cell r="O410" t="str">
            <v>DryView 6850</v>
          </cell>
          <cell r="P410" t="str">
            <v>68504434</v>
          </cell>
          <cell r="Q410" t="str">
            <v>Not Applicable</v>
          </cell>
          <cell r="R410" t="str">
            <v>Carestream Health Inc</v>
          </cell>
          <cell r="S410" t="str">
            <v>Best Contact (M) Sdn Bhd</v>
          </cell>
          <cell r="T410" t="str">
            <v>Functioning</v>
          </cell>
          <cell r="U410" t="str">
            <v>Asset</v>
          </cell>
          <cell r="V410">
            <v>83100</v>
          </cell>
          <cell r="W410" t="str">
            <v>KEW</v>
          </cell>
          <cell r="X410" t="str">
            <v>01/09/2010</v>
          </cell>
          <cell r="Y410" t="str">
            <v>KEW</v>
          </cell>
          <cell r="Z410" t="str">
            <v>16/08/2013</v>
          </cell>
          <cell r="AA410" t="str">
            <v>15/08/2015</v>
          </cell>
          <cell r="AB410" t="str">
            <v>No</v>
          </cell>
          <cell r="AC410" t="str">
            <v>31/08/2013</v>
          </cell>
          <cell r="AD410" t="str">
            <v>Good</v>
          </cell>
          <cell r="AE410" t="str">
            <v>V4 - Decommissioned Installed Facility</v>
          </cell>
          <cell r="AF410" t="str">
            <v>19/8/2015 - 04/08/2024</v>
          </cell>
          <cell r="AG410">
            <v>9.17</v>
          </cell>
          <cell r="AH410" t="str">
            <v>PPM</v>
          </cell>
          <cell r="AI410" t="str">
            <v>package</v>
          </cell>
          <cell r="AJ410" t="str">
            <v>Strands Package</v>
          </cell>
          <cell r="AK410" t="str">
            <v>[21/9/2023, Anis]: Package MRI. Package Code XJ0007. SNF V4 received on 4/8/2024.</v>
          </cell>
        </row>
        <row r="411">
          <cell r="A411" t="str">
            <v>IKN400792</v>
          </cell>
          <cell r="B411">
            <v>792</v>
          </cell>
          <cell r="C411" t="str">
            <v>Institut Kanser Negara</v>
          </cell>
          <cell r="D411" t="str">
            <v>KKM/IKN/H/13/4294 (OLD) KKM/IKN/R/13/1352 -NEW</v>
          </cell>
          <cell r="E411" t="str">
            <v>13-215</v>
          </cell>
          <cell r="F411" t="str">
            <v>Infusion Pumps, General-Purpose</v>
          </cell>
          <cell r="G411" t="str">
            <v>ID</v>
          </cell>
          <cell r="H411" t="str">
            <v>IMAGING DEPARTMENT</v>
          </cell>
          <cell r="I411" t="str">
            <v>03ID111</v>
          </cell>
          <cell r="J411" t="str">
            <v>M.R.I (VE)</v>
          </cell>
          <cell r="K411" t="str">
            <v>BMED</v>
          </cell>
          <cell r="L411" t="str">
            <v>Critical</v>
          </cell>
          <cell r="M411" t="str">
            <v>USA</v>
          </cell>
          <cell r="N411" t="str">
            <v>Mridium</v>
          </cell>
          <cell r="O411" t="str">
            <v>MRidium 3851</v>
          </cell>
          <cell r="P411" t="str">
            <v>IR5110596/IR5011212</v>
          </cell>
          <cell r="Q411" t="str">
            <v>Not Applicable</v>
          </cell>
          <cell r="R411" t="str">
            <v>Iradimed Corp</v>
          </cell>
          <cell r="S411" t="str">
            <v>APPLIED MEDICAL SYSTEMS SDN BHD</v>
          </cell>
          <cell r="T411" t="str">
            <v>Functioning</v>
          </cell>
          <cell r="U411" t="str">
            <v>Asset</v>
          </cell>
          <cell r="V411">
            <v>1400</v>
          </cell>
          <cell r="W411" t="str">
            <v>Estimate</v>
          </cell>
          <cell r="X411" t="str">
            <v>01/09/2010</v>
          </cell>
          <cell r="Y411" t="str">
            <v>KEW</v>
          </cell>
          <cell r="Z411" t="str">
            <v>16/08/2013</v>
          </cell>
          <cell r="AA411" t="str">
            <v>15/08/2015</v>
          </cell>
          <cell r="AB411" t="str">
            <v>No</v>
          </cell>
          <cell r="AC411" t="str">
            <v>31/08/2013</v>
          </cell>
          <cell r="AD411" t="str">
            <v>Good</v>
          </cell>
          <cell r="AE411" t="str">
            <v>V1 - Existing / No Claim</v>
          </cell>
          <cell r="AF411">
            <v>42791</v>
          </cell>
          <cell r="AG411">
            <v>9.17</v>
          </cell>
          <cell r="AH411" t="str">
            <v>PPM</v>
          </cell>
          <cell r="AI411" t="str">
            <v>Strands</v>
          </cell>
          <cell r="AJ411" t="str">
            <v>Strands PW. Proposed for V4 P2.23</v>
          </cell>
          <cell r="AK411" t="str">
            <v>[18/9/2023, SHARIFAH]: PEP ON 8/8/2023, BER/BEMS/IKN/23/012 - Asset mengalami kerosakan pada board.</v>
          </cell>
        </row>
        <row r="412">
          <cell r="A412" t="str">
            <v>IKN400793</v>
          </cell>
          <cell r="B412">
            <v>793</v>
          </cell>
          <cell r="C412" t="str">
            <v>Institut Kanser Negara</v>
          </cell>
          <cell r="D412" t="str">
            <v>KKM/IKN/H/13/2744</v>
          </cell>
          <cell r="E412" t="str">
            <v>12-647</v>
          </cell>
          <cell r="F412" t="str">
            <v>Physiologic Monitoring Systems, Acute Care</v>
          </cell>
          <cell r="G412" t="str">
            <v>ID</v>
          </cell>
          <cell r="H412" t="str">
            <v>IMAGING DEPARTMENT</v>
          </cell>
          <cell r="I412" t="str">
            <v>03ID109</v>
          </cell>
          <cell r="J412" t="str">
            <v>INDUCTION</v>
          </cell>
          <cell r="K412" t="str">
            <v>BMED</v>
          </cell>
          <cell r="L412" t="str">
            <v>Normal</v>
          </cell>
          <cell r="M412" t="str">
            <v>USA</v>
          </cell>
          <cell r="N412" t="str">
            <v>GE</v>
          </cell>
          <cell r="O412" t="str">
            <v>Mri Monitor</v>
          </cell>
          <cell r="P412" t="str">
            <v>6849794</v>
          </cell>
          <cell r="Q412" t="str">
            <v>Not Applicable</v>
          </cell>
          <cell r="R412" t="str">
            <v>GE Healthcare Systems</v>
          </cell>
          <cell r="S412" t="str">
            <v>GE Healthcare Technologies</v>
          </cell>
          <cell r="T412" t="str">
            <v>Functioning</v>
          </cell>
          <cell r="U412" t="str">
            <v>Asset</v>
          </cell>
          <cell r="V412">
            <v>163590</v>
          </cell>
          <cell r="W412" t="str">
            <v>KEW</v>
          </cell>
          <cell r="X412" t="str">
            <v>01/09/2010</v>
          </cell>
          <cell r="Y412" t="str">
            <v>KEW</v>
          </cell>
          <cell r="Z412" t="str">
            <v>16/08/2013</v>
          </cell>
          <cell r="AA412" t="str">
            <v>15/08/2015</v>
          </cell>
          <cell r="AB412" t="str">
            <v>No</v>
          </cell>
          <cell r="AC412" t="str">
            <v>31/08/2013</v>
          </cell>
          <cell r="AD412" t="str">
            <v>Good</v>
          </cell>
          <cell r="AE412" t="str">
            <v>V4 - Decommissioned Installed Facility</v>
          </cell>
          <cell r="AF412">
            <v>42235</v>
          </cell>
          <cell r="AG412">
            <v>9.17</v>
          </cell>
          <cell r="AH412" t="str">
            <v>PPM</v>
          </cell>
          <cell r="AI412" t="str">
            <v>strands</v>
          </cell>
          <cell r="AJ412" t="str">
            <v>Strands PW. Proposed for V4 P2.23</v>
          </cell>
          <cell r="AK412" t="str">
            <v>[22/9/2023, SHARIFAH]: PEP ON NOV 2020, BER/BEMS/AWSB/20/005 - Aset masih boleh digunakan namun asset tidak ekonomik diperbaiki lagi sekiranya rosak.</v>
          </cell>
        </row>
        <row r="413">
          <cell r="A413" t="str">
            <v>IKN400794</v>
          </cell>
          <cell r="B413">
            <v>794</v>
          </cell>
          <cell r="C413" t="str">
            <v>Institut Kanser Negara</v>
          </cell>
          <cell r="D413" t="str">
            <v>KKM/IKN/H/13/3940</v>
          </cell>
          <cell r="E413" t="str">
            <v>18-108</v>
          </cell>
          <cell r="F413" t="str">
            <v>Scanning Systems, Magnetic Resonance Imaging, Full-Body</v>
          </cell>
          <cell r="G413" t="str">
            <v>ID</v>
          </cell>
          <cell r="H413" t="str">
            <v>IMAGING DEPARTMENT</v>
          </cell>
          <cell r="I413" t="str">
            <v>03ID111</v>
          </cell>
          <cell r="J413" t="str">
            <v>M.R.I (VE)</v>
          </cell>
          <cell r="K413" t="str">
            <v>BMED</v>
          </cell>
          <cell r="L413" t="str">
            <v>Normal</v>
          </cell>
          <cell r="M413" t="str">
            <v>Germany</v>
          </cell>
          <cell r="N413" t="str">
            <v>Magnetom</v>
          </cell>
          <cell r="O413" t="str">
            <v>Magnetom Verio</v>
          </cell>
          <cell r="P413" t="str">
            <v>62009</v>
          </cell>
          <cell r="Q413" t="str">
            <v>Not Applicable</v>
          </cell>
          <cell r="R413" t="str">
            <v>Siemens Medical Systems</v>
          </cell>
          <cell r="S413" t="str">
            <v>Metro Jendela Sdn Bhd</v>
          </cell>
          <cell r="T413" t="str">
            <v>Functioning</v>
          </cell>
          <cell r="U413" t="str">
            <v>Asset</v>
          </cell>
          <cell r="V413">
            <v>11586530</v>
          </cell>
          <cell r="W413" t="str">
            <v>KEW</v>
          </cell>
          <cell r="X413" t="str">
            <v>01/09/2010</v>
          </cell>
          <cell r="Y413" t="str">
            <v>KEW</v>
          </cell>
          <cell r="Z413" t="str">
            <v>16/08/2013</v>
          </cell>
          <cell r="AA413" t="str">
            <v>15/08/2015</v>
          </cell>
          <cell r="AB413" t="str">
            <v>No</v>
          </cell>
          <cell r="AC413" t="str">
            <v>31/08/2013</v>
          </cell>
          <cell r="AD413" t="str">
            <v>Good</v>
          </cell>
          <cell r="AE413" t="str">
            <v>V4 - Decommissioned Installed Facility</v>
          </cell>
          <cell r="AF413" t="str">
            <v>19/8/2015 - 04/08/2024</v>
          </cell>
          <cell r="AG413">
            <v>9.17</v>
          </cell>
          <cell r="AH413" t="str">
            <v>PPM</v>
          </cell>
          <cell r="AI413" t="str">
            <v>Strands</v>
          </cell>
          <cell r="AJ413" t="str">
            <v>Strands Package</v>
          </cell>
          <cell r="AK413" t="str">
            <v>Package Code XJ0007. SNF V4 received on 4/8/2024.</v>
          </cell>
        </row>
        <row r="414">
          <cell r="A414" t="str">
            <v>IKN400812</v>
          </cell>
          <cell r="B414">
            <v>812</v>
          </cell>
          <cell r="C414" t="str">
            <v>Institut Kanser Negara</v>
          </cell>
          <cell r="E414" t="str">
            <v>11-134</v>
          </cell>
          <cell r="F414" t="str">
            <v>Defibrillators, External, Manual</v>
          </cell>
          <cell r="G414" t="str">
            <v>RT</v>
          </cell>
          <cell r="H414" t="str">
            <v>RADIATION TREATMENT UNIT</v>
          </cell>
          <cell r="I414" t="str">
            <v>01RT237</v>
          </cell>
          <cell r="J414" t="str">
            <v>N/S</v>
          </cell>
          <cell r="K414" t="str">
            <v>BMED</v>
          </cell>
          <cell r="L414" t="str">
            <v>Critical</v>
          </cell>
          <cell r="M414" t="str">
            <v>USA</v>
          </cell>
          <cell r="N414" t="str">
            <v>Responder</v>
          </cell>
          <cell r="O414" t="str">
            <v>Responder 2000</v>
          </cell>
          <cell r="P414" t="str">
            <v>3206738</v>
          </cell>
          <cell r="Q414" t="str">
            <v>Not Applicable</v>
          </cell>
          <cell r="R414" t="str">
            <v>GE Medical Systems</v>
          </cell>
          <cell r="S414" t="str">
            <v>Antah Sir Radin Sdn. Bhd.</v>
          </cell>
          <cell r="T414" t="str">
            <v>Functioning</v>
          </cell>
          <cell r="U414" t="str">
            <v>Asset</v>
          </cell>
          <cell r="V414">
            <v>45000</v>
          </cell>
          <cell r="W414" t="str">
            <v>Estimate</v>
          </cell>
          <cell r="X414" t="str">
            <v>01/09/2010</v>
          </cell>
          <cell r="Y414" t="str">
            <v>KEW</v>
          </cell>
          <cell r="Z414" t="str">
            <v>16/08/2013</v>
          </cell>
          <cell r="AA414" t="str">
            <v>15/08/2015</v>
          </cell>
          <cell r="AB414" t="str">
            <v>No</v>
          </cell>
          <cell r="AC414" t="str">
            <v>31/08/2013</v>
          </cell>
          <cell r="AD414" t="str">
            <v>Good</v>
          </cell>
          <cell r="AE414" t="str">
            <v>V1 - Existing / No Claim</v>
          </cell>
          <cell r="AF414">
            <v>42605</v>
          </cell>
          <cell r="AG414">
            <v>9.17</v>
          </cell>
          <cell r="AH414" t="str">
            <v>PPM</v>
          </cell>
          <cell r="AI414" t="str">
            <v>Not in contract</v>
          </cell>
        </row>
        <row r="415">
          <cell r="A415" t="str">
            <v>IKN400852</v>
          </cell>
          <cell r="B415">
            <v>852</v>
          </cell>
          <cell r="C415" t="str">
            <v>Institut Kanser Negara</v>
          </cell>
          <cell r="D415" t="e">
            <v>#N/A</v>
          </cell>
          <cell r="E415" t="str">
            <v>18-231</v>
          </cell>
          <cell r="F415" t="str">
            <v>Electrosurgical Units, Monopolar/Bipolar</v>
          </cell>
          <cell r="G415" t="str">
            <v>RT</v>
          </cell>
          <cell r="H415" t="str">
            <v>RADIATION TREATMENT UNIT</v>
          </cell>
          <cell r="I415" t="str">
            <v>01RT278</v>
          </cell>
          <cell r="J415" t="str">
            <v>BRACHY OT 2</v>
          </cell>
          <cell r="K415" t="str">
            <v>BMED</v>
          </cell>
          <cell r="L415" t="str">
            <v>Critical</v>
          </cell>
          <cell r="M415" t="str">
            <v>Germany</v>
          </cell>
          <cell r="N415" t="str">
            <v>ERBE</v>
          </cell>
          <cell r="O415" t="str">
            <v>Erbe VIO 100 C</v>
          </cell>
          <cell r="P415" t="str">
            <v>11341789</v>
          </cell>
          <cell r="Q415" t="str">
            <v>Not Applicable</v>
          </cell>
          <cell r="R415" t="str">
            <v>ERBE Electromedizin GmbH</v>
          </cell>
          <cell r="S415" t="str">
            <v>AVRO Medical Sdn. Bhd.</v>
          </cell>
          <cell r="T415" t="str">
            <v>Not In Use</v>
          </cell>
          <cell r="U415" t="str">
            <v>Asset</v>
          </cell>
          <cell r="V415">
            <v>23580</v>
          </cell>
          <cell r="W415" t="str">
            <v>KEW</v>
          </cell>
          <cell r="X415" t="str">
            <v>01/09/2010</v>
          </cell>
          <cell r="Y415" t="str">
            <v>KEW</v>
          </cell>
          <cell r="Z415" t="str">
            <v>16/08/2013</v>
          </cell>
          <cell r="AA415" t="str">
            <v>15/08/2015</v>
          </cell>
          <cell r="AB415" t="str">
            <v>No</v>
          </cell>
          <cell r="AC415" t="str">
            <v>31/08/2013</v>
          </cell>
          <cell r="AD415" t="str">
            <v>Request for Exemption</v>
          </cell>
          <cell r="AE415" t="str">
            <v>V4 - Decommissioned Installed Facility</v>
          </cell>
          <cell r="AF415">
            <v>43059</v>
          </cell>
          <cell r="AG415">
            <v>9.17</v>
          </cell>
          <cell r="AH415" t="str">
            <v>PPM</v>
          </cell>
          <cell r="AI415" t="str">
            <v>Not in contract</v>
          </cell>
          <cell r="AJ415" t="str">
            <v>Not in contract</v>
          </cell>
          <cell r="AK415" t="e">
            <v>#N/A</v>
          </cell>
        </row>
        <row r="416">
          <cell r="A416" t="str">
            <v>IKN400854</v>
          </cell>
          <cell r="B416">
            <v>854</v>
          </cell>
          <cell r="C416" t="str">
            <v>Institut Kanser Negara</v>
          </cell>
          <cell r="D416" t="e">
            <v>#N/A</v>
          </cell>
          <cell r="E416" t="str">
            <v>12-539</v>
          </cell>
          <cell r="F416" t="str">
            <v>Microscopes, Light, Operating</v>
          </cell>
          <cell r="G416" t="str">
            <v>RT</v>
          </cell>
          <cell r="H416" t="str">
            <v>RADIATION TREATMENT UNIT</v>
          </cell>
          <cell r="I416" t="str">
            <v>01RT278</v>
          </cell>
          <cell r="J416" t="str">
            <v>BRACHY OT 2</v>
          </cell>
          <cell r="K416" t="str">
            <v>BMED</v>
          </cell>
          <cell r="L416" t="str">
            <v>Critical</v>
          </cell>
          <cell r="M416" t="str">
            <v>Singapore</v>
          </cell>
          <cell r="N416" t="str">
            <v>Leica</v>
          </cell>
          <cell r="O416" t="str">
            <v>Leica M822 F20</v>
          </cell>
          <cell r="P416" t="str">
            <v>Z10812002</v>
          </cell>
          <cell r="Q416" t="str">
            <v>Not Applicable</v>
          </cell>
          <cell r="R416" t="str">
            <v>Leica Microsystems AG</v>
          </cell>
          <cell r="S416" t="str">
            <v>Schmidt Biomedtech Sdn. Bhd.</v>
          </cell>
          <cell r="T416" t="str">
            <v>Disposed</v>
          </cell>
          <cell r="U416" t="str">
            <v>Asset</v>
          </cell>
          <cell r="V416">
            <v>481150</v>
          </cell>
          <cell r="W416" t="str">
            <v>KEW</v>
          </cell>
          <cell r="X416" t="str">
            <v>01/09/2010</v>
          </cell>
          <cell r="Y416" t="str">
            <v>KEW</v>
          </cell>
          <cell r="Z416" t="str">
            <v>16/08/2013</v>
          </cell>
          <cell r="AA416" t="str">
            <v>15/08/2015</v>
          </cell>
          <cell r="AB416" t="str">
            <v>No</v>
          </cell>
          <cell r="AC416" t="str">
            <v>31/08/2013</v>
          </cell>
          <cell r="AD416" t="str">
            <v>Good</v>
          </cell>
          <cell r="AE416" t="str">
            <v>V4 - Decommissioned Installed Facility</v>
          </cell>
          <cell r="AF416">
            <v>42622</v>
          </cell>
          <cell r="AG416">
            <v>9.17</v>
          </cell>
          <cell r="AH416" t="str">
            <v>PPM</v>
          </cell>
          <cell r="AI416" t="str">
            <v>Not in contract</v>
          </cell>
          <cell r="AJ416" t="str">
            <v>Not in contract</v>
          </cell>
          <cell r="AK416" t="e">
            <v>#N/A</v>
          </cell>
        </row>
        <row r="417">
          <cell r="A417" t="str">
            <v>IKN400855</v>
          </cell>
          <cell r="B417">
            <v>855</v>
          </cell>
          <cell r="C417" t="str">
            <v>Institut Kanser Negara</v>
          </cell>
          <cell r="D417" t="str">
            <v>KKM/IKN/H/13/4886</v>
          </cell>
          <cell r="E417" t="str">
            <v>15-177</v>
          </cell>
          <cell r="F417" t="str">
            <v>Sedimentation Rate Units</v>
          </cell>
          <cell r="G417" t="str">
            <v>LA</v>
          </cell>
          <cell r="H417" t="str">
            <v>PATHOLOGY</v>
          </cell>
          <cell r="I417" t="str">
            <v>04LA132</v>
          </cell>
          <cell r="J417" t="str">
            <v>HAEMATOLOGY LAB 2</v>
          </cell>
          <cell r="K417" t="str">
            <v>BMED</v>
          </cell>
          <cell r="L417" t="str">
            <v>Normal</v>
          </cell>
          <cell r="M417" t="str">
            <v>USA</v>
          </cell>
          <cell r="N417" t="str">
            <v>ESR-Auto Plus</v>
          </cell>
          <cell r="O417" t="str">
            <v>ESR-Auto Plus</v>
          </cell>
          <cell r="P417" t="str">
            <v>506-0456</v>
          </cell>
          <cell r="Q417" t="str">
            <v>Not Applicable</v>
          </cell>
          <cell r="R417" t="str">
            <v>Streck Labotatories Inc</v>
          </cell>
          <cell r="S417" t="str">
            <v>All Eights (M) Sdn Bhd</v>
          </cell>
          <cell r="T417" t="str">
            <v>Functioning</v>
          </cell>
          <cell r="U417" t="str">
            <v>Asset</v>
          </cell>
          <cell r="V417">
            <v>19250</v>
          </cell>
          <cell r="W417" t="str">
            <v>KEW</v>
          </cell>
          <cell r="X417" t="str">
            <v>01/09/2010</v>
          </cell>
          <cell r="Y417" t="str">
            <v>KEW</v>
          </cell>
          <cell r="Z417" t="str">
            <v>16/08/2013</v>
          </cell>
          <cell r="AA417" t="str">
            <v>15/08/2015</v>
          </cell>
          <cell r="AB417" t="str">
            <v>No</v>
          </cell>
          <cell r="AC417" t="str">
            <v>31/08/2013</v>
          </cell>
          <cell r="AD417" t="str">
            <v>Good</v>
          </cell>
          <cell r="AE417" t="str">
            <v>V1 - Existing / No Claim</v>
          </cell>
          <cell r="AF417">
            <v>43209</v>
          </cell>
          <cell r="AG417">
            <v>9.17</v>
          </cell>
          <cell r="AH417" t="str">
            <v>PPM</v>
          </cell>
          <cell r="AI417" t="str">
            <v>Strands</v>
          </cell>
          <cell r="AJ417" t="str">
            <v>Strands PW</v>
          </cell>
          <cell r="AK417" t="str">
            <v>PEP 13/7/2024</v>
          </cell>
        </row>
        <row r="418">
          <cell r="A418" t="str">
            <v>IKN400856</v>
          </cell>
          <cell r="B418">
            <v>856</v>
          </cell>
          <cell r="C418" t="str">
            <v>Institut Kanser Negara</v>
          </cell>
          <cell r="D418" t="str">
            <v>KKM/IKN/H/13/4887</v>
          </cell>
          <cell r="E418" t="str">
            <v>15-177</v>
          </cell>
          <cell r="F418" t="str">
            <v>Sedimentation Rate Units</v>
          </cell>
          <cell r="G418" t="str">
            <v>LA</v>
          </cell>
          <cell r="H418" t="str">
            <v>PATHOLOGY</v>
          </cell>
          <cell r="I418" t="str">
            <v>04LA132</v>
          </cell>
          <cell r="J418" t="str">
            <v>HAEMATOLOGY LAB 2</v>
          </cell>
          <cell r="K418" t="str">
            <v>BMED</v>
          </cell>
          <cell r="L418" t="str">
            <v>Normal</v>
          </cell>
          <cell r="M418" t="str">
            <v>USA</v>
          </cell>
          <cell r="N418" t="str">
            <v>ESR-Auto Plus</v>
          </cell>
          <cell r="O418" t="str">
            <v>ESR-Auto Plus</v>
          </cell>
          <cell r="P418" t="str">
            <v>506-1092</v>
          </cell>
          <cell r="Q418" t="str">
            <v>Not Applicable</v>
          </cell>
          <cell r="R418" t="str">
            <v>Streck Labotatories Inc</v>
          </cell>
          <cell r="S418" t="str">
            <v>All Eights (M) Sdn Bhd</v>
          </cell>
          <cell r="T418" t="str">
            <v>Functioning</v>
          </cell>
          <cell r="U418" t="str">
            <v>Asset</v>
          </cell>
          <cell r="V418">
            <v>19250</v>
          </cell>
          <cell r="W418" t="str">
            <v>KEW</v>
          </cell>
          <cell r="X418" t="str">
            <v>01/09/2010</v>
          </cell>
          <cell r="Y418" t="str">
            <v>KEW</v>
          </cell>
          <cell r="Z418" t="str">
            <v>16/08/2013</v>
          </cell>
          <cell r="AA418" t="str">
            <v>15/08/2015</v>
          </cell>
          <cell r="AB418" t="str">
            <v>No</v>
          </cell>
          <cell r="AC418" t="str">
            <v>31/08/2013</v>
          </cell>
          <cell r="AD418" t="str">
            <v>Good</v>
          </cell>
          <cell r="AE418" t="str">
            <v>V1 - Existing / No Claim</v>
          </cell>
          <cell r="AF418">
            <v>43209</v>
          </cell>
          <cell r="AG418">
            <v>9.17</v>
          </cell>
          <cell r="AH418" t="str">
            <v>PPM</v>
          </cell>
          <cell r="AI418" t="str">
            <v>Strands</v>
          </cell>
          <cell r="AJ418" t="str">
            <v>Strands PW. Proposed for V4 P2.23</v>
          </cell>
          <cell r="AK418" t="str">
            <v>[18/9/2023, SHARIFAH]: PEP (PEP salah nombor KKM) ON 8/8/2023, BER/BEMS/IKN/23/008 - Aset mengalami kerosakan pada scanner.</v>
          </cell>
        </row>
        <row r="419">
          <cell r="A419" t="str">
            <v>IKN400857</v>
          </cell>
          <cell r="B419">
            <v>857</v>
          </cell>
          <cell r="C419" t="str">
            <v>Institut Kanser Negara</v>
          </cell>
          <cell r="D419" t="e">
            <v>#N/A</v>
          </cell>
          <cell r="E419" t="str">
            <v>17-808</v>
          </cell>
          <cell r="F419" t="str">
            <v>Lasers, Diode, Ophthalmic</v>
          </cell>
          <cell r="G419" t="str">
            <v>RT</v>
          </cell>
          <cell r="H419" t="str">
            <v>RADIATION TREATMENT UNIT</v>
          </cell>
          <cell r="I419" t="str">
            <v>01RT278</v>
          </cell>
          <cell r="J419" t="str">
            <v>BRACHY OT 2</v>
          </cell>
          <cell r="K419" t="str">
            <v>BMED</v>
          </cell>
          <cell r="L419" t="str">
            <v>Normal</v>
          </cell>
          <cell r="M419" t="str">
            <v>USA</v>
          </cell>
          <cell r="N419" t="str">
            <v>Iridex</v>
          </cell>
          <cell r="O419" t="str">
            <v>Iridex IQ810</v>
          </cell>
          <cell r="P419" t="str">
            <v>60422</v>
          </cell>
          <cell r="Q419" t="str">
            <v>Not Applicable</v>
          </cell>
          <cell r="R419" t="str">
            <v>Iridex Corp</v>
          </cell>
          <cell r="S419" t="str">
            <v>Mandarin Opto-Medic</v>
          </cell>
          <cell r="T419" t="str">
            <v>Disposed</v>
          </cell>
          <cell r="U419" t="str">
            <v>Asset</v>
          </cell>
          <cell r="V419">
            <v>222530</v>
          </cell>
          <cell r="W419" t="str">
            <v>KEW</v>
          </cell>
          <cell r="X419" t="str">
            <v>01/09/2010</v>
          </cell>
          <cell r="Y419" t="str">
            <v>KEW</v>
          </cell>
          <cell r="Z419" t="str">
            <v>16/08/2013</v>
          </cell>
          <cell r="AA419" t="str">
            <v>15/08/2015</v>
          </cell>
          <cell r="AB419" t="str">
            <v>No</v>
          </cell>
          <cell r="AC419" t="str">
            <v>31/08/2013</v>
          </cell>
          <cell r="AD419" t="str">
            <v>Good</v>
          </cell>
          <cell r="AE419" t="str">
            <v>V4 - Decommissioned Installed Facility</v>
          </cell>
          <cell r="AF419">
            <v>42622</v>
          </cell>
          <cell r="AG419">
            <v>9.17</v>
          </cell>
          <cell r="AH419" t="str">
            <v>PPM</v>
          </cell>
          <cell r="AI419" t="str">
            <v>Not in contract</v>
          </cell>
          <cell r="AJ419" t="str">
            <v>Not in contract</v>
          </cell>
          <cell r="AK419" t="e">
            <v>#N/A</v>
          </cell>
        </row>
        <row r="420">
          <cell r="A420" t="str">
            <v>IKN400862</v>
          </cell>
          <cell r="B420">
            <v>861</v>
          </cell>
          <cell r="C420" t="str">
            <v>Institut Kanser Negara</v>
          </cell>
          <cell r="E420" t="str">
            <v>18-037</v>
          </cell>
          <cell r="F420" t="str">
            <v>Video Image Processors</v>
          </cell>
          <cell r="G420" t="str">
            <v>MC</v>
          </cell>
          <cell r="H420" t="str">
            <v>MULTI-DISCIPLINE CLINIC</v>
          </cell>
          <cell r="I420" t="str">
            <v>03MC108</v>
          </cell>
          <cell r="J420" t="str">
            <v>TREATMENT/PROCEDURE</v>
          </cell>
          <cell r="K420" t="str">
            <v>BMED</v>
          </cell>
          <cell r="L420" t="str">
            <v>Critical</v>
          </cell>
          <cell r="M420" t="str">
            <v>Taiwan</v>
          </cell>
          <cell r="N420" t="str">
            <v>Medicapture</v>
          </cell>
          <cell r="O420" t="str">
            <v>Medicapture USB 300</v>
          </cell>
          <cell r="P420" t="str">
            <v>3012241</v>
          </cell>
          <cell r="Q420" t="str">
            <v>Not Applicable</v>
          </cell>
          <cell r="R420" t="str">
            <v>Medicapture Inc</v>
          </cell>
          <cell r="S420" t="str">
            <v>Schmidt Biomedtech Sdn. Bhd.</v>
          </cell>
          <cell r="T420" t="str">
            <v>Disposed</v>
          </cell>
          <cell r="U420" t="str">
            <v>Asset</v>
          </cell>
          <cell r="V420">
            <v>20000</v>
          </cell>
          <cell r="W420" t="str">
            <v>Estimate</v>
          </cell>
          <cell r="X420" t="str">
            <v>01/09/2010</v>
          </cell>
          <cell r="Y420" t="str">
            <v>KEW</v>
          </cell>
          <cell r="Z420" t="str">
            <v>16/08/2013</v>
          </cell>
          <cell r="AA420" t="str">
            <v>15/08/2015</v>
          </cell>
          <cell r="AB420" t="str">
            <v>No</v>
          </cell>
          <cell r="AC420" t="str">
            <v>31/08/2013</v>
          </cell>
          <cell r="AD420" t="str">
            <v>Request for Exemption</v>
          </cell>
          <cell r="AE420" t="str">
            <v>V4 - Decommissioned Installed Facility</v>
          </cell>
          <cell r="AF420">
            <v>42740</v>
          </cell>
          <cell r="AG420">
            <v>9.17</v>
          </cell>
          <cell r="AH420" t="str">
            <v>PPM</v>
          </cell>
          <cell r="AI420" t="str">
            <v>Not in contract</v>
          </cell>
          <cell r="AJ420" t="str">
            <v>Not in contract</v>
          </cell>
        </row>
        <row r="421">
          <cell r="A421" t="str">
            <v>IKN400921</v>
          </cell>
          <cell r="B421">
            <v>920</v>
          </cell>
          <cell r="C421" t="str">
            <v>Institut Kanser Negara</v>
          </cell>
          <cell r="D421" t="str">
            <v>KKM/IKN/H/13/562</v>
          </cell>
          <cell r="E421" t="str">
            <v>12-815</v>
          </cell>
          <cell r="F421" t="str">
            <v>Ophthalmoscopes</v>
          </cell>
          <cell r="G421" t="str">
            <v>MC</v>
          </cell>
          <cell r="H421" t="str">
            <v>MULTI-DISCIPLINE CLINIC</v>
          </cell>
          <cell r="I421" t="str">
            <v>03MC118</v>
          </cell>
          <cell r="J421" t="str">
            <v>C/E 5</v>
          </cell>
          <cell r="K421" t="str">
            <v>BMED</v>
          </cell>
          <cell r="L421" t="str">
            <v>Normal</v>
          </cell>
          <cell r="M421" t="str">
            <v>USA</v>
          </cell>
          <cell r="N421" t="str">
            <v>Welch Allyn</v>
          </cell>
          <cell r="O421" t="str">
            <v>Welch Allyn 767</v>
          </cell>
          <cell r="P421" t="str">
            <v>767-01</v>
          </cell>
          <cell r="Q421" t="str">
            <v>Not Applicable</v>
          </cell>
          <cell r="R421" t="str">
            <v>Welch Allyn Inc</v>
          </cell>
          <cell r="S421" t="str">
            <v>Welch Allyn Malaysia Sdn Bhd</v>
          </cell>
          <cell r="T421" t="str">
            <v>Functioning</v>
          </cell>
          <cell r="U421" t="str">
            <v>Asset</v>
          </cell>
          <cell r="V421">
            <v>5773</v>
          </cell>
          <cell r="W421" t="str">
            <v>KEW</v>
          </cell>
          <cell r="X421" t="str">
            <v>01/09/2010</v>
          </cell>
          <cell r="Y421" t="str">
            <v>KEW</v>
          </cell>
          <cell r="Z421" t="str">
            <v>16/08/2013</v>
          </cell>
          <cell r="AA421" t="str">
            <v>15/08/2015</v>
          </cell>
          <cell r="AB421" t="str">
            <v>No</v>
          </cell>
          <cell r="AC421" t="str">
            <v>31/08/2013</v>
          </cell>
          <cell r="AD421" t="str">
            <v>Good</v>
          </cell>
          <cell r="AE421" t="str">
            <v>V4 - Decommissioned Installed Facility</v>
          </cell>
          <cell r="AF421">
            <v>42800</v>
          </cell>
          <cell r="AG421">
            <v>9.17</v>
          </cell>
          <cell r="AH421" t="str">
            <v>RI</v>
          </cell>
          <cell r="AJ421" t="str">
            <v>Strands PW. Proposed for V4 P2.23</v>
          </cell>
        </row>
        <row r="422">
          <cell r="A422" t="str">
            <v>IKN400922</v>
          </cell>
          <cell r="B422">
            <v>921</v>
          </cell>
          <cell r="C422" t="str">
            <v>Institut Kanser Negara</v>
          </cell>
          <cell r="D422" t="str">
            <v>KKM/IKN/H/13/564</v>
          </cell>
          <cell r="E422" t="str">
            <v>12-815</v>
          </cell>
          <cell r="F422" t="str">
            <v>Ophthalmoscopes</v>
          </cell>
          <cell r="G422" t="str">
            <v>MC</v>
          </cell>
          <cell r="H422" t="str">
            <v>MULTI-DISCIPLINE CLINIC</v>
          </cell>
          <cell r="I422" t="str">
            <v>03MC119</v>
          </cell>
          <cell r="J422" t="str">
            <v>C/E 4</v>
          </cell>
          <cell r="K422" t="str">
            <v>BMED</v>
          </cell>
          <cell r="L422" t="str">
            <v>Normal</v>
          </cell>
          <cell r="M422" t="str">
            <v>USA</v>
          </cell>
          <cell r="N422" t="str">
            <v>Welch Allyn</v>
          </cell>
          <cell r="O422" t="str">
            <v>Welch Allyn 767</v>
          </cell>
          <cell r="P422" t="str">
            <v>767-02</v>
          </cell>
          <cell r="Q422" t="str">
            <v>Not Applicable</v>
          </cell>
          <cell r="R422" t="str">
            <v>Welch Allyn Inc</v>
          </cell>
          <cell r="S422" t="str">
            <v>Welch Allyn Malaysia Sdn Bhd</v>
          </cell>
          <cell r="T422" t="str">
            <v>Functioning</v>
          </cell>
          <cell r="U422" t="str">
            <v>Asset</v>
          </cell>
          <cell r="V422">
            <v>5773</v>
          </cell>
          <cell r="W422" t="str">
            <v>KEW</v>
          </cell>
          <cell r="X422" t="str">
            <v>01/09/2010</v>
          </cell>
          <cell r="Y422" t="str">
            <v>KEW</v>
          </cell>
          <cell r="Z422" t="str">
            <v>16/08/2013</v>
          </cell>
          <cell r="AA422" t="str">
            <v>15/08/2015</v>
          </cell>
          <cell r="AB422" t="str">
            <v>No</v>
          </cell>
          <cell r="AC422" t="str">
            <v>31/08/2013</v>
          </cell>
          <cell r="AD422" t="str">
            <v>Good</v>
          </cell>
          <cell r="AE422" t="str">
            <v>V4 - Decommissioned Installed Facility</v>
          </cell>
          <cell r="AF422">
            <v>42800</v>
          </cell>
          <cell r="AG422">
            <v>9.17</v>
          </cell>
          <cell r="AH422" t="str">
            <v>RI</v>
          </cell>
          <cell r="AI422" t="str">
            <v>Strands</v>
          </cell>
          <cell r="AJ422" t="str">
            <v>Strands PW. Proposed for V4 P2.23</v>
          </cell>
        </row>
        <row r="423">
          <cell r="A423" t="str">
            <v>IKN400923</v>
          </cell>
          <cell r="B423">
            <v>922</v>
          </cell>
          <cell r="C423" t="str">
            <v>Institut Kanser Negara</v>
          </cell>
          <cell r="D423" t="str">
            <v>KKM/IKN/H/13/559</v>
          </cell>
          <cell r="E423" t="str">
            <v>12-815</v>
          </cell>
          <cell r="F423" t="str">
            <v>Ophthalmoscopes</v>
          </cell>
          <cell r="G423" t="str">
            <v>MC</v>
          </cell>
          <cell r="H423" t="str">
            <v>MULTI-DISCIPLINE CLINIC</v>
          </cell>
          <cell r="I423" t="str">
            <v>03MC121</v>
          </cell>
          <cell r="J423" t="str">
            <v>C/E 3</v>
          </cell>
          <cell r="K423" t="str">
            <v>BMED</v>
          </cell>
          <cell r="L423" t="str">
            <v>Normal</v>
          </cell>
          <cell r="M423" t="str">
            <v>USA</v>
          </cell>
          <cell r="N423" t="str">
            <v>Welch Allyn</v>
          </cell>
          <cell r="O423" t="str">
            <v>Welch Allyn 767</v>
          </cell>
          <cell r="P423" t="str">
            <v>767-03</v>
          </cell>
          <cell r="Q423" t="str">
            <v>Not Applicable</v>
          </cell>
          <cell r="R423" t="str">
            <v>Welch Allyn Inc</v>
          </cell>
          <cell r="S423" t="str">
            <v>Welch Allyn Malaysia Sdn Bhd</v>
          </cell>
          <cell r="T423" t="str">
            <v>Functioning</v>
          </cell>
          <cell r="U423" t="str">
            <v>Asset</v>
          </cell>
          <cell r="V423">
            <v>5773</v>
          </cell>
          <cell r="W423" t="str">
            <v>KEW</v>
          </cell>
          <cell r="X423" t="str">
            <v>01/09/2010</v>
          </cell>
          <cell r="Y423" t="str">
            <v>KEW</v>
          </cell>
          <cell r="Z423" t="str">
            <v>16/08/2013</v>
          </cell>
          <cell r="AA423" t="str">
            <v>15/08/2015</v>
          </cell>
          <cell r="AB423" t="str">
            <v>No</v>
          </cell>
          <cell r="AC423" t="str">
            <v>31/08/2013</v>
          </cell>
          <cell r="AD423" t="str">
            <v>Good</v>
          </cell>
          <cell r="AE423" t="str">
            <v>V4 - Decommissioned Installed Facility</v>
          </cell>
          <cell r="AF423">
            <v>42800</v>
          </cell>
          <cell r="AG423">
            <v>9.17</v>
          </cell>
          <cell r="AH423" t="str">
            <v>RI</v>
          </cell>
          <cell r="AI423" t="str">
            <v>Strands</v>
          </cell>
          <cell r="AJ423" t="str">
            <v>Strands PW. Proposed for V4 P2.23</v>
          </cell>
        </row>
        <row r="424">
          <cell r="A424" t="str">
            <v>IKN400924</v>
          </cell>
          <cell r="B424">
            <v>923</v>
          </cell>
          <cell r="C424" t="str">
            <v>Institut Kanser Negara</v>
          </cell>
          <cell r="D424" t="str">
            <v>KKM/IKN/H/13/561</v>
          </cell>
          <cell r="E424" t="str">
            <v>12-815</v>
          </cell>
          <cell r="F424" t="str">
            <v>Ophthalmoscopes</v>
          </cell>
          <cell r="G424" t="str">
            <v>MC</v>
          </cell>
          <cell r="H424" t="str">
            <v>MULTI-DISCIPLINE CLINIC</v>
          </cell>
          <cell r="I424" t="str">
            <v>03MC128</v>
          </cell>
          <cell r="J424" t="str">
            <v>C/E 2</v>
          </cell>
          <cell r="K424" t="str">
            <v>BMED</v>
          </cell>
          <cell r="L424" t="str">
            <v>Normal</v>
          </cell>
          <cell r="M424" t="str">
            <v>USA</v>
          </cell>
          <cell r="N424" t="str">
            <v>Welch Allyn</v>
          </cell>
          <cell r="O424" t="str">
            <v>Welch Allyn 767</v>
          </cell>
          <cell r="P424" t="str">
            <v>767-04</v>
          </cell>
          <cell r="Q424" t="str">
            <v>Not Applicable</v>
          </cell>
          <cell r="R424" t="str">
            <v>Welch Allyn Inc</v>
          </cell>
          <cell r="S424" t="str">
            <v>Welch Allyn Malaysia Sdn Bhd</v>
          </cell>
          <cell r="T424" t="str">
            <v>Functioning</v>
          </cell>
          <cell r="U424" t="str">
            <v>Asset</v>
          </cell>
          <cell r="V424">
            <v>5773</v>
          </cell>
          <cell r="W424" t="str">
            <v>KEW</v>
          </cell>
          <cell r="X424" t="str">
            <v>01/09/2010</v>
          </cell>
          <cell r="Y424" t="str">
            <v>KEW</v>
          </cell>
          <cell r="Z424" t="str">
            <v>16/08/2013</v>
          </cell>
          <cell r="AA424" t="str">
            <v>15/08/2015</v>
          </cell>
          <cell r="AB424" t="str">
            <v>No</v>
          </cell>
          <cell r="AC424" t="str">
            <v>31/08/2013</v>
          </cell>
          <cell r="AD424" t="str">
            <v>Good</v>
          </cell>
          <cell r="AE424" t="str">
            <v>V4 - Decommissioned Installed Facility</v>
          </cell>
          <cell r="AF424">
            <v>42800</v>
          </cell>
          <cell r="AG424">
            <v>9.17</v>
          </cell>
          <cell r="AH424" t="str">
            <v>RI</v>
          </cell>
          <cell r="AI424" t="str">
            <v>Strands</v>
          </cell>
          <cell r="AJ424" t="str">
            <v>Strands PW. Proposed for V4 P2.23</v>
          </cell>
        </row>
        <row r="425">
          <cell r="A425" t="str">
            <v>IKN400933</v>
          </cell>
          <cell r="B425">
            <v>932</v>
          </cell>
          <cell r="C425" t="str">
            <v>Institut Kanser Negara</v>
          </cell>
          <cell r="D425" t="str">
            <v>KKM/IKN/H/13/550</v>
          </cell>
          <cell r="E425" t="str">
            <v>12-818</v>
          </cell>
          <cell r="F425" t="str">
            <v>Ophthalmoscopes, Indirect</v>
          </cell>
          <cell r="G425" t="str">
            <v>MC</v>
          </cell>
          <cell r="H425" t="str">
            <v>MULTI-DISCIPLINE CLINIC</v>
          </cell>
          <cell r="I425" t="str">
            <v>03MC128</v>
          </cell>
          <cell r="J425" t="str">
            <v>C/E 2</v>
          </cell>
          <cell r="K425" t="str">
            <v>BMED</v>
          </cell>
          <cell r="L425" t="str">
            <v>Normal</v>
          </cell>
          <cell r="M425" t="str">
            <v>Germany</v>
          </cell>
          <cell r="N425" t="str">
            <v>Omega</v>
          </cell>
          <cell r="O425" t="str">
            <v>Omega 500 Unplugged</v>
          </cell>
          <cell r="P425" t="str">
            <v>1121000615</v>
          </cell>
          <cell r="Q425" t="str">
            <v>Not Applicable</v>
          </cell>
          <cell r="R425" t="str">
            <v>Heine Optotechnik GmbH &amp; Co KG</v>
          </cell>
          <cell r="S425" t="str">
            <v>Mandarin Opto-Medic</v>
          </cell>
          <cell r="T425" t="str">
            <v>Transferred</v>
          </cell>
          <cell r="U425" t="str">
            <v>Asset</v>
          </cell>
          <cell r="V425">
            <v>18890</v>
          </cell>
          <cell r="W425" t="str">
            <v>KEW</v>
          </cell>
          <cell r="X425" t="str">
            <v>01/09/2010</v>
          </cell>
          <cell r="Y425" t="str">
            <v>KEW</v>
          </cell>
          <cell r="Z425" t="str">
            <v>16/08/2013</v>
          </cell>
          <cell r="AA425" t="str">
            <v>15/08/2015</v>
          </cell>
          <cell r="AB425" t="str">
            <v>No</v>
          </cell>
          <cell r="AC425" t="str">
            <v>31/08/2013</v>
          </cell>
          <cell r="AD425" t="str">
            <v>Good</v>
          </cell>
          <cell r="AE425" t="str">
            <v>V1 - Existing / No Claim</v>
          </cell>
          <cell r="AF425">
            <v>43437</v>
          </cell>
          <cell r="AG425">
            <v>9.17</v>
          </cell>
          <cell r="AH425" t="str">
            <v>PPM</v>
          </cell>
          <cell r="AI425" t="str">
            <v>Strands</v>
          </cell>
          <cell r="AJ425" t="str">
            <v>Strands PW. Proposed V4 P1.24.</v>
          </cell>
          <cell r="AK425" t="str">
            <v>[1/3/2024, Sharifah]: Based on PPM 2017, Asset transfer to Hospital Lahad Datu, Sabah.</v>
          </cell>
        </row>
        <row r="426">
          <cell r="A426" t="str">
            <v>IKN400939</v>
          </cell>
          <cell r="B426">
            <v>938</v>
          </cell>
          <cell r="C426" t="str">
            <v>Institut Kanser Negara</v>
          </cell>
          <cell r="E426" t="str">
            <v>16-158</v>
          </cell>
          <cell r="F426" t="str">
            <v>Sphygmomanometers, Mercury</v>
          </cell>
          <cell r="G426" t="str">
            <v>MC</v>
          </cell>
          <cell r="H426" t="str">
            <v>MULTI-DISCIPLINE CLINIC</v>
          </cell>
          <cell r="I426" t="str">
            <v>03MC118</v>
          </cell>
          <cell r="J426" t="str">
            <v>C/E 5</v>
          </cell>
          <cell r="K426" t="str">
            <v>BMED</v>
          </cell>
          <cell r="L426" t="str">
            <v>Normal</v>
          </cell>
          <cell r="M426" t="str">
            <v>Germany</v>
          </cell>
          <cell r="N426" t="str">
            <v>Erka</v>
          </cell>
          <cell r="O426" t="str">
            <v>Erkameter 3000</v>
          </cell>
          <cell r="P426" t="str">
            <v>13500821</v>
          </cell>
          <cell r="Q426" t="str">
            <v>Not Applicable</v>
          </cell>
          <cell r="R426" t="str">
            <v>Erka GmbH &amp; Co</v>
          </cell>
          <cell r="S426" t="str">
            <v>Acucare Systems (M) Sdn bhd</v>
          </cell>
          <cell r="T426" t="str">
            <v>Functioning</v>
          </cell>
          <cell r="U426" t="str">
            <v>Asset</v>
          </cell>
          <cell r="V426">
            <v>505</v>
          </cell>
          <cell r="W426" t="str">
            <v>KEW</v>
          </cell>
          <cell r="X426" t="str">
            <v>01/09/2010</v>
          </cell>
          <cell r="Y426" t="str">
            <v>KEW</v>
          </cell>
          <cell r="Z426" t="str">
            <v>16/08/2013</v>
          </cell>
          <cell r="AA426" t="str">
            <v>15/08/2015</v>
          </cell>
          <cell r="AB426" t="str">
            <v>No</v>
          </cell>
          <cell r="AC426" t="str">
            <v>31/08/2013</v>
          </cell>
          <cell r="AD426" t="str">
            <v>Good</v>
          </cell>
          <cell r="AE426" t="str">
            <v>V4 - Decommissioned Installed Facility</v>
          </cell>
          <cell r="AF426">
            <v>42235</v>
          </cell>
          <cell r="AG426">
            <v>9.17</v>
          </cell>
          <cell r="AH426" t="str">
            <v>PPM</v>
          </cell>
          <cell r="AI426" t="str">
            <v>Not in contract</v>
          </cell>
          <cell r="AJ426" t="str">
            <v>Not under maintenance</v>
          </cell>
        </row>
        <row r="427">
          <cell r="A427" t="str">
            <v>IKN400953</v>
          </cell>
          <cell r="B427">
            <v>952</v>
          </cell>
          <cell r="C427" t="str">
            <v>Institut Kanser Negara</v>
          </cell>
          <cell r="D427" t="e">
            <v>#N/A</v>
          </cell>
          <cell r="E427" t="str">
            <v>16-173</v>
          </cell>
          <cell r="F427" t="str">
            <v>Sphygmomanometers, Electronic, Automatic</v>
          </cell>
          <cell r="G427" t="str">
            <v>RT</v>
          </cell>
          <cell r="H427" t="str">
            <v>RADIATION TREATMENT UNIT</v>
          </cell>
          <cell r="I427" t="str">
            <v>01RT110</v>
          </cell>
          <cell r="J427" t="str">
            <v>C/E 2</v>
          </cell>
          <cell r="K427" t="str">
            <v>BMED</v>
          </cell>
          <cell r="L427" t="str">
            <v>Normal</v>
          </cell>
          <cell r="M427" t="str">
            <v>USA</v>
          </cell>
          <cell r="N427" t="str">
            <v>Connex</v>
          </cell>
          <cell r="O427" t="str">
            <v>Connex ProBP 3400</v>
          </cell>
          <cell r="P427" t="str">
            <v>100000630413</v>
          </cell>
          <cell r="Q427" t="str">
            <v>Not Applicable</v>
          </cell>
          <cell r="R427" t="str">
            <v>Welch Allyn Inc</v>
          </cell>
          <cell r="S427" t="str">
            <v>Welch Allyn Malaysia Sdn Bhd</v>
          </cell>
          <cell r="T427" t="str">
            <v>Functioning</v>
          </cell>
          <cell r="U427" t="str">
            <v>Asset</v>
          </cell>
          <cell r="V427">
            <v>336</v>
          </cell>
          <cell r="W427" t="str">
            <v>KEW</v>
          </cell>
          <cell r="X427" t="str">
            <v>01/09/2010</v>
          </cell>
          <cell r="Y427" t="str">
            <v>KEW</v>
          </cell>
          <cell r="Z427" t="str">
            <v>16/08/2013</v>
          </cell>
          <cell r="AA427" t="str">
            <v>15/08/2015</v>
          </cell>
          <cell r="AB427" t="str">
            <v>No</v>
          </cell>
          <cell r="AC427" t="str">
            <v>31/08/2013</v>
          </cell>
          <cell r="AD427" t="str">
            <v>Good</v>
          </cell>
          <cell r="AE427" t="str">
            <v>V1 - Existing / No Claim</v>
          </cell>
          <cell r="AF427">
            <v>42235</v>
          </cell>
          <cell r="AG427">
            <v>9.17</v>
          </cell>
          <cell r="AH427" t="str">
            <v>PPM</v>
          </cell>
          <cell r="AI427" t="str">
            <v>Not in contract</v>
          </cell>
        </row>
        <row r="428">
          <cell r="A428" t="str">
            <v>IKN400972</v>
          </cell>
          <cell r="B428">
            <v>970</v>
          </cell>
          <cell r="C428" t="str">
            <v>Institut Kanser Negara</v>
          </cell>
          <cell r="D428" t="e">
            <v>#N/A</v>
          </cell>
          <cell r="E428" t="str">
            <v>17-148</v>
          </cell>
          <cell r="F428" t="str">
            <v>Oximeters, Pulse</v>
          </cell>
          <cell r="G428" t="str">
            <v>RT</v>
          </cell>
          <cell r="H428" t="str">
            <v>RADIATION TREATMENT UNIT</v>
          </cell>
          <cell r="I428" t="str">
            <v>01RT110</v>
          </cell>
          <cell r="J428" t="str">
            <v>C/E 2</v>
          </cell>
          <cell r="K428" t="str">
            <v>BMED</v>
          </cell>
          <cell r="L428" t="str">
            <v>Normal</v>
          </cell>
          <cell r="M428" t="str">
            <v>Finland</v>
          </cell>
          <cell r="N428" t="str">
            <v>Trusat</v>
          </cell>
          <cell r="O428" t="str">
            <v>Trusat</v>
          </cell>
          <cell r="P428" t="str">
            <v>FCC12430069SA</v>
          </cell>
          <cell r="Q428" t="str">
            <v>Not Applicable</v>
          </cell>
          <cell r="R428" t="str">
            <v>GE Healthcare Systems</v>
          </cell>
          <cell r="S428" t="str">
            <v>GE Healthcare Technologies</v>
          </cell>
          <cell r="T428" t="str">
            <v>Functioning</v>
          </cell>
          <cell r="U428" t="str">
            <v>Asset</v>
          </cell>
          <cell r="V428">
            <v>11120</v>
          </cell>
          <cell r="W428" t="str">
            <v>KEW</v>
          </cell>
          <cell r="X428" t="str">
            <v>01/09/2010</v>
          </cell>
          <cell r="Y428" t="str">
            <v>KEW</v>
          </cell>
          <cell r="Z428" t="str">
            <v>16/08/2013</v>
          </cell>
          <cell r="AA428" t="str">
            <v>15/08/2015</v>
          </cell>
          <cell r="AB428" t="str">
            <v>No</v>
          </cell>
          <cell r="AC428" t="str">
            <v>31/08/2013</v>
          </cell>
          <cell r="AD428" t="str">
            <v>Good</v>
          </cell>
          <cell r="AE428" t="str">
            <v>V1 - Existing / No Claim</v>
          </cell>
          <cell r="AF428">
            <v>42235</v>
          </cell>
          <cell r="AG428">
            <v>9.17</v>
          </cell>
          <cell r="AH428" t="str">
            <v>PPM</v>
          </cell>
          <cell r="AI428" t="str">
            <v>Not in contract</v>
          </cell>
        </row>
        <row r="429">
          <cell r="A429" t="str">
            <v>IKN400991</v>
          </cell>
          <cell r="B429">
            <v>989</v>
          </cell>
          <cell r="C429" t="str">
            <v>Institut Kanser Negara</v>
          </cell>
          <cell r="D429" t="str">
            <v>KKM/IKN/H/13/3001</v>
          </cell>
          <cell r="E429" t="str">
            <v>13-275</v>
          </cell>
          <cell r="F429" t="str">
            <v>Calibrators, Radioisotope</v>
          </cell>
          <cell r="G429" t="str">
            <v>NM</v>
          </cell>
          <cell r="H429" t="str">
            <v>NUCLEAR MED (DIAGNOSTIC)</v>
          </cell>
          <cell r="I429" t="str">
            <v>03NM166</v>
          </cell>
          <cell r="J429" t="str">
            <v>REPORTING</v>
          </cell>
          <cell r="K429" t="str">
            <v>BMED</v>
          </cell>
          <cell r="L429" t="str">
            <v>Normal</v>
          </cell>
          <cell r="M429" t="str">
            <v>USA</v>
          </cell>
          <cell r="N429" t="str">
            <v>Atomlab</v>
          </cell>
          <cell r="O429" t="str">
            <v>Atomlab 500 Plus</v>
          </cell>
          <cell r="P429" t="str">
            <v>11060309-E</v>
          </cell>
          <cell r="Q429" t="str">
            <v>Not Applicable</v>
          </cell>
          <cell r="R429" t="str">
            <v>Biodex Medical Systems Inc</v>
          </cell>
          <cell r="S429" t="str">
            <v>Not Available</v>
          </cell>
          <cell r="T429" t="str">
            <v>Functioning</v>
          </cell>
          <cell r="U429" t="str">
            <v>Asset</v>
          </cell>
          <cell r="V429">
            <v>60390</v>
          </cell>
          <cell r="W429" t="str">
            <v>Estimate</v>
          </cell>
          <cell r="X429" t="str">
            <v>01/09/2010</v>
          </cell>
          <cell r="Y429" t="str">
            <v>KEW</v>
          </cell>
          <cell r="Z429" t="str">
            <v>16/08/2013</v>
          </cell>
          <cell r="AA429" t="str">
            <v>15/08/2015</v>
          </cell>
          <cell r="AB429" t="str">
            <v>No</v>
          </cell>
          <cell r="AC429" t="str">
            <v>31/08/2013</v>
          </cell>
          <cell r="AD429" t="str">
            <v>Good</v>
          </cell>
          <cell r="AE429" t="str">
            <v>V1 - Existing / No Claim</v>
          </cell>
          <cell r="AF429" t="str">
            <v>2/10/2018 - 17/4/2024</v>
          </cell>
          <cell r="AG429">
            <v>9.17</v>
          </cell>
          <cell r="AH429" t="str">
            <v>PPM</v>
          </cell>
          <cell r="AI429" t="str">
            <v>package</v>
          </cell>
          <cell r="AJ429" t="str">
            <v>Not in contract</v>
          </cell>
          <cell r="AK429" t="str">
            <v>[SHARIFAH, 16/10/2023]: PEP ON 21/7/2023. BER/BEMS/IKN/22/001 - Aset mengalami kerosakan pada komponen utama iaitu reader dan asset ini tidak ekonomik diperbaiki lagi. SNF V4 received on 17/4/2024.</v>
          </cell>
        </row>
        <row r="430">
          <cell r="A430" t="str">
            <v>IKN400992</v>
          </cell>
          <cell r="B430">
            <v>990</v>
          </cell>
          <cell r="C430" t="str">
            <v>Institut Kanser Negara</v>
          </cell>
          <cell r="D430" t="str">
            <v>KKM/IKN/H/13/5151</v>
          </cell>
          <cell r="E430" t="str">
            <v>13-275</v>
          </cell>
          <cell r="F430" t="str">
            <v>Calibrators, Radioisotope</v>
          </cell>
          <cell r="G430" t="str">
            <v>WA</v>
          </cell>
          <cell r="H430" t="str">
            <v>NUCLEAR MED WARD (THERAPY)</v>
          </cell>
          <cell r="I430" t="str">
            <v>03WA125</v>
          </cell>
          <cell r="J430" t="str">
            <v>RADIOIODIN PREP (100% F.A.)</v>
          </cell>
          <cell r="K430" t="str">
            <v>BMED</v>
          </cell>
          <cell r="L430" t="str">
            <v>Normal</v>
          </cell>
          <cell r="M430" t="str">
            <v>USA</v>
          </cell>
          <cell r="N430" t="str">
            <v>Atomlab</v>
          </cell>
          <cell r="O430" t="str">
            <v>Atomlab 500</v>
          </cell>
          <cell r="P430" t="str">
            <v>13040805</v>
          </cell>
          <cell r="Q430" t="str">
            <v>Not Applicable</v>
          </cell>
          <cell r="R430" t="str">
            <v>Biodex Medical Systems Inc</v>
          </cell>
          <cell r="S430" t="str">
            <v>Not Available</v>
          </cell>
          <cell r="T430" t="str">
            <v>Functioning</v>
          </cell>
          <cell r="U430" t="str">
            <v>Asset</v>
          </cell>
          <cell r="V430">
            <v>60390</v>
          </cell>
          <cell r="W430" t="str">
            <v>KEW</v>
          </cell>
          <cell r="X430" t="str">
            <v>01/09/2010</v>
          </cell>
          <cell r="Y430" t="str">
            <v>KEW</v>
          </cell>
          <cell r="Z430" t="str">
            <v>16/08/2013</v>
          </cell>
          <cell r="AA430" t="str">
            <v>15/08/2015</v>
          </cell>
          <cell r="AB430" t="str">
            <v>No</v>
          </cell>
          <cell r="AC430" t="str">
            <v>31/08/2013</v>
          </cell>
          <cell r="AD430" t="str">
            <v>Good</v>
          </cell>
          <cell r="AE430" t="str">
            <v>V1 - Existing / No Claim</v>
          </cell>
          <cell r="AF430" t="str">
            <v>23/8/2016 - 1/12/2022</v>
          </cell>
          <cell r="AG430">
            <v>9.17</v>
          </cell>
          <cell r="AH430" t="str">
            <v>PPM</v>
          </cell>
          <cell r="AI430" t="str">
            <v>Strands</v>
          </cell>
          <cell r="AJ430" t="str">
            <v>Strands (V4 P1.23.)</v>
          </cell>
          <cell r="AK430" t="str">
            <v>[23/8/2023, Sharifah]: V4 P1.23</v>
          </cell>
        </row>
        <row r="431">
          <cell r="A431" t="str">
            <v>IKN400999</v>
          </cell>
          <cell r="B431">
            <v>997</v>
          </cell>
          <cell r="C431" t="str">
            <v>Institut Kanser Negara</v>
          </cell>
          <cell r="D431" t="str">
            <v>N/A</v>
          </cell>
          <cell r="E431" t="str">
            <v>17-679</v>
          </cell>
          <cell r="F431" t="str">
            <v>Laser Imagers</v>
          </cell>
          <cell r="G431" t="str">
            <v>NM</v>
          </cell>
          <cell r="H431" t="str">
            <v>NUCLEAR MED (DIAGNOSTIC)</v>
          </cell>
          <cell r="I431" t="str">
            <v>03NM166</v>
          </cell>
          <cell r="J431" t="str">
            <v>REPORTING</v>
          </cell>
          <cell r="K431" t="str">
            <v>BMED</v>
          </cell>
          <cell r="L431" t="str">
            <v>Normal</v>
          </cell>
          <cell r="M431" t="str">
            <v>USA</v>
          </cell>
          <cell r="N431" t="str">
            <v>DryPix</v>
          </cell>
          <cell r="O431" t="str">
            <v>DryPix Plus</v>
          </cell>
          <cell r="P431" t="str">
            <v>26510103</v>
          </cell>
          <cell r="Q431" t="str">
            <v>Not Applicable</v>
          </cell>
          <cell r="R431" t="str">
            <v>FujiFilm Corp</v>
          </cell>
          <cell r="S431" t="str">
            <v>Advance Altimas Sdn Bhd</v>
          </cell>
          <cell r="T431" t="str">
            <v>Functioning</v>
          </cell>
          <cell r="U431" t="str">
            <v>Asset</v>
          </cell>
          <cell r="V431">
            <v>80000</v>
          </cell>
          <cell r="W431" t="str">
            <v>Estimate</v>
          </cell>
          <cell r="X431" t="str">
            <v>01/09/2010</v>
          </cell>
          <cell r="Y431" t="str">
            <v>KEW</v>
          </cell>
          <cell r="Z431" t="str">
            <v>16/08/2013</v>
          </cell>
          <cell r="AA431" t="str">
            <v>15/08/2015</v>
          </cell>
          <cell r="AB431" t="str">
            <v>No</v>
          </cell>
          <cell r="AC431" t="str">
            <v>31/08/2013</v>
          </cell>
          <cell r="AD431" t="str">
            <v>Good</v>
          </cell>
          <cell r="AE431" t="str">
            <v>V1 - Existing / No Claim</v>
          </cell>
          <cell r="AF431">
            <v>42605</v>
          </cell>
          <cell r="AG431">
            <v>9.17</v>
          </cell>
          <cell r="AH431" t="str">
            <v>PPM</v>
          </cell>
          <cell r="AI431" t="str">
            <v>Strands</v>
          </cell>
          <cell r="AJ431" t="str">
            <v>Strands Package</v>
          </cell>
          <cell r="AK431" t="str">
            <v>Package Code XK0001A</v>
          </cell>
        </row>
        <row r="432">
          <cell r="A432" t="str">
            <v>IKN401006</v>
          </cell>
          <cell r="B432">
            <v>1004</v>
          </cell>
          <cell r="C432" t="str">
            <v>Institut Kanser Negara</v>
          </cell>
          <cell r="D432" t="str">
            <v>KKM/IKN/H/13/3888</v>
          </cell>
          <cell r="E432" t="str">
            <v>15-999</v>
          </cell>
          <cell r="F432" t="str">
            <v>Washers, Flexible Endoscope</v>
          </cell>
          <cell r="G432" t="str">
            <v>MC</v>
          </cell>
          <cell r="H432" t="str">
            <v>MULTI-DISCIPLINE CLINIC</v>
          </cell>
          <cell r="I432" t="str">
            <v>03MC111</v>
          </cell>
          <cell r="J432" t="str">
            <v>SCOPE WASH</v>
          </cell>
          <cell r="K432" t="str">
            <v>BMED</v>
          </cell>
          <cell r="L432" t="str">
            <v>Normal</v>
          </cell>
          <cell r="M432" t="str">
            <v>USA</v>
          </cell>
          <cell r="N432" t="str">
            <v>System</v>
          </cell>
          <cell r="O432" t="str">
            <v>System 1 Express</v>
          </cell>
          <cell r="P432" t="str">
            <v>20215</v>
          </cell>
          <cell r="Q432" t="str">
            <v>Not Applicable</v>
          </cell>
          <cell r="R432" t="str">
            <v>Steris Corp</v>
          </cell>
          <cell r="S432" t="str">
            <v>Maymedic Technology Sdn Bhd</v>
          </cell>
          <cell r="T432" t="str">
            <v>Functioning</v>
          </cell>
          <cell r="U432" t="str">
            <v>Asset</v>
          </cell>
          <cell r="V432">
            <v>168040</v>
          </cell>
          <cell r="W432" t="str">
            <v>KEW</v>
          </cell>
          <cell r="X432" t="str">
            <v>01/09/2010</v>
          </cell>
          <cell r="Y432" t="str">
            <v>KEW</v>
          </cell>
          <cell r="Z432" t="str">
            <v>16/08/2013</v>
          </cell>
          <cell r="AA432" t="str">
            <v>15/08/2015</v>
          </cell>
          <cell r="AB432" t="str">
            <v>No</v>
          </cell>
          <cell r="AC432" t="str">
            <v>31/08/2013</v>
          </cell>
          <cell r="AD432" t="str">
            <v>Good</v>
          </cell>
          <cell r="AE432" t="str">
            <v>V1 - Existing / No Claim</v>
          </cell>
          <cell r="AF432">
            <v>43063</v>
          </cell>
          <cell r="AG432">
            <v>9.17</v>
          </cell>
          <cell r="AH432" t="str">
            <v>PPM</v>
          </cell>
          <cell r="AI432" t="str">
            <v>Strands</v>
          </cell>
          <cell r="AJ432" t="str">
            <v>Strands PW</v>
          </cell>
          <cell r="AK432" t="str">
            <v>SJIJIL PEP  15/8/2024</v>
          </cell>
        </row>
        <row r="433">
          <cell r="A433" t="str">
            <v>IKN401015</v>
          </cell>
          <cell r="B433">
            <v>1013</v>
          </cell>
          <cell r="C433" t="str">
            <v>Institut Kanser Negara</v>
          </cell>
          <cell r="D433" t="str">
            <v>KKM/IKN/H/13/3934-01</v>
          </cell>
          <cell r="E433" t="str">
            <v>17-002</v>
          </cell>
          <cell r="F433" t="str">
            <v>Cameras, Video, Endoscope</v>
          </cell>
          <cell r="G433" t="str">
            <v>OT</v>
          </cell>
          <cell r="H433" t="str">
            <v>OPERATING THEATRE</v>
          </cell>
          <cell r="I433" t="str">
            <v>05OT167</v>
          </cell>
          <cell r="J433" t="str">
            <v>SCOPE WASH</v>
          </cell>
          <cell r="K433" t="str">
            <v>BMED</v>
          </cell>
          <cell r="L433" t="str">
            <v>Normal</v>
          </cell>
          <cell r="M433" t="str">
            <v>Germany</v>
          </cell>
          <cell r="N433" t="str">
            <v>Image 1</v>
          </cell>
          <cell r="O433" t="str">
            <v>Image 1 HUB 22201020</v>
          </cell>
          <cell r="P433" t="str">
            <v>WX698068-P</v>
          </cell>
          <cell r="Q433" t="str">
            <v>Not Applicable</v>
          </cell>
          <cell r="R433" t="str">
            <v>Karl Storz-Endoskope</v>
          </cell>
          <cell r="S433" t="str">
            <v>UMMI Surgical Sdn Bhd</v>
          </cell>
          <cell r="T433" t="str">
            <v>Functioning</v>
          </cell>
          <cell r="U433" t="str">
            <v>Asset</v>
          </cell>
          <cell r="V433">
            <v>60000</v>
          </cell>
          <cell r="W433" t="str">
            <v>Estimate</v>
          </cell>
          <cell r="X433" t="str">
            <v>01/09/2010</v>
          </cell>
          <cell r="Y433" t="str">
            <v>KEW</v>
          </cell>
          <cell r="Z433" t="str">
            <v>16/08/2013</v>
          </cell>
          <cell r="AA433" t="str">
            <v>15/08/2015</v>
          </cell>
          <cell r="AB433" t="str">
            <v>No</v>
          </cell>
          <cell r="AC433" t="str">
            <v>31/08/2013</v>
          </cell>
          <cell r="AD433" t="str">
            <v>Good</v>
          </cell>
          <cell r="AE433" t="str">
            <v>V1 - Existing / No Claim</v>
          </cell>
          <cell r="AF433">
            <v>42605</v>
          </cell>
          <cell r="AG433">
            <v>9.17</v>
          </cell>
          <cell r="AH433" t="str">
            <v>PPM</v>
          </cell>
          <cell r="AI433" t="str">
            <v>Strands</v>
          </cell>
          <cell r="AJ433" t="str">
            <v>Strands Package. Proposed for V4 P2.23</v>
          </cell>
          <cell r="AK433" t="str">
            <v>[Indira] Camera Head (Serial No: ZX807403-H), CAT No: 22220055 (Cable: SNNW808458-H). [18/9/2023, SHARIFAH]: PEP ON 8/8/2023, BER/BEMS/IKN/23/018 - Asset mengalami kerosakan pada camera head. Package Code EP0127</v>
          </cell>
        </row>
        <row r="434">
          <cell r="A434" t="str">
            <v>IKN401087</v>
          </cell>
          <cell r="B434">
            <v>1085</v>
          </cell>
          <cell r="C434" t="str">
            <v>Institut Kanser Negara</v>
          </cell>
          <cell r="D434" t="str">
            <v>KKM/IKN/H/13/4545</v>
          </cell>
          <cell r="E434" t="str">
            <v>12-647</v>
          </cell>
          <cell r="F434" t="str">
            <v>Physiologic Monitoring Systems, Acute Care</v>
          </cell>
          <cell r="G434" t="str">
            <v>AE</v>
          </cell>
          <cell r="H434" t="str">
            <v>EMERGENCY UNIT</v>
          </cell>
          <cell r="I434" t="str">
            <v>01AE108</v>
          </cell>
          <cell r="J434" t="str">
            <v>TRIAGE</v>
          </cell>
          <cell r="K434" t="str">
            <v>BMED</v>
          </cell>
          <cell r="L434" t="str">
            <v>Critical</v>
          </cell>
          <cell r="M434" t="str">
            <v>USA</v>
          </cell>
          <cell r="N434" t="str">
            <v>Propaq</v>
          </cell>
          <cell r="O434" t="str">
            <v>Propaq CS 242</v>
          </cell>
          <cell r="P434" t="str">
            <v>GA117269</v>
          </cell>
          <cell r="Q434" t="str">
            <v>Not Applicable</v>
          </cell>
          <cell r="R434" t="str">
            <v>Welch Allyn Inc</v>
          </cell>
          <cell r="S434" t="str">
            <v>Continental Top Products &amp; Engineering S</v>
          </cell>
          <cell r="T434" t="str">
            <v>Functioning</v>
          </cell>
          <cell r="U434" t="str">
            <v>Asset</v>
          </cell>
          <cell r="V434">
            <v>22000</v>
          </cell>
          <cell r="W434" t="str">
            <v>KEW</v>
          </cell>
          <cell r="X434" t="str">
            <v>23/12/2013</v>
          </cell>
          <cell r="Y434" t="str">
            <v>KEW</v>
          </cell>
          <cell r="Z434" t="str">
            <v>23/12/2013</v>
          </cell>
          <cell r="AA434" t="str">
            <v>22/12/2015</v>
          </cell>
          <cell r="AB434" t="str">
            <v>No</v>
          </cell>
          <cell r="AC434" t="str">
            <v>23/12/2013</v>
          </cell>
          <cell r="AD434" t="str">
            <v>Good</v>
          </cell>
          <cell r="AE434" t="str">
            <v>V3 - Added Installed Facilities (New)</v>
          </cell>
          <cell r="AF434">
            <v>42800</v>
          </cell>
          <cell r="AG434">
            <v>5.92</v>
          </cell>
          <cell r="AH434" t="str">
            <v>PPM</v>
          </cell>
          <cell r="AI434" t="str">
            <v>Strands</v>
          </cell>
          <cell r="AJ434" t="str">
            <v>Strands PW</v>
          </cell>
          <cell r="AK434" t="str">
            <v>SNF received. 1st batch of V3 asset (December 2020). [29/2/2024, SHARIFAH]: PEP ON 28/2/2024, BER/BEMS/IKN/23/010 - Aset mengalami kerosakan pada main board. Penggunaannya hendaklah dihentikan.</v>
          </cell>
        </row>
        <row r="435">
          <cell r="A435" t="str">
            <v>IKN401104</v>
          </cell>
          <cell r="B435">
            <v>1102</v>
          </cell>
          <cell r="C435" t="str">
            <v>Institut Kanser Negara</v>
          </cell>
          <cell r="D435" t="e">
            <v>#N/A</v>
          </cell>
          <cell r="E435" t="str">
            <v>12-282</v>
          </cell>
          <cell r="F435" t="str">
            <v>Lights, Surgical</v>
          </cell>
          <cell r="G435" t="str">
            <v>WE</v>
          </cell>
          <cell r="H435" t="str">
            <v>RT/ONCO WARD 1 (F)</v>
          </cell>
          <cell r="I435" t="str">
            <v>07WE107</v>
          </cell>
          <cell r="J435" t="str">
            <v>TREATMENT / PROCESURE</v>
          </cell>
          <cell r="K435" t="str">
            <v>BMED</v>
          </cell>
          <cell r="L435" t="str">
            <v>Normal</v>
          </cell>
          <cell r="M435" t="str">
            <v>USA</v>
          </cell>
          <cell r="N435" t="str">
            <v>Welch Allyn</v>
          </cell>
          <cell r="O435" t="str">
            <v>Welch Allyn GS900</v>
          </cell>
          <cell r="P435" t="str">
            <v>10032911105652</v>
          </cell>
          <cell r="Q435" t="str">
            <v>Not Applicable</v>
          </cell>
          <cell r="R435" t="str">
            <v>Welch Allyn Inc</v>
          </cell>
          <cell r="S435" t="str">
            <v>Welch Allyn Malaysia Sdn Bhd</v>
          </cell>
          <cell r="T435" t="str">
            <v>Functioning</v>
          </cell>
          <cell r="U435" t="str">
            <v>Asset</v>
          </cell>
          <cell r="V435">
            <v>10585</v>
          </cell>
          <cell r="W435" t="str">
            <v>KEW</v>
          </cell>
          <cell r="X435" t="str">
            <v>01/09/2010</v>
          </cell>
          <cell r="Y435" t="str">
            <v>KEW</v>
          </cell>
          <cell r="Z435" t="str">
            <v>16/08/2013</v>
          </cell>
          <cell r="AA435" t="str">
            <v>15/08/2015</v>
          </cell>
          <cell r="AB435" t="str">
            <v>No</v>
          </cell>
          <cell r="AC435" t="str">
            <v>31/08/2013</v>
          </cell>
          <cell r="AD435" t="str">
            <v>Good</v>
          </cell>
          <cell r="AE435" t="str">
            <v>V1 - Existing / No Claim</v>
          </cell>
          <cell r="AF435">
            <v>42235</v>
          </cell>
          <cell r="AG435">
            <v>9.17</v>
          </cell>
          <cell r="AH435" t="str">
            <v>PPM</v>
          </cell>
          <cell r="AI435" t="str">
            <v>Not in contract</v>
          </cell>
        </row>
        <row r="436">
          <cell r="A436" t="str">
            <v>IKN401116</v>
          </cell>
          <cell r="B436">
            <v>1114</v>
          </cell>
          <cell r="C436" t="str">
            <v>Institut Kanser Negara</v>
          </cell>
          <cell r="D436" t="str">
            <v>KKM/IKN/H/13/2128</v>
          </cell>
          <cell r="E436" t="str">
            <v>16-320</v>
          </cell>
          <cell r="F436" t="str">
            <v>Incinerators, Pathology</v>
          </cell>
          <cell r="G436" t="str">
            <v>LA</v>
          </cell>
          <cell r="H436" t="str">
            <v>PATHOLOGY</v>
          </cell>
          <cell r="I436" t="str">
            <v>04LA126</v>
          </cell>
          <cell r="J436" t="str">
            <v>MICROBIOLOGY UNIT</v>
          </cell>
          <cell r="K436" t="str">
            <v>BMED</v>
          </cell>
          <cell r="L436" t="str">
            <v>Normal</v>
          </cell>
          <cell r="M436" t="str">
            <v>USA</v>
          </cell>
          <cell r="N436" t="str">
            <v>Bacticinerator</v>
          </cell>
          <cell r="O436" t="str">
            <v>Bacticinerator IV</v>
          </cell>
          <cell r="P436" t="str">
            <v>03130006-5</v>
          </cell>
          <cell r="Q436" t="str">
            <v>Not Applicable</v>
          </cell>
          <cell r="R436" t="str">
            <v>Thermo Fisher Scientific Ltd</v>
          </cell>
          <cell r="S436" t="str">
            <v>Bumi Sains Sdn. Bhd.</v>
          </cell>
          <cell r="T436" t="str">
            <v>Functioning</v>
          </cell>
          <cell r="U436" t="str">
            <v>Asset</v>
          </cell>
          <cell r="V436">
            <v>3000</v>
          </cell>
          <cell r="W436" t="str">
            <v>KEW</v>
          </cell>
          <cell r="X436" t="str">
            <v>01/09/2010</v>
          </cell>
          <cell r="Y436" t="str">
            <v>KEW</v>
          </cell>
          <cell r="Z436" t="str">
            <v>16/08/2013</v>
          </cell>
          <cell r="AA436" t="str">
            <v>15/08/2015</v>
          </cell>
          <cell r="AB436" t="str">
            <v>No</v>
          </cell>
          <cell r="AC436" t="str">
            <v>31/08/2013</v>
          </cell>
          <cell r="AD436" t="str">
            <v>Good</v>
          </cell>
          <cell r="AE436" t="str">
            <v>V4 - Decommissioned Installed Facility</v>
          </cell>
          <cell r="AF436">
            <v>42790</v>
          </cell>
          <cell r="AG436">
            <v>9.17</v>
          </cell>
          <cell r="AH436" t="str">
            <v>PPM</v>
          </cell>
          <cell r="AI436" t="str">
            <v>Not in contract</v>
          </cell>
          <cell r="AJ436" t="str">
            <v>Not in contract</v>
          </cell>
          <cell r="AK436" t="str">
            <v>[22/9/2023, SHARIFAH]: PEP ON FEB 2021, BER/BEMS/AWSB/20/009 - Asset masih berfungsi namun asset tidak ekonomik diperbaiki lagi sekiranya rosak.</v>
          </cell>
        </row>
        <row r="437">
          <cell r="A437" t="str">
            <v>IKN401117</v>
          </cell>
          <cell r="B437">
            <v>1115</v>
          </cell>
          <cell r="C437" t="str">
            <v>Institut Kanser Negara</v>
          </cell>
          <cell r="D437" t="str">
            <v>KKM/IKN/H/13/2130</v>
          </cell>
          <cell r="E437" t="str">
            <v>16-320</v>
          </cell>
          <cell r="F437" t="str">
            <v>Incinerators, Pathology</v>
          </cell>
          <cell r="G437" t="str">
            <v>LA</v>
          </cell>
          <cell r="H437" t="str">
            <v>PATHOLOGY</v>
          </cell>
          <cell r="I437" t="str">
            <v>04LA126</v>
          </cell>
          <cell r="J437" t="str">
            <v>MICROBIOLOGY UNIT</v>
          </cell>
          <cell r="K437" t="str">
            <v>BMED</v>
          </cell>
          <cell r="L437" t="str">
            <v>Normal</v>
          </cell>
          <cell r="M437" t="str">
            <v>USA</v>
          </cell>
          <cell r="N437" t="str">
            <v>Bacticinerator</v>
          </cell>
          <cell r="O437" t="str">
            <v>Bacticinerator IV</v>
          </cell>
          <cell r="P437" t="str">
            <v>03130003-5</v>
          </cell>
          <cell r="Q437" t="str">
            <v>Not Applicable</v>
          </cell>
          <cell r="R437" t="str">
            <v>Thermo Fisher Scientific Ltd</v>
          </cell>
          <cell r="S437" t="str">
            <v>Bumi Sains Sdn. Bhd.</v>
          </cell>
          <cell r="T437" t="str">
            <v>Functioning</v>
          </cell>
          <cell r="U437" t="str">
            <v>Asset</v>
          </cell>
          <cell r="V437">
            <v>3000</v>
          </cell>
          <cell r="W437" t="str">
            <v>KEW</v>
          </cell>
          <cell r="X437" t="str">
            <v>01/09/2010</v>
          </cell>
          <cell r="Y437" t="str">
            <v>KEW</v>
          </cell>
          <cell r="Z437" t="str">
            <v>16/08/2013</v>
          </cell>
          <cell r="AA437" t="str">
            <v>15/08/2015</v>
          </cell>
          <cell r="AB437" t="str">
            <v>No</v>
          </cell>
          <cell r="AC437" t="str">
            <v>31/08/2013</v>
          </cell>
          <cell r="AD437" t="str">
            <v>Good</v>
          </cell>
          <cell r="AE437" t="str">
            <v>V4 - Decommissioned Installed Facility</v>
          </cell>
          <cell r="AF437">
            <v>42235</v>
          </cell>
          <cell r="AG437">
            <v>9.17</v>
          </cell>
          <cell r="AH437" t="str">
            <v>PPM</v>
          </cell>
          <cell r="AI437" t="str">
            <v>Not in contract</v>
          </cell>
          <cell r="AJ437" t="str">
            <v>Not in contract</v>
          </cell>
          <cell r="AK437" t="str">
            <v>[22/9/2023, SHARIFAH]: PEP ON FEB 2021, BER/BEMS/AWSB/20/010 - Asset masih berfungsi namun asset tidak ekonomik diperbaiki lagi sekiranya rosak.</v>
          </cell>
        </row>
        <row r="438">
          <cell r="A438" t="str">
            <v>IKN401118</v>
          </cell>
          <cell r="B438">
            <v>1116</v>
          </cell>
          <cell r="C438" t="str">
            <v>Institut Kanser Negara</v>
          </cell>
          <cell r="D438" t="str">
            <v>KKM/IKN/H/13/2131</v>
          </cell>
          <cell r="E438" t="str">
            <v>16-320</v>
          </cell>
          <cell r="F438" t="str">
            <v>Incinerators, Pathology</v>
          </cell>
          <cell r="G438" t="str">
            <v>LA</v>
          </cell>
          <cell r="H438" t="str">
            <v>PATHOLOGY</v>
          </cell>
          <cell r="I438" t="str">
            <v>04LA126</v>
          </cell>
          <cell r="J438" t="str">
            <v>MICROBIOLOGY UNIT</v>
          </cell>
          <cell r="K438" t="str">
            <v>BMED</v>
          </cell>
          <cell r="L438" t="str">
            <v>Normal</v>
          </cell>
          <cell r="M438" t="str">
            <v>USA</v>
          </cell>
          <cell r="N438" t="str">
            <v>Bacticinerator</v>
          </cell>
          <cell r="O438" t="str">
            <v>Bacticinerator IV</v>
          </cell>
          <cell r="P438" t="str">
            <v>03130004-5</v>
          </cell>
          <cell r="Q438" t="str">
            <v>Not Applicable</v>
          </cell>
          <cell r="R438" t="str">
            <v>Thermo Fisher Scientific Ltd</v>
          </cell>
          <cell r="S438" t="str">
            <v>Bumi Sains Sdn. Bhd.</v>
          </cell>
          <cell r="T438" t="str">
            <v>Not Functioning</v>
          </cell>
          <cell r="U438" t="str">
            <v>Asset</v>
          </cell>
          <cell r="V438">
            <v>3000</v>
          </cell>
          <cell r="W438" t="str">
            <v>KEW</v>
          </cell>
          <cell r="X438" t="str">
            <v>01/09/2010</v>
          </cell>
          <cell r="Y438" t="str">
            <v>KEW</v>
          </cell>
          <cell r="Z438" t="str">
            <v>16/08/2013</v>
          </cell>
          <cell r="AA438" t="str">
            <v>15/08/2015</v>
          </cell>
          <cell r="AB438" t="str">
            <v>No</v>
          </cell>
          <cell r="AC438" t="str">
            <v>31/08/2013</v>
          </cell>
          <cell r="AD438" t="str">
            <v>Good</v>
          </cell>
          <cell r="AE438" t="str">
            <v>V4 - Decommissioned Installed Facility</v>
          </cell>
          <cell r="AF438">
            <v>42235</v>
          </cell>
          <cell r="AG438">
            <v>9.17</v>
          </cell>
          <cell r="AH438" t="str">
            <v>PPM</v>
          </cell>
          <cell r="AI438" t="str">
            <v>Not in contract</v>
          </cell>
          <cell r="AJ438" t="str">
            <v>Not in contract</v>
          </cell>
          <cell r="AK438" t="str">
            <v>[22/9/2023, SHARIFAH]: PEP ON FEB 2021, BER/BEMS/AWSB/20/011 - Asset mengalami kerosakan pada Heater Element.</v>
          </cell>
        </row>
        <row r="439">
          <cell r="A439" t="str">
            <v>IKN401119</v>
          </cell>
          <cell r="B439">
            <v>1117</v>
          </cell>
          <cell r="C439" t="str">
            <v>Institut Kanser Negara</v>
          </cell>
          <cell r="D439" t="str">
            <v>KKM/IKN/H/13/2132</v>
          </cell>
          <cell r="E439" t="str">
            <v>16-320</v>
          </cell>
          <cell r="F439" t="str">
            <v>Incinerators, Pathology</v>
          </cell>
          <cell r="G439" t="str">
            <v>LA</v>
          </cell>
          <cell r="H439" t="str">
            <v>PATHOLOGY</v>
          </cell>
          <cell r="I439" t="str">
            <v>04LA127</v>
          </cell>
          <cell r="J439" t="str">
            <v>INNOCULATION/STAINING</v>
          </cell>
          <cell r="K439" t="str">
            <v>BMED</v>
          </cell>
          <cell r="L439" t="str">
            <v>Normal</v>
          </cell>
          <cell r="M439" t="str">
            <v>USA</v>
          </cell>
          <cell r="N439" t="str">
            <v>Bacticinerator</v>
          </cell>
          <cell r="O439" t="str">
            <v>Bacticinerator IV</v>
          </cell>
          <cell r="P439" t="str">
            <v>03130005-5</v>
          </cell>
          <cell r="Q439" t="str">
            <v>Not Applicable</v>
          </cell>
          <cell r="R439" t="str">
            <v>Thermo Fisher Scientific Ltd</v>
          </cell>
          <cell r="S439" t="str">
            <v>Bumi Sains Sdn. Bhd.</v>
          </cell>
          <cell r="T439" t="str">
            <v>Functioning</v>
          </cell>
          <cell r="U439" t="str">
            <v>Asset</v>
          </cell>
          <cell r="V439">
            <v>3000</v>
          </cell>
          <cell r="W439" t="str">
            <v>KEW</v>
          </cell>
          <cell r="X439" t="str">
            <v>01/09/2010</v>
          </cell>
          <cell r="Y439" t="str">
            <v>KEW</v>
          </cell>
          <cell r="Z439" t="str">
            <v>16/08/2013</v>
          </cell>
          <cell r="AA439" t="str">
            <v>15/08/2015</v>
          </cell>
          <cell r="AB439" t="str">
            <v>No</v>
          </cell>
          <cell r="AC439" t="str">
            <v>31/08/2013</v>
          </cell>
          <cell r="AD439" t="str">
            <v>Good</v>
          </cell>
          <cell r="AE439" t="str">
            <v>V4 - Decommissioned Installed Facility</v>
          </cell>
          <cell r="AF439">
            <v>42235</v>
          </cell>
          <cell r="AG439">
            <v>9.17</v>
          </cell>
          <cell r="AH439" t="str">
            <v>PPM</v>
          </cell>
          <cell r="AI439" t="str">
            <v>Not in contract</v>
          </cell>
          <cell r="AJ439" t="str">
            <v>Not in contract</v>
          </cell>
          <cell r="AK439" t="str">
            <v>[22/9/2023, SHARIFAH]: PEP ON FEB 2021, BER/BEMS/AWSB/20/012 - Asset masih berfungsi namun asset tidak ekonomik diperbaiki lagi sekiranya rosak.</v>
          </cell>
        </row>
        <row r="440">
          <cell r="A440" t="str">
            <v>IKN401120</v>
          </cell>
          <cell r="B440">
            <v>1118</v>
          </cell>
          <cell r="C440" t="str">
            <v>Institut Kanser Negara</v>
          </cell>
          <cell r="D440" t="str">
            <v>KKM/IKN/H/13/2129</v>
          </cell>
          <cell r="E440" t="str">
            <v>16-320</v>
          </cell>
          <cell r="F440" t="str">
            <v>Incinerators, Pathology</v>
          </cell>
          <cell r="G440" t="str">
            <v>LA</v>
          </cell>
          <cell r="H440" t="str">
            <v>PATHOLOGY</v>
          </cell>
          <cell r="I440" t="str">
            <v>04LA126</v>
          </cell>
          <cell r="J440" t="str">
            <v>MICROBIOLOGY UNIT</v>
          </cell>
          <cell r="K440" t="str">
            <v>BMED</v>
          </cell>
          <cell r="L440" t="str">
            <v>Normal</v>
          </cell>
          <cell r="M440" t="str">
            <v>USA</v>
          </cell>
          <cell r="N440" t="str">
            <v>Bacticinerator</v>
          </cell>
          <cell r="O440" t="str">
            <v>Bacticinerator IV</v>
          </cell>
          <cell r="P440" t="str">
            <v>03130001-5</v>
          </cell>
          <cell r="Q440" t="str">
            <v>Not Applicable</v>
          </cell>
          <cell r="R440" t="str">
            <v>Thermo Fisher Scientific Ltd</v>
          </cell>
          <cell r="S440" t="str">
            <v>Bumi Sains Sdn. Bhd.</v>
          </cell>
          <cell r="T440" t="str">
            <v>Functioning</v>
          </cell>
          <cell r="U440" t="str">
            <v>Asset</v>
          </cell>
          <cell r="V440">
            <v>3000</v>
          </cell>
          <cell r="W440" t="str">
            <v>KEW</v>
          </cell>
          <cell r="X440" t="str">
            <v>01/09/2010</v>
          </cell>
          <cell r="Y440" t="str">
            <v>KEW</v>
          </cell>
          <cell r="Z440" t="str">
            <v>16/08/2013</v>
          </cell>
          <cell r="AA440" t="str">
            <v>15/08/2015</v>
          </cell>
          <cell r="AB440" t="str">
            <v>No</v>
          </cell>
          <cell r="AC440" t="str">
            <v>31/08/2013</v>
          </cell>
          <cell r="AD440" t="str">
            <v>Good</v>
          </cell>
          <cell r="AE440" t="str">
            <v>V4 - Decommissioned Installed Facility</v>
          </cell>
          <cell r="AF440">
            <v>42790</v>
          </cell>
          <cell r="AG440">
            <v>9.17</v>
          </cell>
          <cell r="AH440" t="str">
            <v>PPM</v>
          </cell>
          <cell r="AI440" t="str">
            <v>Not in contract</v>
          </cell>
          <cell r="AJ440" t="str">
            <v>Not in contract</v>
          </cell>
          <cell r="AK440" t="str">
            <v>[22/9/2023, SHARIFAH]: PEP ON FEB 2021, BER/BEMS/AWSB/20/013 - Asset mengalami kerosakan pada Heater Element.</v>
          </cell>
        </row>
        <row r="441">
          <cell r="A441" t="str">
            <v>IKN401121</v>
          </cell>
          <cell r="B441">
            <v>1119</v>
          </cell>
          <cell r="C441" t="str">
            <v>Institut Kanser Negara</v>
          </cell>
          <cell r="D441" t="str">
            <v>KKM/IKN/H/13/2127</v>
          </cell>
          <cell r="E441" t="str">
            <v>16-320</v>
          </cell>
          <cell r="F441" t="str">
            <v>Incinerators, Pathology</v>
          </cell>
          <cell r="G441" t="str">
            <v>LA</v>
          </cell>
          <cell r="H441" t="str">
            <v>PATHOLOGY</v>
          </cell>
          <cell r="I441" t="str">
            <v>04LA126</v>
          </cell>
          <cell r="J441" t="str">
            <v>MICROBIOLOGY UNIT</v>
          </cell>
          <cell r="K441" t="str">
            <v>BMED</v>
          </cell>
          <cell r="L441" t="str">
            <v>Normal</v>
          </cell>
          <cell r="M441" t="str">
            <v>USA</v>
          </cell>
          <cell r="N441" t="str">
            <v>Bacticinerator</v>
          </cell>
          <cell r="O441" t="str">
            <v>Bacticinerator IV</v>
          </cell>
          <cell r="P441" t="str">
            <v>03130002-5</v>
          </cell>
          <cell r="Q441" t="str">
            <v>Not Applicable</v>
          </cell>
          <cell r="R441" t="str">
            <v>Thermo Fisher Scientific Ltd</v>
          </cell>
          <cell r="S441" t="str">
            <v>Bumi Sains Sdn. Bhd.</v>
          </cell>
          <cell r="T441" t="str">
            <v>Functioning</v>
          </cell>
          <cell r="U441" t="str">
            <v>Asset</v>
          </cell>
          <cell r="V441">
            <v>3000</v>
          </cell>
          <cell r="W441" t="str">
            <v>KEW</v>
          </cell>
          <cell r="X441" t="str">
            <v>01/09/2010</v>
          </cell>
          <cell r="Y441" t="str">
            <v>KEW</v>
          </cell>
          <cell r="Z441" t="str">
            <v>16/08/2013</v>
          </cell>
          <cell r="AA441" t="str">
            <v>15/08/2015</v>
          </cell>
          <cell r="AB441" t="str">
            <v>No</v>
          </cell>
          <cell r="AC441" t="str">
            <v>31/08/2013</v>
          </cell>
          <cell r="AD441" t="str">
            <v>Good</v>
          </cell>
          <cell r="AE441" t="str">
            <v>V4 - Decommissioned Installed Facility</v>
          </cell>
          <cell r="AF441">
            <v>42790</v>
          </cell>
          <cell r="AG441">
            <v>9.17</v>
          </cell>
          <cell r="AH441" t="str">
            <v>PPM</v>
          </cell>
          <cell r="AI441" t="str">
            <v>Not in contract</v>
          </cell>
          <cell r="AJ441" t="str">
            <v>Not in contract</v>
          </cell>
          <cell r="AK441" t="str">
            <v>[22/9/2023, SHARIFAH]: PEP ON FEB 2021, BER/BEMS/AWSB/20/014 - Asset mengalami kerosakan pada Heater Element.</v>
          </cell>
        </row>
        <row r="442">
          <cell r="A442" t="str">
            <v>IKN401163</v>
          </cell>
          <cell r="B442">
            <v>1161</v>
          </cell>
          <cell r="C442" t="str">
            <v>Institut Kanser Negara</v>
          </cell>
          <cell r="D442" t="str">
            <v>KKM/IKN/H/13/2314</v>
          </cell>
          <cell r="E442" t="str">
            <v>11-295</v>
          </cell>
          <cell r="F442" t="str">
            <v>Dosimeters, Radiation</v>
          </cell>
          <cell r="G442" t="str">
            <v>ID</v>
          </cell>
          <cell r="H442" t="str">
            <v>IMAGING DEPARTMENT</v>
          </cell>
          <cell r="I442" t="str">
            <v>03ID169</v>
          </cell>
          <cell r="J442" t="str">
            <v>RADIOGRAPHER</v>
          </cell>
          <cell r="K442" t="str">
            <v>BMED</v>
          </cell>
          <cell r="L442" t="str">
            <v>Normal</v>
          </cell>
          <cell r="M442" t="str">
            <v>Germany</v>
          </cell>
          <cell r="N442" t="str">
            <v>Thermo Fisher</v>
          </cell>
          <cell r="O442" t="str">
            <v>EPD MK2.5</v>
          </cell>
          <cell r="P442" t="str">
            <v>00289471</v>
          </cell>
          <cell r="Q442" t="str">
            <v>Not Applicable</v>
          </cell>
          <cell r="R442" t="str">
            <v>Thermo Fisher Scientific</v>
          </cell>
          <cell r="S442" t="str">
            <v>Delta Advantech (M) Sdn Bhd</v>
          </cell>
          <cell r="T442" t="str">
            <v>Disposed</v>
          </cell>
          <cell r="U442" t="str">
            <v>Asset</v>
          </cell>
          <cell r="V442">
            <v>4370</v>
          </cell>
          <cell r="W442" t="str">
            <v>KEW</v>
          </cell>
          <cell r="X442" t="str">
            <v>01/09/2010</v>
          </cell>
          <cell r="Y442" t="str">
            <v>KEW</v>
          </cell>
          <cell r="Z442" t="str">
            <v>16/08/2013</v>
          </cell>
          <cell r="AA442" t="str">
            <v>15/08/2015</v>
          </cell>
          <cell r="AB442" t="str">
            <v>No</v>
          </cell>
          <cell r="AC442" t="str">
            <v>31/08/2013</v>
          </cell>
          <cell r="AD442" t="str">
            <v>Good</v>
          </cell>
          <cell r="AE442" t="str">
            <v>V1 - Existing / No Claim</v>
          </cell>
          <cell r="AF442" t="str">
            <v>19/8/2015 - 17/4/2024</v>
          </cell>
          <cell r="AG442">
            <v>9.17</v>
          </cell>
          <cell r="AH442" t="str">
            <v>PPM</v>
          </cell>
          <cell r="AI442" t="str">
            <v>Strands</v>
          </cell>
          <cell r="AJ442" t="str">
            <v>Strands PW. Proposed V4 P1.24.</v>
          </cell>
          <cell r="AK442" t="str">
            <v>[2/4/2024]: BER2 received on 22/5/2023. No need PEP.</v>
          </cell>
        </row>
        <row r="443">
          <cell r="A443" t="str">
            <v>IKN401193</v>
          </cell>
          <cell r="B443">
            <v>1191</v>
          </cell>
          <cell r="C443" t="str">
            <v>Institut Kanser Negara</v>
          </cell>
          <cell r="D443" t="str">
            <v>KKM/IKN/H/13/4005</v>
          </cell>
          <cell r="E443" t="str">
            <v>11-295</v>
          </cell>
          <cell r="F443" t="str">
            <v>Dosimeters, Radiation</v>
          </cell>
          <cell r="G443" t="str">
            <v>NM</v>
          </cell>
          <cell r="H443" t="str">
            <v>NUCLEAR MED (DIAGNOSTIC)</v>
          </cell>
          <cell r="I443" t="str">
            <v>03NM170</v>
          </cell>
          <cell r="J443" t="str">
            <v>CHIEF PHYSICIST</v>
          </cell>
          <cell r="K443" t="str">
            <v>BMED</v>
          </cell>
          <cell r="L443" t="str">
            <v>Normal</v>
          </cell>
          <cell r="M443" t="str">
            <v>Germany</v>
          </cell>
          <cell r="N443" t="str">
            <v>Thermo Fisher</v>
          </cell>
          <cell r="O443" t="str">
            <v>EPD MK2.5</v>
          </cell>
          <cell r="P443" t="str">
            <v>00289472</v>
          </cell>
          <cell r="Q443" t="str">
            <v>Not Applicable</v>
          </cell>
          <cell r="R443" t="str">
            <v>Thermo Fisher Scientific</v>
          </cell>
          <cell r="S443" t="str">
            <v>Delta Advantech (M) Sdn Bhd</v>
          </cell>
          <cell r="T443" t="str">
            <v>Disposed</v>
          </cell>
          <cell r="U443" t="str">
            <v>Asset</v>
          </cell>
          <cell r="V443">
            <v>4370</v>
          </cell>
          <cell r="W443" t="str">
            <v>KEW</v>
          </cell>
          <cell r="X443" t="str">
            <v>01/09/2010</v>
          </cell>
          <cell r="Y443" t="str">
            <v>KEW</v>
          </cell>
          <cell r="Z443" t="str">
            <v>16/08/2013</v>
          </cell>
          <cell r="AA443" t="str">
            <v>15/08/2015</v>
          </cell>
          <cell r="AB443" t="str">
            <v>No</v>
          </cell>
          <cell r="AC443" t="str">
            <v>31/08/2013</v>
          </cell>
          <cell r="AD443" t="str">
            <v>Good</v>
          </cell>
          <cell r="AE443" t="str">
            <v>V1 - Existing / No Claim</v>
          </cell>
          <cell r="AF443" t="str">
            <v>19/8/2015 - 17/4/2024</v>
          </cell>
          <cell r="AG443">
            <v>9.17</v>
          </cell>
          <cell r="AH443" t="str">
            <v>PPM</v>
          </cell>
          <cell r="AI443" t="str">
            <v>Strands</v>
          </cell>
          <cell r="AJ443" t="str">
            <v>Strands PW. Proposed V4 P1.24.</v>
          </cell>
          <cell r="AK443" t="str">
            <v>[ZARINA]: PEP ON 1/3/2023, BER/BEMS/IKN/23/002 - Aset mengalami kerosakan besar iaitu unit tidak berfungsi.</v>
          </cell>
        </row>
        <row r="444">
          <cell r="A444" t="str">
            <v>IKN401216</v>
          </cell>
          <cell r="B444">
            <v>1214</v>
          </cell>
          <cell r="C444" t="str">
            <v>Institut Kanser Negara</v>
          </cell>
          <cell r="D444" t="e">
            <v>#N/A</v>
          </cell>
          <cell r="E444" t="str">
            <v>14-032</v>
          </cell>
          <cell r="F444" t="str">
            <v>Thermometers, Electronic</v>
          </cell>
          <cell r="G444" t="str">
            <v>RT</v>
          </cell>
          <cell r="H444" t="str">
            <v>RADIATION TREATMENT UNIT</v>
          </cell>
          <cell r="I444" t="str">
            <v>01RT213</v>
          </cell>
          <cell r="J444" t="str">
            <v>EQUIPMENT ROOM1</v>
          </cell>
          <cell r="K444" t="str">
            <v>BMED</v>
          </cell>
          <cell r="L444" t="str">
            <v>Normal</v>
          </cell>
          <cell r="M444" t="str">
            <v>Romania</v>
          </cell>
          <cell r="N444" t="str">
            <v>Hanna</v>
          </cell>
          <cell r="O444" t="str">
            <v>HI151-00 CheckTemp 4</v>
          </cell>
          <cell r="P444" t="str">
            <v>473340</v>
          </cell>
          <cell r="Q444" t="str">
            <v>Not Applicable</v>
          </cell>
          <cell r="R444" t="str">
            <v>Hanna Instruments</v>
          </cell>
          <cell r="S444" t="str">
            <v>Delta Advantech (M) Sdn Bhd</v>
          </cell>
          <cell r="T444" t="str">
            <v>Functioning</v>
          </cell>
          <cell r="U444" t="str">
            <v>Asset</v>
          </cell>
          <cell r="V444">
            <v>450</v>
          </cell>
          <cell r="W444" t="str">
            <v>KEW</v>
          </cell>
          <cell r="X444" t="str">
            <v>01/09/2010</v>
          </cell>
          <cell r="Y444" t="str">
            <v>KEW</v>
          </cell>
          <cell r="Z444" t="str">
            <v>16/08/2013</v>
          </cell>
          <cell r="AA444" t="str">
            <v>15/08/2015</v>
          </cell>
          <cell r="AB444" t="str">
            <v>No</v>
          </cell>
          <cell r="AC444" t="str">
            <v>31/08/2013</v>
          </cell>
          <cell r="AD444" t="str">
            <v>Good</v>
          </cell>
          <cell r="AE444" t="str">
            <v>V1 - Existing / No Claim</v>
          </cell>
          <cell r="AF444">
            <v>42235</v>
          </cell>
          <cell r="AG444">
            <v>9.17</v>
          </cell>
          <cell r="AH444" t="str">
            <v>RI</v>
          </cell>
          <cell r="AI444" t="str">
            <v>Not in contract</v>
          </cell>
          <cell r="AK444" t="str">
            <v>[22/8/2024, Sharifah]: User say do not have to calibrate.</v>
          </cell>
        </row>
        <row r="445">
          <cell r="A445" t="str">
            <v>IKN401219</v>
          </cell>
          <cell r="B445">
            <v>1217</v>
          </cell>
          <cell r="C445" t="str">
            <v>Institut Kanser Negara</v>
          </cell>
          <cell r="D445" t="str">
            <v>KKM/IKN/H/13/4006</v>
          </cell>
          <cell r="E445" t="str">
            <v>11-295</v>
          </cell>
          <cell r="F445" t="str">
            <v>Dosimeters, Radiation</v>
          </cell>
          <cell r="G445" t="str">
            <v>NM</v>
          </cell>
          <cell r="H445" t="str">
            <v>NUCLEAR MED (DIAGNOSTIC)</v>
          </cell>
          <cell r="I445" t="str">
            <v>03NM106</v>
          </cell>
          <cell r="J445" t="str">
            <v>OFFICE/RECORDS</v>
          </cell>
          <cell r="K445" t="str">
            <v>BMED</v>
          </cell>
          <cell r="L445" t="str">
            <v>Normal</v>
          </cell>
          <cell r="M445" t="str">
            <v>Germany</v>
          </cell>
          <cell r="N445" t="str">
            <v>Thermo Fisher</v>
          </cell>
          <cell r="O445" t="str">
            <v>EPD MK2.5</v>
          </cell>
          <cell r="P445" t="str">
            <v>00289460</v>
          </cell>
          <cell r="Q445" t="str">
            <v>Not Applicable</v>
          </cell>
          <cell r="R445" t="str">
            <v>Thermo Fisher Scientific</v>
          </cell>
          <cell r="S445" t="str">
            <v>Delta Advantech (M) Sdn Bhd</v>
          </cell>
          <cell r="T445" t="str">
            <v>Disposed</v>
          </cell>
          <cell r="U445" t="str">
            <v>Asset</v>
          </cell>
          <cell r="V445">
            <v>4370</v>
          </cell>
          <cell r="W445" t="str">
            <v>KEW</v>
          </cell>
          <cell r="X445" t="str">
            <v>01/09/2010</v>
          </cell>
          <cell r="Y445" t="str">
            <v>KEW</v>
          </cell>
          <cell r="Z445" t="str">
            <v>16/08/2013</v>
          </cell>
          <cell r="AA445" t="str">
            <v>15/08/2015</v>
          </cell>
          <cell r="AB445" t="str">
            <v>No</v>
          </cell>
          <cell r="AC445" t="str">
            <v>31/08/2013</v>
          </cell>
          <cell r="AD445" t="str">
            <v>Good</v>
          </cell>
          <cell r="AE445" t="str">
            <v>V1 - Existing / No Claim</v>
          </cell>
          <cell r="AF445" t="str">
            <v>19/8/2015 - 17/4/2024</v>
          </cell>
          <cell r="AG445">
            <v>9.17</v>
          </cell>
          <cell r="AH445" t="str">
            <v>PPM</v>
          </cell>
          <cell r="AI445" t="str">
            <v>Strands</v>
          </cell>
          <cell r="AJ445" t="str">
            <v>Strands PW. Proposed V4 P1.24.</v>
          </cell>
          <cell r="AK445" t="str">
            <v>[ZARINA]: PEP ON 1/3/2023, BER/BEMS/IKN/23/003 - Aset mengalami kerosakan pada paparan unit.</v>
          </cell>
        </row>
        <row r="446">
          <cell r="A446" t="str">
            <v>IKN401241</v>
          </cell>
          <cell r="B446">
            <v>1239</v>
          </cell>
          <cell r="C446" t="str">
            <v>Institut Kanser Negara</v>
          </cell>
          <cell r="E446" t="str">
            <v>16-158</v>
          </cell>
          <cell r="F446" t="str">
            <v>Sphygmomanometers, Mercury</v>
          </cell>
          <cell r="G446" t="str">
            <v>MC</v>
          </cell>
          <cell r="H446" t="str">
            <v>MULTI-DISCIPLINE CLINIC</v>
          </cell>
          <cell r="I446" t="str">
            <v>03MC107</v>
          </cell>
          <cell r="J446" t="str">
            <v>TREATMENT 1</v>
          </cell>
          <cell r="K446" t="str">
            <v>BMED</v>
          </cell>
          <cell r="L446" t="str">
            <v>Normal</v>
          </cell>
          <cell r="M446" t="str">
            <v>Germany</v>
          </cell>
          <cell r="N446" t="str">
            <v>Erka</v>
          </cell>
          <cell r="O446" t="str">
            <v>Erkameter 3000</v>
          </cell>
          <cell r="P446" t="str">
            <v>12508918</v>
          </cell>
          <cell r="Q446" t="str">
            <v>Not Applicable</v>
          </cell>
          <cell r="R446" t="str">
            <v>Erka GmbH &amp; Co</v>
          </cell>
          <cell r="S446" t="str">
            <v>Acucare Systems (M) Sdn bhd</v>
          </cell>
          <cell r="T446" t="str">
            <v>Functioning</v>
          </cell>
          <cell r="U446" t="str">
            <v>Asset</v>
          </cell>
          <cell r="V446">
            <v>505</v>
          </cell>
          <cell r="W446" t="str">
            <v>KEW</v>
          </cell>
          <cell r="X446" t="str">
            <v>01/09/2010</v>
          </cell>
          <cell r="Y446" t="str">
            <v>KEW</v>
          </cell>
          <cell r="Z446" t="str">
            <v>16/08/2013</v>
          </cell>
          <cell r="AA446" t="str">
            <v>15/08/2015</v>
          </cell>
          <cell r="AB446" t="str">
            <v>No</v>
          </cell>
          <cell r="AC446" t="str">
            <v>31/08/2013</v>
          </cell>
          <cell r="AD446" t="str">
            <v>Good</v>
          </cell>
          <cell r="AE446" t="str">
            <v>V4 - Decommissioned Installed Facility</v>
          </cell>
          <cell r="AF446">
            <v>42235</v>
          </cell>
          <cell r="AG446">
            <v>9.17</v>
          </cell>
          <cell r="AH446" t="str">
            <v>PPM</v>
          </cell>
          <cell r="AI446" t="str">
            <v>Not in contract</v>
          </cell>
          <cell r="AJ446" t="str">
            <v>Not under maintenance</v>
          </cell>
          <cell r="AK446" t="e">
            <v>#N/A</v>
          </cell>
        </row>
        <row r="447">
          <cell r="A447" t="str">
            <v>IKN401242</v>
          </cell>
          <cell r="B447">
            <v>1240</v>
          </cell>
          <cell r="C447" t="str">
            <v>Institut Kanser Negara</v>
          </cell>
          <cell r="E447" t="str">
            <v>18-595</v>
          </cell>
          <cell r="F447" t="str">
            <v>Ophthalmoscopes/Otoscopes</v>
          </cell>
          <cell r="G447" t="str">
            <v>MC</v>
          </cell>
          <cell r="H447" t="str">
            <v>MULTI-DISCIPLINE CLINIC</v>
          </cell>
          <cell r="I447" t="str">
            <v>03MC107</v>
          </cell>
          <cell r="J447" t="str">
            <v>TREATMENT 1</v>
          </cell>
          <cell r="K447" t="str">
            <v>BMED</v>
          </cell>
          <cell r="L447" t="str">
            <v>Normal</v>
          </cell>
          <cell r="M447" t="str">
            <v>USA</v>
          </cell>
          <cell r="N447" t="str">
            <v>Welch Allyn</v>
          </cell>
          <cell r="O447" t="str">
            <v>Welch Allyn 97150-BIM</v>
          </cell>
          <cell r="P447" t="str">
            <v>N/A</v>
          </cell>
          <cell r="Q447" t="str">
            <v>Not Applicable</v>
          </cell>
          <cell r="R447" t="str">
            <v>Welch Allyn Inc</v>
          </cell>
          <cell r="S447" t="str">
            <v>Welch Allyn Malaysia Sdn Bhd</v>
          </cell>
          <cell r="T447" t="str">
            <v>Functioning</v>
          </cell>
          <cell r="U447" t="str">
            <v>Asset</v>
          </cell>
          <cell r="V447">
            <v>4690</v>
          </cell>
          <cell r="W447" t="str">
            <v>KEW</v>
          </cell>
          <cell r="X447" t="str">
            <v>01/09/2010</v>
          </cell>
          <cell r="Y447" t="str">
            <v>KEW</v>
          </cell>
          <cell r="Z447" t="str">
            <v>16/08/2013</v>
          </cell>
          <cell r="AA447" t="str">
            <v>15/08/2015</v>
          </cell>
          <cell r="AB447" t="str">
            <v>No</v>
          </cell>
          <cell r="AC447" t="str">
            <v>31/08/2013</v>
          </cell>
          <cell r="AD447" t="str">
            <v>Good</v>
          </cell>
          <cell r="AE447" t="str">
            <v>V1 - Existing / No Claim</v>
          </cell>
          <cell r="AF447">
            <v>42235</v>
          </cell>
          <cell r="AG447">
            <v>9.17</v>
          </cell>
          <cell r="AH447" t="str">
            <v>RI</v>
          </cell>
          <cell r="AI447" t="str">
            <v>Not in contract</v>
          </cell>
          <cell r="AJ447" t="str">
            <v>Not under maintenance</v>
          </cell>
          <cell r="AK447" t="str">
            <v>Will be under V4. Taken out of contract as agreed by IKN</v>
          </cell>
        </row>
        <row r="448">
          <cell r="A448" t="str">
            <v>IKN401244</v>
          </cell>
          <cell r="B448">
            <v>1242</v>
          </cell>
          <cell r="C448" t="str">
            <v>Institut Kanser Negara</v>
          </cell>
          <cell r="D448" t="str">
            <v>KKM/IKN/H/13/3683</v>
          </cell>
          <cell r="E448" t="str">
            <v>17-148</v>
          </cell>
          <cell r="F448" t="str">
            <v>Oximeters, Pulse</v>
          </cell>
          <cell r="G448" t="str">
            <v>WH</v>
          </cell>
          <cell r="H448" t="str">
            <v>RT/ONCO WARD 2 (M)</v>
          </cell>
          <cell r="I448" t="str">
            <v>08WH121</v>
          </cell>
          <cell r="J448" t="str">
            <v>EQUIPMENT ROOM</v>
          </cell>
          <cell r="K448" t="str">
            <v>BMED</v>
          </cell>
          <cell r="L448" t="str">
            <v>Critical</v>
          </cell>
          <cell r="M448" t="str">
            <v>USA</v>
          </cell>
          <cell r="N448" t="str">
            <v>PalmSat</v>
          </cell>
          <cell r="O448" t="str">
            <v>PalmSat 2500</v>
          </cell>
          <cell r="P448" t="str">
            <v>501439263</v>
          </cell>
          <cell r="Q448" t="str">
            <v>Not Applicable</v>
          </cell>
          <cell r="R448" t="str">
            <v>Nonin Medical Inc</v>
          </cell>
          <cell r="S448" t="str">
            <v>Acucare Systems (M) Sdn bhd</v>
          </cell>
          <cell r="T448" t="str">
            <v>Functioning</v>
          </cell>
          <cell r="U448" t="str">
            <v>Asset</v>
          </cell>
          <cell r="V448">
            <v>5410</v>
          </cell>
          <cell r="W448" t="str">
            <v>KEW</v>
          </cell>
          <cell r="X448" t="str">
            <v>01/09/2010</v>
          </cell>
          <cell r="Y448" t="str">
            <v>KEW</v>
          </cell>
          <cell r="Z448" t="str">
            <v>16/08/2013</v>
          </cell>
          <cell r="AA448" t="str">
            <v>15/08/2015</v>
          </cell>
          <cell r="AB448" t="str">
            <v>No</v>
          </cell>
          <cell r="AC448" t="str">
            <v>31/08/2013</v>
          </cell>
          <cell r="AD448" t="str">
            <v>Good</v>
          </cell>
          <cell r="AE448" t="str">
            <v>V1 - Existing / No Claim</v>
          </cell>
          <cell r="AF448">
            <v>42788</v>
          </cell>
          <cell r="AG448">
            <v>9.17</v>
          </cell>
          <cell r="AH448" t="str">
            <v>PPM</v>
          </cell>
          <cell r="AI448" t="str">
            <v>Strands</v>
          </cell>
          <cell r="AJ448" t="str">
            <v>Strands PW. Proposed for V4 P2.23</v>
          </cell>
          <cell r="AK448" t="str">
            <v>[18/9/2023, SHARIFAH]: PEP ON 27/7/2023, BER/BEMS/AWSB/23/016 - Asset mengalami kerosakan pada mainboard.</v>
          </cell>
        </row>
        <row r="449">
          <cell r="A449" t="str">
            <v>IKN401262</v>
          </cell>
          <cell r="B449">
            <v>1260</v>
          </cell>
          <cell r="C449" t="str">
            <v>Institut Kanser Negara</v>
          </cell>
          <cell r="D449" t="e">
            <v>#N/A</v>
          </cell>
          <cell r="E449" t="str">
            <v>14-032</v>
          </cell>
          <cell r="F449" t="str">
            <v>Thermometers, Electronic</v>
          </cell>
          <cell r="G449" t="str">
            <v>RT</v>
          </cell>
          <cell r="H449" t="str">
            <v>RADIATION TREATMENT UNIT</v>
          </cell>
          <cell r="I449" t="str">
            <v>01RT213</v>
          </cell>
          <cell r="J449" t="str">
            <v>EQUIPMENT ROOM1</v>
          </cell>
          <cell r="K449" t="str">
            <v>BMED</v>
          </cell>
          <cell r="L449" t="str">
            <v>Normal</v>
          </cell>
          <cell r="M449" t="str">
            <v>Romania</v>
          </cell>
          <cell r="N449" t="str">
            <v>Hanna</v>
          </cell>
          <cell r="O449" t="str">
            <v>HI151-00 CheckTemp 4</v>
          </cell>
          <cell r="P449" t="str">
            <v>473341</v>
          </cell>
          <cell r="Q449" t="str">
            <v>NA</v>
          </cell>
          <cell r="R449" t="str">
            <v>Hanna Instruments</v>
          </cell>
          <cell r="S449" t="str">
            <v>Delta Advantech (M) Sdn Bhd</v>
          </cell>
          <cell r="T449" t="str">
            <v>Functioning</v>
          </cell>
          <cell r="U449" t="str">
            <v>Asset</v>
          </cell>
          <cell r="V449">
            <v>450</v>
          </cell>
          <cell r="W449" t="str">
            <v>KEW</v>
          </cell>
          <cell r="X449" t="str">
            <v>01/09/2010</v>
          </cell>
          <cell r="Y449" t="str">
            <v>KEW</v>
          </cell>
          <cell r="Z449" t="str">
            <v>16/08/2013</v>
          </cell>
          <cell r="AA449" t="str">
            <v>15/08/2015</v>
          </cell>
          <cell r="AB449" t="str">
            <v>No</v>
          </cell>
          <cell r="AC449" t="str">
            <v>31/08/2013</v>
          </cell>
          <cell r="AD449" t="str">
            <v>Good</v>
          </cell>
          <cell r="AE449" t="str">
            <v>V1 - Existing / No Claim</v>
          </cell>
          <cell r="AF449">
            <v>42398</v>
          </cell>
          <cell r="AG449">
            <v>9.17</v>
          </cell>
          <cell r="AH449" t="str">
            <v>RI</v>
          </cell>
          <cell r="AI449" t="str">
            <v>Not in contract</v>
          </cell>
          <cell r="AJ449" t="e">
            <v>#REF!</v>
          </cell>
          <cell r="AK449" t="str">
            <v>Unit found faulty 2021.</v>
          </cell>
        </row>
        <row r="450">
          <cell r="A450" t="str">
            <v>IKN401290</v>
          </cell>
          <cell r="B450">
            <v>1286</v>
          </cell>
          <cell r="C450" t="str">
            <v>Institut Kanser Negara</v>
          </cell>
          <cell r="D450" t="e">
            <v>#N/A</v>
          </cell>
          <cell r="E450" t="str">
            <v>10-849</v>
          </cell>
          <cell r="F450" t="str">
            <v>Circulatory Assist Units, Venous Return</v>
          </cell>
          <cell r="G450" t="str">
            <v>PC</v>
          </cell>
          <cell r="H450" t="str">
            <v>PALLIATIVE CARE UNIT</v>
          </cell>
          <cell r="I450" t="str">
            <v>04PC109</v>
          </cell>
          <cell r="J450" t="str">
            <v>GEN. STORE</v>
          </cell>
          <cell r="K450" t="str">
            <v>BMED</v>
          </cell>
          <cell r="L450" t="str">
            <v>Critical</v>
          </cell>
          <cell r="M450" t="str">
            <v>USA</v>
          </cell>
          <cell r="N450" t="str">
            <v>MediPress</v>
          </cell>
          <cell r="O450" t="str">
            <v>MediPress 6101</v>
          </cell>
          <cell r="P450" t="str">
            <v>P131203682</v>
          </cell>
          <cell r="Q450" t="str">
            <v>Not Applicable</v>
          </cell>
          <cell r="R450" t="str">
            <v>Meridian Medical</v>
          </cell>
          <cell r="S450" t="str">
            <v>MEDIKA SUPPLIES SDN BHD</v>
          </cell>
          <cell r="T450" t="str">
            <v>Transferred</v>
          </cell>
          <cell r="U450" t="str">
            <v>Asset</v>
          </cell>
          <cell r="V450">
            <v>3300</v>
          </cell>
          <cell r="W450" t="str">
            <v>KEW</v>
          </cell>
          <cell r="X450" t="str">
            <v>03/12/2013</v>
          </cell>
          <cell r="Y450" t="str">
            <v>Estimate</v>
          </cell>
          <cell r="Z450" t="str">
            <v>03/12/2013</v>
          </cell>
          <cell r="AA450" t="str">
            <v>02/12/2015</v>
          </cell>
          <cell r="AB450" t="str">
            <v>No</v>
          </cell>
          <cell r="AC450" t="str">
            <v>03/12/2013</v>
          </cell>
          <cell r="AD450" t="str">
            <v>Good</v>
          </cell>
          <cell r="AE450" t="str">
            <v>V4 - Decommissioned Installed Facility</v>
          </cell>
          <cell r="AF450">
            <v>43367</v>
          </cell>
          <cell r="AG450">
            <v>5.92</v>
          </cell>
          <cell r="AH450" t="str">
            <v>PPM</v>
          </cell>
          <cell r="AI450" t="str">
            <v>Not in contract</v>
          </cell>
          <cell r="AJ450" t="str">
            <v>Not in contract</v>
          </cell>
          <cell r="AK450" t="str">
            <v>Transfer to Alor Setar.</v>
          </cell>
        </row>
        <row r="451">
          <cell r="A451" t="str">
            <v>IKN401321</v>
          </cell>
          <cell r="B451" t="str">
            <v>Institut Kanser Negara</v>
          </cell>
          <cell r="C451" t="str">
            <v>KKM/IKN/H/13/5081</v>
          </cell>
          <cell r="E451" t="str">
            <v>15-076</v>
          </cell>
          <cell r="F451" t="str">
            <v>Laryngoscopes, Rigid</v>
          </cell>
          <cell r="G451" t="str">
            <v>MC</v>
          </cell>
          <cell r="H451" t="str">
            <v>MULTI-DISCIPLINE CLINIC</v>
          </cell>
          <cell r="I451" t="str">
            <v>03MC127</v>
          </cell>
          <cell r="J451" t="str">
            <v>C/E 1 (ENT)</v>
          </cell>
          <cell r="K451" t="str">
            <v>BMED</v>
          </cell>
          <cell r="L451" t="str">
            <v>Normal</v>
          </cell>
          <cell r="M451" t="str">
            <v>Not Available</v>
          </cell>
          <cell r="N451" t="str">
            <v>Not Available</v>
          </cell>
          <cell r="O451" t="str">
            <v>Not Available</v>
          </cell>
          <cell r="P451" t="str">
            <v>Not Available</v>
          </cell>
          <cell r="Q451" t="str">
            <v>Not Available</v>
          </cell>
          <cell r="R451" t="str">
            <v>Antah Sir Radin Sdn. Bhd.</v>
          </cell>
          <cell r="S451" t="str">
            <v>Functioning</v>
          </cell>
          <cell r="T451" t="str">
            <v>Functioning</v>
          </cell>
          <cell r="U451" t="str">
            <v>KEW</v>
          </cell>
          <cell r="V451">
            <v>4000</v>
          </cell>
          <cell r="W451" t="str">
            <v>KEW</v>
          </cell>
          <cell r="X451" t="str">
            <v>31/08/2013</v>
          </cell>
          <cell r="Y451" t="str">
            <v>15/08/2015</v>
          </cell>
          <cell r="Z451" t="str">
            <v>No</v>
          </cell>
          <cell r="AA451" t="str">
            <v>31/08/2013</v>
          </cell>
          <cell r="AB451" t="str">
            <v>Good</v>
          </cell>
          <cell r="AC451" t="str">
            <v>V4 - Decommissioned Installed Facility</v>
          </cell>
          <cell r="AD451">
            <v>42630</v>
          </cell>
          <cell r="AG451">
            <v>9.17</v>
          </cell>
        </row>
        <row r="452">
          <cell r="A452" t="str">
            <v>IKN401322</v>
          </cell>
          <cell r="B452">
            <v>1316</v>
          </cell>
          <cell r="C452" t="str">
            <v>Institut Kanser Negara</v>
          </cell>
          <cell r="D452" t="str">
            <v>KKM/IKN/H/13/5082</v>
          </cell>
          <cell r="E452" t="str">
            <v>15-076</v>
          </cell>
          <cell r="F452" t="str">
            <v>Laryngoscopes, Rigid</v>
          </cell>
          <cell r="G452" t="str">
            <v>MC</v>
          </cell>
          <cell r="H452" t="str">
            <v>MULTI-DISCIPLINE CLINIC</v>
          </cell>
          <cell r="I452" t="str">
            <v>03MC127</v>
          </cell>
          <cell r="J452" t="str">
            <v>C/E 1 (ENT)</v>
          </cell>
          <cell r="K452" t="str">
            <v>BMED</v>
          </cell>
          <cell r="L452" t="str">
            <v>Normal</v>
          </cell>
          <cell r="M452" t="str">
            <v>Not Available</v>
          </cell>
          <cell r="N452" t="str">
            <v>Not Available</v>
          </cell>
          <cell r="O452" t="str">
            <v>Not Available</v>
          </cell>
          <cell r="P452" t="str">
            <v>Not Available</v>
          </cell>
          <cell r="Q452" t="str">
            <v>Not Available</v>
          </cell>
          <cell r="R452" t="str">
            <v>Not Available</v>
          </cell>
          <cell r="S452" t="str">
            <v>Antah Sir Radin Sdn. Bhd.</v>
          </cell>
          <cell r="T452" t="str">
            <v>Functioning</v>
          </cell>
          <cell r="U452" t="str">
            <v>Asset</v>
          </cell>
          <cell r="V452">
            <v>4000</v>
          </cell>
          <cell r="W452" t="str">
            <v>KEW</v>
          </cell>
          <cell r="X452" t="str">
            <v>01/09/2010</v>
          </cell>
          <cell r="Y452" t="str">
            <v>KEW</v>
          </cell>
          <cell r="Z452" t="str">
            <v>31/08/2013</v>
          </cell>
          <cell r="AA452" t="str">
            <v>15/08/2015</v>
          </cell>
          <cell r="AB452" t="str">
            <v>No</v>
          </cell>
          <cell r="AC452" t="str">
            <v>31/08/2013</v>
          </cell>
          <cell r="AD452" t="str">
            <v>Good</v>
          </cell>
          <cell r="AE452" t="str">
            <v>V4 - Decommissioned Installed Facility</v>
          </cell>
          <cell r="AF452">
            <v>42630</v>
          </cell>
          <cell r="AG452">
            <v>9.17</v>
          </cell>
          <cell r="AH452" t="str">
            <v>RI</v>
          </cell>
          <cell r="AI452" t="str">
            <v>Strands</v>
          </cell>
          <cell r="AJ452" t="str">
            <v>Not under maintenance</v>
          </cell>
        </row>
        <row r="453">
          <cell r="A453" t="str">
            <v>IKN401345</v>
          </cell>
          <cell r="B453">
            <v>1339</v>
          </cell>
          <cell r="C453" t="str">
            <v>Institut Kanser Negara</v>
          </cell>
          <cell r="D453" t="str">
            <v>KKM/IKN/H/14/109</v>
          </cell>
          <cell r="E453" t="str">
            <v>11-295</v>
          </cell>
          <cell r="F453" t="str">
            <v>Dosimeters, Radiation</v>
          </cell>
          <cell r="G453" t="str">
            <v>NM</v>
          </cell>
          <cell r="H453" t="str">
            <v>NUCLEAR MED (DIAGNOSTIC)</v>
          </cell>
          <cell r="I453" t="str">
            <v>03NM180</v>
          </cell>
          <cell r="J453" t="str">
            <v>GEN.OFFICE</v>
          </cell>
          <cell r="K453" t="str">
            <v>BMED</v>
          </cell>
          <cell r="L453" t="str">
            <v>Normal</v>
          </cell>
          <cell r="M453" t="str">
            <v>Japan</v>
          </cell>
          <cell r="N453" t="str">
            <v>Aloka</v>
          </cell>
          <cell r="O453" t="str">
            <v>PDM-222C-SH</v>
          </cell>
          <cell r="P453" t="str">
            <v>203V1524</v>
          </cell>
          <cell r="Q453" t="str">
            <v>Not Applicable</v>
          </cell>
          <cell r="R453" t="str">
            <v>Hitachi Aloka Medical Co Ltd</v>
          </cell>
          <cell r="S453" t="str">
            <v>Elite</v>
          </cell>
          <cell r="T453" t="str">
            <v>Disposed</v>
          </cell>
          <cell r="U453" t="str">
            <v>Asset</v>
          </cell>
          <cell r="V453">
            <v>1883</v>
          </cell>
          <cell r="W453" t="str">
            <v>KEW</v>
          </cell>
          <cell r="X453" t="str">
            <v>06/11/2014</v>
          </cell>
          <cell r="Y453" t="str">
            <v>KEW</v>
          </cell>
          <cell r="Z453" t="str">
            <v>05/12/2014</v>
          </cell>
          <cell r="AA453" t="str">
            <v>04/12/2016</v>
          </cell>
          <cell r="AB453" t="str">
            <v>No</v>
          </cell>
          <cell r="AC453" t="str">
            <v>05/12/2014</v>
          </cell>
          <cell r="AD453" t="str">
            <v>Good</v>
          </cell>
          <cell r="AE453" t="str">
            <v>V3 - Added Installed Facilities (New)</v>
          </cell>
          <cell r="AF453" t="str">
            <v>31/10/2018 - 1/12/2022</v>
          </cell>
          <cell r="AG453">
            <v>5</v>
          </cell>
          <cell r="AH453" t="str">
            <v>PPM</v>
          </cell>
          <cell r="AI453" t="str">
            <v>Strands</v>
          </cell>
          <cell r="AJ453" t="str">
            <v>Strands (V4 P1.23.)</v>
          </cell>
          <cell r="AK453" t="str">
            <v>SNF received. 1st batch of V3 asset (December 2020). [23/8/2023, Sharifah]: V4 on P1.23</v>
          </cell>
        </row>
        <row r="454">
          <cell r="A454" t="str">
            <v>IKN401380</v>
          </cell>
          <cell r="B454">
            <v>1374</v>
          </cell>
          <cell r="C454" t="str">
            <v>Institut Kanser Negara</v>
          </cell>
          <cell r="D454" t="e">
            <v>#N/A</v>
          </cell>
          <cell r="E454" t="str">
            <v>17-148</v>
          </cell>
          <cell r="F454" t="str">
            <v>Oximeters, Pulse</v>
          </cell>
          <cell r="G454" t="str">
            <v>NM</v>
          </cell>
          <cell r="H454" t="str">
            <v>NUCLEAR MED (DIAGNOSTIC)</v>
          </cell>
          <cell r="I454" t="str">
            <v>03NM108</v>
          </cell>
          <cell r="J454" t="str">
            <v>TREATMENT 1 (RAI)(VE)</v>
          </cell>
          <cell r="K454" t="str">
            <v>BMED</v>
          </cell>
          <cell r="L454" t="str">
            <v>Critical</v>
          </cell>
          <cell r="M454" t="str">
            <v>UK</v>
          </cell>
          <cell r="N454" t="str">
            <v>Trusat</v>
          </cell>
          <cell r="O454" t="str">
            <v>Trusat</v>
          </cell>
          <cell r="P454" t="str">
            <v>FCC12430059SA</v>
          </cell>
          <cell r="Q454" t="str">
            <v>NA</v>
          </cell>
          <cell r="R454" t="str">
            <v>Datex-Ohmeda Inc</v>
          </cell>
          <cell r="S454" t="str">
            <v>GE HEALTHCARE SDN BHD</v>
          </cell>
          <cell r="T454" t="str">
            <v>Not Functioning</v>
          </cell>
          <cell r="U454" t="str">
            <v>Asset</v>
          </cell>
          <cell r="V454">
            <v>11120</v>
          </cell>
          <cell r="W454" t="str">
            <v>KEW</v>
          </cell>
          <cell r="X454" t="str">
            <v>01/09/2010</v>
          </cell>
          <cell r="Y454" t="str">
            <v>KEW</v>
          </cell>
          <cell r="Z454" t="str">
            <v>16/08/2013</v>
          </cell>
          <cell r="AA454" t="str">
            <v>15/08/2015</v>
          </cell>
          <cell r="AB454" t="str">
            <v>No</v>
          </cell>
          <cell r="AC454" t="str">
            <v>30/08/2013</v>
          </cell>
          <cell r="AD454" t="str">
            <v>Good</v>
          </cell>
          <cell r="AE454" t="str">
            <v>V4 - Decommissioned Installed Facility</v>
          </cell>
          <cell r="AF454">
            <v>43404</v>
          </cell>
          <cell r="AG454">
            <v>9.17</v>
          </cell>
          <cell r="AH454" t="str">
            <v>PPM</v>
          </cell>
          <cell r="AI454" t="str">
            <v>Not in contract</v>
          </cell>
          <cell r="AJ454" t="str">
            <v>Not in contract</v>
          </cell>
          <cell r="AK454" t="e">
            <v>#N/A</v>
          </cell>
        </row>
        <row r="455">
          <cell r="A455" t="str">
            <v>IKN401381</v>
          </cell>
          <cell r="B455">
            <v>1375</v>
          </cell>
          <cell r="C455" t="str">
            <v>Institut Kanser Negara</v>
          </cell>
          <cell r="D455" t="e">
            <v>#N/A</v>
          </cell>
          <cell r="E455" t="str">
            <v>13-275</v>
          </cell>
          <cell r="F455" t="str">
            <v>Calibrators, Radioisotope</v>
          </cell>
          <cell r="G455" t="str">
            <v>NM</v>
          </cell>
          <cell r="H455" t="str">
            <v>NUCLEAR MED (DIAGNOSTIC)</v>
          </cell>
          <cell r="I455" t="str">
            <v>03NM138</v>
          </cell>
          <cell r="J455" t="str">
            <v>RADIOIODINE PREP. (100% F.A)</v>
          </cell>
          <cell r="K455" t="str">
            <v>BMED</v>
          </cell>
          <cell r="L455" t="str">
            <v>Normal</v>
          </cell>
          <cell r="M455" t="str">
            <v>USA</v>
          </cell>
          <cell r="N455" t="str">
            <v>Atomlab</v>
          </cell>
          <cell r="O455" t="str">
            <v>Atomlab 500</v>
          </cell>
          <cell r="P455">
            <v>12080700</v>
          </cell>
          <cell r="Q455" t="str">
            <v>NA</v>
          </cell>
          <cell r="R455" t="str">
            <v>Biodex Medical Systems Inc</v>
          </cell>
          <cell r="S455" t="str">
            <v>PHILIPS</v>
          </cell>
          <cell r="T455" t="str">
            <v>Not Functioning</v>
          </cell>
          <cell r="U455" t="str">
            <v>Asset</v>
          </cell>
          <cell r="V455">
            <v>60390</v>
          </cell>
          <cell r="W455" t="str">
            <v>Replacement</v>
          </cell>
          <cell r="X455" t="str">
            <v>01/09/2010</v>
          </cell>
          <cell r="Y455" t="str">
            <v>KEW</v>
          </cell>
          <cell r="Z455" t="str">
            <v>16/08/2013</v>
          </cell>
          <cell r="AA455" t="str">
            <v>15/08/2015</v>
          </cell>
          <cell r="AB455" t="str">
            <v>No</v>
          </cell>
          <cell r="AC455" t="str">
            <v>30/08/2013</v>
          </cell>
          <cell r="AD455" t="str">
            <v>Good</v>
          </cell>
          <cell r="AE455" t="str">
            <v>V4 - Decommissioned Installed Facility</v>
          </cell>
          <cell r="AF455">
            <v>43404</v>
          </cell>
          <cell r="AG455">
            <v>9.17</v>
          </cell>
          <cell r="AH455" t="str">
            <v>PPM</v>
          </cell>
          <cell r="AI455" t="str">
            <v>Not in contract</v>
          </cell>
          <cell r="AJ455" t="str">
            <v>Not in contract</v>
          </cell>
          <cell r="AK455" t="e">
            <v>#N/A</v>
          </cell>
        </row>
        <row r="456">
          <cell r="A456" t="str">
            <v>IKN401382</v>
          </cell>
          <cell r="B456">
            <v>1376</v>
          </cell>
          <cell r="C456" t="str">
            <v>Institut Kanser Negara</v>
          </cell>
          <cell r="D456" t="str">
            <v>KKM/IKN/H/13/3989</v>
          </cell>
          <cell r="E456" t="str">
            <v>13-275</v>
          </cell>
          <cell r="F456" t="str">
            <v>Calibrators, Radioisotope</v>
          </cell>
          <cell r="G456" t="str">
            <v>NM</v>
          </cell>
          <cell r="H456" t="str">
            <v>NUCLEAR MED (DIAGNOSTIC)</v>
          </cell>
          <cell r="I456" t="str">
            <v>03NM139</v>
          </cell>
          <cell r="J456" t="str">
            <v>QC</v>
          </cell>
          <cell r="K456" t="str">
            <v>BMED</v>
          </cell>
          <cell r="L456" t="str">
            <v>Normal</v>
          </cell>
          <cell r="M456" t="str">
            <v>USA</v>
          </cell>
          <cell r="N456" t="str">
            <v>Atomlab</v>
          </cell>
          <cell r="O456" t="str">
            <v>Atomlab 500</v>
          </cell>
          <cell r="P456" t="str">
            <v>12080702</v>
          </cell>
          <cell r="Q456" t="str">
            <v>NA</v>
          </cell>
          <cell r="R456" t="str">
            <v>Biodex Medical Systems Inc</v>
          </cell>
          <cell r="S456" t="str">
            <v>PHILIPS</v>
          </cell>
          <cell r="T456" t="str">
            <v>Not Functioning</v>
          </cell>
          <cell r="U456" t="str">
            <v>Asset</v>
          </cell>
          <cell r="V456">
            <v>60390</v>
          </cell>
          <cell r="W456" t="str">
            <v>KEW</v>
          </cell>
          <cell r="X456" t="str">
            <v>01/09/2010</v>
          </cell>
          <cell r="Y456" t="str">
            <v>Estimate</v>
          </cell>
          <cell r="Z456" t="str">
            <v>16/08/2013</v>
          </cell>
          <cell r="AA456" t="str">
            <v>15/08/2015</v>
          </cell>
          <cell r="AB456" t="str">
            <v>No</v>
          </cell>
          <cell r="AC456" t="str">
            <v>30/08/2013</v>
          </cell>
          <cell r="AD456" t="str">
            <v>Good</v>
          </cell>
          <cell r="AE456" t="str">
            <v>V4 - Decommissioned Installed Facility</v>
          </cell>
          <cell r="AF456">
            <v>43404</v>
          </cell>
          <cell r="AG456">
            <v>9.17</v>
          </cell>
          <cell r="AH456" t="str">
            <v>PPM</v>
          </cell>
          <cell r="AI456" t="str">
            <v>Not in contract</v>
          </cell>
          <cell r="AJ456" t="str">
            <v>Not in contract</v>
          </cell>
          <cell r="AK456" t="str">
            <v>[SHARIFAH; 10/7/2023]: SNF (STOP SERVICE) RECEIVED ON 10/7/2023.</v>
          </cell>
        </row>
        <row r="457">
          <cell r="A457" t="str">
            <v>IKN401404</v>
          </cell>
          <cell r="B457">
            <v>1389</v>
          </cell>
          <cell r="C457" t="str">
            <v>Institut Kanser Negara</v>
          </cell>
          <cell r="D457" t="str">
            <v>KKM/IKN/H/13/1876</v>
          </cell>
          <cell r="E457" t="str">
            <v>13-461</v>
          </cell>
          <cell r="F457" t="str">
            <v>Scales, Patient, Floor</v>
          </cell>
          <cell r="G457" t="str">
            <v>WJ</v>
          </cell>
          <cell r="H457" t="str">
            <v>MULTIDISCIPLINE WARD 1</v>
          </cell>
          <cell r="I457" t="str">
            <v>09WJ205</v>
          </cell>
          <cell r="J457" t="str">
            <v>NURSE STATION</v>
          </cell>
          <cell r="K457" t="str">
            <v>BMED</v>
          </cell>
          <cell r="L457" t="str">
            <v>Normal</v>
          </cell>
          <cell r="M457" t="str">
            <v>USA</v>
          </cell>
          <cell r="N457" t="str">
            <v>Detecto</v>
          </cell>
          <cell r="O457" t="str">
            <v>758 C</v>
          </cell>
          <cell r="P457" t="str">
            <v>E-32112-0201</v>
          </cell>
          <cell r="Q457" t="str">
            <v>NA</v>
          </cell>
          <cell r="R457" t="str">
            <v>DETECTO</v>
          </cell>
          <cell r="S457" t="str">
            <v>ACUCARE SYSTEM SDN BHD</v>
          </cell>
          <cell r="T457" t="str">
            <v>Functioning</v>
          </cell>
          <cell r="U457" t="str">
            <v>Asset</v>
          </cell>
          <cell r="V457">
            <v>9380</v>
          </cell>
          <cell r="W457" t="str">
            <v>KEW</v>
          </cell>
          <cell r="X457" t="str">
            <v>01/09/2010</v>
          </cell>
          <cell r="Y457" t="str">
            <v>Estimate</v>
          </cell>
          <cell r="Z457" t="str">
            <v>16/08/2013</v>
          </cell>
          <cell r="AA457" t="str">
            <v>15/08/2015</v>
          </cell>
          <cell r="AB457" t="str">
            <v>No</v>
          </cell>
          <cell r="AC457" t="str">
            <v>31/08/2013</v>
          </cell>
          <cell r="AD457" t="str">
            <v>Good</v>
          </cell>
          <cell r="AE457" t="str">
            <v>V1 - Existing / No Claim</v>
          </cell>
          <cell r="AF457">
            <v>42781</v>
          </cell>
          <cell r="AG457">
            <v>9.17</v>
          </cell>
          <cell r="AH457" t="str">
            <v>PPM</v>
          </cell>
          <cell r="AI457" t="str">
            <v>Strands</v>
          </cell>
          <cell r="AJ457" t="str">
            <v>Strands PW. Proposed for V4 P2.23</v>
          </cell>
          <cell r="AK457" t="str">
            <v>[18/9/2023, SHARIFAH]: PEP ON 27/7/2023, BER/BEMS/IKN/23/015 - Asset mengalami kerosakan pada load sensor.</v>
          </cell>
        </row>
        <row r="458">
          <cell r="A458" t="str">
            <v>IKN401421</v>
          </cell>
          <cell r="B458">
            <v>1401</v>
          </cell>
          <cell r="C458" t="str">
            <v>Institut Kanser Negara</v>
          </cell>
          <cell r="D458" t="str">
            <v>KKM/IKN/H/13/3175</v>
          </cell>
          <cell r="E458" t="str">
            <v>13-461</v>
          </cell>
          <cell r="F458" t="str">
            <v>Scales, Patient, Floor</v>
          </cell>
          <cell r="G458" t="str">
            <v>WF</v>
          </cell>
          <cell r="H458" t="str">
            <v>RT/ONCO WARD 2 (F)</v>
          </cell>
          <cell r="I458" t="str">
            <v>07WF143</v>
          </cell>
          <cell r="J458" t="str">
            <v>NURSE STATION</v>
          </cell>
          <cell r="K458" t="str">
            <v>BMED</v>
          </cell>
          <cell r="L458" t="str">
            <v>Normal</v>
          </cell>
          <cell r="M458" t="str">
            <v>USA</v>
          </cell>
          <cell r="N458" t="str">
            <v>Detecto</v>
          </cell>
          <cell r="O458" t="str">
            <v>758 C</v>
          </cell>
          <cell r="P458" t="str">
            <v>E 34812-0040</v>
          </cell>
          <cell r="Q458" t="str">
            <v>Not Available</v>
          </cell>
          <cell r="R458" t="str">
            <v>DETECTO</v>
          </cell>
          <cell r="S458" t="str">
            <v>Acucare System (M) Sdn. Bhd</v>
          </cell>
          <cell r="T458" t="str">
            <v>Functioning</v>
          </cell>
          <cell r="U458" t="str">
            <v>Asset</v>
          </cell>
          <cell r="V458">
            <v>9380</v>
          </cell>
          <cell r="W458" t="str">
            <v>KEW</v>
          </cell>
          <cell r="X458" t="str">
            <v>01/09/2010</v>
          </cell>
          <cell r="Y458" t="str">
            <v>KEW</v>
          </cell>
          <cell r="Z458" t="str">
            <v>16/08/2013</v>
          </cell>
          <cell r="AA458" t="str">
            <v>15/08/2015</v>
          </cell>
          <cell r="AB458" t="str">
            <v>No</v>
          </cell>
          <cell r="AC458" t="str">
            <v>31/08/2013</v>
          </cell>
          <cell r="AD458" t="str">
            <v>Good</v>
          </cell>
          <cell r="AE458" t="str">
            <v>V1 - Existing / No Claim</v>
          </cell>
          <cell r="AF458">
            <v>42788</v>
          </cell>
          <cell r="AG458">
            <v>9.17</v>
          </cell>
          <cell r="AH458" t="str">
            <v>PPM</v>
          </cell>
          <cell r="AI458" t="str">
            <v>Strands</v>
          </cell>
          <cell r="AJ458" t="str">
            <v>Strands PW. Proposed for V4 P2.23</v>
          </cell>
          <cell r="AK458" t="str">
            <v>[5/7/2023] INDIRA: DETECTO TIADA DI WAD 7B. [SHARIFAH, 16/10/2023]: PEP ON 21/7/2023. BER/BEMS/IKN/22/002 - Aset telah mengalami kerosakan pada komponen mainboard dan display panel. Aset ini tidak ekonomik diperbaiki lagi.</v>
          </cell>
        </row>
        <row r="459">
          <cell r="A459" t="str">
            <v>IKN401435</v>
          </cell>
          <cell r="B459">
            <v>1411</v>
          </cell>
          <cell r="C459" t="str">
            <v>Institut Kanser Negara</v>
          </cell>
          <cell r="E459" t="str">
            <v>17-887</v>
          </cell>
          <cell r="F459" t="str">
            <v>Thermometers, Electronic, Infrared, Ear</v>
          </cell>
          <cell r="G459" t="str">
            <v>MC</v>
          </cell>
          <cell r="H459" t="str">
            <v>MULTI-DISCIPLINE CLINIC</v>
          </cell>
          <cell r="I459" t="str">
            <v>03MC127</v>
          </cell>
          <cell r="J459" t="str">
            <v>C/E 1 (ENT)</v>
          </cell>
          <cell r="K459" t="str">
            <v>BMED</v>
          </cell>
          <cell r="L459" t="str">
            <v>Normal</v>
          </cell>
          <cell r="M459" t="str">
            <v>Mexico</v>
          </cell>
          <cell r="N459" t="str">
            <v>Thermoscan</v>
          </cell>
          <cell r="O459" t="str">
            <v>Thermoscan Pro 4000</v>
          </cell>
          <cell r="P459" t="str">
            <v>33412K02317</v>
          </cell>
          <cell r="Q459" t="str">
            <v>Not Available</v>
          </cell>
          <cell r="R459" t="str">
            <v>Welch Allyn Inc</v>
          </cell>
          <cell r="S459" t="str">
            <v>Welch Allyn Malaysia Sdn. Bhd</v>
          </cell>
          <cell r="T459" t="str">
            <v>Functioning</v>
          </cell>
          <cell r="U459" t="str">
            <v>Asset</v>
          </cell>
          <cell r="V459">
            <v>540</v>
          </cell>
          <cell r="W459" t="str">
            <v>KEW</v>
          </cell>
          <cell r="X459" t="str">
            <v>01/09/2010</v>
          </cell>
          <cell r="Y459" t="str">
            <v>KEW</v>
          </cell>
          <cell r="Z459" t="str">
            <v>16/08/2013</v>
          </cell>
          <cell r="AA459" t="str">
            <v>15/08/2015</v>
          </cell>
          <cell r="AB459" t="str">
            <v>No</v>
          </cell>
          <cell r="AC459" t="str">
            <v>31/08/2013</v>
          </cell>
          <cell r="AD459" t="str">
            <v>Good</v>
          </cell>
          <cell r="AE459" t="str">
            <v>V1 - Existing / No Claim</v>
          </cell>
          <cell r="AF459">
            <v>42781</v>
          </cell>
          <cell r="AG459">
            <v>9.17</v>
          </cell>
          <cell r="AH459" t="str">
            <v>RI</v>
          </cell>
          <cell r="AI459" t="str">
            <v>Not in contract</v>
          </cell>
          <cell r="AJ459" t="str">
            <v>Not under maintenance</v>
          </cell>
          <cell r="AK459" t="e">
            <v>#N/A</v>
          </cell>
        </row>
        <row r="460">
          <cell r="A460" t="str">
            <v>IKN401437</v>
          </cell>
          <cell r="B460">
            <v>1413</v>
          </cell>
          <cell r="C460" t="str">
            <v>Institut Kanser Negara</v>
          </cell>
          <cell r="E460" t="str">
            <v>17-887</v>
          </cell>
          <cell r="F460" t="str">
            <v>Thermometers, Electronic, Infrared, Ear</v>
          </cell>
          <cell r="G460" t="str">
            <v>MC</v>
          </cell>
          <cell r="H460" t="str">
            <v>MULTI-DISCIPLINE CLINIC</v>
          </cell>
          <cell r="I460" t="str">
            <v>03MC107</v>
          </cell>
          <cell r="J460" t="str">
            <v>TREATMENT 1</v>
          </cell>
          <cell r="K460" t="str">
            <v>BMED</v>
          </cell>
          <cell r="L460" t="str">
            <v>Normal</v>
          </cell>
          <cell r="M460" t="str">
            <v>Mexico</v>
          </cell>
          <cell r="N460" t="str">
            <v>Thermoscan</v>
          </cell>
          <cell r="O460" t="str">
            <v>Thermoscan Pro 4000</v>
          </cell>
          <cell r="P460" t="str">
            <v>33412K05388</v>
          </cell>
          <cell r="Q460" t="str">
            <v>Not Applicable</v>
          </cell>
          <cell r="R460" t="str">
            <v>Welch Allyn Inc</v>
          </cell>
          <cell r="S460" t="str">
            <v>Welch Allyn Malaysia Sdn. Bhd</v>
          </cell>
          <cell r="T460" t="str">
            <v>Functioning</v>
          </cell>
          <cell r="U460" t="str">
            <v>Asset</v>
          </cell>
          <cell r="V460">
            <v>540</v>
          </cell>
          <cell r="W460" t="str">
            <v>KEW</v>
          </cell>
          <cell r="X460" t="str">
            <v>01/09/2010</v>
          </cell>
          <cell r="Y460" t="str">
            <v>KEW</v>
          </cell>
          <cell r="Z460" t="str">
            <v>16/08/2013</v>
          </cell>
          <cell r="AA460" t="str">
            <v>15/08/2015</v>
          </cell>
          <cell r="AB460" t="str">
            <v>No</v>
          </cell>
          <cell r="AC460" t="str">
            <v>31/08/2013</v>
          </cell>
          <cell r="AD460" t="str">
            <v>Good</v>
          </cell>
          <cell r="AE460" t="str">
            <v>V1 - Existing / No Claim</v>
          </cell>
          <cell r="AF460">
            <v>42799</v>
          </cell>
          <cell r="AG460">
            <v>9.17</v>
          </cell>
          <cell r="AH460" t="str">
            <v>RI</v>
          </cell>
          <cell r="AI460" t="str">
            <v>Not in contract</v>
          </cell>
          <cell r="AJ460" t="str">
            <v>Not under maintenance</v>
          </cell>
          <cell r="AK460" t="e">
            <v>#N/A</v>
          </cell>
        </row>
        <row r="461">
          <cell r="A461" t="str">
            <v>IKN401438</v>
          </cell>
          <cell r="B461">
            <v>1414</v>
          </cell>
          <cell r="C461" t="str">
            <v>Institut Kanser Negara</v>
          </cell>
          <cell r="E461" t="str">
            <v>17-887</v>
          </cell>
          <cell r="F461" t="str">
            <v>Thermometers, Electronic, Infrared, Ear</v>
          </cell>
          <cell r="G461" t="str">
            <v>MC</v>
          </cell>
          <cell r="H461" t="str">
            <v>MULTI-DISCIPLINE CLINIC</v>
          </cell>
          <cell r="I461" t="str">
            <v>03MC108</v>
          </cell>
          <cell r="J461" t="str">
            <v>TREATMENT/PROCEDURE</v>
          </cell>
          <cell r="K461" t="str">
            <v>BMED</v>
          </cell>
          <cell r="L461" t="str">
            <v>Normal</v>
          </cell>
          <cell r="M461" t="str">
            <v>Mexico</v>
          </cell>
          <cell r="N461" t="str">
            <v>Thermoscan</v>
          </cell>
          <cell r="O461" t="str">
            <v>Thermoscan Pro 4000</v>
          </cell>
          <cell r="P461" t="str">
            <v>33412K0518</v>
          </cell>
          <cell r="Q461" t="str">
            <v>Not Available</v>
          </cell>
          <cell r="R461" t="str">
            <v>Welch Allyn Inc</v>
          </cell>
          <cell r="S461" t="str">
            <v>Welch Allyn Malaysia Sdn. Bhd</v>
          </cell>
          <cell r="T461" t="str">
            <v>Functioning</v>
          </cell>
          <cell r="U461" t="str">
            <v>Asset</v>
          </cell>
          <cell r="V461">
            <v>540</v>
          </cell>
          <cell r="W461" t="str">
            <v>KEW</v>
          </cell>
          <cell r="X461" t="str">
            <v>01/09/2010</v>
          </cell>
          <cell r="Y461" t="str">
            <v>KEW</v>
          </cell>
          <cell r="Z461" t="str">
            <v>16/08/2013</v>
          </cell>
          <cell r="AA461" t="str">
            <v>15/08/2015</v>
          </cell>
          <cell r="AB461" t="str">
            <v>No</v>
          </cell>
          <cell r="AC461" t="str">
            <v>31/08/2013</v>
          </cell>
          <cell r="AD461" t="str">
            <v>Good</v>
          </cell>
          <cell r="AE461" t="str">
            <v>V1 - Existing / No Claim</v>
          </cell>
          <cell r="AF461">
            <v>42781</v>
          </cell>
          <cell r="AG461">
            <v>9.17</v>
          </cell>
          <cell r="AH461" t="str">
            <v>RI</v>
          </cell>
          <cell r="AI461" t="str">
            <v>Not in contract</v>
          </cell>
          <cell r="AJ461" t="str">
            <v>Not under maintenance</v>
          </cell>
          <cell r="AK461" t="e">
            <v>#N/A</v>
          </cell>
        </row>
        <row r="462">
          <cell r="A462" t="str">
            <v>IKN401443</v>
          </cell>
          <cell r="B462">
            <v>1418</v>
          </cell>
          <cell r="C462" t="str">
            <v>Institut Kanser Negara</v>
          </cell>
          <cell r="D462" t="str">
            <v>KKM/IKN/H/13/1540</v>
          </cell>
          <cell r="E462" t="str">
            <v>13-461</v>
          </cell>
          <cell r="F462" t="str">
            <v>Scales, Patient, Floor</v>
          </cell>
          <cell r="G462" t="str">
            <v>PY</v>
          </cell>
          <cell r="H462" t="str">
            <v>PHYSIOTHERAPY</v>
          </cell>
          <cell r="I462" t="str">
            <v>04PY109</v>
          </cell>
          <cell r="J462" t="str">
            <v>ASSESSMENT / TREATMENT</v>
          </cell>
          <cell r="K462" t="str">
            <v>BMED</v>
          </cell>
          <cell r="L462" t="str">
            <v>Normal</v>
          </cell>
          <cell r="M462" t="str">
            <v>USA</v>
          </cell>
          <cell r="N462" t="str">
            <v>Detecto</v>
          </cell>
          <cell r="O462" t="str">
            <v>758 C</v>
          </cell>
          <cell r="P462" t="str">
            <v>E 34812-0045</v>
          </cell>
          <cell r="Q462" t="str">
            <v>Not Applicable</v>
          </cell>
          <cell r="R462" t="str">
            <v>DETECTO</v>
          </cell>
          <cell r="S462" t="str">
            <v>Acucare System (M) Sdn. Bhd</v>
          </cell>
          <cell r="T462" t="str">
            <v>Not Functioning</v>
          </cell>
          <cell r="U462" t="str">
            <v>Asset</v>
          </cell>
          <cell r="V462">
            <v>9380</v>
          </cell>
          <cell r="W462" t="str">
            <v>KEW</v>
          </cell>
          <cell r="X462" t="str">
            <v>01/09/2010</v>
          </cell>
          <cell r="Y462" t="str">
            <v>KEW</v>
          </cell>
          <cell r="Z462" t="str">
            <v>16/08/2013</v>
          </cell>
          <cell r="AA462" t="str">
            <v>15/08/2015</v>
          </cell>
          <cell r="AB462" t="str">
            <v>No</v>
          </cell>
          <cell r="AC462" t="str">
            <v>31/08/2013</v>
          </cell>
          <cell r="AD462" t="str">
            <v>Good</v>
          </cell>
          <cell r="AE462" t="str">
            <v>V1 - Existing / No Claim</v>
          </cell>
          <cell r="AF462">
            <v>42801</v>
          </cell>
          <cell r="AG462">
            <v>9.17</v>
          </cell>
          <cell r="AH462" t="str">
            <v>PPM</v>
          </cell>
          <cell r="AI462" t="str">
            <v>Strands</v>
          </cell>
          <cell r="AJ462" t="str">
            <v>Not in contract</v>
          </cell>
          <cell r="AK462" t="str">
            <v>[22/9/2023, SHARIFAH]: PEP ON FEB 2021, BER/BEMS/AWSB/21/003 - Asset mengalami kerosakan pada komponen Mainboard.</v>
          </cell>
        </row>
        <row r="463">
          <cell r="A463" t="str">
            <v>IKN401511</v>
          </cell>
          <cell r="B463">
            <v>1455</v>
          </cell>
          <cell r="C463" t="str">
            <v>Institut Kanser Negara</v>
          </cell>
          <cell r="D463" t="str">
            <v>KKM/IKN/H/13/630</v>
          </cell>
          <cell r="E463" t="str">
            <v>10-263</v>
          </cell>
          <cell r="F463" t="str">
            <v>Balances, Electronic</v>
          </cell>
          <cell r="G463" t="str">
            <v>KT</v>
          </cell>
          <cell r="H463" t="str">
            <v>CATERING</v>
          </cell>
          <cell r="I463" t="str">
            <v>01KT131</v>
          </cell>
          <cell r="J463" t="str">
            <v>EXTERNAL PREP.</v>
          </cell>
          <cell r="K463" t="str">
            <v>BMED</v>
          </cell>
          <cell r="L463" t="str">
            <v>Normal</v>
          </cell>
          <cell r="M463" t="str">
            <v>Spain</v>
          </cell>
          <cell r="N463" t="str">
            <v>Avery</v>
          </cell>
          <cell r="O463" t="str">
            <v>AWE-15</v>
          </cell>
          <cell r="P463" t="str">
            <v>Not Available</v>
          </cell>
          <cell r="Q463" t="str">
            <v>Not Applicable</v>
          </cell>
          <cell r="R463" t="str">
            <v>AVERY BERKEL</v>
          </cell>
          <cell r="S463" t="str">
            <v>Somerco Jaya Sdn Bhd</v>
          </cell>
          <cell r="T463" t="str">
            <v>Functioning</v>
          </cell>
          <cell r="U463" t="str">
            <v>Asset</v>
          </cell>
          <cell r="V463">
            <v>1840</v>
          </cell>
          <cell r="W463" t="str">
            <v>KEW</v>
          </cell>
          <cell r="X463" t="str">
            <v>01/09/2010</v>
          </cell>
          <cell r="Y463" t="str">
            <v>KEW</v>
          </cell>
          <cell r="Z463" t="str">
            <v>16/08/2013</v>
          </cell>
          <cell r="AA463" t="str">
            <v>15/08/2015</v>
          </cell>
          <cell r="AB463" t="str">
            <v>No</v>
          </cell>
          <cell r="AC463" t="str">
            <v>31/08/2013</v>
          </cell>
          <cell r="AD463" t="str">
            <v>Good</v>
          </cell>
          <cell r="AE463" t="str">
            <v>V1 - Existing / No Claim</v>
          </cell>
          <cell r="AF463">
            <v>42951</v>
          </cell>
          <cell r="AG463">
            <v>9.17</v>
          </cell>
          <cell r="AH463" t="str">
            <v>PPM</v>
          </cell>
          <cell r="AI463" t="str">
            <v>Strands</v>
          </cell>
          <cell r="AJ463" t="str">
            <v>Strands PW</v>
          </cell>
          <cell r="AK463" t="str">
            <v>[12/3/2024]: TRANSFER TO HTAA, KUANTAN.</v>
          </cell>
        </row>
        <row r="464">
          <cell r="A464" t="str">
            <v>IKN401517</v>
          </cell>
          <cell r="B464" t="str">
            <v>Institut Kanser Negara</v>
          </cell>
          <cell r="C464" t="str">
            <v>KKM/IKN/H/13/4637</v>
          </cell>
          <cell r="D464" t="str">
            <v>13-462</v>
          </cell>
          <cell r="E464" t="str">
            <v>Scales, Infant</v>
          </cell>
          <cell r="F464" t="str">
            <v>DU</v>
          </cell>
          <cell r="G464" t="str">
            <v>DIETICIAN UNIT</v>
          </cell>
          <cell r="H464" t="str">
            <v>03DU105</v>
          </cell>
          <cell r="I464" t="str">
            <v>HEAD OF UNIT</v>
          </cell>
          <cell r="J464" t="str">
            <v>BMED</v>
          </cell>
          <cell r="K464" t="str">
            <v>Normal</v>
          </cell>
          <cell r="L464" t="str">
            <v>Germany</v>
          </cell>
          <cell r="M464" t="str">
            <v>SECA</v>
          </cell>
          <cell r="N464" t="str">
            <v>SECA 334</v>
          </cell>
          <cell r="O464" t="str">
            <v>5769177136666</v>
          </cell>
          <cell r="P464" t="str">
            <v>SECA GMBH</v>
          </cell>
          <cell r="Q464" t="str">
            <v>Lazcorp Holding (M) Sdn Bhd</v>
          </cell>
          <cell r="R464" t="str">
            <v>Functioning</v>
          </cell>
          <cell r="S464">
            <v>3515</v>
          </cell>
          <cell r="T464" t="str">
            <v>KEW</v>
          </cell>
          <cell r="U464" t="str">
            <v>10/12/2013</v>
          </cell>
          <cell r="V464" t="str">
            <v>KEW</v>
          </cell>
          <cell r="W464" t="str">
            <v>16/12/2013</v>
          </cell>
          <cell r="X464" t="str">
            <v>15/12/2014</v>
          </cell>
          <cell r="Y464" t="str">
            <v>No</v>
          </cell>
          <cell r="Z464" t="str">
            <v>16/12/2013</v>
          </cell>
          <cell r="AA464" t="str">
            <v>Good</v>
          </cell>
          <cell r="AB464" t="str">
            <v>V5 - Transfer to other Hospitals/Healthcare Facility</v>
          </cell>
          <cell r="AC464">
            <v>43033</v>
          </cell>
          <cell r="AD464">
            <v>5.92</v>
          </cell>
          <cell r="AE464" t="str">
            <v>PPM</v>
          </cell>
          <cell r="AF464" t="str">
            <v>Not in contract</v>
          </cell>
          <cell r="AG464" t="str">
            <v>Strands PW. Proposed for V5 P2.23</v>
          </cell>
          <cell r="AH464" t="str">
            <v>SNF received. 1st batch of V3 asset (December 2020). V4 received on Jan 2021. Transfer to Hospital Serdang</v>
          </cell>
        </row>
        <row r="465">
          <cell r="A465" t="str">
            <v>IKN401612</v>
          </cell>
          <cell r="B465">
            <v>1546</v>
          </cell>
          <cell r="C465" t="str">
            <v>Institut Kanser Negara</v>
          </cell>
          <cell r="D465" t="str">
            <v>KKM/IKN/I/13/5898</v>
          </cell>
          <cell r="E465" t="str">
            <v>13-325</v>
          </cell>
          <cell r="F465" t="str">
            <v>Regulators, Suction</v>
          </cell>
          <cell r="G465" t="str">
            <v>MC</v>
          </cell>
          <cell r="H465" t="str">
            <v>MULTI-DISCIPLINE CLINIC</v>
          </cell>
          <cell r="I465" t="str">
            <v>03MC108</v>
          </cell>
          <cell r="J465" t="str">
            <v>TREATMENT/PROCEDURE</v>
          </cell>
          <cell r="K465" t="str">
            <v>BMED</v>
          </cell>
          <cell r="L465" t="str">
            <v>Normal</v>
          </cell>
          <cell r="M465" t="str">
            <v>United States</v>
          </cell>
          <cell r="N465" t="str">
            <v>OHIO</v>
          </cell>
          <cell r="O465" t="str">
            <v>R244047311229905</v>
          </cell>
          <cell r="P465" t="str">
            <v>GPHS65052</v>
          </cell>
          <cell r="Q465" t="str">
            <v>Not Applicable</v>
          </cell>
          <cell r="R465" t="str">
            <v>OHIO</v>
          </cell>
          <cell r="S465" t="str">
            <v>Respimedic</v>
          </cell>
          <cell r="T465" t="str">
            <v>Functioning</v>
          </cell>
          <cell r="U465" t="str">
            <v>Asset</v>
          </cell>
          <cell r="V465">
            <v>920</v>
          </cell>
          <cell r="W465" t="str">
            <v>KEW</v>
          </cell>
          <cell r="X465" t="str">
            <v>01/09/2010</v>
          </cell>
          <cell r="Y465" t="str">
            <v>KEW</v>
          </cell>
          <cell r="Z465" t="str">
            <v>16/08/2013</v>
          </cell>
          <cell r="AA465" t="str">
            <v>15/08/2015</v>
          </cell>
          <cell r="AB465" t="str">
            <v>No</v>
          </cell>
          <cell r="AC465" t="str">
            <v>31/08/2013</v>
          </cell>
          <cell r="AD465" t="str">
            <v>Good</v>
          </cell>
          <cell r="AE465" t="str">
            <v>V4 - Decommissioned Installed Facility</v>
          </cell>
          <cell r="AF465">
            <v>42951</v>
          </cell>
          <cell r="AG465">
            <v>9.17</v>
          </cell>
          <cell r="AH465" t="str">
            <v>RI</v>
          </cell>
          <cell r="AI465" t="str">
            <v>Strands</v>
          </cell>
          <cell r="AJ465" t="str">
            <v>Not under maintenance</v>
          </cell>
        </row>
        <row r="466">
          <cell r="A466" t="str">
            <v>IKN401613</v>
          </cell>
          <cell r="B466">
            <v>1547</v>
          </cell>
          <cell r="C466" t="str">
            <v>Institut Kanser Negara</v>
          </cell>
          <cell r="D466" t="str">
            <v>KKM/IKN/I/13/5899</v>
          </cell>
          <cell r="E466" t="str">
            <v>13-325</v>
          </cell>
          <cell r="F466" t="str">
            <v>Regulators, Suction</v>
          </cell>
          <cell r="G466" t="str">
            <v>MC</v>
          </cell>
          <cell r="H466" t="str">
            <v>MULTI-DISCIPLINE CLINIC</v>
          </cell>
          <cell r="I466" t="str">
            <v>03MC107</v>
          </cell>
          <cell r="J466" t="str">
            <v>TREATMENT 1</v>
          </cell>
          <cell r="K466" t="str">
            <v>BMED</v>
          </cell>
          <cell r="L466" t="str">
            <v>Normal</v>
          </cell>
          <cell r="M466" t="str">
            <v>United States</v>
          </cell>
          <cell r="N466" t="str">
            <v>OHIO</v>
          </cell>
          <cell r="O466" t="str">
            <v>R244047311229905</v>
          </cell>
          <cell r="P466" t="str">
            <v>GPHS65079</v>
          </cell>
          <cell r="Q466" t="str">
            <v>Not Applicable</v>
          </cell>
          <cell r="R466" t="str">
            <v>OHIO</v>
          </cell>
          <cell r="S466" t="str">
            <v>Respimedic</v>
          </cell>
          <cell r="T466" t="str">
            <v>Functioning</v>
          </cell>
          <cell r="U466" t="str">
            <v>Asset</v>
          </cell>
          <cell r="V466">
            <v>920</v>
          </cell>
          <cell r="W466" t="str">
            <v>KEW</v>
          </cell>
          <cell r="X466" t="str">
            <v>01/09/2010</v>
          </cell>
          <cell r="Y466" t="str">
            <v>KEW</v>
          </cell>
          <cell r="Z466" t="str">
            <v>16/08/2013</v>
          </cell>
          <cell r="AA466" t="str">
            <v>15/08/2015</v>
          </cell>
          <cell r="AB466" t="str">
            <v>No</v>
          </cell>
          <cell r="AC466" t="str">
            <v>31/08/2013</v>
          </cell>
          <cell r="AD466" t="str">
            <v>Good</v>
          </cell>
          <cell r="AE466" t="str">
            <v>V4 - Decommissioned Installed Facility</v>
          </cell>
          <cell r="AF466">
            <v>42951</v>
          </cell>
          <cell r="AG466">
            <v>9.17</v>
          </cell>
          <cell r="AH466" t="str">
            <v>RI</v>
          </cell>
          <cell r="AI466" t="str">
            <v>Strands</v>
          </cell>
          <cell r="AJ466" t="str">
            <v>Not under maintenance</v>
          </cell>
        </row>
        <row r="467">
          <cell r="A467" t="str">
            <v>IKN401614</v>
          </cell>
          <cell r="B467">
            <v>1548</v>
          </cell>
          <cell r="C467" t="str">
            <v>Institut Kanser Negara</v>
          </cell>
          <cell r="D467" t="str">
            <v>KKM/IKN/I/13/5897</v>
          </cell>
          <cell r="E467" t="str">
            <v>13-325</v>
          </cell>
          <cell r="F467" t="str">
            <v>Regulators, Suction</v>
          </cell>
          <cell r="G467" t="str">
            <v>MC</v>
          </cell>
          <cell r="H467" t="str">
            <v>MULTI-DISCIPLINE CLINIC</v>
          </cell>
          <cell r="I467" t="str">
            <v>03MC107</v>
          </cell>
          <cell r="J467" t="str">
            <v>TREATMENT 1</v>
          </cell>
          <cell r="K467" t="str">
            <v>BMED</v>
          </cell>
          <cell r="L467" t="str">
            <v>Normal</v>
          </cell>
          <cell r="M467" t="str">
            <v>United States</v>
          </cell>
          <cell r="N467" t="str">
            <v>OHIO</v>
          </cell>
          <cell r="O467" t="str">
            <v>R244047311229905</v>
          </cell>
          <cell r="P467" t="str">
            <v>GPHS65059</v>
          </cell>
          <cell r="Q467" t="str">
            <v>Not Applicable</v>
          </cell>
          <cell r="R467" t="str">
            <v>OHIO</v>
          </cell>
          <cell r="S467" t="str">
            <v>Respimedic</v>
          </cell>
          <cell r="T467" t="str">
            <v>Functioning</v>
          </cell>
          <cell r="U467" t="str">
            <v>Asset</v>
          </cell>
          <cell r="V467">
            <v>920</v>
          </cell>
          <cell r="W467" t="str">
            <v>KEW</v>
          </cell>
          <cell r="X467" t="str">
            <v>01/09/2010</v>
          </cell>
          <cell r="Y467" t="str">
            <v>KEW</v>
          </cell>
          <cell r="Z467" t="str">
            <v>16/08/2013</v>
          </cell>
          <cell r="AA467" t="str">
            <v>15/08/2015</v>
          </cell>
          <cell r="AB467" t="str">
            <v>No</v>
          </cell>
          <cell r="AC467" t="str">
            <v>31/08/2013</v>
          </cell>
          <cell r="AD467" t="str">
            <v>Good</v>
          </cell>
          <cell r="AE467" t="str">
            <v>V4 - Decommissioned Installed Facility</v>
          </cell>
          <cell r="AF467">
            <v>42951</v>
          </cell>
          <cell r="AG467">
            <v>9.17</v>
          </cell>
          <cell r="AH467" t="str">
            <v>RI</v>
          </cell>
          <cell r="AI467" t="str">
            <v>Strands</v>
          </cell>
          <cell r="AJ467" t="str">
            <v>Not under maintenance</v>
          </cell>
        </row>
        <row r="468">
          <cell r="A468" t="str">
            <v>IKN401696</v>
          </cell>
          <cell r="B468">
            <v>1619</v>
          </cell>
          <cell r="C468" t="str">
            <v>Institut Kanser Negara</v>
          </cell>
          <cell r="D468" t="str">
            <v>KKM/IKN/H/13/3107</v>
          </cell>
          <cell r="E468" t="str">
            <v>12-660</v>
          </cell>
          <cell r="F468" t="str">
            <v>Radiation Monitors</v>
          </cell>
          <cell r="G468" t="str">
            <v>WA</v>
          </cell>
          <cell r="H468" t="str">
            <v>NUCLEAR MED WARD (THERAPY)</v>
          </cell>
          <cell r="I468" t="str">
            <v>03WA117</v>
          </cell>
          <cell r="J468" t="str">
            <v>N/S 1</v>
          </cell>
          <cell r="K468" t="str">
            <v>BMED</v>
          </cell>
          <cell r="L468" t="str">
            <v>Normal</v>
          </cell>
          <cell r="M468" t="str">
            <v>GERMANY</v>
          </cell>
          <cell r="N468" t="str">
            <v>PADOS</v>
          </cell>
          <cell r="O468" t="str">
            <v>PADOS</v>
          </cell>
          <cell r="P468" t="str">
            <v>Not Available</v>
          </cell>
          <cell r="Q468" t="str">
            <v>Not Applicable</v>
          </cell>
          <cell r="R468" t="str">
            <v>MED DULMEN/NUVIA INSTRUMENT GMBH</v>
          </cell>
          <cell r="S468" t="str">
            <v>MED Nuklear-Medizintechnik Dresden GmbH</v>
          </cell>
          <cell r="T468" t="str">
            <v>Functioning</v>
          </cell>
          <cell r="U468" t="str">
            <v>Asset</v>
          </cell>
          <cell r="V468">
            <v>21290</v>
          </cell>
          <cell r="W468" t="str">
            <v>KEW</v>
          </cell>
          <cell r="X468" t="str">
            <v>01/09/2010</v>
          </cell>
          <cell r="Y468" t="str">
            <v>KEW</v>
          </cell>
          <cell r="Z468" t="str">
            <v>16/08/2013</v>
          </cell>
          <cell r="AA468" t="str">
            <v>15/08/2015</v>
          </cell>
          <cell r="AB468" t="str">
            <v>No</v>
          </cell>
          <cell r="AC468" t="str">
            <v>16/08/2013</v>
          </cell>
          <cell r="AD468" t="str">
            <v>Good</v>
          </cell>
          <cell r="AE468" t="str">
            <v>V10 - Asset in initial fee submission(new/replacement hosp)</v>
          </cell>
          <cell r="AF468">
            <v>43431</v>
          </cell>
          <cell r="AG468">
            <v>9.17</v>
          </cell>
          <cell r="AH468" t="str">
            <v>PPM</v>
          </cell>
          <cell r="AI468" t="str">
            <v>Strands</v>
          </cell>
          <cell r="AJ468" t="str">
            <v>Strands PW</v>
          </cell>
          <cell r="AK468" t="str">
            <v>BER</v>
          </cell>
        </row>
        <row r="469">
          <cell r="A469" t="str">
            <v>IKN402003</v>
          </cell>
          <cell r="B469">
            <v>1658</v>
          </cell>
          <cell r="C469" t="str">
            <v>Institut Kanser Negara</v>
          </cell>
          <cell r="D469" t="str">
            <v>KKM/IKN/H/19/24</v>
          </cell>
          <cell r="E469" t="str">
            <v>17-973</v>
          </cell>
          <cell r="F469" t="str">
            <v>Testers, Laser Beam</v>
          </cell>
          <cell r="G469" t="str">
            <v>RT</v>
          </cell>
          <cell r="H469" t="str">
            <v>RADIATION TREATMENT UNIT</v>
          </cell>
          <cell r="I469" t="str">
            <v>01RT213</v>
          </cell>
          <cell r="J469" t="str">
            <v>EQUIPMENT ROOM1</v>
          </cell>
          <cell r="K469" t="str">
            <v>BMED</v>
          </cell>
          <cell r="L469" t="str">
            <v>Normal</v>
          </cell>
          <cell r="Q469" t="str">
            <v>Not Applicable</v>
          </cell>
          <cell r="R469" t="str">
            <v>MODUS MEDICAL DEVICES INC.</v>
          </cell>
          <cell r="S469" t="str">
            <v>ABEX MEDICAL SYSTEM SDN BHD</v>
          </cell>
          <cell r="T469" t="str">
            <v>Functioning</v>
          </cell>
          <cell r="U469" t="str">
            <v>Asset</v>
          </cell>
          <cell r="V469">
            <v>200000</v>
          </cell>
          <cell r="W469" t="str">
            <v>KEW</v>
          </cell>
          <cell r="X469">
            <v>43749</v>
          </cell>
          <cell r="Y469" t="str">
            <v>KEW</v>
          </cell>
          <cell r="Z469">
            <v>43768</v>
          </cell>
          <cell r="AA469">
            <v>44526</v>
          </cell>
          <cell r="AB469" t="str">
            <v>No</v>
          </cell>
          <cell r="AC469">
            <v>43768</v>
          </cell>
          <cell r="AD469" t="str">
            <v>Good</v>
          </cell>
          <cell r="AE469" t="str">
            <v>V3 - Added Installed Facilities (New)</v>
          </cell>
          <cell r="AH469" t="str">
            <v>PPM</v>
          </cell>
          <cell r="AI469" t="str">
            <v>Strands</v>
          </cell>
          <cell r="AJ469" t="str">
            <v>Strands PW</v>
          </cell>
          <cell r="AK469" t="str">
            <v>SNF received for P2.19. Vendor/User inform no maintenance. Quasar Respiratory Motion Phantom.</v>
          </cell>
        </row>
        <row r="470">
          <cell r="A470" t="str">
            <v>IKN402023</v>
          </cell>
          <cell r="B470">
            <v>1678</v>
          </cell>
          <cell r="C470" t="str">
            <v>Institut Kanser Negara</v>
          </cell>
          <cell r="D470" t="str">
            <v>KKM/IKN/H/20/21</v>
          </cell>
          <cell r="E470" t="str">
            <v>17-949</v>
          </cell>
          <cell r="F470" t="str">
            <v>Handpieces, Surgical</v>
          </cell>
          <cell r="G470" t="str">
            <v>OT</v>
          </cell>
          <cell r="H470" t="str">
            <v>OPERATING THEATRE</v>
          </cell>
          <cell r="I470" t="str">
            <v>05OT105</v>
          </cell>
          <cell r="J470" t="str">
            <v>ORTHO ROOM (FUTURE)</v>
          </cell>
          <cell r="K470" t="str">
            <v>BMED</v>
          </cell>
          <cell r="L470" t="str">
            <v>Normal</v>
          </cell>
          <cell r="M470" t="str">
            <v>USA</v>
          </cell>
          <cell r="N470" t="str">
            <v>MEDTRONIC</v>
          </cell>
          <cell r="O470" t="str">
            <v>IPC EC300</v>
          </cell>
          <cell r="P470" t="str">
            <v>NCT 68498</v>
          </cell>
          <cell r="Q470" t="str">
            <v>Not Applicable</v>
          </cell>
          <cell r="R470" t="str">
            <v>MEDTRONIC  XIOMED INC</v>
          </cell>
          <cell r="S470" t="str">
            <v>Mediliance (M) Sdn. Bhd.</v>
          </cell>
          <cell r="T470" t="str">
            <v>Functioning</v>
          </cell>
          <cell r="U470" t="str">
            <v>Asset</v>
          </cell>
          <cell r="V470">
            <v>150000</v>
          </cell>
          <cell r="W470" t="str">
            <v>KEW</v>
          </cell>
          <cell r="X470">
            <v>43942</v>
          </cell>
          <cell r="Y470" t="str">
            <v>KEW</v>
          </cell>
          <cell r="Z470">
            <v>43959</v>
          </cell>
          <cell r="AA470">
            <v>44324</v>
          </cell>
          <cell r="AB470" t="str">
            <v>No</v>
          </cell>
          <cell r="AC470">
            <v>43959</v>
          </cell>
          <cell r="AD470" t="str">
            <v>Good</v>
          </cell>
          <cell r="AE470" t="str">
            <v>V5 - Transfer to other Hospitals/Healthcare Facility</v>
          </cell>
          <cell r="AH470" t="str">
            <v>PPM</v>
          </cell>
          <cell r="AI470" t="str">
            <v>Not in contract</v>
          </cell>
          <cell r="AJ470" t="str">
            <v>Not in contract</v>
          </cell>
          <cell r="AK470" t="str">
            <v>SNF received on 22.6.2020. Transfer to Hospital Sungai Buloh.</v>
          </cell>
        </row>
        <row r="471">
          <cell r="A471" t="str">
            <v>IKN402024</v>
          </cell>
          <cell r="B471">
            <v>1679</v>
          </cell>
          <cell r="C471" t="str">
            <v>Institut Kanser Negara</v>
          </cell>
          <cell r="D471" t="str">
            <v>KKM/IKN/H/20/20</v>
          </cell>
          <cell r="E471" t="str">
            <v>17-949</v>
          </cell>
          <cell r="F471" t="str">
            <v>Handpieces, Surgical</v>
          </cell>
          <cell r="G471" t="str">
            <v>OT</v>
          </cell>
          <cell r="H471" t="str">
            <v>OPERATING THEATRE</v>
          </cell>
          <cell r="I471" t="str">
            <v>05OT105</v>
          </cell>
          <cell r="J471" t="str">
            <v>ORTHO ROOM (FUTURE)</v>
          </cell>
          <cell r="K471" t="str">
            <v>BMED</v>
          </cell>
          <cell r="L471" t="str">
            <v>Normal</v>
          </cell>
          <cell r="M471" t="str">
            <v>USA</v>
          </cell>
          <cell r="N471" t="str">
            <v>MEDTRONIC</v>
          </cell>
          <cell r="O471" t="str">
            <v>IPC EC300</v>
          </cell>
          <cell r="P471" t="str">
            <v>NCT 68881</v>
          </cell>
          <cell r="Q471" t="str">
            <v>Not Applicable</v>
          </cell>
          <cell r="R471" t="str">
            <v>MEDTRONIC  XIOMED INC</v>
          </cell>
          <cell r="S471" t="str">
            <v>Mediliance (M) Sdn. Bhd.</v>
          </cell>
          <cell r="T471" t="str">
            <v>Functioning</v>
          </cell>
          <cell r="U471" t="str">
            <v>Asset</v>
          </cell>
          <cell r="V471">
            <v>150000</v>
          </cell>
          <cell r="W471" t="str">
            <v>KEW</v>
          </cell>
          <cell r="X471">
            <v>43942</v>
          </cell>
          <cell r="Y471" t="str">
            <v>KEW</v>
          </cell>
          <cell r="Z471">
            <v>43959</v>
          </cell>
          <cell r="AA471">
            <v>44324</v>
          </cell>
          <cell r="AB471" t="str">
            <v>No</v>
          </cell>
          <cell r="AC471">
            <v>43959</v>
          </cell>
          <cell r="AD471" t="str">
            <v>Good</v>
          </cell>
          <cell r="AE471" t="str">
            <v>V5 - Transfer to other Hospitals/Healthcare Facility</v>
          </cell>
          <cell r="AH471" t="str">
            <v>PPM</v>
          </cell>
          <cell r="AI471" t="str">
            <v>Not in contract</v>
          </cell>
          <cell r="AJ471" t="str">
            <v>Not in contract</v>
          </cell>
          <cell r="AK471" t="str">
            <v>SNF received on 22.6.2020. Transfer to Hospital Sungai Buloh.</v>
          </cell>
        </row>
        <row r="472">
          <cell r="A472" t="str">
            <v>IKN402026</v>
          </cell>
          <cell r="B472">
            <v>1681</v>
          </cell>
          <cell r="C472" t="str">
            <v>Institut Kanser Negara</v>
          </cell>
          <cell r="D472" t="str">
            <v>KKM/IKN/H/20/15</v>
          </cell>
          <cell r="E472" t="str">
            <v>13-209</v>
          </cell>
          <cell r="F472" t="str">
            <v>Pumps, Enteral Feeding</v>
          </cell>
          <cell r="G472" t="str">
            <v>WB</v>
          </cell>
          <cell r="H472" t="str">
            <v>SURGICAL ONCO MALE WARD</v>
          </cell>
          <cell r="I472" t="str">
            <v>05WB113</v>
          </cell>
          <cell r="J472" t="str">
            <v>EQUIP. ROOM</v>
          </cell>
          <cell r="K472" t="str">
            <v>BMED</v>
          </cell>
          <cell r="L472" t="str">
            <v>Normal</v>
          </cell>
          <cell r="M472" t="str">
            <v>USA</v>
          </cell>
          <cell r="N472" t="str">
            <v>Sentinel</v>
          </cell>
          <cell r="O472" t="str">
            <v>Sentinel S-3000</v>
          </cell>
          <cell r="P472" t="str">
            <v>001816</v>
          </cell>
          <cell r="Q472" t="str">
            <v>Not Applicable</v>
          </cell>
          <cell r="R472" t="str">
            <v>Alcor Scientific Inc</v>
          </cell>
          <cell r="S472" t="str">
            <v>Kenanga Network Sdn Bhd</v>
          </cell>
          <cell r="T472" t="str">
            <v>Transferred</v>
          </cell>
          <cell r="U472" t="str">
            <v>Asset</v>
          </cell>
          <cell r="V472">
            <v>3000</v>
          </cell>
          <cell r="W472" t="str">
            <v>KEW</v>
          </cell>
          <cell r="X472">
            <v>43941</v>
          </cell>
          <cell r="Y472" t="str">
            <v>KEW</v>
          </cell>
          <cell r="Z472">
            <v>43955</v>
          </cell>
          <cell r="AA472">
            <v>44320</v>
          </cell>
          <cell r="AB472" t="str">
            <v>No</v>
          </cell>
          <cell r="AC472">
            <v>43955</v>
          </cell>
          <cell r="AD472" t="str">
            <v>Good</v>
          </cell>
          <cell r="AE472" t="str">
            <v>V5 - Transfer to other Hospitals/Healthcare Facility</v>
          </cell>
          <cell r="AH472" t="str">
            <v>PPM</v>
          </cell>
          <cell r="AI472" t="str">
            <v>Not in contract</v>
          </cell>
          <cell r="AJ472" t="str">
            <v>Not in contract</v>
          </cell>
          <cell r="AK472" t="str">
            <v>SNF received on 22.6.2020. Transfer to Hospital Sungai Buloh.</v>
          </cell>
        </row>
        <row r="473">
          <cell r="A473" t="str">
            <v>IKN402027</v>
          </cell>
          <cell r="B473">
            <v>1682</v>
          </cell>
          <cell r="C473" t="str">
            <v>Institut Kanser Negara</v>
          </cell>
          <cell r="D473" t="str">
            <v>KKM/IKN/H/20/16</v>
          </cell>
          <cell r="E473" t="str">
            <v>13-209</v>
          </cell>
          <cell r="F473" t="str">
            <v>Pumps, Enteral Feeding</v>
          </cell>
          <cell r="G473" t="str">
            <v>WB</v>
          </cell>
          <cell r="H473" t="str">
            <v>SURGICAL ONCO MALE WARD</v>
          </cell>
          <cell r="I473" t="str">
            <v>05WB113</v>
          </cell>
          <cell r="J473" t="str">
            <v>EQUIP. ROOM</v>
          </cell>
          <cell r="K473" t="str">
            <v>BMED</v>
          </cell>
          <cell r="L473" t="str">
            <v>Normal</v>
          </cell>
          <cell r="M473" t="str">
            <v>USA</v>
          </cell>
          <cell r="N473" t="str">
            <v>Sentinel</v>
          </cell>
          <cell r="O473" t="str">
            <v>Sentinel S-3000</v>
          </cell>
          <cell r="P473" t="str">
            <v>001817</v>
          </cell>
          <cell r="Q473" t="str">
            <v>Not Applicable</v>
          </cell>
          <cell r="S473" t="str">
            <v>Kenanga Network Sdn Bhd</v>
          </cell>
          <cell r="T473" t="str">
            <v>Transferred</v>
          </cell>
          <cell r="U473" t="str">
            <v>Asset</v>
          </cell>
          <cell r="V473">
            <v>3000</v>
          </cell>
          <cell r="W473" t="str">
            <v>KEW</v>
          </cell>
          <cell r="X473">
            <v>43941</v>
          </cell>
          <cell r="Y473" t="str">
            <v>KEW</v>
          </cell>
          <cell r="Z473">
            <v>43955</v>
          </cell>
          <cell r="AA473">
            <v>44320</v>
          </cell>
          <cell r="AB473" t="str">
            <v>No</v>
          </cell>
          <cell r="AC473">
            <v>43955</v>
          </cell>
          <cell r="AD473" t="str">
            <v>Good</v>
          </cell>
          <cell r="AE473" t="str">
            <v>V5 - Transfer to other Hospitals/Healthcare Facility</v>
          </cell>
          <cell r="AH473" t="str">
            <v>PPM</v>
          </cell>
          <cell r="AI473" t="str">
            <v>Not in contract</v>
          </cell>
          <cell r="AJ473" t="str">
            <v>Not in contract</v>
          </cell>
          <cell r="AK473" t="str">
            <v>SNF received on 22.6.2020. Transfer to Hospital Sungai Buloh.</v>
          </cell>
        </row>
        <row r="474">
          <cell r="A474" t="str">
            <v>IKN402028</v>
          </cell>
          <cell r="B474">
            <v>1683</v>
          </cell>
          <cell r="C474" t="str">
            <v>Institut Kanser Negara</v>
          </cell>
          <cell r="D474" t="str">
            <v>KKM/IKN/H/20/26</v>
          </cell>
          <cell r="E474" t="str">
            <v>18-147</v>
          </cell>
          <cell r="F474" t="str">
            <v>Mattress Systems, Alternating-Pressure</v>
          </cell>
          <cell r="G474" t="str">
            <v>WB</v>
          </cell>
          <cell r="H474" t="str">
            <v>SURGICAL ONCO MALE WARD</v>
          </cell>
          <cell r="I474" t="str">
            <v>05WB113</v>
          </cell>
          <cell r="J474" t="str">
            <v>EQUIP. ROOM</v>
          </cell>
          <cell r="K474" t="str">
            <v>BMED</v>
          </cell>
          <cell r="L474" t="str">
            <v>Normal</v>
          </cell>
          <cell r="P474">
            <v>19062173</v>
          </cell>
          <cell r="Q474" t="str">
            <v>Not Applicable</v>
          </cell>
          <cell r="S474" t="str">
            <v>Perniagaan Bekalan Abadi Sdn.Bhd.</v>
          </cell>
          <cell r="T474" t="str">
            <v>Transferred</v>
          </cell>
          <cell r="U474" t="str">
            <v>Asset</v>
          </cell>
          <cell r="V474">
            <v>1000</v>
          </cell>
          <cell r="W474" t="str">
            <v>KEW</v>
          </cell>
          <cell r="X474">
            <v>43941</v>
          </cell>
          <cell r="Y474" t="str">
            <v>KEW</v>
          </cell>
          <cell r="Z474">
            <v>43963</v>
          </cell>
          <cell r="AA474">
            <v>44328</v>
          </cell>
          <cell r="AB474" t="str">
            <v>No</v>
          </cell>
          <cell r="AC474">
            <v>43963</v>
          </cell>
          <cell r="AD474" t="str">
            <v>Good</v>
          </cell>
          <cell r="AE474" t="str">
            <v>V5 - Transfer to other Hospitals/Healthcare Facility</v>
          </cell>
          <cell r="AH474" t="str">
            <v>PPM</v>
          </cell>
          <cell r="AI474" t="str">
            <v>Not in contract</v>
          </cell>
          <cell r="AJ474" t="str">
            <v>Not in contract</v>
          </cell>
          <cell r="AK474" t="str">
            <v>SNF received on 22.6.2020. Transfer to Hospital Sungai Buloh.</v>
          </cell>
        </row>
        <row r="475">
          <cell r="A475" t="str">
            <v>IKN402029</v>
          </cell>
          <cell r="B475">
            <v>1684</v>
          </cell>
          <cell r="C475" t="str">
            <v>Institut Kanser Negara</v>
          </cell>
          <cell r="D475" t="str">
            <v>KKM/IKN/H/20/27</v>
          </cell>
          <cell r="E475" t="str">
            <v>18-147</v>
          </cell>
          <cell r="F475" t="str">
            <v>Mattress Systems, Alternating-Pressure</v>
          </cell>
          <cell r="G475" t="str">
            <v>WB</v>
          </cell>
          <cell r="H475" t="str">
            <v>SURGICAL ONCO MALE WARD</v>
          </cell>
          <cell r="I475" t="str">
            <v>05WB113</v>
          </cell>
          <cell r="J475" t="str">
            <v>EQUIP. ROOM</v>
          </cell>
          <cell r="K475" t="str">
            <v>BMED</v>
          </cell>
          <cell r="L475" t="str">
            <v>Normal</v>
          </cell>
          <cell r="P475">
            <v>19061904</v>
          </cell>
          <cell r="Q475" t="str">
            <v>Not Applicable</v>
          </cell>
          <cell r="S475" t="str">
            <v>Perniagaan Bekalan Abadi Sdn.Bhd.</v>
          </cell>
          <cell r="T475" t="str">
            <v>Transferred</v>
          </cell>
          <cell r="U475" t="str">
            <v>Asset</v>
          </cell>
          <cell r="V475">
            <v>1000</v>
          </cell>
          <cell r="W475" t="str">
            <v>KEW</v>
          </cell>
          <cell r="X475">
            <v>43941</v>
          </cell>
          <cell r="Y475" t="str">
            <v>KEW</v>
          </cell>
          <cell r="Z475">
            <v>43963</v>
          </cell>
          <cell r="AA475">
            <v>44328</v>
          </cell>
          <cell r="AB475" t="str">
            <v>No</v>
          </cell>
          <cell r="AC475">
            <v>43963</v>
          </cell>
          <cell r="AD475" t="str">
            <v>Good</v>
          </cell>
          <cell r="AE475" t="str">
            <v>V5 - Transfer to other Hospitals/Healthcare Facility</v>
          </cell>
          <cell r="AH475" t="str">
            <v>PPM</v>
          </cell>
          <cell r="AI475" t="str">
            <v>Not in contract</v>
          </cell>
          <cell r="AJ475" t="str">
            <v>Not in contract</v>
          </cell>
          <cell r="AK475" t="str">
            <v>SNF received on 22.6.2020. Transfer to Hospital Sungai Buloh.</v>
          </cell>
        </row>
        <row r="476">
          <cell r="A476" t="str">
            <v>IKN402030</v>
          </cell>
          <cell r="B476">
            <v>1685</v>
          </cell>
          <cell r="C476" t="str">
            <v>Institut Kanser Negara</v>
          </cell>
          <cell r="D476" t="str">
            <v>KKM/IKN/H/20/28</v>
          </cell>
          <cell r="E476" t="str">
            <v>18-147</v>
          </cell>
          <cell r="F476" t="str">
            <v>Mattress Systems, Alternating-Pressure</v>
          </cell>
          <cell r="G476" t="str">
            <v>WB</v>
          </cell>
          <cell r="H476" t="str">
            <v>SURGICAL ONCO MALE WARD</v>
          </cell>
          <cell r="I476" t="str">
            <v>05WB113</v>
          </cell>
          <cell r="J476" t="str">
            <v>EQUIP. ROOM</v>
          </cell>
          <cell r="K476" t="str">
            <v>BMED</v>
          </cell>
          <cell r="L476" t="str">
            <v>Normal</v>
          </cell>
          <cell r="P476">
            <v>19061905</v>
          </cell>
          <cell r="Q476" t="str">
            <v>Not Applicable</v>
          </cell>
          <cell r="S476" t="str">
            <v>Perniagaan Bekalan Abadi Sdn.Bhd.</v>
          </cell>
          <cell r="T476" t="str">
            <v>Transferred</v>
          </cell>
          <cell r="U476" t="str">
            <v>Asset</v>
          </cell>
          <cell r="V476">
            <v>1000</v>
          </cell>
          <cell r="W476" t="str">
            <v>KEW</v>
          </cell>
          <cell r="X476">
            <v>43941</v>
          </cell>
          <cell r="Y476" t="str">
            <v>KEW</v>
          </cell>
          <cell r="Z476">
            <v>43963</v>
          </cell>
          <cell r="AA476">
            <v>44328</v>
          </cell>
          <cell r="AB476" t="str">
            <v>No</v>
          </cell>
          <cell r="AC476">
            <v>43963</v>
          </cell>
          <cell r="AD476" t="str">
            <v>Good</v>
          </cell>
          <cell r="AE476" t="str">
            <v>V5 - Transfer to other Hospitals/Healthcare Facility</v>
          </cell>
          <cell r="AH476" t="str">
            <v>PPM</v>
          </cell>
          <cell r="AI476" t="str">
            <v>Not in contract</v>
          </cell>
          <cell r="AJ476" t="str">
            <v>Strands PW. Proposed for V5 P2.23</v>
          </cell>
          <cell r="AK476" t="str">
            <v>SNF received on 22.6.2020. Transfer to Hospital Sungai Buloh.</v>
          </cell>
        </row>
        <row r="477">
          <cell r="A477" t="str">
            <v>IKN402034</v>
          </cell>
          <cell r="B477">
            <v>1689</v>
          </cell>
          <cell r="C477" t="str">
            <v>Institut Kanser Negara</v>
          </cell>
          <cell r="D477" t="str">
            <v>KKM/IKN/H/20/22</v>
          </cell>
          <cell r="E477" t="str">
            <v>10-849</v>
          </cell>
          <cell r="F477" t="str">
            <v>CIRCULATORY ASSIST UNITS, VENOUS RETURN</v>
          </cell>
          <cell r="G477" t="str">
            <v>WB</v>
          </cell>
          <cell r="H477" t="str">
            <v>SURGICAL ONCO MALE WARD</v>
          </cell>
          <cell r="I477" t="str">
            <v>05WB113</v>
          </cell>
          <cell r="J477" t="str">
            <v>EQUIP. ROOM</v>
          </cell>
          <cell r="K477" t="str">
            <v>BMED</v>
          </cell>
          <cell r="L477" t="str">
            <v>Normal</v>
          </cell>
          <cell r="M477" t="str">
            <v>USA</v>
          </cell>
          <cell r="N477" t="str">
            <v>Covidien</v>
          </cell>
          <cell r="O477" t="str">
            <v>Kendall SCD 700 DVT</v>
          </cell>
          <cell r="P477" t="str">
            <v>V1933113SX</v>
          </cell>
          <cell r="Q477" t="str">
            <v>Not Applicable</v>
          </cell>
          <cell r="R477" t="str">
            <v>Covidien LLC, USA</v>
          </cell>
          <cell r="S477" t="str">
            <v>ALAM MEDIK SDN BHD</v>
          </cell>
          <cell r="T477" t="str">
            <v>Transferred</v>
          </cell>
          <cell r="U477" t="str">
            <v>Asset</v>
          </cell>
          <cell r="V477">
            <v>8500</v>
          </cell>
          <cell r="W477" t="str">
            <v>KEW</v>
          </cell>
          <cell r="X477">
            <v>43973</v>
          </cell>
          <cell r="Y477" t="str">
            <v>KEW</v>
          </cell>
          <cell r="Z477">
            <v>43973</v>
          </cell>
          <cell r="AA477">
            <v>44338</v>
          </cell>
          <cell r="AB477" t="str">
            <v>No</v>
          </cell>
          <cell r="AD477" t="str">
            <v>Good</v>
          </cell>
          <cell r="AE477" t="str">
            <v>V5 - Transfer to other Hospitals/Healthcare Facility</v>
          </cell>
          <cell r="AH477" t="str">
            <v>PPM</v>
          </cell>
          <cell r="AI477" t="str">
            <v>Not in contract</v>
          </cell>
          <cell r="AJ477" t="str">
            <v>Not in contract</v>
          </cell>
          <cell r="AK477" t="str">
            <v>SNF received on 22.6.2020. Transfer to Hospital Sungai Buloh.</v>
          </cell>
        </row>
        <row r="478">
          <cell r="A478" t="str">
            <v>IKN402047</v>
          </cell>
          <cell r="B478">
            <v>1702</v>
          </cell>
          <cell r="C478" t="str">
            <v>Institut Kanser Negara</v>
          </cell>
          <cell r="D478" t="str">
            <v>KKM/IKN/H/20/51</v>
          </cell>
          <cell r="E478" t="str">
            <v>15-167</v>
          </cell>
          <cell r="F478" t="str">
            <v>Extractors, Plasma</v>
          </cell>
          <cell r="G478" t="str">
            <v>LA</v>
          </cell>
          <cell r="H478" t="str">
            <v>PATHOLOGY</v>
          </cell>
          <cell r="I478" t="str">
            <v>04LA127</v>
          </cell>
          <cell r="J478" t="str">
            <v>INNOCULATION/STAINING</v>
          </cell>
          <cell r="K478" t="str">
            <v>BMED</v>
          </cell>
          <cell r="L478" t="str">
            <v>Normal</v>
          </cell>
          <cell r="M478" t="str">
            <v>Taiwan</v>
          </cell>
          <cell r="N478" t="str">
            <v>LabTurbo</v>
          </cell>
          <cell r="O478" t="str">
            <v>AIO24-64</v>
          </cell>
          <cell r="P478" t="str">
            <v>02091707001</v>
          </cell>
          <cell r="Q478" t="str">
            <v>Not Applicable</v>
          </cell>
          <cell r="R478" t="str">
            <v>LabTurbo Biotech Corporation</v>
          </cell>
          <cell r="S478" t="str">
            <v>Tree Med Sdn. Bhd</v>
          </cell>
          <cell r="T478" t="str">
            <v>Functioning</v>
          </cell>
          <cell r="U478" t="str">
            <v>Asset</v>
          </cell>
          <cell r="V478">
            <v>430000</v>
          </cell>
          <cell r="W478" t="str">
            <v>KEW</v>
          </cell>
          <cell r="X478">
            <v>43935</v>
          </cell>
          <cell r="Y478" t="str">
            <v>KEW</v>
          </cell>
          <cell r="Z478">
            <v>44167</v>
          </cell>
          <cell r="AA478">
            <v>44897</v>
          </cell>
          <cell r="AB478" t="str">
            <v>No</v>
          </cell>
          <cell r="AC478">
            <v>44167</v>
          </cell>
          <cell r="AD478" t="str">
            <v>Good</v>
          </cell>
          <cell r="AE478" t="str">
            <v>V3 - Added Installed Facilities (New)</v>
          </cell>
          <cell r="AF478">
            <v>44167</v>
          </cell>
          <cell r="AH478" t="str">
            <v>PPM</v>
          </cell>
          <cell r="AI478" t="str">
            <v>Strands</v>
          </cell>
          <cell r="AJ478" t="str">
            <v>Strands DW</v>
          </cell>
          <cell r="AK478" t="str">
            <v>SNF received on 15.1.2021. [29/2/2024, SHARIFAH]: RENEW PEP ON 28/2/2024; BER/BEMS/IKN/23/028- ALAT TIDAK MEMENUHI KEPERLUAN KLINIKAL PENGGUNA.  PENGGUNAANNYA HENDAKLAH DIHENTIKAN. PURPOSED V4 IN P1 24</v>
          </cell>
        </row>
        <row r="479">
          <cell r="A479" t="str">
            <v>IKN402066</v>
          </cell>
          <cell r="B479">
            <v>1721</v>
          </cell>
          <cell r="C479" t="str">
            <v>Institut Kanser Negara</v>
          </cell>
          <cell r="D479" t="str">
            <v>NA</v>
          </cell>
          <cell r="E479" t="str">
            <v>15-663</v>
          </cell>
          <cell r="F479" t="str">
            <v>Pipetters</v>
          </cell>
          <cell r="G479" t="str">
            <v>LA</v>
          </cell>
          <cell r="H479" t="str">
            <v>PATHOLOGY</v>
          </cell>
          <cell r="I479" t="str">
            <v>04LA130</v>
          </cell>
          <cell r="J479" t="str">
            <v>SEROLOGY</v>
          </cell>
          <cell r="K479" t="str">
            <v>BMED</v>
          </cell>
          <cell r="L479" t="str">
            <v>Normal</v>
          </cell>
          <cell r="M479" t="str">
            <v>Germany</v>
          </cell>
          <cell r="N479" t="str">
            <v>Eppendorf</v>
          </cell>
          <cell r="O479" t="str">
            <v>Eppendorf Research Plus</v>
          </cell>
          <cell r="P479" t="str">
            <v>M29138J</v>
          </cell>
          <cell r="Q479" t="str">
            <v>Not Applicable</v>
          </cell>
          <cell r="R479" t="str">
            <v>Eppendorf</v>
          </cell>
          <cell r="S479" t="str">
            <v>MEDIGENE SDN BHD</v>
          </cell>
          <cell r="T479" t="str">
            <v>Functioning</v>
          </cell>
          <cell r="U479" t="str">
            <v>Asset</v>
          </cell>
          <cell r="V479">
            <v>1000</v>
          </cell>
          <cell r="W479" t="str">
            <v>KEW</v>
          </cell>
          <cell r="X479">
            <v>44291</v>
          </cell>
          <cell r="Y479" t="str">
            <v>KEW</v>
          </cell>
          <cell r="Z479">
            <v>44307</v>
          </cell>
          <cell r="AA479">
            <v>44672</v>
          </cell>
          <cell r="AB479" t="str">
            <v>No</v>
          </cell>
          <cell r="AC479">
            <v>44307</v>
          </cell>
          <cell r="AD479" t="str">
            <v>Good</v>
          </cell>
          <cell r="AE479" t="str">
            <v>V3 - Added Installed Facilities (New)</v>
          </cell>
          <cell r="AH479" t="str">
            <v>PPM</v>
          </cell>
          <cell r="AI479" t="str">
            <v>Not in contract</v>
          </cell>
          <cell r="AJ479" t="str">
            <v>Not in contract</v>
          </cell>
          <cell r="AK479" t="str">
            <v>BARANG SUMBANGAN. USER DID NOT WANT TO CALIBRATE.[INDIRA UPDATE 21/10/2024]</v>
          </cell>
        </row>
        <row r="480">
          <cell r="A480" t="str">
            <v>IKN402067</v>
          </cell>
          <cell r="B480">
            <v>1722</v>
          </cell>
          <cell r="C480" t="str">
            <v>Institut Kanser Negara</v>
          </cell>
          <cell r="D480" t="str">
            <v>NA</v>
          </cell>
          <cell r="E480" t="str">
            <v>15-663</v>
          </cell>
          <cell r="F480" t="str">
            <v>Pipetters</v>
          </cell>
          <cell r="G480" t="str">
            <v>LA</v>
          </cell>
          <cell r="H480" t="str">
            <v>PATHOLOGY</v>
          </cell>
          <cell r="I480" t="str">
            <v>04LA130</v>
          </cell>
          <cell r="J480" t="str">
            <v>SEROLOGY</v>
          </cell>
          <cell r="K480" t="str">
            <v>BMED</v>
          </cell>
          <cell r="L480" t="str">
            <v>Normal</v>
          </cell>
          <cell r="M480" t="str">
            <v>Germany</v>
          </cell>
          <cell r="N480" t="str">
            <v>Eppendorf</v>
          </cell>
          <cell r="O480" t="str">
            <v>Eppendorf Research Plus</v>
          </cell>
          <cell r="P480" t="str">
            <v>M29092J</v>
          </cell>
          <cell r="Q480" t="str">
            <v>Not Applicable</v>
          </cell>
          <cell r="R480" t="str">
            <v>Eppendorf</v>
          </cell>
          <cell r="S480" t="str">
            <v>MEDIGENE SDN BHD</v>
          </cell>
          <cell r="T480" t="str">
            <v>Functioning</v>
          </cell>
          <cell r="U480" t="str">
            <v>Asset</v>
          </cell>
          <cell r="V480">
            <v>1000</v>
          </cell>
          <cell r="W480" t="str">
            <v>KEW</v>
          </cell>
          <cell r="X480">
            <v>44291</v>
          </cell>
          <cell r="Y480" t="str">
            <v>KEW</v>
          </cell>
          <cell r="Z480">
            <v>44307</v>
          </cell>
          <cell r="AA480">
            <v>44672</v>
          </cell>
          <cell r="AB480" t="str">
            <v>No</v>
          </cell>
          <cell r="AC480">
            <v>44307</v>
          </cell>
          <cell r="AD480" t="str">
            <v>Good</v>
          </cell>
          <cell r="AE480" t="str">
            <v>V3 - Added Installed Facilities (New)</v>
          </cell>
          <cell r="AH480" t="str">
            <v>PPM</v>
          </cell>
          <cell r="AI480" t="str">
            <v>Not in contract</v>
          </cell>
          <cell r="AJ480" t="str">
            <v>Not in contract</v>
          </cell>
          <cell r="AK480" t="str">
            <v>BARANG SUMBANGAN. USER DID NOT WANT TO CALIBRATE.[INDIRA UPDATE 21/10/2024]</v>
          </cell>
        </row>
        <row r="481">
          <cell r="A481" t="str">
            <v>IKN402080</v>
          </cell>
          <cell r="B481">
            <v>1735</v>
          </cell>
          <cell r="C481" t="str">
            <v>Institut Kanser Negara</v>
          </cell>
          <cell r="D481" t="str">
            <v>KKM/IKN/H/21/37</v>
          </cell>
          <cell r="E481" t="str">
            <v>13-215</v>
          </cell>
          <cell r="F481" t="str">
            <v>Infusion Pumps, General-Purpose</v>
          </cell>
          <cell r="G481" t="str">
            <v>DO</v>
          </cell>
          <cell r="H481" t="str">
            <v>DAY ONCOLOGY UNIT</v>
          </cell>
          <cell r="I481" t="str">
            <v>04DO111</v>
          </cell>
          <cell r="J481" t="str">
            <v>EQUIP. ROOM</v>
          </cell>
          <cell r="K481" t="str">
            <v>BMED</v>
          </cell>
          <cell r="L481" t="str">
            <v>Critical</v>
          </cell>
          <cell r="M481" t="str">
            <v>CHINA</v>
          </cell>
          <cell r="N481" t="str">
            <v>MedCaptian</v>
          </cell>
          <cell r="O481" t="str">
            <v>HP-60</v>
          </cell>
          <cell r="P481" t="str">
            <v>9024022107065</v>
          </cell>
          <cell r="Q481" t="str">
            <v>Not Applicable</v>
          </cell>
          <cell r="R481" t="str">
            <v>MedCaptain Medical Technology</v>
          </cell>
          <cell r="S481" t="str">
            <v>Alam Medik Sdn Bhd</v>
          </cell>
          <cell r="T481" t="str">
            <v>Functioning</v>
          </cell>
          <cell r="U481" t="str">
            <v>Asset</v>
          </cell>
          <cell r="V481">
            <v>3500</v>
          </cell>
          <cell r="W481" t="str">
            <v>KEW</v>
          </cell>
          <cell r="X481">
            <v>44421</v>
          </cell>
          <cell r="Y481" t="str">
            <v>KEW</v>
          </cell>
          <cell r="Z481">
            <v>44432</v>
          </cell>
          <cell r="AA481">
            <v>44797</v>
          </cell>
          <cell r="AB481" t="str">
            <v>No</v>
          </cell>
          <cell r="AC481">
            <v>44432</v>
          </cell>
          <cell r="AD481" t="str">
            <v>Good</v>
          </cell>
          <cell r="AE481" t="str">
            <v>V3 - Added Installed Facilities (New)</v>
          </cell>
          <cell r="AF481">
            <v>44432</v>
          </cell>
          <cell r="AH481" t="str">
            <v>PPM</v>
          </cell>
          <cell r="AI481" t="str">
            <v>Strands</v>
          </cell>
          <cell r="AJ481" t="str">
            <v>Strands PW</v>
          </cell>
          <cell r="AK481" t="str">
            <v>SNF received on 28.9.2021. [17/12/2023, SHARIFAH]: PEP ON 7/12/2023, BER/BEMS/IKN/23/022 - Asset mengalami kerosakan pada mainboard. Penggunaannya hendaklah dihentikan. SNF V4 received on 6/3/2024.</v>
          </cell>
        </row>
        <row r="482">
          <cell r="A482" t="str">
            <v>IKN402110</v>
          </cell>
          <cell r="B482">
            <v>1765</v>
          </cell>
          <cell r="C482" t="str">
            <v>Institut Kanser Negara</v>
          </cell>
          <cell r="D482" t="str">
            <v>KKM/IKN/H/22/13</v>
          </cell>
          <cell r="E482" t="str">
            <v>13-215</v>
          </cell>
          <cell r="F482" t="str">
            <v>Infusion Pumps, General-Purpose</v>
          </cell>
          <cell r="G482" t="str">
            <v>WD</v>
          </cell>
          <cell r="H482" t="str">
            <v>RT/ONCO PAED/ADOLESCENT WARD</v>
          </cell>
          <cell r="I482" t="str">
            <v>06WD153</v>
          </cell>
          <cell r="J482" t="str">
            <v>EQP.ROOM</v>
          </cell>
          <cell r="K482" t="str">
            <v>BMED</v>
          </cell>
          <cell r="L482" t="str">
            <v>Critical</v>
          </cell>
          <cell r="M482" t="str">
            <v>CHINA</v>
          </cell>
          <cell r="N482" t="str">
            <v>MedCaptian</v>
          </cell>
          <cell r="O482" t="str">
            <v>HP-60</v>
          </cell>
          <cell r="P482">
            <v>9024022108379</v>
          </cell>
          <cell r="Q482" t="str">
            <v>Not Applicable</v>
          </cell>
          <cell r="R482" t="str">
            <v>MedCaptain Medical Technology</v>
          </cell>
          <cell r="S482" t="str">
            <v>Alam Medik Sdn Bhd</v>
          </cell>
          <cell r="T482" t="str">
            <v>Functioning</v>
          </cell>
          <cell r="U482" t="str">
            <v>Asset</v>
          </cell>
          <cell r="V482">
            <v>3500</v>
          </cell>
          <cell r="W482" t="str">
            <v>KEW</v>
          </cell>
          <cell r="X482">
            <v>44643</v>
          </cell>
          <cell r="Y482" t="str">
            <v>KEW</v>
          </cell>
          <cell r="Z482">
            <v>44658</v>
          </cell>
          <cell r="AA482">
            <v>45023</v>
          </cell>
          <cell r="AB482" t="str">
            <v>NO</v>
          </cell>
          <cell r="AC482">
            <v>44658</v>
          </cell>
          <cell r="AD482" t="str">
            <v>Good</v>
          </cell>
          <cell r="AE482" t="str">
            <v>V3 - Added Installed Facilities (New)</v>
          </cell>
          <cell r="AF482">
            <v>45195</v>
          </cell>
          <cell r="AG482" t="str">
            <v>NA</v>
          </cell>
          <cell r="AH482" t="str">
            <v>PPM</v>
          </cell>
          <cell r="AI482" t="str">
            <v>Not in Contract</v>
          </cell>
          <cell r="AJ482" t="str">
            <v>Proposed for V3 P2.23</v>
          </cell>
          <cell r="AK482" t="str">
            <v>(PIC: ATIQA). KKM follow P2.23.</v>
          </cell>
        </row>
        <row r="483">
          <cell r="A483" t="str">
            <v>IKN402125</v>
          </cell>
          <cell r="B483">
            <v>1780</v>
          </cell>
          <cell r="C483" t="str">
            <v>Institut Kanser Negara</v>
          </cell>
          <cell r="D483" t="str">
            <v>KKM/IKN/H/22/50</v>
          </cell>
          <cell r="E483" t="str">
            <v>16-320</v>
          </cell>
          <cell r="F483" t="str">
            <v>Bacti Incinerator/Infared Sterilizer</v>
          </cell>
          <cell r="G483" t="str">
            <v>LA</v>
          </cell>
          <cell r="H483" t="str">
            <v>PATHOLOGY</v>
          </cell>
          <cell r="I483" t="str">
            <v>04LA127</v>
          </cell>
          <cell r="J483" t="str">
            <v>INNOCULATION/STAINING</v>
          </cell>
          <cell r="K483" t="str">
            <v>BMED</v>
          </cell>
          <cell r="L483" t="str">
            <v>Normal</v>
          </cell>
          <cell r="M483" t="str">
            <v>CHINA</v>
          </cell>
          <cell r="N483" t="str">
            <v>Bacti Zapper</v>
          </cell>
          <cell r="O483" t="str">
            <v>B1000-E</v>
          </cell>
          <cell r="P483" t="str">
            <v>023-16031-20050032</v>
          </cell>
          <cell r="Q483" t="str">
            <v>Not Applicable</v>
          </cell>
          <cell r="R483" t="str">
            <v>Beachmark Scientific Inc</v>
          </cell>
          <cell r="S483" t="str">
            <v>Chemopharm Sdn Bhd</v>
          </cell>
          <cell r="T483" t="str">
            <v>Functioning</v>
          </cell>
          <cell r="U483" t="str">
            <v>Asset</v>
          </cell>
          <cell r="V483">
            <v>3395</v>
          </cell>
          <cell r="W483" t="str">
            <v>KEW</v>
          </cell>
          <cell r="X483">
            <v>44648</v>
          </cell>
          <cell r="Y483" t="str">
            <v>KEW</v>
          </cell>
          <cell r="Z483">
            <v>44726</v>
          </cell>
          <cell r="AA483">
            <v>45090</v>
          </cell>
          <cell r="AB483" t="str">
            <v>No</v>
          </cell>
          <cell r="AC483">
            <v>44726</v>
          </cell>
          <cell r="AD483" t="str">
            <v>Good</v>
          </cell>
          <cell r="AE483" t="str">
            <v>V3 - Added Installed Facilities (New)</v>
          </cell>
          <cell r="AF483">
            <v>44726</v>
          </cell>
          <cell r="AG483" t="str">
            <v>NA</v>
          </cell>
          <cell r="AH483" t="str">
            <v>PPM</v>
          </cell>
          <cell r="AI483" t="str">
            <v>NOT IN CONTRACT</v>
          </cell>
          <cell r="AJ483" t="str">
            <v>Not under maintenance</v>
          </cell>
          <cell r="AK483" t="str">
            <v>[28/2/2024, FAEZAH: MEMO PENOLAKAN V3 DARI AWC.</v>
          </cell>
        </row>
        <row r="484">
          <cell r="A484" t="str">
            <v>IKN402126</v>
          </cell>
          <cell r="B484">
            <v>1781</v>
          </cell>
          <cell r="C484" t="str">
            <v>Institut Kanser Negara</v>
          </cell>
          <cell r="D484" t="str">
            <v>KKM/IKN/H/22/51</v>
          </cell>
          <cell r="E484" t="str">
            <v>16-320</v>
          </cell>
          <cell r="F484" t="str">
            <v>Bacti Incinerator/Infared Sterilizer</v>
          </cell>
          <cell r="G484" t="str">
            <v>LA</v>
          </cell>
          <cell r="H484" t="str">
            <v>PATHOLOGY</v>
          </cell>
          <cell r="I484" t="str">
            <v>04LA127</v>
          </cell>
          <cell r="J484" t="str">
            <v>INNOCULATION/STAINING</v>
          </cell>
          <cell r="K484" t="str">
            <v>BMED</v>
          </cell>
          <cell r="L484" t="str">
            <v>Normal</v>
          </cell>
          <cell r="M484" t="str">
            <v>CHINA</v>
          </cell>
          <cell r="N484" t="str">
            <v>Bacti Zapper</v>
          </cell>
          <cell r="O484" t="str">
            <v>B1000-E</v>
          </cell>
          <cell r="P484" t="str">
            <v>023-16031-20050035</v>
          </cell>
          <cell r="Q484" t="str">
            <v>Not Applicable</v>
          </cell>
          <cell r="R484" t="str">
            <v>Beachmark Scientific Inc</v>
          </cell>
          <cell r="S484" t="str">
            <v>Chemopharm Sdn Bhd</v>
          </cell>
          <cell r="T484" t="str">
            <v>Functioning</v>
          </cell>
          <cell r="U484" t="str">
            <v>Asset</v>
          </cell>
          <cell r="V484">
            <v>3395</v>
          </cell>
          <cell r="W484" t="str">
            <v>KEW</v>
          </cell>
          <cell r="X484">
            <v>44648</v>
          </cell>
          <cell r="Y484" t="str">
            <v>KEW</v>
          </cell>
          <cell r="Z484">
            <v>44726</v>
          </cell>
          <cell r="AA484">
            <v>45090</v>
          </cell>
          <cell r="AB484" t="str">
            <v>No</v>
          </cell>
          <cell r="AC484">
            <v>44726</v>
          </cell>
          <cell r="AD484" t="str">
            <v>Good</v>
          </cell>
          <cell r="AE484" t="str">
            <v>V3 - Added Installed Facilities (New)</v>
          </cell>
          <cell r="AF484">
            <v>44726</v>
          </cell>
          <cell r="AG484" t="str">
            <v>NA</v>
          </cell>
          <cell r="AH484" t="str">
            <v>PPM</v>
          </cell>
          <cell r="AI484" t="str">
            <v>NOT IN CONTRACT</v>
          </cell>
          <cell r="AJ484" t="str">
            <v>Not under maintenance</v>
          </cell>
          <cell r="AK484" t="str">
            <v>[28/2/2024, FAEZAH: MEMO PENOLAKAN V3 DARI AWC.</v>
          </cell>
        </row>
        <row r="485">
          <cell r="A485" t="str">
            <v>IKN402127</v>
          </cell>
          <cell r="B485">
            <v>1782</v>
          </cell>
          <cell r="C485" t="str">
            <v>Institut Kanser Negara</v>
          </cell>
          <cell r="D485" t="str">
            <v>KKM/IKN/H/22/52</v>
          </cell>
          <cell r="E485" t="str">
            <v>16-320</v>
          </cell>
          <cell r="F485" t="str">
            <v>Bacti Incinerator/Infared Sterilizer</v>
          </cell>
          <cell r="G485" t="str">
            <v>LA</v>
          </cell>
          <cell r="H485" t="str">
            <v>PATHOLOGY</v>
          </cell>
          <cell r="I485" t="str">
            <v>04LA127</v>
          </cell>
          <cell r="J485" t="str">
            <v>INNOCULATION/STAINING</v>
          </cell>
          <cell r="K485" t="str">
            <v>BMED</v>
          </cell>
          <cell r="L485" t="str">
            <v>Normal</v>
          </cell>
          <cell r="M485" t="str">
            <v>CHINA</v>
          </cell>
          <cell r="N485" t="str">
            <v>Bacti Zapper</v>
          </cell>
          <cell r="O485" t="str">
            <v>B1000-E</v>
          </cell>
          <cell r="P485" t="str">
            <v>023-16031-21030085</v>
          </cell>
          <cell r="Q485" t="str">
            <v>Not Applicable</v>
          </cell>
          <cell r="R485" t="str">
            <v>Beachmark Scientific Inc</v>
          </cell>
          <cell r="S485" t="str">
            <v>Chemopharm Sdn Bhd</v>
          </cell>
          <cell r="T485" t="str">
            <v>Functioning</v>
          </cell>
          <cell r="U485" t="str">
            <v>Asset</v>
          </cell>
          <cell r="V485">
            <v>3395</v>
          </cell>
          <cell r="W485" t="str">
            <v>KEW</v>
          </cell>
          <cell r="X485">
            <v>44648</v>
          </cell>
          <cell r="Y485" t="str">
            <v>KEW</v>
          </cell>
          <cell r="Z485">
            <v>44726</v>
          </cell>
          <cell r="AA485">
            <v>45090</v>
          </cell>
          <cell r="AB485" t="str">
            <v>No</v>
          </cell>
          <cell r="AC485">
            <v>44726</v>
          </cell>
          <cell r="AD485" t="str">
            <v>Good</v>
          </cell>
          <cell r="AE485" t="str">
            <v>V3 - Added Installed Facilities (New)</v>
          </cell>
          <cell r="AF485">
            <v>44726</v>
          </cell>
          <cell r="AG485" t="str">
            <v>NA</v>
          </cell>
          <cell r="AH485" t="str">
            <v>PPM</v>
          </cell>
          <cell r="AI485" t="str">
            <v>NOT IN CONTRACT</v>
          </cell>
          <cell r="AJ485" t="str">
            <v>Not under maintenance</v>
          </cell>
          <cell r="AK485" t="str">
            <v>[28/2/2024, FAEZAH: MEMO PENOLAKAN V3 DARI AWC.</v>
          </cell>
        </row>
        <row r="486">
          <cell r="A486" t="str">
            <v>IKN402128</v>
          </cell>
          <cell r="B486">
            <v>1783</v>
          </cell>
          <cell r="C486" t="str">
            <v>Institut Kanser Negara</v>
          </cell>
          <cell r="D486" t="str">
            <v>KKM/IKN/H/22/53</v>
          </cell>
          <cell r="E486" t="str">
            <v>16-320</v>
          </cell>
          <cell r="F486" t="str">
            <v>Bacti Incinerator/Infared Sterilizer</v>
          </cell>
          <cell r="G486" t="str">
            <v>LA</v>
          </cell>
          <cell r="H486" t="str">
            <v>PATHOLOGY</v>
          </cell>
          <cell r="I486" t="str">
            <v>04LA127</v>
          </cell>
          <cell r="J486" t="str">
            <v>INNOCULATION/STAINING</v>
          </cell>
          <cell r="K486" t="str">
            <v>BMED</v>
          </cell>
          <cell r="L486" t="str">
            <v>Normal</v>
          </cell>
          <cell r="M486" t="str">
            <v>CHINA</v>
          </cell>
          <cell r="N486" t="str">
            <v>Bacti Zapper</v>
          </cell>
          <cell r="O486" t="str">
            <v>B1000-E</v>
          </cell>
          <cell r="P486" t="str">
            <v>023-16031-21030087</v>
          </cell>
          <cell r="Q486" t="str">
            <v>Not Applicable</v>
          </cell>
          <cell r="R486" t="str">
            <v>Beachmark Scientific Inc</v>
          </cell>
          <cell r="S486" t="str">
            <v>Chemopharm Sdn Bhd</v>
          </cell>
          <cell r="T486" t="str">
            <v>Functioning</v>
          </cell>
          <cell r="U486" t="str">
            <v>Asset</v>
          </cell>
          <cell r="V486">
            <v>3395</v>
          </cell>
          <cell r="W486" t="str">
            <v>KEW</v>
          </cell>
          <cell r="X486">
            <v>44648</v>
          </cell>
          <cell r="Y486" t="str">
            <v>KEW</v>
          </cell>
          <cell r="Z486">
            <v>44726</v>
          </cell>
          <cell r="AA486">
            <v>45090</v>
          </cell>
          <cell r="AB486" t="str">
            <v>No</v>
          </cell>
          <cell r="AC486">
            <v>44726</v>
          </cell>
          <cell r="AD486" t="str">
            <v>Good</v>
          </cell>
          <cell r="AE486" t="str">
            <v>V3 - Added Installed Facilities (New)</v>
          </cell>
          <cell r="AF486">
            <v>44726</v>
          </cell>
          <cell r="AG486" t="str">
            <v>NA</v>
          </cell>
          <cell r="AH486" t="str">
            <v>PPM</v>
          </cell>
          <cell r="AI486" t="str">
            <v>NOT IN CONTRACT</v>
          </cell>
          <cell r="AJ486" t="str">
            <v>Not under maintenance</v>
          </cell>
          <cell r="AK486" t="str">
            <v>[28/2/2024, FAEZAH: MEMO PENOLAKAN V3 DARI AWC.</v>
          </cell>
        </row>
        <row r="487">
          <cell r="A487" t="str">
            <v>IKN400001</v>
          </cell>
          <cell r="B487">
            <v>1</v>
          </cell>
          <cell r="C487" t="str">
            <v>Institut Kanser Negara</v>
          </cell>
          <cell r="D487" t="str">
            <v>KKM/IKN/H/13/3795</v>
          </cell>
          <cell r="E487" t="str">
            <v>11-134</v>
          </cell>
          <cell r="F487" t="str">
            <v>Defibrillators, External, Manual</v>
          </cell>
          <cell r="G487" t="str">
            <v>AE</v>
          </cell>
          <cell r="H487" t="str">
            <v>EMERGENCY UNIT</v>
          </cell>
          <cell r="I487" t="str">
            <v>01AE112</v>
          </cell>
          <cell r="J487" t="str">
            <v>EMERGENCY TROLLEY BAY</v>
          </cell>
          <cell r="K487" t="str">
            <v>BMED</v>
          </cell>
          <cell r="L487" t="str">
            <v>Critical</v>
          </cell>
          <cell r="M487" t="str">
            <v>USA</v>
          </cell>
          <cell r="N487" t="str">
            <v>Responder</v>
          </cell>
          <cell r="O487" t="str">
            <v>Responder 2000</v>
          </cell>
          <cell r="P487" t="str">
            <v>3206730</v>
          </cell>
          <cell r="Q487" t="str">
            <v>Not Applicable</v>
          </cell>
          <cell r="R487" t="str">
            <v>GE Medical Systems</v>
          </cell>
          <cell r="S487" t="str">
            <v>Antah Sir Radin Sdn. Bhd.</v>
          </cell>
          <cell r="T487" t="str">
            <v>Functioning</v>
          </cell>
          <cell r="U487" t="str">
            <v>Asset</v>
          </cell>
          <cell r="V487">
            <v>45000</v>
          </cell>
          <cell r="W487" t="str">
            <v>Estimate</v>
          </cell>
          <cell r="X487" t="str">
            <v>01/09/2010</v>
          </cell>
          <cell r="Y487" t="str">
            <v>KEW</v>
          </cell>
          <cell r="Z487" t="str">
            <v>16/08/2013</v>
          </cell>
          <cell r="AA487" t="str">
            <v>15/08/2015</v>
          </cell>
          <cell r="AB487" t="str">
            <v>No</v>
          </cell>
          <cell r="AC487" t="str">
            <v>31/08/2013</v>
          </cell>
          <cell r="AD487" t="str">
            <v>Good</v>
          </cell>
          <cell r="AE487" t="str">
            <v>V1 - Existing / No Claim</v>
          </cell>
          <cell r="AF487">
            <v>42599</v>
          </cell>
          <cell r="AG487">
            <v>9.17</v>
          </cell>
          <cell r="AH487" t="str">
            <v>PPM</v>
          </cell>
          <cell r="AI487" t="str">
            <v>Strands</v>
          </cell>
          <cell r="AJ487" t="str">
            <v>Strands PW</v>
          </cell>
        </row>
        <row r="488">
          <cell r="A488" t="str">
            <v>IKN400002</v>
          </cell>
          <cell r="B488">
            <v>2</v>
          </cell>
          <cell r="C488" t="str">
            <v>Institut Kanser Negara</v>
          </cell>
          <cell r="D488" t="str">
            <v>KKM/IKN/H/13/3794</v>
          </cell>
          <cell r="E488" t="str">
            <v>11-134</v>
          </cell>
          <cell r="F488" t="str">
            <v>Defibrillators, External, Manual</v>
          </cell>
          <cell r="G488" t="str">
            <v>AE</v>
          </cell>
          <cell r="H488" t="str">
            <v>EMERGENCY UNIT</v>
          </cell>
          <cell r="I488" t="str">
            <v>01AE119</v>
          </cell>
          <cell r="J488" t="str">
            <v>RESUSCITATION/TREATMENT</v>
          </cell>
          <cell r="K488" t="str">
            <v>BMED</v>
          </cell>
          <cell r="L488" t="str">
            <v>Critical</v>
          </cell>
          <cell r="M488" t="str">
            <v>USA</v>
          </cell>
          <cell r="N488" t="str">
            <v>Responder</v>
          </cell>
          <cell r="O488" t="str">
            <v>Responder 2000</v>
          </cell>
          <cell r="P488" t="str">
            <v>3206728</v>
          </cell>
          <cell r="Q488" t="str">
            <v>Not Available</v>
          </cell>
          <cell r="R488" t="str">
            <v>GE Medical Systems</v>
          </cell>
          <cell r="S488" t="str">
            <v>Antah Sir Radin Sdn. Bhd.</v>
          </cell>
          <cell r="T488" t="str">
            <v>Functioning</v>
          </cell>
          <cell r="U488" t="str">
            <v>Asset</v>
          </cell>
          <cell r="V488">
            <v>45000</v>
          </cell>
          <cell r="W488" t="str">
            <v>Estimate</v>
          </cell>
          <cell r="X488" t="str">
            <v>01/09/2010</v>
          </cell>
          <cell r="Y488" t="str">
            <v>KEW</v>
          </cell>
          <cell r="Z488" t="str">
            <v>16/08/2013</v>
          </cell>
          <cell r="AA488" t="str">
            <v>15/08/2015</v>
          </cell>
          <cell r="AB488" t="str">
            <v>No</v>
          </cell>
          <cell r="AC488" t="str">
            <v>31/08/2013</v>
          </cell>
          <cell r="AD488" t="str">
            <v>Good</v>
          </cell>
          <cell r="AE488" t="str">
            <v>V1 - Existing / No Claim</v>
          </cell>
          <cell r="AF488">
            <v>42601</v>
          </cell>
          <cell r="AG488">
            <v>9.17</v>
          </cell>
          <cell r="AH488" t="str">
            <v>PPM</v>
          </cell>
          <cell r="AI488" t="str">
            <v>Strands</v>
          </cell>
          <cell r="AJ488" t="str">
            <v>Strands PW</v>
          </cell>
        </row>
        <row r="489">
          <cell r="A489" t="str">
            <v>IKN400004</v>
          </cell>
          <cell r="B489">
            <v>4</v>
          </cell>
          <cell r="C489" t="str">
            <v>Institut Kanser Negara</v>
          </cell>
          <cell r="D489" t="str">
            <v>KKM/IKN/H/13/1706</v>
          </cell>
          <cell r="E489" t="str">
            <v>16-231</v>
          </cell>
          <cell r="F489" t="str">
            <v>Electrocardiographs, Multichannel, Interpretative</v>
          </cell>
          <cell r="G489" t="str">
            <v>AE</v>
          </cell>
          <cell r="H489" t="str">
            <v>EMERGENCY UNIT</v>
          </cell>
          <cell r="I489" t="str">
            <v>01AE110</v>
          </cell>
          <cell r="J489" t="str">
            <v>EQUIPT. ROOM</v>
          </cell>
          <cell r="K489" t="str">
            <v>BMED</v>
          </cell>
          <cell r="L489" t="str">
            <v>Critical</v>
          </cell>
          <cell r="M489" t="str">
            <v>China</v>
          </cell>
          <cell r="N489" t="str">
            <v>Mac</v>
          </cell>
          <cell r="O489" t="str">
            <v>MAC 800</v>
          </cell>
          <cell r="P489" t="str">
            <v>SJ412450364 WA</v>
          </cell>
          <cell r="Q489" t="str">
            <v>Not Applicable</v>
          </cell>
          <cell r="R489" t="str">
            <v>GE Healthcare Systems</v>
          </cell>
          <cell r="S489" t="str">
            <v>GE Healthcare Technologies</v>
          </cell>
          <cell r="T489" t="str">
            <v>Functioning</v>
          </cell>
          <cell r="U489" t="str">
            <v>Asset</v>
          </cell>
          <cell r="V489">
            <v>25260</v>
          </cell>
          <cell r="W489" t="str">
            <v>KEW</v>
          </cell>
          <cell r="X489" t="str">
            <v>01/09/2010</v>
          </cell>
          <cell r="Y489" t="str">
            <v>KEW</v>
          </cell>
          <cell r="Z489" t="str">
            <v>16/08/2013</v>
          </cell>
          <cell r="AA489" t="str">
            <v>15/08/2015</v>
          </cell>
          <cell r="AB489" t="str">
            <v>No</v>
          </cell>
          <cell r="AC489" t="str">
            <v>31/08/2013</v>
          </cell>
          <cell r="AD489" t="str">
            <v>Good</v>
          </cell>
          <cell r="AE489" t="str">
            <v>V1 - Existing / No Claim</v>
          </cell>
          <cell r="AF489">
            <v>42800</v>
          </cell>
          <cell r="AG489">
            <v>9.17</v>
          </cell>
          <cell r="AH489" t="str">
            <v>PPM</v>
          </cell>
          <cell r="AI489" t="str">
            <v>Strands</v>
          </cell>
          <cell r="AJ489" t="str">
            <v>Strands PW</v>
          </cell>
        </row>
        <row r="490">
          <cell r="A490" t="str">
            <v>IKN400005</v>
          </cell>
          <cell r="B490">
            <v>5</v>
          </cell>
          <cell r="C490" t="str">
            <v>Institut Kanser Negara</v>
          </cell>
          <cell r="D490" t="str">
            <v>KKM/IKN/H/13/3140</v>
          </cell>
          <cell r="E490" t="str">
            <v>12-282</v>
          </cell>
          <cell r="F490" t="str">
            <v>Lights, Surgical</v>
          </cell>
          <cell r="G490" t="str">
            <v>AE</v>
          </cell>
          <cell r="H490" t="str">
            <v>EMERGENCY UNIT</v>
          </cell>
          <cell r="I490" t="str">
            <v>01AE106</v>
          </cell>
          <cell r="J490" t="str">
            <v>C/E ROOM</v>
          </cell>
          <cell r="K490" t="str">
            <v>BMED</v>
          </cell>
          <cell r="L490" t="str">
            <v>Critical</v>
          </cell>
          <cell r="M490" t="str">
            <v>USA</v>
          </cell>
          <cell r="N490" t="str">
            <v>Welch Allyn</v>
          </cell>
          <cell r="O490" t="str">
            <v>Welch Allyn GS600</v>
          </cell>
          <cell r="P490" t="str">
            <v>GS-600-44</v>
          </cell>
          <cell r="Q490" t="str">
            <v>Not Applicable</v>
          </cell>
          <cell r="R490" t="str">
            <v>Welch Allyn Inc</v>
          </cell>
          <cell r="S490" t="str">
            <v>Welch Allyn Malaysia Sdn Bhd</v>
          </cell>
          <cell r="T490" t="str">
            <v>Functioning</v>
          </cell>
          <cell r="U490" t="str">
            <v>Asset</v>
          </cell>
          <cell r="V490">
            <v>5050</v>
          </cell>
          <cell r="W490" t="str">
            <v>KEW</v>
          </cell>
          <cell r="X490" t="str">
            <v>01/09/2010</v>
          </cell>
          <cell r="Y490" t="str">
            <v>KEW</v>
          </cell>
          <cell r="Z490" t="str">
            <v>16/08/2013</v>
          </cell>
          <cell r="AA490" t="str">
            <v>15/08/2015</v>
          </cell>
          <cell r="AB490" t="str">
            <v>No</v>
          </cell>
          <cell r="AC490" t="str">
            <v>31/08/2013</v>
          </cell>
          <cell r="AD490" t="str">
            <v>Good</v>
          </cell>
          <cell r="AE490" t="str">
            <v>V1 - Existing / No Claim</v>
          </cell>
          <cell r="AF490">
            <v>42800</v>
          </cell>
          <cell r="AG490">
            <v>9.17</v>
          </cell>
          <cell r="AH490" t="str">
            <v>PPM</v>
          </cell>
          <cell r="AI490" t="str">
            <v>Strands</v>
          </cell>
          <cell r="AJ490" t="str">
            <v>Strands PW</v>
          </cell>
        </row>
        <row r="491">
          <cell r="A491" t="str">
            <v>IKN400006</v>
          </cell>
          <cell r="B491">
            <v>6</v>
          </cell>
          <cell r="C491" t="str">
            <v>Institut Kanser Negara</v>
          </cell>
          <cell r="D491" t="str">
            <v>KKM/IKN/H/13/1785</v>
          </cell>
          <cell r="E491" t="str">
            <v>12-282</v>
          </cell>
          <cell r="F491" t="str">
            <v>Lights, Surgical</v>
          </cell>
          <cell r="G491" t="str">
            <v>AE</v>
          </cell>
          <cell r="H491" t="str">
            <v>EMERGENCY UNIT</v>
          </cell>
          <cell r="I491" t="str">
            <v>01AE110</v>
          </cell>
          <cell r="J491" t="str">
            <v>EQUIPT. ROOM</v>
          </cell>
          <cell r="K491" t="str">
            <v>BMED</v>
          </cell>
          <cell r="L491" t="str">
            <v>Normal</v>
          </cell>
          <cell r="M491" t="str">
            <v>USA</v>
          </cell>
          <cell r="N491" t="str">
            <v>Welch Allyn</v>
          </cell>
          <cell r="O491" t="str">
            <v>Welch Allyn GS600</v>
          </cell>
          <cell r="P491" t="str">
            <v>GS-600-01</v>
          </cell>
          <cell r="Q491" t="str">
            <v>Not Applicable</v>
          </cell>
          <cell r="R491" t="str">
            <v>Welch Allyn Inc</v>
          </cell>
          <cell r="S491" t="str">
            <v>Welch Allyn Malaysia Sdn Bhd</v>
          </cell>
          <cell r="T491" t="str">
            <v>Functioning</v>
          </cell>
          <cell r="U491" t="str">
            <v>Asset</v>
          </cell>
          <cell r="V491">
            <v>5050</v>
          </cell>
          <cell r="W491" t="str">
            <v>KEW</v>
          </cell>
          <cell r="X491" t="str">
            <v>01/09/2010</v>
          </cell>
          <cell r="Y491" t="str">
            <v>KEW</v>
          </cell>
          <cell r="Z491" t="str">
            <v>16/08/2013</v>
          </cell>
          <cell r="AA491" t="str">
            <v>15/08/2015</v>
          </cell>
          <cell r="AB491" t="str">
            <v>No</v>
          </cell>
          <cell r="AC491" t="str">
            <v>31/08/2013</v>
          </cell>
          <cell r="AD491" t="str">
            <v>Good</v>
          </cell>
          <cell r="AE491" t="str">
            <v>V1 - Existing / No Claim</v>
          </cell>
          <cell r="AF491">
            <v>42235</v>
          </cell>
          <cell r="AG491">
            <v>9.17</v>
          </cell>
          <cell r="AH491" t="str">
            <v>PPM</v>
          </cell>
          <cell r="AI491" t="str">
            <v>Strands</v>
          </cell>
          <cell r="AJ491" t="str">
            <v>Strands PW</v>
          </cell>
        </row>
        <row r="492">
          <cell r="A492" t="str">
            <v>IKN400007</v>
          </cell>
          <cell r="B492">
            <v>7</v>
          </cell>
          <cell r="C492" t="str">
            <v>Institut Kanser Negara</v>
          </cell>
          <cell r="D492" t="str">
            <v>KKM/IKN/H/13/1787</v>
          </cell>
          <cell r="E492" t="str">
            <v>12-647</v>
          </cell>
          <cell r="F492" t="str">
            <v>Physiologic Monitoring Systems, Acute Care</v>
          </cell>
          <cell r="G492" t="str">
            <v>AE</v>
          </cell>
          <cell r="H492" t="str">
            <v>EMERGENCY UNIT</v>
          </cell>
          <cell r="I492" t="str">
            <v>01AE118</v>
          </cell>
          <cell r="J492" t="str">
            <v>RESUSCITATION TREATMENT 1</v>
          </cell>
          <cell r="K492" t="str">
            <v>BMED</v>
          </cell>
          <cell r="L492" t="str">
            <v>Critical</v>
          </cell>
          <cell r="M492" t="str">
            <v>Finland</v>
          </cell>
          <cell r="N492" t="str">
            <v>CareScape</v>
          </cell>
          <cell r="O492" t="str">
            <v>CareScape B650</v>
          </cell>
          <cell r="P492" t="str">
            <v>SEW12357352HA</v>
          </cell>
          <cell r="Q492" t="str">
            <v>Not Applicable</v>
          </cell>
          <cell r="R492" t="str">
            <v>GE Medical Systems</v>
          </cell>
          <cell r="S492" t="str">
            <v>GE Healthcare Technologies</v>
          </cell>
          <cell r="T492" t="str">
            <v>Functioning</v>
          </cell>
          <cell r="U492" t="str">
            <v>Asset</v>
          </cell>
          <cell r="V492">
            <v>87400</v>
          </cell>
          <cell r="W492" t="str">
            <v>KEW</v>
          </cell>
          <cell r="X492" t="str">
            <v>01/09/2010</v>
          </cell>
          <cell r="Y492" t="str">
            <v>KEW</v>
          </cell>
          <cell r="Z492" t="str">
            <v>16/08/2013</v>
          </cell>
          <cell r="AA492" t="str">
            <v>15/08/2015</v>
          </cell>
          <cell r="AB492" t="str">
            <v>No</v>
          </cell>
          <cell r="AC492" t="str">
            <v>31/08/2013</v>
          </cell>
          <cell r="AD492" t="str">
            <v>Good</v>
          </cell>
          <cell r="AE492" t="str">
            <v>V1 - Existing / No Claim</v>
          </cell>
          <cell r="AF492">
            <v>42800</v>
          </cell>
          <cell r="AG492">
            <v>9.17</v>
          </cell>
          <cell r="AH492" t="str">
            <v>PPM</v>
          </cell>
          <cell r="AI492" t="str">
            <v>Strands</v>
          </cell>
          <cell r="AJ492" t="str">
            <v>Strands PW</v>
          </cell>
        </row>
        <row r="493">
          <cell r="A493" t="str">
            <v>IKN400008</v>
          </cell>
          <cell r="B493">
            <v>8</v>
          </cell>
          <cell r="C493" t="str">
            <v>Institut Kanser Negara</v>
          </cell>
          <cell r="D493" t="str">
            <v>KKM/IKN/H/13/1790</v>
          </cell>
          <cell r="E493" t="str">
            <v>12-647</v>
          </cell>
          <cell r="F493" t="str">
            <v>Physiologic Monitoring Systems, Acute Care</v>
          </cell>
          <cell r="G493" t="str">
            <v>AE</v>
          </cell>
          <cell r="H493" t="str">
            <v>EMERGENCY UNIT</v>
          </cell>
          <cell r="I493" t="str">
            <v>01AE119</v>
          </cell>
          <cell r="J493" t="str">
            <v>RESUSCITATION/TREATMENT</v>
          </cell>
          <cell r="K493" t="str">
            <v>BMED</v>
          </cell>
          <cell r="L493" t="str">
            <v>Critical</v>
          </cell>
          <cell r="M493" t="str">
            <v>Finland</v>
          </cell>
          <cell r="N493" t="str">
            <v>CareScape</v>
          </cell>
          <cell r="O493" t="str">
            <v>CareScape B650</v>
          </cell>
          <cell r="P493" t="str">
            <v>SEW12357505HA</v>
          </cell>
          <cell r="Q493" t="str">
            <v>Not Applicable</v>
          </cell>
          <cell r="R493" t="str">
            <v>GE Medical Systems</v>
          </cell>
          <cell r="S493" t="str">
            <v>GE Healthcare Technologies</v>
          </cell>
          <cell r="T493" t="str">
            <v>Functioning</v>
          </cell>
          <cell r="U493" t="str">
            <v>Asset</v>
          </cell>
          <cell r="V493">
            <v>87400</v>
          </cell>
          <cell r="W493" t="str">
            <v>KEW</v>
          </cell>
          <cell r="X493" t="str">
            <v>01/09/2010</v>
          </cell>
          <cell r="Y493" t="str">
            <v>KEW</v>
          </cell>
          <cell r="Z493" t="str">
            <v>16/08/2013</v>
          </cell>
          <cell r="AA493" t="str">
            <v>15/08/2015</v>
          </cell>
          <cell r="AB493" t="str">
            <v>No</v>
          </cell>
          <cell r="AC493" t="str">
            <v>31/08/2013</v>
          </cell>
          <cell r="AD493" t="str">
            <v>Good</v>
          </cell>
          <cell r="AE493" t="str">
            <v>V1 - Existing / No Claim</v>
          </cell>
          <cell r="AF493">
            <v>42800</v>
          </cell>
          <cell r="AG493">
            <v>9.17</v>
          </cell>
          <cell r="AH493" t="str">
            <v>PPM</v>
          </cell>
          <cell r="AI493" t="str">
            <v>Strands</v>
          </cell>
          <cell r="AJ493" t="str">
            <v>Strands PW</v>
          </cell>
        </row>
        <row r="494">
          <cell r="A494" t="str">
            <v>IKN400009</v>
          </cell>
          <cell r="B494">
            <v>9</v>
          </cell>
          <cell r="C494" t="str">
            <v>Institut Kanser Negara</v>
          </cell>
          <cell r="D494" t="str">
            <v>KKM/IKN/H/13/1776</v>
          </cell>
          <cell r="E494" t="str">
            <v>15-045</v>
          </cell>
          <cell r="F494" t="str">
            <v>Nebulizers, Nonheated</v>
          </cell>
          <cell r="G494" t="str">
            <v>AE</v>
          </cell>
          <cell r="H494" t="str">
            <v>EMERGENCY UNIT</v>
          </cell>
          <cell r="I494" t="str">
            <v>01AE110</v>
          </cell>
          <cell r="J494" t="str">
            <v>EQUIPT. ROOM</v>
          </cell>
          <cell r="K494" t="str">
            <v>BMED</v>
          </cell>
          <cell r="L494" t="str">
            <v>Normal</v>
          </cell>
          <cell r="M494" t="str">
            <v>Germany</v>
          </cell>
          <cell r="N494" t="str">
            <v>Pari Boy</v>
          </cell>
          <cell r="O494" t="str">
            <v>Pari Boy SX 085</v>
          </cell>
          <cell r="P494" t="str">
            <v>2W12F13805</v>
          </cell>
          <cell r="Q494" t="str">
            <v>Not Applicable</v>
          </cell>
          <cell r="R494" t="str">
            <v>Pari GmbH</v>
          </cell>
          <cell r="S494" t="str">
            <v>Welch Allyn Malaysia Sdn Bhd</v>
          </cell>
          <cell r="T494" t="str">
            <v>Functioning</v>
          </cell>
          <cell r="U494" t="str">
            <v>Asset</v>
          </cell>
          <cell r="V494">
            <v>1140</v>
          </cell>
          <cell r="W494" t="str">
            <v>KEW</v>
          </cell>
          <cell r="X494" t="str">
            <v>01/09/2010</v>
          </cell>
          <cell r="Y494" t="str">
            <v>KEW</v>
          </cell>
          <cell r="Z494" t="str">
            <v>16/08/2013</v>
          </cell>
          <cell r="AA494" t="str">
            <v>15/08/2015</v>
          </cell>
          <cell r="AB494" t="str">
            <v>No</v>
          </cell>
          <cell r="AC494" t="str">
            <v>31/08/2013</v>
          </cell>
          <cell r="AD494" t="str">
            <v>Good</v>
          </cell>
          <cell r="AE494" t="str">
            <v>V1 - Existing / No Claim</v>
          </cell>
          <cell r="AF494">
            <v>42235</v>
          </cell>
          <cell r="AG494">
            <v>9.17</v>
          </cell>
          <cell r="AH494" t="str">
            <v>PPM</v>
          </cell>
          <cell r="AI494" t="str">
            <v>Strands</v>
          </cell>
          <cell r="AJ494" t="str">
            <v>Strands PW</v>
          </cell>
        </row>
        <row r="495">
          <cell r="A495" t="str">
            <v>IKN400010</v>
          </cell>
          <cell r="B495">
            <v>10</v>
          </cell>
          <cell r="C495" t="str">
            <v>Institut Kanser Negara</v>
          </cell>
          <cell r="D495" t="str">
            <v>KKM/IKN/H/13/1779</v>
          </cell>
          <cell r="E495" t="str">
            <v>13-217</v>
          </cell>
          <cell r="F495" t="str">
            <v>Infusion Pumps, Syringe</v>
          </cell>
          <cell r="G495" t="str">
            <v>AE</v>
          </cell>
          <cell r="H495" t="str">
            <v>EMERGENCY UNIT</v>
          </cell>
          <cell r="I495" t="str">
            <v>01AE118</v>
          </cell>
          <cell r="J495" t="str">
            <v>RESUSCITATION TREATMENT 1</v>
          </cell>
          <cell r="K495" t="str">
            <v>BMED</v>
          </cell>
          <cell r="L495" t="str">
            <v>Critical</v>
          </cell>
          <cell r="M495" t="str">
            <v>Germany</v>
          </cell>
          <cell r="N495" t="str">
            <v>Perfusor</v>
          </cell>
          <cell r="O495" t="str">
            <v>Perfusor Space</v>
          </cell>
          <cell r="P495" t="str">
            <v>143272</v>
          </cell>
          <cell r="Q495" t="str">
            <v>Not Applicable</v>
          </cell>
          <cell r="R495" t="str">
            <v>B Braun Melsungen AG</v>
          </cell>
          <cell r="S495" t="str">
            <v>B Braun Medical Supplies Sdn. Bhd.</v>
          </cell>
          <cell r="T495" t="str">
            <v>Functioning</v>
          </cell>
          <cell r="U495" t="str">
            <v>Asset</v>
          </cell>
          <cell r="V495">
            <v>10225</v>
          </cell>
          <cell r="W495" t="str">
            <v>KEW</v>
          </cell>
          <cell r="X495" t="str">
            <v>01/09/2010</v>
          </cell>
          <cell r="Y495" t="str">
            <v>KEW</v>
          </cell>
          <cell r="Z495" t="str">
            <v>16/08/2013</v>
          </cell>
          <cell r="AA495" t="str">
            <v>15/08/2015</v>
          </cell>
          <cell r="AB495" t="str">
            <v>No</v>
          </cell>
          <cell r="AC495" t="str">
            <v>31/08/2013</v>
          </cell>
          <cell r="AD495" t="str">
            <v>Good</v>
          </cell>
          <cell r="AE495" t="str">
            <v>V1 - Existing / No Claim</v>
          </cell>
          <cell r="AF495">
            <v>42800</v>
          </cell>
          <cell r="AG495">
            <v>9.17</v>
          </cell>
          <cell r="AH495" t="str">
            <v>PPM</v>
          </cell>
          <cell r="AI495" t="str">
            <v>Strands</v>
          </cell>
          <cell r="AJ495" t="str">
            <v>Strands PW</v>
          </cell>
        </row>
        <row r="496">
          <cell r="A496" t="str">
            <v>IKN400011</v>
          </cell>
          <cell r="B496">
            <v>11</v>
          </cell>
          <cell r="C496" t="str">
            <v>Institut Kanser Negara</v>
          </cell>
          <cell r="D496" t="str">
            <v>KKM/IKN/H/13/1780</v>
          </cell>
          <cell r="E496" t="str">
            <v>13-217</v>
          </cell>
          <cell r="F496" t="str">
            <v>Infusion Pumps, Syringe</v>
          </cell>
          <cell r="G496" t="str">
            <v>AE</v>
          </cell>
          <cell r="H496" t="str">
            <v>EMERGENCY UNIT</v>
          </cell>
          <cell r="I496" t="str">
            <v>01AE118</v>
          </cell>
          <cell r="J496" t="str">
            <v>RESUSCITATION TREATMENT 1</v>
          </cell>
          <cell r="K496" t="str">
            <v>BMED</v>
          </cell>
          <cell r="L496" t="str">
            <v>Critical</v>
          </cell>
          <cell r="M496" t="str">
            <v>Germany</v>
          </cell>
          <cell r="N496" t="str">
            <v>Perfusor</v>
          </cell>
          <cell r="O496" t="str">
            <v>Perfusor Space</v>
          </cell>
          <cell r="P496" t="str">
            <v>186903</v>
          </cell>
          <cell r="Q496" t="str">
            <v>Not Applicable</v>
          </cell>
          <cell r="R496" t="str">
            <v>B Braun Melsungen AG</v>
          </cell>
          <cell r="S496" t="str">
            <v>B Braun Medical Supplies Sdn. Bhd.</v>
          </cell>
          <cell r="T496" t="str">
            <v>Functioning</v>
          </cell>
          <cell r="U496" t="str">
            <v>Asset</v>
          </cell>
          <cell r="V496">
            <v>10225</v>
          </cell>
          <cell r="W496" t="str">
            <v>KEW</v>
          </cell>
          <cell r="X496" t="str">
            <v>01/09/2010</v>
          </cell>
          <cell r="Y496" t="str">
            <v>KEW</v>
          </cell>
          <cell r="Z496" t="str">
            <v>16/08/2013</v>
          </cell>
          <cell r="AA496" t="str">
            <v>15/08/2015</v>
          </cell>
          <cell r="AB496" t="str">
            <v>No</v>
          </cell>
          <cell r="AC496" t="str">
            <v>31/08/2013</v>
          </cell>
          <cell r="AD496" t="str">
            <v>Good</v>
          </cell>
          <cell r="AE496" t="str">
            <v>V1 - Existing / No Claim</v>
          </cell>
          <cell r="AF496">
            <v>42800</v>
          </cell>
          <cell r="AG496">
            <v>9.17</v>
          </cell>
          <cell r="AH496" t="str">
            <v>PPM</v>
          </cell>
          <cell r="AI496" t="str">
            <v>Strands</v>
          </cell>
          <cell r="AJ496" t="str">
            <v>Strands PW</v>
          </cell>
        </row>
        <row r="497">
          <cell r="A497" t="str">
            <v>IKN400012</v>
          </cell>
          <cell r="B497">
            <v>12</v>
          </cell>
          <cell r="C497" t="str">
            <v>Institut Kanser Negara</v>
          </cell>
          <cell r="D497" t="str">
            <v>KKM/IKN/H/13/1781</v>
          </cell>
          <cell r="E497" t="str">
            <v>13-217</v>
          </cell>
          <cell r="F497" t="str">
            <v>Infusion Pumps, Syringe</v>
          </cell>
          <cell r="G497" t="str">
            <v>AE</v>
          </cell>
          <cell r="H497" t="str">
            <v>EMERGENCY UNIT</v>
          </cell>
          <cell r="I497" t="str">
            <v>01AE119</v>
          </cell>
          <cell r="J497" t="str">
            <v>RESUSCITATION/TREATMENT</v>
          </cell>
          <cell r="K497" t="str">
            <v>BMED</v>
          </cell>
          <cell r="L497" t="str">
            <v>Critical</v>
          </cell>
          <cell r="M497" t="str">
            <v>Germany</v>
          </cell>
          <cell r="N497" t="str">
            <v>Perfusor</v>
          </cell>
          <cell r="O497" t="str">
            <v>Perfusor Space</v>
          </cell>
          <cell r="P497" t="str">
            <v>186999</v>
          </cell>
          <cell r="Q497" t="str">
            <v>Not Applicable</v>
          </cell>
          <cell r="R497" t="str">
            <v>B Braun Melsungen AG</v>
          </cell>
          <cell r="S497" t="str">
            <v>B Braun Medical Supplies Sdn. Bhd.</v>
          </cell>
          <cell r="T497" t="str">
            <v>Functioning</v>
          </cell>
          <cell r="U497" t="str">
            <v>Asset</v>
          </cell>
          <cell r="V497">
            <v>10225</v>
          </cell>
          <cell r="W497" t="str">
            <v>KEW</v>
          </cell>
          <cell r="X497" t="str">
            <v>01/09/2010</v>
          </cell>
          <cell r="Y497" t="str">
            <v>KEW</v>
          </cell>
          <cell r="Z497" t="str">
            <v>16/08/2013</v>
          </cell>
          <cell r="AA497" t="str">
            <v>15/08/2015</v>
          </cell>
          <cell r="AB497" t="str">
            <v>No</v>
          </cell>
          <cell r="AC497" t="str">
            <v>31/08/2013</v>
          </cell>
          <cell r="AD497" t="str">
            <v>Good</v>
          </cell>
          <cell r="AE497" t="str">
            <v>V1 - Existing / No Claim</v>
          </cell>
          <cell r="AF497">
            <v>42800</v>
          </cell>
          <cell r="AG497">
            <v>9.17</v>
          </cell>
          <cell r="AH497" t="str">
            <v>PPM</v>
          </cell>
          <cell r="AI497" t="str">
            <v>Strands</v>
          </cell>
          <cell r="AJ497" t="str">
            <v>Strands PW</v>
          </cell>
        </row>
        <row r="498">
          <cell r="A498" t="str">
            <v>IKN400013</v>
          </cell>
          <cell r="B498">
            <v>13</v>
          </cell>
          <cell r="C498" t="str">
            <v>Institut Kanser Negara</v>
          </cell>
          <cell r="D498" t="str">
            <v>KKM/IKN/H/13/1782</v>
          </cell>
          <cell r="E498" t="str">
            <v>13-217</v>
          </cell>
          <cell r="F498" t="str">
            <v>Infusion Pumps, Syringe</v>
          </cell>
          <cell r="G498" t="str">
            <v>AE</v>
          </cell>
          <cell r="H498" t="str">
            <v>EMERGENCY UNIT</v>
          </cell>
          <cell r="I498" t="str">
            <v>01AE119</v>
          </cell>
          <cell r="J498" t="str">
            <v>RESUSCITATION/TREATMENT</v>
          </cell>
          <cell r="K498" t="str">
            <v>BMED</v>
          </cell>
          <cell r="L498" t="str">
            <v>Normal</v>
          </cell>
          <cell r="M498" t="str">
            <v>Germany</v>
          </cell>
          <cell r="N498" t="str">
            <v>Perfusor</v>
          </cell>
          <cell r="O498" t="str">
            <v>Perfusor Space</v>
          </cell>
          <cell r="P498" t="str">
            <v>186596</v>
          </cell>
          <cell r="Q498" t="str">
            <v>Not Applicable</v>
          </cell>
          <cell r="R498" t="str">
            <v>B Braun Melsungen AG</v>
          </cell>
          <cell r="S498" t="str">
            <v>B Braun Medical Supplies Sdn. Bhd.</v>
          </cell>
          <cell r="T498" t="str">
            <v>Functioning</v>
          </cell>
          <cell r="U498" t="str">
            <v>Asset</v>
          </cell>
          <cell r="V498">
            <v>10225</v>
          </cell>
          <cell r="W498" t="str">
            <v>KEW</v>
          </cell>
          <cell r="X498" t="str">
            <v>01/09/2010</v>
          </cell>
          <cell r="Y498" t="str">
            <v>KEW</v>
          </cell>
          <cell r="Z498" t="str">
            <v>16/08/2013</v>
          </cell>
          <cell r="AA498" t="str">
            <v>15/08/2015</v>
          </cell>
          <cell r="AB498" t="str">
            <v>No</v>
          </cell>
          <cell r="AC498" t="str">
            <v>31/08/2013</v>
          </cell>
          <cell r="AD498" t="str">
            <v>Good</v>
          </cell>
          <cell r="AE498" t="str">
            <v>V1 - Existing / No Claim</v>
          </cell>
          <cell r="AF498">
            <v>42235</v>
          </cell>
          <cell r="AG498">
            <v>9.17</v>
          </cell>
          <cell r="AH498" t="str">
            <v>PPM</v>
          </cell>
          <cell r="AI498" t="str">
            <v>Strands</v>
          </cell>
          <cell r="AJ498" t="str">
            <v>Strands PW</v>
          </cell>
        </row>
        <row r="499">
          <cell r="A499" t="str">
            <v>IKN400014</v>
          </cell>
          <cell r="B499">
            <v>14</v>
          </cell>
          <cell r="C499" t="str">
            <v>Institut Kanser Negara</v>
          </cell>
          <cell r="D499" t="str">
            <v>KKM/IKN/H/13/1740</v>
          </cell>
          <cell r="E499" t="str">
            <v>13-215</v>
          </cell>
          <cell r="F499" t="str">
            <v>Infusion Pumps, General-Purpose</v>
          </cell>
          <cell r="G499" t="str">
            <v>AE</v>
          </cell>
          <cell r="H499" t="str">
            <v>EMERGENCY UNIT</v>
          </cell>
          <cell r="I499" t="str">
            <v>01AE118</v>
          </cell>
          <cell r="J499" t="str">
            <v>RESUSCITATION TREATMENT 1</v>
          </cell>
          <cell r="K499" t="str">
            <v>BMED</v>
          </cell>
          <cell r="L499" t="str">
            <v>Critical</v>
          </cell>
          <cell r="M499" t="str">
            <v>Germany</v>
          </cell>
          <cell r="N499" t="str">
            <v>Infusomat</v>
          </cell>
          <cell r="O499" t="str">
            <v>Infusomat Space</v>
          </cell>
          <cell r="P499" t="str">
            <v>212260</v>
          </cell>
          <cell r="Q499" t="str">
            <v>Not Applicable</v>
          </cell>
          <cell r="R499" t="str">
            <v>B Braun Melsungen AG</v>
          </cell>
          <cell r="S499" t="str">
            <v>B Braun Medical Supplies Sdn. Bhd.</v>
          </cell>
          <cell r="T499" t="str">
            <v>Functioning</v>
          </cell>
          <cell r="U499" t="str">
            <v>Asset</v>
          </cell>
          <cell r="V499">
            <v>10825</v>
          </cell>
          <cell r="W499" t="str">
            <v>KEW</v>
          </cell>
          <cell r="X499" t="str">
            <v>01/09/2010</v>
          </cell>
          <cell r="Y499" t="str">
            <v>KEW</v>
          </cell>
          <cell r="Z499" t="str">
            <v>16/08/2013</v>
          </cell>
          <cell r="AA499" t="str">
            <v>15/08/2015</v>
          </cell>
          <cell r="AB499" t="str">
            <v>No</v>
          </cell>
          <cell r="AC499" t="str">
            <v>31/08/2013</v>
          </cell>
          <cell r="AD499" t="str">
            <v>Good</v>
          </cell>
          <cell r="AE499" t="str">
            <v>V1 - Existing / No Claim</v>
          </cell>
          <cell r="AF499">
            <v>42800</v>
          </cell>
          <cell r="AG499">
            <v>9.17</v>
          </cell>
          <cell r="AH499" t="str">
            <v>PPM</v>
          </cell>
          <cell r="AI499" t="str">
            <v>Strands</v>
          </cell>
          <cell r="AJ499" t="str">
            <v>Strands PW</v>
          </cell>
        </row>
        <row r="500">
          <cell r="A500" t="str">
            <v>IKN400015</v>
          </cell>
          <cell r="B500">
            <v>15</v>
          </cell>
          <cell r="C500" t="str">
            <v>Institut Kanser Negara</v>
          </cell>
          <cell r="D500" t="str">
            <v>KKM/IKN/H/13/1762</v>
          </cell>
          <cell r="E500" t="str">
            <v>13-215</v>
          </cell>
          <cell r="F500" t="str">
            <v>Infusion Pumps, General-Purpose</v>
          </cell>
          <cell r="G500" t="str">
            <v>AE</v>
          </cell>
          <cell r="H500" t="str">
            <v>EMERGENCY UNIT</v>
          </cell>
          <cell r="I500" t="str">
            <v>01AE118</v>
          </cell>
          <cell r="J500" t="str">
            <v>RESUSCITATION TREATMENT 1</v>
          </cell>
          <cell r="K500" t="str">
            <v>BMED</v>
          </cell>
          <cell r="L500" t="str">
            <v>Critical</v>
          </cell>
          <cell r="M500" t="str">
            <v>Germany</v>
          </cell>
          <cell r="N500" t="str">
            <v>Infusomat</v>
          </cell>
          <cell r="O500" t="str">
            <v>Infusomat Space</v>
          </cell>
          <cell r="P500" t="str">
            <v>212039</v>
          </cell>
          <cell r="Q500" t="str">
            <v>Not Applicable</v>
          </cell>
          <cell r="R500" t="str">
            <v>B Braun Melsungen AG</v>
          </cell>
          <cell r="S500" t="str">
            <v>B Braun Medical Supplies Sdn. Bhd.</v>
          </cell>
          <cell r="T500" t="str">
            <v>Functioning</v>
          </cell>
          <cell r="U500" t="str">
            <v>Asset</v>
          </cell>
          <cell r="V500">
            <v>10825</v>
          </cell>
          <cell r="W500" t="str">
            <v>KEW</v>
          </cell>
          <cell r="X500" t="str">
            <v>01/09/2010</v>
          </cell>
          <cell r="Y500" t="str">
            <v>KEW</v>
          </cell>
          <cell r="Z500" t="str">
            <v>16/08/2013</v>
          </cell>
          <cell r="AA500" t="str">
            <v>15/08/2015</v>
          </cell>
          <cell r="AB500" t="str">
            <v>No</v>
          </cell>
          <cell r="AC500" t="str">
            <v>31/08/2013</v>
          </cell>
          <cell r="AD500" t="str">
            <v>Good</v>
          </cell>
          <cell r="AE500" t="str">
            <v>V1 - Existing / No Claim</v>
          </cell>
          <cell r="AF500">
            <v>42800</v>
          </cell>
          <cell r="AG500">
            <v>9.17</v>
          </cell>
          <cell r="AH500" t="str">
            <v>PPM</v>
          </cell>
          <cell r="AI500" t="str">
            <v>Strands</v>
          </cell>
          <cell r="AJ500" t="str">
            <v>Strands PW</v>
          </cell>
        </row>
        <row r="501">
          <cell r="A501" t="str">
            <v>IKN400016</v>
          </cell>
          <cell r="B501">
            <v>16</v>
          </cell>
          <cell r="C501" t="str">
            <v>Institut Kanser Negara</v>
          </cell>
          <cell r="D501" t="str">
            <v>KKM/IKN/H/13/1741</v>
          </cell>
          <cell r="E501" t="str">
            <v>13-215</v>
          </cell>
          <cell r="F501" t="str">
            <v>Infusion Pumps, General-Purpose</v>
          </cell>
          <cell r="G501" t="str">
            <v>AE</v>
          </cell>
          <cell r="H501" t="str">
            <v>EMERGENCY UNIT</v>
          </cell>
          <cell r="I501" t="str">
            <v>01AE119</v>
          </cell>
          <cell r="J501" t="str">
            <v>RESUSCITATION/TREATMENT</v>
          </cell>
          <cell r="K501" t="str">
            <v>BMED</v>
          </cell>
          <cell r="L501" t="str">
            <v>Critical</v>
          </cell>
          <cell r="M501" t="str">
            <v>Germany</v>
          </cell>
          <cell r="N501" t="str">
            <v>Infusomat</v>
          </cell>
          <cell r="O501" t="str">
            <v>Infusomat Space</v>
          </cell>
          <cell r="P501" t="str">
            <v>211770</v>
          </cell>
          <cell r="Q501" t="str">
            <v>Not Applicable</v>
          </cell>
          <cell r="R501" t="str">
            <v>B Braun Melsungen AG</v>
          </cell>
          <cell r="S501" t="str">
            <v>B Braun Medical Supplies Sdn. Bhd.</v>
          </cell>
          <cell r="T501" t="str">
            <v>Functioning</v>
          </cell>
          <cell r="U501" t="str">
            <v>Asset</v>
          </cell>
          <cell r="V501">
            <v>10825</v>
          </cell>
          <cell r="W501" t="str">
            <v>KEW</v>
          </cell>
          <cell r="X501" t="str">
            <v>01/09/2010</v>
          </cell>
          <cell r="Y501" t="str">
            <v>KEW</v>
          </cell>
          <cell r="Z501" t="str">
            <v>16/08/2013</v>
          </cell>
          <cell r="AA501" t="str">
            <v>15/08/2015</v>
          </cell>
          <cell r="AB501" t="str">
            <v>No</v>
          </cell>
          <cell r="AC501" t="str">
            <v>31/08/2013</v>
          </cell>
          <cell r="AD501" t="str">
            <v>Good</v>
          </cell>
          <cell r="AE501" t="str">
            <v>V1 - Existing / No Claim</v>
          </cell>
          <cell r="AF501">
            <v>42800</v>
          </cell>
          <cell r="AG501">
            <v>9.17</v>
          </cell>
          <cell r="AH501" t="str">
            <v>PPM</v>
          </cell>
          <cell r="AI501" t="str">
            <v>Strands</v>
          </cell>
          <cell r="AJ501" t="str">
            <v>Strands PW</v>
          </cell>
        </row>
        <row r="502">
          <cell r="A502" t="str">
            <v>IKN400017</v>
          </cell>
          <cell r="B502">
            <v>17</v>
          </cell>
          <cell r="C502" t="str">
            <v>Institut Kanser Negara</v>
          </cell>
          <cell r="D502" t="str">
            <v>KKM/IKN/H/13/1742</v>
          </cell>
          <cell r="E502" t="str">
            <v>13-215</v>
          </cell>
          <cell r="F502" t="str">
            <v>Infusion Pumps, General-Purpose</v>
          </cell>
          <cell r="G502" t="str">
            <v>AE</v>
          </cell>
          <cell r="H502" t="str">
            <v>EMERGENCY UNIT</v>
          </cell>
          <cell r="I502" t="str">
            <v>01AE119</v>
          </cell>
          <cell r="J502" t="str">
            <v>RESUSCITATION/TREATMENT</v>
          </cell>
          <cell r="K502" t="str">
            <v>BMED</v>
          </cell>
          <cell r="L502" t="str">
            <v>Critical</v>
          </cell>
          <cell r="M502" t="str">
            <v>Germany</v>
          </cell>
          <cell r="N502" t="str">
            <v>Infusomat</v>
          </cell>
          <cell r="O502" t="str">
            <v>Infusomat Space</v>
          </cell>
          <cell r="P502" t="str">
            <v>211612</v>
          </cell>
          <cell r="Q502" t="str">
            <v>Not Applicable</v>
          </cell>
          <cell r="R502" t="str">
            <v>B Braun Melsungen AG</v>
          </cell>
          <cell r="S502" t="str">
            <v>B Braun Medical Supplies Sdn. Bhd.</v>
          </cell>
          <cell r="T502" t="str">
            <v>Functioning</v>
          </cell>
          <cell r="U502" t="str">
            <v>Asset</v>
          </cell>
          <cell r="V502">
            <v>10825</v>
          </cell>
          <cell r="W502" t="str">
            <v>KEW</v>
          </cell>
          <cell r="X502" t="str">
            <v>01/09/2010</v>
          </cell>
          <cell r="Y502" t="str">
            <v>KEW</v>
          </cell>
          <cell r="Z502" t="str">
            <v>16/08/2013</v>
          </cell>
          <cell r="AA502" t="str">
            <v>15/08/2015</v>
          </cell>
          <cell r="AB502" t="str">
            <v>No</v>
          </cell>
          <cell r="AC502" t="str">
            <v>31/08/2013</v>
          </cell>
          <cell r="AD502" t="str">
            <v>Good</v>
          </cell>
          <cell r="AE502" t="str">
            <v>V1 - Existing / No Claim</v>
          </cell>
          <cell r="AF502">
            <v>42800</v>
          </cell>
          <cell r="AG502">
            <v>9.17</v>
          </cell>
          <cell r="AH502" t="str">
            <v>PPM</v>
          </cell>
          <cell r="AI502" t="str">
            <v>Strands</v>
          </cell>
          <cell r="AJ502" t="str">
            <v>Strands PW</v>
          </cell>
        </row>
        <row r="503">
          <cell r="A503" t="str">
            <v>IKN400018</v>
          </cell>
          <cell r="B503">
            <v>18</v>
          </cell>
          <cell r="C503" t="str">
            <v>Institut Kanser Negara</v>
          </cell>
          <cell r="D503" t="str">
            <v>KKM/IKN/I/13/1654</v>
          </cell>
          <cell r="E503" t="str">
            <v>16-173</v>
          </cell>
          <cell r="F503" t="str">
            <v>Sphygmomanometers, Electronic, Automatic</v>
          </cell>
          <cell r="G503" t="str">
            <v>AE</v>
          </cell>
          <cell r="H503" t="str">
            <v>EMERGENCY UNIT</v>
          </cell>
          <cell r="I503" t="str">
            <v>01AE106</v>
          </cell>
          <cell r="J503" t="str">
            <v>C/E ROOM</v>
          </cell>
          <cell r="K503" t="str">
            <v>BMED</v>
          </cell>
          <cell r="L503" t="str">
            <v>Normal</v>
          </cell>
          <cell r="M503" t="str">
            <v>USA</v>
          </cell>
          <cell r="N503" t="str">
            <v>Connex</v>
          </cell>
          <cell r="O503" t="str">
            <v>Connex ProBP 3400</v>
          </cell>
          <cell r="P503" t="str">
            <v>100001460413</v>
          </cell>
          <cell r="Q503" t="str">
            <v>Not Applicable</v>
          </cell>
          <cell r="R503" t="str">
            <v>Welch Allyn Inc</v>
          </cell>
          <cell r="S503" t="str">
            <v>Welch Allyn Malaysia Sdn Bhd</v>
          </cell>
          <cell r="T503" t="str">
            <v>Functioning</v>
          </cell>
          <cell r="U503" t="str">
            <v>Asset</v>
          </cell>
          <cell r="V503">
            <v>336</v>
          </cell>
          <cell r="W503" t="str">
            <v>KEW</v>
          </cell>
          <cell r="X503" t="str">
            <v>01/09/2010</v>
          </cell>
          <cell r="Y503" t="str">
            <v>KEW</v>
          </cell>
          <cell r="Z503" t="str">
            <v>16/08/2013</v>
          </cell>
          <cell r="AA503" t="str">
            <v>15/08/2015</v>
          </cell>
          <cell r="AB503" t="str">
            <v>No</v>
          </cell>
          <cell r="AC503" t="str">
            <v>31/08/2013</v>
          </cell>
          <cell r="AD503" t="str">
            <v>Good</v>
          </cell>
          <cell r="AE503" t="str">
            <v>V1 - Existing / No Claim</v>
          </cell>
          <cell r="AF503">
            <v>42235</v>
          </cell>
          <cell r="AG503">
            <v>9.17</v>
          </cell>
          <cell r="AH503" t="str">
            <v>PPM</v>
          </cell>
          <cell r="AI503" t="str">
            <v>Strands</v>
          </cell>
          <cell r="AJ503" t="str">
            <v>Strands PW</v>
          </cell>
        </row>
        <row r="504">
          <cell r="A504" t="str">
            <v>IKN400019</v>
          </cell>
          <cell r="B504">
            <v>19</v>
          </cell>
          <cell r="C504" t="str">
            <v>Institut Kanser Negara</v>
          </cell>
          <cell r="D504" t="str">
            <v>KKM/IKN/I/13/1646</v>
          </cell>
          <cell r="E504" t="str">
            <v>16-173</v>
          </cell>
          <cell r="F504" t="str">
            <v>Sphygmomanometers, Electronic, Automatic</v>
          </cell>
          <cell r="G504" t="str">
            <v>AE</v>
          </cell>
          <cell r="H504" t="str">
            <v>EMERGENCY UNIT</v>
          </cell>
          <cell r="I504" t="str">
            <v>01AE108</v>
          </cell>
          <cell r="J504" t="str">
            <v>TRIAGE</v>
          </cell>
          <cell r="K504" t="str">
            <v>BMED</v>
          </cell>
          <cell r="L504" t="str">
            <v>Critical</v>
          </cell>
          <cell r="M504" t="str">
            <v>USA</v>
          </cell>
          <cell r="N504" t="str">
            <v>Connex</v>
          </cell>
          <cell r="O504" t="str">
            <v>Connex ProBP 3400</v>
          </cell>
          <cell r="P504" t="str">
            <v>100000800413</v>
          </cell>
          <cell r="Q504" t="str">
            <v>Not Applicable</v>
          </cell>
          <cell r="R504" t="str">
            <v>Welch Allyn Inc</v>
          </cell>
          <cell r="S504" t="str">
            <v>Welch Allyn Malaysia Sdn Bhd</v>
          </cell>
          <cell r="T504" t="str">
            <v>Functioning</v>
          </cell>
          <cell r="U504" t="str">
            <v>Asset</v>
          </cell>
          <cell r="V504">
            <v>336</v>
          </cell>
          <cell r="W504" t="str">
            <v>KEW</v>
          </cell>
          <cell r="X504" t="str">
            <v>01/09/2010</v>
          </cell>
          <cell r="Y504" t="str">
            <v>KEW</v>
          </cell>
          <cell r="Z504" t="str">
            <v>16/08/2013</v>
          </cell>
          <cell r="AA504" t="str">
            <v>15/08/2015</v>
          </cell>
          <cell r="AB504" t="str">
            <v>No</v>
          </cell>
          <cell r="AC504" t="str">
            <v>31/08/2013</v>
          </cell>
          <cell r="AD504" t="str">
            <v>Good</v>
          </cell>
          <cell r="AE504" t="str">
            <v>V1 - Existing / No Claim</v>
          </cell>
          <cell r="AF504">
            <v>42800</v>
          </cell>
          <cell r="AG504">
            <v>9.17</v>
          </cell>
          <cell r="AH504" t="str">
            <v>PPM</v>
          </cell>
          <cell r="AI504" t="str">
            <v>Strands</v>
          </cell>
          <cell r="AJ504" t="str">
            <v>Strands PW</v>
          </cell>
        </row>
        <row r="505">
          <cell r="A505" t="str">
            <v>IKN400020</v>
          </cell>
          <cell r="B505">
            <v>20</v>
          </cell>
          <cell r="C505" t="str">
            <v>Institut Kanser Negara</v>
          </cell>
          <cell r="D505" t="str">
            <v>KKM/IKN/H/13/1784</v>
          </cell>
          <cell r="E505" t="str">
            <v>10-208</v>
          </cell>
          <cell r="F505" t="str">
            <v>Aspirators</v>
          </cell>
          <cell r="G505" t="str">
            <v>AE</v>
          </cell>
          <cell r="H505" t="str">
            <v>EMERGENCY UNIT</v>
          </cell>
          <cell r="I505" t="str">
            <v>01AE118</v>
          </cell>
          <cell r="J505" t="str">
            <v>RESUSCITATION TREATMENT 1</v>
          </cell>
          <cell r="K505" t="str">
            <v>BMED</v>
          </cell>
          <cell r="L505" t="str">
            <v>Critical</v>
          </cell>
          <cell r="M505" t="str">
            <v>Switzerland</v>
          </cell>
          <cell r="N505" t="str">
            <v>Senator</v>
          </cell>
          <cell r="O505" t="str">
            <v>Senator</v>
          </cell>
          <cell r="P505" t="str">
            <v>1220754</v>
          </cell>
          <cell r="Q505" t="str">
            <v>Not Applicable</v>
          </cell>
          <cell r="R505" t="str">
            <v>Ardo Medical AG</v>
          </cell>
          <cell r="S505" t="str">
            <v>Histopoint</v>
          </cell>
          <cell r="T505" t="str">
            <v>Functioning</v>
          </cell>
          <cell r="U505" t="str">
            <v>Asset</v>
          </cell>
          <cell r="V505">
            <v>7580</v>
          </cell>
          <cell r="W505" t="str">
            <v>KEW</v>
          </cell>
          <cell r="X505" t="str">
            <v>01/09/2010</v>
          </cell>
          <cell r="Y505" t="str">
            <v>KEW</v>
          </cell>
          <cell r="Z505" t="str">
            <v>16/08/2013</v>
          </cell>
          <cell r="AA505" t="str">
            <v>15/08/2015</v>
          </cell>
          <cell r="AB505" t="str">
            <v>No</v>
          </cell>
          <cell r="AC505" t="str">
            <v>31/08/2013</v>
          </cell>
          <cell r="AD505" t="str">
            <v>Good</v>
          </cell>
          <cell r="AE505" t="str">
            <v>V1 - Existing / No Claim</v>
          </cell>
          <cell r="AF505">
            <v>42800</v>
          </cell>
          <cell r="AG505">
            <v>9.17</v>
          </cell>
          <cell r="AH505" t="str">
            <v>PPM</v>
          </cell>
          <cell r="AI505" t="str">
            <v>Strands</v>
          </cell>
          <cell r="AJ505" t="str">
            <v>Strands PW</v>
          </cell>
        </row>
        <row r="506">
          <cell r="A506" t="str">
            <v>IKN400021</v>
          </cell>
          <cell r="B506">
            <v>21</v>
          </cell>
          <cell r="C506" t="str">
            <v>Institut Kanser Negara</v>
          </cell>
          <cell r="D506" t="str">
            <v>KKM/IKN/H/13/1783</v>
          </cell>
          <cell r="E506" t="str">
            <v>10-208</v>
          </cell>
          <cell r="F506" t="str">
            <v>Aspirators</v>
          </cell>
          <cell r="G506" t="str">
            <v>AE</v>
          </cell>
          <cell r="H506" t="str">
            <v>EMERGENCY UNIT</v>
          </cell>
          <cell r="I506" t="str">
            <v>01AE119</v>
          </cell>
          <cell r="J506" t="str">
            <v>RESUSCITATION/TREATMENT</v>
          </cell>
          <cell r="K506" t="str">
            <v>BMED</v>
          </cell>
          <cell r="L506" t="str">
            <v>Normal</v>
          </cell>
          <cell r="M506" t="str">
            <v>Switzerland</v>
          </cell>
          <cell r="N506" t="str">
            <v>Senator</v>
          </cell>
          <cell r="O506" t="str">
            <v>Senator</v>
          </cell>
          <cell r="P506" t="str">
            <v>1220758</v>
          </cell>
          <cell r="Q506" t="str">
            <v>Not Applicable</v>
          </cell>
          <cell r="R506" t="str">
            <v>Ardo Medical AG</v>
          </cell>
          <cell r="S506" t="str">
            <v>Histopoint</v>
          </cell>
          <cell r="T506" t="str">
            <v>Functioning</v>
          </cell>
          <cell r="U506" t="str">
            <v>Asset</v>
          </cell>
          <cell r="V506">
            <v>7580</v>
          </cell>
          <cell r="W506" t="str">
            <v>KEW</v>
          </cell>
          <cell r="X506" t="str">
            <v>01/09/2010</v>
          </cell>
          <cell r="Y506" t="str">
            <v>KEW</v>
          </cell>
          <cell r="Z506" t="str">
            <v>16/08/2013</v>
          </cell>
          <cell r="AA506" t="str">
            <v>15/08/2015</v>
          </cell>
          <cell r="AB506" t="str">
            <v>No</v>
          </cell>
          <cell r="AC506" t="str">
            <v>31/08/2013</v>
          </cell>
          <cell r="AD506" t="str">
            <v>Good</v>
          </cell>
          <cell r="AE506" t="str">
            <v>V1 - Existing / No Claim</v>
          </cell>
          <cell r="AF506">
            <v>42235</v>
          </cell>
          <cell r="AG506">
            <v>9.17</v>
          </cell>
          <cell r="AH506" t="str">
            <v>PPM</v>
          </cell>
          <cell r="AI506" t="str">
            <v>Strands</v>
          </cell>
          <cell r="AJ506" t="str">
            <v>Strands PW</v>
          </cell>
        </row>
        <row r="507">
          <cell r="A507" t="str">
            <v>IKN400022</v>
          </cell>
          <cell r="B507">
            <v>22</v>
          </cell>
          <cell r="C507" t="str">
            <v>Institut Kanser Negara</v>
          </cell>
          <cell r="D507" t="str">
            <v>KKM/IKN/H/13/1772</v>
          </cell>
          <cell r="E507" t="str">
            <v>18-098</v>
          </cell>
          <cell r="F507" t="str">
            <v>Ventilators, Transport</v>
          </cell>
          <cell r="G507" t="str">
            <v>AE</v>
          </cell>
          <cell r="H507" t="str">
            <v>EMERGENCY UNIT</v>
          </cell>
          <cell r="I507" t="str">
            <v>01AE110</v>
          </cell>
          <cell r="J507" t="str">
            <v>EQUIPT. ROOM</v>
          </cell>
          <cell r="K507" t="str">
            <v>BMED</v>
          </cell>
          <cell r="L507" t="str">
            <v>Normal</v>
          </cell>
          <cell r="M507" t="str">
            <v>Germany</v>
          </cell>
          <cell r="N507" t="str">
            <v>Oxylog</v>
          </cell>
          <cell r="O507" t="str">
            <v>Oxylog 3000 Plus</v>
          </cell>
          <cell r="P507" t="str">
            <v>ASDJ-0137</v>
          </cell>
          <cell r="Q507" t="str">
            <v>Not Applicable</v>
          </cell>
          <cell r="R507" t="str">
            <v>Draegerwerk Ag</v>
          </cell>
          <cell r="S507" t="str">
            <v>Beau Consortium Sdn Bhd</v>
          </cell>
          <cell r="T507" t="str">
            <v>Functioning</v>
          </cell>
          <cell r="U507" t="str">
            <v>Asset</v>
          </cell>
          <cell r="V507">
            <v>60150</v>
          </cell>
          <cell r="W507" t="str">
            <v>KEW</v>
          </cell>
          <cell r="X507" t="str">
            <v>01/09/2010</v>
          </cell>
          <cell r="Y507" t="str">
            <v>KEW</v>
          </cell>
          <cell r="Z507" t="str">
            <v>16/08/2013</v>
          </cell>
          <cell r="AA507" t="str">
            <v>15/08/2015</v>
          </cell>
          <cell r="AB507" t="str">
            <v>No</v>
          </cell>
          <cell r="AC507" t="str">
            <v>31/08/2013</v>
          </cell>
          <cell r="AD507" t="str">
            <v>Good</v>
          </cell>
          <cell r="AE507" t="str">
            <v>V1 - Existing / No Claim</v>
          </cell>
          <cell r="AF507">
            <v>42235</v>
          </cell>
          <cell r="AG507">
            <v>9.17</v>
          </cell>
          <cell r="AH507" t="str">
            <v>PPM</v>
          </cell>
          <cell r="AI507" t="str">
            <v>Strands</v>
          </cell>
          <cell r="AJ507" t="str">
            <v>Strands PW</v>
          </cell>
        </row>
        <row r="508">
          <cell r="A508" t="str">
            <v>IKN400023</v>
          </cell>
          <cell r="B508">
            <v>23</v>
          </cell>
          <cell r="C508" t="str">
            <v>Institut Kanser Negara</v>
          </cell>
          <cell r="D508" t="str">
            <v>KKM/IKN/H/13/1771</v>
          </cell>
          <cell r="E508" t="str">
            <v>10-447</v>
          </cell>
          <cell r="F508" t="str">
            <v>Warming Units, Blood/Solution</v>
          </cell>
          <cell r="G508" t="str">
            <v>AE</v>
          </cell>
          <cell r="H508" t="str">
            <v>EMERGENCY UNIT</v>
          </cell>
          <cell r="I508" t="str">
            <v>01AE110</v>
          </cell>
          <cell r="J508" t="str">
            <v>EQUIPT. ROOM</v>
          </cell>
          <cell r="K508" t="str">
            <v>BMED</v>
          </cell>
          <cell r="L508" t="str">
            <v>Normal</v>
          </cell>
          <cell r="M508" t="str">
            <v>Japan</v>
          </cell>
          <cell r="N508" t="str">
            <v>Animec</v>
          </cell>
          <cell r="O508" t="str">
            <v>Animec AM-301</v>
          </cell>
          <cell r="P508" t="str">
            <v>2013D0270</v>
          </cell>
          <cell r="Q508" t="str">
            <v>Not Applicable</v>
          </cell>
          <cell r="R508" t="str">
            <v>Elltec Co Ltd</v>
          </cell>
          <cell r="S508" t="str">
            <v>IDS Services (Malaysia) Sdn Bhd</v>
          </cell>
          <cell r="T508" t="str">
            <v>Functioning</v>
          </cell>
          <cell r="U508" t="str">
            <v>Asset</v>
          </cell>
          <cell r="V508">
            <v>4990</v>
          </cell>
          <cell r="W508" t="str">
            <v>KEW</v>
          </cell>
          <cell r="X508" t="str">
            <v>01/09/2010</v>
          </cell>
          <cell r="Y508" t="str">
            <v>KEW</v>
          </cell>
          <cell r="Z508" t="str">
            <v>16/08/2013</v>
          </cell>
          <cell r="AA508" t="str">
            <v>15/08/2015</v>
          </cell>
          <cell r="AB508" t="str">
            <v>No</v>
          </cell>
          <cell r="AC508" t="str">
            <v>31/08/2013</v>
          </cell>
          <cell r="AD508" t="str">
            <v>Good</v>
          </cell>
          <cell r="AE508" t="str">
            <v>V1 - Existing / No Claim</v>
          </cell>
          <cell r="AF508">
            <v>42800</v>
          </cell>
          <cell r="AG508">
            <v>9.17</v>
          </cell>
          <cell r="AH508" t="str">
            <v>PPM</v>
          </cell>
          <cell r="AI508" t="str">
            <v>Strands</v>
          </cell>
          <cell r="AJ508" t="str">
            <v>Strands PW</v>
          </cell>
        </row>
        <row r="509">
          <cell r="A509" t="str">
            <v>IKN400024</v>
          </cell>
          <cell r="B509">
            <v>24</v>
          </cell>
          <cell r="C509" t="str">
            <v>Institut Kanser Negara</v>
          </cell>
          <cell r="D509" t="str">
            <v>KKM/IKN/H/13/1705</v>
          </cell>
          <cell r="E509" t="str">
            <v>10-447</v>
          </cell>
          <cell r="F509" t="str">
            <v>Warming Units, Blood/Solution</v>
          </cell>
          <cell r="G509" t="str">
            <v>AE</v>
          </cell>
          <cell r="H509" t="str">
            <v>EMERGENCY UNIT</v>
          </cell>
          <cell r="I509" t="str">
            <v>01AE110</v>
          </cell>
          <cell r="J509" t="str">
            <v>EQUIPT. ROOM</v>
          </cell>
          <cell r="K509" t="str">
            <v>BMED</v>
          </cell>
          <cell r="L509" t="str">
            <v>Normal</v>
          </cell>
          <cell r="M509" t="str">
            <v>Japan</v>
          </cell>
          <cell r="N509" t="str">
            <v>Animec</v>
          </cell>
          <cell r="O509" t="str">
            <v>Animec AM-301</v>
          </cell>
          <cell r="P509" t="str">
            <v>2013D0271</v>
          </cell>
          <cell r="Q509" t="str">
            <v>Not Applicable</v>
          </cell>
          <cell r="R509" t="str">
            <v>Elltec Co Ltd</v>
          </cell>
          <cell r="S509" t="str">
            <v>IDS Services (Malaysia) Sdn Bhd</v>
          </cell>
          <cell r="T509" t="str">
            <v>Functioning</v>
          </cell>
          <cell r="U509" t="str">
            <v>Asset</v>
          </cell>
          <cell r="V509">
            <v>4990</v>
          </cell>
          <cell r="W509" t="str">
            <v>KEW</v>
          </cell>
          <cell r="X509" t="str">
            <v>01/09/2010</v>
          </cell>
          <cell r="Y509" t="str">
            <v>KEW</v>
          </cell>
          <cell r="Z509" t="str">
            <v>16/08/2013</v>
          </cell>
          <cell r="AA509" t="str">
            <v>15/08/2015</v>
          </cell>
          <cell r="AB509" t="str">
            <v>No</v>
          </cell>
          <cell r="AC509" t="str">
            <v>31/08/2013</v>
          </cell>
          <cell r="AD509" t="str">
            <v>Good</v>
          </cell>
          <cell r="AE509" t="str">
            <v>V1 - Existing / No Claim</v>
          </cell>
          <cell r="AF509">
            <v>42800</v>
          </cell>
          <cell r="AG509">
            <v>9.17</v>
          </cell>
          <cell r="AH509" t="str">
            <v>PPM</v>
          </cell>
          <cell r="AI509" t="str">
            <v>Strands</v>
          </cell>
          <cell r="AJ509" t="str">
            <v>Strands PW</v>
          </cell>
        </row>
        <row r="510">
          <cell r="A510" t="str">
            <v>IKN400025</v>
          </cell>
          <cell r="B510">
            <v>25</v>
          </cell>
          <cell r="C510" t="str">
            <v>Institut Kanser Negara</v>
          </cell>
          <cell r="D510" t="str">
            <v>KKM/IKN/H/13/1117</v>
          </cell>
          <cell r="E510" t="str">
            <v>12-863</v>
          </cell>
          <cell r="F510" t="str">
            <v>Oxygen Monitors</v>
          </cell>
          <cell r="G510" t="str">
            <v>IC</v>
          </cell>
          <cell r="H510" t="str">
            <v>INTENSIVE CARE UNIT</v>
          </cell>
          <cell r="I510" t="str">
            <v>05IC124</v>
          </cell>
          <cell r="J510" t="str">
            <v>RHU</v>
          </cell>
          <cell r="K510" t="str">
            <v>BMED</v>
          </cell>
          <cell r="L510" t="str">
            <v>Critical</v>
          </cell>
          <cell r="M510" t="str">
            <v>Germany</v>
          </cell>
          <cell r="N510" t="str">
            <v>Mysign</v>
          </cell>
          <cell r="O510" t="str">
            <v>Mysign O</v>
          </cell>
          <cell r="P510" t="str">
            <v>100169</v>
          </cell>
          <cell r="Q510" t="str">
            <v>Not Applicable</v>
          </cell>
          <cell r="R510" t="str">
            <v>EnviteC-Wismar GmbH</v>
          </cell>
          <cell r="S510" t="str">
            <v>Respimedic</v>
          </cell>
          <cell r="T510" t="str">
            <v>Functioning</v>
          </cell>
          <cell r="U510" t="str">
            <v>Asset</v>
          </cell>
          <cell r="V510">
            <v>3079</v>
          </cell>
          <cell r="W510" t="str">
            <v>KEW</v>
          </cell>
          <cell r="X510" t="str">
            <v>01/09/2010</v>
          </cell>
          <cell r="Y510" t="str">
            <v>KEW</v>
          </cell>
          <cell r="Z510" t="str">
            <v>16/08/2013</v>
          </cell>
          <cell r="AA510" t="str">
            <v>15/08/2015</v>
          </cell>
          <cell r="AB510" t="str">
            <v>No</v>
          </cell>
          <cell r="AC510" t="str">
            <v>31/08/2013</v>
          </cell>
          <cell r="AD510" t="str">
            <v>Good</v>
          </cell>
          <cell r="AE510" t="str">
            <v>V1 - Existing / No Claim</v>
          </cell>
          <cell r="AF510">
            <v>42797</v>
          </cell>
          <cell r="AG510">
            <v>9.17</v>
          </cell>
          <cell r="AH510" t="str">
            <v>PPM</v>
          </cell>
          <cell r="AI510" t="str">
            <v>Strands</v>
          </cell>
          <cell r="AJ510" t="str">
            <v>Strands PW</v>
          </cell>
        </row>
        <row r="511">
          <cell r="A511" t="str">
            <v>IKN400029</v>
          </cell>
          <cell r="B511">
            <v>29</v>
          </cell>
          <cell r="C511" t="str">
            <v>Institut Kanser Negara</v>
          </cell>
          <cell r="D511" t="str">
            <v>KKM/IKN/H/13/1051</v>
          </cell>
          <cell r="E511" t="str">
            <v>12-647</v>
          </cell>
          <cell r="F511" t="str">
            <v>Physiologic Monitoring Systems, Acute Care</v>
          </cell>
          <cell r="G511" t="str">
            <v>IC</v>
          </cell>
          <cell r="H511" t="str">
            <v>INTENSIVE CARE UNIT</v>
          </cell>
          <cell r="I511" t="str">
            <v>05IC140</v>
          </cell>
          <cell r="J511" t="str">
            <v>NURSE STATION 1</v>
          </cell>
          <cell r="K511" t="str">
            <v>BMED</v>
          </cell>
          <cell r="L511" t="str">
            <v>Normal</v>
          </cell>
          <cell r="M511" t="str">
            <v>USA</v>
          </cell>
          <cell r="N511" t="str">
            <v>I-Central</v>
          </cell>
          <cell r="O511" t="str">
            <v>I-Central</v>
          </cell>
          <cell r="P511" t="str">
            <v>1642569</v>
          </cell>
          <cell r="Q511" t="str">
            <v>Not Applicable</v>
          </cell>
          <cell r="R511" t="str">
            <v>GE Healthcare Systems</v>
          </cell>
          <cell r="S511" t="str">
            <v>GE Healthcare Technologies</v>
          </cell>
          <cell r="T511" t="str">
            <v>Functioning</v>
          </cell>
          <cell r="U511" t="str">
            <v>Asset</v>
          </cell>
          <cell r="V511">
            <v>105850</v>
          </cell>
          <cell r="W511" t="str">
            <v>KEW</v>
          </cell>
          <cell r="X511" t="str">
            <v>01/09/2010</v>
          </cell>
          <cell r="Y511" t="str">
            <v>KEW</v>
          </cell>
          <cell r="Z511" t="str">
            <v>16/08/2013</v>
          </cell>
          <cell r="AA511" t="str">
            <v>15/08/2015</v>
          </cell>
          <cell r="AB511" t="str">
            <v>No</v>
          </cell>
          <cell r="AC511" t="str">
            <v>31/08/2013</v>
          </cell>
          <cell r="AD511" t="str">
            <v>Good</v>
          </cell>
          <cell r="AE511" t="str">
            <v>V1 - Existing / No Claim</v>
          </cell>
          <cell r="AF511">
            <v>42235</v>
          </cell>
          <cell r="AG511">
            <v>9.17</v>
          </cell>
          <cell r="AH511" t="str">
            <v>PPM</v>
          </cell>
          <cell r="AI511" t="str">
            <v>Strands</v>
          </cell>
          <cell r="AJ511" t="str">
            <v>Strands Package</v>
          </cell>
          <cell r="AK511" t="str">
            <v>Package Code MJ0023</v>
          </cell>
        </row>
        <row r="512">
          <cell r="A512" t="str">
            <v>IKN400030</v>
          </cell>
          <cell r="B512">
            <v>30</v>
          </cell>
          <cell r="C512" t="str">
            <v>Institut Kanser Negara</v>
          </cell>
          <cell r="D512" t="str">
            <v>KKM/IKN/H/13/3447</v>
          </cell>
          <cell r="E512" t="str">
            <v>11-134</v>
          </cell>
          <cell r="F512" t="str">
            <v>Defibrillators, External, Manual</v>
          </cell>
          <cell r="G512" t="str">
            <v>IC</v>
          </cell>
          <cell r="H512" t="str">
            <v>INTENSIVE CARE UNIT</v>
          </cell>
          <cell r="I512" t="str">
            <v>05IC141</v>
          </cell>
          <cell r="J512" t="str">
            <v>UTILITY</v>
          </cell>
          <cell r="K512" t="str">
            <v>BMED</v>
          </cell>
          <cell r="L512" t="str">
            <v>Critical</v>
          </cell>
          <cell r="M512" t="str">
            <v>USA</v>
          </cell>
          <cell r="N512" t="str">
            <v>Responder</v>
          </cell>
          <cell r="O512" t="str">
            <v>Responder 2000</v>
          </cell>
          <cell r="P512" t="str">
            <v>3206737</v>
          </cell>
          <cell r="Q512" t="str">
            <v>Not Applicable</v>
          </cell>
          <cell r="R512" t="str">
            <v>GE Medical Systems</v>
          </cell>
          <cell r="S512" t="str">
            <v>Antah Sir Radin Sdn. Bhd.</v>
          </cell>
          <cell r="T512" t="str">
            <v>Functioning</v>
          </cell>
          <cell r="U512" t="str">
            <v>Asset</v>
          </cell>
          <cell r="V512">
            <v>45000</v>
          </cell>
          <cell r="W512" t="str">
            <v>Estimate</v>
          </cell>
          <cell r="X512" t="str">
            <v>01/09/2010</v>
          </cell>
          <cell r="Y512" t="str">
            <v>KEW</v>
          </cell>
          <cell r="Z512" t="str">
            <v>16/08/2013</v>
          </cell>
          <cell r="AA512" t="str">
            <v>15/08/2015</v>
          </cell>
          <cell r="AB512" t="str">
            <v>No</v>
          </cell>
          <cell r="AC512" t="str">
            <v>31/08/2013</v>
          </cell>
          <cell r="AD512" t="str">
            <v>Good</v>
          </cell>
          <cell r="AE512" t="str">
            <v>V1 - Existing / No Claim</v>
          </cell>
          <cell r="AF512">
            <v>43306</v>
          </cell>
          <cell r="AG512">
            <v>9.17</v>
          </cell>
          <cell r="AH512" t="str">
            <v>PPM</v>
          </cell>
          <cell r="AI512" t="str">
            <v>Strands</v>
          </cell>
          <cell r="AJ512" t="str">
            <v>Strands PW</v>
          </cell>
        </row>
        <row r="513">
          <cell r="A513" t="str">
            <v>IKN400031</v>
          </cell>
          <cell r="B513">
            <v>31</v>
          </cell>
          <cell r="C513" t="str">
            <v>Institut Kanser Negara</v>
          </cell>
          <cell r="D513" t="str">
            <v>KKM/IKN/H/13/1049</v>
          </cell>
          <cell r="E513" t="str">
            <v>16-231</v>
          </cell>
          <cell r="F513" t="str">
            <v>Electrocardiographs, Multichannel, Interpretative</v>
          </cell>
          <cell r="G513" t="str">
            <v>IC</v>
          </cell>
          <cell r="H513" t="str">
            <v>INTENSIVE CARE UNIT</v>
          </cell>
          <cell r="I513" t="str">
            <v>05IC106</v>
          </cell>
          <cell r="J513" t="str">
            <v>EQ. ROOM</v>
          </cell>
          <cell r="K513" t="str">
            <v>BMED</v>
          </cell>
          <cell r="L513" t="str">
            <v>Normal</v>
          </cell>
          <cell r="M513" t="str">
            <v>India</v>
          </cell>
          <cell r="N513" t="str">
            <v>Mac</v>
          </cell>
          <cell r="O513" t="str">
            <v>Mac 5500</v>
          </cell>
          <cell r="P513" t="str">
            <v>SCD 1230 5247 PA</v>
          </cell>
          <cell r="Q513" t="str">
            <v>Not Applicable</v>
          </cell>
          <cell r="R513" t="str">
            <v>GE Healthcare Systems</v>
          </cell>
          <cell r="S513" t="str">
            <v>GE Healthcare Technologies</v>
          </cell>
          <cell r="T513" t="str">
            <v>Functioning</v>
          </cell>
          <cell r="U513" t="str">
            <v>Asset</v>
          </cell>
          <cell r="V513">
            <v>31270</v>
          </cell>
          <cell r="W513" t="str">
            <v>KEW</v>
          </cell>
          <cell r="X513" t="str">
            <v>01/09/2010</v>
          </cell>
          <cell r="Y513" t="str">
            <v>KEW</v>
          </cell>
          <cell r="Z513" t="str">
            <v>16/08/2013</v>
          </cell>
          <cell r="AA513" t="str">
            <v>15/08/2015</v>
          </cell>
          <cell r="AB513" t="str">
            <v>No</v>
          </cell>
          <cell r="AC513" t="str">
            <v>31/08/2013</v>
          </cell>
          <cell r="AD513" t="str">
            <v>Good</v>
          </cell>
          <cell r="AE513" t="str">
            <v>V1 - Existing / No Claim</v>
          </cell>
          <cell r="AF513">
            <v>42235</v>
          </cell>
          <cell r="AG513">
            <v>9.17</v>
          </cell>
          <cell r="AH513" t="str">
            <v>PPM</v>
          </cell>
          <cell r="AI513" t="str">
            <v>Strands</v>
          </cell>
          <cell r="AJ513" t="str">
            <v>Strands PW</v>
          </cell>
        </row>
        <row r="514">
          <cell r="A514" t="str">
            <v>IKN400032</v>
          </cell>
          <cell r="B514">
            <v>32</v>
          </cell>
          <cell r="C514" t="str">
            <v>Institut Kanser Negara</v>
          </cell>
          <cell r="D514" t="str">
            <v>KKM/IKN/H/13/929</v>
          </cell>
          <cell r="E514" t="str">
            <v>17-793</v>
          </cell>
          <cell r="F514" t="str">
            <v>Infusion/ Monitoring Line Organizer System</v>
          </cell>
          <cell r="G514" t="str">
            <v>IC</v>
          </cell>
          <cell r="H514" t="str">
            <v>INTENSIVE CARE UNIT</v>
          </cell>
          <cell r="I514" t="str">
            <v>05IC111</v>
          </cell>
          <cell r="J514" t="str">
            <v>ISOL 1(-VE)</v>
          </cell>
          <cell r="K514" t="str">
            <v>BMED</v>
          </cell>
          <cell r="L514" t="str">
            <v>Normal</v>
          </cell>
          <cell r="M514" t="str">
            <v>Germany</v>
          </cell>
          <cell r="N514" t="str">
            <v>Space Station</v>
          </cell>
          <cell r="O514" t="str">
            <v>Space Station</v>
          </cell>
          <cell r="P514" t="str">
            <v>13977</v>
          </cell>
          <cell r="Q514" t="str">
            <v>Not Applicable</v>
          </cell>
          <cell r="R514" t="str">
            <v>B Braun Melsungen AG</v>
          </cell>
          <cell r="S514" t="str">
            <v>B Braun Medical Supplies Sdn. Bhd.</v>
          </cell>
          <cell r="T514" t="str">
            <v>Functioning</v>
          </cell>
          <cell r="U514" t="str">
            <v>Asset</v>
          </cell>
          <cell r="V514">
            <v>84200</v>
          </cell>
          <cell r="W514" t="str">
            <v>KEW</v>
          </cell>
          <cell r="X514" t="str">
            <v>01/09/2010</v>
          </cell>
          <cell r="Y514" t="str">
            <v>KEW</v>
          </cell>
          <cell r="Z514" t="str">
            <v>16/08/2013</v>
          </cell>
          <cell r="AA514" t="str">
            <v>15/08/2015</v>
          </cell>
          <cell r="AB514" t="str">
            <v>No</v>
          </cell>
          <cell r="AC514" t="str">
            <v>31/08/2013</v>
          </cell>
          <cell r="AD514" t="str">
            <v>Good</v>
          </cell>
          <cell r="AE514" t="str">
            <v>V1 - Existing / No Claim</v>
          </cell>
          <cell r="AF514">
            <v>42235</v>
          </cell>
          <cell r="AG514">
            <v>9.17</v>
          </cell>
          <cell r="AH514" t="str">
            <v>PPM</v>
          </cell>
          <cell r="AI514" t="str">
            <v>Strands</v>
          </cell>
          <cell r="AJ514" t="str">
            <v>Strands PW</v>
          </cell>
        </row>
        <row r="515">
          <cell r="A515" t="str">
            <v>IKN400033</v>
          </cell>
          <cell r="B515">
            <v>33</v>
          </cell>
          <cell r="C515" t="str">
            <v>Institut Kanser Negara</v>
          </cell>
          <cell r="D515" t="str">
            <v>KKM/IKN/H/13/936</v>
          </cell>
          <cell r="E515" t="str">
            <v>17-793</v>
          </cell>
          <cell r="F515" t="str">
            <v>Infusion/ Monitoring Line Organizer System</v>
          </cell>
          <cell r="G515" t="str">
            <v>IC</v>
          </cell>
          <cell r="H515" t="str">
            <v>INTENSIVE CARE UNIT</v>
          </cell>
          <cell r="I515" t="str">
            <v>05IC112</v>
          </cell>
          <cell r="J515" t="str">
            <v>ICU RM 1</v>
          </cell>
          <cell r="K515" t="str">
            <v>BMED</v>
          </cell>
          <cell r="L515" t="str">
            <v>Normal</v>
          </cell>
          <cell r="M515" t="str">
            <v>Germany</v>
          </cell>
          <cell r="N515" t="str">
            <v>Space Station</v>
          </cell>
          <cell r="O515" t="str">
            <v>Space Station</v>
          </cell>
          <cell r="P515" t="str">
            <v>13979</v>
          </cell>
          <cell r="Q515" t="str">
            <v>Not Applicable</v>
          </cell>
          <cell r="R515" t="str">
            <v>B Braun Melsungen AG</v>
          </cell>
          <cell r="S515" t="str">
            <v>B Braun Medical Supplies Sdn. Bhd.</v>
          </cell>
          <cell r="T515" t="str">
            <v>Functioning</v>
          </cell>
          <cell r="U515" t="str">
            <v>Asset</v>
          </cell>
          <cell r="V515">
            <v>84200</v>
          </cell>
          <cell r="W515" t="str">
            <v>KEW</v>
          </cell>
          <cell r="X515" t="str">
            <v>01/09/2010</v>
          </cell>
          <cell r="Y515" t="str">
            <v>KEW</v>
          </cell>
          <cell r="Z515" t="str">
            <v>16/08/2013</v>
          </cell>
          <cell r="AA515" t="str">
            <v>15/08/2015</v>
          </cell>
          <cell r="AB515" t="str">
            <v>No</v>
          </cell>
          <cell r="AC515" t="str">
            <v>31/08/2013</v>
          </cell>
          <cell r="AD515" t="str">
            <v>Good</v>
          </cell>
          <cell r="AE515" t="str">
            <v>V1 - Existing / No Claim</v>
          </cell>
          <cell r="AF515">
            <v>42235</v>
          </cell>
          <cell r="AG515">
            <v>9.17</v>
          </cell>
          <cell r="AH515" t="str">
            <v>PPM</v>
          </cell>
          <cell r="AI515" t="str">
            <v>Strands</v>
          </cell>
          <cell r="AJ515" t="str">
            <v>Strands PW</v>
          </cell>
        </row>
        <row r="516">
          <cell r="A516" t="str">
            <v>IKN400034</v>
          </cell>
          <cell r="B516">
            <v>34</v>
          </cell>
          <cell r="C516" t="str">
            <v>Institut Kanser Negara</v>
          </cell>
          <cell r="D516" t="str">
            <v>KKM/IKN/H/13/930</v>
          </cell>
          <cell r="E516" t="str">
            <v>17-793</v>
          </cell>
          <cell r="F516" t="str">
            <v>Infusion/ Monitoring Line Organizer System</v>
          </cell>
          <cell r="G516" t="str">
            <v>IC</v>
          </cell>
          <cell r="H516" t="str">
            <v>INTENSIVE CARE UNIT</v>
          </cell>
          <cell r="I516" t="str">
            <v>05IC113</v>
          </cell>
          <cell r="J516" t="str">
            <v>ICU RM 2</v>
          </cell>
          <cell r="K516" t="str">
            <v>BMED</v>
          </cell>
          <cell r="L516" t="str">
            <v>Normal</v>
          </cell>
          <cell r="M516" t="str">
            <v>Germany</v>
          </cell>
          <cell r="N516" t="str">
            <v>Space Station</v>
          </cell>
          <cell r="O516" t="str">
            <v>Space Station</v>
          </cell>
          <cell r="P516" t="str">
            <v>13991</v>
          </cell>
          <cell r="Q516" t="str">
            <v>Not Applicable</v>
          </cell>
          <cell r="R516" t="str">
            <v>B Braun Melsungen AG</v>
          </cell>
          <cell r="S516" t="str">
            <v>B Braun Medical Supplies Sdn. Bhd.</v>
          </cell>
          <cell r="T516" t="str">
            <v>Functioning</v>
          </cell>
          <cell r="U516" t="str">
            <v>Asset</v>
          </cell>
          <cell r="V516">
            <v>84200</v>
          </cell>
          <cell r="W516" t="str">
            <v>KEW</v>
          </cell>
          <cell r="X516" t="str">
            <v>01/09/2010</v>
          </cell>
          <cell r="Y516" t="str">
            <v>KEW</v>
          </cell>
          <cell r="Z516" t="str">
            <v>16/08/2013</v>
          </cell>
          <cell r="AA516" t="str">
            <v>15/08/2015</v>
          </cell>
          <cell r="AB516" t="str">
            <v>No</v>
          </cell>
          <cell r="AC516" t="str">
            <v>31/08/2013</v>
          </cell>
          <cell r="AD516" t="str">
            <v>Good</v>
          </cell>
          <cell r="AE516" t="str">
            <v>V1 - Existing / No Claim</v>
          </cell>
          <cell r="AF516">
            <v>42796</v>
          </cell>
          <cell r="AG516">
            <v>9.17</v>
          </cell>
          <cell r="AH516" t="str">
            <v>PPM</v>
          </cell>
          <cell r="AI516" t="str">
            <v>Strands</v>
          </cell>
          <cell r="AJ516" t="str">
            <v>Strands PW</v>
          </cell>
        </row>
        <row r="517">
          <cell r="A517" t="str">
            <v>IKN400035</v>
          </cell>
          <cell r="B517">
            <v>35</v>
          </cell>
          <cell r="C517" t="str">
            <v>Institut Kanser Negara</v>
          </cell>
          <cell r="D517" t="str">
            <v>KKM/IKN/H/13/931</v>
          </cell>
          <cell r="E517" t="str">
            <v>17-793</v>
          </cell>
          <cell r="F517" t="str">
            <v>Infusion/ Monitoring Line Organizer System</v>
          </cell>
          <cell r="G517" t="str">
            <v>IC</v>
          </cell>
          <cell r="H517" t="str">
            <v>INTENSIVE CARE UNIT</v>
          </cell>
          <cell r="I517" t="str">
            <v>05IC114</v>
          </cell>
          <cell r="J517" t="str">
            <v>ICU RM 3</v>
          </cell>
          <cell r="K517" t="str">
            <v>BMED</v>
          </cell>
          <cell r="L517" t="str">
            <v>Normal</v>
          </cell>
          <cell r="M517" t="str">
            <v>Germany</v>
          </cell>
          <cell r="N517" t="str">
            <v>Space Station</v>
          </cell>
          <cell r="O517" t="str">
            <v>Space Station</v>
          </cell>
          <cell r="P517" t="str">
            <v>13986</v>
          </cell>
          <cell r="Q517" t="str">
            <v>Not Applicable</v>
          </cell>
          <cell r="R517" t="str">
            <v>B Braun Melsungen AG</v>
          </cell>
          <cell r="S517" t="str">
            <v>B Braun Medical Supplies Sdn. Bhd.</v>
          </cell>
          <cell r="T517" t="str">
            <v>Functioning</v>
          </cell>
          <cell r="U517" t="str">
            <v>Asset</v>
          </cell>
          <cell r="V517">
            <v>84200</v>
          </cell>
          <cell r="W517" t="str">
            <v>KEW</v>
          </cell>
          <cell r="X517" t="str">
            <v>01/09/2010</v>
          </cell>
          <cell r="Y517" t="str">
            <v>KEW</v>
          </cell>
          <cell r="Z517" t="str">
            <v>16/08/2013</v>
          </cell>
          <cell r="AA517" t="str">
            <v>15/08/2015</v>
          </cell>
          <cell r="AB517" t="str">
            <v>No</v>
          </cell>
          <cell r="AC517" t="str">
            <v>31/08/2013</v>
          </cell>
          <cell r="AD517" t="str">
            <v>Good</v>
          </cell>
          <cell r="AE517" t="str">
            <v>V1 - Existing / No Claim</v>
          </cell>
          <cell r="AF517">
            <v>42797</v>
          </cell>
          <cell r="AG517">
            <v>9.17</v>
          </cell>
          <cell r="AH517" t="str">
            <v>PPM</v>
          </cell>
          <cell r="AI517" t="str">
            <v>Strands</v>
          </cell>
          <cell r="AJ517" t="str">
            <v>Strands PW</v>
          </cell>
        </row>
        <row r="518">
          <cell r="A518" t="str">
            <v>IKN400036</v>
          </cell>
          <cell r="B518">
            <v>36</v>
          </cell>
          <cell r="C518" t="str">
            <v>Institut Kanser Negara</v>
          </cell>
          <cell r="D518" t="str">
            <v>KKM/IKN/H/13/932</v>
          </cell>
          <cell r="E518" t="str">
            <v>17-793</v>
          </cell>
          <cell r="F518" t="str">
            <v>Infusion/ Monitoring Line Organizer System</v>
          </cell>
          <cell r="G518" t="str">
            <v>IC</v>
          </cell>
          <cell r="H518" t="str">
            <v>INTENSIVE CARE UNIT</v>
          </cell>
          <cell r="I518" t="str">
            <v>05IC115</v>
          </cell>
          <cell r="J518" t="str">
            <v>ICU RM 4</v>
          </cell>
          <cell r="K518" t="str">
            <v>BMED</v>
          </cell>
          <cell r="L518" t="str">
            <v>Normal</v>
          </cell>
          <cell r="M518" t="str">
            <v>Germany</v>
          </cell>
          <cell r="N518" t="str">
            <v>Space Station</v>
          </cell>
          <cell r="O518" t="str">
            <v>Space Station</v>
          </cell>
          <cell r="P518" t="str">
            <v>13978</v>
          </cell>
          <cell r="Q518" t="str">
            <v>Not Applicable</v>
          </cell>
          <cell r="R518" t="str">
            <v>B Braun Melsungen AG</v>
          </cell>
          <cell r="S518" t="str">
            <v>B Braun Medical Supplies Sdn. Bhd.</v>
          </cell>
          <cell r="T518" t="str">
            <v>Functioning</v>
          </cell>
          <cell r="U518" t="str">
            <v>Asset</v>
          </cell>
          <cell r="V518">
            <v>84200</v>
          </cell>
          <cell r="W518" t="str">
            <v>KEW</v>
          </cell>
          <cell r="X518" t="str">
            <v>01/09/2010</v>
          </cell>
          <cell r="Y518" t="str">
            <v>KEW</v>
          </cell>
          <cell r="Z518" t="str">
            <v>16/08/2013</v>
          </cell>
          <cell r="AA518" t="str">
            <v>15/08/2015</v>
          </cell>
          <cell r="AB518" t="str">
            <v>No</v>
          </cell>
          <cell r="AC518" t="str">
            <v>31/08/2013</v>
          </cell>
          <cell r="AD518" t="str">
            <v>Good</v>
          </cell>
          <cell r="AE518" t="str">
            <v>V1 - Existing / No Claim</v>
          </cell>
          <cell r="AF518">
            <v>42235</v>
          </cell>
          <cell r="AG518">
            <v>9.17</v>
          </cell>
          <cell r="AH518" t="str">
            <v>PPM</v>
          </cell>
          <cell r="AI518" t="str">
            <v>Strands</v>
          </cell>
          <cell r="AJ518" t="str">
            <v>Strands PW</v>
          </cell>
        </row>
        <row r="519">
          <cell r="A519" t="str">
            <v>IKN400037</v>
          </cell>
          <cell r="B519">
            <v>37</v>
          </cell>
          <cell r="C519" t="str">
            <v>Institut Kanser Negara</v>
          </cell>
          <cell r="D519" t="str">
            <v>KKM/IKN/H/13/933</v>
          </cell>
          <cell r="E519" t="str">
            <v>17-793</v>
          </cell>
          <cell r="F519" t="str">
            <v>Infusion/ Monitoring Line Organizer System</v>
          </cell>
          <cell r="G519" t="str">
            <v>IC</v>
          </cell>
          <cell r="H519" t="str">
            <v>INTENSIVE CARE UNIT</v>
          </cell>
          <cell r="I519" t="str">
            <v>05IC116</v>
          </cell>
          <cell r="J519" t="str">
            <v>ISOL 2 (+VE)</v>
          </cell>
          <cell r="K519" t="str">
            <v>BMED</v>
          </cell>
          <cell r="L519" t="str">
            <v>Normal</v>
          </cell>
          <cell r="M519" t="str">
            <v>Germany</v>
          </cell>
          <cell r="N519" t="str">
            <v>Space Station</v>
          </cell>
          <cell r="O519" t="str">
            <v>Space Station</v>
          </cell>
          <cell r="P519" t="str">
            <v>13988</v>
          </cell>
          <cell r="Q519" t="str">
            <v>Not Applicable</v>
          </cell>
          <cell r="R519" t="str">
            <v>B Braun Melsungen AG</v>
          </cell>
          <cell r="S519" t="str">
            <v>B Braun Medical Supplies Sdn. Bhd.</v>
          </cell>
          <cell r="T519" t="str">
            <v>Functioning</v>
          </cell>
          <cell r="U519" t="str">
            <v>Asset</v>
          </cell>
          <cell r="V519">
            <v>84200</v>
          </cell>
          <cell r="W519" t="str">
            <v>KEW</v>
          </cell>
          <cell r="X519" t="str">
            <v>01/09/2010</v>
          </cell>
          <cell r="Y519" t="str">
            <v>KEW</v>
          </cell>
          <cell r="Z519" t="str">
            <v>16/08/2013</v>
          </cell>
          <cell r="AA519" t="str">
            <v>15/08/2015</v>
          </cell>
          <cell r="AB519" t="str">
            <v>No</v>
          </cell>
          <cell r="AC519" t="str">
            <v>31/08/2013</v>
          </cell>
          <cell r="AD519" t="str">
            <v>Good</v>
          </cell>
          <cell r="AE519" t="str">
            <v>V1 - Existing / No Claim</v>
          </cell>
          <cell r="AF519">
            <v>42797</v>
          </cell>
          <cell r="AG519">
            <v>9.17</v>
          </cell>
          <cell r="AH519" t="str">
            <v>PPM</v>
          </cell>
          <cell r="AI519" t="str">
            <v>Strands</v>
          </cell>
          <cell r="AJ519" t="str">
            <v>Strands PW</v>
          </cell>
        </row>
        <row r="520">
          <cell r="A520" t="str">
            <v>IKN400038</v>
          </cell>
          <cell r="B520">
            <v>38</v>
          </cell>
          <cell r="C520" t="str">
            <v>Institut Kanser Negara</v>
          </cell>
          <cell r="D520" t="str">
            <v>KKM/IKN/H/13/934</v>
          </cell>
          <cell r="E520" t="str">
            <v>17-793</v>
          </cell>
          <cell r="F520" t="str">
            <v>Infusion/ Monitoring Line Organizer System</v>
          </cell>
          <cell r="G520" t="str">
            <v>IC</v>
          </cell>
          <cell r="H520" t="str">
            <v>INTENSIVE CARE UNIT</v>
          </cell>
          <cell r="I520" t="str">
            <v>05IC129</v>
          </cell>
          <cell r="J520" t="str">
            <v>ISOL 4 (+VE)</v>
          </cell>
          <cell r="K520" t="str">
            <v>BMED</v>
          </cell>
          <cell r="L520" t="str">
            <v>Normal</v>
          </cell>
          <cell r="M520" t="str">
            <v>Germany</v>
          </cell>
          <cell r="N520" t="str">
            <v>Space Station</v>
          </cell>
          <cell r="O520" t="str">
            <v>Space Station</v>
          </cell>
          <cell r="P520" t="str">
            <v>13976</v>
          </cell>
          <cell r="Q520" t="str">
            <v>Not Applicable</v>
          </cell>
          <cell r="R520" t="str">
            <v>B Braun Melsungen AG</v>
          </cell>
          <cell r="S520" t="str">
            <v>B Braun Medical Supplies Sdn. Bhd.</v>
          </cell>
          <cell r="T520" t="str">
            <v>Functioning</v>
          </cell>
          <cell r="U520" t="str">
            <v>Asset</v>
          </cell>
          <cell r="V520">
            <v>84200</v>
          </cell>
          <cell r="W520" t="str">
            <v>KEW</v>
          </cell>
          <cell r="X520" t="str">
            <v>01/09/2010</v>
          </cell>
          <cell r="Y520" t="str">
            <v>KEW</v>
          </cell>
          <cell r="Z520" t="str">
            <v>16/08/2013</v>
          </cell>
          <cell r="AA520" t="str">
            <v>15/08/2015</v>
          </cell>
          <cell r="AB520" t="str">
            <v>No</v>
          </cell>
          <cell r="AC520" t="str">
            <v>31/08/2013</v>
          </cell>
          <cell r="AD520" t="str">
            <v>Good</v>
          </cell>
          <cell r="AE520" t="str">
            <v>V1 - Existing / No Claim</v>
          </cell>
          <cell r="AF520">
            <v>42797</v>
          </cell>
          <cell r="AG520">
            <v>9.17</v>
          </cell>
          <cell r="AH520" t="str">
            <v>PPM</v>
          </cell>
          <cell r="AI520" t="str">
            <v>Strands</v>
          </cell>
          <cell r="AJ520" t="str">
            <v>Strands PW</v>
          </cell>
        </row>
        <row r="521">
          <cell r="A521" t="str">
            <v>IKN400039</v>
          </cell>
          <cell r="B521">
            <v>39</v>
          </cell>
          <cell r="C521" t="str">
            <v>Institut Kanser Negara</v>
          </cell>
          <cell r="D521" t="str">
            <v>KKM/IKN/H/13/935</v>
          </cell>
          <cell r="E521" t="str">
            <v>17-793</v>
          </cell>
          <cell r="F521" t="str">
            <v>Infusion/ Monitoring Line Organizer System</v>
          </cell>
          <cell r="G521" t="str">
            <v>IC</v>
          </cell>
          <cell r="H521" t="str">
            <v>INTENSIVE CARE UNIT</v>
          </cell>
          <cell r="I521" t="str">
            <v>05IC131</v>
          </cell>
          <cell r="J521" t="str">
            <v>ISOL 3 (+VE)</v>
          </cell>
          <cell r="K521" t="str">
            <v>BMED</v>
          </cell>
          <cell r="L521" t="str">
            <v>Normal</v>
          </cell>
          <cell r="M521" t="str">
            <v>Germany</v>
          </cell>
          <cell r="N521" t="str">
            <v>Space Station</v>
          </cell>
          <cell r="O521" t="str">
            <v>Space Station</v>
          </cell>
          <cell r="P521" t="str">
            <v>13980</v>
          </cell>
          <cell r="Q521" t="str">
            <v>Not Applicable</v>
          </cell>
          <cell r="R521" t="str">
            <v>B Braun Melsungen AG</v>
          </cell>
          <cell r="S521" t="str">
            <v>B Braun Medical Supplies Sdn. Bhd.</v>
          </cell>
          <cell r="T521" t="str">
            <v>Functioning</v>
          </cell>
          <cell r="U521" t="str">
            <v>Asset</v>
          </cell>
          <cell r="V521">
            <v>84200</v>
          </cell>
          <cell r="W521" t="str">
            <v>KEW</v>
          </cell>
          <cell r="X521" t="str">
            <v>01/09/2010</v>
          </cell>
          <cell r="Y521" t="str">
            <v>KEW</v>
          </cell>
          <cell r="Z521" t="str">
            <v>16/08/2013</v>
          </cell>
          <cell r="AA521" t="str">
            <v>15/08/2015</v>
          </cell>
          <cell r="AB521" t="str">
            <v>No</v>
          </cell>
          <cell r="AC521" t="str">
            <v>31/08/2013</v>
          </cell>
          <cell r="AD521" t="str">
            <v>Good</v>
          </cell>
          <cell r="AE521" t="str">
            <v>V1 - Existing / No Claim</v>
          </cell>
          <cell r="AF521">
            <v>42235</v>
          </cell>
          <cell r="AG521">
            <v>9.17</v>
          </cell>
          <cell r="AH521" t="str">
            <v>PPM</v>
          </cell>
          <cell r="AI521" t="str">
            <v>Strands</v>
          </cell>
          <cell r="AJ521" t="str">
            <v>Strands PW</v>
          </cell>
        </row>
        <row r="522">
          <cell r="A522" t="str">
            <v>IKN400040</v>
          </cell>
          <cell r="B522">
            <v>40</v>
          </cell>
          <cell r="C522" t="str">
            <v>Institut Kanser Negara</v>
          </cell>
          <cell r="D522" t="str">
            <v>KKM/IKN/H/13/1026</v>
          </cell>
          <cell r="E522" t="str">
            <v>11-218</v>
          </cell>
          <cell r="F522" t="str">
            <v>Hemodialysis Units</v>
          </cell>
          <cell r="G522" t="str">
            <v>IC</v>
          </cell>
          <cell r="H522" t="str">
            <v>INTENSIVE CARE UNIT</v>
          </cell>
          <cell r="I522" t="str">
            <v>05IC106</v>
          </cell>
          <cell r="J522" t="str">
            <v>EQ. ROOM</v>
          </cell>
          <cell r="K522" t="str">
            <v>BMED</v>
          </cell>
          <cell r="L522" t="str">
            <v>Critical</v>
          </cell>
          <cell r="M522" t="str">
            <v>Germany</v>
          </cell>
          <cell r="N522" t="str">
            <v>Fresenius</v>
          </cell>
          <cell r="O522" t="str">
            <v>Fresenius 5008S</v>
          </cell>
          <cell r="P522" t="str">
            <v>3VSAG772</v>
          </cell>
          <cell r="Q522" t="str">
            <v>Not Applicable</v>
          </cell>
          <cell r="R522" t="str">
            <v>Fresenius FMC</v>
          </cell>
          <cell r="S522" t="str">
            <v>Fischer CW Medical</v>
          </cell>
          <cell r="T522" t="str">
            <v>Functioning</v>
          </cell>
          <cell r="U522" t="str">
            <v>Asset</v>
          </cell>
          <cell r="V522">
            <v>76985</v>
          </cell>
          <cell r="W522" t="str">
            <v>KEW</v>
          </cell>
          <cell r="X522" t="str">
            <v>01/09/2010</v>
          </cell>
          <cell r="Y522" t="str">
            <v>KEW</v>
          </cell>
          <cell r="Z522" t="str">
            <v>16/08/2013</v>
          </cell>
          <cell r="AA522" t="str">
            <v>15/08/2015</v>
          </cell>
          <cell r="AB522" t="str">
            <v>No</v>
          </cell>
          <cell r="AC522" t="str">
            <v>31/08/2013</v>
          </cell>
          <cell r="AD522" t="str">
            <v>Good</v>
          </cell>
          <cell r="AE522" t="str">
            <v>V1 - Existing / No Claim</v>
          </cell>
          <cell r="AF522">
            <v>42796</v>
          </cell>
          <cell r="AG522">
            <v>9.17</v>
          </cell>
          <cell r="AH522" t="str">
            <v>PPM</v>
          </cell>
          <cell r="AI522" t="str">
            <v>Strands</v>
          </cell>
          <cell r="AJ522" t="str">
            <v>Strands PW</v>
          </cell>
        </row>
        <row r="523">
          <cell r="A523" t="str">
            <v>IKN400041</v>
          </cell>
          <cell r="B523">
            <v>41</v>
          </cell>
          <cell r="C523" t="str">
            <v>Institut Kanser Negara</v>
          </cell>
          <cell r="D523" t="str">
            <v>KKM/IKN/H/13/865</v>
          </cell>
          <cell r="E523" t="str">
            <v>15-039</v>
          </cell>
          <cell r="F523" t="str">
            <v>Hemofiltration Units</v>
          </cell>
          <cell r="G523" t="str">
            <v>IC</v>
          </cell>
          <cell r="H523" t="str">
            <v>INTENSIVE CARE UNIT</v>
          </cell>
          <cell r="I523" t="str">
            <v>05IC106</v>
          </cell>
          <cell r="J523" t="str">
            <v>EQ. ROOM</v>
          </cell>
          <cell r="K523" t="str">
            <v>BMED</v>
          </cell>
          <cell r="L523" t="str">
            <v>Normal</v>
          </cell>
          <cell r="M523" t="str">
            <v>Sweden</v>
          </cell>
          <cell r="N523" t="str">
            <v>Prismaflex</v>
          </cell>
          <cell r="O523" t="str">
            <v>Prismaflex</v>
          </cell>
          <cell r="P523" t="str">
            <v>PA10395</v>
          </cell>
          <cell r="Q523" t="str">
            <v>Not Applicable</v>
          </cell>
          <cell r="R523" t="str">
            <v>Gambro AB</v>
          </cell>
          <cell r="S523" t="str">
            <v>Gambro Renal Care (M) Sdn Bhd</v>
          </cell>
          <cell r="T523" t="str">
            <v>Functioning</v>
          </cell>
          <cell r="U523" t="str">
            <v>Asset</v>
          </cell>
          <cell r="V523">
            <v>168400</v>
          </cell>
          <cell r="W523" t="str">
            <v>KEW</v>
          </cell>
          <cell r="X523" t="str">
            <v>01/09/2010</v>
          </cell>
          <cell r="Y523" t="str">
            <v>KEW</v>
          </cell>
          <cell r="Z523" t="str">
            <v>16/08/2013</v>
          </cell>
          <cell r="AA523" t="str">
            <v>15/08/2015</v>
          </cell>
          <cell r="AB523" t="str">
            <v>No</v>
          </cell>
          <cell r="AC523" t="str">
            <v>31/08/2013</v>
          </cell>
          <cell r="AD523" t="str">
            <v>Good</v>
          </cell>
          <cell r="AE523" t="str">
            <v>V1 - Existing / No Claim</v>
          </cell>
          <cell r="AF523">
            <v>42235</v>
          </cell>
          <cell r="AG523">
            <v>9.17</v>
          </cell>
          <cell r="AH523" t="str">
            <v>PPM</v>
          </cell>
          <cell r="AI523" t="str">
            <v>Strands</v>
          </cell>
          <cell r="AJ523" t="str">
            <v>Strands PW</v>
          </cell>
        </row>
        <row r="524">
          <cell r="A524" t="str">
            <v>IKN400042</v>
          </cell>
          <cell r="B524">
            <v>42</v>
          </cell>
          <cell r="C524" t="str">
            <v>Institut Kanser Negara</v>
          </cell>
          <cell r="D524" t="str">
            <v>KKM/IKN/H/13/161</v>
          </cell>
          <cell r="E524" t="str">
            <v>12-647</v>
          </cell>
          <cell r="F524" t="str">
            <v>Physiologic Monitoring Systems, Acute Care</v>
          </cell>
          <cell r="G524" t="str">
            <v>IC</v>
          </cell>
          <cell r="H524" t="str">
            <v>INTENSIVE CARE UNIT</v>
          </cell>
          <cell r="I524" t="str">
            <v>05IC111</v>
          </cell>
          <cell r="J524" t="str">
            <v>ISOL 1(-VE)</v>
          </cell>
          <cell r="K524" t="str">
            <v>BMED</v>
          </cell>
          <cell r="L524" t="str">
            <v>Normal</v>
          </cell>
          <cell r="M524" t="str">
            <v>Finland</v>
          </cell>
          <cell r="N524" t="str">
            <v>Carespace</v>
          </cell>
          <cell r="O524" t="str">
            <v>Carespace B850</v>
          </cell>
          <cell r="P524" t="str">
            <v>SED12370776GA</v>
          </cell>
          <cell r="Q524" t="str">
            <v>Not Applicable</v>
          </cell>
          <cell r="R524" t="str">
            <v>GE Healthcare Systems</v>
          </cell>
          <cell r="S524" t="str">
            <v>GE Healthcare Technologies</v>
          </cell>
          <cell r="T524" t="str">
            <v>Functioning</v>
          </cell>
          <cell r="U524" t="str">
            <v>Asset</v>
          </cell>
          <cell r="V524">
            <v>119690</v>
          </cell>
          <cell r="W524" t="str">
            <v>KEW</v>
          </cell>
          <cell r="X524" t="str">
            <v>01/09/2010</v>
          </cell>
          <cell r="Y524" t="str">
            <v>KEW</v>
          </cell>
          <cell r="Z524" t="str">
            <v>16/08/2013</v>
          </cell>
          <cell r="AA524" t="str">
            <v>15/08/2015</v>
          </cell>
          <cell r="AB524" t="str">
            <v>No</v>
          </cell>
          <cell r="AC524" t="str">
            <v>31/08/2013</v>
          </cell>
          <cell r="AD524" t="str">
            <v>Good</v>
          </cell>
          <cell r="AE524" t="str">
            <v>V1 - Existing / No Claim</v>
          </cell>
          <cell r="AF524">
            <v>42235</v>
          </cell>
          <cell r="AG524">
            <v>9.17</v>
          </cell>
          <cell r="AH524" t="str">
            <v>PPM</v>
          </cell>
          <cell r="AI524" t="str">
            <v>Strands</v>
          </cell>
          <cell r="AJ524" t="str">
            <v>Strands PW</v>
          </cell>
        </row>
        <row r="525">
          <cell r="A525" t="str">
            <v>IKN400043</v>
          </cell>
          <cell r="B525">
            <v>43</v>
          </cell>
          <cell r="C525" t="str">
            <v>Institut Kanser Negara</v>
          </cell>
          <cell r="D525" t="str">
            <v>KKM/IKN/H/13/1040</v>
          </cell>
          <cell r="E525" t="str">
            <v>12-647</v>
          </cell>
          <cell r="F525" t="str">
            <v>Physiologic Monitoring Systems, Acute Care</v>
          </cell>
          <cell r="G525" t="str">
            <v>IC</v>
          </cell>
          <cell r="H525" t="str">
            <v>INTENSIVE CARE UNIT</v>
          </cell>
          <cell r="I525" t="str">
            <v>05IC112</v>
          </cell>
          <cell r="J525" t="str">
            <v>ICU RM 1</v>
          </cell>
          <cell r="K525" t="str">
            <v>BMED</v>
          </cell>
          <cell r="L525" t="str">
            <v>Normal</v>
          </cell>
          <cell r="M525" t="str">
            <v>Finland</v>
          </cell>
          <cell r="N525" t="str">
            <v>Carespace</v>
          </cell>
          <cell r="O525" t="str">
            <v>Carespace B850</v>
          </cell>
          <cell r="P525" t="str">
            <v>SED12370825GA</v>
          </cell>
          <cell r="Q525" t="str">
            <v>Not Applicable</v>
          </cell>
          <cell r="R525" t="str">
            <v>GE Healthcare Systems</v>
          </cell>
          <cell r="S525" t="str">
            <v>GE Healthcare Technologies</v>
          </cell>
          <cell r="T525" t="str">
            <v>Functioning</v>
          </cell>
          <cell r="U525" t="str">
            <v>Asset</v>
          </cell>
          <cell r="V525">
            <v>119690</v>
          </cell>
          <cell r="W525" t="str">
            <v>KEW</v>
          </cell>
          <cell r="X525" t="str">
            <v>01/09/2010</v>
          </cell>
          <cell r="Y525" t="str">
            <v>KEW</v>
          </cell>
          <cell r="Z525" t="str">
            <v>16/08/2013</v>
          </cell>
          <cell r="AA525" t="str">
            <v>15/08/2015</v>
          </cell>
          <cell r="AB525" t="str">
            <v>No</v>
          </cell>
          <cell r="AC525" t="str">
            <v>31/08/2013</v>
          </cell>
          <cell r="AD525" t="str">
            <v>Good</v>
          </cell>
          <cell r="AE525" t="str">
            <v>V1 - Existing / No Claim</v>
          </cell>
          <cell r="AF525">
            <v>42235</v>
          </cell>
          <cell r="AG525">
            <v>9.17</v>
          </cell>
          <cell r="AH525" t="str">
            <v>PPM</v>
          </cell>
          <cell r="AI525" t="str">
            <v>Strands</v>
          </cell>
          <cell r="AJ525" t="str">
            <v>Strands PW</v>
          </cell>
        </row>
        <row r="526">
          <cell r="A526" t="str">
            <v>IKN400044</v>
          </cell>
          <cell r="B526">
            <v>44</v>
          </cell>
          <cell r="C526" t="str">
            <v>Institut Kanser Negara</v>
          </cell>
          <cell r="D526" t="str">
            <v>KKM/IKN/H/13/1041</v>
          </cell>
          <cell r="E526" t="str">
            <v>12-647</v>
          </cell>
          <cell r="F526" t="str">
            <v>Physiologic Monitoring Systems, Acute Care</v>
          </cell>
          <cell r="G526" t="str">
            <v>IC</v>
          </cell>
          <cell r="H526" t="str">
            <v>INTENSIVE CARE UNIT</v>
          </cell>
          <cell r="I526" t="str">
            <v>05IC113</v>
          </cell>
          <cell r="J526" t="str">
            <v>ICU RM 2</v>
          </cell>
          <cell r="K526" t="str">
            <v>BMED</v>
          </cell>
          <cell r="L526" t="str">
            <v>Critical</v>
          </cell>
          <cell r="M526" t="str">
            <v>Finland</v>
          </cell>
          <cell r="N526" t="str">
            <v>Carespace</v>
          </cell>
          <cell r="O526" t="str">
            <v>Carespace B850</v>
          </cell>
          <cell r="P526" t="str">
            <v>SED12370680GA</v>
          </cell>
          <cell r="Q526" t="str">
            <v>Not Applicable</v>
          </cell>
          <cell r="R526" t="str">
            <v>GE Healthcare Systems</v>
          </cell>
          <cell r="S526" t="str">
            <v>GE Healthcare Technologies</v>
          </cell>
          <cell r="T526" t="str">
            <v>Functioning</v>
          </cell>
          <cell r="U526" t="str">
            <v>Asset</v>
          </cell>
          <cell r="V526">
            <v>119690</v>
          </cell>
          <cell r="W526" t="str">
            <v>KEW</v>
          </cell>
          <cell r="X526" t="str">
            <v>01/09/2010</v>
          </cell>
          <cell r="Y526" t="str">
            <v>KEW</v>
          </cell>
          <cell r="Z526" t="str">
            <v>16/08/2013</v>
          </cell>
          <cell r="AA526" t="str">
            <v>15/08/2015</v>
          </cell>
          <cell r="AB526" t="str">
            <v>No</v>
          </cell>
          <cell r="AC526" t="str">
            <v>31/08/2013</v>
          </cell>
          <cell r="AD526" t="str">
            <v>Good</v>
          </cell>
          <cell r="AE526" t="str">
            <v>V1 - Existing / No Claim</v>
          </cell>
          <cell r="AF526">
            <v>42796</v>
          </cell>
          <cell r="AG526">
            <v>9.17</v>
          </cell>
          <cell r="AH526" t="str">
            <v>PPM</v>
          </cell>
          <cell r="AI526" t="str">
            <v>Strands</v>
          </cell>
          <cell r="AJ526" t="str">
            <v>Strands PW</v>
          </cell>
        </row>
        <row r="527">
          <cell r="A527" t="str">
            <v>IKN400045</v>
          </cell>
          <cell r="B527">
            <v>45</v>
          </cell>
          <cell r="C527" t="str">
            <v>Institut Kanser Negara</v>
          </cell>
          <cell r="D527" t="str">
            <v>KKM/IKN/H/13/1042</v>
          </cell>
          <cell r="E527" t="str">
            <v>12-647</v>
          </cell>
          <cell r="F527" t="str">
            <v>Physiologic Monitoring Systems, Acute Care</v>
          </cell>
          <cell r="G527" t="str">
            <v>IC</v>
          </cell>
          <cell r="H527" t="str">
            <v>INTENSIVE CARE UNIT</v>
          </cell>
          <cell r="I527" t="str">
            <v>05IC114</v>
          </cell>
          <cell r="J527" t="str">
            <v>ICU RM 3</v>
          </cell>
          <cell r="K527" t="str">
            <v>BMED</v>
          </cell>
          <cell r="L527" t="str">
            <v>Critical</v>
          </cell>
          <cell r="M527" t="str">
            <v>Finland</v>
          </cell>
          <cell r="N527" t="str">
            <v>Carespace</v>
          </cell>
          <cell r="O527" t="str">
            <v>Carespace B850</v>
          </cell>
          <cell r="P527" t="str">
            <v>SED12370780GA</v>
          </cell>
          <cell r="Q527" t="str">
            <v>Not Applicable</v>
          </cell>
          <cell r="R527" t="str">
            <v>GE Healthcare Systems</v>
          </cell>
          <cell r="S527" t="str">
            <v>GE Healthcare Technologies</v>
          </cell>
          <cell r="T527" t="str">
            <v>Functioning</v>
          </cell>
          <cell r="U527" t="str">
            <v>Asset</v>
          </cell>
          <cell r="V527">
            <v>119690</v>
          </cell>
          <cell r="W527" t="str">
            <v>KEW</v>
          </cell>
          <cell r="X527" t="str">
            <v>01/09/2010</v>
          </cell>
          <cell r="Y527" t="str">
            <v>KEW</v>
          </cell>
          <cell r="Z527" t="str">
            <v>16/08/2013</v>
          </cell>
          <cell r="AA527" t="str">
            <v>15/08/2015</v>
          </cell>
          <cell r="AB527" t="str">
            <v>No</v>
          </cell>
          <cell r="AC527" t="str">
            <v>31/08/2013</v>
          </cell>
          <cell r="AD527" t="str">
            <v>Good</v>
          </cell>
          <cell r="AE527" t="str">
            <v>V1 - Existing / No Claim</v>
          </cell>
          <cell r="AF527">
            <v>42797</v>
          </cell>
          <cell r="AG527">
            <v>9.17</v>
          </cell>
          <cell r="AH527" t="str">
            <v>PPM</v>
          </cell>
          <cell r="AI527" t="str">
            <v>Strands</v>
          </cell>
          <cell r="AJ527" t="str">
            <v>Strands PW</v>
          </cell>
        </row>
        <row r="528">
          <cell r="A528" t="str">
            <v>IKN400046</v>
          </cell>
          <cell r="B528">
            <v>46</v>
          </cell>
          <cell r="C528" t="str">
            <v>Institut Kanser Negara</v>
          </cell>
          <cell r="D528" t="str">
            <v>KKM/IKN/H/13/1043</v>
          </cell>
          <cell r="E528" t="str">
            <v>12-647</v>
          </cell>
          <cell r="F528" t="str">
            <v>Physiologic Monitoring Systems, Acute Care</v>
          </cell>
          <cell r="G528" t="str">
            <v>IC</v>
          </cell>
          <cell r="H528" t="str">
            <v>INTENSIVE CARE UNIT</v>
          </cell>
          <cell r="I528" t="str">
            <v>05IC115</v>
          </cell>
          <cell r="J528" t="str">
            <v>ICU RM 4</v>
          </cell>
          <cell r="K528" t="str">
            <v>BMED</v>
          </cell>
          <cell r="L528" t="str">
            <v>Normal</v>
          </cell>
          <cell r="M528" t="str">
            <v>Finland</v>
          </cell>
          <cell r="N528" t="str">
            <v>Carespace</v>
          </cell>
          <cell r="O528" t="str">
            <v>Carespace B850</v>
          </cell>
          <cell r="P528" t="str">
            <v>SED12370747GA</v>
          </cell>
          <cell r="Q528" t="str">
            <v>Not Applicable</v>
          </cell>
          <cell r="R528" t="str">
            <v>GE Healthcare Systems</v>
          </cell>
          <cell r="S528" t="str">
            <v>GE Healthcare Technologies</v>
          </cell>
          <cell r="T528" t="str">
            <v>Functioning</v>
          </cell>
          <cell r="U528" t="str">
            <v>Asset</v>
          </cell>
          <cell r="V528">
            <v>119690</v>
          </cell>
          <cell r="W528" t="str">
            <v>KEW</v>
          </cell>
          <cell r="X528" t="str">
            <v>01/09/2010</v>
          </cell>
          <cell r="Y528" t="str">
            <v>KEW</v>
          </cell>
          <cell r="Z528" t="str">
            <v>16/08/2013</v>
          </cell>
          <cell r="AA528" t="str">
            <v>15/08/2015</v>
          </cell>
          <cell r="AB528" t="str">
            <v>No</v>
          </cell>
          <cell r="AC528" t="str">
            <v>31/08/2013</v>
          </cell>
          <cell r="AD528" t="str">
            <v>Good</v>
          </cell>
          <cell r="AE528" t="str">
            <v>V1 - Existing / No Claim</v>
          </cell>
          <cell r="AF528">
            <v>42235</v>
          </cell>
          <cell r="AG528">
            <v>9.17</v>
          </cell>
          <cell r="AH528" t="str">
            <v>PPM</v>
          </cell>
          <cell r="AI528" t="str">
            <v>Strands</v>
          </cell>
          <cell r="AJ528" t="str">
            <v>Strands PW</v>
          </cell>
        </row>
        <row r="529">
          <cell r="A529" t="str">
            <v>IKN400047</v>
          </cell>
          <cell r="B529">
            <v>47</v>
          </cell>
          <cell r="C529" t="str">
            <v>Institut Kanser Negara</v>
          </cell>
          <cell r="D529" t="str">
            <v>KKM/IKN/H/13/1044</v>
          </cell>
          <cell r="E529" t="str">
            <v>12-647</v>
          </cell>
          <cell r="F529" t="str">
            <v>Physiologic Monitoring Systems, Acute Care</v>
          </cell>
          <cell r="G529" t="str">
            <v>IC</v>
          </cell>
          <cell r="H529" t="str">
            <v>INTENSIVE CARE UNIT</v>
          </cell>
          <cell r="I529" t="str">
            <v>05IC116</v>
          </cell>
          <cell r="J529" t="str">
            <v>ISOL 2 (+VE)</v>
          </cell>
          <cell r="K529" t="str">
            <v>BMED</v>
          </cell>
          <cell r="L529" t="str">
            <v>Critical</v>
          </cell>
          <cell r="M529" t="str">
            <v>Finland</v>
          </cell>
          <cell r="N529" t="str">
            <v>Carespace</v>
          </cell>
          <cell r="O529" t="str">
            <v>Carespace B850</v>
          </cell>
          <cell r="P529" t="str">
            <v>SED12370774GA</v>
          </cell>
          <cell r="Q529" t="str">
            <v>Not Applicable</v>
          </cell>
          <cell r="R529" t="str">
            <v>GE Healthcare Systems</v>
          </cell>
          <cell r="S529" t="str">
            <v>GE Healthcare Technologies</v>
          </cell>
          <cell r="T529" t="str">
            <v>Functioning</v>
          </cell>
          <cell r="U529" t="str">
            <v>Asset</v>
          </cell>
          <cell r="V529">
            <v>119690</v>
          </cell>
          <cell r="W529" t="str">
            <v>KEW</v>
          </cell>
          <cell r="X529" t="str">
            <v>01/09/2010</v>
          </cell>
          <cell r="Y529" t="str">
            <v>KEW</v>
          </cell>
          <cell r="Z529" t="str">
            <v>16/08/2013</v>
          </cell>
          <cell r="AA529" t="str">
            <v>15/08/2015</v>
          </cell>
          <cell r="AB529" t="str">
            <v>No</v>
          </cell>
          <cell r="AC529" t="str">
            <v>31/08/2013</v>
          </cell>
          <cell r="AD529" t="str">
            <v>Good</v>
          </cell>
          <cell r="AE529" t="str">
            <v>V1 - Existing / No Claim</v>
          </cell>
          <cell r="AF529">
            <v>42797</v>
          </cell>
          <cell r="AG529">
            <v>9.17</v>
          </cell>
          <cell r="AH529" t="str">
            <v>PPM</v>
          </cell>
          <cell r="AI529" t="str">
            <v>Strands</v>
          </cell>
          <cell r="AJ529" t="str">
            <v>Strands PW</v>
          </cell>
        </row>
        <row r="530">
          <cell r="A530" t="str">
            <v>IKN400048</v>
          </cell>
          <cell r="B530">
            <v>48</v>
          </cell>
          <cell r="C530" t="str">
            <v>Institut Kanser Negara</v>
          </cell>
          <cell r="D530" t="str">
            <v>KKM/IKN/H/13/1045</v>
          </cell>
          <cell r="E530" t="str">
            <v>12-647</v>
          </cell>
          <cell r="F530" t="str">
            <v>Physiologic Monitoring Systems, Acute Care</v>
          </cell>
          <cell r="G530" t="str">
            <v>IC</v>
          </cell>
          <cell r="H530" t="str">
            <v>INTENSIVE CARE UNIT</v>
          </cell>
          <cell r="I530" t="str">
            <v>05IC129</v>
          </cell>
          <cell r="J530" t="str">
            <v>ISOL 4 (+VE)</v>
          </cell>
          <cell r="K530" t="str">
            <v>BMED</v>
          </cell>
          <cell r="L530" t="str">
            <v>Critical</v>
          </cell>
          <cell r="M530" t="str">
            <v>Finland</v>
          </cell>
          <cell r="N530" t="str">
            <v>Carespace</v>
          </cell>
          <cell r="O530" t="str">
            <v>Carespace B850</v>
          </cell>
          <cell r="P530" t="str">
            <v>SED12370782GA</v>
          </cell>
          <cell r="Q530" t="str">
            <v>Not Applicable</v>
          </cell>
          <cell r="R530" t="str">
            <v>GE Healthcare Systems</v>
          </cell>
          <cell r="S530" t="str">
            <v>GE Healthcare Technologies</v>
          </cell>
          <cell r="T530" t="str">
            <v>Functioning</v>
          </cell>
          <cell r="U530" t="str">
            <v>Asset</v>
          </cell>
          <cell r="V530">
            <v>119690</v>
          </cell>
          <cell r="W530" t="str">
            <v>KEW</v>
          </cell>
          <cell r="X530" t="str">
            <v>01/09/2010</v>
          </cell>
          <cell r="Y530" t="str">
            <v>KEW</v>
          </cell>
          <cell r="Z530" t="str">
            <v>16/08/2013</v>
          </cell>
          <cell r="AA530" t="str">
            <v>15/08/2015</v>
          </cell>
          <cell r="AB530" t="str">
            <v>No</v>
          </cell>
          <cell r="AC530" t="str">
            <v>31/08/2013</v>
          </cell>
          <cell r="AD530" t="str">
            <v>Good</v>
          </cell>
          <cell r="AE530" t="str">
            <v>V1 - Existing / No Claim</v>
          </cell>
          <cell r="AF530">
            <v>42797</v>
          </cell>
          <cell r="AG530">
            <v>9.17</v>
          </cell>
          <cell r="AH530" t="str">
            <v>PPM</v>
          </cell>
          <cell r="AI530" t="str">
            <v>Strands</v>
          </cell>
          <cell r="AJ530" t="str">
            <v>Strands PW</v>
          </cell>
        </row>
        <row r="531">
          <cell r="A531" t="str">
            <v>IKN400049</v>
          </cell>
          <cell r="B531">
            <v>49</v>
          </cell>
          <cell r="C531" t="str">
            <v>Institut Kanser Negara</v>
          </cell>
          <cell r="D531" t="str">
            <v>KKM/IKN/H/13/1046</v>
          </cell>
          <cell r="E531" t="str">
            <v>12-647</v>
          </cell>
          <cell r="F531" t="str">
            <v>Physiologic Monitoring Systems, Acute Care</v>
          </cell>
          <cell r="G531" t="str">
            <v>IC</v>
          </cell>
          <cell r="H531" t="str">
            <v>INTENSIVE CARE UNIT</v>
          </cell>
          <cell r="I531" t="str">
            <v>05IC131</v>
          </cell>
          <cell r="J531" t="str">
            <v>ISOL 3 (+VE)</v>
          </cell>
          <cell r="K531" t="str">
            <v>BMED</v>
          </cell>
          <cell r="L531" t="str">
            <v>Critical</v>
          </cell>
          <cell r="M531" t="str">
            <v>Finland</v>
          </cell>
          <cell r="N531" t="str">
            <v>Carespace</v>
          </cell>
          <cell r="O531" t="str">
            <v>Carespace B850</v>
          </cell>
          <cell r="P531" t="str">
            <v>SED12370682GA</v>
          </cell>
          <cell r="Q531" t="str">
            <v>Not Applicable</v>
          </cell>
          <cell r="R531" t="str">
            <v>GE Healthcare Systems</v>
          </cell>
          <cell r="S531" t="str">
            <v>GE Healthcare Technologies</v>
          </cell>
          <cell r="T531" t="str">
            <v>Functioning</v>
          </cell>
          <cell r="U531" t="str">
            <v>Asset</v>
          </cell>
          <cell r="V531">
            <v>119690</v>
          </cell>
          <cell r="W531" t="str">
            <v>KEW</v>
          </cell>
          <cell r="X531" t="str">
            <v>01/09/2010</v>
          </cell>
          <cell r="Y531" t="str">
            <v>KEW</v>
          </cell>
          <cell r="Z531" t="str">
            <v>16/08/2013</v>
          </cell>
          <cell r="AA531" t="str">
            <v>15/08/2015</v>
          </cell>
          <cell r="AB531" t="str">
            <v>No</v>
          </cell>
          <cell r="AC531" t="str">
            <v>31/08/2013</v>
          </cell>
          <cell r="AD531" t="str">
            <v>Good</v>
          </cell>
          <cell r="AE531" t="str">
            <v>V1 - Existing / No Claim</v>
          </cell>
          <cell r="AF531">
            <v>42797</v>
          </cell>
          <cell r="AG531">
            <v>9.17</v>
          </cell>
          <cell r="AH531" t="str">
            <v>PPM</v>
          </cell>
          <cell r="AI531" t="str">
            <v>Strands</v>
          </cell>
          <cell r="AJ531" t="str">
            <v>Strands PW</v>
          </cell>
        </row>
        <row r="532">
          <cell r="A532" t="str">
            <v>IKN400050</v>
          </cell>
          <cell r="B532">
            <v>50</v>
          </cell>
          <cell r="C532" t="str">
            <v>Institut Kanser Negara</v>
          </cell>
          <cell r="D532" t="str">
            <v>KKM/IKN/H/13/1059</v>
          </cell>
          <cell r="E532" t="str">
            <v>12-647</v>
          </cell>
          <cell r="F532" t="str">
            <v>Physiologic Monitoring Systems, Acute Care</v>
          </cell>
          <cell r="G532" t="str">
            <v>IC</v>
          </cell>
          <cell r="H532" t="str">
            <v>INTENSIVE CARE UNIT</v>
          </cell>
          <cell r="I532" t="str">
            <v>05IC106</v>
          </cell>
          <cell r="J532" t="str">
            <v>EQ. ROOM</v>
          </cell>
          <cell r="K532" t="str">
            <v>BMED</v>
          </cell>
          <cell r="L532" t="str">
            <v>Critical</v>
          </cell>
          <cell r="M532" t="str">
            <v>USA</v>
          </cell>
          <cell r="N532" t="str">
            <v>Tram</v>
          </cell>
          <cell r="O532" t="str">
            <v>Transport Pro</v>
          </cell>
          <cell r="P532" t="str">
            <v>SCS12367507GA</v>
          </cell>
          <cell r="Q532" t="str">
            <v>Not Applicable</v>
          </cell>
          <cell r="R532" t="str">
            <v>GE Medical Systems</v>
          </cell>
          <cell r="S532" t="str">
            <v>GE Healthcare Technologies</v>
          </cell>
          <cell r="T532" t="str">
            <v>Functioning</v>
          </cell>
          <cell r="U532" t="str">
            <v>Asset</v>
          </cell>
          <cell r="V532">
            <v>54100</v>
          </cell>
          <cell r="W532" t="str">
            <v>KEW</v>
          </cell>
          <cell r="X532" t="str">
            <v>01/09/2010</v>
          </cell>
          <cell r="Y532" t="str">
            <v>KEW</v>
          </cell>
          <cell r="Z532" t="str">
            <v>16/08/2013</v>
          </cell>
          <cell r="AA532" t="str">
            <v>15/08/2015</v>
          </cell>
          <cell r="AB532" t="str">
            <v>No</v>
          </cell>
          <cell r="AC532" t="str">
            <v>31/08/2013</v>
          </cell>
          <cell r="AD532" t="str">
            <v>Good</v>
          </cell>
          <cell r="AE532" t="str">
            <v>V1 - Existing / No Claim</v>
          </cell>
          <cell r="AF532">
            <v>42796</v>
          </cell>
          <cell r="AG532">
            <v>9.17</v>
          </cell>
          <cell r="AH532" t="str">
            <v>PPM</v>
          </cell>
          <cell r="AI532" t="str">
            <v>Strands</v>
          </cell>
          <cell r="AJ532" t="str">
            <v>Strands PW</v>
          </cell>
        </row>
        <row r="533">
          <cell r="A533" t="str">
            <v>IKN400051</v>
          </cell>
          <cell r="B533">
            <v>51</v>
          </cell>
          <cell r="C533" t="str">
            <v>Institut Kanser Negara</v>
          </cell>
          <cell r="D533" t="str">
            <v>KKM/IKN/H/13/1058</v>
          </cell>
          <cell r="E533" t="str">
            <v>12-647</v>
          </cell>
          <cell r="F533" t="str">
            <v>Physiologic Monitoring Systems, Acute Care</v>
          </cell>
          <cell r="G533" t="str">
            <v>IC</v>
          </cell>
          <cell r="H533" t="str">
            <v>INTENSIVE CARE UNIT</v>
          </cell>
          <cell r="I533" t="str">
            <v>05IC106</v>
          </cell>
          <cell r="J533" t="str">
            <v>EQ. ROOM</v>
          </cell>
          <cell r="K533" t="str">
            <v>BMED</v>
          </cell>
          <cell r="L533" t="str">
            <v>Critical</v>
          </cell>
          <cell r="M533" t="str">
            <v>USA</v>
          </cell>
          <cell r="N533" t="str">
            <v>Tram</v>
          </cell>
          <cell r="O533" t="str">
            <v>Transport Pro</v>
          </cell>
          <cell r="P533" t="str">
            <v>SCS12367504GA</v>
          </cell>
          <cell r="Q533" t="str">
            <v>Not Applicable</v>
          </cell>
          <cell r="R533" t="str">
            <v>GE Medical Systems</v>
          </cell>
          <cell r="S533" t="str">
            <v>GE Healthcare Technologies</v>
          </cell>
          <cell r="T533" t="str">
            <v>Functioning</v>
          </cell>
          <cell r="U533" t="str">
            <v>Asset</v>
          </cell>
          <cell r="V533">
            <v>54100</v>
          </cell>
          <cell r="W533" t="str">
            <v>KEW</v>
          </cell>
          <cell r="X533" t="str">
            <v>01/09/2010</v>
          </cell>
          <cell r="Y533" t="str">
            <v>KEW</v>
          </cell>
          <cell r="Z533" t="str">
            <v>16/08/2013</v>
          </cell>
          <cell r="AA533" t="str">
            <v>15/08/2015</v>
          </cell>
          <cell r="AB533" t="str">
            <v>No</v>
          </cell>
          <cell r="AC533" t="str">
            <v>31/08/2013</v>
          </cell>
          <cell r="AD533" t="str">
            <v>Good</v>
          </cell>
          <cell r="AE533" t="str">
            <v>V1 - Existing / No Claim</v>
          </cell>
          <cell r="AF533">
            <v>42796</v>
          </cell>
          <cell r="AG533">
            <v>9.17</v>
          </cell>
          <cell r="AH533" t="str">
            <v>PPM</v>
          </cell>
          <cell r="AI533" t="str">
            <v>Strands</v>
          </cell>
          <cell r="AJ533" t="str">
            <v>Strands PW</v>
          </cell>
        </row>
        <row r="534">
          <cell r="A534" t="str">
            <v>IKN400052</v>
          </cell>
          <cell r="B534">
            <v>52</v>
          </cell>
          <cell r="C534" t="str">
            <v>Institut Kanser Negara</v>
          </cell>
          <cell r="D534" t="str">
            <v>KKM/IKN/H/13/937</v>
          </cell>
          <cell r="E534" t="str">
            <v>15-045</v>
          </cell>
          <cell r="F534" t="str">
            <v>Nebulizers, Nonheated</v>
          </cell>
          <cell r="G534" t="str">
            <v>IC</v>
          </cell>
          <cell r="H534" t="str">
            <v>INTENSIVE CARE UNIT</v>
          </cell>
          <cell r="I534" t="str">
            <v>05IC106</v>
          </cell>
          <cell r="J534" t="str">
            <v>EQ. ROOM</v>
          </cell>
          <cell r="K534" t="str">
            <v>BMED</v>
          </cell>
          <cell r="L534" t="str">
            <v>Normal</v>
          </cell>
          <cell r="M534" t="str">
            <v>Germany</v>
          </cell>
          <cell r="N534" t="str">
            <v>Pari Boy</v>
          </cell>
          <cell r="O534" t="str">
            <v>Pari Boy SX 085</v>
          </cell>
          <cell r="P534" t="str">
            <v>2W12J05922</v>
          </cell>
          <cell r="Q534" t="str">
            <v>Not Applicable</v>
          </cell>
          <cell r="R534" t="str">
            <v>Pari GmbH</v>
          </cell>
          <cell r="S534" t="str">
            <v>Welch Allyn Malaysia Sdn Bhd</v>
          </cell>
          <cell r="T534" t="str">
            <v>Functioning</v>
          </cell>
          <cell r="U534" t="str">
            <v>Asset</v>
          </cell>
          <cell r="V534">
            <v>1140</v>
          </cell>
          <cell r="W534" t="str">
            <v>KEW</v>
          </cell>
          <cell r="X534" t="str">
            <v>01/09/2010</v>
          </cell>
          <cell r="Y534" t="str">
            <v>KEW</v>
          </cell>
          <cell r="Z534" t="str">
            <v>16/08/2013</v>
          </cell>
          <cell r="AA534" t="str">
            <v>15/08/2015</v>
          </cell>
          <cell r="AB534" t="str">
            <v>No</v>
          </cell>
          <cell r="AC534" t="str">
            <v>31/08/2013</v>
          </cell>
          <cell r="AD534" t="str">
            <v>Good</v>
          </cell>
          <cell r="AE534" t="str">
            <v>V1 - Existing / No Claim</v>
          </cell>
          <cell r="AF534">
            <v>42235</v>
          </cell>
          <cell r="AG534">
            <v>9.17</v>
          </cell>
          <cell r="AH534" t="str">
            <v>PPM</v>
          </cell>
          <cell r="AI534" t="str">
            <v>Strands</v>
          </cell>
          <cell r="AJ534" t="str">
            <v>Strands PW</v>
          </cell>
        </row>
        <row r="535">
          <cell r="A535" t="str">
            <v>IKN400053</v>
          </cell>
          <cell r="B535">
            <v>53</v>
          </cell>
          <cell r="C535" t="str">
            <v>Institut Kanser Negara</v>
          </cell>
          <cell r="D535" t="str">
            <v>KKM/IKN/H/13/938</v>
          </cell>
          <cell r="E535" t="str">
            <v>15-045</v>
          </cell>
          <cell r="F535" t="str">
            <v>Nebulizers, Nonheated</v>
          </cell>
          <cell r="G535" t="str">
            <v>IC</v>
          </cell>
          <cell r="H535" t="str">
            <v>INTENSIVE CARE UNIT</v>
          </cell>
          <cell r="I535" t="str">
            <v>05IC106</v>
          </cell>
          <cell r="J535" t="str">
            <v>EQ. ROOM</v>
          </cell>
          <cell r="K535" t="str">
            <v>BMED</v>
          </cell>
          <cell r="L535" t="str">
            <v>Normal</v>
          </cell>
          <cell r="M535" t="str">
            <v>Germany</v>
          </cell>
          <cell r="N535" t="str">
            <v>Pari Boy</v>
          </cell>
          <cell r="O535" t="str">
            <v>Pari Boy SX 085</v>
          </cell>
          <cell r="P535" t="str">
            <v>2W12F13733</v>
          </cell>
          <cell r="Q535" t="str">
            <v>Not Applicable</v>
          </cell>
          <cell r="R535" t="str">
            <v>Pari GmbH</v>
          </cell>
          <cell r="S535" t="str">
            <v>Welch Allyn Malaysia Sdn Bhd</v>
          </cell>
          <cell r="T535" t="str">
            <v>Functioning</v>
          </cell>
          <cell r="U535" t="str">
            <v>Asset</v>
          </cell>
          <cell r="V535">
            <v>1140</v>
          </cell>
          <cell r="W535" t="str">
            <v>KEW</v>
          </cell>
          <cell r="X535" t="str">
            <v>01/09/2010</v>
          </cell>
          <cell r="Y535" t="str">
            <v>KEW</v>
          </cell>
          <cell r="Z535" t="str">
            <v>16/08/2013</v>
          </cell>
          <cell r="AA535" t="str">
            <v>15/08/2015</v>
          </cell>
          <cell r="AB535" t="str">
            <v>No</v>
          </cell>
          <cell r="AC535" t="str">
            <v>31/08/2013</v>
          </cell>
          <cell r="AD535" t="str">
            <v>Good</v>
          </cell>
          <cell r="AE535" t="str">
            <v>V1 - Existing / No Claim</v>
          </cell>
          <cell r="AF535">
            <v>42235</v>
          </cell>
          <cell r="AG535">
            <v>9.17</v>
          </cell>
          <cell r="AH535" t="str">
            <v>PPM</v>
          </cell>
          <cell r="AI535" t="str">
            <v>Strands</v>
          </cell>
          <cell r="AJ535" t="str">
            <v>Strands PW</v>
          </cell>
        </row>
        <row r="536">
          <cell r="A536" t="str">
            <v>IKN400054</v>
          </cell>
          <cell r="B536">
            <v>54</v>
          </cell>
          <cell r="C536" t="str">
            <v>Institut Kanser Negara</v>
          </cell>
          <cell r="D536" t="str">
            <v>KKM/IKN/H/13/939</v>
          </cell>
          <cell r="E536" t="str">
            <v>16-924</v>
          </cell>
          <cell r="F536" t="str">
            <v>Infusion Pumps, Patient-Controlled Analgesic</v>
          </cell>
          <cell r="G536" t="str">
            <v>IC</v>
          </cell>
          <cell r="H536" t="str">
            <v>INTENSIVE CARE UNIT</v>
          </cell>
          <cell r="I536" t="str">
            <v>05IC108</v>
          </cell>
          <cell r="J536" t="str">
            <v>PCA</v>
          </cell>
          <cell r="K536" t="str">
            <v>BMED</v>
          </cell>
          <cell r="L536" t="str">
            <v>Normal</v>
          </cell>
          <cell r="M536" t="str">
            <v>Germany</v>
          </cell>
          <cell r="N536" t="str">
            <v>Perfusor</v>
          </cell>
          <cell r="O536" t="str">
            <v>Perfusor Space PCA</v>
          </cell>
          <cell r="P536" t="str">
            <v>186598</v>
          </cell>
          <cell r="Q536" t="str">
            <v>Not Applicable</v>
          </cell>
          <cell r="R536" t="str">
            <v>B Braun Melsungen AG</v>
          </cell>
          <cell r="S536" t="str">
            <v>B Braun Medical Supplies Sdn. Bhd.</v>
          </cell>
          <cell r="T536" t="str">
            <v>Functioning</v>
          </cell>
          <cell r="U536" t="str">
            <v>Asset</v>
          </cell>
          <cell r="V536">
            <v>16840</v>
          </cell>
          <cell r="W536" t="str">
            <v>KEW</v>
          </cell>
          <cell r="X536" t="str">
            <v>01/09/2010</v>
          </cell>
          <cell r="Y536" t="str">
            <v>KEW</v>
          </cell>
          <cell r="Z536" t="str">
            <v>16/08/2013</v>
          </cell>
          <cell r="AA536" t="str">
            <v>15/08/2015</v>
          </cell>
          <cell r="AB536" t="str">
            <v>No</v>
          </cell>
          <cell r="AC536" t="str">
            <v>31/08/2013</v>
          </cell>
          <cell r="AD536" t="str">
            <v>Good</v>
          </cell>
          <cell r="AE536" t="str">
            <v>V1 - Existing / No Claim</v>
          </cell>
          <cell r="AF536">
            <v>42235</v>
          </cell>
          <cell r="AG536">
            <v>9.17</v>
          </cell>
          <cell r="AH536" t="str">
            <v>PPM</v>
          </cell>
          <cell r="AI536" t="str">
            <v>Strands</v>
          </cell>
          <cell r="AJ536" t="str">
            <v>Strands PW</v>
          </cell>
        </row>
        <row r="537">
          <cell r="A537" t="str">
            <v>IKN400055</v>
          </cell>
          <cell r="B537">
            <v>55</v>
          </cell>
          <cell r="C537" t="str">
            <v>Institut Kanser Negara</v>
          </cell>
          <cell r="D537" t="str">
            <v>KKM/IKN/H/13/953</v>
          </cell>
          <cell r="E537" t="str">
            <v>16-924</v>
          </cell>
          <cell r="F537" t="str">
            <v>Infusion Pumps, Patient-Controlled Analgesic</v>
          </cell>
          <cell r="G537" t="str">
            <v>IC</v>
          </cell>
          <cell r="H537" t="str">
            <v>INTENSIVE CARE UNIT</v>
          </cell>
          <cell r="I537" t="str">
            <v>05IC108</v>
          </cell>
          <cell r="J537" t="str">
            <v>PCA</v>
          </cell>
          <cell r="K537" t="str">
            <v>BMED</v>
          </cell>
          <cell r="L537" t="str">
            <v>Normal</v>
          </cell>
          <cell r="M537" t="str">
            <v>Germany</v>
          </cell>
          <cell r="N537" t="str">
            <v>Perfusor</v>
          </cell>
          <cell r="O537" t="str">
            <v>Perfusor Space PCA</v>
          </cell>
          <cell r="P537" t="str">
            <v>186576</v>
          </cell>
          <cell r="Q537" t="str">
            <v>Not Applicable</v>
          </cell>
          <cell r="R537" t="str">
            <v>B Braun Melsungen AG</v>
          </cell>
          <cell r="S537" t="str">
            <v>B Braun Medical Supplies Sdn. Bhd.</v>
          </cell>
          <cell r="T537" t="str">
            <v>Functioning</v>
          </cell>
          <cell r="U537" t="str">
            <v>Asset</v>
          </cell>
          <cell r="V537">
            <v>16840</v>
          </cell>
          <cell r="W537" t="str">
            <v>KEW</v>
          </cell>
          <cell r="X537" t="str">
            <v>01/09/2010</v>
          </cell>
          <cell r="Y537" t="str">
            <v>KEW</v>
          </cell>
          <cell r="Z537" t="str">
            <v>16/08/2013</v>
          </cell>
          <cell r="AA537" t="str">
            <v>15/08/2015</v>
          </cell>
          <cell r="AB537" t="str">
            <v>No</v>
          </cell>
          <cell r="AC537" t="str">
            <v>31/08/2013</v>
          </cell>
          <cell r="AD537" t="str">
            <v>Good</v>
          </cell>
          <cell r="AE537" t="str">
            <v>V1 - Existing / No Claim</v>
          </cell>
          <cell r="AF537">
            <v>42235</v>
          </cell>
          <cell r="AG537">
            <v>9.17</v>
          </cell>
          <cell r="AH537" t="str">
            <v>PPM</v>
          </cell>
          <cell r="AI537" t="str">
            <v>Strands</v>
          </cell>
          <cell r="AJ537" t="str">
            <v>Strands PW</v>
          </cell>
        </row>
        <row r="538">
          <cell r="A538" t="str">
            <v>IKN400056</v>
          </cell>
          <cell r="B538">
            <v>56</v>
          </cell>
          <cell r="C538" t="str">
            <v>Institut Kanser Negara</v>
          </cell>
          <cell r="D538" t="str">
            <v>KKM/IKN/H/13/940</v>
          </cell>
          <cell r="E538" t="str">
            <v>16-924</v>
          </cell>
          <cell r="F538" t="str">
            <v>Infusion Pumps, Patient-Controlled Analgesic</v>
          </cell>
          <cell r="G538" t="str">
            <v>IC</v>
          </cell>
          <cell r="H538" t="str">
            <v>INTENSIVE CARE UNIT</v>
          </cell>
          <cell r="I538" t="str">
            <v>05IC108</v>
          </cell>
          <cell r="J538" t="str">
            <v>PCA</v>
          </cell>
          <cell r="K538" t="str">
            <v>BMED</v>
          </cell>
          <cell r="L538" t="str">
            <v>Critical</v>
          </cell>
          <cell r="M538" t="str">
            <v>Germany</v>
          </cell>
          <cell r="N538" t="str">
            <v>Perfusor</v>
          </cell>
          <cell r="O538" t="str">
            <v>Perfusor Space PCA</v>
          </cell>
          <cell r="P538" t="str">
            <v>187067</v>
          </cell>
          <cell r="Q538" t="str">
            <v>Not Applicable</v>
          </cell>
          <cell r="R538" t="str">
            <v>B Braun Melsungen AG</v>
          </cell>
          <cell r="S538" t="str">
            <v>B Braun Medical Supplies Sdn. Bhd.</v>
          </cell>
          <cell r="T538" t="str">
            <v>Functioning</v>
          </cell>
          <cell r="U538" t="str">
            <v>Asset</v>
          </cell>
          <cell r="V538">
            <v>16840</v>
          </cell>
          <cell r="W538" t="str">
            <v>KEW</v>
          </cell>
          <cell r="X538" t="str">
            <v>01/09/2010</v>
          </cell>
          <cell r="Y538" t="str">
            <v>KEW</v>
          </cell>
          <cell r="Z538" t="str">
            <v>16/08/2013</v>
          </cell>
          <cell r="AA538" t="str">
            <v>15/08/2015</v>
          </cell>
          <cell r="AB538" t="str">
            <v>No</v>
          </cell>
          <cell r="AC538" t="str">
            <v>31/08/2013</v>
          </cell>
          <cell r="AD538" t="str">
            <v>Good</v>
          </cell>
          <cell r="AE538" t="str">
            <v>V1 - Existing / No Claim</v>
          </cell>
          <cell r="AF538">
            <v>42796</v>
          </cell>
          <cell r="AG538">
            <v>9.17</v>
          </cell>
          <cell r="AH538" t="str">
            <v>PPM</v>
          </cell>
          <cell r="AI538" t="str">
            <v>Strands</v>
          </cell>
          <cell r="AJ538" t="str">
            <v>Strands PW</v>
          </cell>
        </row>
        <row r="539">
          <cell r="A539" t="str">
            <v>IKN400057</v>
          </cell>
          <cell r="B539">
            <v>57</v>
          </cell>
          <cell r="C539" t="str">
            <v>Institut Kanser Negara</v>
          </cell>
          <cell r="D539" t="str">
            <v>KKM/IKN/H/13/941</v>
          </cell>
          <cell r="E539" t="str">
            <v>16-924</v>
          </cell>
          <cell r="F539" t="str">
            <v>Infusion Pumps, Patient-Controlled Analgesic</v>
          </cell>
          <cell r="G539" t="str">
            <v>IC</v>
          </cell>
          <cell r="H539" t="str">
            <v>INTENSIVE CARE UNIT</v>
          </cell>
          <cell r="I539" t="str">
            <v>05IC108</v>
          </cell>
          <cell r="J539" t="str">
            <v>PCA</v>
          </cell>
          <cell r="K539" t="str">
            <v>BMED</v>
          </cell>
          <cell r="L539" t="str">
            <v>Critical</v>
          </cell>
          <cell r="M539" t="str">
            <v>Germany</v>
          </cell>
          <cell r="N539" t="str">
            <v>Perfusor</v>
          </cell>
          <cell r="O539" t="str">
            <v>Perfusor Space PCA</v>
          </cell>
          <cell r="P539" t="str">
            <v>187819</v>
          </cell>
          <cell r="Q539" t="str">
            <v>Not Applicable</v>
          </cell>
          <cell r="R539" t="str">
            <v>B Braun Melsungen AG</v>
          </cell>
          <cell r="S539" t="str">
            <v>B Braun Medical Supplies Sdn. Bhd.</v>
          </cell>
          <cell r="T539" t="str">
            <v>Functioning</v>
          </cell>
          <cell r="U539" t="str">
            <v>Asset</v>
          </cell>
          <cell r="V539">
            <v>16840</v>
          </cell>
          <cell r="W539" t="str">
            <v>KEW</v>
          </cell>
          <cell r="X539" t="str">
            <v>01/09/2010</v>
          </cell>
          <cell r="Y539" t="str">
            <v>KEW</v>
          </cell>
          <cell r="Z539" t="str">
            <v>16/08/2013</v>
          </cell>
          <cell r="AA539" t="str">
            <v>15/08/2015</v>
          </cell>
          <cell r="AB539" t="str">
            <v>No</v>
          </cell>
          <cell r="AC539" t="str">
            <v>31/08/2013</v>
          </cell>
          <cell r="AD539" t="str">
            <v>Good</v>
          </cell>
          <cell r="AE539" t="str">
            <v>V1 - Existing / No Claim</v>
          </cell>
          <cell r="AF539">
            <v>42796</v>
          </cell>
          <cell r="AG539">
            <v>9.17</v>
          </cell>
          <cell r="AH539" t="str">
            <v>PPM</v>
          </cell>
          <cell r="AI539" t="str">
            <v>Strands</v>
          </cell>
          <cell r="AJ539" t="str">
            <v>Strands PW</v>
          </cell>
        </row>
        <row r="540">
          <cell r="A540" t="str">
            <v>IKN400058</v>
          </cell>
          <cell r="B540">
            <v>58</v>
          </cell>
          <cell r="C540" t="str">
            <v>Institut Kanser Negara</v>
          </cell>
          <cell r="D540" t="str">
            <v>KKM/IKN/H/13/942</v>
          </cell>
          <cell r="E540" t="str">
            <v>16-924</v>
          </cell>
          <cell r="F540" t="str">
            <v>Infusion Pumps, Patient-Controlled Analgesic</v>
          </cell>
          <cell r="G540" t="str">
            <v>IC</v>
          </cell>
          <cell r="H540" t="str">
            <v>INTENSIVE CARE UNIT</v>
          </cell>
          <cell r="I540" t="str">
            <v>05IC108</v>
          </cell>
          <cell r="J540" t="str">
            <v>PCA</v>
          </cell>
          <cell r="K540" t="str">
            <v>BMED</v>
          </cell>
          <cell r="L540" t="str">
            <v>Critical</v>
          </cell>
          <cell r="M540" t="str">
            <v>Germany</v>
          </cell>
          <cell r="N540" t="str">
            <v>Perfusor</v>
          </cell>
          <cell r="O540" t="str">
            <v>Perfusor Space PCA</v>
          </cell>
          <cell r="P540" t="str">
            <v>187833</v>
          </cell>
          <cell r="Q540" t="str">
            <v>Not Applicable</v>
          </cell>
          <cell r="R540" t="str">
            <v>B Braun Melsungen AG</v>
          </cell>
          <cell r="S540" t="str">
            <v>B Braun Medical Supplies Sdn. Bhd.</v>
          </cell>
          <cell r="T540" t="str">
            <v>Functioning</v>
          </cell>
          <cell r="U540" t="str">
            <v>Asset</v>
          </cell>
          <cell r="V540">
            <v>16840</v>
          </cell>
          <cell r="W540" t="str">
            <v>KEW</v>
          </cell>
          <cell r="X540" t="str">
            <v>01/09/2010</v>
          </cell>
          <cell r="Y540" t="str">
            <v>KEW</v>
          </cell>
          <cell r="Z540" t="str">
            <v>16/08/2013</v>
          </cell>
          <cell r="AA540" t="str">
            <v>15/08/2015</v>
          </cell>
          <cell r="AB540" t="str">
            <v>No</v>
          </cell>
          <cell r="AC540" t="str">
            <v>31/08/2013</v>
          </cell>
          <cell r="AD540" t="str">
            <v>Good</v>
          </cell>
          <cell r="AE540" t="str">
            <v>V1 - Existing / No Claim</v>
          </cell>
          <cell r="AF540">
            <v>42796</v>
          </cell>
          <cell r="AG540">
            <v>9.17</v>
          </cell>
          <cell r="AH540" t="str">
            <v>PPM</v>
          </cell>
          <cell r="AI540" t="str">
            <v>Strands</v>
          </cell>
          <cell r="AJ540" t="str">
            <v>Strands PW</v>
          </cell>
        </row>
        <row r="541">
          <cell r="A541" t="str">
            <v>IKN400059</v>
          </cell>
          <cell r="B541">
            <v>59</v>
          </cell>
          <cell r="C541" t="str">
            <v>Institut Kanser Negara</v>
          </cell>
          <cell r="D541" t="str">
            <v>KKM/IKN/H/13/943</v>
          </cell>
          <cell r="E541" t="str">
            <v>16-924</v>
          </cell>
          <cell r="F541" t="str">
            <v>Infusion Pumps, Patient-Controlled Analgesic</v>
          </cell>
          <cell r="G541" t="str">
            <v>IC</v>
          </cell>
          <cell r="H541" t="str">
            <v>INTENSIVE CARE UNIT</v>
          </cell>
          <cell r="I541" t="str">
            <v>05IC108</v>
          </cell>
          <cell r="J541" t="str">
            <v>PCA</v>
          </cell>
          <cell r="K541" t="str">
            <v>BMED</v>
          </cell>
          <cell r="L541" t="str">
            <v>Critical</v>
          </cell>
          <cell r="M541" t="str">
            <v>Germany</v>
          </cell>
          <cell r="N541" t="str">
            <v>Perfusor</v>
          </cell>
          <cell r="O541" t="str">
            <v>Perfusor Space PCA</v>
          </cell>
          <cell r="P541" t="str">
            <v>187810</v>
          </cell>
          <cell r="Q541" t="str">
            <v>Not Applicable</v>
          </cell>
          <cell r="R541" t="str">
            <v>B Braun Melsungen AG</v>
          </cell>
          <cell r="S541" t="str">
            <v>B Braun Medical Supplies Sdn. Bhd.</v>
          </cell>
          <cell r="T541" t="str">
            <v>Functioning</v>
          </cell>
          <cell r="U541" t="str">
            <v>Asset</v>
          </cell>
          <cell r="V541">
            <v>16840</v>
          </cell>
          <cell r="W541" t="str">
            <v>KEW</v>
          </cell>
          <cell r="X541" t="str">
            <v>01/09/2010</v>
          </cell>
          <cell r="Y541" t="str">
            <v>KEW</v>
          </cell>
          <cell r="Z541" t="str">
            <v>16/08/2013</v>
          </cell>
          <cell r="AA541" t="str">
            <v>15/08/2015</v>
          </cell>
          <cell r="AB541" t="str">
            <v>No</v>
          </cell>
          <cell r="AC541" t="str">
            <v>31/08/2013</v>
          </cell>
          <cell r="AD541" t="str">
            <v>Good</v>
          </cell>
          <cell r="AE541" t="str">
            <v>V1 - Existing / No Claim</v>
          </cell>
          <cell r="AF541">
            <v>42796</v>
          </cell>
          <cell r="AG541">
            <v>9.17</v>
          </cell>
          <cell r="AH541" t="str">
            <v>PPM</v>
          </cell>
          <cell r="AI541" t="str">
            <v>Strands</v>
          </cell>
          <cell r="AJ541" t="str">
            <v>Strands PW</v>
          </cell>
        </row>
        <row r="542">
          <cell r="A542" t="str">
            <v>IKN400060</v>
          </cell>
          <cell r="B542">
            <v>60</v>
          </cell>
          <cell r="C542" t="str">
            <v>Institut Kanser Negara</v>
          </cell>
          <cell r="D542" t="str">
            <v>KKM/IKN/H/13/944</v>
          </cell>
          <cell r="E542" t="str">
            <v>16-924</v>
          </cell>
          <cell r="F542" t="str">
            <v>Infusion Pumps, Patient-Controlled Analgesic</v>
          </cell>
          <cell r="G542" t="str">
            <v>IC</v>
          </cell>
          <cell r="H542" t="str">
            <v>INTENSIVE CARE UNIT</v>
          </cell>
          <cell r="I542" t="str">
            <v>05IC108</v>
          </cell>
          <cell r="J542" t="str">
            <v>PCA</v>
          </cell>
          <cell r="K542" t="str">
            <v>BMED</v>
          </cell>
          <cell r="L542" t="str">
            <v>Critical</v>
          </cell>
          <cell r="M542" t="str">
            <v>Germany</v>
          </cell>
          <cell r="N542" t="str">
            <v>Perfusor</v>
          </cell>
          <cell r="O542" t="str">
            <v>Perfusor Space PCA</v>
          </cell>
          <cell r="P542" t="str">
            <v>187805</v>
          </cell>
          <cell r="Q542" t="str">
            <v>Not Applicable</v>
          </cell>
          <cell r="R542" t="str">
            <v>B Braun Melsungen AG</v>
          </cell>
          <cell r="S542" t="str">
            <v>B Braun Medical Supplies Sdn. Bhd.</v>
          </cell>
          <cell r="T542" t="str">
            <v>Functioning</v>
          </cell>
          <cell r="U542" t="str">
            <v>Asset</v>
          </cell>
          <cell r="V542">
            <v>16840</v>
          </cell>
          <cell r="W542" t="str">
            <v>KEW</v>
          </cell>
          <cell r="X542" t="str">
            <v>01/09/2010</v>
          </cell>
          <cell r="Y542" t="str">
            <v>KEW</v>
          </cell>
          <cell r="Z542" t="str">
            <v>16/08/2013</v>
          </cell>
          <cell r="AA542" t="str">
            <v>15/08/2015</v>
          </cell>
          <cell r="AB542" t="str">
            <v>No</v>
          </cell>
          <cell r="AC542" t="str">
            <v>31/08/2013</v>
          </cell>
          <cell r="AD542" t="str">
            <v>Good</v>
          </cell>
          <cell r="AE542" t="str">
            <v>V1 - Existing / No Claim</v>
          </cell>
          <cell r="AF542">
            <v>42796</v>
          </cell>
          <cell r="AG542">
            <v>9.17</v>
          </cell>
          <cell r="AH542" t="str">
            <v>PPM</v>
          </cell>
          <cell r="AI542" t="str">
            <v>Strands</v>
          </cell>
          <cell r="AJ542" t="str">
            <v>Strands PW</v>
          </cell>
        </row>
        <row r="543">
          <cell r="A543" t="str">
            <v>IKN400061</v>
          </cell>
          <cell r="B543">
            <v>61</v>
          </cell>
          <cell r="C543" t="str">
            <v>Institut Kanser Negara</v>
          </cell>
          <cell r="D543" t="str">
            <v>KKM/IKN/H/13/946</v>
          </cell>
          <cell r="E543" t="str">
            <v>16-924</v>
          </cell>
          <cell r="F543" t="str">
            <v>Infusion Pumps, Patient-Controlled Analgesic</v>
          </cell>
          <cell r="G543" t="str">
            <v>IC</v>
          </cell>
          <cell r="H543" t="str">
            <v>INTENSIVE CARE UNIT</v>
          </cell>
          <cell r="I543" t="str">
            <v>05IC108</v>
          </cell>
          <cell r="J543" t="str">
            <v>PCA</v>
          </cell>
          <cell r="K543" t="str">
            <v>BMED</v>
          </cell>
          <cell r="L543" t="str">
            <v>Normal</v>
          </cell>
          <cell r="M543" t="str">
            <v>Germany</v>
          </cell>
          <cell r="N543" t="str">
            <v>Perfusor</v>
          </cell>
          <cell r="O543" t="str">
            <v>Perfusor Space PCA</v>
          </cell>
          <cell r="P543" t="str">
            <v>185353</v>
          </cell>
          <cell r="Q543" t="str">
            <v>Not Applicable</v>
          </cell>
          <cell r="R543" t="str">
            <v>B Braun Melsungen AG</v>
          </cell>
          <cell r="S543" t="str">
            <v>B Braun Medical Supplies Sdn. Bhd.</v>
          </cell>
          <cell r="T543" t="str">
            <v>Functioning</v>
          </cell>
          <cell r="U543" t="str">
            <v>Asset</v>
          </cell>
          <cell r="V543">
            <v>16840</v>
          </cell>
          <cell r="W543" t="str">
            <v>KEW</v>
          </cell>
          <cell r="X543" t="str">
            <v>01/09/2010</v>
          </cell>
          <cell r="Y543" t="str">
            <v>KEW</v>
          </cell>
          <cell r="Z543" t="str">
            <v>16/08/2013</v>
          </cell>
          <cell r="AA543" t="str">
            <v>15/08/2015</v>
          </cell>
          <cell r="AB543" t="str">
            <v>No</v>
          </cell>
          <cell r="AC543" t="str">
            <v>31/08/2013</v>
          </cell>
          <cell r="AD543" t="str">
            <v>Good</v>
          </cell>
          <cell r="AE543" t="str">
            <v>V1 - Existing / No Claim</v>
          </cell>
          <cell r="AF543">
            <v>42235</v>
          </cell>
          <cell r="AG543">
            <v>9.17</v>
          </cell>
          <cell r="AH543" t="str">
            <v>PPM</v>
          </cell>
          <cell r="AI543" t="str">
            <v>Strands</v>
          </cell>
          <cell r="AJ543" t="str">
            <v>Strands PW</v>
          </cell>
        </row>
        <row r="544">
          <cell r="A544" t="str">
            <v>IKN400062</v>
          </cell>
          <cell r="B544">
            <v>62</v>
          </cell>
          <cell r="C544" t="str">
            <v>Institut Kanser Negara</v>
          </cell>
          <cell r="D544" t="str">
            <v>KKM/IKN/H/13/945</v>
          </cell>
          <cell r="E544" t="str">
            <v>16-924</v>
          </cell>
          <cell r="F544" t="str">
            <v>Infusion Pumps, Patient-Controlled Analgesic</v>
          </cell>
          <cell r="G544" t="str">
            <v>IC</v>
          </cell>
          <cell r="H544" t="str">
            <v>INTENSIVE CARE UNIT</v>
          </cell>
          <cell r="I544" t="str">
            <v>05IC108</v>
          </cell>
          <cell r="J544" t="str">
            <v>PCA</v>
          </cell>
          <cell r="K544" t="str">
            <v>BMED</v>
          </cell>
          <cell r="L544" t="str">
            <v>Normal</v>
          </cell>
          <cell r="M544" t="str">
            <v>Germany</v>
          </cell>
          <cell r="N544" t="str">
            <v>Perfusor</v>
          </cell>
          <cell r="O544" t="str">
            <v>Perfusor Space PCA</v>
          </cell>
          <cell r="P544" t="str">
            <v>187893</v>
          </cell>
          <cell r="Q544" t="str">
            <v>Not Applicable</v>
          </cell>
          <cell r="R544" t="str">
            <v>B Braun Melsungen AG</v>
          </cell>
          <cell r="S544" t="str">
            <v>B Braun Medical Supplies Sdn. Bhd.</v>
          </cell>
          <cell r="T544" t="str">
            <v>Functioning</v>
          </cell>
          <cell r="U544" t="str">
            <v>Asset</v>
          </cell>
          <cell r="V544">
            <v>16840</v>
          </cell>
          <cell r="W544" t="str">
            <v>KEW</v>
          </cell>
          <cell r="X544" t="str">
            <v>01/09/2010</v>
          </cell>
          <cell r="Y544" t="str">
            <v>KEW</v>
          </cell>
          <cell r="Z544" t="str">
            <v>16/08/2013</v>
          </cell>
          <cell r="AA544" t="str">
            <v>15/08/2015</v>
          </cell>
          <cell r="AB544" t="str">
            <v>No</v>
          </cell>
          <cell r="AC544" t="str">
            <v>31/08/2013</v>
          </cell>
          <cell r="AD544" t="str">
            <v>Good</v>
          </cell>
          <cell r="AE544" t="str">
            <v>V1 - Existing / No Claim</v>
          </cell>
          <cell r="AF544">
            <v>42235</v>
          </cell>
          <cell r="AG544">
            <v>9.17</v>
          </cell>
          <cell r="AH544" t="str">
            <v>PPM</v>
          </cell>
          <cell r="AI544" t="str">
            <v>Strands</v>
          </cell>
          <cell r="AJ544" t="str">
            <v>Strands PW</v>
          </cell>
        </row>
        <row r="545">
          <cell r="A545" t="str">
            <v>IKN400063</v>
          </cell>
          <cell r="B545">
            <v>63</v>
          </cell>
          <cell r="C545" t="str">
            <v>Institut Kanser Negara</v>
          </cell>
          <cell r="D545" t="str">
            <v>KKM/IKN/H/13/947</v>
          </cell>
          <cell r="E545" t="str">
            <v>16-924</v>
          </cell>
          <cell r="F545" t="str">
            <v>Infusion Pumps, Patient-Controlled Analgesic</v>
          </cell>
          <cell r="G545" t="str">
            <v>IC</v>
          </cell>
          <cell r="H545" t="str">
            <v>INTENSIVE CARE UNIT</v>
          </cell>
          <cell r="I545" t="str">
            <v>05IC108</v>
          </cell>
          <cell r="J545" t="str">
            <v>PCA</v>
          </cell>
          <cell r="K545" t="str">
            <v>BMED</v>
          </cell>
          <cell r="L545" t="str">
            <v>Normal</v>
          </cell>
          <cell r="M545" t="str">
            <v>Germany</v>
          </cell>
          <cell r="N545" t="str">
            <v>Perfusor</v>
          </cell>
          <cell r="O545" t="str">
            <v>Perfusor Space PCA</v>
          </cell>
          <cell r="P545" t="str">
            <v>187849</v>
          </cell>
          <cell r="Q545" t="str">
            <v>Not Applicable</v>
          </cell>
          <cell r="R545" t="str">
            <v>B Braun Melsungen AG</v>
          </cell>
          <cell r="S545" t="str">
            <v>B Braun Medical Supplies Sdn. Bhd.</v>
          </cell>
          <cell r="T545" t="str">
            <v>Functioning</v>
          </cell>
          <cell r="U545" t="str">
            <v>Asset</v>
          </cell>
          <cell r="V545">
            <v>16840</v>
          </cell>
          <cell r="W545" t="str">
            <v>KEW</v>
          </cell>
          <cell r="X545" t="str">
            <v>01/09/2010</v>
          </cell>
          <cell r="Y545" t="str">
            <v>KEW</v>
          </cell>
          <cell r="Z545" t="str">
            <v>16/08/2013</v>
          </cell>
          <cell r="AA545" t="str">
            <v>15/08/2015</v>
          </cell>
          <cell r="AB545" t="str">
            <v>No</v>
          </cell>
          <cell r="AC545" t="str">
            <v>31/08/2013</v>
          </cell>
          <cell r="AD545" t="str">
            <v>Good</v>
          </cell>
          <cell r="AE545" t="str">
            <v>V1 - Existing / No Claim</v>
          </cell>
          <cell r="AF545">
            <v>42235</v>
          </cell>
          <cell r="AG545">
            <v>9.17</v>
          </cell>
          <cell r="AH545" t="str">
            <v>PPM</v>
          </cell>
          <cell r="AI545" t="str">
            <v>Strands</v>
          </cell>
          <cell r="AJ545" t="str">
            <v>Strands PW</v>
          </cell>
        </row>
        <row r="546">
          <cell r="A546" t="str">
            <v>IKN400064</v>
          </cell>
          <cell r="B546">
            <v>64</v>
          </cell>
          <cell r="C546" t="str">
            <v>Institut Kanser Negara</v>
          </cell>
          <cell r="D546" t="str">
            <v>KKM/IKN/H/13/948</v>
          </cell>
          <cell r="E546" t="str">
            <v>16-924</v>
          </cell>
          <cell r="F546" t="str">
            <v>Infusion Pumps, Patient-Controlled Analgesic</v>
          </cell>
          <cell r="G546" t="str">
            <v>IC</v>
          </cell>
          <cell r="H546" t="str">
            <v>INTENSIVE CARE UNIT</v>
          </cell>
          <cell r="I546" t="str">
            <v>05IC108</v>
          </cell>
          <cell r="J546" t="str">
            <v>PCA</v>
          </cell>
          <cell r="K546" t="str">
            <v>BMED</v>
          </cell>
          <cell r="L546" t="str">
            <v>Normal</v>
          </cell>
          <cell r="M546" t="str">
            <v>Germany</v>
          </cell>
          <cell r="N546" t="str">
            <v>Perfusor</v>
          </cell>
          <cell r="O546" t="str">
            <v>Perfusor Space PCA</v>
          </cell>
          <cell r="P546" t="str">
            <v>187832</v>
          </cell>
          <cell r="Q546" t="str">
            <v>Not Applicable</v>
          </cell>
          <cell r="R546" t="str">
            <v>B Braun Melsungen AG</v>
          </cell>
          <cell r="S546" t="str">
            <v>B Braun Medical Supplies Sdn. Bhd.</v>
          </cell>
          <cell r="T546" t="str">
            <v>Functioning</v>
          </cell>
          <cell r="U546" t="str">
            <v>Asset</v>
          </cell>
          <cell r="V546">
            <v>16840</v>
          </cell>
          <cell r="W546" t="str">
            <v>KEW</v>
          </cell>
          <cell r="X546" t="str">
            <v>01/09/2010</v>
          </cell>
          <cell r="Y546" t="str">
            <v>KEW</v>
          </cell>
          <cell r="Z546" t="str">
            <v>16/08/2013</v>
          </cell>
          <cell r="AA546" t="str">
            <v>15/08/2015</v>
          </cell>
          <cell r="AB546" t="str">
            <v>No</v>
          </cell>
          <cell r="AC546" t="str">
            <v>31/08/2013</v>
          </cell>
          <cell r="AD546" t="str">
            <v>Good</v>
          </cell>
          <cell r="AE546" t="str">
            <v>V1 - Existing / No Claim</v>
          </cell>
          <cell r="AF546">
            <v>42235</v>
          </cell>
          <cell r="AG546">
            <v>9.17</v>
          </cell>
          <cell r="AH546" t="str">
            <v>PPM</v>
          </cell>
          <cell r="AI546" t="str">
            <v>Strands</v>
          </cell>
          <cell r="AJ546" t="str">
            <v>Strands PW</v>
          </cell>
        </row>
        <row r="547">
          <cell r="A547" t="str">
            <v>IKN400065</v>
          </cell>
          <cell r="B547">
            <v>65</v>
          </cell>
          <cell r="C547" t="str">
            <v>Institut Kanser Negara</v>
          </cell>
          <cell r="D547" t="str">
            <v>KKM/IKN/H/13/949</v>
          </cell>
          <cell r="E547" t="str">
            <v>16-924</v>
          </cell>
          <cell r="F547" t="str">
            <v>Infusion Pumps, Patient-Controlled Analgesic</v>
          </cell>
          <cell r="G547" t="str">
            <v>IC</v>
          </cell>
          <cell r="H547" t="str">
            <v>INTENSIVE CARE UNIT</v>
          </cell>
          <cell r="I547" t="str">
            <v>05IC108</v>
          </cell>
          <cell r="J547" t="str">
            <v>PCA</v>
          </cell>
          <cell r="K547" t="str">
            <v>BMED</v>
          </cell>
          <cell r="L547" t="str">
            <v>Normal</v>
          </cell>
          <cell r="M547" t="str">
            <v>Germany</v>
          </cell>
          <cell r="N547" t="str">
            <v>Perfusor</v>
          </cell>
          <cell r="O547" t="str">
            <v>Perfusor Space PCA</v>
          </cell>
          <cell r="P547" t="str">
            <v>187004</v>
          </cell>
          <cell r="Q547" t="str">
            <v>Not Applicable</v>
          </cell>
          <cell r="R547" t="str">
            <v>B Braun Melsungen AG</v>
          </cell>
          <cell r="S547" t="str">
            <v>B Braun Medical Supplies Sdn. Bhd.</v>
          </cell>
          <cell r="T547" t="str">
            <v>Functioning</v>
          </cell>
          <cell r="U547" t="str">
            <v>Asset</v>
          </cell>
          <cell r="V547">
            <v>16840</v>
          </cell>
          <cell r="W547" t="str">
            <v>KEW</v>
          </cell>
          <cell r="X547" t="str">
            <v>01/09/2010</v>
          </cell>
          <cell r="Y547" t="str">
            <v>KEW</v>
          </cell>
          <cell r="Z547" t="str">
            <v>16/08/2013</v>
          </cell>
          <cell r="AA547" t="str">
            <v>15/08/2015</v>
          </cell>
          <cell r="AB547" t="str">
            <v>No</v>
          </cell>
          <cell r="AC547" t="str">
            <v>31/08/2013</v>
          </cell>
          <cell r="AD547" t="str">
            <v>Good</v>
          </cell>
          <cell r="AE547" t="str">
            <v>V1 - Existing / No Claim</v>
          </cell>
          <cell r="AF547">
            <v>42235</v>
          </cell>
          <cell r="AG547">
            <v>9.17</v>
          </cell>
          <cell r="AH547" t="str">
            <v>PPM</v>
          </cell>
          <cell r="AI547" t="str">
            <v>Strands</v>
          </cell>
          <cell r="AJ547" t="str">
            <v>Strands PW</v>
          </cell>
        </row>
        <row r="548">
          <cell r="A548" t="str">
            <v>IKN400066</v>
          </cell>
          <cell r="B548">
            <v>66</v>
          </cell>
          <cell r="C548" t="str">
            <v>Institut Kanser Negara</v>
          </cell>
          <cell r="D548" t="str">
            <v>KKM/IKN/H/13/950</v>
          </cell>
          <cell r="E548" t="str">
            <v>16-924</v>
          </cell>
          <cell r="F548" t="str">
            <v>Infusion Pumps, Patient-Controlled Analgesic</v>
          </cell>
          <cell r="G548" t="str">
            <v>IC</v>
          </cell>
          <cell r="H548" t="str">
            <v>INTENSIVE CARE UNIT</v>
          </cell>
          <cell r="I548" t="str">
            <v>05IC108</v>
          </cell>
          <cell r="J548" t="str">
            <v>PCA</v>
          </cell>
          <cell r="K548" t="str">
            <v>BMED</v>
          </cell>
          <cell r="L548" t="str">
            <v>Critical</v>
          </cell>
          <cell r="M548" t="str">
            <v>Germany</v>
          </cell>
          <cell r="N548" t="str">
            <v>Perfusor</v>
          </cell>
          <cell r="O548" t="str">
            <v>Perfusor Space PCA</v>
          </cell>
          <cell r="P548" t="str">
            <v>187814</v>
          </cell>
          <cell r="Q548" t="str">
            <v>Not Applicable</v>
          </cell>
          <cell r="R548" t="str">
            <v>B Braun Melsungen AG</v>
          </cell>
          <cell r="S548" t="str">
            <v>B Braun Medical Supplies Sdn. Bhd.</v>
          </cell>
          <cell r="T548" t="str">
            <v>Functioning</v>
          </cell>
          <cell r="U548" t="str">
            <v>Asset</v>
          </cell>
          <cell r="V548">
            <v>16840</v>
          </cell>
          <cell r="W548" t="str">
            <v>KEW</v>
          </cell>
          <cell r="X548" t="str">
            <v>01/09/2010</v>
          </cell>
          <cell r="Y548" t="str">
            <v>KEW</v>
          </cell>
          <cell r="Z548" t="str">
            <v>16/08/2013</v>
          </cell>
          <cell r="AA548" t="str">
            <v>15/08/2015</v>
          </cell>
          <cell r="AB548" t="str">
            <v>No</v>
          </cell>
          <cell r="AC548" t="str">
            <v>31/08/2013</v>
          </cell>
          <cell r="AD548" t="str">
            <v>Good</v>
          </cell>
          <cell r="AE548" t="str">
            <v>V1 - Existing / No Claim</v>
          </cell>
          <cell r="AF548">
            <v>42796</v>
          </cell>
          <cell r="AG548">
            <v>9.17</v>
          </cell>
          <cell r="AH548" t="str">
            <v>PPM</v>
          </cell>
          <cell r="AI548" t="str">
            <v>Strands</v>
          </cell>
          <cell r="AJ548" t="str">
            <v>Strands PW</v>
          </cell>
        </row>
        <row r="549">
          <cell r="A549" t="str">
            <v>IKN400067</v>
          </cell>
          <cell r="B549">
            <v>67</v>
          </cell>
          <cell r="C549" t="str">
            <v>Institut Kanser Negara</v>
          </cell>
          <cell r="D549" t="str">
            <v>KKM/IKN/H/13/951</v>
          </cell>
          <cell r="E549" t="str">
            <v>16-924</v>
          </cell>
          <cell r="F549" t="str">
            <v>Infusion Pumps, Patient-Controlled Analgesic</v>
          </cell>
          <cell r="G549" t="str">
            <v>IC</v>
          </cell>
          <cell r="H549" t="str">
            <v>INTENSIVE CARE UNIT</v>
          </cell>
          <cell r="I549" t="str">
            <v>05IC108</v>
          </cell>
          <cell r="J549" t="str">
            <v>PCA</v>
          </cell>
          <cell r="K549" t="str">
            <v>BMED</v>
          </cell>
          <cell r="L549" t="str">
            <v>Normal</v>
          </cell>
          <cell r="M549" t="str">
            <v>Germany</v>
          </cell>
          <cell r="N549" t="str">
            <v>Perfusor</v>
          </cell>
          <cell r="O549" t="str">
            <v>Perfusor Space PCA</v>
          </cell>
          <cell r="P549" t="str">
            <v>186995</v>
          </cell>
          <cell r="Q549" t="str">
            <v>Not Applicable</v>
          </cell>
          <cell r="R549" t="str">
            <v>B Braun Melsungen AG</v>
          </cell>
          <cell r="S549" t="str">
            <v>B Braun Medical Supplies Sdn. Bhd.</v>
          </cell>
          <cell r="T549" t="str">
            <v>Functioning</v>
          </cell>
          <cell r="U549" t="str">
            <v>Asset</v>
          </cell>
          <cell r="V549">
            <v>16840</v>
          </cell>
          <cell r="W549" t="str">
            <v>KEW</v>
          </cell>
          <cell r="X549" t="str">
            <v>01/09/2010</v>
          </cell>
          <cell r="Y549" t="str">
            <v>KEW</v>
          </cell>
          <cell r="Z549" t="str">
            <v>16/08/2013</v>
          </cell>
          <cell r="AA549" t="str">
            <v>15/08/2015</v>
          </cell>
          <cell r="AB549" t="str">
            <v>No</v>
          </cell>
          <cell r="AC549" t="str">
            <v>31/08/2013</v>
          </cell>
          <cell r="AD549" t="str">
            <v>Good</v>
          </cell>
          <cell r="AE549" t="str">
            <v>V1 - Existing / No Claim</v>
          </cell>
          <cell r="AF549">
            <v>42235</v>
          </cell>
          <cell r="AG549">
            <v>9.17</v>
          </cell>
          <cell r="AH549" t="str">
            <v>PPM</v>
          </cell>
          <cell r="AI549" t="str">
            <v>Strands</v>
          </cell>
          <cell r="AJ549" t="str">
            <v>Strands PW</v>
          </cell>
        </row>
        <row r="550">
          <cell r="A550" t="str">
            <v>IKN400068</v>
          </cell>
          <cell r="B550">
            <v>68</v>
          </cell>
          <cell r="C550" t="str">
            <v>Institut Kanser Negara</v>
          </cell>
          <cell r="D550" t="str">
            <v>KKM/IKN/H/13/952</v>
          </cell>
          <cell r="E550" t="str">
            <v>16-924</v>
          </cell>
          <cell r="F550" t="str">
            <v>Infusion Pumps, Patient-Controlled Analgesic</v>
          </cell>
          <cell r="G550" t="str">
            <v>IC</v>
          </cell>
          <cell r="H550" t="str">
            <v>INTENSIVE CARE UNIT</v>
          </cell>
          <cell r="I550" t="str">
            <v>05IC108</v>
          </cell>
          <cell r="J550" t="str">
            <v>PCA</v>
          </cell>
          <cell r="K550" t="str">
            <v>BMED</v>
          </cell>
          <cell r="L550" t="str">
            <v>Normal</v>
          </cell>
          <cell r="M550" t="str">
            <v>Germany</v>
          </cell>
          <cell r="N550" t="str">
            <v>Perfusor</v>
          </cell>
          <cell r="O550" t="str">
            <v>Perfusor Space PCA</v>
          </cell>
          <cell r="P550" t="str">
            <v>187868</v>
          </cell>
          <cell r="Q550" t="str">
            <v>Not Applicable</v>
          </cell>
          <cell r="R550" t="str">
            <v>B Braun Melsungen AG</v>
          </cell>
          <cell r="S550" t="str">
            <v>B Braun Medical Supplies Sdn. Bhd.</v>
          </cell>
          <cell r="T550" t="str">
            <v>Functioning</v>
          </cell>
          <cell r="U550" t="str">
            <v>Asset</v>
          </cell>
          <cell r="V550">
            <v>16840</v>
          </cell>
          <cell r="W550" t="str">
            <v>KEW</v>
          </cell>
          <cell r="X550" t="str">
            <v>01/09/2010</v>
          </cell>
          <cell r="Y550" t="str">
            <v>KEW</v>
          </cell>
          <cell r="Z550" t="str">
            <v>16/08/2013</v>
          </cell>
          <cell r="AA550" t="str">
            <v>15/08/2015</v>
          </cell>
          <cell r="AB550" t="str">
            <v>No</v>
          </cell>
          <cell r="AC550" t="str">
            <v>31/08/2013</v>
          </cell>
          <cell r="AD550" t="str">
            <v>Good</v>
          </cell>
          <cell r="AE550" t="str">
            <v>V1 - Existing / No Claim</v>
          </cell>
          <cell r="AF550">
            <v>42235</v>
          </cell>
          <cell r="AG550">
            <v>9.17</v>
          </cell>
          <cell r="AH550" t="str">
            <v>PPM</v>
          </cell>
          <cell r="AI550" t="str">
            <v>Strands</v>
          </cell>
          <cell r="AJ550" t="str">
            <v>Strands PW</v>
          </cell>
        </row>
        <row r="551">
          <cell r="A551" t="str">
            <v>IKN400069</v>
          </cell>
          <cell r="B551">
            <v>69</v>
          </cell>
          <cell r="C551" t="str">
            <v>Institut Kanser Negara</v>
          </cell>
          <cell r="D551" t="str">
            <v>KKM/IKN/H/13/856</v>
          </cell>
          <cell r="E551" t="str">
            <v>10-849</v>
          </cell>
          <cell r="F551" t="str">
            <v>Circulatory Assist Units, Venous Return</v>
          </cell>
          <cell r="G551" t="str">
            <v>IC</v>
          </cell>
          <cell r="H551" t="str">
            <v>INTENSIVE CARE UNIT</v>
          </cell>
          <cell r="I551" t="str">
            <v>05IC111</v>
          </cell>
          <cell r="J551" t="str">
            <v>ISOL 1(-VE)</v>
          </cell>
          <cell r="K551" t="str">
            <v>BMED</v>
          </cell>
          <cell r="L551" t="str">
            <v>Normal</v>
          </cell>
          <cell r="M551" t="str">
            <v>Taiwan</v>
          </cell>
          <cell r="N551" t="str">
            <v>Vena Press</v>
          </cell>
          <cell r="O551" t="str">
            <v>Vena Press IPC</v>
          </cell>
          <cell r="P551" t="str">
            <v>C820016673</v>
          </cell>
          <cell r="Q551" t="str">
            <v>Not Applicable</v>
          </cell>
          <cell r="R551" t="str">
            <v>Prius Healthcare Solution</v>
          </cell>
          <cell r="S551" t="str">
            <v>Medika Supplies</v>
          </cell>
          <cell r="T551" t="str">
            <v>Functioning</v>
          </cell>
          <cell r="U551" t="str">
            <v>Asset</v>
          </cell>
          <cell r="V551">
            <v>13470</v>
          </cell>
          <cell r="W551" t="str">
            <v>KEW</v>
          </cell>
          <cell r="X551" t="str">
            <v>01/09/2010</v>
          </cell>
          <cell r="Y551" t="str">
            <v>KEW</v>
          </cell>
          <cell r="Z551" t="str">
            <v>16/08/2013</v>
          </cell>
          <cell r="AA551" t="str">
            <v>15/08/2015</v>
          </cell>
          <cell r="AB551" t="str">
            <v>No</v>
          </cell>
          <cell r="AC551" t="str">
            <v>31/08/2013</v>
          </cell>
          <cell r="AD551" t="str">
            <v>Good</v>
          </cell>
          <cell r="AE551" t="str">
            <v>V1 - Existing / No Claim</v>
          </cell>
          <cell r="AF551">
            <v>42235</v>
          </cell>
          <cell r="AG551">
            <v>9.17</v>
          </cell>
          <cell r="AH551" t="str">
            <v>PPM</v>
          </cell>
          <cell r="AI551" t="str">
            <v>Strands</v>
          </cell>
          <cell r="AJ551" t="str">
            <v>Strands PW</v>
          </cell>
        </row>
        <row r="552">
          <cell r="A552" t="str">
            <v>IKN400070</v>
          </cell>
          <cell r="B552">
            <v>70</v>
          </cell>
          <cell r="C552" t="str">
            <v>Institut Kanser Negara</v>
          </cell>
          <cell r="D552" t="str">
            <v>KKM/IKN/H/13/1119</v>
          </cell>
          <cell r="E552" t="str">
            <v>17-429</v>
          </cell>
          <cell r="F552" t="str">
            <v>Ventilators, Intensive Care</v>
          </cell>
          <cell r="G552" t="str">
            <v>IC</v>
          </cell>
          <cell r="H552" t="str">
            <v>INTENSIVE CARE UNIT</v>
          </cell>
          <cell r="I552" t="str">
            <v>05IC129</v>
          </cell>
          <cell r="J552" t="str">
            <v>ISOL 4 (+VE)</v>
          </cell>
          <cell r="K552" t="str">
            <v>BMED</v>
          </cell>
          <cell r="L552" t="str">
            <v>Normal</v>
          </cell>
          <cell r="M552" t="str">
            <v>Germany</v>
          </cell>
          <cell r="N552" t="str">
            <v>Evita</v>
          </cell>
          <cell r="O552" t="str">
            <v>Evita XL</v>
          </cell>
          <cell r="P552" t="str">
            <v>ASDD-0069</v>
          </cell>
          <cell r="Q552" t="str">
            <v>Not Applicable</v>
          </cell>
          <cell r="R552" t="str">
            <v>Drager Medical AG &amp; Co KGaA</v>
          </cell>
          <cell r="S552" t="str">
            <v>Beau Consortium Sdn Bhd</v>
          </cell>
          <cell r="T552" t="str">
            <v>Functioning</v>
          </cell>
          <cell r="U552" t="str">
            <v>Asset</v>
          </cell>
          <cell r="V552">
            <v>151560</v>
          </cell>
          <cell r="W552" t="str">
            <v>KEW</v>
          </cell>
          <cell r="X552" t="str">
            <v>01/09/2010</v>
          </cell>
          <cell r="Y552" t="str">
            <v>KEW</v>
          </cell>
          <cell r="Z552" t="str">
            <v>16/08/2013</v>
          </cell>
          <cell r="AA552" t="str">
            <v>15/08/2015</v>
          </cell>
          <cell r="AB552" t="str">
            <v>No</v>
          </cell>
          <cell r="AC552" t="str">
            <v>31/08/2013</v>
          </cell>
          <cell r="AD552" t="str">
            <v>Good</v>
          </cell>
          <cell r="AE552" t="str">
            <v>V1 - Existing / No Claim</v>
          </cell>
          <cell r="AF552">
            <v>42235</v>
          </cell>
          <cell r="AG552">
            <v>9.17</v>
          </cell>
          <cell r="AH552" t="str">
            <v>PPM</v>
          </cell>
          <cell r="AI552" t="str">
            <v>Strands</v>
          </cell>
          <cell r="AJ552" t="str">
            <v>Strands PW</v>
          </cell>
        </row>
        <row r="553">
          <cell r="A553" t="str">
            <v>IKN400071</v>
          </cell>
          <cell r="B553">
            <v>71</v>
          </cell>
          <cell r="C553" t="str">
            <v>Institut Kanser Negara</v>
          </cell>
          <cell r="D553" t="str">
            <v>KKM/IKN/H/13/858</v>
          </cell>
          <cell r="E553" t="str">
            <v>10-849</v>
          </cell>
          <cell r="F553" t="str">
            <v>Circulatory Assist Units, Venous Return</v>
          </cell>
          <cell r="G553" t="str">
            <v>IC</v>
          </cell>
          <cell r="H553" t="str">
            <v>INTENSIVE CARE UNIT</v>
          </cell>
          <cell r="I553" t="str">
            <v>05IC113</v>
          </cell>
          <cell r="J553" t="str">
            <v>ICU RM 2</v>
          </cell>
          <cell r="K553" t="str">
            <v>BMED</v>
          </cell>
          <cell r="L553" t="str">
            <v>Normal</v>
          </cell>
          <cell r="M553" t="str">
            <v>Taiwan</v>
          </cell>
          <cell r="N553" t="str">
            <v>Vena Press</v>
          </cell>
          <cell r="O553" t="str">
            <v>Vena Press IPC</v>
          </cell>
          <cell r="P553" t="str">
            <v>C820016799</v>
          </cell>
          <cell r="Q553" t="str">
            <v>Not Applicable</v>
          </cell>
          <cell r="R553" t="str">
            <v>Prius Healthcare Solution</v>
          </cell>
          <cell r="S553" t="str">
            <v>Medika Supplies</v>
          </cell>
          <cell r="T553" t="str">
            <v>Functioning</v>
          </cell>
          <cell r="U553" t="str">
            <v>Asset</v>
          </cell>
          <cell r="V553">
            <v>13470</v>
          </cell>
          <cell r="W553" t="str">
            <v>KEW</v>
          </cell>
          <cell r="X553" t="str">
            <v>01/09/2010</v>
          </cell>
          <cell r="Y553" t="str">
            <v>KEW</v>
          </cell>
          <cell r="Z553" t="str">
            <v>16/08/2013</v>
          </cell>
          <cell r="AA553" t="str">
            <v>15/08/2015</v>
          </cell>
          <cell r="AB553" t="str">
            <v>No</v>
          </cell>
          <cell r="AC553" t="str">
            <v>31/08/2013</v>
          </cell>
          <cell r="AD553" t="str">
            <v>Good</v>
          </cell>
          <cell r="AE553" t="str">
            <v>V1 - Existing / No Claim</v>
          </cell>
          <cell r="AF553">
            <v>42235</v>
          </cell>
          <cell r="AG553">
            <v>9.17</v>
          </cell>
          <cell r="AH553" t="str">
            <v>PPM</v>
          </cell>
          <cell r="AI553" t="str">
            <v>Strands</v>
          </cell>
          <cell r="AJ553" t="str">
            <v>Strands PW</v>
          </cell>
        </row>
        <row r="554">
          <cell r="A554" t="str">
            <v>IKN400072</v>
          </cell>
          <cell r="B554">
            <v>72</v>
          </cell>
          <cell r="C554" t="str">
            <v>Institut Kanser Negara</v>
          </cell>
          <cell r="D554" t="str">
            <v>KKM/IKN/H/13/859</v>
          </cell>
          <cell r="E554" t="str">
            <v>10-849</v>
          </cell>
          <cell r="F554" t="str">
            <v>Circulatory Assist Units, Venous Return</v>
          </cell>
          <cell r="G554" t="str">
            <v>IC</v>
          </cell>
          <cell r="H554" t="str">
            <v>INTENSIVE CARE UNIT</v>
          </cell>
          <cell r="I554" t="str">
            <v>05IC114</v>
          </cell>
          <cell r="J554" t="str">
            <v>ICU RM 3</v>
          </cell>
          <cell r="K554" t="str">
            <v>BMED</v>
          </cell>
          <cell r="L554" t="str">
            <v>Critical</v>
          </cell>
          <cell r="M554" t="str">
            <v>Taiwan</v>
          </cell>
          <cell r="N554" t="str">
            <v>Vena Press</v>
          </cell>
          <cell r="O554" t="str">
            <v>Vena Press IPC</v>
          </cell>
          <cell r="P554" t="str">
            <v>C820017537</v>
          </cell>
          <cell r="Q554" t="str">
            <v>Not Applicable</v>
          </cell>
          <cell r="R554" t="str">
            <v>Prius Healthcare Solution</v>
          </cell>
          <cell r="S554" t="str">
            <v>Medika Supplies</v>
          </cell>
          <cell r="T554" t="str">
            <v>Functioning</v>
          </cell>
          <cell r="U554" t="str">
            <v>Asset</v>
          </cell>
          <cell r="V554">
            <v>13470</v>
          </cell>
          <cell r="W554" t="str">
            <v>KEW</v>
          </cell>
          <cell r="X554" t="str">
            <v>01/09/2010</v>
          </cell>
          <cell r="Y554" t="str">
            <v>KEW</v>
          </cell>
          <cell r="Z554" t="str">
            <v>16/08/2013</v>
          </cell>
          <cell r="AA554" t="str">
            <v>15/08/2015</v>
          </cell>
          <cell r="AB554" t="str">
            <v>No</v>
          </cell>
          <cell r="AC554" t="str">
            <v>31/08/2013</v>
          </cell>
          <cell r="AD554" t="str">
            <v>Good</v>
          </cell>
          <cell r="AE554" t="str">
            <v>V1 - Existing / No Claim</v>
          </cell>
          <cell r="AF554">
            <v>42797</v>
          </cell>
          <cell r="AG554">
            <v>9.17</v>
          </cell>
          <cell r="AH554" t="str">
            <v>PPM</v>
          </cell>
          <cell r="AI554" t="str">
            <v>Strands</v>
          </cell>
          <cell r="AJ554" t="str">
            <v>Strands PW</v>
          </cell>
        </row>
        <row r="555">
          <cell r="A555" t="str">
            <v>IKN400073</v>
          </cell>
          <cell r="B555">
            <v>73</v>
          </cell>
          <cell r="C555" t="str">
            <v>Institut Kanser Negara</v>
          </cell>
          <cell r="D555" t="str">
            <v>KKM/IKN/H/13/860</v>
          </cell>
          <cell r="E555" t="str">
            <v>10-849</v>
          </cell>
          <cell r="F555" t="str">
            <v>Circulatory Assist Units, Venous Return</v>
          </cell>
          <cell r="G555" t="str">
            <v>IC</v>
          </cell>
          <cell r="H555" t="str">
            <v>INTENSIVE CARE UNIT</v>
          </cell>
          <cell r="I555" t="str">
            <v>05IC115</v>
          </cell>
          <cell r="J555" t="str">
            <v>ICU RM 4</v>
          </cell>
          <cell r="K555" t="str">
            <v>BMED</v>
          </cell>
          <cell r="L555" t="str">
            <v>Normal</v>
          </cell>
          <cell r="M555" t="str">
            <v>Taiwan</v>
          </cell>
          <cell r="N555" t="str">
            <v>Vena Press</v>
          </cell>
          <cell r="O555" t="str">
            <v>Vena Press IPC</v>
          </cell>
          <cell r="P555" t="str">
            <v>C820016532</v>
          </cell>
          <cell r="Q555" t="str">
            <v>Not Applicable</v>
          </cell>
          <cell r="R555" t="str">
            <v>Prius Healthcare Solution</v>
          </cell>
          <cell r="S555" t="str">
            <v>Medika Supplies</v>
          </cell>
          <cell r="T555" t="str">
            <v>Functioning</v>
          </cell>
          <cell r="U555" t="str">
            <v>Asset</v>
          </cell>
          <cell r="V555">
            <v>13470</v>
          </cell>
          <cell r="W555" t="str">
            <v>KEW</v>
          </cell>
          <cell r="X555" t="str">
            <v>01/09/2010</v>
          </cell>
          <cell r="Y555" t="str">
            <v>KEW</v>
          </cell>
          <cell r="Z555" t="str">
            <v>16/08/2013</v>
          </cell>
          <cell r="AA555" t="str">
            <v>15/08/2015</v>
          </cell>
          <cell r="AB555" t="str">
            <v>No</v>
          </cell>
          <cell r="AC555" t="str">
            <v>31/08/2013</v>
          </cell>
          <cell r="AD555" t="str">
            <v>Good</v>
          </cell>
          <cell r="AE555" t="str">
            <v>V1 - Existing / No Claim</v>
          </cell>
          <cell r="AF555">
            <v>42235</v>
          </cell>
          <cell r="AG555">
            <v>9.17</v>
          </cell>
          <cell r="AH555" t="str">
            <v>PPM</v>
          </cell>
          <cell r="AI555" t="str">
            <v>Strands</v>
          </cell>
          <cell r="AJ555" t="str">
            <v>Strands PW</v>
          </cell>
        </row>
        <row r="556">
          <cell r="A556" t="str">
            <v>IKN400074</v>
          </cell>
          <cell r="B556">
            <v>74</v>
          </cell>
          <cell r="C556" t="str">
            <v>Institut Kanser Negara</v>
          </cell>
          <cell r="D556" t="str">
            <v>KKM/IKN/H/13/862</v>
          </cell>
          <cell r="E556" t="str">
            <v>10-849</v>
          </cell>
          <cell r="F556" t="str">
            <v>Circulatory Assist Units, Venous Return</v>
          </cell>
          <cell r="G556" t="str">
            <v>IC</v>
          </cell>
          <cell r="H556" t="str">
            <v>INTENSIVE CARE UNIT</v>
          </cell>
          <cell r="I556" t="str">
            <v>05IC116</v>
          </cell>
          <cell r="J556" t="str">
            <v>ISOL 2 (+VE)</v>
          </cell>
          <cell r="K556" t="str">
            <v>BMED</v>
          </cell>
          <cell r="L556" t="str">
            <v>Normal</v>
          </cell>
          <cell r="M556" t="str">
            <v>Taiwan</v>
          </cell>
          <cell r="N556" t="str">
            <v>Vena Press</v>
          </cell>
          <cell r="O556" t="str">
            <v>Vena Press IPC</v>
          </cell>
          <cell r="P556" t="str">
            <v>C820017617</v>
          </cell>
          <cell r="Q556" t="str">
            <v>Not Applicable</v>
          </cell>
          <cell r="R556" t="str">
            <v>Prius Healthcare Solution</v>
          </cell>
          <cell r="S556" t="str">
            <v>Medika Supplies</v>
          </cell>
          <cell r="T556" t="str">
            <v>Functioning</v>
          </cell>
          <cell r="U556" t="str">
            <v>Asset</v>
          </cell>
          <cell r="V556">
            <v>13470</v>
          </cell>
          <cell r="W556" t="str">
            <v>KEW</v>
          </cell>
          <cell r="X556" t="str">
            <v>01/09/2010</v>
          </cell>
          <cell r="Y556" t="str">
            <v>KEW</v>
          </cell>
          <cell r="Z556" t="str">
            <v>16/08/2013</v>
          </cell>
          <cell r="AA556" t="str">
            <v>15/08/2015</v>
          </cell>
          <cell r="AB556" t="str">
            <v>No</v>
          </cell>
          <cell r="AC556" t="str">
            <v>31/08/2013</v>
          </cell>
          <cell r="AD556" t="str">
            <v>Good</v>
          </cell>
          <cell r="AE556" t="str">
            <v>V1 - Existing / No Claim</v>
          </cell>
          <cell r="AF556">
            <v>42235</v>
          </cell>
          <cell r="AG556">
            <v>9.17</v>
          </cell>
          <cell r="AH556" t="str">
            <v>PPM</v>
          </cell>
          <cell r="AI556" t="str">
            <v>Strands</v>
          </cell>
          <cell r="AJ556" t="str">
            <v>Strands PW</v>
          </cell>
        </row>
        <row r="557">
          <cell r="A557" t="str">
            <v>IKN400075</v>
          </cell>
          <cell r="B557">
            <v>75</v>
          </cell>
          <cell r="C557" t="str">
            <v>Institut Kanser Negara</v>
          </cell>
          <cell r="D557" t="str">
            <v>KKM/IKN/H/13/863</v>
          </cell>
          <cell r="E557" t="str">
            <v>10-849</v>
          </cell>
          <cell r="F557" t="str">
            <v>Circulatory Assist Units, Venous Return</v>
          </cell>
          <cell r="G557" t="str">
            <v>IC</v>
          </cell>
          <cell r="H557" t="str">
            <v>INTENSIVE CARE UNIT</v>
          </cell>
          <cell r="I557" t="str">
            <v>05IC129</v>
          </cell>
          <cell r="J557" t="str">
            <v>ISOL 4 (+VE)</v>
          </cell>
          <cell r="K557" t="str">
            <v>BMED</v>
          </cell>
          <cell r="L557" t="str">
            <v>Normal</v>
          </cell>
          <cell r="M557" t="str">
            <v>Taiwan</v>
          </cell>
          <cell r="N557" t="str">
            <v>Vena Press</v>
          </cell>
          <cell r="O557" t="str">
            <v>Vena Press IPC</v>
          </cell>
          <cell r="P557" t="str">
            <v>C820016529</v>
          </cell>
          <cell r="Q557" t="str">
            <v>Not Applicable</v>
          </cell>
          <cell r="R557" t="str">
            <v>Prius Healthcare Solution</v>
          </cell>
          <cell r="S557" t="str">
            <v>Medika Supplies</v>
          </cell>
          <cell r="T557" t="str">
            <v>Functioning</v>
          </cell>
          <cell r="U557" t="str">
            <v>Asset</v>
          </cell>
          <cell r="V557">
            <v>13470</v>
          </cell>
          <cell r="W557" t="str">
            <v>KEW</v>
          </cell>
          <cell r="X557" t="str">
            <v>01/09/2010</v>
          </cell>
          <cell r="Y557" t="str">
            <v>KEW</v>
          </cell>
          <cell r="Z557" t="str">
            <v>16/08/2013</v>
          </cell>
          <cell r="AA557" t="str">
            <v>15/08/2015</v>
          </cell>
          <cell r="AB557" t="str">
            <v>No</v>
          </cell>
          <cell r="AC557" t="str">
            <v>31/08/2013</v>
          </cell>
          <cell r="AD557" t="str">
            <v>Good</v>
          </cell>
          <cell r="AE557" t="str">
            <v>V1 - Existing / No Claim</v>
          </cell>
          <cell r="AF557">
            <v>42235</v>
          </cell>
          <cell r="AG557">
            <v>9.17</v>
          </cell>
          <cell r="AH557" t="str">
            <v>PPM</v>
          </cell>
          <cell r="AI557" t="str">
            <v>Strands</v>
          </cell>
          <cell r="AJ557" t="str">
            <v>Strands PW</v>
          </cell>
        </row>
        <row r="558">
          <cell r="A558" t="str">
            <v>IKN400076</v>
          </cell>
          <cell r="B558">
            <v>76</v>
          </cell>
          <cell r="C558" t="str">
            <v>Institut Kanser Negara</v>
          </cell>
          <cell r="D558" t="str">
            <v>KKM/IKN/H/13/864</v>
          </cell>
          <cell r="E558" t="str">
            <v>10-849</v>
          </cell>
          <cell r="F558" t="str">
            <v>Circulatory Assist Units, Venous Return</v>
          </cell>
          <cell r="G558" t="str">
            <v>IC</v>
          </cell>
          <cell r="H558" t="str">
            <v>INTENSIVE CARE UNIT</v>
          </cell>
          <cell r="I558" t="str">
            <v>05IC131</v>
          </cell>
          <cell r="J558" t="str">
            <v>ISOL 3 (+VE)</v>
          </cell>
          <cell r="K558" t="str">
            <v>BMED</v>
          </cell>
          <cell r="L558" t="str">
            <v>Critical</v>
          </cell>
          <cell r="M558" t="str">
            <v>Taiwan</v>
          </cell>
          <cell r="N558" t="str">
            <v>Vena Press</v>
          </cell>
          <cell r="O558" t="str">
            <v>Vena Press IPC</v>
          </cell>
          <cell r="P558" t="str">
            <v>C820017519</v>
          </cell>
          <cell r="Q558" t="str">
            <v>Not Applicable</v>
          </cell>
          <cell r="R558" t="str">
            <v>Prius Healthcare Solution</v>
          </cell>
          <cell r="S558" t="str">
            <v>Medika Supplies</v>
          </cell>
          <cell r="T558" t="str">
            <v>Functioning</v>
          </cell>
          <cell r="U558" t="str">
            <v>Asset</v>
          </cell>
          <cell r="V558">
            <v>13470</v>
          </cell>
          <cell r="W558" t="str">
            <v>KEW</v>
          </cell>
          <cell r="X558" t="str">
            <v>01/09/2010</v>
          </cell>
          <cell r="Y558" t="str">
            <v>KEW</v>
          </cell>
          <cell r="Z558" t="str">
            <v>16/08/2013</v>
          </cell>
          <cell r="AA558" t="str">
            <v>15/08/2015</v>
          </cell>
          <cell r="AB558" t="str">
            <v>No</v>
          </cell>
          <cell r="AC558" t="str">
            <v>31/08/2013</v>
          </cell>
          <cell r="AD558" t="str">
            <v>Good</v>
          </cell>
          <cell r="AE558" t="str">
            <v>V1 - Existing / No Claim</v>
          </cell>
          <cell r="AF558">
            <v>42797</v>
          </cell>
          <cell r="AG558">
            <v>9.17</v>
          </cell>
          <cell r="AH558" t="str">
            <v>PPM</v>
          </cell>
          <cell r="AI558" t="str">
            <v>Strands</v>
          </cell>
          <cell r="AJ558" t="str">
            <v>Strands PW</v>
          </cell>
        </row>
        <row r="559">
          <cell r="A559" t="str">
            <v>IKN400077</v>
          </cell>
          <cell r="B559">
            <v>77</v>
          </cell>
          <cell r="C559" t="str">
            <v>Institut Kanser Negara</v>
          </cell>
          <cell r="D559" t="str">
            <v>KKM/IKN/H/13/3475</v>
          </cell>
          <cell r="E559" t="str">
            <v>20-683</v>
          </cell>
          <cell r="F559" t="str">
            <v>Water Purification Systems, Reverse Osmosis, Hemodialysis, Portable</v>
          </cell>
          <cell r="G559" t="str">
            <v>IC</v>
          </cell>
          <cell r="H559" t="str">
            <v>INTENSIVE CARE UNIT</v>
          </cell>
          <cell r="I559" t="str">
            <v>05IC106</v>
          </cell>
          <cell r="J559" t="str">
            <v>EQ. ROOM</v>
          </cell>
          <cell r="K559" t="str">
            <v>BMED</v>
          </cell>
          <cell r="L559" t="str">
            <v>Critical</v>
          </cell>
          <cell r="M559" t="str">
            <v>Germany</v>
          </cell>
          <cell r="N559" t="str">
            <v>Aqua</v>
          </cell>
          <cell r="O559" t="str">
            <v>Aqua WTU125</v>
          </cell>
          <cell r="P559" t="str">
            <v>344S1544</v>
          </cell>
          <cell r="Q559" t="str">
            <v>Not Applicable</v>
          </cell>
          <cell r="R559" t="str">
            <v>Fresenius Kabi AG</v>
          </cell>
          <cell r="S559" t="str">
            <v>Fischer CW Medical</v>
          </cell>
          <cell r="T559" t="str">
            <v>Functioning</v>
          </cell>
          <cell r="U559" t="str">
            <v>Asset</v>
          </cell>
          <cell r="V559">
            <v>56534</v>
          </cell>
          <cell r="W559" t="str">
            <v>KEW</v>
          </cell>
          <cell r="X559" t="str">
            <v>01/09/2010</v>
          </cell>
          <cell r="Y559" t="str">
            <v>KEW</v>
          </cell>
          <cell r="Z559" t="str">
            <v>16/08/2013</v>
          </cell>
          <cell r="AA559" t="str">
            <v>15/08/2015</v>
          </cell>
          <cell r="AB559" t="str">
            <v>No</v>
          </cell>
          <cell r="AC559" t="str">
            <v>31/08/2013</v>
          </cell>
          <cell r="AD559" t="str">
            <v>Good</v>
          </cell>
          <cell r="AE559" t="str">
            <v>V1 - Existing / No Claim</v>
          </cell>
          <cell r="AF559">
            <v>42796</v>
          </cell>
          <cell r="AG559">
            <v>9.17</v>
          </cell>
          <cell r="AH559" t="str">
            <v>PPM</v>
          </cell>
          <cell r="AI559" t="str">
            <v>Strands</v>
          </cell>
          <cell r="AJ559" t="str">
            <v>Strands PW</v>
          </cell>
        </row>
        <row r="560">
          <cell r="A560" t="str">
            <v>IKN400078</v>
          </cell>
          <cell r="B560">
            <v>78</v>
          </cell>
          <cell r="C560" t="str">
            <v>Institut Kanser Negara</v>
          </cell>
          <cell r="D560" t="str">
            <v>KKM/IKN/H/13/1052</v>
          </cell>
          <cell r="E560" t="str">
            <v>10-613</v>
          </cell>
          <cell r="F560" t="str">
            <v>Cardiac Output Units</v>
          </cell>
          <cell r="G560" t="str">
            <v>IC</v>
          </cell>
          <cell r="H560" t="str">
            <v>INTENSIVE CARE UNIT</v>
          </cell>
          <cell r="I560" t="str">
            <v>05IC106</v>
          </cell>
          <cell r="J560" t="str">
            <v>EQ. ROOM</v>
          </cell>
          <cell r="K560" t="str">
            <v>BMED</v>
          </cell>
          <cell r="L560" t="str">
            <v>Normal</v>
          </cell>
          <cell r="M560" t="str">
            <v>Germany</v>
          </cell>
          <cell r="N560" t="str">
            <v>Picco</v>
          </cell>
          <cell r="O560" t="str">
            <v>Picco 2 Monitor, Pc8500</v>
          </cell>
          <cell r="P560" t="str">
            <v>A108500038</v>
          </cell>
          <cell r="Q560" t="str">
            <v>Not Applicable</v>
          </cell>
          <cell r="R560" t="str">
            <v>Pulsion</v>
          </cell>
          <cell r="S560" t="str">
            <v>Dyna Medicare</v>
          </cell>
          <cell r="T560" t="str">
            <v>Functioning</v>
          </cell>
          <cell r="U560" t="str">
            <v>Asset</v>
          </cell>
          <cell r="V560">
            <v>60000</v>
          </cell>
          <cell r="W560" t="str">
            <v>KEW</v>
          </cell>
          <cell r="X560" t="str">
            <v>01/09/2010</v>
          </cell>
          <cell r="Y560" t="str">
            <v>KEW</v>
          </cell>
          <cell r="Z560" t="str">
            <v>16/08/2013</v>
          </cell>
          <cell r="AA560" t="str">
            <v>15/08/2015</v>
          </cell>
          <cell r="AB560" t="str">
            <v>No</v>
          </cell>
          <cell r="AC560" t="str">
            <v>31/08/2013</v>
          </cell>
          <cell r="AD560" t="str">
            <v>Good</v>
          </cell>
          <cell r="AE560" t="str">
            <v>V1 - Existing / No Claim</v>
          </cell>
          <cell r="AF560">
            <v>42796</v>
          </cell>
          <cell r="AG560">
            <v>9.17</v>
          </cell>
          <cell r="AH560" t="str">
            <v>PPM</v>
          </cell>
          <cell r="AI560" t="str">
            <v>Strands</v>
          </cell>
          <cell r="AJ560" t="str">
            <v>Strands PW</v>
          </cell>
        </row>
        <row r="561">
          <cell r="A561" t="str">
            <v>IKN400079</v>
          </cell>
          <cell r="B561">
            <v>79</v>
          </cell>
          <cell r="C561" t="str">
            <v>Institut Kanser Negara</v>
          </cell>
          <cell r="D561" t="str">
            <v>KKM/IKN/H/13/954</v>
          </cell>
          <cell r="E561" t="str">
            <v>13-209</v>
          </cell>
          <cell r="F561" t="str">
            <v>Pumps, Enteral Feeding</v>
          </cell>
          <cell r="G561" t="str">
            <v>IC</v>
          </cell>
          <cell r="H561" t="str">
            <v>INTENSIVE CARE UNIT</v>
          </cell>
          <cell r="I561" t="str">
            <v>05IC111</v>
          </cell>
          <cell r="J561" t="str">
            <v>ISOL 1(-VE)</v>
          </cell>
          <cell r="K561" t="str">
            <v>BMED</v>
          </cell>
          <cell r="L561" t="str">
            <v>Normal</v>
          </cell>
          <cell r="M561" t="str">
            <v>USA</v>
          </cell>
          <cell r="N561" t="str">
            <v>Kangaroo</v>
          </cell>
          <cell r="O561" t="str">
            <v>Kangaroo ePump</v>
          </cell>
          <cell r="P561" t="str">
            <v>C1177266</v>
          </cell>
          <cell r="Q561" t="str">
            <v>Not Applicable</v>
          </cell>
          <cell r="R561" t="str">
            <v>Covidien</v>
          </cell>
          <cell r="S561" t="str">
            <v>Schmidt Biomedtech Sdn. Bhd.</v>
          </cell>
          <cell r="T561" t="str">
            <v>Functioning</v>
          </cell>
          <cell r="U561" t="str">
            <v>Asset</v>
          </cell>
          <cell r="V561">
            <v>6615</v>
          </cell>
          <cell r="W561" t="str">
            <v>KEW</v>
          </cell>
          <cell r="X561" t="str">
            <v>01/09/2010</v>
          </cell>
          <cell r="Y561" t="str">
            <v>KEW</v>
          </cell>
          <cell r="Z561" t="str">
            <v>16/08/2013</v>
          </cell>
          <cell r="AA561" t="str">
            <v>15/08/2015</v>
          </cell>
          <cell r="AB561" t="str">
            <v>No</v>
          </cell>
          <cell r="AC561" t="str">
            <v>31/08/2013</v>
          </cell>
          <cell r="AD561" t="str">
            <v>Good</v>
          </cell>
          <cell r="AE561" t="str">
            <v>V1 - Existing / No Claim</v>
          </cell>
          <cell r="AF561">
            <v>42235</v>
          </cell>
          <cell r="AG561">
            <v>9.17</v>
          </cell>
          <cell r="AH561" t="str">
            <v>PPM</v>
          </cell>
          <cell r="AI561" t="str">
            <v>Strands</v>
          </cell>
          <cell r="AJ561" t="str">
            <v>Strands PW</v>
          </cell>
        </row>
        <row r="562">
          <cell r="A562" t="str">
            <v>IKN400080</v>
          </cell>
          <cell r="B562">
            <v>80</v>
          </cell>
          <cell r="C562" t="str">
            <v>Institut Kanser Negara</v>
          </cell>
          <cell r="D562" t="str">
            <v>KKM/IKN/H/13/955</v>
          </cell>
          <cell r="E562" t="str">
            <v>13-209</v>
          </cell>
          <cell r="F562" t="str">
            <v>Pumps, Enteral Feeding</v>
          </cell>
          <cell r="G562" t="str">
            <v>IC</v>
          </cell>
          <cell r="H562" t="str">
            <v>INTENSIVE CARE UNIT</v>
          </cell>
          <cell r="I562" t="str">
            <v>05IC112</v>
          </cell>
          <cell r="J562" t="str">
            <v>ICU RM 1</v>
          </cell>
          <cell r="K562" t="str">
            <v>BMED</v>
          </cell>
          <cell r="L562" t="str">
            <v>Normal</v>
          </cell>
          <cell r="M562" t="str">
            <v>USA</v>
          </cell>
          <cell r="N562" t="str">
            <v>Kangaroo</v>
          </cell>
          <cell r="O562" t="str">
            <v>Kangaroo ePump</v>
          </cell>
          <cell r="P562" t="str">
            <v>C1166026</v>
          </cell>
          <cell r="Q562" t="str">
            <v>Not Applicable</v>
          </cell>
          <cell r="R562" t="str">
            <v>Covidien</v>
          </cell>
          <cell r="S562" t="str">
            <v>Schmidt Biomedtech Sdn. Bhd.</v>
          </cell>
          <cell r="T562" t="str">
            <v>Functioning</v>
          </cell>
          <cell r="U562" t="str">
            <v>Asset</v>
          </cell>
          <cell r="V562">
            <v>6615</v>
          </cell>
          <cell r="W562" t="str">
            <v>KEW</v>
          </cell>
          <cell r="X562" t="str">
            <v>01/09/2010</v>
          </cell>
          <cell r="Y562" t="str">
            <v>KEW</v>
          </cell>
          <cell r="Z562" t="str">
            <v>16/08/2013</v>
          </cell>
          <cell r="AA562" t="str">
            <v>15/08/2015</v>
          </cell>
          <cell r="AB562" t="str">
            <v>No</v>
          </cell>
          <cell r="AC562" t="str">
            <v>31/08/2013</v>
          </cell>
          <cell r="AD562" t="str">
            <v>Good</v>
          </cell>
          <cell r="AE562" t="str">
            <v>V1 - Existing / No Claim</v>
          </cell>
          <cell r="AF562">
            <v>42235</v>
          </cell>
          <cell r="AG562">
            <v>9.17</v>
          </cell>
          <cell r="AH562" t="str">
            <v>PPM</v>
          </cell>
          <cell r="AI562" t="str">
            <v>Strands</v>
          </cell>
          <cell r="AJ562" t="str">
            <v>Strands PW</v>
          </cell>
        </row>
        <row r="563">
          <cell r="A563" t="str">
            <v>IKN400082</v>
          </cell>
          <cell r="B563">
            <v>82</v>
          </cell>
          <cell r="C563" t="str">
            <v>Institut Kanser Negara</v>
          </cell>
          <cell r="D563" t="str">
            <v>KKM/IKN/H/13/957</v>
          </cell>
          <cell r="E563" t="str">
            <v>13-209</v>
          </cell>
          <cell r="F563" t="str">
            <v>Pumps, Enteral Feeding</v>
          </cell>
          <cell r="G563" t="str">
            <v>IC</v>
          </cell>
          <cell r="H563" t="str">
            <v>INTENSIVE CARE UNIT</v>
          </cell>
          <cell r="I563" t="str">
            <v>05IC114</v>
          </cell>
          <cell r="J563" t="str">
            <v>ICU RM 3</v>
          </cell>
          <cell r="K563" t="str">
            <v>BMED</v>
          </cell>
          <cell r="L563" t="str">
            <v>Normal</v>
          </cell>
          <cell r="M563" t="str">
            <v>USA</v>
          </cell>
          <cell r="N563" t="str">
            <v>Kangaroo</v>
          </cell>
          <cell r="O563" t="str">
            <v>Kangaroo ePump</v>
          </cell>
          <cell r="P563" t="str">
            <v>C1166063</v>
          </cell>
          <cell r="Q563" t="str">
            <v>Not Applicable</v>
          </cell>
          <cell r="R563" t="str">
            <v>Covidien</v>
          </cell>
          <cell r="S563" t="str">
            <v>Schmidt Biomedtech Sdn. Bhd.</v>
          </cell>
          <cell r="T563" t="str">
            <v>Functioning</v>
          </cell>
          <cell r="U563" t="str">
            <v>Asset</v>
          </cell>
          <cell r="V563">
            <v>6615</v>
          </cell>
          <cell r="W563" t="str">
            <v>KEW</v>
          </cell>
          <cell r="X563" t="str">
            <v>01/09/2010</v>
          </cell>
          <cell r="Y563" t="str">
            <v>KEW</v>
          </cell>
          <cell r="Z563" t="str">
            <v>16/08/2013</v>
          </cell>
          <cell r="AA563" t="str">
            <v>15/08/2015</v>
          </cell>
          <cell r="AB563" t="str">
            <v>No</v>
          </cell>
          <cell r="AC563" t="str">
            <v>31/08/2013</v>
          </cell>
          <cell r="AD563" t="str">
            <v>Good</v>
          </cell>
          <cell r="AE563" t="str">
            <v>V1 - Existing / No Claim</v>
          </cell>
          <cell r="AF563">
            <v>42235</v>
          </cell>
          <cell r="AG563">
            <v>9.17</v>
          </cell>
          <cell r="AH563" t="str">
            <v>PPM</v>
          </cell>
          <cell r="AI563" t="str">
            <v>Strands</v>
          </cell>
          <cell r="AJ563" t="str">
            <v>Strands PW</v>
          </cell>
        </row>
        <row r="564">
          <cell r="A564" t="str">
            <v>IKN400083</v>
          </cell>
          <cell r="B564">
            <v>83</v>
          </cell>
          <cell r="C564" t="str">
            <v>Institut Kanser Negara</v>
          </cell>
          <cell r="D564" t="str">
            <v>KKM/IKN/H/13/958</v>
          </cell>
          <cell r="E564" t="str">
            <v>13-209</v>
          </cell>
          <cell r="F564" t="str">
            <v>Pumps, Enteral Feeding</v>
          </cell>
          <cell r="G564" t="str">
            <v>IC</v>
          </cell>
          <cell r="H564" t="str">
            <v>INTENSIVE CARE UNIT</v>
          </cell>
          <cell r="I564" t="str">
            <v>05IC115</v>
          </cell>
          <cell r="J564" t="str">
            <v>ICU RM 4</v>
          </cell>
          <cell r="K564" t="str">
            <v>BMED</v>
          </cell>
          <cell r="L564" t="str">
            <v>Normal</v>
          </cell>
          <cell r="M564" t="str">
            <v>USA</v>
          </cell>
          <cell r="N564" t="str">
            <v>Kangaroo</v>
          </cell>
          <cell r="O564" t="str">
            <v>Kangaroo ePump</v>
          </cell>
          <cell r="P564" t="str">
            <v>C1166100</v>
          </cell>
          <cell r="Q564" t="str">
            <v>Not Applicable</v>
          </cell>
          <cell r="R564" t="str">
            <v>Covidien</v>
          </cell>
          <cell r="S564" t="str">
            <v>Schmidt Biomedtech Sdn. Bhd.</v>
          </cell>
          <cell r="T564" t="str">
            <v>Functioning</v>
          </cell>
          <cell r="U564" t="str">
            <v>Asset</v>
          </cell>
          <cell r="V564">
            <v>6615</v>
          </cell>
          <cell r="W564" t="str">
            <v>KEW</v>
          </cell>
          <cell r="X564" t="str">
            <v>01/09/2010</v>
          </cell>
          <cell r="Y564" t="str">
            <v>KEW</v>
          </cell>
          <cell r="Z564" t="str">
            <v>16/08/2013</v>
          </cell>
          <cell r="AA564" t="str">
            <v>15/08/2015</v>
          </cell>
          <cell r="AB564" t="str">
            <v>No</v>
          </cell>
          <cell r="AC564" t="str">
            <v>31/08/2013</v>
          </cell>
          <cell r="AD564" t="str">
            <v>Good</v>
          </cell>
          <cell r="AE564" t="str">
            <v>V1 - Existing / No Claim</v>
          </cell>
          <cell r="AF564">
            <v>42235</v>
          </cell>
          <cell r="AG564">
            <v>9.17</v>
          </cell>
          <cell r="AH564" t="str">
            <v>PPM</v>
          </cell>
          <cell r="AI564" t="str">
            <v>Strands</v>
          </cell>
          <cell r="AJ564" t="str">
            <v>Strands PW</v>
          </cell>
        </row>
        <row r="565">
          <cell r="A565" t="str">
            <v>IKN400084</v>
          </cell>
          <cell r="B565">
            <v>84</v>
          </cell>
          <cell r="C565" t="str">
            <v>Institut Kanser Negara</v>
          </cell>
          <cell r="D565" t="str">
            <v>KKM/IKN/H/13/959</v>
          </cell>
          <cell r="E565" t="str">
            <v>13-209</v>
          </cell>
          <cell r="F565" t="str">
            <v>Pumps, Enteral Feeding</v>
          </cell>
          <cell r="G565" t="str">
            <v>IC</v>
          </cell>
          <cell r="H565" t="str">
            <v>INTENSIVE CARE UNIT</v>
          </cell>
          <cell r="I565" t="str">
            <v>05IC116</v>
          </cell>
          <cell r="J565" t="str">
            <v>ISOL 2 (+VE)</v>
          </cell>
          <cell r="K565" t="str">
            <v>BMED</v>
          </cell>
          <cell r="L565" t="str">
            <v>Normal</v>
          </cell>
          <cell r="M565" t="str">
            <v>USA</v>
          </cell>
          <cell r="N565" t="str">
            <v>Kangaroo</v>
          </cell>
          <cell r="O565" t="str">
            <v>Kangaroo ePump</v>
          </cell>
          <cell r="P565" t="str">
            <v>C1166873</v>
          </cell>
          <cell r="Q565" t="str">
            <v>Not Applicable</v>
          </cell>
          <cell r="R565" t="str">
            <v>Covidien</v>
          </cell>
          <cell r="S565" t="str">
            <v>Schmidt Biomedtech Sdn. Bhd.</v>
          </cell>
          <cell r="T565" t="str">
            <v>Functioning</v>
          </cell>
          <cell r="U565" t="str">
            <v>Asset</v>
          </cell>
          <cell r="V565">
            <v>6615</v>
          </cell>
          <cell r="W565" t="str">
            <v>KEW</v>
          </cell>
          <cell r="X565" t="str">
            <v>01/09/2010</v>
          </cell>
          <cell r="Y565" t="str">
            <v>KEW</v>
          </cell>
          <cell r="Z565" t="str">
            <v>16/08/2013</v>
          </cell>
          <cell r="AA565" t="str">
            <v>15/08/2015</v>
          </cell>
          <cell r="AB565" t="str">
            <v>No</v>
          </cell>
          <cell r="AC565" t="str">
            <v>31/08/2013</v>
          </cell>
          <cell r="AD565" t="str">
            <v>Good</v>
          </cell>
          <cell r="AE565" t="str">
            <v>V1 - Existing / No Claim</v>
          </cell>
          <cell r="AF565">
            <v>42797</v>
          </cell>
          <cell r="AG565">
            <v>9.17</v>
          </cell>
          <cell r="AH565" t="str">
            <v>PPM</v>
          </cell>
          <cell r="AI565" t="str">
            <v>Strands</v>
          </cell>
          <cell r="AJ565" t="str">
            <v>Strands PW</v>
          </cell>
        </row>
        <row r="566">
          <cell r="A566" t="str">
            <v>IKN400085</v>
          </cell>
          <cell r="B566">
            <v>85</v>
          </cell>
          <cell r="C566" t="str">
            <v>Institut Kanser Negara</v>
          </cell>
          <cell r="D566" t="str">
            <v>KKM/IKN/H/13/960</v>
          </cell>
          <cell r="E566" t="str">
            <v>13-209</v>
          </cell>
          <cell r="F566" t="str">
            <v>Pumps, Enteral Feeding</v>
          </cell>
          <cell r="G566" t="str">
            <v>IC</v>
          </cell>
          <cell r="H566" t="str">
            <v>INTENSIVE CARE UNIT</v>
          </cell>
          <cell r="I566" t="str">
            <v>05IC129</v>
          </cell>
          <cell r="J566" t="str">
            <v>ISOL 4 (+VE)</v>
          </cell>
          <cell r="K566" t="str">
            <v>BMED</v>
          </cell>
          <cell r="L566" t="str">
            <v>Normal</v>
          </cell>
          <cell r="M566" t="str">
            <v>USA</v>
          </cell>
          <cell r="N566" t="str">
            <v>Kangaroo</v>
          </cell>
          <cell r="O566" t="str">
            <v>Kangaroo ePump</v>
          </cell>
          <cell r="P566" t="str">
            <v>C1176479</v>
          </cell>
          <cell r="Q566" t="str">
            <v>Not Applicable</v>
          </cell>
          <cell r="R566" t="str">
            <v>Covidien</v>
          </cell>
          <cell r="S566" t="str">
            <v>Schmidt Biomedtech Sdn. Bhd.</v>
          </cell>
          <cell r="T566" t="str">
            <v>Functioning</v>
          </cell>
          <cell r="U566" t="str">
            <v>Asset</v>
          </cell>
          <cell r="V566">
            <v>6615</v>
          </cell>
          <cell r="W566" t="str">
            <v>KEW</v>
          </cell>
          <cell r="X566" t="str">
            <v>01/09/2010</v>
          </cell>
          <cell r="Y566" t="str">
            <v>KEW</v>
          </cell>
          <cell r="Z566" t="str">
            <v>16/08/2013</v>
          </cell>
          <cell r="AA566" t="str">
            <v>15/08/2015</v>
          </cell>
          <cell r="AB566" t="str">
            <v>No</v>
          </cell>
          <cell r="AC566" t="str">
            <v>31/08/2013</v>
          </cell>
          <cell r="AD566" t="str">
            <v>Good</v>
          </cell>
          <cell r="AE566" t="str">
            <v>V1 - Existing / No Claim</v>
          </cell>
          <cell r="AF566">
            <v>42235</v>
          </cell>
          <cell r="AG566">
            <v>9.17</v>
          </cell>
          <cell r="AH566" t="str">
            <v>PPM</v>
          </cell>
          <cell r="AI566" t="str">
            <v>Strands</v>
          </cell>
          <cell r="AJ566" t="str">
            <v>Strands PW</v>
          </cell>
        </row>
        <row r="567">
          <cell r="A567" t="str">
            <v>IKN400086</v>
          </cell>
          <cell r="B567">
            <v>86</v>
          </cell>
          <cell r="C567" t="str">
            <v>Institut Kanser Negara</v>
          </cell>
          <cell r="D567" t="str">
            <v>KKM/IKN/H/13/1132</v>
          </cell>
          <cell r="E567" t="str">
            <v>13-209</v>
          </cell>
          <cell r="F567" t="str">
            <v>Pumps, Enteral Feeding</v>
          </cell>
          <cell r="G567" t="str">
            <v>IC</v>
          </cell>
          <cell r="H567" t="str">
            <v>INTENSIVE CARE UNIT</v>
          </cell>
          <cell r="I567" t="str">
            <v>05IC131</v>
          </cell>
          <cell r="J567" t="str">
            <v>ISOL 3 (+VE)</v>
          </cell>
          <cell r="K567" t="str">
            <v>BMED</v>
          </cell>
          <cell r="L567" t="str">
            <v>Normal</v>
          </cell>
          <cell r="M567" t="str">
            <v>USA</v>
          </cell>
          <cell r="N567" t="str">
            <v>Kangaroo</v>
          </cell>
          <cell r="O567" t="str">
            <v>Kangaroo ePump</v>
          </cell>
          <cell r="P567" t="str">
            <v>C1176494</v>
          </cell>
          <cell r="Q567" t="str">
            <v>Not Applicable</v>
          </cell>
          <cell r="R567" t="str">
            <v>Covidien</v>
          </cell>
          <cell r="S567" t="str">
            <v>Schmidt Biomedtech Sdn. Bhd.</v>
          </cell>
          <cell r="T567" t="str">
            <v>Functioning</v>
          </cell>
          <cell r="U567" t="str">
            <v>Asset</v>
          </cell>
          <cell r="V567">
            <v>6615</v>
          </cell>
          <cell r="W567" t="str">
            <v>KEW</v>
          </cell>
          <cell r="X567" t="str">
            <v>01/09/2010</v>
          </cell>
          <cell r="Y567" t="str">
            <v>KEW</v>
          </cell>
          <cell r="Z567" t="str">
            <v>16/08/2013</v>
          </cell>
          <cell r="AA567" t="str">
            <v>15/08/2015</v>
          </cell>
          <cell r="AB567" t="str">
            <v>No</v>
          </cell>
          <cell r="AC567" t="str">
            <v>31/08/2013</v>
          </cell>
          <cell r="AD567" t="str">
            <v>Good</v>
          </cell>
          <cell r="AE567" t="str">
            <v>V1 - Existing / No Claim</v>
          </cell>
          <cell r="AF567">
            <v>42797</v>
          </cell>
          <cell r="AG567">
            <v>9.17</v>
          </cell>
          <cell r="AH567" t="str">
            <v>PPM</v>
          </cell>
          <cell r="AI567" t="str">
            <v>Strands</v>
          </cell>
          <cell r="AJ567" t="str">
            <v>Strands PW</v>
          </cell>
        </row>
        <row r="568">
          <cell r="A568" t="str">
            <v>IKN400087</v>
          </cell>
          <cell r="B568">
            <v>87</v>
          </cell>
          <cell r="C568" t="str">
            <v>Institut Kanser Negara</v>
          </cell>
          <cell r="D568" t="str">
            <v>KKM/IKN/H/13/961</v>
          </cell>
          <cell r="E568" t="str">
            <v>13-217</v>
          </cell>
          <cell r="F568" t="str">
            <v>Infusion Pumps, Syringe</v>
          </cell>
          <cell r="G568" t="str">
            <v>IC</v>
          </cell>
          <cell r="H568" t="str">
            <v>INTENSIVE CARE UNIT</v>
          </cell>
          <cell r="I568" t="str">
            <v>05IC111</v>
          </cell>
          <cell r="J568" t="str">
            <v>ISOL 1(-VE)</v>
          </cell>
          <cell r="K568" t="str">
            <v>BMED</v>
          </cell>
          <cell r="L568" t="str">
            <v>Normal</v>
          </cell>
          <cell r="M568" t="str">
            <v>Germany</v>
          </cell>
          <cell r="N568" t="str">
            <v>Perfusor</v>
          </cell>
          <cell r="O568" t="str">
            <v>Perfusor Space</v>
          </cell>
          <cell r="P568" t="str">
            <v>143291</v>
          </cell>
          <cell r="Q568" t="str">
            <v>Not Applicable</v>
          </cell>
          <cell r="R568" t="str">
            <v>B Braun Melsungen AG</v>
          </cell>
          <cell r="S568" t="str">
            <v>B Braun Medical Supplies Sdn. Bhd.</v>
          </cell>
          <cell r="T568" t="str">
            <v>Functioning</v>
          </cell>
          <cell r="U568" t="str">
            <v>Asset</v>
          </cell>
          <cell r="V568">
            <v>10225</v>
          </cell>
          <cell r="W568" t="str">
            <v>KEW</v>
          </cell>
          <cell r="X568" t="str">
            <v>01/09/2010</v>
          </cell>
          <cell r="Y568" t="str">
            <v>KEW</v>
          </cell>
          <cell r="Z568" t="str">
            <v>16/08/2013</v>
          </cell>
          <cell r="AA568" t="str">
            <v>15/08/2015</v>
          </cell>
          <cell r="AB568" t="str">
            <v>No</v>
          </cell>
          <cell r="AC568" t="str">
            <v>31/08/2013</v>
          </cell>
          <cell r="AD568" t="str">
            <v>Good</v>
          </cell>
          <cell r="AE568" t="str">
            <v>V1 - Existing / No Claim</v>
          </cell>
          <cell r="AF568">
            <v>42235</v>
          </cell>
          <cell r="AG568">
            <v>9.17</v>
          </cell>
          <cell r="AH568" t="str">
            <v>PPM</v>
          </cell>
          <cell r="AI568" t="str">
            <v>Strands</v>
          </cell>
          <cell r="AJ568" t="str">
            <v>Strands PW</v>
          </cell>
        </row>
        <row r="569">
          <cell r="A569" t="str">
            <v>IKN400088</v>
          </cell>
          <cell r="B569">
            <v>88</v>
          </cell>
          <cell r="C569" t="str">
            <v>Institut Kanser Negara</v>
          </cell>
          <cell r="D569" t="str">
            <v>KKM/IKN/H/13/962</v>
          </cell>
          <cell r="E569" t="str">
            <v>13-217</v>
          </cell>
          <cell r="F569" t="str">
            <v>Infusion Pumps, Syringe</v>
          </cell>
          <cell r="G569" t="str">
            <v>IC</v>
          </cell>
          <cell r="H569" t="str">
            <v>INTENSIVE CARE UNIT</v>
          </cell>
          <cell r="I569" t="str">
            <v>05IC111</v>
          </cell>
          <cell r="J569" t="str">
            <v>ISOL 1(-VE)</v>
          </cell>
          <cell r="K569" t="str">
            <v>BMED</v>
          </cell>
          <cell r="L569" t="str">
            <v>Normal</v>
          </cell>
          <cell r="M569" t="str">
            <v>Germany</v>
          </cell>
          <cell r="N569" t="str">
            <v>Perfusor</v>
          </cell>
          <cell r="O569" t="str">
            <v>Perfusor Space</v>
          </cell>
          <cell r="P569" t="str">
            <v>186992</v>
          </cell>
          <cell r="Q569" t="str">
            <v>Not Applicable</v>
          </cell>
          <cell r="R569" t="str">
            <v>B Braun Melsungen AG</v>
          </cell>
          <cell r="S569" t="str">
            <v>B Braun Medical Supplies Sdn. Bhd.</v>
          </cell>
          <cell r="T569" t="str">
            <v>Functioning</v>
          </cell>
          <cell r="U569" t="str">
            <v>Asset</v>
          </cell>
          <cell r="V569">
            <v>10225</v>
          </cell>
          <cell r="W569" t="str">
            <v>KEW</v>
          </cell>
          <cell r="X569" t="str">
            <v>01/09/2010</v>
          </cell>
          <cell r="Y569" t="str">
            <v>KEW</v>
          </cell>
          <cell r="Z569" t="str">
            <v>16/08/2013</v>
          </cell>
          <cell r="AA569" t="str">
            <v>15/08/2015</v>
          </cell>
          <cell r="AB569" t="str">
            <v>No</v>
          </cell>
          <cell r="AC569" t="str">
            <v>31/08/2013</v>
          </cell>
          <cell r="AD569" t="str">
            <v>Good</v>
          </cell>
          <cell r="AE569" t="str">
            <v>V1 - Existing / No Claim</v>
          </cell>
          <cell r="AF569">
            <v>42235</v>
          </cell>
          <cell r="AG569">
            <v>9.17</v>
          </cell>
          <cell r="AH569" t="str">
            <v>PPM</v>
          </cell>
          <cell r="AI569" t="str">
            <v>Strands</v>
          </cell>
          <cell r="AJ569" t="str">
            <v>Strands PW</v>
          </cell>
        </row>
        <row r="570">
          <cell r="A570" t="str">
            <v>IKN400089</v>
          </cell>
          <cell r="B570">
            <v>89</v>
          </cell>
          <cell r="C570" t="str">
            <v>Institut Kanser Negara</v>
          </cell>
          <cell r="D570" t="str">
            <v>KKM/IKN/H/13/963</v>
          </cell>
          <cell r="E570" t="str">
            <v>13-217</v>
          </cell>
          <cell r="F570" t="str">
            <v>Infusion Pumps, Syringe</v>
          </cell>
          <cell r="G570" t="str">
            <v>IC</v>
          </cell>
          <cell r="H570" t="str">
            <v>INTENSIVE CARE UNIT</v>
          </cell>
          <cell r="I570" t="str">
            <v>05IC111</v>
          </cell>
          <cell r="J570" t="str">
            <v>ISOL 1(-VE)</v>
          </cell>
          <cell r="K570" t="str">
            <v>BMED</v>
          </cell>
          <cell r="L570" t="str">
            <v>Normal</v>
          </cell>
          <cell r="M570" t="str">
            <v>Germany</v>
          </cell>
          <cell r="N570" t="str">
            <v>Perfusor</v>
          </cell>
          <cell r="O570" t="str">
            <v>Perfusor Space</v>
          </cell>
          <cell r="P570" t="str">
            <v>186990</v>
          </cell>
          <cell r="Q570" t="str">
            <v>Not Applicable</v>
          </cell>
          <cell r="R570" t="str">
            <v>B Braun Melsungen AG</v>
          </cell>
          <cell r="S570" t="str">
            <v>B Braun Medical Supplies Sdn. Bhd.</v>
          </cell>
          <cell r="T570" t="str">
            <v>Functioning</v>
          </cell>
          <cell r="U570" t="str">
            <v>Asset</v>
          </cell>
          <cell r="V570">
            <v>10225</v>
          </cell>
          <cell r="W570" t="str">
            <v>KEW</v>
          </cell>
          <cell r="X570" t="str">
            <v>01/09/2010</v>
          </cell>
          <cell r="Y570" t="str">
            <v>KEW</v>
          </cell>
          <cell r="Z570" t="str">
            <v>16/08/2013</v>
          </cell>
          <cell r="AA570" t="str">
            <v>15/08/2015</v>
          </cell>
          <cell r="AB570" t="str">
            <v>No</v>
          </cell>
          <cell r="AC570" t="str">
            <v>31/08/2013</v>
          </cell>
          <cell r="AD570" t="str">
            <v>Good</v>
          </cell>
          <cell r="AE570" t="str">
            <v>V1 - Existing / No Claim</v>
          </cell>
          <cell r="AF570">
            <v>42235</v>
          </cell>
          <cell r="AG570">
            <v>9.17</v>
          </cell>
          <cell r="AH570" t="str">
            <v>PPM</v>
          </cell>
          <cell r="AI570" t="str">
            <v>Strands</v>
          </cell>
          <cell r="AJ570" t="str">
            <v>Strands PW</v>
          </cell>
        </row>
        <row r="571">
          <cell r="A571" t="str">
            <v>IKN400090</v>
          </cell>
          <cell r="B571">
            <v>90</v>
          </cell>
          <cell r="C571" t="str">
            <v>Institut Kanser Negara</v>
          </cell>
          <cell r="D571" t="str">
            <v>KKM/IKN/H/13/964</v>
          </cell>
          <cell r="E571" t="str">
            <v>13-217</v>
          </cell>
          <cell r="F571" t="str">
            <v>Infusion Pumps, Syringe</v>
          </cell>
          <cell r="G571" t="str">
            <v>IC</v>
          </cell>
          <cell r="H571" t="str">
            <v>INTENSIVE CARE UNIT</v>
          </cell>
          <cell r="I571" t="str">
            <v>05IC111</v>
          </cell>
          <cell r="J571" t="str">
            <v>ISOL 1(-VE)</v>
          </cell>
          <cell r="K571" t="str">
            <v>BMED</v>
          </cell>
          <cell r="L571" t="str">
            <v>Normal</v>
          </cell>
          <cell r="M571" t="str">
            <v>Germany</v>
          </cell>
          <cell r="N571" t="str">
            <v>Perfusor</v>
          </cell>
          <cell r="O571" t="str">
            <v>Perfusor Space</v>
          </cell>
          <cell r="P571" t="str">
            <v>187023</v>
          </cell>
          <cell r="Q571" t="str">
            <v>Not Applicable</v>
          </cell>
          <cell r="R571" t="str">
            <v>B Braun Melsungen AG</v>
          </cell>
          <cell r="S571" t="str">
            <v>B Braun Medical Supplies Sdn. Bhd.</v>
          </cell>
          <cell r="T571" t="str">
            <v>Functioning</v>
          </cell>
          <cell r="U571" t="str">
            <v>Asset</v>
          </cell>
          <cell r="V571">
            <v>10225</v>
          </cell>
          <cell r="W571" t="str">
            <v>KEW</v>
          </cell>
          <cell r="X571" t="str">
            <v>01/09/2010</v>
          </cell>
          <cell r="Y571" t="str">
            <v>KEW</v>
          </cell>
          <cell r="Z571" t="str">
            <v>16/08/2013</v>
          </cell>
          <cell r="AA571" t="str">
            <v>15/08/2015</v>
          </cell>
          <cell r="AB571" t="str">
            <v>No</v>
          </cell>
          <cell r="AC571" t="str">
            <v>31/08/2013</v>
          </cell>
          <cell r="AD571" t="str">
            <v>Good</v>
          </cell>
          <cell r="AE571" t="str">
            <v>V1 - Existing / No Claim</v>
          </cell>
          <cell r="AF571">
            <v>42235</v>
          </cell>
          <cell r="AG571">
            <v>9.17</v>
          </cell>
          <cell r="AH571" t="str">
            <v>PPM</v>
          </cell>
          <cell r="AI571" t="str">
            <v>Strands</v>
          </cell>
          <cell r="AJ571" t="str">
            <v>Strands PW</v>
          </cell>
        </row>
        <row r="572">
          <cell r="A572" t="str">
            <v>IKN400091</v>
          </cell>
          <cell r="B572">
            <v>91</v>
          </cell>
          <cell r="C572" t="str">
            <v>Institut Kanser Negara</v>
          </cell>
          <cell r="D572" t="str">
            <v>KKM/IKN/H/13/2054</v>
          </cell>
          <cell r="E572" t="str">
            <v>13-217</v>
          </cell>
          <cell r="F572" t="str">
            <v>Infusion Pumps, Syringe</v>
          </cell>
          <cell r="G572" t="str">
            <v>IC</v>
          </cell>
          <cell r="H572" t="str">
            <v>INTENSIVE CARE UNIT</v>
          </cell>
          <cell r="I572" t="str">
            <v>05IC111</v>
          </cell>
          <cell r="J572" t="str">
            <v>ISOL 1(-VE)</v>
          </cell>
          <cell r="K572" t="str">
            <v>BMED</v>
          </cell>
          <cell r="L572" t="str">
            <v>Normal</v>
          </cell>
          <cell r="M572" t="str">
            <v>Germany</v>
          </cell>
          <cell r="N572" t="str">
            <v>Perfusor</v>
          </cell>
          <cell r="O572" t="str">
            <v>Perfusor Space</v>
          </cell>
          <cell r="P572" t="str">
            <v>186985</v>
          </cell>
          <cell r="Q572" t="str">
            <v>Not Applicable</v>
          </cell>
          <cell r="R572" t="str">
            <v>B Braun Melsungen AG</v>
          </cell>
          <cell r="S572" t="str">
            <v>B Braun Medical Supplies Sdn. Bhd.</v>
          </cell>
          <cell r="T572" t="str">
            <v>Functioning</v>
          </cell>
          <cell r="U572" t="str">
            <v>Asset</v>
          </cell>
          <cell r="V572">
            <v>10225</v>
          </cell>
          <cell r="W572" t="str">
            <v>KEW</v>
          </cell>
          <cell r="X572" t="str">
            <v>01/09/2010</v>
          </cell>
          <cell r="Y572" t="str">
            <v>KEW</v>
          </cell>
          <cell r="Z572" t="str">
            <v>16/08/2013</v>
          </cell>
          <cell r="AA572" t="str">
            <v>15/08/2015</v>
          </cell>
          <cell r="AB572" t="str">
            <v>No</v>
          </cell>
          <cell r="AC572" t="str">
            <v>31/08/2013</v>
          </cell>
          <cell r="AD572" t="str">
            <v>Good</v>
          </cell>
          <cell r="AE572" t="str">
            <v>V1 - Existing / No Claim</v>
          </cell>
          <cell r="AF572">
            <v>42235</v>
          </cell>
          <cell r="AG572">
            <v>9.17</v>
          </cell>
          <cell r="AH572" t="str">
            <v>PPM</v>
          </cell>
          <cell r="AI572" t="str">
            <v>Strands</v>
          </cell>
          <cell r="AJ572" t="str">
            <v>Strands PW</v>
          </cell>
        </row>
        <row r="573">
          <cell r="A573" t="str">
            <v>IKN400092</v>
          </cell>
          <cell r="B573">
            <v>92</v>
          </cell>
          <cell r="C573" t="str">
            <v>Institut Kanser Negara</v>
          </cell>
          <cell r="D573" t="str">
            <v>KKM/IKN/H/13/965</v>
          </cell>
          <cell r="E573" t="str">
            <v>13-217</v>
          </cell>
          <cell r="F573" t="str">
            <v>Infusion Pumps, Syringe</v>
          </cell>
          <cell r="G573" t="str">
            <v>IC</v>
          </cell>
          <cell r="H573" t="str">
            <v>INTENSIVE CARE UNIT</v>
          </cell>
          <cell r="I573" t="str">
            <v>05IC111</v>
          </cell>
          <cell r="J573" t="str">
            <v>ISOL 1(-VE)</v>
          </cell>
          <cell r="K573" t="str">
            <v>BMED</v>
          </cell>
          <cell r="L573" t="str">
            <v>Normal</v>
          </cell>
          <cell r="M573" t="str">
            <v>Germany</v>
          </cell>
          <cell r="N573" t="str">
            <v>Perfusor</v>
          </cell>
          <cell r="O573" t="str">
            <v>Perfusor Space</v>
          </cell>
          <cell r="P573" t="str">
            <v>187048</v>
          </cell>
          <cell r="Q573" t="str">
            <v>Not Applicable</v>
          </cell>
          <cell r="R573" t="str">
            <v>B Braun Melsungen AG</v>
          </cell>
          <cell r="S573" t="str">
            <v>B Braun Medical Supplies Sdn. Bhd.</v>
          </cell>
          <cell r="T573" t="str">
            <v>Functioning</v>
          </cell>
          <cell r="U573" t="str">
            <v>Asset</v>
          </cell>
          <cell r="V573">
            <v>10225</v>
          </cell>
          <cell r="W573" t="str">
            <v>KEW</v>
          </cell>
          <cell r="X573" t="str">
            <v>01/09/2010</v>
          </cell>
          <cell r="Y573" t="str">
            <v>KEW</v>
          </cell>
          <cell r="Z573" t="str">
            <v>16/08/2013</v>
          </cell>
          <cell r="AA573" t="str">
            <v>15/08/2015</v>
          </cell>
          <cell r="AB573" t="str">
            <v>No</v>
          </cell>
          <cell r="AC573" t="str">
            <v>31/08/2013</v>
          </cell>
          <cell r="AD573" t="str">
            <v>Good</v>
          </cell>
          <cell r="AE573" t="str">
            <v>V1 - Existing / No Claim</v>
          </cell>
          <cell r="AF573">
            <v>42235</v>
          </cell>
          <cell r="AG573">
            <v>9.17</v>
          </cell>
          <cell r="AH573" t="str">
            <v>PPM</v>
          </cell>
          <cell r="AI573" t="str">
            <v>Strands</v>
          </cell>
          <cell r="AJ573" t="str">
            <v>Strands PW</v>
          </cell>
        </row>
        <row r="574">
          <cell r="A574" t="str">
            <v>IKN400093</v>
          </cell>
          <cell r="B574">
            <v>93</v>
          </cell>
          <cell r="C574" t="str">
            <v>Institut Kanser Negara</v>
          </cell>
          <cell r="D574" t="str">
            <v>KKM/IKN/H/13/966</v>
          </cell>
          <cell r="E574" t="str">
            <v>13-217</v>
          </cell>
          <cell r="F574" t="str">
            <v>Infusion Pumps, Syringe</v>
          </cell>
          <cell r="G574" t="str">
            <v>IC</v>
          </cell>
          <cell r="H574" t="str">
            <v>INTENSIVE CARE UNIT</v>
          </cell>
          <cell r="I574" t="str">
            <v>05IC112</v>
          </cell>
          <cell r="J574" t="str">
            <v>ICU RM 1</v>
          </cell>
          <cell r="K574" t="str">
            <v>BMED</v>
          </cell>
          <cell r="L574" t="str">
            <v>Normal</v>
          </cell>
          <cell r="M574" t="str">
            <v>Germany</v>
          </cell>
          <cell r="N574" t="str">
            <v>Perfusor</v>
          </cell>
          <cell r="O574" t="str">
            <v>Perfusor Space</v>
          </cell>
          <cell r="P574" t="str">
            <v>143224</v>
          </cell>
          <cell r="Q574" t="str">
            <v>Not Applicable</v>
          </cell>
          <cell r="R574" t="str">
            <v>B Braun Melsungen AG</v>
          </cell>
          <cell r="S574" t="str">
            <v>B Braun Medical Supplies Sdn. Bhd.</v>
          </cell>
          <cell r="T574" t="str">
            <v>Functioning</v>
          </cell>
          <cell r="U574" t="str">
            <v>Asset</v>
          </cell>
          <cell r="V574">
            <v>10225</v>
          </cell>
          <cell r="W574" t="str">
            <v>KEW</v>
          </cell>
          <cell r="X574" t="str">
            <v>01/09/2010</v>
          </cell>
          <cell r="Y574" t="str">
            <v>KEW</v>
          </cell>
          <cell r="Z574" t="str">
            <v>16/08/2013</v>
          </cell>
          <cell r="AA574" t="str">
            <v>15/08/2015</v>
          </cell>
          <cell r="AB574" t="str">
            <v>No</v>
          </cell>
          <cell r="AC574" t="str">
            <v>31/08/2013</v>
          </cell>
          <cell r="AD574" t="str">
            <v>Good</v>
          </cell>
          <cell r="AE574" t="str">
            <v>V1 - Existing / No Claim</v>
          </cell>
          <cell r="AF574">
            <v>42235</v>
          </cell>
          <cell r="AG574">
            <v>9.17</v>
          </cell>
          <cell r="AH574" t="str">
            <v>PPM</v>
          </cell>
          <cell r="AI574" t="str">
            <v>Strands</v>
          </cell>
          <cell r="AJ574" t="str">
            <v>Strands PW</v>
          </cell>
        </row>
        <row r="575">
          <cell r="A575" t="str">
            <v>IKN400094</v>
          </cell>
          <cell r="B575">
            <v>94</v>
          </cell>
          <cell r="C575" t="str">
            <v>Institut Kanser Negara</v>
          </cell>
          <cell r="D575" t="str">
            <v>KKM/IKN/H/13/1189</v>
          </cell>
          <cell r="E575" t="str">
            <v>13-217</v>
          </cell>
          <cell r="F575" t="str">
            <v>Infusion Pumps, Syringe</v>
          </cell>
          <cell r="G575" t="str">
            <v>IC</v>
          </cell>
          <cell r="H575" t="str">
            <v>INTENSIVE CARE UNIT</v>
          </cell>
          <cell r="I575" t="str">
            <v>05IC112</v>
          </cell>
          <cell r="J575" t="str">
            <v>ICU RM 1</v>
          </cell>
          <cell r="K575" t="str">
            <v>BMED</v>
          </cell>
          <cell r="L575" t="str">
            <v>Normal</v>
          </cell>
          <cell r="M575" t="str">
            <v>Germany</v>
          </cell>
          <cell r="N575" t="str">
            <v>Perfusor</v>
          </cell>
          <cell r="O575" t="str">
            <v>Perfusor Space</v>
          </cell>
          <cell r="P575" t="str">
            <v>143326</v>
          </cell>
          <cell r="Q575" t="str">
            <v>Not Applicable</v>
          </cell>
          <cell r="R575" t="str">
            <v>B Braun Melsungen AG</v>
          </cell>
          <cell r="S575" t="str">
            <v>B Braun Medical Supplies Sdn. Bhd.</v>
          </cell>
          <cell r="T575" t="str">
            <v>Functioning</v>
          </cell>
          <cell r="U575" t="str">
            <v>Asset</v>
          </cell>
          <cell r="V575">
            <v>10225</v>
          </cell>
          <cell r="W575" t="str">
            <v>KEW</v>
          </cell>
          <cell r="X575" t="str">
            <v>01/09/2010</v>
          </cell>
          <cell r="Y575" t="str">
            <v>KEW</v>
          </cell>
          <cell r="Z575" t="str">
            <v>16/08/2013</v>
          </cell>
          <cell r="AA575" t="str">
            <v>15/08/2015</v>
          </cell>
          <cell r="AB575" t="str">
            <v>No</v>
          </cell>
          <cell r="AC575" t="str">
            <v>31/08/2013</v>
          </cell>
          <cell r="AD575" t="str">
            <v>Good</v>
          </cell>
          <cell r="AE575" t="str">
            <v>V1 - Existing / No Claim</v>
          </cell>
          <cell r="AF575">
            <v>42235</v>
          </cell>
          <cell r="AG575">
            <v>9.17</v>
          </cell>
          <cell r="AH575" t="str">
            <v>PPM</v>
          </cell>
          <cell r="AI575" t="str">
            <v>Strands</v>
          </cell>
          <cell r="AJ575" t="str">
            <v>Strands PW SET A</v>
          </cell>
          <cell r="AK575" t="str">
            <v>CUBA CHECK IKN401165 PUNYA KEWPA</v>
          </cell>
        </row>
        <row r="576">
          <cell r="A576" t="str">
            <v>IKN400095</v>
          </cell>
          <cell r="B576">
            <v>95</v>
          </cell>
          <cell r="C576" t="str">
            <v>Institut Kanser Negara</v>
          </cell>
          <cell r="D576" t="str">
            <v>KKM/IKN/H/13/967</v>
          </cell>
          <cell r="E576" t="str">
            <v>13-217</v>
          </cell>
          <cell r="F576" t="str">
            <v>Infusion Pumps, Syringe</v>
          </cell>
          <cell r="G576" t="str">
            <v>IC</v>
          </cell>
          <cell r="H576" t="str">
            <v>INTENSIVE CARE UNIT</v>
          </cell>
          <cell r="I576" t="str">
            <v>05IC112</v>
          </cell>
          <cell r="J576" t="str">
            <v>ICU RM 1</v>
          </cell>
          <cell r="K576" t="str">
            <v>BMED</v>
          </cell>
          <cell r="L576" t="str">
            <v>Normal</v>
          </cell>
          <cell r="M576" t="str">
            <v>Germany</v>
          </cell>
          <cell r="N576" t="str">
            <v>Perfusor</v>
          </cell>
          <cell r="O576" t="str">
            <v>Perfusor Space</v>
          </cell>
          <cell r="P576" t="str">
            <v>186593</v>
          </cell>
          <cell r="Q576" t="str">
            <v>Not Applicable</v>
          </cell>
          <cell r="R576" t="str">
            <v>B Braun Melsungen AG</v>
          </cell>
          <cell r="S576" t="str">
            <v>B Braun Medical Supplies Sdn. Bhd.</v>
          </cell>
          <cell r="T576" t="str">
            <v>Functioning</v>
          </cell>
          <cell r="U576" t="str">
            <v>Asset</v>
          </cell>
          <cell r="V576">
            <v>10225</v>
          </cell>
          <cell r="W576" t="str">
            <v>KEW</v>
          </cell>
          <cell r="X576" t="str">
            <v>01/09/2010</v>
          </cell>
          <cell r="Y576" t="str">
            <v>KEW</v>
          </cell>
          <cell r="Z576" t="str">
            <v>16/08/2013</v>
          </cell>
          <cell r="AA576" t="str">
            <v>15/08/2015</v>
          </cell>
          <cell r="AB576" t="str">
            <v>No</v>
          </cell>
          <cell r="AC576" t="str">
            <v>31/08/2013</v>
          </cell>
          <cell r="AD576" t="str">
            <v>Good</v>
          </cell>
          <cell r="AE576" t="str">
            <v>V1 - Existing / No Claim</v>
          </cell>
          <cell r="AF576">
            <v>42235</v>
          </cell>
          <cell r="AG576">
            <v>9.17</v>
          </cell>
          <cell r="AH576" t="str">
            <v>PPM</v>
          </cell>
          <cell r="AI576" t="str">
            <v>Strands</v>
          </cell>
          <cell r="AJ576" t="str">
            <v>Strands PW</v>
          </cell>
        </row>
        <row r="577">
          <cell r="A577" t="str">
            <v>IKN400096</v>
          </cell>
          <cell r="B577">
            <v>96</v>
          </cell>
          <cell r="C577" t="str">
            <v>Institut Kanser Negara</v>
          </cell>
          <cell r="D577" t="str">
            <v>KKM/IKN/H/13/968</v>
          </cell>
          <cell r="E577" t="str">
            <v>13-217</v>
          </cell>
          <cell r="F577" t="str">
            <v>Infusion Pumps, Syringe</v>
          </cell>
          <cell r="G577" t="str">
            <v>IC</v>
          </cell>
          <cell r="H577" t="str">
            <v>INTENSIVE CARE UNIT</v>
          </cell>
          <cell r="I577" t="str">
            <v>05IC112</v>
          </cell>
          <cell r="J577" t="str">
            <v>ICU RM 1</v>
          </cell>
          <cell r="K577" t="str">
            <v>BMED</v>
          </cell>
          <cell r="L577" t="str">
            <v>Normal</v>
          </cell>
          <cell r="M577" t="str">
            <v>Germany</v>
          </cell>
          <cell r="N577" t="str">
            <v>Perfusor</v>
          </cell>
          <cell r="O577" t="str">
            <v>Perfusor Space</v>
          </cell>
          <cell r="P577" t="str">
            <v>186973</v>
          </cell>
          <cell r="Q577" t="str">
            <v>Not Applicable</v>
          </cell>
          <cell r="R577" t="str">
            <v>B Braun Melsungen AG</v>
          </cell>
          <cell r="S577" t="str">
            <v>B Braun Medical Supplies Sdn. Bhd.</v>
          </cell>
          <cell r="T577" t="str">
            <v>Functioning</v>
          </cell>
          <cell r="U577" t="str">
            <v>Asset</v>
          </cell>
          <cell r="V577">
            <v>10225</v>
          </cell>
          <cell r="W577" t="str">
            <v>KEW</v>
          </cell>
          <cell r="X577" t="str">
            <v>01/09/2010</v>
          </cell>
          <cell r="Y577" t="str">
            <v>KEW</v>
          </cell>
          <cell r="Z577" t="str">
            <v>16/08/2013</v>
          </cell>
          <cell r="AA577" t="str">
            <v>15/08/2015</v>
          </cell>
          <cell r="AB577" t="str">
            <v>No</v>
          </cell>
          <cell r="AC577" t="str">
            <v>31/08/2013</v>
          </cell>
          <cell r="AD577" t="str">
            <v>Good</v>
          </cell>
          <cell r="AE577" t="str">
            <v>V1 - Existing / No Claim</v>
          </cell>
          <cell r="AF577">
            <v>42235</v>
          </cell>
          <cell r="AG577">
            <v>9.17</v>
          </cell>
          <cell r="AH577" t="str">
            <v>PPM</v>
          </cell>
          <cell r="AI577" t="str">
            <v>Strands</v>
          </cell>
          <cell r="AJ577" t="str">
            <v>Strands PW</v>
          </cell>
        </row>
        <row r="578">
          <cell r="A578" t="str">
            <v>IKN400097</v>
          </cell>
          <cell r="B578">
            <v>97</v>
          </cell>
          <cell r="C578" t="str">
            <v>Institut Kanser Negara</v>
          </cell>
          <cell r="D578" t="str">
            <v>KKM/IKN/H/13/969</v>
          </cell>
          <cell r="E578" t="str">
            <v>13-217</v>
          </cell>
          <cell r="F578" t="str">
            <v>Infusion Pumps, Syringe</v>
          </cell>
          <cell r="G578" t="str">
            <v>IC</v>
          </cell>
          <cell r="H578" t="str">
            <v>INTENSIVE CARE UNIT</v>
          </cell>
          <cell r="I578" t="str">
            <v>05IC112</v>
          </cell>
          <cell r="J578" t="str">
            <v>ICU RM 1</v>
          </cell>
          <cell r="K578" t="str">
            <v>BMED</v>
          </cell>
          <cell r="L578" t="str">
            <v>Normal</v>
          </cell>
          <cell r="M578" t="str">
            <v>Germany</v>
          </cell>
          <cell r="N578" t="str">
            <v>Perfusor</v>
          </cell>
          <cell r="O578" t="str">
            <v>Perfusor Space</v>
          </cell>
          <cell r="P578" t="str">
            <v>187025</v>
          </cell>
          <cell r="Q578" t="str">
            <v>Not Applicable</v>
          </cell>
          <cell r="R578" t="str">
            <v>B Braun Melsungen AG</v>
          </cell>
          <cell r="S578" t="str">
            <v>B Braun Medical Supplies Sdn. Bhd.</v>
          </cell>
          <cell r="T578" t="str">
            <v>Functioning</v>
          </cell>
          <cell r="U578" t="str">
            <v>Asset</v>
          </cell>
          <cell r="V578">
            <v>10225</v>
          </cell>
          <cell r="W578" t="str">
            <v>KEW</v>
          </cell>
          <cell r="X578" t="str">
            <v>01/09/2010</v>
          </cell>
          <cell r="Y578" t="str">
            <v>KEW</v>
          </cell>
          <cell r="Z578" t="str">
            <v>16/08/2013</v>
          </cell>
          <cell r="AA578" t="str">
            <v>15/08/2015</v>
          </cell>
          <cell r="AB578" t="str">
            <v>No</v>
          </cell>
          <cell r="AC578" t="str">
            <v>31/08/2013</v>
          </cell>
          <cell r="AD578" t="str">
            <v>Good</v>
          </cell>
          <cell r="AE578" t="str">
            <v>V1 - Existing / No Claim</v>
          </cell>
          <cell r="AF578">
            <v>42235</v>
          </cell>
          <cell r="AG578">
            <v>9.17</v>
          </cell>
          <cell r="AH578" t="str">
            <v>PPM</v>
          </cell>
          <cell r="AI578" t="str">
            <v>Strands</v>
          </cell>
          <cell r="AJ578" t="str">
            <v>Strands PW</v>
          </cell>
        </row>
        <row r="579">
          <cell r="A579" t="str">
            <v>IKN400098</v>
          </cell>
          <cell r="B579">
            <v>98</v>
          </cell>
          <cell r="C579" t="str">
            <v>Institut Kanser Negara</v>
          </cell>
          <cell r="D579" t="str">
            <v>KKM/IKN/H/13/970</v>
          </cell>
          <cell r="E579" t="str">
            <v>13-217</v>
          </cell>
          <cell r="F579" t="str">
            <v>Infusion Pumps, Syringe</v>
          </cell>
          <cell r="G579" t="str">
            <v>IC</v>
          </cell>
          <cell r="H579" t="str">
            <v>INTENSIVE CARE UNIT</v>
          </cell>
          <cell r="I579" t="str">
            <v>05IC112</v>
          </cell>
          <cell r="J579" t="str">
            <v>ICU RM 1</v>
          </cell>
          <cell r="K579" t="str">
            <v>BMED</v>
          </cell>
          <cell r="L579" t="str">
            <v>Normal</v>
          </cell>
          <cell r="M579" t="str">
            <v>Germany</v>
          </cell>
          <cell r="N579" t="str">
            <v>Perfusor</v>
          </cell>
          <cell r="O579" t="str">
            <v>Perfusor Space</v>
          </cell>
          <cell r="P579" t="str">
            <v>187038</v>
          </cell>
          <cell r="Q579" t="str">
            <v>Not Applicable</v>
          </cell>
          <cell r="R579" t="str">
            <v>B Braun Melsungen AG</v>
          </cell>
          <cell r="S579" t="str">
            <v>B Braun Medical Supplies Sdn. Bhd.</v>
          </cell>
          <cell r="T579" t="str">
            <v>Functioning</v>
          </cell>
          <cell r="U579" t="str">
            <v>Asset</v>
          </cell>
          <cell r="V579">
            <v>10225</v>
          </cell>
          <cell r="W579" t="str">
            <v>KEW</v>
          </cell>
          <cell r="X579" t="str">
            <v>01/09/2010</v>
          </cell>
          <cell r="Y579" t="str">
            <v>KEW</v>
          </cell>
          <cell r="Z579" t="str">
            <v>16/08/2013</v>
          </cell>
          <cell r="AA579" t="str">
            <v>15/08/2015</v>
          </cell>
          <cell r="AB579" t="str">
            <v>No</v>
          </cell>
          <cell r="AC579" t="str">
            <v>31/08/2013</v>
          </cell>
          <cell r="AD579" t="str">
            <v>Good</v>
          </cell>
          <cell r="AE579" t="str">
            <v>V1 - Existing / No Claim</v>
          </cell>
          <cell r="AF579">
            <v>42235</v>
          </cell>
          <cell r="AG579">
            <v>9.17</v>
          </cell>
          <cell r="AH579" t="str">
            <v>PPM</v>
          </cell>
          <cell r="AI579" t="str">
            <v>Strands</v>
          </cell>
          <cell r="AJ579" t="str">
            <v>Strands PW</v>
          </cell>
        </row>
        <row r="580">
          <cell r="A580" t="str">
            <v>IKN400099</v>
          </cell>
          <cell r="B580">
            <v>99</v>
          </cell>
          <cell r="C580" t="str">
            <v>Institut Kanser Negara</v>
          </cell>
          <cell r="D580" t="str">
            <v>KKM/IKN/H/13/971</v>
          </cell>
          <cell r="E580" t="str">
            <v>13-217</v>
          </cell>
          <cell r="F580" t="str">
            <v>Infusion Pumps, Syringe</v>
          </cell>
          <cell r="G580" t="str">
            <v>IC</v>
          </cell>
          <cell r="H580" t="str">
            <v>INTENSIVE CARE UNIT</v>
          </cell>
          <cell r="I580" t="str">
            <v>05IC113</v>
          </cell>
          <cell r="J580" t="str">
            <v>ICU RM 2</v>
          </cell>
          <cell r="K580" t="str">
            <v>BMED</v>
          </cell>
          <cell r="L580" t="str">
            <v>Critical</v>
          </cell>
          <cell r="M580" t="str">
            <v>Germany</v>
          </cell>
          <cell r="N580" t="str">
            <v>Perfusor</v>
          </cell>
          <cell r="O580" t="str">
            <v>Perfusor Space</v>
          </cell>
          <cell r="P580" t="str">
            <v>186972</v>
          </cell>
          <cell r="Q580" t="str">
            <v>Not Applicable</v>
          </cell>
          <cell r="R580" t="str">
            <v>B Braun Melsungen AG</v>
          </cell>
          <cell r="S580" t="str">
            <v>B Braun Medical Supplies Sdn. Bhd.</v>
          </cell>
          <cell r="T580" t="str">
            <v>Functioning</v>
          </cell>
          <cell r="U580" t="str">
            <v>Asset</v>
          </cell>
          <cell r="V580">
            <v>10225</v>
          </cell>
          <cell r="W580" t="str">
            <v>KEW</v>
          </cell>
          <cell r="X580" t="str">
            <v>01/09/2010</v>
          </cell>
          <cell r="Y580" t="str">
            <v>KEW</v>
          </cell>
          <cell r="Z580" t="str">
            <v>16/08/2013</v>
          </cell>
          <cell r="AA580" t="str">
            <v>15/08/2015</v>
          </cell>
          <cell r="AB580" t="str">
            <v>No</v>
          </cell>
          <cell r="AC580" t="str">
            <v>31/08/2013</v>
          </cell>
          <cell r="AD580" t="str">
            <v>Good</v>
          </cell>
          <cell r="AE580" t="str">
            <v>V1 - Existing / No Claim</v>
          </cell>
          <cell r="AF580">
            <v>42797</v>
          </cell>
          <cell r="AG580">
            <v>9.17</v>
          </cell>
          <cell r="AH580" t="str">
            <v>PPM</v>
          </cell>
          <cell r="AI580" t="str">
            <v>Strands</v>
          </cell>
          <cell r="AJ580" t="str">
            <v>Strands PW</v>
          </cell>
        </row>
        <row r="581">
          <cell r="A581" t="str">
            <v>IKN400100</v>
          </cell>
          <cell r="B581">
            <v>100</v>
          </cell>
          <cell r="C581" t="str">
            <v>Institut Kanser Negara</v>
          </cell>
          <cell r="D581" t="str">
            <v>KKM/IKN/H/13/972</v>
          </cell>
          <cell r="E581" t="str">
            <v>13-217</v>
          </cell>
          <cell r="F581" t="str">
            <v>Infusion Pumps, Syringe</v>
          </cell>
          <cell r="G581" t="str">
            <v>IC</v>
          </cell>
          <cell r="H581" t="str">
            <v>INTENSIVE CARE UNIT</v>
          </cell>
          <cell r="I581" t="str">
            <v>05IC113</v>
          </cell>
          <cell r="J581" t="str">
            <v>ICU RM 2</v>
          </cell>
          <cell r="K581" t="str">
            <v>BMED</v>
          </cell>
          <cell r="L581" t="str">
            <v>Critical</v>
          </cell>
          <cell r="M581" t="str">
            <v>Germany</v>
          </cell>
          <cell r="N581" t="str">
            <v>Perfusor</v>
          </cell>
          <cell r="O581" t="str">
            <v>Perfusor Space</v>
          </cell>
          <cell r="P581" t="str">
            <v>186981</v>
          </cell>
          <cell r="Q581" t="str">
            <v>Not Applicable</v>
          </cell>
          <cell r="R581" t="str">
            <v>B Braun Melsungen AG</v>
          </cell>
          <cell r="S581" t="str">
            <v>B Braun Medical Supplies Sdn. Bhd.</v>
          </cell>
          <cell r="T581" t="str">
            <v>Functioning</v>
          </cell>
          <cell r="U581" t="str">
            <v>Asset</v>
          </cell>
          <cell r="V581">
            <v>10225</v>
          </cell>
          <cell r="W581" t="str">
            <v>KEW</v>
          </cell>
          <cell r="X581" t="str">
            <v>01/09/2010</v>
          </cell>
          <cell r="Y581" t="str">
            <v>KEW</v>
          </cell>
          <cell r="Z581" t="str">
            <v>16/08/2013</v>
          </cell>
          <cell r="AA581" t="str">
            <v>15/08/2015</v>
          </cell>
          <cell r="AB581" t="str">
            <v>No</v>
          </cell>
          <cell r="AC581" t="str">
            <v>31/08/2013</v>
          </cell>
          <cell r="AD581" t="str">
            <v>Good</v>
          </cell>
          <cell r="AE581" t="str">
            <v>V1 - Existing / No Claim</v>
          </cell>
          <cell r="AF581">
            <v>42797</v>
          </cell>
          <cell r="AG581">
            <v>9.17</v>
          </cell>
          <cell r="AH581" t="str">
            <v>PPM</v>
          </cell>
          <cell r="AI581" t="str">
            <v>Strands</v>
          </cell>
          <cell r="AJ581" t="str">
            <v>Strands PW</v>
          </cell>
        </row>
        <row r="582">
          <cell r="A582" t="str">
            <v>IKN400101</v>
          </cell>
          <cell r="B582">
            <v>101</v>
          </cell>
          <cell r="C582" t="str">
            <v>Institut Kanser Negara</v>
          </cell>
          <cell r="D582" t="str">
            <v>KKM/IKN/H/13/973</v>
          </cell>
          <cell r="E582" t="str">
            <v>13-217</v>
          </cell>
          <cell r="F582" t="str">
            <v>Infusion Pumps, Syringe</v>
          </cell>
          <cell r="G582" t="str">
            <v>IC</v>
          </cell>
          <cell r="H582" t="str">
            <v>INTENSIVE CARE UNIT</v>
          </cell>
          <cell r="I582" t="str">
            <v>05IC113</v>
          </cell>
          <cell r="J582" t="str">
            <v>ICU RM 2</v>
          </cell>
          <cell r="K582" t="str">
            <v>BMED</v>
          </cell>
          <cell r="L582" t="str">
            <v>Critical</v>
          </cell>
          <cell r="M582" t="str">
            <v>Germany</v>
          </cell>
          <cell r="N582" t="str">
            <v>Perfusor</v>
          </cell>
          <cell r="O582" t="str">
            <v>Perfusor Space</v>
          </cell>
          <cell r="P582" t="str">
            <v>186983</v>
          </cell>
          <cell r="Q582" t="str">
            <v>Not Applicable</v>
          </cell>
          <cell r="R582" t="str">
            <v>B Braun Melsungen AG</v>
          </cell>
          <cell r="S582" t="str">
            <v>B Braun Medical Supplies Sdn. Bhd.</v>
          </cell>
          <cell r="T582" t="str">
            <v>Functioning</v>
          </cell>
          <cell r="U582" t="str">
            <v>Asset</v>
          </cell>
          <cell r="V582">
            <v>10225</v>
          </cell>
          <cell r="W582" t="str">
            <v>KEW</v>
          </cell>
          <cell r="X582" t="str">
            <v>01/09/2010</v>
          </cell>
          <cell r="Y582" t="str">
            <v>KEW</v>
          </cell>
          <cell r="Z582" t="str">
            <v>16/08/2013</v>
          </cell>
          <cell r="AA582" t="str">
            <v>15/08/2015</v>
          </cell>
          <cell r="AB582" t="str">
            <v>No</v>
          </cell>
          <cell r="AC582" t="str">
            <v>31/08/2013</v>
          </cell>
          <cell r="AD582" t="str">
            <v>Good</v>
          </cell>
          <cell r="AE582" t="str">
            <v>V1 - Existing / No Claim</v>
          </cell>
          <cell r="AF582">
            <v>42797</v>
          </cell>
          <cell r="AG582">
            <v>9.17</v>
          </cell>
          <cell r="AH582" t="str">
            <v>PPM</v>
          </cell>
          <cell r="AI582" t="str">
            <v>Strands</v>
          </cell>
          <cell r="AJ582" t="str">
            <v>Strands PW</v>
          </cell>
        </row>
        <row r="583">
          <cell r="A583" t="str">
            <v>IKN400102</v>
          </cell>
          <cell r="B583">
            <v>102</v>
          </cell>
          <cell r="C583" t="str">
            <v>Institut Kanser Negara</v>
          </cell>
          <cell r="D583" t="str">
            <v>KKM/IKN/H/13/974</v>
          </cell>
          <cell r="E583" t="str">
            <v>13-217</v>
          </cell>
          <cell r="F583" t="str">
            <v>Infusion Pumps, Syringe</v>
          </cell>
          <cell r="G583" t="str">
            <v>IC</v>
          </cell>
          <cell r="H583" t="str">
            <v>INTENSIVE CARE UNIT</v>
          </cell>
          <cell r="I583" t="str">
            <v>05IC113</v>
          </cell>
          <cell r="J583" t="str">
            <v>ICU RM 2</v>
          </cell>
          <cell r="K583" t="str">
            <v>BMED</v>
          </cell>
          <cell r="L583" t="str">
            <v>Critical</v>
          </cell>
          <cell r="M583" t="str">
            <v>Germany</v>
          </cell>
          <cell r="N583" t="str">
            <v>Perfusor</v>
          </cell>
          <cell r="O583" t="str">
            <v>Perfusor Space</v>
          </cell>
          <cell r="P583" t="str">
            <v>187010</v>
          </cell>
          <cell r="Q583" t="str">
            <v>Not Applicable</v>
          </cell>
          <cell r="R583" t="str">
            <v>B Braun Melsungen AG</v>
          </cell>
          <cell r="S583" t="str">
            <v>B Braun Medical Supplies Sdn. Bhd.</v>
          </cell>
          <cell r="T583" t="str">
            <v>Functioning</v>
          </cell>
          <cell r="U583" t="str">
            <v>Asset</v>
          </cell>
          <cell r="V583">
            <v>10225</v>
          </cell>
          <cell r="W583" t="str">
            <v>KEW</v>
          </cell>
          <cell r="X583" t="str">
            <v>01/09/2010</v>
          </cell>
          <cell r="Y583" t="str">
            <v>KEW</v>
          </cell>
          <cell r="Z583" t="str">
            <v>16/08/2013</v>
          </cell>
          <cell r="AA583" t="str">
            <v>15/08/2015</v>
          </cell>
          <cell r="AB583" t="str">
            <v>No</v>
          </cell>
          <cell r="AC583" t="str">
            <v>31/08/2013</v>
          </cell>
          <cell r="AD583" t="str">
            <v>Good</v>
          </cell>
          <cell r="AE583" t="str">
            <v>V1 - Existing / No Claim</v>
          </cell>
          <cell r="AF583">
            <v>42797</v>
          </cell>
          <cell r="AG583">
            <v>9.17</v>
          </cell>
          <cell r="AH583" t="str">
            <v>PPM</v>
          </cell>
          <cell r="AI583" t="str">
            <v>Strands</v>
          </cell>
          <cell r="AJ583" t="str">
            <v>Strands PW</v>
          </cell>
        </row>
        <row r="584">
          <cell r="A584" t="str">
            <v>IKN400103</v>
          </cell>
          <cell r="B584">
            <v>103</v>
          </cell>
          <cell r="C584" t="str">
            <v>Institut Kanser Negara</v>
          </cell>
          <cell r="D584" t="str">
            <v>KKM/IKN/H/13/975</v>
          </cell>
          <cell r="E584" t="str">
            <v>13-217</v>
          </cell>
          <cell r="F584" t="str">
            <v>Infusion Pumps, Syringe</v>
          </cell>
          <cell r="G584" t="str">
            <v>IC</v>
          </cell>
          <cell r="H584" t="str">
            <v>INTENSIVE CARE UNIT</v>
          </cell>
          <cell r="I584" t="str">
            <v>05IC113</v>
          </cell>
          <cell r="J584" t="str">
            <v>ICU RM 2</v>
          </cell>
          <cell r="K584" t="str">
            <v>BMED</v>
          </cell>
          <cell r="L584" t="str">
            <v>Critical</v>
          </cell>
          <cell r="M584" t="str">
            <v>Germany</v>
          </cell>
          <cell r="N584" t="str">
            <v>Perfusor</v>
          </cell>
          <cell r="O584" t="str">
            <v>Perfusor Space</v>
          </cell>
          <cell r="P584" t="str">
            <v>187016</v>
          </cell>
          <cell r="Q584" t="str">
            <v>Not Applicable</v>
          </cell>
          <cell r="R584" t="str">
            <v>B Braun Melsungen AG</v>
          </cell>
          <cell r="S584" t="str">
            <v>B Braun Medical Supplies Sdn. Bhd.</v>
          </cell>
          <cell r="T584" t="str">
            <v>Functioning</v>
          </cell>
          <cell r="U584" t="str">
            <v>Asset</v>
          </cell>
          <cell r="V584">
            <v>10225</v>
          </cell>
          <cell r="W584" t="str">
            <v>KEW</v>
          </cell>
          <cell r="X584" t="str">
            <v>01/09/2010</v>
          </cell>
          <cell r="Y584" t="str">
            <v>KEW</v>
          </cell>
          <cell r="Z584" t="str">
            <v>16/08/2013</v>
          </cell>
          <cell r="AA584" t="str">
            <v>15/08/2015</v>
          </cell>
          <cell r="AB584" t="str">
            <v>No</v>
          </cell>
          <cell r="AC584" t="str">
            <v>31/08/2013</v>
          </cell>
          <cell r="AD584" t="str">
            <v>Good</v>
          </cell>
          <cell r="AE584" t="str">
            <v>V1 - Existing / No Claim</v>
          </cell>
          <cell r="AF584">
            <v>42797</v>
          </cell>
          <cell r="AG584">
            <v>9.17</v>
          </cell>
          <cell r="AH584" t="str">
            <v>PPM</v>
          </cell>
          <cell r="AI584" t="str">
            <v>Strands</v>
          </cell>
          <cell r="AJ584" t="str">
            <v>Strands PW</v>
          </cell>
        </row>
        <row r="585">
          <cell r="A585" t="str">
            <v>IKN400104</v>
          </cell>
          <cell r="B585">
            <v>104</v>
          </cell>
          <cell r="C585" t="str">
            <v>Institut Kanser Negara</v>
          </cell>
          <cell r="D585" t="str">
            <v>KKM/IKN/H/13/976</v>
          </cell>
          <cell r="E585" t="str">
            <v>13-217</v>
          </cell>
          <cell r="F585" t="str">
            <v>Infusion Pumps, Syringe</v>
          </cell>
          <cell r="G585" t="str">
            <v>IC</v>
          </cell>
          <cell r="H585" t="str">
            <v>INTENSIVE CARE UNIT</v>
          </cell>
          <cell r="I585" t="str">
            <v>05IC113</v>
          </cell>
          <cell r="J585" t="str">
            <v>ICU RM 2</v>
          </cell>
          <cell r="K585" t="str">
            <v>BMED</v>
          </cell>
          <cell r="L585" t="str">
            <v>Critical</v>
          </cell>
          <cell r="M585" t="str">
            <v>Germany</v>
          </cell>
          <cell r="N585" t="str">
            <v>Perfusor</v>
          </cell>
          <cell r="O585" t="str">
            <v>Perfusor Space</v>
          </cell>
          <cell r="P585" t="str">
            <v>187058</v>
          </cell>
          <cell r="Q585" t="str">
            <v>Not Applicable</v>
          </cell>
          <cell r="R585" t="str">
            <v>B Braun Melsungen AG</v>
          </cell>
          <cell r="S585" t="str">
            <v>B Braun Medical Supplies Sdn. Bhd.</v>
          </cell>
          <cell r="T585" t="str">
            <v>Functioning</v>
          </cell>
          <cell r="U585" t="str">
            <v>Asset</v>
          </cell>
          <cell r="V585">
            <v>10225</v>
          </cell>
          <cell r="W585" t="str">
            <v>KEW</v>
          </cell>
          <cell r="X585" t="str">
            <v>01/09/2010</v>
          </cell>
          <cell r="Y585" t="str">
            <v>KEW</v>
          </cell>
          <cell r="Z585" t="str">
            <v>16/08/2013</v>
          </cell>
          <cell r="AA585" t="str">
            <v>15/08/2015</v>
          </cell>
          <cell r="AB585" t="str">
            <v>No</v>
          </cell>
          <cell r="AC585" t="str">
            <v>31/08/2013</v>
          </cell>
          <cell r="AD585" t="str">
            <v>Good</v>
          </cell>
          <cell r="AE585" t="str">
            <v>V1 - Existing / No Claim</v>
          </cell>
          <cell r="AF585">
            <v>42797</v>
          </cell>
          <cell r="AG585">
            <v>9.17</v>
          </cell>
          <cell r="AH585" t="str">
            <v>PPM</v>
          </cell>
          <cell r="AI585" t="str">
            <v>Strands</v>
          </cell>
          <cell r="AJ585" t="str">
            <v>Strands PW</v>
          </cell>
        </row>
        <row r="586">
          <cell r="A586" t="str">
            <v>IKN400105</v>
          </cell>
          <cell r="B586">
            <v>105</v>
          </cell>
          <cell r="C586" t="str">
            <v>Institut Kanser Negara</v>
          </cell>
          <cell r="D586" t="str">
            <v>KKM/IKN/H/13/977</v>
          </cell>
          <cell r="E586" t="str">
            <v>13-217</v>
          </cell>
          <cell r="F586" t="str">
            <v>Infusion Pumps, Syringe</v>
          </cell>
          <cell r="G586" t="str">
            <v>IC</v>
          </cell>
          <cell r="H586" t="str">
            <v>INTENSIVE CARE UNIT</v>
          </cell>
          <cell r="I586" t="str">
            <v>05IC114</v>
          </cell>
          <cell r="J586" t="str">
            <v>ICU RM 3</v>
          </cell>
          <cell r="K586" t="str">
            <v>BMED</v>
          </cell>
          <cell r="L586" t="str">
            <v>Normal</v>
          </cell>
          <cell r="M586" t="str">
            <v>Germany</v>
          </cell>
          <cell r="N586" t="str">
            <v>Perfusor</v>
          </cell>
          <cell r="O586" t="str">
            <v>Perfusor Space</v>
          </cell>
          <cell r="P586" t="str">
            <v>187003</v>
          </cell>
          <cell r="Q586" t="str">
            <v>Not Applicable</v>
          </cell>
          <cell r="R586" t="str">
            <v>B Braun Melsungen AG</v>
          </cell>
          <cell r="S586" t="str">
            <v>B Braun Medical Supplies Sdn. Bhd.</v>
          </cell>
          <cell r="T586" t="str">
            <v>Functioning</v>
          </cell>
          <cell r="U586" t="str">
            <v>Asset</v>
          </cell>
          <cell r="V586">
            <v>10225</v>
          </cell>
          <cell r="W586" t="str">
            <v>KEW</v>
          </cell>
          <cell r="X586" t="str">
            <v>01/09/2010</v>
          </cell>
          <cell r="Y586" t="str">
            <v>KEW</v>
          </cell>
          <cell r="Z586" t="str">
            <v>16/08/2013</v>
          </cell>
          <cell r="AA586" t="str">
            <v>15/08/2015</v>
          </cell>
          <cell r="AB586" t="str">
            <v>No</v>
          </cell>
          <cell r="AC586" t="str">
            <v>31/08/2013</v>
          </cell>
          <cell r="AD586" t="str">
            <v>Good</v>
          </cell>
          <cell r="AE586" t="str">
            <v>V1 - Existing / No Claim</v>
          </cell>
          <cell r="AF586">
            <v>42235</v>
          </cell>
          <cell r="AG586">
            <v>9.17</v>
          </cell>
          <cell r="AH586" t="str">
            <v>PPM</v>
          </cell>
          <cell r="AI586" t="str">
            <v>Strands</v>
          </cell>
          <cell r="AJ586" t="str">
            <v>Strands PW</v>
          </cell>
        </row>
        <row r="587">
          <cell r="A587" t="str">
            <v>IKN400106</v>
          </cell>
          <cell r="B587">
            <v>106</v>
          </cell>
          <cell r="C587" t="str">
            <v>Institut Kanser Negara</v>
          </cell>
          <cell r="D587" t="str">
            <v>KKM/IKN/H/13/978</v>
          </cell>
          <cell r="E587" t="str">
            <v>13-217</v>
          </cell>
          <cell r="F587" t="str">
            <v>Infusion Pumps, Syringe</v>
          </cell>
          <cell r="G587" t="str">
            <v>IC</v>
          </cell>
          <cell r="H587" t="str">
            <v>INTENSIVE CARE UNIT</v>
          </cell>
          <cell r="I587" t="str">
            <v>05IC114</v>
          </cell>
          <cell r="J587" t="str">
            <v>ICU RM 3</v>
          </cell>
          <cell r="K587" t="str">
            <v>BMED</v>
          </cell>
          <cell r="L587" t="str">
            <v>Normal</v>
          </cell>
          <cell r="M587" t="str">
            <v>Germany</v>
          </cell>
          <cell r="N587" t="str">
            <v>Perfusor</v>
          </cell>
          <cell r="O587" t="str">
            <v>Perfusor Space</v>
          </cell>
          <cell r="P587">
            <v>187029</v>
          </cell>
          <cell r="Q587" t="str">
            <v>Not Applicable</v>
          </cell>
          <cell r="R587" t="str">
            <v>B Braun Melsungen AG</v>
          </cell>
          <cell r="S587" t="str">
            <v>B Braun Medical Supplies Sdn. Bhd.</v>
          </cell>
          <cell r="T587" t="str">
            <v>Functioning</v>
          </cell>
          <cell r="U587" t="str">
            <v>Asset</v>
          </cell>
          <cell r="V587">
            <v>10225</v>
          </cell>
          <cell r="W587" t="str">
            <v>KEW</v>
          </cell>
          <cell r="X587" t="str">
            <v>01/09/2010</v>
          </cell>
          <cell r="Y587" t="str">
            <v>KEW</v>
          </cell>
          <cell r="Z587" t="str">
            <v>16/08/2013</v>
          </cell>
          <cell r="AA587" t="str">
            <v>15/08/2015</v>
          </cell>
          <cell r="AB587" t="str">
            <v>No</v>
          </cell>
          <cell r="AC587" t="str">
            <v>31/08/2013</v>
          </cell>
          <cell r="AD587" t="str">
            <v>Good</v>
          </cell>
          <cell r="AE587" t="str">
            <v>V1 - Existing / No Claim</v>
          </cell>
          <cell r="AF587">
            <v>42235</v>
          </cell>
          <cell r="AG587">
            <v>9.17</v>
          </cell>
          <cell r="AH587" t="str">
            <v>PPM</v>
          </cell>
          <cell r="AI587" t="str">
            <v>Strands</v>
          </cell>
          <cell r="AJ587" t="str">
            <v>Strands PW</v>
          </cell>
        </row>
        <row r="588">
          <cell r="A588" t="str">
            <v>IKN400107</v>
          </cell>
          <cell r="B588">
            <v>107</v>
          </cell>
          <cell r="C588" t="str">
            <v>Institut Kanser Negara</v>
          </cell>
          <cell r="D588" t="str">
            <v>KKM/IKN/H/13/979</v>
          </cell>
          <cell r="E588" t="str">
            <v>13-217</v>
          </cell>
          <cell r="F588" t="str">
            <v>Infusion Pumps, Syringe</v>
          </cell>
          <cell r="G588" t="str">
            <v>IC</v>
          </cell>
          <cell r="H588" t="str">
            <v>INTENSIVE CARE UNIT</v>
          </cell>
          <cell r="I588" t="str">
            <v>05IC114</v>
          </cell>
          <cell r="J588" t="str">
            <v>ICU RM 3</v>
          </cell>
          <cell r="K588" t="str">
            <v>BMED</v>
          </cell>
          <cell r="L588" t="str">
            <v>Normal</v>
          </cell>
          <cell r="M588" t="str">
            <v>Germany</v>
          </cell>
          <cell r="N588" t="str">
            <v>Perfusor</v>
          </cell>
          <cell r="O588" t="str">
            <v>Perfusor Space</v>
          </cell>
          <cell r="P588" t="str">
            <v>143347</v>
          </cell>
          <cell r="Q588" t="str">
            <v>Not Applicable</v>
          </cell>
          <cell r="R588" t="str">
            <v>B Braun Melsungen AG</v>
          </cell>
          <cell r="S588" t="str">
            <v>B Braun Medical Supplies Sdn. Bhd.</v>
          </cell>
          <cell r="T588" t="str">
            <v>Functioning</v>
          </cell>
          <cell r="U588" t="str">
            <v>Asset</v>
          </cell>
          <cell r="V588">
            <v>10225</v>
          </cell>
          <cell r="W588" t="str">
            <v>KEW</v>
          </cell>
          <cell r="X588" t="str">
            <v>01/09/2010</v>
          </cell>
          <cell r="Y588" t="str">
            <v>KEW</v>
          </cell>
          <cell r="Z588" t="str">
            <v>16/08/2013</v>
          </cell>
          <cell r="AA588" t="str">
            <v>15/08/2015</v>
          </cell>
          <cell r="AB588" t="str">
            <v>No</v>
          </cell>
          <cell r="AC588" t="str">
            <v>31/08/2013</v>
          </cell>
          <cell r="AD588" t="str">
            <v>Good</v>
          </cell>
          <cell r="AE588" t="str">
            <v>V1 - Existing / No Claim</v>
          </cell>
          <cell r="AF588">
            <v>42235</v>
          </cell>
          <cell r="AG588">
            <v>9.17</v>
          </cell>
          <cell r="AH588" t="str">
            <v>PPM</v>
          </cell>
          <cell r="AI588" t="str">
            <v>Strands</v>
          </cell>
          <cell r="AJ588" t="str">
            <v>Strands PW</v>
          </cell>
        </row>
        <row r="589">
          <cell r="A589" t="str">
            <v>IKN400108</v>
          </cell>
          <cell r="B589">
            <v>108</v>
          </cell>
          <cell r="C589" t="str">
            <v>Institut Kanser Negara</v>
          </cell>
          <cell r="D589" t="str">
            <v>KKM/IKN/H/13/980</v>
          </cell>
          <cell r="E589" t="str">
            <v>13-217</v>
          </cell>
          <cell r="F589" t="str">
            <v>Infusion Pumps, Syringe</v>
          </cell>
          <cell r="G589" t="str">
            <v>IC</v>
          </cell>
          <cell r="H589" t="str">
            <v>INTENSIVE CARE UNIT</v>
          </cell>
          <cell r="I589" t="str">
            <v>05IC114</v>
          </cell>
          <cell r="J589" t="str">
            <v>ICU RM 3</v>
          </cell>
          <cell r="K589" t="str">
            <v>BMED</v>
          </cell>
          <cell r="L589" t="str">
            <v>Normal</v>
          </cell>
          <cell r="M589" t="str">
            <v>Germany</v>
          </cell>
          <cell r="N589" t="str">
            <v>Perfusor</v>
          </cell>
          <cell r="O589" t="str">
            <v>Perfusor Space</v>
          </cell>
          <cell r="P589" t="str">
            <v>186826</v>
          </cell>
          <cell r="Q589" t="str">
            <v>Not Applicable</v>
          </cell>
          <cell r="R589" t="str">
            <v>B Braun Melsungen AG</v>
          </cell>
          <cell r="S589" t="str">
            <v>B Braun Medical Supplies Sdn. Bhd.</v>
          </cell>
          <cell r="T589" t="str">
            <v>Functioning</v>
          </cell>
          <cell r="U589" t="str">
            <v>Asset</v>
          </cell>
          <cell r="V589">
            <v>10225</v>
          </cell>
          <cell r="W589" t="str">
            <v>KEW</v>
          </cell>
          <cell r="X589" t="str">
            <v>01/09/2010</v>
          </cell>
          <cell r="Y589" t="str">
            <v>KEW</v>
          </cell>
          <cell r="Z589" t="str">
            <v>16/08/2013</v>
          </cell>
          <cell r="AA589" t="str">
            <v>15/08/2015</v>
          </cell>
          <cell r="AB589" t="str">
            <v>No</v>
          </cell>
          <cell r="AC589" t="str">
            <v>31/08/2013</v>
          </cell>
          <cell r="AD589" t="str">
            <v>Good</v>
          </cell>
          <cell r="AE589" t="str">
            <v>V1 - Existing / No Claim</v>
          </cell>
          <cell r="AF589">
            <v>42235</v>
          </cell>
          <cell r="AG589">
            <v>9.17</v>
          </cell>
          <cell r="AH589" t="str">
            <v>PPM</v>
          </cell>
          <cell r="AI589" t="str">
            <v>Strands</v>
          </cell>
          <cell r="AJ589" t="str">
            <v>Strands PW</v>
          </cell>
        </row>
        <row r="590">
          <cell r="A590" t="str">
            <v>IKN400109</v>
          </cell>
          <cell r="B590">
            <v>109</v>
          </cell>
          <cell r="C590" t="str">
            <v>Institut Kanser Negara</v>
          </cell>
          <cell r="D590" t="str">
            <v>KKM/IKN/H/13/981</v>
          </cell>
          <cell r="E590" t="str">
            <v>13-217</v>
          </cell>
          <cell r="F590" t="str">
            <v>Infusion Pumps, Syringe</v>
          </cell>
          <cell r="G590" t="str">
            <v>IC</v>
          </cell>
          <cell r="H590" t="str">
            <v>INTENSIVE CARE UNIT</v>
          </cell>
          <cell r="I590" t="str">
            <v>05IC114</v>
          </cell>
          <cell r="J590" t="str">
            <v>ICU RM 3</v>
          </cell>
          <cell r="K590" t="str">
            <v>BMED</v>
          </cell>
          <cell r="L590" t="str">
            <v>Normal</v>
          </cell>
          <cell r="M590" t="str">
            <v>Germany</v>
          </cell>
          <cell r="N590" t="str">
            <v>Perfusor</v>
          </cell>
          <cell r="O590" t="str">
            <v>Perfusor Space</v>
          </cell>
          <cell r="P590" t="str">
            <v>187013</v>
          </cell>
          <cell r="Q590" t="str">
            <v>Not Applicable</v>
          </cell>
          <cell r="R590" t="str">
            <v>B Braun Melsungen AG</v>
          </cell>
          <cell r="S590" t="str">
            <v>B Braun Medical Supplies Sdn. Bhd.</v>
          </cell>
          <cell r="T590" t="str">
            <v>Functioning</v>
          </cell>
          <cell r="U590" t="str">
            <v>Asset</v>
          </cell>
          <cell r="V590">
            <v>10225</v>
          </cell>
          <cell r="W590" t="str">
            <v>KEW</v>
          </cell>
          <cell r="X590" t="str">
            <v>01/09/2010</v>
          </cell>
          <cell r="Y590" t="str">
            <v>KEW</v>
          </cell>
          <cell r="Z590" t="str">
            <v>16/08/2013</v>
          </cell>
          <cell r="AA590" t="str">
            <v>15/08/2015</v>
          </cell>
          <cell r="AB590" t="str">
            <v>No</v>
          </cell>
          <cell r="AC590" t="str">
            <v>31/08/2013</v>
          </cell>
          <cell r="AD590" t="str">
            <v>Good</v>
          </cell>
          <cell r="AE590" t="str">
            <v>V1 - Existing / No Claim</v>
          </cell>
          <cell r="AF590">
            <v>42235</v>
          </cell>
          <cell r="AG590">
            <v>9.17</v>
          </cell>
          <cell r="AH590" t="str">
            <v>PPM</v>
          </cell>
          <cell r="AI590" t="str">
            <v>Strands</v>
          </cell>
          <cell r="AJ590" t="str">
            <v>Strands PW</v>
          </cell>
        </row>
        <row r="591">
          <cell r="A591" t="str">
            <v>IKN400110</v>
          </cell>
          <cell r="B591">
            <v>110</v>
          </cell>
          <cell r="C591" t="str">
            <v>Institut Kanser Negara</v>
          </cell>
          <cell r="D591" t="str">
            <v>KKM/IKN/H/13/982</v>
          </cell>
          <cell r="E591" t="str">
            <v>13-217</v>
          </cell>
          <cell r="F591" t="str">
            <v>Infusion Pumps, Syringe</v>
          </cell>
          <cell r="G591" t="str">
            <v>IC</v>
          </cell>
          <cell r="H591" t="str">
            <v>INTENSIVE CARE UNIT</v>
          </cell>
          <cell r="I591" t="str">
            <v>05IC114</v>
          </cell>
          <cell r="J591" t="str">
            <v>ICU RM 3</v>
          </cell>
          <cell r="K591" t="str">
            <v>BMED</v>
          </cell>
          <cell r="L591" t="str">
            <v>Normal</v>
          </cell>
          <cell r="M591" t="str">
            <v>Germany</v>
          </cell>
          <cell r="N591" t="str">
            <v>Perfusor</v>
          </cell>
          <cell r="O591" t="str">
            <v>Perfusor Space</v>
          </cell>
          <cell r="P591" t="str">
            <v>187060</v>
          </cell>
          <cell r="Q591" t="str">
            <v>Not Applicable</v>
          </cell>
          <cell r="R591" t="str">
            <v>B Braun Melsungen AG</v>
          </cell>
          <cell r="S591" t="str">
            <v>B Braun Medical Supplies Sdn. Bhd.</v>
          </cell>
          <cell r="T591" t="str">
            <v>Functioning</v>
          </cell>
          <cell r="U591" t="str">
            <v>Asset</v>
          </cell>
          <cell r="V591">
            <v>10225</v>
          </cell>
          <cell r="W591" t="str">
            <v>KEW</v>
          </cell>
          <cell r="X591" t="str">
            <v>01/09/2010</v>
          </cell>
          <cell r="Y591" t="str">
            <v>KEW</v>
          </cell>
          <cell r="Z591" t="str">
            <v>16/08/2013</v>
          </cell>
          <cell r="AA591" t="str">
            <v>15/08/2015</v>
          </cell>
          <cell r="AB591" t="str">
            <v>No</v>
          </cell>
          <cell r="AC591" t="str">
            <v>31/08/2013</v>
          </cell>
          <cell r="AD591" t="str">
            <v>Good</v>
          </cell>
          <cell r="AE591" t="str">
            <v>V1 - Existing / No Claim</v>
          </cell>
          <cell r="AF591">
            <v>42235</v>
          </cell>
          <cell r="AG591">
            <v>9.17</v>
          </cell>
          <cell r="AH591" t="str">
            <v>PPM</v>
          </cell>
          <cell r="AI591" t="str">
            <v>Strands</v>
          </cell>
          <cell r="AJ591" t="str">
            <v>Strands PW</v>
          </cell>
        </row>
        <row r="592">
          <cell r="A592" t="str">
            <v>IKN400111</v>
          </cell>
          <cell r="B592">
            <v>111</v>
          </cell>
          <cell r="C592" t="str">
            <v>Institut Kanser Negara</v>
          </cell>
          <cell r="D592" t="str">
            <v>KKM/IKN/H/13/983</v>
          </cell>
          <cell r="E592" t="str">
            <v>13-217</v>
          </cell>
          <cell r="F592" t="str">
            <v>Infusion Pumps, Syringe</v>
          </cell>
          <cell r="G592" t="str">
            <v>IC</v>
          </cell>
          <cell r="H592" t="str">
            <v>INTENSIVE CARE UNIT</v>
          </cell>
          <cell r="I592" t="str">
            <v>05IC115</v>
          </cell>
          <cell r="J592" t="str">
            <v>ICU RM 4</v>
          </cell>
          <cell r="K592" t="str">
            <v>BMED</v>
          </cell>
          <cell r="L592" t="str">
            <v>Critical</v>
          </cell>
          <cell r="M592" t="str">
            <v>Germany</v>
          </cell>
          <cell r="N592" t="str">
            <v>Perfusor</v>
          </cell>
          <cell r="O592" t="str">
            <v>Perfusor Space</v>
          </cell>
          <cell r="P592" t="str">
            <v>143340</v>
          </cell>
          <cell r="Q592" t="str">
            <v>Not Applicable</v>
          </cell>
          <cell r="R592" t="str">
            <v>B Braun Melsungen AG</v>
          </cell>
          <cell r="S592" t="str">
            <v>B Braun Medical Supplies Sdn. Bhd.</v>
          </cell>
          <cell r="T592" t="str">
            <v>Functioning</v>
          </cell>
          <cell r="U592" t="str">
            <v>Asset</v>
          </cell>
          <cell r="V592">
            <v>10225</v>
          </cell>
          <cell r="W592" t="str">
            <v>KEW</v>
          </cell>
          <cell r="X592" t="str">
            <v>01/09/2010</v>
          </cell>
          <cell r="Y592" t="str">
            <v>KEW</v>
          </cell>
          <cell r="Z592" t="str">
            <v>16/08/2013</v>
          </cell>
          <cell r="AA592" t="str">
            <v>15/08/2015</v>
          </cell>
          <cell r="AB592" t="str">
            <v>No</v>
          </cell>
          <cell r="AC592" t="str">
            <v>31/08/2013</v>
          </cell>
          <cell r="AD592" t="str">
            <v>Good</v>
          </cell>
          <cell r="AE592" t="str">
            <v>V1 - Existing / No Claim</v>
          </cell>
          <cell r="AF592">
            <v>42797</v>
          </cell>
          <cell r="AG592">
            <v>9.17</v>
          </cell>
          <cell r="AH592" t="str">
            <v>PPM</v>
          </cell>
          <cell r="AI592" t="str">
            <v>Strands</v>
          </cell>
          <cell r="AJ592" t="str">
            <v>Strands PW</v>
          </cell>
        </row>
        <row r="593">
          <cell r="A593" t="str">
            <v>IKN400112</v>
          </cell>
          <cell r="B593">
            <v>112</v>
          </cell>
          <cell r="C593" t="str">
            <v>Institut Kanser Negara</v>
          </cell>
          <cell r="D593" t="str">
            <v>KKM/IKN/H/13/984</v>
          </cell>
          <cell r="E593" t="str">
            <v>13-217</v>
          </cell>
          <cell r="F593" t="str">
            <v>Infusion Pumps, Syringe</v>
          </cell>
          <cell r="G593" t="str">
            <v>IC</v>
          </cell>
          <cell r="H593" t="str">
            <v>INTENSIVE CARE UNIT</v>
          </cell>
          <cell r="I593" t="str">
            <v>05IC115</v>
          </cell>
          <cell r="J593" t="str">
            <v>ICU RM 4</v>
          </cell>
          <cell r="K593" t="str">
            <v>BMED</v>
          </cell>
          <cell r="L593" t="str">
            <v>Critical</v>
          </cell>
          <cell r="M593" t="str">
            <v>Germany</v>
          </cell>
          <cell r="N593" t="str">
            <v>Perfusor</v>
          </cell>
          <cell r="O593" t="str">
            <v>Perfusor Space</v>
          </cell>
          <cell r="P593" t="str">
            <v>186798</v>
          </cell>
          <cell r="Q593" t="str">
            <v>Not Applicable</v>
          </cell>
          <cell r="R593" t="str">
            <v>B Braun Melsungen AG</v>
          </cell>
          <cell r="S593" t="str">
            <v>B Braun Medical Supplies Sdn. Bhd.</v>
          </cell>
          <cell r="T593" t="str">
            <v>Functioning</v>
          </cell>
          <cell r="U593" t="str">
            <v>Asset</v>
          </cell>
          <cell r="V593">
            <v>10225</v>
          </cell>
          <cell r="W593" t="str">
            <v>KEW</v>
          </cell>
          <cell r="X593" t="str">
            <v>01/09/2010</v>
          </cell>
          <cell r="Y593" t="str">
            <v>KEW</v>
          </cell>
          <cell r="Z593" t="str">
            <v>16/08/2013</v>
          </cell>
          <cell r="AA593" t="str">
            <v>15/08/2015</v>
          </cell>
          <cell r="AB593" t="str">
            <v>No</v>
          </cell>
          <cell r="AC593" t="str">
            <v>31/08/2013</v>
          </cell>
          <cell r="AD593" t="str">
            <v>Good</v>
          </cell>
          <cell r="AE593" t="str">
            <v>V1 - Existing / No Claim</v>
          </cell>
          <cell r="AF593">
            <v>42797</v>
          </cell>
          <cell r="AG593">
            <v>9.17</v>
          </cell>
          <cell r="AH593" t="str">
            <v>PPM</v>
          </cell>
          <cell r="AI593" t="str">
            <v>Strands</v>
          </cell>
          <cell r="AJ593" t="str">
            <v>Strands PW</v>
          </cell>
        </row>
        <row r="594">
          <cell r="A594" t="str">
            <v>IKN400113</v>
          </cell>
          <cell r="B594">
            <v>113</v>
          </cell>
          <cell r="C594" t="str">
            <v>Institut Kanser Negara</v>
          </cell>
          <cell r="D594" t="str">
            <v>KKM/IKN/H/13/985</v>
          </cell>
          <cell r="E594" t="str">
            <v>13-217</v>
          </cell>
          <cell r="F594" t="str">
            <v>Infusion Pumps, Syringe</v>
          </cell>
          <cell r="G594" t="str">
            <v>IC</v>
          </cell>
          <cell r="H594" t="str">
            <v>INTENSIVE CARE UNIT</v>
          </cell>
          <cell r="I594" t="str">
            <v>05IC115</v>
          </cell>
          <cell r="J594" t="str">
            <v>ICU RM 4</v>
          </cell>
          <cell r="K594" t="str">
            <v>BMED</v>
          </cell>
          <cell r="L594" t="str">
            <v>Critical</v>
          </cell>
          <cell r="M594" t="str">
            <v>Germany</v>
          </cell>
          <cell r="N594" t="str">
            <v>Perfusor</v>
          </cell>
          <cell r="O594" t="str">
            <v>Perfusor Space</v>
          </cell>
          <cell r="P594" t="str">
            <v>186986</v>
          </cell>
          <cell r="Q594" t="str">
            <v>Not Applicable</v>
          </cell>
          <cell r="R594" t="str">
            <v>B Braun Melsungen AG</v>
          </cell>
          <cell r="S594" t="str">
            <v>B Braun Medical Supplies Sdn. Bhd.</v>
          </cell>
          <cell r="T594" t="str">
            <v>Functioning</v>
          </cell>
          <cell r="U594" t="str">
            <v>Asset</v>
          </cell>
          <cell r="V594">
            <v>10225</v>
          </cell>
          <cell r="W594" t="str">
            <v>KEW</v>
          </cell>
          <cell r="X594" t="str">
            <v>01/09/2010</v>
          </cell>
          <cell r="Y594" t="str">
            <v>KEW</v>
          </cell>
          <cell r="Z594" t="str">
            <v>16/08/2013</v>
          </cell>
          <cell r="AA594" t="str">
            <v>15/08/2015</v>
          </cell>
          <cell r="AB594" t="str">
            <v>No</v>
          </cell>
          <cell r="AC594" t="str">
            <v>31/08/2013</v>
          </cell>
          <cell r="AD594" t="str">
            <v>Good</v>
          </cell>
          <cell r="AE594" t="str">
            <v>V1 - Existing / No Claim</v>
          </cell>
          <cell r="AF594">
            <v>42797</v>
          </cell>
          <cell r="AG594">
            <v>9.17</v>
          </cell>
          <cell r="AH594" t="str">
            <v>PPM</v>
          </cell>
          <cell r="AI594" t="str">
            <v>Strands</v>
          </cell>
          <cell r="AJ594" t="str">
            <v>Strands PW</v>
          </cell>
        </row>
        <row r="595">
          <cell r="A595" t="str">
            <v>IKN400114</v>
          </cell>
          <cell r="B595">
            <v>114</v>
          </cell>
          <cell r="C595" t="str">
            <v>Institut Kanser Negara</v>
          </cell>
          <cell r="D595" t="str">
            <v>KKM/IKN/H/13/986</v>
          </cell>
          <cell r="E595" t="str">
            <v>13-217</v>
          </cell>
          <cell r="F595" t="str">
            <v>Infusion Pumps, Syringe</v>
          </cell>
          <cell r="G595" t="str">
            <v>IC</v>
          </cell>
          <cell r="H595" t="str">
            <v>INTENSIVE CARE UNIT</v>
          </cell>
          <cell r="I595" t="str">
            <v>05IC115</v>
          </cell>
          <cell r="J595" t="str">
            <v>ICU RM 4</v>
          </cell>
          <cell r="K595" t="str">
            <v>BMED</v>
          </cell>
          <cell r="L595" t="str">
            <v>Critical</v>
          </cell>
          <cell r="M595" t="str">
            <v>Germany</v>
          </cell>
          <cell r="N595" t="str">
            <v>Perfusor</v>
          </cell>
          <cell r="O595" t="str">
            <v>Perfusor Space</v>
          </cell>
          <cell r="P595" t="str">
            <v>186989</v>
          </cell>
          <cell r="Q595" t="str">
            <v>Not Applicable</v>
          </cell>
          <cell r="R595" t="str">
            <v>B Braun Melsungen AG</v>
          </cell>
          <cell r="S595" t="str">
            <v>B Braun Medical Supplies Sdn. Bhd.</v>
          </cell>
          <cell r="T595" t="str">
            <v>Functioning</v>
          </cell>
          <cell r="U595" t="str">
            <v>Asset</v>
          </cell>
          <cell r="V595">
            <v>10225</v>
          </cell>
          <cell r="W595" t="str">
            <v>KEW</v>
          </cell>
          <cell r="X595" t="str">
            <v>01/09/2010</v>
          </cell>
          <cell r="Y595" t="str">
            <v>KEW</v>
          </cell>
          <cell r="Z595" t="str">
            <v>16/08/2013</v>
          </cell>
          <cell r="AA595" t="str">
            <v>15/08/2015</v>
          </cell>
          <cell r="AB595" t="str">
            <v>No</v>
          </cell>
          <cell r="AC595" t="str">
            <v>31/08/2013</v>
          </cell>
          <cell r="AD595" t="str">
            <v>Good</v>
          </cell>
          <cell r="AE595" t="str">
            <v>V1 - Existing / No Claim</v>
          </cell>
          <cell r="AF595">
            <v>42797</v>
          </cell>
          <cell r="AG595">
            <v>9.17</v>
          </cell>
          <cell r="AH595" t="str">
            <v>PPM</v>
          </cell>
          <cell r="AI595" t="str">
            <v>Strands</v>
          </cell>
          <cell r="AJ595" t="str">
            <v>Strands PW</v>
          </cell>
        </row>
        <row r="596">
          <cell r="A596" t="str">
            <v>IKN400115</v>
          </cell>
          <cell r="B596">
            <v>115</v>
          </cell>
          <cell r="C596" t="str">
            <v>Institut Kanser Negara</v>
          </cell>
          <cell r="D596" t="str">
            <v>KKM/IKN/H/13/987</v>
          </cell>
          <cell r="E596" t="str">
            <v>13-217</v>
          </cell>
          <cell r="F596" t="str">
            <v>Infusion Pumps, Syringe</v>
          </cell>
          <cell r="G596" t="str">
            <v>IC</v>
          </cell>
          <cell r="H596" t="str">
            <v>INTENSIVE CARE UNIT</v>
          </cell>
          <cell r="I596" t="str">
            <v>05IC115</v>
          </cell>
          <cell r="J596" t="str">
            <v>ICU RM 4</v>
          </cell>
          <cell r="K596" t="str">
            <v>BMED</v>
          </cell>
          <cell r="L596" t="str">
            <v>Critical</v>
          </cell>
          <cell r="M596" t="str">
            <v>Germany</v>
          </cell>
          <cell r="N596" t="str">
            <v>Perfusor</v>
          </cell>
          <cell r="O596" t="str">
            <v>Perfusor Space</v>
          </cell>
          <cell r="P596" t="str">
            <v>186997</v>
          </cell>
          <cell r="Q596" t="str">
            <v>Not Applicable</v>
          </cell>
          <cell r="R596" t="str">
            <v>B Braun Melsungen AG</v>
          </cell>
          <cell r="S596" t="str">
            <v>B Braun Medical Supplies Sdn. Bhd.</v>
          </cell>
          <cell r="T596" t="str">
            <v>Functioning</v>
          </cell>
          <cell r="U596" t="str">
            <v>Asset</v>
          </cell>
          <cell r="V596">
            <v>10225</v>
          </cell>
          <cell r="W596" t="str">
            <v>KEW</v>
          </cell>
          <cell r="X596" t="str">
            <v>01/09/2010</v>
          </cell>
          <cell r="Y596" t="str">
            <v>KEW</v>
          </cell>
          <cell r="Z596" t="str">
            <v>16/08/2013</v>
          </cell>
          <cell r="AA596" t="str">
            <v>15/08/2015</v>
          </cell>
          <cell r="AB596" t="str">
            <v>No</v>
          </cell>
          <cell r="AC596" t="str">
            <v>31/08/2013</v>
          </cell>
          <cell r="AD596" t="str">
            <v>Good</v>
          </cell>
          <cell r="AE596" t="str">
            <v>V1 - Existing / No Claim</v>
          </cell>
          <cell r="AF596">
            <v>42797</v>
          </cell>
          <cell r="AG596">
            <v>9.17</v>
          </cell>
          <cell r="AH596" t="str">
            <v>PPM</v>
          </cell>
          <cell r="AI596" t="str">
            <v>Strands</v>
          </cell>
          <cell r="AJ596" t="str">
            <v>Strands PW</v>
          </cell>
        </row>
        <row r="597">
          <cell r="A597" t="str">
            <v>IKN400116</v>
          </cell>
          <cell r="B597">
            <v>116</v>
          </cell>
          <cell r="C597" t="str">
            <v>Institut Kanser Negara</v>
          </cell>
          <cell r="D597" t="str">
            <v>KKM/IKN/H/13/988</v>
          </cell>
          <cell r="E597" t="str">
            <v>13-217</v>
          </cell>
          <cell r="F597" t="str">
            <v>Infusion Pumps, Syringe</v>
          </cell>
          <cell r="G597" t="str">
            <v>IC</v>
          </cell>
          <cell r="H597" t="str">
            <v>INTENSIVE CARE UNIT</v>
          </cell>
          <cell r="I597" t="str">
            <v>05IC115</v>
          </cell>
          <cell r="J597" t="str">
            <v>ICU RM 4</v>
          </cell>
          <cell r="K597" t="str">
            <v>BMED</v>
          </cell>
          <cell r="L597" t="str">
            <v>Critical</v>
          </cell>
          <cell r="M597" t="str">
            <v>Germany</v>
          </cell>
          <cell r="N597" t="str">
            <v>Perfusor</v>
          </cell>
          <cell r="O597" t="str">
            <v>Perfusor Space</v>
          </cell>
          <cell r="P597" t="str">
            <v>187012</v>
          </cell>
          <cell r="Q597" t="str">
            <v>Not Applicable</v>
          </cell>
          <cell r="R597" t="str">
            <v>B Braun Melsungen AG</v>
          </cell>
          <cell r="S597" t="str">
            <v>B Braun Medical Supplies Sdn. Bhd.</v>
          </cell>
          <cell r="T597" t="str">
            <v>Functioning</v>
          </cell>
          <cell r="U597" t="str">
            <v>Asset</v>
          </cell>
          <cell r="V597">
            <v>10225</v>
          </cell>
          <cell r="W597" t="str">
            <v>KEW</v>
          </cell>
          <cell r="X597" t="str">
            <v>01/09/2010</v>
          </cell>
          <cell r="Y597" t="str">
            <v>KEW</v>
          </cell>
          <cell r="Z597" t="str">
            <v>16/08/2013</v>
          </cell>
          <cell r="AA597" t="str">
            <v>15/08/2015</v>
          </cell>
          <cell r="AB597" t="str">
            <v>No</v>
          </cell>
          <cell r="AC597" t="str">
            <v>31/08/2013</v>
          </cell>
          <cell r="AD597" t="str">
            <v>Good</v>
          </cell>
          <cell r="AE597" t="str">
            <v>V1 - Existing / No Claim</v>
          </cell>
          <cell r="AF597">
            <v>42797</v>
          </cell>
          <cell r="AG597">
            <v>9.17</v>
          </cell>
          <cell r="AH597" t="str">
            <v>PPM</v>
          </cell>
          <cell r="AI597" t="str">
            <v>Strands</v>
          </cell>
          <cell r="AJ597" t="str">
            <v>Strands PW</v>
          </cell>
        </row>
        <row r="598">
          <cell r="A598" t="str">
            <v>IKN400117</v>
          </cell>
          <cell r="B598">
            <v>117</v>
          </cell>
          <cell r="C598" t="str">
            <v>Institut Kanser Negara</v>
          </cell>
          <cell r="D598" t="str">
            <v>KKM/IKN/H/13/989</v>
          </cell>
          <cell r="E598" t="str">
            <v>13-217</v>
          </cell>
          <cell r="F598" t="str">
            <v>Infusion Pumps, Syringe</v>
          </cell>
          <cell r="G598" t="str">
            <v>IC</v>
          </cell>
          <cell r="H598" t="str">
            <v>INTENSIVE CARE UNIT</v>
          </cell>
          <cell r="I598" t="str">
            <v>05IC116</v>
          </cell>
          <cell r="J598" t="str">
            <v>ISOL 2 (+VE)</v>
          </cell>
          <cell r="K598" t="str">
            <v>BMED</v>
          </cell>
          <cell r="L598" t="str">
            <v>Critical</v>
          </cell>
          <cell r="M598" t="str">
            <v>Germany</v>
          </cell>
          <cell r="N598" t="str">
            <v>Perfusor</v>
          </cell>
          <cell r="O598" t="str">
            <v>Perfusor Space</v>
          </cell>
          <cell r="P598" t="str">
            <v>143330</v>
          </cell>
          <cell r="Q598" t="str">
            <v>Not Applicable</v>
          </cell>
          <cell r="R598" t="str">
            <v>B Braun Melsungen AG</v>
          </cell>
          <cell r="S598" t="str">
            <v>B Braun Medical Supplies Sdn. Bhd.</v>
          </cell>
          <cell r="T598" t="str">
            <v>Functioning</v>
          </cell>
          <cell r="U598" t="str">
            <v>Asset</v>
          </cell>
          <cell r="V598">
            <v>10225</v>
          </cell>
          <cell r="W598" t="str">
            <v>KEW</v>
          </cell>
          <cell r="X598" t="str">
            <v>01/09/2010</v>
          </cell>
          <cell r="Y598" t="str">
            <v>KEW</v>
          </cell>
          <cell r="Z598" t="str">
            <v>16/08/2013</v>
          </cell>
          <cell r="AA598" t="str">
            <v>15/08/2015</v>
          </cell>
          <cell r="AB598" t="str">
            <v>No</v>
          </cell>
          <cell r="AC598" t="str">
            <v>31/08/2013</v>
          </cell>
          <cell r="AD598" t="str">
            <v>Good</v>
          </cell>
          <cell r="AE598" t="str">
            <v>V1 - Existing / No Claim</v>
          </cell>
          <cell r="AF598">
            <v>42797</v>
          </cell>
          <cell r="AG598">
            <v>9.17</v>
          </cell>
          <cell r="AH598" t="str">
            <v>PPM</v>
          </cell>
          <cell r="AI598" t="str">
            <v>Strands</v>
          </cell>
          <cell r="AJ598" t="str">
            <v>Strands PW</v>
          </cell>
        </row>
        <row r="599">
          <cell r="A599" t="str">
            <v>IKN400118</v>
          </cell>
          <cell r="B599">
            <v>118</v>
          </cell>
          <cell r="C599" t="str">
            <v>Institut Kanser Negara</v>
          </cell>
          <cell r="D599" t="str">
            <v>KKM/IKN/H/13/990</v>
          </cell>
          <cell r="E599" t="str">
            <v>13-217</v>
          </cell>
          <cell r="F599" t="str">
            <v>Infusion Pumps, Syringe</v>
          </cell>
          <cell r="G599" t="str">
            <v>IC</v>
          </cell>
          <cell r="H599" t="str">
            <v>INTENSIVE CARE UNIT</v>
          </cell>
          <cell r="I599" t="str">
            <v>05IC116</v>
          </cell>
          <cell r="J599" t="str">
            <v>ISOL 2 (+VE)</v>
          </cell>
          <cell r="K599" t="str">
            <v>BMED</v>
          </cell>
          <cell r="L599" t="str">
            <v>Critical</v>
          </cell>
          <cell r="M599" t="str">
            <v>Germany</v>
          </cell>
          <cell r="N599" t="str">
            <v>Perfusor</v>
          </cell>
          <cell r="O599" t="str">
            <v>Perfusor Space</v>
          </cell>
          <cell r="P599" t="str">
            <v>143331</v>
          </cell>
          <cell r="Q599" t="str">
            <v>Not Applicable</v>
          </cell>
          <cell r="R599" t="str">
            <v>B Braun Melsungen AG</v>
          </cell>
          <cell r="S599" t="str">
            <v>B Braun Medical Supplies Sdn. Bhd.</v>
          </cell>
          <cell r="T599" t="str">
            <v>Functioning</v>
          </cell>
          <cell r="U599" t="str">
            <v>Asset</v>
          </cell>
          <cell r="V599">
            <v>10225</v>
          </cell>
          <cell r="W599" t="str">
            <v>KEW</v>
          </cell>
          <cell r="X599" t="str">
            <v>01/09/2010</v>
          </cell>
          <cell r="Y599" t="str">
            <v>KEW</v>
          </cell>
          <cell r="Z599" t="str">
            <v>16/08/2013</v>
          </cell>
          <cell r="AA599" t="str">
            <v>15/08/2015</v>
          </cell>
          <cell r="AB599" t="str">
            <v>No</v>
          </cell>
          <cell r="AC599" t="str">
            <v>31/08/2013</v>
          </cell>
          <cell r="AD599" t="str">
            <v>Good</v>
          </cell>
          <cell r="AE599" t="str">
            <v>V1 - Existing / No Claim</v>
          </cell>
          <cell r="AF599">
            <v>42797</v>
          </cell>
          <cell r="AG599">
            <v>9.17</v>
          </cell>
          <cell r="AH599" t="str">
            <v>PPM</v>
          </cell>
          <cell r="AI599" t="str">
            <v>Strands</v>
          </cell>
          <cell r="AJ599" t="str">
            <v>Strands PW</v>
          </cell>
        </row>
        <row r="600">
          <cell r="A600" t="str">
            <v>IKN400119</v>
          </cell>
          <cell r="B600">
            <v>119</v>
          </cell>
          <cell r="C600" t="str">
            <v>Institut Kanser Negara</v>
          </cell>
          <cell r="D600" t="str">
            <v>KKM/IKN/H/13/1007</v>
          </cell>
          <cell r="E600" t="str">
            <v>13-217</v>
          </cell>
          <cell r="F600" t="str">
            <v>Infusion Pumps, Syringe</v>
          </cell>
          <cell r="G600" t="str">
            <v>IC</v>
          </cell>
          <cell r="H600" t="str">
            <v>INTENSIVE CARE UNIT</v>
          </cell>
          <cell r="I600" t="str">
            <v>05IC116</v>
          </cell>
          <cell r="J600" t="str">
            <v>ISOL 2 (+VE)</v>
          </cell>
          <cell r="K600" t="str">
            <v>BMED</v>
          </cell>
          <cell r="L600" t="str">
            <v>Critical</v>
          </cell>
          <cell r="M600" t="str">
            <v>Germany</v>
          </cell>
          <cell r="N600" t="str">
            <v>Perfusor</v>
          </cell>
          <cell r="O600" t="str">
            <v>Perfusor Space</v>
          </cell>
          <cell r="P600" t="str">
            <v>143350</v>
          </cell>
          <cell r="Q600" t="str">
            <v>Not Applicable</v>
          </cell>
          <cell r="R600" t="str">
            <v>B Braun Melsungen AG</v>
          </cell>
          <cell r="S600" t="str">
            <v>B Braun Medical Supplies Sdn. Bhd.</v>
          </cell>
          <cell r="T600" t="str">
            <v>Functioning</v>
          </cell>
          <cell r="U600" t="str">
            <v>Asset</v>
          </cell>
          <cell r="V600">
            <v>10225</v>
          </cell>
          <cell r="W600" t="str">
            <v>KEW</v>
          </cell>
          <cell r="X600" t="str">
            <v>01/09/2010</v>
          </cell>
          <cell r="Y600" t="str">
            <v>KEW</v>
          </cell>
          <cell r="Z600" t="str">
            <v>16/08/2013</v>
          </cell>
          <cell r="AA600" t="str">
            <v>15/08/2015</v>
          </cell>
          <cell r="AB600" t="str">
            <v>No</v>
          </cell>
          <cell r="AC600" t="str">
            <v>31/08/2013</v>
          </cell>
          <cell r="AD600" t="str">
            <v>Good</v>
          </cell>
          <cell r="AE600" t="str">
            <v>V1 - Existing / No Claim</v>
          </cell>
          <cell r="AF600">
            <v>42797</v>
          </cell>
          <cell r="AG600">
            <v>9.17</v>
          </cell>
          <cell r="AH600" t="str">
            <v>PPM</v>
          </cell>
          <cell r="AI600" t="str">
            <v>Strands</v>
          </cell>
          <cell r="AJ600" t="str">
            <v>Strands PW</v>
          </cell>
        </row>
        <row r="601">
          <cell r="A601" t="str">
            <v>IKN400120</v>
          </cell>
          <cell r="B601">
            <v>120</v>
          </cell>
          <cell r="C601" t="str">
            <v>Institut Kanser Negara</v>
          </cell>
          <cell r="D601" t="str">
            <v>KKM/IKN/H/13/991</v>
          </cell>
          <cell r="E601" t="str">
            <v>13-217</v>
          </cell>
          <cell r="F601" t="str">
            <v>Infusion Pumps, Syringe</v>
          </cell>
          <cell r="G601" t="str">
            <v>IC</v>
          </cell>
          <cell r="H601" t="str">
            <v>INTENSIVE CARE UNIT</v>
          </cell>
          <cell r="I601" t="str">
            <v>05IC116</v>
          </cell>
          <cell r="J601" t="str">
            <v>ISOL 2 (+VE)</v>
          </cell>
          <cell r="K601" t="str">
            <v>BMED</v>
          </cell>
          <cell r="L601" t="str">
            <v>Critical</v>
          </cell>
          <cell r="M601" t="str">
            <v>Germany</v>
          </cell>
          <cell r="N601" t="str">
            <v>Perfusor</v>
          </cell>
          <cell r="O601" t="str">
            <v>Perfusor Space</v>
          </cell>
          <cell r="P601" t="str">
            <v>143363</v>
          </cell>
          <cell r="Q601" t="str">
            <v>Not Applicable</v>
          </cell>
          <cell r="R601" t="str">
            <v>B Braun Melsungen AG</v>
          </cell>
          <cell r="S601" t="str">
            <v>B Braun Medical Supplies Sdn. Bhd.</v>
          </cell>
          <cell r="T601" t="str">
            <v>Functioning</v>
          </cell>
          <cell r="U601" t="str">
            <v>Asset</v>
          </cell>
          <cell r="V601">
            <v>10225</v>
          </cell>
          <cell r="W601" t="str">
            <v>KEW</v>
          </cell>
          <cell r="X601" t="str">
            <v>01/09/2010</v>
          </cell>
          <cell r="Y601" t="str">
            <v>KEW</v>
          </cell>
          <cell r="Z601" t="str">
            <v>16/08/2013</v>
          </cell>
          <cell r="AA601" t="str">
            <v>15/08/2015</v>
          </cell>
          <cell r="AB601" t="str">
            <v>No</v>
          </cell>
          <cell r="AC601" t="str">
            <v>31/08/2013</v>
          </cell>
          <cell r="AD601" t="str">
            <v>Good</v>
          </cell>
          <cell r="AE601" t="str">
            <v>V1 - Existing / No Claim</v>
          </cell>
          <cell r="AF601">
            <v>42797</v>
          </cell>
          <cell r="AG601">
            <v>9.17</v>
          </cell>
          <cell r="AH601" t="str">
            <v>PPM</v>
          </cell>
          <cell r="AI601" t="str">
            <v>Strands</v>
          </cell>
          <cell r="AJ601" t="str">
            <v>Strands PW</v>
          </cell>
        </row>
        <row r="602">
          <cell r="A602" t="str">
            <v>IKN400121</v>
          </cell>
          <cell r="B602">
            <v>121</v>
          </cell>
          <cell r="C602" t="str">
            <v>Institut Kanser Negara</v>
          </cell>
          <cell r="D602" t="str">
            <v>KKM/IKN/H/13/992</v>
          </cell>
          <cell r="E602" t="str">
            <v>13-217</v>
          </cell>
          <cell r="F602" t="str">
            <v>Infusion Pumps, Syringe</v>
          </cell>
          <cell r="G602" t="str">
            <v>IC</v>
          </cell>
          <cell r="H602" t="str">
            <v>INTENSIVE CARE UNIT</v>
          </cell>
          <cell r="I602" t="str">
            <v>05IC116</v>
          </cell>
          <cell r="J602" t="str">
            <v>ISOL 2 (+VE)</v>
          </cell>
          <cell r="K602" t="str">
            <v>BMED</v>
          </cell>
          <cell r="L602" t="str">
            <v>Critical</v>
          </cell>
          <cell r="M602" t="str">
            <v>Germany</v>
          </cell>
          <cell r="N602" t="str">
            <v>Perfusor</v>
          </cell>
          <cell r="O602" t="str">
            <v>Perfusor Space</v>
          </cell>
          <cell r="P602" t="str">
            <v>186971</v>
          </cell>
          <cell r="Q602" t="str">
            <v>Not Applicable</v>
          </cell>
          <cell r="R602" t="str">
            <v>B Braun Melsungen AG</v>
          </cell>
          <cell r="S602" t="str">
            <v>B Braun Medical Supplies Sdn. Bhd.</v>
          </cell>
          <cell r="T602" t="str">
            <v>Functioning</v>
          </cell>
          <cell r="U602" t="str">
            <v>Asset</v>
          </cell>
          <cell r="V602">
            <v>10225</v>
          </cell>
          <cell r="W602" t="str">
            <v>KEW</v>
          </cell>
          <cell r="X602" t="str">
            <v>01/09/2010</v>
          </cell>
          <cell r="Y602" t="str">
            <v>KEW</v>
          </cell>
          <cell r="Z602" t="str">
            <v>16/08/2013</v>
          </cell>
          <cell r="AA602" t="str">
            <v>15/08/2015</v>
          </cell>
          <cell r="AB602" t="str">
            <v>No</v>
          </cell>
          <cell r="AC602" t="str">
            <v>31/08/2013</v>
          </cell>
          <cell r="AD602" t="str">
            <v>Good</v>
          </cell>
          <cell r="AE602" t="str">
            <v>V1 - Existing / No Claim</v>
          </cell>
          <cell r="AF602">
            <v>42797</v>
          </cell>
          <cell r="AG602">
            <v>9.17</v>
          </cell>
          <cell r="AH602" t="str">
            <v>PPM</v>
          </cell>
          <cell r="AI602" t="str">
            <v>Strands</v>
          </cell>
          <cell r="AJ602" t="str">
            <v>Strands PW</v>
          </cell>
        </row>
        <row r="603">
          <cell r="A603" t="str">
            <v>IKN400122</v>
          </cell>
          <cell r="B603">
            <v>122</v>
          </cell>
          <cell r="C603" t="str">
            <v>Institut Kanser Negara</v>
          </cell>
          <cell r="D603" t="str">
            <v>KKM/IKN/H/13/993</v>
          </cell>
          <cell r="E603" t="str">
            <v>13-217</v>
          </cell>
          <cell r="F603" t="str">
            <v>Infusion Pumps, Syringe</v>
          </cell>
          <cell r="G603" t="str">
            <v>IC</v>
          </cell>
          <cell r="H603" t="str">
            <v>INTENSIVE CARE UNIT</v>
          </cell>
          <cell r="I603" t="str">
            <v>05IC116</v>
          </cell>
          <cell r="J603" t="str">
            <v>ISOL 2 (+VE)</v>
          </cell>
          <cell r="K603" t="str">
            <v>BMED</v>
          </cell>
          <cell r="L603" t="str">
            <v>Critical</v>
          </cell>
          <cell r="M603" t="str">
            <v>Germany</v>
          </cell>
          <cell r="N603" t="str">
            <v>Perfusor</v>
          </cell>
          <cell r="O603" t="str">
            <v>Perfusor Space</v>
          </cell>
          <cell r="P603" t="str">
            <v>186975</v>
          </cell>
          <cell r="Q603" t="str">
            <v>Not Applicable</v>
          </cell>
          <cell r="R603" t="str">
            <v>B Braun Melsungen AG</v>
          </cell>
          <cell r="S603" t="str">
            <v>B Braun Medical Supplies Sdn. Bhd.</v>
          </cell>
          <cell r="T603" t="str">
            <v>Functioning</v>
          </cell>
          <cell r="U603" t="str">
            <v>Asset</v>
          </cell>
          <cell r="V603">
            <v>10225</v>
          </cell>
          <cell r="W603" t="str">
            <v>KEW</v>
          </cell>
          <cell r="X603" t="str">
            <v>01/09/2010</v>
          </cell>
          <cell r="Y603" t="str">
            <v>KEW</v>
          </cell>
          <cell r="Z603" t="str">
            <v>16/08/2013</v>
          </cell>
          <cell r="AA603" t="str">
            <v>15/08/2015</v>
          </cell>
          <cell r="AB603" t="str">
            <v>No</v>
          </cell>
          <cell r="AC603" t="str">
            <v>31/08/2013</v>
          </cell>
          <cell r="AD603" t="str">
            <v>Good</v>
          </cell>
          <cell r="AE603" t="str">
            <v>V1 - Existing / No Claim</v>
          </cell>
          <cell r="AF603">
            <v>42797</v>
          </cell>
          <cell r="AG603">
            <v>9.17</v>
          </cell>
          <cell r="AH603" t="str">
            <v>PPM</v>
          </cell>
          <cell r="AI603" t="str">
            <v>Strands</v>
          </cell>
          <cell r="AJ603" t="str">
            <v>Strands PW</v>
          </cell>
        </row>
        <row r="604">
          <cell r="A604" t="str">
            <v>IKN400123</v>
          </cell>
          <cell r="B604">
            <v>123</v>
          </cell>
          <cell r="C604" t="str">
            <v>Institut Kanser Negara</v>
          </cell>
          <cell r="D604" t="str">
            <v>KKM/IKN/H/13/994</v>
          </cell>
          <cell r="E604" t="str">
            <v>13-217</v>
          </cell>
          <cell r="F604" t="str">
            <v>Infusion Pumps, Syringe</v>
          </cell>
          <cell r="G604" t="str">
            <v>IC</v>
          </cell>
          <cell r="H604" t="str">
            <v>INTENSIVE CARE UNIT</v>
          </cell>
          <cell r="I604" t="str">
            <v>05IC129</v>
          </cell>
          <cell r="J604" t="str">
            <v>ISOL 4 (+VE)</v>
          </cell>
          <cell r="K604" t="str">
            <v>BMED</v>
          </cell>
          <cell r="L604" t="str">
            <v>Normal</v>
          </cell>
          <cell r="M604" t="str">
            <v>Germany</v>
          </cell>
          <cell r="N604" t="str">
            <v>Perfusor</v>
          </cell>
          <cell r="O604" t="str">
            <v>Perfusor Space</v>
          </cell>
          <cell r="P604" t="str">
            <v>143198</v>
          </cell>
          <cell r="Q604" t="str">
            <v>Not Applicable</v>
          </cell>
          <cell r="R604" t="str">
            <v>B Braun Melsungen AG</v>
          </cell>
          <cell r="S604" t="str">
            <v>B Braun Medical Supplies Sdn. Bhd.</v>
          </cell>
          <cell r="T604" t="str">
            <v>Functioning</v>
          </cell>
          <cell r="U604" t="str">
            <v>Asset</v>
          </cell>
          <cell r="V604">
            <v>10225</v>
          </cell>
          <cell r="W604" t="str">
            <v>KEW</v>
          </cell>
          <cell r="X604" t="str">
            <v>01/09/2010</v>
          </cell>
          <cell r="Y604" t="str">
            <v>KEW</v>
          </cell>
          <cell r="Z604" t="str">
            <v>16/08/2013</v>
          </cell>
          <cell r="AA604" t="str">
            <v>15/08/2015</v>
          </cell>
          <cell r="AB604" t="str">
            <v>No</v>
          </cell>
          <cell r="AC604" t="str">
            <v>31/08/2013</v>
          </cell>
          <cell r="AD604" t="str">
            <v>Good</v>
          </cell>
          <cell r="AE604" t="str">
            <v>V1 - Existing / No Claim</v>
          </cell>
          <cell r="AF604">
            <v>42235</v>
          </cell>
          <cell r="AG604">
            <v>9.17</v>
          </cell>
          <cell r="AH604" t="str">
            <v>PPM</v>
          </cell>
          <cell r="AI604" t="str">
            <v>Strands</v>
          </cell>
          <cell r="AJ604" t="str">
            <v>Strands PW</v>
          </cell>
        </row>
        <row r="605">
          <cell r="A605" t="str">
            <v>IKN400124</v>
          </cell>
          <cell r="B605">
            <v>124</v>
          </cell>
          <cell r="C605" t="str">
            <v>Institut Kanser Negara</v>
          </cell>
          <cell r="D605" t="str">
            <v>KKM/IKN/H/13/995</v>
          </cell>
          <cell r="E605" t="str">
            <v>13-217</v>
          </cell>
          <cell r="F605" t="str">
            <v>Infusion Pumps, Syringe</v>
          </cell>
          <cell r="G605" t="str">
            <v>IC</v>
          </cell>
          <cell r="H605" t="str">
            <v>INTENSIVE CARE UNIT</v>
          </cell>
          <cell r="I605" t="str">
            <v>05IC129</v>
          </cell>
          <cell r="J605" t="str">
            <v>ISOL 4 (+VE)</v>
          </cell>
          <cell r="K605" t="str">
            <v>BMED</v>
          </cell>
          <cell r="L605" t="str">
            <v>Normal</v>
          </cell>
          <cell r="M605" t="str">
            <v>Germany</v>
          </cell>
          <cell r="N605" t="str">
            <v>Perfusor</v>
          </cell>
          <cell r="O605" t="str">
            <v>Perfusor Space</v>
          </cell>
          <cell r="P605">
            <v>143318</v>
          </cell>
          <cell r="Q605" t="str">
            <v>Not Applicable</v>
          </cell>
          <cell r="R605" t="str">
            <v>B Braun Melsungen AG</v>
          </cell>
          <cell r="S605" t="str">
            <v>B Braun Medical Supplies Sdn. Bhd.</v>
          </cell>
          <cell r="T605" t="str">
            <v>Functioning</v>
          </cell>
          <cell r="U605" t="str">
            <v>Asset</v>
          </cell>
          <cell r="V605">
            <v>10225</v>
          </cell>
          <cell r="W605" t="str">
            <v>KEW</v>
          </cell>
          <cell r="X605" t="str">
            <v>01/09/2010</v>
          </cell>
          <cell r="Y605" t="str">
            <v>KEW</v>
          </cell>
          <cell r="Z605" t="str">
            <v>16/08/2013</v>
          </cell>
          <cell r="AA605" t="str">
            <v>15/08/2015</v>
          </cell>
          <cell r="AB605" t="str">
            <v>No</v>
          </cell>
          <cell r="AC605" t="str">
            <v>31/08/2013</v>
          </cell>
          <cell r="AD605" t="str">
            <v>Good</v>
          </cell>
          <cell r="AE605" t="str">
            <v>V1 - Existing / No Claim</v>
          </cell>
          <cell r="AF605">
            <v>42235</v>
          </cell>
          <cell r="AG605">
            <v>9.17</v>
          </cell>
          <cell r="AH605" t="str">
            <v>PPM</v>
          </cell>
          <cell r="AI605" t="str">
            <v>Strands</v>
          </cell>
          <cell r="AJ605" t="str">
            <v>Strands PW</v>
          </cell>
        </row>
        <row r="606">
          <cell r="A606" t="str">
            <v>IKN400125</v>
          </cell>
          <cell r="B606">
            <v>125</v>
          </cell>
          <cell r="C606" t="str">
            <v>Institut Kanser Negara</v>
          </cell>
          <cell r="D606" t="str">
            <v>KKM/IKN/H/13/996</v>
          </cell>
          <cell r="E606" t="str">
            <v>13-217</v>
          </cell>
          <cell r="F606" t="str">
            <v>Infusion Pumps, Syringe</v>
          </cell>
          <cell r="G606" t="str">
            <v>IC</v>
          </cell>
          <cell r="H606" t="str">
            <v>INTENSIVE CARE UNIT</v>
          </cell>
          <cell r="I606" t="str">
            <v>05IC129</v>
          </cell>
          <cell r="J606" t="str">
            <v>ISOL 4 (+VE)</v>
          </cell>
          <cell r="K606" t="str">
            <v>BMED</v>
          </cell>
          <cell r="L606" t="str">
            <v>Normal</v>
          </cell>
          <cell r="M606" t="str">
            <v>Germany</v>
          </cell>
          <cell r="N606" t="str">
            <v>Perfusor</v>
          </cell>
          <cell r="O606" t="str">
            <v>Perfusor Space</v>
          </cell>
          <cell r="P606" t="str">
            <v>143346</v>
          </cell>
          <cell r="Q606" t="str">
            <v>Not Applicable</v>
          </cell>
          <cell r="R606" t="str">
            <v>B Braun Melsungen AG</v>
          </cell>
          <cell r="S606" t="str">
            <v>B Braun Medical Supplies Sdn. Bhd.</v>
          </cell>
          <cell r="T606" t="str">
            <v>Functioning</v>
          </cell>
          <cell r="U606" t="str">
            <v>Asset</v>
          </cell>
          <cell r="V606">
            <v>10225</v>
          </cell>
          <cell r="W606" t="str">
            <v>KEW</v>
          </cell>
          <cell r="X606" t="str">
            <v>01/09/2010</v>
          </cell>
          <cell r="Y606" t="str">
            <v>KEW</v>
          </cell>
          <cell r="Z606" t="str">
            <v>16/08/2013</v>
          </cell>
          <cell r="AA606" t="str">
            <v>15/08/2015</v>
          </cell>
          <cell r="AB606" t="str">
            <v>No</v>
          </cell>
          <cell r="AC606" t="str">
            <v>31/08/2013</v>
          </cell>
          <cell r="AD606" t="str">
            <v>Good</v>
          </cell>
          <cell r="AE606" t="str">
            <v>V1 - Existing / No Claim</v>
          </cell>
          <cell r="AF606">
            <v>42235</v>
          </cell>
          <cell r="AG606">
            <v>9.17</v>
          </cell>
          <cell r="AH606" t="str">
            <v>PPM</v>
          </cell>
          <cell r="AI606" t="str">
            <v>Strands</v>
          </cell>
          <cell r="AJ606" t="str">
            <v>Strands PW</v>
          </cell>
        </row>
        <row r="607">
          <cell r="A607" t="str">
            <v>IKN400126</v>
          </cell>
          <cell r="B607">
            <v>126</v>
          </cell>
          <cell r="C607" t="str">
            <v>Institut Kanser Negara</v>
          </cell>
          <cell r="D607" t="str">
            <v>KKM/IKN/H/13/997</v>
          </cell>
          <cell r="E607" t="str">
            <v>13-217</v>
          </cell>
          <cell r="F607" t="str">
            <v>Infusion Pumps, Syringe</v>
          </cell>
          <cell r="G607" t="str">
            <v>IC</v>
          </cell>
          <cell r="H607" t="str">
            <v>INTENSIVE CARE UNIT</v>
          </cell>
          <cell r="I607" t="str">
            <v>05IC129</v>
          </cell>
          <cell r="J607" t="str">
            <v>ISOL 4 (+VE)</v>
          </cell>
          <cell r="K607" t="str">
            <v>BMED</v>
          </cell>
          <cell r="L607" t="str">
            <v>Normal</v>
          </cell>
          <cell r="M607" t="str">
            <v>Germany</v>
          </cell>
          <cell r="N607" t="str">
            <v>Perfusor</v>
          </cell>
          <cell r="O607" t="str">
            <v>Perfusor Space</v>
          </cell>
          <cell r="P607" t="str">
            <v>186811</v>
          </cell>
          <cell r="Q607" t="str">
            <v>Not Applicable</v>
          </cell>
          <cell r="R607" t="str">
            <v>B Braun Melsungen AG</v>
          </cell>
          <cell r="S607" t="str">
            <v>B Braun Medical Supplies Sdn. Bhd.</v>
          </cell>
          <cell r="T607" t="str">
            <v>Functioning</v>
          </cell>
          <cell r="U607" t="str">
            <v>Asset</v>
          </cell>
          <cell r="V607">
            <v>10225</v>
          </cell>
          <cell r="W607" t="str">
            <v>KEW</v>
          </cell>
          <cell r="X607" t="str">
            <v>01/09/2010</v>
          </cell>
          <cell r="Y607" t="str">
            <v>KEW</v>
          </cell>
          <cell r="Z607" t="str">
            <v>16/08/2013</v>
          </cell>
          <cell r="AA607" t="str">
            <v>15/08/2015</v>
          </cell>
          <cell r="AB607" t="str">
            <v>No</v>
          </cell>
          <cell r="AC607" t="str">
            <v>31/08/2013</v>
          </cell>
          <cell r="AD607" t="str">
            <v>Good</v>
          </cell>
          <cell r="AE607" t="str">
            <v>V1 - Existing / No Claim</v>
          </cell>
          <cell r="AF607">
            <v>42235</v>
          </cell>
          <cell r="AG607">
            <v>9.17</v>
          </cell>
          <cell r="AH607" t="str">
            <v>PPM</v>
          </cell>
          <cell r="AI607" t="str">
            <v>Strands</v>
          </cell>
          <cell r="AJ607" t="str">
            <v>Strands PW</v>
          </cell>
        </row>
        <row r="608">
          <cell r="A608" t="str">
            <v>IKN400127</v>
          </cell>
          <cell r="B608">
            <v>127</v>
          </cell>
          <cell r="C608" t="str">
            <v>Institut Kanser Negara</v>
          </cell>
          <cell r="D608" t="str">
            <v>KKM/IKN/H/13/1005</v>
          </cell>
          <cell r="E608" t="str">
            <v>13-217</v>
          </cell>
          <cell r="F608" t="str">
            <v>Infusion Pumps, Syringe</v>
          </cell>
          <cell r="G608" t="str">
            <v>IC</v>
          </cell>
          <cell r="H608" t="str">
            <v>INTENSIVE CARE UNIT</v>
          </cell>
          <cell r="I608" t="str">
            <v>05IC129</v>
          </cell>
          <cell r="J608" t="str">
            <v>ISOL 4 (+VE)</v>
          </cell>
          <cell r="K608" t="str">
            <v>BMED</v>
          </cell>
          <cell r="L608" t="str">
            <v>Normal</v>
          </cell>
          <cell r="M608" t="str">
            <v>Germany</v>
          </cell>
          <cell r="N608" t="str">
            <v>Perfusor</v>
          </cell>
          <cell r="O608" t="str">
            <v>Perfusor Space</v>
          </cell>
          <cell r="P608" t="str">
            <v>186988</v>
          </cell>
          <cell r="Q608" t="str">
            <v>Not Applicable</v>
          </cell>
          <cell r="R608" t="str">
            <v>B Braun Melsungen AG</v>
          </cell>
          <cell r="S608" t="str">
            <v>B Braun Medical Supplies Sdn. Bhd.</v>
          </cell>
          <cell r="T608" t="str">
            <v>Functioning</v>
          </cell>
          <cell r="U608" t="str">
            <v>Asset</v>
          </cell>
          <cell r="V608">
            <v>10225</v>
          </cell>
          <cell r="W608" t="str">
            <v>KEW</v>
          </cell>
          <cell r="X608" t="str">
            <v>01/09/2010</v>
          </cell>
          <cell r="Y608" t="str">
            <v>KEW</v>
          </cell>
          <cell r="Z608" t="str">
            <v>16/08/2013</v>
          </cell>
          <cell r="AA608" t="str">
            <v>15/08/2015</v>
          </cell>
          <cell r="AB608" t="str">
            <v>No</v>
          </cell>
          <cell r="AC608" t="str">
            <v>31/08/2013</v>
          </cell>
          <cell r="AD608" t="str">
            <v>Good</v>
          </cell>
          <cell r="AE608" t="str">
            <v>V1 - Existing / No Claim</v>
          </cell>
          <cell r="AF608">
            <v>42235</v>
          </cell>
          <cell r="AG608">
            <v>9.17</v>
          </cell>
          <cell r="AH608" t="str">
            <v>PPM</v>
          </cell>
          <cell r="AI608" t="str">
            <v>Strands</v>
          </cell>
          <cell r="AJ608" t="str">
            <v>Strands PW</v>
          </cell>
        </row>
        <row r="609">
          <cell r="A609" t="str">
            <v>IKN400128</v>
          </cell>
          <cell r="B609">
            <v>128</v>
          </cell>
          <cell r="C609" t="str">
            <v>Institut Kanser Negara</v>
          </cell>
          <cell r="D609" t="str">
            <v>KKM/IKN/H/13/998</v>
          </cell>
          <cell r="E609" t="str">
            <v>13-217</v>
          </cell>
          <cell r="F609" t="str">
            <v>Infusion Pumps, Syringe</v>
          </cell>
          <cell r="G609" t="str">
            <v>IC</v>
          </cell>
          <cell r="H609" t="str">
            <v>INTENSIVE CARE UNIT</v>
          </cell>
          <cell r="I609" t="str">
            <v>05IC129</v>
          </cell>
          <cell r="J609" t="str">
            <v>ISOL 4 (+VE)</v>
          </cell>
          <cell r="K609" t="str">
            <v>BMED</v>
          </cell>
          <cell r="L609" t="str">
            <v>Normal</v>
          </cell>
          <cell r="M609" t="str">
            <v>Germany</v>
          </cell>
          <cell r="N609" t="str">
            <v>Perfusor</v>
          </cell>
          <cell r="O609" t="str">
            <v>Perfusor Space</v>
          </cell>
          <cell r="P609" t="str">
            <v>187055</v>
          </cell>
          <cell r="Q609" t="str">
            <v>Not Applicable</v>
          </cell>
          <cell r="R609" t="str">
            <v>B Braun Melsungen AG</v>
          </cell>
          <cell r="S609" t="str">
            <v>B Braun Medical Supplies Sdn. Bhd.</v>
          </cell>
          <cell r="T609" t="str">
            <v>Functioning</v>
          </cell>
          <cell r="U609" t="str">
            <v>Asset</v>
          </cell>
          <cell r="V609">
            <v>10225</v>
          </cell>
          <cell r="W609" t="str">
            <v>KEW</v>
          </cell>
          <cell r="X609" t="str">
            <v>01/09/2010</v>
          </cell>
          <cell r="Y609" t="str">
            <v>KEW</v>
          </cell>
          <cell r="Z609" t="str">
            <v>16/08/2013</v>
          </cell>
          <cell r="AA609" t="str">
            <v>15/08/2015</v>
          </cell>
          <cell r="AB609" t="str">
            <v>No</v>
          </cell>
          <cell r="AC609" t="str">
            <v>31/08/2013</v>
          </cell>
          <cell r="AD609" t="str">
            <v>Good</v>
          </cell>
          <cell r="AE609" t="str">
            <v>V1 - Existing / No Claim</v>
          </cell>
          <cell r="AF609">
            <v>42235</v>
          </cell>
          <cell r="AG609">
            <v>9.17</v>
          </cell>
          <cell r="AH609" t="str">
            <v>PPM</v>
          </cell>
          <cell r="AI609" t="str">
            <v>Strands</v>
          </cell>
          <cell r="AJ609" t="str">
            <v>Strands PW</v>
          </cell>
        </row>
        <row r="610">
          <cell r="A610" t="str">
            <v>IKN400129</v>
          </cell>
          <cell r="B610">
            <v>129</v>
          </cell>
          <cell r="C610" t="str">
            <v>Institut Kanser Negara</v>
          </cell>
          <cell r="D610" t="str">
            <v>KKM/IKN/H/13/999</v>
          </cell>
          <cell r="E610" t="str">
            <v>13-217</v>
          </cell>
          <cell r="F610" t="str">
            <v>Infusion Pumps, Syringe</v>
          </cell>
          <cell r="G610" t="str">
            <v>IC</v>
          </cell>
          <cell r="H610" t="str">
            <v>INTENSIVE CARE UNIT</v>
          </cell>
          <cell r="I610" t="str">
            <v>05IC131</v>
          </cell>
          <cell r="J610" t="str">
            <v>ISOL 3 (+VE)</v>
          </cell>
          <cell r="K610" t="str">
            <v>BMED</v>
          </cell>
          <cell r="L610" t="str">
            <v>Normal</v>
          </cell>
          <cell r="M610" t="str">
            <v>Germany</v>
          </cell>
          <cell r="N610" t="str">
            <v>Perfusor</v>
          </cell>
          <cell r="O610" t="str">
            <v>Perfusor Space</v>
          </cell>
          <cell r="P610" t="str">
            <v>143336</v>
          </cell>
          <cell r="Q610" t="str">
            <v>Not Applicable</v>
          </cell>
          <cell r="R610" t="str">
            <v>B Braun Melsungen AG</v>
          </cell>
          <cell r="S610" t="str">
            <v>B Braun Medical Supplies Sdn. Bhd.</v>
          </cell>
          <cell r="T610" t="str">
            <v>Functioning</v>
          </cell>
          <cell r="U610" t="str">
            <v>Asset</v>
          </cell>
          <cell r="V610">
            <v>10225</v>
          </cell>
          <cell r="W610" t="str">
            <v>KEW</v>
          </cell>
          <cell r="X610" t="str">
            <v>01/09/2010</v>
          </cell>
          <cell r="Y610" t="str">
            <v>KEW</v>
          </cell>
          <cell r="Z610" t="str">
            <v>16/08/2013</v>
          </cell>
          <cell r="AA610" t="str">
            <v>15/08/2015</v>
          </cell>
          <cell r="AB610" t="str">
            <v>No</v>
          </cell>
          <cell r="AC610" t="str">
            <v>31/08/2013</v>
          </cell>
          <cell r="AD610" t="str">
            <v>Good</v>
          </cell>
          <cell r="AE610" t="str">
            <v>V1 - Existing / No Claim</v>
          </cell>
          <cell r="AF610">
            <v>42235</v>
          </cell>
          <cell r="AG610">
            <v>9.17</v>
          </cell>
          <cell r="AH610" t="str">
            <v>PPM</v>
          </cell>
          <cell r="AI610" t="str">
            <v>Strands</v>
          </cell>
          <cell r="AJ610" t="str">
            <v>Strands PW</v>
          </cell>
        </row>
        <row r="611">
          <cell r="A611" t="str">
            <v>IKN400130</v>
          </cell>
          <cell r="B611">
            <v>130</v>
          </cell>
          <cell r="C611" t="str">
            <v>Institut Kanser Negara</v>
          </cell>
          <cell r="D611" t="str">
            <v>KKM/IKN/H/13/1000</v>
          </cell>
          <cell r="E611" t="str">
            <v>13-217</v>
          </cell>
          <cell r="F611" t="str">
            <v>Infusion Pumps, Syringe</v>
          </cell>
          <cell r="G611" t="str">
            <v>IC</v>
          </cell>
          <cell r="H611" t="str">
            <v>INTENSIVE CARE UNIT</v>
          </cell>
          <cell r="I611" t="str">
            <v>05IC131</v>
          </cell>
          <cell r="J611" t="str">
            <v>ISOL 3 (+VE)</v>
          </cell>
          <cell r="K611" t="str">
            <v>BMED</v>
          </cell>
          <cell r="L611" t="str">
            <v>Normal</v>
          </cell>
          <cell r="M611" t="str">
            <v>Germany</v>
          </cell>
          <cell r="N611" t="str">
            <v>Perfusor</v>
          </cell>
          <cell r="O611" t="str">
            <v>Perfusor Space</v>
          </cell>
          <cell r="P611" t="str">
            <v>186991</v>
          </cell>
          <cell r="Q611" t="str">
            <v>Not Applicable</v>
          </cell>
          <cell r="R611" t="str">
            <v>B Braun Melsungen AG</v>
          </cell>
          <cell r="S611" t="str">
            <v>B Braun Medical Supplies Sdn. Bhd.</v>
          </cell>
          <cell r="T611" t="str">
            <v>Functioning</v>
          </cell>
          <cell r="U611" t="str">
            <v>Asset</v>
          </cell>
          <cell r="V611">
            <v>10225</v>
          </cell>
          <cell r="W611" t="str">
            <v>KEW</v>
          </cell>
          <cell r="X611" t="str">
            <v>01/09/2010</v>
          </cell>
          <cell r="Y611" t="str">
            <v>KEW</v>
          </cell>
          <cell r="Z611" t="str">
            <v>16/08/2013</v>
          </cell>
          <cell r="AA611" t="str">
            <v>15/08/2015</v>
          </cell>
          <cell r="AB611" t="str">
            <v>No</v>
          </cell>
          <cell r="AC611" t="str">
            <v>31/08/2013</v>
          </cell>
          <cell r="AD611" t="str">
            <v>Good</v>
          </cell>
          <cell r="AE611" t="str">
            <v>V1 - Existing / No Claim</v>
          </cell>
          <cell r="AF611">
            <v>42235</v>
          </cell>
          <cell r="AG611">
            <v>9.17</v>
          </cell>
          <cell r="AH611" t="str">
            <v>PPM</v>
          </cell>
          <cell r="AI611" t="str">
            <v>Strands</v>
          </cell>
          <cell r="AJ611" t="str">
            <v>Strands PW</v>
          </cell>
        </row>
        <row r="612">
          <cell r="A612" t="str">
            <v>IKN400131</v>
          </cell>
          <cell r="B612">
            <v>131</v>
          </cell>
          <cell r="C612" t="str">
            <v>Institut Kanser Negara</v>
          </cell>
          <cell r="D612" t="str">
            <v>KKM/IKN/H/13/1001</v>
          </cell>
          <cell r="E612" t="str">
            <v>13-217</v>
          </cell>
          <cell r="F612" t="str">
            <v>Infusion Pumps, Syringe</v>
          </cell>
          <cell r="G612" t="str">
            <v>IC</v>
          </cell>
          <cell r="H612" t="str">
            <v>INTENSIVE CARE UNIT</v>
          </cell>
          <cell r="I612" t="str">
            <v>05IC131</v>
          </cell>
          <cell r="J612" t="str">
            <v>ISOL 3 (+VE)</v>
          </cell>
          <cell r="K612" t="str">
            <v>BMED</v>
          </cell>
          <cell r="L612" t="str">
            <v>Normal</v>
          </cell>
          <cell r="M612" t="str">
            <v>Germany</v>
          </cell>
          <cell r="N612" t="str">
            <v>Perfusor</v>
          </cell>
          <cell r="O612" t="str">
            <v>Perfusor Space</v>
          </cell>
          <cell r="P612" t="str">
            <v>187000</v>
          </cell>
          <cell r="Q612" t="str">
            <v>Not Applicable</v>
          </cell>
          <cell r="R612" t="str">
            <v>B Braun Melsungen AG</v>
          </cell>
          <cell r="S612" t="str">
            <v>B Braun Medical Supplies Sdn. Bhd.</v>
          </cell>
          <cell r="T612" t="str">
            <v>Functioning</v>
          </cell>
          <cell r="U612" t="str">
            <v>Asset</v>
          </cell>
          <cell r="V612">
            <v>10225</v>
          </cell>
          <cell r="W612" t="str">
            <v>KEW</v>
          </cell>
          <cell r="X612" t="str">
            <v>01/09/2010</v>
          </cell>
          <cell r="Y612" t="str">
            <v>KEW</v>
          </cell>
          <cell r="Z612" t="str">
            <v>16/08/2013</v>
          </cell>
          <cell r="AA612" t="str">
            <v>15/08/2015</v>
          </cell>
          <cell r="AB612" t="str">
            <v>No</v>
          </cell>
          <cell r="AC612" t="str">
            <v>31/08/2013</v>
          </cell>
          <cell r="AD612" t="str">
            <v>Good</v>
          </cell>
          <cell r="AE612" t="str">
            <v>V1 - Existing / No Claim</v>
          </cell>
          <cell r="AF612">
            <v>42235</v>
          </cell>
          <cell r="AG612">
            <v>9.17</v>
          </cell>
          <cell r="AH612" t="str">
            <v>PPM</v>
          </cell>
          <cell r="AI612" t="str">
            <v>Strands</v>
          </cell>
          <cell r="AJ612" t="str">
            <v>Strands PW</v>
          </cell>
        </row>
        <row r="613">
          <cell r="A613" t="str">
            <v>IKN400132</v>
          </cell>
          <cell r="B613">
            <v>132</v>
          </cell>
          <cell r="C613" t="str">
            <v>Institut Kanser Negara</v>
          </cell>
          <cell r="D613" t="str">
            <v>KKM/IKN/H/13/1002</v>
          </cell>
          <cell r="E613" t="str">
            <v>13-217</v>
          </cell>
          <cell r="F613" t="str">
            <v>Infusion Pumps, Syringe</v>
          </cell>
          <cell r="G613" t="str">
            <v>IC</v>
          </cell>
          <cell r="H613" t="str">
            <v>INTENSIVE CARE UNIT</v>
          </cell>
          <cell r="I613" t="str">
            <v>05IC131</v>
          </cell>
          <cell r="J613" t="str">
            <v>ISOL 3 (+VE)</v>
          </cell>
          <cell r="K613" t="str">
            <v>BMED</v>
          </cell>
          <cell r="L613" t="str">
            <v>Normal</v>
          </cell>
          <cell r="M613" t="str">
            <v>Germany</v>
          </cell>
          <cell r="N613" t="str">
            <v>Perfusor</v>
          </cell>
          <cell r="O613" t="str">
            <v>Perfusor Space</v>
          </cell>
          <cell r="P613" t="str">
            <v>187040</v>
          </cell>
          <cell r="Q613" t="str">
            <v>Not Applicable</v>
          </cell>
          <cell r="R613" t="str">
            <v>B Braun Melsungen AG</v>
          </cell>
          <cell r="S613" t="str">
            <v>B Braun Medical Supplies Sdn. Bhd.</v>
          </cell>
          <cell r="T613" t="str">
            <v>Functioning</v>
          </cell>
          <cell r="U613" t="str">
            <v>Asset</v>
          </cell>
          <cell r="V613">
            <v>10225</v>
          </cell>
          <cell r="W613" t="str">
            <v>KEW</v>
          </cell>
          <cell r="X613" t="str">
            <v>01/09/2010</v>
          </cell>
          <cell r="Y613" t="str">
            <v>KEW</v>
          </cell>
          <cell r="Z613" t="str">
            <v>16/08/2013</v>
          </cell>
          <cell r="AA613" t="str">
            <v>15/08/2015</v>
          </cell>
          <cell r="AB613" t="str">
            <v>No</v>
          </cell>
          <cell r="AC613" t="str">
            <v>31/08/2013</v>
          </cell>
          <cell r="AD613" t="str">
            <v>Good</v>
          </cell>
          <cell r="AE613" t="str">
            <v>V1 - Existing / No Claim</v>
          </cell>
          <cell r="AF613">
            <v>42235</v>
          </cell>
          <cell r="AG613">
            <v>9.17</v>
          </cell>
          <cell r="AH613" t="str">
            <v>PPM</v>
          </cell>
          <cell r="AI613" t="str">
            <v>Strands</v>
          </cell>
          <cell r="AJ613" t="str">
            <v>Strands PW</v>
          </cell>
        </row>
        <row r="614">
          <cell r="A614" t="str">
            <v>IKN400133</v>
          </cell>
          <cell r="B614">
            <v>133</v>
          </cell>
          <cell r="C614" t="str">
            <v>Institut Kanser Negara</v>
          </cell>
          <cell r="D614" t="str">
            <v>KKM/IKN/H/13/1003</v>
          </cell>
          <cell r="E614" t="str">
            <v>13-217</v>
          </cell>
          <cell r="F614" t="str">
            <v>Infusion Pumps, Syringe</v>
          </cell>
          <cell r="G614" t="str">
            <v>IC</v>
          </cell>
          <cell r="H614" t="str">
            <v>INTENSIVE CARE UNIT</v>
          </cell>
          <cell r="I614" t="str">
            <v>05IC131</v>
          </cell>
          <cell r="J614" t="str">
            <v>ISOL 3 (+VE)</v>
          </cell>
          <cell r="K614" t="str">
            <v>BMED</v>
          </cell>
          <cell r="L614" t="str">
            <v>Normal</v>
          </cell>
          <cell r="M614" t="str">
            <v>Germany</v>
          </cell>
          <cell r="N614" t="str">
            <v>Perfusor</v>
          </cell>
          <cell r="O614" t="str">
            <v>Perfusor Space</v>
          </cell>
          <cell r="P614" t="str">
            <v>187046</v>
          </cell>
          <cell r="Q614" t="str">
            <v>Not Applicable</v>
          </cell>
          <cell r="R614" t="str">
            <v>B Braun Melsungen AG</v>
          </cell>
          <cell r="S614" t="str">
            <v>B Braun Medical Supplies Sdn. Bhd.</v>
          </cell>
          <cell r="T614" t="str">
            <v>Functioning</v>
          </cell>
          <cell r="U614" t="str">
            <v>Asset</v>
          </cell>
          <cell r="V614">
            <v>10225</v>
          </cell>
          <cell r="W614" t="str">
            <v>KEW</v>
          </cell>
          <cell r="X614" t="str">
            <v>01/09/2010</v>
          </cell>
          <cell r="Y614" t="str">
            <v>KEW</v>
          </cell>
          <cell r="Z614" t="str">
            <v>16/08/2013</v>
          </cell>
          <cell r="AA614" t="str">
            <v>15/08/2015</v>
          </cell>
          <cell r="AB614" t="str">
            <v>No</v>
          </cell>
          <cell r="AC614" t="str">
            <v>31/08/2013</v>
          </cell>
          <cell r="AD614" t="str">
            <v>Good</v>
          </cell>
          <cell r="AE614" t="str">
            <v>V1 - Existing / No Claim</v>
          </cell>
          <cell r="AF614">
            <v>42235</v>
          </cell>
          <cell r="AG614">
            <v>9.17</v>
          </cell>
          <cell r="AH614" t="str">
            <v>PPM</v>
          </cell>
          <cell r="AI614" t="str">
            <v>Strands</v>
          </cell>
          <cell r="AJ614" t="str">
            <v>Strands PW</v>
          </cell>
        </row>
        <row r="615">
          <cell r="A615" t="str">
            <v>IKN400134</v>
          </cell>
          <cell r="B615">
            <v>134</v>
          </cell>
          <cell r="C615" t="str">
            <v>Institut Kanser Negara</v>
          </cell>
          <cell r="D615" t="str">
            <v>KKM/IKN/H/13/1004</v>
          </cell>
          <cell r="E615" t="str">
            <v>13-217</v>
          </cell>
          <cell r="F615" t="str">
            <v>Infusion Pumps, Syringe</v>
          </cell>
          <cell r="G615" t="str">
            <v>IC</v>
          </cell>
          <cell r="H615" t="str">
            <v>INTENSIVE CARE UNIT</v>
          </cell>
          <cell r="I615" t="str">
            <v>05IC131</v>
          </cell>
          <cell r="J615" t="str">
            <v>ISOL 3 (+VE)</v>
          </cell>
          <cell r="K615" t="str">
            <v>BMED</v>
          </cell>
          <cell r="L615" t="str">
            <v>Normal</v>
          </cell>
          <cell r="M615" t="str">
            <v>Germany</v>
          </cell>
          <cell r="N615" t="str">
            <v>Perfusor</v>
          </cell>
          <cell r="O615" t="str">
            <v>Perfusor Space</v>
          </cell>
          <cell r="P615" t="str">
            <v>187059</v>
          </cell>
          <cell r="Q615" t="str">
            <v>Not Applicable</v>
          </cell>
          <cell r="R615" t="str">
            <v>B Braun Melsungen AG</v>
          </cell>
          <cell r="S615" t="str">
            <v>B Braun Medical Supplies Sdn. Bhd.</v>
          </cell>
          <cell r="T615" t="str">
            <v>Functioning</v>
          </cell>
          <cell r="U615" t="str">
            <v>Asset</v>
          </cell>
          <cell r="V615">
            <v>10225</v>
          </cell>
          <cell r="W615" t="str">
            <v>KEW</v>
          </cell>
          <cell r="X615" t="str">
            <v>01/09/2010</v>
          </cell>
          <cell r="Y615" t="str">
            <v>KEW</v>
          </cell>
          <cell r="Z615" t="str">
            <v>16/08/2013</v>
          </cell>
          <cell r="AA615" t="str">
            <v>15/08/2015</v>
          </cell>
          <cell r="AB615" t="str">
            <v>No</v>
          </cell>
          <cell r="AC615" t="str">
            <v>31/08/2013</v>
          </cell>
          <cell r="AD615" t="str">
            <v>Good</v>
          </cell>
          <cell r="AE615" t="str">
            <v>V1 - Existing / No Claim</v>
          </cell>
          <cell r="AF615">
            <v>42235</v>
          </cell>
          <cell r="AG615">
            <v>9.17</v>
          </cell>
          <cell r="AH615" t="str">
            <v>PPM</v>
          </cell>
          <cell r="AI615" t="str">
            <v>Strands</v>
          </cell>
          <cell r="AJ615" t="str">
            <v>Strands PW</v>
          </cell>
        </row>
        <row r="616">
          <cell r="A616" t="str">
            <v>IKN400135</v>
          </cell>
          <cell r="B616">
            <v>135</v>
          </cell>
          <cell r="C616" t="str">
            <v>Institut Kanser Negara</v>
          </cell>
          <cell r="D616" t="str">
            <v>KKM/IKN/H/13/1006</v>
          </cell>
          <cell r="E616" t="str">
            <v>13-215</v>
          </cell>
          <cell r="F616" t="str">
            <v>Infusion Pumps, General-Purpose</v>
          </cell>
          <cell r="G616" t="str">
            <v>IC</v>
          </cell>
          <cell r="H616" t="str">
            <v>INTENSIVE CARE UNIT</v>
          </cell>
          <cell r="I616" t="str">
            <v>05IC111</v>
          </cell>
          <cell r="J616" t="str">
            <v>ISOL 1(-VE)</v>
          </cell>
          <cell r="K616" t="str">
            <v>BMED</v>
          </cell>
          <cell r="L616" t="str">
            <v>Normal</v>
          </cell>
          <cell r="M616" t="str">
            <v>Germany</v>
          </cell>
          <cell r="N616" t="str">
            <v>Infusomat</v>
          </cell>
          <cell r="O616" t="str">
            <v>Infusomat Space</v>
          </cell>
          <cell r="P616" t="str">
            <v>212105</v>
          </cell>
          <cell r="Q616" t="str">
            <v>Not Applicable</v>
          </cell>
          <cell r="R616" t="str">
            <v>B Braun Melsungen AG</v>
          </cell>
          <cell r="S616" t="str">
            <v>B Braun Medical Supplies Sdn. Bhd.</v>
          </cell>
          <cell r="T616" t="str">
            <v>Functioning</v>
          </cell>
          <cell r="U616" t="str">
            <v>Asset</v>
          </cell>
          <cell r="V616">
            <v>10825</v>
          </cell>
          <cell r="W616" t="str">
            <v>KEW</v>
          </cell>
          <cell r="X616" t="str">
            <v>01/09/2010</v>
          </cell>
          <cell r="Y616" t="str">
            <v>KEW</v>
          </cell>
          <cell r="Z616" t="str">
            <v>16/08/2013</v>
          </cell>
          <cell r="AA616" t="str">
            <v>15/08/2015</v>
          </cell>
          <cell r="AB616" t="str">
            <v>No</v>
          </cell>
          <cell r="AC616" t="str">
            <v>31/08/2013</v>
          </cell>
          <cell r="AD616" t="str">
            <v>Good</v>
          </cell>
          <cell r="AE616" t="str">
            <v>V1 - Existing / No Claim</v>
          </cell>
          <cell r="AF616">
            <v>42235</v>
          </cell>
          <cell r="AG616">
            <v>9.17</v>
          </cell>
          <cell r="AH616" t="str">
            <v>PPM</v>
          </cell>
          <cell r="AI616" t="str">
            <v>Strands</v>
          </cell>
          <cell r="AJ616" t="str">
            <v>Strands PW</v>
          </cell>
        </row>
        <row r="617">
          <cell r="A617" t="str">
            <v>IKN400136</v>
          </cell>
          <cell r="B617">
            <v>136</v>
          </cell>
          <cell r="C617" t="str">
            <v>Institut Kanser Negara</v>
          </cell>
          <cell r="D617" t="str">
            <v>KKM/IKN/H/13/1008</v>
          </cell>
          <cell r="E617" t="str">
            <v>13-215</v>
          </cell>
          <cell r="F617" t="str">
            <v>Infusion Pumps, General-Purpose</v>
          </cell>
          <cell r="G617" t="str">
            <v>IC</v>
          </cell>
          <cell r="H617" t="str">
            <v>INTENSIVE CARE UNIT</v>
          </cell>
          <cell r="I617" t="str">
            <v>05IC111</v>
          </cell>
          <cell r="J617" t="str">
            <v>ISOL 1(-VE)</v>
          </cell>
          <cell r="K617" t="str">
            <v>BMED</v>
          </cell>
          <cell r="L617" t="str">
            <v>Normal</v>
          </cell>
          <cell r="M617" t="str">
            <v>Germany</v>
          </cell>
          <cell r="N617" t="str">
            <v>Infusomat</v>
          </cell>
          <cell r="O617" t="str">
            <v>Infusomat Space</v>
          </cell>
          <cell r="P617" t="str">
            <v>211994</v>
          </cell>
          <cell r="Q617" t="str">
            <v>Not Applicable</v>
          </cell>
          <cell r="R617" t="str">
            <v>B Braun Melsungen AG</v>
          </cell>
          <cell r="S617" t="str">
            <v>B Braun Medical Supplies Sdn. Bhd.</v>
          </cell>
          <cell r="T617" t="str">
            <v>Functioning</v>
          </cell>
          <cell r="U617" t="str">
            <v>Asset</v>
          </cell>
          <cell r="V617">
            <v>10825</v>
          </cell>
          <cell r="W617" t="str">
            <v>KEW</v>
          </cell>
          <cell r="X617" t="str">
            <v>01/09/2010</v>
          </cell>
          <cell r="Y617" t="str">
            <v>KEW</v>
          </cell>
          <cell r="Z617" t="str">
            <v>16/08/2013</v>
          </cell>
          <cell r="AA617" t="str">
            <v>15/08/2015</v>
          </cell>
          <cell r="AB617" t="str">
            <v>No</v>
          </cell>
          <cell r="AC617" t="str">
            <v>31/08/2013</v>
          </cell>
          <cell r="AD617" t="str">
            <v>Good</v>
          </cell>
          <cell r="AE617" t="str">
            <v>V1 - Existing / No Claim</v>
          </cell>
          <cell r="AF617">
            <v>42235</v>
          </cell>
          <cell r="AG617">
            <v>9.17</v>
          </cell>
          <cell r="AH617" t="str">
            <v>PPM</v>
          </cell>
          <cell r="AI617" t="str">
            <v>Strands</v>
          </cell>
          <cell r="AJ617" t="str">
            <v>Strands PW</v>
          </cell>
        </row>
        <row r="618">
          <cell r="A618" t="str">
            <v>IKN400137</v>
          </cell>
          <cell r="B618">
            <v>137</v>
          </cell>
          <cell r="C618" t="str">
            <v>Institut Kanser Negara</v>
          </cell>
          <cell r="D618" t="str">
            <v>KKM/IKN/H/13/1009</v>
          </cell>
          <cell r="E618" t="str">
            <v>13-215</v>
          </cell>
          <cell r="F618" t="str">
            <v>Infusion Pumps, General-Purpose</v>
          </cell>
          <cell r="G618" t="str">
            <v>IC</v>
          </cell>
          <cell r="H618" t="str">
            <v>INTENSIVE CARE UNIT</v>
          </cell>
          <cell r="I618" t="str">
            <v>05IC112</v>
          </cell>
          <cell r="J618" t="str">
            <v>ICU RM 1</v>
          </cell>
          <cell r="K618" t="str">
            <v>BMED</v>
          </cell>
          <cell r="L618" t="str">
            <v>Normal</v>
          </cell>
          <cell r="M618" t="str">
            <v>Germany</v>
          </cell>
          <cell r="N618" t="str">
            <v>Infusomat</v>
          </cell>
          <cell r="O618" t="str">
            <v>Infusomat Space</v>
          </cell>
          <cell r="P618">
            <v>211715</v>
          </cell>
          <cell r="Q618" t="str">
            <v>Not Applicable</v>
          </cell>
          <cell r="R618" t="str">
            <v>B Braun Melsungen AG</v>
          </cell>
          <cell r="S618" t="str">
            <v>B Braun Medical Supplies Sdn. Bhd.</v>
          </cell>
          <cell r="T618" t="str">
            <v>Functioning</v>
          </cell>
          <cell r="U618" t="str">
            <v>Asset</v>
          </cell>
          <cell r="V618">
            <v>10825</v>
          </cell>
          <cell r="W618" t="str">
            <v>KEW</v>
          </cell>
          <cell r="X618" t="str">
            <v>01/09/2010</v>
          </cell>
          <cell r="Y618" t="str">
            <v>KEW</v>
          </cell>
          <cell r="Z618" t="str">
            <v>16/08/2013</v>
          </cell>
          <cell r="AA618" t="str">
            <v>15/08/2015</v>
          </cell>
          <cell r="AB618" t="str">
            <v>No</v>
          </cell>
          <cell r="AC618" t="str">
            <v>31/08/2013</v>
          </cell>
          <cell r="AD618" t="str">
            <v>Good</v>
          </cell>
          <cell r="AE618" t="str">
            <v>V1 - Existing / No Claim</v>
          </cell>
          <cell r="AF618">
            <v>42235</v>
          </cell>
          <cell r="AG618">
            <v>9.17</v>
          </cell>
          <cell r="AH618" t="str">
            <v>PPM</v>
          </cell>
          <cell r="AI618" t="str">
            <v>Strands</v>
          </cell>
          <cell r="AJ618" t="str">
            <v>Strands PW</v>
          </cell>
        </row>
        <row r="619">
          <cell r="A619" t="str">
            <v>IKN400138</v>
          </cell>
          <cell r="B619">
            <v>138</v>
          </cell>
          <cell r="C619" t="str">
            <v>Institut Kanser Negara</v>
          </cell>
          <cell r="D619" t="str">
            <v>KKM/IKN/H/13/1010</v>
          </cell>
          <cell r="E619" t="str">
            <v>13-215</v>
          </cell>
          <cell r="F619" t="str">
            <v>Infusion Pumps, General-Purpose</v>
          </cell>
          <cell r="G619" t="str">
            <v>IC</v>
          </cell>
          <cell r="H619" t="str">
            <v>INTENSIVE CARE UNIT</v>
          </cell>
          <cell r="I619" t="str">
            <v>05IC112</v>
          </cell>
          <cell r="J619" t="str">
            <v>ICU RM 1</v>
          </cell>
          <cell r="K619" t="str">
            <v>BMED</v>
          </cell>
          <cell r="L619" t="str">
            <v>Normal</v>
          </cell>
          <cell r="M619" t="str">
            <v>Germany</v>
          </cell>
          <cell r="N619" t="str">
            <v>Infusomat</v>
          </cell>
          <cell r="O619" t="str">
            <v>Infusomat Space</v>
          </cell>
          <cell r="P619" t="str">
            <v>211936</v>
          </cell>
          <cell r="Q619" t="str">
            <v>Not Applicable</v>
          </cell>
          <cell r="R619" t="str">
            <v>B Braun Melsungen AG</v>
          </cell>
          <cell r="S619" t="str">
            <v>B Braun Medical Supplies Sdn. Bhd.</v>
          </cell>
          <cell r="T619" t="str">
            <v>Functioning</v>
          </cell>
          <cell r="U619" t="str">
            <v>Asset</v>
          </cell>
          <cell r="V619">
            <v>10825</v>
          </cell>
          <cell r="W619" t="str">
            <v>KEW</v>
          </cell>
          <cell r="X619" t="str">
            <v>01/09/2010</v>
          </cell>
          <cell r="Y619" t="str">
            <v>KEW</v>
          </cell>
          <cell r="Z619" t="str">
            <v>16/08/2013</v>
          </cell>
          <cell r="AA619" t="str">
            <v>15/08/2015</v>
          </cell>
          <cell r="AB619" t="str">
            <v>No</v>
          </cell>
          <cell r="AC619" t="str">
            <v>31/08/2013</v>
          </cell>
          <cell r="AD619" t="str">
            <v>Good</v>
          </cell>
          <cell r="AE619" t="str">
            <v>V1 - Existing / No Claim</v>
          </cell>
          <cell r="AF619">
            <v>42235</v>
          </cell>
          <cell r="AG619">
            <v>9.17</v>
          </cell>
          <cell r="AH619" t="str">
            <v>PPM</v>
          </cell>
          <cell r="AI619" t="str">
            <v>Strands</v>
          </cell>
          <cell r="AJ619" t="str">
            <v>Strands PW</v>
          </cell>
        </row>
        <row r="620">
          <cell r="A620" t="str">
            <v>IKN400139</v>
          </cell>
          <cell r="B620">
            <v>139</v>
          </cell>
          <cell r="C620" t="str">
            <v>Institut Kanser Negara</v>
          </cell>
          <cell r="D620" t="str">
            <v>KKM/IKN/H/13/1011</v>
          </cell>
          <cell r="E620" t="str">
            <v>13-215</v>
          </cell>
          <cell r="F620" t="str">
            <v>Infusion Pumps, General-Purpose</v>
          </cell>
          <cell r="G620" t="str">
            <v>IC</v>
          </cell>
          <cell r="H620" t="str">
            <v>INTENSIVE CARE UNIT</v>
          </cell>
          <cell r="I620" t="str">
            <v>05IC113</v>
          </cell>
          <cell r="J620" t="str">
            <v>ICU RM 2</v>
          </cell>
          <cell r="K620" t="str">
            <v>BMED</v>
          </cell>
          <cell r="L620" t="str">
            <v>Critical</v>
          </cell>
          <cell r="M620" t="str">
            <v>Germany</v>
          </cell>
          <cell r="N620" t="str">
            <v>Infusomat</v>
          </cell>
          <cell r="O620" t="str">
            <v>Infusomat Space</v>
          </cell>
          <cell r="P620" t="str">
            <v>211828</v>
          </cell>
          <cell r="Q620" t="str">
            <v>Not Applicable</v>
          </cell>
          <cell r="R620" t="str">
            <v>B Braun Melsungen AG</v>
          </cell>
          <cell r="S620" t="str">
            <v>B Braun Medical Supplies Sdn. Bhd.</v>
          </cell>
          <cell r="T620" t="str">
            <v>Functioning</v>
          </cell>
          <cell r="U620" t="str">
            <v>Asset</v>
          </cell>
          <cell r="V620">
            <v>10825</v>
          </cell>
          <cell r="W620" t="str">
            <v>KEW</v>
          </cell>
          <cell r="X620" t="str">
            <v>01/09/2010</v>
          </cell>
          <cell r="Y620" t="str">
            <v>KEW</v>
          </cell>
          <cell r="Z620" t="str">
            <v>16/08/2013</v>
          </cell>
          <cell r="AA620" t="str">
            <v>15/08/2015</v>
          </cell>
          <cell r="AB620" t="str">
            <v>No</v>
          </cell>
          <cell r="AC620" t="str">
            <v>31/08/2013</v>
          </cell>
          <cell r="AD620" t="str">
            <v>Good</v>
          </cell>
          <cell r="AE620" t="str">
            <v>V1 - Existing / No Claim</v>
          </cell>
          <cell r="AF620">
            <v>42797</v>
          </cell>
          <cell r="AG620">
            <v>9.17</v>
          </cell>
          <cell r="AH620" t="str">
            <v>PPM</v>
          </cell>
          <cell r="AI620" t="str">
            <v>Strands</v>
          </cell>
          <cell r="AJ620" t="str">
            <v>Strands PW</v>
          </cell>
        </row>
        <row r="621">
          <cell r="A621" t="str">
            <v>IKN400140</v>
          </cell>
          <cell r="B621">
            <v>140</v>
          </cell>
          <cell r="C621" t="str">
            <v>Institut Kanser Negara</v>
          </cell>
          <cell r="D621" t="str">
            <v>KKM/IKN/H/13/1012</v>
          </cell>
          <cell r="E621" t="str">
            <v>13-215</v>
          </cell>
          <cell r="F621" t="str">
            <v>Infusion Pumps, General-Purpose</v>
          </cell>
          <cell r="G621" t="str">
            <v>IC</v>
          </cell>
          <cell r="H621" t="str">
            <v>INTENSIVE CARE UNIT</v>
          </cell>
          <cell r="I621" t="str">
            <v>05IC113</v>
          </cell>
          <cell r="J621" t="str">
            <v>ICU RM 2</v>
          </cell>
          <cell r="K621" t="str">
            <v>BMED</v>
          </cell>
          <cell r="L621" t="str">
            <v>Critical</v>
          </cell>
          <cell r="M621" t="str">
            <v>Germany</v>
          </cell>
          <cell r="N621" t="str">
            <v>Infusomat</v>
          </cell>
          <cell r="O621" t="str">
            <v>Infusomat Space</v>
          </cell>
          <cell r="P621" t="str">
            <v>212094</v>
          </cell>
          <cell r="Q621" t="str">
            <v>Not Applicable</v>
          </cell>
          <cell r="R621" t="str">
            <v>B Braun Melsungen AG</v>
          </cell>
          <cell r="S621" t="str">
            <v>B Braun Medical Supplies Sdn. Bhd.</v>
          </cell>
          <cell r="T621" t="str">
            <v>Functioning</v>
          </cell>
          <cell r="U621" t="str">
            <v>Asset</v>
          </cell>
          <cell r="V621">
            <v>10825</v>
          </cell>
          <cell r="W621" t="str">
            <v>KEW</v>
          </cell>
          <cell r="X621" t="str">
            <v>01/09/2010</v>
          </cell>
          <cell r="Y621" t="str">
            <v>KEW</v>
          </cell>
          <cell r="Z621" t="str">
            <v>16/08/2013</v>
          </cell>
          <cell r="AA621" t="str">
            <v>15/08/2015</v>
          </cell>
          <cell r="AB621" t="str">
            <v>No</v>
          </cell>
          <cell r="AC621" t="str">
            <v>31/08/2013</v>
          </cell>
          <cell r="AD621" t="str">
            <v>Good</v>
          </cell>
          <cell r="AE621" t="str">
            <v>V1 - Existing / No Claim</v>
          </cell>
          <cell r="AF621">
            <v>42797</v>
          </cell>
          <cell r="AG621">
            <v>9.17</v>
          </cell>
          <cell r="AH621" t="str">
            <v>PPM</v>
          </cell>
          <cell r="AI621" t="str">
            <v>Strands</v>
          </cell>
          <cell r="AJ621" t="str">
            <v>Strands PW</v>
          </cell>
        </row>
        <row r="622">
          <cell r="A622" t="str">
            <v>IKN400141</v>
          </cell>
          <cell r="B622">
            <v>141</v>
          </cell>
          <cell r="C622" t="str">
            <v>Institut Kanser Negara</v>
          </cell>
          <cell r="D622" t="str">
            <v>KKM/IKN/H/13/1013</v>
          </cell>
          <cell r="E622" t="str">
            <v>13-215</v>
          </cell>
          <cell r="F622" t="str">
            <v>Infusion Pumps, General-Purpose</v>
          </cell>
          <cell r="G622" t="str">
            <v>IC</v>
          </cell>
          <cell r="H622" t="str">
            <v>INTENSIVE CARE UNIT</v>
          </cell>
          <cell r="I622" t="str">
            <v>05IC114</v>
          </cell>
          <cell r="J622" t="str">
            <v>ICU RM 3</v>
          </cell>
          <cell r="K622" t="str">
            <v>BMED</v>
          </cell>
          <cell r="L622" t="str">
            <v>Critical</v>
          </cell>
          <cell r="M622" t="str">
            <v>Germany</v>
          </cell>
          <cell r="N622" t="str">
            <v>Infusomat</v>
          </cell>
          <cell r="O622" t="str">
            <v>Infusomat Space</v>
          </cell>
          <cell r="P622" t="str">
            <v>211919</v>
          </cell>
          <cell r="Q622" t="str">
            <v>Not Applicable</v>
          </cell>
          <cell r="R622" t="str">
            <v>B Braun Melsungen AG</v>
          </cell>
          <cell r="S622" t="str">
            <v>B Braun Medical Supplies Sdn. Bhd.</v>
          </cell>
          <cell r="T622" t="str">
            <v>Functioning</v>
          </cell>
          <cell r="U622" t="str">
            <v>Asset</v>
          </cell>
          <cell r="V622">
            <v>10825</v>
          </cell>
          <cell r="W622" t="str">
            <v>KEW</v>
          </cell>
          <cell r="X622" t="str">
            <v>01/09/2010</v>
          </cell>
          <cell r="Y622" t="str">
            <v>KEW</v>
          </cell>
          <cell r="Z622" t="str">
            <v>16/08/2013</v>
          </cell>
          <cell r="AA622" t="str">
            <v>15/08/2015</v>
          </cell>
          <cell r="AB622" t="str">
            <v>No</v>
          </cell>
          <cell r="AC622" t="str">
            <v>31/08/2013</v>
          </cell>
          <cell r="AD622" t="str">
            <v>Good</v>
          </cell>
          <cell r="AE622" t="str">
            <v>V1 - Existing / No Claim</v>
          </cell>
          <cell r="AF622">
            <v>42797</v>
          </cell>
          <cell r="AG622">
            <v>9.17</v>
          </cell>
          <cell r="AH622" t="str">
            <v>PPM</v>
          </cell>
          <cell r="AI622" t="str">
            <v>Strands</v>
          </cell>
          <cell r="AJ622" t="str">
            <v>Strands PW</v>
          </cell>
        </row>
        <row r="623">
          <cell r="A623" t="str">
            <v>IKN400142</v>
          </cell>
          <cell r="B623">
            <v>142</v>
          </cell>
          <cell r="C623" t="str">
            <v>Institut Kanser Negara</v>
          </cell>
          <cell r="D623" t="str">
            <v>KKM/IKN/H/13/1014</v>
          </cell>
          <cell r="E623" t="str">
            <v>13-215</v>
          </cell>
          <cell r="F623" t="str">
            <v>Infusion Pumps, General-Purpose</v>
          </cell>
          <cell r="G623" t="str">
            <v>IC</v>
          </cell>
          <cell r="H623" t="str">
            <v>INTENSIVE CARE UNIT</v>
          </cell>
          <cell r="I623" t="str">
            <v>05IC114</v>
          </cell>
          <cell r="J623" t="str">
            <v>ICU RM 3</v>
          </cell>
          <cell r="K623" t="str">
            <v>BMED</v>
          </cell>
          <cell r="L623" t="str">
            <v>Normal</v>
          </cell>
          <cell r="M623" t="str">
            <v>Germany</v>
          </cell>
          <cell r="N623" t="str">
            <v>Infusomat</v>
          </cell>
          <cell r="O623" t="str">
            <v>Infusomat Space</v>
          </cell>
          <cell r="P623" t="str">
            <v>212022</v>
          </cell>
          <cell r="Q623" t="str">
            <v>Not Applicable</v>
          </cell>
          <cell r="R623" t="str">
            <v>B Braun Melsungen AG</v>
          </cell>
          <cell r="S623" t="str">
            <v>B Braun Medical Supplies Sdn. Bhd.</v>
          </cell>
          <cell r="T623" t="str">
            <v>Functioning</v>
          </cell>
          <cell r="U623" t="str">
            <v>Asset</v>
          </cell>
          <cell r="V623">
            <v>10825</v>
          </cell>
          <cell r="W623" t="str">
            <v>KEW</v>
          </cell>
          <cell r="X623" t="str">
            <v>01/09/2010</v>
          </cell>
          <cell r="Y623" t="str">
            <v>KEW</v>
          </cell>
          <cell r="Z623" t="str">
            <v>16/08/2013</v>
          </cell>
          <cell r="AA623" t="str">
            <v>15/08/2015</v>
          </cell>
          <cell r="AB623" t="str">
            <v>No</v>
          </cell>
          <cell r="AC623" t="str">
            <v>31/08/2013</v>
          </cell>
          <cell r="AD623" t="str">
            <v>Good</v>
          </cell>
          <cell r="AE623" t="str">
            <v>V1 - Existing / No Claim</v>
          </cell>
          <cell r="AF623">
            <v>42235</v>
          </cell>
          <cell r="AG623">
            <v>9.17</v>
          </cell>
          <cell r="AH623" t="str">
            <v>PPM</v>
          </cell>
          <cell r="AI623" t="str">
            <v>Strands</v>
          </cell>
          <cell r="AJ623" t="str">
            <v>Strands PW</v>
          </cell>
        </row>
        <row r="624">
          <cell r="A624" t="str">
            <v>IKN400143</v>
          </cell>
          <cell r="B624">
            <v>143</v>
          </cell>
          <cell r="C624" t="str">
            <v>Institut Kanser Negara</v>
          </cell>
          <cell r="D624" t="str">
            <v>KKM/IKN/H/13/1015</v>
          </cell>
          <cell r="E624" t="str">
            <v>13-215</v>
          </cell>
          <cell r="F624" t="str">
            <v>Infusion Pumps, General-Purpose</v>
          </cell>
          <cell r="G624" t="str">
            <v>IC</v>
          </cell>
          <cell r="H624" t="str">
            <v>INTENSIVE CARE UNIT</v>
          </cell>
          <cell r="I624" t="str">
            <v>05IC115</v>
          </cell>
          <cell r="J624" t="str">
            <v>ICU RM 4</v>
          </cell>
          <cell r="K624" t="str">
            <v>BMED</v>
          </cell>
          <cell r="L624" t="str">
            <v>Normal</v>
          </cell>
          <cell r="M624" t="str">
            <v>Germany</v>
          </cell>
          <cell r="N624" t="str">
            <v>Infusomat</v>
          </cell>
          <cell r="O624" t="str">
            <v>Infusomat Space</v>
          </cell>
          <cell r="P624" t="str">
            <v>212054</v>
          </cell>
          <cell r="Q624" t="str">
            <v>Not Applicable</v>
          </cell>
          <cell r="R624" t="str">
            <v>B Braun Melsungen AG</v>
          </cell>
          <cell r="S624" t="str">
            <v>B Braun Medical Supplies Sdn. Bhd.</v>
          </cell>
          <cell r="T624" t="str">
            <v>Functioning</v>
          </cell>
          <cell r="U624" t="str">
            <v>Asset</v>
          </cell>
          <cell r="V624">
            <v>10825</v>
          </cell>
          <cell r="W624" t="str">
            <v>KEW</v>
          </cell>
          <cell r="X624" t="str">
            <v>01/09/2010</v>
          </cell>
          <cell r="Y624" t="str">
            <v>KEW</v>
          </cell>
          <cell r="Z624" t="str">
            <v>16/08/2013</v>
          </cell>
          <cell r="AA624" t="str">
            <v>15/08/2015</v>
          </cell>
          <cell r="AB624" t="str">
            <v>No</v>
          </cell>
          <cell r="AC624" t="str">
            <v>31/08/2013</v>
          </cell>
          <cell r="AD624" t="str">
            <v>Good</v>
          </cell>
          <cell r="AE624" t="str">
            <v>V1 - Existing / No Claim</v>
          </cell>
          <cell r="AF624">
            <v>42235</v>
          </cell>
          <cell r="AG624">
            <v>9.17</v>
          </cell>
          <cell r="AH624" t="str">
            <v>PPM</v>
          </cell>
          <cell r="AI624" t="str">
            <v>Strands</v>
          </cell>
          <cell r="AJ624" t="str">
            <v>Strands PW</v>
          </cell>
        </row>
        <row r="625">
          <cell r="A625" t="str">
            <v>IKN400144</v>
          </cell>
          <cell r="B625">
            <v>144</v>
          </cell>
          <cell r="C625" t="str">
            <v>Institut Kanser Negara</v>
          </cell>
          <cell r="D625" t="str">
            <v>KKM/IKN/H/13/1016</v>
          </cell>
          <cell r="E625" t="str">
            <v>13-215</v>
          </cell>
          <cell r="F625" t="str">
            <v>Infusion Pumps, General-Purpose</v>
          </cell>
          <cell r="G625" t="str">
            <v>IC</v>
          </cell>
          <cell r="H625" t="str">
            <v>INTENSIVE CARE UNIT</v>
          </cell>
          <cell r="I625" t="str">
            <v>05IC115</v>
          </cell>
          <cell r="J625" t="str">
            <v>ICU RM 4</v>
          </cell>
          <cell r="K625" t="str">
            <v>BMED</v>
          </cell>
          <cell r="L625" t="str">
            <v>Critical</v>
          </cell>
          <cell r="M625" t="str">
            <v>Germany</v>
          </cell>
          <cell r="N625" t="str">
            <v>Infusomat</v>
          </cell>
          <cell r="O625" t="str">
            <v>Infusomat Space</v>
          </cell>
          <cell r="P625" t="str">
            <v>211920</v>
          </cell>
          <cell r="Q625" t="str">
            <v>Not Applicable</v>
          </cell>
          <cell r="R625" t="str">
            <v>B Braun Melsungen AG</v>
          </cell>
          <cell r="S625" t="str">
            <v>B Braun Medical Supplies Sdn. Bhd.</v>
          </cell>
          <cell r="T625" t="str">
            <v>Functioning</v>
          </cell>
          <cell r="U625" t="str">
            <v>Asset</v>
          </cell>
          <cell r="V625">
            <v>10825</v>
          </cell>
          <cell r="W625" t="str">
            <v>KEW</v>
          </cell>
          <cell r="X625" t="str">
            <v>01/09/2010</v>
          </cell>
          <cell r="Y625" t="str">
            <v>KEW</v>
          </cell>
          <cell r="Z625" t="str">
            <v>16/08/2013</v>
          </cell>
          <cell r="AA625" t="str">
            <v>15/08/2015</v>
          </cell>
          <cell r="AB625" t="str">
            <v>No</v>
          </cell>
          <cell r="AC625" t="str">
            <v>31/08/2013</v>
          </cell>
          <cell r="AD625" t="str">
            <v>Good</v>
          </cell>
          <cell r="AE625" t="str">
            <v>V1 - Existing / No Claim</v>
          </cell>
          <cell r="AF625">
            <v>42797</v>
          </cell>
          <cell r="AG625">
            <v>9.17</v>
          </cell>
          <cell r="AH625" t="str">
            <v>PPM</v>
          </cell>
          <cell r="AI625" t="str">
            <v>Strands</v>
          </cell>
          <cell r="AJ625" t="str">
            <v>Strands PW</v>
          </cell>
        </row>
        <row r="626">
          <cell r="A626" t="str">
            <v>IKN400145</v>
          </cell>
          <cell r="B626">
            <v>145</v>
          </cell>
          <cell r="C626" t="str">
            <v>Institut Kanser Negara</v>
          </cell>
          <cell r="D626" t="str">
            <v>KKM/IKN/H/13/1017</v>
          </cell>
          <cell r="E626" t="str">
            <v>13-215</v>
          </cell>
          <cell r="F626" t="str">
            <v>Infusion Pumps, General-Purpose</v>
          </cell>
          <cell r="G626" t="str">
            <v>IC</v>
          </cell>
          <cell r="H626" t="str">
            <v>INTENSIVE CARE UNIT</v>
          </cell>
          <cell r="I626" t="str">
            <v>05IC116</v>
          </cell>
          <cell r="J626" t="str">
            <v>ISOL 2 (+VE)</v>
          </cell>
          <cell r="K626" t="str">
            <v>BMED</v>
          </cell>
          <cell r="L626" t="str">
            <v>Critical</v>
          </cell>
          <cell r="M626" t="str">
            <v>Germany</v>
          </cell>
          <cell r="N626" t="str">
            <v>Infusomat</v>
          </cell>
          <cell r="O626" t="str">
            <v>Infusomat Space</v>
          </cell>
          <cell r="P626" t="str">
            <v>211981</v>
          </cell>
          <cell r="Q626" t="str">
            <v>Not Applicable</v>
          </cell>
          <cell r="R626" t="str">
            <v>B Braun Melsungen AG</v>
          </cell>
          <cell r="S626" t="str">
            <v>B Braun Medical Supplies Sdn. Bhd.</v>
          </cell>
          <cell r="T626" t="str">
            <v>Functioning</v>
          </cell>
          <cell r="U626" t="str">
            <v>Asset</v>
          </cell>
          <cell r="V626">
            <v>10825</v>
          </cell>
          <cell r="W626" t="str">
            <v>KEW</v>
          </cell>
          <cell r="X626" t="str">
            <v>01/09/2010</v>
          </cell>
          <cell r="Y626" t="str">
            <v>KEW</v>
          </cell>
          <cell r="Z626" t="str">
            <v>16/08/2013</v>
          </cell>
          <cell r="AA626" t="str">
            <v>15/08/2015</v>
          </cell>
          <cell r="AB626" t="str">
            <v>No</v>
          </cell>
          <cell r="AC626" t="str">
            <v>31/08/2013</v>
          </cell>
          <cell r="AD626" t="str">
            <v>Good</v>
          </cell>
          <cell r="AE626" t="str">
            <v>V1 - Existing / No Claim</v>
          </cell>
          <cell r="AF626">
            <v>42797</v>
          </cell>
          <cell r="AG626">
            <v>9.17</v>
          </cell>
          <cell r="AH626" t="str">
            <v>PPM</v>
          </cell>
          <cell r="AI626" t="str">
            <v>Strands</v>
          </cell>
          <cell r="AJ626" t="str">
            <v>Strands PW</v>
          </cell>
        </row>
        <row r="627">
          <cell r="A627" t="str">
            <v>IKN400146</v>
          </cell>
          <cell r="B627">
            <v>146</v>
          </cell>
          <cell r="C627" t="str">
            <v>Institut Kanser Negara</v>
          </cell>
          <cell r="D627" t="str">
            <v>KKM/IKN/H/13/1018</v>
          </cell>
          <cell r="E627" t="str">
            <v>13-215</v>
          </cell>
          <cell r="F627" t="str">
            <v>Infusion Pumps, General-Purpose</v>
          </cell>
          <cell r="G627" t="str">
            <v>IC</v>
          </cell>
          <cell r="H627" t="str">
            <v>INTENSIVE CARE UNIT</v>
          </cell>
          <cell r="I627" t="str">
            <v>05IC116</v>
          </cell>
          <cell r="J627" t="str">
            <v>ISOL 2 (+VE)</v>
          </cell>
          <cell r="K627" t="str">
            <v>BMED</v>
          </cell>
          <cell r="L627" t="str">
            <v>Critical</v>
          </cell>
          <cell r="M627" t="str">
            <v>Germany</v>
          </cell>
          <cell r="N627" t="str">
            <v>Infusomat</v>
          </cell>
          <cell r="O627" t="str">
            <v>Infusomat Space</v>
          </cell>
          <cell r="P627" t="str">
            <v>212071</v>
          </cell>
          <cell r="Q627" t="str">
            <v>Not Applicable</v>
          </cell>
          <cell r="R627" t="str">
            <v>B Braun Melsungen AG</v>
          </cell>
          <cell r="S627" t="str">
            <v>B Braun Medical Supplies Sdn. Bhd.</v>
          </cell>
          <cell r="T627" t="str">
            <v>Functioning</v>
          </cell>
          <cell r="U627" t="str">
            <v>Asset</v>
          </cell>
          <cell r="V627">
            <v>10825</v>
          </cell>
          <cell r="W627" t="str">
            <v>KEW</v>
          </cell>
          <cell r="X627" t="str">
            <v>01/09/2010</v>
          </cell>
          <cell r="Y627" t="str">
            <v>KEW</v>
          </cell>
          <cell r="Z627" t="str">
            <v>16/08/2013</v>
          </cell>
          <cell r="AA627" t="str">
            <v>15/08/2015</v>
          </cell>
          <cell r="AB627" t="str">
            <v>No</v>
          </cell>
          <cell r="AC627" t="str">
            <v>31/08/2013</v>
          </cell>
          <cell r="AD627" t="str">
            <v>Good</v>
          </cell>
          <cell r="AE627" t="str">
            <v>V1 - Existing / No Claim</v>
          </cell>
          <cell r="AF627">
            <v>42797</v>
          </cell>
          <cell r="AG627">
            <v>9.17</v>
          </cell>
          <cell r="AH627" t="str">
            <v>PPM</v>
          </cell>
          <cell r="AI627" t="str">
            <v>Strands</v>
          </cell>
          <cell r="AJ627" t="str">
            <v>Strands PW</v>
          </cell>
        </row>
        <row r="628">
          <cell r="A628" t="str">
            <v>IKN400147</v>
          </cell>
          <cell r="B628">
            <v>147</v>
          </cell>
          <cell r="C628" t="str">
            <v>Institut Kanser Negara</v>
          </cell>
          <cell r="D628" t="str">
            <v>KKM/IKN/H/13/1019</v>
          </cell>
          <cell r="E628" t="str">
            <v>13-215</v>
          </cell>
          <cell r="F628" t="str">
            <v>Infusion Pumps, General-Purpose</v>
          </cell>
          <cell r="G628" t="str">
            <v>IC</v>
          </cell>
          <cell r="H628" t="str">
            <v>INTENSIVE CARE UNIT</v>
          </cell>
          <cell r="I628" t="str">
            <v>05IC129</v>
          </cell>
          <cell r="J628" t="str">
            <v>ISOL 4 (+VE)</v>
          </cell>
          <cell r="K628" t="str">
            <v>BMED</v>
          </cell>
          <cell r="L628" t="str">
            <v>Normal</v>
          </cell>
          <cell r="M628" t="str">
            <v>Germany</v>
          </cell>
          <cell r="N628" t="str">
            <v>Infusomat</v>
          </cell>
          <cell r="O628" t="str">
            <v>Infusomat Space</v>
          </cell>
          <cell r="P628" t="str">
            <v>211870</v>
          </cell>
          <cell r="Q628" t="str">
            <v>Not Applicable</v>
          </cell>
          <cell r="R628" t="str">
            <v>B Braun Melsungen AG</v>
          </cell>
          <cell r="S628" t="str">
            <v>B Braun Medical Supplies Sdn. Bhd.</v>
          </cell>
          <cell r="T628" t="str">
            <v>Functioning</v>
          </cell>
          <cell r="U628" t="str">
            <v>Asset</v>
          </cell>
          <cell r="V628">
            <v>10825</v>
          </cell>
          <cell r="W628" t="str">
            <v>KEW</v>
          </cell>
          <cell r="X628" t="str">
            <v>01/09/2010</v>
          </cell>
          <cell r="Y628" t="str">
            <v>KEW</v>
          </cell>
          <cell r="Z628" t="str">
            <v>16/08/2013</v>
          </cell>
          <cell r="AA628" t="str">
            <v>15/08/2015</v>
          </cell>
          <cell r="AB628" t="str">
            <v>No</v>
          </cell>
          <cell r="AC628" t="str">
            <v>31/08/2013</v>
          </cell>
          <cell r="AD628" t="str">
            <v>Good</v>
          </cell>
          <cell r="AE628" t="str">
            <v>V1 - Existing / No Claim</v>
          </cell>
          <cell r="AF628">
            <v>42235</v>
          </cell>
          <cell r="AG628">
            <v>9.17</v>
          </cell>
          <cell r="AH628" t="str">
            <v>PPM</v>
          </cell>
          <cell r="AI628" t="str">
            <v>Strands</v>
          </cell>
          <cell r="AJ628" t="str">
            <v>Strands PW</v>
          </cell>
        </row>
        <row r="629">
          <cell r="A629" t="str">
            <v>IKN400148</v>
          </cell>
          <cell r="B629">
            <v>148</v>
          </cell>
          <cell r="C629" t="str">
            <v>Institut Kanser Negara</v>
          </cell>
          <cell r="D629" t="str">
            <v>KKM/IKN/H/13/1020</v>
          </cell>
          <cell r="E629" t="str">
            <v>13-215</v>
          </cell>
          <cell r="F629" t="str">
            <v>Infusion Pumps, General-Purpose</v>
          </cell>
          <cell r="G629" t="str">
            <v>IC</v>
          </cell>
          <cell r="H629" t="str">
            <v>INTENSIVE CARE UNIT</v>
          </cell>
          <cell r="I629" t="str">
            <v>05IC129</v>
          </cell>
          <cell r="J629" t="str">
            <v>ISOL 4 (+VE)</v>
          </cell>
          <cell r="K629" t="str">
            <v>BMED</v>
          </cell>
          <cell r="L629" t="str">
            <v>Normal</v>
          </cell>
          <cell r="M629" t="str">
            <v>Germany</v>
          </cell>
          <cell r="N629" t="str">
            <v>Infusomat</v>
          </cell>
          <cell r="O629" t="str">
            <v>Infusomat Space</v>
          </cell>
          <cell r="P629" t="str">
            <v>212100</v>
          </cell>
          <cell r="Q629" t="str">
            <v>Not Applicable</v>
          </cell>
          <cell r="R629" t="str">
            <v>B Braun Melsungen AG</v>
          </cell>
          <cell r="S629" t="str">
            <v>B Braun Medical Supplies Sdn. Bhd.</v>
          </cell>
          <cell r="T629" t="str">
            <v>Functioning</v>
          </cell>
          <cell r="U629" t="str">
            <v>Asset</v>
          </cell>
          <cell r="V629">
            <v>10825</v>
          </cell>
          <cell r="W629" t="str">
            <v>KEW</v>
          </cell>
          <cell r="X629" t="str">
            <v>01/09/2010</v>
          </cell>
          <cell r="Y629" t="str">
            <v>KEW</v>
          </cell>
          <cell r="Z629" t="str">
            <v>16/08/2013</v>
          </cell>
          <cell r="AA629" t="str">
            <v>15/08/2015</v>
          </cell>
          <cell r="AB629" t="str">
            <v>No</v>
          </cell>
          <cell r="AC629" t="str">
            <v>31/08/2013</v>
          </cell>
          <cell r="AD629" t="str">
            <v>Good</v>
          </cell>
          <cell r="AE629" t="str">
            <v>V1 - Existing / No Claim</v>
          </cell>
          <cell r="AF629">
            <v>42235</v>
          </cell>
          <cell r="AG629">
            <v>9.17</v>
          </cell>
          <cell r="AH629" t="str">
            <v>PPM</v>
          </cell>
          <cell r="AI629" t="str">
            <v>Strands</v>
          </cell>
          <cell r="AJ629" t="str">
            <v>Strands PW</v>
          </cell>
        </row>
        <row r="630">
          <cell r="A630" t="str">
            <v>IKN400149</v>
          </cell>
          <cell r="B630">
            <v>149</v>
          </cell>
          <cell r="C630" t="str">
            <v>Institut Kanser Negara</v>
          </cell>
          <cell r="D630" t="str">
            <v>KKM/IKN/H/13/1021</v>
          </cell>
          <cell r="E630" t="str">
            <v>13-215</v>
          </cell>
          <cell r="F630" t="str">
            <v>Infusion Pumps, General-Purpose</v>
          </cell>
          <cell r="G630" t="str">
            <v>IC</v>
          </cell>
          <cell r="H630" t="str">
            <v>INTENSIVE CARE UNIT</v>
          </cell>
          <cell r="I630" t="str">
            <v>05IC131</v>
          </cell>
          <cell r="J630" t="str">
            <v>ISOL 3 (+VE)</v>
          </cell>
          <cell r="K630" t="str">
            <v>BMED</v>
          </cell>
          <cell r="L630" t="str">
            <v>Normal</v>
          </cell>
          <cell r="M630" t="str">
            <v>Germany</v>
          </cell>
          <cell r="N630" t="str">
            <v>Infusomat</v>
          </cell>
          <cell r="O630" t="str">
            <v>Infusomat Space</v>
          </cell>
          <cell r="P630" t="str">
            <v>212111</v>
          </cell>
          <cell r="Q630" t="str">
            <v>Not Applicable</v>
          </cell>
          <cell r="R630" t="str">
            <v>B Braun Melsungen AG</v>
          </cell>
          <cell r="S630" t="str">
            <v>B Braun Medical Supplies Sdn. Bhd.</v>
          </cell>
          <cell r="T630" t="str">
            <v>Functioning</v>
          </cell>
          <cell r="U630" t="str">
            <v>Asset</v>
          </cell>
          <cell r="V630">
            <v>10825</v>
          </cell>
          <cell r="W630" t="str">
            <v>KEW</v>
          </cell>
          <cell r="X630" t="str">
            <v>01/09/2010</v>
          </cell>
          <cell r="Y630" t="str">
            <v>KEW</v>
          </cell>
          <cell r="Z630" t="str">
            <v>16/08/2013</v>
          </cell>
          <cell r="AA630" t="str">
            <v>15/08/2015</v>
          </cell>
          <cell r="AB630" t="str">
            <v>No</v>
          </cell>
          <cell r="AC630" t="str">
            <v>31/08/2013</v>
          </cell>
          <cell r="AD630" t="str">
            <v>Good</v>
          </cell>
          <cell r="AE630" t="str">
            <v>V1 - Existing / No Claim</v>
          </cell>
          <cell r="AF630">
            <v>42235</v>
          </cell>
          <cell r="AG630">
            <v>9.17</v>
          </cell>
          <cell r="AH630" t="str">
            <v>PPM</v>
          </cell>
          <cell r="AI630" t="str">
            <v>Strands</v>
          </cell>
          <cell r="AJ630" t="str">
            <v>Strands PW</v>
          </cell>
        </row>
        <row r="631">
          <cell r="A631" t="str">
            <v>IKN400150</v>
          </cell>
          <cell r="B631">
            <v>150</v>
          </cell>
          <cell r="C631" t="str">
            <v>Institut Kanser Negara</v>
          </cell>
          <cell r="D631" t="str">
            <v>KKM/IKN/H/13/1022</v>
          </cell>
          <cell r="E631" t="str">
            <v>13-215</v>
          </cell>
          <cell r="F631" t="str">
            <v>Infusion Pumps, General-Purpose</v>
          </cell>
          <cell r="G631" t="str">
            <v>IC</v>
          </cell>
          <cell r="H631" t="str">
            <v>INTENSIVE CARE UNIT</v>
          </cell>
          <cell r="I631" t="str">
            <v>05IC131</v>
          </cell>
          <cell r="J631" t="str">
            <v>ISOL 3 (+VE)</v>
          </cell>
          <cell r="K631" t="str">
            <v>BMED</v>
          </cell>
          <cell r="L631" t="str">
            <v>Normal</v>
          </cell>
          <cell r="M631" t="str">
            <v>Germany</v>
          </cell>
          <cell r="N631" t="str">
            <v>Infusomat</v>
          </cell>
          <cell r="O631" t="str">
            <v>Infusomat Space</v>
          </cell>
          <cell r="P631" t="str">
            <v>212060</v>
          </cell>
          <cell r="Q631" t="str">
            <v>Not Applicable</v>
          </cell>
          <cell r="R631" t="str">
            <v>B Braun Melsungen AG</v>
          </cell>
          <cell r="S631" t="str">
            <v>B Braun Medical Supplies Sdn. Bhd.</v>
          </cell>
          <cell r="T631" t="str">
            <v>Functioning</v>
          </cell>
          <cell r="U631" t="str">
            <v>Asset</v>
          </cell>
          <cell r="V631">
            <v>10825</v>
          </cell>
          <cell r="W631" t="str">
            <v>KEW</v>
          </cell>
          <cell r="X631" t="str">
            <v>01/09/2010</v>
          </cell>
          <cell r="Y631" t="str">
            <v>KEW</v>
          </cell>
          <cell r="Z631" t="str">
            <v>16/08/2013</v>
          </cell>
          <cell r="AA631" t="str">
            <v>15/08/2015</v>
          </cell>
          <cell r="AB631" t="str">
            <v>No</v>
          </cell>
          <cell r="AC631" t="str">
            <v>31/08/2013</v>
          </cell>
          <cell r="AD631" t="str">
            <v>Good</v>
          </cell>
          <cell r="AE631" t="str">
            <v>V1 - Existing / No Claim</v>
          </cell>
          <cell r="AF631">
            <v>42235</v>
          </cell>
          <cell r="AG631">
            <v>9.17</v>
          </cell>
          <cell r="AH631" t="str">
            <v>PPM</v>
          </cell>
          <cell r="AI631" t="str">
            <v>Strands</v>
          </cell>
          <cell r="AJ631" t="str">
            <v>Strands PW</v>
          </cell>
        </row>
        <row r="632">
          <cell r="A632" t="str">
            <v>IKN400151</v>
          </cell>
          <cell r="B632">
            <v>151</v>
          </cell>
          <cell r="C632" t="str">
            <v>Institut Kanser Negara</v>
          </cell>
          <cell r="D632" t="str">
            <v>KKM/IKN/H/13/1023</v>
          </cell>
          <cell r="E632" t="str">
            <v>18-147</v>
          </cell>
          <cell r="F632" t="str">
            <v>Mattress Systems, Alternating-Pressure</v>
          </cell>
          <cell r="G632" t="str">
            <v>WE</v>
          </cell>
          <cell r="H632" t="str">
            <v>RT/ONCO WARD 1 (F)</v>
          </cell>
          <cell r="I632" t="str">
            <v>07WE113</v>
          </cell>
          <cell r="J632" t="str">
            <v>EQUIPMENT ROOM</v>
          </cell>
          <cell r="K632" t="str">
            <v>BMED</v>
          </cell>
          <cell r="L632" t="str">
            <v>Normal</v>
          </cell>
          <cell r="M632" t="str">
            <v>Poland</v>
          </cell>
          <cell r="N632" t="str">
            <v>Nimbus</v>
          </cell>
          <cell r="O632" t="str">
            <v>Nimbus 3</v>
          </cell>
          <cell r="P632" t="str">
            <v>1200006460</v>
          </cell>
          <cell r="Q632" t="str">
            <v>Not Applicable</v>
          </cell>
          <cell r="R632" t="str">
            <v>Arjohuntleigh</v>
          </cell>
          <cell r="S632" t="str">
            <v>Hexamine Sdn. Bhd.</v>
          </cell>
          <cell r="T632" t="str">
            <v>Functioning</v>
          </cell>
          <cell r="U632" t="str">
            <v>Asset</v>
          </cell>
          <cell r="V632">
            <v>28630</v>
          </cell>
          <cell r="W632" t="str">
            <v>KEW</v>
          </cell>
          <cell r="X632" t="str">
            <v>01/09/2010</v>
          </cell>
          <cell r="Y632" t="str">
            <v>KEW</v>
          </cell>
          <cell r="Z632" t="str">
            <v>16/08/2013</v>
          </cell>
          <cell r="AA632" t="str">
            <v>15/08/2015</v>
          </cell>
          <cell r="AB632" t="str">
            <v>No</v>
          </cell>
          <cell r="AC632" t="str">
            <v>31/08/2013</v>
          </cell>
          <cell r="AD632" t="str">
            <v>Good</v>
          </cell>
          <cell r="AE632" t="str">
            <v>V1 - Existing / No Claim</v>
          </cell>
          <cell r="AF632">
            <v>42992</v>
          </cell>
          <cell r="AG632">
            <v>9.17</v>
          </cell>
          <cell r="AH632" t="str">
            <v>PPM</v>
          </cell>
          <cell r="AI632" t="str">
            <v>Strands</v>
          </cell>
          <cell r="AJ632" t="str">
            <v>Strands PW</v>
          </cell>
        </row>
        <row r="633">
          <cell r="A633" t="str">
            <v>IKN400152</v>
          </cell>
          <cell r="B633">
            <v>152</v>
          </cell>
          <cell r="C633" t="str">
            <v>Institut Kanser Negara</v>
          </cell>
          <cell r="D633" t="str">
            <v>KKM/IKN/H/13/1024</v>
          </cell>
          <cell r="E633" t="str">
            <v>18-147</v>
          </cell>
          <cell r="F633" t="str">
            <v>Mattress Systems, Alternating-Pressure</v>
          </cell>
          <cell r="G633" t="str">
            <v>WF</v>
          </cell>
          <cell r="H633" t="str">
            <v>RT/ONCO WARD 2 (F)</v>
          </cell>
          <cell r="I633" t="str">
            <v>07WF121</v>
          </cell>
          <cell r="J633" t="str">
            <v>EQUIPMENT ROOM</v>
          </cell>
          <cell r="K633" t="str">
            <v>BMED</v>
          </cell>
          <cell r="L633" t="str">
            <v>Normal</v>
          </cell>
          <cell r="M633" t="str">
            <v>Poland</v>
          </cell>
          <cell r="N633" t="str">
            <v>Nimbus</v>
          </cell>
          <cell r="O633" t="str">
            <v>Nimbus 3</v>
          </cell>
          <cell r="P633" t="str">
            <v>1200006461</v>
          </cell>
          <cell r="Q633" t="str">
            <v>Not Applicable</v>
          </cell>
          <cell r="R633" t="str">
            <v>Arjohuntleigh</v>
          </cell>
          <cell r="S633" t="str">
            <v>Hexamine Sdn. Bhd.</v>
          </cell>
          <cell r="T633" t="str">
            <v>Functioning</v>
          </cell>
          <cell r="U633" t="str">
            <v>Asset</v>
          </cell>
          <cell r="V633">
            <v>28630</v>
          </cell>
          <cell r="W633" t="str">
            <v>KEW</v>
          </cell>
          <cell r="X633" t="str">
            <v>01/09/2010</v>
          </cell>
          <cell r="Y633" t="str">
            <v>KEW</v>
          </cell>
          <cell r="Z633" t="str">
            <v>16/08/2013</v>
          </cell>
          <cell r="AA633" t="str">
            <v>15/08/2015</v>
          </cell>
          <cell r="AB633" t="str">
            <v>No</v>
          </cell>
          <cell r="AC633" t="str">
            <v>31/08/2013</v>
          </cell>
          <cell r="AD633" t="str">
            <v>Good</v>
          </cell>
          <cell r="AE633" t="str">
            <v>V1 - Existing / No Claim</v>
          </cell>
          <cell r="AF633">
            <v>42992</v>
          </cell>
          <cell r="AG633">
            <v>9.17</v>
          </cell>
          <cell r="AH633" t="str">
            <v>PPM</v>
          </cell>
          <cell r="AI633" t="str">
            <v>Strands</v>
          </cell>
          <cell r="AJ633" t="str">
            <v>Strands PW</v>
          </cell>
        </row>
        <row r="634">
          <cell r="A634" t="str">
            <v>IKN400153</v>
          </cell>
          <cell r="B634">
            <v>153</v>
          </cell>
          <cell r="C634" t="str">
            <v>Institut Kanser Negara</v>
          </cell>
          <cell r="D634" t="str">
            <v>KKM/IKN/H/13/1054</v>
          </cell>
          <cell r="E634" t="str">
            <v>16-603</v>
          </cell>
          <cell r="F634" t="str">
            <v>Television Monitors</v>
          </cell>
          <cell r="G634" t="str">
            <v>IC</v>
          </cell>
          <cell r="H634" t="str">
            <v>INTENSIVE CARE UNIT</v>
          </cell>
          <cell r="I634" t="str">
            <v>05IC110</v>
          </cell>
          <cell r="J634" t="str">
            <v>AIRLOCK 1</v>
          </cell>
          <cell r="K634" t="str">
            <v>BMED</v>
          </cell>
          <cell r="L634" t="str">
            <v>Normal</v>
          </cell>
          <cell r="M634" t="str">
            <v>Japan</v>
          </cell>
          <cell r="N634" t="str">
            <v>RadiForce</v>
          </cell>
          <cell r="O634" t="str">
            <v>RadiForce RS110</v>
          </cell>
          <cell r="P634" t="str">
            <v>34930112CD</v>
          </cell>
          <cell r="Q634" t="str">
            <v>Not Applicable</v>
          </cell>
          <cell r="R634" t="str">
            <v>Eizo</v>
          </cell>
          <cell r="S634" t="str">
            <v>GE Healthcare Technologies</v>
          </cell>
          <cell r="T634" t="str">
            <v>Functioning</v>
          </cell>
          <cell r="U634" t="str">
            <v>Asset</v>
          </cell>
          <cell r="V634">
            <v>2700</v>
          </cell>
          <cell r="W634" t="str">
            <v>KEW</v>
          </cell>
          <cell r="X634" t="str">
            <v>01/09/2010</v>
          </cell>
          <cell r="Y634" t="str">
            <v>KEW</v>
          </cell>
          <cell r="Z634" t="str">
            <v>16/08/2013</v>
          </cell>
          <cell r="AA634" t="str">
            <v>15/08/2015</v>
          </cell>
          <cell r="AB634" t="str">
            <v>No</v>
          </cell>
          <cell r="AC634" t="str">
            <v>31/08/2013</v>
          </cell>
          <cell r="AD634" t="str">
            <v>Good</v>
          </cell>
          <cell r="AE634" t="str">
            <v>V1 - Existing / No Claim</v>
          </cell>
          <cell r="AF634">
            <v>42235</v>
          </cell>
          <cell r="AG634">
            <v>9.17</v>
          </cell>
          <cell r="AH634" t="str">
            <v>RI</v>
          </cell>
          <cell r="AI634" t="str">
            <v>Strands</v>
          </cell>
          <cell r="AJ634" t="str">
            <v>Strands PW</v>
          </cell>
        </row>
        <row r="635">
          <cell r="A635" t="str">
            <v>IKN400154</v>
          </cell>
          <cell r="B635">
            <v>154</v>
          </cell>
          <cell r="C635" t="str">
            <v>Institut Kanser Negara</v>
          </cell>
          <cell r="D635" t="str">
            <v>KKM/IKN/H/13/1055</v>
          </cell>
          <cell r="E635" t="str">
            <v>16-603</v>
          </cell>
          <cell r="F635" t="str">
            <v>Television Monitors</v>
          </cell>
          <cell r="G635" t="str">
            <v>IC</v>
          </cell>
          <cell r="H635" t="str">
            <v>INTENSIVE CARE UNIT</v>
          </cell>
          <cell r="I635" t="str">
            <v>05IC117</v>
          </cell>
          <cell r="J635" t="str">
            <v>AIRLOCK 2</v>
          </cell>
          <cell r="K635" t="str">
            <v>BMED</v>
          </cell>
          <cell r="L635" t="str">
            <v>Normal</v>
          </cell>
          <cell r="M635" t="str">
            <v>Japan</v>
          </cell>
          <cell r="N635" t="str">
            <v>RadiForce</v>
          </cell>
          <cell r="O635" t="str">
            <v>RadiForce RS110</v>
          </cell>
          <cell r="P635" t="str">
            <v>34931112CD</v>
          </cell>
          <cell r="Q635" t="str">
            <v>Not Applicable</v>
          </cell>
          <cell r="R635" t="str">
            <v>Eizo</v>
          </cell>
          <cell r="S635" t="str">
            <v>GE Healthcare Technologies</v>
          </cell>
          <cell r="T635" t="str">
            <v>Functioning</v>
          </cell>
          <cell r="U635" t="str">
            <v>Asset</v>
          </cell>
          <cell r="V635">
            <v>2700</v>
          </cell>
          <cell r="W635" t="str">
            <v>KEW</v>
          </cell>
          <cell r="X635" t="str">
            <v>01/09/2010</v>
          </cell>
          <cell r="Y635" t="str">
            <v>KEW</v>
          </cell>
          <cell r="Z635" t="str">
            <v>16/08/2013</v>
          </cell>
          <cell r="AA635" t="str">
            <v>15/08/2015</v>
          </cell>
          <cell r="AB635" t="str">
            <v>No</v>
          </cell>
          <cell r="AC635" t="str">
            <v>31/08/2013</v>
          </cell>
          <cell r="AD635" t="str">
            <v>Good</v>
          </cell>
          <cell r="AE635" t="str">
            <v>V1 - Existing / No Claim</v>
          </cell>
          <cell r="AF635">
            <v>42235</v>
          </cell>
          <cell r="AG635">
            <v>9.17</v>
          </cell>
          <cell r="AH635" t="str">
            <v>RI</v>
          </cell>
          <cell r="AI635" t="str">
            <v>Strands</v>
          </cell>
          <cell r="AJ635" t="str">
            <v>Strands PW</v>
          </cell>
        </row>
        <row r="636">
          <cell r="A636" t="str">
            <v>IKN400155</v>
          </cell>
          <cell r="B636">
            <v>155</v>
          </cell>
          <cell r="C636" t="str">
            <v>Institut Kanser Negara</v>
          </cell>
          <cell r="D636" t="str">
            <v>KKM/IKN/H/13/2755</v>
          </cell>
          <cell r="E636" t="str">
            <v>16-603</v>
          </cell>
          <cell r="F636" t="str">
            <v>Television Monitors</v>
          </cell>
          <cell r="G636" t="str">
            <v>IC</v>
          </cell>
          <cell r="H636" t="str">
            <v>INTENSIVE CARE UNIT</v>
          </cell>
          <cell r="I636" t="str">
            <v>05IC128</v>
          </cell>
          <cell r="J636" t="str">
            <v>AIRLOCK 4</v>
          </cell>
          <cell r="K636" t="str">
            <v>BMED</v>
          </cell>
          <cell r="L636" t="str">
            <v>Normal</v>
          </cell>
          <cell r="M636" t="str">
            <v>Japan</v>
          </cell>
          <cell r="N636" t="str">
            <v>RadiForce</v>
          </cell>
          <cell r="O636" t="str">
            <v>RadiForce RS110</v>
          </cell>
          <cell r="P636" t="str">
            <v>34932112CD</v>
          </cell>
          <cell r="Q636" t="str">
            <v>Not Applicable</v>
          </cell>
          <cell r="R636" t="str">
            <v>Eizo</v>
          </cell>
          <cell r="S636" t="str">
            <v>GE Healthcare Technologies</v>
          </cell>
          <cell r="T636" t="str">
            <v>Functioning</v>
          </cell>
          <cell r="U636" t="str">
            <v>Asset</v>
          </cell>
          <cell r="V636">
            <v>2700</v>
          </cell>
          <cell r="W636" t="str">
            <v>KEW</v>
          </cell>
          <cell r="X636" t="str">
            <v>01/09/2010</v>
          </cell>
          <cell r="Y636" t="str">
            <v>KEW</v>
          </cell>
          <cell r="Z636" t="str">
            <v>16/08/2013</v>
          </cell>
          <cell r="AA636" t="str">
            <v>15/08/2015</v>
          </cell>
          <cell r="AB636" t="str">
            <v>No</v>
          </cell>
          <cell r="AC636" t="str">
            <v>31/08/2013</v>
          </cell>
          <cell r="AD636" t="str">
            <v>Good</v>
          </cell>
          <cell r="AE636" t="str">
            <v>V1 - Existing / No Claim</v>
          </cell>
          <cell r="AF636">
            <v>42235</v>
          </cell>
          <cell r="AG636">
            <v>9.17</v>
          </cell>
          <cell r="AH636" t="str">
            <v>RI</v>
          </cell>
          <cell r="AI636" t="str">
            <v>Strands</v>
          </cell>
          <cell r="AJ636" t="str">
            <v>Strands PW</v>
          </cell>
        </row>
        <row r="637">
          <cell r="A637" t="str">
            <v>IKN400156</v>
          </cell>
          <cell r="B637">
            <v>156</v>
          </cell>
          <cell r="C637" t="str">
            <v>Institut Kanser Negara</v>
          </cell>
          <cell r="D637" t="str">
            <v>KKM/IKN/H/13/1057</v>
          </cell>
          <cell r="E637" t="str">
            <v>16-603</v>
          </cell>
          <cell r="F637" t="str">
            <v>Television Monitors</v>
          </cell>
          <cell r="G637" t="str">
            <v>IC</v>
          </cell>
          <cell r="H637" t="str">
            <v>INTENSIVE CARE UNIT</v>
          </cell>
          <cell r="I637" t="str">
            <v>05IC130</v>
          </cell>
          <cell r="J637" t="str">
            <v>AIRLOCK 3</v>
          </cell>
          <cell r="K637" t="str">
            <v>BMED</v>
          </cell>
          <cell r="L637" t="str">
            <v>Normal</v>
          </cell>
          <cell r="M637" t="str">
            <v>Japan</v>
          </cell>
          <cell r="N637" t="str">
            <v>RadiForce</v>
          </cell>
          <cell r="O637" t="str">
            <v>RadiForce RS110</v>
          </cell>
          <cell r="P637" t="str">
            <v>34924112CD</v>
          </cell>
          <cell r="Q637" t="str">
            <v>Not Applicable</v>
          </cell>
          <cell r="R637" t="str">
            <v>Eizo</v>
          </cell>
          <cell r="S637" t="str">
            <v>GE Healthcare Technologies</v>
          </cell>
          <cell r="T637" t="str">
            <v>Functioning</v>
          </cell>
          <cell r="U637" t="str">
            <v>Asset</v>
          </cell>
          <cell r="V637">
            <v>2700</v>
          </cell>
          <cell r="W637" t="str">
            <v>KEW</v>
          </cell>
          <cell r="X637" t="str">
            <v>01/09/2010</v>
          </cell>
          <cell r="Y637" t="str">
            <v>KEW</v>
          </cell>
          <cell r="Z637" t="str">
            <v>16/08/2013</v>
          </cell>
          <cell r="AA637" t="str">
            <v>15/08/2015</v>
          </cell>
          <cell r="AB637" t="str">
            <v>No</v>
          </cell>
          <cell r="AC637" t="str">
            <v>31/08/2013</v>
          </cell>
          <cell r="AD637" t="str">
            <v>Good</v>
          </cell>
          <cell r="AE637" t="str">
            <v>V1 - Existing / No Claim</v>
          </cell>
          <cell r="AF637">
            <v>42235</v>
          </cell>
          <cell r="AG637">
            <v>9.17</v>
          </cell>
          <cell r="AH637" t="str">
            <v>RI</v>
          </cell>
          <cell r="AI637" t="str">
            <v>Strands</v>
          </cell>
          <cell r="AJ637" t="str">
            <v>Strands PW</v>
          </cell>
        </row>
        <row r="638">
          <cell r="A638" t="str">
            <v>IKN400157</v>
          </cell>
          <cell r="B638">
            <v>157</v>
          </cell>
          <cell r="C638" t="str">
            <v>Institut Kanser Negara</v>
          </cell>
          <cell r="D638" t="str">
            <v>KKM/IKN/H/13/2753</v>
          </cell>
          <cell r="E638" t="str">
            <v>10-208</v>
          </cell>
          <cell r="F638" t="str">
            <v>Aspirators</v>
          </cell>
          <cell r="G638" t="str">
            <v>IC</v>
          </cell>
          <cell r="H638" t="str">
            <v>INTENSIVE CARE UNIT</v>
          </cell>
          <cell r="I638" t="str">
            <v>05IC106</v>
          </cell>
          <cell r="J638" t="str">
            <v>EQ. ROOM</v>
          </cell>
          <cell r="K638" t="str">
            <v>BMED</v>
          </cell>
          <cell r="L638" t="str">
            <v>Normal</v>
          </cell>
          <cell r="M638" t="str">
            <v>UK</v>
          </cell>
          <cell r="N638" t="str">
            <v>SAM</v>
          </cell>
          <cell r="O638" t="str">
            <v>SAM 427</v>
          </cell>
          <cell r="P638" t="str">
            <v>0313-0536</v>
          </cell>
          <cell r="Q638" t="str">
            <v>Not Applicable</v>
          </cell>
          <cell r="R638" t="str">
            <v>MG Electric Ltd</v>
          </cell>
          <cell r="S638" t="str">
            <v>Delta Medisains</v>
          </cell>
          <cell r="T638" t="str">
            <v>Functioning</v>
          </cell>
          <cell r="U638" t="str">
            <v>Asset</v>
          </cell>
          <cell r="V638">
            <v>10705</v>
          </cell>
          <cell r="W638" t="str">
            <v>KEW</v>
          </cell>
          <cell r="X638" t="str">
            <v>01/09/2010</v>
          </cell>
          <cell r="Y638" t="str">
            <v>KEW</v>
          </cell>
          <cell r="Z638" t="str">
            <v>16/08/2013</v>
          </cell>
          <cell r="AA638" t="str">
            <v>15/08/2015</v>
          </cell>
          <cell r="AB638" t="str">
            <v>No</v>
          </cell>
          <cell r="AC638" t="str">
            <v>31/08/2013</v>
          </cell>
          <cell r="AD638" t="str">
            <v>Good</v>
          </cell>
          <cell r="AE638" t="str">
            <v>V1 - Existing / No Claim</v>
          </cell>
          <cell r="AF638">
            <v>42235</v>
          </cell>
          <cell r="AG638">
            <v>9.17</v>
          </cell>
          <cell r="AH638" t="str">
            <v>PPM</v>
          </cell>
          <cell r="AI638" t="str">
            <v>Strands</v>
          </cell>
          <cell r="AJ638" t="str">
            <v>Strands PW</v>
          </cell>
        </row>
        <row r="639">
          <cell r="A639" t="str">
            <v>IKN400158</v>
          </cell>
          <cell r="B639">
            <v>158</v>
          </cell>
          <cell r="C639" t="str">
            <v>Institut Kanser Negara</v>
          </cell>
          <cell r="D639" t="str">
            <v>KKM/IKN/H/13/867</v>
          </cell>
          <cell r="E639" t="str">
            <v>10-208</v>
          </cell>
          <cell r="F639" t="str">
            <v>Aspirators</v>
          </cell>
          <cell r="G639" t="str">
            <v>IC</v>
          </cell>
          <cell r="H639" t="str">
            <v>INTENSIVE CARE UNIT</v>
          </cell>
          <cell r="I639" t="str">
            <v>05IC106</v>
          </cell>
          <cell r="J639" t="str">
            <v>EQ. ROOM</v>
          </cell>
          <cell r="K639" t="str">
            <v>BMED</v>
          </cell>
          <cell r="L639" t="str">
            <v>Normal</v>
          </cell>
          <cell r="M639" t="str">
            <v>UK</v>
          </cell>
          <cell r="N639" t="str">
            <v>SAM</v>
          </cell>
          <cell r="O639" t="str">
            <v>SAM 427</v>
          </cell>
          <cell r="P639" t="str">
            <v>0313-0531</v>
          </cell>
          <cell r="Q639" t="str">
            <v>Not Applicable</v>
          </cell>
          <cell r="R639" t="str">
            <v>MG Electric Ltd</v>
          </cell>
          <cell r="S639" t="str">
            <v>Delta Medisains</v>
          </cell>
          <cell r="T639" t="str">
            <v>Functioning</v>
          </cell>
          <cell r="U639" t="str">
            <v>Asset</v>
          </cell>
          <cell r="V639">
            <v>10705</v>
          </cell>
          <cell r="W639" t="str">
            <v>KEW</v>
          </cell>
          <cell r="X639" t="str">
            <v>01/09/2010</v>
          </cell>
          <cell r="Y639" t="str">
            <v>KEW</v>
          </cell>
          <cell r="Z639" t="str">
            <v>16/08/2013</v>
          </cell>
          <cell r="AA639" t="str">
            <v>15/08/2015</v>
          </cell>
          <cell r="AB639" t="str">
            <v>No</v>
          </cell>
          <cell r="AC639" t="str">
            <v>31/08/2013</v>
          </cell>
          <cell r="AD639" t="str">
            <v>Good</v>
          </cell>
          <cell r="AE639" t="str">
            <v>V1 - Existing / No Claim</v>
          </cell>
          <cell r="AF639">
            <v>42235</v>
          </cell>
          <cell r="AG639">
            <v>9.17</v>
          </cell>
          <cell r="AH639" t="str">
            <v>PPM</v>
          </cell>
          <cell r="AI639" t="str">
            <v>Strands</v>
          </cell>
          <cell r="AJ639" t="str">
            <v>Strands PW</v>
          </cell>
        </row>
        <row r="640">
          <cell r="A640" t="str">
            <v>IKN400159</v>
          </cell>
          <cell r="B640">
            <v>159</v>
          </cell>
          <cell r="C640" t="str">
            <v>Institut Kanser Negara</v>
          </cell>
          <cell r="D640" t="str">
            <v>KKM/IKN/H/13/3474</v>
          </cell>
          <cell r="E640" t="str">
            <v>17-422</v>
          </cell>
          <cell r="F640" t="str">
            <v>Scanning Systems, Ultrasonic, Cardiac</v>
          </cell>
          <cell r="G640" t="str">
            <v>OC</v>
          </cell>
          <cell r="H640" t="str">
            <v>ONCOLOGY CLINIC</v>
          </cell>
          <cell r="I640" t="str">
            <v>03OC136</v>
          </cell>
          <cell r="J640" t="str">
            <v>TREATMENT 2</v>
          </cell>
          <cell r="K640" t="str">
            <v>BMED</v>
          </cell>
          <cell r="L640" t="str">
            <v>Normal</v>
          </cell>
          <cell r="M640" t="str">
            <v>USA</v>
          </cell>
          <cell r="N640" t="str">
            <v>Vivid</v>
          </cell>
          <cell r="O640" t="str">
            <v>Vivid S5</v>
          </cell>
          <cell r="P640" t="str">
            <v>050527VS5N</v>
          </cell>
          <cell r="Q640" t="str">
            <v>Not Applicable</v>
          </cell>
          <cell r="R640" t="str">
            <v>GE Healthcare Systems</v>
          </cell>
          <cell r="S640" t="str">
            <v>GE Healthcare Technologies</v>
          </cell>
          <cell r="T640" t="str">
            <v>Functioning</v>
          </cell>
          <cell r="U640" t="str">
            <v>Asset</v>
          </cell>
          <cell r="V640">
            <v>332320</v>
          </cell>
          <cell r="W640" t="str">
            <v>KEW</v>
          </cell>
          <cell r="X640" t="str">
            <v>01/09/2010</v>
          </cell>
          <cell r="Y640" t="str">
            <v>KEW</v>
          </cell>
          <cell r="Z640" t="str">
            <v>16/08/2013</v>
          </cell>
          <cell r="AA640" t="str">
            <v>15/08/2015</v>
          </cell>
          <cell r="AB640" t="str">
            <v>No</v>
          </cell>
          <cell r="AC640" t="str">
            <v>31/08/2013</v>
          </cell>
          <cell r="AD640" t="str">
            <v>Good</v>
          </cell>
          <cell r="AE640" t="str">
            <v>V1 - Existing / No Claim</v>
          </cell>
          <cell r="AF640">
            <v>42796</v>
          </cell>
          <cell r="AG640">
            <v>9.17</v>
          </cell>
          <cell r="AH640" t="str">
            <v>PPM</v>
          </cell>
          <cell r="AI640" t="str">
            <v>Strands</v>
          </cell>
          <cell r="AJ640" t="str">
            <v>Strands Package</v>
          </cell>
          <cell r="AK640" t="str">
            <v>Package Code XU0022-S. [14/2/2024]: Tukar location ikut KEWPA</v>
          </cell>
        </row>
        <row r="641">
          <cell r="A641" t="str">
            <v>IKN400160</v>
          </cell>
          <cell r="B641">
            <v>160</v>
          </cell>
          <cell r="C641" t="str">
            <v>Institut Kanser Negara</v>
          </cell>
          <cell r="D641" t="str">
            <v>KKM/IKN/H/13/1128</v>
          </cell>
          <cell r="E641" t="str">
            <v>17-429</v>
          </cell>
          <cell r="F641" t="str">
            <v>Ventilators, Intensive Care</v>
          </cell>
          <cell r="G641" t="str">
            <v>IC</v>
          </cell>
          <cell r="H641" t="str">
            <v>INTENSIVE CARE UNIT</v>
          </cell>
          <cell r="I641" t="str">
            <v>05IC106</v>
          </cell>
          <cell r="J641" t="str">
            <v>EQ. ROOM</v>
          </cell>
          <cell r="K641" t="str">
            <v>BMED</v>
          </cell>
          <cell r="L641" t="str">
            <v>Critical</v>
          </cell>
          <cell r="M641" t="str">
            <v>USA</v>
          </cell>
          <cell r="N641" t="str">
            <v>Respironics</v>
          </cell>
          <cell r="O641" t="str">
            <v>Respironics V60</v>
          </cell>
          <cell r="P641" t="str">
            <v>201004392</v>
          </cell>
          <cell r="Q641" t="str">
            <v>Not Applicable</v>
          </cell>
          <cell r="R641" t="str">
            <v>Philips Medical Systems</v>
          </cell>
          <cell r="S641" t="str">
            <v>Goodlabs Medical (M) Sdn. Bhd.</v>
          </cell>
          <cell r="T641" t="str">
            <v>Functioning</v>
          </cell>
          <cell r="U641" t="str">
            <v>Asset</v>
          </cell>
          <cell r="V641">
            <v>92620</v>
          </cell>
          <cell r="W641" t="str">
            <v>KEW</v>
          </cell>
          <cell r="X641" t="str">
            <v>01/09/2010</v>
          </cell>
          <cell r="Y641" t="str">
            <v>KEW</v>
          </cell>
          <cell r="Z641" t="str">
            <v>16/08/2013</v>
          </cell>
          <cell r="AA641" t="str">
            <v>15/08/2015</v>
          </cell>
          <cell r="AB641" t="str">
            <v>No</v>
          </cell>
          <cell r="AC641" t="str">
            <v>31/08/2013</v>
          </cell>
          <cell r="AD641" t="str">
            <v>Good</v>
          </cell>
          <cell r="AE641" t="str">
            <v>V1 - Existing / No Claim</v>
          </cell>
          <cell r="AF641">
            <v>42796</v>
          </cell>
          <cell r="AG641">
            <v>9.17</v>
          </cell>
          <cell r="AH641" t="str">
            <v>PPM</v>
          </cell>
          <cell r="AI641" t="str">
            <v>Strands</v>
          </cell>
          <cell r="AJ641" t="str">
            <v>Strands PW</v>
          </cell>
        </row>
        <row r="642">
          <cell r="A642" t="str">
            <v>IKN400161</v>
          </cell>
          <cell r="B642">
            <v>161</v>
          </cell>
          <cell r="C642" t="str">
            <v>Institut Kanser Negara</v>
          </cell>
          <cell r="D642" t="str">
            <v>KKM/IKN/H/13/1129</v>
          </cell>
          <cell r="E642" t="str">
            <v>17-429</v>
          </cell>
          <cell r="F642" t="str">
            <v>Ventilators, Intensive Care</v>
          </cell>
          <cell r="G642" t="str">
            <v>IC</v>
          </cell>
          <cell r="H642" t="str">
            <v>INTENSIVE CARE UNIT</v>
          </cell>
          <cell r="I642" t="str">
            <v>05IC106</v>
          </cell>
          <cell r="J642" t="str">
            <v>EQ. ROOM</v>
          </cell>
          <cell r="K642" t="str">
            <v>BMED</v>
          </cell>
          <cell r="L642" t="str">
            <v>Normal</v>
          </cell>
          <cell r="M642" t="str">
            <v>USA</v>
          </cell>
          <cell r="N642" t="str">
            <v>Respironics</v>
          </cell>
          <cell r="O642" t="str">
            <v>Respironics V60</v>
          </cell>
          <cell r="P642" t="str">
            <v>201004388</v>
          </cell>
          <cell r="Q642" t="str">
            <v>Not Applicable</v>
          </cell>
          <cell r="R642" t="str">
            <v>Philips Medical Systems</v>
          </cell>
          <cell r="S642" t="str">
            <v>Goodlabs Medical (M) Sdn. Bhd.</v>
          </cell>
          <cell r="T642" t="str">
            <v>Functioning</v>
          </cell>
          <cell r="U642" t="str">
            <v>Asset</v>
          </cell>
          <cell r="V642">
            <v>92620</v>
          </cell>
          <cell r="W642" t="str">
            <v>KEW</v>
          </cell>
          <cell r="X642" t="str">
            <v>01/09/2010</v>
          </cell>
          <cell r="Y642" t="str">
            <v>KEW</v>
          </cell>
          <cell r="Z642" t="str">
            <v>16/08/2013</v>
          </cell>
          <cell r="AA642" t="str">
            <v>15/08/2015</v>
          </cell>
          <cell r="AB642" t="str">
            <v>No</v>
          </cell>
          <cell r="AC642" t="str">
            <v>31/08/2013</v>
          </cell>
          <cell r="AD642" t="str">
            <v>Good</v>
          </cell>
          <cell r="AE642" t="str">
            <v>V1 - Existing / No Claim</v>
          </cell>
          <cell r="AF642">
            <v>42235</v>
          </cell>
          <cell r="AG642">
            <v>9.17</v>
          </cell>
          <cell r="AH642" t="str">
            <v>PPM</v>
          </cell>
          <cell r="AI642" t="str">
            <v>Strands</v>
          </cell>
          <cell r="AJ642" t="str">
            <v>Strands PW</v>
          </cell>
        </row>
        <row r="643">
          <cell r="A643" t="str">
            <v>IKN400162</v>
          </cell>
          <cell r="B643">
            <v>162</v>
          </cell>
          <cell r="C643" t="str">
            <v>Institut Kanser Negara</v>
          </cell>
          <cell r="D643" t="str">
            <v>KKM/IKN/H/13/1130</v>
          </cell>
          <cell r="E643" t="str">
            <v>17-429</v>
          </cell>
          <cell r="F643" t="str">
            <v>Ventilators, Intensive Care</v>
          </cell>
          <cell r="G643" t="str">
            <v>IC</v>
          </cell>
          <cell r="H643" t="str">
            <v>INTENSIVE CARE UNIT</v>
          </cell>
          <cell r="I643" t="str">
            <v>05IC106</v>
          </cell>
          <cell r="J643" t="str">
            <v>EQ. ROOM</v>
          </cell>
          <cell r="K643" t="str">
            <v>BMED</v>
          </cell>
          <cell r="L643" t="str">
            <v>Critical</v>
          </cell>
          <cell r="M643" t="str">
            <v>USA</v>
          </cell>
          <cell r="N643" t="str">
            <v>Respironics</v>
          </cell>
          <cell r="O643" t="str">
            <v>Respironics V60</v>
          </cell>
          <cell r="P643" t="str">
            <v>201004259</v>
          </cell>
          <cell r="Q643" t="str">
            <v>Not Applicable</v>
          </cell>
          <cell r="R643" t="str">
            <v>Philips Medical Systems</v>
          </cell>
          <cell r="S643" t="str">
            <v>Goodlabs Medical (M) Sdn. Bhd.</v>
          </cell>
          <cell r="T643" t="str">
            <v>Functioning</v>
          </cell>
          <cell r="U643" t="str">
            <v>Asset</v>
          </cell>
          <cell r="V643">
            <v>92620</v>
          </cell>
          <cell r="W643" t="str">
            <v>KEW</v>
          </cell>
          <cell r="X643" t="str">
            <v>01/09/2010</v>
          </cell>
          <cell r="Y643" t="str">
            <v>KEW</v>
          </cell>
          <cell r="Z643" t="str">
            <v>16/08/2013</v>
          </cell>
          <cell r="AA643" t="str">
            <v>15/08/2015</v>
          </cell>
          <cell r="AB643" t="str">
            <v>No</v>
          </cell>
          <cell r="AC643" t="str">
            <v>31/08/2013</v>
          </cell>
          <cell r="AD643" t="str">
            <v>Good</v>
          </cell>
          <cell r="AE643" t="str">
            <v>V1 - Existing / No Claim</v>
          </cell>
          <cell r="AF643">
            <v>42796</v>
          </cell>
          <cell r="AG643">
            <v>9.17</v>
          </cell>
          <cell r="AH643" t="str">
            <v>PPM</v>
          </cell>
          <cell r="AI643" t="str">
            <v>Strands</v>
          </cell>
          <cell r="AJ643" t="str">
            <v>Strands PW</v>
          </cell>
        </row>
        <row r="644">
          <cell r="A644" t="str">
            <v>IKN400163</v>
          </cell>
          <cell r="B644">
            <v>163</v>
          </cell>
          <cell r="C644" t="str">
            <v>Institut Kanser Negara</v>
          </cell>
          <cell r="D644" t="str">
            <v>KKM/IKN/H/13/1131</v>
          </cell>
          <cell r="E644" t="str">
            <v>17-429</v>
          </cell>
          <cell r="F644" t="str">
            <v>Ventilators, Intensive Care</v>
          </cell>
          <cell r="G644" t="str">
            <v>IC</v>
          </cell>
          <cell r="H644" t="str">
            <v>INTENSIVE CARE UNIT</v>
          </cell>
          <cell r="I644" t="str">
            <v>05IC106</v>
          </cell>
          <cell r="J644" t="str">
            <v>EQ. ROOM</v>
          </cell>
          <cell r="K644" t="str">
            <v>BMED</v>
          </cell>
          <cell r="L644" t="str">
            <v>Critical</v>
          </cell>
          <cell r="M644" t="str">
            <v>USA</v>
          </cell>
          <cell r="N644" t="str">
            <v>Respironics</v>
          </cell>
          <cell r="O644" t="str">
            <v>Respironics V60</v>
          </cell>
          <cell r="P644" t="str">
            <v>201004246</v>
          </cell>
          <cell r="Q644" t="str">
            <v>Not Applicable</v>
          </cell>
          <cell r="R644" t="str">
            <v>Philips Medical Systems</v>
          </cell>
          <cell r="S644" t="str">
            <v>Goodlabs Medical (M) Sdn. Bhd.</v>
          </cell>
          <cell r="T644" t="str">
            <v>Functioning</v>
          </cell>
          <cell r="U644" t="str">
            <v>Asset</v>
          </cell>
          <cell r="V644">
            <v>92620</v>
          </cell>
          <cell r="W644" t="str">
            <v>KEW</v>
          </cell>
          <cell r="X644" t="str">
            <v>01/09/2010</v>
          </cell>
          <cell r="Y644" t="str">
            <v>KEW</v>
          </cell>
          <cell r="Z644" t="str">
            <v>16/08/2013</v>
          </cell>
          <cell r="AA644" t="str">
            <v>15/08/2015</v>
          </cell>
          <cell r="AB644" t="str">
            <v>No</v>
          </cell>
          <cell r="AC644" t="str">
            <v>31/08/2013</v>
          </cell>
          <cell r="AD644" t="str">
            <v>Good</v>
          </cell>
          <cell r="AE644" t="str">
            <v>V1 - Existing / No Claim</v>
          </cell>
          <cell r="AF644">
            <v>42796</v>
          </cell>
          <cell r="AG644">
            <v>9.17</v>
          </cell>
          <cell r="AH644" t="str">
            <v>PPM</v>
          </cell>
          <cell r="AI644" t="str">
            <v>Strands</v>
          </cell>
          <cell r="AJ644" t="str">
            <v>Strands PW</v>
          </cell>
        </row>
        <row r="645">
          <cell r="A645" t="str">
            <v>IKN400164</v>
          </cell>
          <cell r="B645">
            <v>164</v>
          </cell>
          <cell r="C645" t="str">
            <v>Institut Kanser Negara</v>
          </cell>
          <cell r="D645" t="str">
            <v>KKM/IKN/H/13/1118</v>
          </cell>
          <cell r="E645" t="str">
            <v>17-429</v>
          </cell>
          <cell r="F645" t="str">
            <v>Ventilators, Intensive Care</v>
          </cell>
          <cell r="G645" t="str">
            <v>IC</v>
          </cell>
          <cell r="H645" t="str">
            <v>INTENSIVE CARE UNIT</v>
          </cell>
          <cell r="I645" t="str">
            <v>05IC111</v>
          </cell>
          <cell r="J645" t="str">
            <v>ISOL 1(-VE)</v>
          </cell>
          <cell r="K645" t="str">
            <v>BMED</v>
          </cell>
          <cell r="L645" t="str">
            <v>Normal</v>
          </cell>
          <cell r="M645" t="str">
            <v>Germany</v>
          </cell>
          <cell r="N645" t="str">
            <v>Evita</v>
          </cell>
          <cell r="O645" t="str">
            <v>Evita XL</v>
          </cell>
          <cell r="P645" t="str">
            <v>ASDD-0070</v>
          </cell>
          <cell r="Q645" t="str">
            <v>Not Applicable</v>
          </cell>
          <cell r="R645" t="str">
            <v>Drager Medical GmbH</v>
          </cell>
          <cell r="S645" t="str">
            <v>Beau Consortium Sdn Bhd</v>
          </cell>
          <cell r="T645" t="str">
            <v>Functioning</v>
          </cell>
          <cell r="U645" t="str">
            <v>Asset</v>
          </cell>
          <cell r="V645">
            <v>151560</v>
          </cell>
          <cell r="W645" t="str">
            <v>KEW</v>
          </cell>
          <cell r="X645" t="str">
            <v>01/09/2010</v>
          </cell>
          <cell r="Y645" t="str">
            <v>KEW</v>
          </cell>
          <cell r="Z645" t="str">
            <v>16/08/2013</v>
          </cell>
          <cell r="AA645" t="str">
            <v>15/08/2015</v>
          </cell>
          <cell r="AB645" t="str">
            <v>No</v>
          </cell>
          <cell r="AC645" t="str">
            <v>31/08/2013</v>
          </cell>
          <cell r="AD645" t="str">
            <v>Good</v>
          </cell>
          <cell r="AE645" t="str">
            <v>V1 - Existing / No Claim</v>
          </cell>
          <cell r="AF645">
            <v>42235</v>
          </cell>
          <cell r="AG645">
            <v>9.17</v>
          </cell>
          <cell r="AH645" t="str">
            <v>PPM</v>
          </cell>
          <cell r="AI645" t="str">
            <v>Strands</v>
          </cell>
          <cell r="AJ645" t="str">
            <v>Strands PW</v>
          </cell>
        </row>
        <row r="646">
          <cell r="A646" t="str">
            <v>IKN400165</v>
          </cell>
          <cell r="B646">
            <v>165</v>
          </cell>
          <cell r="C646" t="str">
            <v>Institut Kanser Negara</v>
          </cell>
          <cell r="D646" t="str">
            <v>KKM/IKN/H/13/1120</v>
          </cell>
          <cell r="E646" t="str">
            <v>17-429</v>
          </cell>
          <cell r="F646" t="str">
            <v>Ventilators, Intensive Care</v>
          </cell>
          <cell r="G646" t="str">
            <v>IC</v>
          </cell>
          <cell r="H646" t="str">
            <v>INTENSIVE CARE UNIT</v>
          </cell>
          <cell r="I646" t="str">
            <v>05IC112</v>
          </cell>
          <cell r="J646" t="str">
            <v>ICU RM 1</v>
          </cell>
          <cell r="K646" t="str">
            <v>BMED</v>
          </cell>
          <cell r="L646" t="str">
            <v>Normal</v>
          </cell>
          <cell r="M646" t="str">
            <v>Germany</v>
          </cell>
          <cell r="N646" t="str">
            <v>Evita</v>
          </cell>
          <cell r="O646" t="str">
            <v>Evita XL</v>
          </cell>
          <cell r="P646" t="str">
            <v>ASDD-0071</v>
          </cell>
          <cell r="Q646" t="str">
            <v>Not Applicable</v>
          </cell>
          <cell r="R646" t="str">
            <v>Drager Medical GmbH</v>
          </cell>
          <cell r="S646" t="str">
            <v>Beau Consortium Sdn Bhd</v>
          </cell>
          <cell r="T646" t="str">
            <v>Functioning</v>
          </cell>
          <cell r="U646" t="str">
            <v>Asset</v>
          </cell>
          <cell r="V646">
            <v>151560</v>
          </cell>
          <cell r="W646" t="str">
            <v>KEW</v>
          </cell>
          <cell r="X646" t="str">
            <v>01/09/2010</v>
          </cell>
          <cell r="Y646" t="str">
            <v>KEW</v>
          </cell>
          <cell r="Z646" t="str">
            <v>16/08/2013</v>
          </cell>
          <cell r="AA646" t="str">
            <v>15/08/2015</v>
          </cell>
          <cell r="AB646" t="str">
            <v>No</v>
          </cell>
          <cell r="AC646" t="str">
            <v>31/08/2013</v>
          </cell>
          <cell r="AD646" t="str">
            <v>Good</v>
          </cell>
          <cell r="AE646" t="str">
            <v>V1 - Existing / No Claim</v>
          </cell>
          <cell r="AF646">
            <v>42235</v>
          </cell>
          <cell r="AG646">
            <v>9.17</v>
          </cell>
          <cell r="AH646" t="str">
            <v>PPM</v>
          </cell>
          <cell r="AI646" t="str">
            <v>Strands</v>
          </cell>
          <cell r="AJ646" t="str">
            <v>Strands PW</v>
          </cell>
        </row>
        <row r="647">
          <cell r="A647" t="str">
            <v>IKN400167</v>
          </cell>
          <cell r="B647">
            <v>167</v>
          </cell>
          <cell r="C647" t="str">
            <v>Institut Kanser Negara</v>
          </cell>
          <cell r="D647" t="str">
            <v>KKM/IKN/H/13/1124</v>
          </cell>
          <cell r="E647" t="str">
            <v>17-429</v>
          </cell>
          <cell r="F647" t="str">
            <v>Ventilators, Intensive Care</v>
          </cell>
          <cell r="G647" t="str">
            <v>IC</v>
          </cell>
          <cell r="H647" t="str">
            <v>INTENSIVE CARE UNIT</v>
          </cell>
          <cell r="I647" t="str">
            <v>05IC114</v>
          </cell>
          <cell r="J647" t="str">
            <v>ICU RM 3</v>
          </cell>
          <cell r="K647" t="str">
            <v>BMED</v>
          </cell>
          <cell r="L647" t="str">
            <v>Normal</v>
          </cell>
          <cell r="M647" t="str">
            <v>Germany</v>
          </cell>
          <cell r="N647" t="str">
            <v>Evita</v>
          </cell>
          <cell r="O647" t="str">
            <v>Evita XL</v>
          </cell>
          <cell r="P647" t="str">
            <v>ASDD-0075</v>
          </cell>
          <cell r="Q647" t="str">
            <v>Not Applicable</v>
          </cell>
          <cell r="R647" t="str">
            <v>Drager Medical GmbH</v>
          </cell>
          <cell r="S647" t="str">
            <v>Beau Consortium Sdn Bhd</v>
          </cell>
          <cell r="T647" t="str">
            <v>Functioning</v>
          </cell>
          <cell r="U647" t="str">
            <v>Asset</v>
          </cell>
          <cell r="V647">
            <v>151560</v>
          </cell>
          <cell r="W647" t="str">
            <v>KEW</v>
          </cell>
          <cell r="X647" t="str">
            <v>01/09/2010</v>
          </cell>
          <cell r="Y647" t="str">
            <v>KEW</v>
          </cell>
          <cell r="Z647" t="str">
            <v>16/08/2013</v>
          </cell>
          <cell r="AA647" t="str">
            <v>15/08/2015</v>
          </cell>
          <cell r="AB647" t="str">
            <v>No</v>
          </cell>
          <cell r="AC647" t="str">
            <v>31/08/2013</v>
          </cell>
          <cell r="AD647" t="str">
            <v>Good</v>
          </cell>
          <cell r="AE647" t="str">
            <v>V1 - Existing / No Claim</v>
          </cell>
          <cell r="AF647">
            <v>42235</v>
          </cell>
          <cell r="AG647">
            <v>9.17</v>
          </cell>
          <cell r="AH647" t="str">
            <v>PPM</v>
          </cell>
          <cell r="AI647" t="str">
            <v>Strands</v>
          </cell>
          <cell r="AJ647" t="str">
            <v>Strands PW</v>
          </cell>
        </row>
        <row r="648">
          <cell r="A648" t="str">
            <v>IKN400168</v>
          </cell>
          <cell r="B648">
            <v>168</v>
          </cell>
          <cell r="C648" t="str">
            <v>Institut Kanser Negara</v>
          </cell>
          <cell r="D648" t="str">
            <v>KKM/IKN/H/13/1125</v>
          </cell>
          <cell r="E648" t="str">
            <v>17-429</v>
          </cell>
          <cell r="F648" t="str">
            <v>Ventilators, Intensive Care</v>
          </cell>
          <cell r="G648" t="str">
            <v>IC</v>
          </cell>
          <cell r="H648" t="str">
            <v>INTENSIVE CARE UNIT</v>
          </cell>
          <cell r="I648" t="str">
            <v>05IC115</v>
          </cell>
          <cell r="J648" t="str">
            <v>ICU RM 4</v>
          </cell>
          <cell r="K648" t="str">
            <v>BMED</v>
          </cell>
          <cell r="L648" t="str">
            <v>Normal</v>
          </cell>
          <cell r="M648" t="str">
            <v>Germany</v>
          </cell>
          <cell r="N648" t="str">
            <v>Evita</v>
          </cell>
          <cell r="O648" t="str">
            <v>Evita XL</v>
          </cell>
          <cell r="P648" t="str">
            <v>ASDD-0068</v>
          </cell>
          <cell r="Q648" t="str">
            <v>Not Applicable</v>
          </cell>
          <cell r="R648" t="str">
            <v>Drager Medical GmbH</v>
          </cell>
          <cell r="S648" t="str">
            <v>Beau Consortium Sdn Bhd</v>
          </cell>
          <cell r="T648" t="str">
            <v>Functioning</v>
          </cell>
          <cell r="U648" t="str">
            <v>Asset</v>
          </cell>
          <cell r="V648">
            <v>151560</v>
          </cell>
          <cell r="W648" t="str">
            <v>KEW</v>
          </cell>
          <cell r="X648" t="str">
            <v>01/09/2010</v>
          </cell>
          <cell r="Y648" t="str">
            <v>KEW</v>
          </cell>
          <cell r="Z648" t="str">
            <v>16/08/2013</v>
          </cell>
          <cell r="AA648" t="str">
            <v>15/08/2015</v>
          </cell>
          <cell r="AB648" t="str">
            <v>No</v>
          </cell>
          <cell r="AC648" t="str">
            <v>31/08/2013</v>
          </cell>
          <cell r="AD648" t="str">
            <v>Good</v>
          </cell>
          <cell r="AE648" t="str">
            <v>V1 - Existing / No Claim</v>
          </cell>
          <cell r="AF648">
            <v>42235</v>
          </cell>
          <cell r="AG648">
            <v>9.17</v>
          </cell>
          <cell r="AH648" t="str">
            <v>PPM</v>
          </cell>
          <cell r="AI648" t="str">
            <v>Strands</v>
          </cell>
          <cell r="AJ648" t="str">
            <v>Strands PW</v>
          </cell>
        </row>
        <row r="649">
          <cell r="A649" t="str">
            <v>IKN400169</v>
          </cell>
          <cell r="B649">
            <v>169</v>
          </cell>
          <cell r="C649" t="str">
            <v>Institut Kanser Negara</v>
          </cell>
          <cell r="D649" t="str">
            <v>KKM/IKN/H/13/1121</v>
          </cell>
          <cell r="E649" t="str">
            <v>17-429</v>
          </cell>
          <cell r="F649" t="str">
            <v>Ventilators, Intensive Care</v>
          </cell>
          <cell r="G649" t="str">
            <v>IC</v>
          </cell>
          <cell r="H649" t="str">
            <v>INTENSIVE CARE UNIT</v>
          </cell>
          <cell r="I649" t="str">
            <v>05IC116</v>
          </cell>
          <cell r="J649" t="str">
            <v>ISOL 2 (+VE)</v>
          </cell>
          <cell r="K649" t="str">
            <v>BMED</v>
          </cell>
          <cell r="L649" t="str">
            <v>Normal</v>
          </cell>
          <cell r="M649" t="str">
            <v>Germany</v>
          </cell>
          <cell r="N649" t="str">
            <v>Evita</v>
          </cell>
          <cell r="O649" t="str">
            <v>Evita XL</v>
          </cell>
          <cell r="P649" t="str">
            <v>ASDD-0072</v>
          </cell>
          <cell r="Q649" t="str">
            <v>Not Applicable</v>
          </cell>
          <cell r="R649" t="str">
            <v>Drager Medical GmbH</v>
          </cell>
          <cell r="S649" t="str">
            <v>Beau Consortium Sdn Bhd</v>
          </cell>
          <cell r="T649" t="str">
            <v>Functioning</v>
          </cell>
          <cell r="U649" t="str">
            <v>Asset</v>
          </cell>
          <cell r="V649">
            <v>151560</v>
          </cell>
          <cell r="W649" t="str">
            <v>KEW</v>
          </cell>
          <cell r="X649" t="str">
            <v>01/09/2010</v>
          </cell>
          <cell r="Y649" t="str">
            <v>KEW</v>
          </cell>
          <cell r="Z649" t="str">
            <v>16/08/2013</v>
          </cell>
          <cell r="AA649" t="str">
            <v>15/08/2015</v>
          </cell>
          <cell r="AB649" t="str">
            <v>No</v>
          </cell>
          <cell r="AC649" t="str">
            <v>31/08/2013</v>
          </cell>
          <cell r="AD649" t="str">
            <v>Good</v>
          </cell>
          <cell r="AE649" t="str">
            <v>V1 - Existing / No Claim</v>
          </cell>
          <cell r="AF649">
            <v>42235</v>
          </cell>
          <cell r="AG649">
            <v>9.17</v>
          </cell>
          <cell r="AH649" t="str">
            <v>PPM</v>
          </cell>
          <cell r="AI649" t="str">
            <v>Strands</v>
          </cell>
          <cell r="AJ649" t="str">
            <v>Strands PW</v>
          </cell>
        </row>
        <row r="650">
          <cell r="A650" t="str">
            <v>IKN400170</v>
          </cell>
          <cell r="B650">
            <v>170</v>
          </cell>
          <cell r="C650" t="str">
            <v>Institut Kanser Negara</v>
          </cell>
          <cell r="D650" t="str">
            <v>KKM/IKN/H/13/4412</v>
          </cell>
          <cell r="E650" t="str">
            <v>15-709</v>
          </cell>
          <cell r="F650" t="str">
            <v>Analyzers, Laboratory, Blood Gas/pH</v>
          </cell>
          <cell r="G650" t="str">
            <v>IC</v>
          </cell>
          <cell r="H650" t="str">
            <v>INTENSIVE CARE UNIT</v>
          </cell>
          <cell r="I650" t="str">
            <v>05IC122</v>
          </cell>
          <cell r="J650" t="str">
            <v>STAT LAB</v>
          </cell>
          <cell r="K650" t="str">
            <v>BMED</v>
          </cell>
          <cell r="L650" t="str">
            <v>Critical</v>
          </cell>
          <cell r="M650" t="str">
            <v>Denmark</v>
          </cell>
          <cell r="N650" t="str">
            <v>Radiometer</v>
          </cell>
          <cell r="O650" t="str">
            <v>Radiometer ABL 90</v>
          </cell>
          <cell r="P650" t="str">
            <v>R0177N0008</v>
          </cell>
          <cell r="Q650" t="str">
            <v>Not Applicable</v>
          </cell>
          <cell r="R650" t="str">
            <v>Radiometer Medical ApS</v>
          </cell>
          <cell r="S650" t="str">
            <v>Metrojendela</v>
          </cell>
          <cell r="T650" t="str">
            <v>Functioning</v>
          </cell>
          <cell r="U650" t="str">
            <v>Asset</v>
          </cell>
          <cell r="V650">
            <v>210505</v>
          </cell>
          <cell r="W650" t="str">
            <v>KEW</v>
          </cell>
          <cell r="X650" t="str">
            <v>01/09/2010</v>
          </cell>
          <cell r="Y650" t="str">
            <v>KEW</v>
          </cell>
          <cell r="Z650" t="str">
            <v>16/08/2013</v>
          </cell>
          <cell r="AA650" t="str">
            <v>15/08/2015</v>
          </cell>
          <cell r="AB650" t="str">
            <v>No</v>
          </cell>
          <cell r="AC650" t="str">
            <v>31/08/2013</v>
          </cell>
          <cell r="AD650" t="str">
            <v>Good</v>
          </cell>
          <cell r="AE650" t="str">
            <v>V1 - Existing / No Claim</v>
          </cell>
          <cell r="AF650">
            <v>42797</v>
          </cell>
          <cell r="AG650">
            <v>9.17</v>
          </cell>
          <cell r="AH650" t="str">
            <v>PPM</v>
          </cell>
          <cell r="AI650" t="str">
            <v>Strands</v>
          </cell>
          <cell r="AJ650" t="str">
            <v>Strands Package</v>
          </cell>
          <cell r="AK650" t="str">
            <v>Package Code LC0002</v>
          </cell>
        </row>
        <row r="651">
          <cell r="A651" t="str">
            <v>IKN400171</v>
          </cell>
          <cell r="B651">
            <v>171</v>
          </cell>
          <cell r="C651" t="str">
            <v>Institut Kanser Negara</v>
          </cell>
          <cell r="D651" t="str">
            <v>KKM/IKN/H/13/1123</v>
          </cell>
          <cell r="E651" t="str">
            <v>17-429</v>
          </cell>
          <cell r="F651" t="str">
            <v>Ventilators, Intensive Care</v>
          </cell>
          <cell r="G651" t="str">
            <v>IC</v>
          </cell>
          <cell r="H651" t="str">
            <v>INTENSIVE CARE UNIT</v>
          </cell>
          <cell r="I651" t="str">
            <v>05IC131</v>
          </cell>
          <cell r="J651" t="str">
            <v>ISOL 3 (+VE)</v>
          </cell>
          <cell r="K651" t="str">
            <v>BMED</v>
          </cell>
          <cell r="L651" t="str">
            <v>Normal</v>
          </cell>
          <cell r="M651" t="str">
            <v>Germany</v>
          </cell>
          <cell r="N651" t="str">
            <v>Evita</v>
          </cell>
          <cell r="O651" t="str">
            <v>Evita XL</v>
          </cell>
          <cell r="P651" t="str">
            <v>ASDD-0074</v>
          </cell>
          <cell r="Q651" t="str">
            <v>Not Applicable</v>
          </cell>
          <cell r="R651" t="str">
            <v>Drager Medical GmbH</v>
          </cell>
          <cell r="S651" t="str">
            <v>Beau Consortium Sdn Bhd</v>
          </cell>
          <cell r="T651" t="str">
            <v>Functioning</v>
          </cell>
          <cell r="U651" t="str">
            <v>Asset</v>
          </cell>
          <cell r="V651">
            <v>151560</v>
          </cell>
          <cell r="W651" t="str">
            <v>KEW</v>
          </cell>
          <cell r="X651" t="str">
            <v>01/09/2010</v>
          </cell>
          <cell r="Y651" t="str">
            <v>KEW</v>
          </cell>
          <cell r="Z651" t="str">
            <v>16/08/2013</v>
          </cell>
          <cell r="AA651" t="str">
            <v>15/08/2015</v>
          </cell>
          <cell r="AB651" t="str">
            <v>No</v>
          </cell>
          <cell r="AC651" t="str">
            <v>31/08/2013</v>
          </cell>
          <cell r="AD651" t="str">
            <v>Good</v>
          </cell>
          <cell r="AE651" t="str">
            <v>V1 - Existing / No Claim</v>
          </cell>
          <cell r="AF651">
            <v>42235</v>
          </cell>
          <cell r="AG651">
            <v>9.17</v>
          </cell>
          <cell r="AH651" t="str">
            <v>PPM</v>
          </cell>
          <cell r="AI651" t="str">
            <v>Strands</v>
          </cell>
          <cell r="AJ651" t="str">
            <v>Strands PW</v>
          </cell>
        </row>
        <row r="652">
          <cell r="A652" t="str">
            <v>IKN400172</v>
          </cell>
          <cell r="B652">
            <v>172</v>
          </cell>
          <cell r="C652" t="str">
            <v>Institut Kanser Negara</v>
          </cell>
          <cell r="D652" t="str">
            <v>KKM/IKN/H/13/1127</v>
          </cell>
          <cell r="E652" t="str">
            <v>18-098</v>
          </cell>
          <cell r="F652" t="str">
            <v>Ventilators, Transport</v>
          </cell>
          <cell r="G652" t="str">
            <v>IC</v>
          </cell>
          <cell r="H652" t="str">
            <v>INTENSIVE CARE UNIT</v>
          </cell>
          <cell r="I652" t="str">
            <v>05IC106</v>
          </cell>
          <cell r="J652" t="str">
            <v>EQ. ROOM</v>
          </cell>
          <cell r="K652" t="str">
            <v>BMED</v>
          </cell>
          <cell r="L652" t="str">
            <v>Critical</v>
          </cell>
          <cell r="M652" t="str">
            <v>Germany</v>
          </cell>
          <cell r="N652" t="str">
            <v>Oxylog</v>
          </cell>
          <cell r="O652" t="str">
            <v>Oxylog 3000 Plus</v>
          </cell>
          <cell r="P652" t="str">
            <v>ASDJ-0135</v>
          </cell>
          <cell r="Q652" t="str">
            <v>Not Applicable</v>
          </cell>
          <cell r="R652" t="str">
            <v>Draegerwerk Ag</v>
          </cell>
          <cell r="S652" t="str">
            <v>Beau Consortium Sdn Bhd</v>
          </cell>
          <cell r="T652" t="str">
            <v>Functioning</v>
          </cell>
          <cell r="U652" t="str">
            <v>Asset</v>
          </cell>
          <cell r="V652">
            <v>60150</v>
          </cell>
          <cell r="W652" t="str">
            <v>KEW</v>
          </cell>
          <cell r="X652" t="str">
            <v>01/09/2010</v>
          </cell>
          <cell r="Y652" t="str">
            <v>KEW</v>
          </cell>
          <cell r="Z652" t="str">
            <v>16/08/2013</v>
          </cell>
          <cell r="AA652" t="str">
            <v>15/08/2015</v>
          </cell>
          <cell r="AB652" t="str">
            <v>No</v>
          </cell>
          <cell r="AC652" t="str">
            <v>31/08/2013</v>
          </cell>
          <cell r="AD652" t="str">
            <v>Good</v>
          </cell>
          <cell r="AE652" t="str">
            <v>V1 - Existing / No Claim</v>
          </cell>
          <cell r="AF652">
            <v>42796</v>
          </cell>
          <cell r="AG652">
            <v>9.17</v>
          </cell>
          <cell r="AH652" t="str">
            <v>PPM</v>
          </cell>
          <cell r="AI652" t="str">
            <v>Strands</v>
          </cell>
          <cell r="AJ652" t="str">
            <v>Strands PW</v>
          </cell>
        </row>
        <row r="653">
          <cell r="A653" t="str">
            <v>IKN400173</v>
          </cell>
          <cell r="B653">
            <v>173</v>
          </cell>
          <cell r="C653" t="str">
            <v>Institut Kanser Negara</v>
          </cell>
          <cell r="D653" t="str">
            <v>KKM/IKN/H/13/1126</v>
          </cell>
          <cell r="E653" t="str">
            <v>18-098</v>
          </cell>
          <cell r="F653" t="str">
            <v>Ventilators, Transport</v>
          </cell>
          <cell r="G653" t="str">
            <v>IC</v>
          </cell>
          <cell r="H653" t="str">
            <v>INTENSIVE CARE UNIT</v>
          </cell>
          <cell r="I653" t="str">
            <v>05IC106</v>
          </cell>
          <cell r="J653" t="str">
            <v>EQ. ROOM</v>
          </cell>
          <cell r="K653" t="str">
            <v>BMED</v>
          </cell>
          <cell r="L653" t="str">
            <v>Critical</v>
          </cell>
          <cell r="M653" t="str">
            <v>Germany</v>
          </cell>
          <cell r="N653" t="str">
            <v>Oxylog</v>
          </cell>
          <cell r="O653" t="str">
            <v>Oxylog 3000 Plus</v>
          </cell>
          <cell r="P653" t="str">
            <v>ASDJ-0134</v>
          </cell>
          <cell r="Q653" t="str">
            <v>Not Applicable</v>
          </cell>
          <cell r="R653" t="str">
            <v>Draegerwerk Ag</v>
          </cell>
          <cell r="S653" t="str">
            <v>Beau Consortium Sdn Bhd</v>
          </cell>
          <cell r="T653" t="str">
            <v>Functioning</v>
          </cell>
          <cell r="U653" t="str">
            <v>Asset</v>
          </cell>
          <cell r="V653">
            <v>60150</v>
          </cell>
          <cell r="W653" t="str">
            <v>KEW</v>
          </cell>
          <cell r="X653" t="str">
            <v>01/09/2010</v>
          </cell>
          <cell r="Y653" t="str">
            <v>KEW</v>
          </cell>
          <cell r="Z653" t="str">
            <v>16/08/2013</v>
          </cell>
          <cell r="AA653" t="str">
            <v>15/08/2015</v>
          </cell>
          <cell r="AB653" t="str">
            <v>No</v>
          </cell>
          <cell r="AC653" t="str">
            <v>31/08/2013</v>
          </cell>
          <cell r="AD653" t="str">
            <v>Good</v>
          </cell>
          <cell r="AE653" t="str">
            <v>V1 - Existing / No Claim</v>
          </cell>
          <cell r="AF653">
            <v>42796</v>
          </cell>
          <cell r="AG653">
            <v>9.17</v>
          </cell>
          <cell r="AH653" t="str">
            <v>PPM</v>
          </cell>
          <cell r="AI653" t="str">
            <v>Strands</v>
          </cell>
          <cell r="AJ653" t="str">
            <v>Strands PW</v>
          </cell>
        </row>
        <row r="654">
          <cell r="A654" t="str">
            <v>IKN400174</v>
          </cell>
          <cell r="B654">
            <v>174</v>
          </cell>
          <cell r="C654" t="str">
            <v>Institut Kanser Negara</v>
          </cell>
          <cell r="D654" t="str">
            <v>KKM/IKN/H/14/84</v>
          </cell>
          <cell r="E654" t="str">
            <v>10-447</v>
          </cell>
          <cell r="F654" t="str">
            <v>Warming Units, Blood/Solution</v>
          </cell>
          <cell r="G654" t="str">
            <v>ID</v>
          </cell>
          <cell r="H654" t="str">
            <v>IMAGING DEPARTMENT</v>
          </cell>
          <cell r="I654" t="str">
            <v>03ID156</v>
          </cell>
          <cell r="J654" t="str">
            <v>C.T. SCAN 1 (+VE)</v>
          </cell>
          <cell r="K654" t="str">
            <v>BMED</v>
          </cell>
          <cell r="L654" t="str">
            <v>Normal</v>
          </cell>
          <cell r="M654" t="str">
            <v>USA</v>
          </cell>
          <cell r="N654" t="str">
            <v>Heratherm</v>
          </cell>
          <cell r="O654" t="str">
            <v>Heratherm IM-18</v>
          </cell>
          <cell r="P654" t="str">
            <v>IMC40474563</v>
          </cell>
          <cell r="Q654" t="str">
            <v>Not Applicable</v>
          </cell>
          <cell r="R654" t="str">
            <v>Thermo Scientific Inc</v>
          </cell>
          <cell r="S654" t="str">
            <v>Fero -Medic &amp; Consultantcy</v>
          </cell>
          <cell r="T654" t="str">
            <v>Functioning</v>
          </cell>
          <cell r="U654" t="str">
            <v>Asset</v>
          </cell>
          <cell r="V654">
            <v>4950</v>
          </cell>
          <cell r="W654" t="str">
            <v>KEW</v>
          </cell>
          <cell r="X654" t="str">
            <v>25/09/2014</v>
          </cell>
          <cell r="Y654" t="str">
            <v>KEW</v>
          </cell>
          <cell r="Z654" t="str">
            <v>12/11/2014</v>
          </cell>
          <cell r="AA654" t="str">
            <v>11/11/2015</v>
          </cell>
          <cell r="AB654" t="str">
            <v>No</v>
          </cell>
          <cell r="AC654" t="str">
            <v>12/11/2014</v>
          </cell>
          <cell r="AD654" t="str">
            <v>Good</v>
          </cell>
          <cell r="AE654" t="str">
            <v>V3 - Added Installed Facilities (New)</v>
          </cell>
          <cell r="AF654">
            <v>42679</v>
          </cell>
          <cell r="AG654">
            <v>5.17</v>
          </cell>
          <cell r="AH654" t="str">
            <v>PPM</v>
          </cell>
          <cell r="AI654" t="str">
            <v>Strands</v>
          </cell>
          <cell r="AJ654" t="str">
            <v>Strands PW</v>
          </cell>
          <cell r="AK654" t="str">
            <v>SNF received. 1st batch of V3 asset (December 2020)</v>
          </cell>
        </row>
        <row r="655">
          <cell r="A655" t="str">
            <v>IKN400175</v>
          </cell>
          <cell r="B655">
            <v>175</v>
          </cell>
          <cell r="C655" t="str">
            <v>Institut Kanser Negara</v>
          </cell>
          <cell r="D655" t="str">
            <v>KKM/IKN/H/13/1028</v>
          </cell>
          <cell r="E655" t="str">
            <v>10-447</v>
          </cell>
          <cell r="F655" t="str">
            <v>Warming Units, Blood/Solution</v>
          </cell>
          <cell r="G655" t="str">
            <v>IC</v>
          </cell>
          <cell r="H655" t="str">
            <v>INTENSIVE CARE UNIT</v>
          </cell>
          <cell r="I655" t="str">
            <v>05IC106</v>
          </cell>
          <cell r="J655" t="str">
            <v>EQ. ROOM</v>
          </cell>
          <cell r="K655" t="str">
            <v>BMED</v>
          </cell>
          <cell r="L655" t="str">
            <v>Normal</v>
          </cell>
          <cell r="M655" t="str">
            <v>Japan</v>
          </cell>
          <cell r="N655" t="str">
            <v>Animec</v>
          </cell>
          <cell r="O655" t="str">
            <v>Animec AM-301</v>
          </cell>
          <cell r="P655" t="str">
            <v>2013D0257</v>
          </cell>
          <cell r="Q655" t="str">
            <v>Not Applicable</v>
          </cell>
          <cell r="R655" t="str">
            <v>Elltec Co Ltd</v>
          </cell>
          <cell r="S655" t="str">
            <v>IDS Services (Malaysia) Sdn Bhd</v>
          </cell>
          <cell r="T655" t="str">
            <v>Functioning</v>
          </cell>
          <cell r="U655" t="str">
            <v>Asset</v>
          </cell>
          <cell r="V655">
            <v>4990</v>
          </cell>
          <cell r="W655" t="str">
            <v>KEW</v>
          </cell>
          <cell r="X655" t="str">
            <v>01/09/2010</v>
          </cell>
          <cell r="Y655" t="str">
            <v>KEW</v>
          </cell>
          <cell r="Z655" t="str">
            <v>16/08/2013</v>
          </cell>
          <cell r="AA655" t="str">
            <v>15/08/2015</v>
          </cell>
          <cell r="AB655" t="str">
            <v>No</v>
          </cell>
          <cell r="AC655" t="str">
            <v>31/08/2013</v>
          </cell>
          <cell r="AD655" t="str">
            <v>Good</v>
          </cell>
          <cell r="AE655" t="str">
            <v>V1 - Existing / No Claim</v>
          </cell>
          <cell r="AF655">
            <v>42235</v>
          </cell>
          <cell r="AG655">
            <v>9.17</v>
          </cell>
          <cell r="AH655" t="str">
            <v>PPM</v>
          </cell>
          <cell r="AI655" t="str">
            <v>Strands</v>
          </cell>
          <cell r="AJ655" t="str">
            <v>Strands PW</v>
          </cell>
        </row>
        <row r="656">
          <cell r="A656" t="str">
            <v>IKN400176</v>
          </cell>
          <cell r="B656">
            <v>176</v>
          </cell>
          <cell r="C656" t="str">
            <v>Institut Kanser Negara</v>
          </cell>
          <cell r="D656" t="str">
            <v>KKM/IKN/H/13/1029</v>
          </cell>
          <cell r="E656" t="str">
            <v>10-447</v>
          </cell>
          <cell r="F656" t="str">
            <v>Warming Units, Blood/Solution</v>
          </cell>
          <cell r="G656" t="str">
            <v>IC</v>
          </cell>
          <cell r="H656" t="str">
            <v>INTENSIVE CARE UNIT</v>
          </cell>
          <cell r="I656" t="str">
            <v>05IC106</v>
          </cell>
          <cell r="J656" t="str">
            <v>EQ. ROOM</v>
          </cell>
          <cell r="K656" t="str">
            <v>BMED</v>
          </cell>
          <cell r="L656" t="str">
            <v>Normal</v>
          </cell>
          <cell r="M656" t="str">
            <v>Japan</v>
          </cell>
          <cell r="N656" t="str">
            <v>Animec</v>
          </cell>
          <cell r="O656" t="str">
            <v>Animec AM-301</v>
          </cell>
          <cell r="P656" t="str">
            <v>2013D0255</v>
          </cell>
          <cell r="Q656" t="str">
            <v>Not Applicable</v>
          </cell>
          <cell r="R656" t="str">
            <v>Elltec Co Ltd</v>
          </cell>
          <cell r="S656" t="str">
            <v>IDS Services (Malaysia) Sdn Bhd</v>
          </cell>
          <cell r="T656" t="str">
            <v>Functioning</v>
          </cell>
          <cell r="U656" t="str">
            <v>Asset</v>
          </cell>
          <cell r="V656">
            <v>4990</v>
          </cell>
          <cell r="W656" t="str">
            <v>KEW</v>
          </cell>
          <cell r="X656" t="str">
            <v>01/09/2010</v>
          </cell>
          <cell r="Y656" t="str">
            <v>KEW</v>
          </cell>
          <cell r="Z656" t="str">
            <v>16/08/2013</v>
          </cell>
          <cell r="AA656" t="str">
            <v>15/08/2015</v>
          </cell>
          <cell r="AB656" t="str">
            <v>No</v>
          </cell>
          <cell r="AC656" t="str">
            <v>31/08/2013</v>
          </cell>
          <cell r="AD656" t="str">
            <v>Good</v>
          </cell>
          <cell r="AE656" t="str">
            <v>V1 - Existing / No Claim</v>
          </cell>
          <cell r="AF656">
            <v>42235</v>
          </cell>
          <cell r="AG656">
            <v>9.17</v>
          </cell>
          <cell r="AH656" t="str">
            <v>PPM</v>
          </cell>
          <cell r="AI656" t="str">
            <v>Strands</v>
          </cell>
          <cell r="AJ656" t="str">
            <v>Strands PW</v>
          </cell>
        </row>
        <row r="657">
          <cell r="A657" t="str">
            <v>IKN400177</v>
          </cell>
          <cell r="B657">
            <v>177</v>
          </cell>
          <cell r="C657" t="str">
            <v>Institut Kanser Negara</v>
          </cell>
          <cell r="D657" t="str">
            <v>KKM/IKN/H/13/1030</v>
          </cell>
          <cell r="E657" t="str">
            <v>10-447</v>
          </cell>
          <cell r="F657" t="str">
            <v>Warming Units, Blood/Solution</v>
          </cell>
          <cell r="G657" t="str">
            <v>IC</v>
          </cell>
          <cell r="H657" t="str">
            <v>INTENSIVE CARE UNIT</v>
          </cell>
          <cell r="I657" t="str">
            <v>05IC106</v>
          </cell>
          <cell r="J657" t="str">
            <v>EQ. ROOM</v>
          </cell>
          <cell r="K657" t="str">
            <v>BMED</v>
          </cell>
          <cell r="L657" t="str">
            <v>Normal</v>
          </cell>
          <cell r="M657" t="str">
            <v>Japan</v>
          </cell>
          <cell r="N657" t="str">
            <v>Animec</v>
          </cell>
          <cell r="O657" t="str">
            <v>Animec AM-301</v>
          </cell>
          <cell r="P657" t="str">
            <v>2013D0256</v>
          </cell>
          <cell r="Q657" t="str">
            <v>Not Applicable</v>
          </cell>
          <cell r="R657" t="str">
            <v>Elltec Co Ltd</v>
          </cell>
          <cell r="S657" t="str">
            <v>IDS Services (Malaysia) Sdn Bhd</v>
          </cell>
          <cell r="T657" t="str">
            <v>Functioning</v>
          </cell>
          <cell r="U657" t="str">
            <v>Asset</v>
          </cell>
          <cell r="V657">
            <v>4990</v>
          </cell>
          <cell r="W657" t="str">
            <v>KEW</v>
          </cell>
          <cell r="X657" t="str">
            <v>01/09/2010</v>
          </cell>
          <cell r="Y657" t="str">
            <v>KEW</v>
          </cell>
          <cell r="Z657" t="str">
            <v>16/08/2013</v>
          </cell>
          <cell r="AA657" t="str">
            <v>15/08/2015</v>
          </cell>
          <cell r="AB657" t="str">
            <v>No</v>
          </cell>
          <cell r="AC657" t="str">
            <v>31/08/2013</v>
          </cell>
          <cell r="AD657" t="str">
            <v>Good</v>
          </cell>
          <cell r="AE657" t="str">
            <v>V1 - Existing / No Claim</v>
          </cell>
          <cell r="AF657">
            <v>42235</v>
          </cell>
          <cell r="AG657">
            <v>9.17</v>
          </cell>
          <cell r="AH657" t="str">
            <v>PPM</v>
          </cell>
          <cell r="AI657" t="str">
            <v>Strands</v>
          </cell>
          <cell r="AJ657" t="str">
            <v>Strands PW</v>
          </cell>
        </row>
        <row r="658">
          <cell r="A658" t="str">
            <v>IKN400178</v>
          </cell>
          <cell r="B658">
            <v>178</v>
          </cell>
          <cell r="C658" t="str">
            <v>Institut Kanser Negara</v>
          </cell>
          <cell r="D658" t="str">
            <v>KKM/IKN/H/13/1031</v>
          </cell>
          <cell r="E658" t="str">
            <v>17-950</v>
          </cell>
          <cell r="F658" t="str">
            <v>Warming Units, Patient, Forced-Air</v>
          </cell>
          <cell r="G658" t="str">
            <v>IC</v>
          </cell>
          <cell r="H658" t="str">
            <v>INTENSIVE CARE UNIT</v>
          </cell>
          <cell r="I658" t="str">
            <v>05IC111</v>
          </cell>
          <cell r="J658" t="str">
            <v>ISOL 1(-VE)</v>
          </cell>
          <cell r="K658" t="str">
            <v>BMED</v>
          </cell>
          <cell r="L658" t="str">
            <v>Normal</v>
          </cell>
          <cell r="M658" t="str">
            <v>USA</v>
          </cell>
          <cell r="N658" t="str">
            <v>Bair Hugger</v>
          </cell>
          <cell r="O658" t="str">
            <v>Bair Hugger 775</v>
          </cell>
          <cell r="P658" t="str">
            <v>35944</v>
          </cell>
          <cell r="Q658" t="str">
            <v>Not Applicable</v>
          </cell>
          <cell r="R658" t="str">
            <v>Arizant Healthcare Inc</v>
          </cell>
          <cell r="S658" t="str">
            <v>Calmed Healthcare Sdn Bhd</v>
          </cell>
          <cell r="T658" t="str">
            <v>Functioning</v>
          </cell>
          <cell r="U658" t="str">
            <v>Asset</v>
          </cell>
          <cell r="V658">
            <v>15515</v>
          </cell>
          <cell r="W658" t="str">
            <v>KEW</v>
          </cell>
          <cell r="X658" t="str">
            <v>01/09/2010</v>
          </cell>
          <cell r="Y658" t="str">
            <v>KEW</v>
          </cell>
          <cell r="Z658" t="str">
            <v>16/08/2013</v>
          </cell>
          <cell r="AA658" t="str">
            <v>15/08/2015</v>
          </cell>
          <cell r="AB658" t="str">
            <v>No</v>
          </cell>
          <cell r="AC658" t="str">
            <v>31/08/2013</v>
          </cell>
          <cell r="AD658" t="str">
            <v>Good</v>
          </cell>
          <cell r="AE658" t="str">
            <v>V1 - Existing / No Claim</v>
          </cell>
          <cell r="AF658">
            <v>42235</v>
          </cell>
          <cell r="AG658">
            <v>9.17</v>
          </cell>
          <cell r="AH658" t="str">
            <v>PPM</v>
          </cell>
          <cell r="AI658" t="str">
            <v>Strands</v>
          </cell>
          <cell r="AJ658" t="str">
            <v>Strands PW</v>
          </cell>
        </row>
        <row r="659">
          <cell r="A659" t="str">
            <v>IKN400179</v>
          </cell>
          <cell r="B659">
            <v>179</v>
          </cell>
          <cell r="C659" t="str">
            <v>Institut Kanser Negara</v>
          </cell>
          <cell r="D659" t="str">
            <v>KKM/IKN/H/13/1032</v>
          </cell>
          <cell r="E659" t="str">
            <v>17-950</v>
          </cell>
          <cell r="F659" t="str">
            <v>Warming Units, Patient, Forced-Air</v>
          </cell>
          <cell r="G659" t="str">
            <v>IC</v>
          </cell>
          <cell r="H659" t="str">
            <v>INTENSIVE CARE UNIT</v>
          </cell>
          <cell r="I659" t="str">
            <v>05IC112</v>
          </cell>
          <cell r="J659" t="str">
            <v>ICU RM 1</v>
          </cell>
          <cell r="K659" t="str">
            <v>BMED</v>
          </cell>
          <cell r="L659" t="str">
            <v>Normal</v>
          </cell>
          <cell r="M659" t="str">
            <v>USA</v>
          </cell>
          <cell r="N659" t="str">
            <v>Bair Hugger</v>
          </cell>
          <cell r="O659" t="str">
            <v>Bair Hugger 775</v>
          </cell>
          <cell r="P659" t="str">
            <v>35945</v>
          </cell>
          <cell r="Q659" t="str">
            <v>Not Applicable</v>
          </cell>
          <cell r="R659" t="str">
            <v>Arizant Healthcare Inc</v>
          </cell>
          <cell r="S659" t="str">
            <v>Calmed Healthcare Sdn Bhd</v>
          </cell>
          <cell r="T659" t="str">
            <v>Functioning</v>
          </cell>
          <cell r="U659" t="str">
            <v>Asset</v>
          </cell>
          <cell r="V659">
            <v>15515</v>
          </cell>
          <cell r="W659" t="str">
            <v>KEW</v>
          </cell>
          <cell r="X659" t="str">
            <v>01/09/2010</v>
          </cell>
          <cell r="Y659" t="str">
            <v>KEW</v>
          </cell>
          <cell r="Z659" t="str">
            <v>16/08/2013</v>
          </cell>
          <cell r="AA659" t="str">
            <v>15/08/2015</v>
          </cell>
          <cell r="AB659" t="str">
            <v>No</v>
          </cell>
          <cell r="AC659" t="str">
            <v>31/08/2013</v>
          </cell>
          <cell r="AD659" t="str">
            <v>Good</v>
          </cell>
          <cell r="AE659" t="str">
            <v>V1 - Existing / No Claim</v>
          </cell>
          <cell r="AF659">
            <v>42235</v>
          </cell>
          <cell r="AG659">
            <v>9.17</v>
          </cell>
          <cell r="AH659" t="str">
            <v>PPM</v>
          </cell>
          <cell r="AI659" t="str">
            <v>Strands</v>
          </cell>
          <cell r="AJ659" t="str">
            <v>Strands PW</v>
          </cell>
        </row>
        <row r="660">
          <cell r="A660" t="str">
            <v>IKN400180</v>
          </cell>
          <cell r="B660">
            <v>180</v>
          </cell>
          <cell r="C660" t="str">
            <v>Institut Kanser Negara</v>
          </cell>
          <cell r="D660" t="str">
            <v>KKM/IKN/H/13/1038</v>
          </cell>
          <cell r="E660" t="str">
            <v>17-950</v>
          </cell>
          <cell r="F660" t="str">
            <v>Warming Units, Patient, Forced-Air</v>
          </cell>
          <cell r="G660" t="str">
            <v>IC</v>
          </cell>
          <cell r="H660" t="str">
            <v>INTENSIVE CARE UNIT</v>
          </cell>
          <cell r="I660" t="str">
            <v>05IC113</v>
          </cell>
          <cell r="J660" t="str">
            <v>ICU RM 2</v>
          </cell>
          <cell r="K660" t="str">
            <v>BMED</v>
          </cell>
          <cell r="L660" t="str">
            <v>Normal</v>
          </cell>
          <cell r="M660" t="str">
            <v>USA</v>
          </cell>
          <cell r="N660" t="str">
            <v>Bair Hugger</v>
          </cell>
          <cell r="O660" t="str">
            <v>Bair Hugger 775</v>
          </cell>
          <cell r="P660" t="str">
            <v>35946</v>
          </cell>
          <cell r="Q660" t="str">
            <v>Not Applicable</v>
          </cell>
          <cell r="R660" t="str">
            <v>Arizant Healthcare Inc</v>
          </cell>
          <cell r="S660" t="str">
            <v>Calmed Healthcare Sdn Bhd</v>
          </cell>
          <cell r="T660" t="str">
            <v>Functioning</v>
          </cell>
          <cell r="U660" t="str">
            <v>Asset</v>
          </cell>
          <cell r="V660">
            <v>15515</v>
          </cell>
          <cell r="W660" t="str">
            <v>KEW</v>
          </cell>
          <cell r="X660" t="str">
            <v>01/09/2010</v>
          </cell>
          <cell r="Y660" t="str">
            <v>KEW</v>
          </cell>
          <cell r="Z660" t="str">
            <v>16/08/2013</v>
          </cell>
          <cell r="AA660" t="str">
            <v>15/08/2015</v>
          </cell>
          <cell r="AB660" t="str">
            <v>No</v>
          </cell>
          <cell r="AC660" t="str">
            <v>31/08/2013</v>
          </cell>
          <cell r="AD660" t="str">
            <v>Good</v>
          </cell>
          <cell r="AE660" t="str">
            <v>V1 - Existing / No Claim</v>
          </cell>
          <cell r="AF660">
            <v>42235</v>
          </cell>
          <cell r="AG660">
            <v>9.17</v>
          </cell>
          <cell r="AH660" t="str">
            <v>PPM</v>
          </cell>
          <cell r="AI660" t="str">
            <v>Strands</v>
          </cell>
          <cell r="AJ660" t="str">
            <v>Strands PW</v>
          </cell>
        </row>
        <row r="661">
          <cell r="A661" t="str">
            <v>IKN400181</v>
          </cell>
          <cell r="B661">
            <v>181</v>
          </cell>
          <cell r="C661" t="str">
            <v>Institut Kanser Negara</v>
          </cell>
          <cell r="D661" t="str">
            <v>KKM/IKN/H/13/1033</v>
          </cell>
          <cell r="E661" t="str">
            <v>17-950</v>
          </cell>
          <cell r="F661" t="str">
            <v>Warming Units, Patient, Forced-Air</v>
          </cell>
          <cell r="G661" t="str">
            <v>IC</v>
          </cell>
          <cell r="H661" t="str">
            <v>INTENSIVE CARE UNIT</v>
          </cell>
          <cell r="I661" t="str">
            <v>05IC114</v>
          </cell>
          <cell r="J661" t="str">
            <v>ICU RM 3</v>
          </cell>
          <cell r="K661" t="str">
            <v>BMED</v>
          </cell>
          <cell r="L661" t="str">
            <v>Normal</v>
          </cell>
          <cell r="M661" t="str">
            <v>USA</v>
          </cell>
          <cell r="N661" t="str">
            <v>Bair Hugger</v>
          </cell>
          <cell r="O661" t="str">
            <v>Bair Hugger 775</v>
          </cell>
          <cell r="P661" t="str">
            <v>35947</v>
          </cell>
          <cell r="Q661" t="str">
            <v>Not Applicable</v>
          </cell>
          <cell r="R661" t="str">
            <v>Arizant Healthcare Inc</v>
          </cell>
          <cell r="S661" t="str">
            <v>Calmed Healthcare Sdn Bhd</v>
          </cell>
          <cell r="T661" t="str">
            <v>Functioning</v>
          </cell>
          <cell r="U661" t="str">
            <v>Asset</v>
          </cell>
          <cell r="V661">
            <v>15515</v>
          </cell>
          <cell r="W661" t="str">
            <v>KEW</v>
          </cell>
          <cell r="X661" t="str">
            <v>01/09/2010</v>
          </cell>
          <cell r="Y661" t="str">
            <v>KEW</v>
          </cell>
          <cell r="Z661" t="str">
            <v>16/08/2013</v>
          </cell>
          <cell r="AA661" t="str">
            <v>15/08/2015</v>
          </cell>
          <cell r="AB661" t="str">
            <v>No</v>
          </cell>
          <cell r="AC661" t="str">
            <v>31/08/2013</v>
          </cell>
          <cell r="AD661" t="str">
            <v>Good</v>
          </cell>
          <cell r="AE661" t="str">
            <v>V1 - Existing / No Claim</v>
          </cell>
          <cell r="AF661">
            <v>42797</v>
          </cell>
          <cell r="AG661">
            <v>9.17</v>
          </cell>
          <cell r="AH661" t="str">
            <v>PPM</v>
          </cell>
          <cell r="AI661" t="str">
            <v>Strands</v>
          </cell>
          <cell r="AJ661" t="str">
            <v>Strands PW</v>
          </cell>
        </row>
        <row r="662">
          <cell r="A662" t="str">
            <v>IKN400182</v>
          </cell>
          <cell r="B662">
            <v>182</v>
          </cell>
          <cell r="C662" t="str">
            <v>Institut Kanser Negara</v>
          </cell>
          <cell r="D662" t="str">
            <v>KKM/IKN/H/13/1034</v>
          </cell>
          <cell r="E662" t="str">
            <v>17-950</v>
          </cell>
          <cell r="F662" t="str">
            <v>Warming Units, Patient, Forced-Air</v>
          </cell>
          <cell r="G662" t="str">
            <v>IC</v>
          </cell>
          <cell r="H662" t="str">
            <v>INTENSIVE CARE UNIT</v>
          </cell>
          <cell r="I662" t="str">
            <v>05IC115</v>
          </cell>
          <cell r="J662" t="str">
            <v>ICU RM 4</v>
          </cell>
          <cell r="K662" t="str">
            <v>BMED</v>
          </cell>
          <cell r="L662" t="str">
            <v>Normal</v>
          </cell>
          <cell r="M662" t="str">
            <v>USA</v>
          </cell>
          <cell r="N662" t="str">
            <v>Bair Hugger</v>
          </cell>
          <cell r="O662" t="str">
            <v>Bair Hugger 775</v>
          </cell>
          <cell r="P662" t="str">
            <v>35948</v>
          </cell>
          <cell r="Q662" t="str">
            <v>Not Applicable</v>
          </cell>
          <cell r="R662" t="str">
            <v>Arizant Healthcare Inc</v>
          </cell>
          <cell r="S662" t="str">
            <v>Calmed Healthcare Sdn Bhd</v>
          </cell>
          <cell r="T662" t="str">
            <v>Functioning</v>
          </cell>
          <cell r="U662" t="str">
            <v>Asset</v>
          </cell>
          <cell r="V662">
            <v>15515</v>
          </cell>
          <cell r="W662" t="str">
            <v>KEW</v>
          </cell>
          <cell r="X662" t="str">
            <v>01/09/2010</v>
          </cell>
          <cell r="Y662" t="str">
            <v>KEW</v>
          </cell>
          <cell r="Z662" t="str">
            <v>16/08/2013</v>
          </cell>
          <cell r="AA662" t="str">
            <v>15/08/2015</v>
          </cell>
          <cell r="AB662" t="str">
            <v>No</v>
          </cell>
          <cell r="AC662" t="str">
            <v>31/08/2013</v>
          </cell>
          <cell r="AD662" t="str">
            <v>Good</v>
          </cell>
          <cell r="AE662" t="str">
            <v>V1 - Existing / No Claim</v>
          </cell>
          <cell r="AF662">
            <v>42235</v>
          </cell>
          <cell r="AG662">
            <v>9.17</v>
          </cell>
          <cell r="AH662" t="str">
            <v>PPM</v>
          </cell>
          <cell r="AI662" t="str">
            <v>Strands</v>
          </cell>
          <cell r="AJ662" t="str">
            <v>Strands PW</v>
          </cell>
        </row>
        <row r="663">
          <cell r="A663" t="str">
            <v>IKN400183</v>
          </cell>
          <cell r="B663">
            <v>183</v>
          </cell>
          <cell r="C663" t="str">
            <v>Institut Kanser Negara</v>
          </cell>
          <cell r="D663" t="str">
            <v>KKM/IKN/H/13/1035</v>
          </cell>
          <cell r="E663" t="str">
            <v>17-950</v>
          </cell>
          <cell r="F663" t="str">
            <v>Warming Units, Patient, Forced-Air</v>
          </cell>
          <cell r="G663" t="str">
            <v>IC</v>
          </cell>
          <cell r="H663" t="str">
            <v>INTENSIVE CARE UNIT</v>
          </cell>
          <cell r="I663" t="str">
            <v>05IC116</v>
          </cell>
          <cell r="J663" t="str">
            <v>ISOL 2 (+VE)</v>
          </cell>
          <cell r="K663" t="str">
            <v>BMED</v>
          </cell>
          <cell r="L663" t="str">
            <v>Normal</v>
          </cell>
          <cell r="M663" t="str">
            <v>USA</v>
          </cell>
          <cell r="N663" t="str">
            <v>Bair Hugger</v>
          </cell>
          <cell r="O663" t="str">
            <v>Bair Hugger 775</v>
          </cell>
          <cell r="P663" t="str">
            <v>35932</v>
          </cell>
          <cell r="Q663" t="str">
            <v>Not Applicable</v>
          </cell>
          <cell r="R663" t="str">
            <v>Arizant Healthcare Inc</v>
          </cell>
          <cell r="S663" t="str">
            <v>Calmed Healthcare Sdn Bhd</v>
          </cell>
          <cell r="T663" t="str">
            <v>Functioning</v>
          </cell>
          <cell r="U663" t="str">
            <v>Asset</v>
          </cell>
          <cell r="V663">
            <v>15515</v>
          </cell>
          <cell r="W663" t="str">
            <v>KEW</v>
          </cell>
          <cell r="X663" t="str">
            <v>01/09/2010</v>
          </cell>
          <cell r="Y663" t="str">
            <v>KEW</v>
          </cell>
          <cell r="Z663" t="str">
            <v>16/08/2013</v>
          </cell>
          <cell r="AA663" t="str">
            <v>15/08/2015</v>
          </cell>
          <cell r="AB663" t="str">
            <v>No</v>
          </cell>
          <cell r="AC663" t="str">
            <v>31/08/2013</v>
          </cell>
          <cell r="AD663" t="str">
            <v>Good</v>
          </cell>
          <cell r="AE663" t="str">
            <v>V1 - Existing / No Claim</v>
          </cell>
          <cell r="AF663">
            <v>42797</v>
          </cell>
          <cell r="AG663">
            <v>9.17</v>
          </cell>
          <cell r="AH663" t="str">
            <v>PPM</v>
          </cell>
          <cell r="AI663" t="str">
            <v>Strands</v>
          </cell>
          <cell r="AJ663" t="str">
            <v>Strands PW</v>
          </cell>
        </row>
        <row r="664">
          <cell r="A664" t="str">
            <v>IKN400184</v>
          </cell>
          <cell r="B664">
            <v>184</v>
          </cell>
          <cell r="C664" t="str">
            <v>Institut Kanser Negara</v>
          </cell>
          <cell r="D664" t="str">
            <v>KKM/IKN/H/13/1036</v>
          </cell>
          <cell r="E664" t="str">
            <v>17-950</v>
          </cell>
          <cell r="F664" t="str">
            <v>Warming Units, Patient, Forced-Air</v>
          </cell>
          <cell r="G664" t="str">
            <v>IC</v>
          </cell>
          <cell r="H664" t="str">
            <v>INTENSIVE CARE UNIT</v>
          </cell>
          <cell r="I664" t="str">
            <v>05IC129</v>
          </cell>
          <cell r="J664" t="str">
            <v>ISOL 4 (+VE)</v>
          </cell>
          <cell r="K664" t="str">
            <v>BMED</v>
          </cell>
          <cell r="L664" t="str">
            <v>Normal</v>
          </cell>
          <cell r="M664" t="str">
            <v>USA</v>
          </cell>
          <cell r="N664" t="str">
            <v>Bair Hugger</v>
          </cell>
          <cell r="O664" t="str">
            <v>Bair Hugger 775</v>
          </cell>
          <cell r="P664" t="str">
            <v>35931</v>
          </cell>
          <cell r="Q664" t="str">
            <v>Not Applicable</v>
          </cell>
          <cell r="R664" t="str">
            <v>Arizant Healthcare Inc</v>
          </cell>
          <cell r="S664" t="str">
            <v>Calmed Healthcare Sdn Bhd</v>
          </cell>
          <cell r="T664" t="str">
            <v>Functioning</v>
          </cell>
          <cell r="U664" t="str">
            <v>Asset</v>
          </cell>
          <cell r="V664">
            <v>15515</v>
          </cell>
          <cell r="W664" t="str">
            <v>KEW</v>
          </cell>
          <cell r="X664" t="str">
            <v>01/09/2010</v>
          </cell>
          <cell r="Y664" t="str">
            <v>KEW</v>
          </cell>
          <cell r="Z664" t="str">
            <v>16/08/2013</v>
          </cell>
          <cell r="AA664" t="str">
            <v>15/08/2015</v>
          </cell>
          <cell r="AB664" t="str">
            <v>No</v>
          </cell>
          <cell r="AC664" t="str">
            <v>31/08/2013</v>
          </cell>
          <cell r="AD664" t="str">
            <v>Good</v>
          </cell>
          <cell r="AE664" t="str">
            <v>V1 - Existing / No Claim</v>
          </cell>
          <cell r="AF664">
            <v>42235</v>
          </cell>
          <cell r="AG664">
            <v>9.17</v>
          </cell>
          <cell r="AH664" t="str">
            <v>PPM</v>
          </cell>
          <cell r="AI664" t="str">
            <v>Strands</v>
          </cell>
          <cell r="AJ664" t="str">
            <v>Strands PW</v>
          </cell>
        </row>
        <row r="665">
          <cell r="A665" t="str">
            <v>IKN400185</v>
          </cell>
          <cell r="B665">
            <v>185</v>
          </cell>
          <cell r="C665" t="str">
            <v>Institut Kanser Negara</v>
          </cell>
          <cell r="D665" t="str">
            <v>KKM/IKN/H/13/1037</v>
          </cell>
          <cell r="E665" t="str">
            <v>17-950</v>
          </cell>
          <cell r="F665" t="str">
            <v>Warming Units, Patient, Forced-Air</v>
          </cell>
          <cell r="G665" t="str">
            <v>IC</v>
          </cell>
          <cell r="H665" t="str">
            <v>INTENSIVE CARE UNIT</v>
          </cell>
          <cell r="I665" t="str">
            <v>05IC131</v>
          </cell>
          <cell r="J665" t="str">
            <v>ISOL 3 (+VE)</v>
          </cell>
          <cell r="K665" t="str">
            <v>BMED</v>
          </cell>
          <cell r="L665" t="str">
            <v>Normal</v>
          </cell>
          <cell r="M665" t="str">
            <v>USA</v>
          </cell>
          <cell r="N665" t="str">
            <v>Bair Hugger</v>
          </cell>
          <cell r="O665" t="str">
            <v>Bair Hugger 775</v>
          </cell>
          <cell r="P665" t="str">
            <v>35950</v>
          </cell>
          <cell r="Q665" t="str">
            <v>Not Applicable</v>
          </cell>
          <cell r="R665" t="str">
            <v>Arizant Healthcare Inc</v>
          </cell>
          <cell r="S665" t="str">
            <v>Calmed Healthcare Sdn Bhd</v>
          </cell>
          <cell r="T665" t="str">
            <v>Functioning</v>
          </cell>
          <cell r="U665" t="str">
            <v>Asset</v>
          </cell>
          <cell r="V665">
            <v>15515</v>
          </cell>
          <cell r="W665" t="str">
            <v>KEW</v>
          </cell>
          <cell r="X665" t="str">
            <v>01/09/2010</v>
          </cell>
          <cell r="Y665" t="str">
            <v>KEW</v>
          </cell>
          <cell r="Z665" t="str">
            <v>16/08/2013</v>
          </cell>
          <cell r="AA665" t="str">
            <v>15/08/2015</v>
          </cell>
          <cell r="AB665" t="str">
            <v>No</v>
          </cell>
          <cell r="AC665" t="str">
            <v>31/08/2013</v>
          </cell>
          <cell r="AD665" t="str">
            <v>Good</v>
          </cell>
          <cell r="AE665" t="str">
            <v>V1 - Existing / No Claim</v>
          </cell>
          <cell r="AF665">
            <v>42235</v>
          </cell>
          <cell r="AG665">
            <v>9.17</v>
          </cell>
          <cell r="AH665" t="str">
            <v>PPM</v>
          </cell>
          <cell r="AI665" t="str">
            <v>Strands</v>
          </cell>
          <cell r="AJ665" t="str">
            <v>Strands PW</v>
          </cell>
        </row>
        <row r="666">
          <cell r="A666" t="str">
            <v>IKN400186</v>
          </cell>
          <cell r="B666">
            <v>186</v>
          </cell>
          <cell r="C666" t="str">
            <v>Institut Kanser Negara</v>
          </cell>
          <cell r="D666" t="str">
            <v>KKM/IKN/H/13/857</v>
          </cell>
          <cell r="E666" t="str">
            <v>10-849</v>
          </cell>
          <cell r="F666" t="str">
            <v>Circulatory Assist Units, Venous Return</v>
          </cell>
          <cell r="G666" t="str">
            <v>IC</v>
          </cell>
          <cell r="H666" t="str">
            <v>INTENSIVE CARE UNIT</v>
          </cell>
          <cell r="I666" t="str">
            <v>05IC112</v>
          </cell>
          <cell r="J666" t="str">
            <v>ICU RM 1</v>
          </cell>
          <cell r="K666" t="str">
            <v>BMED</v>
          </cell>
          <cell r="L666" t="str">
            <v>Critical</v>
          </cell>
          <cell r="M666" t="str">
            <v>Taiwan</v>
          </cell>
          <cell r="N666" t="str">
            <v>Vena Press</v>
          </cell>
          <cell r="O666" t="str">
            <v>Vena Press IPC</v>
          </cell>
          <cell r="P666" t="str">
            <v>C820017576</v>
          </cell>
          <cell r="Q666" t="str">
            <v>Not Applicable</v>
          </cell>
          <cell r="R666" t="str">
            <v>Prius Healthcare Solution</v>
          </cell>
          <cell r="S666" t="str">
            <v>Medika Supplies</v>
          </cell>
          <cell r="T666" t="str">
            <v>Functioning</v>
          </cell>
          <cell r="U666" t="str">
            <v>Asset</v>
          </cell>
          <cell r="V666">
            <v>13470</v>
          </cell>
          <cell r="W666" t="str">
            <v>KEW</v>
          </cell>
          <cell r="X666" t="str">
            <v>01/09/2010</v>
          </cell>
          <cell r="Y666" t="str">
            <v>KEW</v>
          </cell>
          <cell r="Z666" t="str">
            <v>16/08/2013</v>
          </cell>
          <cell r="AA666" t="str">
            <v>15/08/2015</v>
          </cell>
          <cell r="AB666" t="str">
            <v>No</v>
          </cell>
          <cell r="AC666" t="str">
            <v>31/08/2013</v>
          </cell>
          <cell r="AD666" t="str">
            <v>Good</v>
          </cell>
          <cell r="AE666" t="str">
            <v>V1 - Existing / No Claim</v>
          </cell>
          <cell r="AF666">
            <v>42796</v>
          </cell>
          <cell r="AG666">
            <v>9.17</v>
          </cell>
          <cell r="AH666" t="str">
            <v>PPM</v>
          </cell>
          <cell r="AI666" t="str">
            <v>Strands</v>
          </cell>
          <cell r="AJ666" t="str">
            <v>Strands PW</v>
          </cell>
        </row>
        <row r="667">
          <cell r="A667" t="str">
            <v>IKN400187</v>
          </cell>
          <cell r="B667">
            <v>187</v>
          </cell>
          <cell r="C667" t="str">
            <v>Institut Kanser Negara</v>
          </cell>
          <cell r="D667" t="str">
            <v>KKM/IKN/H/13/1025</v>
          </cell>
          <cell r="E667" t="str">
            <v>16-173</v>
          </cell>
          <cell r="F667" t="str">
            <v>Sphygmomanometers, Electronic, Automatic</v>
          </cell>
          <cell r="G667" t="str">
            <v>IC</v>
          </cell>
          <cell r="H667" t="str">
            <v>INTENSIVE CARE UNIT</v>
          </cell>
          <cell r="I667" t="str">
            <v>05IC140</v>
          </cell>
          <cell r="J667" t="str">
            <v>NURSE STATION 1</v>
          </cell>
          <cell r="K667" t="str">
            <v>BMED</v>
          </cell>
          <cell r="L667" t="str">
            <v>Normal</v>
          </cell>
          <cell r="M667" t="str">
            <v>USA</v>
          </cell>
          <cell r="N667" t="str">
            <v>Connex</v>
          </cell>
          <cell r="O667" t="str">
            <v>Connex ProBP 3400</v>
          </cell>
          <cell r="P667" t="str">
            <v>100001740613</v>
          </cell>
          <cell r="Q667" t="str">
            <v>Not Applicable</v>
          </cell>
          <cell r="R667" t="str">
            <v>Welch Allyn Inc</v>
          </cell>
          <cell r="S667" t="str">
            <v>Welch Allyn Malaysia Sdn Bhd</v>
          </cell>
          <cell r="T667" t="str">
            <v>Functioning</v>
          </cell>
          <cell r="U667" t="str">
            <v>Asset</v>
          </cell>
          <cell r="V667">
            <v>4510</v>
          </cell>
          <cell r="W667" t="str">
            <v>KEW</v>
          </cell>
          <cell r="X667" t="str">
            <v>01/09/2010</v>
          </cell>
          <cell r="Y667" t="str">
            <v>KEW</v>
          </cell>
          <cell r="Z667" t="str">
            <v>16/08/2013</v>
          </cell>
          <cell r="AA667" t="str">
            <v>15/08/2015</v>
          </cell>
          <cell r="AB667" t="str">
            <v>No</v>
          </cell>
          <cell r="AC667" t="str">
            <v>31/08/2013</v>
          </cell>
          <cell r="AD667" t="str">
            <v>Good</v>
          </cell>
          <cell r="AE667" t="str">
            <v>V1 - Existing / No Claim</v>
          </cell>
          <cell r="AF667">
            <v>42235</v>
          </cell>
          <cell r="AG667">
            <v>9.17</v>
          </cell>
          <cell r="AH667" t="str">
            <v>PPM</v>
          </cell>
          <cell r="AI667" t="str">
            <v>Strands</v>
          </cell>
          <cell r="AJ667" t="str">
            <v>Strands PW</v>
          </cell>
        </row>
        <row r="668">
          <cell r="A668" t="str">
            <v>IKN400188</v>
          </cell>
          <cell r="B668">
            <v>188</v>
          </cell>
          <cell r="C668" t="str">
            <v>Institut Kanser Negara</v>
          </cell>
          <cell r="D668" t="str">
            <v>KKM/IKN/H/13/4662</v>
          </cell>
          <cell r="E668" t="str">
            <v>15-156</v>
          </cell>
          <cell r="F668" t="str">
            <v>Microscopes, Light, Laboratory</v>
          </cell>
          <cell r="G668" t="str">
            <v>LA</v>
          </cell>
          <cell r="H668" t="str">
            <v>PATHOLOGY</v>
          </cell>
          <cell r="I668" t="str">
            <v>04LA130</v>
          </cell>
          <cell r="J668" t="str">
            <v>SEROLOGY</v>
          </cell>
          <cell r="K668" t="str">
            <v>BMED</v>
          </cell>
          <cell r="L668" t="str">
            <v>Normal</v>
          </cell>
          <cell r="M668" t="str">
            <v>Japan</v>
          </cell>
          <cell r="N668" t="str">
            <v>Olympus</v>
          </cell>
          <cell r="O668" t="str">
            <v>Olympus BX 53</v>
          </cell>
          <cell r="P668" t="str">
            <v>2hH23588</v>
          </cell>
          <cell r="Q668" t="str">
            <v>Not Applicable</v>
          </cell>
          <cell r="R668" t="str">
            <v>Olympus Corp</v>
          </cell>
          <cell r="S668" t="str">
            <v>Matrix Optics (M) Sdn Bhd</v>
          </cell>
          <cell r="T668" t="str">
            <v>Functioning</v>
          </cell>
          <cell r="U668" t="str">
            <v>Asset</v>
          </cell>
          <cell r="V668">
            <v>125500</v>
          </cell>
          <cell r="W668" t="str">
            <v>KEW</v>
          </cell>
          <cell r="X668" t="str">
            <v>01/09/2010</v>
          </cell>
          <cell r="Y668" t="str">
            <v>KEW</v>
          </cell>
          <cell r="Z668" t="str">
            <v>16/08/2013</v>
          </cell>
          <cell r="AA668" t="str">
            <v>15/08/2015</v>
          </cell>
          <cell r="AB668" t="str">
            <v>No</v>
          </cell>
          <cell r="AC668" t="str">
            <v>31/08/2013</v>
          </cell>
          <cell r="AD668" t="str">
            <v>Good</v>
          </cell>
          <cell r="AE668" t="str">
            <v>V1 - Existing / No Claim</v>
          </cell>
          <cell r="AF668">
            <v>42800</v>
          </cell>
          <cell r="AG668">
            <v>9.17</v>
          </cell>
          <cell r="AH668" t="str">
            <v>PPM</v>
          </cell>
          <cell r="AI668" t="str">
            <v>Strands</v>
          </cell>
          <cell r="AJ668" t="str">
            <v>Strands PW</v>
          </cell>
          <cell r="AK668" t="str">
            <v>[17/7/2024]: Change Department from MDC to LA on July 2024.</v>
          </cell>
        </row>
        <row r="669">
          <cell r="A669" t="str">
            <v>IKN400189</v>
          </cell>
          <cell r="B669">
            <v>189</v>
          </cell>
          <cell r="C669" t="str">
            <v>Institut Kanser Negara</v>
          </cell>
          <cell r="D669" t="str">
            <v>KKM/IKN/H/13/1027</v>
          </cell>
          <cell r="E669" t="str">
            <v>10-447</v>
          </cell>
          <cell r="F669" t="str">
            <v>Warming Units, Blood/Solution</v>
          </cell>
          <cell r="G669" t="str">
            <v>IC</v>
          </cell>
          <cell r="H669" t="str">
            <v>INTENSIVE CARE UNIT</v>
          </cell>
          <cell r="I669" t="str">
            <v>05IC106</v>
          </cell>
          <cell r="J669" t="str">
            <v>EQ. ROOM</v>
          </cell>
          <cell r="K669" t="str">
            <v>BMED</v>
          </cell>
          <cell r="L669" t="str">
            <v>Normal</v>
          </cell>
          <cell r="M669" t="str">
            <v>USA</v>
          </cell>
          <cell r="N669" t="str">
            <v>Hotline</v>
          </cell>
          <cell r="O669" t="str">
            <v>Hotline HL-90</v>
          </cell>
          <cell r="P669" t="str">
            <v>S101B00814</v>
          </cell>
          <cell r="Q669" t="str">
            <v>Not Applicable</v>
          </cell>
          <cell r="R669" t="str">
            <v>Level 1 Technologies Inc</v>
          </cell>
          <cell r="S669" t="str">
            <v>Primed Medical Services Sdn Bhd</v>
          </cell>
          <cell r="T669" t="str">
            <v>Functioning</v>
          </cell>
          <cell r="U669" t="str">
            <v>Asset</v>
          </cell>
          <cell r="V669">
            <v>15395</v>
          </cell>
          <cell r="W669" t="str">
            <v>KEW</v>
          </cell>
          <cell r="X669" t="str">
            <v>01/09/2010</v>
          </cell>
          <cell r="Y669" t="str">
            <v>KEW</v>
          </cell>
          <cell r="Z669" t="str">
            <v>16/08/2013</v>
          </cell>
          <cell r="AA669" t="str">
            <v>15/08/2015</v>
          </cell>
          <cell r="AB669" t="str">
            <v>No</v>
          </cell>
          <cell r="AC669" t="str">
            <v>31/08/2013</v>
          </cell>
          <cell r="AD669" t="str">
            <v>Good</v>
          </cell>
          <cell r="AE669" t="str">
            <v>V1 - Existing / No Claim</v>
          </cell>
          <cell r="AF669">
            <v>42235</v>
          </cell>
          <cell r="AG669">
            <v>9.17</v>
          </cell>
          <cell r="AH669" t="str">
            <v>PPM</v>
          </cell>
          <cell r="AI669" t="str">
            <v>Strands</v>
          </cell>
          <cell r="AJ669" t="str">
            <v>Strands PW</v>
          </cell>
        </row>
        <row r="670">
          <cell r="A670" t="str">
            <v>IKN400190</v>
          </cell>
          <cell r="B670">
            <v>190</v>
          </cell>
          <cell r="C670" t="str">
            <v>Institut Kanser Negara</v>
          </cell>
          <cell r="D670" t="str">
            <v>KKM/IKN/H/13/2209</v>
          </cell>
          <cell r="E670" t="str">
            <v>10-447</v>
          </cell>
          <cell r="F670" t="str">
            <v>Warming Units, Blood/Solution</v>
          </cell>
          <cell r="G670" t="str">
            <v>WJ</v>
          </cell>
          <cell r="H670" t="str">
            <v>MULTIDISCIPLINE WARD 1</v>
          </cell>
          <cell r="I670" t="str">
            <v>09WJ126</v>
          </cell>
          <cell r="J670" t="str">
            <v>EQUIPT. ROOM</v>
          </cell>
          <cell r="K670" t="str">
            <v>BMED</v>
          </cell>
          <cell r="L670" t="str">
            <v>Normal</v>
          </cell>
          <cell r="M670" t="str">
            <v>Japan</v>
          </cell>
          <cell r="N670" t="str">
            <v>Animec</v>
          </cell>
          <cell r="O670" t="str">
            <v>Animec AM-301</v>
          </cell>
          <cell r="P670" t="str">
            <v>2013D0267</v>
          </cell>
          <cell r="Q670" t="str">
            <v>Not Applicable</v>
          </cell>
          <cell r="R670" t="str">
            <v>Elltec Co Ltd</v>
          </cell>
          <cell r="S670" t="str">
            <v>IDS Services (Malaysia) Sdn Bhd</v>
          </cell>
          <cell r="T670" t="str">
            <v>Functioning</v>
          </cell>
          <cell r="U670" t="str">
            <v>Asset</v>
          </cell>
          <cell r="V670">
            <v>4990</v>
          </cell>
          <cell r="W670" t="str">
            <v>KEW</v>
          </cell>
          <cell r="X670" t="str">
            <v>01/09/2010</v>
          </cell>
          <cell r="Y670" t="str">
            <v>KEW</v>
          </cell>
          <cell r="Z670" t="str">
            <v>16/08/2013</v>
          </cell>
          <cell r="AA670" t="str">
            <v>15/08/2015</v>
          </cell>
          <cell r="AB670" t="str">
            <v>No</v>
          </cell>
          <cell r="AC670" t="str">
            <v>31/08/2013</v>
          </cell>
          <cell r="AD670" t="str">
            <v>Good</v>
          </cell>
          <cell r="AE670" t="str">
            <v>V1 - Existing / No Claim</v>
          </cell>
          <cell r="AF670">
            <v>42235</v>
          </cell>
          <cell r="AG670">
            <v>9.17</v>
          </cell>
          <cell r="AH670" t="str">
            <v>PPM</v>
          </cell>
          <cell r="AI670" t="str">
            <v>Strands</v>
          </cell>
          <cell r="AJ670" t="str">
            <v>Strands PW</v>
          </cell>
        </row>
        <row r="671">
          <cell r="A671" t="str">
            <v>IKN400191</v>
          </cell>
          <cell r="B671">
            <v>191</v>
          </cell>
          <cell r="C671" t="str">
            <v>Institut Kanser Negara</v>
          </cell>
          <cell r="D671" t="str">
            <v>KKM/IKN/H/13/2243</v>
          </cell>
          <cell r="E671" t="str">
            <v>10-447</v>
          </cell>
          <cell r="F671" t="str">
            <v>Warming Units, Blood/Solution</v>
          </cell>
          <cell r="G671" t="str">
            <v>WJ</v>
          </cell>
          <cell r="H671" t="str">
            <v>MULTIDISCIPLINE WARD 1</v>
          </cell>
          <cell r="I671" t="str">
            <v>09WJ126</v>
          </cell>
          <cell r="J671" t="str">
            <v>EQUIPT. ROOM</v>
          </cell>
          <cell r="K671" t="str">
            <v>BMED</v>
          </cell>
          <cell r="L671" t="str">
            <v>Normal</v>
          </cell>
          <cell r="M671" t="str">
            <v>Japan</v>
          </cell>
          <cell r="N671" t="str">
            <v>Animec</v>
          </cell>
          <cell r="O671" t="str">
            <v>Animec AM-301</v>
          </cell>
          <cell r="P671" t="str">
            <v>2012D0059</v>
          </cell>
          <cell r="Q671" t="str">
            <v>Not Applicable</v>
          </cell>
          <cell r="R671" t="str">
            <v>Elltec Co Ltd</v>
          </cell>
          <cell r="S671" t="str">
            <v>IDS Services (Malaysia) Sdn Bhd</v>
          </cell>
          <cell r="T671" t="str">
            <v>Functioning</v>
          </cell>
          <cell r="U671" t="str">
            <v>Asset</v>
          </cell>
          <cell r="V671">
            <v>4990</v>
          </cell>
          <cell r="W671" t="str">
            <v>KEW</v>
          </cell>
          <cell r="X671" t="str">
            <v>01/09/2010</v>
          </cell>
          <cell r="Y671" t="str">
            <v>KEW</v>
          </cell>
          <cell r="Z671" t="str">
            <v>16/08/2013</v>
          </cell>
          <cell r="AA671" t="str">
            <v>15/08/2015</v>
          </cell>
          <cell r="AB671" t="str">
            <v>No</v>
          </cell>
          <cell r="AC671" t="str">
            <v>31/08/2013</v>
          </cell>
          <cell r="AD671" t="str">
            <v>Good</v>
          </cell>
          <cell r="AE671" t="str">
            <v>V1 - Existing / No Claim</v>
          </cell>
          <cell r="AF671">
            <v>42789</v>
          </cell>
          <cell r="AG671">
            <v>9.17</v>
          </cell>
          <cell r="AH671" t="str">
            <v>PPM</v>
          </cell>
          <cell r="AI671" t="str">
            <v>Strands</v>
          </cell>
          <cell r="AJ671" t="str">
            <v>Strands PW</v>
          </cell>
        </row>
        <row r="672">
          <cell r="A672" t="str">
            <v>IKN400192</v>
          </cell>
          <cell r="B672">
            <v>192</v>
          </cell>
          <cell r="C672" t="str">
            <v>Institut Kanser Negara</v>
          </cell>
          <cell r="D672" t="str">
            <v>KKM/IKN/H/13/2019</v>
          </cell>
          <cell r="E672" t="str">
            <v>10-447</v>
          </cell>
          <cell r="F672" t="str">
            <v>Warming Units, Blood/Solution</v>
          </cell>
          <cell r="G672" t="str">
            <v>WJ</v>
          </cell>
          <cell r="H672" t="str">
            <v>MULTIDISCIPLINE WARD 1</v>
          </cell>
          <cell r="I672" t="str">
            <v>09WJ126</v>
          </cell>
          <cell r="J672" t="str">
            <v>EQUIPT. ROOM</v>
          </cell>
          <cell r="K672" t="str">
            <v>BMED</v>
          </cell>
          <cell r="L672" t="str">
            <v>Normal</v>
          </cell>
          <cell r="M672" t="str">
            <v>Japan</v>
          </cell>
          <cell r="N672" t="str">
            <v>Animec</v>
          </cell>
          <cell r="O672" t="str">
            <v>Animec AM-301</v>
          </cell>
          <cell r="P672" t="str">
            <v>2013D0268</v>
          </cell>
          <cell r="Q672" t="str">
            <v>Not Applicable</v>
          </cell>
          <cell r="R672" t="str">
            <v>Elltec Co Ltd</v>
          </cell>
          <cell r="S672" t="str">
            <v>IDS Services (Malaysia) Sdn Bhd</v>
          </cell>
          <cell r="T672" t="str">
            <v>Functioning</v>
          </cell>
          <cell r="U672" t="str">
            <v>Asset</v>
          </cell>
          <cell r="V672">
            <v>4990</v>
          </cell>
          <cell r="W672" t="str">
            <v>KEW</v>
          </cell>
          <cell r="X672" t="str">
            <v>01/09/2010</v>
          </cell>
          <cell r="Y672" t="str">
            <v>KEW</v>
          </cell>
          <cell r="Z672" t="str">
            <v>16/08/2013</v>
          </cell>
          <cell r="AA672" t="str">
            <v>15/08/2015</v>
          </cell>
          <cell r="AB672" t="str">
            <v>No</v>
          </cell>
          <cell r="AC672" t="str">
            <v>31/08/2013</v>
          </cell>
          <cell r="AD672" t="str">
            <v>Good</v>
          </cell>
          <cell r="AE672" t="str">
            <v>V1 - Existing / No Claim</v>
          </cell>
          <cell r="AF672">
            <v>42235</v>
          </cell>
          <cell r="AG672">
            <v>9.17</v>
          </cell>
          <cell r="AH672" t="str">
            <v>PPM</v>
          </cell>
          <cell r="AI672" t="str">
            <v>Strands</v>
          </cell>
          <cell r="AJ672" t="str">
            <v>Strands PW</v>
          </cell>
        </row>
        <row r="673">
          <cell r="A673" t="str">
            <v>IKN400193</v>
          </cell>
          <cell r="B673">
            <v>193</v>
          </cell>
          <cell r="C673" t="str">
            <v>Institut Kanser Negara</v>
          </cell>
          <cell r="D673" t="str">
            <v>KKM/IKN/H/13/2245</v>
          </cell>
          <cell r="E673" t="str">
            <v>12-282</v>
          </cell>
          <cell r="F673" t="str">
            <v>Lights, Surgical</v>
          </cell>
          <cell r="G673" t="str">
            <v>WJ</v>
          </cell>
          <cell r="H673" t="str">
            <v>MULTIDISCIPLINE WARD 1</v>
          </cell>
          <cell r="I673" t="str">
            <v>09WJ126</v>
          </cell>
          <cell r="J673" t="str">
            <v>EQUIPT. ROOM</v>
          </cell>
          <cell r="K673" t="str">
            <v>BMED</v>
          </cell>
          <cell r="L673" t="str">
            <v>Critical</v>
          </cell>
          <cell r="M673" t="str">
            <v>USA</v>
          </cell>
          <cell r="N673" t="str">
            <v>Welch Allyn</v>
          </cell>
          <cell r="O673" t="str">
            <v>Welch Allyn GS600</v>
          </cell>
          <cell r="P673" t="str">
            <v>GS-600-42</v>
          </cell>
          <cell r="Q673" t="str">
            <v>Not Applicable</v>
          </cell>
          <cell r="R673" t="str">
            <v>Welch Allyn Inc</v>
          </cell>
          <cell r="S673" t="str">
            <v>Welch Allyn Malaysia Sdn Bhd</v>
          </cell>
          <cell r="T673" t="str">
            <v>Functioning</v>
          </cell>
          <cell r="U673" t="str">
            <v>Asset</v>
          </cell>
          <cell r="V673">
            <v>5050</v>
          </cell>
          <cell r="W673" t="str">
            <v>KEW</v>
          </cell>
          <cell r="X673" t="str">
            <v>01/09/2010</v>
          </cell>
          <cell r="Y673" t="str">
            <v>KEW</v>
          </cell>
          <cell r="Z673" t="str">
            <v>16/08/2013</v>
          </cell>
          <cell r="AA673" t="str">
            <v>15/08/2015</v>
          </cell>
          <cell r="AB673" t="str">
            <v>No</v>
          </cell>
          <cell r="AC673" t="str">
            <v>31/08/2013</v>
          </cell>
          <cell r="AD673" t="str">
            <v>Good</v>
          </cell>
          <cell r="AE673" t="str">
            <v>V1 - Existing / No Claim</v>
          </cell>
          <cell r="AF673">
            <v>42789</v>
          </cell>
          <cell r="AG673">
            <v>9.17</v>
          </cell>
          <cell r="AH673" t="str">
            <v>PPM</v>
          </cell>
          <cell r="AI673" t="str">
            <v>Strands</v>
          </cell>
          <cell r="AJ673" t="str">
            <v>Strands PW</v>
          </cell>
        </row>
        <row r="674">
          <cell r="A674" t="str">
            <v>IKN400194</v>
          </cell>
          <cell r="B674">
            <v>194</v>
          </cell>
          <cell r="C674" t="str">
            <v>Institut Kanser Negara</v>
          </cell>
          <cell r="D674" t="str">
            <v>KKM/IKN/H/13/2246</v>
          </cell>
          <cell r="E674" t="str">
            <v>12-282</v>
          </cell>
          <cell r="F674" t="str">
            <v>Lights, Surgical</v>
          </cell>
          <cell r="G674" t="str">
            <v>WJ</v>
          </cell>
          <cell r="H674" t="str">
            <v>MULTIDISCIPLINE WARD 1</v>
          </cell>
          <cell r="I674" t="str">
            <v>09WJ222</v>
          </cell>
          <cell r="J674" t="str">
            <v>TREATMENT</v>
          </cell>
          <cell r="K674" t="str">
            <v>BMED</v>
          </cell>
          <cell r="L674" t="str">
            <v>Critical</v>
          </cell>
          <cell r="M674" t="str">
            <v>USA</v>
          </cell>
          <cell r="N674" t="str">
            <v>Welch Allyn</v>
          </cell>
          <cell r="O674" t="str">
            <v>Welch Allyn GS600</v>
          </cell>
          <cell r="P674" t="str">
            <v>GS-600-45</v>
          </cell>
          <cell r="Q674" t="str">
            <v>Not Applicable</v>
          </cell>
          <cell r="R674" t="str">
            <v>Welch Allyn Inc</v>
          </cell>
          <cell r="S674" t="str">
            <v>Welch Allyn Malaysia Sdn Bhd</v>
          </cell>
          <cell r="T674" t="str">
            <v>Functioning</v>
          </cell>
          <cell r="U674" t="str">
            <v>Asset</v>
          </cell>
          <cell r="V674">
            <v>5050</v>
          </cell>
          <cell r="W674" t="str">
            <v>KEW</v>
          </cell>
          <cell r="X674" t="str">
            <v>01/09/2010</v>
          </cell>
          <cell r="Y674" t="str">
            <v>KEW</v>
          </cell>
          <cell r="Z674" t="str">
            <v>16/08/2013</v>
          </cell>
          <cell r="AA674" t="str">
            <v>15/08/2015</v>
          </cell>
          <cell r="AB674" t="str">
            <v>No</v>
          </cell>
          <cell r="AC674" t="str">
            <v>31/08/2013</v>
          </cell>
          <cell r="AD674" t="str">
            <v>Good</v>
          </cell>
          <cell r="AE674" t="str">
            <v>V1 - Existing / No Claim</v>
          </cell>
          <cell r="AF674">
            <v>43063</v>
          </cell>
          <cell r="AG674">
            <v>9.17</v>
          </cell>
          <cell r="AH674" t="str">
            <v>PPM</v>
          </cell>
          <cell r="AI674" t="str">
            <v>Strands</v>
          </cell>
          <cell r="AJ674" t="str">
            <v>Strands PW</v>
          </cell>
        </row>
        <row r="675">
          <cell r="A675" t="str">
            <v>IKN400195</v>
          </cell>
          <cell r="B675">
            <v>195</v>
          </cell>
          <cell r="C675" t="str">
            <v>Institut Kanser Negara</v>
          </cell>
          <cell r="D675" t="str">
            <v>KKM/IKN/H/13/2242</v>
          </cell>
          <cell r="E675" t="str">
            <v>15-045</v>
          </cell>
          <cell r="F675" t="str">
            <v>Nebulizers, Nonheated</v>
          </cell>
          <cell r="G675" t="str">
            <v>WJ</v>
          </cell>
          <cell r="H675" t="str">
            <v>MULTIDISCIPLINE WARD 1</v>
          </cell>
          <cell r="I675" t="str">
            <v>09WJ126</v>
          </cell>
          <cell r="J675" t="str">
            <v>EQUIPT. ROOM</v>
          </cell>
          <cell r="K675" t="str">
            <v>BMED</v>
          </cell>
          <cell r="L675" t="str">
            <v>Normal</v>
          </cell>
          <cell r="M675" t="str">
            <v>Germany</v>
          </cell>
          <cell r="N675" t="str">
            <v>Pari Boy</v>
          </cell>
          <cell r="O675" t="str">
            <v>Pari Boy SX 085</v>
          </cell>
          <cell r="P675" t="str">
            <v>2W12F13794</v>
          </cell>
          <cell r="Q675" t="str">
            <v>Not Applicable</v>
          </cell>
          <cell r="R675" t="str">
            <v>Pari GmbH</v>
          </cell>
          <cell r="S675" t="str">
            <v>Welch Allyn Malaysia Sdn Bhd</v>
          </cell>
          <cell r="T675" t="str">
            <v>Functioning</v>
          </cell>
          <cell r="U675" t="str">
            <v>Asset</v>
          </cell>
          <cell r="V675">
            <v>1140</v>
          </cell>
          <cell r="W675" t="str">
            <v>KEW</v>
          </cell>
          <cell r="X675" t="str">
            <v>01/09/2010</v>
          </cell>
          <cell r="Y675" t="str">
            <v>KEW</v>
          </cell>
          <cell r="Z675" t="str">
            <v>16/08/2013</v>
          </cell>
          <cell r="AA675" t="str">
            <v>15/08/2015</v>
          </cell>
          <cell r="AB675" t="str">
            <v>No</v>
          </cell>
          <cell r="AC675" t="str">
            <v>31/08/2013</v>
          </cell>
          <cell r="AD675" t="str">
            <v>Good</v>
          </cell>
          <cell r="AE675" t="str">
            <v>V1 - Existing / No Claim</v>
          </cell>
          <cell r="AF675">
            <v>42789</v>
          </cell>
          <cell r="AG675">
            <v>9.17</v>
          </cell>
          <cell r="AH675" t="str">
            <v>PPM</v>
          </cell>
          <cell r="AI675" t="str">
            <v>Strands</v>
          </cell>
          <cell r="AJ675" t="str">
            <v>Strands PW</v>
          </cell>
        </row>
        <row r="676">
          <cell r="A676" t="str">
            <v>IKN400196</v>
          </cell>
          <cell r="B676">
            <v>196</v>
          </cell>
          <cell r="C676" t="str">
            <v>Institut Kanser Negara</v>
          </cell>
          <cell r="D676" t="str">
            <v>KKM/IKN/H/13/1770</v>
          </cell>
          <cell r="E676" t="str">
            <v>15-045</v>
          </cell>
          <cell r="F676" t="str">
            <v>Nebulizers, Nonheated</v>
          </cell>
          <cell r="G676" t="str">
            <v>WJ</v>
          </cell>
          <cell r="H676" t="str">
            <v>MULTIDISCIPLINE WARD 1</v>
          </cell>
          <cell r="I676" t="str">
            <v>09WJ126</v>
          </cell>
          <cell r="J676" t="str">
            <v>EQUIPT. ROOM</v>
          </cell>
          <cell r="K676" t="str">
            <v>BMED</v>
          </cell>
          <cell r="L676" t="str">
            <v>Normal</v>
          </cell>
          <cell r="M676" t="str">
            <v>Germany</v>
          </cell>
          <cell r="N676" t="str">
            <v>Pari Boy</v>
          </cell>
          <cell r="O676" t="str">
            <v>Pari Boy SX 085</v>
          </cell>
          <cell r="P676" t="str">
            <v>2W12F13854</v>
          </cell>
          <cell r="Q676" t="str">
            <v>Not Applicable</v>
          </cell>
          <cell r="R676" t="str">
            <v>Pari GmbH</v>
          </cell>
          <cell r="S676" t="str">
            <v>Welch Allyn Malaysia Sdn Bhd</v>
          </cell>
          <cell r="T676" t="str">
            <v>Functioning</v>
          </cell>
          <cell r="U676" t="str">
            <v>Asset</v>
          </cell>
          <cell r="V676">
            <v>1140</v>
          </cell>
          <cell r="W676" t="str">
            <v>KEW</v>
          </cell>
          <cell r="X676" t="str">
            <v>01/09/2010</v>
          </cell>
          <cell r="Y676" t="str">
            <v>KEW</v>
          </cell>
          <cell r="Z676" t="str">
            <v>16/08/2013</v>
          </cell>
          <cell r="AA676" t="str">
            <v>15/08/2015</v>
          </cell>
          <cell r="AB676" t="str">
            <v>No</v>
          </cell>
          <cell r="AC676" t="str">
            <v>31/08/2013</v>
          </cell>
          <cell r="AD676" t="str">
            <v>Good</v>
          </cell>
          <cell r="AE676" t="str">
            <v>V1 - Existing / No Claim</v>
          </cell>
          <cell r="AF676">
            <v>42235</v>
          </cell>
          <cell r="AG676">
            <v>9.17</v>
          </cell>
          <cell r="AH676" t="str">
            <v>PPM</v>
          </cell>
          <cell r="AI676" t="str">
            <v>Strands</v>
          </cell>
          <cell r="AJ676" t="str">
            <v>Strands PW</v>
          </cell>
        </row>
        <row r="677">
          <cell r="A677" t="str">
            <v>IKN400197</v>
          </cell>
          <cell r="B677">
            <v>197</v>
          </cell>
          <cell r="C677" t="str">
            <v>Institut Kanser Negara</v>
          </cell>
          <cell r="D677" t="str">
            <v>KKM/IKN/H/13/2241</v>
          </cell>
          <cell r="E677" t="str">
            <v>15-045</v>
          </cell>
          <cell r="F677" t="str">
            <v>Nebulizers, Nonheated</v>
          </cell>
          <cell r="G677" t="str">
            <v>WJ</v>
          </cell>
          <cell r="H677" t="str">
            <v>MULTIDISCIPLINE WARD 1</v>
          </cell>
          <cell r="I677" t="str">
            <v>09WJ126</v>
          </cell>
          <cell r="J677" t="str">
            <v>EQUIPT. ROOM</v>
          </cell>
          <cell r="K677" t="str">
            <v>BMED</v>
          </cell>
          <cell r="L677" t="str">
            <v>Normal</v>
          </cell>
          <cell r="M677" t="str">
            <v>Germany</v>
          </cell>
          <cell r="N677" t="str">
            <v>Pari Boy</v>
          </cell>
          <cell r="O677" t="str">
            <v>Pari Boy SX 085</v>
          </cell>
          <cell r="P677" t="str">
            <v>2W12F13833</v>
          </cell>
          <cell r="Q677" t="str">
            <v>Not Applicable</v>
          </cell>
          <cell r="R677" t="str">
            <v>Pari GmbH</v>
          </cell>
          <cell r="S677" t="str">
            <v>Welch Allyn Malaysia Sdn Bhd</v>
          </cell>
          <cell r="T677" t="str">
            <v>Functioning</v>
          </cell>
          <cell r="U677" t="str">
            <v>Asset</v>
          </cell>
          <cell r="V677">
            <v>1140</v>
          </cell>
          <cell r="W677" t="str">
            <v>KEW</v>
          </cell>
          <cell r="X677" t="str">
            <v>01/09/2010</v>
          </cell>
          <cell r="Y677" t="str">
            <v>KEW</v>
          </cell>
          <cell r="Z677" t="str">
            <v>16/08/2013</v>
          </cell>
          <cell r="AA677" t="str">
            <v>15/08/2015</v>
          </cell>
          <cell r="AB677" t="str">
            <v>No</v>
          </cell>
          <cell r="AC677" t="str">
            <v>31/08/2013</v>
          </cell>
          <cell r="AD677" t="str">
            <v>Good</v>
          </cell>
          <cell r="AE677" t="str">
            <v>V1 - Existing / No Claim</v>
          </cell>
          <cell r="AF677">
            <v>42789</v>
          </cell>
          <cell r="AG677">
            <v>9.17</v>
          </cell>
          <cell r="AH677" t="str">
            <v>PPM</v>
          </cell>
          <cell r="AI677" t="str">
            <v>Strands</v>
          </cell>
          <cell r="AJ677" t="str">
            <v>Strands PW</v>
          </cell>
        </row>
        <row r="678">
          <cell r="A678" t="str">
            <v>IKN400198</v>
          </cell>
          <cell r="B678">
            <v>198</v>
          </cell>
          <cell r="C678" t="str">
            <v>Institut Kanser Negara</v>
          </cell>
          <cell r="D678" t="str">
            <v>KKM/IKN/H/13/1768</v>
          </cell>
          <cell r="E678" t="str">
            <v>18-147</v>
          </cell>
          <cell r="F678" t="str">
            <v>Mattress Systems, Alternating-Pressure</v>
          </cell>
          <cell r="G678" t="str">
            <v>WJ</v>
          </cell>
          <cell r="H678" t="str">
            <v>MULTIDISCIPLINE WARD 1</v>
          </cell>
          <cell r="I678" t="str">
            <v>09WJ126</v>
          </cell>
          <cell r="J678" t="str">
            <v>EQUIPT. ROOM</v>
          </cell>
          <cell r="K678" t="str">
            <v>BMED</v>
          </cell>
          <cell r="L678" t="str">
            <v>Normal</v>
          </cell>
          <cell r="M678" t="str">
            <v>Poland</v>
          </cell>
          <cell r="N678" t="str">
            <v>Nimbus</v>
          </cell>
          <cell r="O678" t="str">
            <v>Nimbus 3</v>
          </cell>
          <cell r="P678" t="str">
            <v>1200035189</v>
          </cell>
          <cell r="Q678" t="str">
            <v>Not Applicable</v>
          </cell>
          <cell r="R678" t="str">
            <v>Arjohuntleigh</v>
          </cell>
          <cell r="S678" t="str">
            <v>Hexamine Sdn. Bhd.</v>
          </cell>
          <cell r="T678" t="str">
            <v>Functioning</v>
          </cell>
          <cell r="U678" t="str">
            <v>Asset</v>
          </cell>
          <cell r="V678">
            <v>28630</v>
          </cell>
          <cell r="W678" t="str">
            <v>KEW</v>
          </cell>
          <cell r="X678" t="str">
            <v>01/09/2010</v>
          </cell>
          <cell r="Y678" t="str">
            <v>KEW</v>
          </cell>
          <cell r="Z678" t="str">
            <v>16/08/2013</v>
          </cell>
          <cell r="AA678" t="str">
            <v>15/08/2015</v>
          </cell>
          <cell r="AB678" t="str">
            <v>No</v>
          </cell>
          <cell r="AC678" t="str">
            <v>31/08/2013</v>
          </cell>
          <cell r="AD678" t="str">
            <v>Good</v>
          </cell>
          <cell r="AE678" t="str">
            <v>V1 - Existing / No Claim</v>
          </cell>
          <cell r="AF678">
            <v>42789</v>
          </cell>
          <cell r="AG678">
            <v>9.17</v>
          </cell>
          <cell r="AH678" t="str">
            <v>PPM</v>
          </cell>
          <cell r="AI678" t="str">
            <v>Strands</v>
          </cell>
          <cell r="AJ678" t="str">
            <v>Strands PW</v>
          </cell>
        </row>
        <row r="679">
          <cell r="A679" t="str">
            <v>IKN400199</v>
          </cell>
          <cell r="B679">
            <v>199</v>
          </cell>
          <cell r="C679" t="str">
            <v>Institut Kanser Negara</v>
          </cell>
          <cell r="D679" t="str">
            <v>KKM/IKN/H/13/1769</v>
          </cell>
          <cell r="E679" t="str">
            <v>18-147</v>
          </cell>
          <cell r="F679" t="str">
            <v>Mattress Systems, Alternating-Pressure</v>
          </cell>
          <cell r="G679" t="str">
            <v>WJ</v>
          </cell>
          <cell r="H679" t="str">
            <v>MULTIDISCIPLINE WARD 1</v>
          </cell>
          <cell r="I679" t="str">
            <v>09WJ126</v>
          </cell>
          <cell r="J679" t="str">
            <v>EQUIPT. ROOM</v>
          </cell>
          <cell r="K679" t="str">
            <v>BMED</v>
          </cell>
          <cell r="L679" t="str">
            <v>Normal</v>
          </cell>
          <cell r="M679" t="str">
            <v>Poland</v>
          </cell>
          <cell r="N679" t="str">
            <v>Nimbus</v>
          </cell>
          <cell r="O679" t="str">
            <v>Nimbus 3</v>
          </cell>
          <cell r="P679" t="str">
            <v>1200005126</v>
          </cell>
          <cell r="Q679" t="str">
            <v>Not Applicable</v>
          </cell>
          <cell r="R679" t="str">
            <v>Arjohuntleigh</v>
          </cell>
          <cell r="S679" t="str">
            <v>Hexamine Sdn. Bhd.</v>
          </cell>
          <cell r="T679" t="str">
            <v>Functioning</v>
          </cell>
          <cell r="U679" t="str">
            <v>Asset</v>
          </cell>
          <cell r="V679">
            <v>28630</v>
          </cell>
          <cell r="W679" t="str">
            <v>KEW</v>
          </cell>
          <cell r="X679" t="str">
            <v>01/09/2010</v>
          </cell>
          <cell r="Y679" t="str">
            <v>KEW</v>
          </cell>
          <cell r="Z679" t="str">
            <v>16/08/2013</v>
          </cell>
          <cell r="AA679" t="str">
            <v>15/08/2015</v>
          </cell>
          <cell r="AB679" t="str">
            <v>No</v>
          </cell>
          <cell r="AC679" t="str">
            <v>31/08/2013</v>
          </cell>
          <cell r="AD679" t="str">
            <v>Good</v>
          </cell>
          <cell r="AE679" t="str">
            <v>V1 - Existing / No Claim</v>
          </cell>
          <cell r="AF679">
            <v>42789</v>
          </cell>
          <cell r="AG679">
            <v>9.17</v>
          </cell>
          <cell r="AH679" t="str">
            <v>PPM</v>
          </cell>
          <cell r="AI679" t="str">
            <v>Strands</v>
          </cell>
          <cell r="AJ679" t="str">
            <v>Strands PW</v>
          </cell>
        </row>
        <row r="680">
          <cell r="A680" t="str">
            <v>IKN400200</v>
          </cell>
          <cell r="B680">
            <v>200</v>
          </cell>
          <cell r="C680" t="str">
            <v>Institut Kanser Negara</v>
          </cell>
          <cell r="D680" t="str">
            <v>KKM/IKN/H/13/5375</v>
          </cell>
          <cell r="E680" t="str">
            <v>18-147</v>
          </cell>
          <cell r="F680" t="str">
            <v>Mattress Systems, Alternating-Pressure</v>
          </cell>
          <cell r="G680" t="str">
            <v>WJ</v>
          </cell>
          <cell r="H680" t="str">
            <v>MULTIDISCIPLINE WARD 1</v>
          </cell>
          <cell r="I680" t="str">
            <v>09WJ126</v>
          </cell>
          <cell r="J680" t="str">
            <v>EQUIPT. ROOM</v>
          </cell>
          <cell r="K680" t="str">
            <v>BMED</v>
          </cell>
          <cell r="L680" t="str">
            <v>Normal</v>
          </cell>
          <cell r="M680" t="str">
            <v>Poland</v>
          </cell>
          <cell r="N680" t="str">
            <v>Nimbus</v>
          </cell>
          <cell r="O680" t="str">
            <v>Nimbus 3</v>
          </cell>
          <cell r="P680" t="str">
            <v>1200006451</v>
          </cell>
          <cell r="Q680" t="str">
            <v>Not Applicable</v>
          </cell>
          <cell r="R680" t="str">
            <v>Arjohuntleigh</v>
          </cell>
          <cell r="S680" t="str">
            <v>Hexamine Sdn. Bhd.</v>
          </cell>
          <cell r="T680" t="str">
            <v>Functioning</v>
          </cell>
          <cell r="U680" t="str">
            <v>Asset</v>
          </cell>
          <cell r="V680">
            <v>28630</v>
          </cell>
          <cell r="W680" t="str">
            <v>KEW</v>
          </cell>
          <cell r="X680" t="str">
            <v>01/09/2010</v>
          </cell>
          <cell r="Y680" t="str">
            <v>KEW</v>
          </cell>
          <cell r="Z680" t="str">
            <v>16/08/2013</v>
          </cell>
          <cell r="AA680" t="str">
            <v>15/08/2015</v>
          </cell>
          <cell r="AB680" t="str">
            <v>No</v>
          </cell>
          <cell r="AC680" t="str">
            <v>31/08/2013</v>
          </cell>
          <cell r="AD680" t="str">
            <v>Good</v>
          </cell>
          <cell r="AE680" t="str">
            <v>V1 - Existing / No Claim</v>
          </cell>
          <cell r="AF680">
            <v>42789</v>
          </cell>
          <cell r="AG680">
            <v>9.17</v>
          </cell>
          <cell r="AH680" t="str">
            <v>PPM</v>
          </cell>
          <cell r="AI680" t="str">
            <v>Strands</v>
          </cell>
          <cell r="AJ680" t="str">
            <v>Strands PW</v>
          </cell>
        </row>
        <row r="681">
          <cell r="A681" t="str">
            <v>IKN400201</v>
          </cell>
          <cell r="B681">
            <v>201</v>
          </cell>
          <cell r="C681" t="str">
            <v>Institut Kanser Negara</v>
          </cell>
          <cell r="D681" t="str">
            <v>KKM/IKN/H/13/1767</v>
          </cell>
          <cell r="E681" t="str">
            <v>18-147</v>
          </cell>
          <cell r="F681" t="str">
            <v>Mattress Systems, Alternating-Pressure</v>
          </cell>
          <cell r="G681" t="str">
            <v>WJ</v>
          </cell>
          <cell r="H681" t="str">
            <v>MULTIDISCIPLINE WARD 1</v>
          </cell>
          <cell r="I681" t="str">
            <v>09WJ126</v>
          </cell>
          <cell r="J681" t="str">
            <v>EQUIPT. ROOM</v>
          </cell>
          <cell r="K681" t="str">
            <v>BMED</v>
          </cell>
          <cell r="L681" t="str">
            <v>Normal</v>
          </cell>
          <cell r="M681" t="str">
            <v>Poland</v>
          </cell>
          <cell r="N681" t="str">
            <v>Nimbus</v>
          </cell>
          <cell r="O681" t="str">
            <v>Nimbus 3</v>
          </cell>
          <cell r="P681" t="str">
            <v>1200005120</v>
          </cell>
          <cell r="Q681" t="str">
            <v>Not Applicable</v>
          </cell>
          <cell r="R681" t="str">
            <v>Arjohuntleigh</v>
          </cell>
          <cell r="S681" t="str">
            <v>Hexamine Sdn. Bhd.</v>
          </cell>
          <cell r="T681" t="str">
            <v>Functioning</v>
          </cell>
          <cell r="U681" t="str">
            <v>Asset</v>
          </cell>
          <cell r="V681">
            <v>28630</v>
          </cell>
          <cell r="W681" t="str">
            <v>KEW</v>
          </cell>
          <cell r="X681" t="str">
            <v>01/09/2010</v>
          </cell>
          <cell r="Y681" t="str">
            <v>KEW</v>
          </cell>
          <cell r="Z681" t="str">
            <v>16/08/2013</v>
          </cell>
          <cell r="AA681" t="str">
            <v>15/08/2015</v>
          </cell>
          <cell r="AB681" t="str">
            <v>No</v>
          </cell>
          <cell r="AC681" t="str">
            <v>31/08/2013</v>
          </cell>
          <cell r="AD681" t="str">
            <v>Good</v>
          </cell>
          <cell r="AE681" t="str">
            <v>V1 - Existing / No Claim</v>
          </cell>
          <cell r="AF681">
            <v>42789</v>
          </cell>
          <cell r="AG681">
            <v>9.17</v>
          </cell>
          <cell r="AH681" t="str">
            <v>PPM</v>
          </cell>
          <cell r="AI681" t="str">
            <v>Strands</v>
          </cell>
          <cell r="AJ681" t="str">
            <v>Strands PW</v>
          </cell>
        </row>
        <row r="682">
          <cell r="A682" t="str">
            <v>IKN400202</v>
          </cell>
          <cell r="B682">
            <v>202</v>
          </cell>
          <cell r="C682" t="str">
            <v>Institut Kanser Negara</v>
          </cell>
          <cell r="D682" t="str">
            <v>KKM/IKN/H/13/1765</v>
          </cell>
          <cell r="E682" t="str">
            <v>18-147</v>
          </cell>
          <cell r="F682" t="str">
            <v>Mattress Systems, Alternating-Pressure</v>
          </cell>
          <cell r="G682" t="str">
            <v>WJ</v>
          </cell>
          <cell r="H682" t="str">
            <v>MULTIDISCIPLINE WARD 1</v>
          </cell>
          <cell r="I682" t="str">
            <v>09WJ126</v>
          </cell>
          <cell r="J682" t="str">
            <v>EQUIPT. ROOM</v>
          </cell>
          <cell r="K682" t="str">
            <v>BMED</v>
          </cell>
          <cell r="L682" t="str">
            <v>Normal</v>
          </cell>
          <cell r="M682" t="str">
            <v>Poland</v>
          </cell>
          <cell r="N682" t="str">
            <v>Nimbus</v>
          </cell>
          <cell r="O682" t="str">
            <v>Nimbus 3</v>
          </cell>
          <cell r="P682" t="str">
            <v>1200006452</v>
          </cell>
          <cell r="Q682" t="str">
            <v>Not Applicable</v>
          </cell>
          <cell r="R682" t="str">
            <v>Arjohuntleigh</v>
          </cell>
          <cell r="S682" t="str">
            <v>Hexamine Sdn. Bhd.</v>
          </cell>
          <cell r="T682" t="str">
            <v>Functioning</v>
          </cell>
          <cell r="U682" t="str">
            <v>Asset</v>
          </cell>
          <cell r="V682">
            <v>28630</v>
          </cell>
          <cell r="W682" t="str">
            <v>KEW</v>
          </cell>
          <cell r="X682" t="str">
            <v>01/09/2010</v>
          </cell>
          <cell r="Y682" t="str">
            <v>KEW</v>
          </cell>
          <cell r="Z682" t="str">
            <v>16/08/2013</v>
          </cell>
          <cell r="AA682" t="str">
            <v>15/08/2015</v>
          </cell>
          <cell r="AB682" t="str">
            <v>No</v>
          </cell>
          <cell r="AC682" t="str">
            <v>31/08/2013</v>
          </cell>
          <cell r="AD682" t="str">
            <v>Good</v>
          </cell>
          <cell r="AE682" t="str">
            <v>V1 - Existing / No Claim</v>
          </cell>
          <cell r="AF682">
            <v>42789</v>
          </cell>
          <cell r="AG682">
            <v>9.17</v>
          </cell>
          <cell r="AH682" t="str">
            <v>PPM</v>
          </cell>
          <cell r="AI682" t="str">
            <v>Strands</v>
          </cell>
          <cell r="AJ682" t="str">
            <v>Strands PW</v>
          </cell>
        </row>
        <row r="683">
          <cell r="A683" t="str">
            <v>IKN400203</v>
          </cell>
          <cell r="B683">
            <v>203</v>
          </cell>
          <cell r="C683" t="str">
            <v>Institut Kanser Negara</v>
          </cell>
          <cell r="D683" t="str">
            <v>KKM/IKN/H/13/1764</v>
          </cell>
          <cell r="E683" t="str">
            <v>18-147</v>
          </cell>
          <cell r="F683" t="str">
            <v>Mattress Systems, Alternating-Pressure</v>
          </cell>
          <cell r="G683" t="str">
            <v>WJ</v>
          </cell>
          <cell r="H683" t="str">
            <v>MULTIDISCIPLINE WARD 1</v>
          </cell>
          <cell r="I683" t="str">
            <v>09WJ126</v>
          </cell>
          <cell r="J683" t="str">
            <v>EQUIPT. ROOM</v>
          </cell>
          <cell r="K683" t="str">
            <v>BMED</v>
          </cell>
          <cell r="L683" t="str">
            <v>Normal</v>
          </cell>
          <cell r="M683" t="str">
            <v>Poland</v>
          </cell>
          <cell r="N683" t="str">
            <v>Nimbus</v>
          </cell>
          <cell r="O683" t="str">
            <v>Nimbus 3</v>
          </cell>
          <cell r="P683" t="str">
            <v>1200006465</v>
          </cell>
          <cell r="Q683" t="str">
            <v>Not Applicable</v>
          </cell>
          <cell r="R683" t="str">
            <v>Arjohuntleigh</v>
          </cell>
          <cell r="S683" t="str">
            <v>Hexamine Sdn. Bhd.</v>
          </cell>
          <cell r="T683" t="str">
            <v>Functioning</v>
          </cell>
          <cell r="U683" t="str">
            <v>Asset</v>
          </cell>
          <cell r="V683">
            <v>28630</v>
          </cell>
          <cell r="W683" t="str">
            <v>KEW</v>
          </cell>
          <cell r="X683" t="str">
            <v>01/09/2010</v>
          </cell>
          <cell r="Y683" t="str">
            <v>KEW</v>
          </cell>
          <cell r="Z683" t="str">
            <v>16/08/2013</v>
          </cell>
          <cell r="AA683" t="str">
            <v>15/08/2015</v>
          </cell>
          <cell r="AB683" t="str">
            <v>No</v>
          </cell>
          <cell r="AC683" t="str">
            <v>31/08/2013</v>
          </cell>
          <cell r="AD683" t="str">
            <v>Good</v>
          </cell>
          <cell r="AE683" t="str">
            <v>V1 - Existing / No Claim</v>
          </cell>
          <cell r="AF683">
            <v>42789</v>
          </cell>
          <cell r="AG683">
            <v>9.17</v>
          </cell>
          <cell r="AH683" t="str">
            <v>PPM</v>
          </cell>
          <cell r="AI683" t="str">
            <v>Strands</v>
          </cell>
          <cell r="AJ683" t="str">
            <v>Strands PW</v>
          </cell>
        </row>
        <row r="684">
          <cell r="A684" t="str">
            <v>IKN400204</v>
          </cell>
          <cell r="B684">
            <v>204</v>
          </cell>
          <cell r="C684" t="str">
            <v>Institut Kanser Negara</v>
          </cell>
          <cell r="D684" t="str">
            <v>KKM/IKN/H/13/2752</v>
          </cell>
          <cell r="E684" t="str">
            <v>10-208</v>
          </cell>
          <cell r="F684" t="str">
            <v>Aspirators</v>
          </cell>
          <cell r="G684" t="str">
            <v>WJ</v>
          </cell>
          <cell r="H684" t="str">
            <v>MULTIDISCIPLINE WARD 1</v>
          </cell>
          <cell r="I684" t="str">
            <v>09WJ126</v>
          </cell>
          <cell r="J684" t="str">
            <v>EQUIPT. ROOM</v>
          </cell>
          <cell r="K684" t="str">
            <v>BMED</v>
          </cell>
          <cell r="L684" t="str">
            <v>Critical</v>
          </cell>
          <cell r="M684" t="str">
            <v>UK</v>
          </cell>
          <cell r="N684" t="str">
            <v>SAM</v>
          </cell>
          <cell r="O684" t="str">
            <v>SAM 427</v>
          </cell>
          <cell r="P684" t="str">
            <v>0313-0535</v>
          </cell>
          <cell r="Q684" t="str">
            <v>Not Applicable</v>
          </cell>
          <cell r="R684" t="str">
            <v>MG Electric Ltd</v>
          </cell>
          <cell r="S684" t="str">
            <v>Delta Medisains</v>
          </cell>
          <cell r="T684" t="str">
            <v>Functioning</v>
          </cell>
          <cell r="U684" t="str">
            <v>Asset</v>
          </cell>
          <cell r="V684">
            <v>10705</v>
          </cell>
          <cell r="W684" t="str">
            <v>KEW</v>
          </cell>
          <cell r="X684" t="str">
            <v>01/09/2010</v>
          </cell>
          <cell r="Y684" t="str">
            <v>KEW</v>
          </cell>
          <cell r="Z684" t="str">
            <v>16/08/2013</v>
          </cell>
          <cell r="AA684" t="str">
            <v>15/08/2015</v>
          </cell>
          <cell r="AB684" t="str">
            <v>No</v>
          </cell>
          <cell r="AC684" t="str">
            <v>31/08/2013</v>
          </cell>
          <cell r="AD684" t="str">
            <v>Good</v>
          </cell>
          <cell r="AE684" t="str">
            <v>V1 - Existing / No Claim</v>
          </cell>
          <cell r="AF684">
            <v>42789</v>
          </cell>
          <cell r="AG684">
            <v>9.17</v>
          </cell>
          <cell r="AH684" t="str">
            <v>PPM</v>
          </cell>
          <cell r="AI684" t="str">
            <v>Strands</v>
          </cell>
          <cell r="AJ684" t="str">
            <v>Strands PW</v>
          </cell>
        </row>
        <row r="685">
          <cell r="A685" t="str">
            <v>IKN400205</v>
          </cell>
          <cell r="B685">
            <v>205</v>
          </cell>
          <cell r="C685" t="str">
            <v>Institut Kanser Negara</v>
          </cell>
          <cell r="D685" t="str">
            <v>KKM/IKN/H/13/1827</v>
          </cell>
          <cell r="E685" t="str">
            <v>12-647</v>
          </cell>
          <cell r="F685" t="str">
            <v>Physiologic Monitoring Systems, Acute Care</v>
          </cell>
          <cell r="G685" t="str">
            <v>WJ</v>
          </cell>
          <cell r="H685" t="str">
            <v>MULTIDISCIPLINE WARD 1</v>
          </cell>
          <cell r="I685" t="str">
            <v>09WJ126</v>
          </cell>
          <cell r="J685" t="str">
            <v>EQUIPT. ROOM</v>
          </cell>
          <cell r="K685" t="str">
            <v>BMED</v>
          </cell>
          <cell r="L685" t="str">
            <v>Critical</v>
          </cell>
          <cell r="M685" t="str">
            <v>USA</v>
          </cell>
          <cell r="N685" t="str">
            <v>GE</v>
          </cell>
          <cell r="O685" t="str">
            <v>GE B30</v>
          </cell>
          <cell r="P685" t="str">
            <v>SF312325895WA</v>
          </cell>
          <cell r="Q685" t="str">
            <v>Not Applicable</v>
          </cell>
          <cell r="R685" t="str">
            <v>GE Healthcare Systems</v>
          </cell>
          <cell r="S685" t="str">
            <v>GE Healthcare Technologies</v>
          </cell>
          <cell r="T685" t="str">
            <v>Functioning</v>
          </cell>
          <cell r="U685" t="str">
            <v>Asset</v>
          </cell>
          <cell r="V685">
            <v>44510</v>
          </cell>
          <cell r="W685" t="str">
            <v>KEW</v>
          </cell>
          <cell r="X685" t="str">
            <v>01/09/2010</v>
          </cell>
          <cell r="Y685" t="str">
            <v>KEW</v>
          </cell>
          <cell r="Z685" t="str">
            <v>16/08/2013</v>
          </cell>
          <cell r="AA685" t="str">
            <v>15/08/2015</v>
          </cell>
          <cell r="AB685" t="str">
            <v>No</v>
          </cell>
          <cell r="AC685" t="str">
            <v>31/08/2013</v>
          </cell>
          <cell r="AD685" t="str">
            <v>Good</v>
          </cell>
          <cell r="AE685" t="str">
            <v>V1 - Existing / No Claim</v>
          </cell>
          <cell r="AF685">
            <v>42789</v>
          </cell>
          <cell r="AG685">
            <v>9.17</v>
          </cell>
          <cell r="AH685" t="str">
            <v>PPM</v>
          </cell>
          <cell r="AI685" t="str">
            <v>Strands</v>
          </cell>
          <cell r="AJ685" t="str">
            <v>Strands PW</v>
          </cell>
        </row>
        <row r="686">
          <cell r="A686" t="str">
            <v>IKN400206</v>
          </cell>
          <cell r="B686">
            <v>206</v>
          </cell>
          <cell r="C686" t="str">
            <v>Institut Kanser Negara</v>
          </cell>
          <cell r="D686" t="str">
            <v>KKM/IKN/H/13/1881</v>
          </cell>
          <cell r="E686" t="str">
            <v>12-647</v>
          </cell>
          <cell r="F686" t="str">
            <v>Physiologic Monitoring Systems, Acute Care</v>
          </cell>
          <cell r="G686" t="str">
            <v>WJ</v>
          </cell>
          <cell r="H686" t="str">
            <v>MULTIDISCIPLINE WARD 1</v>
          </cell>
          <cell r="I686" t="str">
            <v>09WJ126</v>
          </cell>
          <cell r="J686" t="str">
            <v>EQUIPT. ROOM</v>
          </cell>
          <cell r="K686" t="str">
            <v>BMED</v>
          </cell>
          <cell r="L686" t="str">
            <v>Critical</v>
          </cell>
          <cell r="M686" t="str">
            <v>USA</v>
          </cell>
          <cell r="N686" t="str">
            <v>GE</v>
          </cell>
          <cell r="O686" t="str">
            <v>GE B30</v>
          </cell>
          <cell r="P686" t="str">
            <v>SF312325924WA</v>
          </cell>
          <cell r="Q686" t="str">
            <v>Not Applicable</v>
          </cell>
          <cell r="R686" t="str">
            <v>GE Healthcare Systems</v>
          </cell>
          <cell r="S686" t="str">
            <v>GE Healthcare Technologies</v>
          </cell>
          <cell r="T686" t="str">
            <v>Functioning</v>
          </cell>
          <cell r="U686" t="str">
            <v>Asset</v>
          </cell>
          <cell r="V686">
            <v>44510</v>
          </cell>
          <cell r="W686" t="str">
            <v>KEW</v>
          </cell>
          <cell r="X686" t="str">
            <v>01/09/2010</v>
          </cell>
          <cell r="Y686" t="str">
            <v>KEW</v>
          </cell>
          <cell r="Z686" t="str">
            <v>16/08/2013</v>
          </cell>
          <cell r="AA686" t="str">
            <v>15/08/2015</v>
          </cell>
          <cell r="AB686" t="str">
            <v>No</v>
          </cell>
          <cell r="AC686" t="str">
            <v>31/08/2013</v>
          </cell>
          <cell r="AD686" t="str">
            <v>Good</v>
          </cell>
          <cell r="AE686" t="str">
            <v>V1 - Existing / No Claim</v>
          </cell>
          <cell r="AF686">
            <v>42789</v>
          </cell>
          <cell r="AG686">
            <v>9.17</v>
          </cell>
          <cell r="AH686" t="str">
            <v>PPM</v>
          </cell>
          <cell r="AI686" t="str">
            <v>Strands</v>
          </cell>
          <cell r="AJ686" t="str">
            <v>Strands PW</v>
          </cell>
        </row>
        <row r="687">
          <cell r="A687" t="str">
            <v>IKN400208</v>
          </cell>
          <cell r="B687">
            <v>208</v>
          </cell>
          <cell r="C687" t="str">
            <v>Institut Kanser Negara</v>
          </cell>
          <cell r="D687" t="str">
            <v>KKM/IKN/H/13/2020</v>
          </cell>
          <cell r="E687" t="str">
            <v>10-208</v>
          </cell>
          <cell r="F687" t="str">
            <v>Aspirators</v>
          </cell>
          <cell r="G687" t="str">
            <v>WJ</v>
          </cell>
          <cell r="H687" t="str">
            <v>MULTIDISCIPLINE WARD 1</v>
          </cell>
          <cell r="I687" t="str">
            <v>09WJ130</v>
          </cell>
          <cell r="J687" t="str">
            <v>TREATMENT/ PROCEDURE</v>
          </cell>
          <cell r="K687" t="str">
            <v>BMED</v>
          </cell>
          <cell r="L687" t="str">
            <v>Critical</v>
          </cell>
          <cell r="M687" t="str">
            <v>Switzerland</v>
          </cell>
          <cell r="N687" t="str">
            <v>Senator</v>
          </cell>
          <cell r="O687" t="str">
            <v>Senator</v>
          </cell>
          <cell r="P687" t="str">
            <v>1220751</v>
          </cell>
          <cell r="Q687" t="str">
            <v>Not Applicable</v>
          </cell>
          <cell r="R687" t="str">
            <v>Ardo Medical AG</v>
          </cell>
          <cell r="S687" t="str">
            <v>Histopoint</v>
          </cell>
          <cell r="T687" t="str">
            <v>Functioning</v>
          </cell>
          <cell r="U687" t="str">
            <v>Asset</v>
          </cell>
          <cell r="V687">
            <v>5052</v>
          </cell>
          <cell r="W687" t="str">
            <v>KEW</v>
          </cell>
          <cell r="X687" t="str">
            <v>01/09/2010</v>
          </cell>
          <cell r="Y687" t="str">
            <v>KEW</v>
          </cell>
          <cell r="Z687" t="str">
            <v>16/08/2013</v>
          </cell>
          <cell r="AA687" t="str">
            <v>15/08/2015</v>
          </cell>
          <cell r="AB687" t="str">
            <v>No</v>
          </cell>
          <cell r="AC687" t="str">
            <v>31/08/2013</v>
          </cell>
          <cell r="AD687" t="str">
            <v>Good</v>
          </cell>
          <cell r="AE687" t="str">
            <v>V1 - Existing / No Claim</v>
          </cell>
          <cell r="AF687">
            <v>42789</v>
          </cell>
          <cell r="AG687">
            <v>9.17</v>
          </cell>
          <cell r="AH687" t="str">
            <v>PPM</v>
          </cell>
          <cell r="AI687" t="str">
            <v>Strands</v>
          </cell>
          <cell r="AJ687" t="str">
            <v>Strands PW</v>
          </cell>
        </row>
        <row r="688">
          <cell r="A688" t="str">
            <v>IKN400209</v>
          </cell>
          <cell r="B688">
            <v>209</v>
          </cell>
          <cell r="C688" t="str">
            <v>Institut Kanser Negara</v>
          </cell>
          <cell r="D688" t="str">
            <v>KKM/IKN/H/13/2207</v>
          </cell>
          <cell r="E688" t="str">
            <v>25-209</v>
          </cell>
          <cell r="F688" t="str">
            <v>Monitors, Physiologic, Vital Signs</v>
          </cell>
          <cell r="G688" t="str">
            <v>WJ</v>
          </cell>
          <cell r="H688" t="str">
            <v>MULTIDISCIPLINE WARD 1</v>
          </cell>
          <cell r="I688" t="str">
            <v>09WJ130</v>
          </cell>
          <cell r="J688" t="str">
            <v>TREATMENT/ PROCEDURE</v>
          </cell>
          <cell r="K688" t="str">
            <v>BMED</v>
          </cell>
          <cell r="L688" t="str">
            <v>Critical</v>
          </cell>
          <cell r="M688" t="str">
            <v>Mexico</v>
          </cell>
          <cell r="N688" t="str">
            <v>Carespace</v>
          </cell>
          <cell r="O688" t="str">
            <v>Carescape V100</v>
          </cell>
          <cell r="P688" t="str">
            <v>SH612430107SA</v>
          </cell>
          <cell r="Q688" t="str">
            <v>Not Applicable</v>
          </cell>
          <cell r="R688" t="str">
            <v>GE Healthcare Systems</v>
          </cell>
          <cell r="S688" t="str">
            <v>GE Healthcare Technologies</v>
          </cell>
          <cell r="T688" t="str">
            <v>Functioning</v>
          </cell>
          <cell r="U688" t="str">
            <v>Asset</v>
          </cell>
          <cell r="V688">
            <v>4510</v>
          </cell>
          <cell r="W688" t="str">
            <v>KEW</v>
          </cell>
          <cell r="X688" t="str">
            <v>01/09/2010</v>
          </cell>
          <cell r="Y688" t="str">
            <v>KEW</v>
          </cell>
          <cell r="Z688" t="str">
            <v>16/08/2013</v>
          </cell>
          <cell r="AA688" t="str">
            <v>15/08/2015</v>
          </cell>
          <cell r="AB688" t="str">
            <v>No</v>
          </cell>
          <cell r="AC688" t="str">
            <v>31/08/2013</v>
          </cell>
          <cell r="AD688" t="str">
            <v>Good</v>
          </cell>
          <cell r="AE688" t="str">
            <v>V1 - Existing / No Claim</v>
          </cell>
          <cell r="AF688">
            <v>42789</v>
          </cell>
          <cell r="AG688">
            <v>9.17</v>
          </cell>
          <cell r="AH688" t="str">
            <v>PPM</v>
          </cell>
          <cell r="AI688" t="str">
            <v>Strands</v>
          </cell>
          <cell r="AJ688" t="str">
            <v>Strands PW</v>
          </cell>
        </row>
        <row r="689">
          <cell r="A689" t="str">
            <v>IKN400210</v>
          </cell>
          <cell r="B689">
            <v>210</v>
          </cell>
          <cell r="C689" t="str">
            <v>Institut Kanser Negara</v>
          </cell>
          <cell r="D689" t="str">
            <v>KKM/IKN/H/13/1826</v>
          </cell>
          <cell r="E689" t="str">
            <v>16-231</v>
          </cell>
          <cell r="F689" t="str">
            <v>Electrocardiographs, Multichannel, Interpretative</v>
          </cell>
          <cell r="G689" t="str">
            <v>WJ</v>
          </cell>
          <cell r="H689" t="str">
            <v>MULTIDISCIPLINE WARD 1</v>
          </cell>
          <cell r="I689" t="str">
            <v>09WJ130</v>
          </cell>
          <cell r="J689" t="str">
            <v>TREATMENT/ PROCEDURE</v>
          </cell>
          <cell r="K689" t="str">
            <v>BMED</v>
          </cell>
          <cell r="L689" t="str">
            <v>Critical</v>
          </cell>
          <cell r="M689" t="str">
            <v>China</v>
          </cell>
          <cell r="N689" t="str">
            <v>Mac</v>
          </cell>
          <cell r="O689" t="str">
            <v>MAC 800</v>
          </cell>
          <cell r="P689" t="str">
            <v>SJ412450379 WA</v>
          </cell>
          <cell r="Q689" t="str">
            <v>Not Applicable</v>
          </cell>
          <cell r="R689" t="str">
            <v>GE Healthcare Systems</v>
          </cell>
          <cell r="S689" t="str">
            <v>GE Healthcare Technologies</v>
          </cell>
          <cell r="T689" t="str">
            <v>Functioning</v>
          </cell>
          <cell r="U689" t="str">
            <v>Asset</v>
          </cell>
          <cell r="V689">
            <v>25260</v>
          </cell>
          <cell r="W689" t="str">
            <v>KEW</v>
          </cell>
          <cell r="X689" t="str">
            <v>01/09/2010</v>
          </cell>
          <cell r="Y689" t="str">
            <v>KEW</v>
          </cell>
          <cell r="Z689" t="str">
            <v>16/08/2013</v>
          </cell>
          <cell r="AA689" t="str">
            <v>15/08/2015</v>
          </cell>
          <cell r="AB689" t="str">
            <v>No</v>
          </cell>
          <cell r="AC689" t="str">
            <v>31/08/2013</v>
          </cell>
          <cell r="AD689" t="str">
            <v>Good</v>
          </cell>
          <cell r="AE689" t="str">
            <v>V1 - Existing / No Claim</v>
          </cell>
          <cell r="AF689">
            <v>42789</v>
          </cell>
          <cell r="AG689">
            <v>9.17</v>
          </cell>
          <cell r="AH689" t="str">
            <v>PPM</v>
          </cell>
          <cell r="AI689" t="str">
            <v>Strands</v>
          </cell>
          <cell r="AJ689" t="str">
            <v>Strands PW</v>
          </cell>
        </row>
        <row r="690">
          <cell r="A690" t="str">
            <v>IKN400211</v>
          </cell>
          <cell r="B690">
            <v>211</v>
          </cell>
          <cell r="C690" t="str">
            <v>Institut Kanser Negara</v>
          </cell>
          <cell r="D690" t="str">
            <v>KKM/IKN/H/13/2765</v>
          </cell>
          <cell r="E690" t="str">
            <v>11-134</v>
          </cell>
          <cell r="F690" t="str">
            <v>Defibrillators, External, Manual</v>
          </cell>
          <cell r="G690" t="str">
            <v>WJ</v>
          </cell>
          <cell r="H690" t="str">
            <v>MULTIDISCIPLINE WARD 1</v>
          </cell>
          <cell r="I690" t="str">
            <v>09WJ135</v>
          </cell>
          <cell r="J690" t="str">
            <v>RESUS EQUIP</v>
          </cell>
          <cell r="K690" t="str">
            <v>BMED</v>
          </cell>
          <cell r="L690" t="str">
            <v>Critical</v>
          </cell>
          <cell r="M690" t="str">
            <v>USA</v>
          </cell>
          <cell r="N690" t="str">
            <v>Responder</v>
          </cell>
          <cell r="O690" t="str">
            <v>Responder 2000</v>
          </cell>
          <cell r="P690" t="str">
            <v>3206729</v>
          </cell>
          <cell r="Q690" t="str">
            <v>Not Applicable</v>
          </cell>
          <cell r="R690" t="str">
            <v>GE Medical Systems</v>
          </cell>
          <cell r="S690" t="str">
            <v>Antah Sir Radin Sdn. Bhd.</v>
          </cell>
          <cell r="T690" t="str">
            <v>Functioning</v>
          </cell>
          <cell r="U690" t="str">
            <v>Asset</v>
          </cell>
          <cell r="V690">
            <v>45000</v>
          </cell>
          <cell r="W690" t="str">
            <v>KEW</v>
          </cell>
          <cell r="X690" t="str">
            <v>01/09/2010</v>
          </cell>
          <cell r="Y690" t="str">
            <v>KEW</v>
          </cell>
          <cell r="Z690" t="str">
            <v>16/08/2013</v>
          </cell>
          <cell r="AA690" t="str">
            <v>15/08/2015</v>
          </cell>
          <cell r="AB690" t="str">
            <v>No</v>
          </cell>
          <cell r="AC690" t="str">
            <v>31/08/2013</v>
          </cell>
          <cell r="AD690" t="str">
            <v>Good</v>
          </cell>
          <cell r="AE690" t="str">
            <v>V3 - Added Installed Facilities (New)</v>
          </cell>
          <cell r="AF690">
            <v>42601</v>
          </cell>
          <cell r="AG690">
            <v>9.17</v>
          </cell>
          <cell r="AH690" t="str">
            <v>PPM</v>
          </cell>
          <cell r="AI690" t="str">
            <v>Strands</v>
          </cell>
          <cell r="AJ690" t="str">
            <v>Strands PW</v>
          </cell>
          <cell r="AK690" t="str">
            <v>SNF received. 1st batch of V3 asset (December 2020)</v>
          </cell>
        </row>
        <row r="691">
          <cell r="A691" t="str">
            <v>IKN400212</v>
          </cell>
          <cell r="B691">
            <v>212</v>
          </cell>
          <cell r="C691" t="str">
            <v>Institut Kanser Negara</v>
          </cell>
          <cell r="D691" t="str">
            <v>KKM/IKN/H/13/2013</v>
          </cell>
          <cell r="E691" t="str">
            <v>16-173</v>
          </cell>
          <cell r="F691" t="str">
            <v>Sphygmomanometers, Electronic, Automatic</v>
          </cell>
          <cell r="G691" t="str">
            <v>WJ</v>
          </cell>
          <cell r="H691" t="str">
            <v>MULTIDISCIPLINE WARD 1</v>
          </cell>
          <cell r="I691" t="str">
            <v>09WJ136</v>
          </cell>
          <cell r="J691" t="str">
            <v>NURSE STATION</v>
          </cell>
          <cell r="K691" t="str">
            <v>BMED</v>
          </cell>
          <cell r="L691" t="str">
            <v>Normal</v>
          </cell>
          <cell r="M691" t="str">
            <v>USA</v>
          </cell>
          <cell r="N691" t="str">
            <v>Connex</v>
          </cell>
          <cell r="O691" t="str">
            <v>Connex ProBP 3400</v>
          </cell>
          <cell r="P691" t="str">
            <v>100001750613</v>
          </cell>
          <cell r="Q691" t="str">
            <v>Not Applicable</v>
          </cell>
          <cell r="R691" t="str">
            <v>Welch Allyn Inc</v>
          </cell>
          <cell r="S691" t="str">
            <v>Welch Allyn Malaysia Sdn Bhd</v>
          </cell>
          <cell r="T691" t="str">
            <v>Functioning</v>
          </cell>
          <cell r="U691" t="str">
            <v>Asset</v>
          </cell>
          <cell r="V691">
            <v>4510</v>
          </cell>
          <cell r="W691" t="str">
            <v>KEW</v>
          </cell>
          <cell r="X691" t="str">
            <v>01/09/2010</v>
          </cell>
          <cell r="Y691" t="str">
            <v>KEW</v>
          </cell>
          <cell r="Z691" t="str">
            <v>16/08/2013</v>
          </cell>
          <cell r="AA691" t="str">
            <v>15/08/2015</v>
          </cell>
          <cell r="AB691" t="str">
            <v>No</v>
          </cell>
          <cell r="AC691" t="str">
            <v>31/08/2013</v>
          </cell>
          <cell r="AD691" t="str">
            <v>Good</v>
          </cell>
          <cell r="AE691" t="str">
            <v>V1 - Existing / No Claim</v>
          </cell>
          <cell r="AF691">
            <v>42235</v>
          </cell>
          <cell r="AG691">
            <v>9.17</v>
          </cell>
          <cell r="AH691" t="str">
            <v>PPM</v>
          </cell>
          <cell r="AI691" t="str">
            <v>Strands</v>
          </cell>
          <cell r="AJ691" t="str">
            <v>Strands PW</v>
          </cell>
        </row>
        <row r="692">
          <cell r="A692" t="str">
            <v>IKN400213</v>
          </cell>
          <cell r="B692">
            <v>213</v>
          </cell>
          <cell r="C692" t="str">
            <v>Institut Kanser Negara</v>
          </cell>
          <cell r="D692" t="str">
            <v>KKM/IKN/H/13/2244</v>
          </cell>
          <cell r="E692" t="str">
            <v>16-173</v>
          </cell>
          <cell r="F692" t="str">
            <v>Sphygmomanometers, Electronic, Automatic</v>
          </cell>
          <cell r="G692" t="str">
            <v>WJ</v>
          </cell>
          <cell r="H692" t="str">
            <v>MULTIDISCIPLINE WARD 1</v>
          </cell>
          <cell r="I692" t="str">
            <v>09WJ136</v>
          </cell>
          <cell r="J692" t="str">
            <v>NURSE STATION</v>
          </cell>
          <cell r="K692" t="str">
            <v>BMED</v>
          </cell>
          <cell r="L692" t="str">
            <v>Critical</v>
          </cell>
          <cell r="M692" t="str">
            <v>USA</v>
          </cell>
          <cell r="N692" t="str">
            <v>Connex</v>
          </cell>
          <cell r="O692" t="str">
            <v>Connex ProBP 3400</v>
          </cell>
          <cell r="P692" t="str">
            <v>100000684313</v>
          </cell>
          <cell r="Q692" t="str">
            <v>Not Applicable</v>
          </cell>
          <cell r="R692" t="str">
            <v>Welch Allyn Inc</v>
          </cell>
          <cell r="S692" t="str">
            <v>Welch Allyn Malaysia Sdn Bhd</v>
          </cell>
          <cell r="T692" t="str">
            <v>Functioning</v>
          </cell>
          <cell r="U692" t="str">
            <v>Asset</v>
          </cell>
          <cell r="V692">
            <v>4510</v>
          </cell>
          <cell r="W692" t="str">
            <v>KEW</v>
          </cell>
          <cell r="X692" t="str">
            <v>01/09/2010</v>
          </cell>
          <cell r="Y692" t="str">
            <v>KEW</v>
          </cell>
          <cell r="Z692" t="str">
            <v>16/08/2013</v>
          </cell>
          <cell r="AA692" t="str">
            <v>15/08/2015</v>
          </cell>
          <cell r="AB692" t="str">
            <v>No</v>
          </cell>
          <cell r="AC692" t="str">
            <v>31/08/2013</v>
          </cell>
          <cell r="AD692" t="str">
            <v>Good</v>
          </cell>
          <cell r="AE692" t="str">
            <v>V1 - Existing / No Claim</v>
          </cell>
          <cell r="AF692">
            <v>42789</v>
          </cell>
          <cell r="AG692">
            <v>9.17</v>
          </cell>
          <cell r="AH692" t="str">
            <v>PPM</v>
          </cell>
          <cell r="AI692" t="str">
            <v>Strands</v>
          </cell>
          <cell r="AJ692" t="str">
            <v>Strands PW</v>
          </cell>
        </row>
        <row r="693">
          <cell r="A693" t="str">
            <v>IKN400214</v>
          </cell>
          <cell r="B693">
            <v>214</v>
          </cell>
          <cell r="C693" t="str">
            <v>Institut Kanser Negara</v>
          </cell>
          <cell r="D693" t="str">
            <v>KKM/IKN/H/13/2014</v>
          </cell>
          <cell r="E693" t="str">
            <v>16-173</v>
          </cell>
          <cell r="F693" t="str">
            <v>Sphygmomanometers, Electronic, Automatic</v>
          </cell>
          <cell r="G693" t="str">
            <v>WJ</v>
          </cell>
          <cell r="H693" t="str">
            <v>MULTIDISCIPLINE WARD 1</v>
          </cell>
          <cell r="I693" t="str">
            <v>09WJ205</v>
          </cell>
          <cell r="J693" t="str">
            <v>NURSE STATION</v>
          </cell>
          <cell r="K693" t="str">
            <v>BMED</v>
          </cell>
          <cell r="L693" t="str">
            <v>Critical</v>
          </cell>
          <cell r="M693" t="str">
            <v>USA</v>
          </cell>
          <cell r="N693" t="str">
            <v>Connex</v>
          </cell>
          <cell r="O693" t="str">
            <v>Connex ProBP 3400</v>
          </cell>
          <cell r="P693" t="str">
            <v>100001680613</v>
          </cell>
          <cell r="Q693" t="str">
            <v>Not Applicable</v>
          </cell>
          <cell r="R693" t="str">
            <v>Welch Allyn Inc</v>
          </cell>
          <cell r="S693" t="str">
            <v>Welch Allyn Malaysia Sdn Bhd</v>
          </cell>
          <cell r="T693" t="str">
            <v>Functioning</v>
          </cell>
          <cell r="U693" t="str">
            <v>Asset</v>
          </cell>
          <cell r="V693">
            <v>4510</v>
          </cell>
          <cell r="W693" t="str">
            <v>KEW</v>
          </cell>
          <cell r="X693" t="str">
            <v>01/09/2010</v>
          </cell>
          <cell r="Y693" t="str">
            <v>KEW</v>
          </cell>
          <cell r="Z693" t="str">
            <v>16/08/2013</v>
          </cell>
          <cell r="AA693" t="str">
            <v>15/08/2015</v>
          </cell>
          <cell r="AB693" t="str">
            <v>No</v>
          </cell>
          <cell r="AC693" t="str">
            <v>31/08/2013</v>
          </cell>
          <cell r="AD693" t="str">
            <v>Good</v>
          </cell>
          <cell r="AE693" t="str">
            <v>V1 - Existing / No Claim</v>
          </cell>
          <cell r="AF693">
            <v>42789</v>
          </cell>
          <cell r="AG693">
            <v>9.17</v>
          </cell>
          <cell r="AH693" t="str">
            <v>PPM</v>
          </cell>
          <cell r="AI693" t="str">
            <v>Strands</v>
          </cell>
          <cell r="AJ693" t="str">
            <v>Strands PW</v>
          </cell>
        </row>
        <row r="694">
          <cell r="A694" t="str">
            <v>IKN400215</v>
          </cell>
          <cell r="B694">
            <v>215</v>
          </cell>
          <cell r="C694" t="str">
            <v>Institut Kanser Negara</v>
          </cell>
          <cell r="D694" t="str">
            <v>KKM/IKN/H/13/2016</v>
          </cell>
          <cell r="E694" t="str">
            <v>16-173</v>
          </cell>
          <cell r="F694" t="str">
            <v>Sphygmomanometers, Electronic, Automatic</v>
          </cell>
          <cell r="G694" t="str">
            <v>WJ</v>
          </cell>
          <cell r="H694" t="str">
            <v>MULTIDISCIPLINE WARD 1</v>
          </cell>
          <cell r="I694" t="str">
            <v>09WJ205</v>
          </cell>
          <cell r="J694" t="str">
            <v>NURSE STATION</v>
          </cell>
          <cell r="K694" t="str">
            <v>BMED</v>
          </cell>
          <cell r="L694" t="str">
            <v>Critical</v>
          </cell>
          <cell r="M694" t="str">
            <v>USA</v>
          </cell>
          <cell r="N694" t="str">
            <v>Connex</v>
          </cell>
          <cell r="O694" t="str">
            <v>Connex ProBP 3400</v>
          </cell>
          <cell r="P694" t="str">
            <v>100001710613</v>
          </cell>
          <cell r="Q694" t="str">
            <v>Not Applicable</v>
          </cell>
          <cell r="R694" t="str">
            <v>Welch Allyn Inc</v>
          </cell>
          <cell r="S694" t="str">
            <v>Welch Allyn Malaysia Sdn Bhd</v>
          </cell>
          <cell r="T694" t="str">
            <v>Functioning</v>
          </cell>
          <cell r="U694" t="str">
            <v>Asset</v>
          </cell>
          <cell r="V694">
            <v>4510</v>
          </cell>
          <cell r="W694" t="str">
            <v>KEW</v>
          </cell>
          <cell r="X694" t="str">
            <v>01/09/2010</v>
          </cell>
          <cell r="Y694" t="str">
            <v>KEW</v>
          </cell>
          <cell r="Z694" t="str">
            <v>16/08/2013</v>
          </cell>
          <cell r="AA694" t="str">
            <v>15/08/2015</v>
          </cell>
          <cell r="AB694" t="str">
            <v>No</v>
          </cell>
          <cell r="AC694" t="str">
            <v>31/08/2013</v>
          </cell>
          <cell r="AD694" t="str">
            <v>Good</v>
          </cell>
          <cell r="AE694" t="str">
            <v>V1 - Existing / No Claim</v>
          </cell>
          <cell r="AF694">
            <v>42789</v>
          </cell>
          <cell r="AG694">
            <v>9.17</v>
          </cell>
          <cell r="AH694" t="str">
            <v>PPM</v>
          </cell>
          <cell r="AI694" t="str">
            <v>Strands</v>
          </cell>
          <cell r="AJ694" t="str">
            <v>Strands PW</v>
          </cell>
        </row>
        <row r="695">
          <cell r="A695" t="str">
            <v>IKN400216</v>
          </cell>
          <cell r="B695">
            <v>216</v>
          </cell>
          <cell r="C695" t="str">
            <v>Institut Kanser Negara</v>
          </cell>
          <cell r="D695" t="str">
            <v>KKM/IKN/H/13/1763</v>
          </cell>
          <cell r="E695" t="str">
            <v>16-173</v>
          </cell>
          <cell r="F695" t="str">
            <v>Sphygmomanometers, Electronic, Automatic</v>
          </cell>
          <cell r="G695" t="str">
            <v>WJ</v>
          </cell>
          <cell r="H695" t="str">
            <v>MULTIDISCIPLINE WARD 1</v>
          </cell>
          <cell r="I695" t="str">
            <v>09WJ209</v>
          </cell>
          <cell r="J695" t="str">
            <v>NURSE STATION</v>
          </cell>
          <cell r="K695" t="str">
            <v>BMED</v>
          </cell>
          <cell r="L695" t="str">
            <v>Critical</v>
          </cell>
          <cell r="M695" t="str">
            <v>USA</v>
          </cell>
          <cell r="N695" t="str">
            <v>Connex</v>
          </cell>
          <cell r="O695" t="str">
            <v>Connex ProBP 3400</v>
          </cell>
          <cell r="P695" t="str">
            <v>100001610613</v>
          </cell>
          <cell r="Q695" t="str">
            <v>Not Applicable</v>
          </cell>
          <cell r="R695" t="str">
            <v>Welch Allyn Inc</v>
          </cell>
          <cell r="S695" t="str">
            <v>Welch Allyn Malaysia Sdn Bhd</v>
          </cell>
          <cell r="T695" t="str">
            <v>Functioning</v>
          </cell>
          <cell r="U695" t="str">
            <v>Asset</v>
          </cell>
          <cell r="V695">
            <v>4510</v>
          </cell>
          <cell r="W695" t="str">
            <v>KEW</v>
          </cell>
          <cell r="X695" t="str">
            <v>01/09/2010</v>
          </cell>
          <cell r="Y695" t="str">
            <v>KEW</v>
          </cell>
          <cell r="Z695" t="str">
            <v>16/08/2013</v>
          </cell>
          <cell r="AA695" t="str">
            <v>15/08/2015</v>
          </cell>
          <cell r="AB695" t="str">
            <v>No</v>
          </cell>
          <cell r="AC695" t="str">
            <v>31/08/2013</v>
          </cell>
          <cell r="AD695" t="str">
            <v>Good</v>
          </cell>
          <cell r="AE695" t="str">
            <v>V1 - Existing / No Claim</v>
          </cell>
          <cell r="AF695">
            <v>42789</v>
          </cell>
          <cell r="AG695">
            <v>9.17</v>
          </cell>
          <cell r="AH695" t="str">
            <v>PPM</v>
          </cell>
          <cell r="AI695" t="str">
            <v>Strands</v>
          </cell>
          <cell r="AJ695" t="str">
            <v>Strands PW</v>
          </cell>
        </row>
        <row r="696">
          <cell r="A696" t="str">
            <v>IKN400217</v>
          </cell>
          <cell r="B696">
            <v>217</v>
          </cell>
          <cell r="C696" t="str">
            <v>Institut Kanser Negara</v>
          </cell>
          <cell r="D696" t="str">
            <v>KKM/IKN/H/13/2015</v>
          </cell>
          <cell r="E696" t="str">
            <v>16-173</v>
          </cell>
          <cell r="F696" t="str">
            <v>Sphygmomanometers, Electronic, Automatic</v>
          </cell>
          <cell r="G696" t="str">
            <v>WJ</v>
          </cell>
          <cell r="H696" t="str">
            <v>MULTIDISCIPLINE WARD 1</v>
          </cell>
          <cell r="I696" t="str">
            <v>09WJ209</v>
          </cell>
          <cell r="J696" t="str">
            <v>NURSE STATION</v>
          </cell>
          <cell r="K696" t="str">
            <v>BMED</v>
          </cell>
          <cell r="L696" t="str">
            <v>Normal</v>
          </cell>
          <cell r="M696" t="str">
            <v>USA</v>
          </cell>
          <cell r="N696" t="str">
            <v>Connex</v>
          </cell>
          <cell r="O696" t="str">
            <v>Connex ProBP 3400</v>
          </cell>
          <cell r="P696" t="str">
            <v>100001780613</v>
          </cell>
          <cell r="Q696" t="str">
            <v>Not Applicable</v>
          </cell>
          <cell r="R696" t="str">
            <v>Welch Allyn Inc</v>
          </cell>
          <cell r="S696" t="str">
            <v>Welch Allyn Malaysia Sdn Bhd</v>
          </cell>
          <cell r="T696" t="str">
            <v>Functioning</v>
          </cell>
          <cell r="U696" t="str">
            <v>Asset</v>
          </cell>
          <cell r="V696">
            <v>4510</v>
          </cell>
          <cell r="W696" t="str">
            <v>KEW</v>
          </cell>
          <cell r="X696" t="str">
            <v>01/09/2010</v>
          </cell>
          <cell r="Y696" t="str">
            <v>KEW</v>
          </cell>
          <cell r="Z696" t="str">
            <v>16/08/2013</v>
          </cell>
          <cell r="AA696" t="str">
            <v>15/08/2015</v>
          </cell>
          <cell r="AB696" t="str">
            <v>No</v>
          </cell>
          <cell r="AC696" t="str">
            <v>31/08/2013</v>
          </cell>
          <cell r="AD696" t="str">
            <v>Good</v>
          </cell>
          <cell r="AE696" t="str">
            <v>V1 - Existing / No Claim</v>
          </cell>
          <cell r="AF696">
            <v>42235</v>
          </cell>
          <cell r="AG696">
            <v>9.17</v>
          </cell>
          <cell r="AH696" t="str">
            <v>PPM</v>
          </cell>
          <cell r="AI696" t="str">
            <v>Strands</v>
          </cell>
          <cell r="AJ696" t="str">
            <v>Strands PW</v>
          </cell>
        </row>
        <row r="697">
          <cell r="A697" t="str">
            <v>IKN400218</v>
          </cell>
          <cell r="B697">
            <v>218</v>
          </cell>
          <cell r="C697" t="str">
            <v>Institut Kanser Negara</v>
          </cell>
          <cell r="D697" t="str">
            <v>KKM/IKN/H/13/2764</v>
          </cell>
          <cell r="E697" t="str">
            <v>11-134</v>
          </cell>
          <cell r="F697" t="str">
            <v>Defibrillators, External, Manual</v>
          </cell>
          <cell r="G697" t="str">
            <v>WJ</v>
          </cell>
          <cell r="H697" t="str">
            <v>MULTIDISCIPLINE WARD 1</v>
          </cell>
          <cell r="I697" t="str">
            <v>09WJ210</v>
          </cell>
          <cell r="J697" t="str">
            <v>RESUS EQUIP.BAY</v>
          </cell>
          <cell r="K697" t="str">
            <v>BMED</v>
          </cell>
          <cell r="L697" t="str">
            <v>Critical</v>
          </cell>
          <cell r="M697" t="str">
            <v>USA</v>
          </cell>
          <cell r="N697" t="str">
            <v>Responder</v>
          </cell>
          <cell r="O697" t="str">
            <v>Responder 2000</v>
          </cell>
          <cell r="P697" t="str">
            <v>3206731</v>
          </cell>
          <cell r="Q697" t="str">
            <v>Not Applicable</v>
          </cell>
          <cell r="R697" t="str">
            <v>GE Medical Systems</v>
          </cell>
          <cell r="S697" t="str">
            <v>Antah Sir Radin Sdn. Bhd.</v>
          </cell>
          <cell r="T697" t="str">
            <v>Functioning</v>
          </cell>
          <cell r="U697" t="str">
            <v>Asset</v>
          </cell>
          <cell r="V697">
            <v>45000</v>
          </cell>
          <cell r="W697" t="str">
            <v>KEW</v>
          </cell>
          <cell r="X697" t="str">
            <v>01/09/2010</v>
          </cell>
          <cell r="Y697" t="str">
            <v>KEW</v>
          </cell>
          <cell r="Z697" t="str">
            <v>16/08/2013</v>
          </cell>
          <cell r="AA697" t="str">
            <v>15/08/2015</v>
          </cell>
          <cell r="AB697" t="str">
            <v>No</v>
          </cell>
          <cell r="AC697" t="str">
            <v>31/08/2013</v>
          </cell>
          <cell r="AD697" t="str">
            <v>Good</v>
          </cell>
          <cell r="AE697" t="str">
            <v>V3 - Added Installed Facilities (New)</v>
          </cell>
          <cell r="AF697">
            <v>42601</v>
          </cell>
          <cell r="AG697">
            <v>9.17</v>
          </cell>
          <cell r="AH697" t="str">
            <v>PPM</v>
          </cell>
          <cell r="AI697" t="str">
            <v>Strands</v>
          </cell>
          <cell r="AJ697" t="str">
            <v>Strands PW</v>
          </cell>
          <cell r="AK697" t="str">
            <v>SNF received. 1st batch of V3 asset (December 2020)</v>
          </cell>
        </row>
        <row r="698">
          <cell r="A698" t="str">
            <v>IKN400221</v>
          </cell>
          <cell r="B698">
            <v>221</v>
          </cell>
          <cell r="C698" t="str">
            <v>Institut Kanser Negara</v>
          </cell>
          <cell r="D698" t="str">
            <v>KKM/IKN/H/13/1825</v>
          </cell>
          <cell r="E698" t="str">
            <v>10-208</v>
          </cell>
          <cell r="F698" t="str">
            <v>Aspirators</v>
          </cell>
          <cell r="G698" t="str">
            <v>WJ</v>
          </cell>
          <cell r="H698" t="str">
            <v>MULTIDISCIPLINE WARD 1</v>
          </cell>
          <cell r="I698" t="str">
            <v>09WJ222</v>
          </cell>
          <cell r="J698" t="str">
            <v>TREATMENT</v>
          </cell>
          <cell r="K698" t="str">
            <v>BMED</v>
          </cell>
          <cell r="L698" t="str">
            <v>Critical</v>
          </cell>
          <cell r="M698" t="str">
            <v>Switzerland</v>
          </cell>
          <cell r="N698" t="str">
            <v>Senator</v>
          </cell>
          <cell r="O698" t="str">
            <v>Senator</v>
          </cell>
          <cell r="P698" t="str">
            <v>1220752</v>
          </cell>
          <cell r="Q698" t="str">
            <v>Not Applicable</v>
          </cell>
          <cell r="R698" t="str">
            <v>Ardo Medical AG</v>
          </cell>
          <cell r="S698" t="str">
            <v>Histopoint</v>
          </cell>
          <cell r="T698" t="str">
            <v>Functioning</v>
          </cell>
          <cell r="U698" t="str">
            <v>Asset</v>
          </cell>
          <cell r="V698">
            <v>5052</v>
          </cell>
          <cell r="W698" t="str">
            <v>KEW</v>
          </cell>
          <cell r="X698" t="str">
            <v>01/09/2010</v>
          </cell>
          <cell r="Y698" t="str">
            <v>KEW</v>
          </cell>
          <cell r="Z698" t="str">
            <v>16/08/2013</v>
          </cell>
          <cell r="AA698" t="str">
            <v>15/08/2015</v>
          </cell>
          <cell r="AB698" t="str">
            <v>No</v>
          </cell>
          <cell r="AC698" t="str">
            <v>31/08/2013</v>
          </cell>
          <cell r="AD698" t="str">
            <v>Good</v>
          </cell>
          <cell r="AE698" t="str">
            <v>V1 - Existing / No Claim</v>
          </cell>
          <cell r="AF698">
            <v>42789</v>
          </cell>
          <cell r="AG698">
            <v>9.17</v>
          </cell>
          <cell r="AH698" t="str">
            <v>PPM</v>
          </cell>
          <cell r="AI698" t="str">
            <v>Strands</v>
          </cell>
          <cell r="AJ698" t="str">
            <v>Strands PW</v>
          </cell>
        </row>
        <row r="699">
          <cell r="A699" t="str">
            <v>IKN400222</v>
          </cell>
          <cell r="B699">
            <v>222</v>
          </cell>
          <cell r="C699" t="str">
            <v>Institut Kanser Negara</v>
          </cell>
          <cell r="D699" t="str">
            <v>KKM/IKN/H/13/2208</v>
          </cell>
          <cell r="E699" t="str">
            <v>16-173</v>
          </cell>
          <cell r="F699" t="str">
            <v>Sphygmomanometers, Electronic, Automatic</v>
          </cell>
          <cell r="G699" t="str">
            <v>WJ</v>
          </cell>
          <cell r="H699" t="str">
            <v>MULTIDISCIPLINE WARD 1</v>
          </cell>
          <cell r="I699" t="str">
            <v>09WJ222</v>
          </cell>
          <cell r="J699" t="str">
            <v>TREATMENT</v>
          </cell>
          <cell r="K699" t="str">
            <v>BMED</v>
          </cell>
          <cell r="L699" t="str">
            <v>Critical</v>
          </cell>
          <cell r="M699" t="str">
            <v>Mexico</v>
          </cell>
          <cell r="N699" t="str">
            <v>Carespace</v>
          </cell>
          <cell r="O699" t="str">
            <v>Carescape V100</v>
          </cell>
          <cell r="P699" t="str">
            <v>SH612430116SA</v>
          </cell>
          <cell r="Q699" t="str">
            <v>Not Applicable</v>
          </cell>
          <cell r="R699" t="str">
            <v>GE Healthcare Systems</v>
          </cell>
          <cell r="S699" t="str">
            <v>GE Healthcare Technologies</v>
          </cell>
          <cell r="T699" t="str">
            <v>Functioning</v>
          </cell>
          <cell r="U699" t="str">
            <v>Asset</v>
          </cell>
          <cell r="V699">
            <v>7770</v>
          </cell>
          <cell r="W699" t="str">
            <v>KEW</v>
          </cell>
          <cell r="X699" t="str">
            <v>01/09/2010</v>
          </cell>
          <cell r="Y699" t="str">
            <v>KEW</v>
          </cell>
          <cell r="Z699" t="str">
            <v>16/08/2013</v>
          </cell>
          <cell r="AA699" t="str">
            <v>15/08/2015</v>
          </cell>
          <cell r="AB699" t="str">
            <v>No</v>
          </cell>
          <cell r="AC699" t="str">
            <v>31/08/2013</v>
          </cell>
          <cell r="AD699" t="str">
            <v>Good</v>
          </cell>
          <cell r="AE699" t="str">
            <v>V1 - Existing / No Claim</v>
          </cell>
          <cell r="AF699">
            <v>42789</v>
          </cell>
          <cell r="AG699">
            <v>9.17</v>
          </cell>
          <cell r="AH699" t="str">
            <v>PPM</v>
          </cell>
          <cell r="AI699" t="str">
            <v>Strands</v>
          </cell>
          <cell r="AJ699" t="str">
            <v>Strands PW</v>
          </cell>
        </row>
        <row r="700">
          <cell r="A700" t="str">
            <v>IKN400223</v>
          </cell>
          <cell r="B700">
            <v>223</v>
          </cell>
          <cell r="C700" t="str">
            <v>Institut Kanser Negara</v>
          </cell>
          <cell r="D700" t="str">
            <v>KKM/IKN/H/13/2206</v>
          </cell>
          <cell r="E700" t="str">
            <v>16-231</v>
          </cell>
          <cell r="F700" t="str">
            <v>Electrocardiographs, Multichannel, Interpretative</v>
          </cell>
          <cell r="G700" t="str">
            <v>WJ</v>
          </cell>
          <cell r="H700" t="str">
            <v>MULTIDISCIPLINE WARD 1</v>
          </cell>
          <cell r="I700" t="str">
            <v>09WJ222</v>
          </cell>
          <cell r="J700" t="str">
            <v>TREATMENT</v>
          </cell>
          <cell r="K700" t="str">
            <v>BMED</v>
          </cell>
          <cell r="L700" t="str">
            <v>Normal</v>
          </cell>
          <cell r="M700" t="str">
            <v>China</v>
          </cell>
          <cell r="N700" t="str">
            <v>Mac</v>
          </cell>
          <cell r="O700" t="str">
            <v>MAC 800</v>
          </cell>
          <cell r="P700" t="str">
            <v>SJ412450352WA</v>
          </cell>
          <cell r="Q700" t="str">
            <v>Not Applicable</v>
          </cell>
          <cell r="R700" t="str">
            <v>GE Healthcare Systems</v>
          </cell>
          <cell r="S700" t="str">
            <v>GE Healthcare Technologies</v>
          </cell>
          <cell r="T700" t="str">
            <v>Functioning</v>
          </cell>
          <cell r="U700" t="str">
            <v>Asset</v>
          </cell>
          <cell r="V700">
            <v>25260</v>
          </cell>
          <cell r="W700" t="str">
            <v>KEW</v>
          </cell>
          <cell r="X700" t="str">
            <v>01/09/2010</v>
          </cell>
          <cell r="Y700" t="str">
            <v>KEW</v>
          </cell>
          <cell r="Z700" t="str">
            <v>16/08/2013</v>
          </cell>
          <cell r="AA700" t="str">
            <v>15/08/2015</v>
          </cell>
          <cell r="AB700" t="str">
            <v>No</v>
          </cell>
          <cell r="AC700" t="str">
            <v>31/08/2013</v>
          </cell>
          <cell r="AD700" t="str">
            <v>Good</v>
          </cell>
          <cell r="AE700" t="str">
            <v>V1 - Existing / No Claim</v>
          </cell>
          <cell r="AF700">
            <v>42235</v>
          </cell>
          <cell r="AG700">
            <v>9.17</v>
          </cell>
          <cell r="AH700" t="str">
            <v>PPM</v>
          </cell>
          <cell r="AI700" t="str">
            <v>Strands</v>
          </cell>
          <cell r="AJ700" t="str">
            <v>Strands PW</v>
          </cell>
        </row>
        <row r="701">
          <cell r="A701" t="str">
            <v>IKN400224</v>
          </cell>
          <cell r="B701">
            <v>224</v>
          </cell>
          <cell r="C701" t="str">
            <v>Institut Kanser Negara</v>
          </cell>
          <cell r="D701" t="str">
            <v>KKM/IKN/H/13/2210</v>
          </cell>
          <cell r="E701" t="str">
            <v>13-217</v>
          </cell>
          <cell r="F701" t="str">
            <v>Infusion Pumps, Syringe</v>
          </cell>
          <cell r="G701" t="str">
            <v>WJ</v>
          </cell>
          <cell r="H701" t="str">
            <v>MULTIDISCIPLINE WARD 1</v>
          </cell>
          <cell r="I701" t="str">
            <v>09WJ126</v>
          </cell>
          <cell r="J701" t="str">
            <v>EQUIPT. ROOM</v>
          </cell>
          <cell r="K701" t="str">
            <v>BMED</v>
          </cell>
          <cell r="L701" t="str">
            <v>Normal</v>
          </cell>
          <cell r="M701" t="str">
            <v>Germany</v>
          </cell>
          <cell r="N701" t="str">
            <v>Perfusor</v>
          </cell>
          <cell r="O701" t="str">
            <v>Perfusor Space</v>
          </cell>
          <cell r="P701" t="str">
            <v>211431</v>
          </cell>
          <cell r="Q701" t="str">
            <v>Not Applicable</v>
          </cell>
          <cell r="R701" t="str">
            <v>B Braun Melsungen AG</v>
          </cell>
          <cell r="S701" t="str">
            <v>B Braun Medical Supplies Sdn. Bhd.</v>
          </cell>
          <cell r="T701" t="str">
            <v>Functioning</v>
          </cell>
          <cell r="U701" t="str">
            <v>Asset</v>
          </cell>
          <cell r="V701">
            <v>10225</v>
          </cell>
          <cell r="W701" t="str">
            <v>KEW</v>
          </cell>
          <cell r="X701" t="str">
            <v>01/09/2010</v>
          </cell>
          <cell r="Y701" t="str">
            <v>KEW</v>
          </cell>
          <cell r="Z701" t="str">
            <v>16/08/2013</v>
          </cell>
          <cell r="AA701" t="str">
            <v>15/08/2015</v>
          </cell>
          <cell r="AB701" t="str">
            <v>No</v>
          </cell>
          <cell r="AC701" t="str">
            <v>31/08/2013</v>
          </cell>
          <cell r="AD701" t="str">
            <v>Good</v>
          </cell>
          <cell r="AE701" t="str">
            <v>V1 - Existing / No Claim</v>
          </cell>
          <cell r="AF701">
            <v>42235</v>
          </cell>
          <cell r="AG701">
            <v>9.17</v>
          </cell>
          <cell r="AH701" t="str">
            <v>PPM</v>
          </cell>
          <cell r="AI701" t="str">
            <v>Strands</v>
          </cell>
          <cell r="AJ701" t="str">
            <v>Strands PW</v>
          </cell>
        </row>
        <row r="702">
          <cell r="A702" t="str">
            <v>IKN400225</v>
          </cell>
          <cell r="B702">
            <v>225</v>
          </cell>
          <cell r="C702" t="str">
            <v>Institut Kanser Negara</v>
          </cell>
          <cell r="D702" t="str">
            <v>KKM/IKN/H/13/2211</v>
          </cell>
          <cell r="E702" t="str">
            <v>13-217</v>
          </cell>
          <cell r="F702" t="str">
            <v>Infusion Pumps, Syringe</v>
          </cell>
          <cell r="G702" t="str">
            <v>WJ</v>
          </cell>
          <cell r="H702" t="str">
            <v>MULTIDISCIPLINE WARD 1</v>
          </cell>
          <cell r="I702" t="str">
            <v>09WJ126</v>
          </cell>
          <cell r="J702" t="str">
            <v>EQUIPT. ROOM</v>
          </cell>
          <cell r="K702" t="str">
            <v>BMED</v>
          </cell>
          <cell r="L702" t="str">
            <v>Normal</v>
          </cell>
          <cell r="M702" t="str">
            <v>Germany</v>
          </cell>
          <cell r="N702" t="str">
            <v>Perfusor</v>
          </cell>
          <cell r="O702" t="str">
            <v>Perfusor Space</v>
          </cell>
          <cell r="P702" t="str">
            <v>211426</v>
          </cell>
          <cell r="Q702" t="str">
            <v>Not Applicable</v>
          </cell>
          <cell r="R702" t="str">
            <v>B Braun Melsungen AG</v>
          </cell>
          <cell r="S702" t="str">
            <v>B Braun Medical Supplies Sdn. Bhd.</v>
          </cell>
          <cell r="T702" t="str">
            <v>Functioning</v>
          </cell>
          <cell r="U702" t="str">
            <v>Asset</v>
          </cell>
          <cell r="V702">
            <v>10225</v>
          </cell>
          <cell r="W702" t="str">
            <v>KEW</v>
          </cell>
          <cell r="X702" t="str">
            <v>01/09/2010</v>
          </cell>
          <cell r="Y702" t="str">
            <v>KEW</v>
          </cell>
          <cell r="Z702" t="str">
            <v>16/08/2013</v>
          </cell>
          <cell r="AA702" t="str">
            <v>15/08/2015</v>
          </cell>
          <cell r="AB702" t="str">
            <v>No</v>
          </cell>
          <cell r="AC702" t="str">
            <v>31/08/2013</v>
          </cell>
          <cell r="AD702" t="str">
            <v>Good</v>
          </cell>
          <cell r="AE702" t="str">
            <v>V1 - Existing / No Claim</v>
          </cell>
          <cell r="AF702">
            <v>42235</v>
          </cell>
          <cell r="AG702">
            <v>9.17</v>
          </cell>
          <cell r="AH702" t="str">
            <v>PPM</v>
          </cell>
          <cell r="AI702" t="str">
            <v>Strands</v>
          </cell>
          <cell r="AJ702" t="str">
            <v>Strands PW</v>
          </cell>
        </row>
        <row r="703">
          <cell r="A703" t="str">
            <v>IKN400226</v>
          </cell>
          <cell r="B703">
            <v>226</v>
          </cell>
          <cell r="C703" t="str">
            <v>Institut Kanser Negara</v>
          </cell>
          <cell r="D703" t="str">
            <v>KKM/IKN/H/13/2213</v>
          </cell>
          <cell r="E703" t="str">
            <v>13-215</v>
          </cell>
          <cell r="F703" t="str">
            <v>Infusion Pumps, General-Purpose</v>
          </cell>
          <cell r="G703" t="str">
            <v>WJ</v>
          </cell>
          <cell r="H703" t="str">
            <v>MULTIDISCIPLINE WARD 1</v>
          </cell>
          <cell r="I703" t="str">
            <v>09WJ126</v>
          </cell>
          <cell r="J703" t="str">
            <v>EQUIPT. ROOM</v>
          </cell>
          <cell r="K703" t="str">
            <v>BMED</v>
          </cell>
          <cell r="L703" t="str">
            <v>Normal</v>
          </cell>
          <cell r="M703" t="str">
            <v>Germany</v>
          </cell>
          <cell r="N703" t="str">
            <v>Infusomat</v>
          </cell>
          <cell r="O703" t="str">
            <v>Infusomat Space</v>
          </cell>
          <cell r="P703" t="str">
            <v>246643</v>
          </cell>
          <cell r="Q703" t="str">
            <v>Not Applicable</v>
          </cell>
          <cell r="R703" t="str">
            <v>B Braun Melsungen AG</v>
          </cell>
          <cell r="S703" t="str">
            <v>B Braun Medical Supplies Sdn. Bhd.</v>
          </cell>
          <cell r="T703" t="str">
            <v>Functioning</v>
          </cell>
          <cell r="U703" t="str">
            <v>Asset</v>
          </cell>
          <cell r="V703">
            <v>10825</v>
          </cell>
          <cell r="W703" t="str">
            <v>KEW</v>
          </cell>
          <cell r="X703" t="str">
            <v>01/09/2010</v>
          </cell>
          <cell r="Y703" t="str">
            <v>KEW</v>
          </cell>
          <cell r="Z703" t="str">
            <v>16/08/2013</v>
          </cell>
          <cell r="AA703" t="str">
            <v>15/08/2015</v>
          </cell>
          <cell r="AB703" t="str">
            <v>No</v>
          </cell>
          <cell r="AC703" t="str">
            <v>31/08/2013</v>
          </cell>
          <cell r="AD703" t="str">
            <v>Good</v>
          </cell>
          <cell r="AE703" t="str">
            <v>V1 - Existing / No Claim</v>
          </cell>
          <cell r="AF703">
            <v>42235</v>
          </cell>
          <cell r="AG703">
            <v>9.17</v>
          </cell>
          <cell r="AH703" t="str">
            <v>PPM</v>
          </cell>
          <cell r="AI703" t="str">
            <v>Strands</v>
          </cell>
          <cell r="AJ703" t="str">
            <v>Strands PW</v>
          </cell>
        </row>
        <row r="704">
          <cell r="A704" t="str">
            <v>IKN400227</v>
          </cell>
          <cell r="B704">
            <v>227</v>
          </cell>
          <cell r="C704" t="str">
            <v>Institut Kanser Negara</v>
          </cell>
          <cell r="D704" t="str">
            <v>KKM/IKN/H/13/2230</v>
          </cell>
          <cell r="E704" t="str">
            <v>13-215</v>
          </cell>
          <cell r="F704" t="str">
            <v>Infusion Pumps, General-Purpose</v>
          </cell>
          <cell r="G704" t="str">
            <v>WJ</v>
          </cell>
          <cell r="H704" t="str">
            <v>MULTIDISCIPLINE WARD 1</v>
          </cell>
          <cell r="I704" t="str">
            <v>09WJ126</v>
          </cell>
          <cell r="J704" t="str">
            <v>EQUIPT. ROOM</v>
          </cell>
          <cell r="K704" t="str">
            <v>BMED</v>
          </cell>
          <cell r="L704" t="str">
            <v>Critical</v>
          </cell>
          <cell r="M704" t="str">
            <v>Germany</v>
          </cell>
          <cell r="N704" t="str">
            <v>Infusomat</v>
          </cell>
          <cell r="O704" t="str">
            <v>Infusomat Space</v>
          </cell>
          <cell r="P704" t="str">
            <v>246642</v>
          </cell>
          <cell r="Q704" t="str">
            <v>Not Applicable</v>
          </cell>
          <cell r="R704" t="str">
            <v>B Braun Melsungen AG</v>
          </cell>
          <cell r="S704" t="str">
            <v>B Braun Medical Supplies Sdn. Bhd.</v>
          </cell>
          <cell r="T704" t="str">
            <v>Functioning</v>
          </cell>
          <cell r="U704" t="str">
            <v>Asset</v>
          </cell>
          <cell r="V704">
            <v>10825</v>
          </cell>
          <cell r="W704" t="str">
            <v>KEW</v>
          </cell>
          <cell r="X704" t="str">
            <v>01/09/2010</v>
          </cell>
          <cell r="Y704" t="str">
            <v>KEW</v>
          </cell>
          <cell r="Z704" t="str">
            <v>16/08/2013</v>
          </cell>
          <cell r="AA704" t="str">
            <v>15/08/2015</v>
          </cell>
          <cell r="AB704" t="str">
            <v>No</v>
          </cell>
          <cell r="AC704" t="str">
            <v>31/08/2013</v>
          </cell>
          <cell r="AD704" t="str">
            <v>Good</v>
          </cell>
          <cell r="AE704" t="str">
            <v>V1 - Existing / No Claim</v>
          </cell>
          <cell r="AF704">
            <v>42789</v>
          </cell>
          <cell r="AG704">
            <v>9.17</v>
          </cell>
          <cell r="AH704" t="str">
            <v>PPM</v>
          </cell>
          <cell r="AI704" t="str">
            <v>Strands</v>
          </cell>
          <cell r="AJ704" t="str">
            <v>Strands PW</v>
          </cell>
        </row>
        <row r="705">
          <cell r="A705" t="str">
            <v>IKN400228</v>
          </cell>
          <cell r="B705">
            <v>228</v>
          </cell>
          <cell r="C705" t="str">
            <v>Institut Kanser Negara</v>
          </cell>
          <cell r="D705" t="str">
            <v>KKM/IKN/H/13/2231</v>
          </cell>
          <cell r="E705" t="str">
            <v>13-215</v>
          </cell>
          <cell r="F705" t="str">
            <v>Infusion Pumps, General-Purpose</v>
          </cell>
          <cell r="G705" t="str">
            <v>WJ</v>
          </cell>
          <cell r="H705" t="str">
            <v>MULTIDISCIPLINE WARD 1</v>
          </cell>
          <cell r="I705" t="str">
            <v>09WJ126</v>
          </cell>
          <cell r="J705" t="str">
            <v>EQUIPT. ROOM</v>
          </cell>
          <cell r="K705" t="str">
            <v>BMED</v>
          </cell>
          <cell r="L705" t="str">
            <v>Normal</v>
          </cell>
          <cell r="M705" t="str">
            <v>Germany</v>
          </cell>
          <cell r="N705" t="str">
            <v>Infusomat</v>
          </cell>
          <cell r="O705" t="str">
            <v>Infusomat Space</v>
          </cell>
          <cell r="P705" t="str">
            <v>237129</v>
          </cell>
          <cell r="Q705" t="str">
            <v>Not Applicable</v>
          </cell>
          <cell r="R705" t="str">
            <v>B Braun Melsungen AG</v>
          </cell>
          <cell r="S705" t="str">
            <v>B Braun Medical Supplies Sdn. Bhd.</v>
          </cell>
          <cell r="T705" t="str">
            <v>Functioning</v>
          </cell>
          <cell r="U705" t="str">
            <v>Asset</v>
          </cell>
          <cell r="V705">
            <v>10825</v>
          </cell>
          <cell r="W705" t="str">
            <v>KEW</v>
          </cell>
          <cell r="X705" t="str">
            <v>01/09/2010</v>
          </cell>
          <cell r="Y705" t="str">
            <v>KEW</v>
          </cell>
          <cell r="Z705" t="str">
            <v>16/08/2013</v>
          </cell>
          <cell r="AA705" t="str">
            <v>15/08/2015</v>
          </cell>
          <cell r="AB705" t="str">
            <v>No</v>
          </cell>
          <cell r="AC705" t="str">
            <v>31/08/2013</v>
          </cell>
          <cell r="AD705" t="str">
            <v>Good</v>
          </cell>
          <cell r="AE705" t="str">
            <v>V1 - Existing / No Claim</v>
          </cell>
          <cell r="AF705">
            <v>42235</v>
          </cell>
          <cell r="AG705">
            <v>9.17</v>
          </cell>
          <cell r="AH705" t="str">
            <v>PPM</v>
          </cell>
          <cell r="AI705" t="str">
            <v>Strands</v>
          </cell>
          <cell r="AJ705" t="str">
            <v>Strands PW</v>
          </cell>
        </row>
        <row r="706">
          <cell r="A706" t="str">
            <v>IKN400229</v>
          </cell>
          <cell r="B706">
            <v>229</v>
          </cell>
          <cell r="C706" t="str">
            <v>Institut Kanser Negara</v>
          </cell>
          <cell r="D706" t="str">
            <v>KKM/IKN/H/13/2214</v>
          </cell>
          <cell r="E706" t="str">
            <v>13-215</v>
          </cell>
          <cell r="F706" t="str">
            <v>Infusion Pumps, General-Purpose</v>
          </cell>
          <cell r="G706" t="str">
            <v>WJ</v>
          </cell>
          <cell r="H706" t="str">
            <v>MULTIDISCIPLINE WARD 1</v>
          </cell>
          <cell r="I706" t="str">
            <v>09WJ126</v>
          </cell>
          <cell r="J706" t="str">
            <v>EQUIPT. ROOM</v>
          </cell>
          <cell r="K706" t="str">
            <v>BMED</v>
          </cell>
          <cell r="L706" t="str">
            <v>Normal</v>
          </cell>
          <cell r="M706" t="str">
            <v>Germany</v>
          </cell>
          <cell r="N706" t="str">
            <v>Infusomat</v>
          </cell>
          <cell r="O706" t="str">
            <v>Infusomat Space</v>
          </cell>
          <cell r="P706" t="str">
            <v>246689</v>
          </cell>
          <cell r="Q706" t="str">
            <v>Not Applicable</v>
          </cell>
          <cell r="R706" t="str">
            <v>B Braun Melsungen AG</v>
          </cell>
          <cell r="S706" t="str">
            <v>B Braun Medical Supplies Sdn. Bhd.</v>
          </cell>
          <cell r="T706" t="str">
            <v>Functioning</v>
          </cell>
          <cell r="U706" t="str">
            <v>Asset</v>
          </cell>
          <cell r="V706">
            <v>10825</v>
          </cell>
          <cell r="W706" t="str">
            <v>KEW</v>
          </cell>
          <cell r="X706" t="str">
            <v>01/09/2010</v>
          </cell>
          <cell r="Y706" t="str">
            <v>KEW</v>
          </cell>
          <cell r="Z706" t="str">
            <v>16/08/2013</v>
          </cell>
          <cell r="AA706" t="str">
            <v>15/08/2015</v>
          </cell>
          <cell r="AB706" t="str">
            <v>No</v>
          </cell>
          <cell r="AC706" t="str">
            <v>31/08/2013</v>
          </cell>
          <cell r="AD706" t="str">
            <v>Good</v>
          </cell>
          <cell r="AE706" t="str">
            <v>V1 - Existing / No Claim</v>
          </cell>
          <cell r="AF706">
            <v>42235</v>
          </cell>
          <cell r="AG706">
            <v>9.17</v>
          </cell>
          <cell r="AH706" t="str">
            <v>PPM</v>
          </cell>
          <cell r="AI706" t="str">
            <v>Strands</v>
          </cell>
          <cell r="AJ706" t="str">
            <v>Strands PW</v>
          </cell>
        </row>
        <row r="707">
          <cell r="A707" t="str">
            <v>IKN400230</v>
          </cell>
          <cell r="B707">
            <v>230</v>
          </cell>
          <cell r="C707" t="str">
            <v>Institut Kanser Negara</v>
          </cell>
          <cell r="D707" t="str">
            <v>KKM/IKN/H/13/2215</v>
          </cell>
          <cell r="E707" t="str">
            <v>13-215</v>
          </cell>
          <cell r="F707" t="str">
            <v>Infusion Pumps, General-Purpose</v>
          </cell>
          <cell r="G707" t="str">
            <v>WJ</v>
          </cell>
          <cell r="H707" t="str">
            <v>MULTIDISCIPLINE WARD 1</v>
          </cell>
          <cell r="I707" t="str">
            <v>09WJ126</v>
          </cell>
          <cell r="J707" t="str">
            <v>EQUIPT. ROOM</v>
          </cell>
          <cell r="K707" t="str">
            <v>BMED</v>
          </cell>
          <cell r="L707" t="str">
            <v>Normal</v>
          </cell>
          <cell r="M707" t="str">
            <v>Germany</v>
          </cell>
          <cell r="N707" t="str">
            <v>Infusomat</v>
          </cell>
          <cell r="O707" t="str">
            <v>Infusomat Space</v>
          </cell>
          <cell r="P707" t="str">
            <v>246674</v>
          </cell>
          <cell r="Q707" t="str">
            <v>Not Applicable</v>
          </cell>
          <cell r="R707" t="str">
            <v>B Braun Melsungen AG</v>
          </cell>
          <cell r="S707" t="str">
            <v>B Braun Medical Supplies Sdn. Bhd.</v>
          </cell>
          <cell r="T707" t="str">
            <v>Functioning</v>
          </cell>
          <cell r="U707" t="str">
            <v>Asset</v>
          </cell>
          <cell r="V707">
            <v>10825</v>
          </cell>
          <cell r="W707" t="str">
            <v>KEW</v>
          </cell>
          <cell r="X707" t="str">
            <v>01/09/2010</v>
          </cell>
          <cell r="Y707" t="str">
            <v>KEW</v>
          </cell>
          <cell r="Z707" t="str">
            <v>16/08/2013</v>
          </cell>
          <cell r="AA707" t="str">
            <v>15/08/2015</v>
          </cell>
          <cell r="AB707" t="str">
            <v>No</v>
          </cell>
          <cell r="AC707" t="str">
            <v>31/08/2013</v>
          </cell>
          <cell r="AD707" t="str">
            <v>Good</v>
          </cell>
          <cell r="AE707" t="str">
            <v>V1 - Existing / No Claim</v>
          </cell>
          <cell r="AF707">
            <v>42235</v>
          </cell>
          <cell r="AG707">
            <v>9.17</v>
          </cell>
          <cell r="AH707" t="str">
            <v>PPM</v>
          </cell>
          <cell r="AI707" t="str">
            <v>Strands</v>
          </cell>
          <cell r="AJ707" t="str">
            <v>Strands PW</v>
          </cell>
        </row>
        <row r="708">
          <cell r="A708" t="str">
            <v>IKN400231</v>
          </cell>
          <cell r="B708">
            <v>231</v>
          </cell>
          <cell r="C708" t="str">
            <v>Institut Kanser Negara</v>
          </cell>
          <cell r="D708" t="str">
            <v>KKM/IKN/H/13/2216</v>
          </cell>
          <cell r="E708" t="str">
            <v>13-215</v>
          </cell>
          <cell r="F708" t="str">
            <v>Infusion Pumps, General-Purpose</v>
          </cell>
          <cell r="G708" t="str">
            <v>WJ</v>
          </cell>
          <cell r="H708" t="str">
            <v>MULTIDISCIPLINE WARD 1</v>
          </cell>
          <cell r="I708" t="str">
            <v>09WJ126</v>
          </cell>
          <cell r="J708" t="str">
            <v>EQUIPT. ROOM</v>
          </cell>
          <cell r="K708" t="str">
            <v>BMED</v>
          </cell>
          <cell r="L708" t="str">
            <v>Normal</v>
          </cell>
          <cell r="M708" t="str">
            <v>Germany</v>
          </cell>
          <cell r="N708" t="str">
            <v>Infusomat</v>
          </cell>
          <cell r="O708" t="str">
            <v>Infusomat Space</v>
          </cell>
          <cell r="P708" t="str">
            <v>245266</v>
          </cell>
          <cell r="Q708" t="str">
            <v>Not Applicable</v>
          </cell>
          <cell r="R708" t="str">
            <v>B Braun Melsungen AG</v>
          </cell>
          <cell r="S708" t="str">
            <v>B Braun Medical Supplies Sdn. Bhd.</v>
          </cell>
          <cell r="T708" t="str">
            <v>Functioning</v>
          </cell>
          <cell r="U708" t="str">
            <v>Asset</v>
          </cell>
          <cell r="V708">
            <v>10825</v>
          </cell>
          <cell r="W708" t="str">
            <v>KEW</v>
          </cell>
          <cell r="X708" t="str">
            <v>01/09/2010</v>
          </cell>
          <cell r="Y708" t="str">
            <v>KEW</v>
          </cell>
          <cell r="Z708" t="str">
            <v>16/08/2013</v>
          </cell>
          <cell r="AA708" t="str">
            <v>15/08/2015</v>
          </cell>
          <cell r="AB708" t="str">
            <v>No</v>
          </cell>
          <cell r="AC708" t="str">
            <v>31/08/2013</v>
          </cell>
          <cell r="AD708" t="str">
            <v>Good</v>
          </cell>
          <cell r="AE708" t="str">
            <v>V1 - Existing / No Claim</v>
          </cell>
          <cell r="AF708">
            <v>42235</v>
          </cell>
          <cell r="AG708">
            <v>9.17</v>
          </cell>
          <cell r="AH708" t="str">
            <v>PPM</v>
          </cell>
          <cell r="AI708" t="str">
            <v>Strands</v>
          </cell>
          <cell r="AJ708" t="str">
            <v>Strands PW</v>
          </cell>
        </row>
        <row r="709">
          <cell r="A709" t="str">
            <v>IKN400232</v>
          </cell>
          <cell r="B709">
            <v>232</v>
          </cell>
          <cell r="C709" t="str">
            <v>Institut Kanser Negara</v>
          </cell>
          <cell r="D709" t="str">
            <v>KKM/IKN/H/13/2217</v>
          </cell>
          <cell r="E709" t="str">
            <v>13-215</v>
          </cell>
          <cell r="F709" t="str">
            <v>Infusion Pumps, General-Purpose</v>
          </cell>
          <cell r="G709" t="str">
            <v>WJ</v>
          </cell>
          <cell r="H709" t="str">
            <v>MULTIDISCIPLINE WARD 1</v>
          </cell>
          <cell r="I709" t="str">
            <v>09WJ126</v>
          </cell>
          <cell r="J709" t="str">
            <v>EQUIPT. ROOM</v>
          </cell>
          <cell r="K709" t="str">
            <v>BMED</v>
          </cell>
          <cell r="L709" t="str">
            <v>Normal</v>
          </cell>
          <cell r="M709" t="str">
            <v>Germany</v>
          </cell>
          <cell r="N709" t="str">
            <v>Infusomat</v>
          </cell>
          <cell r="O709" t="str">
            <v>Infusomat Space</v>
          </cell>
          <cell r="P709" t="str">
            <v>246650</v>
          </cell>
          <cell r="Q709" t="str">
            <v>Not Applicable</v>
          </cell>
          <cell r="R709" t="str">
            <v>B Braun Melsungen AG</v>
          </cell>
          <cell r="S709" t="str">
            <v>B Braun Medical Supplies Sdn. Bhd.</v>
          </cell>
          <cell r="T709" t="str">
            <v>Functioning</v>
          </cell>
          <cell r="U709" t="str">
            <v>Asset</v>
          </cell>
          <cell r="V709">
            <v>10825</v>
          </cell>
          <cell r="W709" t="str">
            <v>KEW</v>
          </cell>
          <cell r="X709" t="str">
            <v>01/09/2010</v>
          </cell>
          <cell r="Y709" t="str">
            <v>KEW</v>
          </cell>
          <cell r="Z709" t="str">
            <v>16/08/2013</v>
          </cell>
          <cell r="AA709" t="str">
            <v>15/08/2015</v>
          </cell>
          <cell r="AB709" t="str">
            <v>No</v>
          </cell>
          <cell r="AC709" t="str">
            <v>31/08/2013</v>
          </cell>
          <cell r="AD709" t="str">
            <v>Good</v>
          </cell>
          <cell r="AE709" t="str">
            <v>V1 - Existing / No Claim</v>
          </cell>
          <cell r="AF709">
            <v>42235</v>
          </cell>
          <cell r="AG709">
            <v>9.17</v>
          </cell>
          <cell r="AH709" t="str">
            <v>PPM</v>
          </cell>
          <cell r="AI709" t="str">
            <v>Strands</v>
          </cell>
          <cell r="AJ709" t="str">
            <v>Strands PW</v>
          </cell>
        </row>
        <row r="710">
          <cell r="A710" t="str">
            <v>IKN400233</v>
          </cell>
          <cell r="B710">
            <v>233</v>
          </cell>
          <cell r="C710" t="str">
            <v>Institut Kanser Negara</v>
          </cell>
          <cell r="D710" t="str">
            <v>KKM/IKN/H/13/2218</v>
          </cell>
          <cell r="E710" t="str">
            <v>13-215</v>
          </cell>
          <cell r="F710" t="str">
            <v>Infusion Pumps, General-Purpose</v>
          </cell>
          <cell r="G710" t="str">
            <v>WJ</v>
          </cell>
          <cell r="H710" t="str">
            <v>MULTIDISCIPLINE WARD 1</v>
          </cell>
          <cell r="I710" t="str">
            <v>09WJ126</v>
          </cell>
          <cell r="J710" t="str">
            <v>EQUIPT. ROOM</v>
          </cell>
          <cell r="K710" t="str">
            <v>BMED</v>
          </cell>
          <cell r="L710" t="str">
            <v>Normal</v>
          </cell>
          <cell r="M710" t="str">
            <v>Germany</v>
          </cell>
          <cell r="N710" t="str">
            <v>Infusomat</v>
          </cell>
          <cell r="O710" t="str">
            <v>Infusomat Space</v>
          </cell>
          <cell r="P710" t="str">
            <v>245254</v>
          </cell>
          <cell r="Q710" t="str">
            <v>Not Applicable</v>
          </cell>
          <cell r="R710" t="str">
            <v>B Braun Melsungen AG</v>
          </cell>
          <cell r="S710" t="str">
            <v>B Braun Medical Supplies Sdn. Bhd.</v>
          </cell>
          <cell r="T710" t="str">
            <v>Functioning</v>
          </cell>
          <cell r="U710" t="str">
            <v>Asset</v>
          </cell>
          <cell r="V710">
            <v>10825</v>
          </cell>
          <cell r="W710" t="str">
            <v>KEW</v>
          </cell>
          <cell r="X710" t="str">
            <v>01/09/2010</v>
          </cell>
          <cell r="Y710" t="str">
            <v>KEW</v>
          </cell>
          <cell r="Z710" t="str">
            <v>16/08/2013</v>
          </cell>
          <cell r="AA710" t="str">
            <v>15/08/2015</v>
          </cell>
          <cell r="AB710" t="str">
            <v>No</v>
          </cell>
          <cell r="AC710" t="str">
            <v>31/08/2013</v>
          </cell>
          <cell r="AD710" t="str">
            <v>Good</v>
          </cell>
          <cell r="AE710" t="str">
            <v>V1 - Existing / No Claim</v>
          </cell>
          <cell r="AF710">
            <v>42235</v>
          </cell>
          <cell r="AG710">
            <v>9.17</v>
          </cell>
          <cell r="AH710" t="str">
            <v>PPM</v>
          </cell>
          <cell r="AI710" t="str">
            <v>Strands</v>
          </cell>
          <cell r="AJ710" t="str">
            <v>Strands PW</v>
          </cell>
        </row>
        <row r="711">
          <cell r="A711" t="str">
            <v>IKN400234</v>
          </cell>
          <cell r="B711">
            <v>234</v>
          </cell>
          <cell r="C711" t="str">
            <v>Institut Kanser Negara</v>
          </cell>
          <cell r="D711" t="str">
            <v>KKM/IKN/H/13/2219</v>
          </cell>
          <cell r="E711" t="str">
            <v>13-215</v>
          </cell>
          <cell r="F711" t="str">
            <v>Infusion Pumps, General-Purpose</v>
          </cell>
          <cell r="G711" t="str">
            <v>WJ</v>
          </cell>
          <cell r="H711" t="str">
            <v>MULTIDISCIPLINE WARD 1</v>
          </cell>
          <cell r="I711" t="str">
            <v>09WJ126</v>
          </cell>
          <cell r="J711" t="str">
            <v>EQUIPT. ROOM</v>
          </cell>
          <cell r="K711" t="str">
            <v>BMED</v>
          </cell>
          <cell r="L711" t="str">
            <v>Normal</v>
          </cell>
          <cell r="M711" t="str">
            <v>Germany</v>
          </cell>
          <cell r="N711" t="str">
            <v>Infusomat</v>
          </cell>
          <cell r="O711" t="str">
            <v>Infusomat Space</v>
          </cell>
          <cell r="P711" t="str">
            <v>237199</v>
          </cell>
          <cell r="Q711" t="str">
            <v>Not Applicable</v>
          </cell>
          <cell r="R711" t="str">
            <v>B Braun Melsungen AG</v>
          </cell>
          <cell r="S711" t="str">
            <v>B Braun Medical Supplies Sdn. Bhd.</v>
          </cell>
          <cell r="T711" t="str">
            <v>Functioning</v>
          </cell>
          <cell r="U711" t="str">
            <v>Asset</v>
          </cell>
          <cell r="V711">
            <v>10825</v>
          </cell>
          <cell r="W711" t="str">
            <v>KEW</v>
          </cell>
          <cell r="X711" t="str">
            <v>01/09/2010</v>
          </cell>
          <cell r="Y711" t="str">
            <v>KEW</v>
          </cell>
          <cell r="Z711" t="str">
            <v>16/08/2013</v>
          </cell>
          <cell r="AA711" t="str">
            <v>15/08/2015</v>
          </cell>
          <cell r="AB711" t="str">
            <v>No</v>
          </cell>
          <cell r="AC711" t="str">
            <v>31/08/2013</v>
          </cell>
          <cell r="AD711" t="str">
            <v>Good</v>
          </cell>
          <cell r="AE711" t="str">
            <v>V1 - Existing / No Claim</v>
          </cell>
          <cell r="AF711">
            <v>42235</v>
          </cell>
          <cell r="AG711">
            <v>9.17</v>
          </cell>
          <cell r="AH711" t="str">
            <v>PPM</v>
          </cell>
          <cell r="AI711" t="str">
            <v>Strands</v>
          </cell>
          <cell r="AJ711" t="str">
            <v>Strands PW</v>
          </cell>
        </row>
        <row r="712">
          <cell r="A712" t="str">
            <v>IKN400235</v>
          </cell>
          <cell r="B712">
            <v>235</v>
          </cell>
          <cell r="C712" t="str">
            <v>Institut Kanser Negara</v>
          </cell>
          <cell r="D712" t="str">
            <v>KKM/IKN/H/13/2220</v>
          </cell>
          <cell r="E712" t="str">
            <v>13-215</v>
          </cell>
          <cell r="F712" t="str">
            <v>Infusion Pumps, General-Purpose</v>
          </cell>
          <cell r="G712" t="str">
            <v>WJ</v>
          </cell>
          <cell r="H712" t="str">
            <v>MULTIDISCIPLINE WARD 1</v>
          </cell>
          <cell r="I712" t="str">
            <v>09WJ126</v>
          </cell>
          <cell r="J712" t="str">
            <v>EQUIPT. ROOM</v>
          </cell>
          <cell r="K712" t="str">
            <v>BMED</v>
          </cell>
          <cell r="L712" t="str">
            <v>Normal</v>
          </cell>
          <cell r="M712" t="str">
            <v>Germany</v>
          </cell>
          <cell r="N712" t="str">
            <v>Infusomat</v>
          </cell>
          <cell r="O712" t="str">
            <v>Infusomat Space</v>
          </cell>
          <cell r="P712" t="str">
            <v>237132</v>
          </cell>
          <cell r="Q712" t="str">
            <v>Not Applicable</v>
          </cell>
          <cell r="R712" t="str">
            <v>B Braun Melsungen AG</v>
          </cell>
          <cell r="S712" t="str">
            <v>B Braun Medical Supplies Sdn. Bhd.</v>
          </cell>
          <cell r="T712" t="str">
            <v>Functioning</v>
          </cell>
          <cell r="U712" t="str">
            <v>Asset</v>
          </cell>
          <cell r="V712">
            <v>10825</v>
          </cell>
          <cell r="W712" t="str">
            <v>KEW</v>
          </cell>
          <cell r="X712" t="str">
            <v>01/09/2010</v>
          </cell>
          <cell r="Y712" t="str">
            <v>KEW</v>
          </cell>
          <cell r="Z712" t="str">
            <v>16/08/2013</v>
          </cell>
          <cell r="AA712" t="str">
            <v>15/08/2015</v>
          </cell>
          <cell r="AB712" t="str">
            <v>No</v>
          </cell>
          <cell r="AC712" t="str">
            <v>31/08/2013</v>
          </cell>
          <cell r="AD712" t="str">
            <v>Good</v>
          </cell>
          <cell r="AE712" t="str">
            <v>V1 - Existing / No Claim</v>
          </cell>
          <cell r="AF712">
            <v>42235</v>
          </cell>
          <cell r="AG712">
            <v>9.17</v>
          </cell>
          <cell r="AH712" t="str">
            <v>PPM</v>
          </cell>
          <cell r="AI712" t="str">
            <v>Strands</v>
          </cell>
          <cell r="AJ712" t="str">
            <v>Strands PW</v>
          </cell>
        </row>
        <row r="713">
          <cell r="A713" t="str">
            <v>IKN400236</v>
          </cell>
          <cell r="B713">
            <v>236</v>
          </cell>
          <cell r="C713" t="str">
            <v>Institut Kanser Negara</v>
          </cell>
          <cell r="D713" t="str">
            <v>KKM/IKN/H/13/2528</v>
          </cell>
          <cell r="E713" t="str">
            <v>16-231</v>
          </cell>
          <cell r="F713" t="str">
            <v>Electrocardiographs, Multichannel, Interpretative</v>
          </cell>
          <cell r="G713" t="str">
            <v>WG</v>
          </cell>
          <cell r="H713" t="str">
            <v>RT/ONCO WARD 1 (M)</v>
          </cell>
          <cell r="I713" t="str">
            <v>08WG107</v>
          </cell>
          <cell r="J713" t="str">
            <v>TREATMENT / PROCEDURE</v>
          </cell>
          <cell r="K713" t="str">
            <v>BMED</v>
          </cell>
          <cell r="L713" t="str">
            <v>Normal</v>
          </cell>
          <cell r="M713" t="str">
            <v>China</v>
          </cell>
          <cell r="N713" t="str">
            <v>Mac</v>
          </cell>
          <cell r="O713" t="str">
            <v>MAC 800</v>
          </cell>
          <cell r="P713" t="str">
            <v>SJ412450375WA</v>
          </cell>
          <cell r="Q713" t="str">
            <v>Not Applicable</v>
          </cell>
          <cell r="R713" t="str">
            <v>GE Healthcare Systems</v>
          </cell>
          <cell r="S713" t="str">
            <v>GE Healthcare Technologies</v>
          </cell>
          <cell r="T713" t="str">
            <v>Functioning</v>
          </cell>
          <cell r="U713" t="str">
            <v>Asset</v>
          </cell>
          <cell r="V713">
            <v>25260</v>
          </cell>
          <cell r="W713" t="str">
            <v>KEW</v>
          </cell>
          <cell r="X713" t="str">
            <v>01/09/2010</v>
          </cell>
          <cell r="Y713" t="str">
            <v>KEW</v>
          </cell>
          <cell r="Z713" t="str">
            <v>16/08/2013</v>
          </cell>
          <cell r="AA713" t="str">
            <v>15/08/2015</v>
          </cell>
          <cell r="AB713" t="str">
            <v>No</v>
          </cell>
          <cell r="AC713" t="str">
            <v>31/08/2013</v>
          </cell>
          <cell r="AD713" t="str">
            <v>Good</v>
          </cell>
          <cell r="AE713" t="str">
            <v>V1 - Existing / No Claim</v>
          </cell>
          <cell r="AF713">
            <v>42235</v>
          </cell>
          <cell r="AG713">
            <v>9.17</v>
          </cell>
          <cell r="AH713" t="str">
            <v>PPM</v>
          </cell>
          <cell r="AI713" t="str">
            <v>Strands</v>
          </cell>
          <cell r="AJ713" t="str">
            <v>Strands PW</v>
          </cell>
        </row>
        <row r="714">
          <cell r="A714" t="str">
            <v>IKN400237</v>
          </cell>
          <cell r="B714">
            <v>237</v>
          </cell>
          <cell r="C714" t="str">
            <v>Institut Kanser Negara</v>
          </cell>
          <cell r="D714" t="str">
            <v>KKM/IKN/H/13/2536</v>
          </cell>
          <cell r="E714" t="str">
            <v>10-208</v>
          </cell>
          <cell r="F714" t="str">
            <v>Aspirators</v>
          </cell>
          <cell r="G714" t="str">
            <v>WG</v>
          </cell>
          <cell r="H714" t="str">
            <v>RT/ONCO WARD 1 (M)</v>
          </cell>
          <cell r="I714" t="str">
            <v>08WG107</v>
          </cell>
          <cell r="J714" t="str">
            <v>TREATMENT / PROCEDURE</v>
          </cell>
          <cell r="K714" t="str">
            <v>BMED</v>
          </cell>
          <cell r="L714" t="str">
            <v>Critical</v>
          </cell>
          <cell r="M714" t="str">
            <v>Switzerland</v>
          </cell>
          <cell r="N714" t="str">
            <v>Senator</v>
          </cell>
          <cell r="O714" t="str">
            <v>Senator</v>
          </cell>
          <cell r="P714" t="str">
            <v>1220753</v>
          </cell>
          <cell r="Q714" t="str">
            <v>Not Applicable</v>
          </cell>
          <cell r="R714" t="str">
            <v>Ardo Medical AG</v>
          </cell>
          <cell r="S714" t="str">
            <v>Histopoint</v>
          </cell>
          <cell r="T714" t="str">
            <v>Functioning</v>
          </cell>
          <cell r="U714" t="str">
            <v>Asset</v>
          </cell>
          <cell r="V714">
            <v>5052</v>
          </cell>
          <cell r="W714" t="str">
            <v>KEW</v>
          </cell>
          <cell r="X714" t="str">
            <v>01/09/2010</v>
          </cell>
          <cell r="Y714" t="str">
            <v>KEW</v>
          </cell>
          <cell r="Z714" t="str">
            <v>16/08/2013</v>
          </cell>
          <cell r="AA714" t="str">
            <v>15/08/2015</v>
          </cell>
          <cell r="AB714" t="str">
            <v>No</v>
          </cell>
          <cell r="AC714" t="str">
            <v>31/08/2013</v>
          </cell>
          <cell r="AD714" t="str">
            <v>Good</v>
          </cell>
          <cell r="AE714" t="str">
            <v>V1 - Existing / No Claim</v>
          </cell>
          <cell r="AF714">
            <v>42789</v>
          </cell>
          <cell r="AG714">
            <v>9.17</v>
          </cell>
          <cell r="AH714" t="str">
            <v>PPM</v>
          </cell>
          <cell r="AI714" t="str">
            <v>Strands</v>
          </cell>
          <cell r="AJ714" t="str">
            <v>Strands PW</v>
          </cell>
        </row>
        <row r="715">
          <cell r="A715" t="str">
            <v>IKN400241</v>
          </cell>
          <cell r="B715">
            <v>241</v>
          </cell>
          <cell r="C715" t="str">
            <v>Institut Kanser Negara</v>
          </cell>
          <cell r="D715" t="str">
            <v>KKM/IKN/H/13/2555</v>
          </cell>
          <cell r="E715" t="str">
            <v>12-282</v>
          </cell>
          <cell r="F715" t="str">
            <v>Lights, Surgical</v>
          </cell>
          <cell r="G715" t="str">
            <v>WG</v>
          </cell>
          <cell r="H715" t="str">
            <v>RT/ONCO WARD 1 (M)</v>
          </cell>
          <cell r="I715" t="str">
            <v>08WG113</v>
          </cell>
          <cell r="J715" t="str">
            <v>EQUIPMENT ROOM</v>
          </cell>
          <cell r="K715" t="str">
            <v>BMED</v>
          </cell>
          <cell r="L715" t="str">
            <v>Critical</v>
          </cell>
          <cell r="M715" t="str">
            <v>USA</v>
          </cell>
          <cell r="N715" t="str">
            <v>Welch Allyn</v>
          </cell>
          <cell r="O715" t="str">
            <v>Welch Allyn GS600</v>
          </cell>
          <cell r="P715" t="str">
            <v>GS-600-40</v>
          </cell>
          <cell r="Q715" t="str">
            <v>Not Applicable</v>
          </cell>
          <cell r="R715" t="str">
            <v>Welch Allyn Inc</v>
          </cell>
          <cell r="S715" t="str">
            <v>Welch Allyn Malaysia Sdn Bhd</v>
          </cell>
          <cell r="T715" t="str">
            <v>Functioning</v>
          </cell>
          <cell r="U715" t="str">
            <v>Asset</v>
          </cell>
          <cell r="V715">
            <v>5050</v>
          </cell>
          <cell r="W715" t="str">
            <v>KEW</v>
          </cell>
          <cell r="X715" t="str">
            <v>01/09/2010</v>
          </cell>
          <cell r="Y715" t="str">
            <v>KEW</v>
          </cell>
          <cell r="Z715" t="str">
            <v>16/08/2013</v>
          </cell>
          <cell r="AA715" t="str">
            <v>15/08/2015</v>
          </cell>
          <cell r="AB715" t="str">
            <v>No</v>
          </cell>
          <cell r="AC715" t="str">
            <v>31/08/2013</v>
          </cell>
          <cell r="AD715" t="str">
            <v>Good</v>
          </cell>
          <cell r="AE715" t="str">
            <v>V1 - Existing / No Claim</v>
          </cell>
          <cell r="AF715">
            <v>42789</v>
          </cell>
          <cell r="AG715">
            <v>9.17</v>
          </cell>
          <cell r="AH715" t="str">
            <v>PPM</v>
          </cell>
          <cell r="AI715" t="str">
            <v>Strands</v>
          </cell>
          <cell r="AJ715" t="str">
            <v>Strands PW</v>
          </cell>
        </row>
        <row r="716">
          <cell r="A716" t="str">
            <v>IKN400242</v>
          </cell>
          <cell r="B716">
            <v>242</v>
          </cell>
          <cell r="C716" t="str">
            <v>Institut Kanser Negara</v>
          </cell>
          <cell r="D716" t="str">
            <v>KKM/IKN/H/13/2552</v>
          </cell>
          <cell r="E716" t="str">
            <v>15-045</v>
          </cell>
          <cell r="F716" t="str">
            <v>Nebulizers, Nonheated</v>
          </cell>
          <cell r="G716" t="str">
            <v>WG</v>
          </cell>
          <cell r="H716" t="str">
            <v>RT/ONCO WARD 1 (M)</v>
          </cell>
          <cell r="I716" t="str">
            <v>08WG113</v>
          </cell>
          <cell r="J716" t="str">
            <v>EQUIPMENT ROOM</v>
          </cell>
          <cell r="K716" t="str">
            <v>BMED</v>
          </cell>
          <cell r="L716" t="str">
            <v>Normal</v>
          </cell>
          <cell r="M716" t="str">
            <v>Germany</v>
          </cell>
          <cell r="N716" t="str">
            <v>Pari Boy</v>
          </cell>
          <cell r="O716" t="str">
            <v>Pari Boy SX 085</v>
          </cell>
          <cell r="P716" t="str">
            <v>2W12F13761</v>
          </cell>
          <cell r="Q716" t="str">
            <v>Not Applicable</v>
          </cell>
          <cell r="R716" t="str">
            <v>Pari GmbH</v>
          </cell>
          <cell r="S716" t="str">
            <v>Welch Allyn Malaysia Sdn Bhd</v>
          </cell>
          <cell r="T716" t="str">
            <v>Functioning</v>
          </cell>
          <cell r="U716" t="str">
            <v>Asset</v>
          </cell>
          <cell r="V716">
            <v>1140</v>
          </cell>
          <cell r="W716" t="str">
            <v>KEW</v>
          </cell>
          <cell r="X716" t="str">
            <v>01/09/2010</v>
          </cell>
          <cell r="Y716" t="str">
            <v>KEW</v>
          </cell>
          <cell r="Z716" t="str">
            <v>16/08/2013</v>
          </cell>
          <cell r="AA716" t="str">
            <v>15/08/2015</v>
          </cell>
          <cell r="AB716" t="str">
            <v>No</v>
          </cell>
          <cell r="AC716" t="str">
            <v>31/08/2013</v>
          </cell>
          <cell r="AD716" t="str">
            <v>Good</v>
          </cell>
          <cell r="AE716" t="str">
            <v>V1 - Existing / No Claim</v>
          </cell>
          <cell r="AF716">
            <v>42789</v>
          </cell>
          <cell r="AG716">
            <v>9.17</v>
          </cell>
          <cell r="AH716" t="str">
            <v>PPM</v>
          </cell>
          <cell r="AI716" t="str">
            <v>Strands</v>
          </cell>
          <cell r="AJ716" t="str">
            <v>Strands PW</v>
          </cell>
        </row>
        <row r="717">
          <cell r="A717" t="str">
            <v>IKN400243</v>
          </cell>
          <cell r="B717">
            <v>243</v>
          </cell>
          <cell r="C717" t="str">
            <v>Institut Kanser Negara</v>
          </cell>
          <cell r="D717" t="str">
            <v>KKM/IKN/H/13/2549</v>
          </cell>
          <cell r="E717" t="str">
            <v>15-045</v>
          </cell>
          <cell r="F717" t="str">
            <v>Nebulizers, Nonheated</v>
          </cell>
          <cell r="G717" t="str">
            <v>WG</v>
          </cell>
          <cell r="H717" t="str">
            <v>RT/ONCO WARD 1 (M)</v>
          </cell>
          <cell r="I717" t="str">
            <v>08WG113</v>
          </cell>
          <cell r="J717" t="str">
            <v>EQUIPMENT ROOM</v>
          </cell>
          <cell r="K717" t="str">
            <v>BMED</v>
          </cell>
          <cell r="L717" t="str">
            <v>Normal</v>
          </cell>
          <cell r="M717" t="str">
            <v>Germany</v>
          </cell>
          <cell r="N717" t="str">
            <v>Pari Boy</v>
          </cell>
          <cell r="O717" t="str">
            <v>Pari Boy SX 085</v>
          </cell>
          <cell r="P717" t="str">
            <v>2W12K14116</v>
          </cell>
          <cell r="Q717" t="str">
            <v>Not Applicable</v>
          </cell>
          <cell r="R717" t="str">
            <v>Pari GmbH</v>
          </cell>
          <cell r="S717" t="str">
            <v>Welch Allyn Malaysia Sdn Bhd</v>
          </cell>
          <cell r="T717" t="str">
            <v>Functioning</v>
          </cell>
          <cell r="U717" t="str">
            <v>Asset</v>
          </cell>
          <cell r="V717">
            <v>1140</v>
          </cell>
          <cell r="W717" t="str">
            <v>KEW</v>
          </cell>
          <cell r="X717" t="str">
            <v>01/09/2010</v>
          </cell>
          <cell r="Y717" t="str">
            <v>KEW</v>
          </cell>
          <cell r="Z717" t="str">
            <v>16/08/2013</v>
          </cell>
          <cell r="AA717" t="str">
            <v>15/08/2015</v>
          </cell>
          <cell r="AB717" t="str">
            <v>No</v>
          </cell>
          <cell r="AC717" t="str">
            <v>31/08/2013</v>
          </cell>
          <cell r="AD717" t="str">
            <v>Good</v>
          </cell>
          <cell r="AE717" t="str">
            <v>V1 - Existing / No Claim</v>
          </cell>
          <cell r="AF717">
            <v>42789</v>
          </cell>
          <cell r="AG717">
            <v>9.17</v>
          </cell>
          <cell r="AH717" t="str">
            <v>PPM</v>
          </cell>
          <cell r="AI717" t="str">
            <v>Strands</v>
          </cell>
          <cell r="AJ717" t="str">
            <v>Strands PW</v>
          </cell>
        </row>
        <row r="718">
          <cell r="A718" t="str">
            <v>IKN400244</v>
          </cell>
          <cell r="B718">
            <v>244</v>
          </cell>
          <cell r="C718" t="str">
            <v>Institut Kanser Negara</v>
          </cell>
          <cell r="D718" t="str">
            <v>KKM/IKN/H/13/2523</v>
          </cell>
          <cell r="E718" t="str">
            <v>13-217</v>
          </cell>
          <cell r="F718" t="str">
            <v>Infusion Pumps, Syringe</v>
          </cell>
          <cell r="G718" t="str">
            <v>WG</v>
          </cell>
          <cell r="H718" t="str">
            <v>RT/ONCO WARD 1 (M)</v>
          </cell>
          <cell r="I718" t="str">
            <v>08WG113</v>
          </cell>
          <cell r="J718" t="str">
            <v>EQUIPMENT ROOM</v>
          </cell>
          <cell r="K718" t="str">
            <v>BMED</v>
          </cell>
          <cell r="L718" t="str">
            <v>Critical</v>
          </cell>
          <cell r="M718" t="str">
            <v>Germany</v>
          </cell>
          <cell r="N718" t="str">
            <v>Perfusor</v>
          </cell>
          <cell r="O718" t="str">
            <v>Perfusor Space</v>
          </cell>
          <cell r="P718" t="str">
            <v>186599</v>
          </cell>
          <cell r="Q718" t="str">
            <v>Not Applicable</v>
          </cell>
          <cell r="R718" t="str">
            <v>B Braun Melsungen AG</v>
          </cell>
          <cell r="S718" t="str">
            <v>B Braun Medical Supplies Sdn. Bhd.</v>
          </cell>
          <cell r="T718" t="str">
            <v>Functioning</v>
          </cell>
          <cell r="U718" t="str">
            <v>Asset</v>
          </cell>
          <cell r="V718">
            <v>10225</v>
          </cell>
          <cell r="W718" t="str">
            <v>KEW</v>
          </cell>
          <cell r="X718" t="str">
            <v>01/09/2010</v>
          </cell>
          <cell r="Y718" t="str">
            <v>KEW</v>
          </cell>
          <cell r="Z718" t="str">
            <v>16/08/2013</v>
          </cell>
          <cell r="AA718" t="str">
            <v>15/08/2015</v>
          </cell>
          <cell r="AB718" t="str">
            <v>No</v>
          </cell>
          <cell r="AC718" t="str">
            <v>31/08/2013</v>
          </cell>
          <cell r="AD718" t="str">
            <v>Good</v>
          </cell>
          <cell r="AE718" t="str">
            <v>V1 - Existing / No Claim</v>
          </cell>
          <cell r="AF718">
            <v>42789</v>
          </cell>
          <cell r="AG718">
            <v>9.17</v>
          </cell>
          <cell r="AH718" t="str">
            <v>PPM</v>
          </cell>
          <cell r="AI718" t="str">
            <v>Strands</v>
          </cell>
          <cell r="AJ718" t="str">
            <v>Strands PW</v>
          </cell>
        </row>
        <row r="719">
          <cell r="A719" t="str">
            <v>IKN400245</v>
          </cell>
          <cell r="B719">
            <v>245</v>
          </cell>
          <cell r="C719" t="str">
            <v>Institut Kanser Negara</v>
          </cell>
          <cell r="D719" t="str">
            <v>KKM/IKN/H/13/2526</v>
          </cell>
          <cell r="E719" t="str">
            <v>13-217</v>
          </cell>
          <cell r="F719" t="str">
            <v>Infusion Pumps, Syringe</v>
          </cell>
          <cell r="G719" t="str">
            <v>WG</v>
          </cell>
          <cell r="H719" t="str">
            <v>RT/ONCO WARD 1 (M)</v>
          </cell>
          <cell r="I719" t="str">
            <v>08WG113</v>
          </cell>
          <cell r="J719" t="str">
            <v>EQUIPMENT ROOM</v>
          </cell>
          <cell r="K719" t="str">
            <v>BMED</v>
          </cell>
          <cell r="L719" t="str">
            <v>Critical</v>
          </cell>
          <cell r="M719" t="str">
            <v>Germany</v>
          </cell>
          <cell r="N719" t="str">
            <v>Perfusor</v>
          </cell>
          <cell r="O719" t="str">
            <v>Perfusor Space</v>
          </cell>
          <cell r="P719" t="str">
            <v>186996</v>
          </cell>
          <cell r="Q719" t="str">
            <v>Not Applicable</v>
          </cell>
          <cell r="R719" t="str">
            <v>B Braun Melsungen AG</v>
          </cell>
          <cell r="S719" t="str">
            <v>B Braun Medical Supplies Sdn. Bhd.</v>
          </cell>
          <cell r="T719" t="str">
            <v>Functioning</v>
          </cell>
          <cell r="U719" t="str">
            <v>Asset</v>
          </cell>
          <cell r="V719">
            <v>10225</v>
          </cell>
          <cell r="W719" t="str">
            <v>KEW</v>
          </cell>
          <cell r="X719" t="str">
            <v>01/09/2010</v>
          </cell>
          <cell r="Y719" t="str">
            <v>KEW</v>
          </cell>
          <cell r="Z719" t="str">
            <v>16/08/2013</v>
          </cell>
          <cell r="AA719" t="str">
            <v>15/08/2015</v>
          </cell>
          <cell r="AB719" t="str">
            <v>No</v>
          </cell>
          <cell r="AC719" t="str">
            <v>31/08/2013</v>
          </cell>
          <cell r="AD719" t="str">
            <v>Good</v>
          </cell>
          <cell r="AE719" t="str">
            <v>V1 - Existing / No Claim</v>
          </cell>
          <cell r="AF719">
            <v>42789</v>
          </cell>
          <cell r="AG719">
            <v>9.17</v>
          </cell>
          <cell r="AH719" t="str">
            <v>PPM</v>
          </cell>
          <cell r="AI719" t="str">
            <v>Strands</v>
          </cell>
          <cell r="AJ719" t="str">
            <v>Strands PW</v>
          </cell>
        </row>
        <row r="720">
          <cell r="A720" t="str">
            <v>IKN400246</v>
          </cell>
          <cell r="B720">
            <v>246</v>
          </cell>
          <cell r="C720" t="str">
            <v>Institut Kanser Negara</v>
          </cell>
          <cell r="D720" t="str">
            <v>KKM/IKN/H/13/2495</v>
          </cell>
          <cell r="E720" t="str">
            <v>13-215</v>
          </cell>
          <cell r="F720" t="str">
            <v>Infusion Pumps, General-Purpose</v>
          </cell>
          <cell r="G720" t="str">
            <v>WG</v>
          </cell>
          <cell r="H720" t="str">
            <v>RT/ONCO WARD 1 (M)</v>
          </cell>
          <cell r="I720" t="str">
            <v>08WG113</v>
          </cell>
          <cell r="J720" t="str">
            <v>EQUIPMENT ROOM</v>
          </cell>
          <cell r="K720" t="str">
            <v>BMED</v>
          </cell>
          <cell r="L720" t="str">
            <v>Critical</v>
          </cell>
          <cell r="M720" t="str">
            <v>Germany</v>
          </cell>
          <cell r="N720" t="str">
            <v>Infusomat</v>
          </cell>
          <cell r="O720" t="str">
            <v>Infusomat Space</v>
          </cell>
          <cell r="P720" t="str">
            <v>212041</v>
          </cell>
          <cell r="Q720" t="str">
            <v>Not Applicable</v>
          </cell>
          <cell r="R720" t="str">
            <v>B Braun Melsungen AG</v>
          </cell>
          <cell r="S720" t="str">
            <v>B Braun Medical Supplies Sdn. Bhd.</v>
          </cell>
          <cell r="T720" t="str">
            <v>Functioning</v>
          </cell>
          <cell r="U720" t="str">
            <v>Asset</v>
          </cell>
          <cell r="V720">
            <v>10825</v>
          </cell>
          <cell r="W720" t="str">
            <v>KEW</v>
          </cell>
          <cell r="X720" t="str">
            <v>01/09/2010</v>
          </cell>
          <cell r="Y720" t="str">
            <v>KEW</v>
          </cell>
          <cell r="Z720" t="str">
            <v>16/08/2013</v>
          </cell>
          <cell r="AA720" t="str">
            <v>15/08/2015</v>
          </cell>
          <cell r="AB720" t="str">
            <v>No</v>
          </cell>
          <cell r="AC720" t="str">
            <v>31/08/2013</v>
          </cell>
          <cell r="AD720" t="str">
            <v>Good</v>
          </cell>
          <cell r="AE720" t="str">
            <v>V1 - Existing / No Claim</v>
          </cell>
          <cell r="AF720">
            <v>42789</v>
          </cell>
          <cell r="AG720">
            <v>9.17</v>
          </cell>
          <cell r="AH720" t="str">
            <v>PPM</v>
          </cell>
          <cell r="AI720" t="str">
            <v>Strands</v>
          </cell>
          <cell r="AJ720" t="str">
            <v>Strands PW</v>
          </cell>
        </row>
        <row r="721">
          <cell r="A721" t="str">
            <v>IKN400247</v>
          </cell>
          <cell r="B721">
            <v>247</v>
          </cell>
          <cell r="C721" t="str">
            <v>Institut Kanser Negara</v>
          </cell>
          <cell r="D721" t="str">
            <v>KKM/IKN/H/13/2499</v>
          </cell>
          <cell r="E721" t="str">
            <v>13-215</v>
          </cell>
          <cell r="F721" t="str">
            <v>Infusion Pumps, General-Purpose</v>
          </cell>
          <cell r="G721" t="str">
            <v>WG</v>
          </cell>
          <cell r="H721" t="str">
            <v>RT/ONCO WARD 1 (M)</v>
          </cell>
          <cell r="I721" t="str">
            <v>08WG113</v>
          </cell>
          <cell r="J721" t="str">
            <v>EQUIPMENT ROOM</v>
          </cell>
          <cell r="K721" t="str">
            <v>BMED</v>
          </cell>
          <cell r="L721" t="str">
            <v>Critical</v>
          </cell>
          <cell r="M721" t="str">
            <v>Germany</v>
          </cell>
          <cell r="N721" t="str">
            <v>Infusomat</v>
          </cell>
          <cell r="O721" t="str">
            <v>Infusomat Space</v>
          </cell>
          <cell r="P721" t="str">
            <v>212089</v>
          </cell>
          <cell r="Q721" t="str">
            <v>Not Applicable</v>
          </cell>
          <cell r="R721" t="str">
            <v>B Braun Melsungen AG</v>
          </cell>
          <cell r="S721" t="str">
            <v>B Braun Medical Supplies Sdn. Bhd.</v>
          </cell>
          <cell r="T721" t="str">
            <v>Functioning</v>
          </cell>
          <cell r="U721" t="str">
            <v>Asset</v>
          </cell>
          <cell r="V721">
            <v>10825</v>
          </cell>
          <cell r="W721" t="str">
            <v>KEW</v>
          </cell>
          <cell r="X721" t="str">
            <v>01/09/2010</v>
          </cell>
          <cell r="Y721" t="str">
            <v>KEW</v>
          </cell>
          <cell r="Z721" t="str">
            <v>16/08/2013</v>
          </cell>
          <cell r="AA721" t="str">
            <v>15/08/2015</v>
          </cell>
          <cell r="AB721" t="str">
            <v>No</v>
          </cell>
          <cell r="AC721" t="str">
            <v>31/08/2013</v>
          </cell>
          <cell r="AD721" t="str">
            <v>Good</v>
          </cell>
          <cell r="AE721" t="str">
            <v>V1 - Existing / No Claim</v>
          </cell>
          <cell r="AF721">
            <v>42789</v>
          </cell>
          <cell r="AG721">
            <v>9.17</v>
          </cell>
          <cell r="AH721" t="str">
            <v>PPM</v>
          </cell>
          <cell r="AI721" t="str">
            <v>Strands</v>
          </cell>
          <cell r="AJ721" t="str">
            <v>Strands PW</v>
          </cell>
        </row>
        <row r="722">
          <cell r="A722" t="str">
            <v>IKN400248</v>
          </cell>
          <cell r="B722">
            <v>248</v>
          </cell>
          <cell r="C722" t="str">
            <v>Institut Kanser Negara</v>
          </cell>
          <cell r="D722" t="str">
            <v>KKM/IKN/H/13/2502</v>
          </cell>
          <cell r="E722" t="str">
            <v>13-215</v>
          </cell>
          <cell r="F722" t="str">
            <v>Infusion Pumps, General-Purpose</v>
          </cell>
          <cell r="G722" t="str">
            <v>WG</v>
          </cell>
          <cell r="H722" t="str">
            <v>RT/ONCO WARD 1 (M)</v>
          </cell>
          <cell r="I722" t="str">
            <v>08WG113</v>
          </cell>
          <cell r="J722" t="str">
            <v>EQUIPMENT ROOM</v>
          </cell>
          <cell r="K722" t="str">
            <v>BMED</v>
          </cell>
          <cell r="L722" t="str">
            <v>Critical</v>
          </cell>
          <cell r="M722" t="str">
            <v>Germany</v>
          </cell>
          <cell r="N722" t="str">
            <v>Infusomat</v>
          </cell>
          <cell r="O722" t="str">
            <v>Infusomat Space</v>
          </cell>
          <cell r="P722" t="str">
            <v>212101</v>
          </cell>
          <cell r="Q722" t="str">
            <v>Not Applicable</v>
          </cell>
          <cell r="R722" t="str">
            <v>B Braun Melsungen AG</v>
          </cell>
          <cell r="S722" t="str">
            <v>B Braun Medical Supplies Sdn. Bhd.</v>
          </cell>
          <cell r="T722" t="str">
            <v>Functioning</v>
          </cell>
          <cell r="U722" t="str">
            <v>Asset</v>
          </cell>
          <cell r="V722">
            <v>10825</v>
          </cell>
          <cell r="W722" t="str">
            <v>KEW</v>
          </cell>
          <cell r="X722" t="str">
            <v>01/09/2010</v>
          </cell>
          <cell r="Y722" t="str">
            <v>KEW</v>
          </cell>
          <cell r="Z722" t="str">
            <v>16/08/2013</v>
          </cell>
          <cell r="AA722" t="str">
            <v>15/08/2015</v>
          </cell>
          <cell r="AB722" t="str">
            <v>No</v>
          </cell>
          <cell r="AC722" t="str">
            <v>31/08/2013</v>
          </cell>
          <cell r="AD722" t="str">
            <v>Good</v>
          </cell>
          <cell r="AE722" t="str">
            <v>V1 - Existing / No Claim</v>
          </cell>
          <cell r="AF722">
            <v>42789</v>
          </cell>
          <cell r="AG722">
            <v>9.17</v>
          </cell>
          <cell r="AH722" t="str">
            <v>PPM</v>
          </cell>
          <cell r="AI722" t="str">
            <v>Strands</v>
          </cell>
          <cell r="AJ722" t="str">
            <v>Strands PW</v>
          </cell>
        </row>
        <row r="723">
          <cell r="A723" t="str">
            <v>IKN400249</v>
          </cell>
          <cell r="B723">
            <v>249</v>
          </cell>
          <cell r="C723" t="str">
            <v>Institut Kanser Negara</v>
          </cell>
          <cell r="D723" t="str">
            <v>KKM/IKN/H/13/2506</v>
          </cell>
          <cell r="E723" t="str">
            <v>13-215</v>
          </cell>
          <cell r="F723" t="str">
            <v>Infusion Pumps, General-Purpose</v>
          </cell>
          <cell r="G723" t="str">
            <v>WG</v>
          </cell>
          <cell r="H723" t="str">
            <v>RT/ONCO WARD 1 (M)</v>
          </cell>
          <cell r="I723" t="str">
            <v>08WG113</v>
          </cell>
          <cell r="J723" t="str">
            <v>EQUIPMENT ROOM</v>
          </cell>
          <cell r="K723" t="str">
            <v>BMED</v>
          </cell>
          <cell r="L723" t="str">
            <v>Critical</v>
          </cell>
          <cell r="M723" t="str">
            <v>Germany</v>
          </cell>
          <cell r="N723" t="str">
            <v>Infusomat</v>
          </cell>
          <cell r="O723" t="str">
            <v>Infusomat Space</v>
          </cell>
          <cell r="P723">
            <v>211943</v>
          </cell>
          <cell r="Q723" t="str">
            <v>Not Applicable</v>
          </cell>
          <cell r="R723" t="str">
            <v>B Braun Melsungen AG</v>
          </cell>
          <cell r="S723" t="str">
            <v>B Braun Medical Supplies Sdn. Bhd.</v>
          </cell>
          <cell r="T723" t="str">
            <v>Functioning</v>
          </cell>
          <cell r="U723" t="str">
            <v>Asset</v>
          </cell>
          <cell r="V723">
            <v>10825</v>
          </cell>
          <cell r="W723" t="str">
            <v>KEW</v>
          </cell>
          <cell r="X723" t="str">
            <v>01/09/2010</v>
          </cell>
          <cell r="Y723" t="str">
            <v>KEW</v>
          </cell>
          <cell r="Z723" t="str">
            <v>16/08/2013</v>
          </cell>
          <cell r="AA723" t="str">
            <v>15/08/2015</v>
          </cell>
          <cell r="AB723" t="str">
            <v>No</v>
          </cell>
          <cell r="AC723" t="str">
            <v>31/08/2013</v>
          </cell>
          <cell r="AD723" t="str">
            <v>Good</v>
          </cell>
          <cell r="AE723" t="str">
            <v>V1 - Existing / No Claim</v>
          </cell>
          <cell r="AF723">
            <v>42789</v>
          </cell>
          <cell r="AG723">
            <v>9.17</v>
          </cell>
          <cell r="AH723" t="str">
            <v>PPM</v>
          </cell>
          <cell r="AI723" t="str">
            <v>Strands</v>
          </cell>
          <cell r="AJ723" t="str">
            <v>Strands PW</v>
          </cell>
        </row>
        <row r="724">
          <cell r="A724" t="str">
            <v>IKN400250</v>
          </cell>
          <cell r="B724">
            <v>250</v>
          </cell>
          <cell r="C724" t="str">
            <v>Institut Kanser Negara</v>
          </cell>
          <cell r="D724" t="str">
            <v>KKM/IKN/H/13/2508</v>
          </cell>
          <cell r="E724" t="str">
            <v>13-215</v>
          </cell>
          <cell r="F724" t="str">
            <v>Infusion Pumps, General-Purpose</v>
          </cell>
          <cell r="G724" t="str">
            <v>WG</v>
          </cell>
          <cell r="H724" t="str">
            <v>RT/ONCO WARD 1 (M)</v>
          </cell>
          <cell r="I724" t="str">
            <v>08WG113</v>
          </cell>
          <cell r="J724" t="str">
            <v>EQUIPMENT ROOM</v>
          </cell>
          <cell r="K724" t="str">
            <v>BMED</v>
          </cell>
          <cell r="L724" t="str">
            <v>Critical</v>
          </cell>
          <cell r="M724" t="str">
            <v>Germany</v>
          </cell>
          <cell r="N724" t="str">
            <v>Infusomat</v>
          </cell>
          <cell r="O724" t="str">
            <v>Infusomat Space</v>
          </cell>
          <cell r="P724" t="str">
            <v>211900</v>
          </cell>
          <cell r="Q724" t="str">
            <v>Not Applicable</v>
          </cell>
          <cell r="R724" t="str">
            <v>B Braun Melsungen AG</v>
          </cell>
          <cell r="S724" t="str">
            <v>B Braun Medical Supplies Sdn. Bhd.</v>
          </cell>
          <cell r="T724" t="str">
            <v>Functioning</v>
          </cell>
          <cell r="U724" t="str">
            <v>Asset</v>
          </cell>
          <cell r="V724">
            <v>10825</v>
          </cell>
          <cell r="W724" t="str">
            <v>KEW</v>
          </cell>
          <cell r="X724" t="str">
            <v>01/09/2010</v>
          </cell>
          <cell r="Y724" t="str">
            <v>KEW</v>
          </cell>
          <cell r="Z724" t="str">
            <v>16/08/2013</v>
          </cell>
          <cell r="AA724" t="str">
            <v>15/08/2015</v>
          </cell>
          <cell r="AB724" t="str">
            <v>No</v>
          </cell>
          <cell r="AC724" t="str">
            <v>31/08/2013</v>
          </cell>
          <cell r="AD724" t="str">
            <v>Good</v>
          </cell>
          <cell r="AE724" t="str">
            <v>V1 - Existing / No Claim</v>
          </cell>
          <cell r="AF724">
            <v>42789</v>
          </cell>
          <cell r="AG724">
            <v>9.17</v>
          </cell>
          <cell r="AH724" t="str">
            <v>PPM</v>
          </cell>
          <cell r="AI724" t="str">
            <v>Strands</v>
          </cell>
          <cell r="AJ724" t="str">
            <v>Strands PW</v>
          </cell>
        </row>
        <row r="725">
          <cell r="A725" t="str">
            <v>IKN400251</v>
          </cell>
          <cell r="B725">
            <v>251</v>
          </cell>
          <cell r="C725" t="str">
            <v>Institut Kanser Negara</v>
          </cell>
          <cell r="D725" t="str">
            <v>KKM/IKN/H/13/2510</v>
          </cell>
          <cell r="E725" t="str">
            <v>13-215</v>
          </cell>
          <cell r="F725" t="str">
            <v>Infusion Pumps, General-Purpose</v>
          </cell>
          <cell r="G725" t="str">
            <v>WG</v>
          </cell>
          <cell r="H725" t="str">
            <v>RT/ONCO WARD 1 (M)</v>
          </cell>
          <cell r="I725" t="str">
            <v>08WG113</v>
          </cell>
          <cell r="J725" t="str">
            <v>EQUIPMENT ROOM</v>
          </cell>
          <cell r="K725" t="str">
            <v>BMED</v>
          </cell>
          <cell r="L725" t="str">
            <v>Critical</v>
          </cell>
          <cell r="M725" t="str">
            <v>Germany</v>
          </cell>
          <cell r="N725" t="str">
            <v>Infusomat</v>
          </cell>
          <cell r="O725" t="str">
            <v>Infusomat Space</v>
          </cell>
          <cell r="P725" t="str">
            <v>211912</v>
          </cell>
          <cell r="Q725" t="str">
            <v>Not Applicable</v>
          </cell>
          <cell r="R725" t="str">
            <v>B Braun Melsungen AG</v>
          </cell>
          <cell r="S725" t="str">
            <v>B Braun Medical Supplies Sdn. Bhd.</v>
          </cell>
          <cell r="T725" t="str">
            <v>Functioning</v>
          </cell>
          <cell r="U725" t="str">
            <v>Asset</v>
          </cell>
          <cell r="V725">
            <v>10825</v>
          </cell>
          <cell r="W725" t="str">
            <v>KEW</v>
          </cell>
          <cell r="X725" t="str">
            <v>01/09/2010</v>
          </cell>
          <cell r="Y725" t="str">
            <v>KEW</v>
          </cell>
          <cell r="Z725" t="str">
            <v>16/08/2013</v>
          </cell>
          <cell r="AA725" t="str">
            <v>15/08/2015</v>
          </cell>
          <cell r="AB725" t="str">
            <v>No</v>
          </cell>
          <cell r="AC725" t="str">
            <v>31/08/2013</v>
          </cell>
          <cell r="AD725" t="str">
            <v>Good</v>
          </cell>
          <cell r="AE725" t="str">
            <v>V1 - Existing / No Claim</v>
          </cell>
          <cell r="AF725">
            <v>42789</v>
          </cell>
          <cell r="AG725">
            <v>9.17</v>
          </cell>
          <cell r="AH725" t="str">
            <v>PPM</v>
          </cell>
          <cell r="AI725" t="str">
            <v>Strands</v>
          </cell>
          <cell r="AJ725" t="str">
            <v>Strands PW</v>
          </cell>
        </row>
        <row r="726">
          <cell r="A726" t="str">
            <v>IKN400252</v>
          </cell>
          <cell r="B726">
            <v>252</v>
          </cell>
          <cell r="C726" t="str">
            <v>Institut Kanser Negara</v>
          </cell>
          <cell r="D726" t="str">
            <v>KKM/IKN/H/13/2513</v>
          </cell>
          <cell r="E726" t="str">
            <v>13-215</v>
          </cell>
          <cell r="F726" t="str">
            <v>Infusion Pumps, General-Purpose</v>
          </cell>
          <cell r="G726" t="str">
            <v>WG</v>
          </cell>
          <cell r="H726" t="str">
            <v>RT/ONCO WARD 1 (M)</v>
          </cell>
          <cell r="I726" t="str">
            <v>08WG113</v>
          </cell>
          <cell r="J726" t="str">
            <v>EQUIPMENT ROOM</v>
          </cell>
          <cell r="K726" t="str">
            <v>BMED</v>
          </cell>
          <cell r="L726" t="str">
            <v>Normal</v>
          </cell>
          <cell r="M726" t="str">
            <v>Germany</v>
          </cell>
          <cell r="N726" t="str">
            <v>Infusomat</v>
          </cell>
          <cell r="O726" t="str">
            <v>Infusomat Space</v>
          </cell>
          <cell r="P726" t="str">
            <v>212083</v>
          </cell>
          <cell r="Q726" t="str">
            <v>Not Applicable</v>
          </cell>
          <cell r="R726" t="str">
            <v>B Braun Melsungen AG</v>
          </cell>
          <cell r="S726" t="str">
            <v>B Braun Medical Supplies Sdn. Bhd.</v>
          </cell>
          <cell r="T726" t="str">
            <v>Functioning</v>
          </cell>
          <cell r="U726" t="str">
            <v>Asset</v>
          </cell>
          <cell r="V726">
            <v>10825</v>
          </cell>
          <cell r="W726" t="str">
            <v>KEW</v>
          </cell>
          <cell r="X726" t="str">
            <v>01/09/2010</v>
          </cell>
          <cell r="Y726" t="str">
            <v>KEW</v>
          </cell>
          <cell r="Z726" t="str">
            <v>16/08/2013</v>
          </cell>
          <cell r="AA726" t="str">
            <v>15/08/2015</v>
          </cell>
          <cell r="AB726" t="str">
            <v>No</v>
          </cell>
          <cell r="AC726" t="str">
            <v>31/08/2013</v>
          </cell>
          <cell r="AD726" t="str">
            <v>Good</v>
          </cell>
          <cell r="AE726" t="str">
            <v>V1 - Existing / No Claim</v>
          </cell>
          <cell r="AF726">
            <v>42235</v>
          </cell>
          <cell r="AG726">
            <v>9.17</v>
          </cell>
          <cell r="AH726" t="str">
            <v>PPM</v>
          </cell>
          <cell r="AI726" t="str">
            <v>Strands</v>
          </cell>
          <cell r="AJ726" t="str">
            <v>Strands PW</v>
          </cell>
        </row>
        <row r="727">
          <cell r="A727" t="str">
            <v>IKN400253</v>
          </cell>
          <cell r="B727">
            <v>253</v>
          </cell>
          <cell r="C727" t="str">
            <v>Institut Kanser Negara</v>
          </cell>
          <cell r="D727" t="str">
            <v>KKM/IKN/H/13/2516</v>
          </cell>
          <cell r="E727" t="str">
            <v>13-215</v>
          </cell>
          <cell r="F727" t="str">
            <v>Infusion Pumps, General-Purpose</v>
          </cell>
          <cell r="G727" t="str">
            <v>WG</v>
          </cell>
          <cell r="H727" t="str">
            <v>RT/ONCO WARD 1 (M)</v>
          </cell>
          <cell r="I727" t="str">
            <v>08WG113</v>
          </cell>
          <cell r="J727" t="str">
            <v>EQUIPMENT ROOM</v>
          </cell>
          <cell r="K727" t="str">
            <v>BMED</v>
          </cell>
          <cell r="L727" t="str">
            <v>Critical</v>
          </cell>
          <cell r="M727" t="str">
            <v>Germany</v>
          </cell>
          <cell r="N727" t="str">
            <v>Infusomat</v>
          </cell>
          <cell r="O727" t="str">
            <v>Infusomat Space</v>
          </cell>
          <cell r="P727" t="str">
            <v>211897</v>
          </cell>
          <cell r="Q727" t="str">
            <v>Not Applicable</v>
          </cell>
          <cell r="R727" t="str">
            <v>B Braun Melsungen AG</v>
          </cell>
          <cell r="S727" t="str">
            <v>B Braun Medical Supplies Sdn. Bhd.</v>
          </cell>
          <cell r="T727" t="str">
            <v>Functioning</v>
          </cell>
          <cell r="U727" t="str">
            <v>Asset</v>
          </cell>
          <cell r="V727">
            <v>10825</v>
          </cell>
          <cell r="W727" t="str">
            <v>KEW</v>
          </cell>
          <cell r="X727" t="str">
            <v>01/09/2010</v>
          </cell>
          <cell r="Y727" t="str">
            <v>KEW</v>
          </cell>
          <cell r="Z727" t="str">
            <v>16/08/2013</v>
          </cell>
          <cell r="AA727" t="str">
            <v>15/08/2015</v>
          </cell>
          <cell r="AB727" t="str">
            <v>No</v>
          </cell>
          <cell r="AC727" t="str">
            <v>31/08/2013</v>
          </cell>
          <cell r="AD727" t="str">
            <v>Good</v>
          </cell>
          <cell r="AE727" t="str">
            <v>V1 - Existing / No Claim</v>
          </cell>
          <cell r="AF727">
            <v>42789</v>
          </cell>
          <cell r="AG727">
            <v>9.17</v>
          </cell>
          <cell r="AH727" t="str">
            <v>PPM</v>
          </cell>
          <cell r="AI727" t="str">
            <v>Strands</v>
          </cell>
          <cell r="AJ727" t="str">
            <v>Strands PW</v>
          </cell>
        </row>
        <row r="728">
          <cell r="A728" t="str">
            <v>IKN400254</v>
          </cell>
          <cell r="B728">
            <v>254</v>
          </cell>
          <cell r="C728" t="str">
            <v>Institut Kanser Negara</v>
          </cell>
          <cell r="D728" t="str">
            <v>KKM/IKN/H/13/2520</v>
          </cell>
          <cell r="E728" t="str">
            <v>13-215</v>
          </cell>
          <cell r="F728" t="str">
            <v>Infusion Pumps, General-Purpose</v>
          </cell>
          <cell r="G728" t="str">
            <v>WG</v>
          </cell>
          <cell r="H728" t="str">
            <v>RT/ONCO WARD 1 (M)</v>
          </cell>
          <cell r="I728" t="str">
            <v>08WG113</v>
          </cell>
          <cell r="J728" t="str">
            <v>EQUIPMENT ROOM</v>
          </cell>
          <cell r="K728" t="str">
            <v>BMED</v>
          </cell>
          <cell r="L728" t="str">
            <v>Critical</v>
          </cell>
          <cell r="M728" t="str">
            <v>Germany</v>
          </cell>
          <cell r="N728" t="str">
            <v>Infusomat</v>
          </cell>
          <cell r="O728" t="str">
            <v>Infusomat Space</v>
          </cell>
          <cell r="P728" t="str">
            <v>211834</v>
          </cell>
          <cell r="Q728" t="str">
            <v>Not Applicable</v>
          </cell>
          <cell r="R728" t="str">
            <v>B Braun Melsungen AG</v>
          </cell>
          <cell r="S728" t="str">
            <v>B Braun Medical Supplies Sdn. Bhd.</v>
          </cell>
          <cell r="T728" t="str">
            <v>Functioning</v>
          </cell>
          <cell r="U728" t="str">
            <v>Asset</v>
          </cell>
          <cell r="V728">
            <v>10825</v>
          </cell>
          <cell r="W728" t="str">
            <v>KEW</v>
          </cell>
          <cell r="X728" t="str">
            <v>01/09/2010</v>
          </cell>
          <cell r="Y728" t="str">
            <v>KEW</v>
          </cell>
          <cell r="Z728" t="str">
            <v>16/08/2013</v>
          </cell>
          <cell r="AA728" t="str">
            <v>15/08/2015</v>
          </cell>
          <cell r="AB728" t="str">
            <v>No</v>
          </cell>
          <cell r="AC728" t="str">
            <v>31/08/2013</v>
          </cell>
          <cell r="AD728" t="str">
            <v>Good</v>
          </cell>
          <cell r="AE728" t="str">
            <v>V1 - Existing / No Claim</v>
          </cell>
          <cell r="AF728">
            <v>42789</v>
          </cell>
          <cell r="AG728">
            <v>9.17</v>
          </cell>
          <cell r="AH728" t="str">
            <v>PPM</v>
          </cell>
          <cell r="AI728" t="str">
            <v>Strands</v>
          </cell>
          <cell r="AJ728" t="str">
            <v>Strands PW</v>
          </cell>
        </row>
        <row r="729">
          <cell r="A729" t="str">
            <v>IKN400255</v>
          </cell>
          <cell r="B729">
            <v>255</v>
          </cell>
          <cell r="C729" t="str">
            <v>Institut Kanser Negara</v>
          </cell>
          <cell r="D729" t="str">
            <v>KKM/IKN/H/13/2522</v>
          </cell>
          <cell r="E729" t="str">
            <v>13-215</v>
          </cell>
          <cell r="F729" t="str">
            <v>Infusion Pumps, General-Purpose</v>
          </cell>
          <cell r="G729" t="str">
            <v>WG</v>
          </cell>
          <cell r="H729" t="str">
            <v>RT/ONCO WARD 1 (M)</v>
          </cell>
          <cell r="I729" t="str">
            <v>08WG113</v>
          </cell>
          <cell r="J729" t="str">
            <v>EQUIPMENT ROOM</v>
          </cell>
          <cell r="K729" t="str">
            <v>BMED</v>
          </cell>
          <cell r="L729" t="str">
            <v>Critical</v>
          </cell>
          <cell r="M729" t="str">
            <v>Germany</v>
          </cell>
          <cell r="N729" t="str">
            <v>Infusomat</v>
          </cell>
          <cell r="O729" t="str">
            <v>Infusomat Space</v>
          </cell>
          <cell r="P729" t="str">
            <v>211549</v>
          </cell>
          <cell r="Q729" t="str">
            <v>Not Applicable</v>
          </cell>
          <cell r="R729" t="str">
            <v>B Braun Melsungen AG</v>
          </cell>
          <cell r="S729" t="str">
            <v>B Braun Medical Supplies Sdn. Bhd.</v>
          </cell>
          <cell r="T729" t="str">
            <v>Functioning</v>
          </cell>
          <cell r="U729" t="str">
            <v>Asset</v>
          </cell>
          <cell r="V729">
            <v>10825</v>
          </cell>
          <cell r="W729" t="str">
            <v>KEW</v>
          </cell>
          <cell r="X729" t="str">
            <v>01/09/2010</v>
          </cell>
          <cell r="Y729" t="str">
            <v>KEW</v>
          </cell>
          <cell r="Z729" t="str">
            <v>16/08/2013</v>
          </cell>
          <cell r="AA729" t="str">
            <v>15/08/2015</v>
          </cell>
          <cell r="AB729" t="str">
            <v>No</v>
          </cell>
          <cell r="AC729" t="str">
            <v>31/08/2013</v>
          </cell>
          <cell r="AD729" t="str">
            <v>Good</v>
          </cell>
          <cell r="AE729" t="str">
            <v>V1 - Existing / No Claim</v>
          </cell>
          <cell r="AF729">
            <v>42789</v>
          </cell>
          <cell r="AG729">
            <v>9.17</v>
          </cell>
          <cell r="AH729" t="str">
            <v>PPM</v>
          </cell>
          <cell r="AI729" t="str">
            <v>Strands</v>
          </cell>
          <cell r="AJ729" t="str">
            <v>Strands PW</v>
          </cell>
        </row>
        <row r="730">
          <cell r="A730" t="str">
            <v>IKN400256</v>
          </cell>
          <cell r="B730">
            <v>256</v>
          </cell>
          <cell r="C730" t="str">
            <v>Institut Kanser Negara</v>
          </cell>
          <cell r="D730" t="str">
            <v>KKM/IKN/H/13/2541</v>
          </cell>
          <cell r="E730" t="str">
            <v>18-147</v>
          </cell>
          <cell r="F730" t="str">
            <v>Mattress Systems, Alternating-Pressure</v>
          </cell>
          <cell r="G730" t="str">
            <v>WG</v>
          </cell>
          <cell r="H730" t="str">
            <v>RT/ONCO WARD 1 (M)</v>
          </cell>
          <cell r="I730" t="str">
            <v>08WG113</v>
          </cell>
          <cell r="J730" t="str">
            <v>EQUIPMENT ROOM</v>
          </cell>
          <cell r="K730" t="str">
            <v>BMED</v>
          </cell>
          <cell r="L730" t="str">
            <v>Normal</v>
          </cell>
          <cell r="M730" t="str">
            <v>Poland</v>
          </cell>
          <cell r="N730" t="str">
            <v>Nimbus</v>
          </cell>
          <cell r="O730" t="str">
            <v>Nimbus 3</v>
          </cell>
          <cell r="P730" t="str">
            <v>1200006475</v>
          </cell>
          <cell r="Q730" t="str">
            <v>Not Applicable</v>
          </cell>
          <cell r="R730" t="str">
            <v>Arjohuntleigh</v>
          </cell>
          <cell r="S730" t="str">
            <v>Hexamine Sdn. Bhd.</v>
          </cell>
          <cell r="T730" t="str">
            <v>Functioning</v>
          </cell>
          <cell r="U730" t="str">
            <v>Asset</v>
          </cell>
          <cell r="V730">
            <v>28630</v>
          </cell>
          <cell r="W730" t="str">
            <v>KEW</v>
          </cell>
          <cell r="X730" t="str">
            <v>01/09/2010</v>
          </cell>
          <cell r="Y730" t="str">
            <v>KEW</v>
          </cell>
          <cell r="Z730" t="str">
            <v>16/08/2013</v>
          </cell>
          <cell r="AA730" t="str">
            <v>15/08/2015</v>
          </cell>
          <cell r="AB730" t="str">
            <v>No</v>
          </cell>
          <cell r="AC730" t="str">
            <v>31/08/2013</v>
          </cell>
          <cell r="AD730" t="str">
            <v>Good</v>
          </cell>
          <cell r="AE730" t="str">
            <v>V1 - Existing / No Claim</v>
          </cell>
          <cell r="AF730">
            <v>42789</v>
          </cell>
          <cell r="AG730">
            <v>9.17</v>
          </cell>
          <cell r="AH730" t="str">
            <v>PPM</v>
          </cell>
          <cell r="AI730" t="str">
            <v>Strands</v>
          </cell>
          <cell r="AJ730" t="str">
            <v>Strands PW</v>
          </cell>
        </row>
        <row r="731">
          <cell r="A731" t="str">
            <v>IKN400257</v>
          </cell>
          <cell r="B731">
            <v>257</v>
          </cell>
          <cell r="C731" t="str">
            <v>Institut Kanser Negara</v>
          </cell>
          <cell r="D731" t="str">
            <v>KKM/IKN/H/13/2542</v>
          </cell>
          <cell r="E731" t="str">
            <v>18-147</v>
          </cell>
          <cell r="F731" t="str">
            <v>Mattress Systems, Alternating-Pressure</v>
          </cell>
          <cell r="G731" t="str">
            <v>WG</v>
          </cell>
          <cell r="H731" t="str">
            <v>RT/ONCO WARD 1 (M)</v>
          </cell>
          <cell r="I731" t="str">
            <v>08WG113</v>
          </cell>
          <cell r="J731" t="str">
            <v>EQUIPMENT ROOM</v>
          </cell>
          <cell r="K731" t="str">
            <v>BMED</v>
          </cell>
          <cell r="L731" t="str">
            <v>Normal</v>
          </cell>
          <cell r="M731" t="str">
            <v>Poland</v>
          </cell>
          <cell r="N731" t="str">
            <v>Nimbus</v>
          </cell>
          <cell r="O731" t="str">
            <v>Nimbus 3</v>
          </cell>
          <cell r="P731" t="str">
            <v>1200005109</v>
          </cell>
          <cell r="Q731" t="str">
            <v>Not Applicable</v>
          </cell>
          <cell r="R731" t="str">
            <v>Arjohuntleigh</v>
          </cell>
          <cell r="S731" t="str">
            <v>Hexamine Sdn. Bhd.</v>
          </cell>
          <cell r="T731" t="str">
            <v>Functioning</v>
          </cell>
          <cell r="U731" t="str">
            <v>Asset</v>
          </cell>
          <cell r="V731">
            <v>28630</v>
          </cell>
          <cell r="W731" t="str">
            <v>KEW</v>
          </cell>
          <cell r="X731" t="str">
            <v>01/09/2010</v>
          </cell>
          <cell r="Y731" t="str">
            <v>KEW</v>
          </cell>
          <cell r="Z731" t="str">
            <v>16/08/2013</v>
          </cell>
          <cell r="AA731" t="str">
            <v>15/08/2015</v>
          </cell>
          <cell r="AB731" t="str">
            <v>No</v>
          </cell>
          <cell r="AC731" t="str">
            <v>31/08/2013</v>
          </cell>
          <cell r="AD731" t="str">
            <v>Good</v>
          </cell>
          <cell r="AE731" t="str">
            <v>V1 - Existing / No Claim</v>
          </cell>
          <cell r="AF731">
            <v>42789</v>
          </cell>
          <cell r="AG731">
            <v>9.17</v>
          </cell>
          <cell r="AH731" t="str">
            <v>PPM</v>
          </cell>
          <cell r="AI731" t="str">
            <v>Strands</v>
          </cell>
          <cell r="AJ731" t="str">
            <v>Strands PW</v>
          </cell>
        </row>
        <row r="732">
          <cell r="A732" t="str">
            <v>IKN400258</v>
          </cell>
          <cell r="B732">
            <v>258</v>
          </cell>
          <cell r="C732" t="str">
            <v>Institut Kanser Negara</v>
          </cell>
          <cell r="D732" t="str">
            <v>KKM/IKN/H/13/2544</v>
          </cell>
          <cell r="E732" t="str">
            <v>18-147</v>
          </cell>
          <cell r="F732" t="str">
            <v>Mattress Systems, Alternating-Pressure</v>
          </cell>
          <cell r="G732" t="str">
            <v>WG</v>
          </cell>
          <cell r="H732" t="str">
            <v>RT/ONCO WARD 1 (M)</v>
          </cell>
          <cell r="I732" t="str">
            <v>08WG113</v>
          </cell>
          <cell r="J732" t="str">
            <v>EQUIPMENT ROOM</v>
          </cell>
          <cell r="K732" t="str">
            <v>BMED</v>
          </cell>
          <cell r="L732" t="str">
            <v>Normal</v>
          </cell>
          <cell r="M732" t="str">
            <v>Poland</v>
          </cell>
          <cell r="N732" t="str">
            <v>Nimbus</v>
          </cell>
          <cell r="O732" t="str">
            <v>Nimbus 3</v>
          </cell>
          <cell r="P732" t="str">
            <v>1200006455</v>
          </cell>
          <cell r="Q732" t="str">
            <v>Not Applicable</v>
          </cell>
          <cell r="R732" t="str">
            <v>Arjohuntleigh</v>
          </cell>
          <cell r="S732" t="str">
            <v>Hexamine Sdn. Bhd.</v>
          </cell>
          <cell r="T732" t="str">
            <v>Functioning</v>
          </cell>
          <cell r="U732" t="str">
            <v>Asset</v>
          </cell>
          <cell r="V732">
            <v>28630</v>
          </cell>
          <cell r="W732" t="str">
            <v>KEW</v>
          </cell>
          <cell r="X732" t="str">
            <v>01/09/2010</v>
          </cell>
          <cell r="Y732" t="str">
            <v>KEW</v>
          </cell>
          <cell r="Z732" t="str">
            <v>16/08/2013</v>
          </cell>
          <cell r="AA732" t="str">
            <v>15/08/2015</v>
          </cell>
          <cell r="AB732" t="str">
            <v>No</v>
          </cell>
          <cell r="AC732" t="str">
            <v>31/08/2013</v>
          </cell>
          <cell r="AD732" t="str">
            <v>Good</v>
          </cell>
          <cell r="AE732" t="str">
            <v>V1 - Existing / No Claim</v>
          </cell>
          <cell r="AF732">
            <v>42789</v>
          </cell>
          <cell r="AG732">
            <v>9.17</v>
          </cell>
          <cell r="AH732" t="str">
            <v>PPM</v>
          </cell>
          <cell r="AI732" t="str">
            <v>Strands</v>
          </cell>
          <cell r="AJ732" t="str">
            <v>Strands PW</v>
          </cell>
        </row>
        <row r="733">
          <cell r="A733" t="str">
            <v>IKN400259</v>
          </cell>
          <cell r="B733">
            <v>259</v>
          </cell>
          <cell r="C733" t="str">
            <v>Institut Kanser Negara</v>
          </cell>
          <cell r="D733" t="str">
            <v>KKM/IKN/H/13/2545</v>
          </cell>
          <cell r="E733" t="str">
            <v>18-147</v>
          </cell>
          <cell r="F733" t="str">
            <v>Mattress Systems, Alternating-Pressure</v>
          </cell>
          <cell r="G733" t="str">
            <v>WG</v>
          </cell>
          <cell r="H733" t="str">
            <v>RT/ONCO WARD 1 (M)</v>
          </cell>
          <cell r="I733" t="str">
            <v>08WG113</v>
          </cell>
          <cell r="J733" t="str">
            <v>EQUIPMENT ROOM</v>
          </cell>
          <cell r="K733" t="str">
            <v>BMED</v>
          </cell>
          <cell r="L733" t="str">
            <v>Normal</v>
          </cell>
          <cell r="M733" t="str">
            <v>Poland</v>
          </cell>
          <cell r="N733" t="str">
            <v>Nimbus</v>
          </cell>
          <cell r="O733" t="str">
            <v>Nimbus 3</v>
          </cell>
          <cell r="P733" t="str">
            <v>1200006468</v>
          </cell>
          <cell r="Q733" t="str">
            <v>Not Applicable</v>
          </cell>
          <cell r="R733" t="str">
            <v>Arjohuntleigh</v>
          </cell>
          <cell r="S733" t="str">
            <v>Hexamine Sdn. Bhd.</v>
          </cell>
          <cell r="T733" t="str">
            <v>Functioning</v>
          </cell>
          <cell r="U733" t="str">
            <v>Asset</v>
          </cell>
          <cell r="V733">
            <v>28630</v>
          </cell>
          <cell r="W733" t="str">
            <v>KEW</v>
          </cell>
          <cell r="X733" t="str">
            <v>01/09/2010</v>
          </cell>
          <cell r="Y733" t="str">
            <v>KEW</v>
          </cell>
          <cell r="Z733" t="str">
            <v>16/08/2013</v>
          </cell>
          <cell r="AA733" t="str">
            <v>15/08/2015</v>
          </cell>
          <cell r="AB733" t="str">
            <v>No</v>
          </cell>
          <cell r="AC733" t="str">
            <v>31/08/2013</v>
          </cell>
          <cell r="AD733" t="str">
            <v>Good</v>
          </cell>
          <cell r="AE733" t="str">
            <v>V1 - Existing / No Claim</v>
          </cell>
          <cell r="AF733">
            <v>42789</v>
          </cell>
          <cell r="AG733">
            <v>9.17</v>
          </cell>
          <cell r="AH733" t="str">
            <v>PPM</v>
          </cell>
          <cell r="AI733" t="str">
            <v>Strands</v>
          </cell>
          <cell r="AJ733" t="str">
            <v>Strands PW</v>
          </cell>
        </row>
        <row r="734">
          <cell r="A734" t="str">
            <v>IKN400260</v>
          </cell>
          <cell r="B734">
            <v>260</v>
          </cell>
          <cell r="C734" t="str">
            <v>Institut Kanser Negara</v>
          </cell>
          <cell r="D734" t="str">
            <v>KKM/IKN/H/13/2546</v>
          </cell>
          <cell r="E734" t="str">
            <v>18-147</v>
          </cell>
          <cell r="F734" t="str">
            <v>Mattress Systems, Alternating-Pressure</v>
          </cell>
          <cell r="G734" t="str">
            <v>WG</v>
          </cell>
          <cell r="H734" t="str">
            <v>RT/ONCO WARD 1 (M)</v>
          </cell>
          <cell r="I734" t="str">
            <v>08WG113</v>
          </cell>
          <cell r="J734" t="str">
            <v>EQUIPMENT ROOM</v>
          </cell>
          <cell r="K734" t="str">
            <v>BMED</v>
          </cell>
          <cell r="L734" t="str">
            <v>Normal</v>
          </cell>
          <cell r="M734" t="str">
            <v>Poland</v>
          </cell>
          <cell r="N734" t="str">
            <v>Nimbus</v>
          </cell>
          <cell r="O734" t="str">
            <v>Nimbus 3</v>
          </cell>
          <cell r="P734" t="str">
            <v>1200006476</v>
          </cell>
          <cell r="Q734" t="str">
            <v>Not Applicable</v>
          </cell>
          <cell r="R734" t="str">
            <v>Arjohuntleigh</v>
          </cell>
          <cell r="S734" t="str">
            <v>Hexamine Sdn. Bhd.</v>
          </cell>
          <cell r="T734" t="str">
            <v>Functioning</v>
          </cell>
          <cell r="U734" t="str">
            <v>Asset</v>
          </cell>
          <cell r="V734">
            <v>28630</v>
          </cell>
          <cell r="W734" t="str">
            <v>KEW</v>
          </cell>
          <cell r="X734" t="str">
            <v>01/09/2010</v>
          </cell>
          <cell r="Y734" t="str">
            <v>KEW</v>
          </cell>
          <cell r="Z734" t="str">
            <v>16/08/2013</v>
          </cell>
          <cell r="AA734" t="str">
            <v>15/08/2015</v>
          </cell>
          <cell r="AB734" t="str">
            <v>No</v>
          </cell>
          <cell r="AC734" t="str">
            <v>31/08/2013</v>
          </cell>
          <cell r="AD734" t="str">
            <v>Good</v>
          </cell>
          <cell r="AE734" t="str">
            <v>V1 - Existing / No Claim</v>
          </cell>
          <cell r="AF734">
            <v>42789</v>
          </cell>
          <cell r="AG734">
            <v>9.17</v>
          </cell>
          <cell r="AH734" t="str">
            <v>PPM</v>
          </cell>
          <cell r="AI734" t="str">
            <v>Strands</v>
          </cell>
          <cell r="AJ734" t="str">
            <v>Strands PW</v>
          </cell>
        </row>
        <row r="735">
          <cell r="A735" t="str">
            <v>IKN400261</v>
          </cell>
          <cell r="B735">
            <v>261</v>
          </cell>
          <cell r="C735" t="str">
            <v>Institut Kanser Negara</v>
          </cell>
          <cell r="D735" t="str">
            <v>KKM/IKN/H/13/2547</v>
          </cell>
          <cell r="E735" t="str">
            <v>18-147</v>
          </cell>
          <cell r="F735" t="str">
            <v>Mattress Systems, Alternating-Pressure</v>
          </cell>
          <cell r="G735" t="str">
            <v>WG</v>
          </cell>
          <cell r="H735" t="str">
            <v>RT/ONCO WARD 1 (M)</v>
          </cell>
          <cell r="I735" t="str">
            <v>08WG113</v>
          </cell>
          <cell r="J735" t="str">
            <v>EQUIPMENT ROOM</v>
          </cell>
          <cell r="K735" t="str">
            <v>BMED</v>
          </cell>
          <cell r="L735" t="str">
            <v>Normal</v>
          </cell>
          <cell r="M735" t="str">
            <v>Poland</v>
          </cell>
          <cell r="N735" t="str">
            <v>Nimbus</v>
          </cell>
          <cell r="O735" t="str">
            <v>Nimbus 3</v>
          </cell>
          <cell r="P735" t="str">
            <v>1200010689</v>
          </cell>
          <cell r="Q735" t="str">
            <v>Not Applicable</v>
          </cell>
          <cell r="R735" t="str">
            <v>Arjohuntleigh</v>
          </cell>
          <cell r="S735" t="str">
            <v>Hexamine Sdn. Bhd.</v>
          </cell>
          <cell r="T735" t="str">
            <v>Functioning</v>
          </cell>
          <cell r="U735" t="str">
            <v>Asset</v>
          </cell>
          <cell r="V735">
            <v>28630</v>
          </cell>
          <cell r="W735" t="str">
            <v>KEW</v>
          </cell>
          <cell r="X735" t="str">
            <v>01/09/2010</v>
          </cell>
          <cell r="Y735" t="str">
            <v>KEW</v>
          </cell>
          <cell r="Z735" t="str">
            <v>16/08/2013</v>
          </cell>
          <cell r="AA735" t="str">
            <v>15/08/2015</v>
          </cell>
          <cell r="AB735" t="str">
            <v>No</v>
          </cell>
          <cell r="AC735" t="str">
            <v>31/08/2013</v>
          </cell>
          <cell r="AD735" t="str">
            <v>Good</v>
          </cell>
          <cell r="AE735" t="str">
            <v>V1 - Existing / No Claim</v>
          </cell>
          <cell r="AF735">
            <v>42789</v>
          </cell>
          <cell r="AG735">
            <v>9.17</v>
          </cell>
          <cell r="AH735" t="str">
            <v>PPM</v>
          </cell>
          <cell r="AI735" t="str">
            <v>Strands</v>
          </cell>
          <cell r="AJ735" t="str">
            <v>Strands PW</v>
          </cell>
        </row>
        <row r="736">
          <cell r="A736" t="str">
            <v>IKN400262</v>
          </cell>
          <cell r="B736">
            <v>262</v>
          </cell>
          <cell r="C736" t="str">
            <v>Institut Kanser Negara</v>
          </cell>
          <cell r="D736" t="str">
            <v>KKM/IKN/H/13/2550</v>
          </cell>
          <cell r="E736" t="str">
            <v>17-148</v>
          </cell>
          <cell r="F736" t="str">
            <v>Oximeters, Pulse</v>
          </cell>
          <cell r="G736" t="str">
            <v>WG</v>
          </cell>
          <cell r="H736" t="str">
            <v>RT/ONCO WARD 1 (M)</v>
          </cell>
          <cell r="I736" t="str">
            <v>08WG113</v>
          </cell>
          <cell r="J736" t="str">
            <v>EQUIPMENT ROOM</v>
          </cell>
          <cell r="K736" t="str">
            <v>BMED</v>
          </cell>
          <cell r="L736" t="str">
            <v>Critical</v>
          </cell>
          <cell r="M736" t="str">
            <v>USA</v>
          </cell>
          <cell r="N736" t="str">
            <v>PlamSAT</v>
          </cell>
          <cell r="O736" t="str">
            <v>PalmSAT 2500</v>
          </cell>
          <cell r="P736" t="str">
            <v>501438136</v>
          </cell>
          <cell r="Q736" t="str">
            <v>Not Applicable</v>
          </cell>
          <cell r="R736" t="str">
            <v>Nonin Medical Inc</v>
          </cell>
          <cell r="S736" t="str">
            <v>Acucare Systems (M) Sdn bhd</v>
          </cell>
          <cell r="T736" t="str">
            <v>Functioning</v>
          </cell>
          <cell r="U736" t="str">
            <v>Asset</v>
          </cell>
          <cell r="V736">
            <v>5410</v>
          </cell>
          <cell r="W736" t="str">
            <v>KEW</v>
          </cell>
          <cell r="X736" t="str">
            <v>01/09/2010</v>
          </cell>
          <cell r="Y736" t="str">
            <v>KEW</v>
          </cell>
          <cell r="Z736" t="str">
            <v>16/08/2013</v>
          </cell>
          <cell r="AA736" t="str">
            <v>15/08/2015</v>
          </cell>
          <cell r="AB736" t="str">
            <v>No</v>
          </cell>
          <cell r="AC736" t="str">
            <v>31/08/2013</v>
          </cell>
          <cell r="AD736" t="str">
            <v>Good</v>
          </cell>
          <cell r="AE736" t="str">
            <v>V1 - Existing / No Claim</v>
          </cell>
          <cell r="AF736">
            <v>42789</v>
          </cell>
          <cell r="AG736">
            <v>9.17</v>
          </cell>
          <cell r="AH736" t="str">
            <v>PPM</v>
          </cell>
          <cell r="AI736" t="str">
            <v>Strands</v>
          </cell>
          <cell r="AJ736" t="str">
            <v>Strands PW</v>
          </cell>
        </row>
        <row r="737">
          <cell r="A737" t="str">
            <v>IKN400263</v>
          </cell>
          <cell r="B737">
            <v>263</v>
          </cell>
          <cell r="C737" t="str">
            <v>Institut Kanser Negara</v>
          </cell>
          <cell r="D737" t="str">
            <v>KKM/IKN/H/13/2551</v>
          </cell>
          <cell r="E737" t="str">
            <v>17-148</v>
          </cell>
          <cell r="F737" t="str">
            <v>Oximeters, Pulse</v>
          </cell>
          <cell r="G737" t="str">
            <v>WG</v>
          </cell>
          <cell r="H737" t="str">
            <v>RT/ONCO WARD 1 (M)</v>
          </cell>
          <cell r="I737" t="str">
            <v>08WG113</v>
          </cell>
          <cell r="J737" t="str">
            <v>EQUIPMENT ROOM</v>
          </cell>
          <cell r="K737" t="str">
            <v>BMED</v>
          </cell>
          <cell r="L737" t="str">
            <v>Critical</v>
          </cell>
          <cell r="M737" t="str">
            <v>USA</v>
          </cell>
          <cell r="N737" t="str">
            <v>PlamSAT</v>
          </cell>
          <cell r="O737" t="str">
            <v>PalmSAT 2500</v>
          </cell>
          <cell r="P737" t="str">
            <v>501438133</v>
          </cell>
          <cell r="Q737" t="str">
            <v>Not Applicable</v>
          </cell>
          <cell r="R737" t="str">
            <v>Nonin Medical Inc</v>
          </cell>
          <cell r="S737" t="str">
            <v>Acucare Systems (M) Sdn bhd</v>
          </cell>
          <cell r="T737" t="str">
            <v>Functioning</v>
          </cell>
          <cell r="U737" t="str">
            <v>Asset</v>
          </cell>
          <cell r="V737">
            <v>5410</v>
          </cell>
          <cell r="W737" t="str">
            <v>KEW</v>
          </cell>
          <cell r="X737" t="str">
            <v>01/09/2010</v>
          </cell>
          <cell r="Y737" t="str">
            <v>KEW</v>
          </cell>
          <cell r="Z737" t="str">
            <v>16/08/2013</v>
          </cell>
          <cell r="AA737" t="str">
            <v>15/08/2015</v>
          </cell>
          <cell r="AB737" t="str">
            <v>No</v>
          </cell>
          <cell r="AC737" t="str">
            <v>31/08/2013</v>
          </cell>
          <cell r="AD737" t="str">
            <v>Good</v>
          </cell>
          <cell r="AE737" t="str">
            <v>V1 - Existing / No Claim</v>
          </cell>
          <cell r="AF737">
            <v>42789</v>
          </cell>
          <cell r="AG737">
            <v>9.17</v>
          </cell>
          <cell r="AH737" t="str">
            <v>PPM</v>
          </cell>
          <cell r="AI737" t="str">
            <v>Strands</v>
          </cell>
          <cell r="AJ737" t="str">
            <v>Strands PW</v>
          </cell>
        </row>
        <row r="738">
          <cell r="A738" t="str">
            <v>IKN400264</v>
          </cell>
          <cell r="B738">
            <v>264</v>
          </cell>
          <cell r="C738" t="str">
            <v>Institut Kanser Negara</v>
          </cell>
          <cell r="D738" t="str">
            <v>KKM/IKN/H/13/2538</v>
          </cell>
          <cell r="E738" t="str">
            <v>12-647</v>
          </cell>
          <cell r="F738" t="str">
            <v>Physiologic Monitoring Systems, Acute Care</v>
          </cell>
          <cell r="G738" t="str">
            <v>WG</v>
          </cell>
          <cell r="H738" t="str">
            <v>RT/ONCO WARD 1 (M)</v>
          </cell>
          <cell r="I738" t="str">
            <v>08WG113</v>
          </cell>
          <cell r="J738" t="str">
            <v>EQUIPMENT ROOM</v>
          </cell>
          <cell r="K738" t="str">
            <v>BMED</v>
          </cell>
          <cell r="L738" t="str">
            <v>Critical</v>
          </cell>
          <cell r="M738" t="str">
            <v>USA</v>
          </cell>
          <cell r="N738" t="str">
            <v>GE</v>
          </cell>
          <cell r="O738" t="str">
            <v>GE B30</v>
          </cell>
          <cell r="P738" t="str">
            <v>SF312335926WA</v>
          </cell>
          <cell r="Q738" t="str">
            <v>Not Applicable</v>
          </cell>
          <cell r="R738" t="str">
            <v>GE Healthcare Systems</v>
          </cell>
          <cell r="S738" t="str">
            <v>GE Healthcare Technologies</v>
          </cell>
          <cell r="T738" t="str">
            <v>Functioning</v>
          </cell>
          <cell r="U738" t="str">
            <v>Asset</v>
          </cell>
          <cell r="V738">
            <v>44510</v>
          </cell>
          <cell r="W738" t="str">
            <v>KEW</v>
          </cell>
          <cell r="X738" t="str">
            <v>01/09/2010</v>
          </cell>
          <cell r="Y738" t="str">
            <v>KEW</v>
          </cell>
          <cell r="Z738" t="str">
            <v>16/08/2013</v>
          </cell>
          <cell r="AA738" t="str">
            <v>15/08/2015</v>
          </cell>
          <cell r="AB738" t="str">
            <v>No</v>
          </cell>
          <cell r="AC738" t="str">
            <v>31/08/2013</v>
          </cell>
          <cell r="AD738" t="str">
            <v>Good</v>
          </cell>
          <cell r="AE738" t="str">
            <v>V1 - Existing / No Claim</v>
          </cell>
          <cell r="AF738">
            <v>42789</v>
          </cell>
          <cell r="AG738">
            <v>9.17</v>
          </cell>
          <cell r="AH738" t="str">
            <v>PPM</v>
          </cell>
          <cell r="AI738" t="str">
            <v>Strands</v>
          </cell>
          <cell r="AJ738" t="str">
            <v>Strands PW</v>
          </cell>
        </row>
        <row r="739">
          <cell r="A739" t="str">
            <v>IKN400265</v>
          </cell>
          <cell r="B739">
            <v>265</v>
          </cell>
          <cell r="C739" t="str">
            <v>Institut Kanser Negara</v>
          </cell>
          <cell r="D739" t="str">
            <v>KKM/IKN/H/13/2539</v>
          </cell>
          <cell r="E739" t="str">
            <v>12-647</v>
          </cell>
          <cell r="F739" t="str">
            <v>Physiologic Monitoring Systems, Acute Care</v>
          </cell>
          <cell r="G739" t="str">
            <v>WG</v>
          </cell>
          <cell r="H739" t="str">
            <v>RT/ONCO WARD 1 (M)</v>
          </cell>
          <cell r="I739" t="str">
            <v>08WG113</v>
          </cell>
          <cell r="J739" t="str">
            <v>EQUIPMENT ROOM</v>
          </cell>
          <cell r="K739" t="str">
            <v>BMED</v>
          </cell>
          <cell r="L739" t="str">
            <v>Critical</v>
          </cell>
          <cell r="M739" t="str">
            <v>USA</v>
          </cell>
          <cell r="N739" t="str">
            <v>GE</v>
          </cell>
          <cell r="O739" t="str">
            <v>GE B30</v>
          </cell>
          <cell r="P739" t="str">
            <v>SF312325917WA</v>
          </cell>
          <cell r="Q739" t="str">
            <v>Not Applicable</v>
          </cell>
          <cell r="R739" t="str">
            <v>GE Healthcare Systems</v>
          </cell>
          <cell r="S739" t="str">
            <v>GE Healthcare Technologies</v>
          </cell>
          <cell r="T739" t="str">
            <v>Functioning</v>
          </cell>
          <cell r="U739" t="str">
            <v>Asset</v>
          </cell>
          <cell r="V739">
            <v>44510</v>
          </cell>
          <cell r="W739" t="str">
            <v>KEW</v>
          </cell>
          <cell r="X739" t="str">
            <v>01/09/2010</v>
          </cell>
          <cell r="Y739" t="str">
            <v>KEW</v>
          </cell>
          <cell r="Z739" t="str">
            <v>16/08/2013</v>
          </cell>
          <cell r="AA739" t="str">
            <v>15/08/2015</v>
          </cell>
          <cell r="AB739" t="str">
            <v>No</v>
          </cell>
          <cell r="AC739" t="str">
            <v>31/08/2013</v>
          </cell>
          <cell r="AD739" t="str">
            <v>Good</v>
          </cell>
          <cell r="AE739" t="str">
            <v>V1 - Existing / No Claim</v>
          </cell>
          <cell r="AF739">
            <v>42789</v>
          </cell>
          <cell r="AG739">
            <v>9.17</v>
          </cell>
          <cell r="AH739" t="str">
            <v>PPM</v>
          </cell>
          <cell r="AI739" t="str">
            <v>Strands</v>
          </cell>
          <cell r="AJ739" t="str">
            <v>Strands PW</v>
          </cell>
        </row>
        <row r="740">
          <cell r="A740" t="str">
            <v>IKN400266</v>
          </cell>
          <cell r="B740">
            <v>266</v>
          </cell>
          <cell r="C740" t="str">
            <v>Institut Kanser Negara</v>
          </cell>
          <cell r="D740" t="str">
            <v>KKM/IKN/H/13/3925</v>
          </cell>
          <cell r="E740" t="str">
            <v>11-134</v>
          </cell>
          <cell r="F740" t="str">
            <v>Defibrillators, External, Manual</v>
          </cell>
          <cell r="G740" t="str">
            <v>WG</v>
          </cell>
          <cell r="H740" t="str">
            <v>RT/ONCO WARD 1 (M)</v>
          </cell>
          <cell r="I740" t="str">
            <v>08WG133</v>
          </cell>
          <cell r="J740" t="str">
            <v>RESUS EQ. BAY</v>
          </cell>
          <cell r="K740" t="str">
            <v>BMED</v>
          </cell>
          <cell r="L740" t="str">
            <v>Critical</v>
          </cell>
          <cell r="M740" t="str">
            <v>USA</v>
          </cell>
          <cell r="N740" t="str">
            <v>Responder</v>
          </cell>
          <cell r="O740" t="str">
            <v>Responder 2000</v>
          </cell>
          <cell r="P740" t="str">
            <v>3206732</v>
          </cell>
          <cell r="Q740" t="str">
            <v>Not Applicable</v>
          </cell>
          <cell r="R740" t="str">
            <v>GE Medical Systems</v>
          </cell>
          <cell r="S740" t="str">
            <v>Antah Sir Radin Sdn. Bhd.</v>
          </cell>
          <cell r="T740" t="str">
            <v>Functioning</v>
          </cell>
          <cell r="U740" t="str">
            <v>Asset</v>
          </cell>
          <cell r="V740">
            <v>45000</v>
          </cell>
          <cell r="W740" t="str">
            <v>KEW</v>
          </cell>
          <cell r="X740" t="str">
            <v>01/09/2010</v>
          </cell>
          <cell r="Y740" t="str">
            <v>KEW</v>
          </cell>
          <cell r="Z740" t="str">
            <v>16/08/2013</v>
          </cell>
          <cell r="AA740" t="str">
            <v>15/08/2015</v>
          </cell>
          <cell r="AB740" t="str">
            <v>No</v>
          </cell>
          <cell r="AC740" t="str">
            <v>31/08/2013</v>
          </cell>
          <cell r="AD740" t="str">
            <v>Good</v>
          </cell>
          <cell r="AE740" t="str">
            <v>V3 - Added Installed Facilities (New)</v>
          </cell>
          <cell r="AF740">
            <v>42601</v>
          </cell>
          <cell r="AG740">
            <v>9.17</v>
          </cell>
          <cell r="AH740" t="str">
            <v>PPM</v>
          </cell>
          <cell r="AI740" t="str">
            <v>Strands</v>
          </cell>
          <cell r="AJ740" t="str">
            <v>Strands PW</v>
          </cell>
          <cell r="AK740" t="str">
            <v>SNF received. 1st batch of V3 asset (December 2020)</v>
          </cell>
        </row>
        <row r="741">
          <cell r="A741" t="str">
            <v>IKN400267</v>
          </cell>
          <cell r="B741">
            <v>267</v>
          </cell>
          <cell r="C741" t="str">
            <v>Institut Kanser Negara</v>
          </cell>
          <cell r="D741" t="str">
            <v>KKM/IKN/H/13/2530</v>
          </cell>
          <cell r="E741" t="str">
            <v>16-173</v>
          </cell>
          <cell r="F741" t="str">
            <v>Sphygmomanometers, Electronic, Automatic</v>
          </cell>
          <cell r="G741" t="str">
            <v>WG</v>
          </cell>
          <cell r="H741" t="str">
            <v>RT/ONCO WARD 1 (M)</v>
          </cell>
          <cell r="I741" t="str">
            <v>08WG143</v>
          </cell>
          <cell r="J741" t="str">
            <v>NURSE STATION</v>
          </cell>
          <cell r="K741" t="str">
            <v>BMED</v>
          </cell>
          <cell r="L741" t="str">
            <v>Normal</v>
          </cell>
          <cell r="M741" t="str">
            <v>USA</v>
          </cell>
          <cell r="N741" t="str">
            <v>Connex</v>
          </cell>
          <cell r="O741" t="str">
            <v>Connex ProBP 3400</v>
          </cell>
          <cell r="P741" t="str">
            <v>100001560613</v>
          </cell>
          <cell r="Q741" t="str">
            <v>Not Applicable</v>
          </cell>
          <cell r="R741" t="str">
            <v>Welch Allyn Inc</v>
          </cell>
          <cell r="S741" t="str">
            <v>Welch Allyn Malaysia Sdn Bhd</v>
          </cell>
          <cell r="T741" t="str">
            <v>Functioning</v>
          </cell>
          <cell r="U741" t="str">
            <v>Asset</v>
          </cell>
          <cell r="V741">
            <v>4510</v>
          </cell>
          <cell r="W741" t="str">
            <v>KEW</v>
          </cell>
          <cell r="X741" t="str">
            <v>01/09/2010</v>
          </cell>
          <cell r="Y741" t="str">
            <v>KEW</v>
          </cell>
          <cell r="Z741" t="str">
            <v>16/08/2013</v>
          </cell>
          <cell r="AA741" t="str">
            <v>15/08/2015</v>
          </cell>
          <cell r="AB741" t="str">
            <v>No</v>
          </cell>
          <cell r="AC741" t="str">
            <v>31/08/2013</v>
          </cell>
          <cell r="AD741" t="str">
            <v>Good</v>
          </cell>
          <cell r="AE741" t="str">
            <v>V1 - Existing / No Claim</v>
          </cell>
          <cell r="AF741">
            <v>42235</v>
          </cell>
          <cell r="AG741">
            <v>9.17</v>
          </cell>
          <cell r="AH741" t="str">
            <v>PPM</v>
          </cell>
          <cell r="AI741" t="str">
            <v>Strands</v>
          </cell>
          <cell r="AJ741" t="str">
            <v>Strands PW</v>
          </cell>
        </row>
        <row r="742">
          <cell r="A742" t="str">
            <v>IKN400268</v>
          </cell>
          <cell r="B742">
            <v>268</v>
          </cell>
          <cell r="C742" t="str">
            <v>Institut Kanser Negara</v>
          </cell>
          <cell r="D742" t="str">
            <v>KKM/IKN/H/13/2533</v>
          </cell>
          <cell r="E742" t="str">
            <v>16-173</v>
          </cell>
          <cell r="F742" t="str">
            <v>Sphygmomanometers, Electronic, Automatic</v>
          </cell>
          <cell r="G742" t="str">
            <v>WG</v>
          </cell>
          <cell r="H742" t="str">
            <v>RT/ONCO WARD 1 (M)</v>
          </cell>
          <cell r="I742" t="str">
            <v>08WG143</v>
          </cell>
          <cell r="J742" t="str">
            <v>NURSE STATION</v>
          </cell>
          <cell r="K742" t="str">
            <v>BMED</v>
          </cell>
          <cell r="L742" t="str">
            <v>Normal</v>
          </cell>
          <cell r="M742" t="str">
            <v>USA</v>
          </cell>
          <cell r="N742" t="str">
            <v>Connex</v>
          </cell>
          <cell r="O742" t="str">
            <v>Connex ProBP 3400</v>
          </cell>
          <cell r="P742" t="str">
            <v>100001690613</v>
          </cell>
          <cell r="Q742" t="str">
            <v>Not Applicable</v>
          </cell>
          <cell r="R742" t="str">
            <v>Welch Allyn Inc</v>
          </cell>
          <cell r="S742" t="str">
            <v>Welch Allyn Malaysia Sdn Bhd</v>
          </cell>
          <cell r="T742" t="str">
            <v>Functioning</v>
          </cell>
          <cell r="U742" t="str">
            <v>Asset</v>
          </cell>
          <cell r="V742">
            <v>4510</v>
          </cell>
          <cell r="W742" t="str">
            <v>KEW</v>
          </cell>
          <cell r="X742" t="str">
            <v>01/09/2010</v>
          </cell>
          <cell r="Y742" t="str">
            <v>KEW</v>
          </cell>
          <cell r="Z742" t="str">
            <v>16/08/2013</v>
          </cell>
          <cell r="AA742" t="str">
            <v>15/08/2015</v>
          </cell>
          <cell r="AB742" t="str">
            <v>No</v>
          </cell>
          <cell r="AC742" t="str">
            <v>31/08/2013</v>
          </cell>
          <cell r="AD742" t="str">
            <v>Good</v>
          </cell>
          <cell r="AE742" t="str">
            <v>V1 - Existing / No Claim</v>
          </cell>
          <cell r="AF742">
            <v>42235</v>
          </cell>
          <cell r="AG742">
            <v>9.17</v>
          </cell>
          <cell r="AH742" t="str">
            <v>PPM</v>
          </cell>
          <cell r="AI742" t="str">
            <v>Strands</v>
          </cell>
          <cell r="AJ742" t="str">
            <v>Strands PW</v>
          </cell>
        </row>
        <row r="743">
          <cell r="A743" t="str">
            <v>IKN400269</v>
          </cell>
          <cell r="B743">
            <v>269</v>
          </cell>
          <cell r="C743" t="str">
            <v>Institut Kanser Negara</v>
          </cell>
          <cell r="D743" t="str">
            <v>KKM/IKN/H/13/2556</v>
          </cell>
          <cell r="E743" t="str">
            <v>16-173</v>
          </cell>
          <cell r="F743" t="str">
            <v>Sphygmomanometers, Electronic, Automatic</v>
          </cell>
          <cell r="G743" t="str">
            <v>WG</v>
          </cell>
          <cell r="H743" t="str">
            <v>RT/ONCO WARD 1 (M)</v>
          </cell>
          <cell r="I743" t="str">
            <v>08WG113</v>
          </cell>
          <cell r="J743" t="str">
            <v>EQUIPMENT ROOM</v>
          </cell>
          <cell r="K743" t="str">
            <v>BMED</v>
          </cell>
          <cell r="L743" t="str">
            <v>Critical</v>
          </cell>
          <cell r="M743" t="str">
            <v>Mexico</v>
          </cell>
          <cell r="N743" t="str">
            <v>Carespace</v>
          </cell>
          <cell r="O743" t="str">
            <v>Carescape V100</v>
          </cell>
          <cell r="P743" t="str">
            <v>SH613290575SA</v>
          </cell>
          <cell r="Q743" t="str">
            <v>Not Applicable</v>
          </cell>
          <cell r="R743" t="str">
            <v>GE Healthcare Systems</v>
          </cell>
          <cell r="S743" t="str">
            <v>GE Healthcare Technologies</v>
          </cell>
          <cell r="T743" t="str">
            <v>Functioning</v>
          </cell>
          <cell r="U743" t="str">
            <v>Asset</v>
          </cell>
          <cell r="V743">
            <v>7770</v>
          </cell>
          <cell r="W743" t="str">
            <v>KEW</v>
          </cell>
          <cell r="X743" t="str">
            <v>01/09/2010</v>
          </cell>
          <cell r="Y743" t="str">
            <v>KEW</v>
          </cell>
          <cell r="Z743" t="str">
            <v>16/08/2013</v>
          </cell>
          <cell r="AA743" t="str">
            <v>15/08/2015</v>
          </cell>
          <cell r="AB743" t="str">
            <v>No</v>
          </cell>
          <cell r="AC743" t="str">
            <v>31/08/2013</v>
          </cell>
          <cell r="AD743" t="str">
            <v>Good</v>
          </cell>
          <cell r="AE743" t="str">
            <v>V1 - Existing / No Claim</v>
          </cell>
          <cell r="AF743">
            <v>42789</v>
          </cell>
          <cell r="AG743">
            <v>9.17</v>
          </cell>
          <cell r="AH743" t="str">
            <v>PPM</v>
          </cell>
          <cell r="AI743" t="str">
            <v>Strands</v>
          </cell>
          <cell r="AJ743" t="str">
            <v>Strands PW</v>
          </cell>
        </row>
        <row r="744">
          <cell r="A744" t="str">
            <v>IKN400270</v>
          </cell>
          <cell r="B744">
            <v>270</v>
          </cell>
          <cell r="C744" t="str">
            <v>Institut Kanser Negara</v>
          </cell>
          <cell r="D744" t="str">
            <v>KKM/IKN/H/13/2557</v>
          </cell>
          <cell r="E744" t="str">
            <v>10-208</v>
          </cell>
          <cell r="F744" t="str">
            <v>Aspirators</v>
          </cell>
          <cell r="G744" t="str">
            <v>WG</v>
          </cell>
          <cell r="H744" t="str">
            <v>RT/ONCO WARD 1 (M)</v>
          </cell>
          <cell r="I744" t="str">
            <v>08WG113</v>
          </cell>
          <cell r="J744" t="str">
            <v>EQUIPMENT ROOM</v>
          </cell>
          <cell r="K744" t="str">
            <v>BMED</v>
          </cell>
          <cell r="L744" t="str">
            <v>Critical</v>
          </cell>
          <cell r="M744" t="str">
            <v>UK</v>
          </cell>
          <cell r="N744" t="str">
            <v>SAM</v>
          </cell>
          <cell r="O744" t="str">
            <v>SAM 427</v>
          </cell>
          <cell r="P744" t="str">
            <v>08131705</v>
          </cell>
          <cell r="Q744" t="str">
            <v>Not Applicable</v>
          </cell>
          <cell r="R744" t="str">
            <v>MG Electric Ltd</v>
          </cell>
          <cell r="S744" t="str">
            <v>Delta Medisains</v>
          </cell>
          <cell r="T744" t="str">
            <v>Functioning</v>
          </cell>
          <cell r="U744" t="str">
            <v>Asset</v>
          </cell>
          <cell r="V744">
            <v>10705</v>
          </cell>
          <cell r="W744" t="str">
            <v>KEW</v>
          </cell>
          <cell r="X744" t="str">
            <v>01/09/2010</v>
          </cell>
          <cell r="Y744" t="str">
            <v>KEW</v>
          </cell>
          <cell r="Z744" t="str">
            <v>16/08/2013</v>
          </cell>
          <cell r="AA744" t="str">
            <v>15/08/2015</v>
          </cell>
          <cell r="AB744" t="str">
            <v>No</v>
          </cell>
          <cell r="AC744" t="str">
            <v>31/08/2013</v>
          </cell>
          <cell r="AD744" t="str">
            <v>Good</v>
          </cell>
          <cell r="AE744" t="str">
            <v>V1 - Existing / No Claim</v>
          </cell>
          <cell r="AF744">
            <v>42789</v>
          </cell>
          <cell r="AG744">
            <v>9.17</v>
          </cell>
          <cell r="AH744" t="str">
            <v>PPM</v>
          </cell>
          <cell r="AI744" t="str">
            <v>Strands</v>
          </cell>
          <cell r="AJ744" t="str">
            <v>Strands PW</v>
          </cell>
        </row>
        <row r="745">
          <cell r="A745" t="str">
            <v>IKN400271</v>
          </cell>
          <cell r="B745">
            <v>271</v>
          </cell>
          <cell r="C745" t="str">
            <v>Institut Kanser Negara</v>
          </cell>
          <cell r="D745" t="str">
            <v>KKM/IKN/H/13/2548</v>
          </cell>
          <cell r="E745" t="str">
            <v>15-045</v>
          </cell>
          <cell r="F745" t="str">
            <v>Nebulizers, Nonheated</v>
          </cell>
          <cell r="G745" t="str">
            <v>WG</v>
          </cell>
          <cell r="H745" t="str">
            <v>RT/ONCO WARD 1 (M)</v>
          </cell>
          <cell r="I745" t="str">
            <v>08WG113</v>
          </cell>
          <cell r="J745" t="str">
            <v>EQUIPMENT ROOM</v>
          </cell>
          <cell r="K745" t="str">
            <v>BMED</v>
          </cell>
          <cell r="L745" t="str">
            <v>Normal</v>
          </cell>
          <cell r="M745" t="str">
            <v>Germany</v>
          </cell>
          <cell r="N745" t="str">
            <v>Pari Boy</v>
          </cell>
          <cell r="O745" t="str">
            <v>Pari Boy SX 085</v>
          </cell>
          <cell r="P745" t="str">
            <v>2W12J05974</v>
          </cell>
          <cell r="Q745" t="str">
            <v>Not Applicable</v>
          </cell>
          <cell r="R745" t="str">
            <v>Pari GmbH</v>
          </cell>
          <cell r="S745" t="str">
            <v>Welch Allyn Malaysia Sdn Bhd</v>
          </cell>
          <cell r="T745" t="str">
            <v>Functioning</v>
          </cell>
          <cell r="U745" t="str">
            <v>Asset</v>
          </cell>
          <cell r="V745">
            <v>1140</v>
          </cell>
          <cell r="W745" t="str">
            <v>KEW</v>
          </cell>
          <cell r="X745" t="str">
            <v>01/09/2010</v>
          </cell>
          <cell r="Y745" t="str">
            <v>KEW</v>
          </cell>
          <cell r="Z745" t="str">
            <v>16/08/2013</v>
          </cell>
          <cell r="AA745" t="str">
            <v>15/08/2015</v>
          </cell>
          <cell r="AB745" t="str">
            <v>No</v>
          </cell>
          <cell r="AC745" t="str">
            <v>31/08/2013</v>
          </cell>
          <cell r="AD745" t="str">
            <v>Good</v>
          </cell>
          <cell r="AE745" t="str">
            <v>V1 - Existing / No Claim</v>
          </cell>
          <cell r="AF745">
            <v>42789</v>
          </cell>
          <cell r="AG745">
            <v>9.17</v>
          </cell>
          <cell r="AH745" t="str">
            <v>PPM</v>
          </cell>
          <cell r="AI745" t="str">
            <v>Strands</v>
          </cell>
          <cell r="AJ745" t="str">
            <v>Strands PW</v>
          </cell>
        </row>
        <row r="746">
          <cell r="A746" t="str">
            <v>IKN400276</v>
          </cell>
          <cell r="B746">
            <v>276</v>
          </cell>
          <cell r="C746" t="str">
            <v>Institut Kanser Negara</v>
          </cell>
          <cell r="D746" t="str">
            <v>KKM/IKN/H/13/3192</v>
          </cell>
          <cell r="E746" t="str">
            <v>10-208</v>
          </cell>
          <cell r="F746" t="str">
            <v>Aspirators</v>
          </cell>
          <cell r="G746" t="str">
            <v>WH</v>
          </cell>
          <cell r="H746" t="str">
            <v>RT/ONCO WARD 2 (M)</v>
          </cell>
          <cell r="I746" t="str">
            <v>08WH107</v>
          </cell>
          <cell r="J746" t="str">
            <v>TREATMENT / PROCEDURE</v>
          </cell>
          <cell r="K746" t="str">
            <v>BMED</v>
          </cell>
          <cell r="L746" t="str">
            <v>Critical</v>
          </cell>
          <cell r="M746" t="str">
            <v>Switzerland</v>
          </cell>
          <cell r="N746" t="str">
            <v>Senator</v>
          </cell>
          <cell r="O746" t="str">
            <v>Senator</v>
          </cell>
          <cell r="P746" t="str">
            <v>1220750</v>
          </cell>
          <cell r="Q746" t="str">
            <v>Not Applicable</v>
          </cell>
          <cell r="R746" t="str">
            <v>Ardo Medical AG</v>
          </cell>
          <cell r="S746" t="str">
            <v>Histopoint</v>
          </cell>
          <cell r="T746" t="str">
            <v>Functioning</v>
          </cell>
          <cell r="U746" t="str">
            <v>Asset</v>
          </cell>
          <cell r="V746">
            <v>5052</v>
          </cell>
          <cell r="W746" t="str">
            <v>KEW</v>
          </cell>
          <cell r="X746" t="str">
            <v>01/09/2010</v>
          </cell>
          <cell r="Y746" t="str">
            <v>KEW</v>
          </cell>
          <cell r="Z746" t="str">
            <v>16/08/2013</v>
          </cell>
          <cell r="AA746" t="str">
            <v>15/08/2015</v>
          </cell>
          <cell r="AB746" t="str">
            <v>No</v>
          </cell>
          <cell r="AC746" t="str">
            <v>31/08/2013</v>
          </cell>
          <cell r="AD746" t="str">
            <v>Good</v>
          </cell>
          <cell r="AE746" t="str">
            <v>V1 - Existing / No Claim</v>
          </cell>
          <cell r="AF746">
            <v>42787</v>
          </cell>
          <cell r="AG746">
            <v>9.17</v>
          </cell>
          <cell r="AH746" t="str">
            <v>PPM</v>
          </cell>
          <cell r="AI746" t="str">
            <v>Strands</v>
          </cell>
          <cell r="AJ746" t="str">
            <v>Strands PW</v>
          </cell>
        </row>
        <row r="747">
          <cell r="A747" t="str">
            <v>IKN400277</v>
          </cell>
          <cell r="B747">
            <v>277</v>
          </cell>
          <cell r="C747" t="str">
            <v>Institut Kanser Negara</v>
          </cell>
          <cell r="D747" t="str">
            <v>KKM/IKN/H/13/2375</v>
          </cell>
          <cell r="E747" t="str">
            <v>16-231</v>
          </cell>
          <cell r="F747" t="str">
            <v>Electrocardiographs, Multichannel, Interpretative</v>
          </cell>
          <cell r="G747" t="str">
            <v>WH</v>
          </cell>
          <cell r="H747" t="str">
            <v>RT/ONCO WARD 2 (M)</v>
          </cell>
          <cell r="I747" t="str">
            <v>08WH107</v>
          </cell>
          <cell r="J747" t="str">
            <v>TREATMENT / PROCEDURE</v>
          </cell>
          <cell r="K747" t="str">
            <v>BMED</v>
          </cell>
          <cell r="L747" t="str">
            <v>Critical</v>
          </cell>
          <cell r="M747" t="str">
            <v>China</v>
          </cell>
          <cell r="N747" t="str">
            <v>Mac</v>
          </cell>
          <cell r="O747" t="str">
            <v>MAC 800</v>
          </cell>
          <cell r="P747" t="str">
            <v>SJ412450378 WA</v>
          </cell>
          <cell r="Q747" t="str">
            <v>Not Applicable</v>
          </cell>
          <cell r="R747" t="str">
            <v>GE Healthcare Systems</v>
          </cell>
          <cell r="S747" t="str">
            <v>GE Healthcare Technologies</v>
          </cell>
          <cell r="T747" t="str">
            <v>Functioning</v>
          </cell>
          <cell r="U747" t="str">
            <v>Asset</v>
          </cell>
          <cell r="V747">
            <v>25260</v>
          </cell>
          <cell r="W747" t="str">
            <v>KEW</v>
          </cell>
          <cell r="X747" t="str">
            <v>01/09/2010</v>
          </cell>
          <cell r="Y747" t="str">
            <v>KEW</v>
          </cell>
          <cell r="Z747" t="str">
            <v>16/08/2013</v>
          </cell>
          <cell r="AA747" t="str">
            <v>15/08/2015</v>
          </cell>
          <cell r="AB747" t="str">
            <v>No</v>
          </cell>
          <cell r="AC747" t="str">
            <v>31/08/2013</v>
          </cell>
          <cell r="AD747" t="str">
            <v>Good</v>
          </cell>
          <cell r="AE747" t="str">
            <v>V1 - Existing / No Claim</v>
          </cell>
          <cell r="AF747">
            <v>42787</v>
          </cell>
          <cell r="AG747">
            <v>9.17</v>
          </cell>
          <cell r="AH747" t="str">
            <v>PPM</v>
          </cell>
          <cell r="AI747" t="str">
            <v>Strands</v>
          </cell>
          <cell r="AJ747" t="str">
            <v>Strands PW</v>
          </cell>
        </row>
        <row r="748">
          <cell r="A748" t="str">
            <v>IKN400278</v>
          </cell>
          <cell r="B748">
            <v>278</v>
          </cell>
          <cell r="C748" t="str">
            <v>Institut Kanser Negara</v>
          </cell>
          <cell r="D748" t="str">
            <v>KKM/IKN/H/13/3378</v>
          </cell>
          <cell r="E748" t="str">
            <v>11-134</v>
          </cell>
          <cell r="F748" t="str">
            <v>Defibrillators, External, Manual</v>
          </cell>
          <cell r="G748" t="str">
            <v>RT</v>
          </cell>
          <cell r="H748" t="str">
            <v>RADIATION TREATMENT UNIT</v>
          </cell>
          <cell r="I748" t="str">
            <v>01RT243</v>
          </cell>
          <cell r="J748" t="str">
            <v>NURSE STATION</v>
          </cell>
          <cell r="K748" t="str">
            <v>BMED</v>
          </cell>
          <cell r="L748" t="str">
            <v>Critical</v>
          </cell>
          <cell r="M748" t="str">
            <v>USA</v>
          </cell>
          <cell r="N748" t="str">
            <v>Responder</v>
          </cell>
          <cell r="O748" t="str">
            <v>Responder 2000</v>
          </cell>
          <cell r="P748" t="str">
            <v>3206733</v>
          </cell>
          <cell r="Q748" t="str">
            <v>Not Applicable</v>
          </cell>
          <cell r="R748" t="str">
            <v>GE Medical Systems</v>
          </cell>
          <cell r="S748" t="str">
            <v>Antah Sir Radin Sdn. Bhd.</v>
          </cell>
          <cell r="T748" t="str">
            <v>Functioning</v>
          </cell>
          <cell r="U748" t="str">
            <v>Asset</v>
          </cell>
          <cell r="V748">
            <v>45000</v>
          </cell>
          <cell r="W748" t="str">
            <v>Estimate</v>
          </cell>
          <cell r="X748" t="str">
            <v>01/09/2010</v>
          </cell>
          <cell r="Y748" t="str">
            <v>KEW</v>
          </cell>
          <cell r="Z748" t="str">
            <v>16/08/2013</v>
          </cell>
          <cell r="AA748" t="str">
            <v>15/08/2015</v>
          </cell>
          <cell r="AB748" t="str">
            <v>No</v>
          </cell>
          <cell r="AC748" t="str">
            <v>31/08/2013</v>
          </cell>
          <cell r="AD748" t="str">
            <v>Good</v>
          </cell>
          <cell r="AE748" t="str">
            <v>V1 - Existing / No Claim</v>
          </cell>
          <cell r="AF748">
            <v>42601</v>
          </cell>
          <cell r="AG748">
            <v>9.17</v>
          </cell>
          <cell r="AH748" t="str">
            <v>PPM</v>
          </cell>
          <cell r="AI748" t="str">
            <v>Strands</v>
          </cell>
          <cell r="AJ748" t="str">
            <v>Strands PW</v>
          </cell>
          <cell r="AK748" t="str">
            <v>Crash Trolley (FEMS)</v>
          </cell>
        </row>
        <row r="749">
          <cell r="A749" t="str">
            <v>IKN400282</v>
          </cell>
          <cell r="B749">
            <v>282</v>
          </cell>
          <cell r="C749" t="str">
            <v>Institut Kanser Negara</v>
          </cell>
          <cell r="D749" t="str">
            <v>KKM/IKN/H/13/2374</v>
          </cell>
          <cell r="E749" t="str">
            <v>12-282</v>
          </cell>
          <cell r="F749" t="str">
            <v>Lights, Surgical</v>
          </cell>
          <cell r="G749" t="str">
            <v>WH</v>
          </cell>
          <cell r="H749" t="str">
            <v>RT/ONCO WARD 2 (M)</v>
          </cell>
          <cell r="I749" t="str">
            <v>08WH107</v>
          </cell>
          <cell r="J749" t="str">
            <v>TREATMENT / PROCEDURE</v>
          </cell>
          <cell r="K749" t="str">
            <v>BMED</v>
          </cell>
          <cell r="L749" t="str">
            <v>Critical</v>
          </cell>
          <cell r="M749" t="str">
            <v>USA</v>
          </cell>
          <cell r="N749" t="str">
            <v>Welch Allyn</v>
          </cell>
          <cell r="O749" t="str">
            <v>Welch Allyn GS600</v>
          </cell>
          <cell r="P749" t="str">
            <v>GS-600-41</v>
          </cell>
          <cell r="Q749" t="str">
            <v>Not Applicable</v>
          </cell>
          <cell r="R749" t="str">
            <v>Welch Allyn Inc</v>
          </cell>
          <cell r="S749" t="str">
            <v>Welch Allyn Malaysia Sdn Bhd</v>
          </cell>
          <cell r="T749" t="str">
            <v>Functioning</v>
          </cell>
          <cell r="U749" t="str">
            <v>Asset</v>
          </cell>
          <cell r="V749">
            <v>5050</v>
          </cell>
          <cell r="W749" t="str">
            <v>KEW</v>
          </cell>
          <cell r="X749" t="str">
            <v>01/09/2010</v>
          </cell>
          <cell r="Y749" t="str">
            <v>KEW</v>
          </cell>
          <cell r="Z749" t="str">
            <v>16/08/2013</v>
          </cell>
          <cell r="AA749" t="str">
            <v>15/08/2015</v>
          </cell>
          <cell r="AB749" t="str">
            <v>No</v>
          </cell>
          <cell r="AC749" t="str">
            <v>31/08/2013</v>
          </cell>
          <cell r="AD749" t="str">
            <v>Good</v>
          </cell>
          <cell r="AE749" t="str">
            <v>V1 - Existing / No Claim</v>
          </cell>
          <cell r="AF749">
            <v>42787</v>
          </cell>
          <cell r="AG749">
            <v>9.17</v>
          </cell>
          <cell r="AH749" t="str">
            <v>PPM</v>
          </cell>
          <cell r="AI749" t="str">
            <v>Strands</v>
          </cell>
          <cell r="AJ749" t="str">
            <v>Strands PW</v>
          </cell>
        </row>
        <row r="750">
          <cell r="A750" t="str">
            <v>IKN400283</v>
          </cell>
          <cell r="B750">
            <v>283</v>
          </cell>
          <cell r="C750" t="str">
            <v>Institut Kanser Negara</v>
          </cell>
          <cell r="D750" t="str">
            <v>KKM/IKN/H/13/2022</v>
          </cell>
          <cell r="E750" t="str">
            <v>15-045</v>
          </cell>
          <cell r="F750" t="str">
            <v>Nebulizers, Nonheated</v>
          </cell>
          <cell r="G750" t="str">
            <v>WH</v>
          </cell>
          <cell r="H750" t="str">
            <v>RT/ONCO WARD 2 (M)</v>
          </cell>
          <cell r="I750" t="str">
            <v>08WH121</v>
          </cell>
          <cell r="J750" t="str">
            <v>EQUIPMENT ROOM</v>
          </cell>
          <cell r="K750" t="str">
            <v>BMED</v>
          </cell>
          <cell r="L750" t="str">
            <v>Normal</v>
          </cell>
          <cell r="M750" t="str">
            <v>Germany</v>
          </cell>
          <cell r="N750" t="str">
            <v>Pari Boy</v>
          </cell>
          <cell r="O750" t="str">
            <v>Pari Boy SX 085</v>
          </cell>
          <cell r="P750" t="str">
            <v>2W12F13772</v>
          </cell>
          <cell r="Q750" t="str">
            <v>Not Applicable</v>
          </cell>
          <cell r="R750" t="str">
            <v>Pari GmbH</v>
          </cell>
          <cell r="S750" t="str">
            <v>Welch Allyn Malaysia Sdn Bhd</v>
          </cell>
          <cell r="T750" t="str">
            <v>Functioning</v>
          </cell>
          <cell r="U750" t="str">
            <v>Asset</v>
          </cell>
          <cell r="V750">
            <v>1140</v>
          </cell>
          <cell r="W750" t="str">
            <v>KEW</v>
          </cell>
          <cell r="X750" t="str">
            <v>01/09/2010</v>
          </cell>
          <cell r="Y750" t="str">
            <v>KEW</v>
          </cell>
          <cell r="Z750" t="str">
            <v>16/08/2013</v>
          </cell>
          <cell r="AA750" t="str">
            <v>15/08/2015</v>
          </cell>
          <cell r="AB750" t="str">
            <v>No</v>
          </cell>
          <cell r="AC750" t="str">
            <v>31/08/2013</v>
          </cell>
          <cell r="AD750" t="str">
            <v>Good</v>
          </cell>
          <cell r="AE750" t="str">
            <v>V1 - Existing / No Claim</v>
          </cell>
          <cell r="AF750">
            <v>42787</v>
          </cell>
          <cell r="AG750">
            <v>9.17</v>
          </cell>
          <cell r="AH750" t="str">
            <v>PPM</v>
          </cell>
          <cell r="AI750" t="str">
            <v>Strands</v>
          </cell>
          <cell r="AJ750" t="str">
            <v>Strands PW</v>
          </cell>
        </row>
        <row r="751">
          <cell r="A751" t="str">
            <v>IKN400284</v>
          </cell>
          <cell r="B751">
            <v>284</v>
          </cell>
          <cell r="C751" t="str">
            <v>Institut Kanser Negara</v>
          </cell>
          <cell r="D751" t="str">
            <v>KKM/IKN/H/13/2023</v>
          </cell>
          <cell r="E751" t="str">
            <v>15-045</v>
          </cell>
          <cell r="F751" t="str">
            <v>Nebulizers, Nonheated</v>
          </cell>
          <cell r="G751" t="str">
            <v>WH</v>
          </cell>
          <cell r="H751" t="str">
            <v>RT/ONCO WARD 2 (M)</v>
          </cell>
          <cell r="I751" t="str">
            <v>08WH121</v>
          </cell>
          <cell r="J751" t="str">
            <v>EQUIPMENT ROOM</v>
          </cell>
          <cell r="K751" t="str">
            <v>BMED</v>
          </cell>
          <cell r="L751" t="str">
            <v>Normal</v>
          </cell>
          <cell r="M751" t="str">
            <v>Germany</v>
          </cell>
          <cell r="N751" t="str">
            <v>Pari Boy</v>
          </cell>
          <cell r="O751" t="str">
            <v>Pari Boy SX 085</v>
          </cell>
          <cell r="P751" t="str">
            <v>2W12F13857</v>
          </cell>
          <cell r="Q751" t="str">
            <v>Not Applicable</v>
          </cell>
          <cell r="R751" t="str">
            <v>Pari GmbH</v>
          </cell>
          <cell r="S751" t="str">
            <v>Welch Allyn Malaysia Sdn Bhd</v>
          </cell>
          <cell r="T751" t="str">
            <v>Functioning</v>
          </cell>
          <cell r="U751" t="str">
            <v>Asset</v>
          </cell>
          <cell r="V751">
            <v>1140</v>
          </cell>
          <cell r="W751" t="str">
            <v>KEW</v>
          </cell>
          <cell r="X751" t="str">
            <v>01/09/2010</v>
          </cell>
          <cell r="Y751" t="str">
            <v>KEW</v>
          </cell>
          <cell r="Z751" t="str">
            <v>16/08/2013</v>
          </cell>
          <cell r="AA751" t="str">
            <v>15/08/2015</v>
          </cell>
          <cell r="AB751" t="str">
            <v>No</v>
          </cell>
          <cell r="AC751" t="str">
            <v>31/08/2013</v>
          </cell>
          <cell r="AD751" t="str">
            <v>Good</v>
          </cell>
          <cell r="AE751" t="str">
            <v>V1 - Existing / No Claim</v>
          </cell>
          <cell r="AF751">
            <v>42787</v>
          </cell>
          <cell r="AG751">
            <v>9.17</v>
          </cell>
          <cell r="AH751" t="str">
            <v>PPM</v>
          </cell>
          <cell r="AI751" t="str">
            <v>Strands</v>
          </cell>
          <cell r="AJ751" t="str">
            <v>Strands PW</v>
          </cell>
        </row>
        <row r="752">
          <cell r="A752" t="str">
            <v>IKN400285</v>
          </cell>
          <cell r="B752">
            <v>285</v>
          </cell>
          <cell r="C752" t="str">
            <v>Institut Kanser Negara</v>
          </cell>
          <cell r="D752" t="str">
            <v>KKM/IKN/H/13/2024</v>
          </cell>
          <cell r="E752" t="str">
            <v>15-045</v>
          </cell>
          <cell r="F752" t="str">
            <v>Nebulizers, Nonheated</v>
          </cell>
          <cell r="G752" t="str">
            <v>WH</v>
          </cell>
          <cell r="H752" t="str">
            <v>RT/ONCO WARD 2 (M)</v>
          </cell>
          <cell r="I752" t="str">
            <v>08WH121</v>
          </cell>
          <cell r="J752" t="str">
            <v>EQUIPMENT ROOM</v>
          </cell>
          <cell r="K752" t="str">
            <v>BMED</v>
          </cell>
          <cell r="L752" t="str">
            <v>Normal</v>
          </cell>
          <cell r="M752" t="str">
            <v>Germany</v>
          </cell>
          <cell r="N752" t="str">
            <v>Pari Boy</v>
          </cell>
          <cell r="O752" t="str">
            <v>Pari Boy SX 085</v>
          </cell>
          <cell r="P752" t="str">
            <v>2W12F13742</v>
          </cell>
          <cell r="Q752" t="str">
            <v>Not Applicable</v>
          </cell>
          <cell r="R752" t="str">
            <v>Pari GmbH</v>
          </cell>
          <cell r="S752" t="str">
            <v>Welch Allyn Malaysia Sdn Bhd</v>
          </cell>
          <cell r="T752" t="str">
            <v>Functioning</v>
          </cell>
          <cell r="U752" t="str">
            <v>Asset</v>
          </cell>
          <cell r="V752">
            <v>1140</v>
          </cell>
          <cell r="W752" t="str">
            <v>KEW</v>
          </cell>
          <cell r="X752" t="str">
            <v>01/09/2010</v>
          </cell>
          <cell r="Y752" t="str">
            <v>KEW</v>
          </cell>
          <cell r="Z752" t="str">
            <v>16/08/2013</v>
          </cell>
          <cell r="AA752" t="str">
            <v>15/08/2015</v>
          </cell>
          <cell r="AB752" t="str">
            <v>No</v>
          </cell>
          <cell r="AC752" t="str">
            <v>31/08/2013</v>
          </cell>
          <cell r="AD752" t="str">
            <v>Good</v>
          </cell>
          <cell r="AE752" t="str">
            <v>V1 - Existing / No Claim</v>
          </cell>
          <cell r="AF752">
            <v>42787</v>
          </cell>
          <cell r="AG752">
            <v>9.17</v>
          </cell>
          <cell r="AH752" t="str">
            <v>PPM</v>
          </cell>
          <cell r="AI752" t="str">
            <v>Strands</v>
          </cell>
          <cell r="AJ752" t="str">
            <v>Strands PW</v>
          </cell>
        </row>
        <row r="753">
          <cell r="A753" t="str">
            <v>IKN400286</v>
          </cell>
          <cell r="B753">
            <v>286</v>
          </cell>
          <cell r="C753" t="str">
            <v>Institut Kanser Negara</v>
          </cell>
          <cell r="D753" t="str">
            <v>KKM/IKN/H/13/2029</v>
          </cell>
          <cell r="E753" t="str">
            <v>13-217</v>
          </cell>
          <cell r="F753" t="str">
            <v>Infusion Pumps, Syringe</v>
          </cell>
          <cell r="G753" t="str">
            <v>WH</v>
          </cell>
          <cell r="H753" t="str">
            <v>RT/ONCO WARD 2 (M)</v>
          </cell>
          <cell r="I753" t="str">
            <v>08WH121</v>
          </cell>
          <cell r="J753" t="str">
            <v>EQUIPMENT ROOM</v>
          </cell>
          <cell r="K753" t="str">
            <v>BMED</v>
          </cell>
          <cell r="L753" t="str">
            <v>Critical</v>
          </cell>
          <cell r="M753" t="str">
            <v>Germany</v>
          </cell>
          <cell r="N753" t="str">
            <v>Perfusor</v>
          </cell>
          <cell r="O753" t="str">
            <v>Perfusor Space</v>
          </cell>
          <cell r="P753" t="str">
            <v>187017</v>
          </cell>
          <cell r="Q753" t="str">
            <v>Not Applicable</v>
          </cell>
          <cell r="R753" t="str">
            <v>B Braun Melsungen AG</v>
          </cell>
          <cell r="S753" t="str">
            <v>B Braun Medical Supplies Sdn. Bhd.</v>
          </cell>
          <cell r="T753" t="str">
            <v>Functioning</v>
          </cell>
          <cell r="U753" t="str">
            <v>Asset</v>
          </cell>
          <cell r="V753">
            <v>10225</v>
          </cell>
          <cell r="W753" t="str">
            <v>KEW</v>
          </cell>
          <cell r="X753" t="str">
            <v>01/09/2010</v>
          </cell>
          <cell r="Y753" t="str">
            <v>KEW</v>
          </cell>
          <cell r="Z753" t="str">
            <v>16/08/2013</v>
          </cell>
          <cell r="AA753" t="str">
            <v>15/08/2015</v>
          </cell>
          <cell r="AB753" t="str">
            <v>No</v>
          </cell>
          <cell r="AC753" t="str">
            <v>31/08/2013</v>
          </cell>
          <cell r="AD753" t="str">
            <v>Good</v>
          </cell>
          <cell r="AE753" t="str">
            <v>V1 - Existing / No Claim</v>
          </cell>
          <cell r="AF753">
            <v>42787</v>
          </cell>
          <cell r="AG753">
            <v>9.17</v>
          </cell>
          <cell r="AH753" t="str">
            <v>PPM</v>
          </cell>
          <cell r="AI753" t="str">
            <v>Strands</v>
          </cell>
          <cell r="AJ753" t="str">
            <v>Strands PW</v>
          </cell>
        </row>
        <row r="754">
          <cell r="A754" t="str">
            <v>IKN400287</v>
          </cell>
          <cell r="B754">
            <v>287</v>
          </cell>
          <cell r="C754" t="str">
            <v>Institut Kanser Negara</v>
          </cell>
          <cell r="D754" t="str">
            <v>KKM/IKN/H/13/2031</v>
          </cell>
          <cell r="E754" t="str">
            <v>13-217</v>
          </cell>
          <cell r="F754" t="str">
            <v>Infusion Pumps, Syringe</v>
          </cell>
          <cell r="G754" t="str">
            <v>WH</v>
          </cell>
          <cell r="H754" t="str">
            <v>RT/ONCO WARD 2 (M)</v>
          </cell>
          <cell r="I754" t="str">
            <v>08WH121</v>
          </cell>
          <cell r="J754" t="str">
            <v>EQUIPMENT ROOM</v>
          </cell>
          <cell r="K754" t="str">
            <v>BMED</v>
          </cell>
          <cell r="L754" t="str">
            <v>Critical</v>
          </cell>
          <cell r="M754" t="str">
            <v>Germany</v>
          </cell>
          <cell r="N754" t="str">
            <v>Perfusor</v>
          </cell>
          <cell r="O754" t="str">
            <v>Perfusor Space</v>
          </cell>
          <cell r="P754" t="str">
            <v>187002</v>
          </cell>
          <cell r="Q754" t="str">
            <v>Not Applicable</v>
          </cell>
          <cell r="R754" t="str">
            <v>B Braun Melsungen AG</v>
          </cell>
          <cell r="S754" t="str">
            <v>B Braun Medical Supplies Sdn. Bhd.</v>
          </cell>
          <cell r="T754" t="str">
            <v>Functioning</v>
          </cell>
          <cell r="U754" t="str">
            <v>Asset</v>
          </cell>
          <cell r="V754">
            <v>10225</v>
          </cell>
          <cell r="W754" t="str">
            <v>KEW</v>
          </cell>
          <cell r="X754" t="str">
            <v>01/09/2010</v>
          </cell>
          <cell r="Y754" t="str">
            <v>KEW</v>
          </cell>
          <cell r="Z754" t="str">
            <v>16/08/2013</v>
          </cell>
          <cell r="AA754" t="str">
            <v>15/08/2015</v>
          </cell>
          <cell r="AB754" t="str">
            <v>No</v>
          </cell>
          <cell r="AC754" t="str">
            <v>31/08/2013</v>
          </cell>
          <cell r="AD754" t="str">
            <v>Good</v>
          </cell>
          <cell r="AE754" t="str">
            <v>V1 - Existing / No Claim</v>
          </cell>
          <cell r="AF754">
            <v>42787</v>
          </cell>
          <cell r="AG754">
            <v>9.17</v>
          </cell>
          <cell r="AH754" t="str">
            <v>PPM</v>
          </cell>
          <cell r="AI754" t="str">
            <v>Strands</v>
          </cell>
          <cell r="AJ754" t="str">
            <v>Strands PW</v>
          </cell>
        </row>
        <row r="755">
          <cell r="A755" t="str">
            <v>IKN400288</v>
          </cell>
          <cell r="B755">
            <v>288</v>
          </cell>
          <cell r="C755" t="str">
            <v>Institut Kanser Negara</v>
          </cell>
          <cell r="D755" t="str">
            <v>KKM/IKN/H/13/2030</v>
          </cell>
          <cell r="E755" t="str">
            <v>13-215</v>
          </cell>
          <cell r="F755" t="str">
            <v>Infusion Pumps, General-Purpose</v>
          </cell>
          <cell r="G755" t="str">
            <v>WH</v>
          </cell>
          <cell r="H755" t="str">
            <v>RT/ONCO WARD 2 (M)</v>
          </cell>
          <cell r="I755" t="str">
            <v>08WH121</v>
          </cell>
          <cell r="J755" t="str">
            <v>EQUIPMENT ROOM</v>
          </cell>
          <cell r="K755" t="str">
            <v>BMED</v>
          </cell>
          <cell r="L755" t="str">
            <v>Normal</v>
          </cell>
          <cell r="M755" t="str">
            <v>Germany</v>
          </cell>
          <cell r="N755" t="str">
            <v>Infusomat</v>
          </cell>
          <cell r="O755" t="str">
            <v>Infusomat Space</v>
          </cell>
          <cell r="P755" t="str">
            <v>212006</v>
          </cell>
          <cell r="Q755" t="str">
            <v>Not Applicable</v>
          </cell>
          <cell r="R755" t="str">
            <v>B Braun Melsungen AG</v>
          </cell>
          <cell r="S755" t="str">
            <v>B Braun Medical Supplies Sdn. Bhd.</v>
          </cell>
          <cell r="T755" t="str">
            <v>Functioning</v>
          </cell>
          <cell r="U755" t="str">
            <v>Asset</v>
          </cell>
          <cell r="V755">
            <v>10825</v>
          </cell>
          <cell r="W755" t="str">
            <v>KEW</v>
          </cell>
          <cell r="X755" t="str">
            <v>01/09/2010</v>
          </cell>
          <cell r="Y755" t="str">
            <v>KEW</v>
          </cell>
          <cell r="Z755" t="str">
            <v>16/08/2013</v>
          </cell>
          <cell r="AA755" t="str">
            <v>15/08/2015</v>
          </cell>
          <cell r="AB755" t="str">
            <v>No</v>
          </cell>
          <cell r="AC755" t="str">
            <v>31/08/2013</v>
          </cell>
          <cell r="AD755" t="str">
            <v>Good</v>
          </cell>
          <cell r="AE755" t="str">
            <v>V1 - Existing / No Claim</v>
          </cell>
          <cell r="AF755">
            <v>42235</v>
          </cell>
          <cell r="AG755">
            <v>9.17</v>
          </cell>
          <cell r="AH755" t="str">
            <v>PPM</v>
          </cell>
          <cell r="AI755" t="str">
            <v>Strands</v>
          </cell>
          <cell r="AJ755" t="str">
            <v>Strands PW</v>
          </cell>
        </row>
        <row r="756">
          <cell r="A756" t="str">
            <v>IKN400289</v>
          </cell>
          <cell r="B756">
            <v>289</v>
          </cell>
          <cell r="C756" t="str">
            <v>Institut Kanser Negara</v>
          </cell>
          <cell r="D756" t="str">
            <v>KKM/IKN/H/13/2032</v>
          </cell>
          <cell r="E756" t="str">
            <v>13-215</v>
          </cell>
          <cell r="F756" t="str">
            <v>Infusion Pumps, General-Purpose</v>
          </cell>
          <cell r="G756" t="str">
            <v>WH</v>
          </cell>
          <cell r="H756" t="str">
            <v>RT/ONCO WARD 2 (M)</v>
          </cell>
          <cell r="I756" t="str">
            <v>08WH121</v>
          </cell>
          <cell r="J756" t="str">
            <v>EQUIPMENT ROOM</v>
          </cell>
          <cell r="K756" t="str">
            <v>BMED</v>
          </cell>
          <cell r="L756" t="str">
            <v>Critical</v>
          </cell>
          <cell r="M756" t="str">
            <v>Germany</v>
          </cell>
          <cell r="N756" t="str">
            <v>Infusomat</v>
          </cell>
          <cell r="O756" t="str">
            <v>Infusomat Space</v>
          </cell>
          <cell r="P756" t="str">
            <v>211978</v>
          </cell>
          <cell r="Q756" t="str">
            <v>Not Applicable</v>
          </cell>
          <cell r="R756" t="str">
            <v>B Braun Melsungen AG</v>
          </cell>
          <cell r="S756" t="str">
            <v>B Braun Medical Supplies Sdn. Bhd.</v>
          </cell>
          <cell r="T756" t="str">
            <v>Functioning</v>
          </cell>
          <cell r="U756" t="str">
            <v>Asset</v>
          </cell>
          <cell r="V756">
            <v>10825</v>
          </cell>
          <cell r="W756" t="str">
            <v>KEW</v>
          </cell>
          <cell r="X756" t="str">
            <v>01/09/2010</v>
          </cell>
          <cell r="Y756" t="str">
            <v>KEW</v>
          </cell>
          <cell r="Z756" t="str">
            <v>16/08/2013</v>
          </cell>
          <cell r="AA756" t="str">
            <v>15/08/2015</v>
          </cell>
          <cell r="AB756" t="str">
            <v>No</v>
          </cell>
          <cell r="AC756" t="str">
            <v>31/08/2013</v>
          </cell>
          <cell r="AD756" t="str">
            <v>Good</v>
          </cell>
          <cell r="AE756" t="str">
            <v>V1 - Existing / No Claim</v>
          </cell>
          <cell r="AF756">
            <v>42787</v>
          </cell>
          <cell r="AG756">
            <v>9.17</v>
          </cell>
          <cell r="AH756" t="str">
            <v>PPM</v>
          </cell>
          <cell r="AI756" t="str">
            <v>Strands</v>
          </cell>
          <cell r="AJ756" t="str">
            <v>Strands PW</v>
          </cell>
        </row>
        <row r="757">
          <cell r="A757" t="str">
            <v>IKN400290</v>
          </cell>
          <cell r="B757">
            <v>290</v>
          </cell>
          <cell r="C757" t="str">
            <v>Institut Kanser Negara</v>
          </cell>
          <cell r="D757" t="str">
            <v>KKM/IKN/H/13/2037</v>
          </cell>
          <cell r="E757" t="str">
            <v>13-215</v>
          </cell>
          <cell r="F757" t="str">
            <v>Infusion Pumps, General-Purpose</v>
          </cell>
          <cell r="G757" t="str">
            <v>WH</v>
          </cell>
          <cell r="H757" t="str">
            <v>RT/ONCO WARD 2 (M)</v>
          </cell>
          <cell r="I757" t="str">
            <v>08WH121</v>
          </cell>
          <cell r="J757" t="str">
            <v>EQUIPMENT ROOM</v>
          </cell>
          <cell r="K757" t="str">
            <v>BMED</v>
          </cell>
          <cell r="L757" t="str">
            <v>Critical</v>
          </cell>
          <cell r="M757" t="str">
            <v>Germany</v>
          </cell>
          <cell r="N757" t="str">
            <v>Infusomat</v>
          </cell>
          <cell r="O757" t="str">
            <v>Infusomat Space</v>
          </cell>
          <cell r="P757" t="str">
            <v>211584</v>
          </cell>
          <cell r="Q757" t="str">
            <v>Not Applicable</v>
          </cell>
          <cell r="R757" t="str">
            <v>B Braun Melsungen AG</v>
          </cell>
          <cell r="S757" t="str">
            <v>B Braun Medical Supplies Sdn. Bhd.</v>
          </cell>
          <cell r="T757" t="str">
            <v>Functioning</v>
          </cell>
          <cell r="U757" t="str">
            <v>Asset</v>
          </cell>
          <cell r="V757">
            <v>10825</v>
          </cell>
          <cell r="W757" t="str">
            <v>KEW</v>
          </cell>
          <cell r="X757" t="str">
            <v>01/09/2010</v>
          </cell>
          <cell r="Y757" t="str">
            <v>KEW</v>
          </cell>
          <cell r="Z757" t="str">
            <v>16/08/2013</v>
          </cell>
          <cell r="AA757" t="str">
            <v>15/08/2015</v>
          </cell>
          <cell r="AB757" t="str">
            <v>No</v>
          </cell>
          <cell r="AC757" t="str">
            <v>31/08/2013</v>
          </cell>
          <cell r="AD757" t="str">
            <v>Good</v>
          </cell>
          <cell r="AE757" t="str">
            <v>V1 - Existing / No Claim</v>
          </cell>
          <cell r="AF757">
            <v>42787</v>
          </cell>
          <cell r="AG757">
            <v>9.17</v>
          </cell>
          <cell r="AH757" t="str">
            <v>PPM</v>
          </cell>
          <cell r="AI757" t="str">
            <v>Strands</v>
          </cell>
          <cell r="AJ757" t="str">
            <v>Strands PW</v>
          </cell>
        </row>
        <row r="758">
          <cell r="A758" t="str">
            <v>IKN400291</v>
          </cell>
          <cell r="B758">
            <v>291</v>
          </cell>
          <cell r="C758" t="str">
            <v>Institut Kanser Negara</v>
          </cell>
          <cell r="D758" t="str">
            <v>KKM/IKN/H/13/2033</v>
          </cell>
          <cell r="E758" t="str">
            <v>13-215</v>
          </cell>
          <cell r="F758" t="str">
            <v>Infusion Pumps, General-Purpose</v>
          </cell>
          <cell r="G758" t="str">
            <v>WH</v>
          </cell>
          <cell r="H758" t="str">
            <v>RT/ONCO WARD 2 (M)</v>
          </cell>
          <cell r="I758" t="str">
            <v>08WH121</v>
          </cell>
          <cell r="J758" t="str">
            <v>EQUIPMENT ROOM</v>
          </cell>
          <cell r="K758" t="str">
            <v>BMED</v>
          </cell>
          <cell r="L758" t="str">
            <v>Critical</v>
          </cell>
          <cell r="M758" t="str">
            <v>Germany</v>
          </cell>
          <cell r="N758" t="str">
            <v>Infusomat</v>
          </cell>
          <cell r="O758" t="str">
            <v>Infusomat Space</v>
          </cell>
          <cell r="P758" t="str">
            <v>211977</v>
          </cell>
          <cell r="Q758" t="str">
            <v>Not Applicable</v>
          </cell>
          <cell r="R758" t="str">
            <v>B Braun Melsungen AG</v>
          </cell>
          <cell r="S758" t="str">
            <v>B Braun Medical Supplies Sdn. Bhd.</v>
          </cell>
          <cell r="T758" t="str">
            <v>Functioning</v>
          </cell>
          <cell r="U758" t="str">
            <v>Asset</v>
          </cell>
          <cell r="V758">
            <v>10825</v>
          </cell>
          <cell r="W758" t="str">
            <v>KEW</v>
          </cell>
          <cell r="X758" t="str">
            <v>01/09/2010</v>
          </cell>
          <cell r="Y758" t="str">
            <v>KEW</v>
          </cell>
          <cell r="Z758" t="str">
            <v>16/08/2013</v>
          </cell>
          <cell r="AA758" t="str">
            <v>15/08/2015</v>
          </cell>
          <cell r="AB758" t="str">
            <v>No</v>
          </cell>
          <cell r="AC758" t="str">
            <v>31/08/2013</v>
          </cell>
          <cell r="AD758" t="str">
            <v>Good</v>
          </cell>
          <cell r="AE758" t="str">
            <v>V1 - Existing / No Claim</v>
          </cell>
          <cell r="AF758">
            <v>42788</v>
          </cell>
          <cell r="AG758">
            <v>9.17</v>
          </cell>
          <cell r="AH758" t="str">
            <v>PPM</v>
          </cell>
          <cell r="AI758" t="str">
            <v>Strands</v>
          </cell>
          <cell r="AJ758" t="str">
            <v>Strands PW</v>
          </cell>
        </row>
        <row r="759">
          <cell r="A759" t="str">
            <v>IKN400292</v>
          </cell>
          <cell r="B759">
            <v>292</v>
          </cell>
          <cell r="C759" t="str">
            <v>Institut Kanser Negara</v>
          </cell>
          <cell r="D759" t="str">
            <v>KKM/IKN/H/13/288</v>
          </cell>
          <cell r="E759" t="str">
            <v>13-215</v>
          </cell>
          <cell r="F759" t="str">
            <v>Infusion Pumps, General-Purpose</v>
          </cell>
          <cell r="G759" t="str">
            <v>WH</v>
          </cell>
          <cell r="H759" t="str">
            <v>RT/ONCO WARD 2 (M)</v>
          </cell>
          <cell r="I759" t="str">
            <v>08WH121</v>
          </cell>
          <cell r="J759" t="str">
            <v>EQUIPMENT ROOM</v>
          </cell>
          <cell r="K759" t="str">
            <v>BMED</v>
          </cell>
          <cell r="L759" t="str">
            <v>Normal</v>
          </cell>
          <cell r="M759" t="str">
            <v>Germany</v>
          </cell>
          <cell r="N759" t="str">
            <v>Infusomat</v>
          </cell>
          <cell r="O759" t="str">
            <v>Infusomat Space</v>
          </cell>
          <cell r="P759" t="str">
            <v>212086</v>
          </cell>
          <cell r="Q759" t="str">
            <v>Not Applicable</v>
          </cell>
          <cell r="R759" t="str">
            <v>B Braun Melsungen AG</v>
          </cell>
          <cell r="S759" t="str">
            <v>B Braun Medical Supplies Sdn. Bhd.</v>
          </cell>
          <cell r="T759" t="str">
            <v>Functioning</v>
          </cell>
          <cell r="U759" t="str">
            <v>Asset</v>
          </cell>
          <cell r="V759">
            <v>10825</v>
          </cell>
          <cell r="W759" t="str">
            <v>KEW</v>
          </cell>
          <cell r="X759" t="str">
            <v>01/09/2010</v>
          </cell>
          <cell r="Y759" t="str">
            <v>KEW</v>
          </cell>
          <cell r="Z759" t="str">
            <v>16/08/2013</v>
          </cell>
          <cell r="AA759" t="str">
            <v>15/08/2015</v>
          </cell>
          <cell r="AB759" t="str">
            <v>No</v>
          </cell>
          <cell r="AC759" t="str">
            <v>31/08/2013</v>
          </cell>
          <cell r="AD759" t="str">
            <v>Good</v>
          </cell>
          <cell r="AE759" t="str">
            <v>V1 - Existing / No Claim</v>
          </cell>
          <cell r="AF759">
            <v>42235</v>
          </cell>
          <cell r="AG759">
            <v>9.17</v>
          </cell>
          <cell r="AH759" t="str">
            <v>PPM</v>
          </cell>
          <cell r="AI759" t="str">
            <v>Strands</v>
          </cell>
          <cell r="AJ759" t="str">
            <v>Strands PW</v>
          </cell>
        </row>
        <row r="760">
          <cell r="A760" t="str">
            <v>IKN400293</v>
          </cell>
          <cell r="B760">
            <v>293</v>
          </cell>
          <cell r="C760" t="str">
            <v>Institut Kanser Negara</v>
          </cell>
          <cell r="D760" t="str">
            <v>KKM/IKN/H/13/3708</v>
          </cell>
          <cell r="E760" t="str">
            <v>17-148</v>
          </cell>
          <cell r="F760" t="str">
            <v>Oximeters, Pulse</v>
          </cell>
          <cell r="G760" t="str">
            <v>WH</v>
          </cell>
          <cell r="H760" t="str">
            <v>RT/ONCO WARD 2 (M)</v>
          </cell>
          <cell r="I760" t="str">
            <v>08WH121</v>
          </cell>
          <cell r="J760" t="str">
            <v>EQUIPMENT ROOM</v>
          </cell>
          <cell r="K760" t="str">
            <v>BMED</v>
          </cell>
          <cell r="L760" t="str">
            <v>Critical</v>
          </cell>
          <cell r="M760" t="str">
            <v>USA</v>
          </cell>
          <cell r="N760" t="str">
            <v>PalmSat</v>
          </cell>
          <cell r="O760" t="str">
            <v>PalmSat 2500</v>
          </cell>
          <cell r="P760" t="str">
            <v>501442061</v>
          </cell>
          <cell r="Q760" t="str">
            <v>Not Applicable</v>
          </cell>
          <cell r="R760" t="str">
            <v>Nonin Medical Inc</v>
          </cell>
          <cell r="S760" t="str">
            <v>Acucare Systems (M) Sdn bhd</v>
          </cell>
          <cell r="T760" t="str">
            <v>Functioning</v>
          </cell>
          <cell r="U760" t="str">
            <v>Asset</v>
          </cell>
          <cell r="V760">
            <v>5410</v>
          </cell>
          <cell r="W760" t="str">
            <v>KEW</v>
          </cell>
          <cell r="X760" t="str">
            <v>01/09/2010</v>
          </cell>
          <cell r="Y760" t="str">
            <v>KEW</v>
          </cell>
          <cell r="Z760" t="str">
            <v>16/08/2013</v>
          </cell>
          <cell r="AA760" t="str">
            <v>15/08/2015</v>
          </cell>
          <cell r="AB760" t="str">
            <v>No</v>
          </cell>
          <cell r="AC760" t="str">
            <v>31/08/2013</v>
          </cell>
          <cell r="AD760" t="str">
            <v>Good</v>
          </cell>
          <cell r="AE760" t="str">
            <v>V1 - Existing / No Claim</v>
          </cell>
          <cell r="AF760">
            <v>42788</v>
          </cell>
          <cell r="AG760">
            <v>9.17</v>
          </cell>
          <cell r="AH760" t="str">
            <v>PPM</v>
          </cell>
          <cell r="AI760" t="str">
            <v>Strands</v>
          </cell>
          <cell r="AJ760" t="str">
            <v>Strands PW</v>
          </cell>
        </row>
        <row r="761">
          <cell r="A761" t="str">
            <v>IKN400294</v>
          </cell>
          <cell r="B761">
            <v>294</v>
          </cell>
          <cell r="C761" t="str">
            <v>Institut Kanser Negara</v>
          </cell>
          <cell r="D761" t="str">
            <v>KKM/IKN/H/13/2035</v>
          </cell>
          <cell r="E761" t="str">
            <v>13-215</v>
          </cell>
          <cell r="F761" t="str">
            <v>Infusion Pumps, General-Purpose</v>
          </cell>
          <cell r="G761" t="str">
            <v>WH</v>
          </cell>
          <cell r="H761" t="str">
            <v>RT/ONCO WARD 2 (M)</v>
          </cell>
          <cell r="I761" t="str">
            <v>08WH121</v>
          </cell>
          <cell r="J761" t="str">
            <v>EQUIPMENT ROOM</v>
          </cell>
          <cell r="K761" t="str">
            <v>BMED</v>
          </cell>
          <cell r="L761" t="str">
            <v>Normal</v>
          </cell>
          <cell r="M761" t="str">
            <v>Germany</v>
          </cell>
          <cell r="N761" t="str">
            <v>Infusomat</v>
          </cell>
          <cell r="O761" t="str">
            <v>Infusomat Space</v>
          </cell>
          <cell r="P761" t="str">
            <v>211860</v>
          </cell>
          <cell r="Q761" t="str">
            <v>Not Applicable</v>
          </cell>
          <cell r="R761" t="str">
            <v>B Braun Melsungen AG</v>
          </cell>
          <cell r="S761" t="str">
            <v>B Braun Medical Supplies Sdn. Bhd.</v>
          </cell>
          <cell r="T761" t="str">
            <v>Functioning</v>
          </cell>
          <cell r="U761" t="str">
            <v>Asset</v>
          </cell>
          <cell r="V761">
            <v>10825</v>
          </cell>
          <cell r="W761" t="str">
            <v>KEW</v>
          </cell>
          <cell r="X761" t="str">
            <v>01/09/2010</v>
          </cell>
          <cell r="Y761" t="str">
            <v>KEW</v>
          </cell>
          <cell r="Z761" t="str">
            <v>16/08/2013</v>
          </cell>
          <cell r="AA761" t="str">
            <v>15/08/2015</v>
          </cell>
          <cell r="AB761" t="str">
            <v>No</v>
          </cell>
          <cell r="AC761" t="str">
            <v>31/08/2013</v>
          </cell>
          <cell r="AD761" t="str">
            <v>Good</v>
          </cell>
          <cell r="AE761" t="str">
            <v>V1 - Existing / No Claim</v>
          </cell>
          <cell r="AF761">
            <v>42235</v>
          </cell>
          <cell r="AG761">
            <v>9.17</v>
          </cell>
          <cell r="AH761" t="str">
            <v>PPM</v>
          </cell>
          <cell r="AI761" t="str">
            <v>Strands</v>
          </cell>
          <cell r="AJ761" t="str">
            <v>Strands PW</v>
          </cell>
        </row>
        <row r="762">
          <cell r="A762" t="str">
            <v>IKN400295</v>
          </cell>
          <cell r="B762">
            <v>295</v>
          </cell>
          <cell r="C762" t="str">
            <v>Institut Kanser Negara</v>
          </cell>
          <cell r="D762" t="str">
            <v>KKM/IKN/H/13/2036</v>
          </cell>
          <cell r="E762" t="str">
            <v>13-215</v>
          </cell>
          <cell r="F762" t="str">
            <v>Infusion Pumps, General-Purpose</v>
          </cell>
          <cell r="G762" t="str">
            <v>WH</v>
          </cell>
          <cell r="H762" t="str">
            <v>RT/ONCO WARD 2 (M)</v>
          </cell>
          <cell r="I762" t="str">
            <v>08WH121</v>
          </cell>
          <cell r="J762" t="str">
            <v>EQUIPMENT ROOM</v>
          </cell>
          <cell r="K762" t="str">
            <v>BMED</v>
          </cell>
          <cell r="L762" t="str">
            <v>Critical</v>
          </cell>
          <cell r="M762" t="str">
            <v>Germany</v>
          </cell>
          <cell r="N762" t="str">
            <v>Infusomat</v>
          </cell>
          <cell r="O762" t="str">
            <v>Infusomat Space</v>
          </cell>
          <cell r="P762" t="str">
            <v>212011</v>
          </cell>
          <cell r="Q762" t="str">
            <v>Not Applicable</v>
          </cell>
          <cell r="R762" t="str">
            <v>B Braun Melsungen AG</v>
          </cell>
          <cell r="S762" t="str">
            <v>B Braun Medical Supplies Sdn. Bhd.</v>
          </cell>
          <cell r="T762" t="str">
            <v>Functioning</v>
          </cell>
          <cell r="U762" t="str">
            <v>Asset</v>
          </cell>
          <cell r="V762">
            <v>10825</v>
          </cell>
          <cell r="W762" t="str">
            <v>KEW</v>
          </cell>
          <cell r="X762" t="str">
            <v>01/09/2010</v>
          </cell>
          <cell r="Y762" t="str">
            <v>KEW</v>
          </cell>
          <cell r="Z762" t="str">
            <v>16/08/2013</v>
          </cell>
          <cell r="AA762" t="str">
            <v>15/08/2015</v>
          </cell>
          <cell r="AB762" t="str">
            <v>No</v>
          </cell>
          <cell r="AC762" t="str">
            <v>31/08/2013</v>
          </cell>
          <cell r="AD762" t="str">
            <v>Good</v>
          </cell>
          <cell r="AE762" t="str">
            <v>V1 - Existing / No Claim</v>
          </cell>
          <cell r="AF762">
            <v>42788</v>
          </cell>
          <cell r="AG762">
            <v>9.17</v>
          </cell>
          <cell r="AH762" t="str">
            <v>PPM</v>
          </cell>
          <cell r="AI762" t="str">
            <v>Strands</v>
          </cell>
          <cell r="AJ762" t="str">
            <v>Strands PW</v>
          </cell>
        </row>
        <row r="763">
          <cell r="A763" t="str">
            <v>IKN400296</v>
          </cell>
          <cell r="B763">
            <v>296</v>
          </cell>
          <cell r="C763" t="str">
            <v>Institut Kanser Negara</v>
          </cell>
          <cell r="D763" t="str">
            <v>KKM/IKN/H/13/2038</v>
          </cell>
          <cell r="E763" t="str">
            <v>13-215</v>
          </cell>
          <cell r="F763" t="str">
            <v>Infusion Pumps, General-Purpose</v>
          </cell>
          <cell r="G763" t="str">
            <v>WH</v>
          </cell>
          <cell r="H763" t="str">
            <v>RT/ONCO WARD 2 (M)</v>
          </cell>
          <cell r="I763" t="str">
            <v>08WH121</v>
          </cell>
          <cell r="J763" t="str">
            <v>EQUIPMENT ROOM</v>
          </cell>
          <cell r="K763" t="str">
            <v>BMED</v>
          </cell>
          <cell r="L763" t="str">
            <v>Critical</v>
          </cell>
          <cell r="M763" t="str">
            <v>Germany</v>
          </cell>
          <cell r="N763" t="str">
            <v>Infusomat</v>
          </cell>
          <cell r="O763" t="str">
            <v>Infusomat Space</v>
          </cell>
          <cell r="P763" t="str">
            <v>212091</v>
          </cell>
          <cell r="Q763" t="str">
            <v>Not Applicable</v>
          </cell>
          <cell r="R763" t="str">
            <v>B Braun Melsungen AG</v>
          </cell>
          <cell r="S763" t="str">
            <v>B Braun Medical Supplies Sdn. Bhd.</v>
          </cell>
          <cell r="T763" t="str">
            <v>Functioning</v>
          </cell>
          <cell r="U763" t="str">
            <v>Asset</v>
          </cell>
          <cell r="V763">
            <v>10825</v>
          </cell>
          <cell r="W763" t="str">
            <v>KEW</v>
          </cell>
          <cell r="X763" t="str">
            <v>01/09/2010</v>
          </cell>
          <cell r="Y763" t="str">
            <v>KEW</v>
          </cell>
          <cell r="Z763" t="str">
            <v>16/08/2013</v>
          </cell>
          <cell r="AA763" t="str">
            <v>15/08/2015</v>
          </cell>
          <cell r="AB763" t="str">
            <v>No</v>
          </cell>
          <cell r="AC763" t="str">
            <v>31/08/2013</v>
          </cell>
          <cell r="AD763" t="str">
            <v>Good</v>
          </cell>
          <cell r="AE763" t="str">
            <v>V1 - Existing / No Claim</v>
          </cell>
          <cell r="AF763">
            <v>42788</v>
          </cell>
          <cell r="AG763">
            <v>9.17</v>
          </cell>
          <cell r="AH763" t="str">
            <v>PPM</v>
          </cell>
          <cell r="AI763" t="str">
            <v>Strands</v>
          </cell>
          <cell r="AJ763" t="str">
            <v>Strands PW</v>
          </cell>
        </row>
        <row r="764">
          <cell r="A764" t="str">
            <v>IKN400297</v>
          </cell>
          <cell r="B764">
            <v>297</v>
          </cell>
          <cell r="C764" t="str">
            <v>Institut Kanser Negara</v>
          </cell>
          <cell r="D764" t="str">
            <v>KKM/IKN/H/13/2039</v>
          </cell>
          <cell r="E764" t="str">
            <v>13-215</v>
          </cell>
          <cell r="F764" t="str">
            <v>Infusion Pumps, General-Purpose</v>
          </cell>
          <cell r="G764" t="str">
            <v>WH</v>
          </cell>
          <cell r="H764" t="str">
            <v>RT/ONCO WARD 2 (M)</v>
          </cell>
          <cell r="I764" t="str">
            <v>08WH121</v>
          </cell>
          <cell r="J764" t="str">
            <v>EQUIPMENT ROOM</v>
          </cell>
          <cell r="K764" t="str">
            <v>BMED</v>
          </cell>
          <cell r="L764" t="str">
            <v>Critical</v>
          </cell>
          <cell r="M764" t="str">
            <v>Germany</v>
          </cell>
          <cell r="N764" t="str">
            <v>Infusomat</v>
          </cell>
          <cell r="O764" t="str">
            <v>Infusomat Space</v>
          </cell>
          <cell r="P764" t="str">
            <v>211871</v>
          </cell>
          <cell r="Q764" t="str">
            <v>Not Applicable</v>
          </cell>
          <cell r="R764" t="str">
            <v>B Braun Melsungen AG</v>
          </cell>
          <cell r="S764" t="str">
            <v>B Braun Medical Supplies Sdn. Bhd.</v>
          </cell>
          <cell r="T764" t="str">
            <v>Functioning</v>
          </cell>
          <cell r="U764" t="str">
            <v>Asset</v>
          </cell>
          <cell r="V764">
            <v>10825</v>
          </cell>
          <cell r="W764" t="str">
            <v>KEW</v>
          </cell>
          <cell r="X764" t="str">
            <v>01/09/2010</v>
          </cell>
          <cell r="Y764" t="str">
            <v>KEW</v>
          </cell>
          <cell r="Z764" t="str">
            <v>16/08/2013</v>
          </cell>
          <cell r="AA764" t="str">
            <v>15/08/2015</v>
          </cell>
          <cell r="AB764" t="str">
            <v>No</v>
          </cell>
          <cell r="AC764" t="str">
            <v>31/08/2013</v>
          </cell>
          <cell r="AD764" t="str">
            <v>Good</v>
          </cell>
          <cell r="AE764" t="str">
            <v>V1 - Existing / No Claim</v>
          </cell>
          <cell r="AF764">
            <v>42788</v>
          </cell>
          <cell r="AG764">
            <v>9.17</v>
          </cell>
          <cell r="AH764" t="str">
            <v>PPM</v>
          </cell>
          <cell r="AI764" t="str">
            <v>Strands</v>
          </cell>
          <cell r="AJ764" t="str">
            <v>Strands PW</v>
          </cell>
        </row>
        <row r="765">
          <cell r="A765" t="str">
            <v>IKN400298</v>
          </cell>
          <cell r="B765">
            <v>298</v>
          </cell>
          <cell r="C765" t="str">
            <v>Institut Kanser Negara</v>
          </cell>
          <cell r="D765" t="str">
            <v>KKM/IKN/H/13/2045</v>
          </cell>
          <cell r="E765" t="str">
            <v>18-147</v>
          </cell>
          <cell r="F765" t="str">
            <v>Mattress Systems, Alternating-Pressure</v>
          </cell>
          <cell r="G765" t="str">
            <v>WH</v>
          </cell>
          <cell r="H765" t="str">
            <v>RT/ONCO WARD 2 (M)</v>
          </cell>
          <cell r="I765" t="str">
            <v>08WH121</v>
          </cell>
          <cell r="J765" t="str">
            <v>EQUIPMENT ROOM</v>
          </cell>
          <cell r="K765" t="str">
            <v>BMED</v>
          </cell>
          <cell r="L765" t="str">
            <v>Normal</v>
          </cell>
          <cell r="M765" t="str">
            <v>Poland</v>
          </cell>
          <cell r="N765" t="str">
            <v>Nimbus</v>
          </cell>
          <cell r="O765" t="str">
            <v>Nimbus 3</v>
          </cell>
          <cell r="P765" t="str">
            <v>1200005112</v>
          </cell>
          <cell r="Q765" t="str">
            <v>Not Applicable</v>
          </cell>
          <cell r="R765" t="str">
            <v>Arjohuntleigh</v>
          </cell>
          <cell r="S765" t="str">
            <v>Hexamine Sdn. Bhd.</v>
          </cell>
          <cell r="T765" t="str">
            <v>Functioning</v>
          </cell>
          <cell r="U765" t="str">
            <v>Asset</v>
          </cell>
          <cell r="V765">
            <v>28630</v>
          </cell>
          <cell r="W765" t="str">
            <v>KEW</v>
          </cell>
          <cell r="X765" t="str">
            <v>01/09/2010</v>
          </cell>
          <cell r="Y765" t="str">
            <v>KEW</v>
          </cell>
          <cell r="Z765" t="str">
            <v>16/08/2013</v>
          </cell>
          <cell r="AA765" t="str">
            <v>15/08/2015</v>
          </cell>
          <cell r="AB765" t="str">
            <v>No</v>
          </cell>
          <cell r="AC765" t="str">
            <v>31/08/2013</v>
          </cell>
          <cell r="AD765" t="str">
            <v>Good</v>
          </cell>
          <cell r="AE765" t="str">
            <v>V1 - Existing / No Claim</v>
          </cell>
          <cell r="AF765">
            <v>42235</v>
          </cell>
          <cell r="AG765">
            <v>9.17</v>
          </cell>
          <cell r="AH765" t="str">
            <v>PPM</v>
          </cell>
          <cell r="AI765" t="str">
            <v>Strands</v>
          </cell>
          <cell r="AJ765" t="str">
            <v>Strands PW</v>
          </cell>
        </row>
        <row r="766">
          <cell r="A766" t="str">
            <v>IKN400299</v>
          </cell>
          <cell r="B766">
            <v>299</v>
          </cell>
          <cell r="C766" t="str">
            <v>Institut Kanser Negara</v>
          </cell>
          <cell r="D766" t="str">
            <v>KKM/IKN/H/13/2048</v>
          </cell>
          <cell r="E766" t="str">
            <v>18-147</v>
          </cell>
          <cell r="F766" t="str">
            <v>Mattress Systems, Alternating-Pressure</v>
          </cell>
          <cell r="G766" t="str">
            <v>WH</v>
          </cell>
          <cell r="H766" t="str">
            <v>RT/ONCO WARD 2 (M)</v>
          </cell>
          <cell r="I766" t="str">
            <v>08WH121</v>
          </cell>
          <cell r="J766" t="str">
            <v>EQUIPMENT ROOM</v>
          </cell>
          <cell r="K766" t="str">
            <v>BMED</v>
          </cell>
          <cell r="L766" t="str">
            <v>Normal</v>
          </cell>
          <cell r="M766" t="str">
            <v>Poland</v>
          </cell>
          <cell r="N766" t="str">
            <v>Nimbus</v>
          </cell>
          <cell r="O766" t="str">
            <v>Nimbus 3</v>
          </cell>
          <cell r="P766" t="str">
            <v>1200005123</v>
          </cell>
          <cell r="Q766" t="str">
            <v>Not Applicable</v>
          </cell>
          <cell r="R766" t="str">
            <v>Arjohuntleigh</v>
          </cell>
          <cell r="S766" t="str">
            <v>Hexamine Sdn. Bhd.</v>
          </cell>
          <cell r="T766" t="str">
            <v>Functioning</v>
          </cell>
          <cell r="U766" t="str">
            <v>Asset</v>
          </cell>
          <cell r="V766">
            <v>28630</v>
          </cell>
          <cell r="W766" t="str">
            <v>KEW</v>
          </cell>
          <cell r="X766" t="str">
            <v>01/09/2010</v>
          </cell>
          <cell r="Y766" t="str">
            <v>KEW</v>
          </cell>
          <cell r="Z766" t="str">
            <v>16/08/2013</v>
          </cell>
          <cell r="AA766" t="str">
            <v>15/08/2015</v>
          </cell>
          <cell r="AB766" t="str">
            <v>No</v>
          </cell>
          <cell r="AC766" t="str">
            <v>31/08/2013</v>
          </cell>
          <cell r="AD766" t="str">
            <v>Good</v>
          </cell>
          <cell r="AE766" t="str">
            <v>V1 - Existing / No Claim</v>
          </cell>
          <cell r="AF766">
            <v>42235</v>
          </cell>
          <cell r="AG766">
            <v>9.17</v>
          </cell>
          <cell r="AH766" t="str">
            <v>PPM</v>
          </cell>
          <cell r="AI766" t="str">
            <v>Strands</v>
          </cell>
          <cell r="AJ766" t="str">
            <v>Strands PW</v>
          </cell>
        </row>
        <row r="767">
          <cell r="A767" t="str">
            <v>IKN400300</v>
          </cell>
          <cell r="B767">
            <v>300</v>
          </cell>
          <cell r="C767" t="str">
            <v>Institut Kanser Negara</v>
          </cell>
          <cell r="D767" t="str">
            <v>KKM/IKN/H/13/2043</v>
          </cell>
          <cell r="E767" t="str">
            <v>18-147</v>
          </cell>
          <cell r="F767" t="str">
            <v>Mattress Systems, Alternating-Pressure</v>
          </cell>
          <cell r="G767" t="str">
            <v>WH</v>
          </cell>
          <cell r="H767" t="str">
            <v>RT/ONCO WARD 2 (M)</v>
          </cell>
          <cell r="I767" t="str">
            <v>08WH121</v>
          </cell>
          <cell r="J767" t="str">
            <v>EQUIPMENT ROOM</v>
          </cell>
          <cell r="K767" t="str">
            <v>BMED</v>
          </cell>
          <cell r="L767" t="str">
            <v>Normal</v>
          </cell>
          <cell r="M767" t="str">
            <v>Poland</v>
          </cell>
          <cell r="N767" t="str">
            <v>Nimbus</v>
          </cell>
          <cell r="O767" t="str">
            <v>Nimbus 3</v>
          </cell>
          <cell r="P767" t="str">
            <v>1200006469</v>
          </cell>
          <cell r="Q767" t="str">
            <v>Not Applicable</v>
          </cell>
          <cell r="R767" t="str">
            <v>Arjohuntleigh</v>
          </cell>
          <cell r="S767" t="str">
            <v>Hexamine Sdn. Bhd.</v>
          </cell>
          <cell r="T767" t="str">
            <v>Functioning</v>
          </cell>
          <cell r="U767" t="str">
            <v>Asset</v>
          </cell>
          <cell r="V767">
            <v>28630</v>
          </cell>
          <cell r="W767" t="str">
            <v>KEW</v>
          </cell>
          <cell r="X767" t="str">
            <v>01/09/2010</v>
          </cell>
          <cell r="Y767" t="str">
            <v>KEW</v>
          </cell>
          <cell r="Z767" t="str">
            <v>16/08/2013</v>
          </cell>
          <cell r="AA767" t="str">
            <v>15/08/2015</v>
          </cell>
          <cell r="AB767" t="str">
            <v>No</v>
          </cell>
          <cell r="AC767" t="str">
            <v>31/08/2013</v>
          </cell>
          <cell r="AD767" t="str">
            <v>Good</v>
          </cell>
          <cell r="AE767" t="str">
            <v>V1 - Existing / No Claim</v>
          </cell>
          <cell r="AF767">
            <v>42235</v>
          </cell>
          <cell r="AG767">
            <v>9.17</v>
          </cell>
          <cell r="AH767" t="str">
            <v>PPM</v>
          </cell>
          <cell r="AI767" t="str">
            <v>Strands</v>
          </cell>
          <cell r="AJ767" t="str">
            <v>Strands PW</v>
          </cell>
        </row>
        <row r="768">
          <cell r="A768" t="str">
            <v>IKN400301</v>
          </cell>
          <cell r="B768">
            <v>301</v>
          </cell>
          <cell r="C768" t="str">
            <v>Institut Kanser Negara</v>
          </cell>
          <cell r="D768" t="str">
            <v>KKM/IKN/H/13/2047</v>
          </cell>
          <cell r="E768" t="str">
            <v>18-147</v>
          </cell>
          <cell r="F768" t="str">
            <v>Mattress Systems, Alternating-Pressure</v>
          </cell>
          <cell r="G768" t="str">
            <v>WH</v>
          </cell>
          <cell r="H768" t="str">
            <v>RT/ONCO WARD 2 (M)</v>
          </cell>
          <cell r="I768" t="str">
            <v>08WH121</v>
          </cell>
          <cell r="J768" t="str">
            <v>EQUIPMENT ROOM</v>
          </cell>
          <cell r="K768" t="str">
            <v>BMED</v>
          </cell>
          <cell r="L768" t="str">
            <v>Normal</v>
          </cell>
          <cell r="M768" t="str">
            <v>Poland</v>
          </cell>
          <cell r="N768" t="str">
            <v>Nimbus</v>
          </cell>
          <cell r="O768" t="str">
            <v>Nimbus 3</v>
          </cell>
          <cell r="P768" t="str">
            <v>1200005124</v>
          </cell>
          <cell r="Q768" t="str">
            <v>Not Applicable</v>
          </cell>
          <cell r="R768" t="str">
            <v>Arjohuntleigh</v>
          </cell>
          <cell r="S768" t="str">
            <v>Hexamine Sdn. Bhd.</v>
          </cell>
          <cell r="T768" t="str">
            <v>Functioning</v>
          </cell>
          <cell r="U768" t="str">
            <v>Asset</v>
          </cell>
          <cell r="V768">
            <v>28630</v>
          </cell>
          <cell r="W768" t="str">
            <v>KEW</v>
          </cell>
          <cell r="X768" t="str">
            <v>01/09/2010</v>
          </cell>
          <cell r="Y768" t="str">
            <v>KEW</v>
          </cell>
          <cell r="Z768" t="str">
            <v>16/08/2013</v>
          </cell>
          <cell r="AA768" t="str">
            <v>15/08/2015</v>
          </cell>
          <cell r="AB768" t="str">
            <v>No</v>
          </cell>
          <cell r="AC768" t="str">
            <v>31/08/2013</v>
          </cell>
          <cell r="AD768" t="str">
            <v>Good</v>
          </cell>
          <cell r="AE768" t="str">
            <v>V1 - Existing / No Claim</v>
          </cell>
          <cell r="AF768">
            <v>42235</v>
          </cell>
          <cell r="AG768">
            <v>9.17</v>
          </cell>
          <cell r="AH768" t="str">
            <v>PPM</v>
          </cell>
          <cell r="AI768" t="str">
            <v>Strands</v>
          </cell>
          <cell r="AJ768" t="str">
            <v>Strands PW</v>
          </cell>
        </row>
        <row r="769">
          <cell r="A769" t="str">
            <v>IKN400302</v>
          </cell>
          <cell r="B769">
            <v>302</v>
          </cell>
          <cell r="C769" t="str">
            <v>Institut Kanser Negara</v>
          </cell>
          <cell r="D769" t="str">
            <v>KKM/IKN/H/13/2046</v>
          </cell>
          <cell r="E769" t="str">
            <v>18-147</v>
          </cell>
          <cell r="F769" t="str">
            <v>Mattress Systems, Alternating-Pressure</v>
          </cell>
          <cell r="G769" t="str">
            <v>WH</v>
          </cell>
          <cell r="H769" t="str">
            <v>RT/ONCO WARD 2 (M)</v>
          </cell>
          <cell r="I769" t="str">
            <v>08WH121</v>
          </cell>
          <cell r="J769" t="str">
            <v>EQUIPMENT ROOM</v>
          </cell>
          <cell r="K769" t="str">
            <v>BMED</v>
          </cell>
          <cell r="L769" t="str">
            <v>Normal</v>
          </cell>
          <cell r="M769" t="str">
            <v>Poland</v>
          </cell>
          <cell r="N769" t="str">
            <v>Nimbus</v>
          </cell>
          <cell r="O769" t="str">
            <v>Nimbus 3</v>
          </cell>
          <cell r="P769" t="str">
            <v>1200005117</v>
          </cell>
          <cell r="Q769" t="str">
            <v>Not Applicable</v>
          </cell>
          <cell r="R769" t="str">
            <v>Arjohuntleigh</v>
          </cell>
          <cell r="S769" t="str">
            <v>Hexamine Sdn. Bhd.</v>
          </cell>
          <cell r="T769" t="str">
            <v>Functioning</v>
          </cell>
          <cell r="U769" t="str">
            <v>Asset</v>
          </cell>
          <cell r="V769">
            <v>28630</v>
          </cell>
          <cell r="W769" t="str">
            <v>KEW</v>
          </cell>
          <cell r="X769" t="str">
            <v>01/09/2010</v>
          </cell>
          <cell r="Y769" t="str">
            <v>KEW</v>
          </cell>
          <cell r="Z769" t="str">
            <v>16/08/2013</v>
          </cell>
          <cell r="AA769" t="str">
            <v>15/08/2015</v>
          </cell>
          <cell r="AB769" t="str">
            <v>No</v>
          </cell>
          <cell r="AC769" t="str">
            <v>31/08/2013</v>
          </cell>
          <cell r="AD769" t="str">
            <v>Good</v>
          </cell>
          <cell r="AE769" t="str">
            <v>V1 - Existing / No Claim</v>
          </cell>
          <cell r="AF769">
            <v>42235</v>
          </cell>
          <cell r="AG769">
            <v>9.17</v>
          </cell>
          <cell r="AH769" t="str">
            <v>PPM</v>
          </cell>
          <cell r="AI769" t="str">
            <v>Strands</v>
          </cell>
          <cell r="AJ769" t="str">
            <v>Strands PW</v>
          </cell>
        </row>
        <row r="770">
          <cell r="A770" t="str">
            <v>IKN400303</v>
          </cell>
          <cell r="B770">
            <v>303</v>
          </cell>
          <cell r="C770" t="str">
            <v>Institut Kanser Negara</v>
          </cell>
          <cell r="D770" t="str">
            <v>KKM/IKN/H/13/2044</v>
          </cell>
          <cell r="E770" t="str">
            <v>18-147</v>
          </cell>
          <cell r="F770" t="str">
            <v>Mattress Systems, Alternating-Pressure</v>
          </cell>
          <cell r="G770" t="str">
            <v>WH</v>
          </cell>
          <cell r="H770" t="str">
            <v>RT/ONCO WARD 2 (M)</v>
          </cell>
          <cell r="I770" t="str">
            <v>08WH121</v>
          </cell>
          <cell r="J770" t="str">
            <v>EQUIPMENT ROOM</v>
          </cell>
          <cell r="K770" t="str">
            <v>BMED</v>
          </cell>
          <cell r="L770" t="str">
            <v>Normal</v>
          </cell>
          <cell r="M770" t="str">
            <v>Poland</v>
          </cell>
          <cell r="N770" t="str">
            <v>Nimbus</v>
          </cell>
          <cell r="O770" t="str">
            <v>Nimbus 3</v>
          </cell>
          <cell r="P770" t="str">
            <v>1200005119</v>
          </cell>
          <cell r="Q770" t="str">
            <v>Not Applicable</v>
          </cell>
          <cell r="R770" t="str">
            <v>Arjohuntleigh</v>
          </cell>
          <cell r="S770" t="str">
            <v>Hexamine Sdn. Bhd.</v>
          </cell>
          <cell r="T770" t="str">
            <v>Functioning</v>
          </cell>
          <cell r="U770" t="str">
            <v>Asset</v>
          </cell>
          <cell r="V770">
            <v>28630</v>
          </cell>
          <cell r="W770" t="str">
            <v>KEW</v>
          </cell>
          <cell r="X770" t="str">
            <v>01/09/2010</v>
          </cell>
          <cell r="Y770" t="str">
            <v>KEW</v>
          </cell>
          <cell r="Z770" t="str">
            <v>16/08/2013</v>
          </cell>
          <cell r="AA770" t="str">
            <v>15/08/2015</v>
          </cell>
          <cell r="AB770" t="str">
            <v>No</v>
          </cell>
          <cell r="AC770" t="str">
            <v>31/08/2013</v>
          </cell>
          <cell r="AD770" t="str">
            <v>Good</v>
          </cell>
          <cell r="AE770" t="str">
            <v>V1 - Existing / No Claim</v>
          </cell>
          <cell r="AF770">
            <v>42235</v>
          </cell>
          <cell r="AG770">
            <v>9.17</v>
          </cell>
          <cell r="AH770" t="str">
            <v>PPM</v>
          </cell>
          <cell r="AI770" t="str">
            <v>Strands</v>
          </cell>
          <cell r="AJ770" t="str">
            <v>Strands PW</v>
          </cell>
        </row>
        <row r="771">
          <cell r="A771" t="str">
            <v>IKN400304</v>
          </cell>
          <cell r="B771">
            <v>304</v>
          </cell>
          <cell r="C771" t="str">
            <v>Institut Kanser Negara</v>
          </cell>
          <cell r="D771" t="str">
            <v>KKM/IKN/H/13/5436</v>
          </cell>
          <cell r="E771" t="str">
            <v>18-013</v>
          </cell>
          <cell r="F771" t="str">
            <v>Incubators, Laboratory, Thermocycling</v>
          </cell>
          <cell r="G771" t="str">
            <v>NM</v>
          </cell>
          <cell r="H771" t="str">
            <v>NUCLEAR MED (DIAGNOSTIC)</v>
          </cell>
          <cell r="I771" t="str">
            <v>03NM112</v>
          </cell>
          <cell r="J771" t="str">
            <v>CLEAN UTILITY</v>
          </cell>
          <cell r="K771" t="str">
            <v>BMED</v>
          </cell>
          <cell r="L771" t="str">
            <v>Normal</v>
          </cell>
          <cell r="M771" t="str">
            <v>Germany</v>
          </cell>
          <cell r="N771" t="str">
            <v>Binder</v>
          </cell>
          <cell r="O771" t="str">
            <v>Binder BD 115</v>
          </cell>
          <cell r="P771" t="str">
            <v>13-08709</v>
          </cell>
          <cell r="Q771" t="str">
            <v>Not Applicable</v>
          </cell>
          <cell r="R771" t="str">
            <v>Binder GmbH &amp; Co</v>
          </cell>
          <cell r="S771" t="str">
            <v>Bumi Sains Sdn. Bhd.</v>
          </cell>
          <cell r="T771" t="str">
            <v>Functioning</v>
          </cell>
          <cell r="U771" t="str">
            <v>Asset</v>
          </cell>
          <cell r="V771">
            <v>16240</v>
          </cell>
          <cell r="W771" t="str">
            <v>KEW</v>
          </cell>
          <cell r="X771" t="str">
            <v>01/09/2010</v>
          </cell>
          <cell r="Y771" t="str">
            <v>KEW</v>
          </cell>
          <cell r="Z771" t="str">
            <v>16/08/2013</v>
          </cell>
          <cell r="AA771" t="str">
            <v>15/08/2015</v>
          </cell>
          <cell r="AB771" t="str">
            <v>No</v>
          </cell>
          <cell r="AC771" t="str">
            <v>31/08/2013</v>
          </cell>
          <cell r="AD771" t="str">
            <v>Good</v>
          </cell>
          <cell r="AE771" t="str">
            <v>V3 - Added Installed Facilities (New)</v>
          </cell>
          <cell r="AF771">
            <v>42235</v>
          </cell>
          <cell r="AG771">
            <v>9.17</v>
          </cell>
          <cell r="AH771" t="str">
            <v>PPM</v>
          </cell>
          <cell r="AI771" t="str">
            <v>Strands</v>
          </cell>
          <cell r="AJ771" t="str">
            <v>Strands PW</v>
          </cell>
          <cell r="AK771" t="str">
            <v>SNF received. 1st batch of V3 asset (December 2020)</v>
          </cell>
        </row>
        <row r="772">
          <cell r="A772" t="str">
            <v>IKN400305</v>
          </cell>
          <cell r="B772">
            <v>305</v>
          </cell>
          <cell r="C772" t="str">
            <v>Institut Kanser Negara</v>
          </cell>
          <cell r="D772" t="str">
            <v>KKM/IKN/H/13/4965</v>
          </cell>
          <cell r="E772" t="str">
            <v>16-173</v>
          </cell>
          <cell r="F772" t="str">
            <v>Sphygmomanometers, Electronic, Automatic</v>
          </cell>
          <cell r="G772" t="str">
            <v>WH</v>
          </cell>
          <cell r="H772" t="str">
            <v>RT/ONCO WARD 2 (M)</v>
          </cell>
          <cell r="I772" t="str">
            <v>08WH143</v>
          </cell>
          <cell r="J772" t="str">
            <v>NURSE STATION</v>
          </cell>
          <cell r="K772" t="str">
            <v>BMED</v>
          </cell>
          <cell r="L772" t="str">
            <v>Normal</v>
          </cell>
          <cell r="M772" t="str">
            <v>USA</v>
          </cell>
          <cell r="N772" t="str">
            <v>Connex</v>
          </cell>
          <cell r="O772" t="str">
            <v>Connex ProBP 3400</v>
          </cell>
          <cell r="P772" t="str">
            <v>100001490613</v>
          </cell>
          <cell r="Q772" t="str">
            <v>Not Applicable</v>
          </cell>
          <cell r="R772" t="str">
            <v>Welch Allyn Inc</v>
          </cell>
          <cell r="S772" t="str">
            <v>Welch Allyn Malaysia Sdn Bhd</v>
          </cell>
          <cell r="T772" t="str">
            <v>Functioning</v>
          </cell>
          <cell r="U772" t="str">
            <v>Asset</v>
          </cell>
          <cell r="V772">
            <v>4510</v>
          </cell>
          <cell r="W772" t="str">
            <v>KEW</v>
          </cell>
          <cell r="X772" t="str">
            <v>01/09/2010</v>
          </cell>
          <cell r="Y772" t="str">
            <v>KEW</v>
          </cell>
          <cell r="Z772" t="str">
            <v>16/08/2013</v>
          </cell>
          <cell r="AA772" t="str">
            <v>15/08/2015</v>
          </cell>
          <cell r="AB772" t="str">
            <v>No</v>
          </cell>
          <cell r="AC772" t="str">
            <v>31/08/2013</v>
          </cell>
          <cell r="AD772" t="str">
            <v>Good</v>
          </cell>
          <cell r="AE772" t="str">
            <v>V1 - Existing / No Claim</v>
          </cell>
          <cell r="AF772">
            <v>42235</v>
          </cell>
          <cell r="AG772">
            <v>9.17</v>
          </cell>
          <cell r="AH772" t="str">
            <v>PPM</v>
          </cell>
          <cell r="AI772" t="str">
            <v>Strands</v>
          </cell>
          <cell r="AJ772" t="str">
            <v>Strands PW</v>
          </cell>
        </row>
        <row r="773">
          <cell r="A773" t="str">
            <v>IKN400306</v>
          </cell>
          <cell r="B773">
            <v>306</v>
          </cell>
          <cell r="C773" t="str">
            <v>Institut Kanser Negara</v>
          </cell>
          <cell r="D773" t="str">
            <v>KKM/IKN/H/13/3164</v>
          </cell>
          <cell r="E773" t="str">
            <v>12-647</v>
          </cell>
          <cell r="F773" t="str">
            <v>Physiologic Monitoring Systems, Acute Care</v>
          </cell>
          <cell r="G773" t="str">
            <v>WH</v>
          </cell>
          <cell r="H773" t="str">
            <v>RT/ONCO WARD 2 (M)</v>
          </cell>
          <cell r="I773" t="str">
            <v>08WH121</v>
          </cell>
          <cell r="J773" t="str">
            <v>EQUIPMENT ROOM</v>
          </cell>
          <cell r="K773" t="str">
            <v>BMED</v>
          </cell>
          <cell r="L773" t="str">
            <v>Critical</v>
          </cell>
          <cell r="M773" t="str">
            <v>USA</v>
          </cell>
          <cell r="N773" t="str">
            <v>GE</v>
          </cell>
          <cell r="O773" t="str">
            <v>GE B30</v>
          </cell>
          <cell r="P773" t="str">
            <v>SF312325913WA</v>
          </cell>
          <cell r="Q773" t="str">
            <v>Not Applicable</v>
          </cell>
          <cell r="R773" t="str">
            <v>GE Healthcare Systems</v>
          </cell>
          <cell r="S773" t="str">
            <v>GE Healthcare Technologies</v>
          </cell>
          <cell r="T773" t="str">
            <v>Functioning</v>
          </cell>
          <cell r="U773" t="str">
            <v>Asset</v>
          </cell>
          <cell r="V773">
            <v>44510</v>
          </cell>
          <cell r="W773" t="str">
            <v>KEW</v>
          </cell>
          <cell r="X773" t="str">
            <v>01/09/2010</v>
          </cell>
          <cell r="Y773" t="str">
            <v>KEW</v>
          </cell>
          <cell r="Z773" t="str">
            <v>16/08/2013</v>
          </cell>
          <cell r="AA773" t="str">
            <v>15/08/2015</v>
          </cell>
          <cell r="AB773" t="str">
            <v>No</v>
          </cell>
          <cell r="AC773" t="str">
            <v>31/08/2013</v>
          </cell>
          <cell r="AD773" t="str">
            <v>Good</v>
          </cell>
          <cell r="AE773" t="str">
            <v>V1 - Existing / No Claim</v>
          </cell>
          <cell r="AF773">
            <v>42787</v>
          </cell>
          <cell r="AG773">
            <v>9.17</v>
          </cell>
          <cell r="AH773" t="str">
            <v>PPM</v>
          </cell>
          <cell r="AI773" t="str">
            <v>Strands</v>
          </cell>
          <cell r="AJ773" t="str">
            <v>Strands PW</v>
          </cell>
        </row>
        <row r="774">
          <cell r="A774" t="str">
            <v>IKN400307</v>
          </cell>
          <cell r="B774">
            <v>307</v>
          </cell>
          <cell r="C774" t="str">
            <v>Institut Kanser Negara</v>
          </cell>
          <cell r="D774" t="str">
            <v>KKM/IKN/H/13/3165</v>
          </cell>
          <cell r="E774" t="str">
            <v>12-647</v>
          </cell>
          <cell r="F774" t="str">
            <v>Physiologic Monitoring Systems, Acute Care</v>
          </cell>
          <cell r="G774" t="str">
            <v>WH</v>
          </cell>
          <cell r="H774" t="str">
            <v>RT/ONCO WARD 2 (M)</v>
          </cell>
          <cell r="I774" t="str">
            <v>08WH121</v>
          </cell>
          <cell r="J774" t="str">
            <v>EQUIPMENT ROOM</v>
          </cell>
          <cell r="K774" t="str">
            <v>BMED</v>
          </cell>
          <cell r="L774" t="str">
            <v>Critical</v>
          </cell>
          <cell r="M774" t="str">
            <v>USA</v>
          </cell>
          <cell r="N774" t="str">
            <v>GE</v>
          </cell>
          <cell r="O774" t="str">
            <v>GE B30</v>
          </cell>
          <cell r="P774" t="str">
            <v>SF312325903WA</v>
          </cell>
          <cell r="Q774" t="str">
            <v>Not Applicable</v>
          </cell>
          <cell r="R774" t="str">
            <v>GE Healthcare Systems</v>
          </cell>
          <cell r="S774" t="str">
            <v>GE Healthcare Technologies</v>
          </cell>
          <cell r="T774" t="str">
            <v>Functioning</v>
          </cell>
          <cell r="U774" t="str">
            <v>Asset</v>
          </cell>
          <cell r="V774">
            <v>44510</v>
          </cell>
          <cell r="W774" t="str">
            <v>KEW</v>
          </cell>
          <cell r="X774" t="str">
            <v>01/09/2010</v>
          </cell>
          <cell r="Y774" t="str">
            <v>KEW</v>
          </cell>
          <cell r="Z774" t="str">
            <v>16/08/2013</v>
          </cell>
          <cell r="AA774" t="str">
            <v>15/08/2015</v>
          </cell>
          <cell r="AB774" t="str">
            <v>No</v>
          </cell>
          <cell r="AC774" t="str">
            <v>31/08/2013</v>
          </cell>
          <cell r="AD774" t="str">
            <v>Good</v>
          </cell>
          <cell r="AE774" t="str">
            <v>V1 - Existing / No Claim</v>
          </cell>
          <cell r="AF774">
            <v>42788</v>
          </cell>
          <cell r="AG774">
            <v>9.17</v>
          </cell>
          <cell r="AH774" t="str">
            <v>PPM</v>
          </cell>
          <cell r="AI774" t="str">
            <v>Strands</v>
          </cell>
          <cell r="AJ774" t="str">
            <v>Strands PW</v>
          </cell>
        </row>
        <row r="775">
          <cell r="A775" t="str">
            <v>IKN400308</v>
          </cell>
          <cell r="B775">
            <v>308</v>
          </cell>
          <cell r="C775" t="str">
            <v>Institut Kanser Negara</v>
          </cell>
          <cell r="D775" t="str">
            <v>KKM/IKN/H/13/3193</v>
          </cell>
          <cell r="E775" t="str">
            <v>11-134</v>
          </cell>
          <cell r="F775" t="str">
            <v>Defibrillators, External, Manual</v>
          </cell>
          <cell r="G775" t="str">
            <v>WH</v>
          </cell>
          <cell r="H775" t="str">
            <v>RT/ONCO WARD 2 (M)</v>
          </cell>
          <cell r="I775" t="str">
            <v>08WH133</v>
          </cell>
          <cell r="J775" t="str">
            <v>RESUS EQ. BAY</v>
          </cell>
          <cell r="K775" t="str">
            <v>BMED</v>
          </cell>
          <cell r="L775" t="str">
            <v>Critical</v>
          </cell>
          <cell r="M775" t="str">
            <v>USA</v>
          </cell>
          <cell r="N775" t="str">
            <v>Responder</v>
          </cell>
          <cell r="O775" t="str">
            <v>Responder 2000</v>
          </cell>
          <cell r="P775" t="str">
            <v>3206647</v>
          </cell>
          <cell r="Q775" t="str">
            <v>Not Applicable</v>
          </cell>
          <cell r="R775" t="str">
            <v>GE Medical Systems</v>
          </cell>
          <cell r="S775" t="str">
            <v>Antah Sir Radin Sdn. Bhd.</v>
          </cell>
          <cell r="T775" t="str">
            <v>Functioning</v>
          </cell>
          <cell r="U775" t="str">
            <v>Asset</v>
          </cell>
          <cell r="V775">
            <v>45000</v>
          </cell>
          <cell r="W775" t="str">
            <v>Estimate</v>
          </cell>
          <cell r="X775" t="str">
            <v>01/09/2010</v>
          </cell>
          <cell r="Y775" t="str">
            <v>KEW</v>
          </cell>
          <cell r="Z775" t="str">
            <v>16/08/2013</v>
          </cell>
          <cell r="AA775" t="str">
            <v>15/08/2015</v>
          </cell>
          <cell r="AB775" t="str">
            <v>No</v>
          </cell>
          <cell r="AC775" t="str">
            <v>31/08/2013</v>
          </cell>
          <cell r="AD775" t="str">
            <v>Good</v>
          </cell>
          <cell r="AE775" t="str">
            <v>V1 - Existing / No Claim</v>
          </cell>
          <cell r="AF775">
            <v>42601</v>
          </cell>
          <cell r="AG775">
            <v>9.17</v>
          </cell>
          <cell r="AH775" t="str">
            <v>PPM</v>
          </cell>
          <cell r="AI775" t="str">
            <v>Strands</v>
          </cell>
          <cell r="AJ775" t="str">
            <v>Strands PW</v>
          </cell>
          <cell r="AK775" t="str">
            <v>Crash Trolley (FEMS)</v>
          </cell>
        </row>
        <row r="776">
          <cell r="A776" t="str">
            <v>IKN400309</v>
          </cell>
          <cell r="B776">
            <v>309</v>
          </cell>
          <cell r="C776" t="str">
            <v>Institut Kanser Negara</v>
          </cell>
          <cell r="D776" t="str">
            <v>KKM/IKN/H/14/85</v>
          </cell>
          <cell r="E776" t="str">
            <v>15-156</v>
          </cell>
          <cell r="F776" t="str">
            <v>Microscopes, Light, Laboratory</v>
          </cell>
          <cell r="G776" t="str">
            <v>LA</v>
          </cell>
          <cell r="H776" t="str">
            <v>PATHOLOGY</v>
          </cell>
          <cell r="I776" t="str">
            <v>04LA130</v>
          </cell>
          <cell r="J776" t="str">
            <v>SEROLOGY</v>
          </cell>
          <cell r="K776" t="str">
            <v>BMED</v>
          </cell>
          <cell r="L776" t="str">
            <v>Normal</v>
          </cell>
          <cell r="M776" t="str">
            <v>Philipines</v>
          </cell>
          <cell r="N776" t="str">
            <v>Olympus</v>
          </cell>
          <cell r="O776" t="str">
            <v>Olympus CX 31RBSF</v>
          </cell>
          <cell r="P776" t="str">
            <v>4E40694</v>
          </cell>
          <cell r="Q776" t="str">
            <v>Not Applicable</v>
          </cell>
          <cell r="R776" t="str">
            <v>Olympus Corp Ltd</v>
          </cell>
          <cell r="S776" t="str">
            <v>Matrix Optics (M) Sdn. Bhd</v>
          </cell>
          <cell r="T776" t="str">
            <v>Functioning</v>
          </cell>
          <cell r="U776" t="str">
            <v>Asset</v>
          </cell>
          <cell r="V776">
            <v>15550</v>
          </cell>
          <cell r="W776" t="str">
            <v>KEW</v>
          </cell>
          <cell r="X776" t="str">
            <v>25/09/2014</v>
          </cell>
          <cell r="Y776" t="str">
            <v>KEW</v>
          </cell>
          <cell r="Z776" t="str">
            <v>13/11/2014</v>
          </cell>
          <cell r="AA776" t="str">
            <v>12/11/2015</v>
          </cell>
          <cell r="AB776" t="str">
            <v>No</v>
          </cell>
          <cell r="AC776" t="str">
            <v>13/11/2014</v>
          </cell>
          <cell r="AD776" t="str">
            <v>Good</v>
          </cell>
          <cell r="AE776" t="str">
            <v>V3 - Added Installed Facilities (New)</v>
          </cell>
          <cell r="AF776">
            <v>42679</v>
          </cell>
          <cell r="AG776">
            <v>5.17</v>
          </cell>
          <cell r="AH776" t="str">
            <v>PPM</v>
          </cell>
          <cell r="AI776" t="str">
            <v>Strands</v>
          </cell>
          <cell r="AJ776" t="str">
            <v>Strands PW</v>
          </cell>
          <cell r="AK776" t="str">
            <v>SNF received. 1st batch of V3 asset (December 2020)</v>
          </cell>
        </row>
        <row r="777">
          <cell r="A777" t="str">
            <v>IKN400310</v>
          </cell>
          <cell r="B777">
            <v>310</v>
          </cell>
          <cell r="C777" t="str">
            <v>Institut Kanser Negara</v>
          </cell>
          <cell r="D777" t="str">
            <v>KKM/IKN/H/13/2021</v>
          </cell>
          <cell r="E777" t="str">
            <v>16-173</v>
          </cell>
          <cell r="F777" t="str">
            <v>Sphygmomanometers, Electronic, Automatic</v>
          </cell>
          <cell r="G777" t="str">
            <v>WH</v>
          </cell>
          <cell r="H777" t="str">
            <v>RT/ONCO WARD 2 (M)</v>
          </cell>
          <cell r="I777" t="str">
            <v>08WH143</v>
          </cell>
          <cell r="J777" t="str">
            <v>NURSE STATION</v>
          </cell>
          <cell r="K777" t="str">
            <v>BMED</v>
          </cell>
          <cell r="L777" t="str">
            <v>Critical</v>
          </cell>
          <cell r="M777" t="str">
            <v>USA</v>
          </cell>
          <cell r="N777" t="str">
            <v>Connex</v>
          </cell>
          <cell r="O777" t="str">
            <v>Connex ProBP 3400</v>
          </cell>
          <cell r="P777" t="str">
            <v>100001650613</v>
          </cell>
          <cell r="Q777" t="str">
            <v>Not Applicable</v>
          </cell>
          <cell r="R777" t="str">
            <v>Welch Allyn Inc</v>
          </cell>
          <cell r="S777" t="str">
            <v>Welch Allyn Malaysia Sdn Bhd</v>
          </cell>
          <cell r="T777" t="str">
            <v>Functioning</v>
          </cell>
          <cell r="U777" t="str">
            <v>Asset</v>
          </cell>
          <cell r="V777">
            <v>4510</v>
          </cell>
          <cell r="W777" t="str">
            <v>KEW</v>
          </cell>
          <cell r="X777" t="str">
            <v>01/09/2010</v>
          </cell>
          <cell r="Y777" t="str">
            <v>KEW</v>
          </cell>
          <cell r="Z777" t="str">
            <v>16/08/2013</v>
          </cell>
          <cell r="AA777" t="str">
            <v>15/08/2015</v>
          </cell>
          <cell r="AB777" t="str">
            <v>No</v>
          </cell>
          <cell r="AC777" t="str">
            <v>31/08/2013</v>
          </cell>
          <cell r="AD777" t="str">
            <v>Good</v>
          </cell>
          <cell r="AE777" t="str">
            <v>V1 - Existing / No Claim</v>
          </cell>
          <cell r="AF777">
            <v>42788</v>
          </cell>
          <cell r="AG777">
            <v>9.17</v>
          </cell>
          <cell r="AH777" t="str">
            <v>PPM</v>
          </cell>
          <cell r="AI777" t="str">
            <v>Strands</v>
          </cell>
          <cell r="AJ777" t="str">
            <v>Strands PW</v>
          </cell>
        </row>
        <row r="778">
          <cell r="A778" t="str">
            <v>IKN400311</v>
          </cell>
          <cell r="B778">
            <v>311</v>
          </cell>
          <cell r="C778" t="str">
            <v>Institut Kanser Negara</v>
          </cell>
          <cell r="D778" t="str">
            <v>KKM/IKN/H/13/2034</v>
          </cell>
          <cell r="E778" t="str">
            <v>13-215</v>
          </cell>
          <cell r="F778" t="str">
            <v>Infusion Pumps, General-Purpose</v>
          </cell>
          <cell r="G778" t="str">
            <v>WH</v>
          </cell>
          <cell r="H778" t="str">
            <v>RT/ONCO WARD 2 (M)</v>
          </cell>
          <cell r="I778" t="str">
            <v>08WH121</v>
          </cell>
          <cell r="J778" t="str">
            <v>EQUIPMENT ROOM</v>
          </cell>
          <cell r="K778" t="str">
            <v>BMED</v>
          </cell>
          <cell r="L778" t="str">
            <v>Normal</v>
          </cell>
          <cell r="M778" t="str">
            <v>Germany</v>
          </cell>
          <cell r="N778" t="str">
            <v>Infusomat</v>
          </cell>
          <cell r="O778" t="str">
            <v>Infusomat Space</v>
          </cell>
          <cell r="P778" t="str">
            <v>211976</v>
          </cell>
          <cell r="Q778" t="str">
            <v>Not Applicable</v>
          </cell>
          <cell r="R778" t="str">
            <v>B Braun Melsungen AG</v>
          </cell>
          <cell r="S778" t="str">
            <v>B Braun Medical Supplies Sdn. Bhd.</v>
          </cell>
          <cell r="T778" t="str">
            <v>Functioning</v>
          </cell>
          <cell r="U778" t="str">
            <v>Asset</v>
          </cell>
          <cell r="V778">
            <v>10825</v>
          </cell>
          <cell r="W778" t="str">
            <v>KEW</v>
          </cell>
          <cell r="X778" t="str">
            <v>01/09/2010</v>
          </cell>
          <cell r="Y778" t="str">
            <v>KEW</v>
          </cell>
          <cell r="Z778" t="str">
            <v>16/08/2013</v>
          </cell>
          <cell r="AA778" t="str">
            <v>15/08/2015</v>
          </cell>
          <cell r="AB778" t="str">
            <v>No</v>
          </cell>
          <cell r="AC778" t="str">
            <v>31/08/2013</v>
          </cell>
          <cell r="AD778" t="str">
            <v>Good</v>
          </cell>
          <cell r="AE778" t="str">
            <v>V1 - Existing / No Claim</v>
          </cell>
          <cell r="AF778">
            <v>42235</v>
          </cell>
          <cell r="AG778">
            <v>9.17</v>
          </cell>
          <cell r="AH778" t="str">
            <v>PPM</v>
          </cell>
          <cell r="AI778" t="str">
            <v>Strands</v>
          </cell>
          <cell r="AJ778" t="str">
            <v>Strands PW</v>
          </cell>
        </row>
        <row r="779">
          <cell r="A779" t="str">
            <v>IKN400312</v>
          </cell>
          <cell r="B779">
            <v>312</v>
          </cell>
          <cell r="C779" t="str">
            <v>Institut Kanser Negara</v>
          </cell>
          <cell r="D779" t="str">
            <v>KKM/IKN/H/13/2025</v>
          </cell>
          <cell r="E779" t="str">
            <v>25-209</v>
          </cell>
          <cell r="F779" t="str">
            <v>Monitors, Physiologic, Vital Signs</v>
          </cell>
          <cell r="G779" t="str">
            <v>WH</v>
          </cell>
          <cell r="H779" t="str">
            <v>RT/ONCO WARD 2 (M)</v>
          </cell>
          <cell r="I779" t="str">
            <v>08WH143</v>
          </cell>
          <cell r="J779" t="str">
            <v>NURSE STATION</v>
          </cell>
          <cell r="K779" t="str">
            <v>BMED</v>
          </cell>
          <cell r="L779" t="str">
            <v>Critical</v>
          </cell>
          <cell r="M779" t="str">
            <v>Mexico</v>
          </cell>
          <cell r="N779" t="str">
            <v>Carespace</v>
          </cell>
          <cell r="O779" t="str">
            <v>Carescape V100</v>
          </cell>
          <cell r="P779" t="str">
            <v>SH613310090SA</v>
          </cell>
          <cell r="Q779" t="str">
            <v>Not Applicable</v>
          </cell>
          <cell r="R779" t="str">
            <v>GE Healthcare Systems</v>
          </cell>
          <cell r="S779" t="str">
            <v>GE Healthcare Technologies</v>
          </cell>
          <cell r="T779" t="str">
            <v>Functioning</v>
          </cell>
          <cell r="U779" t="str">
            <v>Asset</v>
          </cell>
          <cell r="V779">
            <v>7770</v>
          </cell>
          <cell r="W779" t="str">
            <v>KEW</v>
          </cell>
          <cell r="X779" t="str">
            <v>01/09/2010</v>
          </cell>
          <cell r="Y779" t="str">
            <v>KEW</v>
          </cell>
          <cell r="Z779" t="str">
            <v>16/08/2013</v>
          </cell>
          <cell r="AA779" t="str">
            <v>15/08/2015</v>
          </cell>
          <cell r="AB779" t="str">
            <v>No</v>
          </cell>
          <cell r="AC779" t="str">
            <v>31/08/2013</v>
          </cell>
          <cell r="AD779" t="str">
            <v>Good</v>
          </cell>
          <cell r="AE779" t="str">
            <v>V1 - Existing / No Claim</v>
          </cell>
          <cell r="AF779">
            <v>42788</v>
          </cell>
          <cell r="AG779">
            <v>9.17</v>
          </cell>
          <cell r="AH779" t="str">
            <v>PPM</v>
          </cell>
          <cell r="AI779" t="str">
            <v>Strands</v>
          </cell>
          <cell r="AJ779" t="str">
            <v>Strands PW</v>
          </cell>
        </row>
        <row r="780">
          <cell r="A780" t="str">
            <v>IKN400313</v>
          </cell>
          <cell r="B780">
            <v>313</v>
          </cell>
          <cell r="C780" t="str">
            <v>Institut Kanser Negara</v>
          </cell>
          <cell r="D780" t="str">
            <v>KKM/IKN/H/13/4966</v>
          </cell>
          <cell r="E780" t="str">
            <v>10-208</v>
          </cell>
          <cell r="F780" t="str">
            <v>Aspirators</v>
          </cell>
          <cell r="G780" t="str">
            <v>WH</v>
          </cell>
          <cell r="H780" t="str">
            <v>RT/ONCO WARD 2 (M)</v>
          </cell>
          <cell r="I780" t="str">
            <v>08WH143</v>
          </cell>
          <cell r="J780" t="str">
            <v>NURSE STATION</v>
          </cell>
          <cell r="K780" t="str">
            <v>BMED</v>
          </cell>
          <cell r="L780" t="str">
            <v>Normal</v>
          </cell>
          <cell r="M780" t="str">
            <v>UK</v>
          </cell>
          <cell r="N780" t="str">
            <v>SAM</v>
          </cell>
          <cell r="O780" t="str">
            <v>SAM 427</v>
          </cell>
          <cell r="P780" t="str">
            <v>08131706</v>
          </cell>
          <cell r="Q780" t="str">
            <v>Not Applicable</v>
          </cell>
          <cell r="R780" t="str">
            <v>MG Electric Ltd</v>
          </cell>
          <cell r="S780" t="str">
            <v>Delta Medisains</v>
          </cell>
          <cell r="T780" t="str">
            <v>Functioning</v>
          </cell>
          <cell r="U780" t="str">
            <v>Asset</v>
          </cell>
          <cell r="V780">
            <v>10705</v>
          </cell>
          <cell r="W780" t="str">
            <v>KEW</v>
          </cell>
          <cell r="X780" t="str">
            <v>01/09/2010</v>
          </cell>
          <cell r="Y780" t="str">
            <v>KEW</v>
          </cell>
          <cell r="Z780" t="str">
            <v>16/08/2013</v>
          </cell>
          <cell r="AA780" t="str">
            <v>15/08/2015</v>
          </cell>
          <cell r="AB780" t="str">
            <v>No</v>
          </cell>
          <cell r="AC780" t="str">
            <v>31/08/2013</v>
          </cell>
          <cell r="AD780" t="str">
            <v>Good</v>
          </cell>
          <cell r="AE780" t="str">
            <v>V1 - Existing / No Claim</v>
          </cell>
          <cell r="AF780">
            <v>42235</v>
          </cell>
          <cell r="AG780">
            <v>9.17</v>
          </cell>
          <cell r="AH780" t="str">
            <v>PPM</v>
          </cell>
          <cell r="AI780" t="str">
            <v>Strands</v>
          </cell>
          <cell r="AJ780" t="str">
            <v>Strands PW</v>
          </cell>
        </row>
        <row r="781">
          <cell r="A781" t="str">
            <v>IKN400315</v>
          </cell>
          <cell r="B781">
            <v>315</v>
          </cell>
          <cell r="C781" t="str">
            <v>Institut Kanser Negara</v>
          </cell>
          <cell r="D781" t="str">
            <v>KKM/IKN/H/13/2457</v>
          </cell>
          <cell r="E781" t="str">
            <v>10-208</v>
          </cell>
          <cell r="F781" t="str">
            <v>Aspirators</v>
          </cell>
          <cell r="G781" t="str">
            <v>WF</v>
          </cell>
          <cell r="H781" t="str">
            <v>RT/ONCO WARD 2 (F)</v>
          </cell>
          <cell r="I781" t="str">
            <v>07WF107</v>
          </cell>
          <cell r="J781" t="str">
            <v>TREATMENT / PROCEDDURE</v>
          </cell>
          <cell r="K781" t="str">
            <v>BMED</v>
          </cell>
          <cell r="L781" t="str">
            <v>Normal</v>
          </cell>
          <cell r="M781" t="str">
            <v>Switzerland</v>
          </cell>
          <cell r="N781" t="str">
            <v>Senator</v>
          </cell>
          <cell r="O781" t="str">
            <v>Senator</v>
          </cell>
          <cell r="P781" t="str">
            <v>1220756</v>
          </cell>
          <cell r="Q781" t="str">
            <v>Not Applicable</v>
          </cell>
          <cell r="R781" t="str">
            <v>Ardo Medical AG</v>
          </cell>
          <cell r="S781" t="str">
            <v>Histopoint</v>
          </cell>
          <cell r="T781" t="str">
            <v>Functioning</v>
          </cell>
          <cell r="U781" t="str">
            <v>Asset</v>
          </cell>
          <cell r="V781">
            <v>5052</v>
          </cell>
          <cell r="W781" t="str">
            <v>KEW</v>
          </cell>
          <cell r="X781" t="str">
            <v>01/09/2010</v>
          </cell>
          <cell r="Y781" t="str">
            <v>KEW</v>
          </cell>
          <cell r="Z781" t="str">
            <v>16/08/2013</v>
          </cell>
          <cell r="AA781" t="str">
            <v>15/08/2015</v>
          </cell>
          <cell r="AB781" t="str">
            <v>No</v>
          </cell>
          <cell r="AC781" t="str">
            <v>31/08/2013</v>
          </cell>
          <cell r="AD781" t="str">
            <v>Good</v>
          </cell>
          <cell r="AE781" t="str">
            <v>V1 - Existing / No Claim</v>
          </cell>
          <cell r="AF781">
            <v>42235</v>
          </cell>
          <cell r="AG781">
            <v>9.17</v>
          </cell>
          <cell r="AH781" t="str">
            <v>PPM</v>
          </cell>
          <cell r="AI781" t="str">
            <v>Strands</v>
          </cell>
          <cell r="AJ781" t="str">
            <v>Strands PW</v>
          </cell>
        </row>
        <row r="782">
          <cell r="A782" t="str">
            <v>IKN400316</v>
          </cell>
          <cell r="B782">
            <v>316</v>
          </cell>
          <cell r="C782" t="str">
            <v>Institut Kanser Negara</v>
          </cell>
          <cell r="D782" t="str">
            <v>KKM/IKN/H/13/303</v>
          </cell>
          <cell r="E782" t="str">
            <v>16-231</v>
          </cell>
          <cell r="F782" t="str">
            <v>Electrocardiographs, Multichannel, Interpretative</v>
          </cell>
          <cell r="G782" t="str">
            <v>WF</v>
          </cell>
          <cell r="H782" t="str">
            <v>RT/ONCO WARD 2 (F)</v>
          </cell>
          <cell r="I782" t="str">
            <v>07WF107</v>
          </cell>
          <cell r="J782" t="str">
            <v>TREATMENT / PROCEDDURE</v>
          </cell>
          <cell r="K782" t="str">
            <v>BMED</v>
          </cell>
          <cell r="L782" t="str">
            <v>Critical</v>
          </cell>
          <cell r="M782" t="str">
            <v>China</v>
          </cell>
          <cell r="N782" t="str">
            <v>Mac</v>
          </cell>
          <cell r="O782" t="str">
            <v>MAC 800</v>
          </cell>
          <cell r="P782" t="str">
            <v>SJ412450369 WA</v>
          </cell>
          <cell r="Q782" t="str">
            <v>Not Applicable</v>
          </cell>
          <cell r="R782" t="str">
            <v>GE Healthcare Systems</v>
          </cell>
          <cell r="S782" t="str">
            <v>GE Healthcare Technologies</v>
          </cell>
          <cell r="T782" t="str">
            <v>Functioning</v>
          </cell>
          <cell r="U782" t="str">
            <v>Asset</v>
          </cell>
          <cell r="V782">
            <v>25260</v>
          </cell>
          <cell r="W782" t="str">
            <v>KEW</v>
          </cell>
          <cell r="X782" t="str">
            <v>01/09/2010</v>
          </cell>
          <cell r="Y782" t="str">
            <v>KEW</v>
          </cell>
          <cell r="Z782" t="str">
            <v>16/08/2013</v>
          </cell>
          <cell r="AA782" t="str">
            <v>15/08/2015</v>
          </cell>
          <cell r="AB782" t="str">
            <v>No</v>
          </cell>
          <cell r="AC782" t="str">
            <v>31/08/2013</v>
          </cell>
          <cell r="AD782" t="str">
            <v>Good</v>
          </cell>
          <cell r="AE782" t="str">
            <v>V1 - Existing / No Claim</v>
          </cell>
          <cell r="AF782">
            <v>42788</v>
          </cell>
          <cell r="AG782">
            <v>9.17</v>
          </cell>
          <cell r="AH782" t="str">
            <v>PPM</v>
          </cell>
          <cell r="AI782" t="str">
            <v>Strands</v>
          </cell>
          <cell r="AJ782" t="str">
            <v>Strands PW</v>
          </cell>
        </row>
        <row r="783">
          <cell r="A783" t="str">
            <v>IKN400319</v>
          </cell>
          <cell r="B783">
            <v>319</v>
          </cell>
          <cell r="C783" t="str">
            <v>Institut Kanser Negara</v>
          </cell>
          <cell r="D783" t="str">
            <v>KKM/IKN/H/13/2515</v>
          </cell>
          <cell r="E783" t="str">
            <v>10-447</v>
          </cell>
          <cell r="F783" t="str">
            <v>Warming Units, Blood/Solution</v>
          </cell>
          <cell r="G783" t="str">
            <v>WF</v>
          </cell>
          <cell r="H783" t="str">
            <v>RT/ONCO WARD 2 (F)</v>
          </cell>
          <cell r="I783" t="str">
            <v>07WF121</v>
          </cell>
          <cell r="J783" t="str">
            <v>EQUIPMENT ROOM</v>
          </cell>
          <cell r="K783" t="str">
            <v>BMED</v>
          </cell>
          <cell r="L783" t="str">
            <v>Normal</v>
          </cell>
          <cell r="M783" t="str">
            <v>Japan</v>
          </cell>
          <cell r="N783" t="str">
            <v>Animec</v>
          </cell>
          <cell r="O783" t="str">
            <v>Animec AM-301</v>
          </cell>
          <cell r="P783" t="str">
            <v>2013D0247</v>
          </cell>
          <cell r="Q783" t="str">
            <v>Not Applicable</v>
          </cell>
          <cell r="R783" t="str">
            <v>Elltec Co Ltd</v>
          </cell>
          <cell r="S783" t="str">
            <v>IDS Services (Malaysia) Sdn Bhd</v>
          </cell>
          <cell r="T783" t="str">
            <v>Functioning</v>
          </cell>
          <cell r="U783" t="str">
            <v>Asset</v>
          </cell>
          <cell r="V783">
            <v>4990</v>
          </cell>
          <cell r="W783" t="str">
            <v>KEW</v>
          </cell>
          <cell r="X783" t="str">
            <v>01/09/2010</v>
          </cell>
          <cell r="Y783" t="str">
            <v>KEW</v>
          </cell>
          <cell r="Z783" t="str">
            <v>16/08/2013</v>
          </cell>
          <cell r="AA783" t="str">
            <v>15/08/2015</v>
          </cell>
          <cell r="AB783" t="str">
            <v>No</v>
          </cell>
          <cell r="AC783" t="str">
            <v>31/08/2013</v>
          </cell>
          <cell r="AD783" t="str">
            <v>Good</v>
          </cell>
          <cell r="AE783" t="str">
            <v>V1 - Existing / No Claim</v>
          </cell>
          <cell r="AF783">
            <v>42235</v>
          </cell>
          <cell r="AG783">
            <v>9.17</v>
          </cell>
          <cell r="AH783" t="str">
            <v>PPM</v>
          </cell>
          <cell r="AI783" t="str">
            <v>Strands</v>
          </cell>
          <cell r="AJ783" t="str">
            <v>Strands PW</v>
          </cell>
        </row>
        <row r="784">
          <cell r="A784" t="str">
            <v>IKN400320</v>
          </cell>
          <cell r="B784">
            <v>320</v>
          </cell>
          <cell r="C784" t="str">
            <v>Institut Kanser Negara</v>
          </cell>
          <cell r="D784" t="str">
            <v>KKM/IKN/H/13/2504</v>
          </cell>
          <cell r="E784" t="str">
            <v>10-447</v>
          </cell>
          <cell r="F784" t="str">
            <v>Warming Units, Blood/Solution</v>
          </cell>
          <cell r="G784" t="str">
            <v>WF</v>
          </cell>
          <cell r="H784" t="str">
            <v>RT/ONCO WARD 2 (F)</v>
          </cell>
          <cell r="I784" t="str">
            <v>07WF121</v>
          </cell>
          <cell r="J784" t="str">
            <v>EQUIPMENT ROOM</v>
          </cell>
          <cell r="K784" t="str">
            <v>BMED</v>
          </cell>
          <cell r="L784" t="str">
            <v>Normal</v>
          </cell>
          <cell r="M784" t="str">
            <v>Japan</v>
          </cell>
          <cell r="N784" t="str">
            <v>Animec</v>
          </cell>
          <cell r="O784" t="str">
            <v>Animec AM-301</v>
          </cell>
          <cell r="P784" t="str">
            <v>2013D0248</v>
          </cell>
          <cell r="Q784" t="str">
            <v>Not Applicable</v>
          </cell>
          <cell r="R784" t="str">
            <v>Elltec Co Ltd</v>
          </cell>
          <cell r="S784" t="str">
            <v>IDS Services (Malaysia) Sdn Bhd</v>
          </cell>
          <cell r="T784" t="str">
            <v>Functioning</v>
          </cell>
          <cell r="U784" t="str">
            <v>Asset</v>
          </cell>
          <cell r="V784">
            <v>4990</v>
          </cell>
          <cell r="W784" t="str">
            <v>KEW</v>
          </cell>
          <cell r="X784" t="str">
            <v>01/09/2010</v>
          </cell>
          <cell r="Y784" t="str">
            <v>KEW</v>
          </cell>
          <cell r="Z784" t="str">
            <v>16/08/2013</v>
          </cell>
          <cell r="AA784" t="str">
            <v>15/08/2015</v>
          </cell>
          <cell r="AB784" t="str">
            <v>No</v>
          </cell>
          <cell r="AC784" t="str">
            <v>31/08/2013</v>
          </cell>
          <cell r="AD784" t="str">
            <v>Good</v>
          </cell>
          <cell r="AE784" t="str">
            <v>V1 - Existing / No Claim</v>
          </cell>
          <cell r="AF784">
            <v>42235</v>
          </cell>
          <cell r="AG784">
            <v>9.17</v>
          </cell>
          <cell r="AH784" t="str">
            <v>PPM</v>
          </cell>
          <cell r="AI784" t="str">
            <v>Strands</v>
          </cell>
          <cell r="AJ784" t="str">
            <v>Strands PW</v>
          </cell>
        </row>
        <row r="785">
          <cell r="A785" t="str">
            <v>IKN400321</v>
          </cell>
          <cell r="B785">
            <v>321</v>
          </cell>
          <cell r="C785" t="str">
            <v>Institut Kanser Negara</v>
          </cell>
          <cell r="D785" t="str">
            <v>KKM/IKN/H/13/2509</v>
          </cell>
          <cell r="E785" t="str">
            <v>10-447</v>
          </cell>
          <cell r="F785" t="str">
            <v>Warming Units, Blood/Solution</v>
          </cell>
          <cell r="G785" t="str">
            <v>WF</v>
          </cell>
          <cell r="H785" t="str">
            <v>RT/ONCO WARD 2 (F)</v>
          </cell>
          <cell r="I785" t="str">
            <v>07WF121</v>
          </cell>
          <cell r="J785" t="str">
            <v>EQUIPMENT ROOM</v>
          </cell>
          <cell r="K785" t="str">
            <v>BMED</v>
          </cell>
          <cell r="L785" t="str">
            <v>Normal</v>
          </cell>
          <cell r="M785" t="str">
            <v>Japan</v>
          </cell>
          <cell r="N785" t="str">
            <v>Animec</v>
          </cell>
          <cell r="O785" t="str">
            <v>Animec AM-301</v>
          </cell>
          <cell r="P785" t="str">
            <v>2012D0060</v>
          </cell>
          <cell r="Q785" t="str">
            <v>Not Applicable</v>
          </cell>
          <cell r="R785" t="str">
            <v>Elltec Co Ltd</v>
          </cell>
          <cell r="S785" t="str">
            <v>IDS Services (Malaysia) Sdn Bhd</v>
          </cell>
          <cell r="T785" t="str">
            <v>Functioning</v>
          </cell>
          <cell r="U785" t="str">
            <v>Asset</v>
          </cell>
          <cell r="V785">
            <v>4990</v>
          </cell>
          <cell r="W785" t="str">
            <v>KEW</v>
          </cell>
          <cell r="X785" t="str">
            <v>01/09/2010</v>
          </cell>
          <cell r="Y785" t="str">
            <v>KEW</v>
          </cell>
          <cell r="Z785" t="str">
            <v>16/08/2013</v>
          </cell>
          <cell r="AA785" t="str">
            <v>15/08/2015</v>
          </cell>
          <cell r="AB785" t="str">
            <v>No</v>
          </cell>
          <cell r="AC785" t="str">
            <v>31/08/2013</v>
          </cell>
          <cell r="AD785" t="str">
            <v>Good</v>
          </cell>
          <cell r="AE785" t="str">
            <v>V1 - Existing / No Claim</v>
          </cell>
          <cell r="AF785">
            <v>42235</v>
          </cell>
          <cell r="AG785">
            <v>9.17</v>
          </cell>
          <cell r="AH785" t="str">
            <v>PPM</v>
          </cell>
          <cell r="AI785" t="str">
            <v>Strands</v>
          </cell>
          <cell r="AJ785" t="str">
            <v>Strands PW</v>
          </cell>
        </row>
        <row r="786">
          <cell r="A786" t="str">
            <v>IKN400322</v>
          </cell>
          <cell r="B786">
            <v>322</v>
          </cell>
          <cell r="C786" t="str">
            <v>Institut Kanser Negara</v>
          </cell>
          <cell r="D786" t="str">
            <v>KKM/IKN/H/13/2525</v>
          </cell>
          <cell r="E786" t="str">
            <v>12-282</v>
          </cell>
          <cell r="F786" t="str">
            <v>Lights, Surgical</v>
          </cell>
          <cell r="G786" t="str">
            <v>WF</v>
          </cell>
          <cell r="H786" t="str">
            <v>RT/ONCO WARD 2 (F)</v>
          </cell>
          <cell r="I786" t="str">
            <v>07WF121</v>
          </cell>
          <cell r="J786" t="str">
            <v>EQUIPMENT ROOM</v>
          </cell>
          <cell r="K786" t="str">
            <v>BMED</v>
          </cell>
          <cell r="L786" t="str">
            <v>Critical</v>
          </cell>
          <cell r="M786" t="str">
            <v>USA</v>
          </cell>
          <cell r="N786" t="str">
            <v>Welch Allyn</v>
          </cell>
          <cell r="O786" t="str">
            <v>Welch Allyn GS600</v>
          </cell>
          <cell r="P786" t="str">
            <v>GS-600-39</v>
          </cell>
          <cell r="Q786" t="str">
            <v>Not Applicable</v>
          </cell>
          <cell r="R786" t="str">
            <v>Welch Allyn Inc</v>
          </cell>
          <cell r="S786" t="str">
            <v>Welch Allyn Malaysia Sdn Bhd</v>
          </cell>
          <cell r="T786" t="str">
            <v>Functioning</v>
          </cell>
          <cell r="U786" t="str">
            <v>Asset</v>
          </cell>
          <cell r="V786">
            <v>5050</v>
          </cell>
          <cell r="W786" t="str">
            <v>KEW</v>
          </cell>
          <cell r="X786" t="str">
            <v>01/09/2010</v>
          </cell>
          <cell r="Y786" t="str">
            <v>KEW</v>
          </cell>
          <cell r="Z786" t="str">
            <v>16/08/2013</v>
          </cell>
          <cell r="AA786" t="str">
            <v>15/08/2015</v>
          </cell>
          <cell r="AB786" t="str">
            <v>No</v>
          </cell>
          <cell r="AC786" t="str">
            <v>31/08/2013</v>
          </cell>
          <cell r="AD786" t="str">
            <v>Good</v>
          </cell>
          <cell r="AE786" t="str">
            <v>V1 - Existing / No Claim</v>
          </cell>
          <cell r="AF786">
            <v>42788</v>
          </cell>
          <cell r="AG786">
            <v>9.17</v>
          </cell>
          <cell r="AH786" t="str">
            <v>PPM</v>
          </cell>
          <cell r="AI786" t="str">
            <v>Strands</v>
          </cell>
          <cell r="AJ786" t="str">
            <v>Strands PW</v>
          </cell>
        </row>
        <row r="787">
          <cell r="A787" t="str">
            <v>IKN400323</v>
          </cell>
          <cell r="B787">
            <v>323</v>
          </cell>
          <cell r="C787" t="str">
            <v>Institut Kanser Negara</v>
          </cell>
          <cell r="D787" t="str">
            <v>KKM/IKN/H/13/3174</v>
          </cell>
          <cell r="E787" t="str">
            <v>15-045</v>
          </cell>
          <cell r="F787" t="str">
            <v>Nebulizers, Nonheated</v>
          </cell>
          <cell r="G787" t="str">
            <v>WF</v>
          </cell>
          <cell r="H787" t="str">
            <v>RT/ONCO WARD 2 (F)</v>
          </cell>
          <cell r="I787" t="str">
            <v>07WF121</v>
          </cell>
          <cell r="J787" t="str">
            <v>EQUIPMENT ROOM</v>
          </cell>
          <cell r="K787" t="str">
            <v>BMED</v>
          </cell>
          <cell r="L787" t="str">
            <v>Normal</v>
          </cell>
          <cell r="M787" t="str">
            <v>Germany</v>
          </cell>
          <cell r="N787" t="str">
            <v>Pari Boy</v>
          </cell>
          <cell r="O787" t="str">
            <v>Pari Boy SX 085</v>
          </cell>
          <cell r="P787" t="str">
            <v>2W12F13724</v>
          </cell>
          <cell r="Q787" t="str">
            <v>Not Applicable</v>
          </cell>
          <cell r="R787" t="str">
            <v>Pari GmbH</v>
          </cell>
          <cell r="S787" t="str">
            <v>Welch Allyn Malaysia Sdn Bhd</v>
          </cell>
          <cell r="T787" t="str">
            <v>Functioning</v>
          </cell>
          <cell r="U787" t="str">
            <v>Asset</v>
          </cell>
          <cell r="V787">
            <v>1140</v>
          </cell>
          <cell r="W787" t="str">
            <v>KEW</v>
          </cell>
          <cell r="X787" t="str">
            <v>01/09/2010</v>
          </cell>
          <cell r="Y787" t="str">
            <v>KEW</v>
          </cell>
          <cell r="Z787" t="str">
            <v>16/08/2013</v>
          </cell>
          <cell r="AA787" t="str">
            <v>15/08/2015</v>
          </cell>
          <cell r="AB787" t="str">
            <v>No</v>
          </cell>
          <cell r="AC787" t="str">
            <v>31/08/2013</v>
          </cell>
          <cell r="AD787" t="str">
            <v>Good</v>
          </cell>
          <cell r="AE787" t="str">
            <v>V1 - Existing / No Claim</v>
          </cell>
          <cell r="AF787">
            <v>42788</v>
          </cell>
          <cell r="AG787">
            <v>9.17</v>
          </cell>
          <cell r="AH787" t="str">
            <v>PPM</v>
          </cell>
          <cell r="AI787" t="str">
            <v>Strands</v>
          </cell>
          <cell r="AJ787" t="str">
            <v>Strands PW</v>
          </cell>
        </row>
        <row r="788">
          <cell r="A788" t="str">
            <v>IKN400324</v>
          </cell>
          <cell r="B788">
            <v>324</v>
          </cell>
          <cell r="C788" t="str">
            <v>Institut Kanser Negara</v>
          </cell>
          <cell r="D788" t="str">
            <v>KKM/IKN/H/13/3172</v>
          </cell>
          <cell r="E788" t="str">
            <v>15-045</v>
          </cell>
          <cell r="F788" t="str">
            <v>Nebulizers, Nonheated</v>
          </cell>
          <cell r="G788" t="str">
            <v>WF</v>
          </cell>
          <cell r="H788" t="str">
            <v>RT/ONCO WARD 2 (F)</v>
          </cell>
          <cell r="I788" t="str">
            <v>07WF121</v>
          </cell>
          <cell r="J788" t="str">
            <v>EQUIPMENT ROOM</v>
          </cell>
          <cell r="K788" t="str">
            <v>BMED</v>
          </cell>
          <cell r="L788" t="str">
            <v>Normal</v>
          </cell>
          <cell r="M788" t="str">
            <v>Germany</v>
          </cell>
          <cell r="N788" t="str">
            <v>Pari Boy</v>
          </cell>
          <cell r="O788" t="str">
            <v>Pari Boy SX 085</v>
          </cell>
          <cell r="P788" t="str">
            <v>2W12F13753</v>
          </cell>
          <cell r="Q788" t="str">
            <v>Not Applicable</v>
          </cell>
          <cell r="R788" t="str">
            <v>Pari GmbH</v>
          </cell>
          <cell r="S788" t="str">
            <v>Welch Allyn Malaysia Sdn Bhd</v>
          </cell>
          <cell r="T788" t="str">
            <v>Functioning</v>
          </cell>
          <cell r="U788" t="str">
            <v>Asset</v>
          </cell>
          <cell r="V788">
            <v>1140</v>
          </cell>
          <cell r="W788" t="str">
            <v>KEW</v>
          </cell>
          <cell r="X788" t="str">
            <v>01/09/2010</v>
          </cell>
          <cell r="Y788" t="str">
            <v>KEW</v>
          </cell>
          <cell r="Z788" t="str">
            <v>16/08/2013</v>
          </cell>
          <cell r="AA788" t="str">
            <v>15/08/2015</v>
          </cell>
          <cell r="AB788" t="str">
            <v>No</v>
          </cell>
          <cell r="AC788" t="str">
            <v>31/08/2013</v>
          </cell>
          <cell r="AD788" t="str">
            <v>Good</v>
          </cell>
          <cell r="AE788" t="str">
            <v>V1 - Existing / No Claim</v>
          </cell>
          <cell r="AF788">
            <v>42788</v>
          </cell>
          <cell r="AG788">
            <v>9.17</v>
          </cell>
          <cell r="AH788" t="str">
            <v>PPM</v>
          </cell>
          <cell r="AI788" t="str">
            <v>Strands</v>
          </cell>
          <cell r="AJ788" t="str">
            <v>Strands PW</v>
          </cell>
        </row>
        <row r="789">
          <cell r="A789" t="str">
            <v>IKN400325</v>
          </cell>
          <cell r="B789">
            <v>325</v>
          </cell>
          <cell r="C789" t="str">
            <v>Institut Kanser Negara</v>
          </cell>
          <cell r="D789" t="str">
            <v>KKM/IKN/H/13/3173</v>
          </cell>
          <cell r="E789" t="str">
            <v>15-045</v>
          </cell>
          <cell r="F789" t="str">
            <v>Nebulizers, Nonheated</v>
          </cell>
          <cell r="G789" t="str">
            <v>WF</v>
          </cell>
          <cell r="H789" t="str">
            <v>RT/ONCO WARD 2 (F)</v>
          </cell>
          <cell r="I789" t="str">
            <v>07WF121</v>
          </cell>
          <cell r="J789" t="str">
            <v>EQUIPMENT ROOM</v>
          </cell>
          <cell r="K789" t="str">
            <v>BMED</v>
          </cell>
          <cell r="L789" t="str">
            <v>Normal</v>
          </cell>
          <cell r="M789" t="str">
            <v>Germany</v>
          </cell>
          <cell r="N789" t="str">
            <v>Pari Boy</v>
          </cell>
          <cell r="O789" t="str">
            <v>Pari Boy SX 085</v>
          </cell>
          <cell r="P789" t="str">
            <v>2W12J05854</v>
          </cell>
          <cell r="Q789" t="str">
            <v>Not Applicable</v>
          </cell>
          <cell r="R789" t="str">
            <v>Pari GmbH</v>
          </cell>
          <cell r="S789" t="str">
            <v>Welch Allyn Malaysia Sdn Bhd</v>
          </cell>
          <cell r="T789" t="str">
            <v>Functioning</v>
          </cell>
          <cell r="U789" t="str">
            <v>Asset</v>
          </cell>
          <cell r="V789">
            <v>1140</v>
          </cell>
          <cell r="W789" t="str">
            <v>KEW</v>
          </cell>
          <cell r="X789" t="str">
            <v>01/09/2010</v>
          </cell>
          <cell r="Y789" t="str">
            <v>KEW</v>
          </cell>
          <cell r="Z789" t="str">
            <v>16/08/2013</v>
          </cell>
          <cell r="AA789" t="str">
            <v>15/08/2015</v>
          </cell>
          <cell r="AB789" t="str">
            <v>No</v>
          </cell>
          <cell r="AC789" t="str">
            <v>31/08/2013</v>
          </cell>
          <cell r="AD789" t="str">
            <v>Good</v>
          </cell>
          <cell r="AE789" t="str">
            <v>V1 - Existing / No Claim</v>
          </cell>
          <cell r="AF789">
            <v>42788</v>
          </cell>
          <cell r="AG789">
            <v>9.17</v>
          </cell>
          <cell r="AH789" t="str">
            <v>PPM</v>
          </cell>
          <cell r="AI789" t="str">
            <v>Strands</v>
          </cell>
          <cell r="AJ789" t="str">
            <v>Strands PW</v>
          </cell>
        </row>
        <row r="790">
          <cell r="A790" t="str">
            <v>IKN400326</v>
          </cell>
          <cell r="B790">
            <v>326</v>
          </cell>
          <cell r="C790" t="str">
            <v>Institut Kanser Negara</v>
          </cell>
          <cell r="D790" t="str">
            <v>KKM/IKN/H/13/2464</v>
          </cell>
          <cell r="E790" t="str">
            <v>13-217</v>
          </cell>
          <cell r="F790" t="str">
            <v>Infusion Pumps, Syringe</v>
          </cell>
          <cell r="G790" t="str">
            <v>WF</v>
          </cell>
          <cell r="H790" t="str">
            <v>RT/ONCO WARD 2 (F)</v>
          </cell>
          <cell r="I790" t="str">
            <v>07WF121</v>
          </cell>
          <cell r="J790" t="str">
            <v>EQUIPMENT ROOM</v>
          </cell>
          <cell r="K790" t="str">
            <v>BMED</v>
          </cell>
          <cell r="L790" t="str">
            <v>Critical</v>
          </cell>
          <cell r="M790" t="str">
            <v>Germany</v>
          </cell>
          <cell r="N790" t="str">
            <v>Perfusor</v>
          </cell>
          <cell r="O790" t="str">
            <v>Perfusor Space</v>
          </cell>
          <cell r="P790" t="str">
            <v>143320</v>
          </cell>
          <cell r="Q790" t="str">
            <v>Not Applicable</v>
          </cell>
          <cell r="R790" t="str">
            <v>B Braun Melsungen AG</v>
          </cell>
          <cell r="S790" t="str">
            <v>B Braun Medical Supplies Sdn. Bhd.</v>
          </cell>
          <cell r="T790" t="str">
            <v>Functioning</v>
          </cell>
          <cell r="U790" t="str">
            <v>Asset</v>
          </cell>
          <cell r="V790">
            <v>10225</v>
          </cell>
          <cell r="W790" t="str">
            <v>KEW</v>
          </cell>
          <cell r="X790" t="str">
            <v>01/09/2010</v>
          </cell>
          <cell r="Y790" t="str">
            <v>KEW</v>
          </cell>
          <cell r="Z790" t="str">
            <v>16/08/2013</v>
          </cell>
          <cell r="AA790" t="str">
            <v>15/08/2015</v>
          </cell>
          <cell r="AB790" t="str">
            <v>No</v>
          </cell>
          <cell r="AC790" t="str">
            <v>31/08/2013</v>
          </cell>
          <cell r="AD790" t="str">
            <v>Good</v>
          </cell>
          <cell r="AE790" t="str">
            <v>V1 - Existing / No Claim</v>
          </cell>
          <cell r="AF790">
            <v>42788</v>
          </cell>
          <cell r="AG790">
            <v>9.17</v>
          </cell>
          <cell r="AH790" t="str">
            <v>PPM</v>
          </cell>
          <cell r="AI790" t="str">
            <v>Strands</v>
          </cell>
          <cell r="AJ790" t="str">
            <v>Strands PW</v>
          </cell>
        </row>
        <row r="791">
          <cell r="A791" t="str">
            <v>IKN400327</v>
          </cell>
          <cell r="B791">
            <v>327</v>
          </cell>
          <cell r="C791" t="str">
            <v>Institut Kanser Negara</v>
          </cell>
          <cell r="D791" t="str">
            <v>KKM/IKN/H/13/2463</v>
          </cell>
          <cell r="E791" t="str">
            <v>13-217</v>
          </cell>
          <cell r="F791" t="str">
            <v>Infusion Pumps, Syringe</v>
          </cell>
          <cell r="G791" t="str">
            <v>WF</v>
          </cell>
          <cell r="H791" t="str">
            <v>RT/ONCO WARD 2 (F)</v>
          </cell>
          <cell r="I791" t="str">
            <v>07WF121</v>
          </cell>
          <cell r="J791" t="str">
            <v>EQUIPMENT ROOM</v>
          </cell>
          <cell r="K791" t="str">
            <v>BMED</v>
          </cell>
          <cell r="L791" t="str">
            <v>Normal</v>
          </cell>
          <cell r="M791" t="str">
            <v>Germany</v>
          </cell>
          <cell r="N791" t="str">
            <v>Perfusor</v>
          </cell>
          <cell r="O791" t="str">
            <v>Perfusor Space</v>
          </cell>
          <cell r="P791" t="str">
            <v>186616</v>
          </cell>
          <cell r="Q791" t="str">
            <v>Not Applicable</v>
          </cell>
          <cell r="R791" t="str">
            <v>B Braun Melsungen AG</v>
          </cell>
          <cell r="S791" t="str">
            <v>B Braun Medical Supplies Sdn. Bhd.</v>
          </cell>
          <cell r="T791" t="str">
            <v>Functioning</v>
          </cell>
          <cell r="U791" t="str">
            <v>Asset</v>
          </cell>
          <cell r="V791">
            <v>10225</v>
          </cell>
          <cell r="W791" t="str">
            <v>KEW</v>
          </cell>
          <cell r="X791" t="str">
            <v>01/09/2010</v>
          </cell>
          <cell r="Y791" t="str">
            <v>KEW</v>
          </cell>
          <cell r="Z791" t="str">
            <v>16/08/2013</v>
          </cell>
          <cell r="AA791" t="str">
            <v>15/08/2015</v>
          </cell>
          <cell r="AB791" t="str">
            <v>No</v>
          </cell>
          <cell r="AC791" t="str">
            <v>31/08/2013</v>
          </cell>
          <cell r="AD791" t="str">
            <v>Good</v>
          </cell>
          <cell r="AE791" t="str">
            <v>V1 - Existing / No Claim</v>
          </cell>
          <cell r="AF791">
            <v>42235</v>
          </cell>
          <cell r="AG791">
            <v>9.17</v>
          </cell>
          <cell r="AH791" t="str">
            <v>PPM</v>
          </cell>
          <cell r="AI791" t="str">
            <v>Strands</v>
          </cell>
          <cell r="AJ791" t="str">
            <v>Strands PW</v>
          </cell>
        </row>
        <row r="792">
          <cell r="A792" t="str">
            <v>IKN400328</v>
          </cell>
          <cell r="B792">
            <v>328</v>
          </cell>
          <cell r="C792" t="str">
            <v>Institut Kanser Negara</v>
          </cell>
          <cell r="D792" t="str">
            <v>KKM/IKN/H/13/2467</v>
          </cell>
          <cell r="E792" t="str">
            <v>13-215</v>
          </cell>
          <cell r="F792" t="str">
            <v>Infusion Pumps, General-Purpose</v>
          </cell>
          <cell r="G792" t="str">
            <v>WF</v>
          </cell>
          <cell r="H792" t="str">
            <v>RT/ONCO WARD 2 (F)</v>
          </cell>
          <cell r="I792" t="str">
            <v>07WF121</v>
          </cell>
          <cell r="J792" t="str">
            <v>EQUIPMENT ROOM</v>
          </cell>
          <cell r="K792" t="str">
            <v>BMED</v>
          </cell>
          <cell r="L792" t="str">
            <v>Normal</v>
          </cell>
          <cell r="M792" t="str">
            <v>Germany</v>
          </cell>
          <cell r="N792" t="str">
            <v>Infusomat</v>
          </cell>
          <cell r="O792" t="str">
            <v>Infusomat Space</v>
          </cell>
          <cell r="P792">
            <v>211846</v>
          </cell>
          <cell r="Q792" t="str">
            <v>Not Applicable</v>
          </cell>
          <cell r="R792" t="str">
            <v>B Braun Melsungen AG</v>
          </cell>
          <cell r="S792" t="str">
            <v>B Braun Medical Supplies Sdn. Bhd.</v>
          </cell>
          <cell r="T792" t="str">
            <v>Functioning</v>
          </cell>
          <cell r="U792" t="str">
            <v>Asset</v>
          </cell>
          <cell r="V792">
            <v>10825</v>
          </cell>
          <cell r="W792" t="str">
            <v>KEW</v>
          </cell>
          <cell r="X792" t="str">
            <v>01/09/2010</v>
          </cell>
          <cell r="Y792" t="str">
            <v>KEW</v>
          </cell>
          <cell r="Z792" t="str">
            <v>16/08/2013</v>
          </cell>
          <cell r="AA792" t="str">
            <v>15/08/2015</v>
          </cell>
          <cell r="AB792" t="str">
            <v>No</v>
          </cell>
          <cell r="AC792" t="str">
            <v>31/08/2013</v>
          </cell>
          <cell r="AD792" t="str">
            <v>Good</v>
          </cell>
          <cell r="AE792" t="str">
            <v>V1 - Existing / No Claim</v>
          </cell>
          <cell r="AF792">
            <v>42235</v>
          </cell>
          <cell r="AG792">
            <v>9.17</v>
          </cell>
          <cell r="AH792" t="str">
            <v>PPM</v>
          </cell>
          <cell r="AI792" t="str">
            <v>Strands</v>
          </cell>
          <cell r="AJ792" t="str">
            <v>Strands PW</v>
          </cell>
        </row>
        <row r="793">
          <cell r="A793" t="str">
            <v>IKN400329</v>
          </cell>
          <cell r="B793">
            <v>329</v>
          </cell>
          <cell r="C793" t="str">
            <v>Institut Kanser Negara</v>
          </cell>
          <cell r="D793" t="str">
            <v>KKM/IKN/H/13/2470</v>
          </cell>
          <cell r="E793" t="str">
            <v>13-215</v>
          </cell>
          <cell r="F793" t="str">
            <v>Infusion Pumps, General-Purpose</v>
          </cell>
          <cell r="G793" t="str">
            <v>WF</v>
          </cell>
          <cell r="H793" t="str">
            <v>RT/ONCO WARD 2 (F)</v>
          </cell>
          <cell r="I793" t="str">
            <v>07WF121</v>
          </cell>
          <cell r="J793" t="str">
            <v>EQUIPMENT ROOM</v>
          </cell>
          <cell r="K793" t="str">
            <v>BMED</v>
          </cell>
          <cell r="L793" t="str">
            <v>Normal</v>
          </cell>
          <cell r="M793" t="str">
            <v>Germany</v>
          </cell>
          <cell r="N793" t="str">
            <v>Infusomat</v>
          </cell>
          <cell r="O793" t="str">
            <v>Infusomat Space</v>
          </cell>
          <cell r="P793" t="str">
            <v>212373</v>
          </cell>
          <cell r="Q793" t="str">
            <v>Not Applicable</v>
          </cell>
          <cell r="R793" t="str">
            <v>B Braun Melsungen AG</v>
          </cell>
          <cell r="S793" t="str">
            <v>B Braun Medical Supplies Sdn. Bhd.</v>
          </cell>
          <cell r="T793" t="str">
            <v>Functioning</v>
          </cell>
          <cell r="U793" t="str">
            <v>Asset</v>
          </cell>
          <cell r="V793">
            <v>10825</v>
          </cell>
          <cell r="W793" t="str">
            <v>KEW</v>
          </cell>
          <cell r="X793" t="str">
            <v>01/09/2010</v>
          </cell>
          <cell r="Y793" t="str">
            <v>KEW</v>
          </cell>
          <cell r="Z793" t="str">
            <v>16/08/2013</v>
          </cell>
          <cell r="AA793" t="str">
            <v>15/08/2015</v>
          </cell>
          <cell r="AB793" t="str">
            <v>No</v>
          </cell>
          <cell r="AC793" t="str">
            <v>31/08/2013</v>
          </cell>
          <cell r="AD793" t="str">
            <v>Good</v>
          </cell>
          <cell r="AE793" t="str">
            <v>V1 - Existing / No Claim</v>
          </cell>
          <cell r="AF793">
            <v>42235</v>
          </cell>
          <cell r="AG793">
            <v>9.17</v>
          </cell>
          <cell r="AH793" t="str">
            <v>PPM</v>
          </cell>
          <cell r="AI793" t="str">
            <v>Strands</v>
          </cell>
          <cell r="AJ793" t="str">
            <v>Strands PW</v>
          </cell>
        </row>
        <row r="794">
          <cell r="A794" t="str">
            <v>IKN400330</v>
          </cell>
          <cell r="B794">
            <v>330</v>
          </cell>
          <cell r="C794" t="str">
            <v>Institut Kanser Negara</v>
          </cell>
          <cell r="D794" t="str">
            <v>KKM/IKN/H/13/2471</v>
          </cell>
          <cell r="E794" t="str">
            <v>13-215</v>
          </cell>
          <cell r="F794" t="str">
            <v>Infusion Pumps, General-Purpose</v>
          </cell>
          <cell r="G794" t="str">
            <v>WF</v>
          </cell>
          <cell r="H794" t="str">
            <v>RT/ONCO WARD 2 (F)</v>
          </cell>
          <cell r="I794" t="str">
            <v>07WF121</v>
          </cell>
          <cell r="J794" t="str">
            <v>EQUIPMENT ROOM</v>
          </cell>
          <cell r="K794" t="str">
            <v>BMED</v>
          </cell>
          <cell r="L794" t="str">
            <v>Normal</v>
          </cell>
          <cell r="M794" t="str">
            <v>Germany</v>
          </cell>
          <cell r="N794" t="str">
            <v>Infusomat</v>
          </cell>
          <cell r="O794" t="str">
            <v>Infusomat Space</v>
          </cell>
          <cell r="P794" t="str">
            <v>211805</v>
          </cell>
          <cell r="Q794" t="str">
            <v>Not Applicable</v>
          </cell>
          <cell r="R794" t="str">
            <v>B Braun Melsungen AG</v>
          </cell>
          <cell r="S794" t="str">
            <v>B Braun Medical Supplies Sdn. Bhd.</v>
          </cell>
          <cell r="T794" t="str">
            <v>Functioning</v>
          </cell>
          <cell r="U794" t="str">
            <v>Asset</v>
          </cell>
          <cell r="V794">
            <v>10825</v>
          </cell>
          <cell r="W794" t="str">
            <v>KEW</v>
          </cell>
          <cell r="X794" t="str">
            <v>01/09/2010</v>
          </cell>
          <cell r="Y794" t="str">
            <v>KEW</v>
          </cell>
          <cell r="Z794" t="str">
            <v>16/08/2013</v>
          </cell>
          <cell r="AA794" t="str">
            <v>15/08/2015</v>
          </cell>
          <cell r="AB794" t="str">
            <v>No</v>
          </cell>
          <cell r="AC794" t="str">
            <v>31/08/2013</v>
          </cell>
          <cell r="AD794" t="str">
            <v>Good</v>
          </cell>
          <cell r="AE794" t="str">
            <v>V1 - Existing / No Claim</v>
          </cell>
          <cell r="AF794">
            <v>42235</v>
          </cell>
          <cell r="AG794">
            <v>9.17</v>
          </cell>
          <cell r="AH794" t="str">
            <v>PPM</v>
          </cell>
          <cell r="AI794" t="str">
            <v>Strands</v>
          </cell>
          <cell r="AJ794" t="str">
            <v>Strands PW</v>
          </cell>
        </row>
        <row r="795">
          <cell r="A795" t="str">
            <v>IKN400331</v>
          </cell>
          <cell r="B795">
            <v>331</v>
          </cell>
          <cell r="C795" t="str">
            <v>Institut Kanser Negara</v>
          </cell>
          <cell r="D795" t="str">
            <v>KKM/IKN/H/13/2466</v>
          </cell>
          <cell r="E795" t="str">
            <v>13-215</v>
          </cell>
          <cell r="F795" t="str">
            <v>Infusion Pumps, General-Purpose</v>
          </cell>
          <cell r="G795" t="str">
            <v>WF</v>
          </cell>
          <cell r="H795" t="str">
            <v>RT/ONCO WARD 2 (F)</v>
          </cell>
          <cell r="I795" t="str">
            <v>07WF121</v>
          </cell>
          <cell r="J795" t="str">
            <v>EQUIPMENT ROOM</v>
          </cell>
          <cell r="K795" t="str">
            <v>BMED</v>
          </cell>
          <cell r="L795" t="str">
            <v>Critical</v>
          </cell>
          <cell r="M795" t="str">
            <v>Germany</v>
          </cell>
          <cell r="N795" t="str">
            <v>Infusomat</v>
          </cell>
          <cell r="O795" t="str">
            <v>Infusomat Space</v>
          </cell>
          <cell r="P795" t="str">
            <v>211837</v>
          </cell>
          <cell r="Q795" t="str">
            <v>Not Applicable</v>
          </cell>
          <cell r="R795" t="str">
            <v>B Braun Melsungen AG</v>
          </cell>
          <cell r="S795" t="str">
            <v>B Braun Medical Supplies Sdn. Bhd.</v>
          </cell>
          <cell r="T795" t="str">
            <v>Functioning</v>
          </cell>
          <cell r="U795" t="str">
            <v>Asset</v>
          </cell>
          <cell r="V795">
            <v>10825</v>
          </cell>
          <cell r="W795" t="str">
            <v>KEW</v>
          </cell>
          <cell r="X795" t="str">
            <v>01/09/2010</v>
          </cell>
          <cell r="Y795" t="str">
            <v>KEW</v>
          </cell>
          <cell r="Z795" t="str">
            <v>16/08/2013</v>
          </cell>
          <cell r="AA795" t="str">
            <v>15/08/2015</v>
          </cell>
          <cell r="AB795" t="str">
            <v>No</v>
          </cell>
          <cell r="AC795" t="str">
            <v>31/08/2013</v>
          </cell>
          <cell r="AD795" t="str">
            <v>Good</v>
          </cell>
          <cell r="AE795" t="str">
            <v>V1 - Existing / No Claim</v>
          </cell>
          <cell r="AF795">
            <v>42788</v>
          </cell>
          <cell r="AG795">
            <v>9.17</v>
          </cell>
          <cell r="AH795" t="str">
            <v>PPM</v>
          </cell>
          <cell r="AI795" t="str">
            <v>Strands</v>
          </cell>
          <cell r="AJ795" t="str">
            <v>Strands PW</v>
          </cell>
        </row>
        <row r="796">
          <cell r="A796" t="str">
            <v>IKN400332</v>
          </cell>
          <cell r="B796">
            <v>332</v>
          </cell>
          <cell r="C796" t="str">
            <v>Institut Kanser Negara</v>
          </cell>
          <cell r="D796" t="str">
            <v>KKM/IKN/H/13/2473</v>
          </cell>
          <cell r="E796" t="str">
            <v>13-215</v>
          </cell>
          <cell r="F796" t="str">
            <v>Infusion Pumps, General-Purpose</v>
          </cell>
          <cell r="G796" t="str">
            <v>WF</v>
          </cell>
          <cell r="H796" t="str">
            <v>RT/ONCO WARD 2 (F)</v>
          </cell>
          <cell r="I796" t="str">
            <v>07WF121</v>
          </cell>
          <cell r="J796" t="str">
            <v>EQUIPMENT ROOM</v>
          </cell>
          <cell r="K796" t="str">
            <v>BMED</v>
          </cell>
          <cell r="L796" t="str">
            <v>Critical</v>
          </cell>
          <cell r="M796" t="str">
            <v>Germany</v>
          </cell>
          <cell r="N796" t="str">
            <v>Infusomat</v>
          </cell>
          <cell r="O796" t="str">
            <v>Infusomat Space</v>
          </cell>
          <cell r="P796" t="str">
            <v>211865</v>
          </cell>
          <cell r="Q796" t="str">
            <v>Not Applicable</v>
          </cell>
          <cell r="R796" t="str">
            <v>B Braun Melsungen AG</v>
          </cell>
          <cell r="S796" t="str">
            <v>B Braun Medical Supplies Sdn. Bhd.</v>
          </cell>
          <cell r="T796" t="str">
            <v>Functioning</v>
          </cell>
          <cell r="U796" t="str">
            <v>Asset</v>
          </cell>
          <cell r="V796">
            <v>10825</v>
          </cell>
          <cell r="W796" t="str">
            <v>KEW</v>
          </cell>
          <cell r="X796" t="str">
            <v>01/09/2010</v>
          </cell>
          <cell r="Y796" t="str">
            <v>KEW</v>
          </cell>
          <cell r="Z796" t="str">
            <v>16/08/2013</v>
          </cell>
          <cell r="AA796" t="str">
            <v>15/08/2015</v>
          </cell>
          <cell r="AB796" t="str">
            <v>No</v>
          </cell>
          <cell r="AC796" t="str">
            <v>31/08/2013</v>
          </cell>
          <cell r="AD796" t="str">
            <v>Good</v>
          </cell>
          <cell r="AE796" t="str">
            <v>V1 - Existing / No Claim</v>
          </cell>
          <cell r="AF796">
            <v>42788</v>
          </cell>
          <cell r="AG796">
            <v>9.17</v>
          </cell>
          <cell r="AH796" t="str">
            <v>PPM</v>
          </cell>
          <cell r="AI796" t="str">
            <v>Strands</v>
          </cell>
          <cell r="AJ796" t="str">
            <v>Strands PW</v>
          </cell>
        </row>
        <row r="797">
          <cell r="A797" t="str">
            <v>IKN400333</v>
          </cell>
          <cell r="B797">
            <v>333</v>
          </cell>
          <cell r="C797" t="str">
            <v>Institut Kanser Negara</v>
          </cell>
          <cell r="D797" t="str">
            <v>KKM/IKN/H/13/2477</v>
          </cell>
          <cell r="E797" t="str">
            <v>13-215</v>
          </cell>
          <cell r="F797" t="str">
            <v>Infusion Pumps, General-Purpose</v>
          </cell>
          <cell r="G797" t="str">
            <v>WF</v>
          </cell>
          <cell r="H797" t="str">
            <v>RT/ONCO WARD 2 (F)</v>
          </cell>
          <cell r="I797" t="str">
            <v>07WF121</v>
          </cell>
          <cell r="J797" t="str">
            <v>EQUIPMENT ROOM</v>
          </cell>
          <cell r="K797" t="str">
            <v>BMED</v>
          </cell>
          <cell r="L797" t="str">
            <v>Critical</v>
          </cell>
          <cell r="M797" t="str">
            <v>Germany</v>
          </cell>
          <cell r="N797" t="str">
            <v>Infusomat</v>
          </cell>
          <cell r="O797" t="str">
            <v>Infusomat Space</v>
          </cell>
          <cell r="P797" t="str">
            <v>211868</v>
          </cell>
          <cell r="Q797" t="str">
            <v>Not Applicable</v>
          </cell>
          <cell r="R797" t="str">
            <v>B Braun Melsungen AG</v>
          </cell>
          <cell r="S797" t="str">
            <v>B Braun Medical Supplies Sdn. Bhd.</v>
          </cell>
          <cell r="T797" t="str">
            <v>Functioning</v>
          </cell>
          <cell r="U797" t="str">
            <v>Asset</v>
          </cell>
          <cell r="V797">
            <v>10825</v>
          </cell>
          <cell r="W797" t="str">
            <v>KEW</v>
          </cell>
          <cell r="X797" t="str">
            <v>01/09/2010</v>
          </cell>
          <cell r="Y797" t="str">
            <v>KEW</v>
          </cell>
          <cell r="Z797" t="str">
            <v>16/08/2013</v>
          </cell>
          <cell r="AA797" t="str">
            <v>15/08/2015</v>
          </cell>
          <cell r="AB797" t="str">
            <v>No</v>
          </cell>
          <cell r="AC797" t="str">
            <v>31/08/2013</v>
          </cell>
          <cell r="AD797" t="str">
            <v>Good</v>
          </cell>
          <cell r="AE797" t="str">
            <v>V1 - Existing / No Claim</v>
          </cell>
          <cell r="AF797">
            <v>42788</v>
          </cell>
          <cell r="AG797">
            <v>9.17</v>
          </cell>
          <cell r="AH797" t="str">
            <v>PPM</v>
          </cell>
          <cell r="AI797" t="str">
            <v>Strands</v>
          </cell>
          <cell r="AJ797" t="str">
            <v>Strands PW</v>
          </cell>
        </row>
        <row r="798">
          <cell r="A798" t="str">
            <v>IKN400334</v>
          </cell>
          <cell r="B798">
            <v>334</v>
          </cell>
          <cell r="C798" t="str">
            <v>Institut Kanser Negara</v>
          </cell>
          <cell r="D798" t="str">
            <v>KKM/IKN/H/13/2469</v>
          </cell>
          <cell r="E798" t="str">
            <v>13-215</v>
          </cell>
          <cell r="F798" t="str">
            <v>Infusion Pumps, General-Purpose</v>
          </cell>
          <cell r="G798" t="str">
            <v>WF</v>
          </cell>
          <cell r="H798" t="str">
            <v>RT/ONCO WARD 2 (F)</v>
          </cell>
          <cell r="I798" t="str">
            <v>07WF121</v>
          </cell>
          <cell r="J798" t="str">
            <v>EQUIPMENT ROOM</v>
          </cell>
          <cell r="K798" t="str">
            <v>BMED</v>
          </cell>
          <cell r="L798" t="str">
            <v>Critical</v>
          </cell>
          <cell r="M798" t="str">
            <v>Germany</v>
          </cell>
          <cell r="N798" t="str">
            <v>Infusomat</v>
          </cell>
          <cell r="O798" t="str">
            <v>Infusomat Space</v>
          </cell>
          <cell r="P798" t="str">
            <v>211883</v>
          </cell>
          <cell r="Q798" t="str">
            <v>Not Applicable</v>
          </cell>
          <cell r="R798" t="str">
            <v>B Braun Melsungen AG</v>
          </cell>
          <cell r="S798" t="str">
            <v>B Braun Medical Supplies Sdn. Bhd.</v>
          </cell>
          <cell r="T798" t="str">
            <v>Functioning</v>
          </cell>
          <cell r="U798" t="str">
            <v>Asset</v>
          </cell>
          <cell r="V798">
            <v>10825</v>
          </cell>
          <cell r="W798" t="str">
            <v>KEW</v>
          </cell>
          <cell r="X798" t="str">
            <v>01/09/2010</v>
          </cell>
          <cell r="Y798" t="str">
            <v>KEW</v>
          </cell>
          <cell r="Z798" t="str">
            <v>16/08/2013</v>
          </cell>
          <cell r="AA798" t="str">
            <v>15/08/2015</v>
          </cell>
          <cell r="AB798" t="str">
            <v>No</v>
          </cell>
          <cell r="AC798" t="str">
            <v>31/08/2013</v>
          </cell>
          <cell r="AD798" t="str">
            <v>Good</v>
          </cell>
          <cell r="AE798" t="str">
            <v>V1 - Existing / No Claim</v>
          </cell>
          <cell r="AF798">
            <v>42788</v>
          </cell>
          <cell r="AG798">
            <v>9.17</v>
          </cell>
          <cell r="AH798" t="str">
            <v>PPM</v>
          </cell>
          <cell r="AI798" t="str">
            <v>Strands</v>
          </cell>
          <cell r="AJ798" t="str">
            <v>Strands PW</v>
          </cell>
        </row>
        <row r="799">
          <cell r="A799" t="str">
            <v>IKN400335</v>
          </cell>
          <cell r="B799">
            <v>335</v>
          </cell>
          <cell r="C799" t="str">
            <v>Institut Kanser Negara</v>
          </cell>
          <cell r="D799" t="str">
            <v>KKM/IKN/H/13/2475</v>
          </cell>
          <cell r="E799" t="str">
            <v>13-215</v>
          </cell>
          <cell r="F799" t="str">
            <v>Infusion Pumps, General-Purpose</v>
          </cell>
          <cell r="G799" t="str">
            <v>WF</v>
          </cell>
          <cell r="H799" t="str">
            <v>RT/ONCO WARD 2 (F)</v>
          </cell>
          <cell r="I799" t="str">
            <v>07WF121</v>
          </cell>
          <cell r="J799" t="str">
            <v>EQUIPMENT ROOM</v>
          </cell>
          <cell r="K799" t="str">
            <v>BMED</v>
          </cell>
          <cell r="L799" t="str">
            <v>Critical</v>
          </cell>
          <cell r="M799" t="str">
            <v>Germany</v>
          </cell>
          <cell r="N799" t="str">
            <v>Infusomat</v>
          </cell>
          <cell r="O799" t="str">
            <v>Infusomat Space</v>
          </cell>
          <cell r="P799" t="str">
            <v>211939</v>
          </cell>
          <cell r="Q799" t="str">
            <v>Not Applicable</v>
          </cell>
          <cell r="R799" t="str">
            <v>B Braun Melsungen AG</v>
          </cell>
          <cell r="S799" t="str">
            <v>B Braun Medical Supplies Sdn. Bhd.</v>
          </cell>
          <cell r="T799" t="str">
            <v>Functioning</v>
          </cell>
          <cell r="U799" t="str">
            <v>Asset</v>
          </cell>
          <cell r="V799">
            <v>10825</v>
          </cell>
          <cell r="W799" t="str">
            <v>KEW</v>
          </cell>
          <cell r="X799" t="str">
            <v>01/09/2010</v>
          </cell>
          <cell r="Y799" t="str">
            <v>KEW</v>
          </cell>
          <cell r="Z799" t="str">
            <v>16/08/2013</v>
          </cell>
          <cell r="AA799" t="str">
            <v>15/08/2015</v>
          </cell>
          <cell r="AB799" t="str">
            <v>No</v>
          </cell>
          <cell r="AC799" t="str">
            <v>31/08/2013</v>
          </cell>
          <cell r="AD799" t="str">
            <v>Good</v>
          </cell>
          <cell r="AE799" t="str">
            <v>V1 - Existing / No Claim</v>
          </cell>
          <cell r="AF799">
            <v>42788</v>
          </cell>
          <cell r="AG799">
            <v>9.17</v>
          </cell>
          <cell r="AH799" t="str">
            <v>PPM</v>
          </cell>
          <cell r="AI799" t="str">
            <v>Strands</v>
          </cell>
          <cell r="AJ799" t="str">
            <v>Strands PW</v>
          </cell>
        </row>
        <row r="800">
          <cell r="A800" t="str">
            <v>IKN400336</v>
          </cell>
          <cell r="B800">
            <v>336</v>
          </cell>
          <cell r="C800" t="str">
            <v>Institut Kanser Negara</v>
          </cell>
          <cell r="D800" t="str">
            <v>KKM/IKN/H/13/2468</v>
          </cell>
          <cell r="E800" t="str">
            <v>13-215</v>
          </cell>
          <cell r="F800" t="str">
            <v>Infusion Pumps, General-Purpose</v>
          </cell>
          <cell r="G800" t="str">
            <v>WF</v>
          </cell>
          <cell r="H800" t="str">
            <v>RT/ONCO WARD 2 (F)</v>
          </cell>
          <cell r="I800" t="str">
            <v>07WF121</v>
          </cell>
          <cell r="J800" t="str">
            <v>EQUIPMENT ROOM</v>
          </cell>
          <cell r="K800" t="str">
            <v>BMED</v>
          </cell>
          <cell r="L800" t="str">
            <v>Critical</v>
          </cell>
          <cell r="M800" t="str">
            <v>Germany</v>
          </cell>
          <cell r="N800" t="str">
            <v>Infusomat</v>
          </cell>
          <cell r="O800" t="str">
            <v>Infusomat Space</v>
          </cell>
          <cell r="P800" t="str">
            <v>212001</v>
          </cell>
          <cell r="Q800" t="str">
            <v>Not Applicable</v>
          </cell>
          <cell r="R800" t="str">
            <v>B Braun Melsungen AG</v>
          </cell>
          <cell r="S800" t="str">
            <v>B Braun Medical Supplies Sdn. Bhd.</v>
          </cell>
          <cell r="T800" t="str">
            <v>Functioning</v>
          </cell>
          <cell r="U800" t="str">
            <v>Asset</v>
          </cell>
          <cell r="V800">
            <v>10825</v>
          </cell>
          <cell r="W800" t="str">
            <v>KEW</v>
          </cell>
          <cell r="X800" t="str">
            <v>01/09/2010</v>
          </cell>
          <cell r="Y800" t="str">
            <v>KEW</v>
          </cell>
          <cell r="Z800" t="str">
            <v>16/08/2013</v>
          </cell>
          <cell r="AA800" t="str">
            <v>15/08/2015</v>
          </cell>
          <cell r="AB800" t="str">
            <v>No</v>
          </cell>
          <cell r="AC800" t="str">
            <v>31/08/2013</v>
          </cell>
          <cell r="AD800" t="str">
            <v>Good</v>
          </cell>
          <cell r="AE800" t="str">
            <v>V1 - Existing / No Claim</v>
          </cell>
          <cell r="AF800">
            <v>42788</v>
          </cell>
          <cell r="AG800">
            <v>9.17</v>
          </cell>
          <cell r="AH800" t="str">
            <v>PPM</v>
          </cell>
          <cell r="AI800" t="str">
            <v>Strands</v>
          </cell>
          <cell r="AJ800" t="str">
            <v>Strands PW</v>
          </cell>
        </row>
        <row r="801">
          <cell r="A801" t="str">
            <v>IKN400337</v>
          </cell>
          <cell r="B801">
            <v>337</v>
          </cell>
          <cell r="C801" t="str">
            <v>Institut Kanser Negara</v>
          </cell>
          <cell r="D801" t="str">
            <v>KKM/IKN/H/13/2465</v>
          </cell>
          <cell r="E801" t="str">
            <v>13-215</v>
          </cell>
          <cell r="F801" t="str">
            <v>Infusion Pumps, General-Purpose</v>
          </cell>
          <cell r="G801" t="str">
            <v>WF</v>
          </cell>
          <cell r="H801" t="str">
            <v>RT/ONCO WARD 2 (F)</v>
          </cell>
          <cell r="I801" t="str">
            <v>07WF121</v>
          </cell>
          <cell r="J801" t="str">
            <v>EQUIPMENT ROOM</v>
          </cell>
          <cell r="K801" t="str">
            <v>BMED</v>
          </cell>
          <cell r="L801" t="str">
            <v>Critical</v>
          </cell>
          <cell r="M801" t="str">
            <v>Germany</v>
          </cell>
          <cell r="N801" t="str">
            <v>Infusomat</v>
          </cell>
          <cell r="O801" t="str">
            <v>Infusomat Space</v>
          </cell>
          <cell r="P801" t="str">
            <v>212093</v>
          </cell>
          <cell r="Q801" t="str">
            <v>Not Applicable</v>
          </cell>
          <cell r="R801" t="str">
            <v>B Braun Melsungen AG</v>
          </cell>
          <cell r="S801" t="str">
            <v>B Braun Medical Supplies Sdn. Bhd.</v>
          </cell>
          <cell r="T801" t="str">
            <v>Functioning</v>
          </cell>
          <cell r="U801" t="str">
            <v>Asset</v>
          </cell>
          <cell r="V801">
            <v>10825</v>
          </cell>
          <cell r="W801" t="str">
            <v>KEW</v>
          </cell>
          <cell r="X801" t="str">
            <v>01/09/2010</v>
          </cell>
          <cell r="Y801" t="str">
            <v>KEW</v>
          </cell>
          <cell r="Z801" t="str">
            <v>16/08/2013</v>
          </cell>
          <cell r="AA801" t="str">
            <v>15/08/2015</v>
          </cell>
          <cell r="AB801" t="str">
            <v>No</v>
          </cell>
          <cell r="AC801" t="str">
            <v>31/08/2013</v>
          </cell>
          <cell r="AD801" t="str">
            <v>Good</v>
          </cell>
          <cell r="AE801" t="str">
            <v>V1 - Existing / No Claim</v>
          </cell>
          <cell r="AF801">
            <v>42788</v>
          </cell>
          <cell r="AG801">
            <v>9.17</v>
          </cell>
          <cell r="AH801" t="str">
            <v>PPM</v>
          </cell>
          <cell r="AI801" t="str">
            <v>Strands</v>
          </cell>
          <cell r="AJ801" t="str">
            <v>Strands PW</v>
          </cell>
        </row>
        <row r="802">
          <cell r="A802" t="str">
            <v>IKN400338</v>
          </cell>
          <cell r="B802">
            <v>338</v>
          </cell>
          <cell r="C802" t="str">
            <v>Institut Kanser Negara</v>
          </cell>
          <cell r="D802" t="str">
            <v>KKM/IKN/H/13/2481</v>
          </cell>
          <cell r="E802" t="str">
            <v>18-147</v>
          </cell>
          <cell r="F802" t="str">
            <v>Mattress Systems, Alternating-Pressure</v>
          </cell>
          <cell r="G802" t="str">
            <v>WF</v>
          </cell>
          <cell r="H802" t="str">
            <v>RT/ONCO WARD 2 (F)</v>
          </cell>
          <cell r="I802" t="str">
            <v>07WF121</v>
          </cell>
          <cell r="J802" t="str">
            <v>EQUIPMENT ROOM</v>
          </cell>
          <cell r="K802" t="str">
            <v>BMED</v>
          </cell>
          <cell r="L802" t="str">
            <v>Normal</v>
          </cell>
          <cell r="M802" t="str">
            <v>Poland</v>
          </cell>
          <cell r="N802" t="str">
            <v>Nimbus</v>
          </cell>
          <cell r="O802" t="str">
            <v>Nimbus 3</v>
          </cell>
          <cell r="P802" t="str">
            <v>1200006454</v>
          </cell>
          <cell r="Q802" t="str">
            <v>Not Applicable</v>
          </cell>
          <cell r="R802" t="str">
            <v>Arjohuntleigh</v>
          </cell>
          <cell r="S802" t="str">
            <v>Hexamine Sdn. Bhd.</v>
          </cell>
          <cell r="T802" t="str">
            <v>Functioning</v>
          </cell>
          <cell r="U802" t="str">
            <v>Asset</v>
          </cell>
          <cell r="V802">
            <v>28630</v>
          </cell>
          <cell r="W802" t="str">
            <v>KEW</v>
          </cell>
          <cell r="X802" t="str">
            <v>01/09/2010</v>
          </cell>
          <cell r="Y802" t="str">
            <v>KEW</v>
          </cell>
          <cell r="Z802" t="str">
            <v>16/08/2013</v>
          </cell>
          <cell r="AA802" t="str">
            <v>15/08/2015</v>
          </cell>
          <cell r="AB802" t="str">
            <v>No</v>
          </cell>
          <cell r="AC802" t="str">
            <v>31/08/2013</v>
          </cell>
          <cell r="AD802" t="str">
            <v>Good</v>
          </cell>
          <cell r="AE802" t="str">
            <v>V3 - Added Installed Facilities (New)</v>
          </cell>
          <cell r="AF802">
            <v>42235</v>
          </cell>
          <cell r="AG802">
            <v>9.17</v>
          </cell>
          <cell r="AH802" t="str">
            <v>PPM</v>
          </cell>
          <cell r="AI802" t="str">
            <v>Strands</v>
          </cell>
          <cell r="AJ802" t="str">
            <v>Strands PW</v>
          </cell>
          <cell r="AK802" t="str">
            <v>SNF received. 1st batch of V3 asset (December 2020)</v>
          </cell>
        </row>
        <row r="803">
          <cell r="A803" t="str">
            <v>IKN400339</v>
          </cell>
          <cell r="B803">
            <v>339</v>
          </cell>
          <cell r="C803" t="str">
            <v>Institut Kanser Negara</v>
          </cell>
          <cell r="D803" t="str">
            <v>KKM/IKN/H/13/2494</v>
          </cell>
          <cell r="E803" t="str">
            <v>18-147</v>
          </cell>
          <cell r="F803" t="str">
            <v>Mattress Systems, Alternating-Pressure</v>
          </cell>
          <cell r="G803" t="str">
            <v>WF</v>
          </cell>
          <cell r="H803" t="str">
            <v>RT/ONCO WARD 2 (F)</v>
          </cell>
          <cell r="I803" t="str">
            <v>07WF121</v>
          </cell>
          <cell r="J803" t="str">
            <v>EQUIPMENT ROOM</v>
          </cell>
          <cell r="K803" t="str">
            <v>BMED</v>
          </cell>
          <cell r="L803" t="str">
            <v>Normal</v>
          </cell>
          <cell r="M803" t="str">
            <v>Poland</v>
          </cell>
          <cell r="N803" t="str">
            <v>Nimbus</v>
          </cell>
          <cell r="O803" t="str">
            <v>Nimbus 3</v>
          </cell>
          <cell r="P803" t="str">
            <v>1200018809</v>
          </cell>
          <cell r="Q803" t="str">
            <v>Not Applicable</v>
          </cell>
          <cell r="R803" t="str">
            <v>Arjohuntleigh</v>
          </cell>
          <cell r="S803" t="str">
            <v>Hexamine Sdn. Bhd.</v>
          </cell>
          <cell r="T803" t="str">
            <v>Functioning</v>
          </cell>
          <cell r="U803" t="str">
            <v>Asset</v>
          </cell>
          <cell r="V803">
            <v>28630</v>
          </cell>
          <cell r="W803" t="str">
            <v>KEW</v>
          </cell>
          <cell r="X803" t="str">
            <v>01/09/2010</v>
          </cell>
          <cell r="Y803" t="str">
            <v>KEW</v>
          </cell>
          <cell r="Z803" t="str">
            <v>16/08/2013</v>
          </cell>
          <cell r="AA803" t="str">
            <v>15/08/2015</v>
          </cell>
          <cell r="AB803" t="str">
            <v>No</v>
          </cell>
          <cell r="AC803" t="str">
            <v>31/08/2013</v>
          </cell>
          <cell r="AD803" t="str">
            <v>Good</v>
          </cell>
          <cell r="AE803" t="str">
            <v>V3 - Added Installed Facilities (New)</v>
          </cell>
          <cell r="AF803">
            <v>42235</v>
          </cell>
          <cell r="AG803">
            <v>9.17</v>
          </cell>
          <cell r="AH803" t="str">
            <v>PPM</v>
          </cell>
          <cell r="AI803" t="str">
            <v>Strands</v>
          </cell>
          <cell r="AJ803" t="str">
            <v>Strands PW</v>
          </cell>
          <cell r="AK803" t="str">
            <v>SNF received. 1st batch of V3 asset (December 2020)</v>
          </cell>
        </row>
        <row r="804">
          <cell r="A804" t="str">
            <v>IKN400340</v>
          </cell>
          <cell r="B804">
            <v>340</v>
          </cell>
          <cell r="C804" t="str">
            <v>Institut Kanser Negara</v>
          </cell>
          <cell r="D804" t="str">
            <v>KKM/IKN/H/13/2490</v>
          </cell>
          <cell r="E804" t="str">
            <v>18-147</v>
          </cell>
          <cell r="F804" t="str">
            <v>Mattress Systems, Alternating-Pressure</v>
          </cell>
          <cell r="G804" t="str">
            <v>WF</v>
          </cell>
          <cell r="H804" t="str">
            <v>RT/ONCO WARD 2 (F)</v>
          </cell>
          <cell r="I804" t="str">
            <v>07WF121</v>
          </cell>
          <cell r="J804" t="str">
            <v>EQUIPMENT ROOM</v>
          </cell>
          <cell r="K804" t="str">
            <v>BMED</v>
          </cell>
          <cell r="L804" t="str">
            <v>Normal</v>
          </cell>
          <cell r="M804" t="str">
            <v>Poland</v>
          </cell>
          <cell r="N804" t="str">
            <v>Nimbus</v>
          </cell>
          <cell r="O804" t="str">
            <v>Nimbus 3</v>
          </cell>
          <cell r="P804" t="str">
            <v>1200006458</v>
          </cell>
          <cell r="Q804" t="str">
            <v>Not Applicable</v>
          </cell>
          <cell r="R804" t="str">
            <v>Arjohuntleigh</v>
          </cell>
          <cell r="S804" t="str">
            <v>Hexamine Sdn. Bhd.</v>
          </cell>
          <cell r="T804" t="str">
            <v>Functioning</v>
          </cell>
          <cell r="U804" t="str">
            <v>Asset</v>
          </cell>
          <cell r="V804">
            <v>28630</v>
          </cell>
          <cell r="W804" t="str">
            <v>KEW</v>
          </cell>
          <cell r="X804" t="str">
            <v>01/09/2010</v>
          </cell>
          <cell r="Y804" t="str">
            <v>KEW</v>
          </cell>
          <cell r="Z804" t="str">
            <v>16/08/2013</v>
          </cell>
          <cell r="AA804" t="str">
            <v>15/08/2015</v>
          </cell>
          <cell r="AB804" t="str">
            <v>No</v>
          </cell>
          <cell r="AC804" t="str">
            <v>31/08/2013</v>
          </cell>
          <cell r="AD804" t="str">
            <v>Good</v>
          </cell>
          <cell r="AE804" t="str">
            <v>V3 - Added Installed Facilities (New)</v>
          </cell>
          <cell r="AF804">
            <v>42235</v>
          </cell>
          <cell r="AG804">
            <v>9.17</v>
          </cell>
          <cell r="AH804" t="str">
            <v>PPM</v>
          </cell>
          <cell r="AI804" t="str">
            <v>Strands</v>
          </cell>
          <cell r="AJ804" t="str">
            <v>Strands PW</v>
          </cell>
          <cell r="AK804" t="str">
            <v>SNF received. 1st batch of V3 asset (December 2020)</v>
          </cell>
        </row>
        <row r="805">
          <cell r="A805" t="str">
            <v>IKN400341</v>
          </cell>
          <cell r="B805">
            <v>341</v>
          </cell>
          <cell r="C805" t="str">
            <v>Institut Kanser Negara</v>
          </cell>
          <cell r="D805" t="str">
            <v>KKM/IKN/H/13/2482</v>
          </cell>
          <cell r="E805" t="str">
            <v>18-147</v>
          </cell>
          <cell r="F805" t="str">
            <v>Mattress Systems, Alternating-Pressure</v>
          </cell>
          <cell r="G805" t="str">
            <v>WF</v>
          </cell>
          <cell r="H805" t="str">
            <v>RT/ONCO WARD 2 (F)</v>
          </cell>
          <cell r="I805" t="str">
            <v>07WF121</v>
          </cell>
          <cell r="J805" t="str">
            <v>EQUIPMENT ROOM</v>
          </cell>
          <cell r="K805" t="str">
            <v>BMED</v>
          </cell>
          <cell r="L805" t="str">
            <v>Normal</v>
          </cell>
          <cell r="M805" t="str">
            <v>Poland</v>
          </cell>
          <cell r="N805" t="str">
            <v>Nimbus</v>
          </cell>
          <cell r="O805" t="str">
            <v>Nimbus 3</v>
          </cell>
          <cell r="P805" t="str">
            <v>1200035125</v>
          </cell>
          <cell r="Q805" t="str">
            <v>Not Applicable</v>
          </cell>
          <cell r="R805" t="str">
            <v>Arjohuntleigh</v>
          </cell>
          <cell r="S805" t="str">
            <v>Hexamine Sdn. Bhd.</v>
          </cell>
          <cell r="T805" t="str">
            <v>Functioning</v>
          </cell>
          <cell r="U805" t="str">
            <v>Asset</v>
          </cell>
          <cell r="V805">
            <v>28630</v>
          </cell>
          <cell r="W805" t="str">
            <v>KEW</v>
          </cell>
          <cell r="X805" t="str">
            <v>01/09/2010</v>
          </cell>
          <cell r="Y805" t="str">
            <v>KEW</v>
          </cell>
          <cell r="Z805" t="str">
            <v>16/08/2013</v>
          </cell>
          <cell r="AA805" t="str">
            <v>15/08/2015</v>
          </cell>
          <cell r="AB805" t="str">
            <v>No</v>
          </cell>
          <cell r="AC805" t="str">
            <v>31/08/2013</v>
          </cell>
          <cell r="AD805" t="str">
            <v>Good</v>
          </cell>
          <cell r="AE805" t="str">
            <v>V3 - Added Installed Facilities (New)</v>
          </cell>
          <cell r="AF805">
            <v>42235</v>
          </cell>
          <cell r="AG805">
            <v>9.17</v>
          </cell>
          <cell r="AH805" t="str">
            <v>PPM</v>
          </cell>
          <cell r="AI805" t="str">
            <v>Strands</v>
          </cell>
          <cell r="AJ805" t="str">
            <v>Strands PW</v>
          </cell>
          <cell r="AK805" t="str">
            <v>SNF received. 1st batch of V3 asset (December 2020)</v>
          </cell>
        </row>
        <row r="806">
          <cell r="A806" t="str">
            <v>IKN400342</v>
          </cell>
          <cell r="B806">
            <v>342</v>
          </cell>
          <cell r="C806" t="str">
            <v>Institut Kanser Negara</v>
          </cell>
          <cell r="D806" t="str">
            <v>KKM/IKN/H/13/2487</v>
          </cell>
          <cell r="E806" t="str">
            <v>18-147</v>
          </cell>
          <cell r="F806" t="str">
            <v>Mattress Systems, Alternating-Pressure</v>
          </cell>
          <cell r="G806" t="str">
            <v>WF</v>
          </cell>
          <cell r="H806" t="str">
            <v>RT/ONCO WARD 2 (F)</v>
          </cell>
          <cell r="I806" t="str">
            <v>07WF121</v>
          </cell>
          <cell r="J806" t="str">
            <v>EQUIPMENT ROOM</v>
          </cell>
          <cell r="K806" t="str">
            <v>BMED</v>
          </cell>
          <cell r="L806" t="str">
            <v>Normal</v>
          </cell>
          <cell r="M806" t="str">
            <v>Poland</v>
          </cell>
          <cell r="N806" t="str">
            <v>Nimbus</v>
          </cell>
          <cell r="O806" t="str">
            <v>Nimbus 3</v>
          </cell>
          <cell r="P806" t="str">
            <v>1200035190</v>
          </cell>
          <cell r="Q806" t="str">
            <v>Not Applicable</v>
          </cell>
          <cell r="R806" t="str">
            <v>Arjohuntleigh</v>
          </cell>
          <cell r="S806" t="str">
            <v>Hexamine Sdn. Bhd.</v>
          </cell>
          <cell r="T806" t="str">
            <v>Functioning</v>
          </cell>
          <cell r="U806" t="str">
            <v>Asset</v>
          </cell>
          <cell r="V806">
            <v>28630</v>
          </cell>
          <cell r="W806" t="str">
            <v>KEW</v>
          </cell>
          <cell r="X806" t="str">
            <v>01/09/2010</v>
          </cell>
          <cell r="Y806" t="str">
            <v>KEW</v>
          </cell>
          <cell r="Z806" t="str">
            <v>16/08/2013</v>
          </cell>
          <cell r="AA806" t="str">
            <v>15/08/2015</v>
          </cell>
          <cell r="AB806" t="str">
            <v>No</v>
          </cell>
          <cell r="AC806" t="str">
            <v>31/08/2013</v>
          </cell>
          <cell r="AD806" t="str">
            <v>Good</v>
          </cell>
          <cell r="AE806" t="str">
            <v>V3 - Added Installed Facilities (New)</v>
          </cell>
          <cell r="AF806">
            <v>42235</v>
          </cell>
          <cell r="AG806">
            <v>9.17</v>
          </cell>
          <cell r="AH806" t="str">
            <v>PPM</v>
          </cell>
          <cell r="AI806" t="str">
            <v>Strands</v>
          </cell>
          <cell r="AJ806" t="str">
            <v>Strands PW</v>
          </cell>
          <cell r="AK806" t="str">
            <v>SNF received. 1st batch of V3 asset (December 2020)</v>
          </cell>
        </row>
        <row r="807">
          <cell r="A807" t="str">
            <v>IKN400343</v>
          </cell>
          <cell r="B807">
            <v>343</v>
          </cell>
          <cell r="C807" t="str">
            <v>Institut Kanser Negara</v>
          </cell>
          <cell r="D807" t="str">
            <v>KKM/IKN/H/13/2492</v>
          </cell>
          <cell r="E807" t="str">
            <v>18-147</v>
          </cell>
          <cell r="F807" t="str">
            <v>Mattress Systems, Alternating-Pressure</v>
          </cell>
          <cell r="G807" t="str">
            <v>WF</v>
          </cell>
          <cell r="H807" t="str">
            <v>RT/ONCO WARD 2 (F)</v>
          </cell>
          <cell r="I807" t="str">
            <v>07WF121</v>
          </cell>
          <cell r="J807" t="str">
            <v>EQUIPMENT ROOM</v>
          </cell>
          <cell r="K807" t="str">
            <v>BMED</v>
          </cell>
          <cell r="L807" t="str">
            <v>Normal</v>
          </cell>
          <cell r="M807" t="str">
            <v>Poland</v>
          </cell>
          <cell r="N807" t="str">
            <v>Nimbus</v>
          </cell>
          <cell r="O807" t="str">
            <v>Nimbus 3</v>
          </cell>
          <cell r="P807" t="str">
            <v>1200035121</v>
          </cell>
          <cell r="Q807" t="str">
            <v>Not Applicable</v>
          </cell>
          <cell r="R807" t="str">
            <v>Arjohuntleigh</v>
          </cell>
          <cell r="S807" t="str">
            <v>Hexamine Sdn. Bhd.</v>
          </cell>
          <cell r="T807" t="str">
            <v>Functioning</v>
          </cell>
          <cell r="U807" t="str">
            <v>Asset</v>
          </cell>
          <cell r="V807">
            <v>28630</v>
          </cell>
          <cell r="W807" t="str">
            <v>KEW</v>
          </cell>
          <cell r="X807" t="str">
            <v>01/09/2010</v>
          </cell>
          <cell r="Y807" t="str">
            <v>KEW</v>
          </cell>
          <cell r="Z807" t="str">
            <v>16/08/2013</v>
          </cell>
          <cell r="AA807" t="str">
            <v>15/08/2015</v>
          </cell>
          <cell r="AB807" t="str">
            <v>No</v>
          </cell>
          <cell r="AC807" t="str">
            <v>31/08/2013</v>
          </cell>
          <cell r="AD807" t="str">
            <v>Good</v>
          </cell>
          <cell r="AE807" t="str">
            <v>V3 - Added Installed Facilities (New)</v>
          </cell>
          <cell r="AF807">
            <v>42235</v>
          </cell>
          <cell r="AG807">
            <v>9.17</v>
          </cell>
          <cell r="AH807" t="str">
            <v>PPM</v>
          </cell>
          <cell r="AI807" t="str">
            <v>Strands</v>
          </cell>
          <cell r="AJ807" t="str">
            <v>Strands PW</v>
          </cell>
          <cell r="AK807" t="str">
            <v>SNF received. 1st batch of V3 asset (December 2020)</v>
          </cell>
        </row>
        <row r="808">
          <cell r="A808" t="str">
            <v>IKN400344</v>
          </cell>
          <cell r="B808">
            <v>344</v>
          </cell>
          <cell r="C808" t="str">
            <v>Institut Kanser Negara</v>
          </cell>
          <cell r="D808" t="str">
            <v>KKM/IKN/H/13/2527</v>
          </cell>
          <cell r="E808" t="str">
            <v>10-208</v>
          </cell>
          <cell r="F808" t="str">
            <v>Aspirators</v>
          </cell>
          <cell r="G808" t="str">
            <v>WF</v>
          </cell>
          <cell r="H808" t="str">
            <v>RT/ONCO WARD 2 (F)</v>
          </cell>
          <cell r="I808" t="str">
            <v>07WF121</v>
          </cell>
          <cell r="J808" t="str">
            <v>EQUIPMENT ROOM</v>
          </cell>
          <cell r="K808" t="str">
            <v>BMED</v>
          </cell>
          <cell r="L808" t="str">
            <v>Normal</v>
          </cell>
          <cell r="M808" t="str">
            <v>UK</v>
          </cell>
          <cell r="N808" t="str">
            <v>SAM</v>
          </cell>
          <cell r="O808" t="str">
            <v>SAM 427</v>
          </cell>
          <cell r="P808" t="str">
            <v>0313-0530</v>
          </cell>
          <cell r="Q808" t="str">
            <v>Not Applicable</v>
          </cell>
          <cell r="R808" t="str">
            <v>MG Electric Ltd</v>
          </cell>
          <cell r="S808" t="str">
            <v>Delta Medisains</v>
          </cell>
          <cell r="T808" t="str">
            <v>Functioning</v>
          </cell>
          <cell r="U808" t="str">
            <v>Asset</v>
          </cell>
          <cell r="V808">
            <v>10705</v>
          </cell>
          <cell r="W808" t="str">
            <v>KEW</v>
          </cell>
          <cell r="X808" t="str">
            <v>01/09/2010</v>
          </cell>
          <cell r="Y808" t="str">
            <v>KEW</v>
          </cell>
          <cell r="Z808" t="str">
            <v>16/08/2013</v>
          </cell>
          <cell r="AA808" t="str">
            <v>15/08/2015</v>
          </cell>
          <cell r="AB808" t="str">
            <v>No</v>
          </cell>
          <cell r="AC808" t="str">
            <v>31/08/2013</v>
          </cell>
          <cell r="AD808" t="str">
            <v>Good</v>
          </cell>
          <cell r="AE808" t="str">
            <v>V1 - Existing / No Claim</v>
          </cell>
          <cell r="AF808">
            <v>42235</v>
          </cell>
          <cell r="AG808">
            <v>9.17</v>
          </cell>
          <cell r="AH808" t="str">
            <v>PPM</v>
          </cell>
          <cell r="AI808" t="str">
            <v>Strands</v>
          </cell>
          <cell r="AJ808" t="str">
            <v>Strands PW</v>
          </cell>
        </row>
        <row r="809">
          <cell r="A809" t="str">
            <v>IKN400345</v>
          </cell>
          <cell r="B809">
            <v>345</v>
          </cell>
          <cell r="C809" t="str">
            <v>Institut Kanser Negara</v>
          </cell>
          <cell r="D809" t="str">
            <v>KKM/IKN/H/13/2461</v>
          </cell>
          <cell r="E809" t="str">
            <v>17-148</v>
          </cell>
          <cell r="F809" t="str">
            <v>Oximeters, Pulse</v>
          </cell>
          <cell r="G809" t="str">
            <v>WF</v>
          </cell>
          <cell r="H809" t="str">
            <v>RT/ONCO WARD 2 (F)</v>
          </cell>
          <cell r="I809" t="str">
            <v>07WF121</v>
          </cell>
          <cell r="J809" t="str">
            <v>EQUIPMENT ROOM</v>
          </cell>
          <cell r="K809" t="str">
            <v>BMED</v>
          </cell>
          <cell r="L809" t="str">
            <v>Normal</v>
          </cell>
          <cell r="M809" t="str">
            <v>USA</v>
          </cell>
          <cell r="N809" t="str">
            <v>PalmSat</v>
          </cell>
          <cell r="O809" t="str">
            <v>PalmSat 2500</v>
          </cell>
          <cell r="P809" t="str">
            <v>501439255</v>
          </cell>
          <cell r="Q809" t="str">
            <v>Not Applicable</v>
          </cell>
          <cell r="R809" t="str">
            <v>Nonin Medical Inc</v>
          </cell>
          <cell r="S809" t="str">
            <v>Acucare Systems (M) Sdn bhd</v>
          </cell>
          <cell r="T809" t="str">
            <v>Functioning</v>
          </cell>
          <cell r="U809" t="str">
            <v>Asset</v>
          </cell>
          <cell r="V809">
            <v>5410</v>
          </cell>
          <cell r="W809" t="str">
            <v>KEW</v>
          </cell>
          <cell r="X809" t="str">
            <v>01/09/2010</v>
          </cell>
          <cell r="Y809" t="str">
            <v>KEW</v>
          </cell>
          <cell r="Z809" t="str">
            <v>16/08/2013</v>
          </cell>
          <cell r="AA809" t="str">
            <v>15/08/2015</v>
          </cell>
          <cell r="AB809" t="str">
            <v>No</v>
          </cell>
          <cell r="AC809" t="str">
            <v>31/08/2013</v>
          </cell>
          <cell r="AD809" t="str">
            <v>Good</v>
          </cell>
          <cell r="AE809" t="str">
            <v>V1 - Existing / No Claim</v>
          </cell>
          <cell r="AF809">
            <v>42235</v>
          </cell>
          <cell r="AG809">
            <v>9.17</v>
          </cell>
          <cell r="AH809" t="str">
            <v>PPM</v>
          </cell>
          <cell r="AI809" t="str">
            <v>Strands</v>
          </cell>
          <cell r="AJ809" t="str">
            <v>Strands PW</v>
          </cell>
        </row>
        <row r="810">
          <cell r="A810" t="str">
            <v>IKN400346</v>
          </cell>
          <cell r="B810">
            <v>346</v>
          </cell>
          <cell r="C810" t="str">
            <v>Institut Kanser Negara</v>
          </cell>
          <cell r="D810" t="str">
            <v>KKM/IKN/H/13/2462</v>
          </cell>
          <cell r="E810" t="str">
            <v>17-148</v>
          </cell>
          <cell r="F810" t="str">
            <v>Oximeters, Pulse</v>
          </cell>
          <cell r="G810" t="str">
            <v>WF</v>
          </cell>
          <cell r="H810" t="str">
            <v>RT/ONCO WARD 2 (F)</v>
          </cell>
          <cell r="I810" t="str">
            <v>07WF121</v>
          </cell>
          <cell r="J810" t="str">
            <v>EQUIPMENT ROOM</v>
          </cell>
          <cell r="K810" t="str">
            <v>BMED</v>
          </cell>
          <cell r="L810" t="str">
            <v>Normal</v>
          </cell>
          <cell r="M810" t="str">
            <v>USA</v>
          </cell>
          <cell r="N810" t="str">
            <v>PalmSat</v>
          </cell>
          <cell r="O810" t="str">
            <v>PalmSat 2500</v>
          </cell>
          <cell r="P810" t="str">
            <v>501438137</v>
          </cell>
          <cell r="Q810" t="str">
            <v>Not Applicable</v>
          </cell>
          <cell r="R810" t="str">
            <v>Nonin Medical Inc</v>
          </cell>
          <cell r="S810" t="str">
            <v>Acucare Systems (M) Sdn bhd</v>
          </cell>
          <cell r="T810" t="str">
            <v>Functioning</v>
          </cell>
          <cell r="U810" t="str">
            <v>Asset</v>
          </cell>
          <cell r="V810">
            <v>5410</v>
          </cell>
          <cell r="W810" t="str">
            <v>KEW</v>
          </cell>
          <cell r="X810" t="str">
            <v>01/09/2010</v>
          </cell>
          <cell r="Y810" t="str">
            <v>KEW</v>
          </cell>
          <cell r="Z810" t="str">
            <v>16/08/2013</v>
          </cell>
          <cell r="AA810" t="str">
            <v>15/08/2015</v>
          </cell>
          <cell r="AB810" t="str">
            <v>No</v>
          </cell>
          <cell r="AC810" t="str">
            <v>31/08/2013</v>
          </cell>
          <cell r="AD810" t="str">
            <v>Good</v>
          </cell>
          <cell r="AE810" t="str">
            <v>V1 - Existing / No Claim</v>
          </cell>
          <cell r="AF810">
            <v>42235</v>
          </cell>
          <cell r="AG810">
            <v>9.17</v>
          </cell>
          <cell r="AH810" t="str">
            <v>PPM</v>
          </cell>
          <cell r="AI810" t="str">
            <v>Strands</v>
          </cell>
          <cell r="AJ810" t="str">
            <v>Strands PW</v>
          </cell>
        </row>
        <row r="811">
          <cell r="A811" t="str">
            <v>IKN400347</v>
          </cell>
          <cell r="B811">
            <v>347</v>
          </cell>
          <cell r="C811" t="str">
            <v>Institut Kanser Negara</v>
          </cell>
          <cell r="D811" t="str">
            <v>KKM/IKN/H/13/2458</v>
          </cell>
          <cell r="E811" t="str">
            <v>12-647</v>
          </cell>
          <cell r="F811" t="str">
            <v>Physiologic Monitoring Systems, Acute Care</v>
          </cell>
          <cell r="G811" t="str">
            <v>WF</v>
          </cell>
          <cell r="H811" t="str">
            <v>RT/ONCO WARD 2 (F)</v>
          </cell>
          <cell r="I811" t="str">
            <v>07WF121</v>
          </cell>
          <cell r="J811" t="str">
            <v>EQUIPMENT ROOM</v>
          </cell>
          <cell r="K811" t="str">
            <v>BMED</v>
          </cell>
          <cell r="L811" t="str">
            <v>Normal</v>
          </cell>
          <cell r="M811" t="str">
            <v>USA</v>
          </cell>
          <cell r="N811" t="str">
            <v>GE</v>
          </cell>
          <cell r="O811" t="str">
            <v>GE B30</v>
          </cell>
          <cell r="P811" t="str">
            <v>SF312325915WA</v>
          </cell>
          <cell r="Q811" t="str">
            <v>Not Applicable</v>
          </cell>
          <cell r="R811" t="str">
            <v>GE Healthcare Systems</v>
          </cell>
          <cell r="S811" t="str">
            <v>GE Healthcare Technologies</v>
          </cell>
          <cell r="T811" t="str">
            <v>Functioning</v>
          </cell>
          <cell r="U811" t="str">
            <v>Asset</v>
          </cell>
          <cell r="V811">
            <v>44510</v>
          </cell>
          <cell r="W811" t="str">
            <v>KEW</v>
          </cell>
          <cell r="X811" t="str">
            <v>01/09/2010</v>
          </cell>
          <cell r="Y811" t="str">
            <v>KEW</v>
          </cell>
          <cell r="Z811" t="str">
            <v>16/08/2013</v>
          </cell>
          <cell r="AA811" t="str">
            <v>15/08/2015</v>
          </cell>
          <cell r="AB811" t="str">
            <v>No</v>
          </cell>
          <cell r="AC811" t="str">
            <v>31/08/2013</v>
          </cell>
          <cell r="AD811" t="str">
            <v>Good</v>
          </cell>
          <cell r="AE811" t="str">
            <v>V1 - Existing / No Claim</v>
          </cell>
          <cell r="AF811">
            <v>42235</v>
          </cell>
          <cell r="AG811">
            <v>9.17</v>
          </cell>
          <cell r="AH811" t="str">
            <v>PPM</v>
          </cell>
          <cell r="AI811" t="str">
            <v>Strands</v>
          </cell>
          <cell r="AJ811" t="str">
            <v>Strands PW</v>
          </cell>
        </row>
        <row r="812">
          <cell r="A812" t="str">
            <v>IKN400348</v>
          </cell>
          <cell r="B812">
            <v>348</v>
          </cell>
          <cell r="C812" t="str">
            <v>Institut Kanser Negara</v>
          </cell>
          <cell r="D812" t="str">
            <v>KKM/IKN/H/13/2459</v>
          </cell>
          <cell r="E812" t="str">
            <v>12-647</v>
          </cell>
          <cell r="F812" t="str">
            <v>Physiologic Monitoring Systems, Acute Care</v>
          </cell>
          <cell r="G812" t="str">
            <v>WF</v>
          </cell>
          <cell r="H812" t="str">
            <v>RT/ONCO WARD 2 (F)</v>
          </cell>
          <cell r="I812" t="str">
            <v>07WF121</v>
          </cell>
          <cell r="J812" t="str">
            <v>EQUIPMENT ROOM</v>
          </cell>
          <cell r="K812" t="str">
            <v>BMED</v>
          </cell>
          <cell r="L812" t="str">
            <v>Critical</v>
          </cell>
          <cell r="M812" t="str">
            <v>USA</v>
          </cell>
          <cell r="N812" t="str">
            <v>GE</v>
          </cell>
          <cell r="O812" t="str">
            <v>GE B30</v>
          </cell>
          <cell r="P812" t="str">
            <v>SF312325902WA</v>
          </cell>
          <cell r="Q812" t="str">
            <v>Not Applicable</v>
          </cell>
          <cell r="R812" t="str">
            <v>GE Healthcare Systems</v>
          </cell>
          <cell r="S812" t="str">
            <v>GE Healthcare Technologies</v>
          </cell>
          <cell r="T812" t="str">
            <v>Functioning</v>
          </cell>
          <cell r="U812" t="str">
            <v>Asset</v>
          </cell>
          <cell r="V812">
            <v>44510</v>
          </cell>
          <cell r="W812" t="str">
            <v>KEW</v>
          </cell>
          <cell r="X812" t="str">
            <v>01/09/2010</v>
          </cell>
          <cell r="Y812" t="str">
            <v>KEW</v>
          </cell>
          <cell r="Z812" t="str">
            <v>16/08/2013</v>
          </cell>
          <cell r="AA812" t="str">
            <v>15/08/2015</v>
          </cell>
          <cell r="AB812" t="str">
            <v>No</v>
          </cell>
          <cell r="AC812" t="str">
            <v>31/08/2013</v>
          </cell>
          <cell r="AD812" t="str">
            <v>Good</v>
          </cell>
          <cell r="AE812" t="str">
            <v>V1 - Existing / No Claim</v>
          </cell>
          <cell r="AF812">
            <v>42788</v>
          </cell>
          <cell r="AG812">
            <v>9.17</v>
          </cell>
          <cell r="AH812" t="str">
            <v>PPM</v>
          </cell>
          <cell r="AI812" t="str">
            <v>Strands</v>
          </cell>
          <cell r="AJ812" t="str">
            <v>Strands PW</v>
          </cell>
        </row>
        <row r="813">
          <cell r="A813" t="str">
            <v>IKN400349</v>
          </cell>
          <cell r="B813">
            <v>349</v>
          </cell>
          <cell r="C813" t="str">
            <v>Institut Kanser Negara</v>
          </cell>
          <cell r="D813" t="str">
            <v>KKM/IKN/H/13/2518</v>
          </cell>
          <cell r="E813" t="str">
            <v>16-173</v>
          </cell>
          <cell r="F813" t="str">
            <v>Sphygmomanometers, Electronic, Automatic</v>
          </cell>
          <cell r="G813" t="str">
            <v>WF</v>
          </cell>
          <cell r="H813" t="str">
            <v>RT/ONCO WARD 2 (F)</v>
          </cell>
          <cell r="I813" t="str">
            <v>07WF143</v>
          </cell>
          <cell r="J813" t="str">
            <v>NURSE STATION</v>
          </cell>
          <cell r="K813" t="str">
            <v>BMED</v>
          </cell>
          <cell r="L813" t="str">
            <v>Critical</v>
          </cell>
          <cell r="M813" t="str">
            <v>USA</v>
          </cell>
          <cell r="N813" t="str">
            <v>Connex</v>
          </cell>
          <cell r="O813" t="str">
            <v>Connex ProBP 3400</v>
          </cell>
          <cell r="P813" t="str">
            <v>100001590613</v>
          </cell>
          <cell r="Q813" t="str">
            <v>Not Applicable</v>
          </cell>
          <cell r="R813" t="str">
            <v>Welch Allyn Inc</v>
          </cell>
          <cell r="S813" t="str">
            <v>Welch Allyn Malaysia Sdn Bhd</v>
          </cell>
          <cell r="T813" t="str">
            <v>Functioning</v>
          </cell>
          <cell r="U813" t="str">
            <v>Asset</v>
          </cell>
          <cell r="V813">
            <v>4510</v>
          </cell>
          <cell r="W813" t="str">
            <v>KEW</v>
          </cell>
          <cell r="X813" t="str">
            <v>01/09/2010</v>
          </cell>
          <cell r="Y813" t="str">
            <v>KEW</v>
          </cell>
          <cell r="Z813" t="str">
            <v>16/08/2013</v>
          </cell>
          <cell r="AA813" t="str">
            <v>15/08/2015</v>
          </cell>
          <cell r="AB813" t="str">
            <v>No</v>
          </cell>
          <cell r="AC813" t="str">
            <v>31/08/2013</v>
          </cell>
          <cell r="AD813" t="str">
            <v>Good</v>
          </cell>
          <cell r="AE813" t="str">
            <v>V1 - Existing / No Claim</v>
          </cell>
          <cell r="AF813">
            <v>42788</v>
          </cell>
          <cell r="AG813">
            <v>9.17</v>
          </cell>
          <cell r="AH813" t="str">
            <v>PPM</v>
          </cell>
          <cell r="AI813" t="str">
            <v>Strands</v>
          </cell>
          <cell r="AJ813" t="str">
            <v>Strands PW</v>
          </cell>
        </row>
        <row r="814">
          <cell r="A814" t="str">
            <v>IKN400350</v>
          </cell>
          <cell r="B814">
            <v>350</v>
          </cell>
          <cell r="C814" t="str">
            <v>Institut Kanser Negara</v>
          </cell>
          <cell r="D814" t="str">
            <v>KKM/IKN/H/13/2512</v>
          </cell>
          <cell r="E814" t="str">
            <v>16-173</v>
          </cell>
          <cell r="F814" t="str">
            <v>Sphygmomanometers, Electronic, Automatic</v>
          </cell>
          <cell r="G814" t="str">
            <v>WF</v>
          </cell>
          <cell r="H814" t="str">
            <v>RT/ONCO WARD 2 (F)</v>
          </cell>
          <cell r="I814" t="str">
            <v>07WF143</v>
          </cell>
          <cell r="J814" t="str">
            <v>NURSE STATION</v>
          </cell>
          <cell r="K814" t="str">
            <v>BMED</v>
          </cell>
          <cell r="L814" t="str">
            <v>Critical</v>
          </cell>
          <cell r="M814" t="str">
            <v>USA</v>
          </cell>
          <cell r="N814" t="str">
            <v>Connex</v>
          </cell>
          <cell r="O814" t="str">
            <v>Connex ProBP 3400</v>
          </cell>
          <cell r="P814" t="str">
            <v>100001760613</v>
          </cell>
          <cell r="Q814" t="str">
            <v>Not Applicable</v>
          </cell>
          <cell r="R814" t="str">
            <v>Welch Allyn Inc</v>
          </cell>
          <cell r="S814" t="str">
            <v>Welch Allyn Malaysia Sdn Bhd</v>
          </cell>
          <cell r="T814" t="str">
            <v>Functioning</v>
          </cell>
          <cell r="U814" t="str">
            <v>Asset</v>
          </cell>
          <cell r="V814">
            <v>4510</v>
          </cell>
          <cell r="W814" t="str">
            <v>KEW</v>
          </cell>
          <cell r="X814" t="str">
            <v>01/09/2010</v>
          </cell>
          <cell r="Y814" t="str">
            <v>KEW</v>
          </cell>
          <cell r="Z814" t="str">
            <v>16/08/2013</v>
          </cell>
          <cell r="AA814" t="str">
            <v>15/08/2015</v>
          </cell>
          <cell r="AB814" t="str">
            <v>No</v>
          </cell>
          <cell r="AC814" t="str">
            <v>31/08/2013</v>
          </cell>
          <cell r="AD814" t="str">
            <v>Good</v>
          </cell>
          <cell r="AE814" t="str">
            <v>V1 - Existing / No Claim</v>
          </cell>
          <cell r="AF814">
            <v>42788</v>
          </cell>
          <cell r="AG814">
            <v>9.17</v>
          </cell>
          <cell r="AH814" t="str">
            <v>PPM</v>
          </cell>
          <cell r="AI814" t="str">
            <v>Strands</v>
          </cell>
          <cell r="AJ814" t="str">
            <v>Strands PW</v>
          </cell>
        </row>
        <row r="815">
          <cell r="A815" t="str">
            <v>IKN400352</v>
          </cell>
          <cell r="B815">
            <v>352</v>
          </cell>
          <cell r="C815" t="str">
            <v>Institut Kanser Negara</v>
          </cell>
          <cell r="D815" t="e">
            <v>#N/A</v>
          </cell>
          <cell r="E815" t="str">
            <v>11-134</v>
          </cell>
          <cell r="F815" t="str">
            <v>Defibrillators, External, Manual</v>
          </cell>
          <cell r="G815" t="str">
            <v>WF</v>
          </cell>
          <cell r="H815" t="str">
            <v>RT/ONCO WARD 2 (F)</v>
          </cell>
          <cell r="I815" t="str">
            <v>07WF133</v>
          </cell>
          <cell r="J815" t="str">
            <v>RESUS EQ. BAY</v>
          </cell>
          <cell r="K815" t="str">
            <v>BMED</v>
          </cell>
          <cell r="L815" t="str">
            <v>Critical</v>
          </cell>
          <cell r="M815" t="str">
            <v>USA</v>
          </cell>
          <cell r="N815" t="str">
            <v>Responder</v>
          </cell>
          <cell r="O815" t="str">
            <v>Responder 2000</v>
          </cell>
          <cell r="P815" t="str">
            <v>3206743</v>
          </cell>
          <cell r="Q815" t="str">
            <v>Not Applicable</v>
          </cell>
          <cell r="R815" t="str">
            <v>GE Medical Systems</v>
          </cell>
          <cell r="S815" t="str">
            <v>Antah Sir Radin Sdn. Bhd.</v>
          </cell>
          <cell r="T815" t="str">
            <v>Functioning</v>
          </cell>
          <cell r="U815" t="str">
            <v>Asset</v>
          </cell>
          <cell r="V815">
            <v>45000</v>
          </cell>
          <cell r="W815" t="str">
            <v>Estimate</v>
          </cell>
          <cell r="X815" t="str">
            <v>01/09/2010</v>
          </cell>
          <cell r="Y815" t="str">
            <v>KEW</v>
          </cell>
          <cell r="Z815" t="str">
            <v>16/08/2013</v>
          </cell>
          <cell r="AA815" t="str">
            <v>15/08/2015</v>
          </cell>
          <cell r="AB815" t="str">
            <v>No</v>
          </cell>
          <cell r="AC815" t="str">
            <v>31/08/2013</v>
          </cell>
          <cell r="AD815" t="str">
            <v>Good</v>
          </cell>
          <cell r="AE815" t="str">
            <v>V1 - Existing / No Claim</v>
          </cell>
          <cell r="AF815">
            <v>42601</v>
          </cell>
          <cell r="AG815">
            <v>9.17</v>
          </cell>
          <cell r="AH815" t="str">
            <v>PPM</v>
          </cell>
          <cell r="AI815" t="str">
            <v>Strands</v>
          </cell>
          <cell r="AJ815" t="str">
            <v>Strands PW</v>
          </cell>
          <cell r="AK815" t="str">
            <v>Crash Trolley (FEMS)</v>
          </cell>
        </row>
        <row r="816">
          <cell r="A816" t="str">
            <v>IKN400353</v>
          </cell>
          <cell r="B816">
            <v>353</v>
          </cell>
          <cell r="C816" t="str">
            <v>Institut Kanser Negara</v>
          </cell>
          <cell r="D816" t="str">
            <v>KKM/IKN/H/13/4740</v>
          </cell>
          <cell r="E816" t="str">
            <v>25-209</v>
          </cell>
          <cell r="F816" t="str">
            <v>Monitors, Physiologic, Vital Signs</v>
          </cell>
          <cell r="G816" t="str">
            <v>WF</v>
          </cell>
          <cell r="H816" t="str">
            <v>RT/ONCO WARD 2 (F)</v>
          </cell>
          <cell r="I816" t="str">
            <v>07WF133</v>
          </cell>
          <cell r="J816" t="str">
            <v>RESUS EQ. BAY</v>
          </cell>
          <cell r="K816" t="str">
            <v>BMED</v>
          </cell>
          <cell r="L816" t="str">
            <v>Normal</v>
          </cell>
          <cell r="M816" t="str">
            <v>Mexico</v>
          </cell>
          <cell r="N816" t="str">
            <v>Carespace</v>
          </cell>
          <cell r="O816" t="str">
            <v>Carescape V100</v>
          </cell>
          <cell r="P816" t="str">
            <v>SH613280318SA</v>
          </cell>
          <cell r="Q816" t="str">
            <v>Not Applicable</v>
          </cell>
          <cell r="R816" t="str">
            <v>GE Healthcare Systems</v>
          </cell>
          <cell r="S816" t="str">
            <v>GE Healthcare Technologies</v>
          </cell>
          <cell r="T816" t="str">
            <v>Functioning</v>
          </cell>
          <cell r="U816" t="str">
            <v>Asset</v>
          </cell>
          <cell r="V816">
            <v>18765</v>
          </cell>
          <cell r="W816" t="str">
            <v>KEW</v>
          </cell>
          <cell r="X816" t="str">
            <v>01/09/2010</v>
          </cell>
          <cell r="Y816" t="str">
            <v>KEW</v>
          </cell>
          <cell r="Z816" t="str">
            <v>16/08/2013</v>
          </cell>
          <cell r="AA816" t="str">
            <v>15/08/2015</v>
          </cell>
          <cell r="AB816" t="str">
            <v>No</v>
          </cell>
          <cell r="AC816" t="str">
            <v>31/08/2013</v>
          </cell>
          <cell r="AD816" t="str">
            <v>Good</v>
          </cell>
          <cell r="AE816" t="str">
            <v>V1 - Existing / No Claim</v>
          </cell>
          <cell r="AF816">
            <v>42235</v>
          </cell>
          <cell r="AG816">
            <v>9.17</v>
          </cell>
          <cell r="AH816" t="str">
            <v>PPM</v>
          </cell>
          <cell r="AI816" t="str">
            <v>Strands</v>
          </cell>
          <cell r="AJ816" t="str">
            <v>Strands PW</v>
          </cell>
        </row>
        <row r="817">
          <cell r="A817" t="str">
            <v>IKN400355</v>
          </cell>
          <cell r="B817">
            <v>355</v>
          </cell>
          <cell r="C817" t="str">
            <v>Institut Kanser Negara</v>
          </cell>
          <cell r="D817" t="str">
            <v>KKM/IKN/H/13/2363</v>
          </cell>
          <cell r="E817" t="str">
            <v>10-208</v>
          </cell>
          <cell r="F817" t="str">
            <v>Aspirators</v>
          </cell>
          <cell r="G817" t="str">
            <v>WE</v>
          </cell>
          <cell r="H817" t="str">
            <v>RT/ONCO WARD 1 (F)</v>
          </cell>
          <cell r="I817" t="str">
            <v>07WE107</v>
          </cell>
          <cell r="J817" t="str">
            <v>TREATMENT / PROCESURE</v>
          </cell>
          <cell r="K817" t="str">
            <v>BMED</v>
          </cell>
          <cell r="L817" t="str">
            <v>Critical</v>
          </cell>
          <cell r="M817" t="str">
            <v>Switzerland</v>
          </cell>
          <cell r="N817" t="str">
            <v>Senator</v>
          </cell>
          <cell r="O817" t="str">
            <v>Senator</v>
          </cell>
          <cell r="P817" t="str">
            <v>1220743</v>
          </cell>
          <cell r="Q817" t="str">
            <v>Not Applicable</v>
          </cell>
          <cell r="R817" t="str">
            <v>Ardo Medical AG</v>
          </cell>
          <cell r="S817" t="str">
            <v>Histopoint</v>
          </cell>
          <cell r="T817" t="str">
            <v>Functioning</v>
          </cell>
          <cell r="U817" t="str">
            <v>Asset</v>
          </cell>
          <cell r="V817">
            <v>5052</v>
          </cell>
          <cell r="W817" t="str">
            <v>KEW</v>
          </cell>
          <cell r="X817" t="str">
            <v>01/09/2010</v>
          </cell>
          <cell r="Y817" t="str">
            <v>KEW</v>
          </cell>
          <cell r="Z817" t="str">
            <v>16/08/2013</v>
          </cell>
          <cell r="AA817" t="str">
            <v>15/08/2015</v>
          </cell>
          <cell r="AB817" t="str">
            <v>No</v>
          </cell>
          <cell r="AC817" t="str">
            <v>31/08/2013</v>
          </cell>
          <cell r="AD817" t="str">
            <v>Good</v>
          </cell>
          <cell r="AE817" t="str">
            <v>V1 - Existing / No Claim</v>
          </cell>
          <cell r="AF817">
            <v>42789</v>
          </cell>
          <cell r="AG817">
            <v>9.17</v>
          </cell>
          <cell r="AH817" t="str">
            <v>PPM</v>
          </cell>
          <cell r="AI817" t="str">
            <v>Strands</v>
          </cell>
          <cell r="AJ817" t="str">
            <v>Strands PW</v>
          </cell>
        </row>
        <row r="818">
          <cell r="A818" t="str">
            <v>IKN400356</v>
          </cell>
          <cell r="B818">
            <v>356</v>
          </cell>
          <cell r="C818" t="str">
            <v>Institut Kanser Negara</v>
          </cell>
          <cell r="D818" t="str">
            <v>KKM/IKN/H/13/2355</v>
          </cell>
          <cell r="E818" t="str">
            <v>16-231</v>
          </cell>
          <cell r="F818" t="str">
            <v>Electrocardiographs, Multichannel, Interpretative</v>
          </cell>
          <cell r="G818" t="str">
            <v>WE</v>
          </cell>
          <cell r="H818" t="str">
            <v>RT/ONCO WARD 1 (F)</v>
          </cell>
          <cell r="I818" t="str">
            <v>07WE107</v>
          </cell>
          <cell r="J818" t="str">
            <v>TREATMENT / PROCESURE</v>
          </cell>
          <cell r="K818" t="str">
            <v>BMED</v>
          </cell>
          <cell r="L818" t="str">
            <v>Critical</v>
          </cell>
          <cell r="M818" t="str">
            <v>China</v>
          </cell>
          <cell r="N818" t="str">
            <v>Mac</v>
          </cell>
          <cell r="O818" t="str">
            <v>MAC 800</v>
          </cell>
          <cell r="P818" t="str">
            <v>SJ412450363 WA</v>
          </cell>
          <cell r="Q818" t="str">
            <v>Not Applicable</v>
          </cell>
          <cell r="R818" t="str">
            <v>GE Healthcare Systems</v>
          </cell>
          <cell r="S818" t="str">
            <v>GE Healthcare Technologies</v>
          </cell>
          <cell r="T818" t="str">
            <v>Functioning</v>
          </cell>
          <cell r="U818" t="str">
            <v>Asset</v>
          </cell>
          <cell r="V818">
            <v>25260</v>
          </cell>
          <cell r="W818" t="str">
            <v>KEW</v>
          </cell>
          <cell r="X818" t="str">
            <v>01/09/2010</v>
          </cell>
          <cell r="Y818" t="str">
            <v>KEW</v>
          </cell>
          <cell r="Z818" t="str">
            <v>16/08/2013</v>
          </cell>
          <cell r="AA818" t="str">
            <v>15/08/2015</v>
          </cell>
          <cell r="AB818" t="str">
            <v>No</v>
          </cell>
          <cell r="AC818" t="str">
            <v>31/08/2013</v>
          </cell>
          <cell r="AD818" t="str">
            <v>Good</v>
          </cell>
          <cell r="AE818" t="str">
            <v>V1 - Existing / No Claim</v>
          </cell>
          <cell r="AF818">
            <v>42789</v>
          </cell>
          <cell r="AG818">
            <v>9.17</v>
          </cell>
          <cell r="AH818" t="str">
            <v>PPM</v>
          </cell>
          <cell r="AI818" t="str">
            <v>Strands</v>
          </cell>
          <cell r="AJ818" t="str">
            <v>Strands PW</v>
          </cell>
        </row>
        <row r="819">
          <cell r="A819" t="str">
            <v>IKN400357</v>
          </cell>
          <cell r="B819">
            <v>357</v>
          </cell>
          <cell r="C819" t="str">
            <v>Institut Kanser Negara</v>
          </cell>
          <cell r="D819" t="str">
            <v>KKM/IKN/H/13/2075</v>
          </cell>
          <cell r="E819" t="str">
            <v>10-447</v>
          </cell>
          <cell r="F819" t="str">
            <v>Warming Units, Blood/Solution</v>
          </cell>
          <cell r="G819" t="str">
            <v>WE</v>
          </cell>
          <cell r="H819" t="str">
            <v>RT/ONCO WARD 1 (F)</v>
          </cell>
          <cell r="I819" t="str">
            <v>07WE113</v>
          </cell>
          <cell r="J819" t="str">
            <v>EQUIPMENT ROOM</v>
          </cell>
          <cell r="K819" t="str">
            <v>BMED</v>
          </cell>
          <cell r="L819" t="str">
            <v>Normal</v>
          </cell>
          <cell r="M819" t="str">
            <v>Japan</v>
          </cell>
          <cell r="N819" t="str">
            <v>Animec</v>
          </cell>
          <cell r="O819" t="str">
            <v>Animec AM-301</v>
          </cell>
          <cell r="P819" t="str">
            <v>2013D0241</v>
          </cell>
          <cell r="Q819" t="str">
            <v>Not Applicable</v>
          </cell>
          <cell r="R819" t="str">
            <v>Elltec Co Ltd</v>
          </cell>
          <cell r="S819" t="str">
            <v>IDS Services (Malaysia) Sdn Bhd</v>
          </cell>
          <cell r="T819" t="str">
            <v>Functioning</v>
          </cell>
          <cell r="U819" t="str">
            <v>Asset</v>
          </cell>
          <cell r="V819">
            <v>4990</v>
          </cell>
          <cell r="W819" t="str">
            <v>KEW</v>
          </cell>
          <cell r="X819" t="str">
            <v>01/09/2010</v>
          </cell>
          <cell r="Y819" t="str">
            <v>KEW</v>
          </cell>
          <cell r="Z819" t="str">
            <v>16/08/2013</v>
          </cell>
          <cell r="AA819" t="str">
            <v>15/08/2015</v>
          </cell>
          <cell r="AB819" t="str">
            <v>No</v>
          </cell>
          <cell r="AC819" t="str">
            <v>31/08/2013</v>
          </cell>
          <cell r="AD819" t="str">
            <v>Good</v>
          </cell>
          <cell r="AE819" t="str">
            <v>V1 - Existing / No Claim</v>
          </cell>
          <cell r="AF819">
            <v>42235</v>
          </cell>
          <cell r="AG819">
            <v>9.17</v>
          </cell>
          <cell r="AH819" t="str">
            <v>PPM</v>
          </cell>
          <cell r="AI819" t="str">
            <v>Strands</v>
          </cell>
          <cell r="AJ819" t="str">
            <v>Strands PW</v>
          </cell>
        </row>
        <row r="820">
          <cell r="A820" t="str">
            <v>IKN400358</v>
          </cell>
          <cell r="B820">
            <v>358</v>
          </cell>
          <cell r="C820" t="str">
            <v>Institut Kanser Negara</v>
          </cell>
          <cell r="D820" t="str">
            <v>KKM/IKN/H/13/2077</v>
          </cell>
          <cell r="E820" t="str">
            <v>10-447</v>
          </cell>
          <cell r="F820" t="str">
            <v>Warming Units, Blood/Solution</v>
          </cell>
          <cell r="G820" t="str">
            <v>WE</v>
          </cell>
          <cell r="H820" t="str">
            <v>RT/ONCO WARD 1 (F)</v>
          </cell>
          <cell r="I820" t="str">
            <v>07WE113</v>
          </cell>
          <cell r="J820" t="str">
            <v>EQUIPMENT ROOM</v>
          </cell>
          <cell r="K820" t="str">
            <v>BMED</v>
          </cell>
          <cell r="L820" t="str">
            <v>Normal</v>
          </cell>
          <cell r="M820" t="str">
            <v>Japan</v>
          </cell>
          <cell r="N820" t="str">
            <v>Animec</v>
          </cell>
          <cell r="O820" t="str">
            <v>Animec AM-301</v>
          </cell>
          <cell r="P820" t="str">
            <v>2013D0269</v>
          </cell>
          <cell r="Q820" t="str">
            <v>Not Applicable</v>
          </cell>
          <cell r="R820" t="str">
            <v>Elltec Co Ltd</v>
          </cell>
          <cell r="S820" t="str">
            <v>IDS Services (Malaysia) Sdn Bhd</v>
          </cell>
          <cell r="T820" t="str">
            <v>Functioning</v>
          </cell>
          <cell r="U820" t="str">
            <v>Asset</v>
          </cell>
          <cell r="V820">
            <v>4990</v>
          </cell>
          <cell r="W820" t="str">
            <v>KEW</v>
          </cell>
          <cell r="X820" t="str">
            <v>01/09/2010</v>
          </cell>
          <cell r="Y820" t="str">
            <v>KEW</v>
          </cell>
          <cell r="Z820" t="str">
            <v>16/08/2013</v>
          </cell>
          <cell r="AA820" t="str">
            <v>15/08/2015</v>
          </cell>
          <cell r="AB820" t="str">
            <v>No</v>
          </cell>
          <cell r="AC820" t="str">
            <v>31/08/2013</v>
          </cell>
          <cell r="AD820" t="str">
            <v>Good</v>
          </cell>
          <cell r="AE820" t="str">
            <v>V1 - Existing / No Claim</v>
          </cell>
          <cell r="AF820">
            <v>42235</v>
          </cell>
          <cell r="AG820">
            <v>9.17</v>
          </cell>
          <cell r="AH820" t="str">
            <v>PPM</v>
          </cell>
          <cell r="AI820" t="str">
            <v>Strands</v>
          </cell>
          <cell r="AJ820" t="str">
            <v>Strands PW</v>
          </cell>
        </row>
        <row r="821">
          <cell r="A821" t="str">
            <v>IKN400359</v>
          </cell>
          <cell r="B821">
            <v>359</v>
          </cell>
          <cell r="C821" t="str">
            <v>Institut Kanser Negara</v>
          </cell>
          <cell r="D821" t="str">
            <v>KKM/IKN/H/13/2076</v>
          </cell>
          <cell r="E821" t="str">
            <v>10-447</v>
          </cell>
          <cell r="F821" t="str">
            <v>Warming Units, Blood/Solution</v>
          </cell>
          <cell r="G821" t="str">
            <v>WE</v>
          </cell>
          <cell r="H821" t="str">
            <v>RT/ONCO WARD 1 (F)</v>
          </cell>
          <cell r="I821" t="str">
            <v>07WE113</v>
          </cell>
          <cell r="J821" t="str">
            <v>EQUIPMENT ROOM</v>
          </cell>
          <cell r="K821" t="str">
            <v>BMED</v>
          </cell>
          <cell r="L821" t="str">
            <v>Normal</v>
          </cell>
          <cell r="M821" t="str">
            <v>Japan</v>
          </cell>
          <cell r="N821" t="str">
            <v>Animec</v>
          </cell>
          <cell r="O821" t="str">
            <v>Animec AM-301</v>
          </cell>
          <cell r="P821" t="str">
            <v>2013D0242</v>
          </cell>
          <cell r="Q821" t="str">
            <v>Not Applicable</v>
          </cell>
          <cell r="R821" t="str">
            <v>Elltec Co Ltd</v>
          </cell>
          <cell r="S821" t="str">
            <v>IDS Services (Malaysia) Sdn Bhd</v>
          </cell>
          <cell r="T821" t="str">
            <v>Functioning</v>
          </cell>
          <cell r="U821" t="str">
            <v>Asset</v>
          </cell>
          <cell r="V821">
            <v>4990</v>
          </cell>
          <cell r="W821" t="str">
            <v>KEW</v>
          </cell>
          <cell r="X821" t="str">
            <v>01/09/2010</v>
          </cell>
          <cell r="Y821" t="str">
            <v>KEW</v>
          </cell>
          <cell r="Z821" t="str">
            <v>16/08/2013</v>
          </cell>
          <cell r="AA821" t="str">
            <v>15/08/2015</v>
          </cell>
          <cell r="AB821" t="str">
            <v>No</v>
          </cell>
          <cell r="AC821" t="str">
            <v>31/08/2013</v>
          </cell>
          <cell r="AD821" t="str">
            <v>Good</v>
          </cell>
          <cell r="AE821" t="str">
            <v>V1 - Existing / No Claim</v>
          </cell>
          <cell r="AF821">
            <v>42235</v>
          </cell>
          <cell r="AG821">
            <v>9.17</v>
          </cell>
          <cell r="AH821" t="str">
            <v>PPM</v>
          </cell>
          <cell r="AI821" t="str">
            <v>Strands</v>
          </cell>
          <cell r="AJ821" t="str">
            <v>Strands PW</v>
          </cell>
        </row>
        <row r="822">
          <cell r="A822" t="str">
            <v>IKN400360</v>
          </cell>
          <cell r="B822">
            <v>360</v>
          </cell>
          <cell r="C822" t="str">
            <v>Institut Kanser Negara</v>
          </cell>
          <cell r="D822" t="str">
            <v>KKM/IKN/H/13/2085</v>
          </cell>
          <cell r="E822" t="str">
            <v>12-282</v>
          </cell>
          <cell r="F822" t="str">
            <v>Lights, Surgical</v>
          </cell>
          <cell r="G822" t="str">
            <v>WE</v>
          </cell>
          <cell r="H822" t="str">
            <v>RT/ONCO WARD 1 (F)</v>
          </cell>
          <cell r="I822" t="str">
            <v>07WE113</v>
          </cell>
          <cell r="J822" t="str">
            <v>EQUIPMENT ROOM</v>
          </cell>
          <cell r="K822" t="str">
            <v>BMED</v>
          </cell>
          <cell r="L822" t="str">
            <v>Normal</v>
          </cell>
          <cell r="M822" t="str">
            <v>USA</v>
          </cell>
          <cell r="N822" t="str">
            <v>Welch Allyn</v>
          </cell>
          <cell r="O822" t="str">
            <v>Welch Allyn GS600</v>
          </cell>
          <cell r="P822" t="str">
            <v>GS-600-38</v>
          </cell>
          <cell r="Q822" t="str">
            <v>Not Applicable</v>
          </cell>
          <cell r="R822" t="str">
            <v>Welch Allyn Inc</v>
          </cell>
          <cell r="S822" t="str">
            <v>Welch Allyn Malaysia Sdn Bhd</v>
          </cell>
          <cell r="T822" t="str">
            <v>Functioning</v>
          </cell>
          <cell r="U822" t="str">
            <v>Asset</v>
          </cell>
          <cell r="V822">
            <v>5050</v>
          </cell>
          <cell r="W822" t="str">
            <v>KEW</v>
          </cell>
          <cell r="X822" t="str">
            <v>01/09/2010</v>
          </cell>
          <cell r="Y822" t="str">
            <v>KEW</v>
          </cell>
          <cell r="Z822" t="str">
            <v>16/08/2013</v>
          </cell>
          <cell r="AA822" t="str">
            <v>15/08/2015</v>
          </cell>
          <cell r="AB822" t="str">
            <v>No</v>
          </cell>
          <cell r="AC822" t="str">
            <v>31/08/2013</v>
          </cell>
          <cell r="AD822" t="str">
            <v>Good</v>
          </cell>
          <cell r="AE822" t="str">
            <v>V1 - Existing / No Claim</v>
          </cell>
          <cell r="AF822">
            <v>42235</v>
          </cell>
          <cell r="AG822">
            <v>9.17</v>
          </cell>
          <cell r="AH822" t="str">
            <v>PPM</v>
          </cell>
          <cell r="AI822" t="str">
            <v>Strands</v>
          </cell>
          <cell r="AJ822" t="str">
            <v>Strands PW</v>
          </cell>
        </row>
        <row r="823">
          <cell r="A823" t="str">
            <v>IKN400361</v>
          </cell>
          <cell r="B823">
            <v>361</v>
          </cell>
          <cell r="C823" t="str">
            <v>Institut Kanser Negara</v>
          </cell>
          <cell r="D823" t="str">
            <v>KKM/IKN/H/13/2091</v>
          </cell>
          <cell r="E823" t="str">
            <v>15-045</v>
          </cell>
          <cell r="F823" t="str">
            <v>Nebulizers, Nonheated</v>
          </cell>
          <cell r="G823" t="str">
            <v>WE</v>
          </cell>
          <cell r="H823" t="str">
            <v>RT/ONCO WARD 1 (F)</v>
          </cell>
          <cell r="I823" t="str">
            <v>07WE113</v>
          </cell>
          <cell r="J823" t="str">
            <v>EQUIPMENT ROOM</v>
          </cell>
          <cell r="K823" t="str">
            <v>BMED</v>
          </cell>
          <cell r="L823" t="str">
            <v>Normal</v>
          </cell>
          <cell r="M823" t="str">
            <v>Germany</v>
          </cell>
          <cell r="N823" t="str">
            <v>Pari Boy</v>
          </cell>
          <cell r="O823" t="str">
            <v>Pari Boy SX 085</v>
          </cell>
          <cell r="P823" t="str">
            <v>2W12J05814</v>
          </cell>
          <cell r="Q823" t="str">
            <v>Not Applicable</v>
          </cell>
          <cell r="R823" t="str">
            <v>Pari GmbH</v>
          </cell>
          <cell r="S823" t="str">
            <v>Welch Allyn Malaysia Sdn Bhd</v>
          </cell>
          <cell r="T823" t="str">
            <v>Functioning</v>
          </cell>
          <cell r="U823" t="str">
            <v>Asset</v>
          </cell>
          <cell r="V823">
            <v>1140</v>
          </cell>
          <cell r="W823" t="str">
            <v>KEW</v>
          </cell>
          <cell r="X823" t="str">
            <v>01/09/2010</v>
          </cell>
          <cell r="Y823" t="str">
            <v>KEW</v>
          </cell>
          <cell r="Z823" t="str">
            <v>16/08/2013</v>
          </cell>
          <cell r="AA823" t="str">
            <v>15/08/2015</v>
          </cell>
          <cell r="AB823" t="str">
            <v>No</v>
          </cell>
          <cell r="AC823" t="str">
            <v>31/08/2013</v>
          </cell>
          <cell r="AD823" t="str">
            <v>Good</v>
          </cell>
          <cell r="AE823" t="str">
            <v>V1 - Existing / No Claim</v>
          </cell>
          <cell r="AF823">
            <v>42235</v>
          </cell>
          <cell r="AG823">
            <v>9.17</v>
          </cell>
          <cell r="AH823" t="str">
            <v>PPM</v>
          </cell>
          <cell r="AI823" t="str">
            <v>Strands</v>
          </cell>
          <cell r="AJ823" t="str">
            <v>Strands PW</v>
          </cell>
        </row>
        <row r="824">
          <cell r="A824" t="str">
            <v>IKN400362</v>
          </cell>
          <cell r="B824">
            <v>362</v>
          </cell>
          <cell r="C824" t="str">
            <v>Institut Kanser Negara</v>
          </cell>
          <cell r="D824" t="str">
            <v>KKM/IKN/H/13/2090</v>
          </cell>
          <cell r="E824" t="str">
            <v>15-045</v>
          </cell>
          <cell r="F824" t="str">
            <v>Nebulizers, Nonheated</v>
          </cell>
          <cell r="G824" t="str">
            <v>WE</v>
          </cell>
          <cell r="H824" t="str">
            <v>RT/ONCO WARD 1 (F)</v>
          </cell>
          <cell r="I824" t="str">
            <v>07WE113</v>
          </cell>
          <cell r="J824" t="str">
            <v>EQUIPMENT ROOM</v>
          </cell>
          <cell r="K824" t="str">
            <v>BMED</v>
          </cell>
          <cell r="L824" t="str">
            <v>Normal</v>
          </cell>
          <cell r="M824" t="str">
            <v>Germany</v>
          </cell>
          <cell r="N824" t="str">
            <v>Pari Boy</v>
          </cell>
          <cell r="O824" t="str">
            <v>Pari Boy SX 085</v>
          </cell>
          <cell r="P824" t="str">
            <v>2W12F13749</v>
          </cell>
          <cell r="Q824" t="str">
            <v>Not Applicable</v>
          </cell>
          <cell r="R824" t="str">
            <v>Pari GmbH</v>
          </cell>
          <cell r="S824" t="str">
            <v>Welch Allyn Malaysia Sdn Bhd</v>
          </cell>
          <cell r="T824" t="str">
            <v>Functioning</v>
          </cell>
          <cell r="U824" t="str">
            <v>Asset</v>
          </cell>
          <cell r="V824">
            <v>1140</v>
          </cell>
          <cell r="W824" t="str">
            <v>KEW</v>
          </cell>
          <cell r="X824" t="str">
            <v>01/09/2010</v>
          </cell>
          <cell r="Y824" t="str">
            <v>KEW</v>
          </cell>
          <cell r="Z824" t="str">
            <v>16/08/2013</v>
          </cell>
          <cell r="AA824" t="str">
            <v>15/08/2015</v>
          </cell>
          <cell r="AB824" t="str">
            <v>No</v>
          </cell>
          <cell r="AC824" t="str">
            <v>31/08/2013</v>
          </cell>
          <cell r="AD824" t="str">
            <v>Good</v>
          </cell>
          <cell r="AE824" t="str">
            <v>V1 - Existing / No Claim</v>
          </cell>
          <cell r="AF824">
            <v>42235</v>
          </cell>
          <cell r="AG824">
            <v>9.17</v>
          </cell>
          <cell r="AH824" t="str">
            <v>PPM</v>
          </cell>
          <cell r="AI824" t="str">
            <v>Strands</v>
          </cell>
          <cell r="AJ824" t="str">
            <v>Strands PW</v>
          </cell>
        </row>
        <row r="825">
          <cell r="A825" t="str">
            <v>IKN400363</v>
          </cell>
          <cell r="B825">
            <v>363</v>
          </cell>
          <cell r="C825" t="str">
            <v>Institut Kanser Negara</v>
          </cell>
          <cell r="D825" t="str">
            <v>KKM/IKN/H/13/2089</v>
          </cell>
          <cell r="E825" t="str">
            <v>15-045</v>
          </cell>
          <cell r="F825" t="str">
            <v>Nebulizers, Nonheated</v>
          </cell>
          <cell r="G825" t="str">
            <v>WE</v>
          </cell>
          <cell r="H825" t="str">
            <v>RT/ONCO WARD 1 (F)</v>
          </cell>
          <cell r="I825" t="str">
            <v>07WE113</v>
          </cell>
          <cell r="J825" t="str">
            <v>EQUIPMENT ROOM</v>
          </cell>
          <cell r="K825" t="str">
            <v>BMED</v>
          </cell>
          <cell r="L825" t="str">
            <v>Normal</v>
          </cell>
          <cell r="M825" t="str">
            <v>Germany</v>
          </cell>
          <cell r="N825" t="str">
            <v>Pari Boy</v>
          </cell>
          <cell r="O825" t="str">
            <v>Pari Boy SX 085</v>
          </cell>
          <cell r="P825" t="str">
            <v>2W12F13817</v>
          </cell>
          <cell r="Q825" t="str">
            <v>Not Applicable</v>
          </cell>
          <cell r="R825" t="str">
            <v>Pari GmbH</v>
          </cell>
          <cell r="S825" t="str">
            <v>Welch Allyn Malaysia Sdn Bhd</v>
          </cell>
          <cell r="T825" t="str">
            <v>Functioning</v>
          </cell>
          <cell r="U825" t="str">
            <v>Asset</v>
          </cell>
          <cell r="V825">
            <v>1140</v>
          </cell>
          <cell r="W825" t="str">
            <v>KEW</v>
          </cell>
          <cell r="X825" t="str">
            <v>01/09/2010</v>
          </cell>
          <cell r="Y825" t="str">
            <v>KEW</v>
          </cell>
          <cell r="Z825" t="str">
            <v>16/08/2013</v>
          </cell>
          <cell r="AA825" t="str">
            <v>15/08/2015</v>
          </cell>
          <cell r="AB825" t="str">
            <v>No</v>
          </cell>
          <cell r="AC825" t="str">
            <v>31/08/2013</v>
          </cell>
          <cell r="AD825" t="str">
            <v>Good</v>
          </cell>
          <cell r="AE825" t="str">
            <v>V1 - Existing / No Claim</v>
          </cell>
          <cell r="AF825">
            <v>42235</v>
          </cell>
          <cell r="AG825">
            <v>9.17</v>
          </cell>
          <cell r="AH825" t="str">
            <v>PPM</v>
          </cell>
          <cell r="AI825" t="str">
            <v>Strands</v>
          </cell>
          <cell r="AJ825" t="str">
            <v>Strands PW</v>
          </cell>
        </row>
        <row r="826">
          <cell r="A826" t="str">
            <v>IKN400364</v>
          </cell>
          <cell r="B826">
            <v>364</v>
          </cell>
          <cell r="C826" t="str">
            <v>Institut Kanser Negara</v>
          </cell>
          <cell r="D826" t="str">
            <v>KKM/IKN/H/13/2058</v>
          </cell>
          <cell r="E826" t="str">
            <v>13-217</v>
          </cell>
          <cell r="F826" t="str">
            <v>Infusion Pumps, Syringe</v>
          </cell>
          <cell r="G826" t="str">
            <v>WE</v>
          </cell>
          <cell r="H826" t="str">
            <v>RT/ONCO WARD 1 (F)</v>
          </cell>
          <cell r="I826" t="str">
            <v>07WE113</v>
          </cell>
          <cell r="J826" t="str">
            <v>EQUIPMENT ROOM</v>
          </cell>
          <cell r="K826" t="str">
            <v>BMED</v>
          </cell>
          <cell r="L826" t="str">
            <v>Critical</v>
          </cell>
          <cell r="M826" t="str">
            <v>Germany</v>
          </cell>
          <cell r="N826" t="str">
            <v>Perfusor</v>
          </cell>
          <cell r="O826" t="str">
            <v>Perfusor Space</v>
          </cell>
          <cell r="P826">
            <v>186604</v>
          </cell>
          <cell r="Q826" t="str">
            <v>Not Applicable</v>
          </cell>
          <cell r="R826" t="str">
            <v>B Braun Melsungen AG</v>
          </cell>
          <cell r="S826" t="str">
            <v>B Braun Medical Supplies Sdn. Bhd.</v>
          </cell>
          <cell r="T826" t="str">
            <v>Functioning</v>
          </cell>
          <cell r="U826" t="str">
            <v>Asset</v>
          </cell>
          <cell r="V826">
            <v>10225</v>
          </cell>
          <cell r="W826" t="str">
            <v>KEW</v>
          </cell>
          <cell r="X826" t="str">
            <v>01/09/2010</v>
          </cell>
          <cell r="Y826" t="str">
            <v>KEW</v>
          </cell>
          <cell r="Z826" t="str">
            <v>16/08/2013</v>
          </cell>
          <cell r="AA826" t="str">
            <v>15/08/2015</v>
          </cell>
          <cell r="AB826" t="str">
            <v>No</v>
          </cell>
          <cell r="AC826" t="str">
            <v>31/08/2013</v>
          </cell>
          <cell r="AD826" t="str">
            <v>Good</v>
          </cell>
          <cell r="AE826" t="str">
            <v>V1 - Existing / No Claim</v>
          </cell>
          <cell r="AF826">
            <v>42789</v>
          </cell>
          <cell r="AG826">
            <v>9.17</v>
          </cell>
          <cell r="AH826" t="str">
            <v>PPM</v>
          </cell>
          <cell r="AI826" t="str">
            <v>Strands</v>
          </cell>
          <cell r="AJ826" t="str">
            <v>Strands PW</v>
          </cell>
        </row>
        <row r="827">
          <cell r="A827" t="str">
            <v>IKN400365</v>
          </cell>
          <cell r="B827">
            <v>365</v>
          </cell>
          <cell r="C827" t="str">
            <v>Institut Kanser Negara</v>
          </cell>
          <cell r="D827" t="str">
            <v>KKM/IKN/H/13/2059</v>
          </cell>
          <cell r="E827" t="str">
            <v>13-217</v>
          </cell>
          <cell r="F827" t="str">
            <v>Infusion Pumps, Syringe</v>
          </cell>
          <cell r="G827" t="str">
            <v>WE</v>
          </cell>
          <cell r="H827" t="str">
            <v>RT/ONCO WARD 1 (F)</v>
          </cell>
          <cell r="I827" t="str">
            <v>07WE113</v>
          </cell>
          <cell r="J827" t="str">
            <v>EQUIPMENT ROOM</v>
          </cell>
          <cell r="K827" t="str">
            <v>BMED</v>
          </cell>
          <cell r="L827" t="str">
            <v>Normal</v>
          </cell>
          <cell r="M827" t="str">
            <v>Germany</v>
          </cell>
          <cell r="N827" t="str">
            <v>Perfusor</v>
          </cell>
          <cell r="O827" t="str">
            <v>Perfusor Space</v>
          </cell>
          <cell r="P827" t="str">
            <v>186957</v>
          </cell>
          <cell r="Q827" t="str">
            <v>Not Applicable</v>
          </cell>
          <cell r="R827" t="str">
            <v>B Braun Melsungen AG</v>
          </cell>
          <cell r="S827" t="str">
            <v>B Braun Medical Supplies Sdn. Bhd.</v>
          </cell>
          <cell r="T827" t="str">
            <v>Functioning</v>
          </cell>
          <cell r="U827" t="str">
            <v>Asset</v>
          </cell>
          <cell r="V827">
            <v>10225</v>
          </cell>
          <cell r="W827" t="str">
            <v>KEW</v>
          </cell>
          <cell r="X827" t="str">
            <v>01/09/2010</v>
          </cell>
          <cell r="Y827" t="str">
            <v>KEW</v>
          </cell>
          <cell r="Z827" t="str">
            <v>16/08/2013</v>
          </cell>
          <cell r="AA827" t="str">
            <v>15/08/2015</v>
          </cell>
          <cell r="AB827" t="str">
            <v>No</v>
          </cell>
          <cell r="AC827" t="str">
            <v>31/08/2013</v>
          </cell>
          <cell r="AD827" t="str">
            <v>Good</v>
          </cell>
          <cell r="AE827" t="str">
            <v>V1 - Existing / No Claim</v>
          </cell>
          <cell r="AF827">
            <v>42235</v>
          </cell>
          <cell r="AG827">
            <v>9.17</v>
          </cell>
          <cell r="AH827" t="str">
            <v>PPM</v>
          </cell>
          <cell r="AI827" t="str">
            <v>Strands</v>
          </cell>
          <cell r="AJ827" t="str">
            <v>Strands PW</v>
          </cell>
        </row>
        <row r="828">
          <cell r="A828" t="str">
            <v>IKN400366</v>
          </cell>
          <cell r="B828">
            <v>366</v>
          </cell>
          <cell r="C828" t="str">
            <v>Institut Kanser Negara</v>
          </cell>
          <cell r="D828" t="str">
            <v>KKM/IKN/H/13/2060</v>
          </cell>
          <cell r="E828" t="str">
            <v>13-215</v>
          </cell>
          <cell r="F828" t="str">
            <v>Infusion Pumps, General-Purpose</v>
          </cell>
          <cell r="G828" t="str">
            <v>WE</v>
          </cell>
          <cell r="H828" t="str">
            <v>RT/ONCO WARD 1 (F)</v>
          </cell>
          <cell r="I828" t="str">
            <v>07WE113</v>
          </cell>
          <cell r="J828" t="str">
            <v>EQUIPMENT ROOM</v>
          </cell>
          <cell r="K828" t="str">
            <v>BMED</v>
          </cell>
          <cell r="L828" t="str">
            <v>Normal</v>
          </cell>
          <cell r="M828" t="str">
            <v>Germany</v>
          </cell>
          <cell r="N828" t="str">
            <v>Infusomat</v>
          </cell>
          <cell r="O828" t="str">
            <v>Infusomat Space</v>
          </cell>
          <cell r="P828" t="str">
            <v>211957</v>
          </cell>
          <cell r="Q828" t="str">
            <v>Not Applicable</v>
          </cell>
          <cell r="R828" t="str">
            <v>B Braun Melsungen AG</v>
          </cell>
          <cell r="S828" t="str">
            <v>B Braun Medical Supplies Sdn. Bhd.</v>
          </cell>
          <cell r="T828" t="str">
            <v>Functioning</v>
          </cell>
          <cell r="U828" t="str">
            <v>Asset</v>
          </cell>
          <cell r="V828">
            <v>10825</v>
          </cell>
          <cell r="W828" t="str">
            <v>KEW</v>
          </cell>
          <cell r="X828" t="str">
            <v>01/09/2010</v>
          </cell>
          <cell r="Y828" t="str">
            <v>KEW</v>
          </cell>
          <cell r="Z828" t="str">
            <v>16/08/2013</v>
          </cell>
          <cell r="AA828" t="str">
            <v>15/08/2015</v>
          </cell>
          <cell r="AB828" t="str">
            <v>No</v>
          </cell>
          <cell r="AC828" t="str">
            <v>31/08/2013</v>
          </cell>
          <cell r="AD828" t="str">
            <v>Good</v>
          </cell>
          <cell r="AE828" t="str">
            <v>V1 - Existing / No Claim</v>
          </cell>
          <cell r="AF828">
            <v>42235</v>
          </cell>
          <cell r="AG828">
            <v>9.17</v>
          </cell>
          <cell r="AH828" t="str">
            <v>PPM</v>
          </cell>
          <cell r="AI828" t="str">
            <v>Strands</v>
          </cell>
          <cell r="AJ828" t="str">
            <v>Strands PW</v>
          </cell>
        </row>
        <row r="829">
          <cell r="A829" t="str">
            <v>IKN400367</v>
          </cell>
          <cell r="B829">
            <v>367</v>
          </cell>
          <cell r="C829" t="str">
            <v>Institut Kanser Negara</v>
          </cell>
          <cell r="D829" t="str">
            <v>KKM/IKN/H/13/2061</v>
          </cell>
          <cell r="E829" t="str">
            <v>13-215</v>
          </cell>
          <cell r="F829" t="str">
            <v>Infusion Pumps, General-Purpose</v>
          </cell>
          <cell r="G829" t="str">
            <v>WE</v>
          </cell>
          <cell r="H829" t="str">
            <v>RT/ONCO WARD 1 (F)</v>
          </cell>
          <cell r="I829" t="str">
            <v>07WE113</v>
          </cell>
          <cell r="J829" t="str">
            <v>EQUIPMENT ROOM</v>
          </cell>
          <cell r="K829" t="str">
            <v>BMED</v>
          </cell>
          <cell r="L829" t="str">
            <v>Normal</v>
          </cell>
          <cell r="M829" t="str">
            <v>Germany</v>
          </cell>
          <cell r="N829" t="str">
            <v>Infusomat</v>
          </cell>
          <cell r="O829" t="str">
            <v>Infusomat Space</v>
          </cell>
          <cell r="P829" t="str">
            <v>212076</v>
          </cell>
          <cell r="Q829" t="str">
            <v>Not Applicable</v>
          </cell>
          <cell r="R829" t="str">
            <v>B Braun Melsungen AG</v>
          </cell>
          <cell r="S829" t="str">
            <v>B Braun Medical Supplies Sdn. Bhd.</v>
          </cell>
          <cell r="T829" t="str">
            <v>Functioning</v>
          </cell>
          <cell r="U829" t="str">
            <v>Asset</v>
          </cell>
          <cell r="V829">
            <v>10825</v>
          </cell>
          <cell r="W829" t="str">
            <v>KEW</v>
          </cell>
          <cell r="X829" t="str">
            <v>01/09/2010</v>
          </cell>
          <cell r="Y829" t="str">
            <v>KEW</v>
          </cell>
          <cell r="Z829" t="str">
            <v>16/08/2013</v>
          </cell>
          <cell r="AA829" t="str">
            <v>15/08/2015</v>
          </cell>
          <cell r="AB829" t="str">
            <v>No</v>
          </cell>
          <cell r="AC829" t="str">
            <v>31/08/2013</v>
          </cell>
          <cell r="AD829" t="str">
            <v>Good</v>
          </cell>
          <cell r="AE829" t="str">
            <v>V1 - Existing / No Claim</v>
          </cell>
          <cell r="AF829">
            <v>42235</v>
          </cell>
          <cell r="AG829">
            <v>9.17</v>
          </cell>
          <cell r="AH829" t="str">
            <v>PPM</v>
          </cell>
          <cell r="AI829" t="str">
            <v>Strands</v>
          </cell>
          <cell r="AJ829" t="str">
            <v>Strands PW</v>
          </cell>
        </row>
        <row r="830">
          <cell r="A830" t="str">
            <v>IKN400368</v>
          </cell>
          <cell r="B830">
            <v>368</v>
          </cell>
          <cell r="C830" t="str">
            <v>Institut Kanser Negara</v>
          </cell>
          <cell r="D830" t="str">
            <v>KKM/IKN/H/13/2064</v>
          </cell>
          <cell r="E830" t="str">
            <v>13-215</v>
          </cell>
          <cell r="F830" t="str">
            <v>Infusion Pumps, General-Purpose</v>
          </cell>
          <cell r="G830" t="str">
            <v>WE</v>
          </cell>
          <cell r="H830" t="str">
            <v>RT/ONCO WARD 1 (F)</v>
          </cell>
          <cell r="I830" t="str">
            <v>07WE113</v>
          </cell>
          <cell r="J830" t="str">
            <v>EQUIPMENT ROOM</v>
          </cell>
          <cell r="K830" t="str">
            <v>BMED</v>
          </cell>
          <cell r="L830" t="str">
            <v>Critical</v>
          </cell>
          <cell r="M830" t="str">
            <v>Germany</v>
          </cell>
          <cell r="N830" t="str">
            <v>Infusomat</v>
          </cell>
          <cell r="O830" t="str">
            <v>Infusomat Space</v>
          </cell>
          <cell r="P830" t="str">
            <v>211859</v>
          </cell>
          <cell r="Q830" t="str">
            <v>Not Applicable</v>
          </cell>
          <cell r="R830" t="str">
            <v>B Braun Melsungen AG</v>
          </cell>
          <cell r="S830" t="str">
            <v>B Braun Medical Supplies Sdn. Bhd.</v>
          </cell>
          <cell r="T830" t="str">
            <v>Functioning</v>
          </cell>
          <cell r="U830" t="str">
            <v>Asset</v>
          </cell>
          <cell r="V830">
            <v>10825</v>
          </cell>
          <cell r="W830" t="str">
            <v>KEW</v>
          </cell>
          <cell r="X830" t="str">
            <v>01/09/2010</v>
          </cell>
          <cell r="Y830" t="str">
            <v>KEW</v>
          </cell>
          <cell r="Z830" t="str">
            <v>16/08/2013</v>
          </cell>
          <cell r="AA830" t="str">
            <v>15/08/2015</v>
          </cell>
          <cell r="AB830" t="str">
            <v>No</v>
          </cell>
          <cell r="AC830" t="str">
            <v>31/08/2013</v>
          </cell>
          <cell r="AD830" t="str">
            <v>Good</v>
          </cell>
          <cell r="AE830" t="str">
            <v>V1 - Existing / No Claim</v>
          </cell>
          <cell r="AF830">
            <v>42789</v>
          </cell>
          <cell r="AG830">
            <v>9.17</v>
          </cell>
          <cell r="AH830" t="str">
            <v>PPM</v>
          </cell>
          <cell r="AI830" t="str">
            <v>Strands</v>
          </cell>
          <cell r="AJ830" t="str">
            <v>Strands PW</v>
          </cell>
        </row>
        <row r="831">
          <cell r="A831" t="str">
            <v>IKN400369</v>
          </cell>
          <cell r="B831">
            <v>369</v>
          </cell>
          <cell r="C831" t="str">
            <v>Institut Kanser Negara</v>
          </cell>
          <cell r="D831" t="str">
            <v>KKM/IKN/H/13/2066</v>
          </cell>
          <cell r="E831" t="str">
            <v>13-215</v>
          </cell>
          <cell r="F831" t="str">
            <v>Infusion Pumps, General-Purpose</v>
          </cell>
          <cell r="G831" t="str">
            <v>WE</v>
          </cell>
          <cell r="H831" t="str">
            <v>RT/ONCO WARD 1 (F)</v>
          </cell>
          <cell r="I831" t="str">
            <v>07WE113</v>
          </cell>
          <cell r="J831" t="str">
            <v>EQUIPMENT ROOM</v>
          </cell>
          <cell r="K831" t="str">
            <v>BMED</v>
          </cell>
          <cell r="L831" t="str">
            <v>Critical</v>
          </cell>
          <cell r="M831" t="str">
            <v>Germany</v>
          </cell>
          <cell r="N831" t="str">
            <v>Infusomat</v>
          </cell>
          <cell r="O831" t="str">
            <v>Infusomat Space</v>
          </cell>
          <cell r="P831" t="str">
            <v>212080</v>
          </cell>
          <cell r="Q831" t="str">
            <v>Not Applicable</v>
          </cell>
          <cell r="R831" t="str">
            <v>B Braun Melsungen AG</v>
          </cell>
          <cell r="S831" t="str">
            <v>B Braun Medical Supplies Sdn. Bhd.</v>
          </cell>
          <cell r="T831" t="str">
            <v>Functioning</v>
          </cell>
          <cell r="U831" t="str">
            <v>Asset</v>
          </cell>
          <cell r="V831">
            <v>10825</v>
          </cell>
          <cell r="W831" t="str">
            <v>KEW</v>
          </cell>
          <cell r="X831" t="str">
            <v>01/09/2010</v>
          </cell>
          <cell r="Y831" t="str">
            <v>KEW</v>
          </cell>
          <cell r="Z831" t="str">
            <v>16/08/2013</v>
          </cell>
          <cell r="AA831" t="str">
            <v>15/08/2015</v>
          </cell>
          <cell r="AB831" t="str">
            <v>No</v>
          </cell>
          <cell r="AC831" t="str">
            <v>31/08/2013</v>
          </cell>
          <cell r="AD831" t="str">
            <v>Good</v>
          </cell>
          <cell r="AE831" t="str">
            <v>V1 - Existing / No Claim</v>
          </cell>
          <cell r="AF831">
            <v>42789</v>
          </cell>
          <cell r="AG831">
            <v>9.17</v>
          </cell>
          <cell r="AH831" t="str">
            <v>PPM</v>
          </cell>
          <cell r="AI831" t="str">
            <v>Strands</v>
          </cell>
          <cell r="AJ831" t="str">
            <v>Strands PW</v>
          </cell>
        </row>
        <row r="832">
          <cell r="A832" t="str">
            <v>IKN400370</v>
          </cell>
          <cell r="B832">
            <v>370</v>
          </cell>
          <cell r="C832" t="str">
            <v>Institut Kanser Negara</v>
          </cell>
          <cell r="D832" t="str">
            <v>KKM/IKN/H/13/2068</v>
          </cell>
          <cell r="E832" t="str">
            <v>13-215</v>
          </cell>
          <cell r="F832" t="str">
            <v>Infusion Pumps, General-Purpose</v>
          </cell>
          <cell r="G832" t="str">
            <v>WE</v>
          </cell>
          <cell r="H832" t="str">
            <v>RT/ONCO WARD 1 (F)</v>
          </cell>
          <cell r="I832" t="str">
            <v>07WE113</v>
          </cell>
          <cell r="J832" t="str">
            <v>EQUIPMENT ROOM</v>
          </cell>
          <cell r="K832" t="str">
            <v>BMED</v>
          </cell>
          <cell r="L832" t="str">
            <v>Critical</v>
          </cell>
          <cell r="M832" t="str">
            <v>Germany</v>
          </cell>
          <cell r="N832" t="str">
            <v>Infusomat</v>
          </cell>
          <cell r="O832" t="str">
            <v>Infusomat Space</v>
          </cell>
          <cell r="P832" t="str">
            <v>211885</v>
          </cell>
          <cell r="Q832" t="str">
            <v>Not Applicable</v>
          </cell>
          <cell r="R832" t="str">
            <v>B Braun Melsungen AG</v>
          </cell>
          <cell r="S832" t="str">
            <v>B Braun Medical Supplies Sdn. Bhd.</v>
          </cell>
          <cell r="T832" t="str">
            <v>Functioning</v>
          </cell>
          <cell r="U832" t="str">
            <v>Asset</v>
          </cell>
          <cell r="V832">
            <v>10825</v>
          </cell>
          <cell r="W832" t="str">
            <v>KEW</v>
          </cell>
          <cell r="X832" t="str">
            <v>01/09/2010</v>
          </cell>
          <cell r="Y832" t="str">
            <v>KEW</v>
          </cell>
          <cell r="Z832" t="str">
            <v>16/08/2013</v>
          </cell>
          <cell r="AA832" t="str">
            <v>15/08/2015</v>
          </cell>
          <cell r="AB832" t="str">
            <v>No</v>
          </cell>
          <cell r="AC832" t="str">
            <v>31/08/2013</v>
          </cell>
          <cell r="AD832" t="str">
            <v>Good</v>
          </cell>
          <cell r="AE832" t="str">
            <v>V1 - Existing / No Claim</v>
          </cell>
          <cell r="AF832">
            <v>42789</v>
          </cell>
          <cell r="AG832">
            <v>9.17</v>
          </cell>
          <cell r="AH832" t="str">
            <v>PPM</v>
          </cell>
          <cell r="AI832" t="str">
            <v>Strands</v>
          </cell>
          <cell r="AJ832" t="str">
            <v>Strands PW</v>
          </cell>
        </row>
        <row r="833">
          <cell r="A833" t="str">
            <v>IKN400371</v>
          </cell>
          <cell r="B833">
            <v>371</v>
          </cell>
          <cell r="C833" t="str">
            <v>Institut Kanser Negara</v>
          </cell>
          <cell r="D833" t="str">
            <v>KKM/IKN/H/13/2069</v>
          </cell>
          <cell r="E833" t="str">
            <v>13-215</v>
          </cell>
          <cell r="F833" t="str">
            <v>Infusion Pumps, General-Purpose</v>
          </cell>
          <cell r="G833" t="str">
            <v>WE</v>
          </cell>
          <cell r="H833" t="str">
            <v>RT/ONCO WARD 1 (F)</v>
          </cell>
          <cell r="I833" t="str">
            <v>07WE113</v>
          </cell>
          <cell r="J833" t="str">
            <v>EQUIPMENT ROOM</v>
          </cell>
          <cell r="K833" t="str">
            <v>BMED</v>
          </cell>
          <cell r="L833" t="str">
            <v>Critical</v>
          </cell>
          <cell r="M833" t="str">
            <v>Germany</v>
          </cell>
          <cell r="N833" t="str">
            <v>Infusomat</v>
          </cell>
          <cell r="O833" t="str">
            <v>Infusomat Space</v>
          </cell>
          <cell r="P833" t="str">
            <v>212107</v>
          </cell>
          <cell r="Q833" t="str">
            <v>Not Applicable</v>
          </cell>
          <cell r="R833" t="str">
            <v>B Braun Melsungen AG</v>
          </cell>
          <cell r="S833" t="str">
            <v>B Braun Medical Supplies Sdn. Bhd.</v>
          </cell>
          <cell r="T833" t="str">
            <v>Functioning</v>
          </cell>
          <cell r="U833" t="str">
            <v>Asset</v>
          </cell>
          <cell r="V833">
            <v>10825</v>
          </cell>
          <cell r="W833" t="str">
            <v>KEW</v>
          </cell>
          <cell r="X833" t="str">
            <v>01/09/2010</v>
          </cell>
          <cell r="Y833" t="str">
            <v>KEW</v>
          </cell>
          <cell r="Z833" t="str">
            <v>16/08/2013</v>
          </cell>
          <cell r="AA833" t="str">
            <v>15/08/2015</v>
          </cell>
          <cell r="AB833" t="str">
            <v>No</v>
          </cell>
          <cell r="AC833" t="str">
            <v>31/08/2013</v>
          </cell>
          <cell r="AD833" t="str">
            <v>Good</v>
          </cell>
          <cell r="AE833" t="str">
            <v>V1 - Existing / No Claim</v>
          </cell>
          <cell r="AF833">
            <v>42789</v>
          </cell>
          <cell r="AG833">
            <v>9.17</v>
          </cell>
          <cell r="AH833" t="str">
            <v>PPM</v>
          </cell>
          <cell r="AI833" t="str">
            <v>Strands</v>
          </cell>
          <cell r="AJ833" t="str">
            <v>Strands PW</v>
          </cell>
        </row>
        <row r="834">
          <cell r="A834" t="str">
            <v>IKN400372</v>
          </cell>
          <cell r="B834">
            <v>372</v>
          </cell>
          <cell r="C834" t="str">
            <v>Institut Kanser Negara</v>
          </cell>
          <cell r="D834" t="str">
            <v>KKM/IKN/H/13/2070</v>
          </cell>
          <cell r="E834" t="str">
            <v>13-215</v>
          </cell>
          <cell r="F834" t="str">
            <v>Infusion Pumps, General-Purpose</v>
          </cell>
          <cell r="G834" t="str">
            <v>WE</v>
          </cell>
          <cell r="H834" t="str">
            <v>RT/ONCO WARD 1 (F)</v>
          </cell>
          <cell r="I834" t="str">
            <v>07WE113</v>
          </cell>
          <cell r="J834" t="str">
            <v>EQUIPMENT ROOM</v>
          </cell>
          <cell r="K834" t="str">
            <v>BMED</v>
          </cell>
          <cell r="L834" t="str">
            <v>Critical</v>
          </cell>
          <cell r="M834" t="str">
            <v>Germany</v>
          </cell>
          <cell r="N834" t="str">
            <v>Infusomat</v>
          </cell>
          <cell r="O834" t="str">
            <v>Infusomat Space</v>
          </cell>
          <cell r="P834" t="str">
            <v>212066</v>
          </cell>
          <cell r="Q834" t="str">
            <v>Not Applicable</v>
          </cell>
          <cell r="R834" t="str">
            <v>B Braun Melsungen AG</v>
          </cell>
          <cell r="S834" t="str">
            <v>B Braun Medical Supplies Sdn. Bhd.</v>
          </cell>
          <cell r="T834" t="str">
            <v>Functioning</v>
          </cell>
          <cell r="U834" t="str">
            <v>Asset</v>
          </cell>
          <cell r="V834">
            <v>10825</v>
          </cell>
          <cell r="W834" t="str">
            <v>KEW</v>
          </cell>
          <cell r="X834" t="str">
            <v>01/09/2010</v>
          </cell>
          <cell r="Y834" t="str">
            <v>KEW</v>
          </cell>
          <cell r="Z834" t="str">
            <v>16/08/2013</v>
          </cell>
          <cell r="AA834" t="str">
            <v>15/08/2015</v>
          </cell>
          <cell r="AB834" t="str">
            <v>No</v>
          </cell>
          <cell r="AC834" t="str">
            <v>31/08/2013</v>
          </cell>
          <cell r="AD834" t="str">
            <v>Good</v>
          </cell>
          <cell r="AE834" t="str">
            <v>V1 - Existing / No Claim</v>
          </cell>
          <cell r="AF834">
            <v>42789</v>
          </cell>
          <cell r="AG834">
            <v>9.17</v>
          </cell>
          <cell r="AH834" t="str">
            <v>PPM</v>
          </cell>
          <cell r="AI834" t="str">
            <v>Strands</v>
          </cell>
          <cell r="AJ834" t="str">
            <v>Strands PW</v>
          </cell>
        </row>
        <row r="835">
          <cell r="A835" t="str">
            <v>IKN400373</v>
          </cell>
          <cell r="B835">
            <v>373</v>
          </cell>
          <cell r="C835" t="str">
            <v>Institut Kanser Negara</v>
          </cell>
          <cell r="D835" t="str">
            <v>KKM/IKN/H/13/2072</v>
          </cell>
          <cell r="E835" t="str">
            <v>13-215</v>
          </cell>
          <cell r="F835" t="str">
            <v>Infusion Pumps, General-Purpose</v>
          </cell>
          <cell r="G835" t="str">
            <v>WE</v>
          </cell>
          <cell r="H835" t="str">
            <v>RT/ONCO WARD 1 (F)</v>
          </cell>
          <cell r="I835" t="str">
            <v>07WE113</v>
          </cell>
          <cell r="J835" t="str">
            <v>EQUIPMENT ROOM</v>
          </cell>
          <cell r="K835" t="str">
            <v>BMED</v>
          </cell>
          <cell r="L835" t="str">
            <v>Critical</v>
          </cell>
          <cell r="M835" t="str">
            <v>Germany</v>
          </cell>
          <cell r="N835" t="str">
            <v>Infusomat</v>
          </cell>
          <cell r="O835" t="str">
            <v>Infusomat Space</v>
          </cell>
          <cell r="P835" t="str">
            <v>211872</v>
          </cell>
          <cell r="Q835" t="str">
            <v>Not Applicable</v>
          </cell>
          <cell r="R835" t="str">
            <v>B Braun Melsungen AG</v>
          </cell>
          <cell r="S835" t="str">
            <v>B Braun Medical Supplies Sdn. Bhd.</v>
          </cell>
          <cell r="T835" t="str">
            <v>Functioning</v>
          </cell>
          <cell r="U835" t="str">
            <v>Asset</v>
          </cell>
          <cell r="V835">
            <v>10825</v>
          </cell>
          <cell r="W835" t="str">
            <v>KEW</v>
          </cell>
          <cell r="X835" t="str">
            <v>01/09/2010</v>
          </cell>
          <cell r="Y835" t="str">
            <v>KEW</v>
          </cell>
          <cell r="Z835" t="str">
            <v>16/08/2013</v>
          </cell>
          <cell r="AA835" t="str">
            <v>15/08/2015</v>
          </cell>
          <cell r="AB835" t="str">
            <v>No</v>
          </cell>
          <cell r="AC835" t="str">
            <v>31/08/2013</v>
          </cell>
          <cell r="AD835" t="str">
            <v>Good</v>
          </cell>
          <cell r="AE835" t="str">
            <v>V1 - Existing / No Claim</v>
          </cell>
          <cell r="AF835">
            <v>42789</v>
          </cell>
          <cell r="AG835">
            <v>9.17</v>
          </cell>
          <cell r="AH835" t="str">
            <v>PPM</v>
          </cell>
          <cell r="AI835" t="str">
            <v>Strands</v>
          </cell>
          <cell r="AJ835" t="str">
            <v>Strands PW</v>
          </cell>
        </row>
        <row r="836">
          <cell r="A836" t="str">
            <v>IKN400374</v>
          </cell>
          <cell r="B836">
            <v>374</v>
          </cell>
          <cell r="C836" t="str">
            <v>Institut Kanser Negara</v>
          </cell>
          <cell r="D836" t="str">
            <v>KKM/IKN/H/13/2073</v>
          </cell>
          <cell r="E836" t="str">
            <v>13-215</v>
          </cell>
          <cell r="F836" t="str">
            <v>Infusion Pumps, General-Purpose</v>
          </cell>
          <cell r="G836" t="str">
            <v>WE</v>
          </cell>
          <cell r="H836" t="str">
            <v>RT/ONCO WARD 1 (F)</v>
          </cell>
          <cell r="I836" t="str">
            <v>07WE113</v>
          </cell>
          <cell r="J836" t="str">
            <v>EQUIPMENT ROOM</v>
          </cell>
          <cell r="K836" t="str">
            <v>BMED</v>
          </cell>
          <cell r="L836" t="str">
            <v>Critical</v>
          </cell>
          <cell r="M836" t="str">
            <v>Germany</v>
          </cell>
          <cell r="N836" t="str">
            <v>Infusomat</v>
          </cell>
          <cell r="O836" t="str">
            <v>Infusomat Space</v>
          </cell>
          <cell r="P836" t="str">
            <v>211916</v>
          </cell>
          <cell r="Q836" t="str">
            <v>Not Applicable</v>
          </cell>
          <cell r="R836" t="str">
            <v>B Braun Melsungen AG</v>
          </cell>
          <cell r="S836" t="str">
            <v>B Braun Medical Supplies Sdn. Bhd.</v>
          </cell>
          <cell r="T836" t="str">
            <v>Functioning</v>
          </cell>
          <cell r="U836" t="str">
            <v>Asset</v>
          </cell>
          <cell r="V836">
            <v>10825</v>
          </cell>
          <cell r="W836" t="str">
            <v>KEW</v>
          </cell>
          <cell r="X836" t="str">
            <v>01/09/2010</v>
          </cell>
          <cell r="Y836" t="str">
            <v>KEW</v>
          </cell>
          <cell r="Z836" t="str">
            <v>16/08/2013</v>
          </cell>
          <cell r="AA836" t="str">
            <v>15/08/2015</v>
          </cell>
          <cell r="AB836" t="str">
            <v>No</v>
          </cell>
          <cell r="AC836" t="str">
            <v>31/08/2013</v>
          </cell>
          <cell r="AD836" t="str">
            <v>Good</v>
          </cell>
          <cell r="AE836" t="str">
            <v>V1 - Existing / No Claim</v>
          </cell>
          <cell r="AF836">
            <v>42789</v>
          </cell>
          <cell r="AG836">
            <v>9.17</v>
          </cell>
          <cell r="AH836" t="str">
            <v>PPM</v>
          </cell>
          <cell r="AI836" t="str">
            <v>Strands</v>
          </cell>
          <cell r="AJ836" t="str">
            <v>Strands PW</v>
          </cell>
        </row>
        <row r="837">
          <cell r="A837" t="str">
            <v>IKN400375</v>
          </cell>
          <cell r="B837">
            <v>375</v>
          </cell>
          <cell r="C837" t="str">
            <v>Institut Kanser Negara</v>
          </cell>
          <cell r="D837" t="str">
            <v>KKM/IKN/H/13/2074</v>
          </cell>
          <cell r="E837" t="str">
            <v>13-215</v>
          </cell>
          <cell r="F837" t="str">
            <v>Infusion Pumps, General-Purpose</v>
          </cell>
          <cell r="G837" t="str">
            <v>WE</v>
          </cell>
          <cell r="H837" t="str">
            <v>RT/ONCO WARD 1 (F)</v>
          </cell>
          <cell r="I837" t="str">
            <v>07WE113</v>
          </cell>
          <cell r="J837" t="str">
            <v>EQUIPMENT ROOM</v>
          </cell>
          <cell r="K837" t="str">
            <v>BMED</v>
          </cell>
          <cell r="L837" t="str">
            <v>Critical</v>
          </cell>
          <cell r="M837" t="str">
            <v>Germany</v>
          </cell>
          <cell r="N837" t="str">
            <v>Infusomat</v>
          </cell>
          <cell r="O837" t="str">
            <v>Infusomat Space</v>
          </cell>
          <cell r="P837" t="str">
            <v>211881</v>
          </cell>
          <cell r="Q837" t="str">
            <v>Not Applicable</v>
          </cell>
          <cell r="R837" t="str">
            <v>B Braun Melsungen AG</v>
          </cell>
          <cell r="S837" t="str">
            <v>B Braun Medical Supplies Sdn. Bhd.</v>
          </cell>
          <cell r="T837" t="str">
            <v>Functioning</v>
          </cell>
          <cell r="U837" t="str">
            <v>Asset</v>
          </cell>
          <cell r="V837">
            <v>10825</v>
          </cell>
          <cell r="W837" t="str">
            <v>KEW</v>
          </cell>
          <cell r="X837" t="str">
            <v>01/09/2010</v>
          </cell>
          <cell r="Y837" t="str">
            <v>KEW</v>
          </cell>
          <cell r="Z837" t="str">
            <v>16/08/2013</v>
          </cell>
          <cell r="AA837" t="str">
            <v>15/08/2015</v>
          </cell>
          <cell r="AB837" t="str">
            <v>No</v>
          </cell>
          <cell r="AC837" t="str">
            <v>31/08/2013</v>
          </cell>
          <cell r="AD837" t="str">
            <v>Good</v>
          </cell>
          <cell r="AE837" t="str">
            <v>V1 - Existing / No Claim</v>
          </cell>
          <cell r="AF837">
            <v>42789</v>
          </cell>
          <cell r="AG837">
            <v>9.17</v>
          </cell>
          <cell r="AH837" t="str">
            <v>PPM</v>
          </cell>
          <cell r="AI837" t="str">
            <v>Strands</v>
          </cell>
          <cell r="AJ837" t="str">
            <v>Strands PW</v>
          </cell>
        </row>
        <row r="838">
          <cell r="A838" t="str">
            <v>IKN400376</v>
          </cell>
          <cell r="B838">
            <v>376</v>
          </cell>
          <cell r="C838" t="str">
            <v>Institut Kanser Negara</v>
          </cell>
          <cell r="D838" t="str">
            <v>KKM/IKN/H/13/2081</v>
          </cell>
          <cell r="E838" t="str">
            <v>18-147</v>
          </cell>
          <cell r="F838" t="str">
            <v>Mattress Systems, Alternating-Pressure</v>
          </cell>
          <cell r="G838" t="str">
            <v>WE</v>
          </cell>
          <cell r="H838" t="str">
            <v>RT/ONCO WARD 1 (F)</v>
          </cell>
          <cell r="I838" t="str">
            <v>07WE113</v>
          </cell>
          <cell r="J838" t="str">
            <v>EQUIPMENT ROOM</v>
          </cell>
          <cell r="K838" t="str">
            <v>BMED</v>
          </cell>
          <cell r="L838" t="str">
            <v>Normal</v>
          </cell>
          <cell r="M838" t="str">
            <v>Poland</v>
          </cell>
          <cell r="N838" t="str">
            <v>Nimbus</v>
          </cell>
          <cell r="O838" t="str">
            <v>Nimbus 3</v>
          </cell>
          <cell r="P838" t="str">
            <v>1200006453</v>
          </cell>
          <cell r="Q838" t="str">
            <v>Not Applicable</v>
          </cell>
          <cell r="R838" t="str">
            <v>Arjohuntleigh</v>
          </cell>
          <cell r="S838" t="str">
            <v>Hexamine Sdn. Bhd.</v>
          </cell>
          <cell r="T838" t="str">
            <v>Functioning</v>
          </cell>
          <cell r="U838" t="str">
            <v>Asset</v>
          </cell>
          <cell r="V838">
            <v>28630</v>
          </cell>
          <cell r="W838" t="str">
            <v>KEW</v>
          </cell>
          <cell r="X838" t="str">
            <v>01/09/2010</v>
          </cell>
          <cell r="Y838" t="str">
            <v>KEW</v>
          </cell>
          <cell r="Z838" t="str">
            <v>16/08/2013</v>
          </cell>
          <cell r="AA838" t="str">
            <v>15/08/2015</v>
          </cell>
          <cell r="AB838" t="str">
            <v>No</v>
          </cell>
          <cell r="AC838" t="str">
            <v>31/08/2013</v>
          </cell>
          <cell r="AD838" t="str">
            <v>Good</v>
          </cell>
          <cell r="AE838" t="str">
            <v>V1 - Existing / No Claim</v>
          </cell>
          <cell r="AF838">
            <v>42235</v>
          </cell>
          <cell r="AG838">
            <v>9.17</v>
          </cell>
          <cell r="AH838" t="str">
            <v>PPM</v>
          </cell>
          <cell r="AI838" t="str">
            <v>Strands</v>
          </cell>
          <cell r="AJ838" t="str">
            <v>Strands PW</v>
          </cell>
        </row>
        <row r="839">
          <cell r="A839" t="str">
            <v>IKN400377</v>
          </cell>
          <cell r="B839">
            <v>377</v>
          </cell>
          <cell r="C839" t="str">
            <v>Institut Kanser Negara</v>
          </cell>
          <cell r="D839" t="str">
            <v>KKM/IKN/H/13/2354</v>
          </cell>
          <cell r="E839" t="str">
            <v>18-147</v>
          </cell>
          <cell r="F839" t="str">
            <v>Mattress Systems, Alternating-Pressure</v>
          </cell>
          <cell r="G839" t="str">
            <v>WE</v>
          </cell>
          <cell r="H839" t="str">
            <v>RT/ONCO WARD 1 (F)</v>
          </cell>
          <cell r="I839" t="str">
            <v>07WE113</v>
          </cell>
          <cell r="J839" t="str">
            <v>EQUIPMENT ROOM</v>
          </cell>
          <cell r="K839" t="str">
            <v>BMED</v>
          </cell>
          <cell r="L839" t="str">
            <v>Normal</v>
          </cell>
          <cell r="M839" t="str">
            <v>Poland</v>
          </cell>
          <cell r="N839" t="str">
            <v>Nimbus</v>
          </cell>
          <cell r="O839" t="str">
            <v>Nimbus 3</v>
          </cell>
          <cell r="P839" t="str">
            <v>1200006480</v>
          </cell>
          <cell r="Q839" t="str">
            <v>Not Applicable</v>
          </cell>
          <cell r="R839" t="str">
            <v>Arjohuntleigh</v>
          </cell>
          <cell r="S839" t="str">
            <v>Hexamine Sdn. Bhd.</v>
          </cell>
          <cell r="T839" t="str">
            <v>Functioning</v>
          </cell>
          <cell r="U839" t="str">
            <v>Asset</v>
          </cell>
          <cell r="V839">
            <v>28630</v>
          </cell>
          <cell r="W839" t="str">
            <v>KEW</v>
          </cell>
          <cell r="X839" t="str">
            <v>01/09/2010</v>
          </cell>
          <cell r="Y839" t="str">
            <v>KEW</v>
          </cell>
          <cell r="Z839" t="str">
            <v>16/08/2013</v>
          </cell>
          <cell r="AA839" t="str">
            <v>15/08/2015</v>
          </cell>
          <cell r="AB839" t="str">
            <v>No</v>
          </cell>
          <cell r="AC839" t="str">
            <v>31/08/2013</v>
          </cell>
          <cell r="AD839" t="str">
            <v>Good</v>
          </cell>
          <cell r="AE839" t="str">
            <v>V1 - Existing / No Claim</v>
          </cell>
          <cell r="AF839">
            <v>42235</v>
          </cell>
          <cell r="AG839">
            <v>9.17</v>
          </cell>
          <cell r="AH839" t="str">
            <v>PPM</v>
          </cell>
          <cell r="AI839" t="str">
            <v>Strands</v>
          </cell>
          <cell r="AJ839" t="str">
            <v>Strands PW</v>
          </cell>
        </row>
        <row r="840">
          <cell r="A840" t="str">
            <v>IKN400378</v>
          </cell>
          <cell r="B840">
            <v>378</v>
          </cell>
          <cell r="C840" t="str">
            <v>Institut Kanser Negara</v>
          </cell>
          <cell r="D840" t="str">
            <v>KKM/IKN/H/13/2080</v>
          </cell>
          <cell r="E840" t="str">
            <v>18-147</v>
          </cell>
          <cell r="F840" t="str">
            <v>Mattress Systems, Alternating-Pressure</v>
          </cell>
          <cell r="G840" t="str">
            <v>WE</v>
          </cell>
          <cell r="H840" t="str">
            <v>RT/ONCO WARD 1 (F)</v>
          </cell>
          <cell r="I840" t="str">
            <v>07WE113</v>
          </cell>
          <cell r="J840" t="str">
            <v>EQUIPMENT ROOM</v>
          </cell>
          <cell r="K840" t="str">
            <v>BMED</v>
          </cell>
          <cell r="L840" t="str">
            <v>Normal</v>
          </cell>
          <cell r="M840" t="str">
            <v>Poland</v>
          </cell>
          <cell r="N840" t="str">
            <v>Nimbus</v>
          </cell>
          <cell r="O840" t="str">
            <v>Nimbus 3</v>
          </cell>
          <cell r="P840" t="str">
            <v>1200006449</v>
          </cell>
          <cell r="Q840" t="str">
            <v>Not Applicable</v>
          </cell>
          <cell r="R840" t="str">
            <v>Arjohuntleigh</v>
          </cell>
          <cell r="S840" t="str">
            <v>Hexamine Sdn. Bhd.</v>
          </cell>
          <cell r="T840" t="str">
            <v>Functioning</v>
          </cell>
          <cell r="U840" t="str">
            <v>Asset</v>
          </cell>
          <cell r="V840">
            <v>28630</v>
          </cell>
          <cell r="W840" t="str">
            <v>KEW</v>
          </cell>
          <cell r="X840" t="str">
            <v>01/09/2010</v>
          </cell>
          <cell r="Y840" t="str">
            <v>KEW</v>
          </cell>
          <cell r="Z840" t="str">
            <v>16/08/2013</v>
          </cell>
          <cell r="AA840" t="str">
            <v>15/08/2015</v>
          </cell>
          <cell r="AB840" t="str">
            <v>No</v>
          </cell>
          <cell r="AC840" t="str">
            <v>31/08/2013</v>
          </cell>
          <cell r="AD840" t="str">
            <v>Good</v>
          </cell>
          <cell r="AE840" t="str">
            <v>V1 - Existing / No Claim</v>
          </cell>
          <cell r="AF840">
            <v>42235</v>
          </cell>
          <cell r="AG840">
            <v>9.17</v>
          </cell>
          <cell r="AH840" t="str">
            <v>PPM</v>
          </cell>
          <cell r="AI840" t="str">
            <v>Strands</v>
          </cell>
          <cell r="AJ840" t="str">
            <v>Strands PW</v>
          </cell>
        </row>
        <row r="841">
          <cell r="A841" t="str">
            <v>IKN400379</v>
          </cell>
          <cell r="B841">
            <v>379</v>
          </cell>
          <cell r="C841" t="str">
            <v>Institut Kanser Negara</v>
          </cell>
          <cell r="D841" t="str">
            <v>KKM/IKN/H/13/2079</v>
          </cell>
          <cell r="E841" t="str">
            <v>18-147</v>
          </cell>
          <cell r="F841" t="str">
            <v>Mattress Systems, Alternating-Pressure</v>
          </cell>
          <cell r="G841" t="str">
            <v>WE</v>
          </cell>
          <cell r="H841" t="str">
            <v>RT/ONCO WARD 1 (F)</v>
          </cell>
          <cell r="I841" t="str">
            <v>07WE113</v>
          </cell>
          <cell r="J841" t="str">
            <v>EQUIPMENT ROOM</v>
          </cell>
          <cell r="K841" t="str">
            <v>BMED</v>
          </cell>
          <cell r="L841" t="str">
            <v>Normal</v>
          </cell>
          <cell r="M841" t="str">
            <v>Poland</v>
          </cell>
          <cell r="N841" t="str">
            <v>Nimbus</v>
          </cell>
          <cell r="O841" t="str">
            <v>Nimbus 3</v>
          </cell>
          <cell r="P841" t="str">
            <v>1200006450</v>
          </cell>
          <cell r="Q841" t="str">
            <v>Not Applicable</v>
          </cell>
          <cell r="R841" t="str">
            <v>Arjohuntleigh</v>
          </cell>
          <cell r="S841" t="str">
            <v>Hexamine Sdn. Bhd.</v>
          </cell>
          <cell r="T841" t="str">
            <v>Functioning</v>
          </cell>
          <cell r="U841" t="str">
            <v>Asset</v>
          </cell>
          <cell r="V841">
            <v>28630</v>
          </cell>
          <cell r="W841" t="str">
            <v>KEW</v>
          </cell>
          <cell r="X841" t="str">
            <v>01/09/2010</v>
          </cell>
          <cell r="Y841" t="str">
            <v>KEW</v>
          </cell>
          <cell r="Z841" t="str">
            <v>16/08/2013</v>
          </cell>
          <cell r="AA841" t="str">
            <v>15/08/2015</v>
          </cell>
          <cell r="AB841" t="str">
            <v>No</v>
          </cell>
          <cell r="AC841" t="str">
            <v>31/08/2013</v>
          </cell>
          <cell r="AD841" t="str">
            <v>Good</v>
          </cell>
          <cell r="AE841" t="str">
            <v>V1 - Existing / No Claim</v>
          </cell>
          <cell r="AF841">
            <v>42235</v>
          </cell>
          <cell r="AG841">
            <v>9.17</v>
          </cell>
          <cell r="AH841" t="str">
            <v>PPM</v>
          </cell>
          <cell r="AI841" t="str">
            <v>Strands</v>
          </cell>
          <cell r="AJ841" t="str">
            <v>Strands PW</v>
          </cell>
        </row>
        <row r="842">
          <cell r="A842" t="str">
            <v>IKN400380</v>
          </cell>
          <cell r="B842">
            <v>380</v>
          </cell>
          <cell r="C842" t="str">
            <v>Institut Kanser Negara</v>
          </cell>
          <cell r="D842" t="str">
            <v>KKM/IKN/H/13/2356</v>
          </cell>
          <cell r="E842" t="str">
            <v>18-147</v>
          </cell>
          <cell r="F842" t="str">
            <v>Mattress Systems, Alternating-Pressure</v>
          </cell>
          <cell r="G842" t="str">
            <v>WE</v>
          </cell>
          <cell r="H842" t="str">
            <v>RT/ONCO WARD 1 (F)</v>
          </cell>
          <cell r="I842" t="str">
            <v>07WE113</v>
          </cell>
          <cell r="J842" t="str">
            <v>EQUIPMENT ROOM</v>
          </cell>
          <cell r="K842" t="str">
            <v>BMED</v>
          </cell>
          <cell r="L842" t="str">
            <v>Normal</v>
          </cell>
          <cell r="M842" t="str">
            <v>Poland</v>
          </cell>
          <cell r="N842" t="str">
            <v>Nimbus</v>
          </cell>
          <cell r="O842" t="str">
            <v>Nimbus 3</v>
          </cell>
          <cell r="P842" t="str">
            <v>1200005125</v>
          </cell>
          <cell r="Q842" t="str">
            <v>Not Applicable</v>
          </cell>
          <cell r="R842" t="str">
            <v>Arjohuntleigh</v>
          </cell>
          <cell r="S842" t="str">
            <v>Hexamine Sdn. Bhd.</v>
          </cell>
          <cell r="T842" t="str">
            <v>Functioning</v>
          </cell>
          <cell r="U842" t="str">
            <v>Asset</v>
          </cell>
          <cell r="V842">
            <v>28630</v>
          </cell>
          <cell r="W842" t="str">
            <v>KEW</v>
          </cell>
          <cell r="X842" t="str">
            <v>01/09/2010</v>
          </cell>
          <cell r="Y842" t="str">
            <v>KEW</v>
          </cell>
          <cell r="Z842" t="str">
            <v>16/08/2013</v>
          </cell>
          <cell r="AA842" t="str">
            <v>15/08/2015</v>
          </cell>
          <cell r="AB842" t="str">
            <v>No</v>
          </cell>
          <cell r="AC842" t="str">
            <v>31/08/2013</v>
          </cell>
          <cell r="AD842" t="str">
            <v>Good</v>
          </cell>
          <cell r="AE842" t="str">
            <v>V1 - Existing / No Claim</v>
          </cell>
          <cell r="AF842">
            <v>42235</v>
          </cell>
          <cell r="AG842">
            <v>9.17</v>
          </cell>
          <cell r="AH842" t="str">
            <v>PPM</v>
          </cell>
          <cell r="AI842" t="str">
            <v>Strands</v>
          </cell>
          <cell r="AJ842" t="str">
            <v>Strands PW</v>
          </cell>
        </row>
        <row r="843">
          <cell r="A843" t="str">
            <v>IKN400381</v>
          </cell>
          <cell r="B843">
            <v>381</v>
          </cell>
          <cell r="C843" t="str">
            <v>Institut Kanser Negara</v>
          </cell>
          <cell r="D843" t="str">
            <v>KKM/IKN/H/13/2078</v>
          </cell>
          <cell r="E843" t="str">
            <v>18-147</v>
          </cell>
          <cell r="F843" t="str">
            <v>Mattress Systems, Alternating-Pressure</v>
          </cell>
          <cell r="G843" t="str">
            <v>WE</v>
          </cell>
          <cell r="H843" t="str">
            <v>RT/ONCO WARD 1 (F)</v>
          </cell>
          <cell r="I843" t="str">
            <v>07WE113</v>
          </cell>
          <cell r="J843" t="str">
            <v>EQUIPMENT ROOM</v>
          </cell>
          <cell r="K843" t="str">
            <v>BMED</v>
          </cell>
          <cell r="L843" t="str">
            <v>Normal</v>
          </cell>
          <cell r="M843" t="str">
            <v>Poland</v>
          </cell>
          <cell r="N843" t="str">
            <v>Nimbus</v>
          </cell>
          <cell r="O843" t="str">
            <v>Nimbus 3</v>
          </cell>
          <cell r="P843" t="str">
            <v>1200035113</v>
          </cell>
          <cell r="Q843" t="str">
            <v>Not Applicable</v>
          </cell>
          <cell r="R843" t="str">
            <v>Arjohuntleigh</v>
          </cell>
          <cell r="S843" t="str">
            <v>Hexamine Sdn. Bhd.</v>
          </cell>
          <cell r="T843" t="str">
            <v>Functioning</v>
          </cell>
          <cell r="U843" t="str">
            <v>Asset</v>
          </cell>
          <cell r="V843">
            <v>28630</v>
          </cell>
          <cell r="W843" t="str">
            <v>KEW</v>
          </cell>
          <cell r="X843" t="str">
            <v>01/09/2010</v>
          </cell>
          <cell r="Y843" t="str">
            <v>KEW</v>
          </cell>
          <cell r="Z843" t="str">
            <v>16/08/2013</v>
          </cell>
          <cell r="AA843" t="str">
            <v>15/08/2015</v>
          </cell>
          <cell r="AB843" t="str">
            <v>No</v>
          </cell>
          <cell r="AC843" t="str">
            <v>31/08/2013</v>
          </cell>
          <cell r="AD843" t="str">
            <v>Good</v>
          </cell>
          <cell r="AE843" t="str">
            <v>V1 - Existing / No Claim</v>
          </cell>
          <cell r="AF843">
            <v>42235</v>
          </cell>
          <cell r="AG843">
            <v>9.17</v>
          </cell>
          <cell r="AH843" t="str">
            <v>PPM</v>
          </cell>
          <cell r="AI843" t="str">
            <v>Strands</v>
          </cell>
          <cell r="AJ843" t="str">
            <v>Strands PW</v>
          </cell>
        </row>
        <row r="844">
          <cell r="A844" t="str">
            <v>IKN400382</v>
          </cell>
          <cell r="B844">
            <v>382</v>
          </cell>
          <cell r="C844" t="str">
            <v>Institut Kanser Negara</v>
          </cell>
          <cell r="D844" t="str">
            <v>KKM/IKN/H/13/2357</v>
          </cell>
          <cell r="E844" t="str">
            <v>10-208</v>
          </cell>
          <cell r="F844" t="str">
            <v>Aspirators</v>
          </cell>
          <cell r="G844" t="str">
            <v>WE</v>
          </cell>
          <cell r="H844" t="str">
            <v>RT/ONCO WARD 1 (F)</v>
          </cell>
          <cell r="I844" t="str">
            <v>07WE113</v>
          </cell>
          <cell r="J844" t="str">
            <v>EQUIPMENT ROOM</v>
          </cell>
          <cell r="K844" t="str">
            <v>BMED</v>
          </cell>
          <cell r="L844" t="str">
            <v>Normal</v>
          </cell>
          <cell r="M844" t="str">
            <v>UK</v>
          </cell>
          <cell r="N844" t="str">
            <v>SAM</v>
          </cell>
          <cell r="O844" t="str">
            <v>SAM 427</v>
          </cell>
          <cell r="P844" t="str">
            <v>0313-0537</v>
          </cell>
          <cell r="Q844" t="str">
            <v>Not Applicable</v>
          </cell>
          <cell r="R844" t="str">
            <v>MG Electric Ltd</v>
          </cell>
          <cell r="S844" t="str">
            <v>Delta Medisains</v>
          </cell>
          <cell r="T844" t="str">
            <v>Functioning</v>
          </cell>
          <cell r="U844" t="str">
            <v>Asset</v>
          </cell>
          <cell r="V844">
            <v>10705</v>
          </cell>
          <cell r="W844" t="str">
            <v>KEW</v>
          </cell>
          <cell r="X844" t="str">
            <v>01/09/2010</v>
          </cell>
          <cell r="Y844" t="str">
            <v>KEW</v>
          </cell>
          <cell r="Z844" t="str">
            <v>16/08/2013</v>
          </cell>
          <cell r="AA844" t="str">
            <v>15/08/2015</v>
          </cell>
          <cell r="AB844" t="str">
            <v>No</v>
          </cell>
          <cell r="AC844" t="str">
            <v>31/08/2013</v>
          </cell>
          <cell r="AD844" t="str">
            <v>Good</v>
          </cell>
          <cell r="AE844" t="str">
            <v>V1 - Existing / No Claim</v>
          </cell>
          <cell r="AF844">
            <v>42235</v>
          </cell>
          <cell r="AG844">
            <v>9.17</v>
          </cell>
          <cell r="AH844" t="str">
            <v>PPM</v>
          </cell>
          <cell r="AI844" t="str">
            <v>Strands</v>
          </cell>
          <cell r="AJ844" t="str">
            <v>Strands PW</v>
          </cell>
        </row>
        <row r="845">
          <cell r="A845" t="str">
            <v>IKN400383</v>
          </cell>
          <cell r="B845">
            <v>383</v>
          </cell>
          <cell r="C845" t="str">
            <v>Institut Kanser Negara</v>
          </cell>
          <cell r="D845" t="str">
            <v>KKM/IKN/H/13/2083</v>
          </cell>
          <cell r="E845" t="str">
            <v>17-148</v>
          </cell>
          <cell r="F845" t="str">
            <v>Oximeters, Pulse</v>
          </cell>
          <cell r="G845" t="str">
            <v>WE</v>
          </cell>
          <cell r="H845" t="str">
            <v>RT/ONCO WARD 1 (F)</v>
          </cell>
          <cell r="I845" t="str">
            <v>07WE113</v>
          </cell>
          <cell r="J845" t="str">
            <v>EQUIPMENT ROOM</v>
          </cell>
          <cell r="K845" t="str">
            <v>BMED</v>
          </cell>
          <cell r="L845" t="str">
            <v>Normal</v>
          </cell>
          <cell r="M845" t="str">
            <v>USA</v>
          </cell>
          <cell r="N845" t="str">
            <v>PalmSat</v>
          </cell>
          <cell r="O845" t="str">
            <v>PalmSat 2500</v>
          </cell>
          <cell r="P845" t="str">
            <v>501439272</v>
          </cell>
          <cell r="Q845" t="str">
            <v>Not Applicable</v>
          </cell>
          <cell r="R845" t="str">
            <v>Nonin Medical Inc</v>
          </cell>
          <cell r="S845" t="str">
            <v>Acucare Systems (M) Sdn bhd</v>
          </cell>
          <cell r="T845" t="str">
            <v>Functioning</v>
          </cell>
          <cell r="U845" t="str">
            <v>Asset</v>
          </cell>
          <cell r="V845">
            <v>5410</v>
          </cell>
          <cell r="W845" t="str">
            <v>KEW</v>
          </cell>
          <cell r="X845" t="str">
            <v>01/09/2010</v>
          </cell>
          <cell r="Y845" t="str">
            <v>KEW</v>
          </cell>
          <cell r="Z845" t="str">
            <v>16/08/2013</v>
          </cell>
          <cell r="AA845" t="str">
            <v>15/08/2015</v>
          </cell>
          <cell r="AB845" t="str">
            <v>No</v>
          </cell>
          <cell r="AC845" t="str">
            <v>31/08/2013</v>
          </cell>
          <cell r="AD845" t="str">
            <v>Good</v>
          </cell>
          <cell r="AE845" t="str">
            <v>V1 - Existing / No Claim</v>
          </cell>
          <cell r="AF845">
            <v>42235</v>
          </cell>
          <cell r="AG845">
            <v>9.17</v>
          </cell>
          <cell r="AH845" t="str">
            <v>PPM</v>
          </cell>
          <cell r="AI845" t="str">
            <v>Strands</v>
          </cell>
          <cell r="AJ845" t="str">
            <v>Strands PW</v>
          </cell>
        </row>
        <row r="846">
          <cell r="A846" t="str">
            <v>IKN400384</v>
          </cell>
          <cell r="B846">
            <v>384</v>
          </cell>
          <cell r="C846" t="str">
            <v>Institut Kanser Negara</v>
          </cell>
          <cell r="D846" t="str">
            <v>KKM/IKN/H/13/2082</v>
          </cell>
          <cell r="E846" t="str">
            <v>17-148</v>
          </cell>
          <cell r="F846" t="str">
            <v>Oximeters, Pulse</v>
          </cell>
          <cell r="G846" t="str">
            <v>WE</v>
          </cell>
          <cell r="H846" t="str">
            <v>RT/ONCO WARD 1 (F)</v>
          </cell>
          <cell r="I846" t="str">
            <v>07WE113</v>
          </cell>
          <cell r="J846" t="str">
            <v>EQUIPMENT ROOM</v>
          </cell>
          <cell r="K846" t="str">
            <v>BMED</v>
          </cell>
          <cell r="L846" t="str">
            <v>Normal</v>
          </cell>
          <cell r="M846" t="str">
            <v>USA</v>
          </cell>
          <cell r="N846" t="str">
            <v>PalmSat</v>
          </cell>
          <cell r="O846" t="str">
            <v>PalmSat 2500</v>
          </cell>
          <cell r="P846" t="str">
            <v>501442062</v>
          </cell>
          <cell r="Q846" t="str">
            <v>Not Applicable</v>
          </cell>
          <cell r="R846" t="str">
            <v>Nonin Medical Inc</v>
          </cell>
          <cell r="S846" t="str">
            <v>Acucare Systems (M) Sdn bhd</v>
          </cell>
          <cell r="T846" t="str">
            <v>Functioning</v>
          </cell>
          <cell r="U846" t="str">
            <v>Asset</v>
          </cell>
          <cell r="V846">
            <v>5410</v>
          </cell>
          <cell r="W846" t="str">
            <v>KEW</v>
          </cell>
          <cell r="X846" t="str">
            <v>01/09/2010</v>
          </cell>
          <cell r="Y846" t="str">
            <v>KEW</v>
          </cell>
          <cell r="Z846" t="str">
            <v>16/08/2013</v>
          </cell>
          <cell r="AA846" t="str">
            <v>15/08/2015</v>
          </cell>
          <cell r="AB846" t="str">
            <v>No</v>
          </cell>
          <cell r="AC846" t="str">
            <v>31/08/2013</v>
          </cell>
          <cell r="AD846" t="str">
            <v>Good</v>
          </cell>
          <cell r="AE846" t="str">
            <v>V1 - Existing / No Claim</v>
          </cell>
          <cell r="AF846">
            <v>42235</v>
          </cell>
          <cell r="AG846">
            <v>9.17</v>
          </cell>
          <cell r="AH846" t="str">
            <v>PPM</v>
          </cell>
          <cell r="AI846" t="str">
            <v>Strands</v>
          </cell>
          <cell r="AJ846" t="str">
            <v>Strands PW</v>
          </cell>
        </row>
        <row r="847">
          <cell r="A847" t="str">
            <v>IKN400385</v>
          </cell>
          <cell r="B847">
            <v>385</v>
          </cell>
          <cell r="C847" t="str">
            <v>Institut Kanser Negara</v>
          </cell>
          <cell r="D847" t="str">
            <v>KKM/IKN/H/13/2084</v>
          </cell>
          <cell r="E847" t="str">
            <v>12-647</v>
          </cell>
          <cell r="F847" t="str">
            <v>Physiologic Monitoring Systems, Acute Care</v>
          </cell>
          <cell r="G847" t="str">
            <v>WE</v>
          </cell>
          <cell r="H847" t="str">
            <v>RT/ONCO WARD 1 (F)</v>
          </cell>
          <cell r="I847" t="str">
            <v>07WE113</v>
          </cell>
          <cell r="J847" t="str">
            <v>EQUIPMENT ROOM</v>
          </cell>
          <cell r="K847" t="str">
            <v>BMED</v>
          </cell>
          <cell r="L847" t="str">
            <v>Critical</v>
          </cell>
          <cell r="M847" t="str">
            <v>USA</v>
          </cell>
          <cell r="N847" t="str">
            <v>GE</v>
          </cell>
          <cell r="O847" t="str">
            <v>GE B30</v>
          </cell>
          <cell r="P847" t="str">
            <v>SF312325908WA</v>
          </cell>
          <cell r="Q847" t="str">
            <v>Not Applicable</v>
          </cell>
          <cell r="R847" t="str">
            <v>GE Healthcare Systems</v>
          </cell>
          <cell r="S847" t="str">
            <v>GE Healthcare Technologies</v>
          </cell>
          <cell r="T847" t="str">
            <v>Functioning</v>
          </cell>
          <cell r="U847" t="str">
            <v>Asset</v>
          </cell>
          <cell r="V847">
            <v>44510</v>
          </cell>
          <cell r="W847" t="str">
            <v>KEW</v>
          </cell>
          <cell r="X847" t="str">
            <v>01/09/2010</v>
          </cell>
          <cell r="Y847" t="str">
            <v>KEW</v>
          </cell>
          <cell r="Z847" t="str">
            <v>16/08/2013</v>
          </cell>
          <cell r="AA847" t="str">
            <v>15/08/2015</v>
          </cell>
          <cell r="AB847" t="str">
            <v>No</v>
          </cell>
          <cell r="AC847" t="str">
            <v>31/08/2013</v>
          </cell>
          <cell r="AD847" t="str">
            <v>Good</v>
          </cell>
          <cell r="AE847" t="str">
            <v>V1 - Existing / No Claim</v>
          </cell>
          <cell r="AF847">
            <v>42789</v>
          </cell>
          <cell r="AG847">
            <v>9.17</v>
          </cell>
          <cell r="AH847" t="str">
            <v>PPM</v>
          </cell>
          <cell r="AI847" t="str">
            <v>Strands</v>
          </cell>
          <cell r="AJ847" t="str">
            <v>Strands PW</v>
          </cell>
        </row>
        <row r="848">
          <cell r="A848" t="str">
            <v>IKN400386</v>
          </cell>
          <cell r="B848">
            <v>386</v>
          </cell>
          <cell r="C848" t="str">
            <v>Institut Kanser Negara</v>
          </cell>
          <cell r="D848" t="str">
            <v>KKM/IKN/H/13/2086</v>
          </cell>
          <cell r="E848" t="str">
            <v>12-647</v>
          </cell>
          <cell r="F848" t="str">
            <v>Physiologic Monitoring Systems, Acute Care</v>
          </cell>
          <cell r="G848" t="str">
            <v>WE</v>
          </cell>
          <cell r="H848" t="str">
            <v>RT/ONCO WARD 1 (F)</v>
          </cell>
          <cell r="I848" t="str">
            <v>07WE113</v>
          </cell>
          <cell r="J848" t="str">
            <v>EQUIPMENT ROOM</v>
          </cell>
          <cell r="K848" t="str">
            <v>BMED</v>
          </cell>
          <cell r="L848" t="str">
            <v>Critical</v>
          </cell>
          <cell r="M848" t="str">
            <v>USA</v>
          </cell>
          <cell r="N848" t="str">
            <v>GE</v>
          </cell>
          <cell r="O848" t="str">
            <v>GE B30</v>
          </cell>
          <cell r="P848" t="str">
            <v>SF312325900WA</v>
          </cell>
          <cell r="Q848" t="str">
            <v>Not Applicable</v>
          </cell>
          <cell r="R848" t="str">
            <v>GE Healthcare Systems</v>
          </cell>
          <cell r="S848" t="str">
            <v>GE Healthcare Technologies</v>
          </cell>
          <cell r="T848" t="str">
            <v>Functioning</v>
          </cell>
          <cell r="U848" t="str">
            <v>Asset</v>
          </cell>
          <cell r="V848">
            <v>44510</v>
          </cell>
          <cell r="W848" t="str">
            <v>KEW</v>
          </cell>
          <cell r="X848" t="str">
            <v>01/09/2010</v>
          </cell>
          <cell r="Y848" t="str">
            <v>KEW</v>
          </cell>
          <cell r="Z848" t="str">
            <v>16/08/2013</v>
          </cell>
          <cell r="AA848" t="str">
            <v>15/08/2015</v>
          </cell>
          <cell r="AB848" t="str">
            <v>No</v>
          </cell>
          <cell r="AC848" t="str">
            <v>31/08/2013</v>
          </cell>
          <cell r="AD848" t="str">
            <v>Good</v>
          </cell>
          <cell r="AE848" t="str">
            <v>V1 - Existing / No Claim</v>
          </cell>
          <cell r="AF848">
            <v>42789</v>
          </cell>
          <cell r="AG848">
            <v>9.17</v>
          </cell>
          <cell r="AH848" t="str">
            <v>PPM</v>
          </cell>
          <cell r="AI848" t="str">
            <v>Strands</v>
          </cell>
          <cell r="AJ848" t="str">
            <v>Strands PW</v>
          </cell>
        </row>
        <row r="849">
          <cell r="A849" t="str">
            <v>IKN400387</v>
          </cell>
          <cell r="B849">
            <v>387</v>
          </cell>
          <cell r="C849" t="str">
            <v>Institut Kanser Negara</v>
          </cell>
          <cell r="D849" t="str">
            <v>KKM/IKN/H/13/2114</v>
          </cell>
          <cell r="E849" t="str">
            <v>16-173</v>
          </cell>
          <cell r="F849" t="str">
            <v>Sphygmomanometers, Electronic, Automatic</v>
          </cell>
          <cell r="G849" t="str">
            <v>WE</v>
          </cell>
          <cell r="H849" t="str">
            <v>RT/ONCO WARD 1 (F)</v>
          </cell>
          <cell r="I849" t="str">
            <v>07WE143</v>
          </cell>
          <cell r="J849" t="str">
            <v>NURSE STATION</v>
          </cell>
          <cell r="K849" t="str">
            <v>BMED</v>
          </cell>
          <cell r="L849" t="str">
            <v>Critical</v>
          </cell>
          <cell r="M849" t="str">
            <v>USA</v>
          </cell>
          <cell r="N849" t="str">
            <v>Connex</v>
          </cell>
          <cell r="O849" t="str">
            <v>Connex ProBP 3400</v>
          </cell>
          <cell r="P849" t="str">
            <v>100001440613</v>
          </cell>
          <cell r="Q849" t="str">
            <v>Not Applicable</v>
          </cell>
          <cell r="R849" t="str">
            <v>Welch Allyn Inc</v>
          </cell>
          <cell r="S849" t="str">
            <v>Welch Allyn Malaysia Sdn Bhd</v>
          </cell>
          <cell r="T849" t="str">
            <v>Functioning</v>
          </cell>
          <cell r="U849" t="str">
            <v>Asset</v>
          </cell>
          <cell r="V849">
            <v>4510</v>
          </cell>
          <cell r="W849" t="str">
            <v>KEW</v>
          </cell>
          <cell r="X849" t="str">
            <v>01/09/2010</v>
          </cell>
          <cell r="Y849" t="str">
            <v>KEW</v>
          </cell>
          <cell r="Z849" t="str">
            <v>16/08/2013</v>
          </cell>
          <cell r="AA849" t="str">
            <v>15/08/2015</v>
          </cell>
          <cell r="AB849" t="str">
            <v>No</v>
          </cell>
          <cell r="AC849" t="str">
            <v>31/08/2013</v>
          </cell>
          <cell r="AD849" t="str">
            <v>Good</v>
          </cell>
          <cell r="AE849" t="str">
            <v>V1 - Existing / No Claim</v>
          </cell>
          <cell r="AF849">
            <v>42789</v>
          </cell>
          <cell r="AG849">
            <v>9.17</v>
          </cell>
          <cell r="AH849" t="str">
            <v>PPM</v>
          </cell>
          <cell r="AI849" t="str">
            <v>Strands</v>
          </cell>
          <cell r="AJ849" t="str">
            <v>Strands PW</v>
          </cell>
        </row>
        <row r="850">
          <cell r="A850" t="str">
            <v>IKN400389</v>
          </cell>
          <cell r="B850">
            <v>389</v>
          </cell>
          <cell r="C850" t="str">
            <v>Institut Kanser Negara</v>
          </cell>
          <cell r="D850" t="str">
            <v>KKM/IKN/H/13/2113</v>
          </cell>
          <cell r="E850" t="str">
            <v>16-173</v>
          </cell>
          <cell r="F850" t="str">
            <v>Sphygmomanometers, Electronic, Automatic</v>
          </cell>
          <cell r="G850" t="str">
            <v>WE</v>
          </cell>
          <cell r="H850" t="str">
            <v>RT/ONCO WARD 1 (F)</v>
          </cell>
          <cell r="I850" t="str">
            <v>07WE143</v>
          </cell>
          <cell r="J850" t="str">
            <v>NURSE STATION</v>
          </cell>
          <cell r="K850" t="str">
            <v>BMED</v>
          </cell>
          <cell r="L850" t="str">
            <v>Normal</v>
          </cell>
          <cell r="M850" t="str">
            <v>USA</v>
          </cell>
          <cell r="N850" t="str">
            <v>Connex</v>
          </cell>
          <cell r="O850" t="str">
            <v>Connex ProBP 3400</v>
          </cell>
          <cell r="P850" t="str">
            <v>100001720613</v>
          </cell>
          <cell r="Q850" t="str">
            <v>Not Applicable</v>
          </cell>
          <cell r="R850" t="str">
            <v>Welch Allyn Inc</v>
          </cell>
          <cell r="S850" t="str">
            <v>Welch Allyn Malaysia Sdn Bhd</v>
          </cell>
          <cell r="T850" t="str">
            <v>Functioning</v>
          </cell>
          <cell r="U850" t="str">
            <v>Asset</v>
          </cell>
          <cell r="V850">
            <v>4510</v>
          </cell>
          <cell r="W850" t="str">
            <v>KEW</v>
          </cell>
          <cell r="X850" t="str">
            <v>01/09/2010</v>
          </cell>
          <cell r="Y850" t="str">
            <v>KEW</v>
          </cell>
          <cell r="Z850" t="str">
            <v>16/08/2013</v>
          </cell>
          <cell r="AA850" t="str">
            <v>15/08/2015</v>
          </cell>
          <cell r="AB850" t="str">
            <v>No</v>
          </cell>
          <cell r="AC850" t="str">
            <v>31/08/2013</v>
          </cell>
          <cell r="AD850" t="str">
            <v>Good</v>
          </cell>
          <cell r="AE850" t="str">
            <v>V1 - Existing / No Claim</v>
          </cell>
          <cell r="AF850">
            <v>42235</v>
          </cell>
          <cell r="AG850">
            <v>9.17</v>
          </cell>
          <cell r="AH850" t="str">
            <v>PPM</v>
          </cell>
          <cell r="AI850" t="str">
            <v>Strands</v>
          </cell>
          <cell r="AJ850" t="str">
            <v>Strands PW</v>
          </cell>
        </row>
        <row r="851">
          <cell r="A851" t="str">
            <v>IKN400390</v>
          </cell>
          <cell r="B851">
            <v>390</v>
          </cell>
          <cell r="C851" t="str">
            <v>Institut Kanser Negara</v>
          </cell>
          <cell r="D851" t="str">
            <v>KKM/IKN/H/13/2095</v>
          </cell>
          <cell r="E851" t="str">
            <v>25-209</v>
          </cell>
          <cell r="F851" t="str">
            <v>Monitors, Physiologic, Vital Signs</v>
          </cell>
          <cell r="G851" t="str">
            <v>WE</v>
          </cell>
          <cell r="H851" t="str">
            <v>RT/ONCO WARD 1 (F)</v>
          </cell>
          <cell r="I851" t="str">
            <v>07WE143</v>
          </cell>
          <cell r="J851" t="str">
            <v>NURSE STATION</v>
          </cell>
          <cell r="K851" t="str">
            <v>BMED</v>
          </cell>
          <cell r="L851" t="str">
            <v>Critical</v>
          </cell>
          <cell r="M851" t="str">
            <v>Mexico</v>
          </cell>
          <cell r="N851" t="str">
            <v>Carespace</v>
          </cell>
          <cell r="O851" t="str">
            <v>Carescape V100</v>
          </cell>
          <cell r="P851" t="str">
            <v>SH613280315SA</v>
          </cell>
          <cell r="Q851" t="str">
            <v>Not Applicable</v>
          </cell>
          <cell r="R851" t="str">
            <v>GE Healthcare Systems</v>
          </cell>
          <cell r="S851" t="str">
            <v>GE Healthcare Technologies</v>
          </cell>
          <cell r="T851" t="str">
            <v>Functioning</v>
          </cell>
          <cell r="U851" t="str">
            <v>Asset</v>
          </cell>
          <cell r="V851">
            <v>18765</v>
          </cell>
          <cell r="W851" t="str">
            <v>KEW</v>
          </cell>
          <cell r="X851" t="str">
            <v>01/09/2010</v>
          </cell>
          <cell r="Y851" t="str">
            <v>KEW</v>
          </cell>
          <cell r="Z851" t="str">
            <v>16/08/2013</v>
          </cell>
          <cell r="AA851" t="str">
            <v>15/08/2015</v>
          </cell>
          <cell r="AB851" t="str">
            <v>No</v>
          </cell>
          <cell r="AC851" t="str">
            <v>31/08/2013</v>
          </cell>
          <cell r="AD851" t="str">
            <v>Good</v>
          </cell>
          <cell r="AE851" t="str">
            <v>V1 - Existing / No Claim</v>
          </cell>
          <cell r="AF851">
            <v>42790</v>
          </cell>
          <cell r="AG851">
            <v>9.17</v>
          </cell>
          <cell r="AH851" t="str">
            <v>PPM</v>
          </cell>
          <cell r="AI851" t="str">
            <v>Strands</v>
          </cell>
          <cell r="AJ851" t="str">
            <v>Strands PW</v>
          </cell>
        </row>
        <row r="852">
          <cell r="A852" t="str">
            <v>IKN400392</v>
          </cell>
          <cell r="B852">
            <v>392</v>
          </cell>
          <cell r="C852" t="str">
            <v>Institut Kanser Negara</v>
          </cell>
          <cell r="D852" t="str">
            <v>KKM/IKN/H/13/2092</v>
          </cell>
          <cell r="E852" t="str">
            <v>11-134</v>
          </cell>
          <cell r="F852" t="str">
            <v>Defibrillators, External, Manual</v>
          </cell>
          <cell r="G852" t="str">
            <v>WE</v>
          </cell>
          <cell r="H852" t="str">
            <v>RT/ONCO WARD 1 (F)</v>
          </cell>
          <cell r="I852" t="str">
            <v>07WE133</v>
          </cell>
          <cell r="J852" t="str">
            <v>RESUS EQ. BAY</v>
          </cell>
          <cell r="K852" t="str">
            <v>BMED</v>
          </cell>
          <cell r="L852" t="str">
            <v>Critical</v>
          </cell>
          <cell r="M852" t="str">
            <v>USA</v>
          </cell>
          <cell r="N852" t="str">
            <v>Responder</v>
          </cell>
          <cell r="O852" t="str">
            <v>Responder 2000</v>
          </cell>
          <cell r="P852" t="str">
            <v>3206735</v>
          </cell>
          <cell r="Q852" t="str">
            <v>Not Applicable</v>
          </cell>
          <cell r="R852" t="str">
            <v>GE Medical Systems</v>
          </cell>
          <cell r="S852" t="str">
            <v>Antah Sir Radin Sdn. Bhd.</v>
          </cell>
          <cell r="T852" t="str">
            <v>Functioning</v>
          </cell>
          <cell r="U852" t="str">
            <v>Asset</v>
          </cell>
          <cell r="V852">
            <v>45000</v>
          </cell>
          <cell r="W852" t="str">
            <v>Estimate</v>
          </cell>
          <cell r="X852" t="str">
            <v>01/09/2010</v>
          </cell>
          <cell r="Y852" t="str">
            <v>KEW</v>
          </cell>
          <cell r="Z852" t="str">
            <v>16/08/2013</v>
          </cell>
          <cell r="AA852" t="str">
            <v>15/08/2015</v>
          </cell>
          <cell r="AB852" t="str">
            <v>No</v>
          </cell>
          <cell r="AC852" t="str">
            <v>31/08/2013</v>
          </cell>
          <cell r="AD852" t="str">
            <v>Good</v>
          </cell>
          <cell r="AE852" t="str">
            <v>V1 - Existing / No Claim</v>
          </cell>
          <cell r="AF852">
            <v>42789</v>
          </cell>
          <cell r="AG852">
            <v>9.17</v>
          </cell>
          <cell r="AH852" t="str">
            <v>PPM</v>
          </cell>
          <cell r="AI852" t="str">
            <v>Strands</v>
          </cell>
          <cell r="AJ852" t="str">
            <v>Strands PW</v>
          </cell>
        </row>
        <row r="853">
          <cell r="A853" t="str">
            <v>IKN400397</v>
          </cell>
          <cell r="B853">
            <v>397</v>
          </cell>
          <cell r="C853" t="str">
            <v>Institut Kanser Negara</v>
          </cell>
          <cell r="D853" t="str">
            <v>KKM/IKN/H/13/3641</v>
          </cell>
          <cell r="E853" t="str">
            <v>11-134</v>
          </cell>
          <cell r="F853" t="str">
            <v>Defibrillators, External, Manual</v>
          </cell>
          <cell r="G853" t="str">
            <v>WD</v>
          </cell>
          <cell r="H853" t="str">
            <v>RT/ONCO PAED/ADOLESCENT WARD</v>
          </cell>
          <cell r="I853" t="str">
            <v>06WD145</v>
          </cell>
          <cell r="J853" t="str">
            <v>RESUS. EQUIP. BAY</v>
          </cell>
          <cell r="K853" t="str">
            <v>BMED</v>
          </cell>
          <cell r="L853" t="str">
            <v>Critical</v>
          </cell>
          <cell r="M853" t="str">
            <v>USA</v>
          </cell>
          <cell r="N853" t="str">
            <v>Responder</v>
          </cell>
          <cell r="O853" t="str">
            <v>Responder 2000</v>
          </cell>
          <cell r="P853" t="str">
            <v>3206726</v>
          </cell>
          <cell r="Q853" t="str">
            <v>Not Applicable</v>
          </cell>
          <cell r="R853" t="str">
            <v>GE Medical Systems</v>
          </cell>
          <cell r="S853" t="str">
            <v>Antah Sir Radin Sdn. Bhd.</v>
          </cell>
          <cell r="T853" t="str">
            <v>Functioning</v>
          </cell>
          <cell r="U853" t="str">
            <v>Asset</v>
          </cell>
          <cell r="V853">
            <v>45000</v>
          </cell>
          <cell r="W853" t="str">
            <v>Estimate</v>
          </cell>
          <cell r="X853" t="str">
            <v>01/09/2010</v>
          </cell>
          <cell r="Y853" t="str">
            <v>KEW</v>
          </cell>
          <cell r="Z853" t="str">
            <v>16/08/2013</v>
          </cell>
          <cell r="AA853" t="str">
            <v>15/08/2015</v>
          </cell>
          <cell r="AB853" t="str">
            <v>No</v>
          </cell>
          <cell r="AC853" t="str">
            <v>31/08/2013</v>
          </cell>
          <cell r="AD853" t="str">
            <v>Good</v>
          </cell>
          <cell r="AE853" t="str">
            <v>V1 - Existing / No Claim</v>
          </cell>
          <cell r="AF853">
            <v>42601</v>
          </cell>
          <cell r="AG853">
            <v>9.17</v>
          </cell>
          <cell r="AH853" t="str">
            <v>PPM</v>
          </cell>
          <cell r="AI853" t="str">
            <v>Strands</v>
          </cell>
          <cell r="AJ853" t="str">
            <v>Strands PW</v>
          </cell>
        </row>
        <row r="854">
          <cell r="A854" t="str">
            <v>IKN400398</v>
          </cell>
          <cell r="B854">
            <v>398</v>
          </cell>
          <cell r="C854" t="str">
            <v>Institut Kanser Negara</v>
          </cell>
          <cell r="D854" t="str">
            <v>KKM/IKN/H/13/4745</v>
          </cell>
          <cell r="E854" t="str">
            <v>12-282</v>
          </cell>
          <cell r="F854" t="str">
            <v>Lights, Surgical</v>
          </cell>
          <cell r="G854" t="str">
            <v>WD</v>
          </cell>
          <cell r="H854" t="str">
            <v>RT/ONCO PAED/ADOLESCENT WARD</v>
          </cell>
          <cell r="I854" t="str">
            <v>06WD153</v>
          </cell>
          <cell r="J854" t="str">
            <v>EQP.ROOM</v>
          </cell>
          <cell r="K854" t="str">
            <v>BMED</v>
          </cell>
          <cell r="L854" t="str">
            <v>Normal</v>
          </cell>
          <cell r="M854" t="str">
            <v>USA</v>
          </cell>
          <cell r="N854" t="str">
            <v>Welch Allyn</v>
          </cell>
          <cell r="O854" t="str">
            <v>Welch Allyn GS600</v>
          </cell>
          <cell r="P854" t="str">
            <v>GS-600-37</v>
          </cell>
          <cell r="Q854" t="str">
            <v>Not Applicable</v>
          </cell>
          <cell r="R854" t="str">
            <v>Welch Allyn Inc</v>
          </cell>
          <cell r="S854" t="str">
            <v>Welch Allyn Malaysia Sdn Bhd</v>
          </cell>
          <cell r="T854" t="str">
            <v>Functioning</v>
          </cell>
          <cell r="U854" t="str">
            <v>Asset</v>
          </cell>
          <cell r="V854">
            <v>5050</v>
          </cell>
          <cell r="W854" t="str">
            <v>KEW</v>
          </cell>
          <cell r="X854" t="str">
            <v>01/09/2010</v>
          </cell>
          <cell r="Y854" t="str">
            <v>KEW</v>
          </cell>
          <cell r="Z854" t="str">
            <v>16/08/2013</v>
          </cell>
          <cell r="AA854" t="str">
            <v>15/08/2015</v>
          </cell>
          <cell r="AB854" t="str">
            <v>No</v>
          </cell>
          <cell r="AC854" t="str">
            <v>31/08/2013</v>
          </cell>
          <cell r="AD854" t="str">
            <v>Good</v>
          </cell>
          <cell r="AE854" t="str">
            <v>V1 - Existing / No Claim</v>
          </cell>
          <cell r="AF854">
            <v>42235</v>
          </cell>
          <cell r="AG854">
            <v>9.17</v>
          </cell>
          <cell r="AH854" t="str">
            <v>PPM</v>
          </cell>
          <cell r="AI854" t="str">
            <v>Strands</v>
          </cell>
          <cell r="AJ854" t="str">
            <v>Strands PW</v>
          </cell>
        </row>
        <row r="855">
          <cell r="A855" t="str">
            <v>IKN400399</v>
          </cell>
          <cell r="B855">
            <v>399</v>
          </cell>
          <cell r="C855" t="str">
            <v>Institut Kanser Negara</v>
          </cell>
          <cell r="D855" t="str">
            <v>KKM/IKN/H/13/2165</v>
          </cell>
          <cell r="E855" t="str">
            <v>12-282</v>
          </cell>
          <cell r="F855" t="str">
            <v>Lights, Surgical</v>
          </cell>
          <cell r="G855" t="str">
            <v>WD</v>
          </cell>
          <cell r="H855" t="str">
            <v>RT/ONCO PAED/ADOLESCENT WARD</v>
          </cell>
          <cell r="I855" t="str">
            <v>06WD153</v>
          </cell>
          <cell r="J855" t="str">
            <v>EQP.ROOM</v>
          </cell>
          <cell r="K855" t="str">
            <v>BMED</v>
          </cell>
          <cell r="L855" t="str">
            <v>Normal</v>
          </cell>
          <cell r="M855" t="str">
            <v>USA</v>
          </cell>
          <cell r="N855" t="str">
            <v>Welch Allyn</v>
          </cell>
          <cell r="O855" t="str">
            <v>Welch Allyn GS600</v>
          </cell>
          <cell r="P855" t="str">
            <v>GS-600-46</v>
          </cell>
          <cell r="Q855" t="str">
            <v>Not Applicable</v>
          </cell>
          <cell r="R855" t="str">
            <v>Welch Allyn Inc</v>
          </cell>
          <cell r="S855" t="str">
            <v>Welch Allyn Malaysia Sdn Bhd</v>
          </cell>
          <cell r="T855" t="str">
            <v>Functioning</v>
          </cell>
          <cell r="U855" t="str">
            <v>Asset</v>
          </cell>
          <cell r="V855">
            <v>5050</v>
          </cell>
          <cell r="W855" t="str">
            <v>KEW</v>
          </cell>
          <cell r="X855" t="str">
            <v>01/09/2010</v>
          </cell>
          <cell r="Y855" t="str">
            <v>KEW</v>
          </cell>
          <cell r="Z855" t="str">
            <v>16/08/2013</v>
          </cell>
          <cell r="AA855" t="str">
            <v>15/08/2015</v>
          </cell>
          <cell r="AB855" t="str">
            <v>No</v>
          </cell>
          <cell r="AC855" t="str">
            <v>31/08/2013</v>
          </cell>
          <cell r="AD855" t="str">
            <v>Good</v>
          </cell>
          <cell r="AE855" t="str">
            <v>V1 - Existing / No Claim</v>
          </cell>
          <cell r="AF855">
            <v>42235</v>
          </cell>
          <cell r="AG855">
            <v>9.17</v>
          </cell>
          <cell r="AH855" t="str">
            <v>PPM</v>
          </cell>
          <cell r="AI855" t="str">
            <v>Strands</v>
          </cell>
          <cell r="AJ855" t="str">
            <v>Strands PW</v>
          </cell>
        </row>
        <row r="856">
          <cell r="A856" t="str">
            <v>IKN400400</v>
          </cell>
          <cell r="B856">
            <v>400</v>
          </cell>
          <cell r="C856" t="str">
            <v>Institut Kanser Negara</v>
          </cell>
          <cell r="D856" t="str">
            <v>KKM/IKN/H/13/2166</v>
          </cell>
          <cell r="E856" t="str">
            <v>15-045</v>
          </cell>
          <cell r="F856" t="str">
            <v>Nebulizers, Nonheated</v>
          </cell>
          <cell r="G856" t="str">
            <v>WD</v>
          </cell>
          <cell r="H856" t="str">
            <v>RT/ONCO PAED/ADOLESCENT WARD</v>
          </cell>
          <cell r="I856" t="str">
            <v>06WD153</v>
          </cell>
          <cell r="J856" t="str">
            <v>EQP.ROOM</v>
          </cell>
          <cell r="K856" t="str">
            <v>BMED</v>
          </cell>
          <cell r="L856" t="str">
            <v>Normal</v>
          </cell>
          <cell r="M856" t="str">
            <v>Germany</v>
          </cell>
          <cell r="N856" t="str">
            <v>Pari Boy</v>
          </cell>
          <cell r="O856" t="str">
            <v>Pari Boy SX 085</v>
          </cell>
          <cell r="P856" t="str">
            <v>2W12F13819</v>
          </cell>
          <cell r="Q856" t="str">
            <v>Not Applicable</v>
          </cell>
          <cell r="R856" t="str">
            <v>Pari GmbH</v>
          </cell>
          <cell r="S856" t="str">
            <v>Welch Allyn Malaysia Sdn Bhd</v>
          </cell>
          <cell r="T856" t="str">
            <v>Functioning</v>
          </cell>
          <cell r="U856" t="str">
            <v>Asset</v>
          </cell>
          <cell r="V856">
            <v>1140</v>
          </cell>
          <cell r="W856" t="str">
            <v>KEW</v>
          </cell>
          <cell r="X856" t="str">
            <v>01/09/2010</v>
          </cell>
          <cell r="Y856" t="str">
            <v>KEW</v>
          </cell>
          <cell r="Z856" t="str">
            <v>16/08/2013</v>
          </cell>
          <cell r="AA856" t="str">
            <v>15/08/2015</v>
          </cell>
          <cell r="AB856" t="str">
            <v>No</v>
          </cell>
          <cell r="AC856" t="str">
            <v>31/08/2013</v>
          </cell>
          <cell r="AD856" t="str">
            <v>Good</v>
          </cell>
          <cell r="AE856" t="str">
            <v>V1 - Existing / No Claim</v>
          </cell>
          <cell r="AF856">
            <v>42235</v>
          </cell>
          <cell r="AG856">
            <v>9.17</v>
          </cell>
          <cell r="AH856" t="str">
            <v>PPM</v>
          </cell>
          <cell r="AI856" t="str">
            <v>Strands</v>
          </cell>
          <cell r="AJ856" t="str">
            <v>Strands PW</v>
          </cell>
        </row>
        <row r="857">
          <cell r="A857" t="str">
            <v>IKN400401</v>
          </cell>
          <cell r="B857">
            <v>401</v>
          </cell>
          <cell r="C857" t="str">
            <v>Institut Kanser Negara</v>
          </cell>
          <cell r="D857" t="str">
            <v>KKM/IKN/H/13/2167</v>
          </cell>
          <cell r="E857" t="str">
            <v>15-045</v>
          </cell>
          <cell r="F857" t="str">
            <v>Nebulizers, Nonheated</v>
          </cell>
          <cell r="G857" t="str">
            <v>WD</v>
          </cell>
          <cell r="H857" t="str">
            <v>RT/ONCO PAED/ADOLESCENT WARD</v>
          </cell>
          <cell r="I857" t="str">
            <v>06WD153</v>
          </cell>
          <cell r="J857" t="str">
            <v>EQP.ROOM</v>
          </cell>
          <cell r="K857" t="str">
            <v>BMED</v>
          </cell>
          <cell r="L857" t="str">
            <v>Normal</v>
          </cell>
          <cell r="M857" t="str">
            <v>Germany</v>
          </cell>
          <cell r="N857" t="str">
            <v>Pari Boy</v>
          </cell>
          <cell r="O857" t="str">
            <v>Pari Boy SX 085</v>
          </cell>
          <cell r="P857" t="str">
            <v>2W12F13747</v>
          </cell>
          <cell r="Q857" t="str">
            <v>Not Applicable</v>
          </cell>
          <cell r="R857" t="str">
            <v>Pari GmbH</v>
          </cell>
          <cell r="S857" t="str">
            <v>Welch Allyn Malaysia Sdn Bhd</v>
          </cell>
          <cell r="T857" t="str">
            <v>Functioning</v>
          </cell>
          <cell r="U857" t="str">
            <v>Asset</v>
          </cell>
          <cell r="V857">
            <v>1140</v>
          </cell>
          <cell r="W857" t="str">
            <v>KEW</v>
          </cell>
          <cell r="X857" t="str">
            <v>01/09/2010</v>
          </cell>
          <cell r="Y857" t="str">
            <v>KEW</v>
          </cell>
          <cell r="Z857" t="str">
            <v>16/08/2013</v>
          </cell>
          <cell r="AA857" t="str">
            <v>15/08/2015</v>
          </cell>
          <cell r="AB857" t="str">
            <v>No</v>
          </cell>
          <cell r="AC857" t="str">
            <v>31/08/2013</v>
          </cell>
          <cell r="AD857" t="str">
            <v>Good</v>
          </cell>
          <cell r="AE857" t="str">
            <v>V1 - Existing / No Claim</v>
          </cell>
          <cell r="AF857">
            <v>42235</v>
          </cell>
          <cell r="AG857">
            <v>9.17</v>
          </cell>
          <cell r="AH857" t="str">
            <v>PPM</v>
          </cell>
          <cell r="AI857" t="str">
            <v>Strands</v>
          </cell>
          <cell r="AJ857" t="str">
            <v>Strands PW</v>
          </cell>
        </row>
        <row r="858">
          <cell r="A858" t="str">
            <v>IKN400402</v>
          </cell>
          <cell r="B858">
            <v>402</v>
          </cell>
          <cell r="C858" t="str">
            <v>Institut Kanser Negara</v>
          </cell>
          <cell r="D858" t="str">
            <v>KKM/IKN/H/13/2168</v>
          </cell>
          <cell r="E858" t="str">
            <v>15-045</v>
          </cell>
          <cell r="F858" t="str">
            <v>Nebulizers, Nonheated</v>
          </cell>
          <cell r="G858" t="str">
            <v>WD</v>
          </cell>
          <cell r="H858" t="str">
            <v>RT/ONCO PAED/ADOLESCENT WARD</v>
          </cell>
          <cell r="I858" t="str">
            <v>06WD153</v>
          </cell>
          <cell r="J858" t="str">
            <v>EQP.ROOM</v>
          </cell>
          <cell r="K858" t="str">
            <v>BMED</v>
          </cell>
          <cell r="L858" t="str">
            <v>Normal</v>
          </cell>
          <cell r="M858" t="str">
            <v>Germany</v>
          </cell>
          <cell r="N858" t="str">
            <v>Pari Boy</v>
          </cell>
          <cell r="O858" t="str">
            <v>Pari Boy SX 085</v>
          </cell>
          <cell r="P858" t="str">
            <v>2W12F13822</v>
          </cell>
          <cell r="Q858" t="str">
            <v>Not Applicable</v>
          </cell>
          <cell r="R858" t="str">
            <v>Pari GmbH</v>
          </cell>
          <cell r="S858" t="str">
            <v>Welch Allyn Malaysia Sdn Bhd</v>
          </cell>
          <cell r="T858" t="str">
            <v>Functioning</v>
          </cell>
          <cell r="U858" t="str">
            <v>Asset</v>
          </cell>
          <cell r="V858">
            <v>1140</v>
          </cell>
          <cell r="W858" t="str">
            <v>KEW</v>
          </cell>
          <cell r="X858" t="str">
            <v>01/09/2010</v>
          </cell>
          <cell r="Y858" t="str">
            <v>KEW</v>
          </cell>
          <cell r="Z858" t="str">
            <v>16/08/2013</v>
          </cell>
          <cell r="AA858" t="str">
            <v>15/08/2015</v>
          </cell>
          <cell r="AB858" t="str">
            <v>No</v>
          </cell>
          <cell r="AC858" t="str">
            <v>31/08/2013</v>
          </cell>
          <cell r="AD858" t="str">
            <v>Good</v>
          </cell>
          <cell r="AE858" t="str">
            <v>V1 - Existing / No Claim</v>
          </cell>
          <cell r="AF858">
            <v>42235</v>
          </cell>
          <cell r="AG858">
            <v>9.17</v>
          </cell>
          <cell r="AH858" t="str">
            <v>PPM</v>
          </cell>
          <cell r="AI858" t="str">
            <v>Strands</v>
          </cell>
          <cell r="AJ858" t="str">
            <v>Strands PW</v>
          </cell>
        </row>
        <row r="859">
          <cell r="A859" t="str">
            <v>IKN400403</v>
          </cell>
          <cell r="B859">
            <v>403</v>
          </cell>
          <cell r="C859" t="str">
            <v>Institut Kanser Negara</v>
          </cell>
          <cell r="D859" t="str">
            <v>KKM/IKN/H/13/2169</v>
          </cell>
          <cell r="E859" t="str">
            <v>16-173</v>
          </cell>
          <cell r="F859" t="str">
            <v>Sphygmomanometers, Electronic, Automatic</v>
          </cell>
          <cell r="G859" t="str">
            <v>WD</v>
          </cell>
          <cell r="H859" t="str">
            <v>RT/ONCO PAED/ADOLESCENT WARD</v>
          </cell>
          <cell r="I859" t="str">
            <v>06WD146</v>
          </cell>
          <cell r="J859" t="str">
            <v>NURSE STATION</v>
          </cell>
          <cell r="K859" t="str">
            <v>BMED</v>
          </cell>
          <cell r="L859" t="str">
            <v>Normal</v>
          </cell>
          <cell r="M859" t="str">
            <v>USA</v>
          </cell>
          <cell r="N859" t="str">
            <v>Connex</v>
          </cell>
          <cell r="O859" t="str">
            <v>Connex ProBP 3400</v>
          </cell>
          <cell r="P859" t="str">
            <v>100001420613</v>
          </cell>
          <cell r="Q859" t="str">
            <v>Not Applicable</v>
          </cell>
          <cell r="R859" t="str">
            <v>Welch Allyn Inc</v>
          </cell>
          <cell r="S859" t="str">
            <v>Welch Allyn Malaysia Sdn Bhd</v>
          </cell>
          <cell r="T859" t="str">
            <v>Functioning</v>
          </cell>
          <cell r="U859" t="str">
            <v>Asset</v>
          </cell>
          <cell r="V859">
            <v>4510</v>
          </cell>
          <cell r="W859" t="str">
            <v>KEW</v>
          </cell>
          <cell r="X859" t="str">
            <v>01/09/2010</v>
          </cell>
          <cell r="Y859" t="str">
            <v>KEW</v>
          </cell>
          <cell r="Z859" t="str">
            <v>16/08/2013</v>
          </cell>
          <cell r="AA859" t="str">
            <v>15/08/2015</v>
          </cell>
          <cell r="AB859" t="str">
            <v>No</v>
          </cell>
          <cell r="AC859" t="str">
            <v>31/08/2013</v>
          </cell>
          <cell r="AD859" t="str">
            <v>Good</v>
          </cell>
          <cell r="AE859" t="str">
            <v>V1 - Existing / No Claim</v>
          </cell>
          <cell r="AF859">
            <v>42235</v>
          </cell>
          <cell r="AG859">
            <v>9.17</v>
          </cell>
          <cell r="AH859" t="str">
            <v>PPM</v>
          </cell>
          <cell r="AI859" t="str">
            <v>Strands</v>
          </cell>
          <cell r="AJ859" t="str">
            <v>Strands PW</v>
          </cell>
        </row>
        <row r="860">
          <cell r="A860" t="str">
            <v>IKN400404</v>
          </cell>
          <cell r="B860">
            <v>404</v>
          </cell>
          <cell r="C860" t="str">
            <v>Institut Kanser Negara</v>
          </cell>
          <cell r="D860" t="str">
            <v>KKM/IKN/H/13/2170</v>
          </cell>
          <cell r="E860" t="str">
            <v>16-173</v>
          </cell>
          <cell r="F860" t="str">
            <v>Sphygmomanometers, Electronic, Automatic</v>
          </cell>
          <cell r="G860" t="str">
            <v>WD</v>
          </cell>
          <cell r="H860" t="str">
            <v>RT/ONCO PAED/ADOLESCENT WARD</v>
          </cell>
          <cell r="I860" t="str">
            <v>06WD146</v>
          </cell>
          <cell r="J860" t="str">
            <v>NURSE STATION</v>
          </cell>
          <cell r="K860" t="str">
            <v>BMED</v>
          </cell>
          <cell r="L860" t="str">
            <v>Critical</v>
          </cell>
          <cell r="M860" t="str">
            <v>USA</v>
          </cell>
          <cell r="N860" t="str">
            <v>Welch Allyn</v>
          </cell>
          <cell r="O860" t="str">
            <v>Connex ProBP 3400</v>
          </cell>
          <cell r="P860" t="str">
            <v>100001660613</v>
          </cell>
          <cell r="Q860" t="str">
            <v>Not Applicable</v>
          </cell>
          <cell r="R860" t="str">
            <v>Welch Allyn Inc</v>
          </cell>
          <cell r="S860" t="str">
            <v>Welch Allyn Malaysia Sdn Bhd</v>
          </cell>
          <cell r="T860" t="str">
            <v>Functioning</v>
          </cell>
          <cell r="U860" t="str">
            <v>Asset</v>
          </cell>
          <cell r="V860">
            <v>4510</v>
          </cell>
          <cell r="W860" t="str">
            <v>KEW</v>
          </cell>
          <cell r="X860" t="str">
            <v>01/09/2010</v>
          </cell>
          <cell r="Y860" t="str">
            <v>KEW</v>
          </cell>
          <cell r="Z860" t="str">
            <v>16/08/2013</v>
          </cell>
          <cell r="AA860" t="str">
            <v>15/08/2015</v>
          </cell>
          <cell r="AB860" t="str">
            <v>No</v>
          </cell>
          <cell r="AC860" t="str">
            <v>31/08/2013</v>
          </cell>
          <cell r="AD860" t="str">
            <v>Good</v>
          </cell>
          <cell r="AE860" t="str">
            <v>V1 - Existing / No Claim</v>
          </cell>
          <cell r="AF860">
            <v>42787</v>
          </cell>
          <cell r="AG860">
            <v>9.17</v>
          </cell>
          <cell r="AH860" t="str">
            <v>PPM</v>
          </cell>
          <cell r="AI860" t="str">
            <v>Strands</v>
          </cell>
          <cell r="AJ860" t="str">
            <v>Strands PW</v>
          </cell>
        </row>
        <row r="861">
          <cell r="A861" t="str">
            <v>IKN400405</v>
          </cell>
          <cell r="B861">
            <v>405</v>
          </cell>
          <cell r="C861" t="str">
            <v>Institut Kanser Negara</v>
          </cell>
          <cell r="D861" t="str">
            <v>KKM/IKN/H/13/2158</v>
          </cell>
          <cell r="E861" t="str">
            <v>18-147</v>
          </cell>
          <cell r="F861" t="str">
            <v>Mattress Systems, Alternating-Pressure</v>
          </cell>
          <cell r="G861" t="str">
            <v>WD</v>
          </cell>
          <cell r="H861" t="str">
            <v>RT/ONCO PAED/ADOLESCENT WARD</v>
          </cell>
          <cell r="I861" t="str">
            <v>06WD153</v>
          </cell>
          <cell r="J861" t="str">
            <v>EQP.ROOM</v>
          </cell>
          <cell r="K861" t="str">
            <v>BMED</v>
          </cell>
          <cell r="L861" t="str">
            <v>Normal</v>
          </cell>
          <cell r="M861" t="str">
            <v>Poland</v>
          </cell>
          <cell r="N861" t="str">
            <v>Nimbus</v>
          </cell>
          <cell r="O861" t="str">
            <v>Nimbus 3</v>
          </cell>
          <cell r="P861" t="str">
            <v>1200006457</v>
          </cell>
          <cell r="Q861" t="str">
            <v>Not Applicable</v>
          </cell>
          <cell r="R861" t="str">
            <v>Arjohuntleigh</v>
          </cell>
          <cell r="S861" t="str">
            <v>Hexamine Sdn. Bhd.</v>
          </cell>
          <cell r="T861" t="str">
            <v>Functioning</v>
          </cell>
          <cell r="U861" t="str">
            <v>Asset</v>
          </cell>
          <cell r="V861">
            <v>28630</v>
          </cell>
          <cell r="W861" t="str">
            <v>KEW</v>
          </cell>
          <cell r="X861" t="str">
            <v>01/09/2010</v>
          </cell>
          <cell r="Y861" t="str">
            <v>KEW</v>
          </cell>
          <cell r="Z861" t="str">
            <v>16/08/2013</v>
          </cell>
          <cell r="AA861" t="str">
            <v>15/08/2015</v>
          </cell>
          <cell r="AB861" t="str">
            <v>No</v>
          </cell>
          <cell r="AC861" t="str">
            <v>31/08/2013</v>
          </cell>
          <cell r="AD861" t="str">
            <v>Good</v>
          </cell>
          <cell r="AE861" t="str">
            <v>V3 - Added Installed Facilities (New)</v>
          </cell>
          <cell r="AF861">
            <v>42235</v>
          </cell>
          <cell r="AG861">
            <v>9.17</v>
          </cell>
          <cell r="AH861" t="str">
            <v>PPM</v>
          </cell>
          <cell r="AI861" t="str">
            <v>Strands</v>
          </cell>
          <cell r="AJ861" t="str">
            <v>Strands PW</v>
          </cell>
          <cell r="AK861" t="str">
            <v>SNF received. 1st batch of V3 asset (December 2020)</v>
          </cell>
        </row>
        <row r="862">
          <cell r="A862" t="str">
            <v>IKN400406</v>
          </cell>
          <cell r="B862">
            <v>406</v>
          </cell>
          <cell r="C862" t="str">
            <v>Institut Kanser Negara</v>
          </cell>
          <cell r="D862" t="str">
            <v>KKM/IKN/H/13/2159</v>
          </cell>
          <cell r="E862" t="str">
            <v>18-147</v>
          </cell>
          <cell r="F862" t="str">
            <v>Mattress Systems, Alternating-Pressure</v>
          </cell>
          <cell r="G862" t="str">
            <v>WD</v>
          </cell>
          <cell r="H862" t="str">
            <v>RT/ONCO PAED/ADOLESCENT WARD</v>
          </cell>
          <cell r="I862" t="str">
            <v>06WD153</v>
          </cell>
          <cell r="J862" t="str">
            <v>EQP.ROOM</v>
          </cell>
          <cell r="K862" t="str">
            <v>BMED</v>
          </cell>
          <cell r="L862" t="str">
            <v>Normal</v>
          </cell>
          <cell r="M862" t="str">
            <v>Poland</v>
          </cell>
          <cell r="N862" t="str">
            <v>Nimbus</v>
          </cell>
          <cell r="O862" t="str">
            <v>Nimbus 3</v>
          </cell>
          <cell r="P862" t="str">
            <v>1200005115</v>
          </cell>
          <cell r="Q862" t="str">
            <v>Not Applicable</v>
          </cell>
          <cell r="R862" t="str">
            <v>Arjohuntleigh</v>
          </cell>
          <cell r="S862" t="str">
            <v>Hexamine Sdn. Bhd.</v>
          </cell>
          <cell r="T862" t="str">
            <v>Functioning</v>
          </cell>
          <cell r="U862" t="str">
            <v>Asset</v>
          </cell>
          <cell r="V862">
            <v>28630</v>
          </cell>
          <cell r="W862" t="str">
            <v>KEW</v>
          </cell>
          <cell r="X862" t="str">
            <v>01/09/2010</v>
          </cell>
          <cell r="Y862" t="str">
            <v>KEW</v>
          </cell>
          <cell r="Z862" t="str">
            <v>16/08/2013</v>
          </cell>
          <cell r="AA862" t="str">
            <v>15/08/2015</v>
          </cell>
          <cell r="AB862" t="str">
            <v>No</v>
          </cell>
          <cell r="AC862" t="str">
            <v>31/08/2013</v>
          </cell>
          <cell r="AD862" t="str">
            <v>Good</v>
          </cell>
          <cell r="AE862" t="str">
            <v>V3 - Added Installed Facilities (New)</v>
          </cell>
          <cell r="AF862">
            <v>42235</v>
          </cell>
          <cell r="AG862">
            <v>9.17</v>
          </cell>
          <cell r="AH862" t="str">
            <v>PPM</v>
          </cell>
          <cell r="AI862" t="str">
            <v>Strands</v>
          </cell>
          <cell r="AJ862" t="str">
            <v>Strands PW</v>
          </cell>
          <cell r="AK862" t="str">
            <v>SNF received. 1st batch of V3 asset (December 2020)</v>
          </cell>
        </row>
        <row r="863">
          <cell r="A863" t="str">
            <v>IKN400407</v>
          </cell>
          <cell r="B863">
            <v>407</v>
          </cell>
          <cell r="C863" t="str">
            <v>Institut Kanser Negara</v>
          </cell>
          <cell r="D863" t="str">
            <v>KKM/IKN/H/13/2160</v>
          </cell>
          <cell r="E863" t="str">
            <v>18-147</v>
          </cell>
          <cell r="F863" t="str">
            <v>Mattress Systems, Alternating-Pressure</v>
          </cell>
          <cell r="G863" t="str">
            <v>WD</v>
          </cell>
          <cell r="H863" t="str">
            <v>RT/ONCO PAED/ADOLESCENT WARD</v>
          </cell>
          <cell r="I863" t="str">
            <v>06WD153</v>
          </cell>
          <cell r="J863" t="str">
            <v>EQP.ROOM</v>
          </cell>
          <cell r="K863" t="str">
            <v>BMED</v>
          </cell>
          <cell r="L863" t="str">
            <v>Normal</v>
          </cell>
          <cell r="M863" t="str">
            <v>Poland</v>
          </cell>
          <cell r="N863" t="str">
            <v>Nimbus</v>
          </cell>
          <cell r="O863" t="str">
            <v>Nimbus 3</v>
          </cell>
          <cell r="P863" t="str">
            <v>1200006459</v>
          </cell>
          <cell r="Q863" t="str">
            <v>Not Applicable</v>
          </cell>
          <cell r="R863" t="str">
            <v>Arjohuntleigh</v>
          </cell>
          <cell r="S863" t="str">
            <v>Hexamine Sdn. Bhd.</v>
          </cell>
          <cell r="T863" t="str">
            <v>Functioning</v>
          </cell>
          <cell r="U863" t="str">
            <v>Asset</v>
          </cell>
          <cell r="V863">
            <v>28630</v>
          </cell>
          <cell r="W863" t="str">
            <v>KEW</v>
          </cell>
          <cell r="X863" t="str">
            <v>01/09/2010</v>
          </cell>
          <cell r="Y863" t="str">
            <v>KEW</v>
          </cell>
          <cell r="Z863" t="str">
            <v>16/08/2013</v>
          </cell>
          <cell r="AA863" t="str">
            <v>15/08/2015</v>
          </cell>
          <cell r="AB863" t="str">
            <v>No</v>
          </cell>
          <cell r="AC863" t="str">
            <v>31/08/2013</v>
          </cell>
          <cell r="AD863" t="str">
            <v>Good</v>
          </cell>
          <cell r="AE863" t="str">
            <v>V3 - Added Installed Facilities (New)</v>
          </cell>
          <cell r="AF863">
            <v>42235</v>
          </cell>
          <cell r="AG863">
            <v>9.17</v>
          </cell>
          <cell r="AH863" t="str">
            <v>PPM</v>
          </cell>
          <cell r="AI863" t="str">
            <v>Strands</v>
          </cell>
          <cell r="AJ863" t="str">
            <v>Strands PW</v>
          </cell>
          <cell r="AK863" t="str">
            <v>SNF received. 1st batch of V3 asset (December 2020)</v>
          </cell>
        </row>
        <row r="864">
          <cell r="A864" t="str">
            <v>IKN400408</v>
          </cell>
          <cell r="B864">
            <v>408</v>
          </cell>
          <cell r="C864" t="str">
            <v>Institut Kanser Negara</v>
          </cell>
          <cell r="D864" t="str">
            <v>KKM/IKN/H/13/2161</v>
          </cell>
          <cell r="E864" t="str">
            <v>18-147</v>
          </cell>
          <cell r="F864" t="str">
            <v>Mattress Systems, Alternating-Pressure</v>
          </cell>
          <cell r="G864" t="str">
            <v>WD</v>
          </cell>
          <cell r="H864" t="str">
            <v>RT/ONCO PAED/ADOLESCENT WARD</v>
          </cell>
          <cell r="I864" t="str">
            <v>06WD153</v>
          </cell>
          <cell r="J864" t="str">
            <v>EQP.ROOM</v>
          </cell>
          <cell r="K864" t="str">
            <v>BMED</v>
          </cell>
          <cell r="L864" t="str">
            <v>Normal</v>
          </cell>
          <cell r="M864" t="str">
            <v>Poland</v>
          </cell>
          <cell r="N864" t="str">
            <v>Nimbus</v>
          </cell>
          <cell r="O864" t="str">
            <v>Nimbus 3</v>
          </cell>
          <cell r="P864" t="str">
            <v>1200006470</v>
          </cell>
          <cell r="Q864" t="str">
            <v>Not Applicable</v>
          </cell>
          <cell r="R864" t="str">
            <v>Arjohuntleigh</v>
          </cell>
          <cell r="S864" t="str">
            <v>Hexamine Sdn. Bhd.</v>
          </cell>
          <cell r="T864" t="str">
            <v>Functioning</v>
          </cell>
          <cell r="U864" t="str">
            <v>Asset</v>
          </cell>
          <cell r="V864">
            <v>28630</v>
          </cell>
          <cell r="W864" t="str">
            <v>KEW</v>
          </cell>
          <cell r="X864" t="str">
            <v>01/09/2010</v>
          </cell>
          <cell r="Y864" t="str">
            <v>KEW</v>
          </cell>
          <cell r="Z864" t="str">
            <v>16/08/2013</v>
          </cell>
          <cell r="AA864" t="str">
            <v>15/08/2015</v>
          </cell>
          <cell r="AB864" t="str">
            <v>No</v>
          </cell>
          <cell r="AC864" t="str">
            <v>31/08/2013</v>
          </cell>
          <cell r="AD864" t="str">
            <v>Good</v>
          </cell>
          <cell r="AE864" t="str">
            <v>V3 - Added Installed Facilities (New)</v>
          </cell>
          <cell r="AF864">
            <v>42235</v>
          </cell>
          <cell r="AG864">
            <v>9.17</v>
          </cell>
          <cell r="AH864" t="str">
            <v>PPM</v>
          </cell>
          <cell r="AI864" t="str">
            <v>Strands</v>
          </cell>
          <cell r="AJ864" t="str">
            <v>Strands PW</v>
          </cell>
          <cell r="AK864" t="str">
            <v>SNF received. 1st batch of V3 asset (December 2020)</v>
          </cell>
        </row>
        <row r="865">
          <cell r="A865" t="str">
            <v>IKN400409</v>
          </cell>
          <cell r="B865">
            <v>409</v>
          </cell>
          <cell r="C865" t="str">
            <v>Institut Kanser Negara</v>
          </cell>
          <cell r="D865" t="str">
            <v>KKM/IKN/H/13/2162</v>
          </cell>
          <cell r="E865" t="str">
            <v>18-147</v>
          </cell>
          <cell r="F865" t="str">
            <v>Mattress Systems, Alternating-Pressure</v>
          </cell>
          <cell r="G865" t="str">
            <v>WD</v>
          </cell>
          <cell r="H865" t="str">
            <v>RT/ONCO PAED/ADOLESCENT WARD</v>
          </cell>
          <cell r="I865" t="str">
            <v>06WD153</v>
          </cell>
          <cell r="J865" t="str">
            <v>EQP.ROOM</v>
          </cell>
          <cell r="K865" t="str">
            <v>BMED</v>
          </cell>
          <cell r="L865" t="str">
            <v>Normal</v>
          </cell>
          <cell r="M865" t="str">
            <v>Poland</v>
          </cell>
          <cell r="N865" t="str">
            <v>Nimbus</v>
          </cell>
          <cell r="O865" t="str">
            <v>Nimbus 3</v>
          </cell>
          <cell r="P865" t="str">
            <v>1200005116</v>
          </cell>
          <cell r="Q865" t="str">
            <v>Not Applicable</v>
          </cell>
          <cell r="R865" t="str">
            <v>Arjohuntleigh</v>
          </cell>
          <cell r="S865" t="str">
            <v>Hexamine Sdn. Bhd.</v>
          </cell>
          <cell r="T865" t="str">
            <v>Functioning</v>
          </cell>
          <cell r="U865" t="str">
            <v>Asset</v>
          </cell>
          <cell r="V865">
            <v>28630</v>
          </cell>
          <cell r="W865" t="str">
            <v>KEW</v>
          </cell>
          <cell r="X865" t="str">
            <v>01/09/2010</v>
          </cell>
          <cell r="Y865" t="str">
            <v>KEW</v>
          </cell>
          <cell r="Z865" t="str">
            <v>16/08/2013</v>
          </cell>
          <cell r="AA865" t="str">
            <v>15/08/2015</v>
          </cell>
          <cell r="AB865" t="str">
            <v>No</v>
          </cell>
          <cell r="AC865" t="str">
            <v>31/08/2013</v>
          </cell>
          <cell r="AD865" t="str">
            <v>Good</v>
          </cell>
          <cell r="AE865" t="str">
            <v>V3 - Added Installed Facilities (New)</v>
          </cell>
          <cell r="AF865">
            <v>42235</v>
          </cell>
          <cell r="AG865">
            <v>9.17</v>
          </cell>
          <cell r="AH865" t="str">
            <v>PPM</v>
          </cell>
          <cell r="AI865" t="str">
            <v>Strands</v>
          </cell>
          <cell r="AJ865" t="str">
            <v>Strands PW</v>
          </cell>
          <cell r="AK865" t="str">
            <v>SNF received. 1st batch of V3 asset (December 2020)</v>
          </cell>
        </row>
        <row r="866">
          <cell r="A866" t="str">
            <v>IKN400410</v>
          </cell>
          <cell r="B866">
            <v>410</v>
          </cell>
          <cell r="C866" t="str">
            <v>Institut Kanser Negara</v>
          </cell>
          <cell r="D866" t="str">
            <v>KKM/IKN/H/13/2163</v>
          </cell>
          <cell r="E866" t="str">
            <v>18-147</v>
          </cell>
          <cell r="F866" t="str">
            <v>Mattress Systems, Alternating-Pressure</v>
          </cell>
          <cell r="G866" t="str">
            <v>WD</v>
          </cell>
          <cell r="H866" t="str">
            <v>RT/ONCO PAED/ADOLESCENT WARD</v>
          </cell>
          <cell r="I866" t="str">
            <v>06WD153</v>
          </cell>
          <cell r="J866" t="str">
            <v>EQP.ROOM</v>
          </cell>
          <cell r="K866" t="str">
            <v>BMED</v>
          </cell>
          <cell r="L866" t="str">
            <v>Normal</v>
          </cell>
          <cell r="M866" t="str">
            <v>Poland</v>
          </cell>
          <cell r="N866" t="str">
            <v>Nimbus</v>
          </cell>
          <cell r="O866" t="str">
            <v>Nimbus 3</v>
          </cell>
          <cell r="P866" t="str">
            <v>1200006464</v>
          </cell>
          <cell r="Q866" t="str">
            <v>Not Applicable</v>
          </cell>
          <cell r="R866" t="str">
            <v>Arjohuntleigh</v>
          </cell>
          <cell r="S866" t="str">
            <v>Hexamine Sdn. Bhd.</v>
          </cell>
          <cell r="T866" t="str">
            <v>Functioning</v>
          </cell>
          <cell r="U866" t="str">
            <v>Asset</v>
          </cell>
          <cell r="V866">
            <v>28630</v>
          </cell>
          <cell r="W866" t="str">
            <v>KEW</v>
          </cell>
          <cell r="X866" t="str">
            <v>01/09/2010</v>
          </cell>
          <cell r="Y866" t="str">
            <v>KEW</v>
          </cell>
          <cell r="Z866" t="str">
            <v>16/08/2013</v>
          </cell>
          <cell r="AA866" t="str">
            <v>15/08/2015</v>
          </cell>
          <cell r="AB866" t="str">
            <v>No</v>
          </cell>
          <cell r="AC866" t="str">
            <v>31/08/2013</v>
          </cell>
          <cell r="AD866" t="str">
            <v>Good</v>
          </cell>
          <cell r="AE866" t="str">
            <v>V3 - Added Installed Facilities (New)</v>
          </cell>
          <cell r="AF866">
            <v>42235</v>
          </cell>
          <cell r="AG866">
            <v>9.17</v>
          </cell>
          <cell r="AH866" t="str">
            <v>PPM</v>
          </cell>
          <cell r="AI866" t="str">
            <v>Strands</v>
          </cell>
          <cell r="AJ866" t="str">
            <v>Strands PW</v>
          </cell>
          <cell r="AK866" t="str">
            <v>SNF received. 1st batch of V3 asset (December 2020)</v>
          </cell>
        </row>
        <row r="867">
          <cell r="A867" t="str">
            <v>IKN400411</v>
          </cell>
          <cell r="B867">
            <v>411</v>
          </cell>
          <cell r="C867" t="str">
            <v>Institut Kanser Negara</v>
          </cell>
          <cell r="D867" t="str">
            <v>KKM/IKN/H/13/2062</v>
          </cell>
          <cell r="E867" t="str">
            <v>10-208</v>
          </cell>
          <cell r="F867" t="str">
            <v>Aspirators</v>
          </cell>
          <cell r="G867" t="str">
            <v>WD</v>
          </cell>
          <cell r="H867" t="str">
            <v>RT/ONCO PAED/ADOLESCENT WARD</v>
          </cell>
          <cell r="I867" t="str">
            <v>06WD124</v>
          </cell>
          <cell r="J867" t="str">
            <v>TREATMENT / PROCEDURE</v>
          </cell>
          <cell r="K867" t="str">
            <v>BMED</v>
          </cell>
          <cell r="L867" t="str">
            <v>Normal</v>
          </cell>
          <cell r="M867" t="str">
            <v>Switzerland</v>
          </cell>
          <cell r="N867" t="str">
            <v>Senator</v>
          </cell>
          <cell r="O867" t="str">
            <v>Senator</v>
          </cell>
          <cell r="P867" t="str">
            <v>1320190</v>
          </cell>
          <cell r="Q867" t="str">
            <v>Not Applicable</v>
          </cell>
          <cell r="R867" t="str">
            <v>Ardo Medical AG</v>
          </cell>
          <cell r="S867" t="str">
            <v>Histopoint</v>
          </cell>
          <cell r="T867" t="str">
            <v>Functioning</v>
          </cell>
          <cell r="U867" t="str">
            <v>Asset</v>
          </cell>
          <cell r="V867">
            <v>5052</v>
          </cell>
          <cell r="W867" t="str">
            <v>KEW</v>
          </cell>
          <cell r="X867" t="str">
            <v>01/09/2010</v>
          </cell>
          <cell r="Y867" t="str">
            <v>KEW</v>
          </cell>
          <cell r="Z867" t="str">
            <v>16/08/2013</v>
          </cell>
          <cell r="AA867" t="str">
            <v>15/08/2015</v>
          </cell>
          <cell r="AB867" t="str">
            <v>No</v>
          </cell>
          <cell r="AC867" t="str">
            <v>31/08/2013</v>
          </cell>
          <cell r="AD867" t="str">
            <v>Good</v>
          </cell>
          <cell r="AE867" t="str">
            <v>V1 - Existing / No Claim</v>
          </cell>
          <cell r="AF867">
            <v>42235</v>
          </cell>
          <cell r="AG867">
            <v>9.17</v>
          </cell>
          <cell r="AH867" t="str">
            <v>PPM</v>
          </cell>
          <cell r="AI867" t="str">
            <v>Strands</v>
          </cell>
          <cell r="AJ867" t="str">
            <v>Strands PW</v>
          </cell>
        </row>
        <row r="868">
          <cell r="A868" t="str">
            <v>IKN400412</v>
          </cell>
          <cell r="B868">
            <v>412</v>
          </cell>
          <cell r="C868" t="str">
            <v>Institut Kanser Negara</v>
          </cell>
          <cell r="D868" t="str">
            <v>KKM/IKN/H/13/2171</v>
          </cell>
          <cell r="E868" t="str">
            <v>10-208</v>
          </cell>
          <cell r="F868" t="str">
            <v>Aspirators</v>
          </cell>
          <cell r="G868" t="str">
            <v>WD</v>
          </cell>
          <cell r="H868" t="str">
            <v>RT/ONCO PAED/ADOLESCENT WARD</v>
          </cell>
          <cell r="I868" t="str">
            <v>06WD153</v>
          </cell>
          <cell r="J868" t="str">
            <v>EQP.ROOM</v>
          </cell>
          <cell r="K868" t="str">
            <v>BMED</v>
          </cell>
          <cell r="L868" t="str">
            <v>Normal</v>
          </cell>
          <cell r="M868" t="str">
            <v>UK</v>
          </cell>
          <cell r="N868" t="str">
            <v>SAM</v>
          </cell>
          <cell r="O868" t="str">
            <v>SAM 427</v>
          </cell>
          <cell r="P868" t="str">
            <v>0313-0532</v>
          </cell>
          <cell r="Q868" t="str">
            <v>Not Applicable</v>
          </cell>
          <cell r="R868" t="str">
            <v>MG Electric Ltd</v>
          </cell>
          <cell r="S868" t="str">
            <v>Delta Medisains</v>
          </cell>
          <cell r="T868" t="str">
            <v>Functioning</v>
          </cell>
          <cell r="U868" t="str">
            <v>Asset</v>
          </cell>
          <cell r="V868">
            <v>10705</v>
          </cell>
          <cell r="W868" t="str">
            <v>KEW</v>
          </cell>
          <cell r="X868" t="str">
            <v>01/09/2010</v>
          </cell>
          <cell r="Y868" t="str">
            <v>KEW</v>
          </cell>
          <cell r="Z868" t="str">
            <v>16/08/2013</v>
          </cell>
          <cell r="AA868" t="str">
            <v>15/08/2015</v>
          </cell>
          <cell r="AB868" t="str">
            <v>No</v>
          </cell>
          <cell r="AC868" t="str">
            <v>31/08/2013</v>
          </cell>
          <cell r="AD868" t="str">
            <v>Good</v>
          </cell>
          <cell r="AE868" t="str">
            <v>V1 - Existing / No Claim</v>
          </cell>
          <cell r="AF868">
            <v>42235</v>
          </cell>
          <cell r="AG868">
            <v>9.17</v>
          </cell>
          <cell r="AH868" t="str">
            <v>PPM</v>
          </cell>
          <cell r="AI868" t="str">
            <v>Strands</v>
          </cell>
          <cell r="AJ868" t="str">
            <v>Strands PW</v>
          </cell>
        </row>
        <row r="869">
          <cell r="A869" t="str">
            <v>IKN400413</v>
          </cell>
          <cell r="B869">
            <v>413</v>
          </cell>
          <cell r="C869" t="str">
            <v>Institut Kanser Negara</v>
          </cell>
          <cell r="D869" t="str">
            <v>KKM/IKN/H/13/2067</v>
          </cell>
          <cell r="E869" t="str">
            <v>16-173</v>
          </cell>
          <cell r="F869" t="str">
            <v>Sphygmomanometers, Electronic, Automatic</v>
          </cell>
          <cell r="G869" t="str">
            <v>WD</v>
          </cell>
          <cell r="H869" t="str">
            <v>RT/ONCO PAED/ADOLESCENT WARD</v>
          </cell>
          <cell r="I869" t="str">
            <v>06WD124</v>
          </cell>
          <cell r="J869" t="str">
            <v>TREATMENT / PROCEDURE</v>
          </cell>
          <cell r="K869" t="str">
            <v>BMED</v>
          </cell>
          <cell r="L869" t="str">
            <v>Normal</v>
          </cell>
          <cell r="M869" t="str">
            <v>Mexico</v>
          </cell>
          <cell r="N869" t="str">
            <v>Carespace</v>
          </cell>
          <cell r="O869" t="str">
            <v>Carescape V100</v>
          </cell>
          <cell r="P869" t="str">
            <v>SH612430112SA</v>
          </cell>
          <cell r="Q869" t="str">
            <v>Not Applicable</v>
          </cell>
          <cell r="R869" t="str">
            <v>GE Healthcare Systems</v>
          </cell>
          <cell r="S869" t="str">
            <v>GE Healthcare Technologies</v>
          </cell>
          <cell r="T869" t="str">
            <v>Functioning</v>
          </cell>
          <cell r="U869" t="str">
            <v>Asset</v>
          </cell>
          <cell r="V869">
            <v>7770</v>
          </cell>
          <cell r="W869" t="str">
            <v>KEW</v>
          </cell>
          <cell r="X869" t="str">
            <v>01/09/2010</v>
          </cell>
          <cell r="Y869" t="str">
            <v>KEW</v>
          </cell>
          <cell r="Z869" t="str">
            <v>16/08/2013</v>
          </cell>
          <cell r="AA869" t="str">
            <v>15/08/2015</v>
          </cell>
          <cell r="AB869" t="str">
            <v>No</v>
          </cell>
          <cell r="AC869" t="str">
            <v>31/08/2013</v>
          </cell>
          <cell r="AD869" t="str">
            <v>Good</v>
          </cell>
          <cell r="AE869" t="str">
            <v>V3 - Added Installed Facilities (New)</v>
          </cell>
          <cell r="AF869">
            <v>42235</v>
          </cell>
          <cell r="AG869">
            <v>9.17</v>
          </cell>
          <cell r="AH869" t="str">
            <v>PPM</v>
          </cell>
          <cell r="AI869" t="str">
            <v>Strands</v>
          </cell>
          <cell r="AJ869" t="str">
            <v>Strands PW</v>
          </cell>
          <cell r="AK869" t="str">
            <v>SNF received. 1st batch of V3 asset (December 2020)</v>
          </cell>
        </row>
        <row r="870">
          <cell r="A870" t="str">
            <v>IKN400414</v>
          </cell>
          <cell r="B870">
            <v>414</v>
          </cell>
          <cell r="C870" t="str">
            <v>Institut Kanser Negara</v>
          </cell>
          <cell r="D870" t="str">
            <v>KKM/IKN/H/13/2065</v>
          </cell>
          <cell r="E870" t="str">
            <v>16-231</v>
          </cell>
          <cell r="F870" t="str">
            <v>Electrocardiographs, Multichannel, Interpretative</v>
          </cell>
          <cell r="G870" t="str">
            <v>WD</v>
          </cell>
          <cell r="H870" t="str">
            <v>RT/ONCO PAED/ADOLESCENT WARD</v>
          </cell>
          <cell r="I870" t="str">
            <v>06WD124</v>
          </cell>
          <cell r="J870" t="str">
            <v>TREATMENT / PROCEDURE</v>
          </cell>
          <cell r="K870" t="str">
            <v>BMED</v>
          </cell>
          <cell r="L870" t="str">
            <v>Critical</v>
          </cell>
          <cell r="M870" t="str">
            <v>China</v>
          </cell>
          <cell r="N870" t="str">
            <v>Mac</v>
          </cell>
          <cell r="O870" t="str">
            <v>MAC 800</v>
          </cell>
          <cell r="P870" t="str">
            <v>SJ412450371 WA</v>
          </cell>
          <cell r="Q870" t="str">
            <v>Not Applicable</v>
          </cell>
          <cell r="R870" t="str">
            <v>GE Healthcare Systems</v>
          </cell>
          <cell r="S870" t="str">
            <v>GE Healthcare Technologies</v>
          </cell>
          <cell r="T870" t="str">
            <v>Functioning</v>
          </cell>
          <cell r="U870" t="str">
            <v>Asset</v>
          </cell>
          <cell r="V870">
            <v>25260</v>
          </cell>
          <cell r="W870" t="str">
            <v>KEW</v>
          </cell>
          <cell r="X870" t="str">
            <v>01/09/2010</v>
          </cell>
          <cell r="Y870" t="str">
            <v>KEW</v>
          </cell>
          <cell r="Z870" t="str">
            <v>16/08/2013</v>
          </cell>
          <cell r="AA870" t="str">
            <v>15/08/2015</v>
          </cell>
          <cell r="AB870" t="str">
            <v>No</v>
          </cell>
          <cell r="AC870" t="str">
            <v>31/08/2013</v>
          </cell>
          <cell r="AD870" t="str">
            <v>Good</v>
          </cell>
          <cell r="AE870" t="str">
            <v>V1 - Existing / No Claim</v>
          </cell>
          <cell r="AF870">
            <v>43437</v>
          </cell>
          <cell r="AG870">
            <v>9.17</v>
          </cell>
          <cell r="AH870" t="str">
            <v>PPM</v>
          </cell>
          <cell r="AI870" t="str">
            <v>Strands</v>
          </cell>
          <cell r="AJ870" t="str">
            <v>Strands PW</v>
          </cell>
        </row>
        <row r="871">
          <cell r="A871" t="str">
            <v>IKN400415</v>
          </cell>
          <cell r="B871">
            <v>415</v>
          </cell>
          <cell r="C871" t="str">
            <v>Institut Kanser Negara</v>
          </cell>
          <cell r="D871" t="str">
            <v>KKM/IKN/H/13/2063</v>
          </cell>
          <cell r="E871" t="str">
            <v>25-209</v>
          </cell>
          <cell r="F871" t="str">
            <v>Monitors, Physiologic, Vital Signs</v>
          </cell>
          <cell r="G871" t="str">
            <v>WD</v>
          </cell>
          <cell r="H871" t="str">
            <v>RT/ONCO PAED/ADOLESCENT WARD</v>
          </cell>
          <cell r="I871" t="str">
            <v>06WD124</v>
          </cell>
          <cell r="J871" t="str">
            <v>TREATMENT / PROCEDURE</v>
          </cell>
          <cell r="K871" t="str">
            <v>BMED</v>
          </cell>
          <cell r="L871" t="str">
            <v>Normal</v>
          </cell>
          <cell r="M871" t="str">
            <v>Mexico</v>
          </cell>
          <cell r="N871" t="str">
            <v>Carespace</v>
          </cell>
          <cell r="O871" t="str">
            <v>Carescape V100</v>
          </cell>
          <cell r="P871" t="str">
            <v>SH612240066SA</v>
          </cell>
          <cell r="Q871" t="str">
            <v>Not Applicable</v>
          </cell>
          <cell r="R871" t="str">
            <v>GE Healthcare Systems</v>
          </cell>
          <cell r="S871" t="str">
            <v>GE Healthcare Technologies</v>
          </cell>
          <cell r="T871" t="str">
            <v>Functioning</v>
          </cell>
          <cell r="U871" t="str">
            <v>Asset</v>
          </cell>
          <cell r="V871">
            <v>18765</v>
          </cell>
          <cell r="W871" t="str">
            <v>KEW</v>
          </cell>
          <cell r="X871" t="str">
            <v>01/09/2010</v>
          </cell>
          <cell r="Y871" t="str">
            <v>KEW</v>
          </cell>
          <cell r="Z871" t="str">
            <v>16/08/2013</v>
          </cell>
          <cell r="AA871" t="str">
            <v>15/08/2015</v>
          </cell>
          <cell r="AB871" t="str">
            <v>No</v>
          </cell>
          <cell r="AC871" t="str">
            <v>31/08/2013</v>
          </cell>
          <cell r="AD871" t="str">
            <v>Good</v>
          </cell>
          <cell r="AE871" t="str">
            <v>V1 - Existing / No Claim</v>
          </cell>
          <cell r="AF871">
            <v>42235</v>
          </cell>
          <cell r="AG871">
            <v>9.17</v>
          </cell>
          <cell r="AH871" t="str">
            <v>PPM</v>
          </cell>
          <cell r="AI871" t="str">
            <v>Strands</v>
          </cell>
          <cell r="AJ871" t="str">
            <v>Strands PW</v>
          </cell>
        </row>
        <row r="872">
          <cell r="A872" t="str">
            <v>IKN400416</v>
          </cell>
          <cell r="B872">
            <v>416</v>
          </cell>
          <cell r="C872" t="str">
            <v>Institut Kanser Negara</v>
          </cell>
          <cell r="D872" t="str">
            <v>KKM/IKN/H/13/1471</v>
          </cell>
          <cell r="E872" t="str">
            <v>13-215</v>
          </cell>
          <cell r="F872" t="str">
            <v>Infusion Pumps, General-Purpose</v>
          </cell>
          <cell r="G872" t="str">
            <v>WD</v>
          </cell>
          <cell r="H872" t="str">
            <v>RT/ONCO PAED/ADOLESCENT WARD</v>
          </cell>
          <cell r="I872" t="str">
            <v>06WD153</v>
          </cell>
          <cell r="J872" t="str">
            <v>EQP.ROOM</v>
          </cell>
          <cell r="K872" t="str">
            <v>BMED</v>
          </cell>
          <cell r="L872" t="str">
            <v>Normal</v>
          </cell>
          <cell r="M872" t="str">
            <v>Germany</v>
          </cell>
          <cell r="N872" t="str">
            <v>Infusomat</v>
          </cell>
          <cell r="O872" t="str">
            <v>Infusomat Space</v>
          </cell>
          <cell r="P872" t="str">
            <v>246585</v>
          </cell>
          <cell r="Q872" t="str">
            <v>Not Applicable</v>
          </cell>
          <cell r="R872" t="str">
            <v>B Braun Melsungen AG</v>
          </cell>
          <cell r="S872" t="str">
            <v>B Braun Medical Supplies Sdn. Bhd.</v>
          </cell>
          <cell r="T872" t="str">
            <v>Functioning</v>
          </cell>
          <cell r="U872" t="str">
            <v>Asset</v>
          </cell>
          <cell r="V872">
            <v>10825</v>
          </cell>
          <cell r="W872" t="str">
            <v>KEW</v>
          </cell>
          <cell r="X872" t="str">
            <v>01/09/2010</v>
          </cell>
          <cell r="Y872" t="str">
            <v>KEW</v>
          </cell>
          <cell r="Z872" t="str">
            <v>16/08/2013</v>
          </cell>
          <cell r="AA872" t="str">
            <v>15/08/2015</v>
          </cell>
          <cell r="AB872" t="str">
            <v>No</v>
          </cell>
          <cell r="AC872" t="str">
            <v>31/08/2013</v>
          </cell>
          <cell r="AD872" t="str">
            <v>Good</v>
          </cell>
          <cell r="AE872" t="str">
            <v>V1 - Existing / No Claim</v>
          </cell>
          <cell r="AF872">
            <v>42235</v>
          </cell>
          <cell r="AG872">
            <v>9.17</v>
          </cell>
          <cell r="AH872" t="str">
            <v>PPM</v>
          </cell>
          <cell r="AI872" t="str">
            <v>Strands</v>
          </cell>
          <cell r="AJ872" t="str">
            <v>Strands PW</v>
          </cell>
        </row>
        <row r="873">
          <cell r="A873" t="str">
            <v>IKN400417</v>
          </cell>
          <cell r="B873">
            <v>417</v>
          </cell>
          <cell r="C873" t="str">
            <v>Institut Kanser Negara</v>
          </cell>
          <cell r="D873" t="str">
            <v>KKM/IKN/H/13/1475</v>
          </cell>
          <cell r="E873" t="str">
            <v>13-215</v>
          </cell>
          <cell r="F873" t="str">
            <v>Infusion Pumps, General-Purpose</v>
          </cell>
          <cell r="G873" t="str">
            <v>WD</v>
          </cell>
          <cell r="H873" t="str">
            <v>RT/ONCO PAED/ADOLESCENT WARD</v>
          </cell>
          <cell r="I873" t="str">
            <v>06WD153</v>
          </cell>
          <cell r="J873" t="str">
            <v>EQP.ROOM</v>
          </cell>
          <cell r="K873" t="str">
            <v>BMED</v>
          </cell>
          <cell r="L873" t="str">
            <v>Normal</v>
          </cell>
          <cell r="M873" t="str">
            <v>Germany</v>
          </cell>
          <cell r="N873" t="str">
            <v>Infusomat</v>
          </cell>
          <cell r="O873" t="str">
            <v>Infusomat Space</v>
          </cell>
          <cell r="P873" t="str">
            <v>246542</v>
          </cell>
          <cell r="Q873" t="str">
            <v>Not Applicable</v>
          </cell>
          <cell r="R873" t="str">
            <v>B Braun Melsungen AG</v>
          </cell>
          <cell r="S873" t="str">
            <v>B Braun Medical Supplies Sdn. Bhd.</v>
          </cell>
          <cell r="T873" t="str">
            <v>Functioning</v>
          </cell>
          <cell r="U873" t="str">
            <v>Asset</v>
          </cell>
          <cell r="V873">
            <v>10825</v>
          </cell>
          <cell r="W873" t="str">
            <v>KEW</v>
          </cell>
          <cell r="X873" t="str">
            <v>01/09/2010</v>
          </cell>
          <cell r="Y873" t="str">
            <v>KEW</v>
          </cell>
          <cell r="Z873" t="str">
            <v>16/08/2013</v>
          </cell>
          <cell r="AA873" t="str">
            <v>15/08/2015</v>
          </cell>
          <cell r="AB873" t="str">
            <v>No</v>
          </cell>
          <cell r="AC873" t="str">
            <v>31/08/2013</v>
          </cell>
          <cell r="AD873" t="str">
            <v>Good</v>
          </cell>
          <cell r="AE873" t="str">
            <v>V1 - Existing / No Claim</v>
          </cell>
          <cell r="AF873">
            <v>42235</v>
          </cell>
          <cell r="AG873">
            <v>9.17</v>
          </cell>
          <cell r="AH873" t="str">
            <v>PPM</v>
          </cell>
          <cell r="AI873" t="str">
            <v>Strands</v>
          </cell>
          <cell r="AJ873" t="str">
            <v>Strands PW</v>
          </cell>
        </row>
        <row r="874">
          <cell r="A874" t="str">
            <v>IKN400418</v>
          </cell>
          <cell r="B874">
            <v>418</v>
          </cell>
          <cell r="C874" t="str">
            <v>Institut Kanser Negara</v>
          </cell>
          <cell r="D874" t="str">
            <v>KKM/IKN/H/13/1474</v>
          </cell>
          <cell r="E874" t="str">
            <v>13-215</v>
          </cell>
          <cell r="F874" t="str">
            <v>Infusion Pumps, General-Purpose</v>
          </cell>
          <cell r="G874" t="str">
            <v>WD</v>
          </cell>
          <cell r="H874" t="str">
            <v>RT/ONCO PAED/ADOLESCENT WARD</v>
          </cell>
          <cell r="I874" t="str">
            <v>06WD153</v>
          </cell>
          <cell r="J874" t="str">
            <v>EQP.ROOM</v>
          </cell>
          <cell r="K874" t="str">
            <v>BMED</v>
          </cell>
          <cell r="L874" t="str">
            <v>Normal</v>
          </cell>
          <cell r="M874" t="str">
            <v>Germany</v>
          </cell>
          <cell r="N874" t="str">
            <v>Infusomat</v>
          </cell>
          <cell r="O874" t="str">
            <v>Infusomat Space</v>
          </cell>
          <cell r="P874" t="str">
            <v>246582</v>
          </cell>
          <cell r="Q874" t="str">
            <v>Not Applicable</v>
          </cell>
          <cell r="R874" t="str">
            <v>B Braun Melsungen AG</v>
          </cell>
          <cell r="S874" t="str">
            <v>B Braun Medical Supplies Sdn. Bhd.</v>
          </cell>
          <cell r="T874" t="str">
            <v>Functioning</v>
          </cell>
          <cell r="U874" t="str">
            <v>Asset</v>
          </cell>
          <cell r="V874">
            <v>10825</v>
          </cell>
          <cell r="W874" t="str">
            <v>KEW</v>
          </cell>
          <cell r="X874" t="str">
            <v>01/09/2010</v>
          </cell>
          <cell r="Y874" t="str">
            <v>KEW</v>
          </cell>
          <cell r="Z874" t="str">
            <v>16/08/2013</v>
          </cell>
          <cell r="AA874" t="str">
            <v>15/08/2015</v>
          </cell>
          <cell r="AB874" t="str">
            <v>No</v>
          </cell>
          <cell r="AC874" t="str">
            <v>31/08/2013</v>
          </cell>
          <cell r="AD874" t="str">
            <v>Good</v>
          </cell>
          <cell r="AE874" t="str">
            <v>V1 - Existing / No Claim</v>
          </cell>
          <cell r="AF874">
            <v>42235</v>
          </cell>
          <cell r="AG874">
            <v>9.17</v>
          </cell>
          <cell r="AH874" t="str">
            <v>PPM</v>
          </cell>
          <cell r="AI874" t="str">
            <v>Strands</v>
          </cell>
          <cell r="AJ874" t="str">
            <v>Strands PW</v>
          </cell>
        </row>
        <row r="875">
          <cell r="A875" t="str">
            <v>IKN400419</v>
          </cell>
          <cell r="B875">
            <v>419</v>
          </cell>
          <cell r="C875" t="str">
            <v>Institut Kanser Negara</v>
          </cell>
          <cell r="D875" t="str">
            <v>KKM/IKN/H/13/1479</v>
          </cell>
          <cell r="E875" t="str">
            <v>13-215</v>
          </cell>
          <cell r="F875" t="str">
            <v>Infusion Pumps, General-Purpose</v>
          </cell>
          <cell r="G875" t="str">
            <v>WD</v>
          </cell>
          <cell r="H875" t="str">
            <v>RT/ONCO PAED/ADOLESCENT WARD</v>
          </cell>
          <cell r="I875" t="str">
            <v>06WD153</v>
          </cell>
          <cell r="J875" t="str">
            <v>EQP.ROOM</v>
          </cell>
          <cell r="K875" t="str">
            <v>BMED</v>
          </cell>
          <cell r="L875" t="str">
            <v>Normal</v>
          </cell>
          <cell r="M875" t="str">
            <v>Germany</v>
          </cell>
          <cell r="N875" t="str">
            <v>Infusomat</v>
          </cell>
          <cell r="O875" t="str">
            <v>Infusomat Space</v>
          </cell>
          <cell r="P875" t="str">
            <v>246584</v>
          </cell>
          <cell r="Q875" t="str">
            <v>Not Applicable</v>
          </cell>
          <cell r="R875" t="str">
            <v>B Braun Melsungen AG</v>
          </cell>
          <cell r="S875" t="str">
            <v>B Braun Medical Supplies Sdn. Bhd.</v>
          </cell>
          <cell r="T875" t="str">
            <v>Functioning</v>
          </cell>
          <cell r="U875" t="str">
            <v>Asset</v>
          </cell>
          <cell r="V875">
            <v>10825</v>
          </cell>
          <cell r="W875" t="str">
            <v>KEW</v>
          </cell>
          <cell r="X875" t="str">
            <v>01/09/2010</v>
          </cell>
          <cell r="Y875" t="str">
            <v>KEW</v>
          </cell>
          <cell r="Z875" t="str">
            <v>16/08/2013</v>
          </cell>
          <cell r="AA875" t="str">
            <v>15/08/2015</v>
          </cell>
          <cell r="AB875" t="str">
            <v>No</v>
          </cell>
          <cell r="AC875" t="str">
            <v>31/08/2013</v>
          </cell>
          <cell r="AD875" t="str">
            <v>Good</v>
          </cell>
          <cell r="AE875" t="str">
            <v>V1 - Existing / No Claim</v>
          </cell>
          <cell r="AF875">
            <v>42235</v>
          </cell>
          <cell r="AG875">
            <v>9.17</v>
          </cell>
          <cell r="AH875" t="str">
            <v>PPM</v>
          </cell>
          <cell r="AI875" t="str">
            <v>Strands</v>
          </cell>
          <cell r="AJ875" t="str">
            <v>Strands PW</v>
          </cell>
        </row>
        <row r="876">
          <cell r="A876" t="str">
            <v>IKN400420</v>
          </cell>
          <cell r="B876">
            <v>420</v>
          </cell>
          <cell r="C876" t="str">
            <v>Institut Kanser Negara</v>
          </cell>
          <cell r="D876" t="str">
            <v>KKM/IKN/H/13/1476</v>
          </cell>
          <cell r="E876" t="str">
            <v>13-215</v>
          </cell>
          <cell r="F876" t="str">
            <v>Infusion Pumps, General-Purpose</v>
          </cell>
          <cell r="G876" t="str">
            <v>WD</v>
          </cell>
          <cell r="H876" t="str">
            <v>RT/ONCO PAED/ADOLESCENT WARD</v>
          </cell>
          <cell r="I876" t="str">
            <v>06WD153</v>
          </cell>
          <cell r="J876" t="str">
            <v>EQP.ROOM</v>
          </cell>
          <cell r="K876" t="str">
            <v>BMED</v>
          </cell>
          <cell r="L876" t="str">
            <v>Normal</v>
          </cell>
          <cell r="M876" t="str">
            <v>Germany</v>
          </cell>
          <cell r="N876" t="str">
            <v>Infusomat</v>
          </cell>
          <cell r="O876" t="str">
            <v>Infusomat Space</v>
          </cell>
          <cell r="P876" t="str">
            <v>246583</v>
          </cell>
          <cell r="Q876" t="str">
            <v>Not Applicable</v>
          </cell>
          <cell r="R876" t="str">
            <v>B Braun Melsungen AG</v>
          </cell>
          <cell r="S876" t="str">
            <v>B Braun Medical Supplies Sdn. Bhd.</v>
          </cell>
          <cell r="T876" t="str">
            <v>Functioning</v>
          </cell>
          <cell r="U876" t="str">
            <v>Asset</v>
          </cell>
          <cell r="V876">
            <v>10825</v>
          </cell>
          <cell r="W876" t="str">
            <v>KEW</v>
          </cell>
          <cell r="X876" t="str">
            <v>01/09/2010</v>
          </cell>
          <cell r="Y876" t="str">
            <v>KEW</v>
          </cell>
          <cell r="Z876" t="str">
            <v>16/08/2013</v>
          </cell>
          <cell r="AA876" t="str">
            <v>15/08/2015</v>
          </cell>
          <cell r="AB876" t="str">
            <v>No</v>
          </cell>
          <cell r="AC876" t="str">
            <v>31/08/2013</v>
          </cell>
          <cell r="AD876" t="str">
            <v>Good</v>
          </cell>
          <cell r="AE876" t="str">
            <v>V1 - Existing / No Claim</v>
          </cell>
          <cell r="AF876">
            <v>42235</v>
          </cell>
          <cell r="AG876">
            <v>9.17</v>
          </cell>
          <cell r="AH876" t="str">
            <v>PPM</v>
          </cell>
          <cell r="AI876" t="str">
            <v>Strands</v>
          </cell>
          <cell r="AJ876" t="str">
            <v>Strands PW</v>
          </cell>
        </row>
        <row r="877">
          <cell r="A877" t="str">
            <v>IKN400421</v>
          </cell>
          <cell r="B877">
            <v>421</v>
          </cell>
          <cell r="C877" t="str">
            <v>Institut Kanser Negara</v>
          </cell>
          <cell r="D877" t="str">
            <v>KKM/IKN/H/13/1473</v>
          </cell>
          <cell r="E877" t="str">
            <v>13-215</v>
          </cell>
          <cell r="F877" t="str">
            <v>Infusion Pumps, General-Purpose</v>
          </cell>
          <cell r="G877" t="str">
            <v>WD</v>
          </cell>
          <cell r="H877" t="str">
            <v>RT/ONCO PAED/ADOLESCENT WARD</v>
          </cell>
          <cell r="I877" t="str">
            <v>06WD153</v>
          </cell>
          <cell r="J877" t="str">
            <v>EQP.ROOM</v>
          </cell>
          <cell r="K877" t="str">
            <v>BMED</v>
          </cell>
          <cell r="L877" t="str">
            <v>Normal</v>
          </cell>
          <cell r="M877" t="str">
            <v>Germany</v>
          </cell>
          <cell r="N877" t="str">
            <v>Infusomat</v>
          </cell>
          <cell r="O877" t="str">
            <v>Infusomat Space</v>
          </cell>
          <cell r="P877" t="str">
            <v>246558</v>
          </cell>
          <cell r="Q877" t="str">
            <v>Not Applicable</v>
          </cell>
          <cell r="R877" t="str">
            <v>B Braun Melsungen AG</v>
          </cell>
          <cell r="S877" t="str">
            <v>B Braun Medical Supplies Sdn. Bhd.</v>
          </cell>
          <cell r="T877" t="str">
            <v>Functioning</v>
          </cell>
          <cell r="U877" t="str">
            <v>Asset</v>
          </cell>
          <cell r="V877">
            <v>10825</v>
          </cell>
          <cell r="W877" t="str">
            <v>KEW</v>
          </cell>
          <cell r="X877" t="str">
            <v>01/09/2010</v>
          </cell>
          <cell r="Y877" t="str">
            <v>KEW</v>
          </cell>
          <cell r="Z877" t="str">
            <v>16/08/2013</v>
          </cell>
          <cell r="AA877" t="str">
            <v>15/08/2015</v>
          </cell>
          <cell r="AB877" t="str">
            <v>No</v>
          </cell>
          <cell r="AC877" t="str">
            <v>31/08/2013</v>
          </cell>
          <cell r="AD877" t="str">
            <v>Good</v>
          </cell>
          <cell r="AE877" t="str">
            <v>V1 - Existing / No Claim</v>
          </cell>
          <cell r="AF877">
            <v>42235</v>
          </cell>
          <cell r="AG877">
            <v>9.17</v>
          </cell>
          <cell r="AH877" t="str">
            <v>PPM</v>
          </cell>
          <cell r="AI877" t="str">
            <v>Strands</v>
          </cell>
          <cell r="AJ877" t="str">
            <v>Strands PW</v>
          </cell>
        </row>
        <row r="878">
          <cell r="A878" t="str">
            <v>IKN400422</v>
          </cell>
          <cell r="B878">
            <v>422</v>
          </cell>
          <cell r="C878" t="str">
            <v>Institut Kanser Negara</v>
          </cell>
          <cell r="D878" t="str">
            <v>KKM/IKN/H/13/1472</v>
          </cell>
          <cell r="E878" t="str">
            <v>13-215</v>
          </cell>
          <cell r="F878" t="str">
            <v>Infusion Pumps, General-Purpose</v>
          </cell>
          <cell r="G878" t="str">
            <v>WD</v>
          </cell>
          <cell r="H878" t="str">
            <v>RT/ONCO PAED/ADOLESCENT WARD</v>
          </cell>
          <cell r="I878" t="str">
            <v>06WD153</v>
          </cell>
          <cell r="J878" t="str">
            <v>EQP.ROOM</v>
          </cell>
          <cell r="K878" t="str">
            <v>BMED</v>
          </cell>
          <cell r="L878" t="str">
            <v>Normal</v>
          </cell>
          <cell r="M878" t="str">
            <v>Germany</v>
          </cell>
          <cell r="N878" t="str">
            <v>Infusomat</v>
          </cell>
          <cell r="O878" t="str">
            <v>Infusomat Space</v>
          </cell>
          <cell r="P878" t="str">
            <v>246565</v>
          </cell>
          <cell r="Q878" t="str">
            <v>Not Applicable</v>
          </cell>
          <cell r="R878" t="str">
            <v>B Braun Melsungen AG</v>
          </cell>
          <cell r="S878" t="str">
            <v>B Braun Medical Supplies Sdn. Bhd.</v>
          </cell>
          <cell r="T878" t="str">
            <v>Functioning</v>
          </cell>
          <cell r="U878" t="str">
            <v>Asset</v>
          </cell>
          <cell r="V878">
            <v>10825</v>
          </cell>
          <cell r="W878" t="str">
            <v>KEW</v>
          </cell>
          <cell r="X878" t="str">
            <v>01/09/2010</v>
          </cell>
          <cell r="Y878" t="str">
            <v>KEW</v>
          </cell>
          <cell r="Z878" t="str">
            <v>16/08/2013</v>
          </cell>
          <cell r="AA878" t="str">
            <v>15/08/2015</v>
          </cell>
          <cell r="AB878" t="str">
            <v>No</v>
          </cell>
          <cell r="AC878" t="str">
            <v>31/08/2013</v>
          </cell>
          <cell r="AD878" t="str">
            <v>Good</v>
          </cell>
          <cell r="AE878" t="str">
            <v>V1 - Existing / No Claim</v>
          </cell>
          <cell r="AF878">
            <v>42235</v>
          </cell>
          <cell r="AG878">
            <v>9.17</v>
          </cell>
          <cell r="AH878" t="str">
            <v>PPM</v>
          </cell>
          <cell r="AI878" t="str">
            <v>Strands</v>
          </cell>
          <cell r="AJ878" t="str">
            <v>Strands PW</v>
          </cell>
        </row>
        <row r="879">
          <cell r="A879" t="str">
            <v>IKN400423</v>
          </cell>
          <cell r="B879">
            <v>423</v>
          </cell>
          <cell r="C879" t="str">
            <v>Institut Kanser Negara</v>
          </cell>
          <cell r="D879" t="str">
            <v>KKM/IKN/H/13/1478</v>
          </cell>
          <cell r="E879" t="str">
            <v>13-215</v>
          </cell>
          <cell r="F879" t="str">
            <v>Infusion Pumps, General-Purpose</v>
          </cell>
          <cell r="G879" t="str">
            <v>WD</v>
          </cell>
          <cell r="H879" t="str">
            <v>RT/ONCO PAED/ADOLESCENT WARD</v>
          </cell>
          <cell r="I879" t="str">
            <v>06WD153</v>
          </cell>
          <cell r="J879" t="str">
            <v>EQP.ROOM</v>
          </cell>
          <cell r="K879" t="str">
            <v>BMED</v>
          </cell>
          <cell r="L879" t="str">
            <v>Normal</v>
          </cell>
          <cell r="M879" t="str">
            <v>Germany</v>
          </cell>
          <cell r="N879" t="str">
            <v>Infusomat</v>
          </cell>
          <cell r="O879" t="str">
            <v>Infusomat Space</v>
          </cell>
          <cell r="P879" t="str">
            <v>246603</v>
          </cell>
          <cell r="Q879" t="str">
            <v>Not Applicable</v>
          </cell>
          <cell r="R879" t="str">
            <v>B Braun Melsungen AG</v>
          </cell>
          <cell r="S879" t="str">
            <v>B Braun Medical Supplies Sdn. Bhd.</v>
          </cell>
          <cell r="T879" t="str">
            <v>Functioning</v>
          </cell>
          <cell r="U879" t="str">
            <v>Asset</v>
          </cell>
          <cell r="V879">
            <v>10825</v>
          </cell>
          <cell r="W879" t="str">
            <v>KEW</v>
          </cell>
          <cell r="X879" t="str">
            <v>01/09/2010</v>
          </cell>
          <cell r="Y879" t="str">
            <v>KEW</v>
          </cell>
          <cell r="Z879" t="str">
            <v>16/08/2013</v>
          </cell>
          <cell r="AA879" t="str">
            <v>15/08/2015</v>
          </cell>
          <cell r="AB879" t="str">
            <v>No</v>
          </cell>
          <cell r="AC879" t="str">
            <v>31/08/2013</v>
          </cell>
          <cell r="AD879" t="str">
            <v>Good</v>
          </cell>
          <cell r="AE879" t="str">
            <v>V1 - Existing / No Claim</v>
          </cell>
          <cell r="AF879">
            <v>42235</v>
          </cell>
          <cell r="AG879">
            <v>9.17</v>
          </cell>
          <cell r="AH879" t="str">
            <v>PPM</v>
          </cell>
          <cell r="AI879" t="str">
            <v>Strands</v>
          </cell>
          <cell r="AJ879" t="str">
            <v>Strands PW</v>
          </cell>
        </row>
        <row r="880">
          <cell r="A880" t="str">
            <v>IKN400424</v>
          </cell>
          <cell r="B880">
            <v>424</v>
          </cell>
          <cell r="C880" t="str">
            <v>Institut Kanser Negara</v>
          </cell>
          <cell r="D880" t="str">
            <v>KKM/IKN/H/13/1477</v>
          </cell>
          <cell r="E880" t="str">
            <v>13-215</v>
          </cell>
          <cell r="F880" t="str">
            <v>Infusion Pumps, General-Purpose</v>
          </cell>
          <cell r="G880" t="str">
            <v>WD</v>
          </cell>
          <cell r="H880" t="str">
            <v>RT/ONCO PAED/ADOLESCENT WARD</v>
          </cell>
          <cell r="I880" t="str">
            <v>06WD153</v>
          </cell>
          <cell r="J880" t="str">
            <v>EQP.ROOM</v>
          </cell>
          <cell r="K880" t="str">
            <v>BMED</v>
          </cell>
          <cell r="L880" t="str">
            <v>Normal</v>
          </cell>
          <cell r="M880" t="str">
            <v>Germany</v>
          </cell>
          <cell r="N880" t="str">
            <v>Infusomat</v>
          </cell>
          <cell r="O880" t="str">
            <v>Infusomat Space</v>
          </cell>
          <cell r="P880" t="str">
            <v>246520</v>
          </cell>
          <cell r="Q880" t="str">
            <v>Not Applicable</v>
          </cell>
          <cell r="R880" t="str">
            <v>B Braun Melsungen AG</v>
          </cell>
          <cell r="S880" t="str">
            <v>B Braun Medical Supplies Sdn. Bhd.</v>
          </cell>
          <cell r="T880" t="str">
            <v>Functioning</v>
          </cell>
          <cell r="U880" t="str">
            <v>Asset</v>
          </cell>
          <cell r="V880">
            <v>10825</v>
          </cell>
          <cell r="W880" t="str">
            <v>KEW</v>
          </cell>
          <cell r="X880" t="str">
            <v>01/09/2010</v>
          </cell>
          <cell r="Y880" t="str">
            <v>KEW</v>
          </cell>
          <cell r="Z880" t="str">
            <v>16/08/2013</v>
          </cell>
          <cell r="AA880" t="str">
            <v>15/08/2015</v>
          </cell>
          <cell r="AB880" t="str">
            <v>No</v>
          </cell>
          <cell r="AC880" t="str">
            <v>31/08/2013</v>
          </cell>
          <cell r="AD880" t="str">
            <v>Good</v>
          </cell>
          <cell r="AE880" t="str">
            <v>V1 - Existing / No Claim</v>
          </cell>
          <cell r="AF880">
            <v>42235</v>
          </cell>
          <cell r="AG880">
            <v>9.17</v>
          </cell>
          <cell r="AH880" t="str">
            <v>PPM</v>
          </cell>
          <cell r="AI880" t="str">
            <v>Strands</v>
          </cell>
          <cell r="AJ880" t="str">
            <v>Strands PW</v>
          </cell>
        </row>
        <row r="881">
          <cell r="A881" t="str">
            <v>IKN400425</v>
          </cell>
          <cell r="B881">
            <v>425</v>
          </cell>
          <cell r="C881" t="str">
            <v>Institut Kanser Negara</v>
          </cell>
          <cell r="D881" t="str">
            <v>KKM/IKN/H/13/1481</v>
          </cell>
          <cell r="E881" t="str">
            <v>13-217</v>
          </cell>
          <cell r="F881" t="str">
            <v>Infusion Pumps, Syringe</v>
          </cell>
          <cell r="G881" t="str">
            <v>WD</v>
          </cell>
          <cell r="H881" t="str">
            <v>RT/ONCO PAED/ADOLESCENT WARD</v>
          </cell>
          <cell r="I881" t="str">
            <v>06WD153</v>
          </cell>
          <cell r="J881" t="str">
            <v>EQP.ROOM</v>
          </cell>
          <cell r="K881" t="str">
            <v>BMED</v>
          </cell>
          <cell r="L881" t="str">
            <v>Normal</v>
          </cell>
          <cell r="M881" t="str">
            <v>Germany</v>
          </cell>
          <cell r="N881" t="str">
            <v>Perfusor</v>
          </cell>
          <cell r="O881" t="str">
            <v>Perfusor Space</v>
          </cell>
          <cell r="P881" t="str">
            <v>211428</v>
          </cell>
          <cell r="Q881" t="str">
            <v>Not Applicable</v>
          </cell>
          <cell r="R881" t="str">
            <v>B Braun Melsungen AG</v>
          </cell>
          <cell r="S881" t="str">
            <v>B Braun Medical Supplies Sdn. Bhd.</v>
          </cell>
          <cell r="T881" t="str">
            <v>Functioning</v>
          </cell>
          <cell r="U881" t="str">
            <v>Asset</v>
          </cell>
          <cell r="V881">
            <v>10225</v>
          </cell>
          <cell r="W881" t="str">
            <v>KEW</v>
          </cell>
          <cell r="X881" t="str">
            <v>01/09/2010</v>
          </cell>
          <cell r="Y881" t="str">
            <v>KEW</v>
          </cell>
          <cell r="Z881" t="str">
            <v>16/08/2013</v>
          </cell>
          <cell r="AA881" t="str">
            <v>15/08/2015</v>
          </cell>
          <cell r="AB881" t="str">
            <v>No</v>
          </cell>
          <cell r="AC881" t="str">
            <v>31/08/2013</v>
          </cell>
          <cell r="AD881" t="str">
            <v>Good</v>
          </cell>
          <cell r="AE881" t="str">
            <v>V1 - Existing / No Claim</v>
          </cell>
          <cell r="AF881">
            <v>42235</v>
          </cell>
          <cell r="AG881">
            <v>9.17</v>
          </cell>
          <cell r="AH881" t="str">
            <v>PPM</v>
          </cell>
          <cell r="AI881" t="str">
            <v>Strands</v>
          </cell>
          <cell r="AJ881" t="str">
            <v>Strands PW</v>
          </cell>
        </row>
        <row r="882">
          <cell r="A882" t="str">
            <v>IKN400426</v>
          </cell>
          <cell r="B882">
            <v>426</v>
          </cell>
          <cell r="C882" t="str">
            <v>Institut Kanser Negara</v>
          </cell>
          <cell r="D882" t="str">
            <v>KKM/IKN/H/13/1482</v>
          </cell>
          <cell r="E882" t="str">
            <v>13-217</v>
          </cell>
          <cell r="F882" t="str">
            <v>Infusion Pumps, Syringe</v>
          </cell>
          <cell r="G882" t="str">
            <v>WD</v>
          </cell>
          <cell r="H882" t="str">
            <v>RT/ONCO PAED/ADOLESCENT WARD</v>
          </cell>
          <cell r="I882" t="str">
            <v>06WD153</v>
          </cell>
          <cell r="J882" t="str">
            <v>EQP.ROOM</v>
          </cell>
          <cell r="K882" t="str">
            <v>BMED</v>
          </cell>
          <cell r="L882" t="str">
            <v>Normal</v>
          </cell>
          <cell r="M882" t="str">
            <v>Germany</v>
          </cell>
          <cell r="N882" t="str">
            <v>Perfusor</v>
          </cell>
          <cell r="O882" t="str">
            <v>Perfusor Space</v>
          </cell>
          <cell r="P882" t="str">
            <v>211422</v>
          </cell>
          <cell r="Q882" t="str">
            <v>Not Applicable</v>
          </cell>
          <cell r="R882" t="str">
            <v>B Braun Melsungen AG</v>
          </cell>
          <cell r="S882" t="str">
            <v>B Braun Medical Supplies Sdn. Bhd.</v>
          </cell>
          <cell r="T882" t="str">
            <v>Functioning</v>
          </cell>
          <cell r="U882" t="str">
            <v>Asset</v>
          </cell>
          <cell r="V882">
            <v>10825</v>
          </cell>
          <cell r="W882" t="str">
            <v>KEW</v>
          </cell>
          <cell r="X882" t="str">
            <v>01/09/2010</v>
          </cell>
          <cell r="Y882" t="str">
            <v>KEW</v>
          </cell>
          <cell r="Z882" t="str">
            <v>16/08/2013</v>
          </cell>
          <cell r="AA882" t="str">
            <v>15/08/2015</v>
          </cell>
          <cell r="AB882" t="str">
            <v>No</v>
          </cell>
          <cell r="AC882" t="str">
            <v>31/08/2013</v>
          </cell>
          <cell r="AD882" t="str">
            <v>Good</v>
          </cell>
          <cell r="AE882" t="str">
            <v>V1 - Existing / No Claim</v>
          </cell>
          <cell r="AF882">
            <v>42235</v>
          </cell>
          <cell r="AG882">
            <v>9.17</v>
          </cell>
          <cell r="AH882" t="str">
            <v>PPM</v>
          </cell>
          <cell r="AI882" t="str">
            <v>Strands</v>
          </cell>
          <cell r="AJ882" t="str">
            <v>Strands PW</v>
          </cell>
        </row>
        <row r="883">
          <cell r="A883" t="str">
            <v>IKN400427</v>
          </cell>
          <cell r="B883">
            <v>427</v>
          </cell>
          <cell r="C883" t="str">
            <v>Institut Kanser Negara</v>
          </cell>
          <cell r="D883" t="str">
            <v>KKM/IKN/H/13/1480</v>
          </cell>
          <cell r="E883" t="str">
            <v>13-215</v>
          </cell>
          <cell r="F883" t="str">
            <v>Infusion Pumps, General-Purpose</v>
          </cell>
          <cell r="G883" t="str">
            <v>WD</v>
          </cell>
          <cell r="H883" t="str">
            <v>RT/ONCO PAED/ADOLESCENT WARD</v>
          </cell>
          <cell r="I883" t="str">
            <v>06WD153</v>
          </cell>
          <cell r="J883" t="str">
            <v>EQP.ROOM</v>
          </cell>
          <cell r="K883" t="str">
            <v>BMED</v>
          </cell>
          <cell r="L883" t="str">
            <v>Normal</v>
          </cell>
          <cell r="M883" t="str">
            <v>Germany</v>
          </cell>
          <cell r="N883" t="str">
            <v>Infusomat</v>
          </cell>
          <cell r="O883" t="str">
            <v>Infusomat Space</v>
          </cell>
          <cell r="P883" t="str">
            <v>246589</v>
          </cell>
          <cell r="Q883" t="str">
            <v>Not Applicable</v>
          </cell>
          <cell r="R883" t="str">
            <v>B Braun Melsungen AG</v>
          </cell>
          <cell r="S883" t="str">
            <v>B Braun Medical Supplies Sdn. Bhd.</v>
          </cell>
          <cell r="T883" t="str">
            <v>Functioning</v>
          </cell>
          <cell r="U883" t="str">
            <v>Asset</v>
          </cell>
          <cell r="V883">
            <v>10825</v>
          </cell>
          <cell r="W883" t="str">
            <v>KEW</v>
          </cell>
          <cell r="X883" t="str">
            <v>01/09/2010</v>
          </cell>
          <cell r="Y883" t="str">
            <v>KEW</v>
          </cell>
          <cell r="Z883" t="str">
            <v>16/08/2013</v>
          </cell>
          <cell r="AA883" t="str">
            <v>15/08/2015</v>
          </cell>
          <cell r="AB883" t="str">
            <v>No</v>
          </cell>
          <cell r="AC883" t="str">
            <v>31/08/2013</v>
          </cell>
          <cell r="AD883" t="str">
            <v>Good</v>
          </cell>
          <cell r="AE883" t="str">
            <v>V1 - Existing / No Claim</v>
          </cell>
          <cell r="AF883">
            <v>42235</v>
          </cell>
          <cell r="AG883">
            <v>9.17</v>
          </cell>
          <cell r="AH883" t="str">
            <v>PPM</v>
          </cell>
          <cell r="AI883" t="str">
            <v>Strands</v>
          </cell>
          <cell r="AJ883" t="str">
            <v>Strands PW</v>
          </cell>
        </row>
        <row r="884">
          <cell r="A884" t="str">
            <v>IKN400428</v>
          </cell>
          <cell r="B884">
            <v>428</v>
          </cell>
          <cell r="C884" t="str">
            <v>Institut Kanser Negara</v>
          </cell>
          <cell r="D884" t="str">
            <v>N/A</v>
          </cell>
          <cell r="E884" t="str">
            <v>12-660</v>
          </cell>
          <cell r="F884" t="str">
            <v>Radiation Monitors</v>
          </cell>
          <cell r="G884" t="str">
            <v>NM</v>
          </cell>
          <cell r="H884" t="str">
            <v>NUCLEAR MED (DIAGNOSTIC)</v>
          </cell>
          <cell r="I884" t="str">
            <v>03NM148</v>
          </cell>
          <cell r="J884" t="str">
            <v>RADIOACTIVE WASTE (VE)</v>
          </cell>
          <cell r="K884" t="str">
            <v>BMED</v>
          </cell>
          <cell r="L884" t="str">
            <v>Normal</v>
          </cell>
          <cell r="M884" t="str">
            <v>USA</v>
          </cell>
          <cell r="N884" t="str">
            <v>Ludlum</v>
          </cell>
          <cell r="O884" t="str">
            <v>Ludlum 375P</v>
          </cell>
          <cell r="P884" t="str">
            <v>295544</v>
          </cell>
          <cell r="Q884" t="str">
            <v>Not Applicable</v>
          </cell>
          <cell r="R884" t="str">
            <v>Ludlum Measurements Inc</v>
          </cell>
          <cell r="S884" t="str">
            <v>Ludlum Measurement</v>
          </cell>
          <cell r="T884" t="str">
            <v>Functioning</v>
          </cell>
          <cell r="U884" t="str">
            <v>Asset</v>
          </cell>
          <cell r="V884">
            <v>25000</v>
          </cell>
          <cell r="W884" t="str">
            <v>Estimate</v>
          </cell>
          <cell r="X884" t="str">
            <v>01/09/2010</v>
          </cell>
          <cell r="Y884" t="str">
            <v>KEW</v>
          </cell>
          <cell r="Z884" t="str">
            <v>16/08/2013</v>
          </cell>
          <cell r="AA884" t="str">
            <v>15/08/2015</v>
          </cell>
          <cell r="AB884" t="str">
            <v>No</v>
          </cell>
          <cell r="AC884" t="str">
            <v>31/08/2013</v>
          </cell>
          <cell r="AD884" t="str">
            <v>Good</v>
          </cell>
          <cell r="AE884" t="str">
            <v>V1 - Existing / No Claim</v>
          </cell>
          <cell r="AF884">
            <v>42601</v>
          </cell>
          <cell r="AG884">
            <v>9.17</v>
          </cell>
          <cell r="AH884" t="str">
            <v>PPM</v>
          </cell>
          <cell r="AI884" t="str">
            <v>Not in contract</v>
          </cell>
        </row>
        <row r="885">
          <cell r="A885" t="str">
            <v>IKN400429</v>
          </cell>
          <cell r="B885">
            <v>429</v>
          </cell>
          <cell r="C885" t="str">
            <v>Institut Kanser Negara</v>
          </cell>
          <cell r="D885" t="str">
            <v>KKM/IKN/H/13/318</v>
          </cell>
          <cell r="E885" t="str">
            <v>15-045</v>
          </cell>
          <cell r="F885" t="str">
            <v>Nebulizers, Nonheated</v>
          </cell>
          <cell r="G885" t="str">
            <v>WC</v>
          </cell>
          <cell r="H885" t="str">
            <v>SURGICAL ONCO FEMALE WARD</v>
          </cell>
          <cell r="I885" t="str">
            <v>06WC113</v>
          </cell>
          <cell r="J885" t="str">
            <v>EQUIPMENT ROOM</v>
          </cell>
          <cell r="K885" t="str">
            <v>BMED</v>
          </cell>
          <cell r="L885" t="str">
            <v>Normal</v>
          </cell>
          <cell r="M885" t="str">
            <v>Germany</v>
          </cell>
          <cell r="N885" t="str">
            <v>Pari Boy</v>
          </cell>
          <cell r="O885" t="str">
            <v>Pari Boy SX 085</v>
          </cell>
          <cell r="P885" t="str">
            <v>2W12F13828</v>
          </cell>
          <cell r="Q885" t="str">
            <v>Not Applicable</v>
          </cell>
          <cell r="R885" t="str">
            <v>Pari GmbH</v>
          </cell>
          <cell r="S885" t="str">
            <v>Welch Allyn Malaysia Sdn Bhd</v>
          </cell>
          <cell r="T885" t="str">
            <v>Functioning</v>
          </cell>
          <cell r="U885" t="str">
            <v>Asset</v>
          </cell>
          <cell r="V885">
            <v>1140</v>
          </cell>
          <cell r="W885" t="str">
            <v>KEW</v>
          </cell>
          <cell r="X885" t="str">
            <v>01/09/2010</v>
          </cell>
          <cell r="Y885" t="str">
            <v>KEW</v>
          </cell>
          <cell r="Z885" t="str">
            <v>16/08/2013</v>
          </cell>
          <cell r="AA885" t="str">
            <v>15/08/2015</v>
          </cell>
          <cell r="AB885" t="str">
            <v>No</v>
          </cell>
          <cell r="AC885" t="str">
            <v>31/08/2013</v>
          </cell>
          <cell r="AD885" t="str">
            <v>Good</v>
          </cell>
          <cell r="AE885" t="str">
            <v>V1 - Existing / No Claim</v>
          </cell>
          <cell r="AF885">
            <v>42235</v>
          </cell>
          <cell r="AG885">
            <v>9.17</v>
          </cell>
          <cell r="AH885" t="str">
            <v>PPM</v>
          </cell>
          <cell r="AI885" t="str">
            <v>Strands</v>
          </cell>
          <cell r="AJ885" t="str">
            <v>Strands PW</v>
          </cell>
        </row>
        <row r="886">
          <cell r="A886" t="str">
            <v>IKN400430</v>
          </cell>
          <cell r="B886">
            <v>430</v>
          </cell>
          <cell r="C886" t="str">
            <v>Institut Kanser Negara</v>
          </cell>
          <cell r="D886" t="str">
            <v>KKM/IKN/H/13/1270</v>
          </cell>
          <cell r="E886" t="str">
            <v>10-447</v>
          </cell>
          <cell r="F886" t="str">
            <v>Warming Units, Blood/Solution</v>
          </cell>
          <cell r="G886" t="str">
            <v>WC</v>
          </cell>
          <cell r="H886" t="str">
            <v>SURGICAL ONCO FEMALE WARD</v>
          </cell>
          <cell r="I886" t="str">
            <v>06WC113</v>
          </cell>
          <cell r="J886" t="str">
            <v>EQUIPMENT ROOM</v>
          </cell>
          <cell r="K886" t="str">
            <v>BMED</v>
          </cell>
          <cell r="L886" t="str">
            <v>Normal</v>
          </cell>
          <cell r="M886" t="str">
            <v>Japan</v>
          </cell>
          <cell r="N886" t="str">
            <v>Animec</v>
          </cell>
          <cell r="O886" t="str">
            <v>Animec AM-301</v>
          </cell>
          <cell r="P886" t="str">
            <v>2013D0261</v>
          </cell>
          <cell r="Q886" t="str">
            <v>Not Applicable</v>
          </cell>
          <cell r="R886" t="str">
            <v>Elltec Co Ltd</v>
          </cell>
          <cell r="S886" t="str">
            <v>IDS Services (Malaysia) Sdn Bhd</v>
          </cell>
          <cell r="T886" t="str">
            <v>Functioning</v>
          </cell>
          <cell r="U886" t="str">
            <v>Asset</v>
          </cell>
          <cell r="V886">
            <v>4990</v>
          </cell>
          <cell r="W886" t="str">
            <v>KEW</v>
          </cell>
          <cell r="X886" t="str">
            <v>01/09/2010</v>
          </cell>
          <cell r="Y886" t="str">
            <v>KEW</v>
          </cell>
          <cell r="Z886" t="str">
            <v>16/08/2013</v>
          </cell>
          <cell r="AA886" t="str">
            <v>15/08/2015</v>
          </cell>
          <cell r="AB886" t="str">
            <v>No</v>
          </cell>
          <cell r="AC886" t="str">
            <v>31/08/2013</v>
          </cell>
          <cell r="AD886" t="str">
            <v>Good</v>
          </cell>
          <cell r="AE886" t="str">
            <v>V1 - Existing / No Claim</v>
          </cell>
          <cell r="AF886">
            <v>42235</v>
          </cell>
          <cell r="AG886">
            <v>9.17</v>
          </cell>
          <cell r="AH886" t="str">
            <v>PPM</v>
          </cell>
          <cell r="AI886" t="str">
            <v>Strands</v>
          </cell>
          <cell r="AJ886" t="str">
            <v>Strands PW</v>
          </cell>
        </row>
        <row r="887">
          <cell r="A887" t="str">
            <v>IKN400434</v>
          </cell>
          <cell r="B887">
            <v>434</v>
          </cell>
          <cell r="C887" t="str">
            <v>Institut Kanser Negara</v>
          </cell>
          <cell r="D887" t="str">
            <v>KKM/IKN/H/13/1352</v>
          </cell>
          <cell r="E887" t="str">
            <v>12-282</v>
          </cell>
          <cell r="F887" t="str">
            <v>Lights, Surgical</v>
          </cell>
          <cell r="G887" t="str">
            <v>WC</v>
          </cell>
          <cell r="H887" t="str">
            <v>SURGICAL ONCO FEMALE WARD</v>
          </cell>
          <cell r="I887" t="str">
            <v>06WC113</v>
          </cell>
          <cell r="J887" t="str">
            <v>EQUIPMENT ROOM</v>
          </cell>
          <cell r="K887" t="str">
            <v>BMED</v>
          </cell>
          <cell r="L887" t="str">
            <v>Normal</v>
          </cell>
          <cell r="M887" t="str">
            <v>USA</v>
          </cell>
          <cell r="N887" t="str">
            <v>Welch Allyn</v>
          </cell>
          <cell r="O887" t="str">
            <v>Welch Allyn GS600</v>
          </cell>
          <cell r="P887" t="str">
            <v>GS-600-36</v>
          </cell>
          <cell r="Q887" t="str">
            <v>Not Applicable</v>
          </cell>
          <cell r="R887" t="str">
            <v>Welch Allyn Inc</v>
          </cell>
          <cell r="S887" t="str">
            <v>Welch Allyn Malaysia Sdn Bhd</v>
          </cell>
          <cell r="T887" t="str">
            <v>Functioning</v>
          </cell>
          <cell r="U887" t="str">
            <v>Asset</v>
          </cell>
          <cell r="V887">
            <v>5050</v>
          </cell>
          <cell r="W887" t="str">
            <v>KEW</v>
          </cell>
          <cell r="X887" t="str">
            <v>01/09/2010</v>
          </cell>
          <cell r="Y887" t="str">
            <v>KEW</v>
          </cell>
          <cell r="Z887" t="str">
            <v>16/08/2013</v>
          </cell>
          <cell r="AA887" t="str">
            <v>15/08/2015</v>
          </cell>
          <cell r="AB887" t="str">
            <v>No</v>
          </cell>
          <cell r="AC887" t="str">
            <v>31/08/2013</v>
          </cell>
          <cell r="AD887" t="str">
            <v>Good</v>
          </cell>
          <cell r="AE887" t="str">
            <v>V1 - Existing / No Claim</v>
          </cell>
          <cell r="AF887">
            <v>42235</v>
          </cell>
          <cell r="AG887">
            <v>9.17</v>
          </cell>
          <cell r="AH887" t="str">
            <v>PPM</v>
          </cell>
          <cell r="AI887" t="str">
            <v>Strands</v>
          </cell>
          <cell r="AJ887" t="str">
            <v>Strands PW</v>
          </cell>
        </row>
        <row r="888">
          <cell r="A888" t="str">
            <v>IKN400435</v>
          </cell>
          <cell r="B888">
            <v>435</v>
          </cell>
          <cell r="C888" t="str">
            <v>Institut Kanser Negara</v>
          </cell>
          <cell r="D888" t="str">
            <v>KKM/IKN/H/13/1353</v>
          </cell>
          <cell r="E888" t="str">
            <v>12-282</v>
          </cell>
          <cell r="F888" t="str">
            <v>Lights, Surgical</v>
          </cell>
          <cell r="G888" t="str">
            <v>WC</v>
          </cell>
          <cell r="H888" t="str">
            <v>SURGICAL ONCO FEMALE WARD</v>
          </cell>
          <cell r="I888" t="str">
            <v>06WC113</v>
          </cell>
          <cell r="J888" t="str">
            <v>EQUIPMENT ROOM</v>
          </cell>
          <cell r="K888" t="str">
            <v>BMED</v>
          </cell>
          <cell r="L888" t="str">
            <v>Normal</v>
          </cell>
          <cell r="M888" t="str">
            <v>USA</v>
          </cell>
          <cell r="N888" t="str">
            <v>Welch Allyn</v>
          </cell>
          <cell r="O888" t="str">
            <v>Welch Allyn GS600</v>
          </cell>
          <cell r="P888" t="str">
            <v>GS-600-47</v>
          </cell>
          <cell r="Q888" t="str">
            <v>Not Applicable</v>
          </cell>
          <cell r="R888" t="str">
            <v>Welch Allyn Inc</v>
          </cell>
          <cell r="S888" t="str">
            <v>Welch Allyn Malaysia Sdn Bhd</v>
          </cell>
          <cell r="T888" t="str">
            <v>Functioning</v>
          </cell>
          <cell r="U888" t="str">
            <v>Asset</v>
          </cell>
          <cell r="V888">
            <v>5050</v>
          </cell>
          <cell r="W888" t="str">
            <v>KEW</v>
          </cell>
          <cell r="X888" t="str">
            <v>01/09/2010</v>
          </cell>
          <cell r="Y888" t="str">
            <v>KEW</v>
          </cell>
          <cell r="Z888" t="str">
            <v>16/08/2013</v>
          </cell>
          <cell r="AA888" t="str">
            <v>15/08/2015</v>
          </cell>
          <cell r="AB888" t="str">
            <v>No</v>
          </cell>
          <cell r="AC888" t="str">
            <v>31/08/2013</v>
          </cell>
          <cell r="AD888" t="str">
            <v>Good</v>
          </cell>
          <cell r="AE888" t="str">
            <v>V1 - Existing / No Claim</v>
          </cell>
          <cell r="AF888">
            <v>42235</v>
          </cell>
          <cell r="AG888">
            <v>9.17</v>
          </cell>
          <cell r="AH888" t="str">
            <v>PPM</v>
          </cell>
          <cell r="AI888" t="str">
            <v>Strands</v>
          </cell>
          <cell r="AJ888" t="str">
            <v>Strands PW</v>
          </cell>
        </row>
        <row r="889">
          <cell r="A889" t="str">
            <v>IKN400437</v>
          </cell>
          <cell r="B889">
            <v>437</v>
          </cell>
          <cell r="C889" t="str">
            <v>Institut Kanser Negara</v>
          </cell>
          <cell r="D889" t="str">
            <v>KKM/IKN/H/13/2017</v>
          </cell>
          <cell r="E889" t="str">
            <v>15-045</v>
          </cell>
          <cell r="F889" t="str">
            <v>Nebulizers, Nonheated</v>
          </cell>
          <cell r="G889" t="str">
            <v>WC</v>
          </cell>
          <cell r="H889" t="str">
            <v>SURGICAL ONCO FEMALE WARD</v>
          </cell>
          <cell r="I889" t="str">
            <v>06WC113</v>
          </cell>
          <cell r="J889" t="str">
            <v>EQUIPMENT ROOM</v>
          </cell>
          <cell r="K889" t="str">
            <v>BMED</v>
          </cell>
          <cell r="L889" t="str">
            <v>Normal</v>
          </cell>
          <cell r="M889" t="str">
            <v>Germany</v>
          </cell>
          <cell r="N889" t="str">
            <v>Pari Boy</v>
          </cell>
          <cell r="O889" t="str">
            <v>Pari Boy SX 085</v>
          </cell>
          <cell r="P889" t="str">
            <v>2W12K14141</v>
          </cell>
          <cell r="Q889" t="str">
            <v>Not Applicable</v>
          </cell>
          <cell r="R889" t="str">
            <v>Pari GmbH</v>
          </cell>
          <cell r="S889" t="str">
            <v>Welch Allyn Malaysia Sdn Bhd</v>
          </cell>
          <cell r="T889" t="str">
            <v>Functioning</v>
          </cell>
          <cell r="U889" t="str">
            <v>Asset</v>
          </cell>
          <cell r="V889">
            <v>1140</v>
          </cell>
          <cell r="W889" t="str">
            <v>KEW</v>
          </cell>
          <cell r="X889" t="str">
            <v>01/09/2010</v>
          </cell>
          <cell r="Y889" t="str">
            <v>KEW</v>
          </cell>
          <cell r="Z889" t="str">
            <v>16/08/2013</v>
          </cell>
          <cell r="AA889" t="str">
            <v>15/08/2015</v>
          </cell>
          <cell r="AB889" t="str">
            <v>No</v>
          </cell>
          <cell r="AC889" t="str">
            <v>31/08/2013</v>
          </cell>
          <cell r="AD889" t="str">
            <v>Good</v>
          </cell>
          <cell r="AE889" t="str">
            <v>V1 - Existing / No Claim</v>
          </cell>
          <cell r="AF889">
            <v>42235</v>
          </cell>
          <cell r="AG889">
            <v>9.17</v>
          </cell>
          <cell r="AH889" t="str">
            <v>PPM</v>
          </cell>
          <cell r="AI889" t="str">
            <v>Strands</v>
          </cell>
          <cell r="AJ889" t="str">
            <v>Strands PW</v>
          </cell>
        </row>
        <row r="890">
          <cell r="A890" t="str">
            <v>IKN400438</v>
          </cell>
          <cell r="B890">
            <v>438</v>
          </cell>
          <cell r="C890" t="str">
            <v>Institut Kanser Negara</v>
          </cell>
          <cell r="D890" t="str">
            <v>KKM/IKN/H/13/319</v>
          </cell>
          <cell r="E890" t="str">
            <v>15-045</v>
          </cell>
          <cell r="F890" t="str">
            <v>Nebulizers, Nonheated</v>
          </cell>
          <cell r="G890" t="str">
            <v>WC</v>
          </cell>
          <cell r="H890" t="str">
            <v>SURGICAL ONCO FEMALE WARD</v>
          </cell>
          <cell r="I890" t="str">
            <v>06WC113</v>
          </cell>
          <cell r="J890" t="str">
            <v>EQUIPMENT ROOM</v>
          </cell>
          <cell r="K890" t="str">
            <v>BMED</v>
          </cell>
          <cell r="L890" t="str">
            <v>Normal</v>
          </cell>
          <cell r="M890" t="str">
            <v>Germany</v>
          </cell>
          <cell r="N890" t="str">
            <v>Pari Boy</v>
          </cell>
          <cell r="O890" t="str">
            <v>Pari Boy SX 085</v>
          </cell>
          <cell r="P890" t="str">
            <v>2W12J05853</v>
          </cell>
          <cell r="Q890" t="str">
            <v>Not Applicable</v>
          </cell>
          <cell r="R890" t="str">
            <v>Pari GmbH</v>
          </cell>
          <cell r="S890" t="str">
            <v>Welch Allyn Malaysia Sdn Bhd</v>
          </cell>
          <cell r="T890" t="str">
            <v>Functioning</v>
          </cell>
          <cell r="U890" t="str">
            <v>Asset</v>
          </cell>
          <cell r="V890">
            <v>1140</v>
          </cell>
          <cell r="W890" t="str">
            <v>KEW</v>
          </cell>
          <cell r="X890" t="str">
            <v>01/09/2010</v>
          </cell>
          <cell r="Y890" t="str">
            <v>KEW</v>
          </cell>
          <cell r="Z890" t="str">
            <v>16/08/2013</v>
          </cell>
          <cell r="AA890" t="str">
            <v>15/08/2015</v>
          </cell>
          <cell r="AB890" t="str">
            <v>No</v>
          </cell>
          <cell r="AC890" t="str">
            <v>31/08/2013</v>
          </cell>
          <cell r="AD890" t="str">
            <v>Good</v>
          </cell>
          <cell r="AE890" t="str">
            <v>V1 - Existing / No Claim</v>
          </cell>
          <cell r="AF890">
            <v>42235</v>
          </cell>
          <cell r="AG890">
            <v>9.17</v>
          </cell>
          <cell r="AH890" t="str">
            <v>PPM</v>
          </cell>
          <cell r="AI890" t="str">
            <v>Strands</v>
          </cell>
          <cell r="AJ890" t="str">
            <v>Strands PW</v>
          </cell>
        </row>
        <row r="891">
          <cell r="A891" t="str">
            <v>IKN400439</v>
          </cell>
          <cell r="B891">
            <v>439</v>
          </cell>
          <cell r="C891" t="str">
            <v>Institut Kanser Negara</v>
          </cell>
          <cell r="D891" t="str">
            <v>KKM/IKN/H/13/1328</v>
          </cell>
          <cell r="E891" t="str">
            <v>16-173</v>
          </cell>
          <cell r="F891" t="str">
            <v>Sphygmomanometers, Electronic, Automatic</v>
          </cell>
          <cell r="G891" t="str">
            <v>WC</v>
          </cell>
          <cell r="H891" t="str">
            <v>SURGICAL ONCO FEMALE WARD</v>
          </cell>
          <cell r="I891" t="str">
            <v>06WC143</v>
          </cell>
          <cell r="J891" t="str">
            <v>NURSE STATION</v>
          </cell>
          <cell r="K891" t="str">
            <v>BMED</v>
          </cell>
          <cell r="L891" t="str">
            <v>Normal</v>
          </cell>
          <cell r="M891" t="str">
            <v>USA</v>
          </cell>
          <cell r="N891" t="str">
            <v>Connex</v>
          </cell>
          <cell r="O891" t="str">
            <v>Connex ProBP 3400</v>
          </cell>
          <cell r="P891" t="str">
            <v>100001550613</v>
          </cell>
          <cell r="Q891" t="str">
            <v>Not Applicable</v>
          </cell>
          <cell r="R891" t="str">
            <v>Welch Allyn Inc</v>
          </cell>
          <cell r="S891" t="str">
            <v>Welch Allyn Malaysia Sdn Bhd</v>
          </cell>
          <cell r="T891" t="str">
            <v>Functioning</v>
          </cell>
          <cell r="U891" t="str">
            <v>Asset</v>
          </cell>
          <cell r="V891">
            <v>4510</v>
          </cell>
          <cell r="W891" t="str">
            <v>KEW</v>
          </cell>
          <cell r="X891" t="str">
            <v>01/09/2010</v>
          </cell>
          <cell r="Y891" t="str">
            <v>KEW</v>
          </cell>
          <cell r="Z891" t="str">
            <v>16/08/2013</v>
          </cell>
          <cell r="AA891" t="str">
            <v>15/08/2015</v>
          </cell>
          <cell r="AB891" t="str">
            <v>No</v>
          </cell>
          <cell r="AC891" t="str">
            <v>31/08/2013</v>
          </cell>
          <cell r="AD891" t="str">
            <v>Good</v>
          </cell>
          <cell r="AE891" t="str">
            <v>V1 - Existing / No Claim</v>
          </cell>
          <cell r="AF891">
            <v>42235</v>
          </cell>
          <cell r="AG891">
            <v>9.17</v>
          </cell>
          <cell r="AH891" t="str">
            <v>PPM</v>
          </cell>
          <cell r="AI891" t="str">
            <v>Strands</v>
          </cell>
          <cell r="AJ891" t="str">
            <v>Strands PW</v>
          </cell>
        </row>
        <row r="892">
          <cell r="A892" t="str">
            <v>IKN400440</v>
          </cell>
          <cell r="B892">
            <v>440</v>
          </cell>
          <cell r="C892" t="str">
            <v>Institut Kanser Negara</v>
          </cell>
          <cell r="D892" t="str">
            <v>KKM/IKN/H/13/1332</v>
          </cell>
          <cell r="E892" t="str">
            <v>16-173</v>
          </cell>
          <cell r="F892" t="str">
            <v>Sphygmomanometers, Electronic, Automatic</v>
          </cell>
          <cell r="G892" t="str">
            <v>WC</v>
          </cell>
          <cell r="H892" t="str">
            <v>SURGICAL ONCO FEMALE WARD</v>
          </cell>
          <cell r="I892" t="str">
            <v>06WC143</v>
          </cell>
          <cell r="J892" t="str">
            <v>NURSE STATION</v>
          </cell>
          <cell r="K892" t="str">
            <v>BMED</v>
          </cell>
          <cell r="L892" t="str">
            <v>Normal</v>
          </cell>
          <cell r="M892" t="str">
            <v>USA</v>
          </cell>
          <cell r="N892" t="str">
            <v>Connex</v>
          </cell>
          <cell r="O892" t="str">
            <v>Connex ProBP 3400</v>
          </cell>
          <cell r="P892" t="str">
            <v>100001570613</v>
          </cell>
          <cell r="Q892" t="str">
            <v>Not Applicable</v>
          </cell>
          <cell r="R892" t="str">
            <v>Welch Allyn Inc</v>
          </cell>
          <cell r="S892" t="str">
            <v>Welch Allyn Malaysia Sdn Bhd</v>
          </cell>
          <cell r="T892" t="str">
            <v>Functioning</v>
          </cell>
          <cell r="U892" t="str">
            <v>Asset</v>
          </cell>
          <cell r="V892">
            <v>4510</v>
          </cell>
          <cell r="W892" t="str">
            <v>KEW</v>
          </cell>
          <cell r="X892" t="str">
            <v>01/09/2010</v>
          </cell>
          <cell r="Y892" t="str">
            <v>KEW</v>
          </cell>
          <cell r="Z892" t="str">
            <v>16/08/2013</v>
          </cell>
          <cell r="AA892" t="str">
            <v>15/08/2015</v>
          </cell>
          <cell r="AB892" t="str">
            <v>No</v>
          </cell>
          <cell r="AC892" t="str">
            <v>31/08/2013</v>
          </cell>
          <cell r="AD892" t="str">
            <v>Good</v>
          </cell>
          <cell r="AE892" t="str">
            <v>V1 - Existing / No Claim</v>
          </cell>
          <cell r="AF892">
            <v>42235</v>
          </cell>
          <cell r="AG892">
            <v>9.17</v>
          </cell>
          <cell r="AH892" t="str">
            <v>PPM</v>
          </cell>
          <cell r="AI892" t="str">
            <v>Strands</v>
          </cell>
          <cell r="AJ892" t="str">
            <v>Strands PW</v>
          </cell>
        </row>
        <row r="893">
          <cell r="A893" t="str">
            <v>IKN400441</v>
          </cell>
          <cell r="B893">
            <v>441</v>
          </cell>
          <cell r="C893" t="str">
            <v>Institut Kanser Negara</v>
          </cell>
          <cell r="D893" t="str">
            <v>KKM/IKN/H/13/4290</v>
          </cell>
          <cell r="E893" t="str">
            <v>10-849</v>
          </cell>
          <cell r="F893" t="str">
            <v>Circulatory Assist Units, Venous Return</v>
          </cell>
          <cell r="G893" t="str">
            <v>WC</v>
          </cell>
          <cell r="H893" t="str">
            <v>SURGICAL ONCO FEMALE WARD</v>
          </cell>
          <cell r="I893" t="str">
            <v>06WC113</v>
          </cell>
          <cell r="J893" t="str">
            <v>EQUIPMENT ROOM</v>
          </cell>
          <cell r="K893" t="str">
            <v>BMED</v>
          </cell>
          <cell r="L893" t="str">
            <v>Normal</v>
          </cell>
          <cell r="M893" t="str">
            <v>Taiwan</v>
          </cell>
          <cell r="N893" t="str">
            <v>Vena Press</v>
          </cell>
          <cell r="O893" t="str">
            <v>Vena Press IPC</v>
          </cell>
          <cell r="P893" t="str">
            <v>C820016698</v>
          </cell>
          <cell r="Q893" t="str">
            <v>Not Applicable</v>
          </cell>
          <cell r="R893" t="str">
            <v>Prius Healthcare Solution</v>
          </cell>
          <cell r="S893" t="str">
            <v>Medika Supplies</v>
          </cell>
          <cell r="T893" t="str">
            <v>Functioning</v>
          </cell>
          <cell r="U893" t="str">
            <v>Asset</v>
          </cell>
          <cell r="V893">
            <v>13470</v>
          </cell>
          <cell r="W893" t="str">
            <v>KEW</v>
          </cell>
          <cell r="X893" t="str">
            <v>01/09/2010</v>
          </cell>
          <cell r="Y893" t="str">
            <v>KEW</v>
          </cell>
          <cell r="Z893" t="str">
            <v>16/08/2013</v>
          </cell>
          <cell r="AA893" t="str">
            <v>15/08/2015</v>
          </cell>
          <cell r="AB893" t="str">
            <v>No</v>
          </cell>
          <cell r="AC893" t="str">
            <v>31/08/2013</v>
          </cell>
          <cell r="AD893" t="str">
            <v>Good</v>
          </cell>
          <cell r="AE893" t="str">
            <v>V1 - Existing / No Claim</v>
          </cell>
          <cell r="AF893">
            <v>42235</v>
          </cell>
          <cell r="AG893">
            <v>9.17</v>
          </cell>
          <cell r="AH893" t="str">
            <v>PPM</v>
          </cell>
          <cell r="AI893" t="str">
            <v>Strands</v>
          </cell>
          <cell r="AJ893" t="str">
            <v>Strands PW SET B</v>
          </cell>
          <cell r="AK893" t="str">
            <v>CUBA CHECK IKN401123 PUNYA KEWPA</v>
          </cell>
        </row>
        <row r="894">
          <cell r="A894" t="str">
            <v>IKN400442</v>
          </cell>
          <cell r="B894">
            <v>442</v>
          </cell>
          <cell r="C894" t="str">
            <v>Institut Kanser Negara</v>
          </cell>
          <cell r="D894" t="str">
            <v>KKM/IKN/H/13/1268</v>
          </cell>
          <cell r="E894" t="str">
            <v>13-217</v>
          </cell>
          <cell r="F894" t="str">
            <v>Infusion Pumps, Syringe</v>
          </cell>
          <cell r="G894" t="str">
            <v>WC</v>
          </cell>
          <cell r="H894" t="str">
            <v>SURGICAL ONCO FEMALE WARD</v>
          </cell>
          <cell r="I894" t="str">
            <v>06WC113</v>
          </cell>
          <cell r="J894" t="str">
            <v>EQUIPMENT ROOM</v>
          </cell>
          <cell r="K894" t="str">
            <v>BMED</v>
          </cell>
          <cell r="L894" t="str">
            <v>Normal</v>
          </cell>
          <cell r="M894" t="str">
            <v>Germany</v>
          </cell>
          <cell r="N894" t="str">
            <v>Perfusor</v>
          </cell>
          <cell r="O894" t="str">
            <v>Perfusor Space</v>
          </cell>
          <cell r="P894" t="str">
            <v>186586</v>
          </cell>
          <cell r="Q894" t="str">
            <v>Not Applicable</v>
          </cell>
          <cell r="R894" t="str">
            <v>B Braun Melsungen AG</v>
          </cell>
          <cell r="S894" t="str">
            <v>B Braun Medical Supplies Sdn. Bhd.</v>
          </cell>
          <cell r="T894" t="str">
            <v>Functioning</v>
          </cell>
          <cell r="U894" t="str">
            <v>Asset</v>
          </cell>
          <cell r="V894">
            <v>10225</v>
          </cell>
          <cell r="W894" t="str">
            <v>KEW</v>
          </cell>
          <cell r="X894" t="str">
            <v>01/09/2010</v>
          </cell>
          <cell r="Y894" t="str">
            <v>KEW</v>
          </cell>
          <cell r="Z894" t="str">
            <v>16/08/2013</v>
          </cell>
          <cell r="AA894" t="str">
            <v>15/08/2015</v>
          </cell>
          <cell r="AB894" t="str">
            <v>No</v>
          </cell>
          <cell r="AC894" t="str">
            <v>31/08/2013</v>
          </cell>
          <cell r="AD894" t="str">
            <v>Good</v>
          </cell>
          <cell r="AE894" t="str">
            <v>V1 - Existing / No Claim</v>
          </cell>
          <cell r="AF894">
            <v>42235</v>
          </cell>
          <cell r="AG894">
            <v>9.17</v>
          </cell>
          <cell r="AH894" t="str">
            <v>PPM</v>
          </cell>
          <cell r="AI894" t="str">
            <v>Strands</v>
          </cell>
          <cell r="AJ894" t="str">
            <v>Strands PW</v>
          </cell>
        </row>
        <row r="895">
          <cell r="A895" t="str">
            <v>IKN400443</v>
          </cell>
          <cell r="B895">
            <v>443</v>
          </cell>
          <cell r="C895" t="str">
            <v>Institut Kanser Negara</v>
          </cell>
          <cell r="D895" t="str">
            <v>KKM/IKN/H/13/1269</v>
          </cell>
          <cell r="E895" t="str">
            <v>13-217</v>
          </cell>
          <cell r="F895" t="str">
            <v>Infusion Pumps, Syringe</v>
          </cell>
          <cell r="G895" t="str">
            <v>WC</v>
          </cell>
          <cell r="H895" t="str">
            <v>SURGICAL ONCO FEMALE WARD</v>
          </cell>
          <cell r="I895" t="str">
            <v>06WC113</v>
          </cell>
          <cell r="J895" t="str">
            <v>EQUIPMENT ROOM</v>
          </cell>
          <cell r="K895" t="str">
            <v>BMED</v>
          </cell>
          <cell r="L895" t="str">
            <v>Normal</v>
          </cell>
          <cell r="M895" t="str">
            <v>Germany</v>
          </cell>
          <cell r="N895" t="str">
            <v>Perfusor</v>
          </cell>
          <cell r="O895" t="str">
            <v>Perfusor Space</v>
          </cell>
          <cell r="P895" t="str">
            <v>186974</v>
          </cell>
          <cell r="Q895" t="str">
            <v>Not Applicable</v>
          </cell>
          <cell r="R895" t="str">
            <v>B Braun Melsungen AG</v>
          </cell>
          <cell r="S895" t="str">
            <v>B Braun Medical Supplies Sdn. Bhd.</v>
          </cell>
          <cell r="T895" t="str">
            <v>Functioning</v>
          </cell>
          <cell r="U895" t="str">
            <v>Asset</v>
          </cell>
          <cell r="V895">
            <v>10225</v>
          </cell>
          <cell r="W895" t="str">
            <v>KEW</v>
          </cell>
          <cell r="X895" t="str">
            <v>01/09/2010</v>
          </cell>
          <cell r="Y895" t="str">
            <v>KEW</v>
          </cell>
          <cell r="Z895" t="str">
            <v>16/08/2013</v>
          </cell>
          <cell r="AA895" t="str">
            <v>15/08/2015</v>
          </cell>
          <cell r="AB895" t="str">
            <v>No</v>
          </cell>
          <cell r="AC895" t="str">
            <v>31/08/2013</v>
          </cell>
          <cell r="AD895" t="str">
            <v>Good</v>
          </cell>
          <cell r="AE895" t="str">
            <v>V1 - Existing / No Claim</v>
          </cell>
          <cell r="AF895">
            <v>42235</v>
          </cell>
          <cell r="AG895">
            <v>9.17</v>
          </cell>
          <cell r="AH895" t="str">
            <v>PPM</v>
          </cell>
          <cell r="AI895" t="str">
            <v>Strands</v>
          </cell>
          <cell r="AJ895" t="str">
            <v>Strands PW</v>
          </cell>
        </row>
        <row r="896">
          <cell r="A896" t="str">
            <v>IKN400444</v>
          </cell>
          <cell r="B896">
            <v>444</v>
          </cell>
          <cell r="C896" t="str">
            <v>Institut Kanser Negara</v>
          </cell>
          <cell r="D896" t="str">
            <v>KKM/IKN/H/13/4287</v>
          </cell>
          <cell r="E896" t="str">
            <v>13-217</v>
          </cell>
          <cell r="F896" t="str">
            <v>Infusion Pumps, Syringe</v>
          </cell>
          <cell r="G896" t="str">
            <v>WC</v>
          </cell>
          <cell r="H896" t="str">
            <v>SURGICAL ONCO FEMALE WARD</v>
          </cell>
          <cell r="I896" t="str">
            <v>06WC113</v>
          </cell>
          <cell r="J896" t="str">
            <v>EQUIPMENT ROOM</v>
          </cell>
          <cell r="K896" t="str">
            <v>BMED</v>
          </cell>
          <cell r="L896" t="str">
            <v>Normal</v>
          </cell>
          <cell r="M896" t="str">
            <v>Germany</v>
          </cell>
          <cell r="N896" t="str">
            <v>Perfusor</v>
          </cell>
          <cell r="O896" t="str">
            <v>Perfusor Space</v>
          </cell>
          <cell r="P896" t="str">
            <v>187009</v>
          </cell>
          <cell r="Q896" t="str">
            <v>Not Applicable</v>
          </cell>
          <cell r="R896" t="str">
            <v>B Braun Melsungen AG</v>
          </cell>
          <cell r="S896" t="str">
            <v>B Braun Medical Supplies Sdn. Bhd.</v>
          </cell>
          <cell r="T896" t="str">
            <v>Functioning</v>
          </cell>
          <cell r="U896" t="str">
            <v>Asset</v>
          </cell>
          <cell r="V896">
            <v>10225</v>
          </cell>
          <cell r="W896" t="str">
            <v>KEW</v>
          </cell>
          <cell r="X896" t="str">
            <v>01/09/2010</v>
          </cell>
          <cell r="Y896" t="str">
            <v>KEW</v>
          </cell>
          <cell r="Z896" t="str">
            <v>16/08/2013</v>
          </cell>
          <cell r="AA896" t="str">
            <v>15/08/2015</v>
          </cell>
          <cell r="AB896" t="str">
            <v>No</v>
          </cell>
          <cell r="AC896" t="str">
            <v>31/08/2013</v>
          </cell>
          <cell r="AD896" t="str">
            <v>Good</v>
          </cell>
          <cell r="AE896" t="str">
            <v>V1 - Existing / No Claim</v>
          </cell>
          <cell r="AF896">
            <v>42235</v>
          </cell>
          <cell r="AG896">
            <v>9.17</v>
          </cell>
          <cell r="AH896" t="str">
            <v>PPM</v>
          </cell>
          <cell r="AI896" t="str">
            <v>Strands</v>
          </cell>
          <cell r="AJ896" t="str">
            <v>Strands PW</v>
          </cell>
        </row>
        <row r="897">
          <cell r="A897" t="str">
            <v>IKN400445</v>
          </cell>
          <cell r="B897">
            <v>445</v>
          </cell>
          <cell r="C897" t="str">
            <v>Institut Kanser Negara</v>
          </cell>
          <cell r="D897" t="str">
            <v>KKM/IKN/H/13/4289</v>
          </cell>
          <cell r="E897" t="str">
            <v>13-217</v>
          </cell>
          <cell r="F897" t="str">
            <v>Infusion Pumps, Syringe</v>
          </cell>
          <cell r="G897" t="str">
            <v>WC</v>
          </cell>
          <cell r="H897" t="str">
            <v>SURGICAL ONCO FEMALE WARD</v>
          </cell>
          <cell r="I897" t="str">
            <v>06WC113</v>
          </cell>
          <cell r="J897" t="str">
            <v>EQUIPMENT ROOM</v>
          </cell>
          <cell r="K897" t="str">
            <v>BMED</v>
          </cell>
          <cell r="L897" t="str">
            <v>Normal</v>
          </cell>
          <cell r="M897" t="str">
            <v>Germany</v>
          </cell>
          <cell r="N897" t="str">
            <v>Perfusor</v>
          </cell>
          <cell r="O897" t="str">
            <v>Perfusor Space</v>
          </cell>
          <cell r="P897" t="str">
            <v>187037</v>
          </cell>
          <cell r="Q897" t="str">
            <v>Not Applicable</v>
          </cell>
          <cell r="R897" t="str">
            <v>B Braun Melsungen AG</v>
          </cell>
          <cell r="S897" t="str">
            <v>B Braun Medical Supplies Sdn. Bhd.</v>
          </cell>
          <cell r="T897" t="str">
            <v>Functioning</v>
          </cell>
          <cell r="U897" t="str">
            <v>Asset</v>
          </cell>
          <cell r="V897">
            <v>10225</v>
          </cell>
          <cell r="W897" t="str">
            <v>KEW</v>
          </cell>
          <cell r="X897" t="str">
            <v>01/09/2010</v>
          </cell>
          <cell r="Y897" t="str">
            <v>KEW</v>
          </cell>
          <cell r="Z897" t="str">
            <v>16/08/2013</v>
          </cell>
          <cell r="AA897" t="str">
            <v>15/08/2015</v>
          </cell>
          <cell r="AB897" t="str">
            <v>No</v>
          </cell>
          <cell r="AC897" t="str">
            <v>31/08/2013</v>
          </cell>
          <cell r="AD897" t="str">
            <v>Good</v>
          </cell>
          <cell r="AE897" t="str">
            <v>V1 - Existing / No Claim</v>
          </cell>
          <cell r="AF897">
            <v>42235</v>
          </cell>
          <cell r="AG897">
            <v>9.17</v>
          </cell>
          <cell r="AH897" t="str">
            <v>PPM</v>
          </cell>
          <cell r="AI897" t="str">
            <v>Strands</v>
          </cell>
          <cell r="AJ897" t="str">
            <v>Strands PW</v>
          </cell>
        </row>
        <row r="898">
          <cell r="A898" t="str">
            <v>IKN400446</v>
          </cell>
          <cell r="B898">
            <v>446</v>
          </cell>
          <cell r="C898" t="str">
            <v>Institut Kanser Negara</v>
          </cell>
          <cell r="D898" t="str">
            <v>KKM/IKN/H/13/1287</v>
          </cell>
          <cell r="E898" t="str">
            <v>13-215</v>
          </cell>
          <cell r="F898" t="str">
            <v>Infusion Pumps, General-Purpose</v>
          </cell>
          <cell r="G898" t="str">
            <v>WC</v>
          </cell>
          <cell r="H898" t="str">
            <v>SURGICAL ONCO FEMALE WARD</v>
          </cell>
          <cell r="I898" t="str">
            <v>06WC113</v>
          </cell>
          <cell r="J898" t="str">
            <v>EQUIPMENT ROOM</v>
          </cell>
          <cell r="K898" t="str">
            <v>BMED</v>
          </cell>
          <cell r="L898" t="str">
            <v>Normal</v>
          </cell>
          <cell r="M898" t="str">
            <v>Germany</v>
          </cell>
          <cell r="N898" t="str">
            <v>Infusomat</v>
          </cell>
          <cell r="O898" t="str">
            <v>Infusomat Space</v>
          </cell>
          <cell r="P898" t="str">
            <v>212021</v>
          </cell>
          <cell r="Q898" t="str">
            <v>Not Applicable</v>
          </cell>
          <cell r="R898" t="str">
            <v>B Braun Melsungen AG</v>
          </cell>
          <cell r="S898" t="str">
            <v>B Braun Medical Supplies Sdn. Bhd.</v>
          </cell>
          <cell r="T898" t="str">
            <v>Functioning</v>
          </cell>
          <cell r="U898" t="str">
            <v>Asset</v>
          </cell>
          <cell r="V898">
            <v>10825</v>
          </cell>
          <cell r="W898" t="str">
            <v>KEW</v>
          </cell>
          <cell r="X898" t="str">
            <v>01/09/2010</v>
          </cell>
          <cell r="Y898" t="str">
            <v>KEW</v>
          </cell>
          <cell r="Z898" t="str">
            <v>16/08/2013</v>
          </cell>
          <cell r="AA898" t="str">
            <v>15/08/2015</v>
          </cell>
          <cell r="AB898" t="str">
            <v>No</v>
          </cell>
          <cell r="AC898" t="str">
            <v>31/08/2013</v>
          </cell>
          <cell r="AD898" t="str">
            <v>Good</v>
          </cell>
          <cell r="AE898" t="str">
            <v>V1 - Existing / No Claim</v>
          </cell>
          <cell r="AF898">
            <v>42235</v>
          </cell>
          <cell r="AG898">
            <v>9.17</v>
          </cell>
          <cell r="AH898" t="str">
            <v>PPM</v>
          </cell>
          <cell r="AI898" t="str">
            <v>Strands</v>
          </cell>
          <cell r="AJ898" t="str">
            <v>Strands PW</v>
          </cell>
        </row>
        <row r="899">
          <cell r="A899" t="str">
            <v>IKN400447</v>
          </cell>
          <cell r="B899">
            <v>447</v>
          </cell>
          <cell r="C899" t="str">
            <v>Institut Kanser Negara</v>
          </cell>
          <cell r="D899" t="str">
            <v>KKM/IKN/H/13/1290</v>
          </cell>
          <cell r="E899" t="str">
            <v>13-215</v>
          </cell>
          <cell r="F899" t="str">
            <v>Infusion Pumps, General-Purpose</v>
          </cell>
          <cell r="G899" t="str">
            <v>WC</v>
          </cell>
          <cell r="H899" t="str">
            <v>SURGICAL ONCO FEMALE WARD</v>
          </cell>
          <cell r="I899" t="str">
            <v>06WC113</v>
          </cell>
          <cell r="J899" t="str">
            <v>EQUIPMENT ROOM</v>
          </cell>
          <cell r="K899" t="str">
            <v>BMED</v>
          </cell>
          <cell r="L899" t="str">
            <v>Normal</v>
          </cell>
          <cell r="M899" t="str">
            <v>Germany</v>
          </cell>
          <cell r="N899" t="str">
            <v>Infusomat</v>
          </cell>
          <cell r="O899" t="str">
            <v>Infusomat Space</v>
          </cell>
          <cell r="P899" t="str">
            <v>211869</v>
          </cell>
          <cell r="Q899" t="str">
            <v>Not Applicable</v>
          </cell>
          <cell r="R899" t="str">
            <v>B Braun Melsungen AG</v>
          </cell>
          <cell r="S899" t="str">
            <v>B Braun Medical Supplies Sdn. Bhd.</v>
          </cell>
          <cell r="T899" t="str">
            <v>Functioning</v>
          </cell>
          <cell r="U899" t="str">
            <v>Asset</v>
          </cell>
          <cell r="V899">
            <v>10825</v>
          </cell>
          <cell r="W899" t="str">
            <v>KEW</v>
          </cell>
          <cell r="X899" t="str">
            <v>01/09/2010</v>
          </cell>
          <cell r="Y899" t="str">
            <v>KEW</v>
          </cell>
          <cell r="Z899" t="str">
            <v>16/08/2013</v>
          </cell>
          <cell r="AA899" t="str">
            <v>15/08/2015</v>
          </cell>
          <cell r="AB899" t="str">
            <v>No</v>
          </cell>
          <cell r="AC899" t="str">
            <v>31/08/2013</v>
          </cell>
          <cell r="AD899" t="str">
            <v>Good</v>
          </cell>
          <cell r="AE899" t="str">
            <v>V1 - Existing / No Claim</v>
          </cell>
          <cell r="AF899">
            <v>42235</v>
          </cell>
          <cell r="AG899">
            <v>9.17</v>
          </cell>
          <cell r="AH899" t="str">
            <v>PPM</v>
          </cell>
          <cell r="AI899" t="str">
            <v>Strands</v>
          </cell>
          <cell r="AJ899" t="str">
            <v>Strands PW</v>
          </cell>
        </row>
        <row r="900">
          <cell r="A900" t="str">
            <v>IKN400448</v>
          </cell>
          <cell r="B900">
            <v>448</v>
          </cell>
          <cell r="C900" t="str">
            <v>Institut Kanser Negara</v>
          </cell>
          <cell r="D900" t="str">
            <v>KKM/IKN/H/13/1292</v>
          </cell>
          <cell r="E900" t="str">
            <v>13-215</v>
          </cell>
          <cell r="F900" t="str">
            <v>Infusion Pumps, General-Purpose</v>
          </cell>
          <cell r="G900" t="str">
            <v>WC</v>
          </cell>
          <cell r="H900" t="str">
            <v>SURGICAL ONCO FEMALE WARD</v>
          </cell>
          <cell r="I900" t="str">
            <v>06WC113</v>
          </cell>
          <cell r="J900" t="str">
            <v>EQUIPMENT ROOM</v>
          </cell>
          <cell r="K900" t="str">
            <v>BMED</v>
          </cell>
          <cell r="L900" t="str">
            <v>Normal</v>
          </cell>
          <cell r="M900" t="str">
            <v>Germany</v>
          </cell>
          <cell r="N900" t="str">
            <v>Infusomat</v>
          </cell>
          <cell r="O900" t="str">
            <v>Infusomat Space</v>
          </cell>
          <cell r="P900" t="str">
            <v>211921</v>
          </cell>
          <cell r="Q900" t="str">
            <v>Not Applicable</v>
          </cell>
          <cell r="R900" t="str">
            <v>B Braun Melsungen AG</v>
          </cell>
          <cell r="S900" t="str">
            <v>B Braun Medical Supplies Sdn. Bhd.</v>
          </cell>
          <cell r="T900" t="str">
            <v>Functioning</v>
          </cell>
          <cell r="U900" t="str">
            <v>Asset</v>
          </cell>
          <cell r="V900">
            <v>10825</v>
          </cell>
          <cell r="W900" t="str">
            <v>KEW</v>
          </cell>
          <cell r="X900" t="str">
            <v>01/09/2010</v>
          </cell>
          <cell r="Y900" t="str">
            <v>KEW</v>
          </cell>
          <cell r="Z900" t="str">
            <v>16/08/2013</v>
          </cell>
          <cell r="AA900" t="str">
            <v>15/08/2015</v>
          </cell>
          <cell r="AB900" t="str">
            <v>No</v>
          </cell>
          <cell r="AC900" t="str">
            <v>31/08/2013</v>
          </cell>
          <cell r="AD900" t="str">
            <v>Good</v>
          </cell>
          <cell r="AE900" t="str">
            <v>V1 - Existing / No Claim</v>
          </cell>
          <cell r="AF900">
            <v>42235</v>
          </cell>
          <cell r="AG900">
            <v>9.17</v>
          </cell>
          <cell r="AH900" t="str">
            <v>PPM</v>
          </cell>
          <cell r="AI900" t="str">
            <v>Strands</v>
          </cell>
          <cell r="AJ900" t="str">
            <v>Strands PW</v>
          </cell>
        </row>
        <row r="901">
          <cell r="A901" t="str">
            <v>IKN400449</v>
          </cell>
          <cell r="B901">
            <v>449</v>
          </cell>
          <cell r="C901" t="str">
            <v>Institut Kanser Negara</v>
          </cell>
          <cell r="D901" t="str">
            <v>KKM/IKN/H/13/1294</v>
          </cell>
          <cell r="E901" t="str">
            <v>13-215</v>
          </cell>
          <cell r="F901" t="str">
            <v>Infusion Pumps, General-Purpose</v>
          </cell>
          <cell r="G901" t="str">
            <v>WC</v>
          </cell>
          <cell r="H901" t="str">
            <v>SURGICAL ONCO FEMALE WARD</v>
          </cell>
          <cell r="I901" t="str">
            <v>06WC113</v>
          </cell>
          <cell r="J901" t="str">
            <v>EQUIPMENT ROOM</v>
          </cell>
          <cell r="K901" t="str">
            <v>BMED</v>
          </cell>
          <cell r="L901" t="str">
            <v>Normal</v>
          </cell>
          <cell r="M901" t="str">
            <v>Germany</v>
          </cell>
          <cell r="N901" t="str">
            <v>Infusomat</v>
          </cell>
          <cell r="O901" t="str">
            <v>Infusomat Space</v>
          </cell>
          <cell r="P901" t="str">
            <v>212004</v>
          </cell>
          <cell r="Q901" t="str">
            <v>Not Applicable</v>
          </cell>
          <cell r="R901" t="str">
            <v>B Braun Melsungen AG</v>
          </cell>
          <cell r="S901" t="str">
            <v>B Braun Medical Supplies Sdn. Bhd.</v>
          </cell>
          <cell r="T901" t="str">
            <v>Functioning</v>
          </cell>
          <cell r="U901" t="str">
            <v>Asset</v>
          </cell>
          <cell r="V901">
            <v>10825</v>
          </cell>
          <cell r="W901" t="str">
            <v>KEW</v>
          </cell>
          <cell r="X901" t="str">
            <v>01/09/2010</v>
          </cell>
          <cell r="Y901" t="str">
            <v>KEW</v>
          </cell>
          <cell r="Z901" t="str">
            <v>16/08/2013</v>
          </cell>
          <cell r="AA901" t="str">
            <v>15/08/2015</v>
          </cell>
          <cell r="AB901" t="str">
            <v>No</v>
          </cell>
          <cell r="AC901" t="str">
            <v>31/08/2013</v>
          </cell>
          <cell r="AD901" t="str">
            <v>Good</v>
          </cell>
          <cell r="AE901" t="str">
            <v>V1 - Existing / No Claim</v>
          </cell>
          <cell r="AF901">
            <v>42235</v>
          </cell>
          <cell r="AG901">
            <v>9.17</v>
          </cell>
          <cell r="AH901" t="str">
            <v>PPM</v>
          </cell>
          <cell r="AI901" t="str">
            <v>Strands</v>
          </cell>
          <cell r="AJ901" t="str">
            <v>Strands PW</v>
          </cell>
        </row>
        <row r="902">
          <cell r="A902" t="str">
            <v>IKN400450</v>
          </cell>
          <cell r="B902">
            <v>450</v>
          </cell>
          <cell r="C902" t="str">
            <v>Institut Kanser Negara</v>
          </cell>
          <cell r="D902" t="str">
            <v>KKM/IKN/H/13/4558</v>
          </cell>
          <cell r="E902" t="str">
            <v>18-147</v>
          </cell>
          <cell r="F902" t="str">
            <v>Mattress Systems, Alternating-Pressure</v>
          </cell>
          <cell r="G902" t="str">
            <v>WC</v>
          </cell>
          <cell r="H902" t="str">
            <v>SURGICAL ONCO FEMALE WARD</v>
          </cell>
          <cell r="I902" t="str">
            <v>06WC113</v>
          </cell>
          <cell r="J902" t="str">
            <v>EQUIPMENT ROOM</v>
          </cell>
          <cell r="K902" t="str">
            <v>BMED</v>
          </cell>
          <cell r="L902" t="str">
            <v>Normal</v>
          </cell>
          <cell r="M902" t="str">
            <v>Poland</v>
          </cell>
          <cell r="N902" t="str">
            <v>Nimbus</v>
          </cell>
          <cell r="O902" t="str">
            <v>Nimbus 3</v>
          </cell>
          <cell r="P902" t="str">
            <v>1200006467</v>
          </cell>
          <cell r="Q902" t="str">
            <v>Not Applicable</v>
          </cell>
          <cell r="R902" t="str">
            <v>Arjohuntleigh</v>
          </cell>
          <cell r="S902" t="str">
            <v>Hexamine Sdn. Bhd.</v>
          </cell>
          <cell r="T902" t="str">
            <v>Functioning</v>
          </cell>
          <cell r="U902" t="str">
            <v>Asset</v>
          </cell>
          <cell r="V902">
            <v>28630</v>
          </cell>
          <cell r="W902" t="str">
            <v>KEW</v>
          </cell>
          <cell r="X902" t="str">
            <v>01/09/2010</v>
          </cell>
          <cell r="Y902" t="str">
            <v>KEW</v>
          </cell>
          <cell r="Z902" t="str">
            <v>16/08/2013</v>
          </cell>
          <cell r="AA902" t="str">
            <v>15/08/2015</v>
          </cell>
          <cell r="AB902" t="str">
            <v>No</v>
          </cell>
          <cell r="AC902" t="str">
            <v>31/08/2013</v>
          </cell>
          <cell r="AD902" t="str">
            <v>Good</v>
          </cell>
          <cell r="AE902" t="str">
            <v>V1 - Existing / No Claim</v>
          </cell>
          <cell r="AF902">
            <v>42235</v>
          </cell>
          <cell r="AG902">
            <v>9.17</v>
          </cell>
          <cell r="AH902" t="str">
            <v>PPM</v>
          </cell>
          <cell r="AI902" t="str">
            <v>Strands</v>
          </cell>
          <cell r="AJ902" t="str">
            <v>Strands PW</v>
          </cell>
        </row>
        <row r="903">
          <cell r="A903" t="str">
            <v>IKN400451</v>
          </cell>
          <cell r="B903">
            <v>451</v>
          </cell>
          <cell r="C903" t="str">
            <v>Institut Kanser Negara</v>
          </cell>
          <cell r="D903" t="str">
            <v>KKM/IKN/H/13/4559</v>
          </cell>
          <cell r="E903" t="str">
            <v>18-147</v>
          </cell>
          <cell r="F903" t="str">
            <v>Mattress Systems, Alternating-Pressure</v>
          </cell>
          <cell r="G903" t="str">
            <v>WC</v>
          </cell>
          <cell r="H903" t="str">
            <v>SURGICAL ONCO FEMALE WARD</v>
          </cell>
          <cell r="I903" t="str">
            <v>06WC113</v>
          </cell>
          <cell r="J903" t="str">
            <v>EQUIPMENT ROOM</v>
          </cell>
          <cell r="K903" t="str">
            <v>BMED</v>
          </cell>
          <cell r="L903" t="str">
            <v>Normal</v>
          </cell>
          <cell r="M903" t="str">
            <v>Poland</v>
          </cell>
          <cell r="N903" t="str">
            <v>Nimbus</v>
          </cell>
          <cell r="O903" t="str">
            <v>Nimbus 3</v>
          </cell>
          <cell r="P903" t="str">
            <v>1200005118</v>
          </cell>
          <cell r="Q903" t="str">
            <v>Not Applicable</v>
          </cell>
          <cell r="R903" t="str">
            <v>Arjohuntleigh</v>
          </cell>
          <cell r="S903" t="str">
            <v>Hexamine Sdn. Bhd.</v>
          </cell>
          <cell r="T903" t="str">
            <v>Functioning</v>
          </cell>
          <cell r="U903" t="str">
            <v>Asset</v>
          </cell>
          <cell r="V903">
            <v>28630</v>
          </cell>
          <cell r="W903" t="str">
            <v>KEW</v>
          </cell>
          <cell r="X903" t="str">
            <v>01/09/2010</v>
          </cell>
          <cell r="Y903" t="str">
            <v>KEW</v>
          </cell>
          <cell r="Z903" t="str">
            <v>16/08/2013</v>
          </cell>
          <cell r="AA903" t="str">
            <v>15/08/2015</v>
          </cell>
          <cell r="AB903" t="str">
            <v>No</v>
          </cell>
          <cell r="AC903" t="str">
            <v>31/08/2013</v>
          </cell>
          <cell r="AD903" t="str">
            <v>Good</v>
          </cell>
          <cell r="AE903" t="str">
            <v>V1 - Existing / No Claim</v>
          </cell>
          <cell r="AF903">
            <v>42235</v>
          </cell>
          <cell r="AG903">
            <v>9.17</v>
          </cell>
          <cell r="AH903" t="str">
            <v>PPM</v>
          </cell>
          <cell r="AI903" t="str">
            <v>Strands</v>
          </cell>
          <cell r="AJ903" t="str">
            <v>Strands PW</v>
          </cell>
        </row>
        <row r="904">
          <cell r="A904" t="str">
            <v>IKN400452</v>
          </cell>
          <cell r="B904">
            <v>452</v>
          </cell>
          <cell r="C904" t="str">
            <v>Institut Kanser Negara</v>
          </cell>
          <cell r="D904" t="str">
            <v>KKM/IKN/H/13/4560</v>
          </cell>
          <cell r="E904" t="str">
            <v>18-147</v>
          </cell>
          <cell r="F904" t="str">
            <v>Mattress Systems, Alternating-Pressure</v>
          </cell>
          <cell r="G904" t="str">
            <v>WC</v>
          </cell>
          <cell r="H904" t="str">
            <v>SURGICAL ONCO FEMALE WARD</v>
          </cell>
          <cell r="I904" t="str">
            <v>06WC113</v>
          </cell>
          <cell r="J904" t="str">
            <v>EQUIPMENT ROOM</v>
          </cell>
          <cell r="K904" t="str">
            <v>BMED</v>
          </cell>
          <cell r="L904" t="str">
            <v>Normal</v>
          </cell>
          <cell r="M904" t="str">
            <v>Poland</v>
          </cell>
          <cell r="N904" t="str">
            <v>Nimbus</v>
          </cell>
          <cell r="O904" t="str">
            <v>Nimbus 3</v>
          </cell>
          <cell r="P904" t="str">
            <v>1200005114</v>
          </cell>
          <cell r="Q904" t="str">
            <v>Not Applicable</v>
          </cell>
          <cell r="R904" t="str">
            <v>Arjohuntleigh</v>
          </cell>
          <cell r="S904" t="str">
            <v>Hexamine Sdn. Bhd.</v>
          </cell>
          <cell r="T904" t="str">
            <v>Functioning</v>
          </cell>
          <cell r="U904" t="str">
            <v>Asset</v>
          </cell>
          <cell r="V904">
            <v>28630</v>
          </cell>
          <cell r="W904" t="str">
            <v>KEW</v>
          </cell>
          <cell r="X904" t="str">
            <v>01/09/2010</v>
          </cell>
          <cell r="Y904" t="str">
            <v>KEW</v>
          </cell>
          <cell r="Z904" t="str">
            <v>16/08/2013</v>
          </cell>
          <cell r="AA904" t="str">
            <v>15/08/2015</v>
          </cell>
          <cell r="AB904" t="str">
            <v>No</v>
          </cell>
          <cell r="AC904" t="str">
            <v>31/08/2013</v>
          </cell>
          <cell r="AD904" t="str">
            <v>Good</v>
          </cell>
          <cell r="AE904" t="str">
            <v>V1 - Existing / No Claim</v>
          </cell>
          <cell r="AF904">
            <v>42235</v>
          </cell>
          <cell r="AG904">
            <v>9.17</v>
          </cell>
          <cell r="AH904" t="str">
            <v>PPM</v>
          </cell>
          <cell r="AI904" t="str">
            <v>Strands</v>
          </cell>
          <cell r="AJ904" t="str">
            <v>Strands PW</v>
          </cell>
        </row>
        <row r="905">
          <cell r="A905" t="str">
            <v>IKN400453</v>
          </cell>
          <cell r="B905">
            <v>453</v>
          </cell>
          <cell r="C905" t="str">
            <v>Institut Kanser Negara</v>
          </cell>
          <cell r="D905" t="str">
            <v>KKM/IKN/H/13/4561</v>
          </cell>
          <cell r="E905" t="str">
            <v>18-147</v>
          </cell>
          <cell r="F905" t="str">
            <v>Mattress Systems, Alternating-Pressure</v>
          </cell>
          <cell r="G905" t="str">
            <v>WC</v>
          </cell>
          <cell r="H905" t="str">
            <v>SURGICAL ONCO FEMALE WARD</v>
          </cell>
          <cell r="I905" t="str">
            <v>06WC113</v>
          </cell>
          <cell r="J905" t="str">
            <v>EQUIPMENT ROOM</v>
          </cell>
          <cell r="K905" t="str">
            <v>BMED</v>
          </cell>
          <cell r="L905" t="str">
            <v>Normal</v>
          </cell>
          <cell r="M905" t="str">
            <v>Poland</v>
          </cell>
          <cell r="N905" t="str">
            <v>Nimbus</v>
          </cell>
          <cell r="O905" t="str">
            <v>Nimbus 3</v>
          </cell>
          <cell r="P905" t="str">
            <v>1200005110</v>
          </cell>
          <cell r="Q905" t="str">
            <v>Not Applicable</v>
          </cell>
          <cell r="R905" t="str">
            <v>Arjohuntleigh</v>
          </cell>
          <cell r="S905" t="str">
            <v>Hexamine Sdn. Bhd.</v>
          </cell>
          <cell r="T905" t="str">
            <v>Functioning</v>
          </cell>
          <cell r="U905" t="str">
            <v>Asset</v>
          </cell>
          <cell r="V905">
            <v>28630</v>
          </cell>
          <cell r="W905" t="str">
            <v>KEW</v>
          </cell>
          <cell r="X905" t="str">
            <v>01/09/2010</v>
          </cell>
          <cell r="Y905" t="str">
            <v>KEW</v>
          </cell>
          <cell r="Z905" t="str">
            <v>16/08/2013</v>
          </cell>
          <cell r="AA905" t="str">
            <v>15/08/2015</v>
          </cell>
          <cell r="AB905" t="str">
            <v>No</v>
          </cell>
          <cell r="AC905" t="str">
            <v>31/08/2013</v>
          </cell>
          <cell r="AD905" t="str">
            <v>Good</v>
          </cell>
          <cell r="AE905" t="str">
            <v>V1 - Existing / No Claim</v>
          </cell>
          <cell r="AF905">
            <v>42235</v>
          </cell>
          <cell r="AG905">
            <v>9.17</v>
          </cell>
          <cell r="AH905" t="str">
            <v>PPM</v>
          </cell>
          <cell r="AI905" t="str">
            <v>Strands</v>
          </cell>
          <cell r="AJ905" t="str">
            <v>Strands PW</v>
          </cell>
        </row>
        <row r="906">
          <cell r="A906" t="str">
            <v>IKN400454</v>
          </cell>
          <cell r="B906">
            <v>454</v>
          </cell>
          <cell r="C906" t="str">
            <v>Institut Kanser Negara</v>
          </cell>
          <cell r="D906" t="str">
            <v>KKM/IKN/H/13/4562</v>
          </cell>
          <cell r="E906" t="str">
            <v>18-147</v>
          </cell>
          <cell r="F906" t="str">
            <v>Mattress Systems, Alternating-Pressure</v>
          </cell>
          <cell r="G906" t="str">
            <v>WC</v>
          </cell>
          <cell r="H906" t="str">
            <v>SURGICAL ONCO FEMALE WARD</v>
          </cell>
          <cell r="I906" t="str">
            <v>06WC113</v>
          </cell>
          <cell r="J906" t="str">
            <v>EQUIPMENT ROOM</v>
          </cell>
          <cell r="K906" t="str">
            <v>BMED</v>
          </cell>
          <cell r="L906" t="str">
            <v>Normal</v>
          </cell>
          <cell r="M906" t="str">
            <v>Poland</v>
          </cell>
          <cell r="N906" t="str">
            <v>Nimbus</v>
          </cell>
          <cell r="O906" t="str">
            <v>Nimbus 3</v>
          </cell>
          <cell r="P906" t="str">
            <v>1200006479</v>
          </cell>
          <cell r="Q906" t="str">
            <v>Not Applicable</v>
          </cell>
          <cell r="R906" t="str">
            <v>Arjohuntleigh</v>
          </cell>
          <cell r="S906" t="str">
            <v>Hexamine Sdn. Bhd.</v>
          </cell>
          <cell r="T906" t="str">
            <v>Functioning</v>
          </cell>
          <cell r="U906" t="str">
            <v>Asset</v>
          </cell>
          <cell r="V906">
            <v>28630</v>
          </cell>
          <cell r="W906" t="str">
            <v>KEW</v>
          </cell>
          <cell r="X906" t="str">
            <v>01/09/2010</v>
          </cell>
          <cell r="Y906" t="str">
            <v>KEW</v>
          </cell>
          <cell r="Z906" t="str">
            <v>16/08/2013</v>
          </cell>
          <cell r="AA906" t="str">
            <v>15/08/2015</v>
          </cell>
          <cell r="AB906" t="str">
            <v>No</v>
          </cell>
          <cell r="AC906" t="str">
            <v>31/08/2013</v>
          </cell>
          <cell r="AD906" t="str">
            <v>Good</v>
          </cell>
          <cell r="AE906" t="str">
            <v>V1 - Existing / No Claim</v>
          </cell>
          <cell r="AF906">
            <v>42235</v>
          </cell>
          <cell r="AG906">
            <v>9.17</v>
          </cell>
          <cell r="AH906" t="str">
            <v>PPM</v>
          </cell>
          <cell r="AI906" t="str">
            <v>Strands</v>
          </cell>
          <cell r="AJ906" t="str">
            <v>Strands PW</v>
          </cell>
        </row>
        <row r="907">
          <cell r="A907" t="str">
            <v>IKN400455</v>
          </cell>
          <cell r="B907">
            <v>455</v>
          </cell>
          <cell r="C907" t="str">
            <v>Institut Kanser Negara</v>
          </cell>
          <cell r="D907" t="str">
            <v>KKM/IKN/H/13/4563</v>
          </cell>
          <cell r="E907" t="str">
            <v>18-147</v>
          </cell>
          <cell r="F907" t="str">
            <v>Mattress Systems, Alternating-Pressure</v>
          </cell>
          <cell r="G907" t="str">
            <v>WC</v>
          </cell>
          <cell r="H907" t="str">
            <v>SURGICAL ONCO FEMALE WARD</v>
          </cell>
          <cell r="I907" t="str">
            <v>06WC113</v>
          </cell>
          <cell r="J907" t="str">
            <v>EQUIPMENT ROOM</v>
          </cell>
          <cell r="K907" t="str">
            <v>BMED</v>
          </cell>
          <cell r="L907" t="str">
            <v>Normal</v>
          </cell>
          <cell r="M907" t="str">
            <v>Poland</v>
          </cell>
          <cell r="N907" t="str">
            <v>Nimbus</v>
          </cell>
          <cell r="O907" t="str">
            <v>Nimbus 3</v>
          </cell>
          <cell r="P907" t="str">
            <v>1200006447</v>
          </cell>
          <cell r="Q907" t="str">
            <v>Not Applicable</v>
          </cell>
          <cell r="R907" t="str">
            <v>Arjohuntleigh</v>
          </cell>
          <cell r="S907" t="str">
            <v>Hexamine Sdn. Bhd.</v>
          </cell>
          <cell r="T907" t="str">
            <v>Functioning</v>
          </cell>
          <cell r="U907" t="str">
            <v>Asset</v>
          </cell>
          <cell r="V907">
            <v>28630</v>
          </cell>
          <cell r="W907" t="str">
            <v>KEW</v>
          </cell>
          <cell r="X907" t="str">
            <v>01/09/2010</v>
          </cell>
          <cell r="Y907" t="str">
            <v>KEW</v>
          </cell>
          <cell r="Z907" t="str">
            <v>16/08/2013</v>
          </cell>
          <cell r="AA907" t="str">
            <v>15/08/2015</v>
          </cell>
          <cell r="AB907" t="str">
            <v>No</v>
          </cell>
          <cell r="AC907" t="str">
            <v>31/08/2013</v>
          </cell>
          <cell r="AD907" t="str">
            <v>Good</v>
          </cell>
          <cell r="AE907" t="str">
            <v>V1 - Existing / No Claim</v>
          </cell>
          <cell r="AF907">
            <v>42235</v>
          </cell>
          <cell r="AG907">
            <v>9.17</v>
          </cell>
          <cell r="AH907" t="str">
            <v>PPM</v>
          </cell>
          <cell r="AI907" t="str">
            <v>Strands</v>
          </cell>
          <cell r="AJ907" t="str">
            <v>Strands PW</v>
          </cell>
        </row>
        <row r="908">
          <cell r="A908" t="str">
            <v>IKN400456</v>
          </cell>
          <cell r="B908">
            <v>456</v>
          </cell>
          <cell r="C908" t="str">
            <v>Institut Kanser Negara</v>
          </cell>
          <cell r="D908" t="str">
            <v>KKM/IKN/H/13/1335</v>
          </cell>
          <cell r="E908" t="str">
            <v>10-208</v>
          </cell>
          <cell r="F908" t="str">
            <v>Aspirators</v>
          </cell>
          <cell r="G908" t="str">
            <v>WC</v>
          </cell>
          <cell r="H908" t="str">
            <v>SURGICAL ONCO FEMALE WARD</v>
          </cell>
          <cell r="I908" t="str">
            <v>06WC107</v>
          </cell>
          <cell r="J908" t="str">
            <v>TREATMENT / PROCEDURE</v>
          </cell>
          <cell r="K908" t="str">
            <v>BMED</v>
          </cell>
          <cell r="L908" t="str">
            <v>Normal</v>
          </cell>
          <cell r="M908" t="str">
            <v>Switzerland</v>
          </cell>
          <cell r="N908" t="str">
            <v>Senator</v>
          </cell>
          <cell r="O908" t="str">
            <v>Senator</v>
          </cell>
          <cell r="P908" t="str">
            <v>1220742</v>
          </cell>
          <cell r="Q908" t="str">
            <v>Not Applicable</v>
          </cell>
          <cell r="R908" t="str">
            <v>Ardo Medical AG</v>
          </cell>
          <cell r="S908" t="str">
            <v>Histopoint</v>
          </cell>
          <cell r="T908" t="str">
            <v>Functioning</v>
          </cell>
          <cell r="U908" t="str">
            <v>Asset</v>
          </cell>
          <cell r="V908">
            <v>5052</v>
          </cell>
          <cell r="W908" t="str">
            <v>KEW</v>
          </cell>
          <cell r="X908" t="str">
            <v>01/09/2010</v>
          </cell>
          <cell r="Y908" t="str">
            <v>KEW</v>
          </cell>
          <cell r="Z908" t="str">
            <v>16/08/2013</v>
          </cell>
          <cell r="AA908" t="str">
            <v>15/08/2015</v>
          </cell>
          <cell r="AB908" t="str">
            <v>No</v>
          </cell>
          <cell r="AC908" t="str">
            <v>31/08/2013</v>
          </cell>
          <cell r="AD908" t="str">
            <v>Good</v>
          </cell>
          <cell r="AE908" t="str">
            <v>V1 - Existing / No Claim</v>
          </cell>
          <cell r="AF908">
            <v>42235</v>
          </cell>
          <cell r="AG908">
            <v>9.17</v>
          </cell>
          <cell r="AH908" t="str">
            <v>PPM</v>
          </cell>
          <cell r="AI908" t="str">
            <v>Strands</v>
          </cell>
          <cell r="AJ908" t="str">
            <v>Strands PW</v>
          </cell>
        </row>
        <row r="909">
          <cell r="A909" t="str">
            <v>IKN400457</v>
          </cell>
          <cell r="B909">
            <v>457</v>
          </cell>
          <cell r="C909" t="str">
            <v>Institut Kanser Negara</v>
          </cell>
          <cell r="D909" t="str">
            <v>KKM/IKN/H/13/1338</v>
          </cell>
          <cell r="E909" t="str">
            <v>10-208</v>
          </cell>
          <cell r="F909" t="str">
            <v>Aspirators</v>
          </cell>
          <cell r="G909" t="str">
            <v>WC</v>
          </cell>
          <cell r="H909" t="str">
            <v>SURGICAL ONCO FEMALE WARD</v>
          </cell>
          <cell r="I909" t="str">
            <v>06WC113</v>
          </cell>
          <cell r="J909" t="str">
            <v>EQUIPMENT ROOM</v>
          </cell>
          <cell r="K909" t="str">
            <v>BMED</v>
          </cell>
          <cell r="L909" t="str">
            <v>Normal</v>
          </cell>
          <cell r="M909" t="str">
            <v>UK</v>
          </cell>
          <cell r="N909" t="str">
            <v>SAM</v>
          </cell>
          <cell r="O909" t="str">
            <v>SAM 427</v>
          </cell>
          <cell r="P909" t="str">
            <v>0313-0529</v>
          </cell>
          <cell r="Q909" t="str">
            <v>Not Applicable</v>
          </cell>
          <cell r="R909" t="str">
            <v>MG Electric Ltd</v>
          </cell>
          <cell r="S909" t="str">
            <v>Delta Medisains</v>
          </cell>
          <cell r="T909" t="str">
            <v>Functioning</v>
          </cell>
          <cell r="U909" t="str">
            <v>Asset</v>
          </cell>
          <cell r="V909">
            <v>10705</v>
          </cell>
          <cell r="W909" t="str">
            <v>KEW</v>
          </cell>
          <cell r="X909" t="str">
            <v>01/09/2010</v>
          </cell>
          <cell r="Y909" t="str">
            <v>KEW</v>
          </cell>
          <cell r="Z909" t="str">
            <v>16/08/2013</v>
          </cell>
          <cell r="AA909" t="str">
            <v>15/08/2015</v>
          </cell>
          <cell r="AB909" t="str">
            <v>No</v>
          </cell>
          <cell r="AC909" t="str">
            <v>31/08/2013</v>
          </cell>
          <cell r="AD909" t="str">
            <v>Good</v>
          </cell>
          <cell r="AE909" t="str">
            <v>V1 - Existing / No Claim</v>
          </cell>
          <cell r="AF909">
            <v>42235</v>
          </cell>
          <cell r="AG909">
            <v>9.17</v>
          </cell>
          <cell r="AH909" t="str">
            <v>PPM</v>
          </cell>
          <cell r="AI909" t="str">
            <v>Strands</v>
          </cell>
          <cell r="AJ909" t="str">
            <v>Strands PW</v>
          </cell>
        </row>
        <row r="910">
          <cell r="A910" t="str">
            <v>IKN400458</v>
          </cell>
          <cell r="B910">
            <v>458</v>
          </cell>
          <cell r="C910" t="str">
            <v>Institut Kanser Negara</v>
          </cell>
          <cell r="D910" t="str">
            <v>KKM/IKN/H/13/1339</v>
          </cell>
          <cell r="E910" t="str">
            <v>16-173</v>
          </cell>
          <cell r="F910" t="str">
            <v>Sphygmomanometers, Electronic, Automatic</v>
          </cell>
          <cell r="G910" t="str">
            <v>WC</v>
          </cell>
          <cell r="H910" t="str">
            <v>SURGICAL ONCO FEMALE WARD</v>
          </cell>
          <cell r="I910" t="str">
            <v>06WC107</v>
          </cell>
          <cell r="J910" t="str">
            <v>TREATMENT / PROCEDURE</v>
          </cell>
          <cell r="K910" t="str">
            <v>BMED</v>
          </cell>
          <cell r="L910" t="str">
            <v>Normal</v>
          </cell>
          <cell r="M910" t="str">
            <v>Mexico</v>
          </cell>
          <cell r="N910" t="str">
            <v>Carespace</v>
          </cell>
          <cell r="O910" t="str">
            <v>Carescape V100</v>
          </cell>
          <cell r="P910" t="str">
            <v>SH612430122SA</v>
          </cell>
          <cell r="Q910" t="str">
            <v>Not Applicable</v>
          </cell>
          <cell r="R910" t="str">
            <v>GE Healthcare Systems</v>
          </cell>
          <cell r="S910" t="str">
            <v>GE Healthcare Technologies</v>
          </cell>
          <cell r="T910" t="str">
            <v>Functioning</v>
          </cell>
          <cell r="U910" t="str">
            <v>Asset</v>
          </cell>
          <cell r="V910">
            <v>7770</v>
          </cell>
          <cell r="W910" t="str">
            <v>KEW</v>
          </cell>
          <cell r="X910" t="str">
            <v>01/09/2010</v>
          </cell>
          <cell r="Y910" t="str">
            <v>KEW</v>
          </cell>
          <cell r="Z910" t="str">
            <v>16/08/2013</v>
          </cell>
          <cell r="AA910" t="str">
            <v>15/08/2015</v>
          </cell>
          <cell r="AB910" t="str">
            <v>No</v>
          </cell>
          <cell r="AC910" t="str">
            <v>31/08/2013</v>
          </cell>
          <cell r="AD910" t="str">
            <v>Good</v>
          </cell>
          <cell r="AE910" t="str">
            <v>V1 - Existing / No Claim</v>
          </cell>
          <cell r="AF910">
            <v>42235</v>
          </cell>
          <cell r="AG910">
            <v>9.17</v>
          </cell>
          <cell r="AH910" t="str">
            <v>PPM</v>
          </cell>
          <cell r="AI910" t="str">
            <v>Strands</v>
          </cell>
          <cell r="AJ910" t="str">
            <v>Strands PW</v>
          </cell>
        </row>
        <row r="911">
          <cell r="A911" t="str">
            <v>IKN400459</v>
          </cell>
          <cell r="B911">
            <v>459</v>
          </cell>
          <cell r="C911" t="str">
            <v>Institut Kanser Negara</v>
          </cell>
          <cell r="D911" t="str">
            <v>KKM/IKN/H/13/1344</v>
          </cell>
          <cell r="E911" t="str">
            <v>16-231</v>
          </cell>
          <cell r="F911" t="str">
            <v>Electrocardiographs, Multichannel, Interpretative</v>
          </cell>
          <cell r="G911" t="str">
            <v>WC</v>
          </cell>
          <cell r="H911" t="str">
            <v>SURGICAL ONCO FEMALE WARD</v>
          </cell>
          <cell r="I911" t="str">
            <v>06WC107</v>
          </cell>
          <cell r="J911" t="str">
            <v>TREATMENT / PROCEDURE</v>
          </cell>
          <cell r="K911" t="str">
            <v>BMED</v>
          </cell>
          <cell r="L911" t="str">
            <v>Normal</v>
          </cell>
          <cell r="M911" t="str">
            <v>China</v>
          </cell>
          <cell r="N911" t="str">
            <v>Mac</v>
          </cell>
          <cell r="O911" t="str">
            <v>MAC 800</v>
          </cell>
          <cell r="P911" t="str">
            <v>SJ412450372 WA</v>
          </cell>
          <cell r="Q911" t="str">
            <v>Not Applicable</v>
          </cell>
          <cell r="R911" t="str">
            <v>GE Healthcare Systems</v>
          </cell>
          <cell r="S911" t="str">
            <v>GE Healthcare Technologies</v>
          </cell>
          <cell r="T911" t="str">
            <v>Functioning</v>
          </cell>
          <cell r="U911" t="str">
            <v>Asset</v>
          </cell>
          <cell r="V911">
            <v>25260</v>
          </cell>
          <cell r="W911" t="str">
            <v>KEW</v>
          </cell>
          <cell r="X911" t="str">
            <v>01/09/2010</v>
          </cell>
          <cell r="Y911" t="str">
            <v>KEW</v>
          </cell>
          <cell r="Z911" t="str">
            <v>16/08/2013</v>
          </cell>
          <cell r="AA911" t="str">
            <v>15/08/2015</v>
          </cell>
          <cell r="AB911" t="str">
            <v>No</v>
          </cell>
          <cell r="AC911" t="str">
            <v>31/08/2013</v>
          </cell>
          <cell r="AD911" t="str">
            <v>Good</v>
          </cell>
          <cell r="AE911" t="str">
            <v>V1 - Existing / No Claim</v>
          </cell>
          <cell r="AF911">
            <v>42235</v>
          </cell>
          <cell r="AG911">
            <v>9.17</v>
          </cell>
          <cell r="AH911" t="str">
            <v>PPM</v>
          </cell>
          <cell r="AI911" t="str">
            <v>Strands</v>
          </cell>
          <cell r="AJ911" t="str">
            <v>Strands PW</v>
          </cell>
        </row>
        <row r="912">
          <cell r="A912" t="str">
            <v>IKN400460</v>
          </cell>
          <cell r="B912">
            <v>460</v>
          </cell>
          <cell r="C912" t="str">
            <v>Institut Kanser Negara</v>
          </cell>
          <cell r="D912" t="str">
            <v>KKM/IKN/H/13/1345</v>
          </cell>
          <cell r="E912" t="str">
            <v>12-647</v>
          </cell>
          <cell r="F912" t="str">
            <v>Physiologic Monitoring Systems, Acute Care</v>
          </cell>
          <cell r="G912" t="str">
            <v>WC</v>
          </cell>
          <cell r="H912" t="str">
            <v>SURGICAL ONCO FEMALE WARD</v>
          </cell>
          <cell r="I912" t="str">
            <v>06WC113</v>
          </cell>
          <cell r="J912" t="str">
            <v>EQUIPMENT ROOM</v>
          </cell>
          <cell r="K912" t="str">
            <v>BMED</v>
          </cell>
          <cell r="L912" t="str">
            <v>Normal</v>
          </cell>
          <cell r="M912" t="str">
            <v>USA</v>
          </cell>
          <cell r="N912" t="str">
            <v>GE</v>
          </cell>
          <cell r="O912" t="str">
            <v>GE B30</v>
          </cell>
          <cell r="P912" t="str">
            <v>SF312325925WA</v>
          </cell>
          <cell r="Q912" t="str">
            <v>Not Applicable</v>
          </cell>
          <cell r="R912" t="str">
            <v>GE Healthcare Systems</v>
          </cell>
          <cell r="S912" t="str">
            <v>GE Healthcare Technologies</v>
          </cell>
          <cell r="T912" t="str">
            <v>Functioning</v>
          </cell>
          <cell r="U912" t="str">
            <v>Asset</v>
          </cell>
          <cell r="V912">
            <v>44510</v>
          </cell>
          <cell r="W912" t="str">
            <v>KEW</v>
          </cell>
          <cell r="X912" t="str">
            <v>01/09/2010</v>
          </cell>
          <cell r="Y912" t="str">
            <v>KEW</v>
          </cell>
          <cell r="Z912" t="str">
            <v>16/08/2013</v>
          </cell>
          <cell r="AA912" t="str">
            <v>15/08/2015</v>
          </cell>
          <cell r="AB912" t="str">
            <v>No</v>
          </cell>
          <cell r="AC912" t="str">
            <v>31/08/2013</v>
          </cell>
          <cell r="AD912" t="str">
            <v>Good</v>
          </cell>
          <cell r="AE912" t="str">
            <v>V1 - Existing / No Claim</v>
          </cell>
          <cell r="AF912">
            <v>42235</v>
          </cell>
          <cell r="AG912">
            <v>9.17</v>
          </cell>
          <cell r="AH912" t="str">
            <v>PPM</v>
          </cell>
          <cell r="AI912" t="str">
            <v>Strands</v>
          </cell>
          <cell r="AJ912" t="str">
            <v>Strands PW</v>
          </cell>
        </row>
        <row r="913">
          <cell r="A913" t="str">
            <v>IKN400461</v>
          </cell>
          <cell r="B913">
            <v>461</v>
          </cell>
          <cell r="C913" t="str">
            <v>Institut Kanser Negara</v>
          </cell>
          <cell r="D913" t="str">
            <v>KKM/IKN/H/13/3344</v>
          </cell>
          <cell r="E913" t="str">
            <v>12-647</v>
          </cell>
          <cell r="F913" t="str">
            <v>Physiologic Monitoring Systems, Acute Care</v>
          </cell>
          <cell r="G913" t="str">
            <v>WC</v>
          </cell>
          <cell r="H913" t="str">
            <v>SURGICAL ONCO FEMALE WARD</v>
          </cell>
          <cell r="I913" t="str">
            <v>06WC113</v>
          </cell>
          <cell r="J913" t="str">
            <v>EQUIPMENT ROOM</v>
          </cell>
          <cell r="K913" t="str">
            <v>BMED</v>
          </cell>
          <cell r="L913" t="str">
            <v>Normal</v>
          </cell>
          <cell r="M913" t="str">
            <v>USA</v>
          </cell>
          <cell r="N913" t="str">
            <v>GE</v>
          </cell>
          <cell r="O913" t="str">
            <v>GE B30</v>
          </cell>
          <cell r="P913" t="str">
            <v>SF312315869WA</v>
          </cell>
          <cell r="Q913" t="str">
            <v>Not Applicable</v>
          </cell>
          <cell r="R913" t="str">
            <v>GE Healthcare Systems</v>
          </cell>
          <cell r="S913" t="str">
            <v>GE Healthcare Technologies</v>
          </cell>
          <cell r="T913" t="str">
            <v>Functioning</v>
          </cell>
          <cell r="U913" t="str">
            <v>Asset</v>
          </cell>
          <cell r="V913">
            <v>44510</v>
          </cell>
          <cell r="W913" t="str">
            <v>KEW</v>
          </cell>
          <cell r="X913" t="str">
            <v>01/09/2010</v>
          </cell>
          <cell r="Y913" t="str">
            <v>KEW</v>
          </cell>
          <cell r="Z913" t="str">
            <v>16/08/2013</v>
          </cell>
          <cell r="AA913" t="str">
            <v>15/08/2015</v>
          </cell>
          <cell r="AB913" t="str">
            <v>No</v>
          </cell>
          <cell r="AC913" t="str">
            <v>31/08/2013</v>
          </cell>
          <cell r="AD913" t="str">
            <v>Good</v>
          </cell>
          <cell r="AE913" t="str">
            <v>V1 - Existing / No Claim</v>
          </cell>
          <cell r="AF913">
            <v>42235</v>
          </cell>
          <cell r="AG913">
            <v>9.17</v>
          </cell>
          <cell r="AH913" t="str">
            <v>PPM</v>
          </cell>
          <cell r="AI913" t="str">
            <v>Strands</v>
          </cell>
          <cell r="AJ913" t="str">
            <v>Strands PW</v>
          </cell>
          <cell r="AK913" t="str">
            <v>4. Boscarol RIW Power Cord User tampung
PEP waiting IKN400461 BER1 received</v>
          </cell>
        </row>
        <row r="914">
          <cell r="A914" t="str">
            <v>IKN400462</v>
          </cell>
          <cell r="B914">
            <v>462</v>
          </cell>
          <cell r="C914" t="str">
            <v>Institut Kanser Negara</v>
          </cell>
          <cell r="D914" t="str">
            <v>KKM/IKN/H/13/2960</v>
          </cell>
          <cell r="E914" t="str">
            <v>12-282</v>
          </cell>
          <cell r="F914" t="str">
            <v>Lights, Surgical</v>
          </cell>
          <cell r="G914" t="str">
            <v>NM</v>
          </cell>
          <cell r="H914" t="str">
            <v>NUCLEAR MED (DIAGNOSTIC)</v>
          </cell>
          <cell r="I914" t="str">
            <v>03NM142</v>
          </cell>
          <cell r="J914" t="str">
            <v>INJECTION ROOM 2 (-VE)</v>
          </cell>
          <cell r="K914" t="str">
            <v>BMED</v>
          </cell>
          <cell r="L914" t="str">
            <v>Normal</v>
          </cell>
          <cell r="M914" t="str">
            <v>USA</v>
          </cell>
          <cell r="N914" t="str">
            <v>Welch Allyn</v>
          </cell>
          <cell r="O914" t="str">
            <v>Welch Allyn GS600</v>
          </cell>
          <cell r="P914" t="str">
            <v>GS600-12</v>
          </cell>
          <cell r="Q914" t="str">
            <v>Not Applicable</v>
          </cell>
          <cell r="R914" t="str">
            <v>Welch Allyn Inc</v>
          </cell>
          <cell r="S914" t="str">
            <v>Welch Allyn Malaysia Sdn Bhd</v>
          </cell>
          <cell r="T914" t="str">
            <v>Functioning</v>
          </cell>
          <cell r="U914" t="str">
            <v>Asset</v>
          </cell>
          <cell r="V914">
            <v>5050</v>
          </cell>
          <cell r="W914" t="str">
            <v>KEW</v>
          </cell>
          <cell r="X914" t="str">
            <v>01/09/2010</v>
          </cell>
          <cell r="Y914" t="str">
            <v>KEW</v>
          </cell>
          <cell r="Z914" t="str">
            <v>16/08/2013</v>
          </cell>
          <cell r="AA914" t="str">
            <v>15/08/2015</v>
          </cell>
          <cell r="AB914" t="str">
            <v>No</v>
          </cell>
          <cell r="AC914" t="str">
            <v>31/08/2013</v>
          </cell>
          <cell r="AD914" t="str">
            <v>Good</v>
          </cell>
          <cell r="AE914" t="str">
            <v>V1 - Existing / No Claim</v>
          </cell>
          <cell r="AF914">
            <v>42235</v>
          </cell>
          <cell r="AG914">
            <v>9.17</v>
          </cell>
          <cell r="AH914" t="str">
            <v>PPM</v>
          </cell>
          <cell r="AI914" t="str">
            <v>Strands</v>
          </cell>
          <cell r="AJ914" t="str">
            <v>Strands PW</v>
          </cell>
        </row>
        <row r="915">
          <cell r="A915" t="str">
            <v>IKN400463</v>
          </cell>
          <cell r="B915">
            <v>463</v>
          </cell>
          <cell r="C915" t="str">
            <v>Institut Kanser Negara</v>
          </cell>
          <cell r="D915" t="str">
            <v>KKM/IKN/H/13/442</v>
          </cell>
          <cell r="E915" t="str">
            <v>10-208</v>
          </cell>
          <cell r="F915" t="str">
            <v>Aspirators</v>
          </cell>
          <cell r="G915" t="str">
            <v>WB</v>
          </cell>
          <cell r="H915" t="str">
            <v>SURGICAL ONCO MALE WARD</v>
          </cell>
          <cell r="I915" t="str">
            <v>05WB107</v>
          </cell>
          <cell r="J915" t="str">
            <v>TREATMENT / PROCEDURE</v>
          </cell>
          <cell r="K915" t="str">
            <v>BMED</v>
          </cell>
          <cell r="L915" t="str">
            <v>Critical</v>
          </cell>
          <cell r="M915" t="str">
            <v>Switzerland</v>
          </cell>
          <cell r="N915" t="str">
            <v>Senator</v>
          </cell>
          <cell r="O915" t="str">
            <v>Senator</v>
          </cell>
          <cell r="P915" t="str">
            <v>1220746</v>
          </cell>
          <cell r="Q915" t="str">
            <v>Not Applicable</v>
          </cell>
          <cell r="R915" t="str">
            <v>Ardo Medical AG</v>
          </cell>
          <cell r="S915" t="str">
            <v>Histopoint</v>
          </cell>
          <cell r="T915" t="str">
            <v>Functioning</v>
          </cell>
          <cell r="U915" t="str">
            <v>Asset</v>
          </cell>
          <cell r="V915">
            <v>5052</v>
          </cell>
          <cell r="W915" t="str">
            <v>KEW</v>
          </cell>
          <cell r="X915" t="str">
            <v>01/09/2010</v>
          </cell>
          <cell r="Y915" t="str">
            <v>KEW</v>
          </cell>
          <cell r="Z915" t="str">
            <v>16/08/2013</v>
          </cell>
          <cell r="AA915" t="str">
            <v>15/08/2015</v>
          </cell>
          <cell r="AB915" t="str">
            <v>No</v>
          </cell>
          <cell r="AC915" t="str">
            <v>31/08/2013</v>
          </cell>
          <cell r="AD915" t="str">
            <v>Good</v>
          </cell>
          <cell r="AE915" t="str">
            <v>V1 - Existing / No Claim</v>
          </cell>
          <cell r="AF915">
            <v>42788</v>
          </cell>
          <cell r="AG915">
            <v>9.17</v>
          </cell>
          <cell r="AH915" t="str">
            <v>PPM</v>
          </cell>
          <cell r="AI915" t="str">
            <v>Strands</v>
          </cell>
          <cell r="AJ915" t="str">
            <v>Strands PW</v>
          </cell>
        </row>
        <row r="916">
          <cell r="A916" t="str">
            <v>IKN400464</v>
          </cell>
          <cell r="B916">
            <v>464</v>
          </cell>
          <cell r="C916" t="str">
            <v>Institut Kanser Negara</v>
          </cell>
          <cell r="D916" t="str">
            <v>KKM/IKN/H/13/2380</v>
          </cell>
          <cell r="E916" t="str">
            <v>16-173</v>
          </cell>
          <cell r="F916" t="str">
            <v>Sphygmomanometers, Electronic, Automatic</v>
          </cell>
          <cell r="G916" t="str">
            <v>AE</v>
          </cell>
          <cell r="H916" t="str">
            <v>EMERGENCY UNIT</v>
          </cell>
          <cell r="I916" t="str">
            <v>01AE112</v>
          </cell>
          <cell r="J916" t="str">
            <v>EMERGENCY TROLLEY BAY</v>
          </cell>
          <cell r="K916" t="str">
            <v>BMED</v>
          </cell>
          <cell r="L916" t="str">
            <v>Critical</v>
          </cell>
          <cell r="M916" t="str">
            <v>Mexico</v>
          </cell>
          <cell r="N916" t="str">
            <v>Carespace</v>
          </cell>
          <cell r="O916" t="str">
            <v>Carescape V100</v>
          </cell>
          <cell r="P916" t="str">
            <v>SH612430104SA</v>
          </cell>
          <cell r="Q916" t="str">
            <v>Not Applicable</v>
          </cell>
          <cell r="R916" t="str">
            <v>GE Healthcare Systems</v>
          </cell>
          <cell r="S916" t="str">
            <v>GE Healthcare Technologies</v>
          </cell>
          <cell r="T916" t="str">
            <v>Functioning</v>
          </cell>
          <cell r="U916" t="str">
            <v>Asset</v>
          </cell>
          <cell r="V916">
            <v>7770</v>
          </cell>
          <cell r="W916" t="str">
            <v>KEW</v>
          </cell>
          <cell r="X916" t="str">
            <v>01/09/2010</v>
          </cell>
          <cell r="Y916" t="str">
            <v>KEW</v>
          </cell>
          <cell r="Z916" t="str">
            <v>16/08/2013</v>
          </cell>
          <cell r="AA916" t="str">
            <v>15/08/2015</v>
          </cell>
          <cell r="AB916" t="str">
            <v>No</v>
          </cell>
          <cell r="AC916" t="str">
            <v>31/08/2013</v>
          </cell>
          <cell r="AD916" t="str">
            <v>Good</v>
          </cell>
          <cell r="AE916" t="str">
            <v>V1 - Existing / No Claim</v>
          </cell>
          <cell r="AF916">
            <v>43076</v>
          </cell>
          <cell r="AG916">
            <v>9.17</v>
          </cell>
          <cell r="AH916" t="str">
            <v>PPM</v>
          </cell>
          <cell r="AI916" t="str">
            <v>Strands</v>
          </cell>
          <cell r="AJ916" t="str">
            <v>Strands PW</v>
          </cell>
        </row>
        <row r="917">
          <cell r="A917" t="str">
            <v>IKN400465</v>
          </cell>
          <cell r="B917">
            <v>465</v>
          </cell>
          <cell r="C917" t="str">
            <v>Institut Kanser Negara</v>
          </cell>
          <cell r="D917" t="str">
            <v>KKM/IKN/H/13/444</v>
          </cell>
          <cell r="E917" t="str">
            <v>16-231</v>
          </cell>
          <cell r="F917" t="str">
            <v>Electrocardiographs, Multichannel, Interpretative</v>
          </cell>
          <cell r="G917" t="str">
            <v>WB</v>
          </cell>
          <cell r="H917" t="str">
            <v>SURGICAL ONCO MALE WARD</v>
          </cell>
          <cell r="I917" t="str">
            <v>05WB107</v>
          </cell>
          <cell r="J917" t="str">
            <v>TREATMENT / PROCEDURE</v>
          </cell>
          <cell r="K917" t="str">
            <v>BMED</v>
          </cell>
          <cell r="L917" t="str">
            <v>Normal</v>
          </cell>
          <cell r="M917" t="str">
            <v>China</v>
          </cell>
          <cell r="N917" t="str">
            <v>Mac</v>
          </cell>
          <cell r="O917" t="str">
            <v>MAC 800</v>
          </cell>
          <cell r="P917" t="str">
            <v>SJ412450373 WA</v>
          </cell>
          <cell r="Q917" t="str">
            <v>Not Applicable</v>
          </cell>
          <cell r="R917" t="str">
            <v>GE Healthcare Systems</v>
          </cell>
          <cell r="S917" t="str">
            <v>GE Healthcare Technologies</v>
          </cell>
          <cell r="T917" t="str">
            <v>Functioning</v>
          </cell>
          <cell r="U917" t="str">
            <v>Asset</v>
          </cell>
          <cell r="V917">
            <v>25260</v>
          </cell>
          <cell r="W917" t="str">
            <v>KEW</v>
          </cell>
          <cell r="X917" t="str">
            <v>01/09/2010</v>
          </cell>
          <cell r="Y917" t="str">
            <v>KEW</v>
          </cell>
          <cell r="Z917" t="str">
            <v>16/08/2013</v>
          </cell>
          <cell r="AA917" t="str">
            <v>15/08/2015</v>
          </cell>
          <cell r="AB917" t="str">
            <v>No</v>
          </cell>
          <cell r="AC917" t="str">
            <v>31/08/2013</v>
          </cell>
          <cell r="AD917" t="str">
            <v>Good</v>
          </cell>
          <cell r="AE917" t="str">
            <v>V1 - Existing / No Claim</v>
          </cell>
          <cell r="AF917">
            <v>42235</v>
          </cell>
          <cell r="AG917">
            <v>9.17</v>
          </cell>
          <cell r="AH917" t="str">
            <v>PPM</v>
          </cell>
          <cell r="AI917" t="str">
            <v>Strands</v>
          </cell>
          <cell r="AJ917" t="str">
            <v>Strands PW</v>
          </cell>
        </row>
        <row r="918">
          <cell r="A918" t="str">
            <v>IKN400466</v>
          </cell>
          <cell r="B918">
            <v>466</v>
          </cell>
          <cell r="C918" t="str">
            <v>Institut Kanser Negara</v>
          </cell>
          <cell r="D918" t="str">
            <v>KKM/IKN/H/13/299</v>
          </cell>
          <cell r="E918" t="str">
            <v>10-447</v>
          </cell>
          <cell r="F918" t="str">
            <v>Warming Units, Blood/Solution</v>
          </cell>
          <cell r="G918" t="str">
            <v>WB</v>
          </cell>
          <cell r="H918" t="str">
            <v>SURGICAL ONCO MALE WARD</v>
          </cell>
          <cell r="I918" t="str">
            <v>05WB113</v>
          </cell>
          <cell r="J918" t="str">
            <v>EQUIP. ROOM</v>
          </cell>
          <cell r="K918" t="str">
            <v>BMED</v>
          </cell>
          <cell r="L918" t="str">
            <v>Normal</v>
          </cell>
          <cell r="M918" t="str">
            <v>Japan</v>
          </cell>
          <cell r="N918" t="str">
            <v>Animec</v>
          </cell>
          <cell r="O918" t="str">
            <v>Animec AM-301</v>
          </cell>
          <cell r="P918" t="str">
            <v>2013D0260</v>
          </cell>
          <cell r="Q918" t="str">
            <v>Not Applicable</v>
          </cell>
          <cell r="R918" t="str">
            <v>Elltec Co Ltd</v>
          </cell>
          <cell r="S918" t="str">
            <v>IDS Services (Malaysia) Sdn Bhd</v>
          </cell>
          <cell r="T918" t="str">
            <v>Functioning</v>
          </cell>
          <cell r="U918" t="str">
            <v>Asset</v>
          </cell>
          <cell r="V918">
            <v>4990</v>
          </cell>
          <cell r="W918" t="str">
            <v>KEW</v>
          </cell>
          <cell r="X918" t="str">
            <v>01/09/2010</v>
          </cell>
          <cell r="Y918" t="str">
            <v>KEW</v>
          </cell>
          <cell r="Z918" t="str">
            <v>16/08/2013</v>
          </cell>
          <cell r="AA918" t="str">
            <v>15/08/2015</v>
          </cell>
          <cell r="AB918" t="str">
            <v>No</v>
          </cell>
          <cell r="AC918" t="str">
            <v>31/08/2013</v>
          </cell>
          <cell r="AD918" t="str">
            <v>Good</v>
          </cell>
          <cell r="AE918" t="str">
            <v>V1 - Existing / No Claim</v>
          </cell>
          <cell r="AF918">
            <v>42235</v>
          </cell>
          <cell r="AG918">
            <v>9.17</v>
          </cell>
          <cell r="AH918" t="str">
            <v>PPM</v>
          </cell>
          <cell r="AI918" t="str">
            <v>Strands</v>
          </cell>
          <cell r="AJ918" t="str">
            <v>Strands PW</v>
          </cell>
        </row>
        <row r="919">
          <cell r="A919" t="str">
            <v>IKN400469</v>
          </cell>
          <cell r="B919">
            <v>469</v>
          </cell>
          <cell r="C919" t="str">
            <v>Institut Kanser Negara</v>
          </cell>
          <cell r="D919" t="str">
            <v>KKM/IKN/H/13/2377</v>
          </cell>
          <cell r="E919" t="str">
            <v>12-282</v>
          </cell>
          <cell r="F919" t="str">
            <v>Lights, Surgical</v>
          </cell>
          <cell r="G919" t="str">
            <v>WB</v>
          </cell>
          <cell r="H919" t="str">
            <v>SURGICAL ONCO MALE WARD</v>
          </cell>
          <cell r="I919" t="str">
            <v>05WB113</v>
          </cell>
          <cell r="J919" t="str">
            <v>EQUIP. ROOM</v>
          </cell>
          <cell r="K919" t="str">
            <v>BMED</v>
          </cell>
          <cell r="L919" t="str">
            <v>Critical</v>
          </cell>
          <cell r="M919" t="str">
            <v>USA</v>
          </cell>
          <cell r="N919" t="str">
            <v>Welch Allyn</v>
          </cell>
          <cell r="O919" t="str">
            <v>Welch Allyn GS600</v>
          </cell>
          <cell r="P919" t="str">
            <v>GS-600-35</v>
          </cell>
          <cell r="Q919" t="str">
            <v>Not Applicable</v>
          </cell>
          <cell r="R919" t="str">
            <v>Welch Allyn Inc</v>
          </cell>
          <cell r="S919" t="str">
            <v>Welch Allyn Malaysia Sdn Bhd</v>
          </cell>
          <cell r="T919" t="str">
            <v>Functioning</v>
          </cell>
          <cell r="U919" t="str">
            <v>Asset</v>
          </cell>
          <cell r="V919">
            <v>5050</v>
          </cell>
          <cell r="W919" t="str">
            <v>KEW</v>
          </cell>
          <cell r="X919" t="str">
            <v>01/09/2010</v>
          </cell>
          <cell r="Y919" t="str">
            <v>KEW</v>
          </cell>
          <cell r="Z919" t="str">
            <v>16/08/2013</v>
          </cell>
          <cell r="AA919" t="str">
            <v>15/08/2015</v>
          </cell>
          <cell r="AB919" t="str">
            <v>No</v>
          </cell>
          <cell r="AC919" t="str">
            <v>31/08/2013</v>
          </cell>
          <cell r="AD919" t="str">
            <v>Good</v>
          </cell>
          <cell r="AE919" t="str">
            <v>V1 - Existing / No Claim</v>
          </cell>
          <cell r="AF919">
            <v>42788</v>
          </cell>
          <cell r="AG919">
            <v>9.17</v>
          </cell>
          <cell r="AH919" t="str">
            <v>PPM</v>
          </cell>
          <cell r="AI919" t="str">
            <v>Strands</v>
          </cell>
          <cell r="AJ919" t="str">
            <v>Strands PW</v>
          </cell>
        </row>
        <row r="920">
          <cell r="A920" t="str">
            <v>IKN400470</v>
          </cell>
          <cell r="B920">
            <v>470</v>
          </cell>
          <cell r="C920" t="str">
            <v>Institut Kanser Negara</v>
          </cell>
          <cell r="D920" t="str">
            <v>KKM/IKN/H/13/2381</v>
          </cell>
          <cell r="E920" t="str">
            <v>12-282</v>
          </cell>
          <cell r="F920" t="str">
            <v>Lights, Surgical</v>
          </cell>
          <cell r="G920" t="str">
            <v>WB</v>
          </cell>
          <cell r="H920" t="str">
            <v>SURGICAL ONCO MALE WARD</v>
          </cell>
          <cell r="I920" t="str">
            <v>05WB113</v>
          </cell>
          <cell r="J920" t="str">
            <v>EQUIP. ROOM</v>
          </cell>
          <cell r="K920" t="str">
            <v>BMED</v>
          </cell>
          <cell r="L920" t="str">
            <v>Critical</v>
          </cell>
          <cell r="M920" t="str">
            <v>USA</v>
          </cell>
          <cell r="N920" t="str">
            <v>Welch Allyn</v>
          </cell>
          <cell r="O920" t="str">
            <v>Welch Allyn GS600</v>
          </cell>
          <cell r="P920" t="str">
            <v>GS-600-48</v>
          </cell>
          <cell r="Q920" t="str">
            <v>Not Applicable</v>
          </cell>
          <cell r="R920" t="str">
            <v>Welch Allyn Inc</v>
          </cell>
          <cell r="S920" t="str">
            <v>Welch Allyn Malaysia Sdn Bhd</v>
          </cell>
          <cell r="T920" t="str">
            <v>Functioning</v>
          </cell>
          <cell r="U920" t="str">
            <v>Asset</v>
          </cell>
          <cell r="V920">
            <v>5050</v>
          </cell>
          <cell r="W920" t="str">
            <v>KEW</v>
          </cell>
          <cell r="X920" t="str">
            <v>01/09/2010</v>
          </cell>
          <cell r="Y920" t="str">
            <v>KEW</v>
          </cell>
          <cell r="Z920" t="str">
            <v>16/08/2013</v>
          </cell>
          <cell r="AA920" t="str">
            <v>15/08/2015</v>
          </cell>
          <cell r="AB920" t="str">
            <v>No</v>
          </cell>
          <cell r="AC920" t="str">
            <v>31/08/2013</v>
          </cell>
          <cell r="AD920" t="str">
            <v>Good</v>
          </cell>
          <cell r="AE920" t="str">
            <v>V1 - Existing / No Claim</v>
          </cell>
          <cell r="AF920">
            <v>42788</v>
          </cell>
          <cell r="AG920">
            <v>9.17</v>
          </cell>
          <cell r="AH920" t="str">
            <v>PPM</v>
          </cell>
          <cell r="AI920" t="str">
            <v>Strands</v>
          </cell>
          <cell r="AJ920" t="str">
            <v>Strands PW</v>
          </cell>
        </row>
        <row r="921">
          <cell r="A921" t="str">
            <v>IKN400471</v>
          </cell>
          <cell r="B921">
            <v>471</v>
          </cell>
          <cell r="C921" t="str">
            <v>Institut Kanser Negara</v>
          </cell>
          <cell r="D921" t="str">
            <v>KKM/IKN/H/13/434</v>
          </cell>
          <cell r="E921" t="str">
            <v>15-045</v>
          </cell>
          <cell r="F921" t="str">
            <v>Nebulizers, Nonheated</v>
          </cell>
          <cell r="G921" t="str">
            <v>WB</v>
          </cell>
          <cell r="H921" t="str">
            <v>SURGICAL ONCO MALE WARD</v>
          </cell>
          <cell r="I921" t="str">
            <v>05WB113</v>
          </cell>
          <cell r="J921" t="str">
            <v>EQUIP. ROOM</v>
          </cell>
          <cell r="K921" t="str">
            <v>BMED</v>
          </cell>
          <cell r="L921" t="str">
            <v>Normal</v>
          </cell>
          <cell r="M921" t="str">
            <v>Germany</v>
          </cell>
          <cell r="N921" t="str">
            <v>Pari Boy</v>
          </cell>
          <cell r="O921" t="str">
            <v>Pari Boy SX 085</v>
          </cell>
          <cell r="P921" t="str">
            <v>2W12F13891</v>
          </cell>
          <cell r="Q921" t="str">
            <v>Not Applicable</v>
          </cell>
          <cell r="R921" t="str">
            <v>Pari GmbH</v>
          </cell>
          <cell r="S921" t="str">
            <v>Welch Allyn Malaysia Sdn Bhd</v>
          </cell>
          <cell r="T921" t="str">
            <v>Functioning</v>
          </cell>
          <cell r="U921" t="str">
            <v>Asset</v>
          </cell>
          <cell r="V921">
            <v>1140</v>
          </cell>
          <cell r="W921" t="str">
            <v>KEW</v>
          </cell>
          <cell r="X921" t="str">
            <v>01/09/2010</v>
          </cell>
          <cell r="Y921" t="str">
            <v>KEW</v>
          </cell>
          <cell r="Z921" t="str">
            <v>16/08/2013</v>
          </cell>
          <cell r="AA921" t="str">
            <v>15/08/2015</v>
          </cell>
          <cell r="AB921" t="str">
            <v>No</v>
          </cell>
          <cell r="AC921" t="str">
            <v>31/08/2013</v>
          </cell>
          <cell r="AD921" t="str">
            <v>Good</v>
          </cell>
          <cell r="AE921" t="str">
            <v>V1 - Existing / No Claim</v>
          </cell>
          <cell r="AF921">
            <v>42788</v>
          </cell>
          <cell r="AG921">
            <v>9.17</v>
          </cell>
          <cell r="AH921" t="str">
            <v>PPM</v>
          </cell>
          <cell r="AI921" t="str">
            <v>Strands</v>
          </cell>
          <cell r="AJ921" t="str">
            <v>Strands PW</v>
          </cell>
        </row>
        <row r="922">
          <cell r="A922" t="str">
            <v>IKN400472</v>
          </cell>
          <cell r="B922">
            <v>472</v>
          </cell>
          <cell r="C922" t="str">
            <v>Institut Kanser Negara</v>
          </cell>
          <cell r="D922" t="str">
            <v>KKM/IKN/H/13/433</v>
          </cell>
          <cell r="E922" t="str">
            <v>15-045</v>
          </cell>
          <cell r="F922" t="str">
            <v>Nebulizers, Nonheated</v>
          </cell>
          <cell r="G922" t="str">
            <v>WB</v>
          </cell>
          <cell r="H922" t="str">
            <v>SURGICAL ONCO MALE WARD</v>
          </cell>
          <cell r="I922" t="str">
            <v>05WB113</v>
          </cell>
          <cell r="J922" t="str">
            <v>EQUIP. ROOM</v>
          </cell>
          <cell r="K922" t="str">
            <v>BMED</v>
          </cell>
          <cell r="L922" t="str">
            <v>Normal</v>
          </cell>
          <cell r="M922" t="str">
            <v>Germany</v>
          </cell>
          <cell r="N922" t="str">
            <v>Pari Boy</v>
          </cell>
          <cell r="O922" t="str">
            <v>Pari Boy SX 085</v>
          </cell>
          <cell r="P922" t="str">
            <v>2W12F13736</v>
          </cell>
          <cell r="Q922" t="str">
            <v>Not Applicable</v>
          </cell>
          <cell r="R922" t="str">
            <v>Pari GmbH</v>
          </cell>
          <cell r="S922" t="str">
            <v>Welch Allyn Malaysia Sdn Bhd</v>
          </cell>
          <cell r="T922" t="str">
            <v>Functioning</v>
          </cell>
          <cell r="U922" t="str">
            <v>Asset</v>
          </cell>
          <cell r="V922">
            <v>1140</v>
          </cell>
          <cell r="W922" t="str">
            <v>KEW</v>
          </cell>
          <cell r="X922" t="str">
            <v>01/09/2010</v>
          </cell>
          <cell r="Y922" t="str">
            <v>KEW</v>
          </cell>
          <cell r="Z922" t="str">
            <v>16/08/2013</v>
          </cell>
          <cell r="AA922" t="str">
            <v>15/08/2015</v>
          </cell>
          <cell r="AB922" t="str">
            <v>No</v>
          </cell>
          <cell r="AC922" t="str">
            <v>31/08/2013</v>
          </cell>
          <cell r="AD922" t="str">
            <v>Good</v>
          </cell>
          <cell r="AE922" t="str">
            <v>V1 - Existing / No Claim</v>
          </cell>
          <cell r="AF922">
            <v>42788</v>
          </cell>
          <cell r="AG922">
            <v>9.17</v>
          </cell>
          <cell r="AH922" t="str">
            <v>PPM</v>
          </cell>
          <cell r="AI922" t="str">
            <v>Strands</v>
          </cell>
          <cell r="AJ922" t="str">
            <v>Strands PW</v>
          </cell>
        </row>
        <row r="923">
          <cell r="A923" t="str">
            <v>IKN400473</v>
          </cell>
          <cell r="B923">
            <v>473</v>
          </cell>
          <cell r="C923" t="str">
            <v>Institut Kanser Negara</v>
          </cell>
          <cell r="D923" t="str">
            <v>KKM/IKN/H/13/435</v>
          </cell>
          <cell r="E923" t="str">
            <v>15-045</v>
          </cell>
          <cell r="F923" t="str">
            <v>Nebulizers, Nonheated</v>
          </cell>
          <cell r="G923" t="str">
            <v>WB</v>
          </cell>
          <cell r="H923" t="str">
            <v>SURGICAL ONCO MALE WARD</v>
          </cell>
          <cell r="I923" t="str">
            <v>05WB113</v>
          </cell>
          <cell r="J923" t="str">
            <v>EQUIP. ROOM</v>
          </cell>
          <cell r="K923" t="str">
            <v>BMED</v>
          </cell>
          <cell r="L923" t="str">
            <v>Normal</v>
          </cell>
          <cell r="M923" t="str">
            <v>Germany</v>
          </cell>
          <cell r="N923" t="str">
            <v>Pari Boy</v>
          </cell>
          <cell r="O923" t="str">
            <v>Pari Boy SX 085</v>
          </cell>
          <cell r="P923" t="str">
            <v>2W12F13814</v>
          </cell>
          <cell r="Q923" t="str">
            <v>Not Applicable</v>
          </cell>
          <cell r="R923" t="str">
            <v>Pari GmbH</v>
          </cell>
          <cell r="S923" t="str">
            <v>Welch Allyn Malaysia Sdn Bhd</v>
          </cell>
          <cell r="T923" t="str">
            <v>Functioning</v>
          </cell>
          <cell r="U923" t="str">
            <v>Asset</v>
          </cell>
          <cell r="V923">
            <v>1140</v>
          </cell>
          <cell r="W923" t="str">
            <v>KEW</v>
          </cell>
          <cell r="X923" t="str">
            <v>01/09/2010</v>
          </cell>
          <cell r="Y923" t="str">
            <v>KEW</v>
          </cell>
          <cell r="Z923" t="str">
            <v>16/08/2013</v>
          </cell>
          <cell r="AA923" t="str">
            <v>15/08/2015</v>
          </cell>
          <cell r="AB923" t="str">
            <v>No</v>
          </cell>
          <cell r="AC923" t="str">
            <v>31/08/2013</v>
          </cell>
          <cell r="AD923" t="str">
            <v>Good</v>
          </cell>
          <cell r="AE923" t="str">
            <v>V1 - Existing / No Claim</v>
          </cell>
          <cell r="AF923">
            <v>42788</v>
          </cell>
          <cell r="AG923">
            <v>9.17</v>
          </cell>
          <cell r="AH923" t="str">
            <v>PPM</v>
          </cell>
          <cell r="AI923" t="str">
            <v>Strands</v>
          </cell>
          <cell r="AJ923" t="str">
            <v>Strands PW</v>
          </cell>
        </row>
        <row r="924">
          <cell r="A924" t="str">
            <v>IKN400474</v>
          </cell>
          <cell r="B924">
            <v>474</v>
          </cell>
          <cell r="C924" t="str">
            <v>Institut Kanser Negara</v>
          </cell>
          <cell r="D924" t="str">
            <v>KKM/IKN/H/13/4535</v>
          </cell>
          <cell r="E924" t="str">
            <v>10-849</v>
          </cell>
          <cell r="F924" t="str">
            <v>Circulatory Assist Units, Venous Return</v>
          </cell>
          <cell r="G924" t="str">
            <v>WB</v>
          </cell>
          <cell r="H924" t="str">
            <v>SURGICAL ONCO MALE WARD</v>
          </cell>
          <cell r="I924" t="str">
            <v>05WB113</v>
          </cell>
          <cell r="J924" t="str">
            <v>EQUIP. ROOM</v>
          </cell>
          <cell r="K924" t="str">
            <v>BMED</v>
          </cell>
          <cell r="L924" t="str">
            <v>Critical</v>
          </cell>
          <cell r="M924" t="str">
            <v>Taiwan</v>
          </cell>
          <cell r="N924" t="str">
            <v>Vena Press</v>
          </cell>
          <cell r="O924" t="str">
            <v>Vena Press IPC</v>
          </cell>
          <cell r="P924" t="str">
            <v>C820016771</v>
          </cell>
          <cell r="Q924" t="str">
            <v>Not Applicable</v>
          </cell>
          <cell r="R924" t="str">
            <v>Prius Healthcare Solution</v>
          </cell>
          <cell r="S924" t="str">
            <v>Medika Supplies</v>
          </cell>
          <cell r="T924" t="str">
            <v>Functioning</v>
          </cell>
          <cell r="U924" t="str">
            <v>Asset</v>
          </cell>
          <cell r="V924">
            <v>13470</v>
          </cell>
          <cell r="W924" t="str">
            <v>KEW</v>
          </cell>
          <cell r="X924" t="str">
            <v>01/09/2010</v>
          </cell>
          <cell r="Y924" t="str">
            <v>KEW</v>
          </cell>
          <cell r="Z924" t="str">
            <v>16/08/2013</v>
          </cell>
          <cell r="AA924" t="str">
            <v>15/08/2015</v>
          </cell>
          <cell r="AB924" t="str">
            <v>No</v>
          </cell>
          <cell r="AC924" t="str">
            <v>31/08/2013</v>
          </cell>
          <cell r="AD924" t="str">
            <v>Good</v>
          </cell>
          <cell r="AE924" t="str">
            <v>V1 - Existing / No Claim</v>
          </cell>
          <cell r="AF924">
            <v>42788</v>
          </cell>
          <cell r="AG924">
            <v>9.17</v>
          </cell>
          <cell r="AH924" t="str">
            <v>PPM</v>
          </cell>
          <cell r="AI924" t="str">
            <v>Strands</v>
          </cell>
          <cell r="AJ924" t="str">
            <v>Strands PW</v>
          </cell>
        </row>
        <row r="925">
          <cell r="A925" t="str">
            <v>IKN400475</v>
          </cell>
          <cell r="B925">
            <v>475</v>
          </cell>
          <cell r="C925" t="str">
            <v>Institut Kanser Negara</v>
          </cell>
          <cell r="D925" t="str">
            <v>KKM/IKN/H/13/426</v>
          </cell>
          <cell r="E925" t="str">
            <v>13-217</v>
          </cell>
          <cell r="F925" t="str">
            <v>Infusion Pumps, Syringe</v>
          </cell>
          <cell r="G925" t="str">
            <v>WB</v>
          </cell>
          <cell r="H925" t="str">
            <v>SURGICAL ONCO MALE WARD</v>
          </cell>
          <cell r="I925" t="str">
            <v>05WB113</v>
          </cell>
          <cell r="J925" t="str">
            <v>EQUIP. ROOM</v>
          </cell>
          <cell r="K925" t="str">
            <v>BMED</v>
          </cell>
          <cell r="L925" t="str">
            <v>Normal</v>
          </cell>
          <cell r="M925" t="str">
            <v>Germany</v>
          </cell>
          <cell r="N925" t="str">
            <v>Perfusor</v>
          </cell>
          <cell r="O925" t="str">
            <v>Perfusor Space</v>
          </cell>
          <cell r="P925" t="str">
            <v>186963</v>
          </cell>
          <cell r="Q925" t="str">
            <v>Not Applicable</v>
          </cell>
          <cell r="R925" t="str">
            <v>B Braun Melsungen AG</v>
          </cell>
          <cell r="S925" t="str">
            <v>B Braun Medical Supplies Sdn. Bhd.</v>
          </cell>
          <cell r="T925" t="str">
            <v>Functioning</v>
          </cell>
          <cell r="U925" t="str">
            <v>Asset</v>
          </cell>
          <cell r="V925">
            <v>10225</v>
          </cell>
          <cell r="W925" t="str">
            <v>KEW</v>
          </cell>
          <cell r="X925" t="str">
            <v>01/09/2010</v>
          </cell>
          <cell r="Y925" t="str">
            <v>KEW</v>
          </cell>
          <cell r="Z925" t="str">
            <v>16/08/2013</v>
          </cell>
          <cell r="AA925" t="str">
            <v>15/08/2015</v>
          </cell>
          <cell r="AB925" t="str">
            <v>No</v>
          </cell>
          <cell r="AC925" t="str">
            <v>31/08/2013</v>
          </cell>
          <cell r="AD925" t="str">
            <v>Good</v>
          </cell>
          <cell r="AE925" t="str">
            <v>V1 - Existing / No Claim</v>
          </cell>
          <cell r="AF925">
            <v>42235</v>
          </cell>
          <cell r="AG925">
            <v>9.17</v>
          </cell>
          <cell r="AH925" t="str">
            <v>PPM</v>
          </cell>
          <cell r="AI925" t="str">
            <v>Strands</v>
          </cell>
          <cell r="AJ925" t="str">
            <v>Strands PW</v>
          </cell>
        </row>
        <row r="926">
          <cell r="A926" t="str">
            <v>IKN400476</v>
          </cell>
          <cell r="B926">
            <v>476</v>
          </cell>
          <cell r="C926" t="str">
            <v>Institut Kanser Negara</v>
          </cell>
          <cell r="D926" t="str">
            <v>KKM/IKN/H/13/390</v>
          </cell>
          <cell r="E926" t="str">
            <v>13-217</v>
          </cell>
          <cell r="F926" t="str">
            <v>Infusion Pumps, Syringe</v>
          </cell>
          <cell r="G926" t="str">
            <v>WB</v>
          </cell>
          <cell r="H926" t="str">
            <v>SURGICAL ONCO MALE WARD</v>
          </cell>
          <cell r="I926" t="str">
            <v>05WB113</v>
          </cell>
          <cell r="J926" t="str">
            <v>EQUIP. ROOM</v>
          </cell>
          <cell r="K926" t="str">
            <v>BMED</v>
          </cell>
          <cell r="L926" t="str">
            <v>Normal</v>
          </cell>
          <cell r="M926" t="str">
            <v>Germany</v>
          </cell>
          <cell r="N926" t="str">
            <v>Perfusor</v>
          </cell>
          <cell r="O926" t="str">
            <v>Perfusor Space</v>
          </cell>
          <cell r="P926" t="str">
            <v>187026</v>
          </cell>
          <cell r="Q926" t="str">
            <v>Not Applicable</v>
          </cell>
          <cell r="R926" t="str">
            <v>B Braun Melsungen AG</v>
          </cell>
          <cell r="S926" t="str">
            <v>B Braun Medical Supplies Sdn. Bhd.</v>
          </cell>
          <cell r="T926" t="str">
            <v>Functioning</v>
          </cell>
          <cell r="U926" t="str">
            <v>Asset</v>
          </cell>
          <cell r="V926">
            <v>10225</v>
          </cell>
          <cell r="W926" t="str">
            <v>KEW</v>
          </cell>
          <cell r="X926" t="str">
            <v>01/09/2010</v>
          </cell>
          <cell r="Y926" t="str">
            <v>KEW</v>
          </cell>
          <cell r="Z926" t="str">
            <v>16/08/2013</v>
          </cell>
          <cell r="AA926" t="str">
            <v>15/08/2015</v>
          </cell>
          <cell r="AB926" t="str">
            <v>No</v>
          </cell>
          <cell r="AC926" t="str">
            <v>31/08/2013</v>
          </cell>
          <cell r="AD926" t="str">
            <v>Good</v>
          </cell>
          <cell r="AE926" t="str">
            <v>V1 - Existing / No Claim</v>
          </cell>
          <cell r="AF926">
            <v>42235</v>
          </cell>
          <cell r="AG926">
            <v>9.17</v>
          </cell>
          <cell r="AH926" t="str">
            <v>PPM</v>
          </cell>
          <cell r="AI926" t="str">
            <v>Strands</v>
          </cell>
          <cell r="AJ926" t="str">
            <v>Strands PW</v>
          </cell>
        </row>
        <row r="927">
          <cell r="A927" t="str">
            <v>IKN400477</v>
          </cell>
          <cell r="B927">
            <v>477</v>
          </cell>
          <cell r="C927" t="str">
            <v>Institut Kanser Negara</v>
          </cell>
          <cell r="D927" t="str">
            <v>KKM/IKN/H/13/428</v>
          </cell>
          <cell r="E927" t="str">
            <v>13-217</v>
          </cell>
          <cell r="F927" t="str">
            <v>Infusion Pumps, Syringe</v>
          </cell>
          <cell r="G927" t="str">
            <v>WB</v>
          </cell>
          <cell r="H927" t="str">
            <v>SURGICAL ONCO MALE WARD</v>
          </cell>
          <cell r="I927" t="str">
            <v>05WB113</v>
          </cell>
          <cell r="J927" t="str">
            <v>EQUIP. ROOM</v>
          </cell>
          <cell r="K927" t="str">
            <v>BMED</v>
          </cell>
          <cell r="L927" t="str">
            <v>Critical</v>
          </cell>
          <cell r="M927" t="str">
            <v>Germany</v>
          </cell>
          <cell r="N927" t="str">
            <v>Perfusor</v>
          </cell>
          <cell r="O927" t="str">
            <v>Perfusor Space</v>
          </cell>
          <cell r="P927" t="str">
            <v>187043</v>
          </cell>
          <cell r="Q927" t="str">
            <v>Not Applicable</v>
          </cell>
          <cell r="R927" t="str">
            <v>B Braun Melsungen AG</v>
          </cell>
          <cell r="S927" t="str">
            <v>B Braun Medical Supplies Sdn. Bhd.</v>
          </cell>
          <cell r="T927" t="str">
            <v>Functioning</v>
          </cell>
          <cell r="U927" t="str">
            <v>Asset</v>
          </cell>
          <cell r="V927">
            <v>10225</v>
          </cell>
          <cell r="W927" t="str">
            <v>KEW</v>
          </cell>
          <cell r="X927" t="str">
            <v>01/09/2010</v>
          </cell>
          <cell r="Y927" t="str">
            <v>KEW</v>
          </cell>
          <cell r="Z927" t="str">
            <v>16/08/2013</v>
          </cell>
          <cell r="AA927" t="str">
            <v>15/08/2015</v>
          </cell>
          <cell r="AB927" t="str">
            <v>No</v>
          </cell>
          <cell r="AC927" t="str">
            <v>31/08/2013</v>
          </cell>
          <cell r="AD927" t="str">
            <v>Good</v>
          </cell>
          <cell r="AE927" t="str">
            <v>V1 - Existing / No Claim</v>
          </cell>
          <cell r="AF927">
            <v>42788</v>
          </cell>
          <cell r="AG927">
            <v>9.17</v>
          </cell>
          <cell r="AH927" t="str">
            <v>PPM</v>
          </cell>
          <cell r="AI927" t="str">
            <v>Strands</v>
          </cell>
          <cell r="AJ927" t="str">
            <v>Strands PW</v>
          </cell>
        </row>
        <row r="928">
          <cell r="A928" t="str">
            <v>IKN400478</v>
          </cell>
          <cell r="B928">
            <v>478</v>
          </cell>
          <cell r="C928" t="str">
            <v>Institut Kanser Negara</v>
          </cell>
          <cell r="D928" t="str">
            <v>KKM/IKN/H/13/427</v>
          </cell>
          <cell r="E928" t="str">
            <v>13-217</v>
          </cell>
          <cell r="F928" t="str">
            <v>Infusion Pumps, Syringe</v>
          </cell>
          <cell r="G928" t="str">
            <v>WB</v>
          </cell>
          <cell r="H928" t="str">
            <v>SURGICAL ONCO MALE WARD</v>
          </cell>
          <cell r="I928" t="str">
            <v>05WB113</v>
          </cell>
          <cell r="J928" t="str">
            <v>EQUIP. ROOM</v>
          </cell>
          <cell r="K928" t="str">
            <v>BMED</v>
          </cell>
          <cell r="L928" t="str">
            <v>Normal</v>
          </cell>
          <cell r="M928" t="str">
            <v>Germany</v>
          </cell>
          <cell r="N928" t="str">
            <v>Perfusor</v>
          </cell>
          <cell r="O928" t="str">
            <v>Perfusor Space</v>
          </cell>
          <cell r="P928" t="str">
            <v>187053</v>
          </cell>
          <cell r="Q928" t="str">
            <v>Not Applicable</v>
          </cell>
          <cell r="R928" t="str">
            <v>B Braun Melsungen AG</v>
          </cell>
          <cell r="S928" t="str">
            <v>B Braun Medical Supplies Sdn. Bhd.</v>
          </cell>
          <cell r="T928" t="str">
            <v>Functioning</v>
          </cell>
          <cell r="U928" t="str">
            <v>Asset</v>
          </cell>
          <cell r="V928">
            <v>10225</v>
          </cell>
          <cell r="W928" t="str">
            <v>KEW</v>
          </cell>
          <cell r="X928" t="str">
            <v>01/09/2010</v>
          </cell>
          <cell r="Y928" t="str">
            <v>KEW</v>
          </cell>
          <cell r="Z928" t="str">
            <v>16/08/2013</v>
          </cell>
          <cell r="AA928" t="str">
            <v>15/08/2015</v>
          </cell>
          <cell r="AB928" t="str">
            <v>No</v>
          </cell>
          <cell r="AC928" t="str">
            <v>31/08/2013</v>
          </cell>
          <cell r="AD928" t="str">
            <v>Good</v>
          </cell>
          <cell r="AE928" t="str">
            <v>V1 - Existing / No Claim</v>
          </cell>
          <cell r="AF928">
            <v>42235</v>
          </cell>
          <cell r="AG928">
            <v>9.17</v>
          </cell>
          <cell r="AH928" t="str">
            <v>PPM</v>
          </cell>
          <cell r="AI928" t="str">
            <v>Strands</v>
          </cell>
          <cell r="AJ928" t="str">
            <v>Strands PW</v>
          </cell>
        </row>
        <row r="929">
          <cell r="A929" t="str">
            <v>IKN400480</v>
          </cell>
          <cell r="B929">
            <v>480</v>
          </cell>
          <cell r="C929" t="str">
            <v>Institut Kanser Negara</v>
          </cell>
          <cell r="D929" t="e">
            <v>#N/A</v>
          </cell>
          <cell r="E929" t="str">
            <v>12-660</v>
          </cell>
          <cell r="F929" t="str">
            <v>Radiation Monitors</v>
          </cell>
          <cell r="G929" t="str">
            <v>NW</v>
          </cell>
          <cell r="H929" t="str">
            <v>NUCLEAR WASTE HOLDING</v>
          </cell>
          <cell r="I929" t="str">
            <v>01NW106</v>
          </cell>
          <cell r="J929" t="str">
            <v>WASTE MEASUREMENT</v>
          </cell>
          <cell r="K929" t="str">
            <v>BMED</v>
          </cell>
          <cell r="L929" t="str">
            <v>Normal</v>
          </cell>
          <cell r="M929" t="str">
            <v>Germany</v>
          </cell>
          <cell r="N929" t="str">
            <v>Almo</v>
          </cell>
          <cell r="O929" t="str">
            <v>Almo 3</v>
          </cell>
          <cell r="P929" t="str">
            <v>77</v>
          </cell>
          <cell r="Q929" t="str">
            <v>Not Applicable</v>
          </cell>
          <cell r="R929" t="str">
            <v>MED Nuklear-Medizintechnik Dresden GmbH</v>
          </cell>
          <cell r="S929" t="str">
            <v>Not Available</v>
          </cell>
          <cell r="T929" t="str">
            <v>Functioning</v>
          </cell>
          <cell r="U929" t="str">
            <v>Asset</v>
          </cell>
          <cell r="V929">
            <v>30000</v>
          </cell>
          <cell r="W929" t="str">
            <v>Estimate</v>
          </cell>
          <cell r="X929" t="str">
            <v>01/09/2010</v>
          </cell>
          <cell r="Y929" t="str">
            <v>KEW</v>
          </cell>
          <cell r="Z929" t="str">
            <v>16/08/2013</v>
          </cell>
          <cell r="AA929" t="str">
            <v>15/08/2015</v>
          </cell>
          <cell r="AB929" t="str">
            <v>No</v>
          </cell>
          <cell r="AC929" t="str">
            <v>31/08/2013</v>
          </cell>
          <cell r="AD929" t="str">
            <v>Good</v>
          </cell>
          <cell r="AE929" t="str">
            <v>V1 - Existing / No Claim</v>
          </cell>
          <cell r="AF929">
            <v>42601</v>
          </cell>
          <cell r="AG929">
            <v>9.17</v>
          </cell>
          <cell r="AH929" t="str">
            <v>PPM</v>
          </cell>
          <cell r="AI929" t="str">
            <v>package</v>
          </cell>
          <cell r="AK929" t="str">
            <v>[25/11/2024]: SN Detector: 76591, 76604, 76595</v>
          </cell>
        </row>
        <row r="930">
          <cell r="A930" t="str">
            <v>IKN400481</v>
          </cell>
          <cell r="B930">
            <v>481</v>
          </cell>
          <cell r="C930" t="str">
            <v>Institut Kanser Negara</v>
          </cell>
          <cell r="D930" t="str">
            <v>KKM/IKN/H/13/431</v>
          </cell>
          <cell r="E930" t="str">
            <v>13-215</v>
          </cell>
          <cell r="F930" t="str">
            <v>Infusion Pumps, General-Purpose</v>
          </cell>
          <cell r="G930" t="str">
            <v>WB</v>
          </cell>
          <cell r="H930" t="str">
            <v>SURGICAL ONCO MALE WARD</v>
          </cell>
          <cell r="I930" t="str">
            <v>05WB113</v>
          </cell>
          <cell r="J930" t="str">
            <v>EQUIP. ROOM</v>
          </cell>
          <cell r="K930" t="str">
            <v>BMED</v>
          </cell>
          <cell r="L930" t="str">
            <v>Normal</v>
          </cell>
          <cell r="M930" t="str">
            <v>Germany</v>
          </cell>
          <cell r="N930" t="str">
            <v>Infusomat</v>
          </cell>
          <cell r="O930" t="str">
            <v>Infusomat Space</v>
          </cell>
          <cell r="P930" t="str">
            <v>211446</v>
          </cell>
          <cell r="Q930" t="str">
            <v>Not Applicable</v>
          </cell>
          <cell r="R930" t="str">
            <v>B Braun Melsungen AG</v>
          </cell>
          <cell r="S930" t="str">
            <v>B Braun Medical Supplies Sdn. Bhd.</v>
          </cell>
          <cell r="T930" t="str">
            <v>Functioning</v>
          </cell>
          <cell r="U930" t="str">
            <v>Asset</v>
          </cell>
          <cell r="V930">
            <v>10825</v>
          </cell>
          <cell r="W930" t="str">
            <v>KEW</v>
          </cell>
          <cell r="X930" t="str">
            <v>01/09/2010</v>
          </cell>
          <cell r="Y930" t="str">
            <v>KEW</v>
          </cell>
          <cell r="Z930" t="str">
            <v>16/08/2013</v>
          </cell>
          <cell r="AA930" t="str">
            <v>15/08/2015</v>
          </cell>
          <cell r="AB930" t="str">
            <v>No</v>
          </cell>
          <cell r="AC930" t="str">
            <v>31/08/2013</v>
          </cell>
          <cell r="AD930" t="str">
            <v>Good</v>
          </cell>
          <cell r="AE930" t="str">
            <v>V1 - Existing / No Claim</v>
          </cell>
          <cell r="AF930">
            <v>42235</v>
          </cell>
          <cell r="AG930">
            <v>9.17</v>
          </cell>
          <cell r="AH930" t="str">
            <v>PPM</v>
          </cell>
          <cell r="AI930" t="str">
            <v>Strands</v>
          </cell>
          <cell r="AJ930" t="str">
            <v>Strands PW</v>
          </cell>
        </row>
        <row r="931">
          <cell r="A931" t="str">
            <v>IKN400482</v>
          </cell>
          <cell r="B931">
            <v>482</v>
          </cell>
          <cell r="C931" t="str">
            <v>Institut Kanser Negara</v>
          </cell>
          <cell r="D931" t="str">
            <v>KKM/IKN/H/13/432</v>
          </cell>
          <cell r="E931" t="str">
            <v>13-215</v>
          </cell>
          <cell r="F931" t="str">
            <v>Infusion Pumps, General-Purpose</v>
          </cell>
          <cell r="G931" t="str">
            <v>WB</v>
          </cell>
          <cell r="H931" t="str">
            <v>SURGICAL ONCO MALE WARD</v>
          </cell>
          <cell r="I931" t="str">
            <v>05WB113</v>
          </cell>
          <cell r="J931" t="str">
            <v>EQUIP. ROOM</v>
          </cell>
          <cell r="K931" t="str">
            <v>BMED</v>
          </cell>
          <cell r="L931" t="str">
            <v>Critical</v>
          </cell>
          <cell r="M931" t="str">
            <v>Germany</v>
          </cell>
          <cell r="N931" t="str">
            <v>Infusomat</v>
          </cell>
          <cell r="O931" t="str">
            <v>Infusomat Space</v>
          </cell>
          <cell r="P931" t="str">
            <v>212035</v>
          </cell>
          <cell r="Q931" t="str">
            <v>Not Applicable</v>
          </cell>
          <cell r="R931" t="str">
            <v>B Braun Melsungen AG</v>
          </cell>
          <cell r="S931" t="str">
            <v>B Braun Medical Supplies Sdn. Bhd.</v>
          </cell>
          <cell r="T931" t="str">
            <v>Functioning</v>
          </cell>
          <cell r="U931" t="str">
            <v>Asset</v>
          </cell>
          <cell r="V931">
            <v>10825</v>
          </cell>
          <cell r="W931" t="str">
            <v>KEW</v>
          </cell>
          <cell r="X931" t="str">
            <v>01/09/2010</v>
          </cell>
          <cell r="Y931" t="str">
            <v>KEW</v>
          </cell>
          <cell r="Z931" t="str">
            <v>16/08/2013</v>
          </cell>
          <cell r="AA931" t="str">
            <v>15/08/2015</v>
          </cell>
          <cell r="AB931" t="str">
            <v>No</v>
          </cell>
          <cell r="AC931" t="str">
            <v>31/08/2013</v>
          </cell>
          <cell r="AD931" t="str">
            <v>Good</v>
          </cell>
          <cell r="AE931" t="str">
            <v>V1 - Existing / No Claim</v>
          </cell>
          <cell r="AF931">
            <v>42788</v>
          </cell>
          <cell r="AG931">
            <v>9.17</v>
          </cell>
          <cell r="AH931" t="str">
            <v>PPM</v>
          </cell>
          <cell r="AI931" t="str">
            <v>Strands</v>
          </cell>
          <cell r="AJ931" t="str">
            <v>Strands PW</v>
          </cell>
        </row>
        <row r="932">
          <cell r="A932" t="str">
            <v>IKN400483</v>
          </cell>
          <cell r="B932">
            <v>483</v>
          </cell>
          <cell r="C932" t="str">
            <v>Institut Kanser Negara</v>
          </cell>
          <cell r="D932" t="str">
            <v>KKM/IKN/H/13/5379</v>
          </cell>
          <cell r="E932" t="str">
            <v>12-660</v>
          </cell>
          <cell r="F932" t="str">
            <v>Radiation Monitors</v>
          </cell>
          <cell r="G932" t="str">
            <v>NW</v>
          </cell>
          <cell r="H932" t="str">
            <v>NUCLEAR WASTE HOLDING</v>
          </cell>
          <cell r="I932" t="str">
            <v>01NW106</v>
          </cell>
          <cell r="J932" t="str">
            <v>WASTE MEASUREMENT</v>
          </cell>
          <cell r="K932" t="str">
            <v>BMED</v>
          </cell>
          <cell r="L932" t="str">
            <v>Normal</v>
          </cell>
          <cell r="M932" t="str">
            <v>Germany</v>
          </cell>
          <cell r="N932" t="str">
            <v>Almo</v>
          </cell>
          <cell r="O932" t="str">
            <v>Almo 6</v>
          </cell>
          <cell r="P932" t="str">
            <v>0071</v>
          </cell>
          <cell r="Q932" t="str">
            <v>Not Applicable</v>
          </cell>
          <cell r="R932" t="str">
            <v>MED Nuklear-Medizintechnik Dresden GmbH</v>
          </cell>
          <cell r="S932" t="str">
            <v/>
          </cell>
          <cell r="T932" t="str">
            <v>Functioning</v>
          </cell>
          <cell r="U932" t="str">
            <v>Asset</v>
          </cell>
          <cell r="V932">
            <v>54570</v>
          </cell>
          <cell r="W932" t="str">
            <v>KEW</v>
          </cell>
          <cell r="X932" t="str">
            <v>01/09/2010</v>
          </cell>
          <cell r="Y932" t="str">
            <v>KEW</v>
          </cell>
          <cell r="Z932" t="str">
            <v>16/08/2013</v>
          </cell>
          <cell r="AA932" t="str">
            <v>15/08/2015</v>
          </cell>
          <cell r="AB932" t="str">
            <v>No</v>
          </cell>
          <cell r="AC932" t="str">
            <v>31/08/2013</v>
          </cell>
          <cell r="AD932" t="str">
            <v>Good</v>
          </cell>
          <cell r="AE932" t="str">
            <v>V1 - Existing / No Claim</v>
          </cell>
          <cell r="AF932">
            <v>42235</v>
          </cell>
          <cell r="AG932">
            <v>9.17</v>
          </cell>
          <cell r="AH932" t="str">
            <v>PPM</v>
          </cell>
          <cell r="AI932" t="str">
            <v>Strands</v>
          </cell>
          <cell r="AJ932" t="str">
            <v>Strands PW</v>
          </cell>
          <cell r="AK932" t="str">
            <v>[25/11/2024]: SN Detector: 76594)</v>
          </cell>
        </row>
        <row r="933">
          <cell r="A933" t="str">
            <v>IKN400484</v>
          </cell>
          <cell r="B933">
            <v>484</v>
          </cell>
          <cell r="C933" t="str">
            <v>Institut Kanser Negara</v>
          </cell>
          <cell r="D933" t="str">
            <v>KKM/IKN/H/13/437</v>
          </cell>
          <cell r="E933" t="str">
            <v>18-147</v>
          </cell>
          <cell r="F933" t="str">
            <v>Mattress Systems, Alternating-Pressure</v>
          </cell>
          <cell r="G933" t="str">
            <v>WB</v>
          </cell>
          <cell r="H933" t="str">
            <v>SURGICAL ONCO MALE WARD</v>
          </cell>
          <cell r="I933" t="str">
            <v>05WB113</v>
          </cell>
          <cell r="J933" t="str">
            <v>EQUIP. ROOM</v>
          </cell>
          <cell r="K933" t="str">
            <v>BMED</v>
          </cell>
          <cell r="L933" t="str">
            <v>Normal</v>
          </cell>
          <cell r="M933" t="str">
            <v>Poland</v>
          </cell>
          <cell r="N933" t="str">
            <v>Nimbus</v>
          </cell>
          <cell r="O933" t="str">
            <v>Nimbus 3</v>
          </cell>
          <cell r="P933" t="str">
            <v>1200006463</v>
          </cell>
          <cell r="Q933" t="str">
            <v>Not Applicable</v>
          </cell>
          <cell r="R933" t="str">
            <v>Arjohuntleigh</v>
          </cell>
          <cell r="S933" t="str">
            <v>Hexamine Sdn. Bhd.</v>
          </cell>
          <cell r="T933" t="str">
            <v>Functioning</v>
          </cell>
          <cell r="U933" t="str">
            <v>Asset</v>
          </cell>
          <cell r="V933">
            <v>28630</v>
          </cell>
          <cell r="W933" t="str">
            <v>KEW</v>
          </cell>
          <cell r="X933" t="str">
            <v>01/09/2010</v>
          </cell>
          <cell r="Y933" t="str">
            <v>KEW</v>
          </cell>
          <cell r="Z933" t="str">
            <v>16/08/2013</v>
          </cell>
          <cell r="AA933" t="str">
            <v>15/08/2015</v>
          </cell>
          <cell r="AB933" t="str">
            <v>No</v>
          </cell>
          <cell r="AC933" t="str">
            <v>31/08/2013</v>
          </cell>
          <cell r="AD933" t="str">
            <v>Good</v>
          </cell>
          <cell r="AE933" t="str">
            <v>V1 - Existing / No Claim</v>
          </cell>
          <cell r="AF933">
            <v>42788</v>
          </cell>
          <cell r="AG933">
            <v>9.17</v>
          </cell>
          <cell r="AH933" t="str">
            <v>PPM</v>
          </cell>
          <cell r="AI933" t="str">
            <v>Strands</v>
          </cell>
          <cell r="AJ933" t="str">
            <v>Strands PW</v>
          </cell>
        </row>
        <row r="934">
          <cell r="A934" t="str">
            <v>IKN400485</v>
          </cell>
          <cell r="B934">
            <v>485</v>
          </cell>
          <cell r="C934" t="str">
            <v>Institut Kanser Negara</v>
          </cell>
          <cell r="D934" t="str">
            <v>KKM/IKN/H/13/2661</v>
          </cell>
          <cell r="E934" t="str">
            <v>10-134</v>
          </cell>
          <cell r="F934" t="str">
            <v>Anesthesia Units</v>
          </cell>
          <cell r="G934" t="str">
            <v>ID</v>
          </cell>
          <cell r="H934" t="str">
            <v>IMAGING DEPARTMENT</v>
          </cell>
          <cell r="I934" t="str">
            <v>03ID109</v>
          </cell>
          <cell r="J934" t="str">
            <v>INDUCTION</v>
          </cell>
          <cell r="K934" t="str">
            <v>BMED</v>
          </cell>
          <cell r="L934" t="str">
            <v>Normal</v>
          </cell>
          <cell r="M934" t="str">
            <v>Germany</v>
          </cell>
          <cell r="N934" t="str">
            <v>Fabius</v>
          </cell>
          <cell r="O934" t="str">
            <v>Fabius MRI</v>
          </cell>
          <cell r="P934" t="str">
            <v>ASDD-0149</v>
          </cell>
          <cell r="Q934" t="str">
            <v>Not Applicable</v>
          </cell>
          <cell r="R934" t="str">
            <v>Draegerwerk Ag</v>
          </cell>
          <cell r="S934" t="str">
            <v>Beau Consortium Sdn Bhd</v>
          </cell>
          <cell r="T934" t="str">
            <v>Functioning</v>
          </cell>
          <cell r="U934" t="str">
            <v>Asset</v>
          </cell>
          <cell r="V934">
            <v>312750</v>
          </cell>
          <cell r="W934" t="str">
            <v>KEW</v>
          </cell>
          <cell r="X934" t="str">
            <v>01/09/2010</v>
          </cell>
          <cell r="Y934" t="str">
            <v>KEW</v>
          </cell>
          <cell r="Z934" t="str">
            <v>16/08/2013</v>
          </cell>
          <cell r="AA934" t="str">
            <v>15/08/2015</v>
          </cell>
          <cell r="AB934" t="str">
            <v>No</v>
          </cell>
          <cell r="AC934" t="str">
            <v>31/08/2013</v>
          </cell>
          <cell r="AD934" t="str">
            <v>Good</v>
          </cell>
          <cell r="AE934" t="str">
            <v>V1 - Existing / No Claim</v>
          </cell>
          <cell r="AF934">
            <v>42235</v>
          </cell>
          <cell r="AG934">
            <v>9.17</v>
          </cell>
          <cell r="AH934" t="str">
            <v>PPM</v>
          </cell>
          <cell r="AI934" t="str">
            <v>Strands</v>
          </cell>
          <cell r="AJ934" t="str">
            <v>Strands PW</v>
          </cell>
        </row>
        <row r="935">
          <cell r="A935" t="str">
            <v>IKN400486</v>
          </cell>
          <cell r="B935">
            <v>486</v>
          </cell>
          <cell r="C935" t="str">
            <v>Institut Kanser Negara</v>
          </cell>
          <cell r="D935" t="str">
            <v>KKM/IKN/H/13/438</v>
          </cell>
          <cell r="E935" t="str">
            <v>18-147</v>
          </cell>
          <cell r="F935" t="str">
            <v>Mattress Systems, Alternating-Pressure</v>
          </cell>
          <cell r="G935" t="str">
            <v>WB</v>
          </cell>
          <cell r="H935" t="str">
            <v>SURGICAL ONCO MALE WARD</v>
          </cell>
          <cell r="I935" t="str">
            <v>05WB113</v>
          </cell>
          <cell r="J935" t="str">
            <v>EQUIP. ROOM</v>
          </cell>
          <cell r="K935" t="str">
            <v>BMED</v>
          </cell>
          <cell r="L935" t="str">
            <v>Normal</v>
          </cell>
          <cell r="M935" t="str">
            <v>Poland</v>
          </cell>
          <cell r="N935" t="str">
            <v>Nimbus</v>
          </cell>
          <cell r="O935" t="str">
            <v>Nimbus 3</v>
          </cell>
          <cell r="P935" t="str">
            <v>1200006477</v>
          </cell>
          <cell r="Q935" t="str">
            <v>Not Applicable</v>
          </cell>
          <cell r="R935" t="str">
            <v>Arjohuntleigh</v>
          </cell>
          <cell r="S935" t="str">
            <v>Hexamine Sdn. Bhd.</v>
          </cell>
          <cell r="T935" t="str">
            <v>Functioning</v>
          </cell>
          <cell r="U935" t="str">
            <v>Asset</v>
          </cell>
          <cell r="V935">
            <v>28630</v>
          </cell>
          <cell r="W935" t="str">
            <v>KEW</v>
          </cell>
          <cell r="X935" t="str">
            <v>01/09/2010</v>
          </cell>
          <cell r="Y935" t="str">
            <v>KEW</v>
          </cell>
          <cell r="Z935" t="str">
            <v>16/08/2013</v>
          </cell>
          <cell r="AA935" t="str">
            <v>15/08/2015</v>
          </cell>
          <cell r="AB935" t="str">
            <v>No</v>
          </cell>
          <cell r="AC935" t="str">
            <v>31/08/2013</v>
          </cell>
          <cell r="AD935" t="str">
            <v>Good</v>
          </cell>
          <cell r="AE935" t="str">
            <v>V1 - Existing / No Claim</v>
          </cell>
          <cell r="AF935">
            <v>42788</v>
          </cell>
          <cell r="AG935">
            <v>9.17</v>
          </cell>
          <cell r="AH935" t="str">
            <v>PPM</v>
          </cell>
          <cell r="AI935" t="str">
            <v>Strands</v>
          </cell>
          <cell r="AJ935" t="str">
            <v>Strands PW</v>
          </cell>
        </row>
        <row r="936">
          <cell r="A936" t="str">
            <v>IKN400487</v>
          </cell>
          <cell r="B936">
            <v>487</v>
          </cell>
          <cell r="C936" t="str">
            <v>Institut Kanser Negara</v>
          </cell>
          <cell r="D936" t="str">
            <v>KKM/IKN/H/13/441</v>
          </cell>
          <cell r="E936" t="str">
            <v>18-147</v>
          </cell>
          <cell r="F936" t="str">
            <v>Mattress Systems, Alternating-Pressure</v>
          </cell>
          <cell r="G936" t="str">
            <v>WB</v>
          </cell>
          <cell r="H936" t="str">
            <v>SURGICAL ONCO MALE WARD</v>
          </cell>
          <cell r="I936" t="str">
            <v>05WB113</v>
          </cell>
          <cell r="J936" t="str">
            <v>EQUIP. ROOM</v>
          </cell>
          <cell r="K936" t="str">
            <v>BMED</v>
          </cell>
          <cell r="L936" t="str">
            <v>Normal</v>
          </cell>
          <cell r="M936" t="str">
            <v>Poland</v>
          </cell>
          <cell r="N936" t="str">
            <v>Nimbus</v>
          </cell>
          <cell r="O936" t="str">
            <v>Nimbus 3</v>
          </cell>
          <cell r="P936" t="str">
            <v>1200006448</v>
          </cell>
          <cell r="Q936" t="str">
            <v>Not Applicable</v>
          </cell>
          <cell r="R936" t="str">
            <v>Arjohuntleigh</v>
          </cell>
          <cell r="S936" t="str">
            <v>Hexamine Sdn. Bhd.</v>
          </cell>
          <cell r="T936" t="str">
            <v>Functioning</v>
          </cell>
          <cell r="U936" t="str">
            <v>Asset</v>
          </cell>
          <cell r="V936">
            <v>28630</v>
          </cell>
          <cell r="W936" t="str">
            <v>KEW</v>
          </cell>
          <cell r="X936" t="str">
            <v>01/09/2010</v>
          </cell>
          <cell r="Y936" t="str">
            <v>KEW</v>
          </cell>
          <cell r="Z936" t="str">
            <v>16/08/2013</v>
          </cell>
          <cell r="AA936" t="str">
            <v>15/08/2015</v>
          </cell>
          <cell r="AB936" t="str">
            <v>No</v>
          </cell>
          <cell r="AC936" t="str">
            <v>31/08/2013</v>
          </cell>
          <cell r="AD936" t="str">
            <v>Good</v>
          </cell>
          <cell r="AE936" t="str">
            <v>V1 - Existing / No Claim</v>
          </cell>
          <cell r="AF936">
            <v>42788</v>
          </cell>
          <cell r="AG936">
            <v>9.17</v>
          </cell>
          <cell r="AH936" t="str">
            <v>PPM</v>
          </cell>
          <cell r="AI936" t="str">
            <v>Strands</v>
          </cell>
          <cell r="AJ936" t="str">
            <v>Strands PW</v>
          </cell>
        </row>
        <row r="937">
          <cell r="A937" t="str">
            <v>IKN400488</v>
          </cell>
          <cell r="B937">
            <v>488</v>
          </cell>
          <cell r="C937" t="str">
            <v>Institut Kanser Negara</v>
          </cell>
          <cell r="D937" t="str">
            <v>KKM/IKN/H/13/440</v>
          </cell>
          <cell r="E937" t="str">
            <v>18-147</v>
          </cell>
          <cell r="F937" t="str">
            <v>Mattress Systems, Alternating-Pressure</v>
          </cell>
          <cell r="G937" t="str">
            <v>WB</v>
          </cell>
          <cell r="H937" t="str">
            <v>SURGICAL ONCO MALE WARD</v>
          </cell>
          <cell r="I937" t="str">
            <v>05WB113</v>
          </cell>
          <cell r="J937" t="str">
            <v>EQUIP. ROOM</v>
          </cell>
          <cell r="K937" t="str">
            <v>BMED</v>
          </cell>
          <cell r="L937" t="str">
            <v>Normal</v>
          </cell>
          <cell r="M937" t="str">
            <v>Poland</v>
          </cell>
          <cell r="N937" t="str">
            <v>Nimbus</v>
          </cell>
          <cell r="O937" t="str">
            <v>Nimbus 3</v>
          </cell>
          <cell r="P937" t="str">
            <v>1100039129</v>
          </cell>
          <cell r="Q937" t="str">
            <v>Not Applicable</v>
          </cell>
          <cell r="R937" t="str">
            <v>Arjohuntleigh</v>
          </cell>
          <cell r="S937" t="str">
            <v>Hexamine Sdn. Bhd.</v>
          </cell>
          <cell r="T937" t="str">
            <v>Functioning</v>
          </cell>
          <cell r="U937" t="str">
            <v>Asset</v>
          </cell>
          <cell r="V937">
            <v>28630</v>
          </cell>
          <cell r="W937" t="str">
            <v>KEW</v>
          </cell>
          <cell r="X937" t="str">
            <v>01/09/2010</v>
          </cell>
          <cell r="Y937" t="str">
            <v>KEW</v>
          </cell>
          <cell r="Z937" t="str">
            <v>16/08/2013</v>
          </cell>
          <cell r="AA937" t="str">
            <v>15/08/2015</v>
          </cell>
          <cell r="AB937" t="str">
            <v>No</v>
          </cell>
          <cell r="AC937" t="str">
            <v>31/08/2013</v>
          </cell>
          <cell r="AD937" t="str">
            <v>Good</v>
          </cell>
          <cell r="AE937" t="str">
            <v>V1 - Existing / No Claim</v>
          </cell>
          <cell r="AF937">
            <v>42788</v>
          </cell>
          <cell r="AG937">
            <v>9.17</v>
          </cell>
          <cell r="AH937" t="str">
            <v>PPM</v>
          </cell>
          <cell r="AI937" t="str">
            <v>Strands</v>
          </cell>
          <cell r="AJ937" t="str">
            <v>Strands PW</v>
          </cell>
        </row>
        <row r="938">
          <cell r="A938" t="str">
            <v>IKN400489</v>
          </cell>
          <cell r="B938">
            <v>489</v>
          </cell>
          <cell r="C938" t="str">
            <v>Institut Kanser Negara</v>
          </cell>
          <cell r="D938" t="str">
            <v>KKM/IKN/H/13/443</v>
          </cell>
          <cell r="E938" t="str">
            <v>10-208</v>
          </cell>
          <cell r="F938" t="str">
            <v>Aspirators</v>
          </cell>
          <cell r="G938" t="str">
            <v>WB</v>
          </cell>
          <cell r="H938" t="str">
            <v>SURGICAL ONCO MALE WARD</v>
          </cell>
          <cell r="I938" t="str">
            <v>05WB113</v>
          </cell>
          <cell r="J938" t="str">
            <v>EQUIP. ROOM</v>
          </cell>
          <cell r="K938" t="str">
            <v>BMED</v>
          </cell>
          <cell r="L938" t="str">
            <v>Critical</v>
          </cell>
          <cell r="M938" t="str">
            <v>UK</v>
          </cell>
          <cell r="N938" t="str">
            <v>SAM</v>
          </cell>
          <cell r="O938" t="str">
            <v>SAM 427</v>
          </cell>
          <cell r="P938" t="str">
            <v>0313-0533</v>
          </cell>
          <cell r="Q938" t="str">
            <v>Not Applicable</v>
          </cell>
          <cell r="R938" t="str">
            <v>MG Electric Ltd</v>
          </cell>
          <cell r="S938" t="str">
            <v>Delta Medisains</v>
          </cell>
          <cell r="T938" t="str">
            <v>Functioning</v>
          </cell>
          <cell r="U938" t="str">
            <v>Asset</v>
          </cell>
          <cell r="V938">
            <v>10705</v>
          </cell>
          <cell r="W938" t="str">
            <v>KEW</v>
          </cell>
          <cell r="X938" t="str">
            <v>01/09/2010</v>
          </cell>
          <cell r="Y938" t="str">
            <v>KEW</v>
          </cell>
          <cell r="Z938" t="str">
            <v>16/08/2013</v>
          </cell>
          <cell r="AA938" t="str">
            <v>15/08/2015</v>
          </cell>
          <cell r="AB938" t="str">
            <v>No</v>
          </cell>
          <cell r="AC938" t="str">
            <v>31/08/2013</v>
          </cell>
          <cell r="AD938" t="str">
            <v>Good</v>
          </cell>
          <cell r="AE938" t="str">
            <v>V1 - Existing / No Claim</v>
          </cell>
          <cell r="AF938">
            <v>42788</v>
          </cell>
          <cell r="AG938">
            <v>9.17</v>
          </cell>
          <cell r="AH938" t="str">
            <v>PPM</v>
          </cell>
          <cell r="AI938" t="str">
            <v>Strands</v>
          </cell>
          <cell r="AJ938" t="str">
            <v>Strands PW</v>
          </cell>
        </row>
        <row r="939">
          <cell r="A939" t="str">
            <v>IKN400490</v>
          </cell>
          <cell r="B939">
            <v>490</v>
          </cell>
          <cell r="C939" t="str">
            <v>Institut Kanser Negara</v>
          </cell>
          <cell r="D939" t="str">
            <v>KKM/IKN/H/13/449</v>
          </cell>
          <cell r="E939" t="str">
            <v>12-647</v>
          </cell>
          <cell r="F939" t="str">
            <v>Physiologic Monitoring Systems, Acute Care</v>
          </cell>
          <cell r="G939" t="str">
            <v>WB</v>
          </cell>
          <cell r="H939" t="str">
            <v>SURGICAL ONCO MALE WARD</v>
          </cell>
          <cell r="I939" t="str">
            <v>05WB113</v>
          </cell>
          <cell r="J939" t="str">
            <v>EQUIP. ROOM</v>
          </cell>
          <cell r="K939" t="str">
            <v>BMED</v>
          </cell>
          <cell r="L939" t="str">
            <v>Critical</v>
          </cell>
          <cell r="M939" t="str">
            <v>USA</v>
          </cell>
          <cell r="N939" t="str">
            <v>GE</v>
          </cell>
          <cell r="O939" t="str">
            <v>GE B30</v>
          </cell>
          <cell r="P939" t="str">
            <v>SF312325914WA</v>
          </cell>
          <cell r="Q939" t="str">
            <v>Not Applicable</v>
          </cell>
          <cell r="R939" t="str">
            <v>GE Healthcare Systems</v>
          </cell>
          <cell r="S939" t="str">
            <v>GE Healthcare Technologies</v>
          </cell>
          <cell r="T939" t="str">
            <v>Functioning</v>
          </cell>
          <cell r="U939" t="str">
            <v>Asset</v>
          </cell>
          <cell r="V939">
            <v>44510</v>
          </cell>
          <cell r="W939" t="str">
            <v>KEW</v>
          </cell>
          <cell r="X939" t="str">
            <v>01/09/2010</v>
          </cell>
          <cell r="Y939" t="str">
            <v>KEW</v>
          </cell>
          <cell r="Z939" t="str">
            <v>16/08/2013</v>
          </cell>
          <cell r="AA939" t="str">
            <v>15/08/2015</v>
          </cell>
          <cell r="AB939" t="str">
            <v>No</v>
          </cell>
          <cell r="AC939" t="str">
            <v>31/08/2013</v>
          </cell>
          <cell r="AD939" t="str">
            <v>Good</v>
          </cell>
          <cell r="AE939" t="str">
            <v>V1 - Existing / No Claim</v>
          </cell>
          <cell r="AF939">
            <v>42788</v>
          </cell>
          <cell r="AG939">
            <v>9.17</v>
          </cell>
          <cell r="AH939" t="str">
            <v>PPM</v>
          </cell>
          <cell r="AI939" t="str">
            <v>Strands</v>
          </cell>
          <cell r="AJ939" t="str">
            <v>Strands PW</v>
          </cell>
        </row>
        <row r="940">
          <cell r="A940" t="str">
            <v>IKN400491</v>
          </cell>
          <cell r="B940">
            <v>491</v>
          </cell>
          <cell r="C940" t="str">
            <v>Institut Kanser Negara</v>
          </cell>
          <cell r="D940" t="str">
            <v>KKM/IKN/H/13/2378</v>
          </cell>
          <cell r="E940" t="str">
            <v>12-647</v>
          </cell>
          <cell r="F940" t="str">
            <v>Physiologic Monitoring Systems, Acute Care</v>
          </cell>
          <cell r="G940" t="str">
            <v>WB</v>
          </cell>
          <cell r="H940" t="str">
            <v>SURGICAL ONCO MALE WARD</v>
          </cell>
          <cell r="I940" t="str">
            <v>05WB113</v>
          </cell>
          <cell r="J940" t="str">
            <v>EQUIP. ROOM</v>
          </cell>
          <cell r="K940" t="str">
            <v>BMED</v>
          </cell>
          <cell r="L940" t="str">
            <v>Critical</v>
          </cell>
          <cell r="M940" t="str">
            <v>USA</v>
          </cell>
          <cell r="N940" t="str">
            <v>GE</v>
          </cell>
          <cell r="O940" t="str">
            <v>GE B30</v>
          </cell>
          <cell r="P940" t="str">
            <v>SF312325883WA</v>
          </cell>
          <cell r="Q940" t="str">
            <v>Not Applicable</v>
          </cell>
          <cell r="R940" t="str">
            <v>GE Healthcare Systems</v>
          </cell>
          <cell r="S940" t="str">
            <v>GE Healthcare Technologies</v>
          </cell>
          <cell r="T940" t="str">
            <v>Functioning</v>
          </cell>
          <cell r="U940" t="str">
            <v>Asset</v>
          </cell>
          <cell r="V940">
            <v>44510</v>
          </cell>
          <cell r="W940" t="str">
            <v>KEW</v>
          </cell>
          <cell r="X940" t="str">
            <v>01/09/2010</v>
          </cell>
          <cell r="Y940" t="str">
            <v>KEW</v>
          </cell>
          <cell r="Z940" t="str">
            <v>16/08/2013</v>
          </cell>
          <cell r="AA940" t="str">
            <v>15/08/2015</v>
          </cell>
          <cell r="AB940" t="str">
            <v>No</v>
          </cell>
          <cell r="AC940" t="str">
            <v>31/08/2013</v>
          </cell>
          <cell r="AD940" t="str">
            <v>Good</v>
          </cell>
          <cell r="AE940" t="str">
            <v>V1 - Existing / No Claim</v>
          </cell>
          <cell r="AF940">
            <v>42788</v>
          </cell>
          <cell r="AG940">
            <v>9.17</v>
          </cell>
          <cell r="AH940" t="str">
            <v>PPM</v>
          </cell>
          <cell r="AI940" t="str">
            <v>Strands</v>
          </cell>
          <cell r="AJ940" t="str">
            <v>Strands PW</v>
          </cell>
        </row>
        <row r="941">
          <cell r="A941" t="str">
            <v>IKN400492</v>
          </cell>
          <cell r="B941">
            <v>492</v>
          </cell>
          <cell r="C941" t="str">
            <v>Institut Kanser Negara</v>
          </cell>
          <cell r="D941" t="str">
            <v>KKM/IKN/H/13/3104</v>
          </cell>
          <cell r="E941" t="str">
            <v>18-449</v>
          </cell>
          <cell r="F941" t="str">
            <v>Balances, Electronic, Analytical</v>
          </cell>
          <cell r="G941" t="str">
            <v>NM</v>
          </cell>
          <cell r="H941" t="str">
            <v>NUCLEAR MED (DIAGNOSTIC)</v>
          </cell>
          <cell r="I941" t="str">
            <v>03NM142</v>
          </cell>
          <cell r="J941" t="str">
            <v>INJECTION ROOM 2 (-VE)</v>
          </cell>
          <cell r="K941" t="str">
            <v>BMED</v>
          </cell>
          <cell r="L941" t="str">
            <v>Normal</v>
          </cell>
          <cell r="M941" t="str">
            <v>Germany</v>
          </cell>
          <cell r="N941" t="str">
            <v>Sartorius</v>
          </cell>
          <cell r="O941" t="str">
            <v>Sartorius CPA225D</v>
          </cell>
          <cell r="P941" t="str">
            <v>28103547</v>
          </cell>
          <cell r="Q941" t="str">
            <v>Not Applicable</v>
          </cell>
          <cell r="R941" t="str">
            <v>Sartorius AG</v>
          </cell>
          <cell r="S941" t="str">
            <v>Chemopharm Sd. Bhd.</v>
          </cell>
          <cell r="T941" t="str">
            <v>Functioning</v>
          </cell>
          <cell r="U941" t="str">
            <v>Asset</v>
          </cell>
          <cell r="V941">
            <v>6250</v>
          </cell>
          <cell r="W941" t="str">
            <v>KEW</v>
          </cell>
          <cell r="X941" t="str">
            <v>01/09/2010</v>
          </cell>
          <cell r="Y941" t="str">
            <v>KEW</v>
          </cell>
          <cell r="Z941" t="str">
            <v>16/08/2013</v>
          </cell>
          <cell r="AA941" t="str">
            <v>15/08/2015</v>
          </cell>
          <cell r="AB941" t="str">
            <v>No</v>
          </cell>
          <cell r="AC941" t="str">
            <v>31/08/2013</v>
          </cell>
          <cell r="AD941" t="str">
            <v>Good</v>
          </cell>
          <cell r="AE941" t="str">
            <v>V1 - Existing / No Claim</v>
          </cell>
          <cell r="AF941">
            <v>42235</v>
          </cell>
          <cell r="AG941">
            <v>9.17</v>
          </cell>
          <cell r="AH941" t="str">
            <v>PPM</v>
          </cell>
          <cell r="AI941" t="str">
            <v>Strands</v>
          </cell>
          <cell r="AJ941" t="str">
            <v>Strands PW</v>
          </cell>
        </row>
        <row r="942">
          <cell r="A942" t="str">
            <v>IKN400493</v>
          </cell>
          <cell r="B942">
            <v>493</v>
          </cell>
          <cell r="C942" t="str">
            <v>Institut Kanser Negara</v>
          </cell>
          <cell r="D942" t="str">
            <v>KKM/IKN/H/13/446</v>
          </cell>
          <cell r="E942" t="str">
            <v>11-134</v>
          </cell>
          <cell r="F942" t="str">
            <v>Defibrillators, External, Manual</v>
          </cell>
          <cell r="G942" t="str">
            <v>WB</v>
          </cell>
          <cell r="H942" t="str">
            <v>SURGICAL ONCO MALE WARD</v>
          </cell>
          <cell r="I942" t="str">
            <v>05WB133</v>
          </cell>
          <cell r="J942" t="str">
            <v>RESUS EQ. BAY</v>
          </cell>
          <cell r="K942" t="str">
            <v>BMED</v>
          </cell>
          <cell r="L942" t="str">
            <v>Critical</v>
          </cell>
          <cell r="M942" t="str">
            <v>USA</v>
          </cell>
          <cell r="N942" t="str">
            <v>Responder</v>
          </cell>
          <cell r="O942" t="str">
            <v>Responder 2000</v>
          </cell>
          <cell r="P942" t="str">
            <v>3206702</v>
          </cell>
          <cell r="Q942" t="str">
            <v>Not Applicable</v>
          </cell>
          <cell r="R942" t="str">
            <v>GE Medical Systems</v>
          </cell>
          <cell r="S942" t="str">
            <v>Antah Sir Radin Sdn. Bhd.</v>
          </cell>
          <cell r="T942" t="str">
            <v>Functioning</v>
          </cell>
          <cell r="U942" t="str">
            <v>Asset</v>
          </cell>
          <cell r="V942">
            <v>45000</v>
          </cell>
          <cell r="W942" t="str">
            <v>Estimate</v>
          </cell>
          <cell r="X942" t="str">
            <v>01/09/2010</v>
          </cell>
          <cell r="Y942" t="str">
            <v>KEW</v>
          </cell>
          <cell r="Z942" t="str">
            <v>16/08/2013</v>
          </cell>
          <cell r="AA942" t="str">
            <v>15/08/2015</v>
          </cell>
          <cell r="AB942" t="str">
            <v>No</v>
          </cell>
          <cell r="AC942" t="str">
            <v>31/08/2013</v>
          </cell>
          <cell r="AD942" t="str">
            <v>Good</v>
          </cell>
          <cell r="AE942" t="str">
            <v>V1 - Existing / No Claim</v>
          </cell>
          <cell r="AF942">
            <v>42601</v>
          </cell>
          <cell r="AG942">
            <v>9.17</v>
          </cell>
          <cell r="AH942" t="str">
            <v>PPM</v>
          </cell>
          <cell r="AI942" t="str">
            <v>Strands</v>
          </cell>
          <cell r="AJ942" t="str">
            <v>Strands PW</v>
          </cell>
          <cell r="AK942" t="str">
            <v>Crash Trolley (FEMS)</v>
          </cell>
        </row>
        <row r="943">
          <cell r="A943" t="str">
            <v>IKN400494</v>
          </cell>
          <cell r="B943">
            <v>494</v>
          </cell>
          <cell r="C943" t="str">
            <v>Institut Kanser Negara</v>
          </cell>
          <cell r="D943" t="str">
            <v>KKM/IKN/H/13/3133</v>
          </cell>
          <cell r="E943" t="str">
            <v>16-173</v>
          </cell>
          <cell r="F943" t="str">
            <v>Sphygmomanometers, Electronic, Automatic</v>
          </cell>
          <cell r="G943" t="str">
            <v>WB</v>
          </cell>
          <cell r="H943" t="str">
            <v>SURGICAL ONCO MALE WARD</v>
          </cell>
          <cell r="I943" t="str">
            <v>05WB143</v>
          </cell>
          <cell r="J943" t="str">
            <v>NURSES STATION</v>
          </cell>
          <cell r="K943" t="str">
            <v>BMED</v>
          </cell>
          <cell r="L943" t="str">
            <v>Critical</v>
          </cell>
          <cell r="M943" t="str">
            <v>USA</v>
          </cell>
          <cell r="N943" t="str">
            <v>Connex</v>
          </cell>
          <cell r="O943" t="str">
            <v>Connex ProBP 3400</v>
          </cell>
          <cell r="P943" t="str">
            <v>100001500613</v>
          </cell>
          <cell r="Q943" t="str">
            <v>Not Applicable</v>
          </cell>
          <cell r="R943" t="str">
            <v>Welch Allyn Inc</v>
          </cell>
          <cell r="S943" t="str">
            <v>Welch Allyn Malaysia Sdn Bhd</v>
          </cell>
          <cell r="T943" t="str">
            <v>Functioning</v>
          </cell>
          <cell r="U943" t="str">
            <v>Asset</v>
          </cell>
          <cell r="V943">
            <v>4510</v>
          </cell>
          <cell r="W943" t="str">
            <v>KEW</v>
          </cell>
          <cell r="X943" t="str">
            <v>01/09/2010</v>
          </cell>
          <cell r="Y943" t="str">
            <v>KEW</v>
          </cell>
          <cell r="Z943" t="str">
            <v>16/08/2013</v>
          </cell>
          <cell r="AA943" t="str">
            <v>15/08/2015</v>
          </cell>
          <cell r="AB943" t="str">
            <v>No</v>
          </cell>
          <cell r="AC943" t="str">
            <v>31/08/2013</v>
          </cell>
          <cell r="AD943" t="str">
            <v>Good</v>
          </cell>
          <cell r="AE943" t="str">
            <v>V1 - Existing / No Claim</v>
          </cell>
          <cell r="AF943">
            <v>42788</v>
          </cell>
          <cell r="AG943">
            <v>9.17</v>
          </cell>
          <cell r="AH943" t="str">
            <v>PPM</v>
          </cell>
          <cell r="AI943" t="str">
            <v>Strands</v>
          </cell>
          <cell r="AJ943" t="str">
            <v>Strands PW</v>
          </cell>
        </row>
        <row r="944">
          <cell r="A944" t="str">
            <v>IKN400495</v>
          </cell>
          <cell r="B944">
            <v>495</v>
          </cell>
          <cell r="C944" t="str">
            <v>Institut Kanser Negara</v>
          </cell>
          <cell r="D944" t="str">
            <v>KKM/IKN/H/13/3134</v>
          </cell>
          <cell r="E944" t="str">
            <v>16-173</v>
          </cell>
          <cell r="F944" t="str">
            <v>Sphygmomanometers, Electronic, Automatic</v>
          </cell>
          <cell r="G944" t="str">
            <v>WB</v>
          </cell>
          <cell r="H944" t="str">
            <v>SURGICAL ONCO MALE WARD</v>
          </cell>
          <cell r="I944" t="str">
            <v>05WB143</v>
          </cell>
          <cell r="J944" t="str">
            <v>NURSES STATION</v>
          </cell>
          <cell r="K944" t="str">
            <v>BMED</v>
          </cell>
          <cell r="L944" t="str">
            <v>Normal</v>
          </cell>
          <cell r="M944" t="str">
            <v>USA</v>
          </cell>
          <cell r="N944" t="str">
            <v>Connex</v>
          </cell>
          <cell r="O944" t="str">
            <v>Connex ProBP 3400</v>
          </cell>
          <cell r="P944" t="str">
            <v>100001790613</v>
          </cell>
          <cell r="Q944" t="str">
            <v>Not Applicable</v>
          </cell>
          <cell r="R944" t="str">
            <v>Welch Allyn Inc</v>
          </cell>
          <cell r="S944" t="str">
            <v>Welch Allyn Malaysia Sdn Bhd</v>
          </cell>
          <cell r="T944" t="str">
            <v>Functioning</v>
          </cell>
          <cell r="U944" t="str">
            <v>Asset</v>
          </cell>
          <cell r="V944">
            <v>4510</v>
          </cell>
          <cell r="W944" t="str">
            <v>KEW</v>
          </cell>
          <cell r="X944" t="str">
            <v>01/09/2010</v>
          </cell>
          <cell r="Y944" t="str">
            <v>KEW</v>
          </cell>
          <cell r="Z944" t="str">
            <v>16/08/2013</v>
          </cell>
          <cell r="AA944" t="str">
            <v>15/08/2015</v>
          </cell>
          <cell r="AB944" t="str">
            <v>No</v>
          </cell>
          <cell r="AC944" t="str">
            <v>31/08/2013</v>
          </cell>
          <cell r="AD944" t="str">
            <v>Good</v>
          </cell>
          <cell r="AE944" t="str">
            <v>V1 - Existing / No Claim</v>
          </cell>
          <cell r="AF944">
            <v>42235</v>
          </cell>
          <cell r="AG944">
            <v>9.17</v>
          </cell>
          <cell r="AH944" t="str">
            <v>PPM</v>
          </cell>
          <cell r="AI944" t="str">
            <v>Strands</v>
          </cell>
          <cell r="AJ944" t="str">
            <v>Strands PW</v>
          </cell>
        </row>
        <row r="945">
          <cell r="A945" t="str">
            <v>IKN400496</v>
          </cell>
          <cell r="B945">
            <v>496</v>
          </cell>
          <cell r="C945" t="str">
            <v>Institut Kanser Negara</v>
          </cell>
          <cell r="D945" t="e">
            <v>#N/A</v>
          </cell>
          <cell r="E945" t="str">
            <v>12-660</v>
          </cell>
          <cell r="F945" t="str">
            <v>Radiation Monitors</v>
          </cell>
          <cell r="G945" t="str">
            <v>NM</v>
          </cell>
          <cell r="H945" t="str">
            <v>NUCLEAR MED (DIAGNOSTIC)</v>
          </cell>
          <cell r="I945" t="str">
            <v>03NM164</v>
          </cell>
          <cell r="J945" t="str">
            <v>GAMMA CAMERA 2 (-VE)</v>
          </cell>
          <cell r="K945" t="str">
            <v>BMED</v>
          </cell>
          <cell r="L945" t="str">
            <v>Normal</v>
          </cell>
          <cell r="M945" t="str">
            <v>USA</v>
          </cell>
          <cell r="N945" t="str">
            <v>Ludlum</v>
          </cell>
          <cell r="O945" t="str">
            <v>Ludlum 375</v>
          </cell>
          <cell r="P945">
            <v>294469</v>
          </cell>
          <cell r="Q945" t="str">
            <v>Not Applicable</v>
          </cell>
          <cell r="R945" t="str">
            <v>Ludlum Measurements Inc</v>
          </cell>
          <cell r="S945" t="str">
            <v>Advance Altimas Sdn Bhd</v>
          </cell>
          <cell r="T945" t="str">
            <v>Functioning</v>
          </cell>
          <cell r="U945" t="str">
            <v>Asset</v>
          </cell>
          <cell r="V945">
            <v>25000</v>
          </cell>
          <cell r="W945" t="str">
            <v>Estimate</v>
          </cell>
          <cell r="X945" t="str">
            <v>01/09/2010</v>
          </cell>
          <cell r="Y945" t="str">
            <v>KEW</v>
          </cell>
          <cell r="Z945" t="str">
            <v>16/08/2013</v>
          </cell>
          <cell r="AA945" t="str">
            <v>15/08/2015</v>
          </cell>
          <cell r="AB945" t="str">
            <v>No</v>
          </cell>
          <cell r="AC945" t="str">
            <v>31/08/2013</v>
          </cell>
          <cell r="AD945" t="str">
            <v>Good</v>
          </cell>
          <cell r="AE945" t="str">
            <v>V1 - Existing / No Claim</v>
          </cell>
          <cell r="AF945">
            <v>42601</v>
          </cell>
          <cell r="AG945">
            <v>9.17</v>
          </cell>
          <cell r="AH945" t="str">
            <v>PPM</v>
          </cell>
          <cell r="AI945" t="str">
            <v>package</v>
          </cell>
          <cell r="AJ945" t="str">
            <v>PACKAGE XK0001B</v>
          </cell>
        </row>
        <row r="946">
          <cell r="A946" t="str">
            <v>IKN400497</v>
          </cell>
          <cell r="B946">
            <v>497</v>
          </cell>
          <cell r="C946" t="str">
            <v>Institut Kanser Negara</v>
          </cell>
          <cell r="D946" t="str">
            <v>KKM/IKN/H/13/357</v>
          </cell>
          <cell r="E946" t="str">
            <v>12-873</v>
          </cell>
          <cell r="F946" t="str">
            <v>Concentrators, Oxygen</v>
          </cell>
          <cell r="G946" t="str">
            <v>PC</v>
          </cell>
          <cell r="H946" t="str">
            <v>PALLIATIVE CARE UNIT</v>
          </cell>
          <cell r="I946" t="str">
            <v>04PC109</v>
          </cell>
          <cell r="J946" t="str">
            <v>GEN. STORE</v>
          </cell>
          <cell r="K946" t="str">
            <v>BMED</v>
          </cell>
          <cell r="L946" t="str">
            <v>Critical</v>
          </cell>
          <cell r="M946" t="str">
            <v>USA</v>
          </cell>
          <cell r="N946" t="str">
            <v>EverFlo</v>
          </cell>
          <cell r="O946" t="str">
            <v>EverFlo</v>
          </cell>
          <cell r="P946" t="str">
            <v>14755</v>
          </cell>
          <cell r="Q946" t="str">
            <v>Not Applicable</v>
          </cell>
          <cell r="R946" t="str">
            <v>Respironics</v>
          </cell>
          <cell r="S946" t="str">
            <v>Goodlabs Medical (M) Sdn. Bhd.</v>
          </cell>
          <cell r="T946" t="str">
            <v>Functioning</v>
          </cell>
          <cell r="U946" t="str">
            <v>Asset</v>
          </cell>
          <cell r="V946">
            <v>5773</v>
          </cell>
          <cell r="W946" t="str">
            <v>KEW</v>
          </cell>
          <cell r="X946" t="str">
            <v>01/09/2010</v>
          </cell>
          <cell r="Y946" t="str">
            <v>KEW</v>
          </cell>
          <cell r="Z946" t="str">
            <v>16/08/2013</v>
          </cell>
          <cell r="AA946" t="str">
            <v>15/08/2015</v>
          </cell>
          <cell r="AB946" t="str">
            <v>No</v>
          </cell>
          <cell r="AC946" t="str">
            <v>31/08/2013</v>
          </cell>
          <cell r="AD946" t="str">
            <v>Good</v>
          </cell>
          <cell r="AE946" t="str">
            <v>V1 - Existing / No Claim</v>
          </cell>
          <cell r="AF946">
            <v>42797</v>
          </cell>
          <cell r="AG946">
            <v>9.17</v>
          </cell>
          <cell r="AH946" t="str">
            <v>PPM</v>
          </cell>
          <cell r="AI946" t="str">
            <v>Strands</v>
          </cell>
          <cell r="AJ946" t="str">
            <v>Strands PW</v>
          </cell>
        </row>
        <row r="947">
          <cell r="A947" t="str">
            <v>IKN400498</v>
          </cell>
          <cell r="B947">
            <v>498</v>
          </cell>
          <cell r="C947" t="str">
            <v>Institut Kanser Negara</v>
          </cell>
          <cell r="D947" t="str">
            <v>KKM/IKN/H/13/345</v>
          </cell>
          <cell r="E947" t="str">
            <v>12-873</v>
          </cell>
          <cell r="F947" t="str">
            <v>Concentrators, Oxygen</v>
          </cell>
          <cell r="G947" t="str">
            <v>PC</v>
          </cell>
          <cell r="H947" t="str">
            <v>PALLIATIVE CARE UNIT</v>
          </cell>
          <cell r="I947" t="str">
            <v>04PC109</v>
          </cell>
          <cell r="J947" t="str">
            <v>GEN. STORE</v>
          </cell>
          <cell r="K947" t="str">
            <v>BMED</v>
          </cell>
          <cell r="L947" t="str">
            <v>Normal</v>
          </cell>
          <cell r="M947" t="str">
            <v>USA</v>
          </cell>
          <cell r="N947" t="str">
            <v>EverFlo</v>
          </cell>
          <cell r="O947" t="str">
            <v>EverFlo</v>
          </cell>
          <cell r="P947" t="str">
            <v>15034</v>
          </cell>
          <cell r="Q947" t="str">
            <v>Not Applicable</v>
          </cell>
          <cell r="R947" t="str">
            <v>Respironics</v>
          </cell>
          <cell r="S947" t="str">
            <v>Goodlabs Medical (M) Sdn. Bhd.</v>
          </cell>
          <cell r="T947" t="str">
            <v>Functioning</v>
          </cell>
          <cell r="U947" t="str">
            <v>Asset</v>
          </cell>
          <cell r="V947">
            <v>5773</v>
          </cell>
          <cell r="W947" t="str">
            <v>KEW</v>
          </cell>
          <cell r="X947" t="str">
            <v>01/09/2010</v>
          </cell>
          <cell r="Y947" t="str">
            <v>KEW</v>
          </cell>
          <cell r="Z947" t="str">
            <v>16/08/2013</v>
          </cell>
          <cell r="AA947" t="str">
            <v>15/08/2015</v>
          </cell>
          <cell r="AB947" t="str">
            <v>No</v>
          </cell>
          <cell r="AC947" t="str">
            <v>31/08/2013</v>
          </cell>
          <cell r="AD947" t="str">
            <v>Good</v>
          </cell>
          <cell r="AE947" t="str">
            <v>V1 - Existing / No Claim</v>
          </cell>
          <cell r="AF947">
            <v>42235</v>
          </cell>
          <cell r="AG947">
            <v>9.17</v>
          </cell>
          <cell r="AH947" t="str">
            <v>PPM</v>
          </cell>
          <cell r="AI947" t="str">
            <v>Strands</v>
          </cell>
          <cell r="AJ947" t="str">
            <v>Strands PW</v>
          </cell>
        </row>
        <row r="948">
          <cell r="A948" t="str">
            <v>IKN400499</v>
          </cell>
          <cell r="B948">
            <v>499</v>
          </cell>
          <cell r="C948" t="str">
            <v>Institut Kanser Negara</v>
          </cell>
          <cell r="D948" t="str">
            <v>KKM/IKN/H/13/346</v>
          </cell>
          <cell r="E948" t="str">
            <v>12-873</v>
          </cell>
          <cell r="F948" t="str">
            <v>Concentrators, Oxygen</v>
          </cell>
          <cell r="G948" t="str">
            <v>PC</v>
          </cell>
          <cell r="H948" t="str">
            <v>PALLIATIVE CARE UNIT</v>
          </cell>
          <cell r="I948" t="str">
            <v>04PC109</v>
          </cell>
          <cell r="J948" t="str">
            <v>GEN. STORE</v>
          </cell>
          <cell r="K948" t="str">
            <v>BMED</v>
          </cell>
          <cell r="L948" t="str">
            <v>Critical</v>
          </cell>
          <cell r="M948" t="str">
            <v>USA</v>
          </cell>
          <cell r="N948" t="str">
            <v>EverFlo</v>
          </cell>
          <cell r="O948" t="str">
            <v>EverFlo</v>
          </cell>
          <cell r="P948" t="str">
            <v>0015036</v>
          </cell>
          <cell r="Q948" t="str">
            <v>Not Applicable</v>
          </cell>
          <cell r="R948" t="str">
            <v>Respironics</v>
          </cell>
          <cell r="S948" t="str">
            <v>Goodlabs Medical (M) Sdn. Bhd.</v>
          </cell>
          <cell r="T948" t="str">
            <v>Functioning</v>
          </cell>
          <cell r="U948" t="str">
            <v>Asset</v>
          </cell>
          <cell r="V948">
            <v>5773</v>
          </cell>
          <cell r="W948" t="str">
            <v>KEW</v>
          </cell>
          <cell r="X948" t="str">
            <v>01/09/2010</v>
          </cell>
          <cell r="Y948" t="str">
            <v>KEW</v>
          </cell>
          <cell r="Z948" t="str">
            <v>16/08/2013</v>
          </cell>
          <cell r="AA948" t="str">
            <v>15/08/2015</v>
          </cell>
          <cell r="AB948" t="str">
            <v>No</v>
          </cell>
          <cell r="AC948" t="str">
            <v>31/08/2013</v>
          </cell>
          <cell r="AD948" t="str">
            <v>Good</v>
          </cell>
          <cell r="AE948" t="str">
            <v>V1 - Existing / No Claim</v>
          </cell>
          <cell r="AF948">
            <v>43005</v>
          </cell>
          <cell r="AG948">
            <v>9.17</v>
          </cell>
          <cell r="AH948" t="str">
            <v>PPM</v>
          </cell>
          <cell r="AI948" t="str">
            <v>Strands</v>
          </cell>
          <cell r="AJ948" t="str">
            <v>Strands PW</v>
          </cell>
        </row>
        <row r="949">
          <cell r="A949" t="str">
            <v>IKN400500</v>
          </cell>
          <cell r="B949">
            <v>500</v>
          </cell>
          <cell r="C949" t="str">
            <v>Institut Kanser Negara</v>
          </cell>
          <cell r="D949" t="str">
            <v>KKM/IKN/H/13/344</v>
          </cell>
          <cell r="E949" t="str">
            <v>12-873</v>
          </cell>
          <cell r="F949" t="str">
            <v>Concentrators, Oxygen</v>
          </cell>
          <cell r="G949" t="str">
            <v>PC</v>
          </cell>
          <cell r="H949" t="str">
            <v>PALLIATIVE CARE UNIT</v>
          </cell>
          <cell r="I949" t="str">
            <v>04PC109</v>
          </cell>
          <cell r="J949" t="str">
            <v>GEN. STORE</v>
          </cell>
          <cell r="K949" t="str">
            <v>BMED</v>
          </cell>
          <cell r="L949" t="str">
            <v>Normal</v>
          </cell>
          <cell r="M949" t="str">
            <v>USA</v>
          </cell>
          <cell r="N949" t="str">
            <v>EverFlo</v>
          </cell>
          <cell r="O949" t="str">
            <v>EverFlo</v>
          </cell>
          <cell r="P949" t="str">
            <v>15032</v>
          </cell>
          <cell r="Q949" t="str">
            <v>Not Applicable</v>
          </cell>
          <cell r="R949" t="str">
            <v>Respironics</v>
          </cell>
          <cell r="S949" t="str">
            <v>Goodlabs Medical (M) Sdn. Bhd.</v>
          </cell>
          <cell r="T949" t="str">
            <v>Functioning</v>
          </cell>
          <cell r="U949" t="str">
            <v>Asset</v>
          </cell>
          <cell r="V949">
            <v>5773</v>
          </cell>
          <cell r="W949" t="str">
            <v>KEW</v>
          </cell>
          <cell r="X949" t="str">
            <v>01/09/2010</v>
          </cell>
          <cell r="Y949" t="str">
            <v>KEW</v>
          </cell>
          <cell r="Z949" t="str">
            <v>16/08/2013</v>
          </cell>
          <cell r="AA949" t="str">
            <v>15/08/2015</v>
          </cell>
          <cell r="AB949" t="str">
            <v>No</v>
          </cell>
          <cell r="AC949" t="str">
            <v>31/08/2013</v>
          </cell>
          <cell r="AD949" t="str">
            <v>Good</v>
          </cell>
          <cell r="AE949" t="str">
            <v>V1 - Existing / No Claim</v>
          </cell>
          <cell r="AF949">
            <v>42235</v>
          </cell>
          <cell r="AG949">
            <v>9.17</v>
          </cell>
          <cell r="AH949" t="str">
            <v>PPM</v>
          </cell>
          <cell r="AI949" t="str">
            <v>Strands</v>
          </cell>
          <cell r="AJ949" t="str">
            <v>Strands PW</v>
          </cell>
        </row>
        <row r="950">
          <cell r="A950" t="str">
            <v>IKN400501</v>
          </cell>
          <cell r="B950">
            <v>501</v>
          </cell>
          <cell r="C950" t="str">
            <v>Institut Kanser Negara</v>
          </cell>
          <cell r="D950" t="str">
            <v>KKM/IKN/H/13/343</v>
          </cell>
          <cell r="E950" t="str">
            <v>12-873</v>
          </cell>
          <cell r="F950" t="str">
            <v>Concentrators, Oxygen</v>
          </cell>
          <cell r="G950" t="str">
            <v>PC</v>
          </cell>
          <cell r="H950" t="str">
            <v>PALLIATIVE CARE UNIT</v>
          </cell>
          <cell r="I950" t="str">
            <v>04PC109</v>
          </cell>
          <cell r="J950" t="str">
            <v>GEN. STORE</v>
          </cell>
          <cell r="K950" t="str">
            <v>BMED</v>
          </cell>
          <cell r="L950" t="str">
            <v>Critical</v>
          </cell>
          <cell r="M950" t="str">
            <v>USA</v>
          </cell>
          <cell r="N950" t="str">
            <v>EverFlo</v>
          </cell>
          <cell r="O950" t="str">
            <v>EverFlo</v>
          </cell>
          <cell r="P950" t="str">
            <v>15058</v>
          </cell>
          <cell r="Q950" t="str">
            <v>Not Applicable</v>
          </cell>
          <cell r="R950" t="str">
            <v>Respironics</v>
          </cell>
          <cell r="S950" t="str">
            <v>Goodlabs Medical (M) Sdn. Bhd.</v>
          </cell>
          <cell r="T950" t="str">
            <v>Functioning</v>
          </cell>
          <cell r="U950" t="str">
            <v>Asset</v>
          </cell>
          <cell r="V950">
            <v>5773</v>
          </cell>
          <cell r="W950" t="str">
            <v>KEW</v>
          </cell>
          <cell r="X950" t="str">
            <v>01/09/2010</v>
          </cell>
          <cell r="Y950" t="str">
            <v>KEW</v>
          </cell>
          <cell r="Z950" t="str">
            <v>16/08/2013</v>
          </cell>
          <cell r="AA950" t="str">
            <v>15/08/2015</v>
          </cell>
          <cell r="AB950" t="str">
            <v>No</v>
          </cell>
          <cell r="AC950" t="str">
            <v>31/08/2013</v>
          </cell>
          <cell r="AD950" t="str">
            <v>Good</v>
          </cell>
          <cell r="AE950" t="str">
            <v>V1 - Existing / No Claim</v>
          </cell>
          <cell r="AF950">
            <v>42797</v>
          </cell>
          <cell r="AG950">
            <v>9.17</v>
          </cell>
          <cell r="AH950" t="str">
            <v>PPM</v>
          </cell>
          <cell r="AI950" t="str">
            <v>Strands</v>
          </cell>
          <cell r="AJ950" t="str">
            <v>Strands PW</v>
          </cell>
        </row>
        <row r="951">
          <cell r="A951" t="str">
            <v>IKN400502</v>
          </cell>
          <cell r="B951">
            <v>502</v>
          </cell>
          <cell r="C951" t="str">
            <v>Institut Kanser Negara</v>
          </cell>
          <cell r="D951" t="str">
            <v>KKM/IKN/H/13/1122</v>
          </cell>
          <cell r="E951" t="str">
            <v>17-429</v>
          </cell>
          <cell r="F951" t="str">
            <v>Ventilators, Intensive Care</v>
          </cell>
          <cell r="G951" t="str">
            <v>IC</v>
          </cell>
          <cell r="H951" t="str">
            <v>INTENSIVE CARE UNIT</v>
          </cell>
          <cell r="I951" t="str">
            <v>05IC113</v>
          </cell>
          <cell r="J951" t="str">
            <v>ICU RM 2</v>
          </cell>
          <cell r="K951" t="str">
            <v>BMED</v>
          </cell>
          <cell r="L951" t="str">
            <v>Normal</v>
          </cell>
          <cell r="M951" t="str">
            <v>Germany</v>
          </cell>
          <cell r="N951" t="str">
            <v>Evita</v>
          </cell>
          <cell r="O951" t="str">
            <v>Evita XL</v>
          </cell>
          <cell r="P951" t="str">
            <v>ASDD-0073</v>
          </cell>
          <cell r="Q951" t="str">
            <v>Not Applicable</v>
          </cell>
          <cell r="R951" t="str">
            <v>Drager Medical GmbH</v>
          </cell>
          <cell r="S951" t="str">
            <v>Beau Consortium Sdn Bhd</v>
          </cell>
          <cell r="T951" t="str">
            <v>Functioning</v>
          </cell>
          <cell r="U951" t="str">
            <v>Asset</v>
          </cell>
          <cell r="V951">
            <v>151560</v>
          </cell>
          <cell r="W951" t="str">
            <v>KEW</v>
          </cell>
          <cell r="X951" t="str">
            <v>01/09/2010</v>
          </cell>
          <cell r="Y951" t="str">
            <v>KEW</v>
          </cell>
          <cell r="Z951" t="str">
            <v>16/08/2013</v>
          </cell>
          <cell r="AA951" t="str">
            <v>15/08/2015</v>
          </cell>
          <cell r="AB951" t="str">
            <v>No</v>
          </cell>
          <cell r="AC951" t="str">
            <v>31/08/2013</v>
          </cell>
          <cell r="AD951" t="str">
            <v>Good</v>
          </cell>
          <cell r="AE951" t="str">
            <v>V1 - Existing / No Claim</v>
          </cell>
          <cell r="AF951">
            <v>42235</v>
          </cell>
          <cell r="AG951">
            <v>9.17</v>
          </cell>
          <cell r="AH951" t="str">
            <v>PPM</v>
          </cell>
          <cell r="AI951" t="str">
            <v>Strands</v>
          </cell>
          <cell r="AJ951" t="str">
            <v>Strands PW</v>
          </cell>
        </row>
        <row r="952">
          <cell r="A952" t="str">
            <v>IKN400503</v>
          </cell>
          <cell r="B952">
            <v>503</v>
          </cell>
          <cell r="C952" t="str">
            <v>Institut Kanser Negara</v>
          </cell>
          <cell r="D952" t="str">
            <v>KKM/IKN/H/13/336</v>
          </cell>
          <cell r="E952" t="str">
            <v>15-045</v>
          </cell>
          <cell r="F952" t="str">
            <v>Nebulizers, Nonheated</v>
          </cell>
          <cell r="G952" t="str">
            <v>PC</v>
          </cell>
          <cell r="H952" t="str">
            <v>PALLIATIVE CARE UNIT</v>
          </cell>
          <cell r="I952" t="str">
            <v>04PC109</v>
          </cell>
          <cell r="J952" t="str">
            <v>GEN. STORE</v>
          </cell>
          <cell r="K952" t="str">
            <v>BMED</v>
          </cell>
          <cell r="L952" t="str">
            <v>Normal</v>
          </cell>
          <cell r="M952" t="str">
            <v>Germany</v>
          </cell>
          <cell r="N952" t="str">
            <v>Pari Boy</v>
          </cell>
          <cell r="O952" t="str">
            <v>Pari Boy SX 085</v>
          </cell>
          <cell r="P952" t="str">
            <v>2W12J05946</v>
          </cell>
          <cell r="Q952" t="str">
            <v>Not Applicable</v>
          </cell>
          <cell r="R952" t="str">
            <v>Pari GmbH</v>
          </cell>
          <cell r="S952" t="str">
            <v>Welch Allyn Malaysia Sdn Bhd</v>
          </cell>
          <cell r="T952" t="str">
            <v>Functioning</v>
          </cell>
          <cell r="U952" t="str">
            <v>Asset</v>
          </cell>
          <cell r="V952">
            <v>1140</v>
          </cell>
          <cell r="W952" t="str">
            <v>KEW</v>
          </cell>
          <cell r="X952" t="str">
            <v>01/09/2010</v>
          </cell>
          <cell r="Y952" t="str">
            <v>KEW</v>
          </cell>
          <cell r="Z952" t="str">
            <v>16/08/2013</v>
          </cell>
          <cell r="AA952" t="str">
            <v>15/08/2015</v>
          </cell>
          <cell r="AB952" t="str">
            <v>No</v>
          </cell>
          <cell r="AC952" t="str">
            <v>31/08/2013</v>
          </cell>
          <cell r="AD952" t="str">
            <v>Good</v>
          </cell>
          <cell r="AE952" t="str">
            <v>V1 - Existing / No Claim</v>
          </cell>
          <cell r="AF952">
            <v>42797</v>
          </cell>
          <cell r="AG952">
            <v>9.17</v>
          </cell>
          <cell r="AH952" t="str">
            <v>PPM</v>
          </cell>
          <cell r="AI952" t="str">
            <v>Strands</v>
          </cell>
          <cell r="AJ952" t="str">
            <v>Strands PW</v>
          </cell>
        </row>
        <row r="953">
          <cell r="A953" t="str">
            <v>IKN400504</v>
          </cell>
          <cell r="B953">
            <v>504</v>
          </cell>
          <cell r="C953" t="str">
            <v>Institut Kanser Negara</v>
          </cell>
          <cell r="D953" t="str">
            <v>KKM/IKN/H/13/337</v>
          </cell>
          <cell r="E953" t="str">
            <v>15-045</v>
          </cell>
          <cell r="F953" t="str">
            <v>Nebulizers, Nonheated</v>
          </cell>
          <cell r="G953" t="str">
            <v>PC</v>
          </cell>
          <cell r="H953" t="str">
            <v>PALLIATIVE CARE UNIT</v>
          </cell>
          <cell r="I953" t="str">
            <v>04PC109</v>
          </cell>
          <cell r="J953" t="str">
            <v>GEN. STORE</v>
          </cell>
          <cell r="K953" t="str">
            <v>BMED</v>
          </cell>
          <cell r="L953" t="str">
            <v>Normal</v>
          </cell>
          <cell r="M953" t="str">
            <v>Germany</v>
          </cell>
          <cell r="N953" t="str">
            <v>Pari Boy</v>
          </cell>
          <cell r="O953" t="str">
            <v>Pari Boy SX 085</v>
          </cell>
          <cell r="P953" t="str">
            <v>2W12J05973</v>
          </cell>
          <cell r="Q953" t="str">
            <v>Not Applicable</v>
          </cell>
          <cell r="R953" t="str">
            <v>Pari GmbH</v>
          </cell>
          <cell r="S953" t="str">
            <v>Welch Allyn Malaysia Sdn Bhd</v>
          </cell>
          <cell r="T953" t="str">
            <v>Functioning</v>
          </cell>
          <cell r="U953" t="str">
            <v>Asset</v>
          </cell>
          <cell r="V953">
            <v>1140</v>
          </cell>
          <cell r="W953" t="str">
            <v>KEW</v>
          </cell>
          <cell r="X953" t="str">
            <v>01/09/2010</v>
          </cell>
          <cell r="Y953" t="str">
            <v>KEW</v>
          </cell>
          <cell r="Z953" t="str">
            <v>16/08/2013</v>
          </cell>
          <cell r="AA953" t="str">
            <v>15/08/2015</v>
          </cell>
          <cell r="AB953" t="str">
            <v>No</v>
          </cell>
          <cell r="AC953" t="str">
            <v>31/08/2013</v>
          </cell>
          <cell r="AD953" t="str">
            <v>Good</v>
          </cell>
          <cell r="AE953" t="str">
            <v>V1 - Existing / No Claim</v>
          </cell>
          <cell r="AF953">
            <v>42797</v>
          </cell>
          <cell r="AG953">
            <v>9.17</v>
          </cell>
          <cell r="AH953" t="str">
            <v>PPM</v>
          </cell>
          <cell r="AI953" t="str">
            <v>Strands</v>
          </cell>
          <cell r="AJ953" t="str">
            <v>Strands PW</v>
          </cell>
        </row>
        <row r="954">
          <cell r="A954" t="str">
            <v>IKN400506</v>
          </cell>
          <cell r="B954">
            <v>506</v>
          </cell>
          <cell r="C954" t="str">
            <v>Institut Kanser Negara</v>
          </cell>
          <cell r="D954" t="str">
            <v>KKM/IKN/H/13/335</v>
          </cell>
          <cell r="E954" t="str">
            <v>15-045</v>
          </cell>
          <cell r="F954" t="str">
            <v>Nebulizers, Nonheated</v>
          </cell>
          <cell r="G954" t="str">
            <v>PC</v>
          </cell>
          <cell r="H954" t="str">
            <v>PALLIATIVE CARE UNIT</v>
          </cell>
          <cell r="I954" t="str">
            <v>04PC109</v>
          </cell>
          <cell r="J954" t="str">
            <v>GEN. STORE</v>
          </cell>
          <cell r="K954" t="str">
            <v>BMED</v>
          </cell>
          <cell r="L954" t="str">
            <v>Normal</v>
          </cell>
          <cell r="M954" t="str">
            <v>Germany</v>
          </cell>
          <cell r="N954" t="str">
            <v>Pari Boy</v>
          </cell>
          <cell r="O954" t="str">
            <v>Pari Boy SX 085</v>
          </cell>
          <cell r="P954" t="str">
            <v>2W12K14120</v>
          </cell>
          <cell r="Q954" t="str">
            <v>Not Applicable</v>
          </cell>
          <cell r="R954" t="str">
            <v>Pari GmbH</v>
          </cell>
          <cell r="S954" t="str">
            <v>Welch Allyn Malaysia Sdn Bhd</v>
          </cell>
          <cell r="T954" t="str">
            <v>Functioning</v>
          </cell>
          <cell r="U954" t="str">
            <v>Asset</v>
          </cell>
          <cell r="V954">
            <v>1140</v>
          </cell>
          <cell r="W954" t="str">
            <v>KEW</v>
          </cell>
          <cell r="X954" t="str">
            <v>01/09/2010</v>
          </cell>
          <cell r="Y954" t="str">
            <v>KEW</v>
          </cell>
          <cell r="Z954" t="str">
            <v>16/08/2013</v>
          </cell>
          <cell r="AA954" t="str">
            <v>15/08/2015</v>
          </cell>
          <cell r="AB954" t="str">
            <v>No</v>
          </cell>
          <cell r="AC954" t="str">
            <v>31/08/2013</v>
          </cell>
          <cell r="AD954" t="str">
            <v>Good</v>
          </cell>
          <cell r="AE954" t="str">
            <v>V1 - Existing / No Claim</v>
          </cell>
          <cell r="AF954">
            <v>42797</v>
          </cell>
          <cell r="AG954">
            <v>9.17</v>
          </cell>
          <cell r="AH954" t="str">
            <v>PPM</v>
          </cell>
          <cell r="AI954" t="str">
            <v>Strands</v>
          </cell>
          <cell r="AJ954" t="str">
            <v>Strands PW</v>
          </cell>
        </row>
        <row r="955">
          <cell r="A955" t="str">
            <v>IKN400509</v>
          </cell>
          <cell r="B955">
            <v>509</v>
          </cell>
          <cell r="C955" t="str">
            <v>Institut Kanser Negara</v>
          </cell>
          <cell r="D955" t="str">
            <v>KKM/IKN/H/13/371</v>
          </cell>
          <cell r="E955" t="str">
            <v>18-092</v>
          </cell>
          <cell r="F955" t="str">
            <v>Drivers, syringe</v>
          </cell>
          <cell r="G955" t="str">
            <v>PC</v>
          </cell>
          <cell r="H955" t="str">
            <v>PALLIATIVE CARE UNIT</v>
          </cell>
          <cell r="I955" t="str">
            <v>04PC109</v>
          </cell>
          <cell r="J955" t="str">
            <v>GEN. STORE</v>
          </cell>
          <cell r="K955" t="str">
            <v>BMED</v>
          </cell>
          <cell r="L955" t="str">
            <v>Normal</v>
          </cell>
          <cell r="M955" t="str">
            <v>UK</v>
          </cell>
          <cell r="N955" t="str">
            <v>Graseby</v>
          </cell>
          <cell r="O955" t="str">
            <v>Graseby MS-26</v>
          </cell>
          <cell r="P955" t="str">
            <v>14014787</v>
          </cell>
          <cell r="Q955" t="str">
            <v>Not Applicable</v>
          </cell>
          <cell r="R955" t="str">
            <v>Graseby Medical Ltd</v>
          </cell>
          <cell r="S955" t="str">
            <v>Primed Medical Services Sdn Bhd</v>
          </cell>
          <cell r="T955" t="str">
            <v>Functioning</v>
          </cell>
          <cell r="U955" t="str">
            <v>Asset</v>
          </cell>
          <cell r="V955">
            <v>3848</v>
          </cell>
          <cell r="W955" t="str">
            <v>KEW</v>
          </cell>
          <cell r="X955" t="str">
            <v>01/09/2010</v>
          </cell>
          <cell r="Y955" t="str">
            <v>KEW</v>
          </cell>
          <cell r="Z955" t="str">
            <v>16/08/2013</v>
          </cell>
          <cell r="AA955" t="str">
            <v>15/08/2015</v>
          </cell>
          <cell r="AB955" t="str">
            <v>No</v>
          </cell>
          <cell r="AC955" t="str">
            <v>31/08/2013</v>
          </cell>
          <cell r="AD955" t="str">
            <v>Good</v>
          </cell>
          <cell r="AE955" t="str">
            <v>V1 - Existing / No Claim</v>
          </cell>
          <cell r="AF955">
            <v>42797</v>
          </cell>
          <cell r="AG955">
            <v>9.17</v>
          </cell>
          <cell r="AH955" t="str">
            <v>PPM</v>
          </cell>
          <cell r="AI955" t="str">
            <v>Strands</v>
          </cell>
          <cell r="AJ955" t="str">
            <v>Strands PW</v>
          </cell>
        </row>
        <row r="956">
          <cell r="A956" t="str">
            <v>IKN400514</v>
          </cell>
          <cell r="B956">
            <v>514</v>
          </cell>
          <cell r="C956" t="str">
            <v>Institut Kanser Negara</v>
          </cell>
          <cell r="D956" t="str">
            <v>KKM/IKN/H/13/372</v>
          </cell>
          <cell r="E956" t="str">
            <v>18-092</v>
          </cell>
          <cell r="F956" t="str">
            <v>Drivers, syringe</v>
          </cell>
          <cell r="G956" t="str">
            <v>PC</v>
          </cell>
          <cell r="H956" t="str">
            <v>PALLIATIVE CARE UNIT</v>
          </cell>
          <cell r="I956" t="str">
            <v>04PC109</v>
          </cell>
          <cell r="J956" t="str">
            <v>GEN. STORE</v>
          </cell>
          <cell r="K956" t="str">
            <v>BMED</v>
          </cell>
          <cell r="L956" t="str">
            <v>Normal</v>
          </cell>
          <cell r="M956" t="str">
            <v>UK</v>
          </cell>
          <cell r="N956" t="str">
            <v>Graseby</v>
          </cell>
          <cell r="O956" t="str">
            <v>Graseby MS-26</v>
          </cell>
          <cell r="P956" t="str">
            <v>14014788</v>
          </cell>
          <cell r="Q956" t="str">
            <v>Not Applicable</v>
          </cell>
          <cell r="R956" t="str">
            <v>Graseby Medical Ltd</v>
          </cell>
          <cell r="S956" t="str">
            <v>Primed Medical Services Sdn Bhd</v>
          </cell>
          <cell r="T956" t="str">
            <v>Functioning</v>
          </cell>
          <cell r="U956" t="str">
            <v>Asset</v>
          </cell>
          <cell r="V956">
            <v>3848</v>
          </cell>
          <cell r="W956" t="str">
            <v>KEW</v>
          </cell>
          <cell r="X956" t="str">
            <v>01/09/2010</v>
          </cell>
          <cell r="Y956" t="str">
            <v>KEW</v>
          </cell>
          <cell r="Z956" t="str">
            <v>16/08/2013</v>
          </cell>
          <cell r="AA956" t="str">
            <v>15/08/2015</v>
          </cell>
          <cell r="AB956" t="str">
            <v>No</v>
          </cell>
          <cell r="AC956" t="str">
            <v>31/08/2013</v>
          </cell>
          <cell r="AD956" t="str">
            <v>Good</v>
          </cell>
          <cell r="AE956" t="str">
            <v>V1 - Existing / No Claim</v>
          </cell>
          <cell r="AF956">
            <v>42797</v>
          </cell>
          <cell r="AG956">
            <v>9.17</v>
          </cell>
          <cell r="AH956" t="str">
            <v>PPM</v>
          </cell>
          <cell r="AI956" t="str">
            <v>Strands</v>
          </cell>
          <cell r="AJ956" t="str">
            <v>Strands PW</v>
          </cell>
        </row>
        <row r="957">
          <cell r="A957" t="str">
            <v>IKN400516</v>
          </cell>
          <cell r="B957">
            <v>516</v>
          </cell>
          <cell r="C957" t="str">
            <v>Institut Kanser Negara</v>
          </cell>
          <cell r="D957" t="str">
            <v>KKM/IKN/H/13/368</v>
          </cell>
          <cell r="E957" t="str">
            <v>18-092</v>
          </cell>
          <cell r="F957" t="str">
            <v>Drivers, syringe</v>
          </cell>
          <cell r="G957" t="str">
            <v>PC</v>
          </cell>
          <cell r="H957" t="str">
            <v>PALLIATIVE CARE UNIT</v>
          </cell>
          <cell r="I957" t="str">
            <v>04PC109</v>
          </cell>
          <cell r="J957" t="str">
            <v>GEN. STORE</v>
          </cell>
          <cell r="K957" t="str">
            <v>BMED</v>
          </cell>
          <cell r="L957" t="str">
            <v>Normal</v>
          </cell>
          <cell r="M957" t="str">
            <v>UK</v>
          </cell>
          <cell r="N957" t="str">
            <v>Graseby</v>
          </cell>
          <cell r="O957" t="str">
            <v>Graseby MS-26</v>
          </cell>
          <cell r="P957" t="str">
            <v>14014783</v>
          </cell>
          <cell r="Q957" t="str">
            <v>Not Applicable</v>
          </cell>
          <cell r="R957" t="str">
            <v>Graseby Medical Ltd</v>
          </cell>
          <cell r="S957" t="str">
            <v>Primed Medical Services Sdn Bhd</v>
          </cell>
          <cell r="T957" t="str">
            <v>Functioning</v>
          </cell>
          <cell r="U957" t="str">
            <v>Asset</v>
          </cell>
          <cell r="V957">
            <v>3848</v>
          </cell>
          <cell r="W957" t="str">
            <v>KEW</v>
          </cell>
          <cell r="X957" t="str">
            <v>01/09/2010</v>
          </cell>
          <cell r="Y957" t="str">
            <v>KEW</v>
          </cell>
          <cell r="Z957" t="str">
            <v>16/08/2013</v>
          </cell>
          <cell r="AA957" t="str">
            <v>15/08/2015</v>
          </cell>
          <cell r="AB957" t="str">
            <v>No</v>
          </cell>
          <cell r="AC957" t="str">
            <v>31/08/2013</v>
          </cell>
          <cell r="AD957" t="str">
            <v>Good</v>
          </cell>
          <cell r="AE957" t="str">
            <v>V1 - Existing / No Claim</v>
          </cell>
          <cell r="AF957">
            <v>42797</v>
          </cell>
          <cell r="AG957">
            <v>9.17</v>
          </cell>
          <cell r="AH957" t="str">
            <v>PPM</v>
          </cell>
          <cell r="AI957" t="str">
            <v>Strands</v>
          </cell>
          <cell r="AJ957" t="str">
            <v>Strands PW</v>
          </cell>
        </row>
        <row r="958">
          <cell r="A958" t="str">
            <v>IKN400517</v>
          </cell>
          <cell r="B958">
            <v>517</v>
          </cell>
          <cell r="C958" t="str">
            <v>Institut Kanser Negara</v>
          </cell>
          <cell r="D958" t="str">
            <v>KKM/IKN/H/13/359</v>
          </cell>
          <cell r="E958" t="str">
            <v>18-092</v>
          </cell>
          <cell r="F958" t="str">
            <v>Drivers, syringe</v>
          </cell>
          <cell r="G958" t="str">
            <v>PC</v>
          </cell>
          <cell r="H958" t="str">
            <v>PALLIATIVE CARE UNIT</v>
          </cell>
          <cell r="I958" t="str">
            <v>04PC109</v>
          </cell>
          <cell r="J958" t="str">
            <v>GEN. STORE</v>
          </cell>
          <cell r="K958" t="str">
            <v>BMED</v>
          </cell>
          <cell r="L958" t="str">
            <v>Normal</v>
          </cell>
          <cell r="M958" t="str">
            <v>UK</v>
          </cell>
          <cell r="N958" t="str">
            <v>Graseby</v>
          </cell>
          <cell r="O958" t="str">
            <v>Graseby MS-26</v>
          </cell>
          <cell r="P958" t="str">
            <v>14014765</v>
          </cell>
          <cell r="Q958" t="str">
            <v>Not Applicable</v>
          </cell>
          <cell r="R958" t="str">
            <v>Graseby Medical Ltd</v>
          </cell>
          <cell r="S958" t="str">
            <v>Primed Medical Services Sdn Bhd</v>
          </cell>
          <cell r="T958" t="str">
            <v>Functioning</v>
          </cell>
          <cell r="U958" t="str">
            <v>Asset</v>
          </cell>
          <cell r="V958">
            <v>3848</v>
          </cell>
          <cell r="W958" t="str">
            <v>KEW</v>
          </cell>
          <cell r="X958" t="str">
            <v>01/09/2010</v>
          </cell>
          <cell r="Y958" t="str">
            <v>KEW</v>
          </cell>
          <cell r="Z958" t="str">
            <v>16/08/2013</v>
          </cell>
          <cell r="AA958" t="str">
            <v>15/08/2015</v>
          </cell>
          <cell r="AB958" t="str">
            <v>No</v>
          </cell>
          <cell r="AC958" t="str">
            <v>31/08/2013</v>
          </cell>
          <cell r="AD958" t="str">
            <v>Good</v>
          </cell>
          <cell r="AE958" t="str">
            <v>V1 - Existing / No Claim</v>
          </cell>
          <cell r="AF958">
            <v>42797</v>
          </cell>
          <cell r="AG958">
            <v>9.17</v>
          </cell>
          <cell r="AH958" t="str">
            <v>PPM</v>
          </cell>
          <cell r="AI958" t="str">
            <v>Strands</v>
          </cell>
          <cell r="AJ958" t="str">
            <v>Strands PW</v>
          </cell>
        </row>
        <row r="959">
          <cell r="A959" t="str">
            <v>IKN400518</v>
          </cell>
          <cell r="B959">
            <v>518</v>
          </cell>
          <cell r="C959" t="str">
            <v>Institut Kanser Negara</v>
          </cell>
          <cell r="D959" t="str">
            <v>KKM/IKN/H/13/367</v>
          </cell>
          <cell r="E959" t="str">
            <v>18-092</v>
          </cell>
          <cell r="F959" t="str">
            <v>Drivers, syringe</v>
          </cell>
          <cell r="G959" t="str">
            <v>PC</v>
          </cell>
          <cell r="H959" t="str">
            <v>PALLIATIVE CARE UNIT</v>
          </cell>
          <cell r="I959" t="str">
            <v>04PC109</v>
          </cell>
          <cell r="J959" t="str">
            <v>GEN. STORE</v>
          </cell>
          <cell r="K959" t="str">
            <v>BMED</v>
          </cell>
          <cell r="L959" t="str">
            <v>Normal</v>
          </cell>
          <cell r="M959" t="str">
            <v>UK</v>
          </cell>
          <cell r="N959" t="str">
            <v>Graseby</v>
          </cell>
          <cell r="O959" t="str">
            <v>Graseby MS-26</v>
          </cell>
          <cell r="P959" t="str">
            <v>14014773</v>
          </cell>
          <cell r="Q959" t="str">
            <v>Not Applicable</v>
          </cell>
          <cell r="R959" t="str">
            <v>Graseby Medical Ltd</v>
          </cell>
          <cell r="S959" t="str">
            <v>Primed Medical Services Sdn Bhd</v>
          </cell>
          <cell r="T959" t="str">
            <v>Functioning</v>
          </cell>
          <cell r="U959" t="str">
            <v>Asset</v>
          </cell>
          <cell r="V959">
            <v>3848</v>
          </cell>
          <cell r="W959" t="str">
            <v>KEW</v>
          </cell>
          <cell r="X959" t="str">
            <v>01/09/2010</v>
          </cell>
          <cell r="Y959" t="str">
            <v>KEW</v>
          </cell>
          <cell r="Z959" t="str">
            <v>16/08/2013</v>
          </cell>
          <cell r="AA959" t="str">
            <v>15/08/2015</v>
          </cell>
          <cell r="AB959" t="str">
            <v>No</v>
          </cell>
          <cell r="AC959" t="str">
            <v>31/08/2013</v>
          </cell>
          <cell r="AD959" t="str">
            <v>Good</v>
          </cell>
          <cell r="AE959" t="str">
            <v>V1 - Existing / No Claim</v>
          </cell>
          <cell r="AF959">
            <v>42797</v>
          </cell>
          <cell r="AG959">
            <v>9.17</v>
          </cell>
          <cell r="AH959" t="str">
            <v>PPM</v>
          </cell>
          <cell r="AI959" t="str">
            <v>Strands</v>
          </cell>
          <cell r="AJ959" t="str">
            <v>Strands PW</v>
          </cell>
        </row>
        <row r="960">
          <cell r="A960" t="str">
            <v>IKN400519</v>
          </cell>
          <cell r="B960">
            <v>519</v>
          </cell>
          <cell r="C960" t="str">
            <v>Institut Kanser Negara</v>
          </cell>
          <cell r="D960" t="str">
            <v>KKM/IKN/H/13/370</v>
          </cell>
          <cell r="E960" t="str">
            <v>18-092</v>
          </cell>
          <cell r="F960" t="str">
            <v>Drivers, syringe</v>
          </cell>
          <cell r="G960" t="str">
            <v>PC</v>
          </cell>
          <cell r="H960" t="str">
            <v>PALLIATIVE CARE UNIT</v>
          </cell>
          <cell r="I960" t="str">
            <v>04PC109</v>
          </cell>
          <cell r="J960" t="str">
            <v>GEN. STORE</v>
          </cell>
          <cell r="K960" t="str">
            <v>BMED</v>
          </cell>
          <cell r="L960" t="str">
            <v>Normal</v>
          </cell>
          <cell r="M960" t="str">
            <v>UK</v>
          </cell>
          <cell r="N960" t="str">
            <v>Graseby</v>
          </cell>
          <cell r="O960" t="str">
            <v>Graseby MS-26</v>
          </cell>
          <cell r="P960" t="str">
            <v>14014772</v>
          </cell>
          <cell r="Q960" t="str">
            <v>Not Applicable</v>
          </cell>
          <cell r="R960" t="str">
            <v>Graseby Medical Ltd</v>
          </cell>
          <cell r="S960" t="str">
            <v>Primed Medical Services Sdn Bhd</v>
          </cell>
          <cell r="T960" t="str">
            <v>Functioning</v>
          </cell>
          <cell r="U960" t="str">
            <v>Asset</v>
          </cell>
          <cell r="V960">
            <v>3848</v>
          </cell>
          <cell r="W960" t="str">
            <v>KEW</v>
          </cell>
          <cell r="X960" t="str">
            <v>01/09/2010</v>
          </cell>
          <cell r="Y960" t="str">
            <v>KEW</v>
          </cell>
          <cell r="Z960" t="str">
            <v>16/08/2013</v>
          </cell>
          <cell r="AA960" t="str">
            <v>15/08/2015</v>
          </cell>
          <cell r="AB960" t="str">
            <v>No</v>
          </cell>
          <cell r="AC960" t="str">
            <v>31/08/2013</v>
          </cell>
          <cell r="AD960" t="str">
            <v>Good</v>
          </cell>
          <cell r="AE960" t="str">
            <v>V1 - Existing / No Claim</v>
          </cell>
          <cell r="AF960">
            <v>43430</v>
          </cell>
          <cell r="AG960">
            <v>9.17</v>
          </cell>
          <cell r="AH960" t="str">
            <v>PPM</v>
          </cell>
          <cell r="AI960" t="str">
            <v>Strands</v>
          </cell>
          <cell r="AJ960" t="str">
            <v>Strands PW</v>
          </cell>
        </row>
        <row r="961">
          <cell r="A961" t="str">
            <v>IKN400520</v>
          </cell>
          <cell r="B961">
            <v>520</v>
          </cell>
          <cell r="C961" t="str">
            <v>Institut Kanser Negara</v>
          </cell>
          <cell r="D961" t="str">
            <v>KKM/IKN/H/13/369</v>
          </cell>
          <cell r="E961" t="str">
            <v>18-092</v>
          </cell>
          <cell r="F961" t="str">
            <v>Drivers, syringe</v>
          </cell>
          <cell r="G961" t="str">
            <v>PC</v>
          </cell>
          <cell r="H961" t="str">
            <v>PALLIATIVE CARE UNIT</v>
          </cell>
          <cell r="I961" t="str">
            <v>04PC109</v>
          </cell>
          <cell r="J961" t="str">
            <v>GEN. STORE</v>
          </cell>
          <cell r="K961" t="str">
            <v>BMED</v>
          </cell>
          <cell r="L961" t="str">
            <v>Normal</v>
          </cell>
          <cell r="M961" t="str">
            <v>UK</v>
          </cell>
          <cell r="N961" t="str">
            <v>Graseby</v>
          </cell>
          <cell r="O961" t="str">
            <v>Graseby MS-26</v>
          </cell>
          <cell r="P961" t="str">
            <v>14014784</v>
          </cell>
          <cell r="Q961" t="str">
            <v>Not Applicable</v>
          </cell>
          <cell r="R961" t="str">
            <v>Graseby Medical Ltd</v>
          </cell>
          <cell r="S961" t="str">
            <v>Primed Medical Services Sdn Bhd</v>
          </cell>
          <cell r="T961" t="str">
            <v>Functioning</v>
          </cell>
          <cell r="U961" t="str">
            <v>Asset</v>
          </cell>
          <cell r="V961">
            <v>3848</v>
          </cell>
          <cell r="W961" t="str">
            <v>KEW</v>
          </cell>
          <cell r="X961" t="str">
            <v>01/09/2010</v>
          </cell>
          <cell r="Y961" t="str">
            <v>KEW</v>
          </cell>
          <cell r="Z961" t="str">
            <v>16/08/2013</v>
          </cell>
          <cell r="AA961" t="str">
            <v>15/08/2015</v>
          </cell>
          <cell r="AB961" t="str">
            <v>No</v>
          </cell>
          <cell r="AC961" t="str">
            <v>31/08/2013</v>
          </cell>
          <cell r="AD961" t="str">
            <v>Good</v>
          </cell>
          <cell r="AE961" t="str">
            <v>V1 - Existing / No Claim</v>
          </cell>
          <cell r="AF961">
            <v>42797</v>
          </cell>
          <cell r="AG961">
            <v>9.17</v>
          </cell>
          <cell r="AH961" t="str">
            <v>PPM</v>
          </cell>
          <cell r="AI961" t="str">
            <v>Strands</v>
          </cell>
          <cell r="AJ961" t="str">
            <v>Strands PW</v>
          </cell>
        </row>
        <row r="962">
          <cell r="A962" t="str">
            <v>IKN400521</v>
          </cell>
          <cell r="B962">
            <v>521</v>
          </cell>
          <cell r="C962" t="str">
            <v>Institut Kanser Negara</v>
          </cell>
          <cell r="D962" t="str">
            <v>KKM/IKN/H/13/361</v>
          </cell>
          <cell r="E962" t="str">
            <v>18-092</v>
          </cell>
          <cell r="F962" t="str">
            <v>Drivers, syringe</v>
          </cell>
          <cell r="G962" t="str">
            <v>PC</v>
          </cell>
          <cell r="H962" t="str">
            <v>PALLIATIVE CARE UNIT</v>
          </cell>
          <cell r="I962" t="str">
            <v>04PC109</v>
          </cell>
          <cell r="J962" t="str">
            <v>GEN. STORE</v>
          </cell>
          <cell r="K962" t="str">
            <v>BMED</v>
          </cell>
          <cell r="L962" t="str">
            <v>Normal</v>
          </cell>
          <cell r="M962" t="str">
            <v>UK</v>
          </cell>
          <cell r="N962" t="str">
            <v>Graseby</v>
          </cell>
          <cell r="O962" t="str">
            <v>Graseby MS-26</v>
          </cell>
          <cell r="P962" t="str">
            <v>14014767</v>
          </cell>
          <cell r="Q962" t="str">
            <v>Not Applicable</v>
          </cell>
          <cell r="R962" t="str">
            <v>Graseby Medical Ltd</v>
          </cell>
          <cell r="S962" t="str">
            <v>Primed Medical Services Sdn Bhd</v>
          </cell>
          <cell r="T962" t="str">
            <v>Functioning</v>
          </cell>
          <cell r="U962" t="str">
            <v>Asset</v>
          </cell>
          <cell r="V962">
            <v>3848</v>
          </cell>
          <cell r="W962" t="str">
            <v>KEW</v>
          </cell>
          <cell r="X962" t="str">
            <v>01/09/2010</v>
          </cell>
          <cell r="Y962" t="str">
            <v>KEW</v>
          </cell>
          <cell r="Z962" t="str">
            <v>16/08/2013</v>
          </cell>
          <cell r="AA962" t="str">
            <v>15/08/2015</v>
          </cell>
          <cell r="AB962" t="str">
            <v>No</v>
          </cell>
          <cell r="AC962" t="str">
            <v>31/08/2013</v>
          </cell>
          <cell r="AD962" t="str">
            <v>Good</v>
          </cell>
          <cell r="AE962" t="str">
            <v>V1 - Existing / No Claim</v>
          </cell>
          <cell r="AF962">
            <v>42797</v>
          </cell>
          <cell r="AG962">
            <v>9.17</v>
          </cell>
          <cell r="AH962" t="str">
            <v>PPM</v>
          </cell>
          <cell r="AI962" t="str">
            <v>Strands</v>
          </cell>
          <cell r="AJ962" t="str">
            <v>Strands PW</v>
          </cell>
        </row>
        <row r="963">
          <cell r="A963" t="str">
            <v>IKN400522</v>
          </cell>
          <cell r="B963">
            <v>522</v>
          </cell>
          <cell r="C963" t="str">
            <v>Institut Kanser Negara</v>
          </cell>
          <cell r="D963" t="str">
            <v>KKM/IKN/H/13/373</v>
          </cell>
          <cell r="E963" t="str">
            <v>18-092</v>
          </cell>
          <cell r="F963" t="str">
            <v>Drivers, syringe</v>
          </cell>
          <cell r="G963" t="str">
            <v>PC</v>
          </cell>
          <cell r="H963" t="str">
            <v>PALLIATIVE CARE UNIT</v>
          </cell>
          <cell r="I963" t="str">
            <v>04PC109</v>
          </cell>
          <cell r="J963" t="str">
            <v>GEN. STORE</v>
          </cell>
          <cell r="K963" t="str">
            <v>BMED</v>
          </cell>
          <cell r="L963" t="str">
            <v>Normal</v>
          </cell>
          <cell r="M963" t="str">
            <v>UK</v>
          </cell>
          <cell r="N963" t="str">
            <v>Graseby</v>
          </cell>
          <cell r="O963" t="str">
            <v>Graseby MS-26</v>
          </cell>
          <cell r="P963" t="str">
            <v>14014789</v>
          </cell>
          <cell r="Q963" t="str">
            <v>Not Applicable</v>
          </cell>
          <cell r="R963" t="str">
            <v>Graseby Medical Ltd</v>
          </cell>
          <cell r="S963" t="str">
            <v>Primed Medical Services Sdn Bhd</v>
          </cell>
          <cell r="T963" t="str">
            <v>Functioning</v>
          </cell>
          <cell r="U963" t="str">
            <v>Asset</v>
          </cell>
          <cell r="V963">
            <v>3848</v>
          </cell>
          <cell r="W963" t="str">
            <v>KEW</v>
          </cell>
          <cell r="X963" t="str">
            <v>01/09/2010</v>
          </cell>
          <cell r="Y963" t="str">
            <v>KEW</v>
          </cell>
          <cell r="Z963" t="str">
            <v>16/08/2013</v>
          </cell>
          <cell r="AA963" t="str">
            <v>15/08/2015</v>
          </cell>
          <cell r="AB963" t="str">
            <v>No</v>
          </cell>
          <cell r="AC963" t="str">
            <v>31/08/2013</v>
          </cell>
          <cell r="AD963" t="str">
            <v>Good</v>
          </cell>
          <cell r="AE963" t="str">
            <v>V1 - Existing / No Claim</v>
          </cell>
          <cell r="AF963">
            <v>42797</v>
          </cell>
          <cell r="AG963">
            <v>9.17</v>
          </cell>
          <cell r="AH963" t="str">
            <v>PPM</v>
          </cell>
          <cell r="AI963" t="str">
            <v>Strands</v>
          </cell>
          <cell r="AJ963" t="str">
            <v>Strands PW</v>
          </cell>
        </row>
        <row r="964">
          <cell r="A964" t="str">
            <v>IKN400523</v>
          </cell>
          <cell r="B964">
            <v>523</v>
          </cell>
          <cell r="C964" t="str">
            <v>Institut Kanser Negara</v>
          </cell>
          <cell r="D964" t="str">
            <v>KKM/IKN/H/13/365</v>
          </cell>
          <cell r="E964" t="str">
            <v>18-092</v>
          </cell>
          <cell r="F964" t="str">
            <v>Drivers, syringe</v>
          </cell>
          <cell r="G964" t="str">
            <v>PC</v>
          </cell>
          <cell r="H964" t="str">
            <v>PALLIATIVE CARE UNIT</v>
          </cell>
          <cell r="I964" t="str">
            <v>04PC109</v>
          </cell>
          <cell r="J964" t="str">
            <v>GEN. STORE</v>
          </cell>
          <cell r="K964" t="str">
            <v>BMED</v>
          </cell>
          <cell r="L964" t="str">
            <v>Normal</v>
          </cell>
          <cell r="M964" t="str">
            <v>UK</v>
          </cell>
          <cell r="N964" t="str">
            <v>Graseby</v>
          </cell>
          <cell r="O964" t="str">
            <v>Graseby MS-26</v>
          </cell>
          <cell r="P964" t="str">
            <v>14014771</v>
          </cell>
          <cell r="Q964" t="str">
            <v>Not Applicable</v>
          </cell>
          <cell r="R964" t="str">
            <v>Graseby Medical Ltd</v>
          </cell>
          <cell r="S964" t="str">
            <v>Primed Medical Services Sdn Bhd</v>
          </cell>
          <cell r="T964" t="str">
            <v>Functioning</v>
          </cell>
          <cell r="U964" t="str">
            <v>Asset</v>
          </cell>
          <cell r="V964">
            <v>3848</v>
          </cell>
          <cell r="W964" t="str">
            <v>KEW</v>
          </cell>
          <cell r="X964" t="str">
            <v>01/09/2010</v>
          </cell>
          <cell r="Y964" t="str">
            <v>KEW</v>
          </cell>
          <cell r="Z964" t="str">
            <v>16/08/2013</v>
          </cell>
          <cell r="AA964" t="str">
            <v>15/08/2015</v>
          </cell>
          <cell r="AB964" t="str">
            <v>No</v>
          </cell>
          <cell r="AC964" t="str">
            <v>31/08/2013</v>
          </cell>
          <cell r="AD964" t="str">
            <v>Good</v>
          </cell>
          <cell r="AE964" t="str">
            <v>V1 - Existing / No Claim</v>
          </cell>
          <cell r="AF964">
            <v>42797</v>
          </cell>
          <cell r="AG964">
            <v>9.17</v>
          </cell>
          <cell r="AH964" t="str">
            <v>PPM</v>
          </cell>
          <cell r="AI964" t="str">
            <v>Strands</v>
          </cell>
          <cell r="AJ964" t="str">
            <v>Strands PW</v>
          </cell>
        </row>
        <row r="965">
          <cell r="A965" t="str">
            <v>IKN400525</v>
          </cell>
          <cell r="B965">
            <v>525</v>
          </cell>
          <cell r="C965" t="str">
            <v>Institut Kanser Negara</v>
          </cell>
          <cell r="D965" t="str">
            <v>KKM/IKN/H/13/375</v>
          </cell>
          <cell r="E965" t="str">
            <v>16-924</v>
          </cell>
          <cell r="F965" t="str">
            <v>Infusion Pumps, Patient-Controlled Analgesic</v>
          </cell>
          <cell r="G965" t="str">
            <v>IC</v>
          </cell>
          <cell r="H965" t="str">
            <v>INTENSIVE CARE UNIT</v>
          </cell>
          <cell r="I965" t="str">
            <v>05IC108</v>
          </cell>
          <cell r="J965" t="str">
            <v>PCA</v>
          </cell>
          <cell r="K965" t="str">
            <v>BMED</v>
          </cell>
          <cell r="L965" t="str">
            <v>Critical</v>
          </cell>
          <cell r="M965" t="str">
            <v>Germany</v>
          </cell>
          <cell r="N965" t="str">
            <v>Perfusor</v>
          </cell>
          <cell r="O965" t="str">
            <v>Perfusor Space PCA</v>
          </cell>
          <cell r="P965" t="str">
            <v>187052</v>
          </cell>
          <cell r="Q965" t="str">
            <v>Not Applicable</v>
          </cell>
          <cell r="R965" t="str">
            <v>B Braun Melsungen AG</v>
          </cell>
          <cell r="S965" t="str">
            <v>B Braun Medical Supplies Sdn. Bhd.</v>
          </cell>
          <cell r="T965" t="str">
            <v>Functioning</v>
          </cell>
          <cell r="U965" t="str">
            <v>Asset</v>
          </cell>
          <cell r="V965">
            <v>16840</v>
          </cell>
          <cell r="W965" t="str">
            <v>KEW</v>
          </cell>
          <cell r="X965" t="str">
            <v>01/09/2010</v>
          </cell>
          <cell r="Y965" t="str">
            <v>KEW</v>
          </cell>
          <cell r="Z965" t="str">
            <v>16/08/2013</v>
          </cell>
          <cell r="AA965" t="str">
            <v>15/08/2015</v>
          </cell>
          <cell r="AB965" t="str">
            <v>No</v>
          </cell>
          <cell r="AC965" t="str">
            <v>31/08/2013</v>
          </cell>
          <cell r="AD965" t="str">
            <v>Good</v>
          </cell>
          <cell r="AE965" t="str">
            <v>V1 - Existing / No Claim</v>
          </cell>
          <cell r="AF965">
            <v>43143</v>
          </cell>
          <cell r="AG965">
            <v>9.17</v>
          </cell>
          <cell r="AH965" t="str">
            <v>PPM</v>
          </cell>
          <cell r="AI965" t="str">
            <v>Strands</v>
          </cell>
          <cell r="AJ965" t="str">
            <v>Strands PW</v>
          </cell>
        </row>
        <row r="966">
          <cell r="A966" t="str">
            <v>IKN400527</v>
          </cell>
          <cell r="B966">
            <v>527</v>
          </cell>
          <cell r="C966" t="str">
            <v>Institut Kanser Negara</v>
          </cell>
          <cell r="D966" t="str">
            <v>KKM/IKN/H/13/327</v>
          </cell>
          <cell r="E966" t="str">
            <v>10-208</v>
          </cell>
          <cell r="F966" t="str">
            <v>Aspirators</v>
          </cell>
          <cell r="G966" t="str">
            <v>PC</v>
          </cell>
          <cell r="H966" t="str">
            <v>PALLIATIVE CARE UNIT</v>
          </cell>
          <cell r="I966" t="str">
            <v>04PC109</v>
          </cell>
          <cell r="J966" t="str">
            <v>GEN. STORE</v>
          </cell>
          <cell r="K966" t="str">
            <v>BMED</v>
          </cell>
          <cell r="L966" t="str">
            <v>Critical</v>
          </cell>
          <cell r="M966" t="str">
            <v>Italy</v>
          </cell>
          <cell r="N966" t="str">
            <v>Askir</v>
          </cell>
          <cell r="O966" t="str">
            <v>Askir 36-BR</v>
          </cell>
          <cell r="P966" t="str">
            <v>1391</v>
          </cell>
          <cell r="Q966" t="str">
            <v>Not Applicable</v>
          </cell>
          <cell r="R966" t="str">
            <v>Ca-Mi Snc</v>
          </cell>
          <cell r="S966" t="str">
            <v>Antah Sir Radin Sdn. Bhd.</v>
          </cell>
          <cell r="T966" t="str">
            <v>Functioning</v>
          </cell>
          <cell r="U966" t="str">
            <v>Asset</v>
          </cell>
          <cell r="V966">
            <v>2165</v>
          </cell>
          <cell r="W966" t="str">
            <v>KEW</v>
          </cell>
          <cell r="X966" t="str">
            <v>01/09/2010</v>
          </cell>
          <cell r="Y966" t="str">
            <v>KEW</v>
          </cell>
          <cell r="Z966" t="str">
            <v>16/08/2013</v>
          </cell>
          <cell r="AA966" t="str">
            <v>15/08/2015</v>
          </cell>
          <cell r="AB966" t="str">
            <v>No</v>
          </cell>
          <cell r="AC966" t="str">
            <v>31/08/2013</v>
          </cell>
          <cell r="AD966" t="str">
            <v>Good</v>
          </cell>
          <cell r="AE966" t="str">
            <v>V1 - Existing / No Claim</v>
          </cell>
          <cell r="AF966">
            <v>42797</v>
          </cell>
          <cell r="AG966">
            <v>9.17</v>
          </cell>
          <cell r="AH966" t="str">
            <v>PPM</v>
          </cell>
          <cell r="AI966" t="str">
            <v>Strands</v>
          </cell>
          <cell r="AJ966" t="str">
            <v>Strands PW</v>
          </cell>
        </row>
        <row r="967">
          <cell r="A967" t="str">
            <v>IKN400528</v>
          </cell>
          <cell r="B967">
            <v>528</v>
          </cell>
          <cell r="C967" t="str">
            <v>Institut Kanser Negara</v>
          </cell>
          <cell r="D967" t="str">
            <v>KKM/IKN/H/13/330</v>
          </cell>
          <cell r="E967" t="str">
            <v>10-208</v>
          </cell>
          <cell r="F967" t="str">
            <v>Aspirators</v>
          </cell>
          <cell r="G967" t="str">
            <v>PC</v>
          </cell>
          <cell r="H967" t="str">
            <v>PALLIATIVE CARE UNIT</v>
          </cell>
          <cell r="I967" t="str">
            <v>04PC109</v>
          </cell>
          <cell r="J967" t="str">
            <v>GEN. STORE</v>
          </cell>
          <cell r="K967" t="str">
            <v>BMED</v>
          </cell>
          <cell r="L967" t="str">
            <v>Critical</v>
          </cell>
          <cell r="M967" t="str">
            <v>Italy</v>
          </cell>
          <cell r="N967" t="str">
            <v>Askir</v>
          </cell>
          <cell r="O967" t="str">
            <v>Askir 36-BR</v>
          </cell>
          <cell r="P967" t="str">
            <v>1395</v>
          </cell>
          <cell r="Q967" t="str">
            <v>Not Applicable</v>
          </cell>
          <cell r="R967" t="str">
            <v>Ca-Mi Snc</v>
          </cell>
          <cell r="S967" t="str">
            <v>Antah Sir Radin Sdn. Bhd.</v>
          </cell>
          <cell r="T967" t="str">
            <v>Functioning</v>
          </cell>
          <cell r="U967" t="str">
            <v>Asset</v>
          </cell>
          <cell r="V967">
            <v>2165</v>
          </cell>
          <cell r="W967" t="str">
            <v>KEW</v>
          </cell>
          <cell r="X967" t="str">
            <v>01/09/2010</v>
          </cell>
          <cell r="Y967" t="str">
            <v>KEW</v>
          </cell>
          <cell r="Z967" t="str">
            <v>16/08/2013</v>
          </cell>
          <cell r="AA967" t="str">
            <v>15/08/2015</v>
          </cell>
          <cell r="AB967" t="str">
            <v>No</v>
          </cell>
          <cell r="AC967" t="str">
            <v>31/08/2013</v>
          </cell>
          <cell r="AD967" t="str">
            <v>Good</v>
          </cell>
          <cell r="AE967" t="str">
            <v>V1 - Existing / No Claim</v>
          </cell>
          <cell r="AF967">
            <v>42797</v>
          </cell>
          <cell r="AG967">
            <v>9.17</v>
          </cell>
          <cell r="AH967" t="str">
            <v>PPM</v>
          </cell>
          <cell r="AI967" t="str">
            <v>Strands</v>
          </cell>
          <cell r="AJ967" t="str">
            <v>Strands PW</v>
          </cell>
        </row>
        <row r="968">
          <cell r="A968" t="str">
            <v>IKN400529</v>
          </cell>
          <cell r="B968">
            <v>529</v>
          </cell>
          <cell r="C968" t="str">
            <v>Institut Kanser Negara</v>
          </cell>
          <cell r="D968" t="str">
            <v>KKM/IKN/H/13/329</v>
          </cell>
          <cell r="E968" t="str">
            <v>10-208</v>
          </cell>
          <cell r="F968" t="str">
            <v>Aspirators</v>
          </cell>
          <cell r="G968" t="str">
            <v>PC</v>
          </cell>
          <cell r="H968" t="str">
            <v>PALLIATIVE CARE UNIT</v>
          </cell>
          <cell r="I968" t="str">
            <v>04PC109</v>
          </cell>
          <cell r="J968" t="str">
            <v>GEN. STORE</v>
          </cell>
          <cell r="K968" t="str">
            <v>BMED</v>
          </cell>
          <cell r="L968" t="str">
            <v>Critical</v>
          </cell>
          <cell r="M968" t="str">
            <v>Italy</v>
          </cell>
          <cell r="N968" t="str">
            <v>Askir</v>
          </cell>
          <cell r="O968" t="str">
            <v>Askir 36-BR</v>
          </cell>
          <cell r="P968" t="str">
            <v>1393</v>
          </cell>
          <cell r="Q968" t="str">
            <v>Not Applicable</v>
          </cell>
          <cell r="R968" t="str">
            <v>Ca-Mi Snc</v>
          </cell>
          <cell r="S968" t="str">
            <v>Antah Sir Radin Sdn. Bhd.</v>
          </cell>
          <cell r="T968" t="str">
            <v>Functioning</v>
          </cell>
          <cell r="U968" t="str">
            <v>Asset</v>
          </cell>
          <cell r="V968">
            <v>2165</v>
          </cell>
          <cell r="W968" t="str">
            <v>KEW</v>
          </cell>
          <cell r="X968" t="str">
            <v>01/09/2010</v>
          </cell>
          <cell r="Y968" t="str">
            <v>KEW</v>
          </cell>
          <cell r="Z968" t="str">
            <v>16/08/2013</v>
          </cell>
          <cell r="AA968" t="str">
            <v>15/08/2015</v>
          </cell>
          <cell r="AB968" t="str">
            <v>No</v>
          </cell>
          <cell r="AC968" t="str">
            <v>31/08/2013</v>
          </cell>
          <cell r="AD968" t="str">
            <v>Good</v>
          </cell>
          <cell r="AE968" t="str">
            <v>V1 - Existing / No Claim</v>
          </cell>
          <cell r="AF968">
            <v>42797</v>
          </cell>
          <cell r="AG968">
            <v>9.17</v>
          </cell>
          <cell r="AH968" t="str">
            <v>PPM</v>
          </cell>
          <cell r="AI968" t="str">
            <v>Strands</v>
          </cell>
          <cell r="AJ968" t="str">
            <v>Strands PW</v>
          </cell>
        </row>
        <row r="969">
          <cell r="A969" t="str">
            <v>IKN400530</v>
          </cell>
          <cell r="B969">
            <v>530</v>
          </cell>
          <cell r="C969" t="str">
            <v>Institut Kanser Negara</v>
          </cell>
          <cell r="D969" t="str">
            <v>KKM/IKN/H/13/328</v>
          </cell>
          <cell r="E969" t="str">
            <v>10-208</v>
          </cell>
          <cell r="F969" t="str">
            <v>Aspirators</v>
          </cell>
          <cell r="G969" t="str">
            <v>PC</v>
          </cell>
          <cell r="H969" t="str">
            <v>PALLIATIVE CARE UNIT</v>
          </cell>
          <cell r="I969" t="str">
            <v>04PC109</v>
          </cell>
          <cell r="J969" t="str">
            <v>GEN. STORE</v>
          </cell>
          <cell r="K969" t="str">
            <v>BMED</v>
          </cell>
          <cell r="L969" t="str">
            <v>Critical</v>
          </cell>
          <cell r="M969" t="str">
            <v>Italy</v>
          </cell>
          <cell r="N969" t="str">
            <v>Askir</v>
          </cell>
          <cell r="O969" t="str">
            <v>Askir 36-BR</v>
          </cell>
          <cell r="P969" t="str">
            <v>1392</v>
          </cell>
          <cell r="Q969" t="str">
            <v>Not Applicable</v>
          </cell>
          <cell r="R969" t="str">
            <v>Ca-Mi Snc</v>
          </cell>
          <cell r="S969" t="str">
            <v>Antah Sir Radin Sdn. Bhd.</v>
          </cell>
          <cell r="T969" t="str">
            <v>Functioning</v>
          </cell>
          <cell r="U969" t="str">
            <v>Asset</v>
          </cell>
          <cell r="V969">
            <v>2165</v>
          </cell>
          <cell r="W969" t="str">
            <v>KEW</v>
          </cell>
          <cell r="X969" t="str">
            <v>01/09/2010</v>
          </cell>
          <cell r="Y969" t="str">
            <v>KEW</v>
          </cell>
          <cell r="Z969" t="str">
            <v>16/08/2013</v>
          </cell>
          <cell r="AA969" t="str">
            <v>15/08/2015</v>
          </cell>
          <cell r="AB969" t="str">
            <v>No</v>
          </cell>
          <cell r="AC969" t="str">
            <v>31/08/2013</v>
          </cell>
          <cell r="AD969" t="str">
            <v>Good</v>
          </cell>
          <cell r="AE969" t="str">
            <v>V1 - Existing / No Claim</v>
          </cell>
          <cell r="AF969">
            <v>42797</v>
          </cell>
          <cell r="AG969">
            <v>9.17</v>
          </cell>
          <cell r="AH969" t="str">
            <v>PPM</v>
          </cell>
          <cell r="AI969" t="str">
            <v>Strands</v>
          </cell>
          <cell r="AJ969" t="str">
            <v>Strands PW</v>
          </cell>
        </row>
        <row r="970">
          <cell r="A970" t="str">
            <v>IKN400533</v>
          </cell>
          <cell r="B970">
            <v>533</v>
          </cell>
          <cell r="C970" t="str">
            <v>Institut Kanser Negara</v>
          </cell>
          <cell r="D970" t="str">
            <v>KKM/IKN/H/13/2472</v>
          </cell>
          <cell r="E970" t="str">
            <v>12-660</v>
          </cell>
          <cell r="F970" t="str">
            <v>Radiation Monitors</v>
          </cell>
          <cell r="G970" t="str">
            <v>WA</v>
          </cell>
          <cell r="H970" t="str">
            <v>NUCLEAR MED WARD (THERAPY)</v>
          </cell>
          <cell r="I970" t="str">
            <v>03WA114</v>
          </cell>
          <cell r="J970" t="str">
            <v>RADIOACTIVE WASTE</v>
          </cell>
          <cell r="K970" t="str">
            <v>BMED</v>
          </cell>
          <cell r="L970" t="str">
            <v>Normal</v>
          </cell>
          <cell r="M970" t="str">
            <v>Germany</v>
          </cell>
          <cell r="N970" t="str">
            <v>CoMo</v>
          </cell>
          <cell r="O970" t="str">
            <v>CoMo 170</v>
          </cell>
          <cell r="P970" t="str">
            <v>5067DL</v>
          </cell>
          <cell r="Q970" t="str">
            <v>Not Applicable</v>
          </cell>
          <cell r="R970" t="str">
            <v>MED Nuklear-Medizintechnik Dresden GmbH</v>
          </cell>
          <cell r="S970" t="str">
            <v>Kwint International BN</v>
          </cell>
          <cell r="T970" t="str">
            <v>Functioning</v>
          </cell>
          <cell r="U970" t="str">
            <v>Asset</v>
          </cell>
          <cell r="V970">
            <v>23270</v>
          </cell>
          <cell r="W970" t="str">
            <v>KEW</v>
          </cell>
          <cell r="X970" t="str">
            <v>01/09/2010</v>
          </cell>
          <cell r="Y970" t="str">
            <v>KEW</v>
          </cell>
          <cell r="Z970" t="str">
            <v>16/08/2013</v>
          </cell>
          <cell r="AA970" t="str">
            <v>15/08/2015</v>
          </cell>
          <cell r="AB970" t="str">
            <v>No</v>
          </cell>
          <cell r="AC970" t="str">
            <v>31/08/2013</v>
          </cell>
          <cell r="AD970" t="str">
            <v>Good</v>
          </cell>
          <cell r="AE970" t="str">
            <v>V1 - Existing / No Claim</v>
          </cell>
          <cell r="AF970">
            <v>42235</v>
          </cell>
          <cell r="AG970">
            <v>9.17</v>
          </cell>
          <cell r="AH970" t="str">
            <v>PPM</v>
          </cell>
          <cell r="AI970" t="str">
            <v>Strands</v>
          </cell>
          <cell r="AJ970" t="str">
            <v>Strands PW</v>
          </cell>
        </row>
        <row r="971">
          <cell r="A971" t="str">
            <v>IKN400534</v>
          </cell>
          <cell r="B971">
            <v>534</v>
          </cell>
          <cell r="C971" t="str">
            <v>Institut Kanser Negara</v>
          </cell>
          <cell r="D971" t="str">
            <v>KKM/IKN/H/13/2367</v>
          </cell>
          <cell r="E971" t="str">
            <v>10-208</v>
          </cell>
          <cell r="F971" t="str">
            <v>Aspirators</v>
          </cell>
          <cell r="G971" t="str">
            <v>WA</v>
          </cell>
          <cell r="H971" t="str">
            <v>NUCLEAR MED WARD (THERAPY)</v>
          </cell>
          <cell r="I971" t="str">
            <v>03WA116</v>
          </cell>
          <cell r="J971" t="str">
            <v>TREATMENT</v>
          </cell>
          <cell r="K971" t="str">
            <v>BMED</v>
          </cell>
          <cell r="L971" t="str">
            <v>Critical</v>
          </cell>
          <cell r="M971" t="str">
            <v>Switzerland</v>
          </cell>
          <cell r="N971" t="str">
            <v>Senator</v>
          </cell>
          <cell r="O971" t="str">
            <v>Senator</v>
          </cell>
          <cell r="P971" t="str">
            <v>1220747</v>
          </cell>
          <cell r="Q971" t="str">
            <v>Not Applicable</v>
          </cell>
          <cell r="R971" t="str">
            <v>Ardo Medical AG</v>
          </cell>
          <cell r="S971" t="str">
            <v>Histopoint</v>
          </cell>
          <cell r="T971" t="str">
            <v>Functioning</v>
          </cell>
          <cell r="U971" t="str">
            <v>Asset</v>
          </cell>
          <cell r="V971">
            <v>5052</v>
          </cell>
          <cell r="W971" t="str">
            <v>KEW</v>
          </cell>
          <cell r="X971" t="str">
            <v>01/09/2010</v>
          </cell>
          <cell r="Y971" t="str">
            <v>KEW</v>
          </cell>
          <cell r="Z971" t="str">
            <v>16/08/2013</v>
          </cell>
          <cell r="AA971" t="str">
            <v>15/08/2015</v>
          </cell>
          <cell r="AB971" t="str">
            <v>No</v>
          </cell>
          <cell r="AC971" t="str">
            <v>31/08/2013</v>
          </cell>
          <cell r="AD971" t="str">
            <v>Good</v>
          </cell>
          <cell r="AE971" t="str">
            <v>V1 - Existing / No Claim</v>
          </cell>
          <cell r="AF971">
            <v>42794</v>
          </cell>
          <cell r="AG971">
            <v>9.17</v>
          </cell>
          <cell r="AH971" t="str">
            <v>PPM</v>
          </cell>
          <cell r="AI971" t="str">
            <v>Strands</v>
          </cell>
          <cell r="AJ971" t="str">
            <v>Strands PW</v>
          </cell>
        </row>
        <row r="972">
          <cell r="A972" t="str">
            <v>IKN400535</v>
          </cell>
          <cell r="B972">
            <v>535</v>
          </cell>
          <cell r="C972" t="str">
            <v>Institut Kanser Negara</v>
          </cell>
          <cell r="D972" t="str">
            <v>KKM/IKN/H/13/2366</v>
          </cell>
          <cell r="E972" t="str">
            <v>16-173</v>
          </cell>
          <cell r="F972" t="str">
            <v>Sphygmomanometers, Electronic, Automatic</v>
          </cell>
          <cell r="G972" t="str">
            <v>WA</v>
          </cell>
          <cell r="H972" t="str">
            <v>NUCLEAR MED WARD (THERAPY)</v>
          </cell>
          <cell r="I972" t="str">
            <v>03WA116</v>
          </cell>
          <cell r="J972" t="str">
            <v>TREATMENT</v>
          </cell>
          <cell r="K972" t="str">
            <v>BMED</v>
          </cell>
          <cell r="L972" t="str">
            <v>Normal</v>
          </cell>
          <cell r="M972" t="str">
            <v>Mexico</v>
          </cell>
          <cell r="N972" t="str">
            <v>Carespace</v>
          </cell>
          <cell r="O972" t="str">
            <v>Carescape V100</v>
          </cell>
          <cell r="P972" t="str">
            <v>SH612430108SA</v>
          </cell>
          <cell r="Q972" t="str">
            <v>Not Applicable</v>
          </cell>
          <cell r="R972" t="str">
            <v>GE Healthcare Systems</v>
          </cell>
          <cell r="S972" t="str">
            <v>GE Healthcare Technologies</v>
          </cell>
          <cell r="T972" t="str">
            <v>Functioning</v>
          </cell>
          <cell r="U972" t="str">
            <v>Asset</v>
          </cell>
          <cell r="V972">
            <v>7770</v>
          </cell>
          <cell r="W972" t="str">
            <v>KEW</v>
          </cell>
          <cell r="X972" t="str">
            <v>01/09/2010</v>
          </cell>
          <cell r="Y972" t="str">
            <v>KEW</v>
          </cell>
          <cell r="Z972" t="str">
            <v>16/08/2013</v>
          </cell>
          <cell r="AA972" t="str">
            <v>15/08/2015</v>
          </cell>
          <cell r="AB972" t="str">
            <v>No</v>
          </cell>
          <cell r="AC972" t="str">
            <v>31/08/2013</v>
          </cell>
          <cell r="AD972" t="str">
            <v>Good</v>
          </cell>
          <cell r="AE972" t="str">
            <v>V1 - Existing / No Claim</v>
          </cell>
          <cell r="AF972">
            <v>42235</v>
          </cell>
          <cell r="AG972">
            <v>9.17</v>
          </cell>
          <cell r="AH972" t="str">
            <v>PPM</v>
          </cell>
          <cell r="AI972" t="str">
            <v>Strands</v>
          </cell>
          <cell r="AJ972" t="str">
            <v>Strands PW</v>
          </cell>
        </row>
        <row r="973">
          <cell r="A973" t="str">
            <v>IKN400536</v>
          </cell>
          <cell r="B973">
            <v>536</v>
          </cell>
          <cell r="C973" t="str">
            <v>Institut Kanser Negara</v>
          </cell>
          <cell r="D973" t="str">
            <v>KKM/IKN/H/13/1343</v>
          </cell>
          <cell r="E973" t="str">
            <v>16-231</v>
          </cell>
          <cell r="F973" t="str">
            <v>Electrocardiographs, Multichannel, Interpretative</v>
          </cell>
          <cell r="G973" t="str">
            <v>WA</v>
          </cell>
          <cell r="H973" t="str">
            <v>NUCLEAR MED WARD (THERAPY)</v>
          </cell>
          <cell r="I973" t="str">
            <v>03WA116</v>
          </cell>
          <cell r="J973" t="str">
            <v>TREATMENT</v>
          </cell>
          <cell r="K973" t="str">
            <v>BMED</v>
          </cell>
          <cell r="L973" t="str">
            <v>Critical</v>
          </cell>
          <cell r="M973" t="str">
            <v>China</v>
          </cell>
          <cell r="N973" t="str">
            <v>Mac</v>
          </cell>
          <cell r="O973" t="str">
            <v>MAC 800</v>
          </cell>
          <cell r="P973" t="str">
            <v>SJ412450376 WA</v>
          </cell>
          <cell r="Q973" t="str">
            <v>Not Applicable</v>
          </cell>
          <cell r="R973" t="str">
            <v>GE Healthcare Systems</v>
          </cell>
          <cell r="S973" t="str">
            <v>GE Healthcare Technologies</v>
          </cell>
          <cell r="T973" t="str">
            <v>Functioning</v>
          </cell>
          <cell r="U973" t="str">
            <v>Asset</v>
          </cell>
          <cell r="V973">
            <v>25260</v>
          </cell>
          <cell r="W973" t="str">
            <v>KEW</v>
          </cell>
          <cell r="X973" t="str">
            <v>01/09/2010</v>
          </cell>
          <cell r="Y973" t="str">
            <v>KEW</v>
          </cell>
          <cell r="Z973" t="str">
            <v>16/08/2013</v>
          </cell>
          <cell r="AA973" t="str">
            <v>15/08/2015</v>
          </cell>
          <cell r="AB973" t="str">
            <v>No</v>
          </cell>
          <cell r="AC973" t="str">
            <v>31/08/2013</v>
          </cell>
          <cell r="AD973" t="str">
            <v>Good</v>
          </cell>
          <cell r="AE973" t="str">
            <v>V1 - Existing / No Claim</v>
          </cell>
          <cell r="AF973">
            <v>42794</v>
          </cell>
          <cell r="AG973">
            <v>9.17</v>
          </cell>
          <cell r="AH973" t="str">
            <v>PPM</v>
          </cell>
          <cell r="AI973" t="str">
            <v>Strands</v>
          </cell>
          <cell r="AJ973" t="str">
            <v>Strands PW</v>
          </cell>
        </row>
        <row r="974">
          <cell r="A974" t="str">
            <v>IKN400537</v>
          </cell>
          <cell r="B974">
            <v>537</v>
          </cell>
          <cell r="C974" t="str">
            <v>Institut Kanser Negara</v>
          </cell>
          <cell r="D974" t="e">
            <v>#N/A</v>
          </cell>
          <cell r="E974" t="str">
            <v>11-134</v>
          </cell>
          <cell r="F974" t="str">
            <v>Defibrillators, External, Manual</v>
          </cell>
          <cell r="G974" t="str">
            <v>WA</v>
          </cell>
          <cell r="H974" t="str">
            <v>NUCLEAR MED WARD (THERAPY)</v>
          </cell>
          <cell r="I974" t="str">
            <v>03WA117</v>
          </cell>
          <cell r="J974" t="str">
            <v>N/S 1</v>
          </cell>
          <cell r="K974" t="str">
            <v>BMED</v>
          </cell>
          <cell r="L974" t="str">
            <v>Critical</v>
          </cell>
          <cell r="M974" t="str">
            <v>USA</v>
          </cell>
          <cell r="N974" t="str">
            <v>Responder</v>
          </cell>
          <cell r="O974" t="str">
            <v>Responder 2000</v>
          </cell>
          <cell r="P974" t="str">
            <v>3206739</v>
          </cell>
          <cell r="Q974" t="str">
            <v>Not Applicable</v>
          </cell>
          <cell r="R974" t="str">
            <v>GE Medical Systems</v>
          </cell>
          <cell r="S974" t="str">
            <v>Antah Sir Radin Sdn. Bhd.</v>
          </cell>
          <cell r="T974" t="str">
            <v>Functioning</v>
          </cell>
          <cell r="U974" t="str">
            <v>Asset</v>
          </cell>
          <cell r="V974">
            <v>45000</v>
          </cell>
          <cell r="W974" t="str">
            <v>Estimate</v>
          </cell>
          <cell r="X974" t="str">
            <v>01/09/2010</v>
          </cell>
          <cell r="Y974" t="str">
            <v>KEW</v>
          </cell>
          <cell r="Z974" t="str">
            <v>16/08/2013</v>
          </cell>
          <cell r="AA974" t="str">
            <v>15/08/2015</v>
          </cell>
          <cell r="AB974" t="str">
            <v>No</v>
          </cell>
          <cell r="AC974" t="str">
            <v>31/08/2013</v>
          </cell>
          <cell r="AD974" t="str">
            <v>Good</v>
          </cell>
          <cell r="AE974" t="str">
            <v>V1 - Existing / No Claim</v>
          </cell>
          <cell r="AF974">
            <v>42601</v>
          </cell>
          <cell r="AG974">
            <v>9.17</v>
          </cell>
          <cell r="AH974" t="str">
            <v>PPM</v>
          </cell>
          <cell r="AI974" t="str">
            <v>Strands</v>
          </cell>
          <cell r="AJ974" t="str">
            <v>Strands PW</v>
          </cell>
          <cell r="AK974" t="str">
            <v>Crash Trolley (FEMS)</v>
          </cell>
        </row>
        <row r="975">
          <cell r="A975" t="str">
            <v>IKN400538</v>
          </cell>
          <cell r="B975">
            <v>538</v>
          </cell>
          <cell r="C975" t="str">
            <v>Institut Kanser Negara</v>
          </cell>
          <cell r="D975" t="str">
            <v>KKM/IKN/H/13/2204</v>
          </cell>
          <cell r="E975" t="str">
            <v>16-173</v>
          </cell>
          <cell r="F975" t="str">
            <v>Sphygmomanometers, Electronic, Automatic</v>
          </cell>
          <cell r="G975" t="str">
            <v>WA</v>
          </cell>
          <cell r="H975" t="str">
            <v>NUCLEAR MED WARD (THERAPY)</v>
          </cell>
          <cell r="I975" t="str">
            <v>03WA117</v>
          </cell>
          <cell r="J975" t="str">
            <v>N/S 1</v>
          </cell>
          <cell r="K975" t="str">
            <v>BMED</v>
          </cell>
          <cell r="L975" t="str">
            <v>Normal</v>
          </cell>
          <cell r="M975" t="str">
            <v>USA</v>
          </cell>
          <cell r="N975" t="str">
            <v>Connex</v>
          </cell>
          <cell r="O975" t="str">
            <v>Connex ProBP 3400</v>
          </cell>
          <cell r="P975" t="str">
            <v>100001770613</v>
          </cell>
          <cell r="Q975" t="str">
            <v>Not Applicable</v>
          </cell>
          <cell r="R975" t="str">
            <v>Welch Allyn Inc</v>
          </cell>
          <cell r="S975" t="str">
            <v>Welch Allyn Malaysia Sdn Bhd</v>
          </cell>
          <cell r="T975" t="str">
            <v>Functioning</v>
          </cell>
          <cell r="U975" t="str">
            <v>Asset</v>
          </cell>
          <cell r="V975">
            <v>4510</v>
          </cell>
          <cell r="W975" t="str">
            <v>KEW</v>
          </cell>
          <cell r="X975" t="str">
            <v>01/09/2010</v>
          </cell>
          <cell r="Y975" t="str">
            <v>KEW</v>
          </cell>
          <cell r="Z975" t="str">
            <v>16/08/2013</v>
          </cell>
          <cell r="AA975" t="str">
            <v>15/08/2015</v>
          </cell>
          <cell r="AB975" t="str">
            <v>No</v>
          </cell>
          <cell r="AC975" t="str">
            <v>31/08/2013</v>
          </cell>
          <cell r="AD975" t="str">
            <v>Good</v>
          </cell>
          <cell r="AE975" t="str">
            <v>V1 - Existing / No Claim</v>
          </cell>
          <cell r="AF975">
            <v>42235</v>
          </cell>
          <cell r="AG975">
            <v>9.17</v>
          </cell>
          <cell r="AH975" t="str">
            <v>PPM</v>
          </cell>
          <cell r="AI975" t="str">
            <v>Strands</v>
          </cell>
          <cell r="AJ975" t="str">
            <v>Strands PW</v>
          </cell>
        </row>
        <row r="976">
          <cell r="A976" t="str">
            <v>IKN400539</v>
          </cell>
          <cell r="B976">
            <v>539</v>
          </cell>
          <cell r="C976" t="str">
            <v>Institut Kanser Negara</v>
          </cell>
          <cell r="D976" t="str">
            <v>KKM/IKN/H/13/2205</v>
          </cell>
          <cell r="E976" t="str">
            <v>16-173</v>
          </cell>
          <cell r="F976" t="str">
            <v>Sphygmomanometers, Electronic, Automatic</v>
          </cell>
          <cell r="G976" t="str">
            <v>WA</v>
          </cell>
          <cell r="H976" t="str">
            <v>NUCLEAR MED WARD (THERAPY)</v>
          </cell>
          <cell r="I976" t="str">
            <v>03WA117</v>
          </cell>
          <cell r="J976" t="str">
            <v>N/S 1</v>
          </cell>
          <cell r="K976" t="str">
            <v>BMED</v>
          </cell>
          <cell r="L976" t="str">
            <v>Normal</v>
          </cell>
          <cell r="M976" t="str">
            <v>USA</v>
          </cell>
          <cell r="N976" t="str">
            <v>Connex</v>
          </cell>
          <cell r="O976" t="str">
            <v>Connex ProBP 3400</v>
          </cell>
          <cell r="P976" t="str">
            <v>100001470613</v>
          </cell>
          <cell r="Q976" t="str">
            <v>Not Applicable</v>
          </cell>
          <cell r="R976" t="str">
            <v>Welch Allyn Inc</v>
          </cell>
          <cell r="S976" t="str">
            <v>Welch Allyn Malaysia Sdn Bhd</v>
          </cell>
          <cell r="T976" t="str">
            <v>Functioning</v>
          </cell>
          <cell r="U976" t="str">
            <v>Asset</v>
          </cell>
          <cell r="V976">
            <v>4510</v>
          </cell>
          <cell r="W976" t="str">
            <v>KEW</v>
          </cell>
          <cell r="X976" t="str">
            <v>01/09/2010</v>
          </cell>
          <cell r="Y976" t="str">
            <v>KEW</v>
          </cell>
          <cell r="Z976" t="str">
            <v>16/08/2013</v>
          </cell>
          <cell r="AA976" t="str">
            <v>15/08/2015</v>
          </cell>
          <cell r="AB976" t="str">
            <v>No</v>
          </cell>
          <cell r="AC976" t="str">
            <v>31/08/2013</v>
          </cell>
          <cell r="AD976" t="str">
            <v>Good</v>
          </cell>
          <cell r="AE976" t="str">
            <v>V1 - Existing / No Claim</v>
          </cell>
          <cell r="AF976">
            <v>42235</v>
          </cell>
          <cell r="AG976">
            <v>9.17</v>
          </cell>
          <cell r="AH976" t="str">
            <v>PPM</v>
          </cell>
          <cell r="AI976" t="str">
            <v>Strands</v>
          </cell>
          <cell r="AJ976" t="str">
            <v>Strands PW</v>
          </cell>
        </row>
        <row r="977">
          <cell r="A977" t="str">
            <v>IKN400541</v>
          </cell>
          <cell r="B977">
            <v>541</v>
          </cell>
          <cell r="C977" t="str">
            <v>Institut Kanser Negara</v>
          </cell>
          <cell r="D977" t="str">
            <v>KKM/IKN/H/13/2478</v>
          </cell>
          <cell r="E977" t="str">
            <v>11-134</v>
          </cell>
          <cell r="F977" t="str">
            <v>Defibrillators, External, Manual</v>
          </cell>
          <cell r="G977" t="str">
            <v>WA</v>
          </cell>
          <cell r="H977" t="str">
            <v>NUCLEAR MED WARD (THERAPY)</v>
          </cell>
          <cell r="I977" t="str">
            <v>03WA121</v>
          </cell>
          <cell r="J977" t="str">
            <v>N/S 2</v>
          </cell>
          <cell r="K977" t="str">
            <v>BMED</v>
          </cell>
          <cell r="L977" t="str">
            <v>Critical</v>
          </cell>
          <cell r="M977" t="str">
            <v>USA</v>
          </cell>
          <cell r="N977" t="str">
            <v>Responder</v>
          </cell>
          <cell r="O977" t="str">
            <v>Responder 2000</v>
          </cell>
          <cell r="P977" t="str">
            <v>3206688</v>
          </cell>
          <cell r="Q977" t="str">
            <v>Not Applicable</v>
          </cell>
          <cell r="R977" t="str">
            <v>GE Medical Systems</v>
          </cell>
          <cell r="S977" t="str">
            <v>Antah Sir Radin Sdn. Bhd.</v>
          </cell>
          <cell r="T977" t="str">
            <v>Functioning</v>
          </cell>
          <cell r="U977" t="str">
            <v>Asset</v>
          </cell>
          <cell r="V977">
            <v>45000</v>
          </cell>
          <cell r="W977" t="str">
            <v>Estimate</v>
          </cell>
          <cell r="X977" t="str">
            <v>01/09/2010</v>
          </cell>
          <cell r="Y977" t="str">
            <v>KEW</v>
          </cell>
          <cell r="Z977" t="str">
            <v>16/08/2013</v>
          </cell>
          <cell r="AA977" t="str">
            <v>15/08/2015</v>
          </cell>
          <cell r="AB977" t="str">
            <v>No</v>
          </cell>
          <cell r="AC977" t="str">
            <v>31/08/2013</v>
          </cell>
          <cell r="AD977" t="str">
            <v>Good</v>
          </cell>
          <cell r="AE977" t="str">
            <v>V1 - Existing / No Claim</v>
          </cell>
          <cell r="AF977">
            <v>42601</v>
          </cell>
          <cell r="AG977">
            <v>9.17</v>
          </cell>
          <cell r="AH977" t="str">
            <v>PPM</v>
          </cell>
          <cell r="AI977" t="str">
            <v>Strands</v>
          </cell>
          <cell r="AJ977" t="str">
            <v>Strands PW</v>
          </cell>
          <cell r="AK977" t="str">
            <v>Crash Trolley (FEMS)</v>
          </cell>
        </row>
        <row r="978">
          <cell r="A978" t="str">
            <v>IKN400542</v>
          </cell>
          <cell r="B978">
            <v>542</v>
          </cell>
          <cell r="C978" t="str">
            <v>Institut Kanser Negara</v>
          </cell>
          <cell r="D978" t="str">
            <v>KKM/IKN/H/13/315</v>
          </cell>
          <cell r="E978" t="str">
            <v>12-660</v>
          </cell>
          <cell r="F978" t="str">
            <v>Radiation Monitors</v>
          </cell>
          <cell r="G978" t="str">
            <v>WA</v>
          </cell>
          <cell r="H978" t="str">
            <v>NUCLEAR MED WARD (THERAPY)</v>
          </cell>
          <cell r="I978" t="str">
            <v>03WA121</v>
          </cell>
          <cell r="J978" t="str">
            <v>N/S 2</v>
          </cell>
          <cell r="K978" t="str">
            <v>BMED</v>
          </cell>
          <cell r="L978" t="str">
            <v>Normal</v>
          </cell>
          <cell r="M978" t="str">
            <v>Germany</v>
          </cell>
          <cell r="N978" t="str">
            <v>CoMo</v>
          </cell>
          <cell r="O978" t="str">
            <v>CoMo 170</v>
          </cell>
          <cell r="P978" t="str">
            <v>5069DL</v>
          </cell>
          <cell r="Q978" t="str">
            <v>Not Applicable</v>
          </cell>
          <cell r="R978" t="str">
            <v>MED Nuklear-Medizintechnik Dresden GmbH</v>
          </cell>
          <cell r="S978" t="str">
            <v>Kwint International BN</v>
          </cell>
          <cell r="T978" t="str">
            <v>Functioning</v>
          </cell>
          <cell r="U978" t="str">
            <v>Asset</v>
          </cell>
          <cell r="V978">
            <v>23270</v>
          </cell>
          <cell r="W978" t="str">
            <v>KEW</v>
          </cell>
          <cell r="X978" t="str">
            <v>01/09/2010</v>
          </cell>
          <cell r="Y978" t="str">
            <v>KEW</v>
          </cell>
          <cell r="Z978" t="str">
            <v>16/08/2013</v>
          </cell>
          <cell r="AA978" t="str">
            <v>15/08/2015</v>
          </cell>
          <cell r="AB978" t="str">
            <v>No</v>
          </cell>
          <cell r="AC978" t="str">
            <v>31/08/2013</v>
          </cell>
          <cell r="AD978" t="str">
            <v>Good</v>
          </cell>
          <cell r="AE978" t="str">
            <v>V1 - Existing / No Claim</v>
          </cell>
          <cell r="AF978">
            <v>42235</v>
          </cell>
          <cell r="AG978">
            <v>9.17</v>
          </cell>
          <cell r="AH978" t="str">
            <v>PPM</v>
          </cell>
          <cell r="AI978" t="str">
            <v>Strands</v>
          </cell>
          <cell r="AJ978" t="str">
            <v>Strands PW</v>
          </cell>
          <cell r="AK978" t="str">
            <v>TA: Alpha detector problem.</v>
          </cell>
        </row>
        <row r="979">
          <cell r="A979" t="str">
            <v>IKN400543</v>
          </cell>
          <cell r="B979">
            <v>543</v>
          </cell>
          <cell r="C979" t="str">
            <v>Institut Kanser Negara</v>
          </cell>
          <cell r="D979" t="str">
            <v>KKM/IKN/H/13/2616</v>
          </cell>
          <cell r="E979" t="str">
            <v>12-660</v>
          </cell>
          <cell r="F979" t="str">
            <v>Radiation Monitors</v>
          </cell>
          <cell r="G979" t="str">
            <v>WA</v>
          </cell>
          <cell r="H979" t="str">
            <v>NUCLEAR MED WARD (THERAPY)</v>
          </cell>
          <cell r="I979" t="str">
            <v>03WA125</v>
          </cell>
          <cell r="J979" t="str">
            <v>RADIOIODIN PREP (100% F.A.)</v>
          </cell>
          <cell r="K979" t="str">
            <v>BMED</v>
          </cell>
          <cell r="L979" t="str">
            <v>Normal</v>
          </cell>
          <cell r="M979" t="str">
            <v>Germany</v>
          </cell>
          <cell r="N979" t="str">
            <v>CoMo</v>
          </cell>
          <cell r="O979" t="str">
            <v>CoMo 170</v>
          </cell>
          <cell r="P979" t="str">
            <v>5389</v>
          </cell>
          <cell r="Q979" t="str">
            <v>Not Applicable</v>
          </cell>
          <cell r="R979" t="str">
            <v>MED Nuklear-Medizintechnik Dresden GmbH</v>
          </cell>
          <cell r="S979" t="str">
            <v>Kwint International BN</v>
          </cell>
          <cell r="T979" t="str">
            <v>Functioning</v>
          </cell>
          <cell r="U979" t="str">
            <v>Asset</v>
          </cell>
          <cell r="V979">
            <v>6810</v>
          </cell>
          <cell r="W979" t="str">
            <v>KEW</v>
          </cell>
          <cell r="X979" t="str">
            <v>01/09/2010</v>
          </cell>
          <cell r="Y979" t="str">
            <v>KEW</v>
          </cell>
          <cell r="Z979" t="str">
            <v>16/08/2013</v>
          </cell>
          <cell r="AA979" t="str">
            <v>15/08/2015</v>
          </cell>
          <cell r="AB979" t="str">
            <v>No</v>
          </cell>
          <cell r="AC979" t="str">
            <v>31/08/2013</v>
          </cell>
          <cell r="AD979" t="str">
            <v>Good</v>
          </cell>
          <cell r="AE979" t="str">
            <v>V1 - Existing / No Claim</v>
          </cell>
          <cell r="AF979">
            <v>42796</v>
          </cell>
          <cell r="AG979">
            <v>9.17</v>
          </cell>
          <cell r="AH979" t="str">
            <v>PPM</v>
          </cell>
          <cell r="AI979" t="str">
            <v>Strands</v>
          </cell>
          <cell r="AJ979" t="str">
            <v>Strands PW</v>
          </cell>
        </row>
        <row r="980">
          <cell r="A980" t="str">
            <v>IKN400545</v>
          </cell>
          <cell r="B980">
            <v>545</v>
          </cell>
          <cell r="C980" t="str">
            <v>Institut Kanser Negara</v>
          </cell>
          <cell r="D980" t="str">
            <v>KKM/IKN/H/13/2135</v>
          </cell>
          <cell r="E980" t="str">
            <v>15-045</v>
          </cell>
          <cell r="F980" t="str">
            <v>Nebulizers, Nonheated</v>
          </cell>
          <cell r="G980" t="str">
            <v>WA</v>
          </cell>
          <cell r="H980" t="str">
            <v>NUCLEAR MED WARD (THERAPY)</v>
          </cell>
          <cell r="I980" t="str">
            <v>03WA177</v>
          </cell>
          <cell r="J980" t="str">
            <v>EQ. ROOM</v>
          </cell>
          <cell r="K980" t="str">
            <v>BMED</v>
          </cell>
          <cell r="L980" t="str">
            <v>Normal</v>
          </cell>
          <cell r="M980" t="str">
            <v>Germany</v>
          </cell>
          <cell r="N980" t="str">
            <v>Pari Boy</v>
          </cell>
          <cell r="O980" t="str">
            <v>Pari Boy SX 085</v>
          </cell>
          <cell r="P980" t="str">
            <v>2W12F13725</v>
          </cell>
          <cell r="Q980" t="str">
            <v>Not Applicable</v>
          </cell>
          <cell r="R980" t="str">
            <v>Pari GmbH</v>
          </cell>
          <cell r="S980" t="str">
            <v>Welch Allyn Malaysia Sdn Bhd</v>
          </cell>
          <cell r="T980" t="str">
            <v>Functioning</v>
          </cell>
          <cell r="U980" t="str">
            <v>Asset</v>
          </cell>
          <cell r="V980">
            <v>1140</v>
          </cell>
          <cell r="W980" t="str">
            <v>KEW</v>
          </cell>
          <cell r="X980" t="str">
            <v>01/09/2010</v>
          </cell>
          <cell r="Y980" t="str">
            <v>KEW</v>
          </cell>
          <cell r="Z980" t="str">
            <v>16/08/2013</v>
          </cell>
          <cell r="AA980" t="str">
            <v>15/08/2015</v>
          </cell>
          <cell r="AB980" t="str">
            <v>No</v>
          </cell>
          <cell r="AC980" t="str">
            <v>31/08/2013</v>
          </cell>
          <cell r="AD980" t="str">
            <v>Good</v>
          </cell>
          <cell r="AE980" t="str">
            <v>V3 - Added Installed Facilities (New)</v>
          </cell>
          <cell r="AF980">
            <v>42235</v>
          </cell>
          <cell r="AG980">
            <v>9.17</v>
          </cell>
          <cell r="AH980" t="str">
            <v>PPM</v>
          </cell>
          <cell r="AI980" t="str">
            <v>Strands</v>
          </cell>
          <cell r="AJ980" t="str">
            <v>Strands PW</v>
          </cell>
          <cell r="AK980" t="str">
            <v>SNF received. 1st batch of V3 asset (December 2020)</v>
          </cell>
        </row>
        <row r="981">
          <cell r="A981" t="str">
            <v>IKN400546</v>
          </cell>
          <cell r="B981">
            <v>546</v>
          </cell>
          <cell r="C981" t="str">
            <v>Institut Kanser Negara</v>
          </cell>
          <cell r="D981" t="str">
            <v>KKM/IKN/H/13/3318</v>
          </cell>
          <cell r="E981" t="str">
            <v>12-647</v>
          </cell>
          <cell r="F981" t="str">
            <v>Physiologic Monitoring Systems, Acute Care</v>
          </cell>
          <cell r="G981" t="str">
            <v>WA</v>
          </cell>
          <cell r="H981" t="str">
            <v>NUCLEAR MED WARD (THERAPY)</v>
          </cell>
          <cell r="I981" t="str">
            <v>03WA177</v>
          </cell>
          <cell r="J981" t="str">
            <v>EQ. ROOM</v>
          </cell>
          <cell r="K981" t="str">
            <v>BMED</v>
          </cell>
          <cell r="L981" t="str">
            <v>Normal</v>
          </cell>
          <cell r="M981" t="str">
            <v>USA</v>
          </cell>
          <cell r="N981" t="str">
            <v>GE</v>
          </cell>
          <cell r="O981" t="str">
            <v>GE B30</v>
          </cell>
          <cell r="P981" t="str">
            <v>SF312325923WA</v>
          </cell>
          <cell r="Q981" t="str">
            <v>Not Applicable</v>
          </cell>
          <cell r="R981" t="str">
            <v>GE Healthcare Systems</v>
          </cell>
          <cell r="S981" t="str">
            <v>GE Healthcare Technologies</v>
          </cell>
          <cell r="T981" t="str">
            <v>Functioning</v>
          </cell>
          <cell r="U981" t="str">
            <v>Asset</v>
          </cell>
          <cell r="V981">
            <v>44510</v>
          </cell>
          <cell r="W981" t="str">
            <v>KEW</v>
          </cell>
          <cell r="X981" t="str">
            <v>01/09/2010</v>
          </cell>
          <cell r="Y981" t="str">
            <v>KEW</v>
          </cell>
          <cell r="Z981" t="str">
            <v>16/08/2013</v>
          </cell>
          <cell r="AA981" t="str">
            <v>15/08/2015</v>
          </cell>
          <cell r="AB981" t="str">
            <v>No</v>
          </cell>
          <cell r="AC981" t="str">
            <v>31/08/2013</v>
          </cell>
          <cell r="AD981" t="str">
            <v>Good</v>
          </cell>
          <cell r="AE981" t="str">
            <v>V1 - Existing / No Claim</v>
          </cell>
          <cell r="AF981">
            <v>42235</v>
          </cell>
          <cell r="AG981">
            <v>9.17</v>
          </cell>
          <cell r="AH981" t="str">
            <v>PPM</v>
          </cell>
          <cell r="AI981" t="str">
            <v>Strands</v>
          </cell>
          <cell r="AJ981" t="str">
            <v>Strands PW</v>
          </cell>
        </row>
        <row r="982">
          <cell r="A982" t="str">
            <v>IKN400547</v>
          </cell>
          <cell r="B982">
            <v>547</v>
          </cell>
          <cell r="C982" t="str">
            <v>Institut Kanser Negara</v>
          </cell>
          <cell r="D982" t="str">
            <v>KKM/IKN/H/13/3119</v>
          </cell>
          <cell r="E982" t="str">
            <v>12-647</v>
          </cell>
          <cell r="F982" t="str">
            <v>Physiologic Monitoring Systems, Acute Care</v>
          </cell>
          <cell r="G982" t="str">
            <v>WA</v>
          </cell>
          <cell r="H982" t="str">
            <v>NUCLEAR MED WARD (THERAPY)</v>
          </cell>
          <cell r="I982" t="str">
            <v>03WA177</v>
          </cell>
          <cell r="J982" t="str">
            <v>EQ. ROOM</v>
          </cell>
          <cell r="K982" t="str">
            <v>BMED</v>
          </cell>
          <cell r="L982" t="str">
            <v>Normal</v>
          </cell>
          <cell r="M982" t="str">
            <v>USA</v>
          </cell>
          <cell r="N982" t="str">
            <v>GE</v>
          </cell>
          <cell r="O982" t="str">
            <v>GE B30</v>
          </cell>
          <cell r="P982" t="str">
            <v>SF312325916WA</v>
          </cell>
          <cell r="Q982" t="str">
            <v>Not Applicable</v>
          </cell>
          <cell r="R982" t="str">
            <v>GE Healthcare Systems</v>
          </cell>
          <cell r="S982" t="str">
            <v>GE Healthcare Technologies</v>
          </cell>
          <cell r="T982" t="str">
            <v>Functioning</v>
          </cell>
          <cell r="U982" t="str">
            <v>Asset</v>
          </cell>
          <cell r="V982">
            <v>44510</v>
          </cell>
          <cell r="W982" t="str">
            <v>KEW</v>
          </cell>
          <cell r="X982" t="str">
            <v>01/09/2010</v>
          </cell>
          <cell r="Y982" t="str">
            <v>KEW</v>
          </cell>
          <cell r="Z982" t="str">
            <v>16/08/2013</v>
          </cell>
          <cell r="AA982" t="str">
            <v>15/08/2015</v>
          </cell>
          <cell r="AB982" t="str">
            <v>No</v>
          </cell>
          <cell r="AC982" t="str">
            <v>31/08/2013</v>
          </cell>
          <cell r="AD982" t="str">
            <v>Good</v>
          </cell>
          <cell r="AE982" t="str">
            <v>V1 - Existing / No Claim</v>
          </cell>
          <cell r="AF982">
            <v>42235</v>
          </cell>
          <cell r="AG982">
            <v>9.17</v>
          </cell>
          <cell r="AH982" t="str">
            <v>PPM</v>
          </cell>
          <cell r="AI982" t="str">
            <v>Strands</v>
          </cell>
          <cell r="AJ982" t="str">
            <v>Strands PW</v>
          </cell>
        </row>
        <row r="983">
          <cell r="A983" t="str">
            <v>IKN400548</v>
          </cell>
          <cell r="B983">
            <v>548</v>
          </cell>
          <cell r="C983" t="str">
            <v>Institut Kanser Negara</v>
          </cell>
          <cell r="D983" t="str">
            <v>KKM/IKN/H/13/2391</v>
          </cell>
          <cell r="E983" t="str">
            <v>12-282</v>
          </cell>
          <cell r="F983" t="str">
            <v>Lights, Surgical</v>
          </cell>
          <cell r="G983" t="str">
            <v>WA</v>
          </cell>
          <cell r="H983" t="str">
            <v>NUCLEAR MED WARD (THERAPY)</v>
          </cell>
          <cell r="I983" t="str">
            <v>03WA177</v>
          </cell>
          <cell r="J983" t="str">
            <v>EQ. ROOM</v>
          </cell>
          <cell r="K983" t="str">
            <v>BMED</v>
          </cell>
          <cell r="L983" t="str">
            <v>Critical</v>
          </cell>
          <cell r="M983" t="str">
            <v>USA</v>
          </cell>
          <cell r="N983" t="str">
            <v>Welch Allyn</v>
          </cell>
          <cell r="O983" t="str">
            <v>Welch Allyn GS600</v>
          </cell>
          <cell r="P983" t="str">
            <v>GS-600-30</v>
          </cell>
          <cell r="Q983" t="str">
            <v>Not Applicable</v>
          </cell>
          <cell r="R983" t="str">
            <v>Welch Allyn Inc</v>
          </cell>
          <cell r="S983" t="str">
            <v>Welch Allyn Malaysia Sdn Bhd</v>
          </cell>
          <cell r="T983" t="str">
            <v>Functioning</v>
          </cell>
          <cell r="U983" t="str">
            <v>Asset</v>
          </cell>
          <cell r="V983">
            <v>5050</v>
          </cell>
          <cell r="W983" t="str">
            <v>KEW</v>
          </cell>
          <cell r="X983" t="str">
            <v>01/09/2010</v>
          </cell>
          <cell r="Y983" t="str">
            <v>KEW</v>
          </cell>
          <cell r="Z983" t="str">
            <v>16/08/2013</v>
          </cell>
          <cell r="AA983" t="str">
            <v>15/08/2015</v>
          </cell>
          <cell r="AB983" t="str">
            <v>No</v>
          </cell>
          <cell r="AC983" t="str">
            <v>31/08/2013</v>
          </cell>
          <cell r="AD983" t="str">
            <v>Good</v>
          </cell>
          <cell r="AE983" t="str">
            <v>V1 - Existing / No Claim</v>
          </cell>
          <cell r="AF983">
            <v>42796</v>
          </cell>
          <cell r="AG983">
            <v>9.17</v>
          </cell>
          <cell r="AH983" t="str">
            <v>PPM</v>
          </cell>
          <cell r="AI983" t="str">
            <v>Strands</v>
          </cell>
          <cell r="AJ983" t="str">
            <v>Strands PW</v>
          </cell>
        </row>
        <row r="984">
          <cell r="A984" t="str">
            <v>IKN400549</v>
          </cell>
          <cell r="B984">
            <v>549</v>
          </cell>
          <cell r="C984" t="str">
            <v>Institut Kanser Negara</v>
          </cell>
          <cell r="D984" t="str">
            <v>KKM/IKN/H/13/2393</v>
          </cell>
          <cell r="E984" t="str">
            <v>12-282</v>
          </cell>
          <cell r="F984" t="str">
            <v>Lights, Surgical</v>
          </cell>
          <cell r="G984" t="str">
            <v>WA</v>
          </cell>
          <cell r="H984" t="str">
            <v>NUCLEAR MED WARD (THERAPY)</v>
          </cell>
          <cell r="I984" t="str">
            <v>03WA177</v>
          </cell>
          <cell r="J984" t="str">
            <v>EQ. ROOM</v>
          </cell>
          <cell r="K984" t="str">
            <v>BMED</v>
          </cell>
          <cell r="L984" t="str">
            <v>Critical</v>
          </cell>
          <cell r="M984" t="str">
            <v>USA</v>
          </cell>
          <cell r="N984" t="str">
            <v>Welch Allyn</v>
          </cell>
          <cell r="O984" t="str">
            <v>Welch Allyn GS600</v>
          </cell>
          <cell r="P984" t="str">
            <v>GS-600-43</v>
          </cell>
          <cell r="Q984" t="str">
            <v>Not Applicable</v>
          </cell>
          <cell r="R984" t="str">
            <v>Welch Allyn Inc</v>
          </cell>
          <cell r="S984" t="str">
            <v>Welch Allyn Malaysia Sdn Bhd</v>
          </cell>
          <cell r="T984" t="str">
            <v>Functioning</v>
          </cell>
          <cell r="U984" t="str">
            <v>Asset</v>
          </cell>
          <cell r="V984">
            <v>5050</v>
          </cell>
          <cell r="W984" t="str">
            <v>KEW</v>
          </cell>
          <cell r="X984" t="str">
            <v>01/09/2010</v>
          </cell>
          <cell r="Y984" t="str">
            <v>KEW</v>
          </cell>
          <cell r="Z984" t="str">
            <v>16/08/2013</v>
          </cell>
          <cell r="AA984" t="str">
            <v>15/08/2015</v>
          </cell>
          <cell r="AB984" t="str">
            <v>No</v>
          </cell>
          <cell r="AC984" t="str">
            <v>31/08/2013</v>
          </cell>
          <cell r="AD984" t="str">
            <v>Good</v>
          </cell>
          <cell r="AE984" t="str">
            <v>V1 - Existing / No Claim</v>
          </cell>
          <cell r="AF984">
            <v>42796</v>
          </cell>
          <cell r="AG984">
            <v>9.17</v>
          </cell>
          <cell r="AH984" t="str">
            <v>PPM</v>
          </cell>
          <cell r="AI984" t="str">
            <v>Strands</v>
          </cell>
          <cell r="AJ984" t="str">
            <v>Strands PW</v>
          </cell>
        </row>
        <row r="985">
          <cell r="A985" t="str">
            <v>IKN400550</v>
          </cell>
          <cell r="B985">
            <v>550</v>
          </cell>
          <cell r="C985" t="str">
            <v>Institut Kanser Negara</v>
          </cell>
          <cell r="D985" t="str">
            <v>KKM/IKN/H/13/2987</v>
          </cell>
          <cell r="E985" t="str">
            <v>17-148</v>
          </cell>
          <cell r="F985" t="str">
            <v>Oximeters, Pulse</v>
          </cell>
          <cell r="G985" t="str">
            <v>NM</v>
          </cell>
          <cell r="H985" t="str">
            <v>NUCLEAR MED (DIAGNOSTIC)</v>
          </cell>
          <cell r="I985" t="str">
            <v>03NM109</v>
          </cell>
          <cell r="J985" t="str">
            <v>TREATMENT 2 (RAS) (-VE)</v>
          </cell>
          <cell r="K985" t="str">
            <v>BMED</v>
          </cell>
          <cell r="L985" t="str">
            <v>Normal</v>
          </cell>
          <cell r="M985" t="str">
            <v>Finland</v>
          </cell>
          <cell r="N985" t="str">
            <v>Trusat</v>
          </cell>
          <cell r="O985" t="str">
            <v>Trusat</v>
          </cell>
          <cell r="P985" t="str">
            <v>FCC12430016SA</v>
          </cell>
          <cell r="Q985" t="str">
            <v>Not Applicable</v>
          </cell>
          <cell r="R985" t="str">
            <v>GE Healthcare Systems</v>
          </cell>
          <cell r="S985" t="str">
            <v>GE Healthcare Technologies</v>
          </cell>
          <cell r="T985" t="str">
            <v>Functioning</v>
          </cell>
          <cell r="U985" t="str">
            <v>Asset</v>
          </cell>
          <cell r="V985">
            <v>11120</v>
          </cell>
          <cell r="W985" t="str">
            <v>KEW</v>
          </cell>
          <cell r="X985" t="str">
            <v>01/09/2010</v>
          </cell>
          <cell r="Y985" t="str">
            <v>KEW</v>
          </cell>
          <cell r="Z985" t="str">
            <v>16/08/2013</v>
          </cell>
          <cell r="AA985" t="str">
            <v>15/08/2015</v>
          </cell>
          <cell r="AB985" t="str">
            <v>No</v>
          </cell>
          <cell r="AC985" t="str">
            <v>31/08/2013</v>
          </cell>
          <cell r="AD985" t="str">
            <v>Good</v>
          </cell>
          <cell r="AE985" t="str">
            <v>V1 - Existing / No Claim</v>
          </cell>
          <cell r="AF985">
            <v>42235</v>
          </cell>
          <cell r="AG985">
            <v>9.17</v>
          </cell>
          <cell r="AH985" t="str">
            <v>PPM</v>
          </cell>
          <cell r="AI985" t="str">
            <v>Strands</v>
          </cell>
          <cell r="AJ985" t="str">
            <v>Strands PW</v>
          </cell>
        </row>
        <row r="986">
          <cell r="A986" t="str">
            <v>IKN400552</v>
          </cell>
          <cell r="B986">
            <v>552</v>
          </cell>
          <cell r="C986" t="str">
            <v>Institut Kanser Negara</v>
          </cell>
          <cell r="D986" t="str">
            <v>KKM/IKN/H/13/2988</v>
          </cell>
          <cell r="E986" t="str">
            <v>17-148</v>
          </cell>
          <cell r="F986" t="str">
            <v>Oximeters, Pulse</v>
          </cell>
          <cell r="G986" t="str">
            <v>NM</v>
          </cell>
          <cell r="H986" t="str">
            <v>NUCLEAR MED (DIAGNOSTIC)</v>
          </cell>
          <cell r="I986" t="str">
            <v>03NM155</v>
          </cell>
          <cell r="J986" t="str">
            <v>STRESS LAB</v>
          </cell>
          <cell r="K986" t="str">
            <v>BMED</v>
          </cell>
          <cell r="L986" t="str">
            <v>Critical</v>
          </cell>
          <cell r="M986" t="str">
            <v>Finland</v>
          </cell>
          <cell r="N986" t="str">
            <v>Trusat</v>
          </cell>
          <cell r="O986" t="str">
            <v>Trusat</v>
          </cell>
          <cell r="P986" t="str">
            <v>FCC12430072SA</v>
          </cell>
          <cell r="Q986" t="str">
            <v>Not Applicable</v>
          </cell>
          <cell r="R986" t="str">
            <v>GE Healthcare Systems</v>
          </cell>
          <cell r="S986" t="str">
            <v>GE Healthcare Technologies</v>
          </cell>
          <cell r="T986" t="str">
            <v>Functioning</v>
          </cell>
          <cell r="U986" t="str">
            <v>Asset</v>
          </cell>
          <cell r="V986">
            <v>11120</v>
          </cell>
          <cell r="W986" t="str">
            <v>KEW</v>
          </cell>
          <cell r="X986" t="str">
            <v>01/09/2010</v>
          </cell>
          <cell r="Y986" t="str">
            <v>KEW</v>
          </cell>
          <cell r="Z986" t="str">
            <v>16/08/2013</v>
          </cell>
          <cell r="AA986" t="str">
            <v>15/08/2015</v>
          </cell>
          <cell r="AB986" t="str">
            <v>No</v>
          </cell>
          <cell r="AC986" t="str">
            <v>31/08/2013</v>
          </cell>
          <cell r="AD986" t="str">
            <v>Good</v>
          </cell>
          <cell r="AE986" t="str">
            <v>V1 - Existing / No Claim</v>
          </cell>
          <cell r="AF986">
            <v>42706</v>
          </cell>
          <cell r="AG986">
            <v>9.17</v>
          </cell>
          <cell r="AH986" t="str">
            <v>PPM</v>
          </cell>
          <cell r="AI986" t="str">
            <v>Strands</v>
          </cell>
          <cell r="AJ986" t="str">
            <v>Strands PW</v>
          </cell>
        </row>
        <row r="987">
          <cell r="A987" t="str">
            <v>IKN400553</v>
          </cell>
          <cell r="B987">
            <v>553</v>
          </cell>
          <cell r="C987" t="str">
            <v>Institut Kanser Negara</v>
          </cell>
          <cell r="D987" t="str">
            <v>KKM/IKN/H/13/2989</v>
          </cell>
          <cell r="E987" t="str">
            <v>17-148</v>
          </cell>
          <cell r="F987" t="str">
            <v>Oximeters, Pulse</v>
          </cell>
          <cell r="G987" t="str">
            <v>NM</v>
          </cell>
          <cell r="H987" t="str">
            <v>NUCLEAR MED (DIAGNOSTIC)</v>
          </cell>
          <cell r="I987" t="str">
            <v>03NM124</v>
          </cell>
          <cell r="J987" t="str">
            <v>EQUIPMENT ROOM</v>
          </cell>
          <cell r="K987" t="str">
            <v>BMED</v>
          </cell>
          <cell r="L987" t="str">
            <v>Normal</v>
          </cell>
          <cell r="M987" t="str">
            <v>Finland</v>
          </cell>
          <cell r="N987" t="str">
            <v>Trusat</v>
          </cell>
          <cell r="O987" t="str">
            <v>Trusat</v>
          </cell>
          <cell r="P987" t="str">
            <v>FCC12430059SA</v>
          </cell>
          <cell r="Q987" t="str">
            <v>Not Applicable</v>
          </cell>
          <cell r="R987" t="str">
            <v>GE Healthcare Systems</v>
          </cell>
          <cell r="S987" t="str">
            <v>GE Healthcare Technologies</v>
          </cell>
          <cell r="T987" t="str">
            <v>Functioning</v>
          </cell>
          <cell r="U987" t="str">
            <v>Asset</v>
          </cell>
          <cell r="V987">
            <v>11120</v>
          </cell>
          <cell r="W987" t="str">
            <v>KEW</v>
          </cell>
          <cell r="X987" t="str">
            <v>01/09/2010</v>
          </cell>
          <cell r="Y987" t="str">
            <v>KEW</v>
          </cell>
          <cell r="Z987" t="str">
            <v>16/08/2013</v>
          </cell>
          <cell r="AA987" t="str">
            <v>15/08/2015</v>
          </cell>
          <cell r="AB987" t="str">
            <v>No</v>
          </cell>
          <cell r="AC987" t="str">
            <v>31/08/2013</v>
          </cell>
          <cell r="AD987" t="str">
            <v>Good</v>
          </cell>
          <cell r="AE987" t="str">
            <v>V1 - Existing / No Claim</v>
          </cell>
          <cell r="AF987">
            <v>42235</v>
          </cell>
          <cell r="AG987">
            <v>9.17</v>
          </cell>
          <cell r="AH987" t="str">
            <v>PPM</v>
          </cell>
          <cell r="AI987" t="str">
            <v>Strands</v>
          </cell>
          <cell r="AJ987" t="str">
            <v>Strands PW</v>
          </cell>
        </row>
        <row r="988">
          <cell r="A988" t="str">
            <v>IKN400560</v>
          </cell>
          <cell r="B988">
            <v>560</v>
          </cell>
          <cell r="C988" t="str">
            <v>Institut Kanser Negara</v>
          </cell>
          <cell r="D988" t="str">
            <v>KKM/IKN/H/13/2982</v>
          </cell>
          <cell r="E988" t="str">
            <v>16-173</v>
          </cell>
          <cell r="F988" t="str">
            <v>Sphygmomanometers, Electronic, Automatic</v>
          </cell>
          <cell r="G988" t="str">
            <v>NM</v>
          </cell>
          <cell r="H988" t="str">
            <v>NUCLEAR MED (DIAGNOSTIC)</v>
          </cell>
          <cell r="I988" t="str">
            <v>03NM152</v>
          </cell>
          <cell r="J988" t="str">
            <v>NURSE STATION</v>
          </cell>
          <cell r="K988" t="str">
            <v>BMED</v>
          </cell>
          <cell r="L988" t="str">
            <v>Critical</v>
          </cell>
          <cell r="M988" t="str">
            <v>USA</v>
          </cell>
          <cell r="N988" t="str">
            <v>Connex</v>
          </cell>
          <cell r="O988" t="str">
            <v>Connex ProBP 3400</v>
          </cell>
          <cell r="P988" t="str">
            <v>100001580613</v>
          </cell>
          <cell r="Q988" t="str">
            <v>Not Applicable</v>
          </cell>
          <cell r="R988" t="str">
            <v>Welch Allyn Inc</v>
          </cell>
          <cell r="S988" t="str">
            <v>Welch Allyn Malaysia Sdn Bhd</v>
          </cell>
          <cell r="T988" t="str">
            <v>Functioning</v>
          </cell>
          <cell r="U988" t="str">
            <v>Asset</v>
          </cell>
          <cell r="V988">
            <v>4510</v>
          </cell>
          <cell r="W988" t="str">
            <v>KEW</v>
          </cell>
          <cell r="X988" t="str">
            <v>01/09/2010</v>
          </cell>
          <cell r="Y988" t="str">
            <v>KEW</v>
          </cell>
          <cell r="Z988" t="str">
            <v>16/08/2013</v>
          </cell>
          <cell r="AA988" t="str">
            <v>15/08/2015</v>
          </cell>
          <cell r="AB988" t="str">
            <v>No</v>
          </cell>
          <cell r="AC988" t="str">
            <v>31/08/2013</v>
          </cell>
          <cell r="AD988" t="str">
            <v>Good</v>
          </cell>
          <cell r="AE988" t="str">
            <v>V1 - Existing / No Claim</v>
          </cell>
          <cell r="AF988">
            <v>42796</v>
          </cell>
          <cell r="AG988">
            <v>9.17</v>
          </cell>
          <cell r="AH988" t="str">
            <v>PPM</v>
          </cell>
          <cell r="AI988" t="str">
            <v>Strands</v>
          </cell>
          <cell r="AJ988" t="str">
            <v>Strands PW</v>
          </cell>
        </row>
        <row r="989">
          <cell r="A989" t="str">
            <v>IKN400561</v>
          </cell>
          <cell r="B989">
            <v>561</v>
          </cell>
          <cell r="C989" t="str">
            <v>Institut Kanser Negara</v>
          </cell>
          <cell r="D989" t="str">
            <v>KKM/IKN/H/13/3022</v>
          </cell>
          <cell r="E989" t="str">
            <v>10-780</v>
          </cell>
          <cell r="F989" t="str">
            <v>Centrifuges, Tabletop</v>
          </cell>
          <cell r="G989" t="str">
            <v>NM</v>
          </cell>
          <cell r="H989" t="str">
            <v>NUCLEAR MED (DIAGNOSTIC)</v>
          </cell>
          <cell r="I989" t="str">
            <v>03NM154</v>
          </cell>
          <cell r="J989" t="str">
            <v>RIA LAB</v>
          </cell>
          <cell r="K989" t="str">
            <v>BMED</v>
          </cell>
          <cell r="L989" t="str">
            <v>Normal</v>
          </cell>
          <cell r="M989" t="str">
            <v>Germany</v>
          </cell>
          <cell r="N989" t="str">
            <v>Rotofix</v>
          </cell>
          <cell r="O989" t="str">
            <v>Rotofix 32A</v>
          </cell>
          <cell r="P989" t="str">
            <v>18401</v>
          </cell>
          <cell r="Q989" t="str">
            <v>Not Applicable</v>
          </cell>
          <cell r="R989" t="str">
            <v>Hettich-Zentrifugen GmbH</v>
          </cell>
          <cell r="S989" t="str">
            <v>Biomarketing Services (M) Sdn Bhd</v>
          </cell>
          <cell r="T989" t="str">
            <v>Functioning</v>
          </cell>
          <cell r="U989" t="str">
            <v>Asset</v>
          </cell>
          <cell r="V989">
            <v>24060</v>
          </cell>
          <cell r="W989" t="str">
            <v>KEW</v>
          </cell>
          <cell r="X989" t="str">
            <v>01/09/2010</v>
          </cell>
          <cell r="Y989" t="str">
            <v>KEW</v>
          </cell>
          <cell r="Z989" t="str">
            <v>16/08/2013</v>
          </cell>
          <cell r="AA989" t="str">
            <v>15/08/2015</v>
          </cell>
          <cell r="AB989" t="str">
            <v>No</v>
          </cell>
          <cell r="AC989" t="str">
            <v>31/08/2013</v>
          </cell>
          <cell r="AD989" t="str">
            <v>Good</v>
          </cell>
          <cell r="AE989" t="str">
            <v>V1 - Existing / No Claim</v>
          </cell>
          <cell r="AF989">
            <v>42235</v>
          </cell>
          <cell r="AG989">
            <v>9.17</v>
          </cell>
          <cell r="AH989" t="str">
            <v>PPM</v>
          </cell>
          <cell r="AI989" t="str">
            <v>Strands</v>
          </cell>
          <cell r="AJ989" t="str">
            <v>Strands PW</v>
          </cell>
        </row>
        <row r="990">
          <cell r="A990" t="str">
            <v>IKN400562</v>
          </cell>
          <cell r="B990">
            <v>562</v>
          </cell>
          <cell r="C990" t="str">
            <v>Institut Kanser Negara</v>
          </cell>
          <cell r="D990" t="e">
            <v>#N/A</v>
          </cell>
          <cell r="E990" t="str">
            <v>11-134</v>
          </cell>
          <cell r="F990" t="str">
            <v>Defibrillators, External, Manual</v>
          </cell>
          <cell r="G990" t="str">
            <v>NM</v>
          </cell>
          <cell r="H990" t="str">
            <v>NUCLEAR MED (DIAGNOSTIC)</v>
          </cell>
          <cell r="I990" t="str">
            <v>03NM155</v>
          </cell>
          <cell r="J990" t="str">
            <v>STRESS LAB</v>
          </cell>
          <cell r="K990" t="str">
            <v>BMED</v>
          </cell>
          <cell r="L990" t="str">
            <v>Critical</v>
          </cell>
          <cell r="M990" t="str">
            <v>USA</v>
          </cell>
          <cell r="N990" t="str">
            <v>Responder</v>
          </cell>
          <cell r="O990" t="str">
            <v>Responder 2000</v>
          </cell>
          <cell r="P990" t="str">
            <v>3206690</v>
          </cell>
          <cell r="Q990" t="str">
            <v>Not Applicable</v>
          </cell>
          <cell r="R990" t="str">
            <v>GE Medical Systems</v>
          </cell>
          <cell r="S990" t="str">
            <v>Antah Sir Radin Sdn. Bhd.</v>
          </cell>
          <cell r="T990" t="str">
            <v>Functioning</v>
          </cell>
          <cell r="U990" t="str">
            <v>Asset</v>
          </cell>
          <cell r="V990">
            <v>45000</v>
          </cell>
          <cell r="W990" t="str">
            <v>Estimate</v>
          </cell>
          <cell r="X990" t="str">
            <v>01/09/2010</v>
          </cell>
          <cell r="Y990" t="str">
            <v>KEW</v>
          </cell>
          <cell r="Z990" t="str">
            <v>16/08/2013</v>
          </cell>
          <cell r="AA990" t="str">
            <v>15/08/2015</v>
          </cell>
          <cell r="AB990" t="str">
            <v>No</v>
          </cell>
          <cell r="AC990" t="str">
            <v>31/08/2013</v>
          </cell>
          <cell r="AD990" t="str">
            <v>Good</v>
          </cell>
          <cell r="AE990" t="str">
            <v>V1 - Existing / No Claim</v>
          </cell>
          <cell r="AF990">
            <v>42601</v>
          </cell>
          <cell r="AG990">
            <v>9.17</v>
          </cell>
          <cell r="AH990" t="str">
            <v>PPM</v>
          </cell>
          <cell r="AI990" t="str">
            <v>Strands</v>
          </cell>
          <cell r="AJ990" t="str">
            <v>Strands PW</v>
          </cell>
          <cell r="AK990" t="str">
            <v>Crash Trolley (FEMS)</v>
          </cell>
        </row>
        <row r="991">
          <cell r="A991" t="str">
            <v>IKN400563</v>
          </cell>
          <cell r="B991">
            <v>563</v>
          </cell>
          <cell r="C991" t="str">
            <v>Institut Kanser Negara</v>
          </cell>
          <cell r="D991" t="str">
            <v>KKM/IKN/H/13/2993</v>
          </cell>
          <cell r="E991" t="str">
            <v>12-660</v>
          </cell>
          <cell r="F991" t="str">
            <v>Radiation Monitors</v>
          </cell>
          <cell r="G991" t="str">
            <v>NW</v>
          </cell>
          <cell r="H991" t="str">
            <v>NUCLEAR WASTE HOLDING</v>
          </cell>
          <cell r="I991" t="str">
            <v>01NW106</v>
          </cell>
          <cell r="J991" t="str">
            <v>WASTE MEASUREMENT</v>
          </cell>
          <cell r="K991" t="str">
            <v>BMED</v>
          </cell>
          <cell r="L991" t="str">
            <v>Normal</v>
          </cell>
          <cell r="M991" t="str">
            <v>Germany</v>
          </cell>
          <cell r="N991" t="str">
            <v>MED HFC</v>
          </cell>
          <cell r="O991" t="str">
            <v>MED HFC</v>
          </cell>
          <cell r="P991" t="str">
            <v>738</v>
          </cell>
          <cell r="Q991" t="str">
            <v>Not Applicable</v>
          </cell>
          <cell r="R991" t="str">
            <v>MED Nuklear-Medizintechnik Dresden GmbH</v>
          </cell>
          <cell r="S991" t="str">
            <v/>
          </cell>
          <cell r="T991" t="str">
            <v>Functioning</v>
          </cell>
          <cell r="U991" t="str">
            <v>Asset</v>
          </cell>
          <cell r="V991">
            <v>112855</v>
          </cell>
          <cell r="W991" t="str">
            <v>KEW</v>
          </cell>
          <cell r="X991" t="str">
            <v>01/09/2010</v>
          </cell>
          <cell r="Y991" t="str">
            <v>KEW</v>
          </cell>
          <cell r="Z991" t="str">
            <v>16/08/2013</v>
          </cell>
          <cell r="AA991" t="str">
            <v>15/08/2015</v>
          </cell>
          <cell r="AB991" t="str">
            <v>No</v>
          </cell>
          <cell r="AC991" t="str">
            <v>31/08/2013</v>
          </cell>
          <cell r="AD991" t="str">
            <v>Good</v>
          </cell>
          <cell r="AE991" t="str">
            <v>V1 - Existing / No Claim</v>
          </cell>
          <cell r="AF991">
            <v>42235</v>
          </cell>
          <cell r="AG991">
            <v>9.17</v>
          </cell>
          <cell r="AH991" t="str">
            <v>PPM</v>
          </cell>
          <cell r="AI991" t="str">
            <v>package</v>
          </cell>
          <cell r="AJ991" t="str">
            <v>Proposed for V3 P1.24</v>
          </cell>
          <cell r="AK991" t="str">
            <v>Detector SN: 0753L, 0738R, 0738R, 0738L</v>
          </cell>
        </row>
        <row r="992">
          <cell r="A992" t="str">
            <v>IKN400564</v>
          </cell>
          <cell r="B992">
            <v>564</v>
          </cell>
          <cell r="C992" t="str">
            <v>Institut Kanser Negara</v>
          </cell>
          <cell r="D992" t="str">
            <v>KKM/IKN/H/13/2991</v>
          </cell>
          <cell r="E992" t="str">
            <v>12-647</v>
          </cell>
          <cell r="F992" t="str">
            <v>Physiologic Monitoring Systems, Acute Care</v>
          </cell>
          <cell r="G992" t="str">
            <v>NM</v>
          </cell>
          <cell r="H992" t="str">
            <v>NUCLEAR MED (DIAGNOSTIC)</v>
          </cell>
          <cell r="I992" t="str">
            <v>03NM155</v>
          </cell>
          <cell r="J992" t="str">
            <v>STRESS LAB</v>
          </cell>
          <cell r="K992" t="str">
            <v>BMED</v>
          </cell>
          <cell r="L992" t="str">
            <v>Normal</v>
          </cell>
          <cell r="M992" t="str">
            <v>USA</v>
          </cell>
          <cell r="N992" t="str">
            <v>Tram</v>
          </cell>
          <cell r="O992" t="str">
            <v>Transport Pro</v>
          </cell>
          <cell r="P992" t="str">
            <v>SCS12367503GA</v>
          </cell>
          <cell r="Q992" t="str">
            <v>Not Applicable</v>
          </cell>
          <cell r="R992" t="str">
            <v>GE Medical Systems</v>
          </cell>
          <cell r="S992" t="str">
            <v>GE Healthcare Technologies</v>
          </cell>
          <cell r="T992" t="str">
            <v>Functioning</v>
          </cell>
          <cell r="U992" t="str">
            <v>Asset</v>
          </cell>
          <cell r="V992">
            <v>54100</v>
          </cell>
          <cell r="W992" t="str">
            <v>KEW</v>
          </cell>
          <cell r="X992" t="str">
            <v>01/09/2010</v>
          </cell>
          <cell r="Y992" t="str">
            <v>KEW</v>
          </cell>
          <cell r="Z992" t="str">
            <v>16/08/2013</v>
          </cell>
          <cell r="AA992" t="str">
            <v>15/08/2015</v>
          </cell>
          <cell r="AB992" t="str">
            <v>No</v>
          </cell>
          <cell r="AC992" t="str">
            <v>31/08/2013</v>
          </cell>
          <cell r="AD992" t="str">
            <v>Good</v>
          </cell>
          <cell r="AE992" t="str">
            <v>V1 - Existing / No Claim</v>
          </cell>
          <cell r="AF992">
            <v>42235</v>
          </cell>
          <cell r="AG992">
            <v>9.17</v>
          </cell>
          <cell r="AH992" t="str">
            <v>PPM</v>
          </cell>
          <cell r="AI992" t="str">
            <v>Strands</v>
          </cell>
          <cell r="AJ992" t="str">
            <v>Strands PW</v>
          </cell>
        </row>
        <row r="993">
          <cell r="A993" t="str">
            <v>IKN400565</v>
          </cell>
          <cell r="B993">
            <v>565</v>
          </cell>
          <cell r="C993" t="str">
            <v>Institut Kanser Negara</v>
          </cell>
          <cell r="D993" t="str">
            <v>KKM/IKN/H/13/2990</v>
          </cell>
          <cell r="E993" t="str">
            <v>12-649</v>
          </cell>
          <cell r="F993" t="str">
            <v>Physiologic Monitoring Systems, Stress Exercise</v>
          </cell>
          <cell r="G993" t="str">
            <v>NM</v>
          </cell>
          <cell r="H993" t="str">
            <v>NUCLEAR MED (DIAGNOSTIC)</v>
          </cell>
          <cell r="I993" t="str">
            <v>03NM155</v>
          </cell>
          <cell r="J993" t="str">
            <v>STRESS LAB</v>
          </cell>
          <cell r="K993" t="str">
            <v>BMED</v>
          </cell>
          <cell r="L993" t="str">
            <v>Critical</v>
          </cell>
          <cell r="M993" t="str">
            <v>Mexico</v>
          </cell>
          <cell r="N993" t="str">
            <v>GE</v>
          </cell>
          <cell r="O993" t="str">
            <v>Case Stress Test System</v>
          </cell>
          <cell r="P993" t="str">
            <v>SHS 12331143 SA</v>
          </cell>
          <cell r="Q993" t="str">
            <v>Not Applicable</v>
          </cell>
          <cell r="R993" t="str">
            <v>GE Healthcare Systems</v>
          </cell>
          <cell r="S993" t="str">
            <v>GE Healthcare Technologies</v>
          </cell>
          <cell r="T993" t="str">
            <v>Functioning</v>
          </cell>
          <cell r="U993" t="str">
            <v>Asset</v>
          </cell>
          <cell r="V993">
            <v>138350</v>
          </cell>
          <cell r="W993" t="str">
            <v>KEW</v>
          </cell>
          <cell r="X993" t="str">
            <v>01/09/2010</v>
          </cell>
          <cell r="Y993" t="str">
            <v>KEW</v>
          </cell>
          <cell r="Z993" t="str">
            <v>16/08/2013</v>
          </cell>
          <cell r="AA993" t="str">
            <v>15/08/2015</v>
          </cell>
          <cell r="AB993" t="str">
            <v>No</v>
          </cell>
          <cell r="AC993" t="str">
            <v>31/08/2013</v>
          </cell>
          <cell r="AD993" t="str">
            <v>Good</v>
          </cell>
          <cell r="AE993" t="str">
            <v>V1 - Existing / No Claim</v>
          </cell>
          <cell r="AF993">
            <v>42796</v>
          </cell>
          <cell r="AG993">
            <v>9.17</v>
          </cell>
          <cell r="AH993" t="str">
            <v>PPM</v>
          </cell>
          <cell r="AI993" t="str">
            <v>Strands</v>
          </cell>
          <cell r="AJ993" t="str">
            <v>Strands Package</v>
          </cell>
          <cell r="AK993" t="str">
            <v>Package Code MN0013</v>
          </cell>
        </row>
        <row r="994">
          <cell r="A994" t="str">
            <v>IKN400567</v>
          </cell>
          <cell r="B994">
            <v>567</v>
          </cell>
          <cell r="C994" t="str">
            <v>Institut Kanser Negara</v>
          </cell>
          <cell r="D994" t="str">
            <v>KKM/IKN/H/13/3796</v>
          </cell>
          <cell r="E994" t="str">
            <v>15-944</v>
          </cell>
          <cell r="F994" t="str">
            <v>Cameras, Gamma</v>
          </cell>
          <cell r="G994" t="str">
            <v>NM</v>
          </cell>
          <cell r="H994" t="str">
            <v>NUCLEAR MED (DIAGNOSTIC)</v>
          </cell>
          <cell r="I994" t="str">
            <v>03NM164</v>
          </cell>
          <cell r="J994" t="str">
            <v>GAMMA CAMERA 2 (-VE)</v>
          </cell>
          <cell r="K994" t="str">
            <v>BMED</v>
          </cell>
          <cell r="L994" t="str">
            <v>Normal</v>
          </cell>
          <cell r="M994" t="str">
            <v>The Netherlands</v>
          </cell>
          <cell r="N994" t="str">
            <v>Brightview</v>
          </cell>
          <cell r="O994" t="str">
            <v>Brightview</v>
          </cell>
          <cell r="P994" t="str">
            <v>11340004</v>
          </cell>
          <cell r="Q994" t="str">
            <v>Not Applicable</v>
          </cell>
          <cell r="R994" t="str">
            <v>Philips Medical Systems</v>
          </cell>
          <cell r="S994" t="str">
            <v>Advance Altimas Sdn Bhd</v>
          </cell>
          <cell r="T994" t="str">
            <v>Functioning</v>
          </cell>
          <cell r="U994" t="str">
            <v>Asset</v>
          </cell>
          <cell r="V994">
            <v>3191750</v>
          </cell>
          <cell r="W994" t="str">
            <v>KEW</v>
          </cell>
          <cell r="X994" t="str">
            <v>01/09/2010</v>
          </cell>
          <cell r="Y994" t="str">
            <v>KEW</v>
          </cell>
          <cell r="Z994" t="str">
            <v>16/08/2013</v>
          </cell>
          <cell r="AA994" t="str">
            <v>15/08/2015</v>
          </cell>
          <cell r="AB994" t="str">
            <v>No</v>
          </cell>
          <cell r="AC994" t="str">
            <v>31/08/2013</v>
          </cell>
          <cell r="AD994" t="str">
            <v>Good</v>
          </cell>
          <cell r="AE994" t="str">
            <v>V1 - Existing / No Claim</v>
          </cell>
          <cell r="AF994">
            <v>42235</v>
          </cell>
          <cell r="AG994">
            <v>9.17</v>
          </cell>
          <cell r="AH994" t="str">
            <v>PPM</v>
          </cell>
          <cell r="AI994" t="str">
            <v>Strands</v>
          </cell>
          <cell r="AJ994" t="str">
            <v>Strands Package</v>
          </cell>
          <cell r="AK994" t="str">
            <v>Package Code XK0001B</v>
          </cell>
        </row>
        <row r="995">
          <cell r="A995" t="str">
            <v>IKN400568</v>
          </cell>
          <cell r="B995">
            <v>568</v>
          </cell>
          <cell r="C995" t="str">
            <v>Institut Kanser Negara</v>
          </cell>
          <cell r="D995" t="str">
            <v>KKM/IKN/H/13/2962</v>
          </cell>
          <cell r="E995" t="str">
            <v>12-282</v>
          </cell>
          <cell r="F995" t="str">
            <v>Lights, Surgical</v>
          </cell>
          <cell r="G995" t="str">
            <v>NM</v>
          </cell>
          <cell r="H995" t="str">
            <v>NUCLEAR MED (DIAGNOSTIC)</v>
          </cell>
          <cell r="I995" t="str">
            <v>03NM182</v>
          </cell>
          <cell r="J995" t="str">
            <v>C/E 5 (VE)</v>
          </cell>
          <cell r="K995" t="str">
            <v>BMED</v>
          </cell>
          <cell r="L995" t="str">
            <v>Normal</v>
          </cell>
          <cell r="M995" t="str">
            <v>USA</v>
          </cell>
          <cell r="N995" t="str">
            <v>Welch Allyn</v>
          </cell>
          <cell r="O995" t="str">
            <v>Welch Allyn GS600</v>
          </cell>
          <cell r="P995" t="str">
            <v>GS-600-14</v>
          </cell>
          <cell r="Q995" t="str">
            <v>Not Applicable</v>
          </cell>
          <cell r="R995" t="str">
            <v>Welch Allyn Inc</v>
          </cell>
          <cell r="S995" t="str">
            <v>Welch Allyn Malaysia Sdn Bhd</v>
          </cell>
          <cell r="T995" t="str">
            <v>Functioning</v>
          </cell>
          <cell r="U995" t="str">
            <v>Asset</v>
          </cell>
          <cell r="V995">
            <v>5050</v>
          </cell>
          <cell r="W995" t="str">
            <v>KEW</v>
          </cell>
          <cell r="X995" t="str">
            <v>01/09/2010</v>
          </cell>
          <cell r="Y995" t="str">
            <v>KEW</v>
          </cell>
          <cell r="Z995" t="str">
            <v>16/08/2013</v>
          </cell>
          <cell r="AA995" t="str">
            <v>15/08/2015</v>
          </cell>
          <cell r="AB995" t="str">
            <v>No</v>
          </cell>
          <cell r="AC995" t="str">
            <v>31/08/2013</v>
          </cell>
          <cell r="AD995" t="str">
            <v>Good</v>
          </cell>
          <cell r="AE995" t="str">
            <v>V1 - Existing / No Claim</v>
          </cell>
          <cell r="AF995">
            <v>42235</v>
          </cell>
          <cell r="AG995">
            <v>9.17</v>
          </cell>
          <cell r="AH995" t="str">
            <v>PPM</v>
          </cell>
          <cell r="AI995" t="str">
            <v>Strands</v>
          </cell>
          <cell r="AJ995" t="str">
            <v>Strands PW</v>
          </cell>
        </row>
        <row r="996">
          <cell r="A996" t="str">
            <v>IKN400570</v>
          </cell>
          <cell r="B996">
            <v>570</v>
          </cell>
          <cell r="C996" t="str">
            <v>Institut Kanser Negara</v>
          </cell>
          <cell r="D996" t="str">
            <v>KKM/IKN/H/13/2963</v>
          </cell>
          <cell r="E996" t="str">
            <v>12-282</v>
          </cell>
          <cell r="F996" t="str">
            <v>Lights, Surgical</v>
          </cell>
          <cell r="G996" t="str">
            <v>NM</v>
          </cell>
          <cell r="H996" t="str">
            <v>NUCLEAR MED (DIAGNOSTIC)</v>
          </cell>
          <cell r="I996" t="str">
            <v>03NM183</v>
          </cell>
          <cell r="J996" t="str">
            <v>C/E 4 (VE)</v>
          </cell>
          <cell r="K996" t="str">
            <v>BMED</v>
          </cell>
          <cell r="L996" t="str">
            <v>Normal</v>
          </cell>
          <cell r="M996" t="str">
            <v>USA</v>
          </cell>
          <cell r="N996" t="str">
            <v>Welch Allyn</v>
          </cell>
          <cell r="O996" t="str">
            <v>Welch Allyn GS600</v>
          </cell>
          <cell r="P996" t="str">
            <v>GS-600-15</v>
          </cell>
          <cell r="Q996" t="str">
            <v>Not Applicable</v>
          </cell>
          <cell r="R996" t="str">
            <v>Welch Allyn Inc</v>
          </cell>
          <cell r="S996" t="str">
            <v>Welch Allyn Malaysia Sdn Bhd</v>
          </cell>
          <cell r="T996" t="str">
            <v>Functioning</v>
          </cell>
          <cell r="U996" t="str">
            <v>Asset</v>
          </cell>
          <cell r="V996">
            <v>5050</v>
          </cell>
          <cell r="W996" t="str">
            <v>KEW</v>
          </cell>
          <cell r="X996" t="str">
            <v>01/09/2010</v>
          </cell>
          <cell r="Y996" t="str">
            <v>KEW</v>
          </cell>
          <cell r="Z996" t="str">
            <v>16/08/2013</v>
          </cell>
          <cell r="AA996" t="str">
            <v>15/08/2015</v>
          </cell>
          <cell r="AB996" t="str">
            <v>No</v>
          </cell>
          <cell r="AC996" t="str">
            <v>31/08/2013</v>
          </cell>
          <cell r="AD996" t="str">
            <v>Good</v>
          </cell>
          <cell r="AE996" t="str">
            <v>V1 - Existing / No Claim</v>
          </cell>
          <cell r="AF996">
            <v>42235</v>
          </cell>
          <cell r="AG996">
            <v>9.17</v>
          </cell>
          <cell r="AH996" t="str">
            <v>PPM</v>
          </cell>
          <cell r="AI996" t="str">
            <v>Strands</v>
          </cell>
          <cell r="AJ996" t="str">
            <v>Strands PW</v>
          </cell>
        </row>
        <row r="997">
          <cell r="A997" t="str">
            <v>IKN400571</v>
          </cell>
          <cell r="B997">
            <v>571</v>
          </cell>
          <cell r="C997" t="str">
            <v>Institut Kanser Negara</v>
          </cell>
          <cell r="D997" t="str">
            <v>KKM/IKN/H/13/3013</v>
          </cell>
          <cell r="E997" t="str">
            <v>16-173</v>
          </cell>
          <cell r="F997" t="str">
            <v>Sphygmomanometers, Electronic, Automatic</v>
          </cell>
          <cell r="G997" t="str">
            <v>NM</v>
          </cell>
          <cell r="H997" t="str">
            <v>NUCLEAR MED (DIAGNOSTIC)</v>
          </cell>
          <cell r="I997" t="str">
            <v>03NM183</v>
          </cell>
          <cell r="J997" t="str">
            <v>C/E 4 (VE)</v>
          </cell>
          <cell r="K997" t="str">
            <v>BMED</v>
          </cell>
          <cell r="L997" t="str">
            <v>Normal</v>
          </cell>
          <cell r="M997" t="str">
            <v>USA</v>
          </cell>
          <cell r="N997" t="str">
            <v>Connex</v>
          </cell>
          <cell r="O997" t="str">
            <v>Connex ProBP 3400</v>
          </cell>
          <cell r="P997" t="str">
            <v>100001920213</v>
          </cell>
          <cell r="Q997" t="str">
            <v>Not Applicable</v>
          </cell>
          <cell r="R997" t="str">
            <v>Welch Allyn Inc</v>
          </cell>
          <cell r="S997" t="str">
            <v>Welch Allyn Malaysia Sdn Bhd</v>
          </cell>
          <cell r="T997" t="str">
            <v>Functioning</v>
          </cell>
          <cell r="U997" t="str">
            <v>Asset</v>
          </cell>
          <cell r="V997">
            <v>336</v>
          </cell>
          <cell r="W997" t="str">
            <v>KEW</v>
          </cell>
          <cell r="X997" t="str">
            <v>01/09/2010</v>
          </cell>
          <cell r="Y997" t="str">
            <v>KEW</v>
          </cell>
          <cell r="Z997" t="str">
            <v>16/08/2013</v>
          </cell>
          <cell r="AA997" t="str">
            <v>15/08/2015</v>
          </cell>
          <cell r="AB997" t="str">
            <v>No</v>
          </cell>
          <cell r="AC997" t="str">
            <v>31/08/2013</v>
          </cell>
          <cell r="AD997" t="str">
            <v>Good</v>
          </cell>
          <cell r="AE997" t="str">
            <v>V1 - Existing / No Claim</v>
          </cell>
          <cell r="AF997">
            <v>42235</v>
          </cell>
          <cell r="AG997">
            <v>9.17</v>
          </cell>
          <cell r="AH997" t="str">
            <v>PPM</v>
          </cell>
          <cell r="AI997" t="str">
            <v>Strands</v>
          </cell>
          <cell r="AJ997" t="str">
            <v>Strands PW</v>
          </cell>
        </row>
        <row r="998">
          <cell r="A998" t="str">
            <v>IKN400573</v>
          </cell>
          <cell r="B998">
            <v>573</v>
          </cell>
          <cell r="C998" t="str">
            <v>Institut Kanser Negara</v>
          </cell>
          <cell r="D998" t="str">
            <v>KKM/IKN/H/13/3014</v>
          </cell>
          <cell r="E998" t="str">
            <v>16-173</v>
          </cell>
          <cell r="F998" t="str">
            <v>Sphygmomanometers, Electronic, Automatic</v>
          </cell>
          <cell r="G998" t="str">
            <v>NM</v>
          </cell>
          <cell r="H998" t="str">
            <v>NUCLEAR MED (DIAGNOSTIC)</v>
          </cell>
          <cell r="I998" t="str">
            <v>03NM184</v>
          </cell>
          <cell r="J998" t="str">
            <v>C/E 3 (VE)</v>
          </cell>
          <cell r="K998" t="str">
            <v>BMED</v>
          </cell>
          <cell r="L998" t="str">
            <v>Normal</v>
          </cell>
          <cell r="M998" t="str">
            <v>USA</v>
          </cell>
          <cell r="N998" t="str">
            <v>Connex</v>
          </cell>
          <cell r="O998" t="str">
            <v>Connex ProBP 3400</v>
          </cell>
          <cell r="P998" t="str">
            <v>100003410213</v>
          </cell>
          <cell r="Q998" t="str">
            <v>Not Applicable</v>
          </cell>
          <cell r="R998" t="str">
            <v>Welch Allyn Inc</v>
          </cell>
          <cell r="S998" t="str">
            <v>Welch Allyn Malaysia Sdn Bhd</v>
          </cell>
          <cell r="T998" t="str">
            <v>Functioning</v>
          </cell>
          <cell r="U998" t="str">
            <v>Asset</v>
          </cell>
          <cell r="V998">
            <v>336</v>
          </cell>
          <cell r="W998" t="str">
            <v>KEW</v>
          </cell>
          <cell r="X998" t="str">
            <v>01/09/2010</v>
          </cell>
          <cell r="Y998" t="str">
            <v>KEW</v>
          </cell>
          <cell r="Z998" t="str">
            <v>16/08/2013</v>
          </cell>
          <cell r="AA998" t="str">
            <v>15/08/2015</v>
          </cell>
          <cell r="AB998" t="str">
            <v>No</v>
          </cell>
          <cell r="AC998" t="str">
            <v>31/08/2013</v>
          </cell>
          <cell r="AD998" t="str">
            <v>Good</v>
          </cell>
          <cell r="AE998" t="str">
            <v>V1 - Existing / No Claim</v>
          </cell>
          <cell r="AF998">
            <v>42235</v>
          </cell>
          <cell r="AG998">
            <v>9.17</v>
          </cell>
          <cell r="AH998" t="str">
            <v>PPM</v>
          </cell>
          <cell r="AI998" t="str">
            <v>Strands</v>
          </cell>
          <cell r="AJ998" t="str">
            <v>Strands PW</v>
          </cell>
        </row>
        <row r="999">
          <cell r="A999" t="str">
            <v>IKN400575</v>
          </cell>
          <cell r="B999">
            <v>575</v>
          </cell>
          <cell r="C999" t="str">
            <v>Institut Kanser Negara</v>
          </cell>
          <cell r="D999" t="str">
            <v>KKM/IKN/H/13/3856</v>
          </cell>
          <cell r="E999" t="str">
            <v>16-173</v>
          </cell>
          <cell r="F999" t="str">
            <v>Sphygmomanometers, Electronic, Automatic</v>
          </cell>
          <cell r="G999" t="str">
            <v>NM</v>
          </cell>
          <cell r="H999" t="str">
            <v>NUCLEAR MED (DIAGNOSTIC)</v>
          </cell>
          <cell r="I999" t="str">
            <v>03NM185</v>
          </cell>
          <cell r="J999" t="str">
            <v>C/E 2 (VE)</v>
          </cell>
          <cell r="K999" t="str">
            <v>BMED</v>
          </cell>
          <cell r="L999" t="str">
            <v>Normal</v>
          </cell>
          <cell r="M999" t="str">
            <v>USA</v>
          </cell>
          <cell r="N999" t="str">
            <v>Connex</v>
          </cell>
          <cell r="O999" t="str">
            <v>Connex ProBP 3400</v>
          </cell>
          <cell r="P999" t="str">
            <v>100043722314</v>
          </cell>
          <cell r="Q999" t="str">
            <v>Not Applicable</v>
          </cell>
          <cell r="R999" t="str">
            <v>Welch Allyn Inc</v>
          </cell>
          <cell r="S999" t="str">
            <v>Welch Allyn Malaysia Sdn Bhd</v>
          </cell>
          <cell r="T999" t="str">
            <v>Functioning</v>
          </cell>
          <cell r="U999" t="str">
            <v>Asset</v>
          </cell>
          <cell r="V999">
            <v>336</v>
          </cell>
          <cell r="W999" t="str">
            <v>KEW</v>
          </cell>
          <cell r="X999" t="str">
            <v>01/09/2010</v>
          </cell>
          <cell r="Y999" t="str">
            <v>KEW</v>
          </cell>
          <cell r="Z999" t="str">
            <v>16/08/2013</v>
          </cell>
          <cell r="AA999" t="str">
            <v>15/08/2015</v>
          </cell>
          <cell r="AB999" t="str">
            <v>No</v>
          </cell>
          <cell r="AC999" t="str">
            <v>31/08/2013</v>
          </cell>
          <cell r="AD999" t="str">
            <v>Good</v>
          </cell>
          <cell r="AE999" t="str">
            <v>V1 - Existing / No Claim</v>
          </cell>
          <cell r="AF999">
            <v>42235</v>
          </cell>
          <cell r="AG999">
            <v>9.17</v>
          </cell>
          <cell r="AH999" t="str">
            <v>PPM</v>
          </cell>
          <cell r="AI999" t="str">
            <v>Strands</v>
          </cell>
          <cell r="AJ999" t="str">
            <v>Strands PW</v>
          </cell>
        </row>
        <row r="1000">
          <cell r="A1000" t="str">
            <v>IKN400577</v>
          </cell>
          <cell r="B1000">
            <v>577</v>
          </cell>
          <cell r="C1000" t="str">
            <v>Institut Kanser Negara</v>
          </cell>
          <cell r="D1000" t="str">
            <v>KKM/IKN/H/13/3015</v>
          </cell>
          <cell r="E1000" t="str">
            <v>16-173</v>
          </cell>
          <cell r="F1000" t="str">
            <v>Sphygmomanometers, Electronic, Automatic</v>
          </cell>
          <cell r="G1000" t="str">
            <v>NM</v>
          </cell>
          <cell r="H1000" t="str">
            <v>NUCLEAR MED (DIAGNOSTIC)</v>
          </cell>
          <cell r="I1000" t="str">
            <v>03NM186</v>
          </cell>
          <cell r="J1000" t="str">
            <v>C/E 1 (VE)</v>
          </cell>
          <cell r="K1000" t="str">
            <v>BMED</v>
          </cell>
          <cell r="L1000" t="str">
            <v>Normal</v>
          </cell>
          <cell r="M1000" t="str">
            <v>USA</v>
          </cell>
          <cell r="N1000" t="str">
            <v>Connex</v>
          </cell>
          <cell r="O1000" t="str">
            <v>Connex ProBP 3400</v>
          </cell>
          <cell r="P1000" t="str">
            <v>100001880413</v>
          </cell>
          <cell r="Q1000" t="str">
            <v>Not Applicable</v>
          </cell>
          <cell r="R1000" t="str">
            <v>Welch Allyn Inc</v>
          </cell>
          <cell r="S1000" t="str">
            <v>Welch Allyn Malaysia Sdn Bhd</v>
          </cell>
          <cell r="T1000" t="str">
            <v>Functioning</v>
          </cell>
          <cell r="U1000" t="str">
            <v>Asset</v>
          </cell>
          <cell r="V1000">
            <v>336</v>
          </cell>
          <cell r="W1000" t="str">
            <v>KEW</v>
          </cell>
          <cell r="X1000" t="str">
            <v>01/09/2010</v>
          </cell>
          <cell r="Y1000" t="str">
            <v>KEW</v>
          </cell>
          <cell r="Z1000" t="str">
            <v>16/08/2013</v>
          </cell>
          <cell r="AA1000" t="str">
            <v>15/08/2015</v>
          </cell>
          <cell r="AB1000" t="str">
            <v>No</v>
          </cell>
          <cell r="AC1000" t="str">
            <v>31/08/2013</v>
          </cell>
          <cell r="AD1000" t="str">
            <v>Good</v>
          </cell>
          <cell r="AE1000" t="str">
            <v>V1 - Existing / No Claim</v>
          </cell>
          <cell r="AF1000">
            <v>42235</v>
          </cell>
          <cell r="AG1000">
            <v>9.17</v>
          </cell>
          <cell r="AH1000" t="str">
            <v>PPM</v>
          </cell>
          <cell r="AI1000" t="str">
            <v>Strands</v>
          </cell>
          <cell r="AJ1000" t="str">
            <v>Strands PW</v>
          </cell>
        </row>
        <row r="1001">
          <cell r="A1001" t="str">
            <v>IKN400579</v>
          </cell>
          <cell r="B1001">
            <v>579</v>
          </cell>
          <cell r="C1001" t="str">
            <v>Institut Kanser Negara</v>
          </cell>
          <cell r="D1001" t="str">
            <v>KKM/IKN/H/13/2768</v>
          </cell>
          <cell r="E1001" t="str">
            <v>12-660</v>
          </cell>
          <cell r="F1001" t="str">
            <v>Radiation Monitors</v>
          </cell>
          <cell r="G1001" t="str">
            <v>NW</v>
          </cell>
          <cell r="H1001" t="str">
            <v>NUCLEAR WASTE HOLDING</v>
          </cell>
          <cell r="I1001" t="str">
            <v>01NW105</v>
          </cell>
          <cell r="J1001" t="str">
            <v>SHORT LIFE WASTE STORAGE</v>
          </cell>
          <cell r="K1001" t="str">
            <v>BMED</v>
          </cell>
          <cell r="L1001" t="str">
            <v>Normal</v>
          </cell>
          <cell r="M1001" t="str">
            <v>Germany</v>
          </cell>
          <cell r="N1001" t="str">
            <v>CoMo</v>
          </cell>
          <cell r="O1001" t="str">
            <v>CoMo 170</v>
          </cell>
          <cell r="P1001" t="str">
            <v>5062DL</v>
          </cell>
          <cell r="Q1001" t="str">
            <v>Not Applicable</v>
          </cell>
          <cell r="R1001" t="str">
            <v>MED Nuklear-Medizintechnik Dresden GmbH</v>
          </cell>
          <cell r="S1001" t="str">
            <v>Bell Comm Technologies Sdn Bhd</v>
          </cell>
          <cell r="T1001" t="str">
            <v>Functioning</v>
          </cell>
          <cell r="U1001" t="str">
            <v>Asset</v>
          </cell>
          <cell r="V1001">
            <v>23270</v>
          </cell>
          <cell r="W1001" t="str">
            <v>KEW</v>
          </cell>
          <cell r="X1001" t="str">
            <v>01/09/2010</v>
          </cell>
          <cell r="Y1001" t="str">
            <v>KEW</v>
          </cell>
          <cell r="Z1001" t="str">
            <v>16/08/2013</v>
          </cell>
          <cell r="AA1001" t="str">
            <v>15/08/2015</v>
          </cell>
          <cell r="AB1001" t="str">
            <v>No</v>
          </cell>
          <cell r="AC1001" t="str">
            <v>31/08/2013</v>
          </cell>
          <cell r="AD1001" t="str">
            <v>Good</v>
          </cell>
          <cell r="AE1001" t="str">
            <v>V1 - Existing / No Claim</v>
          </cell>
          <cell r="AF1001">
            <v>43496</v>
          </cell>
          <cell r="AG1001">
            <v>9.17</v>
          </cell>
          <cell r="AH1001" t="str">
            <v>PPM</v>
          </cell>
          <cell r="AI1001" t="str">
            <v>Strands</v>
          </cell>
          <cell r="AJ1001" t="str">
            <v>Strands PW</v>
          </cell>
        </row>
        <row r="1002">
          <cell r="A1002" t="str">
            <v>IKN400580</v>
          </cell>
          <cell r="B1002">
            <v>580</v>
          </cell>
          <cell r="C1002" t="str">
            <v>Institut Kanser Negara</v>
          </cell>
          <cell r="D1002" t="str">
            <v>KKM/IKN/H/13/2966</v>
          </cell>
          <cell r="E1002" t="str">
            <v>12-282</v>
          </cell>
          <cell r="F1002" t="str">
            <v>Lights, Surgical</v>
          </cell>
          <cell r="G1002" t="str">
            <v>NM</v>
          </cell>
          <cell r="H1002" t="str">
            <v>NUCLEAR MED (DIAGNOSTIC)</v>
          </cell>
          <cell r="I1002" t="str">
            <v>03NM186</v>
          </cell>
          <cell r="J1002" t="str">
            <v>C/E 1 (VE)</v>
          </cell>
          <cell r="K1002" t="str">
            <v>BMED</v>
          </cell>
          <cell r="L1002" t="str">
            <v>Normal</v>
          </cell>
          <cell r="M1002" t="str">
            <v>USA</v>
          </cell>
          <cell r="N1002" t="str">
            <v>Welch Allyn</v>
          </cell>
          <cell r="O1002" t="str">
            <v>Welch Allyn GS600</v>
          </cell>
          <cell r="P1002" t="str">
            <v>GS-600-18</v>
          </cell>
          <cell r="Q1002" t="str">
            <v>Not Applicable</v>
          </cell>
          <cell r="R1002" t="str">
            <v>Welch Allyn Inc</v>
          </cell>
          <cell r="S1002" t="str">
            <v>Welch Allyn Malaysia Sdn Bhd</v>
          </cell>
          <cell r="T1002" t="str">
            <v>Functioning</v>
          </cell>
          <cell r="U1002" t="str">
            <v>Asset</v>
          </cell>
          <cell r="V1002">
            <v>5050</v>
          </cell>
          <cell r="W1002" t="str">
            <v>KEW</v>
          </cell>
          <cell r="X1002" t="str">
            <v>01/09/2010</v>
          </cell>
          <cell r="Y1002" t="str">
            <v>KEW</v>
          </cell>
          <cell r="Z1002" t="str">
            <v>16/08/2013</v>
          </cell>
          <cell r="AA1002" t="str">
            <v>15/08/2015</v>
          </cell>
          <cell r="AB1002" t="str">
            <v>No</v>
          </cell>
          <cell r="AC1002" t="str">
            <v>31/08/2013</v>
          </cell>
          <cell r="AD1002" t="str">
            <v>Good</v>
          </cell>
          <cell r="AE1002" t="str">
            <v>V1 - Existing / No Claim</v>
          </cell>
          <cell r="AF1002">
            <v>42235</v>
          </cell>
          <cell r="AG1002">
            <v>9.17</v>
          </cell>
          <cell r="AH1002" t="str">
            <v>PPM</v>
          </cell>
          <cell r="AI1002" t="str">
            <v>Strands</v>
          </cell>
          <cell r="AJ1002" t="str">
            <v>Strands PW</v>
          </cell>
        </row>
        <row r="1003">
          <cell r="A1003" t="str">
            <v>IKN400581</v>
          </cell>
          <cell r="B1003">
            <v>581</v>
          </cell>
          <cell r="C1003" t="str">
            <v>Institut Kanser Negara</v>
          </cell>
          <cell r="D1003" t="str">
            <v>KKM/IKN/H/13/2965</v>
          </cell>
          <cell r="E1003" t="str">
            <v>12-282</v>
          </cell>
          <cell r="F1003" t="str">
            <v>Lights, Surgical</v>
          </cell>
          <cell r="G1003" t="str">
            <v>NM</v>
          </cell>
          <cell r="H1003" t="str">
            <v>NUCLEAR MED (DIAGNOSTIC)</v>
          </cell>
          <cell r="I1003" t="str">
            <v>03NM185</v>
          </cell>
          <cell r="J1003" t="str">
            <v>C/E 2 (VE)</v>
          </cell>
          <cell r="K1003" t="str">
            <v>BMED</v>
          </cell>
          <cell r="L1003" t="str">
            <v>Normal</v>
          </cell>
          <cell r="M1003" t="str">
            <v>USA</v>
          </cell>
          <cell r="N1003" t="str">
            <v>Welch Allyn</v>
          </cell>
          <cell r="O1003" t="str">
            <v>Welch Allyn GS600</v>
          </cell>
          <cell r="P1003" t="str">
            <v>GS-600-17</v>
          </cell>
          <cell r="Q1003" t="str">
            <v>Not Applicable</v>
          </cell>
          <cell r="R1003" t="str">
            <v>Welch Allyn Inc</v>
          </cell>
          <cell r="S1003" t="str">
            <v>Welch Allyn Malaysia Sdn Bhd</v>
          </cell>
          <cell r="T1003" t="str">
            <v>Functioning</v>
          </cell>
          <cell r="U1003" t="str">
            <v>Asset</v>
          </cell>
          <cell r="V1003">
            <v>5050</v>
          </cell>
          <cell r="W1003" t="str">
            <v>KEW</v>
          </cell>
          <cell r="X1003" t="str">
            <v>01/09/2010</v>
          </cell>
          <cell r="Y1003" t="str">
            <v>KEW</v>
          </cell>
          <cell r="Z1003" t="str">
            <v>16/08/2013</v>
          </cell>
          <cell r="AA1003" t="str">
            <v>15/08/2015</v>
          </cell>
          <cell r="AB1003" t="str">
            <v>No</v>
          </cell>
          <cell r="AC1003" t="str">
            <v>31/08/2013</v>
          </cell>
          <cell r="AD1003" t="str">
            <v>Good</v>
          </cell>
          <cell r="AE1003" t="str">
            <v>V1 - Existing / No Claim</v>
          </cell>
          <cell r="AF1003">
            <v>42235</v>
          </cell>
          <cell r="AG1003">
            <v>9.17</v>
          </cell>
          <cell r="AH1003" t="str">
            <v>PPM</v>
          </cell>
          <cell r="AI1003" t="str">
            <v>Strands</v>
          </cell>
          <cell r="AJ1003" t="str">
            <v>Strands PW</v>
          </cell>
        </row>
        <row r="1004">
          <cell r="A1004" t="str">
            <v>IKN400582</v>
          </cell>
          <cell r="B1004">
            <v>582</v>
          </cell>
          <cell r="C1004" t="str">
            <v>Institut Kanser Negara</v>
          </cell>
          <cell r="D1004" t="str">
            <v>KKM/IKN/H/13/2964</v>
          </cell>
          <cell r="E1004" t="str">
            <v>12-282</v>
          </cell>
          <cell r="F1004" t="str">
            <v>Lights, Surgical</v>
          </cell>
          <cell r="G1004" t="str">
            <v>NM</v>
          </cell>
          <cell r="H1004" t="str">
            <v>NUCLEAR MED (DIAGNOSTIC)</v>
          </cell>
          <cell r="I1004" t="str">
            <v>03NM184</v>
          </cell>
          <cell r="J1004" t="str">
            <v>C/E 3 (VE)</v>
          </cell>
          <cell r="K1004" t="str">
            <v>BMED</v>
          </cell>
          <cell r="L1004" t="str">
            <v>Normal</v>
          </cell>
          <cell r="M1004" t="str">
            <v>USA</v>
          </cell>
          <cell r="N1004" t="str">
            <v>Welch Allyn</v>
          </cell>
          <cell r="O1004" t="str">
            <v>Welch Allyn GS600</v>
          </cell>
          <cell r="P1004" t="str">
            <v>GS-600-16</v>
          </cell>
          <cell r="Q1004" t="str">
            <v>Not Applicable</v>
          </cell>
          <cell r="R1004" t="str">
            <v>Welch Allyn Inc</v>
          </cell>
          <cell r="S1004" t="str">
            <v>Welch Allyn Malaysia Sdn Bhd</v>
          </cell>
          <cell r="T1004" t="str">
            <v>Functioning</v>
          </cell>
          <cell r="U1004" t="str">
            <v>Asset</v>
          </cell>
          <cell r="V1004">
            <v>5050</v>
          </cell>
          <cell r="W1004" t="str">
            <v>KEW</v>
          </cell>
          <cell r="X1004" t="str">
            <v>01/09/2010</v>
          </cell>
          <cell r="Y1004" t="str">
            <v>KEW</v>
          </cell>
          <cell r="Z1004" t="str">
            <v>16/08/2013</v>
          </cell>
          <cell r="AA1004" t="str">
            <v>15/08/2015</v>
          </cell>
          <cell r="AB1004" t="str">
            <v>No</v>
          </cell>
          <cell r="AC1004" t="str">
            <v>31/08/2013</v>
          </cell>
          <cell r="AD1004" t="str">
            <v>Good</v>
          </cell>
          <cell r="AE1004" t="str">
            <v>V1 - Existing / No Claim</v>
          </cell>
          <cell r="AF1004">
            <v>42235</v>
          </cell>
          <cell r="AG1004">
            <v>9.17</v>
          </cell>
          <cell r="AH1004" t="str">
            <v>PPM</v>
          </cell>
          <cell r="AI1004" t="str">
            <v>Strands</v>
          </cell>
          <cell r="AJ1004" t="str">
            <v>Strands PW</v>
          </cell>
        </row>
        <row r="1005">
          <cell r="A1005" t="str">
            <v>IKN400583</v>
          </cell>
          <cell r="B1005">
            <v>583</v>
          </cell>
          <cell r="C1005" t="str">
            <v>Institut Kanser Negara</v>
          </cell>
          <cell r="D1005" t="str">
            <v>KKM/IKN/H/13/2959</v>
          </cell>
          <cell r="E1005" t="str">
            <v>12-282</v>
          </cell>
          <cell r="F1005" t="str">
            <v>Lights, Surgical</v>
          </cell>
          <cell r="G1005" t="str">
            <v>NM</v>
          </cell>
          <cell r="H1005" t="str">
            <v>NUCLEAR MED (DIAGNOSTIC)</v>
          </cell>
          <cell r="I1005" t="str">
            <v>03NM110</v>
          </cell>
          <cell r="J1005" t="str">
            <v>VENEPUNCTURE</v>
          </cell>
          <cell r="K1005" t="str">
            <v>BMED</v>
          </cell>
          <cell r="L1005" t="str">
            <v>Normal</v>
          </cell>
          <cell r="M1005" t="str">
            <v>USA</v>
          </cell>
          <cell r="N1005" t="str">
            <v>Welch Allyn</v>
          </cell>
          <cell r="O1005" t="str">
            <v>Welch Allyn GS600</v>
          </cell>
          <cell r="P1005" t="str">
            <v>GS-600-11</v>
          </cell>
          <cell r="Q1005" t="str">
            <v>Not Applicable</v>
          </cell>
          <cell r="R1005" t="str">
            <v>Welch Allyn Inc</v>
          </cell>
          <cell r="S1005" t="str">
            <v>Welch Allyn Malaysia Sdn Bhd</v>
          </cell>
          <cell r="T1005" t="str">
            <v>Functioning</v>
          </cell>
          <cell r="U1005" t="str">
            <v>Asset</v>
          </cell>
          <cell r="V1005">
            <v>5050</v>
          </cell>
          <cell r="W1005" t="str">
            <v>KEW</v>
          </cell>
          <cell r="X1005" t="str">
            <v>01/09/2010</v>
          </cell>
          <cell r="Y1005" t="str">
            <v>KEW</v>
          </cell>
          <cell r="Z1005" t="str">
            <v>16/08/2013</v>
          </cell>
          <cell r="AA1005" t="str">
            <v>15/08/2015</v>
          </cell>
          <cell r="AB1005" t="str">
            <v>No</v>
          </cell>
          <cell r="AC1005" t="str">
            <v>31/08/2013</v>
          </cell>
          <cell r="AD1005" t="str">
            <v>Good</v>
          </cell>
          <cell r="AE1005" t="str">
            <v>V1 - Existing / No Claim</v>
          </cell>
          <cell r="AF1005">
            <v>42235</v>
          </cell>
          <cell r="AG1005">
            <v>9.17</v>
          </cell>
          <cell r="AH1005" t="str">
            <v>PPM</v>
          </cell>
          <cell r="AI1005" t="str">
            <v>Strands</v>
          </cell>
          <cell r="AJ1005" t="str">
            <v>Strands PW</v>
          </cell>
        </row>
        <row r="1006">
          <cell r="A1006" t="str">
            <v>IKN400585</v>
          </cell>
          <cell r="B1006">
            <v>585</v>
          </cell>
          <cell r="C1006" t="str">
            <v>Institut Kanser Negara</v>
          </cell>
          <cell r="D1006" t="str">
            <v>KKM/IKN/H/13/2985</v>
          </cell>
          <cell r="E1006" t="str">
            <v>25-209</v>
          </cell>
          <cell r="F1006" t="str">
            <v>Monitors, Physiologic, Vital Signs</v>
          </cell>
          <cell r="G1006" t="str">
            <v>NM</v>
          </cell>
          <cell r="H1006" t="str">
            <v>NUCLEAR MED (DIAGNOSTIC)</v>
          </cell>
          <cell r="I1006" t="str">
            <v>03NM189</v>
          </cell>
          <cell r="J1006" t="str">
            <v>GEN.STORE</v>
          </cell>
          <cell r="K1006" t="str">
            <v>BMED</v>
          </cell>
          <cell r="L1006" t="str">
            <v>Critical</v>
          </cell>
          <cell r="M1006" t="str">
            <v>Mexico</v>
          </cell>
          <cell r="N1006" t="str">
            <v>Carespace</v>
          </cell>
          <cell r="O1006" t="str">
            <v>Carescape V100</v>
          </cell>
          <cell r="P1006" t="str">
            <v>SH612450580SA</v>
          </cell>
          <cell r="Q1006" t="str">
            <v>Not Applicable</v>
          </cell>
          <cell r="R1006" t="str">
            <v>GE Healthcare Systems</v>
          </cell>
          <cell r="S1006" t="str">
            <v>GE Healthcare Technologies</v>
          </cell>
          <cell r="T1006" t="str">
            <v>Functioning</v>
          </cell>
          <cell r="U1006" t="str">
            <v>Asset</v>
          </cell>
          <cell r="V1006">
            <v>18765</v>
          </cell>
          <cell r="W1006" t="str">
            <v>KEW</v>
          </cell>
          <cell r="X1006" t="str">
            <v>01/09/2010</v>
          </cell>
          <cell r="Y1006" t="str">
            <v>KEW</v>
          </cell>
          <cell r="Z1006" t="str">
            <v>16/08/2013</v>
          </cell>
          <cell r="AA1006" t="str">
            <v>15/08/2015</v>
          </cell>
          <cell r="AB1006" t="str">
            <v>No</v>
          </cell>
          <cell r="AC1006" t="str">
            <v>31/08/2013</v>
          </cell>
          <cell r="AD1006" t="str">
            <v>Good</v>
          </cell>
          <cell r="AE1006" t="str">
            <v>V1 - Existing / No Claim</v>
          </cell>
          <cell r="AF1006">
            <v>42706</v>
          </cell>
          <cell r="AG1006">
            <v>9.17</v>
          </cell>
          <cell r="AH1006" t="str">
            <v>PPM</v>
          </cell>
          <cell r="AI1006" t="str">
            <v>Strands</v>
          </cell>
          <cell r="AJ1006" t="str">
            <v>Strands PW</v>
          </cell>
        </row>
        <row r="1007">
          <cell r="A1007" t="str">
            <v>IKN400586</v>
          </cell>
          <cell r="B1007">
            <v>586</v>
          </cell>
          <cell r="C1007" t="str">
            <v>Institut Kanser Negara</v>
          </cell>
          <cell r="D1007" t="str">
            <v>KKM/IKN/H/13/2986</v>
          </cell>
          <cell r="E1007" t="str">
            <v>17-148</v>
          </cell>
          <cell r="F1007" t="str">
            <v>Oximeters, Pulse</v>
          </cell>
          <cell r="G1007" t="str">
            <v>NM</v>
          </cell>
          <cell r="H1007" t="str">
            <v>NUCLEAR MED (DIAGNOSTIC)</v>
          </cell>
          <cell r="I1007" t="str">
            <v>03NM108</v>
          </cell>
          <cell r="J1007" t="str">
            <v>TREATMENT 1 (RAI)(VE)</v>
          </cell>
          <cell r="K1007" t="str">
            <v>BMED</v>
          </cell>
          <cell r="L1007" t="str">
            <v>Normal</v>
          </cell>
          <cell r="M1007" t="str">
            <v>Finland</v>
          </cell>
          <cell r="N1007" t="str">
            <v>Trusat</v>
          </cell>
          <cell r="O1007" t="str">
            <v>Trusat</v>
          </cell>
          <cell r="P1007" t="str">
            <v>FCC12430023Sa</v>
          </cell>
          <cell r="Q1007" t="str">
            <v>Not Applicable</v>
          </cell>
          <cell r="R1007" t="str">
            <v>GE Healthcare Systems</v>
          </cell>
          <cell r="S1007" t="str">
            <v>GE Healthcare Technologies</v>
          </cell>
          <cell r="T1007" t="str">
            <v>Functioning</v>
          </cell>
          <cell r="U1007" t="str">
            <v>Asset</v>
          </cell>
          <cell r="V1007">
            <v>11120</v>
          </cell>
          <cell r="W1007" t="str">
            <v>KEW</v>
          </cell>
          <cell r="X1007" t="str">
            <v>01/09/2010</v>
          </cell>
          <cell r="Y1007" t="str">
            <v>KEW</v>
          </cell>
          <cell r="Z1007" t="str">
            <v>16/08/2013</v>
          </cell>
          <cell r="AA1007" t="str">
            <v>15/08/2015</v>
          </cell>
          <cell r="AB1007" t="str">
            <v>No</v>
          </cell>
          <cell r="AC1007" t="str">
            <v>31/08/2013</v>
          </cell>
          <cell r="AD1007" t="str">
            <v>Good</v>
          </cell>
          <cell r="AE1007" t="str">
            <v>V1 - Existing / No Claim</v>
          </cell>
          <cell r="AF1007">
            <v>42235</v>
          </cell>
          <cell r="AG1007">
            <v>9.17</v>
          </cell>
          <cell r="AH1007" t="str">
            <v>PPM</v>
          </cell>
          <cell r="AI1007" t="str">
            <v>Strands</v>
          </cell>
          <cell r="AJ1007" t="str">
            <v>Strands PW</v>
          </cell>
        </row>
        <row r="1008">
          <cell r="A1008" t="str">
            <v>IKN400587</v>
          </cell>
          <cell r="B1008">
            <v>587</v>
          </cell>
          <cell r="C1008" t="str">
            <v>Institut Kanser Negara</v>
          </cell>
          <cell r="D1008" t="str">
            <v>KKM/IKN/H/13/3105</v>
          </cell>
          <cell r="E1008" t="str">
            <v>17-882</v>
          </cell>
          <cell r="F1008" t="str">
            <v>Defibrillator/Pacemakers, External</v>
          </cell>
          <cell r="G1008" t="str">
            <v>NM</v>
          </cell>
          <cell r="H1008" t="str">
            <v>NUCLEAR MED (DIAGNOSTIC)</v>
          </cell>
          <cell r="I1008" t="str">
            <v>03NM164</v>
          </cell>
          <cell r="J1008" t="str">
            <v>GAMMA CAMERA 2 (-VE)</v>
          </cell>
          <cell r="K1008" t="str">
            <v>BMED</v>
          </cell>
          <cell r="L1008" t="str">
            <v>Critical</v>
          </cell>
          <cell r="M1008" t="str">
            <v>Germany</v>
          </cell>
          <cell r="N1008" t="str">
            <v>HeartStart</v>
          </cell>
          <cell r="O1008" t="str">
            <v>HeartStart XL+</v>
          </cell>
          <cell r="P1008" t="str">
            <v>US91202397</v>
          </cell>
          <cell r="Q1008" t="str">
            <v>Not Applicable</v>
          </cell>
          <cell r="R1008" t="str">
            <v>Philips Medical System</v>
          </cell>
          <cell r="S1008" t="str">
            <v>Advance Altimas Sdn Bhd</v>
          </cell>
          <cell r="T1008" t="str">
            <v>Functioning</v>
          </cell>
          <cell r="U1008" t="str">
            <v>Asset</v>
          </cell>
          <cell r="V1008">
            <v>45000</v>
          </cell>
          <cell r="W1008" t="str">
            <v>Estimate</v>
          </cell>
          <cell r="X1008" t="str">
            <v>01/09/2010</v>
          </cell>
          <cell r="Y1008" t="str">
            <v>KEW</v>
          </cell>
          <cell r="Z1008" t="str">
            <v>16/08/2013</v>
          </cell>
          <cell r="AA1008" t="str">
            <v>15/08/2015</v>
          </cell>
          <cell r="AB1008" t="str">
            <v>No</v>
          </cell>
          <cell r="AC1008" t="str">
            <v>31/08/2013</v>
          </cell>
          <cell r="AD1008" t="str">
            <v>Good</v>
          </cell>
          <cell r="AE1008" t="str">
            <v>V1 - Existing / No Claim</v>
          </cell>
          <cell r="AF1008">
            <v>42601</v>
          </cell>
          <cell r="AG1008">
            <v>9.17</v>
          </cell>
          <cell r="AH1008" t="str">
            <v>PPM</v>
          </cell>
          <cell r="AI1008" t="str">
            <v>Strands</v>
          </cell>
          <cell r="AJ1008" t="str">
            <v>Strands Package</v>
          </cell>
          <cell r="AK1008" t="str">
            <v>Package Code XK0001B</v>
          </cell>
        </row>
        <row r="1009">
          <cell r="A1009" t="str">
            <v>IKN400588</v>
          </cell>
          <cell r="B1009">
            <v>588</v>
          </cell>
          <cell r="C1009" t="str">
            <v>Institut Kanser Negara</v>
          </cell>
          <cell r="D1009" t="str">
            <v>KKM/IKN/H/13/5434</v>
          </cell>
          <cell r="E1009" t="str">
            <v>12-647</v>
          </cell>
          <cell r="F1009" t="str">
            <v>Physiologic Monitoring Systems, Acute Care</v>
          </cell>
          <cell r="G1009" t="str">
            <v>NM</v>
          </cell>
          <cell r="H1009" t="str">
            <v>NUCLEAR MED (DIAGNOSTIC)</v>
          </cell>
          <cell r="I1009" t="str">
            <v>03NM164</v>
          </cell>
          <cell r="J1009" t="str">
            <v>GAMMA CAMERA 2 (-VE)</v>
          </cell>
          <cell r="K1009" t="str">
            <v>BMED</v>
          </cell>
          <cell r="L1009" t="str">
            <v>Critical</v>
          </cell>
          <cell r="M1009" t="str">
            <v>USA</v>
          </cell>
          <cell r="N1009" t="str">
            <v>Cardiac Trigger</v>
          </cell>
          <cell r="O1009" t="str">
            <v>Cardiac Trigger Monitor 3000</v>
          </cell>
          <cell r="P1009" t="str">
            <v>1109251</v>
          </cell>
          <cell r="Q1009" t="str">
            <v>Not Applicable</v>
          </cell>
          <cell r="R1009" t="str">
            <v>Ivy Biomedical Systems Inc</v>
          </cell>
          <cell r="S1009" t="str">
            <v>Advance Altimas Sdn Bhd</v>
          </cell>
          <cell r="T1009" t="str">
            <v>Functioning</v>
          </cell>
          <cell r="U1009" t="str">
            <v>Asset</v>
          </cell>
          <cell r="V1009">
            <v>20000</v>
          </cell>
          <cell r="W1009" t="str">
            <v>Estimate</v>
          </cell>
          <cell r="X1009" t="str">
            <v>01/09/2010</v>
          </cell>
          <cell r="Y1009" t="str">
            <v>KEW</v>
          </cell>
          <cell r="Z1009" t="str">
            <v>16/08/2013</v>
          </cell>
          <cell r="AA1009" t="str">
            <v>15/08/2015</v>
          </cell>
          <cell r="AB1009" t="str">
            <v>No</v>
          </cell>
          <cell r="AC1009" t="str">
            <v>31/08/2013</v>
          </cell>
          <cell r="AD1009" t="str">
            <v>Good</v>
          </cell>
          <cell r="AE1009" t="str">
            <v>V4 - Decommissioned Installed Facility</v>
          </cell>
          <cell r="AF1009">
            <v>42601</v>
          </cell>
          <cell r="AG1009">
            <v>9.17</v>
          </cell>
          <cell r="AH1009" t="str">
            <v>PPM</v>
          </cell>
          <cell r="AI1009" t="str">
            <v>Strands</v>
          </cell>
          <cell r="AJ1009" t="str">
            <v>Strands Package</v>
          </cell>
          <cell r="AK1009" t="str">
            <v>23/10/2024:tapi boleh digunakan lagiPackage Code XK0001B [22/9/2023, SHARIFAH]: PEP ON NOV 2020, BER/BEMS/AWSB/20/007 - Asset masih boleh digunakan namun asset tidak ekonomik diperbaiki lagi sekiranya rosak.</v>
          </cell>
        </row>
        <row r="1010">
          <cell r="A1010" t="str">
            <v>IKN400589</v>
          </cell>
          <cell r="B1010">
            <v>589</v>
          </cell>
          <cell r="C1010" t="str">
            <v>Institut Kanser Negara</v>
          </cell>
          <cell r="D1010" t="str">
            <v>KKM/IKN/H/13/3148</v>
          </cell>
          <cell r="E1010" t="str">
            <v>16-381</v>
          </cell>
          <cell r="F1010" t="str">
            <v>Counters, Gamma</v>
          </cell>
          <cell r="G1010" t="str">
            <v>NM</v>
          </cell>
          <cell r="H1010" t="str">
            <v>NUCLEAR MED (DIAGNOSTIC)</v>
          </cell>
          <cell r="I1010" t="str">
            <v>03NM154</v>
          </cell>
          <cell r="J1010" t="str">
            <v>RIA LAB</v>
          </cell>
          <cell r="K1010" t="str">
            <v>BMED</v>
          </cell>
          <cell r="L1010" t="str">
            <v>Normal</v>
          </cell>
          <cell r="M1010" t="str">
            <v>USA</v>
          </cell>
          <cell r="N1010" t="str">
            <v>Wizard 2</v>
          </cell>
          <cell r="O1010" t="str">
            <v>Wizard 2, 2470</v>
          </cell>
          <cell r="P1010" t="str">
            <v>DG08129516</v>
          </cell>
          <cell r="Q1010" t="str">
            <v>Not Applicable</v>
          </cell>
          <cell r="R1010" t="str">
            <v>Perkin Elmer Inc</v>
          </cell>
          <cell r="S1010" t="str">
            <v>Perkin Elmer Sdn Bhd</v>
          </cell>
          <cell r="T1010" t="str">
            <v>Functioning</v>
          </cell>
          <cell r="U1010" t="str">
            <v>Asset</v>
          </cell>
          <cell r="V1010">
            <v>144820</v>
          </cell>
          <cell r="W1010" t="str">
            <v>KEW</v>
          </cell>
          <cell r="X1010" t="str">
            <v>01/09/2010</v>
          </cell>
          <cell r="Y1010" t="str">
            <v>KEW</v>
          </cell>
          <cell r="Z1010" t="str">
            <v>16/08/2013</v>
          </cell>
          <cell r="AA1010" t="str">
            <v>15/08/2015</v>
          </cell>
          <cell r="AB1010" t="str">
            <v>No</v>
          </cell>
          <cell r="AC1010" t="str">
            <v>31/08/2013</v>
          </cell>
          <cell r="AD1010" t="str">
            <v>Good</v>
          </cell>
          <cell r="AE1010" t="str">
            <v>V1 - Existing / No Claim</v>
          </cell>
          <cell r="AF1010">
            <v>42235</v>
          </cell>
          <cell r="AG1010">
            <v>9.17</v>
          </cell>
          <cell r="AH1010" t="str">
            <v>PPM</v>
          </cell>
          <cell r="AI1010" t="str">
            <v>Strands</v>
          </cell>
          <cell r="AJ1010" t="str">
            <v>Strands PW</v>
          </cell>
        </row>
        <row r="1011">
          <cell r="A1011" t="str">
            <v>IKN400590</v>
          </cell>
          <cell r="B1011">
            <v>590</v>
          </cell>
          <cell r="C1011" t="str">
            <v>Institut Kanser Negara</v>
          </cell>
          <cell r="D1011" t="str">
            <v>KKM/IKN/H/13/3136</v>
          </cell>
          <cell r="E1011" t="str">
            <v>15-651</v>
          </cell>
          <cell r="F1011" t="str">
            <v>Stirrers</v>
          </cell>
          <cell r="G1011" t="str">
            <v>NM</v>
          </cell>
          <cell r="H1011" t="str">
            <v>NUCLEAR MED (DIAGNOSTIC)</v>
          </cell>
          <cell r="I1011" t="str">
            <v>03NM154</v>
          </cell>
          <cell r="J1011" t="str">
            <v>RIA LAB</v>
          </cell>
          <cell r="K1011" t="str">
            <v>BMED</v>
          </cell>
          <cell r="L1011" t="str">
            <v>Normal</v>
          </cell>
          <cell r="M1011" t="str">
            <v>UK</v>
          </cell>
          <cell r="N1011" t="str">
            <v>Stuart</v>
          </cell>
          <cell r="O1011" t="str">
            <v>Stuart UC152</v>
          </cell>
          <cell r="P1011" t="str">
            <v>R630000566</v>
          </cell>
          <cell r="Q1011" t="str">
            <v>Not Applicable</v>
          </cell>
          <cell r="R1011" t="str">
            <v>Stuart Scientific Co Ltd</v>
          </cell>
          <cell r="S1011" t="str">
            <v>Bumi Sains Sdn. Bhd.</v>
          </cell>
          <cell r="T1011" t="str">
            <v>Functioning</v>
          </cell>
          <cell r="U1011" t="str">
            <v>Asset</v>
          </cell>
          <cell r="V1011">
            <v>2170</v>
          </cell>
          <cell r="W1011" t="str">
            <v>KEW</v>
          </cell>
          <cell r="X1011" t="str">
            <v>01/09/2010</v>
          </cell>
          <cell r="Y1011" t="str">
            <v>KEW</v>
          </cell>
          <cell r="Z1011" t="str">
            <v>16/08/2013</v>
          </cell>
          <cell r="AA1011" t="str">
            <v>15/08/2015</v>
          </cell>
          <cell r="AB1011" t="str">
            <v>No</v>
          </cell>
          <cell r="AC1011" t="str">
            <v>31/08/2013</v>
          </cell>
          <cell r="AD1011" t="str">
            <v>Good</v>
          </cell>
          <cell r="AE1011" t="str">
            <v>V1 - Existing / No Claim</v>
          </cell>
          <cell r="AF1011">
            <v>42235</v>
          </cell>
          <cell r="AG1011">
            <v>9.17</v>
          </cell>
          <cell r="AH1011" t="str">
            <v>PPM</v>
          </cell>
          <cell r="AI1011" t="str">
            <v>Strands</v>
          </cell>
          <cell r="AJ1011" t="str">
            <v>Strands PW</v>
          </cell>
        </row>
        <row r="1012">
          <cell r="A1012" t="str">
            <v>IKN400591</v>
          </cell>
          <cell r="B1012">
            <v>591</v>
          </cell>
          <cell r="C1012" t="str">
            <v>Institut Kanser Negara</v>
          </cell>
          <cell r="D1012" t="str">
            <v>KKM/IKN/H/13/3149</v>
          </cell>
          <cell r="E1012" t="str">
            <v>16-772</v>
          </cell>
          <cell r="F1012" t="str">
            <v>Baths, Water, Shaker</v>
          </cell>
          <cell r="G1012" t="str">
            <v>NM</v>
          </cell>
          <cell r="H1012" t="str">
            <v>NUCLEAR MED (DIAGNOSTIC)</v>
          </cell>
          <cell r="I1012" t="str">
            <v>03NM154</v>
          </cell>
          <cell r="J1012" t="str">
            <v>RIA LAB</v>
          </cell>
          <cell r="K1012" t="str">
            <v>BMED</v>
          </cell>
          <cell r="L1012" t="str">
            <v>Normal</v>
          </cell>
          <cell r="M1012" t="str">
            <v>UK</v>
          </cell>
          <cell r="N1012" t="str">
            <v>Grant</v>
          </cell>
          <cell r="O1012" t="str">
            <v>Grant OLS-200</v>
          </cell>
          <cell r="P1012" t="str">
            <v>8Q1245001</v>
          </cell>
          <cell r="Q1012" t="str">
            <v>Not Applicable</v>
          </cell>
          <cell r="R1012" t="str">
            <v>Grant Instruments Ltd</v>
          </cell>
          <cell r="S1012" t="str">
            <v>Bumi Sains Sdn. Bhd.</v>
          </cell>
          <cell r="T1012" t="str">
            <v>Functioning</v>
          </cell>
          <cell r="U1012" t="str">
            <v>Asset</v>
          </cell>
          <cell r="V1012">
            <v>5900</v>
          </cell>
          <cell r="W1012" t="str">
            <v>KEW</v>
          </cell>
          <cell r="X1012" t="str">
            <v>01/09/2010</v>
          </cell>
          <cell r="Y1012" t="str">
            <v>KEW</v>
          </cell>
          <cell r="Z1012" t="str">
            <v>16/08/2013</v>
          </cell>
          <cell r="AA1012" t="str">
            <v>15/08/2015</v>
          </cell>
          <cell r="AB1012" t="str">
            <v>No</v>
          </cell>
          <cell r="AC1012" t="str">
            <v>31/08/2013</v>
          </cell>
          <cell r="AD1012" t="str">
            <v>Good</v>
          </cell>
          <cell r="AE1012" t="str">
            <v>V1 - Existing / No Claim</v>
          </cell>
          <cell r="AF1012">
            <v>42235</v>
          </cell>
          <cell r="AG1012">
            <v>9.17</v>
          </cell>
          <cell r="AH1012" t="str">
            <v>PPM</v>
          </cell>
          <cell r="AI1012" t="str">
            <v>Strands</v>
          </cell>
          <cell r="AJ1012" t="str">
            <v>Strands PW</v>
          </cell>
        </row>
        <row r="1013">
          <cell r="A1013" t="str">
            <v>IKN400592</v>
          </cell>
          <cell r="B1013">
            <v>592</v>
          </cell>
          <cell r="C1013" t="str">
            <v>Institut Kanser Negara</v>
          </cell>
          <cell r="D1013" t="str">
            <v>N/A</v>
          </cell>
          <cell r="E1013" t="str">
            <v>12-660</v>
          </cell>
          <cell r="F1013" t="str">
            <v>Radiation Monitors</v>
          </cell>
          <cell r="G1013" t="str">
            <v>NM</v>
          </cell>
          <cell r="H1013" t="str">
            <v>NUCLEAR MED (DIAGNOSTIC)</v>
          </cell>
          <cell r="I1013" t="str">
            <v>03NM166</v>
          </cell>
          <cell r="J1013" t="str">
            <v>REPORTING</v>
          </cell>
          <cell r="K1013" t="str">
            <v>BMED</v>
          </cell>
          <cell r="L1013" t="str">
            <v>Normal</v>
          </cell>
          <cell r="M1013" t="str">
            <v>USA</v>
          </cell>
          <cell r="N1013" t="str">
            <v>Ludlum</v>
          </cell>
          <cell r="O1013" t="str">
            <v>Ludlum 375P</v>
          </cell>
          <cell r="P1013" t="str">
            <v>297069</v>
          </cell>
          <cell r="Q1013" t="str">
            <v>Not Applicable</v>
          </cell>
          <cell r="R1013" t="str">
            <v>Ludlum Measurements Inc</v>
          </cell>
          <cell r="S1013" t="str">
            <v>Not Available</v>
          </cell>
          <cell r="T1013" t="str">
            <v>Functioning</v>
          </cell>
          <cell r="U1013" t="str">
            <v>Asset</v>
          </cell>
          <cell r="V1013">
            <v>25000</v>
          </cell>
          <cell r="W1013" t="str">
            <v>Estimate</v>
          </cell>
          <cell r="X1013" t="str">
            <v>01/09/2010</v>
          </cell>
          <cell r="Y1013" t="str">
            <v>KEW</v>
          </cell>
          <cell r="Z1013" t="str">
            <v>16/08/2013</v>
          </cell>
          <cell r="AA1013" t="str">
            <v>15/08/2015</v>
          </cell>
          <cell r="AB1013" t="str">
            <v>No</v>
          </cell>
          <cell r="AC1013" t="str">
            <v>31/08/2013</v>
          </cell>
          <cell r="AD1013" t="str">
            <v>Good</v>
          </cell>
          <cell r="AE1013" t="str">
            <v>V1 - Existing / No Claim</v>
          </cell>
          <cell r="AF1013">
            <v>42601</v>
          </cell>
          <cell r="AG1013">
            <v>9.17</v>
          </cell>
          <cell r="AH1013" t="str">
            <v>PPM</v>
          </cell>
          <cell r="AI1013" t="str">
            <v>Not in contract</v>
          </cell>
          <cell r="AJ1013" t="str">
            <v>CA 26/8/2024</v>
          </cell>
        </row>
        <row r="1014">
          <cell r="A1014" t="str">
            <v>IKN400593</v>
          </cell>
          <cell r="B1014">
            <v>593</v>
          </cell>
          <cell r="C1014" t="str">
            <v>Institut Kanser Negara</v>
          </cell>
          <cell r="D1014" t="str">
            <v>KKM/IKN/H/13/78</v>
          </cell>
          <cell r="E1014" t="str">
            <v>12-282</v>
          </cell>
          <cell r="F1014" t="str">
            <v>Lights, Surgical</v>
          </cell>
          <cell r="G1014" t="str">
            <v>DO</v>
          </cell>
          <cell r="H1014" t="str">
            <v>DAY ONCOLOGY UNIT</v>
          </cell>
          <cell r="I1014" t="str">
            <v>04DO105</v>
          </cell>
          <cell r="J1014" t="str">
            <v>C/E</v>
          </cell>
          <cell r="K1014" t="str">
            <v>BMED</v>
          </cell>
          <cell r="L1014" t="str">
            <v>Critical</v>
          </cell>
          <cell r="M1014" t="str">
            <v>USA</v>
          </cell>
          <cell r="N1014" t="str">
            <v>Welch Allyn</v>
          </cell>
          <cell r="O1014" t="str">
            <v>Welch Allyn GS600</v>
          </cell>
          <cell r="P1014" t="str">
            <v>GS-600-31</v>
          </cell>
          <cell r="Q1014" t="str">
            <v>Not Applicable</v>
          </cell>
          <cell r="R1014" t="str">
            <v>Welch Allyn Inc</v>
          </cell>
          <cell r="S1014" t="str">
            <v>Welch Allyn Malaysia Sdn Bhd</v>
          </cell>
          <cell r="T1014" t="str">
            <v>Functioning</v>
          </cell>
          <cell r="U1014" t="str">
            <v>Asset</v>
          </cell>
          <cell r="V1014">
            <v>5050</v>
          </cell>
          <cell r="W1014" t="str">
            <v>KEW</v>
          </cell>
          <cell r="X1014" t="str">
            <v>01/09/2010</v>
          </cell>
          <cell r="Y1014" t="str">
            <v>KEW</v>
          </cell>
          <cell r="Z1014" t="str">
            <v>16/08/2013</v>
          </cell>
          <cell r="AA1014" t="str">
            <v>15/08/2015</v>
          </cell>
          <cell r="AB1014" t="str">
            <v>No</v>
          </cell>
          <cell r="AC1014" t="str">
            <v>31/08/2013</v>
          </cell>
          <cell r="AD1014" t="str">
            <v>Good</v>
          </cell>
          <cell r="AE1014" t="str">
            <v>V1 - Existing / No Claim</v>
          </cell>
          <cell r="AF1014">
            <v>42793</v>
          </cell>
          <cell r="AG1014">
            <v>9.17</v>
          </cell>
          <cell r="AH1014" t="str">
            <v>PPM</v>
          </cell>
          <cell r="AI1014" t="str">
            <v>Strands</v>
          </cell>
          <cell r="AJ1014" t="str">
            <v>Strands PW</v>
          </cell>
        </row>
        <row r="1015">
          <cell r="A1015" t="str">
            <v>IKN400594</v>
          </cell>
          <cell r="B1015">
            <v>594</v>
          </cell>
          <cell r="C1015" t="str">
            <v>Institut Kanser Negara</v>
          </cell>
          <cell r="D1015" t="str">
            <v>KKM/IKN/H/13/1374</v>
          </cell>
          <cell r="E1015" t="str">
            <v>10-447</v>
          </cell>
          <cell r="F1015" t="str">
            <v>Warming Units, Blood/Solution</v>
          </cell>
          <cell r="G1015" t="str">
            <v>DO</v>
          </cell>
          <cell r="H1015" t="str">
            <v>DAY ONCOLOGY UNIT</v>
          </cell>
          <cell r="I1015" t="str">
            <v>04DO111</v>
          </cell>
          <cell r="J1015" t="str">
            <v>EQUIP. ROOM</v>
          </cell>
          <cell r="K1015" t="str">
            <v>BMED</v>
          </cell>
          <cell r="L1015" t="str">
            <v>Normal</v>
          </cell>
          <cell r="M1015" t="str">
            <v>Japan</v>
          </cell>
          <cell r="N1015" t="str">
            <v>Animec</v>
          </cell>
          <cell r="O1015" t="str">
            <v>Animec AM-301</v>
          </cell>
          <cell r="P1015" t="str">
            <v>2012D0056</v>
          </cell>
          <cell r="Q1015" t="str">
            <v>Not Applicable</v>
          </cell>
          <cell r="R1015" t="str">
            <v>Elltec Co Ltd</v>
          </cell>
          <cell r="S1015" t="str">
            <v>IDS Services (Malaysia) Sdn Bhd</v>
          </cell>
          <cell r="T1015" t="str">
            <v>Functioning</v>
          </cell>
          <cell r="U1015" t="str">
            <v>Asset</v>
          </cell>
          <cell r="V1015">
            <v>4990</v>
          </cell>
          <cell r="W1015" t="str">
            <v>KEW</v>
          </cell>
          <cell r="X1015" t="str">
            <v>01/09/2010</v>
          </cell>
          <cell r="Y1015" t="str">
            <v>KEW</v>
          </cell>
          <cell r="Z1015" t="str">
            <v>16/08/2013</v>
          </cell>
          <cell r="AA1015" t="str">
            <v>15/08/2015</v>
          </cell>
          <cell r="AB1015" t="str">
            <v>No</v>
          </cell>
          <cell r="AC1015" t="str">
            <v>31/08/2013</v>
          </cell>
          <cell r="AD1015" t="str">
            <v>Good</v>
          </cell>
          <cell r="AE1015" t="str">
            <v>V1 - Existing / No Claim</v>
          </cell>
          <cell r="AF1015">
            <v>42793</v>
          </cell>
          <cell r="AG1015">
            <v>9.17</v>
          </cell>
          <cell r="AH1015" t="str">
            <v>PPM</v>
          </cell>
          <cell r="AI1015" t="str">
            <v>Strands</v>
          </cell>
          <cell r="AJ1015" t="str">
            <v>Strands PW</v>
          </cell>
        </row>
        <row r="1016">
          <cell r="A1016" t="str">
            <v>IKN400595</v>
          </cell>
          <cell r="B1016">
            <v>595</v>
          </cell>
          <cell r="C1016" t="str">
            <v>Institut Kanser Negara</v>
          </cell>
          <cell r="D1016" t="str">
            <v>KKM/IKN/H/13/1372</v>
          </cell>
          <cell r="E1016" t="str">
            <v>10-447</v>
          </cell>
          <cell r="F1016" t="str">
            <v>Warming Units, Blood/Solution</v>
          </cell>
          <cell r="G1016" t="str">
            <v>DO</v>
          </cell>
          <cell r="H1016" t="str">
            <v>DAY ONCOLOGY UNIT</v>
          </cell>
          <cell r="I1016" t="str">
            <v>04DO111</v>
          </cell>
          <cell r="J1016" t="str">
            <v>EQUIP. ROOM</v>
          </cell>
          <cell r="K1016" t="str">
            <v>BMED</v>
          </cell>
          <cell r="L1016" t="str">
            <v>Normal</v>
          </cell>
          <cell r="M1016" t="str">
            <v>Japan</v>
          </cell>
          <cell r="N1016" t="str">
            <v>Animec</v>
          </cell>
          <cell r="O1016" t="str">
            <v>Animec AM-301</v>
          </cell>
          <cell r="P1016" t="str">
            <v>2013D0243</v>
          </cell>
          <cell r="Q1016" t="str">
            <v>Not Applicable</v>
          </cell>
          <cell r="R1016" t="str">
            <v>Elltec Co Ltd</v>
          </cell>
          <cell r="S1016" t="str">
            <v>IDS Services (Malaysia) Sdn Bhd</v>
          </cell>
          <cell r="T1016" t="str">
            <v>Functioning</v>
          </cell>
          <cell r="U1016" t="str">
            <v>Asset</v>
          </cell>
          <cell r="V1016">
            <v>4990</v>
          </cell>
          <cell r="W1016" t="str">
            <v>KEW</v>
          </cell>
          <cell r="X1016" t="str">
            <v>01/09/2010</v>
          </cell>
          <cell r="Y1016" t="str">
            <v>KEW</v>
          </cell>
          <cell r="Z1016" t="str">
            <v>16/08/2013</v>
          </cell>
          <cell r="AA1016" t="str">
            <v>15/08/2015</v>
          </cell>
          <cell r="AB1016" t="str">
            <v>No</v>
          </cell>
          <cell r="AC1016" t="str">
            <v>31/08/2013</v>
          </cell>
          <cell r="AD1016" t="str">
            <v>Good</v>
          </cell>
          <cell r="AE1016" t="str">
            <v>V1 - Existing / No Claim</v>
          </cell>
          <cell r="AF1016">
            <v>42793</v>
          </cell>
          <cell r="AG1016">
            <v>9.17</v>
          </cell>
          <cell r="AH1016" t="str">
            <v>PPM</v>
          </cell>
          <cell r="AI1016" t="str">
            <v>Strands</v>
          </cell>
          <cell r="AJ1016" t="str">
            <v>Strands PW</v>
          </cell>
        </row>
        <row r="1017">
          <cell r="A1017" t="str">
            <v>IKN400596</v>
          </cell>
          <cell r="B1017">
            <v>596</v>
          </cell>
          <cell r="C1017" t="str">
            <v>Institut Kanser Negara</v>
          </cell>
          <cell r="D1017" t="str">
            <v>KKM/IKN/H/13/1376</v>
          </cell>
          <cell r="E1017" t="str">
            <v>10-447</v>
          </cell>
          <cell r="F1017" t="str">
            <v>Warming Units, Blood/Solution</v>
          </cell>
          <cell r="G1017" t="str">
            <v>DO</v>
          </cell>
          <cell r="H1017" t="str">
            <v>DAY ONCOLOGY UNIT</v>
          </cell>
          <cell r="I1017" t="str">
            <v>04DO111</v>
          </cell>
          <cell r="J1017" t="str">
            <v>EQUIP. ROOM</v>
          </cell>
          <cell r="K1017" t="str">
            <v>BMED</v>
          </cell>
          <cell r="L1017" t="str">
            <v>Normal</v>
          </cell>
          <cell r="M1017" t="str">
            <v>Japan</v>
          </cell>
          <cell r="N1017" t="str">
            <v>Animec</v>
          </cell>
          <cell r="O1017" t="str">
            <v>Animec AM-301</v>
          </cell>
          <cell r="P1017" t="str">
            <v>2012D0055</v>
          </cell>
          <cell r="Q1017" t="str">
            <v>Not Applicable</v>
          </cell>
          <cell r="R1017" t="str">
            <v>Elltec Co Ltd</v>
          </cell>
          <cell r="S1017" t="str">
            <v>IDS Services (Malaysia) Sdn Bhd</v>
          </cell>
          <cell r="T1017" t="str">
            <v>Functioning</v>
          </cell>
          <cell r="U1017" t="str">
            <v>Asset</v>
          </cell>
          <cell r="V1017">
            <v>4990</v>
          </cell>
          <cell r="W1017" t="str">
            <v>KEW</v>
          </cell>
          <cell r="X1017" t="str">
            <v>01/09/2010</v>
          </cell>
          <cell r="Y1017" t="str">
            <v>KEW</v>
          </cell>
          <cell r="Z1017" t="str">
            <v>16/08/2013</v>
          </cell>
          <cell r="AA1017" t="str">
            <v>15/08/2015</v>
          </cell>
          <cell r="AB1017" t="str">
            <v>No</v>
          </cell>
          <cell r="AC1017" t="str">
            <v>31/08/2013</v>
          </cell>
          <cell r="AD1017" t="str">
            <v>Good</v>
          </cell>
          <cell r="AE1017" t="str">
            <v>V1 - Existing / No Claim</v>
          </cell>
          <cell r="AF1017">
            <v>42793</v>
          </cell>
          <cell r="AG1017">
            <v>9.17</v>
          </cell>
          <cell r="AH1017" t="str">
            <v>PPM</v>
          </cell>
          <cell r="AI1017" t="str">
            <v>Strands</v>
          </cell>
          <cell r="AJ1017" t="str">
            <v>Strands PW</v>
          </cell>
        </row>
        <row r="1018">
          <cell r="A1018" t="str">
            <v>IKN400598</v>
          </cell>
          <cell r="B1018">
            <v>598</v>
          </cell>
          <cell r="C1018" t="str">
            <v>Institut Kanser Negara</v>
          </cell>
          <cell r="D1018" t="str">
            <v>KKM/IKN/H/13/79</v>
          </cell>
          <cell r="E1018" t="str">
            <v>12-282</v>
          </cell>
          <cell r="F1018" t="str">
            <v>Lights, Surgical</v>
          </cell>
          <cell r="G1018" t="str">
            <v>DO</v>
          </cell>
          <cell r="H1018" t="str">
            <v>DAY ONCOLOGY UNIT</v>
          </cell>
          <cell r="I1018" t="str">
            <v>04DO111</v>
          </cell>
          <cell r="J1018" t="str">
            <v>EQUIP. ROOM</v>
          </cell>
          <cell r="K1018" t="str">
            <v>BMED</v>
          </cell>
          <cell r="L1018" t="str">
            <v>Critical</v>
          </cell>
          <cell r="M1018" t="str">
            <v>USA</v>
          </cell>
          <cell r="N1018" t="str">
            <v>Welch Allyn</v>
          </cell>
          <cell r="O1018" t="str">
            <v>Welch Allyn GS600</v>
          </cell>
          <cell r="P1018" t="str">
            <v>GS-600-32</v>
          </cell>
          <cell r="Q1018" t="str">
            <v>Not Applicable</v>
          </cell>
          <cell r="R1018" t="str">
            <v>Welch Allyn Inc</v>
          </cell>
          <cell r="S1018" t="str">
            <v>Welch Allyn Malaysia Sdn Bhd</v>
          </cell>
          <cell r="T1018" t="str">
            <v>Functioning</v>
          </cell>
          <cell r="U1018" t="str">
            <v>Asset</v>
          </cell>
          <cell r="V1018">
            <v>5050</v>
          </cell>
          <cell r="W1018" t="str">
            <v>KEW</v>
          </cell>
          <cell r="X1018" t="str">
            <v>01/09/2010</v>
          </cell>
          <cell r="Y1018" t="str">
            <v>KEW</v>
          </cell>
          <cell r="Z1018" t="str">
            <v>16/08/2013</v>
          </cell>
          <cell r="AA1018" t="str">
            <v>15/08/2015</v>
          </cell>
          <cell r="AB1018" t="str">
            <v>No</v>
          </cell>
          <cell r="AC1018" t="str">
            <v>31/08/2013</v>
          </cell>
          <cell r="AD1018" t="str">
            <v>Good</v>
          </cell>
          <cell r="AE1018" t="str">
            <v>V1 - Existing / No Claim</v>
          </cell>
          <cell r="AF1018">
            <v>42793</v>
          </cell>
          <cell r="AG1018">
            <v>9.17</v>
          </cell>
          <cell r="AH1018" t="str">
            <v>PPM</v>
          </cell>
          <cell r="AI1018" t="str">
            <v>Strands</v>
          </cell>
          <cell r="AJ1018" t="str">
            <v>Strands PW</v>
          </cell>
        </row>
        <row r="1019">
          <cell r="A1019" t="str">
            <v>IKN400599</v>
          </cell>
          <cell r="B1019">
            <v>599</v>
          </cell>
          <cell r="C1019" t="str">
            <v>Institut Kanser Negara</v>
          </cell>
          <cell r="D1019" t="str">
            <v>KKM/IKN/H/13/80</v>
          </cell>
          <cell r="E1019" t="str">
            <v>12-282</v>
          </cell>
          <cell r="F1019" t="str">
            <v>Lights, Surgical</v>
          </cell>
          <cell r="G1019" t="str">
            <v>DO</v>
          </cell>
          <cell r="H1019" t="str">
            <v>DAY ONCOLOGY UNIT</v>
          </cell>
          <cell r="I1019" t="str">
            <v>04DO111</v>
          </cell>
          <cell r="J1019" t="str">
            <v>EQUIP. ROOM</v>
          </cell>
          <cell r="K1019" t="str">
            <v>BMED</v>
          </cell>
          <cell r="L1019" t="str">
            <v>Critical</v>
          </cell>
          <cell r="M1019" t="str">
            <v>USA</v>
          </cell>
          <cell r="N1019" t="str">
            <v>Welch Allyn</v>
          </cell>
          <cell r="O1019" t="str">
            <v>Welch Allyn GS600</v>
          </cell>
          <cell r="P1019" t="str">
            <v>GS-600-49</v>
          </cell>
          <cell r="Q1019" t="str">
            <v>Not Applicable</v>
          </cell>
          <cell r="R1019" t="str">
            <v>Welch Allyn Inc</v>
          </cell>
          <cell r="S1019" t="str">
            <v>Welch Allyn Malaysia Sdn Bhd</v>
          </cell>
          <cell r="T1019" t="str">
            <v>Functioning</v>
          </cell>
          <cell r="U1019" t="str">
            <v>Asset</v>
          </cell>
          <cell r="V1019">
            <v>5050</v>
          </cell>
          <cell r="W1019" t="str">
            <v>KEW</v>
          </cell>
          <cell r="X1019" t="str">
            <v>01/09/2010</v>
          </cell>
          <cell r="Y1019" t="str">
            <v>KEW</v>
          </cell>
          <cell r="Z1019" t="str">
            <v>16/08/2013</v>
          </cell>
          <cell r="AA1019" t="str">
            <v>15/08/2015</v>
          </cell>
          <cell r="AB1019" t="str">
            <v>No</v>
          </cell>
          <cell r="AC1019" t="str">
            <v>31/08/2013</v>
          </cell>
          <cell r="AD1019" t="str">
            <v>Good</v>
          </cell>
          <cell r="AE1019" t="str">
            <v>V1 - Existing / No Claim</v>
          </cell>
          <cell r="AF1019">
            <v>42793</v>
          </cell>
          <cell r="AG1019">
            <v>9.17</v>
          </cell>
          <cell r="AH1019" t="str">
            <v>PPM</v>
          </cell>
          <cell r="AI1019" t="str">
            <v>Strands</v>
          </cell>
          <cell r="AJ1019" t="str">
            <v>Strands PW</v>
          </cell>
        </row>
        <row r="1020">
          <cell r="A1020" t="str">
            <v>IKN400600</v>
          </cell>
          <cell r="B1020">
            <v>600</v>
          </cell>
          <cell r="C1020" t="str">
            <v>Institut Kanser Negara</v>
          </cell>
          <cell r="D1020" t="str">
            <v>KKM/IKN/H/13/1683</v>
          </cell>
          <cell r="E1020" t="str">
            <v>15-045</v>
          </cell>
          <cell r="F1020" t="str">
            <v>Nebulizers, Nonheated</v>
          </cell>
          <cell r="G1020" t="str">
            <v>DO</v>
          </cell>
          <cell r="H1020" t="str">
            <v>DAY ONCOLOGY UNIT</v>
          </cell>
          <cell r="I1020" t="str">
            <v>04DO111</v>
          </cell>
          <cell r="J1020" t="str">
            <v>EQUIP. ROOM</v>
          </cell>
          <cell r="K1020" t="str">
            <v>BMED</v>
          </cell>
          <cell r="L1020" t="str">
            <v>Normal</v>
          </cell>
          <cell r="M1020" t="str">
            <v>Germany</v>
          </cell>
          <cell r="N1020" t="str">
            <v>Pari Boy</v>
          </cell>
          <cell r="O1020" t="str">
            <v>Pari Boy SX 085</v>
          </cell>
          <cell r="P1020" t="str">
            <v>2W12F13726</v>
          </cell>
          <cell r="Q1020" t="str">
            <v>Not Applicable</v>
          </cell>
          <cell r="R1020" t="str">
            <v>Pari GmbH</v>
          </cell>
          <cell r="S1020" t="str">
            <v>Welch Allyn Malaysia Sdn Bhd</v>
          </cell>
          <cell r="T1020" t="str">
            <v>Functioning</v>
          </cell>
          <cell r="U1020" t="str">
            <v>Asset</v>
          </cell>
          <cell r="V1020">
            <v>1140</v>
          </cell>
          <cell r="W1020" t="str">
            <v>KEW</v>
          </cell>
          <cell r="X1020" t="str">
            <v>01/09/2010</v>
          </cell>
          <cell r="Y1020" t="str">
            <v>KEW</v>
          </cell>
          <cell r="Z1020" t="str">
            <v>16/08/2013</v>
          </cell>
          <cell r="AA1020" t="str">
            <v>15/08/2015</v>
          </cell>
          <cell r="AB1020" t="str">
            <v>No</v>
          </cell>
          <cell r="AC1020" t="str">
            <v>31/08/2013</v>
          </cell>
          <cell r="AD1020" t="str">
            <v>Good</v>
          </cell>
          <cell r="AE1020" t="str">
            <v>V1 - Existing / No Claim</v>
          </cell>
          <cell r="AF1020">
            <v>42235</v>
          </cell>
          <cell r="AG1020">
            <v>9.17</v>
          </cell>
          <cell r="AH1020" t="str">
            <v>PPM</v>
          </cell>
          <cell r="AI1020" t="str">
            <v>Strands</v>
          </cell>
          <cell r="AJ1020" t="str">
            <v>Strands PW</v>
          </cell>
        </row>
        <row r="1021">
          <cell r="A1021" t="str">
            <v>IKN400601</v>
          </cell>
          <cell r="B1021">
            <v>601</v>
          </cell>
          <cell r="C1021" t="str">
            <v>Institut Kanser Negara</v>
          </cell>
          <cell r="D1021" t="str">
            <v>KKM/IKN/H/13/2619</v>
          </cell>
          <cell r="E1021" t="str">
            <v>16-173</v>
          </cell>
          <cell r="F1021" t="str">
            <v>Sphygmomanometers, Electronic, Automatic</v>
          </cell>
          <cell r="G1021" t="str">
            <v>DO</v>
          </cell>
          <cell r="H1021" t="str">
            <v>DAY ONCOLOGY UNIT</v>
          </cell>
          <cell r="I1021" t="str">
            <v>04DO111</v>
          </cell>
          <cell r="J1021" t="str">
            <v>EQUIP. ROOM</v>
          </cell>
          <cell r="K1021" t="str">
            <v>BMED</v>
          </cell>
          <cell r="L1021" t="str">
            <v>Normal</v>
          </cell>
          <cell r="M1021" t="str">
            <v>USA</v>
          </cell>
          <cell r="N1021" t="str">
            <v>Connex</v>
          </cell>
          <cell r="O1021" t="str">
            <v>Connex ProBP 3400</v>
          </cell>
          <cell r="P1021" t="str">
            <v>100001430613</v>
          </cell>
          <cell r="Q1021" t="str">
            <v>Not Applicable</v>
          </cell>
          <cell r="R1021" t="str">
            <v>Welch Allyn Inc</v>
          </cell>
          <cell r="S1021" t="str">
            <v>Welch Allyn Malaysia Sdn Bhd</v>
          </cell>
          <cell r="T1021" t="str">
            <v>Functioning</v>
          </cell>
          <cell r="U1021" t="str">
            <v>Asset</v>
          </cell>
          <cell r="V1021">
            <v>4510</v>
          </cell>
          <cell r="W1021" t="str">
            <v>KEW</v>
          </cell>
          <cell r="X1021" t="str">
            <v>01/09/2010</v>
          </cell>
          <cell r="Y1021" t="str">
            <v>KEW</v>
          </cell>
          <cell r="Z1021" t="str">
            <v>16/08/2013</v>
          </cell>
          <cell r="AA1021" t="str">
            <v>15/08/2015</v>
          </cell>
          <cell r="AB1021" t="str">
            <v>No</v>
          </cell>
          <cell r="AC1021" t="str">
            <v>31/08/2013</v>
          </cell>
          <cell r="AD1021" t="str">
            <v>Good</v>
          </cell>
          <cell r="AE1021" t="str">
            <v>V1 - Existing / No Claim</v>
          </cell>
          <cell r="AF1021">
            <v>42235</v>
          </cell>
          <cell r="AG1021">
            <v>9.17</v>
          </cell>
          <cell r="AH1021" t="str">
            <v>PPM</v>
          </cell>
          <cell r="AI1021" t="str">
            <v>Strands</v>
          </cell>
          <cell r="AJ1021" t="str">
            <v>Strands PW</v>
          </cell>
        </row>
        <row r="1022">
          <cell r="A1022" t="str">
            <v>IKN400602</v>
          </cell>
          <cell r="B1022">
            <v>602</v>
          </cell>
          <cell r="C1022" t="str">
            <v>Institut Kanser Negara</v>
          </cell>
          <cell r="D1022" t="str">
            <v>KKM/IKN/H/13/2429</v>
          </cell>
          <cell r="E1022" t="str">
            <v>16-173</v>
          </cell>
          <cell r="F1022" t="str">
            <v>Sphygmomanometers, Electronic, Automatic</v>
          </cell>
          <cell r="G1022" t="str">
            <v>DO</v>
          </cell>
          <cell r="H1022" t="str">
            <v>DAY ONCOLOGY UNIT</v>
          </cell>
          <cell r="I1022" t="str">
            <v>04DO111</v>
          </cell>
          <cell r="J1022" t="str">
            <v>EQUIP. ROOM</v>
          </cell>
          <cell r="K1022" t="str">
            <v>BMED</v>
          </cell>
          <cell r="L1022" t="str">
            <v>Critical</v>
          </cell>
          <cell r="M1022" t="str">
            <v>USA</v>
          </cell>
          <cell r="N1022" t="str">
            <v>Connex</v>
          </cell>
          <cell r="O1022" t="str">
            <v>Connex ProBP 3400</v>
          </cell>
          <cell r="P1022" t="str">
            <v>100001630613</v>
          </cell>
          <cell r="Q1022" t="str">
            <v>Not Applicable</v>
          </cell>
          <cell r="R1022" t="str">
            <v>Welch Allyn Inc</v>
          </cell>
          <cell r="S1022" t="str">
            <v>Welch Allyn Malaysia Sdn Bhd</v>
          </cell>
          <cell r="T1022" t="str">
            <v>Functioning</v>
          </cell>
          <cell r="U1022" t="str">
            <v>Asset</v>
          </cell>
          <cell r="V1022">
            <v>4510</v>
          </cell>
          <cell r="W1022" t="str">
            <v>KEW</v>
          </cell>
          <cell r="X1022" t="str">
            <v>01/09/2010</v>
          </cell>
          <cell r="Y1022" t="str">
            <v>KEW</v>
          </cell>
          <cell r="Z1022" t="str">
            <v>16/08/2013</v>
          </cell>
          <cell r="AA1022" t="str">
            <v>15/08/2015</v>
          </cell>
          <cell r="AB1022" t="str">
            <v>No</v>
          </cell>
          <cell r="AC1022" t="str">
            <v>31/08/2013</v>
          </cell>
          <cell r="AD1022" t="str">
            <v>Good</v>
          </cell>
          <cell r="AE1022" t="str">
            <v>V1 - Existing / No Claim</v>
          </cell>
          <cell r="AF1022">
            <v>42793</v>
          </cell>
          <cell r="AG1022">
            <v>9.17</v>
          </cell>
          <cell r="AH1022" t="str">
            <v>PPM</v>
          </cell>
          <cell r="AI1022" t="str">
            <v>Strands</v>
          </cell>
          <cell r="AJ1022" t="str">
            <v>Strands PW</v>
          </cell>
        </row>
        <row r="1023">
          <cell r="A1023" t="str">
            <v>IKN400603</v>
          </cell>
          <cell r="B1023">
            <v>603</v>
          </cell>
          <cell r="C1023" t="str">
            <v>Institut Kanser Negara</v>
          </cell>
          <cell r="D1023" t="str">
            <v>KKM/IKN/H/13/1388</v>
          </cell>
          <cell r="E1023" t="str">
            <v>13-215</v>
          </cell>
          <cell r="F1023" t="str">
            <v>Infusion Pumps, General-Purpose</v>
          </cell>
          <cell r="G1023" t="str">
            <v>DO</v>
          </cell>
          <cell r="H1023" t="str">
            <v>DAY ONCOLOGY UNIT</v>
          </cell>
          <cell r="I1023" t="str">
            <v>04DO111</v>
          </cell>
          <cell r="J1023" t="str">
            <v>EQUIP. ROOM</v>
          </cell>
          <cell r="K1023" t="str">
            <v>BMED</v>
          </cell>
          <cell r="L1023" t="str">
            <v>Critical</v>
          </cell>
          <cell r="M1023" t="str">
            <v>Germany</v>
          </cell>
          <cell r="N1023" t="str">
            <v>Infusomat</v>
          </cell>
          <cell r="O1023" t="str">
            <v>Infusomat Space</v>
          </cell>
          <cell r="P1023" t="str">
            <v>200187</v>
          </cell>
          <cell r="Q1023" t="str">
            <v>Not Applicable</v>
          </cell>
          <cell r="R1023" t="str">
            <v>B Braun Melsungen AG</v>
          </cell>
          <cell r="S1023" t="str">
            <v>B Braun Medical Supplies Sdn. Bhd.</v>
          </cell>
          <cell r="T1023" t="str">
            <v>Functioning</v>
          </cell>
          <cell r="U1023" t="str">
            <v>Asset</v>
          </cell>
          <cell r="V1023">
            <v>10825</v>
          </cell>
          <cell r="W1023" t="str">
            <v>KEW</v>
          </cell>
          <cell r="X1023" t="str">
            <v>01/09/2010</v>
          </cell>
          <cell r="Y1023" t="str">
            <v>KEW</v>
          </cell>
          <cell r="Z1023" t="str">
            <v>16/08/2013</v>
          </cell>
          <cell r="AA1023" t="str">
            <v>15/08/2015</v>
          </cell>
          <cell r="AB1023" t="str">
            <v>No</v>
          </cell>
          <cell r="AC1023" t="str">
            <v>31/08/2013</v>
          </cell>
          <cell r="AD1023" t="str">
            <v>Good</v>
          </cell>
          <cell r="AE1023" t="str">
            <v>V1 - Existing / No Claim</v>
          </cell>
          <cell r="AF1023">
            <v>42793</v>
          </cell>
          <cell r="AG1023">
            <v>9.17</v>
          </cell>
          <cell r="AH1023" t="str">
            <v>PPM</v>
          </cell>
          <cell r="AI1023" t="str">
            <v>Strands</v>
          </cell>
          <cell r="AJ1023" t="str">
            <v>Strands PW</v>
          </cell>
        </row>
        <row r="1024">
          <cell r="A1024" t="str">
            <v>IKN400604</v>
          </cell>
          <cell r="B1024">
            <v>604</v>
          </cell>
          <cell r="C1024" t="str">
            <v>Institut Kanser Negara</v>
          </cell>
          <cell r="D1024" t="str">
            <v>KKM/IKN/H/13/1391</v>
          </cell>
          <cell r="E1024" t="str">
            <v>13-215</v>
          </cell>
          <cell r="F1024" t="str">
            <v>Infusion Pumps, General-Purpose</v>
          </cell>
          <cell r="G1024" t="str">
            <v>DO</v>
          </cell>
          <cell r="H1024" t="str">
            <v>DAY ONCOLOGY UNIT</v>
          </cell>
          <cell r="I1024" t="str">
            <v>04DO111</v>
          </cell>
          <cell r="J1024" t="str">
            <v>EQUIP. ROOM</v>
          </cell>
          <cell r="K1024" t="str">
            <v>BMED</v>
          </cell>
          <cell r="L1024" t="str">
            <v>Critical</v>
          </cell>
          <cell r="M1024" t="str">
            <v>Germany</v>
          </cell>
          <cell r="N1024" t="str">
            <v>Infusomat</v>
          </cell>
          <cell r="O1024" t="str">
            <v>Infusomat Space</v>
          </cell>
          <cell r="P1024" t="str">
            <v>200127</v>
          </cell>
          <cell r="Q1024" t="str">
            <v>Not Applicable</v>
          </cell>
          <cell r="R1024" t="str">
            <v>B Braun Melsungen AG</v>
          </cell>
          <cell r="S1024" t="str">
            <v>B Braun Medical Supplies Sdn. Bhd.</v>
          </cell>
          <cell r="T1024" t="str">
            <v>Functioning</v>
          </cell>
          <cell r="U1024" t="str">
            <v>Asset</v>
          </cell>
          <cell r="V1024">
            <v>10825</v>
          </cell>
          <cell r="W1024" t="str">
            <v>KEW</v>
          </cell>
          <cell r="X1024" t="str">
            <v>01/09/2010</v>
          </cell>
          <cell r="Y1024" t="str">
            <v>KEW</v>
          </cell>
          <cell r="Z1024" t="str">
            <v>16/08/2013</v>
          </cell>
          <cell r="AA1024" t="str">
            <v>15/08/2015</v>
          </cell>
          <cell r="AB1024" t="str">
            <v>No</v>
          </cell>
          <cell r="AC1024" t="str">
            <v>31/08/2013</v>
          </cell>
          <cell r="AD1024" t="str">
            <v>Good</v>
          </cell>
          <cell r="AE1024" t="str">
            <v>V1 - Existing / No Claim</v>
          </cell>
          <cell r="AF1024">
            <v>42793</v>
          </cell>
          <cell r="AG1024">
            <v>9.17</v>
          </cell>
          <cell r="AH1024" t="str">
            <v>PPM</v>
          </cell>
          <cell r="AI1024" t="str">
            <v>Strands</v>
          </cell>
          <cell r="AJ1024" t="str">
            <v>Strands PW</v>
          </cell>
        </row>
        <row r="1025">
          <cell r="A1025" t="str">
            <v>IKN400605</v>
          </cell>
          <cell r="B1025">
            <v>605</v>
          </cell>
          <cell r="C1025" t="str">
            <v>Institut Kanser Negara</v>
          </cell>
          <cell r="D1025" t="str">
            <v>KKM/IKN/H/13/1392</v>
          </cell>
          <cell r="E1025" t="str">
            <v>13-215</v>
          </cell>
          <cell r="F1025" t="str">
            <v>Infusion Pumps, General-Purpose</v>
          </cell>
          <cell r="G1025" t="str">
            <v>DO</v>
          </cell>
          <cell r="H1025" t="str">
            <v>DAY ONCOLOGY UNIT</v>
          </cell>
          <cell r="I1025" t="str">
            <v>04DO111</v>
          </cell>
          <cell r="J1025" t="str">
            <v>EQUIP. ROOM</v>
          </cell>
          <cell r="K1025" t="str">
            <v>BMED</v>
          </cell>
          <cell r="L1025" t="str">
            <v>Critical</v>
          </cell>
          <cell r="M1025" t="str">
            <v>Germany</v>
          </cell>
          <cell r="N1025" t="str">
            <v>Infusomat</v>
          </cell>
          <cell r="O1025" t="str">
            <v>Infusomat Space</v>
          </cell>
          <cell r="P1025" t="str">
            <v>211747</v>
          </cell>
          <cell r="Q1025" t="str">
            <v>Not Applicable</v>
          </cell>
          <cell r="R1025" t="str">
            <v>B Braun Melsungen AG</v>
          </cell>
          <cell r="S1025" t="str">
            <v>B Braun Medical Supplies Sdn. Bhd.</v>
          </cell>
          <cell r="T1025" t="str">
            <v>Functioning</v>
          </cell>
          <cell r="U1025" t="str">
            <v>Asset</v>
          </cell>
          <cell r="V1025">
            <v>10825</v>
          </cell>
          <cell r="W1025" t="str">
            <v>KEW</v>
          </cell>
          <cell r="X1025" t="str">
            <v>01/09/2010</v>
          </cell>
          <cell r="Y1025" t="str">
            <v>KEW</v>
          </cell>
          <cell r="Z1025" t="str">
            <v>16/08/2013</v>
          </cell>
          <cell r="AA1025" t="str">
            <v>15/08/2015</v>
          </cell>
          <cell r="AB1025" t="str">
            <v>No</v>
          </cell>
          <cell r="AC1025" t="str">
            <v>31/08/2013</v>
          </cell>
          <cell r="AD1025" t="str">
            <v>Good</v>
          </cell>
          <cell r="AE1025" t="str">
            <v>V1 - Existing / No Claim</v>
          </cell>
          <cell r="AF1025">
            <v>42793</v>
          </cell>
          <cell r="AG1025">
            <v>9.17</v>
          </cell>
          <cell r="AH1025" t="str">
            <v>PPM</v>
          </cell>
          <cell r="AI1025" t="str">
            <v>Strands</v>
          </cell>
          <cell r="AJ1025" t="str">
            <v>Strands PW</v>
          </cell>
        </row>
        <row r="1026">
          <cell r="A1026" t="str">
            <v>IKN400606</v>
          </cell>
          <cell r="B1026">
            <v>606</v>
          </cell>
          <cell r="C1026" t="str">
            <v>Institut Kanser Negara</v>
          </cell>
          <cell r="D1026" t="str">
            <v>KKM/IKN/H/13/1393</v>
          </cell>
          <cell r="E1026" t="str">
            <v>13-215</v>
          </cell>
          <cell r="F1026" t="str">
            <v>Infusion Pumps, General-Purpose</v>
          </cell>
          <cell r="G1026" t="str">
            <v>DO</v>
          </cell>
          <cell r="H1026" t="str">
            <v>DAY ONCOLOGY UNIT</v>
          </cell>
          <cell r="I1026" t="str">
            <v>04DO111</v>
          </cell>
          <cell r="J1026" t="str">
            <v>EQUIP. ROOM</v>
          </cell>
          <cell r="K1026" t="str">
            <v>BMED</v>
          </cell>
          <cell r="L1026" t="str">
            <v>Critical</v>
          </cell>
          <cell r="M1026" t="str">
            <v>Germany</v>
          </cell>
          <cell r="N1026" t="str">
            <v>Infusomat</v>
          </cell>
          <cell r="O1026" t="str">
            <v>Infusomat Space</v>
          </cell>
          <cell r="P1026" t="str">
            <v>211745</v>
          </cell>
          <cell r="Q1026" t="str">
            <v>Not Applicable</v>
          </cell>
          <cell r="R1026" t="str">
            <v>B Braun Melsungen AG</v>
          </cell>
          <cell r="S1026" t="str">
            <v>B Braun Medical Supplies Sdn. Bhd.</v>
          </cell>
          <cell r="T1026" t="str">
            <v>Functioning</v>
          </cell>
          <cell r="U1026" t="str">
            <v>Asset</v>
          </cell>
          <cell r="V1026">
            <v>10825</v>
          </cell>
          <cell r="W1026" t="str">
            <v>KEW</v>
          </cell>
          <cell r="X1026" t="str">
            <v>01/09/2010</v>
          </cell>
          <cell r="Y1026" t="str">
            <v>KEW</v>
          </cell>
          <cell r="Z1026" t="str">
            <v>16/08/2013</v>
          </cell>
          <cell r="AA1026" t="str">
            <v>15/08/2015</v>
          </cell>
          <cell r="AB1026" t="str">
            <v>No</v>
          </cell>
          <cell r="AC1026" t="str">
            <v>31/08/2013</v>
          </cell>
          <cell r="AD1026" t="str">
            <v>Good</v>
          </cell>
          <cell r="AE1026" t="str">
            <v>V1 - Existing / No Claim</v>
          </cell>
          <cell r="AF1026">
            <v>42793</v>
          </cell>
          <cell r="AG1026">
            <v>9.17</v>
          </cell>
          <cell r="AH1026" t="str">
            <v>PPM</v>
          </cell>
          <cell r="AI1026" t="str">
            <v>Strands</v>
          </cell>
          <cell r="AJ1026" t="str">
            <v>Strands PW</v>
          </cell>
        </row>
        <row r="1027">
          <cell r="A1027" t="str">
            <v>IKN400607</v>
          </cell>
          <cell r="B1027">
            <v>607</v>
          </cell>
          <cell r="C1027" t="str">
            <v>Institut Kanser Negara</v>
          </cell>
          <cell r="D1027" t="str">
            <v>KKM/IKN/H/13/1394</v>
          </cell>
          <cell r="E1027" t="str">
            <v>13-215</v>
          </cell>
          <cell r="F1027" t="str">
            <v>Infusion Pumps, General-Purpose</v>
          </cell>
          <cell r="G1027" t="str">
            <v>DO</v>
          </cell>
          <cell r="H1027" t="str">
            <v>DAY ONCOLOGY UNIT</v>
          </cell>
          <cell r="I1027" t="str">
            <v>04DO111</v>
          </cell>
          <cell r="J1027" t="str">
            <v>EQUIP. ROOM</v>
          </cell>
          <cell r="K1027" t="str">
            <v>BMED</v>
          </cell>
          <cell r="L1027" t="str">
            <v>Critical</v>
          </cell>
          <cell r="M1027" t="str">
            <v>Germany</v>
          </cell>
          <cell r="N1027" t="str">
            <v>Infusomat</v>
          </cell>
          <cell r="O1027" t="str">
            <v>Infusomat Space</v>
          </cell>
          <cell r="P1027" t="str">
            <v>212215</v>
          </cell>
          <cell r="Q1027" t="str">
            <v>Not Applicable</v>
          </cell>
          <cell r="R1027" t="str">
            <v>B Braun Melsungen AG</v>
          </cell>
          <cell r="S1027" t="str">
            <v>B Braun Medical Supplies Sdn. Bhd.</v>
          </cell>
          <cell r="T1027" t="str">
            <v>Functioning</v>
          </cell>
          <cell r="U1027" t="str">
            <v>Asset</v>
          </cell>
          <cell r="V1027">
            <v>10825</v>
          </cell>
          <cell r="W1027" t="str">
            <v>KEW</v>
          </cell>
          <cell r="X1027" t="str">
            <v>01/09/2010</v>
          </cell>
          <cell r="Y1027" t="str">
            <v>KEW</v>
          </cell>
          <cell r="Z1027" t="str">
            <v>16/08/2013</v>
          </cell>
          <cell r="AA1027" t="str">
            <v>15/08/2015</v>
          </cell>
          <cell r="AB1027" t="str">
            <v>No</v>
          </cell>
          <cell r="AC1027" t="str">
            <v>31/08/2013</v>
          </cell>
          <cell r="AD1027" t="str">
            <v>Good</v>
          </cell>
          <cell r="AE1027" t="str">
            <v>V1 - Existing / No Claim</v>
          </cell>
          <cell r="AF1027">
            <v>42793</v>
          </cell>
          <cell r="AG1027">
            <v>9.17</v>
          </cell>
          <cell r="AH1027" t="str">
            <v>PPM</v>
          </cell>
          <cell r="AI1027" t="str">
            <v>Strands</v>
          </cell>
          <cell r="AJ1027" t="str">
            <v>Strands PW</v>
          </cell>
        </row>
        <row r="1028">
          <cell r="A1028" t="str">
            <v>IKN400608</v>
          </cell>
          <cell r="B1028">
            <v>608</v>
          </cell>
          <cell r="C1028" t="str">
            <v>Institut Kanser Negara</v>
          </cell>
          <cell r="D1028" t="str">
            <v>KKM/IKN/H/14/101</v>
          </cell>
          <cell r="E1028" t="str">
            <v>21-897</v>
          </cell>
          <cell r="F1028" t="str">
            <v>Seal Crimpers, Bottle/Vial/Tube</v>
          </cell>
          <cell r="G1028" t="str">
            <v>LA</v>
          </cell>
          <cell r="H1028" t="str">
            <v>PATHOLOGY</v>
          </cell>
          <cell r="I1028" t="str">
            <v>04LA114</v>
          </cell>
          <cell r="J1028" t="str">
            <v>DARK MICROSCOPY</v>
          </cell>
          <cell r="K1028" t="str">
            <v>BMED</v>
          </cell>
          <cell r="L1028" t="str">
            <v>Normal</v>
          </cell>
          <cell r="M1028" t="str">
            <v>South Korea</v>
          </cell>
          <cell r="N1028" t="str">
            <v>Sure Seal</v>
          </cell>
          <cell r="O1028" t="str">
            <v>Sure Seal SE260</v>
          </cell>
          <cell r="P1028" t="str">
            <v>2620091</v>
          </cell>
          <cell r="Q1028" t="str">
            <v>Not Applicable</v>
          </cell>
          <cell r="R1028" t="str">
            <v>Centron Technologies Corp</v>
          </cell>
          <cell r="S1028" t="str">
            <v>Biomarketing Services(M) Sdn. Bhd</v>
          </cell>
          <cell r="T1028" t="str">
            <v>Functioning</v>
          </cell>
          <cell r="U1028" t="str">
            <v>Asset</v>
          </cell>
          <cell r="V1028">
            <v>7000</v>
          </cell>
          <cell r="W1028" t="str">
            <v>KEW</v>
          </cell>
          <cell r="X1028" t="str">
            <v>25/09/2014</v>
          </cell>
          <cell r="Y1028" t="str">
            <v>KEW</v>
          </cell>
          <cell r="Z1028" t="str">
            <v>08/12/2014</v>
          </cell>
          <cell r="AA1028" t="str">
            <v>07/12/2015</v>
          </cell>
          <cell r="AB1028" t="str">
            <v>No</v>
          </cell>
          <cell r="AC1028" t="str">
            <v>08/12/2014</v>
          </cell>
          <cell r="AD1028" t="str">
            <v>Good</v>
          </cell>
          <cell r="AE1028" t="str">
            <v>V3 - Added Installed Facilities (New)</v>
          </cell>
          <cell r="AF1028">
            <v>42677</v>
          </cell>
          <cell r="AG1028">
            <v>5.17</v>
          </cell>
          <cell r="AH1028" t="str">
            <v>PPM</v>
          </cell>
          <cell r="AI1028" t="str">
            <v>Strands</v>
          </cell>
          <cell r="AJ1028" t="str">
            <v>Strands PW</v>
          </cell>
          <cell r="AK1028" t="str">
            <v>SNF received. 1st batch of V3 asset (December 2020)</v>
          </cell>
        </row>
        <row r="1029">
          <cell r="A1029" t="str">
            <v>IKN400609</v>
          </cell>
          <cell r="B1029">
            <v>609</v>
          </cell>
          <cell r="C1029" t="str">
            <v>Institut Kanser Negara</v>
          </cell>
          <cell r="D1029" t="str">
            <v>KKM/IKN/H/14/99</v>
          </cell>
          <cell r="E1029" t="str">
            <v>18-449</v>
          </cell>
          <cell r="F1029" t="str">
            <v>Balances, Electronic, Analytical</v>
          </cell>
          <cell r="G1029" t="str">
            <v>DO</v>
          </cell>
          <cell r="H1029" t="str">
            <v>DAY ONCOLOGY UNIT</v>
          </cell>
          <cell r="I1029" t="str">
            <v>04DO114</v>
          </cell>
          <cell r="J1029" t="str">
            <v>RESEARCH</v>
          </cell>
          <cell r="K1029" t="str">
            <v>BMED</v>
          </cell>
          <cell r="L1029" t="str">
            <v>Normal</v>
          </cell>
          <cell r="M1029" t="str">
            <v>Japan</v>
          </cell>
          <cell r="N1029" t="str">
            <v>A&amp;D</v>
          </cell>
          <cell r="O1029" t="str">
            <v>A&amp;D HR-250AZ</v>
          </cell>
          <cell r="P1029" t="str">
            <v>6A7702353</v>
          </cell>
          <cell r="Q1029" t="str">
            <v>Not Applicable</v>
          </cell>
          <cell r="R1029" t="str">
            <v>A&amp;D Co Ltd</v>
          </cell>
          <cell r="S1029" t="str">
            <v>Bumi Jiwa Sdn. Bhd.</v>
          </cell>
          <cell r="T1029" t="str">
            <v>Functioning</v>
          </cell>
          <cell r="U1029" t="str">
            <v>Asset</v>
          </cell>
          <cell r="V1029">
            <v>4000</v>
          </cell>
          <cell r="W1029" t="str">
            <v>KEW</v>
          </cell>
          <cell r="X1029" t="str">
            <v>03/10/2014</v>
          </cell>
          <cell r="Y1029" t="str">
            <v>KEW</v>
          </cell>
          <cell r="Z1029" t="str">
            <v>27/11/2014</v>
          </cell>
          <cell r="AA1029" t="str">
            <v>26/11/2015</v>
          </cell>
          <cell r="AB1029" t="str">
            <v>No</v>
          </cell>
          <cell r="AC1029" t="str">
            <v>27/11/2014</v>
          </cell>
          <cell r="AD1029" t="str">
            <v>Good</v>
          </cell>
          <cell r="AE1029" t="str">
            <v>V3 - Added Installed Facilities (New)</v>
          </cell>
          <cell r="AF1029">
            <v>42908</v>
          </cell>
          <cell r="AG1029">
            <v>5.08</v>
          </cell>
          <cell r="AH1029" t="str">
            <v>PPM</v>
          </cell>
          <cell r="AI1029" t="str">
            <v>Strands</v>
          </cell>
          <cell r="AJ1029" t="str">
            <v>Strands PW</v>
          </cell>
          <cell r="AK1029" t="str">
            <v>SNF received. 1st batch of V3 asset (December 2020)</v>
          </cell>
        </row>
        <row r="1030">
          <cell r="A1030" t="str">
            <v>IKN400610</v>
          </cell>
          <cell r="B1030">
            <v>610</v>
          </cell>
          <cell r="C1030" t="str">
            <v>Institut Kanser Negara</v>
          </cell>
          <cell r="D1030" t="str">
            <v>KKM/IKN/H/13/1395</v>
          </cell>
          <cell r="E1030" t="str">
            <v>13-215</v>
          </cell>
          <cell r="F1030" t="str">
            <v>Infusion Pumps, General-Purpose</v>
          </cell>
          <cell r="G1030" t="str">
            <v>DO</v>
          </cell>
          <cell r="H1030" t="str">
            <v>DAY ONCOLOGY UNIT</v>
          </cell>
          <cell r="I1030" t="str">
            <v>04DO118</v>
          </cell>
          <cell r="J1030" t="str">
            <v>TREATMENT BAY 1</v>
          </cell>
          <cell r="K1030" t="str">
            <v>BMED</v>
          </cell>
          <cell r="L1030" t="str">
            <v>Critical</v>
          </cell>
          <cell r="M1030" t="str">
            <v>Germany</v>
          </cell>
          <cell r="N1030" t="str">
            <v>Infusomat</v>
          </cell>
          <cell r="O1030" t="str">
            <v>Infusomat Space</v>
          </cell>
          <cell r="P1030" t="str">
            <v>211746</v>
          </cell>
          <cell r="Q1030" t="str">
            <v>Not Applicable</v>
          </cell>
          <cell r="R1030" t="str">
            <v>B Braun Melsungen AG</v>
          </cell>
          <cell r="S1030" t="str">
            <v>B Braun Medical Supplies Sdn. Bhd.</v>
          </cell>
          <cell r="T1030" t="str">
            <v>Functioning</v>
          </cell>
          <cell r="U1030" t="str">
            <v>Asset</v>
          </cell>
          <cell r="V1030">
            <v>10825</v>
          </cell>
          <cell r="W1030" t="str">
            <v>KEW</v>
          </cell>
          <cell r="X1030" t="str">
            <v>01/09/2010</v>
          </cell>
          <cell r="Y1030" t="str">
            <v>KEW</v>
          </cell>
          <cell r="Z1030" t="str">
            <v>16/08/2013</v>
          </cell>
          <cell r="AA1030" t="str">
            <v>15/08/2015</v>
          </cell>
          <cell r="AB1030" t="str">
            <v>No</v>
          </cell>
          <cell r="AC1030" t="str">
            <v>31/08/2013</v>
          </cell>
          <cell r="AD1030" t="str">
            <v>Good</v>
          </cell>
          <cell r="AE1030" t="str">
            <v>V1 - Existing / No Claim</v>
          </cell>
          <cell r="AF1030">
            <v>42793</v>
          </cell>
          <cell r="AG1030">
            <v>9.17</v>
          </cell>
          <cell r="AH1030" t="str">
            <v>PPM</v>
          </cell>
          <cell r="AI1030" t="str">
            <v>Strands</v>
          </cell>
          <cell r="AJ1030" t="str">
            <v>Strands PW</v>
          </cell>
        </row>
        <row r="1031">
          <cell r="A1031" t="str">
            <v>IKN400611</v>
          </cell>
          <cell r="B1031">
            <v>611</v>
          </cell>
          <cell r="C1031" t="str">
            <v>Institut Kanser Negara</v>
          </cell>
          <cell r="D1031" t="str">
            <v>KKM/IKN/H/13/1396</v>
          </cell>
          <cell r="E1031" t="str">
            <v>13-215</v>
          </cell>
          <cell r="F1031" t="str">
            <v>Infusion Pumps, General-Purpose</v>
          </cell>
          <cell r="G1031" t="str">
            <v>DO</v>
          </cell>
          <cell r="H1031" t="str">
            <v>DAY ONCOLOGY UNIT</v>
          </cell>
          <cell r="I1031" t="str">
            <v>04DO118</v>
          </cell>
          <cell r="J1031" t="str">
            <v>TREATMENT BAY 1</v>
          </cell>
          <cell r="K1031" t="str">
            <v>BMED</v>
          </cell>
          <cell r="L1031" t="str">
            <v>Critical</v>
          </cell>
          <cell r="M1031" t="str">
            <v>Germany</v>
          </cell>
          <cell r="N1031" t="str">
            <v>Infusomat</v>
          </cell>
          <cell r="O1031" t="str">
            <v>Infusomat Space</v>
          </cell>
          <cell r="P1031" t="str">
            <v>200175</v>
          </cell>
          <cell r="Q1031" t="str">
            <v>Not Applicable</v>
          </cell>
          <cell r="R1031" t="str">
            <v>B Braun Melsungen AG</v>
          </cell>
          <cell r="S1031" t="str">
            <v>B Braun Medical Supplies Sdn. Bhd.</v>
          </cell>
          <cell r="T1031" t="str">
            <v>Functioning</v>
          </cell>
          <cell r="U1031" t="str">
            <v>Asset</v>
          </cell>
          <cell r="V1031">
            <v>10825</v>
          </cell>
          <cell r="W1031" t="str">
            <v>KEW</v>
          </cell>
          <cell r="X1031" t="str">
            <v>01/09/2010</v>
          </cell>
          <cell r="Y1031" t="str">
            <v>KEW</v>
          </cell>
          <cell r="Z1031" t="str">
            <v>16/08/2013</v>
          </cell>
          <cell r="AA1031" t="str">
            <v>15/08/2015</v>
          </cell>
          <cell r="AB1031" t="str">
            <v>No</v>
          </cell>
          <cell r="AC1031" t="str">
            <v>31/08/2013</v>
          </cell>
          <cell r="AD1031" t="str">
            <v>Good</v>
          </cell>
          <cell r="AE1031" t="str">
            <v>V1 - Existing / No Claim</v>
          </cell>
          <cell r="AF1031">
            <v>42793</v>
          </cell>
          <cell r="AG1031">
            <v>9.17</v>
          </cell>
          <cell r="AH1031" t="str">
            <v>PPM</v>
          </cell>
          <cell r="AI1031" t="str">
            <v>Strands</v>
          </cell>
          <cell r="AJ1031" t="str">
            <v>Strands PW</v>
          </cell>
        </row>
        <row r="1032">
          <cell r="A1032" t="str">
            <v>IKN400612</v>
          </cell>
          <cell r="B1032">
            <v>612</v>
          </cell>
          <cell r="C1032" t="str">
            <v>Institut Kanser Negara</v>
          </cell>
          <cell r="D1032" t="str">
            <v>KKM/IKN/H/13/1397</v>
          </cell>
          <cell r="E1032" t="str">
            <v>13-215</v>
          </cell>
          <cell r="F1032" t="str">
            <v>Infusion Pumps, General-Purpose</v>
          </cell>
          <cell r="G1032" t="str">
            <v>DO</v>
          </cell>
          <cell r="H1032" t="str">
            <v>DAY ONCOLOGY UNIT</v>
          </cell>
          <cell r="I1032" t="str">
            <v>04DO118</v>
          </cell>
          <cell r="J1032" t="str">
            <v>TREATMENT BAY 1</v>
          </cell>
          <cell r="K1032" t="str">
            <v>BMED</v>
          </cell>
          <cell r="L1032" t="str">
            <v>Critical</v>
          </cell>
          <cell r="M1032" t="str">
            <v>Germany</v>
          </cell>
          <cell r="N1032" t="str">
            <v>Infusomat</v>
          </cell>
          <cell r="O1032" t="str">
            <v>Infusomat Space</v>
          </cell>
          <cell r="P1032" t="str">
            <v>212055</v>
          </cell>
          <cell r="Q1032" t="str">
            <v>Not Applicable</v>
          </cell>
          <cell r="R1032" t="str">
            <v>B Braun Melsungen AG</v>
          </cell>
          <cell r="S1032" t="str">
            <v>B Braun Medical Supplies Sdn. Bhd.</v>
          </cell>
          <cell r="T1032" t="str">
            <v>Functioning</v>
          </cell>
          <cell r="U1032" t="str">
            <v>Asset</v>
          </cell>
          <cell r="V1032">
            <v>10825</v>
          </cell>
          <cell r="W1032" t="str">
            <v>KEW</v>
          </cell>
          <cell r="X1032" t="str">
            <v>01/09/2010</v>
          </cell>
          <cell r="Y1032" t="str">
            <v>KEW</v>
          </cell>
          <cell r="Z1032" t="str">
            <v>16/08/2013</v>
          </cell>
          <cell r="AA1032" t="str">
            <v>15/08/2015</v>
          </cell>
          <cell r="AB1032" t="str">
            <v>No</v>
          </cell>
          <cell r="AC1032" t="str">
            <v>31/08/2013</v>
          </cell>
          <cell r="AD1032" t="str">
            <v>Good</v>
          </cell>
          <cell r="AE1032" t="str">
            <v>V1 - Existing / No Claim</v>
          </cell>
          <cell r="AF1032">
            <v>42793</v>
          </cell>
          <cell r="AG1032">
            <v>9.17</v>
          </cell>
          <cell r="AH1032" t="str">
            <v>PPM</v>
          </cell>
          <cell r="AI1032" t="str">
            <v>Strands</v>
          </cell>
          <cell r="AJ1032" t="str">
            <v>Strands PW</v>
          </cell>
        </row>
        <row r="1033">
          <cell r="A1033" t="str">
            <v>IKN400613</v>
          </cell>
          <cell r="B1033">
            <v>613</v>
          </cell>
          <cell r="C1033" t="str">
            <v>Institut Kanser Negara</v>
          </cell>
          <cell r="D1033" t="str">
            <v>KKM/IKN/H/13/1398</v>
          </cell>
          <cell r="E1033" t="str">
            <v>13-215</v>
          </cell>
          <cell r="F1033" t="str">
            <v>Infusion Pumps, General-Purpose</v>
          </cell>
          <cell r="G1033" t="str">
            <v>DO</v>
          </cell>
          <cell r="H1033" t="str">
            <v>DAY ONCOLOGY UNIT</v>
          </cell>
          <cell r="I1033" t="str">
            <v>04DO118</v>
          </cell>
          <cell r="J1033" t="str">
            <v>TREATMENT BAY 1</v>
          </cell>
          <cell r="K1033" t="str">
            <v>BMED</v>
          </cell>
          <cell r="L1033" t="str">
            <v>Critical</v>
          </cell>
          <cell r="M1033" t="str">
            <v>Germany</v>
          </cell>
          <cell r="N1033" t="str">
            <v>Infusomat</v>
          </cell>
          <cell r="O1033" t="str">
            <v>Infusomat Space</v>
          </cell>
          <cell r="P1033" t="str">
            <v>200163</v>
          </cell>
          <cell r="Q1033" t="str">
            <v>Not Applicable</v>
          </cell>
          <cell r="R1033" t="str">
            <v>B Braun Melsungen AG</v>
          </cell>
          <cell r="S1033" t="str">
            <v>B Braun Medical Supplies Sdn. Bhd.</v>
          </cell>
          <cell r="T1033" t="str">
            <v>Functioning</v>
          </cell>
          <cell r="U1033" t="str">
            <v>Asset</v>
          </cell>
          <cell r="V1033">
            <v>10825</v>
          </cell>
          <cell r="W1033" t="str">
            <v>KEW</v>
          </cell>
          <cell r="X1033" t="str">
            <v>01/09/2010</v>
          </cell>
          <cell r="Y1033" t="str">
            <v>KEW</v>
          </cell>
          <cell r="Z1033" t="str">
            <v>16/08/2013</v>
          </cell>
          <cell r="AA1033" t="str">
            <v>15/08/2015</v>
          </cell>
          <cell r="AB1033" t="str">
            <v>No</v>
          </cell>
          <cell r="AC1033" t="str">
            <v>31/08/2013</v>
          </cell>
          <cell r="AD1033" t="str">
            <v>Good</v>
          </cell>
          <cell r="AE1033" t="str">
            <v>V1 - Existing / No Claim</v>
          </cell>
          <cell r="AF1033">
            <v>42793</v>
          </cell>
          <cell r="AG1033">
            <v>9.17</v>
          </cell>
          <cell r="AH1033" t="str">
            <v>PPM</v>
          </cell>
          <cell r="AI1033" t="str">
            <v>Strands</v>
          </cell>
          <cell r="AJ1033" t="str">
            <v>Strands PW</v>
          </cell>
        </row>
        <row r="1034">
          <cell r="A1034" t="str">
            <v>IKN400614</v>
          </cell>
          <cell r="B1034">
            <v>614</v>
          </cell>
          <cell r="C1034" t="str">
            <v>Institut Kanser Negara</v>
          </cell>
          <cell r="D1034" t="str">
            <v>KKM/IKN/H/13/1399</v>
          </cell>
          <cell r="E1034" t="str">
            <v>13-215</v>
          </cell>
          <cell r="F1034" t="str">
            <v>Infusion Pumps, General-Purpose</v>
          </cell>
          <cell r="G1034" t="str">
            <v>DO</v>
          </cell>
          <cell r="H1034" t="str">
            <v>DAY ONCOLOGY UNIT</v>
          </cell>
          <cell r="I1034" t="str">
            <v>04DO118</v>
          </cell>
          <cell r="J1034" t="str">
            <v>TREATMENT BAY 1</v>
          </cell>
          <cell r="K1034" t="str">
            <v>BMED</v>
          </cell>
          <cell r="L1034" t="str">
            <v>Critical</v>
          </cell>
          <cell r="M1034" t="str">
            <v>Germany</v>
          </cell>
          <cell r="N1034" t="str">
            <v>Infusomat</v>
          </cell>
          <cell r="O1034" t="str">
            <v>Infusomat Space</v>
          </cell>
          <cell r="P1034" t="str">
            <v>200155</v>
          </cell>
          <cell r="Q1034" t="str">
            <v>Not Applicable</v>
          </cell>
          <cell r="R1034" t="str">
            <v>B Braun Melsungen AG</v>
          </cell>
          <cell r="S1034" t="str">
            <v>B Braun Medical Supplies Sdn. Bhd.</v>
          </cell>
          <cell r="T1034" t="str">
            <v>Functioning</v>
          </cell>
          <cell r="U1034" t="str">
            <v>Asset</v>
          </cell>
          <cell r="V1034">
            <v>10825</v>
          </cell>
          <cell r="W1034" t="str">
            <v>KEW</v>
          </cell>
          <cell r="X1034" t="str">
            <v>01/09/2010</v>
          </cell>
          <cell r="Y1034" t="str">
            <v>KEW</v>
          </cell>
          <cell r="Z1034" t="str">
            <v>16/08/2013</v>
          </cell>
          <cell r="AA1034" t="str">
            <v>15/08/2015</v>
          </cell>
          <cell r="AB1034" t="str">
            <v>No</v>
          </cell>
          <cell r="AC1034" t="str">
            <v>31/08/2013</v>
          </cell>
          <cell r="AD1034" t="str">
            <v>Good</v>
          </cell>
          <cell r="AE1034" t="str">
            <v>V1 - Existing / No Claim</v>
          </cell>
          <cell r="AF1034">
            <v>42793</v>
          </cell>
          <cell r="AG1034">
            <v>9.17</v>
          </cell>
          <cell r="AH1034" t="str">
            <v>PPM</v>
          </cell>
          <cell r="AI1034" t="str">
            <v>Strands</v>
          </cell>
          <cell r="AJ1034" t="str">
            <v>Strands PW</v>
          </cell>
        </row>
        <row r="1035">
          <cell r="A1035" t="str">
            <v>IKN400615</v>
          </cell>
          <cell r="B1035">
            <v>615</v>
          </cell>
          <cell r="C1035" t="str">
            <v>Institut Kanser Negara</v>
          </cell>
          <cell r="D1035" t="str">
            <v>KKM/IKN/H/13/1578</v>
          </cell>
          <cell r="E1035" t="str">
            <v>13-215</v>
          </cell>
          <cell r="F1035" t="str">
            <v>Infusion Pumps, General-Purpose</v>
          </cell>
          <cell r="G1035" t="str">
            <v>DO</v>
          </cell>
          <cell r="H1035" t="str">
            <v>DAY ONCOLOGY UNIT</v>
          </cell>
          <cell r="I1035" t="str">
            <v>04DO118</v>
          </cell>
          <cell r="J1035" t="str">
            <v>TREATMENT BAY 1</v>
          </cell>
          <cell r="K1035" t="str">
            <v>BMED</v>
          </cell>
          <cell r="L1035" t="str">
            <v>Critical</v>
          </cell>
          <cell r="M1035" t="str">
            <v>Germany</v>
          </cell>
          <cell r="N1035" t="str">
            <v>Infusomat</v>
          </cell>
          <cell r="O1035" t="str">
            <v>Infusomat Space</v>
          </cell>
          <cell r="P1035" t="str">
            <v>212157</v>
          </cell>
          <cell r="Q1035" t="str">
            <v>Not Applicable</v>
          </cell>
          <cell r="R1035" t="str">
            <v>B Braun Melsungen AG</v>
          </cell>
          <cell r="S1035" t="str">
            <v>B Braun Medical Supplies Sdn. Bhd.</v>
          </cell>
          <cell r="T1035" t="str">
            <v>Functioning</v>
          </cell>
          <cell r="U1035" t="str">
            <v>Asset</v>
          </cell>
          <cell r="V1035">
            <v>10825</v>
          </cell>
          <cell r="W1035" t="str">
            <v>KEW</v>
          </cell>
          <cell r="X1035" t="str">
            <v>01/09/2010</v>
          </cell>
          <cell r="Y1035" t="str">
            <v>KEW</v>
          </cell>
          <cell r="Z1035" t="str">
            <v>16/08/2013</v>
          </cell>
          <cell r="AA1035" t="str">
            <v>15/08/2015</v>
          </cell>
          <cell r="AB1035" t="str">
            <v>No</v>
          </cell>
          <cell r="AC1035" t="str">
            <v>31/08/2013</v>
          </cell>
          <cell r="AD1035" t="str">
            <v>Good</v>
          </cell>
          <cell r="AE1035" t="str">
            <v>V1 - Existing / No Claim</v>
          </cell>
          <cell r="AF1035">
            <v>42793</v>
          </cell>
          <cell r="AG1035">
            <v>9.17</v>
          </cell>
          <cell r="AH1035" t="str">
            <v>PPM</v>
          </cell>
          <cell r="AI1035" t="str">
            <v>Strands</v>
          </cell>
          <cell r="AJ1035" t="str">
            <v>Strands PW</v>
          </cell>
        </row>
        <row r="1036">
          <cell r="A1036" t="str">
            <v>IKN400616</v>
          </cell>
          <cell r="B1036">
            <v>616</v>
          </cell>
          <cell r="C1036" t="str">
            <v>Institut Kanser Negara</v>
          </cell>
          <cell r="D1036" t="str">
            <v>KKM/IKN/H/13/2416</v>
          </cell>
          <cell r="E1036" t="str">
            <v>12-647</v>
          </cell>
          <cell r="F1036" t="str">
            <v>Physiologic Monitoring Systems, Acute Care</v>
          </cell>
          <cell r="G1036" t="str">
            <v>DO</v>
          </cell>
          <cell r="H1036" t="str">
            <v>DAY ONCOLOGY UNIT</v>
          </cell>
          <cell r="I1036" t="str">
            <v>04DO118</v>
          </cell>
          <cell r="J1036" t="str">
            <v>TREATMENT BAY 1</v>
          </cell>
          <cell r="K1036" t="str">
            <v>BMED</v>
          </cell>
          <cell r="L1036" t="str">
            <v>Critical</v>
          </cell>
          <cell r="M1036" t="str">
            <v>USA</v>
          </cell>
          <cell r="N1036" t="str">
            <v>GE</v>
          </cell>
          <cell r="O1036" t="str">
            <v>GE B30</v>
          </cell>
          <cell r="P1036" t="str">
            <v>SF312315864WA</v>
          </cell>
          <cell r="Q1036" t="str">
            <v>Not Applicable</v>
          </cell>
          <cell r="R1036" t="str">
            <v>GE Healthcare Systems</v>
          </cell>
          <cell r="S1036" t="str">
            <v>GE Healthcare Technologies</v>
          </cell>
          <cell r="T1036" t="str">
            <v>Functioning</v>
          </cell>
          <cell r="U1036" t="str">
            <v>Asset</v>
          </cell>
          <cell r="V1036">
            <v>44510</v>
          </cell>
          <cell r="W1036" t="str">
            <v>KEW</v>
          </cell>
          <cell r="X1036" t="str">
            <v>01/09/2010</v>
          </cell>
          <cell r="Y1036" t="str">
            <v>KEW</v>
          </cell>
          <cell r="Z1036" t="str">
            <v>16/08/2013</v>
          </cell>
          <cell r="AA1036" t="str">
            <v>15/08/2015</v>
          </cell>
          <cell r="AB1036" t="str">
            <v>No</v>
          </cell>
          <cell r="AC1036" t="str">
            <v>31/08/2013</v>
          </cell>
          <cell r="AD1036" t="str">
            <v>Good</v>
          </cell>
          <cell r="AE1036" t="str">
            <v>V1 - Existing / No Claim</v>
          </cell>
          <cell r="AF1036">
            <v>42793</v>
          </cell>
          <cell r="AG1036">
            <v>9.17</v>
          </cell>
          <cell r="AH1036" t="str">
            <v>PPM</v>
          </cell>
          <cell r="AI1036" t="str">
            <v>Strands</v>
          </cell>
          <cell r="AJ1036" t="str">
            <v>Strands PW</v>
          </cell>
        </row>
        <row r="1037">
          <cell r="A1037" t="str">
            <v>IKN400617</v>
          </cell>
          <cell r="B1037">
            <v>617</v>
          </cell>
          <cell r="C1037" t="str">
            <v>Institut Kanser Negara</v>
          </cell>
          <cell r="D1037" t="str">
            <v>KKM/IKN/H/13/1601</v>
          </cell>
          <cell r="E1037" t="str">
            <v>17-950</v>
          </cell>
          <cell r="F1037" t="str">
            <v>Warming Units, Patient, Forced-Air</v>
          </cell>
          <cell r="G1037" t="str">
            <v>DO</v>
          </cell>
          <cell r="H1037" t="str">
            <v>DAY ONCOLOGY UNIT</v>
          </cell>
          <cell r="I1037" t="str">
            <v>04DO118</v>
          </cell>
          <cell r="J1037" t="str">
            <v>TREATMENT BAY 1</v>
          </cell>
          <cell r="K1037" t="str">
            <v>BMED</v>
          </cell>
          <cell r="L1037" t="str">
            <v>Normal</v>
          </cell>
          <cell r="M1037" t="str">
            <v>USA</v>
          </cell>
          <cell r="N1037" t="str">
            <v>Bair Hugger</v>
          </cell>
          <cell r="O1037" t="str">
            <v>Bair Hugger 775</v>
          </cell>
          <cell r="P1037" t="str">
            <v>35935</v>
          </cell>
          <cell r="Q1037" t="str">
            <v>Not Applicable</v>
          </cell>
          <cell r="R1037" t="str">
            <v>Arizant Healthcare Inc</v>
          </cell>
          <cell r="S1037" t="str">
            <v>Calmed Healthcare Sdn Bhd</v>
          </cell>
          <cell r="T1037" t="str">
            <v>Functioning</v>
          </cell>
          <cell r="U1037" t="str">
            <v>Asset</v>
          </cell>
          <cell r="V1037">
            <v>15515</v>
          </cell>
          <cell r="W1037" t="str">
            <v>KEW</v>
          </cell>
          <cell r="X1037" t="str">
            <v>01/09/2010</v>
          </cell>
          <cell r="Y1037" t="str">
            <v>KEW</v>
          </cell>
          <cell r="Z1037" t="str">
            <v>16/08/2013</v>
          </cell>
          <cell r="AA1037" t="str">
            <v>15/08/2015</v>
          </cell>
          <cell r="AB1037" t="str">
            <v>No</v>
          </cell>
          <cell r="AC1037" t="str">
            <v>31/08/2013</v>
          </cell>
          <cell r="AD1037" t="str">
            <v>Good</v>
          </cell>
          <cell r="AE1037" t="str">
            <v>V1 - Existing / No Claim</v>
          </cell>
          <cell r="AF1037">
            <v>42793</v>
          </cell>
          <cell r="AG1037">
            <v>9.17</v>
          </cell>
          <cell r="AH1037" t="str">
            <v>PPM</v>
          </cell>
          <cell r="AI1037" t="str">
            <v>Strands</v>
          </cell>
          <cell r="AJ1037" t="str">
            <v>Strands PW</v>
          </cell>
        </row>
        <row r="1038">
          <cell r="A1038" t="str">
            <v>IKN400618</v>
          </cell>
          <cell r="B1038">
            <v>618</v>
          </cell>
          <cell r="C1038" t="str">
            <v>Institut Kanser Negara</v>
          </cell>
          <cell r="D1038" t="str">
            <v>KKM/IKN/H/13/1602</v>
          </cell>
          <cell r="E1038" t="str">
            <v>17-950</v>
          </cell>
          <cell r="F1038" t="str">
            <v>Warming Units, Patient, Forced-Air</v>
          </cell>
          <cell r="G1038" t="str">
            <v>DO</v>
          </cell>
          <cell r="H1038" t="str">
            <v>DAY ONCOLOGY UNIT</v>
          </cell>
          <cell r="I1038" t="str">
            <v>04DO118</v>
          </cell>
          <cell r="J1038" t="str">
            <v>TREATMENT BAY 1</v>
          </cell>
          <cell r="K1038" t="str">
            <v>BMED</v>
          </cell>
          <cell r="L1038" t="str">
            <v>Normal</v>
          </cell>
          <cell r="M1038" t="str">
            <v>USA</v>
          </cell>
          <cell r="N1038" t="str">
            <v>Bair Hugger</v>
          </cell>
          <cell r="O1038" t="str">
            <v>Bair Hugger 775</v>
          </cell>
          <cell r="P1038" t="str">
            <v>35936</v>
          </cell>
          <cell r="Q1038" t="str">
            <v>Not Applicable</v>
          </cell>
          <cell r="R1038" t="str">
            <v>Arizant Healthcare Inc</v>
          </cell>
          <cell r="S1038" t="str">
            <v>Calmed Healthcare Sdn Bhd</v>
          </cell>
          <cell r="T1038" t="str">
            <v>Functioning</v>
          </cell>
          <cell r="U1038" t="str">
            <v>Asset</v>
          </cell>
          <cell r="V1038">
            <v>15515</v>
          </cell>
          <cell r="W1038" t="str">
            <v>KEW</v>
          </cell>
          <cell r="X1038" t="str">
            <v>01/09/2010</v>
          </cell>
          <cell r="Y1038" t="str">
            <v>KEW</v>
          </cell>
          <cell r="Z1038" t="str">
            <v>16/08/2013</v>
          </cell>
          <cell r="AA1038" t="str">
            <v>15/08/2015</v>
          </cell>
          <cell r="AB1038" t="str">
            <v>No</v>
          </cell>
          <cell r="AC1038" t="str">
            <v>31/08/2013</v>
          </cell>
          <cell r="AD1038" t="str">
            <v>Good</v>
          </cell>
          <cell r="AE1038" t="str">
            <v>V1 - Existing / No Claim</v>
          </cell>
          <cell r="AF1038">
            <v>42793</v>
          </cell>
          <cell r="AG1038">
            <v>9.17</v>
          </cell>
          <cell r="AH1038" t="str">
            <v>PPM</v>
          </cell>
          <cell r="AI1038" t="str">
            <v>Strands</v>
          </cell>
          <cell r="AJ1038" t="str">
            <v>Strands PW</v>
          </cell>
        </row>
        <row r="1039">
          <cell r="A1039" t="str">
            <v>IKN400619</v>
          </cell>
          <cell r="B1039">
            <v>619</v>
          </cell>
          <cell r="C1039" t="str">
            <v>Institut Kanser Negara</v>
          </cell>
          <cell r="D1039" t="e">
            <v>#N/A</v>
          </cell>
          <cell r="E1039" t="str">
            <v>13-215</v>
          </cell>
          <cell r="F1039" t="str">
            <v>Infusion Pumps, General-Purpose</v>
          </cell>
          <cell r="G1039" t="str">
            <v>DO</v>
          </cell>
          <cell r="H1039" t="str">
            <v>DAY ONCOLOGY UNIT</v>
          </cell>
          <cell r="I1039" t="str">
            <v>04DO119</v>
          </cell>
          <cell r="J1039" t="str">
            <v>TREATMENT BAY 2</v>
          </cell>
          <cell r="K1039" t="str">
            <v>BMED</v>
          </cell>
          <cell r="L1039" t="str">
            <v>Critical</v>
          </cell>
          <cell r="M1039" t="str">
            <v>Germany</v>
          </cell>
          <cell r="N1039" t="str">
            <v>Infusomat</v>
          </cell>
          <cell r="O1039" t="str">
            <v>Infusomat Space</v>
          </cell>
          <cell r="P1039" t="str">
            <v>200157</v>
          </cell>
          <cell r="Q1039" t="str">
            <v>Not Applicable</v>
          </cell>
          <cell r="R1039" t="str">
            <v>B Braun Melsungen AG</v>
          </cell>
          <cell r="S1039" t="str">
            <v>B Braun Medical Supplies Sdn. Bhd.</v>
          </cell>
          <cell r="T1039" t="str">
            <v>Functioning</v>
          </cell>
          <cell r="U1039" t="str">
            <v>Asset</v>
          </cell>
          <cell r="V1039">
            <v>10825</v>
          </cell>
          <cell r="W1039" t="str">
            <v>KEW</v>
          </cell>
          <cell r="X1039" t="str">
            <v>01/09/2010</v>
          </cell>
          <cell r="Y1039" t="str">
            <v>KEW</v>
          </cell>
          <cell r="Z1039" t="str">
            <v>16/08/2013</v>
          </cell>
          <cell r="AA1039" t="str">
            <v>15/08/2015</v>
          </cell>
          <cell r="AB1039" t="str">
            <v>No</v>
          </cell>
          <cell r="AC1039" t="str">
            <v>31/08/2013</v>
          </cell>
          <cell r="AD1039" t="str">
            <v>Good</v>
          </cell>
          <cell r="AE1039" t="str">
            <v>V1 - Existing / No Claim</v>
          </cell>
          <cell r="AF1039">
            <v>42793</v>
          </cell>
          <cell r="AG1039">
            <v>9.17</v>
          </cell>
          <cell r="AH1039" t="str">
            <v>PPM</v>
          </cell>
          <cell r="AI1039" t="str">
            <v>Propose P1.24</v>
          </cell>
        </row>
        <row r="1040">
          <cell r="A1040" t="str">
            <v>IKN400620</v>
          </cell>
          <cell r="B1040">
            <v>620</v>
          </cell>
          <cell r="C1040" t="str">
            <v>Institut Kanser Negara</v>
          </cell>
          <cell r="D1040" t="str">
            <v>KKM/IKN/H/13/1580</v>
          </cell>
          <cell r="E1040" t="str">
            <v>13-215</v>
          </cell>
          <cell r="F1040" t="str">
            <v>Infusion Pumps, General-Purpose</v>
          </cell>
          <cell r="G1040" t="str">
            <v>DO</v>
          </cell>
          <cell r="H1040" t="str">
            <v>DAY ONCOLOGY UNIT</v>
          </cell>
          <cell r="I1040" t="str">
            <v>04DO119</v>
          </cell>
          <cell r="J1040" t="str">
            <v>TREATMENT BAY 2</v>
          </cell>
          <cell r="K1040" t="str">
            <v>BMED</v>
          </cell>
          <cell r="L1040" t="str">
            <v>Critical</v>
          </cell>
          <cell r="M1040" t="str">
            <v>Germany</v>
          </cell>
          <cell r="N1040" t="str">
            <v>Infusomat</v>
          </cell>
          <cell r="O1040" t="str">
            <v>Infusomat Space</v>
          </cell>
          <cell r="P1040" t="str">
            <v>212077</v>
          </cell>
          <cell r="Q1040" t="str">
            <v>Not Applicable</v>
          </cell>
          <cell r="R1040" t="str">
            <v>B Braun Melsungen AG</v>
          </cell>
          <cell r="S1040" t="str">
            <v>B Braun Medical Supplies Sdn. Bhd.</v>
          </cell>
          <cell r="T1040" t="str">
            <v>Functioning</v>
          </cell>
          <cell r="U1040" t="str">
            <v>Asset</v>
          </cell>
          <cell r="V1040">
            <v>10825</v>
          </cell>
          <cell r="W1040" t="str">
            <v>KEW</v>
          </cell>
          <cell r="X1040" t="str">
            <v>01/09/2010</v>
          </cell>
          <cell r="Y1040" t="str">
            <v>KEW</v>
          </cell>
          <cell r="Z1040" t="str">
            <v>16/08/2013</v>
          </cell>
          <cell r="AA1040" t="str">
            <v>15/08/2015</v>
          </cell>
          <cell r="AB1040" t="str">
            <v>No</v>
          </cell>
          <cell r="AC1040" t="str">
            <v>31/08/2013</v>
          </cell>
          <cell r="AD1040" t="str">
            <v>Good</v>
          </cell>
          <cell r="AE1040" t="str">
            <v>V1 - Existing / No Claim</v>
          </cell>
          <cell r="AF1040">
            <v>42793</v>
          </cell>
          <cell r="AG1040">
            <v>9.17</v>
          </cell>
          <cell r="AH1040" t="str">
            <v>PPM</v>
          </cell>
          <cell r="AI1040" t="str">
            <v>Strands</v>
          </cell>
          <cell r="AJ1040" t="str">
            <v>Strands PW</v>
          </cell>
        </row>
        <row r="1041">
          <cell r="A1041" t="str">
            <v>IKN400621</v>
          </cell>
          <cell r="B1041">
            <v>621</v>
          </cell>
          <cell r="C1041" t="str">
            <v>Institut Kanser Negara</v>
          </cell>
          <cell r="D1041" t="str">
            <v>KKM/IKN/H/13/1581</v>
          </cell>
          <cell r="E1041" t="str">
            <v>13-215</v>
          </cell>
          <cell r="F1041" t="str">
            <v>Infusion Pumps, General-Purpose</v>
          </cell>
          <cell r="G1041" t="str">
            <v>DO</v>
          </cell>
          <cell r="H1041" t="str">
            <v>DAY ONCOLOGY UNIT</v>
          </cell>
          <cell r="I1041" t="str">
            <v>04DO119</v>
          </cell>
          <cell r="J1041" t="str">
            <v>TREATMENT BAY 2</v>
          </cell>
          <cell r="K1041" t="str">
            <v>BMED</v>
          </cell>
          <cell r="L1041" t="str">
            <v>Critical</v>
          </cell>
          <cell r="M1041" t="str">
            <v>Germany</v>
          </cell>
          <cell r="N1041" t="str">
            <v>Infusomat</v>
          </cell>
          <cell r="O1041" t="str">
            <v>Infusomat Space</v>
          </cell>
          <cell r="P1041" t="str">
            <v>212092</v>
          </cell>
          <cell r="Q1041" t="str">
            <v>Not Applicable</v>
          </cell>
          <cell r="R1041" t="str">
            <v>B Braun Melsungen AG</v>
          </cell>
          <cell r="S1041" t="str">
            <v>B Braun Medical Supplies Sdn. Bhd.</v>
          </cell>
          <cell r="T1041" t="str">
            <v>Functioning</v>
          </cell>
          <cell r="U1041" t="str">
            <v>Asset</v>
          </cell>
          <cell r="V1041">
            <v>10825</v>
          </cell>
          <cell r="W1041" t="str">
            <v>KEW</v>
          </cell>
          <cell r="X1041" t="str">
            <v>01/09/2010</v>
          </cell>
          <cell r="Y1041" t="str">
            <v>KEW</v>
          </cell>
          <cell r="Z1041" t="str">
            <v>16/08/2013</v>
          </cell>
          <cell r="AA1041" t="str">
            <v>15/08/2015</v>
          </cell>
          <cell r="AB1041" t="str">
            <v>No</v>
          </cell>
          <cell r="AC1041" t="str">
            <v>31/08/2013</v>
          </cell>
          <cell r="AD1041" t="str">
            <v>Good</v>
          </cell>
          <cell r="AE1041" t="str">
            <v>V1 - Existing / No Claim</v>
          </cell>
          <cell r="AF1041">
            <v>42793</v>
          </cell>
          <cell r="AG1041">
            <v>9.17</v>
          </cell>
          <cell r="AH1041" t="str">
            <v>PPM</v>
          </cell>
          <cell r="AI1041" t="str">
            <v>Strands</v>
          </cell>
          <cell r="AJ1041" t="str">
            <v>Strands PW</v>
          </cell>
        </row>
        <row r="1042">
          <cell r="A1042" t="str">
            <v>IKN400622</v>
          </cell>
          <cell r="B1042">
            <v>622</v>
          </cell>
          <cell r="C1042" t="str">
            <v>Institut Kanser Negara</v>
          </cell>
          <cell r="D1042" t="str">
            <v>KKM/IKN/H/13/1582</v>
          </cell>
          <cell r="E1042" t="str">
            <v>13-215</v>
          </cell>
          <cell r="F1042" t="str">
            <v>Infusion Pumps, General-Purpose</v>
          </cell>
          <cell r="G1042" t="str">
            <v>DO</v>
          </cell>
          <cell r="H1042" t="str">
            <v>DAY ONCOLOGY UNIT</v>
          </cell>
          <cell r="I1042" t="str">
            <v>04DO119</v>
          </cell>
          <cell r="J1042" t="str">
            <v>TREATMENT BAY 2</v>
          </cell>
          <cell r="K1042" t="str">
            <v>BMED</v>
          </cell>
          <cell r="L1042" t="str">
            <v>Critical</v>
          </cell>
          <cell r="M1042" t="str">
            <v>Germany</v>
          </cell>
          <cell r="N1042" t="str">
            <v>Infusomat</v>
          </cell>
          <cell r="O1042" t="str">
            <v>Infusomat Space</v>
          </cell>
          <cell r="P1042" t="str">
            <v>212110</v>
          </cell>
          <cell r="Q1042" t="str">
            <v>Not Applicable</v>
          </cell>
          <cell r="R1042" t="str">
            <v>B Braun Melsungen AG</v>
          </cell>
          <cell r="S1042" t="str">
            <v>B Braun Medical Supplies Sdn. Bhd.</v>
          </cell>
          <cell r="T1042" t="str">
            <v>Functioning</v>
          </cell>
          <cell r="U1042" t="str">
            <v>Asset</v>
          </cell>
          <cell r="V1042">
            <v>10825</v>
          </cell>
          <cell r="W1042" t="str">
            <v>KEW</v>
          </cell>
          <cell r="X1042" t="str">
            <v>01/09/2010</v>
          </cell>
          <cell r="Y1042" t="str">
            <v>KEW</v>
          </cell>
          <cell r="Z1042" t="str">
            <v>16/08/2013</v>
          </cell>
          <cell r="AA1042" t="str">
            <v>15/08/2015</v>
          </cell>
          <cell r="AB1042" t="str">
            <v>No</v>
          </cell>
          <cell r="AC1042" t="str">
            <v>31/08/2013</v>
          </cell>
          <cell r="AD1042" t="str">
            <v>Good</v>
          </cell>
          <cell r="AE1042" t="str">
            <v>V1 - Existing / No Claim</v>
          </cell>
          <cell r="AF1042">
            <v>42793</v>
          </cell>
          <cell r="AG1042">
            <v>9.17</v>
          </cell>
          <cell r="AH1042" t="str">
            <v>PPM</v>
          </cell>
          <cell r="AI1042" t="str">
            <v>Strands</v>
          </cell>
          <cell r="AJ1042" t="str">
            <v>Strands PW</v>
          </cell>
        </row>
        <row r="1043">
          <cell r="A1043" t="str">
            <v>IKN400623</v>
          </cell>
          <cell r="B1043">
            <v>623</v>
          </cell>
          <cell r="C1043" t="str">
            <v>Institut Kanser Negara</v>
          </cell>
          <cell r="D1043" t="str">
            <v>KKM/IKN/H/13/1583</v>
          </cell>
          <cell r="E1043" t="str">
            <v>13-215</v>
          </cell>
          <cell r="F1043" t="str">
            <v>Infusion Pumps, General-Purpose</v>
          </cell>
          <cell r="G1043" t="str">
            <v>DO</v>
          </cell>
          <cell r="H1043" t="str">
            <v>DAY ONCOLOGY UNIT</v>
          </cell>
          <cell r="I1043" t="str">
            <v>04DO119</v>
          </cell>
          <cell r="J1043" t="str">
            <v>TREATMENT BAY 2</v>
          </cell>
          <cell r="K1043" t="str">
            <v>BMED</v>
          </cell>
          <cell r="L1043" t="str">
            <v>Critical</v>
          </cell>
          <cell r="M1043" t="str">
            <v>Germany</v>
          </cell>
          <cell r="N1043" t="str">
            <v>Infusomat</v>
          </cell>
          <cell r="O1043" t="str">
            <v>Infusomat Space</v>
          </cell>
          <cell r="P1043" t="str">
            <v>212255</v>
          </cell>
          <cell r="Q1043" t="str">
            <v>Not Applicable</v>
          </cell>
          <cell r="R1043" t="str">
            <v>B Braun Melsungen AG</v>
          </cell>
          <cell r="S1043" t="str">
            <v>B Braun Medical Supplies Sdn. Bhd.</v>
          </cell>
          <cell r="T1043" t="str">
            <v>Functioning</v>
          </cell>
          <cell r="U1043" t="str">
            <v>Asset</v>
          </cell>
          <cell r="V1043">
            <v>10825</v>
          </cell>
          <cell r="W1043" t="str">
            <v>KEW</v>
          </cell>
          <cell r="X1043" t="str">
            <v>01/09/2010</v>
          </cell>
          <cell r="Y1043" t="str">
            <v>KEW</v>
          </cell>
          <cell r="Z1043" t="str">
            <v>16/08/2013</v>
          </cell>
          <cell r="AA1043" t="str">
            <v>15/08/2015</v>
          </cell>
          <cell r="AB1043" t="str">
            <v>No</v>
          </cell>
          <cell r="AC1043" t="str">
            <v>31/08/2013</v>
          </cell>
          <cell r="AD1043" t="str">
            <v>Good</v>
          </cell>
          <cell r="AE1043" t="str">
            <v>V1 - Existing / No Claim</v>
          </cell>
          <cell r="AF1043">
            <v>42793</v>
          </cell>
          <cell r="AG1043">
            <v>9.17</v>
          </cell>
          <cell r="AH1043" t="str">
            <v>PPM</v>
          </cell>
          <cell r="AI1043" t="str">
            <v>Strands</v>
          </cell>
          <cell r="AJ1043" t="str">
            <v>Strands PW</v>
          </cell>
        </row>
        <row r="1044">
          <cell r="A1044" t="str">
            <v>IKN400624</v>
          </cell>
          <cell r="B1044">
            <v>624</v>
          </cell>
          <cell r="C1044" t="str">
            <v>Institut Kanser Negara</v>
          </cell>
          <cell r="D1044" t="str">
            <v>KKM/IKN/H/13/1584</v>
          </cell>
          <cell r="E1044" t="str">
            <v>13-215</v>
          </cell>
          <cell r="F1044" t="str">
            <v>Infusion Pumps, General-Purpose</v>
          </cell>
          <cell r="G1044" t="str">
            <v>DO</v>
          </cell>
          <cell r="H1044" t="str">
            <v>DAY ONCOLOGY UNIT</v>
          </cell>
          <cell r="I1044" t="str">
            <v>04DO119</v>
          </cell>
          <cell r="J1044" t="str">
            <v>TREATMENT BAY 2</v>
          </cell>
          <cell r="K1044" t="str">
            <v>BMED</v>
          </cell>
          <cell r="L1044" t="str">
            <v>Critical</v>
          </cell>
          <cell r="M1044" t="str">
            <v>Germany</v>
          </cell>
          <cell r="N1044" t="str">
            <v>Infusomat</v>
          </cell>
          <cell r="O1044" t="str">
            <v>Infusomat Space</v>
          </cell>
          <cell r="P1044" t="str">
            <v>212005</v>
          </cell>
          <cell r="Q1044" t="str">
            <v>Not Applicable</v>
          </cell>
          <cell r="R1044" t="str">
            <v>B Braun Melsungen AG</v>
          </cell>
          <cell r="S1044" t="str">
            <v>B Braun Medical Supplies Sdn. Bhd.</v>
          </cell>
          <cell r="T1044" t="str">
            <v>Functioning</v>
          </cell>
          <cell r="U1044" t="str">
            <v>Asset</v>
          </cell>
          <cell r="V1044">
            <v>10825</v>
          </cell>
          <cell r="W1044" t="str">
            <v>KEW</v>
          </cell>
          <cell r="X1044" t="str">
            <v>01/09/2010</v>
          </cell>
          <cell r="Y1044" t="str">
            <v>KEW</v>
          </cell>
          <cell r="Z1044" t="str">
            <v>16/08/2013</v>
          </cell>
          <cell r="AA1044" t="str">
            <v>15/08/2015</v>
          </cell>
          <cell r="AB1044" t="str">
            <v>No</v>
          </cell>
          <cell r="AC1044" t="str">
            <v>31/08/2013</v>
          </cell>
          <cell r="AD1044" t="str">
            <v>Good</v>
          </cell>
          <cell r="AE1044" t="str">
            <v>V1 - Existing / No Claim</v>
          </cell>
          <cell r="AF1044">
            <v>42793</v>
          </cell>
          <cell r="AG1044">
            <v>9.17</v>
          </cell>
          <cell r="AH1044" t="str">
            <v>PPM</v>
          </cell>
          <cell r="AI1044" t="str">
            <v>Strands</v>
          </cell>
          <cell r="AJ1044" t="str">
            <v>Strands PW</v>
          </cell>
        </row>
        <row r="1045">
          <cell r="A1045" t="str">
            <v>IKN400625</v>
          </cell>
          <cell r="B1045">
            <v>625</v>
          </cell>
          <cell r="C1045" t="str">
            <v>Institut Kanser Negara</v>
          </cell>
          <cell r="D1045" t="str">
            <v>KKM/IKN/H/13/5132</v>
          </cell>
          <cell r="E1045" t="str">
            <v>12-647</v>
          </cell>
          <cell r="F1045" t="str">
            <v>Physiologic Monitoring Systems, Acute Care</v>
          </cell>
          <cell r="G1045" t="str">
            <v>DO</v>
          </cell>
          <cell r="H1045" t="str">
            <v>DAY ONCOLOGY UNIT</v>
          </cell>
          <cell r="I1045" t="str">
            <v>04DO119</v>
          </cell>
          <cell r="J1045" t="str">
            <v>TREATMENT BAY 2</v>
          </cell>
          <cell r="K1045" t="str">
            <v>BMED</v>
          </cell>
          <cell r="L1045" t="str">
            <v>Normal</v>
          </cell>
          <cell r="M1045" t="str">
            <v>USA</v>
          </cell>
          <cell r="N1045" t="str">
            <v>GE</v>
          </cell>
          <cell r="O1045" t="str">
            <v>GE B30</v>
          </cell>
          <cell r="P1045" t="str">
            <v>SF312325901WA</v>
          </cell>
          <cell r="Q1045" t="str">
            <v>Not Applicable</v>
          </cell>
          <cell r="R1045" t="str">
            <v>GE Healthcare Systems</v>
          </cell>
          <cell r="S1045" t="str">
            <v>GE Healthcare Technologies</v>
          </cell>
          <cell r="T1045" t="str">
            <v>Functioning</v>
          </cell>
          <cell r="U1045" t="str">
            <v>Asset</v>
          </cell>
          <cell r="V1045">
            <v>44510</v>
          </cell>
          <cell r="W1045" t="str">
            <v>KEW</v>
          </cell>
          <cell r="X1045" t="str">
            <v>01/09/2010</v>
          </cell>
          <cell r="Y1045" t="str">
            <v>KEW</v>
          </cell>
          <cell r="Z1045" t="str">
            <v>16/08/2013</v>
          </cell>
          <cell r="AA1045" t="str">
            <v>15/08/2015</v>
          </cell>
          <cell r="AB1045" t="str">
            <v>No</v>
          </cell>
          <cell r="AC1045" t="str">
            <v>31/08/2013</v>
          </cell>
          <cell r="AD1045" t="str">
            <v>Good</v>
          </cell>
          <cell r="AE1045" t="str">
            <v>V1 - Existing / No Claim</v>
          </cell>
          <cell r="AF1045">
            <v>42235</v>
          </cell>
          <cell r="AG1045">
            <v>9.17</v>
          </cell>
          <cell r="AH1045" t="str">
            <v>PPM</v>
          </cell>
          <cell r="AI1045" t="str">
            <v>Strands</v>
          </cell>
          <cell r="AJ1045" t="str">
            <v>Strands PW</v>
          </cell>
        </row>
        <row r="1046">
          <cell r="A1046" t="str">
            <v>IKN400626</v>
          </cell>
          <cell r="B1046">
            <v>626</v>
          </cell>
          <cell r="C1046" t="str">
            <v>Institut Kanser Negara</v>
          </cell>
          <cell r="D1046" t="str">
            <v>KKM/IKN/H/13/1603</v>
          </cell>
          <cell r="E1046" t="str">
            <v>17-950</v>
          </cell>
          <cell r="F1046" t="str">
            <v>Warming Units, Patient, Forced-Air</v>
          </cell>
          <cell r="G1046" t="str">
            <v>RT</v>
          </cell>
          <cell r="H1046" t="str">
            <v>RADIATION TREATMENT UNIT</v>
          </cell>
          <cell r="I1046" t="str">
            <v>01RT243</v>
          </cell>
          <cell r="J1046" t="str">
            <v>NURSE STATION</v>
          </cell>
          <cell r="K1046" t="str">
            <v>BMED</v>
          </cell>
          <cell r="L1046" t="str">
            <v>Normal</v>
          </cell>
          <cell r="M1046" t="str">
            <v>USA</v>
          </cell>
          <cell r="N1046" t="str">
            <v>Bair Hugger</v>
          </cell>
          <cell r="O1046" t="str">
            <v>Bair Hugger 775</v>
          </cell>
          <cell r="P1046" t="str">
            <v>35938</v>
          </cell>
          <cell r="Q1046" t="str">
            <v>Not Applicable</v>
          </cell>
          <cell r="R1046" t="str">
            <v>Arizant Healthcare Inc</v>
          </cell>
          <cell r="S1046" t="str">
            <v>Calmed Healthcare Sdn Bhd</v>
          </cell>
          <cell r="T1046" t="str">
            <v>Functioning</v>
          </cell>
          <cell r="U1046" t="str">
            <v>Asset</v>
          </cell>
          <cell r="V1046">
            <v>15515</v>
          </cell>
          <cell r="W1046" t="str">
            <v>KEW</v>
          </cell>
          <cell r="X1046" t="str">
            <v>01/09/2010</v>
          </cell>
          <cell r="Y1046" t="str">
            <v>KEW</v>
          </cell>
          <cell r="Z1046" t="str">
            <v>16/08/2013</v>
          </cell>
          <cell r="AA1046" t="str">
            <v>15/08/2015</v>
          </cell>
          <cell r="AB1046" t="str">
            <v>No</v>
          </cell>
          <cell r="AC1046" t="str">
            <v>31/08/2013</v>
          </cell>
          <cell r="AD1046" t="str">
            <v>Good</v>
          </cell>
          <cell r="AE1046" t="str">
            <v>V1 - Existing / No Claim</v>
          </cell>
          <cell r="AF1046">
            <v>42871</v>
          </cell>
          <cell r="AG1046">
            <v>9.17</v>
          </cell>
          <cell r="AH1046" t="str">
            <v>PPM</v>
          </cell>
          <cell r="AI1046" t="str">
            <v>Strands</v>
          </cell>
          <cell r="AJ1046" t="str">
            <v>Strands PW</v>
          </cell>
        </row>
        <row r="1047">
          <cell r="A1047" t="str">
            <v>IKN400627</v>
          </cell>
          <cell r="B1047">
            <v>627</v>
          </cell>
          <cell r="C1047" t="str">
            <v>Institut Kanser Negara</v>
          </cell>
          <cell r="D1047" t="str">
            <v>KKM/IKN/H/13/1604</v>
          </cell>
          <cell r="E1047" t="str">
            <v>17-950</v>
          </cell>
          <cell r="F1047" t="str">
            <v>Warming Units, Patient, Forced-Air</v>
          </cell>
          <cell r="G1047" t="str">
            <v>DO</v>
          </cell>
          <cell r="H1047" t="str">
            <v>DAY ONCOLOGY UNIT</v>
          </cell>
          <cell r="I1047" t="str">
            <v>04DO119</v>
          </cell>
          <cell r="J1047" t="str">
            <v>TREATMENT BAY 2</v>
          </cell>
          <cell r="K1047" t="str">
            <v>BMED</v>
          </cell>
          <cell r="L1047" t="str">
            <v>Normal</v>
          </cell>
          <cell r="M1047" t="str">
            <v>USA</v>
          </cell>
          <cell r="N1047" t="str">
            <v>Bair Hugger</v>
          </cell>
          <cell r="O1047" t="str">
            <v>Bair Hugger 775</v>
          </cell>
          <cell r="P1047" t="str">
            <v>35937</v>
          </cell>
          <cell r="Q1047" t="str">
            <v>Not Applicable</v>
          </cell>
          <cell r="R1047" t="str">
            <v>Arizant Healthcare Inc</v>
          </cell>
          <cell r="S1047" t="str">
            <v>Calmed Healthcare Sdn Bhd</v>
          </cell>
          <cell r="T1047" t="str">
            <v>Functioning</v>
          </cell>
          <cell r="U1047" t="str">
            <v>Asset</v>
          </cell>
          <cell r="V1047">
            <v>15515</v>
          </cell>
          <cell r="W1047" t="str">
            <v>KEW</v>
          </cell>
          <cell r="X1047" t="str">
            <v>01/09/2010</v>
          </cell>
          <cell r="Y1047" t="str">
            <v>KEW</v>
          </cell>
          <cell r="Z1047" t="str">
            <v>16/08/2013</v>
          </cell>
          <cell r="AA1047" t="str">
            <v>15/08/2015</v>
          </cell>
          <cell r="AB1047" t="str">
            <v>No</v>
          </cell>
          <cell r="AC1047" t="str">
            <v>31/08/2013</v>
          </cell>
          <cell r="AD1047" t="str">
            <v>Good</v>
          </cell>
          <cell r="AE1047" t="str">
            <v>V1 - Existing / No Claim</v>
          </cell>
          <cell r="AF1047">
            <v>42793</v>
          </cell>
          <cell r="AG1047">
            <v>9.17</v>
          </cell>
          <cell r="AH1047" t="str">
            <v>PPM</v>
          </cell>
          <cell r="AI1047" t="str">
            <v>Strands</v>
          </cell>
          <cell r="AJ1047" t="str">
            <v>Strands PW</v>
          </cell>
        </row>
        <row r="1048">
          <cell r="A1048" t="str">
            <v>IKN400628</v>
          </cell>
          <cell r="B1048">
            <v>628</v>
          </cell>
          <cell r="C1048" t="str">
            <v>Institut Kanser Negara</v>
          </cell>
          <cell r="D1048" t="str">
            <v>KKM/IKN/H/13/1585</v>
          </cell>
          <cell r="E1048" t="str">
            <v>13-215</v>
          </cell>
          <cell r="F1048" t="str">
            <v>Infusion Pumps, General-Purpose</v>
          </cell>
          <cell r="G1048" t="str">
            <v>DO</v>
          </cell>
          <cell r="H1048" t="str">
            <v>DAY ONCOLOGY UNIT</v>
          </cell>
          <cell r="I1048" t="str">
            <v>04DO120</v>
          </cell>
          <cell r="J1048" t="str">
            <v>TREATMENT BAY 3</v>
          </cell>
          <cell r="K1048" t="str">
            <v>BMED</v>
          </cell>
          <cell r="L1048" t="str">
            <v>Critical</v>
          </cell>
          <cell r="M1048" t="str">
            <v>Germany</v>
          </cell>
          <cell r="N1048" t="str">
            <v>Infusomat</v>
          </cell>
          <cell r="O1048" t="str">
            <v>Infusomat Space</v>
          </cell>
          <cell r="P1048" t="str">
            <v>212037</v>
          </cell>
          <cell r="Q1048" t="str">
            <v>Not Applicable</v>
          </cell>
          <cell r="R1048" t="str">
            <v>B Braun Melsungen AG</v>
          </cell>
          <cell r="S1048" t="str">
            <v>B Braun Medical Supplies Sdn. Bhd.</v>
          </cell>
          <cell r="T1048" t="str">
            <v>Functioning</v>
          </cell>
          <cell r="U1048" t="str">
            <v>Asset</v>
          </cell>
          <cell r="V1048">
            <v>10825</v>
          </cell>
          <cell r="W1048" t="str">
            <v>KEW</v>
          </cell>
          <cell r="X1048" t="str">
            <v>01/09/2010</v>
          </cell>
          <cell r="Y1048" t="str">
            <v>KEW</v>
          </cell>
          <cell r="Z1048" t="str">
            <v>16/08/2013</v>
          </cell>
          <cell r="AA1048" t="str">
            <v>15/08/2015</v>
          </cell>
          <cell r="AB1048" t="str">
            <v>No</v>
          </cell>
          <cell r="AC1048" t="str">
            <v>31/08/2013</v>
          </cell>
          <cell r="AD1048" t="str">
            <v>Good</v>
          </cell>
          <cell r="AE1048" t="str">
            <v>V1 - Existing / No Claim</v>
          </cell>
          <cell r="AF1048">
            <v>42793</v>
          </cell>
          <cell r="AG1048">
            <v>9.17</v>
          </cell>
          <cell r="AH1048" t="str">
            <v>PPM</v>
          </cell>
          <cell r="AI1048" t="str">
            <v>Strands</v>
          </cell>
          <cell r="AJ1048" t="str">
            <v>Strands PW</v>
          </cell>
        </row>
        <row r="1049">
          <cell r="A1049" t="str">
            <v>IKN400629</v>
          </cell>
          <cell r="B1049">
            <v>629</v>
          </cell>
          <cell r="C1049" t="str">
            <v>Institut Kanser Negara</v>
          </cell>
          <cell r="D1049" t="str">
            <v>KKM/IKN/H/13/1586</v>
          </cell>
          <cell r="E1049" t="str">
            <v>13-215</v>
          </cell>
          <cell r="F1049" t="str">
            <v>Infusion Pumps, General-Purpose</v>
          </cell>
          <cell r="G1049" t="str">
            <v>DO</v>
          </cell>
          <cell r="H1049" t="str">
            <v>DAY ONCOLOGY UNIT</v>
          </cell>
          <cell r="I1049" t="str">
            <v>04DO120</v>
          </cell>
          <cell r="J1049" t="str">
            <v>TREATMENT BAY 3</v>
          </cell>
          <cell r="K1049" t="str">
            <v>BMED</v>
          </cell>
          <cell r="L1049" t="str">
            <v>Critical</v>
          </cell>
          <cell r="M1049" t="str">
            <v>Germany</v>
          </cell>
          <cell r="N1049" t="str">
            <v>Infusomat</v>
          </cell>
          <cell r="O1049" t="str">
            <v>Infusomat Space</v>
          </cell>
          <cell r="P1049" t="str">
            <v>212104</v>
          </cell>
          <cell r="Q1049" t="str">
            <v>Not Applicable</v>
          </cell>
          <cell r="R1049" t="str">
            <v>B Braun Melsungen AG</v>
          </cell>
          <cell r="S1049" t="str">
            <v>B Braun Medical Supplies Sdn. Bhd.</v>
          </cell>
          <cell r="T1049" t="str">
            <v>Functioning</v>
          </cell>
          <cell r="U1049" t="str">
            <v>Asset</v>
          </cell>
          <cell r="V1049">
            <v>10825</v>
          </cell>
          <cell r="W1049" t="str">
            <v>KEW</v>
          </cell>
          <cell r="X1049" t="str">
            <v>01/09/2010</v>
          </cell>
          <cell r="Y1049" t="str">
            <v>KEW</v>
          </cell>
          <cell r="Z1049" t="str">
            <v>16/08/2013</v>
          </cell>
          <cell r="AA1049" t="str">
            <v>15/08/2015</v>
          </cell>
          <cell r="AB1049" t="str">
            <v>No</v>
          </cell>
          <cell r="AC1049" t="str">
            <v>31/08/2013</v>
          </cell>
          <cell r="AD1049" t="str">
            <v>Good</v>
          </cell>
          <cell r="AE1049" t="str">
            <v>V1 - Existing / No Claim</v>
          </cell>
          <cell r="AF1049">
            <v>42793</v>
          </cell>
          <cell r="AG1049">
            <v>9.17</v>
          </cell>
          <cell r="AH1049" t="str">
            <v>PPM</v>
          </cell>
          <cell r="AI1049" t="str">
            <v>Strands</v>
          </cell>
          <cell r="AJ1049" t="str">
            <v>Strands PW</v>
          </cell>
        </row>
        <row r="1050">
          <cell r="A1050" t="str">
            <v>IKN400630</v>
          </cell>
          <cell r="B1050">
            <v>630</v>
          </cell>
          <cell r="C1050" t="str">
            <v>Institut Kanser Negara</v>
          </cell>
          <cell r="D1050" t="str">
            <v>KKM/IKN/H/13/1587</v>
          </cell>
          <cell r="E1050" t="str">
            <v>13-215</v>
          </cell>
          <cell r="F1050" t="str">
            <v>Infusion Pumps, General-Purpose</v>
          </cell>
          <cell r="G1050" t="str">
            <v>DO</v>
          </cell>
          <cell r="H1050" t="str">
            <v>DAY ONCOLOGY UNIT</v>
          </cell>
          <cell r="I1050" t="str">
            <v>04DO120</v>
          </cell>
          <cell r="J1050" t="str">
            <v>TREATMENT BAY 3</v>
          </cell>
          <cell r="K1050" t="str">
            <v>BMED</v>
          </cell>
          <cell r="L1050" t="str">
            <v>Critical</v>
          </cell>
          <cell r="M1050" t="str">
            <v>Germany</v>
          </cell>
          <cell r="N1050" t="str">
            <v>Infusomat</v>
          </cell>
          <cell r="O1050" t="str">
            <v>Infusomat Space</v>
          </cell>
          <cell r="P1050" t="str">
            <v>212062</v>
          </cell>
          <cell r="Q1050" t="str">
            <v>Not Applicable</v>
          </cell>
          <cell r="R1050" t="str">
            <v>B Braun Melsungen AG</v>
          </cell>
          <cell r="S1050" t="str">
            <v>B Braun Medical Supplies Sdn. Bhd.</v>
          </cell>
          <cell r="T1050" t="str">
            <v>Functioning</v>
          </cell>
          <cell r="U1050" t="str">
            <v>Asset</v>
          </cell>
          <cell r="V1050">
            <v>10825</v>
          </cell>
          <cell r="W1050" t="str">
            <v>KEW</v>
          </cell>
          <cell r="X1050" t="str">
            <v>01/09/2010</v>
          </cell>
          <cell r="Y1050" t="str">
            <v>KEW</v>
          </cell>
          <cell r="Z1050" t="str">
            <v>16/08/2013</v>
          </cell>
          <cell r="AA1050" t="str">
            <v>15/08/2015</v>
          </cell>
          <cell r="AB1050" t="str">
            <v>No</v>
          </cell>
          <cell r="AC1050" t="str">
            <v>31/08/2013</v>
          </cell>
          <cell r="AD1050" t="str">
            <v>Good</v>
          </cell>
          <cell r="AE1050" t="str">
            <v>V1 - Existing / No Claim</v>
          </cell>
          <cell r="AF1050">
            <v>42793</v>
          </cell>
          <cell r="AG1050">
            <v>9.17</v>
          </cell>
          <cell r="AH1050" t="str">
            <v>PPM</v>
          </cell>
          <cell r="AI1050" t="str">
            <v>Strands</v>
          </cell>
          <cell r="AJ1050" t="str">
            <v>Strands PW</v>
          </cell>
        </row>
        <row r="1051">
          <cell r="A1051" t="str">
            <v>IKN400631</v>
          </cell>
          <cell r="B1051">
            <v>631</v>
          </cell>
          <cell r="C1051" t="str">
            <v>Institut Kanser Negara</v>
          </cell>
          <cell r="D1051" t="str">
            <v>KKM/IKN/H/13/1588</v>
          </cell>
          <cell r="E1051" t="str">
            <v>13-215</v>
          </cell>
          <cell r="F1051" t="str">
            <v>Infusion Pumps, General-Purpose</v>
          </cell>
          <cell r="G1051" t="str">
            <v>DO</v>
          </cell>
          <cell r="H1051" t="str">
            <v>DAY ONCOLOGY UNIT</v>
          </cell>
          <cell r="I1051" t="str">
            <v>04DO120</v>
          </cell>
          <cell r="J1051" t="str">
            <v>TREATMENT BAY 3</v>
          </cell>
          <cell r="K1051" t="str">
            <v>BMED</v>
          </cell>
          <cell r="L1051" t="str">
            <v>Critical</v>
          </cell>
          <cell r="M1051" t="str">
            <v>Germany</v>
          </cell>
          <cell r="N1051" t="str">
            <v>Infusomat</v>
          </cell>
          <cell r="O1051" t="str">
            <v>Infusomat Space</v>
          </cell>
          <cell r="P1051" t="str">
            <v>212106</v>
          </cell>
          <cell r="Q1051" t="str">
            <v>Not Applicable</v>
          </cell>
          <cell r="R1051" t="str">
            <v>B Braun Melsungen AG</v>
          </cell>
          <cell r="S1051" t="str">
            <v>B Braun Medical Supplies Sdn. Bhd.</v>
          </cell>
          <cell r="T1051" t="str">
            <v>Functioning</v>
          </cell>
          <cell r="U1051" t="str">
            <v>Asset</v>
          </cell>
          <cell r="V1051">
            <v>10825</v>
          </cell>
          <cell r="W1051" t="str">
            <v>KEW</v>
          </cell>
          <cell r="X1051" t="str">
            <v>01/09/2010</v>
          </cell>
          <cell r="Y1051" t="str">
            <v>KEW</v>
          </cell>
          <cell r="Z1051" t="str">
            <v>16/08/2013</v>
          </cell>
          <cell r="AA1051" t="str">
            <v>15/08/2015</v>
          </cell>
          <cell r="AB1051" t="str">
            <v>No</v>
          </cell>
          <cell r="AC1051" t="str">
            <v>31/08/2013</v>
          </cell>
          <cell r="AD1051" t="str">
            <v>Good</v>
          </cell>
          <cell r="AE1051" t="str">
            <v>V1 - Existing / No Claim</v>
          </cell>
          <cell r="AF1051">
            <v>42793</v>
          </cell>
          <cell r="AG1051">
            <v>9.17</v>
          </cell>
          <cell r="AH1051" t="str">
            <v>PPM</v>
          </cell>
          <cell r="AI1051" t="str">
            <v>Strands</v>
          </cell>
          <cell r="AJ1051" t="str">
            <v>Strands PW</v>
          </cell>
        </row>
        <row r="1052">
          <cell r="A1052" t="str">
            <v>IKN400632</v>
          </cell>
          <cell r="B1052">
            <v>632</v>
          </cell>
          <cell r="C1052" t="str">
            <v>Institut Kanser Negara</v>
          </cell>
          <cell r="D1052" t="str">
            <v>KKM/IKN/H/13/1589</v>
          </cell>
          <cell r="E1052" t="str">
            <v>13-215</v>
          </cell>
          <cell r="F1052" t="str">
            <v>Infusion Pumps, General-Purpose</v>
          </cell>
          <cell r="G1052" t="str">
            <v>DO</v>
          </cell>
          <cell r="H1052" t="str">
            <v>DAY ONCOLOGY UNIT</v>
          </cell>
          <cell r="I1052" t="str">
            <v>04DO120</v>
          </cell>
          <cell r="J1052" t="str">
            <v>TREATMENT BAY 3</v>
          </cell>
          <cell r="K1052" t="str">
            <v>BMED</v>
          </cell>
          <cell r="L1052" t="str">
            <v>Critical</v>
          </cell>
          <cell r="M1052" t="str">
            <v>Germany</v>
          </cell>
          <cell r="N1052" t="str">
            <v>Infusomat</v>
          </cell>
          <cell r="O1052" t="str">
            <v>Infusomat Space</v>
          </cell>
          <cell r="P1052" t="str">
            <v>211634</v>
          </cell>
          <cell r="Q1052" t="str">
            <v>Not Applicable</v>
          </cell>
          <cell r="R1052" t="str">
            <v>B Braun Melsungen AG</v>
          </cell>
          <cell r="S1052" t="str">
            <v>B Braun Medical Supplies Sdn. Bhd.</v>
          </cell>
          <cell r="T1052" t="str">
            <v>Functioning</v>
          </cell>
          <cell r="U1052" t="str">
            <v>Asset</v>
          </cell>
          <cell r="V1052">
            <v>10825</v>
          </cell>
          <cell r="W1052" t="str">
            <v>KEW</v>
          </cell>
          <cell r="X1052" t="str">
            <v>01/09/2010</v>
          </cell>
          <cell r="Y1052" t="str">
            <v>KEW</v>
          </cell>
          <cell r="Z1052" t="str">
            <v>16/08/2013</v>
          </cell>
          <cell r="AA1052" t="str">
            <v>15/08/2015</v>
          </cell>
          <cell r="AB1052" t="str">
            <v>No</v>
          </cell>
          <cell r="AC1052" t="str">
            <v>31/08/2013</v>
          </cell>
          <cell r="AD1052" t="str">
            <v>Good</v>
          </cell>
          <cell r="AE1052" t="str">
            <v>V1 - Existing / No Claim</v>
          </cell>
          <cell r="AF1052">
            <v>42793</v>
          </cell>
          <cell r="AG1052">
            <v>9.17</v>
          </cell>
          <cell r="AH1052" t="str">
            <v>PPM</v>
          </cell>
          <cell r="AI1052" t="str">
            <v>Strands</v>
          </cell>
          <cell r="AJ1052" t="str">
            <v>Strands PW</v>
          </cell>
        </row>
        <row r="1053">
          <cell r="A1053" t="str">
            <v>IKN400633</v>
          </cell>
          <cell r="B1053">
            <v>633</v>
          </cell>
          <cell r="C1053" t="str">
            <v>Institut Kanser Negara</v>
          </cell>
          <cell r="D1053" t="str">
            <v>KKM/IKN/H/13/1590</v>
          </cell>
          <cell r="E1053" t="str">
            <v>13-215</v>
          </cell>
          <cell r="F1053" t="str">
            <v>Infusion Pumps, General-Purpose</v>
          </cell>
          <cell r="G1053" t="str">
            <v>DO</v>
          </cell>
          <cell r="H1053" t="str">
            <v>DAY ONCOLOGY UNIT</v>
          </cell>
          <cell r="I1053" t="str">
            <v>04DO120</v>
          </cell>
          <cell r="J1053" t="str">
            <v>TREATMENT BAY 3</v>
          </cell>
          <cell r="K1053" t="str">
            <v>BMED</v>
          </cell>
          <cell r="L1053" t="str">
            <v>Critical</v>
          </cell>
          <cell r="M1053" t="str">
            <v>Germany</v>
          </cell>
          <cell r="N1053" t="str">
            <v>Infusomat</v>
          </cell>
          <cell r="O1053" t="str">
            <v>Infusomat Space</v>
          </cell>
          <cell r="P1053" t="str">
            <v>212061</v>
          </cell>
          <cell r="Q1053" t="str">
            <v>Not Applicable</v>
          </cell>
          <cell r="R1053" t="str">
            <v>B Braun Melsungen AG</v>
          </cell>
          <cell r="S1053" t="str">
            <v>B Braun Medical Supplies Sdn. Bhd.</v>
          </cell>
          <cell r="T1053" t="str">
            <v>Functioning</v>
          </cell>
          <cell r="U1053" t="str">
            <v>Asset</v>
          </cell>
          <cell r="V1053">
            <v>10825</v>
          </cell>
          <cell r="W1053" t="str">
            <v>KEW</v>
          </cell>
          <cell r="X1053" t="str">
            <v>01/09/2010</v>
          </cell>
          <cell r="Y1053" t="str">
            <v>KEW</v>
          </cell>
          <cell r="Z1053" t="str">
            <v>16/08/2013</v>
          </cell>
          <cell r="AA1053" t="str">
            <v>15/08/2015</v>
          </cell>
          <cell r="AB1053" t="str">
            <v>No</v>
          </cell>
          <cell r="AC1053" t="str">
            <v>31/08/2013</v>
          </cell>
          <cell r="AD1053" t="str">
            <v>Good</v>
          </cell>
          <cell r="AE1053" t="str">
            <v>V1 - Existing / No Claim</v>
          </cell>
          <cell r="AF1053">
            <v>42793</v>
          </cell>
          <cell r="AG1053">
            <v>9.17</v>
          </cell>
          <cell r="AH1053" t="str">
            <v>PPM</v>
          </cell>
          <cell r="AI1053" t="str">
            <v>Strands</v>
          </cell>
          <cell r="AJ1053" t="str">
            <v>Strands PW</v>
          </cell>
        </row>
        <row r="1054">
          <cell r="A1054" t="str">
            <v>IKN400634</v>
          </cell>
          <cell r="B1054">
            <v>634</v>
          </cell>
          <cell r="C1054" t="str">
            <v>Institut Kanser Negara</v>
          </cell>
          <cell r="D1054" t="str">
            <v>KKM/IKN/H/13/1605</v>
          </cell>
          <cell r="E1054" t="str">
            <v>17-950</v>
          </cell>
          <cell r="F1054" t="str">
            <v>Warming Units, Patient, Forced-Air</v>
          </cell>
          <cell r="G1054" t="str">
            <v>DO</v>
          </cell>
          <cell r="H1054" t="str">
            <v>DAY ONCOLOGY UNIT</v>
          </cell>
          <cell r="I1054" t="str">
            <v>04DO120</v>
          </cell>
          <cell r="J1054" t="str">
            <v>TREATMENT BAY 3</v>
          </cell>
          <cell r="K1054" t="str">
            <v>BMED</v>
          </cell>
          <cell r="L1054" t="str">
            <v>Normal</v>
          </cell>
          <cell r="M1054" t="str">
            <v>USA</v>
          </cell>
          <cell r="N1054" t="str">
            <v>Bair Hugger</v>
          </cell>
          <cell r="O1054" t="str">
            <v>Bair Hugger 775</v>
          </cell>
          <cell r="P1054" t="str">
            <v>35939</v>
          </cell>
          <cell r="Q1054" t="str">
            <v>Not Applicable</v>
          </cell>
          <cell r="R1054" t="str">
            <v>Arizant Healthcare Inc</v>
          </cell>
          <cell r="S1054" t="str">
            <v>Calmed Healthcare Sdn Bhd</v>
          </cell>
          <cell r="T1054" t="str">
            <v>Functioning</v>
          </cell>
          <cell r="U1054" t="str">
            <v>Asset</v>
          </cell>
          <cell r="V1054">
            <v>15515</v>
          </cell>
          <cell r="W1054" t="str">
            <v>KEW</v>
          </cell>
          <cell r="X1054" t="str">
            <v>01/09/2010</v>
          </cell>
          <cell r="Y1054" t="str">
            <v>KEW</v>
          </cell>
          <cell r="Z1054" t="str">
            <v>16/08/2013</v>
          </cell>
          <cell r="AA1054" t="str">
            <v>15/08/2015</v>
          </cell>
          <cell r="AB1054" t="str">
            <v>No</v>
          </cell>
          <cell r="AC1054" t="str">
            <v>31/08/2013</v>
          </cell>
          <cell r="AD1054" t="str">
            <v>Good</v>
          </cell>
          <cell r="AE1054" t="str">
            <v>V1 - Existing / No Claim</v>
          </cell>
          <cell r="AF1054">
            <v>42235</v>
          </cell>
          <cell r="AG1054">
            <v>9.17</v>
          </cell>
          <cell r="AH1054" t="str">
            <v>PPM</v>
          </cell>
          <cell r="AI1054" t="str">
            <v>Strands</v>
          </cell>
          <cell r="AJ1054" t="str">
            <v>Strands PW</v>
          </cell>
        </row>
        <row r="1055">
          <cell r="A1055" t="str">
            <v>IKN400635</v>
          </cell>
          <cell r="B1055">
            <v>635</v>
          </cell>
          <cell r="C1055" t="str">
            <v>Institut Kanser Negara</v>
          </cell>
          <cell r="D1055" t="str">
            <v>KKM/IKN/H/13/1606</v>
          </cell>
          <cell r="E1055" t="str">
            <v>17-950</v>
          </cell>
          <cell r="F1055" t="str">
            <v>Warming Units, Patient, Forced-Air</v>
          </cell>
          <cell r="G1055" t="str">
            <v>DO</v>
          </cell>
          <cell r="H1055" t="str">
            <v>DAY ONCOLOGY UNIT</v>
          </cell>
          <cell r="I1055" t="str">
            <v>04DO120</v>
          </cell>
          <cell r="J1055" t="str">
            <v>TREATMENT BAY 3</v>
          </cell>
          <cell r="K1055" t="str">
            <v>BMED</v>
          </cell>
          <cell r="L1055" t="str">
            <v>Normal</v>
          </cell>
          <cell r="M1055" t="str">
            <v>USA</v>
          </cell>
          <cell r="N1055" t="str">
            <v>Bair Hugger</v>
          </cell>
          <cell r="O1055" t="str">
            <v>Bair Hugger 775</v>
          </cell>
          <cell r="P1055" t="str">
            <v>35940</v>
          </cell>
          <cell r="Q1055" t="str">
            <v>Not Applicable</v>
          </cell>
          <cell r="R1055" t="str">
            <v>Arizant Healthcare Inc</v>
          </cell>
          <cell r="S1055" t="str">
            <v>Calmed Healthcare Sdn Bhd</v>
          </cell>
          <cell r="T1055" t="str">
            <v>Functioning</v>
          </cell>
          <cell r="U1055" t="str">
            <v>Asset</v>
          </cell>
          <cell r="V1055">
            <v>15515</v>
          </cell>
          <cell r="W1055" t="str">
            <v>KEW</v>
          </cell>
          <cell r="X1055" t="str">
            <v>01/09/2010</v>
          </cell>
          <cell r="Y1055" t="str">
            <v>KEW</v>
          </cell>
          <cell r="Z1055" t="str">
            <v>16/08/2013</v>
          </cell>
          <cell r="AA1055" t="str">
            <v>15/08/2015</v>
          </cell>
          <cell r="AB1055" t="str">
            <v>No</v>
          </cell>
          <cell r="AC1055" t="str">
            <v>31/08/2013</v>
          </cell>
          <cell r="AD1055" t="str">
            <v>Good</v>
          </cell>
          <cell r="AE1055" t="str">
            <v>V1 - Existing / No Claim</v>
          </cell>
          <cell r="AF1055">
            <v>42871</v>
          </cell>
          <cell r="AG1055">
            <v>9.17</v>
          </cell>
          <cell r="AH1055" t="str">
            <v>PPM</v>
          </cell>
          <cell r="AI1055" t="str">
            <v>Strands</v>
          </cell>
          <cell r="AJ1055" t="str">
            <v>Strands PW</v>
          </cell>
        </row>
        <row r="1056">
          <cell r="A1056" t="str">
            <v>IKN400636</v>
          </cell>
          <cell r="B1056">
            <v>636</v>
          </cell>
          <cell r="C1056" t="str">
            <v>Institut Kanser Negara</v>
          </cell>
          <cell r="D1056" t="str">
            <v>KKM/IKN/H/13/1381</v>
          </cell>
          <cell r="E1056" t="str">
            <v>13-217</v>
          </cell>
          <cell r="F1056" t="str">
            <v>Infusion Pumps, Syringe</v>
          </cell>
          <cell r="G1056" t="str">
            <v>DO</v>
          </cell>
          <cell r="H1056" t="str">
            <v>DAY ONCOLOGY UNIT</v>
          </cell>
          <cell r="I1056" t="str">
            <v>04DO121</v>
          </cell>
          <cell r="J1056" t="str">
            <v>TREATMENT BAY 4</v>
          </cell>
          <cell r="K1056" t="str">
            <v>BMED</v>
          </cell>
          <cell r="L1056" t="str">
            <v>Critical</v>
          </cell>
          <cell r="M1056" t="str">
            <v>Germany</v>
          </cell>
          <cell r="N1056" t="str">
            <v>Perfusor</v>
          </cell>
          <cell r="O1056" t="str">
            <v>Perfusor Space</v>
          </cell>
          <cell r="P1056" t="str">
            <v>187011</v>
          </cell>
          <cell r="Q1056" t="str">
            <v>Not Applicable</v>
          </cell>
          <cell r="R1056" t="str">
            <v>B Braun Melsungen AG</v>
          </cell>
          <cell r="S1056" t="str">
            <v>B Braun Medical Supplies Sdn. Bhd.</v>
          </cell>
          <cell r="T1056" t="str">
            <v>Functioning</v>
          </cell>
          <cell r="U1056" t="str">
            <v>Asset</v>
          </cell>
          <cell r="V1056">
            <v>10225</v>
          </cell>
          <cell r="W1056" t="str">
            <v>KEW</v>
          </cell>
          <cell r="X1056" t="str">
            <v>01/09/2010</v>
          </cell>
          <cell r="Y1056" t="str">
            <v>KEW</v>
          </cell>
          <cell r="Z1056" t="str">
            <v>16/08/2013</v>
          </cell>
          <cell r="AA1056" t="str">
            <v>15/08/2015</v>
          </cell>
          <cell r="AB1056" t="str">
            <v>No</v>
          </cell>
          <cell r="AC1056" t="str">
            <v>31/08/2013</v>
          </cell>
          <cell r="AD1056" t="str">
            <v>Good</v>
          </cell>
          <cell r="AE1056" t="str">
            <v>V1 - Existing / No Claim</v>
          </cell>
          <cell r="AF1056">
            <v>42793</v>
          </cell>
          <cell r="AG1056">
            <v>9.17</v>
          </cell>
          <cell r="AH1056" t="str">
            <v>PPM</v>
          </cell>
          <cell r="AI1056" t="str">
            <v>Strands</v>
          </cell>
          <cell r="AJ1056" t="str">
            <v>Strands PW</v>
          </cell>
        </row>
        <row r="1057">
          <cell r="A1057" t="str">
            <v>IKN400637</v>
          </cell>
          <cell r="B1057">
            <v>637</v>
          </cell>
          <cell r="C1057" t="str">
            <v>Institut Kanser Negara</v>
          </cell>
          <cell r="D1057" t="str">
            <v>KKM/IKN/H/13/1382</v>
          </cell>
          <cell r="E1057" t="str">
            <v>13-217</v>
          </cell>
          <cell r="F1057" t="str">
            <v>Infusion Pumps, Syringe</v>
          </cell>
          <cell r="G1057" t="str">
            <v>DO</v>
          </cell>
          <cell r="H1057" t="str">
            <v>DAY ONCOLOGY UNIT</v>
          </cell>
          <cell r="I1057" t="str">
            <v>04DO121</v>
          </cell>
          <cell r="J1057" t="str">
            <v>TREATMENT BAY 4</v>
          </cell>
          <cell r="K1057" t="str">
            <v>BMED</v>
          </cell>
          <cell r="L1057" t="str">
            <v>Critical</v>
          </cell>
          <cell r="M1057" t="str">
            <v>Germany</v>
          </cell>
          <cell r="N1057" t="str">
            <v>Perfusor</v>
          </cell>
          <cell r="O1057" t="str">
            <v>Perfusor Space</v>
          </cell>
          <cell r="P1057" t="str">
            <v>187030</v>
          </cell>
          <cell r="Q1057" t="str">
            <v>Not Applicable</v>
          </cell>
          <cell r="R1057" t="str">
            <v>B Braun Melsungen AG</v>
          </cell>
          <cell r="S1057" t="str">
            <v>B Braun Medical Supplies Sdn. Bhd.</v>
          </cell>
          <cell r="T1057" t="str">
            <v>Functioning</v>
          </cell>
          <cell r="U1057" t="str">
            <v>Asset</v>
          </cell>
          <cell r="V1057">
            <v>10225</v>
          </cell>
          <cell r="W1057" t="str">
            <v>KEW</v>
          </cell>
          <cell r="X1057" t="str">
            <v>01/09/2010</v>
          </cell>
          <cell r="Y1057" t="str">
            <v>KEW</v>
          </cell>
          <cell r="Z1057" t="str">
            <v>16/08/2013</v>
          </cell>
          <cell r="AA1057" t="str">
            <v>15/08/2015</v>
          </cell>
          <cell r="AB1057" t="str">
            <v>No</v>
          </cell>
          <cell r="AC1057" t="str">
            <v>31/08/2013</v>
          </cell>
          <cell r="AD1057" t="str">
            <v>Good</v>
          </cell>
          <cell r="AE1057" t="str">
            <v>V1 - Existing / No Claim</v>
          </cell>
          <cell r="AF1057">
            <v>42793</v>
          </cell>
          <cell r="AG1057">
            <v>9.17</v>
          </cell>
          <cell r="AH1057" t="str">
            <v>PPM</v>
          </cell>
          <cell r="AI1057" t="str">
            <v>Strands</v>
          </cell>
          <cell r="AJ1057" t="str">
            <v>Strands PW</v>
          </cell>
        </row>
        <row r="1058">
          <cell r="A1058" t="str">
            <v>IKN400638</v>
          </cell>
          <cell r="B1058">
            <v>638</v>
          </cell>
          <cell r="C1058" t="str">
            <v>Institut Kanser Negara</v>
          </cell>
          <cell r="D1058" t="str">
            <v>KKM/IKN/H/13/1383</v>
          </cell>
          <cell r="E1058" t="str">
            <v>13-217</v>
          </cell>
          <cell r="F1058" t="str">
            <v>Infusion Pumps, Syringe</v>
          </cell>
          <cell r="G1058" t="str">
            <v>DO</v>
          </cell>
          <cell r="H1058" t="str">
            <v>DAY ONCOLOGY UNIT</v>
          </cell>
          <cell r="I1058" t="str">
            <v>04DO121</v>
          </cell>
          <cell r="J1058" t="str">
            <v>TREATMENT BAY 4</v>
          </cell>
          <cell r="K1058" t="str">
            <v>BMED</v>
          </cell>
          <cell r="L1058" t="str">
            <v>Critical</v>
          </cell>
          <cell r="M1058" t="str">
            <v>Germany</v>
          </cell>
          <cell r="N1058" t="str">
            <v>Perfusor</v>
          </cell>
          <cell r="O1058" t="str">
            <v>Perfusor Space</v>
          </cell>
          <cell r="P1058" t="str">
            <v>187042</v>
          </cell>
          <cell r="Q1058" t="str">
            <v>Not Applicable</v>
          </cell>
          <cell r="R1058" t="str">
            <v>B Braun Melsungen AG</v>
          </cell>
          <cell r="S1058" t="str">
            <v>B Braun Medical Supplies Sdn. Bhd.</v>
          </cell>
          <cell r="T1058" t="str">
            <v>Functioning</v>
          </cell>
          <cell r="U1058" t="str">
            <v>Asset</v>
          </cell>
          <cell r="V1058">
            <v>10225</v>
          </cell>
          <cell r="W1058" t="str">
            <v>KEW</v>
          </cell>
          <cell r="X1058" t="str">
            <v>01/09/2010</v>
          </cell>
          <cell r="Y1058" t="str">
            <v>KEW</v>
          </cell>
          <cell r="Z1058" t="str">
            <v>16/08/2013</v>
          </cell>
          <cell r="AA1058" t="str">
            <v>15/08/2015</v>
          </cell>
          <cell r="AB1058" t="str">
            <v>No</v>
          </cell>
          <cell r="AC1058" t="str">
            <v>31/08/2013</v>
          </cell>
          <cell r="AD1058" t="str">
            <v>Good</v>
          </cell>
          <cell r="AE1058" t="str">
            <v>V1 - Existing / No Claim</v>
          </cell>
          <cell r="AF1058">
            <v>42793</v>
          </cell>
          <cell r="AG1058">
            <v>9.17</v>
          </cell>
          <cell r="AH1058" t="str">
            <v>PPM</v>
          </cell>
          <cell r="AI1058" t="str">
            <v>Strands</v>
          </cell>
          <cell r="AJ1058" t="str">
            <v>Strands PW</v>
          </cell>
        </row>
        <row r="1059">
          <cell r="A1059" t="str">
            <v>IKN400639</v>
          </cell>
          <cell r="B1059">
            <v>639</v>
          </cell>
          <cell r="C1059" t="str">
            <v>Institut Kanser Negara</v>
          </cell>
          <cell r="D1059" t="str">
            <v>KKM/IKN/H/13/1384</v>
          </cell>
          <cell r="E1059" t="str">
            <v>13-217</v>
          </cell>
          <cell r="F1059" t="str">
            <v>Infusion Pumps, Syringe</v>
          </cell>
          <cell r="G1059" t="str">
            <v>DO</v>
          </cell>
          <cell r="H1059" t="str">
            <v>DAY ONCOLOGY UNIT</v>
          </cell>
          <cell r="I1059" t="str">
            <v>04DO121</v>
          </cell>
          <cell r="J1059" t="str">
            <v>TREATMENT BAY 4</v>
          </cell>
          <cell r="K1059" t="str">
            <v>BMED</v>
          </cell>
          <cell r="L1059" t="str">
            <v>Critical</v>
          </cell>
          <cell r="M1059" t="str">
            <v>Germany</v>
          </cell>
          <cell r="N1059" t="str">
            <v>Perfusor</v>
          </cell>
          <cell r="O1059" t="str">
            <v>Perfusor Space</v>
          </cell>
          <cell r="P1059" t="str">
            <v>187045</v>
          </cell>
          <cell r="Q1059" t="str">
            <v>Not Applicable</v>
          </cell>
          <cell r="R1059" t="str">
            <v>B Braun Melsungen AG</v>
          </cell>
          <cell r="S1059" t="str">
            <v>B Braun Medical Supplies Sdn. Bhd.</v>
          </cell>
          <cell r="T1059" t="str">
            <v>Functioning</v>
          </cell>
          <cell r="U1059" t="str">
            <v>Asset</v>
          </cell>
          <cell r="V1059">
            <v>10225</v>
          </cell>
          <cell r="W1059" t="str">
            <v>KEW</v>
          </cell>
          <cell r="X1059" t="str">
            <v>01/09/2010</v>
          </cell>
          <cell r="Y1059" t="str">
            <v>KEW</v>
          </cell>
          <cell r="Z1059" t="str">
            <v>16/08/2013</v>
          </cell>
          <cell r="AA1059" t="str">
            <v>15/08/2015</v>
          </cell>
          <cell r="AB1059" t="str">
            <v>No</v>
          </cell>
          <cell r="AC1059" t="str">
            <v>31/08/2013</v>
          </cell>
          <cell r="AD1059" t="str">
            <v>Good</v>
          </cell>
          <cell r="AE1059" t="str">
            <v>V1 - Existing / No Claim</v>
          </cell>
          <cell r="AF1059">
            <v>42793</v>
          </cell>
          <cell r="AG1059">
            <v>9.17</v>
          </cell>
          <cell r="AH1059" t="str">
            <v>PPM</v>
          </cell>
          <cell r="AI1059" t="str">
            <v>Strands</v>
          </cell>
          <cell r="AJ1059" t="str">
            <v>Strands PW</v>
          </cell>
        </row>
        <row r="1060">
          <cell r="A1060" t="str">
            <v>IKN400640</v>
          </cell>
          <cell r="B1060">
            <v>640</v>
          </cell>
          <cell r="C1060" t="str">
            <v>Institut Kanser Negara</v>
          </cell>
          <cell r="D1060" t="str">
            <v>KKM/IKN/H/13/1385</v>
          </cell>
          <cell r="E1060" t="str">
            <v>13-217</v>
          </cell>
          <cell r="F1060" t="str">
            <v>Infusion Pumps, Syringe</v>
          </cell>
          <cell r="G1060" t="str">
            <v>DO</v>
          </cell>
          <cell r="H1060" t="str">
            <v>DAY ONCOLOGY UNIT</v>
          </cell>
          <cell r="I1060" t="str">
            <v>04DO121</v>
          </cell>
          <cell r="J1060" t="str">
            <v>TREATMENT BAY 4</v>
          </cell>
          <cell r="K1060" t="str">
            <v>BMED</v>
          </cell>
          <cell r="L1060" t="str">
            <v>Critical</v>
          </cell>
          <cell r="M1060" t="str">
            <v>Germany</v>
          </cell>
          <cell r="N1060" t="str">
            <v>Perfusor</v>
          </cell>
          <cell r="O1060" t="str">
            <v>Perfusor Space</v>
          </cell>
          <cell r="P1060" t="str">
            <v>178269</v>
          </cell>
          <cell r="Q1060" t="str">
            <v>Not Applicable</v>
          </cell>
          <cell r="R1060" t="str">
            <v>B Braun Melsungen AG</v>
          </cell>
          <cell r="S1060" t="str">
            <v>B Braun Medical Supplies Sdn. Bhd.</v>
          </cell>
          <cell r="T1060" t="str">
            <v>Functioning</v>
          </cell>
          <cell r="U1060" t="str">
            <v>Asset</v>
          </cell>
          <cell r="V1060">
            <v>10225</v>
          </cell>
          <cell r="W1060" t="str">
            <v>KEW</v>
          </cell>
          <cell r="X1060" t="str">
            <v>01/09/2010</v>
          </cell>
          <cell r="Y1060" t="str">
            <v>KEW</v>
          </cell>
          <cell r="Z1060" t="str">
            <v>16/08/2013</v>
          </cell>
          <cell r="AA1060" t="str">
            <v>15/08/2015</v>
          </cell>
          <cell r="AB1060" t="str">
            <v>No</v>
          </cell>
          <cell r="AC1060" t="str">
            <v>31/08/2013</v>
          </cell>
          <cell r="AD1060" t="str">
            <v>Good</v>
          </cell>
          <cell r="AE1060" t="str">
            <v>V1 - Existing / No Claim</v>
          </cell>
          <cell r="AF1060">
            <v>42793</v>
          </cell>
          <cell r="AG1060">
            <v>9.17</v>
          </cell>
          <cell r="AH1060" t="str">
            <v>PPM</v>
          </cell>
          <cell r="AI1060" t="str">
            <v>Strands</v>
          </cell>
          <cell r="AJ1060" t="str">
            <v>Strands PW</v>
          </cell>
        </row>
        <row r="1061">
          <cell r="A1061" t="str">
            <v>IKN400641</v>
          </cell>
          <cell r="B1061">
            <v>641</v>
          </cell>
          <cell r="C1061" t="str">
            <v>Institut Kanser Negara</v>
          </cell>
          <cell r="D1061" t="str">
            <v>KKM/IKN/H/13/1386</v>
          </cell>
          <cell r="E1061" t="str">
            <v>13-217</v>
          </cell>
          <cell r="F1061" t="str">
            <v>Infusion Pumps, Syringe</v>
          </cell>
          <cell r="G1061" t="str">
            <v>DO</v>
          </cell>
          <cell r="H1061" t="str">
            <v>DAY ONCOLOGY UNIT</v>
          </cell>
          <cell r="I1061" t="str">
            <v>04DO121</v>
          </cell>
          <cell r="J1061" t="str">
            <v>TREATMENT BAY 4</v>
          </cell>
          <cell r="K1061" t="str">
            <v>BMED</v>
          </cell>
          <cell r="L1061" t="str">
            <v>Critical</v>
          </cell>
          <cell r="M1061" t="str">
            <v>Germany</v>
          </cell>
          <cell r="N1061" t="str">
            <v>Perfusor</v>
          </cell>
          <cell r="O1061" t="str">
            <v>Perfusor Space</v>
          </cell>
          <cell r="P1061" t="str">
            <v>181597</v>
          </cell>
          <cell r="Q1061" t="str">
            <v>Not Applicable</v>
          </cell>
          <cell r="R1061" t="str">
            <v>B Braun Melsungen AG</v>
          </cell>
          <cell r="S1061" t="str">
            <v>B Braun Medical Supplies Sdn. Bhd.</v>
          </cell>
          <cell r="T1061" t="str">
            <v>Functioning</v>
          </cell>
          <cell r="U1061" t="str">
            <v>Asset</v>
          </cell>
          <cell r="V1061">
            <v>10225</v>
          </cell>
          <cell r="W1061" t="str">
            <v>KEW</v>
          </cell>
          <cell r="X1061" t="str">
            <v>01/09/2010</v>
          </cell>
          <cell r="Y1061" t="str">
            <v>KEW</v>
          </cell>
          <cell r="Z1061" t="str">
            <v>16/08/2013</v>
          </cell>
          <cell r="AA1061" t="str">
            <v>15/08/2015</v>
          </cell>
          <cell r="AB1061" t="str">
            <v>No</v>
          </cell>
          <cell r="AC1061" t="str">
            <v>31/08/2013</v>
          </cell>
          <cell r="AD1061" t="str">
            <v>Good</v>
          </cell>
          <cell r="AE1061" t="str">
            <v>V1 - Existing / No Claim</v>
          </cell>
          <cell r="AF1061">
            <v>42793</v>
          </cell>
          <cell r="AG1061">
            <v>9.17</v>
          </cell>
          <cell r="AH1061" t="str">
            <v>PPM</v>
          </cell>
          <cell r="AI1061" t="str">
            <v>Strands</v>
          </cell>
          <cell r="AJ1061" t="str">
            <v>Strands PW</v>
          </cell>
        </row>
        <row r="1062">
          <cell r="A1062" t="str">
            <v>IKN400642</v>
          </cell>
          <cell r="B1062">
            <v>642</v>
          </cell>
          <cell r="C1062" t="str">
            <v>Institut Kanser Negara</v>
          </cell>
          <cell r="D1062" t="str">
            <v>KKM/IKN/H/13/1591</v>
          </cell>
          <cell r="E1062" t="str">
            <v>13-215</v>
          </cell>
          <cell r="F1062" t="str">
            <v>Infusion Pumps, General-Purpose</v>
          </cell>
          <cell r="G1062" t="str">
            <v>DO</v>
          </cell>
          <cell r="H1062" t="str">
            <v>DAY ONCOLOGY UNIT</v>
          </cell>
          <cell r="I1062" t="str">
            <v>04DO121</v>
          </cell>
          <cell r="J1062" t="str">
            <v>TREATMENT BAY 4</v>
          </cell>
          <cell r="K1062" t="str">
            <v>BMED</v>
          </cell>
          <cell r="L1062" t="str">
            <v>Critical</v>
          </cell>
          <cell r="M1062" t="str">
            <v>Germany</v>
          </cell>
          <cell r="N1062" t="str">
            <v>Infusomat</v>
          </cell>
          <cell r="O1062" t="str">
            <v>Infusomat Space</v>
          </cell>
          <cell r="P1062" t="str">
            <v>211645</v>
          </cell>
          <cell r="Q1062" t="str">
            <v>Not Applicable</v>
          </cell>
          <cell r="R1062" t="str">
            <v>B Braun Melsungen AG</v>
          </cell>
          <cell r="S1062" t="str">
            <v>B Braun Medical Supplies Sdn. Bhd.</v>
          </cell>
          <cell r="T1062" t="str">
            <v>Functioning</v>
          </cell>
          <cell r="U1062" t="str">
            <v>Asset</v>
          </cell>
          <cell r="V1062">
            <v>10825</v>
          </cell>
          <cell r="W1062" t="str">
            <v>KEW</v>
          </cell>
          <cell r="X1062" t="str">
            <v>01/09/2010</v>
          </cell>
          <cell r="Y1062" t="str">
            <v>KEW</v>
          </cell>
          <cell r="Z1062" t="str">
            <v>16/08/2013</v>
          </cell>
          <cell r="AA1062" t="str">
            <v>15/08/2015</v>
          </cell>
          <cell r="AB1062" t="str">
            <v>No</v>
          </cell>
          <cell r="AC1062" t="str">
            <v>31/08/2013</v>
          </cell>
          <cell r="AD1062" t="str">
            <v>Good</v>
          </cell>
          <cell r="AE1062" t="str">
            <v>V1 - Existing / No Claim</v>
          </cell>
          <cell r="AF1062">
            <v>42793</v>
          </cell>
          <cell r="AG1062">
            <v>9.17</v>
          </cell>
          <cell r="AH1062" t="str">
            <v>PPM</v>
          </cell>
          <cell r="AI1062" t="str">
            <v>Strands</v>
          </cell>
          <cell r="AJ1062" t="str">
            <v>Strands PW</v>
          </cell>
        </row>
        <row r="1063">
          <cell r="A1063" t="str">
            <v>IKN400643</v>
          </cell>
          <cell r="B1063">
            <v>643</v>
          </cell>
          <cell r="C1063" t="str">
            <v>Institut Kanser Negara</v>
          </cell>
          <cell r="D1063" t="str">
            <v>KKM/IKN/H/13/1593</v>
          </cell>
          <cell r="E1063" t="str">
            <v>13-215</v>
          </cell>
          <cell r="F1063" t="str">
            <v>Infusion Pumps, General-Purpose</v>
          </cell>
          <cell r="G1063" t="str">
            <v>DO</v>
          </cell>
          <cell r="H1063" t="str">
            <v>DAY ONCOLOGY UNIT</v>
          </cell>
          <cell r="I1063" t="str">
            <v>04DO121</v>
          </cell>
          <cell r="J1063" t="str">
            <v>TREATMENT BAY 4</v>
          </cell>
          <cell r="K1063" t="str">
            <v>BMED</v>
          </cell>
          <cell r="L1063" t="str">
            <v>Critical</v>
          </cell>
          <cell r="M1063" t="str">
            <v>Germany</v>
          </cell>
          <cell r="N1063" t="str">
            <v>Infusomat</v>
          </cell>
          <cell r="O1063" t="str">
            <v>Infusomat Space</v>
          </cell>
          <cell r="P1063" t="str">
            <v>211785</v>
          </cell>
          <cell r="Q1063" t="str">
            <v>Not Applicable</v>
          </cell>
          <cell r="R1063" t="str">
            <v>B Braun Melsungen AG</v>
          </cell>
          <cell r="S1063" t="str">
            <v>B Braun Medical Supplies Sdn. Bhd.</v>
          </cell>
          <cell r="T1063" t="str">
            <v>Functioning</v>
          </cell>
          <cell r="U1063" t="str">
            <v>Asset</v>
          </cell>
          <cell r="V1063">
            <v>10825</v>
          </cell>
          <cell r="W1063" t="str">
            <v>KEW</v>
          </cell>
          <cell r="X1063" t="str">
            <v>01/09/2010</v>
          </cell>
          <cell r="Y1063" t="str">
            <v>KEW</v>
          </cell>
          <cell r="Z1063" t="str">
            <v>16/08/2013</v>
          </cell>
          <cell r="AA1063" t="str">
            <v>15/08/2015</v>
          </cell>
          <cell r="AB1063" t="str">
            <v>No</v>
          </cell>
          <cell r="AC1063" t="str">
            <v>31/08/2013</v>
          </cell>
          <cell r="AD1063" t="str">
            <v>Good</v>
          </cell>
          <cell r="AE1063" t="str">
            <v>V1 - Existing / No Claim</v>
          </cell>
          <cell r="AF1063">
            <v>42793</v>
          </cell>
          <cell r="AG1063">
            <v>9.17</v>
          </cell>
          <cell r="AH1063" t="str">
            <v>PPM</v>
          </cell>
          <cell r="AI1063" t="str">
            <v>Strands</v>
          </cell>
          <cell r="AJ1063" t="str">
            <v>Strands PW</v>
          </cell>
        </row>
        <row r="1064">
          <cell r="A1064" t="str">
            <v>IKN400644</v>
          </cell>
          <cell r="B1064">
            <v>644</v>
          </cell>
          <cell r="C1064" t="str">
            <v>Institut Kanser Negara</v>
          </cell>
          <cell r="D1064" t="str">
            <v>KKM/IKN/H/13/1594</v>
          </cell>
          <cell r="E1064" t="str">
            <v>13-215</v>
          </cell>
          <cell r="F1064" t="str">
            <v>Infusion Pumps, General-Purpose</v>
          </cell>
          <cell r="G1064" t="str">
            <v>DO</v>
          </cell>
          <cell r="H1064" t="str">
            <v>DAY ONCOLOGY UNIT</v>
          </cell>
          <cell r="I1064" t="str">
            <v>04DO121</v>
          </cell>
          <cell r="J1064" t="str">
            <v>TREATMENT BAY 4</v>
          </cell>
          <cell r="K1064" t="str">
            <v>BMED</v>
          </cell>
          <cell r="L1064" t="str">
            <v>Critical</v>
          </cell>
          <cell r="M1064" t="str">
            <v>Germany</v>
          </cell>
          <cell r="N1064" t="str">
            <v>Infusomat</v>
          </cell>
          <cell r="O1064" t="str">
            <v>Infusomat Space</v>
          </cell>
          <cell r="P1064" t="str">
            <v>212067</v>
          </cell>
          <cell r="Q1064" t="str">
            <v>Not Applicable</v>
          </cell>
          <cell r="R1064" t="str">
            <v>B Braun Melsungen AG</v>
          </cell>
          <cell r="S1064" t="str">
            <v>B Braun Medical Supplies Sdn. Bhd.</v>
          </cell>
          <cell r="T1064" t="str">
            <v>Functioning</v>
          </cell>
          <cell r="U1064" t="str">
            <v>Asset</v>
          </cell>
          <cell r="V1064">
            <v>10825</v>
          </cell>
          <cell r="W1064" t="str">
            <v>KEW</v>
          </cell>
          <cell r="X1064" t="str">
            <v>01/09/2010</v>
          </cell>
          <cell r="Y1064" t="str">
            <v>KEW</v>
          </cell>
          <cell r="Z1064" t="str">
            <v>16/08/2013</v>
          </cell>
          <cell r="AA1064" t="str">
            <v>15/08/2015</v>
          </cell>
          <cell r="AB1064" t="str">
            <v>No</v>
          </cell>
          <cell r="AC1064" t="str">
            <v>31/08/2013</v>
          </cell>
          <cell r="AD1064" t="str">
            <v>Good</v>
          </cell>
          <cell r="AE1064" t="str">
            <v>V1 - Existing / No Claim</v>
          </cell>
          <cell r="AF1064">
            <v>42793</v>
          </cell>
          <cell r="AG1064">
            <v>9.17</v>
          </cell>
          <cell r="AH1064" t="str">
            <v>PPM</v>
          </cell>
          <cell r="AI1064" t="str">
            <v>Strands</v>
          </cell>
          <cell r="AJ1064" t="str">
            <v>Strands PW</v>
          </cell>
        </row>
        <row r="1065">
          <cell r="A1065" t="str">
            <v>IKN400645</v>
          </cell>
          <cell r="B1065">
            <v>645</v>
          </cell>
          <cell r="C1065" t="str">
            <v>Institut Kanser Negara</v>
          </cell>
          <cell r="D1065" t="str">
            <v>KKM/IKN/H/13/1595</v>
          </cell>
          <cell r="E1065" t="str">
            <v>13-215</v>
          </cell>
          <cell r="F1065" t="str">
            <v>Infusion Pumps, General-Purpose</v>
          </cell>
          <cell r="G1065" t="str">
            <v>DO</v>
          </cell>
          <cell r="H1065" t="str">
            <v>DAY ONCOLOGY UNIT</v>
          </cell>
          <cell r="I1065" t="str">
            <v>04DO121</v>
          </cell>
          <cell r="J1065" t="str">
            <v>TREATMENT BAY 4</v>
          </cell>
          <cell r="K1065" t="str">
            <v>BMED</v>
          </cell>
          <cell r="L1065" t="str">
            <v>Critical</v>
          </cell>
          <cell r="M1065" t="str">
            <v>Germany</v>
          </cell>
          <cell r="N1065" t="str">
            <v>Infusomat</v>
          </cell>
          <cell r="O1065" t="str">
            <v>Infusomat Space</v>
          </cell>
          <cell r="P1065" t="str">
            <v>212003</v>
          </cell>
          <cell r="Q1065" t="str">
            <v>Not Applicable</v>
          </cell>
          <cell r="R1065" t="str">
            <v>B Braun Melsungen AG</v>
          </cell>
          <cell r="S1065" t="str">
            <v>B Braun Medical Supplies Sdn. Bhd.</v>
          </cell>
          <cell r="T1065" t="str">
            <v>Functioning</v>
          </cell>
          <cell r="U1065" t="str">
            <v>Asset</v>
          </cell>
          <cell r="V1065">
            <v>10825</v>
          </cell>
          <cell r="W1065" t="str">
            <v>KEW</v>
          </cell>
          <cell r="X1065" t="str">
            <v>01/09/2010</v>
          </cell>
          <cell r="Y1065" t="str">
            <v>KEW</v>
          </cell>
          <cell r="Z1065" t="str">
            <v>16/08/2013</v>
          </cell>
          <cell r="AA1065" t="str">
            <v>15/08/2015</v>
          </cell>
          <cell r="AB1065" t="str">
            <v>No</v>
          </cell>
          <cell r="AC1065" t="str">
            <v>31/08/2013</v>
          </cell>
          <cell r="AD1065" t="str">
            <v>Good</v>
          </cell>
          <cell r="AE1065" t="str">
            <v>V1 - Existing / No Claim</v>
          </cell>
          <cell r="AF1065">
            <v>42793</v>
          </cell>
          <cell r="AG1065">
            <v>9.17</v>
          </cell>
          <cell r="AH1065" t="str">
            <v>PPM</v>
          </cell>
          <cell r="AI1065" t="str">
            <v>Strands</v>
          </cell>
          <cell r="AJ1065" t="str">
            <v>Strands PW</v>
          </cell>
        </row>
        <row r="1066">
          <cell r="A1066" t="str">
            <v>IKN400646</v>
          </cell>
          <cell r="B1066">
            <v>646</v>
          </cell>
          <cell r="C1066" t="str">
            <v>Institut Kanser Negara</v>
          </cell>
          <cell r="D1066" t="str">
            <v>KKM/IKN/H/13/1596</v>
          </cell>
          <cell r="E1066" t="str">
            <v>13-215</v>
          </cell>
          <cell r="F1066" t="str">
            <v>Infusion Pumps, General-Purpose</v>
          </cell>
          <cell r="G1066" t="str">
            <v>DO</v>
          </cell>
          <cell r="H1066" t="str">
            <v>DAY ONCOLOGY UNIT</v>
          </cell>
          <cell r="I1066" t="str">
            <v>04DO121</v>
          </cell>
          <cell r="J1066" t="str">
            <v>TREATMENT BAY 4</v>
          </cell>
          <cell r="K1066" t="str">
            <v>BMED</v>
          </cell>
          <cell r="L1066" t="str">
            <v>Critical</v>
          </cell>
          <cell r="M1066" t="str">
            <v>Germany</v>
          </cell>
          <cell r="N1066" t="str">
            <v>Infusomat</v>
          </cell>
          <cell r="O1066" t="str">
            <v>Infusomat Space</v>
          </cell>
          <cell r="P1066" t="str">
            <v>211993</v>
          </cell>
          <cell r="Q1066" t="str">
            <v>Not Applicable</v>
          </cell>
          <cell r="R1066" t="str">
            <v>B Braun Melsungen AG</v>
          </cell>
          <cell r="S1066" t="str">
            <v>B Braun Medical Supplies Sdn. Bhd.</v>
          </cell>
          <cell r="T1066" t="str">
            <v>Functioning</v>
          </cell>
          <cell r="U1066" t="str">
            <v>Asset</v>
          </cell>
          <cell r="V1066">
            <v>10825</v>
          </cell>
          <cell r="W1066" t="str">
            <v>KEW</v>
          </cell>
          <cell r="X1066" t="str">
            <v>01/09/2010</v>
          </cell>
          <cell r="Y1066" t="str">
            <v>KEW</v>
          </cell>
          <cell r="Z1066" t="str">
            <v>16/08/2013</v>
          </cell>
          <cell r="AA1066" t="str">
            <v>15/08/2015</v>
          </cell>
          <cell r="AB1066" t="str">
            <v>No</v>
          </cell>
          <cell r="AC1066" t="str">
            <v>31/08/2013</v>
          </cell>
          <cell r="AD1066" t="str">
            <v>Good</v>
          </cell>
          <cell r="AE1066" t="str">
            <v>V1 - Existing / No Claim</v>
          </cell>
          <cell r="AF1066">
            <v>42793</v>
          </cell>
          <cell r="AG1066">
            <v>9.17</v>
          </cell>
          <cell r="AH1066" t="str">
            <v>PPM</v>
          </cell>
          <cell r="AI1066" t="str">
            <v>Strands</v>
          </cell>
          <cell r="AJ1066" t="str">
            <v>Strands PW</v>
          </cell>
        </row>
        <row r="1067">
          <cell r="A1067" t="str">
            <v>IKN400647</v>
          </cell>
          <cell r="B1067">
            <v>647</v>
          </cell>
          <cell r="C1067" t="str">
            <v>Institut Kanser Negara</v>
          </cell>
          <cell r="D1067" t="str">
            <v>KKM/IKN/H/13/1597</v>
          </cell>
          <cell r="E1067" t="str">
            <v>13-215</v>
          </cell>
          <cell r="F1067" t="str">
            <v>Infusion Pumps, General-Purpose</v>
          </cell>
          <cell r="G1067" t="str">
            <v>DO</v>
          </cell>
          <cell r="H1067" t="str">
            <v>DAY ONCOLOGY UNIT</v>
          </cell>
          <cell r="I1067" t="str">
            <v>04DO121</v>
          </cell>
          <cell r="J1067" t="str">
            <v>TREATMENT BAY 4</v>
          </cell>
          <cell r="K1067" t="str">
            <v>BMED</v>
          </cell>
          <cell r="L1067" t="str">
            <v>Critical</v>
          </cell>
          <cell r="M1067" t="str">
            <v>Germany</v>
          </cell>
          <cell r="N1067" t="str">
            <v>Infusomat</v>
          </cell>
          <cell r="O1067" t="str">
            <v>Infusomat Space</v>
          </cell>
          <cell r="P1067" t="str">
            <v>212090</v>
          </cell>
          <cell r="Q1067" t="str">
            <v>Not Applicable</v>
          </cell>
          <cell r="R1067" t="str">
            <v>B Braun Melsungen AG</v>
          </cell>
          <cell r="S1067" t="str">
            <v>B Braun Medical Supplies Sdn. Bhd.</v>
          </cell>
          <cell r="T1067" t="str">
            <v>Functioning</v>
          </cell>
          <cell r="U1067" t="str">
            <v>Asset</v>
          </cell>
          <cell r="V1067">
            <v>10825</v>
          </cell>
          <cell r="W1067" t="str">
            <v>KEW</v>
          </cell>
          <cell r="X1067" t="str">
            <v>01/09/2010</v>
          </cell>
          <cell r="Y1067" t="str">
            <v>KEW</v>
          </cell>
          <cell r="Z1067" t="str">
            <v>16/08/2013</v>
          </cell>
          <cell r="AA1067" t="str">
            <v>15/08/2015</v>
          </cell>
          <cell r="AB1067" t="str">
            <v>No</v>
          </cell>
          <cell r="AC1067" t="str">
            <v>31/08/2013</v>
          </cell>
          <cell r="AD1067" t="str">
            <v>Good</v>
          </cell>
          <cell r="AE1067" t="str">
            <v>V1 - Existing / No Claim</v>
          </cell>
          <cell r="AF1067">
            <v>42793</v>
          </cell>
          <cell r="AG1067">
            <v>9.17</v>
          </cell>
          <cell r="AH1067" t="str">
            <v>PPM</v>
          </cell>
          <cell r="AI1067" t="str">
            <v>Strands</v>
          </cell>
          <cell r="AJ1067" t="str">
            <v>Strands PW</v>
          </cell>
        </row>
        <row r="1068">
          <cell r="A1068" t="str">
            <v>IKN400648</v>
          </cell>
          <cell r="B1068">
            <v>648</v>
          </cell>
          <cell r="C1068" t="str">
            <v>Institut Kanser Negara</v>
          </cell>
          <cell r="D1068" t="str">
            <v>KKM/IKN/H/13/1607</v>
          </cell>
          <cell r="E1068" t="str">
            <v>17-950</v>
          </cell>
          <cell r="F1068" t="str">
            <v>Warming Units, Patient, Forced-Air</v>
          </cell>
          <cell r="G1068" t="str">
            <v>RT</v>
          </cell>
          <cell r="H1068" t="str">
            <v>RADIATION TREATMENT UNIT</v>
          </cell>
          <cell r="I1068" t="str">
            <v>01RT243</v>
          </cell>
          <cell r="J1068" t="str">
            <v>NURSE STATION</v>
          </cell>
          <cell r="K1068" t="str">
            <v>BMED</v>
          </cell>
          <cell r="L1068" t="str">
            <v>Normal</v>
          </cell>
          <cell r="M1068" t="str">
            <v>USA</v>
          </cell>
          <cell r="N1068" t="str">
            <v>Bair Hugger</v>
          </cell>
          <cell r="O1068" t="str">
            <v>Bair Hugger 775</v>
          </cell>
          <cell r="P1068" t="str">
            <v>35941</v>
          </cell>
          <cell r="Q1068" t="str">
            <v>Not Applicable</v>
          </cell>
          <cell r="R1068" t="str">
            <v>Arizant Healthcare Inc</v>
          </cell>
          <cell r="S1068" t="str">
            <v>Calmed Healthcare Sdn Bhd</v>
          </cell>
          <cell r="T1068" t="str">
            <v>Functioning</v>
          </cell>
          <cell r="U1068" t="str">
            <v>Asset</v>
          </cell>
          <cell r="V1068">
            <v>15515</v>
          </cell>
          <cell r="W1068" t="str">
            <v>KEW</v>
          </cell>
          <cell r="X1068" t="str">
            <v>01/09/2010</v>
          </cell>
          <cell r="Y1068" t="str">
            <v>KEW</v>
          </cell>
          <cell r="Z1068" t="str">
            <v>16/08/2013</v>
          </cell>
          <cell r="AA1068" t="str">
            <v>15/08/2015</v>
          </cell>
          <cell r="AB1068" t="str">
            <v>No</v>
          </cell>
          <cell r="AC1068" t="str">
            <v>31/08/2013</v>
          </cell>
          <cell r="AD1068" t="str">
            <v>Good</v>
          </cell>
          <cell r="AE1068" t="str">
            <v>V1 - Existing / No Claim</v>
          </cell>
          <cell r="AF1068">
            <v>42871</v>
          </cell>
          <cell r="AG1068">
            <v>9.17</v>
          </cell>
          <cell r="AH1068" t="str">
            <v>PPM</v>
          </cell>
          <cell r="AI1068" t="str">
            <v>Strands</v>
          </cell>
          <cell r="AJ1068" t="str">
            <v>Strands PW</v>
          </cell>
        </row>
        <row r="1069">
          <cell r="A1069" t="str">
            <v>IKN400649</v>
          </cell>
          <cell r="B1069">
            <v>649</v>
          </cell>
          <cell r="C1069" t="str">
            <v>Institut Kanser Negara</v>
          </cell>
          <cell r="D1069" t="str">
            <v>KKM/IKN/H/13/1608</v>
          </cell>
          <cell r="E1069" t="str">
            <v>17-950</v>
          </cell>
          <cell r="F1069" t="str">
            <v>Warming Units, Patient, Forced-Air</v>
          </cell>
          <cell r="G1069" t="str">
            <v>DO</v>
          </cell>
          <cell r="H1069" t="str">
            <v>DAY ONCOLOGY UNIT</v>
          </cell>
          <cell r="I1069" t="str">
            <v>04DO121</v>
          </cell>
          <cell r="J1069" t="str">
            <v>TREATMENT BAY 4</v>
          </cell>
          <cell r="K1069" t="str">
            <v>BMED</v>
          </cell>
          <cell r="L1069" t="str">
            <v>Normal</v>
          </cell>
          <cell r="M1069" t="str">
            <v>USA</v>
          </cell>
          <cell r="N1069" t="str">
            <v>Bair Hugger</v>
          </cell>
          <cell r="O1069" t="str">
            <v>Bair Hugger 775</v>
          </cell>
          <cell r="P1069" t="str">
            <v>35942</v>
          </cell>
          <cell r="Q1069" t="str">
            <v>Not Applicable</v>
          </cell>
          <cell r="R1069" t="str">
            <v>Arizant Healthcare Inc</v>
          </cell>
          <cell r="S1069" t="str">
            <v>Calmed Healthcare Sdn Bhd</v>
          </cell>
          <cell r="T1069" t="str">
            <v>Functioning</v>
          </cell>
          <cell r="U1069" t="str">
            <v>Asset</v>
          </cell>
          <cell r="V1069">
            <v>15515</v>
          </cell>
          <cell r="W1069" t="str">
            <v>KEW</v>
          </cell>
          <cell r="X1069" t="str">
            <v>01/09/2010</v>
          </cell>
          <cell r="Y1069" t="str">
            <v>KEW</v>
          </cell>
          <cell r="Z1069" t="str">
            <v>16/08/2013</v>
          </cell>
          <cell r="AA1069" t="str">
            <v>15/08/2015</v>
          </cell>
          <cell r="AB1069" t="str">
            <v>No</v>
          </cell>
          <cell r="AC1069" t="str">
            <v>31/08/2013</v>
          </cell>
          <cell r="AD1069" t="str">
            <v>Good</v>
          </cell>
          <cell r="AE1069" t="str">
            <v>V1 - Existing / No Claim</v>
          </cell>
          <cell r="AF1069">
            <v>42235</v>
          </cell>
          <cell r="AG1069">
            <v>9.17</v>
          </cell>
          <cell r="AH1069" t="str">
            <v>PPM</v>
          </cell>
          <cell r="AI1069" t="str">
            <v>Strands</v>
          </cell>
          <cell r="AJ1069" t="str">
            <v>Strands PW</v>
          </cell>
        </row>
        <row r="1070">
          <cell r="A1070" t="str">
            <v>IKN400650</v>
          </cell>
          <cell r="B1070">
            <v>650</v>
          </cell>
          <cell r="C1070" t="str">
            <v>Institut Kanser Negara</v>
          </cell>
          <cell r="D1070" t="str">
            <v>KKM/IKN/H/13/1598</v>
          </cell>
          <cell r="E1070" t="str">
            <v>13-215</v>
          </cell>
          <cell r="F1070" t="str">
            <v>Infusion Pumps, General-Purpose</v>
          </cell>
          <cell r="G1070" t="str">
            <v>DO</v>
          </cell>
          <cell r="H1070" t="str">
            <v>DAY ONCOLOGY UNIT</v>
          </cell>
          <cell r="I1070" t="str">
            <v>04DO124</v>
          </cell>
          <cell r="J1070" t="str">
            <v>TREATMENT ROOM</v>
          </cell>
          <cell r="K1070" t="str">
            <v>BMED</v>
          </cell>
          <cell r="L1070" t="str">
            <v>Critical</v>
          </cell>
          <cell r="M1070" t="str">
            <v>Germany</v>
          </cell>
          <cell r="N1070" t="str">
            <v>Infusomat</v>
          </cell>
          <cell r="O1070" t="str">
            <v>Infusomat Space</v>
          </cell>
          <cell r="P1070" t="str">
            <v>212098</v>
          </cell>
          <cell r="Q1070" t="str">
            <v>Not Applicable</v>
          </cell>
          <cell r="R1070" t="str">
            <v>B Braun Melsungen AG</v>
          </cell>
          <cell r="S1070" t="str">
            <v>B Braun Medical Supplies Sdn. Bhd.</v>
          </cell>
          <cell r="T1070" t="str">
            <v>Functioning</v>
          </cell>
          <cell r="U1070" t="str">
            <v>Asset</v>
          </cell>
          <cell r="V1070">
            <v>10825</v>
          </cell>
          <cell r="W1070" t="str">
            <v>KEW</v>
          </cell>
          <cell r="X1070" t="str">
            <v>01/09/2010</v>
          </cell>
          <cell r="Y1070" t="str">
            <v>KEW</v>
          </cell>
          <cell r="Z1070" t="str">
            <v>16/08/2013</v>
          </cell>
          <cell r="AA1070" t="str">
            <v>15/08/2015</v>
          </cell>
          <cell r="AB1070" t="str">
            <v>No</v>
          </cell>
          <cell r="AC1070" t="str">
            <v>31/08/2013</v>
          </cell>
          <cell r="AD1070" t="str">
            <v>Good</v>
          </cell>
          <cell r="AE1070" t="str">
            <v>V1 - Existing / No Claim</v>
          </cell>
          <cell r="AF1070">
            <v>42793</v>
          </cell>
          <cell r="AG1070">
            <v>9.17</v>
          </cell>
          <cell r="AH1070" t="str">
            <v>PPM</v>
          </cell>
          <cell r="AI1070" t="str">
            <v>Strands</v>
          </cell>
          <cell r="AJ1070" t="str">
            <v>Strands PW</v>
          </cell>
        </row>
        <row r="1071">
          <cell r="A1071" t="str">
            <v>IKN400651</v>
          </cell>
          <cell r="B1071">
            <v>651</v>
          </cell>
          <cell r="C1071" t="str">
            <v>Institut Kanser Negara</v>
          </cell>
          <cell r="D1071" t="str">
            <v>KKM/IKN/H/13/1599</v>
          </cell>
          <cell r="E1071" t="str">
            <v>16-231</v>
          </cell>
          <cell r="F1071" t="str">
            <v>Electrocardiographs, Multichannel, Interpretative</v>
          </cell>
          <cell r="G1071" t="str">
            <v>DO</v>
          </cell>
          <cell r="H1071" t="str">
            <v>DAY ONCOLOGY UNIT</v>
          </cell>
          <cell r="I1071" t="str">
            <v>04DO124</v>
          </cell>
          <cell r="J1071" t="str">
            <v>TREATMENT ROOM</v>
          </cell>
          <cell r="K1071" t="str">
            <v>BMED</v>
          </cell>
          <cell r="L1071" t="str">
            <v>Critical</v>
          </cell>
          <cell r="M1071" t="str">
            <v>China</v>
          </cell>
          <cell r="N1071" t="str">
            <v>Mac</v>
          </cell>
          <cell r="O1071" t="str">
            <v>MAC 800</v>
          </cell>
          <cell r="P1071" t="str">
            <v>SJ412450377 WA</v>
          </cell>
          <cell r="Q1071" t="str">
            <v>Not Applicable</v>
          </cell>
          <cell r="R1071" t="str">
            <v>GE Healthcare Systems</v>
          </cell>
          <cell r="S1071" t="str">
            <v>GE Healthcare Technologies</v>
          </cell>
          <cell r="T1071" t="str">
            <v>Functioning</v>
          </cell>
          <cell r="U1071" t="str">
            <v>Asset</v>
          </cell>
          <cell r="V1071">
            <v>25260</v>
          </cell>
          <cell r="W1071" t="str">
            <v>KEW</v>
          </cell>
          <cell r="X1071" t="str">
            <v>01/09/2010</v>
          </cell>
          <cell r="Y1071" t="str">
            <v>KEW</v>
          </cell>
          <cell r="Z1071" t="str">
            <v>16/08/2013</v>
          </cell>
          <cell r="AA1071" t="str">
            <v>15/08/2015</v>
          </cell>
          <cell r="AB1071" t="str">
            <v>No</v>
          </cell>
          <cell r="AC1071" t="str">
            <v>31/08/2013</v>
          </cell>
          <cell r="AD1071" t="str">
            <v>Good</v>
          </cell>
          <cell r="AE1071" t="str">
            <v>V1 - Existing / No Claim</v>
          </cell>
          <cell r="AF1071">
            <v>42793</v>
          </cell>
          <cell r="AG1071">
            <v>9.17</v>
          </cell>
          <cell r="AH1071" t="str">
            <v>PPM</v>
          </cell>
          <cell r="AI1071" t="str">
            <v>Strands</v>
          </cell>
          <cell r="AJ1071" t="str">
            <v>Strands PW</v>
          </cell>
        </row>
        <row r="1072">
          <cell r="A1072" t="str">
            <v>IKN400652</v>
          </cell>
          <cell r="B1072">
            <v>652</v>
          </cell>
          <cell r="C1072" t="str">
            <v>Institut Kanser Negara</v>
          </cell>
          <cell r="D1072" t="str">
            <v>KKM/IKN/H/13/2620</v>
          </cell>
          <cell r="E1072" t="str">
            <v>16-173</v>
          </cell>
          <cell r="F1072" t="str">
            <v>Sphygmomanometers, Electronic, Automatic</v>
          </cell>
          <cell r="G1072" t="str">
            <v>DO</v>
          </cell>
          <cell r="H1072" t="str">
            <v>DAY ONCOLOGY UNIT</v>
          </cell>
          <cell r="I1072" t="str">
            <v>04DO131</v>
          </cell>
          <cell r="J1072" t="str">
            <v>NURSE STATION</v>
          </cell>
          <cell r="K1072" t="str">
            <v>BMED</v>
          </cell>
          <cell r="L1072" t="str">
            <v>Critical</v>
          </cell>
          <cell r="M1072" t="str">
            <v>USA</v>
          </cell>
          <cell r="N1072" t="str">
            <v>Connex</v>
          </cell>
          <cell r="O1072" t="str">
            <v>Connex ProBP 3400</v>
          </cell>
          <cell r="P1072" t="str">
            <v>100001520613</v>
          </cell>
          <cell r="Q1072" t="str">
            <v>Not Applicable</v>
          </cell>
          <cell r="R1072" t="str">
            <v>Welch Allyn Inc</v>
          </cell>
          <cell r="S1072" t="str">
            <v>Welch Allyn Malaysia Sdn Bhd</v>
          </cell>
          <cell r="T1072" t="str">
            <v>Functioning</v>
          </cell>
          <cell r="U1072" t="str">
            <v>Asset</v>
          </cell>
          <cell r="V1072">
            <v>4510</v>
          </cell>
          <cell r="W1072" t="str">
            <v>KEW</v>
          </cell>
          <cell r="X1072" t="str">
            <v>01/09/2010</v>
          </cell>
          <cell r="Y1072" t="str">
            <v>KEW</v>
          </cell>
          <cell r="Z1072" t="str">
            <v>16/08/2013</v>
          </cell>
          <cell r="AA1072" t="str">
            <v>15/08/2015</v>
          </cell>
          <cell r="AB1072" t="str">
            <v>No</v>
          </cell>
          <cell r="AC1072" t="str">
            <v>31/08/2013</v>
          </cell>
          <cell r="AD1072" t="str">
            <v>Good</v>
          </cell>
          <cell r="AE1072" t="str">
            <v>V1 - Existing / No Claim</v>
          </cell>
          <cell r="AF1072">
            <v>42793</v>
          </cell>
          <cell r="AG1072">
            <v>9.17</v>
          </cell>
          <cell r="AH1072" t="str">
            <v>PPM</v>
          </cell>
          <cell r="AI1072" t="str">
            <v>Strands</v>
          </cell>
          <cell r="AJ1072" t="str">
            <v>Strands PW</v>
          </cell>
        </row>
        <row r="1073">
          <cell r="A1073" t="str">
            <v>IKN400653</v>
          </cell>
          <cell r="B1073">
            <v>653</v>
          </cell>
          <cell r="C1073" t="str">
            <v>Institut Kanser Negara</v>
          </cell>
          <cell r="D1073" t="str">
            <v>KKM/IKN/H/13/2618</v>
          </cell>
          <cell r="E1073" t="str">
            <v>16-173</v>
          </cell>
          <cell r="F1073" t="str">
            <v>Sphygmomanometers, Electronic, Automatic</v>
          </cell>
          <cell r="G1073" t="str">
            <v>DO</v>
          </cell>
          <cell r="H1073" t="str">
            <v>DAY ONCOLOGY UNIT</v>
          </cell>
          <cell r="I1073" t="str">
            <v>04DO131</v>
          </cell>
          <cell r="J1073" t="str">
            <v>NURSE STATION</v>
          </cell>
          <cell r="K1073" t="str">
            <v>BMED</v>
          </cell>
          <cell r="L1073" t="str">
            <v>Critical</v>
          </cell>
          <cell r="M1073" t="str">
            <v>USA</v>
          </cell>
          <cell r="N1073" t="str">
            <v>Connex</v>
          </cell>
          <cell r="O1073" t="str">
            <v>Connex ProBP 3400</v>
          </cell>
          <cell r="P1073" t="str">
            <v>100001730613</v>
          </cell>
          <cell r="Q1073" t="str">
            <v>Not Applicable</v>
          </cell>
          <cell r="R1073" t="str">
            <v>Welch Allyn Inc</v>
          </cell>
          <cell r="S1073" t="str">
            <v>Welch Allyn Malaysia Sdn Bhd</v>
          </cell>
          <cell r="T1073" t="str">
            <v>Functioning</v>
          </cell>
          <cell r="U1073" t="str">
            <v>Asset</v>
          </cell>
          <cell r="V1073">
            <v>4510</v>
          </cell>
          <cell r="W1073" t="str">
            <v>KEW</v>
          </cell>
          <cell r="X1073" t="str">
            <v>01/09/2010</v>
          </cell>
          <cell r="Y1073" t="str">
            <v>KEW</v>
          </cell>
          <cell r="Z1073" t="str">
            <v>16/08/2013</v>
          </cell>
          <cell r="AA1073" t="str">
            <v>15/08/2015</v>
          </cell>
          <cell r="AB1073" t="str">
            <v>No</v>
          </cell>
          <cell r="AC1073" t="str">
            <v>31/08/2013</v>
          </cell>
          <cell r="AD1073" t="str">
            <v>Good</v>
          </cell>
          <cell r="AE1073" t="str">
            <v>V1 - Existing / No Claim</v>
          </cell>
          <cell r="AF1073">
            <v>42793</v>
          </cell>
          <cell r="AG1073">
            <v>9.17</v>
          </cell>
          <cell r="AH1073" t="str">
            <v>PPM</v>
          </cell>
          <cell r="AI1073" t="str">
            <v>Strands</v>
          </cell>
          <cell r="AJ1073" t="str">
            <v>Strands PW</v>
          </cell>
        </row>
        <row r="1074">
          <cell r="A1074" t="str">
            <v>IKN400654</v>
          </cell>
          <cell r="B1074">
            <v>654</v>
          </cell>
          <cell r="C1074" t="str">
            <v>Institut Kanser Negara</v>
          </cell>
          <cell r="D1074" t="str">
            <v>KKM/IKN/H/13/1592</v>
          </cell>
          <cell r="E1074" t="str">
            <v>10-208</v>
          </cell>
          <cell r="F1074" t="str">
            <v>Aspirators</v>
          </cell>
          <cell r="G1074" t="str">
            <v>DO</v>
          </cell>
          <cell r="H1074" t="str">
            <v>DAY ONCOLOGY UNIT</v>
          </cell>
          <cell r="I1074" t="str">
            <v>04DO125</v>
          </cell>
          <cell r="J1074" t="str">
            <v>PROCEDURE ROOM</v>
          </cell>
          <cell r="K1074" t="str">
            <v>BMED</v>
          </cell>
          <cell r="L1074" t="str">
            <v>Critical</v>
          </cell>
          <cell r="M1074" t="str">
            <v>Switzerland</v>
          </cell>
          <cell r="N1074" t="str">
            <v>Senator</v>
          </cell>
          <cell r="O1074" t="str">
            <v>Senator</v>
          </cell>
          <cell r="P1074" t="str">
            <v>1220759</v>
          </cell>
          <cell r="Q1074" t="str">
            <v>Not Applicable</v>
          </cell>
          <cell r="R1074" t="str">
            <v>Ardo Medical AG</v>
          </cell>
          <cell r="S1074" t="str">
            <v>Histopoint</v>
          </cell>
          <cell r="T1074" t="str">
            <v>Functioning</v>
          </cell>
          <cell r="U1074" t="str">
            <v>Asset</v>
          </cell>
          <cell r="V1074">
            <v>7580</v>
          </cell>
          <cell r="W1074" t="str">
            <v>KEW</v>
          </cell>
          <cell r="X1074" t="str">
            <v>01/09/2010</v>
          </cell>
          <cell r="Y1074" t="str">
            <v>KEW</v>
          </cell>
          <cell r="Z1074" t="str">
            <v>16/08/2013</v>
          </cell>
          <cell r="AA1074" t="str">
            <v>15/08/2015</v>
          </cell>
          <cell r="AB1074" t="str">
            <v>No</v>
          </cell>
          <cell r="AC1074" t="str">
            <v>31/08/2013</v>
          </cell>
          <cell r="AD1074" t="str">
            <v>Good</v>
          </cell>
          <cell r="AE1074" t="str">
            <v>V1 - Existing / No Claim</v>
          </cell>
          <cell r="AF1074">
            <v>42793</v>
          </cell>
          <cell r="AG1074">
            <v>9.17</v>
          </cell>
          <cell r="AH1074" t="str">
            <v>PPM</v>
          </cell>
          <cell r="AI1074" t="str">
            <v>Strands</v>
          </cell>
          <cell r="AJ1074" t="str">
            <v>Strands PW</v>
          </cell>
        </row>
        <row r="1075">
          <cell r="A1075" t="str">
            <v>IKN400656</v>
          </cell>
          <cell r="B1075">
            <v>656</v>
          </cell>
          <cell r="C1075" t="str">
            <v>Institut Kanser Negara</v>
          </cell>
          <cell r="D1075" t="str">
            <v>KKM/IKN/H/13/1387</v>
          </cell>
          <cell r="E1075" t="str">
            <v>13-217</v>
          </cell>
          <cell r="F1075" t="str">
            <v>Infusion Pumps, Syringe</v>
          </cell>
          <cell r="G1075" t="str">
            <v>DO</v>
          </cell>
          <cell r="H1075" t="str">
            <v>DAY ONCOLOGY UNIT</v>
          </cell>
          <cell r="I1075" t="str">
            <v>04DO138</v>
          </cell>
          <cell r="J1075" t="str">
            <v>CHEMOTHERAPY BAY (4 BEDS)</v>
          </cell>
          <cell r="K1075" t="str">
            <v>BMED</v>
          </cell>
          <cell r="L1075" t="str">
            <v>Critical</v>
          </cell>
          <cell r="M1075" t="str">
            <v>Germany</v>
          </cell>
          <cell r="N1075" t="str">
            <v>Perfusor</v>
          </cell>
          <cell r="O1075" t="str">
            <v>Perfusor Space</v>
          </cell>
          <cell r="P1075" t="str">
            <v>143313</v>
          </cell>
          <cell r="Q1075" t="str">
            <v>Not Applicable</v>
          </cell>
          <cell r="R1075" t="str">
            <v>B Braun Melsungen AG</v>
          </cell>
          <cell r="S1075" t="str">
            <v>B Braun Medical Supplies Sdn. Bhd.</v>
          </cell>
          <cell r="T1075" t="str">
            <v>Functioning</v>
          </cell>
          <cell r="U1075" t="str">
            <v>Asset</v>
          </cell>
          <cell r="V1075">
            <v>10225</v>
          </cell>
          <cell r="W1075" t="str">
            <v>KEW</v>
          </cell>
          <cell r="X1075" t="str">
            <v>01/09/2010</v>
          </cell>
          <cell r="Y1075" t="str">
            <v>KEW</v>
          </cell>
          <cell r="Z1075" t="str">
            <v>16/08/2013</v>
          </cell>
          <cell r="AA1075" t="str">
            <v>15/08/2015</v>
          </cell>
          <cell r="AB1075" t="str">
            <v>No</v>
          </cell>
          <cell r="AC1075" t="str">
            <v>31/08/2013</v>
          </cell>
          <cell r="AD1075" t="str">
            <v>Good</v>
          </cell>
          <cell r="AE1075" t="str">
            <v>V1 - Existing / No Claim</v>
          </cell>
          <cell r="AF1075">
            <v>42793</v>
          </cell>
          <cell r="AG1075">
            <v>9.17</v>
          </cell>
          <cell r="AH1075" t="str">
            <v>PPM</v>
          </cell>
          <cell r="AI1075" t="str">
            <v>Strands</v>
          </cell>
          <cell r="AJ1075" t="str">
            <v>Strands PW</v>
          </cell>
        </row>
        <row r="1076">
          <cell r="A1076" t="str">
            <v>IKN400657</v>
          </cell>
          <cell r="B1076">
            <v>657</v>
          </cell>
          <cell r="C1076" t="str">
            <v>Institut Kanser Negara</v>
          </cell>
          <cell r="D1076" t="str">
            <v>KKM/IKN/H/13/1600</v>
          </cell>
          <cell r="E1076" t="str">
            <v>13-215</v>
          </cell>
          <cell r="F1076" t="str">
            <v>Infusion Pumps, General-Purpose</v>
          </cell>
          <cell r="G1076" t="str">
            <v>DO</v>
          </cell>
          <cell r="H1076" t="str">
            <v>DAY ONCOLOGY UNIT</v>
          </cell>
          <cell r="I1076" t="str">
            <v>04DO138</v>
          </cell>
          <cell r="J1076" t="str">
            <v>CHEMOTHERAPY BAY (4 BEDS)</v>
          </cell>
          <cell r="K1076" t="str">
            <v>BMED</v>
          </cell>
          <cell r="L1076" t="str">
            <v>Critical</v>
          </cell>
          <cell r="M1076" t="str">
            <v>Germany</v>
          </cell>
          <cell r="N1076" t="str">
            <v>Infusomat</v>
          </cell>
          <cell r="O1076" t="str">
            <v>Infusomat Space</v>
          </cell>
          <cell r="P1076" t="str">
            <v>212068</v>
          </cell>
          <cell r="Q1076" t="str">
            <v>Not Applicable</v>
          </cell>
          <cell r="R1076" t="str">
            <v>B Braun Melsungen AG</v>
          </cell>
          <cell r="S1076" t="str">
            <v>B Braun Medical Supplies Sdn. Bhd.</v>
          </cell>
          <cell r="T1076" t="str">
            <v>Functioning</v>
          </cell>
          <cell r="U1076" t="str">
            <v>Asset</v>
          </cell>
          <cell r="V1076">
            <v>10825</v>
          </cell>
          <cell r="W1076" t="str">
            <v>KEW</v>
          </cell>
          <cell r="X1076" t="str">
            <v>01/09/2010</v>
          </cell>
          <cell r="Y1076" t="str">
            <v>KEW</v>
          </cell>
          <cell r="Z1076" t="str">
            <v>16/08/2013</v>
          </cell>
          <cell r="AA1076" t="str">
            <v>15/08/2015</v>
          </cell>
          <cell r="AB1076" t="str">
            <v>No</v>
          </cell>
          <cell r="AC1076" t="str">
            <v>31/08/2013</v>
          </cell>
          <cell r="AD1076" t="str">
            <v>Good</v>
          </cell>
          <cell r="AE1076" t="str">
            <v>V1 - Existing / No Claim</v>
          </cell>
          <cell r="AF1076">
            <v>42793</v>
          </cell>
          <cell r="AG1076">
            <v>9.17</v>
          </cell>
          <cell r="AH1076" t="str">
            <v>PPM</v>
          </cell>
          <cell r="AI1076" t="str">
            <v>Strands</v>
          </cell>
          <cell r="AJ1076" t="str">
            <v>Strands PW</v>
          </cell>
        </row>
        <row r="1077">
          <cell r="A1077" t="str">
            <v>IKN400658</v>
          </cell>
          <cell r="B1077">
            <v>658</v>
          </cell>
          <cell r="C1077" t="str">
            <v>Institut Kanser Negara</v>
          </cell>
          <cell r="D1077" t="str">
            <v>KKM/IKN/H/13/765</v>
          </cell>
          <cell r="E1077" t="str">
            <v>13-215</v>
          </cell>
          <cell r="F1077" t="str">
            <v>Infusion Pumps, General-Purpose</v>
          </cell>
          <cell r="G1077" t="str">
            <v>DO</v>
          </cell>
          <cell r="H1077" t="str">
            <v>DAY ONCOLOGY UNIT</v>
          </cell>
          <cell r="I1077" t="str">
            <v>04DO138</v>
          </cell>
          <cell r="J1077" t="str">
            <v>CHEMOTHERAPY BAY (4 BEDS)</v>
          </cell>
          <cell r="K1077" t="str">
            <v>BMED</v>
          </cell>
          <cell r="L1077" t="str">
            <v>Critical</v>
          </cell>
          <cell r="M1077" t="str">
            <v>Germany</v>
          </cell>
          <cell r="N1077" t="str">
            <v>Infusomat</v>
          </cell>
          <cell r="O1077" t="str">
            <v>Infusomat Space</v>
          </cell>
          <cell r="P1077" t="str">
            <v>211641</v>
          </cell>
          <cell r="Q1077" t="str">
            <v>Not Applicable</v>
          </cell>
          <cell r="R1077" t="str">
            <v>B Braun Melsungen AG</v>
          </cell>
          <cell r="S1077" t="str">
            <v>B Braun Medical Supplies Sdn. Bhd.</v>
          </cell>
          <cell r="T1077" t="str">
            <v>Functioning</v>
          </cell>
          <cell r="U1077" t="str">
            <v>Asset</v>
          </cell>
          <cell r="V1077">
            <v>10825</v>
          </cell>
          <cell r="W1077" t="str">
            <v>KEW</v>
          </cell>
          <cell r="X1077" t="str">
            <v>01/09/2010</v>
          </cell>
          <cell r="Y1077" t="str">
            <v>KEW</v>
          </cell>
          <cell r="Z1077" t="str">
            <v>16/08/2013</v>
          </cell>
          <cell r="AA1077" t="str">
            <v>15/08/2015</v>
          </cell>
          <cell r="AB1077" t="str">
            <v>No</v>
          </cell>
          <cell r="AC1077" t="str">
            <v>31/08/2013</v>
          </cell>
          <cell r="AD1077" t="str">
            <v>Good</v>
          </cell>
          <cell r="AE1077" t="str">
            <v>V1 - Existing / No Claim</v>
          </cell>
          <cell r="AF1077">
            <v>42793</v>
          </cell>
          <cell r="AG1077">
            <v>9.17</v>
          </cell>
          <cell r="AH1077" t="str">
            <v>PPM</v>
          </cell>
          <cell r="AI1077" t="str">
            <v>Strands</v>
          </cell>
          <cell r="AJ1077" t="str">
            <v>Strands PW</v>
          </cell>
        </row>
        <row r="1078">
          <cell r="A1078" t="str">
            <v>IKN400659</v>
          </cell>
          <cell r="B1078">
            <v>659</v>
          </cell>
          <cell r="C1078" t="str">
            <v>Institut Kanser Negara</v>
          </cell>
          <cell r="D1078" t="str">
            <v>KKM/IKN/H/13/1389</v>
          </cell>
          <cell r="E1078" t="str">
            <v>13-215</v>
          </cell>
          <cell r="F1078" t="str">
            <v>Infusion Pumps, General-Purpose</v>
          </cell>
          <cell r="G1078" t="str">
            <v>DO</v>
          </cell>
          <cell r="H1078" t="str">
            <v>DAY ONCOLOGY UNIT</v>
          </cell>
          <cell r="I1078" t="str">
            <v>04DO138</v>
          </cell>
          <cell r="J1078" t="str">
            <v>CHEMOTHERAPY BAY (4 BEDS)</v>
          </cell>
          <cell r="K1078" t="str">
            <v>BMED</v>
          </cell>
          <cell r="L1078" t="str">
            <v>Critical</v>
          </cell>
          <cell r="M1078" t="str">
            <v>Germany</v>
          </cell>
          <cell r="N1078" t="str">
            <v>Infusomat</v>
          </cell>
          <cell r="O1078" t="str">
            <v>Infusomat Space</v>
          </cell>
          <cell r="P1078" t="str">
            <v>212024</v>
          </cell>
          <cell r="Q1078" t="str">
            <v>Not Applicable</v>
          </cell>
          <cell r="R1078" t="str">
            <v>B Braun Melsungen AG</v>
          </cell>
          <cell r="S1078" t="str">
            <v>B Braun Medical Supplies Sdn. Bhd.</v>
          </cell>
          <cell r="T1078" t="str">
            <v>Functioning</v>
          </cell>
          <cell r="U1078" t="str">
            <v>Asset</v>
          </cell>
          <cell r="V1078">
            <v>10825</v>
          </cell>
          <cell r="W1078" t="str">
            <v>KEW</v>
          </cell>
          <cell r="X1078" t="str">
            <v>01/09/2010</v>
          </cell>
          <cell r="Y1078" t="str">
            <v>KEW</v>
          </cell>
          <cell r="Z1078" t="str">
            <v>16/08/2013</v>
          </cell>
          <cell r="AA1078" t="str">
            <v>15/08/2015</v>
          </cell>
          <cell r="AB1078" t="str">
            <v>No</v>
          </cell>
          <cell r="AC1078" t="str">
            <v>31/08/2013</v>
          </cell>
          <cell r="AD1078" t="str">
            <v>Good</v>
          </cell>
          <cell r="AE1078" t="str">
            <v>V1 - Existing / No Claim</v>
          </cell>
          <cell r="AF1078">
            <v>42793</v>
          </cell>
          <cell r="AG1078">
            <v>9.17</v>
          </cell>
          <cell r="AH1078" t="str">
            <v>PPM</v>
          </cell>
          <cell r="AI1078" t="str">
            <v>Strands</v>
          </cell>
          <cell r="AJ1078" t="str">
            <v>Strands PW</v>
          </cell>
        </row>
        <row r="1079">
          <cell r="A1079" t="str">
            <v>IKN400660</v>
          </cell>
          <cell r="B1079">
            <v>660</v>
          </cell>
          <cell r="C1079" t="str">
            <v>Institut Kanser Negara</v>
          </cell>
          <cell r="D1079" t="str">
            <v>KKM/IKN/H/13/1390</v>
          </cell>
          <cell r="E1079" t="str">
            <v>13-215</v>
          </cell>
          <cell r="F1079" t="str">
            <v>Infusion Pumps, General-Purpose</v>
          </cell>
          <cell r="G1079" t="str">
            <v>DO</v>
          </cell>
          <cell r="H1079" t="str">
            <v>DAY ONCOLOGY UNIT</v>
          </cell>
          <cell r="I1079" t="str">
            <v>04DO138</v>
          </cell>
          <cell r="J1079" t="str">
            <v>CHEMOTHERAPY BAY (4 BEDS)</v>
          </cell>
          <cell r="K1079" t="str">
            <v>BMED</v>
          </cell>
          <cell r="L1079" t="str">
            <v>Critical</v>
          </cell>
          <cell r="M1079" t="str">
            <v>Germany</v>
          </cell>
          <cell r="N1079" t="str">
            <v>Infusomat</v>
          </cell>
          <cell r="O1079" t="str">
            <v>Infusomat Space</v>
          </cell>
          <cell r="P1079" t="str">
            <v>211995</v>
          </cell>
          <cell r="Q1079" t="str">
            <v>Not Applicable</v>
          </cell>
          <cell r="R1079" t="str">
            <v>B Braun Melsungen AG</v>
          </cell>
          <cell r="S1079" t="str">
            <v>B Braun Medical Supplies Sdn. Bhd.</v>
          </cell>
          <cell r="T1079" t="str">
            <v>Functioning</v>
          </cell>
          <cell r="U1079" t="str">
            <v>Asset</v>
          </cell>
          <cell r="V1079">
            <v>10825</v>
          </cell>
          <cell r="W1079" t="str">
            <v>KEW</v>
          </cell>
          <cell r="X1079" t="str">
            <v>01/09/2010</v>
          </cell>
          <cell r="Y1079" t="str">
            <v>KEW</v>
          </cell>
          <cell r="Z1079" t="str">
            <v>16/08/2013</v>
          </cell>
          <cell r="AA1079" t="str">
            <v>15/08/2015</v>
          </cell>
          <cell r="AB1079" t="str">
            <v>No</v>
          </cell>
          <cell r="AC1079" t="str">
            <v>31/08/2013</v>
          </cell>
          <cell r="AD1079" t="str">
            <v>Good</v>
          </cell>
          <cell r="AE1079" t="str">
            <v>V1 - Existing / No Claim</v>
          </cell>
          <cell r="AF1079">
            <v>42793</v>
          </cell>
          <cell r="AG1079">
            <v>9.17</v>
          </cell>
          <cell r="AH1079" t="str">
            <v>PPM</v>
          </cell>
          <cell r="AI1079" t="str">
            <v>Strands</v>
          </cell>
          <cell r="AJ1079" t="str">
            <v>Strands PW</v>
          </cell>
        </row>
        <row r="1080">
          <cell r="A1080" t="str">
            <v>IKN400661</v>
          </cell>
          <cell r="B1080">
            <v>661</v>
          </cell>
          <cell r="C1080" t="str">
            <v>Institut Kanser Negara</v>
          </cell>
          <cell r="D1080" t="str">
            <v>KKM/IKN/H/13/1609</v>
          </cell>
          <cell r="E1080" t="str">
            <v>17-950</v>
          </cell>
          <cell r="F1080" t="str">
            <v>Warming Units, Patient, Forced-Air</v>
          </cell>
          <cell r="G1080" t="str">
            <v>DO</v>
          </cell>
          <cell r="H1080" t="str">
            <v>DAY ONCOLOGY UNIT</v>
          </cell>
          <cell r="I1080" t="str">
            <v>04DO138</v>
          </cell>
          <cell r="J1080" t="str">
            <v>CHEMOTHERAPY BAY (4 BEDS)</v>
          </cell>
          <cell r="K1080" t="str">
            <v>BMED</v>
          </cell>
          <cell r="L1080" t="str">
            <v>Normal</v>
          </cell>
          <cell r="M1080" t="str">
            <v>USA</v>
          </cell>
          <cell r="N1080" t="str">
            <v>Bair Hugger</v>
          </cell>
          <cell r="O1080" t="str">
            <v>Bair Hugger 775</v>
          </cell>
          <cell r="P1080" t="str">
            <v>35943</v>
          </cell>
          <cell r="Q1080" t="str">
            <v>Not Applicable</v>
          </cell>
          <cell r="R1080" t="str">
            <v>Arizant Healthcare Inc</v>
          </cell>
          <cell r="S1080" t="str">
            <v>Calmed Healthcare Sdn Bhd</v>
          </cell>
          <cell r="T1080" t="str">
            <v>Functioning</v>
          </cell>
          <cell r="U1080" t="str">
            <v>Asset</v>
          </cell>
          <cell r="V1080">
            <v>15515</v>
          </cell>
          <cell r="W1080" t="str">
            <v>KEW</v>
          </cell>
          <cell r="X1080" t="str">
            <v>01/09/2010</v>
          </cell>
          <cell r="Y1080" t="str">
            <v>KEW</v>
          </cell>
          <cell r="Z1080" t="str">
            <v>16/08/2013</v>
          </cell>
          <cell r="AA1080" t="str">
            <v>15/08/2015</v>
          </cell>
          <cell r="AB1080" t="str">
            <v>No</v>
          </cell>
          <cell r="AC1080" t="str">
            <v>31/08/2013</v>
          </cell>
          <cell r="AD1080" t="str">
            <v>Good</v>
          </cell>
          <cell r="AE1080" t="str">
            <v>V1 - Existing / No Claim</v>
          </cell>
          <cell r="AF1080">
            <v>42793</v>
          </cell>
          <cell r="AG1080">
            <v>9.17</v>
          </cell>
          <cell r="AH1080" t="str">
            <v>PPM</v>
          </cell>
          <cell r="AI1080" t="str">
            <v>Strands</v>
          </cell>
          <cell r="AJ1080" t="str">
            <v>Strands PW</v>
          </cell>
        </row>
        <row r="1081">
          <cell r="A1081" t="str">
            <v>IKN400663</v>
          </cell>
          <cell r="B1081">
            <v>663</v>
          </cell>
          <cell r="C1081" t="str">
            <v>Institut Kanser Negara</v>
          </cell>
          <cell r="D1081" t="str">
            <v>KKM/IKN/H/13/378</v>
          </cell>
          <cell r="E1081" t="str">
            <v>16-173</v>
          </cell>
          <cell r="F1081" t="str">
            <v>Sphygmomanometers, Electronic, Automatic</v>
          </cell>
          <cell r="G1081" t="str">
            <v>DO</v>
          </cell>
          <cell r="H1081" t="str">
            <v>DAY ONCOLOGY UNIT</v>
          </cell>
          <cell r="I1081" t="str">
            <v>04DO138</v>
          </cell>
          <cell r="J1081" t="str">
            <v>CHEMOTHERAPY BAY (4 BEDS)</v>
          </cell>
          <cell r="K1081" t="str">
            <v>BMED</v>
          </cell>
          <cell r="L1081" t="str">
            <v>Critical</v>
          </cell>
          <cell r="M1081" t="str">
            <v>Mexico</v>
          </cell>
          <cell r="N1081" t="str">
            <v>Carespace</v>
          </cell>
          <cell r="O1081" t="str">
            <v>Carescape V100</v>
          </cell>
          <cell r="P1081" t="str">
            <v>SH612430154SA</v>
          </cell>
          <cell r="Q1081" t="str">
            <v>Not Applicable</v>
          </cell>
          <cell r="R1081" t="str">
            <v>GE Healthcare Systems</v>
          </cell>
          <cell r="S1081" t="str">
            <v>GE Healthcare Technologies</v>
          </cell>
          <cell r="T1081" t="str">
            <v>Functioning</v>
          </cell>
          <cell r="U1081" t="str">
            <v>Asset</v>
          </cell>
          <cell r="V1081">
            <v>7770</v>
          </cell>
          <cell r="W1081" t="str">
            <v>KEW</v>
          </cell>
          <cell r="X1081" t="str">
            <v>01/09/2010</v>
          </cell>
          <cell r="Y1081" t="str">
            <v>KEW</v>
          </cell>
          <cell r="Z1081" t="str">
            <v>16/08/2013</v>
          </cell>
          <cell r="AA1081" t="str">
            <v>15/08/2015</v>
          </cell>
          <cell r="AB1081" t="str">
            <v>No</v>
          </cell>
          <cell r="AC1081" t="str">
            <v>31/08/2013</v>
          </cell>
          <cell r="AD1081" t="str">
            <v>Good</v>
          </cell>
          <cell r="AE1081" t="str">
            <v>V1 - Existing / No Claim</v>
          </cell>
          <cell r="AF1081">
            <v>42793</v>
          </cell>
          <cell r="AG1081">
            <v>9.17</v>
          </cell>
          <cell r="AH1081" t="str">
            <v>PPM</v>
          </cell>
          <cell r="AI1081" t="str">
            <v>Strands</v>
          </cell>
          <cell r="AJ1081" t="str">
            <v>Strands PW</v>
          </cell>
        </row>
        <row r="1082">
          <cell r="A1082" t="str">
            <v>IKN400664</v>
          </cell>
          <cell r="B1082">
            <v>664</v>
          </cell>
          <cell r="C1082" t="str">
            <v>Institut Kanser Negara</v>
          </cell>
          <cell r="D1082" t="str">
            <v>KKM/IKN/H/14/119</v>
          </cell>
          <cell r="E1082" t="str">
            <v>13-217</v>
          </cell>
          <cell r="F1082" t="str">
            <v>Infusion Pumps, Syringe</v>
          </cell>
          <cell r="G1082" t="str">
            <v>NM</v>
          </cell>
          <cell r="H1082" t="str">
            <v>NUCLEAR MED (DIAGNOSTIC)</v>
          </cell>
          <cell r="I1082" t="str">
            <v>03NM155</v>
          </cell>
          <cell r="J1082" t="str">
            <v>STRESS LAB</v>
          </cell>
          <cell r="K1082" t="str">
            <v>BMED</v>
          </cell>
          <cell r="L1082" t="str">
            <v>Critical</v>
          </cell>
          <cell r="M1082" t="str">
            <v>Germany</v>
          </cell>
          <cell r="N1082" t="str">
            <v>Perfusor</v>
          </cell>
          <cell r="O1082" t="str">
            <v>Perfusor Space</v>
          </cell>
          <cell r="P1082" t="str">
            <v>268312</v>
          </cell>
          <cell r="Q1082" t="str">
            <v>Not Applicable</v>
          </cell>
          <cell r="R1082" t="str">
            <v>B Braun Melsungen AG</v>
          </cell>
          <cell r="S1082" t="str">
            <v>Pharmaserv Alliances Sdn. Bhd.</v>
          </cell>
          <cell r="T1082" t="str">
            <v>Functioning</v>
          </cell>
          <cell r="U1082" t="str">
            <v>Asset</v>
          </cell>
          <cell r="V1082">
            <v>5800</v>
          </cell>
          <cell r="W1082" t="str">
            <v>KEW</v>
          </cell>
          <cell r="X1082" t="str">
            <v>07/11/2014</v>
          </cell>
          <cell r="Y1082" t="str">
            <v>KEW</v>
          </cell>
          <cell r="Z1082" t="str">
            <v>16/12/2014</v>
          </cell>
          <cell r="AA1082" t="str">
            <v>15/12/2016</v>
          </cell>
          <cell r="AB1082" t="str">
            <v>No</v>
          </cell>
          <cell r="AC1082" t="str">
            <v>16/12/2014</v>
          </cell>
          <cell r="AD1082" t="str">
            <v>Good</v>
          </cell>
          <cell r="AE1082" t="str">
            <v>V3 - Added Installed Facilities (New)</v>
          </cell>
          <cell r="AF1082">
            <v>43078</v>
          </cell>
          <cell r="AG1082">
            <v>5</v>
          </cell>
          <cell r="AH1082" t="str">
            <v>PPM</v>
          </cell>
          <cell r="AI1082" t="str">
            <v>Strands</v>
          </cell>
          <cell r="AJ1082" t="str">
            <v>Strands PW</v>
          </cell>
          <cell r="AK1082" t="str">
            <v>SNF received. 1st batch of V3 asset (December 2020)</v>
          </cell>
        </row>
        <row r="1083">
          <cell r="A1083" t="str">
            <v>IKN400665</v>
          </cell>
          <cell r="B1083">
            <v>665</v>
          </cell>
          <cell r="C1083" t="str">
            <v>Institut Kanser Negara</v>
          </cell>
          <cell r="D1083" t="str">
            <v>KKM/IKN/H/14/94</v>
          </cell>
          <cell r="E1083" t="str">
            <v>15-178</v>
          </cell>
          <cell r="F1083" t="str">
            <v>Shakers, Laboratory</v>
          </cell>
          <cell r="G1083" t="str">
            <v>LA</v>
          </cell>
          <cell r="H1083" t="str">
            <v>PATHOLOGY</v>
          </cell>
          <cell r="I1083" t="str">
            <v>04LA130</v>
          </cell>
          <cell r="J1083" t="str">
            <v>SEROLOGY</v>
          </cell>
          <cell r="K1083" t="str">
            <v>BMED</v>
          </cell>
          <cell r="L1083" t="str">
            <v>Normal</v>
          </cell>
          <cell r="M1083" t="str">
            <v>USA</v>
          </cell>
          <cell r="N1083" t="str">
            <v>Latvia</v>
          </cell>
          <cell r="O1083" t="str">
            <v>Latvia OS-20</v>
          </cell>
          <cell r="P1083" t="str">
            <v>01010814090248</v>
          </cell>
          <cell r="Q1083" t="str">
            <v>Not Applicable</v>
          </cell>
          <cell r="R1083" t="str">
            <v>Biosan</v>
          </cell>
          <cell r="S1083" t="str">
            <v>Bumi Sains Sdn. Bhd.</v>
          </cell>
          <cell r="T1083" t="str">
            <v>Functioning</v>
          </cell>
          <cell r="U1083" t="str">
            <v>Asset</v>
          </cell>
          <cell r="V1083">
            <v>2700</v>
          </cell>
          <cell r="W1083" t="str">
            <v>KEW</v>
          </cell>
          <cell r="X1083" t="str">
            <v>25/09/2014</v>
          </cell>
          <cell r="Y1083" t="str">
            <v>KEW</v>
          </cell>
          <cell r="Z1083" t="str">
            <v>20/11/2014</v>
          </cell>
          <cell r="AA1083" t="str">
            <v>19/11/2015</v>
          </cell>
          <cell r="AB1083" t="str">
            <v>No</v>
          </cell>
          <cell r="AC1083" t="str">
            <v>20/11/2014</v>
          </cell>
          <cell r="AD1083" t="str">
            <v>Good</v>
          </cell>
          <cell r="AE1083" t="str">
            <v>V3 - Added Installed Facilities (New)</v>
          </cell>
          <cell r="AF1083">
            <v>42677</v>
          </cell>
          <cell r="AG1083">
            <v>5.17</v>
          </cell>
          <cell r="AH1083" t="str">
            <v>PPM</v>
          </cell>
          <cell r="AI1083" t="str">
            <v>Strands</v>
          </cell>
          <cell r="AJ1083" t="str">
            <v>Strands PW</v>
          </cell>
          <cell r="AK1083" t="str">
            <v>SNF received. 1st batch of V3 asset (December 2020)</v>
          </cell>
        </row>
        <row r="1084">
          <cell r="A1084" t="str">
            <v>IKN400666</v>
          </cell>
          <cell r="B1084">
            <v>666</v>
          </cell>
          <cell r="C1084" t="str">
            <v>Institut Kanser Negara</v>
          </cell>
          <cell r="D1084" t="str">
            <v>KKM/IKN/H/13/3747</v>
          </cell>
          <cell r="E1084" t="str">
            <v>25-209</v>
          </cell>
          <cell r="F1084" t="str">
            <v>Monitors, Physiologic, Vital Signs</v>
          </cell>
          <cell r="G1084" t="str">
            <v>DO</v>
          </cell>
          <cell r="H1084" t="str">
            <v>DAY ONCOLOGY UNIT</v>
          </cell>
          <cell r="I1084" t="str">
            <v>04DO138</v>
          </cell>
          <cell r="J1084" t="str">
            <v>CHEMOTHERAPY BAY (4 BEDS)</v>
          </cell>
          <cell r="K1084" t="str">
            <v>BMED</v>
          </cell>
          <cell r="L1084" t="str">
            <v>Critical</v>
          </cell>
          <cell r="M1084" t="str">
            <v>Mexico</v>
          </cell>
          <cell r="N1084" t="str">
            <v>Carespace</v>
          </cell>
          <cell r="O1084" t="str">
            <v>Carescape V100</v>
          </cell>
          <cell r="P1084" t="str">
            <v>SH613280312SA</v>
          </cell>
          <cell r="Q1084" t="str">
            <v>Not Applicable</v>
          </cell>
          <cell r="R1084" t="str">
            <v>GE Healthcare Systems</v>
          </cell>
          <cell r="S1084" t="str">
            <v>GE Healthcare Technologies</v>
          </cell>
          <cell r="T1084" t="str">
            <v>Functioning</v>
          </cell>
          <cell r="U1084" t="str">
            <v>Asset</v>
          </cell>
          <cell r="V1084">
            <v>18765</v>
          </cell>
          <cell r="W1084" t="str">
            <v>KEW</v>
          </cell>
          <cell r="X1084" t="str">
            <v>01/09/2010</v>
          </cell>
          <cell r="Y1084" t="str">
            <v>KEW</v>
          </cell>
          <cell r="Z1084" t="str">
            <v>16/08/2013</v>
          </cell>
          <cell r="AA1084" t="str">
            <v>15/08/2015</v>
          </cell>
          <cell r="AB1084" t="str">
            <v>No</v>
          </cell>
          <cell r="AC1084" t="str">
            <v>31/08/2013</v>
          </cell>
          <cell r="AD1084" t="str">
            <v>Good</v>
          </cell>
          <cell r="AE1084" t="str">
            <v>V1 - Existing / No Claim</v>
          </cell>
          <cell r="AF1084">
            <v>42793</v>
          </cell>
          <cell r="AG1084">
            <v>9.17</v>
          </cell>
          <cell r="AH1084" t="str">
            <v>PPM</v>
          </cell>
          <cell r="AI1084" t="str">
            <v>Strands</v>
          </cell>
          <cell r="AJ1084" t="str">
            <v>Strands PW</v>
          </cell>
        </row>
        <row r="1085">
          <cell r="A1085" t="str">
            <v>IKN400667</v>
          </cell>
          <cell r="B1085">
            <v>667</v>
          </cell>
          <cell r="C1085" t="str">
            <v>Institut Kanser Negara</v>
          </cell>
          <cell r="D1085" t="str">
            <v>KKM/IKN/H/13/3452</v>
          </cell>
          <cell r="E1085" t="str">
            <v>13-763</v>
          </cell>
          <cell r="F1085" t="str">
            <v>Stimulators, Electrical, Peripheral Nerve, Acupuncture</v>
          </cell>
          <cell r="G1085" t="str">
            <v>TC</v>
          </cell>
          <cell r="H1085" t="str">
            <v>TRADITIONAL COMPLEMENTARY MEDICINE</v>
          </cell>
          <cell r="I1085" t="str">
            <v>04TC108</v>
          </cell>
          <cell r="J1085" t="str">
            <v>TREATMENT 3 (MOXISBUSTION</v>
          </cell>
          <cell r="K1085" t="str">
            <v>BMED</v>
          </cell>
          <cell r="L1085" t="str">
            <v>Normal</v>
          </cell>
          <cell r="M1085" t="str">
            <v>China</v>
          </cell>
          <cell r="N1085" t="str">
            <v>Shantou</v>
          </cell>
          <cell r="O1085" t="str">
            <v>Shantou Itpg-6805-D</v>
          </cell>
          <cell r="P1085" t="str">
            <v>AD1007071</v>
          </cell>
          <cell r="Q1085" t="str">
            <v>Not Applicable</v>
          </cell>
          <cell r="R1085" t="str">
            <v>Shantou Medical</v>
          </cell>
          <cell r="S1085" t="str">
            <v>ITP Academy Malaysia</v>
          </cell>
          <cell r="T1085" t="str">
            <v>Functioning</v>
          </cell>
          <cell r="U1085" t="str">
            <v>Asset</v>
          </cell>
          <cell r="V1085">
            <v>10725</v>
          </cell>
          <cell r="W1085" t="str">
            <v>KEW</v>
          </cell>
          <cell r="X1085" t="str">
            <v>01/09/2010</v>
          </cell>
          <cell r="Y1085" t="str">
            <v>KEW</v>
          </cell>
          <cell r="Z1085" t="str">
            <v>16/08/2013</v>
          </cell>
          <cell r="AA1085" t="str">
            <v>15/08/2015</v>
          </cell>
          <cell r="AB1085" t="str">
            <v>No</v>
          </cell>
          <cell r="AC1085" t="str">
            <v>31/08/2013</v>
          </cell>
          <cell r="AD1085" t="str">
            <v>Good</v>
          </cell>
          <cell r="AE1085" t="str">
            <v>V1 - Existing / No Claim</v>
          </cell>
          <cell r="AF1085">
            <v>42794</v>
          </cell>
          <cell r="AG1085">
            <v>9.17</v>
          </cell>
          <cell r="AH1085" t="str">
            <v>PPM</v>
          </cell>
          <cell r="AI1085" t="str">
            <v>Strands</v>
          </cell>
          <cell r="AJ1085" t="str">
            <v>Strands PW</v>
          </cell>
        </row>
        <row r="1086">
          <cell r="A1086" t="str">
            <v>IKN400670</v>
          </cell>
          <cell r="B1086">
            <v>670</v>
          </cell>
          <cell r="C1086" t="str">
            <v>Institut Kanser Negara</v>
          </cell>
          <cell r="D1086" t="str">
            <v>KKM/IKN/H/13/3455</v>
          </cell>
          <cell r="E1086" t="str">
            <v>13-763</v>
          </cell>
          <cell r="F1086" t="str">
            <v>Stimulators, Electrical, Peripheral Nerve, Acupuncture</v>
          </cell>
          <cell r="G1086" t="str">
            <v>TC</v>
          </cell>
          <cell r="H1086" t="str">
            <v>TRADITIONAL COMPLEMENTARY MEDICINE</v>
          </cell>
          <cell r="I1086" t="str">
            <v>04TC129</v>
          </cell>
          <cell r="J1086" t="str">
            <v>TREATMENT 2 (ACCUPUNCTURE)</v>
          </cell>
          <cell r="K1086" t="str">
            <v>BMED</v>
          </cell>
          <cell r="L1086" t="str">
            <v>Normal</v>
          </cell>
          <cell r="M1086" t="str">
            <v>China</v>
          </cell>
          <cell r="N1086" t="str">
            <v>Shantou</v>
          </cell>
          <cell r="O1086" t="str">
            <v>Shantou Itpg-6805-D</v>
          </cell>
          <cell r="P1086" t="str">
            <v>AD1206095</v>
          </cell>
          <cell r="Q1086" t="str">
            <v>Not Applicable</v>
          </cell>
          <cell r="R1086" t="str">
            <v>Shantou Medical</v>
          </cell>
          <cell r="S1086" t="str">
            <v>ITP Academy Malaysia</v>
          </cell>
          <cell r="T1086" t="str">
            <v>Functioning</v>
          </cell>
          <cell r="U1086" t="str">
            <v>Asset</v>
          </cell>
          <cell r="V1086">
            <v>10725</v>
          </cell>
          <cell r="W1086" t="str">
            <v>KEW</v>
          </cell>
          <cell r="X1086" t="str">
            <v>01/09/2010</v>
          </cell>
          <cell r="Y1086" t="str">
            <v>KEW</v>
          </cell>
          <cell r="Z1086" t="str">
            <v>16/08/2013</v>
          </cell>
          <cell r="AA1086" t="str">
            <v>15/08/2015</v>
          </cell>
          <cell r="AB1086" t="str">
            <v>No</v>
          </cell>
          <cell r="AC1086" t="str">
            <v>31/08/2013</v>
          </cell>
          <cell r="AD1086" t="str">
            <v>Good</v>
          </cell>
          <cell r="AE1086" t="str">
            <v>V1 - Existing / No Claim</v>
          </cell>
          <cell r="AF1086">
            <v>42235</v>
          </cell>
          <cell r="AG1086">
            <v>9.17</v>
          </cell>
          <cell r="AH1086" t="str">
            <v>PPM</v>
          </cell>
          <cell r="AI1086" t="str">
            <v>Strands</v>
          </cell>
          <cell r="AJ1086" t="str">
            <v>Strands PW</v>
          </cell>
        </row>
        <row r="1087">
          <cell r="A1087" t="str">
            <v>IKN400671</v>
          </cell>
          <cell r="B1087">
            <v>671</v>
          </cell>
          <cell r="C1087" t="str">
            <v>Institut Kanser Negara</v>
          </cell>
          <cell r="D1087" t="str">
            <v>KKM/IKN/H/13/3456</v>
          </cell>
          <cell r="E1087" t="str">
            <v>13-763</v>
          </cell>
          <cell r="F1087" t="str">
            <v>Stimulators, Electrical, Peripheral Nerve, Acupuncture</v>
          </cell>
          <cell r="G1087" t="str">
            <v>TC</v>
          </cell>
          <cell r="H1087" t="str">
            <v>TRADITIONAL COMPLEMENTARY MEDICINE</v>
          </cell>
          <cell r="I1087" t="str">
            <v>04TC129</v>
          </cell>
          <cell r="J1087" t="str">
            <v>TREATMENT 2 (ACCUPUNCTURE)</v>
          </cell>
          <cell r="K1087" t="str">
            <v>BMED</v>
          </cell>
          <cell r="L1087" t="str">
            <v>Normal</v>
          </cell>
          <cell r="M1087" t="str">
            <v>China</v>
          </cell>
          <cell r="N1087" t="str">
            <v>Shantou</v>
          </cell>
          <cell r="O1087" t="str">
            <v>Shantou Itpg-6805-D</v>
          </cell>
          <cell r="P1087" t="str">
            <v>AD1206112</v>
          </cell>
          <cell r="Q1087" t="str">
            <v>Not Applicable</v>
          </cell>
          <cell r="R1087" t="str">
            <v>Shantou Medical</v>
          </cell>
          <cell r="S1087" t="str">
            <v>ITP Academy Malaysia</v>
          </cell>
          <cell r="T1087" t="str">
            <v>Functioning</v>
          </cell>
          <cell r="U1087" t="str">
            <v>Asset</v>
          </cell>
          <cell r="V1087">
            <v>10725</v>
          </cell>
          <cell r="W1087" t="str">
            <v>KEW</v>
          </cell>
          <cell r="X1087" t="str">
            <v>01/09/2010</v>
          </cell>
          <cell r="Y1087" t="str">
            <v>KEW</v>
          </cell>
          <cell r="Z1087" t="str">
            <v>16/08/2013</v>
          </cell>
          <cell r="AA1087" t="str">
            <v>15/08/2015</v>
          </cell>
          <cell r="AB1087" t="str">
            <v>No</v>
          </cell>
          <cell r="AC1087" t="str">
            <v>31/08/2013</v>
          </cell>
          <cell r="AD1087" t="str">
            <v>Good</v>
          </cell>
          <cell r="AE1087" t="str">
            <v>V1 - Existing / No Claim</v>
          </cell>
          <cell r="AF1087">
            <v>42794</v>
          </cell>
          <cell r="AG1087">
            <v>9.17</v>
          </cell>
          <cell r="AH1087" t="str">
            <v>PPM</v>
          </cell>
          <cell r="AI1087" t="str">
            <v>Strands</v>
          </cell>
          <cell r="AJ1087" t="str">
            <v>Strands PW</v>
          </cell>
        </row>
        <row r="1088">
          <cell r="A1088" t="str">
            <v>IKN400674</v>
          </cell>
          <cell r="B1088">
            <v>674</v>
          </cell>
          <cell r="C1088" t="str">
            <v>Institut Kanser Negara</v>
          </cell>
          <cell r="D1088" t="str">
            <v>KKM/IKN/H/13/1203</v>
          </cell>
          <cell r="E1088" t="str">
            <v>12-278</v>
          </cell>
          <cell r="F1088" t="str">
            <v>Lights, Infrared</v>
          </cell>
          <cell r="G1088" t="str">
            <v>TC</v>
          </cell>
          <cell r="H1088" t="str">
            <v>TRADITIONAL COMPLEMENTARY MEDICINE</v>
          </cell>
          <cell r="I1088" t="str">
            <v>04TC127</v>
          </cell>
          <cell r="J1088" t="str">
            <v>C/E</v>
          </cell>
          <cell r="K1088" t="str">
            <v>BMED</v>
          </cell>
          <cell r="L1088" t="str">
            <v>Normal</v>
          </cell>
          <cell r="M1088" t="str">
            <v>China</v>
          </cell>
          <cell r="N1088" t="str">
            <v>Chongqing</v>
          </cell>
          <cell r="O1088" t="str">
            <v>Chongqing Itp-Xf29-Tdp</v>
          </cell>
          <cell r="P1088" t="str">
            <v>12110067</v>
          </cell>
          <cell r="Q1088" t="str">
            <v>Not Applicable</v>
          </cell>
          <cell r="R1088" t="str">
            <v>Chongqing Xinfeng Me</v>
          </cell>
          <cell r="S1088" t="str">
            <v>ITP Academy Malaysia</v>
          </cell>
          <cell r="T1088" t="str">
            <v>Functioning</v>
          </cell>
          <cell r="U1088" t="str">
            <v>Asset</v>
          </cell>
          <cell r="V1088">
            <v>7050</v>
          </cell>
          <cell r="W1088" t="str">
            <v>KEW</v>
          </cell>
          <cell r="X1088" t="str">
            <v>01/09/2010</v>
          </cell>
          <cell r="Y1088" t="str">
            <v>KEW</v>
          </cell>
          <cell r="Z1088" t="str">
            <v>16/08/2013</v>
          </cell>
          <cell r="AA1088" t="str">
            <v>15/08/2015</v>
          </cell>
          <cell r="AB1088" t="str">
            <v>No</v>
          </cell>
          <cell r="AC1088" t="str">
            <v>31/08/2013</v>
          </cell>
          <cell r="AD1088" t="str">
            <v>Good</v>
          </cell>
          <cell r="AE1088" t="str">
            <v>V1 - Existing / No Claim</v>
          </cell>
          <cell r="AF1088">
            <v>42235</v>
          </cell>
          <cell r="AG1088">
            <v>9.17</v>
          </cell>
          <cell r="AH1088" t="str">
            <v>PPM</v>
          </cell>
          <cell r="AI1088" t="str">
            <v>Strands</v>
          </cell>
          <cell r="AJ1088" t="str">
            <v>Strands PW</v>
          </cell>
          <cell r="AK1088" t="str">
            <v>[INDIRA, 17/10/2023]: Update KKM No. [27/12/2023, SHARIFAH]: PEP ON 22/12/2023, BER/BEMS/IKN/23/025 - Komponen aset telah longgar, mineral plat berkarat, namun masih boleh digunakan dan hendaklah diselenggarakan sehingga dilupuskan.</v>
          </cell>
        </row>
        <row r="1089">
          <cell r="A1089" t="str">
            <v>IKN400677</v>
          </cell>
          <cell r="B1089">
            <v>677</v>
          </cell>
          <cell r="C1089" t="str">
            <v>Institut Kanser Negara</v>
          </cell>
          <cell r="D1089" t="str">
            <v>KKM/IKN/H/13/1206</v>
          </cell>
          <cell r="E1089" t="str">
            <v>12-278</v>
          </cell>
          <cell r="F1089" t="str">
            <v>Lights, Infrared</v>
          </cell>
          <cell r="G1089" t="str">
            <v>TC</v>
          </cell>
          <cell r="H1089" t="str">
            <v>TRADITIONAL COMPLEMENTARY MEDICINE</v>
          </cell>
          <cell r="I1089" t="str">
            <v>04TC129</v>
          </cell>
          <cell r="J1089" t="str">
            <v>TREATMENT 2 (ACCUPUNCTURE)</v>
          </cell>
          <cell r="K1089" t="str">
            <v>BMED</v>
          </cell>
          <cell r="L1089" t="str">
            <v>Normal</v>
          </cell>
          <cell r="M1089" t="str">
            <v>China</v>
          </cell>
          <cell r="N1089" t="str">
            <v>Chongqing</v>
          </cell>
          <cell r="O1089" t="str">
            <v>Chongqing Itp-Xf29-Tdp</v>
          </cell>
          <cell r="P1089" t="str">
            <v>12050603</v>
          </cell>
          <cell r="Q1089" t="str">
            <v>Not Applicable</v>
          </cell>
          <cell r="R1089" t="str">
            <v>Chongqing Xinfeng Me</v>
          </cell>
          <cell r="S1089" t="str">
            <v>ITP Academy Malaysia</v>
          </cell>
          <cell r="T1089" t="str">
            <v>Functioning</v>
          </cell>
          <cell r="U1089" t="str">
            <v>Asset</v>
          </cell>
          <cell r="V1089">
            <v>7050</v>
          </cell>
          <cell r="W1089" t="str">
            <v>KEW</v>
          </cell>
          <cell r="X1089" t="str">
            <v>01/09/2010</v>
          </cell>
          <cell r="Y1089" t="str">
            <v>KEW</v>
          </cell>
          <cell r="Z1089" t="str">
            <v>16/08/2013</v>
          </cell>
          <cell r="AA1089" t="str">
            <v>15/08/2015</v>
          </cell>
          <cell r="AB1089" t="str">
            <v>No</v>
          </cell>
          <cell r="AC1089" t="str">
            <v>31/08/2013</v>
          </cell>
          <cell r="AD1089" t="str">
            <v>Good</v>
          </cell>
          <cell r="AE1089" t="str">
            <v>V1 - Existing / No Claim</v>
          </cell>
          <cell r="AF1089">
            <v>42235</v>
          </cell>
          <cell r="AG1089">
            <v>9.17</v>
          </cell>
          <cell r="AH1089" t="str">
            <v>PPM</v>
          </cell>
          <cell r="AI1089" t="str">
            <v>Strands</v>
          </cell>
          <cell r="AJ1089" t="str">
            <v>Strands PW</v>
          </cell>
          <cell r="AK1089" t="str">
            <v>[INDIRA, 17/10/2023]: Update KKM No. [27/12/2023, SHARIFAH]: PEP ON 22/12/2023, BER/BEMS/IKN/23/027 - Komponen aset telah longgar, mineral plat berkarat, namun masih boleh digunakan dan hendaklah diselenggarakan sehingga dilupuskan.</v>
          </cell>
        </row>
        <row r="1090">
          <cell r="A1090" t="str">
            <v>IKN400678</v>
          </cell>
          <cell r="B1090">
            <v>678</v>
          </cell>
          <cell r="C1090" t="str">
            <v>Institut Kanser Negara</v>
          </cell>
          <cell r="D1090" t="str">
            <v>KKM/IKN/H/13/1251</v>
          </cell>
          <cell r="E1090" t="str">
            <v>10-208</v>
          </cell>
          <cell r="F1090" t="str">
            <v>Aspirators</v>
          </cell>
          <cell r="G1090" t="str">
            <v>TC</v>
          </cell>
          <cell r="H1090" t="str">
            <v>TRADITIONAL COMPLEMENTARY MEDICINE</v>
          </cell>
          <cell r="I1090" t="str">
            <v>04TC119</v>
          </cell>
          <cell r="J1090" t="str">
            <v>GEN.STORE</v>
          </cell>
          <cell r="K1090" t="str">
            <v>BMED</v>
          </cell>
          <cell r="L1090" t="str">
            <v>Normal</v>
          </cell>
          <cell r="M1090" t="str">
            <v>Switzerland</v>
          </cell>
          <cell r="N1090" t="str">
            <v>Senator</v>
          </cell>
          <cell r="O1090" t="str">
            <v>Senator</v>
          </cell>
          <cell r="P1090" t="str">
            <v>1220745</v>
          </cell>
          <cell r="Q1090" t="str">
            <v>Not Applicable</v>
          </cell>
          <cell r="R1090" t="str">
            <v>Ardo Medical AG</v>
          </cell>
          <cell r="S1090" t="str">
            <v>Histopoint</v>
          </cell>
          <cell r="T1090" t="str">
            <v>Functioning</v>
          </cell>
          <cell r="U1090" t="str">
            <v>Asset</v>
          </cell>
          <cell r="V1090">
            <v>5052</v>
          </cell>
          <cell r="W1090" t="str">
            <v>KEW</v>
          </cell>
          <cell r="X1090" t="str">
            <v>01/09/2010</v>
          </cell>
          <cell r="Y1090" t="str">
            <v>KEW</v>
          </cell>
          <cell r="Z1090" t="str">
            <v>16/08/2013</v>
          </cell>
          <cell r="AA1090" t="str">
            <v>15/08/2015</v>
          </cell>
          <cell r="AB1090" t="str">
            <v>No</v>
          </cell>
          <cell r="AC1090" t="str">
            <v>31/08/2013</v>
          </cell>
          <cell r="AD1090" t="str">
            <v>Good</v>
          </cell>
          <cell r="AE1090" t="str">
            <v>V1 - Existing / No Claim</v>
          </cell>
          <cell r="AF1090">
            <v>42235</v>
          </cell>
          <cell r="AG1090">
            <v>9.17</v>
          </cell>
          <cell r="AH1090" t="str">
            <v>PPM</v>
          </cell>
          <cell r="AI1090" t="str">
            <v>Strands</v>
          </cell>
          <cell r="AJ1090" t="str">
            <v>Strands PW</v>
          </cell>
        </row>
        <row r="1091">
          <cell r="A1091" t="str">
            <v>IKN400679</v>
          </cell>
          <cell r="B1091">
            <v>679</v>
          </cell>
          <cell r="C1091" t="str">
            <v>Institut Kanser Negara</v>
          </cell>
          <cell r="D1091" t="str">
            <v>KKM/IKN/H/13/1247</v>
          </cell>
          <cell r="E1091" t="str">
            <v>16-173</v>
          </cell>
          <cell r="F1091" t="str">
            <v>Sphygmomanometers, Electronic, Automatic</v>
          </cell>
          <cell r="G1091" t="str">
            <v>TC</v>
          </cell>
          <cell r="H1091" t="str">
            <v>TRADITIONAL COMPLEMENTARY MEDICINE</v>
          </cell>
          <cell r="I1091" t="str">
            <v>04TC125</v>
          </cell>
          <cell r="J1091" t="str">
            <v>ASSESSMENT</v>
          </cell>
          <cell r="K1091" t="str">
            <v>BMED</v>
          </cell>
          <cell r="L1091" t="str">
            <v>Critical</v>
          </cell>
          <cell r="M1091" t="str">
            <v>Mexico</v>
          </cell>
          <cell r="N1091" t="str">
            <v>Carespace</v>
          </cell>
          <cell r="O1091" t="str">
            <v>Carescape V100</v>
          </cell>
          <cell r="P1091" t="str">
            <v>SH612430119SA</v>
          </cell>
          <cell r="Q1091" t="str">
            <v>Not Applicable</v>
          </cell>
          <cell r="R1091" t="str">
            <v>GE Healthcare Systems</v>
          </cell>
          <cell r="S1091" t="str">
            <v>GE Healthcare Technologies</v>
          </cell>
          <cell r="T1091" t="str">
            <v>Functioning</v>
          </cell>
          <cell r="U1091" t="str">
            <v>Asset</v>
          </cell>
          <cell r="V1091">
            <v>7770</v>
          </cell>
          <cell r="W1091" t="str">
            <v>KEW</v>
          </cell>
          <cell r="X1091" t="str">
            <v>01/09/2010</v>
          </cell>
          <cell r="Y1091" t="str">
            <v>KEW</v>
          </cell>
          <cell r="Z1091" t="str">
            <v>16/08/2013</v>
          </cell>
          <cell r="AA1091" t="str">
            <v>15/08/2015</v>
          </cell>
          <cell r="AB1091" t="str">
            <v>No</v>
          </cell>
          <cell r="AC1091" t="str">
            <v>31/08/2013</v>
          </cell>
          <cell r="AD1091" t="str">
            <v>Good</v>
          </cell>
          <cell r="AE1091" t="str">
            <v>V1 - Existing / No Claim</v>
          </cell>
          <cell r="AF1091">
            <v>42794</v>
          </cell>
          <cell r="AG1091">
            <v>9.17</v>
          </cell>
          <cell r="AH1091" t="str">
            <v>PPM</v>
          </cell>
          <cell r="AI1091" t="str">
            <v>Strands</v>
          </cell>
          <cell r="AJ1091" t="str">
            <v>Strands PW</v>
          </cell>
        </row>
        <row r="1092">
          <cell r="A1092" t="str">
            <v>IKN400680</v>
          </cell>
          <cell r="B1092">
            <v>680</v>
          </cell>
          <cell r="C1092" t="str">
            <v>Institut Kanser Negara</v>
          </cell>
          <cell r="D1092" t="str">
            <v>KKM/IKN/I/13/867</v>
          </cell>
          <cell r="E1092" t="str">
            <v>16-173</v>
          </cell>
          <cell r="F1092" t="str">
            <v>Sphygmomanometers, Electronic, Automatic</v>
          </cell>
          <cell r="G1092" t="str">
            <v>TC</v>
          </cell>
          <cell r="H1092" t="str">
            <v>TRADITIONAL COMPLEMENTARY MEDICINE</v>
          </cell>
          <cell r="I1092" t="str">
            <v>04TC109</v>
          </cell>
          <cell r="J1092" t="str">
            <v>C/E 1 (HERBAL ONCOLOGY</v>
          </cell>
          <cell r="K1092" t="str">
            <v>BMED</v>
          </cell>
          <cell r="L1092" t="str">
            <v>Critical</v>
          </cell>
          <cell r="M1092" t="str">
            <v>USA</v>
          </cell>
          <cell r="N1092" t="str">
            <v>Connex</v>
          </cell>
          <cell r="O1092" t="str">
            <v>Connex ProBP 3400</v>
          </cell>
          <cell r="P1092" t="str">
            <v>100001470413</v>
          </cell>
          <cell r="Q1092" t="str">
            <v>Not Applicable</v>
          </cell>
          <cell r="R1092" t="str">
            <v>Welch Allyn Inc</v>
          </cell>
          <cell r="S1092" t="str">
            <v>Welch Allyn Malaysia Sdn Bhd</v>
          </cell>
          <cell r="T1092" t="str">
            <v>Functioning</v>
          </cell>
          <cell r="U1092" t="str">
            <v>Asset</v>
          </cell>
          <cell r="V1092">
            <v>336</v>
          </cell>
          <cell r="W1092" t="str">
            <v>KEW</v>
          </cell>
          <cell r="X1092" t="str">
            <v>01/09/2010</v>
          </cell>
          <cell r="Y1092" t="str">
            <v>KEW</v>
          </cell>
          <cell r="Z1092" t="str">
            <v>16/08/2013</v>
          </cell>
          <cell r="AA1092" t="str">
            <v>15/08/2015</v>
          </cell>
          <cell r="AB1092" t="str">
            <v>No</v>
          </cell>
          <cell r="AC1092" t="str">
            <v>31/08/2013</v>
          </cell>
          <cell r="AD1092" t="str">
            <v>Good</v>
          </cell>
          <cell r="AE1092" t="str">
            <v>V1 - Existing / No Claim</v>
          </cell>
          <cell r="AF1092">
            <v>42794</v>
          </cell>
          <cell r="AG1092">
            <v>9.17</v>
          </cell>
          <cell r="AH1092" t="str">
            <v>PPM</v>
          </cell>
          <cell r="AI1092" t="str">
            <v>Strands</v>
          </cell>
          <cell r="AJ1092" t="str">
            <v>Strands PW</v>
          </cell>
        </row>
        <row r="1093">
          <cell r="A1093" t="str">
            <v>IKN400681</v>
          </cell>
          <cell r="B1093">
            <v>681</v>
          </cell>
          <cell r="C1093" t="str">
            <v>Institut Kanser Negara</v>
          </cell>
          <cell r="D1093" t="str">
            <v>KKM/IKN/I/13/868</v>
          </cell>
          <cell r="E1093" t="str">
            <v>16-173</v>
          </cell>
          <cell r="F1093" t="str">
            <v>Sphygmomanometers, Electronic, Automatic</v>
          </cell>
          <cell r="G1093" t="str">
            <v>TC</v>
          </cell>
          <cell r="H1093" t="str">
            <v>TRADITIONAL COMPLEMENTARY MEDICINE</v>
          </cell>
          <cell r="I1093" t="str">
            <v>04TC127</v>
          </cell>
          <cell r="J1093" t="str">
            <v>C/E</v>
          </cell>
          <cell r="K1093" t="str">
            <v>BMED</v>
          </cell>
          <cell r="L1093" t="str">
            <v>Critical</v>
          </cell>
          <cell r="M1093" t="str">
            <v>USA</v>
          </cell>
          <cell r="N1093" t="str">
            <v>Connex</v>
          </cell>
          <cell r="O1093" t="str">
            <v>Connex ProBP 3400</v>
          </cell>
          <cell r="P1093" t="str">
            <v>100004891213</v>
          </cell>
          <cell r="Q1093" t="str">
            <v>Not Applicable</v>
          </cell>
          <cell r="R1093" t="str">
            <v>Welch Allyn Inc</v>
          </cell>
          <cell r="S1093" t="str">
            <v>Welch Allyn Malaysia Sdn Bhd</v>
          </cell>
          <cell r="T1093" t="str">
            <v>Functioning</v>
          </cell>
          <cell r="U1093" t="str">
            <v>Asset</v>
          </cell>
          <cell r="V1093">
            <v>336</v>
          </cell>
          <cell r="W1093" t="str">
            <v>KEW</v>
          </cell>
          <cell r="X1093" t="str">
            <v>01/09/2010</v>
          </cell>
          <cell r="Y1093" t="str">
            <v>KEW</v>
          </cell>
          <cell r="Z1093" t="str">
            <v>16/08/2013</v>
          </cell>
          <cell r="AA1093" t="str">
            <v>15/08/2015</v>
          </cell>
          <cell r="AB1093" t="str">
            <v>No</v>
          </cell>
          <cell r="AC1093" t="str">
            <v>31/08/2013</v>
          </cell>
          <cell r="AD1093" t="str">
            <v>Good</v>
          </cell>
          <cell r="AE1093" t="str">
            <v>V1 - Existing / No Claim</v>
          </cell>
          <cell r="AF1093">
            <v>42794</v>
          </cell>
          <cell r="AG1093">
            <v>9.17</v>
          </cell>
          <cell r="AH1093" t="str">
            <v>PPM</v>
          </cell>
          <cell r="AI1093" t="str">
            <v>Strands</v>
          </cell>
          <cell r="AJ1093" t="str">
            <v>Strands PW</v>
          </cell>
        </row>
        <row r="1094">
          <cell r="A1094" t="str">
            <v>IKN400684</v>
          </cell>
          <cell r="B1094">
            <v>684</v>
          </cell>
          <cell r="C1094" t="str">
            <v>Institut Kanser Negara</v>
          </cell>
          <cell r="D1094" t="str">
            <v>KKM/IKN/H/13/3448</v>
          </cell>
          <cell r="E1094" t="str">
            <v>13-763</v>
          </cell>
          <cell r="F1094" t="str">
            <v>Stimulators, Electrical, Peripheral Nerve, Acupuncture</v>
          </cell>
          <cell r="G1094" t="str">
            <v>TC</v>
          </cell>
          <cell r="H1094" t="str">
            <v>TRADITIONAL COMPLEMENTARY MEDICINE</v>
          </cell>
          <cell r="I1094" t="str">
            <v>04TC119</v>
          </cell>
          <cell r="J1094" t="str">
            <v>GEN.STORE</v>
          </cell>
          <cell r="K1094" t="str">
            <v>BMED</v>
          </cell>
          <cell r="L1094" t="str">
            <v>Normal</v>
          </cell>
          <cell r="M1094" t="str">
            <v>China</v>
          </cell>
          <cell r="N1094" t="str">
            <v>Shantou</v>
          </cell>
          <cell r="O1094" t="str">
            <v>Shantou Itpg-6805-D</v>
          </cell>
          <cell r="P1094" t="str">
            <v>AD1206103</v>
          </cell>
          <cell r="Q1094" t="str">
            <v>Not Applicable</v>
          </cell>
          <cell r="R1094" t="str">
            <v>Shantou Medical</v>
          </cell>
          <cell r="S1094" t="str">
            <v>ITP Academy Malaysia</v>
          </cell>
          <cell r="T1094" t="str">
            <v>Functioning</v>
          </cell>
          <cell r="U1094" t="str">
            <v>Asset</v>
          </cell>
          <cell r="V1094">
            <v>10725</v>
          </cell>
          <cell r="W1094" t="str">
            <v>KEW</v>
          </cell>
          <cell r="X1094" t="str">
            <v>01/09/2010</v>
          </cell>
          <cell r="Y1094" t="str">
            <v>KEW</v>
          </cell>
          <cell r="Z1094" t="str">
            <v>16/08/2013</v>
          </cell>
          <cell r="AA1094" t="str">
            <v>15/08/2015</v>
          </cell>
          <cell r="AB1094" t="str">
            <v>No</v>
          </cell>
          <cell r="AC1094" t="str">
            <v>31/08/2013</v>
          </cell>
          <cell r="AD1094" t="str">
            <v>Good</v>
          </cell>
          <cell r="AE1094" t="str">
            <v>V1 - Existing / No Claim</v>
          </cell>
          <cell r="AF1094">
            <v>42794</v>
          </cell>
          <cell r="AG1094">
            <v>9.17</v>
          </cell>
          <cell r="AH1094" t="str">
            <v>PPM</v>
          </cell>
          <cell r="AI1094" t="str">
            <v>Strands</v>
          </cell>
          <cell r="AJ1094" t="str">
            <v>Strands PW</v>
          </cell>
        </row>
        <row r="1095">
          <cell r="A1095" t="str">
            <v>IKN400685</v>
          </cell>
          <cell r="B1095">
            <v>685</v>
          </cell>
          <cell r="C1095" t="str">
            <v>Institut Kanser Negara</v>
          </cell>
          <cell r="D1095" t="str">
            <v>KKM/IKN/H/13/3457</v>
          </cell>
          <cell r="E1095" t="str">
            <v>13-763</v>
          </cell>
          <cell r="F1095" t="str">
            <v>Stimulators, Electrical, Peripheral Nerve, Acupuncture</v>
          </cell>
          <cell r="G1095" t="str">
            <v>TC</v>
          </cell>
          <cell r="H1095" t="str">
            <v>TRADITIONAL COMPLEMENTARY MEDICINE</v>
          </cell>
          <cell r="I1095" t="str">
            <v>04TC119</v>
          </cell>
          <cell r="J1095" t="str">
            <v>GEN.STORE</v>
          </cell>
          <cell r="K1095" t="str">
            <v>BMED</v>
          </cell>
          <cell r="L1095" t="str">
            <v>Normal</v>
          </cell>
          <cell r="M1095" t="str">
            <v>China</v>
          </cell>
          <cell r="N1095" t="str">
            <v>Shantou</v>
          </cell>
          <cell r="O1095" t="str">
            <v>Shantou Itpg-6805-D</v>
          </cell>
          <cell r="P1095" t="str">
            <v>AD1206093</v>
          </cell>
          <cell r="Q1095" t="str">
            <v>Not Applicable</v>
          </cell>
          <cell r="R1095" t="str">
            <v>Shantou Medical</v>
          </cell>
          <cell r="S1095" t="str">
            <v>ITP Academy Malaysia</v>
          </cell>
          <cell r="T1095" t="str">
            <v>Functioning</v>
          </cell>
          <cell r="U1095" t="str">
            <v>Asset</v>
          </cell>
          <cell r="V1095">
            <v>10725</v>
          </cell>
          <cell r="W1095" t="str">
            <v>KEW</v>
          </cell>
          <cell r="X1095" t="str">
            <v>01/09/2010</v>
          </cell>
          <cell r="Y1095" t="str">
            <v>KEW</v>
          </cell>
          <cell r="Z1095" t="str">
            <v>16/08/2013</v>
          </cell>
          <cell r="AA1095" t="str">
            <v>15/08/2015</v>
          </cell>
          <cell r="AB1095" t="str">
            <v>No</v>
          </cell>
          <cell r="AC1095" t="str">
            <v>31/08/2013</v>
          </cell>
          <cell r="AD1095" t="str">
            <v>Good</v>
          </cell>
          <cell r="AE1095" t="str">
            <v>V1 - Existing / No Claim</v>
          </cell>
          <cell r="AF1095">
            <v>42794</v>
          </cell>
          <cell r="AG1095">
            <v>9.17</v>
          </cell>
          <cell r="AH1095" t="str">
            <v>PPM</v>
          </cell>
          <cell r="AI1095" t="str">
            <v>Strands</v>
          </cell>
          <cell r="AJ1095" t="str">
            <v>Strands PW</v>
          </cell>
        </row>
        <row r="1096">
          <cell r="A1096" t="str">
            <v>IKN400686</v>
          </cell>
          <cell r="B1096">
            <v>686</v>
          </cell>
          <cell r="C1096" t="str">
            <v>Institut Kanser Negara</v>
          </cell>
          <cell r="D1096" t="str">
            <v>KKM/IKN/H/13/3449</v>
          </cell>
          <cell r="E1096" t="str">
            <v>13-763</v>
          </cell>
          <cell r="F1096" t="str">
            <v>Stimulators, Electrical, Peripheral Nerve, Acupuncture</v>
          </cell>
          <cell r="G1096" t="str">
            <v>TC</v>
          </cell>
          <cell r="H1096" t="str">
            <v>TRADITIONAL COMPLEMENTARY MEDICINE</v>
          </cell>
          <cell r="I1096" t="str">
            <v>04TC119</v>
          </cell>
          <cell r="J1096" t="str">
            <v>GEN.STORE</v>
          </cell>
          <cell r="K1096" t="str">
            <v>BMED</v>
          </cell>
          <cell r="L1096" t="str">
            <v>Normal</v>
          </cell>
          <cell r="M1096" t="str">
            <v>China</v>
          </cell>
          <cell r="N1096" t="str">
            <v>Shantou</v>
          </cell>
          <cell r="O1096" t="str">
            <v>Shantou Itpg-6805-D</v>
          </cell>
          <cell r="P1096" t="str">
            <v>AD1206110</v>
          </cell>
          <cell r="Q1096" t="str">
            <v>Not Applicable</v>
          </cell>
          <cell r="R1096" t="str">
            <v>Shantou Medical</v>
          </cell>
          <cell r="S1096" t="str">
            <v>ITP Academy Malaysia</v>
          </cell>
          <cell r="T1096" t="str">
            <v>Functioning</v>
          </cell>
          <cell r="U1096" t="str">
            <v>Asset</v>
          </cell>
          <cell r="V1096">
            <v>10725</v>
          </cell>
          <cell r="W1096" t="str">
            <v>KEW</v>
          </cell>
          <cell r="X1096" t="str">
            <v>01/09/2010</v>
          </cell>
          <cell r="Y1096" t="str">
            <v>KEW</v>
          </cell>
          <cell r="Z1096" t="str">
            <v>16/08/2013</v>
          </cell>
          <cell r="AA1096" t="str">
            <v>15/08/2015</v>
          </cell>
          <cell r="AB1096" t="str">
            <v>No</v>
          </cell>
          <cell r="AC1096" t="str">
            <v>31/08/2013</v>
          </cell>
          <cell r="AD1096" t="str">
            <v>Good</v>
          </cell>
          <cell r="AE1096" t="str">
            <v>V1 - Existing / No Claim</v>
          </cell>
          <cell r="AF1096">
            <v>42794</v>
          </cell>
          <cell r="AG1096">
            <v>9.17</v>
          </cell>
          <cell r="AH1096" t="str">
            <v>PPM</v>
          </cell>
          <cell r="AI1096" t="str">
            <v>Strands</v>
          </cell>
          <cell r="AJ1096" t="str">
            <v>Strands PW</v>
          </cell>
        </row>
        <row r="1097">
          <cell r="A1097" t="str">
            <v>IKN400687</v>
          </cell>
          <cell r="B1097">
            <v>687</v>
          </cell>
          <cell r="C1097" t="str">
            <v>Institut Kanser Negara</v>
          </cell>
          <cell r="D1097" t="str">
            <v>KKM/IKN/H/13/3451</v>
          </cell>
          <cell r="E1097" t="str">
            <v>13-763</v>
          </cell>
          <cell r="F1097" t="str">
            <v>Stimulators, Electrical, Peripheral Nerve, Acupuncture</v>
          </cell>
          <cell r="G1097" t="str">
            <v>TC</v>
          </cell>
          <cell r="H1097" t="str">
            <v>TRADITIONAL COMPLEMENTARY MEDICINE</v>
          </cell>
          <cell r="I1097" t="str">
            <v>04TC119</v>
          </cell>
          <cell r="J1097" t="str">
            <v>GEN.STORE</v>
          </cell>
          <cell r="K1097" t="str">
            <v>BMED</v>
          </cell>
          <cell r="L1097" t="str">
            <v>Normal</v>
          </cell>
          <cell r="M1097" t="str">
            <v>China</v>
          </cell>
          <cell r="N1097" t="str">
            <v>Shantou</v>
          </cell>
          <cell r="O1097" t="str">
            <v>Shantou Itpg-6805-D</v>
          </cell>
          <cell r="P1097" t="str">
            <v>AD1206111</v>
          </cell>
          <cell r="Q1097" t="str">
            <v>Not Applicable</v>
          </cell>
          <cell r="R1097" t="str">
            <v>Shantou Medical</v>
          </cell>
          <cell r="S1097" t="str">
            <v>ITP Academy Malaysia</v>
          </cell>
          <cell r="T1097" t="str">
            <v>Functioning</v>
          </cell>
          <cell r="U1097" t="str">
            <v>Asset</v>
          </cell>
          <cell r="V1097">
            <v>10725</v>
          </cell>
          <cell r="W1097" t="str">
            <v>KEW</v>
          </cell>
          <cell r="X1097" t="str">
            <v>01/09/2010</v>
          </cell>
          <cell r="Y1097" t="str">
            <v>KEW</v>
          </cell>
          <cell r="Z1097" t="str">
            <v>16/08/2013</v>
          </cell>
          <cell r="AA1097" t="str">
            <v>15/08/2015</v>
          </cell>
          <cell r="AB1097" t="str">
            <v>No</v>
          </cell>
          <cell r="AC1097" t="str">
            <v>31/08/2013</v>
          </cell>
          <cell r="AD1097" t="str">
            <v>Good</v>
          </cell>
          <cell r="AE1097" t="str">
            <v>V1 - Existing / No Claim</v>
          </cell>
          <cell r="AF1097">
            <v>42794</v>
          </cell>
          <cell r="AG1097">
            <v>9.17</v>
          </cell>
          <cell r="AH1097" t="str">
            <v>PPM</v>
          </cell>
          <cell r="AI1097" t="str">
            <v>Strands</v>
          </cell>
          <cell r="AJ1097" t="str">
            <v>Strands PW</v>
          </cell>
        </row>
        <row r="1098">
          <cell r="A1098" t="str">
            <v>IKN400688</v>
          </cell>
          <cell r="B1098">
            <v>688</v>
          </cell>
          <cell r="C1098" t="str">
            <v>Institut Kanser Negara</v>
          </cell>
          <cell r="D1098" t="str">
            <v>KKM/IKN/H/13/1201</v>
          </cell>
          <cell r="E1098" t="str">
            <v>12-282</v>
          </cell>
          <cell r="F1098" t="str">
            <v>Lights, Surgical</v>
          </cell>
          <cell r="G1098" t="str">
            <v>TC</v>
          </cell>
          <cell r="H1098" t="str">
            <v>TRADITIONAL COMPLEMENTARY MEDICINE</v>
          </cell>
          <cell r="I1098" t="str">
            <v>04TC109</v>
          </cell>
          <cell r="J1098" t="str">
            <v>C/E 1 (HERBAL ONCOLOGY</v>
          </cell>
          <cell r="K1098" t="str">
            <v>BMED</v>
          </cell>
          <cell r="L1098" t="str">
            <v>Critical</v>
          </cell>
          <cell r="M1098" t="str">
            <v>USA</v>
          </cell>
          <cell r="N1098" t="str">
            <v>Welch Allyn</v>
          </cell>
          <cell r="O1098" t="str">
            <v>Welch Allyn GS600</v>
          </cell>
          <cell r="P1098" t="str">
            <v>GS-600-34</v>
          </cell>
          <cell r="Q1098" t="str">
            <v>Not Applicable</v>
          </cell>
          <cell r="R1098" t="str">
            <v>Welch Allyn Inc</v>
          </cell>
          <cell r="S1098" t="str">
            <v>Welch Allyn Malaysia Sdn Bhd</v>
          </cell>
          <cell r="T1098" t="str">
            <v>Functioning</v>
          </cell>
          <cell r="U1098" t="str">
            <v>Asset</v>
          </cell>
          <cell r="V1098">
            <v>5050</v>
          </cell>
          <cell r="W1098" t="str">
            <v>KEW</v>
          </cell>
          <cell r="X1098" t="str">
            <v>01/09/2010</v>
          </cell>
          <cell r="Y1098" t="str">
            <v>KEW</v>
          </cell>
          <cell r="Z1098" t="str">
            <v>16/08/2013</v>
          </cell>
          <cell r="AA1098" t="str">
            <v>15/08/2015</v>
          </cell>
          <cell r="AB1098" t="str">
            <v>No</v>
          </cell>
          <cell r="AC1098" t="str">
            <v>31/08/2013</v>
          </cell>
          <cell r="AD1098" t="str">
            <v>Good</v>
          </cell>
          <cell r="AE1098" t="str">
            <v>V1 - Existing / No Claim</v>
          </cell>
          <cell r="AF1098">
            <v>42794</v>
          </cell>
          <cell r="AG1098">
            <v>9.17</v>
          </cell>
          <cell r="AH1098" t="str">
            <v>PPM</v>
          </cell>
          <cell r="AI1098" t="str">
            <v>Strands</v>
          </cell>
          <cell r="AJ1098" t="str">
            <v>Strands PW</v>
          </cell>
        </row>
        <row r="1099">
          <cell r="A1099" t="str">
            <v>IKN400689</v>
          </cell>
          <cell r="B1099">
            <v>689</v>
          </cell>
          <cell r="C1099" t="str">
            <v>Institut Kanser Negara</v>
          </cell>
          <cell r="D1099" t="str">
            <v>KKM/IKN/H/14/123</v>
          </cell>
          <cell r="E1099" t="str">
            <v>11-067</v>
          </cell>
          <cell r="F1099" t="str">
            <v>Cryosurgical Units, General-Purpose</v>
          </cell>
          <cell r="G1099" t="str">
            <v>ID</v>
          </cell>
          <cell r="H1099" t="str">
            <v>IMAGING DEPARTMENT</v>
          </cell>
          <cell r="I1099" t="str">
            <v>03ID164</v>
          </cell>
          <cell r="J1099" t="str">
            <v>ANGIO(VE)</v>
          </cell>
          <cell r="K1099" t="str">
            <v>BMED</v>
          </cell>
          <cell r="L1099" t="str">
            <v>Normal</v>
          </cell>
          <cell r="M1099" t="str">
            <v>USA</v>
          </cell>
          <cell r="N1099" t="str">
            <v>Cryo</v>
          </cell>
          <cell r="O1099" t="str">
            <v>Cryo-SL</v>
          </cell>
          <cell r="P1099" t="str">
            <v>1109</v>
          </cell>
          <cell r="Q1099" t="str">
            <v>Not Applicable</v>
          </cell>
          <cell r="R1099" t="str">
            <v>Endocare Healthtronics</v>
          </cell>
          <cell r="S1099" t="str">
            <v>Ilham Medicare Sdn. Bhd.</v>
          </cell>
          <cell r="T1099" t="str">
            <v>Functioning</v>
          </cell>
          <cell r="U1099" t="str">
            <v>Asset</v>
          </cell>
          <cell r="V1099">
            <v>968448</v>
          </cell>
          <cell r="W1099" t="str">
            <v>KEW</v>
          </cell>
          <cell r="X1099" t="str">
            <v>04/12/2014</v>
          </cell>
          <cell r="Y1099" t="str">
            <v>KEW</v>
          </cell>
          <cell r="Z1099" t="str">
            <v>17/12/2014</v>
          </cell>
          <cell r="AA1099" t="str">
            <v>16/12/2016</v>
          </cell>
          <cell r="AB1099" t="str">
            <v>No</v>
          </cell>
          <cell r="AC1099" t="str">
            <v>17/12/2014</v>
          </cell>
          <cell r="AD1099" t="str">
            <v>Good</v>
          </cell>
          <cell r="AE1099" t="str">
            <v>V3 - Added Installed Facilities (New)</v>
          </cell>
          <cell r="AF1099">
            <v>42791</v>
          </cell>
          <cell r="AG1099">
            <v>4.92</v>
          </cell>
          <cell r="AH1099" t="str">
            <v>PPM</v>
          </cell>
          <cell r="AI1099" t="str">
            <v>Strands</v>
          </cell>
          <cell r="AJ1099" t="str">
            <v>Strands PW</v>
          </cell>
          <cell r="AK1099" t="str">
            <v>SNF received. 1st batch of V3 asset (December 2020). SN PRESSURE GAUGE C4778G, C4779G, C4780G.</v>
          </cell>
        </row>
        <row r="1100">
          <cell r="A1100" t="str">
            <v>IKN400690</v>
          </cell>
          <cell r="B1100">
            <v>690</v>
          </cell>
          <cell r="C1100" t="str">
            <v>Institut Kanser Negara</v>
          </cell>
          <cell r="D1100" t="str">
            <v>KKM/IKN/H/13/956</v>
          </cell>
          <cell r="E1100" t="str">
            <v>13-209</v>
          </cell>
          <cell r="F1100" t="str">
            <v>Pumps, Enteral Feeding</v>
          </cell>
          <cell r="G1100" t="str">
            <v>IC</v>
          </cell>
          <cell r="H1100" t="str">
            <v>INTENSIVE CARE UNIT</v>
          </cell>
          <cell r="I1100" t="str">
            <v>05IC113</v>
          </cell>
          <cell r="J1100" t="str">
            <v>ICU RM 2</v>
          </cell>
          <cell r="K1100" t="str">
            <v>BMED</v>
          </cell>
          <cell r="L1100" t="str">
            <v>Normal</v>
          </cell>
          <cell r="M1100" t="str">
            <v>USA</v>
          </cell>
          <cell r="N1100" t="str">
            <v>Kangaroo</v>
          </cell>
          <cell r="O1100" t="str">
            <v>Kangaroo ePump</v>
          </cell>
          <cell r="P1100" t="str">
            <v>C1166056</v>
          </cell>
          <cell r="Q1100" t="str">
            <v>Not Applicable</v>
          </cell>
          <cell r="R1100" t="str">
            <v>Covidien</v>
          </cell>
          <cell r="S1100" t="str">
            <v>Schmidt Biomedtech Sdn. Bhd.</v>
          </cell>
          <cell r="T1100" t="str">
            <v>Functioning</v>
          </cell>
          <cell r="U1100" t="str">
            <v>Asset</v>
          </cell>
          <cell r="V1100">
            <v>6615</v>
          </cell>
          <cell r="W1100" t="str">
            <v>KEW</v>
          </cell>
          <cell r="X1100" t="str">
            <v>01/09/2010</v>
          </cell>
          <cell r="Y1100" t="str">
            <v>KEW</v>
          </cell>
          <cell r="Z1100" t="str">
            <v>16/08/2013</v>
          </cell>
          <cell r="AA1100" t="str">
            <v>15/08/2015</v>
          </cell>
          <cell r="AB1100" t="str">
            <v>No</v>
          </cell>
          <cell r="AC1100" t="str">
            <v>31/08/2013</v>
          </cell>
          <cell r="AD1100" t="str">
            <v>Good</v>
          </cell>
          <cell r="AE1100" t="str">
            <v>V1 - Existing / No Claim</v>
          </cell>
          <cell r="AF1100">
            <v>42633</v>
          </cell>
          <cell r="AG1100">
            <v>9.17</v>
          </cell>
          <cell r="AH1100" t="str">
            <v>PPM</v>
          </cell>
          <cell r="AI1100" t="str">
            <v>Strands</v>
          </cell>
          <cell r="AJ1100" t="str">
            <v>Strands PW</v>
          </cell>
        </row>
        <row r="1101">
          <cell r="A1101" t="str">
            <v>IKN400691</v>
          </cell>
          <cell r="B1101">
            <v>691</v>
          </cell>
          <cell r="C1101" t="str">
            <v>Institut Kanser Negara</v>
          </cell>
          <cell r="D1101" t="str">
            <v>KKM/IKN/H/13/1541</v>
          </cell>
          <cell r="E1101" t="str">
            <v>11-134</v>
          </cell>
          <cell r="F1101" t="str">
            <v>Defibrillators, External, Manual</v>
          </cell>
          <cell r="G1101" t="str">
            <v>QA</v>
          </cell>
          <cell r="H1101" t="str">
            <v>INFECTION , RESEARCH AND QA UNIT</v>
          </cell>
          <cell r="I1101" t="str">
            <v>04QA118</v>
          </cell>
          <cell r="J1101" t="str">
            <v>MEETING (12 PAX)</v>
          </cell>
          <cell r="K1101" t="str">
            <v>BMED</v>
          </cell>
          <cell r="L1101" t="str">
            <v>Critical</v>
          </cell>
          <cell r="M1101" t="str">
            <v>USA</v>
          </cell>
          <cell r="N1101" t="str">
            <v>Responder</v>
          </cell>
          <cell r="O1101" t="str">
            <v>Responder 2000</v>
          </cell>
          <cell r="P1101" t="str">
            <v>3206685</v>
          </cell>
          <cell r="Q1101" t="str">
            <v>Not Applicable</v>
          </cell>
          <cell r="R1101" t="str">
            <v>GE Medical Systems</v>
          </cell>
          <cell r="S1101" t="str">
            <v>Antah Sir Radin Sdn. Bhd.</v>
          </cell>
          <cell r="T1101" t="str">
            <v>Functioning</v>
          </cell>
          <cell r="U1101" t="str">
            <v>Asset</v>
          </cell>
          <cell r="V1101">
            <v>45000</v>
          </cell>
          <cell r="W1101" t="str">
            <v>Estimate</v>
          </cell>
          <cell r="X1101" t="str">
            <v>01/09/2010</v>
          </cell>
          <cell r="Y1101" t="str">
            <v>KEW</v>
          </cell>
          <cell r="Z1101" t="str">
            <v>16/08/2013</v>
          </cell>
          <cell r="AA1101" t="str">
            <v>15/08/2015</v>
          </cell>
          <cell r="AB1101" t="str">
            <v>No</v>
          </cell>
          <cell r="AC1101" t="str">
            <v>31/08/2013</v>
          </cell>
          <cell r="AD1101" t="str">
            <v>Good</v>
          </cell>
          <cell r="AE1101" t="str">
            <v>V1 - Existing / No Claim</v>
          </cell>
          <cell r="AF1101">
            <v>43068</v>
          </cell>
          <cell r="AG1101">
            <v>9.17</v>
          </cell>
          <cell r="AH1101" t="str">
            <v>PPM</v>
          </cell>
          <cell r="AI1101" t="str">
            <v>Strands</v>
          </cell>
          <cell r="AJ1101" t="str">
            <v>Strands PW</v>
          </cell>
          <cell r="AK1101" t="str">
            <v>Crash Trolley (FEMS). [15/4/2024]: TUKAR DEPARTMENT PY TO UNIT KUALITI.</v>
          </cell>
        </row>
        <row r="1102">
          <cell r="A1102" t="str">
            <v>IKN400692</v>
          </cell>
          <cell r="B1102">
            <v>692</v>
          </cell>
          <cell r="C1102" t="str">
            <v>Institut Kanser Negara</v>
          </cell>
          <cell r="D1102" t="str">
            <v>KKM/IKN/H/13/1556</v>
          </cell>
          <cell r="E1102" t="str">
            <v>12-282</v>
          </cell>
          <cell r="F1102" t="str">
            <v>Lights, Surgical</v>
          </cell>
          <cell r="G1102" t="str">
            <v>PY</v>
          </cell>
          <cell r="H1102" t="str">
            <v>PHYSIOTHERAPY</v>
          </cell>
          <cell r="I1102" t="str">
            <v>04PY109</v>
          </cell>
          <cell r="J1102" t="str">
            <v>ASSESSMENT / TREATMENT</v>
          </cell>
          <cell r="K1102" t="str">
            <v>BMED</v>
          </cell>
          <cell r="L1102" t="str">
            <v>Critical</v>
          </cell>
          <cell r="M1102" t="str">
            <v>USA</v>
          </cell>
          <cell r="N1102" t="str">
            <v>Welch Allyn</v>
          </cell>
          <cell r="O1102" t="str">
            <v>Welch Allyn GS600</v>
          </cell>
          <cell r="P1102" t="str">
            <v>GS-600-33</v>
          </cell>
          <cell r="Q1102" t="str">
            <v>Not Applicable</v>
          </cell>
          <cell r="R1102" t="str">
            <v>Welch Allyn Inc</v>
          </cell>
          <cell r="S1102" t="str">
            <v>Welch Allyn Malaysia Sdn Bhd</v>
          </cell>
          <cell r="T1102" t="str">
            <v>Functioning</v>
          </cell>
          <cell r="U1102" t="str">
            <v>Asset</v>
          </cell>
          <cell r="V1102">
            <v>5050</v>
          </cell>
          <cell r="W1102" t="str">
            <v>KEW</v>
          </cell>
          <cell r="X1102" t="str">
            <v>01/09/2010</v>
          </cell>
          <cell r="Y1102" t="str">
            <v>KEW</v>
          </cell>
          <cell r="Z1102" t="str">
            <v>16/08/2013</v>
          </cell>
          <cell r="AA1102" t="str">
            <v>15/08/2015</v>
          </cell>
          <cell r="AB1102" t="str">
            <v>No</v>
          </cell>
          <cell r="AC1102" t="str">
            <v>31/08/2013</v>
          </cell>
          <cell r="AD1102" t="str">
            <v>Good</v>
          </cell>
          <cell r="AE1102" t="str">
            <v>V1 - Existing / No Claim</v>
          </cell>
          <cell r="AF1102">
            <v>42801</v>
          </cell>
          <cell r="AG1102">
            <v>9.17</v>
          </cell>
          <cell r="AH1102" t="str">
            <v>PPM</v>
          </cell>
          <cell r="AI1102" t="str">
            <v>Strands</v>
          </cell>
          <cell r="AJ1102" t="str">
            <v>Strands PW</v>
          </cell>
        </row>
        <row r="1103">
          <cell r="A1103" t="str">
            <v>IKN400693</v>
          </cell>
          <cell r="B1103">
            <v>693</v>
          </cell>
          <cell r="C1103" t="str">
            <v>Institut Kanser Negara</v>
          </cell>
          <cell r="D1103" t="str">
            <v>KKM/IKN/H/13/1414</v>
          </cell>
          <cell r="E1103" t="str">
            <v>14-141</v>
          </cell>
          <cell r="F1103" t="str">
            <v>Treadmills</v>
          </cell>
          <cell r="G1103" t="str">
            <v>PY</v>
          </cell>
          <cell r="H1103" t="str">
            <v>PHYSIOTHERAPY</v>
          </cell>
          <cell r="I1103" t="str">
            <v>04PY115</v>
          </cell>
          <cell r="J1103" t="str">
            <v>GYMNASIUM</v>
          </cell>
          <cell r="K1103" t="str">
            <v>BMED</v>
          </cell>
          <cell r="L1103" t="str">
            <v>Normal</v>
          </cell>
          <cell r="M1103" t="str">
            <v>USA</v>
          </cell>
          <cell r="N1103" t="str">
            <v>Horizonfitness</v>
          </cell>
          <cell r="O1103" t="str">
            <v>Horizonfitness Ti52</v>
          </cell>
          <cell r="P1103" t="str">
            <v>TM2231202BC00012</v>
          </cell>
          <cell r="Q1103" t="str">
            <v>Not Applicable</v>
          </cell>
          <cell r="R1103" t="str">
            <v>Horizon Fitness</v>
          </cell>
          <cell r="S1103" t="str">
            <v>Maycare (M) Sdn. Bhd.</v>
          </cell>
          <cell r="T1103" t="str">
            <v>Functioning</v>
          </cell>
          <cell r="U1103" t="str">
            <v>Asset</v>
          </cell>
          <cell r="V1103">
            <v>10220</v>
          </cell>
          <cell r="W1103" t="str">
            <v>KEW</v>
          </cell>
          <cell r="X1103" t="str">
            <v>01/09/2010</v>
          </cell>
          <cell r="Y1103" t="str">
            <v>KEW</v>
          </cell>
          <cell r="Z1103" t="str">
            <v>16/08/2013</v>
          </cell>
          <cell r="AA1103" t="str">
            <v>15/08/2015</v>
          </cell>
          <cell r="AB1103" t="str">
            <v>No</v>
          </cell>
          <cell r="AC1103" t="str">
            <v>31/08/2013</v>
          </cell>
          <cell r="AD1103" t="str">
            <v>Good</v>
          </cell>
          <cell r="AE1103" t="str">
            <v>V1 - Existing / No Claim</v>
          </cell>
          <cell r="AF1103">
            <v>42802</v>
          </cell>
          <cell r="AG1103">
            <v>9.17</v>
          </cell>
          <cell r="AH1103" t="str">
            <v>RI</v>
          </cell>
          <cell r="AI1103" t="str">
            <v>Strands</v>
          </cell>
          <cell r="AJ1103" t="str">
            <v>Strands PW</v>
          </cell>
        </row>
        <row r="1104">
          <cell r="A1104" t="str">
            <v>IKN400694</v>
          </cell>
          <cell r="B1104">
            <v>694</v>
          </cell>
          <cell r="C1104" t="str">
            <v>Institut Kanser Negara</v>
          </cell>
          <cell r="D1104" t="str">
            <v>KKM/IKN/H/13/2050</v>
          </cell>
          <cell r="E1104" t="str">
            <v>13-775</v>
          </cell>
          <cell r="F1104" t="str">
            <v>Stimulators, Electrical, Neuromuscular</v>
          </cell>
          <cell r="G1104" t="str">
            <v>PY</v>
          </cell>
          <cell r="H1104" t="str">
            <v>PHYSIOTHERAPY</v>
          </cell>
          <cell r="I1104" t="str">
            <v>04PY109</v>
          </cell>
          <cell r="J1104" t="str">
            <v>ASSESSMENT / TREATMENT</v>
          </cell>
          <cell r="K1104" t="str">
            <v>BMED</v>
          </cell>
          <cell r="L1104" t="str">
            <v>Normal</v>
          </cell>
          <cell r="M1104" t="str">
            <v>Denmark</v>
          </cell>
          <cell r="N1104" t="str">
            <v>Danmeter</v>
          </cell>
          <cell r="O1104" t="str">
            <v>Elpha II 3000</v>
          </cell>
          <cell r="P1104" t="str">
            <v>2013080053</v>
          </cell>
          <cell r="Q1104" t="str">
            <v>Not Applicable</v>
          </cell>
          <cell r="R1104" t="str">
            <v>Danmeter AS</v>
          </cell>
          <cell r="S1104" t="str">
            <v>Maycare (M) Sdn. Bhd.</v>
          </cell>
          <cell r="T1104" t="str">
            <v>Functioning</v>
          </cell>
          <cell r="U1104" t="str">
            <v>Asset</v>
          </cell>
          <cell r="V1104">
            <v>420</v>
          </cell>
          <cell r="W1104" t="str">
            <v>KEW</v>
          </cell>
          <cell r="X1104" t="str">
            <v>01/09/2010</v>
          </cell>
          <cell r="Y1104" t="str">
            <v>KEW</v>
          </cell>
          <cell r="Z1104" t="str">
            <v>16/08/2013</v>
          </cell>
          <cell r="AA1104" t="str">
            <v>15/08/2015</v>
          </cell>
          <cell r="AB1104" t="str">
            <v>No</v>
          </cell>
          <cell r="AC1104" t="str">
            <v>31/08/2013</v>
          </cell>
          <cell r="AD1104" t="str">
            <v>Good</v>
          </cell>
          <cell r="AE1104" t="str">
            <v>V1 - Existing / No Claim</v>
          </cell>
          <cell r="AF1104">
            <v>43068</v>
          </cell>
          <cell r="AG1104">
            <v>9.17</v>
          </cell>
          <cell r="AH1104" t="str">
            <v>PPM</v>
          </cell>
          <cell r="AI1104" t="str">
            <v>Strands</v>
          </cell>
          <cell r="AJ1104" t="str">
            <v>Strands PW</v>
          </cell>
        </row>
        <row r="1105">
          <cell r="A1105" t="str">
            <v>IKN400695</v>
          </cell>
          <cell r="B1105">
            <v>695</v>
          </cell>
          <cell r="C1105" t="str">
            <v>Institut Kanser Negara</v>
          </cell>
          <cell r="D1105" t="str">
            <v>KKM/IKN/H/13/2051</v>
          </cell>
          <cell r="E1105" t="str">
            <v>13-775</v>
          </cell>
          <cell r="F1105" t="str">
            <v>Stimulators, Electrical, Neuromuscular</v>
          </cell>
          <cell r="G1105" t="str">
            <v>PY</v>
          </cell>
          <cell r="H1105" t="str">
            <v>PHYSIOTHERAPY</v>
          </cell>
          <cell r="I1105" t="str">
            <v>04PY119</v>
          </cell>
          <cell r="J1105" t="str">
            <v>EQ.ROOM</v>
          </cell>
          <cell r="K1105" t="str">
            <v>BMED</v>
          </cell>
          <cell r="L1105" t="str">
            <v>Normal</v>
          </cell>
          <cell r="M1105" t="str">
            <v>Denmark</v>
          </cell>
          <cell r="N1105" t="str">
            <v>Danmeter</v>
          </cell>
          <cell r="O1105" t="str">
            <v>Elpha II 3000</v>
          </cell>
          <cell r="P1105" t="str">
            <v>2013080055</v>
          </cell>
          <cell r="Q1105" t="str">
            <v>Not Applicable</v>
          </cell>
          <cell r="R1105" t="str">
            <v>Danmeter AS</v>
          </cell>
          <cell r="S1105" t="str">
            <v>Maycare (M) Sdn. Bhd.</v>
          </cell>
          <cell r="T1105" t="str">
            <v>Functioning</v>
          </cell>
          <cell r="U1105" t="str">
            <v>Asset</v>
          </cell>
          <cell r="V1105">
            <v>420</v>
          </cell>
          <cell r="W1105" t="str">
            <v>KEW</v>
          </cell>
          <cell r="X1105" t="str">
            <v>01/09/2010</v>
          </cell>
          <cell r="Y1105" t="str">
            <v>KEW</v>
          </cell>
          <cell r="Z1105" t="str">
            <v>16/08/2013</v>
          </cell>
          <cell r="AA1105" t="str">
            <v>15/08/2015</v>
          </cell>
          <cell r="AB1105" t="str">
            <v>No</v>
          </cell>
          <cell r="AC1105" t="str">
            <v>31/08/2013</v>
          </cell>
          <cell r="AD1105" t="str">
            <v>Good</v>
          </cell>
          <cell r="AE1105" t="str">
            <v>V1 - Existing / No Claim</v>
          </cell>
          <cell r="AF1105">
            <v>42235</v>
          </cell>
          <cell r="AG1105">
            <v>9.17</v>
          </cell>
          <cell r="AH1105" t="str">
            <v>PPM</v>
          </cell>
          <cell r="AI1105" t="str">
            <v>Strands</v>
          </cell>
          <cell r="AJ1105" t="str">
            <v>Strands PW</v>
          </cell>
        </row>
        <row r="1106">
          <cell r="A1106" t="str">
            <v>IKN400696</v>
          </cell>
          <cell r="B1106">
            <v>696</v>
          </cell>
          <cell r="C1106" t="str">
            <v>Institut Kanser Negara</v>
          </cell>
          <cell r="D1106" t="str">
            <v>KKM/IKN/H/13/2052</v>
          </cell>
          <cell r="E1106" t="str">
            <v>13-775</v>
          </cell>
          <cell r="F1106" t="str">
            <v>Stimulators, Electrical, Neuromuscular</v>
          </cell>
          <cell r="G1106" t="str">
            <v>PY</v>
          </cell>
          <cell r="H1106" t="str">
            <v>PHYSIOTHERAPY</v>
          </cell>
          <cell r="I1106" t="str">
            <v>04PY119</v>
          </cell>
          <cell r="J1106" t="str">
            <v>EQ.ROOM</v>
          </cell>
          <cell r="K1106" t="str">
            <v>BMED</v>
          </cell>
          <cell r="L1106" t="str">
            <v>Normal</v>
          </cell>
          <cell r="M1106" t="str">
            <v>Denmark</v>
          </cell>
          <cell r="N1106" t="str">
            <v>Danmeter</v>
          </cell>
          <cell r="O1106" t="str">
            <v>Elpha II 3000</v>
          </cell>
          <cell r="P1106" t="str">
            <v>2013080058</v>
          </cell>
          <cell r="Q1106" t="str">
            <v>Not Applicable</v>
          </cell>
          <cell r="R1106" t="str">
            <v>Danmeter AS</v>
          </cell>
          <cell r="S1106" t="str">
            <v>Maycare (M) Sdn. Bhd.</v>
          </cell>
          <cell r="T1106" t="str">
            <v>Functioning</v>
          </cell>
          <cell r="U1106" t="str">
            <v>Asset</v>
          </cell>
          <cell r="V1106">
            <v>420</v>
          </cell>
          <cell r="W1106" t="str">
            <v>KEW</v>
          </cell>
          <cell r="X1106" t="str">
            <v>01/09/2010</v>
          </cell>
          <cell r="Y1106" t="str">
            <v>KEW</v>
          </cell>
          <cell r="Z1106" t="str">
            <v>16/08/2013</v>
          </cell>
          <cell r="AA1106" t="str">
            <v>15/08/2015</v>
          </cell>
          <cell r="AB1106" t="str">
            <v>No</v>
          </cell>
          <cell r="AC1106" t="str">
            <v>31/08/2013</v>
          </cell>
          <cell r="AD1106" t="str">
            <v>Good</v>
          </cell>
          <cell r="AE1106" t="str">
            <v>V1 - Existing / No Claim</v>
          </cell>
          <cell r="AF1106">
            <v>42235</v>
          </cell>
          <cell r="AG1106">
            <v>9.17</v>
          </cell>
          <cell r="AH1106" t="str">
            <v>PPM</v>
          </cell>
          <cell r="AI1106" t="str">
            <v>Strands</v>
          </cell>
          <cell r="AJ1106" t="str">
            <v>Strands PW</v>
          </cell>
        </row>
        <row r="1107">
          <cell r="A1107" t="str">
            <v>IKN400697</v>
          </cell>
          <cell r="B1107">
            <v>697</v>
          </cell>
          <cell r="C1107" t="str">
            <v>Institut Kanser Negara</v>
          </cell>
          <cell r="D1107" t="str">
            <v>KKM/IKN/I/13/9508</v>
          </cell>
          <cell r="E1107" t="str">
            <v>13-775</v>
          </cell>
          <cell r="F1107" t="str">
            <v>Stimulators, Electrical, Neuromuscular</v>
          </cell>
          <cell r="G1107" t="str">
            <v>PY</v>
          </cell>
          <cell r="H1107" t="str">
            <v>PHYSIOTHERAPY</v>
          </cell>
          <cell r="I1107" t="str">
            <v>04PY119</v>
          </cell>
          <cell r="J1107" t="str">
            <v>EQ.ROOM</v>
          </cell>
          <cell r="K1107" t="str">
            <v>BMED</v>
          </cell>
          <cell r="L1107" t="str">
            <v>Normal</v>
          </cell>
          <cell r="M1107" t="str">
            <v>Denmark</v>
          </cell>
          <cell r="N1107" t="str">
            <v>Danmeter</v>
          </cell>
          <cell r="O1107" t="str">
            <v>Elpha II 3000</v>
          </cell>
          <cell r="P1107" t="str">
            <v>2011080571</v>
          </cell>
          <cell r="Q1107" t="str">
            <v>Not Applicable</v>
          </cell>
          <cell r="R1107" t="str">
            <v>Danmeter AS</v>
          </cell>
          <cell r="S1107" t="str">
            <v>Maycare (M) Sdn. Bhd.</v>
          </cell>
          <cell r="T1107" t="str">
            <v>Functioning</v>
          </cell>
          <cell r="U1107" t="str">
            <v>Asset</v>
          </cell>
          <cell r="V1107">
            <v>420</v>
          </cell>
          <cell r="W1107" t="str">
            <v>KEW</v>
          </cell>
          <cell r="X1107" t="str">
            <v>01/09/2010</v>
          </cell>
          <cell r="Y1107" t="str">
            <v>KEW</v>
          </cell>
          <cell r="Z1107" t="str">
            <v>16/08/2013</v>
          </cell>
          <cell r="AA1107" t="str">
            <v>15/08/2015</v>
          </cell>
          <cell r="AB1107" t="str">
            <v>No</v>
          </cell>
          <cell r="AC1107" t="str">
            <v>31/08/2013</v>
          </cell>
          <cell r="AD1107" t="str">
            <v>Good</v>
          </cell>
          <cell r="AE1107" t="str">
            <v>V3 - Added Installed Facilities (New)</v>
          </cell>
          <cell r="AF1107">
            <v>42235</v>
          </cell>
          <cell r="AG1107">
            <v>9.17</v>
          </cell>
          <cell r="AH1107" t="str">
            <v>PPM</v>
          </cell>
          <cell r="AI1107" t="str">
            <v>Strands</v>
          </cell>
          <cell r="AJ1107" t="str">
            <v>Strands PW</v>
          </cell>
          <cell r="AK1107" t="str">
            <v>SNF received. 1st batch of V3 asset (December 2020)</v>
          </cell>
        </row>
        <row r="1108">
          <cell r="A1108" t="str">
            <v>IKN400698</v>
          </cell>
          <cell r="B1108">
            <v>698</v>
          </cell>
          <cell r="C1108" t="str">
            <v>Institut Kanser Negara</v>
          </cell>
          <cell r="D1108" t="str">
            <v>KKM/IKN/H/13/1810</v>
          </cell>
          <cell r="E1108" t="str">
            <v>17-908</v>
          </cell>
          <cell r="F1108" t="str">
            <v>Ultrasound Therapy/Neuromuscular Stimulation Systems, Physic</v>
          </cell>
          <cell r="G1108" t="str">
            <v>PY</v>
          </cell>
          <cell r="H1108" t="str">
            <v>PHYSIOTHERAPY</v>
          </cell>
          <cell r="I1108" t="str">
            <v>04PY119</v>
          </cell>
          <cell r="J1108" t="str">
            <v>EQ.ROOM</v>
          </cell>
          <cell r="K1108" t="str">
            <v>BMED</v>
          </cell>
          <cell r="L1108" t="str">
            <v>Normal</v>
          </cell>
          <cell r="M1108" t="str">
            <v>Belgium</v>
          </cell>
          <cell r="N1108" t="str">
            <v>Gymna</v>
          </cell>
          <cell r="O1108" t="str">
            <v>Gymna Combi 200</v>
          </cell>
          <cell r="P1108" t="str">
            <v>65973</v>
          </cell>
          <cell r="Q1108" t="str">
            <v>Not Applicable</v>
          </cell>
          <cell r="R1108" t="str">
            <v>GymnaUniphy NV</v>
          </cell>
          <cell r="S1108" t="str">
            <v>Maycare (M) Sdn. Bhd.</v>
          </cell>
          <cell r="T1108" t="str">
            <v>Functioning</v>
          </cell>
          <cell r="U1108" t="str">
            <v>Asset</v>
          </cell>
          <cell r="V1108">
            <v>18640</v>
          </cell>
          <cell r="W1108" t="str">
            <v>KEW</v>
          </cell>
          <cell r="X1108" t="str">
            <v>01/09/2010</v>
          </cell>
          <cell r="Y1108" t="str">
            <v>KEW</v>
          </cell>
          <cell r="Z1108" t="str">
            <v>16/08/2013</v>
          </cell>
          <cell r="AA1108" t="str">
            <v>15/08/2015</v>
          </cell>
          <cell r="AB1108" t="str">
            <v>No</v>
          </cell>
          <cell r="AC1108" t="str">
            <v>31/08/2013</v>
          </cell>
          <cell r="AD1108" t="str">
            <v>Good</v>
          </cell>
          <cell r="AE1108" t="str">
            <v>V1 - Existing / No Claim</v>
          </cell>
          <cell r="AF1108">
            <v>42802</v>
          </cell>
          <cell r="AG1108">
            <v>9.17</v>
          </cell>
          <cell r="AH1108" t="str">
            <v>PPM</v>
          </cell>
          <cell r="AI1108" t="str">
            <v>Strands</v>
          </cell>
          <cell r="AJ1108" t="str">
            <v>Strands PW</v>
          </cell>
          <cell r="AK1108" t="str">
            <v>[27/12/2023, SHARIFAH]: PEP ON 22/12/2023, BER/BEMS/IKN/23/023 - Aset mengalami kerosakan pada US probe, namun masih boleh digunakan dan hendaklah diselenggarakan sehingga dilupuskan.</v>
          </cell>
        </row>
        <row r="1109">
          <cell r="A1109" t="str">
            <v>IKN400700</v>
          </cell>
          <cell r="B1109">
            <v>700</v>
          </cell>
          <cell r="C1109" t="str">
            <v>Institut Kanser Negara</v>
          </cell>
          <cell r="D1109" t="str">
            <v>KKM/IKN/H/13/5103</v>
          </cell>
          <cell r="E1109" t="str">
            <v>15-045</v>
          </cell>
          <cell r="F1109" t="str">
            <v>Nebulizers, Nonheated</v>
          </cell>
          <cell r="G1109" t="str">
            <v>PY</v>
          </cell>
          <cell r="H1109" t="str">
            <v>PHYSIOTHERAPY</v>
          </cell>
          <cell r="I1109" t="str">
            <v>04PY130</v>
          </cell>
          <cell r="J1109" t="str">
            <v>RESPIRATORY</v>
          </cell>
          <cell r="K1109" t="str">
            <v>BMED</v>
          </cell>
          <cell r="L1109" t="str">
            <v>Normal</v>
          </cell>
          <cell r="M1109" t="str">
            <v>Germany</v>
          </cell>
          <cell r="N1109" t="str">
            <v>Pari Boy</v>
          </cell>
          <cell r="O1109" t="str">
            <v>Pari Boy SX 085</v>
          </cell>
          <cell r="P1109" t="str">
            <v>2W12F13732</v>
          </cell>
          <cell r="Q1109" t="str">
            <v>Not Applicable</v>
          </cell>
          <cell r="R1109" t="str">
            <v>Pari GmbH</v>
          </cell>
          <cell r="S1109" t="str">
            <v>Welch Allyn Malaysia Sdn Bhd</v>
          </cell>
          <cell r="T1109" t="str">
            <v>Functioning</v>
          </cell>
          <cell r="U1109" t="str">
            <v>Asset</v>
          </cell>
          <cell r="V1109">
            <v>1140</v>
          </cell>
          <cell r="W1109" t="str">
            <v>KEW</v>
          </cell>
          <cell r="X1109" t="str">
            <v>01/09/2010</v>
          </cell>
          <cell r="Y1109" t="str">
            <v>KEW</v>
          </cell>
          <cell r="Z1109" t="str">
            <v>16/08/2013</v>
          </cell>
          <cell r="AA1109" t="str">
            <v>15/08/2015</v>
          </cell>
          <cell r="AB1109" t="str">
            <v>No</v>
          </cell>
          <cell r="AC1109" t="str">
            <v>31/08/2013</v>
          </cell>
          <cell r="AD1109" t="str">
            <v>Good</v>
          </cell>
          <cell r="AE1109" t="str">
            <v>V3 - Added Installed Facilities (New)</v>
          </cell>
          <cell r="AF1109">
            <v>42802</v>
          </cell>
          <cell r="AG1109">
            <v>9.17</v>
          </cell>
          <cell r="AH1109" t="str">
            <v>PPM</v>
          </cell>
          <cell r="AI1109" t="str">
            <v>Strands</v>
          </cell>
          <cell r="AJ1109" t="str">
            <v>Strands PW</v>
          </cell>
          <cell r="AK1109" t="str">
            <v>SNF received. 1st batch of V3 asset (December 2020)</v>
          </cell>
        </row>
        <row r="1110">
          <cell r="A1110" t="str">
            <v>IKN400701</v>
          </cell>
          <cell r="B1110">
            <v>701</v>
          </cell>
          <cell r="C1110" t="str">
            <v>Institut Kanser Negara</v>
          </cell>
          <cell r="D1110" t="str">
            <v>KKM/IKN/H/13/1421</v>
          </cell>
          <cell r="E1110" t="str">
            <v>10-208</v>
          </cell>
          <cell r="F1110" t="str">
            <v>Aspirators</v>
          </cell>
          <cell r="G1110" t="str">
            <v>PY</v>
          </cell>
          <cell r="H1110" t="str">
            <v>PHYSIOTHERAPY</v>
          </cell>
          <cell r="I1110" t="str">
            <v>04PY130</v>
          </cell>
          <cell r="J1110" t="str">
            <v>RESPIRATORY</v>
          </cell>
          <cell r="K1110" t="str">
            <v>BMED</v>
          </cell>
          <cell r="L1110" t="str">
            <v>Critical</v>
          </cell>
          <cell r="M1110" t="str">
            <v>Italy</v>
          </cell>
          <cell r="N1110" t="str">
            <v>Askir</v>
          </cell>
          <cell r="O1110" t="str">
            <v>Askir 36-BR</v>
          </cell>
          <cell r="P1110" t="str">
            <v>1394</v>
          </cell>
          <cell r="Q1110" t="str">
            <v>Not Applicable</v>
          </cell>
          <cell r="R1110" t="str">
            <v>Ca-Mi Snc</v>
          </cell>
          <cell r="S1110" t="str">
            <v>Antah Sir Radin Sdn. Bhd.</v>
          </cell>
          <cell r="T1110" t="str">
            <v>Functioning</v>
          </cell>
          <cell r="U1110" t="str">
            <v>Asset</v>
          </cell>
          <cell r="V1110">
            <v>2165</v>
          </cell>
          <cell r="W1110" t="str">
            <v>KEW</v>
          </cell>
          <cell r="X1110" t="str">
            <v>01/09/2010</v>
          </cell>
          <cell r="Y1110" t="str">
            <v>KEW</v>
          </cell>
          <cell r="Z1110" t="str">
            <v>16/08/2013</v>
          </cell>
          <cell r="AA1110" t="str">
            <v>15/08/2015</v>
          </cell>
          <cell r="AB1110" t="str">
            <v>No</v>
          </cell>
          <cell r="AC1110" t="str">
            <v>31/08/2013</v>
          </cell>
          <cell r="AD1110" t="str">
            <v>Good</v>
          </cell>
          <cell r="AE1110" t="str">
            <v>V1 - Existing / No Claim</v>
          </cell>
          <cell r="AF1110">
            <v>42802</v>
          </cell>
          <cell r="AG1110">
            <v>9.17</v>
          </cell>
          <cell r="AH1110" t="str">
            <v>PPM</v>
          </cell>
          <cell r="AI1110" t="str">
            <v>Strands</v>
          </cell>
          <cell r="AJ1110" t="str">
            <v>Strands PW</v>
          </cell>
        </row>
        <row r="1111">
          <cell r="A1111" t="str">
            <v>IKN400702</v>
          </cell>
          <cell r="B1111">
            <v>702</v>
          </cell>
          <cell r="C1111" t="str">
            <v>Institut Kanser Negara</v>
          </cell>
          <cell r="D1111" t="str">
            <v>KKM/IKN/H/13/1420</v>
          </cell>
          <cell r="E1111" t="str">
            <v>13-680</v>
          </cell>
          <cell r="F1111" t="str">
            <v>Spirometers, Diagnostic</v>
          </cell>
          <cell r="G1111" t="str">
            <v>PY</v>
          </cell>
          <cell r="H1111" t="str">
            <v>PHYSIOTHERAPY</v>
          </cell>
          <cell r="I1111" t="str">
            <v>04PY130</v>
          </cell>
          <cell r="J1111" t="str">
            <v>RESPIRATORY</v>
          </cell>
          <cell r="K1111" t="str">
            <v>BMED</v>
          </cell>
          <cell r="L1111" t="str">
            <v>Normal</v>
          </cell>
          <cell r="M1111" t="str">
            <v>USA</v>
          </cell>
          <cell r="N1111" t="str">
            <v>SpiroPerfect</v>
          </cell>
          <cell r="O1111" t="str">
            <v>SpiroPerfect</v>
          </cell>
          <cell r="P1111" t="str">
            <v>M946800121331</v>
          </cell>
          <cell r="Q1111" t="str">
            <v>Not Applicable</v>
          </cell>
          <cell r="R1111" t="str">
            <v>Welch Allyn Inc</v>
          </cell>
          <cell r="S1111" t="str">
            <v>Welch Allyn Malaysia Sdn Bhd</v>
          </cell>
          <cell r="T1111" t="str">
            <v>Functioning</v>
          </cell>
          <cell r="U1111" t="str">
            <v>Asset</v>
          </cell>
          <cell r="V1111">
            <v>10230</v>
          </cell>
          <cell r="W1111" t="str">
            <v>KEW</v>
          </cell>
          <cell r="X1111" t="str">
            <v>01/09/2010</v>
          </cell>
          <cell r="Y1111" t="str">
            <v>KEW</v>
          </cell>
          <cell r="Z1111" t="str">
            <v>16/08/2013</v>
          </cell>
          <cell r="AA1111" t="str">
            <v>15/08/2015</v>
          </cell>
          <cell r="AB1111" t="str">
            <v>No</v>
          </cell>
          <cell r="AC1111" t="str">
            <v>31/08/2013</v>
          </cell>
          <cell r="AD1111" t="str">
            <v>Good</v>
          </cell>
          <cell r="AE1111" t="str">
            <v>V1 - Existing / No Claim</v>
          </cell>
          <cell r="AF1111">
            <v>42802</v>
          </cell>
          <cell r="AG1111">
            <v>9.17</v>
          </cell>
          <cell r="AH1111" t="str">
            <v>PPM</v>
          </cell>
          <cell r="AI1111" t="str">
            <v>Strands</v>
          </cell>
          <cell r="AJ1111" t="str">
            <v>Strands Package</v>
          </cell>
          <cell r="AK1111" t="str">
            <v>Package Code MS0002</v>
          </cell>
        </row>
        <row r="1112">
          <cell r="A1112" t="str">
            <v>IKN400703</v>
          </cell>
          <cell r="B1112">
            <v>703</v>
          </cell>
          <cell r="C1112" t="str">
            <v>Institut Kanser Negara</v>
          </cell>
          <cell r="D1112" t="str">
            <v>KKM/IKN/H/13/1415</v>
          </cell>
          <cell r="E1112" t="str">
            <v>10-383</v>
          </cell>
          <cell r="F1112" t="str">
            <v>Ergometers, Bicycle</v>
          </cell>
          <cell r="G1112" t="str">
            <v>PY</v>
          </cell>
          <cell r="H1112" t="str">
            <v>PHYSIOTHERAPY</v>
          </cell>
          <cell r="I1112" t="str">
            <v>04PY115</v>
          </cell>
          <cell r="J1112" t="str">
            <v>GYMNASIUM</v>
          </cell>
          <cell r="K1112" t="str">
            <v>BMED</v>
          </cell>
          <cell r="L1112" t="str">
            <v>Normal</v>
          </cell>
          <cell r="M1112" t="str">
            <v>Germany</v>
          </cell>
          <cell r="N1112" t="str">
            <v>Ergometer</v>
          </cell>
          <cell r="O1112" t="str">
            <v>Ergometer E5</v>
          </cell>
          <cell r="P1112" t="str">
            <v>E5-W00620</v>
          </cell>
          <cell r="Q1112" t="str">
            <v>Not Applicable</v>
          </cell>
          <cell r="R1112" t="str">
            <v>Heinz Kettler GmbH &amp; Co KG</v>
          </cell>
          <cell r="S1112" t="str">
            <v>Rehamed (Malaysia) Sdn Bhd</v>
          </cell>
          <cell r="T1112" t="str">
            <v>Functioning</v>
          </cell>
          <cell r="U1112" t="str">
            <v>Asset</v>
          </cell>
          <cell r="V1112">
            <v>6610</v>
          </cell>
          <cell r="W1112" t="str">
            <v>KEW</v>
          </cell>
          <cell r="X1112" t="str">
            <v>01/09/2010</v>
          </cell>
          <cell r="Y1112" t="str">
            <v>KEW</v>
          </cell>
          <cell r="Z1112" t="str">
            <v>16/08/2013</v>
          </cell>
          <cell r="AA1112" t="str">
            <v>15/08/2015</v>
          </cell>
          <cell r="AB1112" t="str">
            <v>No</v>
          </cell>
          <cell r="AC1112" t="str">
            <v>31/08/2013</v>
          </cell>
          <cell r="AD1112" t="str">
            <v>Good</v>
          </cell>
          <cell r="AE1112" t="str">
            <v>V1 - Existing / No Claim</v>
          </cell>
          <cell r="AF1112">
            <v>42802</v>
          </cell>
          <cell r="AG1112">
            <v>9.17</v>
          </cell>
          <cell r="AH1112" t="str">
            <v>PPM</v>
          </cell>
          <cell r="AI1112" t="str">
            <v>Strands</v>
          </cell>
          <cell r="AJ1112" t="str">
            <v>Strands PW F</v>
          </cell>
        </row>
        <row r="1113">
          <cell r="A1113" t="str">
            <v>IKN400704</v>
          </cell>
          <cell r="B1113">
            <v>704</v>
          </cell>
          <cell r="C1113" t="str">
            <v>Institut Kanser Negara</v>
          </cell>
          <cell r="D1113" t="str">
            <v>KKM/IKN/H/13/1858</v>
          </cell>
          <cell r="E1113" t="str">
            <v>10-780</v>
          </cell>
          <cell r="F1113" t="str">
            <v>Centrifuges, Tabletop</v>
          </cell>
          <cell r="G1113" t="str">
            <v>LA</v>
          </cell>
          <cell r="H1113" t="str">
            <v>PATHOLOGY</v>
          </cell>
          <cell r="I1113" t="str">
            <v>04LA137</v>
          </cell>
          <cell r="J1113" t="str">
            <v>PRE-ANALYTICAL 1</v>
          </cell>
          <cell r="K1113" t="str">
            <v>BMED</v>
          </cell>
          <cell r="L1113" t="str">
            <v>Normal</v>
          </cell>
          <cell r="M1113" t="str">
            <v>Germany</v>
          </cell>
          <cell r="N1113" t="str">
            <v>Rotofix</v>
          </cell>
          <cell r="O1113" t="str">
            <v>Rotofix 32A</v>
          </cell>
          <cell r="P1113" t="str">
            <v>20367</v>
          </cell>
          <cell r="Q1113" t="str">
            <v>Not Applicable</v>
          </cell>
          <cell r="R1113" t="str">
            <v>Hettich-Zentrifugen GmbH</v>
          </cell>
          <cell r="S1113" t="str">
            <v>Biomarketing Services (M) Sdn Bhd</v>
          </cell>
          <cell r="T1113" t="str">
            <v>Functioning</v>
          </cell>
          <cell r="U1113" t="str">
            <v>Asset</v>
          </cell>
          <cell r="V1113">
            <v>24060</v>
          </cell>
          <cell r="W1113" t="str">
            <v>KEW</v>
          </cell>
          <cell r="X1113" t="str">
            <v>01/09/2010</v>
          </cell>
          <cell r="Y1113" t="str">
            <v>KEW</v>
          </cell>
          <cell r="Z1113" t="str">
            <v>16/08/2013</v>
          </cell>
          <cell r="AA1113" t="str">
            <v>15/08/2015</v>
          </cell>
          <cell r="AB1113" t="str">
            <v>No</v>
          </cell>
          <cell r="AC1113" t="str">
            <v>31/08/2013</v>
          </cell>
          <cell r="AD1113" t="str">
            <v>Good</v>
          </cell>
          <cell r="AE1113" t="str">
            <v>V1 - Existing / No Claim</v>
          </cell>
          <cell r="AF1113">
            <v>42790</v>
          </cell>
          <cell r="AG1113">
            <v>9.17</v>
          </cell>
          <cell r="AH1113" t="str">
            <v>PPM</v>
          </cell>
          <cell r="AI1113" t="str">
            <v>Strands</v>
          </cell>
          <cell r="AJ1113" t="str">
            <v>Strands PW</v>
          </cell>
        </row>
        <row r="1114">
          <cell r="A1114" t="str">
            <v>IKN400705</v>
          </cell>
          <cell r="B1114">
            <v>705</v>
          </cell>
          <cell r="C1114" t="str">
            <v>Institut Kanser Negara</v>
          </cell>
          <cell r="D1114" t="str">
            <v>KKM/IKN/H/13/1861</v>
          </cell>
          <cell r="E1114" t="str">
            <v>10-780</v>
          </cell>
          <cell r="F1114" t="str">
            <v>Centrifuges, Tabletop</v>
          </cell>
          <cell r="G1114" t="str">
            <v>LA</v>
          </cell>
          <cell r="H1114" t="str">
            <v>PATHOLOGY</v>
          </cell>
          <cell r="I1114" t="str">
            <v>04LA138</v>
          </cell>
          <cell r="J1114" t="str">
            <v>PRE-ANALYTICAL 2</v>
          </cell>
          <cell r="K1114" t="str">
            <v>BMED</v>
          </cell>
          <cell r="L1114" t="str">
            <v>Normal</v>
          </cell>
          <cell r="M1114" t="str">
            <v>Germany</v>
          </cell>
          <cell r="N1114" t="str">
            <v>Rotofix</v>
          </cell>
          <cell r="O1114" t="str">
            <v>Rotofix 32A</v>
          </cell>
          <cell r="P1114" t="str">
            <v>18608</v>
          </cell>
          <cell r="Q1114" t="str">
            <v>Not Applicable</v>
          </cell>
          <cell r="R1114" t="str">
            <v>Hettich-Zentrifugen GmbH</v>
          </cell>
          <cell r="S1114" t="str">
            <v>Biomarketing Services (M) Sdn Bhd</v>
          </cell>
          <cell r="T1114" t="str">
            <v>Functioning</v>
          </cell>
          <cell r="U1114" t="str">
            <v>Asset</v>
          </cell>
          <cell r="V1114">
            <v>24060</v>
          </cell>
          <cell r="W1114" t="str">
            <v>KEW</v>
          </cell>
          <cell r="X1114" t="str">
            <v>01/09/2010</v>
          </cell>
          <cell r="Y1114" t="str">
            <v>KEW</v>
          </cell>
          <cell r="Z1114" t="str">
            <v>16/08/2013</v>
          </cell>
          <cell r="AA1114" t="str">
            <v>15/08/2015</v>
          </cell>
          <cell r="AB1114" t="str">
            <v>No</v>
          </cell>
          <cell r="AC1114" t="str">
            <v>31/08/2013</v>
          </cell>
          <cell r="AD1114" t="str">
            <v>Good</v>
          </cell>
          <cell r="AE1114" t="str">
            <v>V1 - Existing / No Claim</v>
          </cell>
          <cell r="AF1114">
            <v>42790</v>
          </cell>
          <cell r="AG1114">
            <v>9.17</v>
          </cell>
          <cell r="AH1114" t="str">
            <v>PPM</v>
          </cell>
          <cell r="AI1114" t="str">
            <v>Strands</v>
          </cell>
          <cell r="AJ1114" t="str">
            <v>Strands PW</v>
          </cell>
        </row>
        <row r="1115">
          <cell r="A1115" t="str">
            <v>IKN400706</v>
          </cell>
          <cell r="B1115">
            <v>706</v>
          </cell>
          <cell r="C1115" t="str">
            <v>Institut Kanser Negara</v>
          </cell>
          <cell r="D1115" t="str">
            <v>KKM/IKN/H/13/1857</v>
          </cell>
          <cell r="E1115" t="str">
            <v>10-780</v>
          </cell>
          <cell r="F1115" t="str">
            <v>Centrifuges, Tabletop</v>
          </cell>
          <cell r="G1115" t="str">
            <v>LA</v>
          </cell>
          <cell r="H1115" t="str">
            <v>PATHOLOGY</v>
          </cell>
          <cell r="I1115" t="str">
            <v>04LA137</v>
          </cell>
          <cell r="J1115" t="str">
            <v>PRE-ANALYTICAL 1</v>
          </cell>
          <cell r="K1115" t="str">
            <v>BMED</v>
          </cell>
          <cell r="L1115" t="str">
            <v>Normal</v>
          </cell>
          <cell r="M1115" t="str">
            <v>Germany</v>
          </cell>
          <cell r="N1115" t="str">
            <v>Rotofix</v>
          </cell>
          <cell r="O1115" t="str">
            <v>Rotofix 32A</v>
          </cell>
          <cell r="P1115" t="str">
            <v>18398</v>
          </cell>
          <cell r="Q1115" t="str">
            <v>Not Applicable</v>
          </cell>
          <cell r="R1115" t="str">
            <v>Hettich-Zentrifugen GmbH</v>
          </cell>
          <cell r="S1115" t="str">
            <v>Biomarketing Services (M) Sdn Bhd</v>
          </cell>
          <cell r="T1115" t="str">
            <v>Functioning</v>
          </cell>
          <cell r="U1115" t="str">
            <v>Asset</v>
          </cell>
          <cell r="V1115">
            <v>24060</v>
          </cell>
          <cell r="W1115" t="str">
            <v>KEW</v>
          </cell>
          <cell r="X1115" t="str">
            <v>01/09/2010</v>
          </cell>
          <cell r="Y1115" t="str">
            <v>KEW</v>
          </cell>
          <cell r="Z1115" t="str">
            <v>16/08/2013</v>
          </cell>
          <cell r="AA1115" t="str">
            <v>15/08/2015</v>
          </cell>
          <cell r="AB1115" t="str">
            <v>No</v>
          </cell>
          <cell r="AC1115" t="str">
            <v>31/08/2013</v>
          </cell>
          <cell r="AD1115" t="str">
            <v>Good</v>
          </cell>
          <cell r="AE1115" t="str">
            <v>V1 - Existing / No Claim</v>
          </cell>
          <cell r="AF1115">
            <v>42790</v>
          </cell>
          <cell r="AG1115">
            <v>9.17</v>
          </cell>
          <cell r="AH1115" t="str">
            <v>PPM</v>
          </cell>
          <cell r="AI1115" t="str">
            <v>Strands</v>
          </cell>
          <cell r="AJ1115" t="str">
            <v>Strands PW</v>
          </cell>
        </row>
        <row r="1116">
          <cell r="A1116" t="str">
            <v>IKN400707</v>
          </cell>
          <cell r="B1116">
            <v>707</v>
          </cell>
          <cell r="C1116" t="str">
            <v>Institut Kanser Negara</v>
          </cell>
          <cell r="D1116" t="str">
            <v>KKM/IKN/H/13/4683</v>
          </cell>
          <cell r="E1116" t="str">
            <v>10-780</v>
          </cell>
          <cell r="F1116" t="str">
            <v>Centrifuges, Tabletop</v>
          </cell>
          <cell r="G1116" t="str">
            <v>LA</v>
          </cell>
          <cell r="H1116" t="str">
            <v>PATHOLOGY</v>
          </cell>
          <cell r="I1116" t="str">
            <v>04LA137</v>
          </cell>
          <cell r="J1116" t="str">
            <v>PRE-ANALYTICAL 1</v>
          </cell>
          <cell r="K1116" t="str">
            <v>BMED</v>
          </cell>
          <cell r="L1116" t="str">
            <v>Normal</v>
          </cell>
          <cell r="M1116" t="str">
            <v>Germany</v>
          </cell>
          <cell r="N1116" t="str">
            <v>Rotofix</v>
          </cell>
          <cell r="O1116" t="str">
            <v>Rotofix 32A</v>
          </cell>
          <cell r="P1116" t="str">
            <v>20089</v>
          </cell>
          <cell r="Q1116" t="str">
            <v>Not Applicable</v>
          </cell>
          <cell r="R1116" t="str">
            <v>Hettich-Zentrifugen GmbH</v>
          </cell>
          <cell r="S1116" t="str">
            <v>Biomarketing Services (M) Sdn Bhd</v>
          </cell>
          <cell r="T1116" t="str">
            <v>Functioning</v>
          </cell>
          <cell r="U1116" t="str">
            <v>Asset</v>
          </cell>
          <cell r="V1116">
            <v>24060</v>
          </cell>
          <cell r="W1116" t="str">
            <v>KEW</v>
          </cell>
          <cell r="X1116" t="str">
            <v>01/09/2010</v>
          </cell>
          <cell r="Y1116" t="str">
            <v>KEW</v>
          </cell>
          <cell r="Z1116" t="str">
            <v>16/08/2013</v>
          </cell>
          <cell r="AA1116" t="str">
            <v>15/08/2015</v>
          </cell>
          <cell r="AB1116" t="str">
            <v>No</v>
          </cell>
          <cell r="AC1116" t="str">
            <v>31/08/2013</v>
          </cell>
          <cell r="AD1116" t="str">
            <v>Good</v>
          </cell>
          <cell r="AE1116" t="str">
            <v>V1 - Existing / No Claim</v>
          </cell>
          <cell r="AF1116">
            <v>42235</v>
          </cell>
          <cell r="AG1116">
            <v>9.17</v>
          </cell>
          <cell r="AH1116" t="str">
            <v>PPM</v>
          </cell>
          <cell r="AI1116" t="str">
            <v>Strands</v>
          </cell>
          <cell r="AJ1116" t="str">
            <v>Strands PW</v>
          </cell>
        </row>
        <row r="1117">
          <cell r="A1117" t="str">
            <v>IKN400708</v>
          </cell>
          <cell r="B1117">
            <v>708</v>
          </cell>
          <cell r="C1117" t="str">
            <v>Institut Kanser Negara</v>
          </cell>
          <cell r="D1117" t="str">
            <v>KKM/IKN/H/13/1859</v>
          </cell>
          <cell r="E1117" t="str">
            <v>10-780</v>
          </cell>
          <cell r="F1117" t="str">
            <v>Centrifuges, Tabletop</v>
          </cell>
          <cell r="G1117" t="str">
            <v>LA</v>
          </cell>
          <cell r="H1117" t="str">
            <v>PATHOLOGY</v>
          </cell>
          <cell r="I1117" t="str">
            <v>04LA138</v>
          </cell>
          <cell r="J1117" t="str">
            <v>PRE-ANALYTICAL 2</v>
          </cell>
          <cell r="K1117" t="str">
            <v>BMED</v>
          </cell>
          <cell r="L1117" t="str">
            <v>Normal</v>
          </cell>
          <cell r="M1117" t="str">
            <v>Germany</v>
          </cell>
          <cell r="N1117" t="str">
            <v>Rotofix</v>
          </cell>
          <cell r="O1117" t="str">
            <v>Rotofix 32A</v>
          </cell>
          <cell r="P1117" t="str">
            <v>18609</v>
          </cell>
          <cell r="Q1117" t="str">
            <v>Not Applicable</v>
          </cell>
          <cell r="R1117" t="str">
            <v>Hettich-Zentrifugen GmbH</v>
          </cell>
          <cell r="S1117" t="str">
            <v>Biomarketing Services (M) Sdn Bhd</v>
          </cell>
          <cell r="T1117" t="str">
            <v>Functioning</v>
          </cell>
          <cell r="U1117" t="str">
            <v>Asset</v>
          </cell>
          <cell r="V1117">
            <v>24060</v>
          </cell>
          <cell r="W1117" t="str">
            <v>KEW</v>
          </cell>
          <cell r="X1117" t="str">
            <v>01/09/2010</v>
          </cell>
          <cell r="Y1117" t="str">
            <v>KEW</v>
          </cell>
          <cell r="Z1117" t="str">
            <v>16/08/2013</v>
          </cell>
          <cell r="AA1117" t="str">
            <v>15/08/2015</v>
          </cell>
          <cell r="AB1117" t="str">
            <v>No</v>
          </cell>
          <cell r="AC1117" t="str">
            <v>31/08/2013</v>
          </cell>
          <cell r="AD1117" t="str">
            <v>Good</v>
          </cell>
          <cell r="AE1117" t="str">
            <v>V1 - Existing / No Claim</v>
          </cell>
          <cell r="AF1117">
            <v>42790</v>
          </cell>
          <cell r="AG1117">
            <v>9.17</v>
          </cell>
          <cell r="AH1117" t="str">
            <v>PPM</v>
          </cell>
          <cell r="AI1117" t="str">
            <v>Strands</v>
          </cell>
          <cell r="AJ1117" t="str">
            <v>Strands PW</v>
          </cell>
        </row>
        <row r="1118">
          <cell r="A1118" t="str">
            <v>IKN400709</v>
          </cell>
          <cell r="B1118">
            <v>709</v>
          </cell>
          <cell r="C1118" t="str">
            <v>Institut Kanser Negara</v>
          </cell>
          <cell r="D1118" t="str">
            <v>KKM/IKN/H/13/1862</v>
          </cell>
          <cell r="E1118" t="str">
            <v>10-780</v>
          </cell>
          <cell r="F1118" t="str">
            <v>Centrifuges, Tabletop</v>
          </cell>
          <cell r="G1118" t="str">
            <v>LA</v>
          </cell>
          <cell r="H1118" t="str">
            <v>PATHOLOGY</v>
          </cell>
          <cell r="I1118" t="str">
            <v>04LA138</v>
          </cell>
          <cell r="J1118" t="str">
            <v>PRE-ANALYTICAL 2</v>
          </cell>
          <cell r="K1118" t="str">
            <v>BMED</v>
          </cell>
          <cell r="L1118" t="str">
            <v>Normal</v>
          </cell>
          <cell r="M1118" t="str">
            <v>Germany</v>
          </cell>
          <cell r="N1118" t="str">
            <v>Rotofix</v>
          </cell>
          <cell r="O1118" t="str">
            <v>Rotofix 32A</v>
          </cell>
          <cell r="P1118" t="str">
            <v>19342</v>
          </cell>
          <cell r="Q1118" t="str">
            <v>Not Applicable</v>
          </cell>
          <cell r="R1118" t="str">
            <v>Hettich-Zentrifugen GmbH</v>
          </cell>
          <cell r="S1118" t="str">
            <v>Biomarketing Services (M) Sdn Bhd</v>
          </cell>
          <cell r="T1118" t="str">
            <v>Functioning</v>
          </cell>
          <cell r="U1118" t="str">
            <v>Asset</v>
          </cell>
          <cell r="V1118">
            <v>24060</v>
          </cell>
          <cell r="W1118" t="str">
            <v>KEW</v>
          </cell>
          <cell r="X1118" t="str">
            <v>01/09/2010</v>
          </cell>
          <cell r="Y1118" t="str">
            <v>KEW</v>
          </cell>
          <cell r="Z1118" t="str">
            <v>16/08/2013</v>
          </cell>
          <cell r="AA1118" t="str">
            <v>15/08/2015</v>
          </cell>
          <cell r="AB1118" t="str">
            <v>No</v>
          </cell>
          <cell r="AC1118" t="str">
            <v>31/08/2013</v>
          </cell>
          <cell r="AD1118" t="str">
            <v>Good</v>
          </cell>
          <cell r="AE1118" t="str">
            <v>V1 - Existing / No Claim</v>
          </cell>
          <cell r="AF1118">
            <v>42790</v>
          </cell>
          <cell r="AG1118">
            <v>9.17</v>
          </cell>
          <cell r="AH1118" t="str">
            <v>PPM</v>
          </cell>
          <cell r="AI1118" t="str">
            <v>Strands</v>
          </cell>
          <cell r="AJ1118" t="str">
            <v>Strands PW</v>
          </cell>
        </row>
        <row r="1119">
          <cell r="A1119" t="str">
            <v>IKN400710</v>
          </cell>
          <cell r="B1119">
            <v>710</v>
          </cell>
          <cell r="C1119" t="str">
            <v>Institut Kanser Negara</v>
          </cell>
          <cell r="D1119" t="str">
            <v>KKM/IKN/H/13/1853</v>
          </cell>
          <cell r="E1119" t="str">
            <v>18-267</v>
          </cell>
          <cell r="F1119" t="str">
            <v>Centrifuges, Tabletop, Low-Speed, Nonrefrigerated, Blood Bank</v>
          </cell>
          <cell r="G1119" t="str">
            <v>LA</v>
          </cell>
          <cell r="H1119" t="str">
            <v>PATHOLOGY</v>
          </cell>
          <cell r="I1119" t="str">
            <v>04LA140</v>
          </cell>
          <cell r="J1119" t="str">
            <v>BLOOD BANK</v>
          </cell>
          <cell r="K1119" t="str">
            <v>BMED</v>
          </cell>
          <cell r="L1119" t="str">
            <v>Normal</v>
          </cell>
          <cell r="M1119" t="str">
            <v>Switzerland</v>
          </cell>
          <cell r="N1119" t="str">
            <v>Diacent</v>
          </cell>
          <cell r="O1119" t="str">
            <v>Diacent-12</v>
          </cell>
          <cell r="P1119" t="str">
            <v>2001197</v>
          </cell>
          <cell r="Q1119" t="str">
            <v>Not Applicable</v>
          </cell>
          <cell r="R1119" t="str">
            <v>Diamed AG</v>
          </cell>
          <cell r="S1119" t="str">
            <v>Biomarketing Services (M) Sdn Bhd</v>
          </cell>
          <cell r="T1119" t="str">
            <v>Functioning</v>
          </cell>
          <cell r="U1119" t="str">
            <v>Asset</v>
          </cell>
          <cell r="V1119">
            <v>5170</v>
          </cell>
          <cell r="W1119" t="str">
            <v>Estimate</v>
          </cell>
          <cell r="X1119" t="str">
            <v>01/09/2010</v>
          </cell>
          <cell r="Y1119" t="str">
            <v>KEW</v>
          </cell>
          <cell r="Z1119" t="str">
            <v>16/08/2013</v>
          </cell>
          <cell r="AA1119" t="str">
            <v>15/08/2015</v>
          </cell>
          <cell r="AB1119" t="str">
            <v>No</v>
          </cell>
          <cell r="AC1119" t="str">
            <v>31/08/2013</v>
          </cell>
          <cell r="AD1119" t="str">
            <v>Good</v>
          </cell>
          <cell r="AE1119" t="str">
            <v>V1 - Existing / No Claim</v>
          </cell>
          <cell r="AF1119">
            <v>42790</v>
          </cell>
          <cell r="AG1119">
            <v>9.17</v>
          </cell>
          <cell r="AH1119" t="str">
            <v>PPM</v>
          </cell>
          <cell r="AI1119" t="str">
            <v>Strands</v>
          </cell>
          <cell r="AJ1119" t="str">
            <v>Strands PW</v>
          </cell>
        </row>
        <row r="1120">
          <cell r="A1120" t="str">
            <v>IKN400711</v>
          </cell>
          <cell r="B1120">
            <v>711</v>
          </cell>
          <cell r="C1120" t="str">
            <v>Institut Kanser Negara</v>
          </cell>
          <cell r="D1120" t="str">
            <v>KKM/IKN/H/13/1850</v>
          </cell>
          <cell r="E1120" t="str">
            <v>18-267</v>
          </cell>
          <cell r="F1120" t="str">
            <v>Centrifuges, Tabletop, Low-Speed, Nonrefrigerated, Blood Bank</v>
          </cell>
          <cell r="G1120" t="str">
            <v>LA</v>
          </cell>
          <cell r="H1120" t="str">
            <v>PATHOLOGY</v>
          </cell>
          <cell r="I1120" t="str">
            <v>04LA140</v>
          </cell>
          <cell r="J1120" t="str">
            <v>BLOOD BANK</v>
          </cell>
          <cell r="K1120" t="str">
            <v>BMED</v>
          </cell>
          <cell r="L1120" t="str">
            <v>Normal</v>
          </cell>
          <cell r="M1120" t="str">
            <v>Switzerland</v>
          </cell>
          <cell r="N1120" t="str">
            <v>Diacent</v>
          </cell>
          <cell r="O1120" t="str">
            <v>Diacent-12</v>
          </cell>
          <cell r="P1120" t="str">
            <v>2001246</v>
          </cell>
          <cell r="Q1120" t="str">
            <v>Not Applicable</v>
          </cell>
          <cell r="R1120" t="str">
            <v>Diamed AG</v>
          </cell>
          <cell r="S1120" t="str">
            <v>Biomarketing Services (M) Sdn Bhd</v>
          </cell>
          <cell r="T1120" t="str">
            <v>Functioning</v>
          </cell>
          <cell r="U1120" t="str">
            <v>Asset</v>
          </cell>
          <cell r="V1120">
            <v>5170</v>
          </cell>
          <cell r="W1120" t="str">
            <v>Estimate</v>
          </cell>
          <cell r="X1120" t="str">
            <v>01/09/2010</v>
          </cell>
          <cell r="Y1120" t="str">
            <v>KEW</v>
          </cell>
          <cell r="Z1120" t="str">
            <v>16/08/2013</v>
          </cell>
          <cell r="AA1120" t="str">
            <v>15/08/2015</v>
          </cell>
          <cell r="AB1120" t="str">
            <v>No</v>
          </cell>
          <cell r="AC1120" t="str">
            <v>31/08/2013</v>
          </cell>
          <cell r="AD1120" t="str">
            <v>Good</v>
          </cell>
          <cell r="AE1120" t="str">
            <v>V1 - Existing / No Claim</v>
          </cell>
          <cell r="AF1120">
            <v>42790</v>
          </cell>
          <cell r="AG1120">
            <v>9.17</v>
          </cell>
          <cell r="AH1120" t="str">
            <v>PPM</v>
          </cell>
          <cell r="AI1120" t="str">
            <v>Strands</v>
          </cell>
          <cell r="AJ1120" t="str">
            <v>Strands PW</v>
          </cell>
        </row>
        <row r="1121">
          <cell r="A1121" t="str">
            <v>IKN400712</v>
          </cell>
          <cell r="B1121">
            <v>712</v>
          </cell>
          <cell r="C1121" t="str">
            <v>Institut Kanser Negara</v>
          </cell>
          <cell r="D1121" t="str">
            <v>KKM/IKN/H/13/1852</v>
          </cell>
          <cell r="E1121" t="str">
            <v>18-267</v>
          </cell>
          <cell r="F1121" t="str">
            <v>Centrifuges, Tabletop, Low-Speed, Nonrefrigerated, Blood Bank</v>
          </cell>
          <cell r="G1121" t="str">
            <v>LA</v>
          </cell>
          <cell r="H1121" t="str">
            <v>PATHOLOGY</v>
          </cell>
          <cell r="I1121" t="str">
            <v>04LA140</v>
          </cell>
          <cell r="J1121" t="str">
            <v>BLOOD BANK</v>
          </cell>
          <cell r="K1121" t="str">
            <v>BMED</v>
          </cell>
          <cell r="L1121" t="str">
            <v>Normal</v>
          </cell>
          <cell r="M1121" t="str">
            <v>Switzerland</v>
          </cell>
          <cell r="N1121" t="str">
            <v>Diacent</v>
          </cell>
          <cell r="O1121" t="str">
            <v>Diacent-12</v>
          </cell>
          <cell r="P1121" t="str">
            <v>2001196</v>
          </cell>
          <cell r="Q1121" t="str">
            <v>Not Applicable</v>
          </cell>
          <cell r="R1121" t="str">
            <v>Diamed AG</v>
          </cell>
          <cell r="S1121" t="str">
            <v>Biomarketing Services (M) Sdn Bhd</v>
          </cell>
          <cell r="T1121" t="str">
            <v>Functioning</v>
          </cell>
          <cell r="U1121" t="str">
            <v>Asset</v>
          </cell>
          <cell r="V1121">
            <v>5170</v>
          </cell>
          <cell r="W1121" t="str">
            <v>Estimate</v>
          </cell>
          <cell r="X1121" t="str">
            <v>01/09/2010</v>
          </cell>
          <cell r="Y1121" t="str">
            <v>KEW</v>
          </cell>
          <cell r="Z1121" t="str">
            <v>16/08/2013</v>
          </cell>
          <cell r="AA1121" t="str">
            <v>15/08/2015</v>
          </cell>
          <cell r="AB1121" t="str">
            <v>No</v>
          </cell>
          <cell r="AC1121" t="str">
            <v>31/08/2013</v>
          </cell>
          <cell r="AD1121" t="str">
            <v>Good</v>
          </cell>
          <cell r="AE1121" t="str">
            <v>V1 - Existing / No Claim</v>
          </cell>
          <cell r="AF1121">
            <v>42790</v>
          </cell>
          <cell r="AG1121">
            <v>9.17</v>
          </cell>
          <cell r="AH1121" t="str">
            <v>PPM</v>
          </cell>
          <cell r="AI1121" t="str">
            <v>Strands</v>
          </cell>
          <cell r="AJ1121" t="str">
            <v>Strands PW</v>
          </cell>
        </row>
        <row r="1122">
          <cell r="A1122" t="str">
            <v>IKN400713</v>
          </cell>
          <cell r="B1122">
            <v>713</v>
          </cell>
          <cell r="C1122" t="str">
            <v>Institut Kanser Negara</v>
          </cell>
          <cell r="D1122" t="str">
            <v>KKM/IKN/H/13/2145</v>
          </cell>
          <cell r="E1122" t="str">
            <v>10-780</v>
          </cell>
          <cell r="F1122" t="str">
            <v>Centrifuges, Tabletop</v>
          </cell>
          <cell r="G1122" t="str">
            <v>LA</v>
          </cell>
          <cell r="H1122" t="str">
            <v>PATHOLOGY</v>
          </cell>
          <cell r="I1122" t="str">
            <v>04LA140</v>
          </cell>
          <cell r="J1122" t="str">
            <v>BLOOD BANK</v>
          </cell>
          <cell r="K1122" t="str">
            <v>BMED</v>
          </cell>
          <cell r="L1122" t="str">
            <v>Normal</v>
          </cell>
          <cell r="M1122" t="str">
            <v>Switzerland</v>
          </cell>
          <cell r="N1122" t="str">
            <v>DiaMed-ID</v>
          </cell>
          <cell r="O1122" t="str">
            <v>ID-Centrifuge 12 SII</v>
          </cell>
          <cell r="P1122" t="str">
            <v>1003644</v>
          </cell>
          <cell r="Q1122" t="str">
            <v>Not Applicable</v>
          </cell>
          <cell r="R1122" t="str">
            <v>Diamed AG</v>
          </cell>
          <cell r="S1122" t="str">
            <v>Biomarketing Services (M) Sdn Bhd</v>
          </cell>
          <cell r="T1122" t="str">
            <v>Functioning</v>
          </cell>
          <cell r="U1122" t="str">
            <v>Asset</v>
          </cell>
          <cell r="V1122">
            <v>14435</v>
          </cell>
          <cell r="W1122" t="str">
            <v>Estimate</v>
          </cell>
          <cell r="X1122" t="str">
            <v>01/09/2010</v>
          </cell>
          <cell r="Y1122" t="str">
            <v>KEW</v>
          </cell>
          <cell r="Z1122" t="str">
            <v>16/08/2013</v>
          </cell>
          <cell r="AA1122" t="str">
            <v>15/08/2015</v>
          </cell>
          <cell r="AB1122" t="str">
            <v>No</v>
          </cell>
          <cell r="AC1122" t="str">
            <v>31/08/2013</v>
          </cell>
          <cell r="AD1122" t="str">
            <v>Good</v>
          </cell>
          <cell r="AE1122" t="str">
            <v>V1 - Existing / No Claim</v>
          </cell>
          <cell r="AF1122">
            <v>43592</v>
          </cell>
          <cell r="AG1122">
            <v>9.17</v>
          </cell>
          <cell r="AH1122" t="str">
            <v>PPM</v>
          </cell>
          <cell r="AI1122" t="str">
            <v>Strands</v>
          </cell>
          <cell r="AJ1122" t="str">
            <v>Strands PW</v>
          </cell>
          <cell r="AK1122" t="str">
            <v>KEWPA WITH IKN400714. [2/4/2024]: TUKAR ASSET DESCRIPTION (Centrifuges, Tabletop, Low-Speed, Nonrefrigerated, Blood Bank), TYPE CODE.</v>
          </cell>
        </row>
        <row r="1123">
          <cell r="A1123" t="str">
            <v>IKN400714</v>
          </cell>
          <cell r="B1123">
            <v>714</v>
          </cell>
          <cell r="C1123" t="str">
            <v>Institut Kanser Negara</v>
          </cell>
          <cell r="D1123" t="str">
            <v>KKM/IKN/H/13/2145</v>
          </cell>
          <cell r="E1123" t="str">
            <v>15-272</v>
          </cell>
          <cell r="F1123" t="str">
            <v>Incubators, Test Tube, Portable</v>
          </cell>
          <cell r="G1123" t="str">
            <v>LA</v>
          </cell>
          <cell r="H1123" t="str">
            <v>PATHOLOGY</v>
          </cell>
          <cell r="I1123" t="str">
            <v>04LA140</v>
          </cell>
          <cell r="J1123" t="str">
            <v>BLOOD BANK</v>
          </cell>
          <cell r="K1123" t="str">
            <v>BMED</v>
          </cell>
          <cell r="L1123" t="str">
            <v>Normal</v>
          </cell>
          <cell r="M1123" t="str">
            <v>Germany</v>
          </cell>
          <cell r="N1123" t="str">
            <v>Diamed</v>
          </cell>
          <cell r="O1123" t="str">
            <v>Diamed ID-Incubator 37 SI</v>
          </cell>
          <cell r="P1123" t="str">
            <v>2001776</v>
          </cell>
          <cell r="Q1123" t="str">
            <v>Not Applicable</v>
          </cell>
          <cell r="R1123" t="str">
            <v>Diamed AG</v>
          </cell>
          <cell r="S1123" t="str">
            <v>Biomarketing Services (M) Sdn Bhd</v>
          </cell>
          <cell r="T1123" t="str">
            <v>Functioning</v>
          </cell>
          <cell r="U1123" t="str">
            <v>Asset</v>
          </cell>
          <cell r="V1123">
            <v>14435</v>
          </cell>
          <cell r="W1123" t="str">
            <v>Estimate</v>
          </cell>
          <cell r="X1123" t="str">
            <v>01/09/2010</v>
          </cell>
          <cell r="Y1123" t="str">
            <v>KEW</v>
          </cell>
          <cell r="Z1123" t="str">
            <v>16/08/2013</v>
          </cell>
          <cell r="AA1123" t="str">
            <v>15/08/2015</v>
          </cell>
          <cell r="AB1123" t="str">
            <v>No</v>
          </cell>
          <cell r="AC1123" t="str">
            <v>31/08/2013</v>
          </cell>
          <cell r="AD1123" t="str">
            <v>Good</v>
          </cell>
          <cell r="AE1123" t="str">
            <v>V1 - Existing / No Claim</v>
          </cell>
          <cell r="AF1123">
            <v>42857</v>
          </cell>
          <cell r="AG1123">
            <v>9.17</v>
          </cell>
          <cell r="AH1123" t="str">
            <v>PPM</v>
          </cell>
          <cell r="AI1123" t="str">
            <v>Strands-accessories</v>
          </cell>
          <cell r="AJ1123" t="str">
            <v>Strands PW</v>
          </cell>
          <cell r="AK1123" t="str">
            <v>KEWPA WITH IKN400713</v>
          </cell>
        </row>
        <row r="1124">
          <cell r="A1124" t="str">
            <v>IKN400715</v>
          </cell>
          <cell r="B1124">
            <v>715</v>
          </cell>
          <cell r="C1124" t="str">
            <v>Institut Kanser Negara</v>
          </cell>
          <cell r="D1124" t="str">
            <v>KKM/IKN/H/13/1851</v>
          </cell>
          <cell r="E1124" t="str">
            <v>18-267</v>
          </cell>
          <cell r="F1124" t="str">
            <v>Centrifuges, Tabletop, Low-Speed, Nonrefrigerated, Blood Bank</v>
          </cell>
          <cell r="G1124" t="str">
            <v>LA</v>
          </cell>
          <cell r="H1124" t="str">
            <v>PATHOLOGY</v>
          </cell>
          <cell r="I1124" t="str">
            <v>04LA140</v>
          </cell>
          <cell r="J1124" t="str">
            <v>BLOOD BANK</v>
          </cell>
          <cell r="K1124" t="str">
            <v>BMED</v>
          </cell>
          <cell r="L1124" t="str">
            <v>Normal</v>
          </cell>
          <cell r="M1124" t="str">
            <v>Switzerland</v>
          </cell>
          <cell r="N1124" t="str">
            <v>Diacent</v>
          </cell>
          <cell r="O1124" t="str">
            <v>Diacent-12</v>
          </cell>
          <cell r="P1124" t="str">
            <v>2001245</v>
          </cell>
          <cell r="Q1124" t="str">
            <v>Not Applicable</v>
          </cell>
          <cell r="R1124" t="str">
            <v>Diamed AG</v>
          </cell>
          <cell r="S1124" t="str">
            <v>Biomarketing Services (M) Sdn Bhd</v>
          </cell>
          <cell r="T1124" t="str">
            <v>Functioning</v>
          </cell>
          <cell r="U1124" t="str">
            <v>Asset</v>
          </cell>
          <cell r="V1124">
            <v>5170</v>
          </cell>
          <cell r="W1124" t="str">
            <v>Estimate</v>
          </cell>
          <cell r="X1124" t="str">
            <v>01/09/2010</v>
          </cell>
          <cell r="Y1124" t="str">
            <v>KEW</v>
          </cell>
          <cell r="Z1124" t="str">
            <v>16/08/2013</v>
          </cell>
          <cell r="AA1124" t="str">
            <v>15/08/2015</v>
          </cell>
          <cell r="AB1124" t="str">
            <v>No</v>
          </cell>
          <cell r="AC1124" t="str">
            <v>31/08/2013</v>
          </cell>
          <cell r="AD1124" t="str">
            <v>Good</v>
          </cell>
          <cell r="AE1124" t="str">
            <v>V1 - Existing / No Claim</v>
          </cell>
          <cell r="AF1124">
            <v>42790</v>
          </cell>
          <cell r="AG1124">
            <v>9.17</v>
          </cell>
          <cell r="AH1124" t="str">
            <v>PPM</v>
          </cell>
          <cell r="AI1124" t="str">
            <v>Strands</v>
          </cell>
          <cell r="AJ1124" t="str">
            <v>Strands PW</v>
          </cell>
        </row>
        <row r="1125">
          <cell r="A1125" t="str">
            <v>IKN400716</v>
          </cell>
          <cell r="B1125">
            <v>716</v>
          </cell>
          <cell r="C1125" t="str">
            <v>Institut Kanser Negara</v>
          </cell>
          <cell r="D1125" t="str">
            <v>KKM/IKN/H/13/2146</v>
          </cell>
          <cell r="E1125" t="str">
            <v>10-780</v>
          </cell>
          <cell r="F1125" t="str">
            <v>Centrifuges, Tabletop</v>
          </cell>
          <cell r="G1125" t="str">
            <v>LA</v>
          </cell>
          <cell r="H1125" t="str">
            <v>PATHOLOGY</v>
          </cell>
          <cell r="I1125" t="str">
            <v>04LA140</v>
          </cell>
          <cell r="J1125" t="str">
            <v>BLOOD BANK</v>
          </cell>
          <cell r="K1125" t="str">
            <v>BMED</v>
          </cell>
          <cell r="L1125" t="str">
            <v>Normal</v>
          </cell>
          <cell r="M1125" t="str">
            <v>Switzerland</v>
          </cell>
          <cell r="N1125" t="str">
            <v>DiaMed-ID</v>
          </cell>
          <cell r="O1125" t="str">
            <v>ID-Centrifuge 12 SII</v>
          </cell>
          <cell r="P1125" t="str">
            <v>1003645</v>
          </cell>
          <cell r="Q1125" t="str">
            <v>Not Applicable</v>
          </cell>
          <cell r="R1125" t="str">
            <v>Diamed AG</v>
          </cell>
          <cell r="S1125" t="str">
            <v>Biomarketing Services (M) Sdn Bhd</v>
          </cell>
          <cell r="T1125" t="str">
            <v>Functioning</v>
          </cell>
          <cell r="U1125" t="str">
            <v>Asset</v>
          </cell>
          <cell r="V1125">
            <v>14435</v>
          </cell>
          <cell r="W1125" t="str">
            <v>Estimate</v>
          </cell>
          <cell r="X1125" t="str">
            <v>01/09/2010</v>
          </cell>
          <cell r="Y1125" t="str">
            <v>KEW</v>
          </cell>
          <cell r="Z1125" t="str">
            <v>16/08/2013</v>
          </cell>
          <cell r="AA1125" t="str">
            <v>15/08/2015</v>
          </cell>
          <cell r="AB1125" t="str">
            <v>No</v>
          </cell>
          <cell r="AC1125" t="str">
            <v>31/08/2013</v>
          </cell>
          <cell r="AD1125" t="str">
            <v>Good</v>
          </cell>
          <cell r="AE1125" t="str">
            <v>V1 - Existing / No Claim</v>
          </cell>
          <cell r="AF1125">
            <v>42790</v>
          </cell>
          <cell r="AG1125">
            <v>9.17</v>
          </cell>
          <cell r="AH1125" t="str">
            <v>PPM</v>
          </cell>
          <cell r="AI1125" t="str">
            <v>Strands</v>
          </cell>
          <cell r="AJ1125" t="str">
            <v>Strands PW</v>
          </cell>
          <cell r="AK1125" t="str">
            <v>KEWPA WITH IKN400717. TUKAR ASSET DESCRIPTION (Centrifuges, Tabletop, Low-Speed, Nonrefrigerated, Blood Bank), TYPE CODE.</v>
          </cell>
        </row>
        <row r="1126">
          <cell r="A1126" t="str">
            <v>IKN400717</v>
          </cell>
          <cell r="B1126">
            <v>717</v>
          </cell>
          <cell r="C1126" t="str">
            <v>Institut Kanser Negara</v>
          </cell>
          <cell r="D1126" t="str">
            <v>KKM/IKN/H/13/2146</v>
          </cell>
          <cell r="E1126" t="str">
            <v>15-272</v>
          </cell>
          <cell r="F1126" t="str">
            <v>Incubators, Test Tube, Portable</v>
          </cell>
          <cell r="G1126" t="str">
            <v>LA</v>
          </cell>
          <cell r="H1126" t="str">
            <v>PATHOLOGY</v>
          </cell>
          <cell r="I1126" t="str">
            <v>04LA140</v>
          </cell>
          <cell r="J1126" t="str">
            <v>BLOOD BANK</v>
          </cell>
          <cell r="K1126" t="str">
            <v>BMED</v>
          </cell>
          <cell r="L1126" t="str">
            <v>Normal</v>
          </cell>
          <cell r="M1126" t="str">
            <v>Germany</v>
          </cell>
          <cell r="N1126" t="str">
            <v>Diamed</v>
          </cell>
          <cell r="O1126" t="str">
            <v>Diamed ID-Incubator 37 SI</v>
          </cell>
          <cell r="P1126" t="str">
            <v>2001840</v>
          </cell>
          <cell r="Q1126" t="str">
            <v>Not Applicable</v>
          </cell>
          <cell r="R1126" t="str">
            <v>Diamed AG</v>
          </cell>
          <cell r="S1126" t="str">
            <v>Biomarketing Services (M) Sdn Bhd</v>
          </cell>
          <cell r="T1126" t="str">
            <v>Functioning</v>
          </cell>
          <cell r="U1126" t="str">
            <v>Asset</v>
          </cell>
          <cell r="V1126">
            <v>14435</v>
          </cell>
          <cell r="W1126" t="str">
            <v>Estimate</v>
          </cell>
          <cell r="X1126" t="str">
            <v>01/09/2010</v>
          </cell>
          <cell r="Y1126" t="str">
            <v>KEW</v>
          </cell>
          <cell r="Z1126" t="str">
            <v>16/08/2013</v>
          </cell>
          <cell r="AA1126" t="str">
            <v>15/08/2015</v>
          </cell>
          <cell r="AB1126" t="str">
            <v>No</v>
          </cell>
          <cell r="AC1126" t="str">
            <v>31/08/2013</v>
          </cell>
          <cell r="AD1126" t="str">
            <v>Good</v>
          </cell>
          <cell r="AE1126" t="str">
            <v>V1 - Existing / No Claim</v>
          </cell>
          <cell r="AF1126">
            <v>42857</v>
          </cell>
          <cell r="AG1126">
            <v>9.17</v>
          </cell>
          <cell r="AH1126" t="str">
            <v>PPM</v>
          </cell>
          <cell r="AI1126" t="str">
            <v>Strands-accessories</v>
          </cell>
          <cell r="AJ1126" t="str">
            <v>Strands PW</v>
          </cell>
          <cell r="AK1126" t="str">
            <v>KEWPA WITH IKN400716</v>
          </cell>
        </row>
        <row r="1127">
          <cell r="A1127" t="str">
            <v>IKN400718</v>
          </cell>
          <cell r="B1127">
            <v>718</v>
          </cell>
          <cell r="C1127" t="str">
            <v>Institut Kanser Negara</v>
          </cell>
          <cell r="D1127" t="str">
            <v>KKM/IKN/H/13/1800</v>
          </cell>
          <cell r="E1127" t="str">
            <v>16-861</v>
          </cell>
          <cell r="F1127" t="str">
            <v>Baths, Water, Laboratory</v>
          </cell>
          <cell r="G1127" t="str">
            <v>LA</v>
          </cell>
          <cell r="H1127" t="str">
            <v>PATHOLOGY</v>
          </cell>
          <cell r="I1127" t="str">
            <v>04LA140</v>
          </cell>
          <cell r="J1127" t="str">
            <v>BLOOD BANK</v>
          </cell>
          <cell r="K1127" t="str">
            <v>BMED</v>
          </cell>
          <cell r="L1127" t="str">
            <v>Normal</v>
          </cell>
          <cell r="M1127" t="str">
            <v>Germany</v>
          </cell>
          <cell r="N1127" t="str">
            <v>Memmert</v>
          </cell>
          <cell r="O1127" t="str">
            <v>Memmert WNB14</v>
          </cell>
          <cell r="P1127" t="str">
            <v>L412.0327</v>
          </cell>
          <cell r="Q1127" t="str">
            <v>Not Applicable</v>
          </cell>
          <cell r="R1127" t="str">
            <v>Memmert GmbH</v>
          </cell>
          <cell r="S1127" t="str">
            <v>Saujana Saintifik Sdn Bhd</v>
          </cell>
          <cell r="T1127" t="str">
            <v>Functioning</v>
          </cell>
          <cell r="U1127" t="str">
            <v>Asset</v>
          </cell>
          <cell r="V1127">
            <v>4210</v>
          </cell>
          <cell r="W1127" t="str">
            <v>KEW</v>
          </cell>
          <cell r="X1127" t="str">
            <v>01/09/2010</v>
          </cell>
          <cell r="Y1127" t="str">
            <v>KEW</v>
          </cell>
          <cell r="Z1127" t="str">
            <v>16/08/2013</v>
          </cell>
          <cell r="AA1127" t="str">
            <v>15/08/2015</v>
          </cell>
          <cell r="AB1127" t="str">
            <v>No</v>
          </cell>
          <cell r="AC1127" t="str">
            <v>31/08/2013</v>
          </cell>
          <cell r="AD1127" t="str">
            <v>Good</v>
          </cell>
          <cell r="AE1127" t="str">
            <v>V1 - Existing / No Claim</v>
          </cell>
          <cell r="AF1127">
            <v>42790</v>
          </cell>
          <cell r="AG1127">
            <v>9.17</v>
          </cell>
          <cell r="AH1127" t="str">
            <v>PPM</v>
          </cell>
          <cell r="AI1127" t="str">
            <v>Strands</v>
          </cell>
          <cell r="AJ1127" t="str">
            <v>Strands PW</v>
          </cell>
        </row>
        <row r="1128">
          <cell r="A1128" t="str">
            <v>IKN400719</v>
          </cell>
          <cell r="B1128">
            <v>719</v>
          </cell>
          <cell r="C1128" t="str">
            <v>Institut Kanser Negara</v>
          </cell>
          <cell r="D1128" t="str">
            <v>KKM/IKN/H/13/2133</v>
          </cell>
          <cell r="E1128" t="str">
            <v>16-795</v>
          </cell>
          <cell r="F1128" t="str">
            <v>Bath, Water, Plasma-Thawing</v>
          </cell>
          <cell r="G1128" t="str">
            <v>LA</v>
          </cell>
          <cell r="H1128" t="str">
            <v>PATHOLOGY</v>
          </cell>
          <cell r="I1128" t="str">
            <v>04LA140</v>
          </cell>
          <cell r="J1128" t="str">
            <v>BLOOD BANK</v>
          </cell>
          <cell r="K1128" t="str">
            <v>BMED</v>
          </cell>
          <cell r="L1128" t="str">
            <v>Normal</v>
          </cell>
          <cell r="M1128" t="str">
            <v>USA</v>
          </cell>
          <cell r="N1128" t="str">
            <v>QuickThaw</v>
          </cell>
          <cell r="O1128" t="str">
            <v>QuickThaw DH4</v>
          </cell>
          <cell r="P1128" t="str">
            <v>1008349</v>
          </cell>
          <cell r="Q1128" t="str">
            <v>Not Applicable</v>
          </cell>
          <cell r="R1128" t="str">
            <v>Helmer Labs Inc</v>
          </cell>
          <cell r="S1128" t="str">
            <v>Biomarketing Services (M) Sdn Bhd</v>
          </cell>
          <cell r="T1128" t="str">
            <v>Functioning</v>
          </cell>
          <cell r="U1128" t="str">
            <v>Asset</v>
          </cell>
          <cell r="V1128">
            <v>26460</v>
          </cell>
          <cell r="W1128" t="str">
            <v>KEW</v>
          </cell>
          <cell r="X1128" t="str">
            <v>01/09/2010</v>
          </cell>
          <cell r="Y1128" t="str">
            <v>KEW</v>
          </cell>
          <cell r="Z1128" t="str">
            <v>16/08/2013</v>
          </cell>
          <cell r="AA1128" t="str">
            <v>15/08/2015</v>
          </cell>
          <cell r="AB1128" t="str">
            <v>No</v>
          </cell>
          <cell r="AC1128" t="str">
            <v>31/08/2013</v>
          </cell>
          <cell r="AD1128" t="str">
            <v>Good</v>
          </cell>
          <cell r="AE1128" t="str">
            <v>V1 - Existing / No Claim</v>
          </cell>
          <cell r="AF1128">
            <v>42790</v>
          </cell>
          <cell r="AG1128">
            <v>9.17</v>
          </cell>
          <cell r="AH1128" t="str">
            <v>PPM</v>
          </cell>
          <cell r="AI1128" t="str">
            <v>Strands</v>
          </cell>
          <cell r="AJ1128" t="str">
            <v>Strands PW</v>
          </cell>
        </row>
        <row r="1129">
          <cell r="A1129" t="str">
            <v>IKN400720</v>
          </cell>
          <cell r="B1129">
            <v>720</v>
          </cell>
          <cell r="C1129" t="str">
            <v>Institut Kanser Negara</v>
          </cell>
          <cell r="D1129" t="str">
            <v>KKM/IKN/H/13/4725</v>
          </cell>
          <cell r="E1129" t="str">
            <v>16-795</v>
          </cell>
          <cell r="F1129" t="str">
            <v>Bath, Water, Plasma-Thawing</v>
          </cell>
          <cell r="G1129" t="str">
            <v>LA</v>
          </cell>
          <cell r="H1129" t="str">
            <v>PATHOLOGY</v>
          </cell>
          <cell r="I1129" t="str">
            <v>04LA140</v>
          </cell>
          <cell r="J1129" t="str">
            <v>BLOOD BANK</v>
          </cell>
          <cell r="K1129" t="str">
            <v>BMED</v>
          </cell>
          <cell r="L1129" t="str">
            <v>Normal</v>
          </cell>
          <cell r="M1129" t="str">
            <v>USA</v>
          </cell>
          <cell r="N1129" t="str">
            <v>QuickThaw</v>
          </cell>
          <cell r="O1129" t="str">
            <v>QuickThaw DH4</v>
          </cell>
          <cell r="P1129" t="str">
            <v>1009481</v>
          </cell>
          <cell r="Q1129" t="str">
            <v>Not Applicable</v>
          </cell>
          <cell r="R1129" t="str">
            <v>Helmer Labs Inc</v>
          </cell>
          <cell r="S1129" t="str">
            <v>Biomarketing Services (M) Sdn Bhd</v>
          </cell>
          <cell r="T1129" t="str">
            <v>Functioning</v>
          </cell>
          <cell r="U1129" t="str">
            <v>Asset</v>
          </cell>
          <cell r="V1129">
            <v>26240</v>
          </cell>
          <cell r="W1129" t="str">
            <v>KEW</v>
          </cell>
          <cell r="X1129" t="str">
            <v>01/09/2010</v>
          </cell>
          <cell r="Y1129" t="str">
            <v>KEW</v>
          </cell>
          <cell r="Z1129" t="str">
            <v>16/08/2013</v>
          </cell>
          <cell r="AA1129" t="str">
            <v>15/08/2015</v>
          </cell>
          <cell r="AB1129" t="str">
            <v>No</v>
          </cell>
          <cell r="AC1129" t="str">
            <v>31/08/2013</v>
          </cell>
          <cell r="AD1129" t="str">
            <v>Good</v>
          </cell>
          <cell r="AE1129" t="str">
            <v>V1 - Existing / No Claim</v>
          </cell>
          <cell r="AF1129">
            <v>42790</v>
          </cell>
          <cell r="AG1129">
            <v>9.17</v>
          </cell>
          <cell r="AH1129" t="str">
            <v>PPM</v>
          </cell>
          <cell r="AI1129" t="str">
            <v>Strands</v>
          </cell>
          <cell r="AJ1129" t="str">
            <v>Strands PW</v>
          </cell>
        </row>
        <row r="1130">
          <cell r="A1130" t="str">
            <v>IKN400721</v>
          </cell>
          <cell r="B1130">
            <v>721</v>
          </cell>
          <cell r="C1130" t="str">
            <v>Institut Kanser Negara</v>
          </cell>
          <cell r="D1130" t="str">
            <v>KKM/IKN/H/13/2124</v>
          </cell>
          <cell r="E1130" t="str">
            <v>15-104</v>
          </cell>
          <cell r="F1130" t="str">
            <v>Analyzers, Laboratory, Hematology, Platelet Aggregation</v>
          </cell>
          <cell r="G1130" t="str">
            <v>LA</v>
          </cell>
          <cell r="H1130" t="str">
            <v>PATHOLOGY</v>
          </cell>
          <cell r="I1130" t="str">
            <v>04LA140</v>
          </cell>
          <cell r="J1130" t="str">
            <v>BLOOD BANK</v>
          </cell>
          <cell r="K1130" t="str">
            <v>BMED</v>
          </cell>
          <cell r="L1130" t="str">
            <v>Normal</v>
          </cell>
          <cell r="M1130" t="str">
            <v>USA</v>
          </cell>
          <cell r="N1130" t="str">
            <v>Helmer</v>
          </cell>
          <cell r="O1130" t="str">
            <v>Pf48i</v>
          </cell>
          <cell r="P1130" t="str">
            <v>1008381</v>
          </cell>
          <cell r="Q1130" t="str">
            <v>Not Applicable</v>
          </cell>
          <cell r="R1130" t="str">
            <v>Helmer</v>
          </cell>
          <cell r="S1130" t="str">
            <v>Biomarketing Services (M) Sdn Bhd</v>
          </cell>
          <cell r="T1130" t="str">
            <v>Functioning</v>
          </cell>
          <cell r="U1130" t="str">
            <v>Asset</v>
          </cell>
          <cell r="V1130">
            <v>42100</v>
          </cell>
          <cell r="W1130" t="str">
            <v>KEW</v>
          </cell>
          <cell r="X1130" t="str">
            <v>01/09/2010</v>
          </cell>
          <cell r="Y1130" t="str">
            <v>KEW</v>
          </cell>
          <cell r="Z1130" t="str">
            <v>16/08/2013</v>
          </cell>
          <cell r="AA1130" t="str">
            <v>15/08/2015</v>
          </cell>
          <cell r="AB1130" t="str">
            <v>No</v>
          </cell>
          <cell r="AC1130" t="str">
            <v>31/08/2013</v>
          </cell>
          <cell r="AD1130" t="str">
            <v>Good</v>
          </cell>
          <cell r="AE1130" t="str">
            <v>V1 - Existing / No Claim</v>
          </cell>
          <cell r="AF1130">
            <v>42790</v>
          </cell>
          <cell r="AG1130">
            <v>9.17</v>
          </cell>
          <cell r="AH1130" t="str">
            <v>PPM</v>
          </cell>
          <cell r="AI1130" t="str">
            <v>Strands</v>
          </cell>
          <cell r="AJ1130" t="str">
            <v>Strands PW</v>
          </cell>
          <cell r="AK1130" t="str">
            <v>KEWPA WIYH IKN400722</v>
          </cell>
        </row>
        <row r="1131">
          <cell r="A1131" t="str">
            <v>IKN400722</v>
          </cell>
          <cell r="B1131">
            <v>722</v>
          </cell>
          <cell r="C1131" t="str">
            <v>Institut Kanser Negara</v>
          </cell>
          <cell r="D1131" t="str">
            <v>KKM/IKN/H/13/2124</v>
          </cell>
          <cell r="E1131" t="str">
            <v>15-104</v>
          </cell>
          <cell r="F1131" t="str">
            <v>Analyzers, Laboratory, Hematology, Platelet Aggregation</v>
          </cell>
          <cell r="G1131" t="str">
            <v>LA</v>
          </cell>
          <cell r="H1131" t="str">
            <v>PATHOLOGY</v>
          </cell>
          <cell r="I1131" t="str">
            <v>04LA141</v>
          </cell>
          <cell r="J1131" t="str">
            <v>REPORTING (8PAX)</v>
          </cell>
          <cell r="K1131" t="str">
            <v>BMED</v>
          </cell>
          <cell r="L1131" t="str">
            <v>Normal</v>
          </cell>
          <cell r="M1131" t="str">
            <v>USA</v>
          </cell>
          <cell r="N1131" t="str">
            <v>Helmer</v>
          </cell>
          <cell r="O1131" t="str">
            <v>Pc900i</v>
          </cell>
          <cell r="P1131" t="str">
            <v>1008449</v>
          </cell>
          <cell r="Q1131" t="str">
            <v>Not Applicable</v>
          </cell>
          <cell r="R1131" t="str">
            <v>Helmer</v>
          </cell>
          <cell r="S1131" t="str">
            <v>Biomarketing Services (M) Sdn Bhd</v>
          </cell>
          <cell r="T1131" t="str">
            <v>Functioning</v>
          </cell>
          <cell r="U1131" t="str">
            <v>Asset</v>
          </cell>
          <cell r="V1131">
            <v>42100</v>
          </cell>
          <cell r="W1131" t="str">
            <v>KEW</v>
          </cell>
          <cell r="X1131" t="str">
            <v>01/09/2010</v>
          </cell>
          <cell r="Y1131" t="str">
            <v>KEW</v>
          </cell>
          <cell r="Z1131" t="str">
            <v>16/08/2013</v>
          </cell>
          <cell r="AA1131" t="str">
            <v>15/08/2015</v>
          </cell>
          <cell r="AB1131" t="str">
            <v>No</v>
          </cell>
          <cell r="AC1131" t="str">
            <v>31/08/2013</v>
          </cell>
          <cell r="AD1131" t="str">
            <v>Good</v>
          </cell>
          <cell r="AE1131" t="str">
            <v>V1 - Existing / No Claim</v>
          </cell>
          <cell r="AF1131">
            <v>42235</v>
          </cell>
          <cell r="AG1131">
            <v>9.17</v>
          </cell>
          <cell r="AH1131" t="str">
            <v>PPM</v>
          </cell>
          <cell r="AI1131" t="str">
            <v>Strands-accessories</v>
          </cell>
          <cell r="AJ1131" t="str">
            <v>Strands PW</v>
          </cell>
          <cell r="AK1131" t="str">
            <v>KEWPA WITH IKN400721</v>
          </cell>
        </row>
        <row r="1132">
          <cell r="A1132" t="str">
            <v>IKN400723</v>
          </cell>
          <cell r="B1132">
            <v>723</v>
          </cell>
          <cell r="C1132" t="str">
            <v>Institut Kanser Negara</v>
          </cell>
          <cell r="D1132" t="str">
            <v>KKM/IKN/H/13/1909</v>
          </cell>
          <cell r="E1132" t="str">
            <v>16-439</v>
          </cell>
          <cell r="F1132" t="str">
            <v>Microscopes, Light, Laboratory, Fluorescence</v>
          </cell>
          <cell r="G1132" t="str">
            <v>LA</v>
          </cell>
          <cell r="H1132" t="str">
            <v>PATHOLOGY</v>
          </cell>
          <cell r="I1132" t="str">
            <v>04LA114</v>
          </cell>
          <cell r="J1132" t="str">
            <v>DARK MICROSCOPY</v>
          </cell>
          <cell r="K1132" t="str">
            <v>BMED</v>
          </cell>
          <cell r="L1132" t="str">
            <v>Normal</v>
          </cell>
          <cell r="M1132" t="str">
            <v>Japan</v>
          </cell>
          <cell r="N1132" t="str">
            <v>Olympus</v>
          </cell>
          <cell r="O1132" t="str">
            <v>Olympus BX 43F</v>
          </cell>
          <cell r="P1132" t="str">
            <v>2J49091</v>
          </cell>
          <cell r="Q1132" t="str">
            <v>Not Applicable</v>
          </cell>
          <cell r="R1132" t="str">
            <v>Olympus Optical Co Ltd</v>
          </cell>
          <cell r="S1132" t="str">
            <v>Matrix Optics (M) Sdn Bhd</v>
          </cell>
          <cell r="T1132" t="str">
            <v>Functioning</v>
          </cell>
          <cell r="U1132" t="str">
            <v>Asset</v>
          </cell>
          <cell r="V1132">
            <v>169530</v>
          </cell>
          <cell r="W1132" t="str">
            <v>KEW</v>
          </cell>
          <cell r="X1132" t="str">
            <v>01/09/2010</v>
          </cell>
          <cell r="Y1132" t="str">
            <v>KEW</v>
          </cell>
          <cell r="Z1132" t="str">
            <v>16/08/2013</v>
          </cell>
          <cell r="AA1132" t="str">
            <v>15/08/2015</v>
          </cell>
          <cell r="AB1132" t="str">
            <v>No</v>
          </cell>
          <cell r="AC1132" t="str">
            <v>31/08/2013</v>
          </cell>
          <cell r="AD1132" t="str">
            <v>Good</v>
          </cell>
          <cell r="AE1132" t="str">
            <v>V1 - Existing / No Claim</v>
          </cell>
          <cell r="AF1132">
            <v>42235</v>
          </cell>
          <cell r="AG1132">
            <v>9.17</v>
          </cell>
          <cell r="AH1132" t="str">
            <v>PPM</v>
          </cell>
          <cell r="AI1132" t="str">
            <v>Strands</v>
          </cell>
          <cell r="AJ1132" t="str">
            <v>Strands PW</v>
          </cell>
          <cell r="AK1132" t="str">
            <v>KEWPA WITH IKN400721</v>
          </cell>
        </row>
        <row r="1133">
          <cell r="A1133" t="str">
            <v>IKN400724</v>
          </cell>
          <cell r="B1133">
            <v>724</v>
          </cell>
          <cell r="C1133" t="str">
            <v>Institut Kanser Negara</v>
          </cell>
          <cell r="D1133" t="str">
            <v>KKM/IKN/H/13/1893</v>
          </cell>
          <cell r="E1133" t="str">
            <v>15-156</v>
          </cell>
          <cell r="F1133" t="str">
            <v>Microscopes, Light, Laboratory</v>
          </cell>
          <cell r="G1133" t="str">
            <v>LA</v>
          </cell>
          <cell r="H1133" t="str">
            <v>PATHOLOGY</v>
          </cell>
          <cell r="I1133" t="str">
            <v>04LA131</v>
          </cell>
          <cell r="J1133" t="str">
            <v>HAEMATOLOGY LAB 1</v>
          </cell>
          <cell r="K1133" t="str">
            <v>BMED</v>
          </cell>
          <cell r="L1133" t="str">
            <v>Normal</v>
          </cell>
          <cell r="M1133" t="str">
            <v>Japan</v>
          </cell>
          <cell r="N1133" t="str">
            <v>Olympus</v>
          </cell>
          <cell r="O1133" t="str">
            <v>Olympus CX31</v>
          </cell>
          <cell r="P1133" t="str">
            <v>2H11266</v>
          </cell>
          <cell r="Q1133" t="str">
            <v>Not Applicable</v>
          </cell>
          <cell r="R1133" t="str">
            <v>Olympus Corp Ltd</v>
          </cell>
          <cell r="S1133" t="str">
            <v>Matrix Optics (M) Sdn Bhd</v>
          </cell>
          <cell r="T1133" t="str">
            <v>Functioning</v>
          </cell>
          <cell r="U1133" t="str">
            <v>Asset</v>
          </cell>
          <cell r="V1133">
            <v>14740</v>
          </cell>
          <cell r="W1133" t="str">
            <v>KEW</v>
          </cell>
          <cell r="X1133" t="str">
            <v>01/09/2010</v>
          </cell>
          <cell r="Y1133" t="str">
            <v>KEW</v>
          </cell>
          <cell r="Z1133" t="str">
            <v>16/08/2013</v>
          </cell>
          <cell r="AA1133" t="str">
            <v>15/08/2015</v>
          </cell>
          <cell r="AB1133" t="str">
            <v>No</v>
          </cell>
          <cell r="AC1133" t="str">
            <v>31/08/2013</v>
          </cell>
          <cell r="AD1133" t="str">
            <v>Good</v>
          </cell>
          <cell r="AE1133" t="str">
            <v>V1 - Existing / No Claim</v>
          </cell>
          <cell r="AF1133">
            <v>42790</v>
          </cell>
          <cell r="AG1133">
            <v>9.17</v>
          </cell>
          <cell r="AH1133" t="str">
            <v>PPM</v>
          </cell>
          <cell r="AI1133" t="str">
            <v>Strands</v>
          </cell>
          <cell r="AJ1133" t="str">
            <v>Strands PW</v>
          </cell>
        </row>
        <row r="1134">
          <cell r="A1134" t="str">
            <v>IKN400725</v>
          </cell>
          <cell r="B1134">
            <v>725</v>
          </cell>
          <cell r="C1134" t="str">
            <v>Institut Kanser Negara</v>
          </cell>
          <cell r="D1134" t="str">
            <v>KKM/IKN/H/13/1896</v>
          </cell>
          <cell r="E1134" t="str">
            <v>15-156</v>
          </cell>
          <cell r="F1134" t="str">
            <v>Microscopes, Light, Laboratory</v>
          </cell>
          <cell r="G1134" t="str">
            <v>LA</v>
          </cell>
          <cell r="H1134" t="str">
            <v>PATHOLOGY</v>
          </cell>
          <cell r="I1134" t="str">
            <v>04LA131</v>
          </cell>
          <cell r="J1134" t="str">
            <v>HAEMATOLOGY LAB 1</v>
          </cell>
          <cell r="K1134" t="str">
            <v>BMED</v>
          </cell>
          <cell r="L1134" t="str">
            <v>Normal</v>
          </cell>
          <cell r="M1134" t="str">
            <v>Japan</v>
          </cell>
          <cell r="N1134" t="str">
            <v>Olympus</v>
          </cell>
          <cell r="O1134" t="str">
            <v>Olympus CX31</v>
          </cell>
          <cell r="P1134" t="str">
            <v>2H11113</v>
          </cell>
          <cell r="Q1134" t="str">
            <v>Not Applicable</v>
          </cell>
          <cell r="R1134" t="str">
            <v>Olympus Corp Ltd</v>
          </cell>
          <cell r="S1134" t="str">
            <v>Matrix Optics (M) Sdn Bhd</v>
          </cell>
          <cell r="T1134" t="str">
            <v>Functioning</v>
          </cell>
          <cell r="U1134" t="str">
            <v>Asset</v>
          </cell>
          <cell r="V1134">
            <v>14740</v>
          </cell>
          <cell r="W1134" t="str">
            <v>KEW</v>
          </cell>
          <cell r="X1134" t="str">
            <v>01/09/2010</v>
          </cell>
          <cell r="Y1134" t="str">
            <v>KEW</v>
          </cell>
          <cell r="Z1134" t="str">
            <v>16/08/2013</v>
          </cell>
          <cell r="AA1134" t="str">
            <v>15/08/2015</v>
          </cell>
          <cell r="AB1134" t="str">
            <v>No</v>
          </cell>
          <cell r="AC1134" t="str">
            <v>31/08/2013</v>
          </cell>
          <cell r="AD1134" t="str">
            <v>Good</v>
          </cell>
          <cell r="AE1134" t="str">
            <v>V1 - Existing / No Claim</v>
          </cell>
          <cell r="AF1134">
            <v>42790</v>
          </cell>
          <cell r="AG1134">
            <v>9.17</v>
          </cell>
          <cell r="AH1134" t="str">
            <v>PPM</v>
          </cell>
          <cell r="AI1134" t="str">
            <v>Strands</v>
          </cell>
          <cell r="AJ1134" t="str">
            <v>Strands PW</v>
          </cell>
        </row>
        <row r="1135">
          <cell r="A1135" t="str">
            <v>IKN400726</v>
          </cell>
          <cell r="B1135">
            <v>726</v>
          </cell>
          <cell r="C1135" t="str">
            <v>Institut Kanser Negara</v>
          </cell>
          <cell r="D1135" t="str">
            <v>KKM/IKN/H/13/1889</v>
          </cell>
          <cell r="E1135" t="str">
            <v>15-156</v>
          </cell>
          <cell r="F1135" t="str">
            <v>Microscopes, Light, Laboratory</v>
          </cell>
          <cell r="G1135" t="str">
            <v>LA</v>
          </cell>
          <cell r="H1135" t="str">
            <v>PATHOLOGY</v>
          </cell>
          <cell r="I1135" t="str">
            <v>04LA130</v>
          </cell>
          <cell r="J1135" t="str">
            <v>SEROLOGY</v>
          </cell>
          <cell r="K1135" t="str">
            <v>BMED</v>
          </cell>
          <cell r="L1135" t="str">
            <v>Normal</v>
          </cell>
          <cell r="M1135" t="str">
            <v>Japan</v>
          </cell>
          <cell r="N1135" t="str">
            <v>Olympus</v>
          </cell>
          <cell r="O1135" t="str">
            <v>Olympus CX31</v>
          </cell>
          <cell r="P1135" t="str">
            <v>2H10697</v>
          </cell>
          <cell r="Q1135" t="str">
            <v>Not Applicable</v>
          </cell>
          <cell r="R1135" t="str">
            <v>Olympus Corp Ltd</v>
          </cell>
          <cell r="S1135" t="str">
            <v>Matrix Optics (M) Sdn Bhd</v>
          </cell>
          <cell r="T1135" t="str">
            <v>Functioning</v>
          </cell>
          <cell r="U1135" t="str">
            <v>Asset</v>
          </cell>
          <cell r="V1135">
            <v>14740</v>
          </cell>
          <cell r="W1135" t="str">
            <v>KEW</v>
          </cell>
          <cell r="X1135" t="str">
            <v>01/09/2010</v>
          </cell>
          <cell r="Y1135" t="str">
            <v>KEW</v>
          </cell>
          <cell r="Z1135" t="str">
            <v>16/08/2013</v>
          </cell>
          <cell r="AA1135" t="str">
            <v>15/08/2015</v>
          </cell>
          <cell r="AB1135" t="str">
            <v>No</v>
          </cell>
          <cell r="AC1135" t="str">
            <v>31/08/2013</v>
          </cell>
          <cell r="AD1135" t="str">
            <v>Good</v>
          </cell>
          <cell r="AE1135" t="str">
            <v>V1 - Existing / No Claim</v>
          </cell>
          <cell r="AF1135">
            <v>42790</v>
          </cell>
          <cell r="AG1135">
            <v>9.17</v>
          </cell>
          <cell r="AH1135" t="str">
            <v>PPM</v>
          </cell>
          <cell r="AI1135" t="str">
            <v>Strands</v>
          </cell>
          <cell r="AJ1135" t="str">
            <v>Strands PW</v>
          </cell>
        </row>
        <row r="1136">
          <cell r="A1136" t="str">
            <v>IKN400727</v>
          </cell>
          <cell r="B1136">
            <v>727</v>
          </cell>
          <cell r="C1136" t="str">
            <v>Institut Kanser Negara</v>
          </cell>
          <cell r="D1136" t="str">
            <v>KKM/IKN/H/13/1884</v>
          </cell>
          <cell r="E1136" t="str">
            <v>15-156</v>
          </cell>
          <cell r="F1136" t="str">
            <v>Microscopes, Light, Laboratory</v>
          </cell>
          <cell r="G1136" t="str">
            <v>LA</v>
          </cell>
          <cell r="H1136" t="str">
            <v>PATHOLOGY</v>
          </cell>
          <cell r="I1136" t="str">
            <v>04LA126</v>
          </cell>
          <cell r="J1136" t="str">
            <v>MICROBIOLOGY UNIT</v>
          </cell>
          <cell r="K1136" t="str">
            <v>BMED</v>
          </cell>
          <cell r="L1136" t="str">
            <v>Normal</v>
          </cell>
          <cell r="M1136" t="str">
            <v>Japan</v>
          </cell>
          <cell r="N1136" t="str">
            <v>Olympus</v>
          </cell>
          <cell r="O1136" t="str">
            <v>Olympus CX31</v>
          </cell>
          <cell r="P1136" t="str">
            <v>2H11174</v>
          </cell>
          <cell r="Q1136" t="str">
            <v>Not Applicable</v>
          </cell>
          <cell r="R1136" t="str">
            <v>Olympus Corp Ltd</v>
          </cell>
          <cell r="S1136" t="str">
            <v>Matrix Optics (M) Sdn Bhd</v>
          </cell>
          <cell r="T1136" t="str">
            <v>Functioning</v>
          </cell>
          <cell r="U1136" t="str">
            <v>Asset</v>
          </cell>
          <cell r="V1136">
            <v>14740</v>
          </cell>
          <cell r="W1136" t="str">
            <v>KEW</v>
          </cell>
          <cell r="X1136" t="str">
            <v>01/09/2010</v>
          </cell>
          <cell r="Y1136" t="str">
            <v>KEW</v>
          </cell>
          <cell r="Z1136" t="str">
            <v>16/08/2013</v>
          </cell>
          <cell r="AA1136" t="str">
            <v>15/08/2015</v>
          </cell>
          <cell r="AB1136" t="str">
            <v>No</v>
          </cell>
          <cell r="AC1136" t="str">
            <v>31/08/2013</v>
          </cell>
          <cell r="AD1136" t="str">
            <v>Good</v>
          </cell>
          <cell r="AE1136" t="str">
            <v>V1 - Existing / No Claim</v>
          </cell>
          <cell r="AF1136">
            <v>42790</v>
          </cell>
          <cell r="AG1136">
            <v>9.17</v>
          </cell>
          <cell r="AH1136" t="str">
            <v>PPM</v>
          </cell>
          <cell r="AI1136" t="str">
            <v>Strands</v>
          </cell>
          <cell r="AJ1136" t="str">
            <v>Strands PW</v>
          </cell>
        </row>
        <row r="1137">
          <cell r="A1137" t="str">
            <v>IKN400732</v>
          </cell>
          <cell r="B1137">
            <v>732</v>
          </cell>
          <cell r="C1137" t="str">
            <v>Institut Kanser Negara</v>
          </cell>
          <cell r="D1137" t="str">
            <v>KKM/IKN/H/13/5283</v>
          </cell>
          <cell r="E1137" t="str">
            <v>15-164</v>
          </cell>
          <cell r="F1137" t="str">
            <v>pH Meters</v>
          </cell>
          <cell r="G1137" t="str">
            <v>LA</v>
          </cell>
          <cell r="H1137" t="str">
            <v>PATHOLOGY</v>
          </cell>
          <cell r="I1137" t="str">
            <v>04LA127</v>
          </cell>
          <cell r="J1137" t="str">
            <v>INNOCULATION/STAINING</v>
          </cell>
          <cell r="K1137" t="str">
            <v>BMED</v>
          </cell>
          <cell r="L1137" t="str">
            <v>Normal</v>
          </cell>
          <cell r="M1137" t="str">
            <v>USA</v>
          </cell>
          <cell r="N1137" t="str">
            <v>Fisher Scientific</v>
          </cell>
          <cell r="O1137" t="str">
            <v>Fisher Scientific AB150</v>
          </cell>
          <cell r="P1137" t="str">
            <v>AB92341945</v>
          </cell>
          <cell r="Q1137" t="str">
            <v>Not Applicable</v>
          </cell>
          <cell r="R1137" t="str">
            <v>Fisher Scientific Co</v>
          </cell>
          <cell r="S1137" t="str">
            <v>Advance Altimas Sdn Bhd</v>
          </cell>
          <cell r="T1137" t="str">
            <v>Functioning</v>
          </cell>
          <cell r="U1137" t="str">
            <v>Asset</v>
          </cell>
          <cell r="V1137">
            <v>8000</v>
          </cell>
          <cell r="W1137" t="str">
            <v>Estimate</v>
          </cell>
          <cell r="X1137" t="str">
            <v>01/09/2010</v>
          </cell>
          <cell r="Y1137" t="str">
            <v>KEW</v>
          </cell>
          <cell r="Z1137" t="str">
            <v>16/08/2013</v>
          </cell>
          <cell r="AA1137" t="str">
            <v>15/08/2015</v>
          </cell>
          <cell r="AB1137" t="str">
            <v>No</v>
          </cell>
          <cell r="AC1137" t="str">
            <v>31/08/2013</v>
          </cell>
          <cell r="AD1137" t="str">
            <v>Good</v>
          </cell>
          <cell r="AE1137" t="str">
            <v>V1 - Existing / No Claim</v>
          </cell>
          <cell r="AF1137">
            <v>42601</v>
          </cell>
          <cell r="AG1137">
            <v>9.17</v>
          </cell>
          <cell r="AH1137" t="str">
            <v>PPM</v>
          </cell>
          <cell r="AI1137" t="str">
            <v>Strands</v>
          </cell>
          <cell r="AJ1137" t="str">
            <v>Strands PW</v>
          </cell>
        </row>
        <row r="1138">
          <cell r="A1138" t="str">
            <v>IKN400733</v>
          </cell>
          <cell r="B1138">
            <v>733</v>
          </cell>
          <cell r="C1138" t="str">
            <v>Institut Kanser Negara</v>
          </cell>
          <cell r="D1138" t="str">
            <v>KKM/IKN/H/13/5253</v>
          </cell>
          <cell r="E1138" t="str">
            <v>16-287</v>
          </cell>
          <cell r="F1138" t="str">
            <v>Hot Plates</v>
          </cell>
          <cell r="G1138" t="str">
            <v>LA</v>
          </cell>
          <cell r="H1138" t="str">
            <v>PATHOLOGY</v>
          </cell>
          <cell r="I1138" t="str">
            <v>04LA127</v>
          </cell>
          <cell r="J1138" t="str">
            <v>INNOCULATION/STAINING</v>
          </cell>
          <cell r="K1138" t="str">
            <v>BMED</v>
          </cell>
          <cell r="L1138" t="str">
            <v>Normal</v>
          </cell>
          <cell r="M1138" t="str">
            <v>UK</v>
          </cell>
          <cell r="N1138" t="str">
            <v>Stuart</v>
          </cell>
          <cell r="O1138" t="str">
            <v>Stuart US150</v>
          </cell>
          <cell r="P1138" t="str">
            <v>R610000243</v>
          </cell>
          <cell r="Q1138" t="str">
            <v>Not Applicable</v>
          </cell>
          <cell r="R1138" t="str">
            <v>Stuart Scientific Co Ltd</v>
          </cell>
          <cell r="S1138" t="str">
            <v>Bumi Sains Sdn. Bhd.</v>
          </cell>
          <cell r="T1138" t="str">
            <v>Functioning</v>
          </cell>
          <cell r="U1138" t="str">
            <v>Asset</v>
          </cell>
          <cell r="V1138">
            <v>2170</v>
          </cell>
          <cell r="W1138" t="str">
            <v>KEW</v>
          </cell>
          <cell r="X1138" t="str">
            <v>01/09/2010</v>
          </cell>
          <cell r="Y1138" t="str">
            <v>KEW</v>
          </cell>
          <cell r="Z1138" t="str">
            <v>16/08/2013</v>
          </cell>
          <cell r="AA1138" t="str">
            <v>15/08/2015</v>
          </cell>
          <cell r="AB1138" t="str">
            <v>No</v>
          </cell>
          <cell r="AC1138" t="str">
            <v>31/08/2013</v>
          </cell>
          <cell r="AD1138" t="str">
            <v>Good</v>
          </cell>
          <cell r="AE1138" t="str">
            <v>V1 - Existing / No Claim</v>
          </cell>
          <cell r="AF1138">
            <v>42235</v>
          </cell>
          <cell r="AG1138">
            <v>9.17</v>
          </cell>
          <cell r="AH1138" t="str">
            <v>RI</v>
          </cell>
          <cell r="AI1138" t="str">
            <v>Strands</v>
          </cell>
          <cell r="AJ1138" t="str">
            <v>Strands PW</v>
          </cell>
          <cell r="AK1138" t="str">
            <v>IKNB04LA127</v>
          </cell>
        </row>
        <row r="1139">
          <cell r="A1139" t="str">
            <v>IKN400734</v>
          </cell>
          <cell r="B1139">
            <v>734</v>
          </cell>
          <cell r="C1139" t="str">
            <v>Institut Kanser Negara</v>
          </cell>
          <cell r="D1139" t="str">
            <v>KKM/IKN/I/13/2911</v>
          </cell>
          <cell r="E1139" t="str">
            <v>15-161</v>
          </cell>
          <cell r="F1139" t="str">
            <v>Mixers, Clinical Laboratory</v>
          </cell>
          <cell r="G1139" t="str">
            <v>LA</v>
          </cell>
          <cell r="H1139" t="str">
            <v>PATHOLOGY</v>
          </cell>
          <cell r="I1139" t="str">
            <v>04LA126</v>
          </cell>
          <cell r="J1139" t="str">
            <v>MICROBIOLOGY UNIT</v>
          </cell>
          <cell r="K1139" t="str">
            <v>BMED</v>
          </cell>
          <cell r="L1139" t="str">
            <v>Normal</v>
          </cell>
          <cell r="M1139" t="str">
            <v>UK</v>
          </cell>
          <cell r="N1139" t="str">
            <v>Stuart</v>
          </cell>
          <cell r="O1139" t="str">
            <v>Stuart SA8</v>
          </cell>
          <cell r="P1139" t="str">
            <v>R800004730</v>
          </cell>
          <cell r="Q1139" t="str">
            <v>Not Applicable</v>
          </cell>
          <cell r="R1139" t="str">
            <v>Stuart Scientific Co Ltd</v>
          </cell>
          <cell r="S1139" t="str">
            <v>Bumi Sains Sdn. Bhd.</v>
          </cell>
          <cell r="T1139" t="str">
            <v>Functioning</v>
          </cell>
          <cell r="U1139" t="str">
            <v>Asset</v>
          </cell>
          <cell r="V1139">
            <v>1200</v>
          </cell>
          <cell r="W1139" t="str">
            <v>KEW</v>
          </cell>
          <cell r="X1139" t="str">
            <v>01/09/2010</v>
          </cell>
          <cell r="Y1139" t="str">
            <v>KEW</v>
          </cell>
          <cell r="Z1139" t="str">
            <v>16/08/2013</v>
          </cell>
          <cell r="AA1139" t="str">
            <v>15/08/2015</v>
          </cell>
          <cell r="AB1139" t="str">
            <v>No</v>
          </cell>
          <cell r="AC1139" t="str">
            <v>31/08/2013</v>
          </cell>
          <cell r="AD1139" t="str">
            <v>Good</v>
          </cell>
          <cell r="AE1139" t="str">
            <v>V1 - Existing / No Claim</v>
          </cell>
          <cell r="AF1139">
            <v>42235</v>
          </cell>
          <cell r="AG1139">
            <v>9.17</v>
          </cell>
          <cell r="AH1139" t="str">
            <v>PPM</v>
          </cell>
          <cell r="AI1139" t="str">
            <v>Strands</v>
          </cell>
          <cell r="AJ1139" t="str">
            <v>Strands PW</v>
          </cell>
        </row>
        <row r="1140">
          <cell r="A1140" t="str">
            <v>IKN400735</v>
          </cell>
          <cell r="B1140" t="str">
            <v>Institut Kanser Negara</v>
          </cell>
          <cell r="C1140" t="str">
            <v>Institut Kanser Negara</v>
          </cell>
          <cell r="D1140" t="str">
            <v>KKM/IKN/H/13/5252</v>
          </cell>
          <cell r="E1140" t="str">
            <v>16-287</v>
          </cell>
          <cell r="F1140" t="str">
            <v>Hot Plates</v>
          </cell>
          <cell r="G1140" t="str">
            <v>LA</v>
          </cell>
          <cell r="H1140" t="str">
            <v>PATHOLOGY</v>
          </cell>
          <cell r="I1140" t="str">
            <v>04LA127</v>
          </cell>
          <cell r="J1140" t="str">
            <v>INNOCULATION/STAINING</v>
          </cell>
          <cell r="K1140" t="str">
            <v>BMED</v>
          </cell>
          <cell r="L1140" t="str">
            <v>Normal</v>
          </cell>
          <cell r="M1140" t="str">
            <v>UK</v>
          </cell>
          <cell r="N1140" t="str">
            <v>Stuart</v>
          </cell>
          <cell r="O1140" t="str">
            <v>Stuart US150</v>
          </cell>
          <cell r="P1140" t="str">
            <v>R610000238</v>
          </cell>
          <cell r="Q1140" t="str">
            <v>Bumi Sains Sdn. Bhd.</v>
          </cell>
          <cell r="R1140" t="str">
            <v>Stuart Scientific Co Ltd</v>
          </cell>
          <cell r="S1140" t="str">
            <v>Bumi Sains Sdn. Bhd.</v>
          </cell>
          <cell r="T1140" t="str">
            <v>Functioning</v>
          </cell>
          <cell r="U1140" t="str">
            <v>01/09/2010</v>
          </cell>
          <cell r="V1140">
            <v>2170</v>
          </cell>
          <cell r="W1140" t="str">
            <v>KEW</v>
          </cell>
          <cell r="X1140" t="str">
            <v>01/09/2010</v>
          </cell>
          <cell r="Y1140" t="str">
            <v>KEW</v>
          </cell>
          <cell r="Z1140" t="str">
            <v>31/08/2013</v>
          </cell>
          <cell r="AA1140" t="str">
            <v>15/08/2015</v>
          </cell>
          <cell r="AB1140" t="str">
            <v>No</v>
          </cell>
          <cell r="AC1140" t="str">
            <v>31/08/2013</v>
          </cell>
          <cell r="AD1140" t="str">
            <v>Good</v>
          </cell>
          <cell r="AE1140" t="str">
            <v>V1 - Existing / No Claim</v>
          </cell>
          <cell r="AF1140">
            <v>42235</v>
          </cell>
          <cell r="AG1140">
            <v>9.17</v>
          </cell>
          <cell r="AH1140" t="str">
            <v>RI</v>
          </cell>
          <cell r="AI1140" t="str">
            <v>Strands</v>
          </cell>
          <cell r="AJ1140" t="str">
            <v>Strands PW</v>
          </cell>
          <cell r="AK1140" t="str">
            <v>IKNB04LA127</v>
          </cell>
        </row>
        <row r="1141">
          <cell r="A1141" t="str">
            <v>IKN400736</v>
          </cell>
          <cell r="B1141">
            <v>736</v>
          </cell>
          <cell r="C1141" t="str">
            <v>Institut Kanser Negara</v>
          </cell>
          <cell r="D1141" t="str">
            <v>KKM/IKN/H/13/4681</v>
          </cell>
          <cell r="E1141" t="str">
            <v>18-013</v>
          </cell>
          <cell r="F1141" t="str">
            <v>Incubators, Laboratory, Thermocycling</v>
          </cell>
          <cell r="G1141" t="str">
            <v>LA</v>
          </cell>
          <cell r="H1141" t="str">
            <v>PATHOLOGY</v>
          </cell>
          <cell r="I1141" t="str">
            <v>04LA126</v>
          </cell>
          <cell r="J1141" t="str">
            <v>MICROBIOLOGY UNIT</v>
          </cell>
          <cell r="K1141" t="str">
            <v>BMED</v>
          </cell>
          <cell r="L1141" t="str">
            <v>Normal</v>
          </cell>
          <cell r="M1141" t="str">
            <v>Germany</v>
          </cell>
          <cell r="N1141" t="str">
            <v>Binder</v>
          </cell>
          <cell r="O1141" t="str">
            <v>Binder BD 115</v>
          </cell>
          <cell r="P1141" t="str">
            <v>1308717</v>
          </cell>
          <cell r="Q1141" t="str">
            <v>Not Applicable</v>
          </cell>
          <cell r="R1141" t="str">
            <v>Binder GmbH &amp; Co</v>
          </cell>
          <cell r="S1141" t="str">
            <v>Bumi Sains Sdn. Bhd.</v>
          </cell>
          <cell r="T1141" t="str">
            <v>Functioning</v>
          </cell>
          <cell r="U1141" t="str">
            <v>Asset</v>
          </cell>
          <cell r="V1141">
            <v>16240</v>
          </cell>
          <cell r="W1141" t="str">
            <v>KEW</v>
          </cell>
          <cell r="X1141" t="str">
            <v>01/09/2010</v>
          </cell>
          <cell r="Y1141" t="str">
            <v>KEW</v>
          </cell>
          <cell r="Z1141" t="str">
            <v>16/08/2013</v>
          </cell>
          <cell r="AA1141" t="str">
            <v>15/08/2015</v>
          </cell>
          <cell r="AB1141" t="str">
            <v>No</v>
          </cell>
          <cell r="AC1141" t="str">
            <v>31/08/2013</v>
          </cell>
          <cell r="AD1141" t="str">
            <v>Good</v>
          </cell>
          <cell r="AE1141" t="str">
            <v>V1 - Existing / No Claim</v>
          </cell>
          <cell r="AF1141">
            <v>42235</v>
          </cell>
          <cell r="AG1141">
            <v>9.17</v>
          </cell>
          <cell r="AH1141" t="str">
            <v>PPM</v>
          </cell>
          <cell r="AI1141" t="str">
            <v>Strands</v>
          </cell>
          <cell r="AJ1141" t="str">
            <v>Strands PW</v>
          </cell>
        </row>
        <row r="1142">
          <cell r="A1142" t="str">
            <v>IKN400737</v>
          </cell>
          <cell r="B1142">
            <v>737</v>
          </cell>
          <cell r="C1142" t="str">
            <v>Institut Kanser Negara</v>
          </cell>
          <cell r="D1142" t="str">
            <v>KKM/IKN/H/13/4682</v>
          </cell>
          <cell r="E1142" t="str">
            <v>18-013</v>
          </cell>
          <cell r="F1142" t="str">
            <v>Incubators, Laboratory, Thermocycling</v>
          </cell>
          <cell r="G1142" t="str">
            <v>LA</v>
          </cell>
          <cell r="H1142" t="str">
            <v>PATHOLOGY</v>
          </cell>
          <cell r="I1142" t="str">
            <v>04LA126</v>
          </cell>
          <cell r="J1142" t="str">
            <v>MICROBIOLOGY UNIT</v>
          </cell>
          <cell r="K1142" t="str">
            <v>BMED</v>
          </cell>
          <cell r="L1142" t="str">
            <v>Normal</v>
          </cell>
          <cell r="M1142" t="str">
            <v>Germany</v>
          </cell>
          <cell r="N1142" t="str">
            <v>Binder</v>
          </cell>
          <cell r="O1142" t="str">
            <v>Binder BD 115</v>
          </cell>
          <cell r="P1142" t="str">
            <v>1308710</v>
          </cell>
          <cell r="Q1142" t="str">
            <v>Not Applicable</v>
          </cell>
          <cell r="R1142" t="str">
            <v>Binder GmbH &amp; Co</v>
          </cell>
          <cell r="S1142" t="str">
            <v>Bumi Sains Sdn. Bhd.</v>
          </cell>
          <cell r="T1142" t="str">
            <v>Functioning</v>
          </cell>
          <cell r="U1142" t="str">
            <v>Asset</v>
          </cell>
          <cell r="V1142">
            <v>16240</v>
          </cell>
          <cell r="W1142" t="str">
            <v>KEW</v>
          </cell>
          <cell r="X1142" t="str">
            <v>01/09/2010</v>
          </cell>
          <cell r="Y1142" t="str">
            <v>KEW</v>
          </cell>
          <cell r="Z1142" t="str">
            <v>16/08/2013</v>
          </cell>
          <cell r="AA1142" t="str">
            <v>15/08/2015</v>
          </cell>
          <cell r="AB1142" t="str">
            <v>No</v>
          </cell>
          <cell r="AC1142" t="str">
            <v>31/08/2013</v>
          </cell>
          <cell r="AD1142" t="str">
            <v>Good</v>
          </cell>
          <cell r="AE1142" t="str">
            <v>V1 - Existing / No Claim</v>
          </cell>
          <cell r="AF1142">
            <v>42235</v>
          </cell>
          <cell r="AG1142">
            <v>9.17</v>
          </cell>
          <cell r="AH1142" t="str">
            <v>PPM</v>
          </cell>
          <cell r="AI1142" t="str">
            <v>Strands</v>
          </cell>
          <cell r="AJ1142" t="str">
            <v>Strands PW</v>
          </cell>
        </row>
        <row r="1143">
          <cell r="A1143" t="str">
            <v>IKN400739</v>
          </cell>
          <cell r="B1143">
            <v>739</v>
          </cell>
          <cell r="C1143" t="str">
            <v>Institut Kanser Negara</v>
          </cell>
          <cell r="D1143" t="str">
            <v>KKM/IKN/H/13/1856</v>
          </cell>
          <cell r="E1143" t="str">
            <v>10-780</v>
          </cell>
          <cell r="F1143" t="str">
            <v>Centrifuges, Tabletop</v>
          </cell>
          <cell r="G1143" t="str">
            <v>LA</v>
          </cell>
          <cell r="H1143" t="str">
            <v>PATHOLOGY</v>
          </cell>
          <cell r="I1143" t="str">
            <v>04LA127</v>
          </cell>
          <cell r="J1143" t="str">
            <v>INNOCULATION/STAINING</v>
          </cell>
          <cell r="K1143" t="str">
            <v>BMED</v>
          </cell>
          <cell r="L1143" t="str">
            <v>Normal</v>
          </cell>
          <cell r="M1143" t="str">
            <v>Germany</v>
          </cell>
          <cell r="N1143" t="str">
            <v>Rotofix</v>
          </cell>
          <cell r="O1143" t="str">
            <v>Rotofix 32A</v>
          </cell>
          <cell r="P1143" t="str">
            <v>18604</v>
          </cell>
          <cell r="Q1143" t="str">
            <v>Not Applicable</v>
          </cell>
          <cell r="R1143" t="str">
            <v>Hettich-Zentrifugen GmbH</v>
          </cell>
          <cell r="S1143" t="str">
            <v>Biomarketing Services (M) Sdn Bhd</v>
          </cell>
          <cell r="T1143" t="str">
            <v>Functioning</v>
          </cell>
          <cell r="U1143" t="str">
            <v>Asset</v>
          </cell>
          <cell r="V1143">
            <v>24060</v>
          </cell>
          <cell r="W1143" t="str">
            <v>KEW</v>
          </cell>
          <cell r="X1143" t="str">
            <v>01/09/2010</v>
          </cell>
          <cell r="Y1143" t="str">
            <v>KEW</v>
          </cell>
          <cell r="Z1143" t="str">
            <v>16/08/2013</v>
          </cell>
          <cell r="AA1143" t="str">
            <v>15/08/2015</v>
          </cell>
          <cell r="AB1143" t="str">
            <v>No</v>
          </cell>
          <cell r="AC1143" t="str">
            <v>31/08/2013</v>
          </cell>
          <cell r="AD1143" t="str">
            <v>Good</v>
          </cell>
          <cell r="AE1143" t="str">
            <v>V1 - Existing / No Claim</v>
          </cell>
          <cell r="AF1143">
            <v>42790</v>
          </cell>
          <cell r="AG1143">
            <v>9.17</v>
          </cell>
          <cell r="AH1143" t="str">
            <v>PPM</v>
          </cell>
          <cell r="AI1143" t="str">
            <v>Strands</v>
          </cell>
          <cell r="AJ1143" t="str">
            <v>Strands PW</v>
          </cell>
        </row>
        <row r="1144">
          <cell r="A1144" t="str">
            <v>IKN400741</v>
          </cell>
          <cell r="B1144">
            <v>741</v>
          </cell>
          <cell r="C1144" t="str">
            <v>Institut Kanser Negara</v>
          </cell>
          <cell r="D1144" t="str">
            <v>KKM/IKN/H/13/2125</v>
          </cell>
          <cell r="E1144" t="str">
            <v>15-973</v>
          </cell>
          <cell r="F1144" t="str">
            <v>Analyzers, Laboratory, Microbiology, Blood Culture, Automate</v>
          </cell>
          <cell r="G1144" t="str">
            <v>LA</v>
          </cell>
          <cell r="H1144" t="str">
            <v>PATHOLOGY</v>
          </cell>
          <cell r="I1144" t="str">
            <v>04LA126</v>
          </cell>
          <cell r="J1144" t="str">
            <v>MICROBIOLOGY UNIT</v>
          </cell>
          <cell r="K1144" t="str">
            <v>BMED</v>
          </cell>
          <cell r="L1144" t="str">
            <v>Normal</v>
          </cell>
          <cell r="M1144" t="str">
            <v>USA</v>
          </cell>
          <cell r="N1144" t="str">
            <v>Bactec</v>
          </cell>
          <cell r="O1144" t="str">
            <v>Bactec FX</v>
          </cell>
          <cell r="P1144" t="str">
            <v>FT2159</v>
          </cell>
          <cell r="Q1144" t="str">
            <v>Not Applicable</v>
          </cell>
          <cell r="R1144" t="str">
            <v>Becton Dickinson &amp; Co</v>
          </cell>
          <cell r="S1144" t="str">
            <v>Biomarketing Services (M) Sdn Bhd</v>
          </cell>
          <cell r="T1144" t="str">
            <v>Functioning</v>
          </cell>
          <cell r="U1144" t="str">
            <v>Asset</v>
          </cell>
          <cell r="V1144">
            <v>342820</v>
          </cell>
          <cell r="W1144" t="str">
            <v>KEW</v>
          </cell>
          <cell r="X1144" t="str">
            <v>01/09/2010</v>
          </cell>
          <cell r="Y1144" t="str">
            <v>KEW</v>
          </cell>
          <cell r="Z1144" t="str">
            <v>16/08/2013</v>
          </cell>
          <cell r="AA1144" t="str">
            <v>15/08/2015</v>
          </cell>
          <cell r="AB1144" t="str">
            <v>No</v>
          </cell>
          <cell r="AC1144" t="str">
            <v>31/08/2013</v>
          </cell>
          <cell r="AD1144" t="str">
            <v>Good</v>
          </cell>
          <cell r="AE1144" t="str">
            <v>V1 - Existing / No Claim</v>
          </cell>
          <cell r="AF1144">
            <v>42790</v>
          </cell>
          <cell r="AG1144">
            <v>9.17</v>
          </cell>
          <cell r="AH1144" t="str">
            <v>PPM</v>
          </cell>
          <cell r="AI1144" t="str">
            <v>Strands</v>
          </cell>
          <cell r="AJ1144" t="str">
            <v>Strands Package</v>
          </cell>
          <cell r="AK1144" t="str">
            <v>Package Code LR0015</v>
          </cell>
        </row>
        <row r="1145">
          <cell r="A1145" t="str">
            <v>IKN400742</v>
          </cell>
          <cell r="B1145">
            <v>742</v>
          </cell>
          <cell r="C1145" t="str">
            <v>Institut Kanser Negara</v>
          </cell>
          <cell r="D1145" t="str">
            <v>KKM/IKN/H/13/1880</v>
          </cell>
          <cell r="E1145" t="str">
            <v>14-410</v>
          </cell>
          <cell r="F1145" t="str">
            <v>Ovens, Drying</v>
          </cell>
          <cell r="G1145" t="str">
            <v>LA</v>
          </cell>
          <cell r="H1145" t="str">
            <v>PATHOLOGY</v>
          </cell>
          <cell r="I1145" t="str">
            <v>04LA132</v>
          </cell>
          <cell r="J1145" t="str">
            <v>HAEMATOLOGY LAB 2</v>
          </cell>
          <cell r="K1145" t="str">
            <v>BMED</v>
          </cell>
          <cell r="L1145" t="str">
            <v>Normal</v>
          </cell>
          <cell r="M1145" t="str">
            <v>Germany</v>
          </cell>
          <cell r="N1145" t="str">
            <v>Heratherm</v>
          </cell>
          <cell r="O1145" t="str">
            <v>Heratherm OGS 100</v>
          </cell>
          <cell r="P1145" t="str">
            <v>41419440</v>
          </cell>
          <cell r="Q1145" t="str">
            <v>Not Applicable</v>
          </cell>
          <cell r="R1145" t="str">
            <v>Thermo Scientific Inc</v>
          </cell>
          <cell r="S1145" t="str">
            <v>Bumi Sains Sdn. Bhd.</v>
          </cell>
          <cell r="T1145" t="str">
            <v>Functioning</v>
          </cell>
          <cell r="U1145" t="str">
            <v>Asset</v>
          </cell>
          <cell r="V1145">
            <v>6620</v>
          </cell>
          <cell r="W1145" t="str">
            <v>KEW</v>
          </cell>
          <cell r="X1145" t="str">
            <v>01/09/2010</v>
          </cell>
          <cell r="Y1145" t="str">
            <v>KEW</v>
          </cell>
          <cell r="Z1145" t="str">
            <v>16/08/2013</v>
          </cell>
          <cell r="AA1145" t="str">
            <v>15/08/2015</v>
          </cell>
          <cell r="AB1145" t="str">
            <v>No</v>
          </cell>
          <cell r="AC1145" t="str">
            <v>31/08/2013</v>
          </cell>
          <cell r="AD1145" t="str">
            <v>Good</v>
          </cell>
          <cell r="AE1145" t="str">
            <v>V1 - Existing / No Claim</v>
          </cell>
          <cell r="AF1145">
            <v>42235</v>
          </cell>
          <cell r="AG1145">
            <v>9.17</v>
          </cell>
          <cell r="AH1145" t="str">
            <v>PPM</v>
          </cell>
          <cell r="AI1145" t="str">
            <v>Strands</v>
          </cell>
          <cell r="AJ1145" t="str">
            <v>Strands PW</v>
          </cell>
        </row>
        <row r="1146">
          <cell r="A1146" t="str">
            <v>IKN400743</v>
          </cell>
          <cell r="B1146">
            <v>743</v>
          </cell>
          <cell r="C1146" t="str">
            <v>Institut Kanser Negara</v>
          </cell>
          <cell r="D1146" t="str">
            <v>KKM/IKN/H/13/1882</v>
          </cell>
          <cell r="E1146" t="str">
            <v>16-855</v>
          </cell>
          <cell r="F1146" t="str">
            <v>Carbon Dioxide Monitors, Laboratory Incubator</v>
          </cell>
          <cell r="G1146" t="str">
            <v>LA</v>
          </cell>
          <cell r="H1146" t="str">
            <v>PATHOLOGY</v>
          </cell>
          <cell r="I1146" t="str">
            <v>04LA126</v>
          </cell>
          <cell r="J1146" t="str">
            <v>MICROBIOLOGY UNIT</v>
          </cell>
          <cell r="K1146" t="str">
            <v>BMED</v>
          </cell>
          <cell r="L1146" t="str">
            <v>Normal</v>
          </cell>
          <cell r="M1146" t="str">
            <v>Germany</v>
          </cell>
          <cell r="N1146" t="str">
            <v>Heracell</v>
          </cell>
          <cell r="O1146" t="str">
            <v>Heracell 150i</v>
          </cell>
          <cell r="P1146" t="str">
            <v>41423244</v>
          </cell>
          <cell r="Q1146" t="str">
            <v>Not Applicable</v>
          </cell>
          <cell r="R1146" t="str">
            <v>Thermo electron LED GmbH</v>
          </cell>
          <cell r="S1146" t="str">
            <v>Bumi Sains Sdn. Bhd.</v>
          </cell>
          <cell r="T1146" t="str">
            <v>Functioning</v>
          </cell>
          <cell r="U1146" t="str">
            <v>Asset</v>
          </cell>
          <cell r="V1146">
            <v>56180</v>
          </cell>
          <cell r="W1146" t="str">
            <v>KEW</v>
          </cell>
          <cell r="X1146" t="str">
            <v>01/09/2010</v>
          </cell>
          <cell r="Y1146" t="str">
            <v>KEW</v>
          </cell>
          <cell r="Z1146" t="str">
            <v>16/08/2013</v>
          </cell>
          <cell r="AA1146" t="str">
            <v>15/08/2015</v>
          </cell>
          <cell r="AB1146" t="str">
            <v>No</v>
          </cell>
          <cell r="AC1146" t="str">
            <v>31/08/2013</v>
          </cell>
          <cell r="AD1146" t="str">
            <v>Good</v>
          </cell>
          <cell r="AE1146" t="str">
            <v>V1 - Existing / No Claim</v>
          </cell>
          <cell r="AF1146">
            <v>42790</v>
          </cell>
          <cell r="AG1146">
            <v>9.17</v>
          </cell>
          <cell r="AH1146" t="str">
            <v>PPM</v>
          </cell>
          <cell r="AI1146" t="str">
            <v>Strands</v>
          </cell>
          <cell r="AJ1146" t="str">
            <v>Strands PW</v>
          </cell>
        </row>
        <row r="1147">
          <cell r="A1147" t="str">
            <v>IKN400744</v>
          </cell>
          <cell r="B1147">
            <v>744</v>
          </cell>
          <cell r="C1147" t="str">
            <v>Institut Kanser Negara</v>
          </cell>
          <cell r="D1147" t="str">
            <v>KKM/IKN/H/13/1883</v>
          </cell>
          <cell r="E1147" t="str">
            <v>15-156</v>
          </cell>
          <cell r="F1147" t="str">
            <v>Microscopes, Light, Laboratory</v>
          </cell>
          <cell r="G1147" t="str">
            <v>LA</v>
          </cell>
          <cell r="H1147" t="str">
            <v>PATHOLOGY</v>
          </cell>
          <cell r="I1147" t="str">
            <v>04LA126</v>
          </cell>
          <cell r="J1147" t="str">
            <v>MICROBIOLOGY UNIT</v>
          </cell>
          <cell r="K1147" t="str">
            <v>BMED</v>
          </cell>
          <cell r="L1147" t="str">
            <v>Normal</v>
          </cell>
          <cell r="M1147" t="str">
            <v>Japan</v>
          </cell>
          <cell r="N1147" t="str">
            <v>Olympus</v>
          </cell>
          <cell r="O1147" t="str">
            <v>Olympus CX31</v>
          </cell>
          <cell r="P1147" t="str">
            <v>2H08971</v>
          </cell>
          <cell r="Q1147" t="str">
            <v>Not Applicable</v>
          </cell>
          <cell r="R1147" t="str">
            <v>Olympus Corp Ltd</v>
          </cell>
          <cell r="S1147" t="str">
            <v>Matrix Optics (M) Sdn Bhd</v>
          </cell>
          <cell r="T1147" t="str">
            <v>Functioning</v>
          </cell>
          <cell r="U1147" t="str">
            <v>Asset</v>
          </cell>
          <cell r="V1147">
            <v>14740</v>
          </cell>
          <cell r="W1147" t="str">
            <v>KEW</v>
          </cell>
          <cell r="X1147" t="str">
            <v>01/09/2010</v>
          </cell>
          <cell r="Y1147" t="str">
            <v>KEW</v>
          </cell>
          <cell r="Z1147" t="str">
            <v>16/08/2013</v>
          </cell>
          <cell r="AA1147" t="str">
            <v>15/08/2015</v>
          </cell>
          <cell r="AB1147" t="str">
            <v>No</v>
          </cell>
          <cell r="AC1147" t="str">
            <v>31/08/2013</v>
          </cell>
          <cell r="AD1147" t="str">
            <v>Good</v>
          </cell>
          <cell r="AE1147" t="str">
            <v>V1 - Existing / No Claim</v>
          </cell>
          <cell r="AF1147">
            <v>42235</v>
          </cell>
          <cell r="AG1147">
            <v>9.17</v>
          </cell>
          <cell r="AH1147" t="str">
            <v>PPM</v>
          </cell>
          <cell r="AI1147" t="str">
            <v>Strands</v>
          </cell>
          <cell r="AJ1147" t="str">
            <v>Strands PW</v>
          </cell>
        </row>
        <row r="1148">
          <cell r="A1148" t="str">
            <v>IKN400745</v>
          </cell>
          <cell r="B1148">
            <v>745</v>
          </cell>
          <cell r="C1148" t="str">
            <v>Institut Kanser Negara</v>
          </cell>
          <cell r="D1148" t="str">
            <v>KKM/IKN/H/13/2148</v>
          </cell>
          <cell r="E1148" t="str">
            <v>15-161</v>
          </cell>
          <cell r="F1148" t="str">
            <v>Mixers, Clinical Laboratory</v>
          </cell>
          <cell r="G1148" t="str">
            <v>LA</v>
          </cell>
          <cell r="H1148" t="str">
            <v>PATHOLOGY</v>
          </cell>
          <cell r="I1148" t="str">
            <v>04LA132</v>
          </cell>
          <cell r="J1148" t="str">
            <v>HAEMATOLOGY LAB 2</v>
          </cell>
          <cell r="K1148" t="str">
            <v>BMED</v>
          </cell>
          <cell r="L1148" t="str">
            <v>Normal</v>
          </cell>
          <cell r="M1148" t="str">
            <v>UK</v>
          </cell>
          <cell r="N1148" t="str">
            <v>Stuart</v>
          </cell>
          <cell r="O1148" t="str">
            <v>Stuart SRT 6D</v>
          </cell>
          <cell r="P1148" t="str">
            <v>RO00101627</v>
          </cell>
          <cell r="Q1148" t="str">
            <v>Not Applicable</v>
          </cell>
          <cell r="R1148" t="str">
            <v>Stuart Scientific Co Ltd</v>
          </cell>
          <cell r="S1148" t="str">
            <v>Bumi Sains Sdn. Bhd.</v>
          </cell>
          <cell r="T1148" t="str">
            <v>Functioning</v>
          </cell>
          <cell r="U1148" t="str">
            <v>Asset</v>
          </cell>
          <cell r="V1148">
            <v>4570</v>
          </cell>
          <cell r="W1148" t="str">
            <v>KEW</v>
          </cell>
          <cell r="X1148" t="str">
            <v>01/09/2010</v>
          </cell>
          <cell r="Y1148" t="str">
            <v>KEW</v>
          </cell>
          <cell r="Z1148" t="str">
            <v>16/08/2013</v>
          </cell>
          <cell r="AA1148" t="str">
            <v>15/08/2015</v>
          </cell>
          <cell r="AB1148" t="str">
            <v>No</v>
          </cell>
          <cell r="AC1148" t="str">
            <v>31/08/2013</v>
          </cell>
          <cell r="AD1148" t="str">
            <v>Good</v>
          </cell>
          <cell r="AE1148" t="str">
            <v>V1 - Existing / No Claim</v>
          </cell>
          <cell r="AF1148">
            <v>42790</v>
          </cell>
          <cell r="AG1148">
            <v>9.17</v>
          </cell>
          <cell r="AH1148" t="str">
            <v>PPM</v>
          </cell>
          <cell r="AI1148" t="str">
            <v>Strands</v>
          </cell>
          <cell r="AJ1148" t="str">
            <v>Strands PW</v>
          </cell>
        </row>
        <row r="1149">
          <cell r="A1149" t="str">
            <v>IKN400746</v>
          </cell>
          <cell r="B1149">
            <v>746</v>
          </cell>
          <cell r="C1149" t="str">
            <v>Institut Kanser Negara</v>
          </cell>
          <cell r="D1149" t="str">
            <v>KKM/IKN/H/13/4677</v>
          </cell>
          <cell r="E1149" t="str">
            <v>17-741</v>
          </cell>
          <cell r="F1149" t="str">
            <v>Analyzers, Laboratory, Hematology, Cell Counting, Automated</v>
          </cell>
          <cell r="G1149" t="str">
            <v>LA</v>
          </cell>
          <cell r="H1149" t="str">
            <v>PATHOLOGY</v>
          </cell>
          <cell r="I1149" t="str">
            <v>04LA131</v>
          </cell>
          <cell r="J1149" t="str">
            <v>HAEMATOLOGY LAB 1</v>
          </cell>
          <cell r="K1149" t="str">
            <v>BMED</v>
          </cell>
          <cell r="L1149" t="str">
            <v>Normal</v>
          </cell>
          <cell r="M1149" t="str">
            <v>USA</v>
          </cell>
          <cell r="N1149" t="str">
            <v>Beckman</v>
          </cell>
          <cell r="O1149" t="str">
            <v>Beckman DXH800</v>
          </cell>
          <cell r="P1149" t="str">
            <v>AT23285</v>
          </cell>
          <cell r="Q1149" t="str">
            <v>Not Applicable</v>
          </cell>
          <cell r="R1149" t="str">
            <v>Beckman Coulter Inc</v>
          </cell>
          <cell r="S1149" t="str">
            <v>Straits Scientific (M) Sdn Bhd</v>
          </cell>
          <cell r="T1149" t="str">
            <v>Functioning</v>
          </cell>
          <cell r="U1149" t="str">
            <v>Asset</v>
          </cell>
          <cell r="V1149">
            <v>416200</v>
          </cell>
          <cell r="W1149" t="str">
            <v>KEW</v>
          </cell>
          <cell r="X1149" t="str">
            <v>01/09/2010</v>
          </cell>
          <cell r="Y1149" t="str">
            <v>KEW</v>
          </cell>
          <cell r="Z1149" t="str">
            <v>16/08/2013</v>
          </cell>
          <cell r="AA1149" t="str">
            <v>15/08/2015</v>
          </cell>
          <cell r="AB1149" t="str">
            <v>No</v>
          </cell>
          <cell r="AC1149" t="str">
            <v>31/08/2013</v>
          </cell>
          <cell r="AD1149" t="str">
            <v>Good</v>
          </cell>
          <cell r="AE1149" t="str">
            <v>V1 - Existing / No Claim</v>
          </cell>
          <cell r="AF1149">
            <v>42235</v>
          </cell>
          <cell r="AG1149">
            <v>9.17</v>
          </cell>
          <cell r="AH1149" t="str">
            <v>PPM</v>
          </cell>
          <cell r="AI1149" t="str">
            <v>Strands</v>
          </cell>
          <cell r="AJ1149" t="str">
            <v>Strands Package</v>
          </cell>
          <cell r="AK1149" t="str">
            <v>Package Code LH0007</v>
          </cell>
        </row>
        <row r="1150">
          <cell r="A1150" t="str">
            <v>IKN400747</v>
          </cell>
          <cell r="B1150">
            <v>747</v>
          </cell>
          <cell r="C1150" t="str">
            <v>Institut Kanser Negara</v>
          </cell>
          <cell r="D1150" t="str">
            <v>KKM/IKN/H/13/4684</v>
          </cell>
          <cell r="E1150" t="str">
            <v>15-161</v>
          </cell>
          <cell r="F1150" t="str">
            <v>Mixers, Clinical Laboratory</v>
          </cell>
          <cell r="G1150" t="str">
            <v>LA</v>
          </cell>
          <cell r="H1150" t="str">
            <v>PATHOLOGY</v>
          </cell>
          <cell r="I1150" t="str">
            <v>04LA132</v>
          </cell>
          <cell r="J1150" t="str">
            <v>HAEMATOLOGY LAB 2</v>
          </cell>
          <cell r="K1150" t="str">
            <v>BMED</v>
          </cell>
          <cell r="L1150" t="str">
            <v>Normal</v>
          </cell>
          <cell r="M1150" t="str">
            <v>UK</v>
          </cell>
          <cell r="N1150" t="str">
            <v>Stuart</v>
          </cell>
          <cell r="O1150" t="str">
            <v>Stuart SRT 6D</v>
          </cell>
          <cell r="P1150" t="str">
            <v>R87000006</v>
          </cell>
          <cell r="Q1150" t="str">
            <v>Not Applicable</v>
          </cell>
          <cell r="R1150" t="str">
            <v>Stuart Scientific Co Ltd</v>
          </cell>
          <cell r="S1150" t="str">
            <v>Bumi Sains Sdn. Bhd.</v>
          </cell>
          <cell r="T1150" t="str">
            <v>Functioning</v>
          </cell>
          <cell r="U1150" t="str">
            <v>Asset</v>
          </cell>
          <cell r="V1150">
            <v>4570</v>
          </cell>
          <cell r="W1150" t="str">
            <v>KEW</v>
          </cell>
          <cell r="X1150" t="str">
            <v>01/09/2010</v>
          </cell>
          <cell r="Y1150" t="str">
            <v>KEW</v>
          </cell>
          <cell r="Z1150" t="str">
            <v>16/08/2013</v>
          </cell>
          <cell r="AA1150" t="str">
            <v>15/08/2015</v>
          </cell>
          <cell r="AB1150" t="str">
            <v>No</v>
          </cell>
          <cell r="AC1150" t="str">
            <v>31/08/2013</v>
          </cell>
          <cell r="AD1150" t="str">
            <v>Good</v>
          </cell>
          <cell r="AE1150" t="str">
            <v>V1 - Existing / No Claim</v>
          </cell>
          <cell r="AF1150">
            <v>42235</v>
          </cell>
          <cell r="AG1150">
            <v>9.17</v>
          </cell>
          <cell r="AH1150" t="str">
            <v>PPM</v>
          </cell>
          <cell r="AI1150" t="str">
            <v>Strands</v>
          </cell>
          <cell r="AJ1150" t="str">
            <v>Strands PW</v>
          </cell>
        </row>
        <row r="1151">
          <cell r="A1151" t="str">
            <v>IKN400748</v>
          </cell>
          <cell r="B1151">
            <v>748</v>
          </cell>
          <cell r="C1151" t="str">
            <v>Institut Kanser Negara</v>
          </cell>
          <cell r="D1151" t="str">
            <v>KKM/IKN/H/13/1866</v>
          </cell>
          <cell r="E1151" t="str">
            <v>10-263</v>
          </cell>
          <cell r="F1151" t="str">
            <v>Balances, Electronic</v>
          </cell>
          <cell r="G1151" t="str">
            <v>LA</v>
          </cell>
          <cell r="H1151" t="str">
            <v>PATHOLOGY</v>
          </cell>
          <cell r="I1151" t="str">
            <v>04LA134</v>
          </cell>
          <cell r="J1151" t="str">
            <v>CHEMICAL PATHOLOGY 2</v>
          </cell>
          <cell r="K1151" t="str">
            <v>BMED</v>
          </cell>
          <cell r="L1151" t="str">
            <v>Normal</v>
          </cell>
          <cell r="M1151" t="str">
            <v>Germany</v>
          </cell>
          <cell r="N1151" t="str">
            <v>Sartorius</v>
          </cell>
          <cell r="O1151" t="str">
            <v>Sartorius TE412</v>
          </cell>
          <cell r="P1151" t="str">
            <v>28103585</v>
          </cell>
          <cell r="Q1151" t="str">
            <v>Not Applicable</v>
          </cell>
          <cell r="R1151" t="str">
            <v>Sartorius AG</v>
          </cell>
          <cell r="S1151" t="str">
            <v>Chemopharm Sd. Bhd.</v>
          </cell>
          <cell r="T1151" t="str">
            <v>Functioning</v>
          </cell>
          <cell r="U1151" t="str">
            <v>Asset</v>
          </cell>
          <cell r="V1151">
            <v>5490</v>
          </cell>
          <cell r="W1151" t="str">
            <v>KEW</v>
          </cell>
          <cell r="X1151" t="str">
            <v>01/09/2010</v>
          </cell>
          <cell r="Y1151" t="str">
            <v>KEW</v>
          </cell>
          <cell r="Z1151" t="str">
            <v>16/08/2013</v>
          </cell>
          <cell r="AA1151" t="str">
            <v>15/08/2015</v>
          </cell>
          <cell r="AB1151" t="str">
            <v>No</v>
          </cell>
          <cell r="AC1151" t="str">
            <v>31/08/2013</v>
          </cell>
          <cell r="AD1151" t="str">
            <v>Good</v>
          </cell>
          <cell r="AE1151" t="str">
            <v>V1 - Existing / No Claim</v>
          </cell>
          <cell r="AF1151">
            <v>42235</v>
          </cell>
          <cell r="AG1151">
            <v>9.17</v>
          </cell>
          <cell r="AH1151" t="str">
            <v>PPM</v>
          </cell>
          <cell r="AI1151" t="str">
            <v>Strands</v>
          </cell>
          <cell r="AJ1151" t="str">
            <v>Strands PW</v>
          </cell>
        </row>
        <row r="1152">
          <cell r="A1152" t="str">
            <v>IKN400749</v>
          </cell>
          <cell r="B1152">
            <v>749</v>
          </cell>
          <cell r="C1152" t="str">
            <v>Institut Kanser Negara</v>
          </cell>
          <cell r="D1152" t="str">
            <v>KKM/IKN/H/13/3942 (NEW KKM/IKN/R/13/1121)</v>
          </cell>
          <cell r="E1152" t="str">
            <v>10-263</v>
          </cell>
          <cell r="F1152" t="str">
            <v>Balances, Electronic</v>
          </cell>
          <cell r="G1152" t="str">
            <v>LA</v>
          </cell>
          <cell r="H1152" t="str">
            <v>PATHOLOGY</v>
          </cell>
          <cell r="I1152" t="str">
            <v>04LA134</v>
          </cell>
          <cell r="J1152" t="str">
            <v>CHEMICAL PATHOLOGY 2</v>
          </cell>
          <cell r="K1152" t="str">
            <v>BMED</v>
          </cell>
          <cell r="L1152" t="str">
            <v>Normal</v>
          </cell>
          <cell r="M1152" t="str">
            <v>Germany</v>
          </cell>
          <cell r="N1152" t="str">
            <v>Sartorius</v>
          </cell>
          <cell r="O1152" t="str">
            <v>Sartorius TE612</v>
          </cell>
          <cell r="P1152" t="str">
            <v>28103586</v>
          </cell>
          <cell r="Q1152" t="str">
            <v>Not Applicable</v>
          </cell>
          <cell r="R1152" t="str">
            <v>Sartorius AG</v>
          </cell>
          <cell r="S1152" t="str">
            <v>Chemopharm Sd. Bhd.</v>
          </cell>
          <cell r="T1152" t="str">
            <v>Functioning</v>
          </cell>
          <cell r="U1152" t="str">
            <v>Asset</v>
          </cell>
          <cell r="V1152">
            <v>1560</v>
          </cell>
          <cell r="W1152" t="str">
            <v>KEW</v>
          </cell>
          <cell r="X1152" t="str">
            <v>01/09/2010</v>
          </cell>
          <cell r="Y1152" t="str">
            <v>KEW</v>
          </cell>
          <cell r="Z1152" t="str">
            <v>16/08/2013</v>
          </cell>
          <cell r="AA1152" t="str">
            <v>15/08/2015</v>
          </cell>
          <cell r="AB1152" t="str">
            <v>No</v>
          </cell>
          <cell r="AC1152" t="str">
            <v>31/08/2013</v>
          </cell>
          <cell r="AD1152" t="str">
            <v>Good</v>
          </cell>
          <cell r="AE1152" t="str">
            <v>V1 - Existing / No Claim</v>
          </cell>
          <cell r="AF1152">
            <v>42235</v>
          </cell>
          <cell r="AG1152">
            <v>9.17</v>
          </cell>
          <cell r="AH1152" t="str">
            <v>PPM</v>
          </cell>
          <cell r="AI1152" t="str">
            <v>Strands</v>
          </cell>
          <cell r="AJ1152" t="str">
            <v>Strands PW</v>
          </cell>
          <cell r="AK1152" t="str">
            <v>kkm no dah tukar pada10/9/2024</v>
          </cell>
        </row>
        <row r="1153">
          <cell r="A1153" t="str">
            <v>IKN400750</v>
          </cell>
          <cell r="B1153">
            <v>750</v>
          </cell>
          <cell r="C1153" t="str">
            <v>Institut Kanser Negara</v>
          </cell>
          <cell r="D1153" t="str">
            <v>KKM/IKN/H/13/3943 (NEW KKM/IKN/R/13/1122)</v>
          </cell>
          <cell r="E1153" t="str">
            <v>10-263</v>
          </cell>
          <cell r="F1153" t="str">
            <v>Balances, Electronic</v>
          </cell>
          <cell r="G1153" t="str">
            <v>LA</v>
          </cell>
          <cell r="H1153" t="str">
            <v>PATHOLOGY</v>
          </cell>
          <cell r="I1153" t="str">
            <v>04LA133</v>
          </cell>
          <cell r="J1153" t="str">
            <v>CHEMICAL PATHOLOGY 1</v>
          </cell>
          <cell r="K1153" t="str">
            <v>BMED</v>
          </cell>
          <cell r="L1153" t="str">
            <v>Normal</v>
          </cell>
          <cell r="M1153" t="str">
            <v>Germany</v>
          </cell>
          <cell r="N1153" t="str">
            <v>Sartorius</v>
          </cell>
          <cell r="O1153" t="str">
            <v>Sartorius TE612</v>
          </cell>
          <cell r="P1153" t="str">
            <v>28103587</v>
          </cell>
          <cell r="Q1153" t="str">
            <v>Not Applicable</v>
          </cell>
          <cell r="R1153" t="str">
            <v>Sartorius AG</v>
          </cell>
          <cell r="S1153" t="str">
            <v>Chemopharm Sd. Bhd.</v>
          </cell>
          <cell r="T1153" t="str">
            <v>Functioning</v>
          </cell>
          <cell r="U1153" t="str">
            <v>Asset</v>
          </cell>
          <cell r="V1153">
            <v>1560</v>
          </cell>
          <cell r="W1153" t="str">
            <v>KEW</v>
          </cell>
          <cell r="X1153" t="str">
            <v>01/09/2010</v>
          </cell>
          <cell r="Y1153" t="str">
            <v>KEW</v>
          </cell>
          <cell r="Z1153" t="str">
            <v>16/08/2013</v>
          </cell>
          <cell r="AA1153" t="str">
            <v>15/08/2015</v>
          </cell>
          <cell r="AB1153" t="str">
            <v>No</v>
          </cell>
          <cell r="AC1153" t="str">
            <v>31/08/2013</v>
          </cell>
          <cell r="AD1153" t="str">
            <v>Good</v>
          </cell>
          <cell r="AE1153" t="str">
            <v>V1 - Existing / No Claim</v>
          </cell>
          <cell r="AF1153">
            <v>42235</v>
          </cell>
          <cell r="AG1153">
            <v>9.17</v>
          </cell>
          <cell r="AH1153" t="str">
            <v>PPM</v>
          </cell>
          <cell r="AI1153" t="str">
            <v>Strands</v>
          </cell>
          <cell r="AJ1153" t="str">
            <v>Strands PW</v>
          </cell>
          <cell r="AK1153" t="str">
            <v>CUBA CHECK IKN400749 PUNYA KEWPA 
KKM/IKN/H/13/3943 (NEW KKM/IKN/R/13/1122)</v>
          </cell>
        </row>
        <row r="1154">
          <cell r="A1154" t="str">
            <v>IKN400753</v>
          </cell>
          <cell r="B1154">
            <v>753</v>
          </cell>
          <cell r="C1154" t="str">
            <v>Institut Kanser Negara</v>
          </cell>
          <cell r="D1154" t="str">
            <v>KKM/IKN/I/13/2912</v>
          </cell>
          <cell r="E1154" t="str">
            <v>15-161</v>
          </cell>
          <cell r="F1154" t="str">
            <v>Mixers, Clinical Laboratory</v>
          </cell>
          <cell r="G1154" t="str">
            <v>LA</v>
          </cell>
          <cell r="H1154" t="str">
            <v>PATHOLOGY</v>
          </cell>
          <cell r="I1154" t="str">
            <v>04LA126</v>
          </cell>
          <cell r="J1154" t="str">
            <v>MICROBIOLOGY UNIT</v>
          </cell>
          <cell r="K1154" t="str">
            <v>BMED</v>
          </cell>
          <cell r="L1154" t="str">
            <v>Normal</v>
          </cell>
          <cell r="M1154" t="str">
            <v>UK</v>
          </cell>
          <cell r="N1154" t="str">
            <v>Stuart</v>
          </cell>
          <cell r="O1154" t="str">
            <v>Stuart SA8</v>
          </cell>
          <cell r="P1154" t="str">
            <v>R800004645</v>
          </cell>
          <cell r="Q1154" t="str">
            <v>Not Applicable</v>
          </cell>
          <cell r="R1154" t="str">
            <v>Stuart Scientific Co Ltd</v>
          </cell>
          <cell r="S1154" t="str">
            <v>Bumi Sains Sdn. Bhd.</v>
          </cell>
          <cell r="T1154" t="str">
            <v>Functioning</v>
          </cell>
          <cell r="U1154" t="str">
            <v>Asset</v>
          </cell>
          <cell r="V1154">
            <v>1200</v>
          </cell>
          <cell r="W1154" t="str">
            <v>KEW</v>
          </cell>
          <cell r="X1154" t="str">
            <v>01/09/2010</v>
          </cell>
          <cell r="Y1154" t="str">
            <v>KEW</v>
          </cell>
          <cell r="Z1154" t="str">
            <v>16/08/2013</v>
          </cell>
          <cell r="AA1154" t="str">
            <v>15/08/2015</v>
          </cell>
          <cell r="AB1154" t="str">
            <v>No</v>
          </cell>
          <cell r="AC1154" t="str">
            <v>31/08/2013</v>
          </cell>
          <cell r="AD1154" t="str">
            <v>Good</v>
          </cell>
          <cell r="AE1154" t="str">
            <v>V1 - Existing / No Claim</v>
          </cell>
          <cell r="AF1154">
            <v>42235</v>
          </cell>
          <cell r="AG1154">
            <v>9.17</v>
          </cell>
          <cell r="AH1154" t="str">
            <v>PPM</v>
          </cell>
          <cell r="AI1154" t="str">
            <v>Strands</v>
          </cell>
          <cell r="AJ1154" t="str">
            <v>Strands PW</v>
          </cell>
        </row>
        <row r="1155">
          <cell r="A1155" t="str">
            <v>IKN400754</v>
          </cell>
          <cell r="B1155">
            <v>754</v>
          </cell>
          <cell r="C1155" t="str">
            <v>Institut Kanser Negara</v>
          </cell>
          <cell r="D1155" t="str">
            <v>KKM/IKN/H/13/1869</v>
          </cell>
          <cell r="E1155" t="str">
            <v>18-449</v>
          </cell>
          <cell r="F1155" t="str">
            <v>Balances, Electronic, Analytical</v>
          </cell>
          <cell r="G1155" t="str">
            <v>LA</v>
          </cell>
          <cell r="H1155" t="str">
            <v>PATHOLOGY</v>
          </cell>
          <cell r="I1155" t="str">
            <v>04LA133</v>
          </cell>
          <cell r="J1155" t="str">
            <v>CHEMICAL PATHOLOGY 1</v>
          </cell>
          <cell r="K1155" t="str">
            <v>BMED</v>
          </cell>
          <cell r="L1155" t="str">
            <v>Normal</v>
          </cell>
          <cell r="M1155" t="str">
            <v>Germany</v>
          </cell>
          <cell r="N1155" t="str">
            <v>Sartorius</v>
          </cell>
          <cell r="O1155" t="str">
            <v>Sartorius AZ1502</v>
          </cell>
          <cell r="P1155" t="str">
            <v>28891663</v>
          </cell>
          <cell r="Q1155" t="str">
            <v>Not Applicable</v>
          </cell>
          <cell r="R1155" t="str">
            <v>Sartorius AG</v>
          </cell>
          <cell r="S1155" t="str">
            <v>Chemopharm Sd. Bhd.</v>
          </cell>
          <cell r="T1155" t="str">
            <v>Functioning</v>
          </cell>
          <cell r="U1155" t="str">
            <v>Asset</v>
          </cell>
          <cell r="V1155">
            <v>1560</v>
          </cell>
          <cell r="W1155" t="str">
            <v>KEW</v>
          </cell>
          <cell r="X1155" t="str">
            <v>01/09/2010</v>
          </cell>
          <cell r="Y1155" t="str">
            <v>KEW</v>
          </cell>
          <cell r="Z1155" t="str">
            <v>16/08/2013</v>
          </cell>
          <cell r="AA1155" t="str">
            <v>15/08/2015</v>
          </cell>
          <cell r="AB1155" t="str">
            <v>No</v>
          </cell>
          <cell r="AC1155" t="str">
            <v>31/08/2013</v>
          </cell>
          <cell r="AD1155" t="str">
            <v>Good</v>
          </cell>
          <cell r="AE1155" t="str">
            <v>V1 - Existing / No Claim</v>
          </cell>
          <cell r="AF1155">
            <v>42235</v>
          </cell>
          <cell r="AG1155">
            <v>9.17</v>
          </cell>
          <cell r="AH1155" t="str">
            <v>PPM</v>
          </cell>
          <cell r="AI1155" t="str">
            <v>Strands</v>
          </cell>
          <cell r="AJ1155" t="str">
            <v>Strands PW</v>
          </cell>
          <cell r="AK1155" t="str">
            <v>5/5/23: UPDATE MODEL (INDIRA). [2/4/2024]: TUKAR ASSET DESCRIPTION (Balances, Electronic, Analytical) DAN TASK CODE.</v>
          </cell>
        </row>
        <row r="1156">
          <cell r="A1156" t="str">
            <v>IKN400755</v>
          </cell>
          <cell r="B1156">
            <v>755</v>
          </cell>
          <cell r="C1156" t="str">
            <v>Institut Kanser Negara</v>
          </cell>
          <cell r="D1156" t="str">
            <v>KKM/IKN/H/13/4672</v>
          </cell>
          <cell r="E1156" t="str">
            <v>15-098</v>
          </cell>
          <cell r="F1156" t="str">
            <v>Analyzers, Laboratory, Hematology, Coagulation, Automated</v>
          </cell>
          <cell r="G1156" t="str">
            <v>LA</v>
          </cell>
          <cell r="H1156" t="str">
            <v>PATHOLOGY</v>
          </cell>
          <cell r="I1156" t="str">
            <v>04LA132</v>
          </cell>
          <cell r="J1156" t="str">
            <v>HAEMATOLOGY LAB 2</v>
          </cell>
          <cell r="K1156" t="str">
            <v>BMED</v>
          </cell>
          <cell r="L1156" t="str">
            <v>Normal</v>
          </cell>
          <cell r="M1156" t="str">
            <v>Italy</v>
          </cell>
          <cell r="N1156" t="str">
            <v>ACL Elite</v>
          </cell>
          <cell r="O1156" t="str">
            <v>ACL Elite Pro</v>
          </cell>
          <cell r="P1156" t="str">
            <v>12072358</v>
          </cell>
          <cell r="Q1156" t="str">
            <v>Not Applicable</v>
          </cell>
          <cell r="R1156" t="str">
            <v>Insturmentation laboratory inc</v>
          </cell>
          <cell r="S1156" t="str">
            <v>Straits Scientific (M) Sdn Bhd</v>
          </cell>
          <cell r="T1156" t="str">
            <v>Functioning</v>
          </cell>
          <cell r="U1156" t="str">
            <v>Asset</v>
          </cell>
          <cell r="V1156">
            <v>105860</v>
          </cell>
          <cell r="W1156" t="str">
            <v>KEW</v>
          </cell>
          <cell r="X1156" t="str">
            <v>01/09/2010</v>
          </cell>
          <cell r="Y1156" t="str">
            <v>KEW</v>
          </cell>
          <cell r="Z1156" t="str">
            <v>16/08/2013</v>
          </cell>
          <cell r="AA1156" t="str">
            <v>15/08/2015</v>
          </cell>
          <cell r="AB1156" t="str">
            <v>No</v>
          </cell>
          <cell r="AC1156" t="str">
            <v>31/08/2013</v>
          </cell>
          <cell r="AD1156" t="str">
            <v>Good</v>
          </cell>
          <cell r="AE1156" t="str">
            <v>V1 - Existing / No Claim</v>
          </cell>
          <cell r="AF1156">
            <v>42790</v>
          </cell>
          <cell r="AG1156">
            <v>9.17</v>
          </cell>
          <cell r="AH1156" t="str">
            <v>PPM</v>
          </cell>
          <cell r="AI1156" t="str">
            <v>Strands</v>
          </cell>
          <cell r="AJ1156" t="str">
            <v>Strands Package</v>
          </cell>
          <cell r="AK1156" t="str">
            <v>Package Code LH0009-S</v>
          </cell>
        </row>
        <row r="1157">
          <cell r="A1157" t="str">
            <v>IKN400756</v>
          </cell>
          <cell r="B1157">
            <v>756</v>
          </cell>
          <cell r="C1157" t="str">
            <v>Institut Kanser Negara</v>
          </cell>
          <cell r="D1157" t="str">
            <v>KKM/IKN/H/13/4673</v>
          </cell>
          <cell r="E1157" t="str">
            <v>15-098</v>
          </cell>
          <cell r="F1157" t="str">
            <v>Analyzers, Laboratory, Hematology, Coagulation, Automated</v>
          </cell>
          <cell r="G1157" t="str">
            <v>LA</v>
          </cell>
          <cell r="H1157" t="str">
            <v>PATHOLOGY</v>
          </cell>
          <cell r="I1157" t="str">
            <v>04LA132</v>
          </cell>
          <cell r="J1157" t="str">
            <v>HAEMATOLOGY LAB 2</v>
          </cell>
          <cell r="K1157" t="str">
            <v>BMED</v>
          </cell>
          <cell r="L1157" t="str">
            <v>Normal</v>
          </cell>
          <cell r="M1157" t="str">
            <v>Italy</v>
          </cell>
          <cell r="N1157" t="str">
            <v>ACL TOP 300</v>
          </cell>
          <cell r="O1157" t="str">
            <v>ACL TOP 300</v>
          </cell>
          <cell r="P1157" t="str">
            <v>12090346</v>
          </cell>
          <cell r="Q1157" t="str">
            <v>Not Applicable</v>
          </cell>
          <cell r="R1157" t="str">
            <v>Insturmentation laboratory inc</v>
          </cell>
          <cell r="S1157" t="str">
            <v>Straits Scientific (M) Sdn Bhd</v>
          </cell>
          <cell r="T1157" t="str">
            <v>Functioning</v>
          </cell>
          <cell r="U1157" t="str">
            <v>Asset</v>
          </cell>
          <cell r="V1157">
            <v>105860</v>
          </cell>
          <cell r="W1157" t="str">
            <v>KEW</v>
          </cell>
          <cell r="X1157" t="str">
            <v>01/09/2010</v>
          </cell>
          <cell r="Y1157" t="str">
            <v>KEW</v>
          </cell>
          <cell r="Z1157" t="str">
            <v>16/08/2013</v>
          </cell>
          <cell r="AA1157" t="str">
            <v>15/08/2015</v>
          </cell>
          <cell r="AB1157" t="str">
            <v>No</v>
          </cell>
          <cell r="AC1157" t="str">
            <v>31/08/2013</v>
          </cell>
          <cell r="AD1157" t="str">
            <v>Good</v>
          </cell>
          <cell r="AE1157" t="str">
            <v>V1 - Existing / No Claim</v>
          </cell>
          <cell r="AF1157">
            <v>42790</v>
          </cell>
          <cell r="AG1157">
            <v>9.17</v>
          </cell>
          <cell r="AH1157" t="str">
            <v>PPM</v>
          </cell>
          <cell r="AI1157" t="str">
            <v>Strands</v>
          </cell>
          <cell r="AJ1157" t="str">
            <v>Strands Package</v>
          </cell>
          <cell r="AK1157" t="str">
            <v>Package Code LH0009-S</v>
          </cell>
        </row>
        <row r="1158">
          <cell r="A1158" t="str">
            <v>IKN400757</v>
          </cell>
          <cell r="B1158">
            <v>757</v>
          </cell>
          <cell r="C1158" t="str">
            <v>Institut Kanser Negara</v>
          </cell>
          <cell r="D1158" t="str">
            <v>KKM/IKN/H/13/1863</v>
          </cell>
          <cell r="E1158" t="str">
            <v>17-741</v>
          </cell>
          <cell r="F1158" t="str">
            <v>Analyzers, Laboratory, Hematology, Cell Counting, Automated</v>
          </cell>
          <cell r="G1158" t="str">
            <v>LA</v>
          </cell>
          <cell r="H1158" t="str">
            <v>PATHOLOGY</v>
          </cell>
          <cell r="I1158" t="str">
            <v>04LA131</v>
          </cell>
          <cell r="J1158" t="str">
            <v>HAEMATOLOGY LAB 1</v>
          </cell>
          <cell r="K1158" t="str">
            <v>BMED</v>
          </cell>
          <cell r="L1158" t="str">
            <v>Normal</v>
          </cell>
          <cell r="M1158" t="str">
            <v>Japan</v>
          </cell>
          <cell r="N1158" t="str">
            <v>Sysmex</v>
          </cell>
          <cell r="O1158" t="str">
            <v>Sysmex XN-3111</v>
          </cell>
          <cell r="P1158" t="str">
            <v>11465</v>
          </cell>
          <cell r="Q1158" t="str">
            <v>Not Applicable</v>
          </cell>
          <cell r="R1158" t="str">
            <v>Sysmex Corp</v>
          </cell>
          <cell r="S1158" t="str">
            <v>Metrojendela</v>
          </cell>
          <cell r="T1158" t="str">
            <v>Functioning</v>
          </cell>
          <cell r="U1158" t="str">
            <v>Asset</v>
          </cell>
          <cell r="V1158">
            <v>565350</v>
          </cell>
          <cell r="W1158" t="str">
            <v>KEW</v>
          </cell>
          <cell r="X1158" t="str">
            <v>01/09/2010</v>
          </cell>
          <cell r="Y1158" t="str">
            <v>KEW</v>
          </cell>
          <cell r="Z1158" t="str">
            <v>16/08/2013</v>
          </cell>
          <cell r="AA1158" t="str">
            <v>15/08/2015</v>
          </cell>
          <cell r="AB1158" t="str">
            <v>No</v>
          </cell>
          <cell r="AC1158" t="str">
            <v>31/08/2013</v>
          </cell>
          <cell r="AD1158" t="str">
            <v>Good</v>
          </cell>
          <cell r="AE1158" t="str">
            <v>V1 - Existing / No Claim</v>
          </cell>
          <cell r="AF1158">
            <v>42235</v>
          </cell>
          <cell r="AG1158">
            <v>9.17</v>
          </cell>
          <cell r="AH1158" t="str">
            <v>PPM</v>
          </cell>
          <cell r="AI1158" t="str">
            <v>Strands</v>
          </cell>
          <cell r="AJ1158" t="str">
            <v>Strands Package</v>
          </cell>
          <cell r="AK1158" t="str">
            <v>Package Code LH0006</v>
          </cell>
        </row>
        <row r="1159">
          <cell r="A1159" t="str">
            <v>IKN400758</v>
          </cell>
          <cell r="B1159">
            <v>758</v>
          </cell>
          <cell r="C1159" t="str">
            <v>Institut Kanser Negara</v>
          </cell>
          <cell r="D1159" t="str">
            <v>KKM/IKN/H/13/4685</v>
          </cell>
          <cell r="E1159" t="str">
            <v>16-378</v>
          </cell>
          <cell r="F1159" t="str">
            <v>Analyzers, Laboratory, Urine, Automated</v>
          </cell>
          <cell r="G1159" t="str">
            <v>LA</v>
          </cell>
          <cell r="H1159" t="str">
            <v>PATHOLOGY</v>
          </cell>
          <cell r="I1159" t="str">
            <v>04LA132</v>
          </cell>
          <cell r="J1159" t="str">
            <v>HAEMATOLOGY LAB 2</v>
          </cell>
          <cell r="K1159" t="str">
            <v>BMED</v>
          </cell>
          <cell r="L1159" t="str">
            <v>Critical</v>
          </cell>
          <cell r="M1159" t="str">
            <v>USA</v>
          </cell>
          <cell r="N1159" t="str">
            <v>Ichem</v>
          </cell>
          <cell r="O1159" t="str">
            <v>Ichem Velocity</v>
          </cell>
          <cell r="P1159" t="str">
            <v>V01473</v>
          </cell>
          <cell r="Q1159" t="str">
            <v>Not Applicable</v>
          </cell>
          <cell r="R1159" t="str">
            <v>Iris Medical Instruments Inc</v>
          </cell>
          <cell r="S1159" t="str">
            <v>Diagnostic Systems (M) Sdn Bhd</v>
          </cell>
          <cell r="T1159" t="str">
            <v>Functioning</v>
          </cell>
          <cell r="U1159" t="str">
            <v>Asset</v>
          </cell>
          <cell r="V1159">
            <v>36080</v>
          </cell>
          <cell r="W1159" t="str">
            <v>KEW</v>
          </cell>
          <cell r="X1159" t="str">
            <v>01/09/2010</v>
          </cell>
          <cell r="Y1159" t="str">
            <v>KEW</v>
          </cell>
          <cell r="Z1159" t="str">
            <v>16/08/2013</v>
          </cell>
          <cell r="AA1159" t="str">
            <v>15/08/2015</v>
          </cell>
          <cell r="AB1159" t="str">
            <v>No</v>
          </cell>
          <cell r="AC1159" t="str">
            <v>31/08/2013</v>
          </cell>
          <cell r="AD1159" t="str">
            <v>Good</v>
          </cell>
          <cell r="AE1159" t="str">
            <v>V1 - Existing / No Claim</v>
          </cell>
          <cell r="AF1159">
            <v>42790</v>
          </cell>
          <cell r="AG1159">
            <v>9.17</v>
          </cell>
          <cell r="AH1159" t="str">
            <v>PPM</v>
          </cell>
          <cell r="AI1159" t="str">
            <v>Strands</v>
          </cell>
          <cell r="AJ1159" t="str">
            <v>Strands Package</v>
          </cell>
          <cell r="AK1159" t="str">
            <v>Package Code LC0054</v>
          </cell>
        </row>
        <row r="1160">
          <cell r="A1160" t="str">
            <v>IKN400760</v>
          </cell>
          <cell r="B1160">
            <v>760</v>
          </cell>
          <cell r="C1160" t="str">
            <v>Institut Kanser Negara</v>
          </cell>
          <cell r="D1160" t="str">
            <v>KKM/IKN/H/13/1847</v>
          </cell>
          <cell r="E1160" t="str">
            <v>17-916</v>
          </cell>
          <cell r="F1160" t="str">
            <v>Analyzers, Laboratory, Immunoassay, Chemiluminescent</v>
          </cell>
          <cell r="G1160" t="str">
            <v>LA</v>
          </cell>
          <cell r="H1160" t="str">
            <v>PATHOLOGY</v>
          </cell>
          <cell r="I1160" t="str">
            <v>04LA133</v>
          </cell>
          <cell r="J1160" t="str">
            <v>CHEMICAL PATHOLOGY 1</v>
          </cell>
          <cell r="K1160" t="str">
            <v>BMED</v>
          </cell>
          <cell r="L1160" t="str">
            <v>Normal</v>
          </cell>
          <cell r="M1160" t="str">
            <v>USA</v>
          </cell>
          <cell r="N1160" t="str">
            <v>Advia Centaur</v>
          </cell>
          <cell r="O1160" t="str">
            <v>Advia Centaur CP</v>
          </cell>
          <cell r="P1160" t="str">
            <v>ROB300000252</v>
          </cell>
          <cell r="Q1160" t="str">
            <v>Not Applicable</v>
          </cell>
          <cell r="R1160" t="str">
            <v>Siemens Healthcare Diagnostics Inc</v>
          </cell>
          <cell r="S1160" t="str">
            <v>Siemens Malaysia Sdn. Bhd.</v>
          </cell>
          <cell r="T1160" t="str">
            <v>Functioning</v>
          </cell>
          <cell r="U1160" t="str">
            <v>Asset</v>
          </cell>
          <cell r="V1160">
            <v>505200</v>
          </cell>
          <cell r="W1160" t="str">
            <v>KEW</v>
          </cell>
          <cell r="X1160" t="str">
            <v>01/09/2010</v>
          </cell>
          <cell r="Y1160" t="str">
            <v>KEW</v>
          </cell>
          <cell r="Z1160" t="str">
            <v>16/08/2013</v>
          </cell>
          <cell r="AA1160" t="str">
            <v>15/08/2015</v>
          </cell>
          <cell r="AB1160" t="str">
            <v>No</v>
          </cell>
          <cell r="AC1160" t="str">
            <v>31/08/2013</v>
          </cell>
          <cell r="AD1160" t="str">
            <v>Good</v>
          </cell>
          <cell r="AE1160" t="str">
            <v>V1 - Existing / No Claim</v>
          </cell>
          <cell r="AF1160">
            <v>42235</v>
          </cell>
          <cell r="AG1160">
            <v>9.17</v>
          </cell>
          <cell r="AH1160" t="str">
            <v>PPM</v>
          </cell>
          <cell r="AI1160" t="str">
            <v>Strands</v>
          </cell>
          <cell r="AJ1160" t="str">
            <v>Strands Package</v>
          </cell>
          <cell r="AK1160" t="str">
            <v>Package Code LA0001</v>
          </cell>
        </row>
        <row r="1161">
          <cell r="A1161" t="str">
            <v>IKN400761</v>
          </cell>
          <cell r="B1161">
            <v>761</v>
          </cell>
          <cell r="C1161" t="str">
            <v>Institut Kanser Negara</v>
          </cell>
          <cell r="D1161" t="str">
            <v>KKM/IKN/H/13/1855</v>
          </cell>
          <cell r="E1161" t="str">
            <v>16-298</v>
          </cell>
          <cell r="F1161" t="str">
            <v>Analyzers, Laboratory, Clinical Chemistry, Automated</v>
          </cell>
          <cell r="G1161" t="str">
            <v>LA</v>
          </cell>
          <cell r="H1161" t="str">
            <v>PATHOLOGY</v>
          </cell>
          <cell r="I1161" t="str">
            <v>04LA133</v>
          </cell>
          <cell r="J1161" t="str">
            <v>CHEMICAL PATHOLOGY 1</v>
          </cell>
          <cell r="K1161" t="str">
            <v>BMED</v>
          </cell>
          <cell r="L1161" t="str">
            <v>Normal</v>
          </cell>
          <cell r="M1161" t="str">
            <v>Switzerland</v>
          </cell>
          <cell r="N1161" t="str">
            <v>Cobas</v>
          </cell>
          <cell r="O1161" t="str">
            <v>Cobas 6000</v>
          </cell>
          <cell r="P1161" t="str">
            <v>1296-14 &amp; 1206-09</v>
          </cell>
          <cell r="Q1161" t="str">
            <v>Not Applicable</v>
          </cell>
          <cell r="R1161" t="str">
            <v>Roche Diagnostics Corp</v>
          </cell>
          <cell r="S1161" t="str">
            <v>KL Scientific</v>
          </cell>
          <cell r="T1161" t="str">
            <v>Functioning</v>
          </cell>
          <cell r="U1161" t="str">
            <v>Asset</v>
          </cell>
          <cell r="V1161">
            <v>421005</v>
          </cell>
          <cell r="W1161" t="str">
            <v>KEW</v>
          </cell>
          <cell r="X1161" t="str">
            <v>01/09/2010</v>
          </cell>
          <cell r="Y1161" t="str">
            <v>KEW</v>
          </cell>
          <cell r="Z1161" t="str">
            <v>16/08/2013</v>
          </cell>
          <cell r="AA1161" t="str">
            <v>15/08/2015</v>
          </cell>
          <cell r="AB1161" t="str">
            <v>No</v>
          </cell>
          <cell r="AC1161" t="str">
            <v>31/08/2013</v>
          </cell>
          <cell r="AD1161" t="str">
            <v>Good</v>
          </cell>
          <cell r="AE1161" t="str">
            <v>V1 - Existing / No Claim</v>
          </cell>
          <cell r="AF1161">
            <v>42235</v>
          </cell>
          <cell r="AG1161">
            <v>9.17</v>
          </cell>
          <cell r="AH1161" t="str">
            <v>PPM</v>
          </cell>
          <cell r="AI1161" t="str">
            <v>Strands</v>
          </cell>
          <cell r="AJ1161" t="str">
            <v>Strands Package</v>
          </cell>
          <cell r="AK1161" t="str">
            <v>Package Code LC0035</v>
          </cell>
        </row>
        <row r="1162">
          <cell r="A1162" t="str">
            <v>IKN400762</v>
          </cell>
          <cell r="B1162">
            <v>762</v>
          </cell>
          <cell r="C1162" t="str">
            <v>Institut Kanser Negara</v>
          </cell>
          <cell r="D1162" t="str">
            <v>KKM/IKN/H/13/1854</v>
          </cell>
          <cell r="E1162" t="str">
            <v>17-916</v>
          </cell>
          <cell r="F1162" t="str">
            <v>Analyzers, Laboratory, Immunoassay, Chemiluminescent</v>
          </cell>
          <cell r="G1162" t="str">
            <v>LA</v>
          </cell>
          <cell r="H1162" t="str">
            <v>PATHOLOGY</v>
          </cell>
          <cell r="I1162" t="str">
            <v>04LA133</v>
          </cell>
          <cell r="J1162" t="str">
            <v>CHEMICAL PATHOLOGY 1</v>
          </cell>
          <cell r="K1162" t="str">
            <v>BMED</v>
          </cell>
          <cell r="L1162" t="str">
            <v>Normal</v>
          </cell>
          <cell r="M1162" t="str">
            <v>Germany</v>
          </cell>
          <cell r="N1162" t="str">
            <v>Abbott</v>
          </cell>
          <cell r="O1162" t="str">
            <v>Abbott Ci 4100</v>
          </cell>
          <cell r="P1162" t="str">
            <v>C400959/ I1SR52613</v>
          </cell>
          <cell r="Q1162" t="str">
            <v>Not Applicable</v>
          </cell>
          <cell r="R1162" t="str">
            <v>Abbott Laboratories</v>
          </cell>
          <cell r="S1162" t="str">
            <v>Abbott Laboratories (M) Sdn Bhd</v>
          </cell>
          <cell r="T1162" t="str">
            <v>Functioning</v>
          </cell>
          <cell r="U1162" t="str">
            <v>Asset</v>
          </cell>
          <cell r="V1162">
            <v>1443450</v>
          </cell>
          <cell r="W1162" t="str">
            <v>KEW</v>
          </cell>
          <cell r="X1162" t="str">
            <v>01/09/2010</v>
          </cell>
          <cell r="Y1162" t="str">
            <v>KEW</v>
          </cell>
          <cell r="Z1162" t="str">
            <v>16/08/2013</v>
          </cell>
          <cell r="AA1162" t="str">
            <v>15/08/2015</v>
          </cell>
          <cell r="AB1162" t="str">
            <v>No</v>
          </cell>
          <cell r="AC1162" t="str">
            <v>31/08/2013</v>
          </cell>
          <cell r="AD1162" t="str">
            <v>Good</v>
          </cell>
          <cell r="AE1162" t="str">
            <v>V1 - Existing / No Claim</v>
          </cell>
          <cell r="AF1162">
            <v>42235</v>
          </cell>
          <cell r="AG1162">
            <v>9.17</v>
          </cell>
          <cell r="AH1162" t="str">
            <v>PPM</v>
          </cell>
          <cell r="AI1162" t="str">
            <v>Strands</v>
          </cell>
          <cell r="AJ1162" t="str">
            <v>Strands Package</v>
          </cell>
          <cell r="AK1162" t="str">
            <v>Package Code LC0040</v>
          </cell>
        </row>
        <row r="1163">
          <cell r="A1163" t="str">
            <v>IKN400763</v>
          </cell>
          <cell r="B1163">
            <v>763</v>
          </cell>
          <cell r="C1163" t="str">
            <v>Institut Kanser Negara</v>
          </cell>
          <cell r="D1163" t="str">
            <v>KKM/IKN/I/13/2910</v>
          </cell>
          <cell r="E1163" t="str">
            <v>15-161</v>
          </cell>
          <cell r="F1163" t="str">
            <v>Mixers, Clinical Laboratory</v>
          </cell>
          <cell r="G1163" t="str">
            <v>LA</v>
          </cell>
          <cell r="H1163" t="str">
            <v>PATHOLOGY</v>
          </cell>
          <cell r="I1163" t="str">
            <v>04LA126</v>
          </cell>
          <cell r="J1163" t="str">
            <v>MICROBIOLOGY UNIT</v>
          </cell>
          <cell r="K1163" t="str">
            <v>BMED</v>
          </cell>
          <cell r="L1163" t="str">
            <v>Normal</v>
          </cell>
          <cell r="M1163" t="str">
            <v>UK</v>
          </cell>
          <cell r="N1163" t="str">
            <v>Stuart</v>
          </cell>
          <cell r="O1163" t="str">
            <v>Stuart SA8</v>
          </cell>
          <cell r="P1163" t="str">
            <v>R800004725</v>
          </cell>
          <cell r="Q1163" t="str">
            <v>Not Applicable</v>
          </cell>
          <cell r="R1163" t="str">
            <v>Stuart Scientific Co Ltd</v>
          </cell>
          <cell r="S1163" t="str">
            <v>Bumi Sains Sdn. Bhd.</v>
          </cell>
          <cell r="T1163" t="str">
            <v>Functioning</v>
          </cell>
          <cell r="U1163" t="str">
            <v>Asset</v>
          </cell>
          <cell r="V1163">
            <v>1200</v>
          </cell>
          <cell r="W1163" t="str">
            <v>KEW</v>
          </cell>
          <cell r="X1163" t="str">
            <v>01/09/2010</v>
          </cell>
          <cell r="Y1163" t="str">
            <v>KEW</v>
          </cell>
          <cell r="Z1163" t="str">
            <v>16/08/2013</v>
          </cell>
          <cell r="AA1163" t="str">
            <v>15/08/2015</v>
          </cell>
          <cell r="AB1163" t="str">
            <v>No</v>
          </cell>
          <cell r="AC1163" t="str">
            <v>31/08/2013</v>
          </cell>
          <cell r="AD1163" t="str">
            <v>Good</v>
          </cell>
          <cell r="AE1163" t="str">
            <v>V1 - Existing / No Claim</v>
          </cell>
          <cell r="AF1163">
            <v>42790</v>
          </cell>
          <cell r="AG1163">
            <v>9.17</v>
          </cell>
          <cell r="AH1163" t="str">
            <v>PPM</v>
          </cell>
          <cell r="AI1163" t="str">
            <v>Strands</v>
          </cell>
          <cell r="AJ1163" t="str">
            <v>Strands PW</v>
          </cell>
        </row>
        <row r="1164">
          <cell r="A1164" t="str">
            <v>IKN400764</v>
          </cell>
          <cell r="B1164">
            <v>764</v>
          </cell>
          <cell r="C1164" t="str">
            <v>Institut Kanser Negara</v>
          </cell>
          <cell r="D1164" t="str">
            <v>KKM/IKN/H/13/1868</v>
          </cell>
          <cell r="E1164" t="str">
            <v>10-263</v>
          </cell>
          <cell r="F1164" t="str">
            <v>Balances, Electronic</v>
          </cell>
          <cell r="G1164" t="str">
            <v>LA</v>
          </cell>
          <cell r="H1164" t="str">
            <v>PATHOLOGY</v>
          </cell>
          <cell r="I1164" t="str">
            <v>04LA126</v>
          </cell>
          <cell r="J1164" t="str">
            <v>MICROBIOLOGY UNIT</v>
          </cell>
          <cell r="K1164" t="str">
            <v>BMED</v>
          </cell>
          <cell r="L1164" t="str">
            <v>Normal</v>
          </cell>
          <cell r="M1164" t="str">
            <v>Germany</v>
          </cell>
          <cell r="N1164" t="str">
            <v>Sartorius</v>
          </cell>
          <cell r="O1164" t="str">
            <v>Sartorius TE12000</v>
          </cell>
          <cell r="P1164" t="str">
            <v>28103394</v>
          </cell>
          <cell r="Q1164" t="str">
            <v>Not Applicable</v>
          </cell>
          <cell r="R1164" t="str">
            <v>Sartorius AG</v>
          </cell>
          <cell r="S1164" t="str">
            <v>Chemopharm Sd. Bhd.</v>
          </cell>
          <cell r="T1164" t="str">
            <v>Functioning</v>
          </cell>
          <cell r="U1164" t="str">
            <v>Asset</v>
          </cell>
          <cell r="V1164">
            <v>6260</v>
          </cell>
          <cell r="W1164" t="str">
            <v>KEW</v>
          </cell>
          <cell r="X1164" t="str">
            <v>01/09/2010</v>
          </cell>
          <cell r="Y1164" t="str">
            <v>KEW</v>
          </cell>
          <cell r="Z1164" t="str">
            <v>16/08/2013</v>
          </cell>
          <cell r="AA1164" t="str">
            <v>15/08/2015</v>
          </cell>
          <cell r="AB1164" t="str">
            <v>No</v>
          </cell>
          <cell r="AC1164" t="str">
            <v>31/08/2013</v>
          </cell>
          <cell r="AD1164" t="str">
            <v>Good</v>
          </cell>
          <cell r="AE1164" t="str">
            <v>V1 - Existing / No Claim</v>
          </cell>
          <cell r="AF1164">
            <v>42790</v>
          </cell>
          <cell r="AG1164">
            <v>9.17</v>
          </cell>
          <cell r="AH1164" t="str">
            <v>PPM</v>
          </cell>
          <cell r="AI1164" t="str">
            <v>Strands</v>
          </cell>
          <cell r="AJ1164" t="str">
            <v>Strands PW</v>
          </cell>
        </row>
        <row r="1165">
          <cell r="A1165" t="str">
            <v>IKN400766</v>
          </cell>
          <cell r="B1165">
            <v>766</v>
          </cell>
          <cell r="C1165" t="str">
            <v>Institut Kanser Negara</v>
          </cell>
          <cell r="D1165" t="str">
            <v>KKM/IKN/H/13/2742</v>
          </cell>
          <cell r="E1165" t="str">
            <v>13-272</v>
          </cell>
          <cell r="F1165" t="str">
            <v>Radiographic Units, Mobile</v>
          </cell>
          <cell r="G1165" t="str">
            <v>ID</v>
          </cell>
          <cell r="H1165" t="str">
            <v>IMAGING DEPARTMENT</v>
          </cell>
          <cell r="I1165" t="str">
            <v>03ID106</v>
          </cell>
          <cell r="J1165" t="str">
            <v>MOBILE X-RAY</v>
          </cell>
          <cell r="K1165" t="str">
            <v>BMED</v>
          </cell>
          <cell r="L1165" t="str">
            <v>Normal</v>
          </cell>
          <cell r="M1165" t="str">
            <v>USA</v>
          </cell>
          <cell r="N1165" t="str">
            <v>Carestream</v>
          </cell>
          <cell r="O1165" t="str">
            <v>Carestream DRX-Revolution</v>
          </cell>
          <cell r="P1165" t="str">
            <v>0252</v>
          </cell>
          <cell r="Q1165" t="str">
            <v>Not Applicable</v>
          </cell>
          <cell r="R1165" t="str">
            <v>Carestream Health Inc</v>
          </cell>
          <cell r="S1165" t="str">
            <v>Best Contact (M) Sdn Bhd</v>
          </cell>
          <cell r="T1165" t="str">
            <v>Functioning</v>
          </cell>
          <cell r="U1165" t="str">
            <v>Asset</v>
          </cell>
          <cell r="V1165">
            <v>1149550</v>
          </cell>
          <cell r="W1165" t="str">
            <v>KEW</v>
          </cell>
          <cell r="X1165" t="str">
            <v>01/09/2010</v>
          </cell>
          <cell r="Y1165" t="str">
            <v>KEW</v>
          </cell>
          <cell r="Z1165" t="str">
            <v>16/08/2013</v>
          </cell>
          <cell r="AA1165" t="str">
            <v>15/08/2015</v>
          </cell>
          <cell r="AB1165" t="str">
            <v>No</v>
          </cell>
          <cell r="AC1165" t="str">
            <v>31/08/2013</v>
          </cell>
          <cell r="AD1165" t="str">
            <v>Good</v>
          </cell>
          <cell r="AE1165" t="str">
            <v>V1 - Existing / No Claim</v>
          </cell>
          <cell r="AF1165">
            <v>42235</v>
          </cell>
          <cell r="AG1165">
            <v>9.17</v>
          </cell>
          <cell r="AH1165" t="str">
            <v>PPM</v>
          </cell>
          <cell r="AI1165" t="str">
            <v>Strands</v>
          </cell>
          <cell r="AJ1165" t="str">
            <v>Strands PW</v>
          </cell>
        </row>
        <row r="1166">
          <cell r="A1166" t="str">
            <v>IKN400767</v>
          </cell>
          <cell r="B1166">
            <v>767</v>
          </cell>
          <cell r="C1166" t="str">
            <v>Institut Kanser Negara</v>
          </cell>
          <cell r="D1166" t="e">
            <v>#N/A</v>
          </cell>
          <cell r="E1166" t="str">
            <v>11-134</v>
          </cell>
          <cell r="F1166" t="str">
            <v>Defibrillators, External, Manual</v>
          </cell>
          <cell r="G1166" t="str">
            <v>ID</v>
          </cell>
          <cell r="H1166" t="str">
            <v>IMAGING DEPARTMENT</v>
          </cell>
          <cell r="I1166" t="str">
            <v>03ID107</v>
          </cell>
          <cell r="J1166" t="str">
            <v>RESUS EQ.BAY</v>
          </cell>
          <cell r="K1166" t="str">
            <v>BMED</v>
          </cell>
          <cell r="L1166" t="str">
            <v>Critical</v>
          </cell>
          <cell r="M1166" t="str">
            <v>USA</v>
          </cell>
          <cell r="N1166" t="str">
            <v>Responder</v>
          </cell>
          <cell r="O1166" t="str">
            <v>Responder 2000</v>
          </cell>
          <cell r="P1166" t="str">
            <v>3206649</v>
          </cell>
          <cell r="Q1166" t="str">
            <v>Not Applicable</v>
          </cell>
          <cell r="R1166" t="str">
            <v>GE Medical Systems</v>
          </cell>
          <cell r="S1166" t="str">
            <v>Antah Sir Radin Sdn. Bhd.</v>
          </cell>
          <cell r="T1166" t="str">
            <v>Functioning</v>
          </cell>
          <cell r="U1166" t="str">
            <v>Asset</v>
          </cell>
          <cell r="V1166">
            <v>45000</v>
          </cell>
          <cell r="W1166" t="str">
            <v>Estimate</v>
          </cell>
          <cell r="X1166" t="str">
            <v>01/09/2010</v>
          </cell>
          <cell r="Y1166" t="str">
            <v>KEW</v>
          </cell>
          <cell r="Z1166" t="str">
            <v>16/08/2013</v>
          </cell>
          <cell r="AA1166" t="str">
            <v>15/08/2015</v>
          </cell>
          <cell r="AB1166" t="str">
            <v>No</v>
          </cell>
          <cell r="AC1166" t="str">
            <v>31/08/2013</v>
          </cell>
          <cell r="AD1166" t="str">
            <v>Good</v>
          </cell>
          <cell r="AE1166" t="str">
            <v>V1 - Existing / No Claim</v>
          </cell>
          <cell r="AF1166">
            <v>42601</v>
          </cell>
          <cell r="AG1166">
            <v>9.17</v>
          </cell>
          <cell r="AH1166" t="str">
            <v>PPM</v>
          </cell>
          <cell r="AI1166" t="str">
            <v>Strands</v>
          </cell>
          <cell r="AJ1166" t="str">
            <v>Strands PW</v>
          </cell>
          <cell r="AK1166" t="str">
            <v>Crash Trolley (FEMS)</v>
          </cell>
        </row>
        <row r="1167">
          <cell r="A1167" t="str">
            <v>IKN400768</v>
          </cell>
          <cell r="B1167">
            <v>768</v>
          </cell>
          <cell r="C1167" t="str">
            <v>Institut Kanser Negara</v>
          </cell>
          <cell r="D1167" t="str">
            <v>KKM/IKN/H/13/2748</v>
          </cell>
          <cell r="E1167" t="str">
            <v>12-647</v>
          </cell>
          <cell r="F1167" t="str">
            <v>Physiologic Monitoring Systems, Acute Care</v>
          </cell>
          <cell r="G1167" t="str">
            <v>ID</v>
          </cell>
          <cell r="H1167" t="str">
            <v>IMAGING DEPARTMENT</v>
          </cell>
          <cell r="I1167" t="str">
            <v>03ID108</v>
          </cell>
          <cell r="J1167" t="str">
            <v>RECOVERY/ BED WAIT</v>
          </cell>
          <cell r="K1167" t="str">
            <v>BMED</v>
          </cell>
          <cell r="L1167" t="str">
            <v>Critical</v>
          </cell>
          <cell r="M1167" t="str">
            <v>Finland</v>
          </cell>
          <cell r="N1167" t="str">
            <v>Carespace</v>
          </cell>
          <cell r="O1167" t="str">
            <v>Carespace B850</v>
          </cell>
          <cell r="P1167" t="str">
            <v>SED12370784GA</v>
          </cell>
          <cell r="Q1167" t="str">
            <v>Not Applicable</v>
          </cell>
          <cell r="R1167" t="str">
            <v>GE Healthcare Systems</v>
          </cell>
          <cell r="S1167" t="str">
            <v>GE Healthcare Technologies</v>
          </cell>
          <cell r="T1167" t="str">
            <v>Functioning</v>
          </cell>
          <cell r="U1167" t="str">
            <v>Asset</v>
          </cell>
          <cell r="V1167">
            <v>87400</v>
          </cell>
          <cell r="W1167" t="str">
            <v>KEW</v>
          </cell>
          <cell r="X1167" t="str">
            <v>01/09/2010</v>
          </cell>
          <cell r="Y1167" t="str">
            <v>KEW</v>
          </cell>
          <cell r="Z1167" t="str">
            <v>16/08/2013</v>
          </cell>
          <cell r="AA1167" t="str">
            <v>15/08/2015</v>
          </cell>
          <cell r="AB1167" t="str">
            <v>No</v>
          </cell>
          <cell r="AC1167" t="str">
            <v>31/08/2013</v>
          </cell>
          <cell r="AD1167" t="str">
            <v>Good</v>
          </cell>
          <cell r="AE1167" t="str">
            <v>V1 - Existing / No Claim</v>
          </cell>
          <cell r="AF1167">
            <v>42791</v>
          </cell>
          <cell r="AG1167">
            <v>9.17</v>
          </cell>
          <cell r="AH1167" t="str">
            <v>PPM</v>
          </cell>
          <cell r="AI1167" t="str">
            <v>Strands</v>
          </cell>
          <cell r="AJ1167" t="str">
            <v>Strands PW</v>
          </cell>
        </row>
        <row r="1168">
          <cell r="A1168" t="str">
            <v>IKN400769</v>
          </cell>
          <cell r="B1168">
            <v>769</v>
          </cell>
          <cell r="C1168" t="str">
            <v>Institut Kanser Negara</v>
          </cell>
          <cell r="D1168" t="str">
            <v>KKM/IKN/H/13/2749</v>
          </cell>
          <cell r="E1168" t="str">
            <v>12-647</v>
          </cell>
          <cell r="F1168" t="str">
            <v>Physiologic Monitoring Systems, Acute Care</v>
          </cell>
          <cell r="G1168" t="str">
            <v>ID</v>
          </cell>
          <cell r="H1168" t="str">
            <v>IMAGING DEPARTMENT</v>
          </cell>
          <cell r="I1168" t="str">
            <v>03ID108</v>
          </cell>
          <cell r="J1168" t="str">
            <v>RECOVERY/ BED WAIT</v>
          </cell>
          <cell r="K1168" t="str">
            <v>BMED</v>
          </cell>
          <cell r="L1168" t="str">
            <v>Normal</v>
          </cell>
          <cell r="M1168" t="str">
            <v>Finland</v>
          </cell>
          <cell r="N1168" t="str">
            <v>CareScape</v>
          </cell>
          <cell r="O1168" t="str">
            <v>CareScape B650</v>
          </cell>
          <cell r="P1168" t="str">
            <v>SEW12357356HA</v>
          </cell>
          <cell r="Q1168" t="str">
            <v>Not Applicable</v>
          </cell>
          <cell r="R1168" t="str">
            <v>GE Medical Systems</v>
          </cell>
          <cell r="S1168" t="str">
            <v>GE Healthcare Technologies</v>
          </cell>
          <cell r="T1168" t="str">
            <v>Functioning</v>
          </cell>
          <cell r="U1168" t="str">
            <v>Asset</v>
          </cell>
          <cell r="V1168">
            <v>87400</v>
          </cell>
          <cell r="W1168" t="str">
            <v>KEW</v>
          </cell>
          <cell r="X1168" t="str">
            <v>01/09/2010</v>
          </cell>
          <cell r="Y1168" t="str">
            <v>KEW</v>
          </cell>
          <cell r="Z1168" t="str">
            <v>16/08/2013</v>
          </cell>
          <cell r="AA1168" t="str">
            <v>15/08/2015</v>
          </cell>
          <cell r="AB1168" t="str">
            <v>No</v>
          </cell>
          <cell r="AC1168" t="str">
            <v>31/08/2013</v>
          </cell>
          <cell r="AD1168" t="str">
            <v>Good</v>
          </cell>
          <cell r="AE1168" t="str">
            <v>V1 - Existing / No Claim</v>
          </cell>
          <cell r="AF1168">
            <v>42235</v>
          </cell>
          <cell r="AG1168">
            <v>9.17</v>
          </cell>
          <cell r="AH1168" t="str">
            <v>PPM</v>
          </cell>
          <cell r="AI1168" t="str">
            <v>Strands</v>
          </cell>
          <cell r="AJ1168" t="str">
            <v>Strands PW</v>
          </cell>
        </row>
        <row r="1169">
          <cell r="A1169" t="str">
            <v>IKN400770</v>
          </cell>
          <cell r="B1169">
            <v>770</v>
          </cell>
          <cell r="C1169" t="str">
            <v>Institut Kanser Negara</v>
          </cell>
          <cell r="D1169" t="str">
            <v>KKM/IKN/H/13/4773</v>
          </cell>
          <cell r="E1169" t="str">
            <v>17-968</v>
          </cell>
          <cell r="F1169" t="str">
            <v>Injectors, Contrast Media</v>
          </cell>
          <cell r="G1169" t="str">
            <v>ID</v>
          </cell>
          <cell r="H1169" t="str">
            <v>IMAGING DEPARTMENT</v>
          </cell>
          <cell r="I1169" t="str">
            <v>03ID164</v>
          </cell>
          <cell r="J1169" t="str">
            <v>ANGIO(VE)</v>
          </cell>
          <cell r="K1169" t="str">
            <v>BMED</v>
          </cell>
          <cell r="L1169" t="str">
            <v>Critical</v>
          </cell>
          <cell r="M1169" t="str">
            <v>USA</v>
          </cell>
          <cell r="N1169" t="str">
            <v>Mark</v>
          </cell>
          <cell r="O1169" t="str">
            <v>Mark V Provis</v>
          </cell>
          <cell r="P1169" t="str">
            <v>200014</v>
          </cell>
          <cell r="Q1169" t="str">
            <v>Not Applicable</v>
          </cell>
          <cell r="R1169" t="str">
            <v>Medrad</v>
          </cell>
          <cell r="S1169" t="str">
            <v>Advance Altimas Sdn Bhd</v>
          </cell>
          <cell r="T1169" t="str">
            <v>Functioning</v>
          </cell>
          <cell r="U1169" t="str">
            <v>Asset</v>
          </cell>
          <cell r="V1169">
            <v>100000</v>
          </cell>
          <cell r="W1169" t="str">
            <v>Estimate</v>
          </cell>
          <cell r="X1169" t="str">
            <v>01/09/2010</v>
          </cell>
          <cell r="Y1169" t="str">
            <v>KEW</v>
          </cell>
          <cell r="Z1169" t="str">
            <v>16/08/2013</v>
          </cell>
          <cell r="AA1169" t="str">
            <v>15/08/2015</v>
          </cell>
          <cell r="AB1169" t="str">
            <v>No</v>
          </cell>
          <cell r="AC1169" t="str">
            <v>31/08/2013</v>
          </cell>
          <cell r="AD1169" t="str">
            <v>Good</v>
          </cell>
          <cell r="AE1169" t="str">
            <v>V1 - Existing / No Claim</v>
          </cell>
          <cell r="AF1169">
            <v>42601</v>
          </cell>
          <cell r="AG1169">
            <v>9.17</v>
          </cell>
          <cell r="AH1169" t="str">
            <v>PPM</v>
          </cell>
          <cell r="AI1169" t="str">
            <v>Strands</v>
          </cell>
          <cell r="AJ1169" t="str">
            <v>Strands Package</v>
          </cell>
          <cell r="AK1169" t="str">
            <v>Package Code XE0004. [4/6/2024, ANIS]: UPDATE NO. KKM</v>
          </cell>
        </row>
        <row r="1170">
          <cell r="A1170" t="str">
            <v>IKN400771</v>
          </cell>
          <cell r="B1170">
            <v>771</v>
          </cell>
          <cell r="C1170" t="str">
            <v>Institut Kanser Negara</v>
          </cell>
          <cell r="D1170" t="str">
            <v>KKM/IKN/H/14/57</v>
          </cell>
          <cell r="E1170" t="str">
            <v>15-976</v>
          </cell>
          <cell r="F1170" t="str">
            <v>Scanning Systems, Ultrasonic, General-Purpose</v>
          </cell>
          <cell r="G1170" t="str">
            <v>IC</v>
          </cell>
          <cell r="H1170" t="str">
            <v>INTENSIVE CARE UNIT</v>
          </cell>
          <cell r="I1170" t="str">
            <v>05IC106</v>
          </cell>
          <cell r="J1170" t="str">
            <v>ANGIO(VE)</v>
          </cell>
          <cell r="K1170" t="str">
            <v>BMED</v>
          </cell>
          <cell r="L1170" t="str">
            <v>Normal</v>
          </cell>
          <cell r="M1170" t="str">
            <v>China</v>
          </cell>
          <cell r="N1170" t="str">
            <v>Mindray</v>
          </cell>
          <cell r="O1170" t="str">
            <v>Mindray M7</v>
          </cell>
          <cell r="P1170" t="str">
            <v>NW-49004328</v>
          </cell>
          <cell r="Q1170" t="str">
            <v>Not Applicable</v>
          </cell>
          <cell r="R1170" t="str">
            <v>Shenzhen Mindray Bio-Medical Electronics Co Ltd</v>
          </cell>
          <cell r="S1170" t="str">
            <v>Mediliance (M) Sdn. Bhd.</v>
          </cell>
          <cell r="T1170" t="str">
            <v>Functioning</v>
          </cell>
          <cell r="U1170" t="str">
            <v>Asset</v>
          </cell>
          <cell r="V1170">
            <v>155000</v>
          </cell>
          <cell r="W1170" t="str">
            <v>KEW</v>
          </cell>
          <cell r="X1170" t="str">
            <v>05/09/2014</v>
          </cell>
          <cell r="Y1170" t="str">
            <v>KEW</v>
          </cell>
          <cell r="Z1170" t="str">
            <v>23/10/2014</v>
          </cell>
          <cell r="AA1170" t="str">
            <v>22/10/2018</v>
          </cell>
          <cell r="AB1170" t="str">
            <v>No</v>
          </cell>
          <cell r="AC1170" t="str">
            <v>23/10/2014</v>
          </cell>
          <cell r="AD1170" t="str">
            <v>Good</v>
          </cell>
          <cell r="AE1170" t="str">
            <v>V3 - Added Installed Facilities (New)</v>
          </cell>
          <cell r="AF1170">
            <v>42678</v>
          </cell>
          <cell r="AG1170">
            <v>5.17</v>
          </cell>
          <cell r="AH1170" t="str">
            <v>PPM</v>
          </cell>
          <cell r="AI1170" t="str">
            <v>Strands</v>
          </cell>
          <cell r="AJ1170" t="str">
            <v>Strands PW</v>
          </cell>
          <cell r="AK1170" t="str">
            <v>SNF received on 22.6.2020. [8/2/2024]: CHANGE LOC ID TO ICU.</v>
          </cell>
        </row>
        <row r="1171">
          <cell r="A1171" t="str">
            <v>IKN400772</v>
          </cell>
          <cell r="B1171">
            <v>772</v>
          </cell>
          <cell r="C1171" t="str">
            <v>Institut Kanser Negara</v>
          </cell>
          <cell r="D1171" t="str">
            <v>KKM/IKN/H/13/4288</v>
          </cell>
          <cell r="E1171" t="str">
            <v>13-249</v>
          </cell>
          <cell r="F1171" t="str">
            <v>Warming Units, Patient, Radiant, Adult</v>
          </cell>
          <cell r="G1171" t="str">
            <v>ID</v>
          </cell>
          <cell r="H1171" t="str">
            <v>IMAGING DEPARTMENT</v>
          </cell>
          <cell r="I1171" t="str">
            <v>03ID109</v>
          </cell>
          <cell r="J1171" t="str">
            <v>INDUCTION</v>
          </cell>
          <cell r="K1171" t="str">
            <v>BMED</v>
          </cell>
          <cell r="L1171" t="str">
            <v>Normal</v>
          </cell>
          <cell r="M1171" t="str">
            <v>Sweden</v>
          </cell>
          <cell r="N1171" t="str">
            <v>Aragona</v>
          </cell>
          <cell r="O1171" t="str">
            <v>Aragona MTC-410</v>
          </cell>
          <cell r="P1171" t="str">
            <v>1201</v>
          </cell>
          <cell r="Q1171" t="str">
            <v>Not Applicable</v>
          </cell>
          <cell r="R1171" t="str">
            <v>Aspira Medical AB</v>
          </cell>
          <cell r="S1171" t="str">
            <v>Perniagaan Med Tech</v>
          </cell>
          <cell r="T1171" t="str">
            <v>Functioning</v>
          </cell>
          <cell r="U1171" t="str">
            <v>Asset</v>
          </cell>
          <cell r="V1171">
            <v>12630</v>
          </cell>
          <cell r="W1171" t="str">
            <v>KEW</v>
          </cell>
          <cell r="X1171" t="str">
            <v>01/09/2010</v>
          </cell>
          <cell r="Y1171" t="str">
            <v>KEW</v>
          </cell>
          <cell r="Z1171" t="str">
            <v>16/08/2013</v>
          </cell>
          <cell r="AA1171" t="str">
            <v>15/08/2015</v>
          </cell>
          <cell r="AB1171" t="str">
            <v>No</v>
          </cell>
          <cell r="AC1171" t="str">
            <v>31/08/2013</v>
          </cell>
          <cell r="AD1171" t="str">
            <v>Good</v>
          </cell>
          <cell r="AE1171" t="str">
            <v>V1 - Existing / No Claim</v>
          </cell>
          <cell r="AF1171">
            <v>42235</v>
          </cell>
          <cell r="AG1171">
            <v>9.17</v>
          </cell>
          <cell r="AH1171" t="str">
            <v>PPM</v>
          </cell>
          <cell r="AI1171" t="str">
            <v>Strands</v>
          </cell>
          <cell r="AJ1171" t="str">
            <v>Strands PW</v>
          </cell>
        </row>
        <row r="1172">
          <cell r="A1172" t="str">
            <v>IKN400773</v>
          </cell>
          <cell r="B1172">
            <v>773</v>
          </cell>
          <cell r="C1172" t="str">
            <v>Institut Kanser Negara</v>
          </cell>
          <cell r="D1172" t="str">
            <v>KKM/IKN/H/14/52</v>
          </cell>
          <cell r="E1172" t="str">
            <v>15-976</v>
          </cell>
          <cell r="F1172" t="str">
            <v>Scanning Systems, Ultrasonic, General-Purpose</v>
          </cell>
          <cell r="G1172" t="str">
            <v>ID</v>
          </cell>
          <cell r="H1172" t="str">
            <v>IMAGING DEPARTMENT</v>
          </cell>
          <cell r="I1172" t="str">
            <v>03ID164</v>
          </cell>
          <cell r="J1172" t="str">
            <v>ANGIO(VE)</v>
          </cell>
          <cell r="K1172" t="str">
            <v>BMED</v>
          </cell>
          <cell r="L1172" t="str">
            <v>Normal</v>
          </cell>
          <cell r="M1172" t="str">
            <v>USA</v>
          </cell>
          <cell r="N1172" t="str">
            <v>Accuson</v>
          </cell>
          <cell r="O1172" t="str">
            <v>Accuson Freestyle</v>
          </cell>
          <cell r="P1172" t="str">
            <v>1275</v>
          </cell>
          <cell r="Q1172" t="str">
            <v>Not Applicable</v>
          </cell>
          <cell r="R1172" t="str">
            <v>Siemens Medical Systems</v>
          </cell>
          <cell r="S1172" t="str">
            <v>Ayzek Venture Ent</v>
          </cell>
          <cell r="T1172" t="str">
            <v>Functioning</v>
          </cell>
          <cell r="U1172" t="str">
            <v>Asset</v>
          </cell>
          <cell r="V1172">
            <v>335000</v>
          </cell>
          <cell r="W1172" t="str">
            <v>KEW</v>
          </cell>
          <cell r="X1172" t="str">
            <v>15/09/2014</v>
          </cell>
          <cell r="Y1172" t="str">
            <v>KEW</v>
          </cell>
          <cell r="Z1172" t="str">
            <v>16/10/2014</v>
          </cell>
          <cell r="AA1172" t="str">
            <v>15/10/2016</v>
          </cell>
          <cell r="AB1172" t="str">
            <v>No</v>
          </cell>
          <cell r="AC1172" t="str">
            <v>16/10/2014</v>
          </cell>
          <cell r="AD1172" t="str">
            <v>Good</v>
          </cell>
          <cell r="AE1172" t="str">
            <v>V3 - Added Installed Facilities (New)</v>
          </cell>
          <cell r="AF1172">
            <v>42678</v>
          </cell>
          <cell r="AG1172">
            <v>5.17</v>
          </cell>
          <cell r="AH1172" t="str">
            <v>PPM</v>
          </cell>
          <cell r="AI1172" t="str">
            <v>Strands</v>
          </cell>
          <cell r="AJ1172" t="str">
            <v>Strands PW</v>
          </cell>
          <cell r="AK1172" t="str">
            <v>SNF received on 22.6.2020</v>
          </cell>
        </row>
        <row r="1173">
          <cell r="A1173" t="str">
            <v>IKN400774</v>
          </cell>
          <cell r="B1173">
            <v>774</v>
          </cell>
          <cell r="C1173" t="str">
            <v>Institut Kanser Negara</v>
          </cell>
          <cell r="D1173" t="str">
            <v>KKM/IKN/H/13/5433</v>
          </cell>
          <cell r="E1173" t="str">
            <v>13-469</v>
          </cell>
          <cell r="F1173" t="str">
            <v>Scanning Systems, Computed Tomography</v>
          </cell>
          <cell r="G1173" t="str">
            <v>ID</v>
          </cell>
          <cell r="H1173" t="str">
            <v>IMAGING DEPARTMENT</v>
          </cell>
          <cell r="I1173" t="str">
            <v>03ID156</v>
          </cell>
          <cell r="J1173" t="str">
            <v>C.T. SCAN 1 (+VE)</v>
          </cell>
          <cell r="K1173" t="str">
            <v>BMED</v>
          </cell>
          <cell r="L1173" t="str">
            <v>Normal</v>
          </cell>
          <cell r="M1173" t="str">
            <v>Japan</v>
          </cell>
          <cell r="N1173" t="str">
            <v>Aquilion</v>
          </cell>
          <cell r="O1173" t="str">
            <v>Aquilion CXL</v>
          </cell>
          <cell r="P1173" t="str">
            <v>TCA1282022</v>
          </cell>
          <cell r="Q1173" t="str">
            <v>Not Applicable</v>
          </cell>
          <cell r="R1173" t="str">
            <v>Toshiba Corp</v>
          </cell>
          <cell r="S1173" t="str">
            <v>Meditek Equipment</v>
          </cell>
          <cell r="T1173" t="str">
            <v>Functioning</v>
          </cell>
          <cell r="U1173" t="str">
            <v>Asset</v>
          </cell>
          <cell r="V1173">
            <v>4605710</v>
          </cell>
          <cell r="W1173" t="str">
            <v>KEW</v>
          </cell>
          <cell r="X1173" t="str">
            <v>01/09/2010</v>
          </cell>
          <cell r="Y1173" t="str">
            <v>KEW</v>
          </cell>
          <cell r="Z1173" t="str">
            <v>16/08/2013</v>
          </cell>
          <cell r="AA1173" t="str">
            <v>15/08/2015</v>
          </cell>
          <cell r="AB1173" t="str">
            <v>No</v>
          </cell>
          <cell r="AC1173" t="str">
            <v>31/08/2013</v>
          </cell>
          <cell r="AD1173" t="str">
            <v>Good</v>
          </cell>
          <cell r="AE1173" t="str">
            <v>V1 - Existing / No Claim</v>
          </cell>
          <cell r="AF1173">
            <v>42235</v>
          </cell>
          <cell r="AG1173">
            <v>9.17</v>
          </cell>
          <cell r="AH1173" t="str">
            <v>PPM</v>
          </cell>
          <cell r="AI1173" t="str">
            <v>Strands</v>
          </cell>
          <cell r="AJ1173" t="str">
            <v>Strands Package</v>
          </cell>
          <cell r="AK1173" t="str">
            <v>Package Code XC0004-N [20/9/2023, ANIS]: UPDATED NO. KEWPA</v>
          </cell>
        </row>
        <row r="1174">
          <cell r="A1174" t="str">
            <v>IKN400775</v>
          </cell>
          <cell r="B1174">
            <v>775</v>
          </cell>
          <cell r="C1174" t="str">
            <v>Institut Kanser Negara</v>
          </cell>
          <cell r="D1174" t="str">
            <v>KKM/IKN/H/13/1657</v>
          </cell>
          <cell r="E1174" t="str">
            <v>15-976</v>
          </cell>
          <cell r="F1174" t="str">
            <v>Scanning Systems, Ultrasonic, General-Purpose</v>
          </cell>
          <cell r="G1174" t="str">
            <v>ID</v>
          </cell>
          <cell r="H1174" t="str">
            <v>IMAGING DEPARTMENT</v>
          </cell>
          <cell r="I1174" t="str">
            <v>03ID162</v>
          </cell>
          <cell r="J1174" t="str">
            <v>ULTRA SOUND</v>
          </cell>
          <cell r="K1174" t="str">
            <v>BMED</v>
          </cell>
          <cell r="L1174" t="str">
            <v>Normal</v>
          </cell>
          <cell r="M1174" t="str">
            <v>USA</v>
          </cell>
          <cell r="N1174" t="str">
            <v>Logiq</v>
          </cell>
          <cell r="O1174" t="str">
            <v>Logiq E9</v>
          </cell>
          <cell r="P1174" t="str">
            <v>112460US1</v>
          </cell>
          <cell r="Q1174" t="str">
            <v>Not Applicable</v>
          </cell>
          <cell r="R1174" t="str">
            <v>GE Healthcare Systems</v>
          </cell>
          <cell r="S1174" t="str">
            <v>GE Healthcare Technologies</v>
          </cell>
          <cell r="T1174" t="str">
            <v>Functioning</v>
          </cell>
          <cell r="U1174" t="str">
            <v>Asset</v>
          </cell>
          <cell r="V1174">
            <v>1044560</v>
          </cell>
          <cell r="W1174" t="str">
            <v>KEW</v>
          </cell>
          <cell r="X1174" t="str">
            <v>01/09/2010</v>
          </cell>
          <cell r="Y1174" t="str">
            <v>KEW</v>
          </cell>
          <cell r="Z1174" t="str">
            <v>16/08/2013</v>
          </cell>
          <cell r="AA1174" t="str">
            <v>15/08/2015</v>
          </cell>
          <cell r="AB1174" t="str">
            <v>No</v>
          </cell>
          <cell r="AC1174" t="str">
            <v>31/08/2013</v>
          </cell>
          <cell r="AD1174" t="str">
            <v>Good</v>
          </cell>
          <cell r="AE1174" t="str">
            <v>V1 - Existing / No Claim</v>
          </cell>
          <cell r="AF1174">
            <v>42791</v>
          </cell>
          <cell r="AG1174">
            <v>9.17</v>
          </cell>
          <cell r="AH1174" t="str">
            <v>PPM</v>
          </cell>
          <cell r="AI1174" t="str">
            <v>Strands</v>
          </cell>
          <cell r="AJ1174" t="str">
            <v>Strands Package</v>
          </cell>
          <cell r="AK1174" t="str">
            <v>Package Code XU0019-S</v>
          </cell>
        </row>
        <row r="1175">
          <cell r="A1175" t="str">
            <v>IKN400776</v>
          </cell>
          <cell r="B1175">
            <v>776</v>
          </cell>
          <cell r="C1175" t="str">
            <v>Institut Kanser Negara</v>
          </cell>
          <cell r="D1175" t="str">
            <v>KKM/IKN/H/13/1656</v>
          </cell>
          <cell r="E1175" t="str">
            <v>15-976</v>
          </cell>
          <cell r="F1175" t="str">
            <v>Scanning Systems, Ultrasonic, General-Purpose</v>
          </cell>
          <cell r="G1175" t="str">
            <v>ID</v>
          </cell>
          <cell r="H1175" t="str">
            <v>IMAGING DEPARTMENT</v>
          </cell>
          <cell r="I1175" t="str">
            <v>03ID162</v>
          </cell>
          <cell r="J1175" t="str">
            <v>ULTRA SOUND</v>
          </cell>
          <cell r="K1175" t="str">
            <v>BMED</v>
          </cell>
          <cell r="L1175" t="str">
            <v>Normal</v>
          </cell>
          <cell r="M1175" t="str">
            <v>USA</v>
          </cell>
          <cell r="N1175" t="str">
            <v>Logiq</v>
          </cell>
          <cell r="O1175" t="str">
            <v>Logiq E9</v>
          </cell>
          <cell r="P1175" t="str">
            <v>112456US9</v>
          </cell>
          <cell r="Q1175" t="str">
            <v>Not Applicable</v>
          </cell>
          <cell r="R1175" t="str">
            <v>GE Healthcare Systems</v>
          </cell>
          <cell r="S1175" t="str">
            <v>GE Healthcare Technologies</v>
          </cell>
          <cell r="T1175" t="str">
            <v>Functioning</v>
          </cell>
          <cell r="U1175" t="str">
            <v>Asset</v>
          </cell>
          <cell r="V1175">
            <v>1044560</v>
          </cell>
          <cell r="W1175" t="str">
            <v>KEW</v>
          </cell>
          <cell r="X1175" t="str">
            <v>01/09/2010</v>
          </cell>
          <cell r="Y1175" t="str">
            <v>KEW</v>
          </cell>
          <cell r="Z1175" t="str">
            <v>16/08/2013</v>
          </cell>
          <cell r="AA1175" t="str">
            <v>15/08/2015</v>
          </cell>
          <cell r="AB1175" t="str">
            <v>No</v>
          </cell>
          <cell r="AC1175" t="str">
            <v>31/08/2013</v>
          </cell>
          <cell r="AD1175" t="str">
            <v>Good</v>
          </cell>
          <cell r="AE1175" t="str">
            <v>V1 - Existing / No Claim</v>
          </cell>
          <cell r="AF1175">
            <v>42791</v>
          </cell>
          <cell r="AG1175">
            <v>9.17</v>
          </cell>
          <cell r="AH1175" t="str">
            <v>PPM</v>
          </cell>
          <cell r="AI1175" t="str">
            <v>Strands</v>
          </cell>
          <cell r="AJ1175" t="str">
            <v>Strands Package</v>
          </cell>
          <cell r="AK1175" t="str">
            <v>Package Code XU0019-S</v>
          </cell>
        </row>
        <row r="1176">
          <cell r="A1176" t="str">
            <v>IKN400777</v>
          </cell>
          <cell r="B1176">
            <v>777</v>
          </cell>
          <cell r="C1176" t="str">
            <v>Institut Kanser Negara</v>
          </cell>
          <cell r="D1176" t="str">
            <v>KKM/IKN/H/13/2655</v>
          </cell>
          <cell r="E1176" t="str">
            <v>10-134</v>
          </cell>
          <cell r="F1176" t="str">
            <v>Anesthesia Units</v>
          </cell>
          <cell r="G1176" t="str">
            <v>IC</v>
          </cell>
          <cell r="H1176" t="str">
            <v>INTENSIVE CARE UNIT</v>
          </cell>
          <cell r="I1176" t="str">
            <v>03ID167</v>
          </cell>
          <cell r="J1176" t="str">
            <v>EQ.STORE</v>
          </cell>
          <cell r="K1176" t="str">
            <v>BMED</v>
          </cell>
          <cell r="L1176" t="str">
            <v>Critical</v>
          </cell>
          <cell r="M1176" t="str">
            <v>Germany</v>
          </cell>
          <cell r="N1176" t="str">
            <v>Primus</v>
          </cell>
          <cell r="O1176" t="str">
            <v>Primus</v>
          </cell>
          <cell r="P1176" t="str">
            <v>ASDJ-0237</v>
          </cell>
          <cell r="Q1176" t="str">
            <v>Not Applicable</v>
          </cell>
          <cell r="R1176" t="str">
            <v>Drager medical GmbH</v>
          </cell>
          <cell r="S1176" t="str">
            <v>Beau Consortium Sdn Bhd</v>
          </cell>
          <cell r="T1176" t="str">
            <v>Functioning</v>
          </cell>
          <cell r="U1176" t="str">
            <v>Asset</v>
          </cell>
          <cell r="V1176">
            <v>144345</v>
          </cell>
          <cell r="W1176" t="str">
            <v>KEW</v>
          </cell>
          <cell r="X1176" t="str">
            <v>01/09/2010</v>
          </cell>
          <cell r="Y1176" t="str">
            <v>KEW</v>
          </cell>
          <cell r="Z1176" t="str">
            <v>16/08/2013</v>
          </cell>
          <cell r="AA1176" t="str">
            <v>15/08/2015</v>
          </cell>
          <cell r="AB1176" t="str">
            <v>No</v>
          </cell>
          <cell r="AC1176" t="str">
            <v>31/08/2013</v>
          </cell>
          <cell r="AD1176" t="str">
            <v>Good</v>
          </cell>
          <cell r="AE1176" t="str">
            <v>V1 - Existing / No Claim</v>
          </cell>
          <cell r="AF1176">
            <v>42791</v>
          </cell>
          <cell r="AG1176">
            <v>9.17</v>
          </cell>
          <cell r="AH1176" t="str">
            <v>PPM</v>
          </cell>
          <cell r="AI1176" t="str">
            <v>Strands</v>
          </cell>
          <cell r="AJ1176" t="str">
            <v>Strands PW</v>
          </cell>
          <cell r="AK1176" t="str">
            <v>[5/3/2024, ANIS]: UNDER ICU, BARANG DI RADIOLOGY.</v>
          </cell>
        </row>
        <row r="1177">
          <cell r="A1177" t="str">
            <v>IKN400778</v>
          </cell>
          <cell r="B1177">
            <v>778</v>
          </cell>
          <cell r="C1177" t="str">
            <v>Institut Kanser Negara</v>
          </cell>
          <cell r="D1177" t="str">
            <v>KKM/IKN/H/13/2750</v>
          </cell>
          <cell r="E1177" t="str">
            <v>12-647</v>
          </cell>
          <cell r="F1177" t="str">
            <v>Physiologic Monitoring Systems, Acute Care</v>
          </cell>
          <cell r="G1177" t="str">
            <v>ID</v>
          </cell>
          <cell r="H1177" t="str">
            <v>IMAGING DEPARTMENT</v>
          </cell>
          <cell r="I1177" t="str">
            <v>03ID167</v>
          </cell>
          <cell r="J1177" t="str">
            <v>EQ.STORE</v>
          </cell>
          <cell r="K1177" t="str">
            <v>BMED</v>
          </cell>
          <cell r="L1177" t="str">
            <v>Critical</v>
          </cell>
          <cell r="M1177" t="str">
            <v>USA</v>
          </cell>
          <cell r="N1177" t="str">
            <v>GE</v>
          </cell>
          <cell r="O1177" t="str">
            <v>GE B30</v>
          </cell>
          <cell r="P1177" t="str">
            <v>SF312325922WA</v>
          </cell>
          <cell r="Q1177" t="str">
            <v>Not Applicable</v>
          </cell>
          <cell r="R1177" t="str">
            <v>GE Healthcare Systems</v>
          </cell>
          <cell r="S1177" t="str">
            <v>GE Healthcare Technologies</v>
          </cell>
          <cell r="T1177" t="str">
            <v>Functioning</v>
          </cell>
          <cell r="U1177" t="str">
            <v>Asset</v>
          </cell>
          <cell r="V1177">
            <v>44510</v>
          </cell>
          <cell r="W1177" t="str">
            <v>KEW</v>
          </cell>
          <cell r="X1177" t="str">
            <v>01/09/2010</v>
          </cell>
          <cell r="Y1177" t="str">
            <v>KEW</v>
          </cell>
          <cell r="Z1177" t="str">
            <v>16/08/2013</v>
          </cell>
          <cell r="AA1177" t="str">
            <v>15/08/2015</v>
          </cell>
          <cell r="AB1177" t="str">
            <v>No</v>
          </cell>
          <cell r="AC1177" t="str">
            <v>31/08/2013</v>
          </cell>
          <cell r="AD1177" t="str">
            <v>Good</v>
          </cell>
          <cell r="AE1177" t="str">
            <v>V1 - Existing / No Claim</v>
          </cell>
          <cell r="AF1177">
            <v>42791</v>
          </cell>
          <cell r="AG1177">
            <v>9.17</v>
          </cell>
          <cell r="AH1177" t="str">
            <v>PPM</v>
          </cell>
          <cell r="AI1177" t="str">
            <v>Strands</v>
          </cell>
          <cell r="AJ1177" t="str">
            <v>Strands PW</v>
          </cell>
        </row>
        <row r="1178">
          <cell r="A1178" t="str">
            <v>IKN400779</v>
          </cell>
          <cell r="B1178">
            <v>779</v>
          </cell>
          <cell r="C1178" t="str">
            <v>Institut Kanser Negara</v>
          </cell>
          <cell r="D1178" t="str">
            <v>KKM/IKN/H/13/4774</v>
          </cell>
          <cell r="E1178" t="str">
            <v>12-647</v>
          </cell>
          <cell r="F1178" t="str">
            <v>Physiologic Monitoring Systems, Acute Care</v>
          </cell>
          <cell r="G1178" t="str">
            <v>ID</v>
          </cell>
          <cell r="H1178" t="str">
            <v>IMAGING DEPARTMENT</v>
          </cell>
          <cell r="I1178" t="str">
            <v>03ID164</v>
          </cell>
          <cell r="J1178" t="str">
            <v>ANGIO(VE)</v>
          </cell>
          <cell r="K1178" t="str">
            <v>BMED</v>
          </cell>
          <cell r="L1178" t="str">
            <v>Critical</v>
          </cell>
          <cell r="M1178" t="str">
            <v>Germany</v>
          </cell>
          <cell r="N1178" t="str">
            <v>IntelliVue</v>
          </cell>
          <cell r="O1178" t="str">
            <v>IntelliVue MP5</v>
          </cell>
          <cell r="P1178" t="str">
            <v>DE70404757</v>
          </cell>
          <cell r="Q1178" t="str">
            <v>Not Applicable</v>
          </cell>
          <cell r="R1178" t="str">
            <v>Philips Medical Systems</v>
          </cell>
          <cell r="S1178" t="str">
            <v>Advance Altimas Sdn Bhd</v>
          </cell>
          <cell r="T1178" t="str">
            <v>Functioning</v>
          </cell>
          <cell r="U1178" t="str">
            <v>Asset</v>
          </cell>
          <cell r="V1178">
            <v>20000</v>
          </cell>
          <cell r="W1178" t="str">
            <v>Estimate</v>
          </cell>
          <cell r="X1178" t="str">
            <v>01/09/2010</v>
          </cell>
          <cell r="Y1178" t="str">
            <v>KEW</v>
          </cell>
          <cell r="Z1178" t="str">
            <v>16/08/2013</v>
          </cell>
          <cell r="AA1178" t="str">
            <v>15/08/2015</v>
          </cell>
          <cell r="AB1178" t="str">
            <v>No</v>
          </cell>
          <cell r="AC1178" t="str">
            <v>31/08/2013</v>
          </cell>
          <cell r="AD1178" t="str">
            <v>Good</v>
          </cell>
          <cell r="AE1178" t="str">
            <v>V1 - Existing / No Claim</v>
          </cell>
          <cell r="AF1178">
            <v>42601</v>
          </cell>
          <cell r="AG1178">
            <v>9.17</v>
          </cell>
          <cell r="AH1178" t="str">
            <v>PPM</v>
          </cell>
          <cell r="AI1178" t="str">
            <v>Strands</v>
          </cell>
          <cell r="AJ1178" t="str">
            <v>Strands PW</v>
          </cell>
        </row>
        <row r="1179">
          <cell r="A1179" t="str">
            <v>IKN400780</v>
          </cell>
          <cell r="B1179">
            <v>780</v>
          </cell>
          <cell r="C1179" t="str">
            <v>Institut Kanser Negara</v>
          </cell>
          <cell r="D1179" t="str">
            <v>KKM/IKN/H/13/2662</v>
          </cell>
          <cell r="E1179" t="str">
            <v>17-950</v>
          </cell>
          <cell r="F1179" t="str">
            <v>Warming Units, Patient, Forced-Air</v>
          </cell>
          <cell r="G1179" t="str">
            <v>ID</v>
          </cell>
          <cell r="H1179" t="str">
            <v>IMAGING DEPARTMENT</v>
          </cell>
          <cell r="I1179" t="str">
            <v>03ID167</v>
          </cell>
          <cell r="J1179" t="str">
            <v>EQ.STORE</v>
          </cell>
          <cell r="K1179" t="str">
            <v>BMED</v>
          </cell>
          <cell r="L1179" t="str">
            <v>Normal</v>
          </cell>
          <cell r="M1179" t="str">
            <v>USA</v>
          </cell>
          <cell r="N1179" t="str">
            <v>Bair Hugger</v>
          </cell>
          <cell r="O1179" t="str">
            <v>Bair Hugger 775</v>
          </cell>
          <cell r="P1179" t="str">
            <v>35934</v>
          </cell>
          <cell r="Q1179" t="str">
            <v>Not Applicable</v>
          </cell>
          <cell r="R1179" t="str">
            <v>Arizant Healthcare Inc</v>
          </cell>
          <cell r="S1179" t="str">
            <v>Calmed Healthcare Sdn Bhd</v>
          </cell>
          <cell r="T1179" t="str">
            <v>Functioning</v>
          </cell>
          <cell r="U1179" t="str">
            <v>Asset</v>
          </cell>
          <cell r="V1179">
            <v>15515</v>
          </cell>
          <cell r="W1179" t="str">
            <v>KEW</v>
          </cell>
          <cell r="X1179" t="str">
            <v>01/09/2010</v>
          </cell>
          <cell r="Y1179" t="str">
            <v>KEW</v>
          </cell>
          <cell r="Z1179" t="str">
            <v>16/08/2013</v>
          </cell>
          <cell r="AA1179" t="str">
            <v>15/08/2015</v>
          </cell>
          <cell r="AB1179" t="str">
            <v>No</v>
          </cell>
          <cell r="AC1179" t="str">
            <v>31/08/2013</v>
          </cell>
          <cell r="AD1179" t="str">
            <v>Good</v>
          </cell>
          <cell r="AE1179" t="str">
            <v>V1 - Existing / No Claim</v>
          </cell>
          <cell r="AF1179">
            <v>42235</v>
          </cell>
          <cell r="AG1179">
            <v>9.17</v>
          </cell>
          <cell r="AH1179" t="str">
            <v>PPM</v>
          </cell>
          <cell r="AI1179" t="str">
            <v>Strands</v>
          </cell>
          <cell r="AJ1179" t="str">
            <v>Strands PW</v>
          </cell>
        </row>
        <row r="1180">
          <cell r="A1180" t="str">
            <v>IKN400781</v>
          </cell>
          <cell r="B1180">
            <v>781</v>
          </cell>
          <cell r="C1180" t="str">
            <v>Institut Kanser Negara</v>
          </cell>
          <cell r="D1180" t="str">
            <v>KKM/IKN/H/13/2682</v>
          </cell>
          <cell r="E1180" t="str">
            <v>17-950</v>
          </cell>
          <cell r="F1180" t="str">
            <v>Warming Units, Patient, Forced-Air</v>
          </cell>
          <cell r="G1180" t="str">
            <v>ID</v>
          </cell>
          <cell r="H1180" t="str">
            <v>IMAGING DEPARTMENT</v>
          </cell>
          <cell r="I1180" t="str">
            <v>03ID167</v>
          </cell>
          <cell r="J1180" t="str">
            <v>EQ.STORE</v>
          </cell>
          <cell r="K1180" t="str">
            <v>BMED</v>
          </cell>
          <cell r="L1180" t="str">
            <v>Normal</v>
          </cell>
          <cell r="M1180" t="str">
            <v>USA</v>
          </cell>
          <cell r="N1180" t="str">
            <v>Bair Hugger</v>
          </cell>
          <cell r="O1180" t="str">
            <v>Bair Hugger 775</v>
          </cell>
          <cell r="P1180" t="str">
            <v>35933</v>
          </cell>
          <cell r="Q1180" t="str">
            <v>Not Applicable</v>
          </cell>
          <cell r="R1180" t="str">
            <v>Arizant Healthcare Inc</v>
          </cell>
          <cell r="S1180" t="str">
            <v>Calmed Healthcare Sdn Bhd</v>
          </cell>
          <cell r="T1180" t="str">
            <v>Functioning</v>
          </cell>
          <cell r="U1180" t="str">
            <v>Asset</v>
          </cell>
          <cell r="V1180">
            <v>15515</v>
          </cell>
          <cell r="W1180" t="str">
            <v>KEW</v>
          </cell>
          <cell r="X1180" t="str">
            <v>01/09/2010</v>
          </cell>
          <cell r="Y1180" t="str">
            <v>KEW</v>
          </cell>
          <cell r="Z1180" t="str">
            <v>16/08/2013</v>
          </cell>
          <cell r="AA1180" t="str">
            <v>15/08/2015</v>
          </cell>
          <cell r="AB1180" t="str">
            <v>No</v>
          </cell>
          <cell r="AC1180" t="str">
            <v>31/08/2013</v>
          </cell>
          <cell r="AD1180" t="str">
            <v>Good</v>
          </cell>
          <cell r="AE1180" t="str">
            <v>V1 - Existing / No Claim</v>
          </cell>
          <cell r="AF1180">
            <v>42235</v>
          </cell>
          <cell r="AG1180">
            <v>9.17</v>
          </cell>
          <cell r="AH1180" t="str">
            <v>PPM</v>
          </cell>
          <cell r="AI1180" t="str">
            <v>Strands</v>
          </cell>
          <cell r="AJ1180" t="str">
            <v>Strands PW</v>
          </cell>
        </row>
        <row r="1181">
          <cell r="A1181" t="str">
            <v>IKN400782</v>
          </cell>
          <cell r="B1181">
            <v>782</v>
          </cell>
          <cell r="C1181" t="str">
            <v>Institut Kanser Negara</v>
          </cell>
          <cell r="D1181" t="str">
            <v>KKM/IKN/H/13/5433 - 17</v>
          </cell>
          <cell r="E1181" t="str">
            <v>17-679</v>
          </cell>
          <cell r="F1181" t="str">
            <v>Laser Imagers</v>
          </cell>
          <cell r="G1181" t="str">
            <v>ID</v>
          </cell>
          <cell r="H1181" t="str">
            <v>IMAGING DEPARTMENT</v>
          </cell>
          <cell r="I1181" t="str">
            <v>03ID178</v>
          </cell>
          <cell r="J1181" t="str">
            <v>PACS BAY</v>
          </cell>
          <cell r="K1181" t="str">
            <v>BMED</v>
          </cell>
          <cell r="L1181" t="str">
            <v>Normal</v>
          </cell>
          <cell r="M1181" t="str">
            <v>USA</v>
          </cell>
          <cell r="N1181" t="str">
            <v>DryView</v>
          </cell>
          <cell r="O1181" t="str">
            <v>DryView 6850</v>
          </cell>
          <cell r="P1181" t="str">
            <v>68503673</v>
          </cell>
          <cell r="Q1181" t="str">
            <v>Not Applicable</v>
          </cell>
          <cell r="R1181" t="str">
            <v>Carestream Health Inc</v>
          </cell>
          <cell r="S1181" t="str">
            <v>Best Contact (M) Sdn Bhd</v>
          </cell>
          <cell r="T1181" t="str">
            <v>Functioning</v>
          </cell>
          <cell r="U1181" t="str">
            <v>Asset</v>
          </cell>
          <cell r="V1181">
            <v>83100</v>
          </cell>
          <cell r="W1181" t="str">
            <v>KEW</v>
          </cell>
          <cell r="X1181" t="str">
            <v>01/09/2010</v>
          </cell>
          <cell r="Y1181" t="str">
            <v>KEW</v>
          </cell>
          <cell r="Z1181" t="str">
            <v>16/08/2013</v>
          </cell>
          <cell r="AA1181" t="str">
            <v>15/08/2015</v>
          </cell>
          <cell r="AB1181" t="str">
            <v>No</v>
          </cell>
          <cell r="AC1181" t="str">
            <v>31/08/2013</v>
          </cell>
          <cell r="AD1181" t="str">
            <v>Good</v>
          </cell>
          <cell r="AE1181" t="str">
            <v>V1 - Existing / No Claim</v>
          </cell>
          <cell r="AF1181">
            <v>42235</v>
          </cell>
          <cell r="AG1181">
            <v>9.17</v>
          </cell>
          <cell r="AH1181" t="str">
            <v>PPM</v>
          </cell>
          <cell r="AI1181" t="str">
            <v>Strands</v>
          </cell>
          <cell r="AJ1181" t="str">
            <v>Strands Package</v>
          </cell>
          <cell r="AK1181" t="str">
            <v>[21/9/2023, Anis]: Package CT Scan. Package Code XC0004-N</v>
          </cell>
        </row>
        <row r="1182">
          <cell r="A1182" t="str">
            <v>IKN400784</v>
          </cell>
          <cell r="B1182">
            <v>784</v>
          </cell>
          <cell r="C1182" t="str">
            <v>Institut Kanser Negara</v>
          </cell>
          <cell r="D1182" t="str">
            <v>KKM/IKN/H/13/3947</v>
          </cell>
          <cell r="E1182" t="str">
            <v>12-282</v>
          </cell>
          <cell r="F1182" t="str">
            <v>Lights, Surgical</v>
          </cell>
          <cell r="G1182" t="str">
            <v>AE</v>
          </cell>
          <cell r="H1182" t="str">
            <v>EMERGENCY UNIT</v>
          </cell>
          <cell r="I1182" t="str">
            <v>01AE118</v>
          </cell>
          <cell r="J1182" t="str">
            <v>RESUSCITATION TREATMENT 1</v>
          </cell>
          <cell r="K1182" t="str">
            <v>BMED</v>
          </cell>
          <cell r="L1182" t="str">
            <v>Critical</v>
          </cell>
          <cell r="M1182" t="str">
            <v>USA</v>
          </cell>
          <cell r="N1182" t="str">
            <v>Welch Allyn</v>
          </cell>
          <cell r="O1182" t="str">
            <v>Welch Allyn GS900</v>
          </cell>
          <cell r="P1182" t="str">
            <v>10043011102376</v>
          </cell>
          <cell r="Q1182" t="str">
            <v>Not Applicable</v>
          </cell>
          <cell r="R1182" t="str">
            <v>Welch Allyn Inc</v>
          </cell>
          <cell r="S1182" t="str">
            <v>Welch Allyn Malaysia Sdn Bhd</v>
          </cell>
          <cell r="T1182" t="str">
            <v>Functioning</v>
          </cell>
          <cell r="U1182" t="str">
            <v>Asset</v>
          </cell>
          <cell r="V1182">
            <v>10585</v>
          </cell>
          <cell r="W1182" t="str">
            <v>KEW</v>
          </cell>
          <cell r="X1182" t="str">
            <v>01/09/2010</v>
          </cell>
          <cell r="Y1182" t="str">
            <v>KEW</v>
          </cell>
          <cell r="Z1182" t="str">
            <v>16/08/2013</v>
          </cell>
          <cell r="AA1182" t="str">
            <v>15/08/2015</v>
          </cell>
          <cell r="AB1182" t="str">
            <v>No</v>
          </cell>
          <cell r="AC1182" t="str">
            <v>31/08/2013</v>
          </cell>
          <cell r="AD1182" t="str">
            <v>Good</v>
          </cell>
          <cell r="AE1182" t="str">
            <v>V1 - Existing / No Claim</v>
          </cell>
          <cell r="AF1182">
            <v>42800</v>
          </cell>
          <cell r="AG1182">
            <v>9.17</v>
          </cell>
          <cell r="AH1182" t="str">
            <v>PPM</v>
          </cell>
          <cell r="AI1182" t="str">
            <v>Strands</v>
          </cell>
          <cell r="AJ1182" t="str">
            <v>Strands PW</v>
          </cell>
        </row>
        <row r="1183">
          <cell r="A1183" t="str">
            <v>IKN400785</v>
          </cell>
          <cell r="B1183">
            <v>785</v>
          </cell>
          <cell r="C1183" t="str">
            <v>Institut Kanser Negara</v>
          </cell>
          <cell r="D1183" t="str">
            <v>KKM/IKN/H/13/3946</v>
          </cell>
          <cell r="E1183" t="str">
            <v>12-282</v>
          </cell>
          <cell r="F1183" t="str">
            <v>Lights, Surgical</v>
          </cell>
          <cell r="G1183" t="str">
            <v>AE</v>
          </cell>
          <cell r="H1183" t="str">
            <v>EMERGENCY UNIT</v>
          </cell>
          <cell r="I1183" t="str">
            <v>01AE119</v>
          </cell>
          <cell r="J1183" t="str">
            <v>RESUSCITATION/TREATMENT</v>
          </cell>
          <cell r="K1183" t="str">
            <v>BMED</v>
          </cell>
          <cell r="L1183" t="str">
            <v>Critical</v>
          </cell>
          <cell r="M1183" t="str">
            <v>USA</v>
          </cell>
          <cell r="N1183" t="str">
            <v>Welch Allyn</v>
          </cell>
          <cell r="O1183" t="str">
            <v>Welch Allyn GS900</v>
          </cell>
          <cell r="P1183" t="str">
            <v>10033711107113</v>
          </cell>
          <cell r="Q1183" t="str">
            <v>Not Applicable</v>
          </cell>
          <cell r="R1183" t="str">
            <v>Welch Allyn Inc</v>
          </cell>
          <cell r="S1183" t="str">
            <v>Welch Allyn Malaysia Sdn Bhd</v>
          </cell>
          <cell r="T1183" t="str">
            <v>Functioning</v>
          </cell>
          <cell r="U1183" t="str">
            <v>Asset</v>
          </cell>
          <cell r="V1183">
            <v>10585</v>
          </cell>
          <cell r="W1183" t="str">
            <v>KEW</v>
          </cell>
          <cell r="X1183" t="str">
            <v>01/09/2010</v>
          </cell>
          <cell r="Y1183" t="str">
            <v>KEW</v>
          </cell>
          <cell r="Z1183" t="str">
            <v>16/08/2013</v>
          </cell>
          <cell r="AA1183" t="str">
            <v>15/08/2015</v>
          </cell>
          <cell r="AB1183" t="str">
            <v>No</v>
          </cell>
          <cell r="AC1183" t="str">
            <v>31/08/2013</v>
          </cell>
          <cell r="AD1183" t="str">
            <v>Good</v>
          </cell>
          <cell r="AE1183" t="str">
            <v>V1 - Existing / No Claim</v>
          </cell>
          <cell r="AF1183">
            <v>42800</v>
          </cell>
          <cell r="AG1183">
            <v>9.17</v>
          </cell>
          <cell r="AH1183" t="str">
            <v>PPM</v>
          </cell>
          <cell r="AI1183" t="str">
            <v>Strands</v>
          </cell>
          <cell r="AJ1183" t="str">
            <v>Strands PW</v>
          </cell>
        </row>
        <row r="1184">
          <cell r="A1184" t="str">
            <v>IKN400786</v>
          </cell>
          <cell r="B1184">
            <v>786</v>
          </cell>
          <cell r="C1184" t="str">
            <v>Institut Kanser Negara</v>
          </cell>
          <cell r="D1184" t="str">
            <v>KKM/IKN/H/13/3163</v>
          </cell>
          <cell r="E1184" t="str">
            <v>16-597</v>
          </cell>
          <cell r="F1184" t="str">
            <v>Radiographic/Fluoroscopic Systems, Angiographic/Intervention</v>
          </cell>
          <cell r="G1184" t="str">
            <v>ID</v>
          </cell>
          <cell r="H1184" t="str">
            <v>IMAGING DEPARTMENT</v>
          </cell>
          <cell r="I1184" t="str">
            <v>03ID164</v>
          </cell>
          <cell r="J1184" t="str">
            <v>ANGIO(VE)</v>
          </cell>
          <cell r="K1184" t="str">
            <v>BMED</v>
          </cell>
          <cell r="L1184" t="str">
            <v>Normal</v>
          </cell>
          <cell r="M1184" t="str">
            <v>The Netherlands</v>
          </cell>
          <cell r="N1184" t="str">
            <v>Allura</v>
          </cell>
          <cell r="O1184" t="str">
            <v>Allura Xper Fd 20/20</v>
          </cell>
          <cell r="P1184" t="str">
            <v>325</v>
          </cell>
          <cell r="Q1184" t="str">
            <v>Not Applicable</v>
          </cell>
          <cell r="R1184" t="str">
            <v>Philips Medical Systems</v>
          </cell>
          <cell r="S1184" t="str">
            <v>Advance Altimas Sdn Bhd</v>
          </cell>
          <cell r="T1184" t="str">
            <v>Functioning</v>
          </cell>
          <cell r="U1184" t="str">
            <v>Asset</v>
          </cell>
          <cell r="V1184">
            <v>0</v>
          </cell>
          <cell r="W1184" t="str">
            <v>KEW</v>
          </cell>
          <cell r="X1184" t="str">
            <v>01/09/2010</v>
          </cell>
          <cell r="Y1184" t="str">
            <v>KEW</v>
          </cell>
          <cell r="Z1184" t="str">
            <v>16/08/2013</v>
          </cell>
          <cell r="AA1184" t="str">
            <v>15/08/2015</v>
          </cell>
          <cell r="AB1184" t="str">
            <v>No</v>
          </cell>
          <cell r="AC1184" t="str">
            <v>31/08/2013</v>
          </cell>
          <cell r="AD1184" t="str">
            <v>Good</v>
          </cell>
          <cell r="AE1184" t="str">
            <v>V1 - Existing / No Claim</v>
          </cell>
          <cell r="AF1184">
            <v>42235</v>
          </cell>
          <cell r="AG1184">
            <v>9.17</v>
          </cell>
          <cell r="AH1184" t="str">
            <v>PPM</v>
          </cell>
          <cell r="AI1184" t="str">
            <v>Strands</v>
          </cell>
          <cell r="AJ1184" t="str">
            <v>Strands Package</v>
          </cell>
          <cell r="AK1184" t="str">
            <v>Package Code XE0004</v>
          </cell>
        </row>
        <row r="1185">
          <cell r="A1185" t="str">
            <v>IKN400787</v>
          </cell>
          <cell r="B1185">
            <v>787</v>
          </cell>
          <cell r="C1185" t="str">
            <v>Institut Kanser Negara</v>
          </cell>
          <cell r="D1185" t="str">
            <v>KKM/IKN/H/13/2743</v>
          </cell>
          <cell r="E1185" t="str">
            <v>13-272</v>
          </cell>
          <cell r="F1185" t="str">
            <v>Radiographic Units, Mobile</v>
          </cell>
          <cell r="G1185" t="str">
            <v>ID</v>
          </cell>
          <cell r="H1185" t="str">
            <v>IMAGING DEPARTMENT</v>
          </cell>
          <cell r="I1185" t="str">
            <v>03ID106</v>
          </cell>
          <cell r="J1185" t="str">
            <v>MOBILE X-RAY</v>
          </cell>
          <cell r="K1185" t="str">
            <v>BMED</v>
          </cell>
          <cell r="L1185" t="str">
            <v>Normal</v>
          </cell>
          <cell r="M1185" t="str">
            <v>USA</v>
          </cell>
          <cell r="N1185" t="str">
            <v>Carestream</v>
          </cell>
          <cell r="O1185" t="str">
            <v>Carestream DRX-Revolution</v>
          </cell>
          <cell r="P1185" t="str">
            <v>0253</v>
          </cell>
          <cell r="Q1185" t="str">
            <v>Not Applicable</v>
          </cell>
          <cell r="R1185" t="str">
            <v>Carestream Health Inc</v>
          </cell>
          <cell r="S1185" t="str">
            <v>Best Contact (M) Sdn Bhd</v>
          </cell>
          <cell r="T1185" t="str">
            <v>Functioning</v>
          </cell>
          <cell r="U1185" t="str">
            <v>Asset</v>
          </cell>
          <cell r="V1185">
            <v>1149550</v>
          </cell>
          <cell r="W1185" t="str">
            <v>KEW</v>
          </cell>
          <cell r="X1185" t="str">
            <v>01/09/2010</v>
          </cell>
          <cell r="Y1185" t="str">
            <v>KEW</v>
          </cell>
          <cell r="Z1185" t="str">
            <v>16/08/2013</v>
          </cell>
          <cell r="AA1185" t="str">
            <v>15/08/2015</v>
          </cell>
          <cell r="AB1185" t="str">
            <v>No</v>
          </cell>
          <cell r="AC1185" t="str">
            <v>31/08/2013</v>
          </cell>
          <cell r="AD1185" t="str">
            <v>Good</v>
          </cell>
          <cell r="AE1185" t="str">
            <v>V1 - Existing / No Claim</v>
          </cell>
          <cell r="AF1185">
            <v>42235</v>
          </cell>
          <cell r="AG1185">
            <v>9.17</v>
          </cell>
          <cell r="AH1185" t="str">
            <v>PPM</v>
          </cell>
          <cell r="AI1185" t="str">
            <v>Strands</v>
          </cell>
          <cell r="AJ1185" t="str">
            <v>Strands PW</v>
          </cell>
        </row>
        <row r="1186">
          <cell r="A1186" t="str">
            <v>IKN400788</v>
          </cell>
          <cell r="B1186">
            <v>788</v>
          </cell>
          <cell r="C1186" t="str">
            <v>Institut Kanser Negara</v>
          </cell>
          <cell r="D1186" t="str">
            <v>KKM/IKN/H/13/4332</v>
          </cell>
          <cell r="E1186" t="str">
            <v>17-968</v>
          </cell>
          <cell r="F1186" t="str">
            <v>Injectors, Contrast Media</v>
          </cell>
          <cell r="G1186" t="str">
            <v>ID</v>
          </cell>
          <cell r="H1186" t="str">
            <v>IMAGING DEPARTMENT</v>
          </cell>
          <cell r="I1186" t="str">
            <v>03ID156</v>
          </cell>
          <cell r="J1186" t="str">
            <v>C.T. SCAN 1 (+VE)</v>
          </cell>
          <cell r="K1186" t="str">
            <v>BMED</v>
          </cell>
          <cell r="L1186" t="str">
            <v>Critical</v>
          </cell>
          <cell r="M1186" t="str">
            <v>USA</v>
          </cell>
          <cell r="N1186" t="str">
            <v>Medrad</v>
          </cell>
          <cell r="O1186" t="str">
            <v>Medrad Stellant</v>
          </cell>
          <cell r="P1186" t="str">
            <v>301422660551</v>
          </cell>
          <cell r="Q1186" t="str">
            <v>Not Applicable</v>
          </cell>
          <cell r="R1186" t="str">
            <v>Medrad Inc</v>
          </cell>
          <cell r="S1186" t="str">
            <v>Advance Altimas Sdn Bhd</v>
          </cell>
          <cell r="T1186" t="str">
            <v>Functioning</v>
          </cell>
          <cell r="U1186" t="str">
            <v>Asset</v>
          </cell>
          <cell r="V1186">
            <v>100000</v>
          </cell>
          <cell r="W1186" t="str">
            <v>Estimate</v>
          </cell>
          <cell r="X1186" t="str">
            <v>01/09/2010</v>
          </cell>
          <cell r="Y1186" t="str">
            <v>KEW</v>
          </cell>
          <cell r="Z1186" t="str">
            <v>16/08/2013</v>
          </cell>
          <cell r="AA1186" t="str">
            <v>15/08/2015</v>
          </cell>
          <cell r="AB1186" t="str">
            <v>No</v>
          </cell>
          <cell r="AC1186" t="str">
            <v>31/08/2013</v>
          </cell>
          <cell r="AD1186" t="str">
            <v>Good</v>
          </cell>
          <cell r="AE1186" t="str">
            <v>V1 - Existing / No Claim</v>
          </cell>
          <cell r="AF1186">
            <v>42605</v>
          </cell>
          <cell r="AG1186">
            <v>9.17</v>
          </cell>
          <cell r="AH1186" t="str">
            <v>PPM</v>
          </cell>
          <cell r="AI1186" t="str">
            <v>Strands</v>
          </cell>
          <cell r="AJ1186" t="str">
            <v>Strands Package</v>
          </cell>
          <cell r="AK1186" t="str">
            <v>Package Code XC0004-N</v>
          </cell>
        </row>
        <row r="1187">
          <cell r="A1187" t="str">
            <v>IKN400789</v>
          </cell>
          <cell r="B1187">
            <v>789</v>
          </cell>
          <cell r="C1187" t="str">
            <v>Institut Kanser Negara</v>
          </cell>
          <cell r="D1187" t="str">
            <v>KKM/IKN/H/13/2741-9</v>
          </cell>
          <cell r="E1187" t="str">
            <v>12-647</v>
          </cell>
          <cell r="F1187" t="str">
            <v>Physiologic Monitoring Systems, Acute Care</v>
          </cell>
          <cell r="G1187" t="str">
            <v>ID</v>
          </cell>
          <cell r="H1187" t="str">
            <v>IMAGING DEPARTMENT</v>
          </cell>
          <cell r="I1187" t="str">
            <v>03ID156</v>
          </cell>
          <cell r="J1187" t="str">
            <v>C.T. SCAN 1 (+VE)</v>
          </cell>
          <cell r="K1187" t="str">
            <v>BMED</v>
          </cell>
          <cell r="L1187" t="str">
            <v>Critical</v>
          </cell>
          <cell r="M1187" t="str">
            <v>USA</v>
          </cell>
          <cell r="N1187" t="str">
            <v>Cardiac Trigger</v>
          </cell>
          <cell r="O1187" t="str">
            <v>Cardiac Trigger Monitor 3000</v>
          </cell>
          <cell r="P1187" t="str">
            <v>12070029</v>
          </cell>
          <cell r="Q1187" t="str">
            <v>Not Applicable</v>
          </cell>
          <cell r="R1187" t="str">
            <v>Ivy Biomedical Systems Inc</v>
          </cell>
          <cell r="S1187" t="str">
            <v>Advance Altimas Sdn Bhd</v>
          </cell>
          <cell r="T1187" t="str">
            <v>Functioning</v>
          </cell>
          <cell r="U1187" t="str">
            <v>Asset</v>
          </cell>
          <cell r="V1187">
            <v>20000</v>
          </cell>
          <cell r="W1187" t="str">
            <v>Estimate</v>
          </cell>
          <cell r="X1187" t="str">
            <v>01/09/2010</v>
          </cell>
          <cell r="Y1187" t="str">
            <v>KEW</v>
          </cell>
          <cell r="Z1187" t="str">
            <v>16/08/2013</v>
          </cell>
          <cell r="AA1187" t="str">
            <v>15/08/2015</v>
          </cell>
          <cell r="AB1187" t="str">
            <v>No</v>
          </cell>
          <cell r="AC1187" t="str">
            <v>31/08/2013</v>
          </cell>
          <cell r="AD1187" t="str">
            <v>Good</v>
          </cell>
          <cell r="AE1187" t="str">
            <v>V4 - Decommissioned Installed Facility</v>
          </cell>
          <cell r="AF1187">
            <v>42605</v>
          </cell>
          <cell r="AG1187">
            <v>9.17</v>
          </cell>
          <cell r="AH1187" t="str">
            <v>PPM</v>
          </cell>
          <cell r="AI1187" t="str">
            <v>Strands</v>
          </cell>
          <cell r="AJ1187" t="str">
            <v>Strands Package</v>
          </cell>
          <cell r="AK1187" t="str">
            <v>[22/9/2023, SHARIFAH]: Update KKM No. ikut Asset Tiger. PEP ON NOV 2020, BER/BEMS/AWSB/20/008 - Asset masih boleh digunakan namun asset tidak ekonomik diperbaiki lagi sekiranya rosak. Package Code XC0004-N</v>
          </cell>
        </row>
        <row r="1188">
          <cell r="A1188" t="str">
            <v>IKN400790</v>
          </cell>
          <cell r="B1188">
            <v>790</v>
          </cell>
          <cell r="C1188" t="str">
            <v>Institut Kanser Negara</v>
          </cell>
          <cell r="D1188" t="str">
            <v>KKM/IKN/H/14/47</v>
          </cell>
          <cell r="E1188" t="str">
            <v>11-246</v>
          </cell>
          <cell r="F1188" t="str">
            <v>Radiofrequency Therapy Systems, Diathermy</v>
          </cell>
          <cell r="G1188" t="str">
            <v>ID</v>
          </cell>
          <cell r="H1188" t="str">
            <v>IMAGING DEPARTMENT</v>
          </cell>
          <cell r="I1188" t="str">
            <v>03ID164</v>
          </cell>
          <cell r="J1188" t="str">
            <v>ANGIO(VE)</v>
          </cell>
          <cell r="K1188" t="str">
            <v>BMED</v>
          </cell>
          <cell r="L1188" t="str">
            <v>Critical</v>
          </cell>
          <cell r="M1188" t="str">
            <v>USA</v>
          </cell>
          <cell r="N1188" t="str">
            <v>Covedien</v>
          </cell>
          <cell r="O1188" t="str">
            <v>Covedien E-Series</v>
          </cell>
          <cell r="P1188" t="str">
            <v>P4D05877X</v>
          </cell>
          <cell r="Q1188" t="str">
            <v>Not Applicable</v>
          </cell>
          <cell r="R1188" t="str">
            <v>Covidien Co</v>
          </cell>
          <cell r="S1188" t="str">
            <v>Mediliance (M) Sdn. Bhd.</v>
          </cell>
          <cell r="T1188" t="str">
            <v>Functioning</v>
          </cell>
          <cell r="U1188" t="str">
            <v>Asset</v>
          </cell>
          <cell r="V1188">
            <v>304684</v>
          </cell>
          <cell r="W1188" t="str">
            <v>KEW</v>
          </cell>
          <cell r="X1188" t="str">
            <v>05/09/2014</v>
          </cell>
          <cell r="Y1188" t="str">
            <v>KEW</v>
          </cell>
          <cell r="Z1188" t="str">
            <v>24/09/2014</v>
          </cell>
          <cell r="AA1188" t="str">
            <v>23/09/2016</v>
          </cell>
          <cell r="AB1188" t="str">
            <v>No</v>
          </cell>
          <cell r="AC1188" t="str">
            <v>24/09/2014</v>
          </cell>
          <cell r="AD1188" t="str">
            <v>Good</v>
          </cell>
          <cell r="AE1188" t="str">
            <v>V3 - Added Installed Facilities (New)</v>
          </cell>
          <cell r="AF1188">
            <v>42791</v>
          </cell>
          <cell r="AG1188">
            <v>5.17</v>
          </cell>
          <cell r="AH1188" t="str">
            <v>PPM</v>
          </cell>
          <cell r="AI1188" t="str">
            <v>Strands</v>
          </cell>
          <cell r="AJ1188" t="str">
            <v>Strands PW</v>
          </cell>
          <cell r="AK1188" t="str">
            <v>SNF received on 25.2.2020</v>
          </cell>
        </row>
        <row r="1189">
          <cell r="A1189" t="str">
            <v>IKN400791</v>
          </cell>
          <cell r="B1189">
            <v>791</v>
          </cell>
          <cell r="C1189" t="str">
            <v>Institut Kanser Negara</v>
          </cell>
          <cell r="D1189" t="str">
            <v>KKM/IKN/H/13/4293</v>
          </cell>
          <cell r="E1189" t="str">
            <v>11-134</v>
          </cell>
          <cell r="F1189" t="str">
            <v>Defibrillators, External, Manual</v>
          </cell>
          <cell r="G1189" t="str">
            <v>ID</v>
          </cell>
          <cell r="H1189" t="str">
            <v>IMAGING DEPARTMENT</v>
          </cell>
          <cell r="I1189" t="str">
            <v>03ID111</v>
          </cell>
          <cell r="J1189" t="str">
            <v>M.R.I (VE)</v>
          </cell>
          <cell r="K1189" t="str">
            <v>BMED</v>
          </cell>
          <cell r="L1189" t="str">
            <v>Critical</v>
          </cell>
          <cell r="M1189" t="str">
            <v>JAPAN</v>
          </cell>
          <cell r="N1189" t="str">
            <v>CardioLife</v>
          </cell>
          <cell r="O1189" t="str">
            <v>CardioLife TEC-5521K</v>
          </cell>
          <cell r="P1189" t="str">
            <v>12576</v>
          </cell>
          <cell r="Q1189" t="str">
            <v>Not Applicable</v>
          </cell>
          <cell r="R1189" t="str">
            <v>Nihon Kohden Corp</v>
          </cell>
          <cell r="S1189" t="str">
            <v>Metro Jendela Sdn Bhd</v>
          </cell>
          <cell r="T1189" t="str">
            <v>Functioning</v>
          </cell>
          <cell r="U1189" t="str">
            <v>Asset</v>
          </cell>
          <cell r="V1189">
            <v>30000</v>
          </cell>
          <cell r="W1189" t="str">
            <v>Estimate</v>
          </cell>
          <cell r="X1189" t="str">
            <v>01/09/2010</v>
          </cell>
          <cell r="Y1189" t="str">
            <v>KEW</v>
          </cell>
          <cell r="Z1189" t="str">
            <v>16/08/2013</v>
          </cell>
          <cell r="AA1189" t="str">
            <v>15/08/2015</v>
          </cell>
          <cell r="AB1189" t="str">
            <v>No</v>
          </cell>
          <cell r="AC1189" t="str">
            <v>31/08/2013</v>
          </cell>
          <cell r="AD1189" t="str">
            <v>Good</v>
          </cell>
          <cell r="AE1189" t="str">
            <v>V1 - Existing / No Claim</v>
          </cell>
          <cell r="AF1189">
            <v>42605</v>
          </cell>
          <cell r="AG1189">
            <v>9.17</v>
          </cell>
          <cell r="AH1189" t="str">
            <v>PPM</v>
          </cell>
          <cell r="AI1189" t="str">
            <v>Strands</v>
          </cell>
          <cell r="AJ1189" t="str">
            <v>Strands Package</v>
          </cell>
          <cell r="AK1189" t="str">
            <v>Package Code XJ0007</v>
          </cell>
        </row>
        <row r="1190">
          <cell r="A1190" t="str">
            <v>IKN400795</v>
          </cell>
          <cell r="B1190">
            <v>795</v>
          </cell>
          <cell r="C1190" t="str">
            <v>Institut Kanser Negara</v>
          </cell>
          <cell r="D1190" t="str">
            <v>KKM/IKN/H/13/4576</v>
          </cell>
          <cell r="E1190" t="str">
            <v>18-158</v>
          </cell>
          <cell r="F1190" t="str">
            <v>Injectors, Contrast Media, Magnetic Resonance Imaging</v>
          </cell>
          <cell r="G1190" t="str">
            <v>ID</v>
          </cell>
          <cell r="H1190" t="str">
            <v>IMAGING DEPARTMENT</v>
          </cell>
          <cell r="I1190" t="str">
            <v>03ID111</v>
          </cell>
          <cell r="J1190" t="str">
            <v>M.R.I (VE)</v>
          </cell>
          <cell r="K1190" t="str">
            <v>BMED</v>
          </cell>
          <cell r="L1190" t="str">
            <v>Normal</v>
          </cell>
          <cell r="M1190" t="str">
            <v>USA</v>
          </cell>
          <cell r="N1190" t="str">
            <v>Spectris</v>
          </cell>
          <cell r="O1190" t="str">
            <v>Spectris Solaris EP</v>
          </cell>
          <cell r="P1190" t="str">
            <v>301201248212</v>
          </cell>
          <cell r="Q1190" t="str">
            <v>Not Applicable</v>
          </cell>
          <cell r="R1190" t="str">
            <v>Medrad Inc</v>
          </cell>
          <cell r="S1190" t="str">
            <v>Advance Altimas Sdn Bhd</v>
          </cell>
          <cell r="T1190" t="str">
            <v>Functioning</v>
          </cell>
          <cell r="U1190" t="str">
            <v>Asset</v>
          </cell>
          <cell r="V1190">
            <v>172500</v>
          </cell>
          <cell r="W1190" t="str">
            <v>KEW</v>
          </cell>
          <cell r="X1190" t="str">
            <v>01/09/2010</v>
          </cell>
          <cell r="Y1190" t="str">
            <v>KEW</v>
          </cell>
          <cell r="Z1190" t="str">
            <v>16/08/2013</v>
          </cell>
          <cell r="AA1190" t="str">
            <v>15/08/2015</v>
          </cell>
          <cell r="AB1190" t="str">
            <v>No</v>
          </cell>
          <cell r="AC1190" t="str">
            <v>31/08/2013</v>
          </cell>
          <cell r="AD1190" t="str">
            <v>Good</v>
          </cell>
          <cell r="AE1190" t="str">
            <v>V1 - Existing / No Claim</v>
          </cell>
          <cell r="AF1190">
            <v>42605</v>
          </cell>
          <cell r="AG1190">
            <v>9.17</v>
          </cell>
          <cell r="AH1190" t="str">
            <v>PPM</v>
          </cell>
          <cell r="AI1190" t="str">
            <v>package</v>
          </cell>
          <cell r="AJ1190" t="e">
            <v>#REF!</v>
          </cell>
          <cell r="AK1190" t="str">
            <v>27/10/2023: KEWPA, SN: 48212.</v>
          </cell>
        </row>
        <row r="1191">
          <cell r="A1191" t="str">
            <v>IKN400796</v>
          </cell>
          <cell r="B1191">
            <v>796</v>
          </cell>
          <cell r="C1191" t="str">
            <v>Institut Kanser Negara</v>
          </cell>
          <cell r="D1191" t="str">
            <v>KKM/IKN/H/13/4292</v>
          </cell>
          <cell r="E1191" t="str">
            <v>13-215</v>
          </cell>
          <cell r="F1191" t="str">
            <v>Infusion Pumps, General-Purpose</v>
          </cell>
          <cell r="G1191" t="str">
            <v>ID</v>
          </cell>
          <cell r="H1191" t="str">
            <v>IMAGING DEPARTMENT</v>
          </cell>
          <cell r="I1191" t="str">
            <v>03ID111</v>
          </cell>
          <cell r="J1191" t="str">
            <v>M.R.I (VE)</v>
          </cell>
          <cell r="K1191" t="str">
            <v>BMED</v>
          </cell>
          <cell r="L1191" t="str">
            <v>Critical</v>
          </cell>
          <cell r="M1191" t="str">
            <v>USA</v>
          </cell>
          <cell r="N1191" t="str">
            <v>Mridium</v>
          </cell>
          <cell r="O1191" t="str">
            <v>MRidium 3851</v>
          </cell>
          <cell r="P1191" t="str">
            <v>IR5110595/IR5011214</v>
          </cell>
          <cell r="Q1191" t="str">
            <v>Not Applicable</v>
          </cell>
          <cell r="R1191" t="str">
            <v>Iradimed Corp</v>
          </cell>
          <cell r="S1191" t="str">
            <v>APPLIED MEDICAL SYSTEMS SDN BHD</v>
          </cell>
          <cell r="T1191" t="str">
            <v>Functioning</v>
          </cell>
          <cell r="U1191" t="str">
            <v>Asset</v>
          </cell>
          <cell r="V1191">
            <v>1400</v>
          </cell>
          <cell r="W1191" t="str">
            <v>Estimate</v>
          </cell>
          <cell r="X1191" t="str">
            <v>01/09/2010</v>
          </cell>
          <cell r="Y1191" t="str">
            <v>KEW</v>
          </cell>
          <cell r="Z1191" t="str">
            <v>16/08/2013</v>
          </cell>
          <cell r="AA1191" t="str">
            <v>15/08/2015</v>
          </cell>
          <cell r="AB1191" t="str">
            <v>No</v>
          </cell>
          <cell r="AC1191" t="str">
            <v>31/08/2013</v>
          </cell>
          <cell r="AD1191" t="str">
            <v>Good</v>
          </cell>
          <cell r="AE1191" t="str">
            <v>V1 - Existing / No Claim</v>
          </cell>
          <cell r="AF1191">
            <v>42791</v>
          </cell>
          <cell r="AG1191">
            <v>9.17</v>
          </cell>
          <cell r="AH1191" t="str">
            <v>PPM</v>
          </cell>
          <cell r="AI1191" t="str">
            <v>Strands</v>
          </cell>
          <cell r="AJ1191" t="str">
            <v>Strands PW</v>
          </cell>
        </row>
        <row r="1192">
          <cell r="A1192" t="str">
            <v>IKN400797</v>
          </cell>
          <cell r="B1192">
            <v>797</v>
          </cell>
          <cell r="C1192" t="str">
            <v>Institut Kanser Negara</v>
          </cell>
          <cell r="D1192" t="str">
            <v>KKM/IKN/H/13/2663</v>
          </cell>
          <cell r="E1192" t="str">
            <v>17-950</v>
          </cell>
          <cell r="F1192" t="str">
            <v>Warming Units, Patient, Forced-Air</v>
          </cell>
          <cell r="G1192" t="str">
            <v>ID</v>
          </cell>
          <cell r="H1192" t="str">
            <v>IMAGING DEPARTMENT</v>
          </cell>
          <cell r="I1192" t="str">
            <v>03ID109</v>
          </cell>
          <cell r="J1192" t="str">
            <v>INDUCTION</v>
          </cell>
          <cell r="K1192" t="str">
            <v>BMED</v>
          </cell>
          <cell r="L1192" t="str">
            <v>Normal</v>
          </cell>
          <cell r="M1192" t="str">
            <v>USA</v>
          </cell>
          <cell r="N1192" t="str">
            <v>Bair Hugger</v>
          </cell>
          <cell r="O1192" t="str">
            <v>Bair Hugger 775</v>
          </cell>
          <cell r="P1192" t="str">
            <v>36865</v>
          </cell>
          <cell r="Q1192" t="str">
            <v>Not Applicable</v>
          </cell>
          <cell r="R1192" t="str">
            <v>Arizant Healthcare Inc</v>
          </cell>
          <cell r="S1192" t="str">
            <v>Calmed Healthcare Sdn Bhd</v>
          </cell>
          <cell r="T1192" t="str">
            <v>Functioning</v>
          </cell>
          <cell r="U1192" t="str">
            <v>Asset</v>
          </cell>
          <cell r="V1192">
            <v>15515</v>
          </cell>
          <cell r="W1192" t="str">
            <v>KEW</v>
          </cell>
          <cell r="X1192" t="str">
            <v>01/09/2010</v>
          </cell>
          <cell r="Y1192" t="str">
            <v>KEW</v>
          </cell>
          <cell r="Z1192" t="str">
            <v>16/08/2013</v>
          </cell>
          <cell r="AA1192" t="str">
            <v>15/08/2015</v>
          </cell>
          <cell r="AB1192" t="str">
            <v>No</v>
          </cell>
          <cell r="AC1192" t="str">
            <v>31/08/2013</v>
          </cell>
          <cell r="AD1192" t="str">
            <v>Good</v>
          </cell>
          <cell r="AE1192" t="str">
            <v>V1 - Existing / No Claim</v>
          </cell>
          <cell r="AF1192">
            <v>42235</v>
          </cell>
          <cell r="AG1192">
            <v>9.17</v>
          </cell>
          <cell r="AH1192" t="str">
            <v>PPM</v>
          </cell>
          <cell r="AI1192" t="str">
            <v>Strands</v>
          </cell>
          <cell r="AJ1192" t="str">
            <v>Strands PW</v>
          </cell>
        </row>
        <row r="1193">
          <cell r="A1193" t="str">
            <v>IKN400798</v>
          </cell>
          <cell r="B1193">
            <v>798</v>
          </cell>
          <cell r="C1193" t="str">
            <v>Institut Kanser Negara</v>
          </cell>
          <cell r="D1193" t="str">
            <v>KKM/IKN/H/13/1351</v>
          </cell>
          <cell r="E1193" t="str">
            <v>18-430</v>
          </cell>
          <cell r="F1193" t="str">
            <v>Radiographic Systems, Digital</v>
          </cell>
          <cell r="G1193" t="str">
            <v>ID</v>
          </cell>
          <cell r="H1193" t="str">
            <v>IMAGING DEPARTMENT</v>
          </cell>
          <cell r="I1193" t="str">
            <v>03ID181</v>
          </cell>
          <cell r="J1193" t="str">
            <v>X-RAY 2(GENERAL)</v>
          </cell>
          <cell r="K1193" t="str">
            <v>BMED</v>
          </cell>
          <cell r="L1193" t="str">
            <v>Normal</v>
          </cell>
          <cell r="M1193" t="str">
            <v>USA</v>
          </cell>
          <cell r="N1193" t="str">
            <v>Discovery</v>
          </cell>
          <cell r="O1193" t="str">
            <v>Discovery XR656</v>
          </cell>
          <cell r="P1193" t="str">
            <v>87634HL2</v>
          </cell>
          <cell r="Q1193" t="str">
            <v>Not Applicable</v>
          </cell>
          <cell r="R1193" t="str">
            <v>GE Healthcare</v>
          </cell>
          <cell r="S1193" t="str">
            <v>GE Healthcare Technologies</v>
          </cell>
          <cell r="T1193" t="str">
            <v>Functioning</v>
          </cell>
          <cell r="U1193" t="str">
            <v>Asset</v>
          </cell>
          <cell r="V1193">
            <v>1958605</v>
          </cell>
          <cell r="W1193" t="str">
            <v>KEW</v>
          </cell>
          <cell r="X1193" t="str">
            <v>01/09/2010</v>
          </cell>
          <cell r="Y1193" t="str">
            <v>KEW</v>
          </cell>
          <cell r="Z1193" t="str">
            <v>16/08/2013</v>
          </cell>
          <cell r="AA1193" t="str">
            <v>15/08/2015</v>
          </cell>
          <cell r="AB1193" t="str">
            <v>No</v>
          </cell>
          <cell r="AC1193" t="str">
            <v>31/08/2013</v>
          </cell>
          <cell r="AD1193" t="str">
            <v>Good</v>
          </cell>
          <cell r="AE1193" t="str">
            <v>V1 - Existing / No Claim</v>
          </cell>
          <cell r="AF1193">
            <v>42791</v>
          </cell>
          <cell r="AG1193">
            <v>9.17</v>
          </cell>
          <cell r="AH1193" t="str">
            <v>PPM</v>
          </cell>
          <cell r="AI1193" t="str">
            <v>Strands</v>
          </cell>
          <cell r="AJ1193" t="str">
            <v>Strands Package</v>
          </cell>
          <cell r="AK1193" t="str">
            <v>Package Code XR0007-D</v>
          </cell>
        </row>
        <row r="1194">
          <cell r="A1194" t="str">
            <v>IKN400799</v>
          </cell>
          <cell r="B1194">
            <v>799</v>
          </cell>
          <cell r="C1194" t="str">
            <v>Institut Kanser Negara</v>
          </cell>
          <cell r="D1194" t="str">
            <v>KKM/IKN/H/13/1241</v>
          </cell>
          <cell r="E1194" t="str">
            <v>18-430</v>
          </cell>
          <cell r="F1194" t="str">
            <v>Radiographic Systems, Digital</v>
          </cell>
          <cell r="G1194" t="str">
            <v>ID</v>
          </cell>
          <cell r="H1194" t="str">
            <v>IMAGING DEPARTMENT</v>
          </cell>
          <cell r="I1194" t="str">
            <v>03ID186</v>
          </cell>
          <cell r="J1194" t="str">
            <v>X-RAY 1 (GENERAL)</v>
          </cell>
          <cell r="K1194" t="str">
            <v>BMED</v>
          </cell>
          <cell r="L1194" t="str">
            <v>Normal</v>
          </cell>
          <cell r="M1194" t="str">
            <v>USA</v>
          </cell>
          <cell r="N1194" t="str">
            <v>Discovery</v>
          </cell>
          <cell r="O1194" t="str">
            <v>Discovery XR656</v>
          </cell>
          <cell r="P1194" t="str">
            <v>87996HL5</v>
          </cell>
          <cell r="Q1194" t="str">
            <v>Not Applicable</v>
          </cell>
          <cell r="R1194" t="str">
            <v>GE Healthcare</v>
          </cell>
          <cell r="S1194" t="str">
            <v>GE Healthcare Technologies</v>
          </cell>
          <cell r="T1194" t="str">
            <v>Functioning</v>
          </cell>
          <cell r="U1194" t="str">
            <v>Asset</v>
          </cell>
          <cell r="V1194">
            <v>1958605</v>
          </cell>
          <cell r="W1194" t="str">
            <v>KEW</v>
          </cell>
          <cell r="X1194" t="str">
            <v>01/09/2010</v>
          </cell>
          <cell r="Y1194" t="str">
            <v>KEW</v>
          </cell>
          <cell r="Z1194" t="str">
            <v>16/08/2013</v>
          </cell>
          <cell r="AA1194" t="str">
            <v>15/08/2015</v>
          </cell>
          <cell r="AB1194" t="str">
            <v>No</v>
          </cell>
          <cell r="AC1194" t="str">
            <v>31/08/2013</v>
          </cell>
          <cell r="AD1194" t="str">
            <v>Good</v>
          </cell>
          <cell r="AE1194" t="str">
            <v>V1 - Existing / No Claim</v>
          </cell>
          <cell r="AF1194">
            <v>42791</v>
          </cell>
          <cell r="AG1194">
            <v>9.17</v>
          </cell>
          <cell r="AH1194" t="str">
            <v>PPM</v>
          </cell>
          <cell r="AI1194" t="str">
            <v>Strands</v>
          </cell>
          <cell r="AJ1194" t="str">
            <v>Strands Package</v>
          </cell>
          <cell r="AK1194" t="str">
            <v>Package Code XR0007-D</v>
          </cell>
        </row>
        <row r="1195">
          <cell r="A1195" t="str">
            <v>IKN400800</v>
          </cell>
          <cell r="B1195">
            <v>800</v>
          </cell>
          <cell r="C1195" t="str">
            <v>Institut Kanser Negara</v>
          </cell>
          <cell r="D1195" t="str">
            <v>KKM/IKN/H/13/2751</v>
          </cell>
          <cell r="E1195" t="str">
            <v>12-647</v>
          </cell>
          <cell r="F1195" t="str">
            <v>Physiologic Monitoring Systems, Acute Care</v>
          </cell>
          <cell r="G1195" t="str">
            <v>ID</v>
          </cell>
          <cell r="H1195" t="str">
            <v>IMAGING DEPARTMENT</v>
          </cell>
          <cell r="I1195" t="str">
            <v>03ID167</v>
          </cell>
          <cell r="J1195" t="str">
            <v>EQ.STORE</v>
          </cell>
          <cell r="K1195" t="str">
            <v>BMED</v>
          </cell>
          <cell r="L1195" t="str">
            <v>Critical</v>
          </cell>
          <cell r="M1195" t="str">
            <v>USA</v>
          </cell>
          <cell r="N1195" t="str">
            <v>GE</v>
          </cell>
          <cell r="O1195" t="str">
            <v>GE B30</v>
          </cell>
          <cell r="P1195" t="str">
            <v>SF312325904WA</v>
          </cell>
          <cell r="Q1195" t="str">
            <v>Not Applicable</v>
          </cell>
          <cell r="R1195" t="str">
            <v>GE Healthcare Systems</v>
          </cell>
          <cell r="S1195" t="str">
            <v>GE Healthcare Technologies</v>
          </cell>
          <cell r="T1195" t="str">
            <v>Functioning</v>
          </cell>
          <cell r="U1195" t="str">
            <v>Asset</v>
          </cell>
          <cell r="V1195">
            <v>44510</v>
          </cell>
          <cell r="W1195" t="str">
            <v>KEW</v>
          </cell>
          <cell r="X1195" t="str">
            <v>01/09/2010</v>
          </cell>
          <cell r="Y1195" t="str">
            <v>KEW</v>
          </cell>
          <cell r="Z1195" t="str">
            <v>16/08/2013</v>
          </cell>
          <cell r="AA1195" t="str">
            <v>15/08/2015</v>
          </cell>
          <cell r="AB1195" t="str">
            <v>No</v>
          </cell>
          <cell r="AC1195" t="str">
            <v>31/08/2013</v>
          </cell>
          <cell r="AD1195" t="str">
            <v>Good</v>
          </cell>
          <cell r="AE1195" t="str">
            <v>V1 - Existing / No Claim</v>
          </cell>
          <cell r="AF1195">
            <v>42791</v>
          </cell>
          <cell r="AG1195">
            <v>9.17</v>
          </cell>
          <cell r="AH1195" t="str">
            <v>PPM</v>
          </cell>
          <cell r="AI1195" t="str">
            <v>Strands</v>
          </cell>
          <cell r="AJ1195" t="str">
            <v>Strands PW</v>
          </cell>
        </row>
        <row r="1196">
          <cell r="A1196" t="str">
            <v>IKN400801</v>
          </cell>
          <cell r="B1196">
            <v>801</v>
          </cell>
          <cell r="C1196" t="str">
            <v>Institut Kanser Negara</v>
          </cell>
          <cell r="D1196" t="str">
            <v>KKM/IKN/H/13/2560</v>
          </cell>
          <cell r="E1196" t="str">
            <v>10-447</v>
          </cell>
          <cell r="F1196" t="str">
            <v>Warming Units, Blood/Solution</v>
          </cell>
          <cell r="G1196" t="str">
            <v>RT</v>
          </cell>
          <cell r="H1196" t="str">
            <v>RADIATION TREATMENT UNIT</v>
          </cell>
          <cell r="I1196" t="str">
            <v>01RT233</v>
          </cell>
          <cell r="J1196" t="str">
            <v>EQ ROOM</v>
          </cell>
          <cell r="K1196" t="str">
            <v>BMED</v>
          </cell>
          <cell r="L1196" t="str">
            <v>Normal</v>
          </cell>
          <cell r="M1196" t="str">
            <v>Japan</v>
          </cell>
          <cell r="N1196" t="str">
            <v>Animec</v>
          </cell>
          <cell r="O1196" t="str">
            <v>Animec AM-301</v>
          </cell>
          <cell r="P1196" t="str">
            <v>2013D0254</v>
          </cell>
          <cell r="Q1196" t="str">
            <v>Not Applicable</v>
          </cell>
          <cell r="R1196" t="str">
            <v>Elltec Co Ltd</v>
          </cell>
          <cell r="S1196" t="str">
            <v>IDS Services (Malaysia) Sdn Bhd</v>
          </cell>
          <cell r="T1196" t="str">
            <v>Functioning</v>
          </cell>
          <cell r="U1196" t="str">
            <v>Asset</v>
          </cell>
          <cell r="V1196">
            <v>4990</v>
          </cell>
          <cell r="W1196" t="str">
            <v>KEW</v>
          </cell>
          <cell r="X1196" t="str">
            <v>01/09/2010</v>
          </cell>
          <cell r="Y1196" t="str">
            <v>KEW</v>
          </cell>
          <cell r="Z1196" t="str">
            <v>16/08/2013</v>
          </cell>
          <cell r="AA1196" t="str">
            <v>15/08/2015</v>
          </cell>
          <cell r="AB1196" t="str">
            <v>No</v>
          </cell>
          <cell r="AC1196" t="str">
            <v>31/08/2013</v>
          </cell>
          <cell r="AD1196" t="str">
            <v>Good</v>
          </cell>
          <cell r="AE1196" t="str">
            <v>V1 - Existing / No Claim</v>
          </cell>
          <cell r="AF1196">
            <v>42235</v>
          </cell>
          <cell r="AG1196">
            <v>9.17</v>
          </cell>
          <cell r="AH1196" t="str">
            <v>PPM</v>
          </cell>
          <cell r="AI1196" t="str">
            <v>Strands</v>
          </cell>
          <cell r="AJ1196" t="str">
            <v>Strands PW</v>
          </cell>
        </row>
        <row r="1197">
          <cell r="A1197" t="str">
            <v>IKN400802</v>
          </cell>
          <cell r="B1197">
            <v>802</v>
          </cell>
          <cell r="C1197" t="str">
            <v>Institut Kanser Negara</v>
          </cell>
          <cell r="D1197" t="str">
            <v>KKM/IKN/H/13/2563</v>
          </cell>
          <cell r="E1197" t="str">
            <v>10-447</v>
          </cell>
          <cell r="F1197" t="str">
            <v>Warming Units, Blood/Solution</v>
          </cell>
          <cell r="G1197" t="str">
            <v>RT</v>
          </cell>
          <cell r="H1197" t="str">
            <v>RADIATION TREATMENT UNIT</v>
          </cell>
          <cell r="I1197" t="str">
            <v>01RT233</v>
          </cell>
          <cell r="J1197" t="str">
            <v>EQ ROOM</v>
          </cell>
          <cell r="K1197" t="str">
            <v>BMED</v>
          </cell>
          <cell r="L1197" t="str">
            <v>Normal</v>
          </cell>
          <cell r="M1197" t="str">
            <v>Japan</v>
          </cell>
          <cell r="N1197" t="str">
            <v>Animec</v>
          </cell>
          <cell r="O1197" t="str">
            <v>Animec AM-301</v>
          </cell>
          <cell r="P1197" t="str">
            <v>2013D0253</v>
          </cell>
          <cell r="Q1197" t="str">
            <v>Not Applicable</v>
          </cell>
          <cell r="R1197" t="str">
            <v>Elltec Co Ltd</v>
          </cell>
          <cell r="S1197" t="str">
            <v>IDS Services (Malaysia) Sdn Bhd</v>
          </cell>
          <cell r="T1197" t="str">
            <v>Functioning</v>
          </cell>
          <cell r="U1197" t="str">
            <v>Asset</v>
          </cell>
          <cell r="V1197">
            <v>4990</v>
          </cell>
          <cell r="W1197" t="str">
            <v>KEW</v>
          </cell>
          <cell r="X1197" t="str">
            <v>01/09/2010</v>
          </cell>
          <cell r="Y1197" t="str">
            <v>KEW</v>
          </cell>
          <cell r="Z1197" t="str">
            <v>16/08/2013</v>
          </cell>
          <cell r="AA1197" t="str">
            <v>15/08/2015</v>
          </cell>
          <cell r="AB1197" t="str">
            <v>No</v>
          </cell>
          <cell r="AC1197" t="str">
            <v>31/08/2013</v>
          </cell>
          <cell r="AD1197" t="str">
            <v>Good</v>
          </cell>
          <cell r="AE1197" t="str">
            <v>V1 - Existing / No Claim</v>
          </cell>
          <cell r="AF1197">
            <v>42235</v>
          </cell>
          <cell r="AG1197">
            <v>9.17</v>
          </cell>
          <cell r="AH1197" t="str">
            <v>PPM</v>
          </cell>
          <cell r="AI1197" t="str">
            <v>Strands</v>
          </cell>
          <cell r="AJ1197" t="str">
            <v>Strands PW</v>
          </cell>
        </row>
        <row r="1198">
          <cell r="A1198" t="str">
            <v>IKN400803</v>
          </cell>
          <cell r="B1198">
            <v>803</v>
          </cell>
          <cell r="C1198" t="str">
            <v>Institut Kanser Negara</v>
          </cell>
          <cell r="D1198" t="str">
            <v>KKM/IKN/H/13/3844</v>
          </cell>
          <cell r="E1198" t="str">
            <v>18-098</v>
          </cell>
          <cell r="F1198" t="str">
            <v>Ventilators, Transport</v>
          </cell>
          <cell r="G1198" t="str">
            <v>OT</v>
          </cell>
          <cell r="H1198" t="str">
            <v>OPERATING THEATRE</v>
          </cell>
          <cell r="I1198" t="str">
            <v>05OT169</v>
          </cell>
          <cell r="J1198" t="str">
            <v>EQ. ROOM</v>
          </cell>
          <cell r="K1198" t="str">
            <v>BMED</v>
          </cell>
          <cell r="L1198" t="str">
            <v>Normal</v>
          </cell>
          <cell r="M1198" t="str">
            <v>Germany</v>
          </cell>
          <cell r="N1198" t="str">
            <v>Oxylog</v>
          </cell>
          <cell r="O1198" t="str">
            <v>Oxylog 3000 Plus</v>
          </cell>
          <cell r="P1198" t="str">
            <v>ASDJ-0136</v>
          </cell>
          <cell r="Q1198" t="str">
            <v>Not Applicable</v>
          </cell>
          <cell r="R1198" t="str">
            <v>Draegerwerk Ag</v>
          </cell>
          <cell r="S1198" t="str">
            <v>Beau Consortium Sdn Bhd</v>
          </cell>
          <cell r="T1198" t="str">
            <v>Functioning</v>
          </cell>
          <cell r="U1198" t="str">
            <v>Asset</v>
          </cell>
          <cell r="V1198">
            <v>60150</v>
          </cell>
          <cell r="W1198" t="str">
            <v>KEW</v>
          </cell>
          <cell r="X1198" t="str">
            <v>01/09/2010</v>
          </cell>
          <cell r="Y1198" t="str">
            <v>KEW</v>
          </cell>
          <cell r="Z1198" t="str">
            <v>16/08/2013</v>
          </cell>
          <cell r="AA1198" t="str">
            <v>15/08/2015</v>
          </cell>
          <cell r="AB1198" t="str">
            <v>No</v>
          </cell>
          <cell r="AC1198" t="str">
            <v>31/08/2013</v>
          </cell>
          <cell r="AD1198" t="str">
            <v>Good</v>
          </cell>
          <cell r="AE1198" t="str">
            <v>V1 - Existing / No Claim</v>
          </cell>
          <cell r="AF1198">
            <v>42235</v>
          </cell>
          <cell r="AG1198">
            <v>9.17</v>
          </cell>
          <cell r="AH1198" t="str">
            <v>PPM</v>
          </cell>
          <cell r="AI1198" t="str">
            <v>Strands</v>
          </cell>
          <cell r="AJ1198" t="str">
            <v>Strands PW</v>
          </cell>
        </row>
        <row r="1199">
          <cell r="A1199" t="str">
            <v>IKN400804</v>
          </cell>
          <cell r="B1199">
            <v>804</v>
          </cell>
          <cell r="C1199" t="str">
            <v>Institut Kanser Negara</v>
          </cell>
          <cell r="D1199" t="str">
            <v>KKM/IKN/H/13/2505</v>
          </cell>
          <cell r="E1199" t="str">
            <v>16-331</v>
          </cell>
          <cell r="F1199" t="str">
            <v>Intubation Scopes, Flexible Fiberoptic</v>
          </cell>
          <cell r="G1199" t="str">
            <v>OT</v>
          </cell>
          <cell r="H1199" t="str">
            <v>OPERATING THEATRE</v>
          </cell>
          <cell r="I1199" t="str">
            <v>05OT169</v>
          </cell>
          <cell r="J1199" t="str">
            <v>EQ. ROOM</v>
          </cell>
          <cell r="K1199" t="str">
            <v>BMED</v>
          </cell>
          <cell r="L1199" t="str">
            <v>Normal</v>
          </cell>
          <cell r="M1199" t="str">
            <v>Japan</v>
          </cell>
          <cell r="N1199" t="str">
            <v>Olympus</v>
          </cell>
          <cell r="O1199" t="str">
            <v>Olympus LF-GP</v>
          </cell>
          <cell r="P1199" t="str">
            <v>2219460/7233400</v>
          </cell>
          <cell r="Q1199" t="str">
            <v>Not Applicable</v>
          </cell>
          <cell r="R1199" t="str">
            <v>Olympus Optical Co Ltd</v>
          </cell>
          <cell r="S1199" t="str">
            <v>Endodynamics</v>
          </cell>
          <cell r="T1199" t="str">
            <v>Functioning</v>
          </cell>
          <cell r="U1199" t="str">
            <v>Asset</v>
          </cell>
          <cell r="V1199">
            <v>38360</v>
          </cell>
          <cell r="W1199" t="str">
            <v>KEW</v>
          </cell>
          <cell r="X1199" t="str">
            <v>01/09/2010</v>
          </cell>
          <cell r="Y1199" t="str">
            <v>KEW</v>
          </cell>
          <cell r="Z1199" t="str">
            <v>16/08/2013</v>
          </cell>
          <cell r="AA1199" t="str">
            <v>15/08/2015</v>
          </cell>
          <cell r="AB1199" t="str">
            <v>No</v>
          </cell>
          <cell r="AC1199" t="str">
            <v>31/08/2013</v>
          </cell>
          <cell r="AD1199" t="str">
            <v>Good</v>
          </cell>
          <cell r="AE1199" t="str">
            <v>V1 - Existing / No Claim</v>
          </cell>
          <cell r="AF1199">
            <v>42803</v>
          </cell>
          <cell r="AG1199">
            <v>9.17</v>
          </cell>
          <cell r="AH1199" t="str">
            <v>PPM</v>
          </cell>
          <cell r="AI1199" t="str">
            <v>Strands</v>
          </cell>
          <cell r="AJ1199" t="str">
            <v>Strands PW</v>
          </cell>
        </row>
        <row r="1200">
          <cell r="A1200" t="str">
            <v>IKN400805</v>
          </cell>
          <cell r="B1200">
            <v>805</v>
          </cell>
          <cell r="C1200" t="str">
            <v>Institut Kanser Negara</v>
          </cell>
          <cell r="D1200" t="str">
            <v>KKM/IKN/H/13/2500</v>
          </cell>
          <cell r="E1200" t="str">
            <v>16-331</v>
          </cell>
          <cell r="F1200" t="str">
            <v>Intubation Scopes, Flexible Fiberoptic</v>
          </cell>
          <cell r="G1200" t="str">
            <v>OT</v>
          </cell>
          <cell r="H1200" t="str">
            <v>OPERATING THEATRE</v>
          </cell>
          <cell r="I1200" t="str">
            <v>05OT169</v>
          </cell>
          <cell r="J1200" t="str">
            <v>EQ. ROOM</v>
          </cell>
          <cell r="K1200" t="str">
            <v>BMED</v>
          </cell>
          <cell r="L1200" t="str">
            <v>Normal</v>
          </cell>
          <cell r="M1200" t="str">
            <v>Japan</v>
          </cell>
          <cell r="N1200" t="str">
            <v>Olympus Jap</v>
          </cell>
          <cell r="O1200" t="str">
            <v>Lf-P/Clh-Sc</v>
          </cell>
          <cell r="P1200" t="str">
            <v>2221815/7233402</v>
          </cell>
          <cell r="Q1200" t="str">
            <v>Not Applicable</v>
          </cell>
          <cell r="R1200" t="str">
            <v>Olympus Jap</v>
          </cell>
          <cell r="S1200" t="str">
            <v>Endodynamics</v>
          </cell>
          <cell r="T1200" t="str">
            <v>Functioning</v>
          </cell>
          <cell r="U1200" t="str">
            <v>Asset</v>
          </cell>
          <cell r="V1200">
            <v>38575</v>
          </cell>
          <cell r="W1200" t="str">
            <v>KEW</v>
          </cell>
          <cell r="X1200" t="str">
            <v>01/09/2010</v>
          </cell>
          <cell r="Y1200" t="str">
            <v>KEW</v>
          </cell>
          <cell r="Z1200" t="str">
            <v>16/08/2013</v>
          </cell>
          <cell r="AA1200" t="str">
            <v>15/08/2015</v>
          </cell>
          <cell r="AB1200" t="str">
            <v>No</v>
          </cell>
          <cell r="AC1200" t="str">
            <v>31/08/2013</v>
          </cell>
          <cell r="AD1200" t="str">
            <v>Good</v>
          </cell>
          <cell r="AE1200" t="str">
            <v>V1 - Existing / No Claim</v>
          </cell>
          <cell r="AF1200">
            <v>42422</v>
          </cell>
          <cell r="AG1200">
            <v>9.17</v>
          </cell>
          <cell r="AH1200" t="str">
            <v>PPM</v>
          </cell>
          <cell r="AI1200" t="str">
            <v>Strands</v>
          </cell>
          <cell r="AJ1200" t="str">
            <v>Strands PW</v>
          </cell>
        </row>
        <row r="1201">
          <cell r="A1201" t="str">
            <v>IKN400806</v>
          </cell>
          <cell r="B1201">
            <v>806</v>
          </cell>
          <cell r="C1201" t="str">
            <v>Institut Kanser Negara</v>
          </cell>
          <cell r="D1201" t="str">
            <v>KKM/IKN/H/13/2489</v>
          </cell>
          <cell r="E1201" t="str">
            <v>17-144</v>
          </cell>
          <cell r="F1201" t="str">
            <v>Cystoscopes, Flexible</v>
          </cell>
          <cell r="G1201" t="str">
            <v>RT</v>
          </cell>
          <cell r="H1201" t="str">
            <v>RADIATION TREATMENT UNIT</v>
          </cell>
          <cell r="I1201" t="str">
            <v>01RT233</v>
          </cell>
          <cell r="J1201" t="str">
            <v>EQ ROOM</v>
          </cell>
          <cell r="K1201" t="str">
            <v>BMED</v>
          </cell>
          <cell r="L1201" t="str">
            <v>Critical</v>
          </cell>
          <cell r="M1201" t="str">
            <v>Germany</v>
          </cell>
          <cell r="N1201" t="str">
            <v>Karl Storz</v>
          </cell>
          <cell r="O1201" t="str">
            <v>Karl Storz 11272C1</v>
          </cell>
          <cell r="P1201" t="str">
            <v>12085</v>
          </cell>
          <cell r="Q1201" t="str">
            <v>Not Applicable</v>
          </cell>
          <cell r="R1201" t="str">
            <v>Karl Storz GmbH</v>
          </cell>
          <cell r="S1201" t="str">
            <v>UMMI Surgical Sdn Bhd</v>
          </cell>
          <cell r="T1201" t="str">
            <v>Functioning</v>
          </cell>
          <cell r="U1201" t="str">
            <v>Asset</v>
          </cell>
          <cell r="V1201">
            <v>37408</v>
          </cell>
          <cell r="W1201" t="str">
            <v>KEW</v>
          </cell>
          <cell r="X1201" t="str">
            <v>01/09/2010</v>
          </cell>
          <cell r="Y1201" t="str">
            <v>KEW</v>
          </cell>
          <cell r="Z1201" t="str">
            <v>16/08/2013</v>
          </cell>
          <cell r="AA1201" t="str">
            <v>15/08/2015</v>
          </cell>
          <cell r="AB1201" t="str">
            <v>No</v>
          </cell>
          <cell r="AC1201" t="str">
            <v>31/08/2013</v>
          </cell>
          <cell r="AD1201" t="str">
            <v>Good</v>
          </cell>
          <cell r="AE1201" t="str">
            <v>V1 - Existing / No Claim</v>
          </cell>
          <cell r="AF1201">
            <v>42697</v>
          </cell>
          <cell r="AG1201">
            <v>9.17</v>
          </cell>
          <cell r="AH1201" t="str">
            <v>PPM</v>
          </cell>
          <cell r="AI1201" t="str">
            <v>Strands</v>
          </cell>
          <cell r="AJ1201" t="str">
            <v>Strands PW</v>
          </cell>
        </row>
        <row r="1202">
          <cell r="A1202" t="str">
            <v>IKN400807</v>
          </cell>
          <cell r="B1202">
            <v>807</v>
          </cell>
          <cell r="C1202" t="str">
            <v>Institut Kanser Negara</v>
          </cell>
          <cell r="D1202" t="str">
            <v>KKM/IKN/H/13/5294</v>
          </cell>
          <cell r="E1202" t="str">
            <v>12-282</v>
          </cell>
          <cell r="F1202" t="str">
            <v>Lights, Surgical</v>
          </cell>
          <cell r="G1202" t="str">
            <v>RT</v>
          </cell>
          <cell r="H1202" t="str">
            <v>RADIATION TREATMENT UNIT</v>
          </cell>
          <cell r="I1202" t="str">
            <v>01RT275</v>
          </cell>
          <cell r="J1202" t="str">
            <v>BRACHY OT 1</v>
          </cell>
          <cell r="K1202" t="str">
            <v>BMED</v>
          </cell>
          <cell r="L1202" t="str">
            <v>Normal</v>
          </cell>
          <cell r="M1202" t="str">
            <v>Germany</v>
          </cell>
          <cell r="N1202" t="str">
            <v>Trumpf</v>
          </cell>
          <cell r="O1202" t="str">
            <v>Trumpf iLED</v>
          </cell>
          <cell r="P1202" t="str">
            <v>101600553/101608461</v>
          </cell>
          <cell r="Q1202" t="str">
            <v>Not Applicable</v>
          </cell>
          <cell r="R1202" t="str">
            <v>Trumpf</v>
          </cell>
          <cell r="S1202" t="str">
            <v>MALAYSIAN HEALTHCARE SDN BHD</v>
          </cell>
          <cell r="T1202" t="str">
            <v>Functioning</v>
          </cell>
          <cell r="U1202" t="str">
            <v>Asset</v>
          </cell>
          <cell r="V1202">
            <v>165550</v>
          </cell>
          <cell r="W1202" t="str">
            <v>KEW</v>
          </cell>
          <cell r="X1202" t="str">
            <v>01/09/2010</v>
          </cell>
          <cell r="Y1202" t="str">
            <v>KEW</v>
          </cell>
          <cell r="Z1202" t="str">
            <v>16/08/2013</v>
          </cell>
          <cell r="AA1202" t="str">
            <v>15/08/2015</v>
          </cell>
          <cell r="AB1202" t="str">
            <v>No</v>
          </cell>
          <cell r="AC1202" t="str">
            <v>31/08/2013</v>
          </cell>
          <cell r="AD1202" t="str">
            <v>Good</v>
          </cell>
          <cell r="AE1202" t="str">
            <v>V1 - Existing / No Claim</v>
          </cell>
          <cell r="AF1202">
            <v>42235</v>
          </cell>
          <cell r="AG1202">
            <v>9.17</v>
          </cell>
          <cell r="AH1202" t="str">
            <v>PPM</v>
          </cell>
          <cell r="AI1202" t="str">
            <v>Strands</v>
          </cell>
          <cell r="AJ1202" t="str">
            <v>Strands PW</v>
          </cell>
        </row>
        <row r="1203">
          <cell r="A1203" t="str">
            <v>IKN400808</v>
          </cell>
          <cell r="B1203">
            <v>808</v>
          </cell>
          <cell r="C1203" t="str">
            <v>Institut Kanser Negara</v>
          </cell>
          <cell r="D1203" t="str">
            <v>KKM/IKN/H/13/5293</v>
          </cell>
          <cell r="E1203" t="str">
            <v>12-282</v>
          </cell>
          <cell r="F1203" t="str">
            <v>Lights, Surgical</v>
          </cell>
          <cell r="G1203" t="str">
            <v>RT</v>
          </cell>
          <cell r="H1203" t="str">
            <v>RADIATION TREATMENT UNIT</v>
          </cell>
          <cell r="I1203" t="str">
            <v>01RT278</v>
          </cell>
          <cell r="J1203" t="str">
            <v>BRACHY OT 2</v>
          </cell>
          <cell r="K1203" t="str">
            <v>BMED</v>
          </cell>
          <cell r="L1203" t="str">
            <v>Normal</v>
          </cell>
          <cell r="M1203" t="str">
            <v>Germany</v>
          </cell>
          <cell r="N1203" t="str">
            <v>Trumpf</v>
          </cell>
          <cell r="O1203" t="str">
            <v>Trumpf iLED</v>
          </cell>
          <cell r="P1203" t="str">
            <v>101608463/101608460</v>
          </cell>
          <cell r="Q1203" t="str">
            <v>Not Applicable</v>
          </cell>
          <cell r="R1203" t="str">
            <v>Trumpf</v>
          </cell>
          <cell r="S1203" t="str">
            <v>MALAYSIAN HEALTHCARE SDN BHD</v>
          </cell>
          <cell r="T1203" t="str">
            <v>Functioning</v>
          </cell>
          <cell r="U1203" t="str">
            <v>Asset</v>
          </cell>
          <cell r="V1203">
            <v>165550</v>
          </cell>
          <cell r="W1203" t="str">
            <v>KEW</v>
          </cell>
          <cell r="X1203" t="str">
            <v>01/09/2010</v>
          </cell>
          <cell r="Y1203" t="str">
            <v>KEW</v>
          </cell>
          <cell r="Z1203" t="str">
            <v>16/08/2013</v>
          </cell>
          <cell r="AA1203" t="str">
            <v>15/08/2015</v>
          </cell>
          <cell r="AB1203" t="str">
            <v>No</v>
          </cell>
          <cell r="AC1203" t="str">
            <v>31/08/2013</v>
          </cell>
          <cell r="AD1203" t="str">
            <v>Good</v>
          </cell>
          <cell r="AE1203" t="str">
            <v>V1 - Existing / No Claim</v>
          </cell>
          <cell r="AF1203">
            <v>42235</v>
          </cell>
          <cell r="AG1203">
            <v>9.17</v>
          </cell>
          <cell r="AH1203" t="str">
            <v>PPM</v>
          </cell>
          <cell r="AI1203" t="str">
            <v>Strands</v>
          </cell>
          <cell r="AJ1203" t="str">
            <v>Strands PW</v>
          </cell>
        </row>
        <row r="1204">
          <cell r="A1204" t="str">
            <v>IKN400809</v>
          </cell>
          <cell r="B1204">
            <v>809</v>
          </cell>
          <cell r="C1204" t="str">
            <v>Institut Kanser Negara</v>
          </cell>
          <cell r="D1204" t="str">
            <v>KKM/IKN/H/13/2636</v>
          </cell>
          <cell r="E1204" t="str">
            <v>12-282</v>
          </cell>
          <cell r="F1204" t="str">
            <v>Lights, Surgical</v>
          </cell>
          <cell r="G1204" t="str">
            <v>RT</v>
          </cell>
          <cell r="H1204" t="str">
            <v>RADIATION TREATMENT UNIT</v>
          </cell>
          <cell r="I1204" t="str">
            <v>01RT233</v>
          </cell>
          <cell r="J1204" t="str">
            <v>EQ ROOM</v>
          </cell>
          <cell r="K1204" t="str">
            <v>BMED</v>
          </cell>
          <cell r="L1204" t="str">
            <v>Normal</v>
          </cell>
          <cell r="M1204" t="str">
            <v>USA</v>
          </cell>
          <cell r="N1204" t="str">
            <v>Welch Allyn</v>
          </cell>
          <cell r="O1204" t="str">
            <v>Welch Allyn GS600</v>
          </cell>
          <cell r="P1204" t="str">
            <v>GS-600-05</v>
          </cell>
          <cell r="Q1204" t="str">
            <v>Not Applicable</v>
          </cell>
          <cell r="R1204" t="str">
            <v>Welch Allyn Inc</v>
          </cell>
          <cell r="S1204" t="str">
            <v>Welch Allyn Malaysia Sdn Bhd</v>
          </cell>
          <cell r="T1204" t="str">
            <v>Functioning</v>
          </cell>
          <cell r="U1204" t="str">
            <v>Asset</v>
          </cell>
          <cell r="V1204">
            <v>5050</v>
          </cell>
          <cell r="W1204" t="str">
            <v>KEW</v>
          </cell>
          <cell r="X1204" t="str">
            <v>01/09/2010</v>
          </cell>
          <cell r="Y1204" t="str">
            <v>KEW</v>
          </cell>
          <cell r="Z1204" t="str">
            <v>16/08/2013</v>
          </cell>
          <cell r="AA1204" t="str">
            <v>15/08/2015</v>
          </cell>
          <cell r="AB1204" t="str">
            <v>No</v>
          </cell>
          <cell r="AC1204" t="str">
            <v>31/08/2013</v>
          </cell>
          <cell r="AD1204" t="str">
            <v>Good</v>
          </cell>
          <cell r="AE1204" t="str">
            <v>V1 - Existing / No Claim</v>
          </cell>
          <cell r="AF1204">
            <v>42235</v>
          </cell>
          <cell r="AG1204">
            <v>9.17</v>
          </cell>
          <cell r="AH1204" t="str">
            <v>PPM</v>
          </cell>
          <cell r="AI1204" t="str">
            <v>Strands</v>
          </cell>
          <cell r="AJ1204" t="str">
            <v>Strands PW</v>
          </cell>
        </row>
        <row r="1205">
          <cell r="A1205" t="str">
            <v>IKN400810</v>
          </cell>
          <cell r="B1205">
            <v>810</v>
          </cell>
          <cell r="C1205" t="str">
            <v>Institut Kanser Negara</v>
          </cell>
          <cell r="D1205" t="str">
            <v>KKM/IKN/H/13/2635</v>
          </cell>
          <cell r="E1205" t="str">
            <v>10-208</v>
          </cell>
          <cell r="F1205" t="str">
            <v>Aspirators</v>
          </cell>
          <cell r="G1205" t="str">
            <v>RT</v>
          </cell>
          <cell r="H1205" t="str">
            <v>RADIATION TREATMENT UNIT</v>
          </cell>
          <cell r="I1205" t="str">
            <v>01RT233</v>
          </cell>
          <cell r="J1205" t="str">
            <v>EQ ROOM</v>
          </cell>
          <cell r="K1205" t="str">
            <v>BMED</v>
          </cell>
          <cell r="L1205" t="str">
            <v>Normal</v>
          </cell>
          <cell r="M1205" t="str">
            <v>Switzerland</v>
          </cell>
          <cell r="N1205" t="str">
            <v>Senator</v>
          </cell>
          <cell r="O1205" t="str">
            <v>Senator</v>
          </cell>
          <cell r="P1205" t="str">
            <v>1220748</v>
          </cell>
          <cell r="Q1205" t="str">
            <v>Not Applicable</v>
          </cell>
          <cell r="R1205" t="str">
            <v>Ardo Medical AG</v>
          </cell>
          <cell r="S1205" t="str">
            <v>Histopoint</v>
          </cell>
          <cell r="T1205" t="str">
            <v>Functioning</v>
          </cell>
          <cell r="U1205" t="str">
            <v>Asset</v>
          </cell>
          <cell r="V1205">
            <v>7580</v>
          </cell>
          <cell r="W1205" t="str">
            <v>KEW</v>
          </cell>
          <cell r="X1205" t="str">
            <v>01/09/2010</v>
          </cell>
          <cell r="Y1205" t="str">
            <v>KEW</v>
          </cell>
          <cell r="Z1205" t="str">
            <v>16/08/2013</v>
          </cell>
          <cell r="AA1205" t="str">
            <v>15/08/2015</v>
          </cell>
          <cell r="AB1205" t="str">
            <v>No</v>
          </cell>
          <cell r="AC1205" t="str">
            <v>31/08/2013</v>
          </cell>
          <cell r="AD1205" t="str">
            <v>Good</v>
          </cell>
          <cell r="AE1205" t="str">
            <v>V1 - Existing / No Claim</v>
          </cell>
          <cell r="AF1205">
            <v>42235</v>
          </cell>
          <cell r="AG1205">
            <v>9.17</v>
          </cell>
          <cell r="AH1205" t="str">
            <v>PPM</v>
          </cell>
          <cell r="AI1205" t="str">
            <v>Strands</v>
          </cell>
          <cell r="AJ1205" t="str">
            <v>Strands PW</v>
          </cell>
        </row>
        <row r="1206">
          <cell r="A1206" t="str">
            <v>IKN400813</v>
          </cell>
          <cell r="B1206">
            <v>813</v>
          </cell>
          <cell r="C1206" t="str">
            <v>Institut Kanser Negara</v>
          </cell>
          <cell r="D1206" t="str">
            <v>KKM/IKN/H/13/2201</v>
          </cell>
          <cell r="E1206" t="str">
            <v>12-647</v>
          </cell>
          <cell r="F1206" t="str">
            <v>Physiologic Monitoring Systems, Acute Care</v>
          </cell>
          <cell r="G1206" t="str">
            <v>RT</v>
          </cell>
          <cell r="H1206" t="str">
            <v>RADIATION TREATMENT UNIT</v>
          </cell>
          <cell r="I1206" t="str">
            <v>01RT238</v>
          </cell>
          <cell r="J1206" t="str">
            <v>PRE-OP</v>
          </cell>
          <cell r="K1206" t="str">
            <v>BMED</v>
          </cell>
          <cell r="L1206" t="str">
            <v>Normal</v>
          </cell>
          <cell r="M1206" t="str">
            <v>USA</v>
          </cell>
          <cell r="N1206" t="str">
            <v>GE</v>
          </cell>
          <cell r="O1206" t="str">
            <v>GE B30</v>
          </cell>
          <cell r="P1206" t="str">
            <v>SF312325912WA</v>
          </cell>
          <cell r="Q1206" t="str">
            <v>Not Applicable</v>
          </cell>
          <cell r="R1206" t="str">
            <v>GE Healthcare Systems</v>
          </cell>
          <cell r="S1206" t="str">
            <v>GE Healthcare Technologies</v>
          </cell>
          <cell r="T1206" t="str">
            <v>Functioning</v>
          </cell>
          <cell r="U1206" t="str">
            <v>Asset</v>
          </cell>
          <cell r="V1206">
            <v>44510</v>
          </cell>
          <cell r="W1206" t="str">
            <v>KEW</v>
          </cell>
          <cell r="X1206" t="str">
            <v>01/09/2010</v>
          </cell>
          <cell r="Y1206" t="str">
            <v>KEW</v>
          </cell>
          <cell r="Z1206" t="str">
            <v>16/08/2013</v>
          </cell>
          <cell r="AA1206" t="str">
            <v>15/08/2015</v>
          </cell>
          <cell r="AB1206" t="str">
            <v>No</v>
          </cell>
          <cell r="AC1206" t="str">
            <v>31/08/2013</v>
          </cell>
          <cell r="AD1206" t="str">
            <v>Good</v>
          </cell>
          <cell r="AE1206" t="str">
            <v>V1 - Existing / No Claim</v>
          </cell>
          <cell r="AF1206">
            <v>42235</v>
          </cell>
          <cell r="AG1206">
            <v>9.17</v>
          </cell>
          <cell r="AH1206" t="str">
            <v>PPM</v>
          </cell>
          <cell r="AI1206" t="str">
            <v>Strands</v>
          </cell>
          <cell r="AJ1206" t="str">
            <v>Strands PW</v>
          </cell>
        </row>
        <row r="1207">
          <cell r="A1207" t="str">
            <v>IKN400814</v>
          </cell>
          <cell r="B1207">
            <v>814</v>
          </cell>
          <cell r="C1207" t="str">
            <v>Institut Kanser Negara</v>
          </cell>
          <cell r="D1207" t="str">
            <v>KKM/IKN/H/13/2202</v>
          </cell>
          <cell r="E1207" t="str">
            <v>12-647</v>
          </cell>
          <cell r="F1207" t="str">
            <v>Physiologic Monitoring Systems, Acute Care</v>
          </cell>
          <cell r="G1207" t="str">
            <v>RT</v>
          </cell>
          <cell r="H1207" t="str">
            <v>RADIATION TREATMENT UNIT</v>
          </cell>
          <cell r="I1207" t="str">
            <v>01RT238</v>
          </cell>
          <cell r="J1207" t="str">
            <v>PRE-OP</v>
          </cell>
          <cell r="K1207" t="str">
            <v>BMED</v>
          </cell>
          <cell r="L1207" t="str">
            <v>Normal</v>
          </cell>
          <cell r="M1207" t="str">
            <v>USA</v>
          </cell>
          <cell r="N1207" t="str">
            <v>GE</v>
          </cell>
          <cell r="O1207" t="str">
            <v>GE B30</v>
          </cell>
          <cell r="P1207" t="str">
            <v>SF312325906WA</v>
          </cell>
          <cell r="Q1207" t="str">
            <v>Not Applicable</v>
          </cell>
          <cell r="R1207" t="str">
            <v>GE Healthcare Systems</v>
          </cell>
          <cell r="S1207" t="str">
            <v>GE Healthcare Technologies</v>
          </cell>
          <cell r="T1207" t="str">
            <v>Functioning</v>
          </cell>
          <cell r="U1207" t="str">
            <v>Asset</v>
          </cell>
          <cell r="V1207">
            <v>44510</v>
          </cell>
          <cell r="W1207" t="str">
            <v>KEW</v>
          </cell>
          <cell r="X1207" t="str">
            <v>01/09/2010</v>
          </cell>
          <cell r="Y1207" t="str">
            <v>KEW</v>
          </cell>
          <cell r="Z1207" t="str">
            <v>16/08/2013</v>
          </cell>
          <cell r="AA1207" t="str">
            <v>15/08/2015</v>
          </cell>
          <cell r="AB1207" t="str">
            <v>No</v>
          </cell>
          <cell r="AC1207" t="str">
            <v>31/08/2013</v>
          </cell>
          <cell r="AD1207" t="str">
            <v>Good</v>
          </cell>
          <cell r="AE1207" t="str">
            <v>V1 - Existing / No Claim</v>
          </cell>
          <cell r="AF1207">
            <v>42235</v>
          </cell>
          <cell r="AG1207">
            <v>9.17</v>
          </cell>
          <cell r="AH1207" t="str">
            <v>PPM</v>
          </cell>
          <cell r="AI1207" t="str">
            <v>Strands</v>
          </cell>
          <cell r="AJ1207" t="str">
            <v>Strands PW</v>
          </cell>
        </row>
        <row r="1208">
          <cell r="A1208" t="str">
            <v>IKN400815</v>
          </cell>
          <cell r="B1208">
            <v>815</v>
          </cell>
          <cell r="C1208" t="str">
            <v>Institut Kanser Negara</v>
          </cell>
          <cell r="D1208" t="str">
            <v>KKM/IKN/H/13/2474</v>
          </cell>
          <cell r="E1208" t="str">
            <v>12-647</v>
          </cell>
          <cell r="F1208" t="str">
            <v>Physiologic Monitoring Systems, Acute Care</v>
          </cell>
          <cell r="G1208" t="str">
            <v>RT</v>
          </cell>
          <cell r="H1208" t="str">
            <v>RADIATION TREATMENT UNIT</v>
          </cell>
          <cell r="I1208" t="str">
            <v>01RT238</v>
          </cell>
          <cell r="J1208" t="str">
            <v>PRE-OP</v>
          </cell>
          <cell r="K1208" t="str">
            <v>BMED</v>
          </cell>
          <cell r="L1208" t="str">
            <v>Normal</v>
          </cell>
          <cell r="M1208" t="str">
            <v>USA</v>
          </cell>
          <cell r="N1208" t="str">
            <v>GE</v>
          </cell>
          <cell r="O1208" t="str">
            <v>GE B30</v>
          </cell>
          <cell r="P1208" t="str">
            <v>SF312325897WA</v>
          </cell>
          <cell r="Q1208" t="str">
            <v>Not Applicable</v>
          </cell>
          <cell r="R1208" t="str">
            <v>GE Healthcare Systems</v>
          </cell>
          <cell r="S1208" t="str">
            <v>GE Healthcare Technologies</v>
          </cell>
          <cell r="T1208" t="str">
            <v>Functioning</v>
          </cell>
          <cell r="U1208" t="str">
            <v>Asset</v>
          </cell>
          <cell r="V1208">
            <v>44510</v>
          </cell>
          <cell r="W1208" t="str">
            <v>KEW</v>
          </cell>
          <cell r="X1208" t="str">
            <v>01/09/2010</v>
          </cell>
          <cell r="Y1208" t="str">
            <v>KEW</v>
          </cell>
          <cell r="Z1208" t="str">
            <v>16/08/2013</v>
          </cell>
          <cell r="AA1208" t="str">
            <v>15/08/2015</v>
          </cell>
          <cell r="AB1208" t="str">
            <v>No</v>
          </cell>
          <cell r="AC1208" t="str">
            <v>31/08/2013</v>
          </cell>
          <cell r="AD1208" t="str">
            <v>Good</v>
          </cell>
          <cell r="AE1208" t="str">
            <v>V1 - Existing / No Claim</v>
          </cell>
          <cell r="AF1208">
            <v>42235</v>
          </cell>
          <cell r="AG1208">
            <v>9.17</v>
          </cell>
          <cell r="AH1208" t="str">
            <v>PPM</v>
          </cell>
          <cell r="AI1208" t="str">
            <v>Strands</v>
          </cell>
          <cell r="AJ1208" t="str">
            <v>Strands PW</v>
          </cell>
        </row>
        <row r="1209">
          <cell r="A1209" t="str">
            <v>IKN400816</v>
          </cell>
          <cell r="B1209">
            <v>816</v>
          </cell>
          <cell r="C1209" t="str">
            <v>Institut Kanser Negara</v>
          </cell>
          <cell r="D1209" t="str">
            <v>KKM/IKN/H/13/2597</v>
          </cell>
          <cell r="E1209" t="str">
            <v>12-647</v>
          </cell>
          <cell r="F1209" t="str">
            <v>Physiologic Monitoring Systems, Acute Care</v>
          </cell>
          <cell r="G1209" t="str">
            <v>RT</v>
          </cell>
          <cell r="H1209" t="str">
            <v>RADIATION TREATMENT UNIT</v>
          </cell>
          <cell r="I1209" t="str">
            <v>01RT238</v>
          </cell>
          <cell r="J1209" t="str">
            <v>PRE-OP</v>
          </cell>
          <cell r="K1209" t="str">
            <v>BMED</v>
          </cell>
          <cell r="L1209" t="str">
            <v>Normal</v>
          </cell>
          <cell r="M1209" t="str">
            <v>USA</v>
          </cell>
          <cell r="N1209" t="str">
            <v>GE</v>
          </cell>
          <cell r="O1209" t="str">
            <v>GE B30</v>
          </cell>
          <cell r="P1209" t="str">
            <v>SF312325899WA</v>
          </cell>
          <cell r="Q1209" t="str">
            <v>Not Applicable</v>
          </cell>
          <cell r="R1209" t="str">
            <v>GE Healthcare Systems</v>
          </cell>
          <cell r="S1209" t="str">
            <v>GE Healthcare Technologies</v>
          </cell>
          <cell r="T1209" t="str">
            <v>Functioning</v>
          </cell>
          <cell r="U1209" t="str">
            <v>Asset</v>
          </cell>
          <cell r="V1209">
            <v>44510</v>
          </cell>
          <cell r="W1209" t="str">
            <v>KEW</v>
          </cell>
          <cell r="X1209" t="str">
            <v>01/09/2010</v>
          </cell>
          <cell r="Y1209" t="str">
            <v>KEW</v>
          </cell>
          <cell r="Z1209" t="str">
            <v>16/08/2013</v>
          </cell>
          <cell r="AA1209" t="str">
            <v>15/08/2015</v>
          </cell>
          <cell r="AB1209" t="str">
            <v>No</v>
          </cell>
          <cell r="AC1209" t="str">
            <v>31/08/2013</v>
          </cell>
          <cell r="AD1209" t="str">
            <v>Good</v>
          </cell>
          <cell r="AE1209" t="str">
            <v>V1 - Existing / No Claim</v>
          </cell>
          <cell r="AF1209">
            <v>42235</v>
          </cell>
          <cell r="AG1209">
            <v>9.17</v>
          </cell>
          <cell r="AH1209" t="str">
            <v>PPM</v>
          </cell>
          <cell r="AI1209" t="str">
            <v>Strands</v>
          </cell>
          <cell r="AJ1209" t="str">
            <v>Strands PW</v>
          </cell>
        </row>
        <row r="1210">
          <cell r="A1210" t="str">
            <v>IKN400817</v>
          </cell>
          <cell r="B1210">
            <v>817</v>
          </cell>
          <cell r="C1210" t="str">
            <v>Institut Kanser Negara</v>
          </cell>
          <cell r="D1210" t="str">
            <v>KKM/IKN/H/13/2534</v>
          </cell>
          <cell r="E1210" t="str">
            <v>17-950</v>
          </cell>
          <cell r="F1210" t="str">
            <v>Warming Units, Patient, Forced-Air</v>
          </cell>
          <cell r="G1210" t="str">
            <v>RT</v>
          </cell>
          <cell r="H1210" t="str">
            <v>RADIATION TREATMENT UNIT</v>
          </cell>
          <cell r="I1210" t="str">
            <v>01RT238</v>
          </cell>
          <cell r="J1210" t="str">
            <v>PRE-OP</v>
          </cell>
          <cell r="K1210" t="str">
            <v>BMED</v>
          </cell>
          <cell r="L1210" t="str">
            <v>Normal</v>
          </cell>
          <cell r="M1210" t="str">
            <v>USA</v>
          </cell>
          <cell r="N1210" t="str">
            <v>Bair Hugger</v>
          </cell>
          <cell r="O1210" t="str">
            <v>Bair Hugger 775</v>
          </cell>
          <cell r="P1210" t="str">
            <v>35927</v>
          </cell>
          <cell r="Q1210" t="str">
            <v>Not Applicable</v>
          </cell>
          <cell r="R1210" t="str">
            <v>Arizant Healthcare Inc</v>
          </cell>
          <cell r="S1210" t="str">
            <v>Calmed Healthcare Sdn Bhd</v>
          </cell>
          <cell r="T1210" t="str">
            <v>Functioning</v>
          </cell>
          <cell r="U1210" t="str">
            <v>Asset</v>
          </cell>
          <cell r="V1210">
            <v>15515</v>
          </cell>
          <cell r="W1210" t="str">
            <v>KEW</v>
          </cell>
          <cell r="X1210" t="str">
            <v>01/09/2010</v>
          </cell>
          <cell r="Y1210" t="str">
            <v>KEW</v>
          </cell>
          <cell r="Z1210" t="str">
            <v>16/08/2013</v>
          </cell>
          <cell r="AA1210" t="str">
            <v>15/08/2015</v>
          </cell>
          <cell r="AB1210" t="str">
            <v>No</v>
          </cell>
          <cell r="AC1210" t="str">
            <v>31/08/2013</v>
          </cell>
          <cell r="AD1210" t="str">
            <v>Good</v>
          </cell>
          <cell r="AE1210" t="str">
            <v>V1 - Existing / No Claim</v>
          </cell>
          <cell r="AF1210">
            <v>42235</v>
          </cell>
          <cell r="AG1210">
            <v>9.17</v>
          </cell>
          <cell r="AH1210" t="str">
            <v>PPM</v>
          </cell>
          <cell r="AI1210" t="str">
            <v>Strands</v>
          </cell>
          <cell r="AJ1210" t="str">
            <v>Strands PW</v>
          </cell>
        </row>
        <row r="1211">
          <cell r="A1211" t="str">
            <v>IKN400818</v>
          </cell>
          <cell r="B1211">
            <v>818</v>
          </cell>
          <cell r="C1211" t="str">
            <v>Institut Kanser Negara</v>
          </cell>
          <cell r="D1211" t="str">
            <v>KKM/IKN/H/13/2535</v>
          </cell>
          <cell r="E1211" t="str">
            <v>17-950</v>
          </cell>
          <cell r="F1211" t="str">
            <v>Warming Units, Patient, Forced-Air</v>
          </cell>
          <cell r="G1211" t="str">
            <v>RT</v>
          </cell>
          <cell r="H1211" t="str">
            <v>RADIATION TREATMENT UNIT</v>
          </cell>
          <cell r="I1211" t="str">
            <v>01RT238</v>
          </cell>
          <cell r="J1211" t="str">
            <v>PRE-OP</v>
          </cell>
          <cell r="K1211" t="str">
            <v>BMED</v>
          </cell>
          <cell r="L1211" t="str">
            <v>Normal</v>
          </cell>
          <cell r="M1211" t="str">
            <v>USA</v>
          </cell>
          <cell r="N1211" t="str">
            <v>Bair Hugger</v>
          </cell>
          <cell r="O1211" t="str">
            <v>Bair Hugger 775</v>
          </cell>
          <cell r="P1211" t="str">
            <v>35928</v>
          </cell>
          <cell r="Q1211" t="str">
            <v>Not Applicable</v>
          </cell>
          <cell r="R1211" t="str">
            <v>Arizant Healthcare Inc</v>
          </cell>
          <cell r="S1211" t="str">
            <v>Calmed Healthcare Sdn Bhd</v>
          </cell>
          <cell r="T1211" t="str">
            <v>Functioning</v>
          </cell>
          <cell r="U1211" t="str">
            <v>Asset</v>
          </cell>
          <cell r="V1211">
            <v>15515</v>
          </cell>
          <cell r="W1211" t="str">
            <v>KEW</v>
          </cell>
          <cell r="X1211" t="str">
            <v>01/09/2010</v>
          </cell>
          <cell r="Y1211" t="str">
            <v>KEW</v>
          </cell>
          <cell r="Z1211" t="str">
            <v>16/08/2013</v>
          </cell>
          <cell r="AA1211" t="str">
            <v>15/08/2015</v>
          </cell>
          <cell r="AB1211" t="str">
            <v>No</v>
          </cell>
          <cell r="AC1211" t="str">
            <v>31/08/2013</v>
          </cell>
          <cell r="AD1211" t="str">
            <v>Good</v>
          </cell>
          <cell r="AE1211" t="str">
            <v>V1 - Existing / No Claim</v>
          </cell>
          <cell r="AF1211">
            <v>42235</v>
          </cell>
          <cell r="AG1211">
            <v>9.17</v>
          </cell>
          <cell r="AH1211" t="str">
            <v>PPM</v>
          </cell>
          <cell r="AI1211" t="str">
            <v>Strands</v>
          </cell>
          <cell r="AJ1211" t="str">
            <v>Strands PW</v>
          </cell>
        </row>
        <row r="1212">
          <cell r="A1212" t="str">
            <v>IKN400819</v>
          </cell>
          <cell r="B1212">
            <v>819</v>
          </cell>
          <cell r="C1212" t="str">
            <v>Institut Kanser Negara</v>
          </cell>
          <cell r="D1212" t="str">
            <v>KKM/IKN/H/13/2598</v>
          </cell>
          <cell r="E1212" t="str">
            <v>12-647</v>
          </cell>
          <cell r="F1212" t="str">
            <v>Physiologic Monitoring Systems, Acute Care</v>
          </cell>
          <cell r="G1212" t="str">
            <v>RT</v>
          </cell>
          <cell r="H1212" t="str">
            <v>RADIATION TREATMENT UNIT</v>
          </cell>
          <cell r="I1212" t="str">
            <v>01RT239</v>
          </cell>
          <cell r="J1212" t="str">
            <v>POST-OP</v>
          </cell>
          <cell r="K1212" t="str">
            <v>BMED</v>
          </cell>
          <cell r="L1212" t="str">
            <v>Normal</v>
          </cell>
          <cell r="M1212" t="str">
            <v>Finland</v>
          </cell>
          <cell r="N1212" t="str">
            <v>CareScape</v>
          </cell>
          <cell r="O1212" t="str">
            <v>CareScape B650</v>
          </cell>
          <cell r="P1212" t="str">
            <v>SEW12357513HA</v>
          </cell>
          <cell r="Q1212" t="str">
            <v>Not Applicable</v>
          </cell>
          <cell r="R1212" t="str">
            <v>GE Medical Systems</v>
          </cell>
          <cell r="S1212" t="str">
            <v>GE Healthcare Technologies</v>
          </cell>
          <cell r="T1212" t="str">
            <v>Functioning</v>
          </cell>
          <cell r="U1212" t="str">
            <v>Asset</v>
          </cell>
          <cell r="V1212">
            <v>87400</v>
          </cell>
          <cell r="W1212" t="str">
            <v>KEW</v>
          </cell>
          <cell r="X1212" t="str">
            <v>01/09/2010</v>
          </cell>
          <cell r="Y1212" t="str">
            <v>KEW</v>
          </cell>
          <cell r="Z1212" t="str">
            <v>16/08/2013</v>
          </cell>
          <cell r="AA1212" t="str">
            <v>15/08/2015</v>
          </cell>
          <cell r="AB1212" t="str">
            <v>No</v>
          </cell>
          <cell r="AC1212" t="str">
            <v>31/08/2013</v>
          </cell>
          <cell r="AD1212" t="str">
            <v>Good</v>
          </cell>
          <cell r="AE1212" t="str">
            <v>V1 - Existing / No Claim</v>
          </cell>
          <cell r="AF1212">
            <v>42235</v>
          </cell>
          <cell r="AG1212">
            <v>9.17</v>
          </cell>
          <cell r="AH1212" t="str">
            <v>PPM</v>
          </cell>
          <cell r="AI1212" t="str">
            <v>Strands</v>
          </cell>
          <cell r="AJ1212" t="str">
            <v>Strands PW</v>
          </cell>
        </row>
        <row r="1213">
          <cell r="A1213" t="str">
            <v>IKN400820</v>
          </cell>
          <cell r="B1213">
            <v>820</v>
          </cell>
          <cell r="C1213" t="str">
            <v>Institut Kanser Negara</v>
          </cell>
          <cell r="D1213" t="str">
            <v>KKM/IKN/H/13/2599</v>
          </cell>
          <cell r="E1213" t="str">
            <v>12-647</v>
          </cell>
          <cell r="F1213" t="str">
            <v>Physiologic Monitoring Systems, Acute Care</v>
          </cell>
          <cell r="G1213" t="str">
            <v>RT</v>
          </cell>
          <cell r="H1213" t="str">
            <v>RADIATION TREATMENT UNIT</v>
          </cell>
          <cell r="I1213" t="str">
            <v>01RT239</v>
          </cell>
          <cell r="J1213" t="str">
            <v>POST-OP</v>
          </cell>
          <cell r="K1213" t="str">
            <v>BMED</v>
          </cell>
          <cell r="L1213" t="str">
            <v>Normal</v>
          </cell>
          <cell r="M1213" t="str">
            <v>Finland</v>
          </cell>
          <cell r="N1213" t="str">
            <v>CareScape</v>
          </cell>
          <cell r="O1213" t="str">
            <v>CareScape B650</v>
          </cell>
          <cell r="P1213" t="str">
            <v>SEW12357503HA</v>
          </cell>
          <cell r="Q1213" t="str">
            <v>Not Applicable</v>
          </cell>
          <cell r="R1213" t="str">
            <v>GE Medical Systems</v>
          </cell>
          <cell r="S1213" t="str">
            <v>GE Healthcare Technologies</v>
          </cell>
          <cell r="T1213" t="str">
            <v>Functioning</v>
          </cell>
          <cell r="U1213" t="str">
            <v>Asset</v>
          </cell>
          <cell r="V1213">
            <v>87400</v>
          </cell>
          <cell r="W1213" t="str">
            <v>KEW</v>
          </cell>
          <cell r="X1213" t="str">
            <v>01/09/2010</v>
          </cell>
          <cell r="Y1213" t="str">
            <v>KEW</v>
          </cell>
          <cell r="Z1213" t="str">
            <v>16/08/2013</v>
          </cell>
          <cell r="AA1213" t="str">
            <v>15/08/2015</v>
          </cell>
          <cell r="AB1213" t="str">
            <v>No</v>
          </cell>
          <cell r="AC1213" t="str">
            <v>31/08/2013</v>
          </cell>
          <cell r="AD1213" t="str">
            <v>Good</v>
          </cell>
          <cell r="AE1213" t="str">
            <v>V1 - Existing / No Claim</v>
          </cell>
          <cell r="AF1213">
            <v>42235</v>
          </cell>
          <cell r="AG1213">
            <v>9.17</v>
          </cell>
          <cell r="AH1213" t="str">
            <v>PPM</v>
          </cell>
          <cell r="AI1213" t="str">
            <v>Strands</v>
          </cell>
          <cell r="AJ1213" t="str">
            <v>Strands PW</v>
          </cell>
        </row>
        <row r="1214">
          <cell r="A1214" t="str">
            <v>IKN400821</v>
          </cell>
          <cell r="B1214">
            <v>821</v>
          </cell>
          <cell r="C1214" t="str">
            <v>Institut Kanser Negara</v>
          </cell>
          <cell r="D1214" t="str">
            <v>KKM/IKN/H/13/2600</v>
          </cell>
          <cell r="E1214" t="str">
            <v>12-647</v>
          </cell>
          <cell r="F1214" t="str">
            <v>Physiologic Monitoring Systems, Acute Care</v>
          </cell>
          <cell r="G1214" t="str">
            <v>RT</v>
          </cell>
          <cell r="H1214" t="str">
            <v>RADIATION TREATMENT UNIT</v>
          </cell>
          <cell r="I1214" t="str">
            <v>01RT239</v>
          </cell>
          <cell r="J1214" t="str">
            <v>POST-OP</v>
          </cell>
          <cell r="K1214" t="str">
            <v>BMED</v>
          </cell>
          <cell r="L1214" t="str">
            <v>Normal</v>
          </cell>
          <cell r="M1214" t="str">
            <v>Finland</v>
          </cell>
          <cell r="N1214" t="str">
            <v>CareScape</v>
          </cell>
          <cell r="O1214" t="str">
            <v>CareScape B650</v>
          </cell>
          <cell r="P1214" t="str">
            <v>SEW12357502HA</v>
          </cell>
          <cell r="Q1214" t="str">
            <v>Not Applicable</v>
          </cell>
          <cell r="R1214" t="str">
            <v>GE Medical Systems</v>
          </cell>
          <cell r="S1214" t="str">
            <v>GE Healthcare Technologies</v>
          </cell>
          <cell r="T1214" t="str">
            <v>Functioning</v>
          </cell>
          <cell r="U1214" t="str">
            <v>Asset</v>
          </cell>
          <cell r="V1214">
            <v>87400</v>
          </cell>
          <cell r="W1214" t="str">
            <v>KEW</v>
          </cell>
          <cell r="X1214" t="str">
            <v>01/09/2010</v>
          </cell>
          <cell r="Y1214" t="str">
            <v>KEW</v>
          </cell>
          <cell r="Z1214" t="str">
            <v>16/08/2013</v>
          </cell>
          <cell r="AA1214" t="str">
            <v>15/08/2015</v>
          </cell>
          <cell r="AB1214" t="str">
            <v>No</v>
          </cell>
          <cell r="AC1214" t="str">
            <v>31/08/2013</v>
          </cell>
          <cell r="AD1214" t="str">
            <v>Good</v>
          </cell>
          <cell r="AE1214" t="str">
            <v>V1 - Existing / No Claim</v>
          </cell>
          <cell r="AF1214">
            <v>42235</v>
          </cell>
          <cell r="AG1214">
            <v>9.17</v>
          </cell>
          <cell r="AH1214" t="str">
            <v>PPM</v>
          </cell>
          <cell r="AI1214" t="str">
            <v>Strands</v>
          </cell>
          <cell r="AJ1214" t="str">
            <v>Strands PW</v>
          </cell>
        </row>
        <row r="1215">
          <cell r="A1215" t="str">
            <v>IKN400822</v>
          </cell>
          <cell r="B1215">
            <v>822</v>
          </cell>
          <cell r="C1215" t="str">
            <v>Institut Kanser Negara</v>
          </cell>
          <cell r="D1215" t="str">
            <v>KKM/IKN/H/13/2601</v>
          </cell>
          <cell r="E1215" t="str">
            <v>12-647</v>
          </cell>
          <cell r="F1215" t="str">
            <v>Physiologic Monitoring Systems, Acute Care</v>
          </cell>
          <cell r="G1215" t="str">
            <v>RT</v>
          </cell>
          <cell r="H1215" t="str">
            <v>RADIATION TREATMENT UNIT</v>
          </cell>
          <cell r="I1215" t="str">
            <v>01RT239</v>
          </cell>
          <cell r="J1215" t="str">
            <v>POST-OP</v>
          </cell>
          <cell r="K1215" t="str">
            <v>BMED</v>
          </cell>
          <cell r="L1215" t="str">
            <v>Normal</v>
          </cell>
          <cell r="M1215" t="str">
            <v>Finland</v>
          </cell>
          <cell r="N1215" t="str">
            <v>CareScape</v>
          </cell>
          <cell r="O1215" t="str">
            <v>CareScape B650</v>
          </cell>
          <cell r="P1215" t="str">
            <v>SEW12357512HA</v>
          </cell>
          <cell r="Q1215" t="str">
            <v>Not Applicable</v>
          </cell>
          <cell r="R1215" t="str">
            <v>GE Medical Systems</v>
          </cell>
          <cell r="S1215" t="str">
            <v>GE Healthcare Technologies</v>
          </cell>
          <cell r="T1215" t="str">
            <v>Functioning</v>
          </cell>
          <cell r="U1215" t="str">
            <v>Asset</v>
          </cell>
          <cell r="V1215">
            <v>87400</v>
          </cell>
          <cell r="W1215" t="str">
            <v>KEW</v>
          </cell>
          <cell r="X1215" t="str">
            <v>01/09/2010</v>
          </cell>
          <cell r="Y1215" t="str">
            <v>KEW</v>
          </cell>
          <cell r="Z1215" t="str">
            <v>16/08/2013</v>
          </cell>
          <cell r="AA1215" t="str">
            <v>15/08/2015</v>
          </cell>
          <cell r="AB1215" t="str">
            <v>No</v>
          </cell>
          <cell r="AC1215" t="str">
            <v>31/08/2013</v>
          </cell>
          <cell r="AD1215" t="str">
            <v>Good</v>
          </cell>
          <cell r="AE1215" t="str">
            <v>V1 - Existing / No Claim</v>
          </cell>
          <cell r="AF1215">
            <v>42235</v>
          </cell>
          <cell r="AG1215">
            <v>9.17</v>
          </cell>
          <cell r="AH1215" t="str">
            <v>PPM</v>
          </cell>
          <cell r="AI1215" t="str">
            <v>Strands</v>
          </cell>
          <cell r="AJ1215" t="str">
            <v>Strands PW</v>
          </cell>
        </row>
        <row r="1216">
          <cell r="A1216" t="str">
            <v>IKN400823</v>
          </cell>
          <cell r="B1216">
            <v>823</v>
          </cell>
          <cell r="C1216" t="str">
            <v>Institut Kanser Negara</v>
          </cell>
          <cell r="D1216" t="str">
            <v>KKM/IKN/H/13/2625</v>
          </cell>
          <cell r="E1216" t="str">
            <v>13-249</v>
          </cell>
          <cell r="F1216" t="str">
            <v>Warming Units, Patient, Radiant, Adult</v>
          </cell>
          <cell r="G1216" t="str">
            <v>RT</v>
          </cell>
          <cell r="H1216" t="str">
            <v>RADIATION TREATMENT UNIT</v>
          </cell>
          <cell r="I1216" t="str">
            <v>01RT239</v>
          </cell>
          <cell r="J1216" t="str">
            <v>POST-OP</v>
          </cell>
          <cell r="K1216" t="str">
            <v>BMED</v>
          </cell>
          <cell r="L1216" t="str">
            <v>Normal</v>
          </cell>
          <cell r="M1216" t="str">
            <v>Sweden</v>
          </cell>
          <cell r="N1216" t="str">
            <v>Aragona</v>
          </cell>
          <cell r="O1216" t="str">
            <v>Aragona MTC-410</v>
          </cell>
          <cell r="P1216" t="str">
            <v>1202</v>
          </cell>
          <cell r="Q1216" t="str">
            <v>Not Applicable</v>
          </cell>
          <cell r="R1216" t="str">
            <v>Aspira Medical AB</v>
          </cell>
          <cell r="S1216" t="str">
            <v>Perniagaan Med Tech</v>
          </cell>
          <cell r="T1216" t="str">
            <v>Functioning</v>
          </cell>
          <cell r="U1216" t="str">
            <v>Asset</v>
          </cell>
          <cell r="V1216">
            <v>12630</v>
          </cell>
          <cell r="W1216" t="str">
            <v>KEW</v>
          </cell>
          <cell r="X1216" t="str">
            <v>01/09/2010</v>
          </cell>
          <cell r="Y1216" t="str">
            <v>KEW</v>
          </cell>
          <cell r="Z1216" t="str">
            <v>16/08/2013</v>
          </cell>
          <cell r="AA1216" t="str">
            <v>15/08/2015</v>
          </cell>
          <cell r="AB1216" t="str">
            <v>No</v>
          </cell>
          <cell r="AC1216" t="str">
            <v>31/08/2013</v>
          </cell>
          <cell r="AD1216" t="str">
            <v>Good</v>
          </cell>
          <cell r="AE1216" t="str">
            <v>V1 - Existing / No Claim</v>
          </cell>
          <cell r="AF1216">
            <v>42235</v>
          </cell>
          <cell r="AG1216">
            <v>9.17</v>
          </cell>
          <cell r="AH1216" t="str">
            <v>PPM</v>
          </cell>
          <cell r="AI1216" t="str">
            <v>Strands</v>
          </cell>
          <cell r="AJ1216" t="str">
            <v>Strands PW</v>
          </cell>
        </row>
        <row r="1217">
          <cell r="A1217" t="str">
            <v>IKN400824</v>
          </cell>
          <cell r="B1217">
            <v>824</v>
          </cell>
          <cell r="C1217" t="str">
            <v>Institut Kanser Negara</v>
          </cell>
          <cell r="D1217" t="str">
            <v>KKM/IKN/H/13/3376</v>
          </cell>
          <cell r="E1217" t="str">
            <v>16-173</v>
          </cell>
          <cell r="F1217" t="str">
            <v>Sphygmomanometers, Electronic, Automatic</v>
          </cell>
          <cell r="G1217" t="str">
            <v>RT</v>
          </cell>
          <cell r="H1217" t="str">
            <v>RADIATION TREATMENT UNIT</v>
          </cell>
          <cell r="I1217" t="str">
            <v>01RT243</v>
          </cell>
          <cell r="J1217" t="str">
            <v>NURSE STATION</v>
          </cell>
          <cell r="K1217" t="str">
            <v>BMED</v>
          </cell>
          <cell r="L1217" t="str">
            <v>Normal</v>
          </cell>
          <cell r="M1217" t="str">
            <v>USA</v>
          </cell>
          <cell r="N1217" t="str">
            <v>Connex</v>
          </cell>
          <cell r="O1217" t="str">
            <v>Connex ProBP 3400</v>
          </cell>
          <cell r="P1217" t="str">
            <v>100001450613</v>
          </cell>
          <cell r="Q1217" t="str">
            <v>Not Applicable</v>
          </cell>
          <cell r="R1217" t="str">
            <v>Welch Allyn Inc</v>
          </cell>
          <cell r="S1217" t="str">
            <v>Welch Allyn Malaysia Sdn Bhd</v>
          </cell>
          <cell r="T1217" t="str">
            <v>Functioning</v>
          </cell>
          <cell r="U1217" t="str">
            <v>Asset</v>
          </cell>
          <cell r="V1217">
            <v>4510</v>
          </cell>
          <cell r="W1217" t="str">
            <v>KEW</v>
          </cell>
          <cell r="X1217" t="str">
            <v>01/09/2010</v>
          </cell>
          <cell r="Y1217" t="str">
            <v>KEW</v>
          </cell>
          <cell r="Z1217" t="str">
            <v>16/08/2013</v>
          </cell>
          <cell r="AA1217" t="str">
            <v>15/08/2015</v>
          </cell>
          <cell r="AB1217" t="str">
            <v>No</v>
          </cell>
          <cell r="AC1217" t="str">
            <v>31/08/2013</v>
          </cell>
          <cell r="AD1217" t="str">
            <v>Good</v>
          </cell>
          <cell r="AE1217" t="str">
            <v>V1 - Existing / No Claim</v>
          </cell>
          <cell r="AF1217">
            <v>42235</v>
          </cell>
          <cell r="AG1217">
            <v>9.17</v>
          </cell>
          <cell r="AH1217" t="str">
            <v>PPM</v>
          </cell>
          <cell r="AI1217" t="str">
            <v>Strands</v>
          </cell>
          <cell r="AJ1217" t="str">
            <v>Strands PW</v>
          </cell>
        </row>
        <row r="1218">
          <cell r="A1218" t="str">
            <v>IKN400825</v>
          </cell>
          <cell r="B1218">
            <v>825</v>
          </cell>
          <cell r="C1218" t="str">
            <v>Institut Kanser Negara</v>
          </cell>
          <cell r="D1218" t="str">
            <v>KKM/IKN/H/13/3377</v>
          </cell>
          <cell r="E1218" t="str">
            <v>16-173</v>
          </cell>
          <cell r="F1218" t="str">
            <v>Sphygmomanometers, Electronic, Automatic</v>
          </cell>
          <cell r="G1218" t="str">
            <v>RT</v>
          </cell>
          <cell r="H1218" t="str">
            <v>RADIATION TREATMENT UNIT</v>
          </cell>
          <cell r="I1218" t="str">
            <v>01RT243</v>
          </cell>
          <cell r="J1218" t="str">
            <v>NURSE STATION</v>
          </cell>
          <cell r="K1218" t="str">
            <v>BMED</v>
          </cell>
          <cell r="L1218" t="str">
            <v>Normal</v>
          </cell>
          <cell r="M1218" t="str">
            <v>USA</v>
          </cell>
          <cell r="N1218" t="str">
            <v>Connex</v>
          </cell>
          <cell r="O1218" t="str">
            <v>Connex ProBP 3400</v>
          </cell>
          <cell r="P1218" t="str">
            <v>100002153912</v>
          </cell>
          <cell r="Q1218" t="str">
            <v>Not Applicable</v>
          </cell>
          <cell r="R1218" t="str">
            <v>Welch Allyn Inc</v>
          </cell>
          <cell r="S1218" t="str">
            <v>Welch Allyn Malaysia Sdn Bhd</v>
          </cell>
          <cell r="T1218" t="str">
            <v>Functioning</v>
          </cell>
          <cell r="U1218" t="str">
            <v>Asset</v>
          </cell>
          <cell r="V1218">
            <v>4510</v>
          </cell>
          <cell r="W1218" t="str">
            <v>KEW</v>
          </cell>
          <cell r="X1218" t="str">
            <v>01/09/2010</v>
          </cell>
          <cell r="Y1218" t="str">
            <v>KEW</v>
          </cell>
          <cell r="Z1218" t="str">
            <v>16/08/2013</v>
          </cell>
          <cell r="AA1218" t="str">
            <v>15/08/2015</v>
          </cell>
          <cell r="AB1218" t="str">
            <v>No</v>
          </cell>
          <cell r="AC1218" t="str">
            <v>31/08/2013</v>
          </cell>
          <cell r="AD1218" t="str">
            <v>Good</v>
          </cell>
          <cell r="AE1218" t="str">
            <v>V1 - Existing / No Claim</v>
          </cell>
          <cell r="AF1218">
            <v>42235</v>
          </cell>
          <cell r="AG1218">
            <v>9.17</v>
          </cell>
          <cell r="AH1218" t="str">
            <v>PPM</v>
          </cell>
          <cell r="AI1218" t="str">
            <v>Strands</v>
          </cell>
          <cell r="AJ1218" t="str">
            <v>Strands PW</v>
          </cell>
        </row>
        <row r="1219">
          <cell r="A1219" t="str">
            <v>IKN400826</v>
          </cell>
          <cell r="B1219">
            <v>826</v>
          </cell>
          <cell r="C1219" t="str">
            <v>Institut Kanser Negara</v>
          </cell>
          <cell r="D1219" t="str">
            <v>KKM/IKN/H/13/2543</v>
          </cell>
          <cell r="E1219" t="str">
            <v>17-950</v>
          </cell>
          <cell r="F1219" t="str">
            <v>Warming Units, Patient, Forced-Air</v>
          </cell>
          <cell r="G1219" t="str">
            <v>RT</v>
          </cell>
          <cell r="H1219" t="str">
            <v>RADIATION TREATMENT UNIT</v>
          </cell>
          <cell r="I1219" t="str">
            <v>01RT239</v>
          </cell>
          <cell r="J1219" t="str">
            <v>POST-OP</v>
          </cell>
          <cell r="K1219" t="str">
            <v>BMED</v>
          </cell>
          <cell r="L1219" t="str">
            <v>Normal</v>
          </cell>
          <cell r="M1219" t="str">
            <v>USA</v>
          </cell>
          <cell r="N1219" t="str">
            <v>Bair Hugger</v>
          </cell>
          <cell r="O1219" t="str">
            <v>Bair Hugger 775</v>
          </cell>
          <cell r="P1219" t="str">
            <v>36863</v>
          </cell>
          <cell r="Q1219" t="str">
            <v>Not Applicable</v>
          </cell>
          <cell r="R1219" t="str">
            <v>Arizant Healthcare Inc</v>
          </cell>
          <cell r="S1219" t="str">
            <v>Calmed Healthcare Sdn Bhd</v>
          </cell>
          <cell r="T1219" t="str">
            <v>Functioning</v>
          </cell>
          <cell r="U1219" t="str">
            <v>Asset</v>
          </cell>
          <cell r="V1219">
            <v>15515</v>
          </cell>
          <cell r="W1219" t="str">
            <v>KEW</v>
          </cell>
          <cell r="X1219" t="str">
            <v>01/09/2010</v>
          </cell>
          <cell r="Y1219" t="str">
            <v>KEW</v>
          </cell>
          <cell r="Z1219" t="str">
            <v>16/08/2013</v>
          </cell>
          <cell r="AA1219" t="str">
            <v>15/08/2015</v>
          </cell>
          <cell r="AB1219" t="str">
            <v>No</v>
          </cell>
          <cell r="AC1219" t="str">
            <v>31/08/2013</v>
          </cell>
          <cell r="AD1219" t="str">
            <v>Good</v>
          </cell>
          <cell r="AE1219" t="str">
            <v>V1 - Existing / No Claim</v>
          </cell>
          <cell r="AF1219">
            <v>42235</v>
          </cell>
          <cell r="AG1219">
            <v>9.17</v>
          </cell>
          <cell r="AH1219" t="str">
            <v>PPM</v>
          </cell>
          <cell r="AI1219" t="str">
            <v>Strands</v>
          </cell>
          <cell r="AJ1219" t="str">
            <v>Strands PW</v>
          </cell>
        </row>
        <row r="1220">
          <cell r="A1220" t="str">
            <v>IKN400827</v>
          </cell>
          <cell r="B1220">
            <v>827</v>
          </cell>
          <cell r="C1220" t="str">
            <v>Institut Kanser Negara</v>
          </cell>
          <cell r="D1220" t="str">
            <v>KKM/IKN/H/13/3249</v>
          </cell>
          <cell r="E1220" t="str">
            <v>10-447</v>
          </cell>
          <cell r="F1220" t="str">
            <v>Warming Units, Blood/Solution</v>
          </cell>
          <cell r="G1220" t="str">
            <v>RT</v>
          </cell>
          <cell r="H1220" t="str">
            <v>RADIATION TREATMENT UNIT</v>
          </cell>
          <cell r="I1220" t="str">
            <v>01RT275</v>
          </cell>
          <cell r="J1220" t="str">
            <v>BRACHY OT 1</v>
          </cell>
          <cell r="K1220" t="str">
            <v>BMED</v>
          </cell>
          <cell r="L1220" t="str">
            <v>Normal</v>
          </cell>
          <cell r="M1220" t="str">
            <v>USA</v>
          </cell>
          <cell r="N1220" t="str">
            <v>Hotline</v>
          </cell>
          <cell r="O1220" t="str">
            <v>Hotline HL-90</v>
          </cell>
          <cell r="P1220" t="str">
            <v>S101B00813</v>
          </cell>
          <cell r="Q1220" t="str">
            <v>Not Applicable</v>
          </cell>
          <cell r="R1220" t="str">
            <v>Level 1 Technologies Inc</v>
          </cell>
          <cell r="S1220" t="str">
            <v>Primed Medical Services Sdn Bhd</v>
          </cell>
          <cell r="T1220" t="str">
            <v>Functioning</v>
          </cell>
          <cell r="U1220" t="str">
            <v>Asset</v>
          </cell>
          <cell r="V1220">
            <v>15395</v>
          </cell>
          <cell r="W1220" t="str">
            <v>KEW</v>
          </cell>
          <cell r="X1220" t="str">
            <v>01/09/2010</v>
          </cell>
          <cell r="Y1220" t="str">
            <v>KEW</v>
          </cell>
          <cell r="Z1220" t="str">
            <v>16/08/2013</v>
          </cell>
          <cell r="AA1220" t="str">
            <v>15/08/2015</v>
          </cell>
          <cell r="AB1220" t="str">
            <v>No</v>
          </cell>
          <cell r="AC1220" t="str">
            <v>31/08/2013</v>
          </cell>
          <cell r="AD1220" t="str">
            <v>Good</v>
          </cell>
          <cell r="AE1220" t="str">
            <v>V1 - Existing / No Claim</v>
          </cell>
          <cell r="AF1220">
            <v>42235</v>
          </cell>
          <cell r="AG1220">
            <v>9.17</v>
          </cell>
          <cell r="AH1220" t="str">
            <v>PPM</v>
          </cell>
          <cell r="AI1220" t="str">
            <v>Strands</v>
          </cell>
          <cell r="AJ1220" t="str">
            <v>Strands PW</v>
          </cell>
        </row>
        <row r="1221">
          <cell r="A1221" t="str">
            <v>IKN400828</v>
          </cell>
          <cell r="B1221">
            <v>828</v>
          </cell>
          <cell r="C1221" t="str">
            <v>Institut Kanser Negara</v>
          </cell>
          <cell r="D1221" t="str">
            <v>KKM/IKN/H/13/2643</v>
          </cell>
          <cell r="E1221" t="str">
            <v>10-134</v>
          </cell>
          <cell r="F1221" t="str">
            <v>Anesthesia Units</v>
          </cell>
          <cell r="G1221" t="str">
            <v>RT</v>
          </cell>
          <cell r="H1221" t="str">
            <v>RADIATION TREATMENT UNIT</v>
          </cell>
          <cell r="I1221" t="str">
            <v>01RT275</v>
          </cell>
          <cell r="J1221" t="str">
            <v>BRACHY OT 1</v>
          </cell>
          <cell r="K1221" t="str">
            <v>BMED</v>
          </cell>
          <cell r="L1221" t="str">
            <v>Normal</v>
          </cell>
          <cell r="M1221" t="str">
            <v>Germany</v>
          </cell>
          <cell r="N1221" t="str">
            <v>Primus</v>
          </cell>
          <cell r="O1221" t="str">
            <v>Primus</v>
          </cell>
          <cell r="P1221" t="str">
            <v>ASDJ-0239</v>
          </cell>
          <cell r="Q1221" t="str">
            <v>Not Applicable</v>
          </cell>
          <cell r="R1221" t="str">
            <v>Drager medical GmbH</v>
          </cell>
          <cell r="S1221" t="str">
            <v>Beau Consortium Sdn Bhd</v>
          </cell>
          <cell r="T1221" t="str">
            <v>Functioning</v>
          </cell>
          <cell r="U1221" t="str">
            <v>Asset</v>
          </cell>
          <cell r="V1221">
            <v>144345</v>
          </cell>
          <cell r="W1221" t="str">
            <v>KEW</v>
          </cell>
          <cell r="X1221" t="str">
            <v>01/09/2010</v>
          </cell>
          <cell r="Y1221" t="str">
            <v>KEW</v>
          </cell>
          <cell r="Z1221" t="str">
            <v>16/08/2013</v>
          </cell>
          <cell r="AA1221" t="str">
            <v>15/08/2015</v>
          </cell>
          <cell r="AB1221" t="str">
            <v>No</v>
          </cell>
          <cell r="AC1221" t="str">
            <v>31/08/2013</v>
          </cell>
          <cell r="AD1221" t="str">
            <v>Good</v>
          </cell>
          <cell r="AE1221" t="str">
            <v>V1 - Existing / No Claim</v>
          </cell>
          <cell r="AF1221">
            <v>42235</v>
          </cell>
          <cell r="AG1221">
            <v>9.17</v>
          </cell>
          <cell r="AH1221" t="str">
            <v>PPM</v>
          </cell>
          <cell r="AI1221" t="str">
            <v>Strands</v>
          </cell>
          <cell r="AJ1221" t="str">
            <v>Strands PW</v>
          </cell>
        </row>
        <row r="1222">
          <cell r="A1222" t="str">
            <v>IKN400829</v>
          </cell>
          <cell r="B1222">
            <v>829</v>
          </cell>
          <cell r="C1222" t="str">
            <v>Institut Kanser Negara</v>
          </cell>
          <cell r="D1222" t="str">
            <v>KKM/IKN/H/13/2606</v>
          </cell>
          <cell r="E1222" t="str">
            <v>13-217</v>
          </cell>
          <cell r="F1222" t="str">
            <v>Infusion Pumps, Syringe</v>
          </cell>
          <cell r="G1222" t="str">
            <v>RT</v>
          </cell>
          <cell r="H1222" t="str">
            <v>RADIATION TREATMENT UNIT</v>
          </cell>
          <cell r="I1222" t="str">
            <v>01RT275</v>
          </cell>
          <cell r="J1222" t="str">
            <v>BRACHY OT 1</v>
          </cell>
          <cell r="K1222" t="str">
            <v>BMED</v>
          </cell>
          <cell r="L1222" t="str">
            <v>Normal</v>
          </cell>
          <cell r="M1222" t="str">
            <v>Germany</v>
          </cell>
          <cell r="N1222" t="str">
            <v>Perfusor</v>
          </cell>
          <cell r="O1222" t="str">
            <v>Perfusor Space</v>
          </cell>
          <cell r="P1222" t="str">
            <v>143308</v>
          </cell>
          <cell r="Q1222" t="str">
            <v>Not Applicable</v>
          </cell>
          <cell r="R1222" t="str">
            <v>B Braun Melsungen AG</v>
          </cell>
          <cell r="S1222" t="str">
            <v>B Braun Medical Supplies Sdn. Bhd.</v>
          </cell>
          <cell r="T1222" t="str">
            <v>Functioning</v>
          </cell>
          <cell r="U1222" t="str">
            <v>Asset</v>
          </cell>
          <cell r="V1222">
            <v>10225</v>
          </cell>
          <cell r="W1222" t="str">
            <v>KEW</v>
          </cell>
          <cell r="X1222" t="str">
            <v>01/09/2010</v>
          </cell>
          <cell r="Y1222" t="str">
            <v>KEW</v>
          </cell>
          <cell r="Z1222" t="str">
            <v>16/08/2013</v>
          </cell>
          <cell r="AA1222" t="str">
            <v>15/08/2015</v>
          </cell>
          <cell r="AB1222" t="str">
            <v>No</v>
          </cell>
          <cell r="AC1222" t="str">
            <v>31/08/2013</v>
          </cell>
          <cell r="AD1222" t="str">
            <v>Good</v>
          </cell>
          <cell r="AE1222" t="str">
            <v>V1 - Existing / No Claim</v>
          </cell>
          <cell r="AF1222">
            <v>42235</v>
          </cell>
          <cell r="AG1222">
            <v>9.17</v>
          </cell>
          <cell r="AH1222" t="str">
            <v>PPM</v>
          </cell>
          <cell r="AI1222" t="str">
            <v>Strands</v>
          </cell>
          <cell r="AJ1222" t="str">
            <v>Strands PW</v>
          </cell>
        </row>
        <row r="1223">
          <cell r="A1223" t="str">
            <v>IKN400830</v>
          </cell>
          <cell r="B1223">
            <v>830</v>
          </cell>
          <cell r="C1223" t="str">
            <v>Institut Kanser Negara</v>
          </cell>
          <cell r="D1223" t="str">
            <v>KKM/IKN/H/13/2607</v>
          </cell>
          <cell r="E1223" t="str">
            <v>13-217</v>
          </cell>
          <cell r="F1223" t="str">
            <v>Infusion Pumps, Syringe</v>
          </cell>
          <cell r="G1223" t="str">
            <v>RT</v>
          </cell>
          <cell r="H1223" t="str">
            <v>RADIATION TREATMENT UNIT</v>
          </cell>
          <cell r="I1223" t="str">
            <v>01RT275</v>
          </cell>
          <cell r="J1223" t="str">
            <v>BRACHY OT 1</v>
          </cell>
          <cell r="K1223" t="str">
            <v>BMED</v>
          </cell>
          <cell r="L1223" t="str">
            <v>Normal</v>
          </cell>
          <cell r="M1223" t="str">
            <v>Germany</v>
          </cell>
          <cell r="N1223" t="str">
            <v>Perfusor</v>
          </cell>
          <cell r="O1223" t="str">
            <v>Perfusor Space</v>
          </cell>
          <cell r="P1223" t="str">
            <v>187001</v>
          </cell>
          <cell r="Q1223" t="str">
            <v>Not Applicable</v>
          </cell>
          <cell r="R1223" t="str">
            <v>B Braun Melsungen AG</v>
          </cell>
          <cell r="S1223" t="str">
            <v>B Braun Medical Supplies Sdn. Bhd.</v>
          </cell>
          <cell r="T1223" t="str">
            <v>Functioning</v>
          </cell>
          <cell r="U1223" t="str">
            <v>Asset</v>
          </cell>
          <cell r="V1223">
            <v>10225</v>
          </cell>
          <cell r="W1223" t="str">
            <v>KEW</v>
          </cell>
          <cell r="X1223" t="str">
            <v>01/09/2010</v>
          </cell>
          <cell r="Y1223" t="str">
            <v>KEW</v>
          </cell>
          <cell r="Z1223" t="str">
            <v>16/08/2013</v>
          </cell>
          <cell r="AA1223" t="str">
            <v>15/08/2015</v>
          </cell>
          <cell r="AB1223" t="str">
            <v>No</v>
          </cell>
          <cell r="AC1223" t="str">
            <v>31/08/2013</v>
          </cell>
          <cell r="AD1223" t="str">
            <v>Good</v>
          </cell>
          <cell r="AE1223" t="str">
            <v>V1 - Existing / No Claim</v>
          </cell>
          <cell r="AF1223">
            <v>42235</v>
          </cell>
          <cell r="AG1223">
            <v>9.17</v>
          </cell>
          <cell r="AH1223" t="str">
            <v>PPM</v>
          </cell>
          <cell r="AI1223" t="str">
            <v>Strands</v>
          </cell>
          <cell r="AJ1223" t="str">
            <v>Strands PW</v>
          </cell>
        </row>
        <row r="1224">
          <cell r="A1224" t="str">
            <v>IKN400831</v>
          </cell>
          <cell r="B1224">
            <v>831</v>
          </cell>
          <cell r="C1224" t="str">
            <v>Institut Kanser Negara</v>
          </cell>
          <cell r="D1224" t="str">
            <v>KKM/IKN/H/13/2611</v>
          </cell>
          <cell r="E1224" t="str">
            <v>16-924</v>
          </cell>
          <cell r="F1224" t="str">
            <v>Infusion Pumps, Patient-Controlled Analgesic</v>
          </cell>
          <cell r="G1224" t="str">
            <v>RT</v>
          </cell>
          <cell r="H1224" t="str">
            <v>RADIATION TREATMENT UNIT</v>
          </cell>
          <cell r="I1224" t="str">
            <v>01RT275</v>
          </cell>
          <cell r="J1224" t="str">
            <v>BRACHY OT 1</v>
          </cell>
          <cell r="K1224" t="str">
            <v>BMED</v>
          </cell>
          <cell r="L1224" t="str">
            <v>Normal</v>
          </cell>
          <cell r="M1224" t="str">
            <v>Germany</v>
          </cell>
          <cell r="N1224" t="str">
            <v>Perfusor</v>
          </cell>
          <cell r="O1224" t="str">
            <v>Perfusor Space PCA</v>
          </cell>
          <cell r="P1224" t="str">
            <v>186980</v>
          </cell>
          <cell r="Q1224" t="str">
            <v>Not Applicable</v>
          </cell>
          <cell r="R1224" t="str">
            <v>B Braun Melsungen AG</v>
          </cell>
          <cell r="S1224" t="str">
            <v>B Braun Medical Supplies Sdn. Bhd.</v>
          </cell>
          <cell r="T1224" t="str">
            <v>Functioning</v>
          </cell>
          <cell r="U1224" t="str">
            <v>Asset</v>
          </cell>
          <cell r="V1224">
            <v>9622</v>
          </cell>
          <cell r="W1224" t="str">
            <v>KEW</v>
          </cell>
          <cell r="X1224" t="str">
            <v>01/09/2010</v>
          </cell>
          <cell r="Y1224" t="str">
            <v>KEW</v>
          </cell>
          <cell r="Z1224" t="str">
            <v>16/08/2013</v>
          </cell>
          <cell r="AA1224" t="str">
            <v>15/08/2015</v>
          </cell>
          <cell r="AB1224" t="str">
            <v>No</v>
          </cell>
          <cell r="AC1224" t="str">
            <v>31/08/2013</v>
          </cell>
          <cell r="AD1224" t="str">
            <v>Good</v>
          </cell>
          <cell r="AE1224" t="str">
            <v>V1 - Existing / No Claim</v>
          </cell>
          <cell r="AF1224">
            <v>42235</v>
          </cell>
          <cell r="AG1224">
            <v>9.17</v>
          </cell>
          <cell r="AH1224" t="str">
            <v>PPM</v>
          </cell>
          <cell r="AI1224" t="str">
            <v>Strands</v>
          </cell>
          <cell r="AJ1224" t="str">
            <v>Strands PW</v>
          </cell>
        </row>
        <row r="1225">
          <cell r="A1225" t="str">
            <v>IKN400832</v>
          </cell>
          <cell r="B1225">
            <v>832</v>
          </cell>
          <cell r="C1225" t="str">
            <v>Institut Kanser Negara</v>
          </cell>
          <cell r="D1225" t="str">
            <v>KKM/IKN/H/13/2612</v>
          </cell>
          <cell r="E1225" t="str">
            <v>13-215</v>
          </cell>
          <cell r="F1225" t="str">
            <v>Infusion Pumps, General-Purpose</v>
          </cell>
          <cell r="G1225" t="str">
            <v>RT</v>
          </cell>
          <cell r="H1225" t="str">
            <v>RADIATION TREATMENT UNIT</v>
          </cell>
          <cell r="I1225" t="str">
            <v>01RT275</v>
          </cell>
          <cell r="J1225" t="str">
            <v>BRACHY OT 1</v>
          </cell>
          <cell r="K1225" t="str">
            <v>BMED</v>
          </cell>
          <cell r="L1225" t="str">
            <v>Normal</v>
          </cell>
          <cell r="M1225" t="str">
            <v>Germany</v>
          </cell>
          <cell r="N1225" t="str">
            <v>Infusomat</v>
          </cell>
          <cell r="O1225" t="str">
            <v>Infusomat Space</v>
          </cell>
          <cell r="P1225" t="str">
            <v>212040</v>
          </cell>
          <cell r="Q1225" t="str">
            <v>Not Applicable</v>
          </cell>
          <cell r="R1225" t="str">
            <v>B Braun Melsungen AG</v>
          </cell>
          <cell r="S1225" t="str">
            <v>B Braun Medical Supplies Sdn. Bhd.</v>
          </cell>
          <cell r="T1225" t="str">
            <v>Functioning</v>
          </cell>
          <cell r="U1225" t="str">
            <v>Asset</v>
          </cell>
          <cell r="V1225">
            <v>10825</v>
          </cell>
          <cell r="W1225" t="str">
            <v>KEW</v>
          </cell>
          <cell r="X1225" t="str">
            <v>01/09/2010</v>
          </cell>
          <cell r="Y1225" t="str">
            <v>KEW</v>
          </cell>
          <cell r="Z1225" t="str">
            <v>16/08/2013</v>
          </cell>
          <cell r="AA1225" t="str">
            <v>15/08/2015</v>
          </cell>
          <cell r="AB1225" t="str">
            <v>No</v>
          </cell>
          <cell r="AC1225" t="str">
            <v>31/08/2013</v>
          </cell>
          <cell r="AD1225" t="str">
            <v>Good</v>
          </cell>
          <cell r="AE1225" t="str">
            <v>V1 - Existing / No Claim</v>
          </cell>
          <cell r="AF1225">
            <v>42235</v>
          </cell>
          <cell r="AG1225">
            <v>9.17</v>
          </cell>
          <cell r="AH1225" t="str">
            <v>PPM</v>
          </cell>
          <cell r="AI1225" t="str">
            <v>Strands</v>
          </cell>
          <cell r="AJ1225" t="str">
            <v>Strands PW</v>
          </cell>
        </row>
        <row r="1226">
          <cell r="A1226" t="str">
            <v>IKN400833</v>
          </cell>
          <cell r="B1226">
            <v>833</v>
          </cell>
          <cell r="C1226" t="str">
            <v>Institut Kanser Negara</v>
          </cell>
          <cell r="D1226" t="str">
            <v>KKM/IKN/H/13/4476</v>
          </cell>
          <cell r="E1226" t="str">
            <v>11-758</v>
          </cell>
          <cell r="F1226" t="str">
            <v>Radiographic/Fluoroscopic Units, Mobile</v>
          </cell>
          <cell r="G1226" t="str">
            <v>RT</v>
          </cell>
          <cell r="H1226" t="str">
            <v>RADIATION TREATMENT UNIT</v>
          </cell>
          <cell r="I1226" t="str">
            <v>01RT233</v>
          </cell>
          <cell r="J1226" t="str">
            <v>EQ ROOM</v>
          </cell>
          <cell r="K1226" t="str">
            <v>BMED</v>
          </cell>
          <cell r="L1226" t="str">
            <v>Normal</v>
          </cell>
          <cell r="M1226" t="str">
            <v>The Netherlands</v>
          </cell>
          <cell r="N1226" t="str">
            <v>Veradius</v>
          </cell>
          <cell r="O1226" t="str">
            <v>Veradius</v>
          </cell>
          <cell r="P1226" t="str">
            <v>01J0FT518(578)</v>
          </cell>
          <cell r="Q1226" t="str">
            <v>Not Applicable</v>
          </cell>
          <cell r="R1226" t="str">
            <v>Philips Medical Systems</v>
          </cell>
          <cell r="S1226" t="str">
            <v>Advance Altimas Sdn Bhd</v>
          </cell>
          <cell r="T1226" t="str">
            <v>Functioning</v>
          </cell>
          <cell r="U1226" t="str">
            <v>Asset</v>
          </cell>
          <cell r="V1226">
            <v>1163300</v>
          </cell>
          <cell r="W1226" t="str">
            <v>KEW</v>
          </cell>
          <cell r="X1226" t="str">
            <v>01/09/2010</v>
          </cell>
          <cell r="Y1226" t="str">
            <v>KEW</v>
          </cell>
          <cell r="Z1226" t="str">
            <v>16/08/2013</v>
          </cell>
          <cell r="AA1226" t="str">
            <v>15/08/2015</v>
          </cell>
          <cell r="AB1226" t="str">
            <v>No</v>
          </cell>
          <cell r="AC1226" t="str">
            <v>31/08/2013</v>
          </cell>
          <cell r="AD1226" t="str">
            <v>Good</v>
          </cell>
          <cell r="AE1226" t="str">
            <v>V1 - Existing / No Claim</v>
          </cell>
          <cell r="AF1226">
            <v>42235</v>
          </cell>
          <cell r="AG1226">
            <v>9.17</v>
          </cell>
          <cell r="AH1226" t="str">
            <v>PPM</v>
          </cell>
          <cell r="AI1226" t="str">
            <v>Strands</v>
          </cell>
          <cell r="AJ1226" t="str">
            <v>Strands PW</v>
          </cell>
        </row>
        <row r="1227">
          <cell r="A1227" t="str">
            <v>IKN400834</v>
          </cell>
          <cell r="B1227">
            <v>834</v>
          </cell>
          <cell r="C1227" t="str">
            <v>Institut Kanser Negara</v>
          </cell>
          <cell r="D1227" t="str">
            <v>KKM/IKN/H/13/3845</v>
          </cell>
          <cell r="E1227" t="str">
            <v>12-647</v>
          </cell>
          <cell r="F1227" t="str">
            <v>Physiologic Monitoring Systems, Acute Care</v>
          </cell>
          <cell r="G1227" t="str">
            <v>RT</v>
          </cell>
          <cell r="H1227" t="str">
            <v>RADIATION TREATMENT UNIT</v>
          </cell>
          <cell r="I1227" t="str">
            <v>01RT275</v>
          </cell>
          <cell r="J1227" t="str">
            <v>BRACHY OT 1</v>
          </cell>
          <cell r="K1227" t="str">
            <v>BMED</v>
          </cell>
          <cell r="L1227" t="str">
            <v>Normal</v>
          </cell>
          <cell r="M1227" t="str">
            <v>Finland</v>
          </cell>
          <cell r="N1227" t="str">
            <v>Carespace</v>
          </cell>
          <cell r="O1227" t="str">
            <v>Carespace B850</v>
          </cell>
          <cell r="P1227" t="str">
            <v>SED12370821GA</v>
          </cell>
          <cell r="Q1227" t="str">
            <v>Not Applicable</v>
          </cell>
          <cell r="R1227" t="str">
            <v>GE Healthcare Systems</v>
          </cell>
          <cell r="S1227" t="str">
            <v>GE Healthcare Technologies</v>
          </cell>
          <cell r="T1227" t="str">
            <v>Functioning</v>
          </cell>
          <cell r="U1227" t="str">
            <v>Asset</v>
          </cell>
          <cell r="V1227">
            <v>119690</v>
          </cell>
          <cell r="W1227" t="str">
            <v>KEW</v>
          </cell>
          <cell r="X1227" t="str">
            <v>01/09/2010</v>
          </cell>
          <cell r="Y1227" t="str">
            <v>KEW</v>
          </cell>
          <cell r="Z1227" t="str">
            <v>16/08/2013</v>
          </cell>
          <cell r="AA1227" t="str">
            <v>15/08/2015</v>
          </cell>
          <cell r="AB1227" t="str">
            <v>No</v>
          </cell>
          <cell r="AC1227" t="str">
            <v>31/08/2013</v>
          </cell>
          <cell r="AD1227" t="str">
            <v>Good</v>
          </cell>
          <cell r="AE1227" t="str">
            <v>V1 - Existing / No Claim</v>
          </cell>
          <cell r="AF1227">
            <v>42235</v>
          </cell>
          <cell r="AG1227">
            <v>9.17</v>
          </cell>
          <cell r="AH1227" t="str">
            <v>PPM</v>
          </cell>
          <cell r="AI1227" t="str">
            <v>Strands</v>
          </cell>
          <cell r="AJ1227" t="str">
            <v>Strands PW</v>
          </cell>
        </row>
        <row r="1228">
          <cell r="A1228" t="str">
            <v>IKN400835</v>
          </cell>
          <cell r="B1228">
            <v>835</v>
          </cell>
          <cell r="C1228" t="str">
            <v>Institut Kanser Negara</v>
          </cell>
          <cell r="D1228" t="str">
            <v>KKM/IKN/H/13/2581</v>
          </cell>
          <cell r="E1228" t="str">
            <v>18-231</v>
          </cell>
          <cell r="F1228" t="str">
            <v>Electrosurgical Units, Monopolar/Bipolar</v>
          </cell>
          <cell r="G1228" t="str">
            <v>RT</v>
          </cell>
          <cell r="H1228" t="str">
            <v>RADIATION TREATMENT UNIT</v>
          </cell>
          <cell r="I1228" t="str">
            <v>01RT275</v>
          </cell>
          <cell r="J1228" t="str">
            <v>BRACHY OT 1</v>
          </cell>
          <cell r="K1228" t="str">
            <v>BMED</v>
          </cell>
          <cell r="L1228" t="str">
            <v>Normal</v>
          </cell>
          <cell r="M1228" t="str">
            <v>USA</v>
          </cell>
          <cell r="N1228" t="str">
            <v>Force</v>
          </cell>
          <cell r="O1228" t="str">
            <v>Force FX-8C</v>
          </cell>
          <cell r="P1228" t="str">
            <v>F2H70450AX</v>
          </cell>
          <cell r="Q1228" t="str">
            <v>Not Applicable</v>
          </cell>
          <cell r="R1228" t="str">
            <v>Valleylab</v>
          </cell>
          <cell r="S1228" t="str">
            <v>United States of America</v>
          </cell>
          <cell r="T1228" t="str">
            <v>Functioning</v>
          </cell>
          <cell r="U1228" t="str">
            <v>Asset</v>
          </cell>
          <cell r="V1228">
            <v>97190</v>
          </cell>
          <cell r="W1228" t="str">
            <v>KEW</v>
          </cell>
          <cell r="X1228" t="str">
            <v>01/09/2010</v>
          </cell>
          <cell r="Y1228" t="str">
            <v>KEW</v>
          </cell>
          <cell r="Z1228" t="str">
            <v>16/08/2013</v>
          </cell>
          <cell r="AA1228" t="str">
            <v>15/08/2015</v>
          </cell>
          <cell r="AB1228" t="str">
            <v>No</v>
          </cell>
          <cell r="AC1228" t="str">
            <v>31/08/2013</v>
          </cell>
          <cell r="AD1228" t="str">
            <v>Good</v>
          </cell>
          <cell r="AE1228" t="str">
            <v>V1 - Existing / No Claim</v>
          </cell>
          <cell r="AF1228">
            <v>42235</v>
          </cell>
          <cell r="AG1228">
            <v>9.17</v>
          </cell>
          <cell r="AH1228" t="str">
            <v>PPM</v>
          </cell>
          <cell r="AI1228" t="str">
            <v>Strands</v>
          </cell>
          <cell r="AJ1228" t="str">
            <v>Strands PW</v>
          </cell>
        </row>
        <row r="1229">
          <cell r="A1229" t="str">
            <v>IKN400836</v>
          </cell>
          <cell r="B1229">
            <v>836</v>
          </cell>
          <cell r="C1229" t="str">
            <v>Institut Kanser Negara</v>
          </cell>
          <cell r="D1229" t="str">
            <v>KKM/IKN/H/13/2626</v>
          </cell>
          <cell r="E1229" t="str">
            <v>10-414</v>
          </cell>
          <cell r="F1229" t="str">
            <v>Warming Units, Blanket</v>
          </cell>
          <cell r="G1229" t="str">
            <v>RT</v>
          </cell>
          <cell r="H1229" t="str">
            <v>RADIATION TREATMENT UNIT</v>
          </cell>
          <cell r="I1229" t="str">
            <v>01RT275</v>
          </cell>
          <cell r="J1229" t="str">
            <v>BRACHY OT 1</v>
          </cell>
          <cell r="K1229" t="str">
            <v>BMED</v>
          </cell>
          <cell r="L1229" t="str">
            <v>Normal</v>
          </cell>
          <cell r="M1229" t="str">
            <v>Sweden</v>
          </cell>
          <cell r="N1229" t="str">
            <v>Operatherm</v>
          </cell>
          <cell r="O1229" t="str">
            <v>Operatherm 303</v>
          </cell>
          <cell r="P1229" t="str">
            <v>00679-11</v>
          </cell>
          <cell r="Q1229" t="str">
            <v>Not Applicable</v>
          </cell>
          <cell r="R1229" t="str">
            <v>Kanmed</v>
          </cell>
          <cell r="S1229" t="str">
            <v>Perniagaan Med Tech</v>
          </cell>
          <cell r="T1229" t="str">
            <v>Functioning</v>
          </cell>
          <cell r="U1229" t="str">
            <v>Asset</v>
          </cell>
          <cell r="V1229">
            <v>15515</v>
          </cell>
          <cell r="W1229" t="str">
            <v>KEW</v>
          </cell>
          <cell r="X1229" t="str">
            <v>01/09/2010</v>
          </cell>
          <cell r="Y1229" t="str">
            <v>KEW</v>
          </cell>
          <cell r="Z1229" t="str">
            <v>16/08/2013</v>
          </cell>
          <cell r="AA1229" t="str">
            <v>15/08/2015</v>
          </cell>
          <cell r="AB1229" t="str">
            <v>No</v>
          </cell>
          <cell r="AC1229" t="str">
            <v>31/08/2013</v>
          </cell>
          <cell r="AD1229" t="str">
            <v>Good</v>
          </cell>
          <cell r="AE1229" t="str">
            <v>V1 - Existing / No Claim</v>
          </cell>
          <cell r="AF1229">
            <v>42235</v>
          </cell>
          <cell r="AG1229">
            <v>9.17</v>
          </cell>
          <cell r="AH1229" t="str">
            <v>PPM</v>
          </cell>
          <cell r="AI1229" t="str">
            <v>Strands</v>
          </cell>
          <cell r="AJ1229" t="str">
            <v>Strands PW</v>
          </cell>
        </row>
        <row r="1230">
          <cell r="A1230" t="str">
            <v>IKN400838</v>
          </cell>
          <cell r="B1230">
            <v>838</v>
          </cell>
          <cell r="C1230" t="str">
            <v>Institut Kanser Negara</v>
          </cell>
          <cell r="D1230" t="str">
            <v>KKM/IKN/H/13/2558</v>
          </cell>
          <cell r="E1230" t="str">
            <v>13-961</v>
          </cell>
          <cell r="F1230" t="str">
            <v>Tables, Operating</v>
          </cell>
          <cell r="G1230" t="str">
            <v>RT</v>
          </cell>
          <cell r="H1230" t="str">
            <v>RADIATION TREATMENT UNIT</v>
          </cell>
          <cell r="I1230" t="str">
            <v>01RT275</v>
          </cell>
          <cell r="J1230" t="str">
            <v>BRACHY OT 1</v>
          </cell>
          <cell r="K1230" t="str">
            <v>BMED</v>
          </cell>
          <cell r="L1230" t="str">
            <v>Normal</v>
          </cell>
          <cell r="M1230" t="str">
            <v>UK</v>
          </cell>
          <cell r="N1230" t="str">
            <v>Eschmann</v>
          </cell>
          <cell r="O1230" t="str">
            <v>Eschmann T20-a+</v>
          </cell>
          <cell r="P1230" t="str">
            <v>T2AD-2A-3366</v>
          </cell>
          <cell r="Q1230" t="str">
            <v>Not Applicable</v>
          </cell>
          <cell r="R1230" t="str">
            <v>Eschmann Holding Limited</v>
          </cell>
          <cell r="S1230" t="str">
            <v>Antah Sir Radin Sdn. Bhd.</v>
          </cell>
          <cell r="T1230" t="str">
            <v>Functioning</v>
          </cell>
          <cell r="U1230" t="str">
            <v>Asset</v>
          </cell>
          <cell r="V1230">
            <v>240330</v>
          </cell>
          <cell r="W1230" t="str">
            <v>KEW</v>
          </cell>
          <cell r="X1230" t="str">
            <v>01/09/2010</v>
          </cell>
          <cell r="Y1230" t="str">
            <v>KEW</v>
          </cell>
          <cell r="Z1230" t="str">
            <v>16/08/2013</v>
          </cell>
          <cell r="AA1230" t="str">
            <v>15/08/2015</v>
          </cell>
          <cell r="AB1230" t="str">
            <v>No</v>
          </cell>
          <cell r="AC1230" t="str">
            <v>31/08/2013</v>
          </cell>
          <cell r="AD1230" t="str">
            <v>Good</v>
          </cell>
          <cell r="AE1230" t="str">
            <v>V1 - Existing / No Claim</v>
          </cell>
          <cell r="AF1230">
            <v>42235</v>
          </cell>
          <cell r="AG1230">
            <v>9.17</v>
          </cell>
          <cell r="AH1230" t="str">
            <v>PPM</v>
          </cell>
          <cell r="AI1230" t="str">
            <v>Strands</v>
          </cell>
          <cell r="AJ1230" t="str">
            <v>Strands PW</v>
          </cell>
        </row>
        <row r="1231">
          <cell r="A1231" t="str">
            <v>IKN400839</v>
          </cell>
          <cell r="B1231">
            <v>839</v>
          </cell>
          <cell r="C1231" t="str">
            <v>Institut Kanser Negara</v>
          </cell>
          <cell r="D1231" t="str">
            <v>KKM/IKN/H/13/2983</v>
          </cell>
          <cell r="E1231" t="str">
            <v>16-173</v>
          </cell>
          <cell r="F1231" t="str">
            <v>Sphygmomanometers, Electronic, Automatic</v>
          </cell>
          <cell r="G1231" t="str">
            <v>NM</v>
          </cell>
          <cell r="H1231" t="str">
            <v>NUCLEAR MED (DIAGNOSTIC)</v>
          </cell>
          <cell r="I1231" t="str">
            <v>03NM152</v>
          </cell>
          <cell r="J1231" t="str">
            <v>NURSE STATION</v>
          </cell>
          <cell r="K1231" t="str">
            <v>BMED</v>
          </cell>
          <cell r="L1231" t="str">
            <v>Normal</v>
          </cell>
          <cell r="M1231" t="str">
            <v>Mexico</v>
          </cell>
          <cell r="N1231" t="str">
            <v>Carespace</v>
          </cell>
          <cell r="O1231" t="str">
            <v>Carescape V100</v>
          </cell>
          <cell r="P1231" t="str">
            <v>SH613280422SA</v>
          </cell>
          <cell r="Q1231" t="str">
            <v>Not Applicable</v>
          </cell>
          <cell r="R1231" t="str">
            <v>GE Healthcare Systems</v>
          </cell>
          <cell r="S1231" t="str">
            <v>GE Healthcare Technologies</v>
          </cell>
          <cell r="T1231" t="str">
            <v>Functioning</v>
          </cell>
          <cell r="U1231" t="str">
            <v>Asset</v>
          </cell>
          <cell r="V1231">
            <v>7770</v>
          </cell>
          <cell r="W1231" t="str">
            <v>KEW</v>
          </cell>
          <cell r="X1231" t="str">
            <v>01/09/2010</v>
          </cell>
          <cell r="Y1231" t="str">
            <v>KEW</v>
          </cell>
          <cell r="Z1231" t="str">
            <v>16/08/2013</v>
          </cell>
          <cell r="AA1231" t="str">
            <v>15/08/2015</v>
          </cell>
          <cell r="AB1231" t="str">
            <v>No</v>
          </cell>
          <cell r="AC1231" t="str">
            <v>31/08/2013</v>
          </cell>
          <cell r="AD1231" t="str">
            <v>Good</v>
          </cell>
          <cell r="AE1231" t="str">
            <v>V1 - Existing / No Claim</v>
          </cell>
          <cell r="AF1231">
            <v>42235</v>
          </cell>
          <cell r="AG1231">
            <v>9.17</v>
          </cell>
          <cell r="AH1231" t="str">
            <v>PPM</v>
          </cell>
          <cell r="AI1231" t="str">
            <v>Strands</v>
          </cell>
          <cell r="AJ1231" t="str">
            <v>Strands PW</v>
          </cell>
        </row>
        <row r="1232">
          <cell r="A1232" t="str">
            <v>IKN400840</v>
          </cell>
          <cell r="B1232">
            <v>840</v>
          </cell>
          <cell r="C1232" t="str">
            <v>Institut Kanser Negara</v>
          </cell>
          <cell r="D1232" t="str">
            <v>KKM/IKN/H/13/4956 - 01</v>
          </cell>
          <cell r="E1232" t="str">
            <v>15-976</v>
          </cell>
          <cell r="F1232" t="str">
            <v>Scanning Systems, Ultrasonic, General-Purpose</v>
          </cell>
          <cell r="G1232" t="str">
            <v>RT</v>
          </cell>
          <cell r="H1232" t="str">
            <v>RADIATION TREATMENT UNIT</v>
          </cell>
          <cell r="I1232" t="str">
            <v>01RT275</v>
          </cell>
          <cell r="J1232" t="str">
            <v>BRACHY OT 1</v>
          </cell>
          <cell r="K1232" t="str">
            <v>BMED</v>
          </cell>
          <cell r="L1232" t="str">
            <v>Normal</v>
          </cell>
          <cell r="M1232" t="str">
            <v>USA</v>
          </cell>
          <cell r="N1232" t="str">
            <v>Variseed</v>
          </cell>
          <cell r="O1232" t="str">
            <v>Variseed 8.0</v>
          </cell>
          <cell r="P1232" t="str">
            <v>5001255</v>
          </cell>
          <cell r="Q1232" t="str">
            <v>Not Applicable</v>
          </cell>
          <cell r="R1232" t="str">
            <v>Varian Medical System</v>
          </cell>
          <cell r="S1232" t="str">
            <v>V Medical Services</v>
          </cell>
          <cell r="T1232" t="str">
            <v>Functioning</v>
          </cell>
          <cell r="U1232" t="str">
            <v>Asset</v>
          </cell>
          <cell r="V1232">
            <v>1644170</v>
          </cell>
          <cell r="W1232" t="str">
            <v>KEW</v>
          </cell>
          <cell r="X1232" t="str">
            <v>01/09/2010</v>
          </cell>
          <cell r="Y1232" t="str">
            <v>KEW</v>
          </cell>
          <cell r="Z1232" t="str">
            <v>16/08/2013</v>
          </cell>
          <cell r="AA1232" t="str">
            <v>15/08/2015</v>
          </cell>
          <cell r="AB1232" t="str">
            <v>No</v>
          </cell>
          <cell r="AC1232" t="str">
            <v>31/08/2013</v>
          </cell>
          <cell r="AD1232" t="str">
            <v>Good</v>
          </cell>
          <cell r="AE1232" t="str">
            <v>V1 - Existing / No Claim</v>
          </cell>
          <cell r="AF1232">
            <v>42235</v>
          </cell>
          <cell r="AG1232">
            <v>9.17</v>
          </cell>
          <cell r="AH1232" t="str">
            <v>PPM</v>
          </cell>
          <cell r="AI1232" t="str">
            <v>Strands</v>
          </cell>
          <cell r="AJ1232" t="str">
            <v>Strands Package</v>
          </cell>
          <cell r="AK1232" t="str">
            <v>Package Code XM0012</v>
          </cell>
        </row>
        <row r="1233">
          <cell r="A1233" t="str">
            <v>IKN400841</v>
          </cell>
          <cell r="B1233">
            <v>841</v>
          </cell>
          <cell r="C1233" t="str">
            <v>Institut Kanser Negara</v>
          </cell>
          <cell r="D1233" t="str">
            <v>KKM/IKN/H/13/2642</v>
          </cell>
          <cell r="E1233" t="str">
            <v>10-134</v>
          </cell>
          <cell r="F1233" t="str">
            <v>Anesthesia Units</v>
          </cell>
          <cell r="G1233" t="str">
            <v>RT</v>
          </cell>
          <cell r="H1233" t="str">
            <v>RADIATION TREATMENT UNIT</v>
          </cell>
          <cell r="I1233" t="str">
            <v>01RT278</v>
          </cell>
          <cell r="J1233" t="str">
            <v>BRACHY OT 2</v>
          </cell>
          <cell r="K1233" t="str">
            <v>BMED</v>
          </cell>
          <cell r="L1233" t="str">
            <v>Normal</v>
          </cell>
          <cell r="M1233" t="str">
            <v>Germany</v>
          </cell>
          <cell r="N1233" t="str">
            <v>Primus</v>
          </cell>
          <cell r="O1233" t="str">
            <v>Primus</v>
          </cell>
          <cell r="P1233" t="str">
            <v>ASDJ-0232</v>
          </cell>
          <cell r="Q1233" t="str">
            <v>Not Applicable</v>
          </cell>
          <cell r="R1233" t="str">
            <v>Drager medical GmbH</v>
          </cell>
          <cell r="S1233" t="str">
            <v>Beau Consortium Sdn Bhd</v>
          </cell>
          <cell r="T1233" t="str">
            <v>Functioning</v>
          </cell>
          <cell r="U1233" t="str">
            <v>Asset</v>
          </cell>
          <cell r="V1233">
            <v>144345</v>
          </cell>
          <cell r="W1233" t="str">
            <v>KEW</v>
          </cell>
          <cell r="X1233" t="str">
            <v>01/09/2010</v>
          </cell>
          <cell r="Y1233" t="str">
            <v>KEW</v>
          </cell>
          <cell r="Z1233" t="str">
            <v>16/08/2013</v>
          </cell>
          <cell r="AA1233" t="str">
            <v>15/08/2015</v>
          </cell>
          <cell r="AB1233" t="str">
            <v>No</v>
          </cell>
          <cell r="AC1233" t="str">
            <v>31/08/2013</v>
          </cell>
          <cell r="AD1233" t="str">
            <v>Good</v>
          </cell>
          <cell r="AE1233" t="str">
            <v>V1 - Existing / No Claim</v>
          </cell>
          <cell r="AF1233">
            <v>42235</v>
          </cell>
          <cell r="AG1233">
            <v>9.17</v>
          </cell>
          <cell r="AH1233" t="str">
            <v>PPM</v>
          </cell>
          <cell r="AI1233" t="str">
            <v>Strands</v>
          </cell>
          <cell r="AJ1233" t="str">
            <v>Strands PW</v>
          </cell>
        </row>
        <row r="1234">
          <cell r="A1234" t="str">
            <v>IKN400842</v>
          </cell>
          <cell r="B1234">
            <v>842</v>
          </cell>
          <cell r="C1234" t="str">
            <v>Institut Kanser Negara</v>
          </cell>
          <cell r="D1234" t="str">
            <v>KKM/IKN/H/13/2984</v>
          </cell>
          <cell r="E1234" t="str">
            <v>16-173</v>
          </cell>
          <cell r="F1234" t="str">
            <v>Sphygmomanometers, Electronic, Automatic</v>
          </cell>
          <cell r="G1234" t="str">
            <v>NM</v>
          </cell>
          <cell r="H1234" t="str">
            <v>NUCLEAR MED (DIAGNOSTIC)</v>
          </cell>
          <cell r="I1234" t="str">
            <v>03NM155</v>
          </cell>
          <cell r="J1234" t="str">
            <v>STRESS LAB</v>
          </cell>
          <cell r="K1234" t="str">
            <v>BMED</v>
          </cell>
          <cell r="L1234" t="str">
            <v>Critical</v>
          </cell>
          <cell r="M1234" t="str">
            <v>Mexico</v>
          </cell>
          <cell r="N1234" t="str">
            <v>Carespace</v>
          </cell>
          <cell r="O1234" t="str">
            <v>Carescape V100</v>
          </cell>
          <cell r="P1234" t="str">
            <v>SH612430109SA</v>
          </cell>
          <cell r="Q1234" t="str">
            <v>Not Applicable</v>
          </cell>
          <cell r="R1234" t="str">
            <v>GE Healthcare Systems</v>
          </cell>
          <cell r="S1234" t="str">
            <v>GE Healthcare Technologies</v>
          </cell>
          <cell r="T1234" t="str">
            <v>Functioning</v>
          </cell>
          <cell r="U1234" t="str">
            <v>Asset</v>
          </cell>
          <cell r="V1234">
            <v>7770</v>
          </cell>
          <cell r="W1234" t="str">
            <v>KEW</v>
          </cell>
          <cell r="X1234" t="str">
            <v>01/09/2010</v>
          </cell>
          <cell r="Y1234" t="str">
            <v>KEW</v>
          </cell>
          <cell r="Z1234" t="str">
            <v>16/08/2013</v>
          </cell>
          <cell r="AA1234" t="str">
            <v>15/08/2015</v>
          </cell>
          <cell r="AB1234" t="str">
            <v>No</v>
          </cell>
          <cell r="AC1234" t="str">
            <v>31/08/2013</v>
          </cell>
          <cell r="AD1234" t="str">
            <v>Good</v>
          </cell>
          <cell r="AE1234" t="str">
            <v>V1 - Existing / No Claim</v>
          </cell>
          <cell r="AF1234">
            <v>42796</v>
          </cell>
          <cell r="AG1234">
            <v>9.17</v>
          </cell>
          <cell r="AH1234" t="str">
            <v>PPM</v>
          </cell>
          <cell r="AI1234" t="str">
            <v>Strands</v>
          </cell>
          <cell r="AJ1234" t="str">
            <v>Strands PW</v>
          </cell>
        </row>
        <row r="1235">
          <cell r="A1235" t="str">
            <v>IKN400843</v>
          </cell>
          <cell r="B1235">
            <v>843</v>
          </cell>
          <cell r="C1235" t="str">
            <v>Institut Kanser Negara</v>
          </cell>
          <cell r="D1235" t="str">
            <v>KKM/IKN/H/13/2961</v>
          </cell>
          <cell r="E1235" t="str">
            <v>12-282</v>
          </cell>
          <cell r="F1235" t="str">
            <v>Lights, Surgical</v>
          </cell>
          <cell r="G1235" t="str">
            <v>NM</v>
          </cell>
          <cell r="H1235" t="str">
            <v>NUCLEAR MED (DIAGNOSTIC)</v>
          </cell>
          <cell r="I1235" t="str">
            <v>03NM143</v>
          </cell>
          <cell r="J1235" t="str">
            <v>INJECTION ROOM 1 (-VE)</v>
          </cell>
          <cell r="K1235" t="str">
            <v>BMED</v>
          </cell>
          <cell r="L1235" t="str">
            <v>Normal</v>
          </cell>
          <cell r="M1235" t="str">
            <v>USA</v>
          </cell>
          <cell r="N1235" t="str">
            <v>Welch Allyn</v>
          </cell>
          <cell r="O1235" t="str">
            <v>Welch Allyn GS600</v>
          </cell>
          <cell r="P1235" t="str">
            <v>GS600-13</v>
          </cell>
          <cell r="Q1235" t="str">
            <v>Not Applicable</v>
          </cell>
          <cell r="R1235" t="str">
            <v>Welch Allyn Inc</v>
          </cell>
          <cell r="S1235" t="str">
            <v>Welch Allyn Malaysia Sdn Bhd</v>
          </cell>
          <cell r="T1235" t="str">
            <v>Functioning</v>
          </cell>
          <cell r="U1235" t="str">
            <v>Asset</v>
          </cell>
          <cell r="V1235">
            <v>5050</v>
          </cell>
          <cell r="W1235" t="str">
            <v>KEW</v>
          </cell>
          <cell r="X1235" t="str">
            <v>01/09/2010</v>
          </cell>
          <cell r="Y1235" t="str">
            <v>KEW</v>
          </cell>
          <cell r="Z1235" t="str">
            <v>16/08/2013</v>
          </cell>
          <cell r="AA1235" t="str">
            <v>15/08/2015</v>
          </cell>
          <cell r="AB1235" t="str">
            <v>No</v>
          </cell>
          <cell r="AC1235" t="str">
            <v>31/08/2013</v>
          </cell>
          <cell r="AD1235" t="str">
            <v>Good</v>
          </cell>
          <cell r="AE1235" t="str">
            <v>V1 - Existing / No Claim</v>
          </cell>
          <cell r="AF1235">
            <v>42235</v>
          </cell>
          <cell r="AG1235">
            <v>9.17</v>
          </cell>
          <cell r="AH1235" t="str">
            <v>PPM</v>
          </cell>
          <cell r="AI1235" t="str">
            <v>Strands</v>
          </cell>
          <cell r="AJ1235" t="str">
            <v>Strands PW</v>
          </cell>
        </row>
        <row r="1236">
          <cell r="A1236" t="str">
            <v>IKN400844</v>
          </cell>
          <cell r="B1236">
            <v>844</v>
          </cell>
          <cell r="C1236" t="str">
            <v>Institut Kanser Negara</v>
          </cell>
          <cell r="D1236" t="str">
            <v>KKM/IKN/H/13/2996</v>
          </cell>
          <cell r="E1236" t="str">
            <v>12-660</v>
          </cell>
          <cell r="F1236" t="str">
            <v>Radiation Monitors</v>
          </cell>
          <cell r="G1236" t="str">
            <v>NM</v>
          </cell>
          <cell r="H1236" t="str">
            <v>NUCLEAR MED (DIAGNOSTIC)</v>
          </cell>
          <cell r="I1236" t="str">
            <v>03NM166</v>
          </cell>
          <cell r="J1236" t="str">
            <v>REPORTING</v>
          </cell>
          <cell r="K1236" t="str">
            <v>BMED</v>
          </cell>
          <cell r="L1236" t="str">
            <v>Normal</v>
          </cell>
          <cell r="M1236" t="str">
            <v>Germany</v>
          </cell>
          <cell r="N1236" t="str">
            <v>CoMo</v>
          </cell>
          <cell r="O1236" t="str">
            <v>CoMo 170</v>
          </cell>
          <cell r="P1236" t="str">
            <v>5063DL</v>
          </cell>
          <cell r="Q1236" t="str">
            <v>Not Applicable</v>
          </cell>
          <cell r="R1236" t="str">
            <v>MED Nuklear-Medizintechnik Dresden GmbH</v>
          </cell>
          <cell r="S1236" t="str">
            <v/>
          </cell>
          <cell r="T1236" t="str">
            <v>Functioning</v>
          </cell>
          <cell r="U1236" t="str">
            <v>Asset</v>
          </cell>
          <cell r="V1236">
            <v>23270</v>
          </cell>
          <cell r="W1236" t="str">
            <v>KEW</v>
          </cell>
          <cell r="X1236" t="str">
            <v>01/09/2010</v>
          </cell>
          <cell r="Y1236" t="str">
            <v>KEW</v>
          </cell>
          <cell r="Z1236" t="str">
            <v>16/08/2013</v>
          </cell>
          <cell r="AA1236" t="str">
            <v>15/08/2015</v>
          </cell>
          <cell r="AB1236" t="str">
            <v>No</v>
          </cell>
          <cell r="AC1236" t="str">
            <v>31/08/2013</v>
          </cell>
          <cell r="AD1236" t="str">
            <v>Good</v>
          </cell>
          <cell r="AE1236" t="str">
            <v>V1 - Existing / No Claim</v>
          </cell>
          <cell r="AF1236">
            <v>42235</v>
          </cell>
          <cell r="AG1236">
            <v>9.17</v>
          </cell>
          <cell r="AH1236" t="str">
            <v>PPM</v>
          </cell>
          <cell r="AI1236" t="str">
            <v>Strands</v>
          </cell>
          <cell r="AJ1236" t="str">
            <v>Strands PW</v>
          </cell>
        </row>
        <row r="1237">
          <cell r="A1237" t="str">
            <v>IKN400845</v>
          </cell>
          <cell r="B1237">
            <v>845</v>
          </cell>
          <cell r="C1237" t="str">
            <v>Institut Kanser Negara</v>
          </cell>
          <cell r="D1237" t="str">
            <v>KKM/IKN/H/13/2609</v>
          </cell>
          <cell r="E1237" t="str">
            <v>13-217</v>
          </cell>
          <cell r="F1237" t="str">
            <v>Infusion Pumps, Syringe</v>
          </cell>
          <cell r="G1237" t="str">
            <v>RT</v>
          </cell>
          <cell r="H1237" t="str">
            <v>RADIATION TREATMENT UNIT</v>
          </cell>
          <cell r="I1237" t="str">
            <v>01RT278</v>
          </cell>
          <cell r="J1237" t="str">
            <v>BRACHY OT 2</v>
          </cell>
          <cell r="K1237" t="str">
            <v>BMED</v>
          </cell>
          <cell r="L1237" t="str">
            <v>Normal</v>
          </cell>
          <cell r="M1237" t="str">
            <v>Germany</v>
          </cell>
          <cell r="N1237" t="str">
            <v>Perfusor</v>
          </cell>
          <cell r="O1237" t="str">
            <v>Perfusor Space</v>
          </cell>
          <cell r="P1237" t="str">
            <v>143335</v>
          </cell>
          <cell r="Q1237" t="str">
            <v>Not Applicable</v>
          </cell>
          <cell r="R1237" t="str">
            <v>B Braun Melsungen AG</v>
          </cell>
          <cell r="S1237" t="str">
            <v>B Braun Medical Supplies Sdn. Bhd.</v>
          </cell>
          <cell r="T1237" t="str">
            <v>Functioning</v>
          </cell>
          <cell r="U1237" t="str">
            <v>Asset</v>
          </cell>
          <cell r="V1237">
            <v>10225</v>
          </cell>
          <cell r="W1237" t="str">
            <v>KEW</v>
          </cell>
          <cell r="X1237" t="str">
            <v>01/09/2010</v>
          </cell>
          <cell r="Y1237" t="str">
            <v>KEW</v>
          </cell>
          <cell r="Z1237" t="str">
            <v>16/08/2013</v>
          </cell>
          <cell r="AA1237" t="str">
            <v>15/08/2015</v>
          </cell>
          <cell r="AB1237" t="str">
            <v>No</v>
          </cell>
          <cell r="AC1237" t="str">
            <v>31/08/2013</v>
          </cell>
          <cell r="AD1237" t="str">
            <v>Good</v>
          </cell>
          <cell r="AE1237" t="str">
            <v>V1 - Existing / No Claim</v>
          </cell>
          <cell r="AF1237">
            <v>42235</v>
          </cell>
          <cell r="AG1237">
            <v>9.17</v>
          </cell>
          <cell r="AH1237" t="str">
            <v>PPM</v>
          </cell>
          <cell r="AI1237" t="str">
            <v>Strands</v>
          </cell>
          <cell r="AJ1237" t="str">
            <v>Strands PW</v>
          </cell>
        </row>
        <row r="1238">
          <cell r="A1238" t="str">
            <v>IKN400846</v>
          </cell>
          <cell r="B1238">
            <v>846</v>
          </cell>
          <cell r="C1238" t="str">
            <v>Institut Kanser Negara</v>
          </cell>
          <cell r="D1238" t="str">
            <v>KKM/IKN/H/13/2608</v>
          </cell>
          <cell r="E1238" t="str">
            <v>13-217</v>
          </cell>
          <cell r="F1238" t="str">
            <v>Infusion Pumps, Syringe</v>
          </cell>
          <cell r="G1238" t="str">
            <v>RT</v>
          </cell>
          <cell r="H1238" t="str">
            <v>RADIATION TREATMENT UNIT</v>
          </cell>
          <cell r="I1238" t="str">
            <v>01RT278</v>
          </cell>
          <cell r="J1238" t="str">
            <v>BRACHY OT 2</v>
          </cell>
          <cell r="K1238" t="str">
            <v>BMED</v>
          </cell>
          <cell r="L1238" t="str">
            <v>Normal</v>
          </cell>
          <cell r="M1238" t="str">
            <v>Germany</v>
          </cell>
          <cell r="N1238" t="str">
            <v>Perfusor</v>
          </cell>
          <cell r="O1238" t="str">
            <v>Perfusor Space</v>
          </cell>
          <cell r="P1238" t="str">
            <v>186631</v>
          </cell>
          <cell r="Q1238" t="str">
            <v>Not Applicable</v>
          </cell>
          <cell r="R1238" t="str">
            <v>B Braun Melsungen AG</v>
          </cell>
          <cell r="S1238" t="str">
            <v>B Braun Medical Supplies Sdn. Bhd.</v>
          </cell>
          <cell r="T1238" t="str">
            <v>Functioning</v>
          </cell>
          <cell r="U1238" t="str">
            <v>Asset</v>
          </cell>
          <cell r="V1238">
            <v>10225</v>
          </cell>
          <cell r="W1238" t="str">
            <v>KEW</v>
          </cell>
          <cell r="X1238" t="str">
            <v>01/09/2010</v>
          </cell>
          <cell r="Y1238" t="str">
            <v>KEW</v>
          </cell>
          <cell r="Z1238" t="str">
            <v>16/08/2013</v>
          </cell>
          <cell r="AA1238" t="str">
            <v>15/08/2015</v>
          </cell>
          <cell r="AB1238" t="str">
            <v>No</v>
          </cell>
          <cell r="AC1238" t="str">
            <v>31/08/2013</v>
          </cell>
          <cell r="AD1238" t="str">
            <v>Good</v>
          </cell>
          <cell r="AE1238" t="str">
            <v>V1 - Existing / No Claim</v>
          </cell>
          <cell r="AF1238">
            <v>42235</v>
          </cell>
          <cell r="AG1238">
            <v>9.17</v>
          </cell>
          <cell r="AH1238" t="str">
            <v>PPM</v>
          </cell>
          <cell r="AI1238" t="str">
            <v>Strands</v>
          </cell>
          <cell r="AJ1238" t="str">
            <v>Strands PW</v>
          </cell>
        </row>
        <row r="1239">
          <cell r="A1239" t="str">
            <v>IKN400847</v>
          </cell>
          <cell r="B1239">
            <v>847</v>
          </cell>
          <cell r="C1239" t="str">
            <v>Institut Kanser Negara</v>
          </cell>
          <cell r="D1239" t="str">
            <v>KKM/IKN/H/13/2610</v>
          </cell>
          <cell r="E1239" t="str">
            <v>16-924</v>
          </cell>
          <cell r="F1239" t="str">
            <v>Infusion Pumps, Patient-Controlled Analgesic</v>
          </cell>
          <cell r="G1239" t="str">
            <v>RT</v>
          </cell>
          <cell r="H1239" t="str">
            <v>RADIATION TREATMENT UNIT</v>
          </cell>
          <cell r="I1239" t="str">
            <v>01RT278</v>
          </cell>
          <cell r="J1239" t="str">
            <v>BRACHY OT 2</v>
          </cell>
          <cell r="K1239" t="str">
            <v>BMED</v>
          </cell>
          <cell r="L1239" t="str">
            <v>Normal</v>
          </cell>
          <cell r="M1239" t="str">
            <v>Germany</v>
          </cell>
          <cell r="N1239" t="str">
            <v>Perfusor</v>
          </cell>
          <cell r="O1239" t="str">
            <v>Perfusor Space PCA</v>
          </cell>
          <cell r="P1239" t="str">
            <v>187006</v>
          </cell>
          <cell r="Q1239" t="str">
            <v>Not Applicable</v>
          </cell>
          <cell r="R1239" t="str">
            <v>B Braun Melsungen AG</v>
          </cell>
          <cell r="S1239" t="str">
            <v>B Braun Medical Supplies Sdn. Bhd.</v>
          </cell>
          <cell r="T1239" t="str">
            <v>Functioning</v>
          </cell>
          <cell r="U1239" t="str">
            <v>Asset</v>
          </cell>
          <cell r="V1239">
            <v>9622</v>
          </cell>
          <cell r="W1239" t="str">
            <v>KEW</v>
          </cell>
          <cell r="X1239" t="str">
            <v>01/09/2010</v>
          </cell>
          <cell r="Y1239" t="str">
            <v>KEW</v>
          </cell>
          <cell r="Z1239" t="str">
            <v>16/08/2013</v>
          </cell>
          <cell r="AA1239" t="str">
            <v>15/08/2015</v>
          </cell>
          <cell r="AB1239" t="str">
            <v>No</v>
          </cell>
          <cell r="AC1239" t="str">
            <v>31/08/2013</v>
          </cell>
          <cell r="AD1239" t="str">
            <v>Good</v>
          </cell>
          <cell r="AE1239" t="str">
            <v>V1 - Existing / No Claim</v>
          </cell>
          <cell r="AF1239">
            <v>42235</v>
          </cell>
          <cell r="AG1239">
            <v>9.17</v>
          </cell>
          <cell r="AH1239" t="str">
            <v>PPM</v>
          </cell>
          <cell r="AI1239" t="str">
            <v>Strands</v>
          </cell>
          <cell r="AJ1239" t="str">
            <v>Strands PW</v>
          </cell>
        </row>
        <row r="1240">
          <cell r="A1240" t="str">
            <v>IKN400848</v>
          </cell>
          <cell r="B1240">
            <v>848</v>
          </cell>
          <cell r="C1240" t="str">
            <v>Institut Kanser Negara</v>
          </cell>
          <cell r="D1240" t="str">
            <v>KKM/IKN/H/13/2613</v>
          </cell>
          <cell r="E1240" t="str">
            <v>13-215</v>
          </cell>
          <cell r="F1240" t="str">
            <v>Infusion Pumps, General-Purpose</v>
          </cell>
          <cell r="G1240" t="str">
            <v>RT</v>
          </cell>
          <cell r="H1240" t="str">
            <v>RADIATION TREATMENT UNIT</v>
          </cell>
          <cell r="I1240" t="str">
            <v>01RT278</v>
          </cell>
          <cell r="J1240" t="str">
            <v>BRACHY OT 2</v>
          </cell>
          <cell r="K1240" t="str">
            <v>BMED</v>
          </cell>
          <cell r="L1240" t="str">
            <v>Normal</v>
          </cell>
          <cell r="M1240" t="str">
            <v>Germany</v>
          </cell>
          <cell r="N1240" t="str">
            <v>Infusomat</v>
          </cell>
          <cell r="O1240" t="str">
            <v>Infusomat Space</v>
          </cell>
          <cell r="P1240" t="str">
            <v>211908</v>
          </cell>
          <cell r="Q1240" t="str">
            <v>Not Applicable</v>
          </cell>
          <cell r="R1240" t="str">
            <v>B Braun Melsungen AG</v>
          </cell>
          <cell r="S1240" t="str">
            <v>B Braun Medical Supplies Sdn. Bhd.</v>
          </cell>
          <cell r="T1240" t="str">
            <v>Functioning</v>
          </cell>
          <cell r="U1240" t="str">
            <v>Asset</v>
          </cell>
          <cell r="V1240">
            <v>10825</v>
          </cell>
          <cell r="W1240" t="str">
            <v>KEW</v>
          </cell>
          <cell r="X1240" t="str">
            <v>01/09/2010</v>
          </cell>
          <cell r="Y1240" t="str">
            <v>KEW</v>
          </cell>
          <cell r="Z1240" t="str">
            <v>16/08/2013</v>
          </cell>
          <cell r="AA1240" t="str">
            <v>15/08/2015</v>
          </cell>
          <cell r="AB1240" t="str">
            <v>No</v>
          </cell>
          <cell r="AC1240" t="str">
            <v>31/08/2013</v>
          </cell>
          <cell r="AD1240" t="str">
            <v>Good</v>
          </cell>
          <cell r="AE1240" t="str">
            <v>V1 - Existing / No Claim</v>
          </cell>
          <cell r="AF1240">
            <v>42235</v>
          </cell>
          <cell r="AG1240">
            <v>9.17</v>
          </cell>
          <cell r="AH1240" t="str">
            <v>PPM</v>
          </cell>
          <cell r="AI1240" t="str">
            <v>Strands</v>
          </cell>
          <cell r="AJ1240" t="str">
            <v>Strands PW</v>
          </cell>
        </row>
        <row r="1241">
          <cell r="A1241" t="str">
            <v>IKN400849</v>
          </cell>
          <cell r="B1241">
            <v>849</v>
          </cell>
          <cell r="C1241" t="str">
            <v>Institut Kanser Negara</v>
          </cell>
          <cell r="D1241" t="str">
            <v>KKM/IKN/H/13/2196</v>
          </cell>
          <cell r="E1241" t="str">
            <v>12-647</v>
          </cell>
          <cell r="F1241" t="str">
            <v>Physiologic Monitoring Systems, Acute Care</v>
          </cell>
          <cell r="G1241" t="str">
            <v>RT</v>
          </cell>
          <cell r="H1241" t="str">
            <v>RADIATION TREATMENT UNIT</v>
          </cell>
          <cell r="I1241" t="str">
            <v>01RT278</v>
          </cell>
          <cell r="J1241" t="str">
            <v>BRACHY OT 2</v>
          </cell>
          <cell r="K1241" t="str">
            <v>BMED</v>
          </cell>
          <cell r="L1241" t="str">
            <v>Normal</v>
          </cell>
          <cell r="M1241" t="str">
            <v>Finland</v>
          </cell>
          <cell r="N1241" t="str">
            <v>Carespace</v>
          </cell>
          <cell r="O1241" t="str">
            <v>Carespace B850</v>
          </cell>
          <cell r="P1241" t="str">
            <v>SED12370679GA</v>
          </cell>
          <cell r="Q1241" t="str">
            <v>Not Applicable</v>
          </cell>
          <cell r="R1241" t="str">
            <v>GE Healthcare Systems</v>
          </cell>
          <cell r="S1241" t="str">
            <v>GE Healthcare Technologies</v>
          </cell>
          <cell r="T1241" t="str">
            <v>Functioning</v>
          </cell>
          <cell r="U1241" t="str">
            <v>Asset</v>
          </cell>
          <cell r="V1241">
            <v>119690</v>
          </cell>
          <cell r="W1241" t="str">
            <v>KEW</v>
          </cell>
          <cell r="X1241" t="str">
            <v>01/09/2010</v>
          </cell>
          <cell r="Y1241" t="str">
            <v>KEW</v>
          </cell>
          <cell r="Z1241" t="str">
            <v>16/08/2013</v>
          </cell>
          <cell r="AA1241" t="str">
            <v>15/08/2015</v>
          </cell>
          <cell r="AB1241" t="str">
            <v>No</v>
          </cell>
          <cell r="AC1241" t="str">
            <v>31/08/2013</v>
          </cell>
          <cell r="AD1241" t="str">
            <v>Good</v>
          </cell>
          <cell r="AE1241" t="str">
            <v>V1 - Existing / No Claim</v>
          </cell>
          <cell r="AF1241">
            <v>42235</v>
          </cell>
          <cell r="AG1241">
            <v>9.17</v>
          </cell>
          <cell r="AH1241" t="str">
            <v>PPM</v>
          </cell>
          <cell r="AI1241" t="str">
            <v>Strands</v>
          </cell>
          <cell r="AJ1241" t="str">
            <v>Strands PW</v>
          </cell>
        </row>
        <row r="1242">
          <cell r="A1242" t="str">
            <v>IKN400850</v>
          </cell>
          <cell r="B1242">
            <v>850</v>
          </cell>
          <cell r="C1242" t="str">
            <v>Institut Kanser Negara</v>
          </cell>
          <cell r="D1242" t="str">
            <v>N/A</v>
          </cell>
          <cell r="E1242" t="str">
            <v>17-732</v>
          </cell>
          <cell r="F1242" t="str">
            <v>Brachytherapy Applicators, Afterloading</v>
          </cell>
          <cell r="G1242" t="str">
            <v>RT</v>
          </cell>
          <cell r="H1242" t="str">
            <v>RADIATION TREATMENT UNIT</v>
          </cell>
          <cell r="I1242" t="str">
            <v>01RT243</v>
          </cell>
          <cell r="J1242" t="str">
            <v>NURSE STATION</v>
          </cell>
          <cell r="K1242" t="str">
            <v>BMED</v>
          </cell>
          <cell r="L1242" t="str">
            <v>Normal</v>
          </cell>
          <cell r="M1242" t="str">
            <v>Germany</v>
          </cell>
          <cell r="N1242" t="str">
            <v>MultiSource</v>
          </cell>
          <cell r="O1242" t="str">
            <v>MultiSource HDR Afterloader</v>
          </cell>
          <cell r="P1242" t="str">
            <v>445</v>
          </cell>
          <cell r="Q1242" t="str">
            <v>Not Applicable</v>
          </cell>
          <cell r="R1242" t="str">
            <v>IBt Bebig Group</v>
          </cell>
          <cell r="S1242" t="str">
            <v>Oncoray Sdn Bhd</v>
          </cell>
          <cell r="T1242" t="str">
            <v>Functioning</v>
          </cell>
          <cell r="U1242" t="str">
            <v>Asset</v>
          </cell>
          <cell r="V1242">
            <v>3420120</v>
          </cell>
          <cell r="W1242" t="str">
            <v>KEW</v>
          </cell>
          <cell r="X1242" t="str">
            <v>01/09/2010</v>
          </cell>
          <cell r="Y1242" t="str">
            <v>KEW</v>
          </cell>
          <cell r="Z1242" t="str">
            <v>16/08/2013</v>
          </cell>
          <cell r="AA1242" t="str">
            <v>15/08/2015</v>
          </cell>
          <cell r="AB1242" t="str">
            <v>No</v>
          </cell>
          <cell r="AC1242" t="str">
            <v>31/08/2013</v>
          </cell>
          <cell r="AD1242" t="str">
            <v>Good</v>
          </cell>
          <cell r="AE1242" t="str">
            <v>V1 - Existing / No Claim</v>
          </cell>
          <cell r="AF1242">
            <v>42801</v>
          </cell>
          <cell r="AG1242">
            <v>9.17</v>
          </cell>
          <cell r="AH1242" t="str">
            <v>PPM</v>
          </cell>
          <cell r="AI1242" t="str">
            <v>Strands</v>
          </cell>
          <cell r="AJ1242" t="str">
            <v>Strands Package</v>
          </cell>
          <cell r="AK1242" t="str">
            <v>Package Code XM0011</v>
          </cell>
        </row>
        <row r="1243">
          <cell r="A1243" t="str">
            <v>IKN400851</v>
          </cell>
          <cell r="B1243">
            <v>851</v>
          </cell>
          <cell r="C1243" t="str">
            <v>Institut Kanser Negara</v>
          </cell>
          <cell r="D1243" t="str">
            <v>KKM/IKN/H/13/5299</v>
          </cell>
          <cell r="E1243" t="str">
            <v>17-848</v>
          </cell>
          <cell r="F1243" t="str">
            <v>Biopsy Guns</v>
          </cell>
          <cell r="G1243" t="str">
            <v>RT</v>
          </cell>
          <cell r="H1243" t="str">
            <v>RADIATION TREATMENT UNIT</v>
          </cell>
          <cell r="I1243" t="str">
            <v>01RT278</v>
          </cell>
          <cell r="J1243" t="str">
            <v>BRACHY OT 2</v>
          </cell>
          <cell r="K1243" t="str">
            <v>BMED</v>
          </cell>
          <cell r="L1243" t="str">
            <v>Normal</v>
          </cell>
          <cell r="M1243" t="str">
            <v>USA</v>
          </cell>
          <cell r="N1243" t="str">
            <v>Magnum</v>
          </cell>
          <cell r="O1243" t="str">
            <v>Magnum MG1522</v>
          </cell>
          <cell r="P1243" t="str">
            <v>51JV254</v>
          </cell>
          <cell r="Q1243" t="str">
            <v>Not Applicable</v>
          </cell>
          <cell r="R1243" t="str">
            <v>Bard Peripheral Vascular Inc</v>
          </cell>
          <cell r="S1243" t="str">
            <v>Healthcare Solution</v>
          </cell>
          <cell r="T1243" t="str">
            <v>Functioning</v>
          </cell>
          <cell r="U1243" t="str">
            <v>Asset</v>
          </cell>
          <cell r="V1243">
            <v>8510</v>
          </cell>
          <cell r="W1243" t="str">
            <v>KEW</v>
          </cell>
          <cell r="X1243" t="str">
            <v>01/09/2010</v>
          </cell>
          <cell r="Y1243" t="str">
            <v>KEW</v>
          </cell>
          <cell r="Z1243" t="str">
            <v>16/08/2013</v>
          </cell>
          <cell r="AA1243" t="str">
            <v>15/08/2015</v>
          </cell>
          <cell r="AB1243" t="str">
            <v>No</v>
          </cell>
          <cell r="AC1243" t="str">
            <v>31/08/2013</v>
          </cell>
          <cell r="AD1243" t="str">
            <v>Good</v>
          </cell>
          <cell r="AE1243" t="str">
            <v>V1 - Existing / No Claim</v>
          </cell>
          <cell r="AF1243">
            <v>42235</v>
          </cell>
          <cell r="AG1243">
            <v>9.17</v>
          </cell>
          <cell r="AH1243" t="str">
            <v>PPM</v>
          </cell>
          <cell r="AI1243" t="str">
            <v>Strands</v>
          </cell>
          <cell r="AJ1243" t="str">
            <v>Strands PW</v>
          </cell>
        </row>
        <row r="1244">
          <cell r="A1244" t="str">
            <v>IKN400853</v>
          </cell>
          <cell r="B1244">
            <v>853</v>
          </cell>
          <cell r="C1244" t="str">
            <v>Institut Kanser Negara</v>
          </cell>
          <cell r="D1244" t="str">
            <v>KKM/IKN/H/13/2627</v>
          </cell>
          <cell r="E1244" t="str">
            <v>10-414</v>
          </cell>
          <cell r="F1244" t="str">
            <v>Warming Units, Blanket</v>
          </cell>
          <cell r="G1244" t="str">
            <v>RT</v>
          </cell>
          <cell r="H1244" t="str">
            <v>RADIATION TREATMENT UNIT</v>
          </cell>
          <cell r="I1244" t="str">
            <v>01RT278</v>
          </cell>
          <cell r="J1244" t="str">
            <v>BRACHY OT 2</v>
          </cell>
          <cell r="K1244" t="str">
            <v>BMED</v>
          </cell>
          <cell r="L1244" t="str">
            <v>Normal</v>
          </cell>
          <cell r="M1244" t="str">
            <v>Sweden</v>
          </cell>
          <cell r="N1244" t="str">
            <v>Operatherm</v>
          </cell>
          <cell r="O1244" t="str">
            <v>Operatherm 303</v>
          </cell>
          <cell r="P1244" t="str">
            <v>00792-12</v>
          </cell>
          <cell r="Q1244" t="str">
            <v>Not Applicable</v>
          </cell>
          <cell r="R1244" t="str">
            <v>Kanmed</v>
          </cell>
          <cell r="S1244" t="str">
            <v>Perniagaan Med Tech</v>
          </cell>
          <cell r="T1244" t="str">
            <v>Functioning</v>
          </cell>
          <cell r="U1244" t="str">
            <v>Asset</v>
          </cell>
          <cell r="V1244">
            <v>15515</v>
          </cell>
          <cell r="W1244" t="str">
            <v>KEW</v>
          </cell>
          <cell r="X1244" t="str">
            <v>01/09/2010</v>
          </cell>
          <cell r="Y1244" t="str">
            <v>KEW</v>
          </cell>
          <cell r="Z1244" t="str">
            <v>16/08/2013</v>
          </cell>
          <cell r="AA1244" t="str">
            <v>15/08/2015</v>
          </cell>
          <cell r="AB1244" t="str">
            <v>No</v>
          </cell>
          <cell r="AC1244" t="str">
            <v>31/08/2013</v>
          </cell>
          <cell r="AD1244" t="str">
            <v>Good</v>
          </cell>
          <cell r="AE1244" t="str">
            <v>V1 - Existing / No Claim</v>
          </cell>
          <cell r="AF1244">
            <v>42235</v>
          </cell>
          <cell r="AG1244">
            <v>9.17</v>
          </cell>
          <cell r="AH1244" t="str">
            <v>PPM</v>
          </cell>
          <cell r="AI1244" t="str">
            <v>Strands</v>
          </cell>
          <cell r="AJ1244" t="str">
            <v>Strands PW</v>
          </cell>
        </row>
        <row r="1245">
          <cell r="A1245" t="str">
            <v>IKN400863</v>
          </cell>
          <cell r="B1245">
            <v>862</v>
          </cell>
          <cell r="C1245" t="str">
            <v>Institut Kanser Negara</v>
          </cell>
          <cell r="D1245" t="str">
            <v>KKM/IKN/H/13/2483-13</v>
          </cell>
          <cell r="E1245" t="str">
            <v>15-967</v>
          </cell>
          <cell r="F1245" t="str">
            <v>Television Systems, Endoscope</v>
          </cell>
          <cell r="G1245" t="str">
            <v>OT</v>
          </cell>
          <cell r="H1245" t="str">
            <v>OPERATING THEATRE</v>
          </cell>
          <cell r="I1245" t="str">
            <v>05OT167</v>
          </cell>
          <cell r="J1245" t="str">
            <v>SCOPE WASH</v>
          </cell>
          <cell r="K1245" t="str">
            <v>BMED</v>
          </cell>
          <cell r="L1245" t="str">
            <v>Normal</v>
          </cell>
          <cell r="M1245" t="str">
            <v>GERMANY</v>
          </cell>
          <cell r="N1245" t="str">
            <v>Karl Storz Gmbh &amp; Co</v>
          </cell>
          <cell r="O1245" t="str">
            <v>9626.NB/KS-26</v>
          </cell>
          <cell r="P1245" t="str">
            <v>51303180PW009</v>
          </cell>
          <cell r="Q1245" t="str">
            <v>Not Applicable</v>
          </cell>
          <cell r="R1245" t="str">
            <v>Karl Storz Gmbh &amp; Co</v>
          </cell>
          <cell r="S1245" t="str">
            <v>UMMI Surgical Sdn Bhd</v>
          </cell>
          <cell r="T1245" t="str">
            <v>Functioning</v>
          </cell>
          <cell r="U1245" t="str">
            <v>Asset</v>
          </cell>
          <cell r="V1245">
            <v>10000</v>
          </cell>
          <cell r="W1245" t="str">
            <v>Replacement</v>
          </cell>
          <cell r="X1245" t="str">
            <v>01/09/2010</v>
          </cell>
          <cell r="Y1245" t="str">
            <v>KEW</v>
          </cell>
          <cell r="Z1245" t="str">
            <v>16/08/2013</v>
          </cell>
          <cell r="AA1245" t="str">
            <v>15/08/2015</v>
          </cell>
          <cell r="AB1245" t="str">
            <v>No</v>
          </cell>
          <cell r="AC1245" t="str">
            <v>31/08/2013</v>
          </cell>
          <cell r="AD1245" t="str">
            <v>Good</v>
          </cell>
          <cell r="AE1245" t="str">
            <v>V1 - Existing / No Claim</v>
          </cell>
          <cell r="AF1245">
            <v>42958</v>
          </cell>
          <cell r="AG1245">
            <v>9.17</v>
          </cell>
          <cell r="AH1245" t="str">
            <v>RI</v>
          </cell>
          <cell r="AI1245" t="str">
            <v>Strands</v>
          </cell>
          <cell r="AJ1245" t="str">
            <v>Strands Package</v>
          </cell>
          <cell r="AK1245" t="str">
            <v>Package Code EP0127A</v>
          </cell>
        </row>
        <row r="1246">
          <cell r="A1246" t="str">
            <v>IKN400864</v>
          </cell>
          <cell r="B1246">
            <v>863</v>
          </cell>
          <cell r="C1246" t="str">
            <v>Institut Kanser Negara</v>
          </cell>
          <cell r="D1246" t="str">
            <v>KKM/IKN/H/13/2483-20</v>
          </cell>
          <cell r="E1246" t="str">
            <v>12-345</v>
          </cell>
          <cell r="F1246" t="str">
            <v>Light Sources, Fiberoptic</v>
          </cell>
          <cell r="G1246" t="str">
            <v>OT</v>
          </cell>
          <cell r="H1246" t="str">
            <v>OPERATING THEATRE</v>
          </cell>
          <cell r="I1246" t="str">
            <v>05OT167</v>
          </cell>
          <cell r="J1246" t="str">
            <v>SCOPE WASH</v>
          </cell>
          <cell r="K1246" t="str">
            <v>BMED</v>
          </cell>
          <cell r="L1246" t="str">
            <v>Normal</v>
          </cell>
          <cell r="M1246" t="str">
            <v>Germany</v>
          </cell>
          <cell r="N1246" t="str">
            <v>Xenon Nova</v>
          </cell>
          <cell r="O1246" t="str">
            <v>Xenon Nova 300, 201340 20</v>
          </cell>
          <cell r="P1246" t="str">
            <v>PW0687519</v>
          </cell>
          <cell r="Q1246" t="str">
            <v>Not Applicable</v>
          </cell>
          <cell r="R1246" t="str">
            <v>Karl Storz GmbH</v>
          </cell>
          <cell r="S1246" t="str">
            <v>UMMI Surgical Sdn Bhd</v>
          </cell>
          <cell r="T1246" t="str">
            <v>Functioning</v>
          </cell>
          <cell r="U1246" t="str">
            <v>Asset</v>
          </cell>
          <cell r="V1246">
            <v>100000</v>
          </cell>
          <cell r="W1246" t="str">
            <v>Estimate</v>
          </cell>
          <cell r="X1246" t="str">
            <v>01/09/2010</v>
          </cell>
          <cell r="Y1246" t="str">
            <v>KEW</v>
          </cell>
          <cell r="Z1246" t="str">
            <v>16/08/2013</v>
          </cell>
          <cell r="AA1246" t="str">
            <v>15/08/2015</v>
          </cell>
          <cell r="AB1246" t="str">
            <v>No</v>
          </cell>
          <cell r="AC1246" t="str">
            <v>31/08/2013</v>
          </cell>
          <cell r="AD1246" t="str">
            <v>Good</v>
          </cell>
          <cell r="AE1246" t="str">
            <v>V1 - Existing / No Claim</v>
          </cell>
          <cell r="AF1246">
            <v>42616</v>
          </cell>
          <cell r="AG1246">
            <v>9.17</v>
          </cell>
          <cell r="AH1246" t="str">
            <v>PPM</v>
          </cell>
          <cell r="AI1246" t="str">
            <v>Strands</v>
          </cell>
          <cell r="AJ1246" t="str">
            <v>Strands Package</v>
          </cell>
          <cell r="AK1246" t="str">
            <v>Package Code EP0127A</v>
          </cell>
        </row>
        <row r="1247">
          <cell r="A1247" t="str">
            <v>IKN400865</v>
          </cell>
          <cell r="B1247">
            <v>864</v>
          </cell>
          <cell r="C1247" t="str">
            <v>Institut Kanser Negara</v>
          </cell>
          <cell r="D1247" t="str">
            <v>KKM/IKN/H/13/2483-01</v>
          </cell>
          <cell r="E1247" t="str">
            <v>17-002</v>
          </cell>
          <cell r="F1247" t="str">
            <v>Cameras, Video, Endoscope</v>
          </cell>
          <cell r="G1247" t="str">
            <v>OT</v>
          </cell>
          <cell r="H1247" t="str">
            <v>OPERATING THEATRE</v>
          </cell>
          <cell r="I1247" t="str">
            <v>05OT167</v>
          </cell>
          <cell r="J1247" t="str">
            <v>SCOPE WASH</v>
          </cell>
          <cell r="K1247" t="str">
            <v>BMED</v>
          </cell>
          <cell r="L1247" t="str">
            <v>Normal</v>
          </cell>
          <cell r="M1247" t="str">
            <v>Germany</v>
          </cell>
          <cell r="N1247" t="str">
            <v>Image 1</v>
          </cell>
          <cell r="O1247" t="str">
            <v>Image 1 HUB 22201020</v>
          </cell>
          <cell r="P1247" t="str">
            <v>NW701882-P</v>
          </cell>
          <cell r="Q1247" t="str">
            <v>Not Applicable</v>
          </cell>
          <cell r="R1247" t="str">
            <v>Karl Storz-Endoskope</v>
          </cell>
          <cell r="S1247" t="str">
            <v>UMMI Surgical Sdn Bhd</v>
          </cell>
          <cell r="T1247" t="str">
            <v>Functioning</v>
          </cell>
          <cell r="U1247" t="str">
            <v>Asset</v>
          </cell>
          <cell r="V1247">
            <v>100000</v>
          </cell>
          <cell r="W1247" t="str">
            <v>Estimate</v>
          </cell>
          <cell r="X1247" t="str">
            <v>01/09/2010</v>
          </cell>
          <cell r="Y1247" t="str">
            <v>KEW</v>
          </cell>
          <cell r="Z1247" t="str">
            <v>16/08/2013</v>
          </cell>
          <cell r="AA1247" t="str">
            <v>15/08/2015</v>
          </cell>
          <cell r="AB1247" t="str">
            <v>No</v>
          </cell>
          <cell r="AC1247" t="str">
            <v>31/08/2013</v>
          </cell>
          <cell r="AD1247" t="str">
            <v>Good</v>
          </cell>
          <cell r="AE1247" t="str">
            <v>V1 - Existing / No Claim</v>
          </cell>
          <cell r="AF1247">
            <v>42958</v>
          </cell>
          <cell r="AG1247">
            <v>9.17</v>
          </cell>
          <cell r="AH1247" t="str">
            <v>PPM</v>
          </cell>
          <cell r="AI1247" t="str">
            <v>Strands</v>
          </cell>
          <cell r="AJ1247" t="str">
            <v>Strands Package</v>
          </cell>
          <cell r="AK1247" t="str">
            <v>[Indira] Camera Head (Serial No: YX805370-H), CAT No: 22220055 (Cable: ). [18/9/2023, SHARIFAH]: PEP ON 27/7/2023, BER/BEMS/IKN/23/014 - Asset masih berfungsi namun tidak dapat dibaiki sekiranya berlaku kerosakan pada komponen utama. Package Code EP0127A</v>
          </cell>
        </row>
        <row r="1248">
          <cell r="A1248" t="str">
            <v>IKN400866</v>
          </cell>
          <cell r="B1248">
            <v>865</v>
          </cell>
          <cell r="C1248" t="str">
            <v>Institut Kanser Negara</v>
          </cell>
          <cell r="D1248" t="str">
            <v>KKM/IKN/H/13/2483-36</v>
          </cell>
          <cell r="E1248" t="str">
            <v>16-849</v>
          </cell>
          <cell r="F1248" t="str">
            <v>Insufflators, Laparoscopic</v>
          </cell>
          <cell r="G1248" t="str">
            <v>OT</v>
          </cell>
          <cell r="H1248" t="str">
            <v>OPERATING THEATRE</v>
          </cell>
          <cell r="I1248" t="str">
            <v>05OT167</v>
          </cell>
          <cell r="J1248" t="str">
            <v>SCOPE WASH</v>
          </cell>
          <cell r="K1248" t="str">
            <v>BMED</v>
          </cell>
          <cell r="L1248" t="str">
            <v>Critical</v>
          </cell>
          <cell r="M1248" t="str">
            <v>Germany</v>
          </cell>
          <cell r="N1248" t="str">
            <v>Thermoflator</v>
          </cell>
          <cell r="O1248" t="str">
            <v>Thermoflator</v>
          </cell>
          <cell r="P1248" t="str">
            <v>RW15883-B</v>
          </cell>
          <cell r="Q1248" t="str">
            <v>Not Applicable</v>
          </cell>
          <cell r="R1248" t="str">
            <v>Karl Storz GmbH &amp; Co KG</v>
          </cell>
          <cell r="S1248" t="str">
            <v>UMMI Surgical Sdn Bhd</v>
          </cell>
          <cell r="T1248" t="str">
            <v>Functioning</v>
          </cell>
          <cell r="U1248" t="str">
            <v>Asset</v>
          </cell>
          <cell r="V1248">
            <v>120000</v>
          </cell>
          <cell r="W1248" t="str">
            <v>KEW</v>
          </cell>
          <cell r="X1248" t="str">
            <v>01/09/2010</v>
          </cell>
          <cell r="Y1248" t="str">
            <v>KEW</v>
          </cell>
          <cell r="Z1248" t="str">
            <v>16/08/2013</v>
          </cell>
          <cell r="AA1248" t="str">
            <v>15/08/2015</v>
          </cell>
          <cell r="AB1248" t="str">
            <v>No</v>
          </cell>
          <cell r="AC1248" t="str">
            <v>31/08/2013</v>
          </cell>
          <cell r="AD1248" t="str">
            <v>Good</v>
          </cell>
          <cell r="AE1248" t="str">
            <v>V1 - Existing / No Claim</v>
          </cell>
          <cell r="AF1248">
            <v>42958</v>
          </cell>
          <cell r="AG1248">
            <v>9.17</v>
          </cell>
          <cell r="AH1248" t="str">
            <v>PPM</v>
          </cell>
          <cell r="AI1248" t="str">
            <v>Strands</v>
          </cell>
          <cell r="AJ1248" t="str">
            <v>Strands Package</v>
          </cell>
          <cell r="AK1248" t="str">
            <v>Package Code EP0127A</v>
          </cell>
        </row>
        <row r="1249">
          <cell r="A1249" t="str">
            <v>IKN400867</v>
          </cell>
          <cell r="B1249">
            <v>866</v>
          </cell>
          <cell r="C1249" t="str">
            <v>Institut Kanser Negara</v>
          </cell>
          <cell r="D1249" t="str">
            <v>KKM/IKN/H/13/2483-24</v>
          </cell>
          <cell r="E1249" t="str">
            <v>13-274</v>
          </cell>
          <cell r="F1249" t="str">
            <v>Recorders, Tape, Video</v>
          </cell>
          <cell r="G1249" t="str">
            <v>OT</v>
          </cell>
          <cell r="H1249" t="str">
            <v>OPERATING THEATRE</v>
          </cell>
          <cell r="I1249" t="str">
            <v>05OT167</v>
          </cell>
          <cell r="J1249" t="str">
            <v>SCOPE WASH</v>
          </cell>
          <cell r="K1249" t="str">
            <v>BMED</v>
          </cell>
          <cell r="L1249" t="str">
            <v>Normal</v>
          </cell>
          <cell r="M1249" t="str">
            <v>Germany</v>
          </cell>
          <cell r="N1249" t="str">
            <v>Aoda</v>
          </cell>
          <cell r="O1249" t="str">
            <v>Aoda Control Neo</v>
          </cell>
          <cell r="P1249" t="str">
            <v>KSB13263</v>
          </cell>
          <cell r="Q1249" t="str">
            <v>Not Applicable</v>
          </cell>
          <cell r="R1249" t="str">
            <v>Karl Storz GmbH &amp; Co KG</v>
          </cell>
          <cell r="S1249" t="str">
            <v>UMMI Surgical Sdn Bhd</v>
          </cell>
          <cell r="T1249" t="str">
            <v>Functioning</v>
          </cell>
          <cell r="U1249" t="str">
            <v>Asset</v>
          </cell>
          <cell r="V1249">
            <v>50000</v>
          </cell>
          <cell r="W1249" t="str">
            <v>KEW</v>
          </cell>
          <cell r="X1249" t="str">
            <v>01/09/2010</v>
          </cell>
          <cell r="Y1249" t="str">
            <v>KEW</v>
          </cell>
          <cell r="Z1249" t="str">
            <v>16/08/2013</v>
          </cell>
          <cell r="AA1249" t="str">
            <v>15/08/2015</v>
          </cell>
          <cell r="AB1249" t="str">
            <v>No</v>
          </cell>
          <cell r="AC1249" t="str">
            <v>31/08/2013</v>
          </cell>
          <cell r="AD1249" t="str">
            <v>Good</v>
          </cell>
          <cell r="AE1249" t="str">
            <v>V1 - Existing / No Claim</v>
          </cell>
          <cell r="AF1249">
            <v>42958</v>
          </cell>
          <cell r="AG1249">
            <v>9.17</v>
          </cell>
          <cell r="AH1249" t="str">
            <v>RI</v>
          </cell>
          <cell r="AI1249" t="str">
            <v>Strands</v>
          </cell>
          <cell r="AJ1249" t="str">
            <v>Strands Package</v>
          </cell>
          <cell r="AK1249" t="str">
            <v>Package Code EP0127A</v>
          </cell>
        </row>
        <row r="1250">
          <cell r="A1250" t="str">
            <v>IKN400868</v>
          </cell>
          <cell r="B1250">
            <v>867</v>
          </cell>
          <cell r="C1250" t="str">
            <v>Institut Kanser Negara</v>
          </cell>
          <cell r="D1250" t="e">
            <v>#N/A</v>
          </cell>
          <cell r="E1250" t="str">
            <v>16-603</v>
          </cell>
          <cell r="F1250" t="str">
            <v>Television Monitors</v>
          </cell>
          <cell r="G1250" t="str">
            <v>OT</v>
          </cell>
          <cell r="H1250" t="str">
            <v>OPERATING THEATRE</v>
          </cell>
          <cell r="I1250" t="str">
            <v>05OT167</v>
          </cell>
          <cell r="J1250" t="str">
            <v>SCOPE WASH</v>
          </cell>
          <cell r="K1250" t="str">
            <v>BMED</v>
          </cell>
          <cell r="L1250" t="str">
            <v>Normal</v>
          </cell>
          <cell r="M1250" t="str">
            <v>China</v>
          </cell>
          <cell r="N1250" t="str">
            <v>BenQ</v>
          </cell>
          <cell r="O1250" t="str">
            <v>BenQ GL2050</v>
          </cell>
          <cell r="P1250" t="str">
            <v>ETMBC8626SLO</v>
          </cell>
          <cell r="Q1250" t="str">
            <v>Not Applicable</v>
          </cell>
          <cell r="R1250" t="str">
            <v>BenQ Corp</v>
          </cell>
          <cell r="S1250" t="str">
            <v>UMMI Surgical Sdn Bhd</v>
          </cell>
          <cell r="T1250" t="str">
            <v>Functioning</v>
          </cell>
          <cell r="U1250" t="str">
            <v>Asset</v>
          </cell>
          <cell r="V1250">
            <v>7000</v>
          </cell>
          <cell r="W1250" t="str">
            <v>Estimate</v>
          </cell>
          <cell r="X1250" t="str">
            <v>01/09/2010</v>
          </cell>
          <cell r="Y1250" t="str">
            <v>KEW</v>
          </cell>
          <cell r="Z1250" t="str">
            <v>16/08/2013</v>
          </cell>
          <cell r="AA1250" t="str">
            <v>15/08/2015</v>
          </cell>
          <cell r="AB1250" t="str">
            <v>No</v>
          </cell>
          <cell r="AC1250" t="str">
            <v>31/08/2013</v>
          </cell>
          <cell r="AD1250" t="str">
            <v>Good</v>
          </cell>
          <cell r="AE1250" t="str">
            <v>V1 - Existing / No Claim</v>
          </cell>
          <cell r="AF1250">
            <v>42958</v>
          </cell>
          <cell r="AG1250">
            <v>9.17</v>
          </cell>
          <cell r="AH1250" t="str">
            <v>RI</v>
          </cell>
          <cell r="AI1250" t="str">
            <v>Strands-accessories</v>
          </cell>
          <cell r="AJ1250" t="e">
            <v>#REF!</v>
          </cell>
          <cell r="AK1250" t="e">
            <v>#N/A</v>
          </cell>
        </row>
        <row r="1251">
          <cell r="A1251" t="str">
            <v>IKN400869</v>
          </cell>
          <cell r="B1251">
            <v>868</v>
          </cell>
          <cell r="C1251" t="str">
            <v>Institut Kanser Negara</v>
          </cell>
          <cell r="D1251" t="str">
            <v>KKM/IKN/H/14/86</v>
          </cell>
          <cell r="E1251" t="str">
            <v>17-950</v>
          </cell>
          <cell r="F1251" t="str">
            <v>Warming Units, Patient, Forced-Air</v>
          </cell>
          <cell r="G1251" t="str">
            <v>RT</v>
          </cell>
          <cell r="H1251" t="str">
            <v>RADIATION TREATMENT UNIT</v>
          </cell>
          <cell r="I1251" t="str">
            <v>01RT116</v>
          </cell>
          <cell r="J1251" t="str">
            <v>CT SIMULATOR 1</v>
          </cell>
          <cell r="K1251" t="str">
            <v>BMED</v>
          </cell>
          <cell r="L1251" t="str">
            <v>Normal</v>
          </cell>
          <cell r="M1251" t="str">
            <v>USA</v>
          </cell>
          <cell r="N1251" t="str">
            <v>Bair Hugger</v>
          </cell>
          <cell r="O1251" t="str">
            <v>Bair Hugger 775</v>
          </cell>
          <cell r="P1251" t="str">
            <v>46693</v>
          </cell>
          <cell r="Q1251" t="str">
            <v>Not Applicable</v>
          </cell>
          <cell r="R1251" t="str">
            <v>Arizant Healthcare Inc</v>
          </cell>
          <cell r="S1251" t="str">
            <v>Alam Medik Sdn. Bhd</v>
          </cell>
          <cell r="T1251" t="str">
            <v>Functioning</v>
          </cell>
          <cell r="U1251" t="str">
            <v>Asset</v>
          </cell>
          <cell r="V1251">
            <v>4950</v>
          </cell>
          <cell r="W1251" t="str">
            <v>KEW</v>
          </cell>
          <cell r="X1251" t="str">
            <v>26/09/2014</v>
          </cell>
          <cell r="Y1251" t="str">
            <v>KEW</v>
          </cell>
          <cell r="Z1251" t="str">
            <v>12/11/2014</v>
          </cell>
          <cell r="AA1251" t="str">
            <v>11/11/2015</v>
          </cell>
          <cell r="AB1251" t="str">
            <v>No</v>
          </cell>
          <cell r="AC1251" t="str">
            <v>12/11/2014</v>
          </cell>
          <cell r="AD1251" t="str">
            <v>Good</v>
          </cell>
          <cell r="AE1251" t="str">
            <v>V3 - Added Installed Facilities (New)</v>
          </cell>
          <cell r="AF1251">
            <v>42801</v>
          </cell>
          <cell r="AG1251">
            <v>5.17</v>
          </cell>
          <cell r="AH1251" t="str">
            <v>PPM</v>
          </cell>
          <cell r="AI1251" t="str">
            <v>Strands</v>
          </cell>
          <cell r="AJ1251" t="str">
            <v>Strands PW</v>
          </cell>
          <cell r="AK1251" t="str">
            <v>SNF received. 1st batch of V3 asset (December 2020)</v>
          </cell>
        </row>
        <row r="1252">
          <cell r="A1252" t="str">
            <v>IKN400870</v>
          </cell>
          <cell r="B1252">
            <v>869</v>
          </cell>
          <cell r="C1252" t="str">
            <v>Institut Kanser Negara</v>
          </cell>
          <cell r="D1252" t="str">
            <v>KKM/IKN/H/14/87</v>
          </cell>
          <cell r="E1252" t="str">
            <v>17-950</v>
          </cell>
          <cell r="F1252" t="str">
            <v>Warming Units, Patient, Forced-Air</v>
          </cell>
          <cell r="G1252" t="str">
            <v>RT</v>
          </cell>
          <cell r="H1252" t="str">
            <v>RADIATION TREATMENT UNIT</v>
          </cell>
          <cell r="I1252" t="str">
            <v>01RT118</v>
          </cell>
          <cell r="J1252" t="str">
            <v>CT SIMULATOR 2</v>
          </cell>
          <cell r="K1252" t="str">
            <v>BMED</v>
          </cell>
          <cell r="L1252" t="str">
            <v>Normal</v>
          </cell>
          <cell r="M1252" t="str">
            <v>USA</v>
          </cell>
          <cell r="N1252" t="str">
            <v>Bair Hugger</v>
          </cell>
          <cell r="O1252" t="str">
            <v>Bair Hugger 775</v>
          </cell>
          <cell r="P1252" t="str">
            <v>46697</v>
          </cell>
          <cell r="Q1252" t="str">
            <v>Not Applicable</v>
          </cell>
          <cell r="R1252" t="str">
            <v>Arizant Healthcare Inc</v>
          </cell>
          <cell r="S1252" t="str">
            <v>Alam Medik Sdn. Bhd</v>
          </cell>
          <cell r="T1252" t="str">
            <v>Functioning</v>
          </cell>
          <cell r="U1252" t="str">
            <v>Asset</v>
          </cell>
          <cell r="V1252">
            <v>4950</v>
          </cell>
          <cell r="W1252" t="str">
            <v>KEW</v>
          </cell>
          <cell r="X1252" t="str">
            <v>26/09/2014</v>
          </cell>
          <cell r="Y1252" t="str">
            <v>KEW</v>
          </cell>
          <cell r="Z1252" t="str">
            <v>12/11/2014</v>
          </cell>
          <cell r="AA1252" t="str">
            <v>11/11/2015</v>
          </cell>
          <cell r="AB1252" t="str">
            <v>No</v>
          </cell>
          <cell r="AC1252" t="str">
            <v>12/11/2014</v>
          </cell>
          <cell r="AD1252" t="str">
            <v>Good</v>
          </cell>
          <cell r="AE1252" t="str">
            <v>V3 - Added Installed Facilities (New)</v>
          </cell>
          <cell r="AF1252">
            <v>42801</v>
          </cell>
          <cell r="AG1252">
            <v>5.17</v>
          </cell>
          <cell r="AH1252" t="str">
            <v>PPM</v>
          </cell>
          <cell r="AI1252" t="str">
            <v>Strands</v>
          </cell>
          <cell r="AJ1252" t="str">
            <v>Strands PW</v>
          </cell>
          <cell r="AK1252" t="str">
            <v>SNF received. 1st batch of V3 asset (December 2020)</v>
          </cell>
        </row>
        <row r="1253">
          <cell r="A1253" t="str">
            <v>IKN400871</v>
          </cell>
          <cell r="B1253">
            <v>870</v>
          </cell>
          <cell r="C1253" t="str">
            <v>Institut Kanser Negara</v>
          </cell>
          <cell r="D1253" t="str">
            <v>KKM/IKN/H/14/88</v>
          </cell>
          <cell r="E1253" t="str">
            <v>17-950</v>
          </cell>
          <cell r="F1253" t="str">
            <v>Warming Units, Patient, Forced-Air</v>
          </cell>
          <cell r="G1253" t="str">
            <v>RT</v>
          </cell>
          <cell r="H1253" t="str">
            <v>RADIATION TREATMENT UNIT</v>
          </cell>
          <cell r="I1253" t="str">
            <v>01RT159</v>
          </cell>
          <cell r="J1253" t="str">
            <v>LINAC ROOM 1 (TBI)</v>
          </cell>
          <cell r="K1253" t="str">
            <v>BMED</v>
          </cell>
          <cell r="L1253" t="str">
            <v>Normal</v>
          </cell>
          <cell r="M1253" t="str">
            <v>USA</v>
          </cell>
          <cell r="N1253" t="str">
            <v>Bair Hugger</v>
          </cell>
          <cell r="O1253" t="str">
            <v>Bair Hugger 775</v>
          </cell>
          <cell r="P1253" t="str">
            <v>57896</v>
          </cell>
          <cell r="Q1253" t="str">
            <v>Not Applicable</v>
          </cell>
          <cell r="R1253" t="str">
            <v>Arizant Healthcare Inc</v>
          </cell>
          <cell r="S1253" t="str">
            <v>Alam Medik Sdn. Bhd</v>
          </cell>
          <cell r="T1253" t="str">
            <v>Functioning</v>
          </cell>
          <cell r="U1253" t="str">
            <v>Asset</v>
          </cell>
          <cell r="V1253">
            <v>4950</v>
          </cell>
          <cell r="W1253" t="str">
            <v>KEW</v>
          </cell>
          <cell r="X1253" t="str">
            <v>26/09/2014</v>
          </cell>
          <cell r="Y1253" t="str">
            <v>KEW</v>
          </cell>
          <cell r="Z1253" t="str">
            <v>12/11/2014</v>
          </cell>
          <cell r="AA1253" t="str">
            <v>11/11/2015</v>
          </cell>
          <cell r="AB1253" t="str">
            <v>No</v>
          </cell>
          <cell r="AC1253" t="str">
            <v>12/11/2014</v>
          </cell>
          <cell r="AD1253" t="str">
            <v>Good</v>
          </cell>
          <cell r="AE1253" t="str">
            <v>V3 - Added Installed Facilities (New)</v>
          </cell>
          <cell r="AF1253">
            <v>42678</v>
          </cell>
          <cell r="AG1253">
            <v>5.17</v>
          </cell>
          <cell r="AH1253" t="str">
            <v>PPM</v>
          </cell>
          <cell r="AI1253" t="str">
            <v>Strands</v>
          </cell>
          <cell r="AJ1253" t="str">
            <v>Strands PW</v>
          </cell>
          <cell r="AK1253" t="str">
            <v>SNF received. 1st batch of V3 asset (December 2020)</v>
          </cell>
        </row>
        <row r="1254">
          <cell r="A1254" t="str">
            <v>IKN400872</v>
          </cell>
          <cell r="B1254">
            <v>871</v>
          </cell>
          <cell r="C1254" t="str">
            <v>Institut Kanser Negara</v>
          </cell>
          <cell r="D1254" t="str">
            <v>KKM/IKN/H/14/89</v>
          </cell>
          <cell r="E1254" t="str">
            <v>17-950</v>
          </cell>
          <cell r="F1254" t="str">
            <v>Warming Units, Patient, Forced-Air</v>
          </cell>
          <cell r="G1254" t="str">
            <v>RT</v>
          </cell>
          <cell r="H1254" t="str">
            <v>RADIATION TREATMENT UNIT</v>
          </cell>
          <cell r="I1254" t="str">
            <v>01RT165</v>
          </cell>
          <cell r="J1254" t="str">
            <v>LINAC ROOM 2 (TBI)</v>
          </cell>
          <cell r="K1254" t="str">
            <v>BMED</v>
          </cell>
          <cell r="L1254" t="str">
            <v>Normal</v>
          </cell>
          <cell r="M1254" t="str">
            <v>USA</v>
          </cell>
          <cell r="N1254" t="str">
            <v>Bair Hugger</v>
          </cell>
          <cell r="O1254" t="str">
            <v>Bair Hugger 775</v>
          </cell>
          <cell r="P1254" t="str">
            <v>57897</v>
          </cell>
          <cell r="Q1254" t="str">
            <v>Not Applicable</v>
          </cell>
          <cell r="R1254" t="str">
            <v>Arizant Healthcare Inc</v>
          </cell>
          <cell r="S1254" t="str">
            <v>Alam Medik Sdn. Bhd</v>
          </cell>
          <cell r="T1254" t="str">
            <v>Functioning</v>
          </cell>
          <cell r="U1254" t="str">
            <v>Asset</v>
          </cell>
          <cell r="V1254">
            <v>4950</v>
          </cell>
          <cell r="W1254" t="str">
            <v>KEW</v>
          </cell>
          <cell r="X1254" t="str">
            <v>26/09/2014</v>
          </cell>
          <cell r="Y1254" t="str">
            <v>KEW</v>
          </cell>
          <cell r="Z1254" t="str">
            <v>12/11/2014</v>
          </cell>
          <cell r="AA1254" t="str">
            <v>11/11/2015</v>
          </cell>
          <cell r="AB1254" t="str">
            <v>No</v>
          </cell>
          <cell r="AC1254" t="str">
            <v>12/11/2014</v>
          </cell>
          <cell r="AD1254" t="str">
            <v>Good</v>
          </cell>
          <cell r="AE1254" t="str">
            <v>V3 - Added Installed Facilities (New)</v>
          </cell>
          <cell r="AF1254">
            <v>42678</v>
          </cell>
          <cell r="AG1254">
            <v>5.17</v>
          </cell>
          <cell r="AH1254" t="str">
            <v>PPM</v>
          </cell>
          <cell r="AI1254" t="str">
            <v>Strands</v>
          </cell>
          <cell r="AJ1254" t="str">
            <v>Strands PW</v>
          </cell>
          <cell r="AK1254" t="str">
            <v>SNF received. 1st batch of V3 asset (December 2020)</v>
          </cell>
        </row>
        <row r="1255">
          <cell r="A1255" t="str">
            <v>IKN400873</v>
          </cell>
          <cell r="B1255">
            <v>872</v>
          </cell>
          <cell r="C1255" t="str">
            <v>Institut Kanser Negara</v>
          </cell>
          <cell r="D1255" t="str">
            <v>KKM/IKN/H/14/90</v>
          </cell>
          <cell r="E1255" t="str">
            <v>17-950</v>
          </cell>
          <cell r="F1255" t="str">
            <v>Warming Units, Patient, Forced-Air</v>
          </cell>
          <cell r="G1255" t="str">
            <v>RT</v>
          </cell>
          <cell r="H1255" t="str">
            <v>RADIATION TREATMENT UNIT</v>
          </cell>
          <cell r="I1255" t="str">
            <v>01RT172</v>
          </cell>
          <cell r="J1255" t="str">
            <v>LINAC ROOM 3</v>
          </cell>
          <cell r="K1255" t="str">
            <v>BMED</v>
          </cell>
          <cell r="L1255" t="str">
            <v>Normal</v>
          </cell>
          <cell r="M1255" t="str">
            <v>USA</v>
          </cell>
          <cell r="N1255" t="str">
            <v>Bair Hugger</v>
          </cell>
          <cell r="O1255" t="str">
            <v>Bair Hugger 775</v>
          </cell>
          <cell r="P1255" t="str">
            <v>57899</v>
          </cell>
          <cell r="Q1255" t="str">
            <v>Not Applicable</v>
          </cell>
          <cell r="R1255" t="str">
            <v>Arizant Healthcare Inc</v>
          </cell>
          <cell r="S1255" t="str">
            <v>Alam Medik Sdn. Bhd</v>
          </cell>
          <cell r="T1255" t="str">
            <v>Functioning</v>
          </cell>
          <cell r="U1255" t="str">
            <v>Asset</v>
          </cell>
          <cell r="V1255">
            <v>4950</v>
          </cell>
          <cell r="W1255" t="str">
            <v>KEW</v>
          </cell>
          <cell r="X1255" t="str">
            <v>26/09/2014</v>
          </cell>
          <cell r="Y1255" t="str">
            <v>KEW</v>
          </cell>
          <cell r="Z1255" t="str">
            <v>12/11/2014</v>
          </cell>
          <cell r="AA1255" t="str">
            <v>11/11/2015</v>
          </cell>
          <cell r="AB1255" t="str">
            <v>No</v>
          </cell>
          <cell r="AC1255" t="str">
            <v>12/11/2014</v>
          </cell>
          <cell r="AD1255" t="str">
            <v>Good</v>
          </cell>
          <cell r="AE1255" t="str">
            <v>V3 - Added Installed Facilities (New)</v>
          </cell>
          <cell r="AF1255">
            <v>42801</v>
          </cell>
          <cell r="AG1255">
            <v>5.17</v>
          </cell>
          <cell r="AH1255" t="str">
            <v>PPM</v>
          </cell>
          <cell r="AI1255" t="str">
            <v>Strands</v>
          </cell>
          <cell r="AJ1255" t="str">
            <v>Strands PW</v>
          </cell>
          <cell r="AK1255" t="str">
            <v>SNF received. 1st batch of V3 asset (December 2020)</v>
          </cell>
        </row>
        <row r="1256">
          <cell r="A1256" t="str">
            <v>IKN400874</v>
          </cell>
          <cell r="B1256">
            <v>873</v>
          </cell>
          <cell r="C1256" t="str">
            <v>Institut Kanser Negara</v>
          </cell>
          <cell r="D1256" t="str">
            <v>KKM/IKN/H/14/91</v>
          </cell>
          <cell r="E1256" t="str">
            <v>17-950</v>
          </cell>
          <cell r="F1256" t="str">
            <v>Warming Units, Patient, Forced-Air</v>
          </cell>
          <cell r="G1256" t="str">
            <v>RT</v>
          </cell>
          <cell r="H1256" t="str">
            <v>RADIATION TREATMENT UNIT</v>
          </cell>
          <cell r="I1256" t="str">
            <v>01RT177</v>
          </cell>
          <cell r="J1256" t="str">
            <v>LINAC ROOM 4 (TOMO)</v>
          </cell>
          <cell r="K1256" t="str">
            <v>BMED</v>
          </cell>
          <cell r="L1256" t="str">
            <v>Normal</v>
          </cell>
          <cell r="M1256" t="str">
            <v>USA</v>
          </cell>
          <cell r="N1256" t="str">
            <v>Bair Hugger</v>
          </cell>
          <cell r="O1256" t="str">
            <v>Bair Hugger 775</v>
          </cell>
          <cell r="P1256" t="str">
            <v>57900</v>
          </cell>
          <cell r="Q1256" t="str">
            <v>Not Applicable</v>
          </cell>
          <cell r="R1256" t="str">
            <v>Arizant Healthcare Inc</v>
          </cell>
          <cell r="S1256" t="str">
            <v>Alam Medik Sdn. Bhd</v>
          </cell>
          <cell r="T1256" t="str">
            <v>Functioning</v>
          </cell>
          <cell r="U1256" t="str">
            <v>Asset</v>
          </cell>
          <cell r="V1256">
            <v>4950</v>
          </cell>
          <cell r="W1256" t="str">
            <v>KEW</v>
          </cell>
          <cell r="X1256" t="str">
            <v>26/09/2014</v>
          </cell>
          <cell r="Y1256" t="str">
            <v>KEW</v>
          </cell>
          <cell r="Z1256" t="str">
            <v>12/11/2014</v>
          </cell>
          <cell r="AA1256" t="str">
            <v>11/11/2015</v>
          </cell>
          <cell r="AB1256" t="str">
            <v>No</v>
          </cell>
          <cell r="AC1256" t="str">
            <v>12/11/2014</v>
          </cell>
          <cell r="AD1256" t="str">
            <v>Good</v>
          </cell>
          <cell r="AE1256" t="str">
            <v>V3 - Added Installed Facilities (New)</v>
          </cell>
          <cell r="AF1256">
            <v>42801</v>
          </cell>
          <cell r="AG1256">
            <v>5.17</v>
          </cell>
          <cell r="AH1256" t="str">
            <v>PPM</v>
          </cell>
          <cell r="AI1256" t="str">
            <v>Strands</v>
          </cell>
          <cell r="AJ1256" t="str">
            <v>Strands PW</v>
          </cell>
          <cell r="AK1256" t="str">
            <v>SNF received. 1st batch of V3 asset (December 2020)</v>
          </cell>
        </row>
        <row r="1257">
          <cell r="A1257" t="str">
            <v>IKN400875</v>
          </cell>
          <cell r="B1257">
            <v>874</v>
          </cell>
          <cell r="C1257" t="str">
            <v>Institut Kanser Negara</v>
          </cell>
          <cell r="D1257" t="str">
            <v>KKM/IKN/H/13/341</v>
          </cell>
          <cell r="E1257" t="str">
            <v>12-873</v>
          </cell>
          <cell r="F1257" t="str">
            <v>Concentrators, Oxygen</v>
          </cell>
          <cell r="G1257" t="str">
            <v>PC</v>
          </cell>
          <cell r="H1257" t="str">
            <v>PALLIATIVE CARE UNIT</v>
          </cell>
          <cell r="I1257" t="str">
            <v>04PC109</v>
          </cell>
          <cell r="J1257" t="str">
            <v>GEN. STORE</v>
          </cell>
          <cell r="K1257" t="str">
            <v>BMED</v>
          </cell>
          <cell r="L1257" t="str">
            <v>Critical</v>
          </cell>
          <cell r="M1257" t="str">
            <v>USA</v>
          </cell>
          <cell r="N1257" t="str">
            <v>EverFlo</v>
          </cell>
          <cell r="O1257" t="str">
            <v>EverFlo</v>
          </cell>
          <cell r="P1257" t="str">
            <v>0015557</v>
          </cell>
          <cell r="Q1257" t="str">
            <v>Not Applicable</v>
          </cell>
          <cell r="R1257" t="str">
            <v>Respironics</v>
          </cell>
          <cell r="S1257" t="str">
            <v>TDC Ent</v>
          </cell>
          <cell r="T1257" t="str">
            <v>Functioning</v>
          </cell>
          <cell r="U1257" t="str">
            <v>Asset</v>
          </cell>
          <cell r="V1257">
            <v>5000</v>
          </cell>
          <cell r="W1257" t="str">
            <v>KEW</v>
          </cell>
          <cell r="X1257" t="str">
            <v>11/12/2013</v>
          </cell>
          <cell r="Y1257" t="str">
            <v>KEW</v>
          </cell>
          <cell r="Z1257" t="str">
            <v>19/12/2013</v>
          </cell>
          <cell r="AA1257" t="str">
            <v>18/12/2015</v>
          </cell>
          <cell r="AB1257" t="str">
            <v>No</v>
          </cell>
          <cell r="AC1257" t="str">
            <v>19/12/2013</v>
          </cell>
          <cell r="AD1257" t="str">
            <v>Good</v>
          </cell>
          <cell r="AE1257" t="str">
            <v>V3 - Added Installed Facilities (New)</v>
          </cell>
          <cell r="AF1257">
            <v>42797</v>
          </cell>
          <cell r="AG1257">
            <v>5.92</v>
          </cell>
          <cell r="AH1257" t="str">
            <v>PPM</v>
          </cell>
          <cell r="AI1257" t="str">
            <v>Strands</v>
          </cell>
          <cell r="AJ1257" t="str">
            <v>Strands PW</v>
          </cell>
        </row>
        <row r="1258">
          <cell r="A1258" t="str">
            <v>IKN400876</v>
          </cell>
          <cell r="B1258">
            <v>875</v>
          </cell>
          <cell r="C1258" t="str">
            <v>Institut Kanser Negara</v>
          </cell>
          <cell r="D1258" t="str">
            <v>KKM/IKN/H/13/339</v>
          </cell>
          <cell r="E1258" t="str">
            <v>12-873</v>
          </cell>
          <cell r="F1258" t="str">
            <v>Concentrators, Oxygen</v>
          </cell>
          <cell r="G1258" t="str">
            <v>PC</v>
          </cell>
          <cell r="H1258" t="str">
            <v>PALLIATIVE CARE UNIT</v>
          </cell>
          <cell r="I1258" t="str">
            <v>04PC109</v>
          </cell>
          <cell r="J1258" t="str">
            <v>GEN. STORE</v>
          </cell>
          <cell r="K1258" t="str">
            <v>BMED</v>
          </cell>
          <cell r="L1258" t="str">
            <v>Critical</v>
          </cell>
          <cell r="M1258" t="str">
            <v>USA</v>
          </cell>
          <cell r="N1258" t="str">
            <v>EverFlo</v>
          </cell>
          <cell r="O1258" t="str">
            <v>EverFlo</v>
          </cell>
          <cell r="P1258" t="str">
            <v>0015517</v>
          </cell>
          <cell r="Q1258" t="str">
            <v>Not Applicable</v>
          </cell>
          <cell r="R1258" t="str">
            <v>Respironics</v>
          </cell>
          <cell r="S1258" t="str">
            <v>TDC Ent</v>
          </cell>
          <cell r="T1258" t="str">
            <v>Functioning</v>
          </cell>
          <cell r="U1258" t="str">
            <v>Asset</v>
          </cell>
          <cell r="V1258">
            <v>5000</v>
          </cell>
          <cell r="W1258" t="str">
            <v>KEW</v>
          </cell>
          <cell r="X1258" t="str">
            <v>11/12/2013</v>
          </cell>
          <cell r="Y1258" t="str">
            <v>KEW</v>
          </cell>
          <cell r="Z1258" t="str">
            <v>19/12/2013</v>
          </cell>
          <cell r="AA1258" t="str">
            <v>18/12/2015</v>
          </cell>
          <cell r="AB1258" t="str">
            <v>No</v>
          </cell>
          <cell r="AC1258" t="str">
            <v>19/12/2013</v>
          </cell>
          <cell r="AD1258" t="str">
            <v>Good</v>
          </cell>
          <cell r="AE1258" t="str">
            <v>V3 - Added Installed Facilities (New)</v>
          </cell>
          <cell r="AF1258">
            <v>42797</v>
          </cell>
          <cell r="AG1258">
            <v>5.92</v>
          </cell>
          <cell r="AH1258" t="str">
            <v>PPM</v>
          </cell>
          <cell r="AI1258" t="str">
            <v>Strands</v>
          </cell>
          <cell r="AJ1258" t="str">
            <v>Strands PW</v>
          </cell>
        </row>
        <row r="1259">
          <cell r="A1259" t="str">
            <v>IKN400877</v>
          </cell>
          <cell r="B1259">
            <v>876</v>
          </cell>
          <cell r="C1259" t="str">
            <v>Institut Kanser Negara</v>
          </cell>
          <cell r="D1259" t="str">
            <v>KKM/IKN/H/13/338</v>
          </cell>
          <cell r="E1259" t="str">
            <v>12-873</v>
          </cell>
          <cell r="F1259" t="str">
            <v>Concentrators, Oxygen</v>
          </cell>
          <cell r="G1259" t="str">
            <v>PC</v>
          </cell>
          <cell r="H1259" t="str">
            <v>PALLIATIVE CARE UNIT</v>
          </cell>
          <cell r="I1259" t="str">
            <v>04PC109</v>
          </cell>
          <cell r="J1259" t="str">
            <v>GEN. STORE</v>
          </cell>
          <cell r="K1259" t="str">
            <v>BMED</v>
          </cell>
          <cell r="L1259" t="str">
            <v>Critical</v>
          </cell>
          <cell r="M1259" t="str">
            <v>USA</v>
          </cell>
          <cell r="N1259" t="str">
            <v>EverFlo</v>
          </cell>
          <cell r="O1259" t="str">
            <v>EverFlo</v>
          </cell>
          <cell r="P1259" t="str">
            <v>0015511</v>
          </cell>
          <cell r="Q1259" t="str">
            <v>Not Applicable</v>
          </cell>
          <cell r="R1259" t="str">
            <v>Respironics</v>
          </cell>
          <cell r="S1259" t="str">
            <v>TDC Ent</v>
          </cell>
          <cell r="T1259" t="str">
            <v>Functioning</v>
          </cell>
          <cell r="U1259" t="str">
            <v>Asset</v>
          </cell>
          <cell r="V1259">
            <v>5000</v>
          </cell>
          <cell r="W1259" t="str">
            <v>KEW</v>
          </cell>
          <cell r="X1259" t="str">
            <v>11/12/2013</v>
          </cell>
          <cell r="Y1259" t="str">
            <v>KEW</v>
          </cell>
          <cell r="Z1259" t="str">
            <v>19/12/2013</v>
          </cell>
          <cell r="AA1259" t="str">
            <v>18/12/2015</v>
          </cell>
          <cell r="AB1259" t="str">
            <v>No</v>
          </cell>
          <cell r="AC1259" t="str">
            <v>19/12/2013</v>
          </cell>
          <cell r="AD1259" t="str">
            <v>Good</v>
          </cell>
          <cell r="AE1259" t="str">
            <v>V3 - Added Installed Facilities (New)</v>
          </cell>
          <cell r="AF1259">
            <v>42797</v>
          </cell>
          <cell r="AG1259">
            <v>5.92</v>
          </cell>
          <cell r="AH1259" t="str">
            <v>PPM</v>
          </cell>
          <cell r="AI1259" t="str">
            <v>Strands</v>
          </cell>
          <cell r="AJ1259" t="str">
            <v>Strands PW</v>
          </cell>
        </row>
        <row r="1260">
          <cell r="A1260" t="str">
            <v>IKN400878</v>
          </cell>
          <cell r="B1260">
            <v>877</v>
          </cell>
          <cell r="C1260" t="str">
            <v>Institut Kanser Negara</v>
          </cell>
          <cell r="D1260" t="str">
            <v>KKM/IKN/H/13/340</v>
          </cell>
          <cell r="E1260" t="str">
            <v>12-873</v>
          </cell>
          <cell r="F1260" t="str">
            <v>Concentrators, Oxygen</v>
          </cell>
          <cell r="G1260" t="str">
            <v>PC</v>
          </cell>
          <cell r="H1260" t="str">
            <v>PALLIATIVE CARE UNIT</v>
          </cell>
          <cell r="I1260" t="str">
            <v>04PC109</v>
          </cell>
          <cell r="J1260" t="str">
            <v>GEN. STORE</v>
          </cell>
          <cell r="K1260" t="str">
            <v>BMED</v>
          </cell>
          <cell r="L1260" t="str">
            <v>Critical</v>
          </cell>
          <cell r="M1260" t="str">
            <v>USA</v>
          </cell>
          <cell r="N1260" t="str">
            <v>EverFlo</v>
          </cell>
          <cell r="O1260" t="str">
            <v>EverFlo</v>
          </cell>
          <cell r="P1260" t="str">
            <v>0015553</v>
          </cell>
          <cell r="Q1260" t="str">
            <v>Not Applicable</v>
          </cell>
          <cell r="R1260" t="str">
            <v>Respironics</v>
          </cell>
          <cell r="S1260" t="str">
            <v>TDC Ent</v>
          </cell>
          <cell r="T1260" t="str">
            <v>Functioning</v>
          </cell>
          <cell r="U1260" t="str">
            <v>Asset</v>
          </cell>
          <cell r="V1260">
            <v>5000</v>
          </cell>
          <cell r="W1260" t="str">
            <v>KEW</v>
          </cell>
          <cell r="X1260" t="str">
            <v>11/12/2013</v>
          </cell>
          <cell r="Y1260" t="str">
            <v>KEW</v>
          </cell>
          <cell r="Z1260" t="str">
            <v>19/12/2013</v>
          </cell>
          <cell r="AA1260" t="str">
            <v>18/12/2015</v>
          </cell>
          <cell r="AB1260" t="str">
            <v>No</v>
          </cell>
          <cell r="AC1260" t="str">
            <v>19/12/2014</v>
          </cell>
          <cell r="AD1260" t="str">
            <v>Good</v>
          </cell>
          <cell r="AE1260" t="str">
            <v>V3 - Added Installed Facilities (New)</v>
          </cell>
          <cell r="AF1260">
            <v>42797</v>
          </cell>
          <cell r="AG1260">
            <v>5.92</v>
          </cell>
          <cell r="AH1260" t="str">
            <v>PPM</v>
          </cell>
          <cell r="AI1260" t="str">
            <v>Strands</v>
          </cell>
          <cell r="AJ1260" t="str">
            <v>Strands PW</v>
          </cell>
        </row>
        <row r="1261">
          <cell r="A1261" t="str">
            <v>IKN400879</v>
          </cell>
          <cell r="B1261">
            <v>878</v>
          </cell>
          <cell r="C1261" t="str">
            <v>Institut Kanser Negara</v>
          </cell>
          <cell r="D1261" t="str">
            <v>KKM/IKN/H/13/342</v>
          </cell>
          <cell r="E1261" t="str">
            <v>12-873</v>
          </cell>
          <cell r="F1261" t="str">
            <v>Concentrators, Oxygen</v>
          </cell>
          <cell r="G1261" t="str">
            <v>PC</v>
          </cell>
          <cell r="H1261" t="str">
            <v>PALLIATIVE CARE UNIT</v>
          </cell>
          <cell r="I1261" t="str">
            <v>04PC109</v>
          </cell>
          <cell r="J1261" t="str">
            <v>GEN. STORE</v>
          </cell>
          <cell r="K1261" t="str">
            <v>BMED</v>
          </cell>
          <cell r="L1261" t="str">
            <v>Critical</v>
          </cell>
          <cell r="M1261" t="str">
            <v>USA</v>
          </cell>
          <cell r="N1261" t="str">
            <v>EverFlo</v>
          </cell>
          <cell r="O1261" t="str">
            <v>EverFlo</v>
          </cell>
          <cell r="P1261" t="str">
            <v>0018690</v>
          </cell>
          <cell r="Q1261" t="str">
            <v>Not Applicable</v>
          </cell>
          <cell r="R1261" t="str">
            <v>Respironics</v>
          </cell>
          <cell r="S1261" t="str">
            <v>TDC Ent</v>
          </cell>
          <cell r="T1261" t="str">
            <v>Functioning</v>
          </cell>
          <cell r="U1261" t="str">
            <v>Asset</v>
          </cell>
          <cell r="V1261">
            <v>5000</v>
          </cell>
          <cell r="W1261" t="str">
            <v>KEW</v>
          </cell>
          <cell r="X1261" t="str">
            <v>11/12/2013</v>
          </cell>
          <cell r="Y1261" t="str">
            <v>KEW</v>
          </cell>
          <cell r="Z1261" t="str">
            <v>19/12/2013</v>
          </cell>
          <cell r="AA1261" t="str">
            <v>18/12/2015</v>
          </cell>
          <cell r="AB1261" t="str">
            <v>No</v>
          </cell>
          <cell r="AC1261" t="str">
            <v>19/12/2013</v>
          </cell>
          <cell r="AD1261" t="str">
            <v>Good</v>
          </cell>
          <cell r="AE1261" t="str">
            <v>V3 - Added Installed Facilities (New)</v>
          </cell>
          <cell r="AF1261">
            <v>42678</v>
          </cell>
          <cell r="AG1261">
            <v>5.92</v>
          </cell>
          <cell r="AH1261" t="str">
            <v>PPM</v>
          </cell>
          <cell r="AI1261" t="str">
            <v>Strands</v>
          </cell>
          <cell r="AJ1261" t="str">
            <v>Strands PW</v>
          </cell>
        </row>
        <row r="1262">
          <cell r="A1262" t="str">
            <v>IKN400880</v>
          </cell>
          <cell r="B1262">
            <v>879</v>
          </cell>
          <cell r="C1262" t="str">
            <v>Institut Kanser Negara</v>
          </cell>
          <cell r="D1262" t="str">
            <v>KKM/IKN/H/14/98</v>
          </cell>
          <cell r="E1262" t="str">
            <v>18-265</v>
          </cell>
          <cell r="F1262" t="str">
            <v>Centrifuges, Tabletop, Low-Speed, Refrigerated</v>
          </cell>
          <cell r="G1262" t="str">
            <v>DO</v>
          </cell>
          <cell r="H1262" t="str">
            <v>DAY ONCOLOGY UNIT</v>
          </cell>
          <cell r="I1262" t="str">
            <v>04DO114</v>
          </cell>
          <cell r="J1262" t="str">
            <v>RESEARCH</v>
          </cell>
          <cell r="K1262" t="str">
            <v>BMED</v>
          </cell>
          <cell r="L1262" t="str">
            <v>Critical</v>
          </cell>
          <cell r="M1262" t="str">
            <v>Japan</v>
          </cell>
          <cell r="N1262" t="str">
            <v>Kubota</v>
          </cell>
          <cell r="O1262" t="str">
            <v>Kubota 5500</v>
          </cell>
          <cell r="P1262" t="str">
            <v>Q60325</v>
          </cell>
          <cell r="Q1262" t="str">
            <v>Not Applicable</v>
          </cell>
          <cell r="R1262" t="str">
            <v>Kubota Corp</v>
          </cell>
          <cell r="S1262" t="str">
            <v>Bumi Jiwa Sdn. Bhd.</v>
          </cell>
          <cell r="T1262" t="str">
            <v>Functioning</v>
          </cell>
          <cell r="U1262" t="str">
            <v>Asset</v>
          </cell>
          <cell r="V1262">
            <v>35000</v>
          </cell>
          <cell r="W1262" t="str">
            <v>KEW</v>
          </cell>
          <cell r="X1262" t="str">
            <v>03/10/2014</v>
          </cell>
          <cell r="Y1262" t="str">
            <v>KEW</v>
          </cell>
          <cell r="Z1262" t="str">
            <v>27/11/2014</v>
          </cell>
          <cell r="AA1262" t="str">
            <v>26/11/2015</v>
          </cell>
          <cell r="AB1262" t="str">
            <v>No</v>
          </cell>
          <cell r="AC1262" t="str">
            <v>27/11/2014</v>
          </cell>
          <cell r="AD1262" t="str">
            <v>Good</v>
          </cell>
          <cell r="AE1262" t="str">
            <v>V3 - Added Installed Facilities (New)</v>
          </cell>
          <cell r="AF1262">
            <v>43060</v>
          </cell>
          <cell r="AG1262">
            <v>5.08</v>
          </cell>
          <cell r="AH1262" t="str">
            <v>PPM</v>
          </cell>
          <cell r="AI1262" t="str">
            <v>Strands</v>
          </cell>
          <cell r="AJ1262" t="str">
            <v>Strands PW</v>
          </cell>
          <cell r="AK1262" t="str">
            <v>SNF received. 1st batch of V3 asset (December 2020)</v>
          </cell>
        </row>
        <row r="1263">
          <cell r="A1263" t="str">
            <v>IKN400881</v>
          </cell>
          <cell r="B1263">
            <v>880</v>
          </cell>
          <cell r="C1263" t="str">
            <v>Institut Kanser Negara</v>
          </cell>
          <cell r="D1263" t="str">
            <v>KKM/IKN/H/13/1611</v>
          </cell>
          <cell r="E1263" t="str">
            <v>16-173</v>
          </cell>
          <cell r="F1263" t="str">
            <v>Sphygmomanometers, Electronic, Automatic</v>
          </cell>
          <cell r="G1263" t="str">
            <v>OC</v>
          </cell>
          <cell r="H1263" t="str">
            <v>ONCOLOGY CLINIC</v>
          </cell>
          <cell r="I1263" t="str">
            <v>03OC133</v>
          </cell>
          <cell r="J1263" t="str">
            <v>ASSESSMENT</v>
          </cell>
          <cell r="K1263" t="str">
            <v>BMED</v>
          </cell>
          <cell r="L1263" t="str">
            <v>Normal</v>
          </cell>
          <cell r="M1263" t="str">
            <v>USA</v>
          </cell>
          <cell r="N1263" t="str">
            <v>Connex</v>
          </cell>
          <cell r="O1263" t="str">
            <v>Connex ProBP 3400</v>
          </cell>
          <cell r="P1263" t="str">
            <v>100001700613</v>
          </cell>
          <cell r="Q1263" t="str">
            <v>Not Applicable</v>
          </cell>
          <cell r="R1263" t="str">
            <v>Welch Allyn Inc</v>
          </cell>
          <cell r="S1263" t="str">
            <v>Welch Allyn Malaysia Sdn Bhd</v>
          </cell>
          <cell r="T1263" t="str">
            <v>Functioning</v>
          </cell>
          <cell r="U1263" t="str">
            <v>Asset</v>
          </cell>
          <cell r="V1263">
            <v>4510</v>
          </cell>
          <cell r="W1263" t="str">
            <v>KEW</v>
          </cell>
          <cell r="X1263" t="str">
            <v>01/09/2010</v>
          </cell>
          <cell r="Y1263" t="str">
            <v>KEW</v>
          </cell>
          <cell r="Z1263" t="str">
            <v>16/08/2013</v>
          </cell>
          <cell r="AA1263" t="str">
            <v>15/08/2015</v>
          </cell>
          <cell r="AB1263" t="str">
            <v>No</v>
          </cell>
          <cell r="AC1263" t="str">
            <v>31/08/2013</v>
          </cell>
          <cell r="AD1263" t="str">
            <v>Good</v>
          </cell>
          <cell r="AE1263" t="str">
            <v>V1 - Existing / No Claim</v>
          </cell>
          <cell r="AF1263">
            <v>42235</v>
          </cell>
          <cell r="AG1263">
            <v>9.17</v>
          </cell>
          <cell r="AH1263" t="str">
            <v>PPM</v>
          </cell>
          <cell r="AI1263" t="str">
            <v>Strands</v>
          </cell>
          <cell r="AJ1263" t="str">
            <v>Strands PW</v>
          </cell>
        </row>
        <row r="1264">
          <cell r="A1264" t="str">
            <v>IKN400882</v>
          </cell>
          <cell r="B1264">
            <v>881</v>
          </cell>
          <cell r="C1264" t="str">
            <v>Institut Kanser Negara</v>
          </cell>
          <cell r="D1264" t="str">
            <v>KKM/IKN/H/13/558</v>
          </cell>
          <cell r="E1264" t="str">
            <v>16-173</v>
          </cell>
          <cell r="F1264" t="str">
            <v>Sphygmomanometers, Electronic, Automatic</v>
          </cell>
          <cell r="G1264" t="str">
            <v>OC</v>
          </cell>
          <cell r="H1264" t="str">
            <v>ONCOLOGY CLINIC</v>
          </cell>
          <cell r="I1264" t="str">
            <v>03OC133</v>
          </cell>
          <cell r="J1264" t="str">
            <v>ASSESSMENT</v>
          </cell>
          <cell r="K1264" t="str">
            <v>BMED</v>
          </cell>
          <cell r="L1264" t="str">
            <v>Critical</v>
          </cell>
          <cell r="M1264" t="str">
            <v>Mexico</v>
          </cell>
          <cell r="N1264" t="str">
            <v>Carespace</v>
          </cell>
          <cell r="O1264" t="str">
            <v>Carescape V100</v>
          </cell>
          <cell r="P1264" t="str">
            <v>SH612390055SA</v>
          </cell>
          <cell r="Q1264" t="str">
            <v>Not Applicable</v>
          </cell>
          <cell r="R1264" t="str">
            <v>GE Healthcare Systems</v>
          </cell>
          <cell r="S1264" t="str">
            <v>GE Healthcare Technologies</v>
          </cell>
          <cell r="T1264" t="str">
            <v>Functioning</v>
          </cell>
          <cell r="U1264" t="str">
            <v>Asset</v>
          </cell>
          <cell r="V1264">
            <v>7770</v>
          </cell>
          <cell r="W1264" t="str">
            <v>KEW</v>
          </cell>
          <cell r="X1264" t="str">
            <v>01/09/2010</v>
          </cell>
          <cell r="Y1264" t="str">
            <v>KEW</v>
          </cell>
          <cell r="Z1264" t="str">
            <v>16/08/2013</v>
          </cell>
          <cell r="AA1264" t="str">
            <v>15/08/2015</v>
          </cell>
          <cell r="AB1264" t="str">
            <v>No</v>
          </cell>
          <cell r="AC1264" t="str">
            <v>31/08/2013</v>
          </cell>
          <cell r="AD1264" t="str">
            <v>Good</v>
          </cell>
          <cell r="AE1264" t="str">
            <v>V1 - Existing / No Claim</v>
          </cell>
          <cell r="AF1264">
            <v>42802</v>
          </cell>
          <cell r="AG1264">
            <v>9.17</v>
          </cell>
          <cell r="AH1264" t="str">
            <v>PPM</v>
          </cell>
          <cell r="AI1264" t="str">
            <v>Strands</v>
          </cell>
          <cell r="AJ1264" t="str">
            <v>Strands PW</v>
          </cell>
        </row>
        <row r="1265">
          <cell r="A1265" t="str">
            <v>IKN400883</v>
          </cell>
          <cell r="B1265">
            <v>882</v>
          </cell>
          <cell r="C1265" t="str">
            <v>Institut Kanser Negara</v>
          </cell>
          <cell r="D1265" t="e">
            <v>#N/A</v>
          </cell>
          <cell r="E1265" t="str">
            <v>11-134</v>
          </cell>
          <cell r="F1265" t="str">
            <v>Defibrillators, External, Manual</v>
          </cell>
          <cell r="G1265" t="str">
            <v>OC</v>
          </cell>
          <cell r="H1265" t="str">
            <v>ONCOLOGY CLINIC</v>
          </cell>
          <cell r="I1265" t="str">
            <v>03OC133</v>
          </cell>
          <cell r="J1265" t="str">
            <v>ASSESSMENT</v>
          </cell>
          <cell r="K1265" t="str">
            <v>BMED</v>
          </cell>
          <cell r="L1265" t="str">
            <v>Critical</v>
          </cell>
          <cell r="M1265" t="str">
            <v>USA</v>
          </cell>
          <cell r="N1265" t="str">
            <v>Responder</v>
          </cell>
          <cell r="O1265" t="str">
            <v>Responder 2000</v>
          </cell>
          <cell r="P1265" t="str">
            <v>3206727</v>
          </cell>
          <cell r="Q1265" t="str">
            <v>Not Applicable</v>
          </cell>
          <cell r="R1265" t="str">
            <v>GE Medical Systems</v>
          </cell>
          <cell r="S1265" t="str">
            <v>Antah Sir Radin Sdn. Bhd.</v>
          </cell>
          <cell r="T1265" t="str">
            <v>Functioning</v>
          </cell>
          <cell r="U1265" t="str">
            <v>Asset</v>
          </cell>
          <cell r="V1265">
            <v>45000</v>
          </cell>
          <cell r="W1265" t="str">
            <v>Estimate</v>
          </cell>
          <cell r="X1265" t="str">
            <v>01/09/2010</v>
          </cell>
          <cell r="Y1265" t="str">
            <v>KEW</v>
          </cell>
          <cell r="Z1265" t="str">
            <v>16/08/2013</v>
          </cell>
          <cell r="AA1265" t="str">
            <v>15/08/2015</v>
          </cell>
          <cell r="AB1265" t="str">
            <v>No</v>
          </cell>
          <cell r="AC1265" t="str">
            <v>31/08/2013</v>
          </cell>
          <cell r="AD1265" t="str">
            <v>Good</v>
          </cell>
          <cell r="AE1265" t="str">
            <v>V1 - Existing / No Claim</v>
          </cell>
          <cell r="AF1265">
            <v>42605</v>
          </cell>
          <cell r="AG1265">
            <v>9.17</v>
          </cell>
          <cell r="AH1265" t="str">
            <v>PPM</v>
          </cell>
          <cell r="AI1265" t="str">
            <v>Strands</v>
          </cell>
          <cell r="AJ1265" t="str">
            <v>Strands PW</v>
          </cell>
          <cell r="AK1265" t="str">
            <v>Crash Trolley (FEMS)</v>
          </cell>
        </row>
        <row r="1266">
          <cell r="A1266" t="str">
            <v>IKN400890</v>
          </cell>
          <cell r="B1266">
            <v>889</v>
          </cell>
          <cell r="C1266" t="str">
            <v>Institut Kanser Negara</v>
          </cell>
          <cell r="D1266" t="str">
            <v>KKM/IKN/H/13/1576</v>
          </cell>
          <cell r="E1266" t="str">
            <v>12-282</v>
          </cell>
          <cell r="F1266" t="str">
            <v>Lights, Surgical</v>
          </cell>
          <cell r="G1266" t="str">
            <v>OC</v>
          </cell>
          <cell r="H1266" t="str">
            <v>ONCOLOGY CLINIC</v>
          </cell>
          <cell r="I1266" t="str">
            <v>03OC104</v>
          </cell>
          <cell r="J1266" t="str">
            <v>C/E 7</v>
          </cell>
          <cell r="K1266" t="str">
            <v>BMED</v>
          </cell>
          <cell r="L1266" t="str">
            <v>Critical</v>
          </cell>
          <cell r="M1266" t="str">
            <v>USA</v>
          </cell>
          <cell r="N1266" t="str">
            <v>Welch Allyn</v>
          </cell>
          <cell r="O1266" t="str">
            <v>Welch Allyn GS600</v>
          </cell>
          <cell r="P1266" t="str">
            <v>GS-600-19</v>
          </cell>
          <cell r="Q1266" t="str">
            <v>Not Applicable</v>
          </cell>
          <cell r="R1266" t="str">
            <v>Welch Allyn Inc</v>
          </cell>
          <cell r="S1266" t="str">
            <v>Welch Allyn Malaysia Sdn Bhd</v>
          </cell>
          <cell r="T1266" t="str">
            <v>Functioning</v>
          </cell>
          <cell r="U1266" t="str">
            <v>Asset</v>
          </cell>
          <cell r="V1266">
            <v>5050</v>
          </cell>
          <cell r="W1266" t="str">
            <v>KEW</v>
          </cell>
          <cell r="X1266" t="str">
            <v>01/09/2010</v>
          </cell>
          <cell r="Y1266" t="str">
            <v>KEW</v>
          </cell>
          <cell r="Z1266" t="str">
            <v>16/08/2013</v>
          </cell>
          <cell r="AA1266" t="str">
            <v>15/08/2015</v>
          </cell>
          <cell r="AB1266" t="str">
            <v>No</v>
          </cell>
          <cell r="AC1266" t="str">
            <v>31/08/2013</v>
          </cell>
          <cell r="AD1266" t="str">
            <v>Good</v>
          </cell>
          <cell r="AE1266" t="str">
            <v>V1 - Existing / No Claim</v>
          </cell>
          <cell r="AF1266">
            <v>42797</v>
          </cell>
          <cell r="AG1266">
            <v>9.17</v>
          </cell>
          <cell r="AH1266" t="str">
            <v>PPM</v>
          </cell>
          <cell r="AI1266" t="str">
            <v>Strands</v>
          </cell>
          <cell r="AJ1266" t="str">
            <v>Strands PW</v>
          </cell>
        </row>
        <row r="1267">
          <cell r="A1267" t="str">
            <v>IKN400891</v>
          </cell>
          <cell r="B1267">
            <v>890</v>
          </cell>
          <cell r="C1267" t="str">
            <v>Institut Kanser Negara</v>
          </cell>
          <cell r="D1267" t="str">
            <v>KKM/IKN/H/13/1359</v>
          </cell>
          <cell r="E1267" t="str">
            <v>12-282</v>
          </cell>
          <cell r="F1267" t="str">
            <v>Lights, Surgical</v>
          </cell>
          <cell r="G1267" t="str">
            <v>OC</v>
          </cell>
          <cell r="H1267" t="str">
            <v>ONCOLOGY CLINIC</v>
          </cell>
          <cell r="I1267" t="str">
            <v>03OC105</v>
          </cell>
          <cell r="J1267" t="str">
            <v>C/E 8</v>
          </cell>
          <cell r="K1267" t="str">
            <v>BMED</v>
          </cell>
          <cell r="L1267" t="str">
            <v>Critical</v>
          </cell>
          <cell r="M1267" t="str">
            <v>USA</v>
          </cell>
          <cell r="N1267" t="str">
            <v>Welch Allyn</v>
          </cell>
          <cell r="O1267" t="str">
            <v>Welch Allyn GS600</v>
          </cell>
          <cell r="P1267" t="str">
            <v>GS-600-20</v>
          </cell>
          <cell r="Q1267" t="str">
            <v>Not Applicable</v>
          </cell>
          <cell r="R1267" t="str">
            <v>Welch Allyn Inc</v>
          </cell>
          <cell r="S1267" t="str">
            <v>Welch Allyn Malaysia Sdn Bhd</v>
          </cell>
          <cell r="T1267" t="str">
            <v>Functioning</v>
          </cell>
          <cell r="U1267" t="str">
            <v>Asset</v>
          </cell>
          <cell r="V1267">
            <v>5050</v>
          </cell>
          <cell r="W1267" t="str">
            <v>KEW</v>
          </cell>
          <cell r="X1267" t="str">
            <v>01/09/2010</v>
          </cell>
          <cell r="Y1267" t="str">
            <v>KEW</v>
          </cell>
          <cell r="Z1267" t="str">
            <v>16/08/2013</v>
          </cell>
          <cell r="AA1267" t="str">
            <v>15/08/2015</v>
          </cell>
          <cell r="AB1267" t="str">
            <v>No</v>
          </cell>
          <cell r="AC1267" t="str">
            <v>31/08/2013</v>
          </cell>
          <cell r="AD1267" t="str">
            <v>Good</v>
          </cell>
          <cell r="AE1267" t="str">
            <v>V1 - Existing / No Claim</v>
          </cell>
          <cell r="AF1267">
            <v>42802</v>
          </cell>
          <cell r="AG1267">
            <v>9.17</v>
          </cell>
          <cell r="AH1267" t="str">
            <v>PPM</v>
          </cell>
          <cell r="AI1267" t="str">
            <v>Strands</v>
          </cell>
          <cell r="AJ1267" t="str">
            <v>Strands PW</v>
          </cell>
        </row>
        <row r="1268">
          <cell r="A1268" t="str">
            <v>IKN400892</v>
          </cell>
          <cell r="B1268">
            <v>891</v>
          </cell>
          <cell r="C1268" t="str">
            <v>Institut Kanser Negara</v>
          </cell>
          <cell r="D1268" t="str">
            <v>KKM/IKN/H/13/754</v>
          </cell>
          <cell r="E1268" t="str">
            <v>12-282</v>
          </cell>
          <cell r="F1268" t="str">
            <v>Lights, Surgical</v>
          </cell>
          <cell r="G1268" t="str">
            <v>OC</v>
          </cell>
          <cell r="H1268" t="str">
            <v>ONCOLOGY CLINIC</v>
          </cell>
          <cell r="I1268" t="str">
            <v>03OC106</v>
          </cell>
          <cell r="J1268" t="str">
            <v>C/E 9</v>
          </cell>
          <cell r="K1268" t="str">
            <v>BMED</v>
          </cell>
          <cell r="L1268" t="str">
            <v>Critical</v>
          </cell>
          <cell r="M1268" t="str">
            <v>USA</v>
          </cell>
          <cell r="N1268" t="str">
            <v>Welch Allyn</v>
          </cell>
          <cell r="O1268" t="str">
            <v>Welch Allyn GS600</v>
          </cell>
          <cell r="P1268" t="str">
            <v>GS-600-21</v>
          </cell>
          <cell r="Q1268" t="str">
            <v>Not Applicable</v>
          </cell>
          <cell r="R1268" t="str">
            <v>Welch Allyn Inc</v>
          </cell>
          <cell r="S1268" t="str">
            <v>Welch Allyn Malaysia Sdn Bhd</v>
          </cell>
          <cell r="T1268" t="str">
            <v>Functioning</v>
          </cell>
          <cell r="U1268" t="str">
            <v>Asset</v>
          </cell>
          <cell r="V1268">
            <v>5050</v>
          </cell>
          <cell r="W1268" t="str">
            <v>KEW</v>
          </cell>
          <cell r="X1268" t="str">
            <v>01/09/2010</v>
          </cell>
          <cell r="Y1268" t="str">
            <v>KEW</v>
          </cell>
          <cell r="Z1268" t="str">
            <v>16/08/2013</v>
          </cell>
          <cell r="AA1268" t="str">
            <v>15/08/2015</v>
          </cell>
          <cell r="AB1268" t="str">
            <v>No</v>
          </cell>
          <cell r="AC1268" t="str">
            <v>31/08/2013</v>
          </cell>
          <cell r="AD1268" t="str">
            <v>Good</v>
          </cell>
          <cell r="AE1268" t="str">
            <v>V1 - Existing / No Claim</v>
          </cell>
          <cell r="AF1268">
            <v>42802</v>
          </cell>
          <cell r="AG1268">
            <v>9.17</v>
          </cell>
          <cell r="AH1268" t="str">
            <v>PPM</v>
          </cell>
          <cell r="AI1268" t="str">
            <v>Strands</v>
          </cell>
          <cell r="AJ1268" t="str">
            <v>Strands PW</v>
          </cell>
        </row>
        <row r="1269">
          <cell r="A1269" t="str">
            <v>IKN400893</v>
          </cell>
          <cell r="B1269">
            <v>892</v>
          </cell>
          <cell r="C1269" t="str">
            <v>Institut Kanser Negara</v>
          </cell>
          <cell r="D1269" t="str">
            <v>KKM/IKN/H/13/755</v>
          </cell>
          <cell r="E1269" t="str">
            <v>12-282</v>
          </cell>
          <cell r="F1269" t="str">
            <v>Lights, Surgical</v>
          </cell>
          <cell r="G1269" t="str">
            <v>OC</v>
          </cell>
          <cell r="H1269" t="str">
            <v>ONCOLOGY CLINIC</v>
          </cell>
          <cell r="I1269" t="str">
            <v>03OC107</v>
          </cell>
          <cell r="J1269" t="str">
            <v>C/E 10</v>
          </cell>
          <cell r="K1269" t="str">
            <v>BMED</v>
          </cell>
          <cell r="L1269" t="str">
            <v>Critical</v>
          </cell>
          <cell r="M1269" t="str">
            <v>USA</v>
          </cell>
          <cell r="N1269" t="str">
            <v>Welch Allyn</v>
          </cell>
          <cell r="O1269" t="str">
            <v>Welch Allyn GS600</v>
          </cell>
          <cell r="P1269" t="str">
            <v>GS-600-22</v>
          </cell>
          <cell r="Q1269" t="str">
            <v>Not Applicable</v>
          </cell>
          <cell r="R1269" t="str">
            <v>Welch Allyn Inc</v>
          </cell>
          <cell r="S1269" t="str">
            <v>Welch Allyn Malaysia Sdn Bhd</v>
          </cell>
          <cell r="T1269" t="str">
            <v>Functioning</v>
          </cell>
          <cell r="U1269" t="str">
            <v>Asset</v>
          </cell>
          <cell r="V1269">
            <v>5050</v>
          </cell>
          <cell r="W1269" t="str">
            <v>KEW</v>
          </cell>
          <cell r="X1269" t="str">
            <v>01/09/2010</v>
          </cell>
          <cell r="Y1269" t="str">
            <v>KEW</v>
          </cell>
          <cell r="Z1269" t="str">
            <v>16/08/2013</v>
          </cell>
          <cell r="AA1269" t="str">
            <v>15/08/2015</v>
          </cell>
          <cell r="AB1269" t="str">
            <v>No</v>
          </cell>
          <cell r="AC1269" t="str">
            <v>31/08/2013</v>
          </cell>
          <cell r="AD1269" t="str">
            <v>Good</v>
          </cell>
          <cell r="AE1269" t="str">
            <v>V1 - Existing / No Claim</v>
          </cell>
          <cell r="AF1269">
            <v>42802</v>
          </cell>
          <cell r="AG1269">
            <v>9.17</v>
          </cell>
          <cell r="AH1269" t="str">
            <v>PPM</v>
          </cell>
          <cell r="AI1269" t="str">
            <v>Strands</v>
          </cell>
          <cell r="AJ1269" t="str">
            <v>Strands PW</v>
          </cell>
        </row>
        <row r="1270">
          <cell r="A1270" t="str">
            <v>IKN400894</v>
          </cell>
          <cell r="B1270">
            <v>893</v>
          </cell>
          <cell r="C1270" t="str">
            <v>Institut Kanser Negara</v>
          </cell>
          <cell r="D1270" t="str">
            <v>KKM/IKN/H/13/791</v>
          </cell>
          <cell r="E1270" t="str">
            <v>12-282</v>
          </cell>
          <cell r="F1270" t="str">
            <v>Lights, Surgical</v>
          </cell>
          <cell r="G1270" t="str">
            <v>OC</v>
          </cell>
          <cell r="H1270" t="str">
            <v>ONCOLOGY CLINIC</v>
          </cell>
          <cell r="I1270" t="str">
            <v>03OC108</v>
          </cell>
          <cell r="J1270" t="str">
            <v>C/E 11</v>
          </cell>
          <cell r="K1270" t="str">
            <v>BMED</v>
          </cell>
          <cell r="L1270" t="str">
            <v>Normal</v>
          </cell>
          <cell r="M1270" t="str">
            <v>USA</v>
          </cell>
          <cell r="N1270" t="str">
            <v>Welch Allyn</v>
          </cell>
          <cell r="O1270" t="str">
            <v>Welch Allyn GS600</v>
          </cell>
          <cell r="P1270" t="str">
            <v>GS-600-23</v>
          </cell>
          <cell r="Q1270" t="str">
            <v>Not Applicable</v>
          </cell>
          <cell r="R1270" t="str">
            <v>Welch Allyn Inc</v>
          </cell>
          <cell r="S1270" t="str">
            <v>Welch Allyn Malaysia Sdn Bhd</v>
          </cell>
          <cell r="T1270" t="str">
            <v>Functioning</v>
          </cell>
          <cell r="U1270" t="str">
            <v>Asset</v>
          </cell>
          <cell r="V1270">
            <v>5050</v>
          </cell>
          <cell r="W1270" t="str">
            <v>KEW</v>
          </cell>
          <cell r="X1270" t="str">
            <v>01/09/2010</v>
          </cell>
          <cell r="Y1270" t="str">
            <v>KEW</v>
          </cell>
          <cell r="Z1270" t="str">
            <v>16/08/2013</v>
          </cell>
          <cell r="AA1270" t="str">
            <v>15/08/2015</v>
          </cell>
          <cell r="AB1270" t="str">
            <v>No</v>
          </cell>
          <cell r="AC1270" t="str">
            <v>31/08/2013</v>
          </cell>
          <cell r="AD1270" t="str">
            <v>Good</v>
          </cell>
          <cell r="AE1270" t="str">
            <v>V1 - Existing / No Claim</v>
          </cell>
          <cell r="AF1270">
            <v>42235</v>
          </cell>
          <cell r="AG1270">
            <v>9.17</v>
          </cell>
          <cell r="AH1270" t="str">
            <v>PPM</v>
          </cell>
          <cell r="AI1270" t="str">
            <v>Strands</v>
          </cell>
          <cell r="AJ1270" t="str">
            <v>Strands PW</v>
          </cell>
        </row>
        <row r="1271">
          <cell r="A1271" t="str">
            <v>IKN400895</v>
          </cell>
          <cell r="B1271">
            <v>894</v>
          </cell>
          <cell r="C1271" t="str">
            <v>Institut Kanser Negara</v>
          </cell>
          <cell r="D1271" t="str">
            <v>KKM/IKN/H/13/756</v>
          </cell>
          <cell r="E1271" t="str">
            <v>12-282</v>
          </cell>
          <cell r="F1271" t="str">
            <v>Lights, Surgical</v>
          </cell>
          <cell r="G1271" t="str">
            <v>OC</v>
          </cell>
          <cell r="H1271" t="str">
            <v>ONCOLOGY CLINIC</v>
          </cell>
          <cell r="I1271" t="str">
            <v>03OC109</v>
          </cell>
          <cell r="J1271" t="str">
            <v>C/E 1 (VIP)</v>
          </cell>
          <cell r="K1271" t="str">
            <v>BMED</v>
          </cell>
          <cell r="L1271" t="str">
            <v>Normal</v>
          </cell>
          <cell r="M1271" t="str">
            <v>USA</v>
          </cell>
          <cell r="N1271" t="str">
            <v>Welch Allyn</v>
          </cell>
          <cell r="O1271" t="str">
            <v>Welch Allyn GS600</v>
          </cell>
          <cell r="P1271" t="str">
            <v>GS-600-24</v>
          </cell>
          <cell r="Q1271" t="str">
            <v>Not Applicable</v>
          </cell>
          <cell r="R1271" t="str">
            <v>Welch Allyn Inc</v>
          </cell>
          <cell r="S1271" t="str">
            <v>Welch Allyn Malaysia Sdn Bhd</v>
          </cell>
          <cell r="T1271" t="str">
            <v>Functioning</v>
          </cell>
          <cell r="U1271" t="str">
            <v>Asset</v>
          </cell>
          <cell r="V1271">
            <v>5050</v>
          </cell>
          <cell r="W1271" t="str">
            <v>KEW</v>
          </cell>
          <cell r="X1271" t="str">
            <v>01/09/2010</v>
          </cell>
          <cell r="Y1271" t="str">
            <v>KEW</v>
          </cell>
          <cell r="Z1271" t="str">
            <v>16/08/2013</v>
          </cell>
          <cell r="AA1271" t="str">
            <v>15/08/2015</v>
          </cell>
          <cell r="AB1271" t="str">
            <v>No</v>
          </cell>
          <cell r="AC1271" t="str">
            <v>31/08/2013</v>
          </cell>
          <cell r="AD1271" t="str">
            <v>Good</v>
          </cell>
          <cell r="AE1271" t="str">
            <v>V1 - Existing / No Claim</v>
          </cell>
          <cell r="AF1271">
            <v>42235</v>
          </cell>
          <cell r="AG1271">
            <v>9.17</v>
          </cell>
          <cell r="AH1271" t="str">
            <v>PPM</v>
          </cell>
          <cell r="AI1271" t="str">
            <v>Strands</v>
          </cell>
          <cell r="AJ1271" t="str">
            <v>Strands PW</v>
          </cell>
        </row>
        <row r="1272">
          <cell r="A1272" t="str">
            <v>IKN400896</v>
          </cell>
          <cell r="B1272">
            <v>895</v>
          </cell>
          <cell r="C1272" t="str">
            <v>Institut Kanser Negara</v>
          </cell>
          <cell r="D1272" t="str">
            <v>KKM/IKN/H/13/1361</v>
          </cell>
          <cell r="E1272" t="str">
            <v>12-282</v>
          </cell>
          <cell r="F1272" t="str">
            <v>Lights, Surgical</v>
          </cell>
          <cell r="G1272" t="str">
            <v>OC</v>
          </cell>
          <cell r="H1272" t="str">
            <v>ONCOLOGY CLINIC</v>
          </cell>
          <cell r="I1272" t="str">
            <v>03OC117</v>
          </cell>
          <cell r="J1272" t="str">
            <v>C/E 6</v>
          </cell>
          <cell r="K1272" t="str">
            <v>BMED</v>
          </cell>
          <cell r="L1272" t="str">
            <v>Critical</v>
          </cell>
          <cell r="M1272" t="str">
            <v>USA</v>
          </cell>
          <cell r="N1272" t="str">
            <v>Welch Allyn</v>
          </cell>
          <cell r="O1272" t="str">
            <v>Welch Allyn GS600</v>
          </cell>
          <cell r="P1272" t="str">
            <v>GS-600-25</v>
          </cell>
          <cell r="Q1272" t="str">
            <v>Not Applicable</v>
          </cell>
          <cell r="R1272" t="str">
            <v>Welch Allyn Inc</v>
          </cell>
          <cell r="S1272" t="str">
            <v>Welch Allyn Malaysia Sdn Bhd</v>
          </cell>
          <cell r="T1272" t="str">
            <v>Functioning</v>
          </cell>
          <cell r="U1272" t="str">
            <v>Asset</v>
          </cell>
          <cell r="V1272">
            <v>5050</v>
          </cell>
          <cell r="W1272" t="str">
            <v>KEW</v>
          </cell>
          <cell r="X1272" t="str">
            <v>01/09/2010</v>
          </cell>
          <cell r="Y1272" t="str">
            <v>KEW</v>
          </cell>
          <cell r="Z1272" t="str">
            <v>16/08/2013</v>
          </cell>
          <cell r="AA1272" t="str">
            <v>15/08/2015</v>
          </cell>
          <cell r="AB1272" t="str">
            <v>No</v>
          </cell>
          <cell r="AC1272" t="str">
            <v>31/08/2013</v>
          </cell>
          <cell r="AD1272" t="str">
            <v>Good</v>
          </cell>
          <cell r="AE1272" t="str">
            <v>V1 - Existing / No Claim</v>
          </cell>
          <cell r="AF1272">
            <v>42802</v>
          </cell>
          <cell r="AG1272">
            <v>9.17</v>
          </cell>
          <cell r="AH1272" t="str">
            <v>PPM</v>
          </cell>
          <cell r="AI1272" t="str">
            <v>Strands</v>
          </cell>
          <cell r="AJ1272" t="str">
            <v>Strands PW</v>
          </cell>
        </row>
        <row r="1273">
          <cell r="A1273" t="str">
            <v>IKN400897</v>
          </cell>
          <cell r="B1273">
            <v>896</v>
          </cell>
          <cell r="C1273" t="str">
            <v>Institut Kanser Negara</v>
          </cell>
          <cell r="D1273" t="str">
            <v>KKM/IKN/H/13/757</v>
          </cell>
          <cell r="E1273" t="str">
            <v>12-282</v>
          </cell>
          <cell r="F1273" t="str">
            <v>Lights, Surgical</v>
          </cell>
          <cell r="G1273" t="str">
            <v>OC</v>
          </cell>
          <cell r="H1273" t="str">
            <v>ONCOLOGY CLINIC</v>
          </cell>
          <cell r="I1273" t="str">
            <v>03OC118</v>
          </cell>
          <cell r="J1273" t="str">
            <v>C/E 5</v>
          </cell>
          <cell r="K1273" t="str">
            <v>BMED</v>
          </cell>
          <cell r="L1273" t="str">
            <v>Critical</v>
          </cell>
          <cell r="M1273" t="str">
            <v>USA</v>
          </cell>
          <cell r="N1273" t="str">
            <v>Welch Allyn</v>
          </cell>
          <cell r="O1273" t="str">
            <v>Welch Allyn GS600</v>
          </cell>
          <cell r="P1273" t="str">
            <v>GS-600-26</v>
          </cell>
          <cell r="Q1273" t="str">
            <v>Not Applicable</v>
          </cell>
          <cell r="R1273" t="str">
            <v>Welch Allyn Inc</v>
          </cell>
          <cell r="S1273" t="str">
            <v>Welch Allyn Malaysia Sdn Bhd</v>
          </cell>
          <cell r="T1273" t="str">
            <v>Functioning</v>
          </cell>
          <cell r="U1273" t="str">
            <v>Asset</v>
          </cell>
          <cell r="V1273">
            <v>5050</v>
          </cell>
          <cell r="W1273" t="str">
            <v>KEW</v>
          </cell>
          <cell r="X1273" t="str">
            <v>01/09/2010</v>
          </cell>
          <cell r="Y1273" t="str">
            <v>KEW</v>
          </cell>
          <cell r="Z1273" t="str">
            <v>16/08/2013</v>
          </cell>
          <cell r="AA1273" t="str">
            <v>15/08/2015</v>
          </cell>
          <cell r="AB1273" t="str">
            <v>No</v>
          </cell>
          <cell r="AC1273" t="str">
            <v>31/08/2013</v>
          </cell>
          <cell r="AD1273" t="str">
            <v>Good</v>
          </cell>
          <cell r="AE1273" t="str">
            <v>V1 - Existing / No Claim</v>
          </cell>
          <cell r="AF1273">
            <v>42802</v>
          </cell>
          <cell r="AG1273">
            <v>9.17</v>
          </cell>
          <cell r="AH1273" t="str">
            <v>PPM</v>
          </cell>
          <cell r="AI1273" t="str">
            <v>Strands</v>
          </cell>
          <cell r="AJ1273" t="str">
            <v>Strands PW</v>
          </cell>
        </row>
        <row r="1274">
          <cell r="A1274" t="str">
            <v>IKN400898</v>
          </cell>
          <cell r="B1274">
            <v>897</v>
          </cell>
          <cell r="C1274" t="str">
            <v>Institut Kanser Negara</v>
          </cell>
          <cell r="D1274" t="str">
            <v>KKM/IKN/H/13/1362</v>
          </cell>
          <cell r="E1274" t="str">
            <v>12-282</v>
          </cell>
          <cell r="F1274" t="str">
            <v>Lights, Surgical</v>
          </cell>
          <cell r="G1274" t="str">
            <v>OC</v>
          </cell>
          <cell r="H1274" t="str">
            <v>ONCOLOGY CLINIC</v>
          </cell>
          <cell r="I1274" t="str">
            <v>03OC119</v>
          </cell>
          <cell r="J1274" t="str">
            <v>C/E 4</v>
          </cell>
          <cell r="K1274" t="str">
            <v>BMED</v>
          </cell>
          <cell r="L1274" t="str">
            <v>Critical</v>
          </cell>
          <cell r="M1274" t="str">
            <v>USA</v>
          </cell>
          <cell r="N1274" t="str">
            <v>Welch Allyn</v>
          </cell>
          <cell r="O1274" t="str">
            <v>Welch Allyn GS600</v>
          </cell>
          <cell r="P1274" t="str">
            <v>GS-600-27</v>
          </cell>
          <cell r="Q1274" t="str">
            <v>Not Applicable</v>
          </cell>
          <cell r="R1274" t="str">
            <v>Welch Allyn Inc</v>
          </cell>
          <cell r="S1274" t="str">
            <v>Welch Allyn Malaysia Sdn Bhd</v>
          </cell>
          <cell r="T1274" t="str">
            <v>Functioning</v>
          </cell>
          <cell r="U1274" t="str">
            <v>Asset</v>
          </cell>
          <cell r="V1274">
            <v>5050</v>
          </cell>
          <cell r="W1274" t="str">
            <v>KEW</v>
          </cell>
          <cell r="X1274" t="str">
            <v>01/09/2010</v>
          </cell>
          <cell r="Y1274" t="str">
            <v>KEW</v>
          </cell>
          <cell r="Z1274" t="str">
            <v>16/08/2013</v>
          </cell>
          <cell r="AA1274" t="str">
            <v>15/08/2015</v>
          </cell>
          <cell r="AB1274" t="str">
            <v>No</v>
          </cell>
          <cell r="AC1274" t="str">
            <v>31/08/2013</v>
          </cell>
          <cell r="AD1274" t="str">
            <v>Good</v>
          </cell>
          <cell r="AE1274" t="str">
            <v>V1 - Existing / No Claim</v>
          </cell>
          <cell r="AF1274">
            <v>42802</v>
          </cell>
          <cell r="AG1274">
            <v>9.17</v>
          </cell>
          <cell r="AH1274" t="str">
            <v>PPM</v>
          </cell>
          <cell r="AI1274" t="str">
            <v>Strands</v>
          </cell>
          <cell r="AJ1274" t="str">
            <v>Strands PW</v>
          </cell>
        </row>
        <row r="1275">
          <cell r="A1275" t="str">
            <v>IKN400899</v>
          </cell>
          <cell r="B1275">
            <v>898</v>
          </cell>
          <cell r="C1275" t="str">
            <v>Institut Kanser Negara</v>
          </cell>
          <cell r="D1275" t="str">
            <v>KKM/IKN/H/13/758</v>
          </cell>
          <cell r="E1275" t="str">
            <v>12-282</v>
          </cell>
          <cell r="F1275" t="str">
            <v>Lights, Surgical</v>
          </cell>
          <cell r="G1275" t="str">
            <v>OC</v>
          </cell>
          <cell r="H1275" t="str">
            <v>ONCOLOGY CLINIC</v>
          </cell>
          <cell r="I1275" t="str">
            <v>03OC120</v>
          </cell>
          <cell r="J1275" t="str">
            <v>C/E 3</v>
          </cell>
          <cell r="K1275" t="str">
            <v>BMED</v>
          </cell>
          <cell r="L1275" t="str">
            <v>Critical</v>
          </cell>
          <cell r="M1275" t="str">
            <v>USA</v>
          </cell>
          <cell r="N1275" t="str">
            <v>Welch Allyn</v>
          </cell>
          <cell r="O1275" t="str">
            <v>Welch Allyn GS600</v>
          </cell>
          <cell r="P1275" t="str">
            <v>GS-600-28</v>
          </cell>
          <cell r="Q1275" t="str">
            <v>Not Applicable</v>
          </cell>
          <cell r="R1275" t="str">
            <v>Welch Allyn Inc</v>
          </cell>
          <cell r="S1275" t="str">
            <v>Welch Allyn Malaysia Sdn Bhd</v>
          </cell>
          <cell r="T1275" t="str">
            <v>Functioning</v>
          </cell>
          <cell r="U1275" t="str">
            <v>Asset</v>
          </cell>
          <cell r="V1275">
            <v>5050</v>
          </cell>
          <cell r="W1275" t="str">
            <v>KEW</v>
          </cell>
          <cell r="X1275" t="str">
            <v>01/09/2010</v>
          </cell>
          <cell r="Y1275" t="str">
            <v>KEW</v>
          </cell>
          <cell r="Z1275" t="str">
            <v>16/08/2013</v>
          </cell>
          <cell r="AA1275" t="str">
            <v>15/08/2015</v>
          </cell>
          <cell r="AB1275" t="str">
            <v>No</v>
          </cell>
          <cell r="AC1275" t="str">
            <v>31/08/2013</v>
          </cell>
          <cell r="AD1275" t="str">
            <v>Good</v>
          </cell>
          <cell r="AE1275" t="str">
            <v>V1 - Existing / No Claim</v>
          </cell>
          <cell r="AF1275">
            <v>42802</v>
          </cell>
          <cell r="AG1275">
            <v>9.17</v>
          </cell>
          <cell r="AH1275" t="str">
            <v>PPM</v>
          </cell>
          <cell r="AI1275" t="str">
            <v>Strands</v>
          </cell>
          <cell r="AJ1275" t="str">
            <v>Strands PW</v>
          </cell>
        </row>
        <row r="1276">
          <cell r="A1276" t="str">
            <v>IKN400900</v>
          </cell>
          <cell r="B1276">
            <v>899</v>
          </cell>
          <cell r="C1276" t="str">
            <v>Institut Kanser Negara</v>
          </cell>
          <cell r="D1276" t="str">
            <v>KKM/IKN/H/13/759</v>
          </cell>
          <cell r="E1276" t="str">
            <v>12-282</v>
          </cell>
          <cell r="F1276" t="str">
            <v>Lights, Surgical</v>
          </cell>
          <cell r="G1276" t="str">
            <v>OC</v>
          </cell>
          <cell r="H1276" t="str">
            <v>ONCOLOGY CLINIC</v>
          </cell>
          <cell r="I1276" t="str">
            <v>03OC121</v>
          </cell>
          <cell r="J1276" t="str">
            <v>C/E2</v>
          </cell>
          <cell r="K1276" t="str">
            <v>BMED</v>
          </cell>
          <cell r="L1276" t="str">
            <v>Critical</v>
          </cell>
          <cell r="M1276" t="str">
            <v>USA</v>
          </cell>
          <cell r="N1276" t="str">
            <v>Welch Allyn</v>
          </cell>
          <cell r="O1276" t="str">
            <v>Welch Allyn GS600</v>
          </cell>
          <cell r="P1276" t="str">
            <v>GS-600-29</v>
          </cell>
          <cell r="Q1276" t="str">
            <v>Not Applicable</v>
          </cell>
          <cell r="R1276" t="str">
            <v>Welch Allyn Inc</v>
          </cell>
          <cell r="S1276" t="str">
            <v>Welch Allyn Malaysia Sdn Bhd</v>
          </cell>
          <cell r="T1276" t="str">
            <v>Functioning</v>
          </cell>
          <cell r="U1276" t="str">
            <v>Asset</v>
          </cell>
          <cell r="V1276">
            <v>5050</v>
          </cell>
          <cell r="W1276" t="str">
            <v>KEW</v>
          </cell>
          <cell r="X1276" t="str">
            <v>01/09/2010</v>
          </cell>
          <cell r="Y1276" t="str">
            <v>KEW</v>
          </cell>
          <cell r="Z1276" t="str">
            <v>16/08/2013</v>
          </cell>
          <cell r="AA1276" t="str">
            <v>15/08/2015</v>
          </cell>
          <cell r="AB1276" t="str">
            <v>No</v>
          </cell>
          <cell r="AC1276" t="str">
            <v>31/08/2013</v>
          </cell>
          <cell r="AD1276" t="str">
            <v>Good</v>
          </cell>
          <cell r="AE1276" t="str">
            <v>V1 - Existing / No Claim</v>
          </cell>
          <cell r="AF1276">
            <v>42802</v>
          </cell>
          <cell r="AG1276">
            <v>9.17</v>
          </cell>
          <cell r="AH1276" t="str">
            <v>PPM</v>
          </cell>
          <cell r="AI1276" t="str">
            <v>Strands</v>
          </cell>
          <cell r="AJ1276" t="str">
            <v>Strands PW</v>
          </cell>
        </row>
        <row r="1277">
          <cell r="A1277" t="str">
            <v>IKN400901</v>
          </cell>
          <cell r="B1277">
            <v>900</v>
          </cell>
          <cell r="C1277" t="str">
            <v>Institut Kanser Negara</v>
          </cell>
          <cell r="D1277" t="str">
            <v>KKM/IKN/H/13/1610</v>
          </cell>
          <cell r="E1277" t="str">
            <v>15-045</v>
          </cell>
          <cell r="F1277" t="str">
            <v>Nebulizers, Nonheated</v>
          </cell>
          <cell r="G1277" t="str">
            <v>OC</v>
          </cell>
          <cell r="H1277" t="str">
            <v>ONCOLOGY CLINIC</v>
          </cell>
          <cell r="I1277" t="str">
            <v>03OC143</v>
          </cell>
          <cell r="J1277" t="str">
            <v>EQ. STORE</v>
          </cell>
          <cell r="K1277" t="str">
            <v>BMED</v>
          </cell>
          <cell r="L1277" t="str">
            <v>Normal</v>
          </cell>
          <cell r="M1277" t="str">
            <v>Germany</v>
          </cell>
          <cell r="N1277" t="str">
            <v>Pari Boy</v>
          </cell>
          <cell r="O1277" t="str">
            <v>Pari Boy SX 085</v>
          </cell>
          <cell r="P1277" t="str">
            <v>2W12F13722</v>
          </cell>
          <cell r="Q1277" t="str">
            <v>Not Applicable</v>
          </cell>
          <cell r="R1277" t="str">
            <v>Pari GmbH</v>
          </cell>
          <cell r="S1277" t="str">
            <v>Welch Allyn Malaysia Sdn Bhd</v>
          </cell>
          <cell r="T1277" t="str">
            <v>Functioning</v>
          </cell>
          <cell r="U1277" t="str">
            <v>Asset</v>
          </cell>
          <cell r="V1277">
            <v>1140</v>
          </cell>
          <cell r="W1277" t="str">
            <v>KEW</v>
          </cell>
          <cell r="X1277" t="str">
            <v>01/09/2010</v>
          </cell>
          <cell r="Y1277" t="str">
            <v>KEW</v>
          </cell>
          <cell r="Z1277" t="str">
            <v>16/08/2013</v>
          </cell>
          <cell r="AA1277" t="str">
            <v>15/08/2015</v>
          </cell>
          <cell r="AB1277" t="str">
            <v>No</v>
          </cell>
          <cell r="AC1277" t="str">
            <v>31/08/2013</v>
          </cell>
          <cell r="AD1277" t="str">
            <v>Good</v>
          </cell>
          <cell r="AE1277" t="str">
            <v>V3 - Added Installed Facilities (New)</v>
          </cell>
          <cell r="AF1277">
            <v>42802</v>
          </cell>
          <cell r="AG1277">
            <v>9.17</v>
          </cell>
          <cell r="AH1277" t="str">
            <v>PPM</v>
          </cell>
          <cell r="AI1277" t="str">
            <v>Strands</v>
          </cell>
          <cell r="AJ1277" t="str">
            <v>Strands PW</v>
          </cell>
          <cell r="AK1277" t="str">
            <v>SNF received. 1st batch of V3 asset (December 2020)</v>
          </cell>
        </row>
        <row r="1278">
          <cell r="A1278" t="str">
            <v>IKN400902</v>
          </cell>
          <cell r="B1278">
            <v>901</v>
          </cell>
          <cell r="C1278" t="str">
            <v>Institut Kanser Negara</v>
          </cell>
          <cell r="D1278" t="str">
            <v>KKM/IKN/R/13/1784</v>
          </cell>
          <cell r="E1278" t="str">
            <v>16-173</v>
          </cell>
          <cell r="F1278" t="str">
            <v>Sphygmomanometers, Electronic, Automatic</v>
          </cell>
          <cell r="G1278" t="str">
            <v>OC</v>
          </cell>
          <cell r="H1278" t="str">
            <v>ONCOLOGY CLINIC</v>
          </cell>
          <cell r="I1278" t="str">
            <v>03OC106</v>
          </cell>
          <cell r="J1278" t="str">
            <v>C/E 9</v>
          </cell>
          <cell r="K1278" t="str">
            <v>BMED</v>
          </cell>
          <cell r="L1278" t="str">
            <v>Normal</v>
          </cell>
          <cell r="M1278" t="str">
            <v>USA</v>
          </cell>
          <cell r="N1278" t="str">
            <v>Connex</v>
          </cell>
          <cell r="O1278" t="str">
            <v>Connex ProBP 3400</v>
          </cell>
          <cell r="P1278" t="str">
            <v>100003390213</v>
          </cell>
          <cell r="Q1278" t="str">
            <v>Not Applicable</v>
          </cell>
          <cell r="R1278" t="str">
            <v>Welch Allyn Inc</v>
          </cell>
          <cell r="S1278" t="str">
            <v>Welch Allyn Malaysia Sdn Bhd</v>
          </cell>
          <cell r="T1278" t="str">
            <v>Functioning</v>
          </cell>
          <cell r="U1278" t="str">
            <v>Asset</v>
          </cell>
          <cell r="V1278">
            <v>336</v>
          </cell>
          <cell r="W1278" t="str">
            <v>KEW</v>
          </cell>
          <cell r="X1278" t="str">
            <v>01/09/2010</v>
          </cell>
          <cell r="Y1278" t="str">
            <v>KEW</v>
          </cell>
          <cell r="Z1278" t="str">
            <v>16/08/2013</v>
          </cell>
          <cell r="AA1278" t="str">
            <v>15/08/2015</v>
          </cell>
          <cell r="AB1278" t="str">
            <v>No</v>
          </cell>
          <cell r="AC1278" t="str">
            <v>31/08/2013</v>
          </cell>
          <cell r="AD1278" t="str">
            <v>Good</v>
          </cell>
          <cell r="AE1278" t="str">
            <v>V3 - Added Installed Facilities (New)</v>
          </cell>
          <cell r="AF1278">
            <v>42235</v>
          </cell>
          <cell r="AG1278">
            <v>9.17</v>
          </cell>
          <cell r="AH1278" t="str">
            <v>PPM</v>
          </cell>
          <cell r="AI1278" t="str">
            <v>Not in contract</v>
          </cell>
          <cell r="AJ1278" t="str">
            <v>Proposed for V3 P2.23</v>
          </cell>
          <cell r="AK1278" t="e">
            <v>#N/A</v>
          </cell>
        </row>
        <row r="1279">
          <cell r="A1279" t="str">
            <v>IKN400903</v>
          </cell>
          <cell r="B1279">
            <v>902</v>
          </cell>
          <cell r="C1279" t="str">
            <v>Institut Kanser Negara</v>
          </cell>
          <cell r="D1279" t="str">
            <v>KKM/IKN/R/13/1783</v>
          </cell>
          <cell r="E1279" t="str">
            <v>16-173</v>
          </cell>
          <cell r="F1279" t="str">
            <v>Sphygmomanometers, Electronic, Automatic</v>
          </cell>
          <cell r="G1279" t="str">
            <v>OC</v>
          </cell>
          <cell r="H1279" t="str">
            <v>ONCOLOGY CLINIC</v>
          </cell>
          <cell r="I1279" t="str">
            <v>03OC107</v>
          </cell>
          <cell r="J1279" t="str">
            <v>C/E 10</v>
          </cell>
          <cell r="K1279" t="str">
            <v>BMED</v>
          </cell>
          <cell r="L1279" t="str">
            <v>Normal</v>
          </cell>
          <cell r="M1279" t="str">
            <v>USA</v>
          </cell>
          <cell r="N1279" t="str">
            <v>Connex</v>
          </cell>
          <cell r="O1279" t="str">
            <v>Connex ProBP 3400</v>
          </cell>
          <cell r="P1279" t="str">
            <v>100001230413</v>
          </cell>
          <cell r="Q1279" t="str">
            <v>Not Applicable</v>
          </cell>
          <cell r="R1279" t="str">
            <v>Welch Allyn Inc</v>
          </cell>
          <cell r="S1279" t="str">
            <v>Welch Allyn Malaysia Sdn Bhd</v>
          </cell>
          <cell r="T1279" t="str">
            <v>Functioning</v>
          </cell>
          <cell r="U1279" t="str">
            <v>Asset</v>
          </cell>
          <cell r="V1279">
            <v>336</v>
          </cell>
          <cell r="W1279" t="str">
            <v>KEW</v>
          </cell>
          <cell r="X1279" t="str">
            <v>01/09/2010</v>
          </cell>
          <cell r="Y1279" t="str">
            <v>KEW</v>
          </cell>
          <cell r="Z1279" t="str">
            <v>16/08/2013</v>
          </cell>
          <cell r="AA1279" t="str">
            <v>15/08/2015</v>
          </cell>
          <cell r="AB1279" t="str">
            <v>No</v>
          </cell>
          <cell r="AC1279" t="str">
            <v>31/08/2013</v>
          </cell>
          <cell r="AD1279" t="str">
            <v>Good</v>
          </cell>
          <cell r="AE1279" t="str">
            <v>V3 - Added Installed Facilities (New)</v>
          </cell>
          <cell r="AF1279">
            <v>42235</v>
          </cell>
          <cell r="AG1279">
            <v>9.17</v>
          </cell>
          <cell r="AH1279" t="str">
            <v>PPM</v>
          </cell>
          <cell r="AI1279" t="str">
            <v>Not in contract</v>
          </cell>
          <cell r="AJ1279" t="str">
            <v>Proposed for V3 P2.23</v>
          </cell>
          <cell r="AK1279" t="e">
            <v>#N/A</v>
          </cell>
        </row>
        <row r="1280">
          <cell r="A1280" t="str">
            <v>IKN400904</v>
          </cell>
          <cell r="B1280">
            <v>903</v>
          </cell>
          <cell r="C1280" t="str">
            <v>Institut Kanser Negara</v>
          </cell>
          <cell r="D1280" t="str">
            <v>KKM/IKN/R/13/1782</v>
          </cell>
          <cell r="E1280" t="str">
            <v>16-173</v>
          </cell>
          <cell r="F1280" t="str">
            <v>Sphygmomanometers, Electronic, Automatic</v>
          </cell>
          <cell r="G1280" t="str">
            <v>OC</v>
          </cell>
          <cell r="H1280" t="str">
            <v>ONCOLOGY CLINIC</v>
          </cell>
          <cell r="I1280" t="str">
            <v>03OC108</v>
          </cell>
          <cell r="J1280" t="str">
            <v>C/E 11</v>
          </cell>
          <cell r="K1280" t="str">
            <v>BMED</v>
          </cell>
          <cell r="L1280" t="str">
            <v>Normal</v>
          </cell>
          <cell r="M1280" t="str">
            <v>USA</v>
          </cell>
          <cell r="N1280" t="str">
            <v>Connex</v>
          </cell>
          <cell r="O1280" t="str">
            <v>Connex ProBP 3400</v>
          </cell>
          <cell r="P1280" t="str">
            <v>100003240213</v>
          </cell>
          <cell r="Q1280" t="str">
            <v>Not Applicable</v>
          </cell>
          <cell r="R1280" t="str">
            <v>Welch Allyn Inc</v>
          </cell>
          <cell r="S1280" t="str">
            <v>Welch Allyn Malaysia Sdn Bhd</v>
          </cell>
          <cell r="T1280" t="str">
            <v>Functioning</v>
          </cell>
          <cell r="U1280" t="str">
            <v>Asset</v>
          </cell>
          <cell r="V1280">
            <v>336</v>
          </cell>
          <cell r="W1280" t="str">
            <v>KEW</v>
          </cell>
          <cell r="X1280" t="str">
            <v>01/09/2010</v>
          </cell>
          <cell r="Y1280" t="str">
            <v>KEW</v>
          </cell>
          <cell r="Z1280" t="str">
            <v>16/08/2013</v>
          </cell>
          <cell r="AA1280" t="str">
            <v>15/08/2015</v>
          </cell>
          <cell r="AB1280" t="str">
            <v>No</v>
          </cell>
          <cell r="AC1280" t="str">
            <v>31/08/2013</v>
          </cell>
          <cell r="AD1280" t="str">
            <v>Good</v>
          </cell>
          <cell r="AE1280" t="str">
            <v>V3 - Added Installed Facilities (New)</v>
          </cell>
          <cell r="AF1280">
            <v>42235</v>
          </cell>
          <cell r="AG1280">
            <v>9.17</v>
          </cell>
          <cell r="AH1280" t="str">
            <v>PPM</v>
          </cell>
          <cell r="AI1280" t="str">
            <v>Not in contract</v>
          </cell>
          <cell r="AJ1280" t="str">
            <v>Proposed for V3 P2.23</v>
          </cell>
          <cell r="AK1280" t="e">
            <v>#N/A</v>
          </cell>
        </row>
        <row r="1281">
          <cell r="A1281" t="str">
            <v>IKN400905</v>
          </cell>
          <cell r="B1281">
            <v>904</v>
          </cell>
          <cell r="C1281" t="str">
            <v>Institut Kanser Negara</v>
          </cell>
          <cell r="D1281" t="str">
            <v>KKM/IKN/R/13/1781</v>
          </cell>
          <cell r="E1281" t="str">
            <v>16-173</v>
          </cell>
          <cell r="F1281" t="str">
            <v>Sphygmomanometers, Electronic, Automatic</v>
          </cell>
          <cell r="G1281" t="str">
            <v>OC</v>
          </cell>
          <cell r="H1281" t="str">
            <v>ONCOLOGY CLINIC</v>
          </cell>
          <cell r="I1281" t="str">
            <v>03OC109</v>
          </cell>
          <cell r="J1281" t="str">
            <v>C/E 1 (VIP)</v>
          </cell>
          <cell r="K1281" t="str">
            <v>BMED</v>
          </cell>
          <cell r="L1281" t="str">
            <v>Normal</v>
          </cell>
          <cell r="M1281" t="str">
            <v>USA</v>
          </cell>
          <cell r="N1281" t="str">
            <v>Connex</v>
          </cell>
          <cell r="O1281" t="str">
            <v>Connex ProBP 3400</v>
          </cell>
          <cell r="P1281" t="str">
            <v>100003400213</v>
          </cell>
          <cell r="Q1281" t="str">
            <v>Not Applicable</v>
          </cell>
          <cell r="R1281" t="str">
            <v>Welch Allyn Inc</v>
          </cell>
          <cell r="S1281" t="str">
            <v>Welch Allyn Malaysia Sdn Bhd</v>
          </cell>
          <cell r="T1281" t="str">
            <v>Functioning</v>
          </cell>
          <cell r="U1281" t="str">
            <v>Asset</v>
          </cell>
          <cell r="V1281">
            <v>336</v>
          </cell>
          <cell r="W1281" t="str">
            <v>KEW</v>
          </cell>
          <cell r="X1281" t="str">
            <v>01/09/2010</v>
          </cell>
          <cell r="Y1281" t="str">
            <v>KEW</v>
          </cell>
          <cell r="Z1281" t="str">
            <v>16/08/2013</v>
          </cell>
          <cell r="AA1281" t="str">
            <v>15/08/2015</v>
          </cell>
          <cell r="AB1281" t="str">
            <v>No</v>
          </cell>
          <cell r="AC1281" t="str">
            <v>31/08/2013</v>
          </cell>
          <cell r="AD1281" t="str">
            <v>Good</v>
          </cell>
          <cell r="AE1281" t="str">
            <v>V3 - Added Installed Facilities (New)</v>
          </cell>
          <cell r="AF1281">
            <v>42235</v>
          </cell>
          <cell r="AG1281">
            <v>9.17</v>
          </cell>
          <cell r="AH1281" t="str">
            <v>PPM</v>
          </cell>
          <cell r="AI1281" t="str">
            <v>Not in contract</v>
          </cell>
          <cell r="AJ1281" t="str">
            <v>Proposed for V3 P2.23</v>
          </cell>
          <cell r="AK1281" t="e">
            <v>#N/A</v>
          </cell>
        </row>
        <row r="1282">
          <cell r="A1282" t="str">
            <v>IKN400906</v>
          </cell>
          <cell r="B1282">
            <v>905</v>
          </cell>
          <cell r="C1282" t="str">
            <v>Institut Kanser Negara</v>
          </cell>
          <cell r="D1282" t="str">
            <v>KKM/IKN/R/13/1780</v>
          </cell>
          <cell r="E1282" t="str">
            <v>16-173</v>
          </cell>
          <cell r="F1282" t="str">
            <v>Sphygmomanometers, Electronic, Automatic</v>
          </cell>
          <cell r="G1282" t="str">
            <v>OC</v>
          </cell>
          <cell r="H1282" t="str">
            <v>ONCOLOGY CLINIC</v>
          </cell>
          <cell r="I1282" t="str">
            <v>03OC117</v>
          </cell>
          <cell r="J1282" t="str">
            <v>C/E 6</v>
          </cell>
          <cell r="K1282" t="str">
            <v>BMED</v>
          </cell>
          <cell r="L1282" t="str">
            <v>Normal</v>
          </cell>
          <cell r="M1282" t="str">
            <v>USA</v>
          </cell>
          <cell r="N1282" t="str">
            <v>Connex</v>
          </cell>
          <cell r="O1282" t="str">
            <v>Connex ProBP 3400</v>
          </cell>
          <cell r="P1282" t="str">
            <v>100004621213</v>
          </cell>
          <cell r="Q1282" t="str">
            <v>Not Applicable</v>
          </cell>
          <cell r="R1282" t="str">
            <v>Welch Allyn Inc</v>
          </cell>
          <cell r="S1282" t="str">
            <v>Welch Allyn Malaysia Sdn Bhd</v>
          </cell>
          <cell r="T1282" t="str">
            <v>Functioning</v>
          </cell>
          <cell r="U1282" t="str">
            <v>Asset</v>
          </cell>
          <cell r="V1282">
            <v>336</v>
          </cell>
          <cell r="W1282" t="str">
            <v>KEW</v>
          </cell>
          <cell r="X1282" t="str">
            <v>01/09/2010</v>
          </cell>
          <cell r="Y1282" t="str">
            <v>KEW</v>
          </cell>
          <cell r="Z1282" t="str">
            <v>16/08/2013</v>
          </cell>
          <cell r="AA1282" t="str">
            <v>15/08/2015</v>
          </cell>
          <cell r="AB1282" t="str">
            <v>No</v>
          </cell>
          <cell r="AC1282" t="str">
            <v>31/08/2013</v>
          </cell>
          <cell r="AD1282" t="str">
            <v>Good</v>
          </cell>
          <cell r="AE1282" t="str">
            <v>V3 - Added Installed Facilities (New)</v>
          </cell>
          <cell r="AF1282">
            <v>42235</v>
          </cell>
          <cell r="AG1282">
            <v>9.17</v>
          </cell>
          <cell r="AH1282" t="str">
            <v>PPM</v>
          </cell>
          <cell r="AI1282" t="str">
            <v>Not in contract</v>
          </cell>
          <cell r="AJ1282" t="str">
            <v>Proposed for V3 P2.23</v>
          </cell>
          <cell r="AK1282" t="e">
            <v>#N/A</v>
          </cell>
        </row>
        <row r="1283">
          <cell r="A1283" t="str">
            <v>IKN400907</v>
          </cell>
          <cell r="B1283">
            <v>906</v>
          </cell>
          <cell r="C1283" t="str">
            <v>Institut Kanser Negara</v>
          </cell>
          <cell r="D1283" t="str">
            <v>KKM/IKN/R/13/1779</v>
          </cell>
          <cell r="E1283" t="str">
            <v>16-173</v>
          </cell>
          <cell r="F1283" t="str">
            <v>Sphygmomanometers, Electronic, Automatic</v>
          </cell>
          <cell r="G1283" t="str">
            <v>OC</v>
          </cell>
          <cell r="H1283" t="str">
            <v>ONCOLOGY CLINIC</v>
          </cell>
          <cell r="I1283" t="str">
            <v>03OC118</v>
          </cell>
          <cell r="J1283" t="str">
            <v>C/E 5</v>
          </cell>
          <cell r="K1283" t="str">
            <v>BMED</v>
          </cell>
          <cell r="L1283" t="str">
            <v>Normal</v>
          </cell>
          <cell r="M1283" t="str">
            <v>USA</v>
          </cell>
          <cell r="N1283" t="str">
            <v>Connex</v>
          </cell>
          <cell r="O1283" t="str">
            <v>Connex ProBP 3400</v>
          </cell>
          <cell r="P1283" t="str">
            <v>100003030213</v>
          </cell>
          <cell r="Q1283" t="str">
            <v>Not Applicable</v>
          </cell>
          <cell r="R1283" t="str">
            <v>Welch Allyn Inc</v>
          </cell>
          <cell r="S1283" t="str">
            <v>Welch Allyn Malaysia Sdn Bhd</v>
          </cell>
          <cell r="T1283" t="str">
            <v>Functioning</v>
          </cell>
          <cell r="U1283" t="str">
            <v>Asset</v>
          </cell>
          <cell r="V1283">
            <v>336</v>
          </cell>
          <cell r="W1283" t="str">
            <v>KEW</v>
          </cell>
          <cell r="X1283" t="str">
            <v>01/09/2010</v>
          </cell>
          <cell r="Y1283" t="str">
            <v>KEW</v>
          </cell>
          <cell r="Z1283" t="str">
            <v>16/08/2013</v>
          </cell>
          <cell r="AA1283" t="str">
            <v>15/08/2015</v>
          </cell>
          <cell r="AB1283" t="str">
            <v>No</v>
          </cell>
          <cell r="AC1283" t="str">
            <v>31/08/2013</v>
          </cell>
          <cell r="AD1283" t="str">
            <v>Good</v>
          </cell>
          <cell r="AE1283" t="str">
            <v>V3 - Added Installed Facilities (New)</v>
          </cell>
          <cell r="AF1283">
            <v>42235</v>
          </cell>
          <cell r="AG1283">
            <v>9.17</v>
          </cell>
          <cell r="AH1283" t="str">
            <v>PPM</v>
          </cell>
          <cell r="AI1283" t="str">
            <v>Not in contract</v>
          </cell>
          <cell r="AJ1283" t="str">
            <v>Proposed for V3 P2.23</v>
          </cell>
          <cell r="AK1283" t="e">
            <v>#N/A</v>
          </cell>
        </row>
        <row r="1284">
          <cell r="A1284" t="str">
            <v>IKN400908</v>
          </cell>
          <cell r="B1284">
            <v>907</v>
          </cell>
          <cell r="C1284" t="str">
            <v>Institut Kanser Negara</v>
          </cell>
          <cell r="D1284" t="str">
            <v>KKM/IKN/R/13/1778</v>
          </cell>
          <cell r="E1284" t="str">
            <v>16-173</v>
          </cell>
          <cell r="F1284" t="str">
            <v>Sphygmomanometers, Electronic, Automatic</v>
          </cell>
          <cell r="G1284" t="str">
            <v>OC</v>
          </cell>
          <cell r="H1284" t="str">
            <v>ONCOLOGY CLINIC</v>
          </cell>
          <cell r="I1284" t="str">
            <v>03OC119</v>
          </cell>
          <cell r="J1284" t="str">
            <v>C/E 4</v>
          </cell>
          <cell r="K1284" t="str">
            <v>BMED</v>
          </cell>
          <cell r="L1284" t="str">
            <v>Normal</v>
          </cell>
          <cell r="M1284" t="str">
            <v>USA</v>
          </cell>
          <cell r="N1284" t="str">
            <v>Connex</v>
          </cell>
          <cell r="O1284" t="str">
            <v>Connex ProBP 3400</v>
          </cell>
          <cell r="P1284" t="str">
            <v>100000120413</v>
          </cell>
          <cell r="Q1284" t="str">
            <v>Not Applicable</v>
          </cell>
          <cell r="R1284" t="str">
            <v>Welch Allyn Inc</v>
          </cell>
          <cell r="S1284" t="str">
            <v>Welch Allyn Malaysia Sdn Bhd</v>
          </cell>
          <cell r="T1284" t="str">
            <v>Functioning</v>
          </cell>
          <cell r="U1284" t="str">
            <v>Asset</v>
          </cell>
          <cell r="V1284">
            <v>336</v>
          </cell>
          <cell r="W1284" t="str">
            <v>KEW</v>
          </cell>
          <cell r="X1284" t="str">
            <v>01/09/2010</v>
          </cell>
          <cell r="Y1284" t="str">
            <v>KEW</v>
          </cell>
          <cell r="Z1284" t="str">
            <v>16/08/2013</v>
          </cell>
          <cell r="AA1284" t="str">
            <v>15/08/2015</v>
          </cell>
          <cell r="AB1284" t="str">
            <v>No</v>
          </cell>
          <cell r="AC1284" t="str">
            <v>31/08/2013</v>
          </cell>
          <cell r="AD1284" t="str">
            <v>Good</v>
          </cell>
          <cell r="AE1284" t="str">
            <v>V3 - Added Installed Facilities (New)</v>
          </cell>
          <cell r="AF1284">
            <v>42235</v>
          </cell>
          <cell r="AG1284">
            <v>9.17</v>
          </cell>
          <cell r="AH1284" t="str">
            <v>PPM</v>
          </cell>
          <cell r="AI1284" t="str">
            <v>Not in contract</v>
          </cell>
          <cell r="AJ1284" t="str">
            <v>Proposed for V3 P2.23</v>
          </cell>
          <cell r="AK1284" t="e">
            <v>#N/A</v>
          </cell>
        </row>
        <row r="1285">
          <cell r="A1285" t="str">
            <v>IKN400909</v>
          </cell>
          <cell r="B1285">
            <v>908</v>
          </cell>
          <cell r="C1285" t="str">
            <v>Institut Kanser Negara</v>
          </cell>
          <cell r="D1285" t="str">
            <v>KKM/IKN/R/13/1777</v>
          </cell>
          <cell r="E1285" t="str">
            <v>16-173</v>
          </cell>
          <cell r="F1285" t="str">
            <v>Sphygmomanometers, Electronic, Automatic</v>
          </cell>
          <cell r="G1285" t="str">
            <v>OC</v>
          </cell>
          <cell r="H1285" t="str">
            <v>ONCOLOGY CLINIC</v>
          </cell>
          <cell r="I1285" t="str">
            <v>03OC120</v>
          </cell>
          <cell r="J1285" t="str">
            <v>C/E 3</v>
          </cell>
          <cell r="K1285" t="str">
            <v>BMED</v>
          </cell>
          <cell r="L1285" t="str">
            <v>Normal</v>
          </cell>
          <cell r="M1285" t="str">
            <v>USA</v>
          </cell>
          <cell r="N1285" t="str">
            <v>Connex</v>
          </cell>
          <cell r="O1285" t="str">
            <v>Connex ProBP 3400</v>
          </cell>
          <cell r="P1285" t="str">
            <v>100001530413</v>
          </cell>
          <cell r="Q1285" t="str">
            <v>Not Applicable</v>
          </cell>
          <cell r="R1285" t="str">
            <v>Welch Allyn Inc</v>
          </cell>
          <cell r="S1285" t="str">
            <v>Welch Allyn Malaysia Sdn Bhd</v>
          </cell>
          <cell r="T1285" t="str">
            <v>Functioning</v>
          </cell>
          <cell r="U1285" t="str">
            <v>Asset</v>
          </cell>
          <cell r="V1285">
            <v>336</v>
          </cell>
          <cell r="W1285" t="str">
            <v>KEW</v>
          </cell>
          <cell r="X1285" t="str">
            <v>01/09/2010</v>
          </cell>
          <cell r="Y1285" t="str">
            <v>KEW</v>
          </cell>
          <cell r="Z1285" t="str">
            <v>16/08/2013</v>
          </cell>
          <cell r="AA1285" t="str">
            <v>15/08/2015</v>
          </cell>
          <cell r="AB1285" t="str">
            <v>No</v>
          </cell>
          <cell r="AC1285" t="str">
            <v>31/08/2013</v>
          </cell>
          <cell r="AD1285" t="str">
            <v>Good</v>
          </cell>
          <cell r="AE1285" t="str">
            <v>V3 - Added Installed Facilities (New)</v>
          </cell>
          <cell r="AF1285">
            <v>42235</v>
          </cell>
          <cell r="AG1285">
            <v>9.17</v>
          </cell>
          <cell r="AH1285" t="str">
            <v>PPM</v>
          </cell>
          <cell r="AI1285" t="str">
            <v>Not in contract</v>
          </cell>
          <cell r="AJ1285" t="str">
            <v>Proposed for V3 P2.23</v>
          </cell>
          <cell r="AK1285" t="e">
            <v>#N/A</v>
          </cell>
        </row>
        <row r="1286">
          <cell r="A1286" t="str">
            <v>IKN400910</v>
          </cell>
          <cell r="B1286">
            <v>909</v>
          </cell>
          <cell r="C1286" t="str">
            <v>Institut Kanser Negara</v>
          </cell>
          <cell r="D1286" t="str">
            <v>KKM/IKN/R/13/1776</v>
          </cell>
          <cell r="E1286" t="str">
            <v>16-173</v>
          </cell>
          <cell r="F1286" t="str">
            <v>Sphygmomanometers, Electronic, Automatic</v>
          </cell>
          <cell r="G1286" t="str">
            <v>OC</v>
          </cell>
          <cell r="H1286" t="str">
            <v>ONCOLOGY CLINIC</v>
          </cell>
          <cell r="I1286" t="str">
            <v>03OC121</v>
          </cell>
          <cell r="J1286" t="str">
            <v>C/E2</v>
          </cell>
          <cell r="K1286" t="str">
            <v>BMED</v>
          </cell>
          <cell r="L1286" t="str">
            <v>Normal</v>
          </cell>
          <cell r="M1286" t="str">
            <v>USA</v>
          </cell>
          <cell r="N1286" t="str">
            <v>Connex</v>
          </cell>
          <cell r="O1286" t="str">
            <v>Connex ProBP 3400</v>
          </cell>
          <cell r="P1286" t="str">
            <v>100002940213</v>
          </cell>
          <cell r="Q1286" t="str">
            <v>Not Applicable</v>
          </cell>
          <cell r="R1286" t="str">
            <v>Welch Allyn Inc</v>
          </cell>
          <cell r="S1286" t="str">
            <v>Welch Allyn Malaysia Sdn Bhd</v>
          </cell>
          <cell r="T1286" t="str">
            <v>Functioning</v>
          </cell>
          <cell r="U1286" t="str">
            <v>Asset</v>
          </cell>
          <cell r="V1286">
            <v>336</v>
          </cell>
          <cell r="W1286" t="str">
            <v>KEW</v>
          </cell>
          <cell r="X1286" t="str">
            <v>01/09/2010</v>
          </cell>
          <cell r="Y1286" t="str">
            <v>KEW</v>
          </cell>
          <cell r="Z1286" t="str">
            <v>16/08/2013</v>
          </cell>
          <cell r="AA1286" t="str">
            <v>15/08/2015</v>
          </cell>
          <cell r="AB1286" t="str">
            <v>No</v>
          </cell>
          <cell r="AC1286" t="str">
            <v>31/08/2013</v>
          </cell>
          <cell r="AD1286" t="str">
            <v>Good</v>
          </cell>
          <cell r="AE1286" t="str">
            <v>V3 - Added Installed Facilities (New)</v>
          </cell>
          <cell r="AF1286">
            <v>42235</v>
          </cell>
          <cell r="AG1286">
            <v>9.17</v>
          </cell>
          <cell r="AH1286" t="str">
            <v>PPM</v>
          </cell>
          <cell r="AI1286" t="str">
            <v>Not in contract</v>
          </cell>
          <cell r="AJ1286" t="str">
            <v>Proposed for V3 P2.23</v>
          </cell>
          <cell r="AK1286" t="e">
            <v>#N/A</v>
          </cell>
        </row>
        <row r="1287">
          <cell r="A1287" t="str">
            <v>IKN400914</v>
          </cell>
          <cell r="B1287">
            <v>913</v>
          </cell>
          <cell r="C1287" t="str">
            <v>Institut Kanser Negara</v>
          </cell>
          <cell r="D1287" t="str">
            <v>KKM/IKN/H/13/560</v>
          </cell>
          <cell r="E1287" t="str">
            <v>10-208</v>
          </cell>
          <cell r="F1287" t="str">
            <v>Aspirators</v>
          </cell>
          <cell r="G1287" t="str">
            <v>OC</v>
          </cell>
          <cell r="H1287" t="str">
            <v>ONCOLOGY CLINIC</v>
          </cell>
          <cell r="I1287" t="str">
            <v>03OC135</v>
          </cell>
          <cell r="J1287" t="str">
            <v>TREATMENT 1</v>
          </cell>
          <cell r="K1287" t="str">
            <v>BMED</v>
          </cell>
          <cell r="L1287" t="str">
            <v>Critical</v>
          </cell>
          <cell r="M1287" t="str">
            <v>Switzerland</v>
          </cell>
          <cell r="N1287" t="str">
            <v>Senator</v>
          </cell>
          <cell r="O1287" t="str">
            <v>Senator</v>
          </cell>
          <cell r="P1287" t="str">
            <v>1220744</v>
          </cell>
          <cell r="Q1287" t="str">
            <v>Not Applicable</v>
          </cell>
          <cell r="R1287" t="str">
            <v>Ardo Medical AG</v>
          </cell>
          <cell r="S1287" t="str">
            <v>Histopoint</v>
          </cell>
          <cell r="T1287" t="str">
            <v>Functioning</v>
          </cell>
          <cell r="U1287" t="str">
            <v>Asset</v>
          </cell>
          <cell r="V1287">
            <v>5052</v>
          </cell>
          <cell r="W1287" t="str">
            <v>KEW</v>
          </cell>
          <cell r="X1287" t="str">
            <v>01/09/2010</v>
          </cell>
          <cell r="Y1287" t="str">
            <v>KEW</v>
          </cell>
          <cell r="Z1287" t="str">
            <v>16/08/2013</v>
          </cell>
          <cell r="AA1287" t="str">
            <v>15/08/2015</v>
          </cell>
          <cell r="AB1287" t="str">
            <v>No</v>
          </cell>
          <cell r="AC1287" t="str">
            <v>31/08/2013</v>
          </cell>
          <cell r="AD1287" t="str">
            <v>Good</v>
          </cell>
          <cell r="AE1287" t="str">
            <v>V1 - Existing / No Claim</v>
          </cell>
          <cell r="AF1287">
            <v>42802</v>
          </cell>
          <cell r="AG1287">
            <v>9.17</v>
          </cell>
          <cell r="AH1287" t="str">
            <v>PPM</v>
          </cell>
          <cell r="AI1287" t="str">
            <v>Strands</v>
          </cell>
          <cell r="AJ1287" t="str">
            <v>Strands PW</v>
          </cell>
        </row>
        <row r="1288">
          <cell r="A1288" t="str">
            <v>IKN400915</v>
          </cell>
          <cell r="B1288">
            <v>914</v>
          </cell>
          <cell r="C1288" t="str">
            <v>Institut Kanser Negara</v>
          </cell>
          <cell r="D1288" t="str">
            <v>KKM/IKN/H/13/798</v>
          </cell>
          <cell r="E1288" t="str">
            <v>10-208</v>
          </cell>
          <cell r="F1288" t="str">
            <v>Aspirators</v>
          </cell>
          <cell r="G1288" t="str">
            <v>OC</v>
          </cell>
          <cell r="H1288" t="str">
            <v>ONCOLOGY CLINIC</v>
          </cell>
          <cell r="I1288" t="str">
            <v>03OC136</v>
          </cell>
          <cell r="J1288" t="str">
            <v>TREATMENT 2</v>
          </cell>
          <cell r="K1288" t="str">
            <v>BMED</v>
          </cell>
          <cell r="L1288" t="str">
            <v>Critical</v>
          </cell>
          <cell r="M1288" t="str">
            <v>Switzerland</v>
          </cell>
          <cell r="N1288" t="str">
            <v>Senator</v>
          </cell>
          <cell r="O1288" t="str">
            <v>Senator</v>
          </cell>
          <cell r="P1288" t="str">
            <v>1320188</v>
          </cell>
          <cell r="Q1288" t="str">
            <v>Not Applicable</v>
          </cell>
          <cell r="R1288" t="str">
            <v>Ardo Medical AG</v>
          </cell>
          <cell r="S1288" t="str">
            <v>Histopoint</v>
          </cell>
          <cell r="T1288" t="str">
            <v>Functioning</v>
          </cell>
          <cell r="U1288" t="str">
            <v>Asset</v>
          </cell>
          <cell r="V1288">
            <v>5052</v>
          </cell>
          <cell r="W1288" t="str">
            <v>KEW</v>
          </cell>
          <cell r="X1288" t="str">
            <v>01/09/2010</v>
          </cell>
          <cell r="Y1288" t="str">
            <v>KEW</v>
          </cell>
          <cell r="Z1288" t="str">
            <v>16/08/2013</v>
          </cell>
          <cell r="AA1288" t="str">
            <v>15/08/2015</v>
          </cell>
          <cell r="AB1288" t="str">
            <v>No</v>
          </cell>
          <cell r="AC1288" t="str">
            <v>31/08/2013</v>
          </cell>
          <cell r="AD1288" t="str">
            <v>Good</v>
          </cell>
          <cell r="AE1288" t="str">
            <v>V1 - Existing / No Claim</v>
          </cell>
          <cell r="AF1288">
            <v>42802</v>
          </cell>
          <cell r="AG1288">
            <v>9.17</v>
          </cell>
          <cell r="AH1288" t="str">
            <v>PPM</v>
          </cell>
          <cell r="AI1288" t="str">
            <v>Strands</v>
          </cell>
          <cell r="AJ1288" t="str">
            <v>Strands PW</v>
          </cell>
        </row>
        <row r="1289">
          <cell r="A1289" t="str">
            <v>IKN400916</v>
          </cell>
          <cell r="B1289">
            <v>915</v>
          </cell>
          <cell r="C1289" t="str">
            <v>Institut Kanser Negara</v>
          </cell>
          <cell r="D1289" t="str">
            <v>KKM/IKN/I/13/7267</v>
          </cell>
          <cell r="E1289" t="str">
            <v>17-148</v>
          </cell>
          <cell r="F1289" t="str">
            <v>Oximeters, Pulse</v>
          </cell>
          <cell r="G1289" t="str">
            <v>OC</v>
          </cell>
          <cell r="H1289" t="str">
            <v>ONCOLOGY CLINIC</v>
          </cell>
          <cell r="I1289" t="str">
            <v>03OC133</v>
          </cell>
          <cell r="J1289" t="str">
            <v>ASSESSMENT</v>
          </cell>
          <cell r="K1289" t="str">
            <v>BMED</v>
          </cell>
          <cell r="L1289" t="str">
            <v>Critical</v>
          </cell>
          <cell r="M1289" t="str">
            <v>Finland</v>
          </cell>
          <cell r="N1289" t="str">
            <v>Trusat</v>
          </cell>
          <cell r="O1289" t="str">
            <v>Trusat</v>
          </cell>
          <cell r="P1289" t="str">
            <v>FCC12430004SA</v>
          </cell>
          <cell r="Q1289" t="str">
            <v>Not Applicable</v>
          </cell>
          <cell r="R1289" t="str">
            <v>GE Healthcare Systems</v>
          </cell>
          <cell r="S1289" t="str">
            <v>GE Healthcare Technologies</v>
          </cell>
          <cell r="T1289" t="str">
            <v>Functioning</v>
          </cell>
          <cell r="U1289" t="str">
            <v>Asset</v>
          </cell>
          <cell r="V1289">
            <v>280</v>
          </cell>
          <cell r="W1289" t="str">
            <v>KEW</v>
          </cell>
          <cell r="X1289" t="str">
            <v>01/09/2010</v>
          </cell>
          <cell r="Y1289" t="str">
            <v>KEW</v>
          </cell>
          <cell r="Z1289" t="str">
            <v>16/08/2013</v>
          </cell>
          <cell r="AA1289" t="str">
            <v>15/08/2015</v>
          </cell>
          <cell r="AB1289" t="str">
            <v>No</v>
          </cell>
          <cell r="AC1289" t="str">
            <v>31/08/2013</v>
          </cell>
          <cell r="AD1289" t="str">
            <v>Good</v>
          </cell>
          <cell r="AE1289" t="str">
            <v>V1 - Existing / No Claim</v>
          </cell>
          <cell r="AF1289">
            <v>42633</v>
          </cell>
          <cell r="AG1289">
            <v>9.17</v>
          </cell>
          <cell r="AH1289" t="str">
            <v>PPM</v>
          </cell>
          <cell r="AI1289" t="str">
            <v>Not in contract</v>
          </cell>
          <cell r="AJ1289" t="e">
            <v>#REF!</v>
          </cell>
          <cell r="AK1289" t="e">
            <v>#N/A</v>
          </cell>
        </row>
        <row r="1290">
          <cell r="A1290" t="str">
            <v>IKN400917</v>
          </cell>
          <cell r="B1290">
            <v>916</v>
          </cell>
          <cell r="C1290" t="str">
            <v>Institut Kanser Negara</v>
          </cell>
          <cell r="D1290" t="str">
            <v>KKM/IKN/H/13/481</v>
          </cell>
          <cell r="E1290" t="str">
            <v>16-231</v>
          </cell>
          <cell r="F1290" t="str">
            <v>Electrocardiographs, Multichannel, Interpretative</v>
          </cell>
          <cell r="G1290" t="str">
            <v>OC</v>
          </cell>
          <cell r="H1290" t="str">
            <v>ONCOLOGY CLINIC</v>
          </cell>
          <cell r="I1290" t="str">
            <v>03OC135</v>
          </cell>
          <cell r="J1290" t="str">
            <v>TREATMENT 1</v>
          </cell>
          <cell r="K1290" t="str">
            <v>BMED</v>
          </cell>
          <cell r="L1290" t="str">
            <v>Critical</v>
          </cell>
          <cell r="M1290" t="str">
            <v>China</v>
          </cell>
          <cell r="N1290" t="str">
            <v>Mac</v>
          </cell>
          <cell r="O1290" t="str">
            <v>MAC 800</v>
          </cell>
          <cell r="P1290" t="str">
            <v>SJ412450362 WA</v>
          </cell>
          <cell r="Q1290" t="str">
            <v>Not Applicable</v>
          </cell>
          <cell r="R1290" t="str">
            <v>GE Healthcare Systems</v>
          </cell>
          <cell r="S1290" t="str">
            <v>GE Healthcare Technologies</v>
          </cell>
          <cell r="T1290" t="str">
            <v>Functioning</v>
          </cell>
          <cell r="U1290" t="str">
            <v>Asset</v>
          </cell>
          <cell r="V1290">
            <v>25260</v>
          </cell>
          <cell r="W1290" t="str">
            <v>KEW</v>
          </cell>
          <cell r="X1290" t="str">
            <v>01/09/2010</v>
          </cell>
          <cell r="Y1290" t="str">
            <v>KEW</v>
          </cell>
          <cell r="Z1290" t="str">
            <v>16/08/2013</v>
          </cell>
          <cell r="AA1290" t="str">
            <v>15/08/2015</v>
          </cell>
          <cell r="AB1290" t="str">
            <v>No</v>
          </cell>
          <cell r="AC1290" t="str">
            <v>31/08/2013</v>
          </cell>
          <cell r="AD1290" t="str">
            <v>Good</v>
          </cell>
          <cell r="AE1290" t="str">
            <v>V1 - Existing / No Claim</v>
          </cell>
          <cell r="AF1290">
            <v>42802</v>
          </cell>
          <cell r="AG1290">
            <v>9.17</v>
          </cell>
          <cell r="AH1290" t="str">
            <v>PPM</v>
          </cell>
          <cell r="AI1290" t="str">
            <v>Strands</v>
          </cell>
          <cell r="AJ1290" t="str">
            <v>Strands PW</v>
          </cell>
        </row>
        <row r="1291">
          <cell r="A1291" t="str">
            <v>IKN400951</v>
          </cell>
          <cell r="B1291">
            <v>950</v>
          </cell>
          <cell r="C1291" t="str">
            <v>Institut Kanser Negara</v>
          </cell>
          <cell r="D1291" t="str">
            <v>KKM/IKN/H/13/3382</v>
          </cell>
          <cell r="E1291" t="str">
            <v>12-282</v>
          </cell>
          <cell r="F1291" t="str">
            <v>Lights, Surgical</v>
          </cell>
          <cell r="G1291" t="str">
            <v>RT</v>
          </cell>
          <cell r="H1291" t="str">
            <v>RADIATION TREATMENT UNIT</v>
          </cell>
          <cell r="I1291" t="str">
            <v>01RT109</v>
          </cell>
          <cell r="J1291" t="str">
            <v>C/L 1</v>
          </cell>
          <cell r="K1291" t="str">
            <v>BMED</v>
          </cell>
          <cell r="L1291" t="str">
            <v>Normal</v>
          </cell>
          <cell r="M1291" t="str">
            <v>USA</v>
          </cell>
          <cell r="N1291" t="str">
            <v>Welch Allyn</v>
          </cell>
          <cell r="O1291" t="str">
            <v>Welch Allyn GS600</v>
          </cell>
          <cell r="P1291" t="str">
            <v>GS-600-02</v>
          </cell>
          <cell r="Q1291" t="str">
            <v>Not Applicable</v>
          </cell>
          <cell r="R1291" t="str">
            <v>Welch Allyn Inc</v>
          </cell>
          <cell r="S1291" t="str">
            <v>Welch Allyn Malaysia Sdn Bhd</v>
          </cell>
          <cell r="T1291" t="str">
            <v>Functioning</v>
          </cell>
          <cell r="U1291" t="str">
            <v>Asset</v>
          </cell>
          <cell r="V1291">
            <v>5050</v>
          </cell>
          <cell r="W1291" t="str">
            <v>KEW</v>
          </cell>
          <cell r="X1291" t="str">
            <v>01/09/2010</v>
          </cell>
          <cell r="Y1291" t="str">
            <v>KEW</v>
          </cell>
          <cell r="Z1291" t="str">
            <v>16/08/2013</v>
          </cell>
          <cell r="AA1291" t="str">
            <v>15/08/2015</v>
          </cell>
          <cell r="AB1291" t="str">
            <v>No</v>
          </cell>
          <cell r="AC1291" t="str">
            <v>31/08/2013</v>
          </cell>
          <cell r="AD1291" t="str">
            <v>Good</v>
          </cell>
          <cell r="AE1291" t="str">
            <v>V1 - Existing / No Claim</v>
          </cell>
          <cell r="AF1291">
            <v>42235</v>
          </cell>
          <cell r="AG1291">
            <v>9.17</v>
          </cell>
          <cell r="AH1291" t="str">
            <v>PPM</v>
          </cell>
          <cell r="AI1291" t="str">
            <v>Strands</v>
          </cell>
          <cell r="AJ1291" t="str">
            <v>Strands PW</v>
          </cell>
        </row>
        <row r="1292">
          <cell r="A1292" t="str">
            <v>IKN400952</v>
          </cell>
          <cell r="B1292">
            <v>951</v>
          </cell>
          <cell r="C1292" t="str">
            <v>Institut Kanser Negara</v>
          </cell>
          <cell r="D1292" t="str">
            <v>KKM/IKN/H/13/5376</v>
          </cell>
          <cell r="E1292" t="str">
            <v>12-282</v>
          </cell>
          <cell r="F1292" t="str">
            <v>Lights, Surgical</v>
          </cell>
          <cell r="G1292" t="str">
            <v>RT</v>
          </cell>
          <cell r="H1292" t="str">
            <v>RADIATION TREATMENT UNIT</v>
          </cell>
          <cell r="I1292" t="str">
            <v>01RT109</v>
          </cell>
          <cell r="J1292" t="str">
            <v>C/L 1</v>
          </cell>
          <cell r="K1292" t="str">
            <v>BMED</v>
          </cell>
          <cell r="L1292" t="str">
            <v>Normal</v>
          </cell>
          <cell r="M1292" t="str">
            <v>USA</v>
          </cell>
          <cell r="N1292" t="str">
            <v>Welch Allyn</v>
          </cell>
          <cell r="O1292" t="str">
            <v>Welch Allyn GS600</v>
          </cell>
          <cell r="P1292" t="str">
            <v>GS-600-03</v>
          </cell>
          <cell r="Q1292" t="str">
            <v>Not Applicable</v>
          </cell>
          <cell r="R1292" t="str">
            <v>Welch Allyn Inc</v>
          </cell>
          <cell r="S1292" t="str">
            <v>Welch Allyn Malaysia Sdn Bhd</v>
          </cell>
          <cell r="T1292" t="str">
            <v>Functioning</v>
          </cell>
          <cell r="U1292" t="str">
            <v>Asset</v>
          </cell>
          <cell r="V1292">
            <v>5050</v>
          </cell>
          <cell r="W1292" t="str">
            <v>KEW</v>
          </cell>
          <cell r="X1292" t="str">
            <v>01/09/2010</v>
          </cell>
          <cell r="Y1292" t="str">
            <v>KEW</v>
          </cell>
          <cell r="Z1292" t="str">
            <v>16/08/2013</v>
          </cell>
          <cell r="AA1292" t="str">
            <v>15/08/2015</v>
          </cell>
          <cell r="AB1292" t="str">
            <v>No</v>
          </cell>
          <cell r="AC1292" t="str">
            <v>31/08/2013</v>
          </cell>
          <cell r="AD1292" t="str">
            <v>Good</v>
          </cell>
          <cell r="AE1292" t="str">
            <v>V1 - Existing / No Claim</v>
          </cell>
          <cell r="AF1292">
            <v>42235</v>
          </cell>
          <cell r="AG1292">
            <v>9.17</v>
          </cell>
          <cell r="AH1292" t="str">
            <v>PPM</v>
          </cell>
          <cell r="AI1292" t="str">
            <v>Strands</v>
          </cell>
          <cell r="AJ1292" t="str">
            <v>Strands PW</v>
          </cell>
        </row>
        <row r="1293">
          <cell r="A1293" t="str">
            <v>IKN400954</v>
          </cell>
          <cell r="B1293">
            <v>953</v>
          </cell>
          <cell r="C1293" t="str">
            <v>Institut Kanser Negara</v>
          </cell>
          <cell r="D1293" t="str">
            <v>KKM/IKN/H/13/5377</v>
          </cell>
          <cell r="E1293" t="str">
            <v>12-282</v>
          </cell>
          <cell r="F1293" t="str">
            <v>Lights, Surgical</v>
          </cell>
          <cell r="G1293" t="str">
            <v>RT</v>
          </cell>
          <cell r="H1293" t="str">
            <v>RADIATION TREATMENT UNIT</v>
          </cell>
          <cell r="I1293" t="str">
            <v>01RT111</v>
          </cell>
          <cell r="J1293" t="str">
            <v>C/E 3</v>
          </cell>
          <cell r="K1293" t="str">
            <v>BMED</v>
          </cell>
          <cell r="L1293" t="str">
            <v>Normal</v>
          </cell>
          <cell r="M1293" t="str">
            <v>USA</v>
          </cell>
          <cell r="N1293" t="str">
            <v>Welch Allyn</v>
          </cell>
          <cell r="O1293" t="str">
            <v>Welch Allyn GS600</v>
          </cell>
          <cell r="P1293" t="str">
            <v>GS-600-04</v>
          </cell>
          <cell r="Q1293" t="str">
            <v>Not Applicable</v>
          </cell>
          <cell r="R1293" t="str">
            <v>Welch Allyn Inc</v>
          </cell>
          <cell r="S1293" t="str">
            <v>Welch Allyn Malaysia Sdn Bhd</v>
          </cell>
          <cell r="T1293" t="str">
            <v>Functioning</v>
          </cell>
          <cell r="U1293" t="str">
            <v>Asset</v>
          </cell>
          <cell r="V1293">
            <v>5050</v>
          </cell>
          <cell r="W1293" t="str">
            <v>KEW</v>
          </cell>
          <cell r="X1293" t="str">
            <v>01/09/2010</v>
          </cell>
          <cell r="Y1293" t="str">
            <v>KEW</v>
          </cell>
          <cell r="Z1293" t="str">
            <v>16/08/2013</v>
          </cell>
          <cell r="AA1293" t="str">
            <v>15/08/2015</v>
          </cell>
          <cell r="AB1293" t="str">
            <v>No</v>
          </cell>
          <cell r="AC1293" t="str">
            <v>31/08/2013</v>
          </cell>
          <cell r="AD1293" t="str">
            <v>Good</v>
          </cell>
          <cell r="AE1293" t="str">
            <v>V1 - Existing / No Claim</v>
          </cell>
          <cell r="AF1293">
            <v>42235</v>
          </cell>
          <cell r="AG1293">
            <v>9.17</v>
          </cell>
          <cell r="AH1293" t="str">
            <v>PPM</v>
          </cell>
          <cell r="AI1293" t="str">
            <v>Strands</v>
          </cell>
          <cell r="AJ1293" t="str">
            <v>Strands PW</v>
          </cell>
        </row>
        <row r="1294">
          <cell r="A1294" t="str">
            <v>IKN400955</v>
          </cell>
          <cell r="B1294">
            <v>954</v>
          </cell>
          <cell r="C1294" t="str">
            <v>Institut Kanser Negara</v>
          </cell>
          <cell r="E1294" t="str">
            <v>16-173</v>
          </cell>
          <cell r="F1294" t="str">
            <v>Sphygmomanometers, Electronic, Automatic</v>
          </cell>
          <cell r="G1294" t="str">
            <v>RT</v>
          </cell>
          <cell r="H1294" t="str">
            <v>RADIATION TREATMENT UNIT</v>
          </cell>
          <cell r="I1294" t="str">
            <v>01RT111</v>
          </cell>
          <cell r="J1294" t="str">
            <v>C/E 3</v>
          </cell>
          <cell r="K1294" t="str">
            <v>BMED</v>
          </cell>
          <cell r="L1294" t="str">
            <v>Normal</v>
          </cell>
          <cell r="M1294" t="str">
            <v>USA</v>
          </cell>
          <cell r="N1294" t="str">
            <v>Connex</v>
          </cell>
          <cell r="O1294" t="str">
            <v>Connex ProBP 3400</v>
          </cell>
          <cell r="P1294" t="str">
            <v>100001450413</v>
          </cell>
          <cell r="Q1294" t="str">
            <v>Not Applicable</v>
          </cell>
          <cell r="R1294" t="str">
            <v>Welch Allyn Inc</v>
          </cell>
          <cell r="S1294" t="str">
            <v>Welch Allyn Malaysia Sdn Bhd</v>
          </cell>
          <cell r="T1294" t="str">
            <v>Functioning</v>
          </cell>
          <cell r="U1294" t="str">
            <v>Asset</v>
          </cell>
          <cell r="V1294">
            <v>336</v>
          </cell>
          <cell r="W1294" t="str">
            <v>KEW</v>
          </cell>
          <cell r="X1294" t="str">
            <v>01/09/2010</v>
          </cell>
          <cell r="Y1294" t="str">
            <v>KEW</v>
          </cell>
          <cell r="Z1294" t="str">
            <v>16/08/2013</v>
          </cell>
          <cell r="AA1294" t="str">
            <v>15/08/2015</v>
          </cell>
          <cell r="AB1294" t="str">
            <v>No</v>
          </cell>
          <cell r="AC1294" t="str">
            <v>31/08/2013</v>
          </cell>
          <cell r="AD1294" t="str">
            <v>Good</v>
          </cell>
          <cell r="AE1294" t="str">
            <v>V3 - Added Installed Facilities (New)</v>
          </cell>
          <cell r="AF1294">
            <v>42235</v>
          </cell>
          <cell r="AG1294">
            <v>9.17</v>
          </cell>
          <cell r="AH1294" t="str">
            <v>PPM</v>
          </cell>
          <cell r="AI1294" t="str">
            <v>strands</v>
          </cell>
        </row>
        <row r="1295">
          <cell r="A1295" t="str">
            <v>IKN400956</v>
          </cell>
          <cell r="B1295">
            <v>955</v>
          </cell>
          <cell r="C1295" t="str">
            <v>Institut Kanser Negara</v>
          </cell>
          <cell r="D1295" t="str">
            <v>KKM/IKN/H/13/4472</v>
          </cell>
          <cell r="E1295" t="str">
            <v>12-364</v>
          </cell>
          <cell r="F1295" t="str">
            <v>Linear Accelerators</v>
          </cell>
          <cell r="G1295" t="str">
            <v>RT</v>
          </cell>
          <cell r="H1295" t="str">
            <v>RADIATION TREATMENT UNIT</v>
          </cell>
          <cell r="I1295" t="str">
            <v>01RT172</v>
          </cell>
          <cell r="J1295" t="str">
            <v>LINAC ROOM 3</v>
          </cell>
          <cell r="K1295" t="str">
            <v>BMED</v>
          </cell>
          <cell r="L1295" t="str">
            <v>Normal</v>
          </cell>
          <cell r="M1295" t="str">
            <v>USA</v>
          </cell>
          <cell r="N1295" t="str">
            <v>Novalis</v>
          </cell>
          <cell r="O1295" t="str">
            <v>Novalis Tx</v>
          </cell>
          <cell r="P1295" t="str">
            <v>5426</v>
          </cell>
          <cell r="Q1295" t="str">
            <v>Not Applicable</v>
          </cell>
          <cell r="R1295" t="str">
            <v>Varian Medical System</v>
          </cell>
          <cell r="S1295" t="str">
            <v>V Medical Services</v>
          </cell>
          <cell r="T1295" t="str">
            <v>Functioning</v>
          </cell>
          <cell r="U1295" t="str">
            <v>Asset</v>
          </cell>
          <cell r="V1295">
            <v>21961900</v>
          </cell>
          <cell r="W1295" t="str">
            <v>KEW</v>
          </cell>
          <cell r="X1295" t="str">
            <v>01/09/2010</v>
          </cell>
          <cell r="Y1295" t="str">
            <v>KEW</v>
          </cell>
          <cell r="Z1295" t="str">
            <v>16/08/2013</v>
          </cell>
          <cell r="AA1295" t="str">
            <v>15/08/2015</v>
          </cell>
          <cell r="AB1295" t="str">
            <v>No</v>
          </cell>
          <cell r="AC1295" t="str">
            <v>31/08/2013</v>
          </cell>
          <cell r="AD1295" t="str">
            <v>Good</v>
          </cell>
          <cell r="AE1295" t="str">
            <v>V1 - Existing / No Claim</v>
          </cell>
          <cell r="AF1295">
            <v>42235</v>
          </cell>
          <cell r="AG1295">
            <v>9.17</v>
          </cell>
          <cell r="AH1295" t="str">
            <v>PPM</v>
          </cell>
          <cell r="AI1295" t="str">
            <v>Strands</v>
          </cell>
          <cell r="AJ1295" t="str">
            <v>Strands Package</v>
          </cell>
          <cell r="AK1295" t="str">
            <v>Package Code XM0003(A)</v>
          </cell>
        </row>
        <row r="1296">
          <cell r="A1296" t="str">
            <v>IKN400957</v>
          </cell>
          <cell r="B1296">
            <v>956</v>
          </cell>
          <cell r="C1296" t="str">
            <v>Institut Kanser Negara</v>
          </cell>
          <cell r="D1296" t="str">
            <v>KKM/IKN/H/13/5022</v>
          </cell>
          <cell r="E1296" t="str">
            <v>12-647</v>
          </cell>
          <cell r="F1296" t="str">
            <v>Physiologic Monitoring Systems, Acute Care</v>
          </cell>
          <cell r="G1296" t="str">
            <v>RT</v>
          </cell>
          <cell r="H1296" t="str">
            <v>RADIATION TREATMENT UNIT</v>
          </cell>
          <cell r="I1296" t="str">
            <v>01RT165</v>
          </cell>
          <cell r="J1296" t="str">
            <v>LINAC ROOM 2 (TBI)</v>
          </cell>
          <cell r="K1296" t="str">
            <v>BMED</v>
          </cell>
          <cell r="L1296" t="str">
            <v>Normal</v>
          </cell>
          <cell r="M1296" t="str">
            <v>Finland</v>
          </cell>
          <cell r="N1296" t="str">
            <v>Carespace</v>
          </cell>
          <cell r="O1296" t="str">
            <v>Carespace B850</v>
          </cell>
          <cell r="P1296" t="str">
            <v>SED12370672GA</v>
          </cell>
          <cell r="Q1296" t="str">
            <v>Not Applicable</v>
          </cell>
          <cell r="R1296" t="str">
            <v>GE Healthcare Systems</v>
          </cell>
          <cell r="S1296" t="str">
            <v>GE Healthcare Technologies</v>
          </cell>
          <cell r="T1296" t="str">
            <v>Functioning</v>
          </cell>
          <cell r="U1296" t="str">
            <v>Asset</v>
          </cell>
          <cell r="V1296">
            <v>119690</v>
          </cell>
          <cell r="W1296" t="str">
            <v>KEW</v>
          </cell>
          <cell r="X1296" t="str">
            <v>01/09/2010</v>
          </cell>
          <cell r="Y1296" t="str">
            <v>KEW</v>
          </cell>
          <cell r="Z1296" t="str">
            <v>16/08/2013</v>
          </cell>
          <cell r="AA1296" t="str">
            <v>15/08/2015</v>
          </cell>
          <cell r="AB1296" t="str">
            <v>No</v>
          </cell>
          <cell r="AC1296" t="str">
            <v>31/08/2013</v>
          </cell>
          <cell r="AD1296" t="str">
            <v>Good</v>
          </cell>
          <cell r="AE1296" t="str">
            <v>V1 - Existing / No Claim</v>
          </cell>
          <cell r="AF1296">
            <v>42235</v>
          </cell>
          <cell r="AG1296">
            <v>9.17</v>
          </cell>
          <cell r="AH1296" t="str">
            <v>PPM</v>
          </cell>
          <cell r="AI1296" t="str">
            <v>Strands</v>
          </cell>
          <cell r="AJ1296" t="str">
            <v>Strands PW</v>
          </cell>
        </row>
        <row r="1297">
          <cell r="A1297" t="str">
            <v>IKN400958</v>
          </cell>
          <cell r="B1297">
            <v>957</v>
          </cell>
          <cell r="C1297" t="str">
            <v>Institut Kanser Negara</v>
          </cell>
          <cell r="E1297" t="str">
            <v>11-134</v>
          </cell>
          <cell r="F1297" t="str">
            <v>Defibrillators, External, Manual</v>
          </cell>
          <cell r="G1297" t="str">
            <v>RT</v>
          </cell>
          <cell r="H1297" t="str">
            <v>RADIATION TREATMENT UNIT</v>
          </cell>
          <cell r="I1297" t="str">
            <v>01RT116</v>
          </cell>
          <cell r="J1297" t="str">
            <v>CT SIMULATOR 1</v>
          </cell>
          <cell r="K1297" t="str">
            <v>BMED</v>
          </cell>
          <cell r="L1297" t="str">
            <v>Critical</v>
          </cell>
          <cell r="M1297" t="str">
            <v>USA</v>
          </cell>
          <cell r="N1297" t="str">
            <v>Responder</v>
          </cell>
          <cell r="O1297" t="str">
            <v>Responder 2000</v>
          </cell>
          <cell r="P1297" t="str">
            <v>3206736</v>
          </cell>
          <cell r="Q1297" t="str">
            <v>Not Applicable</v>
          </cell>
          <cell r="R1297" t="str">
            <v>GE Medical Systems</v>
          </cell>
          <cell r="S1297" t="str">
            <v>Antah Sir Radin Sdn. Bhd.</v>
          </cell>
          <cell r="T1297" t="str">
            <v>Functioning</v>
          </cell>
          <cell r="U1297" t="str">
            <v>Asset</v>
          </cell>
          <cell r="V1297">
            <v>45000</v>
          </cell>
          <cell r="W1297" t="str">
            <v>Estimate</v>
          </cell>
          <cell r="X1297" t="str">
            <v>01/09/2010</v>
          </cell>
          <cell r="Y1297" t="str">
            <v>KEW</v>
          </cell>
          <cell r="Z1297" t="str">
            <v>16/08/2013</v>
          </cell>
          <cell r="AA1297" t="str">
            <v>15/08/2015</v>
          </cell>
          <cell r="AB1297" t="str">
            <v>No</v>
          </cell>
          <cell r="AC1297" t="str">
            <v>31/08/2013</v>
          </cell>
          <cell r="AD1297" t="str">
            <v>Good</v>
          </cell>
          <cell r="AE1297" t="str">
            <v>V1 - Existing / No Claim</v>
          </cell>
          <cell r="AF1297">
            <v>42605</v>
          </cell>
          <cell r="AG1297">
            <v>9.17</v>
          </cell>
          <cell r="AH1297" t="str">
            <v>PPM</v>
          </cell>
          <cell r="AI1297" t="str">
            <v>Strands</v>
          </cell>
          <cell r="AJ1297" t="str">
            <v>Strands PW</v>
          </cell>
          <cell r="AK1297" t="str">
            <v>Crash Trolley (FEMS)</v>
          </cell>
        </row>
        <row r="1298">
          <cell r="A1298" t="str">
            <v>IKN400959</v>
          </cell>
          <cell r="B1298">
            <v>958</v>
          </cell>
          <cell r="C1298" t="str">
            <v>Institut Kanser Negara</v>
          </cell>
          <cell r="D1298" t="str">
            <v>KKM/IKN/H/13/5034</v>
          </cell>
          <cell r="E1298" t="str">
            <v>10-134</v>
          </cell>
          <cell r="F1298" t="str">
            <v>Anesthesia Units</v>
          </cell>
          <cell r="G1298" t="str">
            <v>RT</v>
          </cell>
          <cell r="H1298" t="str">
            <v>RADIATION TREATMENT UNIT</v>
          </cell>
          <cell r="I1298" t="str">
            <v>01RT212</v>
          </cell>
          <cell r="J1298" t="str">
            <v>RECOVERY</v>
          </cell>
          <cell r="K1298" t="str">
            <v>BMED</v>
          </cell>
          <cell r="L1298" t="str">
            <v>Normal</v>
          </cell>
          <cell r="M1298" t="str">
            <v>Germany</v>
          </cell>
          <cell r="N1298" t="str">
            <v>Primus</v>
          </cell>
          <cell r="O1298" t="str">
            <v>Primus</v>
          </cell>
          <cell r="P1298" t="str">
            <v>ASDJ-0234</v>
          </cell>
          <cell r="Q1298" t="str">
            <v>Not Applicable</v>
          </cell>
          <cell r="R1298" t="str">
            <v>Drager medical GmbH</v>
          </cell>
          <cell r="S1298" t="str">
            <v>Beau Consortium Sdn Bhd</v>
          </cell>
          <cell r="T1298" t="str">
            <v>Functioning</v>
          </cell>
          <cell r="U1298" t="str">
            <v>Asset</v>
          </cell>
          <cell r="V1298">
            <v>144345</v>
          </cell>
          <cell r="W1298" t="str">
            <v>KEW</v>
          </cell>
          <cell r="X1298" t="str">
            <v>01/09/2010</v>
          </cell>
          <cell r="Y1298" t="str">
            <v>KEW</v>
          </cell>
          <cell r="Z1298" t="str">
            <v>16/08/2013</v>
          </cell>
          <cell r="AA1298" t="str">
            <v>15/08/2015</v>
          </cell>
          <cell r="AB1298" t="str">
            <v>No</v>
          </cell>
          <cell r="AC1298" t="str">
            <v>31/08/2013</v>
          </cell>
          <cell r="AD1298" t="str">
            <v>Good</v>
          </cell>
          <cell r="AE1298" t="str">
            <v>V1 - Existing / No Claim</v>
          </cell>
          <cell r="AF1298">
            <v>42235</v>
          </cell>
          <cell r="AG1298">
            <v>9.17</v>
          </cell>
          <cell r="AH1298" t="str">
            <v>PPM</v>
          </cell>
          <cell r="AI1298" t="str">
            <v>Strands</v>
          </cell>
          <cell r="AJ1298" t="str">
            <v>Strands PW</v>
          </cell>
        </row>
        <row r="1299">
          <cell r="A1299" t="str">
            <v>IKN400961</v>
          </cell>
          <cell r="B1299">
            <v>960</v>
          </cell>
          <cell r="C1299" t="str">
            <v>Institut Kanser Negara</v>
          </cell>
          <cell r="D1299" t="str">
            <v>KKM/IKN/H/13/4944</v>
          </cell>
          <cell r="E1299" t="str">
            <v>12-647</v>
          </cell>
          <cell r="F1299" t="str">
            <v>Physiologic Monitoring Systems, Acute Care</v>
          </cell>
          <cell r="G1299" t="str">
            <v>RT</v>
          </cell>
          <cell r="H1299" t="str">
            <v>RADIATION TREATMENT UNIT</v>
          </cell>
          <cell r="I1299" t="str">
            <v>01RT212</v>
          </cell>
          <cell r="J1299" t="str">
            <v>RECOVERY</v>
          </cell>
          <cell r="K1299" t="str">
            <v>BMED</v>
          </cell>
          <cell r="L1299" t="str">
            <v>Critical</v>
          </cell>
          <cell r="M1299" t="str">
            <v>Finland</v>
          </cell>
          <cell r="N1299" t="str">
            <v>CareScape</v>
          </cell>
          <cell r="O1299" t="str">
            <v>CareScape B650</v>
          </cell>
          <cell r="P1299" t="str">
            <v>SEW12357511HA</v>
          </cell>
          <cell r="Q1299" t="str">
            <v>Not Applicable</v>
          </cell>
          <cell r="R1299" t="str">
            <v>GE Medical Systems</v>
          </cell>
          <cell r="S1299" t="str">
            <v>GE Healthcare Technologies</v>
          </cell>
          <cell r="T1299" t="str">
            <v>Functioning</v>
          </cell>
          <cell r="U1299" t="str">
            <v>Asset</v>
          </cell>
          <cell r="V1299">
            <v>87400</v>
          </cell>
          <cell r="W1299" t="str">
            <v>KEW</v>
          </cell>
          <cell r="X1299" t="str">
            <v>01/09/2010</v>
          </cell>
          <cell r="Y1299" t="str">
            <v>KEW</v>
          </cell>
          <cell r="Z1299" t="str">
            <v>16/08/2013</v>
          </cell>
          <cell r="AA1299" t="str">
            <v>15/08/2015</v>
          </cell>
          <cell r="AB1299" t="str">
            <v>No</v>
          </cell>
          <cell r="AC1299" t="str">
            <v>31/08/2013</v>
          </cell>
          <cell r="AD1299" t="str">
            <v>Good</v>
          </cell>
          <cell r="AE1299" t="str">
            <v>V1 - Existing / No Claim</v>
          </cell>
          <cell r="AF1299">
            <v>42801</v>
          </cell>
          <cell r="AG1299">
            <v>9.17</v>
          </cell>
          <cell r="AH1299" t="str">
            <v>PPM</v>
          </cell>
          <cell r="AI1299" t="str">
            <v>Strands</v>
          </cell>
          <cell r="AJ1299" t="str">
            <v>Strands PW</v>
          </cell>
        </row>
        <row r="1300">
          <cell r="A1300" t="str">
            <v>IKN400962</v>
          </cell>
          <cell r="B1300">
            <v>961</v>
          </cell>
          <cell r="C1300" t="str">
            <v>Institut Kanser Negara</v>
          </cell>
          <cell r="D1300" t="str">
            <v>KKM/IKN/H/13/4945</v>
          </cell>
          <cell r="E1300" t="str">
            <v>12-647</v>
          </cell>
          <cell r="F1300" t="str">
            <v>Physiologic Monitoring Systems, Acute Care</v>
          </cell>
          <cell r="G1300" t="str">
            <v>RT</v>
          </cell>
          <cell r="H1300" t="str">
            <v>RADIATION TREATMENT UNIT</v>
          </cell>
          <cell r="I1300" t="str">
            <v>01RT212</v>
          </cell>
          <cell r="J1300" t="str">
            <v>RECOVERY</v>
          </cell>
          <cell r="K1300" t="str">
            <v>BMED</v>
          </cell>
          <cell r="L1300" t="str">
            <v>Critical</v>
          </cell>
          <cell r="M1300" t="str">
            <v>Finland</v>
          </cell>
          <cell r="N1300" t="str">
            <v>CareScape</v>
          </cell>
          <cell r="O1300" t="str">
            <v>CareScape B650</v>
          </cell>
          <cell r="P1300" t="str">
            <v>SEW12357353HA</v>
          </cell>
          <cell r="Q1300" t="str">
            <v>Not Applicable</v>
          </cell>
          <cell r="R1300" t="str">
            <v>GE Medical Systems</v>
          </cell>
          <cell r="S1300" t="str">
            <v>GE Healthcare Technologies</v>
          </cell>
          <cell r="T1300" t="str">
            <v>Functioning</v>
          </cell>
          <cell r="U1300" t="str">
            <v>Asset</v>
          </cell>
          <cell r="V1300">
            <v>87400</v>
          </cell>
          <cell r="W1300" t="str">
            <v>KEW</v>
          </cell>
          <cell r="X1300" t="str">
            <v>01/09/2010</v>
          </cell>
          <cell r="Y1300" t="str">
            <v>KEW</v>
          </cell>
          <cell r="Z1300" t="str">
            <v>16/08/2013</v>
          </cell>
          <cell r="AA1300" t="str">
            <v>15/08/2015</v>
          </cell>
          <cell r="AB1300" t="str">
            <v>No</v>
          </cell>
          <cell r="AC1300" t="str">
            <v>31/08/2013</v>
          </cell>
          <cell r="AD1300" t="str">
            <v>Good</v>
          </cell>
          <cell r="AE1300" t="str">
            <v>V1 - Existing / No Claim</v>
          </cell>
          <cell r="AF1300">
            <v>42801</v>
          </cell>
          <cell r="AG1300">
            <v>9.17</v>
          </cell>
          <cell r="AH1300" t="str">
            <v>PPM</v>
          </cell>
          <cell r="AI1300" t="str">
            <v>Strands</v>
          </cell>
          <cell r="AJ1300" t="str">
            <v>Strands PW</v>
          </cell>
        </row>
        <row r="1301">
          <cell r="A1301" t="str">
            <v>IKN400963</v>
          </cell>
          <cell r="B1301">
            <v>962</v>
          </cell>
          <cell r="C1301" t="str">
            <v>Institut Kanser Negara</v>
          </cell>
          <cell r="D1301" t="str">
            <v>KKM/IKN/H/13/4972</v>
          </cell>
          <cell r="E1301" t="str">
            <v>13-249</v>
          </cell>
          <cell r="F1301" t="str">
            <v>Warming Units, Patient, Radiant, Adult</v>
          </cell>
          <cell r="G1301" t="str">
            <v>RT</v>
          </cell>
          <cell r="H1301" t="str">
            <v>RADIATION TREATMENT UNIT</v>
          </cell>
          <cell r="I1301" t="str">
            <v>01RT212</v>
          </cell>
          <cell r="J1301" t="str">
            <v>RECOVERY</v>
          </cell>
          <cell r="K1301" t="str">
            <v>BMED</v>
          </cell>
          <cell r="L1301" t="str">
            <v>Normal</v>
          </cell>
          <cell r="M1301" t="str">
            <v>Sweden</v>
          </cell>
          <cell r="N1301" t="str">
            <v>Aragona</v>
          </cell>
          <cell r="O1301" t="str">
            <v>Aragona MTC-410</v>
          </cell>
          <cell r="P1301" t="str">
            <v>1204</v>
          </cell>
          <cell r="Q1301" t="str">
            <v>Not Applicable</v>
          </cell>
          <cell r="R1301" t="str">
            <v>Aspira Medical AB</v>
          </cell>
          <cell r="S1301" t="str">
            <v>Perniagaan Med Tech</v>
          </cell>
          <cell r="T1301" t="str">
            <v>Functioning</v>
          </cell>
          <cell r="U1301" t="str">
            <v>Asset</v>
          </cell>
          <cell r="V1301">
            <v>12630</v>
          </cell>
          <cell r="W1301" t="str">
            <v>KEW</v>
          </cell>
          <cell r="X1301" t="str">
            <v>01/09/2010</v>
          </cell>
          <cell r="Y1301" t="str">
            <v>KEW</v>
          </cell>
          <cell r="Z1301" t="str">
            <v>16/08/2013</v>
          </cell>
          <cell r="AA1301" t="str">
            <v>15/08/2015</v>
          </cell>
          <cell r="AB1301" t="str">
            <v>No</v>
          </cell>
          <cell r="AC1301" t="str">
            <v>31/08/2013</v>
          </cell>
          <cell r="AD1301" t="str">
            <v>Good</v>
          </cell>
          <cell r="AE1301" t="str">
            <v>V3 - Added Installed Facilities (New)</v>
          </cell>
          <cell r="AF1301">
            <v>42801</v>
          </cell>
          <cell r="AG1301">
            <v>9.17</v>
          </cell>
          <cell r="AH1301" t="str">
            <v>PPM</v>
          </cell>
          <cell r="AI1301" t="str">
            <v>Not in contract</v>
          </cell>
          <cell r="AJ1301" t="str">
            <v>Proposed for V3 P2.23</v>
          </cell>
          <cell r="AK1301" t="str">
            <v>KKM follow P2.23 list.</v>
          </cell>
        </row>
        <row r="1302">
          <cell r="A1302" t="str">
            <v>IKN400965</v>
          </cell>
          <cell r="B1302">
            <v>963</v>
          </cell>
          <cell r="C1302" t="str">
            <v>Institut Kanser Negara</v>
          </cell>
          <cell r="D1302" t="str">
            <v>KKM/IKN/H/13/4473</v>
          </cell>
          <cell r="E1302" t="str">
            <v>12-364</v>
          </cell>
          <cell r="F1302" t="str">
            <v>Linear Accelerators</v>
          </cell>
          <cell r="G1302" t="str">
            <v>RT</v>
          </cell>
          <cell r="H1302" t="str">
            <v>RADIATION TREATMENT UNIT</v>
          </cell>
          <cell r="I1302" t="str">
            <v>01RT177</v>
          </cell>
          <cell r="J1302" t="str">
            <v>LINAC ROOM 4 (TOMO)</v>
          </cell>
          <cell r="K1302" t="str">
            <v>BMED</v>
          </cell>
          <cell r="L1302" t="str">
            <v>Normal</v>
          </cell>
          <cell r="M1302" t="str">
            <v>USA</v>
          </cell>
          <cell r="N1302" t="str">
            <v>TomoHD</v>
          </cell>
          <cell r="O1302" t="str">
            <v>TomoHD</v>
          </cell>
          <cell r="P1302" t="str">
            <v>0110436</v>
          </cell>
          <cell r="Q1302" t="str">
            <v>Not Applicable</v>
          </cell>
          <cell r="R1302" t="str">
            <v>TomoTherapy</v>
          </cell>
          <cell r="S1302" t="str">
            <v>Transmedic Healthcare Sdn Bhd</v>
          </cell>
          <cell r="T1302" t="str">
            <v>Functioning</v>
          </cell>
          <cell r="U1302" t="str">
            <v>Asset</v>
          </cell>
          <cell r="V1302">
            <v>19351760</v>
          </cell>
          <cell r="W1302" t="str">
            <v>KEW</v>
          </cell>
          <cell r="X1302" t="str">
            <v>01/09/2010</v>
          </cell>
          <cell r="Y1302" t="str">
            <v>KEW</v>
          </cell>
          <cell r="Z1302" t="str">
            <v>16/08/2013</v>
          </cell>
          <cell r="AA1302" t="str">
            <v>15/08/2015</v>
          </cell>
          <cell r="AB1302" t="str">
            <v>No</v>
          </cell>
          <cell r="AC1302" t="str">
            <v>31/08/2013</v>
          </cell>
          <cell r="AD1302" t="str">
            <v>Good</v>
          </cell>
          <cell r="AE1302" t="str">
            <v>V1 - Existing / No Claim</v>
          </cell>
          <cell r="AF1302">
            <v>42235</v>
          </cell>
          <cell r="AG1302">
            <v>9.17</v>
          </cell>
          <cell r="AH1302" t="str">
            <v>PPM</v>
          </cell>
          <cell r="AI1302" t="str">
            <v>Strands</v>
          </cell>
          <cell r="AJ1302" t="str">
            <v>Strands Package</v>
          </cell>
          <cell r="AK1302" t="str">
            <v>Package Code XM0003(B)</v>
          </cell>
        </row>
        <row r="1303">
          <cell r="A1303" t="str">
            <v>IKN400966</v>
          </cell>
          <cell r="B1303">
            <v>964</v>
          </cell>
          <cell r="C1303" t="str">
            <v>Institut Kanser Negara</v>
          </cell>
          <cell r="D1303" t="str">
            <v>KKM/IKN/H/13/4470</v>
          </cell>
          <cell r="E1303" t="str">
            <v>12-364</v>
          </cell>
          <cell r="F1303" t="str">
            <v>Linear Accelerators</v>
          </cell>
          <cell r="G1303" t="str">
            <v>RT</v>
          </cell>
          <cell r="H1303" t="str">
            <v>RADIATION TREATMENT UNIT</v>
          </cell>
          <cell r="I1303" t="str">
            <v>01RT159</v>
          </cell>
          <cell r="J1303" t="str">
            <v>LINAC ROOM 1 (TBI)</v>
          </cell>
          <cell r="K1303" t="str">
            <v>BMED</v>
          </cell>
          <cell r="L1303" t="str">
            <v>Normal</v>
          </cell>
          <cell r="M1303" t="str">
            <v>Sweden</v>
          </cell>
          <cell r="N1303" t="str">
            <v>Synergy</v>
          </cell>
          <cell r="O1303" t="str">
            <v>Synergy</v>
          </cell>
          <cell r="P1303" t="str">
            <v>152710</v>
          </cell>
          <cell r="Q1303" t="str">
            <v>Not Applicable</v>
          </cell>
          <cell r="R1303" t="str">
            <v>Elekta</v>
          </cell>
          <cell r="S1303" t="str">
            <v>Meditek Equipment</v>
          </cell>
          <cell r="T1303" t="str">
            <v>Functioning</v>
          </cell>
          <cell r="U1303" t="str">
            <v>Asset</v>
          </cell>
          <cell r="V1303">
            <v>12049370</v>
          </cell>
          <cell r="W1303" t="str">
            <v>KEW</v>
          </cell>
          <cell r="X1303" t="str">
            <v>01/09/2010</v>
          </cell>
          <cell r="Y1303" t="str">
            <v>KEW</v>
          </cell>
          <cell r="Z1303" t="str">
            <v>16/08/2013</v>
          </cell>
          <cell r="AA1303" t="str">
            <v>15/08/2015</v>
          </cell>
          <cell r="AB1303" t="str">
            <v>No</v>
          </cell>
          <cell r="AC1303" t="str">
            <v>31/08/2013</v>
          </cell>
          <cell r="AD1303" t="str">
            <v>Good</v>
          </cell>
          <cell r="AE1303" t="str">
            <v>V1 - Existing / No Claim</v>
          </cell>
          <cell r="AF1303">
            <v>42235</v>
          </cell>
          <cell r="AG1303">
            <v>9.17</v>
          </cell>
          <cell r="AH1303" t="str">
            <v>PPM</v>
          </cell>
          <cell r="AI1303" t="str">
            <v>Strands</v>
          </cell>
          <cell r="AJ1303" t="str">
            <v>Strands Package</v>
          </cell>
          <cell r="AK1303" t="str">
            <v>Package Code XM0002</v>
          </cell>
        </row>
        <row r="1304">
          <cell r="A1304" t="str">
            <v>IKN400967</v>
          </cell>
          <cell r="B1304">
            <v>965</v>
          </cell>
          <cell r="C1304" t="str">
            <v>Institut Kanser Negara</v>
          </cell>
          <cell r="D1304" t="str">
            <v>KKM/IKN/H/13/4471</v>
          </cell>
          <cell r="E1304" t="str">
            <v>12-364</v>
          </cell>
          <cell r="F1304" t="str">
            <v>Linear Accelerators</v>
          </cell>
          <cell r="G1304" t="str">
            <v>RT</v>
          </cell>
          <cell r="H1304" t="str">
            <v>RADIATION TREATMENT UNIT</v>
          </cell>
          <cell r="I1304" t="str">
            <v>01RT165</v>
          </cell>
          <cell r="J1304" t="str">
            <v>LINAC ROOM 2 (TBI)</v>
          </cell>
          <cell r="K1304" t="str">
            <v>BMED</v>
          </cell>
          <cell r="L1304" t="str">
            <v>Normal</v>
          </cell>
          <cell r="M1304" t="str">
            <v>Sweden</v>
          </cell>
          <cell r="N1304" t="str">
            <v>Synergy</v>
          </cell>
          <cell r="O1304" t="str">
            <v>Synergy</v>
          </cell>
          <cell r="P1304" t="str">
            <v>152711</v>
          </cell>
          <cell r="Q1304" t="str">
            <v>Not Applicable</v>
          </cell>
          <cell r="R1304" t="str">
            <v>Elekta</v>
          </cell>
          <cell r="S1304" t="str">
            <v>Meditek Equipment</v>
          </cell>
          <cell r="T1304" t="str">
            <v>Functioning</v>
          </cell>
          <cell r="U1304" t="str">
            <v>Asset</v>
          </cell>
          <cell r="V1304">
            <v>12049370</v>
          </cell>
          <cell r="W1304" t="str">
            <v>KEW</v>
          </cell>
          <cell r="X1304" t="str">
            <v>01/09/2010</v>
          </cell>
          <cell r="Y1304" t="str">
            <v>KEW</v>
          </cell>
          <cell r="Z1304" t="str">
            <v>16/08/2013</v>
          </cell>
          <cell r="AA1304" t="str">
            <v>15/08/2015</v>
          </cell>
          <cell r="AB1304" t="str">
            <v>No</v>
          </cell>
          <cell r="AC1304" t="str">
            <v>31/08/2013</v>
          </cell>
          <cell r="AD1304" t="str">
            <v>Good</v>
          </cell>
          <cell r="AE1304" t="str">
            <v>V1 - Existing / No Claim</v>
          </cell>
          <cell r="AF1304">
            <v>42235</v>
          </cell>
          <cell r="AG1304">
            <v>9.17</v>
          </cell>
          <cell r="AH1304" t="str">
            <v>PPM</v>
          </cell>
          <cell r="AI1304" t="str">
            <v>Strands</v>
          </cell>
          <cell r="AJ1304" t="str">
            <v>Strands Package</v>
          </cell>
          <cell r="AK1304" t="str">
            <v>Package Code XM0002</v>
          </cell>
        </row>
        <row r="1305">
          <cell r="A1305" t="str">
            <v>IKN400968</v>
          </cell>
          <cell r="B1305">
            <v>966</v>
          </cell>
          <cell r="C1305" t="str">
            <v>Institut Kanser Negara</v>
          </cell>
          <cell r="D1305" t="str">
            <v>KKM/IKN/H/13/2540</v>
          </cell>
          <cell r="E1305" t="str">
            <v>17-950</v>
          </cell>
          <cell r="F1305" t="str">
            <v>Warming Units, Patient, Forced-Air</v>
          </cell>
          <cell r="G1305" t="str">
            <v>RT</v>
          </cell>
          <cell r="H1305" t="str">
            <v>RADIATION TREATMENT UNIT</v>
          </cell>
          <cell r="I1305" t="str">
            <v>01RT238</v>
          </cell>
          <cell r="J1305" t="str">
            <v>PRE-OP</v>
          </cell>
          <cell r="K1305" t="str">
            <v>BMED</v>
          </cell>
          <cell r="L1305" t="str">
            <v>Normal</v>
          </cell>
          <cell r="M1305" t="str">
            <v>USA</v>
          </cell>
          <cell r="N1305" t="str">
            <v>Bair Hugger</v>
          </cell>
          <cell r="O1305" t="str">
            <v>Bair Hugger 775</v>
          </cell>
          <cell r="P1305" t="str">
            <v>36862</v>
          </cell>
          <cell r="Q1305" t="str">
            <v>Not Applicable</v>
          </cell>
          <cell r="R1305" t="str">
            <v>Arizant Healthcare Inc</v>
          </cell>
          <cell r="S1305" t="str">
            <v>Calmed Healthcare Sdn Bhd</v>
          </cell>
          <cell r="T1305" t="str">
            <v>Functioning</v>
          </cell>
          <cell r="U1305" t="str">
            <v>Asset</v>
          </cell>
          <cell r="V1305">
            <v>15515</v>
          </cell>
          <cell r="W1305" t="str">
            <v>KEW</v>
          </cell>
          <cell r="X1305" t="str">
            <v>01/09/2010</v>
          </cell>
          <cell r="Y1305" t="str">
            <v>KEW</v>
          </cell>
          <cell r="Z1305" t="str">
            <v>16/08/2013</v>
          </cell>
          <cell r="AA1305" t="str">
            <v>15/08/2015</v>
          </cell>
          <cell r="AB1305" t="str">
            <v>No</v>
          </cell>
          <cell r="AC1305" t="str">
            <v>31/08/2013</v>
          </cell>
          <cell r="AD1305" t="str">
            <v>Good</v>
          </cell>
          <cell r="AE1305" t="str">
            <v>V1 - Existing / No Claim</v>
          </cell>
          <cell r="AF1305">
            <v>42235</v>
          </cell>
          <cell r="AG1305">
            <v>9.17</v>
          </cell>
          <cell r="AH1305" t="str">
            <v>PPM</v>
          </cell>
          <cell r="AI1305" t="str">
            <v>Strands</v>
          </cell>
          <cell r="AJ1305" t="str">
            <v>Strands PW</v>
          </cell>
        </row>
        <row r="1306">
          <cell r="A1306" t="str">
            <v>IKN400969</v>
          </cell>
          <cell r="B1306">
            <v>967</v>
          </cell>
          <cell r="C1306" t="str">
            <v>Institut Kanser Negara</v>
          </cell>
          <cell r="D1306" t="str">
            <v>KKM/IKN/H/13/5054</v>
          </cell>
          <cell r="E1306" t="str">
            <v>17-950</v>
          </cell>
          <cell r="F1306" t="str">
            <v>Warming Units, Patient, Forced-Air</v>
          </cell>
          <cell r="G1306" t="str">
            <v>RT</v>
          </cell>
          <cell r="H1306" t="str">
            <v>RADIATION TREATMENT UNIT</v>
          </cell>
          <cell r="I1306" t="str">
            <v>01RT116</v>
          </cell>
          <cell r="J1306" t="str">
            <v>CT SIMULATOR 1</v>
          </cell>
          <cell r="K1306" t="str">
            <v>BMED</v>
          </cell>
          <cell r="L1306" t="str">
            <v>Normal</v>
          </cell>
          <cell r="M1306" t="str">
            <v>USA</v>
          </cell>
          <cell r="N1306" t="str">
            <v>Bair Hugger</v>
          </cell>
          <cell r="O1306" t="str">
            <v>Bair Hugger 775</v>
          </cell>
          <cell r="P1306" t="str">
            <v>36861</v>
          </cell>
          <cell r="Q1306" t="str">
            <v>Not Applicable</v>
          </cell>
          <cell r="R1306" t="str">
            <v>Arizant Healthcare Inc</v>
          </cell>
          <cell r="S1306" t="str">
            <v>Calmed Healthcare Sdn Bhd</v>
          </cell>
          <cell r="T1306" t="str">
            <v>Functioning</v>
          </cell>
          <cell r="U1306" t="str">
            <v>Asset</v>
          </cell>
          <cell r="V1306">
            <v>15515</v>
          </cell>
          <cell r="W1306" t="str">
            <v>KEW</v>
          </cell>
          <cell r="X1306" t="str">
            <v>01/09/2010</v>
          </cell>
          <cell r="Y1306" t="str">
            <v>KEW</v>
          </cell>
          <cell r="Z1306" t="str">
            <v>16/08/2013</v>
          </cell>
          <cell r="AA1306" t="str">
            <v>15/08/2015</v>
          </cell>
          <cell r="AB1306" t="str">
            <v>No</v>
          </cell>
          <cell r="AC1306" t="str">
            <v>31/08/2013</v>
          </cell>
          <cell r="AD1306" t="str">
            <v>Good</v>
          </cell>
          <cell r="AE1306" t="str">
            <v>V1 - Existing / No Claim</v>
          </cell>
          <cell r="AF1306">
            <v>42235</v>
          </cell>
          <cell r="AG1306">
            <v>9.17</v>
          </cell>
          <cell r="AH1306" t="str">
            <v>PPM</v>
          </cell>
          <cell r="AI1306" t="str">
            <v>Strands</v>
          </cell>
          <cell r="AJ1306" t="str">
            <v>Strands PW</v>
          </cell>
        </row>
        <row r="1307">
          <cell r="A1307" t="str">
            <v>IKN400973</v>
          </cell>
          <cell r="B1307">
            <v>971</v>
          </cell>
          <cell r="C1307" t="str">
            <v>Institut Kanser Negara</v>
          </cell>
          <cell r="D1307" t="str">
            <v>KKM/IKN/H/13/4475</v>
          </cell>
          <cell r="E1307" t="str">
            <v>13-469</v>
          </cell>
          <cell r="F1307" t="str">
            <v>Scanning Systems, Computed Tomography</v>
          </cell>
          <cell r="G1307" t="str">
            <v>RT</v>
          </cell>
          <cell r="H1307" t="str">
            <v>RADIATION TREATMENT UNIT</v>
          </cell>
          <cell r="I1307" t="str">
            <v>01RT118</v>
          </cell>
          <cell r="J1307" t="str">
            <v>CT SIMULATOR 2</v>
          </cell>
          <cell r="K1307" t="str">
            <v>BMED</v>
          </cell>
          <cell r="L1307" t="str">
            <v>Normal</v>
          </cell>
          <cell r="M1307" t="str">
            <v>Germany</v>
          </cell>
          <cell r="N1307" t="str">
            <v>Somatom</v>
          </cell>
          <cell r="O1307" t="str">
            <v>Somatom Definition</v>
          </cell>
          <cell r="P1307" t="str">
            <v>65979</v>
          </cell>
          <cell r="Q1307" t="str">
            <v>Not Applicable</v>
          </cell>
          <cell r="R1307" t="str">
            <v>Siemens Medical System</v>
          </cell>
          <cell r="S1307" t="str">
            <v>Metrojendela</v>
          </cell>
          <cell r="T1307" t="str">
            <v>Functioning</v>
          </cell>
          <cell r="U1307" t="str">
            <v>Asset</v>
          </cell>
          <cell r="V1307">
            <v>3557530</v>
          </cell>
          <cell r="W1307" t="str">
            <v>KEW</v>
          </cell>
          <cell r="X1307" t="str">
            <v>01/09/2010</v>
          </cell>
          <cell r="Y1307" t="str">
            <v>KEW</v>
          </cell>
          <cell r="Z1307" t="str">
            <v>16/08/2013</v>
          </cell>
          <cell r="AA1307" t="str">
            <v>15/08/2015</v>
          </cell>
          <cell r="AB1307" t="str">
            <v>No</v>
          </cell>
          <cell r="AC1307" t="str">
            <v>31/08/2013</v>
          </cell>
          <cell r="AD1307" t="str">
            <v>Good</v>
          </cell>
          <cell r="AE1307" t="str">
            <v>V1 - Existing / No Claim</v>
          </cell>
          <cell r="AF1307">
            <v>42235</v>
          </cell>
          <cell r="AG1307">
            <v>9.17</v>
          </cell>
          <cell r="AH1307" t="str">
            <v>PPM</v>
          </cell>
          <cell r="AI1307" t="str">
            <v>Strands</v>
          </cell>
          <cell r="AJ1307" t="str">
            <v>Strands Package</v>
          </cell>
          <cell r="AK1307" t="str">
            <v>Package Code XM0004</v>
          </cell>
        </row>
        <row r="1308">
          <cell r="A1308" t="str">
            <v>IKN400974</v>
          </cell>
          <cell r="B1308">
            <v>972</v>
          </cell>
          <cell r="C1308" t="str">
            <v>Institut Kanser Negara</v>
          </cell>
          <cell r="D1308" t="str">
            <v>N/A</v>
          </cell>
          <cell r="E1308" t="str">
            <v>16-223</v>
          </cell>
          <cell r="F1308" t="str">
            <v>Positioning Aids</v>
          </cell>
          <cell r="G1308" t="str">
            <v>RT</v>
          </cell>
          <cell r="H1308" t="str">
            <v>RADIATION TREATMENT UNIT</v>
          </cell>
          <cell r="I1308" t="str">
            <v>01RT118</v>
          </cell>
          <cell r="J1308" t="str">
            <v>CT SIMULATOR 2</v>
          </cell>
          <cell r="K1308" t="str">
            <v>BMED</v>
          </cell>
          <cell r="L1308" t="str">
            <v>Normal</v>
          </cell>
          <cell r="M1308" t="str">
            <v>Germany</v>
          </cell>
          <cell r="N1308" t="str">
            <v>Dorado</v>
          </cell>
          <cell r="O1308" t="str">
            <v>Dorado</v>
          </cell>
          <cell r="P1308" t="str">
            <v>YEHT118686</v>
          </cell>
          <cell r="Q1308" t="str">
            <v>Not Applicable</v>
          </cell>
          <cell r="R1308" t="str">
            <v>LAP GmbH</v>
          </cell>
          <cell r="S1308" t="str">
            <v>BRAINLAB</v>
          </cell>
          <cell r="T1308" t="str">
            <v>Functioning</v>
          </cell>
          <cell r="U1308" t="str">
            <v>Asset</v>
          </cell>
          <cell r="V1308">
            <v>100000</v>
          </cell>
          <cell r="W1308" t="str">
            <v>Estimate</v>
          </cell>
          <cell r="X1308" t="str">
            <v>01/09/2010</v>
          </cell>
          <cell r="Y1308" t="str">
            <v>KEW</v>
          </cell>
          <cell r="Z1308" t="str">
            <v>16/08/2013</v>
          </cell>
          <cell r="AA1308" t="str">
            <v>15/08/2015</v>
          </cell>
          <cell r="AB1308" t="str">
            <v>No</v>
          </cell>
          <cell r="AC1308" t="str">
            <v>31/08/2013</v>
          </cell>
          <cell r="AD1308" t="str">
            <v>Good</v>
          </cell>
          <cell r="AE1308" t="str">
            <v>V1 - Existing / No Claim</v>
          </cell>
          <cell r="AF1308">
            <v>42643</v>
          </cell>
          <cell r="AG1308">
            <v>9.17</v>
          </cell>
          <cell r="AH1308" t="str">
            <v>RI</v>
          </cell>
          <cell r="AI1308" t="str">
            <v>Strands</v>
          </cell>
          <cell r="AJ1308" t="str">
            <v>Strands Package</v>
          </cell>
          <cell r="AK1308" t="str">
            <v>Package Code XM0004</v>
          </cell>
        </row>
        <row r="1309">
          <cell r="A1309" t="str">
            <v>IKN400975</v>
          </cell>
          <cell r="B1309">
            <v>973</v>
          </cell>
          <cell r="C1309" t="str">
            <v>Institut Kanser Negara</v>
          </cell>
          <cell r="D1309" t="str">
            <v>N/A</v>
          </cell>
          <cell r="E1309" t="str">
            <v>17-968</v>
          </cell>
          <cell r="F1309" t="str">
            <v>Injectors, Contrast Media</v>
          </cell>
          <cell r="G1309" t="str">
            <v>RT</v>
          </cell>
          <cell r="H1309" t="str">
            <v>RADIATION TREATMENT UNIT</v>
          </cell>
          <cell r="I1309" t="str">
            <v>01RT116</v>
          </cell>
          <cell r="J1309" t="str">
            <v>CT SIMULATOR 1</v>
          </cell>
          <cell r="K1309" t="str">
            <v>BMED</v>
          </cell>
          <cell r="L1309" t="str">
            <v>Critical</v>
          </cell>
          <cell r="M1309" t="str">
            <v>USA</v>
          </cell>
          <cell r="N1309" t="str">
            <v>Optivantage</v>
          </cell>
          <cell r="O1309" t="str">
            <v>Optivantage Dual-Head CT</v>
          </cell>
          <cell r="P1309" t="str">
            <v>C1114B514R</v>
          </cell>
          <cell r="Q1309" t="str">
            <v>Not Applicable</v>
          </cell>
          <cell r="R1309" t="str">
            <v>Mallinckrodt</v>
          </cell>
          <cell r="S1309" t="str">
            <v>Schmidt Biomedtech Sdn. Bhd.</v>
          </cell>
          <cell r="T1309" t="str">
            <v>Functioning</v>
          </cell>
          <cell r="U1309" t="str">
            <v>Asset</v>
          </cell>
          <cell r="V1309">
            <v>100000</v>
          </cell>
          <cell r="W1309" t="str">
            <v>Estimate</v>
          </cell>
          <cell r="X1309" t="str">
            <v>01/09/2010</v>
          </cell>
          <cell r="Y1309" t="str">
            <v>KEW</v>
          </cell>
          <cell r="Z1309" t="str">
            <v>16/08/2013</v>
          </cell>
          <cell r="AA1309" t="str">
            <v>15/08/2015</v>
          </cell>
          <cell r="AB1309" t="str">
            <v>No</v>
          </cell>
          <cell r="AC1309" t="str">
            <v>31/08/2013</v>
          </cell>
          <cell r="AD1309" t="str">
            <v>Good</v>
          </cell>
          <cell r="AE1309" t="str">
            <v>V1 - Existing / No Claim</v>
          </cell>
          <cell r="AF1309">
            <v>43370</v>
          </cell>
          <cell r="AG1309">
            <v>9.17</v>
          </cell>
          <cell r="AH1309" t="str">
            <v>PPM</v>
          </cell>
          <cell r="AI1309" t="str">
            <v>Strands</v>
          </cell>
          <cell r="AJ1309" t="str">
            <v>Strands Package</v>
          </cell>
          <cell r="AK1309" t="str">
            <v>Package Code XM0004</v>
          </cell>
        </row>
        <row r="1310">
          <cell r="A1310" t="str">
            <v>IKN400976</v>
          </cell>
          <cell r="B1310">
            <v>974</v>
          </cell>
          <cell r="C1310" t="str">
            <v>Institut Kanser Negara</v>
          </cell>
          <cell r="D1310" t="str">
            <v>KKM/IKN/H/13/4840</v>
          </cell>
          <cell r="E1310" t="str">
            <v>17-679</v>
          </cell>
          <cell r="F1310" t="str">
            <v>Laser Imagers</v>
          </cell>
          <cell r="G1310" t="str">
            <v>RT</v>
          </cell>
          <cell r="H1310" t="str">
            <v>RADIATION TREATMENT UNIT</v>
          </cell>
          <cell r="I1310" t="str">
            <v>01RT117</v>
          </cell>
          <cell r="J1310" t="str">
            <v>CONTROL ROOM</v>
          </cell>
          <cell r="K1310" t="str">
            <v>BMED</v>
          </cell>
          <cell r="L1310" t="str">
            <v>Normal</v>
          </cell>
          <cell r="M1310" t="str">
            <v>USA</v>
          </cell>
          <cell r="N1310" t="str">
            <v>DryView</v>
          </cell>
          <cell r="O1310" t="str">
            <v>DryView 6850</v>
          </cell>
          <cell r="P1310" t="str">
            <v>68504062</v>
          </cell>
          <cell r="Q1310" t="str">
            <v>Not Applicable</v>
          </cell>
          <cell r="R1310" t="str">
            <v>Carestream Health Inc</v>
          </cell>
          <cell r="S1310" t="str">
            <v>Best Contact (M) Sdn Bhd</v>
          </cell>
          <cell r="T1310" t="str">
            <v>Functioning</v>
          </cell>
          <cell r="U1310" t="str">
            <v>Asset</v>
          </cell>
          <cell r="V1310">
            <v>83100</v>
          </cell>
          <cell r="W1310" t="str">
            <v>KEW</v>
          </cell>
          <cell r="X1310" t="str">
            <v>01/09/2010</v>
          </cell>
          <cell r="Y1310" t="str">
            <v>KEW</v>
          </cell>
          <cell r="Z1310" t="str">
            <v>16/08/2013</v>
          </cell>
          <cell r="AA1310" t="str">
            <v>15/08/2015</v>
          </cell>
          <cell r="AB1310" t="str">
            <v>No</v>
          </cell>
          <cell r="AC1310" t="str">
            <v>31/08/2013</v>
          </cell>
          <cell r="AD1310" t="str">
            <v>Good</v>
          </cell>
          <cell r="AE1310" t="str">
            <v>V1 - Existing / No Claim</v>
          </cell>
          <cell r="AF1310">
            <v>42235</v>
          </cell>
          <cell r="AG1310">
            <v>9.17</v>
          </cell>
          <cell r="AH1310" t="str">
            <v>PPM</v>
          </cell>
          <cell r="AI1310" t="str">
            <v>Strands</v>
          </cell>
          <cell r="AJ1310" t="str">
            <v>Strands PW</v>
          </cell>
        </row>
        <row r="1311">
          <cell r="A1311" t="str">
            <v>IKN400977</v>
          </cell>
          <cell r="B1311">
            <v>975</v>
          </cell>
          <cell r="C1311" t="str">
            <v>Institut Kanser Negara</v>
          </cell>
          <cell r="D1311" t="str">
            <v>KKM/IKN/H/13/2537</v>
          </cell>
          <cell r="E1311" t="str">
            <v>17-950</v>
          </cell>
          <cell r="F1311" t="str">
            <v>Warming Units, Patient, Forced-Air</v>
          </cell>
          <cell r="G1311" t="str">
            <v>RT</v>
          </cell>
          <cell r="H1311" t="str">
            <v>RADIATION TREATMENT UNIT</v>
          </cell>
          <cell r="I1311" t="str">
            <v>01RT238</v>
          </cell>
          <cell r="J1311" t="str">
            <v>PRE-OP</v>
          </cell>
          <cell r="K1311" t="str">
            <v>BMED</v>
          </cell>
          <cell r="L1311" t="str">
            <v>Normal</v>
          </cell>
          <cell r="M1311" t="str">
            <v>USA</v>
          </cell>
          <cell r="N1311" t="str">
            <v>Bair Hugger</v>
          </cell>
          <cell r="O1311" t="str">
            <v>Bair Hugger 775</v>
          </cell>
          <cell r="P1311" t="str">
            <v>36864</v>
          </cell>
          <cell r="Q1311" t="str">
            <v>Not Applicable</v>
          </cell>
          <cell r="R1311" t="str">
            <v>Arizant Healthcare Inc</v>
          </cell>
          <cell r="S1311" t="str">
            <v>Calmed Healthcare Sdn Bhd</v>
          </cell>
          <cell r="T1311" t="str">
            <v>Functioning</v>
          </cell>
          <cell r="U1311" t="str">
            <v>Asset</v>
          </cell>
          <cell r="V1311">
            <v>15515</v>
          </cell>
          <cell r="W1311" t="str">
            <v>KEW</v>
          </cell>
          <cell r="X1311" t="str">
            <v>01/09/2010</v>
          </cell>
          <cell r="Y1311" t="str">
            <v>KEW</v>
          </cell>
          <cell r="Z1311" t="str">
            <v>16/08/2013</v>
          </cell>
          <cell r="AA1311" t="str">
            <v>15/08/2015</v>
          </cell>
          <cell r="AB1311" t="str">
            <v>No</v>
          </cell>
          <cell r="AC1311" t="str">
            <v>31/08/2013</v>
          </cell>
          <cell r="AD1311" t="str">
            <v>Good</v>
          </cell>
          <cell r="AE1311" t="str">
            <v>V1 - Existing / No Claim</v>
          </cell>
          <cell r="AF1311">
            <v>42235</v>
          </cell>
          <cell r="AG1311">
            <v>9.17</v>
          </cell>
          <cell r="AH1311" t="str">
            <v>PPM</v>
          </cell>
          <cell r="AI1311" t="str">
            <v>Strands</v>
          </cell>
          <cell r="AJ1311" t="str">
            <v>Strands PW</v>
          </cell>
        </row>
        <row r="1312">
          <cell r="A1312" t="str">
            <v>IKN400978</v>
          </cell>
          <cell r="B1312">
            <v>976</v>
          </cell>
          <cell r="C1312" t="str">
            <v>Institut Kanser Negara</v>
          </cell>
          <cell r="D1312" t="str">
            <v>KKM/IKN/H/13/4474</v>
          </cell>
          <cell r="E1312" t="str">
            <v>13-469</v>
          </cell>
          <cell r="F1312" t="str">
            <v>Scanning Systems, Computed Tomography</v>
          </cell>
          <cell r="G1312" t="str">
            <v>RT</v>
          </cell>
          <cell r="H1312" t="str">
            <v>RADIATION TREATMENT UNIT</v>
          </cell>
          <cell r="I1312" t="str">
            <v>01RT116</v>
          </cell>
          <cell r="J1312" t="str">
            <v>CT SIMULATOR 1</v>
          </cell>
          <cell r="K1312" t="str">
            <v>BMED</v>
          </cell>
          <cell r="L1312" t="str">
            <v>Normal</v>
          </cell>
          <cell r="M1312" t="str">
            <v>Germany</v>
          </cell>
          <cell r="N1312" t="str">
            <v>Somatom</v>
          </cell>
          <cell r="O1312" t="str">
            <v>Somatom Definition</v>
          </cell>
          <cell r="P1312" t="str">
            <v>65981</v>
          </cell>
          <cell r="Q1312" t="str">
            <v>Not Applicable</v>
          </cell>
          <cell r="R1312" t="str">
            <v>Siemens Medical System</v>
          </cell>
          <cell r="S1312" t="str">
            <v>Metrojendela</v>
          </cell>
          <cell r="T1312" t="str">
            <v>Functioning</v>
          </cell>
          <cell r="U1312" t="str">
            <v>Asset</v>
          </cell>
          <cell r="V1312">
            <v>3557530</v>
          </cell>
          <cell r="W1312" t="str">
            <v>KEW</v>
          </cell>
          <cell r="X1312" t="str">
            <v>01/09/2010</v>
          </cell>
          <cell r="Y1312" t="str">
            <v>KEW</v>
          </cell>
          <cell r="Z1312" t="str">
            <v>16/08/2013</v>
          </cell>
          <cell r="AA1312" t="str">
            <v>15/08/2015</v>
          </cell>
          <cell r="AB1312" t="str">
            <v>No</v>
          </cell>
          <cell r="AC1312" t="str">
            <v>31/08/2013</v>
          </cell>
          <cell r="AD1312" t="str">
            <v>Good</v>
          </cell>
          <cell r="AE1312" t="str">
            <v>V1 - Existing / No Claim</v>
          </cell>
          <cell r="AF1312">
            <v>42235</v>
          </cell>
          <cell r="AG1312">
            <v>9.17</v>
          </cell>
          <cell r="AH1312" t="str">
            <v>PPM</v>
          </cell>
          <cell r="AI1312" t="str">
            <v>Strands</v>
          </cell>
          <cell r="AJ1312" t="str">
            <v>Strands Package</v>
          </cell>
          <cell r="AK1312" t="str">
            <v>Package Code XM0004</v>
          </cell>
        </row>
        <row r="1313">
          <cell r="A1313" t="str">
            <v>IKN400979</v>
          </cell>
          <cell r="B1313">
            <v>977</v>
          </cell>
          <cell r="C1313" t="str">
            <v>Institut Kanser Negara</v>
          </cell>
          <cell r="D1313" t="str">
            <v>N/A</v>
          </cell>
          <cell r="E1313" t="str">
            <v>16-223</v>
          </cell>
          <cell r="F1313" t="str">
            <v>Positioning Aids</v>
          </cell>
          <cell r="G1313" t="str">
            <v>RT</v>
          </cell>
          <cell r="H1313" t="str">
            <v>RADIATION TREATMENT UNIT</v>
          </cell>
          <cell r="I1313" t="str">
            <v>01RT116</v>
          </cell>
          <cell r="J1313" t="str">
            <v>CT SIMULATOR 1</v>
          </cell>
          <cell r="K1313" t="str">
            <v>BMED</v>
          </cell>
          <cell r="L1313" t="str">
            <v>Normal</v>
          </cell>
          <cell r="M1313" t="str">
            <v>Germany</v>
          </cell>
          <cell r="N1313" t="str">
            <v>Dorado</v>
          </cell>
          <cell r="O1313" t="str">
            <v>Dorado</v>
          </cell>
          <cell r="P1313" t="str">
            <v>YEHT236952</v>
          </cell>
          <cell r="Q1313" t="str">
            <v>Not Applicable</v>
          </cell>
          <cell r="R1313" t="str">
            <v>LAP GmbH</v>
          </cell>
          <cell r="S1313" t="str">
            <v>BRAINLAB</v>
          </cell>
          <cell r="T1313" t="str">
            <v>Functioning</v>
          </cell>
          <cell r="U1313" t="str">
            <v>Asset</v>
          </cell>
          <cell r="V1313">
            <v>100000</v>
          </cell>
          <cell r="W1313" t="str">
            <v>Estimate</v>
          </cell>
          <cell r="X1313" t="str">
            <v>01/09/2010</v>
          </cell>
          <cell r="Y1313" t="str">
            <v>KEW</v>
          </cell>
          <cell r="Z1313" t="str">
            <v>16/08/2013</v>
          </cell>
          <cell r="AA1313" t="str">
            <v>15/08/2015</v>
          </cell>
          <cell r="AB1313" t="str">
            <v>No</v>
          </cell>
          <cell r="AC1313" t="str">
            <v>31/08/2013</v>
          </cell>
          <cell r="AD1313" t="str">
            <v>Good</v>
          </cell>
          <cell r="AE1313" t="str">
            <v>V1 - Existing / No Claim</v>
          </cell>
          <cell r="AF1313">
            <v>42605</v>
          </cell>
          <cell r="AG1313">
            <v>9.17</v>
          </cell>
          <cell r="AH1313" t="str">
            <v>RI</v>
          </cell>
          <cell r="AI1313" t="str">
            <v>Strands</v>
          </cell>
          <cell r="AJ1313" t="str">
            <v>Strands Package</v>
          </cell>
          <cell r="AK1313" t="str">
            <v>Package Code XM0004</v>
          </cell>
        </row>
        <row r="1314">
          <cell r="A1314" t="str">
            <v>IKN400980</v>
          </cell>
          <cell r="B1314">
            <v>978</v>
          </cell>
          <cell r="C1314" t="str">
            <v>Institut Kanser Negara</v>
          </cell>
          <cell r="D1314" t="str">
            <v>N/A</v>
          </cell>
          <cell r="E1314" t="str">
            <v>17-968</v>
          </cell>
          <cell r="F1314" t="str">
            <v>Injectors, Contrast Media</v>
          </cell>
          <cell r="G1314" t="str">
            <v>RT</v>
          </cell>
          <cell r="H1314" t="str">
            <v>RADIATION TREATMENT UNIT</v>
          </cell>
          <cell r="I1314" t="str">
            <v>01RT118</v>
          </cell>
          <cell r="J1314" t="str">
            <v>CT SIMULATOR 2</v>
          </cell>
          <cell r="K1314" t="str">
            <v>BMED</v>
          </cell>
          <cell r="L1314" t="str">
            <v>Critical</v>
          </cell>
          <cell r="M1314" t="str">
            <v>USA</v>
          </cell>
          <cell r="N1314" t="str">
            <v>Optivantage</v>
          </cell>
          <cell r="O1314" t="str">
            <v>Optivantage Dual-Head CT</v>
          </cell>
          <cell r="P1314" t="str">
            <v>C1213B515X</v>
          </cell>
          <cell r="Q1314" t="str">
            <v>Not Applicable</v>
          </cell>
          <cell r="R1314" t="str">
            <v>Mallinckrodt</v>
          </cell>
          <cell r="S1314" t="str">
            <v>Schmidt Biomedtech Sdn. Bhd.</v>
          </cell>
          <cell r="T1314" t="str">
            <v>Functioning</v>
          </cell>
          <cell r="U1314" t="str">
            <v>Asset</v>
          </cell>
          <cell r="V1314">
            <v>100000</v>
          </cell>
          <cell r="W1314" t="str">
            <v>Estimate</v>
          </cell>
          <cell r="X1314" t="str">
            <v>01/09/2010</v>
          </cell>
          <cell r="Y1314" t="str">
            <v>KEW</v>
          </cell>
          <cell r="Z1314" t="str">
            <v>16/08/2013</v>
          </cell>
          <cell r="AA1314" t="str">
            <v>15/08/2015</v>
          </cell>
          <cell r="AB1314" t="str">
            <v>No</v>
          </cell>
          <cell r="AC1314" t="str">
            <v>31/08/2013</v>
          </cell>
          <cell r="AD1314" t="str">
            <v>Good</v>
          </cell>
          <cell r="AE1314" t="str">
            <v>V1 - Existing / No Claim</v>
          </cell>
          <cell r="AF1314">
            <v>43370</v>
          </cell>
          <cell r="AG1314">
            <v>9.17</v>
          </cell>
          <cell r="AH1314" t="str">
            <v>PPM</v>
          </cell>
          <cell r="AI1314" t="str">
            <v>Strands</v>
          </cell>
          <cell r="AJ1314" t="str">
            <v>Strands Package</v>
          </cell>
          <cell r="AK1314" t="str">
            <v>Package Code XM0004</v>
          </cell>
        </row>
        <row r="1315">
          <cell r="A1315" t="str">
            <v>IKN400981</v>
          </cell>
          <cell r="B1315">
            <v>979</v>
          </cell>
          <cell r="C1315" t="str">
            <v>Institut Kanser Negara</v>
          </cell>
          <cell r="D1315" t="str">
            <v>KKM/IKN/H/14/83</v>
          </cell>
          <cell r="E1315" t="str">
            <v>18-449</v>
          </cell>
          <cell r="F1315" t="str">
            <v>Balances, Electronic, Analytical</v>
          </cell>
          <cell r="G1315" t="str">
            <v>LA</v>
          </cell>
          <cell r="H1315" t="str">
            <v>PATHOLOGY</v>
          </cell>
          <cell r="I1315" t="str">
            <v>04LA114</v>
          </cell>
          <cell r="J1315" t="str">
            <v>DARK MICROSCOPY</v>
          </cell>
          <cell r="K1315" t="str">
            <v>BMED</v>
          </cell>
          <cell r="L1315" t="str">
            <v>Normal</v>
          </cell>
          <cell r="M1315" t="str">
            <v>Switzerland</v>
          </cell>
          <cell r="N1315" t="str">
            <v>Mettler Toledo</v>
          </cell>
          <cell r="O1315" t="str">
            <v>Mettler Toledo ML204/02</v>
          </cell>
          <cell r="P1315" t="str">
            <v>B434952155</v>
          </cell>
          <cell r="Q1315" t="str">
            <v>Not Applicable</v>
          </cell>
          <cell r="R1315" t="str">
            <v>Mettler-Toledo AG</v>
          </cell>
          <cell r="S1315" t="str">
            <v>Chemopharm S/B</v>
          </cell>
          <cell r="T1315" t="str">
            <v>Functioning</v>
          </cell>
          <cell r="U1315" t="str">
            <v>Asset</v>
          </cell>
          <cell r="V1315">
            <v>5500</v>
          </cell>
          <cell r="W1315" t="str">
            <v>KEW</v>
          </cell>
          <cell r="X1315" t="str">
            <v>26/09/2014</v>
          </cell>
          <cell r="Y1315" t="str">
            <v>KEW</v>
          </cell>
          <cell r="Z1315" t="str">
            <v>10/11/2014</v>
          </cell>
          <cell r="AA1315" t="str">
            <v>09/11/2015</v>
          </cell>
          <cell r="AB1315" t="str">
            <v>No</v>
          </cell>
          <cell r="AC1315" t="str">
            <v>10/11/2014</v>
          </cell>
          <cell r="AD1315" t="str">
            <v>Good</v>
          </cell>
          <cell r="AE1315" t="str">
            <v>V3 - Added Installed Facilities (New)</v>
          </cell>
          <cell r="AF1315">
            <v>42678</v>
          </cell>
          <cell r="AG1315">
            <v>5.17</v>
          </cell>
          <cell r="AH1315" t="str">
            <v>PPM</v>
          </cell>
          <cell r="AI1315" t="str">
            <v>Strands</v>
          </cell>
          <cell r="AJ1315" t="str">
            <v>Strands PW</v>
          </cell>
          <cell r="AK1315" t="str">
            <v>SNF received. 1st batch of V3 asset (December 2020)</v>
          </cell>
        </row>
        <row r="1316">
          <cell r="A1316" t="str">
            <v>IKN400982</v>
          </cell>
          <cell r="B1316">
            <v>980</v>
          </cell>
          <cell r="C1316" t="str">
            <v>Institut Kanser Negara</v>
          </cell>
          <cell r="D1316" t="str">
            <v>KKM/IKN/H/13/2999</v>
          </cell>
          <cell r="E1316" t="str">
            <v>12-660</v>
          </cell>
          <cell r="F1316" t="str">
            <v>Radiation Monitors</v>
          </cell>
          <cell r="G1316" t="str">
            <v>WA</v>
          </cell>
          <cell r="H1316" t="str">
            <v>NUCLEAR MED WARD (THERAPY)</v>
          </cell>
          <cell r="I1316" t="str">
            <v>03WA125</v>
          </cell>
          <cell r="J1316" t="str">
            <v>RADIOIODIN PREP (100% F.A.)</v>
          </cell>
          <cell r="K1316" t="str">
            <v>BMED</v>
          </cell>
          <cell r="L1316" t="str">
            <v>Normal</v>
          </cell>
          <cell r="M1316" t="str">
            <v>Germany</v>
          </cell>
          <cell r="N1316" t="str">
            <v>CoMo</v>
          </cell>
          <cell r="O1316" t="str">
            <v>CoMo 170</v>
          </cell>
          <cell r="P1316" t="str">
            <v>5390</v>
          </cell>
          <cell r="Q1316" t="str">
            <v>Not Applicable</v>
          </cell>
          <cell r="R1316" t="str">
            <v>MED Nuklear-Medizintechnik Dresden GmbH</v>
          </cell>
          <cell r="S1316" t="str">
            <v/>
          </cell>
          <cell r="T1316" t="str">
            <v>Functioning</v>
          </cell>
          <cell r="U1316" t="str">
            <v>Asset</v>
          </cell>
          <cell r="V1316">
            <v>6810</v>
          </cell>
          <cell r="W1316" t="str">
            <v>KEW</v>
          </cell>
          <cell r="X1316" t="str">
            <v>01/09/2010</v>
          </cell>
          <cell r="Y1316" t="str">
            <v>KEW</v>
          </cell>
          <cell r="Z1316" t="str">
            <v>16/08/2013</v>
          </cell>
          <cell r="AA1316" t="str">
            <v>15/08/2015</v>
          </cell>
          <cell r="AB1316" t="str">
            <v>No</v>
          </cell>
          <cell r="AC1316" t="str">
            <v>31/08/2013</v>
          </cell>
          <cell r="AD1316" t="str">
            <v>Good</v>
          </cell>
          <cell r="AE1316" t="str">
            <v>V1 - Existing / No Claim</v>
          </cell>
          <cell r="AF1316">
            <v>42235</v>
          </cell>
          <cell r="AG1316">
            <v>9.17</v>
          </cell>
          <cell r="AH1316" t="str">
            <v>PPM</v>
          </cell>
          <cell r="AI1316" t="str">
            <v>Strands</v>
          </cell>
          <cell r="AJ1316" t="str">
            <v>Strands PW</v>
          </cell>
          <cell r="AK1316" t="str">
            <v>SNF received. 1st batch of V3 asset (December 2020)</v>
          </cell>
        </row>
        <row r="1317">
          <cell r="A1317" t="str">
            <v>IKN400983</v>
          </cell>
          <cell r="B1317">
            <v>981</v>
          </cell>
          <cell r="C1317" t="str">
            <v>Institut Kanser Negara</v>
          </cell>
          <cell r="D1317" t="str">
            <v>KKM/IKN/H/13/2767</v>
          </cell>
          <cell r="E1317" t="str">
            <v>12-660</v>
          </cell>
          <cell r="F1317" t="str">
            <v>Radiation Monitors</v>
          </cell>
          <cell r="G1317" t="str">
            <v>NM</v>
          </cell>
          <cell r="H1317" t="str">
            <v>NUCLEAR MED (DIAGNOSTIC)</v>
          </cell>
          <cell r="I1317" t="str">
            <v>03NM138</v>
          </cell>
          <cell r="J1317" t="str">
            <v>RADIOIODINE PREP. (100% F.A)</v>
          </cell>
          <cell r="K1317" t="str">
            <v>BMED</v>
          </cell>
          <cell r="L1317" t="str">
            <v>Normal</v>
          </cell>
          <cell r="M1317" t="str">
            <v>Germany</v>
          </cell>
          <cell r="N1317" t="str">
            <v>CoMo</v>
          </cell>
          <cell r="O1317" t="str">
            <v>CoMo 170</v>
          </cell>
          <cell r="P1317" t="str">
            <v>5064DL</v>
          </cell>
          <cell r="Q1317" t="str">
            <v>Not Applicable</v>
          </cell>
          <cell r="R1317" t="str">
            <v>MED Nuklear-Medizintechnik Dresden GmbH</v>
          </cell>
          <cell r="S1317" t="str">
            <v/>
          </cell>
          <cell r="T1317" t="str">
            <v>Functioning</v>
          </cell>
          <cell r="U1317" t="str">
            <v>Asset</v>
          </cell>
          <cell r="V1317">
            <v>23270</v>
          </cell>
          <cell r="W1317" t="str">
            <v>KEW</v>
          </cell>
          <cell r="X1317" t="str">
            <v>01/09/2010</v>
          </cell>
          <cell r="Y1317" t="str">
            <v>KEW</v>
          </cell>
          <cell r="Z1317" t="str">
            <v>16/08/2013</v>
          </cell>
          <cell r="AA1317" t="str">
            <v>15/08/2015</v>
          </cell>
          <cell r="AB1317" t="str">
            <v>No</v>
          </cell>
          <cell r="AC1317" t="str">
            <v>31/08/2013</v>
          </cell>
          <cell r="AD1317" t="str">
            <v>Good</v>
          </cell>
          <cell r="AE1317" t="str">
            <v>V1 - Existing / No Claim</v>
          </cell>
          <cell r="AF1317">
            <v>42235</v>
          </cell>
          <cell r="AG1317">
            <v>9.17</v>
          </cell>
          <cell r="AH1317" t="str">
            <v>PPM</v>
          </cell>
          <cell r="AI1317" t="str">
            <v>Strands</v>
          </cell>
          <cell r="AJ1317" t="str">
            <v>Strands PW</v>
          </cell>
        </row>
        <row r="1318">
          <cell r="A1318" t="str">
            <v>IKN400984</v>
          </cell>
          <cell r="B1318">
            <v>982</v>
          </cell>
          <cell r="C1318" t="str">
            <v>Institut Kanser Negara</v>
          </cell>
          <cell r="D1318" t="e">
            <v>#N/A</v>
          </cell>
          <cell r="E1318" t="str">
            <v>17-211</v>
          </cell>
          <cell r="F1318" t="str">
            <v>Radiation Survey Meters, Geiger-Muller</v>
          </cell>
          <cell r="G1318" t="str">
            <v>NM</v>
          </cell>
          <cell r="H1318" t="str">
            <v>NUCLEAR MED (DIAGNOSTIC)</v>
          </cell>
          <cell r="I1318" t="str">
            <v>03NM133</v>
          </cell>
          <cell r="J1318" t="str">
            <v>RADIODINE DISPENSING (-VE)</v>
          </cell>
          <cell r="K1318" t="str">
            <v>BMED</v>
          </cell>
          <cell r="L1318" t="str">
            <v>Normal</v>
          </cell>
          <cell r="M1318" t="str">
            <v>USA</v>
          </cell>
          <cell r="N1318" t="str">
            <v>Ludlum</v>
          </cell>
          <cell r="O1318" t="str">
            <v>Ludlum 14C</v>
          </cell>
          <cell r="P1318" t="str">
            <v>295080</v>
          </cell>
          <cell r="Q1318" t="str">
            <v>Not Applicable</v>
          </cell>
          <cell r="R1318" t="str">
            <v>Ludlum Measurements Inc</v>
          </cell>
          <cell r="S1318" t="str">
            <v>Not Available</v>
          </cell>
          <cell r="T1318" t="str">
            <v>Functioning</v>
          </cell>
          <cell r="U1318" t="str">
            <v>Asset</v>
          </cell>
          <cell r="V1318">
            <v>10000</v>
          </cell>
          <cell r="W1318" t="str">
            <v>Estimate</v>
          </cell>
          <cell r="X1318" t="str">
            <v>01/09/2010</v>
          </cell>
          <cell r="Y1318" t="str">
            <v>KEW</v>
          </cell>
          <cell r="Z1318" t="str">
            <v>16/08/2013</v>
          </cell>
          <cell r="AA1318" t="str">
            <v>15/08/2015</v>
          </cell>
          <cell r="AB1318" t="str">
            <v>No</v>
          </cell>
          <cell r="AC1318" t="str">
            <v>31/08/2013</v>
          </cell>
          <cell r="AD1318" t="str">
            <v>Good</v>
          </cell>
          <cell r="AE1318" t="str">
            <v>V1 - Existing / No Claim</v>
          </cell>
          <cell r="AF1318">
            <v>42605</v>
          </cell>
          <cell r="AG1318">
            <v>9.17</v>
          </cell>
          <cell r="AH1318" t="str">
            <v>PPM</v>
          </cell>
          <cell r="AI1318" t="str">
            <v>Not in contract</v>
          </cell>
        </row>
        <row r="1319">
          <cell r="A1319" t="str">
            <v>IKN400985</v>
          </cell>
          <cell r="B1319">
            <v>983</v>
          </cell>
          <cell r="C1319" t="str">
            <v>Institut Kanser Negara</v>
          </cell>
          <cell r="D1319" t="e">
            <v>#N/A</v>
          </cell>
          <cell r="E1319" t="str">
            <v>13-275</v>
          </cell>
          <cell r="F1319" t="str">
            <v>Calibrators, Radioisotope</v>
          </cell>
          <cell r="G1319" t="str">
            <v>NM</v>
          </cell>
          <cell r="H1319" t="str">
            <v>NUCLEAR MED (DIAGNOSTIC)</v>
          </cell>
          <cell r="I1319" t="str">
            <v>03NM138</v>
          </cell>
          <cell r="J1319" t="str">
            <v>RADIOIODINE PREP. (100% F.A)</v>
          </cell>
          <cell r="K1319" t="str">
            <v>BMED</v>
          </cell>
          <cell r="L1319" t="str">
            <v>Normal</v>
          </cell>
          <cell r="M1319" t="str">
            <v>USA</v>
          </cell>
          <cell r="N1319" t="str">
            <v>Atomlab</v>
          </cell>
          <cell r="O1319" t="str">
            <v>Atomlab 500</v>
          </cell>
          <cell r="P1319" t="str">
            <v>13040806</v>
          </cell>
          <cell r="Q1319" t="str">
            <v>Not Applicable</v>
          </cell>
          <cell r="R1319" t="str">
            <v>Biodex Medical Systems Inc</v>
          </cell>
          <cell r="S1319" t="str">
            <v>Not Available</v>
          </cell>
          <cell r="T1319" t="str">
            <v>Functioning</v>
          </cell>
          <cell r="U1319" t="str">
            <v>Asset</v>
          </cell>
          <cell r="V1319">
            <v>20000</v>
          </cell>
          <cell r="W1319" t="str">
            <v>Estimate</v>
          </cell>
          <cell r="X1319" t="str">
            <v>01/09/2010</v>
          </cell>
          <cell r="Y1319" t="str">
            <v>KEW</v>
          </cell>
          <cell r="Z1319" t="str">
            <v>16/08/2013</v>
          </cell>
          <cell r="AA1319" t="str">
            <v>15/08/2015</v>
          </cell>
          <cell r="AB1319" t="str">
            <v>No</v>
          </cell>
          <cell r="AC1319" t="str">
            <v>31/08/2013</v>
          </cell>
          <cell r="AD1319" t="str">
            <v>Good</v>
          </cell>
          <cell r="AE1319" t="str">
            <v>V1 - Existing / No Claim</v>
          </cell>
          <cell r="AF1319">
            <v>42605</v>
          </cell>
          <cell r="AG1319">
            <v>9.17</v>
          </cell>
          <cell r="AH1319" t="str">
            <v>PPM</v>
          </cell>
          <cell r="AI1319" t="str">
            <v>package</v>
          </cell>
          <cell r="AJ1319" t="e">
            <v>#REF!</v>
          </cell>
          <cell r="AK1319" t="e">
            <v>#N/A</v>
          </cell>
        </row>
        <row r="1320">
          <cell r="A1320" t="str">
            <v>IKN400986</v>
          </cell>
          <cell r="B1320">
            <v>984</v>
          </cell>
          <cell r="C1320" t="str">
            <v>Institut Kanser Negara</v>
          </cell>
          <cell r="D1320" t="str">
            <v>KKM/IKN/H/13/3000</v>
          </cell>
          <cell r="E1320" t="str">
            <v>13-275</v>
          </cell>
          <cell r="F1320" t="str">
            <v>Calibrators, Radioisotope</v>
          </cell>
          <cell r="G1320" t="str">
            <v>NM</v>
          </cell>
          <cell r="H1320" t="str">
            <v>NUCLEAR MED (DIAGNOSTIC)</v>
          </cell>
          <cell r="I1320" t="str">
            <v>03NM139</v>
          </cell>
          <cell r="J1320" t="str">
            <v>QC</v>
          </cell>
          <cell r="K1320" t="str">
            <v>BMED</v>
          </cell>
          <cell r="L1320" t="str">
            <v>Normal</v>
          </cell>
          <cell r="M1320" t="str">
            <v>USA</v>
          </cell>
          <cell r="N1320" t="str">
            <v>Atomlab</v>
          </cell>
          <cell r="O1320" t="str">
            <v>Atomlab 500 Plus</v>
          </cell>
          <cell r="P1320" t="str">
            <v>12100248</v>
          </cell>
          <cell r="Q1320" t="str">
            <v>Not Applicable</v>
          </cell>
          <cell r="R1320" t="str">
            <v>Biodex Medical Systems Inc</v>
          </cell>
          <cell r="S1320" t="str">
            <v>Not Available</v>
          </cell>
          <cell r="T1320" t="str">
            <v>Functioning</v>
          </cell>
          <cell r="U1320" t="str">
            <v>Asset</v>
          </cell>
          <cell r="V1320">
            <v>60390</v>
          </cell>
          <cell r="W1320" t="str">
            <v>Estimate</v>
          </cell>
          <cell r="X1320" t="str">
            <v>01/09/2010</v>
          </cell>
          <cell r="Y1320" t="str">
            <v>KEW</v>
          </cell>
          <cell r="Z1320" t="str">
            <v>16/08/2013</v>
          </cell>
          <cell r="AA1320" t="str">
            <v>15/08/2015</v>
          </cell>
          <cell r="AB1320" t="str">
            <v>No</v>
          </cell>
          <cell r="AC1320" t="str">
            <v>31/08/2013</v>
          </cell>
          <cell r="AD1320" t="str">
            <v>Good</v>
          </cell>
          <cell r="AE1320" t="str">
            <v>V1 - Existing / No Claim</v>
          </cell>
          <cell r="AF1320">
            <v>43375</v>
          </cell>
          <cell r="AG1320">
            <v>9.17</v>
          </cell>
          <cell r="AH1320" t="str">
            <v>PPM</v>
          </cell>
          <cell r="AI1320" t="str">
            <v>Strands</v>
          </cell>
          <cell r="AJ1320" t="str">
            <v>Strands PW</v>
          </cell>
        </row>
        <row r="1321">
          <cell r="A1321" t="str">
            <v>IKN400987</v>
          </cell>
          <cell r="B1321">
            <v>985</v>
          </cell>
          <cell r="C1321" t="str">
            <v>Institut Kanser Negara</v>
          </cell>
          <cell r="D1321" t="str">
            <v>KKM/IKN/H/13/2997</v>
          </cell>
          <cell r="E1321" t="str">
            <v>12-660</v>
          </cell>
          <cell r="F1321" t="str">
            <v>Radiation Monitors</v>
          </cell>
          <cell r="G1321" t="str">
            <v>NM</v>
          </cell>
          <cell r="H1321" t="str">
            <v>NUCLEAR MED (DIAGNOSTIC)</v>
          </cell>
          <cell r="I1321" t="str">
            <v>03NM141</v>
          </cell>
          <cell r="J1321" t="str">
            <v>STERILE RADIO PHARMACEUTICAL PREPARATION</v>
          </cell>
          <cell r="K1321" t="str">
            <v>BMED</v>
          </cell>
          <cell r="L1321" t="str">
            <v>Normal</v>
          </cell>
          <cell r="M1321" t="str">
            <v>Germany</v>
          </cell>
          <cell r="N1321" t="str">
            <v>CoMo</v>
          </cell>
          <cell r="O1321" t="str">
            <v>CoMo 170</v>
          </cell>
          <cell r="P1321" t="str">
            <v>5065DL</v>
          </cell>
          <cell r="Q1321" t="str">
            <v>Not Applicable</v>
          </cell>
          <cell r="R1321" t="str">
            <v>MED Nuklear-Medizintechnik Dresden GmbH</v>
          </cell>
          <cell r="S1321" t="str">
            <v/>
          </cell>
          <cell r="T1321" t="str">
            <v>Functioning</v>
          </cell>
          <cell r="U1321" t="str">
            <v>Asset</v>
          </cell>
          <cell r="V1321">
            <v>23270</v>
          </cell>
          <cell r="W1321" t="str">
            <v>KEW</v>
          </cell>
          <cell r="X1321" t="str">
            <v>01/09/2010</v>
          </cell>
          <cell r="Y1321" t="str">
            <v>KEW</v>
          </cell>
          <cell r="Z1321" t="str">
            <v>16/08/2013</v>
          </cell>
          <cell r="AA1321" t="str">
            <v>15/08/2015</v>
          </cell>
          <cell r="AB1321" t="str">
            <v>No</v>
          </cell>
          <cell r="AC1321" t="str">
            <v>31/08/2013</v>
          </cell>
          <cell r="AD1321" t="str">
            <v>Good</v>
          </cell>
          <cell r="AE1321" t="str">
            <v>V1 - Existing / No Claim</v>
          </cell>
          <cell r="AF1321">
            <v>42235</v>
          </cell>
          <cell r="AG1321">
            <v>9.17</v>
          </cell>
          <cell r="AH1321" t="str">
            <v>PPM</v>
          </cell>
          <cell r="AI1321" t="str">
            <v>Strands</v>
          </cell>
          <cell r="AJ1321" t="str">
            <v>Strands PW</v>
          </cell>
        </row>
        <row r="1322">
          <cell r="A1322" t="str">
            <v>IKN400988</v>
          </cell>
          <cell r="B1322">
            <v>986</v>
          </cell>
          <cell r="C1322" t="str">
            <v>Institut Kanser Negara</v>
          </cell>
          <cell r="D1322" t="str">
            <v>KKM/IKN/H/13/5152</v>
          </cell>
          <cell r="E1322" t="str">
            <v>13-275</v>
          </cell>
          <cell r="F1322" t="str">
            <v>Calibrators, Radioisotope</v>
          </cell>
          <cell r="G1322" t="str">
            <v>NM</v>
          </cell>
          <cell r="H1322" t="str">
            <v>NUCLEAR MED (DIAGNOSTIC)</v>
          </cell>
          <cell r="I1322" t="str">
            <v>03NM141</v>
          </cell>
          <cell r="J1322" t="str">
            <v>STERILE RADIO PHARMACEUTICAL PREPARATION</v>
          </cell>
          <cell r="K1322" t="str">
            <v>BMED</v>
          </cell>
          <cell r="L1322" t="str">
            <v>Normal</v>
          </cell>
          <cell r="M1322" t="str">
            <v>USA</v>
          </cell>
          <cell r="N1322" t="str">
            <v>Atomlab</v>
          </cell>
          <cell r="O1322" t="str">
            <v>Atomlab 500</v>
          </cell>
          <cell r="P1322" t="str">
            <v>12100728</v>
          </cell>
          <cell r="Q1322" t="str">
            <v>Not Applicable</v>
          </cell>
          <cell r="R1322" t="str">
            <v>Biodex Medical Systems Inc</v>
          </cell>
          <cell r="S1322" t="str">
            <v>Not Available</v>
          </cell>
          <cell r="T1322" t="str">
            <v>Functioning</v>
          </cell>
          <cell r="U1322" t="str">
            <v>Asset</v>
          </cell>
          <cell r="V1322">
            <v>60390</v>
          </cell>
          <cell r="W1322" t="str">
            <v>Estimate</v>
          </cell>
          <cell r="X1322" t="str">
            <v>01/09/2010</v>
          </cell>
          <cell r="Y1322" t="str">
            <v>KEW</v>
          </cell>
          <cell r="Z1322" t="str">
            <v>16/08/2013</v>
          </cell>
          <cell r="AA1322" t="str">
            <v>15/08/2015</v>
          </cell>
          <cell r="AB1322" t="str">
            <v>No</v>
          </cell>
          <cell r="AC1322" t="str">
            <v>16/08/2013</v>
          </cell>
          <cell r="AD1322" t="str">
            <v>Good</v>
          </cell>
          <cell r="AE1322" t="str">
            <v>V1 - Existing / No Claim</v>
          </cell>
          <cell r="AF1322">
            <v>42605</v>
          </cell>
          <cell r="AG1322">
            <v>9.17</v>
          </cell>
          <cell r="AH1322" t="str">
            <v>PPM</v>
          </cell>
          <cell r="AI1322" t="str">
            <v>Strands</v>
          </cell>
          <cell r="AJ1322" t="str">
            <v>Strands PW</v>
          </cell>
        </row>
        <row r="1323">
          <cell r="A1323" t="str">
            <v>IKN400989</v>
          </cell>
          <cell r="B1323">
            <v>987</v>
          </cell>
          <cell r="C1323" t="str">
            <v>Institut Kanser Negara</v>
          </cell>
          <cell r="D1323" t="str">
            <v>KKM/IKN/H/13/5150</v>
          </cell>
          <cell r="E1323" t="str">
            <v>13-275</v>
          </cell>
          <cell r="F1323" t="str">
            <v>Calibrators, Radioisotope</v>
          </cell>
          <cell r="G1323" t="str">
            <v>NM</v>
          </cell>
          <cell r="H1323" t="str">
            <v>NUCLEAR MED (DIAGNOSTIC)</v>
          </cell>
          <cell r="I1323" t="str">
            <v>03NM141</v>
          </cell>
          <cell r="J1323" t="str">
            <v>STERILE RADIO PHARMACEUTICAL PREPARATION</v>
          </cell>
          <cell r="K1323" t="str">
            <v>BMED</v>
          </cell>
          <cell r="L1323" t="str">
            <v>Normal</v>
          </cell>
          <cell r="M1323" t="str">
            <v>Germany</v>
          </cell>
          <cell r="N1323" t="str">
            <v>Isomed</v>
          </cell>
          <cell r="O1323" t="str">
            <v>Isomed</v>
          </cell>
          <cell r="P1323" t="str">
            <v>NA</v>
          </cell>
          <cell r="Q1323" t="str">
            <v>Not Applicable</v>
          </cell>
          <cell r="R1323" t="str">
            <v>MED Nuklear-Medizintechnik Dresden GmbH</v>
          </cell>
          <cell r="S1323" t="str">
            <v>Not Available</v>
          </cell>
          <cell r="T1323" t="str">
            <v>Functioning</v>
          </cell>
          <cell r="U1323" t="str">
            <v>Asset</v>
          </cell>
          <cell r="V1323">
            <v>50000</v>
          </cell>
          <cell r="W1323" t="str">
            <v>Estimate</v>
          </cell>
          <cell r="X1323" t="str">
            <v>01/09/2010</v>
          </cell>
          <cell r="Y1323" t="str">
            <v>KEW</v>
          </cell>
          <cell r="Z1323" t="str">
            <v>16/08/2013</v>
          </cell>
          <cell r="AA1323" t="str">
            <v>15/08/2015</v>
          </cell>
          <cell r="AB1323" t="str">
            <v>No</v>
          </cell>
          <cell r="AC1323" t="str">
            <v>31/08/2013</v>
          </cell>
          <cell r="AD1323" t="str">
            <v>Good</v>
          </cell>
          <cell r="AE1323" t="str">
            <v>V1 - Existing / No Claim</v>
          </cell>
          <cell r="AF1323">
            <v>42605</v>
          </cell>
          <cell r="AG1323">
            <v>9.17</v>
          </cell>
          <cell r="AH1323" t="str">
            <v>PPM</v>
          </cell>
          <cell r="AI1323" t="str">
            <v>Strands</v>
          </cell>
          <cell r="AJ1323" t="str">
            <v>Strands PW</v>
          </cell>
          <cell r="AK1323" t="str">
            <v>Replace new unit during UEM. (Capintec Inc. Model:CRC-55tR _S/N:552341H)</v>
          </cell>
        </row>
        <row r="1324">
          <cell r="A1324" t="str">
            <v>IKN400990</v>
          </cell>
          <cell r="B1324">
            <v>988</v>
          </cell>
          <cell r="C1324" t="str">
            <v>Institut Kanser Negara</v>
          </cell>
          <cell r="D1324" t="str">
            <v>KKM/IKN/H/13/2998</v>
          </cell>
          <cell r="E1324" t="str">
            <v>12-660</v>
          </cell>
          <cell r="F1324" t="str">
            <v>Radiation Monitors</v>
          </cell>
          <cell r="G1324" t="str">
            <v>NM</v>
          </cell>
          <cell r="H1324" t="str">
            <v>NUCLEAR MED (DIAGNOSTIC)</v>
          </cell>
          <cell r="I1324" t="str">
            <v>03NM143</v>
          </cell>
          <cell r="J1324" t="str">
            <v>INJECTION ROOM 1 (-VE)</v>
          </cell>
          <cell r="K1324" t="str">
            <v>BMED</v>
          </cell>
          <cell r="L1324" t="str">
            <v>Normal</v>
          </cell>
          <cell r="M1324" t="str">
            <v>Germany</v>
          </cell>
          <cell r="N1324" t="str">
            <v>CoMo</v>
          </cell>
          <cell r="O1324" t="str">
            <v>CoMo 170</v>
          </cell>
          <cell r="P1324" t="str">
            <v>5066DL</v>
          </cell>
          <cell r="Q1324" t="str">
            <v>Not Applicable</v>
          </cell>
          <cell r="R1324" t="str">
            <v>MED Nuklear-Medizintechnik Dresden GmbH</v>
          </cell>
          <cell r="S1324" t="str">
            <v/>
          </cell>
          <cell r="T1324" t="str">
            <v>Functioning</v>
          </cell>
          <cell r="U1324" t="str">
            <v>Asset</v>
          </cell>
          <cell r="V1324">
            <v>23270</v>
          </cell>
          <cell r="W1324" t="str">
            <v>KEW</v>
          </cell>
          <cell r="X1324" t="str">
            <v>01/09/2010</v>
          </cell>
          <cell r="Y1324" t="str">
            <v>KEW</v>
          </cell>
          <cell r="Z1324" t="str">
            <v>16/08/2013</v>
          </cell>
          <cell r="AA1324" t="str">
            <v>15/08/2015</v>
          </cell>
          <cell r="AB1324" t="str">
            <v>No</v>
          </cell>
          <cell r="AC1324" t="str">
            <v>31/08/2013</v>
          </cell>
          <cell r="AD1324" t="str">
            <v>Good</v>
          </cell>
          <cell r="AE1324" t="str">
            <v>V1 - Existing / No Claim</v>
          </cell>
          <cell r="AF1324">
            <v>42235</v>
          </cell>
          <cell r="AG1324">
            <v>9.17</v>
          </cell>
          <cell r="AH1324" t="str">
            <v>PPM</v>
          </cell>
          <cell r="AI1324" t="str">
            <v>Strands</v>
          </cell>
          <cell r="AJ1324" t="str">
            <v>Strands PW</v>
          </cell>
        </row>
        <row r="1325">
          <cell r="A1325" t="str">
            <v>IKN400993</v>
          </cell>
          <cell r="B1325">
            <v>991</v>
          </cell>
          <cell r="C1325" t="str">
            <v>Institut Kanser Negara</v>
          </cell>
          <cell r="D1325" t="str">
            <v>TAKDE KEWPA</v>
          </cell>
          <cell r="E1325" t="str">
            <v>17-211</v>
          </cell>
          <cell r="F1325" t="str">
            <v>Radiation Survey Meters, Geiger-Muller</v>
          </cell>
          <cell r="G1325" t="str">
            <v>WA</v>
          </cell>
          <cell r="H1325" t="str">
            <v>NUCLEAR MED WARD (THERAPY)</v>
          </cell>
          <cell r="I1325" t="str">
            <v>03WA125</v>
          </cell>
          <cell r="J1325" t="str">
            <v>RADIOIODIN PREP (100% F.A.)</v>
          </cell>
          <cell r="K1325" t="str">
            <v>BMED</v>
          </cell>
          <cell r="L1325" t="str">
            <v>Normal</v>
          </cell>
          <cell r="M1325" t="str">
            <v>USA</v>
          </cell>
          <cell r="N1325" t="str">
            <v>Ludlum</v>
          </cell>
          <cell r="O1325" t="str">
            <v>Ludlum 14C</v>
          </cell>
          <cell r="P1325" t="str">
            <v>295020</v>
          </cell>
          <cell r="Q1325" t="str">
            <v>Not Applicable</v>
          </cell>
          <cell r="R1325" t="str">
            <v>Ludlum Measurements Inc</v>
          </cell>
          <cell r="S1325" t="str">
            <v>Not Available</v>
          </cell>
          <cell r="T1325" t="str">
            <v>Functioning</v>
          </cell>
          <cell r="U1325" t="str">
            <v>Asset</v>
          </cell>
          <cell r="V1325">
            <v>10000</v>
          </cell>
          <cell r="W1325" t="str">
            <v>Estimate</v>
          </cell>
          <cell r="X1325" t="str">
            <v>01/09/2010</v>
          </cell>
          <cell r="Y1325" t="str">
            <v>KEW</v>
          </cell>
          <cell r="Z1325" t="str">
            <v>16/08/2013</v>
          </cell>
          <cell r="AA1325" t="str">
            <v>15/08/2015</v>
          </cell>
          <cell r="AB1325" t="str">
            <v>No</v>
          </cell>
          <cell r="AC1325" t="str">
            <v>31/08/2013</v>
          </cell>
          <cell r="AD1325" t="str">
            <v>Good</v>
          </cell>
          <cell r="AE1325" t="str">
            <v>V1 - Existing / No Claim</v>
          </cell>
          <cell r="AF1325">
            <v>42605</v>
          </cell>
          <cell r="AG1325">
            <v>9.17</v>
          </cell>
          <cell r="AH1325" t="str">
            <v>PPM</v>
          </cell>
          <cell r="AI1325" t="str">
            <v>Not in contract</v>
          </cell>
        </row>
        <row r="1326">
          <cell r="A1326" t="str">
            <v>IKN400994</v>
          </cell>
          <cell r="B1326">
            <v>992</v>
          </cell>
          <cell r="C1326" t="str">
            <v>Institut Kanser Negara</v>
          </cell>
          <cell r="D1326" t="e">
            <v>#N/A</v>
          </cell>
          <cell r="E1326" t="str">
            <v>12-660</v>
          </cell>
          <cell r="F1326" t="str">
            <v>Radiation Monitors</v>
          </cell>
          <cell r="G1326" t="str">
            <v>WA</v>
          </cell>
          <cell r="H1326" t="str">
            <v>NUCLEAR MED WARD (THERAPY)</v>
          </cell>
          <cell r="I1326" t="str">
            <v>03WA125</v>
          </cell>
          <cell r="J1326" t="str">
            <v>RADIOIODIN PREP (100% F.A.)</v>
          </cell>
          <cell r="K1326" t="str">
            <v>BMED</v>
          </cell>
          <cell r="L1326" t="str">
            <v>Normal</v>
          </cell>
          <cell r="M1326" t="str">
            <v>Germany</v>
          </cell>
          <cell r="N1326" t="str">
            <v>Almo</v>
          </cell>
          <cell r="O1326" t="str">
            <v>Almo 1</v>
          </cell>
          <cell r="P1326" t="str">
            <v>559</v>
          </cell>
          <cell r="Q1326" t="str">
            <v>Not Applicable</v>
          </cell>
          <cell r="R1326" t="str">
            <v>MED Nuklear-Medizintechnik Dresden GmbH</v>
          </cell>
          <cell r="S1326" t="str">
            <v>.</v>
          </cell>
          <cell r="T1326" t="str">
            <v>Functioning</v>
          </cell>
          <cell r="U1326" t="str">
            <v>Asset</v>
          </cell>
          <cell r="V1326">
            <v>54570</v>
          </cell>
          <cell r="W1326" t="str">
            <v>KEW</v>
          </cell>
          <cell r="X1326" t="str">
            <v>01/09/2010</v>
          </cell>
          <cell r="Y1326" t="str">
            <v>KEW</v>
          </cell>
          <cell r="Z1326" t="str">
            <v>16/08/2013</v>
          </cell>
          <cell r="AA1326" t="str">
            <v>15/08/2015</v>
          </cell>
          <cell r="AB1326" t="str">
            <v>No</v>
          </cell>
          <cell r="AC1326" t="str">
            <v>31/08/2013</v>
          </cell>
          <cell r="AD1326" t="str">
            <v>Good</v>
          </cell>
          <cell r="AE1326" t="str">
            <v>V1 - Existing / No Claim</v>
          </cell>
          <cell r="AF1326">
            <v>42369</v>
          </cell>
          <cell r="AG1326">
            <v>9.17</v>
          </cell>
          <cell r="AH1326" t="str">
            <v>PPM</v>
          </cell>
          <cell r="AI1326" t="str">
            <v>package</v>
          </cell>
          <cell r="AK1326" t="str">
            <v>[25/11/2024]: SN Detector: 311197</v>
          </cell>
        </row>
        <row r="1327">
          <cell r="A1327" t="str">
            <v>IKN400995</v>
          </cell>
          <cell r="B1327">
            <v>993</v>
          </cell>
          <cell r="C1327" t="str">
            <v>Institut Kanser Negara</v>
          </cell>
          <cell r="D1327" t="str">
            <v>KKM/IKN/H/13/3098</v>
          </cell>
          <cell r="E1327" t="str">
            <v>16-567</v>
          </cell>
          <cell r="F1327" t="str">
            <v>Thyroid Uptake Systems</v>
          </cell>
          <cell r="G1327" t="str">
            <v>NM</v>
          </cell>
          <cell r="H1327" t="str">
            <v>NUCLEAR MED (DIAGNOSTIC)</v>
          </cell>
          <cell r="I1327" t="str">
            <v>03NM123</v>
          </cell>
          <cell r="J1327" t="str">
            <v>NON-IMAGING EQ.ROOM</v>
          </cell>
          <cell r="K1327" t="str">
            <v>BMED</v>
          </cell>
          <cell r="L1327" t="str">
            <v>Normal</v>
          </cell>
          <cell r="M1327" t="str">
            <v>USA</v>
          </cell>
          <cell r="N1327" t="str">
            <v>Atomlab</v>
          </cell>
          <cell r="O1327" t="str">
            <v>Atomlab 950C</v>
          </cell>
          <cell r="P1327" t="str">
            <v>766101401660001</v>
          </cell>
          <cell r="Q1327" t="str">
            <v>NA</v>
          </cell>
          <cell r="R1327" t="str">
            <v>Biodex Medical Systems Inc</v>
          </cell>
          <cell r="S1327" t="str">
            <v>Kwint International BN</v>
          </cell>
          <cell r="T1327" t="str">
            <v>Functioning</v>
          </cell>
          <cell r="U1327" t="str">
            <v>Asset</v>
          </cell>
          <cell r="V1327">
            <v>85120</v>
          </cell>
          <cell r="W1327" t="str">
            <v>Estimate</v>
          </cell>
          <cell r="X1327" t="str">
            <v>16/08/2013</v>
          </cell>
          <cell r="Y1327" t="str">
            <v>Estimate</v>
          </cell>
          <cell r="Z1327" t="str">
            <v>16/08/2013</v>
          </cell>
          <cell r="AA1327" t="str">
            <v>15/08/2015</v>
          </cell>
          <cell r="AB1327" t="str">
            <v>No</v>
          </cell>
          <cell r="AC1327" t="str">
            <v>16/08/2013</v>
          </cell>
          <cell r="AD1327" t="str">
            <v>Good</v>
          </cell>
          <cell r="AE1327" t="str">
            <v>V1 - Existing / No Claim</v>
          </cell>
          <cell r="AF1327">
            <v>42605</v>
          </cell>
          <cell r="AG1327">
            <v>6.25</v>
          </cell>
          <cell r="AH1327" t="str">
            <v>PPM</v>
          </cell>
          <cell r="AI1327" t="str">
            <v>Strands</v>
          </cell>
          <cell r="AJ1327" t="str">
            <v>Strands PW</v>
          </cell>
        </row>
        <row r="1328">
          <cell r="A1328" t="str">
            <v>IKN400996</v>
          </cell>
          <cell r="B1328">
            <v>994</v>
          </cell>
          <cell r="C1328" t="str">
            <v>Institut Kanser Negara</v>
          </cell>
          <cell r="D1328" t="str">
            <v>KKM/IKN/H/13/3009</v>
          </cell>
          <cell r="E1328" t="str">
            <v>12-660</v>
          </cell>
          <cell r="F1328" t="str">
            <v>Radiation Monitors</v>
          </cell>
          <cell r="G1328" t="str">
            <v>NM</v>
          </cell>
          <cell r="H1328" t="str">
            <v>NUCLEAR MED (DIAGNOSTIC)</v>
          </cell>
          <cell r="I1328" t="str">
            <v>03NM138</v>
          </cell>
          <cell r="J1328" t="str">
            <v>RADIOIODINE PREP. (100% F.A)</v>
          </cell>
          <cell r="K1328" t="str">
            <v>BMED</v>
          </cell>
          <cell r="L1328" t="str">
            <v>Normal</v>
          </cell>
          <cell r="M1328" t="str">
            <v>Germany</v>
          </cell>
          <cell r="N1328" t="str">
            <v>Almo</v>
          </cell>
          <cell r="O1328" t="str">
            <v>Almo 6</v>
          </cell>
          <cell r="P1328" t="str">
            <v>0072</v>
          </cell>
          <cell r="Q1328" t="str">
            <v>Not Applicable</v>
          </cell>
          <cell r="R1328" t="str">
            <v>MED Nuklear-Medizintechnik Dresden GmbH</v>
          </cell>
          <cell r="S1328" t="str">
            <v/>
          </cell>
          <cell r="T1328" t="str">
            <v>Functioning</v>
          </cell>
          <cell r="U1328" t="str">
            <v>Asset</v>
          </cell>
          <cell r="V1328">
            <v>54570</v>
          </cell>
          <cell r="W1328" t="str">
            <v>KEW</v>
          </cell>
          <cell r="X1328" t="str">
            <v>01/09/2010</v>
          </cell>
          <cell r="Y1328" t="str">
            <v>KEW</v>
          </cell>
          <cell r="Z1328" t="str">
            <v>16/08/2013</v>
          </cell>
          <cell r="AA1328" t="str">
            <v>15/08/2015</v>
          </cell>
          <cell r="AB1328" t="str">
            <v>No</v>
          </cell>
          <cell r="AC1328" t="str">
            <v>31/08/2013</v>
          </cell>
          <cell r="AD1328" t="str">
            <v>Good</v>
          </cell>
          <cell r="AE1328" t="str">
            <v>V1 - Existing / No Claim</v>
          </cell>
          <cell r="AF1328">
            <v>45449</v>
          </cell>
          <cell r="AG1328">
            <v>9.17</v>
          </cell>
          <cell r="AH1328" t="str">
            <v>PPM</v>
          </cell>
          <cell r="AI1328" t="str">
            <v>package</v>
          </cell>
          <cell r="AJ1328" t="str">
            <v>Proposed for V3 P1.24</v>
          </cell>
          <cell r="AK1328" t="str">
            <v>DETECTOR SN: 311197,311316,311275</v>
          </cell>
        </row>
        <row r="1329">
          <cell r="A1329" t="str">
            <v>IKN400997</v>
          </cell>
          <cell r="B1329">
            <v>995</v>
          </cell>
          <cell r="C1329" t="str">
            <v>Institut Kanser Negara</v>
          </cell>
          <cell r="D1329" t="str">
            <v>KKM/IKN/H/13/2992</v>
          </cell>
          <cell r="E1329" t="str">
            <v>12-660</v>
          </cell>
          <cell r="F1329" t="str">
            <v>Radiation Monitors</v>
          </cell>
          <cell r="G1329" t="str">
            <v>NM</v>
          </cell>
          <cell r="H1329" t="str">
            <v>NUCLEAR MED (DIAGNOSTIC)</v>
          </cell>
          <cell r="I1329" t="str">
            <v>03NM132</v>
          </cell>
          <cell r="J1329" t="str">
            <v>CORRIDOR 5</v>
          </cell>
          <cell r="K1329" t="str">
            <v>BMED</v>
          </cell>
          <cell r="L1329" t="str">
            <v>Normal</v>
          </cell>
          <cell r="M1329" t="str">
            <v>Germany</v>
          </cell>
          <cell r="N1329" t="str">
            <v>MED HFC</v>
          </cell>
          <cell r="O1329" t="str">
            <v>MED HFC</v>
          </cell>
          <cell r="P1329" t="str">
            <v>753</v>
          </cell>
          <cell r="Q1329" t="str">
            <v>Not Applicable</v>
          </cell>
          <cell r="R1329" t="str">
            <v>MED Nuklear-Medizintechnik Dresden GmbH</v>
          </cell>
          <cell r="S1329" t="str">
            <v/>
          </cell>
          <cell r="T1329" t="str">
            <v>Functioning</v>
          </cell>
          <cell r="U1329" t="str">
            <v>Asset</v>
          </cell>
          <cell r="V1329">
            <v>112855</v>
          </cell>
          <cell r="W1329" t="str">
            <v>KEW</v>
          </cell>
          <cell r="X1329" t="str">
            <v>01/09/2010</v>
          </cell>
          <cell r="Y1329" t="str">
            <v>KEW</v>
          </cell>
          <cell r="Z1329" t="str">
            <v>16/08/2013</v>
          </cell>
          <cell r="AA1329" t="str">
            <v>15/08/2015</v>
          </cell>
          <cell r="AB1329" t="str">
            <v>No</v>
          </cell>
          <cell r="AC1329" t="str">
            <v>31/08/2013</v>
          </cell>
          <cell r="AD1329" t="str">
            <v>Good</v>
          </cell>
          <cell r="AE1329" t="str">
            <v>V1 - Existing / No Claim</v>
          </cell>
          <cell r="AF1329">
            <v>42235</v>
          </cell>
          <cell r="AG1329">
            <v>9.17</v>
          </cell>
          <cell r="AH1329" t="str">
            <v>PPM</v>
          </cell>
          <cell r="AI1329" t="str">
            <v>Strands</v>
          </cell>
          <cell r="AJ1329" t="str">
            <v>Strands PW</v>
          </cell>
        </row>
        <row r="1330">
          <cell r="A1330" t="str">
            <v>IKN400998</v>
          </cell>
          <cell r="B1330">
            <v>996</v>
          </cell>
          <cell r="C1330" t="str">
            <v>Institut Kanser Negara</v>
          </cell>
          <cell r="D1330" t="str">
            <v>KKM/IKN/H/13/5380</v>
          </cell>
          <cell r="E1330" t="str">
            <v>12-660</v>
          </cell>
          <cell r="F1330" t="str">
            <v>Radiation Monitors</v>
          </cell>
          <cell r="G1330" t="str">
            <v>NW</v>
          </cell>
          <cell r="H1330" t="str">
            <v>NUCLEAR WASTE HOLDING</v>
          </cell>
          <cell r="I1330" t="str">
            <v>01NW106</v>
          </cell>
          <cell r="J1330" t="str">
            <v>WASTE MEASUREMENT</v>
          </cell>
          <cell r="K1330" t="str">
            <v>BMED</v>
          </cell>
          <cell r="L1330" t="str">
            <v>Normal</v>
          </cell>
          <cell r="M1330" t="str">
            <v>Germany</v>
          </cell>
          <cell r="N1330" t="str">
            <v>CoMo</v>
          </cell>
          <cell r="O1330" t="str">
            <v>CoMo 170</v>
          </cell>
          <cell r="P1330">
            <v>4937</v>
          </cell>
          <cell r="Q1330" t="str">
            <v>Not Applicable</v>
          </cell>
          <cell r="R1330" t="str">
            <v>MED Nuklear-Medizintechnik Dresden GmbH</v>
          </cell>
          <cell r="S1330" t="str">
            <v>Delta Advantech (M) Sdn. Bhd.</v>
          </cell>
          <cell r="T1330" t="str">
            <v>Functioning</v>
          </cell>
          <cell r="U1330" t="str">
            <v>Asset</v>
          </cell>
          <cell r="V1330">
            <v>6810</v>
          </cell>
          <cell r="W1330" t="str">
            <v>KEW</v>
          </cell>
          <cell r="X1330" t="str">
            <v>01/09/2010</v>
          </cell>
          <cell r="Y1330" t="str">
            <v>KEW</v>
          </cell>
          <cell r="Z1330" t="str">
            <v>16/08/2013</v>
          </cell>
          <cell r="AA1330" t="str">
            <v>15/08/2015</v>
          </cell>
          <cell r="AB1330" t="str">
            <v>No</v>
          </cell>
          <cell r="AC1330" t="str">
            <v>31/08/2013</v>
          </cell>
          <cell r="AD1330" t="str">
            <v>Good</v>
          </cell>
          <cell r="AE1330" t="str">
            <v>V1 - Existing / No Claim</v>
          </cell>
          <cell r="AF1330">
            <v>42545</v>
          </cell>
          <cell r="AG1330">
            <v>9.17</v>
          </cell>
          <cell r="AH1330" t="str">
            <v>PPM</v>
          </cell>
          <cell r="AI1330" t="str">
            <v>Strands</v>
          </cell>
          <cell r="AJ1330" t="str">
            <v>Strands PW</v>
          </cell>
        </row>
        <row r="1331">
          <cell r="A1331" t="str">
            <v>IKN401001</v>
          </cell>
          <cell r="B1331">
            <v>999</v>
          </cell>
          <cell r="C1331" t="str">
            <v>Institut Kanser Negara</v>
          </cell>
          <cell r="D1331" t="str">
            <v>KKM/IKN/H/13/192</v>
          </cell>
          <cell r="E1331" t="str">
            <v>10-208</v>
          </cell>
          <cell r="F1331" t="str">
            <v>Aspirators</v>
          </cell>
          <cell r="G1331" t="str">
            <v>OT</v>
          </cell>
          <cell r="H1331" t="str">
            <v>OPERATING THEATRE</v>
          </cell>
          <cell r="I1331" t="str">
            <v>05OT169</v>
          </cell>
          <cell r="J1331" t="str">
            <v>EQ. ROOM</v>
          </cell>
          <cell r="K1331" t="str">
            <v>BMED</v>
          </cell>
          <cell r="L1331" t="str">
            <v>Normal</v>
          </cell>
          <cell r="M1331" t="str">
            <v>Switzerland</v>
          </cell>
          <cell r="N1331" t="str">
            <v>Senator</v>
          </cell>
          <cell r="O1331" t="str">
            <v>Senator</v>
          </cell>
          <cell r="P1331" t="str">
            <v>1220760</v>
          </cell>
          <cell r="Q1331" t="str">
            <v>Not Applicable</v>
          </cell>
          <cell r="R1331" t="str">
            <v>Ardo Medical AG</v>
          </cell>
          <cell r="S1331" t="str">
            <v>Histopoint</v>
          </cell>
          <cell r="T1331" t="str">
            <v>Functioning</v>
          </cell>
          <cell r="U1331" t="str">
            <v>Asset</v>
          </cell>
          <cell r="V1331">
            <v>7580</v>
          </cell>
          <cell r="W1331" t="str">
            <v>KEW</v>
          </cell>
          <cell r="X1331" t="str">
            <v>01/09/2010</v>
          </cell>
          <cell r="Y1331" t="str">
            <v>KEW</v>
          </cell>
          <cell r="Z1331" t="str">
            <v>16/08/2013</v>
          </cell>
          <cell r="AA1331" t="str">
            <v>15/08/2015</v>
          </cell>
          <cell r="AB1331" t="str">
            <v>No</v>
          </cell>
          <cell r="AC1331" t="str">
            <v>31/08/2013</v>
          </cell>
          <cell r="AD1331" t="str">
            <v>Good</v>
          </cell>
          <cell r="AE1331" t="str">
            <v>V1 - Existing / No Claim</v>
          </cell>
          <cell r="AF1331">
            <v>42235</v>
          </cell>
          <cell r="AG1331">
            <v>9.17</v>
          </cell>
          <cell r="AH1331" t="str">
            <v>PPM</v>
          </cell>
          <cell r="AI1331" t="str">
            <v>Strands</v>
          </cell>
          <cell r="AJ1331" t="str">
            <v>Strands PW</v>
          </cell>
        </row>
        <row r="1332">
          <cell r="A1332" t="str">
            <v>IKN401003</v>
          </cell>
          <cell r="B1332">
            <v>1001</v>
          </cell>
          <cell r="C1332" t="str">
            <v>Institut Kanser Negara</v>
          </cell>
          <cell r="D1332" t="str">
            <v>KKM/IKN/H/13/3938</v>
          </cell>
          <cell r="E1332" t="str">
            <v>16-763</v>
          </cell>
          <cell r="F1332" t="str">
            <v>Monitors, Bedside, Intracranial Pressure</v>
          </cell>
          <cell r="G1332" t="str">
            <v>OT</v>
          </cell>
          <cell r="H1332" t="str">
            <v>OPERATING THEATRE</v>
          </cell>
          <cell r="I1332" t="str">
            <v>05OT169</v>
          </cell>
          <cell r="J1332" t="str">
            <v>EQ. ROOM</v>
          </cell>
          <cell r="K1332" t="str">
            <v>BMED</v>
          </cell>
          <cell r="L1332" t="str">
            <v>Normal</v>
          </cell>
          <cell r="M1332" t="str">
            <v>Germany</v>
          </cell>
          <cell r="N1332" t="str">
            <v>Spiegelberg</v>
          </cell>
          <cell r="O1332" t="str">
            <v>Spiegelberg</v>
          </cell>
          <cell r="P1332" t="str">
            <v>214/12</v>
          </cell>
          <cell r="Q1332" t="str">
            <v>Not Applicable</v>
          </cell>
          <cell r="R1332" t="str">
            <v>Aesculap AG</v>
          </cell>
          <cell r="S1332" t="str">
            <v>B Braun Medical Supplies Sdn. Bhd.</v>
          </cell>
          <cell r="T1332" t="str">
            <v>Functioning</v>
          </cell>
          <cell r="U1332" t="str">
            <v>Asset</v>
          </cell>
          <cell r="V1332">
            <v>62550</v>
          </cell>
          <cell r="W1332" t="str">
            <v>KEW</v>
          </cell>
          <cell r="X1332" t="str">
            <v>01/09/2010</v>
          </cell>
          <cell r="Y1332" t="str">
            <v>KEW</v>
          </cell>
          <cell r="Z1332" t="str">
            <v>16/08/2013</v>
          </cell>
          <cell r="AA1332" t="str">
            <v>15/08/2015</v>
          </cell>
          <cell r="AB1332" t="str">
            <v>No</v>
          </cell>
          <cell r="AC1332" t="str">
            <v>31/08/2013</v>
          </cell>
          <cell r="AD1332" t="str">
            <v>Good</v>
          </cell>
          <cell r="AE1332" t="str">
            <v>V1 - Existing / No Claim</v>
          </cell>
          <cell r="AF1332">
            <v>42235</v>
          </cell>
          <cell r="AG1332">
            <v>9.17</v>
          </cell>
          <cell r="AH1332" t="str">
            <v>PPM</v>
          </cell>
          <cell r="AI1332" t="str">
            <v>Strands</v>
          </cell>
          <cell r="AJ1332" t="str">
            <v>Strands PW SET C</v>
          </cell>
          <cell r="AK1332" t="str">
            <v>CUBA CHECK IKN401030 PUNYA KEWPA</v>
          </cell>
        </row>
        <row r="1333">
          <cell r="A1333" t="str">
            <v>IKN401004</v>
          </cell>
          <cell r="B1333">
            <v>1002</v>
          </cell>
          <cell r="C1333" t="str">
            <v>Institut Kanser Negara</v>
          </cell>
          <cell r="D1333" t="str">
            <v>KKM/IKN/H/13/3939</v>
          </cell>
          <cell r="E1333" t="str">
            <v>17-954</v>
          </cell>
          <cell r="F1333" t="str">
            <v>Hand Drills, Surgical</v>
          </cell>
          <cell r="G1333" t="str">
            <v>OT</v>
          </cell>
          <cell r="H1333" t="str">
            <v>OPERATING THEATRE</v>
          </cell>
          <cell r="I1333" t="str">
            <v>05OT169</v>
          </cell>
          <cell r="J1333" t="str">
            <v>EQ. ROOM</v>
          </cell>
          <cell r="K1333" t="str">
            <v>BMED</v>
          </cell>
          <cell r="L1333" t="str">
            <v>Normal</v>
          </cell>
          <cell r="M1333" t="str">
            <v>USA</v>
          </cell>
          <cell r="N1333" t="str">
            <v>Midas</v>
          </cell>
          <cell r="O1333" t="str">
            <v>Midas Rex</v>
          </cell>
          <cell r="P1333" t="str">
            <v>57218</v>
          </cell>
          <cell r="Q1333" t="str">
            <v>Not Applicable</v>
          </cell>
          <cell r="R1333" t="str">
            <v>Medtronic Inc</v>
          </cell>
          <cell r="S1333" t="str">
            <v>H&amp;A</v>
          </cell>
          <cell r="T1333" t="str">
            <v>Functioning</v>
          </cell>
          <cell r="U1333" t="str">
            <v>Asset</v>
          </cell>
          <cell r="V1333">
            <v>227540</v>
          </cell>
          <cell r="W1333" t="str">
            <v>KEW</v>
          </cell>
          <cell r="X1333" t="str">
            <v>01/09/2010</v>
          </cell>
          <cell r="Y1333" t="str">
            <v>KEW</v>
          </cell>
          <cell r="Z1333" t="str">
            <v>16/08/2013</v>
          </cell>
          <cell r="AA1333" t="str">
            <v>15/08/2015</v>
          </cell>
          <cell r="AB1333" t="str">
            <v>No</v>
          </cell>
          <cell r="AC1333" t="str">
            <v>31/08/2013</v>
          </cell>
          <cell r="AD1333" t="str">
            <v>Good</v>
          </cell>
          <cell r="AE1333" t="str">
            <v>V1 - Existing / No Claim</v>
          </cell>
          <cell r="AF1333">
            <v>42235</v>
          </cell>
          <cell r="AG1333">
            <v>9.17</v>
          </cell>
          <cell r="AH1333" t="str">
            <v>PPM</v>
          </cell>
          <cell r="AI1333" t="str">
            <v>Strands</v>
          </cell>
          <cell r="AJ1333" t="str">
            <v>Strands PW</v>
          </cell>
        </row>
        <row r="1334">
          <cell r="A1334" t="str">
            <v>IKN401005</v>
          </cell>
          <cell r="B1334">
            <v>1003</v>
          </cell>
          <cell r="C1334" t="str">
            <v>Institut Kanser Negara</v>
          </cell>
          <cell r="D1334" t="str">
            <v>KKM/IKN/H/13/174</v>
          </cell>
          <cell r="E1334" t="str">
            <v>12-863</v>
          </cell>
          <cell r="F1334" t="str">
            <v>Oxygen Monitors</v>
          </cell>
          <cell r="G1334" t="str">
            <v>OT</v>
          </cell>
          <cell r="H1334" t="str">
            <v>OPERATING THEATRE</v>
          </cell>
          <cell r="I1334" t="str">
            <v>05OT165</v>
          </cell>
          <cell r="J1334" t="str">
            <v>RHU</v>
          </cell>
          <cell r="K1334" t="str">
            <v>BMED</v>
          </cell>
          <cell r="L1334" t="str">
            <v>Critical</v>
          </cell>
          <cell r="M1334" t="str">
            <v>Germany</v>
          </cell>
          <cell r="N1334" t="str">
            <v>Mysign</v>
          </cell>
          <cell r="O1334" t="str">
            <v>Mysign O</v>
          </cell>
          <cell r="P1334" t="str">
            <v>100397</v>
          </cell>
          <cell r="Q1334" t="str">
            <v>Not Applicable</v>
          </cell>
          <cell r="R1334" t="str">
            <v>EnviteC-Wismar GmbH</v>
          </cell>
          <cell r="S1334" t="str">
            <v>Respimedic</v>
          </cell>
          <cell r="T1334" t="str">
            <v>Functioning</v>
          </cell>
          <cell r="U1334" t="str">
            <v>Asset</v>
          </cell>
          <cell r="V1334">
            <v>3079</v>
          </cell>
          <cell r="W1334" t="str">
            <v>KEW</v>
          </cell>
          <cell r="X1334" t="str">
            <v>01/09/2010</v>
          </cell>
          <cell r="Y1334" t="str">
            <v>KEW</v>
          </cell>
          <cell r="Z1334" t="str">
            <v>16/08/2013</v>
          </cell>
          <cell r="AA1334" t="str">
            <v>15/08/2015</v>
          </cell>
          <cell r="AB1334" t="str">
            <v>No</v>
          </cell>
          <cell r="AC1334" t="str">
            <v>31/08/2013</v>
          </cell>
          <cell r="AD1334" t="str">
            <v>Good</v>
          </cell>
          <cell r="AE1334" t="str">
            <v>V1 - Existing / No Claim</v>
          </cell>
          <cell r="AF1334">
            <v>42803</v>
          </cell>
          <cell r="AG1334">
            <v>9.17</v>
          </cell>
          <cell r="AH1334" t="str">
            <v>PPM</v>
          </cell>
          <cell r="AI1334" t="str">
            <v>Strands</v>
          </cell>
          <cell r="AJ1334" t="str">
            <v>Strands PW</v>
          </cell>
        </row>
        <row r="1335">
          <cell r="A1335" t="str">
            <v>IKN401011</v>
          </cell>
          <cell r="B1335">
            <v>1009</v>
          </cell>
          <cell r="C1335" t="str">
            <v>Institut Kanser Negara</v>
          </cell>
          <cell r="D1335" t="str">
            <v>KKM/IKN/H/13/3936</v>
          </cell>
          <cell r="E1335" t="str">
            <v>12-709</v>
          </cell>
          <cell r="F1335" t="str">
            <v>Nasopharyngoscopes</v>
          </cell>
          <cell r="G1335" t="str">
            <v>OT</v>
          </cell>
          <cell r="H1335" t="str">
            <v>OPERATING THEATRE</v>
          </cell>
          <cell r="I1335" t="str">
            <v>05OT167</v>
          </cell>
          <cell r="J1335" t="str">
            <v>SCOPE WASH</v>
          </cell>
          <cell r="K1335" t="str">
            <v>BMED</v>
          </cell>
          <cell r="L1335" t="str">
            <v>Normal</v>
          </cell>
          <cell r="M1335" t="str">
            <v>Japan</v>
          </cell>
          <cell r="N1335" t="str">
            <v>Olympus</v>
          </cell>
          <cell r="O1335" t="str">
            <v>Olympus ENF-T3</v>
          </cell>
          <cell r="P1335" t="str">
            <v>2224945/7211418</v>
          </cell>
          <cell r="Q1335" t="str">
            <v>Not Applicable</v>
          </cell>
          <cell r="R1335" t="str">
            <v>Olympus Optical Co Ltd</v>
          </cell>
          <cell r="S1335" t="str">
            <v>Endodynamics</v>
          </cell>
          <cell r="T1335" t="str">
            <v>Functioning</v>
          </cell>
          <cell r="U1335" t="str">
            <v>Asset</v>
          </cell>
          <cell r="V1335">
            <v>59362</v>
          </cell>
          <cell r="W1335" t="str">
            <v>KEW</v>
          </cell>
          <cell r="X1335" t="str">
            <v>01/09/2010</v>
          </cell>
          <cell r="Y1335" t="str">
            <v>KEW</v>
          </cell>
          <cell r="Z1335" t="str">
            <v>16/08/2013</v>
          </cell>
          <cell r="AA1335" t="str">
            <v>15/08/2015</v>
          </cell>
          <cell r="AB1335" t="str">
            <v>No</v>
          </cell>
          <cell r="AC1335" t="str">
            <v>31/08/2013</v>
          </cell>
          <cell r="AD1335" t="str">
            <v>Good</v>
          </cell>
          <cell r="AE1335" t="str">
            <v>V1 - Existing / No Claim</v>
          </cell>
          <cell r="AF1335">
            <v>42235</v>
          </cell>
          <cell r="AG1335">
            <v>9.17</v>
          </cell>
          <cell r="AH1335" t="str">
            <v>PPM</v>
          </cell>
          <cell r="AI1335" t="str">
            <v>Strands</v>
          </cell>
          <cell r="AJ1335" t="str">
            <v>Strands PW</v>
          </cell>
        </row>
        <row r="1336">
          <cell r="A1336" t="str">
            <v>IKN401013</v>
          </cell>
          <cell r="B1336">
            <v>1011</v>
          </cell>
          <cell r="C1336" t="str">
            <v>Institut Kanser Negara</v>
          </cell>
          <cell r="D1336" t="str">
            <v>KKM/IKN/H/13/3934-03</v>
          </cell>
          <cell r="E1336" t="str">
            <v>15-967</v>
          </cell>
          <cell r="F1336" t="str">
            <v>Television Systems, Endoscope</v>
          </cell>
          <cell r="G1336" t="str">
            <v>OT</v>
          </cell>
          <cell r="H1336" t="str">
            <v>OPERATING THEATRE</v>
          </cell>
          <cell r="I1336" t="str">
            <v>05OT167</v>
          </cell>
          <cell r="J1336" t="str">
            <v>SCOPE WASH</v>
          </cell>
          <cell r="K1336" t="str">
            <v>BMED</v>
          </cell>
          <cell r="L1336" t="str">
            <v>Normal</v>
          </cell>
          <cell r="M1336" t="str">
            <v>GERMANY</v>
          </cell>
          <cell r="N1336" t="str">
            <v>Karl Storz Gmbh &amp; Co</v>
          </cell>
          <cell r="O1336" t="str">
            <v>9626.NB/KS-26</v>
          </cell>
          <cell r="P1336" t="str">
            <v>51210038XX008</v>
          </cell>
          <cell r="Q1336" t="str">
            <v>Not Applicable</v>
          </cell>
          <cell r="R1336" t="str">
            <v>Karl Storz Gmbh &amp; Co</v>
          </cell>
          <cell r="S1336" t="str">
            <v>UMMI Surgical Sdn Bhd</v>
          </cell>
          <cell r="T1336" t="str">
            <v>Functioning</v>
          </cell>
          <cell r="U1336" t="str">
            <v>Asset</v>
          </cell>
          <cell r="V1336">
            <v>10000</v>
          </cell>
          <cell r="W1336" t="str">
            <v>Estimate</v>
          </cell>
          <cell r="X1336" t="str">
            <v>01/09/2010</v>
          </cell>
          <cell r="Y1336" t="str">
            <v>KEW</v>
          </cell>
          <cell r="Z1336" t="str">
            <v>16/08/2013</v>
          </cell>
          <cell r="AA1336" t="str">
            <v>15/08/2015</v>
          </cell>
          <cell r="AB1336" t="str">
            <v>No</v>
          </cell>
          <cell r="AC1336" t="str">
            <v>31/08/2013</v>
          </cell>
          <cell r="AD1336" t="str">
            <v>Good</v>
          </cell>
          <cell r="AE1336" t="str">
            <v>V1 - Existing / No Claim</v>
          </cell>
          <cell r="AF1336">
            <v>42803</v>
          </cell>
          <cell r="AG1336">
            <v>9.17</v>
          </cell>
          <cell r="AH1336" t="str">
            <v>RI</v>
          </cell>
          <cell r="AI1336" t="str">
            <v>Strands</v>
          </cell>
          <cell r="AJ1336" t="str">
            <v>Strands Package</v>
          </cell>
          <cell r="AK1336" t="str">
            <v>Package Code EP0127</v>
          </cell>
        </row>
        <row r="1337">
          <cell r="A1337" t="str">
            <v>IKN401014</v>
          </cell>
          <cell r="B1337">
            <v>1012</v>
          </cell>
          <cell r="C1337" t="str">
            <v>Institut Kanser Negara</v>
          </cell>
          <cell r="D1337" t="str">
            <v>KKM/IKN/H/13/3934-04</v>
          </cell>
          <cell r="E1337" t="str">
            <v>12-345</v>
          </cell>
          <cell r="F1337" t="str">
            <v>Light Sources, Fiberoptic</v>
          </cell>
          <cell r="G1337" t="str">
            <v>OT</v>
          </cell>
          <cell r="H1337" t="str">
            <v>OPERATING THEATRE</v>
          </cell>
          <cell r="I1337" t="str">
            <v>05OT167</v>
          </cell>
          <cell r="J1337" t="str">
            <v>SCOPE WASH</v>
          </cell>
          <cell r="K1337" t="str">
            <v>BMED</v>
          </cell>
          <cell r="L1337" t="str">
            <v>Normal</v>
          </cell>
          <cell r="M1337" t="str">
            <v>Germany</v>
          </cell>
          <cell r="N1337" t="str">
            <v>Xenon Nova</v>
          </cell>
          <cell r="O1337" t="str">
            <v>Xenon Nova 300, 201340 20</v>
          </cell>
          <cell r="P1337" t="str">
            <v>VX0682962</v>
          </cell>
          <cell r="Q1337" t="str">
            <v>Not Applicable</v>
          </cell>
          <cell r="R1337" t="str">
            <v>Karl Storz GmbH</v>
          </cell>
          <cell r="S1337" t="str">
            <v>UMMI Surgical Sdn Bhd</v>
          </cell>
          <cell r="T1337" t="str">
            <v>Functioning</v>
          </cell>
          <cell r="U1337" t="str">
            <v>Asset</v>
          </cell>
          <cell r="V1337">
            <v>50000</v>
          </cell>
          <cell r="W1337" t="str">
            <v>Estimate</v>
          </cell>
          <cell r="X1337" t="str">
            <v>01/09/2010</v>
          </cell>
          <cell r="Y1337" t="str">
            <v>KEW</v>
          </cell>
          <cell r="Z1337" t="str">
            <v>16/08/2013</v>
          </cell>
          <cell r="AA1337" t="str">
            <v>15/08/2015</v>
          </cell>
          <cell r="AB1337" t="str">
            <v>No</v>
          </cell>
          <cell r="AC1337" t="str">
            <v>31/08/2013</v>
          </cell>
          <cell r="AD1337" t="str">
            <v>Good</v>
          </cell>
          <cell r="AE1337" t="str">
            <v>V1 - Existing / No Claim</v>
          </cell>
          <cell r="AF1337">
            <v>42605</v>
          </cell>
          <cell r="AG1337">
            <v>9.17</v>
          </cell>
          <cell r="AH1337" t="str">
            <v>PPM</v>
          </cell>
          <cell r="AI1337" t="str">
            <v>Strands</v>
          </cell>
          <cell r="AJ1337" t="str">
            <v>Strands Package</v>
          </cell>
          <cell r="AK1337" t="str">
            <v>Package Code EP0127</v>
          </cell>
        </row>
        <row r="1338">
          <cell r="A1338" t="str">
            <v>IKN401016</v>
          </cell>
          <cell r="B1338">
            <v>1014</v>
          </cell>
          <cell r="C1338" t="str">
            <v>Institut Kanser Negara</v>
          </cell>
          <cell r="D1338" t="str">
            <v>KKM/IKN/H/13/3934-05</v>
          </cell>
          <cell r="E1338" t="str">
            <v>13-274</v>
          </cell>
          <cell r="F1338" t="str">
            <v>Recorders, Tape, Video</v>
          </cell>
          <cell r="G1338" t="str">
            <v>OT</v>
          </cell>
          <cell r="H1338" t="str">
            <v>OPERATING THEATRE</v>
          </cell>
          <cell r="I1338" t="str">
            <v>05OT167</v>
          </cell>
          <cell r="J1338" t="str">
            <v>SCOPE WASH</v>
          </cell>
          <cell r="K1338" t="str">
            <v>BMED</v>
          </cell>
          <cell r="L1338" t="str">
            <v>Normal</v>
          </cell>
          <cell r="M1338" t="str">
            <v>Germany</v>
          </cell>
          <cell r="N1338" t="str">
            <v>Aoda</v>
          </cell>
          <cell r="O1338" t="str">
            <v>Aoda Control Neo</v>
          </cell>
          <cell r="P1338" t="str">
            <v>KSB12558</v>
          </cell>
          <cell r="Q1338" t="str">
            <v>Not Applicable</v>
          </cell>
          <cell r="R1338" t="str">
            <v>Karl Storz GmbH &amp; Co KG</v>
          </cell>
          <cell r="S1338" t="str">
            <v>UMMI Surgical Sdn Bhd</v>
          </cell>
          <cell r="T1338" t="str">
            <v>Functioning</v>
          </cell>
          <cell r="U1338" t="str">
            <v>Asset</v>
          </cell>
          <cell r="V1338">
            <v>20000</v>
          </cell>
          <cell r="W1338" t="str">
            <v>Estimate</v>
          </cell>
          <cell r="X1338" t="str">
            <v>01/09/2010</v>
          </cell>
          <cell r="Y1338" t="str">
            <v>KEW</v>
          </cell>
          <cell r="Z1338" t="str">
            <v>16/08/2013</v>
          </cell>
          <cell r="AA1338" t="str">
            <v>15/08/2015</v>
          </cell>
          <cell r="AB1338" t="str">
            <v>No</v>
          </cell>
          <cell r="AC1338" t="str">
            <v>31/08/2013</v>
          </cell>
          <cell r="AD1338" t="str">
            <v>Good</v>
          </cell>
          <cell r="AE1338" t="str">
            <v>V1 - Existing / No Claim</v>
          </cell>
          <cell r="AF1338">
            <v>42605</v>
          </cell>
          <cell r="AG1338">
            <v>9.17</v>
          </cell>
          <cell r="AH1338" t="str">
            <v>RI</v>
          </cell>
          <cell r="AI1338" t="str">
            <v>Strands</v>
          </cell>
          <cell r="AJ1338" t="str">
            <v>Strands Package</v>
          </cell>
          <cell r="AK1338" t="str">
            <v>Package Code EP0127</v>
          </cell>
        </row>
        <row r="1339">
          <cell r="A1339" t="str">
            <v>IKN401017</v>
          </cell>
          <cell r="B1339">
            <v>1015</v>
          </cell>
          <cell r="C1339" t="str">
            <v>Institut Kanser Negara</v>
          </cell>
          <cell r="D1339" t="str">
            <v>KKM/IKN/H/13/203</v>
          </cell>
          <cell r="E1339" t="str">
            <v>10-134</v>
          </cell>
          <cell r="F1339" t="str">
            <v>Anesthesia Units</v>
          </cell>
          <cell r="G1339" t="str">
            <v>OT</v>
          </cell>
          <cell r="H1339" t="str">
            <v>OPERATING THEATRE</v>
          </cell>
          <cell r="I1339" t="str">
            <v>05OT120</v>
          </cell>
          <cell r="J1339" t="str">
            <v>OT 2</v>
          </cell>
          <cell r="K1339" t="str">
            <v>BMED</v>
          </cell>
          <cell r="L1339" t="str">
            <v>Critical</v>
          </cell>
          <cell r="M1339" t="str">
            <v>Germany</v>
          </cell>
          <cell r="N1339" t="str">
            <v>Primus</v>
          </cell>
          <cell r="O1339" t="str">
            <v>Primus</v>
          </cell>
          <cell r="P1339" t="str">
            <v>ASDJ-0236</v>
          </cell>
          <cell r="Q1339" t="str">
            <v>Not Applicable</v>
          </cell>
          <cell r="R1339" t="str">
            <v>Drager medical GmbH</v>
          </cell>
          <cell r="S1339" t="str">
            <v>Beau Consortium Sdn Bhd</v>
          </cell>
          <cell r="T1339" t="str">
            <v>Functioning</v>
          </cell>
          <cell r="U1339" t="str">
            <v>Asset</v>
          </cell>
          <cell r="V1339">
            <v>144345</v>
          </cell>
          <cell r="W1339" t="str">
            <v>KEW</v>
          </cell>
          <cell r="X1339" t="str">
            <v>01/09/2010</v>
          </cell>
          <cell r="Y1339" t="str">
            <v>KEW</v>
          </cell>
          <cell r="Z1339" t="str">
            <v>16/08/2013</v>
          </cell>
          <cell r="AA1339" t="str">
            <v>15/08/2015</v>
          </cell>
          <cell r="AB1339" t="str">
            <v>No</v>
          </cell>
          <cell r="AC1339" t="str">
            <v>31/08/2013</v>
          </cell>
          <cell r="AD1339" t="str">
            <v>Good</v>
          </cell>
          <cell r="AE1339" t="str">
            <v>V1 - Existing / No Claim</v>
          </cell>
          <cell r="AF1339">
            <v>42802</v>
          </cell>
          <cell r="AG1339">
            <v>9.17</v>
          </cell>
          <cell r="AH1339" t="str">
            <v>PPM</v>
          </cell>
          <cell r="AI1339" t="str">
            <v>Strands</v>
          </cell>
          <cell r="AJ1339" t="str">
            <v>Strands PW</v>
          </cell>
        </row>
        <row r="1340">
          <cell r="A1340" t="str">
            <v>IKN401018</v>
          </cell>
          <cell r="B1340">
            <v>1016</v>
          </cell>
          <cell r="C1340" t="str">
            <v>Institut Kanser Negara</v>
          </cell>
          <cell r="D1340" t="str">
            <v>KKM/IKN/H/13/160</v>
          </cell>
          <cell r="E1340" t="str">
            <v>12-647</v>
          </cell>
          <cell r="F1340" t="str">
            <v>Physiologic Monitoring Systems, Acute Care</v>
          </cell>
          <cell r="G1340" t="str">
            <v>OT</v>
          </cell>
          <cell r="H1340" t="str">
            <v>OPERATING THEATRE</v>
          </cell>
          <cell r="I1340" t="str">
            <v>05OT120</v>
          </cell>
          <cell r="J1340" t="str">
            <v>OT 2</v>
          </cell>
          <cell r="K1340" t="str">
            <v>BMED</v>
          </cell>
          <cell r="L1340" t="str">
            <v>Normal</v>
          </cell>
          <cell r="M1340" t="str">
            <v>Finland</v>
          </cell>
          <cell r="N1340" t="str">
            <v>Carespace</v>
          </cell>
          <cell r="O1340" t="str">
            <v>Carespace B850</v>
          </cell>
          <cell r="P1340" t="str">
            <v>SED12162940GA</v>
          </cell>
          <cell r="Q1340" t="str">
            <v>Not Applicable</v>
          </cell>
          <cell r="R1340" t="str">
            <v>GE Healthcare Systems</v>
          </cell>
          <cell r="S1340" t="str">
            <v>GE Healthcare Technologies</v>
          </cell>
          <cell r="T1340" t="str">
            <v>Functioning</v>
          </cell>
          <cell r="U1340" t="str">
            <v>Asset</v>
          </cell>
          <cell r="V1340">
            <v>119690</v>
          </cell>
          <cell r="W1340" t="str">
            <v>KEW</v>
          </cell>
          <cell r="X1340" t="str">
            <v>01/09/2010</v>
          </cell>
          <cell r="Y1340" t="str">
            <v>KEW</v>
          </cell>
          <cell r="Z1340" t="str">
            <v>16/08/2013</v>
          </cell>
          <cell r="AA1340" t="str">
            <v>15/08/2015</v>
          </cell>
          <cell r="AB1340" t="str">
            <v>No</v>
          </cell>
          <cell r="AC1340" t="str">
            <v>31/08/2013</v>
          </cell>
          <cell r="AD1340" t="str">
            <v>Good</v>
          </cell>
          <cell r="AE1340" t="str">
            <v>V3 - Added Installed Facilities (New)</v>
          </cell>
          <cell r="AF1340">
            <v>42235</v>
          </cell>
          <cell r="AG1340">
            <v>9.17</v>
          </cell>
          <cell r="AH1340" t="str">
            <v>PPM</v>
          </cell>
          <cell r="AI1340" t="str">
            <v>Strands</v>
          </cell>
          <cell r="AJ1340" t="str">
            <v>Strands PW</v>
          </cell>
          <cell r="AK1340" t="str">
            <v>SNF received. 1st batch of V3 asset (December 2020)</v>
          </cell>
        </row>
        <row r="1341">
          <cell r="A1341" t="str">
            <v>IKN401019</v>
          </cell>
          <cell r="B1341">
            <v>1017</v>
          </cell>
          <cell r="C1341" t="str">
            <v>Institut Kanser Negara</v>
          </cell>
          <cell r="D1341" t="str">
            <v>KKM/IKN/H/13/3597</v>
          </cell>
          <cell r="E1341" t="str">
            <v>10-414</v>
          </cell>
          <cell r="F1341" t="str">
            <v>Warming Units, Blanket</v>
          </cell>
          <cell r="G1341" t="str">
            <v>OT</v>
          </cell>
          <cell r="H1341" t="str">
            <v>OPERATING THEATRE</v>
          </cell>
          <cell r="I1341" t="str">
            <v>05OT120</v>
          </cell>
          <cell r="J1341" t="str">
            <v>OT 2</v>
          </cell>
          <cell r="K1341" t="str">
            <v>BMED</v>
          </cell>
          <cell r="L1341" t="str">
            <v>Normal</v>
          </cell>
          <cell r="M1341" t="str">
            <v>Sweden</v>
          </cell>
          <cell r="N1341" t="str">
            <v>Operatherm</v>
          </cell>
          <cell r="O1341" t="str">
            <v>Operatherm 303</v>
          </cell>
          <cell r="P1341" t="str">
            <v>00791-12</v>
          </cell>
          <cell r="Q1341" t="str">
            <v>Not Applicable</v>
          </cell>
          <cell r="R1341" t="str">
            <v>Kanmed</v>
          </cell>
          <cell r="S1341" t="str">
            <v>Perniagaan Med Tech</v>
          </cell>
          <cell r="T1341" t="str">
            <v>Functioning</v>
          </cell>
          <cell r="U1341" t="str">
            <v>Asset</v>
          </cell>
          <cell r="V1341">
            <v>15515</v>
          </cell>
          <cell r="W1341" t="str">
            <v>KEW</v>
          </cell>
          <cell r="X1341" t="str">
            <v>01/09/2010</v>
          </cell>
          <cell r="Y1341" t="str">
            <v>KEW</v>
          </cell>
          <cell r="Z1341" t="str">
            <v>16/08/2013</v>
          </cell>
          <cell r="AA1341" t="str">
            <v>15/08/2015</v>
          </cell>
          <cell r="AB1341" t="str">
            <v>No</v>
          </cell>
          <cell r="AC1341" t="str">
            <v>31/08/2013</v>
          </cell>
          <cell r="AD1341" t="str">
            <v>Good</v>
          </cell>
          <cell r="AE1341" t="str">
            <v>V1 - Existing / No Claim</v>
          </cell>
          <cell r="AF1341">
            <v>42802</v>
          </cell>
          <cell r="AG1341">
            <v>9.17</v>
          </cell>
          <cell r="AH1341" t="str">
            <v>PPM</v>
          </cell>
          <cell r="AI1341" t="str">
            <v>Strands</v>
          </cell>
          <cell r="AJ1341" t="str">
            <v>Strands PW</v>
          </cell>
        </row>
        <row r="1342">
          <cell r="A1342" t="str">
            <v>IKN401020</v>
          </cell>
          <cell r="B1342">
            <v>1018</v>
          </cell>
          <cell r="C1342" t="str">
            <v>Institut Kanser Negara</v>
          </cell>
          <cell r="D1342" t="str">
            <v>KKM/IKN/H/13/736</v>
          </cell>
          <cell r="E1342" t="str">
            <v>18-231</v>
          </cell>
          <cell r="F1342" t="str">
            <v>Electrosurgical Units, Monopolar/Bipolar</v>
          </cell>
          <cell r="G1342" t="str">
            <v>OT</v>
          </cell>
          <cell r="H1342" t="str">
            <v>OPERATING THEATRE</v>
          </cell>
          <cell r="I1342" t="str">
            <v>05OT120</v>
          </cell>
          <cell r="J1342" t="str">
            <v>OT 2</v>
          </cell>
          <cell r="K1342" t="str">
            <v>BMED</v>
          </cell>
          <cell r="L1342" t="str">
            <v>Normal</v>
          </cell>
          <cell r="M1342" t="str">
            <v>USA</v>
          </cell>
          <cell r="N1342" t="str">
            <v>Force</v>
          </cell>
          <cell r="O1342" t="str">
            <v>Force FX-8C</v>
          </cell>
          <cell r="P1342" t="str">
            <v>F2H71438AX</v>
          </cell>
          <cell r="Q1342" t="str">
            <v>Not Applicable</v>
          </cell>
          <cell r="R1342" t="str">
            <v>Valleylab</v>
          </cell>
          <cell r="S1342" t="str">
            <v>United States of America</v>
          </cell>
          <cell r="T1342" t="str">
            <v>Functioning</v>
          </cell>
          <cell r="U1342" t="str">
            <v>Asset</v>
          </cell>
          <cell r="V1342">
            <v>132310</v>
          </cell>
          <cell r="W1342" t="str">
            <v>KEW</v>
          </cell>
          <cell r="X1342" t="str">
            <v>01/09/2010</v>
          </cell>
          <cell r="Y1342" t="str">
            <v>KEW</v>
          </cell>
          <cell r="Z1342" t="str">
            <v>16/08/2013</v>
          </cell>
          <cell r="AA1342" t="str">
            <v>15/08/2015</v>
          </cell>
          <cell r="AB1342" t="str">
            <v>No</v>
          </cell>
          <cell r="AC1342" t="str">
            <v>31/08/2013</v>
          </cell>
          <cell r="AD1342" t="str">
            <v>Good</v>
          </cell>
          <cell r="AE1342" t="str">
            <v>V1 - Existing / No Claim</v>
          </cell>
          <cell r="AF1342">
            <v>42235</v>
          </cell>
          <cell r="AG1342">
            <v>9.17</v>
          </cell>
          <cell r="AH1342" t="str">
            <v>PPM</v>
          </cell>
          <cell r="AI1342" t="str">
            <v>Strands</v>
          </cell>
          <cell r="AJ1342" t="str">
            <v>Strands PW SET D</v>
          </cell>
          <cell r="AK1342" t="str">
            <v>CUBA CHECK IKN401021 PUNYA KEWPA</v>
          </cell>
        </row>
        <row r="1343">
          <cell r="A1343" t="str">
            <v>IKN401021</v>
          </cell>
          <cell r="B1343">
            <v>1019</v>
          </cell>
          <cell r="C1343" t="str">
            <v>Institut Kanser Negara</v>
          </cell>
          <cell r="D1343" t="str">
            <v>KKM/IKN/H/13/736</v>
          </cell>
          <cell r="E1343" t="str">
            <v>18-232</v>
          </cell>
          <cell r="F1343" t="str">
            <v>Electrosurgical Units, Monopolar/Bipolar, Argon-Enhanced Coagulation</v>
          </cell>
          <cell r="G1343" t="str">
            <v>OT</v>
          </cell>
          <cell r="H1343" t="str">
            <v>OPERATING THEATRE</v>
          </cell>
          <cell r="I1343" t="str">
            <v>05OT120</v>
          </cell>
          <cell r="J1343" t="str">
            <v>OT 2</v>
          </cell>
          <cell r="K1343" t="str">
            <v>BMED</v>
          </cell>
          <cell r="L1343" t="str">
            <v>Critical</v>
          </cell>
          <cell r="M1343" t="str">
            <v>USA</v>
          </cell>
          <cell r="N1343" t="str">
            <v>Force</v>
          </cell>
          <cell r="O1343" t="str">
            <v>Force Argon II</v>
          </cell>
          <cell r="P1343" t="str">
            <v>G212724UX</v>
          </cell>
          <cell r="Q1343" t="str">
            <v>Not Applicable</v>
          </cell>
          <cell r="R1343" t="str">
            <v>Valleylab</v>
          </cell>
          <cell r="S1343" t="str">
            <v>United States of America</v>
          </cell>
          <cell r="T1343" t="str">
            <v>Functioning</v>
          </cell>
          <cell r="U1343" t="str">
            <v>Asset</v>
          </cell>
          <cell r="V1343">
            <v>132310</v>
          </cell>
          <cell r="W1343" t="str">
            <v>Estimate</v>
          </cell>
          <cell r="X1343" t="str">
            <v>01/09/2010</v>
          </cell>
          <cell r="Y1343" t="str">
            <v>KEW</v>
          </cell>
          <cell r="Z1343" t="str">
            <v>16/08/2013</v>
          </cell>
          <cell r="AA1343" t="str">
            <v>15/08/2015</v>
          </cell>
          <cell r="AB1343" t="str">
            <v>No</v>
          </cell>
          <cell r="AC1343" t="str">
            <v>31/08/2013</v>
          </cell>
          <cell r="AD1343" t="str">
            <v>Good</v>
          </cell>
          <cell r="AE1343" t="str">
            <v>V1 - Existing / No Claim</v>
          </cell>
          <cell r="AF1343">
            <v>42802</v>
          </cell>
          <cell r="AG1343">
            <v>9.17</v>
          </cell>
          <cell r="AH1343" t="str">
            <v>PPM</v>
          </cell>
          <cell r="AI1343" t="str">
            <v>Strands</v>
          </cell>
          <cell r="AJ1343" t="str">
            <v>Strands PW SET D</v>
          </cell>
          <cell r="AK1343" t="str">
            <v>CUBA CHECK IKN401020 PUNYA KEWPA</v>
          </cell>
        </row>
        <row r="1344">
          <cell r="A1344" t="str">
            <v>IKN401022</v>
          </cell>
          <cell r="B1344">
            <v>1020</v>
          </cell>
          <cell r="C1344" t="str">
            <v>Institut Kanser Negara</v>
          </cell>
          <cell r="D1344" t="str">
            <v>KKM/IKN/H/13/4487</v>
          </cell>
          <cell r="E1344" t="str">
            <v>16-924</v>
          </cell>
          <cell r="F1344" t="str">
            <v>Infusion Pumps, Patient-Controlled Analgesic</v>
          </cell>
          <cell r="G1344" t="str">
            <v>OT</v>
          </cell>
          <cell r="H1344" t="str">
            <v>OPERATING THEATRE</v>
          </cell>
          <cell r="I1344" t="str">
            <v>05OT120</v>
          </cell>
          <cell r="J1344" t="str">
            <v>OT 2</v>
          </cell>
          <cell r="K1344" t="str">
            <v>BMED</v>
          </cell>
          <cell r="L1344" t="str">
            <v>Normal</v>
          </cell>
          <cell r="M1344" t="str">
            <v>Germany</v>
          </cell>
          <cell r="N1344" t="str">
            <v>Perfusor</v>
          </cell>
          <cell r="O1344" t="str">
            <v>Perfusor Space PCA</v>
          </cell>
          <cell r="P1344" t="str">
            <v>186640</v>
          </cell>
          <cell r="Q1344" t="str">
            <v>Not Applicable</v>
          </cell>
          <cell r="R1344" t="str">
            <v>B Braun Melsungen AG</v>
          </cell>
          <cell r="S1344" t="str">
            <v>B Braun Medical Supplies Sdn. Bhd.</v>
          </cell>
          <cell r="T1344" t="str">
            <v>Functioning</v>
          </cell>
          <cell r="U1344" t="str">
            <v>Asset</v>
          </cell>
          <cell r="V1344">
            <v>9622</v>
          </cell>
          <cell r="W1344" t="str">
            <v>KEW</v>
          </cell>
          <cell r="X1344" t="str">
            <v>01/09/2010</v>
          </cell>
          <cell r="Y1344" t="str">
            <v>KEW</v>
          </cell>
          <cell r="Z1344" t="str">
            <v>16/08/2013</v>
          </cell>
          <cell r="AA1344" t="str">
            <v>15/08/2015</v>
          </cell>
          <cell r="AB1344" t="str">
            <v>No</v>
          </cell>
          <cell r="AC1344" t="str">
            <v>31/08/2013</v>
          </cell>
          <cell r="AD1344" t="str">
            <v>Good</v>
          </cell>
          <cell r="AE1344" t="str">
            <v>V1 - Existing / No Claim</v>
          </cell>
          <cell r="AF1344">
            <v>42235</v>
          </cell>
          <cell r="AG1344">
            <v>9.17</v>
          </cell>
          <cell r="AH1344" t="str">
            <v>PPM</v>
          </cell>
          <cell r="AI1344" t="str">
            <v>Strands</v>
          </cell>
          <cell r="AJ1344" t="str">
            <v>Strands PW</v>
          </cell>
        </row>
        <row r="1345">
          <cell r="A1345" t="str">
            <v>IKN401023</v>
          </cell>
          <cell r="B1345">
            <v>1021</v>
          </cell>
          <cell r="C1345" t="str">
            <v>Institut Kanser Negara</v>
          </cell>
          <cell r="D1345" t="str">
            <v>KKM/IKN/H/13/4393</v>
          </cell>
          <cell r="E1345" t="str">
            <v>13-217</v>
          </cell>
          <cell r="F1345" t="str">
            <v>Infusion Pumps, Syringe</v>
          </cell>
          <cell r="G1345" t="str">
            <v>OT</v>
          </cell>
          <cell r="H1345" t="str">
            <v>OPERATING THEATRE</v>
          </cell>
          <cell r="I1345" t="str">
            <v>05OT120</v>
          </cell>
          <cell r="J1345" t="str">
            <v>OT 2</v>
          </cell>
          <cell r="K1345" t="str">
            <v>BMED</v>
          </cell>
          <cell r="L1345" t="str">
            <v>Critical</v>
          </cell>
          <cell r="M1345" t="str">
            <v>Germany</v>
          </cell>
          <cell r="N1345" t="str">
            <v>Perfusor</v>
          </cell>
          <cell r="O1345" t="str">
            <v>Perfusor Space</v>
          </cell>
          <cell r="P1345" t="str">
            <v>143192</v>
          </cell>
          <cell r="Q1345" t="str">
            <v>Not Applicable</v>
          </cell>
          <cell r="R1345" t="str">
            <v>B Braun Melsungen AG</v>
          </cell>
          <cell r="S1345" t="str">
            <v>B Braun Medical Supplies Sdn. Bhd.</v>
          </cell>
          <cell r="T1345" t="str">
            <v>Functioning</v>
          </cell>
          <cell r="U1345" t="str">
            <v>Asset</v>
          </cell>
          <cell r="V1345">
            <v>10225</v>
          </cell>
          <cell r="W1345" t="str">
            <v>KEW</v>
          </cell>
          <cell r="X1345" t="str">
            <v>01/09/2010</v>
          </cell>
          <cell r="Y1345" t="str">
            <v>KEW</v>
          </cell>
          <cell r="Z1345" t="str">
            <v>16/08/2013</v>
          </cell>
          <cell r="AA1345" t="str">
            <v>15/08/2015</v>
          </cell>
          <cell r="AB1345" t="str">
            <v>No</v>
          </cell>
          <cell r="AC1345" t="str">
            <v>31/08/2013</v>
          </cell>
          <cell r="AD1345" t="str">
            <v>Good</v>
          </cell>
          <cell r="AE1345" t="str">
            <v>V1 - Existing / No Claim</v>
          </cell>
          <cell r="AF1345">
            <v>42802</v>
          </cell>
          <cell r="AG1345">
            <v>9.17</v>
          </cell>
          <cell r="AH1345" t="str">
            <v>PPM</v>
          </cell>
          <cell r="AI1345" t="str">
            <v>Strands</v>
          </cell>
          <cell r="AJ1345" t="str">
            <v>Strands PW</v>
          </cell>
        </row>
        <row r="1346">
          <cell r="A1346" t="str">
            <v>IKN401024</v>
          </cell>
          <cell r="B1346">
            <v>1022</v>
          </cell>
          <cell r="C1346" t="str">
            <v>Institut Kanser Negara</v>
          </cell>
          <cell r="D1346" t="str">
            <v>KKM/IKN/H/13/4394</v>
          </cell>
          <cell r="E1346" t="str">
            <v>13-217</v>
          </cell>
          <cell r="F1346" t="str">
            <v>Infusion Pumps, Syringe</v>
          </cell>
          <cell r="G1346" t="str">
            <v>OT</v>
          </cell>
          <cell r="H1346" t="str">
            <v>OPERATING THEATRE</v>
          </cell>
          <cell r="I1346" t="str">
            <v>05OT120</v>
          </cell>
          <cell r="J1346" t="str">
            <v>OT 2</v>
          </cell>
          <cell r="K1346" t="str">
            <v>BMED</v>
          </cell>
          <cell r="L1346" t="str">
            <v>Critical</v>
          </cell>
          <cell r="M1346" t="str">
            <v>Germany</v>
          </cell>
          <cell r="N1346" t="str">
            <v>Perfusor</v>
          </cell>
          <cell r="O1346" t="str">
            <v>Perfusor Space</v>
          </cell>
          <cell r="P1346" t="str">
            <v>143333</v>
          </cell>
          <cell r="Q1346" t="str">
            <v>Not Applicable</v>
          </cell>
          <cell r="R1346" t="str">
            <v>B Braun Melsungen AG</v>
          </cell>
          <cell r="S1346" t="str">
            <v>B Braun Medical Supplies Sdn. Bhd.</v>
          </cell>
          <cell r="T1346" t="str">
            <v>Functioning</v>
          </cell>
          <cell r="U1346" t="str">
            <v>Asset</v>
          </cell>
          <cell r="V1346">
            <v>10225</v>
          </cell>
          <cell r="W1346" t="str">
            <v>KEW</v>
          </cell>
          <cell r="X1346" t="str">
            <v>01/09/2010</v>
          </cell>
          <cell r="Y1346" t="str">
            <v>KEW</v>
          </cell>
          <cell r="Z1346" t="str">
            <v>16/08/2013</v>
          </cell>
          <cell r="AA1346" t="str">
            <v>15/08/2015</v>
          </cell>
          <cell r="AB1346" t="str">
            <v>No</v>
          </cell>
          <cell r="AC1346" t="str">
            <v>31/08/2013</v>
          </cell>
          <cell r="AD1346" t="str">
            <v>Good</v>
          </cell>
          <cell r="AE1346" t="str">
            <v>V1 - Existing / No Claim</v>
          </cell>
          <cell r="AF1346">
            <v>42802</v>
          </cell>
          <cell r="AG1346">
            <v>9.17</v>
          </cell>
          <cell r="AH1346" t="str">
            <v>PPM</v>
          </cell>
          <cell r="AI1346" t="str">
            <v>Strands</v>
          </cell>
          <cell r="AJ1346" t="str">
            <v>Strands PW</v>
          </cell>
        </row>
        <row r="1347">
          <cell r="A1347" t="str">
            <v>IKN401025</v>
          </cell>
          <cell r="B1347">
            <v>1023</v>
          </cell>
          <cell r="C1347" t="str">
            <v>Institut Kanser Negara</v>
          </cell>
          <cell r="D1347" t="str">
            <v>KKM/IKN/H/13/4482</v>
          </cell>
          <cell r="E1347" t="str">
            <v>13-215</v>
          </cell>
          <cell r="F1347" t="str">
            <v>Infusion Pumps, General-Purpose</v>
          </cell>
          <cell r="G1347" t="str">
            <v>OT</v>
          </cell>
          <cell r="H1347" t="str">
            <v>OPERATING THEATRE</v>
          </cell>
          <cell r="I1347" t="str">
            <v>05OT120</v>
          </cell>
          <cell r="J1347" t="str">
            <v>OT 2</v>
          </cell>
          <cell r="K1347" t="str">
            <v>BMED</v>
          </cell>
          <cell r="L1347" t="str">
            <v>Critical</v>
          </cell>
          <cell r="M1347" t="str">
            <v>Germany</v>
          </cell>
          <cell r="N1347" t="str">
            <v>Infusomat</v>
          </cell>
          <cell r="O1347" t="str">
            <v>Infusomat Space</v>
          </cell>
          <cell r="P1347" t="str">
            <v>211447</v>
          </cell>
          <cell r="Q1347" t="str">
            <v>Not Applicable</v>
          </cell>
          <cell r="R1347" t="str">
            <v>B Braun Melsungen AG</v>
          </cell>
          <cell r="S1347" t="str">
            <v>B Braun Medical Supplies Sdn. Bhd.</v>
          </cell>
          <cell r="T1347" t="str">
            <v>Functioning</v>
          </cell>
          <cell r="U1347" t="str">
            <v>Asset</v>
          </cell>
          <cell r="V1347">
            <v>10825</v>
          </cell>
          <cell r="W1347" t="str">
            <v>KEW</v>
          </cell>
          <cell r="X1347" t="str">
            <v>01/09/2010</v>
          </cell>
          <cell r="Y1347" t="str">
            <v>KEW</v>
          </cell>
          <cell r="Z1347" t="str">
            <v>16/08/2013</v>
          </cell>
          <cell r="AA1347" t="str">
            <v>15/08/2015</v>
          </cell>
          <cell r="AB1347" t="str">
            <v>No</v>
          </cell>
          <cell r="AC1347" t="str">
            <v>31/08/2013</v>
          </cell>
          <cell r="AD1347" t="str">
            <v>Good</v>
          </cell>
          <cell r="AE1347" t="str">
            <v>V1 - Existing / No Claim</v>
          </cell>
          <cell r="AF1347">
            <v>42802</v>
          </cell>
          <cell r="AG1347">
            <v>9.17</v>
          </cell>
          <cell r="AH1347" t="str">
            <v>PPM</v>
          </cell>
          <cell r="AI1347" t="str">
            <v>Strands</v>
          </cell>
          <cell r="AJ1347" t="str">
            <v>Strands PW</v>
          </cell>
        </row>
        <row r="1348">
          <cell r="A1348" t="str">
            <v>IKN401026</v>
          </cell>
          <cell r="B1348">
            <v>1024</v>
          </cell>
          <cell r="C1348" t="str">
            <v>Institut Kanser Negara</v>
          </cell>
          <cell r="D1348" t="str">
            <v>KKM/IKN/H/13/4843</v>
          </cell>
          <cell r="E1348" t="str">
            <v>17-793</v>
          </cell>
          <cell r="F1348" t="str">
            <v>Infusion/ Monitoring Line Organizer System</v>
          </cell>
          <cell r="G1348" t="str">
            <v>OT</v>
          </cell>
          <cell r="H1348" t="str">
            <v>OPERATING THEATRE</v>
          </cell>
          <cell r="I1348" t="str">
            <v>05OT120</v>
          </cell>
          <cell r="J1348" t="str">
            <v>OT 2</v>
          </cell>
          <cell r="K1348" t="str">
            <v>BMED</v>
          </cell>
          <cell r="L1348" t="str">
            <v>Normal</v>
          </cell>
          <cell r="M1348" t="str">
            <v>Germany</v>
          </cell>
          <cell r="N1348" t="str">
            <v>Space Station</v>
          </cell>
          <cell r="O1348" t="str">
            <v>Space Station</v>
          </cell>
          <cell r="P1348" t="str">
            <v>13975</v>
          </cell>
          <cell r="Q1348" t="str">
            <v>Not Applicable</v>
          </cell>
          <cell r="R1348" t="str">
            <v>B Braun Melsungen AG</v>
          </cell>
          <cell r="S1348" t="str">
            <v>B Braun Medical Supplies Sdn. Bhd.</v>
          </cell>
          <cell r="T1348" t="str">
            <v>Functioning</v>
          </cell>
          <cell r="U1348" t="str">
            <v>Asset</v>
          </cell>
          <cell r="V1348">
            <v>84200</v>
          </cell>
          <cell r="W1348" t="str">
            <v>KEW</v>
          </cell>
          <cell r="X1348" t="str">
            <v>01/09/2010</v>
          </cell>
          <cell r="Y1348" t="str">
            <v>KEW</v>
          </cell>
          <cell r="Z1348" t="str">
            <v>16/08/2013</v>
          </cell>
          <cell r="AA1348" t="str">
            <v>15/08/2015</v>
          </cell>
          <cell r="AB1348" t="str">
            <v>No</v>
          </cell>
          <cell r="AC1348" t="str">
            <v>31/08/2013</v>
          </cell>
          <cell r="AD1348" t="str">
            <v>Good</v>
          </cell>
          <cell r="AE1348" t="str">
            <v>V1 - Existing / No Claim</v>
          </cell>
          <cell r="AF1348">
            <v>42802</v>
          </cell>
          <cell r="AG1348">
            <v>9.17</v>
          </cell>
          <cell r="AH1348" t="str">
            <v>PPM</v>
          </cell>
          <cell r="AI1348" t="str">
            <v>Strands</v>
          </cell>
          <cell r="AJ1348" t="str">
            <v>Strands PW</v>
          </cell>
        </row>
        <row r="1349">
          <cell r="A1349" t="str">
            <v>IKN401027</v>
          </cell>
          <cell r="B1349">
            <v>1025</v>
          </cell>
          <cell r="C1349" t="str">
            <v>Institut Kanser Negara</v>
          </cell>
          <cell r="D1349" t="str">
            <v>KKM/IKN/H/13/734</v>
          </cell>
          <cell r="E1349" t="str">
            <v>13-961</v>
          </cell>
          <cell r="F1349" t="str">
            <v>Tables, Operating</v>
          </cell>
          <cell r="G1349" t="str">
            <v>OT</v>
          </cell>
          <cell r="H1349" t="str">
            <v>OPERATING THEATRE</v>
          </cell>
          <cell r="I1349" t="str">
            <v>05OT120</v>
          </cell>
          <cell r="J1349" t="str">
            <v>OT 2</v>
          </cell>
          <cell r="K1349" t="str">
            <v>BMED</v>
          </cell>
          <cell r="L1349" t="str">
            <v>Normal</v>
          </cell>
          <cell r="M1349" t="str">
            <v>UK</v>
          </cell>
          <cell r="N1349" t="str">
            <v>Eschmann</v>
          </cell>
          <cell r="O1349" t="str">
            <v>Eschmann T20+</v>
          </cell>
          <cell r="P1349" t="str">
            <v>T2AD-2A-3367</v>
          </cell>
          <cell r="Q1349" t="str">
            <v>Not Applicable</v>
          </cell>
          <cell r="R1349" t="str">
            <v>Eschmann Bros &amp; Walsh Ltd</v>
          </cell>
          <cell r="S1349" t="str">
            <v>Antah Sir Radin Sdn. Bhd.</v>
          </cell>
          <cell r="T1349" t="str">
            <v>Functioning</v>
          </cell>
          <cell r="U1349" t="str">
            <v>Asset</v>
          </cell>
          <cell r="V1349">
            <v>239350</v>
          </cell>
          <cell r="W1349" t="str">
            <v>KEW</v>
          </cell>
          <cell r="X1349" t="str">
            <v>01/09/2010</v>
          </cell>
          <cell r="Y1349" t="str">
            <v>KEW</v>
          </cell>
          <cell r="Z1349" t="str">
            <v>16/08/2013</v>
          </cell>
          <cell r="AA1349" t="str">
            <v>15/08/2015</v>
          </cell>
          <cell r="AB1349" t="str">
            <v>No</v>
          </cell>
          <cell r="AC1349" t="str">
            <v>31/08/2013</v>
          </cell>
          <cell r="AD1349" t="str">
            <v>Good</v>
          </cell>
          <cell r="AE1349" t="str">
            <v>V1 - Existing / No Claim</v>
          </cell>
          <cell r="AF1349">
            <v>42235</v>
          </cell>
          <cell r="AG1349">
            <v>9.17</v>
          </cell>
          <cell r="AH1349" t="str">
            <v>PPM</v>
          </cell>
          <cell r="AI1349" t="str">
            <v>Strands</v>
          </cell>
          <cell r="AJ1349" t="str">
            <v>Strands PW</v>
          </cell>
        </row>
        <row r="1350">
          <cell r="A1350" t="str">
            <v>IKN401028</v>
          </cell>
          <cell r="B1350">
            <v>1026</v>
          </cell>
          <cell r="C1350" t="str">
            <v>Institut Kanser Negara</v>
          </cell>
          <cell r="D1350" t="str">
            <v>KKM/IKN/H/13/4483</v>
          </cell>
          <cell r="E1350" t="str">
            <v>13-215</v>
          </cell>
          <cell r="F1350" t="str">
            <v>Infusion Pumps, General-Purpose</v>
          </cell>
          <cell r="G1350" t="str">
            <v>OT</v>
          </cell>
          <cell r="H1350" t="str">
            <v>OPERATING THEATRE</v>
          </cell>
          <cell r="I1350" t="str">
            <v>05OT123</v>
          </cell>
          <cell r="J1350" t="str">
            <v>0T 1</v>
          </cell>
          <cell r="K1350" t="str">
            <v>BMED</v>
          </cell>
          <cell r="L1350" t="str">
            <v>Normal</v>
          </cell>
          <cell r="M1350" t="str">
            <v>Germany</v>
          </cell>
          <cell r="N1350" t="str">
            <v>Infusomat</v>
          </cell>
          <cell r="O1350" t="str">
            <v>Infusomat Space</v>
          </cell>
          <cell r="P1350" t="str">
            <v>212023</v>
          </cell>
          <cell r="Q1350" t="str">
            <v>Not Applicable</v>
          </cell>
          <cell r="R1350" t="str">
            <v>B Braun Melsungen AG</v>
          </cell>
          <cell r="S1350" t="str">
            <v>B Braun Medical Supplies Sdn. Bhd.</v>
          </cell>
          <cell r="T1350" t="str">
            <v>Functioning</v>
          </cell>
          <cell r="U1350" t="str">
            <v>Asset</v>
          </cell>
          <cell r="V1350">
            <v>10825</v>
          </cell>
          <cell r="W1350" t="str">
            <v>KEW</v>
          </cell>
          <cell r="X1350" t="str">
            <v>01/09/2010</v>
          </cell>
          <cell r="Y1350" t="str">
            <v>KEW</v>
          </cell>
          <cell r="Z1350" t="str">
            <v>16/08/2013</v>
          </cell>
          <cell r="AA1350" t="str">
            <v>15/08/2015</v>
          </cell>
          <cell r="AB1350" t="str">
            <v>No</v>
          </cell>
          <cell r="AC1350" t="str">
            <v>31/08/2013</v>
          </cell>
          <cell r="AD1350" t="str">
            <v>Good</v>
          </cell>
          <cell r="AE1350" t="str">
            <v>V1 - Existing / No Claim</v>
          </cell>
          <cell r="AF1350">
            <v>42235</v>
          </cell>
          <cell r="AG1350">
            <v>9.17</v>
          </cell>
          <cell r="AH1350" t="str">
            <v>PPM</v>
          </cell>
          <cell r="AI1350" t="str">
            <v>Strands</v>
          </cell>
          <cell r="AJ1350" t="str">
            <v>Strands PW</v>
          </cell>
        </row>
        <row r="1351">
          <cell r="A1351" t="str">
            <v>IKN401029</v>
          </cell>
          <cell r="B1351">
            <v>1027</v>
          </cell>
          <cell r="C1351" t="str">
            <v>Institut Kanser Negara</v>
          </cell>
          <cell r="D1351" t="str">
            <v>KKM/IKN/H/13/4396</v>
          </cell>
          <cell r="E1351" t="str">
            <v>13-217</v>
          </cell>
          <cell r="F1351" t="str">
            <v>Infusion Pumps, Syringe</v>
          </cell>
          <cell r="G1351" t="str">
            <v>OT</v>
          </cell>
          <cell r="H1351" t="str">
            <v>OPERATING THEATRE</v>
          </cell>
          <cell r="I1351" t="str">
            <v>05OT123</v>
          </cell>
          <cell r="J1351" t="str">
            <v>0T 1</v>
          </cell>
          <cell r="K1351" t="str">
            <v>BMED</v>
          </cell>
          <cell r="L1351" t="str">
            <v>Normal</v>
          </cell>
          <cell r="M1351" t="str">
            <v>Germany</v>
          </cell>
          <cell r="N1351" t="str">
            <v>Perfusor</v>
          </cell>
          <cell r="O1351" t="str">
            <v>Perfusor Space</v>
          </cell>
          <cell r="P1351" t="str">
            <v>187024</v>
          </cell>
          <cell r="Q1351" t="str">
            <v>Not Applicable</v>
          </cell>
          <cell r="R1351" t="str">
            <v>B Braun Melsungen AG</v>
          </cell>
          <cell r="S1351" t="str">
            <v>B Braun Medical Supplies Sdn. Bhd.</v>
          </cell>
          <cell r="T1351" t="str">
            <v>Functioning</v>
          </cell>
          <cell r="U1351" t="str">
            <v>Asset</v>
          </cell>
          <cell r="V1351">
            <v>10225</v>
          </cell>
          <cell r="W1351" t="str">
            <v>KEW</v>
          </cell>
          <cell r="X1351" t="str">
            <v>01/09/2010</v>
          </cell>
          <cell r="Y1351" t="str">
            <v>KEW</v>
          </cell>
          <cell r="Z1351" t="str">
            <v>16/08/2013</v>
          </cell>
          <cell r="AA1351" t="str">
            <v>15/08/2015</v>
          </cell>
          <cell r="AB1351" t="str">
            <v>No</v>
          </cell>
          <cell r="AC1351" t="str">
            <v>31/08/2013</v>
          </cell>
          <cell r="AD1351" t="str">
            <v>Good</v>
          </cell>
          <cell r="AE1351" t="str">
            <v>V1 - Existing / No Claim</v>
          </cell>
          <cell r="AF1351">
            <v>42235</v>
          </cell>
          <cell r="AG1351">
            <v>9.17</v>
          </cell>
          <cell r="AH1351" t="str">
            <v>PPM</v>
          </cell>
          <cell r="AI1351" t="str">
            <v>Strands</v>
          </cell>
          <cell r="AJ1351" t="str">
            <v>Strands PW</v>
          </cell>
        </row>
        <row r="1352">
          <cell r="A1352" t="str">
            <v>IKN401030</v>
          </cell>
          <cell r="B1352">
            <v>1028</v>
          </cell>
          <cell r="C1352" t="str">
            <v>Institut Kanser Negara</v>
          </cell>
          <cell r="D1352" t="str">
            <v>KKM/IKN/H/13/3938</v>
          </cell>
          <cell r="E1352" t="str">
            <v>13-217</v>
          </cell>
          <cell r="F1352" t="str">
            <v>Infusion Pumps, Syringe</v>
          </cell>
          <cell r="G1352" t="str">
            <v>OT</v>
          </cell>
          <cell r="H1352" t="str">
            <v>OPERATING THEATRE</v>
          </cell>
          <cell r="I1352" t="str">
            <v>05OT123</v>
          </cell>
          <cell r="J1352" t="str">
            <v>0T 1</v>
          </cell>
          <cell r="K1352" t="str">
            <v>BMED</v>
          </cell>
          <cell r="L1352" t="str">
            <v>Normal</v>
          </cell>
          <cell r="M1352" t="str">
            <v>Germany</v>
          </cell>
          <cell r="N1352" t="str">
            <v>Perfusor</v>
          </cell>
          <cell r="O1352" t="str">
            <v>Perfusor Space</v>
          </cell>
          <cell r="P1352" t="str">
            <v>187039</v>
          </cell>
          <cell r="Q1352" t="str">
            <v>Not Applicable</v>
          </cell>
          <cell r="R1352" t="str">
            <v>B Braun Melsungen AG</v>
          </cell>
          <cell r="S1352" t="str">
            <v>B Braun Medical Supplies Sdn. Bhd.</v>
          </cell>
          <cell r="T1352" t="str">
            <v>Functioning</v>
          </cell>
          <cell r="U1352" t="str">
            <v>Asset</v>
          </cell>
          <cell r="V1352">
            <v>10225</v>
          </cell>
          <cell r="W1352" t="str">
            <v>KEW</v>
          </cell>
          <cell r="X1352" t="str">
            <v>01/09/2010</v>
          </cell>
          <cell r="Y1352" t="str">
            <v>KEW</v>
          </cell>
          <cell r="Z1352" t="str">
            <v>16/08/2013</v>
          </cell>
          <cell r="AA1352" t="str">
            <v>15/08/2015</v>
          </cell>
          <cell r="AB1352" t="str">
            <v>No</v>
          </cell>
          <cell r="AC1352" t="str">
            <v>31/08/2013</v>
          </cell>
          <cell r="AD1352" t="str">
            <v>Good</v>
          </cell>
          <cell r="AE1352" t="str">
            <v>V1 - Existing / No Claim</v>
          </cell>
          <cell r="AF1352">
            <v>42235</v>
          </cell>
          <cell r="AG1352">
            <v>9.17</v>
          </cell>
          <cell r="AH1352" t="str">
            <v>PPM</v>
          </cell>
          <cell r="AI1352" t="str">
            <v>Strands</v>
          </cell>
          <cell r="AJ1352" t="str">
            <v>Strands PW SET C</v>
          </cell>
          <cell r="AK1352" t="str">
            <v>CUBA CHECK IKN401003 PUNYA KEWPA</v>
          </cell>
        </row>
        <row r="1353">
          <cell r="A1353" t="str">
            <v>IKN401031</v>
          </cell>
          <cell r="B1353">
            <v>1029</v>
          </cell>
          <cell r="C1353" t="str">
            <v>Institut Kanser Negara</v>
          </cell>
          <cell r="D1353" t="str">
            <v>KKM/IKN/H/13/3599</v>
          </cell>
          <cell r="E1353" t="str">
            <v>10-414</v>
          </cell>
          <cell r="F1353" t="str">
            <v>Warming Units, Blanket</v>
          </cell>
          <cell r="G1353" t="str">
            <v>OT</v>
          </cell>
          <cell r="H1353" t="str">
            <v>OPERATING THEATRE</v>
          </cell>
          <cell r="I1353" t="str">
            <v>05OT123</v>
          </cell>
          <cell r="J1353" t="str">
            <v>0T 1</v>
          </cell>
          <cell r="K1353" t="str">
            <v>BMED</v>
          </cell>
          <cell r="L1353" t="str">
            <v>Normal</v>
          </cell>
          <cell r="M1353" t="str">
            <v>Sweden</v>
          </cell>
          <cell r="N1353" t="str">
            <v>Operatherm</v>
          </cell>
          <cell r="O1353" t="str">
            <v>Operatherm 303</v>
          </cell>
          <cell r="P1353" t="str">
            <v>00739-11</v>
          </cell>
          <cell r="Q1353" t="str">
            <v>Not Applicable</v>
          </cell>
          <cell r="R1353" t="str">
            <v>Kanmed</v>
          </cell>
          <cell r="S1353" t="str">
            <v>Perniagaan Med Tech</v>
          </cell>
          <cell r="T1353" t="str">
            <v>Functioning</v>
          </cell>
          <cell r="U1353" t="str">
            <v>Asset</v>
          </cell>
          <cell r="V1353">
            <v>15515</v>
          </cell>
          <cell r="W1353" t="str">
            <v>KEW</v>
          </cell>
          <cell r="X1353" t="str">
            <v>01/09/2010</v>
          </cell>
          <cell r="Y1353" t="str">
            <v>KEW</v>
          </cell>
          <cell r="Z1353" t="str">
            <v>16/08/2013</v>
          </cell>
          <cell r="AA1353" t="str">
            <v>15/08/2015</v>
          </cell>
          <cell r="AB1353" t="str">
            <v>No</v>
          </cell>
          <cell r="AC1353" t="str">
            <v>31/08/2013</v>
          </cell>
          <cell r="AD1353" t="str">
            <v>Good</v>
          </cell>
          <cell r="AE1353" t="str">
            <v>V1 - Existing / No Claim</v>
          </cell>
          <cell r="AF1353">
            <v>42802</v>
          </cell>
          <cell r="AG1353">
            <v>9.17</v>
          </cell>
          <cell r="AH1353" t="str">
            <v>PPM</v>
          </cell>
          <cell r="AI1353" t="str">
            <v>Strands</v>
          </cell>
          <cell r="AJ1353" t="str">
            <v>Strands PW</v>
          </cell>
        </row>
        <row r="1354">
          <cell r="A1354" t="str">
            <v>IKN401032</v>
          </cell>
          <cell r="B1354">
            <v>1030</v>
          </cell>
          <cell r="C1354" t="str">
            <v>Institut Kanser Negara</v>
          </cell>
          <cell r="D1354" t="str">
            <v>KKM/IKN/H/13/202</v>
          </cell>
          <cell r="E1354" t="str">
            <v>10-134</v>
          </cell>
          <cell r="F1354" t="str">
            <v>Anesthesia Units</v>
          </cell>
          <cell r="G1354" t="str">
            <v>OT</v>
          </cell>
          <cell r="H1354" t="str">
            <v>OPERATING THEATRE</v>
          </cell>
          <cell r="I1354" t="str">
            <v>05OT123</v>
          </cell>
          <cell r="J1354" t="str">
            <v>0T 1</v>
          </cell>
          <cell r="K1354" t="str">
            <v>BMED</v>
          </cell>
          <cell r="L1354" t="str">
            <v>Critical</v>
          </cell>
          <cell r="M1354" t="str">
            <v>Germany</v>
          </cell>
          <cell r="N1354" t="str">
            <v>Primus</v>
          </cell>
          <cell r="O1354" t="str">
            <v>Primus</v>
          </cell>
          <cell r="P1354" t="str">
            <v>ASDJ-0233</v>
          </cell>
          <cell r="Q1354" t="str">
            <v>Not Applicable</v>
          </cell>
          <cell r="R1354" t="str">
            <v>Drager medical GmbH</v>
          </cell>
          <cell r="S1354" t="str">
            <v>Beau Consortium Sdn Bhd</v>
          </cell>
          <cell r="T1354" t="str">
            <v>Functioning</v>
          </cell>
          <cell r="U1354" t="str">
            <v>Asset</v>
          </cell>
          <cell r="V1354">
            <v>144345</v>
          </cell>
          <cell r="W1354" t="str">
            <v>KEW</v>
          </cell>
          <cell r="X1354" t="str">
            <v>01/09/2010</v>
          </cell>
          <cell r="Y1354" t="str">
            <v>KEW</v>
          </cell>
          <cell r="Z1354" t="str">
            <v>16/08/2013</v>
          </cell>
          <cell r="AA1354" t="str">
            <v>15/08/2015</v>
          </cell>
          <cell r="AB1354" t="str">
            <v>No</v>
          </cell>
          <cell r="AC1354" t="str">
            <v>31/08/2013</v>
          </cell>
          <cell r="AD1354" t="str">
            <v>Good</v>
          </cell>
          <cell r="AE1354" t="str">
            <v>V1 - Existing / No Claim</v>
          </cell>
          <cell r="AF1354">
            <v>42802</v>
          </cell>
          <cell r="AG1354">
            <v>9.17</v>
          </cell>
          <cell r="AH1354" t="str">
            <v>PPM</v>
          </cell>
          <cell r="AI1354" t="str">
            <v>Strands</v>
          </cell>
          <cell r="AJ1354" t="str">
            <v>Strands PW</v>
          </cell>
        </row>
        <row r="1355">
          <cell r="A1355" t="str">
            <v>IKN401033</v>
          </cell>
          <cell r="B1355">
            <v>1031</v>
          </cell>
          <cell r="C1355" t="str">
            <v>Institut Kanser Negara</v>
          </cell>
          <cell r="D1355" t="str">
            <v>KKM/IKN/H/13/3733</v>
          </cell>
          <cell r="E1355" t="str">
            <v>10-447</v>
          </cell>
          <cell r="F1355" t="str">
            <v>Warming Units, Blood/Solution</v>
          </cell>
          <cell r="G1355" t="str">
            <v>OT</v>
          </cell>
          <cell r="H1355" t="str">
            <v>OPERATING THEATRE</v>
          </cell>
          <cell r="I1355" t="str">
            <v>05OT123</v>
          </cell>
          <cell r="J1355" t="str">
            <v>0T 1</v>
          </cell>
          <cell r="K1355" t="str">
            <v>BMED</v>
          </cell>
          <cell r="L1355" t="str">
            <v>Normal</v>
          </cell>
          <cell r="M1355" t="str">
            <v>USA</v>
          </cell>
          <cell r="N1355" t="str">
            <v>Hotline</v>
          </cell>
          <cell r="O1355" t="str">
            <v>Hotline HL-90</v>
          </cell>
          <cell r="P1355" t="str">
            <v>S101B00818</v>
          </cell>
          <cell r="Q1355" t="str">
            <v>Not Applicable</v>
          </cell>
          <cell r="R1355" t="str">
            <v>Level 1 Technologies Inc</v>
          </cell>
          <cell r="S1355" t="str">
            <v>Primed Medical Services Sdn Bhd</v>
          </cell>
          <cell r="T1355" t="str">
            <v>Functioning</v>
          </cell>
          <cell r="U1355" t="str">
            <v>Asset</v>
          </cell>
          <cell r="V1355">
            <v>15395</v>
          </cell>
          <cell r="W1355" t="str">
            <v>KEW</v>
          </cell>
          <cell r="X1355" t="str">
            <v>01/09/2010</v>
          </cell>
          <cell r="Y1355" t="str">
            <v>KEW</v>
          </cell>
          <cell r="Z1355" t="str">
            <v>16/08/2013</v>
          </cell>
          <cell r="AA1355" t="str">
            <v>15/08/2015</v>
          </cell>
          <cell r="AB1355" t="str">
            <v>No</v>
          </cell>
          <cell r="AC1355" t="str">
            <v>31/08/2013</v>
          </cell>
          <cell r="AD1355" t="str">
            <v>Good</v>
          </cell>
          <cell r="AE1355" t="str">
            <v>V1 - Existing / No Claim</v>
          </cell>
          <cell r="AF1355">
            <v>42235</v>
          </cell>
          <cell r="AG1355">
            <v>9.17</v>
          </cell>
          <cell r="AH1355" t="str">
            <v>PPM</v>
          </cell>
          <cell r="AI1355" t="str">
            <v>Strands</v>
          </cell>
          <cell r="AJ1355" t="str">
            <v>Strands PW</v>
          </cell>
        </row>
        <row r="1356">
          <cell r="A1356" t="str">
            <v>IKN401034</v>
          </cell>
          <cell r="B1356">
            <v>1032</v>
          </cell>
          <cell r="C1356" t="str">
            <v>Institut Kanser Negara</v>
          </cell>
          <cell r="D1356" t="str">
            <v>KKM/IKN/H/13/1039</v>
          </cell>
          <cell r="E1356" t="str">
            <v>12-647</v>
          </cell>
          <cell r="F1356" t="str">
            <v>Physiologic Monitoring Systems, Acute Care</v>
          </cell>
          <cell r="G1356" t="str">
            <v>OT</v>
          </cell>
          <cell r="H1356" t="str">
            <v>OPERATING THEATRE</v>
          </cell>
          <cell r="I1356" t="str">
            <v>05OT123</v>
          </cell>
          <cell r="J1356" t="str">
            <v>0T 1</v>
          </cell>
          <cell r="K1356" t="str">
            <v>BMED</v>
          </cell>
          <cell r="L1356" t="str">
            <v>Normal</v>
          </cell>
          <cell r="M1356" t="str">
            <v>Finland</v>
          </cell>
          <cell r="N1356" t="str">
            <v>Carespace</v>
          </cell>
          <cell r="O1356" t="str">
            <v>Carespace B850</v>
          </cell>
          <cell r="P1356" t="str">
            <v>SED12370675GA</v>
          </cell>
          <cell r="Q1356" t="str">
            <v>Not Applicable</v>
          </cell>
          <cell r="R1356" t="str">
            <v>GE Healthcare Systems</v>
          </cell>
          <cell r="S1356" t="str">
            <v>GE Healthcare Technologies</v>
          </cell>
          <cell r="T1356" t="str">
            <v>Functioning</v>
          </cell>
          <cell r="U1356" t="str">
            <v>Asset</v>
          </cell>
          <cell r="V1356">
            <v>119690</v>
          </cell>
          <cell r="W1356" t="str">
            <v>KEW</v>
          </cell>
          <cell r="X1356" t="str">
            <v>01/09/2010</v>
          </cell>
          <cell r="Y1356" t="str">
            <v>KEW</v>
          </cell>
          <cell r="Z1356" t="str">
            <v>16/08/2013</v>
          </cell>
          <cell r="AA1356" t="str">
            <v>15/08/2015</v>
          </cell>
          <cell r="AB1356" t="str">
            <v>No</v>
          </cell>
          <cell r="AC1356" t="str">
            <v>31/08/2013</v>
          </cell>
          <cell r="AD1356" t="str">
            <v>Good</v>
          </cell>
          <cell r="AE1356" t="str">
            <v>V1 - Existing / No Claim</v>
          </cell>
          <cell r="AF1356">
            <v>42235</v>
          </cell>
          <cell r="AG1356">
            <v>9.17</v>
          </cell>
          <cell r="AH1356" t="str">
            <v>PPM</v>
          </cell>
          <cell r="AI1356" t="str">
            <v>Strands</v>
          </cell>
          <cell r="AJ1356" t="str">
            <v>Strands PW</v>
          </cell>
        </row>
        <row r="1357">
          <cell r="A1357" t="str">
            <v>IKN401035</v>
          </cell>
          <cell r="B1357">
            <v>1033</v>
          </cell>
          <cell r="C1357" t="str">
            <v>Institut Kanser Negara</v>
          </cell>
          <cell r="D1357" t="str">
            <v>KKM/IKN/H/13/737</v>
          </cell>
          <cell r="E1357" t="str">
            <v>18-231</v>
          </cell>
          <cell r="F1357" t="str">
            <v>Electrosurgical Units, Monopolar/Bipolar</v>
          </cell>
          <cell r="G1357" t="str">
            <v>OT</v>
          </cell>
          <cell r="H1357" t="str">
            <v>OPERATING THEATRE</v>
          </cell>
          <cell r="I1357" t="str">
            <v>05OT123</v>
          </cell>
          <cell r="J1357" t="str">
            <v>0T 1</v>
          </cell>
          <cell r="K1357" t="str">
            <v>BMED</v>
          </cell>
          <cell r="L1357" t="str">
            <v>Normal</v>
          </cell>
          <cell r="M1357" t="str">
            <v>USA</v>
          </cell>
          <cell r="N1357" t="str">
            <v>Force</v>
          </cell>
          <cell r="O1357" t="str">
            <v>Force FX-8C</v>
          </cell>
          <cell r="P1357" t="str">
            <v>F2H71444AX</v>
          </cell>
          <cell r="Q1357" t="str">
            <v>Not Applicable</v>
          </cell>
          <cell r="R1357" t="str">
            <v>Valleylab</v>
          </cell>
          <cell r="S1357" t="str">
            <v>United States of America</v>
          </cell>
          <cell r="T1357" t="str">
            <v>Functioning</v>
          </cell>
          <cell r="U1357" t="str">
            <v>Asset</v>
          </cell>
          <cell r="V1357">
            <v>132310</v>
          </cell>
          <cell r="W1357" t="str">
            <v>KEW</v>
          </cell>
          <cell r="X1357" t="str">
            <v>01/09/2010</v>
          </cell>
          <cell r="Y1357" t="str">
            <v>KEW</v>
          </cell>
          <cell r="Z1357" t="str">
            <v>16/08/2013</v>
          </cell>
          <cell r="AA1357" t="str">
            <v>15/08/2015</v>
          </cell>
          <cell r="AB1357" t="str">
            <v>No</v>
          </cell>
          <cell r="AC1357" t="str">
            <v>31/08/2013</v>
          </cell>
          <cell r="AD1357" t="str">
            <v>Good</v>
          </cell>
          <cell r="AE1357" t="str">
            <v>V1 - Existing / No Claim</v>
          </cell>
          <cell r="AF1357">
            <v>42235</v>
          </cell>
          <cell r="AG1357">
            <v>9.17</v>
          </cell>
          <cell r="AH1357" t="str">
            <v>PPM</v>
          </cell>
          <cell r="AI1357" t="str">
            <v>Strands</v>
          </cell>
          <cell r="AJ1357" t="str">
            <v>Strands PW SET E</v>
          </cell>
          <cell r="AK1357" t="str">
            <v>CUBA CHECK IKN401036 PUNYA KEWPA</v>
          </cell>
        </row>
        <row r="1358">
          <cell r="A1358" t="str">
            <v>IKN401036</v>
          </cell>
          <cell r="B1358">
            <v>1034</v>
          </cell>
          <cell r="C1358" t="str">
            <v>Institut Kanser Negara</v>
          </cell>
          <cell r="D1358" t="str">
            <v>KKM/IKN/H/13/737</v>
          </cell>
          <cell r="E1358" t="str">
            <v>18-232</v>
          </cell>
          <cell r="F1358" t="str">
            <v>Electrosurgical Units, Monopolar/Bipolar, Argon-Enhanced Coagulation</v>
          </cell>
          <cell r="G1358" t="str">
            <v>OT</v>
          </cell>
          <cell r="H1358" t="str">
            <v>OPERATING THEATRE</v>
          </cell>
          <cell r="I1358" t="str">
            <v>05OT123</v>
          </cell>
          <cell r="J1358" t="str">
            <v>0T 1</v>
          </cell>
          <cell r="K1358" t="str">
            <v>BMED</v>
          </cell>
          <cell r="L1358" t="str">
            <v>Normal</v>
          </cell>
          <cell r="M1358" t="str">
            <v>USA</v>
          </cell>
          <cell r="N1358" t="str">
            <v>Force</v>
          </cell>
          <cell r="O1358" t="str">
            <v>Force Argon II</v>
          </cell>
          <cell r="P1358" t="str">
            <v>G212725UX</v>
          </cell>
          <cell r="Q1358" t="str">
            <v>Not Applicable</v>
          </cell>
          <cell r="R1358" t="str">
            <v>Valleylab</v>
          </cell>
          <cell r="S1358" t="str">
            <v>United States of America</v>
          </cell>
          <cell r="T1358" t="str">
            <v>Functioning</v>
          </cell>
          <cell r="U1358" t="str">
            <v>Asset</v>
          </cell>
          <cell r="V1358">
            <v>132310</v>
          </cell>
          <cell r="W1358" t="str">
            <v>KEW</v>
          </cell>
          <cell r="X1358" t="str">
            <v>01/09/2010</v>
          </cell>
          <cell r="Y1358" t="str">
            <v>KEW</v>
          </cell>
          <cell r="Z1358" t="str">
            <v>16/08/2013</v>
          </cell>
          <cell r="AA1358" t="str">
            <v>15/08/2015</v>
          </cell>
          <cell r="AB1358" t="str">
            <v>No</v>
          </cell>
          <cell r="AC1358" t="str">
            <v>31/08/2013</v>
          </cell>
          <cell r="AD1358" t="str">
            <v>Good</v>
          </cell>
          <cell r="AE1358" t="str">
            <v>V1 - Existing / No Claim</v>
          </cell>
          <cell r="AF1358">
            <v>42235</v>
          </cell>
          <cell r="AG1358">
            <v>9.17</v>
          </cell>
          <cell r="AH1358" t="str">
            <v>PPM</v>
          </cell>
          <cell r="AI1358" t="str">
            <v>Strands</v>
          </cell>
          <cell r="AJ1358" t="str">
            <v>Strands PW SET E</v>
          </cell>
          <cell r="AK1358" t="str">
            <v>CUBA CHECK IKN401035 PUNYA KEWPA</v>
          </cell>
        </row>
        <row r="1359">
          <cell r="A1359" t="str">
            <v>IKN401037</v>
          </cell>
          <cell r="B1359">
            <v>1035</v>
          </cell>
          <cell r="C1359" t="str">
            <v>Institut Kanser Negara</v>
          </cell>
          <cell r="D1359" t="str">
            <v>KKM/IKN/H/13/735</v>
          </cell>
          <cell r="E1359" t="str">
            <v>13-961</v>
          </cell>
          <cell r="F1359" t="str">
            <v>Tables, Operating</v>
          </cell>
          <cell r="G1359" t="str">
            <v>OT</v>
          </cell>
          <cell r="H1359" t="str">
            <v>OPERATING THEATRE</v>
          </cell>
          <cell r="I1359" t="str">
            <v>05OT123</v>
          </cell>
          <cell r="J1359" t="str">
            <v>0T 1</v>
          </cell>
          <cell r="K1359" t="str">
            <v>BMED</v>
          </cell>
          <cell r="L1359" t="str">
            <v>Critical</v>
          </cell>
          <cell r="M1359" t="str">
            <v>UK</v>
          </cell>
          <cell r="N1359" t="str">
            <v>Eschmann</v>
          </cell>
          <cell r="O1359" t="str">
            <v>Eschmann T20+</v>
          </cell>
          <cell r="P1359" t="str">
            <v>T2AD-2A-3368</v>
          </cell>
          <cell r="Q1359" t="str">
            <v>Not Applicable</v>
          </cell>
          <cell r="R1359" t="str">
            <v>Eschmann Bros &amp; Walsh Ltd</v>
          </cell>
          <cell r="S1359" t="str">
            <v>Antah Sir Radin Sdn. Bhd.</v>
          </cell>
          <cell r="T1359" t="str">
            <v>Functioning</v>
          </cell>
          <cell r="U1359" t="str">
            <v>Asset</v>
          </cell>
          <cell r="V1359">
            <v>239350</v>
          </cell>
          <cell r="W1359" t="str">
            <v>KEW</v>
          </cell>
          <cell r="X1359" t="str">
            <v>01/09/2010</v>
          </cell>
          <cell r="Y1359" t="str">
            <v>KEW</v>
          </cell>
          <cell r="Z1359" t="str">
            <v>16/08/2013</v>
          </cell>
          <cell r="AA1359" t="str">
            <v>15/08/2015</v>
          </cell>
          <cell r="AB1359" t="str">
            <v>No</v>
          </cell>
          <cell r="AC1359" t="str">
            <v>31/08/2013</v>
          </cell>
          <cell r="AD1359" t="str">
            <v>Good</v>
          </cell>
          <cell r="AE1359" t="str">
            <v>V1 - Existing / No Claim</v>
          </cell>
          <cell r="AF1359">
            <v>42802</v>
          </cell>
          <cell r="AG1359">
            <v>9.17</v>
          </cell>
          <cell r="AH1359" t="str">
            <v>PPM</v>
          </cell>
          <cell r="AI1359" t="str">
            <v>Strands</v>
          </cell>
          <cell r="AJ1359" t="str">
            <v>Strands PW</v>
          </cell>
        </row>
        <row r="1360">
          <cell r="A1360" t="str">
            <v>IKN401038</v>
          </cell>
          <cell r="B1360">
            <v>1036</v>
          </cell>
          <cell r="C1360" t="str">
            <v>Institut Kanser Negara</v>
          </cell>
          <cell r="D1360" t="str">
            <v>KKM/IKN/H/13/152</v>
          </cell>
          <cell r="E1360" t="str">
            <v>16-173</v>
          </cell>
          <cell r="F1360" t="str">
            <v>Sphygmomanometers, Electronic, Automatic</v>
          </cell>
          <cell r="G1360" t="str">
            <v>OT</v>
          </cell>
          <cell r="H1360" t="str">
            <v>OPERATING THEATRE</v>
          </cell>
          <cell r="I1360" t="str">
            <v>05OT158</v>
          </cell>
          <cell r="J1360" t="str">
            <v>NURSE STATION</v>
          </cell>
          <cell r="K1360" t="str">
            <v>BMED</v>
          </cell>
          <cell r="L1360" t="str">
            <v>Critical</v>
          </cell>
          <cell r="M1360" t="str">
            <v>USA</v>
          </cell>
          <cell r="N1360" t="str">
            <v>Connex</v>
          </cell>
          <cell r="O1360" t="str">
            <v>Connex ProBP 3400</v>
          </cell>
          <cell r="P1360" t="str">
            <v>100001540613</v>
          </cell>
          <cell r="Q1360" t="str">
            <v>Not Applicable</v>
          </cell>
          <cell r="R1360" t="str">
            <v>Welch Allyn Inc</v>
          </cell>
          <cell r="S1360" t="str">
            <v>Welch Allyn Malaysia Sdn Bhd</v>
          </cell>
          <cell r="T1360" t="str">
            <v>Functioning</v>
          </cell>
          <cell r="U1360" t="str">
            <v>Asset</v>
          </cell>
          <cell r="V1360">
            <v>4510</v>
          </cell>
          <cell r="W1360" t="str">
            <v>KEW</v>
          </cell>
          <cell r="X1360" t="str">
            <v>01/09/2010</v>
          </cell>
          <cell r="Y1360" t="str">
            <v>KEW</v>
          </cell>
          <cell r="Z1360" t="str">
            <v>16/08/2013</v>
          </cell>
          <cell r="AA1360" t="str">
            <v>15/08/2015</v>
          </cell>
          <cell r="AB1360" t="str">
            <v>No</v>
          </cell>
          <cell r="AC1360" t="str">
            <v>31/08/2013</v>
          </cell>
          <cell r="AD1360" t="str">
            <v>Good</v>
          </cell>
          <cell r="AE1360" t="str">
            <v>V1 - Existing / No Claim</v>
          </cell>
          <cell r="AF1360">
            <v>42803</v>
          </cell>
          <cell r="AG1360">
            <v>9.17</v>
          </cell>
          <cell r="AH1360" t="str">
            <v>PPM</v>
          </cell>
          <cell r="AI1360" t="str">
            <v>Strands</v>
          </cell>
          <cell r="AJ1360" t="str">
            <v>Strands PW</v>
          </cell>
        </row>
        <row r="1361">
          <cell r="A1361" t="str">
            <v>IKN401039</v>
          </cell>
          <cell r="B1361">
            <v>1037</v>
          </cell>
          <cell r="C1361" t="str">
            <v>Institut Kanser Negara</v>
          </cell>
          <cell r="D1361" t="str">
            <v>KKM/IKN/H/13/151</v>
          </cell>
          <cell r="E1361" t="str">
            <v>16-173</v>
          </cell>
          <cell r="F1361" t="str">
            <v>Sphygmomanometers, Electronic, Automatic</v>
          </cell>
          <cell r="G1361" t="str">
            <v>OT</v>
          </cell>
          <cell r="H1361" t="str">
            <v>OPERATING THEATRE</v>
          </cell>
          <cell r="I1361" t="str">
            <v>05OT158</v>
          </cell>
          <cell r="J1361" t="str">
            <v>NURSE STATION</v>
          </cell>
          <cell r="K1361" t="str">
            <v>BMED</v>
          </cell>
          <cell r="L1361" t="str">
            <v>Critical</v>
          </cell>
          <cell r="M1361" t="str">
            <v>USA</v>
          </cell>
          <cell r="N1361" t="str">
            <v>Connex</v>
          </cell>
          <cell r="O1361" t="str">
            <v>Connex ProBP 3400</v>
          </cell>
          <cell r="P1361" t="str">
            <v>100001670613</v>
          </cell>
          <cell r="Q1361" t="str">
            <v>Not Applicable</v>
          </cell>
          <cell r="R1361" t="str">
            <v>Welch Allyn Inc</v>
          </cell>
          <cell r="S1361" t="str">
            <v>Welch Allyn Malaysia Sdn Bhd</v>
          </cell>
          <cell r="T1361" t="str">
            <v>Functioning</v>
          </cell>
          <cell r="U1361" t="str">
            <v>Asset</v>
          </cell>
          <cell r="V1361">
            <v>4510</v>
          </cell>
          <cell r="W1361" t="str">
            <v>KEW</v>
          </cell>
          <cell r="X1361" t="str">
            <v>01/09/2010</v>
          </cell>
          <cell r="Y1361" t="str">
            <v>KEW</v>
          </cell>
          <cell r="Z1361" t="str">
            <v>16/08/2013</v>
          </cell>
          <cell r="AA1361" t="str">
            <v>15/08/2015</v>
          </cell>
          <cell r="AB1361" t="str">
            <v>No</v>
          </cell>
          <cell r="AC1361" t="str">
            <v>31/08/2013</v>
          </cell>
          <cell r="AD1361" t="str">
            <v>Good</v>
          </cell>
          <cell r="AE1361" t="str">
            <v>V1 - Existing / No Claim</v>
          </cell>
          <cell r="AF1361">
            <v>42803</v>
          </cell>
          <cell r="AG1361">
            <v>9.17</v>
          </cell>
          <cell r="AH1361" t="str">
            <v>PPM</v>
          </cell>
          <cell r="AI1361" t="str">
            <v>Strands</v>
          </cell>
          <cell r="AJ1361" t="str">
            <v>Strands PW</v>
          </cell>
        </row>
        <row r="1362">
          <cell r="A1362" t="str">
            <v>IKN401040</v>
          </cell>
          <cell r="B1362">
            <v>1038</v>
          </cell>
          <cell r="C1362" t="str">
            <v>Institut Kanser Negara</v>
          </cell>
          <cell r="D1362" t="e">
            <v>#N/A</v>
          </cell>
          <cell r="E1362" t="str">
            <v>11-134</v>
          </cell>
          <cell r="F1362" t="str">
            <v>Defibrillators, External, Manual</v>
          </cell>
          <cell r="G1362" t="str">
            <v>OT</v>
          </cell>
          <cell r="H1362" t="str">
            <v>OPERATING THEATRE</v>
          </cell>
          <cell r="I1362" t="str">
            <v>05OT158</v>
          </cell>
          <cell r="J1362" t="str">
            <v>NURSE STATION</v>
          </cell>
          <cell r="K1362" t="str">
            <v>BMED</v>
          </cell>
          <cell r="L1362" t="str">
            <v>Critical</v>
          </cell>
          <cell r="M1362" t="str">
            <v>USA</v>
          </cell>
          <cell r="N1362" t="str">
            <v>Responder</v>
          </cell>
          <cell r="O1362" t="str">
            <v>Responder 2000</v>
          </cell>
          <cell r="P1362" t="str">
            <v>3206694</v>
          </cell>
          <cell r="Q1362" t="str">
            <v>Not Applicable</v>
          </cell>
          <cell r="R1362" t="str">
            <v>GE Medical Systems</v>
          </cell>
          <cell r="S1362" t="str">
            <v>Antah Sir Radin Sdn. Bhd.</v>
          </cell>
          <cell r="T1362" t="str">
            <v>Functioning</v>
          </cell>
          <cell r="U1362" t="str">
            <v>Asset</v>
          </cell>
          <cell r="V1362">
            <v>45000</v>
          </cell>
          <cell r="W1362" t="str">
            <v>Estimate</v>
          </cell>
          <cell r="X1362" t="str">
            <v>01/09/2010</v>
          </cell>
          <cell r="Y1362" t="str">
            <v>KEW</v>
          </cell>
          <cell r="Z1362" t="str">
            <v>16/08/2013</v>
          </cell>
          <cell r="AA1362" t="str">
            <v>15/08/2015</v>
          </cell>
          <cell r="AB1362" t="str">
            <v>No</v>
          </cell>
          <cell r="AC1362" t="str">
            <v>31/08/2013</v>
          </cell>
          <cell r="AD1362" t="str">
            <v>Good</v>
          </cell>
          <cell r="AE1362" t="str">
            <v>V1 - Existing / No Claim</v>
          </cell>
          <cell r="AF1362">
            <v>42605</v>
          </cell>
          <cell r="AG1362">
            <v>9.17</v>
          </cell>
          <cell r="AH1362" t="str">
            <v>PPM</v>
          </cell>
          <cell r="AI1362" t="str">
            <v>Strands</v>
          </cell>
          <cell r="AJ1362" t="str">
            <v>Strands PW</v>
          </cell>
          <cell r="AK1362" t="str">
            <v>Crash Trolley (FEMS)</v>
          </cell>
        </row>
        <row r="1363">
          <cell r="A1363" t="str">
            <v>IKN401041</v>
          </cell>
          <cell r="B1363">
            <v>1039</v>
          </cell>
          <cell r="C1363" t="str">
            <v>Institut Kanser Negara</v>
          </cell>
          <cell r="D1363" t="str">
            <v>KKM/IKN/H/13/3734</v>
          </cell>
          <cell r="E1363" t="str">
            <v>13-249</v>
          </cell>
          <cell r="F1363" t="str">
            <v>Warming Units, Patient, Radiant, Adult</v>
          </cell>
          <cell r="G1363" t="str">
            <v>OT</v>
          </cell>
          <cell r="H1363" t="str">
            <v>OPERATING THEATRE</v>
          </cell>
          <cell r="I1363" t="str">
            <v>05OT159</v>
          </cell>
          <cell r="J1363" t="str">
            <v>POST-OP/RECOVERY (FUTURE)</v>
          </cell>
          <cell r="K1363" t="str">
            <v>BMED</v>
          </cell>
          <cell r="L1363" t="str">
            <v>Normal</v>
          </cell>
          <cell r="M1363" t="str">
            <v>Sweden</v>
          </cell>
          <cell r="N1363" t="str">
            <v>Aragona</v>
          </cell>
          <cell r="O1363" t="str">
            <v>Aragona MTC-410</v>
          </cell>
          <cell r="P1363" t="str">
            <v>1206</v>
          </cell>
          <cell r="Q1363" t="str">
            <v>Not Applicable</v>
          </cell>
          <cell r="R1363" t="str">
            <v>Aspira Medical AB</v>
          </cell>
          <cell r="S1363" t="str">
            <v>Perniagaan Med Tech</v>
          </cell>
          <cell r="T1363" t="str">
            <v>Functioning</v>
          </cell>
          <cell r="U1363" t="str">
            <v>Asset</v>
          </cell>
          <cell r="V1363">
            <v>12630</v>
          </cell>
          <cell r="W1363" t="str">
            <v>KEW</v>
          </cell>
          <cell r="X1363" t="str">
            <v>01/09/2010</v>
          </cell>
          <cell r="Y1363" t="str">
            <v>KEW</v>
          </cell>
          <cell r="Z1363" t="str">
            <v>16/08/2013</v>
          </cell>
          <cell r="AA1363" t="str">
            <v>15/08/2015</v>
          </cell>
          <cell r="AB1363" t="str">
            <v>No</v>
          </cell>
          <cell r="AC1363" t="str">
            <v>31/08/2013</v>
          </cell>
          <cell r="AD1363" t="str">
            <v>Good</v>
          </cell>
          <cell r="AE1363" t="str">
            <v>V1 - Existing / No Claim</v>
          </cell>
          <cell r="AF1363">
            <v>42803</v>
          </cell>
          <cell r="AG1363">
            <v>9.17</v>
          </cell>
          <cell r="AH1363" t="str">
            <v>PPM</v>
          </cell>
          <cell r="AI1363" t="str">
            <v>Strands</v>
          </cell>
          <cell r="AJ1363" t="str">
            <v>Strands PW</v>
          </cell>
        </row>
        <row r="1364">
          <cell r="A1364" t="str">
            <v>IKN401042</v>
          </cell>
          <cell r="B1364">
            <v>1040</v>
          </cell>
          <cell r="C1364" t="str">
            <v>Institut Kanser Negara</v>
          </cell>
          <cell r="D1364" t="str">
            <v>KKM/IKN/H/13/3735</v>
          </cell>
          <cell r="E1364" t="str">
            <v>13-249</v>
          </cell>
          <cell r="F1364" t="str">
            <v>Warming Units, Patient, Radiant, Adult</v>
          </cell>
          <cell r="G1364" t="str">
            <v>OT</v>
          </cell>
          <cell r="H1364" t="str">
            <v>OPERATING THEATRE</v>
          </cell>
          <cell r="I1364" t="str">
            <v>05OT159</v>
          </cell>
          <cell r="J1364" t="str">
            <v>POST-OP/RECOVERY (FUTURE)</v>
          </cell>
          <cell r="K1364" t="str">
            <v>BMED</v>
          </cell>
          <cell r="L1364" t="str">
            <v>Normal</v>
          </cell>
          <cell r="M1364" t="str">
            <v>Sweden</v>
          </cell>
          <cell r="N1364" t="str">
            <v>Aragona</v>
          </cell>
          <cell r="O1364" t="str">
            <v>Aragona MTC-410</v>
          </cell>
          <cell r="P1364" t="str">
            <v>1208</v>
          </cell>
          <cell r="Q1364" t="str">
            <v>Not Applicable</v>
          </cell>
          <cell r="R1364" t="str">
            <v>Aspira Medical AB</v>
          </cell>
          <cell r="S1364" t="str">
            <v>Perniagaan Med Tech</v>
          </cell>
          <cell r="T1364" t="str">
            <v>Functioning</v>
          </cell>
          <cell r="U1364" t="str">
            <v>Asset</v>
          </cell>
          <cell r="V1364">
            <v>12630</v>
          </cell>
          <cell r="W1364" t="str">
            <v>KEW</v>
          </cell>
          <cell r="X1364" t="str">
            <v>01/09/2010</v>
          </cell>
          <cell r="Y1364" t="str">
            <v>KEW</v>
          </cell>
          <cell r="Z1364" t="str">
            <v>16/08/2013</v>
          </cell>
          <cell r="AA1364" t="str">
            <v>15/08/2015</v>
          </cell>
          <cell r="AB1364" t="str">
            <v>No</v>
          </cell>
          <cell r="AC1364" t="str">
            <v>31/08/2013</v>
          </cell>
          <cell r="AD1364" t="str">
            <v>Good</v>
          </cell>
          <cell r="AE1364" t="str">
            <v>V1 - Existing / No Claim</v>
          </cell>
          <cell r="AF1364">
            <v>42803</v>
          </cell>
          <cell r="AG1364">
            <v>9.17</v>
          </cell>
          <cell r="AH1364" t="str">
            <v>PPM</v>
          </cell>
          <cell r="AI1364" t="str">
            <v>Strands</v>
          </cell>
          <cell r="AJ1364" t="str">
            <v>Strands PW</v>
          </cell>
        </row>
        <row r="1365">
          <cell r="A1365" t="str">
            <v>IKN401043</v>
          </cell>
          <cell r="B1365">
            <v>1041</v>
          </cell>
          <cell r="C1365" t="str">
            <v>Institut Kanser Negara</v>
          </cell>
          <cell r="D1365" t="str">
            <v>KKM/IKN/H/13/157</v>
          </cell>
          <cell r="E1365" t="str">
            <v>12-647</v>
          </cell>
          <cell r="F1365" t="str">
            <v>Physiologic Monitoring Systems, Acute Care</v>
          </cell>
          <cell r="G1365" t="str">
            <v>OT</v>
          </cell>
          <cell r="H1365" t="str">
            <v>OPERATING THEATRE</v>
          </cell>
          <cell r="I1365" t="str">
            <v>05OT159</v>
          </cell>
          <cell r="J1365" t="str">
            <v>POST-OP/RECOVERY (FUTURE)</v>
          </cell>
          <cell r="K1365" t="str">
            <v>BMED</v>
          </cell>
          <cell r="L1365" t="str">
            <v>Critical</v>
          </cell>
          <cell r="M1365" t="str">
            <v>Finland</v>
          </cell>
          <cell r="N1365" t="str">
            <v>CareScape</v>
          </cell>
          <cell r="O1365" t="str">
            <v>CareScape B650</v>
          </cell>
          <cell r="P1365" t="str">
            <v>SEW12357514HA</v>
          </cell>
          <cell r="Q1365" t="str">
            <v>Not Applicable</v>
          </cell>
          <cell r="R1365" t="str">
            <v>GE Medical Systems</v>
          </cell>
          <cell r="S1365" t="str">
            <v>GE Healthcare Technologies</v>
          </cell>
          <cell r="T1365" t="str">
            <v>Functioning</v>
          </cell>
          <cell r="U1365" t="str">
            <v>Asset</v>
          </cell>
          <cell r="V1365">
            <v>87400</v>
          </cell>
          <cell r="W1365" t="str">
            <v>KEW</v>
          </cell>
          <cell r="X1365" t="str">
            <v>01/09/2010</v>
          </cell>
          <cell r="Y1365" t="str">
            <v>KEW</v>
          </cell>
          <cell r="Z1365" t="str">
            <v>16/08/2013</v>
          </cell>
          <cell r="AA1365" t="str">
            <v>15/08/2015</v>
          </cell>
          <cell r="AB1365" t="str">
            <v>No</v>
          </cell>
          <cell r="AC1365" t="str">
            <v>31/08/2013</v>
          </cell>
          <cell r="AD1365" t="str">
            <v>Good</v>
          </cell>
          <cell r="AE1365" t="str">
            <v>V1 - Existing / No Claim</v>
          </cell>
          <cell r="AF1365">
            <v>42803</v>
          </cell>
          <cell r="AG1365">
            <v>9.17</v>
          </cell>
          <cell r="AH1365" t="str">
            <v>PPM</v>
          </cell>
          <cell r="AI1365" t="str">
            <v>Strands</v>
          </cell>
          <cell r="AJ1365" t="str">
            <v>Strands PW</v>
          </cell>
        </row>
        <row r="1366">
          <cell r="A1366" t="str">
            <v>IKN401044</v>
          </cell>
          <cell r="B1366">
            <v>1042</v>
          </cell>
          <cell r="C1366" t="str">
            <v>Institut Kanser Negara</v>
          </cell>
          <cell r="D1366" t="str">
            <v>KKM/IKN/H/13/204</v>
          </cell>
          <cell r="E1366" t="str">
            <v>12-647</v>
          </cell>
          <cell r="F1366" t="str">
            <v>Physiologic Monitoring Systems, Acute Care</v>
          </cell>
          <cell r="G1366" t="str">
            <v>OT</v>
          </cell>
          <cell r="H1366" t="str">
            <v>OPERATING THEATRE</v>
          </cell>
          <cell r="I1366" t="str">
            <v>05OT169</v>
          </cell>
          <cell r="J1366" t="str">
            <v>EQ. ROOM</v>
          </cell>
          <cell r="K1366" t="str">
            <v>BMED</v>
          </cell>
          <cell r="L1366" t="str">
            <v>Critical</v>
          </cell>
          <cell r="M1366" t="str">
            <v>USA</v>
          </cell>
          <cell r="N1366" t="str">
            <v>Tram</v>
          </cell>
          <cell r="O1366" t="str">
            <v>Transport Pro</v>
          </cell>
          <cell r="P1366" t="str">
            <v>SCS12367505GA</v>
          </cell>
          <cell r="Q1366" t="str">
            <v>Not Applicable</v>
          </cell>
          <cell r="R1366" t="str">
            <v>GE Medical Systems</v>
          </cell>
          <cell r="S1366" t="str">
            <v>GE Healthcare Technologies</v>
          </cell>
          <cell r="T1366" t="str">
            <v>Functioning</v>
          </cell>
          <cell r="U1366" t="str">
            <v>Asset</v>
          </cell>
          <cell r="V1366">
            <v>54100</v>
          </cell>
          <cell r="W1366" t="str">
            <v>KEW</v>
          </cell>
          <cell r="X1366" t="str">
            <v>01/09/2010</v>
          </cell>
          <cell r="Y1366" t="str">
            <v>KEW</v>
          </cell>
          <cell r="Z1366" t="str">
            <v>16/08/2013</v>
          </cell>
          <cell r="AA1366" t="str">
            <v>15/08/2015</v>
          </cell>
          <cell r="AB1366" t="str">
            <v>No</v>
          </cell>
          <cell r="AC1366" t="str">
            <v>31/08/2013</v>
          </cell>
          <cell r="AD1366" t="str">
            <v>Good</v>
          </cell>
          <cell r="AE1366" t="str">
            <v>V1 - Existing / No Claim</v>
          </cell>
          <cell r="AF1366">
            <v>42803</v>
          </cell>
          <cell r="AG1366">
            <v>9.17</v>
          </cell>
          <cell r="AH1366" t="str">
            <v>PPM</v>
          </cell>
          <cell r="AI1366" t="str">
            <v>Strands</v>
          </cell>
          <cell r="AJ1366" t="str">
            <v>Strands PW</v>
          </cell>
        </row>
        <row r="1367">
          <cell r="A1367" t="str">
            <v>IKN401045</v>
          </cell>
          <cell r="B1367">
            <v>1043</v>
          </cell>
          <cell r="C1367" t="str">
            <v>Institut Kanser Negara</v>
          </cell>
          <cell r="D1367" t="str">
            <v>KKM/IKN/H/13/158</v>
          </cell>
          <cell r="E1367" t="str">
            <v>12-647</v>
          </cell>
          <cell r="F1367" t="str">
            <v>Physiologic Monitoring Systems, Acute Care</v>
          </cell>
          <cell r="G1367" t="str">
            <v>OT</v>
          </cell>
          <cell r="H1367" t="str">
            <v>OPERATING THEATRE</v>
          </cell>
          <cell r="I1367" t="str">
            <v>05OT159</v>
          </cell>
          <cell r="J1367" t="str">
            <v>POST-OP/RECOVERY (FUTURE)</v>
          </cell>
          <cell r="K1367" t="str">
            <v>BMED</v>
          </cell>
          <cell r="L1367" t="str">
            <v>Critical</v>
          </cell>
          <cell r="M1367" t="str">
            <v>Finland</v>
          </cell>
          <cell r="N1367" t="str">
            <v>CareScape</v>
          </cell>
          <cell r="O1367" t="str">
            <v>CareScape B650</v>
          </cell>
          <cell r="P1367" t="str">
            <v>SEW12357501HA</v>
          </cell>
          <cell r="Q1367" t="str">
            <v>Not Applicable</v>
          </cell>
          <cell r="R1367" t="str">
            <v>GE Medical Systems</v>
          </cell>
          <cell r="S1367" t="str">
            <v>GE Healthcare Technologies</v>
          </cell>
          <cell r="T1367" t="str">
            <v>Functioning</v>
          </cell>
          <cell r="U1367" t="str">
            <v>Asset</v>
          </cell>
          <cell r="V1367">
            <v>87400</v>
          </cell>
          <cell r="W1367" t="str">
            <v>KEW</v>
          </cell>
          <cell r="X1367" t="str">
            <v>01/09/2010</v>
          </cell>
          <cell r="Y1367" t="str">
            <v>KEW</v>
          </cell>
          <cell r="Z1367" t="str">
            <v>16/08/2013</v>
          </cell>
          <cell r="AA1367" t="str">
            <v>15/08/2015</v>
          </cell>
          <cell r="AB1367" t="str">
            <v>No</v>
          </cell>
          <cell r="AC1367" t="str">
            <v>31/08/2013</v>
          </cell>
          <cell r="AD1367" t="str">
            <v>Good</v>
          </cell>
          <cell r="AE1367" t="str">
            <v>V1 - Existing / No Claim</v>
          </cell>
          <cell r="AF1367">
            <v>42803</v>
          </cell>
          <cell r="AG1367">
            <v>9.17</v>
          </cell>
          <cell r="AH1367" t="str">
            <v>PPM</v>
          </cell>
          <cell r="AI1367" t="str">
            <v>Strands</v>
          </cell>
          <cell r="AJ1367" t="str">
            <v>Strands PW</v>
          </cell>
        </row>
        <row r="1368">
          <cell r="A1368" t="str">
            <v>IKN401046</v>
          </cell>
          <cell r="B1368">
            <v>1044</v>
          </cell>
          <cell r="C1368" t="str">
            <v>Institut Kanser Negara</v>
          </cell>
          <cell r="D1368" t="e">
            <v>#N/A</v>
          </cell>
          <cell r="E1368" t="str">
            <v>11-134</v>
          </cell>
          <cell r="F1368" t="str">
            <v>Defibrillators, External, Manual</v>
          </cell>
          <cell r="G1368" t="str">
            <v>OT</v>
          </cell>
          <cell r="H1368" t="str">
            <v>OPERATING THEATRE</v>
          </cell>
          <cell r="I1368" t="str">
            <v>05OT150</v>
          </cell>
          <cell r="J1368" t="str">
            <v>RECEPTION STAFF BASE</v>
          </cell>
          <cell r="K1368" t="str">
            <v>BMED</v>
          </cell>
          <cell r="L1368" t="str">
            <v>Critical</v>
          </cell>
          <cell r="M1368" t="str">
            <v>USA</v>
          </cell>
          <cell r="N1368" t="str">
            <v>Responder</v>
          </cell>
          <cell r="O1368" t="str">
            <v>Responder 2000</v>
          </cell>
          <cell r="P1368" t="str">
            <v>3206700</v>
          </cell>
          <cell r="Q1368" t="str">
            <v>Not Applicable</v>
          </cell>
          <cell r="R1368" t="str">
            <v>GE Medical Systems</v>
          </cell>
          <cell r="S1368" t="str">
            <v>Antah Sir Radin Sdn. Bhd.</v>
          </cell>
          <cell r="T1368" t="str">
            <v>Functioning</v>
          </cell>
          <cell r="U1368" t="str">
            <v>Asset</v>
          </cell>
          <cell r="V1368">
            <v>45000</v>
          </cell>
          <cell r="W1368" t="str">
            <v>Estimate</v>
          </cell>
          <cell r="X1368" t="str">
            <v>01/09/2010</v>
          </cell>
          <cell r="Y1368" t="str">
            <v>KEW</v>
          </cell>
          <cell r="Z1368" t="str">
            <v>16/08/2013</v>
          </cell>
          <cell r="AA1368" t="str">
            <v>15/08/2015</v>
          </cell>
          <cell r="AB1368" t="str">
            <v>No</v>
          </cell>
          <cell r="AC1368" t="str">
            <v>31/08/2013</v>
          </cell>
          <cell r="AD1368" t="str">
            <v>Good</v>
          </cell>
          <cell r="AE1368" t="str">
            <v>V1 - Existing / No Claim</v>
          </cell>
          <cell r="AF1368">
            <v>42605</v>
          </cell>
          <cell r="AG1368">
            <v>9.17</v>
          </cell>
          <cell r="AH1368" t="str">
            <v>PPM</v>
          </cell>
          <cell r="AI1368" t="str">
            <v>Strands</v>
          </cell>
          <cell r="AJ1368" t="str">
            <v>Strands PW</v>
          </cell>
          <cell r="AK1368" t="str">
            <v>Crash Trolley (FEMS)</v>
          </cell>
        </row>
        <row r="1369">
          <cell r="A1369" t="str">
            <v>IKN401047</v>
          </cell>
          <cell r="B1369">
            <v>1045</v>
          </cell>
          <cell r="C1369" t="str">
            <v>Institut Kanser Negara</v>
          </cell>
          <cell r="D1369" t="str">
            <v>KKM/IKN/H/13/3737</v>
          </cell>
          <cell r="E1369" t="str">
            <v>13-249</v>
          </cell>
          <cell r="F1369" t="str">
            <v>Warming Units, Patient, Radiant, Adult</v>
          </cell>
          <cell r="G1369" t="str">
            <v>OT</v>
          </cell>
          <cell r="H1369" t="str">
            <v>OPERATING THEATRE</v>
          </cell>
          <cell r="I1369" t="str">
            <v>05OT159</v>
          </cell>
          <cell r="J1369" t="str">
            <v>POST-OP/RECOVERY (FUTURE)</v>
          </cell>
          <cell r="K1369" t="str">
            <v>BMED</v>
          </cell>
          <cell r="L1369" t="str">
            <v>Normal</v>
          </cell>
          <cell r="M1369" t="str">
            <v>Sweden</v>
          </cell>
          <cell r="N1369" t="str">
            <v>Aragona</v>
          </cell>
          <cell r="O1369" t="str">
            <v>Aragona MTC-410</v>
          </cell>
          <cell r="P1369" t="str">
            <v>1203</v>
          </cell>
          <cell r="Q1369" t="str">
            <v>Not Applicable</v>
          </cell>
          <cell r="R1369" t="str">
            <v>Aspira Medical AB</v>
          </cell>
          <cell r="S1369" t="str">
            <v>Perniagaan Med Tech</v>
          </cell>
          <cell r="T1369" t="str">
            <v>Functioning</v>
          </cell>
          <cell r="U1369" t="str">
            <v>Asset</v>
          </cell>
          <cell r="V1369">
            <v>12630</v>
          </cell>
          <cell r="W1369" t="str">
            <v>KEW</v>
          </cell>
          <cell r="X1369" t="str">
            <v>01/09/2010</v>
          </cell>
          <cell r="Y1369" t="str">
            <v>KEW</v>
          </cell>
          <cell r="Z1369" t="str">
            <v>16/08/2013</v>
          </cell>
          <cell r="AA1369" t="str">
            <v>15/08/2015</v>
          </cell>
          <cell r="AB1369" t="str">
            <v>No</v>
          </cell>
          <cell r="AC1369" t="str">
            <v>31/08/2013</v>
          </cell>
          <cell r="AD1369" t="str">
            <v>Good</v>
          </cell>
          <cell r="AE1369" t="str">
            <v>V1 - Existing / No Claim</v>
          </cell>
          <cell r="AF1369">
            <v>42803</v>
          </cell>
          <cell r="AG1369">
            <v>9.17</v>
          </cell>
          <cell r="AH1369" t="str">
            <v>PPM</v>
          </cell>
          <cell r="AI1369" t="str">
            <v>Strands</v>
          </cell>
          <cell r="AJ1369" t="str">
            <v>Strands PW</v>
          </cell>
        </row>
        <row r="1370">
          <cell r="A1370" t="str">
            <v>IKN401048</v>
          </cell>
          <cell r="B1370">
            <v>1046</v>
          </cell>
          <cell r="C1370" t="str">
            <v>Institut Kanser Negara</v>
          </cell>
          <cell r="D1370" t="str">
            <v>KKM/IKN/H/13/3736</v>
          </cell>
          <cell r="E1370" t="str">
            <v>13-249</v>
          </cell>
          <cell r="F1370" t="str">
            <v>Warming Units, Patient, Radiant, Adult</v>
          </cell>
          <cell r="G1370" t="str">
            <v>OT</v>
          </cell>
          <cell r="H1370" t="str">
            <v>OPERATING THEATRE</v>
          </cell>
          <cell r="I1370" t="str">
            <v>05OT159</v>
          </cell>
          <cell r="J1370" t="str">
            <v>POST-OP/RECOVERY (FUTURE)</v>
          </cell>
          <cell r="K1370" t="str">
            <v>BMED</v>
          </cell>
          <cell r="L1370" t="str">
            <v>Normal</v>
          </cell>
          <cell r="M1370" t="str">
            <v>Sweden</v>
          </cell>
          <cell r="N1370" t="str">
            <v>Aragona</v>
          </cell>
          <cell r="O1370" t="str">
            <v>Aragona MTC-410</v>
          </cell>
          <cell r="P1370" t="str">
            <v>1210</v>
          </cell>
          <cell r="Q1370" t="str">
            <v>Not Applicable</v>
          </cell>
          <cell r="R1370" t="str">
            <v>Aspira Medical AB</v>
          </cell>
          <cell r="S1370" t="str">
            <v>Perniagaan Med Tech</v>
          </cell>
          <cell r="T1370" t="str">
            <v>Functioning</v>
          </cell>
          <cell r="U1370" t="str">
            <v>Asset</v>
          </cell>
          <cell r="V1370">
            <v>12630</v>
          </cell>
          <cell r="W1370" t="str">
            <v>KEW</v>
          </cell>
          <cell r="X1370" t="str">
            <v>01/09/2010</v>
          </cell>
          <cell r="Y1370" t="str">
            <v>KEW</v>
          </cell>
          <cell r="Z1370" t="str">
            <v>16/08/2013</v>
          </cell>
          <cell r="AA1370" t="str">
            <v>15/08/2015</v>
          </cell>
          <cell r="AB1370" t="str">
            <v>No</v>
          </cell>
          <cell r="AC1370" t="str">
            <v>31/08/2013</v>
          </cell>
          <cell r="AD1370" t="str">
            <v>Good</v>
          </cell>
          <cell r="AE1370" t="str">
            <v>V1 - Existing / No Claim</v>
          </cell>
          <cell r="AF1370">
            <v>42803</v>
          </cell>
          <cell r="AG1370">
            <v>9.17</v>
          </cell>
          <cell r="AH1370" t="str">
            <v>PPM</v>
          </cell>
          <cell r="AI1370" t="str">
            <v>Strands</v>
          </cell>
          <cell r="AJ1370" t="str">
            <v>Strands PW</v>
          </cell>
        </row>
        <row r="1371">
          <cell r="A1371" t="str">
            <v>IKN401049</v>
          </cell>
          <cell r="B1371">
            <v>1047</v>
          </cell>
          <cell r="C1371" t="str">
            <v>Institut Kanser Negara</v>
          </cell>
          <cell r="D1371" t="str">
            <v>KKM/IKN/H/13/156</v>
          </cell>
          <cell r="E1371" t="str">
            <v>12-647</v>
          </cell>
          <cell r="F1371" t="str">
            <v>Physiologic Monitoring Systems, Acute Care</v>
          </cell>
          <cell r="G1371" t="str">
            <v>OT</v>
          </cell>
          <cell r="H1371" t="str">
            <v>OPERATING THEATRE</v>
          </cell>
          <cell r="I1371" t="str">
            <v>05OT159</v>
          </cell>
          <cell r="J1371" t="str">
            <v>POST-OP/RECOVERY (FUTURE)</v>
          </cell>
          <cell r="K1371" t="str">
            <v>BMED</v>
          </cell>
          <cell r="L1371" t="str">
            <v>Critical</v>
          </cell>
          <cell r="M1371" t="str">
            <v>Finland</v>
          </cell>
          <cell r="N1371" t="str">
            <v>CareScape</v>
          </cell>
          <cell r="O1371" t="str">
            <v>CareScape B650</v>
          </cell>
          <cell r="P1371" t="str">
            <v>SEW12357515HA</v>
          </cell>
          <cell r="Q1371" t="str">
            <v>Not Applicable</v>
          </cell>
          <cell r="R1371" t="str">
            <v>GE Medical Systems</v>
          </cell>
          <cell r="S1371" t="str">
            <v>GE Healthcare Technologies</v>
          </cell>
          <cell r="T1371" t="str">
            <v>Functioning</v>
          </cell>
          <cell r="U1371" t="str">
            <v>Asset</v>
          </cell>
          <cell r="V1371">
            <v>87400</v>
          </cell>
          <cell r="W1371" t="str">
            <v>KEW</v>
          </cell>
          <cell r="X1371" t="str">
            <v>01/09/2010</v>
          </cell>
          <cell r="Y1371" t="str">
            <v>KEW</v>
          </cell>
          <cell r="Z1371" t="str">
            <v>16/08/2013</v>
          </cell>
          <cell r="AA1371" t="str">
            <v>15/08/2015</v>
          </cell>
          <cell r="AB1371" t="str">
            <v>No</v>
          </cell>
          <cell r="AC1371" t="str">
            <v>31/08/2013</v>
          </cell>
          <cell r="AD1371" t="str">
            <v>Good</v>
          </cell>
          <cell r="AE1371" t="str">
            <v>V1 - Existing / No Claim</v>
          </cell>
          <cell r="AF1371">
            <v>42803</v>
          </cell>
          <cell r="AG1371">
            <v>9.17</v>
          </cell>
          <cell r="AH1371" t="str">
            <v>PPM</v>
          </cell>
          <cell r="AI1371" t="str">
            <v>Strands</v>
          </cell>
          <cell r="AJ1371" t="str">
            <v>Strands PW</v>
          </cell>
        </row>
        <row r="1372">
          <cell r="A1372" t="str">
            <v>IKN401050</v>
          </cell>
          <cell r="B1372">
            <v>1048</v>
          </cell>
          <cell r="C1372" t="str">
            <v>Institut Kanser Negara</v>
          </cell>
          <cell r="D1372" t="str">
            <v>KKM/IKN/H/13/159</v>
          </cell>
          <cell r="E1372" t="str">
            <v>12-647</v>
          </cell>
          <cell r="F1372" t="str">
            <v>Physiologic Monitoring Systems, Acute Care</v>
          </cell>
          <cell r="G1372" t="str">
            <v>OT</v>
          </cell>
          <cell r="H1372" t="str">
            <v>OPERATING THEATRE</v>
          </cell>
          <cell r="I1372" t="str">
            <v>05OT159</v>
          </cell>
          <cell r="J1372" t="str">
            <v>POST-OP/RECOVERY (FUTURE)</v>
          </cell>
          <cell r="K1372" t="str">
            <v>BMED</v>
          </cell>
          <cell r="L1372" t="str">
            <v>Critical</v>
          </cell>
          <cell r="M1372" t="str">
            <v>Finland</v>
          </cell>
          <cell r="N1372" t="str">
            <v>CareScape</v>
          </cell>
          <cell r="O1372" t="str">
            <v>CareScape B650</v>
          </cell>
          <cell r="P1372" t="str">
            <v>SEW12357357HA</v>
          </cell>
          <cell r="Q1372" t="str">
            <v>Not Applicable</v>
          </cell>
          <cell r="R1372" t="str">
            <v>GE Medical Systems</v>
          </cell>
          <cell r="S1372" t="str">
            <v>GE Healthcare Technologies</v>
          </cell>
          <cell r="T1372" t="str">
            <v>Functioning</v>
          </cell>
          <cell r="U1372" t="str">
            <v>Asset</v>
          </cell>
          <cell r="V1372">
            <v>87400</v>
          </cell>
          <cell r="W1372" t="str">
            <v>KEW</v>
          </cell>
          <cell r="X1372" t="str">
            <v>01/09/2010</v>
          </cell>
          <cell r="Y1372" t="str">
            <v>KEW</v>
          </cell>
          <cell r="Z1372" t="str">
            <v>16/08/2013</v>
          </cell>
          <cell r="AA1372" t="str">
            <v>15/08/2015</v>
          </cell>
          <cell r="AB1372" t="str">
            <v>No</v>
          </cell>
          <cell r="AC1372" t="str">
            <v>31/08/2013</v>
          </cell>
          <cell r="AD1372" t="str">
            <v>Good</v>
          </cell>
          <cell r="AE1372" t="str">
            <v>V1 - Existing / No Claim</v>
          </cell>
          <cell r="AF1372">
            <v>42803</v>
          </cell>
          <cell r="AG1372">
            <v>9.17</v>
          </cell>
          <cell r="AH1372" t="str">
            <v>PPM</v>
          </cell>
          <cell r="AI1372" t="str">
            <v>Strands</v>
          </cell>
          <cell r="AJ1372" t="str">
            <v>Strands PW</v>
          </cell>
        </row>
        <row r="1373">
          <cell r="A1373" t="str">
            <v>IKN401051</v>
          </cell>
          <cell r="B1373">
            <v>1049</v>
          </cell>
          <cell r="C1373" t="str">
            <v>Institut Kanser Negara</v>
          </cell>
          <cell r="D1373" t="str">
            <v>KKM/IKN/H/13/4844</v>
          </cell>
          <cell r="E1373" t="str">
            <v>17-793</v>
          </cell>
          <cell r="F1373" t="str">
            <v>Infusion/ Monitoring Line Organizer System</v>
          </cell>
          <cell r="G1373" t="str">
            <v>OT</v>
          </cell>
          <cell r="H1373" t="str">
            <v>OPERATING THEATRE</v>
          </cell>
          <cell r="I1373" t="str">
            <v>05OT123</v>
          </cell>
          <cell r="J1373" t="str">
            <v>0T 1</v>
          </cell>
          <cell r="K1373" t="str">
            <v>BMED</v>
          </cell>
          <cell r="L1373" t="str">
            <v>Normal</v>
          </cell>
          <cell r="M1373" t="str">
            <v>Germany</v>
          </cell>
          <cell r="N1373" t="str">
            <v>Space Station</v>
          </cell>
          <cell r="O1373" t="str">
            <v>Space Station</v>
          </cell>
          <cell r="P1373" t="str">
            <v>13981</v>
          </cell>
          <cell r="Q1373" t="str">
            <v>Not Applicable</v>
          </cell>
          <cell r="R1373" t="str">
            <v>B Braun Melsungen AG</v>
          </cell>
          <cell r="S1373" t="str">
            <v>B Braun Medical Supplies Sdn. Bhd.</v>
          </cell>
          <cell r="T1373" t="str">
            <v>Functioning</v>
          </cell>
          <cell r="U1373" t="str">
            <v>Asset</v>
          </cell>
          <cell r="V1373">
            <v>84200</v>
          </cell>
          <cell r="W1373" t="str">
            <v>KEW</v>
          </cell>
          <cell r="X1373" t="str">
            <v>01/09/2010</v>
          </cell>
          <cell r="Y1373" t="str">
            <v>KEW</v>
          </cell>
          <cell r="Z1373" t="str">
            <v>16/08/2013</v>
          </cell>
          <cell r="AA1373" t="str">
            <v>15/08/2015</v>
          </cell>
          <cell r="AB1373" t="str">
            <v>No</v>
          </cell>
          <cell r="AC1373" t="str">
            <v>31/08/2013</v>
          </cell>
          <cell r="AD1373" t="str">
            <v>Good</v>
          </cell>
          <cell r="AE1373" t="str">
            <v>V1 - Existing / No Claim</v>
          </cell>
          <cell r="AF1373">
            <v>42235</v>
          </cell>
          <cell r="AG1373">
            <v>9.17</v>
          </cell>
          <cell r="AH1373" t="str">
            <v>PPM</v>
          </cell>
          <cell r="AI1373" t="str">
            <v>Strands</v>
          </cell>
          <cell r="AJ1373" t="str">
            <v>Strands PW</v>
          </cell>
        </row>
        <row r="1374">
          <cell r="A1374" t="str">
            <v>IKN401052</v>
          </cell>
          <cell r="B1374">
            <v>1050</v>
          </cell>
          <cell r="C1374" t="str">
            <v>Institut Kanser Negara</v>
          </cell>
          <cell r="D1374" t="str">
            <v>KKM/IKN/H/13/4481</v>
          </cell>
          <cell r="E1374" t="str">
            <v>16-924</v>
          </cell>
          <cell r="F1374" t="str">
            <v>Infusion Pumps, Patient-Controlled Analgesic</v>
          </cell>
          <cell r="G1374" t="str">
            <v>OT</v>
          </cell>
          <cell r="H1374" t="str">
            <v>OPERATING THEATRE</v>
          </cell>
          <cell r="I1374" t="str">
            <v>05OT123</v>
          </cell>
          <cell r="J1374" t="str">
            <v>0T 1</v>
          </cell>
          <cell r="K1374" t="str">
            <v>BMED</v>
          </cell>
          <cell r="L1374" t="str">
            <v>Normal</v>
          </cell>
          <cell r="M1374" t="str">
            <v>Germany</v>
          </cell>
          <cell r="N1374" t="str">
            <v>Perfusor</v>
          </cell>
          <cell r="O1374" t="str">
            <v>Perfusor Space PCA</v>
          </cell>
          <cell r="P1374" t="str">
            <v>187054</v>
          </cell>
          <cell r="Q1374" t="str">
            <v>Not Applicable</v>
          </cell>
          <cell r="R1374" t="str">
            <v>B Braun Melsungen AG</v>
          </cell>
          <cell r="S1374" t="str">
            <v>B Braun Medical Supplies Sdn. Bhd.</v>
          </cell>
          <cell r="T1374" t="str">
            <v>Functioning</v>
          </cell>
          <cell r="U1374" t="str">
            <v>Asset</v>
          </cell>
          <cell r="V1374">
            <v>9622</v>
          </cell>
          <cell r="W1374" t="str">
            <v>KEW</v>
          </cell>
          <cell r="X1374" t="str">
            <v>01/09/2010</v>
          </cell>
          <cell r="Y1374" t="str">
            <v>KEW</v>
          </cell>
          <cell r="Z1374" t="str">
            <v>16/08/2013</v>
          </cell>
          <cell r="AA1374" t="str">
            <v>15/08/2015</v>
          </cell>
          <cell r="AB1374" t="str">
            <v>No</v>
          </cell>
          <cell r="AC1374" t="str">
            <v>31/08/2013</v>
          </cell>
          <cell r="AD1374" t="str">
            <v>Good</v>
          </cell>
          <cell r="AE1374" t="str">
            <v>V1 - Existing / No Claim</v>
          </cell>
          <cell r="AF1374">
            <v>42235</v>
          </cell>
          <cell r="AG1374">
            <v>9.17</v>
          </cell>
          <cell r="AH1374" t="str">
            <v>PPM</v>
          </cell>
          <cell r="AI1374" t="str">
            <v>Strands</v>
          </cell>
          <cell r="AJ1374" t="str">
            <v>Strands PW</v>
          </cell>
        </row>
        <row r="1375">
          <cell r="A1375" t="str">
            <v>IKN401053</v>
          </cell>
          <cell r="B1375">
            <v>1051</v>
          </cell>
          <cell r="C1375" t="str">
            <v>Institut Kanser Negara</v>
          </cell>
          <cell r="D1375" t="str">
            <v>KKM/IKN/H/13/3883</v>
          </cell>
          <cell r="E1375" t="str">
            <v>10-447</v>
          </cell>
          <cell r="F1375" t="str">
            <v>Warming Units, Blood/Solution</v>
          </cell>
          <cell r="G1375" t="str">
            <v>OT</v>
          </cell>
          <cell r="H1375" t="str">
            <v>OPERATING THEATRE</v>
          </cell>
          <cell r="I1375" t="str">
            <v>05OT169</v>
          </cell>
          <cell r="J1375" t="str">
            <v>EQ. ROOM</v>
          </cell>
          <cell r="K1375" t="str">
            <v>BMED</v>
          </cell>
          <cell r="L1375" t="str">
            <v>Normal</v>
          </cell>
          <cell r="M1375" t="str">
            <v>Japan</v>
          </cell>
          <cell r="N1375" t="str">
            <v>Animec</v>
          </cell>
          <cell r="O1375" t="str">
            <v>Animec AM-301</v>
          </cell>
          <cell r="P1375" t="str">
            <v>2012D0057</v>
          </cell>
          <cell r="Q1375" t="str">
            <v>Not Applicable</v>
          </cell>
          <cell r="R1375" t="str">
            <v>Elltec Co Ltd</v>
          </cell>
          <cell r="S1375" t="str">
            <v>IDS Services (Malaysia) Sdn Bhd</v>
          </cell>
          <cell r="T1375" t="str">
            <v>Functioning</v>
          </cell>
          <cell r="U1375" t="str">
            <v>Asset</v>
          </cell>
          <cell r="V1375">
            <v>4990</v>
          </cell>
          <cell r="W1375" t="str">
            <v>KEW</v>
          </cell>
          <cell r="X1375" t="str">
            <v>01/09/2010</v>
          </cell>
          <cell r="Y1375" t="str">
            <v>KEW</v>
          </cell>
          <cell r="Z1375" t="str">
            <v>16/08/2013</v>
          </cell>
          <cell r="AA1375" t="str">
            <v>15/08/2015</v>
          </cell>
          <cell r="AB1375" t="str">
            <v>No</v>
          </cell>
          <cell r="AC1375" t="str">
            <v>31/08/2013</v>
          </cell>
          <cell r="AD1375" t="str">
            <v>Good</v>
          </cell>
          <cell r="AE1375" t="str">
            <v>V1 - Existing / No Claim</v>
          </cell>
          <cell r="AF1375">
            <v>42803</v>
          </cell>
          <cell r="AG1375">
            <v>9.17</v>
          </cell>
          <cell r="AH1375" t="str">
            <v>PPM</v>
          </cell>
          <cell r="AI1375" t="str">
            <v>Strands</v>
          </cell>
          <cell r="AJ1375" t="str">
            <v>Strands PW</v>
          </cell>
        </row>
        <row r="1376">
          <cell r="A1376" t="str">
            <v>IKN401054</v>
          </cell>
          <cell r="B1376">
            <v>1052</v>
          </cell>
          <cell r="C1376" t="str">
            <v>Institut Kanser Negara</v>
          </cell>
          <cell r="D1376" t="str">
            <v>KKM/IKN/H/13/3885</v>
          </cell>
          <cell r="E1376" t="str">
            <v>10-447</v>
          </cell>
          <cell r="F1376" t="str">
            <v>Warming Units, Blood/Solution</v>
          </cell>
          <cell r="G1376" t="str">
            <v>OT</v>
          </cell>
          <cell r="H1376" t="str">
            <v>OPERATING THEATRE</v>
          </cell>
          <cell r="I1376" t="str">
            <v>05OT169</v>
          </cell>
          <cell r="J1376" t="str">
            <v>EQ. ROOM</v>
          </cell>
          <cell r="K1376" t="str">
            <v>BMED</v>
          </cell>
          <cell r="L1376" t="str">
            <v>Normal</v>
          </cell>
          <cell r="M1376" t="str">
            <v>Japan</v>
          </cell>
          <cell r="N1376" t="str">
            <v>Animec</v>
          </cell>
          <cell r="O1376" t="str">
            <v>Animec AM-301</v>
          </cell>
          <cell r="P1376" t="str">
            <v>2013D0251</v>
          </cell>
          <cell r="Q1376" t="str">
            <v>Not Applicable</v>
          </cell>
          <cell r="R1376" t="str">
            <v>Elltec Co Ltd</v>
          </cell>
          <cell r="S1376" t="str">
            <v>IDS Services (Malaysia) Sdn Bhd</v>
          </cell>
          <cell r="T1376" t="str">
            <v>Functioning</v>
          </cell>
          <cell r="U1376" t="str">
            <v>Asset</v>
          </cell>
          <cell r="V1376">
            <v>4990</v>
          </cell>
          <cell r="W1376" t="str">
            <v>KEW</v>
          </cell>
          <cell r="X1376" t="str">
            <v>01/09/2010</v>
          </cell>
          <cell r="Y1376" t="str">
            <v>KEW</v>
          </cell>
          <cell r="Z1376" t="str">
            <v>16/08/2013</v>
          </cell>
          <cell r="AA1376" t="str">
            <v>15/08/2015</v>
          </cell>
          <cell r="AB1376" t="str">
            <v>No</v>
          </cell>
          <cell r="AC1376" t="str">
            <v>31/08/2013</v>
          </cell>
          <cell r="AD1376" t="str">
            <v>Good</v>
          </cell>
          <cell r="AE1376" t="str">
            <v>V1 - Existing / No Claim</v>
          </cell>
          <cell r="AF1376">
            <v>42803</v>
          </cell>
          <cell r="AG1376">
            <v>9.17</v>
          </cell>
          <cell r="AH1376" t="str">
            <v>PPM</v>
          </cell>
          <cell r="AI1376" t="str">
            <v>Strands</v>
          </cell>
          <cell r="AJ1376" t="str">
            <v>Strands PW</v>
          </cell>
        </row>
        <row r="1377">
          <cell r="A1377" t="str">
            <v>IKN401055</v>
          </cell>
          <cell r="B1377">
            <v>1053</v>
          </cell>
          <cell r="C1377" t="str">
            <v>Institut Kanser Negara</v>
          </cell>
          <cell r="D1377" t="str">
            <v>KKM/IKN/H/13/3884</v>
          </cell>
          <cell r="E1377" t="str">
            <v>10-447</v>
          </cell>
          <cell r="F1377" t="str">
            <v>Warming Units, Blood/Solution</v>
          </cell>
          <cell r="G1377" t="str">
            <v>OT</v>
          </cell>
          <cell r="H1377" t="str">
            <v>OPERATING THEATRE</v>
          </cell>
          <cell r="I1377" t="str">
            <v>05OT169</v>
          </cell>
          <cell r="J1377" t="str">
            <v>EQ. ROOM</v>
          </cell>
          <cell r="K1377" t="str">
            <v>BMED</v>
          </cell>
          <cell r="L1377" t="str">
            <v>Normal</v>
          </cell>
          <cell r="M1377" t="str">
            <v>Japan</v>
          </cell>
          <cell r="N1377" t="str">
            <v>Animec</v>
          </cell>
          <cell r="O1377" t="str">
            <v>Animec AM-301</v>
          </cell>
          <cell r="P1377" t="str">
            <v>2012D0058</v>
          </cell>
          <cell r="Q1377" t="str">
            <v>Not Applicable</v>
          </cell>
          <cell r="R1377" t="str">
            <v>Elltec Co Ltd</v>
          </cell>
          <cell r="S1377" t="str">
            <v>IDS Services (Malaysia) Sdn Bhd</v>
          </cell>
          <cell r="T1377" t="str">
            <v>Functioning</v>
          </cell>
          <cell r="U1377" t="str">
            <v>Asset</v>
          </cell>
          <cell r="V1377">
            <v>4990</v>
          </cell>
          <cell r="W1377" t="str">
            <v>KEW</v>
          </cell>
          <cell r="X1377" t="str">
            <v>01/09/2010</v>
          </cell>
          <cell r="Y1377" t="str">
            <v>KEW</v>
          </cell>
          <cell r="Z1377" t="str">
            <v>16/08/2013</v>
          </cell>
          <cell r="AA1377" t="str">
            <v>15/08/2015</v>
          </cell>
          <cell r="AB1377" t="str">
            <v>No</v>
          </cell>
          <cell r="AC1377" t="str">
            <v>31/08/2013</v>
          </cell>
          <cell r="AD1377" t="str">
            <v>Good</v>
          </cell>
          <cell r="AE1377" t="str">
            <v>V1 - Existing / No Claim</v>
          </cell>
          <cell r="AF1377">
            <v>42803</v>
          </cell>
          <cell r="AG1377">
            <v>9.17</v>
          </cell>
          <cell r="AH1377" t="str">
            <v>PPM</v>
          </cell>
          <cell r="AI1377" t="str">
            <v>Strands</v>
          </cell>
          <cell r="AJ1377" t="str">
            <v>Strands PW</v>
          </cell>
        </row>
        <row r="1378">
          <cell r="A1378" t="str">
            <v>IKN401056</v>
          </cell>
          <cell r="B1378">
            <v>1054</v>
          </cell>
          <cell r="C1378" t="str">
            <v>Institut Kanser Negara</v>
          </cell>
          <cell r="D1378" t="str">
            <v>KKM/IKN/H/13/3886</v>
          </cell>
          <cell r="E1378" t="str">
            <v>10-447</v>
          </cell>
          <cell r="F1378" t="str">
            <v>Warming Units, Blood/Solution</v>
          </cell>
          <cell r="G1378" t="str">
            <v>OT</v>
          </cell>
          <cell r="H1378" t="str">
            <v>OPERATING THEATRE</v>
          </cell>
          <cell r="I1378" t="str">
            <v>05OT169</v>
          </cell>
          <cell r="J1378" t="str">
            <v>EQ. ROOM</v>
          </cell>
          <cell r="K1378" t="str">
            <v>BMED</v>
          </cell>
          <cell r="L1378" t="str">
            <v>Normal</v>
          </cell>
          <cell r="M1378" t="str">
            <v>Japan</v>
          </cell>
          <cell r="N1378" t="str">
            <v>Animec</v>
          </cell>
          <cell r="O1378" t="str">
            <v>Animec AM-301</v>
          </cell>
          <cell r="P1378" t="str">
            <v>2013D0252</v>
          </cell>
          <cell r="Q1378" t="str">
            <v>Not Applicable</v>
          </cell>
          <cell r="R1378" t="str">
            <v>Elltec Co Ltd</v>
          </cell>
          <cell r="S1378" t="str">
            <v>IDS Services (Malaysia) Sdn Bhd</v>
          </cell>
          <cell r="T1378" t="str">
            <v>Functioning</v>
          </cell>
          <cell r="U1378" t="str">
            <v>Asset</v>
          </cell>
          <cell r="V1378">
            <v>4990</v>
          </cell>
          <cell r="W1378" t="str">
            <v>KEW</v>
          </cell>
          <cell r="X1378" t="str">
            <v>01/09/2010</v>
          </cell>
          <cell r="Y1378" t="str">
            <v>KEW</v>
          </cell>
          <cell r="Z1378" t="str">
            <v>16/08/2013</v>
          </cell>
          <cell r="AA1378" t="str">
            <v>15/08/2015</v>
          </cell>
          <cell r="AB1378" t="str">
            <v>No</v>
          </cell>
          <cell r="AC1378" t="str">
            <v>31/08/2013</v>
          </cell>
          <cell r="AD1378" t="str">
            <v>Good</v>
          </cell>
          <cell r="AE1378" t="str">
            <v>V1 - Existing / No Claim</v>
          </cell>
          <cell r="AF1378">
            <v>42803</v>
          </cell>
          <cell r="AG1378">
            <v>9.17</v>
          </cell>
          <cell r="AH1378" t="str">
            <v>PPM</v>
          </cell>
          <cell r="AI1378" t="str">
            <v>Strands</v>
          </cell>
          <cell r="AJ1378" t="str">
            <v>Strands PW</v>
          </cell>
        </row>
        <row r="1379">
          <cell r="A1379" t="str">
            <v>IKN401057</v>
          </cell>
          <cell r="B1379">
            <v>1055</v>
          </cell>
          <cell r="C1379" t="str">
            <v>Institut Kanser Negara</v>
          </cell>
          <cell r="D1379" t="str">
            <v>KKM/IKN/H/13/3601</v>
          </cell>
          <cell r="E1379" t="str">
            <v>17-950</v>
          </cell>
          <cell r="F1379" t="str">
            <v>Warming Units, Patient, Forced-Air</v>
          </cell>
          <cell r="G1379" t="str">
            <v>OT</v>
          </cell>
          <cell r="H1379" t="str">
            <v>OPERATING THEATRE</v>
          </cell>
          <cell r="I1379" t="str">
            <v>05OT128</v>
          </cell>
          <cell r="J1379" t="str">
            <v>PRE-OP / PATIENT HOLDING</v>
          </cell>
          <cell r="K1379" t="str">
            <v>BMED</v>
          </cell>
          <cell r="L1379" t="str">
            <v>Normal</v>
          </cell>
          <cell r="M1379" t="str">
            <v>USA</v>
          </cell>
          <cell r="N1379" t="str">
            <v>Bair Hugger</v>
          </cell>
          <cell r="O1379" t="str">
            <v>Bair Hugger 775</v>
          </cell>
          <cell r="P1379" t="str">
            <v>35926</v>
          </cell>
          <cell r="Q1379" t="str">
            <v>Not Applicable</v>
          </cell>
          <cell r="R1379" t="str">
            <v>Arizant Healthcare Inc</v>
          </cell>
          <cell r="S1379" t="str">
            <v>Calmed Healthcare Sdn Bhd</v>
          </cell>
          <cell r="T1379" t="str">
            <v>Functioning</v>
          </cell>
          <cell r="U1379" t="str">
            <v>Asset</v>
          </cell>
          <cell r="V1379">
            <v>15515</v>
          </cell>
          <cell r="W1379" t="str">
            <v>KEW</v>
          </cell>
          <cell r="X1379" t="str">
            <v>01/09/2010</v>
          </cell>
          <cell r="Y1379" t="str">
            <v>KEW</v>
          </cell>
          <cell r="Z1379" t="str">
            <v>16/08/2013</v>
          </cell>
          <cell r="AA1379" t="str">
            <v>15/08/2015</v>
          </cell>
          <cell r="AB1379" t="str">
            <v>No</v>
          </cell>
          <cell r="AC1379" t="str">
            <v>31/08/2013</v>
          </cell>
          <cell r="AD1379" t="str">
            <v>Good</v>
          </cell>
          <cell r="AE1379" t="str">
            <v>V1 - Existing / No Claim</v>
          </cell>
          <cell r="AF1379">
            <v>42235</v>
          </cell>
          <cell r="AG1379">
            <v>9.17</v>
          </cell>
          <cell r="AH1379" t="str">
            <v>PPM</v>
          </cell>
          <cell r="AI1379" t="str">
            <v>Strands</v>
          </cell>
          <cell r="AJ1379" t="str">
            <v>Strands PW</v>
          </cell>
        </row>
        <row r="1380">
          <cell r="A1380" t="str">
            <v>IKN401058</v>
          </cell>
          <cell r="B1380">
            <v>1056</v>
          </cell>
          <cell r="C1380" t="str">
            <v>Institut Kanser Negara</v>
          </cell>
          <cell r="D1380" t="str">
            <v>KKM/IKN/H/13/3600</v>
          </cell>
          <cell r="E1380" t="str">
            <v>17-950</v>
          </cell>
          <cell r="F1380" t="str">
            <v>Warming Units, Patient, Forced-Air</v>
          </cell>
          <cell r="G1380" t="str">
            <v>OT</v>
          </cell>
          <cell r="H1380" t="str">
            <v>OPERATING THEATRE</v>
          </cell>
          <cell r="I1380" t="str">
            <v>05OT128</v>
          </cell>
          <cell r="J1380" t="str">
            <v>PRE-OP / PATIENT HOLDING</v>
          </cell>
          <cell r="K1380" t="str">
            <v>BMED</v>
          </cell>
          <cell r="L1380" t="str">
            <v>Normal</v>
          </cell>
          <cell r="M1380" t="str">
            <v>USA</v>
          </cell>
          <cell r="N1380" t="str">
            <v>Bair Hugger</v>
          </cell>
          <cell r="O1380" t="str">
            <v>Bair Hugger 775</v>
          </cell>
          <cell r="P1380" t="str">
            <v>35929</v>
          </cell>
          <cell r="Q1380" t="str">
            <v>Not Applicable</v>
          </cell>
          <cell r="R1380" t="str">
            <v>Arizant Healthcare Inc</v>
          </cell>
          <cell r="S1380" t="str">
            <v>Calmed Healthcare Sdn Bhd</v>
          </cell>
          <cell r="T1380" t="str">
            <v>Functioning</v>
          </cell>
          <cell r="U1380" t="str">
            <v>Asset</v>
          </cell>
          <cell r="V1380">
            <v>15515</v>
          </cell>
          <cell r="W1380" t="str">
            <v>KEW</v>
          </cell>
          <cell r="X1380" t="str">
            <v>01/09/2010</v>
          </cell>
          <cell r="Y1380" t="str">
            <v>KEW</v>
          </cell>
          <cell r="Z1380" t="str">
            <v>16/08/2013</v>
          </cell>
          <cell r="AA1380" t="str">
            <v>15/08/2015</v>
          </cell>
          <cell r="AB1380" t="str">
            <v>No</v>
          </cell>
          <cell r="AC1380" t="str">
            <v>31/08/2013</v>
          </cell>
          <cell r="AD1380" t="str">
            <v>Good</v>
          </cell>
          <cell r="AE1380" t="str">
            <v>V1 - Existing / No Claim</v>
          </cell>
          <cell r="AF1380">
            <v>42802</v>
          </cell>
          <cell r="AG1380">
            <v>9.17</v>
          </cell>
          <cell r="AH1380" t="str">
            <v>PPM</v>
          </cell>
          <cell r="AI1380" t="str">
            <v>Strands</v>
          </cell>
          <cell r="AJ1380" t="str">
            <v>Strands PW</v>
          </cell>
        </row>
        <row r="1381">
          <cell r="A1381" t="str">
            <v>IKN401059</v>
          </cell>
          <cell r="B1381">
            <v>1057</v>
          </cell>
          <cell r="C1381" t="str">
            <v>Institut Kanser Negara</v>
          </cell>
          <cell r="D1381" t="str">
            <v>KKM/IKN/H/13/162</v>
          </cell>
          <cell r="E1381" t="str">
            <v>12-647</v>
          </cell>
          <cell r="F1381" t="str">
            <v>Physiologic Monitoring Systems, Acute Care</v>
          </cell>
          <cell r="G1381" t="str">
            <v>OT</v>
          </cell>
          <cell r="H1381" t="str">
            <v>OPERATING THEATRE</v>
          </cell>
          <cell r="I1381" t="str">
            <v>05OT128</v>
          </cell>
          <cell r="J1381" t="str">
            <v>PRE-OP / PATIENT HOLDING</v>
          </cell>
          <cell r="K1381" t="str">
            <v>BMED</v>
          </cell>
          <cell r="L1381" t="str">
            <v>Critical</v>
          </cell>
          <cell r="M1381" t="str">
            <v>USA</v>
          </cell>
          <cell r="N1381" t="str">
            <v>GE</v>
          </cell>
          <cell r="O1381" t="str">
            <v>GE B30</v>
          </cell>
          <cell r="P1381" t="str">
            <v>SF312325905WA</v>
          </cell>
          <cell r="Q1381" t="str">
            <v>Not Applicable</v>
          </cell>
          <cell r="R1381" t="str">
            <v>GE Healthcare Systems</v>
          </cell>
          <cell r="S1381" t="str">
            <v>GE Healthcare Technologies</v>
          </cell>
          <cell r="T1381" t="str">
            <v>Functioning</v>
          </cell>
          <cell r="U1381" t="str">
            <v>Asset</v>
          </cell>
          <cell r="V1381">
            <v>44510</v>
          </cell>
          <cell r="W1381" t="str">
            <v>KEW</v>
          </cell>
          <cell r="X1381" t="str">
            <v>01/09/2010</v>
          </cell>
          <cell r="Y1381" t="str">
            <v>KEW</v>
          </cell>
          <cell r="Z1381" t="str">
            <v>16/08/2013</v>
          </cell>
          <cell r="AA1381" t="str">
            <v>15/08/2015</v>
          </cell>
          <cell r="AB1381" t="str">
            <v>No</v>
          </cell>
          <cell r="AC1381" t="str">
            <v>31/08/2013</v>
          </cell>
          <cell r="AD1381" t="str">
            <v>Good</v>
          </cell>
          <cell r="AE1381" t="str">
            <v>V1 - Existing / No Claim</v>
          </cell>
          <cell r="AF1381">
            <v>42802</v>
          </cell>
          <cell r="AG1381">
            <v>9.17</v>
          </cell>
          <cell r="AH1381" t="str">
            <v>PPM</v>
          </cell>
          <cell r="AI1381" t="str">
            <v>Strands</v>
          </cell>
          <cell r="AJ1381" t="str">
            <v>Strands PW</v>
          </cell>
        </row>
        <row r="1382">
          <cell r="A1382" t="str">
            <v>IKN401060</v>
          </cell>
          <cell r="B1382">
            <v>1058</v>
          </cell>
          <cell r="C1382" t="str">
            <v>Institut Kanser Negara</v>
          </cell>
          <cell r="D1382" t="str">
            <v>KKM/IKN/H/13/4324</v>
          </cell>
          <cell r="E1382" t="str">
            <v>12-647</v>
          </cell>
          <cell r="F1382" t="str">
            <v>Physiologic Monitoring Systems, Acute Care</v>
          </cell>
          <cell r="G1382" t="str">
            <v>OT</v>
          </cell>
          <cell r="H1382" t="str">
            <v>OPERATING THEATRE</v>
          </cell>
          <cell r="I1382" t="str">
            <v>05OT128</v>
          </cell>
          <cell r="J1382" t="str">
            <v>PRE-OP / PATIENT HOLDING</v>
          </cell>
          <cell r="K1382" t="str">
            <v>BMED</v>
          </cell>
          <cell r="L1382" t="str">
            <v>Critical</v>
          </cell>
          <cell r="M1382" t="str">
            <v>USA</v>
          </cell>
          <cell r="N1382" t="str">
            <v>GE</v>
          </cell>
          <cell r="O1382" t="str">
            <v>GE B30</v>
          </cell>
          <cell r="P1382" t="str">
            <v>SF312325910WA</v>
          </cell>
          <cell r="Q1382" t="str">
            <v>Not Applicable</v>
          </cell>
          <cell r="R1382" t="str">
            <v>GE Healthcare Systems</v>
          </cell>
          <cell r="S1382" t="str">
            <v>GE Healthcare Technologies</v>
          </cell>
          <cell r="T1382" t="str">
            <v>Functioning</v>
          </cell>
          <cell r="U1382" t="str">
            <v>Asset</v>
          </cell>
          <cell r="V1382">
            <v>44510</v>
          </cell>
          <cell r="W1382" t="str">
            <v>KEW</v>
          </cell>
          <cell r="X1382" t="str">
            <v>01/09/2010</v>
          </cell>
          <cell r="Y1382" t="str">
            <v>KEW</v>
          </cell>
          <cell r="Z1382" t="str">
            <v>16/08/2013</v>
          </cell>
          <cell r="AA1382" t="str">
            <v>15/08/2015</v>
          </cell>
          <cell r="AB1382" t="str">
            <v>No</v>
          </cell>
          <cell r="AC1382" t="str">
            <v>31/08/2013</v>
          </cell>
          <cell r="AD1382" t="str">
            <v>Good</v>
          </cell>
          <cell r="AE1382" t="str">
            <v>V1 - Existing / No Claim</v>
          </cell>
          <cell r="AF1382">
            <v>42802</v>
          </cell>
          <cell r="AG1382">
            <v>9.17</v>
          </cell>
          <cell r="AH1382" t="str">
            <v>PPM</v>
          </cell>
          <cell r="AI1382" t="str">
            <v>Strands</v>
          </cell>
          <cell r="AJ1382" t="str">
            <v>Strands PW</v>
          </cell>
        </row>
        <row r="1383">
          <cell r="A1383" t="str">
            <v>IKN401061</v>
          </cell>
          <cell r="B1383">
            <v>1059</v>
          </cell>
          <cell r="C1383" t="str">
            <v>Institut Kanser Negara</v>
          </cell>
          <cell r="D1383" t="str">
            <v>KKM/IKN/H/13/3772</v>
          </cell>
          <cell r="E1383" t="str">
            <v>13-782</v>
          </cell>
          <cell r="F1383" t="str">
            <v>Stimulators, Electrical, Peripheral Nerve, Analgesic, Transc</v>
          </cell>
          <cell r="G1383" t="str">
            <v>OT</v>
          </cell>
          <cell r="H1383" t="str">
            <v>OPERATING THEATRE</v>
          </cell>
          <cell r="I1383" t="str">
            <v>05OT123</v>
          </cell>
          <cell r="J1383" t="str">
            <v>0T 1</v>
          </cell>
          <cell r="K1383" t="str">
            <v>BMED</v>
          </cell>
          <cell r="L1383" t="str">
            <v>Normal</v>
          </cell>
          <cell r="M1383" t="str">
            <v>Germany</v>
          </cell>
          <cell r="N1383" t="str">
            <v>Stimuplex</v>
          </cell>
          <cell r="O1383" t="str">
            <v>Stimuplex HNS 12</v>
          </cell>
          <cell r="P1383" t="str">
            <v>16/0745</v>
          </cell>
          <cell r="Q1383" t="str">
            <v>Not Applicable</v>
          </cell>
          <cell r="R1383" t="str">
            <v>B Braun Melsungen AG</v>
          </cell>
          <cell r="S1383" t="str">
            <v>B Braun Medical Supplies Sdn. Bhd.</v>
          </cell>
          <cell r="T1383" t="str">
            <v>Functioning</v>
          </cell>
          <cell r="U1383" t="str">
            <v>Asset</v>
          </cell>
          <cell r="V1383">
            <v>6570</v>
          </cell>
          <cell r="W1383" t="str">
            <v>KEW</v>
          </cell>
          <cell r="X1383" t="str">
            <v>01/09/2010</v>
          </cell>
          <cell r="Y1383" t="str">
            <v>KEW</v>
          </cell>
          <cell r="Z1383" t="str">
            <v>16/08/2013</v>
          </cell>
          <cell r="AA1383" t="str">
            <v>15/08/2015</v>
          </cell>
          <cell r="AB1383" t="str">
            <v>No</v>
          </cell>
          <cell r="AC1383" t="str">
            <v>31/08/2013</v>
          </cell>
          <cell r="AD1383" t="str">
            <v>Good</v>
          </cell>
          <cell r="AE1383" t="str">
            <v>V1 - Existing / No Claim</v>
          </cell>
          <cell r="AF1383">
            <v>42235</v>
          </cell>
          <cell r="AG1383">
            <v>9.17</v>
          </cell>
          <cell r="AH1383" t="str">
            <v>PPM</v>
          </cell>
          <cell r="AI1383" t="str">
            <v>Strands</v>
          </cell>
          <cell r="AJ1383" t="str">
            <v>Strands PW</v>
          </cell>
        </row>
        <row r="1384">
          <cell r="A1384" t="str">
            <v>IKN401068</v>
          </cell>
          <cell r="B1384">
            <v>1066</v>
          </cell>
          <cell r="C1384" t="str">
            <v>Institut Kanser Negara</v>
          </cell>
          <cell r="D1384" t="str">
            <v>KKM/IKN/H/13/3790</v>
          </cell>
          <cell r="E1384" t="str">
            <v>10-208</v>
          </cell>
          <cell r="F1384" t="str">
            <v>Aspirators</v>
          </cell>
          <cell r="G1384" t="str">
            <v>OT</v>
          </cell>
          <cell r="H1384" t="str">
            <v>OPERATING THEATRE</v>
          </cell>
          <cell r="I1384" t="str">
            <v>05OT169</v>
          </cell>
          <cell r="J1384" t="str">
            <v>EQ. ROOM</v>
          </cell>
          <cell r="K1384" t="str">
            <v>BMED</v>
          </cell>
          <cell r="L1384" t="str">
            <v>Normal</v>
          </cell>
          <cell r="M1384" t="str">
            <v>UK</v>
          </cell>
          <cell r="N1384" t="str">
            <v>SAM</v>
          </cell>
          <cell r="O1384" t="str">
            <v>SAM 427</v>
          </cell>
          <cell r="P1384" t="str">
            <v>0313-0534</v>
          </cell>
          <cell r="Q1384" t="str">
            <v>Not Applicable</v>
          </cell>
          <cell r="R1384" t="str">
            <v>MG Electric Ltd</v>
          </cell>
          <cell r="S1384" t="str">
            <v>Delta Medisains</v>
          </cell>
          <cell r="T1384" t="str">
            <v>Functioning</v>
          </cell>
          <cell r="U1384" t="str">
            <v>Asset</v>
          </cell>
          <cell r="V1384">
            <v>10705</v>
          </cell>
          <cell r="W1384" t="str">
            <v>KEW</v>
          </cell>
          <cell r="X1384" t="str">
            <v>01/09/2010</v>
          </cell>
          <cell r="Y1384" t="str">
            <v>KEW</v>
          </cell>
          <cell r="Z1384" t="str">
            <v>16/08/2013</v>
          </cell>
          <cell r="AA1384" t="str">
            <v>15/08/2015</v>
          </cell>
          <cell r="AB1384" t="str">
            <v>No</v>
          </cell>
          <cell r="AC1384" t="str">
            <v>31/08/2013</v>
          </cell>
          <cell r="AD1384" t="str">
            <v>Good</v>
          </cell>
          <cell r="AE1384" t="str">
            <v>V1 - Existing / No Claim</v>
          </cell>
          <cell r="AF1384">
            <v>42235</v>
          </cell>
          <cell r="AG1384">
            <v>9.17</v>
          </cell>
          <cell r="AH1384" t="str">
            <v>PPM</v>
          </cell>
          <cell r="AI1384" t="str">
            <v>Strands</v>
          </cell>
          <cell r="AJ1384" t="str">
            <v>Strands PW</v>
          </cell>
        </row>
        <row r="1385">
          <cell r="A1385" t="str">
            <v>IKN401069</v>
          </cell>
          <cell r="B1385">
            <v>1067</v>
          </cell>
          <cell r="C1385" t="str">
            <v>Institut Kanser Negara</v>
          </cell>
          <cell r="D1385" t="str">
            <v>KKM/IKN/H/13/5019</v>
          </cell>
          <cell r="E1385" t="str">
            <v>16-173</v>
          </cell>
          <cell r="F1385" t="str">
            <v>Sphygmomanometers, Electronic, Automatic</v>
          </cell>
          <cell r="G1385" t="str">
            <v>OT</v>
          </cell>
          <cell r="H1385" t="str">
            <v>OPERATING THEATRE</v>
          </cell>
          <cell r="I1385" t="str">
            <v>05OT150</v>
          </cell>
          <cell r="J1385" t="str">
            <v>RECEPTION STAFF BASE</v>
          </cell>
          <cell r="K1385" t="str">
            <v>BMED</v>
          </cell>
          <cell r="L1385" t="str">
            <v>Normal</v>
          </cell>
          <cell r="M1385" t="str">
            <v>USA</v>
          </cell>
          <cell r="N1385" t="str">
            <v>Connex</v>
          </cell>
          <cell r="O1385" t="str">
            <v>Connex ProBP 3400</v>
          </cell>
          <cell r="P1385" t="str">
            <v>100002010413</v>
          </cell>
          <cell r="Q1385" t="str">
            <v>Not Applicable</v>
          </cell>
          <cell r="R1385" t="str">
            <v>Welch Allyn Inc</v>
          </cell>
          <cell r="S1385" t="str">
            <v>Welch Allyn Malaysia Sdn Bhd</v>
          </cell>
          <cell r="T1385" t="str">
            <v>Functioning</v>
          </cell>
          <cell r="U1385" t="str">
            <v>Asset</v>
          </cell>
          <cell r="V1385">
            <v>336</v>
          </cell>
          <cell r="W1385" t="str">
            <v>KEW</v>
          </cell>
          <cell r="X1385" t="str">
            <v>01/09/2010</v>
          </cell>
          <cell r="Y1385" t="str">
            <v>KEW</v>
          </cell>
          <cell r="Z1385" t="str">
            <v>16/08/2013</v>
          </cell>
          <cell r="AA1385" t="str">
            <v>15/08/2015</v>
          </cell>
          <cell r="AB1385" t="str">
            <v>No</v>
          </cell>
          <cell r="AC1385" t="str">
            <v>31/08/2013</v>
          </cell>
          <cell r="AD1385" t="str">
            <v>Good</v>
          </cell>
          <cell r="AE1385" t="str">
            <v>V1 - Existing / No Claim</v>
          </cell>
          <cell r="AF1385">
            <v>42235</v>
          </cell>
          <cell r="AG1385">
            <v>9.17</v>
          </cell>
          <cell r="AH1385" t="str">
            <v>PPM</v>
          </cell>
          <cell r="AI1385" t="str">
            <v>Strands</v>
          </cell>
          <cell r="AJ1385" t="str">
            <v>Strands PW</v>
          </cell>
        </row>
        <row r="1386">
          <cell r="A1386" t="str">
            <v>IKN401078</v>
          </cell>
          <cell r="B1386">
            <v>1076</v>
          </cell>
          <cell r="C1386" t="str">
            <v>Institut Kanser Negara</v>
          </cell>
          <cell r="D1386" t="str">
            <v>KKM/IKN/H/13/5129</v>
          </cell>
          <cell r="E1386" t="str">
            <v>12-282</v>
          </cell>
          <cell r="F1386" t="str">
            <v>Lights, Surgical</v>
          </cell>
          <cell r="G1386" t="str">
            <v>OT</v>
          </cell>
          <cell r="H1386" t="str">
            <v>OPERATING THEATRE</v>
          </cell>
          <cell r="I1386" t="str">
            <v>05OT123</v>
          </cell>
          <cell r="J1386" t="str">
            <v>0T 1</v>
          </cell>
          <cell r="K1386" t="str">
            <v>BMED</v>
          </cell>
          <cell r="L1386" t="str">
            <v>Critical</v>
          </cell>
          <cell r="M1386" t="str">
            <v>Germany</v>
          </cell>
          <cell r="N1386" t="str">
            <v>Trumpf</v>
          </cell>
          <cell r="O1386" t="str">
            <v>Trumpf iLED</v>
          </cell>
          <cell r="P1386" t="str">
            <v>101613546</v>
          </cell>
          <cell r="Q1386" t="str">
            <v>Not Applicable</v>
          </cell>
          <cell r="R1386" t="str">
            <v>Trumpf</v>
          </cell>
          <cell r="S1386" t="str">
            <v>MALAYSIAN HEALTHCARE SDN BHD</v>
          </cell>
          <cell r="T1386" t="str">
            <v>Functioning</v>
          </cell>
          <cell r="U1386" t="str">
            <v>Asset</v>
          </cell>
          <cell r="V1386">
            <v>153575</v>
          </cell>
          <cell r="W1386" t="str">
            <v>Estimate</v>
          </cell>
          <cell r="X1386" t="str">
            <v>01/09/2010</v>
          </cell>
          <cell r="Y1386" t="str">
            <v>KEW</v>
          </cell>
          <cell r="Z1386" t="str">
            <v>16/08/2013</v>
          </cell>
          <cell r="AA1386" t="str">
            <v>15/08/2015</v>
          </cell>
          <cell r="AB1386" t="str">
            <v>No</v>
          </cell>
          <cell r="AC1386" t="str">
            <v>31/08/2013</v>
          </cell>
          <cell r="AD1386" t="str">
            <v>Good</v>
          </cell>
          <cell r="AE1386" t="str">
            <v>V1 - Existing / No Claim</v>
          </cell>
          <cell r="AF1386">
            <v>42795</v>
          </cell>
          <cell r="AG1386">
            <v>9.17</v>
          </cell>
          <cell r="AH1386" t="str">
            <v>PPM</v>
          </cell>
          <cell r="AI1386" t="str">
            <v>Strands</v>
          </cell>
          <cell r="AJ1386" t="str">
            <v>Strands PW F</v>
          </cell>
          <cell r="AK1386" t="str">
            <v>[1/3/2024, SHARIFAH]: Fees sekali dengan KKM/IKN/H/13/5129 (RM240,575) - IKN401079, IKN401080</v>
          </cell>
        </row>
        <row r="1387">
          <cell r="A1387" t="str">
            <v>IKN401079</v>
          </cell>
          <cell r="B1387">
            <v>1077</v>
          </cell>
          <cell r="C1387" t="str">
            <v>Institut Kanser Negara</v>
          </cell>
          <cell r="D1387" t="e">
            <v>#N/A</v>
          </cell>
          <cell r="E1387" t="str">
            <v>12-282</v>
          </cell>
          <cell r="F1387" t="str">
            <v>Lights, Surgical</v>
          </cell>
          <cell r="G1387" t="str">
            <v>OT</v>
          </cell>
          <cell r="H1387" t="str">
            <v>OPERATING THEATRE</v>
          </cell>
          <cell r="I1387" t="str">
            <v>05OT123</v>
          </cell>
          <cell r="J1387" t="str">
            <v>0T 1</v>
          </cell>
          <cell r="K1387" t="str">
            <v>BMED</v>
          </cell>
          <cell r="L1387" t="str">
            <v>Critical</v>
          </cell>
          <cell r="M1387" t="str">
            <v>Germany</v>
          </cell>
          <cell r="N1387" t="str">
            <v>Trumpf</v>
          </cell>
          <cell r="O1387" t="str">
            <v>Trumpf iLED</v>
          </cell>
          <cell r="P1387" t="str">
            <v>101608451</v>
          </cell>
          <cell r="Q1387" t="str">
            <v>Not Applicable</v>
          </cell>
          <cell r="R1387" t="str">
            <v>Trumpf</v>
          </cell>
          <cell r="S1387" t="str">
            <v>MALAYSIAN HEALTHCARE SDN BHD</v>
          </cell>
          <cell r="T1387" t="str">
            <v>Functioning</v>
          </cell>
          <cell r="U1387" t="str">
            <v>Asset</v>
          </cell>
          <cell r="V1387">
            <v>80000</v>
          </cell>
          <cell r="W1387" t="str">
            <v>Estimate</v>
          </cell>
          <cell r="X1387" t="str">
            <v>01/09/2010</v>
          </cell>
          <cell r="Y1387" t="str">
            <v>KEW</v>
          </cell>
          <cell r="Z1387" t="str">
            <v>16/08/2013</v>
          </cell>
          <cell r="AA1387" t="str">
            <v>15/08/2015</v>
          </cell>
          <cell r="AB1387" t="str">
            <v>No</v>
          </cell>
          <cell r="AC1387" t="str">
            <v>31/08/2013</v>
          </cell>
          <cell r="AD1387" t="str">
            <v>Good</v>
          </cell>
          <cell r="AE1387" t="str">
            <v>V1 - Existing / No Claim</v>
          </cell>
          <cell r="AF1387">
            <v>42795</v>
          </cell>
          <cell r="AG1387">
            <v>9.17</v>
          </cell>
          <cell r="AH1387" t="str">
            <v>PPM</v>
          </cell>
          <cell r="AI1387" t="str">
            <v>Strands-accessories</v>
          </cell>
          <cell r="AJ1387" t="str">
            <v>Strands PW F</v>
          </cell>
          <cell r="AK1387" t="str">
            <v>CUBA CHECK KEWPA. [1/3/2024, SHARIFAH]: Fees sekali dengan KKM/IKN/H/13/5129 (RM240,575) - IKN401078, IKN401080</v>
          </cell>
        </row>
        <row r="1388">
          <cell r="A1388" t="str">
            <v>IKN401080</v>
          </cell>
          <cell r="B1388">
            <v>1078</v>
          </cell>
          <cell r="C1388" t="str">
            <v>Institut Kanser Negara</v>
          </cell>
          <cell r="D1388" t="str">
            <v>KKM/IKN/H/13/5129</v>
          </cell>
          <cell r="E1388" t="str">
            <v>16-603</v>
          </cell>
          <cell r="F1388" t="str">
            <v>Television Monitors</v>
          </cell>
          <cell r="G1388" t="str">
            <v>OT</v>
          </cell>
          <cell r="H1388" t="str">
            <v>OPERATING THEATRE</v>
          </cell>
          <cell r="I1388" t="str">
            <v>05OT120</v>
          </cell>
          <cell r="J1388" t="str">
            <v>OT 2</v>
          </cell>
          <cell r="K1388" t="str">
            <v>BMED</v>
          </cell>
          <cell r="L1388" t="str">
            <v>Normal</v>
          </cell>
          <cell r="M1388" t="str">
            <v>Japan</v>
          </cell>
          <cell r="N1388" t="str">
            <v>Sony</v>
          </cell>
          <cell r="O1388" t="str">
            <v>Sony LMD-2110MD</v>
          </cell>
          <cell r="P1388" t="str">
            <v>3100846</v>
          </cell>
          <cell r="Q1388" t="str">
            <v>Not Applicable</v>
          </cell>
          <cell r="R1388" t="str">
            <v>Sony Corp</v>
          </cell>
          <cell r="S1388" t="str">
            <v>MALAYSIAN HEALTHCARE SDN BHD</v>
          </cell>
          <cell r="T1388" t="str">
            <v>Functioning</v>
          </cell>
          <cell r="U1388" t="str">
            <v>Asset</v>
          </cell>
          <cell r="V1388">
            <v>7000</v>
          </cell>
          <cell r="W1388" t="str">
            <v>KEW</v>
          </cell>
          <cell r="X1388" t="str">
            <v>01/09/2010</v>
          </cell>
          <cell r="Y1388" t="str">
            <v>KEW</v>
          </cell>
          <cell r="Z1388" t="str">
            <v>16/08/2013</v>
          </cell>
          <cell r="AA1388" t="str">
            <v>15/08/2015</v>
          </cell>
          <cell r="AB1388" t="str">
            <v>No</v>
          </cell>
          <cell r="AC1388" t="str">
            <v>31/08/2013</v>
          </cell>
          <cell r="AD1388" t="str">
            <v>Good</v>
          </cell>
          <cell r="AE1388" t="str">
            <v>V1 - Existing / No Claim</v>
          </cell>
          <cell r="AF1388">
            <v>42622</v>
          </cell>
          <cell r="AG1388">
            <v>9.17</v>
          </cell>
          <cell r="AH1388" t="str">
            <v>RI</v>
          </cell>
          <cell r="AI1388" t="str">
            <v>package</v>
          </cell>
          <cell r="AJ1388" t="str">
            <v>Strands PW F</v>
          </cell>
          <cell r="AK1388" t="str">
            <v>[1/3/2024, SHARIFAH]: Fees sekali dengan KKM/IKN/H/13/5129 (RM240,575) - IKN401079, IKN401078</v>
          </cell>
        </row>
        <row r="1389">
          <cell r="A1389" t="str">
            <v>IKN401081</v>
          </cell>
          <cell r="B1389">
            <v>1079</v>
          </cell>
          <cell r="C1389" t="str">
            <v>Institut Kanser Negara</v>
          </cell>
          <cell r="D1389" t="str">
            <v>KKM/IKN/H/13/5130</v>
          </cell>
          <cell r="E1389" t="str">
            <v>12-282</v>
          </cell>
          <cell r="F1389" t="str">
            <v>Lights, Surgical</v>
          </cell>
          <cell r="G1389" t="str">
            <v>OT</v>
          </cell>
          <cell r="H1389" t="str">
            <v>OPERATING THEATRE</v>
          </cell>
          <cell r="I1389" t="str">
            <v>05OT120</v>
          </cell>
          <cell r="J1389" t="str">
            <v>OT 2</v>
          </cell>
          <cell r="K1389" t="str">
            <v>BMED</v>
          </cell>
          <cell r="L1389" t="str">
            <v>Critical</v>
          </cell>
          <cell r="M1389" t="str">
            <v>Germany</v>
          </cell>
          <cell r="N1389" t="str">
            <v>Trumpf</v>
          </cell>
          <cell r="O1389" t="str">
            <v>Trumpf iLED</v>
          </cell>
          <cell r="P1389" t="str">
            <v>101612594</v>
          </cell>
          <cell r="Q1389" t="str">
            <v>Not Applicable</v>
          </cell>
          <cell r="R1389" t="str">
            <v>Trumpf</v>
          </cell>
          <cell r="S1389" t="str">
            <v>MALAYSIAN HEALTHCARE SDN BHD</v>
          </cell>
          <cell r="T1389" t="str">
            <v>Functioning</v>
          </cell>
          <cell r="U1389" t="str">
            <v>Asset</v>
          </cell>
          <cell r="V1389">
            <v>153575</v>
          </cell>
          <cell r="W1389" t="str">
            <v>Estimate</v>
          </cell>
          <cell r="X1389" t="str">
            <v>01/09/2010</v>
          </cell>
          <cell r="Y1389" t="str">
            <v>KEW</v>
          </cell>
          <cell r="Z1389" t="str">
            <v>16/08/2013</v>
          </cell>
          <cell r="AA1389" t="str">
            <v>15/08/2015</v>
          </cell>
          <cell r="AB1389" t="str">
            <v>No</v>
          </cell>
          <cell r="AC1389" t="str">
            <v>31/08/2013</v>
          </cell>
          <cell r="AD1389" t="str">
            <v>Good</v>
          </cell>
          <cell r="AE1389" t="str">
            <v>V1 - Existing / No Claim</v>
          </cell>
          <cell r="AF1389">
            <v>42795</v>
          </cell>
          <cell r="AG1389">
            <v>9.17</v>
          </cell>
          <cell r="AH1389" t="str">
            <v>PPM</v>
          </cell>
          <cell r="AI1389" t="str">
            <v>Strands</v>
          </cell>
          <cell r="AJ1389" t="str">
            <v>Strands PW F</v>
          </cell>
          <cell r="AK1389" t="str">
            <v>[1/3/2024, SHARIFAH]: Fees sekali dengan KKM/IKN/H/13/5130 (RM240,575) - IKN401082, IKN401083</v>
          </cell>
        </row>
        <row r="1390">
          <cell r="A1390" t="str">
            <v>IKN401082</v>
          </cell>
          <cell r="B1390">
            <v>1080</v>
          </cell>
          <cell r="C1390" t="str">
            <v>Institut Kanser Negara</v>
          </cell>
          <cell r="D1390" t="e">
            <v>#N/A</v>
          </cell>
          <cell r="E1390" t="str">
            <v>12-282</v>
          </cell>
          <cell r="F1390" t="str">
            <v>Lights, Surgical</v>
          </cell>
          <cell r="G1390" t="str">
            <v>OT</v>
          </cell>
          <cell r="H1390" t="str">
            <v>OPERATING THEATRE</v>
          </cell>
          <cell r="I1390" t="str">
            <v>05OT120</v>
          </cell>
          <cell r="J1390" t="str">
            <v>OT 2</v>
          </cell>
          <cell r="K1390" t="str">
            <v>BMED</v>
          </cell>
          <cell r="L1390" t="str">
            <v>Critical</v>
          </cell>
          <cell r="M1390" t="str">
            <v>Germany</v>
          </cell>
          <cell r="N1390" t="str">
            <v>Trumpf</v>
          </cell>
          <cell r="O1390" t="str">
            <v>Trumpf iLED</v>
          </cell>
          <cell r="P1390" t="str">
            <v>101611222</v>
          </cell>
          <cell r="Q1390" t="str">
            <v>Not Applicable</v>
          </cell>
          <cell r="R1390" t="str">
            <v>Trumpf</v>
          </cell>
          <cell r="S1390" t="str">
            <v>MALAYSIAN HEALTHCARE SDN BHD</v>
          </cell>
          <cell r="T1390" t="str">
            <v>Functioning</v>
          </cell>
          <cell r="U1390" t="str">
            <v>Asset</v>
          </cell>
          <cell r="V1390">
            <v>80000</v>
          </cell>
          <cell r="W1390" t="str">
            <v>KEW</v>
          </cell>
          <cell r="X1390" t="str">
            <v>01/09/2010</v>
          </cell>
          <cell r="Y1390" t="str">
            <v>KEW</v>
          </cell>
          <cell r="Z1390" t="str">
            <v>16/08/2013</v>
          </cell>
          <cell r="AA1390" t="str">
            <v>15/08/2015</v>
          </cell>
          <cell r="AB1390" t="str">
            <v>No</v>
          </cell>
          <cell r="AC1390" t="str">
            <v>31/08/2013</v>
          </cell>
          <cell r="AD1390" t="str">
            <v>Good</v>
          </cell>
          <cell r="AE1390" t="str">
            <v>V1 - Existing / No Claim</v>
          </cell>
          <cell r="AF1390">
            <v>42795</v>
          </cell>
          <cell r="AG1390">
            <v>9.17</v>
          </cell>
          <cell r="AH1390" t="str">
            <v>PPM</v>
          </cell>
          <cell r="AI1390" t="str">
            <v>Strands-accessories</v>
          </cell>
          <cell r="AJ1390" t="str">
            <v>Strands PW F</v>
          </cell>
          <cell r="AK1390" t="str">
            <v>CUBA CHECK KEWPA [1/3/2024, SHARIFAH]: Fees sekali dengan KKM/IKN/H/13/5130 (RM240,575) - IKN401081, IKN401083</v>
          </cell>
        </row>
        <row r="1391">
          <cell r="A1391" t="str">
            <v>IKN401083</v>
          </cell>
          <cell r="B1391">
            <v>1081</v>
          </cell>
          <cell r="C1391" t="str">
            <v>Institut Kanser Negara</v>
          </cell>
          <cell r="D1391" t="str">
            <v>KKM/IKN/H/13/5130</v>
          </cell>
          <cell r="E1391" t="str">
            <v>16-603</v>
          </cell>
          <cell r="F1391" t="str">
            <v>Television Monitors</v>
          </cell>
          <cell r="G1391" t="str">
            <v>OT</v>
          </cell>
          <cell r="H1391" t="str">
            <v>OPERATING THEATRE</v>
          </cell>
          <cell r="I1391" t="str">
            <v>05OT123</v>
          </cell>
          <cell r="J1391" t="str">
            <v>0T 1</v>
          </cell>
          <cell r="K1391" t="str">
            <v>BMED</v>
          </cell>
          <cell r="L1391" t="str">
            <v>Normal</v>
          </cell>
          <cell r="M1391" t="str">
            <v>Japan</v>
          </cell>
          <cell r="N1391" t="str">
            <v>Sony</v>
          </cell>
          <cell r="O1391" t="str">
            <v>Sony LMD-2110MD</v>
          </cell>
          <cell r="P1391" t="str">
            <v>3100832</v>
          </cell>
          <cell r="Q1391" t="str">
            <v>Not Applicable</v>
          </cell>
          <cell r="R1391" t="str">
            <v>Sony Corp</v>
          </cell>
          <cell r="S1391" t="str">
            <v>MALAYSIAN HEALTHCARE SDN BHD</v>
          </cell>
          <cell r="T1391" t="str">
            <v>Functioning</v>
          </cell>
          <cell r="U1391" t="str">
            <v>Asset</v>
          </cell>
          <cell r="V1391">
            <v>7000</v>
          </cell>
          <cell r="W1391" t="str">
            <v>Estimate</v>
          </cell>
          <cell r="X1391" t="str">
            <v>01/09/2010</v>
          </cell>
          <cell r="Y1391" t="str">
            <v>KEW</v>
          </cell>
          <cell r="Z1391" t="str">
            <v>16/08/2013</v>
          </cell>
          <cell r="AA1391" t="str">
            <v>15/08/2015</v>
          </cell>
          <cell r="AB1391" t="str">
            <v>No</v>
          </cell>
          <cell r="AC1391" t="str">
            <v>31/08/2013</v>
          </cell>
          <cell r="AD1391" t="str">
            <v>Good</v>
          </cell>
          <cell r="AE1391" t="str">
            <v>V1 - Existing / No Claim</v>
          </cell>
          <cell r="AF1391">
            <v>42622</v>
          </cell>
          <cell r="AG1391">
            <v>9.17</v>
          </cell>
          <cell r="AH1391" t="str">
            <v>RI</v>
          </cell>
          <cell r="AI1391" t="str">
            <v>Strands-accessories</v>
          </cell>
          <cell r="AJ1391" t="str">
            <v>Strands PW F</v>
          </cell>
          <cell r="AK1391" t="str">
            <v>[1/3/2024, SHARIFAH]: Fees sekali dengan KKM/IKN/H/13/5130 (RM240,575) - IKN401082, IKN401081</v>
          </cell>
        </row>
        <row r="1392">
          <cell r="A1392" t="str">
            <v>IKN401084</v>
          </cell>
          <cell r="B1392">
            <v>1082</v>
          </cell>
          <cell r="C1392" t="str">
            <v>Institut Kanser Negara</v>
          </cell>
          <cell r="D1392" t="str">
            <v>KKM/IKN/H/13/4548</v>
          </cell>
          <cell r="E1392" t="str">
            <v>10-208</v>
          </cell>
          <cell r="F1392" t="str">
            <v>Aspirators</v>
          </cell>
          <cell r="G1392" t="str">
            <v>AE</v>
          </cell>
          <cell r="H1392" t="str">
            <v>EMERGENCY UNIT</v>
          </cell>
          <cell r="I1392" t="str">
            <v>01AE108</v>
          </cell>
          <cell r="J1392" t="str">
            <v>TRIAGE</v>
          </cell>
          <cell r="K1392" t="str">
            <v>BMED</v>
          </cell>
          <cell r="L1392" t="str">
            <v>Critical</v>
          </cell>
          <cell r="M1392" t="str">
            <v>Italy</v>
          </cell>
          <cell r="N1392" t="str">
            <v>Boscarol</v>
          </cell>
          <cell r="O1392" t="str">
            <v>Boscarol OB2012</v>
          </cell>
          <cell r="P1392" t="str">
            <v>1101311488</v>
          </cell>
          <cell r="Q1392" t="str">
            <v>Not Applicable</v>
          </cell>
          <cell r="R1392" t="str">
            <v>Bascarol</v>
          </cell>
          <cell r="S1392" t="str">
            <v>Continental Top Products &amp; Engineering S</v>
          </cell>
          <cell r="T1392" t="str">
            <v>Functioning</v>
          </cell>
          <cell r="U1392" t="str">
            <v>Asset</v>
          </cell>
          <cell r="V1392">
            <v>3000</v>
          </cell>
          <cell r="W1392" t="str">
            <v>KEW</v>
          </cell>
          <cell r="X1392" t="str">
            <v>23/12/2013</v>
          </cell>
          <cell r="Y1392" t="str">
            <v>KEW</v>
          </cell>
          <cell r="Z1392" t="str">
            <v>23/12/2013</v>
          </cell>
          <cell r="AA1392" t="str">
            <v>22/12/2015</v>
          </cell>
          <cell r="AB1392" t="str">
            <v>No</v>
          </cell>
          <cell r="AC1392" t="str">
            <v>23/12/2013</v>
          </cell>
          <cell r="AD1392" t="str">
            <v>Good</v>
          </cell>
          <cell r="AE1392" t="str">
            <v>V3 - Added Installed Facilities (New)</v>
          </cell>
          <cell r="AF1392">
            <v>42800</v>
          </cell>
          <cell r="AG1392">
            <v>5.92</v>
          </cell>
          <cell r="AH1392" t="str">
            <v>PPM</v>
          </cell>
          <cell r="AI1392" t="str">
            <v>Strands</v>
          </cell>
          <cell r="AJ1392" t="str">
            <v>Strands PW</v>
          </cell>
          <cell r="AK1392" t="str">
            <v>SNF received. 1st batch of V3 asset (December 2020)</v>
          </cell>
        </row>
        <row r="1393">
          <cell r="A1393" t="str">
            <v>IKN401085</v>
          </cell>
          <cell r="B1393">
            <v>1083</v>
          </cell>
          <cell r="C1393" t="str">
            <v>Institut Kanser Negara</v>
          </cell>
          <cell r="D1393" t="str">
            <v>KKM/IKN/H/13/4546</v>
          </cell>
          <cell r="E1393" t="str">
            <v>12-647</v>
          </cell>
          <cell r="F1393" t="str">
            <v>Physiologic Monitoring Systems, Acute Care</v>
          </cell>
          <cell r="G1393" t="str">
            <v>AE</v>
          </cell>
          <cell r="H1393" t="str">
            <v>EMERGENCY UNIT</v>
          </cell>
          <cell r="I1393" t="str">
            <v>01AE108</v>
          </cell>
          <cell r="J1393" t="str">
            <v>TRIAGE</v>
          </cell>
          <cell r="K1393" t="str">
            <v>BMED</v>
          </cell>
          <cell r="L1393" t="str">
            <v>Critical</v>
          </cell>
          <cell r="M1393" t="str">
            <v>USA</v>
          </cell>
          <cell r="N1393" t="str">
            <v>Propaq</v>
          </cell>
          <cell r="O1393" t="str">
            <v>Propaq CS 242</v>
          </cell>
          <cell r="P1393" t="str">
            <v>GA117266</v>
          </cell>
          <cell r="Q1393" t="str">
            <v>Not Applicable</v>
          </cell>
          <cell r="R1393" t="str">
            <v>Welch Allyn Inc</v>
          </cell>
          <cell r="S1393" t="str">
            <v>Continental Top Products &amp; Engineering S</v>
          </cell>
          <cell r="T1393" t="str">
            <v>Functioning</v>
          </cell>
          <cell r="U1393" t="str">
            <v>Asset</v>
          </cell>
          <cell r="V1393">
            <v>22000</v>
          </cell>
          <cell r="W1393" t="str">
            <v>KEW</v>
          </cell>
          <cell r="X1393" t="str">
            <v>23/12/2013</v>
          </cell>
          <cell r="Y1393" t="str">
            <v>KEW</v>
          </cell>
          <cell r="Z1393" t="str">
            <v>23/12/2013</v>
          </cell>
          <cell r="AA1393" t="str">
            <v>22/12/2015</v>
          </cell>
          <cell r="AB1393" t="str">
            <v>No</v>
          </cell>
          <cell r="AC1393" t="str">
            <v>23/12/2013</v>
          </cell>
          <cell r="AD1393" t="str">
            <v>Good</v>
          </cell>
          <cell r="AE1393" t="str">
            <v>V3 - Added Installed Facilities (New)</v>
          </cell>
          <cell r="AF1393">
            <v>42800</v>
          </cell>
          <cell r="AG1393">
            <v>5.92</v>
          </cell>
          <cell r="AH1393" t="str">
            <v>PPM</v>
          </cell>
          <cell r="AI1393" t="str">
            <v>Strands</v>
          </cell>
          <cell r="AJ1393" t="str">
            <v>Strands PW</v>
          </cell>
          <cell r="AK1393" t="str">
            <v>SNF received. 1st batch of V3 asset (December 2020). [18/9/2023, SHARIFAH]: PEP ON 17/4/2023, BER/BEMS/IKN/23/009 - Asset masih berfungsi namun tidak dapat dibaiki sekiranya berlaku kerosakan pada komponen utama.</v>
          </cell>
        </row>
        <row r="1394">
          <cell r="A1394" t="str">
            <v>IKN401086</v>
          </cell>
          <cell r="B1394">
            <v>1084</v>
          </cell>
          <cell r="C1394" t="str">
            <v>Institut Kanser Negara</v>
          </cell>
          <cell r="D1394" t="str">
            <v>KKM/IKN/H/13/4549</v>
          </cell>
          <cell r="E1394" t="str">
            <v>10-208</v>
          </cell>
          <cell r="F1394" t="str">
            <v>Aspirators</v>
          </cell>
          <cell r="G1394" t="str">
            <v>AE</v>
          </cell>
          <cell r="H1394" t="str">
            <v>EMERGENCY UNIT</v>
          </cell>
          <cell r="I1394" t="str">
            <v>01AE108</v>
          </cell>
          <cell r="J1394" t="str">
            <v>TRIAGE</v>
          </cell>
          <cell r="K1394" t="str">
            <v>BMED</v>
          </cell>
          <cell r="L1394" t="str">
            <v>Critical</v>
          </cell>
          <cell r="M1394" t="str">
            <v>Italy</v>
          </cell>
          <cell r="N1394" t="str">
            <v>Boscarol</v>
          </cell>
          <cell r="O1394" t="str">
            <v>Boscarol OB2012</v>
          </cell>
          <cell r="P1394" t="str">
            <v>1101311473</v>
          </cell>
          <cell r="Q1394" t="str">
            <v>Not Applicable</v>
          </cell>
          <cell r="R1394" t="str">
            <v>Bascarol</v>
          </cell>
          <cell r="S1394" t="str">
            <v>Continental Top Products &amp; Engineering S</v>
          </cell>
          <cell r="T1394" t="str">
            <v>Functioning</v>
          </cell>
          <cell r="U1394" t="str">
            <v>Asset</v>
          </cell>
          <cell r="V1394">
            <v>3000</v>
          </cell>
          <cell r="W1394" t="str">
            <v>KEW</v>
          </cell>
          <cell r="X1394" t="str">
            <v>23/12/2013</v>
          </cell>
          <cell r="Y1394" t="str">
            <v>KEW</v>
          </cell>
          <cell r="Z1394" t="str">
            <v>23/12/2013</v>
          </cell>
          <cell r="AA1394" t="str">
            <v>22/12/2015</v>
          </cell>
          <cell r="AB1394" t="str">
            <v>No</v>
          </cell>
          <cell r="AC1394" t="str">
            <v>23/12/2013</v>
          </cell>
          <cell r="AD1394" t="str">
            <v>Good</v>
          </cell>
          <cell r="AE1394" t="str">
            <v>V3 - Added Installed Facilities (New)</v>
          </cell>
          <cell r="AF1394">
            <v>42800</v>
          </cell>
          <cell r="AG1394">
            <v>5.92</v>
          </cell>
          <cell r="AH1394" t="str">
            <v>PPM</v>
          </cell>
          <cell r="AI1394" t="str">
            <v>Strands</v>
          </cell>
          <cell r="AJ1394" t="str">
            <v>Strands PW</v>
          </cell>
          <cell r="AK1394" t="str">
            <v>SNF received. 1st batch of V3 asset (December 2020)</v>
          </cell>
        </row>
        <row r="1395">
          <cell r="A1395" t="str">
            <v>IKN401088</v>
          </cell>
          <cell r="B1395">
            <v>1086</v>
          </cell>
          <cell r="C1395" t="str">
            <v>Institut Kanser Negara</v>
          </cell>
          <cell r="D1395" t="str">
            <v>KKM/IKN/H/13/4547</v>
          </cell>
          <cell r="E1395" t="str">
            <v>10-208</v>
          </cell>
          <cell r="F1395" t="str">
            <v>Aspirators</v>
          </cell>
          <cell r="G1395" t="str">
            <v>AE</v>
          </cell>
          <cell r="H1395" t="str">
            <v>EMERGENCY UNIT</v>
          </cell>
          <cell r="I1395" t="str">
            <v>01AE108</v>
          </cell>
          <cell r="J1395" t="str">
            <v>TRIAGE</v>
          </cell>
          <cell r="K1395" t="str">
            <v>BMED</v>
          </cell>
          <cell r="L1395" t="str">
            <v>Critical</v>
          </cell>
          <cell r="M1395" t="str">
            <v>Italy</v>
          </cell>
          <cell r="N1395" t="str">
            <v>Boscarol</v>
          </cell>
          <cell r="O1395" t="str">
            <v>Boscarol OB2012</v>
          </cell>
          <cell r="P1395" t="str">
            <v>1101311498</v>
          </cell>
          <cell r="Q1395" t="str">
            <v>Not Applicable</v>
          </cell>
          <cell r="R1395" t="str">
            <v>Bascarol</v>
          </cell>
          <cell r="S1395" t="str">
            <v>Continental Top Products &amp; Engineering S</v>
          </cell>
          <cell r="T1395" t="str">
            <v>Functioning</v>
          </cell>
          <cell r="U1395" t="str">
            <v>Asset</v>
          </cell>
          <cell r="V1395">
            <v>3000</v>
          </cell>
          <cell r="W1395" t="str">
            <v>KEW</v>
          </cell>
          <cell r="X1395" t="str">
            <v>23/12/2013</v>
          </cell>
          <cell r="Y1395" t="str">
            <v>KEW</v>
          </cell>
          <cell r="Z1395" t="str">
            <v>23/12/2013</v>
          </cell>
          <cell r="AA1395" t="str">
            <v>22/12/2015</v>
          </cell>
          <cell r="AB1395" t="str">
            <v>No</v>
          </cell>
          <cell r="AC1395" t="str">
            <v>23/12/2013</v>
          </cell>
          <cell r="AD1395" t="str">
            <v>Good</v>
          </cell>
          <cell r="AE1395" t="str">
            <v>V3 - Added Installed Facilities (New)</v>
          </cell>
          <cell r="AF1395">
            <v>42800</v>
          </cell>
          <cell r="AG1395">
            <v>5.92</v>
          </cell>
          <cell r="AH1395" t="str">
            <v>PPM</v>
          </cell>
          <cell r="AI1395" t="str">
            <v>Strands</v>
          </cell>
          <cell r="AJ1395" t="str">
            <v>Strands PW</v>
          </cell>
          <cell r="AK1395" t="str">
            <v>SNF received. 1st batch of V3 asset (December 2020)</v>
          </cell>
        </row>
        <row r="1396">
          <cell r="A1396" t="str">
            <v>IKN401089</v>
          </cell>
          <cell r="B1396">
            <v>1087</v>
          </cell>
          <cell r="C1396" t="str">
            <v>Institut Kanser Negara</v>
          </cell>
          <cell r="D1396" t="str">
            <v>KKM/IKN/H/13/4544</v>
          </cell>
          <cell r="E1396" t="str">
            <v>12-647</v>
          </cell>
          <cell r="F1396" t="str">
            <v>Physiologic Monitoring Systems, Acute Care</v>
          </cell>
          <cell r="G1396" t="str">
            <v>AE</v>
          </cell>
          <cell r="H1396" t="str">
            <v>EMERGENCY UNIT</v>
          </cell>
          <cell r="I1396" t="str">
            <v>01AE108</v>
          </cell>
          <cell r="J1396" t="str">
            <v>TRIAGE</v>
          </cell>
          <cell r="K1396" t="str">
            <v>BMED</v>
          </cell>
          <cell r="L1396" t="str">
            <v>Critical</v>
          </cell>
          <cell r="M1396" t="str">
            <v>USA</v>
          </cell>
          <cell r="N1396" t="str">
            <v>Propaq</v>
          </cell>
          <cell r="O1396" t="str">
            <v>Propaq CS 242</v>
          </cell>
          <cell r="P1396" t="str">
            <v>GA117262</v>
          </cell>
          <cell r="Q1396" t="str">
            <v>Not Applicable</v>
          </cell>
          <cell r="R1396" t="str">
            <v>Welch Allyn Inc</v>
          </cell>
          <cell r="S1396" t="str">
            <v>Continental Top Products &amp; Engineering S</v>
          </cell>
          <cell r="T1396" t="str">
            <v>Functioning</v>
          </cell>
          <cell r="U1396" t="str">
            <v>Asset</v>
          </cell>
          <cell r="V1396">
            <v>22000</v>
          </cell>
          <cell r="W1396" t="str">
            <v>KEW</v>
          </cell>
          <cell r="X1396" t="str">
            <v>23/12/2013</v>
          </cell>
          <cell r="Y1396" t="str">
            <v>KEW</v>
          </cell>
          <cell r="Z1396" t="str">
            <v>23/12/2013</v>
          </cell>
          <cell r="AA1396" t="str">
            <v>22/12/2015</v>
          </cell>
          <cell r="AB1396" t="str">
            <v>No</v>
          </cell>
          <cell r="AC1396" t="str">
            <v>23/12/2013</v>
          </cell>
          <cell r="AD1396" t="str">
            <v>Good</v>
          </cell>
          <cell r="AE1396" t="str">
            <v>V3 - Added Installed Facilities (New)</v>
          </cell>
          <cell r="AF1396">
            <v>42800</v>
          </cell>
          <cell r="AG1396">
            <v>5.92</v>
          </cell>
          <cell r="AH1396" t="str">
            <v>PPM</v>
          </cell>
          <cell r="AI1396" t="str">
            <v>Strands</v>
          </cell>
          <cell r="AJ1396" t="str">
            <v>Strands PW</v>
          </cell>
          <cell r="AK1396" t="str">
            <v>SNF received. 1st batch of V3 asset (December 2020). [18/9/2023, SHARIFAH]: PEP ON 17/4/2023, BER/BEMS/IKN/23/011 - Asset mengalami kerosakan pada SPO2 Module, tetapi masih boleh digunakan namun tidak dapat dibaiki sekiranya berlaku kerosakan pada komponen utama.</v>
          </cell>
        </row>
        <row r="1397">
          <cell r="A1397" t="str">
            <v>IKN401091</v>
          </cell>
          <cell r="B1397">
            <v>1089</v>
          </cell>
          <cell r="C1397" t="str">
            <v>Institut Kanser Negara</v>
          </cell>
          <cell r="D1397" t="str">
            <v>KKM/IKN/H/13/3927</v>
          </cell>
          <cell r="E1397" t="str">
            <v>12-282</v>
          </cell>
          <cell r="F1397" t="str">
            <v>Lights, Surgical</v>
          </cell>
          <cell r="G1397" t="str">
            <v>NM</v>
          </cell>
          <cell r="H1397" t="str">
            <v>NUCLEAR MED (DIAGNOSTIC)</v>
          </cell>
          <cell r="I1397" t="str">
            <v>03NM108</v>
          </cell>
          <cell r="J1397" t="str">
            <v>TREATMENT 1 (RAI)(VE)</v>
          </cell>
          <cell r="K1397" t="str">
            <v>BMED</v>
          </cell>
          <cell r="L1397" t="str">
            <v>Normal</v>
          </cell>
          <cell r="M1397" t="str">
            <v>USA</v>
          </cell>
          <cell r="N1397" t="str">
            <v>Welch Allyn</v>
          </cell>
          <cell r="O1397" t="str">
            <v>Welch Allyn GS900</v>
          </cell>
          <cell r="P1397" t="str">
            <v>10043011102370</v>
          </cell>
          <cell r="Q1397" t="str">
            <v>Not Applicable</v>
          </cell>
          <cell r="R1397" t="str">
            <v>Welch Allyn Inc</v>
          </cell>
          <cell r="S1397" t="str">
            <v>Welch Allyn Malaysia Sdn Bhd</v>
          </cell>
          <cell r="T1397" t="str">
            <v>Functioning</v>
          </cell>
          <cell r="U1397" t="str">
            <v>Asset</v>
          </cell>
          <cell r="V1397">
            <v>10585</v>
          </cell>
          <cell r="W1397" t="str">
            <v>KEW</v>
          </cell>
          <cell r="X1397" t="str">
            <v>01/09/2010</v>
          </cell>
          <cell r="Y1397" t="str">
            <v>KEW</v>
          </cell>
          <cell r="Z1397" t="str">
            <v>16/08/2013</v>
          </cell>
          <cell r="AA1397" t="str">
            <v>15/08/2015</v>
          </cell>
          <cell r="AB1397" t="str">
            <v>No</v>
          </cell>
          <cell r="AC1397" t="str">
            <v>31/08/2013</v>
          </cell>
          <cell r="AD1397" t="str">
            <v>Good</v>
          </cell>
          <cell r="AE1397" t="str">
            <v>V1 - Existing / No Claim</v>
          </cell>
          <cell r="AF1397">
            <v>42235</v>
          </cell>
          <cell r="AG1397">
            <v>9.17</v>
          </cell>
          <cell r="AH1397" t="str">
            <v>PPM</v>
          </cell>
          <cell r="AI1397" t="str">
            <v>Strands</v>
          </cell>
          <cell r="AJ1397" t="str">
            <v>Strands PW</v>
          </cell>
        </row>
        <row r="1398">
          <cell r="A1398" t="str">
            <v>IKN401092</v>
          </cell>
          <cell r="B1398">
            <v>1090</v>
          </cell>
          <cell r="C1398" t="str">
            <v>Institut Kanser Negara</v>
          </cell>
          <cell r="D1398" t="str">
            <v>KKM/IKN/H/13/3928</v>
          </cell>
          <cell r="E1398" t="str">
            <v>12-282</v>
          </cell>
          <cell r="F1398" t="str">
            <v>Lights, Surgical</v>
          </cell>
          <cell r="G1398" t="str">
            <v>NM</v>
          </cell>
          <cell r="H1398" t="str">
            <v>NUCLEAR MED (DIAGNOSTIC)</v>
          </cell>
          <cell r="I1398" t="str">
            <v>03NM109</v>
          </cell>
          <cell r="J1398" t="str">
            <v>TREATMENT 2 (RAS) (-VE)</v>
          </cell>
          <cell r="K1398" t="str">
            <v>BMED</v>
          </cell>
          <cell r="L1398" t="str">
            <v>Normal</v>
          </cell>
          <cell r="M1398" t="str">
            <v>USA</v>
          </cell>
          <cell r="N1398" t="str">
            <v>Welch Allyn</v>
          </cell>
          <cell r="O1398" t="str">
            <v>Welch Allyn GS900</v>
          </cell>
          <cell r="P1398" t="str">
            <v>10032911105645</v>
          </cell>
          <cell r="Q1398" t="str">
            <v>Not Applicable</v>
          </cell>
          <cell r="R1398" t="str">
            <v>Welch Allyn Inc</v>
          </cell>
          <cell r="S1398" t="str">
            <v>Welch Allyn Malaysia Sdn Bhd</v>
          </cell>
          <cell r="T1398" t="str">
            <v>Functioning</v>
          </cell>
          <cell r="U1398" t="str">
            <v>Asset</v>
          </cell>
          <cell r="V1398">
            <v>10585</v>
          </cell>
          <cell r="W1398" t="str">
            <v>KEW</v>
          </cell>
          <cell r="X1398" t="str">
            <v>01/09/2010</v>
          </cell>
          <cell r="Y1398" t="str">
            <v>KEW</v>
          </cell>
          <cell r="Z1398" t="str">
            <v>16/08/2013</v>
          </cell>
          <cell r="AA1398" t="str">
            <v>15/08/2015</v>
          </cell>
          <cell r="AB1398" t="str">
            <v>No</v>
          </cell>
          <cell r="AC1398" t="str">
            <v>31/08/2013</v>
          </cell>
          <cell r="AD1398" t="str">
            <v>Good</v>
          </cell>
          <cell r="AE1398" t="str">
            <v>V1 - Existing / No Claim</v>
          </cell>
          <cell r="AF1398">
            <v>42235</v>
          </cell>
          <cell r="AG1398">
            <v>9.17</v>
          </cell>
          <cell r="AH1398" t="str">
            <v>PPM</v>
          </cell>
          <cell r="AI1398" t="str">
            <v>Strands</v>
          </cell>
          <cell r="AJ1398" t="str">
            <v>Strands PW</v>
          </cell>
        </row>
        <row r="1399">
          <cell r="A1399" t="str">
            <v>IKN401093</v>
          </cell>
          <cell r="B1399">
            <v>1091</v>
          </cell>
          <cell r="C1399" t="str">
            <v>Institut Kanser Negara</v>
          </cell>
          <cell r="D1399" t="str">
            <v>KKM/IKN/H/13/2854</v>
          </cell>
          <cell r="E1399" t="str">
            <v>12-282</v>
          </cell>
          <cell r="F1399" t="str">
            <v>Lights, Surgical</v>
          </cell>
          <cell r="G1399" t="str">
            <v>WA</v>
          </cell>
          <cell r="H1399" t="str">
            <v>NUCLEAR MED WARD (THERAPY)</v>
          </cell>
          <cell r="I1399" t="str">
            <v>03WA116</v>
          </cell>
          <cell r="J1399" t="str">
            <v>TREATMENT</v>
          </cell>
          <cell r="K1399" t="str">
            <v>BMED</v>
          </cell>
          <cell r="L1399" t="str">
            <v>Critical</v>
          </cell>
          <cell r="M1399" t="str">
            <v>USA</v>
          </cell>
          <cell r="N1399" t="str">
            <v>Welch Allyn</v>
          </cell>
          <cell r="O1399" t="str">
            <v>Welch Allyn GS900</v>
          </cell>
          <cell r="P1399" t="str">
            <v>10043811102570</v>
          </cell>
          <cell r="Q1399" t="str">
            <v>Not Applicable</v>
          </cell>
          <cell r="R1399" t="str">
            <v>Welch Allyn Inc</v>
          </cell>
          <cell r="S1399" t="str">
            <v>Welch Allyn Malaysia Sdn Bhd</v>
          </cell>
          <cell r="T1399" t="str">
            <v>Functioning</v>
          </cell>
          <cell r="U1399" t="str">
            <v>Asset</v>
          </cell>
          <cell r="V1399">
            <v>10585</v>
          </cell>
          <cell r="W1399" t="str">
            <v>KEW</v>
          </cell>
          <cell r="X1399" t="str">
            <v>01/09/2010</v>
          </cell>
          <cell r="Y1399" t="str">
            <v>KEW</v>
          </cell>
          <cell r="Z1399" t="str">
            <v>16/08/2013</v>
          </cell>
          <cell r="AA1399" t="str">
            <v>15/08/2015</v>
          </cell>
          <cell r="AB1399" t="str">
            <v>No</v>
          </cell>
          <cell r="AC1399" t="str">
            <v>31/08/2013</v>
          </cell>
          <cell r="AD1399" t="str">
            <v>Good</v>
          </cell>
          <cell r="AE1399" t="str">
            <v>V1 - Existing / No Claim</v>
          </cell>
          <cell r="AF1399">
            <v>42794</v>
          </cell>
          <cell r="AG1399">
            <v>9.17</v>
          </cell>
          <cell r="AH1399" t="str">
            <v>PPM</v>
          </cell>
          <cell r="AI1399" t="str">
            <v>Strands</v>
          </cell>
          <cell r="AJ1399" t="str">
            <v>Strands PW</v>
          </cell>
        </row>
        <row r="1400">
          <cell r="A1400" t="str">
            <v>IKN401094</v>
          </cell>
          <cell r="B1400">
            <v>1092</v>
          </cell>
          <cell r="C1400" t="str">
            <v>Institut Kanser Negara</v>
          </cell>
          <cell r="D1400" t="e">
            <v>#N/A</v>
          </cell>
          <cell r="E1400" t="str">
            <v>12-282</v>
          </cell>
          <cell r="F1400" t="str">
            <v>Lights, Surgical</v>
          </cell>
          <cell r="G1400" t="str">
            <v>OC</v>
          </cell>
          <cell r="H1400" t="str">
            <v>ONCOLOGY CLINIC</v>
          </cell>
          <cell r="I1400" t="str">
            <v>03OC135</v>
          </cell>
          <cell r="J1400" t="str">
            <v>TREATMENT 1</v>
          </cell>
          <cell r="K1400" t="str">
            <v>BMED</v>
          </cell>
          <cell r="L1400" t="str">
            <v>Normal</v>
          </cell>
          <cell r="M1400" t="str">
            <v>USA</v>
          </cell>
          <cell r="N1400" t="str">
            <v>Welch Allyn</v>
          </cell>
          <cell r="O1400" t="str">
            <v>Welch Allyn GS900</v>
          </cell>
          <cell r="P1400" t="str">
            <v>10032911105644</v>
          </cell>
          <cell r="Q1400" t="str">
            <v>Not Applicable</v>
          </cell>
          <cell r="R1400" t="str">
            <v>Welch Allyn Inc</v>
          </cell>
          <cell r="S1400" t="str">
            <v>Welch Allyn Malaysia Sdn Bhd</v>
          </cell>
          <cell r="T1400" t="str">
            <v>Functioning</v>
          </cell>
          <cell r="U1400" t="str">
            <v>Asset</v>
          </cell>
          <cell r="V1400">
            <v>10585</v>
          </cell>
          <cell r="W1400" t="str">
            <v>KEW</v>
          </cell>
          <cell r="X1400" t="str">
            <v>01/09/2010</v>
          </cell>
          <cell r="Y1400" t="str">
            <v>KEW</v>
          </cell>
          <cell r="Z1400" t="str">
            <v>16/08/2013</v>
          </cell>
          <cell r="AA1400" t="str">
            <v>15/08/2015</v>
          </cell>
          <cell r="AB1400" t="str">
            <v>No</v>
          </cell>
          <cell r="AC1400" t="str">
            <v>31/08/2013</v>
          </cell>
          <cell r="AD1400" t="str">
            <v>Good</v>
          </cell>
          <cell r="AE1400" t="str">
            <v>V1 - Existing / No Claim</v>
          </cell>
          <cell r="AF1400">
            <v>42235</v>
          </cell>
          <cell r="AG1400">
            <v>9.17</v>
          </cell>
          <cell r="AH1400" t="str">
            <v>PPM</v>
          </cell>
          <cell r="AI1400" t="str">
            <v>Not in contract</v>
          </cell>
          <cell r="AJ1400" t="e">
            <v>#REF!</v>
          </cell>
        </row>
        <row r="1401">
          <cell r="A1401" t="str">
            <v>IKN401095</v>
          </cell>
          <cell r="B1401">
            <v>1093</v>
          </cell>
          <cell r="C1401" t="str">
            <v>Institut Kanser Negara</v>
          </cell>
          <cell r="D1401" t="e">
            <v>#N/A</v>
          </cell>
          <cell r="E1401" t="str">
            <v>12-282</v>
          </cell>
          <cell r="F1401" t="str">
            <v>Lights, Surgical</v>
          </cell>
          <cell r="G1401" t="str">
            <v>OC</v>
          </cell>
          <cell r="H1401" t="str">
            <v>ONCOLOGY CLINIC</v>
          </cell>
          <cell r="I1401" t="str">
            <v>03OC136</v>
          </cell>
          <cell r="J1401" t="str">
            <v>TREATMENT 2</v>
          </cell>
          <cell r="K1401" t="str">
            <v>BMED</v>
          </cell>
          <cell r="L1401" t="str">
            <v>Normal</v>
          </cell>
          <cell r="M1401" t="str">
            <v>USA</v>
          </cell>
          <cell r="N1401" t="str">
            <v>Welch Allyn</v>
          </cell>
          <cell r="O1401" t="str">
            <v>Welch Allyn GS900</v>
          </cell>
          <cell r="P1401" t="str">
            <v>10033711107140</v>
          </cell>
          <cell r="Q1401" t="str">
            <v>Not Applicable</v>
          </cell>
          <cell r="R1401" t="str">
            <v>Welch Allyn Inc</v>
          </cell>
          <cell r="S1401" t="str">
            <v>Welch Allyn Malaysia Sdn Bhd</v>
          </cell>
          <cell r="T1401" t="str">
            <v>Functioning</v>
          </cell>
          <cell r="U1401" t="str">
            <v>Asset</v>
          </cell>
          <cell r="V1401">
            <v>10585</v>
          </cell>
          <cell r="W1401" t="str">
            <v>KEW</v>
          </cell>
          <cell r="X1401" t="str">
            <v>01/09/2010</v>
          </cell>
          <cell r="Y1401" t="str">
            <v>KEW</v>
          </cell>
          <cell r="Z1401" t="str">
            <v>16/08/2013</v>
          </cell>
          <cell r="AA1401" t="str">
            <v>15/08/2015</v>
          </cell>
          <cell r="AB1401" t="str">
            <v>No</v>
          </cell>
          <cell r="AC1401" t="str">
            <v>31/08/2013</v>
          </cell>
          <cell r="AD1401" t="str">
            <v>Good</v>
          </cell>
          <cell r="AE1401" t="str">
            <v>V1 - Existing / No Claim</v>
          </cell>
          <cell r="AF1401">
            <v>42235</v>
          </cell>
          <cell r="AG1401">
            <v>9.17</v>
          </cell>
          <cell r="AH1401" t="str">
            <v>PPM</v>
          </cell>
          <cell r="AI1401" t="str">
            <v>Not in contract</v>
          </cell>
          <cell r="AJ1401" t="e">
            <v>#REF!</v>
          </cell>
        </row>
        <row r="1402">
          <cell r="A1402" t="str">
            <v>IKN401096</v>
          </cell>
          <cell r="B1402">
            <v>1094</v>
          </cell>
          <cell r="C1402" t="str">
            <v>Institut Kanser Negara</v>
          </cell>
          <cell r="D1402" t="str">
            <v>KKM/IKN/H/13/4377</v>
          </cell>
          <cell r="E1402" t="str">
            <v>12-282</v>
          </cell>
          <cell r="F1402" t="str">
            <v>Lights, Surgical</v>
          </cell>
          <cell r="G1402" t="str">
            <v>IC</v>
          </cell>
          <cell r="H1402" t="str">
            <v>INTENSIVE CARE UNIT</v>
          </cell>
          <cell r="I1402" t="str">
            <v>05IC112</v>
          </cell>
          <cell r="J1402" t="str">
            <v>ICU RM 1</v>
          </cell>
          <cell r="K1402" t="str">
            <v>BMED</v>
          </cell>
          <cell r="L1402" t="str">
            <v>Normal</v>
          </cell>
          <cell r="M1402" t="str">
            <v>USA</v>
          </cell>
          <cell r="N1402" t="str">
            <v>Welch Allyn</v>
          </cell>
          <cell r="O1402" t="str">
            <v>Welch Allyn GS900</v>
          </cell>
          <cell r="P1402" t="str">
            <v>10043011102397</v>
          </cell>
          <cell r="Q1402" t="str">
            <v>Not Applicable</v>
          </cell>
          <cell r="R1402" t="str">
            <v>Welch Allyn Inc</v>
          </cell>
          <cell r="S1402" t="str">
            <v>Welch Allyn Malaysia Sdn Bhd</v>
          </cell>
          <cell r="T1402" t="str">
            <v>Functioning</v>
          </cell>
          <cell r="U1402" t="str">
            <v>Asset</v>
          </cell>
          <cell r="V1402">
            <v>10585</v>
          </cell>
          <cell r="W1402" t="str">
            <v>KEW</v>
          </cell>
          <cell r="X1402" t="str">
            <v>01/09/2010</v>
          </cell>
          <cell r="Y1402" t="str">
            <v>KEW</v>
          </cell>
          <cell r="Z1402" t="str">
            <v>16/08/2013</v>
          </cell>
          <cell r="AA1402" t="str">
            <v>15/08/2015</v>
          </cell>
          <cell r="AB1402" t="str">
            <v>No</v>
          </cell>
          <cell r="AC1402" t="str">
            <v>31/08/2013</v>
          </cell>
          <cell r="AD1402" t="str">
            <v>Good</v>
          </cell>
          <cell r="AE1402" t="str">
            <v>V1 - Existing / No Claim</v>
          </cell>
          <cell r="AF1402">
            <v>42235</v>
          </cell>
          <cell r="AG1402">
            <v>9.17</v>
          </cell>
          <cell r="AH1402" t="str">
            <v>PPM</v>
          </cell>
          <cell r="AI1402" t="str">
            <v>Strands</v>
          </cell>
          <cell r="AJ1402" t="str">
            <v>Strands PW</v>
          </cell>
        </row>
        <row r="1403">
          <cell r="A1403" t="str">
            <v>IKN401097</v>
          </cell>
          <cell r="B1403">
            <v>1095</v>
          </cell>
          <cell r="C1403" t="str">
            <v>Institut Kanser Negara</v>
          </cell>
          <cell r="D1403" t="str">
            <v>KKM/IKN/H/13/4370</v>
          </cell>
          <cell r="E1403" t="str">
            <v>12-282</v>
          </cell>
          <cell r="F1403" t="str">
            <v>Lights, Surgical</v>
          </cell>
          <cell r="G1403" t="str">
            <v>IC</v>
          </cell>
          <cell r="H1403" t="str">
            <v>INTENSIVE CARE UNIT</v>
          </cell>
          <cell r="I1403" t="str">
            <v>05IC114</v>
          </cell>
          <cell r="J1403" t="str">
            <v>ICU RM 3</v>
          </cell>
          <cell r="K1403" t="str">
            <v>BMED</v>
          </cell>
          <cell r="L1403" t="str">
            <v>Critical</v>
          </cell>
          <cell r="M1403" t="str">
            <v>USA</v>
          </cell>
          <cell r="N1403" t="str">
            <v>Welch Allyn</v>
          </cell>
          <cell r="O1403" t="str">
            <v>Welch Allyn GS900</v>
          </cell>
          <cell r="P1403" t="str">
            <v>10043811102563</v>
          </cell>
          <cell r="Q1403" t="str">
            <v>Not Applicable</v>
          </cell>
          <cell r="R1403" t="str">
            <v>Welch Allyn Inc</v>
          </cell>
          <cell r="S1403" t="str">
            <v>Welch Allyn Malaysia Sdn Bhd</v>
          </cell>
          <cell r="T1403" t="str">
            <v>Functioning</v>
          </cell>
          <cell r="U1403" t="str">
            <v>Asset</v>
          </cell>
          <cell r="V1403">
            <v>10585</v>
          </cell>
          <cell r="W1403" t="str">
            <v>KEW</v>
          </cell>
          <cell r="X1403" t="str">
            <v>01/09/2010</v>
          </cell>
          <cell r="Y1403" t="str">
            <v>KEW</v>
          </cell>
          <cell r="Z1403" t="str">
            <v>16/08/2013</v>
          </cell>
          <cell r="AA1403" t="str">
            <v>15/08/2015</v>
          </cell>
          <cell r="AB1403" t="str">
            <v>No</v>
          </cell>
          <cell r="AC1403" t="str">
            <v>31/08/2013</v>
          </cell>
          <cell r="AD1403" t="str">
            <v>Good</v>
          </cell>
          <cell r="AE1403" t="str">
            <v>V1 - Existing / No Claim</v>
          </cell>
          <cell r="AF1403">
            <v>42797</v>
          </cell>
          <cell r="AG1403">
            <v>9.17</v>
          </cell>
          <cell r="AH1403" t="str">
            <v>PPM</v>
          </cell>
          <cell r="AI1403" t="str">
            <v>Strands</v>
          </cell>
          <cell r="AJ1403" t="str">
            <v>Strands PW</v>
          </cell>
        </row>
        <row r="1404">
          <cell r="A1404" t="str">
            <v>IKN401098</v>
          </cell>
          <cell r="B1404">
            <v>1096</v>
          </cell>
          <cell r="C1404" t="str">
            <v>Institut Kanser Negara</v>
          </cell>
          <cell r="D1404" t="str">
            <v>KKM/IKN/H/13/4409</v>
          </cell>
          <cell r="E1404" t="str">
            <v>12-282</v>
          </cell>
          <cell r="F1404" t="str">
            <v>Lights, Surgical</v>
          </cell>
          <cell r="G1404" t="str">
            <v>IC</v>
          </cell>
          <cell r="H1404" t="str">
            <v>INTENSIVE CARE UNIT</v>
          </cell>
          <cell r="I1404" t="str">
            <v>05IC116</v>
          </cell>
          <cell r="J1404" t="str">
            <v>ISOL 2 (+VE)</v>
          </cell>
          <cell r="K1404" t="str">
            <v>BMED</v>
          </cell>
          <cell r="L1404" t="str">
            <v>Critical</v>
          </cell>
          <cell r="M1404" t="str">
            <v>USA</v>
          </cell>
          <cell r="N1404" t="str">
            <v>Welch Allyn</v>
          </cell>
          <cell r="O1404" t="str">
            <v>Welch Allyn GS900</v>
          </cell>
          <cell r="P1404" t="str">
            <v>10043011102396</v>
          </cell>
          <cell r="Q1404" t="str">
            <v>Not Applicable</v>
          </cell>
          <cell r="R1404" t="str">
            <v>Welch Allyn Inc</v>
          </cell>
          <cell r="S1404" t="str">
            <v>Welch Allyn Malaysia Sdn Bhd</v>
          </cell>
          <cell r="T1404" t="str">
            <v>Functioning</v>
          </cell>
          <cell r="U1404" t="str">
            <v>Asset</v>
          </cell>
          <cell r="V1404">
            <v>10585</v>
          </cell>
          <cell r="W1404" t="str">
            <v>KEW</v>
          </cell>
          <cell r="X1404" t="str">
            <v>01/09/2010</v>
          </cell>
          <cell r="Y1404" t="str">
            <v>KEW</v>
          </cell>
          <cell r="Z1404" t="str">
            <v>16/08/2013</v>
          </cell>
          <cell r="AA1404" t="str">
            <v>15/08/2015</v>
          </cell>
          <cell r="AB1404" t="str">
            <v>No</v>
          </cell>
          <cell r="AC1404" t="str">
            <v>31/08/2013</v>
          </cell>
          <cell r="AD1404" t="str">
            <v>Good</v>
          </cell>
          <cell r="AE1404" t="str">
            <v>V1 - Existing / No Claim</v>
          </cell>
          <cell r="AF1404">
            <v>42797</v>
          </cell>
          <cell r="AG1404">
            <v>9.17</v>
          </cell>
          <cell r="AH1404" t="str">
            <v>PPM</v>
          </cell>
          <cell r="AI1404" t="str">
            <v>Strands</v>
          </cell>
          <cell r="AJ1404" t="str">
            <v>Strands PW</v>
          </cell>
        </row>
        <row r="1405">
          <cell r="A1405" t="str">
            <v>IKN401099</v>
          </cell>
          <cell r="B1405">
            <v>1097</v>
          </cell>
          <cell r="C1405" t="str">
            <v>Institut Kanser Negara</v>
          </cell>
          <cell r="D1405" t="str">
            <v>KKM/IKN/H/13/4408</v>
          </cell>
          <cell r="E1405" t="str">
            <v>12-282</v>
          </cell>
          <cell r="F1405" t="str">
            <v>Lights, Surgical</v>
          </cell>
          <cell r="G1405" t="str">
            <v>IC</v>
          </cell>
          <cell r="H1405" t="str">
            <v>INTENSIVE CARE UNIT</v>
          </cell>
          <cell r="I1405" t="str">
            <v>05IC129</v>
          </cell>
          <cell r="J1405" t="str">
            <v>ISOL 4 (+VE)</v>
          </cell>
          <cell r="K1405" t="str">
            <v>BMED</v>
          </cell>
          <cell r="L1405" t="str">
            <v>Normal</v>
          </cell>
          <cell r="M1405" t="str">
            <v>USA</v>
          </cell>
          <cell r="N1405" t="str">
            <v>Welch Allyn</v>
          </cell>
          <cell r="O1405" t="str">
            <v>Welch Allyn GS900</v>
          </cell>
          <cell r="P1405" t="str">
            <v>10042511102167</v>
          </cell>
          <cell r="Q1405" t="str">
            <v>Not Applicable</v>
          </cell>
          <cell r="R1405" t="str">
            <v>Welch Allyn Inc</v>
          </cell>
          <cell r="S1405" t="str">
            <v>Welch Allyn Malaysia Sdn Bhd</v>
          </cell>
          <cell r="T1405" t="str">
            <v>Functioning</v>
          </cell>
          <cell r="U1405" t="str">
            <v>Asset</v>
          </cell>
          <cell r="V1405">
            <v>10585</v>
          </cell>
          <cell r="W1405" t="str">
            <v>KEW</v>
          </cell>
          <cell r="X1405" t="str">
            <v>01/09/2010</v>
          </cell>
          <cell r="Y1405" t="str">
            <v>KEW</v>
          </cell>
          <cell r="Z1405" t="str">
            <v>16/08/2013</v>
          </cell>
          <cell r="AA1405" t="str">
            <v>15/08/2015</v>
          </cell>
          <cell r="AB1405" t="str">
            <v>No</v>
          </cell>
          <cell r="AC1405" t="str">
            <v>31/08/2013</v>
          </cell>
          <cell r="AD1405" t="str">
            <v>Good</v>
          </cell>
          <cell r="AE1405" t="str">
            <v>V1 - Existing / No Claim</v>
          </cell>
          <cell r="AF1405">
            <v>42235</v>
          </cell>
          <cell r="AG1405">
            <v>9.17</v>
          </cell>
          <cell r="AH1405" t="str">
            <v>PPM</v>
          </cell>
          <cell r="AI1405" t="str">
            <v>Strands</v>
          </cell>
          <cell r="AJ1405" t="str">
            <v>Strands PW</v>
          </cell>
        </row>
        <row r="1406">
          <cell r="A1406" t="str">
            <v>IKN401100</v>
          </cell>
          <cell r="B1406">
            <v>1098</v>
          </cell>
          <cell r="C1406" t="str">
            <v>Institut Kanser Negara</v>
          </cell>
          <cell r="D1406" t="str">
            <v>KKM/IKN/H/13/4410</v>
          </cell>
          <cell r="E1406" t="str">
            <v>12-282</v>
          </cell>
          <cell r="F1406" t="str">
            <v>Lights, Surgical</v>
          </cell>
          <cell r="G1406" t="str">
            <v>IC</v>
          </cell>
          <cell r="H1406" t="str">
            <v>INTENSIVE CARE UNIT</v>
          </cell>
          <cell r="I1406" t="str">
            <v>05IC131</v>
          </cell>
          <cell r="J1406" t="str">
            <v>ISOL 3 (+VE)</v>
          </cell>
          <cell r="K1406" t="str">
            <v>BMED</v>
          </cell>
          <cell r="L1406" t="str">
            <v>Critical</v>
          </cell>
          <cell r="M1406" t="str">
            <v>USA</v>
          </cell>
          <cell r="N1406" t="str">
            <v>Welch Allyn</v>
          </cell>
          <cell r="O1406" t="str">
            <v>Welch Allyn GS900</v>
          </cell>
          <cell r="P1406" t="str">
            <v>10043811102567</v>
          </cell>
          <cell r="Q1406" t="str">
            <v>Not Applicable</v>
          </cell>
          <cell r="R1406" t="str">
            <v>Welch Allyn Inc</v>
          </cell>
          <cell r="S1406" t="str">
            <v>Welch Allyn Malaysia Sdn Bhd</v>
          </cell>
          <cell r="T1406" t="str">
            <v>Functioning</v>
          </cell>
          <cell r="U1406" t="str">
            <v>Asset</v>
          </cell>
          <cell r="V1406">
            <v>10585</v>
          </cell>
          <cell r="W1406" t="str">
            <v>KEW</v>
          </cell>
          <cell r="X1406" t="str">
            <v>01/09/2010</v>
          </cell>
          <cell r="Y1406" t="str">
            <v>KEW</v>
          </cell>
          <cell r="Z1406" t="str">
            <v>16/08/2013</v>
          </cell>
          <cell r="AA1406" t="str">
            <v>15/08/2015</v>
          </cell>
          <cell r="AB1406" t="str">
            <v>No</v>
          </cell>
          <cell r="AC1406" t="str">
            <v>31/08/2013</v>
          </cell>
          <cell r="AD1406" t="str">
            <v>Good</v>
          </cell>
          <cell r="AE1406" t="str">
            <v>V1 - Existing / No Claim</v>
          </cell>
          <cell r="AF1406">
            <v>42797</v>
          </cell>
          <cell r="AG1406">
            <v>9.17</v>
          </cell>
          <cell r="AH1406" t="str">
            <v>PPM</v>
          </cell>
          <cell r="AI1406" t="str">
            <v>Strands</v>
          </cell>
          <cell r="AJ1406" t="str">
            <v>Strands PW</v>
          </cell>
        </row>
        <row r="1407">
          <cell r="A1407" t="str">
            <v>IKN401101</v>
          </cell>
          <cell r="B1407">
            <v>1099</v>
          </cell>
          <cell r="C1407" t="str">
            <v>Institut Kanser Negara</v>
          </cell>
          <cell r="D1407" t="str">
            <v>KKM/IKN/H/13/4779</v>
          </cell>
          <cell r="E1407" t="str">
            <v>12-282</v>
          </cell>
          <cell r="F1407" t="str">
            <v>Lights, Surgical</v>
          </cell>
          <cell r="G1407" t="str">
            <v>WB</v>
          </cell>
          <cell r="H1407" t="str">
            <v>SURGICAL ONCO MALE WARD</v>
          </cell>
          <cell r="I1407" t="str">
            <v>05WB107</v>
          </cell>
          <cell r="J1407" t="str">
            <v>TREATMENT / PROCEDURE</v>
          </cell>
          <cell r="K1407" t="str">
            <v>BMED</v>
          </cell>
          <cell r="L1407" t="str">
            <v>Normal</v>
          </cell>
          <cell r="M1407" t="str">
            <v>USA</v>
          </cell>
          <cell r="N1407" t="str">
            <v>Welch Allyn</v>
          </cell>
          <cell r="O1407" t="str">
            <v>Welch Allyn GS900</v>
          </cell>
          <cell r="P1407" t="str">
            <v>10043011102369</v>
          </cell>
          <cell r="Q1407" t="str">
            <v>Not Applicable</v>
          </cell>
          <cell r="R1407" t="str">
            <v>Welch Allyn Inc</v>
          </cell>
          <cell r="S1407" t="str">
            <v>Welch Allyn Malaysia Sdn Bhd</v>
          </cell>
          <cell r="T1407" t="str">
            <v>Functioning</v>
          </cell>
          <cell r="U1407" t="str">
            <v>Asset</v>
          </cell>
          <cell r="V1407">
            <v>10585</v>
          </cell>
          <cell r="W1407" t="str">
            <v>KEW</v>
          </cell>
          <cell r="X1407" t="str">
            <v>01/09/2010</v>
          </cell>
          <cell r="Y1407" t="str">
            <v>KEW</v>
          </cell>
          <cell r="Z1407" t="str">
            <v>16/08/2013</v>
          </cell>
          <cell r="AA1407" t="str">
            <v>15/08/2015</v>
          </cell>
          <cell r="AB1407" t="str">
            <v>No</v>
          </cell>
          <cell r="AC1407" t="str">
            <v>31/08/2013</v>
          </cell>
          <cell r="AD1407" t="str">
            <v>Good</v>
          </cell>
          <cell r="AE1407" t="str">
            <v>V1 - Existing / No Claim</v>
          </cell>
          <cell r="AF1407">
            <v>42235</v>
          </cell>
          <cell r="AG1407">
            <v>9.17</v>
          </cell>
          <cell r="AH1407" t="str">
            <v>PPM</v>
          </cell>
          <cell r="AI1407" t="str">
            <v>Strands</v>
          </cell>
          <cell r="AJ1407" t="str">
            <v>Strands PW</v>
          </cell>
        </row>
        <row r="1408">
          <cell r="A1408" t="str">
            <v>IKN401102</v>
          </cell>
          <cell r="B1408">
            <v>1100</v>
          </cell>
          <cell r="C1408" t="str">
            <v>Institut Kanser Negara</v>
          </cell>
          <cell r="D1408" t="str">
            <v>KKM/IKN/H/13/5478</v>
          </cell>
          <cell r="E1408" t="str">
            <v>12-282</v>
          </cell>
          <cell r="F1408" t="str">
            <v>Lights, Surgical</v>
          </cell>
          <cell r="G1408" t="str">
            <v>WC</v>
          </cell>
          <cell r="H1408" t="str">
            <v>SURGICAL ONCO FEMALE WARD</v>
          </cell>
          <cell r="I1408" t="str">
            <v>06WC107</v>
          </cell>
          <cell r="J1408" t="str">
            <v>TREATMENT / PROCEDURE</v>
          </cell>
          <cell r="K1408" t="str">
            <v>BMED</v>
          </cell>
          <cell r="L1408" t="str">
            <v>Normal</v>
          </cell>
          <cell r="M1408" t="str">
            <v>USA</v>
          </cell>
          <cell r="N1408" t="str">
            <v>Welch Allyn</v>
          </cell>
          <cell r="O1408" t="str">
            <v>Welch Allyn GS900</v>
          </cell>
          <cell r="P1408" t="str">
            <v>10033711107106</v>
          </cell>
          <cell r="Q1408" t="str">
            <v>Not Applicable</v>
          </cell>
          <cell r="R1408" t="str">
            <v>Welch Allyn Inc</v>
          </cell>
          <cell r="S1408" t="str">
            <v>Welch Allyn Malaysia Sdn Bhd</v>
          </cell>
          <cell r="T1408" t="str">
            <v>Functioning</v>
          </cell>
          <cell r="U1408" t="str">
            <v>Asset</v>
          </cell>
          <cell r="V1408">
            <v>10585</v>
          </cell>
          <cell r="W1408" t="str">
            <v>KEW</v>
          </cell>
          <cell r="X1408" t="str">
            <v>01/09/2010</v>
          </cell>
          <cell r="Y1408" t="str">
            <v>KEW</v>
          </cell>
          <cell r="Z1408" t="str">
            <v>16/08/2013</v>
          </cell>
          <cell r="AA1408" t="str">
            <v>15/08/2015</v>
          </cell>
          <cell r="AB1408" t="str">
            <v>No</v>
          </cell>
          <cell r="AC1408" t="str">
            <v>31/08/2013</v>
          </cell>
          <cell r="AD1408" t="str">
            <v>Good</v>
          </cell>
          <cell r="AE1408" t="str">
            <v>V1 - Existing / No Claim</v>
          </cell>
          <cell r="AF1408">
            <v>42235</v>
          </cell>
          <cell r="AG1408">
            <v>9.17</v>
          </cell>
          <cell r="AH1408" t="str">
            <v>PPM</v>
          </cell>
          <cell r="AI1408" t="str">
            <v>Not in contract</v>
          </cell>
          <cell r="AJ1408" t="e">
            <v>#REF!</v>
          </cell>
        </row>
        <row r="1409">
          <cell r="A1409" t="str">
            <v>IKN401103</v>
          </cell>
          <cell r="B1409">
            <v>1101</v>
          </cell>
          <cell r="C1409" t="str">
            <v>Institut Kanser Negara</v>
          </cell>
          <cell r="E1409" t="str">
            <v>12-282</v>
          </cell>
          <cell r="F1409" t="str">
            <v>Lights, Surgical</v>
          </cell>
          <cell r="G1409" t="str">
            <v>WD</v>
          </cell>
          <cell r="H1409" t="str">
            <v>RT/ONCO PAED/ADOLESCENT WARD</v>
          </cell>
          <cell r="I1409" t="str">
            <v>06WD124</v>
          </cell>
          <cell r="J1409" t="str">
            <v>TREATMENT / PROCEDURE</v>
          </cell>
          <cell r="K1409" t="str">
            <v>BMED</v>
          </cell>
          <cell r="L1409" t="str">
            <v>Normal</v>
          </cell>
          <cell r="M1409" t="str">
            <v>USA</v>
          </cell>
          <cell r="N1409" t="str">
            <v>Welch Allyn</v>
          </cell>
          <cell r="O1409" t="str">
            <v>Welch Allyn GS900</v>
          </cell>
          <cell r="P1409" t="str">
            <v>10032911105638</v>
          </cell>
          <cell r="Q1409" t="str">
            <v>Not Applicable</v>
          </cell>
          <cell r="R1409" t="str">
            <v>Welch Allyn Inc</v>
          </cell>
          <cell r="S1409" t="str">
            <v>Welch Allyn Malaysia Sdn Bhd</v>
          </cell>
          <cell r="T1409" t="str">
            <v>Functioning</v>
          </cell>
          <cell r="U1409" t="str">
            <v>Asset</v>
          </cell>
          <cell r="V1409">
            <v>10585</v>
          </cell>
          <cell r="W1409" t="str">
            <v>KEW</v>
          </cell>
          <cell r="X1409" t="str">
            <v>01/09/2010</v>
          </cell>
          <cell r="Y1409" t="str">
            <v>KEW</v>
          </cell>
          <cell r="Z1409" t="str">
            <v>16/08/2013</v>
          </cell>
          <cell r="AA1409" t="str">
            <v>15/08/2015</v>
          </cell>
          <cell r="AB1409" t="str">
            <v>No</v>
          </cell>
          <cell r="AC1409" t="str">
            <v>31/08/2013</v>
          </cell>
          <cell r="AD1409" t="str">
            <v>Good</v>
          </cell>
          <cell r="AE1409" t="str">
            <v>V1 - Existing / No Claim</v>
          </cell>
          <cell r="AF1409">
            <v>42235</v>
          </cell>
          <cell r="AG1409">
            <v>9.17</v>
          </cell>
          <cell r="AH1409" t="str">
            <v>PPM</v>
          </cell>
          <cell r="AI1409" t="str">
            <v>Not in contract</v>
          </cell>
          <cell r="AJ1409" t="e">
            <v>#REF!</v>
          </cell>
        </row>
        <row r="1410">
          <cell r="A1410" t="str">
            <v>IKN401105</v>
          </cell>
          <cell r="B1410">
            <v>1103</v>
          </cell>
          <cell r="C1410" t="str">
            <v>Institut Kanser Negara</v>
          </cell>
          <cell r="D1410" t="str">
            <v>KKM/IKN/H/13/3978</v>
          </cell>
          <cell r="E1410" t="str">
            <v>12-282</v>
          </cell>
          <cell r="F1410" t="str">
            <v>Lights, Surgical</v>
          </cell>
          <cell r="G1410" t="str">
            <v>WF</v>
          </cell>
          <cell r="H1410" t="str">
            <v>RT/ONCO WARD 2 (F)</v>
          </cell>
          <cell r="I1410" t="str">
            <v>07WF107</v>
          </cell>
          <cell r="J1410" t="str">
            <v>TREATMENT / PROCEDDURE</v>
          </cell>
          <cell r="K1410" t="str">
            <v>BMED</v>
          </cell>
          <cell r="L1410" t="str">
            <v>Normal</v>
          </cell>
          <cell r="M1410" t="str">
            <v>USA</v>
          </cell>
          <cell r="N1410" t="str">
            <v>Welch Allyn</v>
          </cell>
          <cell r="O1410" t="str">
            <v>Welch Allyn GS900</v>
          </cell>
          <cell r="P1410" t="str">
            <v>10033011105774</v>
          </cell>
          <cell r="Q1410" t="str">
            <v>Not Applicable</v>
          </cell>
          <cell r="R1410" t="str">
            <v>Welch Allyn Inc</v>
          </cell>
          <cell r="S1410" t="str">
            <v>Welch Allyn Malaysia Sdn Bhd</v>
          </cell>
          <cell r="T1410" t="str">
            <v>Functioning</v>
          </cell>
          <cell r="U1410" t="str">
            <v>Asset</v>
          </cell>
          <cell r="V1410">
            <v>10585</v>
          </cell>
          <cell r="W1410" t="str">
            <v>KEW</v>
          </cell>
          <cell r="X1410" t="str">
            <v>01/09/2010</v>
          </cell>
          <cell r="Y1410" t="str">
            <v>KEW</v>
          </cell>
          <cell r="Z1410" t="str">
            <v>16/08/2013</v>
          </cell>
          <cell r="AA1410" t="str">
            <v>15/08/2015</v>
          </cell>
          <cell r="AB1410" t="str">
            <v>No</v>
          </cell>
          <cell r="AC1410" t="str">
            <v>31/08/2013</v>
          </cell>
          <cell r="AD1410" t="str">
            <v>Good</v>
          </cell>
          <cell r="AE1410" t="str">
            <v>V1 - Existing / No Claim</v>
          </cell>
          <cell r="AF1410">
            <v>42235</v>
          </cell>
          <cell r="AG1410">
            <v>9.17</v>
          </cell>
          <cell r="AH1410" t="str">
            <v>PPM</v>
          </cell>
          <cell r="AI1410" t="str">
            <v>Strands</v>
          </cell>
          <cell r="AJ1410" t="str">
            <v>Strands PW</v>
          </cell>
        </row>
        <row r="1411">
          <cell r="A1411" t="str">
            <v>IKN401106</v>
          </cell>
          <cell r="B1411">
            <v>1104</v>
          </cell>
          <cell r="C1411" t="str">
            <v>Institut Kanser Negara</v>
          </cell>
          <cell r="D1411" t="e">
            <v>#N/A</v>
          </cell>
          <cell r="E1411" t="str">
            <v>12-282</v>
          </cell>
          <cell r="F1411" t="str">
            <v>Lights, Surgical</v>
          </cell>
          <cell r="G1411" t="str">
            <v>WG</v>
          </cell>
          <cell r="H1411" t="str">
            <v>RT/ONCO WARD 1 (M)</v>
          </cell>
          <cell r="I1411" t="str">
            <v>08WG107</v>
          </cell>
          <cell r="J1411" t="str">
            <v>TREATMENT / PROCEDURE</v>
          </cell>
          <cell r="K1411" t="str">
            <v>BMED</v>
          </cell>
          <cell r="L1411" t="str">
            <v>Normal</v>
          </cell>
          <cell r="M1411" t="str">
            <v>USA</v>
          </cell>
          <cell r="N1411" t="str">
            <v>Welch Allyn</v>
          </cell>
          <cell r="O1411" t="str">
            <v>Welch Allyn GS900</v>
          </cell>
          <cell r="P1411" t="str">
            <v>10032911105655</v>
          </cell>
          <cell r="Q1411" t="str">
            <v>Not Applicable</v>
          </cell>
          <cell r="R1411" t="str">
            <v>Welch Allyn Inc</v>
          </cell>
          <cell r="S1411" t="str">
            <v>Welch Allyn Malaysia Sdn Bhd</v>
          </cell>
          <cell r="T1411" t="str">
            <v>Functioning</v>
          </cell>
          <cell r="U1411" t="str">
            <v>Asset</v>
          </cell>
          <cell r="V1411">
            <v>10585</v>
          </cell>
          <cell r="W1411" t="str">
            <v>KEW</v>
          </cell>
          <cell r="X1411" t="str">
            <v>01/09/2010</v>
          </cell>
          <cell r="Y1411" t="str">
            <v>KEW</v>
          </cell>
          <cell r="Z1411" t="str">
            <v>16/08/2013</v>
          </cell>
          <cell r="AA1411" t="str">
            <v>15/08/2015</v>
          </cell>
          <cell r="AB1411" t="str">
            <v>No</v>
          </cell>
          <cell r="AC1411" t="str">
            <v>31/08/2013</v>
          </cell>
          <cell r="AD1411" t="str">
            <v>Good</v>
          </cell>
          <cell r="AE1411" t="str">
            <v>V1 - Existing / No Claim</v>
          </cell>
          <cell r="AF1411">
            <v>42235</v>
          </cell>
          <cell r="AG1411">
            <v>9.17</v>
          </cell>
          <cell r="AH1411" t="str">
            <v>PPM</v>
          </cell>
          <cell r="AI1411" t="str">
            <v>Not in contract</v>
          </cell>
          <cell r="AJ1411" t="e">
            <v>#REF!</v>
          </cell>
        </row>
        <row r="1412">
          <cell r="A1412" t="str">
            <v>IKN401107</v>
          </cell>
          <cell r="B1412">
            <v>1105</v>
          </cell>
          <cell r="C1412" t="str">
            <v>Institut Kanser Negara</v>
          </cell>
          <cell r="D1412" t="str">
            <v>KKM/IKN/H/13/4964</v>
          </cell>
          <cell r="E1412" t="str">
            <v>12-282</v>
          </cell>
          <cell r="F1412" t="str">
            <v>Lights, Surgical</v>
          </cell>
          <cell r="G1412" t="str">
            <v>WH</v>
          </cell>
          <cell r="H1412" t="str">
            <v>RT/ONCO WARD 2 (M)</v>
          </cell>
          <cell r="I1412" t="str">
            <v>08WH107</v>
          </cell>
          <cell r="J1412" t="str">
            <v>TREATMENT / PROCEDURE</v>
          </cell>
          <cell r="K1412" t="str">
            <v>BMED</v>
          </cell>
          <cell r="L1412" t="str">
            <v>Critical</v>
          </cell>
          <cell r="M1412" t="str">
            <v>USA</v>
          </cell>
          <cell r="N1412" t="str">
            <v>Welch Allyn</v>
          </cell>
          <cell r="O1412" t="str">
            <v>Welch Allyn GS900</v>
          </cell>
          <cell r="P1412" t="str">
            <v>10033711107103</v>
          </cell>
          <cell r="Q1412" t="str">
            <v>Not Applicable</v>
          </cell>
          <cell r="R1412" t="str">
            <v>Welch Allyn Inc</v>
          </cell>
          <cell r="S1412" t="str">
            <v>Welch Allyn Malaysia Sdn Bhd</v>
          </cell>
          <cell r="T1412" t="str">
            <v>Functioning</v>
          </cell>
          <cell r="U1412" t="str">
            <v>Asset</v>
          </cell>
          <cell r="V1412">
            <v>10585</v>
          </cell>
          <cell r="W1412" t="str">
            <v>KEW</v>
          </cell>
          <cell r="X1412" t="str">
            <v>01/09/2010</v>
          </cell>
          <cell r="Y1412" t="str">
            <v>KEW</v>
          </cell>
          <cell r="Z1412" t="str">
            <v>16/08/2013</v>
          </cell>
          <cell r="AA1412" t="str">
            <v>15/08/2015</v>
          </cell>
          <cell r="AB1412" t="str">
            <v>No</v>
          </cell>
          <cell r="AC1412" t="str">
            <v>31/08/2013</v>
          </cell>
          <cell r="AD1412" t="str">
            <v>Good</v>
          </cell>
          <cell r="AE1412" t="str">
            <v>V1 - Existing / No Claim</v>
          </cell>
          <cell r="AF1412">
            <v>42787</v>
          </cell>
          <cell r="AG1412">
            <v>9.17</v>
          </cell>
          <cell r="AH1412" t="str">
            <v>PPM</v>
          </cell>
          <cell r="AI1412" t="str">
            <v>Strands</v>
          </cell>
          <cell r="AJ1412" t="str">
            <v>Strands PW</v>
          </cell>
        </row>
        <row r="1413">
          <cell r="A1413" t="str">
            <v>IKN401108</v>
          </cell>
          <cell r="B1413">
            <v>1106</v>
          </cell>
          <cell r="C1413" t="str">
            <v>Institut Kanser Negara</v>
          </cell>
          <cell r="D1413" t="e">
            <v>#N/A</v>
          </cell>
          <cell r="E1413" t="str">
            <v>12-282</v>
          </cell>
          <cell r="F1413" t="str">
            <v>Lights, Surgical</v>
          </cell>
          <cell r="G1413" t="str">
            <v>WJ</v>
          </cell>
          <cell r="H1413" t="str">
            <v>MULTIDISCIPLINE WARD 1</v>
          </cell>
          <cell r="I1413" t="str">
            <v>09WJ126</v>
          </cell>
          <cell r="J1413" t="str">
            <v>EQUIPT. ROOM</v>
          </cell>
          <cell r="K1413" t="str">
            <v>BMED</v>
          </cell>
          <cell r="L1413" t="str">
            <v>Critical</v>
          </cell>
          <cell r="M1413" t="str">
            <v>USA</v>
          </cell>
          <cell r="N1413" t="str">
            <v>Welch Allyn</v>
          </cell>
          <cell r="O1413" t="str">
            <v>Welch Allyn GS900</v>
          </cell>
          <cell r="P1413" t="str">
            <v>10034711108182</v>
          </cell>
          <cell r="Q1413" t="str">
            <v>Not Applicable</v>
          </cell>
          <cell r="R1413" t="str">
            <v>Welch Allyn Inc</v>
          </cell>
          <cell r="S1413" t="str">
            <v>Welch Allyn Malaysia Sdn Bhd</v>
          </cell>
          <cell r="T1413" t="str">
            <v>Functioning</v>
          </cell>
          <cell r="U1413" t="str">
            <v>Asset</v>
          </cell>
          <cell r="V1413">
            <v>10585</v>
          </cell>
          <cell r="W1413" t="str">
            <v>KEW</v>
          </cell>
          <cell r="X1413" t="str">
            <v>01/09/2010</v>
          </cell>
          <cell r="Y1413" t="str">
            <v>KEW</v>
          </cell>
          <cell r="Z1413" t="str">
            <v>16/08/2013</v>
          </cell>
          <cell r="AA1413" t="str">
            <v>15/08/2015</v>
          </cell>
          <cell r="AB1413" t="str">
            <v>No</v>
          </cell>
          <cell r="AC1413" t="str">
            <v>31/08/2013</v>
          </cell>
          <cell r="AD1413" t="str">
            <v>Good</v>
          </cell>
          <cell r="AE1413" t="str">
            <v>V1 - Existing / No Claim</v>
          </cell>
          <cell r="AF1413">
            <v>43063</v>
          </cell>
          <cell r="AG1413">
            <v>9.17</v>
          </cell>
          <cell r="AH1413" t="str">
            <v>PPM</v>
          </cell>
          <cell r="AI1413" t="str">
            <v>Propose P1.24</v>
          </cell>
        </row>
        <row r="1414">
          <cell r="A1414" t="str">
            <v>IKN401109</v>
          </cell>
          <cell r="B1414">
            <v>1107</v>
          </cell>
          <cell r="C1414" t="str">
            <v>Institut Kanser Negara</v>
          </cell>
          <cell r="D1414" t="e">
            <v>#N/A</v>
          </cell>
          <cell r="E1414" t="str">
            <v>12-282</v>
          </cell>
          <cell r="F1414" t="str">
            <v>Lights, Surgical</v>
          </cell>
          <cell r="G1414" t="str">
            <v>WJ</v>
          </cell>
          <cell r="H1414" t="str">
            <v>MULTIDISCIPLINE WARD 1</v>
          </cell>
          <cell r="I1414" t="str">
            <v>09WJ130</v>
          </cell>
          <cell r="J1414" t="str">
            <v>TREATMENT/ PROCEDURE</v>
          </cell>
          <cell r="K1414" t="str">
            <v>BMED</v>
          </cell>
          <cell r="L1414" t="str">
            <v>Normal</v>
          </cell>
          <cell r="M1414" t="str">
            <v>USA</v>
          </cell>
          <cell r="N1414" t="str">
            <v>Welch Allyn</v>
          </cell>
          <cell r="O1414" t="str">
            <v>Welch Allyn GS900</v>
          </cell>
          <cell r="P1414" t="str">
            <v>10033011105770</v>
          </cell>
          <cell r="Q1414" t="str">
            <v>Not Applicable</v>
          </cell>
          <cell r="R1414" t="str">
            <v>Welch Allyn Inc</v>
          </cell>
          <cell r="S1414" t="str">
            <v>Welch Allyn Malaysia Sdn Bhd</v>
          </cell>
          <cell r="T1414" t="str">
            <v>Functioning</v>
          </cell>
          <cell r="U1414" t="str">
            <v>Asset</v>
          </cell>
          <cell r="V1414">
            <v>10585</v>
          </cell>
          <cell r="W1414" t="str">
            <v>KEW</v>
          </cell>
          <cell r="X1414" t="str">
            <v>01/09/2010</v>
          </cell>
          <cell r="Y1414" t="str">
            <v>KEW</v>
          </cell>
          <cell r="Z1414" t="str">
            <v>16/08/2013</v>
          </cell>
          <cell r="AA1414" t="str">
            <v>15/08/2015</v>
          </cell>
          <cell r="AB1414" t="str">
            <v>No</v>
          </cell>
          <cell r="AC1414" t="str">
            <v>31/08/2013</v>
          </cell>
          <cell r="AD1414" t="str">
            <v>Good</v>
          </cell>
          <cell r="AE1414" t="str">
            <v>V1 - Existing / No Claim</v>
          </cell>
          <cell r="AF1414">
            <v>42235</v>
          </cell>
          <cell r="AG1414">
            <v>9.17</v>
          </cell>
          <cell r="AH1414" t="str">
            <v>PPM</v>
          </cell>
          <cell r="AI1414" t="str">
            <v>Propose P1.24</v>
          </cell>
        </row>
        <row r="1415">
          <cell r="A1415" t="str">
            <v>IKN401110</v>
          </cell>
          <cell r="B1415">
            <v>1108</v>
          </cell>
          <cell r="C1415" t="str">
            <v>Institut Kanser Negara</v>
          </cell>
          <cell r="E1415" t="str">
            <v>12-282</v>
          </cell>
          <cell r="F1415" t="str">
            <v>Lights, Surgical</v>
          </cell>
          <cell r="G1415" t="str">
            <v>MT</v>
          </cell>
          <cell r="H1415" t="str">
            <v>MORTUARY</v>
          </cell>
          <cell r="I1415" t="str">
            <v>01MT132</v>
          </cell>
          <cell r="J1415" t="str">
            <v>POST-MORTEM</v>
          </cell>
          <cell r="K1415" t="str">
            <v>BMED</v>
          </cell>
          <cell r="L1415" t="str">
            <v>Normal</v>
          </cell>
          <cell r="M1415" t="str">
            <v>USA</v>
          </cell>
          <cell r="N1415" t="str">
            <v>Welch Allyn</v>
          </cell>
          <cell r="O1415" t="str">
            <v>Welch Allyn GS900</v>
          </cell>
          <cell r="P1415" t="str">
            <v>10033711107134</v>
          </cell>
          <cell r="Q1415" t="str">
            <v>Not Applicable</v>
          </cell>
          <cell r="R1415" t="str">
            <v>Welch Allyn Inc</v>
          </cell>
          <cell r="S1415" t="str">
            <v>Welch Allyn Malaysia Sdn Bhd</v>
          </cell>
          <cell r="T1415" t="str">
            <v>Functioning</v>
          </cell>
          <cell r="U1415" t="str">
            <v>Asset</v>
          </cell>
          <cell r="V1415">
            <v>10585</v>
          </cell>
          <cell r="W1415" t="str">
            <v>KEW</v>
          </cell>
          <cell r="X1415" t="str">
            <v>01/09/2010</v>
          </cell>
          <cell r="Y1415" t="str">
            <v>KEW</v>
          </cell>
          <cell r="Z1415" t="str">
            <v>16/08/2013</v>
          </cell>
          <cell r="AA1415" t="str">
            <v>15/08/2015</v>
          </cell>
          <cell r="AB1415" t="str">
            <v>No</v>
          </cell>
          <cell r="AC1415" t="str">
            <v>31/08/2013</v>
          </cell>
          <cell r="AD1415" t="str">
            <v>Good</v>
          </cell>
          <cell r="AE1415" t="str">
            <v>V1 - Existing / No Claim</v>
          </cell>
          <cell r="AF1415">
            <v>42235</v>
          </cell>
          <cell r="AG1415">
            <v>9.17</v>
          </cell>
          <cell r="AH1415" t="str">
            <v>PPM</v>
          </cell>
          <cell r="AI1415" t="str">
            <v>Not in contract</v>
          </cell>
        </row>
        <row r="1416">
          <cell r="A1416" t="str">
            <v>IKN401111</v>
          </cell>
          <cell r="B1416">
            <v>1109</v>
          </cell>
          <cell r="C1416" t="str">
            <v>Institut Kanser Negara</v>
          </cell>
          <cell r="D1416" t="str">
            <v>KKM/IKN/H/13/4406</v>
          </cell>
          <cell r="E1416" t="str">
            <v>12-282</v>
          </cell>
          <cell r="F1416" t="str">
            <v>Lights, Surgical</v>
          </cell>
          <cell r="G1416" t="str">
            <v>IC</v>
          </cell>
          <cell r="H1416" t="str">
            <v>INTENSIVE CARE UNIT</v>
          </cell>
          <cell r="I1416" t="str">
            <v>05IC113</v>
          </cell>
          <cell r="J1416" t="str">
            <v>ICU RM 2</v>
          </cell>
          <cell r="K1416" t="str">
            <v>BMED</v>
          </cell>
          <cell r="L1416" t="str">
            <v>Critical</v>
          </cell>
          <cell r="M1416" t="str">
            <v>USA</v>
          </cell>
          <cell r="N1416" t="str">
            <v>Welch Allyn</v>
          </cell>
          <cell r="O1416" t="str">
            <v>Welch Allyn GS900</v>
          </cell>
          <cell r="P1416" t="str">
            <v>10043011102356</v>
          </cell>
          <cell r="Q1416" t="str">
            <v>Not Applicable</v>
          </cell>
          <cell r="R1416" t="str">
            <v>Welch Allyn Inc</v>
          </cell>
          <cell r="S1416" t="str">
            <v>Welch Allyn Malaysia Sdn Bhd</v>
          </cell>
          <cell r="T1416" t="str">
            <v>Functioning</v>
          </cell>
          <cell r="U1416" t="str">
            <v>Asset</v>
          </cell>
          <cell r="V1416">
            <v>10585</v>
          </cell>
          <cell r="W1416" t="str">
            <v>KEW</v>
          </cell>
          <cell r="X1416" t="str">
            <v>01/09/2010</v>
          </cell>
          <cell r="Y1416" t="str">
            <v>KEW</v>
          </cell>
          <cell r="Z1416" t="str">
            <v>16/08/2013</v>
          </cell>
          <cell r="AA1416" t="str">
            <v>15/08/2015</v>
          </cell>
          <cell r="AB1416" t="str">
            <v>No</v>
          </cell>
          <cell r="AC1416" t="str">
            <v>31/08/2013</v>
          </cell>
          <cell r="AD1416" t="str">
            <v>Good</v>
          </cell>
          <cell r="AE1416" t="str">
            <v>V1 - Existing / No Claim</v>
          </cell>
          <cell r="AF1416">
            <v>42797</v>
          </cell>
          <cell r="AG1416">
            <v>9.17</v>
          </cell>
          <cell r="AH1416" t="str">
            <v>PPM</v>
          </cell>
          <cell r="AI1416" t="str">
            <v>Strands</v>
          </cell>
          <cell r="AJ1416" t="str">
            <v>Strands PW</v>
          </cell>
        </row>
        <row r="1417">
          <cell r="A1417" t="str">
            <v>IKN401112</v>
          </cell>
          <cell r="B1417">
            <v>1110</v>
          </cell>
          <cell r="C1417" t="str">
            <v>Institut Kanser Negara</v>
          </cell>
          <cell r="D1417" t="str">
            <v>KKM/IKN/H/13/4364</v>
          </cell>
          <cell r="E1417" t="str">
            <v>12-282</v>
          </cell>
          <cell r="F1417" t="str">
            <v>Lights, Surgical</v>
          </cell>
          <cell r="G1417" t="str">
            <v>IC</v>
          </cell>
          <cell r="H1417" t="str">
            <v>INTENSIVE CARE UNIT</v>
          </cell>
          <cell r="I1417" t="str">
            <v>05IC111</v>
          </cell>
          <cell r="J1417" t="str">
            <v>ISOL 1(-VE)</v>
          </cell>
          <cell r="K1417" t="str">
            <v>BMED</v>
          </cell>
          <cell r="L1417" t="str">
            <v>Normal</v>
          </cell>
          <cell r="M1417" t="str">
            <v>USA</v>
          </cell>
          <cell r="N1417" t="str">
            <v>Welch Allyn</v>
          </cell>
          <cell r="O1417" t="str">
            <v>Welch Allyn GS900</v>
          </cell>
          <cell r="P1417" t="str">
            <v>10033711107114</v>
          </cell>
          <cell r="Q1417" t="str">
            <v>Not Applicable</v>
          </cell>
          <cell r="R1417" t="str">
            <v>Welch Allyn Inc</v>
          </cell>
          <cell r="S1417" t="str">
            <v>Welch Allyn Malaysia Sdn Bhd</v>
          </cell>
          <cell r="T1417" t="str">
            <v>Functioning</v>
          </cell>
          <cell r="U1417" t="str">
            <v>Asset</v>
          </cell>
          <cell r="V1417">
            <v>10585</v>
          </cell>
          <cell r="W1417" t="str">
            <v>KEW</v>
          </cell>
          <cell r="X1417" t="str">
            <v>01/09/2010</v>
          </cell>
          <cell r="Y1417" t="str">
            <v>KEW</v>
          </cell>
          <cell r="Z1417" t="str">
            <v>16/08/2013</v>
          </cell>
          <cell r="AA1417" t="str">
            <v>15/08/2015</v>
          </cell>
          <cell r="AB1417" t="str">
            <v>No</v>
          </cell>
          <cell r="AC1417" t="str">
            <v>31/08/2013</v>
          </cell>
          <cell r="AD1417" t="str">
            <v>Good</v>
          </cell>
          <cell r="AE1417" t="str">
            <v>V1 - Existing / No Claim</v>
          </cell>
          <cell r="AF1417">
            <v>42235</v>
          </cell>
          <cell r="AG1417">
            <v>9.17</v>
          </cell>
          <cell r="AH1417" t="str">
            <v>PPM</v>
          </cell>
          <cell r="AI1417" t="str">
            <v>Strands</v>
          </cell>
          <cell r="AJ1417" t="str">
            <v>Strands PW</v>
          </cell>
        </row>
        <row r="1418">
          <cell r="A1418" t="str">
            <v>IKN401113</v>
          </cell>
          <cell r="B1418">
            <v>1111</v>
          </cell>
          <cell r="C1418" t="str">
            <v>Institut Kanser Negara</v>
          </cell>
          <cell r="D1418" t="str">
            <v>KKM/IKN/H/13/4407</v>
          </cell>
          <cell r="E1418" t="str">
            <v>12-282</v>
          </cell>
          <cell r="F1418" t="str">
            <v>Lights, Surgical</v>
          </cell>
          <cell r="G1418" t="str">
            <v>IC</v>
          </cell>
          <cell r="H1418" t="str">
            <v>INTENSIVE CARE UNIT</v>
          </cell>
          <cell r="I1418" t="str">
            <v>05IC115</v>
          </cell>
          <cell r="J1418" t="str">
            <v>ICU RM 4</v>
          </cell>
          <cell r="K1418" t="str">
            <v>BMED</v>
          </cell>
          <cell r="L1418" t="str">
            <v>Critical</v>
          </cell>
          <cell r="M1418" t="str">
            <v>USA</v>
          </cell>
          <cell r="N1418" t="str">
            <v>Welch Allyn</v>
          </cell>
          <cell r="O1418" t="str">
            <v>Welch Allyn GS900</v>
          </cell>
          <cell r="P1418" t="str">
            <v>10043011102388</v>
          </cell>
          <cell r="Q1418" t="str">
            <v>Not Applicable</v>
          </cell>
          <cell r="R1418" t="str">
            <v>Welch Allyn Inc</v>
          </cell>
          <cell r="S1418" t="str">
            <v>Welch Allyn Malaysia Sdn Bhd</v>
          </cell>
          <cell r="T1418" t="str">
            <v>Functioning</v>
          </cell>
          <cell r="U1418" t="str">
            <v>Asset</v>
          </cell>
          <cell r="V1418">
            <v>10585</v>
          </cell>
          <cell r="W1418" t="str">
            <v>KEW</v>
          </cell>
          <cell r="X1418" t="str">
            <v>01/09/2010</v>
          </cell>
          <cell r="Y1418" t="str">
            <v>KEW</v>
          </cell>
          <cell r="Z1418" t="str">
            <v>16/08/2013</v>
          </cell>
          <cell r="AA1418" t="str">
            <v>15/08/2015</v>
          </cell>
          <cell r="AB1418" t="str">
            <v>No</v>
          </cell>
          <cell r="AC1418" t="str">
            <v>31/08/2013</v>
          </cell>
          <cell r="AD1418" t="str">
            <v>Good</v>
          </cell>
          <cell r="AE1418" t="str">
            <v>V1 - Existing / No Claim</v>
          </cell>
          <cell r="AF1418">
            <v>42797</v>
          </cell>
          <cell r="AG1418">
            <v>9.17</v>
          </cell>
          <cell r="AH1418" t="str">
            <v>PPM</v>
          </cell>
          <cell r="AI1418" t="str">
            <v>Strands</v>
          </cell>
          <cell r="AJ1418" t="str">
            <v>Strands PW</v>
          </cell>
        </row>
        <row r="1419">
          <cell r="A1419" t="str">
            <v>IKN401122</v>
          </cell>
          <cell r="B1419">
            <v>1120</v>
          </cell>
          <cell r="C1419" t="str">
            <v>Institut Kanser Negara</v>
          </cell>
          <cell r="D1419" t="str">
            <v>KKM/IKN/H/13/358</v>
          </cell>
          <cell r="E1419" t="str">
            <v>12-873</v>
          </cell>
          <cell r="F1419" t="str">
            <v>Concentrators, Oxygen</v>
          </cell>
          <cell r="G1419" t="str">
            <v>PC</v>
          </cell>
          <cell r="H1419" t="str">
            <v>PALLIATIVE CARE UNIT</v>
          </cell>
          <cell r="I1419" t="str">
            <v>04PC109</v>
          </cell>
          <cell r="J1419" t="str">
            <v>GEN. STORE</v>
          </cell>
          <cell r="K1419" t="str">
            <v>BMED</v>
          </cell>
          <cell r="L1419" t="str">
            <v>Normal</v>
          </cell>
          <cell r="M1419" t="str">
            <v>USA</v>
          </cell>
          <cell r="N1419" t="str">
            <v>EverFlo</v>
          </cell>
          <cell r="O1419" t="str">
            <v>EverFlo</v>
          </cell>
          <cell r="P1419" t="str">
            <v>14758</v>
          </cell>
          <cell r="Q1419" t="str">
            <v>Not Applicable</v>
          </cell>
          <cell r="R1419" t="str">
            <v>Respironics</v>
          </cell>
          <cell r="S1419" t="str">
            <v>Goodlabs Medical (M) Sdn. Bhd.</v>
          </cell>
          <cell r="T1419" t="str">
            <v>Functioning</v>
          </cell>
          <cell r="U1419" t="str">
            <v>Asset</v>
          </cell>
          <cell r="V1419">
            <v>5773</v>
          </cell>
          <cell r="W1419" t="str">
            <v>KEW</v>
          </cell>
          <cell r="X1419">
            <v>40422</v>
          </cell>
          <cell r="Y1419" t="str">
            <v>KEW</v>
          </cell>
          <cell r="Z1419" t="str">
            <v>16/08/2013</v>
          </cell>
          <cell r="AA1419" t="str">
            <v>15/08/2015</v>
          </cell>
          <cell r="AB1419" t="str">
            <v>No</v>
          </cell>
          <cell r="AC1419" t="str">
            <v>31/08/2013</v>
          </cell>
          <cell r="AD1419" t="str">
            <v>Good</v>
          </cell>
          <cell r="AE1419" t="str">
            <v>V1 - Existing / No Claim</v>
          </cell>
          <cell r="AF1419">
            <v>42235</v>
          </cell>
          <cell r="AG1419">
            <v>9.17</v>
          </cell>
          <cell r="AH1419" t="str">
            <v>PPM</v>
          </cell>
          <cell r="AI1419" t="str">
            <v>Strands</v>
          </cell>
          <cell r="AJ1419" t="str">
            <v>Strands PW</v>
          </cell>
        </row>
        <row r="1420">
          <cell r="A1420" t="str">
            <v>IKN401123</v>
          </cell>
          <cell r="B1420">
            <v>1121</v>
          </cell>
          <cell r="C1420" t="str">
            <v>Institut Kanser Negara</v>
          </cell>
          <cell r="D1420" t="str">
            <v>KKM/IKN/H/13/4290</v>
          </cell>
          <cell r="E1420" t="str">
            <v>13-215</v>
          </cell>
          <cell r="F1420" t="str">
            <v>Infusion Pumps, General-Purpose</v>
          </cell>
          <cell r="G1420" t="str">
            <v>WB</v>
          </cell>
          <cell r="H1420" t="str">
            <v>SURGICAL ONCO MALE WARD</v>
          </cell>
          <cell r="I1420" t="str">
            <v>05WB113</v>
          </cell>
          <cell r="J1420" t="str">
            <v>EQUIP. ROOM</v>
          </cell>
          <cell r="K1420" t="str">
            <v>BMED</v>
          </cell>
          <cell r="L1420" t="str">
            <v>Critical</v>
          </cell>
          <cell r="M1420" t="str">
            <v>Germany</v>
          </cell>
          <cell r="N1420" t="str">
            <v>Infusomat</v>
          </cell>
          <cell r="O1420" t="str">
            <v>Infusomat Space</v>
          </cell>
          <cell r="P1420" t="str">
            <v>211911</v>
          </cell>
          <cell r="Q1420" t="str">
            <v>Not Applicable</v>
          </cell>
          <cell r="R1420" t="str">
            <v>B Braun Melsungen AG</v>
          </cell>
          <cell r="S1420" t="str">
            <v>B Braun Medical Supplies Sdn. Bhd.</v>
          </cell>
          <cell r="T1420" t="str">
            <v>Functioning</v>
          </cell>
          <cell r="U1420" t="str">
            <v>Asset</v>
          </cell>
          <cell r="V1420">
            <v>10825</v>
          </cell>
          <cell r="W1420" t="str">
            <v>KEW</v>
          </cell>
          <cell r="X1420" t="str">
            <v>01/09/2010</v>
          </cell>
          <cell r="Y1420" t="str">
            <v>KEW</v>
          </cell>
          <cell r="Z1420" t="str">
            <v>16/08/2013</v>
          </cell>
          <cell r="AA1420" t="str">
            <v>15/08/2015</v>
          </cell>
          <cell r="AB1420" t="str">
            <v>No</v>
          </cell>
          <cell r="AC1420" t="str">
            <v>31/08/2013</v>
          </cell>
          <cell r="AD1420" t="str">
            <v>Good</v>
          </cell>
          <cell r="AE1420" t="str">
            <v>V1 - Existing / No Claim</v>
          </cell>
          <cell r="AF1420">
            <v>42788</v>
          </cell>
          <cell r="AG1420">
            <v>9.17</v>
          </cell>
          <cell r="AH1420" t="str">
            <v>PPM</v>
          </cell>
          <cell r="AI1420" t="str">
            <v>Strands</v>
          </cell>
          <cell r="AJ1420" t="str">
            <v>Strands PW SET B</v>
          </cell>
          <cell r="AK1420" t="str">
            <v>CUBA CHECK IKN400441 PUNYA KEWPA</v>
          </cell>
        </row>
        <row r="1421">
          <cell r="A1421" t="str">
            <v>IKN401124</v>
          </cell>
          <cell r="B1421">
            <v>1122</v>
          </cell>
          <cell r="C1421" t="str">
            <v>Institut Kanser Negara</v>
          </cell>
          <cell r="D1421" t="str">
            <v>KKM/IKN/R/15/15</v>
          </cell>
          <cell r="E1421" t="str">
            <v>15-663</v>
          </cell>
          <cell r="F1421" t="str">
            <v>Pipetters</v>
          </cell>
          <cell r="G1421" t="str">
            <v>NM</v>
          </cell>
          <cell r="H1421" t="str">
            <v>NUCLEAR MED (DIAGNOSTIC)</v>
          </cell>
          <cell r="I1421" t="str">
            <v>03NM154</v>
          </cell>
          <cell r="J1421" t="str">
            <v>RIA LAB</v>
          </cell>
          <cell r="K1421" t="str">
            <v>BMED</v>
          </cell>
          <cell r="L1421" t="str">
            <v>Normal</v>
          </cell>
          <cell r="M1421" t="str">
            <v>Germany</v>
          </cell>
          <cell r="N1421" t="str">
            <v>Eppendorf</v>
          </cell>
          <cell r="O1421" t="str">
            <v>Research Plus</v>
          </cell>
          <cell r="P1421" t="str">
            <v>J275491D</v>
          </cell>
          <cell r="Q1421" t="str">
            <v>Not Applicable</v>
          </cell>
          <cell r="R1421" t="str">
            <v>Eppendorf</v>
          </cell>
          <cell r="S1421" t="str">
            <v>Medigene sdn bhd</v>
          </cell>
          <cell r="T1421" t="str">
            <v>Functioning</v>
          </cell>
          <cell r="U1421" t="str">
            <v>Asset</v>
          </cell>
          <cell r="V1421">
            <v>596</v>
          </cell>
          <cell r="W1421" t="str">
            <v>KEW</v>
          </cell>
          <cell r="X1421" t="str">
            <v>08/05/2015</v>
          </cell>
          <cell r="Y1421" t="str">
            <v>KEW</v>
          </cell>
          <cell r="Z1421" t="str">
            <v>08/06/2015</v>
          </cell>
          <cell r="AA1421" t="str">
            <v>07/06/2018</v>
          </cell>
          <cell r="AB1421" t="str">
            <v>No</v>
          </cell>
          <cell r="AC1421" t="str">
            <v>08/06/2015</v>
          </cell>
          <cell r="AD1421" t="str">
            <v>Good</v>
          </cell>
          <cell r="AE1421" t="str">
            <v>V3 - Added Installed Facilities (New)</v>
          </cell>
          <cell r="AF1421">
            <v>42235</v>
          </cell>
          <cell r="AG1421">
            <v>4.5</v>
          </cell>
          <cell r="AH1421" t="str">
            <v>PPM</v>
          </cell>
          <cell r="AI1421" t="str">
            <v>Not in contract</v>
          </cell>
          <cell r="AJ1421" t="str">
            <v>Proposed for V3 P2.23</v>
          </cell>
          <cell r="AK1421" t="str">
            <v>KKM follow P2.23 list.</v>
          </cell>
        </row>
        <row r="1422">
          <cell r="A1422" t="str">
            <v>IKN401125</v>
          </cell>
          <cell r="B1422">
            <v>1123</v>
          </cell>
          <cell r="C1422" t="str">
            <v>Institut Kanser Negara</v>
          </cell>
          <cell r="D1422" t="str">
            <v>KKM/IKN/R/15/16</v>
          </cell>
          <cell r="E1422" t="str">
            <v>15-663</v>
          </cell>
          <cell r="F1422" t="str">
            <v>Pipetters</v>
          </cell>
          <cell r="G1422" t="str">
            <v>NM</v>
          </cell>
          <cell r="H1422" t="str">
            <v>NUCLEAR MED (DIAGNOSTIC)</v>
          </cell>
          <cell r="I1422" t="str">
            <v>03NM154</v>
          </cell>
          <cell r="J1422" t="str">
            <v>RIA LAB</v>
          </cell>
          <cell r="K1422" t="str">
            <v>BMED</v>
          </cell>
          <cell r="L1422" t="str">
            <v>Normal</v>
          </cell>
          <cell r="M1422" t="str">
            <v>Germany</v>
          </cell>
          <cell r="N1422" t="str">
            <v>Eppendorf</v>
          </cell>
          <cell r="O1422" t="str">
            <v>Research Plus</v>
          </cell>
          <cell r="P1422" t="str">
            <v>358798Z</v>
          </cell>
          <cell r="Q1422" t="str">
            <v>Not Applicable</v>
          </cell>
          <cell r="R1422" t="str">
            <v>Eppendorf</v>
          </cell>
          <cell r="S1422" t="str">
            <v>Medigene sdn bhd</v>
          </cell>
          <cell r="T1422" t="str">
            <v>Functioning</v>
          </cell>
          <cell r="U1422" t="str">
            <v>Asset</v>
          </cell>
          <cell r="V1422">
            <v>762</v>
          </cell>
          <cell r="W1422" t="str">
            <v>KEW</v>
          </cell>
          <cell r="X1422" t="str">
            <v>08/05/2015</v>
          </cell>
          <cell r="Y1422" t="str">
            <v>KEW</v>
          </cell>
          <cell r="Z1422" t="str">
            <v>08/06/2015</v>
          </cell>
          <cell r="AA1422" t="str">
            <v>07/06/2018</v>
          </cell>
          <cell r="AB1422" t="str">
            <v>No</v>
          </cell>
          <cell r="AC1422" t="str">
            <v>08/06/2015</v>
          </cell>
          <cell r="AD1422" t="str">
            <v>Good</v>
          </cell>
          <cell r="AE1422" t="str">
            <v>V3 - Added Installed Facilities (New)</v>
          </cell>
          <cell r="AF1422">
            <v>42235</v>
          </cell>
          <cell r="AG1422">
            <v>4.5</v>
          </cell>
          <cell r="AH1422" t="str">
            <v>PPM</v>
          </cell>
          <cell r="AI1422" t="str">
            <v>Not in contract</v>
          </cell>
          <cell r="AJ1422" t="str">
            <v>Proposed for V3 P2.23</v>
          </cell>
          <cell r="AK1422" t="str">
            <v>KKM follow P2.23 list.</v>
          </cell>
        </row>
        <row r="1423">
          <cell r="A1423" t="str">
            <v>IKN401126</v>
          </cell>
          <cell r="B1423">
            <v>1124</v>
          </cell>
          <cell r="C1423" t="str">
            <v>Institut Kanser Negara</v>
          </cell>
          <cell r="D1423" t="e">
            <v>#N/A</v>
          </cell>
          <cell r="E1423" t="str">
            <v>15-605</v>
          </cell>
          <cell r="F1423" t="str">
            <v>Testers</v>
          </cell>
          <cell r="G1423" t="str">
            <v>PS</v>
          </cell>
          <cell r="H1423" t="str">
            <v>SUPPORT SERVICE/PLANT</v>
          </cell>
          <cell r="I1423" t="str">
            <v>01PS105</v>
          </cell>
          <cell r="J1423" t="str">
            <v>CHIEF ENGINEER</v>
          </cell>
          <cell r="K1423" t="str">
            <v>BMED</v>
          </cell>
          <cell r="L1423" t="str">
            <v>Normal</v>
          </cell>
          <cell r="M1423" t="str">
            <v>USA</v>
          </cell>
          <cell r="N1423" t="str">
            <v>Fluke</v>
          </cell>
          <cell r="O1423" t="str">
            <v>Impulse 7000 DP</v>
          </cell>
          <cell r="P1423" t="str">
            <v>2298012</v>
          </cell>
          <cell r="Q1423" t="str">
            <v>Not Applicable</v>
          </cell>
          <cell r="R1423" t="str">
            <v>Fluke Biomedical RMS</v>
          </cell>
          <cell r="S1423" t="str">
            <v>Bell Comm Technologies Sdn Bhd</v>
          </cell>
          <cell r="T1423" t="str">
            <v>Functioning</v>
          </cell>
          <cell r="U1423" t="str">
            <v>Asset</v>
          </cell>
          <cell r="V1423">
            <v>22130</v>
          </cell>
          <cell r="W1423" t="str">
            <v>KEW</v>
          </cell>
          <cell r="X1423" t="str">
            <v>01/09/2010</v>
          </cell>
          <cell r="Y1423" t="str">
            <v>KEW</v>
          </cell>
          <cell r="Z1423" t="str">
            <v>16/08/2013</v>
          </cell>
          <cell r="AA1423" t="str">
            <v>15/08/2015</v>
          </cell>
          <cell r="AB1423" t="str">
            <v>No</v>
          </cell>
          <cell r="AC1423" t="str">
            <v>31/08/2013</v>
          </cell>
          <cell r="AD1423" t="str">
            <v>Good</v>
          </cell>
          <cell r="AE1423" t="str">
            <v>V1 - Existing / No Claim</v>
          </cell>
          <cell r="AF1423">
            <v>42235</v>
          </cell>
          <cell r="AG1423">
            <v>9.17</v>
          </cell>
          <cell r="AH1423" t="str">
            <v>PPM</v>
          </cell>
          <cell r="AI1423" t="str">
            <v>Not in contract</v>
          </cell>
          <cell r="AJ1423" t="str">
            <v>ANALYZER</v>
          </cell>
          <cell r="AK1423" t="str">
            <v>IKN agreed unit to be used by BEMS but have to calibrate.</v>
          </cell>
        </row>
        <row r="1424">
          <cell r="A1424" t="str">
            <v>IKN401127</v>
          </cell>
          <cell r="B1424">
            <v>1125</v>
          </cell>
          <cell r="C1424" t="str">
            <v>Institut Kanser Negara</v>
          </cell>
          <cell r="D1424" t="e">
            <v>#N/A</v>
          </cell>
          <cell r="E1424" t="str">
            <v>15-605</v>
          </cell>
          <cell r="F1424" t="str">
            <v>Testers</v>
          </cell>
          <cell r="G1424" t="str">
            <v>PS</v>
          </cell>
          <cell r="H1424" t="str">
            <v>SUPPORT SERVICE/PLANT</v>
          </cell>
          <cell r="I1424" t="str">
            <v>01PS105</v>
          </cell>
          <cell r="J1424" t="str">
            <v>CHIEF ENGINEER</v>
          </cell>
          <cell r="K1424" t="str">
            <v>BMED</v>
          </cell>
          <cell r="L1424" t="str">
            <v>Normal</v>
          </cell>
          <cell r="M1424" t="str">
            <v>USA</v>
          </cell>
          <cell r="N1424" t="str">
            <v>Fluke</v>
          </cell>
          <cell r="O1424" t="str">
            <v>Index 2XLFE</v>
          </cell>
          <cell r="P1424" t="str">
            <v>2324002</v>
          </cell>
          <cell r="Q1424" t="str">
            <v>Not Applicable</v>
          </cell>
          <cell r="R1424" t="str">
            <v>Fluke Biomedical RMS</v>
          </cell>
          <cell r="S1424" t="str">
            <v>Bell Comm Technologies Sdn Bhd</v>
          </cell>
          <cell r="T1424" t="str">
            <v>Functioning</v>
          </cell>
          <cell r="U1424" t="str">
            <v>Asset</v>
          </cell>
          <cell r="V1424">
            <v>30070</v>
          </cell>
          <cell r="W1424" t="str">
            <v>KEW</v>
          </cell>
          <cell r="X1424" t="str">
            <v>01/09/2010</v>
          </cell>
          <cell r="Y1424" t="str">
            <v>KEW</v>
          </cell>
          <cell r="Z1424" t="str">
            <v>16/08/2013</v>
          </cell>
          <cell r="AA1424" t="str">
            <v>15/08/2015</v>
          </cell>
          <cell r="AB1424" t="str">
            <v>No</v>
          </cell>
          <cell r="AC1424" t="str">
            <v>31/08/2013</v>
          </cell>
          <cell r="AD1424" t="str">
            <v>Good</v>
          </cell>
          <cell r="AE1424" t="str">
            <v>V1 - Existing / No Claim</v>
          </cell>
          <cell r="AF1424">
            <v>42235</v>
          </cell>
          <cell r="AG1424">
            <v>9.17</v>
          </cell>
          <cell r="AH1424" t="str">
            <v>PPM</v>
          </cell>
          <cell r="AI1424" t="str">
            <v>Not in contract</v>
          </cell>
          <cell r="AJ1424" t="str">
            <v>ANALYZER</v>
          </cell>
          <cell r="AK1424" t="str">
            <v>IKN agreed unit to be used by BEMS but have to calibrate.</v>
          </cell>
        </row>
        <row r="1425">
          <cell r="A1425" t="str">
            <v>IKN401128</v>
          </cell>
          <cell r="B1425">
            <v>1126</v>
          </cell>
          <cell r="C1425" t="str">
            <v>Institut Kanser Negara</v>
          </cell>
          <cell r="D1425" t="e">
            <v>#N/A</v>
          </cell>
          <cell r="E1425" t="str">
            <v>15-605</v>
          </cell>
          <cell r="F1425" t="str">
            <v>Testers</v>
          </cell>
          <cell r="G1425" t="str">
            <v>PS</v>
          </cell>
          <cell r="H1425" t="str">
            <v>SUPPORT SERVICE/PLANT</v>
          </cell>
          <cell r="I1425" t="str">
            <v>01PS105</v>
          </cell>
          <cell r="J1425" t="str">
            <v>CHIEF ENGINEER</v>
          </cell>
          <cell r="K1425" t="str">
            <v>BMED</v>
          </cell>
          <cell r="L1425" t="str">
            <v>Normal</v>
          </cell>
          <cell r="M1425" t="str">
            <v>USA</v>
          </cell>
          <cell r="N1425" t="str">
            <v>Fluke</v>
          </cell>
          <cell r="O1425" t="str">
            <v>BP PUMP 2L</v>
          </cell>
          <cell r="P1425" t="str">
            <v>2318007</v>
          </cell>
          <cell r="Q1425" t="str">
            <v>Not Applicable</v>
          </cell>
          <cell r="R1425" t="str">
            <v>Fluke Biomedical RMS</v>
          </cell>
          <cell r="S1425" t="str">
            <v>Bell Comm Technologies Sdn Bhd</v>
          </cell>
          <cell r="T1425" t="str">
            <v>Functioning</v>
          </cell>
          <cell r="U1425" t="str">
            <v>Asset</v>
          </cell>
          <cell r="V1425">
            <v>31034</v>
          </cell>
          <cell r="W1425" t="str">
            <v>KEW</v>
          </cell>
          <cell r="X1425" t="str">
            <v>01/09/2010</v>
          </cell>
          <cell r="Y1425" t="str">
            <v>KEW</v>
          </cell>
          <cell r="Z1425" t="str">
            <v>16/08/2013</v>
          </cell>
          <cell r="AA1425" t="str">
            <v>15/08/2015</v>
          </cell>
          <cell r="AB1425" t="str">
            <v>No</v>
          </cell>
          <cell r="AC1425" t="str">
            <v>31/08/2013</v>
          </cell>
          <cell r="AD1425" t="str">
            <v>Good</v>
          </cell>
          <cell r="AE1425" t="str">
            <v>V1 - Existing / No Claim</v>
          </cell>
          <cell r="AF1425">
            <v>42235</v>
          </cell>
          <cell r="AG1425">
            <v>9.17</v>
          </cell>
          <cell r="AH1425" t="str">
            <v>PPM</v>
          </cell>
          <cell r="AI1425" t="str">
            <v>Not in contract</v>
          </cell>
          <cell r="AJ1425" t="str">
            <v>ANALYZER</v>
          </cell>
          <cell r="AK1425" t="str">
            <v>IKN agreed unit to be used by BEMS but have to calibrate.</v>
          </cell>
        </row>
        <row r="1426">
          <cell r="A1426" t="str">
            <v>IKN401129</v>
          </cell>
          <cell r="B1426">
            <v>1127</v>
          </cell>
          <cell r="C1426" t="str">
            <v>Institut Kanser Negara</v>
          </cell>
          <cell r="D1426" t="e">
            <v>#N/A</v>
          </cell>
          <cell r="E1426" t="str">
            <v>15-605</v>
          </cell>
          <cell r="F1426" t="str">
            <v>Testers</v>
          </cell>
          <cell r="G1426" t="str">
            <v>PS</v>
          </cell>
          <cell r="H1426" t="str">
            <v>SUPPORT SERVICE/PLANT</v>
          </cell>
          <cell r="I1426" t="str">
            <v>01PS105</v>
          </cell>
          <cell r="J1426" t="str">
            <v>CHIEF ENGINEER</v>
          </cell>
          <cell r="K1426" t="str">
            <v>BMED</v>
          </cell>
          <cell r="L1426" t="str">
            <v>Normal</v>
          </cell>
          <cell r="M1426" t="str">
            <v>USA</v>
          </cell>
          <cell r="N1426" t="str">
            <v>Fluke</v>
          </cell>
          <cell r="O1426" t="str">
            <v>VT MOBILE</v>
          </cell>
          <cell r="P1426" t="str">
            <v>2322028</v>
          </cell>
          <cell r="Q1426" t="str">
            <v>Not Applicable</v>
          </cell>
          <cell r="R1426" t="str">
            <v>Fluke Biomedical RMS</v>
          </cell>
          <cell r="S1426" t="str">
            <v>Bell Comm Technologies Sdn Bhd</v>
          </cell>
          <cell r="T1426" t="str">
            <v>Functioning</v>
          </cell>
          <cell r="U1426" t="str">
            <v>Asset</v>
          </cell>
          <cell r="V1426">
            <v>56956</v>
          </cell>
          <cell r="W1426" t="str">
            <v>KEW</v>
          </cell>
          <cell r="X1426" t="str">
            <v>01/09/2010</v>
          </cell>
          <cell r="Y1426" t="str">
            <v>KEW</v>
          </cell>
          <cell r="Z1426" t="str">
            <v>16/08/2013</v>
          </cell>
          <cell r="AA1426" t="str">
            <v>15/08/2015</v>
          </cell>
          <cell r="AB1426" t="str">
            <v>No</v>
          </cell>
          <cell r="AC1426" t="str">
            <v>31/08/2013</v>
          </cell>
          <cell r="AD1426" t="str">
            <v>Good</v>
          </cell>
          <cell r="AE1426" t="str">
            <v>V1 - Existing / No Claim</v>
          </cell>
          <cell r="AF1426">
            <v>42235</v>
          </cell>
          <cell r="AG1426">
            <v>9.17</v>
          </cell>
          <cell r="AH1426" t="str">
            <v>PPM</v>
          </cell>
          <cell r="AI1426" t="str">
            <v>Not in contract</v>
          </cell>
          <cell r="AJ1426" t="str">
            <v>ANALYZER</v>
          </cell>
          <cell r="AK1426" t="str">
            <v>IKN agreed unit to be used by BEMS but have to calibrate.</v>
          </cell>
        </row>
        <row r="1427">
          <cell r="A1427" t="str">
            <v>IKN401130</v>
          </cell>
          <cell r="B1427">
            <v>1128</v>
          </cell>
          <cell r="C1427" t="str">
            <v>Institut Kanser Negara</v>
          </cell>
          <cell r="D1427" t="e">
            <v>#N/A</v>
          </cell>
          <cell r="E1427" t="str">
            <v>15-605</v>
          </cell>
          <cell r="F1427" t="str">
            <v>Testers</v>
          </cell>
          <cell r="G1427" t="str">
            <v>PS</v>
          </cell>
          <cell r="H1427" t="str">
            <v>SUPPORT SERVICE/PLANT</v>
          </cell>
          <cell r="I1427" t="str">
            <v>01PS105</v>
          </cell>
          <cell r="J1427" t="str">
            <v>CHIEF ENGINEER</v>
          </cell>
          <cell r="K1427" t="str">
            <v>BMED</v>
          </cell>
          <cell r="L1427" t="str">
            <v>Normal</v>
          </cell>
          <cell r="M1427" t="str">
            <v>USA</v>
          </cell>
          <cell r="N1427" t="str">
            <v>Fluke</v>
          </cell>
          <cell r="O1427" t="str">
            <v>VT MOBILE</v>
          </cell>
          <cell r="P1427" t="str">
            <v>2322030</v>
          </cell>
          <cell r="Q1427" t="str">
            <v>Not Applicable</v>
          </cell>
          <cell r="R1427" t="str">
            <v>Fluke Biomedical RMS</v>
          </cell>
          <cell r="S1427" t="str">
            <v>Bell Comm Technologies Sdn Bhd</v>
          </cell>
          <cell r="T1427" t="str">
            <v>Functioning</v>
          </cell>
          <cell r="U1427" t="str">
            <v>Asset</v>
          </cell>
          <cell r="V1427">
            <v>56956</v>
          </cell>
          <cell r="W1427" t="str">
            <v>KEW</v>
          </cell>
          <cell r="X1427" t="str">
            <v>01/09/2010</v>
          </cell>
          <cell r="Y1427" t="str">
            <v>KEW</v>
          </cell>
          <cell r="Z1427" t="str">
            <v>16/08/2013</v>
          </cell>
          <cell r="AA1427" t="str">
            <v>15/08/2015</v>
          </cell>
          <cell r="AB1427" t="str">
            <v>No</v>
          </cell>
          <cell r="AC1427" t="str">
            <v>31/08/2013</v>
          </cell>
          <cell r="AD1427" t="str">
            <v>Good</v>
          </cell>
          <cell r="AE1427" t="str">
            <v>V1 - Existing / No Claim</v>
          </cell>
          <cell r="AF1427">
            <v>42235</v>
          </cell>
          <cell r="AG1427">
            <v>9.17</v>
          </cell>
          <cell r="AH1427" t="str">
            <v>PPM</v>
          </cell>
          <cell r="AI1427" t="str">
            <v>Not in contract</v>
          </cell>
          <cell r="AJ1427" t="str">
            <v>ANALYZER</v>
          </cell>
          <cell r="AK1427" t="str">
            <v>IKN agreed unit to be used by BEMS but have to calibrate.</v>
          </cell>
        </row>
        <row r="1428">
          <cell r="A1428" t="str">
            <v>IKN401131</v>
          </cell>
          <cell r="B1428">
            <v>1129</v>
          </cell>
          <cell r="C1428" t="str">
            <v>Institut Kanser Negara</v>
          </cell>
          <cell r="D1428" t="str">
            <v>KKM/IKN/H/13/1188</v>
          </cell>
          <cell r="E1428" t="str">
            <v>11-295</v>
          </cell>
          <cell r="F1428" t="str">
            <v>Dosimeters, Radiation</v>
          </cell>
          <cell r="G1428" t="str">
            <v>RT</v>
          </cell>
          <cell r="H1428" t="str">
            <v>RADIATION TREATMENT UNIT</v>
          </cell>
          <cell r="I1428" t="str">
            <v>01RT213</v>
          </cell>
          <cell r="J1428" t="str">
            <v>EQUIPMENT ROOM1</v>
          </cell>
          <cell r="K1428" t="str">
            <v>BMED</v>
          </cell>
          <cell r="L1428" t="str">
            <v>Normal</v>
          </cell>
          <cell r="M1428" t="str">
            <v>Germany</v>
          </cell>
          <cell r="N1428" t="str">
            <v>Thermo Fisher</v>
          </cell>
          <cell r="O1428" t="str">
            <v>EPD MK2.5</v>
          </cell>
          <cell r="P1428" t="str">
            <v>00289454</v>
          </cell>
          <cell r="Q1428" t="str">
            <v>Not Applicable</v>
          </cell>
          <cell r="R1428" t="str">
            <v>Thermo Fisher Scientific</v>
          </cell>
          <cell r="S1428" t="str">
            <v>Delta Advantech (M) Sdn Bhd</v>
          </cell>
          <cell r="T1428" t="str">
            <v>Functioning</v>
          </cell>
          <cell r="U1428" t="str">
            <v>Asset</v>
          </cell>
          <cell r="V1428">
            <v>4370</v>
          </cell>
          <cell r="W1428" t="str">
            <v>KEW</v>
          </cell>
          <cell r="X1428" t="str">
            <v>01/09/2010</v>
          </cell>
          <cell r="Y1428" t="str">
            <v>KEW</v>
          </cell>
          <cell r="Z1428" t="str">
            <v>16/08/2013</v>
          </cell>
          <cell r="AA1428" t="str">
            <v>15/08/2015</v>
          </cell>
          <cell r="AB1428" t="str">
            <v>No</v>
          </cell>
          <cell r="AC1428" t="str">
            <v>31/08/2013</v>
          </cell>
          <cell r="AD1428" t="str">
            <v>Good</v>
          </cell>
          <cell r="AE1428" t="str">
            <v>V1 - Existing / No Claim</v>
          </cell>
          <cell r="AF1428">
            <v>42235</v>
          </cell>
          <cell r="AG1428">
            <v>9.17</v>
          </cell>
          <cell r="AH1428" t="str">
            <v>PPM</v>
          </cell>
          <cell r="AI1428" t="str">
            <v>package</v>
          </cell>
          <cell r="AJ1428" t="str">
            <v>Strands PW</v>
          </cell>
        </row>
        <row r="1429">
          <cell r="A1429" t="str">
            <v>IKN401133</v>
          </cell>
          <cell r="B1429">
            <v>1131</v>
          </cell>
          <cell r="C1429" t="str">
            <v>Institut Kanser Negara</v>
          </cell>
          <cell r="D1429" t="str">
            <v>KKM/IKN/H/13/2144</v>
          </cell>
          <cell r="E1429" t="str">
            <v>15-663</v>
          </cell>
          <cell r="F1429" t="str">
            <v>Pipetters</v>
          </cell>
          <cell r="G1429" t="str">
            <v>LA</v>
          </cell>
          <cell r="H1429" t="str">
            <v>PATHOLOGY</v>
          </cell>
          <cell r="I1429" t="str">
            <v>04LA126</v>
          </cell>
          <cell r="J1429" t="str">
            <v>MICROBIOLOGY UNIT</v>
          </cell>
          <cell r="K1429" t="str">
            <v>BMED</v>
          </cell>
          <cell r="L1429" t="str">
            <v>Normal</v>
          </cell>
          <cell r="M1429" t="str">
            <v>Germany</v>
          </cell>
          <cell r="N1429" t="str">
            <v>Eppendorf</v>
          </cell>
          <cell r="O1429" t="str">
            <v>Research Plus Multi</v>
          </cell>
          <cell r="P1429" t="str">
            <v>O22701B</v>
          </cell>
          <cell r="Q1429" t="str">
            <v>Not Applicable</v>
          </cell>
          <cell r="R1429" t="str">
            <v>Eppendorf</v>
          </cell>
          <cell r="S1429" t="str">
            <v>Medigene sdn bhd</v>
          </cell>
          <cell r="T1429" t="str">
            <v>Functioning</v>
          </cell>
          <cell r="U1429" t="str">
            <v>Asset</v>
          </cell>
          <cell r="V1429">
            <v>3250</v>
          </cell>
          <cell r="W1429" t="str">
            <v>KEW</v>
          </cell>
          <cell r="X1429" t="str">
            <v>01/09/2010</v>
          </cell>
          <cell r="Y1429" t="str">
            <v>KEW</v>
          </cell>
          <cell r="Z1429" t="str">
            <v>16/08/2013</v>
          </cell>
          <cell r="AA1429" t="str">
            <v>15/08/2015</v>
          </cell>
          <cell r="AB1429" t="str">
            <v>No</v>
          </cell>
          <cell r="AC1429" t="str">
            <v>31/08/2013</v>
          </cell>
          <cell r="AD1429" t="str">
            <v>Good</v>
          </cell>
          <cell r="AE1429" t="str">
            <v>V1 - Existing / No Claim</v>
          </cell>
          <cell r="AF1429">
            <v>42790</v>
          </cell>
          <cell r="AG1429">
            <v>9.17</v>
          </cell>
          <cell r="AH1429" t="str">
            <v>PPM</v>
          </cell>
          <cell r="AI1429" t="str">
            <v>Strands</v>
          </cell>
          <cell r="AJ1429" t="str">
            <v>Strands PW</v>
          </cell>
        </row>
        <row r="1430">
          <cell r="A1430" t="str">
            <v>IKN401134</v>
          </cell>
          <cell r="B1430">
            <v>1132</v>
          </cell>
          <cell r="C1430" t="str">
            <v>Institut Kanser Negara</v>
          </cell>
          <cell r="D1430" t="str">
            <v>KKM/IKN/H/13/2142</v>
          </cell>
          <cell r="E1430" t="str">
            <v>15-663</v>
          </cell>
          <cell r="F1430" t="str">
            <v>Pipetters</v>
          </cell>
          <cell r="G1430" t="str">
            <v>LA</v>
          </cell>
          <cell r="H1430" t="str">
            <v>PATHOLOGY</v>
          </cell>
          <cell r="I1430" t="str">
            <v>04LA126</v>
          </cell>
          <cell r="J1430" t="str">
            <v>MICROBIOLOGY UNIT</v>
          </cell>
          <cell r="K1430" t="str">
            <v>BMED</v>
          </cell>
          <cell r="L1430" t="str">
            <v>Normal</v>
          </cell>
          <cell r="M1430" t="str">
            <v>Germany</v>
          </cell>
          <cell r="N1430" t="str">
            <v>Eppendorf</v>
          </cell>
          <cell r="O1430" t="str">
            <v>Research Plus Multi</v>
          </cell>
          <cell r="P1430" t="str">
            <v>O22623B</v>
          </cell>
          <cell r="Q1430" t="str">
            <v>Not Applicable</v>
          </cell>
          <cell r="R1430" t="str">
            <v>Eppendorf</v>
          </cell>
          <cell r="S1430" t="str">
            <v>Medigene sdn bhd</v>
          </cell>
          <cell r="T1430" t="str">
            <v>Functioning</v>
          </cell>
          <cell r="U1430" t="str">
            <v>Asset</v>
          </cell>
          <cell r="V1430">
            <v>3250</v>
          </cell>
          <cell r="W1430" t="str">
            <v>KEW</v>
          </cell>
          <cell r="X1430" t="str">
            <v>01/09/2010</v>
          </cell>
          <cell r="Y1430" t="str">
            <v>KEW</v>
          </cell>
          <cell r="Z1430" t="str">
            <v>16/08/2013</v>
          </cell>
          <cell r="AA1430" t="str">
            <v>15/08/2015</v>
          </cell>
          <cell r="AB1430" t="str">
            <v>No</v>
          </cell>
          <cell r="AC1430" t="str">
            <v>31/08/2013</v>
          </cell>
          <cell r="AD1430" t="str">
            <v>Good</v>
          </cell>
          <cell r="AE1430" t="str">
            <v>V1 - Existing / No Claim</v>
          </cell>
          <cell r="AF1430">
            <v>42790</v>
          </cell>
          <cell r="AG1430">
            <v>9.17</v>
          </cell>
          <cell r="AH1430" t="str">
            <v>PPM</v>
          </cell>
          <cell r="AI1430" t="str">
            <v>Strands</v>
          </cell>
          <cell r="AJ1430" t="str">
            <v>Strands PW</v>
          </cell>
        </row>
        <row r="1431">
          <cell r="A1431" t="str">
            <v>IKN401135</v>
          </cell>
          <cell r="B1431">
            <v>1133</v>
          </cell>
          <cell r="C1431" t="str">
            <v>Institut Kanser Negara</v>
          </cell>
          <cell r="D1431" t="str">
            <v>KKM/IKN/H/13/2136</v>
          </cell>
          <cell r="E1431" t="str">
            <v>15-663</v>
          </cell>
          <cell r="F1431" t="str">
            <v>Pipetters</v>
          </cell>
          <cell r="G1431" t="str">
            <v>LA</v>
          </cell>
          <cell r="H1431" t="str">
            <v>PATHOLOGY</v>
          </cell>
          <cell r="I1431" t="str">
            <v>04LA126</v>
          </cell>
          <cell r="J1431" t="str">
            <v>MICROBIOLOGY UNIT</v>
          </cell>
          <cell r="K1431" t="str">
            <v>BMED</v>
          </cell>
          <cell r="L1431" t="str">
            <v>Normal</v>
          </cell>
          <cell r="M1431" t="str">
            <v>Germany</v>
          </cell>
          <cell r="N1431" t="str">
            <v>Eppendorf</v>
          </cell>
          <cell r="O1431" t="str">
            <v>Research Plus</v>
          </cell>
          <cell r="P1431" t="str">
            <v>O11928B</v>
          </cell>
          <cell r="Q1431" t="str">
            <v>Not Applicable</v>
          </cell>
          <cell r="R1431" t="str">
            <v>Eppendorf</v>
          </cell>
          <cell r="S1431" t="str">
            <v>Medigene sdn bhd</v>
          </cell>
          <cell r="T1431" t="str">
            <v>Functioning</v>
          </cell>
          <cell r="U1431" t="str">
            <v>Asset</v>
          </cell>
          <cell r="V1431">
            <v>1250</v>
          </cell>
          <cell r="W1431" t="str">
            <v>KEW</v>
          </cell>
          <cell r="X1431" t="str">
            <v>01/09/2010</v>
          </cell>
          <cell r="Y1431" t="str">
            <v>KEW</v>
          </cell>
          <cell r="Z1431" t="str">
            <v>16/08/2013</v>
          </cell>
          <cell r="AA1431" t="str">
            <v>15/08/2015</v>
          </cell>
          <cell r="AB1431" t="str">
            <v>No</v>
          </cell>
          <cell r="AC1431" t="str">
            <v>31/08/2013</v>
          </cell>
          <cell r="AD1431" t="str">
            <v>Good</v>
          </cell>
          <cell r="AE1431" t="str">
            <v>V3 - Added Installed Facilities (New)</v>
          </cell>
          <cell r="AF1431">
            <v>42790</v>
          </cell>
          <cell r="AG1431">
            <v>9.17</v>
          </cell>
          <cell r="AH1431" t="str">
            <v>PPM</v>
          </cell>
          <cell r="AI1431" t="str">
            <v>Strands</v>
          </cell>
          <cell r="AJ1431" t="str">
            <v>Strands PW</v>
          </cell>
          <cell r="AK1431" t="str">
            <v>SNF received. 1st batch of V3 asset (December 2020)</v>
          </cell>
        </row>
        <row r="1432">
          <cell r="A1432" t="str">
            <v>IKN401136</v>
          </cell>
          <cell r="B1432">
            <v>1134</v>
          </cell>
          <cell r="C1432" t="str">
            <v>Institut Kanser Negara</v>
          </cell>
          <cell r="D1432" t="str">
            <v>KKM/IKN/H/13/2136</v>
          </cell>
          <cell r="E1432" t="str">
            <v>15-663</v>
          </cell>
          <cell r="F1432" t="str">
            <v>Pipetters</v>
          </cell>
          <cell r="G1432" t="str">
            <v>LA</v>
          </cell>
          <cell r="H1432" t="str">
            <v>PATHOLOGY</v>
          </cell>
          <cell r="I1432" t="str">
            <v>04LA126</v>
          </cell>
          <cell r="J1432" t="str">
            <v>MICROBIOLOGY UNIT</v>
          </cell>
          <cell r="K1432" t="str">
            <v>BMED</v>
          </cell>
          <cell r="L1432" t="str">
            <v>Normal</v>
          </cell>
          <cell r="M1432" t="str">
            <v>Germany</v>
          </cell>
          <cell r="N1432" t="str">
            <v>Eppendorf</v>
          </cell>
          <cell r="O1432" t="str">
            <v>Research Plus</v>
          </cell>
          <cell r="P1432" t="str">
            <v>O17010B</v>
          </cell>
          <cell r="Q1432" t="str">
            <v>Not Applicable</v>
          </cell>
          <cell r="R1432" t="str">
            <v>Eppendorf</v>
          </cell>
          <cell r="S1432" t="str">
            <v>Medigene sdn bhd</v>
          </cell>
          <cell r="T1432" t="str">
            <v>Functioning</v>
          </cell>
          <cell r="U1432" t="str">
            <v>Asset</v>
          </cell>
          <cell r="V1432">
            <v>1250</v>
          </cell>
          <cell r="W1432" t="str">
            <v>KEW</v>
          </cell>
          <cell r="X1432" t="str">
            <v>01/09/2010</v>
          </cell>
          <cell r="Y1432" t="str">
            <v>KEW</v>
          </cell>
          <cell r="Z1432" t="str">
            <v>16/08/2013</v>
          </cell>
          <cell r="AA1432" t="str">
            <v>15/08/2015</v>
          </cell>
          <cell r="AB1432" t="str">
            <v>No</v>
          </cell>
          <cell r="AC1432" t="str">
            <v>31/08/2013</v>
          </cell>
          <cell r="AD1432" t="str">
            <v>Good</v>
          </cell>
          <cell r="AE1432" t="str">
            <v>V3 - Added Installed Facilities (New)</v>
          </cell>
          <cell r="AF1432">
            <v>42790</v>
          </cell>
          <cell r="AG1432">
            <v>9.17</v>
          </cell>
          <cell r="AH1432" t="str">
            <v>PPM</v>
          </cell>
          <cell r="AI1432" t="str">
            <v>Strands</v>
          </cell>
          <cell r="AJ1432" t="str">
            <v>Strands PW</v>
          </cell>
          <cell r="AK1432" t="str">
            <v>SNF received. 1st batch of V3 asset (December 2020)</v>
          </cell>
        </row>
        <row r="1433">
          <cell r="A1433" t="str">
            <v>IKN401137</v>
          </cell>
          <cell r="B1433">
            <v>1135</v>
          </cell>
          <cell r="C1433" t="str">
            <v>Institut Kanser Negara</v>
          </cell>
          <cell r="D1433" t="str">
            <v>KKM/IKN/H/13/2137</v>
          </cell>
          <cell r="E1433" t="str">
            <v>15-663</v>
          </cell>
          <cell r="F1433" t="str">
            <v>Pipetters</v>
          </cell>
          <cell r="G1433" t="str">
            <v>LA</v>
          </cell>
          <cell r="H1433" t="str">
            <v>PATHOLOGY</v>
          </cell>
          <cell r="I1433" t="str">
            <v>04LA126</v>
          </cell>
          <cell r="J1433" t="str">
            <v>MICROBIOLOGY UNIT</v>
          </cell>
          <cell r="K1433" t="str">
            <v>BMED</v>
          </cell>
          <cell r="L1433" t="str">
            <v>Normal</v>
          </cell>
          <cell r="M1433" t="str">
            <v>Germany</v>
          </cell>
          <cell r="N1433" t="str">
            <v>Eppendorf</v>
          </cell>
          <cell r="O1433" t="str">
            <v>Research Plus</v>
          </cell>
          <cell r="P1433" t="str">
            <v>O11876B</v>
          </cell>
          <cell r="Q1433" t="str">
            <v>Not Applicable</v>
          </cell>
          <cell r="R1433" t="str">
            <v>Eppendorf</v>
          </cell>
          <cell r="S1433" t="str">
            <v>Medigene sdn bhd</v>
          </cell>
          <cell r="T1433" t="str">
            <v>Functioning</v>
          </cell>
          <cell r="U1433" t="str">
            <v>Asset</v>
          </cell>
          <cell r="V1433">
            <v>1250</v>
          </cell>
          <cell r="W1433" t="str">
            <v>KEW</v>
          </cell>
          <cell r="X1433" t="str">
            <v>01/09/2010</v>
          </cell>
          <cell r="Y1433" t="str">
            <v>KEW</v>
          </cell>
          <cell r="Z1433" t="str">
            <v>16/08/2013</v>
          </cell>
          <cell r="AA1433" t="str">
            <v>15/08/2015</v>
          </cell>
          <cell r="AB1433" t="str">
            <v>No</v>
          </cell>
          <cell r="AC1433" t="str">
            <v>31/08/2013</v>
          </cell>
          <cell r="AD1433" t="str">
            <v>Good</v>
          </cell>
          <cell r="AE1433" t="str">
            <v>V3 - Added Installed Facilities (New)</v>
          </cell>
          <cell r="AF1433">
            <v>42790</v>
          </cell>
          <cell r="AG1433">
            <v>9.17</v>
          </cell>
          <cell r="AH1433" t="str">
            <v>PPM</v>
          </cell>
          <cell r="AI1433" t="str">
            <v>Strands</v>
          </cell>
          <cell r="AJ1433" t="str">
            <v>Strands PW</v>
          </cell>
          <cell r="AK1433" t="str">
            <v>SNF received. 1st batch of V3 asset (December 2020)</v>
          </cell>
        </row>
        <row r="1434">
          <cell r="A1434" t="str">
            <v>IKN401138</v>
          </cell>
          <cell r="B1434">
            <v>1136</v>
          </cell>
          <cell r="C1434" t="str">
            <v>Institut Kanser Negara</v>
          </cell>
          <cell r="D1434" t="str">
            <v>KKM/IKN/H/13/2137</v>
          </cell>
          <cell r="E1434" t="str">
            <v>15-663</v>
          </cell>
          <cell r="F1434" t="str">
            <v>Pipetters</v>
          </cell>
          <cell r="G1434" t="str">
            <v>LA</v>
          </cell>
          <cell r="H1434" t="str">
            <v>PATHOLOGY</v>
          </cell>
          <cell r="I1434" t="str">
            <v>04LA126</v>
          </cell>
          <cell r="J1434" t="str">
            <v>MICROBIOLOGY UNIT</v>
          </cell>
          <cell r="K1434" t="str">
            <v>BMED</v>
          </cell>
          <cell r="L1434" t="str">
            <v>Normal</v>
          </cell>
          <cell r="M1434" t="str">
            <v>Germany</v>
          </cell>
          <cell r="N1434" t="str">
            <v>Eppendorf</v>
          </cell>
          <cell r="O1434" t="str">
            <v>Research Plus</v>
          </cell>
          <cell r="P1434" t="str">
            <v>O37551B</v>
          </cell>
          <cell r="Q1434" t="str">
            <v>Not Applicable</v>
          </cell>
          <cell r="R1434" t="str">
            <v>Eppendorf</v>
          </cell>
          <cell r="S1434" t="str">
            <v>Medigene sdn bhd</v>
          </cell>
          <cell r="T1434" t="str">
            <v>Functioning</v>
          </cell>
          <cell r="U1434" t="str">
            <v>Asset</v>
          </cell>
          <cell r="V1434">
            <v>1250</v>
          </cell>
          <cell r="W1434" t="str">
            <v>KEW</v>
          </cell>
          <cell r="X1434" t="str">
            <v>01/09/2010</v>
          </cell>
          <cell r="Y1434" t="str">
            <v>KEW</v>
          </cell>
          <cell r="Z1434" t="str">
            <v>16/08/2013</v>
          </cell>
          <cell r="AA1434" t="str">
            <v>15/08/2015</v>
          </cell>
          <cell r="AB1434" t="str">
            <v>No</v>
          </cell>
          <cell r="AC1434" t="str">
            <v>31/08/2013</v>
          </cell>
          <cell r="AD1434" t="str">
            <v>Good</v>
          </cell>
          <cell r="AE1434" t="str">
            <v>V3 - Added Installed Facilities (New)</v>
          </cell>
          <cell r="AF1434">
            <v>42790</v>
          </cell>
          <cell r="AG1434">
            <v>9.17</v>
          </cell>
          <cell r="AH1434" t="str">
            <v>PPM</v>
          </cell>
          <cell r="AI1434" t="str">
            <v>Strands</v>
          </cell>
          <cell r="AJ1434" t="str">
            <v>Strands PW</v>
          </cell>
          <cell r="AK1434" t="str">
            <v>SNF received. 1st batch of V3 asset (December 2020)</v>
          </cell>
        </row>
        <row r="1435">
          <cell r="A1435" t="str">
            <v>IKN401139</v>
          </cell>
          <cell r="B1435">
            <v>1137</v>
          </cell>
          <cell r="C1435" t="str">
            <v>Institut Kanser Negara</v>
          </cell>
          <cell r="D1435" t="str">
            <v>KKM/IKN/H/13/2136</v>
          </cell>
          <cell r="E1435" t="str">
            <v>15-663</v>
          </cell>
          <cell r="F1435" t="str">
            <v>Pipetters</v>
          </cell>
          <cell r="G1435" t="str">
            <v>LA</v>
          </cell>
          <cell r="H1435" t="str">
            <v>PATHOLOGY</v>
          </cell>
          <cell r="I1435" t="str">
            <v>04LA130</v>
          </cell>
          <cell r="J1435" t="str">
            <v>SEROLOGY</v>
          </cell>
          <cell r="K1435" t="str">
            <v>BMED</v>
          </cell>
          <cell r="L1435" t="str">
            <v>Normal</v>
          </cell>
          <cell r="M1435" t="str">
            <v>Germany</v>
          </cell>
          <cell r="N1435" t="str">
            <v>Eppendorf</v>
          </cell>
          <cell r="O1435" t="str">
            <v>Research Plus</v>
          </cell>
          <cell r="P1435" t="str">
            <v>O37540B</v>
          </cell>
          <cell r="Q1435" t="str">
            <v>Not Applicable</v>
          </cell>
          <cell r="R1435" t="str">
            <v>Eppendorf</v>
          </cell>
          <cell r="S1435" t="str">
            <v>Medigene sdn bhd</v>
          </cell>
          <cell r="T1435" t="str">
            <v>Functioning</v>
          </cell>
          <cell r="U1435" t="str">
            <v>Asset</v>
          </cell>
          <cell r="V1435">
            <v>1250</v>
          </cell>
          <cell r="W1435" t="str">
            <v>KEW</v>
          </cell>
          <cell r="X1435" t="str">
            <v>01/09/2010</v>
          </cell>
          <cell r="Y1435" t="str">
            <v>KEW</v>
          </cell>
          <cell r="Z1435" t="str">
            <v>16/08/2013</v>
          </cell>
          <cell r="AA1435" t="str">
            <v>15/08/2015</v>
          </cell>
          <cell r="AB1435" t="str">
            <v>No</v>
          </cell>
          <cell r="AC1435" t="str">
            <v>31/08/2013</v>
          </cell>
          <cell r="AD1435" t="str">
            <v>Good</v>
          </cell>
          <cell r="AE1435" t="str">
            <v>V3 - Added Installed Facilities (New)</v>
          </cell>
          <cell r="AF1435">
            <v>42235</v>
          </cell>
          <cell r="AG1435">
            <v>9.17</v>
          </cell>
          <cell r="AH1435" t="str">
            <v>PPM</v>
          </cell>
          <cell r="AI1435" t="str">
            <v>Strands</v>
          </cell>
          <cell r="AJ1435" t="str">
            <v>Strands PW</v>
          </cell>
          <cell r="AK1435" t="str">
            <v>SNF received. 1st batch of V3 asset (December 2020)</v>
          </cell>
        </row>
        <row r="1436">
          <cell r="A1436" t="str">
            <v>IKN401140</v>
          </cell>
          <cell r="B1436">
            <v>1138</v>
          </cell>
          <cell r="C1436" t="str">
            <v>Institut Kanser Negara</v>
          </cell>
          <cell r="D1436" t="str">
            <v>KKM/IKN/H/13/2137</v>
          </cell>
          <cell r="E1436" t="str">
            <v>15-663</v>
          </cell>
          <cell r="F1436" t="str">
            <v>Pipetters</v>
          </cell>
          <cell r="G1436" t="str">
            <v>LA</v>
          </cell>
          <cell r="H1436" t="str">
            <v>PATHOLOGY</v>
          </cell>
          <cell r="I1436" t="str">
            <v>04LA130</v>
          </cell>
          <cell r="J1436" t="str">
            <v>SEROLOGY</v>
          </cell>
          <cell r="K1436" t="str">
            <v>BMED</v>
          </cell>
          <cell r="L1436" t="str">
            <v>Normal</v>
          </cell>
          <cell r="M1436" t="str">
            <v>Germany</v>
          </cell>
          <cell r="N1436" t="str">
            <v>Eppendorf</v>
          </cell>
          <cell r="O1436" t="str">
            <v>Research Plus</v>
          </cell>
          <cell r="P1436" t="str">
            <v>O17131B</v>
          </cell>
          <cell r="Q1436" t="str">
            <v>Not Applicable</v>
          </cell>
          <cell r="R1436" t="str">
            <v>Eppendorf</v>
          </cell>
          <cell r="S1436" t="str">
            <v>Medigene sdn bhd</v>
          </cell>
          <cell r="T1436" t="str">
            <v>Functioning</v>
          </cell>
          <cell r="U1436" t="str">
            <v>Asset</v>
          </cell>
          <cell r="V1436">
            <v>1250</v>
          </cell>
          <cell r="W1436" t="str">
            <v>KEW</v>
          </cell>
          <cell r="X1436" t="str">
            <v>01/09/2010</v>
          </cell>
          <cell r="Y1436" t="str">
            <v>KEW</v>
          </cell>
          <cell r="Z1436" t="str">
            <v>16/08/2013</v>
          </cell>
          <cell r="AA1436" t="str">
            <v>15/08/2015</v>
          </cell>
          <cell r="AB1436" t="str">
            <v>No</v>
          </cell>
          <cell r="AC1436" t="str">
            <v>31/08/2013</v>
          </cell>
          <cell r="AD1436" t="str">
            <v>Good</v>
          </cell>
          <cell r="AE1436" t="str">
            <v>V3 - Added Installed Facilities (New)</v>
          </cell>
          <cell r="AF1436">
            <v>42790</v>
          </cell>
          <cell r="AG1436">
            <v>9.17</v>
          </cell>
          <cell r="AH1436" t="str">
            <v>PPM</v>
          </cell>
          <cell r="AI1436" t="str">
            <v>Strands</v>
          </cell>
          <cell r="AJ1436" t="str">
            <v>Strands PW</v>
          </cell>
          <cell r="AK1436" t="str">
            <v>SNF received. 1st batch of V3 asset (December 2020)</v>
          </cell>
        </row>
        <row r="1437">
          <cell r="A1437" t="str">
            <v>IKN401141</v>
          </cell>
          <cell r="B1437">
            <v>1139</v>
          </cell>
          <cell r="C1437" t="str">
            <v>Institut Kanser Negara</v>
          </cell>
          <cell r="D1437" t="str">
            <v>KKM/IKN/H/14/59</v>
          </cell>
          <cell r="E1437" t="str">
            <v>15-663</v>
          </cell>
          <cell r="F1437" t="str">
            <v>Pipetters</v>
          </cell>
          <cell r="G1437" t="str">
            <v>LA</v>
          </cell>
          <cell r="H1437" t="str">
            <v>PATHOLOGY</v>
          </cell>
          <cell r="I1437" t="str">
            <v>04LA140</v>
          </cell>
          <cell r="J1437" t="str">
            <v>BLOOD BANK</v>
          </cell>
          <cell r="K1437" t="str">
            <v>BMED</v>
          </cell>
          <cell r="L1437" t="str">
            <v>Normal</v>
          </cell>
          <cell r="M1437" t="str">
            <v>Germany</v>
          </cell>
          <cell r="N1437" t="str">
            <v>Eppendorf</v>
          </cell>
          <cell r="O1437" t="str">
            <v>Eppendorf Research Plus</v>
          </cell>
          <cell r="P1437" t="str">
            <v>L26830D</v>
          </cell>
          <cell r="Q1437" t="str">
            <v>Not Applicable</v>
          </cell>
          <cell r="R1437" t="str">
            <v>Eppendorf AG</v>
          </cell>
          <cell r="S1437" t="str">
            <v>Medigene sdn bhd</v>
          </cell>
          <cell r="T1437" t="str">
            <v>Functioning</v>
          </cell>
          <cell r="U1437" t="str">
            <v>Asset</v>
          </cell>
          <cell r="V1437">
            <v>750</v>
          </cell>
          <cell r="W1437" t="str">
            <v>KEW</v>
          </cell>
          <cell r="X1437" t="str">
            <v>10/10/2014</v>
          </cell>
          <cell r="Y1437" t="str">
            <v>KEW</v>
          </cell>
          <cell r="Z1437" t="str">
            <v>31/10/2014</v>
          </cell>
          <cell r="AA1437" t="str">
            <v>30/10/2017</v>
          </cell>
          <cell r="AB1437" t="str">
            <v>No</v>
          </cell>
          <cell r="AC1437" t="str">
            <v>31/10/2014</v>
          </cell>
          <cell r="AD1437" t="str">
            <v>Good</v>
          </cell>
          <cell r="AE1437" t="str">
            <v>V3 - Added Installed Facilities (New)</v>
          </cell>
          <cell r="AF1437">
            <v>42790</v>
          </cell>
          <cell r="AG1437">
            <v>5.08</v>
          </cell>
          <cell r="AH1437" t="str">
            <v>PPM</v>
          </cell>
          <cell r="AI1437" t="str">
            <v>Strands</v>
          </cell>
          <cell r="AJ1437" t="str">
            <v>Strands PW</v>
          </cell>
          <cell r="AK1437" t="str">
            <v>SNF received. 1st batch of V3 asset (December 2020)</v>
          </cell>
        </row>
        <row r="1438">
          <cell r="A1438" t="str">
            <v>IKN401142</v>
          </cell>
          <cell r="B1438">
            <v>1140</v>
          </cell>
          <cell r="C1438" t="str">
            <v>Institut Kanser Negara</v>
          </cell>
          <cell r="D1438" t="str">
            <v>KKM/IKN/H/14/60</v>
          </cell>
          <cell r="E1438" t="str">
            <v>15-663</v>
          </cell>
          <cell r="F1438" t="str">
            <v>Pipetters</v>
          </cell>
          <cell r="G1438" t="str">
            <v>LA</v>
          </cell>
          <cell r="H1438" t="str">
            <v>PATHOLOGY</v>
          </cell>
          <cell r="I1438" t="str">
            <v>04LA140</v>
          </cell>
          <cell r="J1438" t="str">
            <v>BLOOD BANK</v>
          </cell>
          <cell r="K1438" t="str">
            <v>BMED</v>
          </cell>
          <cell r="L1438" t="str">
            <v>Normal</v>
          </cell>
          <cell r="M1438" t="str">
            <v>Germany</v>
          </cell>
          <cell r="N1438" t="str">
            <v>Eppendorf</v>
          </cell>
          <cell r="O1438" t="str">
            <v>Eppendorf Research Plus</v>
          </cell>
          <cell r="P1438" t="str">
            <v>L27081D</v>
          </cell>
          <cell r="Q1438" t="str">
            <v>Not Applicable</v>
          </cell>
          <cell r="R1438" t="str">
            <v>Eppendorf AG</v>
          </cell>
          <cell r="S1438" t="str">
            <v>Medigene sdn bhd</v>
          </cell>
          <cell r="T1438" t="str">
            <v>Functioning</v>
          </cell>
          <cell r="U1438" t="str">
            <v>Asset</v>
          </cell>
          <cell r="V1438">
            <v>750</v>
          </cell>
          <cell r="W1438" t="str">
            <v>KEW</v>
          </cell>
          <cell r="X1438" t="str">
            <v>10/10/2014</v>
          </cell>
          <cell r="Y1438" t="str">
            <v>KEW</v>
          </cell>
          <cell r="Z1438" t="str">
            <v>31/10/2014</v>
          </cell>
          <cell r="AA1438" t="str">
            <v>30/10/2017</v>
          </cell>
          <cell r="AB1438" t="str">
            <v>No</v>
          </cell>
          <cell r="AC1438" t="str">
            <v>31/10/2014</v>
          </cell>
          <cell r="AD1438" t="str">
            <v>Good</v>
          </cell>
          <cell r="AE1438" t="str">
            <v>V3 - Added Installed Facilities (New)</v>
          </cell>
          <cell r="AF1438">
            <v>42677</v>
          </cell>
          <cell r="AG1438">
            <v>5.08</v>
          </cell>
          <cell r="AH1438" t="str">
            <v>PPM</v>
          </cell>
          <cell r="AI1438" t="str">
            <v>Strands</v>
          </cell>
          <cell r="AJ1438" t="str">
            <v>Strands PW</v>
          </cell>
          <cell r="AK1438" t="str">
            <v>SNF received. 1st batch of V3 asset (December 2020)</v>
          </cell>
        </row>
        <row r="1439">
          <cell r="A1439" t="str">
            <v>IKN401143</v>
          </cell>
          <cell r="B1439">
            <v>1141</v>
          </cell>
          <cell r="C1439" t="str">
            <v>Institut Kanser Negara</v>
          </cell>
          <cell r="D1439" t="str">
            <v>KKM/IKN/H/13/2138</v>
          </cell>
          <cell r="E1439" t="str">
            <v>15-663</v>
          </cell>
          <cell r="F1439" t="str">
            <v>Pipetters</v>
          </cell>
          <cell r="G1439" t="str">
            <v>LA</v>
          </cell>
          <cell r="H1439" t="str">
            <v>PATHOLOGY</v>
          </cell>
          <cell r="I1439" t="str">
            <v>04LA132</v>
          </cell>
          <cell r="J1439" t="str">
            <v>HAEMATOLOGY LAB 2</v>
          </cell>
          <cell r="K1439" t="str">
            <v>BMED</v>
          </cell>
          <cell r="L1439" t="str">
            <v>Normal</v>
          </cell>
          <cell r="M1439" t="str">
            <v>Germany</v>
          </cell>
          <cell r="N1439" t="str">
            <v>Eppendorf</v>
          </cell>
          <cell r="O1439" t="str">
            <v>Research Plus</v>
          </cell>
          <cell r="P1439" t="str">
            <v>O17006B</v>
          </cell>
          <cell r="Q1439" t="str">
            <v>Not Applicable</v>
          </cell>
          <cell r="R1439" t="str">
            <v>Eppendorf</v>
          </cell>
          <cell r="S1439" t="str">
            <v>Medigene sdn bhd</v>
          </cell>
          <cell r="T1439" t="str">
            <v>Functioning</v>
          </cell>
          <cell r="U1439" t="str">
            <v>Asset</v>
          </cell>
          <cell r="V1439">
            <v>1250</v>
          </cell>
          <cell r="W1439" t="str">
            <v>KEW</v>
          </cell>
          <cell r="X1439" t="str">
            <v>01/09/2010</v>
          </cell>
          <cell r="Y1439" t="str">
            <v>KEW</v>
          </cell>
          <cell r="Z1439" t="str">
            <v>16/08/2013</v>
          </cell>
          <cell r="AA1439" t="str">
            <v>15/08/2015</v>
          </cell>
          <cell r="AB1439" t="str">
            <v>No</v>
          </cell>
          <cell r="AC1439" t="str">
            <v>31/08/2013</v>
          </cell>
          <cell r="AD1439" t="str">
            <v>Good</v>
          </cell>
          <cell r="AE1439" t="str">
            <v>V3 - Added Installed Facilities (New)</v>
          </cell>
          <cell r="AF1439">
            <v>42790</v>
          </cell>
          <cell r="AG1439">
            <v>9.17</v>
          </cell>
          <cell r="AH1439" t="str">
            <v>PPM</v>
          </cell>
          <cell r="AI1439" t="str">
            <v>Strands</v>
          </cell>
          <cell r="AJ1439" t="str">
            <v>Strands PW</v>
          </cell>
          <cell r="AK1439" t="str">
            <v>SNF received. 1st batch of V3 asset (December 2020)</v>
          </cell>
        </row>
        <row r="1440">
          <cell r="A1440" t="str">
            <v>IKN401144</v>
          </cell>
          <cell r="B1440">
            <v>1142</v>
          </cell>
          <cell r="C1440" t="str">
            <v>Institut Kanser Negara</v>
          </cell>
          <cell r="D1440" t="str">
            <v>KKM/IKN/H/13/2138</v>
          </cell>
          <cell r="E1440" t="str">
            <v>15-663</v>
          </cell>
          <cell r="F1440" t="str">
            <v>Pipetters</v>
          </cell>
          <cell r="G1440" t="str">
            <v>LA</v>
          </cell>
          <cell r="H1440" t="str">
            <v>PATHOLOGY</v>
          </cell>
          <cell r="I1440" t="str">
            <v>04LA132</v>
          </cell>
          <cell r="J1440" t="str">
            <v>HAEMATOLOGY LAB 2</v>
          </cell>
          <cell r="K1440" t="str">
            <v>BMED</v>
          </cell>
          <cell r="L1440" t="str">
            <v>Normal</v>
          </cell>
          <cell r="M1440" t="str">
            <v>Germany</v>
          </cell>
          <cell r="N1440" t="str">
            <v>Eppendorf</v>
          </cell>
          <cell r="O1440" t="str">
            <v>Research Plus</v>
          </cell>
          <cell r="P1440" t="str">
            <v>O11935B</v>
          </cell>
          <cell r="Q1440" t="str">
            <v>Not Applicable</v>
          </cell>
          <cell r="R1440" t="str">
            <v>Eppendorf</v>
          </cell>
          <cell r="S1440" t="str">
            <v>Medigene sdn bhd</v>
          </cell>
          <cell r="T1440" t="str">
            <v>Functioning</v>
          </cell>
          <cell r="U1440" t="str">
            <v>Asset</v>
          </cell>
          <cell r="V1440">
            <v>1250</v>
          </cell>
          <cell r="W1440" t="str">
            <v>KEW</v>
          </cell>
          <cell r="X1440" t="str">
            <v>01/09/2010</v>
          </cell>
          <cell r="Y1440" t="str">
            <v>KEW</v>
          </cell>
          <cell r="Z1440" t="str">
            <v>16/08/2013</v>
          </cell>
          <cell r="AA1440" t="str">
            <v>15/08/2015</v>
          </cell>
          <cell r="AB1440" t="str">
            <v>No</v>
          </cell>
          <cell r="AC1440" t="str">
            <v>31/08/2013</v>
          </cell>
          <cell r="AD1440" t="str">
            <v>Good</v>
          </cell>
          <cell r="AE1440" t="str">
            <v>V3 - Added Installed Facilities (New)</v>
          </cell>
          <cell r="AF1440">
            <v>42235</v>
          </cell>
          <cell r="AG1440">
            <v>9.17</v>
          </cell>
          <cell r="AH1440" t="str">
            <v>PPM</v>
          </cell>
          <cell r="AI1440" t="str">
            <v>Strands</v>
          </cell>
          <cell r="AJ1440" t="str">
            <v>Strands PW</v>
          </cell>
          <cell r="AK1440" t="str">
            <v>SNF received. 1st batch of V3 asset (December 2020)</v>
          </cell>
        </row>
        <row r="1441">
          <cell r="A1441" t="str">
            <v>IKN401145</v>
          </cell>
          <cell r="B1441">
            <v>1143</v>
          </cell>
          <cell r="C1441" t="str">
            <v>Institut Kanser Negara</v>
          </cell>
          <cell r="D1441" t="str">
            <v>KKM/IKN/H/13/2138</v>
          </cell>
          <cell r="E1441" t="str">
            <v>15-663</v>
          </cell>
          <cell r="F1441" t="str">
            <v>Pipetters</v>
          </cell>
          <cell r="G1441" t="str">
            <v>LA</v>
          </cell>
          <cell r="H1441" t="str">
            <v>PATHOLOGY</v>
          </cell>
          <cell r="I1441" t="str">
            <v>04LA132</v>
          </cell>
          <cell r="J1441" t="str">
            <v>HAEMATOLOGY LAB 2</v>
          </cell>
          <cell r="K1441" t="str">
            <v>BMED</v>
          </cell>
          <cell r="L1441" t="str">
            <v>Normal</v>
          </cell>
          <cell r="M1441" t="str">
            <v>Germany</v>
          </cell>
          <cell r="N1441" t="str">
            <v>Eppendorf</v>
          </cell>
          <cell r="O1441" t="str">
            <v>Research Plus</v>
          </cell>
          <cell r="P1441" t="str">
            <v>O37539B</v>
          </cell>
          <cell r="Q1441" t="str">
            <v>Not Applicable</v>
          </cell>
          <cell r="R1441" t="str">
            <v>Eppendorf</v>
          </cell>
          <cell r="S1441" t="str">
            <v>Medigene sdn bhd</v>
          </cell>
          <cell r="T1441" t="str">
            <v>Functioning</v>
          </cell>
          <cell r="U1441" t="str">
            <v>Asset</v>
          </cell>
          <cell r="V1441">
            <v>1250</v>
          </cell>
          <cell r="W1441" t="str">
            <v>KEW</v>
          </cell>
          <cell r="X1441" t="str">
            <v>01/09/2010</v>
          </cell>
          <cell r="Y1441" t="str">
            <v>KEW</v>
          </cell>
          <cell r="Z1441" t="str">
            <v>16/08/2013</v>
          </cell>
          <cell r="AA1441" t="str">
            <v>15/08/2015</v>
          </cell>
          <cell r="AB1441" t="str">
            <v>No</v>
          </cell>
          <cell r="AC1441" t="str">
            <v>31/08/2013</v>
          </cell>
          <cell r="AD1441" t="str">
            <v>Good</v>
          </cell>
          <cell r="AE1441" t="str">
            <v>V3 - Added Installed Facilities (New)</v>
          </cell>
          <cell r="AF1441">
            <v>42235</v>
          </cell>
          <cell r="AG1441">
            <v>9.17</v>
          </cell>
          <cell r="AH1441" t="str">
            <v>PPM</v>
          </cell>
          <cell r="AI1441" t="str">
            <v>Strands</v>
          </cell>
          <cell r="AJ1441" t="str">
            <v>Strands PW</v>
          </cell>
          <cell r="AK1441" t="str">
            <v>SNF received. 1st batch of V3 asset (December 2020)</v>
          </cell>
        </row>
        <row r="1442">
          <cell r="A1442" t="str">
            <v>IKN401146</v>
          </cell>
          <cell r="B1442">
            <v>1144</v>
          </cell>
          <cell r="C1442" t="str">
            <v>Institut Kanser Negara</v>
          </cell>
          <cell r="D1442" t="str">
            <v>KKM/IKN/H/13/2140</v>
          </cell>
          <cell r="E1442" t="str">
            <v>15-663</v>
          </cell>
          <cell r="F1442" t="str">
            <v>Pipetters</v>
          </cell>
          <cell r="G1442" t="str">
            <v>LA</v>
          </cell>
          <cell r="H1442" t="str">
            <v>PATHOLOGY</v>
          </cell>
          <cell r="I1442" t="str">
            <v>04LA133</v>
          </cell>
          <cell r="J1442" t="str">
            <v>CHEMICAL PATHOLOGY 1</v>
          </cell>
          <cell r="K1442" t="str">
            <v>BMED</v>
          </cell>
          <cell r="L1442" t="str">
            <v>Normal</v>
          </cell>
          <cell r="M1442" t="str">
            <v>Germany</v>
          </cell>
          <cell r="N1442" t="str">
            <v>Eppendorf</v>
          </cell>
          <cell r="O1442" t="str">
            <v>Research Plus</v>
          </cell>
          <cell r="P1442" t="str">
            <v>O17248B</v>
          </cell>
          <cell r="Q1442" t="str">
            <v>Not Applicable</v>
          </cell>
          <cell r="R1442" t="str">
            <v>Eppendorf</v>
          </cell>
          <cell r="S1442" t="str">
            <v>Medigene sdn bhd</v>
          </cell>
          <cell r="T1442" t="str">
            <v>Functioning</v>
          </cell>
          <cell r="U1442" t="str">
            <v>Asset</v>
          </cell>
          <cell r="V1442">
            <v>1250</v>
          </cell>
          <cell r="W1442" t="str">
            <v>KEW</v>
          </cell>
          <cell r="X1442" t="str">
            <v>01/09/2010</v>
          </cell>
          <cell r="Y1442" t="str">
            <v>KEW</v>
          </cell>
          <cell r="Z1442" t="str">
            <v>16/08/2013</v>
          </cell>
          <cell r="AA1442" t="str">
            <v>15/08/2015</v>
          </cell>
          <cell r="AB1442" t="str">
            <v>No</v>
          </cell>
          <cell r="AC1442" t="str">
            <v>31/08/2013</v>
          </cell>
          <cell r="AD1442" t="str">
            <v>Good</v>
          </cell>
          <cell r="AE1442" t="str">
            <v>V3 - Added Installed Facilities (New)</v>
          </cell>
          <cell r="AF1442">
            <v>42235</v>
          </cell>
          <cell r="AG1442">
            <v>9.17</v>
          </cell>
          <cell r="AH1442" t="str">
            <v>PPM</v>
          </cell>
          <cell r="AI1442" t="str">
            <v>Strands</v>
          </cell>
          <cell r="AJ1442" t="str">
            <v>Strands PW</v>
          </cell>
          <cell r="AK1442" t="str">
            <v>SNF received. 1st batch of V3 asset (December 2020)</v>
          </cell>
        </row>
        <row r="1443">
          <cell r="A1443" t="str">
            <v>IKN401147</v>
          </cell>
          <cell r="B1443">
            <v>1145</v>
          </cell>
          <cell r="C1443" t="str">
            <v>Institut Kanser Negara</v>
          </cell>
          <cell r="D1443" t="str">
            <v>KKM/IKN/H/13/2140</v>
          </cell>
          <cell r="E1443" t="str">
            <v>15-663</v>
          </cell>
          <cell r="F1443" t="str">
            <v>Pipetters</v>
          </cell>
          <cell r="G1443" t="str">
            <v>LA</v>
          </cell>
          <cell r="H1443" t="str">
            <v>PATHOLOGY</v>
          </cell>
          <cell r="I1443" t="str">
            <v>04LA133</v>
          </cell>
          <cell r="J1443" t="str">
            <v>CHEMICAL PATHOLOGY 1</v>
          </cell>
          <cell r="K1443" t="str">
            <v>BMED</v>
          </cell>
          <cell r="L1443" t="str">
            <v>Normal</v>
          </cell>
          <cell r="M1443" t="str">
            <v>Germany</v>
          </cell>
          <cell r="N1443" t="str">
            <v>Eppendorf</v>
          </cell>
          <cell r="O1443" t="str">
            <v>Research Plus</v>
          </cell>
          <cell r="P1443" t="str">
            <v>O37479B</v>
          </cell>
          <cell r="Q1443" t="str">
            <v>Not Applicable</v>
          </cell>
          <cell r="R1443" t="str">
            <v>Eppendorf</v>
          </cell>
          <cell r="S1443" t="str">
            <v>Medigene sdn bhd</v>
          </cell>
          <cell r="T1443" t="str">
            <v>Functioning</v>
          </cell>
          <cell r="U1443" t="str">
            <v>Asset</v>
          </cell>
          <cell r="V1443">
            <v>1250</v>
          </cell>
          <cell r="W1443" t="str">
            <v>KEW</v>
          </cell>
          <cell r="X1443" t="str">
            <v>01/09/2010</v>
          </cell>
          <cell r="Y1443" t="str">
            <v>KEW</v>
          </cell>
          <cell r="Z1443" t="str">
            <v>16/08/2013</v>
          </cell>
          <cell r="AA1443" t="str">
            <v>15/08/2015</v>
          </cell>
          <cell r="AB1443" t="str">
            <v>No</v>
          </cell>
          <cell r="AC1443" t="str">
            <v>31/08/2013</v>
          </cell>
          <cell r="AD1443" t="str">
            <v>Good</v>
          </cell>
          <cell r="AE1443" t="str">
            <v>V3 - Added Installed Facilities (New)</v>
          </cell>
          <cell r="AF1443">
            <v>42235</v>
          </cell>
          <cell r="AG1443">
            <v>9.17</v>
          </cell>
          <cell r="AH1443" t="str">
            <v>PPM</v>
          </cell>
          <cell r="AI1443" t="str">
            <v>Strands</v>
          </cell>
          <cell r="AJ1443" t="str">
            <v>Strands PW</v>
          </cell>
          <cell r="AK1443" t="str">
            <v>SNF received. 1st batch of V3 asset (December 2020)</v>
          </cell>
        </row>
        <row r="1444">
          <cell r="A1444" t="str">
            <v>IKN401148</v>
          </cell>
          <cell r="B1444">
            <v>1146</v>
          </cell>
          <cell r="C1444" t="str">
            <v>Institut Kanser Negara</v>
          </cell>
          <cell r="D1444" t="str">
            <v>KKM/IKN/H/13/2139</v>
          </cell>
          <cell r="E1444" t="str">
            <v>15-663</v>
          </cell>
          <cell r="F1444" t="str">
            <v>Pipetters</v>
          </cell>
          <cell r="G1444" t="str">
            <v>LA</v>
          </cell>
          <cell r="H1444" t="str">
            <v>PATHOLOGY</v>
          </cell>
          <cell r="I1444" t="str">
            <v>04LA133</v>
          </cell>
          <cell r="J1444" t="str">
            <v>CHEMICAL PATHOLOGY 1</v>
          </cell>
          <cell r="K1444" t="str">
            <v>BMED</v>
          </cell>
          <cell r="L1444" t="str">
            <v>Normal</v>
          </cell>
          <cell r="M1444" t="str">
            <v>Germany</v>
          </cell>
          <cell r="N1444" t="str">
            <v>Eppendorf</v>
          </cell>
          <cell r="O1444" t="str">
            <v>Research Plus</v>
          </cell>
          <cell r="P1444" t="str">
            <v>O16923B</v>
          </cell>
          <cell r="Q1444" t="str">
            <v>Not Applicable</v>
          </cell>
          <cell r="R1444" t="str">
            <v>Eppendorf</v>
          </cell>
          <cell r="S1444" t="str">
            <v>Medigene sdn bhd</v>
          </cell>
          <cell r="T1444" t="str">
            <v>Functioning</v>
          </cell>
          <cell r="U1444" t="str">
            <v>Asset</v>
          </cell>
          <cell r="V1444">
            <v>1250</v>
          </cell>
          <cell r="W1444" t="str">
            <v>KEW</v>
          </cell>
          <cell r="X1444" t="str">
            <v>01/09/2010</v>
          </cell>
          <cell r="Y1444" t="str">
            <v>KEW</v>
          </cell>
          <cell r="Z1444" t="str">
            <v>16/08/2013</v>
          </cell>
          <cell r="AA1444" t="str">
            <v>15/08/2015</v>
          </cell>
          <cell r="AB1444" t="str">
            <v>No</v>
          </cell>
          <cell r="AC1444" t="str">
            <v>31/08/2013</v>
          </cell>
          <cell r="AD1444" t="str">
            <v>Good</v>
          </cell>
          <cell r="AE1444" t="str">
            <v>V3 - Added Installed Facilities (New)</v>
          </cell>
          <cell r="AF1444">
            <v>42790</v>
          </cell>
          <cell r="AG1444">
            <v>9.17</v>
          </cell>
          <cell r="AH1444" t="str">
            <v>PPM</v>
          </cell>
          <cell r="AI1444" t="str">
            <v>Strands</v>
          </cell>
          <cell r="AJ1444" t="str">
            <v>Strands PW</v>
          </cell>
          <cell r="AK1444" t="str">
            <v>SNF received. 1st batch of V3 asset (December 2020)</v>
          </cell>
        </row>
        <row r="1445">
          <cell r="A1445" t="str">
            <v>IKN401149</v>
          </cell>
          <cell r="B1445">
            <v>1147</v>
          </cell>
          <cell r="C1445" t="str">
            <v>Institut Kanser Negara</v>
          </cell>
          <cell r="D1445" t="str">
            <v>KKM/IKN/H/13/2140</v>
          </cell>
          <cell r="E1445" t="str">
            <v>15-663</v>
          </cell>
          <cell r="F1445" t="str">
            <v>Pipetters</v>
          </cell>
          <cell r="G1445" t="str">
            <v>LA</v>
          </cell>
          <cell r="H1445" t="str">
            <v>PATHOLOGY</v>
          </cell>
          <cell r="I1445" t="str">
            <v>04LA133</v>
          </cell>
          <cell r="J1445" t="str">
            <v>CHEMICAL PATHOLOGY 1</v>
          </cell>
          <cell r="K1445" t="str">
            <v>BMED</v>
          </cell>
          <cell r="L1445" t="str">
            <v>Normal</v>
          </cell>
          <cell r="M1445" t="str">
            <v>Germany</v>
          </cell>
          <cell r="N1445" t="str">
            <v>Eppendorf</v>
          </cell>
          <cell r="O1445" t="str">
            <v>Research Plus</v>
          </cell>
          <cell r="P1445" t="str">
            <v>O11931B</v>
          </cell>
          <cell r="Q1445" t="str">
            <v>Not Applicable</v>
          </cell>
          <cell r="R1445" t="str">
            <v>Eppendorf</v>
          </cell>
          <cell r="S1445" t="str">
            <v>Medigene sdn bhd</v>
          </cell>
          <cell r="T1445" t="str">
            <v>Functioning</v>
          </cell>
          <cell r="U1445" t="str">
            <v>Asset</v>
          </cell>
          <cell r="V1445">
            <v>1250</v>
          </cell>
          <cell r="W1445" t="str">
            <v>KEW</v>
          </cell>
          <cell r="X1445" t="str">
            <v>01/09/2010</v>
          </cell>
          <cell r="Y1445" t="str">
            <v>KEW</v>
          </cell>
          <cell r="Z1445" t="str">
            <v>16/08/2013</v>
          </cell>
          <cell r="AA1445" t="str">
            <v>15/08/2015</v>
          </cell>
          <cell r="AB1445" t="str">
            <v>No</v>
          </cell>
          <cell r="AC1445" t="str">
            <v>31/08/2013</v>
          </cell>
          <cell r="AD1445" t="str">
            <v>Good</v>
          </cell>
          <cell r="AE1445" t="str">
            <v>V3 - Added Installed Facilities (New)</v>
          </cell>
          <cell r="AF1445">
            <v>42235</v>
          </cell>
          <cell r="AG1445">
            <v>9.17</v>
          </cell>
          <cell r="AH1445" t="str">
            <v>PPM</v>
          </cell>
          <cell r="AI1445" t="str">
            <v>Strands</v>
          </cell>
          <cell r="AJ1445" t="str">
            <v>Strands PW</v>
          </cell>
          <cell r="AK1445" t="str">
            <v>SNF received. 1st batch of V3 asset (December 2020)</v>
          </cell>
        </row>
        <row r="1446">
          <cell r="A1446" t="str">
            <v>IKN401150</v>
          </cell>
          <cell r="B1446">
            <v>1148</v>
          </cell>
          <cell r="C1446" t="str">
            <v>Institut Kanser Negara</v>
          </cell>
          <cell r="D1446" t="str">
            <v>KKM/IKN/H/14/49</v>
          </cell>
          <cell r="E1446" t="str">
            <v>15-663</v>
          </cell>
          <cell r="F1446" t="str">
            <v>Pipetters</v>
          </cell>
          <cell r="G1446" t="str">
            <v>LA</v>
          </cell>
          <cell r="H1446" t="str">
            <v>PATHOLOGY</v>
          </cell>
          <cell r="I1446" t="str">
            <v>04LA133</v>
          </cell>
          <cell r="J1446" t="str">
            <v>CHEMICAL PATHOLOGY 1</v>
          </cell>
          <cell r="K1446" t="str">
            <v>BMED</v>
          </cell>
          <cell r="L1446" t="str">
            <v>Normal</v>
          </cell>
          <cell r="M1446" t="str">
            <v>Germany</v>
          </cell>
          <cell r="N1446" t="str">
            <v>Eppendorf</v>
          </cell>
          <cell r="O1446" t="str">
            <v>Eppendorf Research Plus</v>
          </cell>
          <cell r="P1446" t="str">
            <v>J39319D</v>
          </cell>
          <cell r="Q1446" t="str">
            <v>Not Applicable</v>
          </cell>
          <cell r="R1446" t="str">
            <v>Eppendorf AG</v>
          </cell>
          <cell r="S1446" t="str">
            <v>Medigene sdn bhd</v>
          </cell>
          <cell r="T1446" t="str">
            <v>Functioning</v>
          </cell>
          <cell r="U1446" t="str">
            <v>Asset</v>
          </cell>
          <cell r="V1446">
            <v>750</v>
          </cell>
          <cell r="W1446" t="str">
            <v>KEW</v>
          </cell>
          <cell r="X1446" t="str">
            <v>24/09/2014</v>
          </cell>
          <cell r="Y1446" t="str">
            <v>KEW</v>
          </cell>
          <cell r="Z1446" t="str">
            <v>20/11/2014</v>
          </cell>
          <cell r="AA1446" t="str">
            <v>19/11/2017</v>
          </cell>
          <cell r="AB1446" t="str">
            <v>No</v>
          </cell>
          <cell r="AC1446" t="str">
            <v>20/11/2014</v>
          </cell>
          <cell r="AD1446" t="str">
            <v>Good</v>
          </cell>
          <cell r="AE1446" t="str">
            <v>V3 - Added Installed Facilities (New)</v>
          </cell>
          <cell r="AF1446">
            <v>42382</v>
          </cell>
          <cell r="AG1446">
            <v>5.17</v>
          </cell>
          <cell r="AH1446" t="str">
            <v>PPM</v>
          </cell>
          <cell r="AI1446" t="str">
            <v>Strands</v>
          </cell>
          <cell r="AJ1446" t="str">
            <v>Strands PW</v>
          </cell>
          <cell r="AK1446" t="str">
            <v>SNF received. 1st batch of V3 asset (December 2020)</v>
          </cell>
        </row>
        <row r="1447">
          <cell r="A1447" t="str">
            <v>IKN401151</v>
          </cell>
          <cell r="B1447">
            <v>1149</v>
          </cell>
          <cell r="C1447" t="str">
            <v>Institut Kanser Negara</v>
          </cell>
          <cell r="D1447" t="str">
            <v>KKM/IKN/H/13/2139</v>
          </cell>
          <cell r="E1447" t="str">
            <v>15-663</v>
          </cell>
          <cell r="F1447" t="str">
            <v>Pipetters</v>
          </cell>
          <cell r="G1447" t="str">
            <v>LA</v>
          </cell>
          <cell r="H1447" t="str">
            <v>PATHOLOGY</v>
          </cell>
          <cell r="I1447" t="str">
            <v>04LA133</v>
          </cell>
          <cell r="J1447" t="str">
            <v>CHEMICAL PATHOLOGY 1</v>
          </cell>
          <cell r="K1447" t="str">
            <v>BMED</v>
          </cell>
          <cell r="L1447" t="str">
            <v>Normal</v>
          </cell>
          <cell r="M1447" t="str">
            <v>Germany</v>
          </cell>
          <cell r="N1447" t="str">
            <v>Eppendorf</v>
          </cell>
          <cell r="O1447" t="str">
            <v>Research Plus</v>
          </cell>
          <cell r="P1447" t="str">
            <v>O11807B</v>
          </cell>
          <cell r="Q1447" t="str">
            <v>Not Applicable</v>
          </cell>
          <cell r="R1447" t="str">
            <v>Eppendorf</v>
          </cell>
          <cell r="S1447" t="str">
            <v>Medigene sdn bhd</v>
          </cell>
          <cell r="T1447" t="str">
            <v>Functioning</v>
          </cell>
          <cell r="U1447" t="str">
            <v>Asset</v>
          </cell>
          <cell r="V1447">
            <v>1250</v>
          </cell>
          <cell r="W1447" t="str">
            <v>KEW</v>
          </cell>
          <cell r="X1447" t="str">
            <v>01/09/2010</v>
          </cell>
          <cell r="Y1447" t="str">
            <v>KEW</v>
          </cell>
          <cell r="Z1447" t="str">
            <v>16/08/2013</v>
          </cell>
          <cell r="AA1447" t="str">
            <v>15/08/2015</v>
          </cell>
          <cell r="AB1447" t="str">
            <v>No</v>
          </cell>
          <cell r="AC1447" t="str">
            <v>31/08/2013</v>
          </cell>
          <cell r="AD1447" t="str">
            <v>Good</v>
          </cell>
          <cell r="AE1447" t="str">
            <v>V3 - Added Installed Facilities (New)</v>
          </cell>
          <cell r="AF1447">
            <v>42790</v>
          </cell>
          <cell r="AG1447">
            <v>9.17</v>
          </cell>
          <cell r="AH1447" t="str">
            <v>PPM</v>
          </cell>
          <cell r="AI1447" t="str">
            <v>Strands</v>
          </cell>
          <cell r="AJ1447" t="str">
            <v>Strands PW</v>
          </cell>
          <cell r="AK1447" t="str">
            <v>SNF received. 1st batch of V3 asset (December 2020)</v>
          </cell>
        </row>
        <row r="1448">
          <cell r="A1448" t="str">
            <v>IKN401152</v>
          </cell>
          <cell r="B1448">
            <v>1150</v>
          </cell>
          <cell r="C1448" t="str">
            <v>Institut Kanser Negara</v>
          </cell>
          <cell r="D1448" t="str">
            <v>KKM/IKN/H/13/2139</v>
          </cell>
          <cell r="E1448" t="str">
            <v>15-663</v>
          </cell>
          <cell r="F1448" t="str">
            <v>Pipetters</v>
          </cell>
          <cell r="G1448" t="str">
            <v>LA</v>
          </cell>
          <cell r="H1448" t="str">
            <v>PATHOLOGY</v>
          </cell>
          <cell r="I1448" t="str">
            <v>04LA133</v>
          </cell>
          <cell r="J1448" t="str">
            <v>CHEMICAL PATHOLOGY 1</v>
          </cell>
          <cell r="K1448" t="str">
            <v>BMED</v>
          </cell>
          <cell r="L1448" t="str">
            <v>Normal</v>
          </cell>
          <cell r="M1448" t="str">
            <v>Germany</v>
          </cell>
          <cell r="N1448" t="str">
            <v>Eppendorf</v>
          </cell>
          <cell r="O1448" t="str">
            <v>Research Plus</v>
          </cell>
          <cell r="P1448" t="str">
            <v>O37559B</v>
          </cell>
          <cell r="Q1448" t="str">
            <v>Not Applicable</v>
          </cell>
          <cell r="R1448" t="str">
            <v>Eppendorf</v>
          </cell>
          <cell r="S1448" t="str">
            <v>Medigene sdn bhd</v>
          </cell>
          <cell r="T1448" t="str">
            <v>Functioning</v>
          </cell>
          <cell r="U1448" t="str">
            <v>Asset</v>
          </cell>
          <cell r="V1448">
            <v>1250</v>
          </cell>
          <cell r="W1448" t="str">
            <v>KEW</v>
          </cell>
          <cell r="X1448" t="str">
            <v>01/09/2010</v>
          </cell>
          <cell r="Y1448" t="str">
            <v>KEW</v>
          </cell>
          <cell r="Z1448" t="str">
            <v>16/08/2013</v>
          </cell>
          <cell r="AA1448" t="str">
            <v>15/08/2015</v>
          </cell>
          <cell r="AB1448" t="str">
            <v>No</v>
          </cell>
          <cell r="AC1448" t="str">
            <v>31/08/2013</v>
          </cell>
          <cell r="AD1448" t="str">
            <v>Good</v>
          </cell>
          <cell r="AE1448" t="str">
            <v>V3 - Added Installed Facilities (New)</v>
          </cell>
          <cell r="AF1448">
            <v>42790</v>
          </cell>
          <cell r="AG1448">
            <v>9.17</v>
          </cell>
          <cell r="AH1448" t="str">
            <v>PPM</v>
          </cell>
          <cell r="AI1448" t="str">
            <v>Strands</v>
          </cell>
          <cell r="AJ1448" t="str">
            <v>Strands PW</v>
          </cell>
          <cell r="AK1448" t="str">
            <v>SNF received. 1st batch of V3 asset (December 2020)</v>
          </cell>
        </row>
        <row r="1449">
          <cell r="A1449" t="str">
            <v>IKN401159</v>
          </cell>
          <cell r="B1449">
            <v>1157</v>
          </cell>
          <cell r="C1449" t="str">
            <v>Institut Kanser Negara</v>
          </cell>
          <cell r="D1449" t="str">
            <v>KKM/IKN/H/13/2309</v>
          </cell>
          <cell r="E1449" t="str">
            <v>11-295</v>
          </cell>
          <cell r="F1449" t="str">
            <v>Dosimeters, Radiation</v>
          </cell>
          <cell r="G1449" t="str">
            <v>ID</v>
          </cell>
          <cell r="H1449" t="str">
            <v>IMAGING DEPARTMENT</v>
          </cell>
          <cell r="I1449" t="str">
            <v>03ID169</v>
          </cell>
          <cell r="J1449" t="str">
            <v>RADIOGRAPHER</v>
          </cell>
          <cell r="K1449" t="str">
            <v>BMED</v>
          </cell>
          <cell r="L1449" t="str">
            <v>Normal</v>
          </cell>
          <cell r="M1449" t="str">
            <v>Germany</v>
          </cell>
          <cell r="N1449" t="str">
            <v>Thermo Fisher</v>
          </cell>
          <cell r="O1449" t="str">
            <v>EPD MK2.5</v>
          </cell>
          <cell r="P1449" t="str">
            <v>00289475</v>
          </cell>
          <cell r="Q1449" t="str">
            <v>Not Applicable</v>
          </cell>
          <cell r="R1449" t="str">
            <v>Thermo Fisher Scientific</v>
          </cell>
          <cell r="S1449" t="str">
            <v>Delta Advantech (M) Sdn Bhd</v>
          </cell>
          <cell r="T1449" t="str">
            <v>Functioning</v>
          </cell>
          <cell r="U1449" t="str">
            <v>Asset</v>
          </cell>
          <cell r="V1449">
            <v>4370</v>
          </cell>
          <cell r="W1449" t="str">
            <v>KEW</v>
          </cell>
          <cell r="X1449" t="str">
            <v>01/09/2010</v>
          </cell>
          <cell r="Y1449" t="str">
            <v>KEW</v>
          </cell>
          <cell r="Z1449" t="str">
            <v>16/08/2013</v>
          </cell>
          <cell r="AA1449" t="str">
            <v>15/08/2015</v>
          </cell>
          <cell r="AB1449" t="str">
            <v>No</v>
          </cell>
          <cell r="AC1449" t="str">
            <v>31/08/2013</v>
          </cell>
          <cell r="AD1449" t="str">
            <v>Good</v>
          </cell>
          <cell r="AE1449" t="str">
            <v>V1 - Existing / No Claim</v>
          </cell>
          <cell r="AF1449">
            <v>42235</v>
          </cell>
          <cell r="AG1449">
            <v>9.17</v>
          </cell>
          <cell r="AH1449" t="str">
            <v>PPM</v>
          </cell>
          <cell r="AI1449" t="str">
            <v>Strands</v>
          </cell>
          <cell r="AJ1449" t="str">
            <v>Strands PW</v>
          </cell>
        </row>
        <row r="1450">
          <cell r="A1450" t="str">
            <v>IKN401160</v>
          </cell>
          <cell r="B1450">
            <v>1158</v>
          </cell>
          <cell r="C1450" t="str">
            <v>Institut Kanser Negara</v>
          </cell>
          <cell r="D1450" t="str">
            <v>KKM/IKN/H/13/2312</v>
          </cell>
          <cell r="E1450" t="str">
            <v>11-295</v>
          </cell>
          <cell r="F1450" t="str">
            <v>Dosimeters, Radiation</v>
          </cell>
          <cell r="G1450" t="str">
            <v>ID</v>
          </cell>
          <cell r="H1450" t="str">
            <v>IMAGING DEPARTMENT</v>
          </cell>
          <cell r="I1450" t="str">
            <v>03ID169</v>
          </cell>
          <cell r="J1450" t="str">
            <v>RADIOGRAPHER</v>
          </cell>
          <cell r="K1450" t="str">
            <v>BMED</v>
          </cell>
          <cell r="L1450" t="str">
            <v>Normal</v>
          </cell>
          <cell r="M1450" t="str">
            <v>Germany</v>
          </cell>
          <cell r="N1450" t="str">
            <v>Thermo Fisher</v>
          </cell>
          <cell r="O1450" t="str">
            <v>EPD MK2.5</v>
          </cell>
          <cell r="P1450" t="str">
            <v>00289463</v>
          </cell>
          <cell r="Q1450" t="str">
            <v>Not Applicable</v>
          </cell>
          <cell r="R1450" t="str">
            <v>Thermo Fisher Scientific</v>
          </cell>
          <cell r="S1450" t="str">
            <v>Delta Advantech (M) Sdn Bhd</v>
          </cell>
          <cell r="T1450" t="str">
            <v>Functioning</v>
          </cell>
          <cell r="U1450" t="str">
            <v>Asset</v>
          </cell>
          <cell r="V1450">
            <v>4370</v>
          </cell>
          <cell r="W1450" t="str">
            <v>KEW</v>
          </cell>
          <cell r="X1450" t="str">
            <v>01/09/2010</v>
          </cell>
          <cell r="Y1450" t="str">
            <v>KEW</v>
          </cell>
          <cell r="Z1450" t="str">
            <v>16/08/2013</v>
          </cell>
          <cell r="AA1450" t="str">
            <v>15/08/2015</v>
          </cell>
          <cell r="AB1450" t="str">
            <v>No</v>
          </cell>
          <cell r="AC1450" t="str">
            <v>31/08/2013</v>
          </cell>
          <cell r="AD1450" t="str">
            <v>Good</v>
          </cell>
          <cell r="AE1450" t="str">
            <v>V1 - Existing / No Claim</v>
          </cell>
          <cell r="AF1450">
            <v>42235</v>
          </cell>
          <cell r="AG1450">
            <v>9.17</v>
          </cell>
          <cell r="AH1450" t="str">
            <v>PPM</v>
          </cell>
          <cell r="AI1450" t="str">
            <v>Strands</v>
          </cell>
          <cell r="AJ1450" t="str">
            <v>Strands PW</v>
          </cell>
        </row>
        <row r="1451">
          <cell r="A1451" t="str">
            <v>IKN401161</v>
          </cell>
          <cell r="B1451">
            <v>1159</v>
          </cell>
          <cell r="C1451" t="str">
            <v>Institut Kanser Negara</v>
          </cell>
          <cell r="D1451" t="str">
            <v>KKM/IKN/H/13/2313</v>
          </cell>
          <cell r="E1451" t="str">
            <v>11-295</v>
          </cell>
          <cell r="F1451" t="str">
            <v>Dosimeters, Radiation</v>
          </cell>
          <cell r="G1451" t="str">
            <v>ID</v>
          </cell>
          <cell r="H1451" t="str">
            <v>IMAGING DEPARTMENT</v>
          </cell>
          <cell r="I1451" t="str">
            <v>03ID169</v>
          </cell>
          <cell r="J1451" t="str">
            <v>RADIOGRAPHER</v>
          </cell>
          <cell r="K1451" t="str">
            <v>BMED</v>
          </cell>
          <cell r="L1451" t="str">
            <v>Normal</v>
          </cell>
          <cell r="M1451" t="str">
            <v>Germany</v>
          </cell>
          <cell r="N1451" t="str">
            <v>Thermo Fisher</v>
          </cell>
          <cell r="O1451" t="str">
            <v>EPD MK2.5</v>
          </cell>
          <cell r="P1451" t="str">
            <v>00289465</v>
          </cell>
          <cell r="Q1451" t="str">
            <v>Not Applicable</v>
          </cell>
          <cell r="R1451" t="str">
            <v>Thermo Fisher Scientific</v>
          </cell>
          <cell r="S1451" t="str">
            <v>Delta Advantech (M) Sdn Bhd</v>
          </cell>
          <cell r="T1451" t="str">
            <v>Functioning</v>
          </cell>
          <cell r="U1451" t="str">
            <v>Asset</v>
          </cell>
          <cell r="V1451">
            <v>4370</v>
          </cell>
          <cell r="W1451" t="str">
            <v>KEW</v>
          </cell>
          <cell r="X1451" t="str">
            <v>01/09/2010</v>
          </cell>
          <cell r="Y1451" t="str">
            <v>KEW</v>
          </cell>
          <cell r="Z1451" t="str">
            <v>16/08/2013</v>
          </cell>
          <cell r="AA1451" t="str">
            <v>15/08/2015</v>
          </cell>
          <cell r="AB1451" t="str">
            <v>No</v>
          </cell>
          <cell r="AC1451" t="str">
            <v>31/08/2013</v>
          </cell>
          <cell r="AD1451" t="str">
            <v>Good</v>
          </cell>
          <cell r="AE1451" t="str">
            <v>V1 - Existing / No Claim</v>
          </cell>
          <cell r="AF1451">
            <v>42235</v>
          </cell>
          <cell r="AG1451">
            <v>9.17</v>
          </cell>
          <cell r="AH1451" t="str">
            <v>PPM</v>
          </cell>
          <cell r="AI1451" t="str">
            <v>Strands</v>
          </cell>
          <cell r="AJ1451" t="str">
            <v>Strands PW</v>
          </cell>
        </row>
        <row r="1452">
          <cell r="A1452" t="str">
            <v>IKN401162</v>
          </cell>
          <cell r="B1452">
            <v>1160</v>
          </cell>
          <cell r="C1452" t="str">
            <v>Institut Kanser Negara</v>
          </cell>
          <cell r="D1452" t="str">
            <v>KKM/IKN/H/13/2311</v>
          </cell>
          <cell r="E1452" t="str">
            <v>11-295</v>
          </cell>
          <cell r="F1452" t="str">
            <v>Dosimeters, Radiation</v>
          </cell>
          <cell r="G1452" t="str">
            <v>ID</v>
          </cell>
          <cell r="H1452" t="str">
            <v>IMAGING DEPARTMENT</v>
          </cell>
          <cell r="I1452" t="str">
            <v>03ID169</v>
          </cell>
          <cell r="J1452" t="str">
            <v>RADIOGRAPHER</v>
          </cell>
          <cell r="K1452" t="str">
            <v>BMED</v>
          </cell>
          <cell r="L1452" t="str">
            <v>Normal</v>
          </cell>
          <cell r="M1452" t="str">
            <v>Germany</v>
          </cell>
          <cell r="N1452" t="str">
            <v>Thermo Fisher</v>
          </cell>
          <cell r="O1452" t="str">
            <v>EPD MK2.5</v>
          </cell>
          <cell r="P1452" t="str">
            <v>00289466</v>
          </cell>
          <cell r="Q1452" t="str">
            <v>Not Applicable</v>
          </cell>
          <cell r="R1452" t="str">
            <v>Thermo Fisher Scientific</v>
          </cell>
          <cell r="S1452" t="str">
            <v>Delta Advantech (M) Sdn Bhd</v>
          </cell>
          <cell r="T1452" t="str">
            <v>Functioning</v>
          </cell>
          <cell r="U1452" t="str">
            <v>Asset</v>
          </cell>
          <cell r="V1452">
            <v>4370</v>
          </cell>
          <cell r="W1452" t="str">
            <v>KEW</v>
          </cell>
          <cell r="X1452" t="str">
            <v>01/09/2010</v>
          </cell>
          <cell r="Y1452" t="str">
            <v>KEW</v>
          </cell>
          <cell r="Z1452" t="str">
            <v>16/08/2013</v>
          </cell>
          <cell r="AA1452" t="str">
            <v>15/08/2015</v>
          </cell>
          <cell r="AB1452" t="str">
            <v>No</v>
          </cell>
          <cell r="AC1452" t="str">
            <v>31/08/2013</v>
          </cell>
          <cell r="AD1452" t="str">
            <v>Good</v>
          </cell>
          <cell r="AE1452" t="str">
            <v>V1 - Existing / No Claim</v>
          </cell>
          <cell r="AF1452">
            <v>42235</v>
          </cell>
          <cell r="AG1452">
            <v>9.17</v>
          </cell>
          <cell r="AH1452" t="str">
            <v>PPM</v>
          </cell>
          <cell r="AI1452" t="str">
            <v>Strands</v>
          </cell>
          <cell r="AJ1452" t="str">
            <v>Strands PW</v>
          </cell>
        </row>
        <row r="1453">
          <cell r="A1453" t="str">
            <v>IKN401164</v>
          </cell>
          <cell r="B1453">
            <v>1162</v>
          </cell>
          <cell r="C1453" t="str">
            <v>Institut Kanser Negara</v>
          </cell>
          <cell r="D1453" t="str">
            <v>KKM/IKN/H/13/2310</v>
          </cell>
          <cell r="E1453" t="str">
            <v>11-295</v>
          </cell>
          <cell r="F1453" t="str">
            <v>Dosimeters, Radiation</v>
          </cell>
          <cell r="G1453" t="str">
            <v>ID</v>
          </cell>
          <cell r="H1453" t="str">
            <v>IMAGING DEPARTMENT</v>
          </cell>
          <cell r="I1453" t="str">
            <v>03ID169</v>
          </cell>
          <cell r="J1453" t="str">
            <v>RADIOGRAPHER</v>
          </cell>
          <cell r="K1453" t="str">
            <v>BMED</v>
          </cell>
          <cell r="L1453" t="str">
            <v>Normal</v>
          </cell>
          <cell r="M1453" t="str">
            <v>Germany</v>
          </cell>
          <cell r="N1453" t="str">
            <v>Thermo Fisher</v>
          </cell>
          <cell r="O1453" t="str">
            <v>EPD MK2.5</v>
          </cell>
          <cell r="P1453" t="str">
            <v>00289474</v>
          </cell>
          <cell r="Q1453" t="str">
            <v>Not Applicable</v>
          </cell>
          <cell r="R1453" t="str">
            <v>Thermo Fisher Scientific</v>
          </cell>
          <cell r="S1453" t="str">
            <v>Delta Advantech (M) Sdn Bhd</v>
          </cell>
          <cell r="T1453" t="str">
            <v>Functioning</v>
          </cell>
          <cell r="U1453" t="str">
            <v>Asset</v>
          </cell>
          <cell r="V1453">
            <v>4370</v>
          </cell>
          <cell r="W1453" t="str">
            <v>KEW</v>
          </cell>
          <cell r="X1453" t="str">
            <v>01/09/2010</v>
          </cell>
          <cell r="Y1453" t="str">
            <v>KEW</v>
          </cell>
          <cell r="Z1453" t="str">
            <v>16/08/2013</v>
          </cell>
          <cell r="AA1453" t="str">
            <v>15/08/2015</v>
          </cell>
          <cell r="AB1453" t="str">
            <v>No</v>
          </cell>
          <cell r="AC1453" t="str">
            <v>31/08/2013</v>
          </cell>
          <cell r="AD1453" t="str">
            <v>Good</v>
          </cell>
          <cell r="AE1453" t="str">
            <v>V1 - Existing / No Claim</v>
          </cell>
          <cell r="AF1453">
            <v>42235</v>
          </cell>
          <cell r="AG1453">
            <v>9.17</v>
          </cell>
          <cell r="AH1453" t="str">
            <v>PPM</v>
          </cell>
          <cell r="AI1453" t="str">
            <v>Strands</v>
          </cell>
          <cell r="AJ1453" t="str">
            <v>Strands PW</v>
          </cell>
        </row>
        <row r="1454">
          <cell r="A1454" t="str">
            <v>IKN401165</v>
          </cell>
          <cell r="B1454">
            <v>1163</v>
          </cell>
          <cell r="C1454" t="str">
            <v>Institut Kanser Negara</v>
          </cell>
          <cell r="D1454" t="str">
            <v>KKM/IKN/H/13/2308</v>
          </cell>
          <cell r="E1454" t="str">
            <v>11-295</v>
          </cell>
          <cell r="F1454" t="str">
            <v>Dosimeters, Radiation</v>
          </cell>
          <cell r="G1454" t="str">
            <v>ID</v>
          </cell>
          <cell r="H1454" t="str">
            <v>IMAGING DEPARTMENT</v>
          </cell>
          <cell r="I1454" t="str">
            <v>03ID169</v>
          </cell>
          <cell r="J1454" t="str">
            <v>RADIOGRAPHER</v>
          </cell>
          <cell r="K1454" t="str">
            <v>BMED</v>
          </cell>
          <cell r="L1454" t="str">
            <v>Normal</v>
          </cell>
          <cell r="M1454" t="str">
            <v>Germany</v>
          </cell>
          <cell r="N1454" t="str">
            <v>Thermo Fisher</v>
          </cell>
          <cell r="O1454" t="str">
            <v>EPD MK2.5</v>
          </cell>
          <cell r="P1454" t="str">
            <v>00289476</v>
          </cell>
          <cell r="Q1454" t="str">
            <v>Not Applicable</v>
          </cell>
          <cell r="R1454" t="str">
            <v>Thermo Fisher Scientific</v>
          </cell>
          <cell r="S1454" t="str">
            <v>Delta Advantech (M) Sdn Bhd</v>
          </cell>
          <cell r="T1454" t="str">
            <v>Functioning</v>
          </cell>
          <cell r="U1454" t="str">
            <v>Asset</v>
          </cell>
          <cell r="V1454">
            <v>4370</v>
          </cell>
          <cell r="W1454" t="str">
            <v>KEW</v>
          </cell>
          <cell r="X1454" t="str">
            <v>01/09/2010</v>
          </cell>
          <cell r="Y1454" t="str">
            <v>KEW</v>
          </cell>
          <cell r="Z1454" t="str">
            <v>16/08/2013</v>
          </cell>
          <cell r="AA1454" t="str">
            <v>15/08/2015</v>
          </cell>
          <cell r="AB1454" t="str">
            <v>No</v>
          </cell>
          <cell r="AC1454" t="str">
            <v>31/08/2013</v>
          </cell>
          <cell r="AD1454" t="str">
            <v>Good</v>
          </cell>
          <cell r="AE1454" t="str">
            <v>V1 - Existing / No Claim</v>
          </cell>
          <cell r="AF1454">
            <v>42235</v>
          </cell>
          <cell r="AG1454">
            <v>9.17</v>
          </cell>
          <cell r="AH1454" t="str">
            <v>PPM</v>
          </cell>
          <cell r="AI1454" t="str">
            <v>Strands</v>
          </cell>
          <cell r="AJ1454" t="str">
            <v>Strands PW SET A</v>
          </cell>
          <cell r="AK1454" t="str">
            <v>CUBA CHECK IKN400094 PUNYA KEWPA. [21/3/2024, ANIS]: UPDATE KKM NO.</v>
          </cell>
        </row>
        <row r="1455">
          <cell r="A1455" t="str">
            <v>IKN401166</v>
          </cell>
          <cell r="B1455">
            <v>1164</v>
          </cell>
          <cell r="C1455" t="str">
            <v>Institut Kanser Negara</v>
          </cell>
          <cell r="D1455" t="str">
            <v>KKM/IKN/H/13/4862-10</v>
          </cell>
          <cell r="E1455" t="str">
            <v>11-295</v>
          </cell>
          <cell r="F1455" t="str">
            <v>Dosimeters, Radiation</v>
          </cell>
          <cell r="G1455" t="str">
            <v>ID</v>
          </cell>
          <cell r="H1455" t="str">
            <v>IMAGING DEPARTMENT</v>
          </cell>
          <cell r="I1455" t="str">
            <v>03ID169</v>
          </cell>
          <cell r="J1455" t="str">
            <v>RADIOGRAPHER</v>
          </cell>
          <cell r="K1455" t="str">
            <v>BMED</v>
          </cell>
          <cell r="L1455" t="str">
            <v>Normal</v>
          </cell>
          <cell r="M1455" t="str">
            <v>Germany</v>
          </cell>
          <cell r="N1455" t="str">
            <v>Thermo Fisher</v>
          </cell>
          <cell r="O1455" t="str">
            <v>EPD MK2.5</v>
          </cell>
          <cell r="P1455" t="str">
            <v>00293139</v>
          </cell>
          <cell r="Q1455" t="str">
            <v>Not Applicable</v>
          </cell>
          <cell r="R1455" t="str">
            <v>Thermo Fisher Scientific</v>
          </cell>
          <cell r="S1455" t="str">
            <v>Delta Advantech (M) Sdn Bhd</v>
          </cell>
          <cell r="T1455" t="str">
            <v>Functioning</v>
          </cell>
          <cell r="U1455" t="str">
            <v>Asset</v>
          </cell>
          <cell r="V1455">
            <v>4370</v>
          </cell>
          <cell r="W1455" t="str">
            <v>KEW</v>
          </cell>
          <cell r="X1455" t="str">
            <v>01/09/2010</v>
          </cell>
          <cell r="Y1455" t="str">
            <v>KEW</v>
          </cell>
          <cell r="Z1455" t="str">
            <v>16/08/2013</v>
          </cell>
          <cell r="AA1455" t="str">
            <v>15/08/2015</v>
          </cell>
          <cell r="AB1455" t="str">
            <v>No</v>
          </cell>
          <cell r="AC1455" t="str">
            <v>31/08/2013</v>
          </cell>
          <cell r="AD1455" t="str">
            <v>Good</v>
          </cell>
          <cell r="AE1455" t="str">
            <v>V1 - Existing / No Claim</v>
          </cell>
          <cell r="AF1455">
            <v>42235</v>
          </cell>
          <cell r="AG1455">
            <v>9.17</v>
          </cell>
          <cell r="AH1455" t="str">
            <v>PPM</v>
          </cell>
          <cell r="AI1455" t="str">
            <v>package</v>
          </cell>
          <cell r="AJ1455" t="e">
            <v>#REF!</v>
          </cell>
          <cell r="AK1455" t="str">
            <v>PACKAGE WITH IKN401200</v>
          </cell>
        </row>
        <row r="1456">
          <cell r="A1456" t="str">
            <v>IKN401167</v>
          </cell>
          <cell r="B1456">
            <v>1165</v>
          </cell>
          <cell r="C1456" t="str">
            <v>Institut Kanser Negara</v>
          </cell>
          <cell r="D1456" t="str">
            <v>KKM/IKN/H/13/1187</v>
          </cell>
          <cell r="E1456" t="str">
            <v>11-295</v>
          </cell>
          <cell r="F1456" t="str">
            <v>Dosimeters, Radiation</v>
          </cell>
          <cell r="G1456" t="str">
            <v>RT</v>
          </cell>
          <cell r="H1456" t="str">
            <v>RADIATION TREATMENT UNIT</v>
          </cell>
          <cell r="I1456" t="str">
            <v>01RT213</v>
          </cell>
          <cell r="J1456" t="str">
            <v>EQUIPMENT ROOM1</v>
          </cell>
          <cell r="K1456" t="str">
            <v>BMED</v>
          </cell>
          <cell r="L1456" t="str">
            <v>Normal</v>
          </cell>
          <cell r="M1456" t="str">
            <v>Germany</v>
          </cell>
          <cell r="N1456" t="str">
            <v>Thermo Fisher</v>
          </cell>
          <cell r="O1456" t="str">
            <v>EPD MK2.5</v>
          </cell>
          <cell r="P1456" t="str">
            <v>00289455</v>
          </cell>
          <cell r="Q1456" t="str">
            <v>Not Applicable</v>
          </cell>
          <cell r="R1456" t="str">
            <v>Thermo Fisher Scientific</v>
          </cell>
          <cell r="S1456" t="str">
            <v>Delta Advantech (M) Sdn Bhd</v>
          </cell>
          <cell r="T1456" t="str">
            <v>Functioning</v>
          </cell>
          <cell r="U1456" t="str">
            <v>Asset</v>
          </cell>
          <cell r="V1456">
            <v>4370</v>
          </cell>
          <cell r="W1456" t="str">
            <v>KEW</v>
          </cell>
          <cell r="X1456" t="str">
            <v>01/09/2010</v>
          </cell>
          <cell r="Y1456" t="str">
            <v>KEW</v>
          </cell>
          <cell r="Z1456" t="str">
            <v>16/08/2013</v>
          </cell>
          <cell r="AA1456" t="str">
            <v>15/08/2015</v>
          </cell>
          <cell r="AB1456" t="str">
            <v>No</v>
          </cell>
          <cell r="AC1456" t="str">
            <v>31/08/2013</v>
          </cell>
          <cell r="AD1456" t="str">
            <v>Good</v>
          </cell>
          <cell r="AE1456" t="str">
            <v>V1 - Existing / No Claim</v>
          </cell>
          <cell r="AF1456">
            <v>42235</v>
          </cell>
          <cell r="AG1456">
            <v>9.17</v>
          </cell>
          <cell r="AH1456" t="str">
            <v>PPM</v>
          </cell>
          <cell r="AI1456" t="str">
            <v>Strands</v>
          </cell>
          <cell r="AJ1456" t="str">
            <v>Strands PW</v>
          </cell>
        </row>
        <row r="1457">
          <cell r="A1457" t="str">
            <v>IKN401168</v>
          </cell>
          <cell r="B1457">
            <v>1166</v>
          </cell>
          <cell r="C1457" t="str">
            <v>Institut Kanser Negara</v>
          </cell>
          <cell r="D1457" t="str">
            <v>KKM/IKN/H/13/1179</v>
          </cell>
          <cell r="E1457" t="str">
            <v>11-295</v>
          </cell>
          <cell r="F1457" t="str">
            <v>Dosimeters, Radiation</v>
          </cell>
          <cell r="G1457" t="str">
            <v>RT</v>
          </cell>
          <cell r="H1457" t="str">
            <v>RADIATION TREATMENT UNIT</v>
          </cell>
          <cell r="I1457" t="str">
            <v>01RT213</v>
          </cell>
          <cell r="J1457" t="str">
            <v>EQUIPMENT ROOM1</v>
          </cell>
          <cell r="K1457" t="str">
            <v>BMED</v>
          </cell>
          <cell r="L1457" t="str">
            <v>Normal</v>
          </cell>
          <cell r="M1457" t="str">
            <v>Germany</v>
          </cell>
          <cell r="N1457" t="str">
            <v>Thermo Fisher</v>
          </cell>
          <cell r="O1457" t="str">
            <v>EPD MK2.5</v>
          </cell>
          <cell r="P1457" t="str">
            <v>00289456</v>
          </cell>
          <cell r="Q1457" t="str">
            <v>Not Applicable</v>
          </cell>
          <cell r="R1457" t="str">
            <v>Thermo Fisher Scientific</v>
          </cell>
          <cell r="S1457" t="str">
            <v>Delta Advantech (M) Sdn Bhd</v>
          </cell>
          <cell r="T1457" t="str">
            <v>Functioning</v>
          </cell>
          <cell r="U1457" t="str">
            <v>Asset</v>
          </cell>
          <cell r="V1457">
            <v>4370</v>
          </cell>
          <cell r="W1457" t="str">
            <v>KEW</v>
          </cell>
          <cell r="X1457" t="str">
            <v>01/09/2010</v>
          </cell>
          <cell r="Y1457" t="str">
            <v>KEW</v>
          </cell>
          <cell r="Z1457" t="str">
            <v>16/08/2013</v>
          </cell>
          <cell r="AA1457" t="str">
            <v>15/08/2015</v>
          </cell>
          <cell r="AB1457" t="str">
            <v>No</v>
          </cell>
          <cell r="AC1457" t="str">
            <v>31/08/2013</v>
          </cell>
          <cell r="AD1457" t="str">
            <v>Good</v>
          </cell>
          <cell r="AE1457" t="str">
            <v>V1 - Existing / No Claim</v>
          </cell>
          <cell r="AF1457">
            <v>42235</v>
          </cell>
          <cell r="AG1457">
            <v>9.17</v>
          </cell>
          <cell r="AH1457" t="str">
            <v>PPM</v>
          </cell>
          <cell r="AI1457" t="str">
            <v>Strands</v>
          </cell>
          <cell r="AJ1457" t="str">
            <v>Strands PW</v>
          </cell>
        </row>
        <row r="1458">
          <cell r="A1458" t="str">
            <v>IKN401169</v>
          </cell>
          <cell r="B1458">
            <v>1167</v>
          </cell>
          <cell r="C1458" t="str">
            <v>Institut Kanser Negara</v>
          </cell>
          <cell r="D1458" t="str">
            <v>KKM/IKN/H/13/1136</v>
          </cell>
          <cell r="E1458" t="str">
            <v>11-295</v>
          </cell>
          <cell r="F1458" t="str">
            <v>Dosimeters, Radiation</v>
          </cell>
          <cell r="G1458" t="str">
            <v>RT</v>
          </cell>
          <cell r="H1458" t="str">
            <v>RADIATION TREATMENT UNIT</v>
          </cell>
          <cell r="I1458" t="str">
            <v>01RT213</v>
          </cell>
          <cell r="J1458" t="str">
            <v>EQUIPMENT ROOM1</v>
          </cell>
          <cell r="K1458" t="str">
            <v>BMED</v>
          </cell>
          <cell r="L1458" t="str">
            <v>Normal</v>
          </cell>
          <cell r="M1458" t="str">
            <v>Germany</v>
          </cell>
          <cell r="N1458" t="str">
            <v>Thermo Fisher</v>
          </cell>
          <cell r="O1458" t="str">
            <v>EPD MK2.5</v>
          </cell>
          <cell r="P1458" t="str">
            <v>00289473</v>
          </cell>
          <cell r="Q1458" t="str">
            <v>Not Applicable</v>
          </cell>
          <cell r="R1458" t="str">
            <v>Thermo Fisher Scientific</v>
          </cell>
          <cell r="S1458" t="str">
            <v>Delta Advantech (M) Sdn Bhd</v>
          </cell>
          <cell r="T1458" t="str">
            <v>Functioning</v>
          </cell>
          <cell r="U1458" t="str">
            <v>Asset</v>
          </cell>
          <cell r="V1458">
            <v>4370</v>
          </cell>
          <cell r="W1458" t="str">
            <v>KEW</v>
          </cell>
          <cell r="X1458" t="str">
            <v>01/09/2010</v>
          </cell>
          <cell r="Y1458" t="str">
            <v>KEW</v>
          </cell>
          <cell r="Z1458" t="str">
            <v>16/08/2013</v>
          </cell>
          <cell r="AA1458" t="str">
            <v>15/08/2015</v>
          </cell>
          <cell r="AB1458" t="str">
            <v>No</v>
          </cell>
          <cell r="AC1458" t="str">
            <v>31/08/2013</v>
          </cell>
          <cell r="AD1458" t="str">
            <v>Good</v>
          </cell>
          <cell r="AE1458" t="str">
            <v>V1 - Existing / No Claim</v>
          </cell>
          <cell r="AF1458">
            <v>42235</v>
          </cell>
          <cell r="AG1458">
            <v>9.17</v>
          </cell>
          <cell r="AH1458" t="str">
            <v>PPM</v>
          </cell>
          <cell r="AI1458" t="str">
            <v>Strands</v>
          </cell>
          <cell r="AJ1458" t="str">
            <v>Strands PW</v>
          </cell>
        </row>
        <row r="1459">
          <cell r="A1459" t="str">
            <v>IKN401170</v>
          </cell>
          <cell r="B1459">
            <v>1168</v>
          </cell>
          <cell r="C1459" t="str">
            <v>Institut Kanser Negara</v>
          </cell>
          <cell r="D1459" t="str">
            <v>KKM/IKN/H/13/1182</v>
          </cell>
          <cell r="E1459" t="str">
            <v>11-295</v>
          </cell>
          <cell r="F1459" t="str">
            <v>Dosimeters, Radiation</v>
          </cell>
          <cell r="G1459" t="str">
            <v>RT</v>
          </cell>
          <cell r="H1459" t="str">
            <v>RADIATION TREATMENT UNIT</v>
          </cell>
          <cell r="I1459" t="str">
            <v>01RT213</v>
          </cell>
          <cell r="J1459" t="str">
            <v>EQUIPMENT ROOM1</v>
          </cell>
          <cell r="K1459" t="str">
            <v>BMED</v>
          </cell>
          <cell r="L1459" t="str">
            <v>Normal</v>
          </cell>
          <cell r="M1459" t="str">
            <v>Germany</v>
          </cell>
          <cell r="N1459" t="str">
            <v>Thermo Fisher</v>
          </cell>
          <cell r="O1459" t="str">
            <v>EPD MK2.5</v>
          </cell>
          <cell r="P1459" t="str">
            <v>00288076</v>
          </cell>
          <cell r="Q1459" t="str">
            <v>Not Applicable</v>
          </cell>
          <cell r="R1459" t="str">
            <v>Thermo Fisher Scientific</v>
          </cell>
          <cell r="S1459" t="str">
            <v>Delta Advantech (M) Sdn Bhd</v>
          </cell>
          <cell r="T1459" t="str">
            <v>Functioning</v>
          </cell>
          <cell r="U1459" t="str">
            <v>Asset</v>
          </cell>
          <cell r="V1459">
            <v>4370</v>
          </cell>
          <cell r="W1459" t="str">
            <v>KEW</v>
          </cell>
          <cell r="X1459" t="str">
            <v>01/09/2010</v>
          </cell>
          <cell r="Y1459" t="str">
            <v>KEW</v>
          </cell>
          <cell r="Z1459" t="str">
            <v>16/08/2013</v>
          </cell>
          <cell r="AA1459" t="str">
            <v>15/08/2015</v>
          </cell>
          <cell r="AB1459" t="str">
            <v>No</v>
          </cell>
          <cell r="AC1459" t="str">
            <v>31/08/2013</v>
          </cell>
          <cell r="AD1459" t="str">
            <v>Good</v>
          </cell>
          <cell r="AE1459" t="str">
            <v>V1 - Existing / No Claim</v>
          </cell>
          <cell r="AF1459">
            <v>42235</v>
          </cell>
          <cell r="AG1459">
            <v>9.17</v>
          </cell>
          <cell r="AH1459" t="str">
            <v>PPM</v>
          </cell>
          <cell r="AI1459" t="str">
            <v>Strands</v>
          </cell>
          <cell r="AJ1459" t="str">
            <v>Strands PW</v>
          </cell>
        </row>
        <row r="1460">
          <cell r="A1460" t="str">
            <v>IKN401171</v>
          </cell>
          <cell r="B1460">
            <v>1169</v>
          </cell>
          <cell r="C1460" t="str">
            <v>Institut Kanser Negara</v>
          </cell>
          <cell r="D1460" t="str">
            <v>KKM/IKN/H/13/1180</v>
          </cell>
          <cell r="E1460" t="str">
            <v>11-295</v>
          </cell>
          <cell r="F1460" t="str">
            <v>Dosimeters, Radiation</v>
          </cell>
          <cell r="G1460" t="str">
            <v>RT</v>
          </cell>
          <cell r="H1460" t="str">
            <v>RADIATION TREATMENT UNIT</v>
          </cell>
          <cell r="I1460" t="str">
            <v>01RT213</v>
          </cell>
          <cell r="J1460" t="str">
            <v>EQUIPMENT ROOM1</v>
          </cell>
          <cell r="K1460" t="str">
            <v>BMED</v>
          </cell>
          <cell r="L1460" t="str">
            <v>Normal</v>
          </cell>
          <cell r="M1460" t="str">
            <v>Germany</v>
          </cell>
          <cell r="N1460" t="str">
            <v>Thermo Fisher</v>
          </cell>
          <cell r="O1460" t="str">
            <v>EPD MK2.5</v>
          </cell>
          <cell r="P1460" t="str">
            <v>00288078</v>
          </cell>
          <cell r="Q1460" t="str">
            <v>Not Applicable</v>
          </cell>
          <cell r="R1460" t="str">
            <v>Thermo Fisher Scientific</v>
          </cell>
          <cell r="S1460" t="str">
            <v>Delta Advantech (M) Sdn Bhd</v>
          </cell>
          <cell r="T1460" t="str">
            <v>Functioning</v>
          </cell>
          <cell r="U1460" t="str">
            <v>Asset</v>
          </cell>
          <cell r="V1460">
            <v>4370</v>
          </cell>
          <cell r="W1460" t="str">
            <v>KEW</v>
          </cell>
          <cell r="X1460" t="str">
            <v>01/09/2010</v>
          </cell>
          <cell r="Y1460" t="str">
            <v>KEW</v>
          </cell>
          <cell r="Z1460" t="str">
            <v>16/08/2013</v>
          </cell>
          <cell r="AA1460" t="str">
            <v>15/08/2015</v>
          </cell>
          <cell r="AB1460" t="str">
            <v>No</v>
          </cell>
          <cell r="AC1460" t="str">
            <v>31/08/2013</v>
          </cell>
          <cell r="AD1460" t="str">
            <v>Good</v>
          </cell>
          <cell r="AE1460" t="str">
            <v>V1 - Existing / No Claim</v>
          </cell>
          <cell r="AF1460">
            <v>42235</v>
          </cell>
          <cell r="AG1460">
            <v>9.17</v>
          </cell>
          <cell r="AH1460" t="str">
            <v>PPM</v>
          </cell>
          <cell r="AI1460" t="str">
            <v>Strands</v>
          </cell>
          <cell r="AJ1460" t="str">
            <v>Strands PW</v>
          </cell>
        </row>
        <row r="1461">
          <cell r="A1461" t="str">
            <v>IKN401172</v>
          </cell>
          <cell r="B1461">
            <v>1170</v>
          </cell>
          <cell r="C1461" t="str">
            <v>Institut Kanser Negara</v>
          </cell>
          <cell r="D1461" t="e">
            <v>#N/A</v>
          </cell>
          <cell r="E1461" t="str">
            <v>11-295</v>
          </cell>
          <cell r="F1461" t="str">
            <v>Dosimeters, Radiation</v>
          </cell>
          <cell r="G1461" t="str">
            <v>RT</v>
          </cell>
          <cell r="H1461" t="str">
            <v>RADIATION TREATMENT UNIT</v>
          </cell>
          <cell r="I1461" t="str">
            <v>01RT213</v>
          </cell>
          <cell r="J1461" t="str">
            <v>EQUIPMENT ROOM1</v>
          </cell>
          <cell r="K1461" t="str">
            <v>BMED</v>
          </cell>
          <cell r="L1461" t="str">
            <v>Normal</v>
          </cell>
          <cell r="M1461" t="str">
            <v>Germany</v>
          </cell>
          <cell r="N1461" t="str">
            <v>Thermo Fisher</v>
          </cell>
          <cell r="O1461" t="str">
            <v>EPD MK2.5</v>
          </cell>
          <cell r="P1461" t="str">
            <v>00288079</v>
          </cell>
          <cell r="Q1461" t="str">
            <v>Not Applicable</v>
          </cell>
          <cell r="R1461" t="str">
            <v>Thermo Fisher Scientific</v>
          </cell>
          <cell r="S1461" t="str">
            <v>Delta Advantech (M) Sdn Bhd</v>
          </cell>
          <cell r="T1461" t="str">
            <v>Functioning</v>
          </cell>
          <cell r="U1461" t="str">
            <v>Asset</v>
          </cell>
          <cell r="V1461">
            <v>4370</v>
          </cell>
          <cell r="W1461" t="str">
            <v>KEW</v>
          </cell>
          <cell r="X1461" t="str">
            <v>01/09/2010</v>
          </cell>
          <cell r="Y1461" t="str">
            <v>KEW</v>
          </cell>
          <cell r="Z1461" t="str">
            <v>16/08/2013</v>
          </cell>
          <cell r="AA1461" t="str">
            <v>15/08/2015</v>
          </cell>
          <cell r="AB1461" t="str">
            <v>No</v>
          </cell>
          <cell r="AC1461" t="str">
            <v>31/08/2013</v>
          </cell>
          <cell r="AD1461" t="str">
            <v>Good</v>
          </cell>
          <cell r="AE1461" t="str">
            <v>V1 - Existing / No Claim</v>
          </cell>
          <cell r="AF1461">
            <v>42235</v>
          </cell>
          <cell r="AG1461">
            <v>9.17</v>
          </cell>
          <cell r="AH1461" t="str">
            <v>PPM</v>
          </cell>
          <cell r="AI1461" t="str">
            <v>package</v>
          </cell>
        </row>
        <row r="1462">
          <cell r="A1462" t="str">
            <v>IKN401173</v>
          </cell>
          <cell r="B1462">
            <v>1171</v>
          </cell>
          <cell r="C1462" t="str">
            <v>Institut Kanser Negara</v>
          </cell>
          <cell r="D1462" t="str">
            <v>KKM/IKN/H/13/4565</v>
          </cell>
          <cell r="E1462" t="str">
            <v>13-961</v>
          </cell>
          <cell r="F1462" t="str">
            <v>Tables, Operating</v>
          </cell>
          <cell r="G1462" t="str">
            <v>RT</v>
          </cell>
          <cell r="H1462" t="str">
            <v>RADIATION TREATMENT UNIT</v>
          </cell>
          <cell r="I1462" t="str">
            <v>01RT278</v>
          </cell>
          <cell r="J1462" t="str">
            <v>BRACHY OT 2</v>
          </cell>
          <cell r="K1462" t="str">
            <v>BMED</v>
          </cell>
          <cell r="L1462" t="str">
            <v>Normal</v>
          </cell>
          <cell r="M1462" t="str">
            <v>UK</v>
          </cell>
          <cell r="N1462" t="str">
            <v>Eschmann</v>
          </cell>
          <cell r="O1462" t="str">
            <v>Eschmann T20-a+</v>
          </cell>
          <cell r="P1462" t="str">
            <v>T2AD-2A-3365</v>
          </cell>
          <cell r="Q1462" t="str">
            <v>Not Applicable</v>
          </cell>
          <cell r="R1462" t="str">
            <v>Eschmann Holding Limited</v>
          </cell>
          <cell r="S1462" t="str">
            <v>Antah Sir Radin Sdn. Bhd.</v>
          </cell>
          <cell r="T1462" t="str">
            <v>Functioning</v>
          </cell>
          <cell r="U1462" t="str">
            <v>Asset</v>
          </cell>
          <cell r="V1462">
            <v>240330</v>
          </cell>
          <cell r="W1462" t="str">
            <v>KEW</v>
          </cell>
          <cell r="X1462" t="str">
            <v>01/09/2010</v>
          </cell>
          <cell r="Y1462" t="str">
            <v>KEW</v>
          </cell>
          <cell r="Z1462" t="str">
            <v>16/08/2013</v>
          </cell>
          <cell r="AA1462" t="str">
            <v>15/08/2015</v>
          </cell>
          <cell r="AB1462" t="str">
            <v>No</v>
          </cell>
          <cell r="AC1462" t="str">
            <v>31/08/2013</v>
          </cell>
          <cell r="AD1462" t="str">
            <v>Good</v>
          </cell>
          <cell r="AE1462" t="str">
            <v>V1 - Existing / No Claim</v>
          </cell>
          <cell r="AF1462">
            <v>42235</v>
          </cell>
          <cell r="AG1462">
            <v>9.17</v>
          </cell>
          <cell r="AH1462" t="str">
            <v>PPM</v>
          </cell>
          <cell r="AI1462" t="str">
            <v>Strands</v>
          </cell>
          <cell r="AJ1462" t="str">
            <v>Strands PW</v>
          </cell>
        </row>
        <row r="1463">
          <cell r="A1463" t="str">
            <v>IKN401174</v>
          </cell>
          <cell r="B1463">
            <v>1172</v>
          </cell>
          <cell r="C1463" t="str">
            <v>Institut Kanser Negara</v>
          </cell>
          <cell r="D1463" t="str">
            <v>KKM/IKN/H/13/1185</v>
          </cell>
          <cell r="E1463" t="str">
            <v>11-295</v>
          </cell>
          <cell r="F1463" t="str">
            <v>Dosimeters, Radiation</v>
          </cell>
          <cell r="G1463" t="str">
            <v>RT</v>
          </cell>
          <cell r="H1463" t="str">
            <v>RADIATION TREATMENT UNIT</v>
          </cell>
          <cell r="I1463" t="str">
            <v>01RT213</v>
          </cell>
          <cell r="J1463" t="str">
            <v>EQUIPMENT ROOM1</v>
          </cell>
          <cell r="K1463" t="str">
            <v>BMED</v>
          </cell>
          <cell r="L1463" t="str">
            <v>Normal</v>
          </cell>
          <cell r="M1463" t="str">
            <v>Germany</v>
          </cell>
          <cell r="N1463" t="str">
            <v>Thermo Fisher</v>
          </cell>
          <cell r="O1463" t="str">
            <v>EPD MK2.5</v>
          </cell>
          <cell r="P1463" t="str">
            <v>00288081</v>
          </cell>
          <cell r="Q1463" t="str">
            <v>Not Applicable</v>
          </cell>
          <cell r="R1463" t="str">
            <v>Thermo Fisher Scientific</v>
          </cell>
          <cell r="S1463" t="str">
            <v>Delta Advantech (M) Sdn Bhd</v>
          </cell>
          <cell r="T1463" t="str">
            <v>Functioning</v>
          </cell>
          <cell r="U1463" t="str">
            <v>Asset</v>
          </cell>
          <cell r="V1463">
            <v>4370</v>
          </cell>
          <cell r="W1463" t="str">
            <v>KEW</v>
          </cell>
          <cell r="X1463" t="str">
            <v>01/09/2010</v>
          </cell>
          <cell r="Y1463" t="str">
            <v>KEW</v>
          </cell>
          <cell r="Z1463" t="str">
            <v>16/08/2013</v>
          </cell>
          <cell r="AA1463" t="str">
            <v>15/08/2015</v>
          </cell>
          <cell r="AB1463" t="str">
            <v>No</v>
          </cell>
          <cell r="AC1463" t="str">
            <v>31/08/2013</v>
          </cell>
          <cell r="AD1463" t="str">
            <v>Good</v>
          </cell>
          <cell r="AE1463" t="str">
            <v>V1 - Existing / No Claim</v>
          </cell>
          <cell r="AF1463">
            <v>42235</v>
          </cell>
          <cell r="AG1463">
            <v>9.17</v>
          </cell>
          <cell r="AH1463" t="str">
            <v>PPM</v>
          </cell>
          <cell r="AI1463" t="str">
            <v>Strands</v>
          </cell>
          <cell r="AJ1463" t="str">
            <v>Strands PW</v>
          </cell>
        </row>
        <row r="1464">
          <cell r="A1464" t="str">
            <v>IKN401175</v>
          </cell>
          <cell r="B1464">
            <v>1173</v>
          </cell>
          <cell r="C1464" t="str">
            <v>Institut Kanser Negara</v>
          </cell>
          <cell r="D1464" t="str">
            <v>KKM/IKN/H/13/1178</v>
          </cell>
          <cell r="E1464" t="str">
            <v>11-295</v>
          </cell>
          <cell r="F1464" t="str">
            <v>Dosimeters, Radiation</v>
          </cell>
          <cell r="G1464" t="str">
            <v>RT</v>
          </cell>
          <cell r="H1464" t="str">
            <v>RADIATION TREATMENT UNIT</v>
          </cell>
          <cell r="I1464" t="str">
            <v>01RT213</v>
          </cell>
          <cell r="J1464" t="str">
            <v>EQUIPMENT ROOM1</v>
          </cell>
          <cell r="K1464" t="str">
            <v>BMED</v>
          </cell>
          <cell r="L1464" t="str">
            <v>Normal</v>
          </cell>
          <cell r="M1464" t="str">
            <v>Germany</v>
          </cell>
          <cell r="N1464" t="str">
            <v>Thermo Fisher</v>
          </cell>
          <cell r="O1464" t="str">
            <v>EPD MK2.5</v>
          </cell>
          <cell r="P1464" t="str">
            <v>00288064</v>
          </cell>
          <cell r="Q1464" t="str">
            <v>Not Applicable</v>
          </cell>
          <cell r="R1464" t="str">
            <v>Thermo Fisher Scientific</v>
          </cell>
          <cell r="S1464" t="str">
            <v>Delta Advantech (M) Sdn Bhd</v>
          </cell>
          <cell r="T1464" t="str">
            <v>Functioning</v>
          </cell>
          <cell r="U1464" t="str">
            <v>Asset</v>
          </cell>
          <cell r="V1464">
            <v>4370</v>
          </cell>
          <cell r="W1464" t="str">
            <v>KEW</v>
          </cell>
          <cell r="X1464" t="str">
            <v>01/09/2010</v>
          </cell>
          <cell r="Y1464" t="str">
            <v>KEW</v>
          </cell>
          <cell r="Z1464" t="str">
            <v>16/08/2013</v>
          </cell>
          <cell r="AA1464" t="str">
            <v>15/08/2015</v>
          </cell>
          <cell r="AB1464" t="str">
            <v>No</v>
          </cell>
          <cell r="AC1464" t="str">
            <v>31/08/2013</v>
          </cell>
          <cell r="AD1464" t="str">
            <v>Good</v>
          </cell>
          <cell r="AE1464" t="str">
            <v>V1 - Existing / No Claim</v>
          </cell>
          <cell r="AF1464">
            <v>42235</v>
          </cell>
          <cell r="AG1464">
            <v>9.17</v>
          </cell>
          <cell r="AH1464" t="str">
            <v>PPM</v>
          </cell>
          <cell r="AI1464" t="str">
            <v>Strands</v>
          </cell>
          <cell r="AJ1464" t="str">
            <v>Strands PW</v>
          </cell>
        </row>
        <row r="1465">
          <cell r="A1465" t="str">
            <v>IKN401176</v>
          </cell>
          <cell r="B1465">
            <v>1174</v>
          </cell>
          <cell r="C1465" t="str">
            <v>Institut Kanser Negara</v>
          </cell>
          <cell r="D1465" t="str">
            <v>KKM/IKN/H/13/1181</v>
          </cell>
          <cell r="E1465" t="str">
            <v>11-295</v>
          </cell>
          <cell r="F1465" t="str">
            <v>Dosimeters, Radiation</v>
          </cell>
          <cell r="G1465" t="str">
            <v>RT</v>
          </cell>
          <cell r="H1465" t="str">
            <v>RADIATION TREATMENT UNIT</v>
          </cell>
          <cell r="I1465" t="str">
            <v>01RT213</v>
          </cell>
          <cell r="J1465" t="str">
            <v>EQUIPMENT ROOM1</v>
          </cell>
          <cell r="K1465" t="str">
            <v>BMED</v>
          </cell>
          <cell r="L1465" t="str">
            <v>Normal</v>
          </cell>
          <cell r="M1465" t="str">
            <v>Germany</v>
          </cell>
          <cell r="N1465" t="str">
            <v>Thermo Fisher</v>
          </cell>
          <cell r="O1465" t="str">
            <v>EPD MK2.5</v>
          </cell>
          <cell r="P1465" t="str">
            <v>00288068</v>
          </cell>
          <cell r="Q1465" t="str">
            <v>Not Applicable</v>
          </cell>
          <cell r="R1465" t="str">
            <v>Thermo Fisher Scientific</v>
          </cell>
          <cell r="S1465" t="str">
            <v>Delta Advantech (M) Sdn Bhd</v>
          </cell>
          <cell r="T1465" t="str">
            <v>Functioning</v>
          </cell>
          <cell r="U1465" t="str">
            <v>Asset</v>
          </cell>
          <cell r="V1465">
            <v>4370</v>
          </cell>
          <cell r="W1465" t="str">
            <v>KEW</v>
          </cell>
          <cell r="X1465" t="str">
            <v>01/09/2010</v>
          </cell>
          <cell r="Y1465" t="str">
            <v>KEW</v>
          </cell>
          <cell r="Z1465" t="str">
            <v>16/08/2013</v>
          </cell>
          <cell r="AA1465" t="str">
            <v>15/08/2015</v>
          </cell>
          <cell r="AB1465" t="str">
            <v>No</v>
          </cell>
          <cell r="AC1465" t="str">
            <v>31/08/2013</v>
          </cell>
          <cell r="AD1465" t="str">
            <v>Good</v>
          </cell>
          <cell r="AE1465" t="str">
            <v>V1 - Existing / No Claim</v>
          </cell>
          <cell r="AF1465">
            <v>42235</v>
          </cell>
          <cell r="AG1465">
            <v>9.17</v>
          </cell>
          <cell r="AH1465" t="str">
            <v>PPM</v>
          </cell>
          <cell r="AI1465" t="str">
            <v>Strands</v>
          </cell>
          <cell r="AJ1465" t="str">
            <v>Strands PW</v>
          </cell>
        </row>
        <row r="1466">
          <cell r="A1466" t="str">
            <v>IKN401177</v>
          </cell>
          <cell r="B1466">
            <v>1175</v>
          </cell>
          <cell r="C1466" t="str">
            <v>Institut Kanser Negara</v>
          </cell>
          <cell r="D1466" t="str">
            <v>KKM/IKN/H/13/1184</v>
          </cell>
          <cell r="E1466" t="str">
            <v>11-295</v>
          </cell>
          <cell r="F1466" t="str">
            <v>Dosimeters, Radiation</v>
          </cell>
          <cell r="G1466" t="str">
            <v>RT</v>
          </cell>
          <cell r="H1466" t="str">
            <v>RADIATION TREATMENT UNIT</v>
          </cell>
          <cell r="I1466" t="str">
            <v>01RT213</v>
          </cell>
          <cell r="J1466" t="str">
            <v>EQUIPMENT ROOM1</v>
          </cell>
          <cell r="K1466" t="str">
            <v>BMED</v>
          </cell>
          <cell r="L1466" t="str">
            <v>Normal</v>
          </cell>
          <cell r="M1466" t="str">
            <v>Germany</v>
          </cell>
          <cell r="N1466" t="str">
            <v>Thermo Fisher</v>
          </cell>
          <cell r="O1466" t="str">
            <v>EPD MK2.5</v>
          </cell>
          <cell r="P1466" t="str">
            <v>00288077</v>
          </cell>
          <cell r="Q1466" t="str">
            <v>Not Applicable</v>
          </cell>
          <cell r="R1466" t="str">
            <v>Thermo Fisher Scientific</v>
          </cell>
          <cell r="S1466" t="str">
            <v>Delta Advantech (M) Sdn Bhd</v>
          </cell>
          <cell r="T1466" t="str">
            <v>Functioning</v>
          </cell>
          <cell r="U1466" t="str">
            <v>Asset</v>
          </cell>
          <cell r="V1466">
            <v>4370</v>
          </cell>
          <cell r="W1466" t="str">
            <v>KEW</v>
          </cell>
          <cell r="X1466" t="str">
            <v>01/09/2010</v>
          </cell>
          <cell r="Y1466" t="str">
            <v>KEW</v>
          </cell>
          <cell r="Z1466" t="str">
            <v>16/08/2013</v>
          </cell>
          <cell r="AA1466" t="str">
            <v>15/08/2015</v>
          </cell>
          <cell r="AB1466" t="str">
            <v>No</v>
          </cell>
          <cell r="AC1466" t="str">
            <v>31/08/2013</v>
          </cell>
          <cell r="AD1466" t="str">
            <v>Good</v>
          </cell>
          <cell r="AE1466" t="str">
            <v>V1 - Existing / No Claim</v>
          </cell>
          <cell r="AF1466">
            <v>42235</v>
          </cell>
          <cell r="AG1466">
            <v>9.17</v>
          </cell>
          <cell r="AH1466" t="str">
            <v>PPM</v>
          </cell>
          <cell r="AI1466" t="str">
            <v>Strands</v>
          </cell>
          <cell r="AJ1466" t="str">
            <v>Strands PW</v>
          </cell>
        </row>
        <row r="1467">
          <cell r="A1467" t="str">
            <v>IKN401178</v>
          </cell>
          <cell r="B1467">
            <v>1176</v>
          </cell>
          <cell r="C1467" t="str">
            <v>Institut Kanser Negara</v>
          </cell>
          <cell r="E1467" t="str">
            <v>11-295</v>
          </cell>
          <cell r="F1467" t="str">
            <v>Dosimeters, Radiation</v>
          </cell>
          <cell r="G1467" t="str">
            <v>RT</v>
          </cell>
          <cell r="H1467" t="str">
            <v>RADIATION TREATMENT UNIT</v>
          </cell>
          <cell r="I1467" t="str">
            <v>01RT213</v>
          </cell>
          <cell r="J1467" t="str">
            <v>EQUIPMENT ROOM1</v>
          </cell>
          <cell r="K1467" t="str">
            <v>BMED</v>
          </cell>
          <cell r="L1467" t="str">
            <v>Normal</v>
          </cell>
          <cell r="M1467" t="str">
            <v>Germany</v>
          </cell>
          <cell r="N1467" t="str">
            <v>Thermo Fisher</v>
          </cell>
          <cell r="O1467" t="str">
            <v>EPD MK2.5</v>
          </cell>
          <cell r="P1467" t="str">
            <v>00288083</v>
          </cell>
          <cell r="Q1467" t="str">
            <v>Not Applicable</v>
          </cell>
          <cell r="R1467" t="str">
            <v>Thermo Fisher Scientific</v>
          </cell>
          <cell r="S1467" t="str">
            <v>Delta Advantech (M) Sdn Bhd</v>
          </cell>
          <cell r="T1467" t="str">
            <v>Functioning</v>
          </cell>
          <cell r="U1467" t="str">
            <v>Asset</v>
          </cell>
          <cell r="V1467">
            <v>4370</v>
          </cell>
          <cell r="W1467" t="str">
            <v>KEW</v>
          </cell>
          <cell r="X1467" t="str">
            <v>01/09/2010</v>
          </cell>
          <cell r="Y1467" t="str">
            <v>KEW</v>
          </cell>
          <cell r="Z1467" t="str">
            <v>16/08/2013</v>
          </cell>
          <cell r="AA1467" t="str">
            <v>15/08/2015</v>
          </cell>
          <cell r="AB1467" t="str">
            <v>No</v>
          </cell>
          <cell r="AC1467" t="str">
            <v>31/08/2013</v>
          </cell>
          <cell r="AD1467" t="str">
            <v>Good</v>
          </cell>
          <cell r="AE1467" t="str">
            <v>V1 - Existing / No Claim</v>
          </cell>
          <cell r="AF1467">
            <v>42235</v>
          </cell>
          <cell r="AG1467">
            <v>9.17</v>
          </cell>
          <cell r="AH1467" t="str">
            <v>PPM</v>
          </cell>
          <cell r="AI1467" t="str">
            <v>package</v>
          </cell>
          <cell r="AJ1467" t="str">
            <v>Not in contract</v>
          </cell>
        </row>
        <row r="1468">
          <cell r="A1468" t="str">
            <v>IKN401179</v>
          </cell>
          <cell r="B1468">
            <v>1177</v>
          </cell>
          <cell r="C1468" t="str">
            <v>Institut Kanser Negara</v>
          </cell>
          <cell r="E1468" t="str">
            <v>11-295</v>
          </cell>
          <cell r="F1468" t="str">
            <v>Dosimeters, Radiation</v>
          </cell>
          <cell r="G1468" t="str">
            <v>RT</v>
          </cell>
          <cell r="H1468" t="str">
            <v>RADIATION TREATMENT UNIT</v>
          </cell>
          <cell r="I1468" t="str">
            <v>01RT213</v>
          </cell>
          <cell r="J1468" t="str">
            <v>EQUIPMENT ROOM1</v>
          </cell>
          <cell r="K1468" t="str">
            <v>BMED</v>
          </cell>
          <cell r="L1468" t="str">
            <v>Normal</v>
          </cell>
          <cell r="M1468" t="str">
            <v>Germany</v>
          </cell>
          <cell r="N1468" t="str">
            <v>Thermo Fisher</v>
          </cell>
          <cell r="O1468" t="str">
            <v>EPD MK2.5</v>
          </cell>
          <cell r="P1468" t="str">
            <v>00289453</v>
          </cell>
          <cell r="Q1468" t="str">
            <v>Not Applicable</v>
          </cell>
          <cell r="R1468" t="str">
            <v>Thermo Fisher Scientific</v>
          </cell>
          <cell r="S1468" t="str">
            <v>Delta Advantech (M) Sdn Bhd</v>
          </cell>
          <cell r="T1468" t="str">
            <v>Functioning</v>
          </cell>
          <cell r="U1468" t="str">
            <v>Asset</v>
          </cell>
          <cell r="V1468">
            <v>4370</v>
          </cell>
          <cell r="W1468" t="str">
            <v>KEW</v>
          </cell>
          <cell r="X1468" t="str">
            <v>01/09/2010</v>
          </cell>
          <cell r="Y1468" t="str">
            <v>KEW</v>
          </cell>
          <cell r="Z1468" t="str">
            <v>16/08/2013</v>
          </cell>
          <cell r="AA1468" t="str">
            <v>15/08/2015</v>
          </cell>
          <cell r="AB1468" t="str">
            <v>No</v>
          </cell>
          <cell r="AC1468" t="str">
            <v>31/08/2013</v>
          </cell>
          <cell r="AD1468" t="str">
            <v>Good</v>
          </cell>
          <cell r="AE1468" t="str">
            <v>V1 - Existing / No Claim</v>
          </cell>
          <cell r="AF1468">
            <v>42235</v>
          </cell>
          <cell r="AG1468">
            <v>9.17</v>
          </cell>
          <cell r="AH1468" t="str">
            <v>PPM</v>
          </cell>
          <cell r="AI1468" t="str">
            <v>package</v>
          </cell>
          <cell r="AJ1468" t="str">
            <v>Not in contract</v>
          </cell>
          <cell r="AK1468" t="str">
            <v>Asset not found since 2019. Asset found 2023.</v>
          </cell>
        </row>
        <row r="1469">
          <cell r="A1469" t="str">
            <v>IKN401180</v>
          </cell>
          <cell r="B1469">
            <v>1178</v>
          </cell>
          <cell r="C1469" t="str">
            <v>Institut Kanser Negara</v>
          </cell>
          <cell r="D1469" t="str">
            <v>KKM/IKN/H/13/1183</v>
          </cell>
          <cell r="E1469" t="str">
            <v>11-295</v>
          </cell>
          <cell r="F1469" t="str">
            <v>Dosimeters, Radiation</v>
          </cell>
          <cell r="G1469" t="str">
            <v>RT</v>
          </cell>
          <cell r="H1469" t="str">
            <v>RADIATION TREATMENT UNIT</v>
          </cell>
          <cell r="I1469" t="str">
            <v>01RT213</v>
          </cell>
          <cell r="J1469" t="str">
            <v>EQUIPMENT ROOM1</v>
          </cell>
          <cell r="K1469" t="str">
            <v>BMED</v>
          </cell>
          <cell r="L1469" t="str">
            <v>Normal</v>
          </cell>
          <cell r="M1469" t="str">
            <v>Germany</v>
          </cell>
          <cell r="N1469" t="str">
            <v>Thermo Fisher</v>
          </cell>
          <cell r="O1469" t="str">
            <v>EPD MK2.5</v>
          </cell>
          <cell r="P1469" t="str">
            <v>00289457</v>
          </cell>
          <cell r="Q1469" t="str">
            <v>Not Applicable</v>
          </cell>
          <cell r="R1469" t="str">
            <v>Thermo Fisher Scientific</v>
          </cell>
          <cell r="S1469" t="str">
            <v>Delta Advantech (M) Sdn Bhd</v>
          </cell>
          <cell r="T1469" t="str">
            <v>Functioning</v>
          </cell>
          <cell r="U1469" t="str">
            <v>Asset</v>
          </cell>
          <cell r="V1469">
            <v>4370</v>
          </cell>
          <cell r="W1469" t="str">
            <v>KEW</v>
          </cell>
          <cell r="X1469" t="str">
            <v>01/09/2010</v>
          </cell>
          <cell r="Y1469" t="str">
            <v>KEW</v>
          </cell>
          <cell r="Z1469" t="str">
            <v>16/08/2013</v>
          </cell>
          <cell r="AA1469" t="str">
            <v>15/08/2015</v>
          </cell>
          <cell r="AB1469" t="str">
            <v>No</v>
          </cell>
          <cell r="AC1469" t="str">
            <v>31/08/2013</v>
          </cell>
          <cell r="AD1469" t="str">
            <v>Good</v>
          </cell>
          <cell r="AE1469" t="str">
            <v>V1 - Existing / No Claim</v>
          </cell>
          <cell r="AF1469">
            <v>42235</v>
          </cell>
          <cell r="AG1469">
            <v>9.17</v>
          </cell>
          <cell r="AH1469" t="str">
            <v>PPM</v>
          </cell>
          <cell r="AI1469" t="str">
            <v>Strands</v>
          </cell>
          <cell r="AJ1469" t="str">
            <v>Strands PW</v>
          </cell>
        </row>
        <row r="1470">
          <cell r="A1470" t="str">
            <v>IKN401181</v>
          </cell>
          <cell r="B1470">
            <v>1179</v>
          </cell>
          <cell r="C1470" t="str">
            <v>Institut Kanser Negara</v>
          </cell>
          <cell r="E1470" t="str">
            <v>11-295</v>
          </cell>
          <cell r="F1470" t="str">
            <v>Dosimeters, Radiation</v>
          </cell>
          <cell r="G1470" t="str">
            <v>RT</v>
          </cell>
          <cell r="H1470" t="str">
            <v>RADIATION TREATMENT UNIT</v>
          </cell>
          <cell r="I1470" t="str">
            <v>01RT213</v>
          </cell>
          <cell r="J1470" t="str">
            <v>EQUIPMENT ROOM1</v>
          </cell>
          <cell r="K1470" t="str">
            <v>BMED</v>
          </cell>
          <cell r="L1470" t="str">
            <v>Normal</v>
          </cell>
          <cell r="M1470" t="str">
            <v>Germany</v>
          </cell>
          <cell r="N1470" t="str">
            <v>Thermo Fisher</v>
          </cell>
          <cell r="O1470" t="str">
            <v>EPD MK2.5</v>
          </cell>
          <cell r="P1470" t="str">
            <v>00288084</v>
          </cell>
          <cell r="Q1470" t="str">
            <v>Not Applicable</v>
          </cell>
          <cell r="R1470" t="str">
            <v>Thermo Fisher Scientific</v>
          </cell>
          <cell r="S1470" t="str">
            <v>Delta Advantech (M) Sdn Bhd</v>
          </cell>
          <cell r="T1470" t="str">
            <v>Functioning</v>
          </cell>
          <cell r="U1470" t="str">
            <v>Asset</v>
          </cell>
          <cell r="V1470">
            <v>4370</v>
          </cell>
          <cell r="W1470" t="str">
            <v>KEW</v>
          </cell>
          <cell r="X1470" t="str">
            <v>01/09/2010</v>
          </cell>
          <cell r="Y1470" t="str">
            <v>KEW</v>
          </cell>
          <cell r="Z1470" t="str">
            <v>16/08/2013</v>
          </cell>
          <cell r="AA1470" t="str">
            <v>15/08/2015</v>
          </cell>
          <cell r="AB1470" t="str">
            <v>No</v>
          </cell>
          <cell r="AC1470" t="str">
            <v>31/08/2013</v>
          </cell>
          <cell r="AD1470" t="str">
            <v>Good</v>
          </cell>
          <cell r="AE1470" t="str">
            <v>V1 - Existing / No Claim</v>
          </cell>
          <cell r="AF1470">
            <v>42235</v>
          </cell>
          <cell r="AG1470">
            <v>9.17</v>
          </cell>
          <cell r="AH1470" t="str">
            <v>PPM</v>
          </cell>
          <cell r="AI1470" t="str">
            <v>package</v>
          </cell>
          <cell r="AJ1470" t="str">
            <v>Not in contract</v>
          </cell>
        </row>
        <row r="1471">
          <cell r="A1471" t="str">
            <v>IKN401182</v>
          </cell>
          <cell r="B1471">
            <v>1180</v>
          </cell>
          <cell r="C1471" t="str">
            <v>Institut Kanser Negara</v>
          </cell>
          <cell r="E1471" t="str">
            <v>11-295</v>
          </cell>
          <cell r="F1471" t="str">
            <v>Dosimeters, Radiation</v>
          </cell>
          <cell r="G1471" t="str">
            <v>RT</v>
          </cell>
          <cell r="H1471" t="str">
            <v>RADIATION TREATMENT UNIT</v>
          </cell>
          <cell r="I1471" t="str">
            <v>01RT213</v>
          </cell>
          <cell r="J1471" t="str">
            <v>EQUIPMENT ROOM1</v>
          </cell>
          <cell r="K1471" t="str">
            <v>BMED</v>
          </cell>
          <cell r="L1471" t="str">
            <v>Normal</v>
          </cell>
          <cell r="M1471" t="str">
            <v>Germany</v>
          </cell>
          <cell r="N1471" t="str">
            <v>Thermo Fisher</v>
          </cell>
          <cell r="O1471" t="str">
            <v>EPD MK2.5</v>
          </cell>
          <cell r="P1471" t="str">
            <v>00288086</v>
          </cell>
          <cell r="Q1471" t="str">
            <v>Not Applicable</v>
          </cell>
          <cell r="R1471" t="str">
            <v>Thermo Fisher Scientific</v>
          </cell>
          <cell r="S1471" t="str">
            <v>Delta Advantech (M) Sdn Bhd</v>
          </cell>
          <cell r="T1471" t="str">
            <v>Functioning</v>
          </cell>
          <cell r="U1471" t="str">
            <v>Asset</v>
          </cell>
          <cell r="V1471">
            <v>4370</v>
          </cell>
          <cell r="W1471" t="str">
            <v>KEW</v>
          </cell>
          <cell r="X1471" t="str">
            <v>01/09/2010</v>
          </cell>
          <cell r="Y1471" t="str">
            <v>KEW</v>
          </cell>
          <cell r="Z1471" t="str">
            <v>16/08/2013</v>
          </cell>
          <cell r="AA1471" t="str">
            <v>15/08/2015</v>
          </cell>
          <cell r="AB1471" t="str">
            <v>No</v>
          </cell>
          <cell r="AC1471" t="str">
            <v>31/08/2013</v>
          </cell>
          <cell r="AD1471" t="str">
            <v>Good</v>
          </cell>
          <cell r="AE1471" t="str">
            <v>V1 - Existing / No Claim</v>
          </cell>
          <cell r="AF1471">
            <v>42235</v>
          </cell>
          <cell r="AG1471">
            <v>9.17</v>
          </cell>
          <cell r="AH1471" t="str">
            <v>PPM</v>
          </cell>
          <cell r="AI1471" t="str">
            <v>package</v>
          </cell>
          <cell r="AJ1471" t="str">
            <v>Not in contract</v>
          </cell>
        </row>
        <row r="1472">
          <cell r="A1472" t="str">
            <v>IKN401183</v>
          </cell>
          <cell r="B1472">
            <v>1181</v>
          </cell>
          <cell r="C1472" t="str">
            <v>Institut Kanser Negara</v>
          </cell>
          <cell r="D1472" t="str">
            <v>KKM/IKN/H/13/1177</v>
          </cell>
          <cell r="E1472" t="str">
            <v>11-295</v>
          </cell>
          <cell r="F1472" t="str">
            <v>Dosimeters, Radiation</v>
          </cell>
          <cell r="G1472" t="str">
            <v>RT</v>
          </cell>
          <cell r="H1472" t="str">
            <v>RADIATION TREATMENT UNIT</v>
          </cell>
          <cell r="I1472" t="str">
            <v>01RT213</v>
          </cell>
          <cell r="J1472" t="str">
            <v>EQUIPMENT ROOM1</v>
          </cell>
          <cell r="K1472" t="str">
            <v>BMED</v>
          </cell>
          <cell r="L1472" t="str">
            <v>Normal</v>
          </cell>
          <cell r="M1472" t="str">
            <v>Germany</v>
          </cell>
          <cell r="N1472" t="str">
            <v>Thermo Fisher</v>
          </cell>
          <cell r="O1472" t="str">
            <v>EPD MK2.5</v>
          </cell>
          <cell r="P1472" t="str">
            <v>00289459</v>
          </cell>
          <cell r="Q1472" t="str">
            <v>Not Applicable</v>
          </cell>
          <cell r="R1472" t="str">
            <v>Thermo Fisher Scientific</v>
          </cell>
          <cell r="S1472" t="str">
            <v>Delta Advantech (M) Sdn Bhd</v>
          </cell>
          <cell r="T1472" t="str">
            <v>Functioning</v>
          </cell>
          <cell r="U1472" t="str">
            <v>Asset</v>
          </cell>
          <cell r="V1472">
            <v>4370</v>
          </cell>
          <cell r="W1472" t="str">
            <v>KEW</v>
          </cell>
          <cell r="X1472" t="str">
            <v>01/09/2010</v>
          </cell>
          <cell r="Y1472" t="str">
            <v>KEW</v>
          </cell>
          <cell r="Z1472" t="str">
            <v>16/08/2013</v>
          </cell>
          <cell r="AA1472" t="str">
            <v>15/08/2015</v>
          </cell>
          <cell r="AB1472" t="str">
            <v>No</v>
          </cell>
          <cell r="AC1472" t="str">
            <v>31/08/2013</v>
          </cell>
          <cell r="AD1472" t="str">
            <v>Good</v>
          </cell>
          <cell r="AE1472" t="str">
            <v>V1 - Existing / No Claim</v>
          </cell>
          <cell r="AF1472">
            <v>42235</v>
          </cell>
          <cell r="AG1472">
            <v>9.17</v>
          </cell>
          <cell r="AH1472" t="str">
            <v>PPM</v>
          </cell>
          <cell r="AI1472" t="str">
            <v>Strands</v>
          </cell>
          <cell r="AJ1472" t="str">
            <v>Strands PW</v>
          </cell>
        </row>
        <row r="1473">
          <cell r="A1473" t="str">
            <v>IKN401184</v>
          </cell>
          <cell r="B1473">
            <v>1182</v>
          </cell>
          <cell r="C1473" t="str">
            <v>Institut Kanser Negara</v>
          </cell>
          <cell r="D1473" t="str">
            <v>KKM/IKN/H/13/1186</v>
          </cell>
          <cell r="E1473" t="str">
            <v>11-295</v>
          </cell>
          <cell r="F1473" t="str">
            <v>Dosimeters, Radiation</v>
          </cell>
          <cell r="G1473" t="str">
            <v>NM</v>
          </cell>
          <cell r="H1473" t="str">
            <v>NUCLEAR MED (DIAGNOSTIC)</v>
          </cell>
          <cell r="I1473" t="str">
            <v>03NM170</v>
          </cell>
          <cell r="J1473" t="str">
            <v>CHIEF PHYSICIST</v>
          </cell>
          <cell r="K1473" t="str">
            <v>BMED</v>
          </cell>
          <cell r="L1473" t="str">
            <v>Normal</v>
          </cell>
          <cell r="M1473" t="str">
            <v>Germany</v>
          </cell>
          <cell r="N1473" t="str">
            <v>Thermo Fisher</v>
          </cell>
          <cell r="O1473" t="str">
            <v>EPD MK2.5</v>
          </cell>
          <cell r="P1473" t="str">
            <v>00288070</v>
          </cell>
          <cell r="Q1473" t="str">
            <v>Not Applicable</v>
          </cell>
          <cell r="R1473" t="str">
            <v>Thermo Fisher Scientific</v>
          </cell>
          <cell r="S1473" t="str">
            <v>Delta Advantech (M) Sdn Bhd</v>
          </cell>
          <cell r="T1473" t="str">
            <v>Functioning</v>
          </cell>
          <cell r="U1473" t="str">
            <v>Asset</v>
          </cell>
          <cell r="V1473">
            <v>4370</v>
          </cell>
          <cell r="W1473" t="str">
            <v>KEW</v>
          </cell>
          <cell r="X1473" t="str">
            <v>01/09/2010</v>
          </cell>
          <cell r="Y1473" t="str">
            <v>KEW</v>
          </cell>
          <cell r="Z1473" t="str">
            <v>16/08/2013</v>
          </cell>
          <cell r="AA1473" t="str">
            <v>15/08/2015</v>
          </cell>
          <cell r="AB1473" t="str">
            <v>No</v>
          </cell>
          <cell r="AC1473" t="str">
            <v>31/08/2013</v>
          </cell>
          <cell r="AD1473" t="str">
            <v>Good</v>
          </cell>
          <cell r="AE1473" t="str">
            <v>V1 - Existing / No Claim</v>
          </cell>
          <cell r="AF1473">
            <v>42235</v>
          </cell>
          <cell r="AG1473">
            <v>9.17</v>
          </cell>
          <cell r="AH1473" t="str">
            <v>PPM</v>
          </cell>
          <cell r="AI1473" t="str">
            <v>Strands</v>
          </cell>
          <cell r="AJ1473" t="str">
            <v>Strands PW</v>
          </cell>
        </row>
        <row r="1474">
          <cell r="A1474" t="str">
            <v>IKN401185</v>
          </cell>
          <cell r="B1474">
            <v>1183</v>
          </cell>
          <cell r="C1474" t="str">
            <v>Institut Kanser Negara</v>
          </cell>
          <cell r="D1474" t="str">
            <v>KKM/IKN/H/13/3210</v>
          </cell>
          <cell r="E1474" t="str">
            <v>11-295</v>
          </cell>
          <cell r="F1474" t="str">
            <v>Dosimeters, Radiation</v>
          </cell>
          <cell r="G1474" t="str">
            <v>NM</v>
          </cell>
          <cell r="H1474" t="str">
            <v>NUCLEAR MED (DIAGNOSTIC)</v>
          </cell>
          <cell r="I1474" t="str">
            <v>03NM170</v>
          </cell>
          <cell r="J1474" t="str">
            <v>CHIEF PHYSICIST</v>
          </cell>
          <cell r="K1474" t="str">
            <v>BMED</v>
          </cell>
          <cell r="L1474" t="str">
            <v>Normal</v>
          </cell>
          <cell r="M1474" t="str">
            <v>Germany</v>
          </cell>
          <cell r="N1474" t="str">
            <v>Thermo Fisher</v>
          </cell>
          <cell r="O1474" t="str">
            <v>EPD MK2.5</v>
          </cell>
          <cell r="P1474" t="str">
            <v>00288071</v>
          </cell>
          <cell r="Q1474" t="str">
            <v>Not Applicable</v>
          </cell>
          <cell r="R1474" t="str">
            <v>Thermo Fisher Scientific</v>
          </cell>
          <cell r="S1474" t="str">
            <v>Delta Advantech (M) Sdn Bhd</v>
          </cell>
          <cell r="T1474" t="str">
            <v>Functioning</v>
          </cell>
          <cell r="U1474" t="str">
            <v>Asset</v>
          </cell>
          <cell r="V1474">
            <v>4370</v>
          </cell>
          <cell r="W1474" t="str">
            <v>KEW</v>
          </cell>
          <cell r="X1474" t="str">
            <v>01/09/2010</v>
          </cell>
          <cell r="Y1474" t="str">
            <v>KEW</v>
          </cell>
          <cell r="Z1474" t="str">
            <v>16/08/2013</v>
          </cell>
          <cell r="AA1474" t="str">
            <v>15/08/2015</v>
          </cell>
          <cell r="AB1474" t="str">
            <v>No</v>
          </cell>
          <cell r="AC1474" t="str">
            <v>31/08/2013</v>
          </cell>
          <cell r="AD1474" t="str">
            <v>Good</v>
          </cell>
          <cell r="AE1474" t="str">
            <v>V1 - Existing / No Claim</v>
          </cell>
          <cell r="AF1474">
            <v>42235</v>
          </cell>
          <cell r="AG1474">
            <v>9.17</v>
          </cell>
          <cell r="AH1474" t="str">
            <v>PPM</v>
          </cell>
          <cell r="AI1474" t="str">
            <v>Strands</v>
          </cell>
          <cell r="AJ1474" t="str">
            <v>Strands PW</v>
          </cell>
        </row>
        <row r="1475">
          <cell r="A1475" t="str">
            <v>IKN401186</v>
          </cell>
          <cell r="B1475">
            <v>1184</v>
          </cell>
          <cell r="C1475" t="str">
            <v>Institut Kanser Negara</v>
          </cell>
          <cell r="D1475" t="str">
            <v>KKM/IKN/H/13/3211</v>
          </cell>
          <cell r="E1475" t="str">
            <v>11-295</v>
          </cell>
          <cell r="F1475" t="str">
            <v>Dosimeters, Radiation</v>
          </cell>
          <cell r="G1475" t="str">
            <v>NM</v>
          </cell>
          <cell r="H1475" t="str">
            <v>NUCLEAR MED (DIAGNOSTIC)</v>
          </cell>
          <cell r="I1475" t="str">
            <v>03NM170</v>
          </cell>
          <cell r="J1475" t="str">
            <v>CHIEF PHYSICIST</v>
          </cell>
          <cell r="K1475" t="str">
            <v>BMED</v>
          </cell>
          <cell r="L1475" t="str">
            <v>Normal</v>
          </cell>
          <cell r="M1475" t="str">
            <v>Germany</v>
          </cell>
          <cell r="N1475" t="str">
            <v>Thermo Fisher</v>
          </cell>
          <cell r="O1475" t="str">
            <v>EPD MK2.5</v>
          </cell>
          <cell r="P1475" t="str">
            <v>00288072</v>
          </cell>
          <cell r="Q1475" t="str">
            <v>Not Applicable</v>
          </cell>
          <cell r="R1475" t="str">
            <v>Thermo Fisher Scientific</v>
          </cell>
          <cell r="S1475" t="str">
            <v>Delta Advantech (M) Sdn Bhd</v>
          </cell>
          <cell r="T1475" t="str">
            <v>Functioning</v>
          </cell>
          <cell r="U1475" t="str">
            <v>Asset</v>
          </cell>
          <cell r="V1475">
            <v>4370</v>
          </cell>
          <cell r="W1475" t="str">
            <v>KEW</v>
          </cell>
          <cell r="X1475" t="str">
            <v>01/09/2010</v>
          </cell>
          <cell r="Y1475" t="str">
            <v>KEW</v>
          </cell>
          <cell r="Z1475" t="str">
            <v>16/08/2013</v>
          </cell>
          <cell r="AA1475" t="str">
            <v>15/08/2015</v>
          </cell>
          <cell r="AB1475" t="str">
            <v>No</v>
          </cell>
          <cell r="AC1475" t="str">
            <v>31/08/2013</v>
          </cell>
          <cell r="AD1475" t="str">
            <v>Good</v>
          </cell>
          <cell r="AE1475" t="str">
            <v>V1 - Existing / No Claim</v>
          </cell>
          <cell r="AF1475">
            <v>42235</v>
          </cell>
          <cell r="AG1475">
            <v>9.17</v>
          </cell>
          <cell r="AH1475" t="str">
            <v>PPM</v>
          </cell>
          <cell r="AI1475" t="str">
            <v>Strands</v>
          </cell>
          <cell r="AJ1475" t="str">
            <v>Strands PW</v>
          </cell>
        </row>
        <row r="1476">
          <cell r="A1476" t="str">
            <v>IKN401187</v>
          </cell>
          <cell r="B1476">
            <v>1185</v>
          </cell>
          <cell r="C1476" t="str">
            <v>Institut Kanser Negara</v>
          </cell>
          <cell r="D1476" t="str">
            <v>KKM/IKN/H/13/3214</v>
          </cell>
          <cell r="E1476" t="str">
            <v>11-295</v>
          </cell>
          <cell r="F1476" t="str">
            <v>Dosimeters, Radiation</v>
          </cell>
          <cell r="G1476" t="str">
            <v>NM</v>
          </cell>
          <cell r="H1476" t="str">
            <v>NUCLEAR MED (DIAGNOSTIC)</v>
          </cell>
          <cell r="I1476" t="str">
            <v>03NM170</v>
          </cell>
          <cell r="J1476" t="str">
            <v>CHIEF PHYSICIST</v>
          </cell>
          <cell r="K1476" t="str">
            <v>BMED</v>
          </cell>
          <cell r="L1476" t="str">
            <v>Normal</v>
          </cell>
          <cell r="M1476" t="str">
            <v>Germany</v>
          </cell>
          <cell r="N1476" t="str">
            <v>Thermo Fisher</v>
          </cell>
          <cell r="O1476" t="str">
            <v>EPD MK2.5</v>
          </cell>
          <cell r="P1476" t="str">
            <v>00288073</v>
          </cell>
          <cell r="Q1476" t="str">
            <v>Not Applicable</v>
          </cell>
          <cell r="R1476" t="str">
            <v>Thermo Fisher Scientific</v>
          </cell>
          <cell r="S1476" t="str">
            <v>Delta Advantech (M) Sdn Bhd</v>
          </cell>
          <cell r="T1476" t="str">
            <v>Functioning</v>
          </cell>
          <cell r="U1476" t="str">
            <v>Asset</v>
          </cell>
          <cell r="V1476">
            <v>4370</v>
          </cell>
          <cell r="W1476" t="str">
            <v>KEW</v>
          </cell>
          <cell r="X1476" t="str">
            <v>01/09/2010</v>
          </cell>
          <cell r="Y1476" t="str">
            <v>KEW</v>
          </cell>
          <cell r="Z1476" t="str">
            <v>16/08/2013</v>
          </cell>
          <cell r="AA1476" t="str">
            <v>15/08/2015</v>
          </cell>
          <cell r="AB1476" t="str">
            <v>No</v>
          </cell>
          <cell r="AC1476" t="str">
            <v>31/08/2013</v>
          </cell>
          <cell r="AD1476" t="str">
            <v>Good</v>
          </cell>
          <cell r="AE1476" t="str">
            <v>V1 - Existing / No Claim</v>
          </cell>
          <cell r="AF1476">
            <v>42235</v>
          </cell>
          <cell r="AG1476">
            <v>9.17</v>
          </cell>
          <cell r="AH1476" t="str">
            <v>PPM</v>
          </cell>
          <cell r="AI1476" t="str">
            <v>Strands</v>
          </cell>
          <cell r="AJ1476" t="str">
            <v>Strands PW</v>
          </cell>
        </row>
        <row r="1477">
          <cell r="A1477" t="str">
            <v>IKN401188</v>
          </cell>
          <cell r="B1477">
            <v>1186</v>
          </cell>
          <cell r="C1477" t="str">
            <v>Institut Kanser Negara</v>
          </cell>
          <cell r="D1477" t="str">
            <v>KKM/IKN/H/13/3129</v>
          </cell>
          <cell r="E1477" t="str">
            <v>11-295</v>
          </cell>
          <cell r="F1477" t="str">
            <v>Dosimeters, Radiation</v>
          </cell>
          <cell r="G1477" t="str">
            <v>NM</v>
          </cell>
          <cell r="H1477" t="str">
            <v>NUCLEAR MED (DIAGNOSTIC)</v>
          </cell>
          <cell r="I1477" t="str">
            <v>03NM170</v>
          </cell>
          <cell r="J1477" t="str">
            <v>CHIEF PHYSICIST</v>
          </cell>
          <cell r="K1477" t="str">
            <v>BMED</v>
          </cell>
          <cell r="L1477" t="str">
            <v>Normal</v>
          </cell>
          <cell r="M1477" t="str">
            <v>Germany</v>
          </cell>
          <cell r="N1477" t="str">
            <v>Thermo Fisher</v>
          </cell>
          <cell r="O1477" t="str">
            <v>EPD MK2.5</v>
          </cell>
          <cell r="P1477" t="str">
            <v>00288074</v>
          </cell>
          <cell r="Q1477" t="str">
            <v>Not Applicable</v>
          </cell>
          <cell r="R1477" t="str">
            <v>Thermo Fisher Scientific</v>
          </cell>
          <cell r="S1477" t="str">
            <v>Delta Advantech (M) Sdn Bhd</v>
          </cell>
          <cell r="T1477" t="str">
            <v>Functioning</v>
          </cell>
          <cell r="U1477" t="str">
            <v>Asset</v>
          </cell>
          <cell r="V1477">
            <v>4370</v>
          </cell>
          <cell r="W1477" t="str">
            <v>KEW</v>
          </cell>
          <cell r="X1477" t="str">
            <v>01/09/2010</v>
          </cell>
          <cell r="Y1477" t="str">
            <v>KEW</v>
          </cell>
          <cell r="Z1477" t="str">
            <v>16/08/2013</v>
          </cell>
          <cell r="AA1477" t="str">
            <v>15/08/2015</v>
          </cell>
          <cell r="AB1477" t="str">
            <v>No</v>
          </cell>
          <cell r="AC1477" t="str">
            <v>31/08/2013</v>
          </cell>
          <cell r="AD1477" t="str">
            <v>Good</v>
          </cell>
          <cell r="AE1477" t="str">
            <v>V1 - Existing / No Claim</v>
          </cell>
          <cell r="AF1477">
            <v>42235</v>
          </cell>
          <cell r="AG1477">
            <v>9.17</v>
          </cell>
          <cell r="AH1477" t="str">
            <v>PPM</v>
          </cell>
          <cell r="AI1477" t="str">
            <v>Strands</v>
          </cell>
          <cell r="AJ1477" t="str">
            <v>Strands PW</v>
          </cell>
        </row>
        <row r="1478">
          <cell r="A1478" t="str">
            <v>IKN401189</v>
          </cell>
          <cell r="B1478">
            <v>1187</v>
          </cell>
          <cell r="C1478" t="str">
            <v>Institut Kanser Negara</v>
          </cell>
          <cell r="D1478" t="str">
            <v>KKM/IKN/H/13/3213</v>
          </cell>
          <cell r="E1478" t="str">
            <v>11-295</v>
          </cell>
          <cell r="F1478" t="str">
            <v>Dosimeters, Radiation</v>
          </cell>
          <cell r="G1478" t="str">
            <v>NM</v>
          </cell>
          <cell r="H1478" t="str">
            <v>NUCLEAR MED (DIAGNOSTIC)</v>
          </cell>
          <cell r="I1478" t="str">
            <v>03NM170</v>
          </cell>
          <cell r="J1478" t="str">
            <v>CHIEF PHYSICIST</v>
          </cell>
          <cell r="K1478" t="str">
            <v>BMED</v>
          </cell>
          <cell r="L1478" t="str">
            <v>Normal</v>
          </cell>
          <cell r="M1478" t="str">
            <v>Germany</v>
          </cell>
          <cell r="N1478" t="str">
            <v>Thermo Fisher</v>
          </cell>
          <cell r="O1478" t="str">
            <v>EPD MK2.5</v>
          </cell>
          <cell r="P1478" t="str">
            <v>00288075</v>
          </cell>
          <cell r="Q1478" t="str">
            <v>Not Applicable</v>
          </cell>
          <cell r="R1478" t="str">
            <v>Thermo Fisher Scientific</v>
          </cell>
          <cell r="S1478" t="str">
            <v>Delta Advantech (M) Sdn Bhd</v>
          </cell>
          <cell r="T1478" t="str">
            <v>Functioning</v>
          </cell>
          <cell r="U1478" t="str">
            <v>Asset</v>
          </cell>
          <cell r="V1478">
            <v>4370</v>
          </cell>
          <cell r="W1478" t="str">
            <v>KEW</v>
          </cell>
          <cell r="X1478" t="str">
            <v>01/09/2010</v>
          </cell>
          <cell r="Y1478" t="str">
            <v>KEW</v>
          </cell>
          <cell r="Z1478" t="str">
            <v>16/08/2013</v>
          </cell>
          <cell r="AA1478" t="str">
            <v>15/08/2015</v>
          </cell>
          <cell r="AB1478" t="str">
            <v>No</v>
          </cell>
          <cell r="AC1478" t="str">
            <v>31/08/2013</v>
          </cell>
          <cell r="AD1478" t="str">
            <v>Good</v>
          </cell>
          <cell r="AE1478" t="str">
            <v>V1 - Existing / No Claim</v>
          </cell>
          <cell r="AF1478">
            <v>42235</v>
          </cell>
          <cell r="AG1478">
            <v>9.17</v>
          </cell>
          <cell r="AH1478" t="str">
            <v>PPM</v>
          </cell>
          <cell r="AI1478" t="str">
            <v>Strands</v>
          </cell>
          <cell r="AJ1478" t="str">
            <v>Strands PW</v>
          </cell>
        </row>
        <row r="1479">
          <cell r="A1479" t="str">
            <v>IKN401190</v>
          </cell>
          <cell r="B1479">
            <v>1188</v>
          </cell>
          <cell r="C1479" t="str">
            <v>Institut Kanser Negara</v>
          </cell>
          <cell r="D1479" t="str">
            <v>KKM/IKN/H/13/3130</v>
          </cell>
          <cell r="E1479" t="str">
            <v>11-295</v>
          </cell>
          <cell r="F1479" t="str">
            <v>Dosimeters, Radiation</v>
          </cell>
          <cell r="G1479" t="str">
            <v>NM</v>
          </cell>
          <cell r="H1479" t="str">
            <v>NUCLEAR MED (DIAGNOSTIC)</v>
          </cell>
          <cell r="I1479" t="str">
            <v>03NM170</v>
          </cell>
          <cell r="J1479" t="str">
            <v>CHIEF PHYSICIST</v>
          </cell>
          <cell r="K1479" t="str">
            <v>BMED</v>
          </cell>
          <cell r="L1479" t="str">
            <v>Normal</v>
          </cell>
          <cell r="M1479" t="str">
            <v>Germany</v>
          </cell>
          <cell r="N1479" t="str">
            <v>Thermo Fisher</v>
          </cell>
          <cell r="O1479" t="str">
            <v>EPD MK2.5</v>
          </cell>
          <cell r="P1479" t="str">
            <v>00289477</v>
          </cell>
          <cell r="Q1479" t="str">
            <v>Not Applicable</v>
          </cell>
          <cell r="R1479" t="str">
            <v>Thermo Fisher Scientific</v>
          </cell>
          <cell r="S1479" t="str">
            <v>Delta Advantech (M) Sdn Bhd</v>
          </cell>
          <cell r="T1479" t="str">
            <v>Functioning</v>
          </cell>
          <cell r="U1479" t="str">
            <v>Asset</v>
          </cell>
          <cell r="V1479">
            <v>4370</v>
          </cell>
          <cell r="W1479" t="str">
            <v>KEW</v>
          </cell>
          <cell r="X1479" t="str">
            <v>01/09/2010</v>
          </cell>
          <cell r="Y1479" t="str">
            <v>KEW</v>
          </cell>
          <cell r="Z1479" t="str">
            <v>16/08/2013</v>
          </cell>
          <cell r="AA1479" t="str">
            <v>15/08/2015</v>
          </cell>
          <cell r="AB1479" t="str">
            <v>No</v>
          </cell>
          <cell r="AC1479" t="str">
            <v>31/08/2013</v>
          </cell>
          <cell r="AD1479" t="str">
            <v>Good</v>
          </cell>
          <cell r="AE1479" t="str">
            <v>V1 - Existing / No Claim</v>
          </cell>
          <cell r="AF1479">
            <v>42235</v>
          </cell>
          <cell r="AG1479">
            <v>9.17</v>
          </cell>
          <cell r="AH1479" t="str">
            <v>PPM</v>
          </cell>
          <cell r="AI1479" t="str">
            <v>Strands</v>
          </cell>
          <cell r="AJ1479" t="str">
            <v>Strands PW</v>
          </cell>
        </row>
        <row r="1480">
          <cell r="A1480" t="str">
            <v>IKN401191</v>
          </cell>
          <cell r="B1480">
            <v>1189</v>
          </cell>
          <cell r="C1480" t="str">
            <v>Institut Kanser Negara</v>
          </cell>
          <cell r="D1480" t="str">
            <v>KKM/IKN/H/13/3131</v>
          </cell>
          <cell r="E1480" t="str">
            <v>11-295</v>
          </cell>
          <cell r="F1480" t="str">
            <v>Dosimeters, Radiation</v>
          </cell>
          <cell r="G1480" t="str">
            <v>NM</v>
          </cell>
          <cell r="H1480" t="str">
            <v>NUCLEAR MED (DIAGNOSTIC)</v>
          </cell>
          <cell r="I1480" t="str">
            <v>03NM170</v>
          </cell>
          <cell r="J1480" t="str">
            <v>CHIEF PHYSICIST</v>
          </cell>
          <cell r="K1480" t="str">
            <v>BMED</v>
          </cell>
          <cell r="L1480" t="str">
            <v>Normal</v>
          </cell>
          <cell r="M1480" t="str">
            <v>Germany</v>
          </cell>
          <cell r="N1480" t="str">
            <v>Thermo Fisher</v>
          </cell>
          <cell r="O1480" t="str">
            <v>EPD MK2.5</v>
          </cell>
          <cell r="P1480" t="str">
            <v>00289464</v>
          </cell>
          <cell r="Q1480" t="str">
            <v>Not Applicable</v>
          </cell>
          <cell r="R1480" t="str">
            <v>Thermo Fisher Scientific</v>
          </cell>
          <cell r="S1480" t="str">
            <v>Delta Advantech (M) Sdn Bhd</v>
          </cell>
          <cell r="T1480" t="str">
            <v>Functioning</v>
          </cell>
          <cell r="U1480" t="str">
            <v>Asset</v>
          </cell>
          <cell r="V1480">
            <v>4370</v>
          </cell>
          <cell r="W1480" t="str">
            <v>KEW</v>
          </cell>
          <cell r="X1480" t="str">
            <v>01/09/2010</v>
          </cell>
          <cell r="Y1480" t="str">
            <v>KEW</v>
          </cell>
          <cell r="Z1480" t="str">
            <v>16/08/2013</v>
          </cell>
          <cell r="AA1480" t="str">
            <v>15/08/2015</v>
          </cell>
          <cell r="AB1480" t="str">
            <v>No</v>
          </cell>
          <cell r="AC1480" t="str">
            <v>31/08/2013</v>
          </cell>
          <cell r="AD1480" t="str">
            <v>Good</v>
          </cell>
          <cell r="AE1480" t="str">
            <v>V1 - Existing / No Claim</v>
          </cell>
          <cell r="AF1480">
            <v>42235</v>
          </cell>
          <cell r="AG1480">
            <v>9.17</v>
          </cell>
          <cell r="AH1480" t="str">
            <v>PPM</v>
          </cell>
          <cell r="AI1480" t="str">
            <v>Strands</v>
          </cell>
          <cell r="AJ1480" t="str">
            <v>Strands PW</v>
          </cell>
        </row>
        <row r="1481">
          <cell r="A1481" t="str">
            <v>IKN401192</v>
          </cell>
          <cell r="B1481">
            <v>1190</v>
          </cell>
          <cell r="C1481" t="str">
            <v>Institut Kanser Negara</v>
          </cell>
          <cell r="D1481" t="str">
            <v>KKM/IKN/H/13/4004</v>
          </cell>
          <cell r="E1481" t="str">
            <v>11-295</v>
          </cell>
          <cell r="F1481" t="str">
            <v>Dosimeters, Radiation</v>
          </cell>
          <cell r="G1481" t="str">
            <v>NM</v>
          </cell>
          <cell r="H1481" t="str">
            <v>NUCLEAR MED (DIAGNOSTIC)</v>
          </cell>
          <cell r="I1481" t="str">
            <v>03NM170</v>
          </cell>
          <cell r="J1481" t="str">
            <v>CHIEF PHYSICIST</v>
          </cell>
          <cell r="K1481" t="str">
            <v>BMED</v>
          </cell>
          <cell r="L1481" t="str">
            <v>Normal</v>
          </cell>
          <cell r="M1481" t="str">
            <v>Germany</v>
          </cell>
          <cell r="N1481" t="str">
            <v>Thermo Fisher</v>
          </cell>
          <cell r="O1481" t="str">
            <v>EPD MK2.5</v>
          </cell>
          <cell r="P1481" t="str">
            <v>00289469</v>
          </cell>
          <cell r="Q1481" t="str">
            <v>Not Applicable</v>
          </cell>
          <cell r="R1481" t="str">
            <v>Thermo Fisher Scientific</v>
          </cell>
          <cell r="S1481" t="str">
            <v>Delta Advantech (M) Sdn Bhd</v>
          </cell>
          <cell r="T1481" t="str">
            <v>Functioning</v>
          </cell>
          <cell r="U1481" t="str">
            <v>Asset</v>
          </cell>
          <cell r="V1481">
            <v>4370</v>
          </cell>
          <cell r="W1481" t="str">
            <v>KEW</v>
          </cell>
          <cell r="X1481" t="str">
            <v>01/09/2010</v>
          </cell>
          <cell r="Y1481" t="str">
            <v>KEW</v>
          </cell>
          <cell r="Z1481" t="str">
            <v>16/08/2013</v>
          </cell>
          <cell r="AA1481" t="str">
            <v>15/08/2015</v>
          </cell>
          <cell r="AB1481" t="str">
            <v>No</v>
          </cell>
          <cell r="AC1481" t="str">
            <v>31/08/2013</v>
          </cell>
          <cell r="AD1481" t="str">
            <v>Good</v>
          </cell>
          <cell r="AE1481" t="str">
            <v>V1 - Existing / No Claim</v>
          </cell>
          <cell r="AF1481">
            <v>42235</v>
          </cell>
          <cell r="AG1481">
            <v>9.17</v>
          </cell>
          <cell r="AH1481" t="str">
            <v>PPM</v>
          </cell>
          <cell r="AI1481" t="str">
            <v>Strands</v>
          </cell>
          <cell r="AJ1481" t="str">
            <v>Strands PW</v>
          </cell>
        </row>
        <row r="1482">
          <cell r="A1482" t="str">
            <v>IKN401194</v>
          </cell>
          <cell r="B1482">
            <v>1192</v>
          </cell>
          <cell r="C1482" t="str">
            <v>Institut Kanser Negara</v>
          </cell>
          <cell r="D1482" t="str">
            <v>KKM/IKN/H/14/50</v>
          </cell>
          <cell r="E1482" t="str">
            <v>15-663</v>
          </cell>
          <cell r="F1482" t="str">
            <v>Pipetters</v>
          </cell>
          <cell r="G1482" t="str">
            <v>LA</v>
          </cell>
          <cell r="H1482" t="str">
            <v>PATHOLOGY</v>
          </cell>
          <cell r="I1482" t="str">
            <v>04LA133</v>
          </cell>
          <cell r="J1482" t="str">
            <v>CHEMICAL PATHOLOGY 1</v>
          </cell>
          <cell r="K1482" t="str">
            <v>BMED</v>
          </cell>
          <cell r="L1482" t="str">
            <v>Normal</v>
          </cell>
          <cell r="M1482" t="str">
            <v>Germany</v>
          </cell>
          <cell r="N1482" t="str">
            <v>Eppendorf</v>
          </cell>
          <cell r="O1482" t="str">
            <v>Research Plus</v>
          </cell>
          <cell r="P1482" t="str">
            <v>J39383D</v>
          </cell>
          <cell r="Q1482" t="str">
            <v>Not Applicable</v>
          </cell>
          <cell r="R1482" t="str">
            <v>Eppendorf</v>
          </cell>
          <cell r="S1482" t="str">
            <v>Medigene sdn bhd</v>
          </cell>
          <cell r="T1482" t="str">
            <v>Functioning</v>
          </cell>
          <cell r="U1482" t="str">
            <v>Asset</v>
          </cell>
          <cell r="V1482">
            <v>750</v>
          </cell>
          <cell r="W1482" t="str">
            <v>KEW</v>
          </cell>
          <cell r="X1482" t="str">
            <v>01/09/2010</v>
          </cell>
          <cell r="Y1482" t="str">
            <v>KEW</v>
          </cell>
          <cell r="Z1482" t="str">
            <v>16/08/2013</v>
          </cell>
          <cell r="AA1482" t="str">
            <v>15/08/2015</v>
          </cell>
          <cell r="AB1482" t="str">
            <v>No</v>
          </cell>
          <cell r="AC1482" t="str">
            <v>31/08/2013</v>
          </cell>
          <cell r="AD1482" t="str">
            <v>Good</v>
          </cell>
          <cell r="AE1482" t="str">
            <v>V3 - Added Installed Facilities (New)</v>
          </cell>
          <cell r="AF1482">
            <v>42235</v>
          </cell>
          <cell r="AG1482">
            <v>9.17</v>
          </cell>
          <cell r="AH1482" t="str">
            <v>PPM</v>
          </cell>
          <cell r="AI1482" t="str">
            <v>Strands</v>
          </cell>
          <cell r="AJ1482" t="str">
            <v>Strands PW</v>
          </cell>
          <cell r="AK1482" t="str">
            <v>SNF received. 1st batch of V3 asset (December 2020).</v>
          </cell>
        </row>
        <row r="1483">
          <cell r="A1483" t="str">
            <v>IKN401195</v>
          </cell>
          <cell r="B1483">
            <v>1193</v>
          </cell>
          <cell r="C1483" t="str">
            <v>Institut Kanser Negara</v>
          </cell>
          <cell r="D1483" t="str">
            <v>KKM/IKN/H/13/4858</v>
          </cell>
          <cell r="E1483" t="str">
            <v>17-212</v>
          </cell>
          <cell r="F1483" t="str">
            <v>Radiation Survey Meters, Ionization Chamber</v>
          </cell>
          <cell r="G1483" t="str">
            <v>RT</v>
          </cell>
          <cell r="H1483" t="str">
            <v>RADIATION TREATMENT UNIT</v>
          </cell>
          <cell r="I1483" t="str">
            <v>01RT213</v>
          </cell>
          <cell r="J1483" t="str">
            <v>EQUIPMENT ROOM1</v>
          </cell>
          <cell r="K1483" t="str">
            <v>BMED</v>
          </cell>
          <cell r="L1483" t="str">
            <v>Normal</v>
          </cell>
          <cell r="M1483" t="str">
            <v>USA</v>
          </cell>
          <cell r="N1483" t="str">
            <v>Fluke</v>
          </cell>
          <cell r="O1483" t="str">
            <v>Fluke 451P- DE SI</v>
          </cell>
          <cell r="P1483" t="str">
            <v>4425</v>
          </cell>
          <cell r="Q1483" t="str">
            <v>Not Applicable</v>
          </cell>
          <cell r="R1483" t="str">
            <v>Fluke Biomedical RMS</v>
          </cell>
          <cell r="S1483" t="str">
            <v>Bell Comm Technologies Sdn Bhd</v>
          </cell>
          <cell r="T1483" t="str">
            <v>Functioning</v>
          </cell>
          <cell r="U1483" t="str">
            <v>Asset</v>
          </cell>
          <cell r="V1483">
            <v>6810</v>
          </cell>
          <cell r="W1483" t="str">
            <v>KEW</v>
          </cell>
          <cell r="X1483" t="str">
            <v>01/09/2010</v>
          </cell>
          <cell r="Y1483" t="str">
            <v>KEW</v>
          </cell>
          <cell r="Z1483" t="str">
            <v>16/08/2013</v>
          </cell>
          <cell r="AA1483" t="str">
            <v>15/08/2015</v>
          </cell>
          <cell r="AB1483" t="str">
            <v>No</v>
          </cell>
          <cell r="AC1483" t="str">
            <v>31/08/2013</v>
          </cell>
          <cell r="AD1483" t="str">
            <v>Good</v>
          </cell>
          <cell r="AE1483" t="str">
            <v>V1 - Existing / No Claim</v>
          </cell>
          <cell r="AF1483">
            <v>42235</v>
          </cell>
          <cell r="AG1483">
            <v>9.17</v>
          </cell>
          <cell r="AH1483" t="str">
            <v>PPM</v>
          </cell>
          <cell r="AI1483" t="str">
            <v>Strands</v>
          </cell>
          <cell r="AJ1483" t="str">
            <v>Strands PW</v>
          </cell>
        </row>
        <row r="1484">
          <cell r="A1484" t="str">
            <v>IKN401196</v>
          </cell>
          <cell r="B1484">
            <v>1194</v>
          </cell>
          <cell r="C1484" t="str">
            <v>Institut Kanser Negara</v>
          </cell>
          <cell r="D1484" t="str">
            <v>KKM/IKN/H/13/4857</v>
          </cell>
          <cell r="E1484" t="str">
            <v>17-212</v>
          </cell>
          <cell r="F1484" t="str">
            <v>Radiation Survey Meters, Ionization Chamber</v>
          </cell>
          <cell r="G1484" t="str">
            <v>RT</v>
          </cell>
          <cell r="H1484" t="str">
            <v>RADIATION TREATMENT UNIT</v>
          </cell>
          <cell r="I1484" t="str">
            <v>01RT213</v>
          </cell>
          <cell r="J1484" t="str">
            <v>EQUIPMENT ROOM1</v>
          </cell>
          <cell r="K1484" t="str">
            <v>BMED</v>
          </cell>
          <cell r="L1484" t="str">
            <v>Normal</v>
          </cell>
          <cell r="M1484" t="str">
            <v>USA</v>
          </cell>
          <cell r="N1484" t="str">
            <v>Fluke</v>
          </cell>
          <cell r="O1484" t="str">
            <v>Fluke 451P- DE SI</v>
          </cell>
          <cell r="P1484" t="str">
            <v>4424</v>
          </cell>
          <cell r="Q1484" t="str">
            <v>Not Applicable</v>
          </cell>
          <cell r="R1484" t="str">
            <v>Fluke Biomedical RMS</v>
          </cell>
          <cell r="S1484" t="str">
            <v>Bell Comm Technologies Sdn Bhd</v>
          </cell>
          <cell r="T1484" t="str">
            <v>Functioning</v>
          </cell>
          <cell r="U1484" t="str">
            <v>Asset</v>
          </cell>
          <cell r="V1484">
            <v>6810</v>
          </cell>
          <cell r="W1484" t="str">
            <v>KEW</v>
          </cell>
          <cell r="X1484" t="str">
            <v>01/09/2010</v>
          </cell>
          <cell r="Y1484" t="str">
            <v>KEW</v>
          </cell>
          <cell r="Z1484" t="str">
            <v>16/08/2013</v>
          </cell>
          <cell r="AA1484" t="str">
            <v>15/08/2015</v>
          </cell>
          <cell r="AB1484" t="str">
            <v>No</v>
          </cell>
          <cell r="AC1484" t="str">
            <v>31/08/2013</v>
          </cell>
          <cell r="AD1484" t="str">
            <v>Good</v>
          </cell>
          <cell r="AE1484" t="str">
            <v>V1 - Existing / No Claim</v>
          </cell>
          <cell r="AF1484">
            <v>42235</v>
          </cell>
          <cell r="AG1484">
            <v>9.17</v>
          </cell>
          <cell r="AH1484" t="str">
            <v>PPM</v>
          </cell>
          <cell r="AI1484" t="str">
            <v>Strands</v>
          </cell>
          <cell r="AJ1484" t="str">
            <v>Strands PW</v>
          </cell>
        </row>
        <row r="1485">
          <cell r="A1485" t="str">
            <v>IKN401197</v>
          </cell>
          <cell r="B1485">
            <v>1195</v>
          </cell>
          <cell r="C1485" t="str">
            <v>Institut Kanser Negara</v>
          </cell>
          <cell r="D1485" t="str">
            <v>KKM/IKN/H/13/4955</v>
          </cell>
          <cell r="E1485" t="str">
            <v>17-211</v>
          </cell>
          <cell r="F1485" t="str">
            <v>Radiation Survey Meters, Geiger-Muller</v>
          </cell>
          <cell r="G1485" t="str">
            <v>RT</v>
          </cell>
          <cell r="H1485" t="str">
            <v>RADIATION TREATMENT UNIT</v>
          </cell>
          <cell r="I1485" t="str">
            <v>01RT213</v>
          </cell>
          <cell r="J1485" t="str">
            <v>EQUIPMENT ROOM1</v>
          </cell>
          <cell r="K1485" t="str">
            <v>BMED</v>
          </cell>
          <cell r="L1485" t="str">
            <v>Normal</v>
          </cell>
          <cell r="M1485" t="str">
            <v>Germany</v>
          </cell>
          <cell r="N1485" t="str">
            <v>Ludlum</v>
          </cell>
          <cell r="O1485" t="str">
            <v>M98</v>
          </cell>
          <cell r="P1485">
            <v>273034</v>
          </cell>
          <cell r="Q1485" t="str">
            <v>Not Applicable</v>
          </cell>
          <cell r="R1485" t="str">
            <v>Ludlum Measurements Inc</v>
          </cell>
          <cell r="S1485" t="str">
            <v>H&amp;A Medical Supply Sdn Bhd</v>
          </cell>
          <cell r="T1485" t="str">
            <v>Functioning</v>
          </cell>
          <cell r="U1485" t="str">
            <v>Asset</v>
          </cell>
          <cell r="V1485">
            <v>3000</v>
          </cell>
          <cell r="W1485" t="str">
            <v>KEW</v>
          </cell>
          <cell r="X1485" t="str">
            <v>01/09/2010</v>
          </cell>
          <cell r="Y1485" t="str">
            <v>KEW</v>
          </cell>
          <cell r="Z1485" t="str">
            <v>16/08/2013</v>
          </cell>
          <cell r="AA1485" t="str">
            <v>15/08/2015</v>
          </cell>
          <cell r="AB1485" t="str">
            <v>No</v>
          </cell>
          <cell r="AC1485" t="str">
            <v>31/08/2013</v>
          </cell>
          <cell r="AD1485" t="str">
            <v>Good</v>
          </cell>
          <cell r="AE1485" t="str">
            <v>V1 - Existing / No Claim</v>
          </cell>
          <cell r="AF1485">
            <v>42235</v>
          </cell>
          <cell r="AG1485">
            <v>9.17</v>
          </cell>
          <cell r="AH1485" t="str">
            <v>PPM</v>
          </cell>
          <cell r="AI1485" t="str">
            <v>package</v>
          </cell>
        </row>
        <row r="1486">
          <cell r="A1486" t="str">
            <v>IKN401198</v>
          </cell>
          <cell r="B1486">
            <v>1196</v>
          </cell>
          <cell r="C1486" t="str">
            <v>Institut Kanser Negara</v>
          </cell>
          <cell r="D1486" t="str">
            <v>KKM/IKN/H/13/4956 - 02</v>
          </cell>
          <cell r="E1486" t="str">
            <v>17-211</v>
          </cell>
          <cell r="F1486" t="str">
            <v>Radiation Survey Meters, Geiger-Muller</v>
          </cell>
          <cell r="G1486" t="str">
            <v>RT</v>
          </cell>
          <cell r="H1486" t="str">
            <v>RADIATION TREATMENT UNIT</v>
          </cell>
          <cell r="I1486" t="str">
            <v>01RT213</v>
          </cell>
          <cell r="J1486" t="str">
            <v>EQUIPMENT ROOM1</v>
          </cell>
          <cell r="K1486" t="str">
            <v>BMED</v>
          </cell>
          <cell r="L1486" t="str">
            <v>Normal</v>
          </cell>
          <cell r="M1486" t="str">
            <v>USA</v>
          </cell>
          <cell r="N1486" t="str">
            <v>Fluke</v>
          </cell>
          <cell r="O1486" t="str">
            <v>ASM 990S</v>
          </cell>
          <cell r="P1486" t="str">
            <v>199606</v>
          </cell>
          <cell r="Q1486" t="str">
            <v>Not Applicable</v>
          </cell>
          <cell r="R1486" t="str">
            <v>Fluke Biomedical RMS</v>
          </cell>
          <cell r="S1486" t="str">
            <v>Bell Comm Technologies Sdn Bhd</v>
          </cell>
          <cell r="T1486" t="str">
            <v>Functioning</v>
          </cell>
          <cell r="U1486" t="str">
            <v>Asset</v>
          </cell>
          <cell r="V1486">
            <v>13500</v>
          </cell>
          <cell r="W1486" t="str">
            <v>KEW</v>
          </cell>
          <cell r="X1486" t="str">
            <v>01/09/2010</v>
          </cell>
          <cell r="Y1486" t="str">
            <v>KEW</v>
          </cell>
          <cell r="Z1486" t="str">
            <v>16/08/2013</v>
          </cell>
          <cell r="AA1486" t="str">
            <v>15/08/2015</v>
          </cell>
          <cell r="AB1486" t="str">
            <v>No</v>
          </cell>
          <cell r="AC1486" t="str">
            <v>31/08/2013</v>
          </cell>
          <cell r="AD1486" t="str">
            <v>Good</v>
          </cell>
          <cell r="AE1486" t="str">
            <v>V1 - Existing / No Claim</v>
          </cell>
          <cell r="AF1486">
            <v>42235</v>
          </cell>
          <cell r="AG1486">
            <v>9.17</v>
          </cell>
          <cell r="AH1486" t="str">
            <v>PPM</v>
          </cell>
          <cell r="AI1486" t="str">
            <v>Strands</v>
          </cell>
          <cell r="AJ1486" t="str">
            <v>Strands Package</v>
          </cell>
          <cell r="AK1486" t="str">
            <v>Package Brachytherapy / Prostate, XM0012</v>
          </cell>
        </row>
        <row r="1487">
          <cell r="A1487" t="str">
            <v>IKN401199</v>
          </cell>
          <cell r="B1487">
            <v>1197</v>
          </cell>
          <cell r="C1487" t="str">
            <v>Institut Kanser Negara</v>
          </cell>
          <cell r="D1487" t="str">
            <v>KKM/IKN/H/13/5014</v>
          </cell>
          <cell r="E1487" t="str">
            <v>15-129</v>
          </cell>
          <cell r="F1487" t="str">
            <v>Densitometers</v>
          </cell>
          <cell r="G1487" t="str">
            <v>ID</v>
          </cell>
          <cell r="H1487" t="str">
            <v>IMAGING DEPARTMENT</v>
          </cell>
          <cell r="I1487" t="str">
            <v>03ID169</v>
          </cell>
          <cell r="J1487" t="str">
            <v>RADIOGRAPHER</v>
          </cell>
          <cell r="K1487" t="str">
            <v>BMED</v>
          </cell>
          <cell r="L1487" t="str">
            <v>Normal</v>
          </cell>
          <cell r="M1487" t="str">
            <v>Germany</v>
          </cell>
          <cell r="N1487" t="str">
            <v>IBA</v>
          </cell>
          <cell r="O1487" t="str">
            <v>Unilight D</v>
          </cell>
          <cell r="P1487" t="str">
            <v>N6767</v>
          </cell>
          <cell r="Q1487" t="str">
            <v>Not Applicable</v>
          </cell>
          <cell r="R1487" t="str">
            <v>IBA</v>
          </cell>
          <cell r="S1487" t="str">
            <v>Delta Advantech (M) Sdn Bhd</v>
          </cell>
          <cell r="T1487" t="str">
            <v>Functioning</v>
          </cell>
          <cell r="U1487" t="str">
            <v>Asset</v>
          </cell>
          <cell r="V1487">
            <v>5000</v>
          </cell>
          <cell r="W1487" t="str">
            <v>KEW</v>
          </cell>
          <cell r="X1487" t="str">
            <v>01/09/2010</v>
          </cell>
          <cell r="Y1487" t="str">
            <v>KEW</v>
          </cell>
          <cell r="Z1487" t="str">
            <v>16/08/2013</v>
          </cell>
          <cell r="AA1487" t="str">
            <v>15/08/2015</v>
          </cell>
          <cell r="AB1487" t="str">
            <v>No</v>
          </cell>
          <cell r="AC1487" t="str">
            <v>31/08/2013</v>
          </cell>
          <cell r="AD1487" t="str">
            <v>Good</v>
          </cell>
          <cell r="AE1487" t="str">
            <v>V1 - Existing / No Claim</v>
          </cell>
          <cell r="AF1487">
            <v>42791</v>
          </cell>
          <cell r="AG1487">
            <v>9.17</v>
          </cell>
          <cell r="AH1487" t="str">
            <v>PPM</v>
          </cell>
          <cell r="AI1487" t="str">
            <v>Strands</v>
          </cell>
          <cell r="AJ1487" t="str">
            <v>Strands PW</v>
          </cell>
        </row>
        <row r="1488">
          <cell r="A1488" t="str">
            <v>IKN401200</v>
          </cell>
          <cell r="B1488">
            <v>1198</v>
          </cell>
          <cell r="C1488" t="str">
            <v>Institut Kanser Negara</v>
          </cell>
          <cell r="D1488" t="str">
            <v>KKM/IKN/H/13/4862</v>
          </cell>
          <cell r="E1488" t="str">
            <v>15-605</v>
          </cell>
          <cell r="F1488" t="str">
            <v>Testers</v>
          </cell>
          <cell r="G1488" t="str">
            <v>ID</v>
          </cell>
          <cell r="H1488" t="str">
            <v>IMAGING DEPARTMENT</v>
          </cell>
          <cell r="I1488" t="str">
            <v>03ID169</v>
          </cell>
          <cell r="J1488" t="str">
            <v>RADIOGRAPHER</v>
          </cell>
          <cell r="K1488" t="str">
            <v>BMED</v>
          </cell>
          <cell r="L1488" t="str">
            <v>Normal</v>
          </cell>
          <cell r="M1488" t="str">
            <v>Germany</v>
          </cell>
          <cell r="N1488" t="str">
            <v>IBA</v>
          </cell>
          <cell r="O1488" t="str">
            <v>MagicMAX</v>
          </cell>
          <cell r="P1488" t="str">
            <v>G13-0138</v>
          </cell>
          <cell r="Q1488" t="str">
            <v>Not Applicable</v>
          </cell>
          <cell r="R1488" t="str">
            <v>IBA</v>
          </cell>
          <cell r="S1488" t="str">
            <v>Delta Advantech (M) Sdn Bhd</v>
          </cell>
          <cell r="T1488" t="str">
            <v>Functioning</v>
          </cell>
          <cell r="U1488" t="str">
            <v>Asset</v>
          </cell>
          <cell r="V1488">
            <v>117000</v>
          </cell>
          <cell r="W1488" t="str">
            <v>KEW</v>
          </cell>
          <cell r="X1488" t="str">
            <v>01/09/2010</v>
          </cell>
          <cell r="Y1488" t="str">
            <v>KEW</v>
          </cell>
          <cell r="Z1488" t="str">
            <v>16/08/2013</v>
          </cell>
          <cell r="AA1488" t="str">
            <v>15/08/2015</v>
          </cell>
          <cell r="AB1488" t="str">
            <v>No</v>
          </cell>
          <cell r="AC1488" t="str">
            <v>31/08/2013</v>
          </cell>
          <cell r="AD1488" t="str">
            <v>Good</v>
          </cell>
          <cell r="AE1488" t="str">
            <v>V1 - Existing / No Claim</v>
          </cell>
          <cell r="AF1488">
            <v>42791</v>
          </cell>
          <cell r="AG1488">
            <v>9.17</v>
          </cell>
          <cell r="AH1488" t="str">
            <v>PPM</v>
          </cell>
          <cell r="AI1488" t="str">
            <v>package</v>
          </cell>
        </row>
        <row r="1489">
          <cell r="A1489" t="str">
            <v>IKN401213</v>
          </cell>
          <cell r="B1489">
            <v>1211</v>
          </cell>
          <cell r="C1489" t="str">
            <v>Institut Kanser Negara</v>
          </cell>
          <cell r="D1489" t="str">
            <v>KKM/IKN/H/13/4473 - 13</v>
          </cell>
          <cell r="E1489" t="str">
            <v>15-605</v>
          </cell>
          <cell r="F1489" t="str">
            <v>Testers</v>
          </cell>
          <cell r="G1489" t="str">
            <v>RT</v>
          </cell>
          <cell r="H1489" t="str">
            <v>RADIATION TREATMENT UNIT</v>
          </cell>
          <cell r="I1489" t="str">
            <v>01RT213</v>
          </cell>
          <cell r="J1489" t="str">
            <v>EQUIPMENT ROOM1</v>
          </cell>
          <cell r="K1489" t="str">
            <v>BMED</v>
          </cell>
          <cell r="L1489" t="str">
            <v>Normal</v>
          </cell>
          <cell r="M1489" t="str">
            <v>USA</v>
          </cell>
          <cell r="N1489" t="str">
            <v>Various</v>
          </cell>
          <cell r="O1489" t="str">
            <v>Tomo Electrometer 90016 &amp; Various</v>
          </cell>
          <cell r="P1489" t="str">
            <v>L122003</v>
          </cell>
          <cell r="Q1489" t="str">
            <v>Not Applicable</v>
          </cell>
          <cell r="R1489" t="str">
            <v>Standard Imaging</v>
          </cell>
          <cell r="S1489" t="str">
            <v>Transmedic Healthcare Sdn Bhd</v>
          </cell>
          <cell r="T1489" t="str">
            <v>Functioning</v>
          </cell>
          <cell r="U1489" t="str">
            <v>Asset</v>
          </cell>
          <cell r="V1489">
            <v>500000</v>
          </cell>
          <cell r="W1489" t="str">
            <v>KEW</v>
          </cell>
          <cell r="X1489" t="str">
            <v>01/09/2010</v>
          </cell>
          <cell r="Y1489" t="str">
            <v>KEW</v>
          </cell>
          <cell r="Z1489" t="str">
            <v>16/08/2013</v>
          </cell>
          <cell r="AA1489" t="str">
            <v>15/08/2015</v>
          </cell>
          <cell r="AB1489" t="str">
            <v>No</v>
          </cell>
          <cell r="AC1489" t="str">
            <v>31/08/2013</v>
          </cell>
          <cell r="AD1489" t="str">
            <v>Good</v>
          </cell>
          <cell r="AE1489" t="str">
            <v>V1 - Existing / No Claim</v>
          </cell>
          <cell r="AF1489">
            <v>42235</v>
          </cell>
          <cell r="AG1489">
            <v>9.17</v>
          </cell>
          <cell r="AH1489" t="str">
            <v>PPM</v>
          </cell>
          <cell r="AI1489" t="str">
            <v>package</v>
          </cell>
          <cell r="AJ1489" t="str">
            <v>Strands Package</v>
          </cell>
          <cell r="AK1489" t="str">
            <v>Package XM003(B)</v>
          </cell>
        </row>
        <row r="1490">
          <cell r="A1490" t="str">
            <v>IKN401214</v>
          </cell>
          <cell r="B1490">
            <v>1212</v>
          </cell>
          <cell r="C1490" t="str">
            <v>Institut Kanser Negara</v>
          </cell>
          <cell r="D1490" t="str">
            <v>KKM/IKN/H/13/4952</v>
          </cell>
          <cell r="E1490" t="str">
            <v>15-605</v>
          </cell>
          <cell r="F1490" t="str">
            <v>Testers</v>
          </cell>
          <cell r="G1490" t="str">
            <v>RT</v>
          </cell>
          <cell r="H1490" t="str">
            <v>RADIATION TREATMENT UNIT</v>
          </cell>
          <cell r="I1490" t="str">
            <v>01RT213</v>
          </cell>
          <cell r="J1490" t="str">
            <v>EQUIPMENT ROOM1</v>
          </cell>
          <cell r="K1490" t="str">
            <v>BMED</v>
          </cell>
          <cell r="L1490" t="str">
            <v>Normal</v>
          </cell>
          <cell r="M1490" t="str">
            <v>Germany</v>
          </cell>
          <cell r="N1490" t="str">
            <v>Various</v>
          </cell>
          <cell r="O1490" t="str">
            <v>IBA Dosimetry GMBH</v>
          </cell>
          <cell r="P1490" t="str">
            <v>11528</v>
          </cell>
          <cell r="Q1490" t="str">
            <v>Not Applicable</v>
          </cell>
          <cell r="R1490" t="str">
            <v>IBA</v>
          </cell>
          <cell r="S1490" t="str">
            <v>Delta Advantech (M) Sdn Bhd</v>
          </cell>
          <cell r="T1490" t="str">
            <v>Functioning</v>
          </cell>
          <cell r="U1490" t="str">
            <v>Asset</v>
          </cell>
          <cell r="V1490">
            <v>1932770</v>
          </cell>
          <cell r="W1490" t="str">
            <v>KEW</v>
          </cell>
          <cell r="X1490" t="str">
            <v>01/09/2010</v>
          </cell>
          <cell r="Y1490" t="str">
            <v>KEW</v>
          </cell>
          <cell r="Z1490" t="str">
            <v>16/08/2013</v>
          </cell>
          <cell r="AA1490" t="str">
            <v>15/08/2015</v>
          </cell>
          <cell r="AB1490" t="str">
            <v>No</v>
          </cell>
          <cell r="AC1490" t="str">
            <v>31/08/2013</v>
          </cell>
          <cell r="AD1490" t="str">
            <v>Good</v>
          </cell>
          <cell r="AE1490" t="str">
            <v>V1 - Existing / No Claim</v>
          </cell>
          <cell r="AF1490">
            <v>42235</v>
          </cell>
          <cell r="AG1490">
            <v>9.17</v>
          </cell>
          <cell r="AH1490" t="str">
            <v>PPM</v>
          </cell>
          <cell r="AI1490" t="str">
            <v>package</v>
          </cell>
          <cell r="AJ1490" t="str">
            <v>Not in contract</v>
          </cell>
          <cell r="AK1490" t="str">
            <v>Unit complement with water phantom.  [31/7/2023 (Sharifah): Tak cover dalam contract.]</v>
          </cell>
        </row>
        <row r="1491">
          <cell r="A1491" t="str">
            <v>IKN401215</v>
          </cell>
          <cell r="B1491">
            <v>1213</v>
          </cell>
          <cell r="C1491" t="str">
            <v>Institut Kanser Negara</v>
          </cell>
          <cell r="D1491" t="str">
            <v>KKM/IKN/H/13/3212</v>
          </cell>
          <cell r="E1491" t="str">
            <v>18-971</v>
          </cell>
          <cell r="F1491" t="str">
            <v>Testers</v>
          </cell>
          <cell r="G1491" t="str">
            <v>RT</v>
          </cell>
          <cell r="H1491" t="str">
            <v>RADIATION TREATMENT UNIT</v>
          </cell>
          <cell r="I1491" t="str">
            <v>01RT213</v>
          </cell>
          <cell r="J1491" t="str">
            <v>EQUIPMENT ROOM1</v>
          </cell>
          <cell r="K1491" t="str">
            <v>BMED</v>
          </cell>
          <cell r="L1491" t="str">
            <v>Normal</v>
          </cell>
          <cell r="M1491" t="str">
            <v>USA</v>
          </cell>
          <cell r="N1491" t="str">
            <v>Various</v>
          </cell>
          <cell r="O1491" t="str">
            <v>HDR100Plus &amp; SuperMAX</v>
          </cell>
          <cell r="P1491" t="str">
            <v>A122971 / p12302</v>
          </cell>
          <cell r="Q1491" t="str">
            <v>Not Applicable</v>
          </cell>
          <cell r="R1491" t="str">
            <v>Standard Imaging</v>
          </cell>
          <cell r="S1491" t="str">
            <v>Delta Advantech (M) Sdn Bhd</v>
          </cell>
          <cell r="T1491" t="str">
            <v>Functioning</v>
          </cell>
          <cell r="U1491" t="str">
            <v>Asset</v>
          </cell>
          <cell r="V1491">
            <v>77670</v>
          </cell>
          <cell r="W1491" t="str">
            <v>KEW</v>
          </cell>
          <cell r="X1491" t="str">
            <v>01/09/2010</v>
          </cell>
          <cell r="Y1491" t="str">
            <v>KEW</v>
          </cell>
          <cell r="Z1491" t="str">
            <v>16/08/2013</v>
          </cell>
          <cell r="AA1491" t="str">
            <v>15/08/2015</v>
          </cell>
          <cell r="AB1491" t="str">
            <v>No</v>
          </cell>
          <cell r="AC1491" t="str">
            <v>31/08/2013</v>
          </cell>
          <cell r="AD1491" t="str">
            <v>Good</v>
          </cell>
          <cell r="AE1491" t="str">
            <v>V1 - Existing / No Claim</v>
          </cell>
          <cell r="AF1491">
            <v>42235</v>
          </cell>
          <cell r="AG1491">
            <v>9.17</v>
          </cell>
          <cell r="AH1491" t="str">
            <v>PPM</v>
          </cell>
          <cell r="AI1491" t="str">
            <v>Strands</v>
          </cell>
          <cell r="AJ1491" t="str">
            <v>Strands Package</v>
          </cell>
          <cell r="AK1491" t="str">
            <v>Package Code XL0110. [30/1/2024, SHARIFAH]: CHANGE TYPE CODE.</v>
          </cell>
        </row>
        <row r="1492">
          <cell r="A1492" t="str">
            <v>IKN401217</v>
          </cell>
          <cell r="B1492">
            <v>1215</v>
          </cell>
          <cell r="C1492" t="str">
            <v>Institut Kanser Negara</v>
          </cell>
          <cell r="D1492" t="str">
            <v>KKM/IKN/H/13/4954</v>
          </cell>
          <cell r="E1492" t="str">
            <v>14-032</v>
          </cell>
          <cell r="F1492" t="str">
            <v>Thermometers, Electronic</v>
          </cell>
          <cell r="G1492" t="str">
            <v>RT</v>
          </cell>
          <cell r="H1492" t="str">
            <v>RADIATION TREATMENT UNIT</v>
          </cell>
          <cell r="I1492" t="str">
            <v>01RT213</v>
          </cell>
          <cell r="J1492" t="str">
            <v>EQUIPMENT ROOM1</v>
          </cell>
          <cell r="K1492" t="str">
            <v>BMED</v>
          </cell>
          <cell r="L1492" t="str">
            <v>Normal</v>
          </cell>
          <cell r="M1492" t="str">
            <v>Germany</v>
          </cell>
          <cell r="N1492" t="str">
            <v>LUJJT</v>
          </cell>
          <cell r="O1492" t="str">
            <v>C100</v>
          </cell>
          <cell r="P1492" t="str">
            <v>14769</v>
          </cell>
          <cell r="Q1492" t="str">
            <v>Not Applicable</v>
          </cell>
          <cell r="R1492" t="str">
            <v>LUJJT</v>
          </cell>
          <cell r="S1492" t="str">
            <v>Delta Advantech (M) Sdn Bhd</v>
          </cell>
          <cell r="T1492" t="str">
            <v>Functioning</v>
          </cell>
          <cell r="U1492" t="str">
            <v>Asset</v>
          </cell>
          <cell r="V1492">
            <v>6920</v>
          </cell>
          <cell r="W1492" t="str">
            <v>KEW</v>
          </cell>
          <cell r="X1492" t="str">
            <v>01/09/2010</v>
          </cell>
          <cell r="Y1492" t="str">
            <v>KEW</v>
          </cell>
          <cell r="Z1492" t="str">
            <v>16/08/2013</v>
          </cell>
          <cell r="AA1492" t="str">
            <v>15/08/2015</v>
          </cell>
          <cell r="AB1492" t="str">
            <v>No</v>
          </cell>
          <cell r="AC1492" t="str">
            <v>31/08/2013</v>
          </cell>
          <cell r="AD1492" t="str">
            <v>Good</v>
          </cell>
          <cell r="AE1492" t="str">
            <v>V3 - Added Installed Facilities (New)</v>
          </cell>
          <cell r="AF1492">
            <v>43117</v>
          </cell>
          <cell r="AG1492">
            <v>9.17</v>
          </cell>
          <cell r="AH1492" t="str">
            <v>PPM</v>
          </cell>
          <cell r="AI1492" t="str">
            <v>Strands</v>
          </cell>
          <cell r="AJ1492" t="str">
            <v>Strands PW</v>
          </cell>
          <cell r="AK1492" t="str">
            <v>SNF received. 1st batch of V3 asset (December 2020).</v>
          </cell>
        </row>
        <row r="1493">
          <cell r="A1493" t="str">
            <v>IKN401220</v>
          </cell>
          <cell r="B1493">
            <v>1218</v>
          </cell>
          <cell r="C1493" t="str">
            <v>Institut Kanser Negara</v>
          </cell>
          <cell r="E1493" t="str">
            <v>11-295</v>
          </cell>
          <cell r="F1493" t="str">
            <v>Dosimeters, Radiation</v>
          </cell>
          <cell r="G1493" t="str">
            <v>WA</v>
          </cell>
          <cell r="H1493" t="str">
            <v>NUCLEAR MED WARD (THERAPY)</v>
          </cell>
          <cell r="I1493" t="str">
            <v>03WA117</v>
          </cell>
          <cell r="J1493" t="str">
            <v>N/S 1</v>
          </cell>
          <cell r="K1493" t="str">
            <v>BMED</v>
          </cell>
          <cell r="L1493" t="str">
            <v>Normal</v>
          </cell>
          <cell r="M1493" t="str">
            <v>Germany</v>
          </cell>
          <cell r="N1493" t="str">
            <v>Thermo Fisher</v>
          </cell>
          <cell r="O1493" t="str">
            <v>EPD MK2.5</v>
          </cell>
          <cell r="P1493" t="str">
            <v>00289462</v>
          </cell>
          <cell r="Q1493" t="str">
            <v>Not Applicable</v>
          </cell>
          <cell r="R1493" t="str">
            <v>Thermo Fisher Scientific</v>
          </cell>
          <cell r="S1493" t="str">
            <v>Delta Advantech (M) Sdn Bhd</v>
          </cell>
          <cell r="T1493" t="str">
            <v>Functioning</v>
          </cell>
          <cell r="U1493" t="str">
            <v>Asset</v>
          </cell>
          <cell r="V1493">
            <v>4370</v>
          </cell>
          <cell r="W1493" t="str">
            <v>KEW</v>
          </cell>
          <cell r="X1493" t="str">
            <v>01/09/2010</v>
          </cell>
          <cell r="Y1493" t="str">
            <v>KEW</v>
          </cell>
          <cell r="Z1493" t="str">
            <v>16/08/2013</v>
          </cell>
          <cell r="AA1493" t="str">
            <v>15/08/2015</v>
          </cell>
          <cell r="AB1493" t="str">
            <v>No</v>
          </cell>
          <cell r="AC1493" t="str">
            <v>31/08/2013</v>
          </cell>
          <cell r="AD1493" t="str">
            <v>Good</v>
          </cell>
          <cell r="AE1493" t="str">
            <v>V1 - Existing / No Claim</v>
          </cell>
          <cell r="AF1493">
            <v>42235</v>
          </cell>
          <cell r="AG1493">
            <v>9.17</v>
          </cell>
          <cell r="AH1493" t="str">
            <v>PPM</v>
          </cell>
          <cell r="AI1493" t="str">
            <v>package</v>
          </cell>
        </row>
        <row r="1494">
          <cell r="A1494" t="str">
            <v>IKN401221</v>
          </cell>
          <cell r="B1494">
            <v>1219</v>
          </cell>
          <cell r="C1494" t="str">
            <v>Institut Kanser Negara</v>
          </cell>
          <cell r="D1494" t="e">
            <v>#N/A</v>
          </cell>
          <cell r="E1494" t="str">
            <v>15-605</v>
          </cell>
          <cell r="F1494" t="str">
            <v>Testers</v>
          </cell>
          <cell r="G1494" t="str">
            <v>PS</v>
          </cell>
          <cell r="H1494" t="str">
            <v>SUPPORT SERVICE/PLANT</v>
          </cell>
          <cell r="I1494" t="str">
            <v>01PS105</v>
          </cell>
          <cell r="J1494" t="str">
            <v>CHIEF ENGINEER</v>
          </cell>
          <cell r="K1494" t="str">
            <v>BMED</v>
          </cell>
          <cell r="L1494" t="str">
            <v>Normal</v>
          </cell>
          <cell r="M1494" t="str">
            <v>USA</v>
          </cell>
          <cell r="N1494" t="str">
            <v>Fluke</v>
          </cell>
          <cell r="O1494" t="str">
            <v>Fluke IDA 4 Plus</v>
          </cell>
          <cell r="P1494" t="str">
            <v>15355</v>
          </cell>
          <cell r="Q1494" t="str">
            <v>Not Applicable</v>
          </cell>
          <cell r="R1494" t="str">
            <v>Fluke Biomedical RMS</v>
          </cell>
          <cell r="S1494" t="str">
            <v>Bell Comm Technologies Sdn Bhd</v>
          </cell>
          <cell r="T1494" t="str">
            <v>Functioning</v>
          </cell>
          <cell r="U1494" t="str">
            <v>Asset</v>
          </cell>
          <cell r="V1494">
            <v>45110</v>
          </cell>
          <cell r="W1494" t="str">
            <v>KEW</v>
          </cell>
          <cell r="X1494" t="str">
            <v>01/09/2010</v>
          </cell>
          <cell r="Y1494" t="str">
            <v>KEW</v>
          </cell>
          <cell r="Z1494" t="str">
            <v>16/08/2013</v>
          </cell>
          <cell r="AA1494" t="str">
            <v>15/08/2015</v>
          </cell>
          <cell r="AB1494" t="str">
            <v>No</v>
          </cell>
          <cell r="AC1494" t="str">
            <v>31/08/2013</v>
          </cell>
          <cell r="AD1494" t="str">
            <v>Good</v>
          </cell>
          <cell r="AE1494" t="str">
            <v>V1 - Existing / No Claim</v>
          </cell>
          <cell r="AF1494">
            <v>42235</v>
          </cell>
          <cell r="AG1494">
            <v>9.17</v>
          </cell>
          <cell r="AH1494" t="str">
            <v>PPM</v>
          </cell>
          <cell r="AI1494" t="str">
            <v>Not in contract</v>
          </cell>
          <cell r="AJ1494" t="str">
            <v>ANALYZER</v>
          </cell>
          <cell r="AK1494" t="str">
            <v>IKN agreed unit to be used by BEMS but have to calibrate.</v>
          </cell>
        </row>
        <row r="1495">
          <cell r="A1495" t="str">
            <v>IKN401222</v>
          </cell>
          <cell r="B1495">
            <v>1220</v>
          </cell>
          <cell r="C1495" t="str">
            <v>Institut Kanser Negara</v>
          </cell>
          <cell r="D1495" t="str">
            <v>KKM/IKN/H/13/4852</v>
          </cell>
          <cell r="E1495" t="str">
            <v>15-663</v>
          </cell>
          <cell r="F1495" t="str">
            <v>Pipetters</v>
          </cell>
          <cell r="G1495" t="str">
            <v>NM</v>
          </cell>
          <cell r="H1495" t="str">
            <v>NUCLEAR MED (DIAGNOSTIC)</v>
          </cell>
          <cell r="I1495" t="str">
            <v>03NM139</v>
          </cell>
          <cell r="J1495" t="str">
            <v>QC</v>
          </cell>
          <cell r="K1495" t="str">
            <v>BMED</v>
          </cell>
          <cell r="L1495" t="str">
            <v>Normal</v>
          </cell>
          <cell r="M1495" t="str">
            <v>Germany</v>
          </cell>
          <cell r="N1495" t="str">
            <v>Eppendorf</v>
          </cell>
          <cell r="O1495" t="str">
            <v>Research Plus</v>
          </cell>
          <cell r="P1495" t="str">
            <v>480186A</v>
          </cell>
          <cell r="Q1495" t="str">
            <v>Not Applicable</v>
          </cell>
          <cell r="R1495" t="str">
            <v>Eppendorf</v>
          </cell>
          <cell r="S1495" t="str">
            <v>Medigene sdn bhd</v>
          </cell>
          <cell r="T1495" t="str">
            <v>Functioning</v>
          </cell>
          <cell r="U1495" t="str">
            <v>Asset</v>
          </cell>
          <cell r="V1495">
            <v>1323</v>
          </cell>
          <cell r="W1495" t="str">
            <v>KEW</v>
          </cell>
          <cell r="X1495" t="str">
            <v>01/09/2010</v>
          </cell>
          <cell r="Y1495" t="str">
            <v>KEW</v>
          </cell>
          <cell r="Z1495" t="str">
            <v>16/08/2013</v>
          </cell>
          <cell r="AA1495" t="str">
            <v>15/08/2015</v>
          </cell>
          <cell r="AB1495" t="str">
            <v>No</v>
          </cell>
          <cell r="AC1495" t="str">
            <v>31/08/2013</v>
          </cell>
          <cell r="AD1495" t="str">
            <v>Good</v>
          </cell>
          <cell r="AE1495" t="str">
            <v>V3 - Added Installed Facilities (New)</v>
          </cell>
          <cell r="AF1495">
            <v>42235</v>
          </cell>
          <cell r="AG1495">
            <v>9.17</v>
          </cell>
          <cell r="AH1495" t="str">
            <v>PPM</v>
          </cell>
          <cell r="AI1495" t="str">
            <v>Strands</v>
          </cell>
          <cell r="AJ1495" t="str">
            <v>Strands PW</v>
          </cell>
          <cell r="AK1495" t="str">
            <v>SNF received. 1st batch of V3 asset (December 2020)</v>
          </cell>
        </row>
        <row r="1496">
          <cell r="A1496" t="str">
            <v>IKN401223</v>
          </cell>
          <cell r="B1496">
            <v>1221</v>
          </cell>
          <cell r="C1496" t="str">
            <v>Institut Kanser Negara</v>
          </cell>
          <cell r="D1496" t="str">
            <v>KKM/IKN/H/13/4851</v>
          </cell>
          <cell r="E1496" t="str">
            <v>15-663</v>
          </cell>
          <cell r="F1496" t="str">
            <v>Pipetters</v>
          </cell>
          <cell r="G1496" t="str">
            <v>NM</v>
          </cell>
          <cell r="H1496" t="str">
            <v>NUCLEAR MED (DIAGNOSTIC)</v>
          </cell>
          <cell r="I1496" t="str">
            <v>03NM139</v>
          </cell>
          <cell r="J1496" t="str">
            <v>QC</v>
          </cell>
          <cell r="K1496" t="str">
            <v>BMED</v>
          </cell>
          <cell r="L1496" t="str">
            <v>Normal</v>
          </cell>
          <cell r="M1496" t="str">
            <v>Germany</v>
          </cell>
          <cell r="N1496" t="str">
            <v>Eppendorf</v>
          </cell>
          <cell r="O1496" t="str">
            <v>Research Plus</v>
          </cell>
          <cell r="P1496" t="str">
            <v>341881A</v>
          </cell>
          <cell r="Q1496" t="str">
            <v>Not Applicable</v>
          </cell>
          <cell r="R1496" t="str">
            <v>Eppendorf</v>
          </cell>
          <cell r="S1496" t="str">
            <v>Medigene sdn bhd</v>
          </cell>
          <cell r="T1496" t="str">
            <v>Functioning</v>
          </cell>
          <cell r="U1496" t="str">
            <v>Asset</v>
          </cell>
          <cell r="V1496">
            <v>1323</v>
          </cell>
          <cell r="W1496" t="str">
            <v>KEW</v>
          </cell>
          <cell r="X1496" t="str">
            <v>01/09/2010</v>
          </cell>
          <cell r="Y1496" t="str">
            <v>KEW</v>
          </cell>
          <cell r="Z1496" t="str">
            <v>16/08/2013</v>
          </cell>
          <cell r="AA1496" t="str">
            <v>15/08/2015</v>
          </cell>
          <cell r="AB1496" t="str">
            <v>No</v>
          </cell>
          <cell r="AC1496" t="str">
            <v>31/08/2013</v>
          </cell>
          <cell r="AD1496" t="str">
            <v>Good</v>
          </cell>
          <cell r="AE1496" t="str">
            <v>V3 - Added Installed Facilities (New)</v>
          </cell>
          <cell r="AF1496">
            <v>42235</v>
          </cell>
          <cell r="AG1496">
            <v>9.17</v>
          </cell>
          <cell r="AH1496" t="str">
            <v>PPM</v>
          </cell>
          <cell r="AI1496" t="str">
            <v>Strands</v>
          </cell>
          <cell r="AJ1496" t="str">
            <v>Strands PW</v>
          </cell>
          <cell r="AK1496" t="str">
            <v>SNF received. 1st batch of V3 asset (December 2020)</v>
          </cell>
        </row>
        <row r="1497">
          <cell r="A1497" t="str">
            <v>IKN401224</v>
          </cell>
          <cell r="B1497">
            <v>1222</v>
          </cell>
          <cell r="C1497" t="str">
            <v>Institut Kanser Negara</v>
          </cell>
          <cell r="D1497" t="str">
            <v>KKM/IKN/H/13/4850</v>
          </cell>
          <cell r="E1497" t="str">
            <v>15-663</v>
          </cell>
          <cell r="F1497" t="str">
            <v>Pipetters</v>
          </cell>
          <cell r="G1497" t="str">
            <v>NM</v>
          </cell>
          <cell r="H1497" t="str">
            <v>NUCLEAR MED (DIAGNOSTIC)</v>
          </cell>
          <cell r="I1497" t="str">
            <v>03NM139</v>
          </cell>
          <cell r="J1497" t="str">
            <v>QC</v>
          </cell>
          <cell r="K1497" t="str">
            <v>BMED</v>
          </cell>
          <cell r="L1497" t="str">
            <v>Normal</v>
          </cell>
          <cell r="M1497" t="str">
            <v>Germany</v>
          </cell>
          <cell r="N1497" t="str">
            <v>Eppendorf</v>
          </cell>
          <cell r="O1497" t="str">
            <v>Research Plus</v>
          </cell>
          <cell r="P1497" t="str">
            <v>L238478</v>
          </cell>
          <cell r="Q1497" t="str">
            <v>Not Applicable</v>
          </cell>
          <cell r="R1497" t="str">
            <v>Eppendorf</v>
          </cell>
          <cell r="S1497" t="str">
            <v>Medigene sdn bhd</v>
          </cell>
          <cell r="T1497" t="str">
            <v>Functioning</v>
          </cell>
          <cell r="U1497" t="str">
            <v>Asset</v>
          </cell>
          <cell r="V1497">
            <v>1323</v>
          </cell>
          <cell r="W1497" t="str">
            <v>KEW</v>
          </cell>
          <cell r="X1497" t="str">
            <v>01/09/2010</v>
          </cell>
          <cell r="Y1497" t="str">
            <v>KEW</v>
          </cell>
          <cell r="Z1497" t="str">
            <v>16/08/2013</v>
          </cell>
          <cell r="AA1497" t="str">
            <v>15/08/2015</v>
          </cell>
          <cell r="AB1497" t="str">
            <v>No</v>
          </cell>
          <cell r="AC1497" t="str">
            <v>31/08/2013</v>
          </cell>
          <cell r="AD1497" t="str">
            <v>Good</v>
          </cell>
          <cell r="AE1497" t="str">
            <v>V3 - Added Installed Facilities (New)</v>
          </cell>
          <cell r="AF1497">
            <v>42235</v>
          </cell>
          <cell r="AG1497">
            <v>9.17</v>
          </cell>
          <cell r="AH1497" t="str">
            <v>PPM</v>
          </cell>
          <cell r="AI1497" t="str">
            <v>Strands</v>
          </cell>
          <cell r="AJ1497" t="str">
            <v>Strands PW</v>
          </cell>
          <cell r="AK1497" t="str">
            <v>SNF received. 1st batch of V3 asset (December 2020)</v>
          </cell>
        </row>
        <row r="1498">
          <cell r="A1498" t="str">
            <v>IKN401225</v>
          </cell>
          <cell r="B1498">
            <v>1223</v>
          </cell>
          <cell r="C1498" t="str">
            <v>Institut Kanser Negara</v>
          </cell>
          <cell r="D1498" t="str">
            <v>KKM/IKN/H/13/4849</v>
          </cell>
          <cell r="E1498" t="str">
            <v>15-663</v>
          </cell>
          <cell r="F1498" t="str">
            <v>Pipetters</v>
          </cell>
          <cell r="G1498" t="str">
            <v>NM</v>
          </cell>
          <cell r="H1498" t="str">
            <v>NUCLEAR MED (DIAGNOSTIC)</v>
          </cell>
          <cell r="I1498" t="str">
            <v>03NM139</v>
          </cell>
          <cell r="J1498" t="str">
            <v>QC</v>
          </cell>
          <cell r="K1498" t="str">
            <v>BMED</v>
          </cell>
          <cell r="L1498" t="str">
            <v>Normal</v>
          </cell>
          <cell r="M1498" t="str">
            <v>Germany</v>
          </cell>
          <cell r="N1498" t="str">
            <v>Eppendorf</v>
          </cell>
          <cell r="O1498" t="str">
            <v>Research Plus</v>
          </cell>
          <cell r="P1498" t="str">
            <v>480233A</v>
          </cell>
          <cell r="Q1498" t="str">
            <v>Not Applicable</v>
          </cell>
          <cell r="R1498" t="str">
            <v>Eppendorf</v>
          </cell>
          <cell r="S1498" t="str">
            <v>Medigene sdn bhd</v>
          </cell>
          <cell r="T1498" t="str">
            <v>Functioning</v>
          </cell>
          <cell r="U1498" t="str">
            <v>Asset</v>
          </cell>
          <cell r="V1498">
            <v>1323</v>
          </cell>
          <cell r="W1498" t="str">
            <v>KEW</v>
          </cell>
          <cell r="X1498" t="str">
            <v>01/09/2010</v>
          </cell>
          <cell r="Y1498" t="str">
            <v>KEW</v>
          </cell>
          <cell r="Z1498" t="str">
            <v>16/08/2013</v>
          </cell>
          <cell r="AA1498" t="str">
            <v>15/08/2015</v>
          </cell>
          <cell r="AB1498" t="str">
            <v>No</v>
          </cell>
          <cell r="AC1498" t="str">
            <v>31/08/2013</v>
          </cell>
          <cell r="AD1498" t="str">
            <v>Good</v>
          </cell>
          <cell r="AE1498" t="str">
            <v>V3 - Added Installed Facilities (New)</v>
          </cell>
          <cell r="AF1498">
            <v>42235</v>
          </cell>
          <cell r="AG1498">
            <v>9.17</v>
          </cell>
          <cell r="AH1498" t="str">
            <v>PPM</v>
          </cell>
          <cell r="AI1498" t="str">
            <v>Strands</v>
          </cell>
          <cell r="AJ1498" t="str">
            <v>Strands PW</v>
          </cell>
          <cell r="AK1498" t="str">
            <v>SNF received. 1st batch of V3 asset (December 2020)</v>
          </cell>
        </row>
        <row r="1499">
          <cell r="A1499" t="str">
            <v>IKN401226</v>
          </cell>
          <cell r="B1499">
            <v>1224</v>
          </cell>
          <cell r="C1499" t="str">
            <v>Institut Kanser Negara</v>
          </cell>
          <cell r="D1499" t="str">
            <v>KKM/IKN/H/13/4848</v>
          </cell>
          <cell r="E1499" t="str">
            <v>15-663</v>
          </cell>
          <cell r="F1499" t="str">
            <v>Pipetters</v>
          </cell>
          <cell r="G1499" t="str">
            <v>NM</v>
          </cell>
          <cell r="H1499" t="str">
            <v>NUCLEAR MED (DIAGNOSTIC)</v>
          </cell>
          <cell r="I1499" t="str">
            <v>03NM139</v>
          </cell>
          <cell r="J1499" t="str">
            <v>QC</v>
          </cell>
          <cell r="K1499" t="str">
            <v>BMED</v>
          </cell>
          <cell r="L1499" t="str">
            <v>Normal</v>
          </cell>
          <cell r="M1499" t="str">
            <v>Germany</v>
          </cell>
          <cell r="N1499" t="str">
            <v>Eppendorf</v>
          </cell>
          <cell r="O1499" t="str">
            <v>Research Plus</v>
          </cell>
          <cell r="P1499" t="str">
            <v>341650A</v>
          </cell>
          <cell r="Q1499" t="str">
            <v>Not Applicable</v>
          </cell>
          <cell r="R1499" t="str">
            <v>Eppendorf</v>
          </cell>
          <cell r="S1499" t="str">
            <v>Medigene sdn bhd</v>
          </cell>
          <cell r="T1499" t="str">
            <v>Functioning</v>
          </cell>
          <cell r="U1499" t="str">
            <v>Asset</v>
          </cell>
          <cell r="V1499">
            <v>1323</v>
          </cell>
          <cell r="W1499" t="str">
            <v>KEW</v>
          </cell>
          <cell r="X1499" t="str">
            <v>01/09/2010</v>
          </cell>
          <cell r="Y1499" t="str">
            <v>KEW</v>
          </cell>
          <cell r="Z1499" t="str">
            <v>16/08/2013</v>
          </cell>
          <cell r="AA1499" t="str">
            <v>15/08/2015</v>
          </cell>
          <cell r="AB1499" t="str">
            <v>No</v>
          </cell>
          <cell r="AC1499" t="str">
            <v>31/08/2013</v>
          </cell>
          <cell r="AD1499" t="str">
            <v>Good</v>
          </cell>
          <cell r="AE1499" t="str">
            <v>V3 - Added Installed Facilities (New)</v>
          </cell>
          <cell r="AF1499">
            <v>42235</v>
          </cell>
          <cell r="AG1499">
            <v>9.17</v>
          </cell>
          <cell r="AH1499" t="str">
            <v>PPM</v>
          </cell>
          <cell r="AI1499" t="str">
            <v>Strands</v>
          </cell>
          <cell r="AJ1499" t="str">
            <v>Strands PW</v>
          </cell>
          <cell r="AK1499" t="str">
            <v>SNF received. 1st batch of V3 asset (December 2020).</v>
          </cell>
        </row>
        <row r="1500">
          <cell r="A1500" t="str">
            <v>IKN401227</v>
          </cell>
          <cell r="B1500">
            <v>1225</v>
          </cell>
          <cell r="C1500" t="str">
            <v>Institut Kanser Negara</v>
          </cell>
          <cell r="D1500" t="str">
            <v>KKM/IKN/H/13/4847</v>
          </cell>
          <cell r="E1500" t="str">
            <v>15-663</v>
          </cell>
          <cell r="F1500" t="str">
            <v>Pipetters</v>
          </cell>
          <cell r="G1500" t="str">
            <v>NM</v>
          </cell>
          <cell r="H1500" t="str">
            <v>NUCLEAR MED (DIAGNOSTIC)</v>
          </cell>
          <cell r="I1500" t="str">
            <v>03NM139</v>
          </cell>
          <cell r="J1500" t="str">
            <v>QC</v>
          </cell>
          <cell r="K1500" t="str">
            <v>BMED</v>
          </cell>
          <cell r="L1500" t="str">
            <v>Normal</v>
          </cell>
          <cell r="M1500" t="str">
            <v>Germany</v>
          </cell>
          <cell r="N1500" t="str">
            <v>Eppendorf</v>
          </cell>
          <cell r="O1500" t="str">
            <v>Research Plus</v>
          </cell>
          <cell r="P1500" t="str">
            <v>L23688B</v>
          </cell>
          <cell r="Q1500" t="str">
            <v>Not Applicable</v>
          </cell>
          <cell r="R1500" t="str">
            <v>Eppendorf</v>
          </cell>
          <cell r="S1500" t="str">
            <v>Medigene sdn bhd</v>
          </cell>
          <cell r="T1500" t="str">
            <v>Functioning</v>
          </cell>
          <cell r="U1500" t="str">
            <v>Asset</v>
          </cell>
          <cell r="V1500">
            <v>1323</v>
          </cell>
          <cell r="W1500" t="str">
            <v>KEW</v>
          </cell>
          <cell r="X1500" t="str">
            <v>01/09/2010</v>
          </cell>
          <cell r="Y1500" t="str">
            <v>KEW</v>
          </cell>
          <cell r="Z1500" t="str">
            <v>16/08/2013</v>
          </cell>
          <cell r="AA1500" t="str">
            <v>15/08/2015</v>
          </cell>
          <cell r="AB1500" t="str">
            <v>No</v>
          </cell>
          <cell r="AC1500" t="str">
            <v>31/08/2013</v>
          </cell>
          <cell r="AD1500" t="str">
            <v>Good</v>
          </cell>
          <cell r="AE1500" t="str">
            <v>V3 - Added Installed Facilities (New)</v>
          </cell>
          <cell r="AF1500">
            <v>42796</v>
          </cell>
          <cell r="AG1500">
            <v>9.17</v>
          </cell>
          <cell r="AH1500" t="str">
            <v>PPM</v>
          </cell>
          <cell r="AI1500" t="str">
            <v>Strands</v>
          </cell>
          <cell r="AJ1500" t="str">
            <v>Strands PW</v>
          </cell>
          <cell r="AK1500" t="str">
            <v>SNF received. 1st batch of V3 asset (December 2020)</v>
          </cell>
        </row>
        <row r="1501">
          <cell r="A1501" t="str">
            <v>IKN401228</v>
          </cell>
          <cell r="B1501">
            <v>1226</v>
          </cell>
          <cell r="C1501" t="str">
            <v>Institut Kanser Negara</v>
          </cell>
          <cell r="D1501" t="str">
            <v>KKM/IKN/H/13/4853</v>
          </cell>
          <cell r="E1501" t="str">
            <v>15-663</v>
          </cell>
          <cell r="F1501" t="str">
            <v>Pipetters</v>
          </cell>
          <cell r="G1501" t="str">
            <v>WA</v>
          </cell>
          <cell r="H1501" t="str">
            <v>NUCLEAR MED WARD (THERAPY)</v>
          </cell>
          <cell r="I1501" t="str">
            <v>03WA125</v>
          </cell>
          <cell r="J1501" t="str">
            <v>RADIOIODIN PREP (100% F.A.)</v>
          </cell>
          <cell r="K1501" t="str">
            <v>BMED</v>
          </cell>
          <cell r="L1501" t="str">
            <v>Normal</v>
          </cell>
          <cell r="M1501" t="str">
            <v>Germany</v>
          </cell>
          <cell r="N1501" t="str">
            <v>Eppendorf</v>
          </cell>
          <cell r="O1501" t="str">
            <v>Research Plus</v>
          </cell>
          <cell r="P1501" t="str">
            <v>4914939</v>
          </cell>
          <cell r="Q1501" t="str">
            <v>Not Applicable</v>
          </cell>
          <cell r="R1501" t="str">
            <v>Eppendorf</v>
          </cell>
          <cell r="S1501" t="str">
            <v>Medigene sdn bhd</v>
          </cell>
          <cell r="T1501" t="str">
            <v>Functioning</v>
          </cell>
          <cell r="U1501" t="str">
            <v>Asset</v>
          </cell>
          <cell r="V1501">
            <v>1323</v>
          </cell>
          <cell r="W1501" t="str">
            <v>KEW</v>
          </cell>
          <cell r="X1501" t="str">
            <v>01/09/2010</v>
          </cell>
          <cell r="Y1501" t="str">
            <v>KEW</v>
          </cell>
          <cell r="Z1501" t="str">
            <v>16/08/2013</v>
          </cell>
          <cell r="AA1501" t="str">
            <v>15/08/2015</v>
          </cell>
          <cell r="AB1501" t="str">
            <v>No</v>
          </cell>
          <cell r="AC1501" t="str">
            <v>31/08/2013</v>
          </cell>
          <cell r="AD1501" t="str">
            <v>Good</v>
          </cell>
          <cell r="AE1501" t="str">
            <v>V3 - Added Installed Facilities (New)</v>
          </cell>
          <cell r="AF1501">
            <v>42235</v>
          </cell>
          <cell r="AG1501">
            <v>9.17</v>
          </cell>
          <cell r="AH1501" t="str">
            <v>PPM</v>
          </cell>
          <cell r="AI1501" t="str">
            <v>Strands</v>
          </cell>
          <cell r="AJ1501" t="str">
            <v>Strands PW</v>
          </cell>
          <cell r="AK1501" t="str">
            <v>SNF received. 1st batch of V3 asset (December 2020)</v>
          </cell>
        </row>
        <row r="1502">
          <cell r="A1502" t="str">
            <v>IKN401229</v>
          </cell>
          <cell r="B1502">
            <v>1227</v>
          </cell>
          <cell r="C1502" t="str">
            <v>Institut Kanser Negara</v>
          </cell>
          <cell r="D1502" t="str">
            <v>KKM/IKN/H/13/4854</v>
          </cell>
          <cell r="E1502" t="str">
            <v>15-663</v>
          </cell>
          <cell r="F1502" t="str">
            <v>Pipetters</v>
          </cell>
          <cell r="G1502" t="str">
            <v>WA</v>
          </cell>
          <cell r="H1502" t="str">
            <v>NUCLEAR MED WARD (THERAPY)</v>
          </cell>
          <cell r="I1502" t="str">
            <v>03WA125</v>
          </cell>
          <cell r="J1502" t="str">
            <v>RADIOIODIN PREP (100% F.A.)</v>
          </cell>
          <cell r="K1502" t="str">
            <v>BMED</v>
          </cell>
          <cell r="L1502" t="str">
            <v>Normal</v>
          </cell>
          <cell r="M1502" t="str">
            <v>Germany</v>
          </cell>
          <cell r="N1502" t="str">
            <v>Eppendorf</v>
          </cell>
          <cell r="O1502" t="str">
            <v>Research Plus</v>
          </cell>
          <cell r="P1502" t="str">
            <v>2534859</v>
          </cell>
          <cell r="Q1502" t="str">
            <v>Not Applicable</v>
          </cell>
          <cell r="R1502" t="str">
            <v>Eppendorf</v>
          </cell>
          <cell r="S1502" t="str">
            <v>Medigene sdn bhd</v>
          </cell>
          <cell r="T1502" t="str">
            <v>Functioning</v>
          </cell>
          <cell r="U1502" t="str">
            <v>Asset</v>
          </cell>
          <cell r="V1502">
            <v>1323</v>
          </cell>
          <cell r="W1502" t="str">
            <v>KEW</v>
          </cell>
          <cell r="X1502" t="str">
            <v>01/09/2010</v>
          </cell>
          <cell r="Y1502" t="str">
            <v>KEW</v>
          </cell>
          <cell r="Z1502" t="str">
            <v>16/08/2013</v>
          </cell>
          <cell r="AA1502" t="str">
            <v>15/08/2015</v>
          </cell>
          <cell r="AB1502" t="str">
            <v>No</v>
          </cell>
          <cell r="AC1502" t="str">
            <v>31/08/2013</v>
          </cell>
          <cell r="AD1502" t="str">
            <v>Good</v>
          </cell>
          <cell r="AE1502" t="str">
            <v>V3 - Added Installed Facilities (New)</v>
          </cell>
          <cell r="AF1502">
            <v>42235</v>
          </cell>
          <cell r="AG1502">
            <v>9.17</v>
          </cell>
          <cell r="AH1502" t="str">
            <v>PPM</v>
          </cell>
          <cell r="AI1502" t="str">
            <v>Strands</v>
          </cell>
          <cell r="AJ1502" t="str">
            <v>Strands PW</v>
          </cell>
          <cell r="AK1502" t="str">
            <v>SNF received. 1st batch of V3 asset (December 2020)</v>
          </cell>
        </row>
        <row r="1503">
          <cell r="A1503" t="str">
            <v>IKN401230</v>
          </cell>
          <cell r="B1503">
            <v>1228</v>
          </cell>
          <cell r="C1503" t="str">
            <v>Institut Kanser Negara</v>
          </cell>
          <cell r="D1503" t="str">
            <v>KKM/IKN/H/13/4846</v>
          </cell>
          <cell r="E1503" t="str">
            <v>15-663</v>
          </cell>
          <cell r="F1503" t="str">
            <v>Pipetters</v>
          </cell>
          <cell r="G1503" t="str">
            <v>WA</v>
          </cell>
          <cell r="H1503" t="str">
            <v>NUCLEAR MED WARD (THERAPY)</v>
          </cell>
          <cell r="I1503" t="str">
            <v>03WA125</v>
          </cell>
          <cell r="J1503" t="str">
            <v>RADIOIODIN PREP (100% F.A.)</v>
          </cell>
          <cell r="K1503" t="str">
            <v>BMED</v>
          </cell>
          <cell r="L1503" t="str">
            <v>Normal</v>
          </cell>
          <cell r="M1503" t="str">
            <v>Germany</v>
          </cell>
          <cell r="N1503" t="str">
            <v>Eppendorf</v>
          </cell>
          <cell r="O1503" t="str">
            <v>Research Plus</v>
          </cell>
          <cell r="P1503" t="str">
            <v>L23690B</v>
          </cell>
          <cell r="Q1503" t="str">
            <v>Not Applicable</v>
          </cell>
          <cell r="R1503" t="str">
            <v>Eppendorf</v>
          </cell>
          <cell r="S1503" t="str">
            <v>Medigene sdn bhd</v>
          </cell>
          <cell r="T1503" t="str">
            <v>Functioning</v>
          </cell>
          <cell r="U1503" t="str">
            <v>Asset</v>
          </cell>
          <cell r="V1503">
            <v>1323</v>
          </cell>
          <cell r="W1503" t="str">
            <v>KEW</v>
          </cell>
          <cell r="X1503" t="str">
            <v>01/09/2010</v>
          </cell>
          <cell r="Y1503" t="str">
            <v>KEW</v>
          </cell>
          <cell r="Z1503" t="str">
            <v>16/08/2013</v>
          </cell>
          <cell r="AA1503" t="str">
            <v>15/08/2015</v>
          </cell>
          <cell r="AB1503" t="str">
            <v>No</v>
          </cell>
          <cell r="AC1503" t="str">
            <v>31/08/2013</v>
          </cell>
          <cell r="AD1503" t="str">
            <v>Good</v>
          </cell>
          <cell r="AE1503" t="str">
            <v>V3 - Added Installed Facilities (New)</v>
          </cell>
          <cell r="AF1503">
            <v>42235</v>
          </cell>
          <cell r="AG1503">
            <v>9.17</v>
          </cell>
          <cell r="AH1503" t="str">
            <v>PPM</v>
          </cell>
          <cell r="AI1503" t="str">
            <v>Strands</v>
          </cell>
          <cell r="AJ1503" t="str">
            <v>Strands PW</v>
          </cell>
          <cell r="AK1503" t="str">
            <v>SNF received. 1st batch of V3 asset (December 2020)</v>
          </cell>
        </row>
        <row r="1504">
          <cell r="A1504" t="str">
            <v>IKN401231</v>
          </cell>
          <cell r="B1504">
            <v>1229</v>
          </cell>
          <cell r="C1504" t="str">
            <v>Institut Kanser Negara</v>
          </cell>
          <cell r="D1504" t="str">
            <v>KKM/IKN/H/13/4845</v>
          </cell>
          <cell r="E1504" t="str">
            <v>15-663</v>
          </cell>
          <cell r="F1504" t="str">
            <v>Pipetters</v>
          </cell>
          <cell r="G1504" t="str">
            <v>NM</v>
          </cell>
          <cell r="H1504" t="str">
            <v>NUCLEAR MED (DIAGNOSTIC)</v>
          </cell>
          <cell r="I1504" t="str">
            <v>03NM154</v>
          </cell>
          <cell r="J1504" t="str">
            <v>RIA LAB</v>
          </cell>
          <cell r="K1504" t="str">
            <v>BMED</v>
          </cell>
          <cell r="L1504" t="str">
            <v>Normal</v>
          </cell>
          <cell r="M1504" t="str">
            <v>Germany</v>
          </cell>
          <cell r="N1504" t="str">
            <v>Eppendorf</v>
          </cell>
          <cell r="O1504" t="str">
            <v>Research Plus</v>
          </cell>
          <cell r="P1504" t="str">
            <v>022812B</v>
          </cell>
          <cell r="Q1504" t="str">
            <v>Not Applicable</v>
          </cell>
          <cell r="R1504" t="str">
            <v>Eppendorf</v>
          </cell>
          <cell r="S1504" t="str">
            <v>Medigene sdn bhd</v>
          </cell>
          <cell r="T1504" t="str">
            <v>Functioning</v>
          </cell>
          <cell r="U1504" t="str">
            <v>Asset</v>
          </cell>
          <cell r="V1504">
            <v>3250</v>
          </cell>
          <cell r="W1504" t="str">
            <v>KEW</v>
          </cell>
          <cell r="X1504" t="str">
            <v>01/09/2010</v>
          </cell>
          <cell r="Y1504" t="str">
            <v>KEW</v>
          </cell>
          <cell r="Z1504" t="str">
            <v>16/08/2013</v>
          </cell>
          <cell r="AA1504" t="str">
            <v>15/08/2015</v>
          </cell>
          <cell r="AB1504" t="str">
            <v>No</v>
          </cell>
          <cell r="AC1504" t="str">
            <v>31/08/2013</v>
          </cell>
          <cell r="AD1504" t="str">
            <v>Good</v>
          </cell>
          <cell r="AE1504" t="str">
            <v>V1 - Existing / No Claim</v>
          </cell>
          <cell r="AF1504">
            <v>42235</v>
          </cell>
          <cell r="AG1504">
            <v>9.17</v>
          </cell>
          <cell r="AH1504" t="str">
            <v>PPM</v>
          </cell>
          <cell r="AI1504" t="str">
            <v>Strands</v>
          </cell>
          <cell r="AJ1504" t="str">
            <v>Strands PW</v>
          </cell>
        </row>
        <row r="1505">
          <cell r="A1505" t="str">
            <v>IKN401232</v>
          </cell>
          <cell r="B1505">
            <v>1230</v>
          </cell>
          <cell r="C1505" t="str">
            <v>Institut Kanser Negara</v>
          </cell>
          <cell r="D1505" t="str">
            <v>KKM/IKN/H/13/3102</v>
          </cell>
          <cell r="E1505" t="str">
            <v>15-105</v>
          </cell>
          <cell r="F1505" t="str">
            <v>Heating Blocks</v>
          </cell>
          <cell r="G1505" t="str">
            <v>NM</v>
          </cell>
          <cell r="H1505" t="str">
            <v>NUCLEAR MED (DIAGNOSTIC)</v>
          </cell>
          <cell r="I1505" t="str">
            <v>03NM138</v>
          </cell>
          <cell r="J1505" t="str">
            <v>RADIOIODINE PREP. (100% F.A)</v>
          </cell>
          <cell r="K1505" t="str">
            <v>BMED</v>
          </cell>
          <cell r="L1505" t="str">
            <v>Normal</v>
          </cell>
          <cell r="M1505" t="str">
            <v>France</v>
          </cell>
          <cell r="N1505" t="str">
            <v>LemerPax</v>
          </cell>
          <cell r="O1505" t="str">
            <v>BSH1001-E</v>
          </cell>
          <cell r="P1505" t="str">
            <v>AD-BSH1-1216</v>
          </cell>
          <cell r="Q1505" t="str">
            <v>Not Applicable</v>
          </cell>
          <cell r="R1505" t="str">
            <v>LemerPax Innovative</v>
          </cell>
          <cell r="S1505" t="str">
            <v>Quantarad Technologies Sdn Bhd</v>
          </cell>
          <cell r="T1505" t="str">
            <v>Functioning</v>
          </cell>
          <cell r="U1505" t="str">
            <v>Asset</v>
          </cell>
          <cell r="V1505">
            <v>34320</v>
          </cell>
          <cell r="W1505" t="str">
            <v>KEW</v>
          </cell>
          <cell r="X1505" t="str">
            <v>01/09/2010</v>
          </cell>
          <cell r="Y1505" t="str">
            <v>KEW</v>
          </cell>
          <cell r="Z1505" t="str">
            <v>16/08/2013</v>
          </cell>
          <cell r="AA1505" t="str">
            <v>15/08/2015</v>
          </cell>
          <cell r="AB1505" t="str">
            <v>No</v>
          </cell>
          <cell r="AC1505" t="str">
            <v>31/08/2013</v>
          </cell>
          <cell r="AD1505" t="str">
            <v>Good</v>
          </cell>
          <cell r="AE1505" t="str">
            <v>V1 - Existing / No Claim</v>
          </cell>
          <cell r="AF1505">
            <v>42235</v>
          </cell>
          <cell r="AG1505">
            <v>9.17</v>
          </cell>
          <cell r="AH1505" t="str">
            <v>PPM</v>
          </cell>
          <cell r="AI1505" t="str">
            <v>Strands</v>
          </cell>
          <cell r="AJ1505" t="str">
            <v>Strands PW</v>
          </cell>
        </row>
        <row r="1506">
          <cell r="A1506" t="str">
            <v>IKN401233</v>
          </cell>
          <cell r="B1506">
            <v>1231</v>
          </cell>
          <cell r="C1506" t="str">
            <v>Institut Kanser Negara</v>
          </cell>
          <cell r="D1506" t="e">
            <v>#N/A</v>
          </cell>
          <cell r="E1506" t="str">
            <v>15-178</v>
          </cell>
          <cell r="F1506" t="str">
            <v>Shakers, Laboratory</v>
          </cell>
          <cell r="G1506" t="str">
            <v>NM</v>
          </cell>
          <cell r="H1506" t="str">
            <v>NUCLEAR MED (DIAGNOSTIC)</v>
          </cell>
          <cell r="I1506" t="str">
            <v>03NM138</v>
          </cell>
          <cell r="J1506" t="str">
            <v>RADIOIODINE PREP. (100% F.A)</v>
          </cell>
          <cell r="K1506" t="str">
            <v>BMED</v>
          </cell>
          <cell r="L1506" t="str">
            <v>Normal</v>
          </cell>
          <cell r="M1506" t="str">
            <v>France</v>
          </cell>
          <cell r="N1506" t="str">
            <v>LemerPax</v>
          </cell>
          <cell r="O1506" t="str">
            <v>Reax Top</v>
          </cell>
          <cell r="P1506" t="str">
            <v>021230051</v>
          </cell>
          <cell r="Q1506" t="str">
            <v>Not Applicable</v>
          </cell>
          <cell r="R1506" t="str">
            <v>LemerPax Innovative</v>
          </cell>
          <cell r="S1506" t="str">
            <v>Quantarad Technologies Sdn Bhd</v>
          </cell>
          <cell r="T1506" t="str">
            <v>Functioning</v>
          </cell>
          <cell r="U1506" t="str">
            <v>Asset</v>
          </cell>
          <cell r="V1506">
            <v>10000</v>
          </cell>
          <cell r="W1506" t="str">
            <v>KEW</v>
          </cell>
          <cell r="X1506" t="str">
            <v>01/09/2010</v>
          </cell>
          <cell r="Y1506" t="str">
            <v>KEW</v>
          </cell>
          <cell r="Z1506" t="str">
            <v>16/08/2013</v>
          </cell>
          <cell r="AA1506" t="str">
            <v>15/08/2015</v>
          </cell>
          <cell r="AB1506" t="str">
            <v>No</v>
          </cell>
          <cell r="AC1506" t="str">
            <v>31/08/2013</v>
          </cell>
          <cell r="AD1506" t="str">
            <v>Good</v>
          </cell>
          <cell r="AE1506" t="str">
            <v>V1 - Existing / No Claim</v>
          </cell>
          <cell r="AF1506">
            <v>42235</v>
          </cell>
          <cell r="AG1506">
            <v>9.17</v>
          </cell>
          <cell r="AH1506" t="str">
            <v>PPM</v>
          </cell>
          <cell r="AI1506" t="str">
            <v>Not in contract</v>
          </cell>
          <cell r="AJ1506" t="e">
            <v>#REF!</v>
          </cell>
        </row>
        <row r="1507">
          <cell r="A1507" t="str">
            <v>IKN401234</v>
          </cell>
          <cell r="B1507">
            <v>1232</v>
          </cell>
          <cell r="C1507" t="str">
            <v>Institut Kanser Negara</v>
          </cell>
          <cell r="D1507" t="str">
            <v>KKM/IKN/H/13/3103</v>
          </cell>
          <cell r="E1507" t="str">
            <v>18-449</v>
          </cell>
          <cell r="F1507" t="str">
            <v>Balances, Electronic, Analytical</v>
          </cell>
          <cell r="G1507" t="str">
            <v>NM</v>
          </cell>
          <cell r="H1507" t="str">
            <v>NUCLEAR MED (DIAGNOSTIC)</v>
          </cell>
          <cell r="I1507" t="str">
            <v>03NM138</v>
          </cell>
          <cell r="J1507" t="str">
            <v>RADIOIODINE PREP. (100% F.A)</v>
          </cell>
          <cell r="K1507" t="str">
            <v>BMED</v>
          </cell>
          <cell r="L1507" t="str">
            <v>Normal</v>
          </cell>
          <cell r="M1507" t="str">
            <v>Germany</v>
          </cell>
          <cell r="N1507" t="str">
            <v>Sartorius</v>
          </cell>
          <cell r="O1507" t="str">
            <v>CPA225D</v>
          </cell>
          <cell r="P1507" t="str">
            <v>28103546</v>
          </cell>
          <cell r="Q1507" t="str">
            <v>Not Applicable</v>
          </cell>
          <cell r="R1507" t="str">
            <v>Sartorius AG</v>
          </cell>
          <cell r="S1507" t="str">
            <v>Chemopharm S/B</v>
          </cell>
          <cell r="T1507" t="str">
            <v>Functioning</v>
          </cell>
          <cell r="U1507" t="str">
            <v>Asset</v>
          </cell>
          <cell r="V1507">
            <v>6250</v>
          </cell>
          <cell r="W1507" t="str">
            <v>KEW</v>
          </cell>
          <cell r="X1507" t="str">
            <v>01/09/2010</v>
          </cell>
          <cell r="Y1507" t="str">
            <v>KEW</v>
          </cell>
          <cell r="Z1507" t="str">
            <v>16/08/2013</v>
          </cell>
          <cell r="AA1507" t="str">
            <v>15/08/2015</v>
          </cell>
          <cell r="AB1507" t="str">
            <v>No</v>
          </cell>
          <cell r="AC1507" t="str">
            <v>31/08/2013</v>
          </cell>
          <cell r="AD1507" t="str">
            <v>Good</v>
          </cell>
          <cell r="AE1507" t="str">
            <v>V1 - Existing / No Claim</v>
          </cell>
          <cell r="AF1507">
            <v>42235</v>
          </cell>
          <cell r="AG1507">
            <v>9.17</v>
          </cell>
          <cell r="AH1507" t="str">
            <v>PPM</v>
          </cell>
          <cell r="AI1507" t="str">
            <v>Strands</v>
          </cell>
          <cell r="AJ1507" t="str">
            <v>Strands PW</v>
          </cell>
        </row>
        <row r="1508">
          <cell r="A1508" t="str">
            <v>IKN401235</v>
          </cell>
          <cell r="B1508">
            <v>1233</v>
          </cell>
          <cell r="C1508" t="str">
            <v>Institut Kanser Negara</v>
          </cell>
          <cell r="D1508" t="str">
            <v>KKM/IKN/H/13/4506</v>
          </cell>
          <cell r="E1508" t="str">
            <v>15-161</v>
          </cell>
          <cell r="F1508" t="str">
            <v>Mixers, Clinical Laboratory</v>
          </cell>
          <cell r="G1508" t="str">
            <v>NM</v>
          </cell>
          <cell r="H1508" t="str">
            <v>NUCLEAR MED (DIAGNOSTIC)</v>
          </cell>
          <cell r="I1508" t="str">
            <v>03NM154</v>
          </cell>
          <cell r="J1508" t="str">
            <v>RIA LAB</v>
          </cell>
          <cell r="K1508" t="str">
            <v>BMED</v>
          </cell>
          <cell r="L1508" t="str">
            <v>Normal</v>
          </cell>
          <cell r="M1508" t="str">
            <v>UK</v>
          </cell>
          <cell r="N1508" t="str">
            <v>Stuart</v>
          </cell>
          <cell r="O1508" t="str">
            <v>SA8</v>
          </cell>
          <cell r="P1508" t="str">
            <v>R800004737</v>
          </cell>
          <cell r="Q1508" t="str">
            <v>Not Applicable</v>
          </cell>
          <cell r="R1508" t="str">
            <v>Stuart Scientific Co Ltd</v>
          </cell>
          <cell r="S1508" t="str">
            <v>Bumi Sains Sdn. Bhd.</v>
          </cell>
          <cell r="T1508" t="str">
            <v>Functioning</v>
          </cell>
          <cell r="U1508" t="str">
            <v>Asset</v>
          </cell>
          <cell r="V1508">
            <v>1200</v>
          </cell>
          <cell r="W1508" t="str">
            <v>KEW</v>
          </cell>
          <cell r="X1508" t="str">
            <v>01/09/2010</v>
          </cell>
          <cell r="Y1508" t="str">
            <v>KEW</v>
          </cell>
          <cell r="Z1508" t="str">
            <v>16/08/2013</v>
          </cell>
          <cell r="AA1508" t="str">
            <v>15/08/2015</v>
          </cell>
          <cell r="AB1508" t="str">
            <v>No</v>
          </cell>
          <cell r="AC1508" t="str">
            <v>31/08/2013</v>
          </cell>
          <cell r="AD1508" t="str">
            <v>Good</v>
          </cell>
          <cell r="AE1508" t="str">
            <v>V1 - Existing / No Claim</v>
          </cell>
          <cell r="AF1508">
            <v>42235</v>
          </cell>
          <cell r="AG1508">
            <v>9.17</v>
          </cell>
          <cell r="AH1508" t="str">
            <v>PPM</v>
          </cell>
          <cell r="AI1508" t="str">
            <v>Strands</v>
          </cell>
          <cell r="AJ1508" t="str">
            <v>Strands PW</v>
          </cell>
        </row>
        <row r="1509">
          <cell r="A1509" t="str">
            <v>IKN401236</v>
          </cell>
          <cell r="B1509">
            <v>1234</v>
          </cell>
          <cell r="C1509" t="str">
            <v>Institut Kanser Negara</v>
          </cell>
          <cell r="D1509" t="str">
            <v>KKM/IKN/H/15/2</v>
          </cell>
          <cell r="E1509" t="str">
            <v>16-231</v>
          </cell>
          <cell r="F1509" t="str">
            <v>Electrocardiographs, Multichannel, Interpretative</v>
          </cell>
          <cell r="G1509" t="str">
            <v>NM</v>
          </cell>
          <cell r="H1509" t="str">
            <v>NUCLEAR MED (DIAGNOSTIC)</v>
          </cell>
          <cell r="I1509" t="str">
            <v>03NM108</v>
          </cell>
          <cell r="J1509" t="str">
            <v>TREATMENT 1 (RAI)(VE)</v>
          </cell>
          <cell r="K1509" t="str">
            <v>BMED</v>
          </cell>
          <cell r="L1509" t="str">
            <v>Normal</v>
          </cell>
          <cell r="M1509" t="str">
            <v>India</v>
          </cell>
          <cell r="N1509" t="str">
            <v>GE Healthcare</v>
          </cell>
          <cell r="O1509" t="str">
            <v>MAC 600</v>
          </cell>
          <cell r="P1509" t="str">
            <v>SF715203481PA</v>
          </cell>
          <cell r="Q1509" t="str">
            <v>Not Applicable</v>
          </cell>
          <cell r="R1509" t="str">
            <v>GE Healthcare</v>
          </cell>
          <cell r="S1509" t="str">
            <v>Baco Medicare Sdn Bhd</v>
          </cell>
          <cell r="T1509" t="str">
            <v>Functioning</v>
          </cell>
          <cell r="U1509" t="str">
            <v>Asset</v>
          </cell>
          <cell r="V1509">
            <v>5590.2</v>
          </cell>
          <cell r="W1509" t="str">
            <v>KEW</v>
          </cell>
          <cell r="X1509" t="str">
            <v>15/06/2015</v>
          </cell>
          <cell r="Y1509" t="str">
            <v>KEW</v>
          </cell>
          <cell r="Z1509" t="str">
            <v>03/07/2015</v>
          </cell>
          <cell r="AA1509" t="str">
            <v>02/07/2016</v>
          </cell>
          <cell r="AB1509" t="str">
            <v>No</v>
          </cell>
          <cell r="AC1509" t="str">
            <v>03/07/2015</v>
          </cell>
          <cell r="AD1509" t="str">
            <v>Good</v>
          </cell>
          <cell r="AE1509" t="str">
            <v>V3 - Added Installed Facilities (New)</v>
          </cell>
          <cell r="AF1509">
            <v>42235</v>
          </cell>
          <cell r="AG1509">
            <v>4.42</v>
          </cell>
          <cell r="AH1509" t="str">
            <v>PPM</v>
          </cell>
          <cell r="AI1509" t="str">
            <v>Strands</v>
          </cell>
          <cell r="AJ1509" t="str">
            <v>Strands PW</v>
          </cell>
          <cell r="AK1509" t="str">
            <v>SNF received. 1st batch of V3 asset (December 2020)</v>
          </cell>
        </row>
        <row r="1510">
          <cell r="A1510" t="str">
            <v>IKN401237</v>
          </cell>
          <cell r="B1510">
            <v>1235</v>
          </cell>
          <cell r="C1510" t="str">
            <v>Institut Kanser Negara</v>
          </cell>
          <cell r="D1510" t="str">
            <v>KKM/IKN/H/15/1</v>
          </cell>
          <cell r="E1510" t="str">
            <v>16-231</v>
          </cell>
          <cell r="F1510" t="str">
            <v>Electrocardiographs, Multichannel, Interpretative</v>
          </cell>
          <cell r="G1510" t="str">
            <v>NM</v>
          </cell>
          <cell r="H1510" t="str">
            <v>NUCLEAR MED (DIAGNOSTIC)</v>
          </cell>
          <cell r="I1510" t="str">
            <v>03NM108</v>
          </cell>
          <cell r="J1510" t="str">
            <v>TREATMENT 1 (RAI)(VE)</v>
          </cell>
          <cell r="K1510" t="str">
            <v>BMED</v>
          </cell>
          <cell r="L1510" t="str">
            <v>Normal</v>
          </cell>
          <cell r="M1510" t="str">
            <v>India</v>
          </cell>
          <cell r="N1510" t="str">
            <v>GE Healthcare</v>
          </cell>
          <cell r="O1510" t="str">
            <v>MAC 600</v>
          </cell>
          <cell r="P1510" t="str">
            <v>SF713085165PA</v>
          </cell>
          <cell r="Q1510" t="str">
            <v>Not Applicable</v>
          </cell>
          <cell r="R1510" t="str">
            <v>GE Healthcare</v>
          </cell>
          <cell r="S1510" t="str">
            <v>Baco Medicare Sdn Bhd</v>
          </cell>
          <cell r="T1510" t="str">
            <v>Functioning</v>
          </cell>
          <cell r="U1510" t="str">
            <v>Asset</v>
          </cell>
          <cell r="V1510">
            <v>5590.2</v>
          </cell>
          <cell r="W1510" t="str">
            <v>KEW</v>
          </cell>
          <cell r="X1510" t="str">
            <v>15/06/2015</v>
          </cell>
          <cell r="Y1510" t="str">
            <v>KEW</v>
          </cell>
          <cell r="Z1510" t="str">
            <v>03/07/2015</v>
          </cell>
          <cell r="AA1510" t="str">
            <v>02/07/2016</v>
          </cell>
          <cell r="AB1510" t="str">
            <v>No</v>
          </cell>
          <cell r="AC1510" t="str">
            <v>03/07/2015</v>
          </cell>
          <cell r="AD1510" t="str">
            <v>Good</v>
          </cell>
          <cell r="AE1510" t="str">
            <v>V3 - Added Installed Facilities (New)</v>
          </cell>
          <cell r="AF1510">
            <v>42235</v>
          </cell>
          <cell r="AG1510">
            <v>4.42</v>
          </cell>
          <cell r="AH1510" t="str">
            <v>PPM</v>
          </cell>
          <cell r="AI1510" t="str">
            <v>Not in contract</v>
          </cell>
          <cell r="AJ1510" t="str">
            <v>Proposed for V3 P2.23</v>
          </cell>
          <cell r="AK1510" t="str">
            <v>KKM follow P2.23 list.</v>
          </cell>
        </row>
        <row r="1511">
          <cell r="A1511" t="str">
            <v>IKN401238</v>
          </cell>
          <cell r="B1511">
            <v>1236</v>
          </cell>
          <cell r="C1511" t="str">
            <v>Institut Kanser Negara</v>
          </cell>
          <cell r="D1511" t="str">
            <v>KKM/IKN/H/13/4863</v>
          </cell>
          <cell r="E1511" t="str">
            <v>17-211</v>
          </cell>
          <cell r="F1511" t="str">
            <v>Radiation Survey Meters, Geiger-Muller</v>
          </cell>
          <cell r="G1511" t="str">
            <v>ID</v>
          </cell>
          <cell r="H1511" t="str">
            <v>IMAGING DEPARTMENT</v>
          </cell>
          <cell r="I1511" t="str">
            <v>03ID169</v>
          </cell>
          <cell r="J1511" t="str">
            <v>RADIOGRAPHER</v>
          </cell>
          <cell r="K1511" t="str">
            <v>BMED</v>
          </cell>
          <cell r="L1511" t="str">
            <v>Normal</v>
          </cell>
          <cell r="M1511" t="str">
            <v>Germany</v>
          </cell>
          <cell r="N1511" t="str">
            <v>Thermo Fisher</v>
          </cell>
          <cell r="O1511" t="str">
            <v>RadEye B20</v>
          </cell>
          <cell r="P1511">
            <v>30445</v>
          </cell>
          <cell r="Q1511" t="str">
            <v>Not Applicable</v>
          </cell>
          <cell r="R1511" t="str">
            <v>Thermo Fisher Scientific</v>
          </cell>
          <cell r="S1511" t="str">
            <v>Delta Advantech (M) Sdn Bhd</v>
          </cell>
          <cell r="T1511" t="str">
            <v>Functioning</v>
          </cell>
          <cell r="U1511" t="str">
            <v>Asset</v>
          </cell>
          <cell r="V1511">
            <v>20000</v>
          </cell>
          <cell r="W1511" t="str">
            <v>KEW</v>
          </cell>
          <cell r="X1511" t="str">
            <v>01/09/2010</v>
          </cell>
          <cell r="Y1511" t="str">
            <v>KEW</v>
          </cell>
          <cell r="Z1511" t="str">
            <v>16/08/2013</v>
          </cell>
          <cell r="AA1511" t="str">
            <v>15/08/2015</v>
          </cell>
          <cell r="AB1511" t="str">
            <v>No</v>
          </cell>
          <cell r="AC1511" t="str">
            <v>31/08/2013</v>
          </cell>
          <cell r="AD1511" t="str">
            <v>Good</v>
          </cell>
          <cell r="AE1511" t="str">
            <v>V1 - Existing / No Claim</v>
          </cell>
          <cell r="AF1511">
            <v>42235</v>
          </cell>
          <cell r="AG1511">
            <v>9.17</v>
          </cell>
          <cell r="AH1511" t="str">
            <v>PPM</v>
          </cell>
          <cell r="AI1511" t="str">
            <v>Strands</v>
          </cell>
          <cell r="AJ1511" t="str">
            <v>Strands PW</v>
          </cell>
        </row>
        <row r="1512">
          <cell r="A1512" t="str">
            <v>IKN401239</v>
          </cell>
          <cell r="B1512">
            <v>1237</v>
          </cell>
          <cell r="C1512" t="str">
            <v>Institut Kanser Negara</v>
          </cell>
          <cell r="D1512" t="e">
            <v>#N/A</v>
          </cell>
          <cell r="E1512" t="str">
            <v>15-605</v>
          </cell>
          <cell r="F1512" t="str">
            <v>Testers</v>
          </cell>
          <cell r="G1512" t="str">
            <v>PS</v>
          </cell>
          <cell r="H1512" t="str">
            <v>SUPPORT SERVICE/PLANT</v>
          </cell>
          <cell r="I1512" t="str">
            <v>01PS105</v>
          </cell>
          <cell r="J1512" t="str">
            <v>CHIEF ENGINEER</v>
          </cell>
          <cell r="K1512" t="str">
            <v>BMED</v>
          </cell>
          <cell r="L1512" t="str">
            <v>Normal</v>
          </cell>
          <cell r="M1512" t="str">
            <v>USA</v>
          </cell>
          <cell r="N1512" t="str">
            <v>Fluke</v>
          </cell>
          <cell r="O1512" t="str">
            <v>Fluke 115</v>
          </cell>
          <cell r="P1512" t="str">
            <v>22462872</v>
          </cell>
          <cell r="Q1512" t="str">
            <v>Not Applicable</v>
          </cell>
          <cell r="R1512" t="str">
            <v>Fluke Biomedical RMS</v>
          </cell>
          <cell r="S1512" t="str">
            <v>Bell Comm Technologies Sdn Bhd</v>
          </cell>
          <cell r="T1512" t="str">
            <v>Functioning</v>
          </cell>
          <cell r="U1512" t="str">
            <v>Asset</v>
          </cell>
          <cell r="V1512">
            <v>700</v>
          </cell>
          <cell r="W1512" t="str">
            <v>KEW</v>
          </cell>
          <cell r="X1512" t="str">
            <v>01/09/2010</v>
          </cell>
          <cell r="Y1512" t="str">
            <v>KEW</v>
          </cell>
          <cell r="Z1512" t="str">
            <v>16/08/2013</v>
          </cell>
          <cell r="AA1512" t="str">
            <v>15/08/2015</v>
          </cell>
          <cell r="AB1512" t="str">
            <v>No</v>
          </cell>
          <cell r="AC1512" t="str">
            <v>31/08/2013</v>
          </cell>
          <cell r="AD1512" t="str">
            <v>Good</v>
          </cell>
          <cell r="AE1512" t="str">
            <v>V1 - Existing / No Claim</v>
          </cell>
          <cell r="AF1512">
            <v>42235</v>
          </cell>
          <cell r="AG1512">
            <v>9.17</v>
          </cell>
          <cell r="AH1512" t="str">
            <v>PPM</v>
          </cell>
          <cell r="AI1512" t="str">
            <v>Not in contract</v>
          </cell>
          <cell r="AJ1512" t="str">
            <v>ANALYZER</v>
          </cell>
          <cell r="AK1512" t="str">
            <v>IKN agreed unit to be used by BEMS but have to calibrate.</v>
          </cell>
        </row>
        <row r="1513">
          <cell r="A1513" t="str">
            <v>IKN401240</v>
          </cell>
          <cell r="B1513">
            <v>1238</v>
          </cell>
          <cell r="C1513" t="str">
            <v>Institut Kanser Negara</v>
          </cell>
          <cell r="D1513" t="e">
            <v>#N/A</v>
          </cell>
          <cell r="E1513" t="str">
            <v>15-605</v>
          </cell>
          <cell r="F1513" t="str">
            <v>Testers</v>
          </cell>
          <cell r="G1513" t="str">
            <v>PS</v>
          </cell>
          <cell r="H1513" t="str">
            <v>SUPPORT SERVICE/PLANT</v>
          </cell>
          <cell r="I1513" t="str">
            <v>01PS105</v>
          </cell>
          <cell r="J1513" t="str">
            <v>CHIEF ENGINEER</v>
          </cell>
          <cell r="K1513" t="str">
            <v>BMED</v>
          </cell>
          <cell r="L1513" t="str">
            <v>Normal</v>
          </cell>
          <cell r="M1513" t="str">
            <v>USA</v>
          </cell>
          <cell r="N1513" t="str">
            <v>Fluke</v>
          </cell>
          <cell r="O1513" t="str">
            <v>Fluke 115</v>
          </cell>
          <cell r="P1513" t="str">
            <v>22462790</v>
          </cell>
          <cell r="Q1513" t="str">
            <v>Not Applicable</v>
          </cell>
          <cell r="R1513" t="str">
            <v>Fluke Biomedical RMS</v>
          </cell>
          <cell r="S1513" t="str">
            <v>Bell Comm Technologies Sdn Bhd</v>
          </cell>
          <cell r="T1513" t="str">
            <v>Functioning</v>
          </cell>
          <cell r="U1513" t="str">
            <v>Asset</v>
          </cell>
          <cell r="V1513">
            <v>700</v>
          </cell>
          <cell r="W1513" t="str">
            <v>KEW</v>
          </cell>
          <cell r="X1513" t="str">
            <v>01/09/2010</v>
          </cell>
          <cell r="Y1513" t="str">
            <v>KEW</v>
          </cell>
          <cell r="Z1513" t="str">
            <v>16/08/2013</v>
          </cell>
          <cell r="AA1513" t="str">
            <v>15/08/2015</v>
          </cell>
          <cell r="AB1513" t="str">
            <v>No</v>
          </cell>
          <cell r="AC1513" t="str">
            <v>31/08/2013</v>
          </cell>
          <cell r="AD1513" t="str">
            <v>Good</v>
          </cell>
          <cell r="AE1513" t="str">
            <v>V1 - Existing / No Claim</v>
          </cell>
          <cell r="AF1513">
            <v>42235</v>
          </cell>
          <cell r="AG1513">
            <v>9.17</v>
          </cell>
          <cell r="AH1513" t="str">
            <v>PPM</v>
          </cell>
          <cell r="AI1513" t="str">
            <v>Not in contract</v>
          </cell>
          <cell r="AJ1513" t="str">
            <v>ANALYZER</v>
          </cell>
          <cell r="AK1513" t="str">
            <v>IKN agreed unit to be used by BEMS but have to calibrate.</v>
          </cell>
        </row>
        <row r="1514">
          <cell r="A1514" t="str">
            <v>IKN401246</v>
          </cell>
          <cell r="B1514">
            <v>1244</v>
          </cell>
          <cell r="C1514" t="str">
            <v>Institut Kanser Negara</v>
          </cell>
          <cell r="D1514" t="str">
            <v>N/A</v>
          </cell>
          <cell r="E1514" t="str">
            <v>13-281</v>
          </cell>
          <cell r="F1514" t="str">
            <v>Computers, Radiotherapy Planning System</v>
          </cell>
          <cell r="G1514" t="str">
            <v>RT</v>
          </cell>
          <cell r="H1514" t="str">
            <v>RADIATION TREATMENT UNIT</v>
          </cell>
          <cell r="I1514" t="str">
            <v>01RT156</v>
          </cell>
          <cell r="J1514" t="str">
            <v>CHILDREN'S PLAY AREA</v>
          </cell>
          <cell r="K1514" t="str">
            <v>BMED</v>
          </cell>
          <cell r="L1514" t="str">
            <v>Normal</v>
          </cell>
          <cell r="M1514" t="str">
            <v>USA</v>
          </cell>
          <cell r="N1514" t="str">
            <v>Elekta</v>
          </cell>
          <cell r="O1514" t="str">
            <v>Monaco</v>
          </cell>
          <cell r="P1514" t="str">
            <v>various</v>
          </cell>
          <cell r="Q1514" t="str">
            <v>Not Applicable</v>
          </cell>
          <cell r="R1514" t="str">
            <v>Elekta</v>
          </cell>
          <cell r="S1514" t="str">
            <v>Meditek Equipment</v>
          </cell>
          <cell r="T1514" t="str">
            <v>Functioning</v>
          </cell>
          <cell r="U1514" t="str">
            <v>Asset</v>
          </cell>
          <cell r="V1514">
            <v>2403940</v>
          </cell>
          <cell r="W1514" t="str">
            <v>KEW</v>
          </cell>
          <cell r="X1514" t="str">
            <v>01/09/2010</v>
          </cell>
          <cell r="Y1514" t="str">
            <v>KEW</v>
          </cell>
          <cell r="Z1514" t="str">
            <v>16/08/2013</v>
          </cell>
          <cell r="AA1514" t="str">
            <v>15/08/2015</v>
          </cell>
          <cell r="AB1514" t="str">
            <v>No</v>
          </cell>
          <cell r="AC1514" t="str">
            <v>31/08/2013</v>
          </cell>
          <cell r="AD1514" t="str">
            <v>Good</v>
          </cell>
          <cell r="AE1514" t="str">
            <v>V1 - Existing / No Claim</v>
          </cell>
          <cell r="AF1514">
            <v>42235</v>
          </cell>
          <cell r="AG1514">
            <v>9.17</v>
          </cell>
          <cell r="AH1514" t="str">
            <v>PPM</v>
          </cell>
          <cell r="AI1514" t="str">
            <v>Strands</v>
          </cell>
          <cell r="AJ1514" t="str">
            <v>Strands Package</v>
          </cell>
          <cell r="AK1514" t="str">
            <v>Package Code XM0005A, XM0005B</v>
          </cell>
        </row>
        <row r="1515">
          <cell r="A1515" t="str">
            <v>IKN401247</v>
          </cell>
          <cell r="B1515">
            <v>1245</v>
          </cell>
          <cell r="C1515" t="str">
            <v>Institut Kanser Negara</v>
          </cell>
          <cell r="D1515" t="str">
            <v>KKM/IKN/H/13/4667</v>
          </cell>
          <cell r="E1515" t="str">
            <v>10-485</v>
          </cell>
          <cell r="F1515" t="str">
            <v>Pumps, Breast</v>
          </cell>
          <cell r="G1515" t="str">
            <v>X4</v>
          </cell>
          <cell r="H1515" t="str">
            <v>COMMON FACILITIES LEVEL 4</v>
          </cell>
          <cell r="I1515" t="str">
            <v>04X4408</v>
          </cell>
          <cell r="J1515" t="str">
            <v>BREAST FEED &amp; NAPPY CHGE</v>
          </cell>
          <cell r="K1515" t="str">
            <v>BMED</v>
          </cell>
          <cell r="L1515" t="str">
            <v>Normal</v>
          </cell>
          <cell r="M1515" t="str">
            <v>Switzerland</v>
          </cell>
          <cell r="N1515" t="str">
            <v>Lactina</v>
          </cell>
          <cell r="O1515" t="str">
            <v>Lactina Electric Plus</v>
          </cell>
          <cell r="P1515" t="str">
            <v>667110</v>
          </cell>
          <cell r="Q1515" t="str">
            <v>N/A</v>
          </cell>
          <cell r="R1515" t="str">
            <v>Medela AG</v>
          </cell>
          <cell r="S1515" t="str">
            <v>Equip Medical (M) Sdn Bhd</v>
          </cell>
          <cell r="T1515" t="str">
            <v>Functioning</v>
          </cell>
          <cell r="U1515" t="str">
            <v>Asset</v>
          </cell>
          <cell r="V1515">
            <v>1178</v>
          </cell>
          <cell r="W1515" t="str">
            <v>KEW</v>
          </cell>
          <cell r="X1515" t="str">
            <v>01/09/2010</v>
          </cell>
          <cell r="Y1515" t="str">
            <v>Estimate</v>
          </cell>
          <cell r="Z1515" t="str">
            <v>16/08/2013</v>
          </cell>
          <cell r="AA1515" t="str">
            <v>15/08/2015</v>
          </cell>
          <cell r="AB1515" t="str">
            <v>No</v>
          </cell>
          <cell r="AC1515" t="str">
            <v>31/08/2013</v>
          </cell>
          <cell r="AD1515" t="str">
            <v>Good</v>
          </cell>
          <cell r="AE1515" t="str">
            <v>V1 - Existing / No Claim</v>
          </cell>
          <cell r="AF1515">
            <v>42388</v>
          </cell>
          <cell r="AG1515">
            <v>9.17</v>
          </cell>
          <cell r="AH1515" t="str">
            <v>PPM</v>
          </cell>
          <cell r="AI1515" t="str">
            <v>Strands</v>
          </cell>
          <cell r="AJ1515" t="str">
            <v>Strands PW</v>
          </cell>
        </row>
        <row r="1516">
          <cell r="A1516" t="str">
            <v>IKN401248</v>
          </cell>
          <cell r="B1516">
            <v>1246</v>
          </cell>
          <cell r="C1516" t="str">
            <v>Institut Kanser Negara</v>
          </cell>
          <cell r="D1516" t="str">
            <v>KKM/IKN/H/13/4668</v>
          </cell>
          <cell r="E1516" t="str">
            <v>10-485</v>
          </cell>
          <cell r="F1516" t="str">
            <v>Pumps, Breast</v>
          </cell>
          <cell r="G1516" t="str">
            <v>X4</v>
          </cell>
          <cell r="H1516" t="str">
            <v>COMMON FACILITIES LEVEL 4</v>
          </cell>
          <cell r="I1516" t="str">
            <v>04X4408</v>
          </cell>
          <cell r="J1516" t="str">
            <v>BREAST FEED &amp; NAPPY CHGE</v>
          </cell>
          <cell r="K1516" t="str">
            <v>BMED</v>
          </cell>
          <cell r="L1516" t="str">
            <v>Normal</v>
          </cell>
          <cell r="M1516" t="str">
            <v>Switzerland</v>
          </cell>
          <cell r="N1516" t="str">
            <v>Lactina</v>
          </cell>
          <cell r="O1516" t="str">
            <v>Lactina Electric Plus</v>
          </cell>
          <cell r="P1516" t="str">
            <v>667112</v>
          </cell>
          <cell r="Q1516" t="str">
            <v>NOT APPLICABLE</v>
          </cell>
          <cell r="R1516" t="str">
            <v>Medela AG</v>
          </cell>
          <cell r="S1516" t="str">
            <v>Equip Medical (M) Sdn Bhd</v>
          </cell>
          <cell r="T1516" t="str">
            <v>Functioning</v>
          </cell>
          <cell r="U1516" t="str">
            <v>Asset</v>
          </cell>
          <cell r="V1516">
            <v>1178</v>
          </cell>
          <cell r="W1516" t="str">
            <v>KEW</v>
          </cell>
          <cell r="X1516" t="str">
            <v>01/09/2010</v>
          </cell>
          <cell r="Y1516" t="str">
            <v>KEW</v>
          </cell>
          <cell r="Z1516" t="str">
            <v>16/08/2013</v>
          </cell>
          <cell r="AA1516" t="str">
            <v>15/08/2015</v>
          </cell>
          <cell r="AB1516" t="str">
            <v>No</v>
          </cell>
          <cell r="AC1516" t="str">
            <v>31/08/2013</v>
          </cell>
          <cell r="AD1516" t="str">
            <v>Good</v>
          </cell>
          <cell r="AE1516" t="str">
            <v>V1 - Existing / No Claim</v>
          </cell>
          <cell r="AF1516">
            <v>42397</v>
          </cell>
          <cell r="AG1516">
            <v>9.17</v>
          </cell>
          <cell r="AH1516" t="str">
            <v>PPM</v>
          </cell>
          <cell r="AI1516" t="str">
            <v>Strands</v>
          </cell>
          <cell r="AJ1516" t="str">
            <v>Strands PW</v>
          </cell>
        </row>
        <row r="1517">
          <cell r="A1517" t="str">
            <v>IKN401249</v>
          </cell>
          <cell r="B1517">
            <v>1247</v>
          </cell>
          <cell r="C1517" t="str">
            <v>Institut Kanser Negara</v>
          </cell>
          <cell r="D1517" t="e">
            <v>#N/A</v>
          </cell>
          <cell r="E1517" t="str">
            <v>15-605</v>
          </cell>
          <cell r="F1517" t="str">
            <v>Testers</v>
          </cell>
          <cell r="G1517" t="str">
            <v>PS</v>
          </cell>
          <cell r="H1517" t="str">
            <v>SUPPORT SERVICE/PLANT</v>
          </cell>
          <cell r="I1517" t="str">
            <v>01PS105</v>
          </cell>
          <cell r="J1517" t="str">
            <v>CHIEF ENGINEER</v>
          </cell>
          <cell r="K1517" t="str">
            <v>BMED</v>
          </cell>
          <cell r="L1517" t="str">
            <v>Normal</v>
          </cell>
          <cell r="M1517" t="str">
            <v>USA</v>
          </cell>
          <cell r="N1517" t="str">
            <v>Fluke</v>
          </cell>
          <cell r="O1517" t="str">
            <v>Fluke 28 II</v>
          </cell>
          <cell r="P1517" t="str">
            <v>20200058</v>
          </cell>
          <cell r="Q1517" t="str">
            <v>Not Applicable</v>
          </cell>
          <cell r="R1517" t="str">
            <v>Fluke Biomedical RMS</v>
          </cell>
          <cell r="S1517" t="str">
            <v>Bell Comm Technologies Sdn Bhd</v>
          </cell>
          <cell r="T1517" t="str">
            <v>Functioning</v>
          </cell>
          <cell r="U1517" t="str">
            <v>Asset</v>
          </cell>
          <cell r="V1517">
            <v>4700</v>
          </cell>
          <cell r="W1517" t="str">
            <v>KEW</v>
          </cell>
          <cell r="X1517" t="str">
            <v>01/09/2010</v>
          </cell>
          <cell r="Y1517" t="str">
            <v>KEW</v>
          </cell>
          <cell r="Z1517" t="str">
            <v>16/08/2013</v>
          </cell>
          <cell r="AA1517" t="str">
            <v>15/08/2015</v>
          </cell>
          <cell r="AB1517" t="str">
            <v>No</v>
          </cell>
          <cell r="AC1517" t="str">
            <v>31/08/2013</v>
          </cell>
          <cell r="AD1517" t="str">
            <v>Good</v>
          </cell>
          <cell r="AE1517" t="str">
            <v>V1 - Existing / No Claim</v>
          </cell>
          <cell r="AF1517">
            <v>42235</v>
          </cell>
          <cell r="AG1517">
            <v>9.17</v>
          </cell>
          <cell r="AH1517" t="str">
            <v>PPM</v>
          </cell>
          <cell r="AI1517" t="str">
            <v>Not in contract</v>
          </cell>
          <cell r="AJ1517" t="str">
            <v>ANALYZER</v>
          </cell>
          <cell r="AK1517" t="str">
            <v>IKN agreed unit to be used by BEMS but have to calibrate.</v>
          </cell>
        </row>
        <row r="1518">
          <cell r="A1518" t="str">
            <v>IKN401250</v>
          </cell>
          <cell r="B1518">
            <v>1248</v>
          </cell>
          <cell r="C1518" t="str">
            <v>Institut Kanser Negara</v>
          </cell>
          <cell r="D1518" t="str">
            <v>KKM/IKN/H/13/4508</v>
          </cell>
          <cell r="E1518" t="str">
            <v>15-164</v>
          </cell>
          <cell r="F1518" t="str">
            <v>pH Meters</v>
          </cell>
          <cell r="G1518" t="str">
            <v>NM</v>
          </cell>
          <cell r="H1518" t="str">
            <v>NUCLEAR MED (DIAGNOSTIC)</v>
          </cell>
          <cell r="I1518" t="str">
            <v>03NM138</v>
          </cell>
          <cell r="J1518" t="str">
            <v>RADIOIODINE PREP. (100% F.A)</v>
          </cell>
          <cell r="K1518" t="str">
            <v>BMED</v>
          </cell>
          <cell r="L1518" t="str">
            <v>Normal</v>
          </cell>
          <cell r="M1518" t="str">
            <v>Singapore</v>
          </cell>
          <cell r="N1518" t="str">
            <v>Accumet</v>
          </cell>
          <cell r="O1518" t="str">
            <v>Accumet AB150</v>
          </cell>
          <cell r="P1518" t="str">
            <v>AB92341936</v>
          </cell>
          <cell r="Q1518" t="str">
            <v>NOT APPLICABLE</v>
          </cell>
          <cell r="R1518" t="str">
            <v>Fisher Scientific Co</v>
          </cell>
          <cell r="S1518" t="str">
            <v>Bumi Sains Sdn. Bhd.</v>
          </cell>
          <cell r="T1518" t="str">
            <v>Functioning</v>
          </cell>
          <cell r="U1518" t="str">
            <v>Asset</v>
          </cell>
          <cell r="V1518">
            <v>8000</v>
          </cell>
          <cell r="W1518" t="str">
            <v>Estimate</v>
          </cell>
          <cell r="X1518" t="str">
            <v>01/09/2010</v>
          </cell>
          <cell r="Y1518" t="str">
            <v>KEW</v>
          </cell>
          <cell r="Z1518" t="str">
            <v>16/08/2013</v>
          </cell>
          <cell r="AA1518" t="str">
            <v>15/08/2015</v>
          </cell>
          <cell r="AB1518" t="str">
            <v>No</v>
          </cell>
          <cell r="AC1518" t="str">
            <v>31/08/2013</v>
          </cell>
          <cell r="AD1518" t="str">
            <v>Good</v>
          </cell>
          <cell r="AE1518" t="str">
            <v>V1 - Existing / No Claim</v>
          </cell>
          <cell r="AF1518">
            <v>42622</v>
          </cell>
          <cell r="AG1518">
            <v>9.17</v>
          </cell>
          <cell r="AH1518" t="str">
            <v>PPM</v>
          </cell>
          <cell r="AI1518" t="str">
            <v>Strands</v>
          </cell>
          <cell r="AJ1518" t="str">
            <v>Strands PW</v>
          </cell>
          <cell r="AK1518" t="str">
            <v>[14/3/2024]: UPDATE MODEL</v>
          </cell>
        </row>
        <row r="1519">
          <cell r="A1519" t="str">
            <v>IKN401251</v>
          </cell>
          <cell r="B1519">
            <v>1249</v>
          </cell>
          <cell r="C1519" t="str">
            <v>Institut Kanser Negara</v>
          </cell>
          <cell r="D1519" t="str">
            <v>KKM/IKN/H/13/4507</v>
          </cell>
          <cell r="E1519" t="str">
            <v>15-164</v>
          </cell>
          <cell r="F1519" t="str">
            <v>pH Meters</v>
          </cell>
          <cell r="G1519" t="str">
            <v>NM</v>
          </cell>
          <cell r="H1519" t="str">
            <v>NUCLEAR MED (DIAGNOSTIC)</v>
          </cell>
          <cell r="I1519" t="str">
            <v>03NM138</v>
          </cell>
          <cell r="J1519" t="str">
            <v>RADIOIODINE PREP. (100% F.A)</v>
          </cell>
          <cell r="K1519" t="str">
            <v>BMED</v>
          </cell>
          <cell r="L1519" t="str">
            <v>Normal</v>
          </cell>
          <cell r="M1519" t="str">
            <v>Singapore</v>
          </cell>
          <cell r="N1519" t="str">
            <v>Accumet</v>
          </cell>
          <cell r="O1519" t="str">
            <v>Accumet AB150</v>
          </cell>
          <cell r="P1519" t="str">
            <v>AB92341926</v>
          </cell>
          <cell r="Q1519" t="str">
            <v>NOT APPLICABLE</v>
          </cell>
          <cell r="R1519" t="str">
            <v>Fisher Scientific Co</v>
          </cell>
          <cell r="S1519" t="str">
            <v>Bumi Sains Sdn. Bhd.</v>
          </cell>
          <cell r="T1519" t="str">
            <v>Functioning</v>
          </cell>
          <cell r="U1519" t="str">
            <v>Asset</v>
          </cell>
          <cell r="V1519">
            <v>8000</v>
          </cell>
          <cell r="W1519" t="str">
            <v>Estimate</v>
          </cell>
          <cell r="X1519" t="str">
            <v>01/09/2010</v>
          </cell>
          <cell r="Y1519" t="str">
            <v>Estimate</v>
          </cell>
          <cell r="Z1519" t="str">
            <v>16/08/2013</v>
          </cell>
          <cell r="AA1519" t="str">
            <v>15/08/2015</v>
          </cell>
          <cell r="AB1519" t="str">
            <v>No</v>
          </cell>
          <cell r="AC1519" t="str">
            <v>31/08/2013</v>
          </cell>
          <cell r="AD1519" t="str">
            <v>Good</v>
          </cell>
          <cell r="AE1519" t="str">
            <v>V1 - Existing / No Claim</v>
          </cell>
          <cell r="AF1519">
            <v>42622</v>
          </cell>
          <cell r="AG1519">
            <v>9.17</v>
          </cell>
          <cell r="AH1519" t="str">
            <v>PPM</v>
          </cell>
          <cell r="AI1519" t="str">
            <v>Strands</v>
          </cell>
          <cell r="AJ1519" t="str">
            <v>Strands PW</v>
          </cell>
          <cell r="AK1519" t="str">
            <v>[14/3/2024]: UPDATE MODEL. [25/3/2024, ANIS]: UPDATE SN</v>
          </cell>
        </row>
        <row r="1520">
          <cell r="A1520" t="str">
            <v>IKN401252</v>
          </cell>
          <cell r="B1520">
            <v>1250</v>
          </cell>
          <cell r="C1520" t="str">
            <v>Institut Kanser Negara</v>
          </cell>
          <cell r="D1520" t="str">
            <v>KKM/IKN/H/15/17</v>
          </cell>
          <cell r="E1520" t="str">
            <v>17-116</v>
          </cell>
          <cell r="F1520" t="str">
            <v>Defibrillators, External, Automated</v>
          </cell>
          <cell r="G1520" t="str">
            <v>AE</v>
          </cell>
          <cell r="H1520" t="str">
            <v>EMERGENCY UNIT</v>
          </cell>
          <cell r="I1520" t="str">
            <v>01AE111</v>
          </cell>
          <cell r="J1520" t="str">
            <v>GANERAL STORE</v>
          </cell>
          <cell r="K1520" t="str">
            <v>BMED</v>
          </cell>
          <cell r="L1520" t="str">
            <v>Normal</v>
          </cell>
          <cell r="M1520" t="str">
            <v>USA</v>
          </cell>
          <cell r="N1520" t="str">
            <v>Heartstart</v>
          </cell>
          <cell r="O1520" t="str">
            <v>Heartstart FR3</v>
          </cell>
          <cell r="P1520" t="str">
            <v>C15E-00544</v>
          </cell>
          <cell r="Q1520" t="str">
            <v>NA</v>
          </cell>
          <cell r="R1520" t="str">
            <v>Philips Medical Systems</v>
          </cell>
          <cell r="S1520" t="str">
            <v>PHILIPS (M) SDN BHD</v>
          </cell>
          <cell r="T1520" t="str">
            <v>Functioning</v>
          </cell>
          <cell r="U1520" t="str">
            <v>Asset</v>
          </cell>
          <cell r="V1520">
            <v>14900</v>
          </cell>
          <cell r="W1520" t="str">
            <v>KEW</v>
          </cell>
          <cell r="X1520" t="str">
            <v>13/07/2015</v>
          </cell>
          <cell r="Y1520" t="str">
            <v>KEW</v>
          </cell>
          <cell r="Z1520" t="str">
            <v>21/08/2015</v>
          </cell>
          <cell r="AA1520" t="str">
            <v>20/08/2019</v>
          </cell>
          <cell r="AB1520" t="str">
            <v>No</v>
          </cell>
          <cell r="AC1520" t="str">
            <v>21/08/2015</v>
          </cell>
          <cell r="AD1520" t="str">
            <v>Good</v>
          </cell>
          <cell r="AE1520" t="str">
            <v>V3 - Added Installed Facilities (New)</v>
          </cell>
          <cell r="AF1520">
            <v>42389</v>
          </cell>
          <cell r="AG1520">
            <v>4.33</v>
          </cell>
          <cell r="AH1520" t="str">
            <v>PPM</v>
          </cell>
          <cell r="AI1520" t="str">
            <v>Strands</v>
          </cell>
          <cell r="AJ1520" t="str">
            <v>Strands PW</v>
          </cell>
          <cell r="AK1520" t="str">
            <v>SNF received. 1st batch of V3 asset (December 2020)</v>
          </cell>
        </row>
        <row r="1521">
          <cell r="A1521" t="str">
            <v>IKN401253</v>
          </cell>
          <cell r="B1521">
            <v>1251</v>
          </cell>
          <cell r="C1521" t="str">
            <v>Institut Kanser Negara</v>
          </cell>
          <cell r="D1521" t="str">
            <v>KKM/IKN/H/14/58</v>
          </cell>
          <cell r="E1521" t="str">
            <v>15-663</v>
          </cell>
          <cell r="F1521" t="str">
            <v>Pipetters</v>
          </cell>
          <cell r="G1521" t="str">
            <v>LA</v>
          </cell>
          <cell r="H1521" t="str">
            <v>PATHOLOGY</v>
          </cell>
          <cell r="I1521" t="str">
            <v>04LA140</v>
          </cell>
          <cell r="J1521" t="str">
            <v>BLOOD BANK</v>
          </cell>
          <cell r="K1521" t="str">
            <v>BMED</v>
          </cell>
          <cell r="L1521" t="str">
            <v>Normal</v>
          </cell>
          <cell r="M1521" t="str">
            <v>Germany</v>
          </cell>
          <cell r="N1521" t="str">
            <v>Eppendorf</v>
          </cell>
          <cell r="O1521" t="str">
            <v>Eppendorf Research Plus</v>
          </cell>
          <cell r="P1521" t="str">
            <v>L26942D</v>
          </cell>
          <cell r="Q1521" t="str">
            <v>Not Applicable</v>
          </cell>
          <cell r="R1521" t="str">
            <v>Eppendorf AG</v>
          </cell>
          <cell r="S1521" t="str">
            <v>MEDIGENE SDN BHD</v>
          </cell>
          <cell r="T1521" t="str">
            <v>Functioning</v>
          </cell>
          <cell r="U1521" t="str">
            <v>Asset</v>
          </cell>
          <cell r="V1521">
            <v>750</v>
          </cell>
          <cell r="W1521" t="str">
            <v>KEW</v>
          </cell>
          <cell r="X1521" t="str">
            <v>10/10/2014</v>
          </cell>
          <cell r="Y1521" t="str">
            <v>KEW</v>
          </cell>
          <cell r="Z1521" t="str">
            <v>31/10/2014</v>
          </cell>
          <cell r="AA1521" t="str">
            <v>30/10/2017</v>
          </cell>
          <cell r="AB1521" t="str">
            <v>No</v>
          </cell>
          <cell r="AC1521" t="str">
            <v>31/10/2014</v>
          </cell>
          <cell r="AD1521" t="str">
            <v>Good</v>
          </cell>
          <cell r="AE1521" t="str">
            <v>V3 - Added Installed Facilities (New)</v>
          </cell>
          <cell r="AF1521">
            <v>42790</v>
          </cell>
          <cell r="AG1521">
            <v>5.08</v>
          </cell>
          <cell r="AH1521" t="str">
            <v>PPM</v>
          </cell>
          <cell r="AI1521" t="str">
            <v>Strands</v>
          </cell>
          <cell r="AJ1521" t="str">
            <v>Strands PW</v>
          </cell>
          <cell r="AK1521" t="str">
            <v>SNF received. 1st batch of V3 asset (December 2020)</v>
          </cell>
        </row>
        <row r="1522">
          <cell r="A1522" t="str">
            <v>IKN401254</v>
          </cell>
          <cell r="B1522">
            <v>1252</v>
          </cell>
          <cell r="C1522" t="str">
            <v>Institut Kanser Negara</v>
          </cell>
          <cell r="D1522" t="str">
            <v>KKM/IKN/R/15/96</v>
          </cell>
          <cell r="E1522" t="str">
            <v>15-663</v>
          </cell>
          <cell r="F1522" t="str">
            <v>Pipetters</v>
          </cell>
          <cell r="G1522" t="str">
            <v>LA</v>
          </cell>
          <cell r="H1522" t="str">
            <v>PATHOLOGY</v>
          </cell>
          <cell r="I1522" t="str">
            <v>04LA140</v>
          </cell>
          <cell r="J1522" t="str">
            <v>BLOOD BANK</v>
          </cell>
          <cell r="K1522" t="str">
            <v>BMED</v>
          </cell>
          <cell r="L1522" t="str">
            <v>Normal</v>
          </cell>
          <cell r="M1522" t="str">
            <v>Germany</v>
          </cell>
          <cell r="N1522" t="str">
            <v>Eppendorf</v>
          </cell>
          <cell r="O1522" t="str">
            <v>Eppendorf Research Pro</v>
          </cell>
          <cell r="P1522" t="str">
            <v>K29814E</v>
          </cell>
          <cell r="Q1522" t="str">
            <v>Not Applicable</v>
          </cell>
          <cell r="R1522" t="str">
            <v>Eppendorf AG</v>
          </cell>
          <cell r="S1522" t="str">
            <v>MEDIGENE SDN BHD</v>
          </cell>
          <cell r="T1522" t="str">
            <v>Functioning</v>
          </cell>
          <cell r="U1522" t="str">
            <v>Asset</v>
          </cell>
          <cell r="V1522">
            <v>825</v>
          </cell>
          <cell r="W1522" t="str">
            <v>KEW</v>
          </cell>
          <cell r="X1522" t="str">
            <v>06/10/2015</v>
          </cell>
          <cell r="Y1522" t="str">
            <v>KEW</v>
          </cell>
          <cell r="Z1522" t="str">
            <v>16/10/2015</v>
          </cell>
          <cell r="AA1522" t="str">
            <v>15/10/2018</v>
          </cell>
          <cell r="AB1522" t="str">
            <v>No</v>
          </cell>
          <cell r="AC1522" t="str">
            <v>16/10/2015</v>
          </cell>
          <cell r="AD1522" t="str">
            <v>Good</v>
          </cell>
          <cell r="AE1522" t="str">
            <v>V3 - Added Installed Facilities (New)</v>
          </cell>
          <cell r="AF1522">
            <v>42677</v>
          </cell>
          <cell r="AG1522">
            <v>4.08</v>
          </cell>
          <cell r="AH1522" t="str">
            <v>PPM</v>
          </cell>
          <cell r="AI1522" t="str">
            <v>Strands</v>
          </cell>
          <cell r="AJ1522" t="str">
            <v>Strands PW</v>
          </cell>
          <cell r="AK1522" t="str">
            <v>SNF received. 1st batch of V3 asset (December 2020)</v>
          </cell>
        </row>
        <row r="1523">
          <cell r="A1523" t="str">
            <v>IKN401255</v>
          </cell>
          <cell r="B1523">
            <v>1253</v>
          </cell>
          <cell r="C1523" t="str">
            <v>Institut Kanser Negara</v>
          </cell>
          <cell r="D1523" t="str">
            <v>KKM/IKN/R/15/97</v>
          </cell>
          <cell r="E1523" t="str">
            <v>15-663</v>
          </cell>
          <cell r="F1523" t="str">
            <v>Pipetters</v>
          </cell>
          <cell r="G1523" t="str">
            <v>LA</v>
          </cell>
          <cell r="H1523" t="str">
            <v>PATHOLOGY</v>
          </cell>
          <cell r="I1523" t="str">
            <v>04LA140</v>
          </cell>
          <cell r="J1523" t="str">
            <v>BLOOD BANK</v>
          </cell>
          <cell r="K1523" t="str">
            <v>BMED</v>
          </cell>
          <cell r="L1523" t="str">
            <v>Normal</v>
          </cell>
          <cell r="M1523" t="str">
            <v>Germany</v>
          </cell>
          <cell r="N1523" t="str">
            <v>Eppendorf</v>
          </cell>
          <cell r="O1523" t="str">
            <v>Eppendorf Research Pro</v>
          </cell>
          <cell r="P1523" t="str">
            <v>K29968E</v>
          </cell>
          <cell r="Q1523" t="str">
            <v>Not Applicable</v>
          </cell>
          <cell r="R1523" t="str">
            <v>Eppendorf AG</v>
          </cell>
          <cell r="S1523" t="str">
            <v>MEDIGENE SDN BHD</v>
          </cell>
          <cell r="T1523" t="str">
            <v>Functioning</v>
          </cell>
          <cell r="U1523" t="str">
            <v>Asset</v>
          </cell>
          <cell r="V1523">
            <v>825</v>
          </cell>
          <cell r="W1523" t="str">
            <v>KEW</v>
          </cell>
          <cell r="X1523" t="str">
            <v>06/10/2015</v>
          </cell>
          <cell r="Y1523" t="str">
            <v>KEW</v>
          </cell>
          <cell r="Z1523" t="str">
            <v>16/10/2015</v>
          </cell>
          <cell r="AA1523" t="str">
            <v>15/10/2018</v>
          </cell>
          <cell r="AB1523" t="str">
            <v>No</v>
          </cell>
          <cell r="AC1523" t="str">
            <v>16/10/2015</v>
          </cell>
          <cell r="AD1523" t="str">
            <v>Good</v>
          </cell>
          <cell r="AE1523" t="str">
            <v>V3 - Added Installed Facilities (New)</v>
          </cell>
          <cell r="AF1523">
            <v>42677</v>
          </cell>
          <cell r="AG1523">
            <v>4.08</v>
          </cell>
          <cell r="AH1523" t="str">
            <v>PPM</v>
          </cell>
          <cell r="AI1523" t="str">
            <v>Strands</v>
          </cell>
          <cell r="AJ1523" t="str">
            <v>Strands PW</v>
          </cell>
          <cell r="AK1523" t="str">
            <v>SNF received. 1st batch of V3 asset (December 2020)</v>
          </cell>
        </row>
        <row r="1524">
          <cell r="A1524" t="str">
            <v>IKN401256</v>
          </cell>
          <cell r="B1524">
            <v>1254</v>
          </cell>
          <cell r="C1524" t="str">
            <v>Institut Kanser Negara</v>
          </cell>
          <cell r="D1524" t="str">
            <v>KKM/IKN/H/15/90</v>
          </cell>
          <cell r="E1524" t="str">
            <v>16-173</v>
          </cell>
          <cell r="F1524" t="str">
            <v>Sphygmomanometers, Electronic, Automatic</v>
          </cell>
          <cell r="G1524" t="str">
            <v>NM</v>
          </cell>
          <cell r="H1524" t="str">
            <v>NUCLEAR MED (DIAGNOSTIC)</v>
          </cell>
          <cell r="I1524" t="str">
            <v>03NM108</v>
          </cell>
          <cell r="J1524" t="str">
            <v>TREATMENT 1 (RAI)(VE)</v>
          </cell>
          <cell r="K1524" t="str">
            <v>BMED</v>
          </cell>
          <cell r="L1524" t="str">
            <v>Critical</v>
          </cell>
          <cell r="M1524" t="str">
            <v>USA</v>
          </cell>
          <cell r="N1524" t="str">
            <v>Welch Allyn</v>
          </cell>
          <cell r="O1524" t="str">
            <v>Connex ProBP 3400</v>
          </cell>
          <cell r="P1524" t="str">
            <v>100052552315</v>
          </cell>
          <cell r="Q1524" t="str">
            <v>N/A</v>
          </cell>
          <cell r="R1524" t="str">
            <v>Welch Allyn Inc</v>
          </cell>
          <cell r="S1524" t="str">
            <v>BACO MEDICARE SDN BHD</v>
          </cell>
          <cell r="T1524" t="str">
            <v>Functioning</v>
          </cell>
          <cell r="U1524" t="str">
            <v>Asset</v>
          </cell>
          <cell r="V1524">
            <v>1876.15</v>
          </cell>
          <cell r="W1524" t="str">
            <v>KEW</v>
          </cell>
          <cell r="X1524" t="str">
            <v>15/06/2015</v>
          </cell>
          <cell r="Y1524" t="str">
            <v>KEW</v>
          </cell>
          <cell r="Z1524" t="str">
            <v>04/09/2015</v>
          </cell>
          <cell r="AA1524" t="str">
            <v>03/09/2016</v>
          </cell>
          <cell r="AB1524" t="str">
            <v>No</v>
          </cell>
          <cell r="AC1524" t="str">
            <v>04/09/2015</v>
          </cell>
          <cell r="AD1524" t="str">
            <v>Good</v>
          </cell>
          <cell r="AE1524" t="str">
            <v>V3 - Added Installed Facilities (New)</v>
          </cell>
          <cell r="AF1524">
            <v>42706</v>
          </cell>
          <cell r="AG1524">
            <v>4.42</v>
          </cell>
          <cell r="AH1524" t="str">
            <v>PPM</v>
          </cell>
          <cell r="AI1524" t="str">
            <v>Not in contract</v>
          </cell>
          <cell r="AJ1524" t="str">
            <v>Proposed for V3 P2.23</v>
          </cell>
          <cell r="AK1524" t="str">
            <v>KKM follow P2.23 list.</v>
          </cell>
        </row>
        <row r="1525">
          <cell r="A1525" t="str">
            <v>IKN401257</v>
          </cell>
          <cell r="B1525">
            <v>1255</v>
          </cell>
          <cell r="C1525" t="str">
            <v>Institut Kanser Negara</v>
          </cell>
          <cell r="D1525" t="str">
            <v>KKM/IKN/H/15/89</v>
          </cell>
          <cell r="E1525" t="str">
            <v>16-173</v>
          </cell>
          <cell r="F1525" t="str">
            <v>Sphygmomanometers, Electronic, Automatic</v>
          </cell>
          <cell r="G1525" t="str">
            <v>NM</v>
          </cell>
          <cell r="H1525" t="str">
            <v>NUCLEAR MED (DIAGNOSTIC)</v>
          </cell>
          <cell r="I1525" t="str">
            <v>03NM109</v>
          </cell>
          <cell r="J1525" t="str">
            <v>TREATMENT 2 (RAS) (-VE)</v>
          </cell>
          <cell r="K1525" t="str">
            <v>BMED</v>
          </cell>
          <cell r="L1525" t="str">
            <v>Critical</v>
          </cell>
          <cell r="M1525" t="str">
            <v>USA</v>
          </cell>
          <cell r="N1525" t="str">
            <v>Welch Allyn</v>
          </cell>
          <cell r="O1525" t="str">
            <v>Connex ProBP 3400</v>
          </cell>
          <cell r="P1525" t="str">
            <v>100048492215</v>
          </cell>
          <cell r="Q1525" t="str">
            <v>N/A</v>
          </cell>
          <cell r="R1525" t="str">
            <v>Welch Allyn Inc</v>
          </cell>
          <cell r="S1525" t="str">
            <v>BACO MEDICARE SDN BHD</v>
          </cell>
          <cell r="T1525" t="str">
            <v>Functioning</v>
          </cell>
          <cell r="U1525" t="str">
            <v>Asset</v>
          </cell>
          <cell r="V1525">
            <v>1876.15</v>
          </cell>
          <cell r="W1525" t="str">
            <v>KEW</v>
          </cell>
          <cell r="X1525" t="str">
            <v>15/06/2015</v>
          </cell>
          <cell r="Y1525" t="str">
            <v>KEW</v>
          </cell>
          <cell r="Z1525" t="str">
            <v>04/09/2015</v>
          </cell>
          <cell r="AA1525" t="str">
            <v>03/09/2016</v>
          </cell>
          <cell r="AB1525" t="str">
            <v>No</v>
          </cell>
          <cell r="AC1525" t="str">
            <v>04/09/2015</v>
          </cell>
          <cell r="AD1525" t="str">
            <v>Good</v>
          </cell>
          <cell r="AE1525" t="str">
            <v>V3 - Added Installed Facilities (New)</v>
          </cell>
          <cell r="AF1525">
            <v>42706</v>
          </cell>
          <cell r="AG1525">
            <v>4.42</v>
          </cell>
          <cell r="AH1525" t="str">
            <v>PPM</v>
          </cell>
          <cell r="AI1525" t="str">
            <v>Not in contract</v>
          </cell>
          <cell r="AJ1525" t="str">
            <v>Proposed for V3 P2.23</v>
          </cell>
          <cell r="AK1525" t="str">
            <v>KKM follow P2.23 list.</v>
          </cell>
        </row>
        <row r="1526">
          <cell r="A1526" t="str">
            <v>IKN401258</v>
          </cell>
          <cell r="B1526">
            <v>1256</v>
          </cell>
          <cell r="C1526" t="str">
            <v>Institut Kanser Negara</v>
          </cell>
          <cell r="D1526" t="str">
            <v>KKM/IKN/H/15/91</v>
          </cell>
          <cell r="E1526" t="str">
            <v>16-173</v>
          </cell>
          <cell r="F1526" t="str">
            <v>Sphygmomanometers, Electronic, Automatic</v>
          </cell>
          <cell r="G1526" t="str">
            <v>NM</v>
          </cell>
          <cell r="H1526" t="str">
            <v>NUCLEAR MED (DIAGNOSTIC)</v>
          </cell>
          <cell r="I1526" t="str">
            <v>03NM182</v>
          </cell>
          <cell r="J1526" t="str">
            <v>C/E 5 (VE)</v>
          </cell>
          <cell r="K1526" t="str">
            <v>BMED</v>
          </cell>
          <cell r="L1526" t="str">
            <v>Critical</v>
          </cell>
          <cell r="M1526" t="str">
            <v>USA</v>
          </cell>
          <cell r="N1526" t="str">
            <v>Welch Allyn</v>
          </cell>
          <cell r="O1526" t="str">
            <v>Connex ProBP 3400</v>
          </cell>
          <cell r="P1526" t="str">
            <v>100028231215</v>
          </cell>
          <cell r="Q1526" t="str">
            <v>N/A</v>
          </cell>
          <cell r="R1526" t="str">
            <v>Welch Allyn Inc</v>
          </cell>
          <cell r="S1526" t="str">
            <v>BACO MEDICARS SDN BHD</v>
          </cell>
          <cell r="T1526" t="str">
            <v>Functioning</v>
          </cell>
          <cell r="U1526" t="str">
            <v>Asset</v>
          </cell>
          <cell r="V1526">
            <v>1876.15</v>
          </cell>
          <cell r="W1526" t="str">
            <v>KEW</v>
          </cell>
          <cell r="X1526" t="str">
            <v>15/06/2015</v>
          </cell>
          <cell r="Y1526" t="str">
            <v>KEW</v>
          </cell>
          <cell r="Z1526" t="str">
            <v>04/09/2015</v>
          </cell>
          <cell r="AA1526" t="str">
            <v>03/09/2016</v>
          </cell>
          <cell r="AB1526" t="str">
            <v>No</v>
          </cell>
          <cell r="AC1526" t="str">
            <v>04/09/2015</v>
          </cell>
          <cell r="AD1526" t="str">
            <v>Good</v>
          </cell>
          <cell r="AE1526" t="str">
            <v>V3 - Added Installed Facilities (New)</v>
          </cell>
          <cell r="AF1526">
            <v>42327</v>
          </cell>
          <cell r="AG1526">
            <v>4.42</v>
          </cell>
          <cell r="AH1526" t="str">
            <v>PPM</v>
          </cell>
          <cell r="AI1526" t="str">
            <v>Not in contract</v>
          </cell>
          <cell r="AJ1526" t="str">
            <v>Proposed for V3 P2.23</v>
          </cell>
          <cell r="AK1526" t="str">
            <v>KKM follow P2.23 list.</v>
          </cell>
        </row>
        <row r="1527">
          <cell r="A1527" t="str">
            <v>IKN401259</v>
          </cell>
          <cell r="B1527">
            <v>1257</v>
          </cell>
          <cell r="C1527" t="str">
            <v>Institut Kanser Negara</v>
          </cell>
          <cell r="D1527" t="str">
            <v>KKM/IKN/H/15/18</v>
          </cell>
          <cell r="E1527" t="str">
            <v>15-045</v>
          </cell>
          <cell r="F1527" t="str">
            <v>Nebulizers, Nonheated</v>
          </cell>
          <cell r="G1527" t="str">
            <v>NM</v>
          </cell>
          <cell r="H1527" t="str">
            <v>NUCLEAR MED (DIAGNOSTIC)</v>
          </cell>
          <cell r="I1527" t="str">
            <v>03NM108</v>
          </cell>
          <cell r="J1527" t="str">
            <v>TREATMENT 1 (RAI)(VE)</v>
          </cell>
          <cell r="K1527" t="str">
            <v>BMED</v>
          </cell>
          <cell r="L1527" t="str">
            <v>Normal</v>
          </cell>
          <cell r="M1527" t="str">
            <v>Germany</v>
          </cell>
          <cell r="N1527" t="str">
            <v>Pari Boy</v>
          </cell>
          <cell r="O1527" t="str">
            <v>Pari Boy SX 085</v>
          </cell>
          <cell r="P1527" t="str">
            <v>2W15F02845</v>
          </cell>
          <cell r="Q1527" t="str">
            <v>.</v>
          </cell>
          <cell r="R1527" t="str">
            <v>Pari GmbH</v>
          </cell>
          <cell r="S1527" t="str">
            <v>WELCH ALLYN (M) SDN BHD</v>
          </cell>
          <cell r="T1527" t="str">
            <v>Functioning</v>
          </cell>
          <cell r="U1527" t="str">
            <v>Asset</v>
          </cell>
          <cell r="V1527">
            <v>2347.1999999999998</v>
          </cell>
          <cell r="W1527" t="str">
            <v>KEW</v>
          </cell>
          <cell r="X1527" t="str">
            <v>15/06/2015</v>
          </cell>
          <cell r="Y1527" t="str">
            <v>KEW</v>
          </cell>
          <cell r="Z1527" t="str">
            <v>04/09/2015</v>
          </cell>
          <cell r="AA1527" t="str">
            <v>03/09/2016</v>
          </cell>
          <cell r="AB1527" t="str">
            <v>No</v>
          </cell>
          <cell r="AC1527" t="str">
            <v>04/09/2015</v>
          </cell>
          <cell r="AD1527" t="str">
            <v>Good</v>
          </cell>
          <cell r="AE1527" t="str">
            <v>V3 - Added Installed Facilities (New)</v>
          </cell>
          <cell r="AF1527">
            <v>42397</v>
          </cell>
          <cell r="AG1527">
            <v>4.42</v>
          </cell>
          <cell r="AH1527" t="str">
            <v>PPM</v>
          </cell>
          <cell r="AI1527" t="str">
            <v>Strands</v>
          </cell>
          <cell r="AJ1527" t="str">
            <v>Strands PW</v>
          </cell>
          <cell r="AK1527" t="str">
            <v>SNF received. 1st batch of V3 asset (December 2020)</v>
          </cell>
        </row>
        <row r="1528">
          <cell r="A1528" t="str">
            <v>IKN401260</v>
          </cell>
          <cell r="B1528">
            <v>1258</v>
          </cell>
          <cell r="C1528" t="str">
            <v>Institut Kanser Negara</v>
          </cell>
          <cell r="D1528" t="str">
            <v>KKM/IKN/H/13/439</v>
          </cell>
          <cell r="E1528" t="str">
            <v>18-147</v>
          </cell>
          <cell r="F1528" t="str">
            <v>Mattress Systems, Alternating-Pressure</v>
          </cell>
          <cell r="G1528" t="str">
            <v>WB</v>
          </cell>
          <cell r="H1528" t="str">
            <v>SURGICAL ONCO MALE WARD</v>
          </cell>
          <cell r="I1528" t="str">
            <v>05WB113</v>
          </cell>
          <cell r="J1528" t="str">
            <v>EQUIP. ROOM</v>
          </cell>
          <cell r="K1528" t="str">
            <v>BMED</v>
          </cell>
          <cell r="L1528" t="str">
            <v>Normal</v>
          </cell>
          <cell r="M1528" t="str">
            <v>Poland</v>
          </cell>
          <cell r="N1528" t="str">
            <v>Nimbus</v>
          </cell>
          <cell r="O1528" t="str">
            <v>Nimbus 3</v>
          </cell>
          <cell r="P1528" t="str">
            <v>1200005122</v>
          </cell>
          <cell r="Q1528" t="str">
            <v>NA</v>
          </cell>
          <cell r="R1528" t="str">
            <v>Arjohuntleigh</v>
          </cell>
          <cell r="S1528" t="str">
            <v>HEXAMINE SDN BHD</v>
          </cell>
          <cell r="T1528" t="str">
            <v>Functioning</v>
          </cell>
          <cell r="U1528" t="str">
            <v>Asset</v>
          </cell>
          <cell r="V1528">
            <v>28630</v>
          </cell>
          <cell r="W1528" t="str">
            <v>KEW</v>
          </cell>
          <cell r="X1528" t="str">
            <v>01/09/2010</v>
          </cell>
          <cell r="Y1528" t="str">
            <v>KEW</v>
          </cell>
          <cell r="Z1528" t="str">
            <v>16/08/2013</v>
          </cell>
          <cell r="AA1528" t="str">
            <v>15/08/2015</v>
          </cell>
          <cell r="AB1528" t="str">
            <v>No</v>
          </cell>
          <cell r="AC1528" t="str">
            <v>31/08/2013</v>
          </cell>
          <cell r="AD1528" t="str">
            <v>Good</v>
          </cell>
          <cell r="AE1528" t="str">
            <v>V1 - Existing / No Claim</v>
          </cell>
          <cell r="AF1528">
            <v>42398</v>
          </cell>
          <cell r="AG1528">
            <v>9.17</v>
          </cell>
          <cell r="AH1528" t="str">
            <v>PPM</v>
          </cell>
          <cell r="AI1528" t="str">
            <v>Strands</v>
          </cell>
          <cell r="AJ1528" t="str">
            <v>Strands PW</v>
          </cell>
          <cell r="AK1528" t="str">
            <v>SNF received. 1st batch of V3 asset (December 2020)</v>
          </cell>
        </row>
        <row r="1529">
          <cell r="A1529" t="str">
            <v>IKN401261</v>
          </cell>
          <cell r="B1529">
            <v>1259</v>
          </cell>
          <cell r="C1529" t="str">
            <v>Institut Kanser Negara</v>
          </cell>
          <cell r="D1529" t="str">
            <v>KKM/IKN/H/13/436</v>
          </cell>
          <cell r="E1529" t="str">
            <v>18-147</v>
          </cell>
          <cell r="F1529" t="str">
            <v>Mattress Systems, Alternating-Pressure</v>
          </cell>
          <cell r="G1529" t="str">
            <v>WB</v>
          </cell>
          <cell r="H1529" t="str">
            <v>SURGICAL ONCO MALE WARD</v>
          </cell>
          <cell r="I1529" t="str">
            <v>05WB113</v>
          </cell>
          <cell r="J1529" t="str">
            <v>EQUIP. ROOM</v>
          </cell>
          <cell r="K1529" t="str">
            <v>BMED</v>
          </cell>
          <cell r="L1529" t="str">
            <v>Normal</v>
          </cell>
          <cell r="M1529" t="str">
            <v>Poland</v>
          </cell>
          <cell r="N1529" t="str">
            <v>Nimbus</v>
          </cell>
          <cell r="O1529" t="str">
            <v>Nimbus 3</v>
          </cell>
          <cell r="P1529" t="str">
            <v>1200005121</v>
          </cell>
          <cell r="Q1529" t="str">
            <v>Arjohuntleigh</v>
          </cell>
          <cell r="R1529" t="str">
            <v>HEXAMINE SDN BHD</v>
          </cell>
          <cell r="S1529" t="str">
            <v>Functioning</v>
          </cell>
          <cell r="T1529" t="str">
            <v>Functioning</v>
          </cell>
          <cell r="U1529" t="str">
            <v>KEW</v>
          </cell>
          <cell r="V1529">
            <v>28630</v>
          </cell>
          <cell r="W1529" t="str">
            <v>01/09/2010</v>
          </cell>
          <cell r="X1529" t="str">
            <v>KEW</v>
          </cell>
          <cell r="Y1529">
            <v>41502</v>
          </cell>
          <cell r="Z1529" t="str">
            <v>15/08/2015</v>
          </cell>
          <cell r="AA1529" t="str">
            <v>No</v>
          </cell>
          <cell r="AB1529" t="str">
            <v>31/08/2013</v>
          </cell>
          <cell r="AC1529" t="str">
            <v>Good</v>
          </cell>
          <cell r="AD1529" t="str">
            <v>V1 - Existing / No Claim</v>
          </cell>
          <cell r="AE1529">
            <v>42788</v>
          </cell>
          <cell r="AF1529" t="str">
            <v>NA</v>
          </cell>
          <cell r="AG1529">
            <v>9.17</v>
          </cell>
          <cell r="AH1529" t="str">
            <v>PPM</v>
          </cell>
          <cell r="AI1529" t="str">
            <v>Strands</v>
          </cell>
          <cell r="AJ1529" t="str">
            <v>Strands PW</v>
          </cell>
        </row>
        <row r="1530">
          <cell r="A1530" t="str">
            <v>IKN401265</v>
          </cell>
          <cell r="B1530">
            <v>1261</v>
          </cell>
          <cell r="C1530" t="str">
            <v>Institut Kanser Negara</v>
          </cell>
          <cell r="D1530" t="str">
            <v>KKM/IKN/H/15/19</v>
          </cell>
          <cell r="E1530" t="str">
            <v>16-231</v>
          </cell>
          <cell r="F1530" t="str">
            <v>Electrocardiographs, Multichannel, Interpretative</v>
          </cell>
          <cell r="G1530" t="str">
            <v>RT</v>
          </cell>
          <cell r="H1530" t="str">
            <v>RADIATION TREATMENT UNIT</v>
          </cell>
          <cell r="I1530" t="str">
            <v>01RT202</v>
          </cell>
          <cell r="J1530" t="str">
            <v>CLEAN UTILITY</v>
          </cell>
          <cell r="K1530" t="str">
            <v>BMED</v>
          </cell>
          <cell r="L1530" t="str">
            <v>Critical</v>
          </cell>
          <cell r="M1530" t="str">
            <v>Japan</v>
          </cell>
          <cell r="N1530" t="str">
            <v>Cardimax</v>
          </cell>
          <cell r="O1530" t="str">
            <v>Cardimax FX-7202</v>
          </cell>
          <cell r="P1530" t="str">
            <v>22028866</v>
          </cell>
          <cell r="Q1530" t="str">
            <v>N/A</v>
          </cell>
          <cell r="R1530" t="str">
            <v>Fukuda Denshi Co Ltd</v>
          </cell>
          <cell r="S1530" t="str">
            <v>SURIA MEDIK SDN BHD</v>
          </cell>
          <cell r="T1530" t="str">
            <v>Functioning</v>
          </cell>
          <cell r="U1530" t="str">
            <v>Asset</v>
          </cell>
          <cell r="V1530">
            <v>6000</v>
          </cell>
          <cell r="W1530" t="str">
            <v>KEW</v>
          </cell>
          <cell r="X1530" t="str">
            <v>04/06/2015</v>
          </cell>
          <cell r="Y1530" t="str">
            <v>KEW</v>
          </cell>
          <cell r="Z1530" t="str">
            <v>21/09/2015</v>
          </cell>
          <cell r="AA1530" t="str">
            <v>20/09/2016</v>
          </cell>
          <cell r="AB1530" t="str">
            <v>No</v>
          </cell>
          <cell r="AC1530" t="str">
            <v>21/09/2015</v>
          </cell>
          <cell r="AD1530" t="str">
            <v>Good</v>
          </cell>
          <cell r="AE1530" t="str">
            <v>V3 - Added Installed Facilities (New)</v>
          </cell>
          <cell r="AF1530">
            <v>42677</v>
          </cell>
          <cell r="AG1530">
            <v>4.42</v>
          </cell>
          <cell r="AH1530" t="str">
            <v>PPM</v>
          </cell>
          <cell r="AI1530" t="str">
            <v>Strands</v>
          </cell>
          <cell r="AJ1530" t="str">
            <v>Strands PW</v>
          </cell>
          <cell r="AK1530" t="str">
            <v>SNF received. 1st batch of V3 asset (December 2020)</v>
          </cell>
        </row>
        <row r="1531">
          <cell r="A1531" t="str">
            <v>IKN401266</v>
          </cell>
          <cell r="B1531">
            <v>1262</v>
          </cell>
          <cell r="C1531" t="str">
            <v>Institut Kanser Negara</v>
          </cell>
          <cell r="D1531" t="str">
            <v>KKM/IKN/R/15/98</v>
          </cell>
          <cell r="E1531" t="str">
            <v>15-663</v>
          </cell>
          <cell r="F1531" t="str">
            <v>Pipetters</v>
          </cell>
          <cell r="G1531" t="str">
            <v>LA</v>
          </cell>
          <cell r="H1531" t="str">
            <v>PATHOLOGY</v>
          </cell>
          <cell r="I1531" t="str">
            <v>04LA140</v>
          </cell>
          <cell r="J1531" t="str">
            <v>BLOOD BANK</v>
          </cell>
          <cell r="K1531" t="str">
            <v>BMED</v>
          </cell>
          <cell r="L1531" t="str">
            <v>Normal</v>
          </cell>
          <cell r="M1531" t="str">
            <v>Germany</v>
          </cell>
          <cell r="N1531" t="str">
            <v>Eppendorf</v>
          </cell>
          <cell r="O1531" t="str">
            <v>Eppendorf Research Pro</v>
          </cell>
          <cell r="P1531" t="str">
            <v>K29921E</v>
          </cell>
          <cell r="Q1531" t="str">
            <v>Not Applicable</v>
          </cell>
          <cell r="R1531" t="str">
            <v>Eppendorf AG</v>
          </cell>
          <cell r="S1531" t="str">
            <v>MEDIGENE SDN BHD</v>
          </cell>
          <cell r="T1531" t="str">
            <v>Functioning</v>
          </cell>
          <cell r="U1531" t="str">
            <v>Asset</v>
          </cell>
          <cell r="V1531">
            <v>825</v>
          </cell>
          <cell r="W1531" t="str">
            <v>KEW</v>
          </cell>
          <cell r="X1531" t="str">
            <v>06/10/2015</v>
          </cell>
          <cell r="Y1531" t="str">
            <v>KEW</v>
          </cell>
          <cell r="Z1531" t="str">
            <v>16/10/2015</v>
          </cell>
          <cell r="AA1531" t="str">
            <v>16/10/2018</v>
          </cell>
          <cell r="AB1531" t="str">
            <v>No</v>
          </cell>
          <cell r="AC1531" t="str">
            <v>16/10/2015</v>
          </cell>
          <cell r="AD1531" t="str">
            <v>Good</v>
          </cell>
          <cell r="AE1531" t="str">
            <v>V3 - Added Installed Facilities (New)</v>
          </cell>
          <cell r="AF1531">
            <v>42327</v>
          </cell>
          <cell r="AG1531">
            <v>4.08</v>
          </cell>
          <cell r="AH1531" t="str">
            <v>PPM</v>
          </cell>
          <cell r="AI1531" t="str">
            <v>Strands</v>
          </cell>
          <cell r="AJ1531" t="str">
            <v>Strands PW</v>
          </cell>
          <cell r="AK1531" t="str">
            <v>SNF received. 1st batch of V3 asset (December 2020)</v>
          </cell>
        </row>
        <row r="1532">
          <cell r="A1532" t="str">
            <v>IKN401273</v>
          </cell>
          <cell r="B1532">
            <v>1269</v>
          </cell>
          <cell r="C1532" t="str">
            <v>Institut Kanser Negara</v>
          </cell>
          <cell r="D1532" t="str">
            <v>KKM/IKN/H/13/4952 - 04</v>
          </cell>
          <cell r="E1532" t="str">
            <v>15-605</v>
          </cell>
          <cell r="F1532" t="str">
            <v>Testers</v>
          </cell>
          <cell r="G1532" t="str">
            <v>RT</v>
          </cell>
          <cell r="H1532" t="str">
            <v>RADIATION TREATMENT UNIT</v>
          </cell>
          <cell r="I1532" t="str">
            <v>01RT213</v>
          </cell>
          <cell r="J1532" t="str">
            <v>EQUIPMENT ROOM1</v>
          </cell>
          <cell r="K1532" t="str">
            <v>BMED</v>
          </cell>
          <cell r="L1532" t="str">
            <v>Normal</v>
          </cell>
          <cell r="M1532" t="str">
            <v>Germany</v>
          </cell>
          <cell r="N1532" t="str">
            <v>Various</v>
          </cell>
          <cell r="O1532" t="str">
            <v>IBA Dosimetry GMBH</v>
          </cell>
          <cell r="P1532" t="str">
            <v>11708</v>
          </cell>
          <cell r="Q1532" t="str">
            <v>Not Available</v>
          </cell>
          <cell r="R1532" t="str">
            <v>IBA</v>
          </cell>
          <cell r="S1532" t="str">
            <v>Delta Advantech (M) Sdn. Bhd</v>
          </cell>
          <cell r="T1532" t="str">
            <v>Functioning</v>
          </cell>
          <cell r="U1532" t="str">
            <v>Asset</v>
          </cell>
          <cell r="V1532">
            <v>40000</v>
          </cell>
          <cell r="W1532" t="str">
            <v>KEW</v>
          </cell>
          <cell r="X1532" t="str">
            <v>01/09/2010</v>
          </cell>
          <cell r="Y1532" t="str">
            <v>KEW</v>
          </cell>
          <cell r="Z1532" t="str">
            <v>16/08/2013</v>
          </cell>
          <cell r="AA1532" t="str">
            <v>15/08/2015</v>
          </cell>
          <cell r="AB1532" t="str">
            <v>No</v>
          </cell>
          <cell r="AC1532" t="str">
            <v>16/08/2013</v>
          </cell>
          <cell r="AD1532" t="str">
            <v>Good</v>
          </cell>
          <cell r="AE1532" t="str">
            <v>V3 - Added Installed Facilities (New)</v>
          </cell>
          <cell r="AF1532">
            <v>42668</v>
          </cell>
          <cell r="AG1532">
            <v>9.17</v>
          </cell>
          <cell r="AH1532" t="str">
            <v>PPM</v>
          </cell>
          <cell r="AI1532" t="str">
            <v>Strands</v>
          </cell>
          <cell r="AJ1532" t="str">
            <v>Strands PW</v>
          </cell>
          <cell r="AK1532" t="str">
            <v>SNF received. 1st batch of V3 asset (December 2020)</v>
          </cell>
        </row>
        <row r="1533">
          <cell r="A1533" t="str">
            <v>IKN401274</v>
          </cell>
          <cell r="B1533">
            <v>1270</v>
          </cell>
          <cell r="C1533" t="str">
            <v>Institut Kanser Negara</v>
          </cell>
          <cell r="D1533" t="str">
            <v>KKM/IKN/H/13/4952</v>
          </cell>
          <cell r="E1533" t="str">
            <v>15-605</v>
          </cell>
          <cell r="F1533" t="str">
            <v>Testers</v>
          </cell>
          <cell r="G1533" t="str">
            <v>RT</v>
          </cell>
          <cell r="H1533" t="str">
            <v>RADIATION TREATMENT UNIT</v>
          </cell>
          <cell r="I1533" t="str">
            <v>01RT213</v>
          </cell>
          <cell r="J1533" t="str">
            <v>EQUIPMENT ROOM1</v>
          </cell>
          <cell r="K1533" t="str">
            <v>BMED</v>
          </cell>
          <cell r="L1533" t="str">
            <v>Normal</v>
          </cell>
          <cell r="M1533" t="str">
            <v>Germany</v>
          </cell>
          <cell r="N1533" t="str">
            <v>IBA</v>
          </cell>
          <cell r="O1533" t="str">
            <v>MagicMAX</v>
          </cell>
          <cell r="P1533" t="str">
            <v>11755</v>
          </cell>
          <cell r="Q1533" t="str">
            <v>Not Available</v>
          </cell>
          <cell r="R1533" t="str">
            <v>IBA</v>
          </cell>
          <cell r="S1533" t="str">
            <v>Delta Advantech (M) Sdn. Bhd</v>
          </cell>
          <cell r="T1533" t="str">
            <v>Functioning</v>
          </cell>
          <cell r="U1533" t="str">
            <v>Asset</v>
          </cell>
          <cell r="V1533">
            <v>40000</v>
          </cell>
          <cell r="W1533" t="str">
            <v>KEW</v>
          </cell>
          <cell r="X1533" t="str">
            <v>01/09/2010</v>
          </cell>
          <cell r="Y1533" t="str">
            <v>KEW</v>
          </cell>
          <cell r="Z1533" t="str">
            <v>16/08/2013</v>
          </cell>
          <cell r="AA1533" t="str">
            <v>15/08/2015</v>
          </cell>
          <cell r="AB1533" t="str">
            <v>No</v>
          </cell>
          <cell r="AC1533" t="str">
            <v>16/08/2013</v>
          </cell>
          <cell r="AD1533" t="str">
            <v>Good</v>
          </cell>
          <cell r="AE1533" t="str">
            <v>V3 - Added Installed Facilities (New)</v>
          </cell>
          <cell r="AF1533">
            <v>42668</v>
          </cell>
          <cell r="AG1533">
            <v>9.17</v>
          </cell>
          <cell r="AH1533" t="str">
            <v>PPM</v>
          </cell>
          <cell r="AI1533" t="str">
            <v>Strands</v>
          </cell>
          <cell r="AJ1533" t="str">
            <v>Strands PW</v>
          </cell>
          <cell r="AK1533" t="str">
            <v>SNF received. 1st batch of V3 asset (December 2020)</v>
          </cell>
        </row>
        <row r="1534">
          <cell r="A1534" t="str">
            <v>IKN401275</v>
          </cell>
          <cell r="B1534">
            <v>1271</v>
          </cell>
          <cell r="C1534" t="str">
            <v>Institut Kanser Negara</v>
          </cell>
          <cell r="D1534" t="str">
            <v>KKM/IKN/H/13/4952 - 9</v>
          </cell>
          <cell r="E1534" t="str">
            <v>15-605</v>
          </cell>
          <cell r="F1534" t="str">
            <v>Testers</v>
          </cell>
          <cell r="G1534" t="str">
            <v>RT</v>
          </cell>
          <cell r="H1534" t="str">
            <v>RADIATION TREATMENT UNIT</v>
          </cell>
          <cell r="I1534" t="str">
            <v>01RT213</v>
          </cell>
          <cell r="J1534" t="str">
            <v>EQUIPMENT ROOM1</v>
          </cell>
          <cell r="K1534" t="str">
            <v>BMED</v>
          </cell>
          <cell r="L1534" t="str">
            <v>Normal</v>
          </cell>
          <cell r="M1534" t="str">
            <v>Germany</v>
          </cell>
          <cell r="N1534" t="str">
            <v>Various</v>
          </cell>
          <cell r="O1534" t="str">
            <v>IBA Dosimetry GMBH</v>
          </cell>
          <cell r="P1534" t="str">
            <v>11758</v>
          </cell>
          <cell r="Q1534" t="str">
            <v>Not Available</v>
          </cell>
          <cell r="R1534" t="str">
            <v>IBA</v>
          </cell>
          <cell r="S1534" t="str">
            <v>Delta Advantech (M) Sdn. Bhd</v>
          </cell>
          <cell r="T1534" t="str">
            <v>Functioning</v>
          </cell>
          <cell r="U1534" t="str">
            <v>Asset</v>
          </cell>
          <cell r="V1534">
            <v>40000</v>
          </cell>
          <cell r="W1534" t="str">
            <v>KEW</v>
          </cell>
          <cell r="X1534" t="str">
            <v>01/09/2010</v>
          </cell>
          <cell r="Y1534" t="str">
            <v>KEW</v>
          </cell>
          <cell r="Z1534" t="str">
            <v>16/08/2013</v>
          </cell>
          <cell r="AA1534" t="str">
            <v>15/08/2015</v>
          </cell>
          <cell r="AB1534" t="str">
            <v>No</v>
          </cell>
          <cell r="AC1534" t="str">
            <v>16/08/2013</v>
          </cell>
          <cell r="AD1534" t="str">
            <v>Good</v>
          </cell>
          <cell r="AE1534" t="str">
            <v>V3 - Added Installed Facilities (New)</v>
          </cell>
          <cell r="AF1534">
            <v>42668</v>
          </cell>
          <cell r="AG1534">
            <v>9.17</v>
          </cell>
          <cell r="AH1534" t="str">
            <v>PPM</v>
          </cell>
          <cell r="AI1534" t="str">
            <v>Strands</v>
          </cell>
          <cell r="AJ1534" t="str">
            <v>Strands PW</v>
          </cell>
          <cell r="AK1534" t="str">
            <v>SNF received. 1st batch of V3 asset (December 2020)</v>
          </cell>
        </row>
        <row r="1535">
          <cell r="A1535" t="str">
            <v>IKN401276</v>
          </cell>
          <cell r="B1535">
            <v>1272</v>
          </cell>
          <cell r="C1535" t="str">
            <v>Institut Kanser Negara</v>
          </cell>
          <cell r="D1535" t="str">
            <v>KKM/IKN/H/13/4952 - 07</v>
          </cell>
          <cell r="E1535" t="str">
            <v>15-605</v>
          </cell>
          <cell r="F1535" t="str">
            <v>Testers</v>
          </cell>
          <cell r="G1535" t="str">
            <v>RT</v>
          </cell>
          <cell r="H1535" t="str">
            <v>RADIATION TREATMENT UNIT</v>
          </cell>
          <cell r="I1535" t="str">
            <v>01RT213</v>
          </cell>
          <cell r="J1535" t="str">
            <v>EQUIPMENT ROOM1</v>
          </cell>
          <cell r="K1535" t="str">
            <v>BMED</v>
          </cell>
          <cell r="L1535" t="str">
            <v>Normal</v>
          </cell>
          <cell r="M1535" t="str">
            <v>Germany</v>
          </cell>
          <cell r="N1535" t="str">
            <v>Various</v>
          </cell>
          <cell r="O1535" t="str">
            <v>IBA Dosimetry GMBH</v>
          </cell>
          <cell r="P1535" t="str">
            <v>2626</v>
          </cell>
          <cell r="Q1535" t="str">
            <v>Not Available</v>
          </cell>
          <cell r="R1535" t="str">
            <v>IBA</v>
          </cell>
          <cell r="S1535" t="str">
            <v>Delta Advantech (M) Sdn. Bhd</v>
          </cell>
          <cell r="T1535" t="str">
            <v>Functioning</v>
          </cell>
          <cell r="U1535" t="str">
            <v>Asset</v>
          </cell>
          <cell r="V1535">
            <v>40000</v>
          </cell>
          <cell r="W1535" t="str">
            <v>KEW</v>
          </cell>
          <cell r="X1535" t="str">
            <v>01/09/2010</v>
          </cell>
          <cell r="Y1535" t="str">
            <v>KEW</v>
          </cell>
          <cell r="Z1535" t="str">
            <v>16/08/2013</v>
          </cell>
          <cell r="AA1535" t="str">
            <v>15/08/2015</v>
          </cell>
          <cell r="AB1535" t="str">
            <v>No</v>
          </cell>
          <cell r="AC1535" t="str">
            <v>16/08/2013</v>
          </cell>
          <cell r="AD1535" t="str">
            <v>Good</v>
          </cell>
          <cell r="AE1535" t="str">
            <v>V3 - Added Installed Facilities (New)</v>
          </cell>
          <cell r="AF1535">
            <v>42668</v>
          </cell>
          <cell r="AG1535">
            <v>9.17</v>
          </cell>
          <cell r="AH1535" t="str">
            <v>PPM</v>
          </cell>
          <cell r="AI1535" t="str">
            <v>Strands</v>
          </cell>
          <cell r="AJ1535" t="str">
            <v>Strands PW</v>
          </cell>
          <cell r="AK1535" t="str">
            <v>SNF received. 1st batch of V3 asset (December 2020)</v>
          </cell>
        </row>
        <row r="1536">
          <cell r="A1536" t="str">
            <v>IKN401277</v>
          </cell>
          <cell r="B1536">
            <v>1273</v>
          </cell>
          <cell r="C1536" t="str">
            <v>Institut Kanser Negara</v>
          </cell>
          <cell r="D1536" t="str">
            <v>KKM/IKN/H/13/4952 - 11</v>
          </cell>
          <cell r="E1536" t="str">
            <v>15-605</v>
          </cell>
          <cell r="F1536" t="str">
            <v>Testers</v>
          </cell>
          <cell r="G1536" t="str">
            <v>RT</v>
          </cell>
          <cell r="H1536" t="str">
            <v>RADIATION TREATMENT UNIT</v>
          </cell>
          <cell r="I1536" t="str">
            <v>01RT213</v>
          </cell>
          <cell r="J1536" t="str">
            <v>EQUIPMENT ROOM1</v>
          </cell>
          <cell r="K1536" t="str">
            <v>BMED</v>
          </cell>
          <cell r="L1536" t="str">
            <v>Normal</v>
          </cell>
          <cell r="M1536" t="str">
            <v>Germany</v>
          </cell>
          <cell r="N1536" t="str">
            <v>Various</v>
          </cell>
          <cell r="O1536" t="str">
            <v>IBA Dosimetry GMBH</v>
          </cell>
          <cell r="P1536" t="str">
            <v>11713</v>
          </cell>
          <cell r="Q1536" t="str">
            <v>Not Available</v>
          </cell>
          <cell r="R1536" t="str">
            <v>IBA</v>
          </cell>
          <cell r="S1536" t="str">
            <v>Delta Advantech (M) Sdn. Bhd</v>
          </cell>
          <cell r="T1536" t="str">
            <v>Functioning</v>
          </cell>
          <cell r="U1536" t="str">
            <v>Asset</v>
          </cell>
          <cell r="V1536">
            <v>40000</v>
          </cell>
          <cell r="W1536" t="str">
            <v>KEW</v>
          </cell>
          <cell r="X1536" t="str">
            <v>01/09/2010</v>
          </cell>
          <cell r="Y1536" t="str">
            <v>KEW</v>
          </cell>
          <cell r="Z1536" t="str">
            <v>16/08/2013</v>
          </cell>
          <cell r="AA1536" t="str">
            <v>15/08/2015</v>
          </cell>
          <cell r="AB1536" t="str">
            <v>No</v>
          </cell>
          <cell r="AC1536" t="str">
            <v>16/08/2013</v>
          </cell>
          <cell r="AD1536" t="str">
            <v>Good</v>
          </cell>
          <cell r="AE1536" t="str">
            <v>V3 - Added Installed Facilities (New)</v>
          </cell>
          <cell r="AF1536">
            <v>42668</v>
          </cell>
          <cell r="AG1536">
            <v>9.17</v>
          </cell>
          <cell r="AH1536" t="str">
            <v>PPM</v>
          </cell>
          <cell r="AI1536" t="str">
            <v>Strands</v>
          </cell>
          <cell r="AJ1536" t="str">
            <v>Strands PW</v>
          </cell>
          <cell r="AK1536" t="str">
            <v>SNF received. 1st batch of V3 asset (December 2020)</v>
          </cell>
        </row>
        <row r="1537">
          <cell r="A1537" t="str">
            <v>IKN401278</v>
          </cell>
          <cell r="B1537">
            <v>1274</v>
          </cell>
          <cell r="C1537" t="str">
            <v>Institut Kanser Negara</v>
          </cell>
          <cell r="D1537" t="str">
            <v>KKM/IKN/H/13/4952 - 05</v>
          </cell>
          <cell r="E1537" t="str">
            <v>15-605</v>
          </cell>
          <cell r="F1537" t="str">
            <v>Testers</v>
          </cell>
          <cell r="G1537" t="str">
            <v>RT</v>
          </cell>
          <cell r="H1537" t="str">
            <v>RADIATION TREATMENT UNIT</v>
          </cell>
          <cell r="I1537" t="str">
            <v>01RT213</v>
          </cell>
          <cell r="J1537" t="str">
            <v>EQUIPMENT ROOM1</v>
          </cell>
          <cell r="K1537" t="str">
            <v>BMED</v>
          </cell>
          <cell r="L1537" t="str">
            <v>Normal</v>
          </cell>
          <cell r="M1537" t="str">
            <v>Germany</v>
          </cell>
          <cell r="N1537" t="str">
            <v>Various</v>
          </cell>
          <cell r="O1537" t="str">
            <v>IBA Dosimetry GMBH</v>
          </cell>
          <cell r="P1537" t="str">
            <v>11712</v>
          </cell>
          <cell r="Q1537" t="str">
            <v>Not Available</v>
          </cell>
          <cell r="R1537" t="str">
            <v>IBA</v>
          </cell>
          <cell r="S1537" t="str">
            <v>Delta Advantech (M) Sdn. Bhd</v>
          </cell>
          <cell r="T1537" t="str">
            <v>Functioning</v>
          </cell>
          <cell r="U1537" t="str">
            <v>Asset</v>
          </cell>
          <cell r="V1537">
            <v>40000</v>
          </cell>
          <cell r="W1537" t="str">
            <v>KEW</v>
          </cell>
          <cell r="X1537" t="str">
            <v>01/09/2010</v>
          </cell>
          <cell r="Y1537" t="str">
            <v>KEW</v>
          </cell>
          <cell r="Z1537" t="str">
            <v>16/08/2013</v>
          </cell>
          <cell r="AA1537" t="str">
            <v>15/08/2015</v>
          </cell>
          <cell r="AB1537" t="str">
            <v>No</v>
          </cell>
          <cell r="AC1537" t="str">
            <v>16/08/2013</v>
          </cell>
          <cell r="AD1537" t="str">
            <v>Good</v>
          </cell>
          <cell r="AE1537" t="str">
            <v>V3 - Added Installed Facilities (New)</v>
          </cell>
          <cell r="AF1537">
            <v>42668</v>
          </cell>
          <cell r="AG1537">
            <v>9.17</v>
          </cell>
          <cell r="AH1537" t="str">
            <v>PPM</v>
          </cell>
          <cell r="AI1537" t="str">
            <v>Strands</v>
          </cell>
          <cell r="AJ1537" t="str">
            <v>Strands PW</v>
          </cell>
          <cell r="AK1537" t="str">
            <v>SNF received. 1st batch of V3 asset (December 2020)</v>
          </cell>
        </row>
        <row r="1538">
          <cell r="A1538" t="str">
            <v>IKN401279</v>
          </cell>
          <cell r="B1538">
            <v>1275</v>
          </cell>
          <cell r="C1538" t="str">
            <v>Institut Kanser Negara</v>
          </cell>
          <cell r="D1538" t="str">
            <v>KKM/IKN/H/13/4952</v>
          </cell>
          <cell r="E1538" t="str">
            <v>15-605</v>
          </cell>
          <cell r="F1538" t="str">
            <v>Testers</v>
          </cell>
          <cell r="G1538" t="str">
            <v>RT</v>
          </cell>
          <cell r="H1538" t="str">
            <v>RADIATION TREATMENT UNIT</v>
          </cell>
          <cell r="I1538" t="str">
            <v>01RT213</v>
          </cell>
          <cell r="J1538" t="str">
            <v>EQUIPMENT ROOM1</v>
          </cell>
          <cell r="K1538" t="str">
            <v>BMED</v>
          </cell>
          <cell r="L1538" t="str">
            <v>Normal</v>
          </cell>
          <cell r="M1538" t="str">
            <v>Germany</v>
          </cell>
          <cell r="N1538" t="str">
            <v>Various</v>
          </cell>
          <cell r="O1538" t="str">
            <v>IBA Dosimetry GMBH</v>
          </cell>
          <cell r="P1538" t="str">
            <v>1226</v>
          </cell>
          <cell r="Q1538" t="str">
            <v>Not Available</v>
          </cell>
          <cell r="R1538" t="str">
            <v>IBA</v>
          </cell>
          <cell r="S1538" t="str">
            <v>Delta Advantech (M) Sdn. Bhd</v>
          </cell>
          <cell r="T1538" t="str">
            <v>Functioning</v>
          </cell>
          <cell r="U1538" t="str">
            <v>Asset</v>
          </cell>
          <cell r="V1538">
            <v>40000</v>
          </cell>
          <cell r="W1538" t="str">
            <v>KEW</v>
          </cell>
          <cell r="X1538" t="str">
            <v>01/09/2010</v>
          </cell>
          <cell r="Y1538" t="str">
            <v>KEW</v>
          </cell>
          <cell r="Z1538" t="str">
            <v>16/08/2013</v>
          </cell>
          <cell r="AA1538" t="str">
            <v>15/08/2015</v>
          </cell>
          <cell r="AB1538" t="str">
            <v>No</v>
          </cell>
          <cell r="AC1538" t="str">
            <v>16/08/2013</v>
          </cell>
          <cell r="AD1538" t="str">
            <v>Good</v>
          </cell>
          <cell r="AE1538" t="str">
            <v>V3 - Added Installed Facilities (New)</v>
          </cell>
          <cell r="AF1538">
            <v>42668</v>
          </cell>
          <cell r="AG1538">
            <v>9.17</v>
          </cell>
          <cell r="AH1538" t="str">
            <v>PPM</v>
          </cell>
          <cell r="AI1538" t="str">
            <v>Strands</v>
          </cell>
          <cell r="AJ1538" t="str">
            <v>Strands PW</v>
          </cell>
          <cell r="AK1538" t="str">
            <v>SNF received. 1st batch of V3 asset (December 2020)</v>
          </cell>
        </row>
        <row r="1539">
          <cell r="A1539" t="str">
            <v>IKN401280</v>
          </cell>
          <cell r="B1539">
            <v>1276</v>
          </cell>
          <cell r="C1539" t="str">
            <v>Institut Kanser Negara</v>
          </cell>
          <cell r="D1539" t="str">
            <v>KKM/IKN/H/13/4952</v>
          </cell>
          <cell r="E1539" t="str">
            <v>15-605</v>
          </cell>
          <cell r="F1539" t="str">
            <v>Testers</v>
          </cell>
          <cell r="G1539" t="str">
            <v>RT</v>
          </cell>
          <cell r="H1539" t="str">
            <v>RADIATION TREATMENT UNIT</v>
          </cell>
          <cell r="I1539" t="str">
            <v>01RT213</v>
          </cell>
          <cell r="J1539" t="str">
            <v>EQUIPMENT ROOM1</v>
          </cell>
          <cell r="K1539" t="str">
            <v>BMED</v>
          </cell>
          <cell r="L1539" t="str">
            <v>Normal</v>
          </cell>
          <cell r="M1539" t="str">
            <v>Germany</v>
          </cell>
          <cell r="N1539" t="str">
            <v>Various</v>
          </cell>
          <cell r="O1539" t="str">
            <v>IBA Dosimetry GMBH</v>
          </cell>
          <cell r="P1539" t="str">
            <v>2627</v>
          </cell>
          <cell r="Q1539" t="str">
            <v>Not Available</v>
          </cell>
          <cell r="R1539" t="str">
            <v>IBA</v>
          </cell>
          <cell r="S1539" t="str">
            <v>Delta Advantech (M) Sdn. Bhd</v>
          </cell>
          <cell r="T1539" t="str">
            <v>Functioning</v>
          </cell>
          <cell r="U1539" t="str">
            <v>Asset</v>
          </cell>
          <cell r="V1539">
            <v>40000</v>
          </cell>
          <cell r="W1539" t="str">
            <v>KEW</v>
          </cell>
          <cell r="X1539" t="str">
            <v>01/09/2010</v>
          </cell>
          <cell r="Y1539" t="str">
            <v>KEW</v>
          </cell>
          <cell r="Z1539" t="str">
            <v>16/08/2013</v>
          </cell>
          <cell r="AA1539" t="str">
            <v>15/08/2015</v>
          </cell>
          <cell r="AB1539" t="str">
            <v>No</v>
          </cell>
          <cell r="AC1539" t="str">
            <v>16/08/2013</v>
          </cell>
          <cell r="AD1539" t="str">
            <v>Good</v>
          </cell>
          <cell r="AE1539" t="str">
            <v>V3 - Added Installed Facilities (New)</v>
          </cell>
          <cell r="AF1539">
            <v>42668</v>
          </cell>
          <cell r="AG1539">
            <v>9.17</v>
          </cell>
          <cell r="AH1539" t="str">
            <v>PPM</v>
          </cell>
          <cell r="AI1539" t="str">
            <v>Strands</v>
          </cell>
          <cell r="AJ1539" t="str">
            <v>Strands PW</v>
          </cell>
          <cell r="AK1539" t="str">
            <v>SNF received. 1st batch of V3 asset (December 2020)</v>
          </cell>
        </row>
        <row r="1540">
          <cell r="A1540" t="str">
            <v>IKN401281</v>
          </cell>
          <cell r="B1540">
            <v>1277</v>
          </cell>
          <cell r="C1540" t="str">
            <v>Institut Kanser Negara</v>
          </cell>
          <cell r="D1540" t="str">
            <v>KKM/IKN/H/13/4952 - 02</v>
          </cell>
          <cell r="E1540" t="str">
            <v>15-605</v>
          </cell>
          <cell r="F1540" t="str">
            <v>Testers</v>
          </cell>
          <cell r="G1540" t="str">
            <v>RT</v>
          </cell>
          <cell r="H1540" t="str">
            <v>RADIATION TREATMENT UNIT</v>
          </cell>
          <cell r="I1540" t="str">
            <v>01RT213</v>
          </cell>
          <cell r="J1540" t="str">
            <v>EQUIPMENT ROOM1</v>
          </cell>
          <cell r="K1540" t="str">
            <v>BMED</v>
          </cell>
          <cell r="L1540" t="str">
            <v>Normal</v>
          </cell>
          <cell r="M1540" t="str">
            <v>Germany</v>
          </cell>
          <cell r="N1540" t="str">
            <v>Various</v>
          </cell>
          <cell r="O1540" t="str">
            <v>IBA Dosimetry GMBH</v>
          </cell>
          <cell r="P1540" t="str">
            <v>2625</v>
          </cell>
          <cell r="Q1540" t="str">
            <v>Not Available</v>
          </cell>
          <cell r="R1540" t="str">
            <v>IBA</v>
          </cell>
          <cell r="S1540" t="str">
            <v>Delta Advantech (M) Sdn. Bhd</v>
          </cell>
          <cell r="T1540" t="str">
            <v>Functioning</v>
          </cell>
          <cell r="U1540" t="str">
            <v>Asset</v>
          </cell>
          <cell r="V1540">
            <v>40000</v>
          </cell>
          <cell r="W1540" t="str">
            <v>KEW</v>
          </cell>
          <cell r="X1540" t="str">
            <v>01/09/2010</v>
          </cell>
          <cell r="Y1540" t="str">
            <v>KEW</v>
          </cell>
          <cell r="Z1540" t="str">
            <v>16/08/2013</v>
          </cell>
          <cell r="AA1540" t="str">
            <v>15/08/2015</v>
          </cell>
          <cell r="AB1540" t="str">
            <v>No</v>
          </cell>
          <cell r="AC1540" t="str">
            <v>16/08/2013</v>
          </cell>
          <cell r="AD1540" t="str">
            <v>Good</v>
          </cell>
          <cell r="AE1540" t="str">
            <v>V3 - Added Installed Facilities (New)</v>
          </cell>
          <cell r="AF1540">
            <v>42668</v>
          </cell>
          <cell r="AG1540">
            <v>9.17</v>
          </cell>
          <cell r="AH1540" t="str">
            <v>PPM</v>
          </cell>
          <cell r="AI1540" t="str">
            <v>Strands</v>
          </cell>
          <cell r="AJ1540" t="str">
            <v>Strands PW</v>
          </cell>
          <cell r="AK1540" t="str">
            <v>SNF received. 1st batch of V3 asset (December 2020)</v>
          </cell>
        </row>
        <row r="1541">
          <cell r="A1541" t="str">
            <v>IKN401282</v>
          </cell>
          <cell r="B1541">
            <v>1278</v>
          </cell>
          <cell r="C1541" t="str">
            <v>Institut Kanser Negara</v>
          </cell>
          <cell r="D1541" t="str">
            <v>KKM/IKN/H/13/4952</v>
          </cell>
          <cell r="E1541" t="str">
            <v>15-605</v>
          </cell>
          <cell r="F1541" t="str">
            <v>Testers</v>
          </cell>
          <cell r="G1541" t="str">
            <v>RT</v>
          </cell>
          <cell r="H1541" t="str">
            <v>RADIATION TREATMENT UNIT</v>
          </cell>
          <cell r="I1541" t="str">
            <v>01RT213</v>
          </cell>
          <cell r="J1541" t="str">
            <v>EQUIPMENT ROOM1</v>
          </cell>
          <cell r="K1541" t="str">
            <v>BMED</v>
          </cell>
          <cell r="L1541" t="str">
            <v>Normal</v>
          </cell>
          <cell r="M1541" t="str">
            <v>Germany</v>
          </cell>
          <cell r="N1541" t="str">
            <v>Various</v>
          </cell>
          <cell r="O1541" t="str">
            <v>IBA Dosimetry GMBH</v>
          </cell>
          <cell r="P1541" t="str">
            <v>11709</v>
          </cell>
          <cell r="Q1541" t="str">
            <v>Not Available</v>
          </cell>
          <cell r="R1541" t="str">
            <v>IBA</v>
          </cell>
          <cell r="S1541" t="str">
            <v>Delta Advantech (M) Sdn. Bhd</v>
          </cell>
          <cell r="T1541" t="str">
            <v>Functioning</v>
          </cell>
          <cell r="U1541" t="str">
            <v>Asset</v>
          </cell>
          <cell r="V1541">
            <v>40000</v>
          </cell>
          <cell r="W1541" t="str">
            <v>KEW</v>
          </cell>
          <cell r="X1541" t="str">
            <v>01/09/2010</v>
          </cell>
          <cell r="Y1541" t="str">
            <v>KEW</v>
          </cell>
          <cell r="Z1541" t="str">
            <v>16/08/2013</v>
          </cell>
          <cell r="AA1541" t="str">
            <v>15/08/2015</v>
          </cell>
          <cell r="AB1541" t="str">
            <v>No</v>
          </cell>
          <cell r="AC1541" t="str">
            <v>16/08/2013</v>
          </cell>
          <cell r="AD1541" t="str">
            <v>Good</v>
          </cell>
          <cell r="AE1541" t="str">
            <v>V3 - Added Installed Facilities (New)</v>
          </cell>
          <cell r="AF1541">
            <v>42668</v>
          </cell>
          <cell r="AG1541">
            <v>9.17</v>
          </cell>
          <cell r="AH1541" t="str">
            <v>PPM</v>
          </cell>
          <cell r="AI1541" t="str">
            <v>Strands</v>
          </cell>
          <cell r="AJ1541" t="str">
            <v>Strands PW</v>
          </cell>
          <cell r="AK1541" t="str">
            <v>SNF received. 1st batch of V3 asset (December 2020)</v>
          </cell>
        </row>
        <row r="1542">
          <cell r="A1542" t="str">
            <v>IKN401287</v>
          </cell>
          <cell r="B1542">
            <v>1283</v>
          </cell>
          <cell r="C1542" t="str">
            <v>Institut Kanser Negara</v>
          </cell>
          <cell r="D1542" t="str">
            <v>KKM/IKN/H/15/25</v>
          </cell>
          <cell r="E1542" t="str">
            <v>15-944</v>
          </cell>
          <cell r="F1542" t="str">
            <v>Cameras, Gamma</v>
          </cell>
          <cell r="G1542" t="str">
            <v>NM</v>
          </cell>
          <cell r="H1542" t="str">
            <v>NUCLEAR MED (DIAGNOSTIC)</v>
          </cell>
          <cell r="I1542" t="str">
            <v>03NM153</v>
          </cell>
          <cell r="J1542" t="str">
            <v>PHYSICS LAB</v>
          </cell>
          <cell r="K1542" t="str">
            <v>BMED</v>
          </cell>
          <cell r="L1542" t="str">
            <v>Normal</v>
          </cell>
          <cell r="M1542" t="str">
            <v>USA</v>
          </cell>
          <cell r="N1542" t="str">
            <v>C-TRAK</v>
          </cell>
          <cell r="O1542" t="str">
            <v>CW-3000</v>
          </cell>
          <cell r="P1542" t="str">
            <v>CW3-11200</v>
          </cell>
          <cell r="Q1542" t="str">
            <v>NA</v>
          </cell>
          <cell r="R1542" t="str">
            <v>CARE WISE MEDICAL</v>
          </cell>
          <cell r="S1542" t="str">
            <v>ALAM MEDIK SDN BHD</v>
          </cell>
          <cell r="T1542" t="str">
            <v>Functioning</v>
          </cell>
          <cell r="U1542" t="str">
            <v>Asset</v>
          </cell>
          <cell r="V1542">
            <v>133788</v>
          </cell>
          <cell r="W1542" t="str">
            <v>KEW</v>
          </cell>
          <cell r="X1542" t="str">
            <v>09/10/2015</v>
          </cell>
          <cell r="Y1542" t="str">
            <v>KEW</v>
          </cell>
          <cell r="Z1542" t="str">
            <v>26/11/2015</v>
          </cell>
          <cell r="AA1542" t="str">
            <v>25/11/2016</v>
          </cell>
          <cell r="AB1542" t="str">
            <v>No</v>
          </cell>
          <cell r="AC1542" t="str">
            <v>26/11/2015</v>
          </cell>
          <cell r="AD1542" t="str">
            <v>Good</v>
          </cell>
          <cell r="AE1542" t="str">
            <v>V3 - Added Installed Facilities (New)</v>
          </cell>
          <cell r="AF1542">
            <v>42528</v>
          </cell>
          <cell r="AG1542">
            <v>4.08</v>
          </cell>
          <cell r="AH1542" t="str">
            <v>PPM</v>
          </cell>
          <cell r="AI1542" t="str">
            <v>package</v>
          </cell>
          <cell r="AJ1542" t="str">
            <v>Proposed for V3 P2.23</v>
          </cell>
          <cell r="AK1542" t="str">
            <v>KKM follow P2.23 list.</v>
          </cell>
        </row>
        <row r="1543">
          <cell r="A1543" t="str">
            <v>IKN401288</v>
          </cell>
          <cell r="B1543">
            <v>1284</v>
          </cell>
          <cell r="C1543" t="str">
            <v>Institut Kanser Negara</v>
          </cell>
          <cell r="D1543" t="str">
            <v>KKM/IKN/H/13/4596</v>
          </cell>
          <cell r="E1543" t="str">
            <v>10-849</v>
          </cell>
          <cell r="F1543" t="str">
            <v>Circulatory Assist Units, Venous Return</v>
          </cell>
          <cell r="G1543" t="str">
            <v>PY</v>
          </cell>
          <cell r="H1543" t="str">
            <v>PHYSIOTHERAPY</v>
          </cell>
          <cell r="I1543" t="str">
            <v>04PY119</v>
          </cell>
          <cell r="J1543" t="str">
            <v>EQ.ROOM</v>
          </cell>
          <cell r="K1543" t="str">
            <v>BMED</v>
          </cell>
          <cell r="L1543" t="str">
            <v>Critical</v>
          </cell>
          <cell r="M1543" t="str">
            <v>USA</v>
          </cell>
          <cell r="N1543" t="str">
            <v>MediPress</v>
          </cell>
          <cell r="O1543" t="str">
            <v>MediPress 6101</v>
          </cell>
          <cell r="P1543" t="str">
            <v>P131203680</v>
          </cell>
          <cell r="Q1543" t="str">
            <v>Not Applicable</v>
          </cell>
          <cell r="R1543" t="str">
            <v>Meridian Medical</v>
          </cell>
          <cell r="S1543" t="str">
            <v>MEDIKA SUPPLIES SDN BHD</v>
          </cell>
          <cell r="T1543" t="str">
            <v>Functioning</v>
          </cell>
          <cell r="U1543" t="str">
            <v>Asset</v>
          </cell>
          <cell r="V1543">
            <v>3300</v>
          </cell>
          <cell r="W1543" t="str">
            <v>KEW</v>
          </cell>
          <cell r="X1543" t="str">
            <v>03/12/2013</v>
          </cell>
          <cell r="Y1543" t="str">
            <v>KEW</v>
          </cell>
          <cell r="Z1543" t="str">
            <v>03/12/2013</v>
          </cell>
          <cell r="AA1543" t="str">
            <v>02/12/2015</v>
          </cell>
          <cell r="AB1543" t="str">
            <v>No</v>
          </cell>
          <cell r="AC1543" t="str">
            <v>03/12/2013</v>
          </cell>
          <cell r="AD1543" t="str">
            <v>Good</v>
          </cell>
          <cell r="AE1543" t="str">
            <v>V3 - Added Installed Facilities (New)</v>
          </cell>
          <cell r="AF1543">
            <v>43068</v>
          </cell>
          <cell r="AG1543">
            <v>5.92</v>
          </cell>
          <cell r="AH1543" t="str">
            <v>PPM</v>
          </cell>
          <cell r="AI1543" t="str">
            <v>Strands</v>
          </cell>
          <cell r="AJ1543" t="str">
            <v>Strands PW</v>
          </cell>
          <cell r="AK1543" t="str">
            <v>SNF received. 1st batch of V3 asset (December 2020)</v>
          </cell>
        </row>
        <row r="1544">
          <cell r="A1544" t="str">
            <v>IKN401289</v>
          </cell>
          <cell r="B1544">
            <v>1285</v>
          </cell>
          <cell r="C1544" t="str">
            <v>Institut Kanser Negara</v>
          </cell>
          <cell r="D1544" t="str">
            <v>KKM/IKN/H/13/4595</v>
          </cell>
          <cell r="E1544" t="str">
            <v>10-849</v>
          </cell>
          <cell r="F1544" t="str">
            <v>Circulatory Assist Units, Venous Return</v>
          </cell>
          <cell r="G1544" t="str">
            <v>PY</v>
          </cell>
          <cell r="H1544" t="str">
            <v>PHYSIOTHERAPY</v>
          </cell>
          <cell r="I1544" t="str">
            <v>04PY128</v>
          </cell>
          <cell r="J1544" t="str">
            <v>MLD</v>
          </cell>
          <cell r="K1544" t="str">
            <v>BMED</v>
          </cell>
          <cell r="L1544" t="str">
            <v>Critical</v>
          </cell>
          <cell r="M1544" t="str">
            <v>USA</v>
          </cell>
          <cell r="N1544" t="str">
            <v>MediPress</v>
          </cell>
          <cell r="O1544" t="str">
            <v>MediPress 6101</v>
          </cell>
          <cell r="P1544" t="str">
            <v>P140200526</v>
          </cell>
          <cell r="Q1544" t="str">
            <v>Not Applicable</v>
          </cell>
          <cell r="R1544" t="str">
            <v>Meridian Medical</v>
          </cell>
          <cell r="S1544" t="str">
            <v>MEDIKA SUPPLIES SDN BHD</v>
          </cell>
          <cell r="T1544" t="str">
            <v>Functioning</v>
          </cell>
          <cell r="U1544" t="str">
            <v>Asset</v>
          </cell>
          <cell r="V1544">
            <v>3300</v>
          </cell>
          <cell r="W1544" t="str">
            <v>KEW</v>
          </cell>
          <cell r="X1544" t="str">
            <v>03/12/2013</v>
          </cell>
          <cell r="Y1544" t="str">
            <v>KEW</v>
          </cell>
          <cell r="Z1544" t="str">
            <v>03/12/2013</v>
          </cell>
          <cell r="AA1544" t="str">
            <v>02/12/2015</v>
          </cell>
          <cell r="AB1544" t="str">
            <v>No</v>
          </cell>
          <cell r="AC1544" t="str">
            <v>03/12/2013</v>
          </cell>
          <cell r="AD1544" t="str">
            <v>Good</v>
          </cell>
          <cell r="AE1544" t="str">
            <v>V3 - Added Installed Facilities (New)</v>
          </cell>
          <cell r="AF1544">
            <v>43068</v>
          </cell>
          <cell r="AG1544">
            <v>5.92</v>
          </cell>
          <cell r="AH1544" t="str">
            <v>PPM</v>
          </cell>
          <cell r="AI1544" t="str">
            <v>Strands</v>
          </cell>
          <cell r="AJ1544" t="str">
            <v>Strands PW</v>
          </cell>
          <cell r="AK1544" t="str">
            <v>SNF received. 1st batch of V3 asset (December 2020)</v>
          </cell>
        </row>
        <row r="1545">
          <cell r="A1545" t="str">
            <v>IKN401291</v>
          </cell>
          <cell r="B1545">
            <v>1287</v>
          </cell>
          <cell r="C1545" t="str">
            <v>Institut Kanser Negara</v>
          </cell>
          <cell r="D1545" t="str">
            <v>N/A</v>
          </cell>
          <cell r="E1545" t="str">
            <v>13-281</v>
          </cell>
          <cell r="F1545" t="str">
            <v>Computers, Radiotherapy Planning System</v>
          </cell>
          <cell r="G1545" t="str">
            <v>RT</v>
          </cell>
          <cell r="H1545" t="str">
            <v>RADIATION TREATMENT UNIT</v>
          </cell>
          <cell r="I1545" t="str">
            <v>01RT214</v>
          </cell>
          <cell r="J1545" t="str">
            <v>TPS 1</v>
          </cell>
          <cell r="K1545" t="str">
            <v>BMED</v>
          </cell>
          <cell r="L1545" t="str">
            <v>Normal</v>
          </cell>
          <cell r="M1545" t="str">
            <v>GERMANY</v>
          </cell>
          <cell r="N1545" t="str">
            <v>BRAINLAB</v>
          </cell>
          <cell r="O1545" t="str">
            <v>IPLAN WORKSTATION</v>
          </cell>
          <cell r="P1545" t="str">
            <v>3668615001</v>
          </cell>
          <cell r="Q1545" t="str">
            <v>NA</v>
          </cell>
          <cell r="R1545" t="str">
            <v>BRAINLAB</v>
          </cell>
          <cell r="S1545" t="str">
            <v>AYZEL VENTURE ENTERPISE</v>
          </cell>
          <cell r="T1545" t="str">
            <v>Functioning</v>
          </cell>
          <cell r="U1545" t="str">
            <v>Asset</v>
          </cell>
          <cell r="V1545">
            <v>499900</v>
          </cell>
          <cell r="W1545" t="str">
            <v>KEW</v>
          </cell>
          <cell r="X1545" t="str">
            <v>27/10/2015</v>
          </cell>
          <cell r="Y1545" t="str">
            <v>KEW</v>
          </cell>
          <cell r="Z1545" t="str">
            <v>09/12/2015</v>
          </cell>
          <cell r="AA1545" t="str">
            <v>08/12/2017</v>
          </cell>
          <cell r="AB1545" t="str">
            <v>No</v>
          </cell>
          <cell r="AC1545" t="str">
            <v>09/12/2015</v>
          </cell>
          <cell r="AD1545" t="str">
            <v>Good</v>
          </cell>
          <cell r="AE1545" t="str">
            <v>V1 - Existing / No Claim</v>
          </cell>
          <cell r="AF1545">
            <v>42473</v>
          </cell>
          <cell r="AG1545">
            <v>4.08</v>
          </cell>
          <cell r="AH1545" t="str">
            <v>PPM</v>
          </cell>
          <cell r="AI1545" t="str">
            <v>Strands</v>
          </cell>
          <cell r="AJ1545" t="str">
            <v>Strands Package</v>
          </cell>
          <cell r="AK1545" t="str">
            <v>Package Code XM0003(A)</v>
          </cell>
        </row>
        <row r="1546">
          <cell r="A1546" t="str">
            <v>IKN401292</v>
          </cell>
          <cell r="B1546">
            <v>1288</v>
          </cell>
          <cell r="C1546" t="str">
            <v>Institut Kanser Negara</v>
          </cell>
          <cell r="D1546" t="str">
            <v>KKM/IKN/H/13/4597</v>
          </cell>
          <cell r="E1546" t="str">
            <v>10-849</v>
          </cell>
          <cell r="F1546" t="str">
            <v>Circulatory Assist Units, Venous Return</v>
          </cell>
          <cell r="G1546" t="str">
            <v>PY</v>
          </cell>
          <cell r="H1546" t="str">
            <v>PHYSIOTHERAPY</v>
          </cell>
          <cell r="I1546" t="str">
            <v>04PY119</v>
          </cell>
          <cell r="J1546" t="str">
            <v>EQ.ROOM</v>
          </cell>
          <cell r="K1546" t="str">
            <v>BMED</v>
          </cell>
          <cell r="L1546" t="str">
            <v>Critical</v>
          </cell>
          <cell r="M1546" t="str">
            <v>USA</v>
          </cell>
          <cell r="N1546" t="str">
            <v>MediPress</v>
          </cell>
          <cell r="O1546" t="str">
            <v>MediPress 6101</v>
          </cell>
          <cell r="P1546" t="str">
            <v>P131203681</v>
          </cell>
          <cell r="Q1546" t="str">
            <v>Not Applicable</v>
          </cell>
          <cell r="R1546" t="str">
            <v>Meridian Medical</v>
          </cell>
          <cell r="S1546" t="str">
            <v>MEDIKA SUPPLIES SDN BHD</v>
          </cell>
          <cell r="T1546" t="str">
            <v>Functioning</v>
          </cell>
          <cell r="U1546" t="str">
            <v>Asset</v>
          </cell>
          <cell r="V1546">
            <v>3300</v>
          </cell>
          <cell r="W1546" t="str">
            <v>KEW</v>
          </cell>
          <cell r="X1546" t="str">
            <v>03/12/2013</v>
          </cell>
          <cell r="Y1546" t="str">
            <v>KEW</v>
          </cell>
          <cell r="Z1546" t="str">
            <v>03/12/2013</v>
          </cell>
          <cell r="AA1546" t="str">
            <v>02/12/2015</v>
          </cell>
          <cell r="AB1546" t="str">
            <v>No</v>
          </cell>
          <cell r="AC1546" t="str">
            <v>03/12/2013</v>
          </cell>
          <cell r="AD1546" t="str">
            <v>Good</v>
          </cell>
          <cell r="AE1546" t="str">
            <v>V3 - Added Installed Facilities (New)</v>
          </cell>
          <cell r="AF1546">
            <v>42933</v>
          </cell>
          <cell r="AG1546">
            <v>5.92</v>
          </cell>
          <cell r="AH1546" t="str">
            <v>PPM</v>
          </cell>
          <cell r="AI1546" t="str">
            <v>Strands</v>
          </cell>
          <cell r="AJ1546" t="str">
            <v>Strands PW</v>
          </cell>
          <cell r="AK1546" t="str">
            <v>SNF received. 1st batch of V3 asset (December 2020)</v>
          </cell>
        </row>
        <row r="1547">
          <cell r="A1547" t="str">
            <v>IKN401313</v>
          </cell>
          <cell r="B1547">
            <v>1308</v>
          </cell>
          <cell r="C1547" t="str">
            <v>Institut Kanser Negara</v>
          </cell>
          <cell r="D1547" t="e">
            <v>#N/A</v>
          </cell>
          <cell r="E1547" t="str">
            <v>10-447</v>
          </cell>
          <cell r="F1547" t="str">
            <v>Warming Units, Blood/Solution</v>
          </cell>
          <cell r="G1547" t="str">
            <v>RT</v>
          </cell>
          <cell r="H1547" t="str">
            <v>RADIATION TREATMENT UNIT</v>
          </cell>
          <cell r="I1547" t="str">
            <v>01RT116</v>
          </cell>
          <cell r="J1547" t="str">
            <v>CT SIMULATOR 1</v>
          </cell>
          <cell r="K1547" t="str">
            <v>BMED</v>
          </cell>
          <cell r="L1547" t="str">
            <v>Normal</v>
          </cell>
          <cell r="M1547" t="str">
            <v>USA</v>
          </cell>
          <cell r="N1547" t="str">
            <v>Warmflo</v>
          </cell>
          <cell r="O1547" t="str">
            <v>Warmflo FW558</v>
          </cell>
          <cell r="P1547" t="str">
            <v>CO716R405R</v>
          </cell>
          <cell r="Q1547" t="str">
            <v>Not Available</v>
          </cell>
          <cell r="R1547" t="str">
            <v>Mallinckrodt</v>
          </cell>
          <cell r="S1547" t="str">
            <v>Schmidt Biomedtech Sdn. Bhd.</v>
          </cell>
          <cell r="T1547" t="str">
            <v>Functioning</v>
          </cell>
          <cell r="U1547" t="str">
            <v>Asset</v>
          </cell>
          <cell r="V1547">
            <v>8500</v>
          </cell>
          <cell r="W1547" t="str">
            <v>KEW</v>
          </cell>
          <cell r="X1547" t="str">
            <v>12/08/2016</v>
          </cell>
          <cell r="Y1547" t="str">
            <v>KEW</v>
          </cell>
          <cell r="Z1547" t="str">
            <v>26/08/2016</v>
          </cell>
          <cell r="AA1547" t="str">
            <v>25/08/2017</v>
          </cell>
          <cell r="AB1547" t="str">
            <v>No</v>
          </cell>
          <cell r="AC1547" t="str">
            <v>26/08/2016</v>
          </cell>
          <cell r="AD1547" t="str">
            <v>Good</v>
          </cell>
          <cell r="AE1547" t="str">
            <v>V3 - Added Installed Facilities (New)</v>
          </cell>
          <cell r="AF1547">
            <v>42661</v>
          </cell>
          <cell r="AG1547">
            <v>3.25</v>
          </cell>
          <cell r="AH1547" t="str">
            <v>PPM</v>
          </cell>
          <cell r="AI1547" t="str">
            <v>package</v>
          </cell>
          <cell r="AK1547" t="str">
            <v>Under Injector Ct Sim</v>
          </cell>
        </row>
        <row r="1548">
          <cell r="A1548" t="str">
            <v>IKN401315</v>
          </cell>
          <cell r="B1548">
            <v>1309</v>
          </cell>
          <cell r="C1548" t="str">
            <v>Institut Kanser Negara</v>
          </cell>
          <cell r="D1548" t="str">
            <v>KKM/IKN/H/16/10</v>
          </cell>
          <cell r="E1548" t="str">
            <v>10-208</v>
          </cell>
          <cell r="F1548" t="str">
            <v>Aspirators</v>
          </cell>
          <cell r="G1548" t="str">
            <v>OT</v>
          </cell>
          <cell r="H1548" t="str">
            <v>OPERATING THEATRE</v>
          </cell>
          <cell r="I1548" t="str">
            <v>05OT127</v>
          </cell>
          <cell r="J1548" t="str">
            <v>SCRUB 1</v>
          </cell>
          <cell r="K1548" t="str">
            <v>BMED</v>
          </cell>
          <cell r="L1548" t="str">
            <v>Critical</v>
          </cell>
          <cell r="M1548" t="str">
            <v>ITALI</v>
          </cell>
          <cell r="N1548" t="str">
            <v>GIMA</v>
          </cell>
          <cell r="O1548" t="str">
            <v>HOSPI PLUS.</v>
          </cell>
          <cell r="P1548" t="str">
            <v>1194</v>
          </cell>
          <cell r="Q1548" t="str">
            <v>Not Applicable</v>
          </cell>
          <cell r="R1548" t="str">
            <v>GIMA</v>
          </cell>
          <cell r="S1548" t="str">
            <v>Teraju Delima Niaga Resources</v>
          </cell>
          <cell r="T1548" t="str">
            <v>Functioning</v>
          </cell>
          <cell r="U1548" t="str">
            <v>Asset</v>
          </cell>
          <cell r="V1548">
            <v>4800</v>
          </cell>
          <cell r="W1548" t="str">
            <v>KEW</v>
          </cell>
          <cell r="X1548" t="str">
            <v>21/09/2016</v>
          </cell>
          <cell r="Y1548" t="str">
            <v>KEW</v>
          </cell>
          <cell r="Z1548" t="str">
            <v>21/09/2016</v>
          </cell>
          <cell r="AA1548" t="str">
            <v>20/09/2017</v>
          </cell>
          <cell r="AB1548" t="str">
            <v>No</v>
          </cell>
          <cell r="AC1548" t="str">
            <v>21/09/2016</v>
          </cell>
          <cell r="AD1548" t="str">
            <v>Good</v>
          </cell>
          <cell r="AE1548" t="str">
            <v>V3 - Added Installed Facilities (New)</v>
          </cell>
          <cell r="AF1548">
            <v>42802</v>
          </cell>
          <cell r="AG1548">
            <v>3.17</v>
          </cell>
          <cell r="AH1548" t="str">
            <v>PPM</v>
          </cell>
          <cell r="AI1548" t="str">
            <v>Strands</v>
          </cell>
          <cell r="AJ1548" t="str">
            <v>Strands PW</v>
          </cell>
          <cell r="AK1548" t="str">
            <v>SNF received on 25.2.2020</v>
          </cell>
        </row>
        <row r="1549">
          <cell r="A1549" t="str">
            <v>IKN401316</v>
          </cell>
          <cell r="B1549">
            <v>1310</v>
          </cell>
          <cell r="C1549" t="str">
            <v>Institut Kanser Negara</v>
          </cell>
          <cell r="D1549" t="str">
            <v>KKM/IKN/H/13/4952</v>
          </cell>
          <cell r="E1549" t="str">
            <v>15-605</v>
          </cell>
          <cell r="F1549" t="str">
            <v>Testers</v>
          </cell>
          <cell r="G1549" t="str">
            <v>RT</v>
          </cell>
          <cell r="H1549" t="str">
            <v>RADIATION TREATMENT UNIT</v>
          </cell>
          <cell r="I1549" t="str">
            <v>01RT213</v>
          </cell>
          <cell r="J1549" t="str">
            <v>EQUIPMENT ROOM1</v>
          </cell>
          <cell r="K1549" t="str">
            <v>BMED</v>
          </cell>
          <cell r="L1549" t="str">
            <v>Normal</v>
          </cell>
          <cell r="M1549" t="str">
            <v>Germany</v>
          </cell>
          <cell r="N1549" t="str">
            <v>Various</v>
          </cell>
          <cell r="O1549" t="str">
            <v>IBA Dosimetry GMBH</v>
          </cell>
          <cell r="P1549" t="str">
            <v>1227</v>
          </cell>
          <cell r="Q1549" t="str">
            <v>Not Available</v>
          </cell>
          <cell r="R1549" t="str">
            <v>IBA</v>
          </cell>
          <cell r="S1549" t="str">
            <v>Delta Advantech (M) Sdn. Bhd</v>
          </cell>
          <cell r="T1549" t="str">
            <v>Functioning</v>
          </cell>
          <cell r="U1549" t="str">
            <v>Asset</v>
          </cell>
          <cell r="V1549">
            <v>40000</v>
          </cell>
          <cell r="W1549" t="str">
            <v>KEW</v>
          </cell>
          <cell r="X1549" t="str">
            <v>01/09/2010</v>
          </cell>
          <cell r="Y1549" t="str">
            <v>KEW</v>
          </cell>
          <cell r="Z1549" t="str">
            <v>16/08/2013</v>
          </cell>
          <cell r="AA1549" t="str">
            <v>15/08/2015</v>
          </cell>
          <cell r="AB1549" t="str">
            <v>No</v>
          </cell>
          <cell r="AC1549" t="str">
            <v>16/08/2013</v>
          </cell>
          <cell r="AD1549" t="str">
            <v>Good</v>
          </cell>
          <cell r="AE1549" t="str">
            <v>V3 - Added Installed Facilities (New)</v>
          </cell>
          <cell r="AF1549">
            <v>42668</v>
          </cell>
          <cell r="AG1549">
            <v>9.17</v>
          </cell>
          <cell r="AH1549" t="str">
            <v>PPM</v>
          </cell>
          <cell r="AI1549" t="str">
            <v>Strands</v>
          </cell>
          <cell r="AJ1549" t="str">
            <v>Strands PW</v>
          </cell>
          <cell r="AK1549" t="str">
            <v>SNF received on 25.2.2020</v>
          </cell>
        </row>
        <row r="1550">
          <cell r="A1550" t="str">
            <v>IKN401317</v>
          </cell>
          <cell r="B1550">
            <v>1311</v>
          </cell>
          <cell r="C1550" t="str">
            <v>Institut Kanser Negara</v>
          </cell>
          <cell r="D1550" t="str">
            <v>KKM/IKN/H/13/4952</v>
          </cell>
          <cell r="E1550" t="str">
            <v>15-605</v>
          </cell>
          <cell r="F1550" t="str">
            <v>Testers</v>
          </cell>
          <cell r="G1550" t="str">
            <v>RT</v>
          </cell>
          <cell r="H1550" t="str">
            <v>RADIATION TREATMENT UNIT</v>
          </cell>
          <cell r="I1550" t="str">
            <v>01RT213</v>
          </cell>
          <cell r="J1550" t="str">
            <v>EQUIPMENT ROOM1</v>
          </cell>
          <cell r="K1550" t="str">
            <v>BMED</v>
          </cell>
          <cell r="L1550" t="str">
            <v>Normal</v>
          </cell>
          <cell r="M1550" t="str">
            <v>Germany</v>
          </cell>
          <cell r="N1550" t="str">
            <v>Various</v>
          </cell>
          <cell r="O1550" t="str">
            <v>IBA Dosimetry GMBH</v>
          </cell>
          <cell r="P1550" t="str">
            <v>1233</v>
          </cell>
          <cell r="Q1550" t="str">
            <v>Not Available</v>
          </cell>
          <cell r="R1550" t="str">
            <v>IBA</v>
          </cell>
          <cell r="S1550" t="str">
            <v>Delta Advantech (M) Sdn. Bhd</v>
          </cell>
          <cell r="T1550" t="str">
            <v>Functioning</v>
          </cell>
          <cell r="U1550" t="str">
            <v>Asset</v>
          </cell>
          <cell r="V1550">
            <v>40000</v>
          </cell>
          <cell r="W1550" t="str">
            <v>KEW</v>
          </cell>
          <cell r="X1550" t="str">
            <v>01/09/2010</v>
          </cell>
          <cell r="Y1550" t="str">
            <v>KEW</v>
          </cell>
          <cell r="Z1550" t="str">
            <v>16/08/2013</v>
          </cell>
          <cell r="AA1550" t="str">
            <v>15/08/2015</v>
          </cell>
          <cell r="AB1550" t="str">
            <v>No</v>
          </cell>
          <cell r="AC1550" t="str">
            <v>16/08/2013</v>
          </cell>
          <cell r="AD1550" t="str">
            <v>Good</v>
          </cell>
          <cell r="AE1550" t="str">
            <v>V3 - Added Installed Facilities (New)</v>
          </cell>
          <cell r="AF1550">
            <v>42668</v>
          </cell>
          <cell r="AG1550">
            <v>9.17</v>
          </cell>
          <cell r="AH1550" t="str">
            <v>PPM</v>
          </cell>
          <cell r="AI1550" t="str">
            <v>Strands</v>
          </cell>
          <cell r="AJ1550" t="str">
            <v>Strands PW</v>
          </cell>
          <cell r="AK1550" t="str">
            <v>SNF received on 25.2.2020</v>
          </cell>
        </row>
        <row r="1551">
          <cell r="A1551" t="str">
            <v>IKN401318</v>
          </cell>
          <cell r="B1551">
            <v>1312</v>
          </cell>
          <cell r="C1551" t="str">
            <v>Institut Kanser Negara</v>
          </cell>
          <cell r="D1551" t="str">
            <v>KKM/IKN/H/13/4473 - 07</v>
          </cell>
          <cell r="E1551" t="str">
            <v>15-605</v>
          </cell>
          <cell r="F1551" t="str">
            <v>Testers</v>
          </cell>
          <cell r="G1551" t="str">
            <v>RT</v>
          </cell>
          <cell r="H1551" t="str">
            <v>RADIATION TREATMENT UNIT</v>
          </cell>
          <cell r="I1551" t="str">
            <v>01RT213</v>
          </cell>
          <cell r="J1551" t="str">
            <v>EQUIPMENT ROOM1</v>
          </cell>
          <cell r="K1551" t="str">
            <v>BMED</v>
          </cell>
          <cell r="L1551" t="str">
            <v>Normal</v>
          </cell>
          <cell r="M1551" t="str">
            <v>USA</v>
          </cell>
          <cell r="N1551" t="str">
            <v>Various</v>
          </cell>
          <cell r="O1551" t="str">
            <v>Tomo Electrometer 90016 &amp; Various</v>
          </cell>
          <cell r="P1551" t="str">
            <v>XAE 121449</v>
          </cell>
          <cell r="Q1551" t="str">
            <v>Not Available</v>
          </cell>
          <cell r="R1551" t="str">
            <v>Standard Imaging</v>
          </cell>
          <cell r="S1551" t="str">
            <v>Transmedic Healthcare Sdn. Bhd</v>
          </cell>
          <cell r="T1551" t="str">
            <v>Functioning</v>
          </cell>
          <cell r="U1551" t="str">
            <v>Asset</v>
          </cell>
          <cell r="V1551">
            <v>100000</v>
          </cell>
          <cell r="W1551" t="str">
            <v>KEW</v>
          </cell>
          <cell r="X1551" t="str">
            <v>01/09/2010</v>
          </cell>
          <cell r="Y1551" t="str">
            <v>KEW</v>
          </cell>
          <cell r="Z1551" t="str">
            <v>16/08/2013</v>
          </cell>
          <cell r="AA1551" t="str">
            <v>15/08/2015</v>
          </cell>
          <cell r="AB1551" t="str">
            <v>No</v>
          </cell>
          <cell r="AC1551" t="str">
            <v>16/08/2013</v>
          </cell>
          <cell r="AD1551" t="str">
            <v>Good</v>
          </cell>
          <cell r="AE1551" t="str">
            <v>V1 - Existing / No Claim</v>
          </cell>
          <cell r="AF1551">
            <v>42667</v>
          </cell>
          <cell r="AG1551">
            <v>9.17</v>
          </cell>
          <cell r="AH1551" t="str">
            <v>PPM</v>
          </cell>
          <cell r="AI1551" t="str">
            <v>package</v>
          </cell>
          <cell r="AJ1551" t="str">
            <v>Strands Package</v>
          </cell>
          <cell r="AK1551" t="str">
            <v>Package XM003(B)</v>
          </cell>
        </row>
        <row r="1552">
          <cell r="A1552" t="str">
            <v>IKN401335</v>
          </cell>
          <cell r="B1552">
            <v>1329</v>
          </cell>
          <cell r="C1552" t="str">
            <v>Institut Kanser Negara</v>
          </cell>
          <cell r="D1552" t="str">
            <v>KKM/IKN/H/13/3190</v>
          </cell>
          <cell r="E1552" t="str">
            <v>10-051</v>
          </cell>
          <cell r="F1552" t="str">
            <v>Air Samplers</v>
          </cell>
          <cell r="G1552" t="str">
            <v>QA</v>
          </cell>
          <cell r="H1552" t="str">
            <v>INFECTION , RESEARCH AND QA UNIT</v>
          </cell>
          <cell r="I1552" t="str">
            <v>04QA118</v>
          </cell>
          <cell r="J1552" t="str">
            <v>MEETING (12 PAX)</v>
          </cell>
          <cell r="K1552" t="str">
            <v>BMED</v>
          </cell>
          <cell r="L1552" t="str">
            <v>Normal</v>
          </cell>
          <cell r="M1552" t="str">
            <v>Germany</v>
          </cell>
          <cell r="N1552" t="str">
            <v>MAS</v>
          </cell>
          <cell r="O1552" t="str">
            <v>MAS-100NT</v>
          </cell>
          <cell r="P1552" t="str">
            <v>104998</v>
          </cell>
          <cell r="Q1552" t="str">
            <v>Not Available</v>
          </cell>
          <cell r="R1552" t="str">
            <v>Merck KGaA</v>
          </cell>
          <cell r="S1552" t="str">
            <v>Merck Sdn Bhd</v>
          </cell>
          <cell r="T1552" t="str">
            <v>Functioning</v>
          </cell>
          <cell r="U1552" t="str">
            <v>Asset</v>
          </cell>
          <cell r="V1552">
            <v>31410</v>
          </cell>
          <cell r="W1552" t="str">
            <v>KEW</v>
          </cell>
          <cell r="X1552" t="str">
            <v>01/09/2010</v>
          </cell>
          <cell r="Y1552" t="str">
            <v>KEW</v>
          </cell>
          <cell r="Z1552" t="str">
            <v>16/08/2013</v>
          </cell>
          <cell r="AA1552" t="str">
            <v>15/08/2015</v>
          </cell>
          <cell r="AB1552" t="str">
            <v>No</v>
          </cell>
          <cell r="AC1552" t="str">
            <v>31/08/2013</v>
          </cell>
          <cell r="AD1552" t="str">
            <v>Good</v>
          </cell>
          <cell r="AE1552" t="str">
            <v>V3 - Added Installed Facilities (New)</v>
          </cell>
          <cell r="AF1552">
            <v>43115</v>
          </cell>
          <cell r="AG1552">
            <v>9.17</v>
          </cell>
          <cell r="AH1552" t="str">
            <v>PPM</v>
          </cell>
          <cell r="AI1552" t="str">
            <v>Strands</v>
          </cell>
          <cell r="AJ1552" t="str">
            <v>Strands PW</v>
          </cell>
          <cell r="AK1552" t="str">
            <v>SNF received. 1st batch of V3 asset (December 2020)</v>
          </cell>
        </row>
        <row r="1553">
          <cell r="A1553" t="str">
            <v>IKN401336</v>
          </cell>
          <cell r="B1553">
            <v>1330</v>
          </cell>
          <cell r="C1553" t="str">
            <v>Institut Kanser Negara</v>
          </cell>
          <cell r="D1553" t="str">
            <v>KKM/IKN/H/16/27</v>
          </cell>
          <cell r="E1553" t="str">
            <v>23-532</v>
          </cell>
          <cell r="F1553" t="str">
            <v>Laryngoscopes, Rigid, Video</v>
          </cell>
          <cell r="G1553" t="str">
            <v>IC</v>
          </cell>
          <cell r="H1553" t="str">
            <v>INTENSIVE CARE UNIT</v>
          </cell>
          <cell r="I1553" t="str">
            <v>05IC106</v>
          </cell>
          <cell r="J1553" t="str">
            <v>EQ. ROOM</v>
          </cell>
          <cell r="K1553" t="str">
            <v>BMED</v>
          </cell>
          <cell r="L1553" t="str">
            <v>Critical</v>
          </cell>
          <cell r="M1553" t="str">
            <v>Germany</v>
          </cell>
          <cell r="N1553" t="str">
            <v>Storz</v>
          </cell>
          <cell r="O1553" t="str">
            <v>C-Mac 8403 ZX</v>
          </cell>
          <cell r="P1553" t="str">
            <v>UT9580</v>
          </cell>
          <cell r="Q1553" t="str">
            <v>Not Applicable</v>
          </cell>
          <cell r="R1553" t="str">
            <v>Karl Storz GmbH &amp; Co KG</v>
          </cell>
          <cell r="S1553" t="str">
            <v>MS Synergy (M) Sdn. Bhd</v>
          </cell>
          <cell r="T1553" t="str">
            <v>Functioning</v>
          </cell>
          <cell r="U1553" t="str">
            <v>Asset</v>
          </cell>
          <cell r="V1553">
            <v>49998</v>
          </cell>
          <cell r="W1553" t="str">
            <v>KEW</v>
          </cell>
          <cell r="X1553" t="str">
            <v>10/10/2016</v>
          </cell>
          <cell r="Y1553" t="str">
            <v>KEW</v>
          </cell>
          <cell r="Z1553" t="str">
            <v>01/12/2016</v>
          </cell>
          <cell r="AA1553" t="str">
            <v>30/11/2017</v>
          </cell>
          <cell r="AB1553" t="str">
            <v>No</v>
          </cell>
          <cell r="AC1553" t="str">
            <v>01/12/2016</v>
          </cell>
          <cell r="AD1553" t="str">
            <v>Good</v>
          </cell>
          <cell r="AE1553" t="str">
            <v>V3 - Added Installed Facilities (New)</v>
          </cell>
          <cell r="AF1553">
            <v>43050</v>
          </cell>
          <cell r="AG1553">
            <v>3.08</v>
          </cell>
          <cell r="AH1553" t="str">
            <v>PPM</v>
          </cell>
          <cell r="AI1553" t="str">
            <v>package</v>
          </cell>
          <cell r="AJ1553" t="str">
            <v>Proposed for V3 P2.23</v>
          </cell>
          <cell r="AK1553" t="str">
            <v>KKM follow P2.23 list.</v>
          </cell>
        </row>
        <row r="1554">
          <cell r="A1554" t="str">
            <v>IKN401337</v>
          </cell>
          <cell r="B1554">
            <v>1331</v>
          </cell>
          <cell r="C1554" t="str">
            <v>Institut Kanser Negara</v>
          </cell>
          <cell r="D1554" t="str">
            <v>KKM/IKN/H/13/3781</v>
          </cell>
          <cell r="E1554" t="str">
            <v>13-325</v>
          </cell>
          <cell r="F1554" t="str">
            <v>Regulators, Suction</v>
          </cell>
          <cell r="G1554" t="str">
            <v>OT</v>
          </cell>
          <cell r="H1554" t="str">
            <v>OPERATING THEATRE</v>
          </cell>
          <cell r="I1554" t="str">
            <v>05OT123</v>
          </cell>
          <cell r="J1554" t="str">
            <v>0T 1</v>
          </cell>
          <cell r="K1554" t="str">
            <v>BMED</v>
          </cell>
          <cell r="L1554" t="str">
            <v>Normal</v>
          </cell>
          <cell r="M1554" t="str">
            <v>United Kingdom</v>
          </cell>
          <cell r="N1554" t="str">
            <v>MGE</v>
          </cell>
          <cell r="O1554" t="str">
            <v>SAM 54</v>
          </cell>
          <cell r="P1554" t="str">
            <v>MG 013649</v>
          </cell>
          <cell r="Q1554" t="str">
            <v>Not Applicable</v>
          </cell>
          <cell r="R1554" t="str">
            <v>MGE</v>
          </cell>
          <cell r="S1554" t="str">
            <v>Delta Medisains</v>
          </cell>
          <cell r="T1554" t="str">
            <v>Functioning</v>
          </cell>
          <cell r="U1554" t="str">
            <v>Asset</v>
          </cell>
          <cell r="V1554">
            <v>4330</v>
          </cell>
          <cell r="W1554" t="str">
            <v>KEW</v>
          </cell>
          <cell r="X1554" t="str">
            <v>01/09/2010</v>
          </cell>
          <cell r="Y1554" t="str">
            <v>KEW</v>
          </cell>
          <cell r="Z1554" t="str">
            <v>16/08/2013</v>
          </cell>
          <cell r="AA1554" t="str">
            <v>15/08/2015</v>
          </cell>
          <cell r="AB1554" t="str">
            <v>No</v>
          </cell>
          <cell r="AC1554" t="str">
            <v>31/08/2013</v>
          </cell>
          <cell r="AD1554" t="str">
            <v>Good</v>
          </cell>
          <cell r="AE1554" t="str">
            <v>V1 - Existing / No Claim</v>
          </cell>
          <cell r="AF1554">
            <v>42920</v>
          </cell>
          <cell r="AG1554">
            <v>9.17</v>
          </cell>
          <cell r="AH1554" t="str">
            <v>RI</v>
          </cell>
          <cell r="AI1554" t="str">
            <v>Strands</v>
          </cell>
          <cell r="AJ1554" t="str">
            <v>Strands PW</v>
          </cell>
        </row>
        <row r="1555">
          <cell r="A1555" t="str">
            <v>IKN401339</v>
          </cell>
          <cell r="B1555">
            <v>1333</v>
          </cell>
          <cell r="C1555" t="str">
            <v>Institut Kanser Negara</v>
          </cell>
          <cell r="D1555" t="str">
            <v>KKM/IKN/H/14/113</v>
          </cell>
          <cell r="E1555" t="str">
            <v>11-295</v>
          </cell>
          <cell r="F1555" t="str">
            <v>Dosimeters, Radiation</v>
          </cell>
          <cell r="G1555" t="str">
            <v>NM</v>
          </cell>
          <cell r="H1555" t="str">
            <v>NUCLEAR MED (DIAGNOSTIC)</v>
          </cell>
          <cell r="I1555" t="str">
            <v>03NM180</v>
          </cell>
          <cell r="J1555" t="str">
            <v>GEN.OFFICE</v>
          </cell>
          <cell r="K1555" t="str">
            <v>BMED</v>
          </cell>
          <cell r="L1555" t="str">
            <v>Normal</v>
          </cell>
          <cell r="M1555" t="str">
            <v>Japan</v>
          </cell>
          <cell r="N1555" t="str">
            <v>Aloka</v>
          </cell>
          <cell r="O1555" t="str">
            <v>PDM-222C-SH</v>
          </cell>
          <cell r="P1555" t="str">
            <v>203V1528</v>
          </cell>
          <cell r="Q1555" t="str">
            <v>Not Applicable</v>
          </cell>
          <cell r="R1555" t="str">
            <v>Hitachi Aloka Medical Co Ltd</v>
          </cell>
          <cell r="S1555" t="str">
            <v>Elite</v>
          </cell>
          <cell r="T1555" t="str">
            <v>Functioning</v>
          </cell>
          <cell r="U1555" t="str">
            <v>Asset</v>
          </cell>
          <cell r="V1555">
            <v>1883</v>
          </cell>
          <cell r="W1555" t="str">
            <v>KEW</v>
          </cell>
          <cell r="X1555" t="str">
            <v>06/11/2014</v>
          </cell>
          <cell r="Y1555" t="str">
            <v>KEW</v>
          </cell>
          <cell r="Z1555" t="str">
            <v>05/12/2014</v>
          </cell>
          <cell r="AA1555" t="str">
            <v>04/12/2016</v>
          </cell>
          <cell r="AB1555" t="str">
            <v>No</v>
          </cell>
          <cell r="AC1555" t="str">
            <v>05/12/2014</v>
          </cell>
          <cell r="AD1555" t="str">
            <v>Good</v>
          </cell>
          <cell r="AE1555" t="str">
            <v>V3 - Added Installed Facilities (New)</v>
          </cell>
          <cell r="AF1555">
            <v>43404</v>
          </cell>
          <cell r="AG1555">
            <v>5</v>
          </cell>
          <cell r="AH1555" t="str">
            <v>PPM</v>
          </cell>
          <cell r="AI1555" t="str">
            <v>Strands</v>
          </cell>
          <cell r="AJ1555" t="str">
            <v>Strands PW</v>
          </cell>
          <cell r="AK1555" t="str">
            <v>SNF received. 1st batch of V3 asset (December 2020)</v>
          </cell>
        </row>
        <row r="1556">
          <cell r="A1556" t="str">
            <v>IKN401340</v>
          </cell>
          <cell r="B1556">
            <v>1334</v>
          </cell>
          <cell r="C1556" t="str">
            <v>Institut Kanser Negara</v>
          </cell>
          <cell r="D1556" t="str">
            <v>KKM/IKN/H/14/103</v>
          </cell>
          <cell r="E1556" t="str">
            <v>11-295</v>
          </cell>
          <cell r="F1556" t="str">
            <v>Dosimeters, Radiation</v>
          </cell>
          <cell r="G1556" t="str">
            <v>NM</v>
          </cell>
          <cell r="H1556" t="str">
            <v>NUCLEAR MED (DIAGNOSTIC)</v>
          </cell>
          <cell r="I1556" t="str">
            <v>03NM180</v>
          </cell>
          <cell r="J1556" t="str">
            <v>GEN.OFFICE</v>
          </cell>
          <cell r="K1556" t="str">
            <v>BMED</v>
          </cell>
          <cell r="L1556" t="str">
            <v>Normal</v>
          </cell>
          <cell r="M1556" t="str">
            <v>Japan</v>
          </cell>
          <cell r="N1556" t="str">
            <v>Aloka</v>
          </cell>
          <cell r="O1556" t="str">
            <v>PDM-222C-SH</v>
          </cell>
          <cell r="P1556" t="str">
            <v>203V1518</v>
          </cell>
          <cell r="Q1556" t="str">
            <v>Not Applicable</v>
          </cell>
          <cell r="R1556" t="str">
            <v>Hitachi Aloka Medical Co Ltd</v>
          </cell>
          <cell r="S1556" t="str">
            <v>Elite</v>
          </cell>
          <cell r="T1556" t="str">
            <v>Functioning</v>
          </cell>
          <cell r="U1556" t="str">
            <v>Asset</v>
          </cell>
          <cell r="V1556">
            <v>1883</v>
          </cell>
          <cell r="W1556" t="str">
            <v>KEW</v>
          </cell>
          <cell r="X1556" t="str">
            <v>06/11/2014</v>
          </cell>
          <cell r="Y1556" t="str">
            <v>KEW</v>
          </cell>
          <cell r="Z1556" t="str">
            <v>05/12/2014</v>
          </cell>
          <cell r="AA1556" t="str">
            <v>04/12/2016</v>
          </cell>
          <cell r="AB1556" t="str">
            <v>No</v>
          </cell>
          <cell r="AC1556" t="str">
            <v>05/12/2014</v>
          </cell>
          <cell r="AD1556" t="str">
            <v>Good</v>
          </cell>
          <cell r="AE1556" t="str">
            <v>V3 - Added Installed Facilities (New)</v>
          </cell>
          <cell r="AF1556">
            <v>43404</v>
          </cell>
          <cell r="AG1556">
            <v>5</v>
          </cell>
          <cell r="AH1556" t="str">
            <v>PPM</v>
          </cell>
          <cell r="AI1556" t="str">
            <v>Strands</v>
          </cell>
          <cell r="AJ1556" t="str">
            <v>Strands PW</v>
          </cell>
          <cell r="AK1556" t="str">
            <v>SNF received. 1st batch of V3 asset (December 2020)</v>
          </cell>
        </row>
        <row r="1557">
          <cell r="A1557" t="str">
            <v>IKN401341</v>
          </cell>
          <cell r="B1557">
            <v>1335</v>
          </cell>
          <cell r="C1557" t="str">
            <v>Institut Kanser Negara</v>
          </cell>
          <cell r="D1557" t="str">
            <v>KKM/IKN/H/14/104</v>
          </cell>
          <cell r="E1557" t="str">
            <v>11-295</v>
          </cell>
          <cell r="F1557" t="str">
            <v>Dosimeters, Radiation</v>
          </cell>
          <cell r="G1557" t="str">
            <v>NM</v>
          </cell>
          <cell r="H1557" t="str">
            <v>NUCLEAR MED (DIAGNOSTIC)</v>
          </cell>
          <cell r="I1557" t="str">
            <v>03NM180</v>
          </cell>
          <cell r="J1557" t="str">
            <v>GEN.OFFICE</v>
          </cell>
          <cell r="K1557" t="str">
            <v>BMED</v>
          </cell>
          <cell r="L1557" t="str">
            <v>Normal</v>
          </cell>
          <cell r="M1557" t="str">
            <v>Japan</v>
          </cell>
          <cell r="N1557" t="str">
            <v>Aloka</v>
          </cell>
          <cell r="O1557" t="str">
            <v>PDM-222C-SH</v>
          </cell>
          <cell r="P1557" t="str">
            <v>203V1519</v>
          </cell>
          <cell r="Q1557" t="str">
            <v>Not Applicable</v>
          </cell>
          <cell r="R1557" t="str">
            <v>Hitachi Aloka Medical Co Ltd</v>
          </cell>
          <cell r="S1557" t="str">
            <v>Elite</v>
          </cell>
          <cell r="T1557" t="str">
            <v>Functioning</v>
          </cell>
          <cell r="U1557" t="str">
            <v>Asset</v>
          </cell>
          <cell r="V1557">
            <v>1883</v>
          </cell>
          <cell r="W1557" t="str">
            <v>KEW</v>
          </cell>
          <cell r="X1557" t="str">
            <v>06/11/2014</v>
          </cell>
          <cell r="Y1557" t="str">
            <v>KEW</v>
          </cell>
          <cell r="Z1557" t="str">
            <v>05/12/2014</v>
          </cell>
          <cell r="AA1557" t="str">
            <v>04/12/2016</v>
          </cell>
          <cell r="AB1557" t="str">
            <v>No</v>
          </cell>
          <cell r="AC1557" t="str">
            <v>05/12/2014</v>
          </cell>
          <cell r="AD1557" t="str">
            <v>Good</v>
          </cell>
          <cell r="AE1557" t="str">
            <v>V3 - Added Installed Facilities (New)</v>
          </cell>
          <cell r="AF1557">
            <v>43404</v>
          </cell>
          <cell r="AG1557">
            <v>5</v>
          </cell>
          <cell r="AH1557" t="str">
            <v>PPM</v>
          </cell>
          <cell r="AI1557" t="str">
            <v>Strands</v>
          </cell>
          <cell r="AJ1557" t="str">
            <v>Strands PW</v>
          </cell>
          <cell r="AK1557" t="str">
            <v>SNF received. 1st batch of V3 asset (December 2020)</v>
          </cell>
        </row>
        <row r="1558">
          <cell r="A1558" t="str">
            <v>IKN401342</v>
          </cell>
          <cell r="B1558">
            <v>1336</v>
          </cell>
          <cell r="C1558" t="str">
            <v>Institut Kanser Negara</v>
          </cell>
          <cell r="D1558" t="str">
            <v>KKM/IKN/H/14/105</v>
          </cell>
          <cell r="E1558" t="str">
            <v>11-295</v>
          </cell>
          <cell r="F1558" t="str">
            <v>Dosimeters, Radiation</v>
          </cell>
          <cell r="G1558" t="str">
            <v>NM</v>
          </cell>
          <cell r="H1558" t="str">
            <v>NUCLEAR MED (DIAGNOSTIC)</v>
          </cell>
          <cell r="I1558" t="str">
            <v>03NM180</v>
          </cell>
          <cell r="J1558" t="str">
            <v>GEN.OFFICE</v>
          </cell>
          <cell r="K1558" t="str">
            <v>BMED</v>
          </cell>
          <cell r="L1558" t="str">
            <v>Normal</v>
          </cell>
          <cell r="M1558" t="str">
            <v>Japan</v>
          </cell>
          <cell r="N1558" t="str">
            <v>Aloka</v>
          </cell>
          <cell r="O1558" t="str">
            <v>PDM-222C-SH</v>
          </cell>
          <cell r="P1558" t="str">
            <v>203V1520</v>
          </cell>
          <cell r="Q1558" t="str">
            <v>Not Applicable</v>
          </cell>
          <cell r="R1558" t="str">
            <v>Hitachi Aloka Medical Co Ltd</v>
          </cell>
          <cell r="S1558" t="str">
            <v>Elite</v>
          </cell>
          <cell r="T1558" t="str">
            <v>Functioning</v>
          </cell>
          <cell r="U1558" t="str">
            <v>Asset</v>
          </cell>
          <cell r="V1558">
            <v>1883</v>
          </cell>
          <cell r="W1558" t="str">
            <v>KEW</v>
          </cell>
          <cell r="X1558" t="str">
            <v>06/11/2014</v>
          </cell>
          <cell r="Y1558" t="str">
            <v>KEW</v>
          </cell>
          <cell r="Z1558" t="str">
            <v>05/12/2014</v>
          </cell>
          <cell r="AA1558" t="str">
            <v>04/12/2016</v>
          </cell>
          <cell r="AB1558" t="str">
            <v>No</v>
          </cell>
          <cell r="AC1558" t="str">
            <v>05/12/2014</v>
          </cell>
          <cell r="AD1558" t="str">
            <v>Good</v>
          </cell>
          <cell r="AE1558" t="str">
            <v>V3 - Added Installed Facilities (New)</v>
          </cell>
          <cell r="AF1558">
            <v>43404</v>
          </cell>
          <cell r="AG1558">
            <v>5</v>
          </cell>
          <cell r="AH1558" t="str">
            <v>PPM</v>
          </cell>
          <cell r="AI1558" t="str">
            <v>Strands</v>
          </cell>
          <cell r="AJ1558" t="str">
            <v>Strands PW</v>
          </cell>
          <cell r="AK1558" t="str">
            <v>SNF received. 1st batch of V3 asset (December 2020). [22/4/2024, ANIS]: ASSET HILANG.</v>
          </cell>
        </row>
        <row r="1559">
          <cell r="A1559" t="str">
            <v>IKN401343</v>
          </cell>
          <cell r="B1559">
            <v>1337</v>
          </cell>
          <cell r="C1559" t="str">
            <v>Institut Kanser Negara</v>
          </cell>
          <cell r="D1559" t="str">
            <v>KKM/IKN/H/14/106</v>
          </cell>
          <cell r="E1559" t="str">
            <v>11-295</v>
          </cell>
          <cell r="F1559" t="str">
            <v>Dosimeters, Radiation</v>
          </cell>
          <cell r="G1559" t="str">
            <v>NM</v>
          </cell>
          <cell r="H1559" t="str">
            <v>NUCLEAR MED (DIAGNOSTIC)</v>
          </cell>
          <cell r="I1559" t="str">
            <v>03NM180</v>
          </cell>
          <cell r="J1559" t="str">
            <v>GEN.OFFICE</v>
          </cell>
          <cell r="K1559" t="str">
            <v>BMED</v>
          </cell>
          <cell r="L1559" t="str">
            <v>Normal</v>
          </cell>
          <cell r="M1559" t="str">
            <v>Japan</v>
          </cell>
          <cell r="N1559" t="str">
            <v>Aloka</v>
          </cell>
          <cell r="O1559" t="str">
            <v>PDM-222C-SH</v>
          </cell>
          <cell r="P1559" t="str">
            <v>203V1521</v>
          </cell>
          <cell r="Q1559" t="str">
            <v>Not Applicable</v>
          </cell>
          <cell r="R1559" t="str">
            <v>Hitachi Aloka Medical Co Ltd</v>
          </cell>
          <cell r="S1559" t="str">
            <v>Elite</v>
          </cell>
          <cell r="T1559" t="str">
            <v>Functioning</v>
          </cell>
          <cell r="U1559" t="str">
            <v>Asset</v>
          </cell>
          <cell r="V1559">
            <v>1883</v>
          </cell>
          <cell r="W1559" t="str">
            <v>KEW</v>
          </cell>
          <cell r="X1559" t="str">
            <v>06/11/2014</v>
          </cell>
          <cell r="Y1559" t="str">
            <v>KEW</v>
          </cell>
          <cell r="Z1559" t="str">
            <v>05/12/2014</v>
          </cell>
          <cell r="AA1559" t="str">
            <v>04/12/2016</v>
          </cell>
          <cell r="AB1559" t="str">
            <v>No</v>
          </cell>
          <cell r="AC1559" t="str">
            <v>05/12/2014</v>
          </cell>
          <cell r="AD1559" t="str">
            <v>Good</v>
          </cell>
          <cell r="AE1559" t="str">
            <v>V3 - Added Installed Facilities (New)</v>
          </cell>
          <cell r="AF1559">
            <v>43404</v>
          </cell>
          <cell r="AG1559">
            <v>5</v>
          </cell>
          <cell r="AH1559" t="str">
            <v>PPM</v>
          </cell>
          <cell r="AI1559" t="str">
            <v>Strands</v>
          </cell>
          <cell r="AJ1559" t="str">
            <v>Strands PW</v>
          </cell>
          <cell r="AK1559" t="str">
            <v>SNF received. 1st batch of V3 asset (December 2020)</v>
          </cell>
        </row>
        <row r="1560">
          <cell r="A1560" t="str">
            <v>IKN401344</v>
          </cell>
          <cell r="B1560">
            <v>1338</v>
          </cell>
          <cell r="C1560" t="str">
            <v>Institut Kanser Negara</v>
          </cell>
          <cell r="D1560" t="str">
            <v>KKM/IKN/H/14/108</v>
          </cell>
          <cell r="E1560" t="str">
            <v>11-295</v>
          </cell>
          <cell r="F1560" t="str">
            <v>Dosimeters, Radiation</v>
          </cell>
          <cell r="G1560" t="str">
            <v>NM</v>
          </cell>
          <cell r="H1560" t="str">
            <v>NUCLEAR MED (DIAGNOSTIC)</v>
          </cell>
          <cell r="I1560" t="str">
            <v>03NM180</v>
          </cell>
          <cell r="J1560" t="str">
            <v>GEN.OFFICE</v>
          </cell>
          <cell r="K1560" t="str">
            <v>BMED</v>
          </cell>
          <cell r="L1560" t="str">
            <v>Normal</v>
          </cell>
          <cell r="M1560" t="str">
            <v>Japan</v>
          </cell>
          <cell r="N1560" t="str">
            <v>Aloka</v>
          </cell>
          <cell r="O1560" t="str">
            <v>PDM-222C-SH</v>
          </cell>
          <cell r="P1560" t="str">
            <v>203V1523</v>
          </cell>
          <cell r="Q1560" t="str">
            <v>Not Applicable</v>
          </cell>
          <cell r="R1560" t="str">
            <v>Hitachi Aloka Medical Co Ltd</v>
          </cell>
          <cell r="S1560" t="str">
            <v>Elite</v>
          </cell>
          <cell r="T1560" t="str">
            <v>Functioning</v>
          </cell>
          <cell r="U1560" t="str">
            <v>Asset</v>
          </cell>
          <cell r="V1560">
            <v>1883</v>
          </cell>
          <cell r="W1560" t="str">
            <v>KEW</v>
          </cell>
          <cell r="X1560" t="str">
            <v>06/11/2014</v>
          </cell>
          <cell r="Y1560" t="str">
            <v>KEW</v>
          </cell>
          <cell r="Z1560" t="str">
            <v>05/12/2014</v>
          </cell>
          <cell r="AA1560" t="str">
            <v>04/12/2016</v>
          </cell>
          <cell r="AB1560" t="str">
            <v>No</v>
          </cell>
          <cell r="AC1560" t="str">
            <v>05/12/2014</v>
          </cell>
          <cell r="AD1560" t="str">
            <v>Good</v>
          </cell>
          <cell r="AE1560" t="str">
            <v>V3 - Added Installed Facilities (New)</v>
          </cell>
          <cell r="AF1560">
            <v>43404</v>
          </cell>
          <cell r="AG1560">
            <v>5</v>
          </cell>
          <cell r="AH1560" t="str">
            <v>PPM</v>
          </cell>
          <cell r="AI1560" t="str">
            <v>Strands</v>
          </cell>
          <cell r="AJ1560" t="str">
            <v>Strands PW</v>
          </cell>
          <cell r="AK1560" t="str">
            <v>SNF received. 1st batch of V3 asset (December 2020)</v>
          </cell>
        </row>
        <row r="1561">
          <cell r="A1561" t="str">
            <v>IKN401346</v>
          </cell>
          <cell r="B1561">
            <v>1340</v>
          </cell>
          <cell r="C1561" t="str">
            <v>Institut Kanser Negara</v>
          </cell>
          <cell r="D1561" t="str">
            <v>KKM/IKN/H/14/114</v>
          </cell>
          <cell r="E1561" t="str">
            <v>11-295</v>
          </cell>
          <cell r="F1561" t="str">
            <v>Dosimeters, Radiation</v>
          </cell>
          <cell r="G1561" t="str">
            <v>NM</v>
          </cell>
          <cell r="H1561" t="str">
            <v>NUCLEAR MED (DIAGNOSTIC)</v>
          </cell>
          <cell r="I1561" t="str">
            <v>03NM180</v>
          </cell>
          <cell r="J1561" t="str">
            <v>GEN.OFFICE</v>
          </cell>
          <cell r="K1561" t="str">
            <v>BMED</v>
          </cell>
          <cell r="L1561" t="str">
            <v>Normal</v>
          </cell>
          <cell r="M1561" t="str">
            <v>Japan</v>
          </cell>
          <cell r="N1561" t="str">
            <v>Aloka</v>
          </cell>
          <cell r="O1561" t="str">
            <v>PDM-222C-SH</v>
          </cell>
          <cell r="P1561" t="str">
            <v>203V1529</v>
          </cell>
          <cell r="Q1561" t="str">
            <v>Not Applicable</v>
          </cell>
          <cell r="R1561" t="str">
            <v>Hitachi Aloka Medical Co Ltd</v>
          </cell>
          <cell r="S1561" t="str">
            <v>Elite</v>
          </cell>
          <cell r="T1561" t="str">
            <v>Functioning</v>
          </cell>
          <cell r="U1561" t="str">
            <v>Asset</v>
          </cell>
          <cell r="V1561">
            <v>1883</v>
          </cell>
          <cell r="W1561" t="str">
            <v>KEW</v>
          </cell>
          <cell r="X1561" t="str">
            <v>06/11/2014</v>
          </cell>
          <cell r="Y1561" t="str">
            <v>KEW</v>
          </cell>
          <cell r="Z1561" t="str">
            <v>05/12/2014</v>
          </cell>
          <cell r="AA1561" t="str">
            <v>04/12/2016</v>
          </cell>
          <cell r="AB1561" t="str">
            <v>No</v>
          </cell>
          <cell r="AC1561" t="str">
            <v>05/12/2014</v>
          </cell>
          <cell r="AD1561" t="str">
            <v>Good</v>
          </cell>
          <cell r="AE1561" t="str">
            <v>V3 - Added Installed Facilities (New)</v>
          </cell>
          <cell r="AF1561">
            <v>43404</v>
          </cell>
          <cell r="AG1561">
            <v>5</v>
          </cell>
          <cell r="AH1561" t="str">
            <v>PPM</v>
          </cell>
          <cell r="AI1561" t="str">
            <v>Strands</v>
          </cell>
          <cell r="AJ1561" t="str">
            <v>Strands PW</v>
          </cell>
          <cell r="AK1561" t="str">
            <v>SNF received. 1st batch of V3 asset (December 2020)</v>
          </cell>
        </row>
        <row r="1562">
          <cell r="A1562" t="str">
            <v>IKN401347</v>
          </cell>
          <cell r="B1562">
            <v>1341</v>
          </cell>
          <cell r="C1562" t="str">
            <v>Institut Kanser Negara</v>
          </cell>
          <cell r="D1562" t="str">
            <v>KKM/IKN/H/14/112</v>
          </cell>
          <cell r="E1562" t="str">
            <v>11-295</v>
          </cell>
          <cell r="F1562" t="str">
            <v>Dosimeters, Radiation</v>
          </cell>
          <cell r="G1562" t="str">
            <v>NM</v>
          </cell>
          <cell r="H1562" t="str">
            <v>NUCLEAR MED (DIAGNOSTIC)</v>
          </cell>
          <cell r="I1562" t="str">
            <v>03NM180</v>
          </cell>
          <cell r="J1562" t="str">
            <v>GEN.OFFICE</v>
          </cell>
          <cell r="K1562" t="str">
            <v>BMED</v>
          </cell>
          <cell r="L1562" t="str">
            <v>Normal</v>
          </cell>
          <cell r="M1562" t="str">
            <v>Japan</v>
          </cell>
          <cell r="N1562" t="str">
            <v>Aloka</v>
          </cell>
          <cell r="O1562" t="str">
            <v>PDM-222C-SH</v>
          </cell>
          <cell r="P1562" t="str">
            <v>203V1527</v>
          </cell>
          <cell r="Q1562" t="str">
            <v>Not Applicable</v>
          </cell>
          <cell r="R1562" t="str">
            <v>Hitachi Aloka Medical Co Ltd</v>
          </cell>
          <cell r="S1562" t="str">
            <v>Elite</v>
          </cell>
          <cell r="T1562" t="str">
            <v>Functioning</v>
          </cell>
          <cell r="U1562" t="str">
            <v>Asset</v>
          </cell>
          <cell r="V1562">
            <v>1883</v>
          </cell>
          <cell r="W1562" t="str">
            <v>KEW</v>
          </cell>
          <cell r="X1562" t="str">
            <v>06/11/2014</v>
          </cell>
          <cell r="Y1562" t="str">
            <v>KEW</v>
          </cell>
          <cell r="Z1562" t="str">
            <v>05/12/2014</v>
          </cell>
          <cell r="AA1562" t="str">
            <v>04/12/2016</v>
          </cell>
          <cell r="AB1562" t="str">
            <v>No</v>
          </cell>
          <cell r="AC1562" t="str">
            <v>05/12/2014</v>
          </cell>
          <cell r="AD1562" t="str">
            <v>Good</v>
          </cell>
          <cell r="AE1562" t="str">
            <v>V3 - Added Installed Facilities (New)</v>
          </cell>
          <cell r="AF1562">
            <v>43404</v>
          </cell>
          <cell r="AG1562">
            <v>5</v>
          </cell>
          <cell r="AH1562" t="str">
            <v>PPM</v>
          </cell>
          <cell r="AI1562" t="str">
            <v>Strands</v>
          </cell>
          <cell r="AJ1562" t="str">
            <v>Strands PW</v>
          </cell>
          <cell r="AK1562" t="str">
            <v>SNF received. 1st batch of V3 asset (December 2020)</v>
          </cell>
        </row>
        <row r="1563">
          <cell r="A1563" t="str">
            <v>IKN401348</v>
          </cell>
          <cell r="B1563">
            <v>1342</v>
          </cell>
          <cell r="C1563" t="str">
            <v>Institut Kanser Negara</v>
          </cell>
          <cell r="D1563" t="str">
            <v>KKM/IKN/H/14/111</v>
          </cell>
          <cell r="E1563" t="str">
            <v>11-295</v>
          </cell>
          <cell r="F1563" t="str">
            <v>Dosimeters, Radiation</v>
          </cell>
          <cell r="G1563" t="str">
            <v>NM</v>
          </cell>
          <cell r="H1563" t="str">
            <v>NUCLEAR MED (DIAGNOSTIC)</v>
          </cell>
          <cell r="I1563" t="str">
            <v>03NM180</v>
          </cell>
          <cell r="J1563" t="str">
            <v>GEN.OFFICE</v>
          </cell>
          <cell r="K1563" t="str">
            <v>BMED</v>
          </cell>
          <cell r="L1563" t="str">
            <v>Normal</v>
          </cell>
          <cell r="M1563" t="str">
            <v>Japan</v>
          </cell>
          <cell r="N1563" t="str">
            <v>Aloka</v>
          </cell>
          <cell r="O1563" t="str">
            <v>PDM-222C-SH</v>
          </cell>
          <cell r="P1563" t="str">
            <v>203V1526</v>
          </cell>
          <cell r="Q1563" t="str">
            <v>Not Applicable</v>
          </cell>
          <cell r="R1563" t="str">
            <v>Hitachi Aloka Medical Co Ltd</v>
          </cell>
          <cell r="S1563" t="str">
            <v>Elite</v>
          </cell>
          <cell r="T1563" t="str">
            <v>Functioning</v>
          </cell>
          <cell r="U1563" t="str">
            <v>Asset</v>
          </cell>
          <cell r="V1563">
            <v>1883</v>
          </cell>
          <cell r="W1563" t="str">
            <v>KEW</v>
          </cell>
          <cell r="X1563" t="str">
            <v>06/11/2014</v>
          </cell>
          <cell r="Y1563" t="str">
            <v>KEW</v>
          </cell>
          <cell r="Z1563" t="str">
            <v>05/12/2014</v>
          </cell>
          <cell r="AA1563" t="str">
            <v>04/12/2016</v>
          </cell>
          <cell r="AB1563" t="str">
            <v>No</v>
          </cell>
          <cell r="AC1563" t="str">
            <v>05/12/2014</v>
          </cell>
          <cell r="AD1563" t="str">
            <v>Good</v>
          </cell>
          <cell r="AE1563" t="str">
            <v>V3 - Added Installed Facilities (New)</v>
          </cell>
          <cell r="AF1563">
            <v>43404</v>
          </cell>
          <cell r="AG1563">
            <v>5</v>
          </cell>
          <cell r="AH1563" t="str">
            <v>PPM</v>
          </cell>
          <cell r="AI1563" t="str">
            <v>Strands</v>
          </cell>
          <cell r="AJ1563" t="str">
            <v>Strands PW</v>
          </cell>
          <cell r="AK1563" t="str">
            <v>SNF received. 1st batch of V3 asset (December 2020)</v>
          </cell>
        </row>
        <row r="1564">
          <cell r="A1564" t="str">
            <v>IKN401349</v>
          </cell>
          <cell r="B1564">
            <v>1343</v>
          </cell>
          <cell r="C1564" t="str">
            <v>Institut Kanser Negara</v>
          </cell>
          <cell r="D1564" t="str">
            <v>KKM/IKN/H/14/110</v>
          </cell>
          <cell r="E1564" t="str">
            <v>11-295</v>
          </cell>
          <cell r="F1564" t="str">
            <v>Dosimeters, Radiation</v>
          </cell>
          <cell r="G1564" t="str">
            <v>NM</v>
          </cell>
          <cell r="H1564" t="str">
            <v>NUCLEAR MED (DIAGNOSTIC)</v>
          </cell>
          <cell r="I1564" t="str">
            <v>03NM180</v>
          </cell>
          <cell r="J1564" t="str">
            <v>GEN.OFFICE</v>
          </cell>
          <cell r="K1564" t="str">
            <v>BMED</v>
          </cell>
          <cell r="L1564" t="str">
            <v>Normal</v>
          </cell>
          <cell r="M1564" t="str">
            <v>Japan</v>
          </cell>
          <cell r="N1564" t="str">
            <v>Aloka</v>
          </cell>
          <cell r="O1564" t="str">
            <v>PDM-222C-SH</v>
          </cell>
          <cell r="P1564" t="str">
            <v>203V1525</v>
          </cell>
          <cell r="Q1564" t="str">
            <v>Not Applicable</v>
          </cell>
          <cell r="R1564" t="str">
            <v>Hitachi Aloka Medical Co Ltd</v>
          </cell>
          <cell r="S1564" t="str">
            <v>Elite</v>
          </cell>
          <cell r="T1564" t="str">
            <v>Functioning</v>
          </cell>
          <cell r="U1564" t="str">
            <v>Asset</v>
          </cell>
          <cell r="V1564">
            <v>1883</v>
          </cell>
          <cell r="W1564" t="str">
            <v>KEW</v>
          </cell>
          <cell r="X1564" t="str">
            <v>06/11/2014</v>
          </cell>
          <cell r="Y1564" t="str">
            <v>KEW</v>
          </cell>
          <cell r="Z1564" t="str">
            <v>05/12/2014</v>
          </cell>
          <cell r="AA1564" t="str">
            <v>04/12/2016</v>
          </cell>
          <cell r="AB1564" t="str">
            <v>No</v>
          </cell>
          <cell r="AC1564" t="str">
            <v>05/12/2014</v>
          </cell>
          <cell r="AD1564" t="str">
            <v>Good</v>
          </cell>
          <cell r="AE1564" t="str">
            <v>V3 - Added Installed Facilities (New)</v>
          </cell>
          <cell r="AF1564">
            <v>43404</v>
          </cell>
          <cell r="AG1564">
            <v>5</v>
          </cell>
          <cell r="AH1564" t="str">
            <v>PPM</v>
          </cell>
          <cell r="AI1564" t="str">
            <v>Strands</v>
          </cell>
          <cell r="AJ1564" t="str">
            <v>Strands PW</v>
          </cell>
          <cell r="AK1564" t="str">
            <v>SNF received. 1st batch of V3 asset (December 2020)</v>
          </cell>
        </row>
        <row r="1565">
          <cell r="A1565" t="str">
            <v>IKN401350</v>
          </cell>
          <cell r="B1565">
            <v>1344</v>
          </cell>
          <cell r="C1565" t="str">
            <v>Institut Kanser Negara</v>
          </cell>
          <cell r="D1565" t="str">
            <v>KKM/IKN/H/14/102</v>
          </cell>
          <cell r="E1565" t="str">
            <v>11-295</v>
          </cell>
          <cell r="F1565" t="str">
            <v>Dosimeters, Radiation</v>
          </cell>
          <cell r="G1565" t="str">
            <v>NM</v>
          </cell>
          <cell r="H1565" t="str">
            <v>NUCLEAR MED (DIAGNOSTIC)</v>
          </cell>
          <cell r="I1565" t="str">
            <v>03NM180</v>
          </cell>
          <cell r="J1565" t="str">
            <v>GEN.OFFICE</v>
          </cell>
          <cell r="K1565" t="str">
            <v>BMED</v>
          </cell>
          <cell r="L1565" t="str">
            <v>Normal</v>
          </cell>
          <cell r="M1565" t="str">
            <v>Japan</v>
          </cell>
          <cell r="N1565" t="str">
            <v>Aloka</v>
          </cell>
          <cell r="O1565" t="str">
            <v>PDM-222C-SH</v>
          </cell>
          <cell r="P1565" t="str">
            <v>203V1531</v>
          </cell>
          <cell r="Q1565" t="str">
            <v>Not Applicable</v>
          </cell>
          <cell r="R1565" t="str">
            <v>Hitachi Aloka Medical Co Ltd</v>
          </cell>
          <cell r="S1565" t="str">
            <v>Elite</v>
          </cell>
          <cell r="T1565" t="str">
            <v>Functioning</v>
          </cell>
          <cell r="U1565" t="str">
            <v>Asset</v>
          </cell>
          <cell r="V1565">
            <v>1883</v>
          </cell>
          <cell r="W1565" t="str">
            <v>KEW</v>
          </cell>
          <cell r="X1565" t="str">
            <v>06/11/2014</v>
          </cell>
          <cell r="Y1565" t="str">
            <v>KEW</v>
          </cell>
          <cell r="Z1565" t="str">
            <v>05/12/2014</v>
          </cell>
          <cell r="AA1565" t="str">
            <v>04/12/2016</v>
          </cell>
          <cell r="AB1565" t="str">
            <v>No</v>
          </cell>
          <cell r="AC1565" t="str">
            <v>05/12/2014</v>
          </cell>
          <cell r="AD1565" t="str">
            <v>Good</v>
          </cell>
          <cell r="AE1565" t="str">
            <v>V3 - Added Installed Facilities (New)</v>
          </cell>
          <cell r="AF1565">
            <v>43404</v>
          </cell>
          <cell r="AG1565">
            <v>5</v>
          </cell>
          <cell r="AH1565" t="str">
            <v>PPM</v>
          </cell>
          <cell r="AI1565" t="str">
            <v>Strands</v>
          </cell>
          <cell r="AJ1565" t="str">
            <v>Strands PW</v>
          </cell>
          <cell r="AK1565" t="str">
            <v>SNF received. 1st batch of V3 asset (December 2020)</v>
          </cell>
        </row>
        <row r="1566">
          <cell r="A1566" t="str">
            <v>IKN401351</v>
          </cell>
          <cell r="B1566">
            <v>1345</v>
          </cell>
          <cell r="C1566" t="str">
            <v>Institut Kanser Negara</v>
          </cell>
          <cell r="D1566" t="str">
            <v>KKM/IKN/H/14/115</v>
          </cell>
          <cell r="E1566" t="str">
            <v>11-295</v>
          </cell>
          <cell r="F1566" t="str">
            <v>Dosimeters, Radiation</v>
          </cell>
          <cell r="G1566" t="str">
            <v>NM</v>
          </cell>
          <cell r="H1566" t="str">
            <v>NUCLEAR MED (DIAGNOSTIC)</v>
          </cell>
          <cell r="I1566" t="str">
            <v>03NM180</v>
          </cell>
          <cell r="J1566" t="str">
            <v>GEN.OFFICE</v>
          </cell>
          <cell r="K1566" t="str">
            <v>BMED</v>
          </cell>
          <cell r="L1566" t="str">
            <v>Normal</v>
          </cell>
          <cell r="M1566" t="str">
            <v>Japan</v>
          </cell>
          <cell r="N1566" t="str">
            <v>Aloka</v>
          </cell>
          <cell r="O1566" t="str">
            <v>PDM-222C-SH</v>
          </cell>
          <cell r="P1566" t="str">
            <v>203V1530</v>
          </cell>
          <cell r="Q1566" t="str">
            <v>Not Applicable</v>
          </cell>
          <cell r="R1566" t="str">
            <v>Hitachi Aloka Medical Co Ltd</v>
          </cell>
          <cell r="S1566" t="str">
            <v>Elite</v>
          </cell>
          <cell r="T1566" t="str">
            <v>Functioning</v>
          </cell>
          <cell r="U1566" t="str">
            <v>Asset</v>
          </cell>
          <cell r="V1566">
            <v>1883</v>
          </cell>
          <cell r="W1566" t="str">
            <v>KEW</v>
          </cell>
          <cell r="X1566" t="str">
            <v>06/11/2014</v>
          </cell>
          <cell r="Y1566" t="str">
            <v>KEW</v>
          </cell>
          <cell r="Z1566" t="str">
            <v>05/12/2014</v>
          </cell>
          <cell r="AA1566" t="str">
            <v>04/12/2016</v>
          </cell>
          <cell r="AB1566" t="str">
            <v>No</v>
          </cell>
          <cell r="AC1566" t="str">
            <v>05/12/2014</v>
          </cell>
          <cell r="AD1566" t="str">
            <v>Good</v>
          </cell>
          <cell r="AE1566" t="str">
            <v>V3 - Added Installed Facilities (New)</v>
          </cell>
          <cell r="AF1566">
            <v>43404</v>
          </cell>
          <cell r="AG1566">
            <v>5</v>
          </cell>
          <cell r="AH1566" t="str">
            <v>PPM</v>
          </cell>
          <cell r="AI1566" t="str">
            <v>Strands</v>
          </cell>
          <cell r="AJ1566" t="str">
            <v>Strands PW</v>
          </cell>
          <cell r="AK1566" t="str">
            <v>SNF received. 1st batch of V3 asset (December 2020).</v>
          </cell>
        </row>
        <row r="1567">
          <cell r="A1567" t="str">
            <v>IKN401352</v>
          </cell>
          <cell r="B1567">
            <v>1346</v>
          </cell>
          <cell r="C1567" t="str">
            <v>Institut Kanser Negara</v>
          </cell>
          <cell r="D1567" t="str">
            <v>KKM/IKN/H/14/107</v>
          </cell>
          <cell r="E1567" t="str">
            <v>11-295</v>
          </cell>
          <cell r="F1567" t="str">
            <v>Dosimeters, Radiation</v>
          </cell>
          <cell r="G1567" t="str">
            <v>NM</v>
          </cell>
          <cell r="H1567" t="str">
            <v>NUCLEAR MED (DIAGNOSTIC)</v>
          </cell>
          <cell r="I1567" t="str">
            <v>03NM180</v>
          </cell>
          <cell r="J1567" t="str">
            <v>GEN.OFFICE</v>
          </cell>
          <cell r="K1567" t="str">
            <v>BMED</v>
          </cell>
          <cell r="L1567" t="str">
            <v>Normal</v>
          </cell>
          <cell r="M1567" t="str">
            <v>Japan</v>
          </cell>
          <cell r="N1567" t="str">
            <v>Aloka</v>
          </cell>
          <cell r="O1567" t="str">
            <v>PDM-222C-SH</v>
          </cell>
          <cell r="P1567" t="str">
            <v>203V1522</v>
          </cell>
          <cell r="Q1567" t="str">
            <v>Not Applicable</v>
          </cell>
          <cell r="R1567" t="str">
            <v>Hitachi Aloka Medical Co Ltd</v>
          </cell>
          <cell r="S1567" t="str">
            <v>Elite</v>
          </cell>
          <cell r="T1567" t="str">
            <v>Functioning</v>
          </cell>
          <cell r="U1567" t="str">
            <v>Asset</v>
          </cell>
          <cell r="V1567">
            <v>1883</v>
          </cell>
          <cell r="W1567" t="str">
            <v>KEW</v>
          </cell>
          <cell r="X1567" t="str">
            <v>06/11/2014</v>
          </cell>
          <cell r="Y1567" t="str">
            <v>KEW</v>
          </cell>
          <cell r="Z1567" t="str">
            <v>05/12/2014</v>
          </cell>
          <cell r="AA1567" t="str">
            <v>04/12/2016</v>
          </cell>
          <cell r="AB1567" t="str">
            <v>No</v>
          </cell>
          <cell r="AC1567" t="str">
            <v>05/12/2014</v>
          </cell>
          <cell r="AD1567" t="str">
            <v>Good</v>
          </cell>
          <cell r="AE1567" t="str">
            <v>V3 - Added Installed Facilities (New)</v>
          </cell>
          <cell r="AF1567">
            <v>43404</v>
          </cell>
          <cell r="AG1567">
            <v>5</v>
          </cell>
          <cell r="AH1567" t="str">
            <v>PPM</v>
          </cell>
          <cell r="AI1567" t="str">
            <v>Strands</v>
          </cell>
          <cell r="AJ1567" t="str">
            <v>Strands PW</v>
          </cell>
          <cell r="AK1567" t="str">
            <v>SNF received. 1st batch of V3 asset (December 2020) [Masukkan dalam schedule PPM Feb 2024]</v>
          </cell>
        </row>
        <row r="1568">
          <cell r="A1568" t="str">
            <v>IKN401353</v>
          </cell>
          <cell r="B1568">
            <v>1347</v>
          </cell>
          <cell r="C1568" t="str">
            <v>Institut Kanser Negara</v>
          </cell>
          <cell r="D1568" t="str">
            <v>KKM/IKN/H/16/28</v>
          </cell>
          <cell r="E1568" t="str">
            <v>11-758</v>
          </cell>
          <cell r="F1568" t="str">
            <v>Radiographic/Fluoroscopic Units, Mobile</v>
          </cell>
          <cell r="G1568" t="str">
            <v>ID</v>
          </cell>
          <cell r="H1568" t="str">
            <v>IMAGING DEPARTMENT</v>
          </cell>
          <cell r="I1568" t="str">
            <v>05OT159</v>
          </cell>
          <cell r="J1568" t="str">
            <v>POST-OP/RECOVERY (FUTURE)</v>
          </cell>
          <cell r="K1568" t="str">
            <v>BMED</v>
          </cell>
          <cell r="L1568" t="str">
            <v>Critical</v>
          </cell>
          <cell r="M1568" t="str">
            <v>Italy</v>
          </cell>
          <cell r="N1568" t="str">
            <v>Eurocolumbus</v>
          </cell>
          <cell r="O1568" t="str">
            <v>Alien 9</v>
          </cell>
          <cell r="P1568" t="str">
            <v>1717</v>
          </cell>
          <cell r="Q1568" t="str">
            <v>Not Applicable</v>
          </cell>
          <cell r="R1568" t="str">
            <v>Eurocolumbus</v>
          </cell>
          <cell r="S1568" t="str">
            <v>Alam Medik Sdn. Bhd</v>
          </cell>
          <cell r="T1568" t="str">
            <v>Functioning</v>
          </cell>
          <cell r="U1568" t="str">
            <v>Asset</v>
          </cell>
          <cell r="V1568">
            <v>399000</v>
          </cell>
          <cell r="W1568" t="str">
            <v>KEW</v>
          </cell>
          <cell r="X1568" t="str">
            <v>25/10/2016</v>
          </cell>
          <cell r="Y1568" t="str">
            <v>KEW</v>
          </cell>
          <cell r="Z1568" t="str">
            <v>19/12/2016</v>
          </cell>
          <cell r="AA1568" t="str">
            <v>18/12/2017</v>
          </cell>
          <cell r="AB1568" t="str">
            <v>No</v>
          </cell>
          <cell r="AC1568" t="str">
            <v>19/12/2016</v>
          </cell>
          <cell r="AD1568" t="str">
            <v>Good</v>
          </cell>
          <cell r="AE1568" t="str">
            <v>V3 - Added Installed Facilities (New)</v>
          </cell>
          <cell r="AF1568">
            <v>42843</v>
          </cell>
          <cell r="AG1568">
            <v>3.08</v>
          </cell>
          <cell r="AH1568" t="str">
            <v>PPM</v>
          </cell>
          <cell r="AI1568" t="str">
            <v>Strands</v>
          </cell>
          <cell r="AJ1568" t="str">
            <v>Strands PW</v>
          </cell>
          <cell r="AK1568" t="str">
            <v>SNF received on 25.2.2020. [5/3/2024, ANIS]: Under ID tapi barang dekat GOT.</v>
          </cell>
        </row>
        <row r="1569">
          <cell r="A1569" t="str">
            <v>IKN401354</v>
          </cell>
          <cell r="B1569">
            <v>1348</v>
          </cell>
          <cell r="C1569" t="str">
            <v>Institut Kanser Negara</v>
          </cell>
          <cell r="D1569" t="str">
            <v>KKM/IKN/H/13/4634</v>
          </cell>
          <cell r="E1569" t="str">
            <v>13-209</v>
          </cell>
          <cell r="F1569" t="str">
            <v>Pumps, Enteral Feeding</v>
          </cell>
          <cell r="G1569" t="str">
            <v>DU</v>
          </cell>
          <cell r="H1569" t="str">
            <v>DIETICIAN UNIT</v>
          </cell>
          <cell r="I1569" t="str">
            <v>03DU103</v>
          </cell>
          <cell r="J1569" t="str">
            <v>COUNSELLING 1</v>
          </cell>
          <cell r="K1569" t="str">
            <v>BMED</v>
          </cell>
          <cell r="L1569" t="str">
            <v>Normal</v>
          </cell>
          <cell r="M1569" t="str">
            <v>USA</v>
          </cell>
          <cell r="N1569" t="str">
            <v>Sentinel</v>
          </cell>
          <cell r="O1569" t="str">
            <v>Sentinel S-2000</v>
          </cell>
          <cell r="P1569" t="str">
            <v>18072</v>
          </cell>
          <cell r="Q1569" t="str">
            <v>KKM/IKN/H/13/4634</v>
          </cell>
          <cell r="R1569" t="str">
            <v>Alcor Scientific Inc</v>
          </cell>
          <cell r="S1569" t="str">
            <v>Insani Damai</v>
          </cell>
          <cell r="T1569" t="str">
            <v>Functioning</v>
          </cell>
          <cell r="U1569" t="str">
            <v>Asset</v>
          </cell>
          <cell r="V1569">
            <v>2500</v>
          </cell>
          <cell r="W1569" t="str">
            <v>KEW</v>
          </cell>
          <cell r="X1569" t="str">
            <v>09/12/2013</v>
          </cell>
          <cell r="Y1569" t="str">
            <v>KEW</v>
          </cell>
          <cell r="Z1569" t="str">
            <v>10/12/2013</v>
          </cell>
          <cell r="AA1569" t="str">
            <v>09/12/2014</v>
          </cell>
          <cell r="AB1569" t="str">
            <v>No</v>
          </cell>
          <cell r="AC1569" t="str">
            <v>10/12/2013</v>
          </cell>
          <cell r="AD1569" t="str">
            <v>Good</v>
          </cell>
          <cell r="AE1569" t="str">
            <v>V3 - Added Installed Facilities (New)</v>
          </cell>
          <cell r="AF1569">
            <v>42796</v>
          </cell>
          <cell r="AG1569">
            <v>5.92</v>
          </cell>
          <cell r="AH1569" t="str">
            <v>PPM</v>
          </cell>
          <cell r="AI1569" t="str">
            <v>Strands</v>
          </cell>
          <cell r="AJ1569" t="str">
            <v>Strands PW</v>
          </cell>
          <cell r="AK1569" t="str">
            <v>SNF received. 1st batch of V3 asset (December 2020)</v>
          </cell>
        </row>
        <row r="1570">
          <cell r="A1570" t="str">
            <v>IKN401355</v>
          </cell>
          <cell r="B1570">
            <v>1349</v>
          </cell>
          <cell r="C1570" t="str">
            <v>Institut Kanser Negara</v>
          </cell>
          <cell r="D1570" t="str">
            <v>KKM/IKN/H/13/4633</v>
          </cell>
          <cell r="E1570" t="str">
            <v>13-209</v>
          </cell>
          <cell r="F1570" t="str">
            <v>Pumps, Enteral Feeding</v>
          </cell>
          <cell r="G1570" t="str">
            <v>DU</v>
          </cell>
          <cell r="H1570" t="str">
            <v>DIETICIAN UNIT</v>
          </cell>
          <cell r="I1570" t="str">
            <v>03DU103</v>
          </cell>
          <cell r="J1570" t="str">
            <v>COUNSELLING 1</v>
          </cell>
          <cell r="K1570" t="str">
            <v>BMED</v>
          </cell>
          <cell r="L1570" t="str">
            <v>Normal</v>
          </cell>
          <cell r="M1570" t="str">
            <v>USA</v>
          </cell>
          <cell r="N1570" t="str">
            <v>Sentinel</v>
          </cell>
          <cell r="O1570" t="str">
            <v>Sentinel S-2000</v>
          </cell>
          <cell r="P1570" t="str">
            <v>18024</v>
          </cell>
          <cell r="Q1570" t="str">
            <v>KKM/IKN/H/13/4633</v>
          </cell>
          <cell r="R1570" t="str">
            <v>Alcor Scientific Inc</v>
          </cell>
          <cell r="S1570" t="str">
            <v>Insani Damai</v>
          </cell>
          <cell r="T1570" t="str">
            <v>Functioning</v>
          </cell>
          <cell r="U1570" t="str">
            <v>Asset</v>
          </cell>
          <cell r="V1570">
            <v>2500</v>
          </cell>
          <cell r="W1570" t="str">
            <v>KEW</v>
          </cell>
          <cell r="X1570" t="str">
            <v>09/12/2013</v>
          </cell>
          <cell r="Y1570" t="str">
            <v>KEW</v>
          </cell>
          <cell r="Z1570" t="str">
            <v>10/12/2013</v>
          </cell>
          <cell r="AA1570" t="str">
            <v>09/12/2014</v>
          </cell>
          <cell r="AB1570" t="str">
            <v>No</v>
          </cell>
          <cell r="AC1570" t="str">
            <v>10/12/2013</v>
          </cell>
          <cell r="AD1570" t="str">
            <v>Good</v>
          </cell>
          <cell r="AE1570" t="str">
            <v>V3 - Added Installed Facilities (New)</v>
          </cell>
          <cell r="AF1570">
            <v>42796</v>
          </cell>
          <cell r="AG1570">
            <v>5.92</v>
          </cell>
          <cell r="AH1570" t="str">
            <v>PPM</v>
          </cell>
          <cell r="AI1570" t="str">
            <v>Strands</v>
          </cell>
          <cell r="AJ1570" t="str">
            <v>Strands PW</v>
          </cell>
          <cell r="AK1570" t="str">
            <v>SNF received. 1st batch of V3 asset (December 2020)</v>
          </cell>
        </row>
        <row r="1571">
          <cell r="A1571" t="str">
            <v>IKN401356</v>
          </cell>
          <cell r="B1571">
            <v>1350</v>
          </cell>
          <cell r="C1571" t="str">
            <v>Institut Kanser Negara</v>
          </cell>
          <cell r="D1571" t="str">
            <v>KKM/IKN/H/13/4490</v>
          </cell>
          <cell r="E1571" t="str">
            <v>13-209</v>
          </cell>
          <cell r="F1571" t="str">
            <v>Pumps, Enteral Feeding</v>
          </cell>
          <cell r="G1571" t="str">
            <v>DU</v>
          </cell>
          <cell r="H1571" t="str">
            <v>DIETICIAN UNIT</v>
          </cell>
          <cell r="I1571" t="str">
            <v>03DU103</v>
          </cell>
          <cell r="J1571" t="str">
            <v>COUNSELLING 1</v>
          </cell>
          <cell r="K1571" t="str">
            <v>BMED</v>
          </cell>
          <cell r="L1571" t="str">
            <v>Normal</v>
          </cell>
          <cell r="M1571" t="str">
            <v>USA</v>
          </cell>
          <cell r="N1571" t="str">
            <v>Sentinel</v>
          </cell>
          <cell r="O1571" t="str">
            <v>Sentinel S-2000</v>
          </cell>
          <cell r="P1571" t="str">
            <v>18020</v>
          </cell>
          <cell r="Q1571" t="str">
            <v>KKM/IKN/H/13/4490</v>
          </cell>
          <cell r="R1571" t="str">
            <v>Alcor Scientific Inc</v>
          </cell>
          <cell r="S1571" t="str">
            <v>Insani Damai</v>
          </cell>
          <cell r="T1571" t="str">
            <v>Functioning</v>
          </cell>
          <cell r="U1571" t="str">
            <v>Asset</v>
          </cell>
          <cell r="V1571">
            <v>2500</v>
          </cell>
          <cell r="W1571" t="str">
            <v>KEW</v>
          </cell>
          <cell r="X1571" t="str">
            <v>09/12/2013</v>
          </cell>
          <cell r="Y1571" t="str">
            <v>KEW</v>
          </cell>
          <cell r="Z1571" t="str">
            <v>10/12/2013</v>
          </cell>
          <cell r="AA1571" t="str">
            <v>09/12/2014</v>
          </cell>
          <cell r="AB1571" t="str">
            <v>No</v>
          </cell>
          <cell r="AC1571" t="str">
            <v>10/12/2013</v>
          </cell>
          <cell r="AD1571" t="str">
            <v>Good</v>
          </cell>
          <cell r="AE1571" t="str">
            <v>V3 - Added Installed Facilities (New)</v>
          </cell>
          <cell r="AF1571">
            <v>42796</v>
          </cell>
          <cell r="AG1571">
            <v>5.92</v>
          </cell>
          <cell r="AH1571" t="str">
            <v>PPM</v>
          </cell>
          <cell r="AI1571" t="str">
            <v>Strands</v>
          </cell>
          <cell r="AJ1571" t="str">
            <v>Strands PW</v>
          </cell>
          <cell r="AK1571" t="str">
            <v>SNF received. 1st batch of V3 asset (December 2020)</v>
          </cell>
        </row>
        <row r="1572">
          <cell r="A1572" t="str">
            <v>IKN401357</v>
          </cell>
          <cell r="B1572">
            <v>1351</v>
          </cell>
          <cell r="C1572" t="str">
            <v>Institut Kanser Negara</v>
          </cell>
          <cell r="D1572" t="str">
            <v>KKM/IKN/H/13/4491</v>
          </cell>
          <cell r="E1572" t="str">
            <v>13-209</v>
          </cell>
          <cell r="F1572" t="str">
            <v>Pumps, Enteral Feeding</v>
          </cell>
          <cell r="G1572" t="str">
            <v>DU</v>
          </cell>
          <cell r="H1572" t="str">
            <v>DIETICIAN UNIT</v>
          </cell>
          <cell r="I1572" t="str">
            <v>03DU103</v>
          </cell>
          <cell r="J1572" t="str">
            <v>COUNSELLING 1</v>
          </cell>
          <cell r="K1572" t="str">
            <v>BMED</v>
          </cell>
          <cell r="L1572" t="str">
            <v>Normal</v>
          </cell>
          <cell r="M1572" t="str">
            <v>USA</v>
          </cell>
          <cell r="N1572" t="str">
            <v>Sentinel</v>
          </cell>
          <cell r="O1572" t="str">
            <v>Sentinel S-2000</v>
          </cell>
          <cell r="P1572" t="str">
            <v>18074</v>
          </cell>
          <cell r="Q1572" t="str">
            <v>KKM/IKN/H/13/4491</v>
          </cell>
          <cell r="R1572" t="str">
            <v>Alcor Scientific Inc</v>
          </cell>
          <cell r="S1572" t="str">
            <v>Insani Damai</v>
          </cell>
          <cell r="T1572" t="str">
            <v>Functioning</v>
          </cell>
          <cell r="U1572" t="str">
            <v>Asset</v>
          </cell>
          <cell r="V1572">
            <v>2500</v>
          </cell>
          <cell r="W1572" t="str">
            <v>KEW</v>
          </cell>
          <cell r="X1572" t="str">
            <v>09/12/2013</v>
          </cell>
          <cell r="Y1572" t="str">
            <v>KEW</v>
          </cell>
          <cell r="Z1572" t="str">
            <v>10/12/2013</v>
          </cell>
          <cell r="AA1572" t="str">
            <v>09/12/2014</v>
          </cell>
          <cell r="AB1572" t="str">
            <v>No</v>
          </cell>
          <cell r="AC1572" t="str">
            <v>10/12/2013</v>
          </cell>
          <cell r="AD1572" t="str">
            <v>Good</v>
          </cell>
          <cell r="AE1572" t="str">
            <v>V3 - Added Installed Facilities (New)</v>
          </cell>
          <cell r="AF1572">
            <v>42796</v>
          </cell>
          <cell r="AG1572">
            <v>5.92</v>
          </cell>
          <cell r="AH1572" t="str">
            <v>PPM</v>
          </cell>
          <cell r="AI1572" t="str">
            <v>Strands</v>
          </cell>
          <cell r="AJ1572" t="str">
            <v>Strands PW</v>
          </cell>
          <cell r="AK1572" t="str">
            <v>SNF received. 1st batch of V3 asset (December 2020)</v>
          </cell>
        </row>
        <row r="1573">
          <cell r="A1573" t="str">
            <v>IKN401358</v>
          </cell>
          <cell r="B1573">
            <v>1352</v>
          </cell>
          <cell r="C1573" t="str">
            <v>Institut Kanser Negara</v>
          </cell>
          <cell r="D1573" t="str">
            <v>KKM/IKN/H/13/4516</v>
          </cell>
          <cell r="E1573" t="str">
            <v>13-209</v>
          </cell>
          <cell r="F1573" t="str">
            <v>Pumps, Enteral Feeding</v>
          </cell>
          <cell r="G1573" t="str">
            <v>DU</v>
          </cell>
          <cell r="H1573" t="str">
            <v>DIETICIAN UNIT</v>
          </cell>
          <cell r="I1573" t="str">
            <v>03DU103</v>
          </cell>
          <cell r="J1573" t="str">
            <v>COUNSELLING 1</v>
          </cell>
          <cell r="K1573" t="str">
            <v>BMED</v>
          </cell>
          <cell r="L1573" t="str">
            <v>Normal</v>
          </cell>
          <cell r="M1573" t="str">
            <v>USA</v>
          </cell>
          <cell r="N1573" t="str">
            <v>Sentinel</v>
          </cell>
          <cell r="O1573" t="str">
            <v>Sentinel S-2000</v>
          </cell>
          <cell r="P1573" t="str">
            <v>18022</v>
          </cell>
          <cell r="Q1573" t="str">
            <v>KKM/IKN/H/13/4516</v>
          </cell>
          <cell r="R1573" t="str">
            <v>Alcor Scientific Inc</v>
          </cell>
          <cell r="S1573" t="str">
            <v>Insani Damai</v>
          </cell>
          <cell r="T1573" t="str">
            <v>Functioning</v>
          </cell>
          <cell r="U1573" t="str">
            <v>Asset</v>
          </cell>
          <cell r="V1573">
            <v>2500</v>
          </cell>
          <cell r="W1573" t="str">
            <v>KEW</v>
          </cell>
          <cell r="X1573" t="str">
            <v>09/12/2013</v>
          </cell>
          <cell r="Y1573" t="str">
            <v>KEW</v>
          </cell>
          <cell r="Z1573" t="str">
            <v>10/12/2013</v>
          </cell>
          <cell r="AA1573" t="str">
            <v>09/12/2014</v>
          </cell>
          <cell r="AB1573" t="str">
            <v>No</v>
          </cell>
          <cell r="AC1573" t="str">
            <v>10/12/2013</v>
          </cell>
          <cell r="AD1573" t="str">
            <v>Good</v>
          </cell>
          <cell r="AE1573" t="str">
            <v>V3 - Added Installed Facilities (New)</v>
          </cell>
          <cell r="AF1573">
            <v>42796</v>
          </cell>
          <cell r="AG1573">
            <v>5.92</v>
          </cell>
          <cell r="AH1573" t="str">
            <v>PPM</v>
          </cell>
          <cell r="AI1573" t="str">
            <v>Strands</v>
          </cell>
          <cell r="AJ1573" t="str">
            <v>Strands PW</v>
          </cell>
          <cell r="AK1573" t="str">
            <v>SNF received. 1st batch of V3 asset (December 2020)</v>
          </cell>
        </row>
        <row r="1574">
          <cell r="A1574" t="str">
            <v>IKN401359</v>
          </cell>
          <cell r="B1574">
            <v>1353</v>
          </cell>
          <cell r="C1574" t="str">
            <v>Institut Kanser Negara</v>
          </cell>
          <cell r="D1574" t="str">
            <v>KKM/IKN/H/13/4517</v>
          </cell>
          <cell r="E1574" t="str">
            <v>13-209</v>
          </cell>
          <cell r="F1574" t="str">
            <v>Pumps, Enteral Feeding</v>
          </cell>
          <cell r="G1574" t="str">
            <v>DU</v>
          </cell>
          <cell r="H1574" t="str">
            <v>DIETICIAN UNIT</v>
          </cell>
          <cell r="I1574" t="str">
            <v>03DU103</v>
          </cell>
          <cell r="J1574" t="str">
            <v>COUNSELLING 1</v>
          </cell>
          <cell r="K1574" t="str">
            <v>BMED</v>
          </cell>
          <cell r="L1574" t="str">
            <v>Normal</v>
          </cell>
          <cell r="M1574" t="str">
            <v>USA</v>
          </cell>
          <cell r="N1574" t="str">
            <v>Sentinel</v>
          </cell>
          <cell r="O1574" t="str">
            <v>Sentinel S-2000</v>
          </cell>
          <cell r="P1574" t="str">
            <v>18073</v>
          </cell>
          <cell r="Q1574" t="str">
            <v>KKM/IKN/H/13/4517</v>
          </cell>
          <cell r="R1574" t="str">
            <v>Alcor Scientific Inc</v>
          </cell>
          <cell r="S1574" t="str">
            <v>Insani Damai</v>
          </cell>
          <cell r="T1574" t="str">
            <v>Functioning</v>
          </cell>
          <cell r="U1574" t="str">
            <v>Asset</v>
          </cell>
          <cell r="V1574">
            <v>2500</v>
          </cell>
          <cell r="W1574" t="str">
            <v>Estimate</v>
          </cell>
          <cell r="X1574" t="str">
            <v>09/12/2013</v>
          </cell>
          <cell r="Y1574" t="str">
            <v>KEW</v>
          </cell>
          <cell r="Z1574" t="str">
            <v>10/12/2013</v>
          </cell>
          <cell r="AA1574" t="str">
            <v>09/12/2014</v>
          </cell>
          <cell r="AB1574" t="str">
            <v>No</v>
          </cell>
          <cell r="AC1574" t="str">
            <v>10/12/2013</v>
          </cell>
          <cell r="AD1574" t="str">
            <v>Good</v>
          </cell>
          <cell r="AE1574" t="str">
            <v>V3 - Added Installed Facilities (New)</v>
          </cell>
          <cell r="AF1574">
            <v>42796</v>
          </cell>
          <cell r="AG1574">
            <v>5.92</v>
          </cell>
          <cell r="AH1574" t="str">
            <v>PPM</v>
          </cell>
          <cell r="AI1574" t="str">
            <v>Strands</v>
          </cell>
          <cell r="AJ1574" t="str">
            <v>Strands PW</v>
          </cell>
          <cell r="AK1574" t="str">
            <v>SNF received. 1st batch of V3 asset (December 2020)</v>
          </cell>
        </row>
        <row r="1575">
          <cell r="A1575" t="str">
            <v>IKN401360</v>
          </cell>
          <cell r="B1575">
            <v>1354</v>
          </cell>
          <cell r="C1575" t="str">
            <v>Institut Kanser Negara</v>
          </cell>
          <cell r="D1575" t="str">
            <v>KKM/IKN/H/13/4631</v>
          </cell>
          <cell r="E1575" t="str">
            <v>13-209</v>
          </cell>
          <cell r="F1575" t="str">
            <v>Pumps, Enteral Feeding</v>
          </cell>
          <cell r="G1575" t="str">
            <v>DU</v>
          </cell>
          <cell r="H1575" t="str">
            <v>DIETICIAN UNIT</v>
          </cell>
          <cell r="I1575" t="str">
            <v>03DU103</v>
          </cell>
          <cell r="J1575" t="str">
            <v>COUNSELLING 1</v>
          </cell>
          <cell r="K1575" t="str">
            <v>BMED</v>
          </cell>
          <cell r="L1575" t="str">
            <v>Normal</v>
          </cell>
          <cell r="M1575" t="str">
            <v>USA</v>
          </cell>
          <cell r="N1575" t="str">
            <v>Sentinel</v>
          </cell>
          <cell r="O1575" t="str">
            <v>Sentinel S-2000</v>
          </cell>
          <cell r="P1575" t="str">
            <v>18023</v>
          </cell>
          <cell r="Q1575" t="str">
            <v>KKM/IKN/H/13/4631</v>
          </cell>
          <cell r="R1575" t="str">
            <v>Alcor Scientific Inc</v>
          </cell>
          <cell r="S1575" t="str">
            <v>Insani Damai</v>
          </cell>
          <cell r="T1575" t="str">
            <v>Functioning</v>
          </cell>
          <cell r="U1575" t="str">
            <v>Asset</v>
          </cell>
          <cell r="V1575">
            <v>2500</v>
          </cell>
          <cell r="W1575" t="str">
            <v>KEW</v>
          </cell>
          <cell r="X1575" t="str">
            <v>09/12/2013</v>
          </cell>
          <cell r="Y1575" t="str">
            <v>KEW</v>
          </cell>
          <cell r="Z1575" t="str">
            <v>10/12/2013</v>
          </cell>
          <cell r="AA1575" t="str">
            <v>09/12/2014</v>
          </cell>
          <cell r="AB1575" t="str">
            <v>No</v>
          </cell>
          <cell r="AC1575" t="str">
            <v>10/12/2013</v>
          </cell>
          <cell r="AD1575" t="str">
            <v>Good</v>
          </cell>
          <cell r="AE1575" t="str">
            <v>V3 - Added Installed Facilities (New)</v>
          </cell>
          <cell r="AF1575">
            <v>42796</v>
          </cell>
          <cell r="AG1575">
            <v>5.92</v>
          </cell>
          <cell r="AH1575" t="str">
            <v>PPM</v>
          </cell>
          <cell r="AI1575" t="str">
            <v>Strands</v>
          </cell>
          <cell r="AJ1575" t="str">
            <v>Strands PW</v>
          </cell>
          <cell r="AK1575" t="str">
            <v>SNF received. 1st batch of V3 asset (December 2020)</v>
          </cell>
        </row>
        <row r="1576">
          <cell r="A1576" t="str">
            <v>IKN401361</v>
          </cell>
          <cell r="B1576">
            <v>1355</v>
          </cell>
          <cell r="C1576" t="str">
            <v>Institut Kanser Negara</v>
          </cell>
          <cell r="D1576" t="str">
            <v>KKM/IKN/H/13/4632</v>
          </cell>
          <cell r="E1576" t="str">
            <v>13-209</v>
          </cell>
          <cell r="F1576" t="str">
            <v>Pumps, Enteral Feeding</v>
          </cell>
          <cell r="G1576" t="str">
            <v>DU</v>
          </cell>
          <cell r="H1576" t="str">
            <v>DIETICIAN UNIT</v>
          </cell>
          <cell r="I1576" t="str">
            <v>03DU103</v>
          </cell>
          <cell r="J1576" t="str">
            <v>COUNSELLING 1</v>
          </cell>
          <cell r="K1576" t="str">
            <v>BMED</v>
          </cell>
          <cell r="L1576" t="str">
            <v>Normal</v>
          </cell>
          <cell r="M1576" t="str">
            <v>USA</v>
          </cell>
          <cell r="N1576" t="str">
            <v>Sentinel</v>
          </cell>
          <cell r="O1576" t="str">
            <v>Sentinel S-2000</v>
          </cell>
          <cell r="P1576" t="str">
            <v>18071</v>
          </cell>
          <cell r="Q1576" t="str">
            <v>KKM/IKN/H/13/4632</v>
          </cell>
          <cell r="R1576" t="str">
            <v>Alcor Scientific Inc</v>
          </cell>
          <cell r="S1576" t="str">
            <v>Insani Damai</v>
          </cell>
          <cell r="T1576" t="str">
            <v>Functioning</v>
          </cell>
          <cell r="U1576" t="str">
            <v>Asset</v>
          </cell>
          <cell r="V1576">
            <v>2500</v>
          </cell>
          <cell r="W1576" t="str">
            <v>KEW</v>
          </cell>
          <cell r="X1576" t="str">
            <v>09/12/2013</v>
          </cell>
          <cell r="Y1576" t="str">
            <v>KEW</v>
          </cell>
          <cell r="Z1576" t="str">
            <v>10/12/2013</v>
          </cell>
          <cell r="AA1576" t="str">
            <v>09/12/2014</v>
          </cell>
          <cell r="AB1576" t="str">
            <v>No</v>
          </cell>
          <cell r="AC1576" t="str">
            <v>10/12/2013</v>
          </cell>
          <cell r="AD1576" t="str">
            <v>Good</v>
          </cell>
          <cell r="AE1576" t="str">
            <v>V3 - Added Installed Facilities (New)</v>
          </cell>
          <cell r="AF1576">
            <v>42796</v>
          </cell>
          <cell r="AG1576">
            <v>5.92</v>
          </cell>
          <cell r="AH1576" t="str">
            <v>PPM</v>
          </cell>
          <cell r="AI1576" t="str">
            <v>Strands</v>
          </cell>
          <cell r="AJ1576" t="str">
            <v>Strands PW</v>
          </cell>
          <cell r="AK1576" t="str">
            <v>SNF received. 1st batch of V3 asset (December 2020)</v>
          </cell>
        </row>
        <row r="1577">
          <cell r="A1577" t="str">
            <v>IKN401362</v>
          </cell>
          <cell r="B1577">
            <v>1356</v>
          </cell>
          <cell r="C1577" t="str">
            <v>Institut Kanser Negara</v>
          </cell>
          <cell r="D1577" t="str">
            <v>KKM/IKN/H/13/4629</v>
          </cell>
          <cell r="E1577" t="str">
            <v>13-209</v>
          </cell>
          <cell r="F1577" t="str">
            <v>Pumps, Enteral Feeding</v>
          </cell>
          <cell r="G1577" t="str">
            <v>DU</v>
          </cell>
          <cell r="H1577" t="str">
            <v>DIETICIAN UNIT</v>
          </cell>
          <cell r="I1577" t="str">
            <v>03DU103</v>
          </cell>
          <cell r="J1577" t="str">
            <v>COUNSELLING 1</v>
          </cell>
          <cell r="K1577" t="str">
            <v>BMED</v>
          </cell>
          <cell r="L1577" t="str">
            <v>Normal</v>
          </cell>
          <cell r="M1577" t="str">
            <v>USA</v>
          </cell>
          <cell r="N1577" t="str">
            <v>Sentinel</v>
          </cell>
          <cell r="O1577" t="str">
            <v>Sentinel S-2000</v>
          </cell>
          <cell r="P1577" t="str">
            <v>18021</v>
          </cell>
          <cell r="Q1577" t="str">
            <v>KKM/IKN/H/13/4629</v>
          </cell>
          <cell r="R1577" t="str">
            <v>Alcor Scientific Inc</v>
          </cell>
          <cell r="S1577" t="str">
            <v>Insani Damai</v>
          </cell>
          <cell r="T1577" t="str">
            <v>Functioning</v>
          </cell>
          <cell r="U1577" t="str">
            <v>Asset</v>
          </cell>
          <cell r="V1577">
            <v>2500</v>
          </cell>
          <cell r="W1577" t="str">
            <v>KEW</v>
          </cell>
          <cell r="X1577" t="str">
            <v>09/12/2013</v>
          </cell>
          <cell r="Y1577" t="str">
            <v>KEW</v>
          </cell>
          <cell r="Z1577" t="str">
            <v>10/12/2013</v>
          </cell>
          <cell r="AA1577" t="str">
            <v>09/12/2014</v>
          </cell>
          <cell r="AB1577" t="str">
            <v>No</v>
          </cell>
          <cell r="AC1577" t="str">
            <v>10/12/2013</v>
          </cell>
          <cell r="AD1577" t="str">
            <v>Good</v>
          </cell>
          <cell r="AE1577" t="str">
            <v>V3 - Added Installed Facilities (New)</v>
          </cell>
          <cell r="AF1577">
            <v>42796</v>
          </cell>
          <cell r="AG1577">
            <v>5.92</v>
          </cell>
          <cell r="AH1577" t="str">
            <v>PPM</v>
          </cell>
          <cell r="AI1577" t="str">
            <v>Strands</v>
          </cell>
          <cell r="AJ1577" t="str">
            <v>Strands PW</v>
          </cell>
          <cell r="AK1577" t="str">
            <v>SNF received. 1st batch of V3 asset (December 2020)</v>
          </cell>
        </row>
        <row r="1578">
          <cell r="A1578" t="str">
            <v>IKN401363</v>
          </cell>
          <cell r="B1578">
            <v>1357</v>
          </cell>
          <cell r="C1578" t="str">
            <v>Institut Kanser Negara</v>
          </cell>
          <cell r="D1578" t="str">
            <v>KKM/IKN/H/13/4630</v>
          </cell>
          <cell r="E1578" t="str">
            <v>13-209</v>
          </cell>
          <cell r="F1578" t="str">
            <v>Pumps, Enteral Feeding</v>
          </cell>
          <cell r="G1578" t="str">
            <v>DU</v>
          </cell>
          <cell r="H1578" t="str">
            <v>DIETICIAN UNIT</v>
          </cell>
          <cell r="I1578" t="str">
            <v>03DU103</v>
          </cell>
          <cell r="J1578" t="str">
            <v>COUNSELLING 1</v>
          </cell>
          <cell r="K1578" t="str">
            <v>BMED</v>
          </cell>
          <cell r="L1578" t="str">
            <v>Normal</v>
          </cell>
          <cell r="M1578" t="str">
            <v>USA</v>
          </cell>
          <cell r="N1578" t="str">
            <v>Sentinel</v>
          </cell>
          <cell r="O1578" t="str">
            <v>Sentinel S-2000</v>
          </cell>
          <cell r="P1578" t="str">
            <v>18018</v>
          </cell>
          <cell r="Q1578" t="str">
            <v>KKM/IKN/H/13/4630</v>
          </cell>
          <cell r="R1578" t="str">
            <v>Alcor Scientific Inc</v>
          </cell>
          <cell r="S1578" t="str">
            <v>Insani Damai</v>
          </cell>
          <cell r="T1578" t="str">
            <v>Functioning</v>
          </cell>
          <cell r="U1578" t="str">
            <v>Asset</v>
          </cell>
          <cell r="V1578">
            <v>2500</v>
          </cell>
          <cell r="W1578" t="str">
            <v>KEW</v>
          </cell>
          <cell r="X1578" t="str">
            <v>09/12/2013</v>
          </cell>
          <cell r="Y1578" t="str">
            <v>KEW</v>
          </cell>
          <cell r="Z1578" t="str">
            <v>10/12/2013</v>
          </cell>
          <cell r="AA1578" t="str">
            <v>09/12/2014</v>
          </cell>
          <cell r="AB1578" t="str">
            <v>No</v>
          </cell>
          <cell r="AC1578" t="str">
            <v>10/12/2013</v>
          </cell>
          <cell r="AD1578" t="str">
            <v>Good</v>
          </cell>
          <cell r="AE1578" t="str">
            <v>V3 - Added Installed Facilities (New)</v>
          </cell>
          <cell r="AF1578">
            <v>42796</v>
          </cell>
          <cell r="AG1578">
            <v>5.92</v>
          </cell>
          <cell r="AH1578" t="str">
            <v>PPM</v>
          </cell>
          <cell r="AI1578" t="str">
            <v>Strands</v>
          </cell>
          <cell r="AJ1578" t="str">
            <v>Strands PW</v>
          </cell>
          <cell r="AK1578" t="str">
            <v>SNF received. 1st batch of V3 asset (December 2020)</v>
          </cell>
        </row>
        <row r="1579">
          <cell r="A1579" t="str">
            <v>IKN401364</v>
          </cell>
          <cell r="B1579">
            <v>1358</v>
          </cell>
          <cell r="C1579" t="str">
            <v>Institut Kanser Negara</v>
          </cell>
          <cell r="D1579" t="str">
            <v>KKM/IKN/H/13/4473 - 9</v>
          </cell>
          <cell r="E1579" t="str">
            <v>15-605</v>
          </cell>
          <cell r="F1579" t="str">
            <v>Testers</v>
          </cell>
          <cell r="G1579" t="str">
            <v>RT</v>
          </cell>
          <cell r="H1579" t="str">
            <v>RADIATION TREATMENT UNIT</v>
          </cell>
          <cell r="I1579" t="str">
            <v>01RT213</v>
          </cell>
          <cell r="J1579" t="str">
            <v>EQUIPMENT ROOM1</v>
          </cell>
          <cell r="K1579" t="str">
            <v>BMED</v>
          </cell>
          <cell r="L1579" t="str">
            <v>Normal</v>
          </cell>
          <cell r="M1579" t="str">
            <v>USA</v>
          </cell>
          <cell r="N1579" t="str">
            <v>Various</v>
          </cell>
          <cell r="O1579" t="str">
            <v>Tomo Electrometer 90016 &amp; Various</v>
          </cell>
          <cell r="P1579" t="str">
            <v>XW 121295</v>
          </cell>
          <cell r="Q1579" t="str">
            <v>Not Available</v>
          </cell>
          <cell r="R1579" t="str">
            <v>Standard Imaging</v>
          </cell>
          <cell r="S1579" t="str">
            <v>Transmedic Healthcare Sdn. Bhd</v>
          </cell>
          <cell r="T1579" t="str">
            <v>Functioning</v>
          </cell>
          <cell r="U1579" t="str">
            <v>Asset</v>
          </cell>
          <cell r="V1579">
            <v>100000</v>
          </cell>
          <cell r="W1579" t="str">
            <v>KEW</v>
          </cell>
          <cell r="X1579" t="str">
            <v>01/09/2010</v>
          </cell>
          <cell r="Y1579" t="str">
            <v>KEW</v>
          </cell>
          <cell r="Z1579" t="str">
            <v>16/08/2013</v>
          </cell>
          <cell r="AA1579" t="str">
            <v>15/08/2015</v>
          </cell>
          <cell r="AB1579" t="str">
            <v>No</v>
          </cell>
          <cell r="AC1579" t="str">
            <v>16/08/2013</v>
          </cell>
          <cell r="AD1579" t="str">
            <v>Good</v>
          </cell>
          <cell r="AE1579" t="str">
            <v>V1 - Existing / No Claim</v>
          </cell>
          <cell r="AF1579">
            <v>42667</v>
          </cell>
          <cell r="AG1579">
            <v>9.17</v>
          </cell>
          <cell r="AH1579" t="str">
            <v>PPM</v>
          </cell>
          <cell r="AI1579" t="str">
            <v>package</v>
          </cell>
          <cell r="AJ1579" t="str">
            <v>Strands Package</v>
          </cell>
          <cell r="AK1579" t="str">
            <v>Package XM003(B)</v>
          </cell>
        </row>
        <row r="1580">
          <cell r="A1580" t="str">
            <v>IKN401365</v>
          </cell>
          <cell r="B1580">
            <v>1359</v>
          </cell>
          <cell r="C1580" t="str">
            <v>Institut Kanser Negara</v>
          </cell>
          <cell r="D1580" t="str">
            <v>KKM/IKN/H/13/4689-02 &amp; 03</v>
          </cell>
          <cell r="E1580" t="str">
            <v>15-605</v>
          </cell>
          <cell r="F1580" t="str">
            <v>Testers</v>
          </cell>
          <cell r="G1580" t="str">
            <v>RT</v>
          </cell>
          <cell r="H1580" t="str">
            <v>RADIATION TREATMENT UNIT</v>
          </cell>
          <cell r="I1580" t="str">
            <v>01RT213</v>
          </cell>
          <cell r="J1580" t="str">
            <v>EQUIPMENT ROOM1</v>
          </cell>
          <cell r="K1580" t="str">
            <v>BMED</v>
          </cell>
          <cell r="L1580" t="str">
            <v>Normal</v>
          </cell>
          <cell r="M1580" t="str">
            <v>Germany</v>
          </cell>
          <cell r="N1580" t="str">
            <v>TM3304</v>
          </cell>
          <cell r="O1580" t="str">
            <v>TM33004</v>
          </cell>
          <cell r="P1580" t="str">
            <v>TM33004</v>
          </cell>
          <cell r="Q1580" t="str">
            <v>Not Available</v>
          </cell>
          <cell r="R1580" t="str">
            <v>PTW</v>
          </cell>
          <cell r="S1580" t="str">
            <v>Eckert &amp; Ziegler BEBIG</v>
          </cell>
          <cell r="T1580" t="str">
            <v>Functioning</v>
          </cell>
          <cell r="U1580" t="str">
            <v>Asset</v>
          </cell>
          <cell r="V1580">
            <v>400000</v>
          </cell>
          <cell r="W1580" t="str">
            <v>KEW</v>
          </cell>
          <cell r="X1580" t="str">
            <v>01/09/2010</v>
          </cell>
          <cell r="Y1580" t="str">
            <v>KEW</v>
          </cell>
          <cell r="Z1580" t="str">
            <v>16/08/2013</v>
          </cell>
          <cell r="AA1580" t="str">
            <v>15/08/2015</v>
          </cell>
          <cell r="AB1580" t="str">
            <v>No</v>
          </cell>
          <cell r="AC1580" t="str">
            <v>16/08/2013</v>
          </cell>
          <cell r="AD1580" t="str">
            <v>Good</v>
          </cell>
          <cell r="AE1580" t="str">
            <v>V1 - Existing / No Claim</v>
          </cell>
          <cell r="AF1580">
            <v>42663</v>
          </cell>
          <cell r="AG1580">
            <v>9.17</v>
          </cell>
          <cell r="AH1580" t="str">
            <v>PPM</v>
          </cell>
          <cell r="AI1580" t="str">
            <v>Strands</v>
          </cell>
          <cell r="AJ1580" t="str">
            <v>Strands Package</v>
          </cell>
          <cell r="AK1580" t="str">
            <v>Package Afterloading System, XM0011</v>
          </cell>
        </row>
        <row r="1581">
          <cell r="A1581" t="str">
            <v>IKN401366</v>
          </cell>
          <cell r="B1581">
            <v>1360</v>
          </cell>
          <cell r="C1581" t="str">
            <v>Institut Kanser Negara</v>
          </cell>
          <cell r="D1581" t="str">
            <v>KKM/IKN/H/13/4473 - 08</v>
          </cell>
          <cell r="E1581" t="str">
            <v>15-605</v>
          </cell>
          <cell r="F1581" t="str">
            <v>Testers</v>
          </cell>
          <cell r="G1581" t="str">
            <v>RT</v>
          </cell>
          <cell r="H1581" t="str">
            <v>RADIATION TREATMENT UNIT</v>
          </cell>
          <cell r="I1581" t="str">
            <v>01RT213</v>
          </cell>
          <cell r="J1581" t="str">
            <v>EQUIPMENT ROOM1</v>
          </cell>
          <cell r="K1581" t="str">
            <v>BMED</v>
          </cell>
          <cell r="L1581" t="str">
            <v>Normal</v>
          </cell>
          <cell r="M1581" t="str">
            <v>USA</v>
          </cell>
          <cell r="N1581" t="str">
            <v>Various</v>
          </cell>
          <cell r="O1581" t="str">
            <v>Tomo Electrometer 90016 &amp; Various</v>
          </cell>
          <cell r="P1581" t="str">
            <v>XW 121285</v>
          </cell>
          <cell r="Q1581" t="str">
            <v>Not Available</v>
          </cell>
          <cell r="R1581" t="str">
            <v>Standard Imaging</v>
          </cell>
          <cell r="S1581" t="str">
            <v>Transmedic Healthcare Sdn. Bhd</v>
          </cell>
          <cell r="T1581" t="str">
            <v>Functioning</v>
          </cell>
          <cell r="U1581" t="str">
            <v>Asset</v>
          </cell>
          <cell r="V1581">
            <v>100000</v>
          </cell>
          <cell r="W1581" t="str">
            <v>KEW</v>
          </cell>
          <cell r="X1581" t="str">
            <v>01/09/2010</v>
          </cell>
          <cell r="Y1581" t="str">
            <v>KEW</v>
          </cell>
          <cell r="Z1581" t="str">
            <v>16/08/2013</v>
          </cell>
          <cell r="AA1581" t="str">
            <v>15/08/2015</v>
          </cell>
          <cell r="AB1581" t="str">
            <v>No</v>
          </cell>
          <cell r="AC1581" t="str">
            <v>16/08/2013</v>
          </cell>
          <cell r="AD1581" t="str">
            <v>Good</v>
          </cell>
          <cell r="AE1581" t="str">
            <v>V1 - Existing / No Claim</v>
          </cell>
          <cell r="AF1581">
            <v>42667</v>
          </cell>
          <cell r="AG1581">
            <v>9.17</v>
          </cell>
          <cell r="AH1581" t="str">
            <v>PPM</v>
          </cell>
          <cell r="AI1581" t="str">
            <v>package</v>
          </cell>
          <cell r="AJ1581" t="str">
            <v>Strands Package</v>
          </cell>
          <cell r="AK1581" t="str">
            <v>Package XM003(B)</v>
          </cell>
        </row>
        <row r="1582">
          <cell r="A1582" t="str">
            <v>IKN401367</v>
          </cell>
          <cell r="B1582">
            <v>1361</v>
          </cell>
          <cell r="C1582" t="str">
            <v>Institut Kanser Negara</v>
          </cell>
          <cell r="D1582" t="str">
            <v>KKM/IKN/H/13/4473 - 06</v>
          </cell>
          <cell r="E1582" t="str">
            <v>15-605</v>
          </cell>
          <cell r="F1582" t="str">
            <v>Testers</v>
          </cell>
          <cell r="G1582" t="str">
            <v>RT</v>
          </cell>
          <cell r="H1582" t="str">
            <v>RADIATION TREATMENT UNIT</v>
          </cell>
          <cell r="I1582" t="str">
            <v>01RT213</v>
          </cell>
          <cell r="J1582" t="str">
            <v>EQUIPMENT ROOM1</v>
          </cell>
          <cell r="K1582" t="str">
            <v>BMED</v>
          </cell>
          <cell r="L1582" t="str">
            <v>Normal</v>
          </cell>
          <cell r="M1582" t="str">
            <v>USA</v>
          </cell>
          <cell r="N1582" t="str">
            <v>Various</v>
          </cell>
          <cell r="O1582" t="str">
            <v>Tomo Electrometer 90016 &amp; Various</v>
          </cell>
          <cell r="P1582" t="str">
            <v>XAE 121448</v>
          </cell>
          <cell r="Q1582" t="str">
            <v>Not Available</v>
          </cell>
          <cell r="R1582" t="str">
            <v>Standard Imaging</v>
          </cell>
          <cell r="S1582" t="str">
            <v>Transmedic Healthcare Sdn. Bhd</v>
          </cell>
          <cell r="T1582" t="str">
            <v>Functioning</v>
          </cell>
          <cell r="U1582" t="str">
            <v>Asset</v>
          </cell>
          <cell r="V1582">
            <v>100000</v>
          </cell>
          <cell r="W1582" t="str">
            <v>KEW</v>
          </cell>
          <cell r="X1582" t="str">
            <v>01/09/2010</v>
          </cell>
          <cell r="Y1582" t="str">
            <v>KEW</v>
          </cell>
          <cell r="Z1582" t="str">
            <v>16/08/2013</v>
          </cell>
          <cell r="AA1582" t="str">
            <v>15/08/2015</v>
          </cell>
          <cell r="AB1582" t="str">
            <v>No</v>
          </cell>
          <cell r="AC1582" t="str">
            <v>16/08/2013</v>
          </cell>
          <cell r="AD1582" t="str">
            <v>Good</v>
          </cell>
          <cell r="AE1582" t="str">
            <v>V1 - Existing / No Claim</v>
          </cell>
          <cell r="AF1582">
            <v>42667</v>
          </cell>
          <cell r="AG1582">
            <v>9.17</v>
          </cell>
          <cell r="AH1582" t="str">
            <v>PPM</v>
          </cell>
          <cell r="AI1582" t="str">
            <v>package</v>
          </cell>
          <cell r="AJ1582" t="str">
            <v>Strands Package</v>
          </cell>
          <cell r="AK1582" t="str">
            <v>Package XM003(B)</v>
          </cell>
        </row>
        <row r="1583">
          <cell r="A1583" t="str">
            <v>IKN401368</v>
          </cell>
          <cell r="B1583">
            <v>1362</v>
          </cell>
          <cell r="C1583" t="str">
            <v>Institut Kanser Negara</v>
          </cell>
          <cell r="D1583" t="str">
            <v>KKM/IKN/H/16/23</v>
          </cell>
          <cell r="E1583" t="str">
            <v>12-345</v>
          </cell>
          <cell r="F1583" t="str">
            <v>Light Sources, Fiberoptic</v>
          </cell>
          <cell r="G1583" t="str">
            <v>OT</v>
          </cell>
          <cell r="H1583" t="str">
            <v>OPERATING THEATRE</v>
          </cell>
          <cell r="I1583" t="str">
            <v>05OT129</v>
          </cell>
          <cell r="J1583" t="str">
            <v>SEMINAR</v>
          </cell>
          <cell r="K1583" t="str">
            <v>BMED</v>
          </cell>
          <cell r="L1583" t="str">
            <v>Normal</v>
          </cell>
          <cell r="M1583" t="str">
            <v>Germany</v>
          </cell>
          <cell r="N1583" t="str">
            <v>Storz</v>
          </cell>
          <cell r="O1583" t="str">
            <v>Storz Power LED 175, 201614 20</v>
          </cell>
          <cell r="P1583" t="str">
            <v>TT10181</v>
          </cell>
          <cell r="Q1583" t="str">
            <v>Not Applicable</v>
          </cell>
          <cell r="R1583" t="str">
            <v>Karl Storz-Endoskope</v>
          </cell>
          <cell r="S1583" t="str">
            <v>Medi-Life (M) Sdn. Bhd.</v>
          </cell>
          <cell r="T1583" t="str">
            <v>Functioning</v>
          </cell>
          <cell r="U1583" t="str">
            <v>Asset</v>
          </cell>
          <cell r="V1583">
            <v>28000</v>
          </cell>
          <cell r="W1583" t="str">
            <v>KEW</v>
          </cell>
          <cell r="X1583" t="str">
            <v>12/08/2016</v>
          </cell>
          <cell r="Y1583" t="str">
            <v>KEW</v>
          </cell>
          <cell r="Z1583" t="str">
            <v>24/10/2016</v>
          </cell>
          <cell r="AA1583" t="str">
            <v>23/10/2018</v>
          </cell>
          <cell r="AB1583" t="str">
            <v>No</v>
          </cell>
          <cell r="AC1583" t="str">
            <v>24/10/2016</v>
          </cell>
          <cell r="AD1583" t="str">
            <v>Good</v>
          </cell>
          <cell r="AE1583" t="str">
            <v>V3 - Added Installed Facilities (New)</v>
          </cell>
          <cell r="AF1583">
            <v>42815</v>
          </cell>
          <cell r="AG1583">
            <v>3.25</v>
          </cell>
          <cell r="AH1583" t="str">
            <v>PPM</v>
          </cell>
          <cell r="AI1583" t="str">
            <v>package</v>
          </cell>
          <cell r="AJ1583" t="str">
            <v>Proposed for V3 P2.23</v>
          </cell>
          <cell r="AK1583" t="str">
            <v>KKM follow P2.23 list.</v>
          </cell>
        </row>
        <row r="1584">
          <cell r="A1584" t="str">
            <v>IKN401369</v>
          </cell>
          <cell r="B1584">
            <v>1363</v>
          </cell>
          <cell r="C1584" t="str">
            <v>Institut Kanser Negara</v>
          </cell>
          <cell r="D1584" t="str">
            <v>KKM/IKN/H/16/22</v>
          </cell>
          <cell r="E1584" t="str">
            <v>11-963</v>
          </cell>
          <cell r="F1584" t="str">
            <v>Headlights</v>
          </cell>
          <cell r="G1584" t="str">
            <v>OT</v>
          </cell>
          <cell r="H1584" t="str">
            <v>OPERATING THEATRE</v>
          </cell>
          <cell r="I1584" t="str">
            <v>05OT129</v>
          </cell>
          <cell r="J1584" t="str">
            <v>SEMINAR</v>
          </cell>
          <cell r="K1584" t="str">
            <v>BMED</v>
          </cell>
          <cell r="L1584" t="str">
            <v>Normal</v>
          </cell>
          <cell r="M1584" t="str">
            <v>Germany</v>
          </cell>
          <cell r="N1584" t="str">
            <v>Heine</v>
          </cell>
          <cell r="O1584" t="str">
            <v>C-008.32.441</v>
          </cell>
          <cell r="P1584" t="str">
            <v>1100461061</v>
          </cell>
          <cell r="Q1584" t="str">
            <v>Not Applicable</v>
          </cell>
          <cell r="R1584" t="str">
            <v>HEINE</v>
          </cell>
          <cell r="S1584" t="str">
            <v>Medi-Life (M) Sdn. Bhd.</v>
          </cell>
          <cell r="T1584" t="str">
            <v>Functioning</v>
          </cell>
          <cell r="U1584" t="str">
            <v>Asset</v>
          </cell>
          <cell r="V1584">
            <v>11868</v>
          </cell>
          <cell r="W1584" t="str">
            <v>KEW</v>
          </cell>
          <cell r="X1584" t="str">
            <v>12/08/2016</v>
          </cell>
          <cell r="Y1584" t="str">
            <v>KEW</v>
          </cell>
          <cell r="Z1584" t="str">
            <v>24/10/2016</v>
          </cell>
          <cell r="AA1584" t="str">
            <v>23/10/2021</v>
          </cell>
          <cell r="AB1584" t="str">
            <v>No</v>
          </cell>
          <cell r="AC1584" t="str">
            <v>24/10/2016</v>
          </cell>
          <cell r="AD1584" t="str">
            <v>Good</v>
          </cell>
          <cell r="AE1584" t="str">
            <v>V3 - Added Installed Facilities (New)</v>
          </cell>
          <cell r="AF1584">
            <v>42815</v>
          </cell>
          <cell r="AG1584">
            <v>3.25</v>
          </cell>
          <cell r="AH1584" t="str">
            <v>RI</v>
          </cell>
          <cell r="AI1584" t="str">
            <v>Strands</v>
          </cell>
          <cell r="AJ1584" t="str">
            <v>Strands PW</v>
          </cell>
          <cell r="AK1584" t="str">
            <v>SNF received. 1st batch of V3 asset (December 2020)</v>
          </cell>
        </row>
        <row r="1585">
          <cell r="A1585" t="str">
            <v>IKN401370</v>
          </cell>
          <cell r="B1585">
            <v>1364</v>
          </cell>
          <cell r="C1585" t="str">
            <v>Institut Kanser Negara</v>
          </cell>
          <cell r="D1585" t="str">
            <v>KKM/IKN/H/16/18</v>
          </cell>
          <cell r="E1585" t="str">
            <v>15-178</v>
          </cell>
          <cell r="F1585" t="str">
            <v>Shakers, Laboratory</v>
          </cell>
          <cell r="G1585" t="str">
            <v>NM</v>
          </cell>
          <cell r="H1585" t="str">
            <v>NUCLEAR MED (DIAGNOSTIC)</v>
          </cell>
          <cell r="I1585" t="str">
            <v>03NM154</v>
          </cell>
          <cell r="J1585" t="str">
            <v>RIA LAB</v>
          </cell>
          <cell r="K1585" t="str">
            <v>BMED</v>
          </cell>
          <cell r="L1585" t="str">
            <v>Normal</v>
          </cell>
          <cell r="M1585" t="str">
            <v>Germany</v>
          </cell>
          <cell r="N1585" t="str">
            <v>IKA-Werke</v>
          </cell>
          <cell r="O1585" t="str">
            <v>HS/KS 260 Basic</v>
          </cell>
          <cell r="P1585" t="str">
            <v>08.077679</v>
          </cell>
          <cell r="Q1585" t="str">
            <v>Not Available</v>
          </cell>
          <cell r="R1585" t="str">
            <v>IKA-Werke GmbH &amp; Co KG</v>
          </cell>
          <cell r="S1585" t="str">
            <v>IT Tech Research (M) Sdn. Bhd</v>
          </cell>
          <cell r="T1585" t="str">
            <v>Functioning</v>
          </cell>
          <cell r="U1585" t="str">
            <v>Asset</v>
          </cell>
          <cell r="V1585">
            <v>6500</v>
          </cell>
          <cell r="W1585" t="str">
            <v>KEW</v>
          </cell>
          <cell r="X1585" t="str">
            <v>12/08/2016</v>
          </cell>
          <cell r="Y1585" t="str">
            <v>KEW</v>
          </cell>
          <cell r="Z1585" t="str">
            <v>25/10/2016</v>
          </cell>
          <cell r="AA1585" t="str">
            <v>24/10/2018</v>
          </cell>
          <cell r="AB1585" t="str">
            <v>No</v>
          </cell>
          <cell r="AC1585" t="str">
            <v>25/10/2016</v>
          </cell>
          <cell r="AD1585" t="str">
            <v>Good</v>
          </cell>
          <cell r="AE1585" t="str">
            <v>V3 - Added Installed Facilities (New)</v>
          </cell>
          <cell r="AF1585">
            <v>42699</v>
          </cell>
          <cell r="AG1585">
            <v>3.25</v>
          </cell>
          <cell r="AH1585" t="str">
            <v>PPM</v>
          </cell>
          <cell r="AI1585" t="str">
            <v>Strands</v>
          </cell>
          <cell r="AJ1585" t="str">
            <v>Strands PW</v>
          </cell>
          <cell r="AK1585" t="str">
            <v>SNF received on 25.2.2020</v>
          </cell>
        </row>
        <row r="1586">
          <cell r="A1586" t="str">
            <v>IKN401371</v>
          </cell>
          <cell r="B1586">
            <v>1365</v>
          </cell>
          <cell r="C1586" t="str">
            <v>Institut Kanser Negara</v>
          </cell>
          <cell r="D1586" t="str">
            <v>KKM/IKN/H/16/19</v>
          </cell>
          <cell r="E1586" t="str">
            <v>15-173</v>
          </cell>
          <cell r="F1586" t="str">
            <v>Rotators</v>
          </cell>
          <cell r="G1586" t="str">
            <v>NM</v>
          </cell>
          <cell r="H1586" t="str">
            <v>NUCLEAR MED (DIAGNOSTIC)</v>
          </cell>
          <cell r="I1586" t="str">
            <v>03NM154</v>
          </cell>
          <cell r="J1586" t="str">
            <v>RIA LAB</v>
          </cell>
          <cell r="K1586" t="str">
            <v>BMED</v>
          </cell>
          <cell r="L1586" t="str">
            <v>Normal</v>
          </cell>
          <cell r="M1586" t="str">
            <v>Germany</v>
          </cell>
          <cell r="N1586" t="str">
            <v>IKA</v>
          </cell>
          <cell r="O1586" t="str">
            <v>HA 260 BS2</v>
          </cell>
          <cell r="P1586" t="str">
            <v>08.077679</v>
          </cell>
          <cell r="Q1586" t="str">
            <v>Not Available</v>
          </cell>
          <cell r="R1586" t="str">
            <v>IKA</v>
          </cell>
          <cell r="S1586" t="str">
            <v>IT Tech Research (M) Sdn. Bhd</v>
          </cell>
          <cell r="T1586" t="str">
            <v>Functioning</v>
          </cell>
          <cell r="U1586" t="str">
            <v>Asset</v>
          </cell>
          <cell r="V1586">
            <v>2675</v>
          </cell>
          <cell r="W1586" t="str">
            <v>KEW</v>
          </cell>
          <cell r="X1586" t="str">
            <v>12/08/2016</v>
          </cell>
          <cell r="Y1586" t="str">
            <v>KEW</v>
          </cell>
          <cell r="Z1586" t="str">
            <v>25/10/2016</v>
          </cell>
          <cell r="AA1586" t="str">
            <v>24/10/2018</v>
          </cell>
          <cell r="AB1586" t="str">
            <v>No</v>
          </cell>
          <cell r="AC1586" t="str">
            <v>25/10/2016</v>
          </cell>
          <cell r="AD1586" t="str">
            <v>Good</v>
          </cell>
          <cell r="AE1586" t="str">
            <v>V3 - Added Installed Facilities (New)</v>
          </cell>
          <cell r="AF1586">
            <v>42699</v>
          </cell>
          <cell r="AG1586">
            <v>3.25</v>
          </cell>
          <cell r="AH1586" t="str">
            <v>PPM</v>
          </cell>
          <cell r="AI1586" t="str">
            <v>Strands</v>
          </cell>
          <cell r="AJ1586" t="str">
            <v>Strands PW</v>
          </cell>
          <cell r="AK1586" t="str">
            <v>SNF received on 25.2.2020</v>
          </cell>
        </row>
        <row r="1587">
          <cell r="A1587" t="str">
            <v>IKN401387</v>
          </cell>
          <cell r="B1587">
            <v>1377</v>
          </cell>
          <cell r="C1587" t="str">
            <v>Institut Kanser Negara</v>
          </cell>
          <cell r="D1587" t="str">
            <v>KKM/IKN/H/13/1418</v>
          </cell>
          <cell r="E1587" t="str">
            <v>11-631</v>
          </cell>
          <cell r="F1587" t="str">
            <v>Exercisers, Continuous Passive Motion</v>
          </cell>
          <cell r="G1587" t="str">
            <v>PY</v>
          </cell>
          <cell r="H1587" t="str">
            <v>PHYSIOTHERAPY</v>
          </cell>
          <cell r="I1587" t="str">
            <v>04PY115</v>
          </cell>
          <cell r="J1587" t="str">
            <v>GYMNASIUM</v>
          </cell>
          <cell r="K1587" t="str">
            <v>BMED</v>
          </cell>
          <cell r="L1587" t="str">
            <v>Normal</v>
          </cell>
          <cell r="M1587" t="str">
            <v>USA</v>
          </cell>
          <cell r="N1587" t="str">
            <v>Biometrics</v>
          </cell>
          <cell r="O1587" t="str">
            <v>Biometrics E3000</v>
          </cell>
          <cell r="P1587" t="str">
            <v>Not Available</v>
          </cell>
          <cell r="Q1587" t="str">
            <v>Not Available</v>
          </cell>
          <cell r="R1587" t="str">
            <v>Biometrics Ltd</v>
          </cell>
          <cell r="S1587" t="str">
            <v>Maycare (M) Sdn Bhd</v>
          </cell>
          <cell r="T1587" t="str">
            <v>Functioning</v>
          </cell>
          <cell r="U1587" t="str">
            <v>Asset</v>
          </cell>
          <cell r="V1587">
            <v>30700</v>
          </cell>
          <cell r="W1587" t="str">
            <v>KEW</v>
          </cell>
          <cell r="X1587" t="str">
            <v>01/09/2010</v>
          </cell>
          <cell r="Y1587" t="str">
            <v>KEW</v>
          </cell>
          <cell r="Z1587" t="str">
            <v>16/08/2013</v>
          </cell>
          <cell r="AA1587" t="str">
            <v>15/08/2015</v>
          </cell>
          <cell r="AB1587" t="str">
            <v>No</v>
          </cell>
          <cell r="AC1587" t="str">
            <v>31/08/2013</v>
          </cell>
          <cell r="AD1587" t="str">
            <v>Good</v>
          </cell>
          <cell r="AE1587" t="str">
            <v>V1 - Existing / No Claim</v>
          </cell>
          <cell r="AF1587">
            <v>42776</v>
          </cell>
          <cell r="AG1587">
            <v>9.17</v>
          </cell>
          <cell r="AH1587" t="str">
            <v>PPM</v>
          </cell>
          <cell r="AI1587" t="str">
            <v>Strands</v>
          </cell>
          <cell r="AJ1587" t="str">
            <v>Strands Package F</v>
          </cell>
          <cell r="AK1587" t="str">
            <v>Package Code PE0040-N</v>
          </cell>
        </row>
        <row r="1588">
          <cell r="A1588" t="str">
            <v>IKN401388</v>
          </cell>
          <cell r="B1588">
            <v>1378</v>
          </cell>
          <cell r="C1588" t="str">
            <v>Institut Kanser Negara</v>
          </cell>
          <cell r="D1588" t="str">
            <v>KKM/IKN/H/13/1420</v>
          </cell>
          <cell r="E1588" t="str">
            <v>15-605</v>
          </cell>
          <cell r="F1588" t="str">
            <v>Testers</v>
          </cell>
          <cell r="G1588" t="str">
            <v>PY</v>
          </cell>
          <cell r="H1588" t="str">
            <v>PHYSIOTHERAPY</v>
          </cell>
          <cell r="I1588" t="str">
            <v>04PY130</v>
          </cell>
          <cell r="J1588" t="str">
            <v>RESPIRATORY</v>
          </cell>
          <cell r="K1588" t="str">
            <v>BMED</v>
          </cell>
          <cell r="L1588" t="str">
            <v>Normal</v>
          </cell>
          <cell r="M1588" t="str">
            <v>USA</v>
          </cell>
          <cell r="N1588" t="str">
            <v>Welch Allyn</v>
          </cell>
          <cell r="O1588" t="str">
            <v>Welch Allyn</v>
          </cell>
          <cell r="P1588" t="str">
            <v>101935</v>
          </cell>
          <cell r="Q1588" t="str">
            <v>Not Applicable</v>
          </cell>
          <cell r="R1588" t="str">
            <v>WELCH ALLYN</v>
          </cell>
          <cell r="S1588" t="str">
            <v>Welch Allyn Malaysia Sdn Bhd</v>
          </cell>
          <cell r="T1588" t="str">
            <v>Functioning</v>
          </cell>
          <cell r="U1588" t="str">
            <v>Asset</v>
          </cell>
          <cell r="V1588">
            <v>1</v>
          </cell>
          <cell r="W1588" t="str">
            <v>KEW</v>
          </cell>
          <cell r="X1588" t="str">
            <v>01/09/2010</v>
          </cell>
          <cell r="Y1588" t="str">
            <v>KEW</v>
          </cell>
          <cell r="Z1588" t="str">
            <v>16/08/2013</v>
          </cell>
          <cell r="AA1588" t="str">
            <v>15/08/2015</v>
          </cell>
          <cell r="AB1588" t="str">
            <v>No</v>
          </cell>
          <cell r="AC1588" t="str">
            <v>31/08/2013</v>
          </cell>
          <cell r="AD1588" t="str">
            <v>Good</v>
          </cell>
          <cell r="AE1588" t="str">
            <v>V1 - Existing / No Claim</v>
          </cell>
          <cell r="AF1588">
            <v>42935</v>
          </cell>
          <cell r="AG1588">
            <v>9.17</v>
          </cell>
          <cell r="AH1588" t="str">
            <v>PPM</v>
          </cell>
          <cell r="AI1588" t="str">
            <v>Strands</v>
          </cell>
          <cell r="AJ1588" t="str">
            <v>Strands Package</v>
          </cell>
          <cell r="AK1588" t="str">
            <v>Package Code MS0002</v>
          </cell>
        </row>
        <row r="1589">
          <cell r="A1589" t="str">
            <v>IKN401389</v>
          </cell>
          <cell r="B1589">
            <v>1379</v>
          </cell>
          <cell r="C1589" t="str">
            <v>Institut Kanser Negara</v>
          </cell>
          <cell r="D1589" t="str">
            <v>KKM/IKN/H/14/92</v>
          </cell>
          <cell r="E1589" t="str">
            <v>16-274</v>
          </cell>
          <cell r="F1589" t="str">
            <v>Dispensers, Liquid, Laboratory</v>
          </cell>
          <cell r="G1589" t="str">
            <v>LA</v>
          </cell>
          <cell r="H1589" t="str">
            <v>PATHOLOGY</v>
          </cell>
          <cell r="I1589" t="str">
            <v>04LA132</v>
          </cell>
          <cell r="J1589" t="str">
            <v>HAEMATOLOGY LAB 2</v>
          </cell>
          <cell r="K1589" t="str">
            <v>BMED</v>
          </cell>
          <cell r="L1589" t="str">
            <v>Normal</v>
          </cell>
          <cell r="M1589" t="str">
            <v>Germany</v>
          </cell>
          <cell r="N1589" t="str">
            <v>Eppendorf</v>
          </cell>
          <cell r="O1589" t="str">
            <v>Varispenser Plus</v>
          </cell>
          <cell r="P1589" t="str">
            <v>03M63204</v>
          </cell>
          <cell r="Q1589" t="str">
            <v>Not Available</v>
          </cell>
          <cell r="R1589" t="str">
            <v>Eppendorf AG</v>
          </cell>
          <cell r="S1589" t="str">
            <v>Medigene Sdn Bhd</v>
          </cell>
          <cell r="T1589" t="str">
            <v>Functioning</v>
          </cell>
          <cell r="U1589" t="str">
            <v>Asset</v>
          </cell>
          <cell r="V1589">
            <v>1612</v>
          </cell>
          <cell r="W1589" t="str">
            <v>KEW</v>
          </cell>
          <cell r="X1589" t="str">
            <v>12/11/2014</v>
          </cell>
          <cell r="Y1589" t="str">
            <v>KEW</v>
          </cell>
          <cell r="Z1589" t="str">
            <v>12/11/2014</v>
          </cell>
          <cell r="AA1589" t="str">
            <v>11/11/2015</v>
          </cell>
          <cell r="AB1589" t="str">
            <v>No</v>
          </cell>
          <cell r="AC1589" t="str">
            <v>12/11/2014</v>
          </cell>
          <cell r="AD1589" t="str">
            <v>Good</v>
          </cell>
          <cell r="AE1589" t="str">
            <v>V3 - Added Installed Facilities (New)</v>
          </cell>
          <cell r="AF1589">
            <v>42776</v>
          </cell>
          <cell r="AG1589">
            <v>5</v>
          </cell>
          <cell r="AH1589" t="str">
            <v>PPM</v>
          </cell>
          <cell r="AI1589" t="str">
            <v>Strands</v>
          </cell>
          <cell r="AJ1589" t="str">
            <v>Strands PW</v>
          </cell>
          <cell r="AK1589" t="str">
            <v>SNF received. 1st batch of V3 asset (December 2020)</v>
          </cell>
        </row>
        <row r="1590">
          <cell r="A1590" t="str">
            <v>IKN401390</v>
          </cell>
          <cell r="B1590">
            <v>1380</v>
          </cell>
          <cell r="C1590" t="str">
            <v>Institut Kanser Negara</v>
          </cell>
          <cell r="D1590" t="str">
            <v>KKM/IKN/H/14/93</v>
          </cell>
          <cell r="E1590" t="str">
            <v>16-274</v>
          </cell>
          <cell r="F1590" t="str">
            <v>Dispensers, Liquid, Laboratory</v>
          </cell>
          <cell r="G1590" t="str">
            <v>LA</v>
          </cell>
          <cell r="H1590" t="str">
            <v>PATHOLOGY</v>
          </cell>
          <cell r="I1590" t="str">
            <v>04LA132</v>
          </cell>
          <cell r="J1590" t="str">
            <v>HAEMATOLOGY LAB 2</v>
          </cell>
          <cell r="K1590" t="str">
            <v>BMED</v>
          </cell>
          <cell r="L1590" t="str">
            <v>Normal</v>
          </cell>
          <cell r="M1590" t="str">
            <v>Germany</v>
          </cell>
          <cell r="N1590" t="str">
            <v>Eppendorf</v>
          </cell>
          <cell r="O1590" t="str">
            <v>Varispenser Plus</v>
          </cell>
          <cell r="P1590" t="str">
            <v>03M63192</v>
          </cell>
          <cell r="Q1590" t="str">
            <v>Not Available</v>
          </cell>
          <cell r="R1590" t="str">
            <v>Eppendorf AG</v>
          </cell>
          <cell r="S1590" t="str">
            <v>Medigene Sdn Bhd</v>
          </cell>
          <cell r="T1590" t="str">
            <v>Functioning</v>
          </cell>
          <cell r="U1590" t="str">
            <v>Asset</v>
          </cell>
          <cell r="V1590">
            <v>1612</v>
          </cell>
          <cell r="W1590" t="str">
            <v>KEW</v>
          </cell>
          <cell r="X1590" t="str">
            <v>12/11/2014</v>
          </cell>
          <cell r="Y1590" t="str">
            <v>KEW</v>
          </cell>
          <cell r="Z1590" t="str">
            <v>12/11/2014</v>
          </cell>
          <cell r="AA1590" t="str">
            <v>11/11/2015</v>
          </cell>
          <cell r="AB1590" t="str">
            <v>No</v>
          </cell>
          <cell r="AC1590" t="str">
            <v>12/11/2014</v>
          </cell>
          <cell r="AD1590" t="str">
            <v>Good</v>
          </cell>
          <cell r="AE1590" t="str">
            <v>V3 - Added Installed Facilities (New)</v>
          </cell>
          <cell r="AF1590">
            <v>42776</v>
          </cell>
          <cell r="AG1590">
            <v>5</v>
          </cell>
          <cell r="AH1590" t="str">
            <v>PPM</v>
          </cell>
          <cell r="AI1590" t="str">
            <v>Strands</v>
          </cell>
          <cell r="AJ1590" t="str">
            <v>Strands PW</v>
          </cell>
          <cell r="AK1590" t="str">
            <v>SNF received. 1st batch of V3 asset (December 2020)</v>
          </cell>
        </row>
        <row r="1591">
          <cell r="A1591" t="str">
            <v>IKN401394</v>
          </cell>
          <cell r="B1591">
            <v>1381</v>
          </cell>
          <cell r="C1591" t="str">
            <v>Institut Kanser Negara</v>
          </cell>
          <cell r="E1591" t="str">
            <v>99-999</v>
          </cell>
          <cell r="F1591" t="str">
            <v>Inventory Asset</v>
          </cell>
          <cell r="G1591" t="str">
            <v>OT</v>
          </cell>
          <cell r="H1591" t="str">
            <v>OPERATING THEATRE</v>
          </cell>
          <cell r="I1591" t="str">
            <v>05OT129</v>
          </cell>
          <cell r="J1591" t="str">
            <v>SEMINAR</v>
          </cell>
          <cell r="K1591" t="str">
            <v>BMED</v>
          </cell>
          <cell r="L1591" t="str">
            <v>Normal</v>
          </cell>
          <cell r="M1591" t="str">
            <v>Not Available</v>
          </cell>
          <cell r="N1591" t="str">
            <v>Not Available</v>
          </cell>
          <cell r="O1591" t="str">
            <v>Not Available</v>
          </cell>
          <cell r="P1591" t="str">
            <v>Not Available</v>
          </cell>
          <cell r="Q1591" t="str">
            <v>Not Applicable</v>
          </cell>
          <cell r="R1591" t="str">
            <v>Not Available</v>
          </cell>
          <cell r="S1591" t="str">
            <v>Not Available</v>
          </cell>
          <cell r="T1591" t="str">
            <v>Functioning</v>
          </cell>
          <cell r="U1591" t="str">
            <v>Asset</v>
          </cell>
          <cell r="V1591">
            <v>4000</v>
          </cell>
          <cell r="W1591" t="str">
            <v>Estimate</v>
          </cell>
          <cell r="X1591" t="str">
            <v>31/08/2013</v>
          </cell>
          <cell r="Y1591" t="str">
            <v>Estimate</v>
          </cell>
          <cell r="Z1591" t="str">
            <v>31/08/2013</v>
          </cell>
          <cell r="AA1591" t="str">
            <v>30/08/2015</v>
          </cell>
          <cell r="AB1591" t="str">
            <v>No</v>
          </cell>
          <cell r="AC1591" t="str">
            <v>31/08/2013</v>
          </cell>
          <cell r="AD1591" t="str">
            <v>Good</v>
          </cell>
          <cell r="AE1591" t="str">
            <v>V10 - Asset in initial fee submission(new/replacement hosp)</v>
          </cell>
          <cell r="AF1591">
            <v>43193</v>
          </cell>
          <cell r="AG1591">
            <v>6.25</v>
          </cell>
          <cell r="AH1591" t="str">
            <v>RI</v>
          </cell>
          <cell r="AI1591" t="str">
            <v>Not in contract</v>
          </cell>
        </row>
        <row r="1592">
          <cell r="A1592" t="str">
            <v>IKN401395</v>
          </cell>
          <cell r="B1592">
            <v>1382</v>
          </cell>
          <cell r="C1592" t="str">
            <v>Institut Kanser Negara</v>
          </cell>
          <cell r="E1592" t="str">
            <v>99-999</v>
          </cell>
          <cell r="F1592" t="str">
            <v>Inventory Asset</v>
          </cell>
          <cell r="G1592" t="str">
            <v>OT</v>
          </cell>
          <cell r="H1592" t="str">
            <v>OPERATING THEATRE</v>
          </cell>
          <cell r="I1592" t="str">
            <v>05OT129</v>
          </cell>
          <cell r="J1592" t="str">
            <v>SEMINAR</v>
          </cell>
          <cell r="K1592" t="str">
            <v>BMED</v>
          </cell>
          <cell r="L1592" t="str">
            <v>Normal</v>
          </cell>
          <cell r="M1592" t="str">
            <v>Not Available</v>
          </cell>
          <cell r="N1592" t="str">
            <v>Not Available</v>
          </cell>
          <cell r="O1592" t="str">
            <v>Not Available</v>
          </cell>
          <cell r="P1592" t="str">
            <v>Not Available</v>
          </cell>
          <cell r="Q1592" t="str">
            <v>Not Applicable</v>
          </cell>
          <cell r="R1592" t="str">
            <v>Not Available</v>
          </cell>
          <cell r="S1592" t="str">
            <v>Not Available</v>
          </cell>
          <cell r="T1592" t="str">
            <v>Functioning</v>
          </cell>
          <cell r="U1592" t="str">
            <v>Asset</v>
          </cell>
          <cell r="V1592">
            <v>4000</v>
          </cell>
          <cell r="W1592" t="str">
            <v>Estimate</v>
          </cell>
          <cell r="X1592" t="str">
            <v>31/08/2013</v>
          </cell>
          <cell r="Y1592" t="str">
            <v>Estimate</v>
          </cell>
          <cell r="Z1592" t="str">
            <v>31/08/2013</v>
          </cell>
          <cell r="AA1592" t="str">
            <v>30/08/2015</v>
          </cell>
          <cell r="AB1592" t="str">
            <v>No</v>
          </cell>
          <cell r="AC1592" t="str">
            <v>31/08/2013</v>
          </cell>
          <cell r="AD1592" t="str">
            <v>Good</v>
          </cell>
          <cell r="AE1592" t="str">
            <v>V10 - Asset in initial fee submission(new/replacement hosp)</v>
          </cell>
          <cell r="AF1592">
            <v>43193</v>
          </cell>
          <cell r="AG1592">
            <v>6.25</v>
          </cell>
          <cell r="AH1592" t="str">
            <v>RI</v>
          </cell>
          <cell r="AI1592" t="str">
            <v>Not in contract</v>
          </cell>
        </row>
        <row r="1593">
          <cell r="A1593" t="str">
            <v>IKN401398</v>
          </cell>
          <cell r="B1593">
            <v>1383</v>
          </cell>
          <cell r="C1593" t="str">
            <v>Institut Kanser Negara</v>
          </cell>
          <cell r="D1593" t="str">
            <v>KKM/IKN/H/16/32</v>
          </cell>
          <cell r="E1593" t="str">
            <v>13-215</v>
          </cell>
          <cell r="F1593" t="str">
            <v>Infusion Pumps, General-Purpose</v>
          </cell>
          <cell r="G1593" t="str">
            <v>WA</v>
          </cell>
          <cell r="H1593" t="str">
            <v>NUCLEAR MED WARD (THERAPY)</v>
          </cell>
          <cell r="I1593" t="str">
            <v>03WA177</v>
          </cell>
          <cell r="J1593" t="str">
            <v>EQ. ROOM</v>
          </cell>
          <cell r="K1593" t="str">
            <v>BMED</v>
          </cell>
          <cell r="L1593" t="str">
            <v>Critical</v>
          </cell>
          <cell r="M1593" t="str">
            <v>Japan</v>
          </cell>
          <cell r="N1593" t="str">
            <v>TOP</v>
          </cell>
          <cell r="O1593" t="str">
            <v>TOP-2300</v>
          </cell>
          <cell r="P1593" t="str">
            <v>16 A0495</v>
          </cell>
          <cell r="Q1593" t="str">
            <v>Not Available</v>
          </cell>
          <cell r="R1593" t="str">
            <v>TOP Corp</v>
          </cell>
          <cell r="S1593" t="str">
            <v>SHRIRO (M) Sdn. Bhd</v>
          </cell>
          <cell r="T1593" t="str">
            <v>Functioning</v>
          </cell>
          <cell r="U1593" t="str">
            <v>Asset</v>
          </cell>
          <cell r="V1593">
            <v>3800</v>
          </cell>
          <cell r="W1593" t="str">
            <v>KEW</v>
          </cell>
          <cell r="X1593" t="str">
            <v>02/11/2016</v>
          </cell>
          <cell r="Y1593" t="str">
            <v>KEW</v>
          </cell>
          <cell r="Z1593" t="str">
            <v>30/12/2016</v>
          </cell>
          <cell r="AA1593" t="str">
            <v>31/12/2017</v>
          </cell>
          <cell r="AB1593" t="str">
            <v>No</v>
          </cell>
          <cell r="AC1593" t="str">
            <v>22/11/2016</v>
          </cell>
          <cell r="AD1593" t="str">
            <v>Good</v>
          </cell>
          <cell r="AE1593" t="str">
            <v>V3 - Added Installed Facilities (New)</v>
          </cell>
          <cell r="AF1593">
            <v>42759</v>
          </cell>
          <cell r="AG1593">
            <v>3</v>
          </cell>
          <cell r="AH1593" t="str">
            <v>PPM</v>
          </cell>
          <cell r="AI1593" t="str">
            <v>Strands</v>
          </cell>
          <cell r="AJ1593" t="str">
            <v>Strands PW</v>
          </cell>
          <cell r="AK1593" t="str">
            <v>SNF received. 1st batch of V3 asset (December 2020)</v>
          </cell>
        </row>
        <row r="1594">
          <cell r="A1594" t="str">
            <v>IKN401399</v>
          </cell>
          <cell r="B1594">
            <v>1384</v>
          </cell>
          <cell r="C1594" t="str">
            <v>Institut Kanser Negara</v>
          </cell>
          <cell r="D1594" t="str">
            <v>KKM/IKN/H/16/31</v>
          </cell>
          <cell r="E1594" t="str">
            <v>13-215</v>
          </cell>
          <cell r="F1594" t="str">
            <v>Infusion Pumps, General-Purpose</v>
          </cell>
          <cell r="G1594" t="str">
            <v>WA</v>
          </cell>
          <cell r="H1594" t="str">
            <v>NUCLEAR MED WARD (THERAPY)</v>
          </cell>
          <cell r="I1594" t="str">
            <v>03WA177</v>
          </cell>
          <cell r="J1594" t="str">
            <v>EQ. ROOM</v>
          </cell>
          <cell r="K1594" t="str">
            <v>BMED</v>
          </cell>
          <cell r="L1594" t="str">
            <v>Critical</v>
          </cell>
          <cell r="M1594" t="str">
            <v>Japan</v>
          </cell>
          <cell r="N1594" t="str">
            <v>TOP</v>
          </cell>
          <cell r="O1594" t="str">
            <v>TOP-2300</v>
          </cell>
          <cell r="P1594" t="str">
            <v>16A 0494</v>
          </cell>
          <cell r="Q1594" t="str">
            <v>Not Available</v>
          </cell>
          <cell r="R1594" t="str">
            <v>TOP Corp</v>
          </cell>
          <cell r="S1594" t="str">
            <v>SHRIRO (M) Sdn. Bhd</v>
          </cell>
          <cell r="T1594" t="str">
            <v>Functioning</v>
          </cell>
          <cell r="U1594" t="str">
            <v>Asset</v>
          </cell>
          <cell r="V1594">
            <v>3800</v>
          </cell>
          <cell r="W1594" t="str">
            <v>KEW</v>
          </cell>
          <cell r="X1594" t="str">
            <v>02/11/2016</v>
          </cell>
          <cell r="Y1594" t="str">
            <v>KEW</v>
          </cell>
          <cell r="Z1594" t="str">
            <v>30/12/2016</v>
          </cell>
          <cell r="AA1594" t="str">
            <v>31/12/2017</v>
          </cell>
          <cell r="AB1594" t="str">
            <v>No</v>
          </cell>
          <cell r="AC1594" t="str">
            <v>22/11/2016</v>
          </cell>
          <cell r="AD1594" t="str">
            <v>Good</v>
          </cell>
          <cell r="AE1594" t="str">
            <v>V3 - Added Installed Facilities (New)</v>
          </cell>
          <cell r="AF1594">
            <v>42759</v>
          </cell>
          <cell r="AG1594">
            <v>3</v>
          </cell>
          <cell r="AH1594" t="str">
            <v>PPM</v>
          </cell>
          <cell r="AI1594" t="str">
            <v>Strands</v>
          </cell>
          <cell r="AJ1594" t="str">
            <v>Strands PW</v>
          </cell>
          <cell r="AK1594" t="str">
            <v>SNF received. 1st batch of V3 asset (December 2020)</v>
          </cell>
        </row>
        <row r="1595">
          <cell r="A1595" t="str">
            <v>IKN401400</v>
          </cell>
          <cell r="B1595">
            <v>1385</v>
          </cell>
          <cell r="C1595" t="str">
            <v>Institut Kanser Negara</v>
          </cell>
          <cell r="D1595" t="str">
            <v>KKM/IKN/H/16/33</v>
          </cell>
          <cell r="E1595" t="str">
            <v>13-215</v>
          </cell>
          <cell r="F1595" t="str">
            <v>Infusion Pumps, General-Purpose</v>
          </cell>
          <cell r="G1595" t="str">
            <v>WA</v>
          </cell>
          <cell r="H1595" t="str">
            <v>NUCLEAR MED WARD (THERAPY)</v>
          </cell>
          <cell r="I1595" t="str">
            <v>03WA177</v>
          </cell>
          <cell r="J1595" t="str">
            <v>EQ. ROOM</v>
          </cell>
          <cell r="K1595" t="str">
            <v>BMED</v>
          </cell>
          <cell r="L1595" t="str">
            <v>Critical</v>
          </cell>
          <cell r="M1595" t="str">
            <v>Japan</v>
          </cell>
          <cell r="N1595" t="str">
            <v>TOP</v>
          </cell>
          <cell r="O1595" t="str">
            <v>TOP-2300</v>
          </cell>
          <cell r="P1595" t="str">
            <v>16A 0496</v>
          </cell>
          <cell r="Q1595" t="str">
            <v>Not Available</v>
          </cell>
          <cell r="R1595" t="str">
            <v>TOP Corp</v>
          </cell>
          <cell r="S1595" t="str">
            <v>SHRIRO (M) Sdn. Bhd</v>
          </cell>
          <cell r="T1595" t="str">
            <v>Functioning</v>
          </cell>
          <cell r="U1595" t="str">
            <v>Asset</v>
          </cell>
          <cell r="V1595">
            <v>3800</v>
          </cell>
          <cell r="W1595" t="str">
            <v>KEW</v>
          </cell>
          <cell r="X1595" t="str">
            <v>02/11/2016</v>
          </cell>
          <cell r="Y1595" t="str">
            <v>KEW</v>
          </cell>
          <cell r="Z1595" t="str">
            <v>30/12/2016</v>
          </cell>
          <cell r="AA1595" t="str">
            <v>31/12/2017</v>
          </cell>
          <cell r="AB1595" t="str">
            <v>No</v>
          </cell>
          <cell r="AC1595" t="str">
            <v>22/11/2016</v>
          </cell>
          <cell r="AD1595" t="str">
            <v>Good</v>
          </cell>
          <cell r="AE1595" t="str">
            <v>V3 - Added Installed Facilities (New)</v>
          </cell>
          <cell r="AF1595">
            <v>42759</v>
          </cell>
          <cell r="AG1595">
            <v>3</v>
          </cell>
          <cell r="AH1595" t="str">
            <v>PPM</v>
          </cell>
          <cell r="AI1595" t="str">
            <v>Strands</v>
          </cell>
          <cell r="AJ1595" t="str">
            <v>Strands PW</v>
          </cell>
          <cell r="AK1595" t="str">
            <v>SNF received. 1st batch of V3 asset (December 2020)</v>
          </cell>
        </row>
        <row r="1596">
          <cell r="A1596" t="str">
            <v>IKN401401</v>
          </cell>
          <cell r="B1596">
            <v>1386</v>
          </cell>
          <cell r="C1596" t="str">
            <v>Institut Kanser Negara</v>
          </cell>
          <cell r="D1596" t="str">
            <v>KKM/IKN/H/16/30</v>
          </cell>
          <cell r="E1596" t="str">
            <v>13-215</v>
          </cell>
          <cell r="F1596" t="str">
            <v>Infusion Pumps, General-Purpose</v>
          </cell>
          <cell r="G1596" t="str">
            <v>WA</v>
          </cell>
          <cell r="H1596" t="str">
            <v>NUCLEAR MED WARD (THERAPY)</v>
          </cell>
          <cell r="I1596" t="str">
            <v>03WA177</v>
          </cell>
          <cell r="J1596" t="str">
            <v>EQ. ROOM</v>
          </cell>
          <cell r="K1596" t="str">
            <v>BMED</v>
          </cell>
          <cell r="L1596" t="str">
            <v>Critical</v>
          </cell>
          <cell r="M1596" t="str">
            <v>Japan</v>
          </cell>
          <cell r="N1596" t="str">
            <v>TOP</v>
          </cell>
          <cell r="O1596" t="str">
            <v>TOP-2300</v>
          </cell>
          <cell r="P1596" t="str">
            <v>16A 0493</v>
          </cell>
          <cell r="Q1596" t="str">
            <v>Not Available</v>
          </cell>
          <cell r="R1596" t="str">
            <v>TOP Corp</v>
          </cell>
          <cell r="S1596" t="str">
            <v>SHRIRO (M) Sdn. Bhd</v>
          </cell>
          <cell r="T1596" t="str">
            <v>Functioning</v>
          </cell>
          <cell r="U1596" t="str">
            <v>Asset</v>
          </cell>
          <cell r="V1596">
            <v>3800</v>
          </cell>
          <cell r="W1596" t="str">
            <v>KEW</v>
          </cell>
          <cell r="X1596" t="str">
            <v>02/11/2016</v>
          </cell>
          <cell r="Y1596" t="str">
            <v>KEW</v>
          </cell>
          <cell r="Z1596" t="str">
            <v>30/12/2016</v>
          </cell>
          <cell r="AA1596" t="str">
            <v>31/12/2017</v>
          </cell>
          <cell r="AB1596" t="str">
            <v>No</v>
          </cell>
          <cell r="AC1596" t="str">
            <v>22/11/2016</v>
          </cell>
          <cell r="AD1596" t="str">
            <v>Good</v>
          </cell>
          <cell r="AE1596" t="str">
            <v>V3 - Added Installed Facilities (New)</v>
          </cell>
          <cell r="AF1596">
            <v>42759</v>
          </cell>
          <cell r="AG1596">
            <v>3</v>
          </cell>
          <cell r="AH1596" t="str">
            <v>PPM</v>
          </cell>
          <cell r="AI1596" t="str">
            <v>Strands</v>
          </cell>
          <cell r="AJ1596" t="str">
            <v>Strands PW</v>
          </cell>
          <cell r="AK1596" t="str">
            <v>SNF received. 1st batch of V3 asset (December 2020)</v>
          </cell>
        </row>
        <row r="1597">
          <cell r="A1597" t="str">
            <v>IKN401402</v>
          </cell>
          <cell r="B1597">
            <v>1387</v>
          </cell>
          <cell r="C1597" t="str">
            <v>Institut Kanser Negara</v>
          </cell>
          <cell r="D1597" t="str">
            <v>KKM/IKN/H/13/4689-04</v>
          </cell>
          <cell r="E1597" t="str">
            <v>15-605</v>
          </cell>
          <cell r="F1597" t="str">
            <v>Testers</v>
          </cell>
          <cell r="G1597" t="str">
            <v>RT</v>
          </cell>
          <cell r="H1597" t="str">
            <v>RADIATION TREATMENT UNIT</v>
          </cell>
          <cell r="I1597" t="str">
            <v>01RT213</v>
          </cell>
          <cell r="J1597" t="str">
            <v>EQUIPMENT ROOM1</v>
          </cell>
          <cell r="K1597" t="str">
            <v>BMED</v>
          </cell>
          <cell r="L1597" t="str">
            <v>Normal</v>
          </cell>
          <cell r="M1597" t="str">
            <v>Germany</v>
          </cell>
          <cell r="N1597" t="str">
            <v>GTD1100</v>
          </cell>
          <cell r="O1597" t="str">
            <v>GTD 1100</v>
          </cell>
          <cell r="P1597" t="str">
            <v>1379-0310</v>
          </cell>
          <cell r="Q1597" t="str">
            <v>Not Applicable</v>
          </cell>
          <cell r="R1597" t="str">
            <v>GREISINGER</v>
          </cell>
          <cell r="S1597" t="str">
            <v>Oncoray Sdn. Bhd</v>
          </cell>
          <cell r="T1597" t="str">
            <v>Functioning</v>
          </cell>
          <cell r="U1597" t="str">
            <v>Asset</v>
          </cell>
          <cell r="V1597">
            <v>700</v>
          </cell>
          <cell r="W1597" t="str">
            <v>KEW</v>
          </cell>
          <cell r="X1597" t="str">
            <v>01/09/2010</v>
          </cell>
          <cell r="Y1597" t="str">
            <v>KEW</v>
          </cell>
          <cell r="Z1597" t="str">
            <v>16/08/2013</v>
          </cell>
          <cell r="AA1597" t="str">
            <v>15/08/2015</v>
          </cell>
          <cell r="AB1597" t="str">
            <v>No</v>
          </cell>
          <cell r="AC1597" t="str">
            <v>16/08/2013</v>
          </cell>
          <cell r="AD1597" t="str">
            <v>Good</v>
          </cell>
          <cell r="AE1597" t="str">
            <v>V10 - Asset in initial fee submission(new/replacement hosp)</v>
          </cell>
          <cell r="AF1597">
            <v>43063</v>
          </cell>
          <cell r="AG1597">
            <v>9.17</v>
          </cell>
          <cell r="AH1597" t="str">
            <v>PPM</v>
          </cell>
          <cell r="AI1597" t="str">
            <v>strands</v>
          </cell>
          <cell r="AJ1597" t="str">
            <v>Strands Package</v>
          </cell>
          <cell r="AK1597" t="str">
            <v>Package Afterloading System, XM0011</v>
          </cell>
        </row>
        <row r="1598">
          <cell r="A1598" t="str">
            <v>IKN401403</v>
          </cell>
          <cell r="B1598">
            <v>1388</v>
          </cell>
          <cell r="C1598" t="str">
            <v>Institut Kanser Negara</v>
          </cell>
          <cell r="D1598" t="str">
            <v>KKM/IKN/H/13/</v>
          </cell>
          <cell r="E1598" t="str">
            <v>15-605</v>
          </cell>
          <cell r="F1598" t="str">
            <v>Testers</v>
          </cell>
          <cell r="G1598" t="str">
            <v>RT</v>
          </cell>
          <cell r="H1598" t="str">
            <v>RADIATION TREATMENT UNIT</v>
          </cell>
          <cell r="I1598" t="str">
            <v>01RT213</v>
          </cell>
          <cell r="J1598" t="str">
            <v>EQUIPMENT ROOM1</v>
          </cell>
          <cell r="K1598" t="str">
            <v>BMED</v>
          </cell>
          <cell r="L1598" t="str">
            <v>Normal</v>
          </cell>
          <cell r="M1598" t="str">
            <v>Germany</v>
          </cell>
          <cell r="N1598" t="str">
            <v>C300</v>
          </cell>
          <cell r="O1598" t="str">
            <v>C300</v>
          </cell>
          <cell r="P1598" t="str">
            <v>008.0812.0202.2.1.1.25</v>
          </cell>
          <cell r="Q1598" t="str">
            <v>Not Available</v>
          </cell>
          <cell r="R1598" t="str">
            <v>LUFFT</v>
          </cell>
          <cell r="S1598" t="str">
            <v>Delta Advantech (M) Sdn. Bhd</v>
          </cell>
          <cell r="T1598" t="str">
            <v>Functioning</v>
          </cell>
          <cell r="U1598" t="str">
            <v>Asset</v>
          </cell>
          <cell r="V1598">
            <v>8000</v>
          </cell>
          <cell r="W1598" t="str">
            <v>KEW</v>
          </cell>
          <cell r="X1598" t="str">
            <v>01/09/2010</v>
          </cell>
          <cell r="Y1598" t="str">
            <v>KEW</v>
          </cell>
          <cell r="Z1598" t="str">
            <v>16/08/2013</v>
          </cell>
          <cell r="AA1598" t="str">
            <v>15/08/2015</v>
          </cell>
          <cell r="AB1598" t="str">
            <v>No</v>
          </cell>
          <cell r="AC1598" t="str">
            <v>31/08/2013</v>
          </cell>
          <cell r="AD1598" t="str">
            <v>Good</v>
          </cell>
          <cell r="AE1598" t="str">
            <v>V1 - Existing / No Claim</v>
          </cell>
          <cell r="AF1598">
            <v>42755</v>
          </cell>
          <cell r="AG1598">
            <v>9.17</v>
          </cell>
          <cell r="AH1598" t="str">
            <v>PPM</v>
          </cell>
          <cell r="AI1598" t="str">
            <v>Strands</v>
          </cell>
          <cell r="AJ1598" t="str">
            <v>Strands PW</v>
          </cell>
        </row>
        <row r="1599">
          <cell r="A1599" t="str">
            <v>IKN401412</v>
          </cell>
          <cell r="B1599">
            <v>1395</v>
          </cell>
          <cell r="C1599" t="str">
            <v>Institut Kanser Negara</v>
          </cell>
          <cell r="D1599" t="str">
            <v>KKM/IKN/H/13/2554</v>
          </cell>
          <cell r="E1599" t="str">
            <v>13-461</v>
          </cell>
          <cell r="F1599" t="str">
            <v>Scales, Patient, Floor</v>
          </cell>
          <cell r="G1599" t="str">
            <v>WG</v>
          </cell>
          <cell r="H1599" t="str">
            <v>RT/ONCO WARD 1 (M)</v>
          </cell>
          <cell r="I1599" t="str">
            <v>08WG143</v>
          </cell>
          <cell r="J1599" t="str">
            <v>NURSE STATION</v>
          </cell>
          <cell r="K1599" t="str">
            <v>BMED</v>
          </cell>
          <cell r="L1599" t="str">
            <v>Normal</v>
          </cell>
          <cell r="M1599" t="str">
            <v>USA</v>
          </cell>
          <cell r="N1599" t="str">
            <v>Detecto</v>
          </cell>
          <cell r="O1599" t="str">
            <v>758 C</v>
          </cell>
          <cell r="P1599" t="str">
            <v>E34812-0041</v>
          </cell>
          <cell r="Q1599" t="str">
            <v>Not Applicable</v>
          </cell>
          <cell r="R1599" t="str">
            <v>DETECTO</v>
          </cell>
          <cell r="S1599" t="str">
            <v>Acucare System (M) Sdn. Bhd</v>
          </cell>
          <cell r="T1599" t="str">
            <v>Functioning</v>
          </cell>
          <cell r="U1599" t="str">
            <v>Asset</v>
          </cell>
          <cell r="V1599">
            <v>9380</v>
          </cell>
          <cell r="W1599" t="str">
            <v>KEW</v>
          </cell>
          <cell r="X1599" t="str">
            <v>01/09/2010</v>
          </cell>
          <cell r="Y1599" t="str">
            <v>KEW</v>
          </cell>
          <cell r="Z1599" t="str">
            <v>16/08/2013</v>
          </cell>
          <cell r="AA1599" t="str">
            <v>15/08/2015</v>
          </cell>
          <cell r="AB1599" t="str">
            <v>No</v>
          </cell>
          <cell r="AC1599" t="str">
            <v>31/08/2013</v>
          </cell>
          <cell r="AD1599" t="str">
            <v>Good</v>
          </cell>
          <cell r="AE1599" t="str">
            <v>V1 - Existing / No Claim</v>
          </cell>
          <cell r="AF1599">
            <v>42789</v>
          </cell>
          <cell r="AG1599">
            <v>9.17</v>
          </cell>
          <cell r="AH1599" t="str">
            <v>PPM</v>
          </cell>
          <cell r="AI1599" t="str">
            <v>Strands</v>
          </cell>
          <cell r="AJ1599" t="str">
            <v>Strands PW</v>
          </cell>
        </row>
        <row r="1600">
          <cell r="A1600" t="str">
            <v>IKN401415</v>
          </cell>
          <cell r="B1600">
            <v>1397</v>
          </cell>
          <cell r="C1600" t="str">
            <v>Institut Kanser Negara</v>
          </cell>
          <cell r="D1600" t="str">
            <v>KKM/IKN/H/13/2028</v>
          </cell>
          <cell r="E1600" t="str">
            <v>13-461</v>
          </cell>
          <cell r="F1600" t="str">
            <v>Scales, Patient, Floor</v>
          </cell>
          <cell r="G1600" t="str">
            <v>WH</v>
          </cell>
          <cell r="H1600" t="str">
            <v>RT/ONCO WARD 2 (M)</v>
          </cell>
          <cell r="I1600" t="str">
            <v>08WH143</v>
          </cell>
          <cell r="J1600" t="str">
            <v>NURSE STATION</v>
          </cell>
          <cell r="K1600" t="str">
            <v>BMED</v>
          </cell>
          <cell r="L1600" t="str">
            <v>Normal</v>
          </cell>
          <cell r="M1600" t="str">
            <v>USA</v>
          </cell>
          <cell r="N1600" t="str">
            <v>Detecto</v>
          </cell>
          <cell r="O1600" t="str">
            <v>758 C</v>
          </cell>
          <cell r="P1600" t="str">
            <v>E 34812-0043</v>
          </cell>
          <cell r="Q1600" t="str">
            <v>Not Available</v>
          </cell>
          <cell r="R1600" t="str">
            <v>DETECTO</v>
          </cell>
          <cell r="S1600" t="str">
            <v>Acucare System (M) Sdn. Bhd</v>
          </cell>
          <cell r="T1600" t="str">
            <v>Functioning</v>
          </cell>
          <cell r="U1600" t="str">
            <v>Asset</v>
          </cell>
          <cell r="V1600">
            <v>9380</v>
          </cell>
          <cell r="W1600" t="str">
            <v>KEW</v>
          </cell>
          <cell r="X1600" t="str">
            <v>01/09/2010</v>
          </cell>
          <cell r="Y1600" t="str">
            <v>KEW</v>
          </cell>
          <cell r="Z1600" t="str">
            <v>16/08/2013</v>
          </cell>
          <cell r="AA1600" t="str">
            <v>15/08/2015</v>
          </cell>
          <cell r="AB1600" t="str">
            <v>No</v>
          </cell>
          <cell r="AC1600" t="str">
            <v>31/08/2013</v>
          </cell>
          <cell r="AD1600" t="str">
            <v>Good</v>
          </cell>
          <cell r="AE1600" t="str">
            <v>V1 - Existing / No Claim</v>
          </cell>
          <cell r="AF1600">
            <v>42781</v>
          </cell>
          <cell r="AG1600">
            <v>9.17</v>
          </cell>
          <cell r="AH1600" t="str">
            <v>PPM</v>
          </cell>
          <cell r="AI1600" t="str">
            <v>Strands</v>
          </cell>
          <cell r="AJ1600" t="str">
            <v>Strands PW</v>
          </cell>
        </row>
        <row r="1601">
          <cell r="A1601" t="str">
            <v>IKN401419</v>
          </cell>
          <cell r="B1601">
            <v>1400</v>
          </cell>
          <cell r="C1601" t="str">
            <v>Institut Kanser Negara</v>
          </cell>
          <cell r="D1601" t="str">
            <v>KKM/IKN/H/13/2093</v>
          </cell>
          <cell r="E1601" t="str">
            <v>13-461</v>
          </cell>
          <cell r="F1601" t="str">
            <v>Scales, Patient, Floor</v>
          </cell>
          <cell r="G1601" t="str">
            <v>WE</v>
          </cell>
          <cell r="H1601" t="str">
            <v>RT/ONCO WARD 1 (F)</v>
          </cell>
          <cell r="I1601" t="str">
            <v>07WE143</v>
          </cell>
          <cell r="J1601" t="str">
            <v>NURSE STATION</v>
          </cell>
          <cell r="K1601" t="str">
            <v>BMED</v>
          </cell>
          <cell r="L1601" t="str">
            <v>Normal</v>
          </cell>
          <cell r="M1601" t="str">
            <v>USA</v>
          </cell>
          <cell r="N1601" t="str">
            <v>Detecto</v>
          </cell>
          <cell r="O1601" t="str">
            <v>758 C</v>
          </cell>
          <cell r="P1601" t="str">
            <v>E 32112-0199</v>
          </cell>
          <cell r="Q1601" t="str">
            <v>Not Applicable</v>
          </cell>
          <cell r="R1601" t="str">
            <v>DETECTO</v>
          </cell>
          <cell r="S1601" t="str">
            <v>Acucare System (M) Sdn. Bhd</v>
          </cell>
          <cell r="T1601" t="str">
            <v>Functioning</v>
          </cell>
          <cell r="U1601" t="str">
            <v>Asset</v>
          </cell>
          <cell r="V1601">
            <v>9380</v>
          </cell>
          <cell r="W1601" t="str">
            <v>KEW</v>
          </cell>
          <cell r="X1601" t="str">
            <v>01/09/2010</v>
          </cell>
          <cell r="Y1601" t="str">
            <v>KEW</v>
          </cell>
          <cell r="Z1601" t="str">
            <v>16/08/2013</v>
          </cell>
          <cell r="AA1601" t="str">
            <v>15/08/2015</v>
          </cell>
          <cell r="AB1601" t="str">
            <v>No</v>
          </cell>
          <cell r="AC1601" t="str">
            <v>31/08/2013</v>
          </cell>
          <cell r="AD1601" t="str">
            <v>Good</v>
          </cell>
          <cell r="AE1601" t="str">
            <v>V1 - Existing / No Claim</v>
          </cell>
          <cell r="AF1601">
            <v>42790</v>
          </cell>
          <cell r="AG1601">
            <v>9.17</v>
          </cell>
          <cell r="AH1601" t="str">
            <v>PPM</v>
          </cell>
          <cell r="AI1601" t="str">
            <v>Strands</v>
          </cell>
          <cell r="AJ1601" t="str">
            <v>Strands PW</v>
          </cell>
        </row>
        <row r="1602">
          <cell r="A1602" t="str">
            <v>IKN401432</v>
          </cell>
          <cell r="B1602">
            <v>1410</v>
          </cell>
          <cell r="C1602" t="str">
            <v>Institut Kanser Negara</v>
          </cell>
          <cell r="D1602" t="str">
            <v>KKM/IKN/H/13/3372</v>
          </cell>
          <cell r="E1602" t="str">
            <v>13-461</v>
          </cell>
          <cell r="F1602" t="str">
            <v>Scales, Patient, Floor</v>
          </cell>
          <cell r="G1602" t="str">
            <v>WC</v>
          </cell>
          <cell r="H1602" t="str">
            <v>SURGICAL ONCO FEMALE WARD</v>
          </cell>
          <cell r="I1602" t="str">
            <v>06WC143</v>
          </cell>
          <cell r="J1602" t="str">
            <v>NURSE STATION</v>
          </cell>
          <cell r="K1602" t="str">
            <v>BMED</v>
          </cell>
          <cell r="L1602" t="str">
            <v>Normal</v>
          </cell>
          <cell r="M1602" t="str">
            <v>USA</v>
          </cell>
          <cell r="N1602" t="str">
            <v>Detecto</v>
          </cell>
          <cell r="O1602" t="str">
            <v>758 C</v>
          </cell>
          <cell r="P1602" t="str">
            <v>E 34912-0175</v>
          </cell>
          <cell r="Q1602" t="str">
            <v>Not Available</v>
          </cell>
          <cell r="R1602" t="str">
            <v>DETECTO</v>
          </cell>
          <cell r="S1602" t="str">
            <v>Acucare System (M) Sdn. Bhd</v>
          </cell>
          <cell r="T1602" t="str">
            <v>Functioning</v>
          </cell>
          <cell r="U1602" t="str">
            <v>Asset</v>
          </cell>
          <cell r="V1602">
            <v>9380</v>
          </cell>
          <cell r="W1602" t="str">
            <v>KEW</v>
          </cell>
          <cell r="X1602" t="str">
            <v>01/09/2010</v>
          </cell>
          <cell r="Y1602" t="str">
            <v>KEW</v>
          </cell>
          <cell r="Z1602" t="str">
            <v>16/08/2013</v>
          </cell>
          <cell r="AA1602" t="str">
            <v>15/08/2015</v>
          </cell>
          <cell r="AB1602" t="str">
            <v>No</v>
          </cell>
          <cell r="AC1602" t="str">
            <v>31/08/2013</v>
          </cell>
          <cell r="AD1602" t="str">
            <v>Good</v>
          </cell>
          <cell r="AE1602" t="str">
            <v>V1 - Existing / No Claim</v>
          </cell>
          <cell r="AF1602">
            <v>42781</v>
          </cell>
          <cell r="AG1602">
            <v>9.17</v>
          </cell>
          <cell r="AH1602" t="str">
            <v>PPM</v>
          </cell>
          <cell r="AI1602" t="str">
            <v>Strands</v>
          </cell>
          <cell r="AJ1602" t="str">
            <v>Strands PW</v>
          </cell>
        </row>
        <row r="1603">
          <cell r="A1603" t="str">
            <v>IKN401436</v>
          </cell>
          <cell r="B1603">
            <v>1412</v>
          </cell>
          <cell r="C1603" t="str">
            <v>Institut Kanser Negara</v>
          </cell>
          <cell r="D1603" t="str">
            <v>KKM/IKN/I/13/1703</v>
          </cell>
          <cell r="E1603" t="str">
            <v>13-461</v>
          </cell>
          <cell r="F1603" t="str">
            <v>Scales, Patient, Floor</v>
          </cell>
          <cell r="G1603" t="str">
            <v>MC</v>
          </cell>
          <cell r="H1603" t="str">
            <v>MULTI-DISCIPLINE CLINIC</v>
          </cell>
          <cell r="I1603" t="str">
            <v>03MC106</v>
          </cell>
          <cell r="J1603" t="str">
            <v>COUNSELLING</v>
          </cell>
          <cell r="K1603" t="str">
            <v>BMED</v>
          </cell>
          <cell r="L1603" t="str">
            <v>Normal</v>
          </cell>
          <cell r="M1603" t="str">
            <v>USA</v>
          </cell>
          <cell r="N1603" t="str">
            <v>Detecto</v>
          </cell>
          <cell r="O1603" t="str">
            <v>758 C</v>
          </cell>
          <cell r="P1603" t="str">
            <v>E32112-0184</v>
          </cell>
          <cell r="Q1603" t="str">
            <v>NA</v>
          </cell>
          <cell r="R1603" t="str">
            <v>DETECTO</v>
          </cell>
          <cell r="S1603" t="str">
            <v>ACURE SYSTEM SDN BHD</v>
          </cell>
          <cell r="T1603" t="str">
            <v>Functioning</v>
          </cell>
          <cell r="U1603" t="str">
            <v>Asset</v>
          </cell>
          <cell r="V1603">
            <v>9380</v>
          </cell>
          <cell r="W1603" t="str">
            <v>KEW</v>
          </cell>
          <cell r="X1603" t="str">
            <v>01/09/2010</v>
          </cell>
          <cell r="Y1603" t="str">
            <v>Estimate</v>
          </cell>
          <cell r="Z1603" t="str">
            <v>16/08/2013</v>
          </cell>
          <cell r="AA1603" t="str">
            <v>15/08/2015</v>
          </cell>
          <cell r="AB1603" t="str">
            <v>No</v>
          </cell>
          <cell r="AC1603" t="str">
            <v>31/08/2013</v>
          </cell>
          <cell r="AD1603" t="str">
            <v>Good</v>
          </cell>
          <cell r="AE1603" t="str">
            <v>V1 - Existing / No Claim</v>
          </cell>
          <cell r="AF1603">
            <v>42781</v>
          </cell>
          <cell r="AG1603">
            <v>9.17</v>
          </cell>
          <cell r="AH1603" t="str">
            <v>PPM</v>
          </cell>
          <cell r="AI1603" t="str">
            <v>Strands</v>
          </cell>
          <cell r="AK1603" t="str">
            <v>Wrong kewpa previously by user KKM/IKN/I/13/379. [22/9/2023, SHARIFAH]: PEP ON FEB 2021, BER/BEMS/AWSB/21/002 - Asset mengalami kerosakan pada komponen Digital Height Rod, tetapi masih boleh digunakan namun asset tidak ekonomik diperbaiki lagi sekiranya rosak.</v>
          </cell>
        </row>
        <row r="1604">
          <cell r="A1604" t="str">
            <v>IKN401439</v>
          </cell>
          <cell r="B1604">
            <v>1415</v>
          </cell>
          <cell r="C1604" t="str">
            <v>Institut Kanser Negara</v>
          </cell>
          <cell r="D1604" t="str">
            <v>KKM/IKN/H/13/2232</v>
          </cell>
          <cell r="E1604" t="str">
            <v>13-461</v>
          </cell>
          <cell r="F1604" t="str">
            <v>Scales, Patient, Floor</v>
          </cell>
          <cell r="G1604" t="str">
            <v>WA</v>
          </cell>
          <cell r="H1604" t="str">
            <v>NUCLEAR MED WARD (THERAPY)</v>
          </cell>
          <cell r="I1604" t="str">
            <v>03WA117</v>
          </cell>
          <cell r="J1604" t="str">
            <v>N/S 1</v>
          </cell>
          <cell r="K1604" t="str">
            <v>BMED</v>
          </cell>
          <cell r="L1604" t="str">
            <v>Normal</v>
          </cell>
          <cell r="M1604" t="str">
            <v>USA</v>
          </cell>
          <cell r="N1604" t="str">
            <v>Detecto</v>
          </cell>
          <cell r="O1604" t="str">
            <v>758 C</v>
          </cell>
          <cell r="P1604" t="str">
            <v>E 34812-0035</v>
          </cell>
          <cell r="Q1604" t="str">
            <v>Not Applicable</v>
          </cell>
          <cell r="R1604" t="str">
            <v>DETECTO</v>
          </cell>
          <cell r="S1604" t="str">
            <v>Acucare System (M) Sdn. Bhd</v>
          </cell>
          <cell r="T1604" t="str">
            <v>Functioning</v>
          </cell>
          <cell r="U1604" t="str">
            <v>Asset</v>
          </cell>
          <cell r="V1604">
            <v>9380</v>
          </cell>
          <cell r="W1604" t="str">
            <v>KEW</v>
          </cell>
          <cell r="X1604" t="str">
            <v>01/09/2010</v>
          </cell>
          <cell r="Y1604" t="str">
            <v>KEW</v>
          </cell>
          <cell r="Z1604" t="str">
            <v>16/08/2013</v>
          </cell>
          <cell r="AA1604" t="str">
            <v>15/08/2015</v>
          </cell>
          <cell r="AB1604" t="str">
            <v>No</v>
          </cell>
          <cell r="AC1604" t="str">
            <v>31/08/2013</v>
          </cell>
          <cell r="AD1604" t="str">
            <v>Good</v>
          </cell>
          <cell r="AE1604" t="str">
            <v>V1 - Existing / No Claim</v>
          </cell>
          <cell r="AF1604">
            <v>42794</v>
          </cell>
          <cell r="AG1604">
            <v>9.17</v>
          </cell>
          <cell r="AH1604" t="str">
            <v>PPM</v>
          </cell>
          <cell r="AI1604" t="str">
            <v>Strands</v>
          </cell>
          <cell r="AJ1604" t="str">
            <v>Strands PW</v>
          </cell>
        </row>
        <row r="1605">
          <cell r="A1605" t="str">
            <v>IKN401447</v>
          </cell>
          <cell r="B1605">
            <v>1420</v>
          </cell>
          <cell r="C1605" t="str">
            <v>Institut Kanser Negara</v>
          </cell>
          <cell r="D1605" t="str">
            <v>KKM/IKN/H/13/1246</v>
          </cell>
          <cell r="E1605" t="str">
            <v>13-461</v>
          </cell>
          <cell r="F1605" t="str">
            <v>Scales, Patient, Floor</v>
          </cell>
          <cell r="G1605" t="str">
            <v>TC</v>
          </cell>
          <cell r="H1605" t="str">
            <v>TRADITIONAL COMPLEMENTARY MEDICINE</v>
          </cell>
          <cell r="I1605" t="str">
            <v>04TC125</v>
          </cell>
          <cell r="J1605" t="str">
            <v>ASSESSMENT</v>
          </cell>
          <cell r="K1605" t="str">
            <v>BMED</v>
          </cell>
          <cell r="L1605" t="str">
            <v>Normal</v>
          </cell>
          <cell r="M1605" t="str">
            <v>USA</v>
          </cell>
          <cell r="N1605" t="str">
            <v>Detecto</v>
          </cell>
          <cell r="O1605" t="str">
            <v>758 C</v>
          </cell>
          <cell r="P1605" t="str">
            <v>E 32112-0179</v>
          </cell>
          <cell r="Q1605" t="str">
            <v>Not Applicable</v>
          </cell>
          <cell r="R1605" t="str">
            <v>DETECTO</v>
          </cell>
          <cell r="S1605" t="str">
            <v>Acucare System (M) Sdn. Bhd</v>
          </cell>
          <cell r="T1605" t="str">
            <v>Functioning</v>
          </cell>
          <cell r="U1605" t="str">
            <v>Asset</v>
          </cell>
          <cell r="V1605">
            <v>9380</v>
          </cell>
          <cell r="W1605" t="str">
            <v>KEW</v>
          </cell>
          <cell r="X1605" t="str">
            <v>01/09/2010</v>
          </cell>
          <cell r="Y1605" t="str">
            <v>KEW</v>
          </cell>
          <cell r="Z1605" t="str">
            <v>16/08/2013</v>
          </cell>
          <cell r="AA1605" t="str">
            <v>15/08/2015</v>
          </cell>
          <cell r="AB1605" t="str">
            <v>No</v>
          </cell>
          <cell r="AC1605" t="str">
            <v>31/08/2013</v>
          </cell>
          <cell r="AD1605" t="str">
            <v>Good</v>
          </cell>
          <cell r="AE1605" t="str">
            <v>V1 - Existing / No Claim</v>
          </cell>
          <cell r="AF1605">
            <v>42794</v>
          </cell>
          <cell r="AG1605">
            <v>9.17</v>
          </cell>
          <cell r="AH1605" t="str">
            <v>PPM</v>
          </cell>
          <cell r="AI1605" t="str">
            <v>Strands</v>
          </cell>
          <cell r="AJ1605" t="str">
            <v>Strands PW</v>
          </cell>
        </row>
        <row r="1606">
          <cell r="A1606" t="str">
            <v>IKN401450</v>
          </cell>
          <cell r="B1606">
            <v>1422</v>
          </cell>
          <cell r="C1606" t="str">
            <v>Institut Kanser Negara</v>
          </cell>
          <cell r="D1606" t="str">
            <v>KKM/IKN/H/13/2972</v>
          </cell>
          <cell r="E1606" t="str">
            <v>13-461</v>
          </cell>
          <cell r="F1606" t="str">
            <v>Scales, Patient, Floor</v>
          </cell>
          <cell r="G1606" t="str">
            <v>NM</v>
          </cell>
          <cell r="H1606" t="str">
            <v>NUCLEAR MED (DIAGNOSTIC)</v>
          </cell>
          <cell r="I1606" t="str">
            <v>03NM108</v>
          </cell>
          <cell r="J1606" t="str">
            <v>TREATMENT 1 (RAI)(VE)</v>
          </cell>
          <cell r="K1606" t="str">
            <v>BMED</v>
          </cell>
          <cell r="L1606" t="str">
            <v>Normal</v>
          </cell>
          <cell r="M1606" t="str">
            <v>USA</v>
          </cell>
          <cell r="N1606" t="str">
            <v>Detecto</v>
          </cell>
          <cell r="O1606" t="str">
            <v>758 C</v>
          </cell>
          <cell r="P1606" t="str">
            <v>E32112-0185</v>
          </cell>
          <cell r="Q1606" t="str">
            <v>NA</v>
          </cell>
          <cell r="R1606" t="str">
            <v>DETECTO</v>
          </cell>
          <cell r="S1606" t="str">
            <v>ACUCARE SYSTEMS M SDN BHD</v>
          </cell>
          <cell r="T1606" t="str">
            <v>Functioning</v>
          </cell>
          <cell r="U1606" t="str">
            <v>Asset</v>
          </cell>
          <cell r="V1606">
            <v>9380</v>
          </cell>
          <cell r="W1606" t="str">
            <v>KEW</v>
          </cell>
          <cell r="X1606" t="str">
            <v>01/09/2010</v>
          </cell>
          <cell r="Y1606" t="str">
            <v>Estimate</v>
          </cell>
          <cell r="Z1606" t="str">
            <v>16/08/2013</v>
          </cell>
          <cell r="AA1606" t="str">
            <v>15/08/2015</v>
          </cell>
          <cell r="AB1606" t="str">
            <v>No</v>
          </cell>
          <cell r="AC1606" t="str">
            <v>31/08/2013</v>
          </cell>
          <cell r="AD1606" t="str">
            <v>Good</v>
          </cell>
          <cell r="AE1606" t="str">
            <v>V1 - Existing / No Claim</v>
          </cell>
          <cell r="AF1606">
            <v>43430</v>
          </cell>
          <cell r="AG1606">
            <v>9.17</v>
          </cell>
          <cell r="AH1606" t="str">
            <v>PPM</v>
          </cell>
          <cell r="AI1606" t="str">
            <v>Strands</v>
          </cell>
          <cell r="AJ1606" t="str">
            <v>Strands PW</v>
          </cell>
        </row>
        <row r="1607">
          <cell r="A1607" t="str">
            <v>IKN401453</v>
          </cell>
          <cell r="B1607">
            <v>1424</v>
          </cell>
          <cell r="C1607" t="str">
            <v>Institut Kanser Negara</v>
          </cell>
          <cell r="D1607" t="str">
            <v>KKM/IKN/H/13/2379</v>
          </cell>
          <cell r="E1607" t="str">
            <v>13-461</v>
          </cell>
          <cell r="F1607" t="str">
            <v>Scales, Patient, Floor</v>
          </cell>
          <cell r="G1607" t="str">
            <v>WB</v>
          </cell>
          <cell r="H1607" t="str">
            <v>SURGICAL ONCO MALE WARD</v>
          </cell>
          <cell r="I1607" t="str">
            <v>05WB143</v>
          </cell>
          <cell r="J1607" t="str">
            <v>NURSES STATION</v>
          </cell>
          <cell r="K1607" t="str">
            <v>BMED</v>
          </cell>
          <cell r="L1607" t="str">
            <v>Normal</v>
          </cell>
          <cell r="M1607" t="str">
            <v>USA</v>
          </cell>
          <cell r="N1607" t="str">
            <v>Detecto</v>
          </cell>
          <cell r="O1607" t="str">
            <v>758 C</v>
          </cell>
          <cell r="P1607" t="str">
            <v>E 32112-0200</v>
          </cell>
          <cell r="Q1607" t="str">
            <v>Not Available</v>
          </cell>
          <cell r="R1607" t="str">
            <v>DETECTO</v>
          </cell>
          <cell r="S1607" t="str">
            <v>Acucare System (M) Sdn. Bhd</v>
          </cell>
          <cell r="T1607" t="str">
            <v>Functioning</v>
          </cell>
          <cell r="U1607" t="str">
            <v>Asset</v>
          </cell>
          <cell r="V1607">
            <v>9380</v>
          </cell>
          <cell r="W1607" t="str">
            <v>KEW</v>
          </cell>
          <cell r="X1607" t="str">
            <v>01/09/2010</v>
          </cell>
          <cell r="Y1607" t="str">
            <v>KEW</v>
          </cell>
          <cell r="Z1607" t="str">
            <v>16/08/2013</v>
          </cell>
          <cell r="AA1607" t="str">
            <v>15/08/2015</v>
          </cell>
          <cell r="AB1607" t="str">
            <v>No</v>
          </cell>
          <cell r="AC1607" t="str">
            <v>31/08/2013</v>
          </cell>
          <cell r="AD1607" t="str">
            <v>Good</v>
          </cell>
          <cell r="AE1607" t="str">
            <v>V1 - Existing / No Claim</v>
          </cell>
          <cell r="AF1607">
            <v>42781</v>
          </cell>
          <cell r="AG1607">
            <v>9.17</v>
          </cell>
          <cell r="AH1607" t="str">
            <v>PPM</v>
          </cell>
          <cell r="AI1607" t="str">
            <v>Strands</v>
          </cell>
          <cell r="AJ1607" t="str">
            <v>Strands PW</v>
          </cell>
        </row>
        <row r="1608">
          <cell r="A1608" t="str">
            <v>IKN401461</v>
          </cell>
          <cell r="B1608">
            <v>1430</v>
          </cell>
          <cell r="C1608" t="str">
            <v>Institut Kanser Negara</v>
          </cell>
          <cell r="D1608" t="str">
            <v>KKM/IKN/H/13/797</v>
          </cell>
          <cell r="E1608" t="str">
            <v>13-461</v>
          </cell>
          <cell r="F1608" t="str">
            <v>Scales, Patient, Floor</v>
          </cell>
          <cell r="G1608" t="str">
            <v>OC</v>
          </cell>
          <cell r="H1608" t="str">
            <v>ONCOLOGY CLINIC</v>
          </cell>
          <cell r="I1608" t="str">
            <v>03OC133</v>
          </cell>
          <cell r="J1608" t="str">
            <v>ASSESSMENT</v>
          </cell>
          <cell r="K1608" t="str">
            <v>BMED</v>
          </cell>
          <cell r="L1608" t="str">
            <v>Normal</v>
          </cell>
          <cell r="M1608" t="str">
            <v>USA</v>
          </cell>
          <cell r="N1608" t="str">
            <v>Detecto</v>
          </cell>
          <cell r="O1608" t="str">
            <v>758 C</v>
          </cell>
          <cell r="P1608" t="str">
            <v>E 34912-0248</v>
          </cell>
          <cell r="Q1608" t="str">
            <v>Not Available</v>
          </cell>
          <cell r="R1608" t="str">
            <v>DETECTO</v>
          </cell>
          <cell r="S1608" t="str">
            <v>Acucare System (M) Sdn. Bhd</v>
          </cell>
          <cell r="T1608" t="str">
            <v>Functioning</v>
          </cell>
          <cell r="U1608" t="str">
            <v>Asset</v>
          </cell>
          <cell r="V1608">
            <v>9380</v>
          </cell>
          <cell r="W1608" t="str">
            <v>KEW</v>
          </cell>
          <cell r="X1608" t="str">
            <v>01/09/2010</v>
          </cell>
          <cell r="Y1608" t="str">
            <v>KEW</v>
          </cell>
          <cell r="Z1608" t="str">
            <v>16/08/2013</v>
          </cell>
          <cell r="AA1608" t="str">
            <v>15/08/2015</v>
          </cell>
          <cell r="AB1608" t="str">
            <v>No</v>
          </cell>
          <cell r="AC1608" t="str">
            <v>31/08/2013</v>
          </cell>
          <cell r="AD1608" t="str">
            <v>Good</v>
          </cell>
          <cell r="AE1608" t="str">
            <v>V1 - Existing / No Claim</v>
          </cell>
          <cell r="AF1608">
            <v>43430</v>
          </cell>
          <cell r="AG1608">
            <v>9.17</v>
          </cell>
          <cell r="AH1608" t="str">
            <v>PPM</v>
          </cell>
          <cell r="AI1608" t="str">
            <v>Strands</v>
          </cell>
          <cell r="AJ1608" t="str">
            <v>Strands PW</v>
          </cell>
          <cell r="AK1608" t="str">
            <v>Wrong kewpa no. previously KKM/IKN/H/13/1629</v>
          </cell>
        </row>
        <row r="1609">
          <cell r="A1609" t="str">
            <v>IKN401470</v>
          </cell>
          <cell r="B1609">
            <v>1437</v>
          </cell>
          <cell r="C1609" t="str">
            <v>Institut Kanser Negara</v>
          </cell>
          <cell r="D1609" t="str">
            <v>KKM/IKN/H/13/1786</v>
          </cell>
          <cell r="E1609" t="str">
            <v>13-461</v>
          </cell>
          <cell r="F1609" t="str">
            <v>Scales, Patient, Floor</v>
          </cell>
          <cell r="G1609" t="str">
            <v>AE</v>
          </cell>
          <cell r="H1609" t="str">
            <v>EMERGENCY UNIT</v>
          </cell>
          <cell r="I1609" t="str">
            <v>01AE111</v>
          </cell>
          <cell r="J1609" t="str">
            <v>C/E ROOM</v>
          </cell>
          <cell r="K1609" t="str">
            <v>BMED</v>
          </cell>
          <cell r="L1609" t="str">
            <v>Normal</v>
          </cell>
          <cell r="M1609" t="str">
            <v>USA</v>
          </cell>
          <cell r="N1609" t="str">
            <v>Detecto</v>
          </cell>
          <cell r="O1609" t="str">
            <v>758 C</v>
          </cell>
          <cell r="P1609" t="str">
            <v>E32112-0181</v>
          </cell>
          <cell r="Q1609" t="str">
            <v>NA</v>
          </cell>
          <cell r="R1609" t="str">
            <v>DETECTO</v>
          </cell>
          <cell r="S1609" t="str">
            <v>ACUCARE SYSTEMS SDN BHD</v>
          </cell>
          <cell r="T1609" t="str">
            <v>Functioning</v>
          </cell>
          <cell r="U1609" t="str">
            <v>Asset</v>
          </cell>
          <cell r="V1609">
            <v>9380</v>
          </cell>
          <cell r="W1609" t="str">
            <v>KEW</v>
          </cell>
          <cell r="X1609" t="str">
            <v>01/09/2010</v>
          </cell>
          <cell r="Y1609" t="str">
            <v>Estimate</v>
          </cell>
          <cell r="Z1609" t="str">
            <v>16/08/2013</v>
          </cell>
          <cell r="AA1609" t="str">
            <v>15/08/2015</v>
          </cell>
          <cell r="AB1609" t="str">
            <v>No</v>
          </cell>
          <cell r="AC1609" t="str">
            <v>31/08/2013</v>
          </cell>
          <cell r="AD1609" t="str">
            <v>Good</v>
          </cell>
          <cell r="AE1609" t="str">
            <v>V3 - Added Installed Facilities (New)</v>
          </cell>
          <cell r="AF1609">
            <v>43447</v>
          </cell>
          <cell r="AG1609">
            <v>9.17</v>
          </cell>
          <cell r="AH1609" t="str">
            <v>PPM</v>
          </cell>
          <cell r="AI1609" t="str">
            <v>Strands</v>
          </cell>
          <cell r="AJ1609" t="str">
            <v>Strands PW</v>
          </cell>
          <cell r="AK1609" t="str">
            <v>SNF received. 1st batch of V3 asset (December 2020), [18/9/2023, Indira] Tukar location.</v>
          </cell>
        </row>
        <row r="1610">
          <cell r="A1610" t="str">
            <v>IKN401472</v>
          </cell>
          <cell r="B1610">
            <v>1438</v>
          </cell>
          <cell r="C1610" t="str">
            <v>Institut Kanser Negara</v>
          </cell>
          <cell r="D1610" t="str">
            <v>KKM/IKN/H/13/1877</v>
          </cell>
          <cell r="E1610" t="str">
            <v>13-461</v>
          </cell>
          <cell r="F1610" t="str">
            <v>Scales, Patient, Floor</v>
          </cell>
          <cell r="G1610" t="str">
            <v>WJ</v>
          </cell>
          <cell r="H1610" t="str">
            <v>MULTIDISCIPLINE WARD 1</v>
          </cell>
          <cell r="I1610" t="str">
            <v>09WJ136</v>
          </cell>
          <cell r="J1610" t="str">
            <v>NURSE STATION</v>
          </cell>
          <cell r="K1610" t="str">
            <v>BMED</v>
          </cell>
          <cell r="L1610" t="str">
            <v>Normal</v>
          </cell>
          <cell r="M1610" t="str">
            <v>USA</v>
          </cell>
          <cell r="N1610" t="str">
            <v>Detecto</v>
          </cell>
          <cell r="O1610" t="str">
            <v>758 C</v>
          </cell>
          <cell r="P1610" t="str">
            <v>E-32112-0182</v>
          </cell>
          <cell r="Q1610" t="str">
            <v>Not Applicable</v>
          </cell>
          <cell r="R1610" t="str">
            <v>DETECTO</v>
          </cell>
          <cell r="S1610" t="str">
            <v>ACUCARE SYSTEM SDN BHD</v>
          </cell>
          <cell r="T1610" t="str">
            <v>Functioning</v>
          </cell>
          <cell r="U1610" t="str">
            <v>Asset</v>
          </cell>
          <cell r="V1610">
            <v>9380</v>
          </cell>
          <cell r="W1610" t="str">
            <v>KEW</v>
          </cell>
          <cell r="X1610" t="str">
            <v>01/09/2010</v>
          </cell>
          <cell r="Y1610" t="str">
            <v>Estimate</v>
          </cell>
          <cell r="Z1610" t="str">
            <v>16/08/2013</v>
          </cell>
          <cell r="AA1610" t="str">
            <v>15/08/2015</v>
          </cell>
          <cell r="AB1610" t="str">
            <v>No</v>
          </cell>
          <cell r="AC1610" t="str">
            <v>31/08/2013</v>
          </cell>
          <cell r="AD1610" t="str">
            <v>Good</v>
          </cell>
          <cell r="AE1610" t="str">
            <v>V1 - Existing / No Claim</v>
          </cell>
          <cell r="AF1610">
            <v>42809</v>
          </cell>
          <cell r="AG1610">
            <v>9.17</v>
          </cell>
          <cell r="AH1610" t="str">
            <v>PPM</v>
          </cell>
          <cell r="AI1610" t="str">
            <v>Strands</v>
          </cell>
          <cell r="AJ1610" t="str">
            <v>Strands PW</v>
          </cell>
        </row>
        <row r="1611">
          <cell r="A1611" t="str">
            <v>IKN401476</v>
          </cell>
          <cell r="B1611">
            <v>1442</v>
          </cell>
          <cell r="C1611" t="str">
            <v>Institut Kanser Negara</v>
          </cell>
          <cell r="D1611" t="str">
            <v>KKM/IKN/H/13/3381</v>
          </cell>
          <cell r="E1611" t="str">
            <v>13-461</v>
          </cell>
          <cell r="F1611" t="str">
            <v>Scales, Patient, Floor</v>
          </cell>
          <cell r="G1611" t="str">
            <v>RT</v>
          </cell>
          <cell r="H1611" t="str">
            <v>RADIATION TREATMENT UNIT</v>
          </cell>
          <cell r="I1611" t="str">
            <v>01RT109</v>
          </cell>
          <cell r="J1611" t="str">
            <v>C/L 1</v>
          </cell>
          <cell r="K1611" t="str">
            <v>BMED</v>
          </cell>
          <cell r="L1611" t="str">
            <v>Normal</v>
          </cell>
          <cell r="M1611" t="str">
            <v>USA</v>
          </cell>
          <cell r="N1611" t="str">
            <v>Detecto</v>
          </cell>
          <cell r="O1611" t="str">
            <v>758 C</v>
          </cell>
          <cell r="P1611" t="str">
            <v>E32112-0202</v>
          </cell>
          <cell r="Q1611" t="str">
            <v>Not Applicable</v>
          </cell>
          <cell r="R1611" t="str">
            <v>DETECTO</v>
          </cell>
          <cell r="S1611" t="str">
            <v>Acucare Systems (M) Sdn bhd</v>
          </cell>
          <cell r="T1611" t="str">
            <v>Functioning</v>
          </cell>
          <cell r="U1611" t="str">
            <v>Asset</v>
          </cell>
          <cell r="V1611">
            <v>9380</v>
          </cell>
          <cell r="W1611" t="str">
            <v>KEW</v>
          </cell>
          <cell r="X1611" t="str">
            <v>01/09/2010</v>
          </cell>
          <cell r="Y1611" t="str">
            <v>KEW</v>
          </cell>
          <cell r="Z1611" t="str">
            <v>16/08/2013</v>
          </cell>
          <cell r="AA1611" t="str">
            <v>15/08/2015</v>
          </cell>
          <cell r="AB1611" t="str">
            <v>No</v>
          </cell>
          <cell r="AC1611" t="str">
            <v>31/08/2013</v>
          </cell>
          <cell r="AD1611" t="str">
            <v>Good</v>
          </cell>
          <cell r="AE1611" t="str">
            <v>V1 - Existing / No Claim</v>
          </cell>
          <cell r="AF1611">
            <v>42816</v>
          </cell>
          <cell r="AG1611">
            <v>9.17</v>
          </cell>
          <cell r="AH1611" t="str">
            <v>PPM</v>
          </cell>
          <cell r="AI1611" t="str">
            <v>Strands</v>
          </cell>
        </row>
        <row r="1612">
          <cell r="A1612" t="str">
            <v>IKN401479</v>
          </cell>
          <cell r="B1612">
            <v>1444</v>
          </cell>
          <cell r="C1612" t="str">
            <v>Institut Kanser Negara</v>
          </cell>
          <cell r="D1612" t="e">
            <v>#N/A</v>
          </cell>
          <cell r="E1612" t="str">
            <v>11-631</v>
          </cell>
          <cell r="F1612" t="str">
            <v>Exercisers, Continuous Passive Motion</v>
          </cell>
          <cell r="G1612" t="str">
            <v>CX</v>
          </cell>
          <cell r="I1612" t="str">
            <v>05</v>
          </cell>
          <cell r="J1612" t="str">
            <v>FUTURE EXPANSION</v>
          </cell>
          <cell r="K1612" t="str">
            <v>BMED</v>
          </cell>
          <cell r="L1612" t="str">
            <v>Normal</v>
          </cell>
          <cell r="M1612" t="str">
            <v>China</v>
          </cell>
          <cell r="N1612" t="str">
            <v>Vision</v>
          </cell>
          <cell r="O1612" t="str">
            <v>Vision X20</v>
          </cell>
          <cell r="P1612" t="str">
            <v>EP26813121BA00005</v>
          </cell>
          <cell r="Q1612" t="str">
            <v>Not Applicable</v>
          </cell>
          <cell r="R1612" t="str">
            <v>Vision Fitnees</v>
          </cell>
          <cell r="S1612" t="str">
            <v>Vision Fitnees</v>
          </cell>
          <cell r="T1612" t="str">
            <v>Functioning</v>
          </cell>
          <cell r="U1612" t="str">
            <v>Asset</v>
          </cell>
          <cell r="V1612">
            <v>1</v>
          </cell>
          <cell r="W1612" t="str">
            <v>Estimate</v>
          </cell>
          <cell r="X1612" t="str">
            <v>01/09/2010</v>
          </cell>
          <cell r="Y1612" t="str">
            <v>Estimate</v>
          </cell>
          <cell r="Z1612" t="str">
            <v>16/08/2013</v>
          </cell>
          <cell r="AA1612" t="str">
            <v>15/08/2015</v>
          </cell>
          <cell r="AB1612" t="str">
            <v>No</v>
          </cell>
          <cell r="AC1612" t="str">
            <v>31/08/2013</v>
          </cell>
          <cell r="AD1612" t="str">
            <v>Good</v>
          </cell>
          <cell r="AE1612" t="str">
            <v>V1 - Existing / No Claim</v>
          </cell>
          <cell r="AF1612">
            <v>42868</v>
          </cell>
          <cell r="AG1612">
            <v>9.17</v>
          </cell>
          <cell r="AH1612" t="str">
            <v>PPM</v>
          </cell>
          <cell r="AI1612" t="str">
            <v>Strands</v>
          </cell>
          <cell r="AJ1612" t="str">
            <v>Strands Package F</v>
          </cell>
          <cell r="AK1612" t="str">
            <v>Unit under contract share fees with other same exact same unit. -IKN401387</v>
          </cell>
        </row>
        <row r="1613">
          <cell r="A1613" t="str">
            <v>IKN401480</v>
          </cell>
          <cell r="B1613">
            <v>1445</v>
          </cell>
          <cell r="C1613" t="str">
            <v>Institut Kanser Negara</v>
          </cell>
          <cell r="D1613" t="e">
            <v>#N/A</v>
          </cell>
          <cell r="E1613" t="str">
            <v>10-383</v>
          </cell>
          <cell r="F1613" t="str">
            <v>Ergometers, Bicycle</v>
          </cell>
          <cell r="G1613" t="str">
            <v>CX</v>
          </cell>
          <cell r="I1613" t="str">
            <v>05</v>
          </cell>
          <cell r="J1613" t="str">
            <v>FUTURE EXPANSION</v>
          </cell>
          <cell r="K1613" t="str">
            <v>BMED</v>
          </cell>
          <cell r="L1613" t="str">
            <v>Normal</v>
          </cell>
          <cell r="M1613" t="str">
            <v>Germany</v>
          </cell>
          <cell r="N1613" t="str">
            <v>Ergometer</v>
          </cell>
          <cell r="O1613" t="str">
            <v>Ergometer E5</v>
          </cell>
          <cell r="P1613" t="str">
            <v>E5-W10579</v>
          </cell>
          <cell r="Q1613" t="str">
            <v>Not Applicable</v>
          </cell>
          <cell r="R1613" t="str">
            <v>Heinz Kettler GmbH &amp; Co KG</v>
          </cell>
          <cell r="S1613" t="str">
            <v>Rehamed (M) Sdn. Bhd</v>
          </cell>
          <cell r="T1613" t="str">
            <v>Functioning</v>
          </cell>
          <cell r="U1613" t="str">
            <v>Asset</v>
          </cell>
          <cell r="V1613">
            <v>1</v>
          </cell>
          <cell r="W1613" t="str">
            <v>Estimate</v>
          </cell>
          <cell r="X1613" t="str">
            <v>01/09/2010</v>
          </cell>
          <cell r="Y1613" t="str">
            <v>Estimate</v>
          </cell>
          <cell r="Z1613" t="str">
            <v>16/08/2013</v>
          </cell>
          <cell r="AA1613" t="str">
            <v>15/08/2015</v>
          </cell>
          <cell r="AB1613" t="str">
            <v>No</v>
          </cell>
          <cell r="AC1613" t="str">
            <v>31/08/2013</v>
          </cell>
          <cell r="AD1613" t="str">
            <v>Good</v>
          </cell>
          <cell r="AE1613" t="str">
            <v>V1 - Existing / No Claim</v>
          </cell>
          <cell r="AF1613">
            <v>43675</v>
          </cell>
          <cell r="AG1613">
            <v>9.17</v>
          </cell>
          <cell r="AH1613" t="str">
            <v>PPM</v>
          </cell>
          <cell r="AI1613" t="str">
            <v>Strands</v>
          </cell>
          <cell r="AJ1613" t="str">
            <v>Strands PW F</v>
          </cell>
          <cell r="AK1613" t="str">
            <v>Unit under contract share fees with other same exact same unit. -IKN400703</v>
          </cell>
        </row>
        <row r="1614">
          <cell r="A1614" t="str">
            <v>IKN401481</v>
          </cell>
          <cell r="B1614">
            <v>1446</v>
          </cell>
          <cell r="C1614" t="str">
            <v>Institut Kanser Negara</v>
          </cell>
          <cell r="D1614" t="str">
            <v>KKM/IKN/H/13/3267</v>
          </cell>
          <cell r="E1614" t="str">
            <v>13-325</v>
          </cell>
          <cell r="F1614" t="str">
            <v>Regulators, Suction</v>
          </cell>
          <cell r="G1614" t="str">
            <v>RT</v>
          </cell>
          <cell r="H1614" t="str">
            <v>RADIATION TREATMENT UNIT</v>
          </cell>
          <cell r="I1614" t="str">
            <v>01RT275</v>
          </cell>
          <cell r="J1614" t="str">
            <v>BRACHY OT 1</v>
          </cell>
          <cell r="K1614" t="str">
            <v>BMED</v>
          </cell>
          <cell r="L1614" t="str">
            <v>Normal</v>
          </cell>
          <cell r="M1614" t="str">
            <v>United Kingdom</v>
          </cell>
          <cell r="N1614" t="str">
            <v>MGE</v>
          </cell>
          <cell r="O1614" t="str">
            <v>SAM 54</v>
          </cell>
          <cell r="P1614" t="str">
            <v>MG013557</v>
          </cell>
          <cell r="Q1614" t="str">
            <v>Not Applicable</v>
          </cell>
          <cell r="R1614" t="str">
            <v>MGE</v>
          </cell>
          <cell r="S1614" t="str">
            <v>Delta Medisains</v>
          </cell>
          <cell r="T1614" t="str">
            <v>Functioning</v>
          </cell>
          <cell r="U1614" t="str">
            <v>Asset</v>
          </cell>
          <cell r="V1614">
            <v>4330</v>
          </cell>
          <cell r="W1614" t="str">
            <v>KEW</v>
          </cell>
          <cell r="X1614" t="str">
            <v>01/09/2010</v>
          </cell>
          <cell r="Y1614" t="str">
            <v>KEW</v>
          </cell>
          <cell r="Z1614" t="str">
            <v>16/08/2013</v>
          </cell>
          <cell r="AA1614" t="str">
            <v>15/08/2015</v>
          </cell>
          <cell r="AB1614" t="str">
            <v>No</v>
          </cell>
          <cell r="AC1614" t="str">
            <v>31/08/2013</v>
          </cell>
          <cell r="AD1614" t="str">
            <v>Good</v>
          </cell>
          <cell r="AE1614" t="str">
            <v>V1 - Existing / No Claim</v>
          </cell>
          <cell r="AF1614">
            <v>42920</v>
          </cell>
          <cell r="AG1614">
            <v>9.17</v>
          </cell>
          <cell r="AH1614" t="str">
            <v>RI</v>
          </cell>
          <cell r="AI1614" t="str">
            <v>Strands</v>
          </cell>
          <cell r="AJ1614" t="str">
            <v>Strands PW</v>
          </cell>
        </row>
        <row r="1615">
          <cell r="A1615" t="str">
            <v>IKN401482</v>
          </cell>
          <cell r="B1615">
            <v>1447</v>
          </cell>
          <cell r="C1615" t="str">
            <v>Institut Kanser Negara</v>
          </cell>
          <cell r="D1615" t="str">
            <v>KKM/IKN/H/13/2623</v>
          </cell>
          <cell r="E1615" t="str">
            <v>13-325</v>
          </cell>
          <cell r="F1615" t="str">
            <v>Regulators, Suction</v>
          </cell>
          <cell r="G1615" t="str">
            <v>RT</v>
          </cell>
          <cell r="H1615" t="str">
            <v>RADIATION TREATMENT UNIT</v>
          </cell>
          <cell r="I1615" t="str">
            <v>01RT275</v>
          </cell>
          <cell r="J1615" t="str">
            <v>BRACHY OT 1</v>
          </cell>
          <cell r="K1615" t="str">
            <v>BMED</v>
          </cell>
          <cell r="L1615" t="str">
            <v>Normal</v>
          </cell>
          <cell r="M1615" t="str">
            <v>United Kingdom</v>
          </cell>
          <cell r="N1615" t="str">
            <v>MGE</v>
          </cell>
          <cell r="O1615" t="str">
            <v>SAM 54</v>
          </cell>
          <cell r="P1615" t="str">
            <v>MG013530</v>
          </cell>
          <cell r="Q1615" t="str">
            <v>Not Applicable</v>
          </cell>
          <cell r="R1615" t="str">
            <v>MGE</v>
          </cell>
          <cell r="S1615" t="str">
            <v>Delta Medisains</v>
          </cell>
          <cell r="T1615" t="str">
            <v>Functioning</v>
          </cell>
          <cell r="U1615" t="str">
            <v>Asset</v>
          </cell>
          <cell r="V1615">
            <v>4330</v>
          </cell>
          <cell r="W1615" t="str">
            <v>KEW</v>
          </cell>
          <cell r="X1615" t="str">
            <v>01/09/2010</v>
          </cell>
          <cell r="Y1615" t="str">
            <v>KEW</v>
          </cell>
          <cell r="Z1615" t="str">
            <v>16/08/2013</v>
          </cell>
          <cell r="AA1615" t="str">
            <v>15/08/2015</v>
          </cell>
          <cell r="AB1615" t="str">
            <v>No</v>
          </cell>
          <cell r="AC1615" t="str">
            <v>31/08/2013</v>
          </cell>
          <cell r="AD1615" t="str">
            <v>Good</v>
          </cell>
          <cell r="AE1615" t="str">
            <v>V1 - Existing / No Claim</v>
          </cell>
          <cell r="AF1615">
            <v>42920</v>
          </cell>
          <cell r="AG1615">
            <v>9.17</v>
          </cell>
          <cell r="AH1615" t="str">
            <v>RI</v>
          </cell>
          <cell r="AI1615" t="str">
            <v>Strands</v>
          </cell>
          <cell r="AJ1615" t="str">
            <v>Strands PW</v>
          </cell>
        </row>
        <row r="1616">
          <cell r="A1616" t="str">
            <v>IKN401483</v>
          </cell>
          <cell r="B1616">
            <v>1448</v>
          </cell>
          <cell r="C1616" t="str">
            <v>Institut Kanser Negara</v>
          </cell>
          <cell r="D1616" t="str">
            <v>KKM/IKN/H/13/2622</v>
          </cell>
          <cell r="E1616" t="str">
            <v>13-325</v>
          </cell>
          <cell r="F1616" t="str">
            <v>Regulators, Suction</v>
          </cell>
          <cell r="G1616" t="str">
            <v>RT</v>
          </cell>
          <cell r="H1616" t="str">
            <v>RADIATION TREATMENT UNIT</v>
          </cell>
          <cell r="I1616" t="str">
            <v>01RT275</v>
          </cell>
          <cell r="J1616" t="str">
            <v>BRACHY OT 1</v>
          </cell>
          <cell r="K1616" t="str">
            <v>BMED</v>
          </cell>
          <cell r="L1616" t="str">
            <v>Normal</v>
          </cell>
          <cell r="M1616" t="str">
            <v>United Kingdom</v>
          </cell>
          <cell r="N1616" t="str">
            <v>MGE</v>
          </cell>
          <cell r="O1616" t="str">
            <v>SAM 54</v>
          </cell>
          <cell r="P1616" t="str">
            <v>MG013528</v>
          </cell>
          <cell r="Q1616" t="str">
            <v>Not Applicable</v>
          </cell>
          <cell r="R1616" t="str">
            <v>MGE</v>
          </cell>
          <cell r="S1616" t="str">
            <v>Delta Medisains</v>
          </cell>
          <cell r="T1616" t="str">
            <v>Functioning</v>
          </cell>
          <cell r="U1616" t="str">
            <v>Asset</v>
          </cell>
          <cell r="V1616">
            <v>4330</v>
          </cell>
          <cell r="W1616" t="str">
            <v>KEW</v>
          </cell>
          <cell r="X1616" t="str">
            <v>01/09/2010</v>
          </cell>
          <cell r="Y1616" t="str">
            <v>KEW</v>
          </cell>
          <cell r="Z1616" t="str">
            <v>16/08/2013</v>
          </cell>
          <cell r="AA1616" t="str">
            <v>15/08/2015</v>
          </cell>
          <cell r="AB1616" t="str">
            <v>No</v>
          </cell>
          <cell r="AC1616" t="str">
            <v>31/08/2013</v>
          </cell>
          <cell r="AD1616" t="str">
            <v>Good</v>
          </cell>
          <cell r="AE1616" t="str">
            <v>V1 - Existing / No Claim</v>
          </cell>
          <cell r="AF1616">
            <v>42920</v>
          </cell>
          <cell r="AG1616">
            <v>9.17</v>
          </cell>
          <cell r="AH1616" t="str">
            <v>RI</v>
          </cell>
          <cell r="AI1616" t="str">
            <v>Strands</v>
          </cell>
          <cell r="AJ1616" t="str">
            <v>Strands PW</v>
          </cell>
        </row>
        <row r="1617">
          <cell r="A1617" t="str">
            <v>IKN401484</v>
          </cell>
          <cell r="B1617">
            <v>1449</v>
          </cell>
          <cell r="C1617" t="str">
            <v>Institut Kanser Negara</v>
          </cell>
          <cell r="D1617" t="str">
            <v>KKM/IKN/H/13/2621</v>
          </cell>
          <cell r="E1617" t="str">
            <v>13-325</v>
          </cell>
          <cell r="F1617" t="str">
            <v>Regulators, Suction</v>
          </cell>
          <cell r="G1617" t="str">
            <v>RT</v>
          </cell>
          <cell r="H1617" t="str">
            <v>RADIATION TREATMENT UNIT</v>
          </cell>
          <cell r="I1617" t="str">
            <v>01RT275</v>
          </cell>
          <cell r="J1617" t="str">
            <v>BRACHY OT 1</v>
          </cell>
          <cell r="K1617" t="str">
            <v>BMED</v>
          </cell>
          <cell r="L1617" t="str">
            <v>Normal</v>
          </cell>
          <cell r="M1617" t="str">
            <v>United Kingdom</v>
          </cell>
          <cell r="N1617" t="str">
            <v>MGE</v>
          </cell>
          <cell r="O1617" t="str">
            <v>SAM 54</v>
          </cell>
          <cell r="P1617" t="str">
            <v>MG013529</v>
          </cell>
          <cell r="Q1617" t="str">
            <v>Not Applicable</v>
          </cell>
          <cell r="R1617" t="str">
            <v>MGE</v>
          </cell>
          <cell r="S1617" t="str">
            <v>Delta Medisains</v>
          </cell>
          <cell r="T1617" t="str">
            <v>Functioning</v>
          </cell>
          <cell r="U1617" t="str">
            <v>Asset</v>
          </cell>
          <cell r="V1617">
            <v>4330</v>
          </cell>
          <cell r="W1617" t="str">
            <v>KEW</v>
          </cell>
          <cell r="X1617" t="str">
            <v>01/09/2010</v>
          </cell>
          <cell r="Y1617" t="str">
            <v>KEW</v>
          </cell>
          <cell r="Z1617" t="str">
            <v>16/08/2013</v>
          </cell>
          <cell r="AA1617" t="str">
            <v>15/08/2015</v>
          </cell>
          <cell r="AB1617" t="str">
            <v>No</v>
          </cell>
          <cell r="AC1617" t="str">
            <v>31/08/2013</v>
          </cell>
          <cell r="AD1617" t="str">
            <v>Good</v>
          </cell>
          <cell r="AE1617" t="str">
            <v>V1 - Existing / No Claim</v>
          </cell>
          <cell r="AF1617">
            <v>42920</v>
          </cell>
          <cell r="AG1617">
            <v>9.17</v>
          </cell>
          <cell r="AH1617" t="str">
            <v>RI</v>
          </cell>
          <cell r="AI1617" t="str">
            <v>Strands</v>
          </cell>
          <cell r="AJ1617" t="str">
            <v>Strands PW</v>
          </cell>
        </row>
        <row r="1618">
          <cell r="A1618" t="str">
            <v>IKN401485</v>
          </cell>
          <cell r="B1618">
            <v>1450</v>
          </cell>
          <cell r="C1618" t="str">
            <v>Institut Kanser Negara</v>
          </cell>
          <cell r="D1618" t="str">
            <v>KKM/IKN/H/13/4873</v>
          </cell>
          <cell r="E1618" t="str">
            <v>15-651</v>
          </cell>
          <cell r="F1618" t="str">
            <v>Stirrers</v>
          </cell>
          <cell r="G1618" t="str">
            <v>PF</v>
          </cell>
          <cell r="H1618" t="str">
            <v>IN-PATIENT PHARMACY</v>
          </cell>
          <cell r="I1618" t="str">
            <v>05PF110</v>
          </cell>
          <cell r="J1618" t="str">
            <v>EXTERNAL PREP</v>
          </cell>
          <cell r="K1618" t="str">
            <v>BMED</v>
          </cell>
          <cell r="L1618" t="str">
            <v>Normal</v>
          </cell>
          <cell r="M1618" t="str">
            <v>United States</v>
          </cell>
          <cell r="N1618" t="str">
            <v>SILVERSON</v>
          </cell>
          <cell r="O1618" t="str">
            <v>AX5</v>
          </cell>
          <cell r="P1618" t="str">
            <v>10055</v>
          </cell>
          <cell r="Q1618" t="str">
            <v>Not Applicable</v>
          </cell>
          <cell r="R1618" t="str">
            <v>FISHER SCIENTIFIC</v>
          </cell>
          <cell r="S1618" t="str">
            <v>FISHER SCIENTIFIC</v>
          </cell>
          <cell r="T1618" t="str">
            <v>Functioning</v>
          </cell>
          <cell r="U1618" t="str">
            <v>Asset</v>
          </cell>
          <cell r="V1618">
            <v>5520</v>
          </cell>
          <cell r="W1618" t="str">
            <v>KEW</v>
          </cell>
          <cell r="X1618" t="str">
            <v>01/09/2010</v>
          </cell>
          <cell r="Y1618" t="str">
            <v>Estimate</v>
          </cell>
          <cell r="Z1618" t="str">
            <v>16/08/2013</v>
          </cell>
          <cell r="AA1618" t="str">
            <v>15/08/2015</v>
          </cell>
          <cell r="AB1618" t="str">
            <v>No</v>
          </cell>
          <cell r="AC1618" t="str">
            <v>31/08/2013</v>
          </cell>
          <cell r="AD1618" t="str">
            <v>Good</v>
          </cell>
          <cell r="AE1618" t="str">
            <v>V1 - Existing / No Claim</v>
          </cell>
          <cell r="AF1618">
            <v>42867</v>
          </cell>
          <cell r="AG1618">
            <v>9.17</v>
          </cell>
          <cell r="AH1618" t="str">
            <v>PPM</v>
          </cell>
          <cell r="AI1618" t="str">
            <v>Strands</v>
          </cell>
          <cell r="AJ1618" t="str">
            <v>Strands PW</v>
          </cell>
        </row>
        <row r="1619">
          <cell r="A1619" t="str">
            <v>IKN401486</v>
          </cell>
          <cell r="B1619">
            <v>1451</v>
          </cell>
          <cell r="C1619" t="str">
            <v>Institut Kanser Negara</v>
          </cell>
          <cell r="D1619" t="str">
            <v>KKM/IKN/H/13/4862-11</v>
          </cell>
          <cell r="E1619" t="str">
            <v>15-605</v>
          </cell>
          <cell r="F1619" t="str">
            <v>Testers (LX Can Luminance Meter) (package IBA)</v>
          </cell>
          <cell r="G1619" t="str">
            <v>ID</v>
          </cell>
          <cell r="H1619" t="str">
            <v>IMAGING DEPARTMENT</v>
          </cell>
          <cell r="I1619" t="str">
            <v>03ID169</v>
          </cell>
          <cell r="J1619" t="str">
            <v>RADIOGRAPHER</v>
          </cell>
          <cell r="K1619" t="str">
            <v>BMED</v>
          </cell>
          <cell r="L1619" t="str">
            <v>Normal</v>
          </cell>
          <cell r="M1619" t="str">
            <v>Germany</v>
          </cell>
          <cell r="N1619" t="str">
            <v>IBA</v>
          </cell>
          <cell r="O1619" t="str">
            <v>IBA Dosimetry GMBH</v>
          </cell>
          <cell r="P1619" t="str">
            <v>13F-13520M</v>
          </cell>
          <cell r="Q1619" t="str">
            <v>Not Applicable</v>
          </cell>
          <cell r="R1619" t="str">
            <v>IBA</v>
          </cell>
          <cell r="S1619" t="str">
            <v>NA</v>
          </cell>
          <cell r="T1619" t="str">
            <v>Functioning</v>
          </cell>
          <cell r="U1619" t="str">
            <v>Asset</v>
          </cell>
          <cell r="AI1619" t="str">
            <v>2 YEARS CALIBRATION (PACKAGE)</v>
          </cell>
          <cell r="AJ1619" t="e">
            <v>#REF!</v>
          </cell>
          <cell r="AK1619" t="str">
            <v>PACKAGE WITH IKN401200</v>
          </cell>
        </row>
        <row r="1620">
          <cell r="A1620" t="str">
            <v>IKN401497</v>
          </cell>
          <cell r="B1620">
            <v>1452</v>
          </cell>
          <cell r="C1620" t="str">
            <v>Institut Kanser Negara</v>
          </cell>
          <cell r="D1620" t="str">
            <v>KKM/IKN/H/16/29</v>
          </cell>
          <cell r="E1620" t="str">
            <v>12-647</v>
          </cell>
          <cell r="F1620" t="str">
            <v>Physiologic Monitoring Systems, Acute Care</v>
          </cell>
          <cell r="G1620" t="str">
            <v>AE</v>
          </cell>
          <cell r="H1620" t="str">
            <v>EMERGENCY UNIT</v>
          </cell>
          <cell r="I1620" t="str">
            <v>01AE118</v>
          </cell>
          <cell r="J1620" t="str">
            <v>C/E ROOM</v>
          </cell>
          <cell r="K1620" t="str">
            <v>BMED</v>
          </cell>
          <cell r="L1620" t="str">
            <v>Critical</v>
          </cell>
          <cell r="M1620" t="str">
            <v>China</v>
          </cell>
          <cell r="N1620" t="str">
            <v>Imec</v>
          </cell>
          <cell r="O1620" t="str">
            <v>Imec 8</v>
          </cell>
          <cell r="P1620" t="str">
            <v>EW-6A30362</v>
          </cell>
          <cell r="Q1620" t="str">
            <v>Not Applicable</v>
          </cell>
          <cell r="R1620" t="str">
            <v>MINDRAY</v>
          </cell>
          <cell r="S1620" t="str">
            <v>Pelangi Progresif Sdn. Bhd.</v>
          </cell>
          <cell r="T1620" t="str">
            <v>Functioning</v>
          </cell>
          <cell r="U1620" t="str">
            <v>Asset</v>
          </cell>
          <cell r="V1620">
            <v>4900</v>
          </cell>
          <cell r="W1620" t="str">
            <v>KEW</v>
          </cell>
          <cell r="X1620" t="str">
            <v>20/10/2016</v>
          </cell>
          <cell r="Y1620" t="str">
            <v>KEW</v>
          </cell>
          <cell r="Z1620" t="str">
            <v>01/01/2017</v>
          </cell>
          <cell r="AA1620" t="str">
            <v>31/12/2017</v>
          </cell>
          <cell r="AB1620" t="str">
            <v>No</v>
          </cell>
          <cell r="AC1620" t="str">
            <v>08/12/2016</v>
          </cell>
          <cell r="AD1620" t="str">
            <v>Good</v>
          </cell>
          <cell r="AE1620" t="str">
            <v>V3 - Added Installed Facilities (New)</v>
          </cell>
          <cell r="AF1620">
            <v>42815</v>
          </cell>
          <cell r="AG1620">
            <v>3.08</v>
          </cell>
          <cell r="AH1620" t="str">
            <v>PPM</v>
          </cell>
          <cell r="AI1620" t="str">
            <v>Strands</v>
          </cell>
          <cell r="AJ1620" t="str">
            <v>Strands PW</v>
          </cell>
          <cell r="AK1620" t="str">
            <v>SNF received. 1st batch of V3 asset (December 2020)</v>
          </cell>
        </row>
        <row r="1621">
          <cell r="A1621" t="str">
            <v>IKN401509</v>
          </cell>
          <cell r="B1621">
            <v>1453</v>
          </cell>
          <cell r="C1621" t="str">
            <v>Institut Kanser Negara</v>
          </cell>
          <cell r="D1621" t="str">
            <v>KKM/IKN/I/13/7307</v>
          </cell>
          <cell r="E1621" t="str">
            <v>10-263</v>
          </cell>
          <cell r="F1621" t="str">
            <v>Balances, Electronic</v>
          </cell>
          <cell r="G1621" t="str">
            <v>KT</v>
          </cell>
          <cell r="H1621" t="str">
            <v>CATERING</v>
          </cell>
          <cell r="I1621" t="str">
            <v>01KT106</v>
          </cell>
          <cell r="J1621" t="str">
            <v>DIETICIAN</v>
          </cell>
          <cell r="K1621" t="str">
            <v>BMED</v>
          </cell>
          <cell r="L1621" t="str">
            <v>Normal</v>
          </cell>
          <cell r="M1621" t="str">
            <v>Spain</v>
          </cell>
          <cell r="N1621" t="str">
            <v>KD-400</v>
          </cell>
          <cell r="O1621" t="str">
            <v>KD-400</v>
          </cell>
          <cell r="P1621" t="str">
            <v>Not Available</v>
          </cell>
          <cell r="Q1621" t="str">
            <v>Not Applicable</v>
          </cell>
          <cell r="R1621" t="str">
            <v>TANITA CORPORATION</v>
          </cell>
          <cell r="S1621" t="str">
            <v>SF BUMI RESOURCES</v>
          </cell>
          <cell r="T1621" t="str">
            <v>Functioning</v>
          </cell>
          <cell r="U1621" t="str">
            <v>Asset</v>
          </cell>
          <cell r="V1621">
            <v>660</v>
          </cell>
          <cell r="W1621" t="str">
            <v>KEW</v>
          </cell>
          <cell r="X1621" t="str">
            <v>30/08/2013</v>
          </cell>
          <cell r="Y1621" t="str">
            <v>KEW</v>
          </cell>
          <cell r="Z1621" t="str">
            <v>30/08/2013</v>
          </cell>
          <cell r="AA1621" t="str">
            <v>30/08/2015</v>
          </cell>
          <cell r="AB1621" t="str">
            <v>No</v>
          </cell>
          <cell r="AC1621" t="str">
            <v>30/08/2013</v>
          </cell>
          <cell r="AD1621" t="str">
            <v>Good</v>
          </cell>
          <cell r="AE1621" t="str">
            <v>V1 - Existing / No Claim</v>
          </cell>
          <cell r="AF1621">
            <v>42951</v>
          </cell>
          <cell r="AG1621">
            <v>6.25</v>
          </cell>
          <cell r="AH1621" t="str">
            <v>PPM</v>
          </cell>
          <cell r="AI1621" t="str">
            <v>Not in contract</v>
          </cell>
          <cell r="AJ1621" t="e">
            <v>#REF!</v>
          </cell>
          <cell r="AK1621" t="str">
            <v>KEWPA WITH IKN401510</v>
          </cell>
        </row>
        <row r="1622">
          <cell r="A1622" t="str">
            <v>IKN401510</v>
          </cell>
          <cell r="B1622">
            <v>1454</v>
          </cell>
          <cell r="C1622" t="str">
            <v>Institut Kanser Negara</v>
          </cell>
          <cell r="D1622" t="str">
            <v>KKM/IKN/H/13/306</v>
          </cell>
          <cell r="E1622" t="str">
            <v>10-263</v>
          </cell>
          <cell r="F1622" t="str">
            <v>Balances, Electronic</v>
          </cell>
          <cell r="G1622" t="str">
            <v>KT</v>
          </cell>
          <cell r="H1622" t="str">
            <v>CATERING</v>
          </cell>
          <cell r="I1622" t="str">
            <v>01KT106</v>
          </cell>
          <cell r="J1622" t="str">
            <v>DIETICIAN</v>
          </cell>
          <cell r="K1622" t="str">
            <v>BMED</v>
          </cell>
          <cell r="L1622" t="str">
            <v>Normal</v>
          </cell>
          <cell r="M1622" t="str">
            <v>Spain</v>
          </cell>
          <cell r="N1622" t="str">
            <v>KD-400</v>
          </cell>
          <cell r="O1622" t="str">
            <v>KD-400</v>
          </cell>
          <cell r="P1622" t="str">
            <v>Not Available</v>
          </cell>
          <cell r="Q1622" t="str">
            <v>Not Applicable</v>
          </cell>
          <cell r="R1622" t="str">
            <v>TANITA CORPORATION</v>
          </cell>
          <cell r="S1622" t="str">
            <v>SF BUMI RESOURCES</v>
          </cell>
          <cell r="T1622" t="str">
            <v>Functioning</v>
          </cell>
          <cell r="U1622" t="str">
            <v>Asset</v>
          </cell>
          <cell r="V1622">
            <v>660</v>
          </cell>
          <cell r="W1622" t="str">
            <v>KEW</v>
          </cell>
          <cell r="X1622" t="str">
            <v>30/08/2013</v>
          </cell>
          <cell r="Y1622" t="str">
            <v>KEW</v>
          </cell>
          <cell r="Z1622" t="str">
            <v>30/08/2013</v>
          </cell>
          <cell r="AA1622" t="str">
            <v>30/08/2015</v>
          </cell>
          <cell r="AB1622" t="str">
            <v>No</v>
          </cell>
          <cell r="AC1622" t="str">
            <v>30/08/2013</v>
          </cell>
          <cell r="AD1622" t="str">
            <v>Good</v>
          </cell>
          <cell r="AE1622" t="str">
            <v>V1 - Existing / No Claim</v>
          </cell>
          <cell r="AF1622">
            <v>42951</v>
          </cell>
          <cell r="AG1622">
            <v>6.25</v>
          </cell>
          <cell r="AH1622" t="str">
            <v>PPM</v>
          </cell>
          <cell r="AI1622" t="str">
            <v>Strands</v>
          </cell>
          <cell r="AJ1622" t="str">
            <v>Strands PW</v>
          </cell>
        </row>
        <row r="1623">
          <cell r="A1623" t="str">
            <v>IKN401512</v>
          </cell>
          <cell r="B1623">
            <v>1456</v>
          </cell>
          <cell r="C1623" t="str">
            <v>Institut Kanser Negara</v>
          </cell>
          <cell r="D1623" t="str">
            <v>KKM/IKN/H/13/4859</v>
          </cell>
          <cell r="E1623" t="str">
            <v>10-051</v>
          </cell>
          <cell r="F1623" t="str">
            <v>Air Samplers</v>
          </cell>
          <cell r="G1623" t="str">
            <v>NM</v>
          </cell>
          <cell r="H1623" t="str">
            <v>NUCLEAR MED (DIAGNOSTIC)</v>
          </cell>
          <cell r="I1623" t="str">
            <v>03NM133</v>
          </cell>
          <cell r="J1623" t="str">
            <v>RADIODINE DISPENSING (-VE)</v>
          </cell>
          <cell r="K1623" t="str">
            <v>BMED</v>
          </cell>
          <cell r="L1623" t="str">
            <v>Normal</v>
          </cell>
          <cell r="M1623" t="str">
            <v>Germany</v>
          </cell>
          <cell r="N1623" t="str">
            <v>PARTICLE COUNTER-EX-STOCK</v>
          </cell>
          <cell r="O1623" t="str">
            <v>APC ErgoTouch Pro 2</v>
          </cell>
          <cell r="P1623">
            <v>93061333004</v>
          </cell>
          <cell r="Q1623" t="str">
            <v>Not Applicable</v>
          </cell>
          <cell r="R1623" t="str">
            <v>MERCK</v>
          </cell>
          <cell r="S1623" t="str">
            <v>Merck Sdn. Bhd</v>
          </cell>
          <cell r="T1623" t="str">
            <v>Functioning</v>
          </cell>
          <cell r="U1623" t="str">
            <v>Asset</v>
          </cell>
          <cell r="V1623">
            <v>34543</v>
          </cell>
          <cell r="W1623" t="str">
            <v>KEW</v>
          </cell>
          <cell r="X1623" t="str">
            <v>19/12/2013</v>
          </cell>
          <cell r="Y1623" t="str">
            <v>KEW</v>
          </cell>
          <cell r="Z1623" t="str">
            <v>19/12/2013</v>
          </cell>
          <cell r="AA1623" t="str">
            <v>19/12/2014</v>
          </cell>
          <cell r="AB1623" t="str">
            <v>No</v>
          </cell>
          <cell r="AC1623" t="str">
            <v>19/12/2013</v>
          </cell>
          <cell r="AD1623" t="str">
            <v>Good</v>
          </cell>
          <cell r="AE1623" t="str">
            <v>V3 - Added Installed Facilities (New)</v>
          </cell>
          <cell r="AF1623">
            <v>43255</v>
          </cell>
          <cell r="AG1623">
            <v>5.92</v>
          </cell>
          <cell r="AH1623" t="str">
            <v>PPM</v>
          </cell>
          <cell r="AI1623" t="str">
            <v>Strands</v>
          </cell>
          <cell r="AJ1623" t="str">
            <v>Strands PW</v>
          </cell>
          <cell r="AK1623" t="str">
            <v>SNF received. 1st batch of V3 asset (December 2020). Previously wrong S/N: 1443020001</v>
          </cell>
        </row>
        <row r="1624">
          <cell r="A1624" t="str">
            <v>IKN401518</v>
          </cell>
          <cell r="B1624">
            <v>1458</v>
          </cell>
          <cell r="C1624" t="str">
            <v>Institut Kanser Negara</v>
          </cell>
          <cell r="D1624" t="str">
            <v>KKM/IKN/H/13/4635</v>
          </cell>
          <cell r="E1624" t="str">
            <v>13-461</v>
          </cell>
          <cell r="F1624" t="str">
            <v>Scales, Patient, Floor</v>
          </cell>
          <cell r="G1624" t="str">
            <v>DU</v>
          </cell>
          <cell r="H1624" t="str">
            <v>DIETICIAN UNIT</v>
          </cell>
          <cell r="I1624" t="str">
            <v>03DU103</v>
          </cell>
          <cell r="J1624" t="str">
            <v>COUNSELLING 1</v>
          </cell>
          <cell r="K1624" t="str">
            <v>BMED</v>
          </cell>
          <cell r="L1624" t="str">
            <v>Normal</v>
          </cell>
          <cell r="M1624" t="str">
            <v>Japan</v>
          </cell>
          <cell r="N1624" t="str">
            <v>Seca</v>
          </cell>
          <cell r="O1624" t="str">
            <v>Seca 769/220</v>
          </cell>
          <cell r="P1624" t="str">
            <v>5769177136666</v>
          </cell>
          <cell r="Q1624" t="str">
            <v>Not Applicable</v>
          </cell>
          <cell r="R1624" t="str">
            <v>TANITA</v>
          </cell>
          <cell r="S1624" t="str">
            <v>Lazcorp Holding (M) Sdn Bhd</v>
          </cell>
          <cell r="T1624" t="str">
            <v>Functioning</v>
          </cell>
          <cell r="U1624" t="str">
            <v>Asset</v>
          </cell>
          <cell r="V1624">
            <v>3515</v>
          </cell>
          <cell r="W1624" t="str">
            <v>KEW</v>
          </cell>
          <cell r="X1624" t="str">
            <v>03/12/2013</v>
          </cell>
          <cell r="Y1624" t="str">
            <v>KEW</v>
          </cell>
          <cell r="Z1624" t="str">
            <v>18/12/2013</v>
          </cell>
          <cell r="AA1624" t="str">
            <v>17/12/2014</v>
          </cell>
          <cell r="AB1624" t="str">
            <v>No</v>
          </cell>
          <cell r="AC1624" t="str">
            <v>18/12/2013</v>
          </cell>
          <cell r="AD1624" t="str">
            <v>Good</v>
          </cell>
          <cell r="AE1624" t="str">
            <v>V3 - Added Installed Facilities (New)</v>
          </cell>
          <cell r="AF1624">
            <v>43033</v>
          </cell>
          <cell r="AG1624">
            <v>5.92</v>
          </cell>
          <cell r="AH1624" t="str">
            <v>PPM</v>
          </cell>
          <cell r="AI1624" t="str">
            <v>Strands</v>
          </cell>
          <cell r="AJ1624" t="str">
            <v>Strands PW</v>
          </cell>
          <cell r="AK1624" t="str">
            <v>SNF received. 1st batch of V3 asset (December 2020)</v>
          </cell>
        </row>
        <row r="1625">
          <cell r="A1625" t="str">
            <v>IKN401519</v>
          </cell>
          <cell r="B1625">
            <v>1459</v>
          </cell>
          <cell r="C1625" t="str">
            <v>Institut Kanser Negara</v>
          </cell>
          <cell r="D1625" t="str">
            <v>KKM/IKN/H/13/4636</v>
          </cell>
          <cell r="E1625" t="str">
            <v>17-417</v>
          </cell>
          <cell r="F1625" t="str">
            <v>Analyzers, Physiologic, Body Composition</v>
          </cell>
          <cell r="G1625" t="str">
            <v>DU</v>
          </cell>
          <cell r="H1625" t="str">
            <v>DIETICIAN UNIT</v>
          </cell>
          <cell r="I1625" t="str">
            <v>03DU103</v>
          </cell>
          <cell r="J1625" t="str">
            <v>COUNSELLING 1</v>
          </cell>
          <cell r="K1625" t="str">
            <v>BMED</v>
          </cell>
          <cell r="L1625" t="str">
            <v>Normal</v>
          </cell>
          <cell r="M1625" t="str">
            <v>Japan</v>
          </cell>
          <cell r="N1625" t="str">
            <v>TANITA</v>
          </cell>
          <cell r="O1625" t="str">
            <v>Tanita SC-330-S</v>
          </cell>
          <cell r="P1625" t="str">
            <v>13110023</v>
          </cell>
          <cell r="Q1625" t="str">
            <v>Not Applicable</v>
          </cell>
          <cell r="R1625" t="str">
            <v>TANITA</v>
          </cell>
          <cell r="S1625" t="str">
            <v>Lazcorp Holding (M) Sdn Bhd</v>
          </cell>
          <cell r="T1625" t="str">
            <v>Functioning</v>
          </cell>
          <cell r="U1625" t="str">
            <v>Asset</v>
          </cell>
          <cell r="V1625">
            <v>9500</v>
          </cell>
          <cell r="W1625" t="str">
            <v>KEW</v>
          </cell>
          <cell r="X1625" t="str">
            <v>03/12/2013</v>
          </cell>
          <cell r="Y1625" t="str">
            <v>KEW</v>
          </cell>
          <cell r="Z1625" t="str">
            <v>18/12/2013</v>
          </cell>
          <cell r="AA1625" t="str">
            <v>17/12/2014</v>
          </cell>
          <cell r="AB1625" t="str">
            <v>No</v>
          </cell>
          <cell r="AC1625" t="str">
            <v>18/12/2013</v>
          </cell>
          <cell r="AD1625" t="str">
            <v>Good</v>
          </cell>
          <cell r="AE1625" t="str">
            <v>V3 - Added Installed Facilities (New)</v>
          </cell>
          <cell r="AF1625">
            <v>42879</v>
          </cell>
          <cell r="AG1625">
            <v>5.92</v>
          </cell>
          <cell r="AH1625" t="str">
            <v>PPM</v>
          </cell>
          <cell r="AI1625" t="str">
            <v>Strands</v>
          </cell>
          <cell r="AJ1625" t="str">
            <v>Strands PW</v>
          </cell>
          <cell r="AK1625" t="str">
            <v>SNF received. 1st batch of V3 asset (December 2020)</v>
          </cell>
        </row>
        <row r="1626">
          <cell r="A1626" t="str">
            <v>IKN401520</v>
          </cell>
          <cell r="B1626">
            <v>1460</v>
          </cell>
          <cell r="C1626" t="str">
            <v>Institut Kanser Negara</v>
          </cell>
          <cell r="D1626" t="str">
            <v>KKM/IKN/H/13/6667</v>
          </cell>
          <cell r="E1626" t="str">
            <v>10-208</v>
          </cell>
          <cell r="F1626" t="str">
            <v>Aspirators</v>
          </cell>
          <cell r="G1626" t="str">
            <v>SS</v>
          </cell>
          <cell r="H1626" t="str">
            <v>MEDICAL SOCIAL SERVICE</v>
          </cell>
          <cell r="I1626" t="str">
            <v>03SS112</v>
          </cell>
          <cell r="J1626" t="str">
            <v>GENERAL STORE</v>
          </cell>
          <cell r="K1626" t="str">
            <v>BMED</v>
          </cell>
          <cell r="L1626" t="str">
            <v>Critical</v>
          </cell>
          <cell r="M1626" t="str">
            <v>Taiwan</v>
          </cell>
          <cell r="N1626" t="str">
            <v>Dolphin</v>
          </cell>
          <cell r="O1626" t="str">
            <v>Dolphin</v>
          </cell>
          <cell r="P1626" t="str">
            <v>12110043</v>
          </cell>
          <cell r="Q1626" t="str">
            <v>Not Applicable</v>
          </cell>
          <cell r="R1626" t="str">
            <v>Dolphin Medical</v>
          </cell>
          <cell r="S1626" t="str">
            <v>Ikatan Megah Medik</v>
          </cell>
          <cell r="T1626" t="str">
            <v>Functioning</v>
          </cell>
          <cell r="U1626" t="str">
            <v>Asset</v>
          </cell>
          <cell r="V1626">
            <v>500</v>
          </cell>
          <cell r="W1626" t="str">
            <v>KEW</v>
          </cell>
          <cell r="X1626" t="str">
            <v>26/11/2013</v>
          </cell>
          <cell r="Y1626" t="str">
            <v>Estimate</v>
          </cell>
          <cell r="Z1626" t="str">
            <v>05/12/2013</v>
          </cell>
          <cell r="AA1626" t="str">
            <v>04/12/2014</v>
          </cell>
          <cell r="AB1626" t="str">
            <v>No</v>
          </cell>
          <cell r="AC1626" t="str">
            <v>05/12/2013</v>
          </cell>
          <cell r="AD1626" t="str">
            <v>Good</v>
          </cell>
          <cell r="AE1626" t="str">
            <v>V3 - Added Installed Facilities (New)</v>
          </cell>
          <cell r="AF1626">
            <v>43124</v>
          </cell>
          <cell r="AG1626">
            <v>6</v>
          </cell>
          <cell r="AH1626" t="str">
            <v>PPM</v>
          </cell>
          <cell r="AI1626" t="str">
            <v>Strands</v>
          </cell>
          <cell r="AJ1626" t="str">
            <v>Strands PW</v>
          </cell>
          <cell r="AK1626" t="str">
            <v>SNF received. 1st batch of V3 asset (December 2020)</v>
          </cell>
        </row>
        <row r="1627">
          <cell r="A1627" t="str">
            <v>IKN401521</v>
          </cell>
          <cell r="B1627">
            <v>1461</v>
          </cell>
          <cell r="C1627" t="str">
            <v>Institut Kanser Negara</v>
          </cell>
          <cell r="D1627" t="str">
            <v>KKM/IKN/H/13/6668</v>
          </cell>
          <cell r="E1627" t="str">
            <v>10-208</v>
          </cell>
          <cell r="F1627" t="str">
            <v>Aspirators</v>
          </cell>
          <cell r="G1627" t="str">
            <v>SS</v>
          </cell>
          <cell r="H1627" t="str">
            <v>MEDICAL SOCIAL SERVICE</v>
          </cell>
          <cell r="I1627" t="str">
            <v>03SS112</v>
          </cell>
          <cell r="J1627" t="str">
            <v>GENERAL STORE</v>
          </cell>
          <cell r="K1627" t="str">
            <v>BMED</v>
          </cell>
          <cell r="L1627" t="str">
            <v>Critical</v>
          </cell>
          <cell r="M1627" t="str">
            <v>Taiwan</v>
          </cell>
          <cell r="N1627" t="str">
            <v>Dolphin</v>
          </cell>
          <cell r="O1627" t="str">
            <v>Dolphin</v>
          </cell>
          <cell r="P1627" t="str">
            <v>12110044</v>
          </cell>
          <cell r="Q1627" t="str">
            <v>Not Applicable</v>
          </cell>
          <cell r="R1627" t="str">
            <v>Dolphin Medical</v>
          </cell>
          <cell r="S1627" t="str">
            <v>Ikatan Megah Medik</v>
          </cell>
          <cell r="T1627" t="str">
            <v>Functioning</v>
          </cell>
          <cell r="U1627" t="str">
            <v>Asset</v>
          </cell>
          <cell r="V1627">
            <v>500</v>
          </cell>
          <cell r="W1627" t="str">
            <v>KEW</v>
          </cell>
          <cell r="X1627" t="str">
            <v>26/11/2013</v>
          </cell>
          <cell r="Y1627" t="str">
            <v>KEW</v>
          </cell>
          <cell r="Z1627" t="str">
            <v>05/12/2013</v>
          </cell>
          <cell r="AA1627" t="str">
            <v>04/12/2014</v>
          </cell>
          <cell r="AB1627" t="str">
            <v>No</v>
          </cell>
          <cell r="AC1627" t="str">
            <v>05/12/2013</v>
          </cell>
          <cell r="AD1627" t="str">
            <v>Good</v>
          </cell>
          <cell r="AE1627" t="str">
            <v>V3 - Added Installed Facilities (New)</v>
          </cell>
          <cell r="AF1627">
            <v>43124</v>
          </cell>
          <cell r="AG1627">
            <v>6</v>
          </cell>
          <cell r="AH1627" t="str">
            <v>PPM</v>
          </cell>
          <cell r="AI1627" t="str">
            <v>Strands</v>
          </cell>
          <cell r="AJ1627" t="str">
            <v>Strands PW</v>
          </cell>
          <cell r="AK1627" t="str">
            <v>SNF received. 1st batch of V3 asset (December 2020)</v>
          </cell>
        </row>
        <row r="1628">
          <cell r="A1628" t="str">
            <v>IKN401522</v>
          </cell>
          <cell r="B1628">
            <v>1462</v>
          </cell>
          <cell r="C1628" t="str">
            <v>Institut Kanser Negara</v>
          </cell>
          <cell r="D1628" t="str">
            <v>KKM/IKN/H/13/6669</v>
          </cell>
          <cell r="E1628" t="str">
            <v>10-208</v>
          </cell>
          <cell r="F1628" t="str">
            <v>Aspirators</v>
          </cell>
          <cell r="G1628" t="str">
            <v>SS</v>
          </cell>
          <cell r="H1628" t="str">
            <v>MEDICAL SOCIAL SERVICE</v>
          </cell>
          <cell r="I1628" t="str">
            <v>03SS112</v>
          </cell>
          <cell r="J1628" t="str">
            <v>GENERAL STORE</v>
          </cell>
          <cell r="K1628" t="str">
            <v>BMED</v>
          </cell>
          <cell r="L1628" t="str">
            <v>Critical</v>
          </cell>
          <cell r="M1628" t="str">
            <v>Taiwan</v>
          </cell>
          <cell r="N1628" t="str">
            <v>Dolphin</v>
          </cell>
          <cell r="O1628" t="str">
            <v>Dolphin</v>
          </cell>
          <cell r="P1628" t="str">
            <v>12110089</v>
          </cell>
          <cell r="Q1628" t="str">
            <v>Not Applicable</v>
          </cell>
          <cell r="R1628" t="str">
            <v>Dolphin Medical</v>
          </cell>
          <cell r="S1628" t="str">
            <v>Ikatan Megah Medik</v>
          </cell>
          <cell r="T1628" t="str">
            <v>Functioning</v>
          </cell>
          <cell r="U1628" t="str">
            <v>Asset</v>
          </cell>
          <cell r="V1628">
            <v>500</v>
          </cell>
          <cell r="W1628" t="str">
            <v>KEW</v>
          </cell>
          <cell r="X1628" t="str">
            <v>26/11/2013</v>
          </cell>
          <cell r="Y1628" t="str">
            <v>KEW</v>
          </cell>
          <cell r="Z1628" t="str">
            <v>05/12/2013</v>
          </cell>
          <cell r="AA1628" t="str">
            <v>04/12/2014</v>
          </cell>
          <cell r="AB1628" t="str">
            <v>No</v>
          </cell>
          <cell r="AC1628" t="str">
            <v>05/12/2013</v>
          </cell>
          <cell r="AD1628" t="str">
            <v>Good</v>
          </cell>
          <cell r="AE1628" t="str">
            <v>V3 - Added Installed Facilities (New)</v>
          </cell>
          <cell r="AF1628">
            <v>43124</v>
          </cell>
          <cell r="AG1628">
            <v>6</v>
          </cell>
          <cell r="AH1628" t="str">
            <v>PPM</v>
          </cell>
          <cell r="AI1628" t="str">
            <v>Strands</v>
          </cell>
          <cell r="AJ1628" t="str">
            <v>Strands PW</v>
          </cell>
          <cell r="AK1628" t="str">
            <v>SNF received. 1st batch of V3 asset (December 2020)</v>
          </cell>
        </row>
        <row r="1629">
          <cell r="A1629" t="str">
            <v>IKN401523</v>
          </cell>
          <cell r="B1629">
            <v>1463</v>
          </cell>
          <cell r="C1629" t="str">
            <v>Institut Kanser Negara</v>
          </cell>
          <cell r="D1629" t="str">
            <v>KKM/IKN/H/13/6670</v>
          </cell>
          <cell r="E1629" t="str">
            <v>10-208</v>
          </cell>
          <cell r="F1629" t="str">
            <v>Aspirators</v>
          </cell>
          <cell r="G1629" t="str">
            <v>SS</v>
          </cell>
          <cell r="H1629" t="str">
            <v>MEDICAL SOCIAL SERVICE</v>
          </cell>
          <cell r="I1629" t="str">
            <v>03SS112</v>
          </cell>
          <cell r="J1629" t="str">
            <v>GENERAL STORE</v>
          </cell>
          <cell r="K1629" t="str">
            <v>BMED</v>
          </cell>
          <cell r="L1629" t="str">
            <v>Critical</v>
          </cell>
          <cell r="M1629" t="str">
            <v>Taiwan</v>
          </cell>
          <cell r="N1629" t="str">
            <v>Dolphin</v>
          </cell>
          <cell r="O1629" t="str">
            <v>Dolphin</v>
          </cell>
          <cell r="P1629" t="str">
            <v>12110092</v>
          </cell>
          <cell r="Q1629" t="str">
            <v>Not Applicable</v>
          </cell>
          <cell r="R1629" t="str">
            <v>Dolphin Medical</v>
          </cell>
          <cell r="S1629" t="str">
            <v>Ikatan Megah Medik</v>
          </cell>
          <cell r="T1629" t="str">
            <v>Functioning</v>
          </cell>
          <cell r="U1629" t="str">
            <v>Asset</v>
          </cell>
          <cell r="V1629">
            <v>500</v>
          </cell>
          <cell r="W1629" t="str">
            <v>KEW</v>
          </cell>
          <cell r="X1629" t="str">
            <v>26/11/2013</v>
          </cell>
          <cell r="Y1629" t="str">
            <v>KEW</v>
          </cell>
          <cell r="Z1629" t="str">
            <v>05/12/2013</v>
          </cell>
          <cell r="AA1629" t="str">
            <v>04/12/2014</v>
          </cell>
          <cell r="AB1629" t="str">
            <v>No</v>
          </cell>
          <cell r="AC1629" t="str">
            <v>05/12/2013</v>
          </cell>
          <cell r="AD1629" t="str">
            <v>Good</v>
          </cell>
          <cell r="AE1629" t="str">
            <v>V3 - Added Installed Facilities (New)</v>
          </cell>
          <cell r="AF1629">
            <v>43124</v>
          </cell>
          <cell r="AG1629">
            <v>6</v>
          </cell>
          <cell r="AH1629" t="str">
            <v>PPM</v>
          </cell>
          <cell r="AI1629" t="str">
            <v>Strands</v>
          </cell>
          <cell r="AJ1629" t="str">
            <v>Strands PW</v>
          </cell>
          <cell r="AK1629" t="str">
            <v>SNF received. 1st batch of V3 asset (December 2020)</v>
          </cell>
        </row>
        <row r="1630">
          <cell r="A1630" t="str">
            <v>IKN401524</v>
          </cell>
          <cell r="B1630">
            <v>1464</v>
          </cell>
          <cell r="C1630" t="str">
            <v>Institut Kanser Negara</v>
          </cell>
          <cell r="D1630" t="str">
            <v>KKM/IKN/H/13/6671</v>
          </cell>
          <cell r="E1630" t="str">
            <v>10-208</v>
          </cell>
          <cell r="F1630" t="str">
            <v>Aspirators</v>
          </cell>
          <cell r="G1630" t="str">
            <v>SS</v>
          </cell>
          <cell r="H1630" t="str">
            <v>MEDICAL SOCIAL SERVICE</v>
          </cell>
          <cell r="I1630" t="str">
            <v>03SS112</v>
          </cell>
          <cell r="J1630" t="str">
            <v>GENERAL STORE</v>
          </cell>
          <cell r="K1630" t="str">
            <v>BMED</v>
          </cell>
          <cell r="L1630" t="str">
            <v>Critical</v>
          </cell>
          <cell r="M1630" t="str">
            <v>Taiwan</v>
          </cell>
          <cell r="N1630" t="str">
            <v>Dolphin</v>
          </cell>
          <cell r="O1630" t="str">
            <v>Dolphin</v>
          </cell>
          <cell r="P1630" t="str">
            <v>12110100</v>
          </cell>
          <cell r="Q1630" t="str">
            <v>Not Applicable</v>
          </cell>
          <cell r="R1630" t="str">
            <v>Dolphin Medical</v>
          </cell>
          <cell r="S1630" t="str">
            <v>Ikatan Megah Medik</v>
          </cell>
          <cell r="T1630" t="str">
            <v>Functioning</v>
          </cell>
          <cell r="U1630" t="str">
            <v>Asset</v>
          </cell>
          <cell r="V1630">
            <v>500</v>
          </cell>
          <cell r="W1630" t="str">
            <v>KEW</v>
          </cell>
          <cell r="X1630" t="str">
            <v>26/11/2013</v>
          </cell>
          <cell r="Y1630" t="str">
            <v>KEW</v>
          </cell>
          <cell r="Z1630" t="str">
            <v>05/12/2013</v>
          </cell>
          <cell r="AA1630" t="str">
            <v>04/12/2014</v>
          </cell>
          <cell r="AB1630" t="str">
            <v>No</v>
          </cell>
          <cell r="AC1630" t="str">
            <v>05/12/2013</v>
          </cell>
          <cell r="AD1630" t="str">
            <v>Good</v>
          </cell>
          <cell r="AE1630" t="str">
            <v>V3 - Added Installed Facilities (New)</v>
          </cell>
          <cell r="AF1630">
            <v>43124</v>
          </cell>
          <cell r="AG1630">
            <v>6</v>
          </cell>
          <cell r="AH1630" t="str">
            <v>PPM</v>
          </cell>
          <cell r="AI1630" t="str">
            <v>Strands</v>
          </cell>
          <cell r="AJ1630" t="str">
            <v>Strands PW</v>
          </cell>
          <cell r="AK1630" t="str">
            <v>SNF received. 1st batch of V3 asset (December 2020)</v>
          </cell>
        </row>
        <row r="1631">
          <cell r="A1631" t="str">
            <v>IKN401526</v>
          </cell>
          <cell r="B1631">
            <v>1466</v>
          </cell>
          <cell r="C1631" t="str">
            <v>Institut Kanser Negara</v>
          </cell>
          <cell r="D1631" t="str">
            <v>KKM/IKN/H/13/3783</v>
          </cell>
          <cell r="E1631" t="str">
            <v>13-325</v>
          </cell>
          <cell r="F1631" t="str">
            <v>Regulators, Suction</v>
          </cell>
          <cell r="G1631" t="str">
            <v>OT</v>
          </cell>
          <cell r="H1631" t="str">
            <v>OPERATING THEATRE</v>
          </cell>
          <cell r="I1631" t="str">
            <v>05OT123</v>
          </cell>
          <cell r="J1631" t="str">
            <v>0T 1</v>
          </cell>
          <cell r="K1631" t="str">
            <v>BMED</v>
          </cell>
          <cell r="L1631" t="str">
            <v>Normal</v>
          </cell>
          <cell r="M1631" t="str">
            <v>United Kingdom</v>
          </cell>
          <cell r="N1631" t="str">
            <v>MGE</v>
          </cell>
          <cell r="O1631" t="str">
            <v>SAM 54</v>
          </cell>
          <cell r="P1631" t="str">
            <v>mg 013555</v>
          </cell>
          <cell r="Q1631" t="str">
            <v>Not Applicable</v>
          </cell>
          <cell r="R1631" t="str">
            <v>MGE</v>
          </cell>
          <cell r="S1631" t="str">
            <v>Delta Medisains</v>
          </cell>
          <cell r="T1631" t="str">
            <v>Functioning</v>
          </cell>
          <cell r="U1631" t="str">
            <v>Asset</v>
          </cell>
          <cell r="V1631">
            <v>4330</v>
          </cell>
          <cell r="W1631" t="str">
            <v>KEW</v>
          </cell>
          <cell r="X1631" t="str">
            <v>01/09/2010</v>
          </cell>
          <cell r="Y1631" t="str">
            <v>KEW</v>
          </cell>
          <cell r="Z1631" t="str">
            <v>16/08/2013</v>
          </cell>
          <cell r="AA1631" t="str">
            <v>15/08/2015</v>
          </cell>
          <cell r="AB1631" t="str">
            <v>No</v>
          </cell>
          <cell r="AC1631" t="str">
            <v>31/08/2013</v>
          </cell>
          <cell r="AD1631" t="str">
            <v>Good</v>
          </cell>
          <cell r="AE1631" t="str">
            <v>V1 - Existing / No Claim</v>
          </cell>
          <cell r="AF1631">
            <v>42920</v>
          </cell>
          <cell r="AG1631">
            <v>9.17</v>
          </cell>
          <cell r="AH1631" t="str">
            <v>RI</v>
          </cell>
          <cell r="AI1631" t="str">
            <v>Strands</v>
          </cell>
          <cell r="AJ1631" t="str">
            <v>Strands PW</v>
          </cell>
        </row>
        <row r="1632">
          <cell r="A1632" t="str">
            <v>IKN401527</v>
          </cell>
          <cell r="B1632">
            <v>1467</v>
          </cell>
          <cell r="C1632" t="str">
            <v>Institut Kanser Negara</v>
          </cell>
          <cell r="D1632" t="str">
            <v>KKM/IKN/H/13/3787</v>
          </cell>
          <cell r="E1632" t="str">
            <v>13-325</v>
          </cell>
          <cell r="F1632" t="str">
            <v>Regulators, Suction</v>
          </cell>
          <cell r="G1632" t="str">
            <v>OT</v>
          </cell>
          <cell r="H1632" t="str">
            <v>OPERATING THEATRE</v>
          </cell>
          <cell r="I1632" t="str">
            <v>05OT120</v>
          </cell>
          <cell r="J1632" t="str">
            <v>OT 2</v>
          </cell>
          <cell r="K1632" t="str">
            <v>BMED</v>
          </cell>
          <cell r="L1632" t="str">
            <v>Normal</v>
          </cell>
          <cell r="M1632" t="str">
            <v>United Kingdom</v>
          </cell>
          <cell r="N1632" t="str">
            <v>MGE</v>
          </cell>
          <cell r="O1632" t="str">
            <v>SAM 54</v>
          </cell>
          <cell r="P1632" t="str">
            <v>MG 013650</v>
          </cell>
          <cell r="Q1632" t="str">
            <v>Not Applicable</v>
          </cell>
          <cell r="R1632" t="str">
            <v>MGE</v>
          </cell>
          <cell r="S1632" t="str">
            <v>Delta Medisains</v>
          </cell>
          <cell r="T1632" t="str">
            <v>Functioning</v>
          </cell>
          <cell r="U1632" t="str">
            <v>Asset</v>
          </cell>
          <cell r="V1632">
            <v>4330</v>
          </cell>
          <cell r="W1632" t="str">
            <v>KEW</v>
          </cell>
          <cell r="X1632" t="str">
            <v>01/09/2010</v>
          </cell>
          <cell r="Y1632" t="str">
            <v>KEW</v>
          </cell>
          <cell r="Z1632" t="str">
            <v>16/08/2013</v>
          </cell>
          <cell r="AA1632" t="str">
            <v>15/08/2015</v>
          </cell>
          <cell r="AB1632" t="str">
            <v>No</v>
          </cell>
          <cell r="AC1632" t="str">
            <v>31/08/2013</v>
          </cell>
          <cell r="AD1632" t="str">
            <v>Good</v>
          </cell>
          <cell r="AE1632" t="str">
            <v>V1 - Existing / No Claim</v>
          </cell>
          <cell r="AF1632">
            <v>42920</v>
          </cell>
          <cell r="AG1632">
            <v>9.17</v>
          </cell>
          <cell r="AH1632" t="str">
            <v>RI</v>
          </cell>
          <cell r="AI1632" t="str">
            <v>Strands</v>
          </cell>
          <cell r="AJ1632" t="str">
            <v>Strands PW</v>
          </cell>
        </row>
        <row r="1633">
          <cell r="A1633" t="str">
            <v>IKN401528</v>
          </cell>
          <cell r="B1633">
            <v>1468</v>
          </cell>
          <cell r="C1633" t="str">
            <v>Institut Kanser Negara</v>
          </cell>
          <cell r="D1633" t="str">
            <v>KKM/IKN/H/13/3785</v>
          </cell>
          <cell r="E1633" t="str">
            <v>13-325</v>
          </cell>
          <cell r="F1633" t="str">
            <v>Regulators, Suction</v>
          </cell>
          <cell r="G1633" t="str">
            <v>OT</v>
          </cell>
          <cell r="H1633" t="str">
            <v>OPERATING THEATRE</v>
          </cell>
          <cell r="I1633" t="str">
            <v>05OT120</v>
          </cell>
          <cell r="J1633" t="str">
            <v>OT 2</v>
          </cell>
          <cell r="K1633" t="str">
            <v>BMED</v>
          </cell>
          <cell r="L1633" t="str">
            <v>Normal</v>
          </cell>
          <cell r="M1633" t="str">
            <v>United Kingdom</v>
          </cell>
          <cell r="N1633" t="str">
            <v>MGE</v>
          </cell>
          <cell r="O1633" t="str">
            <v>SAM 54</v>
          </cell>
          <cell r="P1633" t="str">
            <v>MG013556</v>
          </cell>
          <cell r="Q1633" t="str">
            <v>Not Applicable</v>
          </cell>
          <cell r="R1633" t="str">
            <v>MGE</v>
          </cell>
          <cell r="S1633" t="str">
            <v>Delta Medisains</v>
          </cell>
          <cell r="T1633" t="str">
            <v>Functioning</v>
          </cell>
          <cell r="U1633" t="str">
            <v>Asset</v>
          </cell>
          <cell r="V1633">
            <v>4330</v>
          </cell>
          <cell r="W1633" t="str">
            <v>KEW</v>
          </cell>
          <cell r="X1633" t="str">
            <v>01/09/2010</v>
          </cell>
          <cell r="Y1633" t="str">
            <v>KEW</v>
          </cell>
          <cell r="Z1633" t="str">
            <v>16/08/2013</v>
          </cell>
          <cell r="AA1633" t="str">
            <v>15/08/2015</v>
          </cell>
          <cell r="AB1633" t="str">
            <v>No</v>
          </cell>
          <cell r="AC1633" t="str">
            <v>31/08/2013</v>
          </cell>
          <cell r="AD1633" t="str">
            <v>Good</v>
          </cell>
          <cell r="AE1633" t="str">
            <v>V1 - Existing / No Claim</v>
          </cell>
          <cell r="AF1633">
            <v>42920</v>
          </cell>
          <cell r="AG1633">
            <v>9.17</v>
          </cell>
          <cell r="AH1633" t="str">
            <v>RI</v>
          </cell>
          <cell r="AI1633" t="str">
            <v>Strands</v>
          </cell>
          <cell r="AJ1633" t="str">
            <v>Strands PW</v>
          </cell>
        </row>
        <row r="1634">
          <cell r="A1634" t="str">
            <v>IKN401529</v>
          </cell>
          <cell r="B1634">
            <v>1469</v>
          </cell>
          <cell r="C1634" t="str">
            <v>Institut Kanser Negara</v>
          </cell>
          <cell r="D1634" t="str">
            <v>KKM/IKN/H/13/5439 (new), KKM/IKN/H/13/2602 (old)</v>
          </cell>
          <cell r="E1634" t="str">
            <v>17-145</v>
          </cell>
          <cell r="F1634" t="str">
            <v>Cystoscope, Rigid</v>
          </cell>
          <cell r="G1634" t="str">
            <v>RT</v>
          </cell>
          <cell r="H1634" t="str">
            <v>RADIATION TREATMENT UNIT</v>
          </cell>
          <cell r="I1634" t="str">
            <v>01RT233</v>
          </cell>
          <cell r="J1634" t="str">
            <v>EQ ROOM</v>
          </cell>
          <cell r="K1634" t="str">
            <v>BMED</v>
          </cell>
          <cell r="L1634" t="str">
            <v>Normal</v>
          </cell>
          <cell r="M1634" t="str">
            <v>Germany</v>
          </cell>
          <cell r="N1634" t="str">
            <v>Karl Storz</v>
          </cell>
          <cell r="O1634" t="str">
            <v>27005BA</v>
          </cell>
          <cell r="P1634">
            <v>1747722</v>
          </cell>
          <cell r="Q1634" t="str">
            <v>Not Applicable</v>
          </cell>
          <cell r="R1634" t="str">
            <v>Karl Storz GmbH</v>
          </cell>
          <cell r="S1634" t="str">
            <v>UMMI Surgical Sdn Bhd</v>
          </cell>
          <cell r="T1634" t="str">
            <v>Functioning</v>
          </cell>
          <cell r="U1634" t="str">
            <v>Asset</v>
          </cell>
          <cell r="V1634">
            <v>30836</v>
          </cell>
          <cell r="W1634" t="str">
            <v>KEW</v>
          </cell>
          <cell r="X1634">
            <v>41516</v>
          </cell>
          <cell r="Y1634" t="str">
            <v>KEW</v>
          </cell>
          <cell r="Z1634">
            <v>41516</v>
          </cell>
          <cell r="AA1634">
            <v>42246</v>
          </cell>
          <cell r="AB1634" t="str">
            <v>No</v>
          </cell>
          <cell r="AC1634">
            <v>41516</v>
          </cell>
          <cell r="AD1634" t="str">
            <v>Good</v>
          </cell>
          <cell r="AE1634" t="str">
            <v>V1 - Existing / No Claim</v>
          </cell>
          <cell r="AF1634">
            <v>42246</v>
          </cell>
          <cell r="AG1634">
            <v>9.17</v>
          </cell>
          <cell r="AH1634" t="str">
            <v>PPM</v>
          </cell>
          <cell r="AI1634" t="str">
            <v>Strands</v>
          </cell>
          <cell r="AJ1634" t="str">
            <v>Strands PW F</v>
          </cell>
          <cell r="AK1634" t="str">
            <v>Pecah Kewpa original H/13/2602. 30 Degree/4mm. [1/3/2024, SHARIFAH]: Fees sekali dengan KKM/IKN/H/13/2602(RM63,366) - IKN401530. [22/8/2024, Imran]: Unit V4 since 2021. Update new KEWPA.</v>
          </cell>
        </row>
        <row r="1635">
          <cell r="A1635" t="str">
            <v>IKN401530</v>
          </cell>
          <cell r="B1635">
            <v>1470</v>
          </cell>
          <cell r="C1635" t="str">
            <v>Institut Kanser Negara</v>
          </cell>
          <cell r="D1635" t="str">
            <v>KKM/IKN/H/13/5438 (new), KKM/IKN/H/13/2602 (old)</v>
          </cell>
          <cell r="E1635" t="str">
            <v>17-145</v>
          </cell>
          <cell r="F1635" t="str">
            <v>Cystoscope, Rigid</v>
          </cell>
          <cell r="G1635" t="str">
            <v>RT</v>
          </cell>
          <cell r="H1635" t="str">
            <v>RADIATION TREATMENT UNIT</v>
          </cell>
          <cell r="I1635" t="str">
            <v>01RT233</v>
          </cell>
          <cell r="J1635" t="str">
            <v>EQ ROOM</v>
          </cell>
          <cell r="K1635" t="str">
            <v>BMED</v>
          </cell>
          <cell r="L1635" t="str">
            <v>Normal</v>
          </cell>
          <cell r="M1635" t="str">
            <v>Germany</v>
          </cell>
          <cell r="N1635" t="str">
            <v>Karl Storz</v>
          </cell>
          <cell r="O1635" t="str">
            <v>27005AA®</v>
          </cell>
          <cell r="P1635" t="str">
            <v>120MKR</v>
          </cell>
          <cell r="Q1635" t="str">
            <v>Not Applicable</v>
          </cell>
          <cell r="R1635" t="str">
            <v>Karl Storz GmbH</v>
          </cell>
          <cell r="S1635" t="str">
            <v>UMMI Surgical Sdn Bhd</v>
          </cell>
          <cell r="T1635" t="str">
            <v>Functioning</v>
          </cell>
          <cell r="U1635" t="str">
            <v>Asset</v>
          </cell>
          <cell r="V1635">
            <v>33366</v>
          </cell>
          <cell r="W1635" t="str">
            <v>KEW</v>
          </cell>
          <cell r="X1635">
            <v>41516</v>
          </cell>
          <cell r="Y1635" t="str">
            <v>KEW</v>
          </cell>
          <cell r="Z1635">
            <v>41516</v>
          </cell>
          <cell r="AA1635">
            <v>42246</v>
          </cell>
          <cell r="AB1635" t="str">
            <v>No</v>
          </cell>
          <cell r="AC1635">
            <v>41516</v>
          </cell>
          <cell r="AD1635" t="str">
            <v>Good</v>
          </cell>
          <cell r="AE1635" t="str">
            <v>V10 - Asset in initial fee submission(new/replacement hosp)</v>
          </cell>
          <cell r="AF1635">
            <v>42246</v>
          </cell>
          <cell r="AG1635">
            <v>9.17</v>
          </cell>
          <cell r="AH1635" t="str">
            <v>PPM</v>
          </cell>
          <cell r="AI1635" t="str">
            <v>Strands</v>
          </cell>
          <cell r="AJ1635" t="str">
            <v>Strands PW F</v>
          </cell>
          <cell r="AK1635" t="str">
            <v>Pecah Kewpa original H/13/2602. Replace new unit. 0 Degree/4mm. [1/3/2024, SHARIFAH]: Fees sekali dengan KKM/IKN/H/13/2602(RM63,366) - IKN401529. [22/8/2024, Imran]: Update new KEWPA.</v>
          </cell>
        </row>
        <row r="1636">
          <cell r="A1636" t="str">
            <v>IKN401533</v>
          </cell>
          <cell r="B1636">
            <v>1473</v>
          </cell>
          <cell r="C1636" t="str">
            <v>Institut Kanser Negara</v>
          </cell>
          <cell r="D1636" t="str">
            <v>KKM/IKN/H/13/2150</v>
          </cell>
          <cell r="E1636" t="str">
            <v>13-461</v>
          </cell>
          <cell r="F1636" t="str">
            <v>Scales, Patient, Floor</v>
          </cell>
          <cell r="G1636" t="str">
            <v>WD</v>
          </cell>
          <cell r="H1636" t="str">
            <v>RT/ONCO PAED/ADOLESCENT WARD</v>
          </cell>
          <cell r="I1636" t="str">
            <v>06WD146</v>
          </cell>
          <cell r="J1636" t="str">
            <v>NURSE STATION</v>
          </cell>
          <cell r="K1636" t="str">
            <v>BMED</v>
          </cell>
          <cell r="L1636" t="str">
            <v>Normal</v>
          </cell>
          <cell r="M1636" t="str">
            <v>USA</v>
          </cell>
          <cell r="N1636" t="str">
            <v>Detecto</v>
          </cell>
          <cell r="O1636" t="str">
            <v>758 C</v>
          </cell>
          <cell r="P1636" t="str">
            <v>E32112-0183</v>
          </cell>
          <cell r="Q1636" t="str">
            <v>Not Applicable</v>
          </cell>
          <cell r="R1636" t="str">
            <v>DETECTO</v>
          </cell>
          <cell r="S1636" t="str">
            <v>Acucare System (M) Sdn. Bhd</v>
          </cell>
          <cell r="T1636" t="str">
            <v>Functioning</v>
          </cell>
          <cell r="U1636" t="str">
            <v>Asset</v>
          </cell>
          <cell r="V1636">
            <v>9380</v>
          </cell>
          <cell r="W1636" t="str">
            <v>KEW</v>
          </cell>
          <cell r="X1636" t="str">
            <v>01/09/2010</v>
          </cell>
          <cell r="Y1636" t="str">
            <v>Estimate</v>
          </cell>
          <cell r="Z1636" t="str">
            <v>16/08/2013</v>
          </cell>
          <cell r="AA1636" t="str">
            <v>15/08/2015</v>
          </cell>
          <cell r="AB1636" t="str">
            <v>No</v>
          </cell>
          <cell r="AC1636" t="str">
            <v>31/08/2013</v>
          </cell>
          <cell r="AD1636" t="str">
            <v>Good</v>
          </cell>
          <cell r="AE1636" t="str">
            <v>V1 - Existing / No Claim</v>
          </cell>
          <cell r="AF1636">
            <v>42839</v>
          </cell>
          <cell r="AG1636">
            <v>9.17</v>
          </cell>
          <cell r="AH1636" t="str">
            <v>PPM</v>
          </cell>
          <cell r="AI1636" t="str">
            <v>Strands</v>
          </cell>
          <cell r="AJ1636" t="str">
            <v>Strands PW</v>
          </cell>
        </row>
        <row r="1637">
          <cell r="A1637" t="str">
            <v>IKN401534</v>
          </cell>
          <cell r="B1637">
            <v>1474</v>
          </cell>
          <cell r="C1637" t="str">
            <v>Institut Kanser Negara</v>
          </cell>
          <cell r="D1637" t="str">
            <v>N/A</v>
          </cell>
          <cell r="E1637" t="str">
            <v>13-281</v>
          </cell>
          <cell r="F1637" t="str">
            <v>Computers, Radiotherapy Planning System</v>
          </cell>
          <cell r="G1637" t="str">
            <v>RT</v>
          </cell>
          <cell r="H1637" t="str">
            <v>RADIATION TREATMENT UNIT</v>
          </cell>
          <cell r="I1637" t="str">
            <v>01RT118A</v>
          </cell>
          <cell r="J1637" t="str">
            <v>TECH ROOM</v>
          </cell>
          <cell r="K1637" t="str">
            <v>BMED</v>
          </cell>
          <cell r="L1637" t="str">
            <v>Normal</v>
          </cell>
          <cell r="M1637" t="str">
            <v>USA</v>
          </cell>
          <cell r="N1637" t="str">
            <v>HP</v>
          </cell>
          <cell r="O1637" t="str">
            <v>HP 380 G6 SERVER</v>
          </cell>
          <cell r="P1637" t="str">
            <v>Not Available</v>
          </cell>
          <cell r="Q1637" t="str">
            <v>Not Applicable</v>
          </cell>
          <cell r="R1637" t="str">
            <v>HP</v>
          </cell>
          <cell r="S1637" t="str">
            <v>VIAMED SDN. BHD.</v>
          </cell>
          <cell r="T1637" t="str">
            <v>Functioning</v>
          </cell>
          <cell r="U1637" t="str">
            <v>Asset</v>
          </cell>
          <cell r="V1637">
            <v>52500</v>
          </cell>
          <cell r="W1637" t="str">
            <v>KEW</v>
          </cell>
          <cell r="X1637" t="str">
            <v>01/09/2010</v>
          </cell>
          <cell r="Y1637" t="str">
            <v>KEW</v>
          </cell>
          <cell r="Z1637" t="str">
            <v>16/08/2013</v>
          </cell>
          <cell r="AA1637" t="str">
            <v>15/08/2015</v>
          </cell>
          <cell r="AB1637" t="str">
            <v>No</v>
          </cell>
          <cell r="AC1637" t="str">
            <v>16/08/2013</v>
          </cell>
          <cell r="AD1637" t="str">
            <v>Good</v>
          </cell>
          <cell r="AE1637" t="str">
            <v>V1 - Existing / No Claim</v>
          </cell>
          <cell r="AF1637">
            <v>42859</v>
          </cell>
          <cell r="AG1637">
            <v>9.17</v>
          </cell>
          <cell r="AH1637" t="str">
            <v>PPM</v>
          </cell>
          <cell r="AI1637" t="str">
            <v>Strands</v>
          </cell>
          <cell r="AJ1637" t="str">
            <v>Strands Package</v>
          </cell>
          <cell r="AK1637" t="str">
            <v>Package Code XM0004</v>
          </cell>
        </row>
        <row r="1638">
          <cell r="A1638" t="str">
            <v>IKN401536</v>
          </cell>
          <cell r="B1638">
            <v>1475</v>
          </cell>
          <cell r="C1638" t="str">
            <v>Institut Kanser Negara</v>
          </cell>
          <cell r="D1638" t="str">
            <v>KKM/IKN/H/13/5160</v>
          </cell>
          <cell r="E1638" t="str">
            <v>11-295</v>
          </cell>
          <cell r="F1638" t="str">
            <v>Dosimeters, Radiation</v>
          </cell>
          <cell r="G1638" t="str">
            <v>NM</v>
          </cell>
          <cell r="H1638" t="str">
            <v>NUCLEAR MED (DIAGNOSTIC)</v>
          </cell>
          <cell r="I1638" t="str">
            <v>03NM180</v>
          </cell>
          <cell r="J1638" t="str">
            <v>GEN.OFFICE</v>
          </cell>
          <cell r="K1638" t="str">
            <v>BMED</v>
          </cell>
          <cell r="L1638" t="str">
            <v>Normal</v>
          </cell>
          <cell r="M1638" t="str">
            <v>Japan</v>
          </cell>
          <cell r="N1638" t="str">
            <v>Aloka</v>
          </cell>
          <cell r="O1638" t="str">
            <v>PDM-122-SH</v>
          </cell>
          <cell r="P1638" t="str">
            <v>P1277</v>
          </cell>
          <cell r="Q1638" t="str">
            <v>Not Applicable</v>
          </cell>
          <cell r="R1638" t="str">
            <v>Hitachi Aloka Medical Ltd</v>
          </cell>
          <cell r="S1638" t="str">
            <v>Delta Advantech (M) Sdn. Bhd.</v>
          </cell>
          <cell r="T1638" t="str">
            <v>Functioning</v>
          </cell>
          <cell r="U1638" t="str">
            <v>Asset</v>
          </cell>
          <cell r="V1638">
            <v>4370</v>
          </cell>
          <cell r="W1638" t="str">
            <v>KEW</v>
          </cell>
          <cell r="X1638" t="str">
            <v>01/09/2010</v>
          </cell>
          <cell r="Y1638" t="str">
            <v>KEW</v>
          </cell>
          <cell r="Z1638" t="str">
            <v>16/08/2013</v>
          </cell>
          <cell r="AA1638" t="str">
            <v>15/08/2015</v>
          </cell>
          <cell r="AB1638" t="str">
            <v>No</v>
          </cell>
          <cell r="AC1638" t="str">
            <v>31/08/2013</v>
          </cell>
          <cell r="AD1638" t="str">
            <v>Good</v>
          </cell>
          <cell r="AE1638" t="str">
            <v>V1 - Existing / No Claim</v>
          </cell>
          <cell r="AF1638">
            <v>42923</v>
          </cell>
          <cell r="AG1638">
            <v>9.17</v>
          </cell>
          <cell r="AH1638" t="str">
            <v>PPM</v>
          </cell>
          <cell r="AI1638" t="str">
            <v>Strands</v>
          </cell>
          <cell r="AJ1638" t="str">
            <v>Strands PW</v>
          </cell>
          <cell r="AK1638" t="str">
            <v>[24/4/2024, ANIS]: TUKAR MODEL &amp; BRAND.</v>
          </cell>
        </row>
        <row r="1639">
          <cell r="A1639" t="str">
            <v>IKN401537</v>
          </cell>
          <cell r="B1639">
            <v>1476</v>
          </cell>
          <cell r="C1639" t="str">
            <v>Institut Kanser Negara</v>
          </cell>
          <cell r="D1639" t="str">
            <v>KKM/IKN/H/13/5159</v>
          </cell>
          <cell r="E1639" t="str">
            <v>11-295</v>
          </cell>
          <cell r="F1639" t="str">
            <v>Dosimeters, Radiation</v>
          </cell>
          <cell r="G1639" t="str">
            <v>NM</v>
          </cell>
          <cell r="H1639" t="str">
            <v>NUCLEAR MED (DIAGNOSTIC)</v>
          </cell>
          <cell r="I1639" t="str">
            <v>03NM180</v>
          </cell>
          <cell r="J1639" t="str">
            <v>GEN.OFFICE</v>
          </cell>
          <cell r="K1639" t="str">
            <v>BMED</v>
          </cell>
          <cell r="L1639" t="str">
            <v>Normal</v>
          </cell>
          <cell r="M1639" t="str">
            <v>Japan</v>
          </cell>
          <cell r="N1639" t="str">
            <v>Aloka</v>
          </cell>
          <cell r="O1639" t="str">
            <v>PDM-122-SH</v>
          </cell>
          <cell r="P1639" t="str">
            <v>P1278</v>
          </cell>
          <cell r="Q1639" t="str">
            <v>Not Applicable</v>
          </cell>
          <cell r="R1639" t="str">
            <v>Hitachi Aloka Medical Ltd</v>
          </cell>
          <cell r="S1639" t="str">
            <v>Delta Advantech (M) Sdn. Bhd.</v>
          </cell>
          <cell r="T1639" t="str">
            <v>Functioning</v>
          </cell>
          <cell r="U1639" t="str">
            <v>Asset</v>
          </cell>
          <cell r="V1639">
            <v>4370</v>
          </cell>
          <cell r="W1639" t="str">
            <v>KEW</v>
          </cell>
          <cell r="X1639" t="str">
            <v>01/09/2010</v>
          </cell>
          <cell r="Y1639" t="str">
            <v>KEW</v>
          </cell>
          <cell r="Z1639" t="str">
            <v>16/08/2013</v>
          </cell>
          <cell r="AA1639" t="str">
            <v>15/08/2015</v>
          </cell>
          <cell r="AB1639" t="str">
            <v>No</v>
          </cell>
          <cell r="AC1639" t="str">
            <v>31/08/2013</v>
          </cell>
          <cell r="AD1639" t="str">
            <v>Good</v>
          </cell>
          <cell r="AE1639" t="str">
            <v>V1 - Existing / No Claim</v>
          </cell>
          <cell r="AF1639">
            <v>42923</v>
          </cell>
          <cell r="AG1639">
            <v>9.17</v>
          </cell>
          <cell r="AH1639" t="str">
            <v>PPM</v>
          </cell>
          <cell r="AI1639" t="str">
            <v>Strands</v>
          </cell>
          <cell r="AJ1639" t="str">
            <v>Strands PW</v>
          </cell>
          <cell r="AK1639" t="str">
            <v>[24/4/2024, ANIS]: TUKAR MODEL &amp; BRAND.</v>
          </cell>
        </row>
        <row r="1640">
          <cell r="A1640" t="str">
            <v>IKN401538</v>
          </cell>
          <cell r="B1640">
            <v>1477</v>
          </cell>
          <cell r="C1640" t="str">
            <v>Institut Kanser Negara</v>
          </cell>
          <cell r="D1640" t="str">
            <v>KKM/IKN/H/13/5158</v>
          </cell>
          <cell r="E1640" t="str">
            <v>11-295</v>
          </cell>
          <cell r="F1640" t="str">
            <v>Dosimeters, Radiation</v>
          </cell>
          <cell r="G1640" t="str">
            <v>NM</v>
          </cell>
          <cell r="H1640" t="str">
            <v>NUCLEAR MED (DIAGNOSTIC)</v>
          </cell>
          <cell r="I1640" t="str">
            <v>03NM180</v>
          </cell>
          <cell r="J1640" t="str">
            <v>GEN.OFFICE</v>
          </cell>
          <cell r="K1640" t="str">
            <v>BMED</v>
          </cell>
          <cell r="L1640" t="str">
            <v>Normal</v>
          </cell>
          <cell r="M1640" t="str">
            <v>Japan</v>
          </cell>
          <cell r="N1640" t="str">
            <v>Aloka</v>
          </cell>
          <cell r="O1640" t="str">
            <v>PDM-122-SH</v>
          </cell>
          <cell r="P1640" t="str">
            <v>P1279</v>
          </cell>
          <cell r="Q1640" t="str">
            <v>Not Applicable</v>
          </cell>
          <cell r="R1640" t="str">
            <v>Hitachi Aloka Medical Ltd</v>
          </cell>
          <cell r="S1640" t="str">
            <v>Delta Advantech (M) Sdn. Bhd.</v>
          </cell>
          <cell r="T1640" t="str">
            <v>Functioning</v>
          </cell>
          <cell r="U1640" t="str">
            <v>Asset</v>
          </cell>
          <cell r="V1640">
            <v>4370</v>
          </cell>
          <cell r="W1640" t="str">
            <v>KEW</v>
          </cell>
          <cell r="X1640" t="str">
            <v>01/09/2010</v>
          </cell>
          <cell r="Y1640" t="str">
            <v>KEW</v>
          </cell>
          <cell r="Z1640" t="str">
            <v>16/08/2013</v>
          </cell>
          <cell r="AA1640" t="str">
            <v>15/08/2015</v>
          </cell>
          <cell r="AB1640" t="str">
            <v>No</v>
          </cell>
          <cell r="AC1640" t="str">
            <v>31/08/2013</v>
          </cell>
          <cell r="AD1640" t="str">
            <v>Good</v>
          </cell>
          <cell r="AE1640" t="str">
            <v>V1 - Existing / No Claim</v>
          </cell>
          <cell r="AF1640">
            <v>42923</v>
          </cell>
          <cell r="AG1640">
            <v>9.17</v>
          </cell>
          <cell r="AH1640" t="str">
            <v>PPM</v>
          </cell>
          <cell r="AI1640" t="str">
            <v>Strands</v>
          </cell>
          <cell r="AJ1640" t="str">
            <v>Strands PW</v>
          </cell>
          <cell r="AK1640" t="str">
            <v>[24/4/2024, ANIS]: TUKAR MODEL &amp; BRAND.</v>
          </cell>
        </row>
        <row r="1641">
          <cell r="A1641" t="str">
            <v>IKN401539</v>
          </cell>
          <cell r="B1641">
            <v>1478</v>
          </cell>
          <cell r="C1641" t="str">
            <v>Institut Kanser Negara</v>
          </cell>
          <cell r="D1641" t="str">
            <v>KKM/IKN/H/13/5157</v>
          </cell>
          <cell r="E1641" t="str">
            <v>11-295</v>
          </cell>
          <cell r="F1641" t="str">
            <v>Dosimeters, Radiation</v>
          </cell>
          <cell r="G1641" t="str">
            <v>NM</v>
          </cell>
          <cell r="H1641" t="str">
            <v>NUCLEAR MED (DIAGNOSTIC)</v>
          </cell>
          <cell r="I1641" t="str">
            <v>03NM180</v>
          </cell>
          <cell r="J1641" t="str">
            <v>GEN.OFFICE</v>
          </cell>
          <cell r="K1641" t="str">
            <v>BMED</v>
          </cell>
          <cell r="L1641" t="str">
            <v>Normal</v>
          </cell>
          <cell r="M1641" t="str">
            <v>Japan</v>
          </cell>
          <cell r="N1641" t="str">
            <v>Aloka</v>
          </cell>
          <cell r="O1641" t="str">
            <v>PDM-122-SH</v>
          </cell>
          <cell r="P1641" t="str">
            <v>P1280</v>
          </cell>
          <cell r="Q1641" t="str">
            <v>Not Applicable</v>
          </cell>
          <cell r="R1641" t="str">
            <v>Hitachi Aloka Medical Ltd</v>
          </cell>
          <cell r="S1641" t="str">
            <v>Delta Advantech (M) Sdn. Bhd.</v>
          </cell>
          <cell r="T1641" t="str">
            <v>Functioning</v>
          </cell>
          <cell r="U1641" t="str">
            <v>Asset</v>
          </cell>
          <cell r="V1641">
            <v>4370</v>
          </cell>
          <cell r="W1641" t="str">
            <v>KEW</v>
          </cell>
          <cell r="X1641" t="str">
            <v>01/09/2010</v>
          </cell>
          <cell r="Y1641" t="str">
            <v>KEW</v>
          </cell>
          <cell r="Z1641" t="str">
            <v>16/08/2013</v>
          </cell>
          <cell r="AA1641" t="str">
            <v>15/08/2015</v>
          </cell>
          <cell r="AB1641" t="str">
            <v>No</v>
          </cell>
          <cell r="AC1641" t="str">
            <v>31/08/2013</v>
          </cell>
          <cell r="AD1641" t="str">
            <v>Good</v>
          </cell>
          <cell r="AE1641" t="str">
            <v>V1 - Existing / No Claim</v>
          </cell>
          <cell r="AF1641">
            <v>42923</v>
          </cell>
          <cell r="AG1641">
            <v>9.17</v>
          </cell>
          <cell r="AH1641" t="str">
            <v>PPM</v>
          </cell>
          <cell r="AI1641" t="str">
            <v>Strands</v>
          </cell>
          <cell r="AJ1641" t="str">
            <v>Strands PW</v>
          </cell>
          <cell r="AK1641" t="str">
            <v>[24/4/2024, ANIS]: TUKAR MODEL &amp; BRAND.</v>
          </cell>
        </row>
        <row r="1642">
          <cell r="A1642" t="str">
            <v>IKN401540</v>
          </cell>
          <cell r="B1642">
            <v>1479</v>
          </cell>
          <cell r="C1642" t="str">
            <v>Institut Kanser Negara</v>
          </cell>
          <cell r="D1642" t="str">
            <v>KKM/IKN/H/13/5156</v>
          </cell>
          <cell r="E1642" t="str">
            <v>11-295</v>
          </cell>
          <cell r="F1642" t="str">
            <v>Dosimeters, Radiation</v>
          </cell>
          <cell r="G1642" t="str">
            <v>NM</v>
          </cell>
          <cell r="H1642" t="str">
            <v>NUCLEAR MED (DIAGNOSTIC)</v>
          </cell>
          <cell r="I1642" t="str">
            <v>03NM180</v>
          </cell>
          <cell r="J1642" t="str">
            <v>GEN.OFFICE</v>
          </cell>
          <cell r="K1642" t="str">
            <v>BMED</v>
          </cell>
          <cell r="L1642" t="str">
            <v>Normal</v>
          </cell>
          <cell r="M1642" t="str">
            <v>Japan</v>
          </cell>
          <cell r="N1642" t="str">
            <v>Aloka</v>
          </cell>
          <cell r="O1642" t="str">
            <v>PDM-122-SH</v>
          </cell>
          <cell r="P1642" t="str">
            <v>P1281</v>
          </cell>
          <cell r="Q1642" t="str">
            <v>Not Applicable</v>
          </cell>
          <cell r="R1642" t="str">
            <v>Hitachi Aloka Medical Ltd</v>
          </cell>
          <cell r="S1642" t="str">
            <v>Delta Advantech (M) Sdn. Bhd.</v>
          </cell>
          <cell r="T1642" t="str">
            <v>Functioning</v>
          </cell>
          <cell r="U1642" t="str">
            <v>Asset</v>
          </cell>
          <cell r="V1642">
            <v>4370</v>
          </cell>
          <cell r="W1642" t="str">
            <v>KEW</v>
          </cell>
          <cell r="X1642" t="str">
            <v>01/09/2010</v>
          </cell>
          <cell r="Y1642" t="str">
            <v>KEW</v>
          </cell>
          <cell r="Z1642" t="str">
            <v>16/08/2013</v>
          </cell>
          <cell r="AA1642" t="str">
            <v>15/08/2015</v>
          </cell>
          <cell r="AB1642" t="str">
            <v>No</v>
          </cell>
          <cell r="AC1642" t="str">
            <v>31/08/2013</v>
          </cell>
          <cell r="AD1642" t="str">
            <v>Good</v>
          </cell>
          <cell r="AE1642" t="str">
            <v>V1 - Existing / No Claim</v>
          </cell>
          <cell r="AF1642">
            <v>42923</v>
          </cell>
          <cell r="AG1642">
            <v>9.17</v>
          </cell>
          <cell r="AH1642" t="str">
            <v>PPM</v>
          </cell>
          <cell r="AI1642" t="str">
            <v>Strands</v>
          </cell>
          <cell r="AJ1642" t="str">
            <v>Strands PW</v>
          </cell>
          <cell r="AK1642" t="str">
            <v>[24/4/2024, ANIS]: TUKAR MODEL &amp; BRAND.</v>
          </cell>
        </row>
        <row r="1643">
          <cell r="A1643" t="str">
            <v>IKN401541</v>
          </cell>
          <cell r="B1643">
            <v>1480</v>
          </cell>
          <cell r="C1643" t="str">
            <v>Institut Kanser Negara</v>
          </cell>
          <cell r="D1643" t="str">
            <v>KKM/IKN/H/13/5155</v>
          </cell>
          <cell r="E1643" t="str">
            <v>11-295</v>
          </cell>
          <cell r="F1643" t="str">
            <v>Dosimeters, Radiation</v>
          </cell>
          <cell r="G1643" t="str">
            <v>NM</v>
          </cell>
          <cell r="H1643" t="str">
            <v>NUCLEAR MED (DIAGNOSTIC)</v>
          </cell>
          <cell r="I1643" t="str">
            <v>03NM180</v>
          </cell>
          <cell r="J1643" t="str">
            <v>GEN.OFFICE</v>
          </cell>
          <cell r="K1643" t="str">
            <v>BMED</v>
          </cell>
          <cell r="L1643" t="str">
            <v>Normal</v>
          </cell>
          <cell r="M1643" t="str">
            <v>Japan</v>
          </cell>
          <cell r="N1643" t="str">
            <v>Aloka</v>
          </cell>
          <cell r="O1643" t="str">
            <v>PDM-122-SH</v>
          </cell>
          <cell r="P1643" t="str">
            <v>P1282</v>
          </cell>
          <cell r="Q1643" t="str">
            <v>Not Applicable</v>
          </cell>
          <cell r="R1643" t="str">
            <v>Hitachi Aloka Medical Ltd</v>
          </cell>
          <cell r="S1643" t="str">
            <v>Delta Advantech (M) Sdn. Bhd.</v>
          </cell>
          <cell r="T1643" t="str">
            <v>Functioning</v>
          </cell>
          <cell r="U1643" t="str">
            <v>Asset</v>
          </cell>
          <cell r="V1643">
            <v>4370</v>
          </cell>
          <cell r="W1643" t="str">
            <v>KEW</v>
          </cell>
          <cell r="X1643" t="str">
            <v>01/09/2010</v>
          </cell>
          <cell r="Y1643" t="str">
            <v>KEW</v>
          </cell>
          <cell r="Z1643" t="str">
            <v>16/08/2013</v>
          </cell>
          <cell r="AA1643" t="str">
            <v>15/08/2015</v>
          </cell>
          <cell r="AB1643" t="str">
            <v>No</v>
          </cell>
          <cell r="AC1643" t="str">
            <v>31/08/2013</v>
          </cell>
          <cell r="AD1643" t="str">
            <v>Good</v>
          </cell>
          <cell r="AE1643" t="str">
            <v>V1 - Existing / No Claim</v>
          </cell>
          <cell r="AF1643">
            <v>42923</v>
          </cell>
          <cell r="AG1643">
            <v>9.17</v>
          </cell>
          <cell r="AH1643" t="str">
            <v>PPM</v>
          </cell>
          <cell r="AI1643" t="str">
            <v>Strands</v>
          </cell>
          <cell r="AJ1643" t="str">
            <v>Strands PW</v>
          </cell>
          <cell r="AK1643" t="str">
            <v>[24/4/2024, ANIS]: TUKAR MODEL &amp; BRAND.</v>
          </cell>
        </row>
        <row r="1644">
          <cell r="A1644" t="str">
            <v>IKN401542</v>
          </cell>
          <cell r="B1644">
            <v>1481</v>
          </cell>
          <cell r="C1644" t="str">
            <v>Institut Kanser Negara</v>
          </cell>
          <cell r="D1644" t="str">
            <v>KKM/IKN/H/13/5154</v>
          </cell>
          <cell r="E1644" t="str">
            <v>11-295</v>
          </cell>
          <cell r="F1644" t="str">
            <v>Dosimeters, Radiation</v>
          </cell>
          <cell r="G1644" t="str">
            <v>NM</v>
          </cell>
          <cell r="H1644" t="str">
            <v>NUCLEAR MED (DIAGNOSTIC)</v>
          </cell>
          <cell r="I1644" t="str">
            <v>03NM180</v>
          </cell>
          <cell r="J1644" t="str">
            <v>GEN.OFFICE</v>
          </cell>
          <cell r="K1644" t="str">
            <v>BMED</v>
          </cell>
          <cell r="L1644" t="str">
            <v>Normal</v>
          </cell>
          <cell r="M1644" t="str">
            <v>Japan</v>
          </cell>
          <cell r="N1644" t="str">
            <v>Aloka</v>
          </cell>
          <cell r="O1644" t="str">
            <v>PDM-122-SH</v>
          </cell>
          <cell r="P1644" t="str">
            <v>O8426</v>
          </cell>
          <cell r="Q1644" t="str">
            <v>Not Applicable</v>
          </cell>
          <cell r="R1644" t="str">
            <v>Hitachi Aloka Medical Ltd</v>
          </cell>
          <cell r="S1644" t="str">
            <v>Delta Advantech (M) Sdn. Bhd.</v>
          </cell>
          <cell r="T1644" t="str">
            <v>Functioning</v>
          </cell>
          <cell r="U1644" t="str">
            <v>Asset</v>
          </cell>
          <cell r="V1644">
            <v>4370</v>
          </cell>
          <cell r="W1644" t="str">
            <v>KEW</v>
          </cell>
          <cell r="X1644" t="str">
            <v>01/09/2010</v>
          </cell>
          <cell r="Y1644" t="str">
            <v>Estimate</v>
          </cell>
          <cell r="Z1644" t="str">
            <v>16/08/2013</v>
          </cell>
          <cell r="AA1644" t="str">
            <v>15/08/2015</v>
          </cell>
          <cell r="AB1644" t="str">
            <v>No</v>
          </cell>
          <cell r="AC1644" t="str">
            <v>31/08/2013</v>
          </cell>
          <cell r="AD1644" t="str">
            <v>Good</v>
          </cell>
          <cell r="AE1644" t="str">
            <v>V1 - Existing / No Claim</v>
          </cell>
          <cell r="AF1644">
            <v>42923</v>
          </cell>
          <cell r="AG1644">
            <v>9.17</v>
          </cell>
          <cell r="AH1644" t="str">
            <v>PPM</v>
          </cell>
          <cell r="AI1644" t="str">
            <v>Strands</v>
          </cell>
          <cell r="AJ1644" t="str">
            <v>Strands PW</v>
          </cell>
          <cell r="AK1644" t="str">
            <v>[24/4/2024, ANIS]: TUKAR MODEL &amp; BRAND.</v>
          </cell>
        </row>
        <row r="1645">
          <cell r="A1645" t="str">
            <v>IKN401543</v>
          </cell>
          <cell r="B1645">
            <v>1482</v>
          </cell>
          <cell r="C1645" t="str">
            <v>Institut Kanser Negara</v>
          </cell>
          <cell r="D1645" t="str">
            <v>KKM/IKN/H/13/5153</v>
          </cell>
          <cell r="E1645" t="str">
            <v>11-295</v>
          </cell>
          <cell r="F1645" t="str">
            <v>Dosimeters, Radiation</v>
          </cell>
          <cell r="G1645" t="str">
            <v>NM</v>
          </cell>
          <cell r="H1645" t="str">
            <v>NUCLEAR MED (DIAGNOSTIC)</v>
          </cell>
          <cell r="I1645" t="str">
            <v>03NM180</v>
          </cell>
          <cell r="J1645" t="str">
            <v>GEN.OFFICE</v>
          </cell>
          <cell r="K1645" t="str">
            <v>BMED</v>
          </cell>
          <cell r="L1645" t="str">
            <v>Normal</v>
          </cell>
          <cell r="M1645" t="str">
            <v>Japan</v>
          </cell>
          <cell r="N1645" t="str">
            <v>Aloka</v>
          </cell>
          <cell r="O1645" t="str">
            <v>PDM-122-SH</v>
          </cell>
          <cell r="P1645" t="str">
            <v>O8428</v>
          </cell>
          <cell r="Q1645" t="str">
            <v>Not Applicable</v>
          </cell>
          <cell r="R1645" t="str">
            <v>Hitachi Aloka Medical Ltd</v>
          </cell>
          <cell r="S1645" t="str">
            <v>Delta Advantech (M) Sdn. Bhd.</v>
          </cell>
          <cell r="T1645" t="str">
            <v>Functioning</v>
          </cell>
          <cell r="U1645" t="str">
            <v>Asset</v>
          </cell>
          <cell r="V1645">
            <v>4370</v>
          </cell>
          <cell r="W1645" t="str">
            <v>KEW</v>
          </cell>
          <cell r="X1645" t="str">
            <v>01/09/2010</v>
          </cell>
          <cell r="Y1645" t="str">
            <v>KEW</v>
          </cell>
          <cell r="Z1645" t="str">
            <v>16/08/2013</v>
          </cell>
          <cell r="AA1645" t="str">
            <v>15/08/2015</v>
          </cell>
          <cell r="AB1645" t="str">
            <v>No</v>
          </cell>
          <cell r="AC1645" t="str">
            <v>31/08/2013</v>
          </cell>
          <cell r="AD1645" t="str">
            <v>Good</v>
          </cell>
          <cell r="AE1645" t="str">
            <v>V1 - Existing / No Claim</v>
          </cell>
          <cell r="AF1645">
            <v>42923</v>
          </cell>
          <cell r="AG1645">
            <v>9.17</v>
          </cell>
          <cell r="AH1645" t="str">
            <v>PPM</v>
          </cell>
          <cell r="AI1645" t="str">
            <v>Strands</v>
          </cell>
          <cell r="AJ1645" t="str">
            <v>Strands PW</v>
          </cell>
          <cell r="AK1645" t="str">
            <v>[24/4/2024, ANIS]: TUKAR MODEL &amp; BRAND.</v>
          </cell>
        </row>
        <row r="1646">
          <cell r="A1646" t="str">
            <v>IKN401544</v>
          </cell>
          <cell r="B1646">
            <v>1483</v>
          </cell>
          <cell r="C1646" t="str">
            <v>Institut Kanser Negara</v>
          </cell>
          <cell r="D1646" t="str">
            <v>KKM/IKN/H/13/5177</v>
          </cell>
          <cell r="E1646" t="str">
            <v>15-175</v>
          </cell>
          <cell r="F1646" t="str">
            <v>Scales, Clinical, Laboratory</v>
          </cell>
          <cell r="G1646" t="str">
            <v>PF</v>
          </cell>
          <cell r="H1646" t="str">
            <v>IN-PATIENT PHARMACY</v>
          </cell>
          <cell r="I1646" t="str">
            <v>05PF146</v>
          </cell>
          <cell r="J1646" t="str">
            <v>RAW MATERIAL STORE</v>
          </cell>
          <cell r="K1646" t="str">
            <v>BMED</v>
          </cell>
          <cell r="L1646" t="str">
            <v>Normal</v>
          </cell>
          <cell r="M1646" t="str">
            <v>Switzerland</v>
          </cell>
          <cell r="N1646" t="str">
            <v>METTLER TOLEDO</v>
          </cell>
          <cell r="O1646" t="str">
            <v>JP32001G</v>
          </cell>
          <cell r="P1646" t="str">
            <v>B327522435</v>
          </cell>
          <cell r="Q1646" t="str">
            <v>Not Applicable</v>
          </cell>
          <cell r="R1646" t="str">
            <v>METTLER TOLEDO</v>
          </cell>
          <cell r="S1646" t="str">
            <v>Chemopharm Sdn. Bhd.</v>
          </cell>
          <cell r="T1646" t="str">
            <v>Functioning</v>
          </cell>
          <cell r="U1646" t="str">
            <v>Asset</v>
          </cell>
          <cell r="V1646">
            <v>3500</v>
          </cell>
          <cell r="W1646" t="str">
            <v>KEW</v>
          </cell>
          <cell r="X1646" t="str">
            <v>01/09/2010</v>
          </cell>
          <cell r="Y1646" t="str">
            <v>KEW</v>
          </cell>
          <cell r="Z1646" t="str">
            <v>16/08/2013</v>
          </cell>
          <cell r="AA1646" t="str">
            <v>15/08/2015</v>
          </cell>
          <cell r="AB1646" t="str">
            <v>No</v>
          </cell>
          <cell r="AC1646" t="str">
            <v>31/08/2013</v>
          </cell>
          <cell r="AD1646" t="str">
            <v>Good</v>
          </cell>
          <cell r="AE1646" t="str">
            <v>V3 - Added Installed Facilities (New)</v>
          </cell>
          <cell r="AF1646">
            <v>42873</v>
          </cell>
          <cell r="AG1646">
            <v>9.17</v>
          </cell>
          <cell r="AH1646" t="str">
            <v>PPM</v>
          </cell>
          <cell r="AI1646" t="str">
            <v>Strands</v>
          </cell>
          <cell r="AJ1646" t="str">
            <v>Strands PW</v>
          </cell>
          <cell r="AK1646" t="str">
            <v>SNF received. 1st batch of V3 asset (December 2020)</v>
          </cell>
        </row>
        <row r="1647">
          <cell r="A1647" t="str">
            <v>IKN401545</v>
          </cell>
          <cell r="B1647">
            <v>1484</v>
          </cell>
          <cell r="C1647" t="str">
            <v>Institut Kanser Negara</v>
          </cell>
          <cell r="D1647" t="str">
            <v>KKM/IKN/H/13/5302</v>
          </cell>
          <cell r="E1647" t="str">
            <v>10-263</v>
          </cell>
          <cell r="F1647" t="str">
            <v>Balances, Electronic</v>
          </cell>
          <cell r="G1647" t="str">
            <v>PF</v>
          </cell>
          <cell r="H1647" t="str">
            <v>IN-PATIENT PHARMACY</v>
          </cell>
          <cell r="I1647" t="str">
            <v>05PF112</v>
          </cell>
          <cell r="J1647" t="str">
            <v>INTERNAL PREP</v>
          </cell>
          <cell r="K1647" t="str">
            <v>BMED</v>
          </cell>
          <cell r="L1647" t="str">
            <v>Normal</v>
          </cell>
          <cell r="M1647" t="str">
            <v>Germany</v>
          </cell>
          <cell r="N1647" t="str">
            <v>Sartorius</v>
          </cell>
          <cell r="O1647" t="str">
            <v>Sartorius TE412</v>
          </cell>
          <cell r="P1647" t="str">
            <v>28103584</v>
          </cell>
          <cell r="Q1647" t="str">
            <v>Not Applicable</v>
          </cell>
          <cell r="R1647" t="str">
            <v>Sartorius AG</v>
          </cell>
          <cell r="S1647" t="str">
            <v>Chemopharm Sdn. Bhd.</v>
          </cell>
          <cell r="T1647" t="str">
            <v>Functioning</v>
          </cell>
          <cell r="U1647" t="str">
            <v>Asset</v>
          </cell>
          <cell r="V1647">
            <v>5490</v>
          </cell>
          <cell r="W1647" t="str">
            <v>KEW</v>
          </cell>
          <cell r="X1647" t="str">
            <v>01/09/2010</v>
          </cell>
          <cell r="Y1647" t="str">
            <v>KEW</v>
          </cell>
          <cell r="Z1647" t="str">
            <v>16/08/2013</v>
          </cell>
          <cell r="AA1647" t="str">
            <v>15/08/2015</v>
          </cell>
          <cell r="AB1647" t="str">
            <v>No</v>
          </cell>
          <cell r="AC1647" t="str">
            <v>31/08/2013</v>
          </cell>
          <cell r="AD1647" t="str">
            <v>Good</v>
          </cell>
          <cell r="AE1647" t="str">
            <v>V1 - Existing / No Claim</v>
          </cell>
          <cell r="AF1647">
            <v>42873</v>
          </cell>
          <cell r="AG1647">
            <v>9.17</v>
          </cell>
          <cell r="AH1647" t="str">
            <v>PPM</v>
          </cell>
          <cell r="AI1647" t="str">
            <v>Strands</v>
          </cell>
          <cell r="AJ1647" t="str">
            <v>Strands PW</v>
          </cell>
        </row>
        <row r="1648">
          <cell r="A1648" t="str">
            <v>IKN401546</v>
          </cell>
          <cell r="B1648">
            <v>1485</v>
          </cell>
          <cell r="C1648" t="str">
            <v>Institut Kanser Negara</v>
          </cell>
          <cell r="D1648" t="str">
            <v>KKM/IKN/H/13/4878</v>
          </cell>
          <cell r="E1648" t="str">
            <v>15-161</v>
          </cell>
          <cell r="F1648" t="str">
            <v>Mixers, Clinical Laboratory</v>
          </cell>
          <cell r="G1648" t="str">
            <v>PF</v>
          </cell>
          <cell r="H1648" t="str">
            <v>IN-PATIENT PHARMACY</v>
          </cell>
          <cell r="I1648" t="str">
            <v>05PF114</v>
          </cell>
          <cell r="J1648" t="str">
            <v>CDR ROOM 1</v>
          </cell>
          <cell r="K1648" t="str">
            <v>BMED</v>
          </cell>
          <cell r="L1648" t="str">
            <v>Normal</v>
          </cell>
          <cell r="M1648" t="str">
            <v>Malaysia</v>
          </cell>
          <cell r="N1648" t="str">
            <v>ASASI</v>
          </cell>
          <cell r="O1648" t="str">
            <v>LRM-30</v>
          </cell>
          <cell r="P1648" t="str">
            <v>LRM3020117/1212</v>
          </cell>
          <cell r="Q1648" t="str">
            <v>Not Applicable</v>
          </cell>
          <cell r="R1648" t="str">
            <v>ASASI</v>
          </cell>
          <cell r="S1648" t="str">
            <v>Tech-Lab Scientific Sdn Bhd</v>
          </cell>
          <cell r="T1648" t="str">
            <v>Functioning</v>
          </cell>
          <cell r="U1648" t="str">
            <v>Asset</v>
          </cell>
          <cell r="V1648">
            <v>9500</v>
          </cell>
          <cell r="W1648" t="str">
            <v>KEW</v>
          </cell>
          <cell r="X1648" t="str">
            <v>01/09/2010</v>
          </cell>
          <cell r="Y1648" t="str">
            <v>KEW</v>
          </cell>
          <cell r="Z1648" t="str">
            <v>16/08/2013</v>
          </cell>
          <cell r="AA1648" t="str">
            <v>15/08/2015</v>
          </cell>
          <cell r="AB1648" t="str">
            <v>No</v>
          </cell>
          <cell r="AC1648" t="str">
            <v>31/08/2013</v>
          </cell>
          <cell r="AD1648" t="str">
            <v>Good</v>
          </cell>
          <cell r="AE1648" t="str">
            <v>V1 - Existing / No Claim</v>
          </cell>
          <cell r="AF1648">
            <v>42873</v>
          </cell>
          <cell r="AG1648">
            <v>9.17</v>
          </cell>
          <cell r="AH1648" t="str">
            <v>PPM</v>
          </cell>
          <cell r="AI1648" t="str">
            <v>Strands</v>
          </cell>
          <cell r="AJ1648" t="str">
            <v>Strands PW</v>
          </cell>
        </row>
        <row r="1649">
          <cell r="A1649" t="str">
            <v>IKN401547</v>
          </cell>
          <cell r="B1649">
            <v>1486</v>
          </cell>
          <cell r="C1649" t="str">
            <v>Institut Kanser Negara</v>
          </cell>
          <cell r="D1649" t="str">
            <v>KKM/IKN/H/13/4879</v>
          </cell>
          <cell r="E1649" t="str">
            <v>15-161</v>
          </cell>
          <cell r="F1649" t="str">
            <v>Mixers, Clinical Laboratory</v>
          </cell>
          <cell r="G1649" t="str">
            <v>PF</v>
          </cell>
          <cell r="H1649" t="str">
            <v>IN-PATIENT PHARMACY</v>
          </cell>
          <cell r="I1649" t="str">
            <v>05PF119</v>
          </cell>
          <cell r="J1649" t="str">
            <v>CDR ROOM 2</v>
          </cell>
          <cell r="K1649" t="str">
            <v>BMED</v>
          </cell>
          <cell r="L1649" t="str">
            <v>Normal</v>
          </cell>
          <cell r="M1649" t="str">
            <v>Malaysia</v>
          </cell>
          <cell r="N1649" t="str">
            <v>ASASI</v>
          </cell>
          <cell r="O1649" t="str">
            <v>LRM-30</v>
          </cell>
          <cell r="P1649" t="str">
            <v>LRM3020116/1212</v>
          </cell>
          <cell r="Q1649" t="str">
            <v>Not Applicable</v>
          </cell>
          <cell r="R1649" t="str">
            <v>ASASI</v>
          </cell>
          <cell r="S1649" t="str">
            <v>Tech-Lab Scientific Sdn Bhd</v>
          </cell>
          <cell r="T1649" t="str">
            <v>Functioning</v>
          </cell>
          <cell r="U1649" t="str">
            <v>Asset</v>
          </cell>
          <cell r="V1649">
            <v>9500</v>
          </cell>
          <cell r="W1649" t="str">
            <v>KEW</v>
          </cell>
          <cell r="X1649" t="str">
            <v>01/09/2010</v>
          </cell>
          <cell r="Y1649" t="str">
            <v>KEW</v>
          </cell>
          <cell r="Z1649" t="str">
            <v>16/08/2013</v>
          </cell>
          <cell r="AA1649" t="str">
            <v>15/08/2015</v>
          </cell>
          <cell r="AB1649" t="str">
            <v>No</v>
          </cell>
          <cell r="AC1649" t="str">
            <v>31/08/2013</v>
          </cell>
          <cell r="AD1649" t="str">
            <v>Good</v>
          </cell>
          <cell r="AE1649" t="str">
            <v>V1 - Existing / No Claim</v>
          </cell>
          <cell r="AF1649">
            <v>42873</v>
          </cell>
          <cell r="AG1649">
            <v>9.17</v>
          </cell>
          <cell r="AH1649" t="str">
            <v>PPM</v>
          </cell>
          <cell r="AI1649" t="str">
            <v>Strands</v>
          </cell>
          <cell r="AJ1649" t="str">
            <v>Strands PW</v>
          </cell>
        </row>
        <row r="1650">
          <cell r="A1650" t="str">
            <v>IKN401581</v>
          </cell>
          <cell r="B1650">
            <v>1520</v>
          </cell>
          <cell r="C1650" t="str">
            <v>Institut Kanser Negara</v>
          </cell>
          <cell r="D1650" t="str">
            <v>KKM/IKN/H/13/714</v>
          </cell>
          <cell r="E1650" t="str">
            <v>10-263</v>
          </cell>
          <cell r="F1650" t="str">
            <v>Balances, Electronic</v>
          </cell>
          <cell r="G1650" t="str">
            <v>KT</v>
          </cell>
          <cell r="H1650" t="str">
            <v>CATERING</v>
          </cell>
          <cell r="I1650" t="str">
            <v>01KT101</v>
          </cell>
          <cell r="J1650" t="str">
            <v>RECEIVING</v>
          </cell>
          <cell r="K1650" t="str">
            <v>BMED</v>
          </cell>
          <cell r="L1650" t="str">
            <v>Normal</v>
          </cell>
          <cell r="M1650" t="str">
            <v>Malaysia</v>
          </cell>
          <cell r="N1650" t="str">
            <v>Avery</v>
          </cell>
          <cell r="O1650" t="str">
            <v>Avery E-302</v>
          </cell>
          <cell r="P1650" t="str">
            <v>A11315275</v>
          </cell>
          <cell r="Q1650" t="str">
            <v>Not Applicable</v>
          </cell>
          <cell r="R1650" t="str">
            <v>Avery Weight-Tronix</v>
          </cell>
          <cell r="S1650" t="str">
            <v>SOMERCO JAYA SDN BHD</v>
          </cell>
          <cell r="T1650" t="str">
            <v>Functioning</v>
          </cell>
          <cell r="U1650" t="str">
            <v>Asset</v>
          </cell>
          <cell r="V1650">
            <v>3380</v>
          </cell>
          <cell r="W1650" t="str">
            <v>KEW</v>
          </cell>
          <cell r="X1650" t="str">
            <v>30/08/2013</v>
          </cell>
          <cell r="Y1650" t="str">
            <v>KEW</v>
          </cell>
          <cell r="Z1650" t="str">
            <v>30/08/2013</v>
          </cell>
          <cell r="AA1650" t="str">
            <v>30/08/2015</v>
          </cell>
          <cell r="AB1650" t="str">
            <v>No</v>
          </cell>
          <cell r="AC1650" t="str">
            <v>30/08/2013</v>
          </cell>
          <cell r="AD1650" t="str">
            <v>Good</v>
          </cell>
          <cell r="AE1650" t="str">
            <v>V1 - Existing / No Claim</v>
          </cell>
          <cell r="AF1650">
            <v>42935</v>
          </cell>
          <cell r="AG1650">
            <v>6.25</v>
          </cell>
          <cell r="AH1650" t="str">
            <v>PPM</v>
          </cell>
          <cell r="AI1650" t="str">
            <v>Strands</v>
          </cell>
          <cell r="AJ1650" t="str">
            <v>Strands PW</v>
          </cell>
        </row>
        <row r="1651">
          <cell r="A1651" t="str">
            <v>IKN401630</v>
          </cell>
          <cell r="B1651">
            <v>1564</v>
          </cell>
          <cell r="C1651" t="str">
            <v>Institut Kanser Negara</v>
          </cell>
          <cell r="D1651" t="str">
            <v>KKM/IKN/H/13/4875</v>
          </cell>
          <cell r="E1651" t="str">
            <v>15-161</v>
          </cell>
          <cell r="F1651" t="str">
            <v>Mixers, Clinical Laboratory</v>
          </cell>
          <cell r="G1651" t="str">
            <v>PF</v>
          </cell>
          <cell r="H1651" t="str">
            <v>IN-PATIENT PHARMACY</v>
          </cell>
          <cell r="I1651" t="str">
            <v>05PF110</v>
          </cell>
          <cell r="J1651" t="str">
            <v>EXTERNAL PREP</v>
          </cell>
          <cell r="K1651" t="str">
            <v>BMED</v>
          </cell>
          <cell r="L1651" t="str">
            <v>Normal</v>
          </cell>
          <cell r="M1651" t="str">
            <v>Taiwan</v>
          </cell>
          <cell r="N1651" t="str">
            <v>Spar Mixer</v>
          </cell>
          <cell r="O1651" t="str">
            <v>800-C</v>
          </cell>
          <cell r="P1651" t="str">
            <v>121225N-8</v>
          </cell>
          <cell r="Q1651" t="str">
            <v>Not Applicable</v>
          </cell>
          <cell r="R1651" t="str">
            <v>SPARFOOD MACHINERY MFG. CO. LTD</v>
          </cell>
          <cell r="S1651" t="str">
            <v>Bumi Sains Sdn. Bhd</v>
          </cell>
          <cell r="T1651" t="str">
            <v>Functioning</v>
          </cell>
          <cell r="U1651" t="str">
            <v>Asset</v>
          </cell>
          <cell r="V1651">
            <v>5520</v>
          </cell>
          <cell r="W1651" t="str">
            <v>KEW</v>
          </cell>
          <cell r="X1651" t="str">
            <v>30/08/2013</v>
          </cell>
          <cell r="Y1651" t="str">
            <v>KEW</v>
          </cell>
          <cell r="Z1651" t="str">
            <v>30/08/2013</v>
          </cell>
          <cell r="AA1651" t="str">
            <v>30/08/2015</v>
          </cell>
          <cell r="AB1651" t="str">
            <v>No</v>
          </cell>
          <cell r="AC1651" t="str">
            <v>30/08/2013</v>
          </cell>
          <cell r="AD1651" t="str">
            <v>Good</v>
          </cell>
          <cell r="AE1651" t="str">
            <v>V10 - Asset in initial fee submission(new/replacement hosp)</v>
          </cell>
          <cell r="AF1651">
            <v>43013</v>
          </cell>
          <cell r="AG1651">
            <v>6.25</v>
          </cell>
          <cell r="AH1651" t="str">
            <v>PPM</v>
          </cell>
          <cell r="AI1651" t="str">
            <v>Strands</v>
          </cell>
          <cell r="AJ1651" t="str">
            <v>Strands PW</v>
          </cell>
        </row>
        <row r="1652">
          <cell r="A1652" t="str">
            <v>IKN401631</v>
          </cell>
          <cell r="B1652">
            <v>1565</v>
          </cell>
          <cell r="C1652" t="str">
            <v>Institut Kanser Negara</v>
          </cell>
          <cell r="D1652" t="str">
            <v>KKM/IKN/H/13/5300</v>
          </cell>
          <cell r="E1652" t="str">
            <v>16-262</v>
          </cell>
          <cell r="F1652" t="str">
            <v>Smoke evacuation systems, surgical</v>
          </cell>
          <cell r="G1652" t="str">
            <v>PF</v>
          </cell>
          <cell r="H1652" t="str">
            <v>IN-PATIENT PHARMACY</v>
          </cell>
          <cell r="I1652" t="str">
            <v>05PF110</v>
          </cell>
          <cell r="J1652" t="str">
            <v>EXTERNAL PREP</v>
          </cell>
          <cell r="K1652" t="str">
            <v>BMED</v>
          </cell>
          <cell r="L1652" t="str">
            <v>Normal</v>
          </cell>
          <cell r="M1652" t="str">
            <v>Canada</v>
          </cell>
          <cell r="N1652" t="str">
            <v>Enviroflex</v>
          </cell>
          <cell r="O1652" t="str">
            <v>ESE 202A-220</v>
          </cell>
          <cell r="P1652" t="str">
            <v>030613-97</v>
          </cell>
          <cell r="Q1652" t="str">
            <v>Not Applicable</v>
          </cell>
          <cell r="R1652" t="str">
            <v>ENVIROFLEX INTERNATIONAL INC</v>
          </cell>
          <cell r="S1652" t="str">
            <v>FISHER SCIENTIFIC (M) SDN. BHD.</v>
          </cell>
          <cell r="T1652" t="str">
            <v>Functioning</v>
          </cell>
          <cell r="U1652" t="str">
            <v>Asset</v>
          </cell>
          <cell r="V1652">
            <v>1450</v>
          </cell>
          <cell r="W1652" t="str">
            <v>KEW</v>
          </cell>
          <cell r="X1652" t="str">
            <v>30/08/2013</v>
          </cell>
          <cell r="Y1652" t="str">
            <v>KEW</v>
          </cell>
          <cell r="Z1652" t="str">
            <v>30/08/2013</v>
          </cell>
          <cell r="AA1652" t="str">
            <v>30/08/2015</v>
          </cell>
          <cell r="AB1652" t="str">
            <v>No</v>
          </cell>
          <cell r="AC1652" t="str">
            <v>30/08/2013</v>
          </cell>
          <cell r="AD1652" t="str">
            <v>Good</v>
          </cell>
          <cell r="AE1652" t="str">
            <v>V3 - Added Installed Facilities (New)</v>
          </cell>
          <cell r="AF1652">
            <v>43013</v>
          </cell>
          <cell r="AG1652">
            <v>6.25</v>
          </cell>
          <cell r="AH1652" t="str">
            <v>PPM</v>
          </cell>
          <cell r="AI1652" t="str">
            <v>Strands</v>
          </cell>
          <cell r="AJ1652" t="str">
            <v>Strands PW</v>
          </cell>
          <cell r="AK1652" t="str">
            <v>SNF received. 1st batch of V3 asset (December 2020)</v>
          </cell>
        </row>
        <row r="1653">
          <cell r="A1653" t="str">
            <v>IKN401632</v>
          </cell>
          <cell r="B1653">
            <v>1566</v>
          </cell>
          <cell r="C1653" t="str">
            <v>Institut Kanser Negara</v>
          </cell>
          <cell r="D1653" t="str">
            <v>KKM/IKN/H/13/5301</v>
          </cell>
          <cell r="E1653" t="str">
            <v>16-262</v>
          </cell>
          <cell r="F1653" t="str">
            <v>Smoke evacuation systems, surgical</v>
          </cell>
          <cell r="G1653" t="str">
            <v>PF</v>
          </cell>
          <cell r="H1653" t="str">
            <v>IN-PATIENT PHARMACY</v>
          </cell>
          <cell r="I1653" t="str">
            <v>05PF112</v>
          </cell>
          <cell r="J1653" t="str">
            <v>INTERNAL PREP</v>
          </cell>
          <cell r="K1653" t="str">
            <v>BMED</v>
          </cell>
          <cell r="L1653" t="str">
            <v>Normal</v>
          </cell>
          <cell r="M1653" t="str">
            <v>Canada</v>
          </cell>
          <cell r="N1653" t="str">
            <v>Enviroflex</v>
          </cell>
          <cell r="O1653" t="str">
            <v>ESE 202A-220</v>
          </cell>
          <cell r="P1653" t="str">
            <v>030613-98</v>
          </cell>
          <cell r="Q1653" t="str">
            <v>Not Applicable</v>
          </cell>
          <cell r="R1653" t="str">
            <v>ENVIROFLEX INTERNATIONAL INC</v>
          </cell>
          <cell r="S1653" t="str">
            <v>FISHER SCIENTIFIC (M) SDN. BHD.</v>
          </cell>
          <cell r="T1653" t="str">
            <v>Functioning</v>
          </cell>
          <cell r="U1653" t="str">
            <v>Asset</v>
          </cell>
          <cell r="V1653">
            <v>1450</v>
          </cell>
          <cell r="W1653" t="str">
            <v>KEW</v>
          </cell>
          <cell r="X1653" t="str">
            <v>30/08/2013</v>
          </cell>
          <cell r="Y1653" t="str">
            <v>KEW</v>
          </cell>
          <cell r="Z1653" t="str">
            <v>30/08/2013</v>
          </cell>
          <cell r="AA1653" t="str">
            <v>30/08/2015</v>
          </cell>
          <cell r="AB1653" t="str">
            <v>No</v>
          </cell>
          <cell r="AC1653" t="str">
            <v>30/08/2013</v>
          </cell>
          <cell r="AD1653" t="str">
            <v>Good</v>
          </cell>
          <cell r="AE1653" t="str">
            <v>V3 - Added Installed Facilities (New)</v>
          </cell>
          <cell r="AF1653">
            <v>43013</v>
          </cell>
          <cell r="AG1653">
            <v>6.25</v>
          </cell>
          <cell r="AH1653" t="str">
            <v>PPM</v>
          </cell>
          <cell r="AI1653" t="str">
            <v>Strands</v>
          </cell>
          <cell r="AJ1653" t="str">
            <v>Strands PW</v>
          </cell>
          <cell r="AK1653" t="str">
            <v>SNF received. 1st batch of V3 asset (December 2020)</v>
          </cell>
        </row>
        <row r="1654">
          <cell r="A1654" t="str">
            <v>IKN401656</v>
          </cell>
          <cell r="B1654">
            <v>1586</v>
          </cell>
          <cell r="C1654" t="str">
            <v>Institut Kanser Negara</v>
          </cell>
          <cell r="D1654" t="str">
            <v>KKM/IKN/H/14/82</v>
          </cell>
          <cell r="E1654" t="str">
            <v>10-263</v>
          </cell>
          <cell r="F1654" t="str">
            <v>Balances, Electronic</v>
          </cell>
          <cell r="G1654" t="str">
            <v>OT</v>
          </cell>
          <cell r="H1654" t="str">
            <v>OPERATING THEATRE</v>
          </cell>
          <cell r="I1654" t="str">
            <v>05OT120</v>
          </cell>
          <cell r="J1654" t="str">
            <v>OT 2</v>
          </cell>
          <cell r="K1654" t="str">
            <v>BMED</v>
          </cell>
          <cell r="L1654" t="str">
            <v>Normal</v>
          </cell>
          <cell r="M1654" t="str">
            <v>China</v>
          </cell>
          <cell r="N1654" t="str">
            <v>Avanue</v>
          </cell>
          <cell r="O1654" t="str">
            <v>GF-24-1200A</v>
          </cell>
          <cell r="P1654" t="str">
            <v>GR14050010</v>
          </cell>
          <cell r="Q1654" t="str">
            <v>Not Applicable</v>
          </cell>
          <cell r="R1654" t="str">
            <v>KAYING POWER SUPPLY &amp; ELECTRICAL</v>
          </cell>
          <cell r="S1654" t="str">
            <v>MNB RESOURCES</v>
          </cell>
          <cell r="T1654" t="str">
            <v>Functioning</v>
          </cell>
          <cell r="U1654" t="str">
            <v>Asset</v>
          </cell>
          <cell r="V1654">
            <v>1500</v>
          </cell>
          <cell r="W1654" t="str">
            <v>KEW</v>
          </cell>
          <cell r="X1654" t="str">
            <v>25/09/2014</v>
          </cell>
          <cell r="Y1654" t="str">
            <v>KEW</v>
          </cell>
          <cell r="Z1654" t="str">
            <v>25/09/2014</v>
          </cell>
          <cell r="AA1654" t="str">
            <v>25/09/2015</v>
          </cell>
          <cell r="AB1654" t="str">
            <v>No</v>
          </cell>
          <cell r="AC1654" t="str">
            <v>25/09/2014</v>
          </cell>
          <cell r="AD1654" t="str">
            <v>Good</v>
          </cell>
          <cell r="AE1654" t="str">
            <v>V3 - Added Installed Facilities (New)</v>
          </cell>
          <cell r="AF1654">
            <v>43405</v>
          </cell>
          <cell r="AG1654">
            <v>5.17</v>
          </cell>
          <cell r="AH1654" t="str">
            <v>PPM</v>
          </cell>
          <cell r="AI1654" t="str">
            <v>Strands</v>
          </cell>
          <cell r="AJ1654" t="str">
            <v>Strands PW</v>
          </cell>
          <cell r="AK1654" t="str">
            <v>SNF received. 1st batch of V3 asset (December 2020)</v>
          </cell>
        </row>
        <row r="1655">
          <cell r="A1655" t="str">
            <v>IKN401687</v>
          </cell>
          <cell r="B1655">
            <v>1611</v>
          </cell>
          <cell r="C1655" t="str">
            <v>Institut Kanser Negara</v>
          </cell>
          <cell r="D1655" t="e">
            <v>#N/A</v>
          </cell>
          <cell r="E1655" t="str">
            <v>15-605</v>
          </cell>
          <cell r="F1655" t="str">
            <v>Testers</v>
          </cell>
          <cell r="G1655" t="str">
            <v>RT</v>
          </cell>
          <cell r="H1655" t="str">
            <v>RADIATION TREATMENT UNIT</v>
          </cell>
          <cell r="I1655" t="str">
            <v>01RT213</v>
          </cell>
          <cell r="J1655" t="str">
            <v>EQUIPMENT ROOM1</v>
          </cell>
          <cell r="K1655" t="str">
            <v>BMED</v>
          </cell>
          <cell r="L1655" t="str">
            <v>Normal</v>
          </cell>
          <cell r="M1655" t="str">
            <v>Germany</v>
          </cell>
          <cell r="N1655" t="str">
            <v>TR300</v>
          </cell>
          <cell r="O1655" t="str">
            <v>TR300</v>
          </cell>
          <cell r="P1655" t="str">
            <v>12060008</v>
          </cell>
          <cell r="Q1655" t="str">
            <v>Not Applicable</v>
          </cell>
          <cell r="R1655" t="str">
            <v>AMPROBE</v>
          </cell>
          <cell r="S1655" t="str">
            <v>DELTA SCIENTIFIC</v>
          </cell>
          <cell r="T1655" t="str">
            <v>Functioning</v>
          </cell>
          <cell r="U1655" t="str">
            <v>Asset</v>
          </cell>
          <cell r="V1655">
            <v>1000</v>
          </cell>
          <cell r="W1655" t="str">
            <v>KEW</v>
          </cell>
          <cell r="X1655" t="str">
            <v>01/09/2010</v>
          </cell>
          <cell r="Y1655" t="str">
            <v>KEW</v>
          </cell>
          <cell r="Z1655" t="str">
            <v>16/08/2013</v>
          </cell>
          <cell r="AA1655" t="str">
            <v>15/08/2015</v>
          </cell>
          <cell r="AB1655" t="str">
            <v>No</v>
          </cell>
          <cell r="AC1655" t="str">
            <v>16/08/2013</v>
          </cell>
          <cell r="AD1655" t="str">
            <v>Good</v>
          </cell>
          <cell r="AE1655" t="str">
            <v>V10 - Asset in initial fee submission(new/replacement hosp)</v>
          </cell>
          <cell r="AF1655">
            <v>43063</v>
          </cell>
          <cell r="AG1655">
            <v>9.17</v>
          </cell>
          <cell r="AH1655" t="str">
            <v>PPM</v>
          </cell>
          <cell r="AI1655" t="str">
            <v>package</v>
          </cell>
        </row>
        <row r="1656">
          <cell r="A1656" t="str">
            <v>IKN401689</v>
          </cell>
          <cell r="B1656">
            <v>1612</v>
          </cell>
          <cell r="C1656" t="str">
            <v>Institut Kanser Negara</v>
          </cell>
          <cell r="D1656" t="str">
            <v>KKM/IKN/H/13/3212</v>
          </cell>
          <cell r="E1656" t="str">
            <v>15-605</v>
          </cell>
          <cell r="F1656" t="str">
            <v>Testers</v>
          </cell>
          <cell r="G1656" t="str">
            <v>RT</v>
          </cell>
          <cell r="H1656" t="str">
            <v>RADIATION TREATMENT UNIT</v>
          </cell>
          <cell r="I1656" t="str">
            <v>01RT213</v>
          </cell>
          <cell r="J1656" t="str">
            <v>EQUIPMENT ROOM1</v>
          </cell>
          <cell r="K1656" t="str">
            <v>BMED</v>
          </cell>
          <cell r="L1656" t="str">
            <v>Normal</v>
          </cell>
          <cell r="M1656" t="str">
            <v>USA</v>
          </cell>
          <cell r="N1656" t="str">
            <v>SUPERMAX</v>
          </cell>
          <cell r="O1656" t="str">
            <v>SUPERMAX</v>
          </cell>
          <cell r="P1656" t="str">
            <v>P123102</v>
          </cell>
          <cell r="Q1656" t="str">
            <v>Not Applicable</v>
          </cell>
          <cell r="R1656" t="str">
            <v>STANDARD IMAGING</v>
          </cell>
          <cell r="S1656" t="str">
            <v>DELTA ADVANTECH (M) SDN. BHD.</v>
          </cell>
          <cell r="T1656" t="str">
            <v>Functioning</v>
          </cell>
          <cell r="U1656" t="str">
            <v>Asset</v>
          </cell>
          <cell r="V1656">
            <v>48000</v>
          </cell>
          <cell r="W1656" t="str">
            <v>KEW</v>
          </cell>
          <cell r="X1656" t="str">
            <v>01/09/2010</v>
          </cell>
          <cell r="Y1656" t="str">
            <v>KEW</v>
          </cell>
          <cell r="Z1656" t="str">
            <v>16/08/2013</v>
          </cell>
          <cell r="AA1656" t="str">
            <v>15/08/2015</v>
          </cell>
          <cell r="AB1656" t="str">
            <v>No</v>
          </cell>
          <cell r="AC1656" t="str">
            <v>16/08/2013</v>
          </cell>
          <cell r="AD1656" t="str">
            <v>Good</v>
          </cell>
          <cell r="AE1656" t="str">
            <v>V10 - Asset in initial fee submission(new/replacement hosp)</v>
          </cell>
          <cell r="AF1656">
            <v>43109</v>
          </cell>
          <cell r="AG1656">
            <v>9.17</v>
          </cell>
          <cell r="AH1656" t="str">
            <v>PPM</v>
          </cell>
          <cell r="AI1656" t="str">
            <v>package</v>
          </cell>
          <cell r="AJ1656" t="str">
            <v>Strands Package</v>
          </cell>
          <cell r="AK1656" t="str">
            <v>KEWPA WITH IKN401215. Package Code XL0110.</v>
          </cell>
        </row>
        <row r="1657">
          <cell r="A1657" t="str">
            <v>IKN401690</v>
          </cell>
          <cell r="B1657">
            <v>1613</v>
          </cell>
          <cell r="C1657" t="str">
            <v>Institut Kanser Negara</v>
          </cell>
          <cell r="D1657" t="str">
            <v>KKM/IKN/H/13/4952</v>
          </cell>
          <cell r="E1657" t="str">
            <v>15-605</v>
          </cell>
          <cell r="F1657" t="str">
            <v>Testers</v>
          </cell>
          <cell r="G1657" t="str">
            <v>RT</v>
          </cell>
          <cell r="H1657" t="str">
            <v>RADIATION TREATMENT UNIT</v>
          </cell>
          <cell r="I1657" t="str">
            <v>01RT213</v>
          </cell>
          <cell r="J1657" t="str">
            <v>EQUIPMENT ROOM1</v>
          </cell>
          <cell r="K1657" t="str">
            <v>BMED</v>
          </cell>
          <cell r="L1657" t="str">
            <v>Normal</v>
          </cell>
          <cell r="M1657" t="str">
            <v>USA</v>
          </cell>
          <cell r="N1657" t="str">
            <v>SUPERMAX</v>
          </cell>
          <cell r="O1657" t="str">
            <v>SUPERMAX</v>
          </cell>
          <cell r="P1657" t="str">
            <v>P123101</v>
          </cell>
          <cell r="Q1657" t="str">
            <v>Not Applicable</v>
          </cell>
          <cell r="R1657" t="str">
            <v>STANDARD IMAGING</v>
          </cell>
          <cell r="S1657" t="str">
            <v>DELTA ADVANTECH (M) SDN. BHD.</v>
          </cell>
          <cell r="T1657" t="str">
            <v>Functioning</v>
          </cell>
          <cell r="U1657" t="str">
            <v>Asset</v>
          </cell>
          <cell r="V1657">
            <v>48000</v>
          </cell>
          <cell r="W1657" t="str">
            <v>KEW</v>
          </cell>
          <cell r="X1657" t="str">
            <v>01/09/2010</v>
          </cell>
          <cell r="Y1657" t="str">
            <v>KEW</v>
          </cell>
          <cell r="Z1657" t="str">
            <v>16/08/2013</v>
          </cell>
          <cell r="AA1657" t="str">
            <v>15/08/2015</v>
          </cell>
          <cell r="AB1657" t="str">
            <v>No</v>
          </cell>
          <cell r="AC1657" t="str">
            <v>16/08/2013</v>
          </cell>
          <cell r="AD1657" t="str">
            <v>Good</v>
          </cell>
          <cell r="AE1657" t="str">
            <v>V3 - Added Installed Facilities (New)</v>
          </cell>
          <cell r="AF1657">
            <v>43109</v>
          </cell>
          <cell r="AG1657">
            <v>9.17</v>
          </cell>
          <cell r="AH1657" t="str">
            <v>PPM</v>
          </cell>
          <cell r="AI1657" t="str">
            <v>Strands</v>
          </cell>
          <cell r="AJ1657" t="str">
            <v>Strands PW</v>
          </cell>
          <cell r="AK1657" t="str">
            <v>SNF received. 1st batch of V3 asset (December 2020)</v>
          </cell>
        </row>
        <row r="1658">
          <cell r="A1658" t="str">
            <v>IKN401691</v>
          </cell>
          <cell r="B1658">
            <v>1614</v>
          </cell>
          <cell r="C1658" t="str">
            <v>Institut Kanser Negara</v>
          </cell>
          <cell r="D1658" t="str">
            <v>KKM/IKN/H/13/2865</v>
          </cell>
          <cell r="E1658" t="str">
            <v>13-461</v>
          </cell>
          <cell r="F1658" t="str">
            <v>Scales, Patient, Floor</v>
          </cell>
          <cell r="G1658" t="str">
            <v>HP</v>
          </cell>
          <cell r="H1658" t="str">
            <v>HEALTH PROMO &amp; CANCER UNIT</v>
          </cell>
          <cell r="I1658" t="str">
            <v>04HP103</v>
          </cell>
          <cell r="J1658" t="str">
            <v>COUNSELLING</v>
          </cell>
          <cell r="K1658" t="str">
            <v>BMED</v>
          </cell>
          <cell r="L1658" t="str">
            <v>Normal</v>
          </cell>
          <cell r="M1658" t="str">
            <v>Japan</v>
          </cell>
          <cell r="N1658" t="str">
            <v>Seca</v>
          </cell>
          <cell r="O1658" t="str">
            <v>Seca 769/220</v>
          </cell>
          <cell r="P1658" t="str">
            <v>5769177136669</v>
          </cell>
          <cell r="Q1658" t="str">
            <v>Not Applicable</v>
          </cell>
          <cell r="R1658" t="str">
            <v>Seca Ag</v>
          </cell>
          <cell r="S1658" t="str">
            <v>JOAT RESOURCES SDN BHD</v>
          </cell>
          <cell r="T1658" t="str">
            <v>Functioning</v>
          </cell>
          <cell r="U1658" t="str">
            <v>Asset</v>
          </cell>
          <cell r="V1658">
            <v>3300</v>
          </cell>
          <cell r="W1658" t="str">
            <v>KEW</v>
          </cell>
          <cell r="X1658" t="str">
            <v>05/12/2013</v>
          </cell>
          <cell r="Y1658" t="str">
            <v>KEW</v>
          </cell>
          <cell r="Z1658" t="str">
            <v>09/06/2014</v>
          </cell>
          <cell r="AA1658" t="str">
            <v>09/06/2015</v>
          </cell>
          <cell r="AB1658" t="str">
            <v>No</v>
          </cell>
          <cell r="AC1658" t="str">
            <v>09/06/2014</v>
          </cell>
          <cell r="AD1658" t="str">
            <v>Good</v>
          </cell>
          <cell r="AE1658" t="str">
            <v>V3 - Added Installed Facilities (New)</v>
          </cell>
          <cell r="AF1658">
            <v>43447</v>
          </cell>
          <cell r="AG1658">
            <v>5.92</v>
          </cell>
          <cell r="AH1658" t="str">
            <v>PPM</v>
          </cell>
          <cell r="AI1658" t="str">
            <v>Strands</v>
          </cell>
          <cell r="AJ1658" t="str">
            <v>Strands PW</v>
          </cell>
          <cell r="AK1658" t="str">
            <v>SNF received. 1st batch of V3 asset (December 2020). In contract, IKN401470, Location: HP.</v>
          </cell>
        </row>
        <row r="1659">
          <cell r="A1659" t="str">
            <v>IKN401692</v>
          </cell>
          <cell r="B1659">
            <v>1615</v>
          </cell>
          <cell r="C1659" t="str">
            <v>Institut Kanser Negara</v>
          </cell>
          <cell r="D1659" t="str">
            <v>KKM/IKN/H/13/4470 - 07</v>
          </cell>
          <cell r="E1659" t="str">
            <v>15-605</v>
          </cell>
          <cell r="F1659" t="str">
            <v>Testers</v>
          </cell>
          <cell r="G1659" t="str">
            <v>RT</v>
          </cell>
          <cell r="H1659" t="str">
            <v>RADIATION TREATMENT UNIT</v>
          </cell>
          <cell r="I1659" t="str">
            <v>01RT213</v>
          </cell>
          <cell r="J1659" t="str">
            <v>EQUIPMENT ROOM1</v>
          </cell>
          <cell r="K1659" t="str">
            <v>BMED</v>
          </cell>
          <cell r="L1659" t="str">
            <v>Normal</v>
          </cell>
          <cell r="M1659" t="str">
            <v>Germany</v>
          </cell>
          <cell r="N1659" t="str">
            <v>PTW</v>
          </cell>
          <cell r="O1659" t="str">
            <v>OCTAVIUS DETECTOR 729</v>
          </cell>
          <cell r="P1659" t="str">
            <v>000453</v>
          </cell>
          <cell r="Q1659" t="str">
            <v>Not Applicable</v>
          </cell>
          <cell r="R1659" t="str">
            <v>PTW</v>
          </cell>
          <cell r="S1659" t="str">
            <v>ABEX MEDICAL SYSTEM SDN BHD</v>
          </cell>
          <cell r="T1659" t="str">
            <v>Functioning</v>
          </cell>
          <cell r="U1659" t="str">
            <v>Asset</v>
          </cell>
          <cell r="V1659">
            <v>30000</v>
          </cell>
          <cell r="W1659" t="str">
            <v>KEW</v>
          </cell>
          <cell r="X1659" t="str">
            <v>01/09/2010</v>
          </cell>
          <cell r="Y1659" t="str">
            <v>KEW</v>
          </cell>
          <cell r="Z1659" t="str">
            <v>16/08/2013</v>
          </cell>
          <cell r="AA1659" t="str">
            <v>15/08/2015</v>
          </cell>
          <cell r="AB1659" t="str">
            <v>No</v>
          </cell>
          <cell r="AC1659" t="str">
            <v>16/08/2013</v>
          </cell>
          <cell r="AD1659" t="str">
            <v>Good</v>
          </cell>
          <cell r="AE1659" t="str">
            <v>V10 - Asset in initial fee submission(new/replacement hosp)</v>
          </cell>
          <cell r="AF1659">
            <v>43195</v>
          </cell>
          <cell r="AG1659">
            <v>9.17</v>
          </cell>
          <cell r="AH1659" t="str">
            <v>PPM</v>
          </cell>
          <cell r="AI1659" t="str">
            <v>package</v>
          </cell>
          <cell r="AJ1659" t="str">
            <v>Strands Package</v>
          </cell>
          <cell r="AK1659" t="str">
            <v>Package XM0002. [31/5/2024, SHARIFAH]: UPDATE BRAND &amp; MODEL</v>
          </cell>
        </row>
        <row r="1660">
          <cell r="A1660" t="str">
            <v>IKN401693</v>
          </cell>
          <cell r="B1660">
            <v>1616</v>
          </cell>
          <cell r="C1660" t="str">
            <v>Institut Kanser Negara</v>
          </cell>
          <cell r="D1660" t="str">
            <v>KKM/IKN/H/13/4471 - 05</v>
          </cell>
          <cell r="E1660" t="str">
            <v>15-605</v>
          </cell>
          <cell r="F1660" t="str">
            <v>Testers</v>
          </cell>
          <cell r="G1660" t="str">
            <v>RT</v>
          </cell>
          <cell r="H1660" t="str">
            <v>RADIATION TREATMENT UNIT</v>
          </cell>
          <cell r="I1660" t="str">
            <v>01RT213</v>
          </cell>
          <cell r="J1660" t="str">
            <v>EQUIPMENT ROOM1</v>
          </cell>
          <cell r="K1660" t="str">
            <v>BMED</v>
          </cell>
          <cell r="L1660" t="str">
            <v>Normal</v>
          </cell>
          <cell r="M1660" t="str">
            <v>Germany</v>
          </cell>
          <cell r="N1660" t="str">
            <v>PTW</v>
          </cell>
          <cell r="O1660" t="str">
            <v>OCTAVIUS DETECTOR 729</v>
          </cell>
          <cell r="P1660" t="str">
            <v>000454</v>
          </cell>
          <cell r="Q1660" t="str">
            <v>Not Applicable</v>
          </cell>
          <cell r="R1660" t="str">
            <v>PTW</v>
          </cell>
          <cell r="S1660" t="str">
            <v>ABEX MEDICAL SYSTEM SDN BHD</v>
          </cell>
          <cell r="T1660" t="str">
            <v>Functioning</v>
          </cell>
          <cell r="U1660" t="str">
            <v>Asset</v>
          </cell>
          <cell r="V1660">
            <v>30000</v>
          </cell>
          <cell r="W1660" t="str">
            <v>KEW</v>
          </cell>
          <cell r="X1660" t="str">
            <v>01/09/2010</v>
          </cell>
          <cell r="Y1660" t="str">
            <v>KEW</v>
          </cell>
          <cell r="Z1660" t="str">
            <v>16/08/2013</v>
          </cell>
          <cell r="AA1660" t="str">
            <v>15/08/2015</v>
          </cell>
          <cell r="AB1660" t="str">
            <v>No</v>
          </cell>
          <cell r="AC1660" t="str">
            <v>31/08/2013</v>
          </cell>
          <cell r="AD1660" t="str">
            <v>Good</v>
          </cell>
          <cell r="AE1660" t="str">
            <v>V10 - Asset in initial fee submission(new/replacement hosp)</v>
          </cell>
          <cell r="AF1660">
            <v>43195</v>
          </cell>
          <cell r="AG1660">
            <v>9.17</v>
          </cell>
          <cell r="AH1660" t="str">
            <v>PPM</v>
          </cell>
          <cell r="AI1660" t="str">
            <v>package</v>
          </cell>
          <cell r="AJ1660" t="str">
            <v>Strands Package</v>
          </cell>
          <cell r="AK1660" t="str">
            <v>Package XM0002. [31/5/2024, SHARIFAH]: UPDATE BRAND &amp; MODEL</v>
          </cell>
        </row>
        <row r="1661">
          <cell r="A1661" t="str">
            <v>IKN401694</v>
          </cell>
          <cell r="B1661">
            <v>1617</v>
          </cell>
          <cell r="C1661" t="str">
            <v>Institut Kanser Negara</v>
          </cell>
          <cell r="D1661" t="str">
            <v>KKM/IKN/H/13/5296</v>
          </cell>
          <cell r="E1661" t="str">
            <v>16-340</v>
          </cell>
          <cell r="F1661" t="str">
            <v>Cast Cutters, Electric</v>
          </cell>
          <cell r="G1661" t="str">
            <v>RT</v>
          </cell>
          <cell r="H1661" t="str">
            <v>RADIATION TREATMENT UNIT</v>
          </cell>
          <cell r="I1661" t="str">
            <v>01RT193</v>
          </cell>
          <cell r="J1661" t="str">
            <v>MOULD ROOM 1</v>
          </cell>
          <cell r="K1661" t="str">
            <v>BMED</v>
          </cell>
          <cell r="L1661" t="str">
            <v>Normal</v>
          </cell>
          <cell r="M1661" t="str">
            <v>GERMANY</v>
          </cell>
          <cell r="N1661" t="str">
            <v>HEK-A2D</v>
          </cell>
          <cell r="O1661" t="str">
            <v>HEKA2D</v>
          </cell>
          <cell r="P1661" t="str">
            <v>200027</v>
          </cell>
          <cell r="Q1661" t="str">
            <v>Not Applicable</v>
          </cell>
          <cell r="R1661" t="str">
            <v>HEKMEDIKAL</v>
          </cell>
          <cell r="S1661" t="str">
            <v>DELTA ADVANTECH (M) SDN. BHD.</v>
          </cell>
          <cell r="T1661" t="str">
            <v>Functioning</v>
          </cell>
          <cell r="U1661" t="str">
            <v>Asset</v>
          </cell>
          <cell r="V1661">
            <v>435480</v>
          </cell>
          <cell r="W1661" t="str">
            <v>KEW</v>
          </cell>
          <cell r="X1661" t="str">
            <v>01/09/2010</v>
          </cell>
          <cell r="Y1661" t="str">
            <v>KEW</v>
          </cell>
          <cell r="Z1661" t="str">
            <v>16/08/2013</v>
          </cell>
          <cell r="AA1661" t="str">
            <v>15/08/2015</v>
          </cell>
          <cell r="AB1661" t="str">
            <v>No</v>
          </cell>
          <cell r="AC1661" t="str">
            <v>16/08/2013</v>
          </cell>
          <cell r="AD1661" t="str">
            <v>Good</v>
          </cell>
          <cell r="AE1661" t="str">
            <v>V10 - Asset in initial fee submission(new/replacement hosp)</v>
          </cell>
          <cell r="AF1661">
            <v>43284</v>
          </cell>
          <cell r="AG1661">
            <v>9.17</v>
          </cell>
          <cell r="AH1661" t="str">
            <v>PPM</v>
          </cell>
          <cell r="AI1661" t="str">
            <v>Strands</v>
          </cell>
          <cell r="AJ1661" t="str">
            <v>Strands PW</v>
          </cell>
        </row>
        <row r="1662">
          <cell r="A1662" t="str">
            <v>IKN401695</v>
          </cell>
          <cell r="B1662">
            <v>1618</v>
          </cell>
          <cell r="C1662" t="str">
            <v>Institut Kanser Negara</v>
          </cell>
          <cell r="D1662" t="str">
            <v>N/A</v>
          </cell>
          <cell r="E1662" t="str">
            <v>88-021</v>
          </cell>
          <cell r="F1662" t="str">
            <v>Radiochemistry, Dispenser, Radiopharmaceuticals</v>
          </cell>
          <cell r="G1662" t="str">
            <v>NM</v>
          </cell>
          <cell r="H1662" t="str">
            <v>NUCLEAR MED (DIAGNOSTIC)</v>
          </cell>
          <cell r="I1662" t="str">
            <v>03NM133</v>
          </cell>
          <cell r="J1662" t="str">
            <v>RADIODINE DISPENSING (-VE)</v>
          </cell>
          <cell r="K1662" t="str">
            <v>BMED</v>
          </cell>
          <cell r="L1662" t="str">
            <v>Normal</v>
          </cell>
          <cell r="M1662" t="str">
            <v>UK</v>
          </cell>
          <cell r="N1662" t="str">
            <v>Amercare</v>
          </cell>
          <cell r="O1662" t="str">
            <v>Amercare ADD Mk 3</v>
          </cell>
          <cell r="P1662" t="str">
            <v>A1038</v>
          </cell>
          <cell r="Q1662" t="str">
            <v>Not Applicable</v>
          </cell>
          <cell r="R1662" t="str">
            <v>Amercare Ltd</v>
          </cell>
          <cell r="S1662" t="str">
            <v>CLEANZONES (M) SDN BHD</v>
          </cell>
          <cell r="T1662" t="str">
            <v>Functioning</v>
          </cell>
          <cell r="U1662" t="str">
            <v>Asset</v>
          </cell>
          <cell r="V1662">
            <v>368850</v>
          </cell>
          <cell r="W1662" t="str">
            <v>KEW</v>
          </cell>
          <cell r="X1662" t="str">
            <v>01/09/2010</v>
          </cell>
          <cell r="Y1662" t="str">
            <v>KEW</v>
          </cell>
          <cell r="Z1662" t="str">
            <v>16/08/2013</v>
          </cell>
          <cell r="AA1662" t="str">
            <v>15/08/2015</v>
          </cell>
          <cell r="AB1662" t="str">
            <v>No</v>
          </cell>
          <cell r="AC1662" t="str">
            <v>16/08/2013</v>
          </cell>
          <cell r="AD1662" t="str">
            <v>Good</v>
          </cell>
          <cell r="AE1662" t="str">
            <v>V10 - Asset in initial fee submission(new/replacement hosp)</v>
          </cell>
          <cell r="AF1662">
            <v>43214</v>
          </cell>
          <cell r="AG1662">
            <v>9.17</v>
          </cell>
          <cell r="AH1662" t="str">
            <v>PPM</v>
          </cell>
          <cell r="AI1662" t="str">
            <v>Strands</v>
          </cell>
          <cell r="AJ1662" t="str">
            <v>Strands Package</v>
          </cell>
          <cell r="AK1662" t="str">
            <v>Package Code XL0008A</v>
          </cell>
        </row>
        <row r="1663">
          <cell r="A1663" t="str">
            <v>IKN401698</v>
          </cell>
          <cell r="B1663">
            <v>1620</v>
          </cell>
          <cell r="C1663" t="str">
            <v>Institut Kanser Negara</v>
          </cell>
          <cell r="D1663" t="str">
            <v>KKM/IKN/H/18/21</v>
          </cell>
          <cell r="E1663" t="str">
            <v>15-577</v>
          </cell>
          <cell r="F1663" t="str">
            <v>Dynamometers</v>
          </cell>
          <cell r="G1663" t="str">
            <v>DU</v>
          </cell>
          <cell r="H1663" t="str">
            <v>DIETICIAN UNIT</v>
          </cell>
          <cell r="I1663" t="str">
            <v>03DU102</v>
          </cell>
          <cell r="J1663" t="str">
            <v>RECEPTION</v>
          </cell>
          <cell r="K1663" t="str">
            <v>BMED</v>
          </cell>
          <cell r="L1663" t="str">
            <v>Normal</v>
          </cell>
          <cell r="M1663" t="str">
            <v>CHINA</v>
          </cell>
          <cell r="N1663" t="str">
            <v>JAMAR PLUS</v>
          </cell>
          <cell r="O1663">
            <v>563213</v>
          </cell>
          <cell r="P1663">
            <v>2016010972</v>
          </cell>
          <cell r="Q1663" t="str">
            <v>Not Applicable</v>
          </cell>
          <cell r="R1663" t="str">
            <v>PATERSON MEDICAL</v>
          </cell>
          <cell r="S1663" t="str">
            <v>SCIENFIELD EXPERTISE PLT</v>
          </cell>
          <cell r="T1663" t="str">
            <v>Functioning</v>
          </cell>
          <cell r="U1663" t="str">
            <v>Asset</v>
          </cell>
          <cell r="V1663">
            <v>2298</v>
          </cell>
          <cell r="W1663" t="str">
            <v>KEW</v>
          </cell>
          <cell r="X1663" t="str">
            <v>23/10/2018</v>
          </cell>
          <cell r="Y1663" t="str">
            <v>KEW</v>
          </cell>
          <cell r="Z1663" t="str">
            <v>28/02/2019</v>
          </cell>
          <cell r="AA1663" t="str">
            <v>27/02/2020</v>
          </cell>
          <cell r="AB1663" t="str">
            <v>No</v>
          </cell>
          <cell r="AC1663" t="str">
            <v>28/02/2019</v>
          </cell>
          <cell r="AD1663" t="str">
            <v>Good</v>
          </cell>
          <cell r="AE1663" t="str">
            <v>V3 - Added Installed Facilities (New)</v>
          </cell>
          <cell r="AF1663">
            <v>43658</v>
          </cell>
          <cell r="AG1663">
            <v>1.08</v>
          </cell>
          <cell r="AH1663" t="str">
            <v>PPM</v>
          </cell>
          <cell r="AI1663" t="str">
            <v>Strands</v>
          </cell>
          <cell r="AJ1663" t="str">
            <v>Strands PW</v>
          </cell>
          <cell r="AK1663" t="str">
            <v>SNF received. 1st batch of V3 asset (December 2020)</v>
          </cell>
        </row>
        <row r="1664">
          <cell r="A1664" t="str">
            <v>IKN401700</v>
          </cell>
          <cell r="B1664">
            <v>1621</v>
          </cell>
          <cell r="C1664" t="str">
            <v>Institut Kanser Negara</v>
          </cell>
          <cell r="D1664" t="str">
            <v>KKM/IKN/H/18/5</v>
          </cell>
          <cell r="E1664" t="str">
            <v>13-215</v>
          </cell>
          <cell r="F1664" t="str">
            <v>Infusion Pumps, General-Purpose</v>
          </cell>
          <cell r="G1664" t="str">
            <v>WE</v>
          </cell>
          <cell r="H1664" t="str">
            <v>RT/ONCO WARD 1 (F)</v>
          </cell>
          <cell r="I1664" t="str">
            <v>07WE113</v>
          </cell>
          <cell r="J1664" t="str">
            <v>EQUIPMENT ROOM</v>
          </cell>
          <cell r="K1664" t="str">
            <v>BMED</v>
          </cell>
          <cell r="L1664" t="str">
            <v>Critical</v>
          </cell>
          <cell r="M1664" t="str">
            <v>Germany</v>
          </cell>
          <cell r="N1664" t="str">
            <v>Infusomat</v>
          </cell>
          <cell r="O1664" t="str">
            <v>Infusomat Space</v>
          </cell>
          <cell r="P1664" t="str">
            <v>512835</v>
          </cell>
          <cell r="Q1664" t="str">
            <v>Not Applicable</v>
          </cell>
          <cell r="R1664" t="str">
            <v>B Braun Melsungen AG</v>
          </cell>
          <cell r="S1664" t="str">
            <v>B Braun Medical Supplies Sdn. Bhd.</v>
          </cell>
          <cell r="T1664" t="str">
            <v>Functioning</v>
          </cell>
          <cell r="U1664" t="str">
            <v>Asset</v>
          </cell>
          <cell r="V1664">
            <v>5800</v>
          </cell>
          <cell r="W1664" t="str">
            <v>KEW</v>
          </cell>
          <cell r="X1664" t="str">
            <v>31/07/2018</v>
          </cell>
          <cell r="Y1664" t="str">
            <v>KEW</v>
          </cell>
          <cell r="Z1664" t="str">
            <v>05/09/2018</v>
          </cell>
          <cell r="AA1664" t="str">
            <v>04/09/2020</v>
          </cell>
          <cell r="AB1664" t="str">
            <v>No</v>
          </cell>
          <cell r="AC1664" t="str">
            <v>05/09/2018</v>
          </cell>
          <cell r="AD1664" t="str">
            <v>Good</v>
          </cell>
          <cell r="AE1664" t="str">
            <v>V3 - Added Installed Facilities (New)</v>
          </cell>
          <cell r="AF1664">
            <v>43385</v>
          </cell>
          <cell r="AG1664">
            <v>1.33</v>
          </cell>
          <cell r="AH1664" t="str">
            <v>PPM</v>
          </cell>
          <cell r="AI1664" t="str">
            <v>Strands</v>
          </cell>
          <cell r="AJ1664" t="str">
            <v>Strands PW</v>
          </cell>
        </row>
        <row r="1665">
          <cell r="A1665" t="str">
            <v>IKN401701</v>
          </cell>
          <cell r="B1665">
            <v>1622</v>
          </cell>
          <cell r="C1665" t="str">
            <v>Institut Kanser Negara</v>
          </cell>
          <cell r="D1665" t="str">
            <v>KKM/IKN/H/18/1</v>
          </cell>
          <cell r="E1665" t="str">
            <v>13-215</v>
          </cell>
          <cell r="F1665" t="str">
            <v>Infusion Pumps, General-Purpose</v>
          </cell>
          <cell r="G1665" t="str">
            <v>WH</v>
          </cell>
          <cell r="H1665" t="str">
            <v>RT/ONCO WARD 2 (M)</v>
          </cell>
          <cell r="I1665" t="str">
            <v>08WH121</v>
          </cell>
          <cell r="J1665" t="str">
            <v>EQUIPMENT ROOM</v>
          </cell>
          <cell r="K1665" t="str">
            <v>BMED</v>
          </cell>
          <cell r="L1665" t="str">
            <v>Critical</v>
          </cell>
          <cell r="M1665" t="str">
            <v>Germany</v>
          </cell>
          <cell r="N1665" t="str">
            <v>Infusomat</v>
          </cell>
          <cell r="O1665" t="str">
            <v>Infusomat Space</v>
          </cell>
          <cell r="P1665" t="str">
            <v>512807</v>
          </cell>
          <cell r="Q1665" t="str">
            <v>Not Applicable</v>
          </cell>
          <cell r="R1665" t="str">
            <v>B Braun Melsungen AG</v>
          </cell>
          <cell r="S1665" t="str">
            <v>B Braun Medical Supplies Sdn. Bhd.</v>
          </cell>
          <cell r="T1665" t="str">
            <v>Functioning</v>
          </cell>
          <cell r="U1665" t="str">
            <v>Asset</v>
          </cell>
          <cell r="V1665">
            <v>5800</v>
          </cell>
          <cell r="W1665" t="str">
            <v>KEW</v>
          </cell>
          <cell r="X1665" t="str">
            <v>31/07/2018</v>
          </cell>
          <cell r="Y1665" t="str">
            <v>KEW</v>
          </cell>
          <cell r="Z1665" t="str">
            <v>05/09/2018</v>
          </cell>
          <cell r="AA1665" t="str">
            <v>04/09/2020</v>
          </cell>
          <cell r="AB1665" t="str">
            <v>No</v>
          </cell>
          <cell r="AC1665" t="str">
            <v>05/09/2018</v>
          </cell>
          <cell r="AD1665" t="str">
            <v>Good</v>
          </cell>
          <cell r="AE1665" t="str">
            <v>V3 - Added Installed Facilities (New)</v>
          </cell>
          <cell r="AF1665">
            <v>43385</v>
          </cell>
          <cell r="AG1665">
            <v>1.33</v>
          </cell>
          <cell r="AH1665" t="str">
            <v>PPM</v>
          </cell>
          <cell r="AI1665" t="str">
            <v>Strands</v>
          </cell>
          <cell r="AJ1665" t="str">
            <v>Strands PW</v>
          </cell>
        </row>
        <row r="1666">
          <cell r="A1666" t="str">
            <v>IKN401702</v>
          </cell>
          <cell r="B1666">
            <v>1623</v>
          </cell>
          <cell r="C1666" t="str">
            <v>Institut Kanser Negara</v>
          </cell>
          <cell r="D1666" t="str">
            <v>KKM/IKN/H/18/2</v>
          </cell>
          <cell r="E1666" t="str">
            <v>13-215</v>
          </cell>
          <cell r="F1666" t="str">
            <v>Infusion Pumps, General-Purpose</v>
          </cell>
          <cell r="G1666" t="str">
            <v>WD</v>
          </cell>
          <cell r="H1666" t="str">
            <v>RT/ONCO PAED/ADOLESCENT WARD</v>
          </cell>
          <cell r="I1666" t="str">
            <v>06WD153</v>
          </cell>
          <cell r="J1666" t="str">
            <v>EQP.ROOM</v>
          </cell>
          <cell r="K1666" t="str">
            <v>BMED</v>
          </cell>
          <cell r="L1666" t="str">
            <v>Critical</v>
          </cell>
          <cell r="M1666" t="str">
            <v>Germany</v>
          </cell>
          <cell r="N1666" t="str">
            <v>Infusomat</v>
          </cell>
          <cell r="O1666" t="str">
            <v>Infusomat Space</v>
          </cell>
          <cell r="P1666" t="str">
            <v>512814</v>
          </cell>
          <cell r="Q1666" t="str">
            <v>Not Applicable</v>
          </cell>
          <cell r="R1666" t="str">
            <v>B Braun Melsungen AG</v>
          </cell>
          <cell r="S1666" t="str">
            <v>B Braun Medical Supplies Sdn. Bhd.</v>
          </cell>
          <cell r="T1666" t="str">
            <v>Functioning</v>
          </cell>
          <cell r="U1666" t="str">
            <v>Asset</v>
          </cell>
          <cell r="V1666">
            <v>5800</v>
          </cell>
          <cell r="W1666" t="str">
            <v>KEW</v>
          </cell>
          <cell r="X1666" t="str">
            <v>31/07/2018</v>
          </cell>
          <cell r="Y1666" t="str">
            <v>KEW</v>
          </cell>
          <cell r="Z1666" t="str">
            <v>05/09/2018</v>
          </cell>
          <cell r="AA1666" t="str">
            <v>04/09/2020</v>
          </cell>
          <cell r="AB1666" t="str">
            <v>No</v>
          </cell>
          <cell r="AC1666" t="str">
            <v>05/09/2018</v>
          </cell>
          <cell r="AD1666" t="str">
            <v>Good</v>
          </cell>
          <cell r="AE1666" t="str">
            <v>V3 - Added Installed Facilities (New)</v>
          </cell>
          <cell r="AF1666">
            <v>43385</v>
          </cell>
          <cell r="AG1666">
            <v>1.33</v>
          </cell>
          <cell r="AH1666" t="str">
            <v>PPM</v>
          </cell>
          <cell r="AI1666" t="str">
            <v>Strands</v>
          </cell>
          <cell r="AJ1666" t="str">
            <v>Strands PW</v>
          </cell>
        </row>
        <row r="1667">
          <cell r="A1667" t="str">
            <v>IKN401703</v>
          </cell>
          <cell r="B1667">
            <v>1624</v>
          </cell>
          <cell r="C1667" t="str">
            <v>Institut Kanser Negara</v>
          </cell>
          <cell r="D1667" t="str">
            <v>KKM/IKN/H/18/3</v>
          </cell>
          <cell r="E1667" t="str">
            <v>13-215</v>
          </cell>
          <cell r="F1667" t="str">
            <v>Infusion Pumps, General-Purpose</v>
          </cell>
          <cell r="G1667" t="str">
            <v>WG</v>
          </cell>
          <cell r="H1667" t="str">
            <v>RT/ONCO WARD 1 (M)</v>
          </cell>
          <cell r="I1667" t="str">
            <v>08WG113</v>
          </cell>
          <cell r="J1667" t="str">
            <v>EQUIPMENT ROOM</v>
          </cell>
          <cell r="K1667" t="str">
            <v>BMED</v>
          </cell>
          <cell r="L1667" t="str">
            <v>Critical</v>
          </cell>
          <cell r="M1667" t="str">
            <v>Germany</v>
          </cell>
          <cell r="N1667" t="str">
            <v>Infusomat</v>
          </cell>
          <cell r="O1667" t="str">
            <v>Infusomat Space</v>
          </cell>
          <cell r="P1667" t="str">
            <v>512819</v>
          </cell>
          <cell r="Q1667" t="str">
            <v>Not Applicable</v>
          </cell>
          <cell r="R1667" t="str">
            <v>B Braun Melsungen AG</v>
          </cell>
          <cell r="S1667" t="str">
            <v>B Braun Medical Supplies Sdn. Bhd.</v>
          </cell>
          <cell r="T1667" t="str">
            <v>Functioning</v>
          </cell>
          <cell r="U1667" t="str">
            <v>Asset</v>
          </cell>
          <cell r="V1667">
            <v>5800</v>
          </cell>
          <cell r="W1667" t="str">
            <v>KEW</v>
          </cell>
          <cell r="X1667" t="str">
            <v>31/07/2018</v>
          </cell>
          <cell r="Y1667" t="str">
            <v>KEW</v>
          </cell>
          <cell r="Z1667" t="str">
            <v>05/09/2018</v>
          </cell>
          <cell r="AA1667" t="str">
            <v>04/09/2020</v>
          </cell>
          <cell r="AB1667" t="str">
            <v>No</v>
          </cell>
          <cell r="AC1667" t="str">
            <v>05/09/2018</v>
          </cell>
          <cell r="AD1667" t="str">
            <v>Good</v>
          </cell>
          <cell r="AE1667" t="str">
            <v>V3 - Added Installed Facilities (New)</v>
          </cell>
          <cell r="AF1667">
            <v>43385</v>
          </cell>
          <cell r="AG1667">
            <v>1.33</v>
          </cell>
          <cell r="AH1667" t="str">
            <v>PPM</v>
          </cell>
          <cell r="AI1667" t="str">
            <v>Strands</v>
          </cell>
          <cell r="AJ1667" t="str">
            <v>Strands PW</v>
          </cell>
        </row>
        <row r="1668">
          <cell r="A1668" t="str">
            <v>IKN401704</v>
          </cell>
          <cell r="B1668">
            <v>1625</v>
          </cell>
          <cell r="C1668" t="str">
            <v>Institut Kanser Negara</v>
          </cell>
          <cell r="D1668" t="str">
            <v>KKM/IKN/H/18/4</v>
          </cell>
          <cell r="E1668" t="str">
            <v>13-215</v>
          </cell>
          <cell r="F1668" t="str">
            <v>Infusion Pumps, General-Purpose</v>
          </cell>
          <cell r="G1668" t="str">
            <v>WF</v>
          </cell>
          <cell r="H1668" t="str">
            <v>RT/ONCO WARD 2 (F)</v>
          </cell>
          <cell r="I1668" t="str">
            <v>07WF121</v>
          </cell>
          <cell r="J1668" t="str">
            <v>EQUIPMENT ROOM</v>
          </cell>
          <cell r="K1668" t="str">
            <v>BMED</v>
          </cell>
          <cell r="L1668" t="str">
            <v>Critical</v>
          </cell>
          <cell r="M1668" t="str">
            <v>Germany</v>
          </cell>
          <cell r="N1668" t="str">
            <v>Infusomat</v>
          </cell>
          <cell r="O1668" t="str">
            <v>Infusomat Space</v>
          </cell>
          <cell r="P1668" t="str">
            <v>512833</v>
          </cell>
          <cell r="Q1668" t="str">
            <v>Not Applicable</v>
          </cell>
          <cell r="R1668" t="str">
            <v>B Braun Melsungen AG</v>
          </cell>
          <cell r="S1668" t="str">
            <v>B Braun Medical Supplies Sdn. Bhd.</v>
          </cell>
          <cell r="T1668" t="str">
            <v>Functioning</v>
          </cell>
          <cell r="U1668" t="str">
            <v>Asset</v>
          </cell>
          <cell r="V1668">
            <v>5800</v>
          </cell>
          <cell r="W1668" t="str">
            <v>KEW</v>
          </cell>
          <cell r="X1668" t="str">
            <v>31/07/2018</v>
          </cell>
          <cell r="Y1668" t="str">
            <v>KEW</v>
          </cell>
          <cell r="Z1668" t="str">
            <v>05/09/2018</v>
          </cell>
          <cell r="AA1668" t="str">
            <v>04/09/2020</v>
          </cell>
          <cell r="AB1668" t="str">
            <v>No</v>
          </cell>
          <cell r="AC1668" t="str">
            <v>05/09/2018</v>
          </cell>
          <cell r="AD1668" t="str">
            <v>Good</v>
          </cell>
          <cell r="AE1668" t="str">
            <v>V3 - Added Installed Facilities (New)</v>
          </cell>
          <cell r="AF1668">
            <v>43385</v>
          </cell>
          <cell r="AG1668">
            <v>1.33</v>
          </cell>
          <cell r="AH1668" t="str">
            <v>PPM</v>
          </cell>
          <cell r="AI1668" t="str">
            <v>Strands</v>
          </cell>
          <cell r="AJ1668" t="str">
            <v>Strands PW</v>
          </cell>
        </row>
        <row r="1669">
          <cell r="A1669" t="str">
            <v>IKN401708</v>
          </cell>
          <cell r="B1669">
            <v>1626</v>
          </cell>
          <cell r="C1669" t="str">
            <v>Institut Kanser Negara</v>
          </cell>
          <cell r="D1669" t="str">
            <v>KKM/IKN/H/13/4473 - 10</v>
          </cell>
          <cell r="E1669" t="str">
            <v>15-605</v>
          </cell>
          <cell r="F1669" t="str">
            <v>Testers</v>
          </cell>
          <cell r="G1669" t="str">
            <v>RT</v>
          </cell>
          <cell r="H1669" t="str">
            <v>RADIATION TREATMENT UNIT</v>
          </cell>
          <cell r="I1669" t="str">
            <v>01RT213</v>
          </cell>
          <cell r="J1669" t="str">
            <v>EQUIPMENT ROOM1</v>
          </cell>
          <cell r="K1669" t="str">
            <v>BMED</v>
          </cell>
          <cell r="L1669" t="str">
            <v>Normal</v>
          </cell>
          <cell r="M1669" t="str">
            <v>USA</v>
          </cell>
          <cell r="N1669" t="str">
            <v>Various</v>
          </cell>
          <cell r="O1669" t="str">
            <v>Tomo Electrometer 90016 &amp; Various</v>
          </cell>
          <cell r="P1669" t="str">
            <v>XW 121706</v>
          </cell>
          <cell r="Q1669" t="str">
            <v>Not Available</v>
          </cell>
          <cell r="R1669" t="str">
            <v>Standard Imaging</v>
          </cell>
          <cell r="S1669" t="str">
            <v>Transmedic Healthcare Sdn. Bhd</v>
          </cell>
          <cell r="T1669" t="str">
            <v>Functioning</v>
          </cell>
          <cell r="U1669" t="str">
            <v>Asset</v>
          </cell>
          <cell r="V1669">
            <v>100000</v>
          </cell>
          <cell r="W1669" t="str">
            <v>KEW</v>
          </cell>
          <cell r="X1669" t="str">
            <v>01/09/2010</v>
          </cell>
          <cell r="Y1669" t="str">
            <v>KEW</v>
          </cell>
          <cell r="Z1669" t="str">
            <v>16/08/2013</v>
          </cell>
          <cell r="AA1669" t="str">
            <v>15/08/2015</v>
          </cell>
          <cell r="AB1669" t="str">
            <v>No</v>
          </cell>
          <cell r="AC1669" t="str">
            <v>16/08/2013</v>
          </cell>
          <cell r="AD1669" t="str">
            <v>Good</v>
          </cell>
          <cell r="AE1669" t="str">
            <v>V1 - Existing / No Claim</v>
          </cell>
          <cell r="AF1669">
            <v>42667</v>
          </cell>
          <cell r="AG1669">
            <v>9.17</v>
          </cell>
          <cell r="AH1669" t="str">
            <v>PPM</v>
          </cell>
          <cell r="AI1669" t="str">
            <v>package</v>
          </cell>
          <cell r="AJ1669" t="str">
            <v>Strands Package</v>
          </cell>
          <cell r="AK1669" t="str">
            <v>Unit A1S Ion Chamber for Tomotherapy. Package XM003(B).</v>
          </cell>
        </row>
        <row r="1670">
          <cell r="A1670" t="str">
            <v>IKN401713</v>
          </cell>
          <cell r="B1670">
            <v>1627</v>
          </cell>
          <cell r="C1670" t="str">
            <v>Institut Kanser Negara</v>
          </cell>
          <cell r="D1670" t="str">
            <v>KKM/IKN/H/18/16</v>
          </cell>
          <cell r="E1670" t="str">
            <v>13-215</v>
          </cell>
          <cell r="F1670" t="str">
            <v>Infusion Pumps, General-Purpose</v>
          </cell>
          <cell r="G1670" t="str">
            <v>DO</v>
          </cell>
          <cell r="H1670" t="str">
            <v>DAY ONCOLOGY UNIT</v>
          </cell>
          <cell r="I1670" t="str">
            <v>04DO111</v>
          </cell>
          <cell r="J1670" t="str">
            <v>EQUIP. ROOM</v>
          </cell>
          <cell r="K1670" t="str">
            <v>BMED</v>
          </cell>
          <cell r="L1670" t="str">
            <v>Critical</v>
          </cell>
          <cell r="M1670" t="str">
            <v>Germany</v>
          </cell>
          <cell r="N1670" t="str">
            <v>Infusomat</v>
          </cell>
          <cell r="O1670" t="str">
            <v>Infusomat Space</v>
          </cell>
          <cell r="P1670" t="str">
            <v>523723</v>
          </cell>
          <cell r="Q1670" t="str">
            <v>Not Applicable</v>
          </cell>
          <cell r="R1670" t="str">
            <v>B Braun Melsungen AG</v>
          </cell>
          <cell r="S1670" t="str">
            <v>TERAJU FARMA SDN BHD</v>
          </cell>
          <cell r="T1670" t="str">
            <v>Functioning</v>
          </cell>
          <cell r="U1670" t="str">
            <v>Asset</v>
          </cell>
          <cell r="V1670">
            <v>5800</v>
          </cell>
          <cell r="W1670" t="str">
            <v>KEW</v>
          </cell>
          <cell r="X1670" t="str">
            <v>26/09/2018</v>
          </cell>
          <cell r="Y1670" t="str">
            <v>KEW</v>
          </cell>
          <cell r="Z1670" t="str">
            <v>22/10/2018</v>
          </cell>
          <cell r="AA1670" t="str">
            <v>21/10/2020</v>
          </cell>
          <cell r="AB1670" t="str">
            <v>No</v>
          </cell>
          <cell r="AC1670" t="str">
            <v>22/10/2018</v>
          </cell>
          <cell r="AD1670" t="str">
            <v>Good</v>
          </cell>
          <cell r="AE1670" t="str">
            <v>V3 - Added Installed Facilities (New)</v>
          </cell>
          <cell r="AF1670">
            <v>43430</v>
          </cell>
          <cell r="AG1670">
            <v>1.17</v>
          </cell>
          <cell r="AH1670" t="str">
            <v>PPM</v>
          </cell>
          <cell r="AI1670" t="str">
            <v>Strands</v>
          </cell>
          <cell r="AJ1670" t="str">
            <v>Strands PW</v>
          </cell>
        </row>
        <row r="1671">
          <cell r="A1671" t="str">
            <v>IKN401714</v>
          </cell>
          <cell r="B1671">
            <v>1628</v>
          </cell>
          <cell r="C1671" t="str">
            <v>Institut Kanser Negara</v>
          </cell>
          <cell r="D1671" t="str">
            <v>KKM/IKN/H/18/17</v>
          </cell>
          <cell r="E1671" t="str">
            <v>13-215</v>
          </cell>
          <cell r="F1671" t="str">
            <v>Infusion Pumps, General-Purpose</v>
          </cell>
          <cell r="G1671" t="str">
            <v>DO</v>
          </cell>
          <cell r="H1671" t="str">
            <v>DAY ONCOLOGY UNIT</v>
          </cell>
          <cell r="I1671" t="str">
            <v>04DO111</v>
          </cell>
          <cell r="J1671" t="str">
            <v>EQUIP. ROOM</v>
          </cell>
          <cell r="K1671" t="str">
            <v>BMED</v>
          </cell>
          <cell r="L1671" t="str">
            <v>Critical</v>
          </cell>
          <cell r="M1671" t="str">
            <v>Germany</v>
          </cell>
          <cell r="N1671" t="str">
            <v>Infusomat</v>
          </cell>
          <cell r="O1671" t="str">
            <v>Infusomat Space</v>
          </cell>
          <cell r="P1671" t="str">
            <v>523748</v>
          </cell>
          <cell r="Q1671" t="str">
            <v>Not Applicable</v>
          </cell>
          <cell r="R1671" t="str">
            <v>B Braun Melsungen AG</v>
          </cell>
          <cell r="S1671" t="str">
            <v>TERAJU FARMA SDN BHD</v>
          </cell>
          <cell r="T1671" t="str">
            <v>Functioning</v>
          </cell>
          <cell r="U1671" t="str">
            <v>Asset</v>
          </cell>
          <cell r="V1671">
            <v>5800</v>
          </cell>
          <cell r="W1671" t="str">
            <v>KEW</v>
          </cell>
          <cell r="X1671" t="str">
            <v>26/09/2018</v>
          </cell>
          <cell r="Y1671" t="str">
            <v>KEW</v>
          </cell>
          <cell r="Z1671" t="str">
            <v>22/10/2018</v>
          </cell>
          <cell r="AA1671" t="str">
            <v>21/10/2020</v>
          </cell>
          <cell r="AB1671" t="str">
            <v>No</v>
          </cell>
          <cell r="AC1671" t="str">
            <v>22/10/2018</v>
          </cell>
          <cell r="AD1671" t="str">
            <v>Good</v>
          </cell>
          <cell r="AE1671" t="str">
            <v>V3 - Added Installed Facilities (New)</v>
          </cell>
          <cell r="AF1671">
            <v>43430</v>
          </cell>
          <cell r="AG1671">
            <v>1.17</v>
          </cell>
          <cell r="AH1671" t="str">
            <v>PPM</v>
          </cell>
          <cell r="AI1671" t="str">
            <v>Strands</v>
          </cell>
          <cell r="AJ1671" t="str">
            <v>Strands PW</v>
          </cell>
        </row>
        <row r="1672">
          <cell r="A1672" t="str">
            <v>IKN401715</v>
          </cell>
          <cell r="B1672">
            <v>1629</v>
          </cell>
          <cell r="C1672" t="str">
            <v>Institut Kanser Negara</v>
          </cell>
          <cell r="D1672" t="str">
            <v>KKM/IKN/H/18/18</v>
          </cell>
          <cell r="E1672" t="str">
            <v>11-381</v>
          </cell>
          <cell r="F1672" t="str">
            <v>Simulators, Cardiac, Electrocardiography</v>
          </cell>
          <cell r="G1672" t="str">
            <v>AD</v>
          </cell>
          <cell r="H1672" t="str">
            <v>ADMINISTRATION</v>
          </cell>
          <cell r="I1672" t="str">
            <v>06AD122</v>
          </cell>
          <cell r="J1672" t="str">
            <v>SUPERVISOR 1</v>
          </cell>
          <cell r="K1672" t="str">
            <v>BMED</v>
          </cell>
          <cell r="L1672" t="str">
            <v>Normal</v>
          </cell>
          <cell r="M1672" t="str">
            <v>China</v>
          </cell>
          <cell r="N1672" t="str">
            <v>Laerdal</v>
          </cell>
          <cell r="O1672" t="str">
            <v>Laerdal AED Trainer 2</v>
          </cell>
          <cell r="P1672" t="str">
            <v>170731</v>
          </cell>
          <cell r="Q1672" t="str">
            <v>Not Applicable</v>
          </cell>
          <cell r="R1672" t="str">
            <v>Laerdal Medical Corp</v>
          </cell>
          <cell r="S1672" t="str">
            <v>LAERDAL MALAYSIA SDN BHD</v>
          </cell>
          <cell r="T1672" t="str">
            <v>Functioning</v>
          </cell>
          <cell r="U1672" t="str">
            <v>Asset</v>
          </cell>
          <cell r="V1672">
            <v>3113</v>
          </cell>
          <cell r="W1672" t="str">
            <v>KEW</v>
          </cell>
          <cell r="X1672" t="str">
            <v>21/09/2018</v>
          </cell>
          <cell r="Y1672" t="str">
            <v>KEW</v>
          </cell>
          <cell r="Z1672" t="str">
            <v>29/10/2018</v>
          </cell>
          <cell r="AA1672" t="str">
            <v>30/10/2019</v>
          </cell>
          <cell r="AB1672" t="str">
            <v>No</v>
          </cell>
          <cell r="AC1672" t="str">
            <v>31/10/2018</v>
          </cell>
          <cell r="AD1672" t="str">
            <v>Good</v>
          </cell>
          <cell r="AE1672" t="str">
            <v>V3 - Added Installed Facilities (New)</v>
          </cell>
          <cell r="AF1672">
            <v>43444</v>
          </cell>
          <cell r="AG1672">
            <v>1.17</v>
          </cell>
          <cell r="AH1672" t="str">
            <v>RI</v>
          </cell>
          <cell r="AI1672" t="str">
            <v>Strands</v>
          </cell>
          <cell r="AJ1672" t="str">
            <v>Strands PW</v>
          </cell>
        </row>
        <row r="1673">
          <cell r="A1673" t="str">
            <v>IKN401716</v>
          </cell>
          <cell r="B1673">
            <v>1630</v>
          </cell>
          <cell r="C1673" t="str">
            <v>Institut Kanser Negara</v>
          </cell>
          <cell r="D1673" t="str">
            <v>KKM/IKN/R/18/40</v>
          </cell>
          <cell r="E1673" t="str">
            <v>15-309</v>
          </cell>
          <cell r="F1673" t="str">
            <v>Training Manikins, Cardiopulmonary Resuscitation</v>
          </cell>
          <cell r="G1673" t="str">
            <v>AD</v>
          </cell>
          <cell r="H1673" t="str">
            <v>ADMINISTRATION</v>
          </cell>
          <cell r="I1673" t="str">
            <v>06AD122</v>
          </cell>
          <cell r="J1673" t="str">
            <v>SUPERVISOR 1</v>
          </cell>
          <cell r="K1673" t="str">
            <v>BMED</v>
          </cell>
          <cell r="L1673" t="str">
            <v>Normal</v>
          </cell>
          <cell r="M1673" t="str">
            <v>USA</v>
          </cell>
          <cell r="N1673" t="str">
            <v>Laerdal</v>
          </cell>
          <cell r="O1673" t="str">
            <v>Little Anne Torso</v>
          </cell>
          <cell r="P1673" t="str">
            <v>Not Available</v>
          </cell>
          <cell r="Q1673" t="str">
            <v>Not Applicable</v>
          </cell>
          <cell r="R1673" t="str">
            <v>Laerdal Medical Corp</v>
          </cell>
          <cell r="S1673" t="str">
            <v>LAERDAL MALAYSIA SDN BHD</v>
          </cell>
          <cell r="T1673" t="str">
            <v>Functioning</v>
          </cell>
          <cell r="U1673" t="str">
            <v>Asset</v>
          </cell>
          <cell r="V1673">
            <v>1312.5</v>
          </cell>
          <cell r="W1673" t="str">
            <v>KEW</v>
          </cell>
          <cell r="X1673" t="str">
            <v>21/09/2018</v>
          </cell>
          <cell r="Y1673" t="str">
            <v>KEW</v>
          </cell>
          <cell r="Z1673" t="str">
            <v>31/10/2018</v>
          </cell>
          <cell r="AA1673" t="str">
            <v>30/10/2019</v>
          </cell>
          <cell r="AB1673" t="str">
            <v>No</v>
          </cell>
          <cell r="AC1673" t="str">
            <v>31/10/2018</v>
          </cell>
          <cell r="AD1673" t="str">
            <v>Good</v>
          </cell>
          <cell r="AE1673" t="str">
            <v>V3 - Added Installed Facilities (New)</v>
          </cell>
          <cell r="AF1673">
            <v>43444</v>
          </cell>
          <cell r="AG1673">
            <v>1.17</v>
          </cell>
          <cell r="AH1673" t="str">
            <v>RI</v>
          </cell>
          <cell r="AI1673" t="str">
            <v>Strands</v>
          </cell>
          <cell r="AJ1673" t="str">
            <v>Strands PW</v>
          </cell>
        </row>
        <row r="1674">
          <cell r="A1674" t="str">
            <v>IKN401717</v>
          </cell>
          <cell r="B1674">
            <v>1631</v>
          </cell>
          <cell r="C1674" t="str">
            <v>Institut Kanser Negara</v>
          </cell>
          <cell r="D1674" t="str">
            <v>KKM/IKN/R/18/41</v>
          </cell>
          <cell r="E1674" t="str">
            <v>15-309</v>
          </cell>
          <cell r="F1674" t="str">
            <v>Training Manikins, Cardiopulmonary Resuscitation</v>
          </cell>
          <cell r="G1674" t="str">
            <v>AD</v>
          </cell>
          <cell r="H1674" t="str">
            <v>ADMINISTRATION</v>
          </cell>
          <cell r="I1674" t="str">
            <v>06AD122</v>
          </cell>
          <cell r="J1674" t="str">
            <v>SUPERVISOR 1</v>
          </cell>
          <cell r="K1674" t="str">
            <v>BMED</v>
          </cell>
          <cell r="L1674" t="str">
            <v>Normal</v>
          </cell>
          <cell r="M1674" t="str">
            <v>USA</v>
          </cell>
          <cell r="N1674" t="str">
            <v>Laerdal</v>
          </cell>
          <cell r="O1674" t="str">
            <v>Little Anne Torso</v>
          </cell>
          <cell r="P1674" t="str">
            <v>Not Available</v>
          </cell>
          <cell r="Q1674" t="str">
            <v>Not Applicable</v>
          </cell>
          <cell r="R1674" t="str">
            <v>Laerdal Medical Corp</v>
          </cell>
          <cell r="S1674" t="str">
            <v>LAERDAL MALAYSIA SDN BHD</v>
          </cell>
          <cell r="T1674" t="str">
            <v>Functioning</v>
          </cell>
          <cell r="U1674" t="str">
            <v>Asset</v>
          </cell>
          <cell r="V1674">
            <v>1312.5</v>
          </cell>
          <cell r="W1674" t="str">
            <v>KEW</v>
          </cell>
          <cell r="X1674" t="str">
            <v>21/09/2018</v>
          </cell>
          <cell r="Y1674" t="str">
            <v>KEW</v>
          </cell>
          <cell r="Z1674" t="str">
            <v>31/10/2018</v>
          </cell>
          <cell r="AA1674" t="str">
            <v>30/10/2019</v>
          </cell>
          <cell r="AB1674" t="str">
            <v>No</v>
          </cell>
          <cell r="AC1674" t="str">
            <v>31/10/2018</v>
          </cell>
          <cell r="AD1674" t="str">
            <v>Good</v>
          </cell>
          <cell r="AE1674" t="str">
            <v>V3 - Added Installed Facilities (New)</v>
          </cell>
          <cell r="AF1674">
            <v>43444</v>
          </cell>
          <cell r="AG1674">
            <v>1.17</v>
          </cell>
          <cell r="AH1674" t="str">
            <v>RI</v>
          </cell>
          <cell r="AI1674" t="str">
            <v>Strands</v>
          </cell>
          <cell r="AJ1674" t="str">
            <v>Strands PW</v>
          </cell>
        </row>
        <row r="1675">
          <cell r="A1675" t="str">
            <v>IKN401718</v>
          </cell>
          <cell r="B1675">
            <v>1632</v>
          </cell>
          <cell r="C1675" t="str">
            <v>Institut Kanser Negara</v>
          </cell>
          <cell r="D1675" t="str">
            <v>KKM/IKN/R/18/42</v>
          </cell>
          <cell r="E1675" t="str">
            <v>15-309</v>
          </cell>
          <cell r="F1675" t="str">
            <v>Training Manikins, Cardiopulmonary Resuscitation</v>
          </cell>
          <cell r="G1675" t="str">
            <v>AD</v>
          </cell>
          <cell r="H1675" t="str">
            <v>ADMINISTRATION</v>
          </cell>
          <cell r="I1675" t="str">
            <v>06AD122</v>
          </cell>
          <cell r="J1675" t="str">
            <v>SUPERVISOR 1</v>
          </cell>
          <cell r="K1675" t="str">
            <v>BMED</v>
          </cell>
          <cell r="L1675" t="str">
            <v>Normal</v>
          </cell>
          <cell r="M1675" t="str">
            <v>USA</v>
          </cell>
          <cell r="N1675" t="str">
            <v>Laerdal</v>
          </cell>
          <cell r="O1675" t="str">
            <v>Little Anne Torso</v>
          </cell>
          <cell r="P1675" t="str">
            <v>Not Available</v>
          </cell>
          <cell r="Q1675" t="str">
            <v>Not Applicable</v>
          </cell>
          <cell r="R1675" t="str">
            <v>Laerdal Medical Corp</v>
          </cell>
          <cell r="S1675" t="str">
            <v>LAERDAL MALAYSIA SDN BHD</v>
          </cell>
          <cell r="T1675" t="str">
            <v>Functioning</v>
          </cell>
          <cell r="U1675" t="str">
            <v>Asset</v>
          </cell>
          <cell r="V1675">
            <v>1312.5</v>
          </cell>
          <cell r="W1675" t="str">
            <v>KEW</v>
          </cell>
          <cell r="X1675" t="str">
            <v>21/09/2018</v>
          </cell>
          <cell r="Y1675" t="str">
            <v>KEW</v>
          </cell>
          <cell r="Z1675" t="str">
            <v>31/10/2018</v>
          </cell>
          <cell r="AA1675" t="str">
            <v>30/10/2019</v>
          </cell>
          <cell r="AB1675" t="str">
            <v>No</v>
          </cell>
          <cell r="AC1675" t="str">
            <v>31/10/2018</v>
          </cell>
          <cell r="AD1675" t="str">
            <v>Good</v>
          </cell>
          <cell r="AE1675" t="str">
            <v>V3 - Added Installed Facilities (New)</v>
          </cell>
          <cell r="AF1675">
            <v>43444</v>
          </cell>
          <cell r="AG1675">
            <v>1.17</v>
          </cell>
          <cell r="AH1675" t="str">
            <v>RI</v>
          </cell>
          <cell r="AI1675" t="str">
            <v>Strands</v>
          </cell>
          <cell r="AJ1675" t="str">
            <v>Strands PW</v>
          </cell>
        </row>
        <row r="1676">
          <cell r="A1676" t="str">
            <v>IKN401719</v>
          </cell>
          <cell r="B1676">
            <v>1633</v>
          </cell>
          <cell r="C1676" t="str">
            <v>Institut Kanser Negara</v>
          </cell>
          <cell r="D1676" t="str">
            <v>KKM/IKN/R/18/43</v>
          </cell>
          <cell r="E1676" t="str">
            <v>15-309</v>
          </cell>
          <cell r="F1676" t="str">
            <v>Training Manikins, Cardiopulmonary Resuscitation</v>
          </cell>
          <cell r="G1676" t="str">
            <v>AD</v>
          </cell>
          <cell r="H1676" t="str">
            <v>ADMINISTRATION</v>
          </cell>
          <cell r="I1676" t="str">
            <v>06AD122</v>
          </cell>
          <cell r="J1676" t="str">
            <v>SUPERVISOR 1</v>
          </cell>
          <cell r="K1676" t="str">
            <v>BMED</v>
          </cell>
          <cell r="L1676" t="str">
            <v>Normal</v>
          </cell>
          <cell r="M1676" t="str">
            <v>USA</v>
          </cell>
          <cell r="N1676" t="str">
            <v>Laerdal</v>
          </cell>
          <cell r="O1676" t="str">
            <v>Little Anne Torso</v>
          </cell>
          <cell r="P1676" t="str">
            <v>Not Available</v>
          </cell>
          <cell r="Q1676" t="str">
            <v>Not Applicable</v>
          </cell>
          <cell r="R1676" t="str">
            <v>Laerdal Medical Corp</v>
          </cell>
          <cell r="S1676" t="str">
            <v>LAERDAL MALAYSIA SDN BHD</v>
          </cell>
          <cell r="T1676" t="str">
            <v>Functioning</v>
          </cell>
          <cell r="U1676" t="str">
            <v>Asset</v>
          </cell>
          <cell r="V1676">
            <v>1312.5</v>
          </cell>
          <cell r="W1676" t="str">
            <v>KEW</v>
          </cell>
          <cell r="X1676" t="str">
            <v>21/09/2018</v>
          </cell>
          <cell r="Y1676" t="str">
            <v>KEW</v>
          </cell>
          <cell r="Z1676" t="str">
            <v>31/10/2018</v>
          </cell>
          <cell r="AA1676" t="str">
            <v>30/10/2019</v>
          </cell>
          <cell r="AB1676" t="str">
            <v>No</v>
          </cell>
          <cell r="AC1676" t="str">
            <v>31/10/2018</v>
          </cell>
          <cell r="AD1676" t="str">
            <v>Good</v>
          </cell>
          <cell r="AE1676" t="str">
            <v>V3 - Added Installed Facilities (New)</v>
          </cell>
          <cell r="AF1676">
            <v>43444</v>
          </cell>
          <cell r="AG1676">
            <v>1.17</v>
          </cell>
          <cell r="AH1676" t="str">
            <v>RI</v>
          </cell>
          <cell r="AI1676" t="str">
            <v>Strands</v>
          </cell>
          <cell r="AJ1676" t="str">
            <v>Strands PW</v>
          </cell>
        </row>
        <row r="1677">
          <cell r="A1677" t="str">
            <v>IKN401720</v>
          </cell>
          <cell r="B1677">
            <v>1634</v>
          </cell>
          <cell r="C1677" t="str">
            <v>Institut Kanser Negara</v>
          </cell>
          <cell r="D1677" t="str">
            <v>KKM/IKN/H/18/19</v>
          </cell>
          <cell r="E1677" t="str">
            <v>15-309</v>
          </cell>
          <cell r="F1677" t="str">
            <v>Training Manikins, Cardiopulmonary Resuscitation</v>
          </cell>
          <cell r="G1677" t="str">
            <v>AD</v>
          </cell>
          <cell r="H1677" t="str">
            <v>ADMINISTRATION</v>
          </cell>
          <cell r="I1677" t="str">
            <v>06AD122</v>
          </cell>
          <cell r="J1677" t="str">
            <v>SUPERVISOR 1</v>
          </cell>
          <cell r="K1677" t="str">
            <v>BMED</v>
          </cell>
          <cell r="L1677" t="str">
            <v>Normal</v>
          </cell>
          <cell r="M1677" t="str">
            <v>USA</v>
          </cell>
          <cell r="N1677" t="str">
            <v>Laerdal</v>
          </cell>
          <cell r="O1677" t="str">
            <v>Laerdal Airway Management Trainer</v>
          </cell>
          <cell r="P1677" t="str">
            <v>Not Available</v>
          </cell>
          <cell r="Q1677" t="str">
            <v>Not Applicable</v>
          </cell>
          <cell r="R1677" t="str">
            <v>Laerdal Medical Corp</v>
          </cell>
          <cell r="S1677" t="str">
            <v>LAERDAL MALAYSIA SDN BHD</v>
          </cell>
          <cell r="T1677" t="str">
            <v>Functioning</v>
          </cell>
          <cell r="U1677" t="str">
            <v>Asset</v>
          </cell>
          <cell r="V1677">
            <v>13397.35</v>
          </cell>
          <cell r="W1677" t="str">
            <v>KEW</v>
          </cell>
          <cell r="X1677" t="str">
            <v>21/09/2018</v>
          </cell>
          <cell r="Y1677" t="str">
            <v>KEW</v>
          </cell>
          <cell r="Z1677" t="str">
            <v>31/10/2018</v>
          </cell>
          <cell r="AA1677" t="str">
            <v>30/10/2019</v>
          </cell>
          <cell r="AB1677" t="str">
            <v>No</v>
          </cell>
          <cell r="AC1677" t="str">
            <v>31/10/2018</v>
          </cell>
          <cell r="AD1677" t="str">
            <v>Good</v>
          </cell>
          <cell r="AE1677" t="str">
            <v>V3 - Added Installed Facilities (New)</v>
          </cell>
          <cell r="AF1677">
            <v>43444</v>
          </cell>
          <cell r="AG1677">
            <v>1.17</v>
          </cell>
          <cell r="AH1677" t="str">
            <v>RI</v>
          </cell>
          <cell r="AI1677" t="str">
            <v>Strands</v>
          </cell>
          <cell r="AJ1677" t="str">
            <v>Strands PW</v>
          </cell>
        </row>
        <row r="1678">
          <cell r="A1678" t="str">
            <v>IKN401721</v>
          </cell>
          <cell r="B1678">
            <v>1635</v>
          </cell>
          <cell r="C1678" t="str">
            <v>Institut Kanser Negara</v>
          </cell>
          <cell r="D1678" t="str">
            <v>KKM/IKN/R/18/44</v>
          </cell>
          <cell r="E1678" t="str">
            <v>15-309</v>
          </cell>
          <cell r="F1678" t="str">
            <v>Training Manikins, Cardiopulmonary Resuscitation</v>
          </cell>
          <cell r="G1678" t="str">
            <v>AD</v>
          </cell>
          <cell r="H1678" t="str">
            <v>ADMINISTRATION</v>
          </cell>
          <cell r="I1678" t="str">
            <v>06AD122</v>
          </cell>
          <cell r="J1678" t="str">
            <v>SUPERVISOR 1</v>
          </cell>
          <cell r="K1678" t="str">
            <v>BMED</v>
          </cell>
          <cell r="L1678" t="str">
            <v>Normal</v>
          </cell>
          <cell r="M1678" t="str">
            <v>USA</v>
          </cell>
          <cell r="N1678" t="str">
            <v>Laerdal</v>
          </cell>
          <cell r="O1678" t="str">
            <v>Little Anne Torso</v>
          </cell>
          <cell r="P1678" t="str">
            <v>Not Available</v>
          </cell>
          <cell r="Q1678" t="str">
            <v>Not Applicable</v>
          </cell>
          <cell r="R1678" t="str">
            <v>Laerdal Medical Corp</v>
          </cell>
          <cell r="S1678" t="str">
            <v>LAERDAL MALAYSIA SDN BHD</v>
          </cell>
          <cell r="T1678" t="str">
            <v>Functioning</v>
          </cell>
          <cell r="U1678" t="str">
            <v>Asset</v>
          </cell>
          <cell r="V1678">
            <v>1312.5</v>
          </cell>
          <cell r="W1678" t="str">
            <v>KEW</v>
          </cell>
          <cell r="X1678" t="str">
            <v>21/09/2018</v>
          </cell>
          <cell r="Y1678" t="str">
            <v>KEW</v>
          </cell>
          <cell r="Z1678" t="str">
            <v>31/10/2018</v>
          </cell>
          <cell r="AA1678" t="str">
            <v>30/10/2019</v>
          </cell>
          <cell r="AB1678" t="str">
            <v>No</v>
          </cell>
          <cell r="AC1678" t="str">
            <v>31/10/2018</v>
          </cell>
          <cell r="AD1678" t="str">
            <v>Good</v>
          </cell>
          <cell r="AE1678" t="str">
            <v>V3 - Added Installed Facilities (New)</v>
          </cell>
          <cell r="AF1678">
            <v>43444</v>
          </cell>
          <cell r="AG1678">
            <v>1.17</v>
          </cell>
          <cell r="AH1678" t="str">
            <v>RI</v>
          </cell>
          <cell r="AI1678" t="str">
            <v>Strands</v>
          </cell>
          <cell r="AJ1678" t="str">
            <v>Strands PW</v>
          </cell>
        </row>
        <row r="1679">
          <cell r="A1679" t="str">
            <v>IKN401722</v>
          </cell>
          <cell r="B1679">
            <v>1636</v>
          </cell>
          <cell r="C1679" t="str">
            <v>Institut Kanser Negara</v>
          </cell>
          <cell r="D1679" t="str">
            <v>KKM/IKN/R/18/45</v>
          </cell>
          <cell r="E1679" t="str">
            <v>15-309</v>
          </cell>
          <cell r="F1679" t="str">
            <v>Training Manikins, Cardiopulmonary Resuscitation</v>
          </cell>
          <cell r="G1679" t="str">
            <v>AD</v>
          </cell>
          <cell r="H1679" t="str">
            <v>ADMINISTRATION</v>
          </cell>
          <cell r="I1679" t="str">
            <v>06AD122</v>
          </cell>
          <cell r="J1679" t="str">
            <v>SUPERVISOR 1</v>
          </cell>
          <cell r="K1679" t="str">
            <v>BMED</v>
          </cell>
          <cell r="L1679" t="str">
            <v>Normal</v>
          </cell>
          <cell r="M1679" t="str">
            <v>USA</v>
          </cell>
          <cell r="N1679" t="str">
            <v>Laerdal</v>
          </cell>
          <cell r="O1679" t="str">
            <v>Little Anne Torso</v>
          </cell>
          <cell r="P1679" t="str">
            <v>Not Available</v>
          </cell>
          <cell r="Q1679" t="str">
            <v>Not Applicable</v>
          </cell>
          <cell r="R1679" t="str">
            <v>Laerdal Medical Corp</v>
          </cell>
          <cell r="S1679" t="str">
            <v>LAERDAL MALAYSIA SDN BHD</v>
          </cell>
          <cell r="T1679" t="str">
            <v>Functioning</v>
          </cell>
          <cell r="U1679" t="str">
            <v>Asset</v>
          </cell>
          <cell r="V1679">
            <v>1312.5</v>
          </cell>
          <cell r="W1679" t="str">
            <v>KEW</v>
          </cell>
          <cell r="X1679" t="str">
            <v>21/09/2018</v>
          </cell>
          <cell r="Y1679" t="str">
            <v>KEW</v>
          </cell>
          <cell r="Z1679" t="str">
            <v>31/10/2018</v>
          </cell>
          <cell r="AA1679" t="str">
            <v>30/10/2019</v>
          </cell>
          <cell r="AB1679" t="str">
            <v>No</v>
          </cell>
          <cell r="AC1679" t="str">
            <v>31/10/2018</v>
          </cell>
          <cell r="AD1679" t="str">
            <v>Good</v>
          </cell>
          <cell r="AE1679" t="str">
            <v>V3 - Added Installed Facilities (New)</v>
          </cell>
          <cell r="AF1679">
            <v>43444</v>
          </cell>
          <cell r="AG1679">
            <v>1.17</v>
          </cell>
          <cell r="AH1679" t="str">
            <v>RI</v>
          </cell>
          <cell r="AI1679" t="str">
            <v>Strands</v>
          </cell>
          <cell r="AJ1679" t="str">
            <v>Strands PW</v>
          </cell>
        </row>
        <row r="1680">
          <cell r="A1680" t="str">
            <v>IKN401723</v>
          </cell>
          <cell r="B1680">
            <v>1637</v>
          </cell>
          <cell r="C1680" t="str">
            <v>Institut Kanser Negara</v>
          </cell>
          <cell r="D1680" t="str">
            <v>KKM/IKN/R/18/46</v>
          </cell>
          <cell r="E1680" t="str">
            <v>15-309</v>
          </cell>
          <cell r="F1680" t="str">
            <v>Training Manikins, Cardiopulmonary Resuscitation</v>
          </cell>
          <cell r="G1680" t="str">
            <v>AD</v>
          </cell>
          <cell r="H1680" t="str">
            <v>ADMINISTRATION</v>
          </cell>
          <cell r="I1680" t="str">
            <v>06AD122</v>
          </cell>
          <cell r="J1680" t="str">
            <v>SUPERVISOR 1</v>
          </cell>
          <cell r="K1680" t="str">
            <v>BMED</v>
          </cell>
          <cell r="L1680" t="str">
            <v>Normal</v>
          </cell>
          <cell r="M1680" t="str">
            <v>USA</v>
          </cell>
          <cell r="N1680" t="str">
            <v>Laerdal</v>
          </cell>
          <cell r="O1680" t="str">
            <v>Little Anne Torso</v>
          </cell>
          <cell r="P1680" t="str">
            <v>Not Available</v>
          </cell>
          <cell r="Q1680" t="str">
            <v>Not Applicable</v>
          </cell>
          <cell r="R1680" t="str">
            <v>Laerdal Medical Corp</v>
          </cell>
          <cell r="S1680" t="str">
            <v>LAERDAL MALAYSIA SDN BHD</v>
          </cell>
          <cell r="T1680" t="str">
            <v>Functioning</v>
          </cell>
          <cell r="U1680" t="str">
            <v>Asset</v>
          </cell>
          <cell r="V1680">
            <v>1312.5</v>
          </cell>
          <cell r="W1680" t="str">
            <v>KEW</v>
          </cell>
          <cell r="X1680" t="str">
            <v>21/09/2018</v>
          </cell>
          <cell r="Y1680" t="str">
            <v>KEW</v>
          </cell>
          <cell r="Z1680" t="str">
            <v>31/10/2018</v>
          </cell>
          <cell r="AA1680" t="str">
            <v>30/10/2019</v>
          </cell>
          <cell r="AB1680" t="str">
            <v>No</v>
          </cell>
          <cell r="AC1680" t="str">
            <v>31/10/2018</v>
          </cell>
          <cell r="AD1680" t="str">
            <v>Good</v>
          </cell>
          <cell r="AE1680" t="str">
            <v>V3 - Added Installed Facilities (New)</v>
          </cell>
          <cell r="AF1680">
            <v>43444</v>
          </cell>
          <cell r="AG1680">
            <v>1.17</v>
          </cell>
          <cell r="AH1680" t="str">
            <v>RI</v>
          </cell>
          <cell r="AI1680" t="str">
            <v>Strands</v>
          </cell>
          <cell r="AJ1680" t="str">
            <v>Strands PW</v>
          </cell>
        </row>
        <row r="1681">
          <cell r="A1681" t="str">
            <v>IKN401724</v>
          </cell>
          <cell r="B1681">
            <v>1638</v>
          </cell>
          <cell r="C1681" t="str">
            <v>Institut Kanser Negara</v>
          </cell>
          <cell r="D1681" t="str">
            <v>KKM/IKN/R/18/47</v>
          </cell>
          <cell r="E1681" t="str">
            <v>15-309</v>
          </cell>
          <cell r="F1681" t="str">
            <v>Training Manikins, Cardiopulmonary Resuscitation</v>
          </cell>
          <cell r="G1681" t="str">
            <v>AD</v>
          </cell>
          <cell r="H1681" t="str">
            <v>ADMINISTRATION</v>
          </cell>
          <cell r="I1681" t="str">
            <v>06AD122</v>
          </cell>
          <cell r="J1681" t="str">
            <v>SUPERVISOR 1</v>
          </cell>
          <cell r="K1681" t="str">
            <v>BMED</v>
          </cell>
          <cell r="L1681" t="str">
            <v>Normal</v>
          </cell>
          <cell r="M1681" t="str">
            <v>USA</v>
          </cell>
          <cell r="N1681" t="str">
            <v>Laerdal</v>
          </cell>
          <cell r="O1681" t="str">
            <v>Little Anne Torso</v>
          </cell>
          <cell r="P1681" t="str">
            <v>Not Available</v>
          </cell>
          <cell r="Q1681" t="str">
            <v>Not Applicable</v>
          </cell>
          <cell r="R1681" t="str">
            <v>Laerdal Medical Corp</v>
          </cell>
          <cell r="S1681" t="str">
            <v>LAERDAL MALAYSIA SDN BHD</v>
          </cell>
          <cell r="T1681" t="str">
            <v>Functioning</v>
          </cell>
          <cell r="U1681" t="str">
            <v>Asset</v>
          </cell>
          <cell r="V1681">
            <v>1312.5</v>
          </cell>
          <cell r="W1681" t="str">
            <v>KEW</v>
          </cell>
          <cell r="X1681" t="str">
            <v>21/09/2018</v>
          </cell>
          <cell r="Y1681" t="str">
            <v>KEW</v>
          </cell>
          <cell r="Z1681" t="str">
            <v>31/10/2018</v>
          </cell>
          <cell r="AA1681" t="str">
            <v>30/10/2019</v>
          </cell>
          <cell r="AB1681" t="str">
            <v>No</v>
          </cell>
          <cell r="AC1681" t="str">
            <v>31/10/2018</v>
          </cell>
          <cell r="AD1681" t="str">
            <v>Good</v>
          </cell>
          <cell r="AE1681" t="str">
            <v>V3 - Added Installed Facilities (New)</v>
          </cell>
          <cell r="AF1681">
            <v>43444</v>
          </cell>
          <cell r="AG1681">
            <v>1.17</v>
          </cell>
          <cell r="AH1681" t="str">
            <v>RI</v>
          </cell>
          <cell r="AI1681" t="str">
            <v>Strands</v>
          </cell>
          <cell r="AJ1681" t="str">
            <v>Strands PW</v>
          </cell>
        </row>
        <row r="1682">
          <cell r="A1682" t="str">
            <v>IKN401725</v>
          </cell>
          <cell r="B1682">
            <v>1639</v>
          </cell>
          <cell r="C1682" t="str">
            <v>Institut Kanser Negara</v>
          </cell>
          <cell r="D1682" t="str">
            <v>KKM/IKN/R/18/48</v>
          </cell>
          <cell r="E1682" t="str">
            <v>15-309</v>
          </cell>
          <cell r="F1682" t="str">
            <v>Training Manikins, Cardiopulmonary Resuscitation</v>
          </cell>
          <cell r="G1682" t="str">
            <v>AD</v>
          </cell>
          <cell r="H1682" t="str">
            <v>ADMINISTRATION</v>
          </cell>
          <cell r="I1682" t="str">
            <v>06AD122</v>
          </cell>
          <cell r="J1682" t="str">
            <v>SUPERVISOR 1</v>
          </cell>
          <cell r="K1682" t="str">
            <v>BMED</v>
          </cell>
          <cell r="L1682" t="str">
            <v>Normal</v>
          </cell>
          <cell r="M1682" t="str">
            <v>USA</v>
          </cell>
          <cell r="N1682" t="str">
            <v>Laerdal</v>
          </cell>
          <cell r="O1682" t="str">
            <v>Baby Anne</v>
          </cell>
          <cell r="P1682" t="str">
            <v>Not Available</v>
          </cell>
          <cell r="Q1682" t="str">
            <v>Not Applicable</v>
          </cell>
          <cell r="R1682" t="str">
            <v>Laerdal Medical Corp</v>
          </cell>
          <cell r="S1682" t="str">
            <v>LAERDAL MALAYSIA SDN BHD</v>
          </cell>
          <cell r="T1682" t="str">
            <v>Functioning</v>
          </cell>
          <cell r="U1682" t="str">
            <v>Asset</v>
          </cell>
          <cell r="V1682">
            <v>875</v>
          </cell>
          <cell r="W1682" t="str">
            <v>KEW</v>
          </cell>
          <cell r="X1682" t="str">
            <v>21/09/2018</v>
          </cell>
          <cell r="Y1682" t="str">
            <v>KEW</v>
          </cell>
          <cell r="Z1682" t="str">
            <v>31/10/2018</v>
          </cell>
          <cell r="AA1682" t="str">
            <v>30/10/2019</v>
          </cell>
          <cell r="AB1682" t="str">
            <v>No</v>
          </cell>
          <cell r="AC1682" t="str">
            <v>31/10/2018</v>
          </cell>
          <cell r="AD1682" t="str">
            <v>Good</v>
          </cell>
          <cell r="AE1682" t="str">
            <v>V3 - Added Installed Facilities (New)</v>
          </cell>
          <cell r="AF1682">
            <v>43507</v>
          </cell>
          <cell r="AG1682">
            <v>1.17</v>
          </cell>
          <cell r="AH1682" t="str">
            <v>RI</v>
          </cell>
          <cell r="AI1682" t="str">
            <v>Strands</v>
          </cell>
          <cell r="AJ1682" t="str">
            <v>Strands PW</v>
          </cell>
        </row>
        <row r="1683">
          <cell r="A1683" t="str">
            <v>IKN401726</v>
          </cell>
          <cell r="B1683">
            <v>1640</v>
          </cell>
          <cell r="C1683" t="str">
            <v>Institut Kanser Negara</v>
          </cell>
          <cell r="D1683" t="str">
            <v>KKM/IKN/R/18/49</v>
          </cell>
          <cell r="E1683" t="str">
            <v>15-309</v>
          </cell>
          <cell r="F1683" t="str">
            <v>Training Manikins, Cardiopulmonary Resuscitation</v>
          </cell>
          <cell r="G1683" t="str">
            <v>AD</v>
          </cell>
          <cell r="H1683" t="str">
            <v>ADMINISTRATION</v>
          </cell>
          <cell r="I1683" t="str">
            <v>06AD122</v>
          </cell>
          <cell r="J1683" t="str">
            <v>SUPERVISOR 1</v>
          </cell>
          <cell r="K1683" t="str">
            <v>BMED</v>
          </cell>
          <cell r="L1683" t="str">
            <v>Normal</v>
          </cell>
          <cell r="M1683" t="str">
            <v>USA</v>
          </cell>
          <cell r="N1683" t="str">
            <v>Laerdal</v>
          </cell>
          <cell r="O1683" t="str">
            <v>Baby Anne</v>
          </cell>
          <cell r="P1683" t="str">
            <v>Not Available</v>
          </cell>
          <cell r="Q1683" t="str">
            <v>Not Applicable</v>
          </cell>
          <cell r="R1683" t="str">
            <v>Laerdal Medical Corp</v>
          </cell>
          <cell r="S1683" t="str">
            <v>LAERDAL MALAYSIA SDN BHD</v>
          </cell>
          <cell r="T1683" t="str">
            <v>Functioning</v>
          </cell>
          <cell r="U1683" t="str">
            <v>Asset</v>
          </cell>
          <cell r="V1683">
            <v>875</v>
          </cell>
          <cell r="W1683" t="str">
            <v>KEW</v>
          </cell>
          <cell r="X1683" t="str">
            <v>21/09/2018</v>
          </cell>
          <cell r="Y1683" t="str">
            <v>KEW</v>
          </cell>
          <cell r="Z1683" t="str">
            <v>31/10/2018</v>
          </cell>
          <cell r="AA1683" t="str">
            <v>30/10/2019</v>
          </cell>
          <cell r="AB1683" t="str">
            <v>No</v>
          </cell>
          <cell r="AC1683" t="str">
            <v>31/10/2018</v>
          </cell>
          <cell r="AD1683" t="str">
            <v>Good</v>
          </cell>
          <cell r="AE1683" t="str">
            <v>V3 - Added Installed Facilities (New)</v>
          </cell>
          <cell r="AF1683">
            <v>43507</v>
          </cell>
          <cell r="AG1683">
            <v>1.17</v>
          </cell>
          <cell r="AH1683" t="str">
            <v>RI</v>
          </cell>
          <cell r="AI1683" t="str">
            <v>Strands</v>
          </cell>
          <cell r="AJ1683" t="str">
            <v>Strands PW</v>
          </cell>
        </row>
        <row r="1684">
          <cell r="A1684" t="str">
            <v>IKN401727</v>
          </cell>
          <cell r="B1684">
            <v>1641</v>
          </cell>
          <cell r="C1684" t="str">
            <v>Institut Kanser Negara</v>
          </cell>
          <cell r="D1684" t="str">
            <v>KKM/IKN/R/18/50</v>
          </cell>
          <cell r="E1684" t="str">
            <v>15-309</v>
          </cell>
          <cell r="F1684" t="str">
            <v>Training Manikins, Cardiopulmonary Resuscitation</v>
          </cell>
          <cell r="G1684" t="str">
            <v>AD</v>
          </cell>
          <cell r="H1684" t="str">
            <v>ADMINISTRATION</v>
          </cell>
          <cell r="I1684" t="str">
            <v>06AD122</v>
          </cell>
          <cell r="J1684" t="str">
            <v>SUPERVISOR 1</v>
          </cell>
          <cell r="K1684" t="str">
            <v>BMED</v>
          </cell>
          <cell r="L1684" t="str">
            <v>Normal</v>
          </cell>
          <cell r="M1684" t="str">
            <v>USA</v>
          </cell>
          <cell r="N1684" t="str">
            <v>Laerdal</v>
          </cell>
          <cell r="O1684" t="str">
            <v>Baby Anne</v>
          </cell>
          <cell r="P1684" t="str">
            <v>Not Available</v>
          </cell>
          <cell r="Q1684" t="str">
            <v>Not Applicable</v>
          </cell>
          <cell r="R1684" t="str">
            <v>Laerdal Medical Corp</v>
          </cell>
          <cell r="S1684" t="str">
            <v>LAERDAL MALAYSIA SDN BHD</v>
          </cell>
          <cell r="T1684" t="str">
            <v>Functioning</v>
          </cell>
          <cell r="U1684" t="str">
            <v>Asset</v>
          </cell>
          <cell r="V1684">
            <v>875</v>
          </cell>
          <cell r="W1684" t="str">
            <v>KEW</v>
          </cell>
          <cell r="X1684" t="str">
            <v>21/09/2018</v>
          </cell>
          <cell r="Y1684" t="str">
            <v>KEW</v>
          </cell>
          <cell r="Z1684" t="str">
            <v>31/10/2018</v>
          </cell>
          <cell r="AA1684" t="str">
            <v>30/10/2019</v>
          </cell>
          <cell r="AB1684" t="str">
            <v>No</v>
          </cell>
          <cell r="AC1684" t="str">
            <v>31/10/2018</v>
          </cell>
          <cell r="AD1684" t="str">
            <v>Good</v>
          </cell>
          <cell r="AE1684" t="str">
            <v>V3 - Added Installed Facilities (New)</v>
          </cell>
          <cell r="AF1684">
            <v>43507</v>
          </cell>
          <cell r="AG1684">
            <v>1.17</v>
          </cell>
          <cell r="AH1684" t="str">
            <v>RI</v>
          </cell>
          <cell r="AI1684" t="str">
            <v>Strands</v>
          </cell>
          <cell r="AJ1684" t="str">
            <v>Strands PW</v>
          </cell>
        </row>
        <row r="1685">
          <cell r="A1685" t="str">
            <v>IKN401728</v>
          </cell>
          <cell r="B1685">
            <v>1642</v>
          </cell>
          <cell r="C1685" t="str">
            <v>Institut Kanser Negara</v>
          </cell>
          <cell r="D1685" t="str">
            <v>KKM/IKN/R/18/51</v>
          </cell>
          <cell r="E1685" t="str">
            <v>15-309</v>
          </cell>
          <cell r="F1685" t="str">
            <v>Training Manikins, Cardiopulmonary Resuscitation</v>
          </cell>
          <cell r="G1685" t="str">
            <v>AD</v>
          </cell>
          <cell r="H1685" t="str">
            <v>ADMINISTRATION</v>
          </cell>
          <cell r="I1685" t="str">
            <v>06AD122</v>
          </cell>
          <cell r="J1685" t="str">
            <v>SUPERVISOR 1</v>
          </cell>
          <cell r="K1685" t="str">
            <v>BMED</v>
          </cell>
          <cell r="L1685" t="str">
            <v>Normal</v>
          </cell>
          <cell r="M1685" t="str">
            <v>USA</v>
          </cell>
          <cell r="N1685" t="str">
            <v>Laerdal</v>
          </cell>
          <cell r="O1685" t="str">
            <v>Baby Anne</v>
          </cell>
          <cell r="P1685" t="str">
            <v>Not Available</v>
          </cell>
          <cell r="Q1685" t="str">
            <v>Not Applicable</v>
          </cell>
          <cell r="R1685" t="str">
            <v>Laerdal Medical Corp</v>
          </cell>
          <cell r="S1685" t="str">
            <v>LAERDAL MALAYSIA SDN BHD</v>
          </cell>
          <cell r="T1685" t="str">
            <v>Functioning</v>
          </cell>
          <cell r="U1685" t="str">
            <v>Asset</v>
          </cell>
          <cell r="V1685">
            <v>875</v>
          </cell>
          <cell r="W1685" t="str">
            <v>KEW</v>
          </cell>
          <cell r="X1685" t="str">
            <v>21/09/2018</v>
          </cell>
          <cell r="Y1685" t="str">
            <v>KEW</v>
          </cell>
          <cell r="Z1685" t="str">
            <v>31/10/2018</v>
          </cell>
          <cell r="AA1685" t="str">
            <v>30/10/2019</v>
          </cell>
          <cell r="AB1685" t="str">
            <v>No</v>
          </cell>
          <cell r="AC1685" t="str">
            <v>31/10/2018</v>
          </cell>
          <cell r="AD1685" t="str">
            <v>Good</v>
          </cell>
          <cell r="AE1685" t="str">
            <v>V3 - Added Installed Facilities (New)</v>
          </cell>
          <cell r="AF1685">
            <v>43507</v>
          </cell>
          <cell r="AG1685">
            <v>1.17</v>
          </cell>
          <cell r="AH1685" t="str">
            <v>RI</v>
          </cell>
          <cell r="AI1685" t="str">
            <v>Strands</v>
          </cell>
          <cell r="AJ1685" t="str">
            <v>Strands PW</v>
          </cell>
        </row>
        <row r="1686">
          <cell r="A1686" t="str">
            <v>IKN401729</v>
          </cell>
          <cell r="B1686">
            <v>1643</v>
          </cell>
          <cell r="C1686" t="str">
            <v>Institut Kanser Negara</v>
          </cell>
          <cell r="D1686" t="str">
            <v>KKM/IKN/R/18/52</v>
          </cell>
          <cell r="E1686" t="str">
            <v>15-309</v>
          </cell>
          <cell r="F1686" t="str">
            <v>Training Manikins, Cardiopulmonary Resuscitation</v>
          </cell>
          <cell r="G1686" t="str">
            <v>AD</v>
          </cell>
          <cell r="H1686" t="str">
            <v>ADMINISTRATION</v>
          </cell>
          <cell r="I1686" t="str">
            <v>06AD122</v>
          </cell>
          <cell r="J1686" t="str">
            <v>SUPERVISOR 1</v>
          </cell>
          <cell r="K1686" t="str">
            <v>BMED</v>
          </cell>
          <cell r="L1686" t="str">
            <v>Normal</v>
          </cell>
          <cell r="M1686" t="str">
            <v>USA</v>
          </cell>
          <cell r="N1686" t="str">
            <v>Laerdal</v>
          </cell>
          <cell r="O1686" t="str">
            <v>Baby Anne</v>
          </cell>
          <cell r="P1686" t="str">
            <v>Not Available</v>
          </cell>
          <cell r="Q1686" t="str">
            <v>Not Applicable</v>
          </cell>
          <cell r="R1686" t="str">
            <v>Laerdal Medical Corp</v>
          </cell>
          <cell r="S1686" t="str">
            <v>LAERDAL MALAYSIA SDN BHD</v>
          </cell>
          <cell r="T1686" t="str">
            <v>Functioning</v>
          </cell>
          <cell r="U1686" t="str">
            <v>Asset</v>
          </cell>
          <cell r="V1686">
            <v>875</v>
          </cell>
          <cell r="W1686" t="str">
            <v>KEW</v>
          </cell>
          <cell r="X1686" t="str">
            <v>21/09/2018</v>
          </cell>
          <cell r="Y1686" t="str">
            <v>KEW</v>
          </cell>
          <cell r="Z1686" t="str">
            <v>31/10/2018</v>
          </cell>
          <cell r="AA1686" t="str">
            <v>30/10/2019</v>
          </cell>
          <cell r="AB1686" t="str">
            <v>No</v>
          </cell>
          <cell r="AC1686" t="str">
            <v>31/10/2018</v>
          </cell>
          <cell r="AD1686" t="str">
            <v>Good</v>
          </cell>
          <cell r="AE1686" t="str">
            <v>V3 - Added Installed Facilities (New)</v>
          </cell>
          <cell r="AF1686">
            <v>43507</v>
          </cell>
          <cell r="AG1686">
            <v>1.17</v>
          </cell>
          <cell r="AH1686" t="str">
            <v>RI</v>
          </cell>
          <cell r="AI1686" t="str">
            <v>Strands</v>
          </cell>
          <cell r="AJ1686" t="str">
            <v>Strands PW</v>
          </cell>
        </row>
        <row r="1687">
          <cell r="A1687" t="str">
            <v>IKN401730</v>
          </cell>
          <cell r="B1687">
            <v>1644</v>
          </cell>
          <cell r="C1687" t="str">
            <v>Institut Kanser Negara</v>
          </cell>
          <cell r="D1687" t="str">
            <v>KKM/IKN/R/18/53</v>
          </cell>
          <cell r="E1687" t="str">
            <v>15-309</v>
          </cell>
          <cell r="F1687" t="str">
            <v>Training Manikins, Cardiopulmonary Resuscitation</v>
          </cell>
          <cell r="G1687" t="str">
            <v>AD</v>
          </cell>
          <cell r="H1687" t="str">
            <v>ADMINISTRATION</v>
          </cell>
          <cell r="I1687" t="str">
            <v>06AD122</v>
          </cell>
          <cell r="J1687" t="str">
            <v>SUPERVISOR 1</v>
          </cell>
          <cell r="K1687" t="str">
            <v>BMED</v>
          </cell>
          <cell r="L1687" t="str">
            <v>Normal</v>
          </cell>
          <cell r="M1687" t="str">
            <v>USA</v>
          </cell>
          <cell r="N1687" t="str">
            <v>Laerdal</v>
          </cell>
          <cell r="O1687" t="str">
            <v>Baby Anne</v>
          </cell>
          <cell r="P1687" t="str">
            <v>Not Available</v>
          </cell>
          <cell r="Q1687" t="str">
            <v>Not Applicable</v>
          </cell>
          <cell r="R1687" t="str">
            <v>Laerdal Medical Corp</v>
          </cell>
          <cell r="S1687" t="str">
            <v>LAERDAL MALAYSIA SDN BHD</v>
          </cell>
          <cell r="T1687" t="str">
            <v>Functioning</v>
          </cell>
          <cell r="U1687" t="str">
            <v>Asset</v>
          </cell>
          <cell r="V1687">
            <v>875</v>
          </cell>
          <cell r="W1687" t="str">
            <v>KEW</v>
          </cell>
          <cell r="X1687" t="str">
            <v>21/09/2018</v>
          </cell>
          <cell r="Y1687" t="str">
            <v>KEW</v>
          </cell>
          <cell r="Z1687" t="str">
            <v>31/10/2018</v>
          </cell>
          <cell r="AA1687" t="str">
            <v>30/10/2019</v>
          </cell>
          <cell r="AB1687" t="str">
            <v>No</v>
          </cell>
          <cell r="AC1687" t="str">
            <v>31/10/2018</v>
          </cell>
          <cell r="AD1687" t="str">
            <v>Good</v>
          </cell>
          <cell r="AE1687" t="str">
            <v>V3 - Added Installed Facilities (New)</v>
          </cell>
          <cell r="AF1687">
            <v>43507</v>
          </cell>
          <cell r="AG1687">
            <v>1.17</v>
          </cell>
          <cell r="AH1687" t="str">
            <v>RI</v>
          </cell>
          <cell r="AI1687" t="str">
            <v>Strands</v>
          </cell>
          <cell r="AJ1687" t="str">
            <v>Strands PW</v>
          </cell>
        </row>
        <row r="1688">
          <cell r="A1688" t="str">
            <v>IKN401731</v>
          </cell>
          <cell r="B1688">
            <v>1645</v>
          </cell>
          <cell r="C1688" t="str">
            <v>Institut Kanser Negara</v>
          </cell>
          <cell r="D1688" t="str">
            <v>KKM/IKN/R/18/54</v>
          </cell>
          <cell r="E1688" t="str">
            <v>15-309</v>
          </cell>
          <cell r="F1688" t="str">
            <v>Training Manikins, Cardiopulmonary Resuscitation</v>
          </cell>
          <cell r="G1688" t="str">
            <v>AD</v>
          </cell>
          <cell r="H1688" t="str">
            <v>ADMINISTRATION</v>
          </cell>
          <cell r="I1688" t="str">
            <v>06AD122</v>
          </cell>
          <cell r="J1688" t="str">
            <v>SUPERVISOR 1</v>
          </cell>
          <cell r="K1688" t="str">
            <v>BMED</v>
          </cell>
          <cell r="L1688" t="str">
            <v>Normal</v>
          </cell>
          <cell r="M1688" t="str">
            <v>USA</v>
          </cell>
          <cell r="N1688" t="str">
            <v>Laerdal</v>
          </cell>
          <cell r="O1688" t="str">
            <v>Baby Anne</v>
          </cell>
          <cell r="P1688" t="str">
            <v>Not Available</v>
          </cell>
          <cell r="Q1688" t="str">
            <v>Not Applicable</v>
          </cell>
          <cell r="R1688" t="str">
            <v>Laerdal Medical Corp</v>
          </cell>
          <cell r="S1688" t="str">
            <v>LAERDAL MALAYSIA SDN BHD</v>
          </cell>
          <cell r="T1688" t="str">
            <v>Functioning</v>
          </cell>
          <cell r="U1688" t="str">
            <v>Asset</v>
          </cell>
          <cell r="V1688">
            <v>875</v>
          </cell>
          <cell r="W1688" t="str">
            <v>KEW</v>
          </cell>
          <cell r="X1688" t="str">
            <v>21/09/2018</v>
          </cell>
          <cell r="Y1688" t="str">
            <v>KEW</v>
          </cell>
          <cell r="Z1688" t="str">
            <v>31/10/2018</v>
          </cell>
          <cell r="AA1688" t="str">
            <v>30/10/2019</v>
          </cell>
          <cell r="AB1688" t="str">
            <v>No</v>
          </cell>
          <cell r="AC1688" t="str">
            <v>31/10/2018</v>
          </cell>
          <cell r="AD1688" t="str">
            <v>Good</v>
          </cell>
          <cell r="AE1688" t="str">
            <v>V3 - Added Installed Facilities (New)</v>
          </cell>
          <cell r="AF1688">
            <v>43507</v>
          </cell>
          <cell r="AG1688">
            <v>1.17</v>
          </cell>
          <cell r="AH1688" t="str">
            <v>RI</v>
          </cell>
          <cell r="AI1688" t="str">
            <v>Strands</v>
          </cell>
          <cell r="AJ1688" t="str">
            <v>Strands PW</v>
          </cell>
        </row>
        <row r="1689">
          <cell r="A1689" t="str">
            <v>IKN401732</v>
          </cell>
          <cell r="B1689">
            <v>1646</v>
          </cell>
          <cell r="C1689" t="str">
            <v>Institut Kanser Negara</v>
          </cell>
          <cell r="D1689" t="str">
            <v>KKM/IKN/R/18/55</v>
          </cell>
          <cell r="E1689" t="str">
            <v>15-309</v>
          </cell>
          <cell r="F1689" t="str">
            <v>Training Manikins, Cardiopulmonary Resuscitation</v>
          </cell>
          <cell r="G1689" t="str">
            <v>AD</v>
          </cell>
          <cell r="H1689" t="str">
            <v>ADMINISTRATION</v>
          </cell>
          <cell r="I1689" t="str">
            <v>06AD122</v>
          </cell>
          <cell r="J1689" t="str">
            <v>SUPERVISOR 1</v>
          </cell>
          <cell r="K1689" t="str">
            <v>BMED</v>
          </cell>
          <cell r="L1689" t="str">
            <v>Normal</v>
          </cell>
          <cell r="M1689" t="str">
            <v>USA</v>
          </cell>
          <cell r="N1689" t="str">
            <v>Laerdal</v>
          </cell>
          <cell r="O1689" t="str">
            <v>Baby Anne</v>
          </cell>
          <cell r="P1689" t="str">
            <v>Not Available</v>
          </cell>
          <cell r="Q1689" t="str">
            <v>Not Applicable</v>
          </cell>
          <cell r="R1689" t="str">
            <v>Laerdal Medical Corp</v>
          </cell>
          <cell r="S1689" t="str">
            <v>LAERDAL MALAYSIA SDN BHD</v>
          </cell>
          <cell r="T1689" t="str">
            <v>Functioning</v>
          </cell>
          <cell r="U1689" t="str">
            <v>Asset</v>
          </cell>
          <cell r="V1689">
            <v>875</v>
          </cell>
          <cell r="W1689" t="str">
            <v>KEW</v>
          </cell>
          <cell r="X1689" t="str">
            <v>21/09/2018</v>
          </cell>
          <cell r="Y1689" t="str">
            <v>KEW</v>
          </cell>
          <cell r="Z1689" t="str">
            <v>31/10/2018</v>
          </cell>
          <cell r="AA1689" t="str">
            <v>30/10/2019</v>
          </cell>
          <cell r="AB1689" t="str">
            <v>No</v>
          </cell>
          <cell r="AC1689" t="str">
            <v>31/10/2018</v>
          </cell>
          <cell r="AD1689" t="str">
            <v>Good</v>
          </cell>
          <cell r="AE1689" t="str">
            <v>V3 - Added Installed Facilities (New)</v>
          </cell>
          <cell r="AF1689">
            <v>43507</v>
          </cell>
          <cell r="AG1689">
            <v>1.17</v>
          </cell>
          <cell r="AH1689" t="str">
            <v>RI</v>
          </cell>
          <cell r="AI1689" t="str">
            <v>Strands</v>
          </cell>
          <cell r="AJ1689" t="str">
            <v>Strands PW</v>
          </cell>
        </row>
        <row r="1690">
          <cell r="A1690" t="str">
            <v>IKN401733</v>
          </cell>
          <cell r="B1690">
            <v>1647</v>
          </cell>
          <cell r="C1690" t="str">
            <v>Institut Kanser Negara</v>
          </cell>
          <cell r="D1690" t="str">
            <v>KKM/IKN/H/18/20</v>
          </cell>
          <cell r="E1690" t="str">
            <v>15-309</v>
          </cell>
          <cell r="F1690" t="str">
            <v>Training Manikins, Cardiopulmonary Resuscitation</v>
          </cell>
          <cell r="G1690" t="str">
            <v>AD</v>
          </cell>
          <cell r="H1690" t="str">
            <v>ADMINISTRATION</v>
          </cell>
          <cell r="I1690" t="str">
            <v>06AD122</v>
          </cell>
          <cell r="J1690" t="str">
            <v>SUPERVISOR 1</v>
          </cell>
          <cell r="K1690" t="str">
            <v>BMED</v>
          </cell>
          <cell r="L1690" t="str">
            <v>Normal</v>
          </cell>
          <cell r="M1690" t="str">
            <v>USA</v>
          </cell>
          <cell r="N1690" t="str">
            <v>Laerdal</v>
          </cell>
          <cell r="O1690" t="str">
            <v>Choking Charlie</v>
          </cell>
          <cell r="P1690" t="str">
            <v>Not Available</v>
          </cell>
          <cell r="Q1690" t="str">
            <v>Not Applicable</v>
          </cell>
          <cell r="R1690" t="str">
            <v>Laerdal Medical Corp</v>
          </cell>
          <cell r="S1690" t="str">
            <v>LAERDAL MALAYSIA SDN BHD</v>
          </cell>
          <cell r="T1690" t="str">
            <v>Functioning</v>
          </cell>
          <cell r="U1690" t="str">
            <v>Asset</v>
          </cell>
          <cell r="V1690">
            <v>4482</v>
          </cell>
          <cell r="W1690" t="str">
            <v>KEW</v>
          </cell>
          <cell r="X1690" t="str">
            <v>20/09/2018</v>
          </cell>
          <cell r="Y1690" t="str">
            <v>KEW</v>
          </cell>
          <cell r="Z1690" t="str">
            <v>31/10/2018</v>
          </cell>
          <cell r="AA1690" t="str">
            <v>31/10/2018</v>
          </cell>
          <cell r="AB1690" t="str">
            <v>No</v>
          </cell>
          <cell r="AC1690" t="str">
            <v>31/10/2018</v>
          </cell>
          <cell r="AD1690" t="str">
            <v>Good</v>
          </cell>
          <cell r="AE1690" t="str">
            <v>V3 - Added Installed Facilities (New)</v>
          </cell>
          <cell r="AF1690">
            <v>43482</v>
          </cell>
          <cell r="AG1690">
            <v>1.17</v>
          </cell>
          <cell r="AH1690" t="str">
            <v>RI</v>
          </cell>
          <cell r="AI1690" t="str">
            <v>Strands</v>
          </cell>
          <cell r="AJ1690" t="str">
            <v>Strands PW</v>
          </cell>
        </row>
        <row r="1691">
          <cell r="A1691" t="str">
            <v>IKN401734</v>
          </cell>
          <cell r="B1691">
            <v>1648</v>
          </cell>
          <cell r="C1691" t="str">
            <v>Institut Kanser Negara</v>
          </cell>
          <cell r="D1691" t="str">
            <v>KKM/IKN/H/00/1</v>
          </cell>
          <cell r="E1691" t="str">
            <v>18-449</v>
          </cell>
          <cell r="F1691" t="str">
            <v>Balances, Electronic, Analytical</v>
          </cell>
          <cell r="G1691" t="str">
            <v>NM</v>
          </cell>
          <cell r="H1691" t="str">
            <v>NUCLEAR MED (DIAGNOSTIC)</v>
          </cell>
          <cell r="I1691" t="str">
            <v>03NM153</v>
          </cell>
          <cell r="J1691" t="str">
            <v>PHYSICS LAB</v>
          </cell>
          <cell r="K1691" t="str">
            <v>BMED</v>
          </cell>
          <cell r="L1691" t="str">
            <v>Normal</v>
          </cell>
          <cell r="M1691" t="str">
            <v>Switzerland</v>
          </cell>
          <cell r="N1691" t="str">
            <v>Precisa Instrument AG</v>
          </cell>
          <cell r="O1691" t="str">
            <v>125 A SCS</v>
          </cell>
          <cell r="P1691" t="str">
            <v>41705</v>
          </cell>
          <cell r="Q1691" t="str">
            <v>Not Applicable</v>
          </cell>
          <cell r="R1691" t="str">
            <v>PRECISA</v>
          </cell>
          <cell r="S1691" t="str">
            <v>Bumi Jiwa Sdn. Bhd.</v>
          </cell>
          <cell r="T1691" t="str">
            <v>Functioning</v>
          </cell>
          <cell r="U1691" t="str">
            <v>Asset</v>
          </cell>
          <cell r="V1691">
            <v>6617</v>
          </cell>
          <cell r="W1691" t="str">
            <v>KEW</v>
          </cell>
          <cell r="X1691" t="str">
            <v>05/05/2000</v>
          </cell>
          <cell r="Y1691" t="str">
            <v>KEW</v>
          </cell>
          <cell r="Z1691" t="str">
            <v>05/05/2000</v>
          </cell>
          <cell r="AA1691" t="str">
            <v>04/05/2001</v>
          </cell>
          <cell r="AB1691" t="str">
            <v>No</v>
          </cell>
          <cell r="AC1691" t="str">
            <v>08/02/2019</v>
          </cell>
          <cell r="AD1691" t="str">
            <v>Good</v>
          </cell>
          <cell r="AE1691" t="str">
            <v>V3 - Added Installed Facilities (New)</v>
          </cell>
          <cell r="AF1691">
            <v>43663</v>
          </cell>
          <cell r="AG1691">
            <v>19.5</v>
          </cell>
          <cell r="AH1691" t="str">
            <v>PPM</v>
          </cell>
          <cell r="AI1691" t="str">
            <v>Strands</v>
          </cell>
          <cell r="AJ1691" t="str">
            <v>Strands PW</v>
          </cell>
          <cell r="AK1691" t="str">
            <v>SNF received. 1st batch of V3 asset (December 2020)</v>
          </cell>
        </row>
        <row r="1692">
          <cell r="A1692" t="str">
            <v>IKN401735</v>
          </cell>
          <cell r="B1692">
            <v>1649</v>
          </cell>
          <cell r="C1692" t="str">
            <v>Institut Kanser Negara</v>
          </cell>
          <cell r="D1692" t="str">
            <v>KKM/IKN/H/13/3988</v>
          </cell>
          <cell r="E1692" t="str">
            <v>13-275</v>
          </cell>
          <cell r="F1692" t="str">
            <v>Calibrators, Radioisotope</v>
          </cell>
          <cell r="G1692" t="str">
            <v>NM</v>
          </cell>
          <cell r="H1692" t="str">
            <v>NUCLEAR MED (DIAGNOSTIC)</v>
          </cell>
          <cell r="I1692" t="str">
            <v>03NM153A</v>
          </cell>
          <cell r="J1692" t="str">
            <v>PET CT, HPJ</v>
          </cell>
          <cell r="K1692" t="str">
            <v>BMED</v>
          </cell>
          <cell r="L1692" t="str">
            <v>Normal</v>
          </cell>
          <cell r="M1692" t="str">
            <v>USA</v>
          </cell>
          <cell r="N1692" t="str">
            <v>Atomlab</v>
          </cell>
          <cell r="O1692" t="str">
            <v>Atomlab 500</v>
          </cell>
          <cell r="P1692">
            <v>12080700</v>
          </cell>
          <cell r="Q1692" t="str">
            <v>Not Applicable</v>
          </cell>
          <cell r="R1692" t="str">
            <v>Biodex Medical Systems Inc</v>
          </cell>
          <cell r="S1692" t="str">
            <v>Biodex Medical Systems Inc</v>
          </cell>
          <cell r="T1692" t="str">
            <v>Functioning</v>
          </cell>
          <cell r="U1692" t="str">
            <v>Asset</v>
          </cell>
          <cell r="V1692">
            <v>60390</v>
          </cell>
          <cell r="W1692" t="str">
            <v>KEW</v>
          </cell>
          <cell r="X1692" t="str">
            <v>01/09/2010</v>
          </cell>
          <cell r="Y1692" t="str">
            <v>KEW</v>
          </cell>
          <cell r="Z1692" t="str">
            <v>16/08/2013</v>
          </cell>
          <cell r="AA1692" t="str">
            <v>15/08/2015</v>
          </cell>
          <cell r="AB1692" t="str">
            <v>No</v>
          </cell>
          <cell r="AC1692" t="str">
            <v>16/08/2013</v>
          </cell>
          <cell r="AD1692" t="str">
            <v>Good</v>
          </cell>
          <cell r="AE1692" t="str">
            <v>V10 - Asset in initial fee submission(new/replacement hosp)</v>
          </cell>
          <cell r="AF1692">
            <v>43669</v>
          </cell>
          <cell r="AG1692">
            <v>9.17</v>
          </cell>
          <cell r="AH1692" t="str">
            <v>PPM</v>
          </cell>
          <cell r="AI1692" t="str">
            <v>package</v>
          </cell>
          <cell r="AJ1692" t="str">
            <v>Proposed for V3 P2.24</v>
          </cell>
          <cell r="AK1692" t="str">
            <v>[28/2/2024] ANIS: UPDATE KKM NO., PRICE, TYPE CODE: 13275-001.</v>
          </cell>
        </row>
        <row r="1693">
          <cell r="A1693" t="str">
            <v>IKN401736</v>
          </cell>
          <cell r="B1693">
            <v>1650</v>
          </cell>
          <cell r="C1693" t="str">
            <v>Institut Kanser Negara</v>
          </cell>
          <cell r="D1693" t="str">
            <v>KKM/IKN/H/13/3989</v>
          </cell>
          <cell r="E1693" t="str">
            <v>13-275</v>
          </cell>
          <cell r="F1693" t="str">
            <v>Calibrators, Radioisotope</v>
          </cell>
          <cell r="G1693" t="str">
            <v>NM</v>
          </cell>
          <cell r="H1693" t="str">
            <v>NUCLEAR MED (DIAGNOSTIC)</v>
          </cell>
          <cell r="I1693" t="str">
            <v>03NM153A</v>
          </cell>
          <cell r="J1693" t="str">
            <v>PET CT, HPJ</v>
          </cell>
          <cell r="K1693" t="str">
            <v>BMED</v>
          </cell>
          <cell r="L1693" t="str">
            <v>Normal</v>
          </cell>
          <cell r="M1693" t="str">
            <v>USA</v>
          </cell>
          <cell r="N1693" t="str">
            <v>Atomlab</v>
          </cell>
          <cell r="O1693" t="str">
            <v>Atomlab 500</v>
          </cell>
          <cell r="P1693" t="str">
            <v>12080702</v>
          </cell>
          <cell r="Q1693" t="str">
            <v>Not Applicable</v>
          </cell>
          <cell r="R1693" t="str">
            <v>Biodex Medical Systems Inc</v>
          </cell>
          <cell r="S1693" t="str">
            <v>Biodex Medical Systems Inc</v>
          </cell>
          <cell r="T1693" t="str">
            <v>Functioning</v>
          </cell>
          <cell r="U1693" t="str">
            <v>Asset</v>
          </cell>
          <cell r="V1693">
            <v>20000</v>
          </cell>
          <cell r="W1693" t="str">
            <v>KEW</v>
          </cell>
          <cell r="X1693" t="str">
            <v>01/09/2010</v>
          </cell>
          <cell r="Y1693" t="str">
            <v>KEW</v>
          </cell>
          <cell r="Z1693" t="str">
            <v>16/08/2013</v>
          </cell>
          <cell r="AA1693" t="str">
            <v>15/08/2015</v>
          </cell>
          <cell r="AB1693" t="str">
            <v>No</v>
          </cell>
          <cell r="AC1693" t="str">
            <v>16/08/2013</v>
          </cell>
          <cell r="AD1693" t="str">
            <v>Good</v>
          </cell>
          <cell r="AE1693" t="str">
            <v>V10 - Asset in initial fee submission(new/replacement hosp)</v>
          </cell>
          <cell r="AF1693">
            <v>43669</v>
          </cell>
          <cell r="AG1693">
            <v>9.17</v>
          </cell>
          <cell r="AH1693" t="str">
            <v>PPM</v>
          </cell>
          <cell r="AI1693" t="str">
            <v>package</v>
          </cell>
        </row>
        <row r="1694">
          <cell r="A1694" t="str">
            <v>IKN401991</v>
          </cell>
          <cell r="B1694">
            <v>1651</v>
          </cell>
          <cell r="C1694" t="str">
            <v>Institut Kanser Negara</v>
          </cell>
          <cell r="D1694" t="e">
            <v>#N/A</v>
          </cell>
          <cell r="E1694" t="str">
            <v>12-956</v>
          </cell>
          <cell r="F1694" t="str">
            <v>Baths, Paraffin, Physical Therapy</v>
          </cell>
          <cell r="G1694" t="str">
            <v>RT</v>
          </cell>
          <cell r="H1694" t="str">
            <v>RADIATION TREATMENT UNIT</v>
          </cell>
          <cell r="I1694" t="str">
            <v>01RT118</v>
          </cell>
          <cell r="J1694" t="str">
            <v>CT SIMULATOR 2</v>
          </cell>
          <cell r="K1694" t="str">
            <v>BMED</v>
          </cell>
          <cell r="L1694" t="str">
            <v>Normal</v>
          </cell>
          <cell r="M1694" t="str">
            <v>USA</v>
          </cell>
          <cell r="N1694" t="str">
            <v>Civco</v>
          </cell>
          <cell r="O1694" t="str">
            <v>MTRH 1500 EX</v>
          </cell>
          <cell r="P1694" t="str">
            <v>5848</v>
          </cell>
          <cell r="Q1694" t="str">
            <v>Not Applicable</v>
          </cell>
          <cell r="R1694" t="str">
            <v>Civco</v>
          </cell>
          <cell r="S1694" t="str">
            <v>Civco</v>
          </cell>
          <cell r="T1694" t="str">
            <v>Functioning</v>
          </cell>
          <cell r="U1694" t="str">
            <v>Asset</v>
          </cell>
          <cell r="V1694">
            <v>1</v>
          </cell>
          <cell r="W1694" t="str">
            <v>KEW</v>
          </cell>
          <cell r="X1694" t="str">
            <v>01/09/2010</v>
          </cell>
          <cell r="Y1694" t="str">
            <v>KEW</v>
          </cell>
          <cell r="Z1694" t="str">
            <v>16/08/2013</v>
          </cell>
          <cell r="AA1694" t="str">
            <v>15/08/2015</v>
          </cell>
          <cell r="AB1694" t="str">
            <v>No</v>
          </cell>
          <cell r="AC1694" t="str">
            <v>31/08/2013</v>
          </cell>
          <cell r="AD1694" t="str">
            <v>Good</v>
          </cell>
          <cell r="AE1694" t="str">
            <v>V1 - Existing / No Claim</v>
          </cell>
          <cell r="AF1694">
            <v>43455</v>
          </cell>
          <cell r="AG1694">
            <v>9.17</v>
          </cell>
          <cell r="AH1694" t="str">
            <v>PPM</v>
          </cell>
          <cell r="AI1694" t="str">
            <v>package</v>
          </cell>
        </row>
        <row r="1695">
          <cell r="A1695" t="str">
            <v>IKN401993</v>
          </cell>
          <cell r="B1695">
            <v>1652</v>
          </cell>
          <cell r="C1695" t="str">
            <v>Institut Kanser Negara</v>
          </cell>
          <cell r="D1695" t="e">
            <v>#N/A</v>
          </cell>
          <cell r="E1695" t="str">
            <v>12-956</v>
          </cell>
          <cell r="F1695" t="str">
            <v>Baths, Paraffin, Physical Therapy</v>
          </cell>
          <cell r="G1695" t="str">
            <v>RT</v>
          </cell>
          <cell r="H1695" t="str">
            <v>RADIATION TREATMENT UNIT</v>
          </cell>
          <cell r="I1695" t="str">
            <v>01RT116</v>
          </cell>
          <cell r="J1695" t="str">
            <v>CT SIMULATOR 1</v>
          </cell>
          <cell r="K1695" t="str">
            <v>BMED</v>
          </cell>
          <cell r="L1695" t="str">
            <v>Normal</v>
          </cell>
          <cell r="M1695" t="str">
            <v>USA</v>
          </cell>
          <cell r="N1695" t="str">
            <v>Civco</v>
          </cell>
          <cell r="O1695" t="str">
            <v>MTRH 1500 EX</v>
          </cell>
          <cell r="P1695" t="str">
            <v>5866</v>
          </cell>
          <cell r="Q1695" t="str">
            <v>Not Applicable</v>
          </cell>
          <cell r="R1695" t="str">
            <v>Civco</v>
          </cell>
          <cell r="S1695" t="str">
            <v>Civco</v>
          </cell>
          <cell r="T1695" t="str">
            <v>Functioning</v>
          </cell>
          <cell r="U1695" t="str">
            <v>Asset</v>
          </cell>
          <cell r="V1695">
            <v>1</v>
          </cell>
          <cell r="W1695" t="str">
            <v>KEW</v>
          </cell>
          <cell r="X1695" t="str">
            <v>01/09/2010</v>
          </cell>
          <cell r="Y1695" t="str">
            <v>KEW</v>
          </cell>
          <cell r="Z1695" t="str">
            <v>16/08/2013</v>
          </cell>
          <cell r="AA1695" t="str">
            <v>15/08/2015</v>
          </cell>
          <cell r="AB1695" t="str">
            <v>No</v>
          </cell>
          <cell r="AC1695" t="str">
            <v>31/08/2013</v>
          </cell>
          <cell r="AD1695" t="str">
            <v>Good</v>
          </cell>
          <cell r="AE1695" t="str">
            <v>V1 - Existing / No Claim</v>
          </cell>
          <cell r="AF1695">
            <v>43455</v>
          </cell>
          <cell r="AG1695">
            <v>9.17</v>
          </cell>
          <cell r="AH1695" t="str">
            <v>PPM</v>
          </cell>
          <cell r="AI1695" t="str">
            <v>package</v>
          </cell>
        </row>
        <row r="1696">
          <cell r="A1696" t="str">
            <v>IKN401998</v>
          </cell>
          <cell r="B1696">
            <v>1653</v>
          </cell>
          <cell r="C1696" t="str">
            <v>Institut Kanser Negara</v>
          </cell>
          <cell r="D1696" t="e">
            <v>#N/A</v>
          </cell>
          <cell r="E1696" t="str">
            <v>16-287</v>
          </cell>
          <cell r="F1696" t="str">
            <v>Hot Plates</v>
          </cell>
          <cell r="G1696" t="str">
            <v>PF</v>
          </cell>
          <cell r="H1696" t="str">
            <v>IN-PATIENT PHARMACY</v>
          </cell>
          <cell r="I1696" t="str">
            <v>05PF110</v>
          </cell>
          <cell r="J1696" t="str">
            <v>EXTERNAL PREP</v>
          </cell>
          <cell r="K1696" t="str">
            <v>BMED</v>
          </cell>
          <cell r="L1696" t="str">
            <v>Normal</v>
          </cell>
          <cell r="M1696" t="str">
            <v>UK</v>
          </cell>
          <cell r="N1696" t="str">
            <v>STUART</v>
          </cell>
          <cell r="O1696" t="str">
            <v>SB160</v>
          </cell>
          <cell r="P1696" t="str">
            <v>R400000338</v>
          </cell>
          <cell r="Q1696" t="str">
            <v>Not Applicable</v>
          </cell>
          <cell r="R1696" t="str">
            <v>STUART</v>
          </cell>
          <cell r="S1696" t="str">
            <v>STUART</v>
          </cell>
          <cell r="T1696" t="str">
            <v>Functioning</v>
          </cell>
          <cell r="U1696" t="str">
            <v>Asset</v>
          </cell>
          <cell r="V1696">
            <v>2170</v>
          </cell>
          <cell r="W1696" t="str">
            <v>Estimate</v>
          </cell>
          <cell r="X1696" t="str">
            <v>01/09/2010</v>
          </cell>
          <cell r="Y1696" t="str">
            <v>Estimate</v>
          </cell>
          <cell r="Z1696" t="str">
            <v>16/08/2013</v>
          </cell>
          <cell r="AA1696" t="str">
            <v>15/08/2015</v>
          </cell>
          <cell r="AB1696" t="str">
            <v>No</v>
          </cell>
          <cell r="AC1696" t="str">
            <v>31/08/2013</v>
          </cell>
          <cell r="AD1696" t="str">
            <v>Good</v>
          </cell>
          <cell r="AE1696" t="str">
            <v>V1 - Existing / No Claim</v>
          </cell>
          <cell r="AF1696">
            <v>42867</v>
          </cell>
          <cell r="AG1696">
            <v>9.17</v>
          </cell>
          <cell r="AH1696" t="str">
            <v>RI</v>
          </cell>
          <cell r="AI1696" t="str">
            <v>Not in contract</v>
          </cell>
        </row>
        <row r="1697">
          <cell r="A1697" t="str">
            <v>IKN401999</v>
          </cell>
          <cell r="B1697">
            <v>1654</v>
          </cell>
          <cell r="C1697" t="str">
            <v>Institut Kanser Negara</v>
          </cell>
          <cell r="D1697" t="str">
            <v>KKM/IKN/H/13/4881</v>
          </cell>
          <cell r="E1697" t="str">
            <v>10-263</v>
          </cell>
          <cell r="F1697" t="str">
            <v>Balances, Electronic</v>
          </cell>
          <cell r="G1697" t="str">
            <v>PF</v>
          </cell>
          <cell r="H1697" t="str">
            <v>IN-PATIENT PHARMACY</v>
          </cell>
          <cell r="I1697" t="str">
            <v>05PF110</v>
          </cell>
          <cell r="J1697" t="str">
            <v>EXTERNAL PREP</v>
          </cell>
          <cell r="K1697" t="str">
            <v>BMED</v>
          </cell>
          <cell r="L1697" t="str">
            <v>Normal</v>
          </cell>
          <cell r="M1697" t="str">
            <v>Germany</v>
          </cell>
          <cell r="N1697" t="str">
            <v>Sartorius</v>
          </cell>
          <cell r="O1697" t="str">
            <v>Sartorius</v>
          </cell>
          <cell r="P1697" t="str">
            <v>Not Available</v>
          </cell>
          <cell r="Q1697" t="str">
            <v>Not Applicable</v>
          </cell>
          <cell r="R1697" t="str">
            <v>Sartorius AG</v>
          </cell>
          <cell r="S1697" t="str">
            <v>Sartorius AG</v>
          </cell>
          <cell r="T1697" t="str">
            <v>Functioning</v>
          </cell>
          <cell r="U1697" t="str">
            <v>Asset</v>
          </cell>
          <cell r="V1697">
            <v>3850</v>
          </cell>
          <cell r="W1697" t="str">
            <v>KEW</v>
          </cell>
          <cell r="X1697" t="str">
            <v>01/09/2010</v>
          </cell>
          <cell r="Y1697" t="str">
            <v>Estimate</v>
          </cell>
          <cell r="Z1697" t="str">
            <v>16/08/2013</v>
          </cell>
          <cell r="AA1697" t="str">
            <v>15/08/2015</v>
          </cell>
          <cell r="AB1697" t="str">
            <v>No</v>
          </cell>
          <cell r="AC1697" t="str">
            <v>31/08/2013</v>
          </cell>
          <cell r="AD1697" t="str">
            <v>Good</v>
          </cell>
          <cell r="AE1697" t="str">
            <v>V1 - Existing / No Claim</v>
          </cell>
          <cell r="AF1697">
            <v>42867</v>
          </cell>
          <cell r="AG1697">
            <v>9.17</v>
          </cell>
          <cell r="AH1697" t="str">
            <v>PPM</v>
          </cell>
          <cell r="AI1697" t="str">
            <v>Strands</v>
          </cell>
          <cell r="AJ1697" t="str">
            <v>Strands PW</v>
          </cell>
        </row>
        <row r="1698">
          <cell r="A1698" t="str">
            <v>IKN402000</v>
          </cell>
          <cell r="B1698">
            <v>1655</v>
          </cell>
          <cell r="C1698" t="str">
            <v>Institut Kanser Negara</v>
          </cell>
          <cell r="D1698" t="str">
            <v>KKM/IKN/H/13/4874</v>
          </cell>
          <cell r="E1698" t="str">
            <v>15-651</v>
          </cell>
          <cell r="F1698" t="str">
            <v>Stirrers</v>
          </cell>
          <cell r="G1698" t="str">
            <v>PF</v>
          </cell>
          <cell r="H1698" t="str">
            <v>IN-PATIENT PHARMACY</v>
          </cell>
          <cell r="I1698" t="str">
            <v>05PF110</v>
          </cell>
          <cell r="J1698" t="str">
            <v>EXTERNAL PREP</v>
          </cell>
          <cell r="K1698" t="str">
            <v>BMED</v>
          </cell>
          <cell r="L1698" t="str">
            <v>Normal</v>
          </cell>
          <cell r="M1698" t="str">
            <v>United States</v>
          </cell>
          <cell r="N1698" t="str">
            <v>SILVERSON</v>
          </cell>
          <cell r="O1698" t="str">
            <v>AX5</v>
          </cell>
          <cell r="P1698" t="str">
            <v>10082</v>
          </cell>
          <cell r="Q1698" t="str">
            <v>Not Applicable</v>
          </cell>
          <cell r="R1698" t="str">
            <v>FISHER SCIENTIFIC</v>
          </cell>
          <cell r="S1698" t="str">
            <v>FISHER SCIENTIFIC</v>
          </cell>
          <cell r="T1698" t="str">
            <v>Functioning</v>
          </cell>
          <cell r="U1698" t="str">
            <v>Asset</v>
          </cell>
          <cell r="V1698">
            <v>5520</v>
          </cell>
          <cell r="W1698" t="str">
            <v>KEW</v>
          </cell>
          <cell r="X1698" t="str">
            <v>01/09/2010</v>
          </cell>
          <cell r="Y1698" t="str">
            <v>Estimate</v>
          </cell>
          <cell r="Z1698" t="str">
            <v>16/08/2013</v>
          </cell>
          <cell r="AA1698" t="str">
            <v>15/08/2015</v>
          </cell>
          <cell r="AB1698" t="str">
            <v>No</v>
          </cell>
          <cell r="AC1698" t="str">
            <v>31/08/2013</v>
          </cell>
          <cell r="AD1698" t="str">
            <v>Good</v>
          </cell>
          <cell r="AE1698" t="str">
            <v>V1 - Existing / No Claim</v>
          </cell>
          <cell r="AF1698">
            <v>42867</v>
          </cell>
          <cell r="AG1698">
            <v>9.17</v>
          </cell>
          <cell r="AH1698" t="str">
            <v>PPM</v>
          </cell>
          <cell r="AI1698" t="str">
            <v>Strands</v>
          </cell>
          <cell r="AJ1698" t="str">
            <v>Strands PW</v>
          </cell>
        </row>
        <row r="1699">
          <cell r="A1699" t="str">
            <v>IKN402004</v>
          </cell>
          <cell r="B1699">
            <v>1659</v>
          </cell>
          <cell r="C1699" t="str">
            <v>Institut Kanser Negara</v>
          </cell>
          <cell r="D1699" t="str">
            <v>KKM/IKN/H/19/25</v>
          </cell>
          <cell r="E1699" t="str">
            <v>18-191</v>
          </cell>
          <cell r="F1699" t="str">
            <v>Scanning Systems, Laser, Optical Tomography</v>
          </cell>
          <cell r="G1699" t="str">
            <v>RT</v>
          </cell>
          <cell r="H1699" t="str">
            <v>RADIATION TREATMENT UNIT</v>
          </cell>
          <cell r="I1699" t="str">
            <v>01RT172</v>
          </cell>
          <cell r="J1699" t="str">
            <v>LINAC ROOM 3</v>
          </cell>
          <cell r="K1699" t="str">
            <v>BMED</v>
          </cell>
          <cell r="L1699" t="str">
            <v>Normal</v>
          </cell>
          <cell r="M1699" t="str">
            <v>Sweden</v>
          </cell>
          <cell r="N1699" t="str">
            <v>CATALYST/SENTINEL 4DCT</v>
          </cell>
          <cell r="O1699" t="str">
            <v>SENTINEL 4DCT/LS200</v>
          </cell>
          <cell r="P1699" t="str">
            <v>HY-003.04-0446</v>
          </cell>
          <cell r="Q1699" t="str">
            <v>Not Applicable</v>
          </cell>
          <cell r="R1699" t="str">
            <v>C-RAD</v>
          </cell>
          <cell r="S1699" t="str">
            <v>ABEX MEDICAL SYSTEM SDN BHD</v>
          </cell>
          <cell r="T1699" t="str">
            <v>Functioning</v>
          </cell>
          <cell r="U1699" t="str">
            <v>Asset</v>
          </cell>
          <cell r="V1699">
            <v>2185000</v>
          </cell>
          <cell r="W1699" t="str">
            <v>KEW</v>
          </cell>
          <cell r="X1699">
            <v>43749</v>
          </cell>
          <cell r="Y1699" t="str">
            <v>KEW</v>
          </cell>
          <cell r="Z1699">
            <v>43768</v>
          </cell>
          <cell r="AA1699">
            <v>44499</v>
          </cell>
          <cell r="AB1699" t="str">
            <v>No</v>
          </cell>
          <cell r="AC1699">
            <v>43768</v>
          </cell>
          <cell r="AD1699" t="str">
            <v>Good</v>
          </cell>
          <cell r="AE1699" t="str">
            <v>V3 - Added Installed Facilities (New)</v>
          </cell>
          <cell r="AH1699" t="str">
            <v>PPM</v>
          </cell>
          <cell r="AI1699" t="str">
            <v>Strands</v>
          </cell>
          <cell r="AJ1699" t="str">
            <v>Strands PW</v>
          </cell>
          <cell r="AK1699" t="str">
            <v>SNF received for P2.19</v>
          </cell>
        </row>
        <row r="1700">
          <cell r="A1700" t="str">
            <v>IKN402005</v>
          </cell>
          <cell r="B1700">
            <v>1660</v>
          </cell>
          <cell r="C1700" t="str">
            <v>Institut Kanser Negara</v>
          </cell>
          <cell r="D1700" t="str">
            <v>KKM/IKN/H/19/26</v>
          </cell>
          <cell r="E1700" t="str">
            <v>12-093</v>
          </cell>
          <cell r="F1700" t="str">
            <v>Immobilizers</v>
          </cell>
          <cell r="G1700" t="str">
            <v>RT</v>
          </cell>
          <cell r="H1700" t="str">
            <v>RADIATION TREATMENT UNIT</v>
          </cell>
          <cell r="I1700" t="str">
            <v>01RT118</v>
          </cell>
          <cell r="J1700" t="str">
            <v>CT SIMULATOR 2</v>
          </cell>
          <cell r="K1700" t="str">
            <v>BMED</v>
          </cell>
          <cell r="L1700" t="str">
            <v>Normal</v>
          </cell>
          <cell r="P1700" t="str">
            <v>271S1132G008</v>
          </cell>
          <cell r="Q1700" t="str">
            <v>Not Applicable</v>
          </cell>
          <cell r="R1700" t="str">
            <v>ORFIT INDUSTRIES</v>
          </cell>
          <cell r="S1700" t="str">
            <v>ABEX MEDICAL SYSTEM SDN BHD</v>
          </cell>
          <cell r="T1700" t="str">
            <v>Functioning</v>
          </cell>
          <cell r="U1700" t="str">
            <v>Asset</v>
          </cell>
          <cell r="V1700">
            <v>115000</v>
          </cell>
          <cell r="W1700" t="str">
            <v>KEW</v>
          </cell>
          <cell r="X1700">
            <v>43749</v>
          </cell>
          <cell r="Y1700" t="str">
            <v>KEW</v>
          </cell>
          <cell r="Z1700">
            <v>43768</v>
          </cell>
          <cell r="AA1700">
            <v>44499</v>
          </cell>
          <cell r="AB1700" t="str">
            <v>No</v>
          </cell>
          <cell r="AC1700">
            <v>43768</v>
          </cell>
          <cell r="AD1700" t="str">
            <v>Good</v>
          </cell>
          <cell r="AE1700" t="str">
            <v>V3 - Added Installed Facilities (New)</v>
          </cell>
          <cell r="AH1700" t="str">
            <v>PPM</v>
          </cell>
          <cell r="AI1700" t="str">
            <v>Strands</v>
          </cell>
          <cell r="AJ1700" t="str">
            <v>Strands PW</v>
          </cell>
          <cell r="AK1700" t="str">
            <v>SNF received for P2.19. Vendor/User inform no maintenance.</v>
          </cell>
        </row>
        <row r="1701">
          <cell r="A1701" t="str">
            <v>IKN402006</v>
          </cell>
          <cell r="B1701">
            <v>1661</v>
          </cell>
          <cell r="C1701" t="str">
            <v>Institut Kanser Negara</v>
          </cell>
          <cell r="D1701" t="str">
            <v>KKM/IKN/H/20/4</v>
          </cell>
          <cell r="E1701" t="str">
            <v>12-873</v>
          </cell>
          <cell r="F1701" t="str">
            <v>Concentrators, Oxygen</v>
          </cell>
          <cell r="G1701" t="str">
            <v>PC</v>
          </cell>
          <cell r="H1701" t="str">
            <v>PALLIATIVE CARE UNIT</v>
          </cell>
          <cell r="I1701" t="str">
            <v>04PC109</v>
          </cell>
          <cell r="J1701" t="str">
            <v>GEN. STORE</v>
          </cell>
          <cell r="K1701" t="str">
            <v>BMED</v>
          </cell>
          <cell r="L1701" t="str">
            <v>Normal</v>
          </cell>
          <cell r="M1701" t="str">
            <v>USA</v>
          </cell>
          <cell r="N1701" t="str">
            <v>EverFlo</v>
          </cell>
          <cell r="O1701" t="str">
            <v>EverFlo 5 LPM</v>
          </cell>
          <cell r="P1701" t="str">
            <v>0048251</v>
          </cell>
          <cell r="Q1701" t="str">
            <v>Not Applicable</v>
          </cell>
          <cell r="R1701" t="str">
            <v>Respironics</v>
          </cell>
          <cell r="S1701" t="str">
            <v>Philips</v>
          </cell>
          <cell r="T1701" t="str">
            <v>Functioning</v>
          </cell>
          <cell r="U1701" t="str">
            <v>Asset</v>
          </cell>
          <cell r="V1701">
            <v>3333.33</v>
          </cell>
          <cell r="W1701" t="str">
            <v>KEW</v>
          </cell>
          <cell r="X1701">
            <v>43866</v>
          </cell>
          <cell r="Y1701" t="str">
            <v>KEW</v>
          </cell>
          <cell r="Z1701">
            <v>43892</v>
          </cell>
          <cell r="AA1701">
            <v>44257</v>
          </cell>
          <cell r="AB1701" t="str">
            <v>No</v>
          </cell>
          <cell r="AC1701">
            <v>43955</v>
          </cell>
          <cell r="AD1701" t="str">
            <v>Good</v>
          </cell>
          <cell r="AE1701" t="str">
            <v>V3 - Added Installed Facilities (New)</v>
          </cell>
          <cell r="AH1701" t="str">
            <v>PPM</v>
          </cell>
          <cell r="AI1701" t="str">
            <v>Strands</v>
          </cell>
          <cell r="AJ1701" t="str">
            <v>Strands PW</v>
          </cell>
          <cell r="AK1701" t="str">
            <v>SNF received on 10.3.2020</v>
          </cell>
        </row>
        <row r="1702">
          <cell r="A1702" t="str">
            <v>IKN402007</v>
          </cell>
          <cell r="B1702">
            <v>1662</v>
          </cell>
          <cell r="C1702" t="str">
            <v>Institut Kanser Negara</v>
          </cell>
          <cell r="D1702" t="str">
            <v>KKM/IKN/H/20/6</v>
          </cell>
          <cell r="E1702" t="str">
            <v>12-873</v>
          </cell>
          <cell r="F1702" t="str">
            <v>Concentrators, Oxygen</v>
          </cell>
          <cell r="G1702" t="str">
            <v>PC</v>
          </cell>
          <cell r="H1702" t="str">
            <v>PALLIATIVE CARE UNIT</v>
          </cell>
          <cell r="I1702" t="str">
            <v>04PC109</v>
          </cell>
          <cell r="J1702" t="str">
            <v>GEN. STORE</v>
          </cell>
          <cell r="K1702" t="str">
            <v>BMED</v>
          </cell>
          <cell r="L1702" t="str">
            <v>Normal</v>
          </cell>
          <cell r="M1702" t="str">
            <v>USA</v>
          </cell>
          <cell r="N1702" t="str">
            <v>EverFlo</v>
          </cell>
          <cell r="O1702" t="str">
            <v>EverFlo 5 LPM</v>
          </cell>
          <cell r="P1702" t="str">
            <v>0048108</v>
          </cell>
          <cell r="Q1702" t="str">
            <v>Not Applicable</v>
          </cell>
          <cell r="R1702" t="str">
            <v>Respironics</v>
          </cell>
          <cell r="S1702" t="str">
            <v>Philips</v>
          </cell>
          <cell r="T1702" t="str">
            <v>Functioning</v>
          </cell>
          <cell r="U1702" t="str">
            <v>Asset</v>
          </cell>
          <cell r="V1702">
            <v>3333.33</v>
          </cell>
          <cell r="W1702" t="str">
            <v>KEW</v>
          </cell>
          <cell r="X1702">
            <v>43866</v>
          </cell>
          <cell r="Y1702" t="str">
            <v>KEW</v>
          </cell>
          <cell r="Z1702">
            <v>43892</v>
          </cell>
          <cell r="AA1702">
            <v>44257</v>
          </cell>
          <cell r="AB1702" t="str">
            <v>No</v>
          </cell>
          <cell r="AC1702">
            <v>43955</v>
          </cell>
          <cell r="AD1702" t="str">
            <v>Good</v>
          </cell>
          <cell r="AE1702" t="str">
            <v>V3 - Added Installed Facilities (New)</v>
          </cell>
          <cell r="AH1702" t="str">
            <v>PPM</v>
          </cell>
          <cell r="AI1702" t="str">
            <v>Strands</v>
          </cell>
          <cell r="AJ1702" t="str">
            <v>Strands PW</v>
          </cell>
          <cell r="AK1702" t="str">
            <v>SNF received on 10.3.2020</v>
          </cell>
        </row>
        <row r="1703">
          <cell r="A1703" t="str">
            <v>IKN402008</v>
          </cell>
          <cell r="B1703">
            <v>1663</v>
          </cell>
          <cell r="C1703" t="str">
            <v>Institut Kanser Negara</v>
          </cell>
          <cell r="D1703" t="str">
            <v>KKM/IKN/H/20/5</v>
          </cell>
          <cell r="E1703" t="str">
            <v>12-873</v>
          </cell>
          <cell r="F1703" t="str">
            <v>Concentrators, Oxygen</v>
          </cell>
          <cell r="G1703" t="str">
            <v>PC</v>
          </cell>
          <cell r="H1703" t="str">
            <v>PALLIATIVE CARE UNIT</v>
          </cell>
          <cell r="I1703" t="str">
            <v>04PC109</v>
          </cell>
          <cell r="J1703" t="str">
            <v>GEN. STORE</v>
          </cell>
          <cell r="K1703" t="str">
            <v>BMED</v>
          </cell>
          <cell r="L1703" t="str">
            <v>Normal</v>
          </cell>
          <cell r="M1703" t="str">
            <v>USA</v>
          </cell>
          <cell r="N1703" t="str">
            <v>EverFlo</v>
          </cell>
          <cell r="O1703" t="str">
            <v>EverFlo 5 LPM</v>
          </cell>
          <cell r="P1703" t="str">
            <v>0048258</v>
          </cell>
          <cell r="Q1703" t="str">
            <v>Not Applicable</v>
          </cell>
          <cell r="R1703" t="str">
            <v>Respironics</v>
          </cell>
          <cell r="S1703" t="str">
            <v>Philips</v>
          </cell>
          <cell r="T1703" t="str">
            <v>Functioning</v>
          </cell>
          <cell r="U1703" t="str">
            <v>Asset</v>
          </cell>
          <cell r="V1703">
            <v>3333.33</v>
          </cell>
          <cell r="W1703" t="str">
            <v>KEW</v>
          </cell>
          <cell r="X1703">
            <v>43866</v>
          </cell>
          <cell r="Y1703" t="str">
            <v>KEW</v>
          </cell>
          <cell r="Z1703">
            <v>43892</v>
          </cell>
          <cell r="AA1703">
            <v>44257</v>
          </cell>
          <cell r="AB1703" t="str">
            <v>No</v>
          </cell>
          <cell r="AC1703">
            <v>43955</v>
          </cell>
          <cell r="AD1703" t="str">
            <v>Good</v>
          </cell>
          <cell r="AE1703" t="str">
            <v>V3 - Added Installed Facilities (New)</v>
          </cell>
          <cell r="AH1703" t="str">
            <v>PPM</v>
          </cell>
          <cell r="AI1703" t="str">
            <v>Strands</v>
          </cell>
          <cell r="AJ1703" t="str">
            <v>Strands PW</v>
          </cell>
          <cell r="AK1703" t="str">
            <v>SNF received on 10.3.2020</v>
          </cell>
        </row>
        <row r="1704">
          <cell r="A1704" t="str">
            <v>IKN402009</v>
          </cell>
          <cell r="B1704">
            <v>1664</v>
          </cell>
          <cell r="C1704" t="str">
            <v>Institut Kanser Negara</v>
          </cell>
          <cell r="D1704" t="str">
            <v>KKM/IKN/H/20/7</v>
          </cell>
          <cell r="E1704" t="str">
            <v>12-873</v>
          </cell>
          <cell r="F1704" t="str">
            <v>Concentrators, Oxygen</v>
          </cell>
          <cell r="G1704" t="str">
            <v>PC</v>
          </cell>
          <cell r="H1704" t="str">
            <v>PALLIATIVE CARE UNIT</v>
          </cell>
          <cell r="I1704" t="str">
            <v>04PC109</v>
          </cell>
          <cell r="J1704" t="str">
            <v>GEN. STORE</v>
          </cell>
          <cell r="K1704" t="str">
            <v>BMED</v>
          </cell>
          <cell r="L1704" t="str">
            <v>Normal</v>
          </cell>
          <cell r="M1704" t="str">
            <v>USA</v>
          </cell>
          <cell r="N1704" t="str">
            <v>EverFlo</v>
          </cell>
          <cell r="O1704" t="str">
            <v>EverFlo</v>
          </cell>
          <cell r="P1704" t="str">
            <v>0049759</v>
          </cell>
          <cell r="Q1704" t="str">
            <v>Not Applicable</v>
          </cell>
          <cell r="R1704" t="str">
            <v>Respironics</v>
          </cell>
          <cell r="S1704" t="str">
            <v>Philips</v>
          </cell>
          <cell r="T1704" t="str">
            <v>Functioning</v>
          </cell>
          <cell r="U1704" t="str">
            <v>Asset</v>
          </cell>
          <cell r="V1704">
            <v>3400</v>
          </cell>
          <cell r="W1704" t="str">
            <v>KEW</v>
          </cell>
          <cell r="X1704">
            <v>43866</v>
          </cell>
          <cell r="Y1704" t="str">
            <v>KEW</v>
          </cell>
          <cell r="Z1704">
            <v>43892</v>
          </cell>
          <cell r="AA1704">
            <v>44257</v>
          </cell>
          <cell r="AB1704" t="str">
            <v>No</v>
          </cell>
          <cell r="AC1704">
            <v>43955</v>
          </cell>
          <cell r="AD1704" t="str">
            <v>Good</v>
          </cell>
          <cell r="AE1704" t="str">
            <v>V3 - Added Installed Facilities (New)</v>
          </cell>
          <cell r="AH1704" t="str">
            <v>PPM</v>
          </cell>
          <cell r="AI1704" t="str">
            <v>Strands</v>
          </cell>
          <cell r="AJ1704" t="str">
            <v>Strands PW</v>
          </cell>
          <cell r="AK1704" t="str">
            <v>SNF received on 10.3.2020</v>
          </cell>
        </row>
        <row r="1705">
          <cell r="A1705" t="str">
            <v>IKN402010</v>
          </cell>
          <cell r="B1705">
            <v>1665</v>
          </cell>
          <cell r="C1705" t="str">
            <v>Institut Kanser Negara</v>
          </cell>
          <cell r="D1705" t="str">
            <v>KKM/IKN/H/20/3</v>
          </cell>
          <cell r="E1705" t="str">
            <v>12-873</v>
          </cell>
          <cell r="F1705" t="str">
            <v>Concentrators, Oxygen</v>
          </cell>
          <cell r="G1705" t="str">
            <v>PC</v>
          </cell>
          <cell r="H1705" t="str">
            <v>PALLIATIVE CARE UNIT</v>
          </cell>
          <cell r="I1705" t="str">
            <v>04PC109</v>
          </cell>
          <cell r="J1705" t="str">
            <v>GEN. STORE</v>
          </cell>
          <cell r="K1705" t="str">
            <v>BMED</v>
          </cell>
          <cell r="L1705" t="str">
            <v>Normal</v>
          </cell>
          <cell r="M1705" t="str">
            <v>USA</v>
          </cell>
          <cell r="N1705" t="str">
            <v>EverFlo</v>
          </cell>
          <cell r="O1705" t="str">
            <v>EverFlo</v>
          </cell>
          <cell r="P1705" t="str">
            <v>0050005</v>
          </cell>
          <cell r="Q1705" t="str">
            <v>Not Applicable</v>
          </cell>
          <cell r="R1705" t="str">
            <v>Respironics</v>
          </cell>
          <cell r="S1705" t="str">
            <v>Philips</v>
          </cell>
          <cell r="T1705" t="str">
            <v>Functioning</v>
          </cell>
          <cell r="U1705" t="str">
            <v>Asset</v>
          </cell>
          <cell r="V1705">
            <v>3400</v>
          </cell>
          <cell r="W1705" t="str">
            <v>KEW</v>
          </cell>
          <cell r="X1705">
            <v>43866</v>
          </cell>
          <cell r="Y1705" t="str">
            <v>KEW</v>
          </cell>
          <cell r="Z1705">
            <v>43892</v>
          </cell>
          <cell r="AA1705">
            <v>44257</v>
          </cell>
          <cell r="AB1705" t="str">
            <v>No</v>
          </cell>
          <cell r="AC1705">
            <v>43955</v>
          </cell>
          <cell r="AD1705" t="str">
            <v>Good</v>
          </cell>
          <cell r="AE1705" t="str">
            <v>V3 - Added Installed Facilities (New)</v>
          </cell>
          <cell r="AH1705" t="str">
            <v>PPM</v>
          </cell>
          <cell r="AI1705" t="str">
            <v>Strands</v>
          </cell>
          <cell r="AJ1705" t="str">
            <v>Strands PW</v>
          </cell>
          <cell r="AK1705" t="str">
            <v>SNF received on 10.3.2020</v>
          </cell>
        </row>
        <row r="1706">
          <cell r="A1706" t="str">
            <v>IKN402011</v>
          </cell>
          <cell r="B1706">
            <v>1666</v>
          </cell>
          <cell r="C1706" t="str">
            <v>Institut Kanser Negara</v>
          </cell>
          <cell r="D1706" t="str">
            <v>KKM/IKN/R/20/21</v>
          </cell>
          <cell r="E1706" t="str">
            <v>15-663</v>
          </cell>
          <cell r="F1706" t="str">
            <v>Pipetters</v>
          </cell>
          <cell r="G1706" t="str">
            <v>LA</v>
          </cell>
          <cell r="H1706" t="str">
            <v>PATHOLOGY</v>
          </cell>
          <cell r="I1706" t="str">
            <v>04LA127</v>
          </cell>
          <cell r="J1706" t="str">
            <v>INNOCULATION/STAINING</v>
          </cell>
          <cell r="K1706" t="str">
            <v>BMED</v>
          </cell>
          <cell r="L1706" t="str">
            <v>Normal</v>
          </cell>
          <cell r="M1706" t="str">
            <v>Germany</v>
          </cell>
          <cell r="N1706" t="str">
            <v>Eppendorf</v>
          </cell>
          <cell r="O1706" t="str">
            <v>Eppendorf Research</v>
          </cell>
          <cell r="P1706" t="str">
            <v>186349Z</v>
          </cell>
          <cell r="Q1706" t="str">
            <v>Not Applicable</v>
          </cell>
          <cell r="R1706" t="str">
            <v>Eppendorf</v>
          </cell>
          <cell r="S1706" t="str">
            <v>MEDIGENE SDN BHD</v>
          </cell>
          <cell r="T1706" t="str">
            <v>Functioning</v>
          </cell>
          <cell r="U1706" t="str">
            <v>Asset</v>
          </cell>
          <cell r="V1706">
            <v>1000</v>
          </cell>
          <cell r="W1706" t="str">
            <v>KEW</v>
          </cell>
          <cell r="X1706">
            <v>43944</v>
          </cell>
          <cell r="Y1706" t="str">
            <v>KEW</v>
          </cell>
          <cell r="Z1706">
            <v>43950</v>
          </cell>
          <cell r="AA1706">
            <v>44315</v>
          </cell>
          <cell r="AB1706" t="str">
            <v>No</v>
          </cell>
          <cell r="AC1706">
            <v>43950</v>
          </cell>
          <cell r="AD1706" t="str">
            <v>Good</v>
          </cell>
          <cell r="AE1706" t="str">
            <v>V3 - Added Installed Facilities (New)</v>
          </cell>
          <cell r="AH1706" t="str">
            <v>PPM</v>
          </cell>
          <cell r="AI1706" t="str">
            <v>Strands</v>
          </cell>
          <cell r="AJ1706" t="str">
            <v>Strands PW</v>
          </cell>
          <cell r="AK1706" t="str">
            <v>SNF received on 29.5.2020</v>
          </cell>
        </row>
        <row r="1707">
          <cell r="A1707" t="str">
            <v>IKN402012</v>
          </cell>
          <cell r="B1707">
            <v>1667</v>
          </cell>
          <cell r="C1707" t="str">
            <v>Institut Kanser Negara</v>
          </cell>
          <cell r="D1707" t="str">
            <v>KKM/IKN/R/20/22</v>
          </cell>
          <cell r="E1707" t="str">
            <v>15-663</v>
          </cell>
          <cell r="F1707" t="str">
            <v>Pipetters</v>
          </cell>
          <cell r="G1707" t="str">
            <v>LA</v>
          </cell>
          <cell r="H1707" t="str">
            <v>PATHOLOGY</v>
          </cell>
          <cell r="I1707" t="str">
            <v>04LA127</v>
          </cell>
          <cell r="J1707" t="str">
            <v>INNOCULATION/STAINING</v>
          </cell>
          <cell r="K1707" t="str">
            <v>BMED</v>
          </cell>
          <cell r="L1707" t="str">
            <v>Normal</v>
          </cell>
          <cell r="M1707" t="str">
            <v>Germany</v>
          </cell>
          <cell r="N1707" t="str">
            <v>Eppendorf</v>
          </cell>
          <cell r="O1707" t="str">
            <v>Eppendorf Research</v>
          </cell>
          <cell r="P1707" t="str">
            <v>L31563I</v>
          </cell>
          <cell r="Q1707" t="str">
            <v>Not Applicable</v>
          </cell>
          <cell r="R1707" t="str">
            <v>Eppendorf</v>
          </cell>
          <cell r="S1707" t="str">
            <v>MEDIGENE SDN BHD</v>
          </cell>
          <cell r="T1707" t="str">
            <v>Functioning</v>
          </cell>
          <cell r="U1707" t="str">
            <v>Asset</v>
          </cell>
          <cell r="V1707">
            <v>1000</v>
          </cell>
          <cell r="W1707" t="str">
            <v>KEW</v>
          </cell>
          <cell r="X1707">
            <v>43944</v>
          </cell>
          <cell r="Y1707" t="str">
            <v>KEW</v>
          </cell>
          <cell r="Z1707">
            <v>43950</v>
          </cell>
          <cell r="AA1707">
            <v>44315</v>
          </cell>
          <cell r="AB1707" t="str">
            <v>No</v>
          </cell>
          <cell r="AC1707">
            <v>43950</v>
          </cell>
          <cell r="AD1707" t="str">
            <v>Good</v>
          </cell>
          <cell r="AE1707" t="str">
            <v>V3 - Added Installed Facilities (New)</v>
          </cell>
          <cell r="AH1707" t="str">
            <v>PPM</v>
          </cell>
          <cell r="AI1707" t="str">
            <v>Strands</v>
          </cell>
          <cell r="AJ1707" t="str">
            <v>Strands PW</v>
          </cell>
          <cell r="AK1707" t="str">
            <v>SNF received on 29.5.2020. [17/5/2024, INDIRA]: Update SN.</v>
          </cell>
        </row>
        <row r="1708">
          <cell r="A1708" t="str">
            <v>IKN402013</v>
          </cell>
          <cell r="B1708">
            <v>1668</v>
          </cell>
          <cell r="C1708" t="str">
            <v>Institut Kanser Negara</v>
          </cell>
          <cell r="D1708" t="str">
            <v>KKM/IKN/H/20/23</v>
          </cell>
          <cell r="E1708" t="str">
            <v>15-663</v>
          </cell>
          <cell r="F1708" t="str">
            <v>Pipetters</v>
          </cell>
          <cell r="G1708" t="str">
            <v>LA</v>
          </cell>
          <cell r="H1708" t="str">
            <v>PATHOLOGY</v>
          </cell>
          <cell r="I1708" t="str">
            <v>04LA127</v>
          </cell>
          <cell r="J1708" t="str">
            <v>INNOCULATION/STAINING</v>
          </cell>
          <cell r="K1708" t="str">
            <v>BMED</v>
          </cell>
          <cell r="L1708" t="str">
            <v>Normal</v>
          </cell>
          <cell r="M1708" t="str">
            <v>Germany</v>
          </cell>
          <cell r="N1708" t="str">
            <v>Eppendorf</v>
          </cell>
          <cell r="O1708" t="str">
            <v>Eppendorf Research Plus</v>
          </cell>
          <cell r="P1708" t="str">
            <v>R26347I</v>
          </cell>
          <cell r="Q1708" t="str">
            <v>Not Applicable</v>
          </cell>
          <cell r="R1708" t="str">
            <v>Eppendorf</v>
          </cell>
          <cell r="S1708" t="str">
            <v>MEDIGENE SDN BHD</v>
          </cell>
          <cell r="T1708" t="str">
            <v>Functioning</v>
          </cell>
          <cell r="U1708" t="str">
            <v>Asset</v>
          </cell>
          <cell r="V1708">
            <v>1000</v>
          </cell>
          <cell r="W1708" t="str">
            <v>KEW</v>
          </cell>
          <cell r="X1708">
            <v>43944</v>
          </cell>
          <cell r="Y1708" t="str">
            <v>KEW</v>
          </cell>
          <cell r="Z1708">
            <v>43950</v>
          </cell>
          <cell r="AA1708">
            <v>44315</v>
          </cell>
          <cell r="AB1708" t="str">
            <v>No</v>
          </cell>
          <cell r="AC1708">
            <v>43950</v>
          </cell>
          <cell r="AD1708" t="str">
            <v>Good</v>
          </cell>
          <cell r="AE1708" t="str">
            <v>V3 - Added Installed Facilities (New)</v>
          </cell>
          <cell r="AH1708" t="str">
            <v>PPM</v>
          </cell>
          <cell r="AI1708" t="str">
            <v>Strands</v>
          </cell>
          <cell r="AJ1708" t="str">
            <v>Strands PW SET</v>
          </cell>
          <cell r="AK1708" t="str">
            <v>SNF received on 29.5.2020. CUBA CHECK KEWPA IKN402032. [17/5/2024, INDIRA]: Update SN.</v>
          </cell>
        </row>
        <row r="1709">
          <cell r="A1709" t="str">
            <v>IKN402014</v>
          </cell>
          <cell r="B1709">
            <v>1669</v>
          </cell>
          <cell r="C1709" t="str">
            <v>Institut Kanser Negara</v>
          </cell>
          <cell r="D1709" t="str">
            <v>KKM/IKN/H/20/14</v>
          </cell>
          <cell r="E1709" t="str">
            <v>15-663</v>
          </cell>
          <cell r="F1709" t="str">
            <v>Pipetters</v>
          </cell>
          <cell r="G1709" t="str">
            <v>LA</v>
          </cell>
          <cell r="H1709" t="str">
            <v>PATHOLOGY</v>
          </cell>
          <cell r="I1709" t="str">
            <v>04LA127</v>
          </cell>
          <cell r="J1709" t="str">
            <v>INNOCULATION/STAINING</v>
          </cell>
          <cell r="K1709" t="str">
            <v>BMED</v>
          </cell>
          <cell r="L1709" t="str">
            <v>Normal</v>
          </cell>
          <cell r="M1709" t="str">
            <v>Germany</v>
          </cell>
          <cell r="N1709" t="str">
            <v>Eppendorf</v>
          </cell>
          <cell r="O1709" t="str">
            <v>Eppendorf Research Plus</v>
          </cell>
          <cell r="P1709" t="str">
            <v>R25079I</v>
          </cell>
          <cell r="Q1709" t="str">
            <v>Not Applicable</v>
          </cell>
          <cell r="R1709" t="str">
            <v>Eppendorf</v>
          </cell>
          <cell r="S1709" t="str">
            <v>MEDIGENE SDN BHD</v>
          </cell>
          <cell r="T1709" t="str">
            <v>Functioning</v>
          </cell>
          <cell r="U1709" t="str">
            <v>Asset</v>
          </cell>
          <cell r="V1709">
            <v>3883</v>
          </cell>
          <cell r="W1709" t="str">
            <v>KEW</v>
          </cell>
          <cell r="X1709">
            <v>43944</v>
          </cell>
          <cell r="Y1709" t="str">
            <v>KEW</v>
          </cell>
          <cell r="Z1709">
            <v>43950</v>
          </cell>
          <cell r="AA1709">
            <v>44315</v>
          </cell>
          <cell r="AB1709" t="str">
            <v>No</v>
          </cell>
          <cell r="AC1709">
            <v>43950</v>
          </cell>
          <cell r="AD1709" t="str">
            <v>Good</v>
          </cell>
          <cell r="AE1709" t="str">
            <v>V3 - Added Installed Facilities (New)</v>
          </cell>
          <cell r="AH1709" t="str">
            <v>PPM</v>
          </cell>
          <cell r="AI1709" t="str">
            <v>Strands</v>
          </cell>
          <cell r="AJ1709" t="str">
            <v>Strands PW</v>
          </cell>
          <cell r="AK1709" t="str">
            <v>SNF received on 29.5.2020. [17/5/2024, INDIRA]: Update SN.</v>
          </cell>
        </row>
        <row r="1710">
          <cell r="A1710" t="str">
            <v>IKN402015</v>
          </cell>
          <cell r="B1710">
            <v>1670</v>
          </cell>
          <cell r="C1710" t="str">
            <v>Institut Kanser Negara</v>
          </cell>
          <cell r="D1710" t="str">
            <v>KKM/IKN/R/20/19</v>
          </cell>
          <cell r="E1710" t="str">
            <v>15-663</v>
          </cell>
          <cell r="F1710" t="str">
            <v>Pipetters</v>
          </cell>
          <cell r="G1710" t="str">
            <v>LA</v>
          </cell>
          <cell r="H1710" t="str">
            <v>PATHOLOGY</v>
          </cell>
          <cell r="I1710" t="str">
            <v>04LA127</v>
          </cell>
          <cell r="J1710" t="str">
            <v>INNOCULATION/STAINING</v>
          </cell>
          <cell r="K1710" t="str">
            <v>BMED</v>
          </cell>
          <cell r="L1710" t="str">
            <v>Normal</v>
          </cell>
          <cell r="M1710" t="str">
            <v>Germany</v>
          </cell>
          <cell r="N1710" t="str">
            <v>Eppendorf</v>
          </cell>
          <cell r="O1710" t="str">
            <v>Eppendorf Research Plus</v>
          </cell>
          <cell r="P1710" t="str">
            <v>R25612I</v>
          </cell>
          <cell r="Q1710" t="str">
            <v>Not Applicable</v>
          </cell>
          <cell r="R1710" t="str">
            <v>Eppendorf</v>
          </cell>
          <cell r="S1710" t="str">
            <v>MEDIGENE SDN BHD</v>
          </cell>
          <cell r="T1710" t="str">
            <v>Functioning</v>
          </cell>
          <cell r="U1710" t="str">
            <v>Asset</v>
          </cell>
          <cell r="V1710">
            <v>1000</v>
          </cell>
          <cell r="W1710" t="str">
            <v>KEW</v>
          </cell>
          <cell r="X1710">
            <v>43944</v>
          </cell>
          <cell r="Y1710" t="str">
            <v>KEW</v>
          </cell>
          <cell r="Z1710">
            <v>43950</v>
          </cell>
          <cell r="AA1710">
            <v>44315</v>
          </cell>
          <cell r="AB1710" t="str">
            <v>No</v>
          </cell>
          <cell r="AC1710">
            <v>43950</v>
          </cell>
          <cell r="AD1710" t="str">
            <v>Good</v>
          </cell>
          <cell r="AE1710" t="str">
            <v>V3 - Added Installed Facilities (New)</v>
          </cell>
          <cell r="AH1710" t="str">
            <v>PPM</v>
          </cell>
          <cell r="AI1710" t="str">
            <v>Strands</v>
          </cell>
          <cell r="AJ1710" t="str">
            <v>Strands PW</v>
          </cell>
          <cell r="AK1710" t="str">
            <v>SNF received on 29.5.2020. [17/5/2024, INDIRA]: Update SN.</v>
          </cell>
        </row>
        <row r="1711">
          <cell r="A1711" t="str">
            <v>IKN402016</v>
          </cell>
          <cell r="B1711">
            <v>1671</v>
          </cell>
          <cell r="C1711" t="str">
            <v>Institut Kanser Negara</v>
          </cell>
          <cell r="D1711" t="str">
            <v>KKM/IKN/R/20/20</v>
          </cell>
          <cell r="E1711" t="str">
            <v>15-663</v>
          </cell>
          <cell r="F1711" t="str">
            <v>Pipetters</v>
          </cell>
          <cell r="G1711" t="str">
            <v>LA</v>
          </cell>
          <cell r="H1711" t="str">
            <v>PATHOLOGY</v>
          </cell>
          <cell r="I1711" t="str">
            <v>04LA127</v>
          </cell>
          <cell r="J1711" t="str">
            <v>INNOCULATION/STAINING</v>
          </cell>
          <cell r="K1711" t="str">
            <v>BMED</v>
          </cell>
          <cell r="L1711" t="str">
            <v>Normal</v>
          </cell>
          <cell r="M1711" t="str">
            <v>Germany</v>
          </cell>
          <cell r="N1711" t="str">
            <v>Eppendorf</v>
          </cell>
          <cell r="O1711" t="str">
            <v>Eppendorf Research Plus</v>
          </cell>
          <cell r="P1711" t="str">
            <v>R10153I</v>
          </cell>
          <cell r="Q1711" t="str">
            <v>Not Applicable</v>
          </cell>
          <cell r="R1711" t="str">
            <v>Eppendorf</v>
          </cell>
          <cell r="S1711" t="str">
            <v>MEDIGENE SDN BHD</v>
          </cell>
          <cell r="T1711" t="str">
            <v>Functioning</v>
          </cell>
          <cell r="U1711" t="str">
            <v>Asset</v>
          </cell>
          <cell r="V1711">
            <v>1000</v>
          </cell>
          <cell r="W1711" t="str">
            <v>KEW</v>
          </cell>
          <cell r="X1711">
            <v>43944</v>
          </cell>
          <cell r="Y1711" t="str">
            <v>KEW</v>
          </cell>
          <cell r="Z1711">
            <v>43950</v>
          </cell>
          <cell r="AA1711">
            <v>44315</v>
          </cell>
          <cell r="AB1711" t="str">
            <v>No</v>
          </cell>
          <cell r="AC1711">
            <v>43950</v>
          </cell>
          <cell r="AD1711" t="str">
            <v>Good</v>
          </cell>
          <cell r="AE1711" t="str">
            <v>V3 - Added Installed Facilities (New)</v>
          </cell>
          <cell r="AH1711" t="str">
            <v>PPM</v>
          </cell>
          <cell r="AI1711" t="str">
            <v>Strands</v>
          </cell>
          <cell r="AJ1711" t="str">
            <v>Strands PW</v>
          </cell>
          <cell r="AK1711" t="str">
            <v>SNF received on 29.5.2020. [17/5/2024, INDIRA]: Update SN.</v>
          </cell>
        </row>
        <row r="1712">
          <cell r="A1712" t="str">
            <v>IKN402017</v>
          </cell>
          <cell r="B1712">
            <v>1672</v>
          </cell>
          <cell r="C1712" t="str">
            <v>Institut Kanser Negara</v>
          </cell>
          <cell r="D1712" t="str">
            <v>KKM/IKN/H/20/10</v>
          </cell>
          <cell r="E1712" t="str">
            <v>15-161</v>
          </cell>
          <cell r="F1712" t="str">
            <v>Mixers, Clinical Laboratory</v>
          </cell>
          <cell r="G1712" t="str">
            <v>LA</v>
          </cell>
          <cell r="H1712" t="str">
            <v>PATHOLOGY</v>
          </cell>
          <cell r="I1712" t="str">
            <v>04LA120</v>
          </cell>
          <cell r="J1712" t="str">
            <v>INNOCULATION/STAINING</v>
          </cell>
          <cell r="K1712" t="str">
            <v>BMED</v>
          </cell>
          <cell r="L1712" t="str">
            <v>Normal</v>
          </cell>
          <cell r="M1712" t="str">
            <v>Germany</v>
          </cell>
          <cell r="N1712" t="str">
            <v>Vortex Mixer</v>
          </cell>
          <cell r="O1712" t="str">
            <v>Vortex Mixer BBV 1000</v>
          </cell>
          <cell r="P1712">
            <v>18041045</v>
          </cell>
          <cell r="Q1712" t="str">
            <v>Not Applicable</v>
          </cell>
          <cell r="R1712" t="str">
            <v>Greiner Bio-One</v>
          </cell>
          <cell r="S1712" t="str">
            <v>MEDIGENE SDN BHD</v>
          </cell>
          <cell r="T1712" t="str">
            <v>Functioning</v>
          </cell>
          <cell r="U1712" t="str">
            <v>Asset</v>
          </cell>
          <cell r="V1712">
            <v>3022</v>
          </cell>
          <cell r="W1712" t="str">
            <v>KEW</v>
          </cell>
          <cell r="X1712">
            <v>43944</v>
          </cell>
          <cell r="Y1712" t="str">
            <v>KEW</v>
          </cell>
          <cell r="Z1712">
            <v>43950</v>
          </cell>
          <cell r="AA1712">
            <v>44315</v>
          </cell>
          <cell r="AB1712" t="str">
            <v>No</v>
          </cell>
          <cell r="AC1712">
            <v>44315</v>
          </cell>
          <cell r="AD1712" t="str">
            <v>Good</v>
          </cell>
          <cell r="AE1712" t="str">
            <v>V3 - Added Installed Facilities (New)</v>
          </cell>
          <cell r="AH1712" t="str">
            <v>PPM</v>
          </cell>
          <cell r="AI1712" t="str">
            <v>Strands</v>
          </cell>
          <cell r="AJ1712" t="str">
            <v>Strands PW</v>
          </cell>
          <cell r="AK1712" t="str">
            <v>SNF received on 29.5.2020</v>
          </cell>
        </row>
        <row r="1713">
          <cell r="A1713" t="str">
            <v>IKN402018</v>
          </cell>
          <cell r="B1713">
            <v>1673</v>
          </cell>
          <cell r="C1713" t="str">
            <v>Institut Kanser Negara</v>
          </cell>
          <cell r="D1713" t="str">
            <v>KKM/IKN/H/20/13</v>
          </cell>
          <cell r="E1713" t="str">
            <v>15-161</v>
          </cell>
          <cell r="F1713" t="str">
            <v>Mixers, Clinical Laboratory</v>
          </cell>
          <cell r="G1713" t="str">
            <v>LA</v>
          </cell>
          <cell r="H1713" t="str">
            <v>PATHOLOGY</v>
          </cell>
          <cell r="I1713" t="str">
            <v>04LA120</v>
          </cell>
          <cell r="J1713" t="str">
            <v>INNOCULATION/STAINING</v>
          </cell>
          <cell r="K1713" t="str">
            <v>BMED</v>
          </cell>
          <cell r="L1713" t="str">
            <v>Normal</v>
          </cell>
          <cell r="M1713" t="str">
            <v>Germany</v>
          </cell>
          <cell r="N1713" t="str">
            <v>Vortex Mixer</v>
          </cell>
          <cell r="O1713" t="str">
            <v>Vortex Mixer BV 1000</v>
          </cell>
          <cell r="P1713">
            <v>18041049</v>
          </cell>
          <cell r="Q1713" t="str">
            <v>Not Applicable</v>
          </cell>
          <cell r="R1713" t="str">
            <v>Greiner Bio-One</v>
          </cell>
          <cell r="S1713" t="str">
            <v>MEDIGENE SDN BHD</v>
          </cell>
          <cell r="T1713" t="str">
            <v>Functioning</v>
          </cell>
          <cell r="U1713" t="str">
            <v>Asset</v>
          </cell>
          <cell r="V1713">
            <v>3022</v>
          </cell>
          <cell r="W1713" t="str">
            <v>KEW</v>
          </cell>
          <cell r="X1713">
            <v>43944</v>
          </cell>
          <cell r="Y1713" t="str">
            <v>KEW</v>
          </cell>
          <cell r="Z1713">
            <v>43950</v>
          </cell>
          <cell r="AA1713">
            <v>44315</v>
          </cell>
          <cell r="AB1713" t="str">
            <v>No</v>
          </cell>
          <cell r="AC1713">
            <v>44315</v>
          </cell>
          <cell r="AD1713" t="str">
            <v>Good</v>
          </cell>
          <cell r="AE1713" t="str">
            <v>V3 - Added Installed Facilities (New)</v>
          </cell>
          <cell r="AH1713" t="str">
            <v>PPM</v>
          </cell>
          <cell r="AI1713" t="str">
            <v>Strands</v>
          </cell>
          <cell r="AJ1713" t="str">
            <v>Strands PW</v>
          </cell>
          <cell r="AK1713" t="str">
            <v>SNF received on 29.5.2020</v>
          </cell>
        </row>
        <row r="1714">
          <cell r="A1714" t="str">
            <v>IKN402019</v>
          </cell>
          <cell r="B1714">
            <v>1674</v>
          </cell>
          <cell r="C1714" t="str">
            <v>Institut Kanser Negara</v>
          </cell>
          <cell r="D1714" t="str">
            <v>KKM/IKN/H/20/11</v>
          </cell>
          <cell r="E1714" t="str">
            <v>18-013</v>
          </cell>
          <cell r="F1714" t="str">
            <v>Incubators, Laboratory, Thermocycling</v>
          </cell>
          <cell r="G1714" t="str">
            <v>LA</v>
          </cell>
          <cell r="H1714" t="str">
            <v>PATHOLOGY</v>
          </cell>
          <cell r="I1714" t="str">
            <v>04LA127</v>
          </cell>
          <cell r="J1714" t="str">
            <v>INNOCULATION/STAINING</v>
          </cell>
          <cell r="K1714" t="str">
            <v>BMED</v>
          </cell>
          <cell r="L1714" t="str">
            <v>Normal</v>
          </cell>
          <cell r="M1714" t="str">
            <v>Taiwan</v>
          </cell>
          <cell r="O1714" t="str">
            <v>Elite Dry Bath Incubator</v>
          </cell>
          <cell r="P1714" t="str">
            <v>191121A050</v>
          </cell>
          <cell r="Q1714" t="str">
            <v>Not Applicable</v>
          </cell>
          <cell r="R1714" t="str">
            <v>Major Sci</v>
          </cell>
          <cell r="S1714" t="str">
            <v>MEDIGENE SDN BHD</v>
          </cell>
          <cell r="T1714" t="str">
            <v>Functioning</v>
          </cell>
          <cell r="U1714" t="str">
            <v>Asset</v>
          </cell>
          <cell r="V1714">
            <v>3742</v>
          </cell>
          <cell r="W1714" t="str">
            <v>KEW</v>
          </cell>
          <cell r="X1714">
            <v>43944</v>
          </cell>
          <cell r="Y1714" t="str">
            <v>KEW</v>
          </cell>
          <cell r="Z1714">
            <v>43950</v>
          </cell>
          <cell r="AA1714">
            <v>44315</v>
          </cell>
          <cell r="AB1714" t="str">
            <v>No</v>
          </cell>
          <cell r="AC1714">
            <v>44315</v>
          </cell>
          <cell r="AD1714" t="str">
            <v>Good</v>
          </cell>
          <cell r="AE1714" t="str">
            <v>V3 - Added Installed Facilities (New)</v>
          </cell>
          <cell r="AH1714" t="str">
            <v>PPM</v>
          </cell>
          <cell r="AI1714" t="str">
            <v>Strands</v>
          </cell>
          <cell r="AJ1714" t="str">
            <v>Strands PW</v>
          </cell>
          <cell r="AK1714" t="str">
            <v>SNF received on 29.5.2020</v>
          </cell>
        </row>
        <row r="1715">
          <cell r="A1715" t="str">
            <v>IKN402020</v>
          </cell>
          <cell r="B1715">
            <v>1675</v>
          </cell>
          <cell r="C1715" t="str">
            <v>Institut Kanser Negara</v>
          </cell>
          <cell r="D1715" t="str">
            <v>KKM/IKN/H/20/12</v>
          </cell>
          <cell r="E1715" t="str">
            <v>18-013</v>
          </cell>
          <cell r="F1715" t="str">
            <v>Incubators, Laboratory, Thermocycling</v>
          </cell>
          <cell r="G1715" t="str">
            <v>LA</v>
          </cell>
          <cell r="H1715" t="str">
            <v>PATHOLOGY</v>
          </cell>
          <cell r="I1715" t="str">
            <v>04LA120</v>
          </cell>
          <cell r="J1715" t="str">
            <v>INNOCULATION/STAINING</v>
          </cell>
          <cell r="K1715" t="str">
            <v>BMED</v>
          </cell>
          <cell r="L1715" t="str">
            <v>Normal</v>
          </cell>
          <cell r="M1715" t="str">
            <v>Taiwan</v>
          </cell>
          <cell r="O1715" t="str">
            <v>EL-02 Dry Bath Incubator</v>
          </cell>
          <cell r="P1715" t="str">
            <v>191121A031</v>
          </cell>
          <cell r="Q1715" t="str">
            <v>Not Applicable</v>
          </cell>
          <cell r="R1715" t="str">
            <v>Major Sci</v>
          </cell>
          <cell r="S1715" t="str">
            <v>MEDIGENE SDN BHD</v>
          </cell>
          <cell r="T1715" t="str">
            <v>Functioning</v>
          </cell>
          <cell r="U1715" t="str">
            <v>Asset</v>
          </cell>
          <cell r="V1715">
            <v>3742</v>
          </cell>
          <cell r="W1715" t="str">
            <v>KEW</v>
          </cell>
          <cell r="X1715">
            <v>43944</v>
          </cell>
          <cell r="Y1715" t="str">
            <v>KEW</v>
          </cell>
          <cell r="Z1715">
            <v>43950</v>
          </cell>
          <cell r="AA1715">
            <v>44315</v>
          </cell>
          <cell r="AB1715" t="str">
            <v>No</v>
          </cell>
          <cell r="AC1715">
            <v>44315</v>
          </cell>
          <cell r="AD1715" t="str">
            <v>Good</v>
          </cell>
          <cell r="AE1715" t="str">
            <v>V3 - Added Installed Facilities (New)</v>
          </cell>
          <cell r="AH1715" t="str">
            <v>PPM</v>
          </cell>
          <cell r="AI1715" t="str">
            <v>Strands</v>
          </cell>
          <cell r="AJ1715" t="str">
            <v>Strands PW</v>
          </cell>
          <cell r="AK1715" t="str">
            <v>SNF received on 29.5.2020</v>
          </cell>
        </row>
        <row r="1716">
          <cell r="A1716" t="str">
            <v>IKN402025</v>
          </cell>
          <cell r="B1716">
            <v>1680</v>
          </cell>
          <cell r="C1716" t="str">
            <v>Institut Kanser Negara</v>
          </cell>
          <cell r="D1716" t="str">
            <v>KKM/IKN/H/20/17</v>
          </cell>
          <cell r="E1716" t="str">
            <v>15-976</v>
          </cell>
          <cell r="F1716" t="str">
            <v>Scanning Systems, Ultrasonic, General-Purpose</v>
          </cell>
          <cell r="G1716" t="str">
            <v>ID</v>
          </cell>
          <cell r="H1716" t="str">
            <v>IMAGING DEPARTMENT</v>
          </cell>
          <cell r="I1716" t="str">
            <v>03ID157</v>
          </cell>
          <cell r="J1716" t="str">
            <v>FUTURE CT</v>
          </cell>
          <cell r="K1716" t="str">
            <v>BMED</v>
          </cell>
          <cell r="L1716" t="str">
            <v>Normal</v>
          </cell>
          <cell r="M1716" t="str">
            <v>USA</v>
          </cell>
          <cell r="N1716" t="str">
            <v>Logiq</v>
          </cell>
          <cell r="O1716" t="str">
            <v>Logiq E Pro</v>
          </cell>
          <cell r="P1716" t="str">
            <v>6076785wxo</v>
          </cell>
          <cell r="Q1716" t="str">
            <v>Not Applicable</v>
          </cell>
          <cell r="R1716" t="str">
            <v>GE Healthcare Systems</v>
          </cell>
          <cell r="S1716" t="str">
            <v>Tropicana Corporation Berhad</v>
          </cell>
          <cell r="T1716" t="str">
            <v>Functioning</v>
          </cell>
          <cell r="U1716" t="str">
            <v>Asset</v>
          </cell>
          <cell r="V1716">
            <v>125000</v>
          </cell>
          <cell r="W1716" t="str">
            <v>KEW</v>
          </cell>
          <cell r="X1716">
            <v>43938</v>
          </cell>
          <cell r="Y1716" t="str">
            <v>KEW</v>
          </cell>
          <cell r="Z1716">
            <v>43957</v>
          </cell>
          <cell r="AA1716">
            <v>45783</v>
          </cell>
          <cell r="AB1716" t="str">
            <v>YES</v>
          </cell>
          <cell r="AC1716">
            <v>45783</v>
          </cell>
          <cell r="AD1716" t="str">
            <v>Good</v>
          </cell>
          <cell r="AE1716" t="str">
            <v>V3 - Added Installed Facilities (New)</v>
          </cell>
          <cell r="AH1716" t="str">
            <v>PPM</v>
          </cell>
          <cell r="AI1716" t="str">
            <v>Strands</v>
          </cell>
          <cell r="AJ1716" t="str">
            <v>Strands DW</v>
          </cell>
          <cell r="AK1716" t="str">
            <v>SNF received on 29.5.2020</v>
          </cell>
        </row>
        <row r="1717">
          <cell r="A1717" t="str">
            <v>IKN402032</v>
          </cell>
          <cell r="B1717">
            <v>1687</v>
          </cell>
          <cell r="C1717" t="str">
            <v>Institut Kanser Negara</v>
          </cell>
          <cell r="D1717" t="str">
            <v>KKM/IKN/H/20/23</v>
          </cell>
          <cell r="E1717" t="str">
            <v>13-281</v>
          </cell>
          <cell r="F1717" t="str">
            <v>Computers, Radiotherapy Planning System</v>
          </cell>
          <cell r="G1717" t="str">
            <v>ID</v>
          </cell>
          <cell r="H1717" t="str">
            <v>IMAGING DEPARTMENT</v>
          </cell>
          <cell r="I1717" t="str">
            <v>03ID157</v>
          </cell>
          <cell r="J1717" t="str">
            <v>FUTURE CT</v>
          </cell>
          <cell r="K1717" t="str">
            <v>BMED</v>
          </cell>
          <cell r="L1717" t="str">
            <v>Normal</v>
          </cell>
          <cell r="M1717" t="str">
            <v>USA</v>
          </cell>
          <cell r="N1717" t="str">
            <v>BAYER</v>
          </cell>
          <cell r="O1717" t="str">
            <v>HPE PROLIANT DL380 GEN9 SERVER</v>
          </cell>
          <cell r="P1717" t="str">
            <v>SGH618YBBW</v>
          </cell>
          <cell r="Q1717" t="str">
            <v>Not Applicable</v>
          </cell>
          <cell r="R1717" t="str">
            <v>BAYER</v>
          </cell>
          <cell r="S1717" t="str">
            <v>DELTA MEDISAINS</v>
          </cell>
          <cell r="T1717" t="str">
            <v>Functioning</v>
          </cell>
          <cell r="U1717" t="str">
            <v>Asset</v>
          </cell>
          <cell r="V1717">
            <v>400000</v>
          </cell>
          <cell r="W1717" t="str">
            <v>KEW</v>
          </cell>
          <cell r="X1717">
            <v>43833</v>
          </cell>
          <cell r="Y1717" t="str">
            <v>KEW</v>
          </cell>
          <cell r="Z1717" t="str">
            <v>Demo Unit</v>
          </cell>
          <cell r="AA1717" t="str">
            <v>Demo Unit</v>
          </cell>
          <cell r="AB1717" t="str">
            <v>No</v>
          </cell>
          <cell r="AC1717">
            <v>43965</v>
          </cell>
          <cell r="AD1717" t="str">
            <v>Good</v>
          </cell>
          <cell r="AE1717" t="str">
            <v>V3 - Added Installed Facilities (New)</v>
          </cell>
          <cell r="AH1717" t="str">
            <v>PPM</v>
          </cell>
          <cell r="AI1717" t="str">
            <v>Strands</v>
          </cell>
          <cell r="AJ1717" t="str">
            <v>Strands PW</v>
          </cell>
          <cell r="AK1717" t="str">
            <v>SNF received on 3.2.2020</v>
          </cell>
        </row>
        <row r="1718">
          <cell r="A1718" t="str">
            <v>IKN402033</v>
          </cell>
          <cell r="B1718">
            <v>1688</v>
          </cell>
          <cell r="C1718" t="str">
            <v>Institut Kanser Negara</v>
          </cell>
          <cell r="D1718" t="str">
            <v>KKM/IKN/H/20/25</v>
          </cell>
          <cell r="E1718" t="str">
            <v>10-780-000</v>
          </cell>
          <cell r="F1718" t="str">
            <v>Centrifuges, Tabletop</v>
          </cell>
          <cell r="G1718" t="str">
            <v>LA</v>
          </cell>
          <cell r="H1718" t="str">
            <v>PATHOLOGY</v>
          </cell>
          <cell r="I1718" t="str">
            <v>04LA127</v>
          </cell>
          <cell r="J1718" t="str">
            <v>INNOCULATION/STAINING</v>
          </cell>
          <cell r="K1718" t="str">
            <v>BMED</v>
          </cell>
          <cell r="L1718" t="str">
            <v>Normal</v>
          </cell>
          <cell r="M1718" t="str">
            <v>Germany</v>
          </cell>
          <cell r="N1718" t="str">
            <v>Eppendorf</v>
          </cell>
          <cell r="O1718" t="str">
            <v>Centrifuge 5425</v>
          </cell>
          <cell r="P1718" t="str">
            <v>54051Q214666</v>
          </cell>
          <cell r="Q1718" t="str">
            <v>Not Applicable</v>
          </cell>
          <cell r="R1718" t="str">
            <v>Eppendorf</v>
          </cell>
          <cell r="S1718" t="str">
            <v>MEDIGENE SDN BHD</v>
          </cell>
          <cell r="T1718" t="str">
            <v>Functioning</v>
          </cell>
          <cell r="U1718" t="str">
            <v>Asset</v>
          </cell>
          <cell r="V1718">
            <v>15000</v>
          </cell>
          <cell r="W1718" t="str">
            <v>KEW</v>
          </cell>
          <cell r="X1718">
            <v>43944</v>
          </cell>
          <cell r="Y1718" t="str">
            <v>KEW</v>
          </cell>
          <cell r="Z1718">
            <v>43998</v>
          </cell>
          <cell r="AA1718">
            <v>44728</v>
          </cell>
          <cell r="AB1718" t="str">
            <v>No</v>
          </cell>
          <cell r="AC1718">
            <v>43998</v>
          </cell>
          <cell r="AD1718" t="str">
            <v>Good</v>
          </cell>
          <cell r="AE1718" t="str">
            <v>V3 - Added Installed Facilities (New)</v>
          </cell>
          <cell r="AH1718" t="str">
            <v>PPM</v>
          </cell>
          <cell r="AI1718" t="str">
            <v>Strands</v>
          </cell>
          <cell r="AJ1718" t="str">
            <v>Strands PW</v>
          </cell>
          <cell r="AK1718" t="str">
            <v>SNF received</v>
          </cell>
        </row>
        <row r="1719">
          <cell r="A1719" t="str">
            <v>IKN402035</v>
          </cell>
          <cell r="B1719">
            <v>1690</v>
          </cell>
          <cell r="C1719" t="str">
            <v>Institut Kanser Negara</v>
          </cell>
          <cell r="D1719" t="str">
            <v>KKM/IKN/H/20/29</v>
          </cell>
          <cell r="E1719" t="str">
            <v>16-861</v>
          </cell>
          <cell r="F1719" t="str">
            <v>Baths, Water, Laboratory</v>
          </cell>
          <cell r="G1719" t="str">
            <v>NM</v>
          </cell>
          <cell r="H1719" t="str">
            <v>NUCLEAR MED (DIAGNOSTIC)</v>
          </cell>
          <cell r="I1719" t="str">
            <v>03NM133</v>
          </cell>
          <cell r="J1719" t="str">
            <v>RADIODINE DISPENSING (-VE)</v>
          </cell>
          <cell r="K1719" t="str">
            <v>BMED</v>
          </cell>
          <cell r="L1719" t="str">
            <v>Normal</v>
          </cell>
          <cell r="O1719" t="str">
            <v>D1302-230V</v>
          </cell>
          <cell r="P1719" t="str">
            <v>BD186AJ0000190</v>
          </cell>
          <cell r="Q1719" t="str">
            <v>Not Applicable</v>
          </cell>
          <cell r="S1719" t="str">
            <v>UWAIS MEDIC SDN BHD</v>
          </cell>
          <cell r="T1719" t="str">
            <v>Functioning</v>
          </cell>
          <cell r="U1719" t="str">
            <v>Asset</v>
          </cell>
          <cell r="V1719">
            <v>8700</v>
          </cell>
          <cell r="W1719" t="str">
            <v>KEW</v>
          </cell>
          <cell r="X1719">
            <v>43941</v>
          </cell>
          <cell r="Y1719" t="str">
            <v>KEW</v>
          </cell>
          <cell r="Z1719">
            <v>44021</v>
          </cell>
          <cell r="AA1719">
            <v>44385</v>
          </cell>
          <cell r="AB1719" t="str">
            <v>No</v>
          </cell>
          <cell r="AC1719">
            <v>44021</v>
          </cell>
          <cell r="AD1719" t="str">
            <v>Good</v>
          </cell>
          <cell r="AE1719" t="str">
            <v>V3 - Added Installed Facilities (New)</v>
          </cell>
          <cell r="AH1719" t="str">
            <v>PPM</v>
          </cell>
          <cell r="AI1719" t="str">
            <v>Strands</v>
          </cell>
          <cell r="AJ1719" t="str">
            <v>Strands PW</v>
          </cell>
          <cell r="AK1719" t="str">
            <v>SNF received. Temperature probe SN:294123.</v>
          </cell>
        </row>
        <row r="1720">
          <cell r="A1720" t="str">
            <v>IKN402035</v>
          </cell>
          <cell r="B1720" t="str">
            <v>Baths, Water, Laboratory</v>
          </cell>
          <cell r="C1720" t="str">
            <v>Institut Kanser Negara</v>
          </cell>
          <cell r="E1720" t="str">
            <v>16861-000</v>
          </cell>
          <cell r="F1720" t="str">
            <v>Baths, Water, Laboratory</v>
          </cell>
          <cell r="G1720" t="str">
            <v>NM</v>
          </cell>
          <cell r="H1720" t="str">
            <v>NUCLEAR MED (DIAGNOSTIC)</v>
          </cell>
          <cell r="I1720" t="str">
            <v>03NM133</v>
          </cell>
          <cell r="K1720" t="str">
            <v>BMED</v>
          </cell>
          <cell r="L1720" t="str">
            <v>Normal</v>
          </cell>
          <cell r="P1720" t="str">
            <v>D1302-230V</v>
          </cell>
        </row>
        <row r="1721">
          <cell r="A1721" t="str">
            <v>IKN402036</v>
          </cell>
          <cell r="B1721">
            <v>1691</v>
          </cell>
          <cell r="C1721" t="str">
            <v>Institut Kanser Negara</v>
          </cell>
          <cell r="D1721" t="str">
            <v>KKM/IKN/H/20/28</v>
          </cell>
          <cell r="E1721" t="str">
            <v>16-861</v>
          </cell>
          <cell r="F1721" t="str">
            <v>Baths, Water, Laboratory</v>
          </cell>
          <cell r="G1721" t="str">
            <v>NM</v>
          </cell>
          <cell r="H1721" t="str">
            <v>NUCLEAR MED (DIAGNOSTIC)</v>
          </cell>
          <cell r="I1721" t="str">
            <v>03NM133</v>
          </cell>
          <cell r="J1721" t="str">
            <v>RADIODINE DISPENSING (-VE)</v>
          </cell>
          <cell r="K1721" t="str">
            <v>BMED</v>
          </cell>
          <cell r="L1721" t="str">
            <v>Normal</v>
          </cell>
          <cell r="O1721" t="str">
            <v>D1302-230V</v>
          </cell>
          <cell r="P1721" t="str">
            <v>BD194AJ0000782</v>
          </cell>
          <cell r="Q1721" t="str">
            <v>Not Applicable</v>
          </cell>
          <cell r="S1721" t="str">
            <v>UWAIS MEDIC SDN BHD</v>
          </cell>
          <cell r="T1721" t="str">
            <v>Functioning</v>
          </cell>
          <cell r="U1721" t="str">
            <v>Asset</v>
          </cell>
          <cell r="V1721">
            <v>8700</v>
          </cell>
          <cell r="W1721" t="str">
            <v>KEW</v>
          </cell>
          <cell r="X1721">
            <v>43941</v>
          </cell>
          <cell r="Y1721" t="str">
            <v>KEW</v>
          </cell>
          <cell r="Z1721">
            <v>44021</v>
          </cell>
          <cell r="AA1721">
            <v>44385</v>
          </cell>
          <cell r="AB1721" t="str">
            <v>No</v>
          </cell>
          <cell r="AC1721">
            <v>44021</v>
          </cell>
          <cell r="AD1721" t="str">
            <v>Good</v>
          </cell>
          <cell r="AE1721" t="str">
            <v>V3 - Added Installed Facilities (New)</v>
          </cell>
          <cell r="AH1721" t="str">
            <v>PPM</v>
          </cell>
          <cell r="AI1721" t="str">
            <v>Strands</v>
          </cell>
          <cell r="AJ1721" t="str">
            <v>Strands PW</v>
          </cell>
          <cell r="AK1721" t="str">
            <v>SNF received. Temperature probe SN: 2926BF.</v>
          </cell>
        </row>
        <row r="1722">
          <cell r="A1722" t="str">
            <v>IKN402043</v>
          </cell>
          <cell r="B1722">
            <v>1698</v>
          </cell>
          <cell r="C1722" t="str">
            <v>Institut Kanser Negara</v>
          </cell>
          <cell r="D1722" t="str">
            <v>KKM/IKN/H/20/46</v>
          </cell>
          <cell r="E1722" t="str">
            <v>13-215</v>
          </cell>
          <cell r="F1722" t="str">
            <v>Infusion Pumps, General-Purpose</v>
          </cell>
          <cell r="G1722" t="str">
            <v>DO</v>
          </cell>
          <cell r="H1722" t="str">
            <v>DAY ONCOLOGY UNIT</v>
          </cell>
          <cell r="I1722" t="str">
            <v>04DO111</v>
          </cell>
          <cell r="J1722" t="str">
            <v>EQUIP. ROOM</v>
          </cell>
          <cell r="K1722" t="str">
            <v>BMED</v>
          </cell>
          <cell r="L1722" t="str">
            <v>Critical</v>
          </cell>
          <cell r="M1722" t="str">
            <v>CHINA</v>
          </cell>
          <cell r="N1722" t="str">
            <v>HAWKMED</v>
          </cell>
          <cell r="O1722" t="str">
            <v>HAWK-i1</v>
          </cell>
          <cell r="P1722" t="str">
            <v>04007906</v>
          </cell>
          <cell r="Q1722" t="str">
            <v>Not Applicable</v>
          </cell>
          <cell r="R1722" t="str">
            <v>Shenzhen Hawk Medical Instrument Co., Ltd</v>
          </cell>
          <cell r="S1722" t="str">
            <v>Edge Cares Sdn. Bhd.</v>
          </cell>
          <cell r="T1722" t="str">
            <v>Functioning</v>
          </cell>
          <cell r="U1722" t="str">
            <v>Asset</v>
          </cell>
          <cell r="V1722">
            <v>3500</v>
          </cell>
          <cell r="W1722" t="str">
            <v>KEW</v>
          </cell>
          <cell r="X1722">
            <v>44155</v>
          </cell>
          <cell r="Y1722" t="str">
            <v>KEW</v>
          </cell>
          <cell r="Z1722">
            <v>44161</v>
          </cell>
          <cell r="AA1722">
            <v>44526</v>
          </cell>
          <cell r="AB1722" t="str">
            <v>No</v>
          </cell>
          <cell r="AC1722">
            <v>44161</v>
          </cell>
          <cell r="AD1722" t="str">
            <v>Good</v>
          </cell>
          <cell r="AE1722" t="str">
            <v>V3 - Added Installed Facilities (New)</v>
          </cell>
          <cell r="AF1722">
            <v>44161</v>
          </cell>
          <cell r="AH1722" t="str">
            <v>PPM</v>
          </cell>
          <cell r="AI1722" t="str">
            <v>Strands</v>
          </cell>
          <cell r="AJ1722" t="str">
            <v>Strands PW</v>
          </cell>
          <cell r="AK1722" t="str">
            <v>SNF received on 7.12.2020</v>
          </cell>
        </row>
        <row r="1723">
          <cell r="A1723" t="str">
            <v>IKN402044</v>
          </cell>
          <cell r="B1723">
            <v>1699</v>
          </cell>
          <cell r="C1723" t="str">
            <v>Institut Kanser Negara</v>
          </cell>
          <cell r="D1723" t="str">
            <v>KKM/IKN/H/20/48</v>
          </cell>
          <cell r="E1723" t="str">
            <v>13-215</v>
          </cell>
          <cell r="F1723" t="str">
            <v>Infusion Pumps, General-Purpose</v>
          </cell>
          <cell r="G1723" t="str">
            <v>DO</v>
          </cell>
          <cell r="H1723" t="str">
            <v>DAY ONCOLOGY UNIT</v>
          </cell>
          <cell r="I1723" t="str">
            <v>04DO111</v>
          </cell>
          <cell r="J1723" t="str">
            <v>EQUIP. ROOM</v>
          </cell>
          <cell r="K1723" t="str">
            <v>BMED</v>
          </cell>
          <cell r="L1723" t="str">
            <v>Critical</v>
          </cell>
          <cell r="M1723" t="str">
            <v>CHINA</v>
          </cell>
          <cell r="N1723" t="str">
            <v>HAWKMED</v>
          </cell>
          <cell r="O1723" t="str">
            <v>HAWK-i1</v>
          </cell>
          <cell r="P1723" t="str">
            <v>04007585</v>
          </cell>
          <cell r="Q1723" t="str">
            <v>Not Applicable</v>
          </cell>
          <cell r="R1723" t="str">
            <v>Shenzhen Hawk Medical Instrument Co., Ltd</v>
          </cell>
          <cell r="S1723" t="str">
            <v>Edge Cares Sdn. Bhd.</v>
          </cell>
          <cell r="T1723" t="str">
            <v>Functioning</v>
          </cell>
          <cell r="U1723" t="str">
            <v>Asset</v>
          </cell>
          <cell r="V1723">
            <v>3500</v>
          </cell>
          <cell r="W1723" t="str">
            <v>KEW</v>
          </cell>
          <cell r="X1723">
            <v>44155</v>
          </cell>
          <cell r="Y1723" t="str">
            <v>KEW</v>
          </cell>
          <cell r="Z1723">
            <v>44161</v>
          </cell>
          <cell r="AA1723">
            <v>44526</v>
          </cell>
          <cell r="AB1723" t="str">
            <v>No</v>
          </cell>
          <cell r="AC1723">
            <v>44161</v>
          </cell>
          <cell r="AD1723" t="str">
            <v>Good</v>
          </cell>
          <cell r="AE1723" t="str">
            <v>V3 - Added Installed Facilities (New)</v>
          </cell>
          <cell r="AF1723">
            <v>44161</v>
          </cell>
          <cell r="AH1723" t="str">
            <v>PPM</v>
          </cell>
          <cell r="AI1723" t="str">
            <v>Strands</v>
          </cell>
          <cell r="AJ1723" t="str">
            <v>Strands PW</v>
          </cell>
          <cell r="AK1723" t="str">
            <v>SNF received on 7.12.2020</v>
          </cell>
        </row>
        <row r="1724">
          <cell r="A1724" t="str">
            <v>IKN402045</v>
          </cell>
          <cell r="B1724">
            <v>1700</v>
          </cell>
          <cell r="C1724" t="str">
            <v>Institut Kanser Negara</v>
          </cell>
          <cell r="D1724" t="str">
            <v>KKM/IKN/H/20/47</v>
          </cell>
          <cell r="E1724" t="str">
            <v>13-215</v>
          </cell>
          <cell r="F1724" t="str">
            <v>Infusion Pumps, General-Purpose</v>
          </cell>
          <cell r="G1724" t="str">
            <v>DO</v>
          </cell>
          <cell r="H1724" t="str">
            <v>DAY ONCOLOGY UNIT</v>
          </cell>
          <cell r="I1724" t="str">
            <v>04DO111</v>
          </cell>
          <cell r="J1724" t="str">
            <v>EQUIP. ROOM</v>
          </cell>
          <cell r="K1724" t="str">
            <v>BMED</v>
          </cell>
          <cell r="L1724" t="str">
            <v>Critical</v>
          </cell>
          <cell r="M1724" t="str">
            <v>CHINA</v>
          </cell>
          <cell r="N1724" t="str">
            <v>HAWKMED</v>
          </cell>
          <cell r="O1724" t="str">
            <v>HAWK-i1</v>
          </cell>
          <cell r="P1724" t="str">
            <v>04007584</v>
          </cell>
          <cell r="Q1724" t="str">
            <v>Not Applicable</v>
          </cell>
          <cell r="R1724" t="str">
            <v>Shenzhen Hawk Medical Instrument Co., Ltd</v>
          </cell>
          <cell r="S1724" t="str">
            <v>Edge Cares Sdn. Bhd.</v>
          </cell>
          <cell r="T1724" t="str">
            <v>Functioning</v>
          </cell>
          <cell r="U1724" t="str">
            <v>Asset</v>
          </cell>
          <cell r="V1724">
            <v>3500</v>
          </cell>
          <cell r="W1724" t="str">
            <v>KEW</v>
          </cell>
          <cell r="X1724">
            <v>44155</v>
          </cell>
          <cell r="Y1724" t="str">
            <v>KEW</v>
          </cell>
          <cell r="Z1724">
            <v>44161</v>
          </cell>
          <cell r="AA1724">
            <v>44526</v>
          </cell>
          <cell r="AB1724" t="str">
            <v>No</v>
          </cell>
          <cell r="AC1724">
            <v>44161</v>
          </cell>
          <cell r="AD1724" t="str">
            <v>Good</v>
          </cell>
          <cell r="AE1724" t="str">
            <v>V3 - Added Installed Facilities (New)</v>
          </cell>
          <cell r="AF1724">
            <v>44161</v>
          </cell>
          <cell r="AH1724" t="str">
            <v>PPM</v>
          </cell>
          <cell r="AI1724" t="str">
            <v>Strands</v>
          </cell>
          <cell r="AJ1724" t="str">
            <v>Strands PW</v>
          </cell>
          <cell r="AK1724" t="str">
            <v>SNF received on 7.12.2020</v>
          </cell>
        </row>
        <row r="1725">
          <cell r="A1725" t="str">
            <v>IKN402046</v>
          </cell>
          <cell r="B1725">
            <v>1701</v>
          </cell>
          <cell r="C1725" t="str">
            <v>Institut Kanser Negara</v>
          </cell>
          <cell r="D1725" t="str">
            <v>KKM/IKN/H/20/45</v>
          </cell>
          <cell r="E1725" t="str">
            <v>13-215</v>
          </cell>
          <cell r="F1725" t="str">
            <v>Infusion Pumps, General-Purpose</v>
          </cell>
          <cell r="G1725" t="str">
            <v>DO</v>
          </cell>
          <cell r="H1725" t="str">
            <v>DAY ONCOLOGY UNIT</v>
          </cell>
          <cell r="I1725" t="str">
            <v>04DO111</v>
          </cell>
          <cell r="J1725" t="str">
            <v>EQUIP. ROOM</v>
          </cell>
          <cell r="K1725" t="str">
            <v>BMED</v>
          </cell>
          <cell r="L1725" t="str">
            <v>Critical</v>
          </cell>
          <cell r="M1725" t="str">
            <v>CHINA</v>
          </cell>
          <cell r="N1725" t="str">
            <v>HAWKMED</v>
          </cell>
          <cell r="O1725" t="str">
            <v>HAWK-i1</v>
          </cell>
          <cell r="P1725" t="str">
            <v>04007987</v>
          </cell>
          <cell r="Q1725" t="str">
            <v>Not Applicable</v>
          </cell>
          <cell r="R1725" t="str">
            <v>Shenzhen Hawk Medical Instrument Co., Ltd</v>
          </cell>
          <cell r="S1725" t="str">
            <v>Edge Cares Sdn. Bhd.</v>
          </cell>
          <cell r="T1725" t="str">
            <v>Functioning</v>
          </cell>
          <cell r="U1725" t="str">
            <v>Asset</v>
          </cell>
          <cell r="V1725">
            <v>3500</v>
          </cell>
          <cell r="W1725" t="str">
            <v>KEW</v>
          </cell>
          <cell r="X1725">
            <v>44155</v>
          </cell>
          <cell r="Y1725" t="str">
            <v>KEW</v>
          </cell>
          <cell r="Z1725">
            <v>44161</v>
          </cell>
          <cell r="AA1725">
            <v>44526</v>
          </cell>
          <cell r="AB1725" t="str">
            <v>No</v>
          </cell>
          <cell r="AC1725">
            <v>44161</v>
          </cell>
          <cell r="AD1725" t="str">
            <v>Good</v>
          </cell>
          <cell r="AE1725" t="str">
            <v>V3 - Added Installed Facilities (New)</v>
          </cell>
          <cell r="AF1725">
            <v>44161</v>
          </cell>
          <cell r="AH1725" t="str">
            <v>PPM</v>
          </cell>
          <cell r="AI1725" t="str">
            <v>Strands</v>
          </cell>
          <cell r="AJ1725" t="str">
            <v>Strands PW</v>
          </cell>
          <cell r="AK1725" t="str">
            <v>SNF received on 7.12.2020</v>
          </cell>
        </row>
        <row r="1726">
          <cell r="A1726" t="str">
            <v>IKN402048</v>
          </cell>
          <cell r="B1726">
            <v>1703</v>
          </cell>
          <cell r="C1726" t="str">
            <v>Institut Kanser Negara</v>
          </cell>
          <cell r="D1726" t="str">
            <v>KKM/IKN/R/20/320</v>
          </cell>
          <cell r="E1726" t="str">
            <v>182-67</v>
          </cell>
          <cell r="F1726" t="str">
            <v>Centrifuges, Tabletop, Low-Speed, Nonrefrigerated, Blood Bank</v>
          </cell>
          <cell r="G1726" t="str">
            <v>LA</v>
          </cell>
          <cell r="H1726" t="str">
            <v>PATHOLOGY</v>
          </cell>
          <cell r="I1726" t="str">
            <v>04LA127</v>
          </cell>
          <cell r="J1726" t="str">
            <v>INNOCULATION/STAINING</v>
          </cell>
          <cell r="K1726" t="str">
            <v>BMED</v>
          </cell>
          <cell r="L1726" t="str">
            <v>Normal</v>
          </cell>
          <cell r="M1726" t="str">
            <v>CHINA</v>
          </cell>
          <cell r="N1726" t="str">
            <v>BIOLOGIX</v>
          </cell>
          <cell r="O1726" t="str">
            <v>D1008</v>
          </cell>
          <cell r="P1726" t="str">
            <v>HG19BAK0001335</v>
          </cell>
          <cell r="Q1726" t="str">
            <v>Not Applicable</v>
          </cell>
          <cell r="R1726" t="str">
            <v>Biologix Group Limited</v>
          </cell>
          <cell r="S1726" t="str">
            <v>Tree Med Sdn. Bhd</v>
          </cell>
          <cell r="T1726" t="str">
            <v>Functioning</v>
          </cell>
          <cell r="U1726" t="str">
            <v>Asset</v>
          </cell>
          <cell r="V1726">
            <v>950</v>
          </cell>
          <cell r="W1726" t="str">
            <v>KEW</v>
          </cell>
          <cell r="X1726">
            <v>43935</v>
          </cell>
          <cell r="Y1726" t="str">
            <v>KEW</v>
          </cell>
          <cell r="Z1726">
            <v>44167</v>
          </cell>
          <cell r="AA1726">
            <v>44532</v>
          </cell>
          <cell r="AB1726" t="str">
            <v>No</v>
          </cell>
          <cell r="AC1726">
            <v>44167</v>
          </cell>
          <cell r="AD1726" t="str">
            <v>Good</v>
          </cell>
          <cell r="AE1726" t="str">
            <v>V3 - Added Installed Facilities (New)</v>
          </cell>
          <cell r="AF1726">
            <v>44167</v>
          </cell>
          <cell r="AH1726" t="str">
            <v>PPM</v>
          </cell>
          <cell r="AI1726" t="str">
            <v>Strands</v>
          </cell>
          <cell r="AJ1726" t="str">
            <v>Strands PW</v>
          </cell>
          <cell r="AK1726" t="str">
            <v>SNF received on 15.1.2021</v>
          </cell>
        </row>
        <row r="1727">
          <cell r="A1727" t="str">
            <v>IKN402050</v>
          </cell>
          <cell r="B1727">
            <v>1705</v>
          </cell>
          <cell r="C1727" t="str">
            <v>Institut Kanser Negara</v>
          </cell>
          <cell r="D1727" t="str">
            <v>KKM/IKN/H/21/9</v>
          </cell>
          <cell r="E1727" t="str">
            <v>18-329</v>
          </cell>
          <cell r="F1727" t="str">
            <v>Electrocardiographs, Multichannel, Non-Interpretative</v>
          </cell>
          <cell r="G1727" t="str">
            <v>AE</v>
          </cell>
          <cell r="H1727" t="str">
            <v>EMERGENCY UNIT</v>
          </cell>
          <cell r="I1727" t="str">
            <v>01AE106</v>
          </cell>
          <cell r="J1727" t="str">
            <v>C/E ROOM</v>
          </cell>
          <cell r="K1727" t="str">
            <v>BMED</v>
          </cell>
          <cell r="L1727" t="str">
            <v>Normal</v>
          </cell>
          <cell r="M1727" t="str">
            <v>United Kingdom</v>
          </cell>
          <cell r="N1727" t="str">
            <v>BTL</v>
          </cell>
          <cell r="O1727" t="str">
            <v>BTL-08 SD3</v>
          </cell>
          <cell r="P1727" t="str">
            <v>071DOB009854</v>
          </cell>
          <cell r="Q1727" t="str">
            <v>Not Applicable</v>
          </cell>
          <cell r="R1727" t="str">
            <v>BTL Industries Ltd</v>
          </cell>
          <cell r="S1727" t="str">
            <v>MEDIXELL SDN BHD</v>
          </cell>
          <cell r="T1727" t="str">
            <v>Functioning</v>
          </cell>
          <cell r="U1727" t="str">
            <v>Asset</v>
          </cell>
          <cell r="V1727">
            <v>12900</v>
          </cell>
          <cell r="W1727" t="str">
            <v>KEW</v>
          </cell>
          <cell r="X1727">
            <v>44139</v>
          </cell>
          <cell r="Y1727" t="str">
            <v>KEW</v>
          </cell>
          <cell r="Z1727">
            <v>44196</v>
          </cell>
          <cell r="AA1727">
            <v>44561</v>
          </cell>
          <cell r="AB1727" t="str">
            <v>No</v>
          </cell>
          <cell r="AC1727">
            <v>44186</v>
          </cell>
          <cell r="AD1727" t="str">
            <v>Good</v>
          </cell>
          <cell r="AE1727" t="str">
            <v>V3 - Added Installed Facilities (New)</v>
          </cell>
          <cell r="AH1727" t="str">
            <v>PPM</v>
          </cell>
          <cell r="AI1727" t="str">
            <v>Strands</v>
          </cell>
          <cell r="AJ1727" t="str">
            <v>Strands PW</v>
          </cell>
          <cell r="AK1727" t="str">
            <v>SNF received on 24.6.2021. [19/1/2024, Indira]: Update Model and SN.</v>
          </cell>
        </row>
        <row r="1728">
          <cell r="A1728" t="str">
            <v>IKN402051</v>
          </cell>
          <cell r="B1728">
            <v>1706</v>
          </cell>
          <cell r="C1728" t="str">
            <v>Institut Kanser Negara</v>
          </cell>
          <cell r="D1728" t="str">
            <v>KKM/IKN/H/21/4</v>
          </cell>
          <cell r="E1728" t="str">
            <v>14-032</v>
          </cell>
          <cell r="F1728" t="str">
            <v>Thermometers, Electronic</v>
          </cell>
          <cell r="G1728" t="str">
            <v>HP</v>
          </cell>
          <cell r="H1728" t="str">
            <v>HEALTH PROMO &amp; CANCER UNIT</v>
          </cell>
          <cell r="I1728" t="str">
            <v>04HP104</v>
          </cell>
          <cell r="J1728" t="str">
            <v>DISPLAY</v>
          </cell>
          <cell r="K1728" t="str">
            <v>BMED</v>
          </cell>
          <cell r="L1728" t="str">
            <v>Normal</v>
          </cell>
          <cell r="M1728" t="str">
            <v>CHINA</v>
          </cell>
          <cell r="N1728" t="str">
            <v>NUVEQ</v>
          </cell>
          <cell r="O1728" t="str">
            <v>FK02GYW</v>
          </cell>
          <cell r="P1728" t="str">
            <v>7101803027957</v>
          </cell>
          <cell r="Q1728" t="str">
            <v>Not Applicable</v>
          </cell>
          <cell r="R1728" t="str">
            <v>N/A</v>
          </cell>
          <cell r="S1728" t="str">
            <v>Cara Solution Sdn Bhd</v>
          </cell>
          <cell r="T1728" t="str">
            <v>Functioning</v>
          </cell>
          <cell r="U1728" t="str">
            <v>Asset</v>
          </cell>
          <cell r="V1728">
            <v>5800</v>
          </cell>
          <cell r="W1728" t="str">
            <v>KEW</v>
          </cell>
          <cell r="X1728">
            <v>44225</v>
          </cell>
          <cell r="Y1728" t="str">
            <v>KEW</v>
          </cell>
          <cell r="Z1728">
            <v>44225</v>
          </cell>
          <cell r="AA1728">
            <v>44590</v>
          </cell>
          <cell r="AB1728" t="str">
            <v>No</v>
          </cell>
          <cell r="AC1728">
            <v>44225</v>
          </cell>
          <cell r="AD1728" t="str">
            <v>Good</v>
          </cell>
          <cell r="AE1728" t="str">
            <v>V3 - Added Installed Facilities (New)</v>
          </cell>
          <cell r="AH1728" t="str">
            <v>PPM</v>
          </cell>
          <cell r="AI1728" t="str">
            <v>Not in contract</v>
          </cell>
          <cell r="AJ1728" t="str">
            <v>Strands PW</v>
          </cell>
          <cell r="AK1728" t="str">
            <v>Asset Sumbangan</v>
          </cell>
        </row>
        <row r="1729">
          <cell r="A1729" t="str">
            <v>IKN402052</v>
          </cell>
          <cell r="B1729">
            <v>1707</v>
          </cell>
          <cell r="C1729" t="str">
            <v>Institut Kanser Negara</v>
          </cell>
          <cell r="D1729" t="str">
            <v>KKM/IKN/H/21/3</v>
          </cell>
          <cell r="E1729" t="str">
            <v>14-032</v>
          </cell>
          <cell r="F1729" t="str">
            <v>Thermometers, Electronic</v>
          </cell>
          <cell r="G1729" t="str">
            <v>HP</v>
          </cell>
          <cell r="H1729" t="str">
            <v>HEALTH PROMO &amp; CANCER UNIT</v>
          </cell>
          <cell r="I1729" t="str">
            <v>04HP104</v>
          </cell>
          <cell r="J1729" t="str">
            <v>DISPLAY</v>
          </cell>
          <cell r="K1729" t="str">
            <v>BMED</v>
          </cell>
          <cell r="L1729" t="str">
            <v>Normal</v>
          </cell>
          <cell r="M1729" t="str">
            <v>CHINA</v>
          </cell>
          <cell r="N1729" t="str">
            <v>NUVEQ</v>
          </cell>
          <cell r="O1729" t="str">
            <v>FK02GYW</v>
          </cell>
          <cell r="P1729" t="str">
            <v>7101166493742</v>
          </cell>
          <cell r="Q1729" t="str">
            <v>Not Applicable</v>
          </cell>
          <cell r="R1729" t="str">
            <v>N/A</v>
          </cell>
          <cell r="S1729" t="str">
            <v>Cara Solution Sdn Bhd</v>
          </cell>
          <cell r="T1729" t="str">
            <v>Functioning</v>
          </cell>
          <cell r="U1729" t="str">
            <v>Asset</v>
          </cell>
          <cell r="V1729">
            <v>5800</v>
          </cell>
          <cell r="W1729" t="str">
            <v>KEW</v>
          </cell>
          <cell r="X1729">
            <v>44225</v>
          </cell>
          <cell r="Y1729" t="str">
            <v>KEW</v>
          </cell>
          <cell r="Z1729">
            <v>44225</v>
          </cell>
          <cell r="AA1729">
            <v>44590</v>
          </cell>
          <cell r="AB1729" t="str">
            <v>No</v>
          </cell>
          <cell r="AC1729">
            <v>44225</v>
          </cell>
          <cell r="AD1729" t="str">
            <v>Good</v>
          </cell>
          <cell r="AE1729" t="str">
            <v>V3 - Added Installed Facilities (New)</v>
          </cell>
          <cell r="AH1729" t="str">
            <v>PPM</v>
          </cell>
          <cell r="AI1729" t="str">
            <v>Not in contract</v>
          </cell>
          <cell r="AJ1729" t="str">
            <v>Strands PW</v>
          </cell>
          <cell r="AK1729" t="str">
            <v>Asset Sumbangan</v>
          </cell>
        </row>
        <row r="1730">
          <cell r="A1730" t="str">
            <v>IKN402055</v>
          </cell>
          <cell r="B1730">
            <v>1710</v>
          </cell>
          <cell r="C1730" t="str">
            <v>Institut Kanser Negara</v>
          </cell>
          <cell r="D1730" t="str">
            <v>KKM/IKN/H/21/20</v>
          </cell>
          <cell r="E1730" t="str">
            <v>15-141</v>
          </cell>
          <cell r="F1730" t="str">
            <v>Fluorometers</v>
          </cell>
          <cell r="G1730" t="str">
            <v>LA</v>
          </cell>
          <cell r="H1730" t="str">
            <v>PATHOLOGY</v>
          </cell>
          <cell r="I1730" t="str">
            <v>04LA130</v>
          </cell>
          <cell r="J1730" t="str">
            <v>SEROLOGY</v>
          </cell>
          <cell r="K1730" t="str">
            <v>BMED</v>
          </cell>
          <cell r="L1730" t="str">
            <v>Normal</v>
          </cell>
          <cell r="M1730" t="str">
            <v>Singapore</v>
          </cell>
          <cell r="N1730" t="str">
            <v>Invitrogen Thermo Fisher Scientific</v>
          </cell>
          <cell r="O1730" t="str">
            <v>Qubit 4 Flourometer</v>
          </cell>
          <cell r="P1730" t="str">
            <v>2322619100216</v>
          </cell>
          <cell r="Q1730" t="str">
            <v>Not Applicable</v>
          </cell>
          <cell r="R1730" t="str">
            <v>Life Technologies Holding Pte Ltd</v>
          </cell>
          <cell r="S1730" t="str">
            <v>Bio-Diagnostic Sdn Bhd</v>
          </cell>
          <cell r="T1730" t="str">
            <v>Functioning</v>
          </cell>
          <cell r="U1730" t="str">
            <v>Asset</v>
          </cell>
          <cell r="V1730">
            <v>16800</v>
          </cell>
          <cell r="W1730" t="str">
            <v>KEW</v>
          </cell>
          <cell r="X1730">
            <v>44298</v>
          </cell>
          <cell r="Y1730" t="str">
            <v>KEW</v>
          </cell>
          <cell r="Z1730">
            <v>44301</v>
          </cell>
          <cell r="AA1730">
            <v>44666</v>
          </cell>
          <cell r="AB1730" t="str">
            <v>No</v>
          </cell>
          <cell r="AC1730">
            <v>44306</v>
          </cell>
          <cell r="AD1730" t="str">
            <v>Good</v>
          </cell>
          <cell r="AE1730" t="str">
            <v>V3 - Added Installed Facilities (New)</v>
          </cell>
          <cell r="AF1730">
            <v>44301</v>
          </cell>
          <cell r="AH1730" t="str">
            <v>PPM</v>
          </cell>
          <cell r="AI1730" t="str">
            <v>Strands</v>
          </cell>
          <cell r="AJ1730" t="str">
            <v>Strands PW</v>
          </cell>
          <cell r="AK1730" t="str">
            <v>SNF received on 30.6.2021</v>
          </cell>
        </row>
        <row r="1731">
          <cell r="A1731" t="str">
            <v>IKN402056</v>
          </cell>
          <cell r="B1731">
            <v>1711</v>
          </cell>
          <cell r="C1731" t="str">
            <v>Institut Kanser Negara</v>
          </cell>
          <cell r="D1731" t="str">
            <v>KKM/IKN/R/21/94</v>
          </cell>
          <cell r="E1731" t="str">
            <v>15-663</v>
          </cell>
          <cell r="F1731" t="str">
            <v>Pipetters</v>
          </cell>
          <cell r="G1731" t="str">
            <v>LA</v>
          </cell>
          <cell r="H1731" t="str">
            <v>PATHOLOGY</v>
          </cell>
          <cell r="I1731" t="str">
            <v>04LA130</v>
          </cell>
          <cell r="J1731" t="str">
            <v>SEROLOGY</v>
          </cell>
          <cell r="K1731" t="str">
            <v>BMED</v>
          </cell>
          <cell r="L1731" t="str">
            <v>Normal</v>
          </cell>
          <cell r="M1731" t="str">
            <v>Germany</v>
          </cell>
          <cell r="N1731" t="str">
            <v>Eppendorf</v>
          </cell>
          <cell r="O1731" t="str">
            <v>Eppendorf Research Plus</v>
          </cell>
          <cell r="P1731" t="str">
            <v>N45411J</v>
          </cell>
          <cell r="Q1731" t="str">
            <v>Not Applicable</v>
          </cell>
          <cell r="R1731" t="str">
            <v>Eppendorf</v>
          </cell>
          <cell r="S1731" t="str">
            <v>MEDIGENE SDN BHD</v>
          </cell>
          <cell r="T1731" t="str">
            <v>Functioning</v>
          </cell>
          <cell r="U1731" t="str">
            <v>Asset</v>
          </cell>
          <cell r="V1731">
            <v>1000</v>
          </cell>
          <cell r="W1731" t="str">
            <v>KEW</v>
          </cell>
          <cell r="X1731">
            <v>44291</v>
          </cell>
          <cell r="Y1731" t="str">
            <v>KEW</v>
          </cell>
          <cell r="Z1731">
            <v>44307</v>
          </cell>
          <cell r="AA1731">
            <v>44672</v>
          </cell>
          <cell r="AB1731" t="str">
            <v>No</v>
          </cell>
          <cell r="AC1731">
            <v>44307</v>
          </cell>
          <cell r="AD1731" t="str">
            <v>Good</v>
          </cell>
          <cell r="AE1731" t="str">
            <v>V3 - Added Installed Facilities (New)</v>
          </cell>
          <cell r="AH1731" t="str">
            <v>PPM</v>
          </cell>
          <cell r="AI1731" t="str">
            <v>Strands</v>
          </cell>
          <cell r="AJ1731" t="str">
            <v>Strands PW</v>
          </cell>
          <cell r="AK1731" t="str">
            <v>SNF received on 30.6.2021</v>
          </cell>
        </row>
        <row r="1732">
          <cell r="A1732" t="str">
            <v>IKN402057</v>
          </cell>
          <cell r="B1732">
            <v>1712</v>
          </cell>
          <cell r="C1732" t="str">
            <v>Institut Kanser Negara</v>
          </cell>
          <cell r="D1732" t="str">
            <v>KKM/IKN/R/21/95</v>
          </cell>
          <cell r="E1732" t="str">
            <v>15-663</v>
          </cell>
          <cell r="F1732" t="str">
            <v>Pipetters</v>
          </cell>
          <cell r="G1732" t="str">
            <v>LA</v>
          </cell>
          <cell r="H1732" t="str">
            <v>PATHOLOGY</v>
          </cell>
          <cell r="I1732" t="str">
            <v>04LA130</v>
          </cell>
          <cell r="J1732" t="str">
            <v>SEROLOGY</v>
          </cell>
          <cell r="K1732" t="str">
            <v>BMED</v>
          </cell>
          <cell r="L1732" t="str">
            <v>Normal</v>
          </cell>
          <cell r="M1732" t="str">
            <v>Germany</v>
          </cell>
          <cell r="N1732" t="str">
            <v>Eppendorf</v>
          </cell>
          <cell r="O1732" t="str">
            <v>Eppendorf Research Plus</v>
          </cell>
          <cell r="P1732" t="str">
            <v>N45813J</v>
          </cell>
          <cell r="Q1732" t="str">
            <v>Not Applicable</v>
          </cell>
          <cell r="R1732" t="str">
            <v>Eppendorf</v>
          </cell>
          <cell r="S1732" t="str">
            <v>MEDIGENE SDN BHD</v>
          </cell>
          <cell r="T1732" t="str">
            <v>Functioning</v>
          </cell>
          <cell r="U1732" t="str">
            <v>Asset</v>
          </cell>
          <cell r="V1732">
            <v>1000</v>
          </cell>
          <cell r="W1732" t="str">
            <v>KEW</v>
          </cell>
          <cell r="X1732">
            <v>44291</v>
          </cell>
          <cell r="Y1732" t="str">
            <v>KEW</v>
          </cell>
          <cell r="Z1732">
            <v>44307</v>
          </cell>
          <cell r="AA1732">
            <v>44672</v>
          </cell>
          <cell r="AB1732" t="str">
            <v>No</v>
          </cell>
          <cell r="AC1732">
            <v>44307</v>
          </cell>
          <cell r="AD1732" t="str">
            <v>Good</v>
          </cell>
          <cell r="AE1732" t="str">
            <v>V3 - Added Installed Facilities (New)</v>
          </cell>
          <cell r="AH1732" t="str">
            <v>PPM</v>
          </cell>
          <cell r="AI1732" t="str">
            <v>Strands</v>
          </cell>
          <cell r="AJ1732" t="str">
            <v>Strands PW</v>
          </cell>
          <cell r="AK1732" t="str">
            <v>SNF received on 30.6.2021</v>
          </cell>
        </row>
        <row r="1733">
          <cell r="A1733" t="str">
            <v>IKN402058</v>
          </cell>
          <cell r="B1733">
            <v>1713</v>
          </cell>
          <cell r="C1733" t="str">
            <v>Institut Kanser Negara</v>
          </cell>
          <cell r="D1733" t="str">
            <v>KKM/IKN/R/21/97</v>
          </cell>
          <cell r="E1733" t="str">
            <v>15-663</v>
          </cell>
          <cell r="F1733" t="str">
            <v>Pipetters</v>
          </cell>
          <cell r="G1733" t="str">
            <v>LA</v>
          </cell>
          <cell r="H1733" t="str">
            <v>PATHOLOGY</v>
          </cell>
          <cell r="I1733" t="str">
            <v>04LA130</v>
          </cell>
          <cell r="J1733" t="str">
            <v>SEROLOGY</v>
          </cell>
          <cell r="K1733" t="str">
            <v>BMED</v>
          </cell>
          <cell r="L1733" t="str">
            <v>Normal</v>
          </cell>
          <cell r="M1733" t="str">
            <v>Germany</v>
          </cell>
          <cell r="N1733" t="str">
            <v>Eppendorf</v>
          </cell>
          <cell r="O1733" t="str">
            <v>Eppendorf Research Plus</v>
          </cell>
          <cell r="P1733" t="str">
            <v>M38198J</v>
          </cell>
          <cell r="Q1733" t="str">
            <v>Not Applicable</v>
          </cell>
          <cell r="R1733" t="str">
            <v>Eppendorf</v>
          </cell>
          <cell r="S1733" t="str">
            <v>MEDIGENE SDN BHD</v>
          </cell>
          <cell r="T1733" t="str">
            <v>Functioning</v>
          </cell>
          <cell r="U1733" t="str">
            <v>Asset</v>
          </cell>
          <cell r="V1733">
            <v>1000</v>
          </cell>
          <cell r="W1733" t="str">
            <v>KEW</v>
          </cell>
          <cell r="X1733">
            <v>44291</v>
          </cell>
          <cell r="Y1733" t="str">
            <v>KEW</v>
          </cell>
          <cell r="Z1733">
            <v>44307</v>
          </cell>
          <cell r="AA1733">
            <v>44672</v>
          </cell>
          <cell r="AB1733" t="str">
            <v>No</v>
          </cell>
          <cell r="AC1733">
            <v>44307</v>
          </cell>
          <cell r="AD1733" t="str">
            <v>Good</v>
          </cell>
          <cell r="AE1733" t="str">
            <v>V3 - Added Installed Facilities (New)</v>
          </cell>
          <cell r="AH1733" t="str">
            <v>PPM</v>
          </cell>
          <cell r="AI1733" t="str">
            <v>Strands</v>
          </cell>
          <cell r="AJ1733" t="str">
            <v>Strands PW</v>
          </cell>
          <cell r="AK1733" t="str">
            <v>SNF received on 30.6.2021</v>
          </cell>
        </row>
        <row r="1734">
          <cell r="A1734" t="str">
            <v>IKN402059</v>
          </cell>
          <cell r="B1734">
            <v>1714</v>
          </cell>
          <cell r="C1734" t="str">
            <v>Institut Kanser Negara</v>
          </cell>
          <cell r="D1734" t="str">
            <v>KKM/IKN/R/21/96</v>
          </cell>
          <cell r="E1734" t="str">
            <v>15-663</v>
          </cell>
          <cell r="F1734" t="str">
            <v>Pipetters</v>
          </cell>
          <cell r="G1734" t="str">
            <v>LA</v>
          </cell>
          <cell r="H1734" t="str">
            <v>PATHOLOGY</v>
          </cell>
          <cell r="I1734" t="str">
            <v>04LA130</v>
          </cell>
          <cell r="J1734" t="str">
            <v>SEROLOGY</v>
          </cell>
          <cell r="K1734" t="str">
            <v>BMED</v>
          </cell>
          <cell r="L1734" t="str">
            <v>Normal</v>
          </cell>
          <cell r="M1734" t="str">
            <v>Germany</v>
          </cell>
          <cell r="N1734" t="str">
            <v>Eppendorf</v>
          </cell>
          <cell r="O1734" t="str">
            <v>Eppendorf Research Plus</v>
          </cell>
          <cell r="P1734" t="str">
            <v>M38212J</v>
          </cell>
          <cell r="Q1734" t="str">
            <v>Not Applicable</v>
          </cell>
          <cell r="R1734" t="str">
            <v>Eppendorf</v>
          </cell>
          <cell r="S1734" t="str">
            <v>MEDIGENE SDN BHD</v>
          </cell>
          <cell r="T1734" t="str">
            <v>Functioning</v>
          </cell>
          <cell r="U1734" t="str">
            <v>Asset</v>
          </cell>
          <cell r="V1734">
            <v>1000</v>
          </cell>
          <cell r="W1734" t="str">
            <v>KEW</v>
          </cell>
          <cell r="X1734">
            <v>44291</v>
          </cell>
          <cell r="Y1734" t="str">
            <v>KEW</v>
          </cell>
          <cell r="Z1734">
            <v>44307</v>
          </cell>
          <cell r="AA1734">
            <v>44672</v>
          </cell>
          <cell r="AB1734" t="str">
            <v>No</v>
          </cell>
          <cell r="AC1734">
            <v>44307</v>
          </cell>
          <cell r="AD1734" t="str">
            <v>Good</v>
          </cell>
          <cell r="AE1734" t="str">
            <v>V3 - Added Installed Facilities (New)</v>
          </cell>
          <cell r="AH1734" t="str">
            <v>PPM</v>
          </cell>
          <cell r="AI1734" t="str">
            <v>Strands</v>
          </cell>
          <cell r="AJ1734" t="str">
            <v>Strands PW</v>
          </cell>
          <cell r="AK1734" t="str">
            <v>SNF received on 30.6.2021</v>
          </cell>
        </row>
        <row r="1735">
          <cell r="A1735" t="str">
            <v>IKN402060</v>
          </cell>
          <cell r="B1735">
            <v>1715</v>
          </cell>
          <cell r="C1735" t="str">
            <v>Institut Kanser Negara</v>
          </cell>
          <cell r="D1735" t="str">
            <v>KKM/IKN/R/21/98</v>
          </cell>
          <cell r="E1735" t="str">
            <v>15-663</v>
          </cell>
          <cell r="F1735" t="str">
            <v>Pipetters</v>
          </cell>
          <cell r="G1735" t="str">
            <v>LA</v>
          </cell>
          <cell r="H1735" t="str">
            <v>PATHOLOGY</v>
          </cell>
          <cell r="I1735" t="str">
            <v>04LA130</v>
          </cell>
          <cell r="J1735" t="str">
            <v>SEROLOGY</v>
          </cell>
          <cell r="K1735" t="str">
            <v>BMED</v>
          </cell>
          <cell r="L1735" t="str">
            <v>Normal</v>
          </cell>
          <cell r="M1735" t="str">
            <v>Germany</v>
          </cell>
          <cell r="N1735" t="str">
            <v>Eppendorf</v>
          </cell>
          <cell r="O1735" t="str">
            <v>Eppendorf Research Plus</v>
          </cell>
          <cell r="P1735" t="str">
            <v>N45177J</v>
          </cell>
          <cell r="Q1735" t="str">
            <v>Not Applicable</v>
          </cell>
          <cell r="R1735" t="str">
            <v>Eppendorf</v>
          </cell>
          <cell r="S1735" t="str">
            <v>MEDIGENE SDN BHD</v>
          </cell>
          <cell r="T1735" t="str">
            <v>Functioning</v>
          </cell>
          <cell r="U1735" t="str">
            <v>Asset</v>
          </cell>
          <cell r="V1735">
            <v>1000</v>
          </cell>
          <cell r="W1735" t="str">
            <v>KEW</v>
          </cell>
          <cell r="X1735">
            <v>44291</v>
          </cell>
          <cell r="Y1735" t="str">
            <v>KEW</v>
          </cell>
          <cell r="Z1735">
            <v>44307</v>
          </cell>
          <cell r="AA1735">
            <v>44672</v>
          </cell>
          <cell r="AB1735" t="str">
            <v>No</v>
          </cell>
          <cell r="AC1735">
            <v>44307</v>
          </cell>
          <cell r="AD1735" t="str">
            <v>Good</v>
          </cell>
          <cell r="AE1735" t="str">
            <v>V3 - Added Installed Facilities (New)</v>
          </cell>
          <cell r="AH1735" t="str">
            <v>PPM</v>
          </cell>
          <cell r="AI1735" t="str">
            <v>Strands</v>
          </cell>
          <cell r="AJ1735" t="str">
            <v>Strands PW</v>
          </cell>
          <cell r="AK1735" t="str">
            <v>SNF received on 30.6.2021</v>
          </cell>
        </row>
        <row r="1736">
          <cell r="A1736" t="str">
            <v>IKN402061</v>
          </cell>
          <cell r="B1736">
            <v>1716</v>
          </cell>
          <cell r="C1736" t="str">
            <v>Institut Kanser Negara</v>
          </cell>
          <cell r="D1736" t="str">
            <v>KKM/IKN/R/21/99</v>
          </cell>
          <cell r="E1736" t="str">
            <v>15-663</v>
          </cell>
          <cell r="F1736" t="str">
            <v>Pipetters</v>
          </cell>
          <cell r="G1736" t="str">
            <v>LA</v>
          </cell>
          <cell r="H1736" t="str">
            <v>PATHOLOGY</v>
          </cell>
          <cell r="I1736" t="str">
            <v>04LA130</v>
          </cell>
          <cell r="J1736" t="str">
            <v>SEROLOGY</v>
          </cell>
          <cell r="K1736" t="str">
            <v>BMED</v>
          </cell>
          <cell r="L1736" t="str">
            <v>Normal</v>
          </cell>
          <cell r="M1736" t="str">
            <v>Germany</v>
          </cell>
          <cell r="N1736" t="str">
            <v>Eppendorf</v>
          </cell>
          <cell r="O1736" t="str">
            <v>Eppendorf Research Plus</v>
          </cell>
          <cell r="P1736" t="str">
            <v>N45183J</v>
          </cell>
          <cell r="Q1736" t="str">
            <v>Not Applicable</v>
          </cell>
          <cell r="R1736" t="str">
            <v>Eppendorf</v>
          </cell>
          <cell r="S1736" t="str">
            <v>MEDIGENE SDN BHD</v>
          </cell>
          <cell r="T1736" t="str">
            <v>Functioning</v>
          </cell>
          <cell r="U1736" t="str">
            <v>Asset</v>
          </cell>
          <cell r="V1736">
            <v>1000</v>
          </cell>
          <cell r="W1736" t="str">
            <v>KEW</v>
          </cell>
          <cell r="X1736">
            <v>44291</v>
          </cell>
          <cell r="Y1736" t="str">
            <v>KEW</v>
          </cell>
          <cell r="Z1736">
            <v>44307</v>
          </cell>
          <cell r="AA1736">
            <v>44672</v>
          </cell>
          <cell r="AB1736" t="str">
            <v>No</v>
          </cell>
          <cell r="AC1736">
            <v>44307</v>
          </cell>
          <cell r="AD1736" t="str">
            <v>Good</v>
          </cell>
          <cell r="AE1736" t="str">
            <v>V3 - Added Installed Facilities (New)</v>
          </cell>
          <cell r="AH1736" t="str">
            <v>PPM</v>
          </cell>
          <cell r="AI1736" t="str">
            <v>Strands</v>
          </cell>
          <cell r="AJ1736" t="str">
            <v>Strands PW</v>
          </cell>
          <cell r="AK1736" t="str">
            <v>SNF received on 30.6.2021</v>
          </cell>
        </row>
        <row r="1737">
          <cell r="A1737" t="str">
            <v>IKN402062</v>
          </cell>
          <cell r="B1737">
            <v>1717</v>
          </cell>
          <cell r="C1737" t="str">
            <v>Institut Kanser Negara</v>
          </cell>
          <cell r="D1737" t="str">
            <v>KKM/IKN/R/21/88</v>
          </cell>
          <cell r="E1737" t="str">
            <v>15-663</v>
          </cell>
          <cell r="F1737" t="str">
            <v>Pipetters</v>
          </cell>
          <cell r="G1737" t="str">
            <v>LA</v>
          </cell>
          <cell r="H1737" t="str">
            <v>PATHOLOGY</v>
          </cell>
          <cell r="I1737" t="str">
            <v>04LA130</v>
          </cell>
          <cell r="J1737" t="str">
            <v>SEROLOGY</v>
          </cell>
          <cell r="K1737" t="str">
            <v>BMED</v>
          </cell>
          <cell r="L1737" t="str">
            <v>Normal</v>
          </cell>
          <cell r="M1737" t="str">
            <v>Germany</v>
          </cell>
          <cell r="N1737" t="str">
            <v>Eppendorf</v>
          </cell>
          <cell r="O1737" t="str">
            <v>Eppendorf Research Plus</v>
          </cell>
          <cell r="P1737" t="str">
            <v>N34187J</v>
          </cell>
          <cell r="Q1737" t="str">
            <v>Not Applicable</v>
          </cell>
          <cell r="R1737" t="str">
            <v>Eppendorf</v>
          </cell>
          <cell r="S1737" t="str">
            <v>MEDIGENE SDN BHD</v>
          </cell>
          <cell r="T1737" t="str">
            <v>Functioning</v>
          </cell>
          <cell r="U1737" t="str">
            <v>Asset</v>
          </cell>
          <cell r="V1737">
            <v>1000</v>
          </cell>
          <cell r="W1737" t="str">
            <v>KEW</v>
          </cell>
          <cell r="X1737">
            <v>44291</v>
          </cell>
          <cell r="Y1737" t="str">
            <v>KEW</v>
          </cell>
          <cell r="Z1737">
            <v>44307</v>
          </cell>
          <cell r="AA1737">
            <v>44672</v>
          </cell>
          <cell r="AB1737" t="str">
            <v>No</v>
          </cell>
          <cell r="AC1737">
            <v>44307</v>
          </cell>
          <cell r="AD1737" t="str">
            <v>Good</v>
          </cell>
          <cell r="AE1737" t="str">
            <v>V3 - Added Installed Facilities (New)</v>
          </cell>
          <cell r="AH1737" t="str">
            <v>PPM</v>
          </cell>
          <cell r="AI1737" t="str">
            <v>Strands</v>
          </cell>
          <cell r="AJ1737" t="str">
            <v>Strands PW</v>
          </cell>
          <cell r="AK1737" t="str">
            <v>SNF received on 30.6.2021</v>
          </cell>
        </row>
        <row r="1738">
          <cell r="A1738" t="str">
            <v>IKN402063</v>
          </cell>
          <cell r="B1738">
            <v>1718</v>
          </cell>
          <cell r="C1738" t="str">
            <v>Institut Kanser Negara</v>
          </cell>
          <cell r="D1738" t="str">
            <v>KKM/IKN/R/21/89</v>
          </cell>
          <cell r="E1738" t="str">
            <v>15-663</v>
          </cell>
          <cell r="F1738" t="str">
            <v>Pipetters</v>
          </cell>
          <cell r="G1738" t="str">
            <v>LA</v>
          </cell>
          <cell r="H1738" t="str">
            <v>PATHOLOGY</v>
          </cell>
          <cell r="I1738" t="str">
            <v>04LA130</v>
          </cell>
          <cell r="J1738" t="str">
            <v>SEROLOGY</v>
          </cell>
          <cell r="K1738" t="str">
            <v>BMED</v>
          </cell>
          <cell r="L1738" t="str">
            <v>Normal</v>
          </cell>
          <cell r="M1738" t="str">
            <v>Germany</v>
          </cell>
          <cell r="N1738" t="str">
            <v>Eppendorf</v>
          </cell>
          <cell r="O1738" t="str">
            <v>Eppendorf Research Plus</v>
          </cell>
          <cell r="P1738" t="str">
            <v>N34260J</v>
          </cell>
          <cell r="Q1738" t="str">
            <v>Not Applicable</v>
          </cell>
          <cell r="R1738" t="str">
            <v>Eppendorf</v>
          </cell>
          <cell r="S1738" t="str">
            <v>MEDIGENE SDN BHD</v>
          </cell>
          <cell r="T1738" t="str">
            <v>Functioning</v>
          </cell>
          <cell r="U1738" t="str">
            <v>Asset</v>
          </cell>
          <cell r="V1738">
            <v>1000</v>
          </cell>
          <cell r="W1738" t="str">
            <v>KEW</v>
          </cell>
          <cell r="X1738">
            <v>44291</v>
          </cell>
          <cell r="Y1738" t="str">
            <v>KEW</v>
          </cell>
          <cell r="Z1738">
            <v>44307</v>
          </cell>
          <cell r="AA1738">
            <v>44672</v>
          </cell>
          <cell r="AB1738" t="str">
            <v>No</v>
          </cell>
          <cell r="AC1738">
            <v>44307</v>
          </cell>
          <cell r="AD1738" t="str">
            <v>Good</v>
          </cell>
          <cell r="AE1738" t="str">
            <v>V3 - Added Installed Facilities (New)</v>
          </cell>
          <cell r="AH1738" t="str">
            <v>PPM</v>
          </cell>
          <cell r="AI1738" t="str">
            <v>Strands</v>
          </cell>
          <cell r="AJ1738" t="str">
            <v>Strands PW</v>
          </cell>
          <cell r="AK1738" t="str">
            <v>SNF received on 30.6.2021</v>
          </cell>
        </row>
        <row r="1739">
          <cell r="A1739" t="str">
            <v>IKN402064</v>
          </cell>
          <cell r="B1739">
            <v>1719</v>
          </cell>
          <cell r="C1739" t="str">
            <v>Institut Kanser Negara</v>
          </cell>
          <cell r="D1739" t="str">
            <v>KKM/IKN/R/21/92</v>
          </cell>
          <cell r="E1739" t="str">
            <v>15-663</v>
          </cell>
          <cell r="F1739" t="str">
            <v>Pipetters</v>
          </cell>
          <cell r="G1739" t="str">
            <v>LA</v>
          </cell>
          <cell r="H1739" t="str">
            <v>PATHOLOGY</v>
          </cell>
          <cell r="I1739" t="str">
            <v>04LA130</v>
          </cell>
          <cell r="J1739" t="str">
            <v>SEROLOGY</v>
          </cell>
          <cell r="K1739" t="str">
            <v>BMED</v>
          </cell>
          <cell r="L1739" t="str">
            <v>Normal</v>
          </cell>
          <cell r="M1739" t="str">
            <v>Germany</v>
          </cell>
          <cell r="N1739" t="str">
            <v>Eppendorf</v>
          </cell>
          <cell r="O1739" t="str">
            <v>Eppendorf Research Plus</v>
          </cell>
          <cell r="P1739" t="str">
            <v>O28891J</v>
          </cell>
          <cell r="Q1739" t="str">
            <v>Not Applicable</v>
          </cell>
          <cell r="R1739" t="str">
            <v>Eppendorf</v>
          </cell>
          <cell r="S1739" t="str">
            <v>MEDIGENE SDN BHD</v>
          </cell>
          <cell r="T1739" t="str">
            <v>Functioning</v>
          </cell>
          <cell r="U1739" t="str">
            <v>Asset</v>
          </cell>
          <cell r="V1739">
            <v>1000</v>
          </cell>
          <cell r="W1739" t="str">
            <v>KEW</v>
          </cell>
          <cell r="X1739">
            <v>44291</v>
          </cell>
          <cell r="Y1739" t="str">
            <v>KEW</v>
          </cell>
          <cell r="Z1739">
            <v>44307</v>
          </cell>
          <cell r="AA1739">
            <v>44672</v>
          </cell>
          <cell r="AB1739" t="str">
            <v>No</v>
          </cell>
          <cell r="AC1739">
            <v>44307</v>
          </cell>
          <cell r="AD1739" t="str">
            <v>Good</v>
          </cell>
          <cell r="AE1739" t="str">
            <v>V3 - Added Installed Facilities (New)</v>
          </cell>
          <cell r="AH1739" t="str">
            <v>PPM</v>
          </cell>
          <cell r="AI1739" t="str">
            <v>Strands</v>
          </cell>
          <cell r="AJ1739" t="str">
            <v>Strands PW</v>
          </cell>
          <cell r="AK1739" t="str">
            <v>SNF received on 30.6.2021</v>
          </cell>
        </row>
        <row r="1740">
          <cell r="A1740" t="str">
            <v>IKN402065</v>
          </cell>
          <cell r="B1740">
            <v>1720</v>
          </cell>
          <cell r="C1740" t="str">
            <v>Institut Kanser Negara</v>
          </cell>
          <cell r="D1740" t="str">
            <v>KKM/IKN/R/21/93</v>
          </cell>
          <cell r="E1740" t="str">
            <v>15-663</v>
          </cell>
          <cell r="F1740" t="str">
            <v>Pipetters</v>
          </cell>
          <cell r="G1740" t="str">
            <v>LA</v>
          </cell>
          <cell r="H1740" t="str">
            <v>PATHOLOGY</v>
          </cell>
          <cell r="I1740" t="str">
            <v>04LA130</v>
          </cell>
          <cell r="J1740" t="str">
            <v>SEROLOGY</v>
          </cell>
          <cell r="K1740" t="str">
            <v>BMED</v>
          </cell>
          <cell r="L1740" t="str">
            <v>Normal</v>
          </cell>
          <cell r="M1740" t="str">
            <v>Germany</v>
          </cell>
          <cell r="N1740" t="str">
            <v>Eppendorf</v>
          </cell>
          <cell r="O1740" t="str">
            <v>Eppendorf Research Plus</v>
          </cell>
          <cell r="P1740" t="str">
            <v>O28883J</v>
          </cell>
          <cell r="Q1740" t="str">
            <v>Not Applicable</v>
          </cell>
          <cell r="R1740" t="str">
            <v>Eppendorf</v>
          </cell>
          <cell r="S1740" t="str">
            <v>MEDIGENE SDN BHD</v>
          </cell>
          <cell r="T1740" t="str">
            <v>Functioning</v>
          </cell>
          <cell r="U1740" t="str">
            <v>Asset</v>
          </cell>
          <cell r="V1740">
            <v>1000</v>
          </cell>
          <cell r="W1740" t="str">
            <v>KEW</v>
          </cell>
          <cell r="X1740">
            <v>44291</v>
          </cell>
          <cell r="Y1740" t="str">
            <v>KEW</v>
          </cell>
          <cell r="Z1740">
            <v>44307</v>
          </cell>
          <cell r="AA1740">
            <v>44672</v>
          </cell>
          <cell r="AB1740" t="str">
            <v>No</v>
          </cell>
          <cell r="AC1740">
            <v>44307</v>
          </cell>
          <cell r="AD1740" t="str">
            <v>Good</v>
          </cell>
          <cell r="AE1740" t="str">
            <v>V3 - Added Installed Facilities (New)</v>
          </cell>
          <cell r="AH1740" t="str">
            <v>PPM</v>
          </cell>
          <cell r="AI1740" t="str">
            <v>Strands</v>
          </cell>
          <cell r="AJ1740" t="str">
            <v>Strands PW</v>
          </cell>
          <cell r="AK1740" t="str">
            <v>SNF received on 30.6.2021</v>
          </cell>
        </row>
        <row r="1741">
          <cell r="A1741" t="str">
            <v>IKN402068</v>
          </cell>
          <cell r="B1741">
            <v>1723</v>
          </cell>
          <cell r="C1741" t="str">
            <v>Institut Kanser Negara</v>
          </cell>
          <cell r="D1741" t="str">
            <v>KKM/IKN/H/21/8</v>
          </cell>
          <cell r="E1741" t="str">
            <v>18-267</v>
          </cell>
          <cell r="F1741" t="str">
            <v>Centrifuges, Tabletop, Low-Speed, Nonrefrigerated, Blood Bank</v>
          </cell>
          <cell r="G1741" t="str">
            <v>LA</v>
          </cell>
          <cell r="H1741" t="str">
            <v>PATHOLOGY</v>
          </cell>
          <cell r="I1741" t="str">
            <v>04LA140</v>
          </cell>
          <cell r="J1741" t="str">
            <v>BLOOD BANK</v>
          </cell>
          <cell r="K1741" t="str">
            <v>BMED</v>
          </cell>
          <cell r="L1741" t="str">
            <v>Normal</v>
          </cell>
          <cell r="M1741" t="str">
            <v>CHINA</v>
          </cell>
          <cell r="N1741" t="str">
            <v>Greiner</v>
          </cell>
          <cell r="O1741" t="str">
            <v>Mini Centrifuge UK Plug</v>
          </cell>
          <cell r="P1741" t="str">
            <v>A043-27508</v>
          </cell>
          <cell r="Q1741" t="str">
            <v>Not Applicable</v>
          </cell>
          <cell r="R1741" t="str">
            <v>Greiner Bio-One</v>
          </cell>
          <cell r="S1741" t="str">
            <v>MEDIGENE SDN BHD</v>
          </cell>
          <cell r="T1741" t="str">
            <v>Functioning</v>
          </cell>
          <cell r="U1741" t="str">
            <v>Asset</v>
          </cell>
          <cell r="V1741">
            <v>2185</v>
          </cell>
          <cell r="W1741" t="str">
            <v>KEW</v>
          </cell>
          <cell r="X1741">
            <v>44291</v>
          </cell>
          <cell r="Y1741" t="str">
            <v>KEW</v>
          </cell>
          <cell r="Z1741">
            <v>44307</v>
          </cell>
          <cell r="AA1741">
            <v>44672</v>
          </cell>
          <cell r="AB1741" t="str">
            <v>No</v>
          </cell>
          <cell r="AC1741">
            <v>44307</v>
          </cell>
          <cell r="AD1741" t="str">
            <v>Good</v>
          </cell>
          <cell r="AE1741" t="str">
            <v>V3 - Added Installed Facilities (New)</v>
          </cell>
          <cell r="AF1741">
            <v>44307</v>
          </cell>
          <cell r="AH1741" t="str">
            <v>PPM</v>
          </cell>
          <cell r="AI1741" t="str">
            <v>Strands</v>
          </cell>
          <cell r="AJ1741" t="str">
            <v>Strands PW</v>
          </cell>
          <cell r="AK1741" t="str">
            <v>SNF received on 30.6.2021</v>
          </cell>
        </row>
        <row r="1742">
          <cell r="A1742" t="str">
            <v>IKN402069</v>
          </cell>
          <cell r="B1742">
            <v>1724</v>
          </cell>
          <cell r="C1742" t="str">
            <v>Institut Kanser Negara</v>
          </cell>
          <cell r="D1742" t="str">
            <v>KKM/IKN/H/21/16</v>
          </cell>
          <cell r="E1742" t="str">
            <v>18-013</v>
          </cell>
          <cell r="F1742" t="str">
            <v>Incubators, Laboratory, Thermocycling</v>
          </cell>
          <cell r="G1742" t="str">
            <v>LA</v>
          </cell>
          <cell r="H1742" t="str">
            <v>PATHOLOGY</v>
          </cell>
          <cell r="I1742" t="str">
            <v>04LA114</v>
          </cell>
          <cell r="J1742" t="str">
            <v>DARK MICROSCOPY</v>
          </cell>
          <cell r="K1742" t="str">
            <v>BMED</v>
          </cell>
          <cell r="L1742" t="str">
            <v>Normal</v>
          </cell>
          <cell r="M1742" t="str">
            <v>USA</v>
          </cell>
          <cell r="N1742" t="str">
            <v>BIO-RAD</v>
          </cell>
          <cell r="O1742" t="str">
            <v>CFX96 Touch</v>
          </cell>
          <cell r="P1742" t="str">
            <v>CT053520</v>
          </cell>
          <cell r="Q1742" t="str">
            <v>Not Applicable</v>
          </cell>
          <cell r="R1742" t="str">
            <v>Bio-Rad Laboratories</v>
          </cell>
          <cell r="S1742" t="str">
            <v>CANVIO SDN BHD</v>
          </cell>
          <cell r="T1742" t="str">
            <v>Functioning</v>
          </cell>
          <cell r="U1742" t="str">
            <v>Asset</v>
          </cell>
          <cell r="V1742">
            <v>155000</v>
          </cell>
          <cell r="W1742" t="str">
            <v>KEW</v>
          </cell>
          <cell r="X1742">
            <v>44307</v>
          </cell>
          <cell r="Y1742" t="str">
            <v>KEW</v>
          </cell>
          <cell r="Z1742">
            <v>44308</v>
          </cell>
          <cell r="AA1742">
            <v>44673</v>
          </cell>
          <cell r="AB1742" t="str">
            <v>No</v>
          </cell>
          <cell r="AC1742">
            <v>44308</v>
          </cell>
          <cell r="AD1742" t="str">
            <v>Good</v>
          </cell>
          <cell r="AE1742" t="str">
            <v>V3 - Added Installed Facilities (New)</v>
          </cell>
          <cell r="AH1742" t="str">
            <v>PPM</v>
          </cell>
          <cell r="AI1742" t="str">
            <v>Strands</v>
          </cell>
          <cell r="AJ1742" t="str">
            <v>Strands PW</v>
          </cell>
          <cell r="AK1742" t="str">
            <v>SNF received on 30.6.2021</v>
          </cell>
        </row>
        <row r="1743">
          <cell r="A1743" t="str">
            <v>IKN402070</v>
          </cell>
          <cell r="B1743">
            <v>1725</v>
          </cell>
          <cell r="C1743" t="str">
            <v>Institut Kanser Negara</v>
          </cell>
          <cell r="D1743" t="str">
            <v>KKM/IKN/H/21/16 - 05</v>
          </cell>
          <cell r="E1743" t="str">
            <v>15-663</v>
          </cell>
          <cell r="F1743" t="str">
            <v>Pipetters</v>
          </cell>
          <cell r="G1743" t="str">
            <v>LA</v>
          </cell>
          <cell r="H1743" t="str">
            <v>PATHOLOGY</v>
          </cell>
          <cell r="I1743" t="str">
            <v>04LA114</v>
          </cell>
          <cell r="J1743" t="str">
            <v>DARK MICROSCOPY</v>
          </cell>
          <cell r="K1743" t="str">
            <v>BMED</v>
          </cell>
          <cell r="L1743" t="str">
            <v>Normal</v>
          </cell>
          <cell r="M1743" t="str">
            <v>Germany</v>
          </cell>
          <cell r="N1743" t="str">
            <v>Eppendorf</v>
          </cell>
          <cell r="O1743" t="str">
            <v>Eppendorf Miltipette M4</v>
          </cell>
          <cell r="P1743" t="str">
            <v>G30978K</v>
          </cell>
          <cell r="Q1743" t="str">
            <v>Not Applicable</v>
          </cell>
          <cell r="R1743" t="str">
            <v>Eppendorf</v>
          </cell>
          <cell r="S1743" t="str">
            <v>CANVIO SDN BHD</v>
          </cell>
          <cell r="T1743" t="str">
            <v>Functioning</v>
          </cell>
          <cell r="U1743" t="str">
            <v>Asset</v>
          </cell>
          <cell r="V1743">
            <v>2204</v>
          </cell>
          <cell r="W1743" t="str">
            <v>KEW</v>
          </cell>
          <cell r="X1743">
            <v>44307</v>
          </cell>
          <cell r="Y1743" t="str">
            <v>KEW</v>
          </cell>
          <cell r="Z1743">
            <v>44308</v>
          </cell>
          <cell r="AA1743">
            <v>44673</v>
          </cell>
          <cell r="AB1743" t="str">
            <v>NO</v>
          </cell>
          <cell r="AC1743">
            <v>44308</v>
          </cell>
          <cell r="AD1743" t="str">
            <v>Good</v>
          </cell>
          <cell r="AE1743" t="str">
            <v>V3 - Added Installed Facilities (New)</v>
          </cell>
          <cell r="AH1743" t="str">
            <v>PPM</v>
          </cell>
          <cell r="AI1743" t="str">
            <v>Strands</v>
          </cell>
          <cell r="AJ1743" t="str">
            <v>Strands PW</v>
          </cell>
          <cell r="AK1743" t="str">
            <v>SNF received on 30.6.2021. Come with Thermocycler IKN402069.</v>
          </cell>
        </row>
        <row r="1744">
          <cell r="A1744" t="str">
            <v>IKN402071</v>
          </cell>
          <cell r="B1744">
            <v>1726</v>
          </cell>
          <cell r="C1744" t="str">
            <v>Institut Kanser Negara</v>
          </cell>
          <cell r="D1744" t="str">
            <v>KKM/IKN/H/21/15</v>
          </cell>
          <cell r="E1744" t="str">
            <v>15-167</v>
          </cell>
          <cell r="F1744" t="str">
            <v>Extractors, Plasma</v>
          </cell>
          <cell r="G1744" t="str">
            <v>LA</v>
          </cell>
          <cell r="H1744" t="str">
            <v>PATHOLOGY</v>
          </cell>
          <cell r="I1744" t="str">
            <v>04LA131</v>
          </cell>
          <cell r="J1744" t="str">
            <v>HAEMATOLOGY LAB 1</v>
          </cell>
          <cell r="K1744" t="str">
            <v>BMED</v>
          </cell>
          <cell r="L1744" t="str">
            <v>Normal</v>
          </cell>
          <cell r="M1744" t="str">
            <v>South Korea</v>
          </cell>
          <cell r="N1744" t="str">
            <v>GENEALL</v>
          </cell>
          <cell r="O1744" t="str">
            <v>GENTI 32 ADVANCED</v>
          </cell>
          <cell r="P1744" t="str">
            <v>GTI032ABAB011</v>
          </cell>
          <cell r="Q1744" t="str">
            <v>Not Applicable</v>
          </cell>
          <cell r="R1744" t="str">
            <v>GENEALL</v>
          </cell>
          <cell r="S1744" t="str">
            <v>Neoscience Sdn Bhd</v>
          </cell>
          <cell r="T1744" t="str">
            <v>Functioning</v>
          </cell>
          <cell r="U1744" t="str">
            <v>Asset</v>
          </cell>
          <cell r="V1744">
            <v>77500</v>
          </cell>
          <cell r="W1744" t="str">
            <v>KEW</v>
          </cell>
          <cell r="X1744">
            <v>44307</v>
          </cell>
          <cell r="Y1744" t="str">
            <v>KEW</v>
          </cell>
          <cell r="Z1744">
            <v>44312</v>
          </cell>
          <cell r="AA1744">
            <v>44677</v>
          </cell>
          <cell r="AB1744" t="str">
            <v>No</v>
          </cell>
          <cell r="AC1744">
            <v>44312</v>
          </cell>
          <cell r="AD1744" t="str">
            <v>Good</v>
          </cell>
          <cell r="AE1744" t="str">
            <v>V3 - Added Installed Facilities (New)</v>
          </cell>
          <cell r="AH1744" t="str">
            <v>PPM</v>
          </cell>
          <cell r="AI1744" t="str">
            <v>Strands</v>
          </cell>
          <cell r="AJ1744" t="str">
            <v>Strands PW</v>
          </cell>
          <cell r="AK1744" t="str">
            <v>SNF received on 30.6.2021</v>
          </cell>
        </row>
        <row r="1745">
          <cell r="A1745" t="str">
            <v>IKN402072</v>
          </cell>
          <cell r="B1745">
            <v>1727</v>
          </cell>
          <cell r="C1745" t="str">
            <v>Institut Kanser Negara</v>
          </cell>
          <cell r="D1745" t="str">
            <v>KKM/IKN/H/21/17</v>
          </cell>
          <cell r="E1745" t="str">
            <v>16-274</v>
          </cell>
          <cell r="F1745" t="str">
            <v>Dispensers, Liquid, Laboratory</v>
          </cell>
          <cell r="G1745" t="str">
            <v>LA</v>
          </cell>
          <cell r="H1745" t="str">
            <v>PATHOLOGY</v>
          </cell>
          <cell r="I1745" t="str">
            <v>04LA131</v>
          </cell>
          <cell r="J1745" t="str">
            <v>HAEMATOLOGY LAB 1</v>
          </cell>
          <cell r="K1745" t="str">
            <v>BMED</v>
          </cell>
          <cell r="L1745" t="str">
            <v>Normal</v>
          </cell>
          <cell r="M1745" t="str">
            <v>Australia</v>
          </cell>
          <cell r="N1745" t="str">
            <v>Bio Molecular Systems</v>
          </cell>
          <cell r="O1745" t="str">
            <v>MYRA-LHS50</v>
          </cell>
          <cell r="P1745" t="str">
            <v>R0000158</v>
          </cell>
          <cell r="Q1745" t="str">
            <v>Not Applicable</v>
          </cell>
          <cell r="R1745" t="str">
            <v>Bio Molecular System Pty. Ltd</v>
          </cell>
          <cell r="S1745" t="str">
            <v>ADT MOLECULAR SDN BHD</v>
          </cell>
          <cell r="T1745" t="str">
            <v>Functioning</v>
          </cell>
          <cell r="U1745" t="str">
            <v>Asset</v>
          </cell>
          <cell r="V1745">
            <v>148000</v>
          </cell>
          <cell r="W1745" t="str">
            <v>KEW</v>
          </cell>
          <cell r="X1745">
            <v>44307</v>
          </cell>
          <cell r="Y1745" t="str">
            <v>KEW</v>
          </cell>
          <cell r="Z1745">
            <v>44312</v>
          </cell>
          <cell r="AA1745">
            <v>45042</v>
          </cell>
          <cell r="AB1745" t="str">
            <v>No</v>
          </cell>
          <cell r="AC1745">
            <v>44312</v>
          </cell>
          <cell r="AD1745" t="str">
            <v>Good</v>
          </cell>
          <cell r="AE1745" t="str">
            <v>V3 - Added Installed Facilities (New)</v>
          </cell>
          <cell r="AH1745" t="str">
            <v>PPM</v>
          </cell>
          <cell r="AI1745" t="str">
            <v>Strands</v>
          </cell>
          <cell r="AJ1745" t="str">
            <v>Strands DW</v>
          </cell>
          <cell r="AK1745" t="str">
            <v>SNF received on 30.6.2021</v>
          </cell>
        </row>
        <row r="1746">
          <cell r="A1746" t="str">
            <v>IKN402074</v>
          </cell>
          <cell r="B1746">
            <v>1729</v>
          </cell>
          <cell r="C1746" t="str">
            <v>Institut Kanser Negara</v>
          </cell>
          <cell r="D1746" t="str">
            <v>KKM//IKN/H/21/11</v>
          </cell>
          <cell r="E1746" t="str">
            <v>25-209</v>
          </cell>
          <cell r="F1746" t="str">
            <v>Monitors, Physiologic, Vital Signs</v>
          </cell>
          <cell r="G1746" t="str">
            <v>AE</v>
          </cell>
          <cell r="H1746" t="str">
            <v>EMERGENCY UNIT</v>
          </cell>
          <cell r="I1746" t="str">
            <v>01AE112</v>
          </cell>
          <cell r="J1746" t="str">
            <v>EMERGENCY TROLLEY BAY</v>
          </cell>
          <cell r="K1746" t="str">
            <v>BMED</v>
          </cell>
          <cell r="L1746" t="str">
            <v>Normal</v>
          </cell>
          <cell r="M1746" t="str">
            <v>CHINA</v>
          </cell>
          <cell r="N1746" t="str">
            <v>COMEN</v>
          </cell>
          <cell r="O1746" t="str">
            <v>NC3A</v>
          </cell>
          <cell r="P1746" t="str">
            <v>N4191221002</v>
          </cell>
          <cell r="Q1746" t="str">
            <v>Not Applicable</v>
          </cell>
          <cell r="R1746" t="str">
            <v>Shenzhen Comen Medical Instruments Co., Ltd</v>
          </cell>
          <cell r="S1746" t="str">
            <v>Ikatan Megah Medik</v>
          </cell>
          <cell r="T1746" t="str">
            <v>Functioning</v>
          </cell>
          <cell r="U1746" t="str">
            <v>Asset</v>
          </cell>
          <cell r="V1746">
            <v>5500</v>
          </cell>
          <cell r="W1746" t="str">
            <v>KEW</v>
          </cell>
          <cell r="X1746">
            <v>44291</v>
          </cell>
          <cell r="Y1746" t="str">
            <v>KEW</v>
          </cell>
          <cell r="Z1746">
            <v>43952</v>
          </cell>
          <cell r="AA1746">
            <v>44317</v>
          </cell>
          <cell r="AB1746" t="str">
            <v>No</v>
          </cell>
          <cell r="AC1746">
            <v>44358</v>
          </cell>
          <cell r="AD1746" t="str">
            <v>Good</v>
          </cell>
          <cell r="AE1746" t="str">
            <v>V3 - Added Installed Facilities (New)</v>
          </cell>
          <cell r="AF1746">
            <v>44358</v>
          </cell>
          <cell r="AH1746" t="str">
            <v>PPM</v>
          </cell>
          <cell r="AI1746" t="str">
            <v>Strands</v>
          </cell>
          <cell r="AJ1746" t="str">
            <v>Strands PW</v>
          </cell>
          <cell r="AK1746" t="str">
            <v>SNF received on 24.6.2021. Unit re-do T&amp;C after replace new unit under warranty.</v>
          </cell>
        </row>
        <row r="1747">
          <cell r="A1747" t="str">
            <v>IKN402077</v>
          </cell>
          <cell r="B1747">
            <v>1732</v>
          </cell>
          <cell r="C1747" t="str">
            <v>Institut Kanser Negara</v>
          </cell>
          <cell r="E1747" t="str">
            <v>12-050</v>
          </cell>
          <cell r="F1747" t="str">
            <v>AIRVO 2 HUMIDIFIER WITH INTERGRATED FLOW GENERATOR</v>
          </cell>
          <cell r="G1747" t="str">
            <v>IC</v>
          </cell>
          <cell r="H1747" t="str">
            <v>INTENSIVE CARE UNIT</v>
          </cell>
          <cell r="I1747" t="str">
            <v>IC</v>
          </cell>
          <cell r="K1747" t="str">
            <v>BMED</v>
          </cell>
          <cell r="L1747" t="str">
            <v>Normal</v>
          </cell>
          <cell r="M1747" t="str">
            <v>NA</v>
          </cell>
          <cell r="N1747" t="str">
            <v>FISHER PAYKEL</v>
          </cell>
          <cell r="O1747" t="str">
            <v>AIRVO2</v>
          </cell>
          <cell r="P1747">
            <v>210517273292</v>
          </cell>
          <cell r="Q1747" t="str">
            <v>Not Applicable</v>
          </cell>
          <cell r="R1747" t="str">
            <v>FISHER &amp; PAYKEL</v>
          </cell>
          <cell r="S1747" t="str">
            <v>DAYA CERGAS M SDN BHD</v>
          </cell>
          <cell r="T1747" t="str">
            <v>Functioning</v>
          </cell>
          <cell r="U1747" t="str">
            <v>Asset</v>
          </cell>
          <cell r="V1747">
            <v>25000</v>
          </cell>
          <cell r="W1747" t="str">
            <v>KEW</v>
          </cell>
          <cell r="X1747">
            <v>44372</v>
          </cell>
          <cell r="Y1747" t="str">
            <v>KEW</v>
          </cell>
          <cell r="Z1747">
            <v>44372</v>
          </cell>
          <cell r="AA1747">
            <v>44736</v>
          </cell>
          <cell r="AB1747" t="str">
            <v>NO</v>
          </cell>
          <cell r="AC1747">
            <v>44372</v>
          </cell>
          <cell r="AD1747" t="str">
            <v>Good</v>
          </cell>
          <cell r="AE1747" t="str">
            <v>V3 - Added Installed Facilities (New)</v>
          </cell>
          <cell r="AF1747">
            <v>44372</v>
          </cell>
          <cell r="AH1747" t="str">
            <v>PPM</v>
          </cell>
          <cell r="AJ1747" t="str">
            <v>Not in contract</v>
          </cell>
        </row>
        <row r="1748">
          <cell r="A1748" t="str">
            <v>IKN402078</v>
          </cell>
          <cell r="B1748">
            <v>1733</v>
          </cell>
          <cell r="C1748" t="str">
            <v>Institut Kanser Negara</v>
          </cell>
          <cell r="D1748" t="str">
            <v>KKM/IKN/H/21/36</v>
          </cell>
          <cell r="E1748" t="str">
            <v>12-647</v>
          </cell>
          <cell r="F1748" t="str">
            <v>Physiologic Monitoring Systems, Acute Care</v>
          </cell>
          <cell r="G1748" t="str">
            <v>IC</v>
          </cell>
          <cell r="H1748" t="str">
            <v>INTENSIVE CARE UNIT</v>
          </cell>
          <cell r="I1748" t="str">
            <v>05IC102</v>
          </cell>
          <cell r="K1748" t="str">
            <v>BMED</v>
          </cell>
          <cell r="L1748" t="str">
            <v>Normal</v>
          </cell>
          <cell r="M1748" t="str">
            <v>NA</v>
          </cell>
          <cell r="N1748" t="str">
            <v>GE CARESCAPE</v>
          </cell>
          <cell r="O1748" t="str">
            <v>B650</v>
          </cell>
          <cell r="P1748" t="str">
            <v>STF21220110HA</v>
          </cell>
          <cell r="Q1748" t="str">
            <v>Not Applicable</v>
          </cell>
          <cell r="R1748" t="str">
            <v>GE HEALTHCARE SDN BHD</v>
          </cell>
          <cell r="S1748" t="str">
            <v>INSAN BAKTI SDN BHD</v>
          </cell>
          <cell r="T1748" t="str">
            <v>FUNCTIONING</v>
          </cell>
          <cell r="U1748" t="str">
            <v>ASSET</v>
          </cell>
          <cell r="V1748">
            <v>62000</v>
          </cell>
          <cell r="W1748" t="str">
            <v>KEW</v>
          </cell>
          <cell r="X1748">
            <v>44393</v>
          </cell>
          <cell r="Y1748" t="str">
            <v>KEW</v>
          </cell>
          <cell r="Z1748">
            <v>44393</v>
          </cell>
          <cell r="AA1748">
            <v>44758</v>
          </cell>
          <cell r="AB1748" t="str">
            <v>NO</v>
          </cell>
          <cell r="AC1748">
            <v>44393</v>
          </cell>
          <cell r="AD1748" t="str">
            <v>GOOD</v>
          </cell>
          <cell r="AE1748" t="str">
            <v>V3 - Added Installed Facilities (New)</v>
          </cell>
          <cell r="AF1748">
            <v>44393</v>
          </cell>
          <cell r="AH1748" t="str">
            <v>PPM</v>
          </cell>
          <cell r="AJ1748" t="str">
            <v>Proposed for V3 P2.23</v>
          </cell>
          <cell r="AK1748" t="str">
            <v>Sharifah: Price follow HASIS. KKM follow P2.23.</v>
          </cell>
        </row>
        <row r="1749">
          <cell r="A1749" t="str">
            <v>IKN402079</v>
          </cell>
          <cell r="B1749">
            <v>1734</v>
          </cell>
          <cell r="C1749" t="str">
            <v>Institut Kanser Negara</v>
          </cell>
          <cell r="D1749" t="str">
            <v>KKM/IKN/H/21/35</v>
          </cell>
          <cell r="E1749" t="str">
            <v>12-647</v>
          </cell>
          <cell r="F1749" t="str">
            <v>Physiologic Monitoring Systems, Acute Care</v>
          </cell>
          <cell r="G1749" t="str">
            <v>IC</v>
          </cell>
          <cell r="H1749" t="str">
            <v>INTENSIVE CARE UNIT</v>
          </cell>
          <cell r="I1749" t="str">
            <v>05IC102</v>
          </cell>
          <cell r="K1749" t="str">
            <v>BMED</v>
          </cell>
          <cell r="L1749" t="str">
            <v>Normal</v>
          </cell>
          <cell r="M1749" t="str">
            <v>NA</v>
          </cell>
          <cell r="N1749" t="str">
            <v>GE CARESCAPE</v>
          </cell>
          <cell r="O1749" t="str">
            <v>B650</v>
          </cell>
          <cell r="P1749" t="str">
            <v>STF21220109HA</v>
          </cell>
          <cell r="Q1749" t="str">
            <v>Not Applicable</v>
          </cell>
          <cell r="R1749" t="str">
            <v>GE HEALTHCARE SDN BHD</v>
          </cell>
          <cell r="S1749" t="str">
            <v>INSAN BAKTI SDN BHD</v>
          </cell>
          <cell r="T1749" t="str">
            <v>FUNCTIONING</v>
          </cell>
          <cell r="U1749" t="str">
            <v>ASSET</v>
          </cell>
          <cell r="V1749">
            <v>62000</v>
          </cell>
          <cell r="W1749" t="str">
            <v>KEW</v>
          </cell>
          <cell r="X1749">
            <v>44393</v>
          </cell>
          <cell r="Y1749" t="str">
            <v>KEW</v>
          </cell>
          <cell r="Z1749">
            <v>44393</v>
          </cell>
          <cell r="AA1749">
            <v>44758</v>
          </cell>
          <cell r="AB1749" t="str">
            <v>NO</v>
          </cell>
          <cell r="AC1749">
            <v>44393</v>
          </cell>
          <cell r="AD1749" t="str">
            <v>GOOD</v>
          </cell>
          <cell r="AE1749" t="str">
            <v>V3 - Added Installed Facilities (New)</v>
          </cell>
          <cell r="AF1749">
            <v>44393</v>
          </cell>
          <cell r="AH1749" t="str">
            <v>PPM</v>
          </cell>
          <cell r="AJ1749" t="str">
            <v>Proposed for V3 P2.23</v>
          </cell>
          <cell r="AK1749" t="str">
            <v>Sharifah: SN and price follow HASIS. KKM follow P2.23.</v>
          </cell>
        </row>
        <row r="1750">
          <cell r="A1750" t="str">
            <v>IKN402081</v>
          </cell>
          <cell r="B1750">
            <v>1736</v>
          </cell>
          <cell r="C1750" t="str">
            <v>Institut Kanser Negara</v>
          </cell>
          <cell r="D1750" t="str">
            <v>KKM/IKN/H/21/38</v>
          </cell>
          <cell r="E1750" t="str">
            <v>13-215</v>
          </cell>
          <cell r="F1750" t="str">
            <v>Infusion Pumps, General-Purpose</v>
          </cell>
          <cell r="G1750" t="str">
            <v>DO</v>
          </cell>
          <cell r="H1750" t="str">
            <v>DAY ONCOLOGY UNIT</v>
          </cell>
          <cell r="I1750" t="str">
            <v>04DO111</v>
          </cell>
          <cell r="J1750" t="str">
            <v>EQUIP. ROOM</v>
          </cell>
          <cell r="K1750" t="str">
            <v>BMED</v>
          </cell>
          <cell r="L1750" t="str">
            <v>Critical</v>
          </cell>
          <cell r="M1750" t="str">
            <v>CHINA</v>
          </cell>
          <cell r="N1750" t="str">
            <v>MedCaptian</v>
          </cell>
          <cell r="O1750" t="str">
            <v>HP-60</v>
          </cell>
          <cell r="P1750" t="str">
            <v>9024022106711</v>
          </cell>
          <cell r="Q1750" t="str">
            <v>Not Applicable</v>
          </cell>
          <cell r="R1750" t="str">
            <v>MedCaptain Medical Technology</v>
          </cell>
          <cell r="S1750" t="str">
            <v>Alam Medik Sdn Bhd</v>
          </cell>
          <cell r="T1750" t="str">
            <v>Functioning</v>
          </cell>
          <cell r="U1750" t="str">
            <v>Asset</v>
          </cell>
          <cell r="V1750">
            <v>3500</v>
          </cell>
          <cell r="W1750" t="str">
            <v>KEW</v>
          </cell>
          <cell r="X1750">
            <v>44421</v>
          </cell>
          <cell r="Y1750" t="str">
            <v>KEW</v>
          </cell>
          <cell r="Z1750">
            <v>44432</v>
          </cell>
          <cell r="AA1750">
            <v>44797</v>
          </cell>
          <cell r="AB1750" t="str">
            <v>No</v>
          </cell>
          <cell r="AC1750">
            <v>44432</v>
          </cell>
          <cell r="AD1750" t="str">
            <v>Good</v>
          </cell>
          <cell r="AE1750" t="str">
            <v>V3 - Added Installed Facilities (New)</v>
          </cell>
          <cell r="AF1750">
            <v>44432</v>
          </cell>
          <cell r="AH1750" t="str">
            <v>PPM</v>
          </cell>
          <cell r="AI1750" t="str">
            <v>Strands</v>
          </cell>
          <cell r="AJ1750" t="str">
            <v>Strands PW</v>
          </cell>
          <cell r="AK1750" t="str">
            <v>SNF received on 28.9.2021</v>
          </cell>
        </row>
        <row r="1751">
          <cell r="A1751" t="str">
            <v>IKN402082</v>
          </cell>
          <cell r="B1751">
            <v>1737</v>
          </cell>
          <cell r="C1751" t="str">
            <v>Institut Kanser Negara</v>
          </cell>
          <cell r="D1751" t="str">
            <v>KKM/IKN/H/21/39</v>
          </cell>
          <cell r="E1751" t="str">
            <v>13-215</v>
          </cell>
          <cell r="F1751" t="str">
            <v>Infusion Pumps, General-Purpose</v>
          </cell>
          <cell r="G1751" t="str">
            <v>DO</v>
          </cell>
          <cell r="H1751" t="str">
            <v>DAY ONCOLOGY UNIT</v>
          </cell>
          <cell r="I1751" t="str">
            <v>04DO111</v>
          </cell>
          <cell r="J1751" t="str">
            <v>EQUIP. ROOM</v>
          </cell>
          <cell r="K1751" t="str">
            <v>BMED</v>
          </cell>
          <cell r="L1751" t="str">
            <v>Critical</v>
          </cell>
          <cell r="M1751" t="str">
            <v>CHINA</v>
          </cell>
          <cell r="N1751" t="str">
            <v>MedCaptian</v>
          </cell>
          <cell r="O1751" t="str">
            <v>HP-60</v>
          </cell>
          <cell r="P1751" t="str">
            <v>9024022106725</v>
          </cell>
          <cell r="Q1751" t="str">
            <v>Not Applicable</v>
          </cell>
          <cell r="R1751" t="str">
            <v>MedCaptain Medical Technology</v>
          </cell>
          <cell r="S1751" t="str">
            <v>Alam Medik Sdn Bhd</v>
          </cell>
          <cell r="T1751" t="str">
            <v>Functioning</v>
          </cell>
          <cell r="U1751" t="str">
            <v>Asset</v>
          </cell>
          <cell r="V1751">
            <v>3500</v>
          </cell>
          <cell r="W1751" t="str">
            <v>KEW</v>
          </cell>
          <cell r="X1751">
            <v>44421</v>
          </cell>
          <cell r="Y1751" t="str">
            <v>KEW</v>
          </cell>
          <cell r="Z1751">
            <v>44432</v>
          </cell>
          <cell r="AA1751">
            <v>44797</v>
          </cell>
          <cell r="AB1751" t="str">
            <v>No</v>
          </cell>
          <cell r="AC1751">
            <v>44432</v>
          </cell>
          <cell r="AD1751" t="str">
            <v>Good</v>
          </cell>
          <cell r="AE1751" t="str">
            <v>V3 - Added Installed Facilities (New)</v>
          </cell>
          <cell r="AF1751">
            <v>44432</v>
          </cell>
          <cell r="AH1751" t="str">
            <v>PPM</v>
          </cell>
          <cell r="AI1751" t="str">
            <v>Strands</v>
          </cell>
          <cell r="AJ1751" t="str">
            <v>Strands PW</v>
          </cell>
          <cell r="AK1751" t="str">
            <v>SNF received on 28.9.2021</v>
          </cell>
        </row>
        <row r="1752">
          <cell r="A1752" t="str">
            <v>IKN402083</v>
          </cell>
          <cell r="B1752">
            <v>1738</v>
          </cell>
          <cell r="C1752" t="str">
            <v>Institut Kanser Negara</v>
          </cell>
          <cell r="D1752" t="str">
            <v>KKM/IKN/H/21/40</v>
          </cell>
          <cell r="E1752" t="str">
            <v>13-215</v>
          </cell>
          <cell r="F1752" t="str">
            <v>Infusion Pumps, General-Purpose</v>
          </cell>
          <cell r="G1752" t="str">
            <v>DO</v>
          </cell>
          <cell r="H1752" t="str">
            <v>DAY ONCOLOGY UNIT</v>
          </cell>
          <cell r="I1752" t="str">
            <v>04DO111</v>
          </cell>
          <cell r="J1752" t="str">
            <v>EQUIP. ROOM</v>
          </cell>
          <cell r="K1752" t="str">
            <v>BMED</v>
          </cell>
          <cell r="L1752" t="str">
            <v>Critical</v>
          </cell>
          <cell r="M1752" t="str">
            <v>CHINA</v>
          </cell>
          <cell r="N1752" t="str">
            <v>MedCaptian</v>
          </cell>
          <cell r="O1752" t="str">
            <v>HP-60</v>
          </cell>
          <cell r="P1752" t="str">
            <v>9024022106688</v>
          </cell>
          <cell r="Q1752" t="str">
            <v>Not Applicable</v>
          </cell>
          <cell r="R1752" t="str">
            <v>MedCaptain Medical Technology</v>
          </cell>
          <cell r="S1752" t="str">
            <v>Alam Medik Sdn Bhd</v>
          </cell>
          <cell r="T1752" t="str">
            <v>Functioning</v>
          </cell>
          <cell r="U1752" t="str">
            <v>Asset</v>
          </cell>
          <cell r="V1752">
            <v>3500</v>
          </cell>
          <cell r="W1752" t="str">
            <v>KEW</v>
          </cell>
          <cell r="X1752">
            <v>44421</v>
          </cell>
          <cell r="Y1752" t="str">
            <v>KEW</v>
          </cell>
          <cell r="Z1752">
            <v>44432</v>
          </cell>
          <cell r="AA1752">
            <v>44797</v>
          </cell>
          <cell r="AB1752" t="str">
            <v>No</v>
          </cell>
          <cell r="AC1752">
            <v>44432</v>
          </cell>
          <cell r="AD1752" t="str">
            <v>Good</v>
          </cell>
          <cell r="AE1752" t="str">
            <v>V3 - Added Installed Facilities (New)</v>
          </cell>
          <cell r="AF1752">
            <v>44432</v>
          </cell>
          <cell r="AH1752" t="str">
            <v>PPM</v>
          </cell>
          <cell r="AI1752" t="str">
            <v>Strands</v>
          </cell>
          <cell r="AJ1752" t="str">
            <v>Strands PW</v>
          </cell>
          <cell r="AK1752" t="str">
            <v>SNF received on 28.9.2021</v>
          </cell>
        </row>
        <row r="1753">
          <cell r="A1753" t="str">
            <v>IKN402084</v>
          </cell>
          <cell r="B1753">
            <v>1739</v>
          </cell>
          <cell r="C1753" t="str">
            <v>Institut Kanser Negara</v>
          </cell>
          <cell r="D1753" t="str">
            <v>KKM/IKN/H/21/41</v>
          </cell>
          <cell r="E1753" t="str">
            <v>13-215</v>
          </cell>
          <cell r="F1753" t="str">
            <v>Infusion Pumps, General-Purpose</v>
          </cell>
          <cell r="G1753" t="str">
            <v>DO</v>
          </cell>
          <cell r="H1753" t="str">
            <v>DAY ONCOLOGY UNIT</v>
          </cell>
          <cell r="I1753" t="str">
            <v>04DO111</v>
          </cell>
          <cell r="J1753" t="str">
            <v>EQUIP. ROOM</v>
          </cell>
          <cell r="K1753" t="str">
            <v>BMED</v>
          </cell>
          <cell r="L1753" t="str">
            <v>Critical</v>
          </cell>
          <cell r="M1753" t="str">
            <v>CHINA</v>
          </cell>
          <cell r="N1753" t="str">
            <v>MedCaptian</v>
          </cell>
          <cell r="O1753" t="str">
            <v>HP-60</v>
          </cell>
          <cell r="P1753" t="str">
            <v>9024022107047</v>
          </cell>
          <cell r="Q1753" t="str">
            <v>Not Applicable</v>
          </cell>
          <cell r="R1753" t="str">
            <v>MedCaptain Medical Technology</v>
          </cell>
          <cell r="S1753" t="str">
            <v>Alam Medik Sdn Bhd</v>
          </cell>
          <cell r="T1753" t="str">
            <v>Functioning</v>
          </cell>
          <cell r="U1753" t="str">
            <v>Asset</v>
          </cell>
          <cell r="V1753">
            <v>3500</v>
          </cell>
          <cell r="W1753" t="str">
            <v>KEW</v>
          </cell>
          <cell r="X1753">
            <v>44421</v>
          </cell>
          <cell r="Y1753" t="str">
            <v>KEW</v>
          </cell>
          <cell r="Z1753">
            <v>44432</v>
          </cell>
          <cell r="AA1753">
            <v>44797</v>
          </cell>
          <cell r="AB1753" t="str">
            <v>No</v>
          </cell>
          <cell r="AC1753">
            <v>44432</v>
          </cell>
          <cell r="AD1753" t="str">
            <v>Good</v>
          </cell>
          <cell r="AE1753" t="str">
            <v>V3 - Added Installed Facilities (New)</v>
          </cell>
          <cell r="AF1753">
            <v>44432</v>
          </cell>
          <cell r="AH1753" t="str">
            <v>PPM</v>
          </cell>
          <cell r="AI1753" t="str">
            <v>Strands</v>
          </cell>
          <cell r="AJ1753" t="str">
            <v>Strands PW</v>
          </cell>
          <cell r="AK1753" t="str">
            <v>SNF received on 28.9.2021</v>
          </cell>
        </row>
        <row r="1754">
          <cell r="A1754" t="str">
            <v>IKN402085</v>
          </cell>
          <cell r="B1754">
            <v>1740</v>
          </cell>
          <cell r="C1754" t="str">
            <v>Institut Kanser Negara</v>
          </cell>
          <cell r="D1754" t="str">
            <v>KKM/IKN/H/21/42</v>
          </cell>
          <cell r="E1754" t="str">
            <v>13-215</v>
          </cell>
          <cell r="F1754" t="str">
            <v>Infusion Pumps, General-Purpose</v>
          </cell>
          <cell r="G1754" t="str">
            <v>DO</v>
          </cell>
          <cell r="H1754" t="str">
            <v>DAY ONCOLOGY UNIT</v>
          </cell>
          <cell r="I1754" t="str">
            <v>04DO111</v>
          </cell>
          <cell r="J1754" t="str">
            <v>EQUIP. ROOM</v>
          </cell>
          <cell r="K1754" t="str">
            <v>BMED</v>
          </cell>
          <cell r="L1754" t="str">
            <v>Critical</v>
          </cell>
          <cell r="M1754" t="str">
            <v>CHINA</v>
          </cell>
          <cell r="N1754" t="str">
            <v>MedCaptian</v>
          </cell>
          <cell r="O1754" t="str">
            <v>HP-60</v>
          </cell>
          <cell r="P1754" t="str">
            <v>9024022106741</v>
          </cell>
          <cell r="Q1754" t="str">
            <v>Not Applicable</v>
          </cell>
          <cell r="R1754" t="str">
            <v>MedCaptain Medical Technology</v>
          </cell>
          <cell r="S1754" t="str">
            <v>Alam Medik Sdn Bhd</v>
          </cell>
          <cell r="T1754" t="str">
            <v>Functioning</v>
          </cell>
          <cell r="U1754" t="str">
            <v>Asset</v>
          </cell>
          <cell r="V1754">
            <v>3500</v>
          </cell>
          <cell r="W1754" t="str">
            <v>KEW</v>
          </cell>
          <cell r="X1754">
            <v>44421</v>
          </cell>
          <cell r="Y1754" t="str">
            <v>KEW</v>
          </cell>
          <cell r="Z1754">
            <v>44432</v>
          </cell>
          <cell r="AA1754">
            <v>44797</v>
          </cell>
          <cell r="AB1754" t="str">
            <v>No</v>
          </cell>
          <cell r="AC1754">
            <v>44432</v>
          </cell>
          <cell r="AD1754" t="str">
            <v>Good</v>
          </cell>
          <cell r="AE1754" t="str">
            <v>V3 - Added Installed Facilities (New)</v>
          </cell>
          <cell r="AF1754">
            <v>44432</v>
          </cell>
          <cell r="AH1754" t="str">
            <v>PPM</v>
          </cell>
          <cell r="AI1754" t="str">
            <v>Strands</v>
          </cell>
          <cell r="AJ1754" t="str">
            <v>Strands PW</v>
          </cell>
          <cell r="AK1754" t="str">
            <v>SNF received on 28.9.2021</v>
          </cell>
        </row>
        <row r="1755">
          <cell r="A1755" t="str">
            <v>IKN402086</v>
          </cell>
          <cell r="B1755">
            <v>1741</v>
          </cell>
          <cell r="C1755" t="str">
            <v>Institut Kanser Negara</v>
          </cell>
          <cell r="D1755" t="str">
            <v>KKM/IKN/H/21/43</v>
          </cell>
          <cell r="E1755" t="str">
            <v>13-215</v>
          </cell>
          <cell r="F1755" t="str">
            <v>Infusion Pumps, General-Purpose</v>
          </cell>
          <cell r="G1755" t="str">
            <v>DO</v>
          </cell>
          <cell r="H1755" t="str">
            <v>DAY ONCOLOGY UNIT</v>
          </cell>
          <cell r="I1755" t="str">
            <v>04DO111</v>
          </cell>
          <cell r="J1755" t="str">
            <v>EQUIP. ROOM</v>
          </cell>
          <cell r="K1755" t="str">
            <v>BMED</v>
          </cell>
          <cell r="L1755" t="str">
            <v>Critical</v>
          </cell>
          <cell r="M1755" t="str">
            <v>CHINA</v>
          </cell>
          <cell r="N1755" t="str">
            <v>MedCaptian</v>
          </cell>
          <cell r="O1755" t="str">
            <v>HP-60</v>
          </cell>
          <cell r="P1755" t="str">
            <v>9024022106690</v>
          </cell>
          <cell r="Q1755" t="str">
            <v>Not Applicable</v>
          </cell>
          <cell r="R1755" t="str">
            <v>MedCaptain Medical Technology</v>
          </cell>
          <cell r="S1755" t="str">
            <v>Alam Medik Sdn Bhd</v>
          </cell>
          <cell r="T1755" t="str">
            <v>Functioning</v>
          </cell>
          <cell r="U1755" t="str">
            <v>Asset</v>
          </cell>
          <cell r="V1755">
            <v>3500</v>
          </cell>
          <cell r="W1755" t="str">
            <v>KEW</v>
          </cell>
          <cell r="X1755">
            <v>44421</v>
          </cell>
          <cell r="Y1755" t="str">
            <v>KEW</v>
          </cell>
          <cell r="Z1755">
            <v>44432</v>
          </cell>
          <cell r="AA1755">
            <v>44797</v>
          </cell>
          <cell r="AB1755" t="str">
            <v>No</v>
          </cell>
          <cell r="AC1755">
            <v>44432</v>
          </cell>
          <cell r="AD1755" t="str">
            <v>Good</v>
          </cell>
          <cell r="AE1755" t="str">
            <v>V3 - Added Installed Facilities (New)</v>
          </cell>
          <cell r="AF1755">
            <v>44432</v>
          </cell>
          <cell r="AH1755" t="str">
            <v>PPM</v>
          </cell>
          <cell r="AI1755" t="str">
            <v>Strands</v>
          </cell>
          <cell r="AJ1755" t="str">
            <v>Strands PW</v>
          </cell>
          <cell r="AK1755" t="str">
            <v>SNF received on 28.9.2021</v>
          </cell>
        </row>
        <row r="1756">
          <cell r="A1756" t="str">
            <v>IKN402087</v>
          </cell>
          <cell r="B1756">
            <v>1742</v>
          </cell>
          <cell r="C1756" t="str">
            <v>Institut Kanser Negara</v>
          </cell>
          <cell r="D1756" t="str">
            <v>KKM/IKN/H/21/44</v>
          </cell>
          <cell r="E1756" t="str">
            <v>13-215</v>
          </cell>
          <cell r="F1756" t="str">
            <v>Infusion Pumps, General-Purpose</v>
          </cell>
          <cell r="G1756" t="str">
            <v>DO</v>
          </cell>
          <cell r="H1756" t="str">
            <v>DAY ONCOLOGY UNIT</v>
          </cell>
          <cell r="I1756" t="str">
            <v>04DO111</v>
          </cell>
          <cell r="J1756" t="str">
            <v>EQUIP. ROOM</v>
          </cell>
          <cell r="K1756" t="str">
            <v>BMED</v>
          </cell>
          <cell r="L1756" t="str">
            <v>Critical</v>
          </cell>
          <cell r="M1756" t="str">
            <v>CHINA</v>
          </cell>
          <cell r="N1756" t="str">
            <v>MedCaptian</v>
          </cell>
          <cell r="O1756" t="str">
            <v>HP-60</v>
          </cell>
          <cell r="P1756" t="str">
            <v>9024022106724</v>
          </cell>
          <cell r="Q1756" t="str">
            <v>Not Applicable</v>
          </cell>
          <cell r="R1756" t="str">
            <v>MedCaptain Medical Technology</v>
          </cell>
          <cell r="S1756" t="str">
            <v>Alam Medik Sdn Bhd</v>
          </cell>
          <cell r="T1756" t="str">
            <v>Functioning</v>
          </cell>
          <cell r="U1756" t="str">
            <v>Asset</v>
          </cell>
          <cell r="V1756">
            <v>3500</v>
          </cell>
          <cell r="W1756" t="str">
            <v>KEW</v>
          </cell>
          <cell r="X1756">
            <v>44421</v>
          </cell>
          <cell r="Y1756" t="str">
            <v>KEW</v>
          </cell>
          <cell r="Z1756">
            <v>44432</v>
          </cell>
          <cell r="AA1756">
            <v>44797</v>
          </cell>
          <cell r="AB1756" t="str">
            <v>No</v>
          </cell>
          <cell r="AC1756">
            <v>44432</v>
          </cell>
          <cell r="AD1756" t="str">
            <v>Good</v>
          </cell>
          <cell r="AE1756" t="str">
            <v>V3 - Added Installed Facilities (New)</v>
          </cell>
          <cell r="AF1756">
            <v>44432</v>
          </cell>
          <cell r="AH1756" t="str">
            <v>PPM</v>
          </cell>
          <cell r="AI1756" t="str">
            <v>Strands</v>
          </cell>
          <cell r="AJ1756" t="str">
            <v>Strands PW</v>
          </cell>
          <cell r="AK1756" t="str">
            <v>SNF received on 28.9.2021</v>
          </cell>
        </row>
        <row r="1757">
          <cell r="A1757" t="str">
            <v>IKN402088</v>
          </cell>
          <cell r="B1757">
            <v>1743</v>
          </cell>
          <cell r="C1757" t="str">
            <v>Institut Kanser Negara</v>
          </cell>
          <cell r="D1757" t="str">
            <v>KKM/IKN/H/21/124</v>
          </cell>
          <cell r="E1757" t="str">
            <v>13-215</v>
          </cell>
          <cell r="F1757" t="str">
            <v>Infusion Pumps, General-Purpose</v>
          </cell>
          <cell r="G1757" t="str">
            <v>DO</v>
          </cell>
          <cell r="H1757" t="str">
            <v>DAY ONCOLOGY UNIT</v>
          </cell>
          <cell r="I1757" t="str">
            <v>04DO111</v>
          </cell>
          <cell r="J1757" t="str">
            <v>EQUIP. ROOM</v>
          </cell>
          <cell r="K1757" t="str">
            <v>BMED</v>
          </cell>
          <cell r="L1757" t="str">
            <v>Critical</v>
          </cell>
          <cell r="M1757" t="str">
            <v>CHINA</v>
          </cell>
          <cell r="N1757" t="str">
            <v>MedCaptian</v>
          </cell>
          <cell r="O1757" t="str">
            <v>HP-60</v>
          </cell>
          <cell r="P1757" t="str">
            <v>9024022107123</v>
          </cell>
          <cell r="Q1757" t="str">
            <v>Not Applicable</v>
          </cell>
          <cell r="R1757" t="str">
            <v>MedCaptain Medical Technology</v>
          </cell>
          <cell r="S1757" t="str">
            <v>Alam Medik Sdn Bhd</v>
          </cell>
          <cell r="T1757" t="str">
            <v>Functioning</v>
          </cell>
          <cell r="U1757" t="str">
            <v>Asset</v>
          </cell>
          <cell r="V1757">
            <v>3500</v>
          </cell>
          <cell r="W1757" t="str">
            <v>KEW</v>
          </cell>
          <cell r="X1757">
            <v>44421</v>
          </cell>
          <cell r="Y1757" t="str">
            <v>KEW</v>
          </cell>
          <cell r="Z1757">
            <v>44432</v>
          </cell>
          <cell r="AA1757">
            <v>44797</v>
          </cell>
          <cell r="AB1757" t="str">
            <v>No</v>
          </cell>
          <cell r="AC1757">
            <v>44432</v>
          </cell>
          <cell r="AD1757" t="str">
            <v>Good</v>
          </cell>
          <cell r="AE1757" t="str">
            <v>V3 - Added Installed Facilities (New)</v>
          </cell>
          <cell r="AF1757">
            <v>44432</v>
          </cell>
          <cell r="AH1757" t="str">
            <v>PPM</v>
          </cell>
          <cell r="AI1757" t="str">
            <v>Not in Contract</v>
          </cell>
          <cell r="AJ1757" t="str">
            <v>Strands DW</v>
          </cell>
          <cell r="AK1757" t="str">
            <v>Donation 1 unit from vendor so cannot register for now. (PIC: FAREEZ)</v>
          </cell>
        </row>
        <row r="1758">
          <cell r="A1758" t="str">
            <v>IKN402089</v>
          </cell>
          <cell r="B1758">
            <v>1744</v>
          </cell>
          <cell r="C1758" t="str">
            <v>Institut Kanser Negara</v>
          </cell>
          <cell r="D1758" t="str">
            <v>KKM/IKN/H/20/44</v>
          </cell>
          <cell r="E1758" t="str">
            <v>10-656</v>
          </cell>
          <cell r="F1758" t="str">
            <v>Cast Cutters, Electric</v>
          </cell>
          <cell r="G1758" t="str">
            <v>AE</v>
          </cell>
          <cell r="H1758" t="str">
            <v>EMERGENCY UNIT</v>
          </cell>
          <cell r="I1758" t="str">
            <v>01AE112</v>
          </cell>
          <cell r="K1758" t="str">
            <v>BMED</v>
          </cell>
          <cell r="L1758" t="str">
            <v>Normal</v>
          </cell>
          <cell r="Q1758" t="str">
            <v>Not Applicable</v>
          </cell>
          <cell r="V1758">
            <v>12000</v>
          </cell>
          <cell r="W1758" t="str">
            <v>KEW</v>
          </cell>
          <cell r="AD1758" t="str">
            <v>Good</v>
          </cell>
          <cell r="AE1758" t="str">
            <v>V3 - Added Installed Facilities (New)</v>
          </cell>
          <cell r="AH1758" t="str">
            <v>PPM</v>
          </cell>
          <cell r="AI1758" t="str">
            <v>Strands</v>
          </cell>
          <cell r="AJ1758" t="str">
            <v>Strands PW</v>
          </cell>
          <cell r="AK1758" t="str">
            <v>SNF received on 7.12.2020 but BEMS only know on Sept 2021. Unit received from HPJ.   Cast Cutter Vacuum. CA progress</v>
          </cell>
        </row>
        <row r="1759">
          <cell r="A1759" t="str">
            <v>IKN402092</v>
          </cell>
          <cell r="B1759">
            <v>1747</v>
          </cell>
          <cell r="C1759" t="str">
            <v>Institut Kanser Negara</v>
          </cell>
          <cell r="D1759" t="str">
            <v>KKM/IKN/H/21/122</v>
          </cell>
          <cell r="E1759" t="str">
            <v>13-217</v>
          </cell>
          <cell r="F1759" t="str">
            <v>Infusion Pumps, General-Purpose</v>
          </cell>
          <cell r="G1759" t="str">
            <v>DO</v>
          </cell>
          <cell r="H1759" t="str">
            <v>DAY ONCOLOGY UNIT</v>
          </cell>
          <cell r="I1759" t="str">
            <v>04DO119</v>
          </cell>
          <cell r="J1759" t="str">
            <v>TREATMENT BAY 2</v>
          </cell>
          <cell r="K1759" t="str">
            <v>BMED</v>
          </cell>
          <cell r="L1759" t="str">
            <v>Normal</v>
          </cell>
          <cell r="M1759" t="str">
            <v>CHINA</v>
          </cell>
          <cell r="N1759" t="str">
            <v>MedCaptian</v>
          </cell>
          <cell r="O1759" t="str">
            <v>HP-60</v>
          </cell>
          <cell r="P1759" t="str">
            <v>9024022107499</v>
          </cell>
          <cell r="Q1759" t="str">
            <v>Not Applicable</v>
          </cell>
          <cell r="R1759" t="str">
            <v>MedCaptain Medical Technology</v>
          </cell>
          <cell r="S1759" t="str">
            <v>Alam Medik Sdn Bhd</v>
          </cell>
          <cell r="T1759" t="str">
            <v>Functioning</v>
          </cell>
          <cell r="U1759" t="str">
            <v>Asset</v>
          </cell>
          <cell r="V1759">
            <v>3500</v>
          </cell>
          <cell r="W1759" t="str">
            <v>KEW</v>
          </cell>
          <cell r="X1759">
            <v>44432</v>
          </cell>
          <cell r="Y1759" t="str">
            <v>KEW</v>
          </cell>
          <cell r="Z1759">
            <v>44468</v>
          </cell>
          <cell r="AA1759">
            <v>44833</v>
          </cell>
          <cell r="AB1759" t="str">
            <v>NO</v>
          </cell>
          <cell r="AC1759">
            <v>44468</v>
          </cell>
          <cell r="AD1759" t="str">
            <v>Good</v>
          </cell>
          <cell r="AE1759" t="str">
            <v>V3 - Added Installed Facilities (New)</v>
          </cell>
          <cell r="AF1759">
            <v>44468</v>
          </cell>
          <cell r="AG1759" t="str">
            <v>NA</v>
          </cell>
          <cell r="AH1759" t="str">
            <v>PPM</v>
          </cell>
          <cell r="AI1759" t="str">
            <v>Not in Contract</v>
          </cell>
          <cell r="AJ1759" t="str">
            <v>Strands DW</v>
          </cell>
        </row>
        <row r="1760">
          <cell r="A1760" t="str">
            <v>IKN402093</v>
          </cell>
          <cell r="B1760">
            <v>1748</v>
          </cell>
          <cell r="C1760" t="str">
            <v>Institut Kanser Negara</v>
          </cell>
          <cell r="D1760" t="str">
            <v>KKM/IKN/H/21/123</v>
          </cell>
          <cell r="E1760" t="str">
            <v>13-217</v>
          </cell>
          <cell r="F1760" t="str">
            <v>Infusion Pumps, General-Purpose</v>
          </cell>
          <cell r="G1760" t="str">
            <v>DO</v>
          </cell>
          <cell r="H1760" t="str">
            <v>DAY ONCOLOGY UNIT</v>
          </cell>
          <cell r="I1760" t="str">
            <v>04DO119</v>
          </cell>
          <cell r="J1760" t="str">
            <v>TREATMENT BAY 2</v>
          </cell>
          <cell r="K1760" t="str">
            <v>BMED</v>
          </cell>
          <cell r="L1760" t="str">
            <v>Normal</v>
          </cell>
          <cell r="M1760" t="str">
            <v>CHINA</v>
          </cell>
          <cell r="N1760" t="str">
            <v>MedCaptian</v>
          </cell>
          <cell r="O1760" t="str">
            <v>HP-60</v>
          </cell>
          <cell r="P1760" t="str">
            <v>9024022106333</v>
          </cell>
          <cell r="Q1760" t="str">
            <v>Not Applicable</v>
          </cell>
          <cell r="R1760" t="str">
            <v>MedCaptain Medical Technology</v>
          </cell>
          <cell r="S1760" t="str">
            <v>Alam Medik Sdn Bhd</v>
          </cell>
          <cell r="T1760" t="str">
            <v>Functioning</v>
          </cell>
          <cell r="U1760" t="str">
            <v>Asset</v>
          </cell>
          <cell r="V1760">
            <v>3500</v>
          </cell>
          <cell r="W1760" t="str">
            <v>KEW</v>
          </cell>
          <cell r="X1760">
            <v>44432</v>
          </cell>
          <cell r="Y1760" t="str">
            <v>KEW</v>
          </cell>
          <cell r="Z1760">
            <v>44468</v>
          </cell>
          <cell r="AA1760">
            <v>44833</v>
          </cell>
          <cell r="AB1760" t="str">
            <v>NO</v>
          </cell>
          <cell r="AC1760">
            <v>44468</v>
          </cell>
          <cell r="AD1760" t="str">
            <v>Good</v>
          </cell>
          <cell r="AE1760" t="str">
            <v>V3 - Added Installed Facilities (New)</v>
          </cell>
          <cell r="AF1760">
            <v>44468</v>
          </cell>
          <cell r="AG1760" t="str">
            <v>NA</v>
          </cell>
          <cell r="AH1760" t="str">
            <v>PPM</v>
          </cell>
          <cell r="AI1760" t="str">
            <v>Not in Contract</v>
          </cell>
          <cell r="AJ1760" t="str">
            <v>Strands DW</v>
          </cell>
        </row>
        <row r="1761">
          <cell r="A1761" t="str">
            <v>IKN402095</v>
          </cell>
          <cell r="B1761">
            <v>1750</v>
          </cell>
          <cell r="C1761" t="str">
            <v>(PIC: ATIQA)</v>
          </cell>
          <cell r="D1761" t="str">
            <v>KKM/IKN/H/21/138-01</v>
          </cell>
          <cell r="E1761" t="str">
            <v>10-960</v>
          </cell>
          <cell r="F1761" t="str">
            <v>Colposcopes</v>
          </cell>
          <cell r="G1761" t="str">
            <v>OT</v>
          </cell>
          <cell r="H1761" t="str">
            <v>OPERATING THEATRE</v>
          </cell>
          <cell r="I1761" t="str">
            <v>05OT161</v>
          </cell>
          <cell r="J1761" t="str">
            <v>OT</v>
          </cell>
          <cell r="K1761" t="str">
            <v>BMED</v>
          </cell>
          <cell r="L1761" t="str">
            <v>Normal</v>
          </cell>
          <cell r="M1761" t="str">
            <v>Japan</v>
          </cell>
          <cell r="N1761" t="str">
            <v>OLYMPUS</v>
          </cell>
          <cell r="O1761" t="str">
            <v>OCS-500</v>
          </cell>
          <cell r="P1761" t="str">
            <v>106045</v>
          </cell>
          <cell r="Q1761" t="str">
            <v>Not Applicable</v>
          </cell>
          <cell r="R1761" t="str">
            <v>Olympus Optical Co Ltd</v>
          </cell>
          <cell r="S1761" t="str">
            <v>MEDICLINK SYSTEMS (M) SDN BHD</v>
          </cell>
          <cell r="T1761" t="str">
            <v>Functioning</v>
          </cell>
          <cell r="U1761" t="str">
            <v>Asset</v>
          </cell>
          <cell r="V1761">
            <v>43410</v>
          </cell>
          <cell r="W1761" t="str">
            <v>KEW</v>
          </cell>
          <cell r="X1761">
            <v>40869</v>
          </cell>
          <cell r="Y1761" t="str">
            <v>KEW</v>
          </cell>
          <cell r="Z1761">
            <v>40889</v>
          </cell>
          <cell r="AA1761">
            <v>41255</v>
          </cell>
          <cell r="AB1761" t="str">
            <v>NO</v>
          </cell>
          <cell r="AC1761">
            <v>44405</v>
          </cell>
          <cell r="AD1761" t="str">
            <v>Good</v>
          </cell>
          <cell r="AE1761" t="str">
            <v>V3 - Added Installed Facilities (New)</v>
          </cell>
          <cell r="AF1761">
            <v>45259</v>
          </cell>
          <cell r="AG1761" t="str">
            <v>NA</v>
          </cell>
          <cell r="AH1761" t="str">
            <v>PPM</v>
          </cell>
          <cell r="AI1761" t="str">
            <v>Not in Contract</v>
          </cell>
          <cell r="AJ1761" t="str">
            <v>Proposed for V3 P2.23 (SET)</v>
          </cell>
          <cell r="AK1761" t="str">
            <v>ASSET TRANSFER FROM HPJ.</v>
          </cell>
        </row>
        <row r="1762">
          <cell r="A1762" t="str">
            <v>IKN402096</v>
          </cell>
          <cell r="B1762">
            <v>1751</v>
          </cell>
          <cell r="C1762" t="str">
            <v>(PIC: ATIQA)</v>
          </cell>
          <cell r="D1762" t="str">
            <v>KKM/IKN/H/21/138-02</v>
          </cell>
          <cell r="E1762" t="str">
            <v>12-343</v>
          </cell>
          <cell r="F1762" t="str">
            <v>Light Sources, Fibreoptic, Flexible Endoscopic</v>
          </cell>
          <cell r="G1762" t="str">
            <v>OT</v>
          </cell>
          <cell r="H1762" t="str">
            <v>OPERATING THEATRE</v>
          </cell>
          <cell r="I1762" t="str">
            <v>05OT161</v>
          </cell>
          <cell r="J1762" t="str">
            <v>OT</v>
          </cell>
          <cell r="K1762" t="str">
            <v>BMED</v>
          </cell>
          <cell r="L1762" t="str">
            <v>Normal</v>
          </cell>
          <cell r="M1762" t="str">
            <v>Japan</v>
          </cell>
          <cell r="N1762" t="str">
            <v>OLYMPUS</v>
          </cell>
          <cell r="O1762" t="str">
            <v>CLH-SC</v>
          </cell>
          <cell r="P1762" t="str">
            <v>7132878</v>
          </cell>
          <cell r="Q1762" t="str">
            <v>Not Applicable</v>
          </cell>
          <cell r="R1762" t="str">
            <v>Olympus Optical Co Ltd</v>
          </cell>
          <cell r="S1762" t="str">
            <v>MEDICLINK SYSTEMS (M) SDN BHD</v>
          </cell>
          <cell r="T1762" t="str">
            <v>Functioning</v>
          </cell>
          <cell r="U1762" t="str">
            <v>Asset</v>
          </cell>
          <cell r="V1762">
            <v>5390</v>
          </cell>
          <cell r="W1762" t="str">
            <v>KEW</v>
          </cell>
          <cell r="X1762">
            <v>40869</v>
          </cell>
          <cell r="Y1762" t="str">
            <v>KEW</v>
          </cell>
          <cell r="Z1762">
            <v>40889</v>
          </cell>
          <cell r="AA1762">
            <v>41255</v>
          </cell>
          <cell r="AB1762" t="str">
            <v>NO</v>
          </cell>
          <cell r="AC1762">
            <v>44405</v>
          </cell>
          <cell r="AD1762" t="str">
            <v>Good</v>
          </cell>
          <cell r="AE1762" t="str">
            <v>V3 - Added Installed Facilities (New)</v>
          </cell>
          <cell r="AF1762">
            <v>45259</v>
          </cell>
          <cell r="AG1762" t="str">
            <v>NA</v>
          </cell>
          <cell r="AH1762" t="str">
            <v>PPM</v>
          </cell>
          <cell r="AI1762" t="str">
            <v>Not in Contract</v>
          </cell>
          <cell r="AJ1762" t="str">
            <v>Proposed for V3 P2.23 (SET)</v>
          </cell>
          <cell r="AK1762" t="str">
            <v>ASSET TRANSFER FROM HPJ. Light Cable &amp; 3-pin Power Cord</v>
          </cell>
        </row>
        <row r="1763">
          <cell r="A1763" t="str">
            <v>IKN402097</v>
          </cell>
          <cell r="B1763">
            <v>1752</v>
          </cell>
          <cell r="C1763" t="str">
            <v>(PIC: ATIQA)</v>
          </cell>
          <cell r="D1763" t="str">
            <v>KKM/IKN/H/21/138-03</v>
          </cell>
          <cell r="E1763" t="str">
            <v>17-002</v>
          </cell>
          <cell r="F1763" t="str">
            <v>Cameras, Video, Endoscope</v>
          </cell>
          <cell r="G1763" t="str">
            <v>OT</v>
          </cell>
          <cell r="H1763" t="str">
            <v>OPERATING THEATRE</v>
          </cell>
          <cell r="I1763" t="str">
            <v>05OT161</v>
          </cell>
          <cell r="J1763" t="str">
            <v>OT</v>
          </cell>
          <cell r="K1763" t="str">
            <v>BMED</v>
          </cell>
          <cell r="L1763" t="str">
            <v>Normal</v>
          </cell>
          <cell r="M1763" t="str">
            <v>Japan</v>
          </cell>
          <cell r="N1763" t="str">
            <v>OLYMPUS</v>
          </cell>
          <cell r="O1763" t="str">
            <v>OTV-S7V(A)</v>
          </cell>
          <cell r="P1763" t="str">
            <v>7110457</v>
          </cell>
          <cell r="Q1763" t="str">
            <v>Not Applicable</v>
          </cell>
          <cell r="R1763" t="str">
            <v>Olympus Optical Co Ltd</v>
          </cell>
          <cell r="S1763" t="str">
            <v>MEDICLINK SYSTEMS (M) SDN BHD</v>
          </cell>
          <cell r="T1763" t="str">
            <v>Functioning</v>
          </cell>
          <cell r="U1763" t="str">
            <v>Asset</v>
          </cell>
          <cell r="V1763">
            <v>45200</v>
          </cell>
          <cell r="W1763" t="str">
            <v>KEW</v>
          </cell>
          <cell r="X1763">
            <v>40869</v>
          </cell>
          <cell r="Y1763" t="str">
            <v>KEW</v>
          </cell>
          <cell r="Z1763">
            <v>40889</v>
          </cell>
          <cell r="AA1763">
            <v>41255</v>
          </cell>
          <cell r="AB1763" t="str">
            <v>NO</v>
          </cell>
          <cell r="AC1763">
            <v>44405</v>
          </cell>
          <cell r="AD1763" t="str">
            <v>Good</v>
          </cell>
          <cell r="AE1763" t="str">
            <v>V3 - Added Installed Facilities (New)</v>
          </cell>
          <cell r="AF1763">
            <v>45259</v>
          </cell>
          <cell r="AG1763" t="str">
            <v>NA</v>
          </cell>
          <cell r="AH1763" t="str">
            <v>PPM</v>
          </cell>
          <cell r="AI1763" t="str">
            <v>Not in Contract</v>
          </cell>
          <cell r="AJ1763" t="str">
            <v>Proposed for V3 P2.23 (SET)</v>
          </cell>
          <cell r="AK1763" t="str">
            <v>ASSET TRANSFER FROM HPJ. Camera Head (Olympus Visera OTV-S7H-10, SN: 7123341)</v>
          </cell>
        </row>
        <row r="1764">
          <cell r="A1764" t="str">
            <v>IKN402098</v>
          </cell>
          <cell r="B1764">
            <v>1753</v>
          </cell>
          <cell r="C1764" t="str">
            <v>Institut Kanser Negara</v>
          </cell>
          <cell r="E1764" t="str">
            <v>NA</v>
          </cell>
          <cell r="F1764" t="str">
            <v>Colposcope Set</v>
          </cell>
          <cell r="G1764" t="str">
            <v>OT</v>
          </cell>
          <cell r="H1764" t="str">
            <v>OPERATING THEATRE</v>
          </cell>
          <cell r="I1764" t="str">
            <v>05OT161</v>
          </cell>
          <cell r="J1764" t="str">
            <v>OT</v>
          </cell>
          <cell r="K1764" t="str">
            <v>BMED</v>
          </cell>
          <cell r="L1764" t="str">
            <v>Normal</v>
          </cell>
          <cell r="M1764" t="str">
            <v>Japan</v>
          </cell>
          <cell r="N1764" t="str">
            <v>OLYMPUS</v>
          </cell>
          <cell r="O1764" t="str">
            <v>OTV-S7H-1D</v>
          </cell>
          <cell r="P1764" t="str">
            <v>7123341</v>
          </cell>
          <cell r="Q1764" t="str">
            <v>Not Applicable</v>
          </cell>
          <cell r="R1764" t="str">
            <v>Olympus Optical Co Ltd</v>
          </cell>
          <cell r="S1764" t="str">
            <v>MEDICLINK SYSTEMS (M) SDN BHD</v>
          </cell>
          <cell r="T1764" t="str">
            <v>Functioning</v>
          </cell>
          <cell r="U1764" t="str">
            <v>Asset</v>
          </cell>
          <cell r="V1764">
            <v>107000</v>
          </cell>
          <cell r="W1764" t="str">
            <v>KEW</v>
          </cell>
          <cell r="X1764" t="str">
            <v>NA</v>
          </cell>
          <cell r="Y1764" t="str">
            <v>KEW</v>
          </cell>
          <cell r="Z1764" t="str">
            <v>NA</v>
          </cell>
          <cell r="AA1764" t="str">
            <v>NA</v>
          </cell>
          <cell r="AB1764" t="str">
            <v>NO</v>
          </cell>
          <cell r="AC1764">
            <v>44658</v>
          </cell>
          <cell r="AD1764" t="str">
            <v>Good</v>
          </cell>
          <cell r="AE1764" t="str">
            <v>V6</v>
          </cell>
          <cell r="AF1764">
            <v>44658</v>
          </cell>
          <cell r="AG1764">
            <v>5.17</v>
          </cell>
          <cell r="AH1764" t="str">
            <v>PPM</v>
          </cell>
          <cell r="AI1764" t="str">
            <v>Not in Contract</v>
          </cell>
          <cell r="AJ1764" t="str">
            <v>Strands PW</v>
          </cell>
          <cell r="AK1764" t="str">
            <v>ASSET TRANSFER FROM HPJ. Asset No. IKN402098 substitute in IKN402097. (PIC: ATIQA)</v>
          </cell>
        </row>
        <row r="1765">
          <cell r="A1765" t="str">
            <v>IKN402099</v>
          </cell>
          <cell r="B1765">
            <v>1754</v>
          </cell>
          <cell r="C1765" t="str">
            <v>(PIC: ATIQA)</v>
          </cell>
          <cell r="D1765" t="str">
            <v>KKM/IKN/H/21/138-04</v>
          </cell>
          <cell r="E1765" t="str">
            <v>16-603</v>
          </cell>
          <cell r="F1765" t="str">
            <v>Television Monitors</v>
          </cell>
          <cell r="G1765" t="str">
            <v>OT</v>
          </cell>
          <cell r="H1765" t="str">
            <v>OPERATING THEATRE</v>
          </cell>
          <cell r="I1765" t="str">
            <v>05OT161</v>
          </cell>
          <cell r="J1765" t="str">
            <v>OT</v>
          </cell>
          <cell r="K1765" t="str">
            <v>BMED</v>
          </cell>
          <cell r="L1765" t="str">
            <v>Normal</v>
          </cell>
          <cell r="M1765" t="str">
            <v>Japan</v>
          </cell>
          <cell r="N1765" t="str">
            <v>SONY</v>
          </cell>
          <cell r="O1765" t="str">
            <v>LMD-2110MD</v>
          </cell>
          <cell r="P1765" t="str">
            <v>3100280</v>
          </cell>
          <cell r="Q1765" t="str">
            <v>Not Applicable</v>
          </cell>
          <cell r="R1765" t="str">
            <v>SONY</v>
          </cell>
          <cell r="S1765" t="str">
            <v>MEDICLINK SYSTEMS (M) SDN BHD</v>
          </cell>
          <cell r="T1765" t="str">
            <v>Functioning</v>
          </cell>
          <cell r="U1765" t="str">
            <v>Asset</v>
          </cell>
          <cell r="V1765">
            <v>8000</v>
          </cell>
          <cell r="W1765" t="str">
            <v>KEW</v>
          </cell>
          <cell r="X1765">
            <v>40869</v>
          </cell>
          <cell r="Y1765" t="str">
            <v>KEW</v>
          </cell>
          <cell r="Z1765">
            <v>40889</v>
          </cell>
          <cell r="AA1765">
            <v>41255</v>
          </cell>
          <cell r="AB1765" t="str">
            <v>NO</v>
          </cell>
          <cell r="AC1765">
            <v>44405</v>
          </cell>
          <cell r="AD1765" t="str">
            <v>Good</v>
          </cell>
          <cell r="AE1765" t="str">
            <v>V3 - Added Installed Facilities (New)</v>
          </cell>
          <cell r="AF1765">
            <v>45259</v>
          </cell>
          <cell r="AG1765" t="str">
            <v>NA</v>
          </cell>
          <cell r="AH1765" t="str">
            <v>PPM</v>
          </cell>
          <cell r="AI1765" t="str">
            <v>Not in Contract</v>
          </cell>
          <cell r="AJ1765" t="str">
            <v>Proposed for V3 P2.23 (SET)</v>
          </cell>
          <cell r="AK1765" t="str">
            <v>ASSET TRANSFER FROM HPJ. Power Cord</v>
          </cell>
        </row>
        <row r="1766">
          <cell r="A1766" t="str">
            <v>IKN402100</v>
          </cell>
          <cell r="B1766">
            <v>1755</v>
          </cell>
          <cell r="C1766" t="str">
            <v>(PIC: ATIQA)</v>
          </cell>
          <cell r="D1766" t="str">
            <v>KKM/IKN/H/21/138-06</v>
          </cell>
          <cell r="E1766" t="str">
            <v>16-603</v>
          </cell>
          <cell r="F1766" t="str">
            <v>Television Monitors</v>
          </cell>
          <cell r="G1766" t="str">
            <v>OT</v>
          </cell>
          <cell r="H1766" t="str">
            <v>OPERATING THEATRE</v>
          </cell>
          <cell r="I1766" t="str">
            <v>05OT161</v>
          </cell>
          <cell r="J1766" t="str">
            <v>OT</v>
          </cell>
          <cell r="K1766" t="str">
            <v>BMED</v>
          </cell>
          <cell r="L1766" t="str">
            <v>Normal</v>
          </cell>
          <cell r="M1766" t="str">
            <v>Japan</v>
          </cell>
          <cell r="N1766" t="str">
            <v>SONY</v>
          </cell>
          <cell r="O1766" t="str">
            <v>KLV-32BX320</v>
          </cell>
          <cell r="P1766" t="str">
            <v>3253869</v>
          </cell>
          <cell r="Q1766" t="str">
            <v>Not Applicable</v>
          </cell>
          <cell r="R1766" t="str">
            <v>SONY</v>
          </cell>
          <cell r="S1766" t="str">
            <v>MEDICLINK SYSTEMS (M) SDN BHD</v>
          </cell>
          <cell r="T1766" t="str">
            <v>Functioning</v>
          </cell>
          <cell r="U1766" t="str">
            <v>Asset</v>
          </cell>
          <cell r="V1766">
            <v>3000</v>
          </cell>
          <cell r="W1766" t="str">
            <v>KEW</v>
          </cell>
          <cell r="X1766">
            <v>40869</v>
          </cell>
          <cell r="Y1766" t="str">
            <v>KEW</v>
          </cell>
          <cell r="Z1766">
            <v>40889</v>
          </cell>
          <cell r="AA1766">
            <v>41255</v>
          </cell>
          <cell r="AB1766" t="str">
            <v>NO</v>
          </cell>
          <cell r="AC1766">
            <v>44405</v>
          </cell>
          <cell r="AD1766" t="str">
            <v>Good</v>
          </cell>
          <cell r="AE1766" t="str">
            <v>V3 - Added Installed Facilities (New)</v>
          </cell>
          <cell r="AF1766">
            <v>45259</v>
          </cell>
          <cell r="AG1766" t="str">
            <v>NA</v>
          </cell>
          <cell r="AH1766" t="str">
            <v>PPM</v>
          </cell>
          <cell r="AI1766" t="str">
            <v>Not in Contract</v>
          </cell>
          <cell r="AJ1766" t="str">
            <v>Proposed for V3 P2.23 (SET)</v>
          </cell>
          <cell r="AK1766" t="str">
            <v>ASSET TRANSFER FROM HPJ. Power Cord</v>
          </cell>
        </row>
        <row r="1767">
          <cell r="A1767" t="str">
            <v>IKN402101</v>
          </cell>
          <cell r="B1767">
            <v>1756</v>
          </cell>
          <cell r="C1767" t="str">
            <v>(PIC: ATIQA)</v>
          </cell>
          <cell r="D1767" t="str">
            <v>KKM/IKN/H/21/138-05</v>
          </cell>
          <cell r="E1767" t="str">
            <v>13-274</v>
          </cell>
          <cell r="F1767" t="str">
            <v>Recorders, Tape, Video</v>
          </cell>
          <cell r="G1767" t="str">
            <v>OT</v>
          </cell>
          <cell r="H1767" t="str">
            <v>OPERATING THEATRE</v>
          </cell>
          <cell r="I1767" t="str">
            <v>05OT161</v>
          </cell>
          <cell r="J1767" t="str">
            <v>OT</v>
          </cell>
          <cell r="K1767" t="str">
            <v>BMED</v>
          </cell>
          <cell r="L1767" t="str">
            <v>Normal</v>
          </cell>
          <cell r="M1767" t="str">
            <v>Japan</v>
          </cell>
          <cell r="N1767" t="str">
            <v>SONY</v>
          </cell>
          <cell r="O1767" t="str">
            <v>RDR-HX780</v>
          </cell>
          <cell r="P1767" t="str">
            <v>1015241</v>
          </cell>
          <cell r="Q1767" t="str">
            <v>Not Applicable</v>
          </cell>
          <cell r="R1767" t="str">
            <v>SONY</v>
          </cell>
          <cell r="S1767" t="str">
            <v>MEDICLINK SYSTEMS (M) SDN BHD</v>
          </cell>
          <cell r="T1767" t="str">
            <v>Functioning</v>
          </cell>
          <cell r="U1767" t="str">
            <v>Asset</v>
          </cell>
          <cell r="V1767">
            <v>2000</v>
          </cell>
          <cell r="W1767" t="str">
            <v>KEW</v>
          </cell>
          <cell r="X1767">
            <v>40869</v>
          </cell>
          <cell r="Y1767" t="str">
            <v>KEW</v>
          </cell>
          <cell r="Z1767">
            <v>40889</v>
          </cell>
          <cell r="AA1767">
            <v>41255</v>
          </cell>
          <cell r="AB1767" t="str">
            <v>NO</v>
          </cell>
          <cell r="AC1767">
            <v>44405</v>
          </cell>
          <cell r="AD1767" t="str">
            <v>Good</v>
          </cell>
          <cell r="AE1767" t="str">
            <v>V3 - Added Installed Facilities (New)</v>
          </cell>
          <cell r="AF1767">
            <v>45259</v>
          </cell>
          <cell r="AG1767" t="str">
            <v>NA</v>
          </cell>
          <cell r="AH1767" t="str">
            <v>PPM</v>
          </cell>
          <cell r="AI1767" t="str">
            <v>Not in Contract</v>
          </cell>
          <cell r="AJ1767" t="str">
            <v>Proposed for V3 P2.23 (SET)</v>
          </cell>
          <cell r="AK1767" t="str">
            <v>ASSET TRANSFER FROM HPJ. Power Cord</v>
          </cell>
        </row>
        <row r="1768">
          <cell r="A1768" t="str">
            <v>IKN402102</v>
          </cell>
          <cell r="B1768">
            <v>1757</v>
          </cell>
          <cell r="C1768" t="str">
            <v>Institut Kanser Negara</v>
          </cell>
          <cell r="D1768" t="str">
            <v>KKM/IKN/H/21/125</v>
          </cell>
          <cell r="E1768" t="str">
            <v>13-215</v>
          </cell>
          <cell r="F1768" t="str">
            <v>Infusion Pumps, General-Purpose</v>
          </cell>
          <cell r="G1768" t="str">
            <v>DO</v>
          </cell>
          <cell r="H1768" t="str">
            <v>DAY ONCOLOGY UNIT</v>
          </cell>
          <cell r="I1768" t="str">
            <v>04DO111</v>
          </cell>
          <cell r="J1768" t="str">
            <v>EQUIP. ROOM</v>
          </cell>
          <cell r="K1768" t="str">
            <v>BMED</v>
          </cell>
          <cell r="L1768" t="str">
            <v>Critical</v>
          </cell>
          <cell r="M1768" t="str">
            <v>CHINA</v>
          </cell>
          <cell r="N1768" t="str">
            <v>MedCaptian</v>
          </cell>
          <cell r="O1768" t="str">
            <v>HP-60</v>
          </cell>
          <cell r="P1768">
            <v>9024422108380</v>
          </cell>
          <cell r="Q1768" t="str">
            <v>Not Applicable</v>
          </cell>
          <cell r="R1768" t="str">
            <v>MedCaptain Medical Technology</v>
          </cell>
          <cell r="S1768" t="str">
            <v>Alam Medik Sdn Bhd</v>
          </cell>
          <cell r="T1768" t="str">
            <v>Functioning</v>
          </cell>
          <cell r="U1768" t="str">
            <v>Asset</v>
          </cell>
          <cell r="V1768">
            <v>3500</v>
          </cell>
          <cell r="W1768" t="str">
            <v>KEW</v>
          </cell>
          <cell r="X1768">
            <v>44643</v>
          </cell>
          <cell r="Y1768" t="str">
            <v>KEW</v>
          </cell>
          <cell r="Z1768">
            <v>44658</v>
          </cell>
          <cell r="AA1768">
            <v>45023</v>
          </cell>
          <cell r="AB1768" t="str">
            <v>NO</v>
          </cell>
          <cell r="AC1768">
            <v>44658</v>
          </cell>
          <cell r="AD1768" t="str">
            <v>Good</v>
          </cell>
          <cell r="AE1768" t="str">
            <v>V3 - Added Installed Facilities (New)</v>
          </cell>
          <cell r="AF1768">
            <v>45195</v>
          </cell>
          <cell r="AG1768" t="str">
            <v>NA</v>
          </cell>
          <cell r="AH1768" t="str">
            <v>PPM</v>
          </cell>
          <cell r="AI1768" t="str">
            <v>Not in Contract</v>
          </cell>
          <cell r="AJ1768" t="str">
            <v>Proposed for V3 P2.23</v>
          </cell>
          <cell r="AK1768" t="str">
            <v>(PIC: ATIQA). KKM follow P2.23.</v>
          </cell>
        </row>
        <row r="1769">
          <cell r="A1769" t="str">
            <v>IKN402103</v>
          </cell>
          <cell r="B1769">
            <v>1758</v>
          </cell>
          <cell r="C1769" t="str">
            <v>Institut Kanser Negara</v>
          </cell>
          <cell r="D1769" t="str">
            <v>KKM/IKN/H/22/6</v>
          </cell>
          <cell r="E1769" t="str">
            <v>13-215</v>
          </cell>
          <cell r="F1769" t="str">
            <v>Infusion Pumps, General-Purpose</v>
          </cell>
          <cell r="G1769" t="str">
            <v>WG</v>
          </cell>
          <cell r="H1769" t="str">
            <v>RT/ONCO WARD 1 (M)</v>
          </cell>
          <cell r="I1769" t="str">
            <v>08WG113</v>
          </cell>
          <cell r="J1769" t="str">
            <v>EQUIPMENT ROOM</v>
          </cell>
          <cell r="K1769" t="str">
            <v>BMED</v>
          </cell>
          <cell r="L1769" t="str">
            <v>Critical</v>
          </cell>
          <cell r="M1769" t="str">
            <v>CHINA</v>
          </cell>
          <cell r="N1769" t="str">
            <v>MedCaptian</v>
          </cell>
          <cell r="O1769" t="str">
            <v>HP-60</v>
          </cell>
          <cell r="P1769">
            <v>9024022106353</v>
          </cell>
          <cell r="Q1769" t="str">
            <v>Not Applicable</v>
          </cell>
          <cell r="R1769" t="str">
            <v>MedCaptain Medical Technology</v>
          </cell>
          <cell r="S1769" t="str">
            <v>Alam Medik Sdn Bhd</v>
          </cell>
          <cell r="T1769" t="str">
            <v>Functioning</v>
          </cell>
          <cell r="U1769" t="str">
            <v>Asset</v>
          </cell>
          <cell r="V1769">
            <v>3500</v>
          </cell>
          <cell r="W1769" t="str">
            <v>KEW</v>
          </cell>
          <cell r="X1769">
            <v>44643</v>
          </cell>
          <cell r="Y1769" t="str">
            <v>KEW</v>
          </cell>
          <cell r="Z1769">
            <v>44658</v>
          </cell>
          <cell r="AA1769">
            <v>45023</v>
          </cell>
          <cell r="AB1769" t="str">
            <v>NO</v>
          </cell>
          <cell r="AC1769">
            <v>44658</v>
          </cell>
          <cell r="AD1769" t="str">
            <v>Good</v>
          </cell>
          <cell r="AE1769" t="str">
            <v>V3 - Added Installed Facilities (New)</v>
          </cell>
          <cell r="AF1769">
            <v>45195</v>
          </cell>
          <cell r="AG1769" t="str">
            <v>NA</v>
          </cell>
          <cell r="AH1769" t="str">
            <v>PPM</v>
          </cell>
          <cell r="AI1769" t="str">
            <v>Not in Contract</v>
          </cell>
          <cell r="AJ1769" t="str">
            <v>Proposed for V3 P2.23</v>
          </cell>
          <cell r="AK1769" t="str">
            <v>(PIC: ATIQA). KKM follow P2.23.</v>
          </cell>
        </row>
        <row r="1770">
          <cell r="A1770" t="str">
            <v>IKN402104</v>
          </cell>
          <cell r="B1770">
            <v>1759</v>
          </cell>
          <cell r="C1770" t="str">
            <v>Institut Kanser Negara</v>
          </cell>
          <cell r="D1770" t="str">
            <v>KKM/IKN/H/22/9</v>
          </cell>
          <cell r="E1770" t="str">
            <v>13-215</v>
          </cell>
          <cell r="F1770" t="str">
            <v>Infusion Pumps, General-Purpose</v>
          </cell>
          <cell r="G1770" t="str">
            <v>WE</v>
          </cell>
          <cell r="H1770" t="str">
            <v>RT/ONCO WARD 1 (F)</v>
          </cell>
          <cell r="I1770" t="str">
            <v>07WE113</v>
          </cell>
          <cell r="J1770" t="str">
            <v>EQUIPMENT ROOM</v>
          </cell>
          <cell r="K1770" t="str">
            <v>BMED</v>
          </cell>
          <cell r="L1770" t="str">
            <v>Critical</v>
          </cell>
          <cell r="M1770" t="str">
            <v>CHINA</v>
          </cell>
          <cell r="N1770" t="str">
            <v>MedCaptian</v>
          </cell>
          <cell r="O1770" t="str">
            <v>HP-60</v>
          </cell>
          <cell r="P1770">
            <v>9024022106378</v>
          </cell>
          <cell r="Q1770" t="str">
            <v>Not Applicable</v>
          </cell>
          <cell r="R1770" t="str">
            <v>MedCaptain Medical Technology</v>
          </cell>
          <cell r="S1770" t="str">
            <v>Alam Medik Sdn Bhd</v>
          </cell>
          <cell r="T1770" t="str">
            <v>Functioning</v>
          </cell>
          <cell r="U1770" t="str">
            <v>Asset</v>
          </cell>
          <cell r="V1770">
            <v>3500</v>
          </cell>
          <cell r="W1770" t="str">
            <v>KEW</v>
          </cell>
          <cell r="X1770">
            <v>44643</v>
          </cell>
          <cell r="Y1770" t="str">
            <v>KEW</v>
          </cell>
          <cell r="Z1770">
            <v>44658</v>
          </cell>
          <cell r="AA1770">
            <v>45023</v>
          </cell>
          <cell r="AB1770" t="str">
            <v>NO</v>
          </cell>
          <cell r="AC1770">
            <v>44658</v>
          </cell>
          <cell r="AD1770" t="str">
            <v>Good</v>
          </cell>
          <cell r="AE1770" t="str">
            <v>V3 - Added Installed Facilities (New)</v>
          </cell>
          <cell r="AF1770">
            <v>45195</v>
          </cell>
          <cell r="AG1770" t="str">
            <v>NA</v>
          </cell>
          <cell r="AH1770" t="str">
            <v>PPM</v>
          </cell>
          <cell r="AI1770" t="str">
            <v>Strands</v>
          </cell>
          <cell r="AJ1770" t="str">
            <v>Proposed for V3 P2.23</v>
          </cell>
          <cell r="AK1770" t="str">
            <v>(PIC: ATIQA). KKM follow P2.23.</v>
          </cell>
        </row>
        <row r="1771">
          <cell r="A1771" t="str">
            <v>IKN402105</v>
          </cell>
          <cell r="B1771">
            <v>1760</v>
          </cell>
          <cell r="C1771" t="str">
            <v>Institut Kanser Negara</v>
          </cell>
          <cell r="D1771" t="str">
            <v>KKM/IKN/H/22/8</v>
          </cell>
          <cell r="E1771" t="str">
            <v>13-215</v>
          </cell>
          <cell r="F1771" t="str">
            <v>Infusion Pumps, General-Purpose</v>
          </cell>
          <cell r="G1771" t="str">
            <v>WH</v>
          </cell>
          <cell r="H1771" t="str">
            <v>RT/ONCO WARD 2 (M)</v>
          </cell>
          <cell r="I1771" t="str">
            <v>08WH121</v>
          </cell>
          <cell r="J1771" t="str">
            <v>EQUIPMENT ROOM</v>
          </cell>
          <cell r="K1771" t="str">
            <v>BMED</v>
          </cell>
          <cell r="L1771" t="str">
            <v>Critical</v>
          </cell>
          <cell r="M1771" t="str">
            <v>CHINA</v>
          </cell>
          <cell r="N1771" t="str">
            <v>MedCaptian</v>
          </cell>
          <cell r="O1771" t="str">
            <v>HP-60</v>
          </cell>
          <cell r="P1771">
            <v>9024022108142</v>
          </cell>
          <cell r="Q1771" t="str">
            <v>Not Applicable</v>
          </cell>
          <cell r="R1771" t="str">
            <v>MedCaptain Medical Technology</v>
          </cell>
          <cell r="S1771" t="str">
            <v>Alam Medik Sdn Bhd</v>
          </cell>
          <cell r="T1771" t="str">
            <v>Functioning</v>
          </cell>
          <cell r="U1771" t="str">
            <v>Asset</v>
          </cell>
          <cell r="V1771">
            <v>3500</v>
          </cell>
          <cell r="W1771" t="str">
            <v>KEW</v>
          </cell>
          <cell r="X1771">
            <v>44643</v>
          </cell>
          <cell r="Y1771" t="str">
            <v>KEW</v>
          </cell>
          <cell r="Z1771">
            <v>44658</v>
          </cell>
          <cell r="AA1771">
            <v>45023</v>
          </cell>
          <cell r="AB1771" t="str">
            <v>NO</v>
          </cell>
          <cell r="AC1771">
            <v>44658</v>
          </cell>
          <cell r="AD1771" t="str">
            <v>Good</v>
          </cell>
          <cell r="AE1771" t="str">
            <v>V3 - Added Installed Facilities (New)</v>
          </cell>
          <cell r="AF1771">
            <v>45195</v>
          </cell>
          <cell r="AG1771" t="str">
            <v>NA</v>
          </cell>
          <cell r="AH1771" t="str">
            <v>PPM</v>
          </cell>
          <cell r="AI1771" t="str">
            <v>Not in Contract</v>
          </cell>
          <cell r="AJ1771" t="str">
            <v>Proposed for V3 P2.23</v>
          </cell>
          <cell r="AK1771" t="str">
            <v>(PIC: ATIQA). KKM follow P2.23.</v>
          </cell>
        </row>
        <row r="1772">
          <cell r="A1772" t="str">
            <v>IKN402106</v>
          </cell>
          <cell r="B1772">
            <v>1761</v>
          </cell>
          <cell r="C1772" t="str">
            <v>Institut Kanser Negara</v>
          </cell>
          <cell r="D1772" t="str">
            <v>KKM/IKN/H/22/12</v>
          </cell>
          <cell r="E1772" t="str">
            <v>13-215</v>
          </cell>
          <cell r="F1772" t="str">
            <v>Infusion Pumps, General-Purpose</v>
          </cell>
          <cell r="G1772" t="str">
            <v>WC</v>
          </cell>
          <cell r="H1772" t="str">
            <v>WAD 6A</v>
          </cell>
          <cell r="I1772" t="str">
            <v>06WC113</v>
          </cell>
          <cell r="J1772" t="str">
            <v>WC</v>
          </cell>
          <cell r="K1772" t="str">
            <v>BMED</v>
          </cell>
          <cell r="L1772" t="str">
            <v>Critical</v>
          </cell>
          <cell r="M1772" t="str">
            <v>CHINA</v>
          </cell>
          <cell r="N1772" t="str">
            <v>MedCaptian</v>
          </cell>
          <cell r="O1772" t="str">
            <v>HP-60</v>
          </cell>
          <cell r="P1772">
            <v>9024022108423</v>
          </cell>
          <cell r="Q1772" t="str">
            <v>Not Applicable</v>
          </cell>
          <cell r="R1772" t="str">
            <v>MedCaptain Medical Technology</v>
          </cell>
          <cell r="S1772" t="str">
            <v>Alam Medik Sdn Bhd</v>
          </cell>
          <cell r="T1772" t="str">
            <v>Functioning</v>
          </cell>
          <cell r="U1772" t="str">
            <v>Asset</v>
          </cell>
          <cell r="V1772">
            <v>3500</v>
          </cell>
          <cell r="W1772" t="str">
            <v>KEW</v>
          </cell>
          <cell r="X1772">
            <v>44643</v>
          </cell>
          <cell r="Y1772" t="str">
            <v>KEW</v>
          </cell>
          <cell r="Z1772">
            <v>44658</v>
          </cell>
          <cell r="AA1772">
            <v>45023</v>
          </cell>
          <cell r="AB1772" t="str">
            <v>NO</v>
          </cell>
          <cell r="AC1772">
            <v>44658</v>
          </cell>
          <cell r="AD1772" t="str">
            <v>Good</v>
          </cell>
          <cell r="AE1772" t="str">
            <v>V3 - Added Installed Facilities (New)</v>
          </cell>
          <cell r="AF1772">
            <v>45195</v>
          </cell>
          <cell r="AG1772" t="str">
            <v>NA</v>
          </cell>
          <cell r="AH1772" t="str">
            <v>PPM</v>
          </cell>
          <cell r="AI1772" t="str">
            <v>Not in Contract</v>
          </cell>
          <cell r="AJ1772" t="str">
            <v>Proposed for V3 P2.23</v>
          </cell>
          <cell r="AK1772" t="str">
            <v>(PIC: ATIQA)</v>
          </cell>
        </row>
        <row r="1773">
          <cell r="A1773" t="str">
            <v>IKN402107</v>
          </cell>
          <cell r="B1773">
            <v>1762</v>
          </cell>
          <cell r="C1773" t="str">
            <v>Institut Kanser Negara</v>
          </cell>
          <cell r="D1773" t="str">
            <v>KKM/IKN/H/22/10</v>
          </cell>
          <cell r="E1773" t="str">
            <v>13-215</v>
          </cell>
          <cell r="F1773" t="str">
            <v>Infusion Pumps, General-Purpose</v>
          </cell>
          <cell r="G1773" t="str">
            <v>DO</v>
          </cell>
          <cell r="H1773" t="str">
            <v>DAY ONCOLOGY UNIT</v>
          </cell>
          <cell r="I1773" t="str">
            <v>04DO109</v>
          </cell>
          <cell r="J1773" t="str">
            <v>DO</v>
          </cell>
          <cell r="K1773" t="str">
            <v>BMED</v>
          </cell>
          <cell r="L1773" t="str">
            <v>Critical</v>
          </cell>
          <cell r="M1773" t="str">
            <v>CHINA</v>
          </cell>
          <cell r="N1773" t="str">
            <v>MedCaptian</v>
          </cell>
          <cell r="O1773" t="str">
            <v>HP-60</v>
          </cell>
          <cell r="P1773">
            <v>9024022108486</v>
          </cell>
          <cell r="Q1773" t="str">
            <v>Not Applicable</v>
          </cell>
          <cell r="R1773" t="str">
            <v>MedCaptain Medical Technology</v>
          </cell>
          <cell r="S1773" t="str">
            <v>Alam Medik Sdn Bhd</v>
          </cell>
          <cell r="T1773" t="str">
            <v>Functioning</v>
          </cell>
          <cell r="U1773" t="str">
            <v>Asset</v>
          </cell>
          <cell r="V1773">
            <v>3500</v>
          </cell>
          <cell r="W1773" t="str">
            <v>KEW</v>
          </cell>
          <cell r="X1773">
            <v>44643</v>
          </cell>
          <cell r="Y1773" t="str">
            <v>KEW</v>
          </cell>
          <cell r="Z1773">
            <v>44658</v>
          </cell>
          <cell r="AA1773">
            <v>45023</v>
          </cell>
          <cell r="AB1773" t="str">
            <v>NO</v>
          </cell>
          <cell r="AC1773">
            <v>44658</v>
          </cell>
          <cell r="AD1773" t="str">
            <v>Good</v>
          </cell>
          <cell r="AE1773" t="str">
            <v>V3 - Added Installed Facilities (New)</v>
          </cell>
          <cell r="AF1773">
            <v>45195</v>
          </cell>
          <cell r="AG1773" t="str">
            <v>NA</v>
          </cell>
          <cell r="AH1773" t="str">
            <v>PPM</v>
          </cell>
          <cell r="AI1773" t="str">
            <v>Not in Contract</v>
          </cell>
          <cell r="AJ1773" t="str">
            <v>Proposed for V3 P2.23</v>
          </cell>
          <cell r="AK1773" t="str">
            <v>(PIC: ATIQA). KKM follow P2.23.</v>
          </cell>
        </row>
        <row r="1774">
          <cell r="A1774" t="str">
            <v>IKN402108</v>
          </cell>
          <cell r="B1774">
            <v>1763</v>
          </cell>
          <cell r="C1774" t="str">
            <v>Institut Kanser Negara</v>
          </cell>
          <cell r="D1774" t="str">
            <v>KKM/IKN/H/22/11</v>
          </cell>
          <cell r="E1774" t="str">
            <v>13-215</v>
          </cell>
          <cell r="F1774" t="str">
            <v>Infusion Pumps, General-Purpose</v>
          </cell>
          <cell r="G1774" t="str">
            <v>DO</v>
          </cell>
          <cell r="H1774" t="str">
            <v>DAY ONCOLOGY UNIT</v>
          </cell>
          <cell r="I1774" t="str">
            <v>04DO109</v>
          </cell>
          <cell r="J1774" t="str">
            <v>DO</v>
          </cell>
          <cell r="K1774" t="str">
            <v>BMED</v>
          </cell>
          <cell r="L1774" t="str">
            <v>Critical</v>
          </cell>
          <cell r="M1774" t="str">
            <v>CHINA</v>
          </cell>
          <cell r="N1774" t="str">
            <v>MedCaptian</v>
          </cell>
          <cell r="O1774" t="str">
            <v>HP-60</v>
          </cell>
          <cell r="P1774">
            <v>9024022108456</v>
          </cell>
          <cell r="Q1774" t="str">
            <v>Not Applicable</v>
          </cell>
          <cell r="R1774" t="str">
            <v>MedCaptain Medical Technology</v>
          </cell>
          <cell r="S1774" t="str">
            <v>Alam Medik Sdn Bhd</v>
          </cell>
          <cell r="T1774" t="str">
            <v>Functioning</v>
          </cell>
          <cell r="U1774" t="str">
            <v>Asset</v>
          </cell>
          <cell r="V1774">
            <v>3500</v>
          </cell>
          <cell r="W1774" t="str">
            <v>KEW</v>
          </cell>
          <cell r="X1774">
            <v>44643</v>
          </cell>
          <cell r="Y1774" t="str">
            <v>KEW</v>
          </cell>
          <cell r="Z1774">
            <v>44658</v>
          </cell>
          <cell r="AA1774">
            <v>45023</v>
          </cell>
          <cell r="AB1774" t="str">
            <v>NO</v>
          </cell>
          <cell r="AC1774">
            <v>44658</v>
          </cell>
          <cell r="AD1774" t="str">
            <v>Good</v>
          </cell>
          <cell r="AE1774" t="str">
            <v>V3 - Added Installed Facilities (New)</v>
          </cell>
          <cell r="AF1774">
            <v>45195</v>
          </cell>
          <cell r="AG1774" t="str">
            <v>NA</v>
          </cell>
          <cell r="AH1774" t="str">
            <v>PPM</v>
          </cell>
          <cell r="AI1774" t="str">
            <v>Not in Contract</v>
          </cell>
          <cell r="AJ1774" t="str">
            <v>Proposed for V3 P2.23</v>
          </cell>
          <cell r="AK1774" t="str">
            <v>New location: 07WF121 (PIC: ATIQA). KKM follow P2.23.</v>
          </cell>
        </row>
        <row r="1775">
          <cell r="A1775" t="str">
            <v>IKN402109</v>
          </cell>
          <cell r="B1775">
            <v>1764</v>
          </cell>
          <cell r="C1775" t="str">
            <v>Institut Kanser Negara</v>
          </cell>
          <cell r="D1775" t="str">
            <v>KKM/IKN/H/22/7</v>
          </cell>
          <cell r="E1775" t="str">
            <v>13-215</v>
          </cell>
          <cell r="F1775" t="str">
            <v>Infusion Pumps, General-Purpose</v>
          </cell>
          <cell r="G1775" t="str">
            <v>WH</v>
          </cell>
          <cell r="H1775" t="str">
            <v>RT/ONCO WARD 2 (M)</v>
          </cell>
          <cell r="I1775" t="str">
            <v>08WH121</v>
          </cell>
          <cell r="J1775" t="str">
            <v>EQUIPMENT ROOM</v>
          </cell>
          <cell r="K1775" t="str">
            <v>BMED</v>
          </cell>
          <cell r="L1775" t="str">
            <v>Critical</v>
          </cell>
          <cell r="M1775" t="str">
            <v>CHINA</v>
          </cell>
          <cell r="N1775" t="str">
            <v>MedCaptian</v>
          </cell>
          <cell r="O1775" t="str">
            <v>HP-60</v>
          </cell>
          <cell r="P1775">
            <v>9024022108480</v>
          </cell>
          <cell r="Q1775" t="str">
            <v>Not Applicable</v>
          </cell>
          <cell r="R1775" t="str">
            <v>MedCaptain Medical Technology</v>
          </cell>
          <cell r="S1775" t="str">
            <v>Alam Medik Sdn Bhd</v>
          </cell>
          <cell r="T1775" t="str">
            <v>Functioning</v>
          </cell>
          <cell r="U1775" t="str">
            <v>Asset</v>
          </cell>
          <cell r="V1775">
            <v>3500</v>
          </cell>
          <cell r="W1775" t="str">
            <v>KEW</v>
          </cell>
          <cell r="X1775">
            <v>44643</v>
          </cell>
          <cell r="Y1775" t="str">
            <v>KEW</v>
          </cell>
          <cell r="Z1775">
            <v>44658</v>
          </cell>
          <cell r="AA1775">
            <v>45023</v>
          </cell>
          <cell r="AB1775" t="str">
            <v>NO</v>
          </cell>
          <cell r="AC1775">
            <v>44658</v>
          </cell>
          <cell r="AD1775" t="str">
            <v>Good</v>
          </cell>
          <cell r="AE1775" t="str">
            <v>V3 - Added Installed Facilities (New)</v>
          </cell>
          <cell r="AF1775">
            <v>45195</v>
          </cell>
          <cell r="AG1775" t="str">
            <v>NA</v>
          </cell>
          <cell r="AH1775" t="str">
            <v>PPM</v>
          </cell>
          <cell r="AI1775" t="str">
            <v>Not in Contract</v>
          </cell>
          <cell r="AJ1775" t="str">
            <v>Proposed for V3 P2.23</v>
          </cell>
          <cell r="AK1775" t="str">
            <v>(PIC: ATIQA). KKM follow P2.23.</v>
          </cell>
        </row>
        <row r="1776">
          <cell r="A1776" t="str">
            <v>IKN402111</v>
          </cell>
          <cell r="B1776">
            <v>1767</v>
          </cell>
          <cell r="C1776" t="str">
            <v>Institut Kanser Negara</v>
          </cell>
          <cell r="D1776" t="str">
            <v>KKM/IKN/H/22/14</v>
          </cell>
          <cell r="E1776" t="str">
            <v>13-215</v>
          </cell>
          <cell r="F1776" t="str">
            <v>Infusion Pumps, General-Purpose</v>
          </cell>
          <cell r="G1776" t="str">
            <v>WB</v>
          </cell>
          <cell r="H1776" t="str">
            <v>SURGICAL ONCO MALE WARD</v>
          </cell>
          <cell r="I1776" t="str">
            <v>05WB113</v>
          </cell>
          <cell r="J1776" t="str">
            <v>EQUIP. ROOM</v>
          </cell>
          <cell r="K1776" t="str">
            <v>BMED</v>
          </cell>
          <cell r="L1776" t="str">
            <v>Critical</v>
          </cell>
          <cell r="M1776" t="str">
            <v>CHINA</v>
          </cell>
          <cell r="N1776" t="str">
            <v>MedCaptian</v>
          </cell>
          <cell r="O1776" t="str">
            <v>HP-60</v>
          </cell>
          <cell r="P1776">
            <v>9024022108459</v>
          </cell>
          <cell r="Q1776" t="str">
            <v>Alam Medik Sdn Bhd</v>
          </cell>
          <cell r="R1776" t="str">
            <v>Functioning</v>
          </cell>
          <cell r="S1776" t="str">
            <v>Functioning</v>
          </cell>
          <cell r="T1776" t="str">
            <v>Functioning</v>
          </cell>
          <cell r="U1776" t="str">
            <v>KEW</v>
          </cell>
          <cell r="V1776">
            <v>3500</v>
          </cell>
          <cell r="W1776">
            <v>44643</v>
          </cell>
          <cell r="X1776" t="str">
            <v>KEW</v>
          </cell>
          <cell r="Y1776">
            <v>44658</v>
          </cell>
          <cell r="Z1776">
            <v>45023</v>
          </cell>
          <cell r="AA1776" t="str">
            <v>No</v>
          </cell>
          <cell r="AB1776">
            <v>44658</v>
          </cell>
          <cell r="AC1776" t="str">
            <v>Good</v>
          </cell>
          <cell r="AD1776" t="str">
            <v>V3 - Added Installed Facilities (New)</v>
          </cell>
          <cell r="AE1776">
            <v>45195</v>
          </cell>
          <cell r="AF1776" t="str">
            <v>NA</v>
          </cell>
          <cell r="AG1776">
            <v>9.17</v>
          </cell>
          <cell r="AH1776" t="str">
            <v>PPM</v>
          </cell>
          <cell r="AI1776" t="str">
            <v>Strands</v>
          </cell>
          <cell r="AJ1776" t="str">
            <v>Proposed for V3 P2.23</v>
          </cell>
        </row>
        <row r="1777">
          <cell r="A1777" t="str">
            <v>IKN402111</v>
          </cell>
          <cell r="B1777">
            <v>1766</v>
          </cell>
          <cell r="C1777" t="str">
            <v>Institut Kanser Negara</v>
          </cell>
          <cell r="D1777" t="str">
            <v>KKM/IKN/H/22/14</v>
          </cell>
          <cell r="E1777" t="str">
            <v>13-215</v>
          </cell>
          <cell r="F1777" t="str">
            <v>Infusion Pumps, General-Purpose</v>
          </cell>
          <cell r="G1777" t="str">
            <v>WB</v>
          </cell>
          <cell r="H1777" t="str">
            <v>WAD 5A</v>
          </cell>
          <cell r="I1777" t="str">
            <v>05WB113</v>
          </cell>
          <cell r="J1777" t="str">
            <v>WB</v>
          </cell>
          <cell r="K1777" t="str">
            <v>BMED</v>
          </cell>
          <cell r="L1777" t="str">
            <v>Critical</v>
          </cell>
          <cell r="M1777" t="str">
            <v>CHINA</v>
          </cell>
          <cell r="N1777" t="str">
            <v>MedCaptian</v>
          </cell>
          <cell r="O1777" t="str">
            <v>HP-60</v>
          </cell>
          <cell r="P1777">
            <v>9024022108459</v>
          </cell>
          <cell r="Q1777" t="str">
            <v>Not Applicable</v>
          </cell>
          <cell r="R1777" t="str">
            <v>MedCaptain Medical Technology</v>
          </cell>
          <cell r="S1777" t="str">
            <v>Alam Medik Sdn Bhd</v>
          </cell>
          <cell r="T1777" t="str">
            <v>Functioning</v>
          </cell>
          <cell r="U1777" t="str">
            <v>Asset</v>
          </cell>
          <cell r="V1777">
            <v>3500</v>
          </cell>
          <cell r="W1777" t="str">
            <v>KEW</v>
          </cell>
          <cell r="X1777">
            <v>44643</v>
          </cell>
          <cell r="Y1777" t="str">
            <v>KEW</v>
          </cell>
          <cell r="Z1777">
            <v>44658</v>
          </cell>
          <cell r="AA1777">
            <v>45023</v>
          </cell>
          <cell r="AB1777" t="str">
            <v>No</v>
          </cell>
          <cell r="AC1777">
            <v>44658</v>
          </cell>
          <cell r="AD1777" t="str">
            <v>Good</v>
          </cell>
          <cell r="AE1777" t="str">
            <v>V3 - Added Installed Facilities (New)</v>
          </cell>
          <cell r="AF1777">
            <v>45195</v>
          </cell>
          <cell r="AG1777" t="str">
            <v>NA</v>
          </cell>
          <cell r="AH1777" t="str">
            <v>PPM</v>
          </cell>
          <cell r="AI1777" t="str">
            <v>Not in Contract</v>
          </cell>
          <cell r="AJ1777" t="str">
            <v>Proposed for V3 P2.23</v>
          </cell>
          <cell r="AK1777" t="str">
            <v>(PIC: ATIQA)</v>
          </cell>
        </row>
        <row r="1778">
          <cell r="A1778" t="str">
            <v>IKN402112</v>
          </cell>
          <cell r="B1778">
            <v>1767</v>
          </cell>
          <cell r="C1778" t="str">
            <v>Institut Kanser Negara</v>
          </cell>
          <cell r="D1778" t="str">
            <v>KKM/IKN/H/22/15</v>
          </cell>
          <cell r="E1778" t="str">
            <v>13-215</v>
          </cell>
          <cell r="F1778" t="str">
            <v>Infusion Pumps, General-Purpose</v>
          </cell>
          <cell r="G1778" t="str">
            <v>WB</v>
          </cell>
          <cell r="H1778" t="str">
            <v>SURGICAL ONCO MALE WARD</v>
          </cell>
          <cell r="I1778" t="str">
            <v>05WB113</v>
          </cell>
          <cell r="J1778" t="str">
            <v>EQUIP. ROOM</v>
          </cell>
          <cell r="K1778" t="str">
            <v>BMED</v>
          </cell>
          <cell r="L1778" t="str">
            <v>Critical</v>
          </cell>
          <cell r="M1778" t="str">
            <v>CHINA</v>
          </cell>
          <cell r="N1778" t="str">
            <v>MedCaptian</v>
          </cell>
          <cell r="O1778" t="str">
            <v>HP-60</v>
          </cell>
          <cell r="P1778">
            <v>9024022108470</v>
          </cell>
          <cell r="Q1778" t="str">
            <v>MedCaptain Medical Technology</v>
          </cell>
          <cell r="R1778" t="str">
            <v>Alam Medik Sdn Bhd</v>
          </cell>
          <cell r="S1778" t="str">
            <v>Functioning</v>
          </cell>
          <cell r="T1778" t="str">
            <v>Functioning</v>
          </cell>
          <cell r="U1778" t="str">
            <v>KEW</v>
          </cell>
          <cell r="V1778">
            <v>3500</v>
          </cell>
          <cell r="W1778">
            <v>44643</v>
          </cell>
          <cell r="X1778" t="str">
            <v>KEW</v>
          </cell>
          <cell r="Y1778">
            <v>44658</v>
          </cell>
          <cell r="Z1778">
            <v>45023</v>
          </cell>
          <cell r="AA1778" t="str">
            <v>No</v>
          </cell>
          <cell r="AB1778">
            <v>44658</v>
          </cell>
          <cell r="AC1778" t="str">
            <v>Good</v>
          </cell>
          <cell r="AD1778" t="str">
            <v>V3 - Added Installed Facilities (New)</v>
          </cell>
          <cell r="AE1778">
            <v>45195</v>
          </cell>
          <cell r="AF1778" t="str">
            <v>NA</v>
          </cell>
          <cell r="AG1778">
            <v>9.17</v>
          </cell>
          <cell r="AH1778" t="str">
            <v>PPM</v>
          </cell>
          <cell r="AI1778" t="str">
            <v>Strands</v>
          </cell>
          <cell r="AJ1778" t="str">
            <v>Proposed for V3 P2.23</v>
          </cell>
        </row>
        <row r="1779">
          <cell r="A1779" t="str">
            <v>IKN402113</v>
          </cell>
          <cell r="B1779">
            <v>1768</v>
          </cell>
          <cell r="C1779" t="str">
            <v>Institut Kanser Negara</v>
          </cell>
          <cell r="D1779" t="str">
            <v>KKM/IKN/H/22/20</v>
          </cell>
          <cell r="E1779" t="str">
            <v>RI-DO1</v>
          </cell>
          <cell r="F1779" t="str">
            <v>TELESCOPE 4MM 30DEGREE</v>
          </cell>
          <cell r="G1779" t="str">
            <v>OT</v>
          </cell>
          <cell r="H1779" t="str">
            <v>OPERATION THEATRE</v>
          </cell>
          <cell r="I1779" t="str">
            <v>05OT130</v>
          </cell>
          <cell r="J1779" t="str">
            <v>OPERATION THEATRE</v>
          </cell>
          <cell r="K1779" t="str">
            <v>BMED</v>
          </cell>
          <cell r="L1779" t="str">
            <v>Critical</v>
          </cell>
          <cell r="M1779" t="str">
            <v>Germany</v>
          </cell>
          <cell r="N1779" t="str">
            <v>KARL STORZ</v>
          </cell>
          <cell r="O1779" t="str">
            <v>HOPKINS 27005BA</v>
          </cell>
          <cell r="P1779" t="str">
            <v>1257D3</v>
          </cell>
          <cell r="Q1779" t="str">
            <v>Not Applicable</v>
          </cell>
          <cell r="R1779" t="str">
            <v>KARLS STORZ</v>
          </cell>
          <cell r="S1779" t="str">
            <v>UMMI Surgical Sdn Bhd</v>
          </cell>
          <cell r="T1779" t="str">
            <v>Functioning</v>
          </cell>
          <cell r="U1779" t="str">
            <v>Asset</v>
          </cell>
          <cell r="V1779">
            <v>21350</v>
          </cell>
          <cell r="W1779" t="str">
            <v>KEW</v>
          </cell>
          <cell r="X1779">
            <v>44637</v>
          </cell>
          <cell r="Y1779" t="str">
            <v>KEW</v>
          </cell>
          <cell r="Z1779">
            <v>44665</v>
          </cell>
          <cell r="AA1779">
            <v>45029</v>
          </cell>
          <cell r="AB1779" t="str">
            <v>NO</v>
          </cell>
          <cell r="AC1779">
            <v>44665</v>
          </cell>
          <cell r="AD1779" t="str">
            <v>Good</v>
          </cell>
          <cell r="AE1779" t="str">
            <v>V3 - Added Installed Facilities (New)</v>
          </cell>
          <cell r="AF1779">
            <v>45195</v>
          </cell>
          <cell r="AG1779" t="str">
            <v>NA</v>
          </cell>
          <cell r="AH1779" t="str">
            <v>RI</v>
          </cell>
          <cell r="AI1779" t="str">
            <v>Not in Contract</v>
          </cell>
          <cell r="AJ1779" t="str">
            <v>Proposed for V3 P2.23</v>
          </cell>
          <cell r="AK1779" t="str">
            <v>(PIC: ATIQA). KKM follow P2.23.</v>
          </cell>
        </row>
        <row r="1780">
          <cell r="A1780" t="str">
            <v>IKN402114</v>
          </cell>
          <cell r="B1780">
            <v>1769</v>
          </cell>
          <cell r="C1780" t="str">
            <v>Institut Kanser Negara</v>
          </cell>
          <cell r="D1780" t="str">
            <v>KKM/IKN/H/22/19</v>
          </cell>
          <cell r="E1780" t="str">
            <v>RI-DO1</v>
          </cell>
          <cell r="F1780" t="str">
            <v>TELESCOPE 5MM 30DEGREE</v>
          </cell>
          <cell r="G1780" t="str">
            <v>OT</v>
          </cell>
          <cell r="H1780" t="str">
            <v>OPERATION THEATRE</v>
          </cell>
          <cell r="I1780" t="str">
            <v>05OT130</v>
          </cell>
          <cell r="J1780" t="str">
            <v>OPERATION THEATRE</v>
          </cell>
          <cell r="K1780" t="str">
            <v>BMED</v>
          </cell>
          <cell r="L1780" t="str">
            <v>Critical</v>
          </cell>
          <cell r="M1780" t="str">
            <v>Germany</v>
          </cell>
          <cell r="N1780" t="str">
            <v>KARL STORZ</v>
          </cell>
          <cell r="O1780" t="str">
            <v>HOPKINS 26046BA</v>
          </cell>
          <cell r="P1780" t="str">
            <v>1226A4</v>
          </cell>
          <cell r="Q1780" t="str">
            <v>Not Applicable</v>
          </cell>
          <cell r="R1780" t="str">
            <v>KARLS STORZ</v>
          </cell>
          <cell r="S1780" t="str">
            <v>UMMI Surgical Sdn Bhd</v>
          </cell>
          <cell r="T1780" t="str">
            <v>Functioning</v>
          </cell>
          <cell r="U1780" t="str">
            <v>Asset</v>
          </cell>
          <cell r="V1780">
            <v>17700</v>
          </cell>
          <cell r="W1780" t="str">
            <v>KEW</v>
          </cell>
          <cell r="X1780">
            <v>44637</v>
          </cell>
          <cell r="Y1780" t="str">
            <v>KEW</v>
          </cell>
          <cell r="Z1780">
            <v>44665</v>
          </cell>
          <cell r="AA1780">
            <v>45029</v>
          </cell>
          <cell r="AB1780" t="str">
            <v>NO</v>
          </cell>
          <cell r="AC1780">
            <v>44666</v>
          </cell>
          <cell r="AD1780" t="str">
            <v>Good</v>
          </cell>
          <cell r="AE1780" t="str">
            <v>V3 - Added Installed Facilities (New)</v>
          </cell>
          <cell r="AF1780">
            <v>45195</v>
          </cell>
          <cell r="AG1780" t="str">
            <v>NA</v>
          </cell>
          <cell r="AH1780" t="str">
            <v>RI</v>
          </cell>
          <cell r="AI1780" t="str">
            <v>Not in Contract</v>
          </cell>
          <cell r="AJ1780" t="str">
            <v>Proposed for V3 P2.23</v>
          </cell>
          <cell r="AK1780" t="str">
            <v>(PIC: ATIQA)</v>
          </cell>
        </row>
        <row r="1781">
          <cell r="A1781" t="str">
            <v>IKN402115</v>
          </cell>
          <cell r="B1781">
            <v>1770</v>
          </cell>
          <cell r="C1781" t="str">
            <v>Institut Kanser Negara</v>
          </cell>
          <cell r="D1781" t="str">
            <v>KKM/IKN/H/22/18</v>
          </cell>
          <cell r="E1781" t="str">
            <v>RI-DO1</v>
          </cell>
          <cell r="F1781" t="str">
            <v>TELESCOPE 10MM 30DEGREE</v>
          </cell>
          <cell r="G1781" t="str">
            <v>OT</v>
          </cell>
          <cell r="H1781" t="str">
            <v>OPERATION THEATRE</v>
          </cell>
          <cell r="I1781" t="str">
            <v>05OT130</v>
          </cell>
          <cell r="J1781" t="str">
            <v>OPERATION THEATRE</v>
          </cell>
          <cell r="K1781" t="str">
            <v>BMED</v>
          </cell>
          <cell r="L1781" t="str">
            <v>Critical</v>
          </cell>
          <cell r="M1781" t="str">
            <v>Germany</v>
          </cell>
          <cell r="N1781" t="str">
            <v>KARL STORZ</v>
          </cell>
          <cell r="O1781" t="str">
            <v>HOPKINS 26003BA</v>
          </cell>
          <cell r="P1781" t="str">
            <v>123Q5T</v>
          </cell>
          <cell r="Q1781" t="str">
            <v>Not Applicable</v>
          </cell>
          <cell r="R1781" t="str">
            <v>KARLS STORZ</v>
          </cell>
          <cell r="S1781" t="str">
            <v>UMMI Surgical Sdn Bhd</v>
          </cell>
          <cell r="T1781" t="str">
            <v>Functioning</v>
          </cell>
          <cell r="U1781" t="str">
            <v>Asset</v>
          </cell>
          <cell r="V1781">
            <v>20860</v>
          </cell>
          <cell r="W1781" t="str">
            <v>KEW</v>
          </cell>
          <cell r="X1781">
            <v>44637</v>
          </cell>
          <cell r="Y1781" t="str">
            <v>KEW</v>
          </cell>
          <cell r="Z1781">
            <v>44665</v>
          </cell>
          <cell r="AA1781">
            <v>45029</v>
          </cell>
          <cell r="AB1781" t="str">
            <v>NO</v>
          </cell>
          <cell r="AC1781">
            <v>44667</v>
          </cell>
          <cell r="AD1781" t="str">
            <v>Good</v>
          </cell>
          <cell r="AE1781" t="str">
            <v>V3 - Added Installed Facilities (New)</v>
          </cell>
          <cell r="AF1781">
            <v>45195</v>
          </cell>
          <cell r="AG1781" t="str">
            <v>NA</v>
          </cell>
          <cell r="AH1781" t="str">
            <v>RI</v>
          </cell>
          <cell r="AI1781" t="str">
            <v>Not in Contract</v>
          </cell>
          <cell r="AJ1781" t="str">
            <v>Proposed for V3 P2.23</v>
          </cell>
          <cell r="AK1781" t="str">
            <v>(PIC: ATIQA)</v>
          </cell>
        </row>
        <row r="1782">
          <cell r="A1782" t="str">
            <v>IKN402116</v>
          </cell>
          <cell r="B1782">
            <v>1771</v>
          </cell>
          <cell r="C1782" t="str">
            <v>Institut Kanser Negara</v>
          </cell>
          <cell r="D1782" t="str">
            <v>KKM/IKN/H/22/17</v>
          </cell>
          <cell r="E1782" t="str">
            <v>20-198</v>
          </cell>
          <cell r="F1782" t="str">
            <v>Analyzers,Point of care,Breath ,Carbon monoxide</v>
          </cell>
          <cell r="G1782" t="str">
            <v>PY</v>
          </cell>
          <cell r="H1782" t="str">
            <v>PHYSIOTHERAPY</v>
          </cell>
          <cell r="I1782" t="str">
            <v>04PY115</v>
          </cell>
          <cell r="J1782" t="str">
            <v>GYMNASIUM</v>
          </cell>
          <cell r="K1782" t="str">
            <v>BMED</v>
          </cell>
          <cell r="L1782" t="str">
            <v>Normal</v>
          </cell>
          <cell r="M1782" t="str">
            <v>BEDFRONT SCIENTIFIC</v>
          </cell>
          <cell r="N1782" t="str">
            <v>BEDFRONT</v>
          </cell>
          <cell r="O1782" t="str">
            <v>PICO</v>
          </cell>
          <cell r="P1782" t="str">
            <v>CP729246</v>
          </cell>
          <cell r="Q1782" t="str">
            <v>Not Applicable</v>
          </cell>
          <cell r="R1782" t="str">
            <v>BEDFRONT,UK</v>
          </cell>
          <cell r="S1782" t="str">
            <v>TARAF SYNERGY</v>
          </cell>
          <cell r="T1782" t="str">
            <v>Functioning</v>
          </cell>
          <cell r="U1782" t="str">
            <v>Asset</v>
          </cell>
          <cell r="V1782">
            <v>3950</v>
          </cell>
          <cell r="W1782" t="str">
            <v>KEW</v>
          </cell>
          <cell r="X1782">
            <v>44655</v>
          </cell>
          <cell r="Y1782" t="str">
            <v>KEW</v>
          </cell>
          <cell r="Z1782">
            <v>44673</v>
          </cell>
          <cell r="AA1782">
            <v>45037</v>
          </cell>
          <cell r="AB1782" t="str">
            <v>NO</v>
          </cell>
          <cell r="AC1782">
            <v>44673</v>
          </cell>
          <cell r="AD1782" t="str">
            <v>Good</v>
          </cell>
          <cell r="AE1782" t="str">
            <v>V3 - Added Installed Facilities (New)</v>
          </cell>
          <cell r="AF1782">
            <v>45195</v>
          </cell>
          <cell r="AG1782" t="str">
            <v>NA</v>
          </cell>
          <cell r="AH1782" t="str">
            <v>RI</v>
          </cell>
          <cell r="AI1782" t="str">
            <v>Not in Contract</v>
          </cell>
          <cell r="AJ1782" t="str">
            <v>Proposed for V3 P2.23</v>
          </cell>
          <cell r="AK1782" t="str">
            <v>(PIC: NORA). KKM follow P2.23.</v>
          </cell>
        </row>
        <row r="1783">
          <cell r="A1783" t="str">
            <v>IKN402117</v>
          </cell>
          <cell r="B1783">
            <v>1772</v>
          </cell>
          <cell r="C1783" t="str">
            <v>Institut Kanser Negara</v>
          </cell>
          <cell r="D1783" t="str">
            <v>Nora</v>
          </cell>
          <cell r="E1783" t="str">
            <v>15-076</v>
          </cell>
          <cell r="F1783" t="str">
            <v>Laryngoscopes, Rigid</v>
          </cell>
          <cell r="G1783" t="str">
            <v>AD</v>
          </cell>
          <cell r="H1783" t="str">
            <v>ADMINISTRATION</v>
          </cell>
          <cell r="I1783" t="str">
            <v>06AD122</v>
          </cell>
          <cell r="J1783" t="str">
            <v>SUPERVISOR 1</v>
          </cell>
          <cell r="K1783" t="str">
            <v>BMED</v>
          </cell>
          <cell r="L1783" t="str">
            <v>Normal</v>
          </cell>
          <cell r="M1783" t="str">
            <v>Germany</v>
          </cell>
          <cell r="N1783" t="str">
            <v>MACINTOSH</v>
          </cell>
          <cell r="O1783" t="str">
            <v>KAWE</v>
          </cell>
          <cell r="P1783" t="str">
            <v>Not Available</v>
          </cell>
          <cell r="Q1783" t="str">
            <v>Not Applicable</v>
          </cell>
          <cell r="R1783" t="str">
            <v>GERMANY</v>
          </cell>
          <cell r="S1783" t="str">
            <v>INSAN BAKTI</v>
          </cell>
          <cell r="T1783" t="str">
            <v>Functioning</v>
          </cell>
          <cell r="U1783" t="str">
            <v>Asset</v>
          </cell>
          <cell r="V1783">
            <v>1100</v>
          </cell>
          <cell r="W1783" t="str">
            <v>KEW</v>
          </cell>
          <cell r="X1783">
            <v>44643</v>
          </cell>
          <cell r="Y1783" t="str">
            <v>KEW</v>
          </cell>
          <cell r="Z1783">
            <v>44676</v>
          </cell>
          <cell r="AA1783">
            <v>44676</v>
          </cell>
          <cell r="AB1783" t="str">
            <v>NO</v>
          </cell>
          <cell r="AC1783">
            <v>44676</v>
          </cell>
          <cell r="AD1783" t="str">
            <v>Good</v>
          </cell>
          <cell r="AE1783" t="str">
            <v>V3 - Added Installed Facilities (New)</v>
          </cell>
          <cell r="AF1783">
            <v>44676</v>
          </cell>
          <cell r="AG1783" t="str">
            <v>NA</v>
          </cell>
          <cell r="AH1783" t="str">
            <v>RI</v>
          </cell>
          <cell r="AI1783" t="str">
            <v>Not in Contract</v>
          </cell>
          <cell r="AJ1783" t="e">
            <v>#REF!</v>
          </cell>
          <cell r="AK1783" t="str">
            <v>(PIC: NORA)</v>
          </cell>
        </row>
        <row r="1784">
          <cell r="A1784" t="str">
            <v>IKN402119</v>
          </cell>
          <cell r="B1784">
            <v>1774</v>
          </cell>
          <cell r="C1784" t="str">
            <v>Institut Kanser Negara</v>
          </cell>
          <cell r="D1784" t="str">
            <v>KKM/IKN/H/22/45</v>
          </cell>
          <cell r="E1784" t="str">
            <v>16-231</v>
          </cell>
          <cell r="F1784" t="str">
            <v>Electrocardiographs, Multichannel, Interpretative</v>
          </cell>
          <cell r="G1784" t="str">
            <v>HP</v>
          </cell>
          <cell r="H1784" t="str">
            <v>UNIT KESIHATAN AWAM (UKA)</v>
          </cell>
          <cell r="I1784" t="str">
            <v>04HP104</v>
          </cell>
          <cell r="J1784" t="str">
            <v>DISPLAY</v>
          </cell>
          <cell r="K1784" t="str">
            <v>BMED</v>
          </cell>
          <cell r="L1784" t="str">
            <v>Normal</v>
          </cell>
          <cell r="N1784" t="str">
            <v>COMEN</v>
          </cell>
          <cell r="O1784" t="str">
            <v>COMEN H3-01</v>
          </cell>
          <cell r="P1784" t="str">
            <v>H3220409031</v>
          </cell>
          <cell r="Q1784" t="str">
            <v>Not Applicable</v>
          </cell>
          <cell r="R1784" t="str">
            <v>SHENZEN COMEN MEDICAL INSTURMENT</v>
          </cell>
          <cell r="S1784" t="str">
            <v>IDS MEDICAL SYSTEM SDN BHD</v>
          </cell>
          <cell r="T1784" t="str">
            <v>Functioning</v>
          </cell>
          <cell r="U1784" t="str">
            <v>Asset</v>
          </cell>
          <cell r="V1784">
            <v>8000</v>
          </cell>
          <cell r="W1784" t="str">
            <v>KEW</v>
          </cell>
          <cell r="X1784" t="str">
            <v>NA</v>
          </cell>
          <cell r="Y1784" t="str">
            <v>KEW</v>
          </cell>
          <cell r="Z1784">
            <v>44701</v>
          </cell>
          <cell r="AA1784">
            <v>46161</v>
          </cell>
          <cell r="AB1784" t="str">
            <v>YES</v>
          </cell>
          <cell r="AC1784">
            <v>44701</v>
          </cell>
          <cell r="AD1784" t="str">
            <v>Good</v>
          </cell>
          <cell r="AE1784" t="str">
            <v>V3 - Added Installed Facilities (New)</v>
          </cell>
          <cell r="AF1784">
            <v>45008</v>
          </cell>
          <cell r="AG1784" t="str">
            <v>NA</v>
          </cell>
          <cell r="AH1784" t="str">
            <v>PPM</v>
          </cell>
          <cell r="AI1784" t="str">
            <v>Not in contract</v>
          </cell>
          <cell r="AJ1784" t="str">
            <v>Strands V3 P1.23</v>
          </cell>
          <cell r="AK1784" t="str">
            <v>(PIC: NORA) [23/8/2023, Sharifah]: V3 P1.23, add KKM No.. Warranty twice a year., [15/5/2024, Indira]: Edit Warranty Date.</v>
          </cell>
        </row>
        <row r="1785">
          <cell r="A1785" t="str">
            <v>IKN402120</v>
          </cell>
          <cell r="B1785">
            <v>1775</v>
          </cell>
          <cell r="C1785" t="str">
            <v>Institut Kanser Negara</v>
          </cell>
          <cell r="D1785" t="str">
            <v>KKM/IKN/H/22/25</v>
          </cell>
          <cell r="E1785" t="str">
            <v>15-177</v>
          </cell>
          <cell r="F1785" t="str">
            <v>Sedimentation Rate Units</v>
          </cell>
          <cell r="G1785" t="str">
            <v>LA</v>
          </cell>
          <cell r="H1785" t="str">
            <v>PATHOLOGY</v>
          </cell>
          <cell r="I1785" t="str">
            <v>04LA135</v>
          </cell>
          <cell r="J1785" t="str">
            <v>PATHOLOGY</v>
          </cell>
          <cell r="K1785" t="str">
            <v>BMED</v>
          </cell>
          <cell r="L1785" t="str">
            <v>Normal</v>
          </cell>
          <cell r="M1785" t="str">
            <v>NA</v>
          </cell>
          <cell r="N1785" t="str">
            <v>JOKOH</v>
          </cell>
          <cell r="O1785" t="str">
            <v>SMART RATE 10</v>
          </cell>
          <cell r="P1785" t="str">
            <v>1SA12000081</v>
          </cell>
          <cell r="Q1785" t="str">
            <v>Not Applicable</v>
          </cell>
          <cell r="R1785" t="str">
            <v>JOKOH CO LTD</v>
          </cell>
          <cell r="S1785" t="str">
            <v>UC BIOSCIENCES SDN BHD</v>
          </cell>
          <cell r="T1785" t="str">
            <v>Functioning</v>
          </cell>
          <cell r="U1785" t="str">
            <v>Asset</v>
          </cell>
          <cell r="V1785">
            <v>10000</v>
          </cell>
          <cell r="W1785" t="str">
            <v>KEW</v>
          </cell>
          <cell r="X1785" t="str">
            <v>NA</v>
          </cell>
          <cell r="Y1785" t="str">
            <v>KEW</v>
          </cell>
          <cell r="Z1785">
            <v>44699</v>
          </cell>
          <cell r="AA1785">
            <v>45063</v>
          </cell>
          <cell r="AB1785" t="str">
            <v>NO</v>
          </cell>
          <cell r="AC1785">
            <v>44699</v>
          </cell>
          <cell r="AD1785" t="str">
            <v>Good</v>
          </cell>
          <cell r="AE1785" t="str">
            <v>V3 - Added Installed Facilities (New)</v>
          </cell>
          <cell r="AF1785">
            <v>45195</v>
          </cell>
          <cell r="AG1785" t="str">
            <v>NA</v>
          </cell>
          <cell r="AH1785" t="str">
            <v>PPM</v>
          </cell>
          <cell r="AI1785" t="str">
            <v>Not in Contract</v>
          </cell>
          <cell r="AJ1785" t="str">
            <v>Proposed for V3 P2.23</v>
          </cell>
          <cell r="AK1785" t="str">
            <v>(PIC: INDIRA)</v>
          </cell>
        </row>
        <row r="1786">
          <cell r="A1786" t="str">
            <v>IKN402121</v>
          </cell>
          <cell r="B1786">
            <v>1776</v>
          </cell>
          <cell r="C1786" t="str">
            <v>Institut Kanser Negara</v>
          </cell>
          <cell r="D1786" t="str">
            <v>KKM/IKN/H/22/44</v>
          </cell>
          <cell r="E1786" t="str">
            <v>12-291</v>
          </cell>
          <cell r="F1786" t="str">
            <v>LAPAROSCOPIC SET</v>
          </cell>
          <cell r="G1786" t="str">
            <v>OT</v>
          </cell>
          <cell r="H1786" t="str">
            <v>OPERATING THEATRE</v>
          </cell>
          <cell r="I1786" t="str">
            <v>05OT126</v>
          </cell>
          <cell r="J1786" t="str">
            <v>OPERATING THEATRE</v>
          </cell>
          <cell r="K1786" t="str">
            <v>BMED</v>
          </cell>
          <cell r="L1786" t="str">
            <v>Normal</v>
          </cell>
          <cell r="M1786" t="str">
            <v>Germany</v>
          </cell>
          <cell r="N1786" t="str">
            <v>KARL STORZ</v>
          </cell>
          <cell r="O1786" t="str">
            <v>NA</v>
          </cell>
          <cell r="P1786" t="str">
            <v>NA</v>
          </cell>
          <cell r="Q1786" t="str">
            <v>Not Applicable</v>
          </cell>
          <cell r="R1786" t="str">
            <v>KARLS STORZ</v>
          </cell>
          <cell r="S1786" t="str">
            <v>UMMI Surgical Sdn Bhd</v>
          </cell>
          <cell r="T1786" t="str">
            <v>Functioning</v>
          </cell>
          <cell r="U1786" t="str">
            <v>Asset</v>
          </cell>
          <cell r="V1786">
            <v>49000</v>
          </cell>
          <cell r="W1786" t="str">
            <v>KEW</v>
          </cell>
          <cell r="X1786">
            <v>44664</v>
          </cell>
          <cell r="Y1786" t="str">
            <v>KEW</v>
          </cell>
          <cell r="Z1786">
            <v>44701</v>
          </cell>
          <cell r="AA1786">
            <v>45066</v>
          </cell>
          <cell r="AB1786" t="str">
            <v>No</v>
          </cell>
          <cell r="AC1786">
            <v>44701</v>
          </cell>
          <cell r="AD1786" t="str">
            <v>Good</v>
          </cell>
          <cell r="AE1786" t="str">
            <v>V3 - Added Installed Facilities (New)</v>
          </cell>
          <cell r="AF1786">
            <v>45195</v>
          </cell>
          <cell r="AG1786" t="str">
            <v>NA</v>
          </cell>
          <cell r="AH1786" t="str">
            <v>PPM</v>
          </cell>
          <cell r="AI1786" t="str">
            <v>Not in contract</v>
          </cell>
          <cell r="AJ1786" t="str">
            <v>Proposed for V3 P2.23</v>
          </cell>
          <cell r="AK1786" t="str">
            <v>(PIC: SHAHIRA) [19/1/2023, Sharifah]: Add KKM No. SNF received on 26/9/2023.</v>
          </cell>
        </row>
        <row r="1787">
          <cell r="A1787" t="str">
            <v>IKN402122</v>
          </cell>
          <cell r="B1787">
            <v>1777</v>
          </cell>
          <cell r="C1787" t="str">
            <v>Institut Kanser Negara</v>
          </cell>
          <cell r="D1787" t="str">
            <v>KKM/IKN/H/22/65</v>
          </cell>
          <cell r="E1787" t="str">
            <v>17-445</v>
          </cell>
          <cell r="F1787" t="str">
            <v>Multiple Medical Gas Monitors Respired/Anesthetic</v>
          </cell>
          <cell r="G1787" t="str">
            <v>OT</v>
          </cell>
          <cell r="H1787" t="str">
            <v>OPERATING THEATRE</v>
          </cell>
          <cell r="I1787" t="str">
            <v>05OT129</v>
          </cell>
          <cell r="J1787" t="str">
            <v>SEMINAR</v>
          </cell>
          <cell r="K1787" t="str">
            <v>BMED</v>
          </cell>
          <cell r="L1787" t="str">
            <v>Normal</v>
          </cell>
          <cell r="M1787" t="str">
            <v>Finland</v>
          </cell>
          <cell r="N1787" t="str">
            <v>GE HEALTHCARE</v>
          </cell>
          <cell r="O1787" t="str">
            <v>E-SCAIO</v>
          </cell>
          <cell r="P1787" t="str">
            <v>SGV21360090HA</v>
          </cell>
          <cell r="Q1787" t="str">
            <v>Not Applicable</v>
          </cell>
          <cell r="R1787" t="str">
            <v>GE HEALTHCARE</v>
          </cell>
          <cell r="S1787" t="str">
            <v>INSAN BAKTI SDN BHD</v>
          </cell>
          <cell r="T1787" t="str">
            <v>Functioning</v>
          </cell>
          <cell r="U1787" t="str">
            <v>Asset</v>
          </cell>
          <cell r="V1787">
            <v>28000</v>
          </cell>
          <cell r="W1787" t="str">
            <v>KEW</v>
          </cell>
          <cell r="X1787">
            <v>44641</v>
          </cell>
          <cell r="Y1787" t="str">
            <v>KEW</v>
          </cell>
          <cell r="Z1787">
            <v>44712</v>
          </cell>
          <cell r="AA1787">
            <v>45076</v>
          </cell>
          <cell r="AB1787" t="str">
            <v>No</v>
          </cell>
          <cell r="AC1787">
            <v>44712</v>
          </cell>
          <cell r="AD1787" t="str">
            <v>Good</v>
          </cell>
          <cell r="AE1787" t="str">
            <v>V3 - Added Installed Facilities (New)</v>
          </cell>
          <cell r="AF1787">
            <v>45008</v>
          </cell>
          <cell r="AG1787" t="str">
            <v>NA</v>
          </cell>
          <cell r="AH1787" t="str">
            <v>PPM</v>
          </cell>
          <cell r="AI1787" t="str">
            <v>Not in Contract</v>
          </cell>
          <cell r="AJ1787" t="str">
            <v>Strands V3 P1.23</v>
          </cell>
          <cell r="AK1787" t="str">
            <v>SNF RECEIVED MARCH, SEPT 2023.</v>
          </cell>
        </row>
        <row r="1788">
          <cell r="A1788" t="str">
            <v>IKN402123</v>
          </cell>
          <cell r="B1788">
            <v>1778</v>
          </cell>
          <cell r="C1788" t="str">
            <v>Institut Kanser Negara</v>
          </cell>
          <cell r="D1788" t="str">
            <v>KKM/IKN/H/22/30</v>
          </cell>
          <cell r="E1788" t="str">
            <v>12647-000</v>
          </cell>
          <cell r="F1788" t="str">
            <v>Physiologic Monitoring Systems, Acute Care</v>
          </cell>
          <cell r="G1788" t="str">
            <v>WB</v>
          </cell>
          <cell r="H1788" t="str">
            <v>SURGICAL ONCO MALE WARD</v>
          </cell>
          <cell r="I1788" t="str">
            <v>05WB107</v>
          </cell>
          <cell r="J1788" t="str">
            <v>TREATMENT / PROCEDURE</v>
          </cell>
          <cell r="K1788" t="str">
            <v>BMED</v>
          </cell>
          <cell r="L1788" t="str">
            <v>NORMAL</v>
          </cell>
          <cell r="M1788" t="str">
            <v>WHO</v>
          </cell>
          <cell r="N1788" t="str">
            <v>EDAN</v>
          </cell>
          <cell r="O1788" t="str">
            <v>IM60</v>
          </cell>
          <cell r="P1788" t="str">
            <v>360079-M20609750005</v>
          </cell>
          <cell r="Q1788" t="str">
            <v>EDAN INSTRUMENT INC</v>
          </cell>
          <cell r="R1788" t="str">
            <v>PHARMANIAGA LOGISTIC SDN BHD</v>
          </cell>
          <cell r="S1788" t="str">
            <v>Functioning</v>
          </cell>
          <cell r="T1788" t="str">
            <v>Functioning</v>
          </cell>
          <cell r="U1788" t="str">
            <v>KEW</v>
          </cell>
          <cell r="V1788">
            <v>8778.69</v>
          </cell>
          <cell r="W1788" t="str">
            <v>NA</v>
          </cell>
          <cell r="X1788" t="str">
            <v>NA</v>
          </cell>
          <cell r="Y1788">
            <v>45008</v>
          </cell>
          <cell r="Z1788">
            <v>45532</v>
          </cell>
          <cell r="AA1788" t="str">
            <v>YES</v>
          </cell>
          <cell r="AB1788">
            <v>44719</v>
          </cell>
          <cell r="AC1788" t="str">
            <v>Good</v>
          </cell>
          <cell r="AD1788" t="str">
            <v>V3 - Added Installed Facilities (New)</v>
          </cell>
          <cell r="AE1788">
            <v>45008</v>
          </cell>
          <cell r="AF1788" t="str">
            <v>NA</v>
          </cell>
          <cell r="AG1788">
            <v>9.17</v>
          </cell>
          <cell r="AH1788" t="str">
            <v>PPM</v>
          </cell>
          <cell r="AI1788" t="str">
            <v>Strands</v>
          </cell>
          <cell r="AJ1788" t="str">
            <v>Strands V3 P1.23</v>
          </cell>
          <cell r="AK1788" t="str">
            <v>[23/8/2023, Sharifah]: V3 P1.23</v>
          </cell>
        </row>
        <row r="1789">
          <cell r="A1789" t="str">
            <v>IKN402124</v>
          </cell>
          <cell r="B1789">
            <v>1779</v>
          </cell>
          <cell r="C1789" t="str">
            <v>Institut Kanser Negara</v>
          </cell>
          <cell r="D1789" t="str">
            <v>KKM/IKN/H/22/29</v>
          </cell>
          <cell r="E1789" t="str">
            <v>12647-000</v>
          </cell>
          <cell r="F1789" t="str">
            <v>Physiologic Monitoring Systems, Acute Care</v>
          </cell>
          <cell r="G1789" t="str">
            <v>AE</v>
          </cell>
          <cell r="H1789" t="str">
            <v>EMERGENCY UNIT</v>
          </cell>
          <cell r="I1789" t="str">
            <v>01AE106</v>
          </cell>
          <cell r="J1789" t="str">
            <v>C/E ROOM</v>
          </cell>
          <cell r="K1789" t="str">
            <v>BMED</v>
          </cell>
          <cell r="L1789" t="str">
            <v>NORMAL</v>
          </cell>
          <cell r="M1789" t="str">
            <v>WHO</v>
          </cell>
          <cell r="N1789" t="str">
            <v>EDAN</v>
          </cell>
          <cell r="O1789" t="str">
            <v>IM60</v>
          </cell>
          <cell r="P1789" t="str">
            <v>360079-M20609750126</v>
          </cell>
          <cell r="Q1789" t="str">
            <v>Not Applicable</v>
          </cell>
          <cell r="R1789" t="str">
            <v>EDAN INSTRUMENT INC</v>
          </cell>
          <cell r="S1789" t="str">
            <v>PHARMANIAGA LOGISTIC SDN BHD</v>
          </cell>
          <cell r="T1789" t="str">
            <v>Functioning</v>
          </cell>
          <cell r="U1789" t="str">
            <v>Asset</v>
          </cell>
          <cell r="V1789">
            <v>8778.69</v>
          </cell>
          <cell r="W1789" t="str">
            <v>KEW</v>
          </cell>
          <cell r="X1789" t="str">
            <v>NA</v>
          </cell>
          <cell r="Y1789" t="str">
            <v>NA</v>
          </cell>
          <cell r="Z1789">
            <v>45008</v>
          </cell>
          <cell r="AA1789">
            <v>45532</v>
          </cell>
          <cell r="AB1789" t="str">
            <v>YES</v>
          </cell>
          <cell r="AC1789">
            <v>44719</v>
          </cell>
          <cell r="AD1789" t="str">
            <v>Good</v>
          </cell>
          <cell r="AE1789" t="str">
            <v>V3 - Added Installed Facilities (New)</v>
          </cell>
          <cell r="AF1789">
            <v>45008</v>
          </cell>
          <cell r="AG1789" t="str">
            <v>NA</v>
          </cell>
          <cell r="AH1789" t="str">
            <v>PPM</v>
          </cell>
          <cell r="AI1789" t="str">
            <v>Not in contract</v>
          </cell>
          <cell r="AJ1789" t="str">
            <v>Strands V3 P1.23</v>
          </cell>
          <cell r="AK1789" t="str">
            <v>[23/8/2023, Sharifah]: V3 P1.23</v>
          </cell>
        </row>
        <row r="1790">
          <cell r="A1790" t="str">
            <v>IKN402129</v>
          </cell>
          <cell r="B1790">
            <v>1784</v>
          </cell>
          <cell r="C1790" t="str">
            <v>Institut Kanser Negara</v>
          </cell>
          <cell r="D1790" t="str">
            <v>KKM/IKN/H/22/86</v>
          </cell>
          <cell r="E1790" t="str">
            <v>15-108</v>
          </cell>
          <cell r="F1790" t="str">
            <v>RELIEF PAK HEATING UNIT</v>
          </cell>
          <cell r="G1790" t="str">
            <v>PY</v>
          </cell>
          <cell r="H1790" t="str">
            <v>PHYSIOTHERAPY</v>
          </cell>
          <cell r="I1790" t="str">
            <v>04PY115</v>
          </cell>
          <cell r="J1790" t="str">
            <v>GYMNASIUM</v>
          </cell>
          <cell r="K1790" t="str">
            <v>BMED</v>
          </cell>
          <cell r="L1790" t="str">
            <v>Normal</v>
          </cell>
          <cell r="M1790" t="str">
            <v>Fabrication Enterprises Inc,USA</v>
          </cell>
          <cell r="N1790" t="str">
            <v>RELIEF PAK</v>
          </cell>
          <cell r="O1790">
            <v>33909</v>
          </cell>
          <cell r="P1790" t="str">
            <v>RP6S0299</v>
          </cell>
          <cell r="Q1790" t="str">
            <v>Not Applicable</v>
          </cell>
          <cell r="R1790" t="str">
            <v>Fabrication Enterprises Inc,USA</v>
          </cell>
          <cell r="S1790" t="str">
            <v>Profile Technology Sdn Bhd</v>
          </cell>
          <cell r="T1790" t="str">
            <v>Functioning</v>
          </cell>
          <cell r="U1790" t="str">
            <v>Asset</v>
          </cell>
          <cell r="V1790">
            <v>4000</v>
          </cell>
          <cell r="W1790" t="str">
            <v>KEW</v>
          </cell>
          <cell r="X1790">
            <v>44644</v>
          </cell>
          <cell r="Y1790" t="str">
            <v>NA</v>
          </cell>
          <cell r="Z1790">
            <v>44748</v>
          </cell>
          <cell r="AA1790">
            <v>45112</v>
          </cell>
          <cell r="AB1790" t="str">
            <v>No</v>
          </cell>
          <cell r="AC1790">
            <v>44748</v>
          </cell>
          <cell r="AD1790" t="str">
            <v>Good</v>
          </cell>
          <cell r="AE1790" t="str">
            <v>V3 - Added Installed Facilities (New)</v>
          </cell>
          <cell r="AF1790">
            <v>45008</v>
          </cell>
          <cell r="AG1790" t="str">
            <v>NA</v>
          </cell>
          <cell r="AH1790" t="str">
            <v>PPM</v>
          </cell>
          <cell r="AI1790" t="str">
            <v>Not in contract</v>
          </cell>
          <cell r="AJ1790" t="str">
            <v>Strands V3 P1.23</v>
          </cell>
          <cell r="AK1790" t="str">
            <v>(PIC: INDIRA) [23/8/2023, Sharifah]: V3 P1.23, add KKM No.</v>
          </cell>
        </row>
        <row r="1791">
          <cell r="A1791" t="str">
            <v>IKN402130</v>
          </cell>
          <cell r="B1791">
            <v>1785</v>
          </cell>
          <cell r="C1791" t="str">
            <v>Institut Kanser Negara</v>
          </cell>
          <cell r="D1791" t="str">
            <v>KKM/IKN/H/22/41</v>
          </cell>
          <cell r="E1791" t="str">
            <v>18-618</v>
          </cell>
          <cell r="F1791" t="str">
            <v>ANALYZER,LABORATORY,BLOOD GAS/PH/ELECTROLYTE</v>
          </cell>
          <cell r="G1791" t="str">
            <v>LA</v>
          </cell>
          <cell r="H1791" t="str">
            <v>PATHOLOGY</v>
          </cell>
          <cell r="I1791" t="str">
            <v>04LA138</v>
          </cell>
          <cell r="J1791" t="str">
            <v>PRE-ANALYTICAL 2</v>
          </cell>
          <cell r="K1791" t="str">
            <v>BMED</v>
          </cell>
          <cell r="L1791" t="str">
            <v>Normal</v>
          </cell>
          <cell r="M1791" t="str">
            <v>INSTRUMENTATION LABORATORY,USA</v>
          </cell>
          <cell r="N1791" t="str">
            <v>GEM PREMEIER</v>
          </cell>
          <cell r="O1791">
            <v>3500</v>
          </cell>
          <cell r="P1791" t="str">
            <v>21076174</v>
          </cell>
          <cell r="Q1791" t="str">
            <v>Not Applicable</v>
          </cell>
          <cell r="R1791" t="str">
            <v>INSTRUMENTATION LABORATORY,USA</v>
          </cell>
          <cell r="S1791" t="str">
            <v>Straits Scientific (M) Sdn Bhd</v>
          </cell>
          <cell r="T1791" t="str">
            <v>Functioning</v>
          </cell>
          <cell r="U1791" t="str">
            <v>Asset</v>
          </cell>
          <cell r="V1791">
            <v>79500</v>
          </cell>
          <cell r="W1791" t="str">
            <v>KEW</v>
          </cell>
          <cell r="X1791">
            <v>44742</v>
          </cell>
          <cell r="Y1791" t="str">
            <v>KEW</v>
          </cell>
          <cell r="Z1791">
            <v>44767</v>
          </cell>
          <cell r="AA1791">
            <v>45497</v>
          </cell>
          <cell r="AB1791" t="str">
            <v>No</v>
          </cell>
          <cell r="AC1791">
            <v>44767</v>
          </cell>
          <cell r="AD1791" t="str">
            <v>Good</v>
          </cell>
          <cell r="AE1791" t="str">
            <v>V3 - Added Installed Facilities (New)</v>
          </cell>
          <cell r="AF1791">
            <v>45008</v>
          </cell>
          <cell r="AG1791" t="str">
            <v>NA</v>
          </cell>
          <cell r="AH1791" t="str">
            <v>PPM</v>
          </cell>
          <cell r="AI1791" t="str">
            <v>Not in contract</v>
          </cell>
          <cell r="AJ1791" t="str">
            <v>Strands V3 P1.23</v>
          </cell>
          <cell r="AK1791" t="str">
            <v>(PIC: INDIRA) [23/8/2023, Sharifah]: V3 P1.23, add KKM No.</v>
          </cell>
        </row>
        <row r="1792">
          <cell r="A1792" t="str">
            <v>IKN402131</v>
          </cell>
          <cell r="B1792">
            <v>1786</v>
          </cell>
          <cell r="C1792" t="str">
            <v>Institut Kanser Negara</v>
          </cell>
          <cell r="D1792" t="str">
            <v>KKM/IKN/H/22/89</v>
          </cell>
          <cell r="E1792" t="str">
            <v>13-461</v>
          </cell>
          <cell r="F1792" t="str">
            <v>Scales, Patient, Floor</v>
          </cell>
          <cell r="G1792" t="str">
            <v>ID</v>
          </cell>
          <cell r="H1792" t="str">
            <v>IMAGING DEPARTMENT</v>
          </cell>
          <cell r="I1792" t="str">
            <v>03ID107</v>
          </cell>
          <cell r="J1792" t="str">
            <v>RESUS EQ.BAY</v>
          </cell>
          <cell r="K1792" t="str">
            <v>BMED</v>
          </cell>
          <cell r="L1792" t="str">
            <v>Normal</v>
          </cell>
          <cell r="M1792" t="str">
            <v>CHINA</v>
          </cell>
          <cell r="N1792" t="str">
            <v>SECA</v>
          </cell>
          <cell r="O1792" t="str">
            <v>SECA 777</v>
          </cell>
          <cell r="P1792" t="str">
            <v>10000000939552</v>
          </cell>
          <cell r="Q1792" t="str">
            <v>Not Applicable</v>
          </cell>
          <cell r="R1792" t="str">
            <v>SECA GMBH &amp;CO</v>
          </cell>
          <cell r="S1792" t="str">
            <v>AUREUMAX MEDICARE MARKETING (M) SDN BHD</v>
          </cell>
          <cell r="T1792" t="str">
            <v>Functioning</v>
          </cell>
          <cell r="U1792" t="str">
            <v>ASSET</v>
          </cell>
          <cell r="V1792">
            <v>2900</v>
          </cell>
          <cell r="W1792" t="str">
            <v>KEW</v>
          </cell>
          <cell r="X1792">
            <v>44644</v>
          </cell>
          <cell r="Y1792" t="str">
            <v>KEW</v>
          </cell>
          <cell r="Z1792">
            <v>44778</v>
          </cell>
          <cell r="AA1792">
            <v>45142</v>
          </cell>
          <cell r="AB1792" t="str">
            <v>No</v>
          </cell>
          <cell r="AC1792">
            <v>44778</v>
          </cell>
          <cell r="AD1792" t="str">
            <v>GOOD</v>
          </cell>
          <cell r="AE1792" t="str">
            <v>V3 - Added Installed Facilities (New)</v>
          </cell>
          <cell r="AF1792">
            <v>45008</v>
          </cell>
          <cell r="AG1792" t="str">
            <v>NA</v>
          </cell>
          <cell r="AH1792" t="str">
            <v>PPM</v>
          </cell>
          <cell r="AI1792" t="str">
            <v>Not in contract</v>
          </cell>
          <cell r="AJ1792" t="str">
            <v>Strands V3 P1.23</v>
          </cell>
          <cell r="AK1792" t="str">
            <v>(PIC: ANIS, WEIGHTING SCALE) [23/8/2023, Sharifah]: V3 P1.23, add KKM No.</v>
          </cell>
        </row>
        <row r="1793">
          <cell r="A1793" t="str">
            <v>IKN402132</v>
          </cell>
          <cell r="B1793">
            <v>1787</v>
          </cell>
          <cell r="C1793" t="str">
            <v>Institut Kanser Negara</v>
          </cell>
          <cell r="D1793" t="str">
            <v>KKM/IKN/H/22/58</v>
          </cell>
          <cell r="E1793" t="str">
            <v>12-647</v>
          </cell>
          <cell r="F1793" t="str">
            <v>Physiologic Monitoring Systems, Acute Care</v>
          </cell>
          <cell r="G1793" t="str">
            <v>RT</v>
          </cell>
          <cell r="H1793" t="str">
            <v>RADIATION TREATMENT UNIT</v>
          </cell>
          <cell r="I1793" t="str">
            <v>01RT118</v>
          </cell>
          <cell r="J1793" t="str">
            <v>CT SIMULATOR 2</v>
          </cell>
          <cell r="K1793" t="str">
            <v>BMED</v>
          </cell>
          <cell r="L1793" t="str">
            <v>Normal</v>
          </cell>
          <cell r="M1793" t="str">
            <v>CHINA</v>
          </cell>
          <cell r="N1793" t="str">
            <v>COMEN</v>
          </cell>
          <cell r="O1793" t="str">
            <v>NC3</v>
          </cell>
          <cell r="P1793" t="str">
            <v>N 5211120008</v>
          </cell>
          <cell r="Q1793" t="str">
            <v>Not Applicable</v>
          </cell>
          <cell r="R1793" t="str">
            <v>CHINA</v>
          </cell>
          <cell r="S1793" t="str">
            <v>Biometrix Meditronixs Global</v>
          </cell>
          <cell r="T1793" t="str">
            <v>Functioning</v>
          </cell>
          <cell r="U1793" t="str">
            <v>ASSET</v>
          </cell>
          <cell r="V1793">
            <v>4500</v>
          </cell>
          <cell r="W1793" t="str">
            <v>KEW</v>
          </cell>
          <cell r="X1793">
            <v>44790</v>
          </cell>
          <cell r="Y1793" t="str">
            <v>KEW</v>
          </cell>
          <cell r="Z1793">
            <v>44797</v>
          </cell>
          <cell r="AA1793">
            <v>45162</v>
          </cell>
          <cell r="AB1793" t="str">
            <v>No</v>
          </cell>
          <cell r="AC1793">
            <v>44797</v>
          </cell>
          <cell r="AD1793" t="str">
            <v>GOOD</v>
          </cell>
          <cell r="AE1793" t="str">
            <v>V3 - Added Installed Facilities (New)</v>
          </cell>
          <cell r="AF1793">
            <v>45008</v>
          </cell>
          <cell r="AG1793" t="str">
            <v>NA</v>
          </cell>
          <cell r="AH1793" t="str">
            <v>PPM</v>
          </cell>
          <cell r="AI1793" t="str">
            <v>Not in contract</v>
          </cell>
          <cell r="AJ1793" t="str">
            <v>Strands V3 P1.23</v>
          </cell>
          <cell r="AK1793" t="str">
            <v>(PIC: SOLEHA, PATIENT MONITOR) [23/8/2023, Sharifah]: V3 P1.23, add KKM No.</v>
          </cell>
        </row>
        <row r="1794">
          <cell r="A1794" t="str">
            <v>IKN402133</v>
          </cell>
          <cell r="B1794">
            <v>1788</v>
          </cell>
          <cell r="C1794" t="str">
            <v>Institut Kanser Negara</v>
          </cell>
          <cell r="D1794" t="str">
            <v>KKM/IKN/H/22/69</v>
          </cell>
          <cell r="E1794" t="str">
            <v>18-034</v>
          </cell>
          <cell r="F1794" t="str">
            <v>Video Image Processors, Endoscopic</v>
          </cell>
          <cell r="G1794" t="str">
            <v>OT</v>
          </cell>
          <cell r="H1794" t="str">
            <v>OPERATION THEATRE</v>
          </cell>
          <cell r="I1794" t="str">
            <v>05OT167</v>
          </cell>
          <cell r="J1794" t="str">
            <v>OPERATION THEATRE</v>
          </cell>
          <cell r="K1794" t="str">
            <v>BMED</v>
          </cell>
          <cell r="L1794" t="str">
            <v>NORMAL</v>
          </cell>
          <cell r="M1794" t="str">
            <v>USA</v>
          </cell>
          <cell r="N1794" t="str">
            <v>STRYKER</v>
          </cell>
          <cell r="O1794" t="str">
            <v>SPY PHI</v>
          </cell>
          <cell r="P1794" t="str">
            <v>P121243409/HH21302259</v>
          </cell>
          <cell r="Q1794" t="str">
            <v>Not Applicable</v>
          </cell>
          <cell r="R1794" t="str">
            <v>STRYKER ENDSOCOPY USA</v>
          </cell>
          <cell r="S1794" t="str">
            <v>EASMED SDN BHD</v>
          </cell>
          <cell r="T1794" t="str">
            <v>FUNCTIONING</v>
          </cell>
          <cell r="U1794" t="str">
            <v>ASSET</v>
          </cell>
          <cell r="V1794">
            <v>139000</v>
          </cell>
          <cell r="W1794" t="str">
            <v>KEW</v>
          </cell>
          <cell r="X1794">
            <v>44811</v>
          </cell>
          <cell r="Y1794" t="str">
            <v>KEW</v>
          </cell>
          <cell r="Z1794">
            <v>44827</v>
          </cell>
          <cell r="AA1794">
            <v>45191</v>
          </cell>
          <cell r="AB1794" t="str">
            <v>No</v>
          </cell>
          <cell r="AC1794">
            <v>44827</v>
          </cell>
          <cell r="AD1794" t="str">
            <v>GOOD</v>
          </cell>
          <cell r="AE1794" t="str">
            <v>V3 - Added Installed Facilities (New)</v>
          </cell>
          <cell r="AF1794">
            <v>45008</v>
          </cell>
          <cell r="AG1794" t="str">
            <v>NA</v>
          </cell>
          <cell r="AH1794" t="str">
            <v>PPM</v>
          </cell>
          <cell r="AI1794" t="str">
            <v>Not in contract</v>
          </cell>
          <cell r="AJ1794" t="str">
            <v>Strands V3 P1.23</v>
          </cell>
          <cell r="AK1794" t="str">
            <v>(PIC: IMRAN, HANDHELD) [23/8/2023, Sharifah]: V3 P1.23</v>
          </cell>
        </row>
        <row r="1795">
          <cell r="A1795" t="str">
            <v>IKN402134</v>
          </cell>
          <cell r="B1795">
            <v>1789</v>
          </cell>
          <cell r="C1795" t="str">
            <v>Institut Kanser Negara</v>
          </cell>
          <cell r="D1795" t="str">
            <v>KKM/IKN/H/22/66</v>
          </cell>
          <cell r="E1795" t="str">
            <v>13-274</v>
          </cell>
          <cell r="F1795" t="str">
            <v>Recorders, Tape, Video</v>
          </cell>
          <cell r="G1795" t="str">
            <v>OT</v>
          </cell>
          <cell r="H1795" t="str">
            <v>OPERATION THEATRE</v>
          </cell>
          <cell r="I1795" t="str">
            <v>05OT167</v>
          </cell>
          <cell r="J1795" t="str">
            <v>OPERATION THEATRE</v>
          </cell>
          <cell r="K1795" t="str">
            <v>BMED</v>
          </cell>
          <cell r="L1795" t="str">
            <v>NORMAL</v>
          </cell>
          <cell r="M1795" t="str">
            <v>JAPAN</v>
          </cell>
          <cell r="N1795" t="str">
            <v>SDNV</v>
          </cell>
          <cell r="O1795" t="str">
            <v>HVO-550MD</v>
          </cell>
          <cell r="P1795" t="str">
            <v>120359</v>
          </cell>
          <cell r="Q1795" t="str">
            <v>Not Applicable</v>
          </cell>
          <cell r="R1795" t="str">
            <v>SONY VIDDEO RECORDER</v>
          </cell>
          <cell r="S1795" t="str">
            <v>EASMED SDN BHD</v>
          </cell>
          <cell r="T1795" t="str">
            <v>FUNCTIONING</v>
          </cell>
          <cell r="U1795" t="str">
            <v>ASSET</v>
          </cell>
          <cell r="V1795">
            <v>16000</v>
          </cell>
          <cell r="W1795" t="str">
            <v>KEW</v>
          </cell>
          <cell r="X1795">
            <v>44811</v>
          </cell>
          <cell r="Y1795" t="str">
            <v>KEW</v>
          </cell>
          <cell r="Z1795">
            <v>44827</v>
          </cell>
          <cell r="AA1795">
            <v>45191</v>
          </cell>
          <cell r="AB1795" t="str">
            <v>No</v>
          </cell>
          <cell r="AC1795">
            <v>44827</v>
          </cell>
          <cell r="AD1795" t="str">
            <v>GOOD</v>
          </cell>
          <cell r="AE1795" t="str">
            <v>V3 - Added Installed Facilities (New)</v>
          </cell>
          <cell r="AF1795">
            <v>45008</v>
          </cell>
          <cell r="AG1795" t="str">
            <v>NA</v>
          </cell>
          <cell r="AH1795" t="str">
            <v>PPM</v>
          </cell>
          <cell r="AI1795" t="str">
            <v>Not in contract</v>
          </cell>
          <cell r="AJ1795" t="str">
            <v>Strands V3 P1.23</v>
          </cell>
          <cell r="AK1795" t="str">
            <v>(PIC: IMRAN, HANDHELD) [23/8/2023, Sharifah]: V3 P1.23</v>
          </cell>
        </row>
        <row r="1796">
          <cell r="A1796" t="str">
            <v>IKN402135</v>
          </cell>
          <cell r="B1796">
            <v>1790</v>
          </cell>
          <cell r="C1796" t="str">
            <v>Institut Kanser Negara</v>
          </cell>
          <cell r="D1796" t="str">
            <v>KKM/IKN/H/22/67</v>
          </cell>
          <cell r="E1796" t="str">
            <v>16-603</v>
          </cell>
          <cell r="F1796" t="str">
            <v>Television, Monitors</v>
          </cell>
          <cell r="G1796" t="str">
            <v>OT</v>
          </cell>
          <cell r="H1796" t="str">
            <v>OPERATION THEATRE</v>
          </cell>
          <cell r="I1796" t="str">
            <v>05OT167</v>
          </cell>
          <cell r="J1796" t="str">
            <v>OPERATION THEATRE</v>
          </cell>
          <cell r="K1796" t="str">
            <v>BMED</v>
          </cell>
          <cell r="L1796" t="str">
            <v>NORMAL</v>
          </cell>
          <cell r="M1796" t="str">
            <v>KOREA</v>
          </cell>
          <cell r="N1796" t="str">
            <v>STRYKER</v>
          </cell>
          <cell r="O1796" t="str">
            <v>32 IN 4K MONITOR</v>
          </cell>
          <cell r="P1796" t="str">
            <v>SV7321G0237</v>
          </cell>
          <cell r="Q1796" t="str">
            <v>Not Applicable</v>
          </cell>
          <cell r="R1796" t="str">
            <v>STRYKER ENDSOCOPY USA</v>
          </cell>
          <cell r="S1796" t="str">
            <v>EASMED SDN BHD</v>
          </cell>
          <cell r="T1796" t="str">
            <v>FUNCTIONING</v>
          </cell>
          <cell r="U1796" t="str">
            <v>ASSET</v>
          </cell>
          <cell r="V1796">
            <v>46500</v>
          </cell>
          <cell r="W1796" t="str">
            <v>KEW</v>
          </cell>
          <cell r="X1796">
            <v>44811</v>
          </cell>
          <cell r="Y1796" t="str">
            <v>KEW</v>
          </cell>
          <cell r="Z1796">
            <v>44827</v>
          </cell>
          <cell r="AA1796">
            <v>45191</v>
          </cell>
          <cell r="AB1796" t="str">
            <v>No</v>
          </cell>
          <cell r="AC1796">
            <v>44827</v>
          </cell>
          <cell r="AD1796" t="str">
            <v>GOOD</v>
          </cell>
          <cell r="AE1796" t="str">
            <v>V3 - Added Installed Facilities (New)</v>
          </cell>
          <cell r="AF1796">
            <v>45008</v>
          </cell>
          <cell r="AG1796" t="str">
            <v>NA</v>
          </cell>
          <cell r="AH1796" t="str">
            <v>PPM</v>
          </cell>
          <cell r="AI1796" t="str">
            <v>Not in contract</v>
          </cell>
          <cell r="AJ1796" t="str">
            <v>Strands V3 P1.23</v>
          </cell>
          <cell r="AK1796" t="str">
            <v>(PIC: IMRAN, HANDHELD) [23/8/2023, Sharifah]: V3 P1.23</v>
          </cell>
        </row>
        <row r="1797">
          <cell r="A1797" t="str">
            <v>IKN402136</v>
          </cell>
          <cell r="B1797">
            <v>1791</v>
          </cell>
          <cell r="C1797" t="str">
            <v>Institut Kanser Negara</v>
          </cell>
          <cell r="D1797" t="str">
            <v>KKM/IKN/H/22/90</v>
          </cell>
          <cell r="E1797" t="str">
            <v>13-215</v>
          </cell>
          <cell r="F1797" t="str">
            <v>Infusion Pumps, General-Purpose</v>
          </cell>
          <cell r="G1797" t="str">
            <v>WA</v>
          </cell>
          <cell r="H1797" t="str">
            <v>NUCLEAR MED WARD (THERAPY)</v>
          </cell>
          <cell r="I1797" t="str">
            <v>03WA107</v>
          </cell>
          <cell r="J1797" t="str">
            <v>NUCLEAR MED WARD (THERAPY)</v>
          </cell>
          <cell r="K1797" t="str">
            <v>BMED</v>
          </cell>
          <cell r="L1797" t="str">
            <v>NORMAL</v>
          </cell>
          <cell r="M1797" t="str">
            <v>GERMANY</v>
          </cell>
          <cell r="N1797" t="str">
            <v>INFUSOMAT</v>
          </cell>
          <cell r="O1797" t="str">
            <v>INFUSOMAT SPACE</v>
          </cell>
          <cell r="P1797" t="str">
            <v>863127</v>
          </cell>
          <cell r="Q1797" t="str">
            <v>Not Applicable</v>
          </cell>
          <cell r="R1797" t="str">
            <v>BBRAUN MELSUNGEN AG</v>
          </cell>
          <cell r="S1797" t="str">
            <v>Bbraun Medical Supplies Sdn Bhd</v>
          </cell>
          <cell r="T1797" t="str">
            <v>FUNCTIONING</v>
          </cell>
          <cell r="U1797" t="str">
            <v>Asset</v>
          </cell>
          <cell r="V1797">
            <v>6000</v>
          </cell>
          <cell r="W1797" t="str">
            <v>KEW</v>
          </cell>
          <cell r="X1797">
            <v>44818</v>
          </cell>
          <cell r="Y1797" t="str">
            <v>KEW</v>
          </cell>
          <cell r="Z1797">
            <v>44832</v>
          </cell>
          <cell r="AA1797">
            <v>45563</v>
          </cell>
          <cell r="AB1797" t="str">
            <v>YES</v>
          </cell>
          <cell r="AC1797">
            <v>44832</v>
          </cell>
          <cell r="AD1797" t="str">
            <v>Good</v>
          </cell>
          <cell r="AE1797" t="str">
            <v>V3 - Added Installed Facilities (New)</v>
          </cell>
          <cell r="AF1797">
            <v>45008</v>
          </cell>
          <cell r="AG1797" t="str">
            <v>NA</v>
          </cell>
          <cell r="AH1797" t="str">
            <v>PPM</v>
          </cell>
          <cell r="AI1797" t="str">
            <v>Not in contract</v>
          </cell>
          <cell r="AJ1797" t="str">
            <v>Strands V3 P1.23</v>
          </cell>
          <cell r="AK1797" t="str">
            <v>(PIC: IMRAN, INFUSION PUMP) [23/8/2023, Sharifah]: V3 P1.23, add KKM No.</v>
          </cell>
        </row>
        <row r="1798">
          <cell r="A1798" t="str">
            <v>IKN402137</v>
          </cell>
          <cell r="B1798">
            <v>1792</v>
          </cell>
          <cell r="C1798" t="str">
            <v>Institut Kanser Negara</v>
          </cell>
          <cell r="D1798" t="str">
            <v>KKM/IKN/H/22/63</v>
          </cell>
          <cell r="E1798" t="str">
            <v>15-748</v>
          </cell>
          <cell r="F1798" t="str">
            <v>Cameras, Endoscopic</v>
          </cell>
          <cell r="G1798" t="str">
            <v>OT</v>
          </cell>
          <cell r="H1798" t="str">
            <v>OPERATING THEATRE</v>
          </cell>
          <cell r="I1798" t="str">
            <v>OT</v>
          </cell>
          <cell r="J1798" t="str">
            <v>OPERATION THEATRE</v>
          </cell>
          <cell r="K1798" t="str">
            <v>BMED</v>
          </cell>
          <cell r="L1798" t="str">
            <v>Normal</v>
          </cell>
          <cell r="M1798" t="str">
            <v>Germany</v>
          </cell>
          <cell r="N1798" t="str">
            <v>KARL STORZ</v>
          </cell>
          <cell r="O1798" t="str">
            <v>TH100</v>
          </cell>
          <cell r="P1798" t="str">
            <v>0N051370-K</v>
          </cell>
          <cell r="Q1798" t="str">
            <v>Not Applicable</v>
          </cell>
          <cell r="R1798" t="str">
            <v>BBRAUN MELSUNGEN AG</v>
          </cell>
          <cell r="S1798" t="str">
            <v>UMMI Surgical Sdn Bhd</v>
          </cell>
          <cell r="T1798" t="str">
            <v>FUNCTIONING</v>
          </cell>
          <cell r="U1798" t="str">
            <v>Asset</v>
          </cell>
          <cell r="V1798">
            <v>106500</v>
          </cell>
          <cell r="W1798" t="str">
            <v>KEW</v>
          </cell>
          <cell r="X1798">
            <v>44833</v>
          </cell>
          <cell r="Y1798" t="str">
            <v>KEW</v>
          </cell>
          <cell r="Z1798">
            <v>44833</v>
          </cell>
          <cell r="AA1798">
            <v>45197</v>
          </cell>
          <cell r="AB1798" t="str">
            <v>NO</v>
          </cell>
          <cell r="AC1798">
            <v>44833</v>
          </cell>
          <cell r="AD1798" t="str">
            <v>GOOD</v>
          </cell>
          <cell r="AE1798" t="str">
            <v>V3 - Added Installed Facilities (New)</v>
          </cell>
          <cell r="AF1798">
            <v>45008</v>
          </cell>
          <cell r="AG1798" t="str">
            <v>NA</v>
          </cell>
          <cell r="AH1798" t="str">
            <v>PPM</v>
          </cell>
          <cell r="AI1798" t="str">
            <v>Not in contract</v>
          </cell>
          <cell r="AJ1798" t="str">
            <v>Strands V3 P1.23</v>
          </cell>
          <cell r="AK1798" t="str">
            <v>(PIC: IMRAN) [23/8/2023, Sharifah]: V3 P1.23, add KKM No.</v>
          </cell>
        </row>
        <row r="1799">
          <cell r="A1799" t="str">
            <v>IKN402138</v>
          </cell>
          <cell r="B1799">
            <v>1793</v>
          </cell>
          <cell r="C1799" t="str">
            <v>Institut Kanser Negara</v>
          </cell>
          <cell r="D1799" t="str">
            <v>KKM/IKN/H/22/43</v>
          </cell>
          <cell r="E1799" t="str">
            <v>16-930</v>
          </cell>
          <cell r="F1799" t="str">
            <v>Calibrators, Mass Spectrometer</v>
          </cell>
          <cell r="G1799" t="str">
            <v>NM</v>
          </cell>
          <cell r="H1799" t="str">
            <v>NUCLEAR MED</v>
          </cell>
          <cell r="I1799" t="str">
            <v>03NM139</v>
          </cell>
          <cell r="J1799" t="str">
            <v>NUCLEAR MED</v>
          </cell>
          <cell r="K1799" t="str">
            <v>BMED</v>
          </cell>
          <cell r="L1799" t="str">
            <v>Normal</v>
          </cell>
          <cell r="M1799" t="str">
            <v>USA</v>
          </cell>
          <cell r="N1799" t="str">
            <v>LAB LOGIC</v>
          </cell>
          <cell r="O1799" t="str">
            <v>SCAN-RAM</v>
          </cell>
          <cell r="P1799" t="str">
            <v>SR1A/1121/828</v>
          </cell>
          <cell r="Q1799" t="str">
            <v>Not Applicable</v>
          </cell>
          <cell r="R1799" t="str">
            <v>LAB LOGIC</v>
          </cell>
          <cell r="S1799" t="str">
            <v>SPD SCIENTIFIC M SDN BHD</v>
          </cell>
          <cell r="T1799" t="str">
            <v>FUNCTIONING</v>
          </cell>
          <cell r="U1799" t="str">
            <v>Asset</v>
          </cell>
          <cell r="V1799">
            <v>79310.75</v>
          </cell>
          <cell r="W1799" t="str">
            <v>KEW</v>
          </cell>
          <cell r="X1799" t="str">
            <v>NA</v>
          </cell>
          <cell r="Y1799" t="str">
            <v>KEW</v>
          </cell>
          <cell r="Z1799">
            <v>44774</v>
          </cell>
          <cell r="AA1799">
            <v>45138</v>
          </cell>
          <cell r="AB1799" t="str">
            <v>No</v>
          </cell>
          <cell r="AC1799">
            <v>44776</v>
          </cell>
          <cell r="AD1799" t="str">
            <v>GOOD</v>
          </cell>
          <cell r="AE1799" t="str">
            <v>V3 - Added Installed Facilities (New)</v>
          </cell>
          <cell r="AF1799">
            <v>45008</v>
          </cell>
          <cell r="AG1799" t="str">
            <v>NA</v>
          </cell>
          <cell r="AH1799" t="str">
            <v>PPM</v>
          </cell>
          <cell r="AI1799" t="str">
            <v>Not in contract</v>
          </cell>
          <cell r="AJ1799" t="str">
            <v>Strands V3 P1.23</v>
          </cell>
          <cell r="AK1799" t="str">
            <v>Unit donated by IAEA. (PIC: LABLOGIC SCAN-RAM RADIO -TLC SCAM) [23/8/2023, Sharifah]: V3 P1.23, add KKM No.</v>
          </cell>
        </row>
        <row r="1800">
          <cell r="A1800" t="str">
            <v>IKN402140</v>
          </cell>
          <cell r="B1800">
            <v>1795</v>
          </cell>
          <cell r="C1800" t="str">
            <v>Institut Kanser Negara</v>
          </cell>
          <cell r="D1800" t="str">
            <v>KKM/IKN/H/22/57</v>
          </cell>
          <cell r="E1800" t="str">
            <v>12-647</v>
          </cell>
          <cell r="F1800" t="str">
            <v>Physiologic Monitoring Systems, Acute Care</v>
          </cell>
          <cell r="G1800" t="str">
            <v>RT</v>
          </cell>
          <cell r="H1800" t="str">
            <v>RADIATION TREATMENT UNIT</v>
          </cell>
          <cell r="I1800" t="str">
            <v>01RT176</v>
          </cell>
          <cell r="K1800" t="str">
            <v>BMED</v>
          </cell>
          <cell r="L1800" t="str">
            <v>NORMAL</v>
          </cell>
          <cell r="M1800" t="str">
            <v>GERMANY</v>
          </cell>
          <cell r="N1800" t="str">
            <v>COMEN</v>
          </cell>
          <cell r="O1800" t="str">
            <v>NC3</v>
          </cell>
          <cell r="P1800" t="str">
            <v>N 5211118002</v>
          </cell>
          <cell r="Q1800" t="str">
            <v>Not Available</v>
          </cell>
          <cell r="R1800" t="str">
            <v>Comen</v>
          </cell>
          <cell r="S1800" t="str">
            <v>Biometrix Meditronixs Global</v>
          </cell>
          <cell r="T1800" t="str">
            <v>Functioning</v>
          </cell>
          <cell r="U1800" t="str">
            <v>Asset</v>
          </cell>
          <cell r="V1800">
            <v>4500</v>
          </cell>
          <cell r="W1800" t="str">
            <v>KEW</v>
          </cell>
          <cell r="X1800">
            <v>44831</v>
          </cell>
          <cell r="Y1800" t="str">
            <v>KEW</v>
          </cell>
          <cell r="Z1800">
            <v>44839</v>
          </cell>
          <cell r="AA1800">
            <v>45203</v>
          </cell>
          <cell r="AB1800" t="str">
            <v>NO</v>
          </cell>
          <cell r="AC1800">
            <v>44839</v>
          </cell>
          <cell r="AD1800" t="str">
            <v>Good</v>
          </cell>
          <cell r="AE1800" t="str">
            <v>V3 - Added Installed Facilities (New)</v>
          </cell>
          <cell r="AF1800">
            <v>45008</v>
          </cell>
          <cell r="AG1800" t="str">
            <v>NA</v>
          </cell>
          <cell r="AH1800" t="str">
            <v>PPM</v>
          </cell>
          <cell r="AI1800" t="str">
            <v>Not in contract</v>
          </cell>
          <cell r="AJ1800" t="str">
            <v>Strands V3 P1.23</v>
          </cell>
          <cell r="AK1800" t="str">
            <v>(PIC: SOLEHA, VITAL SIGN) [23/8/2023, Sharifah]: V3 P1.23, add KKM No.</v>
          </cell>
        </row>
        <row r="1801">
          <cell r="A1801" t="str">
            <v>IKN402141</v>
          </cell>
          <cell r="B1801">
            <v>1796</v>
          </cell>
          <cell r="C1801" t="str">
            <v>Institut Kanser Negara</v>
          </cell>
          <cell r="D1801" t="str">
            <v>KKM/IKN/H/22/91</v>
          </cell>
          <cell r="E1801" t="str">
            <v>13-275</v>
          </cell>
          <cell r="F1801" t="str">
            <v>Calibrators, Radioisotope</v>
          </cell>
          <cell r="G1801" t="str">
            <v>NM</v>
          </cell>
          <cell r="H1801" t="str">
            <v>NUCLEAR MED</v>
          </cell>
          <cell r="I1801" t="str">
            <v>NM153</v>
          </cell>
          <cell r="J1801" t="str">
            <v>NUCLEAR MED</v>
          </cell>
          <cell r="K1801" t="str">
            <v>BMED</v>
          </cell>
          <cell r="L1801" t="str">
            <v>NORMAL</v>
          </cell>
          <cell r="M1801" t="str">
            <v>USA</v>
          </cell>
          <cell r="N1801" t="str">
            <v>CAPINTEX</v>
          </cell>
          <cell r="O1801" t="str">
            <v>CRC55TR</v>
          </cell>
          <cell r="P1801" t="str">
            <v>555358H</v>
          </cell>
          <cell r="Q1801" t="str">
            <v>Not Available</v>
          </cell>
          <cell r="R1801" t="str">
            <v>USA,CAPINTEX</v>
          </cell>
          <cell r="S1801" t="str">
            <v>H&amp;A MEDICAL SUPPLY SDN BHD</v>
          </cell>
          <cell r="T1801" t="str">
            <v>Functioning</v>
          </cell>
          <cell r="U1801" t="str">
            <v>Asset</v>
          </cell>
          <cell r="V1801">
            <v>58988</v>
          </cell>
          <cell r="W1801" t="str">
            <v>KEW</v>
          </cell>
          <cell r="X1801">
            <v>44847</v>
          </cell>
          <cell r="Y1801" t="str">
            <v>KEW</v>
          </cell>
          <cell r="Z1801">
            <v>44847</v>
          </cell>
          <cell r="AA1801">
            <v>45577</v>
          </cell>
          <cell r="AB1801" t="str">
            <v>YES</v>
          </cell>
          <cell r="AC1801">
            <v>44847</v>
          </cell>
          <cell r="AD1801" t="str">
            <v>GOOD</v>
          </cell>
          <cell r="AE1801" t="str">
            <v>V3 - Added Installed Facilities (New)</v>
          </cell>
          <cell r="AF1801">
            <v>45008</v>
          </cell>
          <cell r="AG1801" t="str">
            <v>NA</v>
          </cell>
          <cell r="AH1801" t="str">
            <v>PPM</v>
          </cell>
          <cell r="AI1801" t="str">
            <v>Not in contract</v>
          </cell>
          <cell r="AJ1801" t="str">
            <v>Strands V3 P1.23</v>
          </cell>
          <cell r="AK1801" t="str">
            <v>(DOSE CALIBRATOR) [23/8/2023, Sharifah]: V3 P1.23, add KKM No. [20/8/2024, Anis]: Calibration 2023 not done, 2024 done. Pending one more calibration 2025.</v>
          </cell>
        </row>
        <row r="1802">
          <cell r="A1802" t="str">
            <v>IKN402142</v>
          </cell>
          <cell r="B1802">
            <v>1797</v>
          </cell>
          <cell r="C1802" t="str">
            <v>Institut Kanser Negara</v>
          </cell>
          <cell r="D1802" t="str">
            <v>KKM/IKN/H/22/83</v>
          </cell>
          <cell r="E1802" t="str">
            <v>13-275</v>
          </cell>
          <cell r="F1802" t="str">
            <v>Calibrators, Radioisotope</v>
          </cell>
          <cell r="G1802" t="str">
            <v>PET-CT</v>
          </cell>
          <cell r="H1802" t="str">
            <v>NUCLEAR MED</v>
          </cell>
          <cell r="I1802" t="str">
            <v>PET-CT</v>
          </cell>
          <cell r="J1802" t="str">
            <v>PET CT, HPJ</v>
          </cell>
          <cell r="K1802" t="str">
            <v>BMED</v>
          </cell>
          <cell r="L1802" t="str">
            <v>NORMAL</v>
          </cell>
          <cell r="M1802" t="str">
            <v>USA</v>
          </cell>
          <cell r="N1802" t="str">
            <v>CAPINTEX</v>
          </cell>
          <cell r="O1802" t="str">
            <v>5130-3235</v>
          </cell>
          <cell r="P1802" t="str">
            <v>571073H</v>
          </cell>
          <cell r="Q1802" t="str">
            <v>Not Available</v>
          </cell>
          <cell r="R1802" t="str">
            <v>USA,CAPINTEX</v>
          </cell>
          <cell r="S1802" t="str">
            <v>H&amp;A MEDICAL SUPPLY SDN BHD</v>
          </cell>
          <cell r="T1802" t="str">
            <v>Functioning</v>
          </cell>
          <cell r="U1802" t="str">
            <v>Asset</v>
          </cell>
          <cell r="V1802">
            <v>90188</v>
          </cell>
          <cell r="W1802" t="str">
            <v>KEW</v>
          </cell>
          <cell r="X1802">
            <v>44859</v>
          </cell>
          <cell r="Y1802" t="str">
            <v>KEW</v>
          </cell>
          <cell r="Z1802">
            <v>44859</v>
          </cell>
          <cell r="AA1802">
            <v>45589</v>
          </cell>
          <cell r="AB1802" t="str">
            <v>YES</v>
          </cell>
          <cell r="AC1802">
            <v>44859</v>
          </cell>
          <cell r="AD1802" t="str">
            <v>GOOD</v>
          </cell>
          <cell r="AE1802" t="str">
            <v>V3 - Added Installed Facilities (New)</v>
          </cell>
          <cell r="AF1802">
            <v>45008</v>
          </cell>
          <cell r="AG1802" t="str">
            <v>NA</v>
          </cell>
          <cell r="AH1802" t="str">
            <v>PPM</v>
          </cell>
          <cell r="AI1802" t="str">
            <v>Not in contract</v>
          </cell>
          <cell r="AJ1802" t="str">
            <v>Strands V3 P1.23</v>
          </cell>
          <cell r="AK1802" t="str">
            <v>(DOSE CALIBRATOR) [23/8/2023, Sharifah]: V3 P1.23, add KKM No. [20/8/2024, Anis]: Calibration 2023 not done, 2024 done. Pending one more calibration 2025.</v>
          </cell>
        </row>
        <row r="1803">
          <cell r="A1803" t="str">
            <v>IKN402142</v>
          </cell>
          <cell r="B1803" t="str">
            <v>NA</v>
          </cell>
          <cell r="C1803" t="str">
            <v>Calibrators, Radioisotope</v>
          </cell>
          <cell r="D1803" t="str">
            <v>PET-CT</v>
          </cell>
          <cell r="E1803" t="str">
            <v>5130-3235</v>
          </cell>
          <cell r="F1803" t="str">
            <v>571073H</v>
          </cell>
          <cell r="G1803" t="str">
            <v>Functioning</v>
          </cell>
          <cell r="P1803" t="str">
            <v>571073H</v>
          </cell>
          <cell r="Q1803" t="str">
            <v>Functioning</v>
          </cell>
          <cell r="T1803" t="str">
            <v>Functioning</v>
          </cell>
          <cell r="V1803">
            <v>90188</v>
          </cell>
          <cell r="Y1803" t="str">
            <v>KEW</v>
          </cell>
          <cell r="AH1803" t="str">
            <v>PPM</v>
          </cell>
          <cell r="AI1803" t="str">
            <v>PROPOSE P2.23</v>
          </cell>
        </row>
        <row r="1804">
          <cell r="A1804" t="str">
            <v>IKN402143</v>
          </cell>
          <cell r="B1804">
            <v>1798</v>
          </cell>
          <cell r="C1804" t="str">
            <v>Institut Kanser Negara</v>
          </cell>
          <cell r="D1804" t="str">
            <v>KKM/IKN/H/22/96</v>
          </cell>
          <cell r="E1804" t="str">
            <v>16-439</v>
          </cell>
          <cell r="F1804" t="str">
            <v>Microscopes, Light, Laboratory, Fluorescence</v>
          </cell>
          <cell r="G1804" t="str">
            <v>LA</v>
          </cell>
          <cell r="H1804" t="str">
            <v>PATHOLOGY</v>
          </cell>
          <cell r="I1804" t="str">
            <v>04LA127</v>
          </cell>
          <cell r="J1804" t="str">
            <v>PATHOLOGY</v>
          </cell>
          <cell r="K1804" t="str">
            <v>BMED</v>
          </cell>
          <cell r="L1804" t="str">
            <v>NORMAL</v>
          </cell>
          <cell r="M1804" t="str">
            <v>JAPAN</v>
          </cell>
          <cell r="N1804" t="str">
            <v>OLYMPUS</v>
          </cell>
          <cell r="O1804" t="str">
            <v>CX43RF</v>
          </cell>
          <cell r="P1804" t="str">
            <v>2F45731</v>
          </cell>
          <cell r="Q1804" t="str">
            <v>Not Available</v>
          </cell>
          <cell r="R1804" t="str">
            <v>EVIDENT CORPORATION NAGARA</v>
          </cell>
          <cell r="S1804" t="str">
            <v>Matrix Optics (M) Sdn Bhd</v>
          </cell>
          <cell r="T1804" t="str">
            <v>Functioning</v>
          </cell>
          <cell r="U1804" t="str">
            <v>ASSET</v>
          </cell>
          <cell r="V1804">
            <v>19500</v>
          </cell>
          <cell r="W1804" t="str">
            <v>KEW</v>
          </cell>
          <cell r="X1804">
            <v>44831</v>
          </cell>
          <cell r="Y1804" t="str">
            <v>KEW</v>
          </cell>
          <cell r="Z1804">
            <v>44865</v>
          </cell>
          <cell r="AA1804">
            <v>45230</v>
          </cell>
          <cell r="AB1804" t="str">
            <v>NO</v>
          </cell>
          <cell r="AC1804">
            <v>44860</v>
          </cell>
          <cell r="AD1804" t="str">
            <v>GOOD</v>
          </cell>
          <cell r="AE1804" t="str">
            <v>V3 - Added Installed Facilities (New)</v>
          </cell>
          <cell r="AF1804">
            <v>45008</v>
          </cell>
          <cell r="AG1804" t="str">
            <v>NA</v>
          </cell>
          <cell r="AH1804" t="str">
            <v>PPM</v>
          </cell>
          <cell r="AI1804" t="str">
            <v>Not in contract</v>
          </cell>
          <cell r="AJ1804" t="str">
            <v>Strands V3 P1.23</v>
          </cell>
          <cell r="AK1804" t="str">
            <v>(MICROSCOPE) [23/8/2023, Sharifah]: V3 P1.23, add KKM No.</v>
          </cell>
        </row>
        <row r="1805">
          <cell r="A1805" t="str">
            <v>IKN402144</v>
          </cell>
          <cell r="B1805">
            <v>1799</v>
          </cell>
          <cell r="C1805" t="str">
            <v>Institut Kanser Negara</v>
          </cell>
          <cell r="D1805" t="str">
            <v>KKM/IKN/H/22/95</v>
          </cell>
          <cell r="E1805" t="str">
            <v>15-156</v>
          </cell>
          <cell r="F1805" t="str">
            <v>Microscopes, Light, Laboratory</v>
          </cell>
          <cell r="G1805" t="str">
            <v>LA</v>
          </cell>
          <cell r="H1805" t="str">
            <v>PATHOLOGY</v>
          </cell>
          <cell r="I1805" t="str">
            <v>04LA127</v>
          </cell>
          <cell r="J1805" t="str">
            <v>PATHOLOGY</v>
          </cell>
          <cell r="K1805" t="str">
            <v>BMED</v>
          </cell>
          <cell r="L1805" t="str">
            <v>NORMAL</v>
          </cell>
          <cell r="M1805" t="str">
            <v>JAPAN</v>
          </cell>
          <cell r="N1805" t="str">
            <v>OLYMPUS</v>
          </cell>
          <cell r="O1805" t="str">
            <v>CX33RTFS2</v>
          </cell>
          <cell r="P1805" t="str">
            <v>2E51049</v>
          </cell>
          <cell r="Q1805" t="str">
            <v>Not Available</v>
          </cell>
          <cell r="R1805" t="str">
            <v>EVIDENT CORPORATION NAGARA</v>
          </cell>
          <cell r="S1805" t="str">
            <v>Matrix Optics (M) Sdn Bhd</v>
          </cell>
          <cell r="T1805" t="str">
            <v>Functioning</v>
          </cell>
          <cell r="U1805" t="str">
            <v>ASSET</v>
          </cell>
          <cell r="V1805">
            <v>8000</v>
          </cell>
          <cell r="W1805" t="str">
            <v>KEW</v>
          </cell>
          <cell r="X1805">
            <v>44831</v>
          </cell>
          <cell r="Y1805" t="str">
            <v>KEW</v>
          </cell>
          <cell r="Z1805">
            <v>44865</v>
          </cell>
          <cell r="AA1805">
            <v>45230</v>
          </cell>
          <cell r="AB1805" t="str">
            <v>NO</v>
          </cell>
          <cell r="AC1805">
            <v>44860</v>
          </cell>
          <cell r="AD1805" t="str">
            <v>GOOD</v>
          </cell>
          <cell r="AE1805" t="str">
            <v>V3 - Added Installed Facilities (New)</v>
          </cell>
          <cell r="AF1805">
            <v>45008</v>
          </cell>
          <cell r="AG1805" t="str">
            <v>NA</v>
          </cell>
          <cell r="AH1805" t="str">
            <v>PPM</v>
          </cell>
          <cell r="AI1805" t="str">
            <v>Not in contract</v>
          </cell>
          <cell r="AJ1805" t="str">
            <v>Strands V3 P1.23</v>
          </cell>
          <cell r="AK1805" t="str">
            <v>(MICROSCOPE) [23/8/2023, Sharifah]: V3 P1.23, add KKM No.</v>
          </cell>
        </row>
        <row r="1806">
          <cell r="A1806" t="str">
            <v>IKN402145</v>
          </cell>
          <cell r="B1806">
            <v>1800</v>
          </cell>
          <cell r="C1806" t="str">
            <v>Institut Kanser Negara</v>
          </cell>
          <cell r="D1806" t="str">
            <v>KKM/IKN/H/22/92</v>
          </cell>
          <cell r="E1806" t="str">
            <v>15-976</v>
          </cell>
          <cell r="F1806" t="str">
            <v>Scanning Systems, Ultrasonic, General-Purpose</v>
          </cell>
          <cell r="G1806" t="str">
            <v>WC</v>
          </cell>
          <cell r="H1806" t="str">
            <v>SURGICAL ONCO FEMALE WARD</v>
          </cell>
          <cell r="I1806" t="str">
            <v>06WC143</v>
          </cell>
          <cell r="J1806" t="str">
            <v>NURSE STATION</v>
          </cell>
          <cell r="K1806" t="str">
            <v>BMED</v>
          </cell>
          <cell r="L1806" t="str">
            <v>NORMAL</v>
          </cell>
          <cell r="M1806" t="str">
            <v>NA</v>
          </cell>
          <cell r="N1806" t="str">
            <v>MINDRAY</v>
          </cell>
          <cell r="O1806" t="str">
            <v>DC-4DHD</v>
          </cell>
          <cell r="P1806" t="str">
            <v>CT7-26005747</v>
          </cell>
          <cell r="Q1806" t="str">
            <v>Not Available</v>
          </cell>
          <cell r="R1806" t="str">
            <v>SHENZEN MINDRAY BIO-MEDICAL</v>
          </cell>
          <cell r="S1806" t="str">
            <v>Mediliance (M) Sdn. Bhd.</v>
          </cell>
          <cell r="T1806" t="str">
            <v>Functioning</v>
          </cell>
          <cell r="U1806" t="str">
            <v>Asset</v>
          </cell>
          <cell r="V1806">
            <v>68500</v>
          </cell>
          <cell r="W1806" t="str">
            <v>KEW</v>
          </cell>
          <cell r="X1806">
            <v>44869</v>
          </cell>
          <cell r="Y1806" t="str">
            <v>KEW</v>
          </cell>
          <cell r="Z1806">
            <v>44880</v>
          </cell>
          <cell r="AA1806">
            <v>45975</v>
          </cell>
          <cell r="AB1806" t="str">
            <v>YES</v>
          </cell>
          <cell r="AC1806">
            <v>44880</v>
          </cell>
          <cell r="AD1806" t="str">
            <v>Good</v>
          </cell>
          <cell r="AE1806" t="str">
            <v>V3 - Added Installed Facilities (New)</v>
          </cell>
          <cell r="AF1806">
            <v>45008</v>
          </cell>
          <cell r="AG1806" t="str">
            <v>NA</v>
          </cell>
          <cell r="AH1806" t="str">
            <v>PPM</v>
          </cell>
          <cell r="AI1806" t="str">
            <v>Not in contract</v>
          </cell>
          <cell r="AJ1806" t="str">
            <v>Strands V3 P1.23</v>
          </cell>
          <cell r="AK1806" t="str">
            <v>[23/8/2023, Sharifah]: V3 P1.23, add KKM No.</v>
          </cell>
        </row>
        <row r="1807">
          <cell r="A1807" t="str">
            <v>IKN402146</v>
          </cell>
          <cell r="B1807">
            <v>1801</v>
          </cell>
          <cell r="C1807" t="str">
            <v>Institut Kanser Negara</v>
          </cell>
          <cell r="D1807" t="str">
            <v>KKM/IKN/H/22/97</v>
          </cell>
          <cell r="E1807" t="str">
            <v>12-647</v>
          </cell>
          <cell r="F1807" t="str">
            <v>Physiologic Monitoring Systems, Acute Care</v>
          </cell>
          <cell r="G1807" t="str">
            <v>ID</v>
          </cell>
          <cell r="H1807" t="str">
            <v>IMAGING DEPARTMENT</v>
          </cell>
          <cell r="I1807" t="str">
            <v>03ID111</v>
          </cell>
          <cell r="J1807" t="str">
            <v>M.R.I (VE)</v>
          </cell>
          <cell r="K1807" t="str">
            <v>BMED</v>
          </cell>
          <cell r="L1807" t="str">
            <v>Normal</v>
          </cell>
          <cell r="M1807" t="str">
            <v>MIPM</v>
          </cell>
          <cell r="N1807" t="str">
            <v>NA</v>
          </cell>
          <cell r="O1807" t="str">
            <v>TESLA M3</v>
          </cell>
          <cell r="P1807" t="str">
            <v>TM3M1490</v>
          </cell>
          <cell r="Q1807" t="str">
            <v>Not Available</v>
          </cell>
          <cell r="R1807" t="str">
            <v>MIPM</v>
          </cell>
          <cell r="S1807" t="str">
            <v>AVANT-MED SDN BHD</v>
          </cell>
          <cell r="T1807" t="str">
            <v>Functioning</v>
          </cell>
          <cell r="U1807" t="str">
            <v>ASSET</v>
          </cell>
          <cell r="V1807">
            <v>199000</v>
          </cell>
          <cell r="W1807" t="str">
            <v>KEW</v>
          </cell>
          <cell r="X1807">
            <v>44895</v>
          </cell>
          <cell r="Y1807" t="str">
            <v>KEW</v>
          </cell>
          <cell r="Z1807">
            <v>44895</v>
          </cell>
          <cell r="AA1807">
            <v>45260</v>
          </cell>
          <cell r="AB1807" t="str">
            <v>No</v>
          </cell>
          <cell r="AC1807">
            <v>44895</v>
          </cell>
          <cell r="AD1807" t="str">
            <v>Good</v>
          </cell>
          <cell r="AE1807" t="str">
            <v>V3 - Added Installed Facilities (New)</v>
          </cell>
          <cell r="AF1807">
            <v>45211</v>
          </cell>
          <cell r="AG1807" t="str">
            <v>NA</v>
          </cell>
          <cell r="AH1807" t="str">
            <v>PPM</v>
          </cell>
          <cell r="AI1807" t="str">
            <v>NA</v>
          </cell>
          <cell r="AJ1807" t="str">
            <v>Proposed for V3 P2.23</v>
          </cell>
          <cell r="AK1807" t="str">
            <v>COME WITH TESLA M3 REMOTE MONITOR (SN:TM3R0947), 2 SPO2 SENSOR, 2 ECG SENSOR. SNF received on 12/10/2023.TRANSFER TO HOSPITAL IPOH</v>
          </cell>
        </row>
        <row r="1808">
          <cell r="A1808" t="str">
            <v>IKN402147</v>
          </cell>
          <cell r="B1808">
            <v>1802</v>
          </cell>
          <cell r="C1808" t="str">
            <v>ION CHAMBER RT - SHARIFAH, PUAN SALIANA</v>
          </cell>
          <cell r="D1808" t="str">
            <v>KKM/IKN/H/22/94</v>
          </cell>
          <cell r="E1808" t="str">
            <v>15-605</v>
          </cell>
          <cell r="F1808" t="str">
            <v>Testers (Ion Chamber Set)</v>
          </cell>
          <cell r="G1808" t="str">
            <v>RT</v>
          </cell>
          <cell r="H1808" t="str">
            <v>RADIATION TREATMENT UNIT</v>
          </cell>
          <cell r="I1808" t="str">
            <v>01RT131</v>
          </cell>
          <cell r="J1808" t="str">
            <v>EQUIPMENT ROOM</v>
          </cell>
          <cell r="K1808" t="str">
            <v>BMED</v>
          </cell>
          <cell r="L1808" t="str">
            <v>Normal</v>
          </cell>
          <cell r="M1808" t="str">
            <v>Germany</v>
          </cell>
          <cell r="N1808" t="str">
            <v>IBA</v>
          </cell>
          <cell r="O1808" t="str">
            <v>DOSE 1</v>
          </cell>
          <cell r="P1808">
            <v>34597</v>
          </cell>
          <cell r="Q1808" t="str">
            <v>Not Available</v>
          </cell>
          <cell r="R1808" t="str">
            <v>IBA Dosimetry Gmbh</v>
          </cell>
          <cell r="S1808" t="str">
            <v>Meditek Equipment</v>
          </cell>
          <cell r="T1808" t="str">
            <v>Functioning</v>
          </cell>
          <cell r="U1808" t="str">
            <v>Asset</v>
          </cell>
          <cell r="V1808">
            <v>142000</v>
          </cell>
          <cell r="W1808" t="str">
            <v>KEW</v>
          </cell>
          <cell r="X1808">
            <v>44831</v>
          </cell>
          <cell r="Y1808" t="str">
            <v>KEW</v>
          </cell>
          <cell r="Z1808">
            <v>44866</v>
          </cell>
          <cell r="AA1808">
            <v>45231</v>
          </cell>
          <cell r="AB1808" t="str">
            <v>No</v>
          </cell>
          <cell r="AC1808">
            <v>44866</v>
          </cell>
          <cell r="AD1808" t="str">
            <v>Good</v>
          </cell>
          <cell r="AE1808" t="str">
            <v>V3 - Added Installed Facilities (New)</v>
          </cell>
          <cell r="AF1808">
            <v>45008</v>
          </cell>
          <cell r="AG1808" t="str">
            <v>NA</v>
          </cell>
          <cell r="AH1808" t="str">
            <v>PPM</v>
          </cell>
          <cell r="AI1808" t="str">
            <v>NA</v>
          </cell>
          <cell r="AJ1808" t="str">
            <v>Strands V3 P1.23</v>
          </cell>
          <cell r="AK1808" t="str">
            <v>1 Electrometer and 3 Ion Chamber [FC65-G SN:6033, PPC40 SN:2373, CC04 SN:19930]</v>
          </cell>
        </row>
        <row r="1809">
          <cell r="A1809" t="str">
            <v>IKN402148</v>
          </cell>
          <cell r="B1809">
            <v>1803</v>
          </cell>
          <cell r="C1809" t="str">
            <v>LAPAROSCOPE: KKM/IKN/H/22/68; SEKALI DENGAN SPY PHI - FAEZAH, PUAN SALIANA</v>
          </cell>
          <cell r="D1809" t="str">
            <v>KKM/IKN/H/22/68</v>
          </cell>
          <cell r="G1809" t="str">
            <v>OT</v>
          </cell>
          <cell r="I1809" t="str">
            <v>05OT105</v>
          </cell>
          <cell r="K1809" t="str">
            <v>BMED</v>
          </cell>
          <cell r="L1809" t="str">
            <v>Normal</v>
          </cell>
          <cell r="P1809" t="str">
            <v>HH1001/HH1002/HH1003</v>
          </cell>
          <cell r="S1809" t="str">
            <v>EASMED SDN BHD</v>
          </cell>
          <cell r="V1809">
            <v>198500</v>
          </cell>
          <cell r="X1809">
            <v>45542</v>
          </cell>
          <cell r="Z1809">
            <v>44827</v>
          </cell>
          <cell r="AA1809">
            <v>45192</v>
          </cell>
          <cell r="AB1809" t="str">
            <v>NO</v>
          </cell>
          <cell r="AC1809">
            <v>44827</v>
          </cell>
          <cell r="AF1809">
            <v>45008</v>
          </cell>
          <cell r="AI1809" t="str">
            <v>Strands</v>
          </cell>
          <cell r="AJ1809" t="str">
            <v>Strands V3 P1.23</v>
          </cell>
        </row>
        <row r="1810">
          <cell r="A1810" t="str">
            <v>IKN402149</v>
          </cell>
          <cell r="B1810">
            <v>1804</v>
          </cell>
          <cell r="C1810" t="str">
            <v>Institut Kanser Negara</v>
          </cell>
          <cell r="D1810" t="str">
            <v>KKM/IKN/H/23/28</v>
          </cell>
          <cell r="E1810" t="str">
            <v>18-229</v>
          </cell>
          <cell r="F1810" t="str">
            <v>Electrosurgical Units, Monopolar</v>
          </cell>
          <cell r="G1810" t="str">
            <v>OT</v>
          </cell>
          <cell r="H1810" t="str">
            <v>OPERATING THEATRE</v>
          </cell>
          <cell r="I1810" t="str">
            <v>05OT161</v>
          </cell>
          <cell r="J1810" t="str">
            <v>OPERATION THEATRE</v>
          </cell>
          <cell r="K1810" t="str">
            <v>BMED</v>
          </cell>
          <cell r="L1810" t="str">
            <v>Normal</v>
          </cell>
          <cell r="M1810" t="str">
            <v>USA</v>
          </cell>
          <cell r="N1810" t="str">
            <v>COVIDIEN</v>
          </cell>
          <cell r="O1810" t="str">
            <v>VLLS10GEN</v>
          </cell>
          <cell r="P1810" t="str">
            <v>L22K0502GX</v>
          </cell>
          <cell r="Q1810" t="str">
            <v>Not Applicable</v>
          </cell>
          <cell r="R1810" t="str">
            <v>Covidien LLC</v>
          </cell>
          <cell r="S1810" t="str">
            <v>J&amp;J MURNI SDN BHD</v>
          </cell>
          <cell r="T1810" t="str">
            <v>Functioning</v>
          </cell>
          <cell r="U1810" t="str">
            <v>Asset</v>
          </cell>
          <cell r="V1810">
            <v>111330</v>
          </cell>
          <cell r="W1810" t="str">
            <v>KEW</v>
          </cell>
          <cell r="X1810">
            <v>45090</v>
          </cell>
          <cell r="Y1810" t="str">
            <v>KEW</v>
          </cell>
          <cell r="Z1810">
            <v>45125</v>
          </cell>
          <cell r="AA1810" t="str">
            <v>31/4/2024</v>
          </cell>
          <cell r="AB1810" t="str">
            <v>No</v>
          </cell>
          <cell r="AC1810">
            <v>45125</v>
          </cell>
          <cell r="AD1810" t="str">
            <v>Good</v>
          </cell>
          <cell r="AE1810" t="str">
            <v>V3 - Added Installed Facilities (New)</v>
          </cell>
          <cell r="AF1810">
            <v>45245</v>
          </cell>
          <cell r="AG1810" t="str">
            <v>NA</v>
          </cell>
          <cell r="AH1810" t="str">
            <v>PPM</v>
          </cell>
          <cell r="AI1810" t="str">
            <v>Strands</v>
          </cell>
          <cell r="AJ1810" t="str">
            <v>Proposed for V3 P2.23</v>
          </cell>
          <cell r="AK1810" t="str">
            <v>SNF received on 15/11/2023. PIC: Hidayah, Asset Donation.</v>
          </cell>
        </row>
        <row r="1811">
          <cell r="A1811" t="str">
            <v>IKN402152</v>
          </cell>
          <cell r="B1811">
            <v>1807</v>
          </cell>
          <cell r="C1811" t="str">
            <v>Institut Kanser Negara</v>
          </cell>
          <cell r="D1811" t="str">
            <v>KKM/IKN/H/23/51</v>
          </cell>
          <cell r="E1811" t="str">
            <v>13-215</v>
          </cell>
          <cell r="F1811" t="str">
            <v>Infusion Pumps, General-Purpose</v>
          </cell>
          <cell r="G1811" t="str">
            <v>WJ</v>
          </cell>
          <cell r="H1811" t="str">
            <v>MULTIDISCIPLINE WARD 1</v>
          </cell>
          <cell r="I1811" t="str">
            <v>09WJ130</v>
          </cell>
          <cell r="J1811" t="str">
            <v>TREATMENT/ PROCEDURE</v>
          </cell>
          <cell r="K1811" t="str">
            <v>BMED</v>
          </cell>
          <cell r="M1811" t="str">
            <v>China</v>
          </cell>
          <cell r="N1811" t="str">
            <v>Medcaptain</v>
          </cell>
          <cell r="O1811" t="str">
            <v>HP 60</v>
          </cell>
          <cell r="P1811">
            <v>6012310000152</v>
          </cell>
          <cell r="Q1811" t="str">
            <v>Not Applicable</v>
          </cell>
          <cell r="R1811" t="str">
            <v>MedCaptain Medical Technology</v>
          </cell>
          <cell r="S1811" t="str">
            <v>Atalis Healthcare Sdn Bhd</v>
          </cell>
          <cell r="T1811" t="str">
            <v>Functioning</v>
          </cell>
          <cell r="U1811" t="str">
            <v>Asset</v>
          </cell>
          <cell r="V1811">
            <v>3500</v>
          </cell>
          <cell r="W1811" t="str">
            <v>KEW</v>
          </cell>
          <cell r="X1811">
            <v>45268</v>
          </cell>
          <cell r="Y1811" t="str">
            <v>KEW</v>
          </cell>
          <cell r="Z1811">
            <v>45272</v>
          </cell>
          <cell r="AA1811">
            <v>45637</v>
          </cell>
          <cell r="AB1811" t="str">
            <v>YES</v>
          </cell>
          <cell r="AC1811">
            <v>45272</v>
          </cell>
          <cell r="AD1811" t="str">
            <v>Good</v>
          </cell>
          <cell r="AE1811" t="str">
            <v>V3 - Added Installed Facilities (New)</v>
          </cell>
          <cell r="AF1811">
            <v>45272</v>
          </cell>
          <cell r="AG1811" t="str">
            <v>NA</v>
          </cell>
          <cell r="AH1811" t="str">
            <v>PPM</v>
          </cell>
          <cell r="AI1811" t="str">
            <v>NA</v>
          </cell>
          <cell r="AJ1811" t="str">
            <v>Proposed for V3 P1.24</v>
          </cell>
          <cell r="AK1811" t="str">
            <v>PIC: Anis, TnC on 12/12/2023</v>
          </cell>
        </row>
        <row r="1812">
          <cell r="A1812" t="str">
            <v>IKN402153</v>
          </cell>
          <cell r="B1812">
            <v>1808</v>
          </cell>
          <cell r="C1812" t="str">
            <v>Institut Kanser Negara</v>
          </cell>
          <cell r="D1812" t="str">
            <v>KKM/IKN/H/23/50</v>
          </cell>
          <cell r="E1812" t="str">
            <v>13-215</v>
          </cell>
          <cell r="F1812" t="str">
            <v>Infusion Pumps, General-Purpose</v>
          </cell>
          <cell r="G1812" t="str">
            <v>WJ</v>
          </cell>
          <cell r="H1812" t="str">
            <v>MULTIDISCIPLINE WARD 1</v>
          </cell>
          <cell r="I1812" t="str">
            <v>09WJ130</v>
          </cell>
          <cell r="J1812" t="str">
            <v>TREATMENT/ PROCEDURE</v>
          </cell>
          <cell r="K1812" t="str">
            <v>BMED</v>
          </cell>
          <cell r="M1812" t="str">
            <v>China</v>
          </cell>
          <cell r="N1812" t="str">
            <v>Medcaptain</v>
          </cell>
          <cell r="O1812" t="str">
            <v>HP 60</v>
          </cell>
          <cell r="P1812">
            <v>6012310000125</v>
          </cell>
          <cell r="Q1812" t="str">
            <v>Not Applicable</v>
          </cell>
          <cell r="R1812" t="str">
            <v>MedCaptain Medical Technology</v>
          </cell>
          <cell r="S1812" t="str">
            <v>Atalis Healthcare Sdn Bhd</v>
          </cell>
          <cell r="T1812" t="str">
            <v>Functioning</v>
          </cell>
          <cell r="U1812" t="str">
            <v>Asset</v>
          </cell>
          <cell r="V1812">
            <v>3500</v>
          </cell>
          <cell r="W1812" t="str">
            <v>KEW</v>
          </cell>
          <cell r="X1812">
            <v>45268</v>
          </cell>
          <cell r="Y1812" t="str">
            <v>KEW</v>
          </cell>
          <cell r="Z1812">
            <v>45272</v>
          </cell>
          <cell r="AA1812">
            <v>45637</v>
          </cell>
          <cell r="AB1812" t="str">
            <v>YES</v>
          </cell>
          <cell r="AC1812">
            <v>45272</v>
          </cell>
          <cell r="AD1812" t="str">
            <v>Good</v>
          </cell>
          <cell r="AE1812" t="str">
            <v>V3 - Added Installed Facilities (New)</v>
          </cell>
          <cell r="AF1812">
            <v>45272</v>
          </cell>
          <cell r="AG1812" t="str">
            <v>NA</v>
          </cell>
          <cell r="AH1812" t="str">
            <v>PPM</v>
          </cell>
          <cell r="AI1812" t="str">
            <v>NA</v>
          </cell>
          <cell r="AJ1812" t="str">
            <v>Proposed for V3 P1.24</v>
          </cell>
          <cell r="AK1812" t="str">
            <v>PIC: Anis, TnC on 12/12/2023</v>
          </cell>
        </row>
        <row r="1813">
          <cell r="A1813" t="str">
            <v>IKN402154</v>
          </cell>
          <cell r="B1813">
            <v>1809</v>
          </cell>
          <cell r="C1813" t="str">
            <v>Institut Kanser Negara</v>
          </cell>
          <cell r="D1813" t="str">
            <v>KKM/IKN/H/23/48</v>
          </cell>
          <cell r="E1813" t="str">
            <v>13-215</v>
          </cell>
          <cell r="F1813" t="str">
            <v>Infusion Pumps, General-Purpose</v>
          </cell>
          <cell r="G1813" t="str">
            <v>WG</v>
          </cell>
          <cell r="H1813" t="str">
            <v>RT/ONCO WARD 1 (M)</v>
          </cell>
          <cell r="I1813" t="str">
            <v>08WG107</v>
          </cell>
          <cell r="J1813" t="str">
            <v>TREATMENT / PROCEDURE</v>
          </cell>
          <cell r="K1813" t="str">
            <v>BMED</v>
          </cell>
          <cell r="M1813" t="str">
            <v>China</v>
          </cell>
          <cell r="N1813" t="str">
            <v>Medcaptain</v>
          </cell>
          <cell r="O1813" t="str">
            <v>HP 60</v>
          </cell>
          <cell r="P1813">
            <v>6012310000116</v>
          </cell>
          <cell r="Q1813" t="str">
            <v>Not Applicable</v>
          </cell>
          <cell r="R1813" t="str">
            <v>MedCaptain Medical Technology</v>
          </cell>
          <cell r="S1813" t="str">
            <v>Atalis Healthcare Sdn Bhd</v>
          </cell>
          <cell r="T1813" t="str">
            <v>Functioning</v>
          </cell>
          <cell r="U1813" t="str">
            <v>Asset</v>
          </cell>
          <cell r="V1813">
            <v>3500</v>
          </cell>
          <cell r="W1813" t="str">
            <v>KEW</v>
          </cell>
          <cell r="X1813">
            <v>45268</v>
          </cell>
          <cell r="Y1813" t="str">
            <v>KEW</v>
          </cell>
          <cell r="Z1813">
            <v>45272</v>
          </cell>
          <cell r="AA1813">
            <v>45637</v>
          </cell>
          <cell r="AB1813" t="str">
            <v>YES</v>
          </cell>
          <cell r="AC1813">
            <v>45272</v>
          </cell>
          <cell r="AD1813" t="str">
            <v>Good</v>
          </cell>
          <cell r="AE1813" t="str">
            <v>V3 - Added Installed Facilities (New)</v>
          </cell>
          <cell r="AF1813">
            <v>45272</v>
          </cell>
          <cell r="AG1813" t="str">
            <v>NA</v>
          </cell>
          <cell r="AH1813" t="str">
            <v>PPM</v>
          </cell>
          <cell r="AI1813" t="str">
            <v>NA</v>
          </cell>
          <cell r="AJ1813" t="str">
            <v>Proposed for V3 P1.24</v>
          </cell>
          <cell r="AK1813" t="str">
            <v>PIC: Anis, TnC on 12/12/2023</v>
          </cell>
        </row>
        <row r="1814">
          <cell r="A1814" t="str">
            <v>IKN402155</v>
          </cell>
          <cell r="B1814">
            <v>1810</v>
          </cell>
          <cell r="C1814" t="str">
            <v>Institut Kanser Negara</v>
          </cell>
          <cell r="D1814" t="str">
            <v>KKM/IKN/H/23/49</v>
          </cell>
          <cell r="E1814" t="str">
            <v>13-215</v>
          </cell>
          <cell r="F1814" t="str">
            <v>Infusion Pumps, General-Purpose</v>
          </cell>
          <cell r="G1814" t="str">
            <v>WG</v>
          </cell>
          <cell r="H1814" t="str">
            <v>RT/ONCO WARD 1 (M)</v>
          </cell>
          <cell r="I1814" t="str">
            <v>08WG107</v>
          </cell>
          <cell r="J1814" t="str">
            <v>TREATMENT / PROCEDURE</v>
          </cell>
          <cell r="K1814" t="str">
            <v>BMED</v>
          </cell>
          <cell r="M1814" t="str">
            <v>China</v>
          </cell>
          <cell r="N1814" t="str">
            <v>Medcaptain</v>
          </cell>
          <cell r="O1814" t="str">
            <v>HP 60</v>
          </cell>
          <cell r="P1814">
            <v>6012310000119</v>
          </cell>
          <cell r="Q1814" t="str">
            <v>Not Applicable</v>
          </cell>
          <cell r="R1814" t="str">
            <v>MedCaptain Medical Technology</v>
          </cell>
          <cell r="S1814" t="str">
            <v>Atalis Healthcare Sdn Bhd</v>
          </cell>
          <cell r="T1814" t="str">
            <v>Functioning</v>
          </cell>
          <cell r="U1814" t="str">
            <v>Asset</v>
          </cell>
          <cell r="V1814">
            <v>3500</v>
          </cell>
          <cell r="W1814" t="str">
            <v>KEW</v>
          </cell>
          <cell r="X1814">
            <v>45268</v>
          </cell>
          <cell r="Y1814" t="str">
            <v>KEW</v>
          </cell>
          <cell r="Z1814">
            <v>45272</v>
          </cell>
          <cell r="AA1814">
            <v>45637</v>
          </cell>
          <cell r="AB1814" t="str">
            <v>YES</v>
          </cell>
          <cell r="AC1814">
            <v>45272</v>
          </cell>
          <cell r="AD1814" t="str">
            <v>Good</v>
          </cell>
          <cell r="AE1814" t="str">
            <v>V3 - Added Installed Facilities (New)</v>
          </cell>
          <cell r="AF1814">
            <v>45272</v>
          </cell>
          <cell r="AG1814" t="str">
            <v>NA</v>
          </cell>
          <cell r="AH1814" t="str">
            <v>PPM</v>
          </cell>
          <cell r="AI1814" t="str">
            <v>NA</v>
          </cell>
          <cell r="AJ1814" t="str">
            <v>Proposed for V3 P1.24</v>
          </cell>
          <cell r="AK1814" t="str">
            <v>PIC: Anis, TnC on 12/12/2023</v>
          </cell>
        </row>
        <row r="1815">
          <cell r="A1815" t="str">
            <v>IKN402156</v>
          </cell>
          <cell r="B1815">
            <v>1811</v>
          </cell>
          <cell r="C1815" t="str">
            <v>Institut Kanser Negara</v>
          </cell>
          <cell r="D1815" t="str">
            <v>KKM/IKN/H/23/47</v>
          </cell>
          <cell r="E1815" t="str">
            <v>13-215</v>
          </cell>
          <cell r="F1815" t="str">
            <v>Infusion Pumps, General-Purpose</v>
          </cell>
          <cell r="G1815" t="str">
            <v>WH</v>
          </cell>
          <cell r="H1815" t="str">
            <v>RT/ONCO WARD 2 (M)</v>
          </cell>
          <cell r="I1815" t="str">
            <v>08WH107</v>
          </cell>
          <cell r="J1815" t="str">
            <v>TREATMENT / PROCEDURE</v>
          </cell>
          <cell r="K1815" t="str">
            <v>BMED</v>
          </cell>
          <cell r="M1815" t="str">
            <v>China</v>
          </cell>
          <cell r="N1815" t="str">
            <v>Medcaptain</v>
          </cell>
          <cell r="O1815" t="str">
            <v>HP 60</v>
          </cell>
          <cell r="P1815">
            <v>6012310000098</v>
          </cell>
          <cell r="Q1815" t="str">
            <v>Not Applicable</v>
          </cell>
          <cell r="R1815" t="str">
            <v>MedCaptain Medical Technology</v>
          </cell>
          <cell r="S1815" t="str">
            <v>Atalis Healthcare Sdn Bhd</v>
          </cell>
          <cell r="T1815" t="str">
            <v>Functioning</v>
          </cell>
          <cell r="U1815" t="str">
            <v>Asset</v>
          </cell>
          <cell r="V1815">
            <v>3500</v>
          </cell>
          <cell r="W1815" t="str">
            <v>KEW</v>
          </cell>
          <cell r="X1815">
            <v>45268</v>
          </cell>
          <cell r="Y1815" t="str">
            <v>KEW</v>
          </cell>
          <cell r="Z1815">
            <v>45272</v>
          </cell>
          <cell r="AA1815">
            <v>45637</v>
          </cell>
          <cell r="AB1815" t="str">
            <v>YES</v>
          </cell>
          <cell r="AC1815">
            <v>45272</v>
          </cell>
          <cell r="AD1815" t="str">
            <v>Good</v>
          </cell>
          <cell r="AE1815" t="str">
            <v>V3 - Added Installed Facilities (New)</v>
          </cell>
          <cell r="AF1815">
            <v>45272</v>
          </cell>
          <cell r="AG1815" t="str">
            <v>NA</v>
          </cell>
          <cell r="AH1815" t="str">
            <v>PPM</v>
          </cell>
          <cell r="AI1815" t="str">
            <v>NA</v>
          </cell>
          <cell r="AJ1815" t="str">
            <v>Proposed for V3 P1.24</v>
          </cell>
          <cell r="AK1815" t="str">
            <v>PIC: Anis, TnC on 12/12/2023</v>
          </cell>
        </row>
        <row r="1816">
          <cell r="A1816" t="str">
            <v>IKN402157</v>
          </cell>
          <cell r="B1816">
            <v>1812</v>
          </cell>
          <cell r="C1816" t="str">
            <v>Institut Kanser Negara</v>
          </cell>
          <cell r="D1816" t="str">
            <v>KKM/IKN/H/23/46</v>
          </cell>
          <cell r="E1816" t="str">
            <v>13-215</v>
          </cell>
          <cell r="F1816" t="str">
            <v>Infusion Pumps, General-Purpose</v>
          </cell>
          <cell r="G1816" t="str">
            <v>WH</v>
          </cell>
          <cell r="H1816" t="str">
            <v>RT/ONCO WARD 2 (M)</v>
          </cell>
          <cell r="I1816" t="str">
            <v>08WH107</v>
          </cell>
          <cell r="J1816" t="str">
            <v>TREATMENT / PROCEDURE</v>
          </cell>
          <cell r="K1816" t="str">
            <v>BMED</v>
          </cell>
          <cell r="M1816" t="str">
            <v>China</v>
          </cell>
          <cell r="N1816" t="str">
            <v>Medcaptain</v>
          </cell>
          <cell r="O1816" t="str">
            <v>HP 60</v>
          </cell>
          <cell r="P1816">
            <v>6012310000046</v>
          </cell>
          <cell r="Q1816" t="str">
            <v>Not Applicable</v>
          </cell>
          <cell r="R1816" t="str">
            <v>MedCaptain Medical Technology</v>
          </cell>
          <cell r="S1816" t="str">
            <v>Atalis Healthcare Sdn Bhd</v>
          </cell>
          <cell r="T1816" t="str">
            <v>Functioning</v>
          </cell>
          <cell r="U1816" t="str">
            <v>Asset</v>
          </cell>
          <cell r="V1816">
            <v>3500</v>
          </cell>
          <cell r="W1816" t="str">
            <v>KEW</v>
          </cell>
          <cell r="X1816">
            <v>45268</v>
          </cell>
          <cell r="Y1816" t="str">
            <v>KEW</v>
          </cell>
          <cell r="Z1816">
            <v>45272</v>
          </cell>
          <cell r="AA1816">
            <v>45637</v>
          </cell>
          <cell r="AB1816" t="str">
            <v>YES</v>
          </cell>
          <cell r="AC1816">
            <v>45272</v>
          </cell>
          <cell r="AD1816" t="str">
            <v>Good</v>
          </cell>
          <cell r="AE1816" t="str">
            <v>V3 - Added Installed Facilities (New)</v>
          </cell>
          <cell r="AF1816">
            <v>45272</v>
          </cell>
          <cell r="AG1816" t="str">
            <v>NA</v>
          </cell>
          <cell r="AH1816" t="str">
            <v>PPM</v>
          </cell>
          <cell r="AI1816" t="str">
            <v>NA</v>
          </cell>
          <cell r="AJ1816" t="str">
            <v>Proposed for V3 P1.24</v>
          </cell>
          <cell r="AK1816" t="str">
            <v>PIC: Anis, TnC on 12/12/2023</v>
          </cell>
        </row>
        <row r="1817">
          <cell r="A1817" t="str">
            <v>IKN402158</v>
          </cell>
          <cell r="B1817">
            <v>1813</v>
          </cell>
          <cell r="C1817" t="str">
            <v>Institut Kanser Negara</v>
          </cell>
          <cell r="D1817" t="str">
            <v>KKM/IKN/H/23/45</v>
          </cell>
          <cell r="E1817" t="str">
            <v>13-215</v>
          </cell>
          <cell r="F1817" t="str">
            <v>Infusion Pumps, General-Purpose</v>
          </cell>
          <cell r="G1817" t="str">
            <v>WE</v>
          </cell>
          <cell r="H1817" t="str">
            <v>RT/ONCO WARD 1 (F)</v>
          </cell>
          <cell r="I1817" t="str">
            <v>07WE107</v>
          </cell>
          <cell r="J1817" t="str">
            <v>TREATMENT / PROCESURE</v>
          </cell>
          <cell r="K1817" t="str">
            <v>BMED</v>
          </cell>
          <cell r="M1817" t="str">
            <v>China</v>
          </cell>
          <cell r="N1817" t="str">
            <v>Medcaptain</v>
          </cell>
          <cell r="O1817" t="str">
            <v>HP 60</v>
          </cell>
          <cell r="P1817">
            <v>6012309000192</v>
          </cell>
          <cell r="Q1817" t="str">
            <v>Not Applicable</v>
          </cell>
          <cell r="R1817" t="str">
            <v>MedCaptain Medical Technology</v>
          </cell>
          <cell r="S1817" t="str">
            <v>Atalis Healthcare Sdn Bhd</v>
          </cell>
          <cell r="T1817" t="str">
            <v>Functioning</v>
          </cell>
          <cell r="U1817" t="str">
            <v>Asset</v>
          </cell>
          <cell r="V1817">
            <v>3500</v>
          </cell>
          <cell r="W1817" t="str">
            <v>KEW</v>
          </cell>
          <cell r="X1817">
            <v>45268</v>
          </cell>
          <cell r="Y1817" t="str">
            <v>KEW</v>
          </cell>
          <cell r="Z1817">
            <v>45272</v>
          </cell>
          <cell r="AA1817">
            <v>45637</v>
          </cell>
          <cell r="AB1817" t="str">
            <v>YES</v>
          </cell>
          <cell r="AC1817">
            <v>45272</v>
          </cell>
          <cell r="AD1817" t="str">
            <v>Good</v>
          </cell>
          <cell r="AE1817" t="str">
            <v>V3 - Added Installed Facilities (New)</v>
          </cell>
          <cell r="AF1817">
            <v>45272</v>
          </cell>
          <cell r="AG1817" t="str">
            <v>NA</v>
          </cell>
          <cell r="AH1817" t="str">
            <v>PPM</v>
          </cell>
          <cell r="AI1817" t="str">
            <v>NA</v>
          </cell>
          <cell r="AJ1817" t="str">
            <v>Proposed for V3 P1.24</v>
          </cell>
          <cell r="AK1817" t="str">
            <v>PIC: Anis, TnC on 12/12/2023</v>
          </cell>
        </row>
        <row r="1818">
          <cell r="A1818" t="str">
            <v>IKN402159</v>
          </cell>
          <cell r="B1818">
            <v>1814</v>
          </cell>
          <cell r="C1818" t="str">
            <v>Institut Kanser Negara</v>
          </cell>
          <cell r="D1818" t="str">
            <v>KKM/IKN/H/23/44</v>
          </cell>
          <cell r="E1818" t="str">
            <v>13-215</v>
          </cell>
          <cell r="F1818" t="str">
            <v>Infusion Pumps, General-Purpose</v>
          </cell>
          <cell r="G1818" t="str">
            <v>WE</v>
          </cell>
          <cell r="H1818" t="str">
            <v>RT/ONCO WARD 1 (F)</v>
          </cell>
          <cell r="I1818" t="str">
            <v>07WE107</v>
          </cell>
          <cell r="J1818" t="str">
            <v>TREATMENT / PROCESURE</v>
          </cell>
          <cell r="K1818" t="str">
            <v>BMED</v>
          </cell>
          <cell r="M1818" t="str">
            <v>China</v>
          </cell>
          <cell r="N1818" t="str">
            <v>Medcaptain</v>
          </cell>
          <cell r="O1818" t="str">
            <v>HP 60</v>
          </cell>
          <cell r="P1818">
            <v>6012309000178</v>
          </cell>
          <cell r="Q1818" t="str">
            <v>Not Applicable</v>
          </cell>
          <cell r="R1818" t="str">
            <v>MedCaptain Medical Technology</v>
          </cell>
          <cell r="S1818" t="str">
            <v>Atalis Healthcare Sdn Bhd</v>
          </cell>
          <cell r="T1818" t="str">
            <v>Functioning</v>
          </cell>
          <cell r="U1818" t="str">
            <v>Asset</v>
          </cell>
          <cell r="V1818">
            <v>3500</v>
          </cell>
          <cell r="W1818" t="str">
            <v>KEW</v>
          </cell>
          <cell r="X1818">
            <v>45268</v>
          </cell>
          <cell r="Y1818" t="str">
            <v>KEW</v>
          </cell>
          <cell r="Z1818">
            <v>45272</v>
          </cell>
          <cell r="AA1818">
            <v>45637</v>
          </cell>
          <cell r="AB1818" t="str">
            <v>YES</v>
          </cell>
          <cell r="AC1818">
            <v>45272</v>
          </cell>
          <cell r="AD1818" t="str">
            <v>Good</v>
          </cell>
          <cell r="AE1818" t="str">
            <v>V3 - Added Installed Facilities (New)</v>
          </cell>
          <cell r="AF1818">
            <v>45272</v>
          </cell>
          <cell r="AG1818" t="str">
            <v>NA</v>
          </cell>
          <cell r="AH1818" t="str">
            <v>PPM</v>
          </cell>
          <cell r="AI1818" t="str">
            <v>NA</v>
          </cell>
          <cell r="AJ1818" t="str">
            <v>Proposed for V3 P1.24</v>
          </cell>
          <cell r="AK1818" t="str">
            <v>PIC: Anis, TnC on 12/12/2023</v>
          </cell>
        </row>
        <row r="1819">
          <cell r="A1819" t="str">
            <v>IKN402160</v>
          </cell>
          <cell r="B1819">
            <v>1815</v>
          </cell>
          <cell r="C1819" t="str">
            <v>Institut Kanser Negara</v>
          </cell>
          <cell r="D1819" t="str">
            <v>KKM/IKN/H/23/43</v>
          </cell>
          <cell r="E1819" t="str">
            <v>13-215</v>
          </cell>
          <cell r="F1819" t="str">
            <v>Infusion Pumps, General-Purpose</v>
          </cell>
          <cell r="G1819" t="str">
            <v>WF</v>
          </cell>
          <cell r="H1819" t="str">
            <v>RT/ONCO WARD 2 (F)</v>
          </cell>
          <cell r="I1819" t="str">
            <v>07WF107</v>
          </cell>
          <cell r="J1819" t="str">
            <v>TREATMENT / PROCEDDURE</v>
          </cell>
          <cell r="K1819" t="str">
            <v>BMED</v>
          </cell>
          <cell r="M1819" t="str">
            <v>China</v>
          </cell>
          <cell r="N1819" t="str">
            <v>Medcaptain</v>
          </cell>
          <cell r="O1819" t="str">
            <v>HP 60</v>
          </cell>
          <cell r="P1819">
            <v>6012309000154</v>
          </cell>
          <cell r="Q1819" t="str">
            <v>Not Applicable</v>
          </cell>
          <cell r="R1819" t="str">
            <v>MedCaptain Medical Technology</v>
          </cell>
          <cell r="S1819" t="str">
            <v>Atalis Healthcare Sdn Bhd</v>
          </cell>
          <cell r="T1819" t="str">
            <v>Functioning</v>
          </cell>
          <cell r="U1819" t="str">
            <v>Asset</v>
          </cell>
          <cell r="V1819">
            <v>3500</v>
          </cell>
          <cell r="W1819" t="str">
            <v>KEW</v>
          </cell>
          <cell r="X1819">
            <v>45268</v>
          </cell>
          <cell r="Y1819" t="str">
            <v>KEW</v>
          </cell>
          <cell r="Z1819">
            <v>45272</v>
          </cell>
          <cell r="AA1819">
            <v>45637</v>
          </cell>
          <cell r="AB1819" t="str">
            <v>YES</v>
          </cell>
          <cell r="AC1819">
            <v>45272</v>
          </cell>
          <cell r="AD1819" t="str">
            <v>Good</v>
          </cell>
          <cell r="AE1819" t="str">
            <v>V3 - Added Installed Facilities (New)</v>
          </cell>
          <cell r="AF1819">
            <v>45272</v>
          </cell>
          <cell r="AG1819" t="str">
            <v>NA</v>
          </cell>
          <cell r="AH1819" t="str">
            <v>PPM</v>
          </cell>
          <cell r="AI1819" t="str">
            <v>NA</v>
          </cell>
          <cell r="AJ1819" t="str">
            <v>Proposed for V3 P1.24</v>
          </cell>
          <cell r="AK1819" t="str">
            <v>PIC: Anis, TnC on 12/12/2023</v>
          </cell>
        </row>
        <row r="1820">
          <cell r="A1820" t="str">
            <v>IKN402161</v>
          </cell>
          <cell r="B1820">
            <v>1816</v>
          </cell>
          <cell r="C1820" t="str">
            <v>Institut Kanser Negara</v>
          </cell>
          <cell r="D1820" t="str">
            <v>KKM/IKN/H/23/42</v>
          </cell>
          <cell r="E1820" t="str">
            <v>13-215</v>
          </cell>
          <cell r="F1820" t="str">
            <v>Infusion Pumps, General-Purpose</v>
          </cell>
          <cell r="G1820" t="str">
            <v>WF</v>
          </cell>
          <cell r="H1820" t="str">
            <v>RT/ONCO WARD 2 (F)</v>
          </cell>
          <cell r="I1820" t="str">
            <v>07WF107</v>
          </cell>
          <cell r="J1820" t="str">
            <v>TREATMENT / PROCEDDURE</v>
          </cell>
          <cell r="K1820" t="str">
            <v>BMED</v>
          </cell>
          <cell r="M1820" t="str">
            <v>China</v>
          </cell>
          <cell r="N1820" t="str">
            <v>Medcaptain</v>
          </cell>
          <cell r="O1820" t="str">
            <v>HP 60</v>
          </cell>
          <cell r="P1820">
            <v>6012211000111</v>
          </cell>
          <cell r="Q1820" t="str">
            <v>Not Applicable</v>
          </cell>
          <cell r="R1820" t="str">
            <v>MedCaptain Medical Technology</v>
          </cell>
          <cell r="S1820" t="str">
            <v>Atalis Healthcare Sdn Bhd</v>
          </cell>
          <cell r="T1820" t="str">
            <v>Functioning</v>
          </cell>
          <cell r="U1820" t="str">
            <v>Asset</v>
          </cell>
          <cell r="V1820">
            <v>3500</v>
          </cell>
          <cell r="W1820" t="str">
            <v>KEW</v>
          </cell>
          <cell r="X1820">
            <v>45268</v>
          </cell>
          <cell r="Y1820" t="str">
            <v>KEW</v>
          </cell>
          <cell r="Z1820">
            <v>45272</v>
          </cell>
          <cell r="AA1820">
            <v>45637</v>
          </cell>
          <cell r="AB1820" t="str">
            <v>YES</v>
          </cell>
          <cell r="AC1820">
            <v>45272</v>
          </cell>
          <cell r="AD1820" t="str">
            <v>Good</v>
          </cell>
          <cell r="AE1820" t="str">
            <v>V3 - Added Installed Facilities (New)</v>
          </cell>
          <cell r="AF1820">
            <v>45272</v>
          </cell>
          <cell r="AG1820" t="str">
            <v>NA</v>
          </cell>
          <cell r="AH1820" t="str">
            <v>PPM</v>
          </cell>
          <cell r="AI1820" t="str">
            <v>NA</v>
          </cell>
          <cell r="AJ1820" t="str">
            <v>Proposed for V3 P1.24</v>
          </cell>
          <cell r="AK1820" t="str">
            <v>PIC: Anis, TnC on 12/12/2023</v>
          </cell>
        </row>
        <row r="1821">
          <cell r="A1821" t="str">
            <v>IKN402162</v>
          </cell>
          <cell r="B1821">
            <v>1817</v>
          </cell>
          <cell r="C1821" t="str">
            <v>Institut Kanser Negara</v>
          </cell>
          <cell r="D1821" t="str">
            <v>KKM/IKN/H/23/41</v>
          </cell>
          <cell r="E1821" t="str">
            <v>13-215</v>
          </cell>
          <cell r="F1821" t="str">
            <v>Infusion Pumps, General-Purpose</v>
          </cell>
          <cell r="G1821" t="str">
            <v>WC</v>
          </cell>
          <cell r="H1821" t="str">
            <v>SURGICAL ONCO FEMALE WARD</v>
          </cell>
          <cell r="I1821" t="str">
            <v>06WC107</v>
          </cell>
          <cell r="J1821" t="str">
            <v>TREATMENT / PROCEDURE</v>
          </cell>
          <cell r="K1821" t="str">
            <v>BMED</v>
          </cell>
          <cell r="M1821" t="str">
            <v>China</v>
          </cell>
          <cell r="N1821" t="str">
            <v>Medcaptain</v>
          </cell>
          <cell r="O1821" t="str">
            <v>HP 60</v>
          </cell>
          <cell r="P1821">
            <v>6012211000104</v>
          </cell>
          <cell r="Q1821" t="str">
            <v>Not Applicable</v>
          </cell>
          <cell r="R1821" t="str">
            <v>MedCaptain Medical Technology</v>
          </cell>
          <cell r="S1821" t="str">
            <v>Atalis Healthcare Sdn Bhd</v>
          </cell>
          <cell r="T1821" t="str">
            <v>Functioning</v>
          </cell>
          <cell r="U1821" t="str">
            <v>Asset</v>
          </cell>
          <cell r="V1821">
            <v>3500</v>
          </cell>
          <cell r="W1821" t="str">
            <v>KEW</v>
          </cell>
          <cell r="X1821">
            <v>45268</v>
          </cell>
          <cell r="Y1821" t="str">
            <v>KEW</v>
          </cell>
          <cell r="Z1821">
            <v>45272</v>
          </cell>
          <cell r="AA1821">
            <v>45637</v>
          </cell>
          <cell r="AB1821" t="str">
            <v>YES</v>
          </cell>
          <cell r="AC1821">
            <v>45272</v>
          </cell>
          <cell r="AD1821" t="str">
            <v>Good</v>
          </cell>
          <cell r="AE1821" t="str">
            <v>V3 - Added Installed Facilities (New)</v>
          </cell>
          <cell r="AF1821">
            <v>45272</v>
          </cell>
          <cell r="AG1821" t="str">
            <v>NA</v>
          </cell>
          <cell r="AH1821" t="str">
            <v>PPM</v>
          </cell>
          <cell r="AI1821" t="str">
            <v>NA</v>
          </cell>
          <cell r="AJ1821" t="str">
            <v>Proposed for V3 P1.24</v>
          </cell>
          <cell r="AK1821" t="str">
            <v>PIC: Anis, TnC on 12/12/2023</v>
          </cell>
        </row>
        <row r="1822">
          <cell r="A1822" t="str">
            <v>IKN402163</v>
          </cell>
          <cell r="B1822">
            <v>1818</v>
          </cell>
          <cell r="C1822" t="str">
            <v>Institut Kanser Negara</v>
          </cell>
          <cell r="D1822" t="str">
            <v>KKM/IKN/H/23/40</v>
          </cell>
          <cell r="E1822" t="str">
            <v>13-215</v>
          </cell>
          <cell r="F1822" t="str">
            <v>Infusion Pumps, General-Purpose</v>
          </cell>
          <cell r="G1822" t="str">
            <v>WC</v>
          </cell>
          <cell r="H1822" t="str">
            <v>SURGICAL ONCO FEMALE WARD</v>
          </cell>
          <cell r="I1822" t="str">
            <v>06WC107</v>
          </cell>
          <cell r="J1822" t="str">
            <v>TREATMENT / PROCEDURE</v>
          </cell>
          <cell r="K1822" t="str">
            <v>BMED</v>
          </cell>
          <cell r="M1822" t="str">
            <v>China</v>
          </cell>
          <cell r="N1822" t="str">
            <v>Medcaptain</v>
          </cell>
          <cell r="O1822" t="str">
            <v>HP 60</v>
          </cell>
          <cell r="P1822">
            <v>6012211000036</v>
          </cell>
          <cell r="Q1822" t="str">
            <v>Not Applicable</v>
          </cell>
          <cell r="R1822" t="str">
            <v>MedCaptain Medical Technology</v>
          </cell>
          <cell r="S1822" t="str">
            <v>Atalis Healthcare Sdn Bhd</v>
          </cell>
          <cell r="T1822" t="str">
            <v>Functioning</v>
          </cell>
          <cell r="U1822" t="str">
            <v>Asset</v>
          </cell>
          <cell r="V1822">
            <v>3500</v>
          </cell>
          <cell r="W1822" t="str">
            <v>KEW</v>
          </cell>
          <cell r="X1822">
            <v>45268</v>
          </cell>
          <cell r="Y1822" t="str">
            <v>KEW</v>
          </cell>
          <cell r="Z1822">
            <v>45272</v>
          </cell>
          <cell r="AA1822">
            <v>45637</v>
          </cell>
          <cell r="AB1822" t="str">
            <v>YES</v>
          </cell>
          <cell r="AC1822">
            <v>45272</v>
          </cell>
          <cell r="AD1822" t="str">
            <v>Good</v>
          </cell>
          <cell r="AE1822" t="str">
            <v>V3 - Added Installed Facilities (New)</v>
          </cell>
          <cell r="AF1822">
            <v>45272</v>
          </cell>
          <cell r="AG1822" t="str">
            <v>NA</v>
          </cell>
          <cell r="AH1822" t="str">
            <v>PPM</v>
          </cell>
          <cell r="AI1822" t="str">
            <v>NA</v>
          </cell>
          <cell r="AJ1822" t="str">
            <v>Proposed for V3 P1.24</v>
          </cell>
          <cell r="AK1822" t="str">
            <v>PIC: Anis, TnC on 12/12/2023</v>
          </cell>
        </row>
        <row r="1823">
          <cell r="A1823" t="str">
            <v>IKN402164</v>
          </cell>
          <cell r="B1823">
            <v>1819</v>
          </cell>
          <cell r="C1823" t="str">
            <v>Institut Kanser Negara</v>
          </cell>
          <cell r="D1823" t="str">
            <v>KKM/IKN/H/23/39</v>
          </cell>
          <cell r="E1823" t="str">
            <v>13-215</v>
          </cell>
          <cell r="F1823" t="str">
            <v>Infusion Pumps, General-Purpose</v>
          </cell>
          <cell r="G1823" t="str">
            <v>WC</v>
          </cell>
          <cell r="H1823" t="str">
            <v>SURGICAL ONCO FEMALE WARD</v>
          </cell>
          <cell r="I1823" t="str">
            <v>06WC107</v>
          </cell>
          <cell r="J1823" t="str">
            <v>TREATMENT / PROCEDURE</v>
          </cell>
          <cell r="K1823" t="str">
            <v>BMED</v>
          </cell>
          <cell r="M1823" t="str">
            <v>China</v>
          </cell>
          <cell r="N1823" t="str">
            <v>Medcaptain</v>
          </cell>
          <cell r="O1823" t="str">
            <v>HP 60</v>
          </cell>
          <cell r="P1823">
            <v>6012211000036</v>
          </cell>
          <cell r="Q1823" t="str">
            <v>Not Applicable</v>
          </cell>
          <cell r="R1823" t="str">
            <v>MedCaptain Medical Technology</v>
          </cell>
          <cell r="S1823" t="str">
            <v>Atalis Healthcare Sdn Bhd</v>
          </cell>
          <cell r="T1823" t="str">
            <v>Functioning</v>
          </cell>
          <cell r="U1823" t="str">
            <v>Asset</v>
          </cell>
          <cell r="V1823">
            <v>3500</v>
          </cell>
          <cell r="W1823" t="str">
            <v>KEW</v>
          </cell>
          <cell r="X1823">
            <v>45268</v>
          </cell>
          <cell r="Y1823" t="str">
            <v>KEW</v>
          </cell>
          <cell r="Z1823">
            <v>45272</v>
          </cell>
          <cell r="AA1823">
            <v>45637</v>
          </cell>
          <cell r="AB1823" t="str">
            <v>YES</v>
          </cell>
          <cell r="AC1823">
            <v>45272</v>
          </cell>
          <cell r="AD1823" t="str">
            <v>Good</v>
          </cell>
          <cell r="AE1823" t="str">
            <v>V3 - Added Installed Facilities (New)</v>
          </cell>
          <cell r="AF1823">
            <v>45272</v>
          </cell>
          <cell r="AG1823" t="str">
            <v>NA</v>
          </cell>
          <cell r="AH1823" t="str">
            <v>PPM</v>
          </cell>
          <cell r="AI1823" t="str">
            <v>NA</v>
          </cell>
          <cell r="AJ1823" t="str">
            <v>Proposed for V3 P1.24</v>
          </cell>
          <cell r="AK1823" t="str">
            <v>PIC: Anis, TnC on 12/12/2023</v>
          </cell>
        </row>
        <row r="1824">
          <cell r="A1824" t="str">
            <v>IKN402165</v>
          </cell>
          <cell r="B1824">
            <v>1820</v>
          </cell>
          <cell r="C1824" t="str">
            <v>Institut Kanser Negara</v>
          </cell>
          <cell r="D1824" t="str">
            <v>KKM/IKN/H/23/38</v>
          </cell>
          <cell r="E1824" t="str">
            <v>13-215</v>
          </cell>
          <cell r="F1824" t="str">
            <v>Infusion Pumps, General-Purpose</v>
          </cell>
          <cell r="G1824" t="str">
            <v>WB</v>
          </cell>
          <cell r="H1824" t="str">
            <v>SURGICAL ONCO MALE WARD</v>
          </cell>
          <cell r="I1824" t="str">
            <v>05WB107</v>
          </cell>
          <cell r="J1824" t="str">
            <v>TREATMENT / PROCEDURE</v>
          </cell>
          <cell r="K1824" t="str">
            <v>BMED</v>
          </cell>
          <cell r="L1824" t="str">
            <v>NORMAL</v>
          </cell>
          <cell r="M1824" t="str">
            <v>China</v>
          </cell>
          <cell r="N1824" t="str">
            <v>Medcaptain</v>
          </cell>
          <cell r="O1824" t="str">
            <v>HP 60</v>
          </cell>
          <cell r="P1824">
            <v>6012210000048</v>
          </cell>
          <cell r="Q1824" t="str">
            <v>MedCaptain Medical Technology</v>
          </cell>
          <cell r="R1824" t="str">
            <v>Atalis Healthcare Sdn Bhd</v>
          </cell>
          <cell r="S1824" t="str">
            <v>Functioning</v>
          </cell>
          <cell r="T1824" t="str">
            <v>Functioning</v>
          </cell>
          <cell r="U1824" t="str">
            <v>KEW</v>
          </cell>
          <cell r="V1824">
            <v>3500</v>
          </cell>
          <cell r="W1824">
            <v>45268</v>
          </cell>
          <cell r="X1824" t="str">
            <v>KEW</v>
          </cell>
          <cell r="Y1824">
            <v>45272</v>
          </cell>
          <cell r="Z1824">
            <v>45637</v>
          </cell>
          <cell r="AA1824" t="str">
            <v>YES</v>
          </cell>
          <cell r="AB1824">
            <v>45272</v>
          </cell>
          <cell r="AC1824" t="str">
            <v>Good</v>
          </cell>
          <cell r="AD1824" t="str">
            <v>V3 - Added Installed Facilities (New)</v>
          </cell>
          <cell r="AE1824">
            <v>45272</v>
          </cell>
          <cell r="AF1824" t="str">
            <v>NA</v>
          </cell>
          <cell r="AG1824">
            <v>9.17</v>
          </cell>
          <cell r="AH1824" t="str">
            <v>PPM</v>
          </cell>
          <cell r="AI1824" t="str">
            <v>Strands</v>
          </cell>
          <cell r="AJ1824" t="str">
            <v>Proposed for V3 P1.24</v>
          </cell>
          <cell r="AK1824" t="str">
            <v>PIC: Anis, TnC on 12/12/2023</v>
          </cell>
        </row>
        <row r="1825">
          <cell r="A1825" t="str">
            <v>IKN402166</v>
          </cell>
          <cell r="B1825">
            <v>1821</v>
          </cell>
          <cell r="C1825" t="str">
            <v>Institut Kanser Negara</v>
          </cell>
          <cell r="D1825" t="str">
            <v>KKM/IKN/H/23/37</v>
          </cell>
          <cell r="E1825" t="str">
            <v>18-147</v>
          </cell>
          <cell r="F1825" t="str">
            <v>Mattress Systems, Alternating-Pressure</v>
          </cell>
          <cell r="G1825" t="str">
            <v>WB</v>
          </cell>
          <cell r="H1825" t="str">
            <v>SURGICAL ONCO MALE WARD</v>
          </cell>
          <cell r="I1825" t="str">
            <v>05WB149</v>
          </cell>
          <cell r="J1825" t="str">
            <v>TREATMENT / PROCEDURE</v>
          </cell>
          <cell r="K1825" t="str">
            <v>BMED</v>
          </cell>
          <cell r="L1825" t="str">
            <v>NORMAL</v>
          </cell>
          <cell r="M1825" t="str">
            <v>Taiwan</v>
          </cell>
          <cell r="N1825" t="str">
            <v>Mediaire</v>
          </cell>
          <cell r="O1825" t="str">
            <v>Mediaire (QUANTO 3)</v>
          </cell>
          <cell r="P1825" t="str">
            <v>P180702528</v>
          </cell>
          <cell r="Q1825" t="str">
            <v>Eezcare Medical Corp</v>
          </cell>
          <cell r="R1825" t="str">
            <v>Medika Supplies Sdn Bhd</v>
          </cell>
          <cell r="S1825" t="str">
            <v>Functioning</v>
          </cell>
          <cell r="T1825" t="str">
            <v>Functioning</v>
          </cell>
          <cell r="U1825" t="str">
            <v>KEW</v>
          </cell>
          <cell r="V1825">
            <v>4000</v>
          </cell>
          <cell r="W1825">
            <v>45268</v>
          </cell>
          <cell r="X1825" t="str">
            <v>KEW</v>
          </cell>
          <cell r="Y1825">
            <v>45272</v>
          </cell>
          <cell r="Z1825">
            <v>45637</v>
          </cell>
          <cell r="AA1825" t="str">
            <v>YES</v>
          </cell>
          <cell r="AB1825">
            <v>45272</v>
          </cell>
          <cell r="AC1825" t="str">
            <v>Good</v>
          </cell>
          <cell r="AD1825" t="str">
            <v>V3 - Added Installed Facilities (New)</v>
          </cell>
          <cell r="AE1825">
            <v>45272</v>
          </cell>
          <cell r="AF1825" t="str">
            <v>NA</v>
          </cell>
          <cell r="AG1825">
            <v>9.17</v>
          </cell>
          <cell r="AH1825" t="str">
            <v>PPM</v>
          </cell>
          <cell r="AI1825" t="str">
            <v>Strands</v>
          </cell>
          <cell r="AJ1825" t="str">
            <v>Proposed for V3 P1.24</v>
          </cell>
          <cell r="AK1825" t="str">
            <v>PIC: Anis, TnC on 12/12/2023</v>
          </cell>
        </row>
        <row r="1826">
          <cell r="A1826" t="str">
            <v>IKN402167</v>
          </cell>
          <cell r="B1826">
            <v>1822</v>
          </cell>
          <cell r="C1826" t="str">
            <v>Institut Kanser Negara</v>
          </cell>
          <cell r="D1826" t="str">
            <v>KKM/IKN/H/24/32-15</v>
          </cell>
          <cell r="E1826" t="str">
            <v>13-215</v>
          </cell>
          <cell r="F1826" t="str">
            <v>Infusion Pumps, General-Purpose</v>
          </cell>
          <cell r="G1826" t="str">
            <v>NM</v>
          </cell>
          <cell r="H1826" t="str">
            <v>NUCLEAR MED (DIAGNOSTIC)</v>
          </cell>
          <cell r="I1826" t="str">
            <v>03WA107</v>
          </cell>
          <cell r="J1826" t="str">
            <v>NUCLEAR MED WARD (THERAPY)</v>
          </cell>
          <cell r="K1826" t="str">
            <v>BMED</v>
          </cell>
          <cell r="L1826" t="str">
            <v>Normal</v>
          </cell>
          <cell r="N1826" t="str">
            <v>B Braun</v>
          </cell>
          <cell r="O1826" t="str">
            <v>Infusomat Space</v>
          </cell>
          <cell r="P1826">
            <v>927030</v>
          </cell>
          <cell r="Q1826" t="str">
            <v>Functioning</v>
          </cell>
          <cell r="R1826" t="str">
            <v>B Braun Melsungen AG</v>
          </cell>
          <cell r="S1826" t="str">
            <v>B Braun Medical Supplies Sdn. Bhd.</v>
          </cell>
          <cell r="T1826" t="str">
            <v>Functioning</v>
          </cell>
          <cell r="V1826">
            <v>6400</v>
          </cell>
          <cell r="W1826" t="str">
            <v>KEW</v>
          </cell>
          <cell r="X1826">
            <v>45120</v>
          </cell>
          <cell r="Y1826" t="str">
            <v>KEW</v>
          </cell>
          <cell r="Z1826">
            <v>45324</v>
          </cell>
          <cell r="AA1826">
            <v>45689</v>
          </cell>
          <cell r="AB1826" t="str">
            <v>YES</v>
          </cell>
          <cell r="AC1826">
            <v>45303</v>
          </cell>
          <cell r="AD1826" t="str">
            <v>Good</v>
          </cell>
          <cell r="AE1826" t="str">
            <v>V3 - Added Installed Facilities (New)</v>
          </cell>
          <cell r="AF1826">
            <v>45508</v>
          </cell>
          <cell r="AG1826" t="str">
            <v>NA</v>
          </cell>
          <cell r="AH1826" t="str">
            <v>PPM</v>
          </cell>
          <cell r="AJ1826" t="str">
            <v>Strands V3 P2.24</v>
          </cell>
        </row>
        <row r="1827">
          <cell r="A1827" t="str">
            <v>IKN402168</v>
          </cell>
          <cell r="B1827">
            <v>1823</v>
          </cell>
          <cell r="C1827" t="str">
            <v>Institut Kanser Negara</v>
          </cell>
          <cell r="D1827" t="str">
            <v>KKM/IKN/H/24/33-10</v>
          </cell>
          <cell r="E1827" t="str">
            <v>13-215</v>
          </cell>
          <cell r="F1827" t="str">
            <v>Infusion Pumps, General-Purpose</v>
          </cell>
          <cell r="G1827" t="str">
            <v>NM</v>
          </cell>
          <cell r="H1827" t="str">
            <v>NUCLEAR MED (DIAGNOSTIC)</v>
          </cell>
          <cell r="I1827" t="str">
            <v>03WA107</v>
          </cell>
          <cell r="J1827" t="str">
            <v>NUCLEAR MED WARD (THERAPY)</v>
          </cell>
          <cell r="K1827" t="str">
            <v>BMED</v>
          </cell>
          <cell r="L1827" t="str">
            <v>Normal</v>
          </cell>
          <cell r="N1827" t="str">
            <v>B Braun</v>
          </cell>
          <cell r="O1827" t="str">
            <v>Infusomat Space</v>
          </cell>
          <cell r="P1827">
            <v>927147</v>
          </cell>
          <cell r="Q1827" t="str">
            <v>Functioning</v>
          </cell>
          <cell r="R1827" t="str">
            <v>B Braun Melsungen AG</v>
          </cell>
          <cell r="S1827" t="str">
            <v>B Braun Medical Supplies Sdn. Bhd.</v>
          </cell>
          <cell r="T1827" t="str">
            <v>Functioning</v>
          </cell>
          <cell r="V1827">
            <v>6400</v>
          </cell>
          <cell r="W1827" t="str">
            <v>KEW</v>
          </cell>
          <cell r="X1827">
            <v>45120</v>
          </cell>
          <cell r="Y1827" t="str">
            <v>KEW</v>
          </cell>
          <cell r="Z1827">
            <v>45324</v>
          </cell>
          <cell r="AA1827">
            <v>45689</v>
          </cell>
          <cell r="AB1827" t="str">
            <v>YES</v>
          </cell>
          <cell r="AC1827">
            <v>45303</v>
          </cell>
          <cell r="AD1827" t="str">
            <v>Good</v>
          </cell>
          <cell r="AE1827" t="str">
            <v>V3 - Added Installed Facilities (New)</v>
          </cell>
          <cell r="AF1827">
            <v>45508</v>
          </cell>
          <cell r="AJ1827" t="str">
            <v>Strands V3 P2.24</v>
          </cell>
        </row>
        <row r="1828">
          <cell r="A1828" t="str">
            <v>IKN402169</v>
          </cell>
          <cell r="B1828">
            <v>1824</v>
          </cell>
          <cell r="C1828" t="str">
            <v>Institut Kanser Negara</v>
          </cell>
          <cell r="D1828" t="str">
            <v>KKM/IKN/H/23/23</v>
          </cell>
          <cell r="E1828" t="str">
            <v>17-211</v>
          </cell>
          <cell r="F1828" t="str">
            <v>Radiation Survey Meters, Geiger-Muller</v>
          </cell>
          <cell r="G1828" t="str">
            <v>NM</v>
          </cell>
          <cell r="H1828" t="str">
            <v>NUCLEAR MED (DIAGNOSTIC)</v>
          </cell>
          <cell r="I1828" t="str">
            <v>03NM153</v>
          </cell>
          <cell r="J1828" t="str">
            <v>PHYSICS LAB</v>
          </cell>
          <cell r="K1828" t="str">
            <v>BMED</v>
          </cell>
          <cell r="L1828" t="str">
            <v>Normal</v>
          </cell>
          <cell r="N1828" t="str">
            <v>Thermo Scientific</v>
          </cell>
          <cell r="O1828" t="str">
            <v>RADEYE B20 ER Survey Meter</v>
          </cell>
          <cell r="P1828">
            <v>35436</v>
          </cell>
          <cell r="Q1828" t="str">
            <v>Not Applicable</v>
          </cell>
          <cell r="R1828" t="str">
            <v>Thermo Fisher Scientific</v>
          </cell>
          <cell r="S1828" t="str">
            <v>Intech Scientific Sdn Bhd</v>
          </cell>
          <cell r="T1828" t="str">
            <v>Functioning</v>
          </cell>
          <cell r="U1828" t="str">
            <v>Asset</v>
          </cell>
          <cell r="V1828">
            <v>8412.09</v>
          </cell>
          <cell r="W1828" t="str">
            <v>KEW</v>
          </cell>
          <cell r="X1828">
            <v>45124</v>
          </cell>
          <cell r="Y1828" t="str">
            <v>KEW</v>
          </cell>
          <cell r="Z1828">
            <v>45124</v>
          </cell>
          <cell r="AA1828">
            <v>45490</v>
          </cell>
          <cell r="AB1828" t="str">
            <v>No</v>
          </cell>
          <cell r="AC1828">
            <v>45124</v>
          </cell>
          <cell r="AD1828" t="str">
            <v>Good</v>
          </cell>
          <cell r="AE1828" t="str">
            <v>V3 - Added Installed Facilities (New)</v>
          </cell>
          <cell r="AG1828" t="str">
            <v>NA</v>
          </cell>
          <cell r="AH1828" t="str">
            <v>PPM</v>
          </cell>
          <cell r="AI1828" t="str">
            <v>NA</v>
          </cell>
          <cell r="AJ1828" t="str">
            <v>Proposed for V3 P2.23</v>
          </cell>
          <cell r="AK1828" t="str">
            <v>PIC: Hidayah, Asset Donation.</v>
          </cell>
        </row>
        <row r="1829">
          <cell r="A1829" t="str">
            <v>IKN402170</v>
          </cell>
          <cell r="B1829">
            <v>1825</v>
          </cell>
          <cell r="C1829" t="str">
            <v>Institut Kanser Negara</v>
          </cell>
          <cell r="D1829" t="str">
            <v>KKM/IKN/H/23/22</v>
          </cell>
          <cell r="E1829" t="str">
            <v>17-211</v>
          </cell>
          <cell r="F1829" t="str">
            <v>Radiation Survey Meters, Geiger-Muller</v>
          </cell>
          <cell r="G1829" t="str">
            <v>NM</v>
          </cell>
          <cell r="H1829" t="str">
            <v>NUCLEAR MED (DIAGNOSTIC)</v>
          </cell>
          <cell r="I1829" t="str">
            <v>03NM153</v>
          </cell>
          <cell r="J1829" t="str">
            <v>PHYSICS LAB</v>
          </cell>
          <cell r="K1829" t="str">
            <v>BMED</v>
          </cell>
          <cell r="L1829" t="str">
            <v>Normal</v>
          </cell>
          <cell r="N1829" t="str">
            <v>Thermo Scientific</v>
          </cell>
          <cell r="O1829" t="str">
            <v>RADEYE B20 ER Survey Meter</v>
          </cell>
          <cell r="P1829">
            <v>35458</v>
          </cell>
          <cell r="Q1829" t="str">
            <v>Not Applicable</v>
          </cell>
          <cell r="R1829" t="str">
            <v>Thermo Fisher Scientific</v>
          </cell>
          <cell r="S1829" t="str">
            <v>Intech Scientific Sdn Bhd</v>
          </cell>
          <cell r="T1829" t="str">
            <v>Functioning</v>
          </cell>
          <cell r="U1829" t="str">
            <v>Asset</v>
          </cell>
          <cell r="V1829">
            <v>8412.09</v>
          </cell>
          <cell r="W1829" t="str">
            <v>KEW</v>
          </cell>
          <cell r="X1829">
            <v>45124</v>
          </cell>
          <cell r="Y1829" t="str">
            <v>KEW</v>
          </cell>
          <cell r="Z1829">
            <v>45124</v>
          </cell>
          <cell r="AA1829">
            <v>45490</v>
          </cell>
          <cell r="AB1829" t="str">
            <v>No</v>
          </cell>
          <cell r="AC1829">
            <v>45124</v>
          </cell>
          <cell r="AD1829" t="str">
            <v>Good</v>
          </cell>
          <cell r="AE1829" t="str">
            <v>V3 - Added Installed Facilities (New)</v>
          </cell>
          <cell r="AG1829" t="str">
            <v>NA</v>
          </cell>
          <cell r="AH1829" t="str">
            <v>PPM</v>
          </cell>
          <cell r="AI1829" t="str">
            <v>NA</v>
          </cell>
          <cell r="AJ1829" t="str">
            <v>Proposed for V3 P2.23</v>
          </cell>
          <cell r="AK1829" t="str">
            <v>PIC: Hidayah, Asset Donation.</v>
          </cell>
        </row>
        <row r="1830">
          <cell r="A1830" t="str">
            <v>IKN402171</v>
          </cell>
          <cell r="B1830">
            <v>1825</v>
          </cell>
          <cell r="C1830" t="str">
            <v>Institut Kanser Negara</v>
          </cell>
          <cell r="D1830" t="str">
            <v>KKM/IKN/H/23/67</v>
          </cell>
          <cell r="E1830" t="str">
            <v>17-440</v>
          </cell>
          <cell r="F1830" t="str">
            <v>Microscope / Inverted Phase Microscope</v>
          </cell>
          <cell r="G1830" t="str">
            <v>LA</v>
          </cell>
          <cell r="H1830" t="str">
            <v>PATHOLOGY</v>
          </cell>
          <cell r="I1830" t="str">
            <v>04LA127</v>
          </cell>
          <cell r="J1830" t="str">
            <v>PATHOLOGY</v>
          </cell>
          <cell r="K1830" t="str">
            <v>BMED</v>
          </cell>
          <cell r="L1830" t="str">
            <v>NORMAL</v>
          </cell>
          <cell r="M1830" t="str">
            <v>JAPAN</v>
          </cell>
          <cell r="N1830" t="str">
            <v>OLYMPUS</v>
          </cell>
          <cell r="O1830" t="str">
            <v>CK X31SF</v>
          </cell>
          <cell r="P1830" t="str">
            <v>2K65163</v>
          </cell>
          <cell r="R1830" t="str">
            <v>EVIDENT CORPORATION NAGARA</v>
          </cell>
          <cell r="S1830" t="str">
            <v>Matrix Optics (M) Sdn Bhd</v>
          </cell>
          <cell r="T1830" t="str">
            <v>Functioning</v>
          </cell>
          <cell r="U1830" t="str">
            <v>Asset</v>
          </cell>
          <cell r="V1830">
            <v>15864</v>
          </cell>
          <cell r="W1830" t="str">
            <v>KEW</v>
          </cell>
          <cell r="X1830">
            <v>41375</v>
          </cell>
          <cell r="Y1830" t="str">
            <v>KEW</v>
          </cell>
          <cell r="Z1830" t="str">
            <v>NA</v>
          </cell>
          <cell r="AA1830" t="str">
            <v>NA</v>
          </cell>
          <cell r="AB1830" t="str">
            <v>NO</v>
          </cell>
          <cell r="AC1830">
            <v>45027</v>
          </cell>
          <cell r="AD1830" t="str">
            <v>GOOD</v>
          </cell>
          <cell r="AE1830" t="str">
            <v>V3 - Added Installed Facilities (New)</v>
          </cell>
          <cell r="AF1830">
            <v>45370</v>
          </cell>
          <cell r="AG1830" t="str">
            <v>NA</v>
          </cell>
          <cell r="AH1830" t="str">
            <v>PPM</v>
          </cell>
          <cell r="AI1830" t="str">
            <v>NA</v>
          </cell>
          <cell r="AJ1830" t="str">
            <v>Proposed for V3 P1.24</v>
          </cell>
          <cell r="AK1830" t="str">
            <v>ASSET TRANSFER FROM HOSPITAL TUNKU AZIZAH</v>
          </cell>
        </row>
        <row r="1831">
          <cell r="A1831" t="str">
            <v>IKN402172</v>
          </cell>
          <cell r="B1831">
            <v>1825</v>
          </cell>
          <cell r="C1831" t="str">
            <v>TnC Asset Donation Radiology Faezah &amp; Indira 16/5/2024</v>
          </cell>
          <cell r="D1831" t="str">
            <v>KKM/IKN/H/24/10
KKM/BKRP09/H19/6</v>
          </cell>
          <cell r="E1831" t="str">
            <v>15-129</v>
          </cell>
          <cell r="F1831" t="str">
            <v>Densitometers</v>
          </cell>
          <cell r="G1831" t="str">
            <v>ID</v>
          </cell>
          <cell r="H1831" t="str">
            <v>IMAGING DEPARTMENT</v>
          </cell>
          <cell r="I1831" t="str">
            <v>03ID169</v>
          </cell>
          <cell r="J1831" t="str">
            <v>RADIOGRAPHER</v>
          </cell>
          <cell r="K1831" t="str">
            <v>BMED</v>
          </cell>
          <cell r="L1831" t="str">
            <v>Normal</v>
          </cell>
          <cell r="M1831" t="str">
            <v>NA</v>
          </cell>
          <cell r="N1831" t="str">
            <v>IBA Dosimetry</v>
          </cell>
          <cell r="O1831" t="str">
            <v>Unilight D</v>
          </cell>
          <cell r="P1831" t="str">
            <v>N6960</v>
          </cell>
          <cell r="Q1831" t="str">
            <v>Not Applicable</v>
          </cell>
          <cell r="R1831" t="str">
            <v>IBA</v>
          </cell>
          <cell r="S1831" t="str">
            <v>NA</v>
          </cell>
          <cell r="T1831" t="str">
            <v>Functioning</v>
          </cell>
          <cell r="U1831" t="str">
            <v>Asset</v>
          </cell>
          <cell r="V1831">
            <v>3432.12</v>
          </cell>
          <cell r="W1831" t="str">
            <v>KEW</v>
          </cell>
          <cell r="X1831">
            <v>43347</v>
          </cell>
          <cell r="Y1831" t="str">
            <v>KEW</v>
          </cell>
          <cell r="Z1831" t="str">
            <v>NA</v>
          </cell>
          <cell r="AA1831" t="str">
            <v>NA</v>
          </cell>
          <cell r="AB1831" t="str">
            <v>No</v>
          </cell>
          <cell r="AC1831">
            <v>45428</v>
          </cell>
          <cell r="AD1831" t="str">
            <v>Good</v>
          </cell>
          <cell r="AE1831" t="str">
            <v>V3 - Added Installed Facilities (New)</v>
          </cell>
          <cell r="AF1831">
            <v>45449</v>
          </cell>
          <cell r="AG1831" t="str">
            <v>NA</v>
          </cell>
          <cell r="AH1831" t="str">
            <v>PPM</v>
          </cell>
          <cell r="AI1831" t="str">
            <v>NA</v>
          </cell>
          <cell r="AJ1831" t="str">
            <v>Proposed for V3 P1.24</v>
          </cell>
          <cell r="AK1831" t="str">
            <v>From BKRP. Accessories: Adaptor; DC: 9.0V, 500mA. Calibration to ANM.</v>
          </cell>
        </row>
        <row r="1832">
          <cell r="A1832" t="str">
            <v>IKN402173</v>
          </cell>
          <cell r="B1832">
            <v>1825</v>
          </cell>
          <cell r="C1832" t="str">
            <v>TnC Asset Donation Radiology Faezah &amp; Indira 16/5/2024</v>
          </cell>
          <cell r="D1832" t="str">
            <v>KKM/BKRP09/H19/7
KKM/IKN/H/24/9</v>
          </cell>
          <cell r="E1832" t="str">
            <v>16-563</v>
          </cell>
          <cell r="F1832" t="str">
            <v>Sensitometer, Radiographic</v>
          </cell>
          <cell r="G1832" t="str">
            <v>ID</v>
          </cell>
          <cell r="H1832" t="str">
            <v>IMAGING DEPARTMENT</v>
          </cell>
          <cell r="I1832" t="str">
            <v>03ID169</v>
          </cell>
          <cell r="J1832" t="str">
            <v>RADIOGRAPHER</v>
          </cell>
          <cell r="K1832" t="str">
            <v>BMED</v>
          </cell>
          <cell r="L1832" t="str">
            <v>Normal</v>
          </cell>
          <cell r="M1832" t="str">
            <v>Germany/Poland</v>
          </cell>
          <cell r="N1832" t="str">
            <v>IBA Dosimetry</v>
          </cell>
          <cell r="O1832" t="str">
            <v>Unilight S</v>
          </cell>
          <cell r="P1832">
            <v>5882</v>
          </cell>
          <cell r="Q1832" t="str">
            <v>Not Applicable</v>
          </cell>
          <cell r="R1832" t="str">
            <v>IBA</v>
          </cell>
          <cell r="S1832" t="str">
            <v>NA</v>
          </cell>
          <cell r="T1832" t="str">
            <v>Functioning</v>
          </cell>
          <cell r="U1832" t="str">
            <v>Asset</v>
          </cell>
          <cell r="V1832">
            <v>3177.65</v>
          </cell>
          <cell r="W1832" t="str">
            <v>KEW</v>
          </cell>
          <cell r="X1832">
            <v>43347</v>
          </cell>
          <cell r="Y1832" t="str">
            <v>KEW</v>
          </cell>
          <cell r="Z1832" t="str">
            <v>NA</v>
          </cell>
          <cell r="AA1832" t="str">
            <v>NA</v>
          </cell>
          <cell r="AB1832" t="str">
            <v>No</v>
          </cell>
          <cell r="AC1832">
            <v>45428</v>
          </cell>
          <cell r="AD1832" t="str">
            <v>Good</v>
          </cell>
          <cell r="AE1832" t="str">
            <v>V3 - Added Installed Facilities (New)</v>
          </cell>
          <cell r="AF1832">
            <v>45449</v>
          </cell>
          <cell r="AG1832" t="str">
            <v>NA</v>
          </cell>
          <cell r="AH1832" t="str">
            <v>PPM</v>
          </cell>
          <cell r="AI1832" t="str">
            <v>NA</v>
          </cell>
          <cell r="AJ1832" t="str">
            <v>Proposed for V3 P1.24</v>
          </cell>
          <cell r="AK1832" t="str">
            <v>From BKRP. Accessories: Adaptor; DC: 9.6V, 500mA. Battery: ENERGIZER 9V.</v>
          </cell>
        </row>
        <row r="1833">
          <cell r="A1833" t="str">
            <v>IKN402174</v>
          </cell>
          <cell r="B1833">
            <v>1825</v>
          </cell>
          <cell r="C1833" t="str">
            <v>TnC Asset Donation Radiology Faezah &amp; Indira 16/5/2024</v>
          </cell>
          <cell r="D1833" t="str">
            <v>KKM/IKN/H/24/8
KKM/BKRP09/H19/8</v>
          </cell>
          <cell r="E1833" t="str">
            <v>15-605</v>
          </cell>
          <cell r="F1833" t="str">
            <v>Testers (LX Can Luminance Meter)</v>
          </cell>
          <cell r="G1833" t="str">
            <v>ID</v>
          </cell>
          <cell r="H1833" t="str">
            <v>IMAGING DEPARTMENT</v>
          </cell>
          <cell r="I1833" t="str">
            <v>03ID169</v>
          </cell>
          <cell r="J1833" t="str">
            <v>RADIOGRAPHER</v>
          </cell>
          <cell r="K1833" t="str">
            <v>BMED</v>
          </cell>
          <cell r="L1833" t="str">
            <v>Normal</v>
          </cell>
          <cell r="M1833" t="str">
            <v>Germany/Poland</v>
          </cell>
          <cell r="N1833" t="str">
            <v>IBA Dosimetry</v>
          </cell>
          <cell r="O1833" t="str">
            <v>LXCAN</v>
          </cell>
          <cell r="P1833">
            <v>39639</v>
          </cell>
          <cell r="Q1833" t="str">
            <v>Not Applicable</v>
          </cell>
          <cell r="R1833" t="str">
            <v>IBA</v>
          </cell>
          <cell r="S1833" t="str">
            <v>NA</v>
          </cell>
          <cell r="T1833" t="str">
            <v>Functioning</v>
          </cell>
          <cell r="U1833" t="str">
            <v>Asset</v>
          </cell>
          <cell r="V1833">
            <v>8295.6</v>
          </cell>
          <cell r="W1833" t="str">
            <v>KEW</v>
          </cell>
          <cell r="X1833">
            <v>43347</v>
          </cell>
          <cell r="Y1833" t="str">
            <v>KEW</v>
          </cell>
          <cell r="Z1833" t="str">
            <v>NA</v>
          </cell>
          <cell r="AA1833" t="str">
            <v>NA</v>
          </cell>
          <cell r="AB1833" t="str">
            <v>No</v>
          </cell>
          <cell r="AC1833">
            <v>45428</v>
          </cell>
          <cell r="AD1833" t="str">
            <v>Good</v>
          </cell>
          <cell r="AE1833" t="str">
            <v>V3 - Added Installed Facilities (New)</v>
          </cell>
          <cell r="AF1833">
            <v>45449</v>
          </cell>
          <cell r="AG1833" t="str">
            <v>NA</v>
          </cell>
          <cell r="AH1833" t="str">
            <v>PPM</v>
          </cell>
          <cell r="AI1833" t="str">
            <v>NA</v>
          </cell>
          <cell r="AJ1833" t="str">
            <v>Proposed for V3 P1.24</v>
          </cell>
          <cell r="AK1833" t="str">
            <v>From BKRP. Accessories: USB Cable, Illuminance Detector LXLS [SN;37874], Power Supply with 4 Adapters, Mask cover, Carrying case. Calibration to Delta Analyst (Shim).</v>
          </cell>
        </row>
        <row r="1834">
          <cell r="A1834" t="str">
            <v>IKN402175</v>
          </cell>
          <cell r="B1834">
            <v>1825</v>
          </cell>
          <cell r="C1834" t="str">
            <v>TnC Asset Donation Radiology Faezah &amp; Indira 16/5/2024</v>
          </cell>
          <cell r="D1834" t="str">
            <v>KKM/IKN/H/24/1
KKM/BKRP09/H/19/11</v>
          </cell>
          <cell r="E1834" t="str">
            <v>12-660</v>
          </cell>
          <cell r="F1834" t="str">
            <v>Radiation Monitors</v>
          </cell>
          <cell r="G1834" t="str">
            <v>ID</v>
          </cell>
          <cell r="H1834" t="str">
            <v>IMAGING DEPARTMENT</v>
          </cell>
          <cell r="I1834" t="str">
            <v>03ID169</v>
          </cell>
          <cell r="J1834" t="str">
            <v>RADIOGRAPHER</v>
          </cell>
          <cell r="K1834" t="str">
            <v>BMED</v>
          </cell>
          <cell r="L1834" t="str">
            <v>Normal</v>
          </cell>
          <cell r="M1834" t="str">
            <v>Germany/Poland</v>
          </cell>
          <cell r="N1834" t="str">
            <v>IBA Dosimetry</v>
          </cell>
          <cell r="O1834" t="str">
            <v>120-TINO DDP</v>
          </cell>
          <cell r="P1834" t="str">
            <v>01E01683</v>
          </cell>
          <cell r="Q1834" t="str">
            <v>Not Applicable</v>
          </cell>
          <cell r="R1834" t="str">
            <v>IBA</v>
          </cell>
          <cell r="S1834" t="str">
            <v>NA</v>
          </cell>
          <cell r="T1834" t="str">
            <v>Functioning</v>
          </cell>
          <cell r="U1834" t="str">
            <v>Asset</v>
          </cell>
          <cell r="V1834">
            <v>8906.27</v>
          </cell>
          <cell r="W1834" t="str">
            <v>KEW</v>
          </cell>
          <cell r="X1834">
            <v>43347</v>
          </cell>
          <cell r="Y1834" t="str">
            <v>KEW</v>
          </cell>
          <cell r="Z1834" t="str">
            <v>NA</v>
          </cell>
          <cell r="AA1834" t="str">
            <v>NA</v>
          </cell>
          <cell r="AB1834" t="str">
            <v>No</v>
          </cell>
          <cell r="AC1834">
            <v>45428</v>
          </cell>
          <cell r="AD1834" t="str">
            <v>Good</v>
          </cell>
          <cell r="AE1834" t="str">
            <v>V3 - Added Installed Facilities (New)</v>
          </cell>
          <cell r="AF1834">
            <v>45449</v>
          </cell>
          <cell r="AG1834" t="str">
            <v>NA</v>
          </cell>
          <cell r="AH1834" t="str">
            <v>PPM</v>
          </cell>
          <cell r="AI1834" t="str">
            <v>NA</v>
          </cell>
          <cell r="AJ1834" t="str">
            <v>Proposed for V3 P1.24</v>
          </cell>
          <cell r="AK1834" t="str">
            <v>From BKRP. Accessories: Collimator Stand, Alignment tool, Network cable, Printer cable network, switching power supply, Detector (KIV)</v>
          </cell>
        </row>
        <row r="1835">
          <cell r="A1835" t="str">
            <v>IKN402176</v>
          </cell>
          <cell r="B1835">
            <v>1825</v>
          </cell>
          <cell r="C1835" t="str">
            <v>TnC Asset Donation Radiology Faezah &amp; Indira 16/5/2024</v>
          </cell>
          <cell r="D1835" t="str">
            <v>KKM/IKN/H/24/5
KKM/BKRP09/H19/13 &amp; KKM/BKRP09/H19/14
KKM/IKN/H/24/5</v>
          </cell>
          <cell r="E1835" t="str">
            <v>15-605</v>
          </cell>
          <cell r="F1835" t="str">
            <v>Testers</v>
          </cell>
          <cell r="G1835" t="str">
            <v>ID</v>
          </cell>
          <cell r="H1835" t="str">
            <v>IMAGING DEPARTMENT</v>
          </cell>
          <cell r="I1835" t="str">
            <v>03ID169</v>
          </cell>
          <cell r="J1835" t="str">
            <v>RADIOGRAPHER</v>
          </cell>
          <cell r="K1835" t="str">
            <v>BMED</v>
          </cell>
          <cell r="L1835" t="str">
            <v>Normal</v>
          </cell>
          <cell r="M1835" t="str">
            <v>Germany/Poland</v>
          </cell>
          <cell r="N1835" t="str">
            <v>IBA Densitometry</v>
          </cell>
          <cell r="O1835" t="str">
            <v>MAGICMAX UNIVERSAL</v>
          </cell>
          <cell r="P1835" t="str">
            <v>G18-0608</v>
          </cell>
          <cell r="Q1835" t="str">
            <v>Not Applicable</v>
          </cell>
          <cell r="R1835" t="str">
            <v>IBA</v>
          </cell>
          <cell r="S1835" t="str">
            <v>NA</v>
          </cell>
          <cell r="T1835" t="str">
            <v>Functioning</v>
          </cell>
          <cell r="U1835" t="str">
            <v>Asset</v>
          </cell>
          <cell r="V1835">
            <v>29164.880000000001</v>
          </cell>
          <cell r="W1835" t="str">
            <v>KEW</v>
          </cell>
          <cell r="X1835">
            <v>43347</v>
          </cell>
          <cell r="Y1835" t="str">
            <v>KEW</v>
          </cell>
          <cell r="Z1835" t="str">
            <v>NA</v>
          </cell>
          <cell r="AA1835" t="str">
            <v>NA</v>
          </cell>
          <cell r="AB1835" t="str">
            <v>No</v>
          </cell>
          <cell r="AC1835">
            <v>45428</v>
          </cell>
          <cell r="AD1835" t="str">
            <v>Good</v>
          </cell>
          <cell r="AE1835" t="str">
            <v>V3 - Added Installed Facilities (New)</v>
          </cell>
          <cell r="AF1835">
            <v>45449</v>
          </cell>
          <cell r="AG1835" t="str">
            <v>NA</v>
          </cell>
          <cell r="AH1835" t="str">
            <v>PPM</v>
          </cell>
          <cell r="AI1835" t="str">
            <v>NA</v>
          </cell>
          <cell r="AJ1835" t="str">
            <v>Proposed for V3 P1.24</v>
          </cell>
          <cell r="AK1835" t="str">
            <v>From BKRP. Accessories: XR Detector, XM Detector, CT Pencil Dosimeter/Ionisation Chamber, USB Adapter, Pendrive, Microsoft Surface (Laptop). Calibration to ANM &amp; VNA Engineering.</v>
          </cell>
        </row>
        <row r="1836">
          <cell r="A1836" t="str">
            <v>IKN402177</v>
          </cell>
          <cell r="B1836">
            <v>1825</v>
          </cell>
          <cell r="C1836" t="str">
            <v>TnC Asset Donation Radiology Faezah &amp; Indira 16/5/2024</v>
          </cell>
          <cell r="D1836" t="str">
            <v>KKM/IKN/H/24/3
KKM/BKRP09/H19/15 
KKM/IKN/H/24/3</v>
          </cell>
          <cell r="E1836" t="str">
            <v>17-212</v>
          </cell>
          <cell r="F1836" t="str">
            <v>Radiation Survey Meters, Ionization Chamber</v>
          </cell>
          <cell r="G1836" t="str">
            <v>ID</v>
          </cell>
          <cell r="H1836" t="str">
            <v>IMAGING DEPARTMENT</v>
          </cell>
          <cell r="I1836" t="str">
            <v>03ID169</v>
          </cell>
          <cell r="J1836" t="str">
            <v>RADIOGRAPHER</v>
          </cell>
          <cell r="K1836" t="str">
            <v>BMED</v>
          </cell>
          <cell r="L1836" t="str">
            <v>Normal</v>
          </cell>
          <cell r="M1836" t="str">
            <v>Germany/Poland</v>
          </cell>
          <cell r="N1836" t="str">
            <v>STEP</v>
          </cell>
          <cell r="O1836" t="str">
            <v>OD-02</v>
          </cell>
          <cell r="P1836" t="str">
            <v>OD-021-81615</v>
          </cell>
          <cell r="Q1836" t="str">
            <v>Not Applicable</v>
          </cell>
          <cell r="R1836" t="str">
            <v>STEP</v>
          </cell>
          <cell r="S1836" t="str">
            <v>NA</v>
          </cell>
          <cell r="T1836" t="str">
            <v>Functioning</v>
          </cell>
          <cell r="U1836" t="str">
            <v>Asset</v>
          </cell>
          <cell r="V1836">
            <v>26699.73</v>
          </cell>
          <cell r="W1836" t="str">
            <v>KEW</v>
          </cell>
          <cell r="X1836">
            <v>43347</v>
          </cell>
          <cell r="Y1836" t="str">
            <v>KEW</v>
          </cell>
          <cell r="Z1836" t="str">
            <v>NA</v>
          </cell>
          <cell r="AA1836" t="str">
            <v>NA</v>
          </cell>
          <cell r="AB1836" t="str">
            <v>No</v>
          </cell>
          <cell r="AC1836">
            <v>45428</v>
          </cell>
          <cell r="AD1836" t="str">
            <v>Good</v>
          </cell>
          <cell r="AE1836" t="str">
            <v>V3 - Added Installed Facilities (New)</v>
          </cell>
          <cell r="AF1836">
            <v>45449</v>
          </cell>
          <cell r="AG1836" t="str">
            <v>NA</v>
          </cell>
          <cell r="AH1836" t="str">
            <v>PPM</v>
          </cell>
          <cell r="AI1836" t="str">
            <v>NA</v>
          </cell>
          <cell r="AJ1836" t="str">
            <v>Proposed for V3 P1.24</v>
          </cell>
          <cell r="AK1836" t="str">
            <v>From BKRP. Accessories: Detector Probe, Stand, Battery 1.5V AAA.</v>
          </cell>
        </row>
        <row r="1837">
          <cell r="A1837" t="str">
            <v>IKN402178</v>
          </cell>
          <cell r="B1837">
            <v>1825</v>
          </cell>
          <cell r="C1837" t="str">
            <v>Air Samplers PET CT TnC 2023</v>
          </cell>
          <cell r="D1837" t="str">
            <v>KKM/IKN/H/23/14</v>
          </cell>
          <cell r="E1837" t="str">
            <v>10-051</v>
          </cell>
          <cell r="F1837" t="str">
            <v>Air Samplers</v>
          </cell>
          <cell r="G1837" t="str">
            <v>NM</v>
          </cell>
          <cell r="H1837" t="str">
            <v>NUCLEAR MED (DIAGNOSTIC)</v>
          </cell>
          <cell r="I1837" t="str">
            <v>PET CT</v>
          </cell>
          <cell r="J1837" t="str">
            <v>PET CT, HPJ</v>
          </cell>
          <cell r="K1837" t="str">
            <v>BMED</v>
          </cell>
          <cell r="L1837" t="str">
            <v>Normal</v>
          </cell>
          <cell r="N1837" t="str">
            <v>MAS</v>
          </cell>
          <cell r="O1837" t="str">
            <v>MAS-100 NT</v>
          </cell>
          <cell r="P1837">
            <v>124071</v>
          </cell>
          <cell r="Q1837" t="str">
            <v>Not Applicable</v>
          </cell>
          <cell r="R1837" t="str">
            <v>MERCK KGAA</v>
          </cell>
          <cell r="S1837" t="str">
            <v>MERCK SDN BHD</v>
          </cell>
          <cell r="T1837" t="str">
            <v>Functioning</v>
          </cell>
          <cell r="U1837" t="str">
            <v>Asset</v>
          </cell>
          <cell r="V1837">
            <v>52568.56</v>
          </cell>
          <cell r="W1837" t="str">
            <v>KEW</v>
          </cell>
          <cell r="X1837">
            <v>44984</v>
          </cell>
          <cell r="Y1837" t="str">
            <v>KEW</v>
          </cell>
          <cell r="Z1837">
            <v>44984</v>
          </cell>
          <cell r="AA1837">
            <v>45348</v>
          </cell>
          <cell r="AB1837" t="str">
            <v>No</v>
          </cell>
          <cell r="AC1837">
            <v>44984</v>
          </cell>
          <cell r="AD1837" t="str">
            <v>Good</v>
          </cell>
          <cell r="AE1837" t="str">
            <v>V3 - Added Installed Facilities (New)</v>
          </cell>
          <cell r="AF1837">
            <v>45222</v>
          </cell>
          <cell r="AG1837" t="str">
            <v>NA</v>
          </cell>
          <cell r="AH1837" t="str">
            <v>PPM</v>
          </cell>
          <cell r="AI1837" t="str">
            <v>NA</v>
          </cell>
          <cell r="AJ1837" t="str">
            <v>Proposed for V3 P2.23</v>
          </cell>
          <cell r="AK1837" t="str">
            <v>Power Cord</v>
          </cell>
        </row>
        <row r="1838">
          <cell r="A1838" t="str">
            <v>IKN402179</v>
          </cell>
          <cell r="B1838">
            <v>1825</v>
          </cell>
          <cell r="C1838" t="str">
            <v>Institut Kanser Negara</v>
          </cell>
          <cell r="D1838" t="str">
            <v>KKM/IKN/H/24/33</v>
          </cell>
          <cell r="E1838" t="str">
            <v>20-161</v>
          </cell>
          <cell r="F1838" t="str">
            <v>Scanning Systems, Computed Tomography/ Positron Emission Tomography</v>
          </cell>
          <cell r="G1838" t="str">
            <v>NM</v>
          </cell>
          <cell r="H1838" t="str">
            <v>NUCLEAR MED (DIAGNOSTIC)</v>
          </cell>
          <cell r="I1838" t="str">
            <v>03NM161</v>
          </cell>
          <cell r="J1838" t="str">
            <v>BILIK SPECT-CT</v>
          </cell>
          <cell r="K1838" t="str">
            <v>BMED</v>
          </cell>
          <cell r="L1838" t="str">
            <v>Normal</v>
          </cell>
          <cell r="M1838" t="str">
            <v>CHINA</v>
          </cell>
          <cell r="N1838" t="str">
            <v>GE HEALTHCARE</v>
          </cell>
          <cell r="O1838" t="str">
            <v>NM/CT870DR</v>
          </cell>
          <cell r="P1838" t="str">
            <v>237855HL2</v>
          </cell>
          <cell r="R1838" t="str">
            <v>GE HEALTHCARE</v>
          </cell>
          <cell r="S1838" t="str">
            <v>GE HEALTHCARE SDN BHD</v>
          </cell>
          <cell r="T1838" t="str">
            <v>Functioning</v>
          </cell>
          <cell r="U1838" t="str">
            <v>Asset</v>
          </cell>
          <cell r="V1838">
            <v>3410390</v>
          </cell>
          <cell r="W1838" t="str">
            <v>KEW</v>
          </cell>
          <cell r="X1838">
            <v>45120</v>
          </cell>
          <cell r="Y1838" t="str">
            <v>KEW</v>
          </cell>
          <cell r="Z1838">
            <v>45315</v>
          </cell>
          <cell r="AA1838">
            <v>45681</v>
          </cell>
          <cell r="AB1838" t="str">
            <v>YES</v>
          </cell>
          <cell r="AC1838">
            <v>45315</v>
          </cell>
          <cell r="AD1838" t="str">
            <v>Good</v>
          </cell>
          <cell r="AE1838" t="str">
            <v>V3 - Added Installed Facilities (New)</v>
          </cell>
          <cell r="AF1838">
            <v>45508</v>
          </cell>
          <cell r="AJ1838" t="str">
            <v>Strands V3 P2.24</v>
          </cell>
        </row>
        <row r="1839">
          <cell r="A1839" t="str">
            <v>IKN402180</v>
          </cell>
          <cell r="B1839">
            <v>1826</v>
          </cell>
          <cell r="C1839" t="str">
            <v>Institut Kanser Negara</v>
          </cell>
          <cell r="D1839" t="str">
            <v>KKM/IKN/H/24/32</v>
          </cell>
          <cell r="E1839" t="str">
            <v>20-161</v>
          </cell>
          <cell r="F1839" t="str">
            <v>Scanning Systems, Computed Tomography/ Positron Emission Tomography</v>
          </cell>
          <cell r="G1839" t="str">
            <v>NM</v>
          </cell>
          <cell r="H1839" t="str">
            <v>NUCLEAR MED (DIAGNOSTIC)</v>
          </cell>
          <cell r="I1839" t="str">
            <v>03NM158</v>
          </cell>
          <cell r="J1839" t="str">
            <v>BILIK SPECT-CT</v>
          </cell>
          <cell r="K1839" t="str">
            <v>BMED</v>
          </cell>
          <cell r="L1839" t="str">
            <v>Normal</v>
          </cell>
          <cell r="M1839" t="str">
            <v>CHINA</v>
          </cell>
          <cell r="N1839" t="str">
            <v>GE HEALTHCARE</v>
          </cell>
          <cell r="O1839" t="str">
            <v>NM/CT870DR</v>
          </cell>
          <cell r="P1839" t="str">
            <v>238155HL6</v>
          </cell>
          <cell r="R1839" t="str">
            <v>GE HEALTHCARE</v>
          </cell>
          <cell r="S1839" t="str">
            <v>GE HEALTHCARE SDN BHD</v>
          </cell>
          <cell r="T1839" t="str">
            <v>Functioning</v>
          </cell>
          <cell r="U1839" t="str">
            <v>Asset</v>
          </cell>
          <cell r="V1839">
            <v>3413750</v>
          </cell>
          <cell r="W1839" t="str">
            <v>KEW</v>
          </cell>
          <cell r="X1839">
            <v>45120</v>
          </cell>
          <cell r="Y1839" t="str">
            <v>KEW</v>
          </cell>
          <cell r="Z1839">
            <v>45315</v>
          </cell>
          <cell r="AA1839">
            <v>45681</v>
          </cell>
          <cell r="AB1839" t="str">
            <v>YES</v>
          </cell>
          <cell r="AC1839">
            <v>45315</v>
          </cell>
          <cell r="AD1839" t="str">
            <v>Good</v>
          </cell>
          <cell r="AE1839" t="str">
            <v>V3 - Added Installed Facilities (New)</v>
          </cell>
          <cell r="AF1839">
            <v>45508</v>
          </cell>
          <cell r="AJ1839" t="str">
            <v>Strands V3 P2.24</v>
          </cell>
        </row>
        <row r="1840">
          <cell r="A1840" t="str">
            <v>IKN402183</v>
          </cell>
          <cell r="B1840">
            <v>1829</v>
          </cell>
          <cell r="C1840" t="str">
            <v>Institut Kanser Negara</v>
          </cell>
          <cell r="D1840" t="str">
            <v>KKM/IKN/H/24/32-28</v>
          </cell>
          <cell r="F1840" t="str">
            <v>Physiologic Monitoring Systems, Acute Care</v>
          </cell>
          <cell r="G1840" t="str">
            <v>NM</v>
          </cell>
          <cell r="H1840" t="str">
            <v>NUCLEAR MED (DIAGNOSTIC)</v>
          </cell>
          <cell r="I1840" t="str">
            <v>03NM158</v>
          </cell>
          <cell r="J1840" t="str">
            <v>BILIK SPECT-CT</v>
          </cell>
          <cell r="K1840" t="str">
            <v>BMED</v>
          </cell>
          <cell r="L1840" t="str">
            <v>Normal</v>
          </cell>
          <cell r="M1840" t="str">
            <v>CHINA</v>
          </cell>
          <cell r="N1840" t="str">
            <v>GE HEALTHCARE</v>
          </cell>
          <cell r="O1840" t="str">
            <v>IVY CARDIAC TRIGGER MONITOR 7600</v>
          </cell>
          <cell r="P1840">
            <v>23091071</v>
          </cell>
          <cell r="R1840" t="str">
            <v>GE HEALTHCARE SDN BHD</v>
          </cell>
          <cell r="S1840" t="str">
            <v>TRUST ELECTRONIC ENGINEERING</v>
          </cell>
          <cell r="T1840" t="str">
            <v>Functioning</v>
          </cell>
          <cell r="U1840" t="str">
            <v>ASSET</v>
          </cell>
          <cell r="V1840" t="str">
            <v>RM100,00.00</v>
          </cell>
          <cell r="W1840" t="str">
            <v>KEW</v>
          </cell>
          <cell r="X1840">
            <v>45486</v>
          </cell>
          <cell r="Y1840" t="str">
            <v>KEW</v>
          </cell>
          <cell r="Z1840">
            <v>45579</v>
          </cell>
          <cell r="AA1840">
            <v>45681</v>
          </cell>
          <cell r="AB1840" t="str">
            <v>YES</v>
          </cell>
          <cell r="AC1840">
            <v>45315</v>
          </cell>
          <cell r="AD1840" t="str">
            <v>Good</v>
          </cell>
          <cell r="AE1840" t="str">
            <v>V3 - Added Installed Facilities (New)</v>
          </cell>
          <cell r="AF1840">
            <v>45579</v>
          </cell>
          <cell r="AG1840" t="str">
            <v>NA</v>
          </cell>
          <cell r="AH1840" t="str">
            <v>PPM</v>
          </cell>
          <cell r="AI1840" t="str">
            <v>NA</v>
          </cell>
          <cell r="AJ1840" t="str">
            <v>Strands V3 P2.24</v>
          </cell>
        </row>
        <row r="1841">
          <cell r="A1841" t="str">
            <v>IKN402184</v>
          </cell>
          <cell r="B1841">
            <v>1830</v>
          </cell>
          <cell r="C1841" t="str">
            <v>Institut Kanser Negara</v>
          </cell>
          <cell r="D1841" t="str">
            <v>KKM/IKN/H/24/32-29</v>
          </cell>
          <cell r="F1841" t="str">
            <v>Physiologic Monitoring Systems, Acute Care</v>
          </cell>
          <cell r="G1841" t="str">
            <v>NM</v>
          </cell>
          <cell r="H1841" t="str">
            <v>NUCLEAR MED (DIAGNOSTIC)</v>
          </cell>
          <cell r="I1841" t="str">
            <v>03NM162</v>
          </cell>
          <cell r="J1841" t="str">
            <v>BILIK SPECT-CT</v>
          </cell>
          <cell r="K1841" t="str">
            <v>BMED</v>
          </cell>
          <cell r="L1841" t="str">
            <v>Normal</v>
          </cell>
          <cell r="M1841" t="str">
            <v>CHINA</v>
          </cell>
          <cell r="N1841" t="str">
            <v>GE HEALTHCARE</v>
          </cell>
          <cell r="O1841" t="str">
            <v>IVY CARDIAC TRIGGER MONITOR 7601</v>
          </cell>
          <cell r="P1841">
            <v>23070049</v>
          </cell>
          <cell r="R1841" t="str">
            <v>GE HEALTHCARE SDN BHD</v>
          </cell>
          <cell r="S1841" t="str">
            <v>TRUST ELECTRONIC ENGINEERING</v>
          </cell>
          <cell r="T1841" t="str">
            <v>Functioning</v>
          </cell>
          <cell r="U1841" t="str">
            <v>ASSET</v>
          </cell>
          <cell r="V1841" t="str">
            <v>RM100,00.00</v>
          </cell>
          <cell r="W1841" t="str">
            <v>KEW</v>
          </cell>
          <cell r="X1841">
            <v>45120</v>
          </cell>
          <cell r="Y1841" t="str">
            <v>KEW</v>
          </cell>
          <cell r="Z1841">
            <v>45579</v>
          </cell>
          <cell r="AA1841">
            <v>45681</v>
          </cell>
          <cell r="AB1841" t="str">
            <v>YES</v>
          </cell>
          <cell r="AC1841">
            <v>45315</v>
          </cell>
          <cell r="AD1841" t="str">
            <v>Good</v>
          </cell>
          <cell r="AE1841" t="str">
            <v>V3 - Added Installed Facilities (New)</v>
          </cell>
          <cell r="AF1841">
            <v>45579</v>
          </cell>
          <cell r="AG1841" t="str">
            <v>NA</v>
          </cell>
          <cell r="AH1841" t="str">
            <v>PPM</v>
          </cell>
          <cell r="AI1841" t="str">
            <v>NA</v>
          </cell>
          <cell r="AJ1841" t="str">
            <v>Strands V3 P2.24</v>
          </cell>
        </row>
        <row r="1842">
          <cell r="A1842" t="str">
            <v>IKN402188</v>
          </cell>
          <cell r="C1842" t="str">
            <v>Institut Kanser Negara</v>
          </cell>
          <cell r="D1842" t="str">
            <v>KKM/IKN/H/24/33-09</v>
          </cell>
          <cell r="E1842" t="str">
            <v>12-716</v>
          </cell>
          <cell r="F1842" t="str">
            <v>Nebulizers, Nonheated</v>
          </cell>
          <cell r="G1842" t="str">
            <v>NM</v>
          </cell>
          <cell r="H1842" t="str">
            <v>NUCLEAR MED (DIAGNOSTIC)</v>
          </cell>
          <cell r="I1842" t="str">
            <v>03NM150</v>
          </cell>
          <cell r="J1842" t="str">
            <v>BILIK PROSEDUR VENTILASI</v>
          </cell>
          <cell r="M1842" t="str">
            <v>USA</v>
          </cell>
          <cell r="O1842" t="str">
            <v>TECHNEGAS PLUS</v>
          </cell>
          <cell r="P1842" t="str">
            <v>TP 232312</v>
          </cell>
          <cell r="Q1842" t="str">
            <v>Not Applicable</v>
          </cell>
          <cell r="R1842" t="str">
            <v>CYCLOMEDICA AUSTRALIA PTY LTD</v>
          </cell>
          <cell r="T1842" t="str">
            <v>Functioning</v>
          </cell>
          <cell r="U1842" t="str">
            <v>ASSET</v>
          </cell>
          <cell r="V1842">
            <v>277509</v>
          </cell>
          <cell r="W1842" t="str">
            <v>KEW</v>
          </cell>
          <cell r="X1842">
            <v>45120</v>
          </cell>
          <cell r="Y1842" t="str">
            <v>KEW</v>
          </cell>
          <cell r="Z1842">
            <v>45579</v>
          </cell>
          <cell r="AA1842">
            <v>45681</v>
          </cell>
          <cell r="AB1842" t="str">
            <v>YES</v>
          </cell>
          <cell r="AC1842">
            <v>45315</v>
          </cell>
          <cell r="AD1842" t="str">
            <v>Good</v>
          </cell>
          <cell r="AE1842" t="str">
            <v>V3 - Added Installed Facilities (New)</v>
          </cell>
          <cell r="AF1842">
            <v>45508</v>
          </cell>
          <cell r="AG1842" t="str">
            <v>NA</v>
          </cell>
          <cell r="AH1842" t="str">
            <v>PPM</v>
          </cell>
          <cell r="AI1842" t="str">
            <v>NA</v>
          </cell>
          <cell r="AJ1842" t="str">
            <v>Strands V3 P2.24</v>
          </cell>
        </row>
        <row r="1843">
          <cell r="A1843" t="str">
            <v>IKN402189</v>
          </cell>
          <cell r="C1843" t="str">
            <v>TnC indira bacti incenarator 7/11/2024</v>
          </cell>
          <cell r="F1843" t="str">
            <v>Bacti Incinerator/Infared Sterilizer</v>
          </cell>
          <cell r="G1843" t="str">
            <v>LA</v>
          </cell>
          <cell r="H1843" t="str">
            <v>PATHOLOGY</v>
          </cell>
          <cell r="AH1843" t="str">
            <v>PPM</v>
          </cell>
          <cell r="AI1843" t="str">
            <v>NA</v>
          </cell>
          <cell r="AJ1843" t="str">
            <v>Strands V3 P2.24</v>
          </cell>
        </row>
        <row r="1844">
          <cell r="A1844" t="str">
            <v>IKN402190</v>
          </cell>
          <cell r="C1844" t="str">
            <v>TnC indira bacti incenarator 7/11/2024</v>
          </cell>
          <cell r="F1844" t="str">
            <v>Bacti Incinerator/Infared Sterilizer</v>
          </cell>
          <cell r="G1844" t="str">
            <v>LA</v>
          </cell>
          <cell r="H1844" t="str">
            <v>PATHOLOGY</v>
          </cell>
        </row>
        <row r="1845">
          <cell r="A1845" t="str">
            <v>IKN402191</v>
          </cell>
          <cell r="C1845" t="str">
            <v>TnC indira bacti incenarator 7/11/2024</v>
          </cell>
          <cell r="F1845" t="str">
            <v>Bacti Incinerator/Infared Sterilizer</v>
          </cell>
          <cell r="G1845" t="str">
            <v>LA</v>
          </cell>
          <cell r="H1845" t="str">
            <v>PATHOLOGY</v>
          </cell>
        </row>
        <row r="1846">
          <cell r="A1846" t="str">
            <v>IKN402192</v>
          </cell>
          <cell r="C1846" t="str">
            <v>TnC fareez 19/11/2024</v>
          </cell>
          <cell r="F1846" t="str">
            <v>Defibrillator Machine</v>
          </cell>
          <cell r="G1846" t="str">
            <v>ED</v>
          </cell>
          <cell r="H1846" t="str">
            <v>EMERGENCY UNIT</v>
          </cell>
        </row>
        <row r="1847">
          <cell r="A1847" t="str">
            <v>IKN402193</v>
          </cell>
          <cell r="C1847" t="str">
            <v>TnC fareez 19/11/2024</v>
          </cell>
          <cell r="F1847" t="str">
            <v>Automated External Defibrillator (AED) Machine</v>
          </cell>
          <cell r="G1847" t="str">
            <v>ED</v>
          </cell>
          <cell r="H1847" t="str">
            <v>EMERGENCY UNIT</v>
          </cell>
        </row>
        <row r="1848">
          <cell r="A1848" t="str">
            <v>IKN402193</v>
          </cell>
          <cell r="C1848" t="str">
            <v>TnC fareez 19/11/2024</v>
          </cell>
          <cell r="F1848" t="str">
            <v>Automated External Defibrillator (AED) Machine</v>
          </cell>
          <cell r="G1848" t="str">
            <v>ED</v>
          </cell>
          <cell r="H1848" t="str">
            <v>EMERGENCY UNIT</v>
          </cell>
        </row>
        <row r="1849">
          <cell r="A1849" t="str">
            <v>IKN402194</v>
          </cell>
          <cell r="C1849" t="str">
            <v>TnC Anis 23/1/2025</v>
          </cell>
          <cell r="D1849" t="str">
            <v>KKM/IKN/H/25/14</v>
          </cell>
          <cell r="F1849" t="str">
            <v>Ultrasound Echo</v>
          </cell>
          <cell r="G1849" t="str">
            <v>OC</v>
          </cell>
          <cell r="H1849" t="str">
            <v>ONCOLOGY CLINIC</v>
          </cell>
          <cell r="I1849" t="str">
            <v>03OC136</v>
          </cell>
          <cell r="K1849" t="str">
            <v>BMED</v>
          </cell>
          <cell r="L1849" t="str">
            <v>NORMAL</v>
          </cell>
          <cell r="O1849" t="str">
            <v>IE 33</v>
          </cell>
          <cell r="P1849" t="str">
            <v>B009BF</v>
          </cell>
          <cell r="R1849" t="str">
            <v>PHILIPS</v>
          </cell>
          <cell r="T1849" t="str">
            <v>FUNCTIONING</v>
          </cell>
          <cell r="U1849" t="str">
            <v>ASSET</v>
          </cell>
          <cell r="V1849">
            <v>1454500</v>
          </cell>
          <cell r="AC1849">
            <v>45680</v>
          </cell>
          <cell r="AD1849" t="str">
            <v>GOOD</v>
          </cell>
        </row>
      </sheetData>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KDI"/>
      <sheetName val="Public Holiday"/>
      <sheetName val="BEMSdar"/>
      <sheetName val="B1&amp; B2 UNSCHEDULED"/>
      <sheetName val="B3-SCHEDULED  "/>
      <sheetName val="B4-UPTIME"/>
      <sheetName val="B5-T&amp;C"/>
      <sheetName val="Sheet1"/>
      <sheetName val="Sheet2"/>
    </sheetNames>
    <sheetDataSet>
      <sheetData sheetId="0" refreshError="1"/>
      <sheetData sheetId="1" refreshError="1"/>
      <sheetData sheetId="2" refreshError="1"/>
      <sheetData sheetId="3" refreshError="1">
        <row r="24">
          <cell r="O24">
            <v>0</v>
          </cell>
        </row>
      </sheetData>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2.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2.vml"/><Relationship Id="rId1" Type="http://schemas.openxmlformats.org/officeDocument/2006/relationships/drawing" Target="../drawings/drawing6.xml"/><Relationship Id="rId4" Type="http://schemas.openxmlformats.org/officeDocument/2006/relationships/image" Target="../media/image2.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V34"/>
  <sheetViews>
    <sheetView topLeftCell="A7" zoomScaleSheetLayoutView="70" workbookViewId="0">
      <selection activeCell="Q1" sqref="Q1"/>
    </sheetView>
  </sheetViews>
  <sheetFormatPr defaultColWidth="9.21875" defaultRowHeight="13.2"/>
  <cols>
    <col min="1" max="1" width="5.44140625" style="436" customWidth="1"/>
    <col min="2" max="2" width="3.21875" style="436" customWidth="1"/>
    <col min="3" max="3" width="12.77734375" style="436" customWidth="1"/>
    <col min="4" max="4" width="16.77734375" style="436" customWidth="1"/>
    <col min="5" max="5" width="23.21875" style="436" customWidth="1"/>
    <col min="6" max="6" width="13.21875" style="436" customWidth="1"/>
    <col min="7" max="7" width="15.5546875" style="436" customWidth="1"/>
    <col min="8" max="8" width="14.21875" style="436" customWidth="1"/>
    <col min="9" max="11" width="5.77734375" style="436" customWidth="1"/>
    <col min="12" max="13" width="10.77734375" style="436" customWidth="1"/>
    <col min="14" max="14" width="11.77734375" style="436" customWidth="1"/>
    <col min="15" max="15" width="12.21875" style="436" customWidth="1"/>
    <col min="16" max="16384" width="9.21875" style="436"/>
  </cols>
  <sheetData>
    <row r="1" spans="1:22" s="431" customFormat="1" ht="66" customHeight="1">
      <c r="A1" s="715" t="s">
        <v>65</v>
      </c>
      <c r="B1" s="715"/>
      <c r="C1" s="715"/>
      <c r="D1" s="715"/>
      <c r="E1" s="715"/>
      <c r="F1" s="715"/>
      <c r="G1" s="715"/>
      <c r="H1" s="715"/>
      <c r="I1" s="715"/>
      <c r="J1" s="715"/>
      <c r="K1" s="715"/>
      <c r="L1" s="715"/>
      <c r="M1" s="715"/>
      <c r="N1" s="715"/>
      <c r="O1" s="715"/>
      <c r="P1" s="460"/>
      <c r="Q1" s="460"/>
      <c r="R1" s="460"/>
      <c r="S1" s="460"/>
      <c r="T1" s="460"/>
      <c r="U1" s="460"/>
      <c r="V1" s="460"/>
    </row>
    <row r="2" spans="1:22" s="431" customFormat="1" ht="38.25" customHeight="1">
      <c r="A2" s="716" t="s">
        <v>66</v>
      </c>
      <c r="B2" s="716"/>
      <c r="C2" s="716"/>
      <c r="D2" s="716"/>
      <c r="E2" s="716"/>
      <c r="F2" s="716"/>
      <c r="G2" s="716"/>
      <c r="H2" s="716"/>
      <c r="I2" s="716"/>
      <c r="J2" s="716"/>
      <c r="K2" s="716"/>
      <c r="L2" s="716"/>
      <c r="M2" s="716"/>
      <c r="N2" s="716"/>
      <c r="O2" s="716"/>
      <c r="P2" s="461"/>
      <c r="Q2" s="461"/>
      <c r="R2" s="461"/>
      <c r="S2" s="461"/>
      <c r="T2" s="461"/>
      <c r="U2" s="461"/>
      <c r="V2" s="461"/>
    </row>
    <row r="3" spans="1:22" s="431" customFormat="1" ht="11.25" customHeight="1">
      <c r="A3" s="717"/>
      <c r="B3" s="717"/>
      <c r="C3" s="717"/>
      <c r="D3" s="717"/>
      <c r="E3" s="717"/>
      <c r="F3" s="717"/>
      <c r="G3" s="717"/>
      <c r="H3" s="717"/>
      <c r="I3" s="717"/>
      <c r="J3" s="717"/>
      <c r="K3" s="717"/>
      <c r="L3" s="717"/>
      <c r="M3" s="717"/>
      <c r="N3" s="717"/>
      <c r="O3" s="717"/>
      <c r="P3" s="460"/>
      <c r="Q3" s="460"/>
      <c r="R3" s="460"/>
      <c r="S3" s="460"/>
      <c r="T3" s="460"/>
      <c r="U3" s="460"/>
      <c r="V3" s="460"/>
    </row>
    <row r="4" spans="1:22" s="432" customFormat="1" ht="10.5" customHeight="1">
      <c r="A4" s="121"/>
      <c r="B4" s="71"/>
      <c r="C4" s="71"/>
      <c r="D4" s="71"/>
      <c r="E4" s="446"/>
      <c r="F4" s="446"/>
      <c r="G4" s="71"/>
      <c r="H4" s="71"/>
      <c r="I4" s="71"/>
      <c r="J4" s="71"/>
      <c r="K4" s="71"/>
      <c r="L4" s="71"/>
      <c r="M4" s="71"/>
      <c r="N4" s="71"/>
      <c r="O4" s="71"/>
      <c r="P4" s="71"/>
      <c r="Q4" s="71"/>
      <c r="R4" s="71"/>
      <c r="S4" s="71"/>
      <c r="T4" s="71"/>
      <c r="U4" s="71"/>
      <c r="V4" s="71"/>
    </row>
    <row r="5" spans="1:22" s="433" customFormat="1" ht="13.05" customHeight="1">
      <c r="B5" s="437"/>
      <c r="C5" s="437"/>
      <c r="D5" s="437" t="s">
        <v>67</v>
      </c>
      <c r="E5" s="718" t="s">
        <v>68</v>
      </c>
      <c r="F5" s="718"/>
      <c r="G5" s="447"/>
      <c r="H5" s="437"/>
      <c r="I5" s="437" t="s">
        <v>69</v>
      </c>
      <c r="J5" s="719" t="s">
        <v>70</v>
      </c>
      <c r="K5" s="720"/>
      <c r="L5" s="720"/>
      <c r="M5" s="721"/>
      <c r="N5" s="447"/>
      <c r="O5" s="457"/>
      <c r="P5" s="462"/>
      <c r="V5" s="470"/>
    </row>
    <row r="6" spans="1:22" s="433" customFormat="1" ht="8.1" customHeight="1">
      <c r="B6" s="437"/>
      <c r="C6" s="437"/>
      <c r="D6" s="437"/>
      <c r="E6" s="437"/>
      <c r="F6" s="437"/>
      <c r="G6" s="448"/>
      <c r="I6" s="437"/>
      <c r="J6" s="437"/>
      <c r="K6" s="437"/>
      <c r="L6" s="437"/>
      <c r="M6" s="437"/>
      <c r="N6" s="463"/>
      <c r="O6" s="463"/>
      <c r="P6" s="464"/>
      <c r="V6" s="470"/>
    </row>
    <row r="7" spans="1:22" s="433" customFormat="1" ht="13.05" customHeight="1">
      <c r="B7" s="437"/>
      <c r="C7" s="437"/>
      <c r="D7" s="437" t="s">
        <v>71</v>
      </c>
      <c r="E7" s="722">
        <v>46143</v>
      </c>
      <c r="F7" s="723"/>
      <c r="G7" s="447"/>
      <c r="I7" s="437" t="s">
        <v>72</v>
      </c>
      <c r="J7" s="719" t="s">
        <v>73</v>
      </c>
      <c r="K7" s="720"/>
      <c r="L7" s="720"/>
      <c r="M7" s="721"/>
      <c r="N7" s="447"/>
      <c r="O7" s="465"/>
      <c r="P7" s="462"/>
      <c r="V7" s="470"/>
    </row>
    <row r="8" spans="1:22" s="433" customFormat="1" ht="8.1" customHeight="1">
      <c r="B8" s="437"/>
      <c r="C8" s="437"/>
      <c r="D8" s="437"/>
      <c r="E8" s="494" t="s">
        <v>74</v>
      </c>
      <c r="F8" s="437"/>
      <c r="G8" s="448"/>
      <c r="I8" s="437"/>
      <c r="J8" s="437"/>
      <c r="K8" s="437"/>
      <c r="L8" s="437"/>
      <c r="M8" s="437"/>
      <c r="N8" s="466"/>
      <c r="O8" s="466"/>
      <c r="P8" s="466"/>
      <c r="V8" s="470"/>
    </row>
    <row r="9" spans="1:22" s="433" customFormat="1" ht="13.05" customHeight="1">
      <c r="A9" s="724" t="s">
        <v>75</v>
      </c>
      <c r="B9" s="724"/>
      <c r="C9" s="724"/>
      <c r="D9" s="725"/>
      <c r="E9" s="726">
        <v>1363910.93</v>
      </c>
      <c r="F9" s="727"/>
      <c r="G9" s="447"/>
      <c r="I9" s="437"/>
      <c r="J9" s="457"/>
      <c r="K9" s="457"/>
      <c r="L9" s="457"/>
      <c r="M9" s="457"/>
      <c r="N9" s="466"/>
      <c r="O9" s="466"/>
      <c r="P9" s="466"/>
      <c r="V9" s="470"/>
    </row>
    <row r="10" spans="1:22" s="433" customFormat="1" ht="8.1" customHeight="1">
      <c r="B10" s="437"/>
      <c r="C10" s="437"/>
      <c r="D10" s="437"/>
      <c r="E10" s="449"/>
      <c r="F10" s="449"/>
      <c r="G10" s="448"/>
      <c r="I10" s="437"/>
      <c r="J10" s="437"/>
      <c r="K10" s="437"/>
      <c r="L10" s="437"/>
      <c r="M10" s="437"/>
      <c r="N10" s="466"/>
      <c r="O10" s="466"/>
      <c r="P10" s="466"/>
      <c r="V10" s="470"/>
    </row>
    <row r="11" spans="1:22" s="433" customFormat="1" ht="13.05" customHeight="1">
      <c r="A11" s="728" t="s">
        <v>76</v>
      </c>
      <c r="B11" s="728"/>
      <c r="C11" s="728"/>
      <c r="D11" s="729"/>
      <c r="E11" s="726">
        <f>97.5%*E9</f>
        <v>1329813.1567500001</v>
      </c>
      <c r="F11" s="727"/>
      <c r="G11" s="450"/>
      <c r="I11" s="437"/>
      <c r="J11" s="457"/>
      <c r="K11" s="457"/>
      <c r="L11" s="457"/>
      <c r="M11" s="457"/>
      <c r="N11" s="466"/>
      <c r="O11" s="466"/>
      <c r="P11" s="466"/>
      <c r="V11" s="470"/>
    </row>
    <row r="12" spans="1:22" s="433" customFormat="1" ht="8.1" customHeight="1">
      <c r="B12" s="437"/>
      <c r="C12" s="439"/>
      <c r="D12" s="439"/>
      <c r="E12" s="451"/>
      <c r="F12" s="451"/>
      <c r="G12" s="452"/>
      <c r="H12" s="438"/>
      <c r="I12" s="438"/>
      <c r="J12" s="438"/>
      <c r="K12" s="438"/>
      <c r="L12" s="458"/>
      <c r="M12" s="466"/>
      <c r="N12" s="466"/>
      <c r="O12" s="466"/>
      <c r="P12" s="466"/>
      <c r="V12" s="470"/>
    </row>
    <row r="13" spans="1:22" s="433" customFormat="1" ht="13.05" customHeight="1">
      <c r="A13" s="728" t="s">
        <v>77</v>
      </c>
      <c r="B13" s="724"/>
      <c r="C13" s="724"/>
      <c r="D13" s="725"/>
      <c r="E13" s="734">
        <f>2.5%*E9</f>
        <v>34097.773249999998</v>
      </c>
      <c r="F13" s="735"/>
      <c r="G13" s="447"/>
      <c r="I13" s="437"/>
      <c r="J13" s="457"/>
      <c r="K13" s="457"/>
      <c r="L13" s="457"/>
      <c r="M13" s="457"/>
      <c r="N13" s="466"/>
      <c r="O13" s="466"/>
      <c r="P13" s="466"/>
      <c r="V13" s="470"/>
    </row>
    <row r="14" spans="1:22" s="434" customFormat="1" ht="8.1" customHeight="1">
      <c r="B14" s="440"/>
      <c r="C14" s="440"/>
      <c r="D14" s="440"/>
      <c r="E14" s="440"/>
      <c r="F14" s="440"/>
      <c r="G14" s="453"/>
      <c r="I14" s="440"/>
      <c r="J14" s="440"/>
      <c r="K14" s="440"/>
      <c r="L14" s="440"/>
      <c r="M14" s="440"/>
      <c r="N14" s="467"/>
      <c r="O14" s="467"/>
      <c r="P14" s="467"/>
      <c r="V14" s="471"/>
    </row>
    <row r="15" spans="1:22">
      <c r="A15" s="441"/>
      <c r="B15" s="441"/>
      <c r="C15" s="441"/>
      <c r="D15" s="441"/>
      <c r="E15" s="454"/>
      <c r="F15" s="454"/>
      <c r="G15" s="455"/>
      <c r="H15" s="456"/>
      <c r="I15" s="459"/>
      <c r="J15" s="459"/>
      <c r="K15" s="459"/>
      <c r="L15" s="459"/>
      <c r="M15" s="459"/>
      <c r="N15" s="459"/>
      <c r="O15" s="459"/>
    </row>
    <row r="16" spans="1:22">
      <c r="A16" s="441"/>
      <c r="B16" s="441"/>
      <c r="C16" s="441"/>
      <c r="D16" s="441"/>
      <c r="E16" s="454"/>
      <c r="F16" s="454"/>
      <c r="G16" s="455"/>
      <c r="H16" s="456"/>
      <c r="I16" s="459"/>
      <c r="J16" s="459"/>
      <c r="K16" s="459"/>
      <c r="L16" s="459"/>
      <c r="M16" s="459"/>
      <c r="N16" s="459"/>
      <c r="O16" s="459"/>
    </row>
    <row r="17" spans="1:15" ht="25.5" customHeight="1">
      <c r="A17" s="738" t="s">
        <v>78</v>
      </c>
      <c r="B17" s="738" t="s">
        <v>79</v>
      </c>
      <c r="C17" s="738"/>
      <c r="D17" s="738"/>
      <c r="E17" s="738"/>
      <c r="F17" s="738"/>
      <c r="G17" s="738"/>
      <c r="H17" s="738"/>
      <c r="I17" s="738" t="s">
        <v>80</v>
      </c>
      <c r="J17" s="738"/>
      <c r="K17" s="738"/>
      <c r="L17" s="738" t="s">
        <v>81</v>
      </c>
      <c r="M17" s="740"/>
      <c r="N17" s="742" t="s">
        <v>82</v>
      </c>
      <c r="O17" s="738" t="s">
        <v>83</v>
      </c>
    </row>
    <row r="18" spans="1:15" ht="12" customHeight="1">
      <c r="A18" s="741"/>
      <c r="B18" s="738"/>
      <c r="C18" s="738"/>
      <c r="D18" s="738"/>
      <c r="E18" s="738"/>
      <c r="F18" s="738"/>
      <c r="G18" s="738"/>
      <c r="H18" s="738"/>
      <c r="I18" s="738"/>
      <c r="J18" s="738"/>
      <c r="K18" s="738"/>
      <c r="L18" s="740"/>
      <c r="M18" s="740"/>
      <c r="N18" s="742"/>
      <c r="O18" s="738"/>
    </row>
    <row r="19" spans="1:15" ht="35.25" customHeight="1">
      <c r="A19" s="442" t="s">
        <v>8</v>
      </c>
      <c r="B19" s="736" t="s">
        <v>84</v>
      </c>
      <c r="C19" s="736"/>
      <c r="D19" s="736"/>
      <c r="E19" s="736"/>
      <c r="F19" s="736"/>
      <c r="G19" s="736"/>
      <c r="H19" s="736"/>
      <c r="I19" s="733" t="s">
        <v>10</v>
      </c>
      <c r="J19" s="733"/>
      <c r="K19" s="733"/>
      <c r="L19" s="737">
        <v>0</v>
      </c>
      <c r="M19" s="737"/>
      <c r="N19" s="468">
        <v>0</v>
      </c>
      <c r="O19" s="468">
        <f t="shared" ref="O19:O24" si="0">100-N19</f>
        <v>100</v>
      </c>
    </row>
    <row r="20" spans="1:15" ht="35.25" customHeight="1">
      <c r="A20" s="443" t="s">
        <v>14</v>
      </c>
      <c r="B20" s="732" t="s">
        <v>85</v>
      </c>
      <c r="C20" s="732"/>
      <c r="D20" s="732"/>
      <c r="E20" s="732"/>
      <c r="F20" s="732"/>
      <c r="G20" s="732"/>
      <c r="H20" s="732"/>
      <c r="I20" s="733" t="s">
        <v>16</v>
      </c>
      <c r="J20" s="733"/>
      <c r="K20" s="733"/>
      <c r="L20" s="730">
        <f>'B1&amp;B2 UNSCHEDULED'!U106</f>
        <v>13280</v>
      </c>
      <c r="M20" s="731"/>
      <c r="N20" s="468">
        <f t="shared" ref="N20:N23" si="1">L20/$E$11%</f>
        <v>0.99863653270326236</v>
      </c>
      <c r="O20" s="468">
        <f t="shared" si="0"/>
        <v>99.001363467296741</v>
      </c>
    </row>
    <row r="21" spans="1:15" ht="35.25" customHeight="1">
      <c r="A21" s="442" t="s">
        <v>18</v>
      </c>
      <c r="B21" s="732" t="s">
        <v>86</v>
      </c>
      <c r="C21" s="732"/>
      <c r="D21" s="732"/>
      <c r="E21" s="732"/>
      <c r="F21" s="732"/>
      <c r="G21" s="732"/>
      <c r="H21" s="732"/>
      <c r="I21" s="733" t="s">
        <v>10</v>
      </c>
      <c r="J21" s="733"/>
      <c r="K21" s="733"/>
      <c r="L21" s="730">
        <f>'B3-SCHEDULED'!L216</f>
        <v>0</v>
      </c>
      <c r="M21" s="731"/>
      <c r="N21" s="468">
        <f t="shared" si="1"/>
        <v>0</v>
      </c>
      <c r="O21" s="468">
        <f t="shared" si="0"/>
        <v>100</v>
      </c>
    </row>
    <row r="22" spans="1:15" ht="35.25" customHeight="1">
      <c r="A22" s="442" t="s">
        <v>23</v>
      </c>
      <c r="B22" s="732" t="s">
        <v>87</v>
      </c>
      <c r="C22" s="732"/>
      <c r="D22" s="732"/>
      <c r="E22" s="732"/>
      <c r="F22" s="732"/>
      <c r="G22" s="732"/>
      <c r="H22" s="732"/>
      <c r="I22" s="733" t="s">
        <v>10</v>
      </c>
      <c r="J22" s="733"/>
      <c r="K22" s="733"/>
      <c r="L22" s="737">
        <v>0</v>
      </c>
      <c r="M22" s="737"/>
      <c r="N22" s="468">
        <f t="shared" si="1"/>
        <v>0</v>
      </c>
      <c r="O22" s="468">
        <f t="shared" si="0"/>
        <v>100</v>
      </c>
    </row>
    <row r="23" spans="1:15" ht="35.25" customHeight="1">
      <c r="A23" s="442" t="s">
        <v>29</v>
      </c>
      <c r="B23" s="732" t="s">
        <v>88</v>
      </c>
      <c r="C23" s="732"/>
      <c r="D23" s="732"/>
      <c r="E23" s="732"/>
      <c r="F23" s="732"/>
      <c r="G23" s="732"/>
      <c r="H23" s="732"/>
      <c r="I23" s="733" t="s">
        <v>10</v>
      </c>
      <c r="J23" s="733"/>
      <c r="K23" s="733"/>
      <c r="L23" s="737">
        <f>'B5-T&amp;C'!O24</f>
        <v>0</v>
      </c>
      <c r="M23" s="737"/>
      <c r="N23" s="468">
        <f t="shared" si="1"/>
        <v>0</v>
      </c>
      <c r="O23" s="468">
        <f t="shared" si="0"/>
        <v>100</v>
      </c>
    </row>
    <row r="24" spans="1:15" ht="35.25" customHeight="1">
      <c r="A24" s="738" t="s">
        <v>89</v>
      </c>
      <c r="B24" s="738"/>
      <c r="C24" s="738"/>
      <c r="D24" s="738"/>
      <c r="E24" s="738"/>
      <c r="F24" s="738"/>
      <c r="G24" s="738"/>
      <c r="H24" s="738"/>
      <c r="I24" s="738"/>
      <c r="J24" s="738"/>
      <c r="K24" s="738"/>
      <c r="L24" s="739">
        <f>SUM(L19:M23)</f>
        <v>13280</v>
      </c>
      <c r="M24" s="740"/>
      <c r="N24" s="468">
        <f>SUM(N19:N23)</f>
        <v>0.99863653270326236</v>
      </c>
      <c r="O24" s="468">
        <f t="shared" si="0"/>
        <v>99.001363467296741</v>
      </c>
    </row>
    <row r="25" spans="1:15" ht="7.5" customHeight="1">
      <c r="N25" s="469"/>
    </row>
    <row r="26" spans="1:15" ht="9.6" customHeight="1"/>
    <row r="27" spans="1:15" s="435" customFormat="1" ht="11.4">
      <c r="C27" s="435" t="s">
        <v>90</v>
      </c>
      <c r="I27" s="435" t="s">
        <v>91</v>
      </c>
    </row>
    <row r="28" spans="1:15" s="435" customFormat="1" ht="11.4"/>
    <row r="29" spans="1:15" s="435" customFormat="1" ht="11.4"/>
    <row r="30" spans="1:15" s="435" customFormat="1" ht="11.4">
      <c r="C30" s="444"/>
      <c r="D30" s="444"/>
      <c r="I30" s="444"/>
      <c r="J30" s="444"/>
      <c r="K30" s="444"/>
      <c r="L30" s="444"/>
    </row>
    <row r="31" spans="1:15" s="435" customFormat="1" ht="17.25" customHeight="1">
      <c r="C31" s="445" t="s">
        <v>92</v>
      </c>
      <c r="I31" s="445" t="s">
        <v>93</v>
      </c>
    </row>
    <row r="32" spans="1:15" s="435" customFormat="1" ht="15.6" customHeight="1">
      <c r="C32" s="435" t="s">
        <v>94</v>
      </c>
      <c r="I32" s="435" t="s">
        <v>95</v>
      </c>
    </row>
    <row r="33" spans="3:9" s="435" customFormat="1" ht="13.5" customHeight="1">
      <c r="C33" s="435" t="s">
        <v>96</v>
      </c>
      <c r="I33" s="435" t="s">
        <v>96</v>
      </c>
    </row>
    <row r="34" spans="3:9" s="435" customFormat="1" ht="13.5" customHeight="1">
      <c r="C34" s="435" t="s">
        <v>97</v>
      </c>
      <c r="I34" s="435" t="s">
        <v>97</v>
      </c>
    </row>
  </sheetData>
  <mergeCells count="36">
    <mergeCell ref="A24:K24"/>
    <mergeCell ref="L24:M24"/>
    <mergeCell ref="A17:A18"/>
    <mergeCell ref="N17:N18"/>
    <mergeCell ref="O17:O18"/>
    <mergeCell ref="B17:H18"/>
    <mergeCell ref="I17:K18"/>
    <mergeCell ref="L17:M18"/>
    <mergeCell ref="B22:H22"/>
    <mergeCell ref="I22:K22"/>
    <mergeCell ref="L22:M22"/>
    <mergeCell ref="B23:H23"/>
    <mergeCell ref="I23:K23"/>
    <mergeCell ref="L23:M23"/>
    <mergeCell ref="B20:H20"/>
    <mergeCell ref="I20:K20"/>
    <mergeCell ref="L20:M20"/>
    <mergeCell ref="B21:H21"/>
    <mergeCell ref="I21:K21"/>
    <mergeCell ref="L21:M21"/>
    <mergeCell ref="A13:D13"/>
    <mergeCell ref="E13:F13"/>
    <mergeCell ref="B19:H19"/>
    <mergeCell ref="I19:K19"/>
    <mergeCell ref="L19:M19"/>
    <mergeCell ref="E7:F7"/>
    <mergeCell ref="J7:M7"/>
    <mergeCell ref="A9:D9"/>
    <mergeCell ref="E9:F9"/>
    <mergeCell ref="A11:D11"/>
    <mergeCell ref="E11:F11"/>
    <mergeCell ref="A1:O1"/>
    <mergeCell ref="A2:O2"/>
    <mergeCell ref="A3:O3"/>
    <mergeCell ref="E5:F5"/>
    <mergeCell ref="J5:M5"/>
  </mergeCells>
  <pageMargins left="0.70866141732283505" right="0.31496062992126" top="0.70866141732283505" bottom="0.55118110236220497" header="0.31496062992126" footer="0.31496062992126"/>
  <pageSetup paperSize="9" scale="79" orientation="landscape"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O193"/>
  <sheetViews>
    <sheetView zoomScale="20" zoomScaleNormal="20" zoomScaleSheetLayoutView="26" zoomScalePageLayoutView="60" workbookViewId="0">
      <selection activeCell="I8" sqref="I8:L8"/>
    </sheetView>
  </sheetViews>
  <sheetFormatPr defaultColWidth="9.21875" defaultRowHeight="36.6"/>
  <cols>
    <col min="1" max="1" width="21" style="333" customWidth="1"/>
    <col min="2" max="2" width="66.33203125" style="334" customWidth="1"/>
    <col min="3" max="3" width="78.5546875" style="335" customWidth="1"/>
    <col min="4" max="4" width="78.77734375" style="336" customWidth="1"/>
    <col min="5" max="5" width="80.77734375" style="334" customWidth="1"/>
    <col min="6" max="6" width="50.21875" style="334" customWidth="1"/>
    <col min="7" max="7" width="141.77734375" style="335" customWidth="1"/>
    <col min="8" max="8" width="101.77734375" style="333" customWidth="1"/>
    <col min="9" max="9" width="40.21875" style="337" customWidth="1"/>
    <col min="10" max="10" width="93" style="338" customWidth="1"/>
    <col min="11" max="11" width="101.77734375" style="339" bestFit="1" customWidth="1"/>
    <col min="12" max="12" width="102.88671875" style="340" customWidth="1"/>
    <col min="13" max="13" width="42.44140625" style="341" customWidth="1"/>
    <col min="14" max="14" width="21" style="333" customWidth="1"/>
    <col min="15" max="15" width="22.77734375" style="333" customWidth="1"/>
    <col min="16" max="16" width="15.44140625" style="334" customWidth="1"/>
    <col min="17" max="17" width="19.44140625" style="333" customWidth="1"/>
    <col min="18" max="18" width="27.21875" style="333" customWidth="1"/>
    <col min="19" max="19" width="43.5546875" style="342" customWidth="1"/>
    <col min="20" max="20" width="27.21875" style="343" customWidth="1"/>
    <col min="21" max="21" width="44" style="333" customWidth="1"/>
    <col min="22" max="22" width="183.21875" style="344" customWidth="1"/>
    <col min="23" max="23" width="53.77734375" style="345" customWidth="1"/>
    <col min="24" max="16381" width="9.21875" style="345"/>
    <col min="16382" max="16382" width="57.21875" style="345" customWidth="1"/>
    <col min="16383" max="16384" width="9.21875" style="345"/>
  </cols>
  <sheetData>
    <row r="1" spans="1:22" s="323" customFormat="1" ht="145.94999999999999" customHeight="1">
      <c r="A1" s="743"/>
      <c r="B1" s="743"/>
      <c r="C1" s="743"/>
      <c r="D1" s="743"/>
      <c r="E1" s="743"/>
      <c r="F1" s="743"/>
      <c r="G1" s="743"/>
      <c r="H1" s="743"/>
      <c r="I1" s="743"/>
      <c r="J1" s="743"/>
      <c r="K1" s="743"/>
      <c r="L1" s="743"/>
      <c r="M1" s="743"/>
      <c r="N1" s="743"/>
      <c r="O1" s="743"/>
      <c r="P1" s="743"/>
      <c r="Q1" s="743"/>
      <c r="R1" s="743"/>
      <c r="S1" s="743"/>
      <c r="T1" s="743"/>
      <c r="U1" s="743"/>
      <c r="V1" s="744"/>
    </row>
    <row r="2" spans="1:22" ht="52.5" customHeight="1">
      <c r="A2" s="745" t="s">
        <v>65</v>
      </c>
      <c r="B2" s="745"/>
      <c r="C2" s="745"/>
      <c r="D2" s="745"/>
      <c r="E2" s="745"/>
      <c r="F2" s="745"/>
      <c r="G2" s="745"/>
      <c r="H2" s="745"/>
      <c r="I2" s="745"/>
      <c r="J2" s="745"/>
      <c r="K2" s="745"/>
      <c r="L2" s="745"/>
      <c r="M2" s="745"/>
      <c r="N2" s="745"/>
      <c r="O2" s="745"/>
      <c r="P2" s="745"/>
      <c r="Q2" s="745"/>
      <c r="R2" s="745"/>
      <c r="S2" s="745"/>
      <c r="T2" s="745"/>
      <c r="U2" s="745"/>
      <c r="V2" s="745"/>
    </row>
    <row r="3" spans="1:22" ht="90" customHeight="1">
      <c r="A3" s="746" t="s">
        <v>1633</v>
      </c>
      <c r="B3" s="746"/>
      <c r="C3" s="746"/>
      <c r="D3" s="746"/>
      <c r="E3" s="746"/>
      <c r="F3" s="746"/>
      <c r="G3" s="746"/>
      <c r="H3" s="746"/>
      <c r="I3" s="746"/>
      <c r="J3" s="746"/>
      <c r="K3" s="746"/>
      <c r="L3" s="746"/>
      <c r="M3" s="746"/>
      <c r="N3" s="746"/>
      <c r="O3" s="746"/>
      <c r="P3" s="746"/>
      <c r="Q3" s="746"/>
      <c r="R3" s="746"/>
      <c r="S3" s="746"/>
      <c r="T3" s="746"/>
      <c r="U3" s="746"/>
      <c r="V3" s="746"/>
    </row>
    <row r="4" spans="1:22" ht="40.049999999999997" customHeight="1">
      <c r="A4" s="747" t="s">
        <v>98</v>
      </c>
      <c r="B4" s="747"/>
      <c r="C4" s="747"/>
      <c r="D4" s="747"/>
      <c r="E4" s="747"/>
      <c r="F4" s="747"/>
      <c r="G4" s="747"/>
      <c r="H4" s="747"/>
      <c r="I4" s="747"/>
      <c r="J4" s="747"/>
      <c r="K4" s="747"/>
      <c r="L4" s="747"/>
      <c r="M4" s="747"/>
      <c r="N4" s="747"/>
      <c r="O4" s="747"/>
      <c r="P4" s="747"/>
      <c r="Q4" s="747"/>
      <c r="R4" s="747"/>
      <c r="S4" s="747"/>
      <c r="T4" s="747"/>
      <c r="U4" s="747"/>
      <c r="V4" s="747"/>
    </row>
    <row r="5" spans="1:22">
      <c r="A5" s="348"/>
      <c r="B5" s="347"/>
      <c r="C5" s="349"/>
      <c r="D5" s="350"/>
      <c r="E5" s="347"/>
      <c r="F5" s="347"/>
      <c r="G5" s="349"/>
      <c r="H5" s="347"/>
      <c r="I5" s="367"/>
      <c r="J5" s="368"/>
      <c r="K5" s="369"/>
      <c r="L5" s="369"/>
      <c r="M5" s="380"/>
      <c r="N5" s="381"/>
      <c r="O5" s="381"/>
      <c r="P5" s="381"/>
      <c r="Q5" s="381"/>
      <c r="R5" s="381"/>
      <c r="S5" s="392"/>
      <c r="T5" s="393"/>
      <c r="U5" s="381"/>
      <c r="V5" s="397"/>
    </row>
    <row r="6" spans="1:22" ht="68.25" customHeight="1">
      <c r="A6" s="748" t="s">
        <v>99</v>
      </c>
      <c r="B6" s="749"/>
      <c r="C6" s="750" t="s">
        <v>100</v>
      </c>
      <c r="D6" s="751"/>
      <c r="E6" s="751"/>
      <c r="F6" s="751"/>
      <c r="G6" s="752"/>
      <c r="H6" s="346"/>
      <c r="I6" s="753" t="s">
        <v>101</v>
      </c>
      <c r="J6" s="753"/>
      <c r="K6" s="753"/>
      <c r="L6" s="754"/>
      <c r="M6" s="755">
        <v>46143</v>
      </c>
      <c r="N6" s="756"/>
      <c r="O6" s="756"/>
      <c r="P6" s="382"/>
      <c r="Q6" s="757" t="s">
        <v>102</v>
      </c>
      <c r="R6" s="757"/>
      <c r="S6" s="758"/>
    </row>
    <row r="7" spans="1:22" ht="68.25" customHeight="1">
      <c r="A7" s="346"/>
      <c r="B7" s="351"/>
      <c r="C7" s="352"/>
      <c r="D7" s="353"/>
      <c r="E7" s="351"/>
      <c r="F7" s="351"/>
      <c r="G7" s="352"/>
      <c r="H7" s="346"/>
      <c r="I7" s="633"/>
      <c r="J7" s="634"/>
      <c r="K7" s="635"/>
      <c r="L7" s="636"/>
      <c r="M7" s="383"/>
      <c r="N7" s="384"/>
      <c r="O7" s="384"/>
      <c r="P7" s="384"/>
      <c r="Q7" s="394"/>
    </row>
    <row r="8" spans="1:22" ht="68.25" customHeight="1">
      <c r="A8" s="748" t="s">
        <v>103</v>
      </c>
      <c r="B8" s="749"/>
      <c r="C8" s="750" t="s">
        <v>104</v>
      </c>
      <c r="D8" s="751"/>
      <c r="E8" s="751"/>
      <c r="F8" s="751"/>
      <c r="G8" s="752"/>
      <c r="H8" s="346"/>
      <c r="I8" s="753" t="s">
        <v>105</v>
      </c>
      <c r="J8" s="753"/>
      <c r="K8" s="753"/>
      <c r="L8" s="754"/>
      <c r="M8" s="755">
        <v>46173</v>
      </c>
      <c r="N8" s="756"/>
      <c r="O8" s="756"/>
      <c r="P8" s="385"/>
      <c r="Q8" s="757" t="s">
        <v>102</v>
      </c>
      <c r="R8" s="757"/>
      <c r="S8" s="758"/>
    </row>
    <row r="9" spans="1:22" ht="68.25" customHeight="1">
      <c r="A9" s="346"/>
      <c r="B9" s="351"/>
      <c r="C9" s="352"/>
      <c r="D9" s="353"/>
      <c r="E9" s="351"/>
      <c r="F9" s="351"/>
      <c r="G9" s="352"/>
      <c r="H9" s="346"/>
      <c r="I9" s="633"/>
      <c r="J9" s="634"/>
      <c r="K9" s="635"/>
      <c r="L9" s="636"/>
      <c r="M9" s="386"/>
      <c r="N9" s="387"/>
      <c r="O9" s="387"/>
      <c r="P9" s="387"/>
      <c r="Q9" s="387"/>
    </row>
    <row r="10" spans="1:22" ht="68.25" customHeight="1">
      <c r="A10" s="748" t="s">
        <v>106</v>
      </c>
      <c r="B10" s="749"/>
      <c r="C10" s="750" t="s">
        <v>107</v>
      </c>
      <c r="D10" s="751"/>
      <c r="E10" s="751"/>
      <c r="F10" s="751"/>
      <c r="G10" s="752"/>
      <c r="H10" s="360"/>
      <c r="I10" s="764" t="s">
        <v>108</v>
      </c>
      <c r="J10" s="764"/>
      <c r="K10" s="764"/>
      <c r="L10" s="765"/>
      <c r="M10" s="766">
        <f>BEMSdar!E11</f>
        <v>1329813.1567500001</v>
      </c>
      <c r="N10" s="767"/>
      <c r="O10" s="388"/>
      <c r="P10" s="388"/>
      <c r="Q10" s="395"/>
    </row>
    <row r="11" spans="1:22" ht="68.25" customHeight="1">
      <c r="A11" s="346"/>
      <c r="B11" s="351"/>
      <c r="C11" s="352"/>
      <c r="D11" s="353"/>
      <c r="E11" s="351"/>
      <c r="F11" s="351"/>
      <c r="G11" s="352"/>
      <c r="H11" s="346"/>
      <c r="I11" s="633"/>
      <c r="J11" s="634"/>
      <c r="K11" s="635"/>
      <c r="L11" s="636"/>
      <c r="M11" s="386"/>
      <c r="N11" s="387"/>
      <c r="O11" s="387"/>
      <c r="P11" s="387"/>
      <c r="Q11" s="387"/>
    </row>
    <row r="12" spans="1:22" ht="68.25" customHeight="1">
      <c r="A12" s="748" t="s">
        <v>109</v>
      </c>
      <c r="B12" s="749"/>
      <c r="C12" s="768">
        <v>46143</v>
      </c>
      <c r="D12" s="769"/>
      <c r="E12" s="769"/>
      <c r="F12" s="769"/>
      <c r="G12" s="770"/>
      <c r="H12" s="360"/>
      <c r="I12" s="764" t="s">
        <v>110</v>
      </c>
      <c r="J12" s="764"/>
      <c r="K12" s="764"/>
      <c r="L12" s="765"/>
      <c r="M12" s="766">
        <f>BEMSdar!E13</f>
        <v>34097.773249999998</v>
      </c>
      <c r="N12" s="767"/>
      <c r="O12" s="388"/>
      <c r="P12" s="388"/>
      <c r="Q12" s="395"/>
    </row>
    <row r="13" spans="1:22">
      <c r="A13" s="346"/>
      <c r="B13" s="351"/>
      <c r="C13" s="352"/>
      <c r="D13" s="353"/>
      <c r="E13" s="351"/>
      <c r="F13" s="351"/>
      <c r="G13" s="352"/>
      <c r="H13" s="346"/>
      <c r="I13" s="370"/>
      <c r="J13" s="371"/>
      <c r="K13" s="372"/>
      <c r="L13" s="373"/>
    </row>
    <row r="14" spans="1:22" s="324" customFormat="1">
      <c r="A14" s="354" t="s">
        <v>111</v>
      </c>
      <c r="B14" s="351"/>
      <c r="C14" s="352"/>
      <c r="D14" s="353"/>
      <c r="E14" s="351"/>
      <c r="F14" s="351"/>
      <c r="G14" s="352"/>
      <c r="H14" s="346"/>
      <c r="I14" s="370"/>
      <c r="J14" s="371"/>
      <c r="K14" s="372"/>
      <c r="L14" s="373"/>
      <c r="M14" s="341"/>
      <c r="N14" s="333"/>
      <c r="O14" s="333"/>
      <c r="P14" s="334"/>
      <c r="Q14" s="333"/>
      <c r="R14" s="333"/>
      <c r="S14" s="342"/>
      <c r="T14" s="343"/>
      <c r="U14" s="333"/>
      <c r="V14" s="344"/>
    </row>
    <row r="15" spans="1:22" s="324" customFormat="1">
      <c r="A15" s="354" t="s">
        <v>112</v>
      </c>
      <c r="B15" s="351"/>
      <c r="C15" s="352"/>
      <c r="D15" s="353"/>
      <c r="E15" s="351"/>
      <c r="F15" s="351"/>
      <c r="G15" s="352"/>
      <c r="H15" s="346"/>
      <c r="I15" s="370"/>
      <c r="J15" s="371"/>
      <c r="K15" s="372"/>
      <c r="L15" s="373"/>
      <c r="M15" s="341"/>
      <c r="N15" s="333"/>
      <c r="O15" s="333"/>
      <c r="P15" s="334"/>
      <c r="Q15" s="333"/>
      <c r="R15" s="333"/>
      <c r="S15" s="342"/>
      <c r="T15" s="343"/>
      <c r="U15" s="333"/>
      <c r="V15" s="344"/>
    </row>
    <row r="16" spans="1:22" s="324" customFormat="1">
      <c r="A16" s="354" t="s">
        <v>113</v>
      </c>
      <c r="B16" s="351"/>
      <c r="C16" s="352"/>
      <c r="D16" s="353"/>
      <c r="E16" s="351"/>
      <c r="F16" s="351"/>
      <c r="G16" s="352"/>
      <c r="H16" s="346"/>
      <c r="I16" s="370"/>
      <c r="J16" s="371"/>
      <c r="K16" s="372"/>
      <c r="L16" s="373"/>
      <c r="M16" s="341"/>
      <c r="N16" s="333"/>
      <c r="O16" s="333"/>
      <c r="P16" s="334"/>
      <c r="Q16" s="333"/>
      <c r="R16" s="333"/>
      <c r="S16" s="342"/>
      <c r="T16" s="343"/>
      <c r="U16" s="333"/>
      <c r="V16" s="344"/>
    </row>
    <row r="17" spans="1:23" s="324" customFormat="1">
      <c r="A17" s="354" t="s">
        <v>114</v>
      </c>
      <c r="B17" s="351"/>
      <c r="C17" s="352"/>
      <c r="D17" s="353"/>
      <c r="E17" s="351"/>
      <c r="F17" s="351"/>
      <c r="G17" s="352"/>
      <c r="H17" s="346"/>
      <c r="I17" s="370"/>
      <c r="J17" s="371"/>
      <c r="K17" s="372"/>
      <c r="L17" s="373"/>
      <c r="M17" s="341"/>
      <c r="N17" s="333"/>
      <c r="O17" s="333"/>
      <c r="P17" s="334"/>
      <c r="Q17" s="333"/>
      <c r="R17" s="333"/>
      <c r="S17" s="342"/>
      <c r="T17" s="343"/>
      <c r="U17" s="333"/>
      <c r="V17" s="344"/>
    </row>
    <row r="18" spans="1:23" s="324" customFormat="1">
      <c r="A18" s="354" t="s">
        <v>115</v>
      </c>
      <c r="B18" s="351"/>
      <c r="C18" s="352"/>
      <c r="D18" s="353"/>
      <c r="E18" s="351"/>
      <c r="F18" s="351"/>
      <c r="G18" s="352"/>
      <c r="H18" s="346"/>
      <c r="I18" s="370"/>
      <c r="J18" s="371"/>
      <c r="K18" s="372"/>
      <c r="L18" s="373"/>
      <c r="M18" s="341"/>
      <c r="N18" s="333"/>
      <c r="O18" s="333"/>
      <c r="P18" s="334"/>
      <c r="Q18" s="333"/>
      <c r="R18" s="333"/>
      <c r="S18" s="342"/>
      <c r="T18" s="343"/>
      <c r="U18" s="333"/>
      <c r="V18" s="344"/>
    </row>
    <row r="19" spans="1:23" s="324" customFormat="1">
      <c r="A19" s="354" t="s">
        <v>116</v>
      </c>
      <c r="B19" s="351"/>
      <c r="C19" s="352"/>
      <c r="D19" s="353"/>
      <c r="E19" s="351"/>
      <c r="F19" s="351"/>
      <c r="G19" s="352"/>
      <c r="H19" s="346"/>
      <c r="I19" s="370"/>
      <c r="J19" s="371"/>
      <c r="K19" s="372"/>
      <c r="L19" s="373"/>
      <c r="M19" s="341"/>
      <c r="N19" s="333"/>
      <c r="O19" s="333"/>
      <c r="P19" s="334"/>
      <c r="Q19" s="333"/>
      <c r="R19" s="333"/>
      <c r="S19" s="342"/>
      <c r="T19" s="343"/>
      <c r="U19" s="333"/>
      <c r="V19" s="344"/>
    </row>
    <row r="20" spans="1:23">
      <c r="A20" s="346"/>
      <c r="B20" s="351"/>
      <c r="C20" s="352"/>
      <c r="D20" s="353"/>
      <c r="E20" s="361"/>
      <c r="F20" s="362"/>
      <c r="G20" s="363"/>
      <c r="H20" s="364"/>
      <c r="I20" s="374"/>
      <c r="J20" s="375"/>
      <c r="K20" s="376"/>
      <c r="L20" s="369"/>
    </row>
    <row r="21" spans="1:23" s="325" customFormat="1" ht="135" customHeight="1">
      <c r="A21" s="779" t="s">
        <v>78</v>
      </c>
      <c r="B21" s="780" t="s">
        <v>117</v>
      </c>
      <c r="C21" s="781" t="s">
        <v>118</v>
      </c>
      <c r="D21" s="783" t="s">
        <v>119</v>
      </c>
      <c r="E21" s="780" t="s">
        <v>120</v>
      </c>
      <c r="F21" s="779" t="s">
        <v>121</v>
      </c>
      <c r="G21" s="785" t="s">
        <v>122</v>
      </c>
      <c r="H21" s="786" t="s">
        <v>123</v>
      </c>
      <c r="I21" s="787" t="s">
        <v>124</v>
      </c>
      <c r="J21" s="788" t="s">
        <v>125</v>
      </c>
      <c r="K21" s="789" t="s">
        <v>126</v>
      </c>
      <c r="L21" s="759" t="s">
        <v>127</v>
      </c>
      <c r="M21" s="760" t="s">
        <v>128</v>
      </c>
      <c r="N21" s="761" t="s">
        <v>129</v>
      </c>
      <c r="O21" s="762"/>
      <c r="P21" s="763"/>
      <c r="Q21" s="761" t="s">
        <v>130</v>
      </c>
      <c r="R21" s="762"/>
      <c r="S21" s="771"/>
      <c r="T21" s="762"/>
      <c r="U21" s="762"/>
      <c r="V21" s="772"/>
      <c r="W21" s="398"/>
    </row>
    <row r="22" spans="1:23" s="326" customFormat="1" ht="258.75" customHeight="1">
      <c r="A22" s="779"/>
      <c r="B22" s="780"/>
      <c r="C22" s="782"/>
      <c r="D22" s="784"/>
      <c r="E22" s="780"/>
      <c r="F22" s="779"/>
      <c r="G22" s="785"/>
      <c r="H22" s="786"/>
      <c r="I22" s="787"/>
      <c r="J22" s="788"/>
      <c r="K22" s="789"/>
      <c r="L22" s="759"/>
      <c r="M22" s="760"/>
      <c r="N22" s="355" t="s">
        <v>131</v>
      </c>
      <c r="O22" s="355" t="s">
        <v>132</v>
      </c>
      <c r="P22" s="355" t="s">
        <v>133</v>
      </c>
      <c r="Q22" s="355" t="s">
        <v>131</v>
      </c>
      <c r="R22" s="355" t="s">
        <v>134</v>
      </c>
      <c r="S22" s="365" t="s">
        <v>135</v>
      </c>
      <c r="T22" s="389" t="s">
        <v>136</v>
      </c>
      <c r="U22" s="390" t="s">
        <v>132</v>
      </c>
      <c r="V22" s="399" t="s">
        <v>133</v>
      </c>
      <c r="W22" s="398"/>
    </row>
    <row r="23" spans="1:23" s="327" customFormat="1" ht="170.25" customHeight="1">
      <c r="A23" s="356" t="s">
        <v>137</v>
      </c>
      <c r="B23" s="357"/>
      <c r="C23" s="358"/>
      <c r="D23" s="359"/>
      <c r="E23" s="366"/>
      <c r="F23" s="357"/>
      <c r="G23" s="358"/>
      <c r="H23" s="357"/>
      <c r="I23" s="377"/>
      <c r="J23" s="378"/>
      <c r="K23" s="379"/>
      <c r="L23" s="379"/>
      <c r="M23" s="391"/>
      <c r="N23" s="357"/>
      <c r="O23" s="357"/>
      <c r="P23" s="357"/>
      <c r="Q23" s="357"/>
      <c r="R23" s="357"/>
      <c r="S23" s="396"/>
      <c r="T23" s="357"/>
      <c r="U23" s="357"/>
      <c r="V23" s="400"/>
      <c r="W23" s="401"/>
    </row>
    <row r="24" spans="1:23" s="581" customFormat="1" ht="294" customHeight="1">
      <c r="A24" s="565">
        <v>1</v>
      </c>
      <c r="B24" s="566" t="s">
        <v>138</v>
      </c>
      <c r="C24" s="567" t="str">
        <f>VLOOKUP(B24,[13]AssetDetails_UEM!$A$3:$AH$1849,6,FALSE)</f>
        <v>Analyzers, Laboratory, Hematology, Coagulation, Automated</v>
      </c>
      <c r="D24" s="568">
        <f>VLOOKUP(B24,[13]AssetDetails_UEM!$A$3:$AK$1849,22,FALSE)</f>
        <v>105860</v>
      </c>
      <c r="E24" s="566" t="s">
        <v>139</v>
      </c>
      <c r="F24" s="566" t="s">
        <v>140</v>
      </c>
      <c r="G24" s="569" t="s">
        <v>141</v>
      </c>
      <c r="H24" s="570" t="s">
        <v>142</v>
      </c>
      <c r="I24" s="571" t="s">
        <v>143</v>
      </c>
      <c r="J24" s="572" t="s">
        <v>144</v>
      </c>
      <c r="K24" s="572" t="s">
        <v>145</v>
      </c>
      <c r="L24" s="572" t="s">
        <v>146</v>
      </c>
      <c r="M24" s="573">
        <f t="shared" ref="M24:M83" si="0">IF(D24&gt;44999.99,100,ROUNDUP((D24/4999.99)*10,-1))</f>
        <v>100</v>
      </c>
      <c r="N24" s="574" t="s">
        <v>147</v>
      </c>
      <c r="O24" s="575">
        <f>'[14]B1&amp; B2 UNSCHEDULED'!$O$24</f>
        <v>0</v>
      </c>
      <c r="P24" s="574"/>
      <c r="Q24" s="574" t="s">
        <v>147</v>
      </c>
      <c r="R24" s="576">
        <v>6</v>
      </c>
      <c r="S24" s="577">
        <f t="shared" ref="S24:S47" si="1">WORKDAY(J24,6,AKHIR)</f>
        <v>46153</v>
      </c>
      <c r="T24" s="578">
        <v>0</v>
      </c>
      <c r="U24" s="579">
        <f t="shared" ref="U24:U83" si="2">IF(Q24="N",0,M24*T24)</f>
        <v>0</v>
      </c>
      <c r="V24" s="580" t="s">
        <v>148</v>
      </c>
    </row>
    <row r="25" spans="1:23" s="591" customFormat="1" ht="210" customHeight="1">
      <c r="A25" s="565">
        <v>2</v>
      </c>
      <c r="B25" s="566" t="s">
        <v>149</v>
      </c>
      <c r="C25" s="582" t="str">
        <f>VLOOKUP(B25,[13]AssetDetails_UEM!$A$3:$AH$1849,6,FALSE)</f>
        <v>Mattress Systems, Alternating-Pressure</v>
      </c>
      <c r="D25" s="583">
        <f>VLOOKUP(B25,[13]AssetDetails_UEM!$A$3:$AK$1849,22,FALSE)</f>
        <v>28630</v>
      </c>
      <c r="E25" s="566" t="s">
        <v>150</v>
      </c>
      <c r="F25" s="566" t="s">
        <v>151</v>
      </c>
      <c r="G25" s="584" t="s">
        <v>926</v>
      </c>
      <c r="H25" s="570" t="s">
        <v>142</v>
      </c>
      <c r="I25" s="571" t="s">
        <v>152</v>
      </c>
      <c r="J25" s="572" t="s">
        <v>153</v>
      </c>
      <c r="K25" s="572" t="s">
        <v>154</v>
      </c>
      <c r="L25" s="572" t="s">
        <v>155</v>
      </c>
      <c r="M25" s="585">
        <f t="shared" si="0"/>
        <v>60</v>
      </c>
      <c r="N25" s="586" t="s">
        <v>147</v>
      </c>
      <c r="O25" s="587">
        <f>'[14]B1&amp; B2 UNSCHEDULED'!$O$24</f>
        <v>0</v>
      </c>
      <c r="P25" s="586"/>
      <c r="Q25" s="586" t="s">
        <v>147</v>
      </c>
      <c r="R25" s="576">
        <f t="shared" ref="R25:R34" si="3">IF(L25="",AKHIR-J25,L25-J25+1)</f>
        <v>1.9513888888905058</v>
      </c>
      <c r="S25" s="588">
        <f t="shared" si="1"/>
        <v>46154</v>
      </c>
      <c r="T25" s="565">
        <v>0</v>
      </c>
      <c r="U25" s="589">
        <f t="shared" si="2"/>
        <v>0</v>
      </c>
      <c r="V25" s="580" t="s">
        <v>156</v>
      </c>
      <c r="W25" s="590"/>
    </row>
    <row r="26" spans="1:23" s="581" customFormat="1" ht="231.6" customHeight="1">
      <c r="A26" s="565">
        <v>3</v>
      </c>
      <c r="B26" s="566" t="s">
        <v>157</v>
      </c>
      <c r="C26" s="567" t="str">
        <f>VLOOKUP(B26,[13]AssetDetails_UEM!$A$3:$AH$1849,6,FALSE)</f>
        <v>Linear Accelerators</v>
      </c>
      <c r="D26" s="568">
        <f>VLOOKUP(B26,[13]AssetDetails_UEM!$A$3:$AK$1849,22,FALSE)</f>
        <v>19351760</v>
      </c>
      <c r="E26" s="566" t="s">
        <v>158</v>
      </c>
      <c r="F26" s="566" t="s">
        <v>159</v>
      </c>
      <c r="G26" s="584" t="s">
        <v>927</v>
      </c>
      <c r="H26" s="570" t="s">
        <v>142</v>
      </c>
      <c r="I26" s="571" t="s">
        <v>160</v>
      </c>
      <c r="J26" s="572" t="s">
        <v>161</v>
      </c>
      <c r="K26" s="572" t="s">
        <v>162</v>
      </c>
      <c r="L26" s="572" t="s">
        <v>163</v>
      </c>
      <c r="M26" s="573">
        <f t="shared" si="0"/>
        <v>100</v>
      </c>
      <c r="N26" s="574" t="s">
        <v>147</v>
      </c>
      <c r="O26" s="575">
        <f>'[14]B1&amp; B2 UNSCHEDULED'!$O$24</f>
        <v>0</v>
      </c>
      <c r="P26" s="574"/>
      <c r="Q26" s="574" t="s">
        <v>147</v>
      </c>
      <c r="R26" s="576">
        <f t="shared" si="3"/>
        <v>1.1826388888875954</v>
      </c>
      <c r="S26" s="577">
        <f t="shared" si="1"/>
        <v>46155</v>
      </c>
      <c r="T26" s="578">
        <v>0</v>
      </c>
      <c r="U26" s="579">
        <f t="shared" si="2"/>
        <v>0</v>
      </c>
      <c r="V26" s="580" t="s">
        <v>164</v>
      </c>
    </row>
    <row r="27" spans="1:23" s="590" customFormat="1" ht="258.75" customHeight="1">
      <c r="A27" s="565">
        <v>4</v>
      </c>
      <c r="B27" s="566" t="s">
        <v>165</v>
      </c>
      <c r="C27" s="582" t="str">
        <f>VLOOKUP(B27,[13]AssetDetails_UEM!$A$3:$AH$1849,6,FALSE)</f>
        <v>Infusion Pumps, General-Purpose</v>
      </c>
      <c r="D27" s="583">
        <f>VLOOKUP(B27,[13]AssetDetails_UEM!$A$3:$AK$1849,22,FALSE)</f>
        <v>10825</v>
      </c>
      <c r="E27" s="566" t="s">
        <v>166</v>
      </c>
      <c r="F27" s="566" t="s">
        <v>167</v>
      </c>
      <c r="G27" s="584" t="s">
        <v>928</v>
      </c>
      <c r="H27" s="570" t="s">
        <v>142</v>
      </c>
      <c r="I27" s="571" t="s">
        <v>1558</v>
      </c>
      <c r="J27" s="572" t="s">
        <v>168</v>
      </c>
      <c r="K27" s="592">
        <v>46148.458333333336</v>
      </c>
      <c r="L27" s="592">
        <v>46149.395833333336</v>
      </c>
      <c r="M27" s="585">
        <f t="shared" si="0"/>
        <v>30</v>
      </c>
      <c r="N27" s="586" t="s">
        <v>147</v>
      </c>
      <c r="O27" s="587">
        <f>'[14]B1&amp; B2 UNSCHEDULED'!$O$24</f>
        <v>0</v>
      </c>
      <c r="P27" s="586"/>
      <c r="Q27" s="586" t="s">
        <v>147</v>
      </c>
      <c r="R27" s="593">
        <f t="shared" si="3"/>
        <v>1.945833333338669</v>
      </c>
      <c r="S27" s="588">
        <f t="shared" si="1"/>
        <v>46156</v>
      </c>
      <c r="T27" s="565">
        <v>0</v>
      </c>
      <c r="U27" s="589">
        <f t="shared" si="2"/>
        <v>0</v>
      </c>
      <c r="V27" s="580" t="s">
        <v>1560</v>
      </c>
    </row>
    <row r="28" spans="1:23" s="581" customFormat="1" ht="270" customHeight="1">
      <c r="A28" s="565">
        <v>5</v>
      </c>
      <c r="B28" s="594" t="s">
        <v>169</v>
      </c>
      <c r="C28" s="567" t="str">
        <f>VLOOKUP(B28,[13]AssetDetails_UEM!$A$3:$AH$1849,6,FALSE)</f>
        <v>Infusion Pumps, General-Purpose</v>
      </c>
      <c r="D28" s="568">
        <f>VLOOKUP(B28,[13]AssetDetails_UEM!$A$3:$AK$1849,22,FALSE)</f>
        <v>10825</v>
      </c>
      <c r="E28" s="594" t="s">
        <v>170</v>
      </c>
      <c r="F28" s="594" t="s">
        <v>171</v>
      </c>
      <c r="G28" s="595" t="s">
        <v>929</v>
      </c>
      <c r="H28" s="596" t="s">
        <v>142</v>
      </c>
      <c r="I28" s="597" t="s">
        <v>441</v>
      </c>
      <c r="J28" s="598" t="s">
        <v>172</v>
      </c>
      <c r="K28" s="599">
        <v>46148.732638888891</v>
      </c>
      <c r="L28" s="598" t="s">
        <v>1570</v>
      </c>
      <c r="M28" s="573">
        <f t="shared" si="0"/>
        <v>30</v>
      </c>
      <c r="N28" s="574" t="s">
        <v>147</v>
      </c>
      <c r="O28" s="575">
        <f>'[14]B1&amp; B2 UNSCHEDULED'!$O$24</f>
        <v>0</v>
      </c>
      <c r="P28" s="578"/>
      <c r="Q28" s="574" t="s">
        <v>147</v>
      </c>
      <c r="R28" s="576">
        <v>7</v>
      </c>
      <c r="S28" s="577">
        <f t="shared" si="1"/>
        <v>46156</v>
      </c>
      <c r="T28" s="578">
        <v>0</v>
      </c>
      <c r="U28" s="579">
        <f t="shared" si="2"/>
        <v>0</v>
      </c>
      <c r="V28" s="600" t="s">
        <v>1571</v>
      </c>
    </row>
    <row r="29" spans="1:23" s="590" customFormat="1" ht="409.6" customHeight="1">
      <c r="A29" s="565">
        <v>6</v>
      </c>
      <c r="B29" s="566" t="s">
        <v>173</v>
      </c>
      <c r="C29" s="582" t="str">
        <f>VLOOKUP(B29,[13]AssetDetails_UEM!$A$3:$AH$1849,6,FALSE)</f>
        <v>Infusion Pumps, General-Purpose</v>
      </c>
      <c r="D29" s="583">
        <f>VLOOKUP(B29,[13]AssetDetails_UEM!$A$3:$AK$1849,22,FALSE)</f>
        <v>10825</v>
      </c>
      <c r="E29" s="566" t="s">
        <v>174</v>
      </c>
      <c r="F29" s="566" t="s">
        <v>175</v>
      </c>
      <c r="G29" s="584" t="s">
        <v>930</v>
      </c>
      <c r="H29" s="570" t="s">
        <v>142</v>
      </c>
      <c r="I29" s="571" t="s">
        <v>176</v>
      </c>
      <c r="J29" s="572" t="s">
        <v>177</v>
      </c>
      <c r="K29" s="572" t="s">
        <v>178</v>
      </c>
      <c r="L29" s="572" t="s">
        <v>179</v>
      </c>
      <c r="M29" s="585">
        <f t="shared" si="0"/>
        <v>30</v>
      </c>
      <c r="N29" s="586" t="s">
        <v>147</v>
      </c>
      <c r="O29" s="587">
        <f>'[14]B1&amp; B2 UNSCHEDULED'!$O$24</f>
        <v>0</v>
      </c>
      <c r="P29" s="586"/>
      <c r="Q29" s="586" t="s">
        <v>147</v>
      </c>
      <c r="R29" s="576">
        <f t="shared" si="3"/>
        <v>3.038888888891961</v>
      </c>
      <c r="S29" s="588">
        <f t="shared" si="1"/>
        <v>46156</v>
      </c>
      <c r="T29" s="565">
        <v>0</v>
      </c>
      <c r="U29" s="589">
        <f t="shared" si="2"/>
        <v>0</v>
      </c>
      <c r="V29" s="580" t="s">
        <v>180</v>
      </c>
    </row>
    <row r="30" spans="1:23" s="601" customFormat="1" ht="240">
      <c r="A30" s="565">
        <v>7</v>
      </c>
      <c r="B30" s="566" t="s">
        <v>181</v>
      </c>
      <c r="C30" s="582" t="str">
        <f>VLOOKUP(B30,[13]AssetDetails_UEM!$A$3:$AH$1849,6,FALSE)</f>
        <v>Linear Accelerators</v>
      </c>
      <c r="D30" s="583">
        <f>VLOOKUP(B30,[13]AssetDetails_UEM!$A$3:$AK$1849,22,FALSE)</f>
        <v>21961900</v>
      </c>
      <c r="E30" s="566" t="s">
        <v>182</v>
      </c>
      <c r="F30" s="566" t="s">
        <v>183</v>
      </c>
      <c r="G30" s="584" t="s">
        <v>931</v>
      </c>
      <c r="H30" s="570" t="s">
        <v>142</v>
      </c>
      <c r="I30" s="571" t="s">
        <v>184</v>
      </c>
      <c r="J30" s="572" t="s">
        <v>185</v>
      </c>
      <c r="K30" s="572" t="s">
        <v>186</v>
      </c>
      <c r="L30" s="572" t="s">
        <v>187</v>
      </c>
      <c r="M30" s="585">
        <f t="shared" si="0"/>
        <v>100</v>
      </c>
      <c r="N30" s="586" t="s">
        <v>147</v>
      </c>
      <c r="O30" s="587">
        <f>'[14]B1&amp; B2 UNSCHEDULED'!$O$24</f>
        <v>0</v>
      </c>
      <c r="P30" s="586"/>
      <c r="Q30" s="586" t="s">
        <v>147</v>
      </c>
      <c r="R30" s="576">
        <f t="shared" si="3"/>
        <v>1.4104166666656965</v>
      </c>
      <c r="S30" s="588">
        <f t="shared" si="1"/>
        <v>46157</v>
      </c>
      <c r="T30" s="565">
        <v>0</v>
      </c>
      <c r="U30" s="589">
        <f t="shared" si="2"/>
        <v>0</v>
      </c>
      <c r="V30" s="580" t="s">
        <v>188</v>
      </c>
      <c r="W30" s="590"/>
    </row>
    <row r="31" spans="1:23" s="590" customFormat="1" ht="228.75" customHeight="1">
      <c r="A31" s="565">
        <v>8</v>
      </c>
      <c r="B31" s="566" t="s">
        <v>1561</v>
      </c>
      <c r="C31" s="582" t="str">
        <f>VLOOKUP(B31,[13]AssetDetails_UEM!$A$3:$AH$1849,6,FALSE)</f>
        <v>Mattress Systems, Alternating-Pressure</v>
      </c>
      <c r="D31" s="583">
        <f>VLOOKUP(B31,[13]AssetDetails_UEM!$A$3:$AK$1849,22,FALSE)</f>
        <v>28630</v>
      </c>
      <c r="E31" s="566" t="s">
        <v>189</v>
      </c>
      <c r="F31" s="566" t="s">
        <v>190</v>
      </c>
      <c r="G31" s="584" t="s">
        <v>932</v>
      </c>
      <c r="H31" s="570" t="s">
        <v>142</v>
      </c>
      <c r="I31" s="571" t="s">
        <v>191</v>
      </c>
      <c r="J31" s="572" t="s">
        <v>192</v>
      </c>
      <c r="K31" s="572" t="s">
        <v>193</v>
      </c>
      <c r="L31" s="572" t="s">
        <v>194</v>
      </c>
      <c r="M31" s="585">
        <f t="shared" si="0"/>
        <v>60</v>
      </c>
      <c r="N31" s="586" t="s">
        <v>147</v>
      </c>
      <c r="O31" s="587">
        <f>'[14]B1&amp; B2 UNSCHEDULED'!$O$24</f>
        <v>0</v>
      </c>
      <c r="P31" s="586"/>
      <c r="Q31" s="586" t="s">
        <v>147</v>
      </c>
      <c r="R31" s="576">
        <f t="shared" si="3"/>
        <v>1.1451388888890506</v>
      </c>
      <c r="S31" s="588">
        <f t="shared" si="1"/>
        <v>46160</v>
      </c>
      <c r="T31" s="565">
        <v>0</v>
      </c>
      <c r="U31" s="589">
        <f t="shared" si="2"/>
        <v>0</v>
      </c>
      <c r="V31" s="580" t="s">
        <v>195</v>
      </c>
    </row>
    <row r="32" spans="1:23" s="590" customFormat="1" ht="210" customHeight="1">
      <c r="A32" s="565">
        <v>9</v>
      </c>
      <c r="B32" s="566" t="s">
        <v>196</v>
      </c>
      <c r="C32" s="582" t="str">
        <f>VLOOKUP(B32,[13]AssetDetails_UEM!$A$3:$AH$1849,6,FALSE)</f>
        <v>Mattress Systems, Alternating-Pressure</v>
      </c>
      <c r="D32" s="583">
        <f>VLOOKUP(B32,[13]AssetDetails_UEM!$A$3:$AK$1849,22,FALSE)</f>
        <v>28630</v>
      </c>
      <c r="E32" s="566" t="s">
        <v>197</v>
      </c>
      <c r="F32" s="566" t="s">
        <v>167</v>
      </c>
      <c r="G32" s="584" t="s">
        <v>933</v>
      </c>
      <c r="H32" s="570" t="s">
        <v>142</v>
      </c>
      <c r="I32" s="571" t="s">
        <v>198</v>
      </c>
      <c r="J32" s="572" t="s">
        <v>199</v>
      </c>
      <c r="K32" s="572" t="s">
        <v>200</v>
      </c>
      <c r="L32" s="572" t="s">
        <v>201</v>
      </c>
      <c r="M32" s="585">
        <f t="shared" si="0"/>
        <v>60</v>
      </c>
      <c r="N32" s="586" t="s">
        <v>147</v>
      </c>
      <c r="O32" s="587">
        <f>'[14]B1&amp; B2 UNSCHEDULED'!$O$24</f>
        <v>0</v>
      </c>
      <c r="P32" s="586"/>
      <c r="Q32" s="586" t="s">
        <v>147</v>
      </c>
      <c r="R32" s="593">
        <f t="shared" si="3"/>
        <v>1.0597222222277196</v>
      </c>
      <c r="S32" s="588">
        <f t="shared" si="1"/>
        <v>46160</v>
      </c>
      <c r="T32" s="565">
        <v>0</v>
      </c>
      <c r="U32" s="589">
        <f t="shared" si="2"/>
        <v>0</v>
      </c>
      <c r="V32" s="580" t="s">
        <v>202</v>
      </c>
    </row>
    <row r="33" spans="1:23" s="603" customFormat="1" ht="293.25" customHeight="1">
      <c r="A33" s="565">
        <v>10</v>
      </c>
      <c r="B33" s="566" t="s">
        <v>203</v>
      </c>
      <c r="C33" s="582" t="str">
        <f>VLOOKUP(B33,[13]AssetDetails_UEM!$A$3:$AH$1849,6,FALSE)</f>
        <v>Scanning Systems, Computed Tomography/ Positron Emission Tomography</v>
      </c>
      <c r="D33" s="583">
        <f>VLOOKUP(B33,[13]AssetDetails_UEM!$A$3:$AK$1849,22,FALSE)</f>
        <v>3413750</v>
      </c>
      <c r="E33" s="566" t="s">
        <v>204</v>
      </c>
      <c r="F33" s="566" t="s">
        <v>205</v>
      </c>
      <c r="G33" s="584" t="s">
        <v>934</v>
      </c>
      <c r="H33" s="570" t="s">
        <v>142</v>
      </c>
      <c r="I33" s="571" t="s">
        <v>206</v>
      </c>
      <c r="J33" s="572" t="s">
        <v>146</v>
      </c>
      <c r="K33" s="572" t="s">
        <v>207</v>
      </c>
      <c r="L33" s="572" t="s">
        <v>194</v>
      </c>
      <c r="M33" s="585">
        <f t="shared" si="0"/>
        <v>100</v>
      </c>
      <c r="N33" s="586" t="s">
        <v>147</v>
      </c>
      <c r="O33" s="602">
        <f>'[14]B1&amp; B2 UNSCHEDULED'!$O$24</f>
        <v>0</v>
      </c>
      <c r="P33" s="565"/>
      <c r="Q33" s="586" t="s">
        <v>147</v>
      </c>
      <c r="R33" s="593">
        <f t="shared" si="3"/>
        <v>1.25</v>
      </c>
      <c r="S33" s="588">
        <f>WORKDAY(J33,6,AKHIR)</f>
        <v>46160</v>
      </c>
      <c r="T33" s="565">
        <v>0</v>
      </c>
      <c r="U33" s="589">
        <f t="shared" si="2"/>
        <v>0</v>
      </c>
      <c r="V33" s="580" t="s">
        <v>208</v>
      </c>
    </row>
    <row r="34" spans="1:23" s="601" customFormat="1" ht="241.5" customHeight="1">
      <c r="A34" s="565">
        <v>11</v>
      </c>
      <c r="B34" s="566" t="s">
        <v>209</v>
      </c>
      <c r="C34" s="582" t="str">
        <f>VLOOKUP(B34,[13]AssetDetails_UEM!$A$3:$AH$1849,6,FALSE)</f>
        <v>Sphygmomanometers, Electronic, Automatic</v>
      </c>
      <c r="D34" s="583">
        <f>VLOOKUP(B34,[13]AssetDetails_UEM!$A$3:$AK$1849,22,FALSE)</f>
        <v>4510</v>
      </c>
      <c r="E34" s="566" t="s">
        <v>210</v>
      </c>
      <c r="F34" s="566" t="s">
        <v>211</v>
      </c>
      <c r="G34" s="569" t="s">
        <v>212</v>
      </c>
      <c r="H34" s="570" t="s">
        <v>142</v>
      </c>
      <c r="I34" s="571" t="s">
        <v>213</v>
      </c>
      <c r="J34" s="572" t="s">
        <v>214</v>
      </c>
      <c r="K34" s="572" t="s">
        <v>215</v>
      </c>
      <c r="L34" s="572" t="s">
        <v>216</v>
      </c>
      <c r="M34" s="585">
        <f t="shared" si="0"/>
        <v>10</v>
      </c>
      <c r="N34" s="586" t="s">
        <v>147</v>
      </c>
      <c r="O34" s="587">
        <f>'[14]B1&amp; B2 UNSCHEDULED'!$O$24</f>
        <v>0</v>
      </c>
      <c r="P34" s="586"/>
      <c r="Q34" s="586" t="s">
        <v>147</v>
      </c>
      <c r="R34" s="593">
        <f t="shared" si="3"/>
        <v>1.0340277777722804</v>
      </c>
      <c r="S34" s="588">
        <f t="shared" si="1"/>
        <v>46161</v>
      </c>
      <c r="T34" s="565">
        <v>0</v>
      </c>
      <c r="U34" s="589">
        <f t="shared" si="2"/>
        <v>0</v>
      </c>
      <c r="V34" s="580" t="s">
        <v>217</v>
      </c>
      <c r="W34" s="590"/>
    </row>
    <row r="35" spans="1:23" s="590" customFormat="1" ht="264" customHeight="1">
      <c r="A35" s="565">
        <v>12</v>
      </c>
      <c r="B35" s="566" t="s">
        <v>218</v>
      </c>
      <c r="C35" s="582" t="str">
        <f>VLOOKUP(B35,[13]AssetDetails_UEM!$A$3:$AH$1849,6,FALSE)</f>
        <v>Mattress Systems, Alternating-Pressure</v>
      </c>
      <c r="D35" s="583">
        <f>VLOOKUP(B35,[13]AssetDetails_UEM!$A$3:$AK$1849,22,FALSE)</f>
        <v>28630</v>
      </c>
      <c r="E35" s="566" t="s">
        <v>219</v>
      </c>
      <c r="F35" s="566" t="s">
        <v>175</v>
      </c>
      <c r="G35" s="569" t="s">
        <v>220</v>
      </c>
      <c r="H35" s="570" t="s">
        <v>142</v>
      </c>
      <c r="I35" s="571" t="s">
        <v>184</v>
      </c>
      <c r="J35" s="572" t="s">
        <v>221</v>
      </c>
      <c r="K35" s="572" t="s">
        <v>216</v>
      </c>
      <c r="L35" s="572" t="s">
        <v>222</v>
      </c>
      <c r="M35" s="585">
        <f t="shared" si="0"/>
        <v>60</v>
      </c>
      <c r="N35" s="586" t="s">
        <v>147</v>
      </c>
      <c r="O35" s="587">
        <f>'[14]B1&amp; B2 UNSCHEDULED'!$O$24</f>
        <v>0</v>
      </c>
      <c r="P35" s="565"/>
      <c r="Q35" s="586" t="s">
        <v>147</v>
      </c>
      <c r="R35" s="593">
        <f t="shared" ref="R35:R40" si="4">IF(L35="",AKHIR-J35,L35-J35+1)</f>
        <v>1.0979166666656965</v>
      </c>
      <c r="S35" s="588">
        <f t="shared" si="1"/>
        <v>46161</v>
      </c>
      <c r="T35" s="565">
        <v>0</v>
      </c>
      <c r="U35" s="589">
        <f t="shared" si="2"/>
        <v>0</v>
      </c>
      <c r="V35" s="580" t="s">
        <v>223</v>
      </c>
    </row>
    <row r="36" spans="1:23" s="581" customFormat="1" ht="233.25" customHeight="1">
      <c r="A36" s="565">
        <v>13</v>
      </c>
      <c r="B36" s="566" t="s">
        <v>224</v>
      </c>
      <c r="C36" s="567" t="str">
        <f>VLOOKUP(B36,[13]AssetDetails_UEM!$A$3:$AH$1849,6,FALSE)</f>
        <v>Concentrators, Oxygen</v>
      </c>
      <c r="D36" s="568">
        <f>VLOOKUP(B36,[13]AssetDetails_UEM!$A$3:$AK$1849,22,FALSE)</f>
        <v>3400</v>
      </c>
      <c r="E36" s="566" t="s">
        <v>225</v>
      </c>
      <c r="F36" s="566" t="s">
        <v>226</v>
      </c>
      <c r="G36" s="569" t="s">
        <v>227</v>
      </c>
      <c r="H36" s="604" t="s">
        <v>940</v>
      </c>
      <c r="I36" s="571" t="s">
        <v>206</v>
      </c>
      <c r="J36" s="572" t="s">
        <v>229</v>
      </c>
      <c r="K36" s="572" t="s">
        <v>230</v>
      </c>
      <c r="L36" s="572" t="s">
        <v>231</v>
      </c>
      <c r="M36" s="573">
        <f t="shared" si="0"/>
        <v>10</v>
      </c>
      <c r="N36" s="574" t="s">
        <v>147</v>
      </c>
      <c r="O36" s="575">
        <f>'[14]B1&amp; B2 UNSCHEDULED'!$O$24</f>
        <v>0</v>
      </c>
      <c r="P36" s="578"/>
      <c r="Q36" s="574" t="s">
        <v>147</v>
      </c>
      <c r="R36" s="593">
        <f t="shared" si="4"/>
        <v>1.0486111111167702</v>
      </c>
      <c r="S36" s="577">
        <f t="shared" si="1"/>
        <v>46161</v>
      </c>
      <c r="T36" s="578">
        <v>0</v>
      </c>
      <c r="U36" s="579">
        <f t="shared" si="2"/>
        <v>0</v>
      </c>
      <c r="V36" s="580" t="s">
        <v>232</v>
      </c>
    </row>
    <row r="37" spans="1:23" s="581" customFormat="1" ht="180">
      <c r="A37" s="565">
        <v>14</v>
      </c>
      <c r="B37" s="566" t="s">
        <v>233</v>
      </c>
      <c r="C37" s="567" t="str">
        <f>VLOOKUP(B37,[13]AssetDetails_UEM!$A$3:$AH$1849,6,FALSE)</f>
        <v>Ultrasound</v>
      </c>
      <c r="D37" s="568">
        <v>164800</v>
      </c>
      <c r="E37" s="566" t="s">
        <v>234</v>
      </c>
      <c r="F37" s="566" t="s">
        <v>235</v>
      </c>
      <c r="G37" s="569" t="s">
        <v>236</v>
      </c>
      <c r="H37" s="604" t="s">
        <v>940</v>
      </c>
      <c r="I37" s="571" t="s">
        <v>152</v>
      </c>
      <c r="J37" s="572" t="s">
        <v>237</v>
      </c>
      <c r="K37" s="572" t="s">
        <v>238</v>
      </c>
      <c r="L37" s="572" t="s">
        <v>229</v>
      </c>
      <c r="M37" s="573">
        <f t="shared" si="0"/>
        <v>100</v>
      </c>
      <c r="N37" s="574" t="s">
        <v>147</v>
      </c>
      <c r="O37" s="575">
        <f>'[14]B1&amp; B2 UNSCHEDULED'!$O$24</f>
        <v>0</v>
      </c>
      <c r="P37" s="578"/>
      <c r="Q37" s="574" t="s">
        <v>147</v>
      </c>
      <c r="R37" s="593">
        <f t="shared" si="4"/>
        <v>1.0833333333284827</v>
      </c>
      <c r="S37" s="577">
        <f t="shared" si="1"/>
        <v>46161</v>
      </c>
      <c r="T37" s="578">
        <v>0</v>
      </c>
      <c r="U37" s="579">
        <f t="shared" si="2"/>
        <v>0</v>
      </c>
      <c r="V37" s="580" t="s">
        <v>239</v>
      </c>
    </row>
    <row r="38" spans="1:23" s="590" customFormat="1" ht="360">
      <c r="A38" s="565">
        <v>15</v>
      </c>
      <c r="B38" s="566" t="s">
        <v>240</v>
      </c>
      <c r="C38" s="582" t="str">
        <f>VLOOKUP(B38,[13]AssetDetails_UEM!$A$3:$AH$1849,6,FALSE)</f>
        <v>Electrocardiographs, Multichannel, Interpretative</v>
      </c>
      <c r="D38" s="583">
        <f>VLOOKUP(B38,[13]AssetDetails_UEM!$A$3:$AK$1849,22,FALSE)</f>
        <v>5590.2</v>
      </c>
      <c r="E38" s="566" t="s">
        <v>241</v>
      </c>
      <c r="F38" s="566" t="s">
        <v>242</v>
      </c>
      <c r="G38" s="584" t="s">
        <v>935</v>
      </c>
      <c r="H38" s="570" t="s">
        <v>142</v>
      </c>
      <c r="I38" s="571" t="s">
        <v>243</v>
      </c>
      <c r="J38" s="572" t="s">
        <v>244</v>
      </c>
      <c r="K38" s="572" t="s">
        <v>245</v>
      </c>
      <c r="L38" s="572" t="s">
        <v>246</v>
      </c>
      <c r="M38" s="585">
        <f t="shared" si="0"/>
        <v>20</v>
      </c>
      <c r="N38" s="586" t="s">
        <v>147</v>
      </c>
      <c r="O38" s="587">
        <f>'[14]B1&amp; B2 UNSCHEDULED'!$O$24</f>
        <v>0</v>
      </c>
      <c r="P38" s="565"/>
      <c r="Q38" s="586" t="s">
        <v>147</v>
      </c>
      <c r="R38" s="593">
        <f t="shared" si="4"/>
        <v>1.0840277777751908</v>
      </c>
      <c r="S38" s="588">
        <f t="shared" si="1"/>
        <v>46162</v>
      </c>
      <c r="T38" s="565">
        <v>0</v>
      </c>
      <c r="U38" s="589">
        <f t="shared" si="2"/>
        <v>0</v>
      </c>
      <c r="V38" s="580" t="s">
        <v>1629</v>
      </c>
    </row>
    <row r="39" spans="1:23" s="603" customFormat="1" ht="225.75" customHeight="1">
      <c r="A39" s="565">
        <v>16</v>
      </c>
      <c r="B39" s="566" t="s">
        <v>247</v>
      </c>
      <c r="C39" s="582" t="str">
        <f>VLOOKUP(B39,[13]AssetDetails_UEM!$A$3:$AH$1849,6,FALSE)</f>
        <v>Scanning Systems, Computed Tomography/ Positron Emission Tomography</v>
      </c>
      <c r="D39" s="583">
        <f>VLOOKUP(B39,[13]AssetDetails_UEM!$A$3:$AK$1849,22,FALSE)</f>
        <v>3410390</v>
      </c>
      <c r="E39" s="566" t="s">
        <v>248</v>
      </c>
      <c r="F39" s="566" t="s">
        <v>249</v>
      </c>
      <c r="G39" s="584" t="s">
        <v>936</v>
      </c>
      <c r="H39" s="604" t="s">
        <v>940</v>
      </c>
      <c r="I39" s="571" t="s">
        <v>250</v>
      </c>
      <c r="J39" s="572" t="s">
        <v>251</v>
      </c>
      <c r="K39" s="572" t="s">
        <v>252</v>
      </c>
      <c r="L39" s="572" t="s">
        <v>253</v>
      </c>
      <c r="M39" s="585">
        <f t="shared" si="0"/>
        <v>100</v>
      </c>
      <c r="N39" s="586" t="s">
        <v>147</v>
      </c>
      <c r="O39" s="602">
        <f>'[14]B1&amp; B2 UNSCHEDULED'!$O$24</f>
        <v>0</v>
      </c>
      <c r="P39" s="565"/>
      <c r="Q39" s="586" t="s">
        <v>147</v>
      </c>
      <c r="R39" s="593">
        <f t="shared" si="4"/>
        <v>1.1354166666715173</v>
      </c>
      <c r="S39" s="588">
        <f t="shared" si="1"/>
        <v>46162</v>
      </c>
      <c r="T39" s="565">
        <v>0</v>
      </c>
      <c r="U39" s="589">
        <f t="shared" si="2"/>
        <v>0</v>
      </c>
      <c r="V39" s="580" t="s">
        <v>254</v>
      </c>
    </row>
    <row r="40" spans="1:23" s="581" customFormat="1" ht="255" customHeight="1">
      <c r="A40" s="565">
        <v>17</v>
      </c>
      <c r="B40" s="566" t="s">
        <v>203</v>
      </c>
      <c r="C40" s="567" t="str">
        <f>VLOOKUP(B40,[13]AssetDetails_UEM!$A$3:$AH$1849,6,FALSE)</f>
        <v>Scanning Systems, Computed Tomography/ Positron Emission Tomography</v>
      </c>
      <c r="D40" s="568">
        <f>VLOOKUP(B40,[13]AssetDetails_UEM!$A$3:$AK$1849,22,FALSE)</f>
        <v>3413750</v>
      </c>
      <c r="E40" s="566" t="s">
        <v>255</v>
      </c>
      <c r="F40" s="566" t="s">
        <v>205</v>
      </c>
      <c r="G40" s="584" t="s">
        <v>937</v>
      </c>
      <c r="H40" s="604" t="s">
        <v>940</v>
      </c>
      <c r="I40" s="571" t="s">
        <v>250</v>
      </c>
      <c r="J40" s="572" t="s">
        <v>251</v>
      </c>
      <c r="K40" s="572" t="s">
        <v>252</v>
      </c>
      <c r="L40" s="572" t="s">
        <v>256</v>
      </c>
      <c r="M40" s="573">
        <f t="shared" si="0"/>
        <v>100</v>
      </c>
      <c r="N40" s="574" t="s">
        <v>147</v>
      </c>
      <c r="O40" s="575">
        <f>'[14]B1&amp; B2 UNSCHEDULED'!$O$24</f>
        <v>0</v>
      </c>
      <c r="P40" s="578"/>
      <c r="Q40" s="574" t="s">
        <v>147</v>
      </c>
      <c r="R40" s="576">
        <f t="shared" si="4"/>
        <v>1.25</v>
      </c>
      <c r="S40" s="577">
        <f>WORKDAY(J40,6,AKHIR)</f>
        <v>46162</v>
      </c>
      <c r="T40" s="578">
        <v>0</v>
      </c>
      <c r="U40" s="579">
        <f t="shared" si="2"/>
        <v>0</v>
      </c>
      <c r="V40" s="580" t="s">
        <v>257</v>
      </c>
    </row>
    <row r="41" spans="1:23" s="590" customFormat="1" ht="297.45" customHeight="1">
      <c r="A41" s="565">
        <v>18</v>
      </c>
      <c r="B41" s="566" t="s">
        <v>258</v>
      </c>
      <c r="C41" s="582" t="str">
        <f>VLOOKUP(B41,[13]AssetDetails_UEM!$A$3:$AH$1849,6,FALSE)</f>
        <v>Physiologic Monitoring Systems, Acute Care</v>
      </c>
      <c r="D41" s="583">
        <f>VLOOKUP(B41,[13]AssetDetails_UEM!$A$3:$AK$1849,22,FALSE)</f>
        <v>87400</v>
      </c>
      <c r="E41" s="566" t="s">
        <v>259</v>
      </c>
      <c r="F41" s="566" t="s">
        <v>260</v>
      </c>
      <c r="G41" s="569" t="s">
        <v>261</v>
      </c>
      <c r="H41" s="570" t="s">
        <v>142</v>
      </c>
      <c r="I41" s="571" t="s">
        <v>1556</v>
      </c>
      <c r="J41" s="572" t="s">
        <v>246</v>
      </c>
      <c r="K41" s="592">
        <v>46154.545138888891</v>
      </c>
      <c r="L41" s="592">
        <v>46154.5625</v>
      </c>
      <c r="M41" s="585">
        <f t="shared" si="0"/>
        <v>100</v>
      </c>
      <c r="N41" s="586" t="s">
        <v>147</v>
      </c>
      <c r="O41" s="587">
        <f>'[14]B1&amp; B2 UNSCHEDULED'!$O$24</f>
        <v>0</v>
      </c>
      <c r="P41" s="565"/>
      <c r="Q41" s="586" t="s">
        <v>147</v>
      </c>
      <c r="R41" s="593">
        <f t="shared" ref="R41:R51" si="5">IF(L41="",AKHIR-J41,L41-J41+1)</f>
        <v>1.0208333333357587</v>
      </c>
      <c r="S41" s="588">
        <f t="shared" si="1"/>
        <v>46162</v>
      </c>
      <c r="T41" s="565">
        <v>0</v>
      </c>
      <c r="U41" s="589">
        <f t="shared" si="2"/>
        <v>0</v>
      </c>
      <c r="V41" s="580" t="s">
        <v>1557</v>
      </c>
    </row>
    <row r="42" spans="1:23" s="581" customFormat="1" ht="291" customHeight="1">
      <c r="A42" s="565">
        <v>19</v>
      </c>
      <c r="B42" s="566" t="s">
        <v>262</v>
      </c>
      <c r="C42" s="567" t="str">
        <f>VLOOKUP(B42,[13]AssetDetails_UEM!$A$3:$AH$1849,6,FALSE)</f>
        <v>Infusion Pumps, General-Purpose</v>
      </c>
      <c r="D42" s="568">
        <f>VLOOKUP(B42,[13]AssetDetails_UEM!$A$3:$AK$1849,22,FALSE)</f>
        <v>10825</v>
      </c>
      <c r="E42" s="566" t="s">
        <v>263</v>
      </c>
      <c r="F42" s="566" t="s">
        <v>264</v>
      </c>
      <c r="G42" s="584" t="s">
        <v>938</v>
      </c>
      <c r="H42" s="570" t="s">
        <v>142</v>
      </c>
      <c r="I42" s="571" t="s">
        <v>265</v>
      </c>
      <c r="J42" s="572" t="s">
        <v>266</v>
      </c>
      <c r="K42" s="572" t="s">
        <v>267</v>
      </c>
      <c r="L42" s="572" t="s">
        <v>268</v>
      </c>
      <c r="M42" s="573">
        <f t="shared" si="0"/>
        <v>30</v>
      </c>
      <c r="N42" s="574" t="s">
        <v>147</v>
      </c>
      <c r="O42" s="575">
        <f>'[14]B1&amp; B2 UNSCHEDULED'!$O$24</f>
        <v>0</v>
      </c>
      <c r="P42" s="578"/>
      <c r="Q42" s="574" t="s">
        <v>147</v>
      </c>
      <c r="R42" s="576">
        <f t="shared" si="5"/>
        <v>1.1520833333343035</v>
      </c>
      <c r="S42" s="577">
        <f t="shared" si="1"/>
        <v>46163</v>
      </c>
      <c r="T42" s="578">
        <v>0</v>
      </c>
      <c r="U42" s="579">
        <f t="shared" si="2"/>
        <v>0</v>
      </c>
      <c r="V42" s="580" t="s">
        <v>1628</v>
      </c>
    </row>
    <row r="43" spans="1:23" s="601" customFormat="1" ht="202.5" customHeight="1">
      <c r="A43" s="565">
        <v>20</v>
      </c>
      <c r="B43" s="566" t="s">
        <v>203</v>
      </c>
      <c r="C43" s="582" t="str">
        <f>VLOOKUP(B43,[13]AssetDetails_UEM!$A$3:$AH$1849,6,FALSE)</f>
        <v>Scanning Systems, Computed Tomography/ Positron Emission Tomography</v>
      </c>
      <c r="D43" s="583">
        <f>VLOOKUP(B43,[13]AssetDetails_UEM!$A$3:$AK$1849,22,FALSE)</f>
        <v>3413750</v>
      </c>
      <c r="E43" s="566" t="s">
        <v>269</v>
      </c>
      <c r="F43" s="566" t="s">
        <v>205</v>
      </c>
      <c r="G43" s="584" t="s">
        <v>939</v>
      </c>
      <c r="H43" s="570" t="s">
        <v>142</v>
      </c>
      <c r="I43" s="571" t="s">
        <v>250</v>
      </c>
      <c r="J43" s="572" t="s">
        <v>270</v>
      </c>
      <c r="K43" s="572" t="s">
        <v>271</v>
      </c>
      <c r="L43" s="572" t="s">
        <v>272</v>
      </c>
      <c r="M43" s="585">
        <f t="shared" si="0"/>
        <v>100</v>
      </c>
      <c r="N43" s="586" t="s">
        <v>147</v>
      </c>
      <c r="O43" s="587">
        <f>'[14]B1&amp; B2 UNSCHEDULED'!$O$24</f>
        <v>0</v>
      </c>
      <c r="P43" s="565"/>
      <c r="Q43" s="586" t="s">
        <v>147</v>
      </c>
      <c r="R43" s="593">
        <f t="shared" si="5"/>
        <v>1.0625</v>
      </c>
      <c r="S43" s="588">
        <f t="shared" si="1"/>
        <v>46163</v>
      </c>
      <c r="T43" s="565">
        <v>0</v>
      </c>
      <c r="U43" s="589">
        <f t="shared" si="2"/>
        <v>0</v>
      </c>
      <c r="V43" s="580" t="s">
        <v>273</v>
      </c>
      <c r="W43" s="590"/>
    </row>
    <row r="44" spans="1:23" s="590" customFormat="1" ht="246.45" customHeight="1">
      <c r="A44" s="565">
        <v>21</v>
      </c>
      <c r="B44" s="566" t="s">
        <v>274</v>
      </c>
      <c r="C44" s="582" t="str">
        <f>VLOOKUP(B44,[13]AssetDetails_UEM!$A$3:$AH$1849,6,FALSE)</f>
        <v>Physiologic Monitoring Systems, Acute Care</v>
      </c>
      <c r="D44" s="583">
        <f>VLOOKUP(B44,[13]AssetDetails_UEM!$A$3:$AK$1849,22,FALSE)</f>
        <v>119690</v>
      </c>
      <c r="E44" s="566" t="s">
        <v>275</v>
      </c>
      <c r="F44" s="566" t="s">
        <v>276</v>
      </c>
      <c r="G44" s="569" t="s">
        <v>277</v>
      </c>
      <c r="H44" s="570" t="s">
        <v>142</v>
      </c>
      <c r="I44" s="571" t="s">
        <v>278</v>
      </c>
      <c r="J44" s="572" t="s">
        <v>279</v>
      </c>
      <c r="K44" s="572" t="s">
        <v>280</v>
      </c>
      <c r="L44" s="572" t="s">
        <v>281</v>
      </c>
      <c r="M44" s="585">
        <f t="shared" si="0"/>
        <v>100</v>
      </c>
      <c r="N44" s="586" t="s">
        <v>147</v>
      </c>
      <c r="O44" s="587">
        <f>'[14]B1&amp; B2 UNSCHEDULED'!$O$24</f>
        <v>0</v>
      </c>
      <c r="P44" s="565"/>
      <c r="Q44" s="586" t="s">
        <v>147</v>
      </c>
      <c r="R44" s="593">
        <f t="shared" si="5"/>
        <v>1.015972222223354</v>
      </c>
      <c r="S44" s="588">
        <f t="shared" si="1"/>
        <v>46163</v>
      </c>
      <c r="T44" s="565">
        <v>0</v>
      </c>
      <c r="U44" s="589">
        <f t="shared" si="2"/>
        <v>0</v>
      </c>
      <c r="V44" s="580" t="s">
        <v>1630</v>
      </c>
    </row>
    <row r="45" spans="1:23" s="590" customFormat="1" ht="292.5" customHeight="1">
      <c r="A45" s="565">
        <v>22</v>
      </c>
      <c r="B45" s="566" t="s">
        <v>282</v>
      </c>
      <c r="C45" s="582" t="str">
        <f>VLOOKUP(B45,[13]AssetDetails_UEM!$A$3:$AH$1849,6,FALSE)</f>
        <v>Physiologic Monitoring Systems, Acute Care</v>
      </c>
      <c r="D45" s="583">
        <f>VLOOKUP(B45,[13]AssetDetails_UEM!$A$3:$AK$1849,22,FALSE)</f>
        <v>44510</v>
      </c>
      <c r="E45" s="566" t="s">
        <v>283</v>
      </c>
      <c r="F45" s="566" t="s">
        <v>151</v>
      </c>
      <c r="G45" s="569" t="s">
        <v>284</v>
      </c>
      <c r="H45" s="604" t="s">
        <v>940</v>
      </c>
      <c r="I45" s="571" t="s">
        <v>206</v>
      </c>
      <c r="J45" s="572" t="s">
        <v>285</v>
      </c>
      <c r="K45" s="572" t="s">
        <v>286</v>
      </c>
      <c r="L45" s="572" t="s">
        <v>287</v>
      </c>
      <c r="M45" s="585">
        <f t="shared" si="0"/>
        <v>90</v>
      </c>
      <c r="N45" s="586" t="s">
        <v>147</v>
      </c>
      <c r="O45" s="587">
        <f>'[14]B1&amp; B2 UNSCHEDULED'!$O$24</f>
        <v>0</v>
      </c>
      <c r="P45" s="565"/>
      <c r="Q45" s="586" t="s">
        <v>147</v>
      </c>
      <c r="R45" s="593">
        <f t="shared" si="5"/>
        <v>1.0277777777737356</v>
      </c>
      <c r="S45" s="588">
        <f t="shared" si="1"/>
        <v>46163</v>
      </c>
      <c r="T45" s="565">
        <v>0</v>
      </c>
      <c r="U45" s="589">
        <f t="shared" si="2"/>
        <v>0</v>
      </c>
      <c r="V45" s="580" t="s">
        <v>288</v>
      </c>
    </row>
    <row r="46" spans="1:23" s="581" customFormat="1" ht="202.5" customHeight="1">
      <c r="A46" s="565">
        <v>23</v>
      </c>
      <c r="B46" s="566" t="s">
        <v>289</v>
      </c>
      <c r="C46" s="567" t="str">
        <f>VLOOKUP(B46,[13]AssetDetails_UEM!$A$3:$AH$1849,6,FALSE)</f>
        <v>Computers, Radiotherapy Planning System</v>
      </c>
      <c r="D46" s="568">
        <f>VLOOKUP(B46,[13]AssetDetails_UEM!$A$3:$AK$1849,22,FALSE)</f>
        <v>2403940</v>
      </c>
      <c r="E46" s="566" t="s">
        <v>290</v>
      </c>
      <c r="F46" s="566" t="s">
        <v>291</v>
      </c>
      <c r="G46" s="569" t="s">
        <v>292</v>
      </c>
      <c r="H46" s="570" t="s">
        <v>142</v>
      </c>
      <c r="I46" s="571" t="s">
        <v>206</v>
      </c>
      <c r="J46" s="572" t="s">
        <v>293</v>
      </c>
      <c r="K46" s="592">
        <v>46156.548611111102</v>
      </c>
      <c r="L46" s="572" t="s">
        <v>294</v>
      </c>
      <c r="M46" s="573">
        <f t="shared" si="0"/>
        <v>100</v>
      </c>
      <c r="N46" s="574" t="s">
        <v>147</v>
      </c>
      <c r="O46" s="575">
        <f>'[14]B1&amp; B2 UNSCHEDULED'!$O$24</f>
        <v>0</v>
      </c>
      <c r="P46" s="578"/>
      <c r="Q46" s="574" t="s">
        <v>147</v>
      </c>
      <c r="R46" s="576">
        <f t="shared" si="5"/>
        <v>1.0423611111109494</v>
      </c>
      <c r="S46" s="588">
        <f t="shared" si="1"/>
        <v>46164</v>
      </c>
      <c r="T46" s="578">
        <v>0</v>
      </c>
      <c r="U46" s="589">
        <f t="shared" si="2"/>
        <v>0</v>
      </c>
      <c r="V46" s="580" t="s">
        <v>295</v>
      </c>
    </row>
    <row r="47" spans="1:23" s="581" customFormat="1" ht="286.5" customHeight="1">
      <c r="A47" s="565">
        <v>24</v>
      </c>
      <c r="B47" s="566" t="s">
        <v>296</v>
      </c>
      <c r="C47" s="567" t="str">
        <f>VLOOKUP(B47,[13]AssetDetails_UEM!$A$3:$AH$1849,6,FALSE)</f>
        <v>Scanning Systems, Computed Tomography</v>
      </c>
      <c r="D47" s="568">
        <f>VLOOKUP(B47,[13]AssetDetails_UEM!$A$3:$AK$1849,22,FALSE)</f>
        <v>4605710</v>
      </c>
      <c r="E47" s="566" t="s">
        <v>297</v>
      </c>
      <c r="F47" s="566" t="s">
        <v>298</v>
      </c>
      <c r="G47" s="569" t="s">
        <v>299</v>
      </c>
      <c r="H47" s="604" t="s">
        <v>940</v>
      </c>
      <c r="I47" s="571" t="s">
        <v>300</v>
      </c>
      <c r="J47" s="572" t="s">
        <v>301</v>
      </c>
      <c r="K47" s="572" t="s">
        <v>302</v>
      </c>
      <c r="L47" s="572" t="s">
        <v>303</v>
      </c>
      <c r="M47" s="573">
        <f t="shared" si="0"/>
        <v>100</v>
      </c>
      <c r="N47" s="574" t="s">
        <v>147</v>
      </c>
      <c r="O47" s="575">
        <f>'[14]B1&amp; B2 UNSCHEDULED'!$O$24</f>
        <v>0</v>
      </c>
      <c r="P47" s="578"/>
      <c r="Q47" s="574" t="s">
        <v>147</v>
      </c>
      <c r="R47" s="576">
        <f t="shared" si="5"/>
        <v>1.0854166666686069</v>
      </c>
      <c r="S47" s="577">
        <f t="shared" si="1"/>
        <v>46164</v>
      </c>
      <c r="T47" s="578">
        <v>0</v>
      </c>
      <c r="U47" s="579">
        <f t="shared" si="2"/>
        <v>0</v>
      </c>
      <c r="V47" s="580" t="s">
        <v>304</v>
      </c>
    </row>
    <row r="48" spans="1:23" s="601" customFormat="1" ht="266.55" customHeight="1">
      <c r="A48" s="565">
        <v>25</v>
      </c>
      <c r="B48" s="566" t="s">
        <v>305</v>
      </c>
      <c r="C48" s="582" t="str">
        <f>VLOOKUP(B48,[13]AssetDetails_UEM!$A$3:$AH$1849,6,FALSE)</f>
        <v>Concentrators, Oxygen</v>
      </c>
      <c r="D48" s="583">
        <f>VLOOKUP(B48,[13]AssetDetails_UEM!$A$3:$AK$1849,22,FALSE)</f>
        <v>5000</v>
      </c>
      <c r="E48" s="566" t="s">
        <v>306</v>
      </c>
      <c r="F48" s="566" t="s">
        <v>226</v>
      </c>
      <c r="G48" s="584" t="s">
        <v>941</v>
      </c>
      <c r="H48" s="604" t="s">
        <v>940</v>
      </c>
      <c r="I48" s="571" t="s">
        <v>250</v>
      </c>
      <c r="J48" s="572" t="s">
        <v>307</v>
      </c>
      <c r="K48" s="572" t="s">
        <v>308</v>
      </c>
      <c r="L48" s="572" t="s">
        <v>309</v>
      </c>
      <c r="M48" s="585">
        <f t="shared" si="0"/>
        <v>20</v>
      </c>
      <c r="N48" s="586" t="s">
        <v>147</v>
      </c>
      <c r="O48" s="587">
        <f>'[14]B1&amp; B2 UNSCHEDULED'!$O$24</f>
        <v>0</v>
      </c>
      <c r="P48" s="565"/>
      <c r="Q48" s="586" t="s">
        <v>147</v>
      </c>
      <c r="R48" s="593">
        <f t="shared" si="5"/>
        <v>1.0520833333357587</v>
      </c>
      <c r="S48" s="588">
        <f t="shared" ref="S48:S83" si="6">WORKDAY(J48,6,AKHIR)</f>
        <v>46164</v>
      </c>
      <c r="T48" s="565">
        <v>0</v>
      </c>
      <c r="U48" s="589">
        <f t="shared" si="2"/>
        <v>0</v>
      </c>
      <c r="V48" s="580" t="s">
        <v>310</v>
      </c>
      <c r="W48" s="590"/>
    </row>
    <row r="49" spans="1:23" s="581" customFormat="1" ht="372.75" customHeight="1">
      <c r="A49" s="565">
        <v>26</v>
      </c>
      <c r="B49" s="566" t="s">
        <v>311</v>
      </c>
      <c r="C49" s="567" t="str">
        <f>VLOOKUP(B49,[13]AssetDetails_UEM!$A$3:$AH$1849,6,FALSE)</f>
        <v>Concentrators, Oxygen</v>
      </c>
      <c r="D49" s="568">
        <f>VLOOKUP(B49,[13]AssetDetails_UEM!$A$3:$AK$1849,22,FALSE)</f>
        <v>5773</v>
      </c>
      <c r="E49" s="566" t="s">
        <v>312</v>
      </c>
      <c r="F49" s="566" t="s">
        <v>226</v>
      </c>
      <c r="G49" s="584" t="s">
        <v>941</v>
      </c>
      <c r="H49" s="604" t="s">
        <v>940</v>
      </c>
      <c r="I49" s="571" t="s">
        <v>206</v>
      </c>
      <c r="J49" s="572" t="s">
        <v>307</v>
      </c>
      <c r="K49" s="572" t="s">
        <v>313</v>
      </c>
      <c r="L49" s="572" t="s">
        <v>314</v>
      </c>
      <c r="M49" s="573">
        <f t="shared" si="0"/>
        <v>20</v>
      </c>
      <c r="N49" s="574" t="s">
        <v>147</v>
      </c>
      <c r="O49" s="575">
        <f>'[14]B1&amp; B2 UNSCHEDULED'!$O$24</f>
        <v>0</v>
      </c>
      <c r="P49" s="578"/>
      <c r="Q49" s="574" t="s">
        <v>147</v>
      </c>
      <c r="R49" s="576">
        <f t="shared" si="5"/>
        <v>1.0486111111094942</v>
      </c>
      <c r="S49" s="577">
        <f t="shared" si="6"/>
        <v>46164</v>
      </c>
      <c r="T49" s="578">
        <v>0</v>
      </c>
      <c r="U49" s="579">
        <f t="shared" si="2"/>
        <v>0</v>
      </c>
      <c r="V49" s="580" t="s">
        <v>315</v>
      </c>
    </row>
    <row r="50" spans="1:23" s="581" customFormat="1" ht="409.6">
      <c r="A50" s="565">
        <v>27</v>
      </c>
      <c r="B50" s="594" t="s">
        <v>282</v>
      </c>
      <c r="C50" s="567" t="str">
        <f>VLOOKUP(B50,[13]AssetDetails_UEM!$A$3:$AH$1849,6,FALSE)</f>
        <v>Physiologic Monitoring Systems, Acute Care</v>
      </c>
      <c r="D50" s="568">
        <f>VLOOKUP(B50,[13]AssetDetails_UEM!$A$3:$AK$1849,22,FALSE)</f>
        <v>44510</v>
      </c>
      <c r="E50" s="594" t="s">
        <v>316</v>
      </c>
      <c r="F50" s="594" t="s">
        <v>151</v>
      </c>
      <c r="G50" s="605" t="s">
        <v>317</v>
      </c>
      <c r="H50" s="596" t="s">
        <v>142</v>
      </c>
      <c r="I50" s="597" t="s">
        <v>449</v>
      </c>
      <c r="J50" s="598" t="s">
        <v>318</v>
      </c>
      <c r="K50" s="598" t="s">
        <v>1567</v>
      </c>
      <c r="L50" s="598" t="s">
        <v>1568</v>
      </c>
      <c r="M50" s="573">
        <f t="shared" si="0"/>
        <v>90</v>
      </c>
      <c r="N50" s="574" t="s">
        <v>147</v>
      </c>
      <c r="O50" s="575">
        <f>'[14]B1&amp; B2 UNSCHEDULED'!$O$24</f>
        <v>0</v>
      </c>
      <c r="P50" s="578"/>
      <c r="Q50" s="574" t="s">
        <v>147</v>
      </c>
      <c r="R50" s="576">
        <f t="shared" si="5"/>
        <v>1.2305555555576575</v>
      </c>
      <c r="S50" s="577">
        <f t="shared" si="6"/>
        <v>46167</v>
      </c>
      <c r="T50" s="578">
        <v>0</v>
      </c>
      <c r="U50" s="579">
        <f t="shared" si="2"/>
        <v>0</v>
      </c>
      <c r="V50" s="600" t="s">
        <v>1569</v>
      </c>
    </row>
    <row r="51" spans="1:23" s="581" customFormat="1" ht="270" customHeight="1">
      <c r="A51" s="565">
        <v>28</v>
      </c>
      <c r="B51" s="566" t="s">
        <v>322</v>
      </c>
      <c r="C51" s="567" t="str">
        <f>VLOOKUP(B51,[13]AssetDetails_UEM!$A$3:$AH$1849,6,FALSE)</f>
        <v>Linear Accelerators</v>
      </c>
      <c r="D51" s="568">
        <f>VLOOKUP(B51,[13]AssetDetails_UEM!$A$3:$AK$1849,22,FALSE)</f>
        <v>12049370</v>
      </c>
      <c r="E51" s="566" t="s">
        <v>323</v>
      </c>
      <c r="F51" s="566" t="s">
        <v>324</v>
      </c>
      <c r="G51" s="584" t="s">
        <v>943</v>
      </c>
      <c r="H51" s="570" t="s">
        <v>142</v>
      </c>
      <c r="I51" s="571" t="s">
        <v>325</v>
      </c>
      <c r="J51" s="572" t="s">
        <v>326</v>
      </c>
      <c r="K51" s="572" t="s">
        <v>327</v>
      </c>
      <c r="L51" s="572" t="s">
        <v>328</v>
      </c>
      <c r="M51" s="573">
        <f t="shared" si="0"/>
        <v>100</v>
      </c>
      <c r="N51" s="574" t="s">
        <v>147</v>
      </c>
      <c r="O51" s="575">
        <f>'[14]B1&amp; B2 UNSCHEDULED'!$O$24</f>
        <v>0</v>
      </c>
      <c r="P51" s="578"/>
      <c r="Q51" s="574" t="s">
        <v>147</v>
      </c>
      <c r="R51" s="576">
        <f t="shared" si="5"/>
        <v>1.03125</v>
      </c>
      <c r="S51" s="588">
        <f t="shared" si="6"/>
        <v>46168</v>
      </c>
      <c r="T51" s="578">
        <v>0</v>
      </c>
      <c r="U51" s="589">
        <f t="shared" si="2"/>
        <v>0</v>
      </c>
      <c r="V51" s="580" t="s">
        <v>329</v>
      </c>
    </row>
    <row r="52" spans="1:23" s="581" customFormat="1" ht="303" customHeight="1">
      <c r="A52" s="565">
        <v>29</v>
      </c>
      <c r="B52" s="566" t="s">
        <v>209</v>
      </c>
      <c r="C52" s="567" t="str">
        <f>VLOOKUP(B52,[13]AssetDetails_UEM!$A$3:$AH$1849,6,FALSE)</f>
        <v>Sphygmomanometers, Electronic, Automatic</v>
      </c>
      <c r="D52" s="568">
        <f>VLOOKUP(B52,[13]AssetDetails_UEM!$A$3:$AK$1849,22,FALSE)</f>
        <v>4510</v>
      </c>
      <c r="E52" s="566" t="s">
        <v>330</v>
      </c>
      <c r="F52" s="566" t="s">
        <v>211</v>
      </c>
      <c r="G52" s="569" t="s">
        <v>331</v>
      </c>
      <c r="H52" s="570" t="s">
        <v>142</v>
      </c>
      <c r="I52" s="571" t="s">
        <v>198</v>
      </c>
      <c r="J52" s="572" t="s">
        <v>332</v>
      </c>
      <c r="K52" s="572" t="s">
        <v>333</v>
      </c>
      <c r="L52" s="572" t="s">
        <v>334</v>
      </c>
      <c r="M52" s="573">
        <f t="shared" si="0"/>
        <v>10</v>
      </c>
      <c r="N52" s="574" t="s">
        <v>147</v>
      </c>
      <c r="O52" s="575">
        <f>'[14]B1&amp; B2 UNSCHEDULED'!$O$24</f>
        <v>0</v>
      </c>
      <c r="P52" s="578"/>
      <c r="Q52" s="574" t="s">
        <v>147</v>
      </c>
      <c r="R52" s="576">
        <f t="shared" ref="R52:R62" si="7">IF(L52="",AKHIR-J52,L52-J52+1)</f>
        <v>1.0597222222277196</v>
      </c>
      <c r="S52" s="588">
        <f t="shared" si="6"/>
        <v>46169</v>
      </c>
      <c r="T52" s="578">
        <v>0</v>
      </c>
      <c r="U52" s="589">
        <f t="shared" si="2"/>
        <v>0</v>
      </c>
      <c r="V52" s="580" t="s">
        <v>335</v>
      </c>
    </row>
    <row r="53" spans="1:23" s="590" customFormat="1" ht="408.75" customHeight="1">
      <c r="A53" s="565">
        <v>30</v>
      </c>
      <c r="B53" s="566" t="s">
        <v>336</v>
      </c>
      <c r="C53" s="582" t="str">
        <f>VLOOKUP(B53,[13]AssetDetails_UEM!$A$3:$AH$1849,6,FALSE)</f>
        <v>Mattress Systems, Alternating-Pressure</v>
      </c>
      <c r="D53" s="583">
        <f>VLOOKUP(B53,[13]AssetDetails_UEM!$A$3:$AK$1849,22,FALSE)</f>
        <v>28630</v>
      </c>
      <c r="E53" s="566" t="s">
        <v>337</v>
      </c>
      <c r="F53" s="566" t="s">
        <v>338</v>
      </c>
      <c r="G53" s="584" t="s">
        <v>944</v>
      </c>
      <c r="H53" s="570" t="s">
        <v>142</v>
      </c>
      <c r="I53" s="571" t="s">
        <v>265</v>
      </c>
      <c r="J53" s="572" t="s">
        <v>339</v>
      </c>
      <c r="K53" s="572" t="s">
        <v>340</v>
      </c>
      <c r="L53" s="572" t="s">
        <v>341</v>
      </c>
      <c r="M53" s="585">
        <f t="shared" si="0"/>
        <v>60</v>
      </c>
      <c r="N53" s="586" t="s">
        <v>147</v>
      </c>
      <c r="O53" s="587">
        <f>'[14]B1&amp; B2 UNSCHEDULED'!$O$24</f>
        <v>0</v>
      </c>
      <c r="P53" s="565"/>
      <c r="Q53" s="586" t="s">
        <v>147</v>
      </c>
      <c r="R53" s="593">
        <f t="shared" si="7"/>
        <v>1.1104166666700621</v>
      </c>
      <c r="S53" s="588">
        <f t="shared" si="6"/>
        <v>46169</v>
      </c>
      <c r="T53" s="565">
        <v>0</v>
      </c>
      <c r="U53" s="589">
        <f t="shared" si="2"/>
        <v>0</v>
      </c>
      <c r="V53" s="580" t="s">
        <v>342</v>
      </c>
    </row>
    <row r="54" spans="1:23" s="609" customFormat="1" ht="400.05" customHeight="1">
      <c r="A54" s="565">
        <v>31</v>
      </c>
      <c r="B54" s="566" t="s">
        <v>346</v>
      </c>
      <c r="C54" s="606" t="str">
        <f>VLOOKUP(B54,[13]AssetDetails_UEM!$A$3:$AH$1849,6,FALSE)</f>
        <v>Laser Imagers</v>
      </c>
      <c r="D54" s="607">
        <f>VLOOKUP(B54,[13]AssetDetails_UEM!$A$3:$AK$1849,22,FALSE)</f>
        <v>83100</v>
      </c>
      <c r="E54" s="566" t="s">
        <v>347</v>
      </c>
      <c r="F54" s="566" t="s">
        <v>348</v>
      </c>
      <c r="G54" s="569" t="s">
        <v>349</v>
      </c>
      <c r="H54" s="604" t="s">
        <v>940</v>
      </c>
      <c r="I54" s="571" t="s">
        <v>152</v>
      </c>
      <c r="J54" s="572" t="s">
        <v>350</v>
      </c>
      <c r="K54" s="572" t="s">
        <v>351</v>
      </c>
      <c r="L54" s="572" t="s">
        <v>352</v>
      </c>
      <c r="M54" s="585">
        <f t="shared" si="0"/>
        <v>100</v>
      </c>
      <c r="N54" s="586" t="s">
        <v>147</v>
      </c>
      <c r="O54" s="587">
        <f>'[14]B1&amp; B2 UNSCHEDULED'!$O$24</f>
        <v>0</v>
      </c>
      <c r="P54" s="586"/>
      <c r="Q54" s="586" t="s">
        <v>147</v>
      </c>
      <c r="R54" s="593">
        <f t="shared" si="7"/>
        <v>1.0416666666642413</v>
      </c>
      <c r="S54" s="588">
        <f t="shared" si="6"/>
        <v>46169</v>
      </c>
      <c r="T54" s="586">
        <v>0</v>
      </c>
      <c r="U54" s="589">
        <f t="shared" si="2"/>
        <v>0</v>
      </c>
      <c r="V54" s="580" t="s">
        <v>353</v>
      </c>
      <c r="W54" s="608"/>
    </row>
    <row r="55" spans="1:23" s="590" customFormat="1" ht="409.6">
      <c r="A55" s="565">
        <v>32</v>
      </c>
      <c r="B55" s="566" t="s">
        <v>354</v>
      </c>
      <c r="C55" s="582" t="str">
        <f>VLOOKUP(B55,[13]AssetDetails_UEM!$A$3:$AH$1849,6,FALSE)</f>
        <v>Mattress Systems, Alternating-Pressure</v>
      </c>
      <c r="D55" s="583">
        <f>VLOOKUP(B55,[13]AssetDetails_UEM!$A$3:$AK$1849,22,FALSE)</f>
        <v>28630</v>
      </c>
      <c r="E55" s="566" t="s">
        <v>355</v>
      </c>
      <c r="F55" s="566" t="s">
        <v>151</v>
      </c>
      <c r="G55" s="584" t="s">
        <v>946</v>
      </c>
      <c r="H55" s="570" t="s">
        <v>142</v>
      </c>
      <c r="I55" s="571" t="s">
        <v>356</v>
      </c>
      <c r="J55" s="572" t="s">
        <v>357</v>
      </c>
      <c r="K55" s="572" t="s">
        <v>358</v>
      </c>
      <c r="L55" s="592">
        <v>46168.791666666664</v>
      </c>
      <c r="M55" s="585">
        <f t="shared" si="0"/>
        <v>60</v>
      </c>
      <c r="N55" s="586" t="s">
        <v>147</v>
      </c>
      <c r="O55" s="587">
        <f>'[14]B1&amp; B2 UNSCHEDULED'!$O$24</f>
        <v>0</v>
      </c>
      <c r="P55" s="565"/>
      <c r="Q55" s="586" t="s">
        <v>147</v>
      </c>
      <c r="R55" s="593">
        <v>6</v>
      </c>
      <c r="S55" s="588">
        <f t="shared" si="6"/>
        <v>46169</v>
      </c>
      <c r="T55" s="565">
        <v>0</v>
      </c>
      <c r="U55" s="589">
        <f t="shared" si="2"/>
        <v>0</v>
      </c>
      <c r="V55" s="580" t="s">
        <v>359</v>
      </c>
    </row>
    <row r="56" spans="1:23" s="581" customFormat="1" ht="240">
      <c r="A56" s="565">
        <v>33</v>
      </c>
      <c r="B56" s="566" t="s">
        <v>360</v>
      </c>
      <c r="C56" s="610" t="str">
        <f>VLOOKUP(B56,[13]AssetDetails_UEM!$A$3:$AH$1849,6,FALSE)</f>
        <v>Sphygmomanometers, Electronic, Automatic</v>
      </c>
      <c r="D56" s="611">
        <f>VLOOKUP(B56,[13]AssetDetails_UEM!$A$3:$AK$1849,22,FALSE)</f>
        <v>4510</v>
      </c>
      <c r="E56" s="566" t="s">
        <v>361</v>
      </c>
      <c r="F56" s="566" t="s">
        <v>362</v>
      </c>
      <c r="G56" s="584" t="s">
        <v>947</v>
      </c>
      <c r="H56" s="570" t="s">
        <v>142</v>
      </c>
      <c r="I56" s="571" t="s">
        <v>363</v>
      </c>
      <c r="J56" s="572" t="s">
        <v>364</v>
      </c>
      <c r="K56" s="572" t="s">
        <v>365</v>
      </c>
      <c r="L56" s="572" t="s">
        <v>366</v>
      </c>
      <c r="M56" s="573">
        <f t="shared" si="0"/>
        <v>10</v>
      </c>
      <c r="N56" s="574" t="s">
        <v>147</v>
      </c>
      <c r="O56" s="575">
        <f>'[14]B1&amp; B2 UNSCHEDULED'!$O$24</f>
        <v>0</v>
      </c>
      <c r="P56" s="578"/>
      <c r="Q56" s="574" t="s">
        <v>147</v>
      </c>
      <c r="R56" s="576">
        <f t="shared" si="7"/>
        <v>1.3243055555576575</v>
      </c>
      <c r="S56" s="588">
        <f t="shared" si="6"/>
        <v>46170</v>
      </c>
      <c r="T56" s="578">
        <v>0</v>
      </c>
      <c r="U56" s="589">
        <f t="shared" si="2"/>
        <v>0</v>
      </c>
      <c r="V56" s="580" t="s">
        <v>367</v>
      </c>
    </row>
    <row r="57" spans="1:23" s="590" customFormat="1" ht="260.55" customHeight="1">
      <c r="A57" s="565">
        <v>34</v>
      </c>
      <c r="B57" s="566" t="s">
        <v>368</v>
      </c>
      <c r="C57" s="582" t="str">
        <f>VLOOKUP(B57,[13]AssetDetails_UEM!$A$3:$AH$1849,6,FALSE)</f>
        <v>Infusion Pumps, Syringe</v>
      </c>
      <c r="D57" s="583">
        <f>VLOOKUP(B57,[13]AssetDetails_UEM!$A$3:$AK$1849,22,FALSE)</f>
        <v>10225</v>
      </c>
      <c r="E57" s="566" t="s">
        <v>369</v>
      </c>
      <c r="F57" s="566" t="s">
        <v>276</v>
      </c>
      <c r="G57" s="584" t="s">
        <v>948</v>
      </c>
      <c r="H57" s="570" t="s">
        <v>142</v>
      </c>
      <c r="I57" s="571" t="s">
        <v>278</v>
      </c>
      <c r="J57" s="572" t="s">
        <v>370</v>
      </c>
      <c r="K57" s="572" t="s">
        <v>371</v>
      </c>
      <c r="L57" s="572" t="s">
        <v>372</v>
      </c>
      <c r="M57" s="585">
        <f t="shared" si="0"/>
        <v>30</v>
      </c>
      <c r="N57" s="586" t="s">
        <v>147</v>
      </c>
      <c r="O57" s="587">
        <f>'[14]B1&amp; B2 UNSCHEDULED'!$O$24</f>
        <v>0</v>
      </c>
      <c r="P57" s="565"/>
      <c r="Q57" s="586" t="s">
        <v>373</v>
      </c>
      <c r="R57" s="593">
        <f>IF(L57="",AKHIR-J57,L57-J57+1)</f>
        <v>1.015972222223354</v>
      </c>
      <c r="S57" s="588">
        <v>46111</v>
      </c>
      <c r="T57" s="565">
        <v>0</v>
      </c>
      <c r="U57" s="589">
        <f t="shared" si="2"/>
        <v>0</v>
      </c>
      <c r="V57" s="580" t="s">
        <v>374</v>
      </c>
    </row>
    <row r="58" spans="1:23" s="590" customFormat="1" ht="311.55" customHeight="1">
      <c r="A58" s="565">
        <v>35</v>
      </c>
      <c r="B58" s="566" t="s">
        <v>375</v>
      </c>
      <c r="C58" s="606" t="str">
        <f>VLOOKUP(B58,[13]AssetDetails_UEM!$A$3:$AH$1849,6,FALSE)</f>
        <v>Analyzers, Laboratory, Microbiology, Blood Culture, Automate</v>
      </c>
      <c r="D58" s="607">
        <f>VLOOKUP(B58,[13]AssetDetails_UEM!$A$3:$AK$1849,22,FALSE)</f>
        <v>342820</v>
      </c>
      <c r="E58" s="566" t="s">
        <v>376</v>
      </c>
      <c r="F58" s="566" t="s">
        <v>377</v>
      </c>
      <c r="G58" s="584" t="s">
        <v>949</v>
      </c>
      <c r="H58" s="570" t="s">
        <v>142</v>
      </c>
      <c r="I58" s="571" t="s">
        <v>378</v>
      </c>
      <c r="J58" s="572" t="s">
        <v>379</v>
      </c>
      <c r="K58" s="572" t="s">
        <v>380</v>
      </c>
      <c r="L58" s="572" t="s">
        <v>381</v>
      </c>
      <c r="M58" s="585">
        <f t="shared" si="0"/>
        <v>100</v>
      </c>
      <c r="N58" s="586" t="s">
        <v>147</v>
      </c>
      <c r="O58" s="587">
        <f>'[14]B1&amp; B2 UNSCHEDULED'!$O$24</f>
        <v>0</v>
      </c>
      <c r="P58" s="565"/>
      <c r="Q58" s="586" t="s">
        <v>147</v>
      </c>
      <c r="R58" s="593">
        <f t="shared" si="7"/>
        <v>1.0652777777722804</v>
      </c>
      <c r="S58" s="588">
        <f t="shared" si="6"/>
        <v>46170</v>
      </c>
      <c r="T58" s="565">
        <v>0</v>
      </c>
      <c r="U58" s="589">
        <f t="shared" si="2"/>
        <v>0</v>
      </c>
      <c r="V58" s="580" t="s">
        <v>382</v>
      </c>
    </row>
    <row r="59" spans="1:23" s="581" customFormat="1" ht="357.75" customHeight="1">
      <c r="A59" s="565">
        <v>36</v>
      </c>
      <c r="B59" s="566" t="s">
        <v>181</v>
      </c>
      <c r="C59" s="567" t="str">
        <f>VLOOKUP(B59,[13]AssetDetails_UEM!$A$3:$AH$1849,6,FALSE)</f>
        <v>Linear Accelerators</v>
      </c>
      <c r="D59" s="568">
        <f>VLOOKUP(B59,[13]AssetDetails_UEM!$A$3:$AK$1849,22,FALSE)</f>
        <v>21961900</v>
      </c>
      <c r="E59" s="566" t="s">
        <v>383</v>
      </c>
      <c r="F59" s="566" t="s">
        <v>183</v>
      </c>
      <c r="G59" s="584" t="s">
        <v>950</v>
      </c>
      <c r="H59" s="570" t="s">
        <v>142</v>
      </c>
      <c r="I59" s="571" t="s">
        <v>384</v>
      </c>
      <c r="J59" s="572" t="s">
        <v>385</v>
      </c>
      <c r="K59" s="572" t="s">
        <v>386</v>
      </c>
      <c r="L59" s="572" t="s">
        <v>387</v>
      </c>
      <c r="M59" s="573">
        <f t="shared" si="0"/>
        <v>100</v>
      </c>
      <c r="N59" s="574" t="s">
        <v>147</v>
      </c>
      <c r="O59" s="575">
        <f>'[14]B1&amp; B2 UNSCHEDULED'!$O$24</f>
        <v>0</v>
      </c>
      <c r="P59" s="578"/>
      <c r="Q59" s="574" t="s">
        <v>147</v>
      </c>
      <c r="R59" s="576">
        <f t="shared" si="7"/>
        <v>1.0368055555591127</v>
      </c>
      <c r="S59" s="577">
        <f t="shared" si="6"/>
        <v>46171</v>
      </c>
      <c r="T59" s="578">
        <v>0</v>
      </c>
      <c r="U59" s="579">
        <f t="shared" si="2"/>
        <v>0</v>
      </c>
      <c r="V59" s="580" t="s">
        <v>388</v>
      </c>
    </row>
    <row r="60" spans="1:23" s="590" customFormat="1" ht="357.75" customHeight="1">
      <c r="A60" s="565">
        <v>37</v>
      </c>
      <c r="B60" s="566" t="s">
        <v>322</v>
      </c>
      <c r="C60" s="567" t="str">
        <f>VLOOKUP(B60,[13]AssetDetails_UEM!$A$3:$AH$1849,6,FALSE)</f>
        <v>Linear Accelerators</v>
      </c>
      <c r="D60" s="568">
        <f>VLOOKUP(B60,[13]AssetDetails_UEM!$A$3:$AK$1849,22,FALSE)</f>
        <v>12049370</v>
      </c>
      <c r="E60" s="566" t="s">
        <v>389</v>
      </c>
      <c r="F60" s="566" t="s">
        <v>324</v>
      </c>
      <c r="G60" s="569" t="s">
        <v>390</v>
      </c>
      <c r="H60" s="570" t="s">
        <v>142</v>
      </c>
      <c r="I60" s="571" t="s">
        <v>391</v>
      </c>
      <c r="J60" s="572" t="s">
        <v>392</v>
      </c>
      <c r="K60" s="572" t="s">
        <v>393</v>
      </c>
      <c r="L60" s="572" t="s">
        <v>394</v>
      </c>
      <c r="M60" s="585">
        <f t="shared" si="0"/>
        <v>100</v>
      </c>
      <c r="N60" s="586" t="s">
        <v>147</v>
      </c>
      <c r="O60" s="587">
        <f>'[14]B1&amp; B2 UNSCHEDULED'!$O$24</f>
        <v>0</v>
      </c>
      <c r="P60" s="565"/>
      <c r="Q60" s="586" t="s">
        <v>147</v>
      </c>
      <c r="R60" s="593">
        <f t="shared" si="7"/>
        <v>1.0750000000043656</v>
      </c>
      <c r="S60" s="588">
        <f t="shared" si="6"/>
        <v>46171</v>
      </c>
      <c r="T60" s="565">
        <v>0</v>
      </c>
      <c r="U60" s="589">
        <f t="shared" si="2"/>
        <v>0</v>
      </c>
      <c r="V60" s="580" t="s">
        <v>395</v>
      </c>
    </row>
    <row r="61" spans="1:23" s="590" customFormat="1" ht="324" customHeight="1">
      <c r="A61" s="565">
        <v>38</v>
      </c>
      <c r="B61" s="566" t="s">
        <v>396</v>
      </c>
      <c r="C61" s="582" t="str">
        <f>VLOOKUP(B61,[13]AssetDetails_UEM!$A$3:$AH$1849,6,FALSE)</f>
        <v>Scanning Systems, Computed Tomography</v>
      </c>
      <c r="D61" s="583">
        <f>VLOOKUP(B61,[13]AssetDetails_UEM!$A$3:$AK$1849,22,FALSE)</f>
        <v>3557530</v>
      </c>
      <c r="E61" s="566" t="s">
        <v>397</v>
      </c>
      <c r="F61" s="566" t="s">
        <v>398</v>
      </c>
      <c r="G61" s="584" t="s">
        <v>951</v>
      </c>
      <c r="H61" s="570" t="s">
        <v>142</v>
      </c>
      <c r="I61" s="571" t="s">
        <v>250</v>
      </c>
      <c r="J61" s="572" t="s">
        <v>399</v>
      </c>
      <c r="K61" s="592">
        <v>46163.480555555558</v>
      </c>
      <c r="L61" s="592">
        <v>46163.75</v>
      </c>
      <c r="M61" s="585">
        <f t="shared" si="0"/>
        <v>100</v>
      </c>
      <c r="N61" s="586" t="s">
        <v>147</v>
      </c>
      <c r="O61" s="587">
        <f>'[14]B1&amp; B2 UNSCHEDULED'!$O$24</f>
        <v>0</v>
      </c>
      <c r="P61" s="565"/>
      <c r="Q61" s="586" t="s">
        <v>147</v>
      </c>
      <c r="R61" s="593">
        <f t="shared" si="7"/>
        <v>1.2798611111138598</v>
      </c>
      <c r="S61" s="588">
        <f t="shared" si="6"/>
        <v>46171</v>
      </c>
      <c r="T61" s="565">
        <v>0</v>
      </c>
      <c r="U61" s="589">
        <f t="shared" si="2"/>
        <v>0</v>
      </c>
      <c r="V61" s="580" t="s">
        <v>1553</v>
      </c>
    </row>
    <row r="62" spans="1:23" s="590" customFormat="1" ht="300" customHeight="1">
      <c r="A62" s="565">
        <v>39</v>
      </c>
      <c r="B62" s="566" t="s">
        <v>405</v>
      </c>
      <c r="C62" s="582" t="s">
        <v>1562</v>
      </c>
      <c r="D62" s="583">
        <v>6500</v>
      </c>
      <c r="E62" s="566" t="s">
        <v>406</v>
      </c>
      <c r="F62" s="566" t="s">
        <v>407</v>
      </c>
      <c r="G62" s="569" t="s">
        <v>408</v>
      </c>
      <c r="H62" s="604" t="s">
        <v>940</v>
      </c>
      <c r="I62" s="571" t="s">
        <v>206</v>
      </c>
      <c r="J62" s="572" t="s">
        <v>409</v>
      </c>
      <c r="K62" s="572" t="s">
        <v>410</v>
      </c>
      <c r="L62" s="572" t="s">
        <v>411</v>
      </c>
      <c r="M62" s="585">
        <f t="shared" si="0"/>
        <v>20</v>
      </c>
      <c r="N62" s="586" t="s">
        <v>147</v>
      </c>
      <c r="O62" s="587">
        <f>'[14]B1&amp; B2 UNSCHEDULED'!$O$24</f>
        <v>0</v>
      </c>
      <c r="P62" s="565"/>
      <c r="Q62" s="586" t="s">
        <v>147</v>
      </c>
      <c r="R62" s="576">
        <f t="shared" si="7"/>
        <v>1.0833333333357587</v>
      </c>
      <c r="S62" s="588">
        <f t="shared" si="6"/>
        <v>46171</v>
      </c>
      <c r="T62" s="565">
        <v>0</v>
      </c>
      <c r="U62" s="589">
        <f t="shared" si="2"/>
        <v>0</v>
      </c>
      <c r="V62" s="580" t="s">
        <v>412</v>
      </c>
    </row>
    <row r="63" spans="1:23" s="590" customFormat="1" ht="409.6">
      <c r="A63" s="565">
        <v>40</v>
      </c>
      <c r="B63" s="566" t="s">
        <v>413</v>
      </c>
      <c r="C63" s="582" t="str">
        <f>VLOOKUP(B63,[13]AssetDetails_UEM!$A$3:$AH$1849,6,FALSE)</f>
        <v>Scales, Patient, Floor</v>
      </c>
      <c r="D63" s="583">
        <f>VLOOKUP(B63,[13]AssetDetails_UEM!$A$3:$AK$1849,22,FALSE)</f>
        <v>9380</v>
      </c>
      <c r="E63" s="566" t="s">
        <v>414</v>
      </c>
      <c r="F63" s="566" t="s">
        <v>407</v>
      </c>
      <c r="G63" s="569" t="s">
        <v>408</v>
      </c>
      <c r="H63" s="604" t="s">
        <v>940</v>
      </c>
      <c r="I63" s="571" t="s">
        <v>206</v>
      </c>
      <c r="J63" s="572" t="s">
        <v>409</v>
      </c>
      <c r="K63" s="572" t="s">
        <v>410</v>
      </c>
      <c r="L63" s="572" t="s">
        <v>415</v>
      </c>
      <c r="M63" s="585">
        <f t="shared" si="0"/>
        <v>20</v>
      </c>
      <c r="N63" s="586" t="s">
        <v>147</v>
      </c>
      <c r="O63" s="587">
        <f>'[14]B1&amp; B2 UNSCHEDULED'!$O$24</f>
        <v>0</v>
      </c>
      <c r="P63" s="565"/>
      <c r="Q63" s="586" t="s">
        <v>147</v>
      </c>
      <c r="R63" s="593">
        <f t="shared" ref="R63:R83" si="8">IF(L63="",AKHIR-J63,L63-J63+1)</f>
        <v>1.0625</v>
      </c>
      <c r="S63" s="588">
        <f t="shared" si="6"/>
        <v>46171</v>
      </c>
      <c r="T63" s="565">
        <v>0</v>
      </c>
      <c r="U63" s="589">
        <f t="shared" si="2"/>
        <v>0</v>
      </c>
      <c r="V63" s="580" t="s">
        <v>1631</v>
      </c>
    </row>
    <row r="64" spans="1:23" s="590" customFormat="1" ht="241.5" customHeight="1">
      <c r="A64" s="565">
        <v>41</v>
      </c>
      <c r="B64" s="566" t="s">
        <v>416</v>
      </c>
      <c r="C64" s="582" t="str">
        <f>VLOOKUP(B64,[13]AssetDetails_UEM!$A$3:$AH$1849,6,FALSE)</f>
        <v>Pipetters</v>
      </c>
      <c r="D64" s="583">
        <f>VLOOKUP(B64,[13]AssetDetails_UEM!$A$3:$AK$1849,22,FALSE)</f>
        <v>1323</v>
      </c>
      <c r="E64" s="566" t="s">
        <v>417</v>
      </c>
      <c r="F64" s="566" t="s">
        <v>418</v>
      </c>
      <c r="G64" s="569" t="s">
        <v>419</v>
      </c>
      <c r="H64" s="604" t="s">
        <v>940</v>
      </c>
      <c r="I64" s="571" t="s">
        <v>206</v>
      </c>
      <c r="J64" s="572" t="s">
        <v>420</v>
      </c>
      <c r="K64" s="572" t="s">
        <v>421</v>
      </c>
      <c r="L64" s="572" t="s">
        <v>422</v>
      </c>
      <c r="M64" s="585">
        <f t="shared" si="0"/>
        <v>10</v>
      </c>
      <c r="N64" s="586" t="s">
        <v>147</v>
      </c>
      <c r="O64" s="587">
        <f>'[14]B1&amp; B2 UNSCHEDULED'!$O$24</f>
        <v>0</v>
      </c>
      <c r="P64" s="565"/>
      <c r="Q64" s="586" t="s">
        <v>147</v>
      </c>
      <c r="R64" s="593">
        <f t="shared" si="8"/>
        <v>1.0486111111167702</v>
      </c>
      <c r="S64" s="588">
        <f t="shared" si="6"/>
        <v>46171</v>
      </c>
      <c r="T64" s="565">
        <v>0</v>
      </c>
      <c r="U64" s="589">
        <f t="shared" si="2"/>
        <v>0</v>
      </c>
      <c r="V64" s="580" t="s">
        <v>434</v>
      </c>
    </row>
    <row r="65" spans="1:23" s="591" customFormat="1" ht="267.75" customHeight="1">
      <c r="A65" s="565">
        <v>42</v>
      </c>
      <c r="B65" s="566" t="s">
        <v>424</v>
      </c>
      <c r="C65" s="582" t="str">
        <f>VLOOKUP(B65,[13]AssetDetails_UEM!$A$3:$AH$1849,6,FALSE)</f>
        <v>Pipetters</v>
      </c>
      <c r="D65" s="583">
        <f>VLOOKUP(B65,[13]AssetDetails_UEM!$A$3:$AK$1849,22,FALSE)</f>
        <v>1323</v>
      </c>
      <c r="E65" s="566" t="s">
        <v>425</v>
      </c>
      <c r="F65" s="566" t="s">
        <v>418</v>
      </c>
      <c r="G65" s="569" t="s">
        <v>419</v>
      </c>
      <c r="H65" s="604" t="s">
        <v>940</v>
      </c>
      <c r="I65" s="571" t="s">
        <v>206</v>
      </c>
      <c r="J65" s="572" t="s">
        <v>420</v>
      </c>
      <c r="K65" s="572" t="s">
        <v>421</v>
      </c>
      <c r="L65" s="572" t="s">
        <v>422</v>
      </c>
      <c r="M65" s="585">
        <f t="shared" si="0"/>
        <v>10</v>
      </c>
      <c r="N65" s="586" t="s">
        <v>147</v>
      </c>
      <c r="O65" s="587">
        <f>'[14]B1&amp; B2 UNSCHEDULED'!$O$24</f>
        <v>0</v>
      </c>
      <c r="P65" s="565"/>
      <c r="Q65" s="586" t="s">
        <v>147</v>
      </c>
      <c r="R65" s="593">
        <f t="shared" si="8"/>
        <v>1.0486111111167702</v>
      </c>
      <c r="S65" s="588">
        <f t="shared" si="6"/>
        <v>46171</v>
      </c>
      <c r="T65" s="565">
        <v>0</v>
      </c>
      <c r="U65" s="589">
        <f t="shared" si="2"/>
        <v>0</v>
      </c>
      <c r="V65" s="580" t="s">
        <v>434</v>
      </c>
      <c r="W65" s="590"/>
    </row>
    <row r="66" spans="1:23" s="590" customFormat="1" ht="228" customHeight="1">
      <c r="A66" s="565">
        <v>43</v>
      </c>
      <c r="B66" s="566" t="s">
        <v>426</v>
      </c>
      <c r="C66" s="606" t="str">
        <f>VLOOKUP(B66,[13]AssetDetails_UEM!$A$3:$AH$1849,6,FALSE)</f>
        <v>Pipetters</v>
      </c>
      <c r="D66" s="607">
        <f>VLOOKUP(B66,[13]AssetDetails_UEM!$A$3:$AK$1849,22,FALSE)</f>
        <v>1323</v>
      </c>
      <c r="E66" s="566" t="s">
        <v>427</v>
      </c>
      <c r="F66" s="566" t="s">
        <v>418</v>
      </c>
      <c r="G66" s="569" t="s">
        <v>419</v>
      </c>
      <c r="H66" s="604" t="s">
        <v>940</v>
      </c>
      <c r="I66" s="571" t="s">
        <v>206</v>
      </c>
      <c r="J66" s="572" t="s">
        <v>420</v>
      </c>
      <c r="K66" s="572" t="s">
        <v>421</v>
      </c>
      <c r="L66" s="572" t="s">
        <v>422</v>
      </c>
      <c r="M66" s="585">
        <f t="shared" si="0"/>
        <v>10</v>
      </c>
      <c r="N66" s="586" t="s">
        <v>147</v>
      </c>
      <c r="O66" s="587">
        <f>'[14]B1&amp; B2 UNSCHEDULED'!$O$24</f>
        <v>0</v>
      </c>
      <c r="P66" s="565"/>
      <c r="Q66" s="586" t="s">
        <v>147</v>
      </c>
      <c r="R66" s="593">
        <f t="shared" si="8"/>
        <v>1.0486111111167702</v>
      </c>
      <c r="S66" s="588">
        <f t="shared" si="6"/>
        <v>46171</v>
      </c>
      <c r="T66" s="565">
        <v>0</v>
      </c>
      <c r="U66" s="589">
        <f t="shared" si="2"/>
        <v>0</v>
      </c>
      <c r="V66" s="580" t="s">
        <v>434</v>
      </c>
    </row>
    <row r="67" spans="1:23" s="581" customFormat="1" ht="235.5" customHeight="1">
      <c r="A67" s="565">
        <v>44</v>
      </c>
      <c r="B67" s="566" t="s">
        <v>428</v>
      </c>
      <c r="C67" s="610" t="str">
        <f>VLOOKUP(B67,[13]AssetDetails_UEM!$A$3:$AH$1849,6,FALSE)</f>
        <v>Pipetters</v>
      </c>
      <c r="D67" s="611">
        <f>VLOOKUP(B67,[13]AssetDetails_UEM!$A$3:$AK$1849,22,FALSE)</f>
        <v>1323</v>
      </c>
      <c r="E67" s="566" t="s">
        <v>429</v>
      </c>
      <c r="F67" s="566" t="s">
        <v>430</v>
      </c>
      <c r="G67" s="569" t="s">
        <v>419</v>
      </c>
      <c r="H67" s="604" t="s">
        <v>940</v>
      </c>
      <c r="I67" s="571" t="s">
        <v>206</v>
      </c>
      <c r="J67" s="572" t="s">
        <v>420</v>
      </c>
      <c r="K67" s="572" t="s">
        <v>421</v>
      </c>
      <c r="L67" s="572" t="s">
        <v>422</v>
      </c>
      <c r="M67" s="573">
        <f t="shared" si="0"/>
        <v>10</v>
      </c>
      <c r="N67" s="574" t="s">
        <v>147</v>
      </c>
      <c r="O67" s="575">
        <f>'[14]B1&amp; B2 UNSCHEDULED'!$O$24</f>
        <v>0</v>
      </c>
      <c r="P67" s="578"/>
      <c r="Q67" s="574" t="s">
        <v>147</v>
      </c>
      <c r="R67" s="576">
        <f t="shared" si="8"/>
        <v>1.0486111111167702</v>
      </c>
      <c r="S67" s="577">
        <f t="shared" si="6"/>
        <v>46171</v>
      </c>
      <c r="T67" s="578">
        <v>0</v>
      </c>
      <c r="U67" s="579">
        <f t="shared" si="2"/>
        <v>0</v>
      </c>
      <c r="V67" s="580" t="s">
        <v>423</v>
      </c>
    </row>
    <row r="68" spans="1:23" s="590" customFormat="1" ht="231" customHeight="1">
      <c r="A68" s="565">
        <v>45</v>
      </c>
      <c r="B68" s="566" t="s">
        <v>431</v>
      </c>
      <c r="C68" s="606" t="str">
        <f>VLOOKUP(B68,[13]AssetDetails_UEM!$A$3:$AH$1849,6,FALSE)</f>
        <v>Pipetters</v>
      </c>
      <c r="D68" s="607">
        <f>VLOOKUP(B68,[13]AssetDetails_UEM!$A$3:$AK$1849,22,FALSE)</f>
        <v>3250</v>
      </c>
      <c r="E68" s="566" t="s">
        <v>432</v>
      </c>
      <c r="F68" s="566" t="s">
        <v>433</v>
      </c>
      <c r="G68" s="569" t="s">
        <v>419</v>
      </c>
      <c r="H68" s="604" t="s">
        <v>940</v>
      </c>
      <c r="I68" s="571" t="s">
        <v>206</v>
      </c>
      <c r="J68" s="572" t="s">
        <v>420</v>
      </c>
      <c r="K68" s="572" t="s">
        <v>421</v>
      </c>
      <c r="L68" s="572" t="s">
        <v>422</v>
      </c>
      <c r="M68" s="585">
        <f t="shared" si="0"/>
        <v>10</v>
      </c>
      <c r="N68" s="586" t="s">
        <v>147</v>
      </c>
      <c r="O68" s="587">
        <f>'[14]B1&amp; B2 UNSCHEDULED'!$O$24</f>
        <v>0</v>
      </c>
      <c r="P68" s="565"/>
      <c r="Q68" s="586" t="s">
        <v>147</v>
      </c>
      <c r="R68" s="593">
        <f t="shared" si="8"/>
        <v>1.0486111111167702</v>
      </c>
      <c r="S68" s="588">
        <f t="shared" si="6"/>
        <v>46171</v>
      </c>
      <c r="T68" s="565">
        <v>0</v>
      </c>
      <c r="U68" s="589">
        <f t="shared" si="2"/>
        <v>0</v>
      </c>
      <c r="V68" s="580" t="s">
        <v>434</v>
      </c>
    </row>
    <row r="69" spans="1:23" s="590" customFormat="1" ht="292.5" customHeight="1">
      <c r="A69" s="565">
        <v>46</v>
      </c>
      <c r="B69" s="566" t="s">
        <v>435</v>
      </c>
      <c r="C69" s="582" t="str">
        <f>VLOOKUP(B69,[13]AssetDetails_UEM!$A$3:$AH$1849,6,FALSE)</f>
        <v>Infusion Pumps, General-Purpose</v>
      </c>
      <c r="D69" s="583">
        <f>VLOOKUP(B69,[13]AssetDetails_UEM!$A$3:$AK$1849,22,FALSE)</f>
        <v>10825</v>
      </c>
      <c r="E69" s="566" t="s">
        <v>436</v>
      </c>
      <c r="F69" s="566" t="s">
        <v>167</v>
      </c>
      <c r="G69" s="584" t="s">
        <v>952</v>
      </c>
      <c r="H69" s="570" t="s">
        <v>142</v>
      </c>
      <c r="I69" s="571" t="s">
        <v>1558</v>
      </c>
      <c r="J69" s="572" t="s">
        <v>437</v>
      </c>
      <c r="K69" s="592">
        <v>46163.854166666664</v>
      </c>
      <c r="L69" s="592">
        <v>46167.5625</v>
      </c>
      <c r="M69" s="585">
        <f t="shared" si="0"/>
        <v>30</v>
      </c>
      <c r="N69" s="586" t="s">
        <v>147</v>
      </c>
      <c r="O69" s="587">
        <f>'[14]B1&amp; B2 UNSCHEDULED'!$O$24</f>
        <v>0</v>
      </c>
      <c r="P69" s="565"/>
      <c r="Q69" s="586" t="s">
        <v>147</v>
      </c>
      <c r="R69" s="593">
        <f t="shared" si="8"/>
        <v>4.7166666666671517</v>
      </c>
      <c r="S69" s="588">
        <f t="shared" si="6"/>
        <v>46171</v>
      </c>
      <c r="T69" s="565">
        <v>0</v>
      </c>
      <c r="U69" s="589">
        <f t="shared" si="2"/>
        <v>0</v>
      </c>
      <c r="V69" s="580" t="s">
        <v>1559</v>
      </c>
    </row>
    <row r="70" spans="1:23" s="590" customFormat="1" ht="282" customHeight="1">
      <c r="A70" s="565">
        <v>47</v>
      </c>
      <c r="B70" s="566" t="s">
        <v>438</v>
      </c>
      <c r="C70" s="582" t="str">
        <f>VLOOKUP(B70,[13]AssetDetails_UEM!$A$3:$AH$1849,6,FALSE)</f>
        <v>Analyzers, Laboratory, Immunoassay, Chemiluminescent</v>
      </c>
      <c r="D70" s="583">
        <f>VLOOKUP(B70,[13]AssetDetails_UEM!$A$3:$AK$1849,22,FALSE)</f>
        <v>1443450</v>
      </c>
      <c r="E70" s="566" t="s">
        <v>439</v>
      </c>
      <c r="F70" s="566" t="s">
        <v>440</v>
      </c>
      <c r="G70" s="584" t="s">
        <v>953</v>
      </c>
      <c r="H70" s="570" t="s">
        <v>142</v>
      </c>
      <c r="I70" s="571" t="s">
        <v>441</v>
      </c>
      <c r="J70" s="572" t="s">
        <v>442</v>
      </c>
      <c r="K70" s="572" t="s">
        <v>443</v>
      </c>
      <c r="L70" s="572" t="s">
        <v>444</v>
      </c>
      <c r="M70" s="585">
        <f t="shared" si="0"/>
        <v>100</v>
      </c>
      <c r="N70" s="586" t="s">
        <v>147</v>
      </c>
      <c r="O70" s="587">
        <f>'[14]B1&amp; B2 UNSCHEDULED'!$O$24</f>
        <v>0</v>
      </c>
      <c r="P70" s="565"/>
      <c r="Q70" s="586" t="s">
        <v>147</v>
      </c>
      <c r="R70" s="593">
        <f t="shared" si="8"/>
        <v>1.0479166666700621</v>
      </c>
      <c r="S70" s="588">
        <f t="shared" si="6"/>
        <v>46174</v>
      </c>
      <c r="T70" s="565">
        <v>0</v>
      </c>
      <c r="U70" s="589">
        <f t="shared" si="2"/>
        <v>0</v>
      </c>
      <c r="V70" s="580" t="s">
        <v>445</v>
      </c>
    </row>
    <row r="71" spans="1:23" s="590" customFormat="1" ht="331.05" customHeight="1">
      <c r="A71" s="565">
        <v>48</v>
      </c>
      <c r="B71" s="566" t="s">
        <v>446</v>
      </c>
      <c r="C71" s="582" t="str">
        <f>VLOOKUP(B71,[13]AssetDetails_UEM!$A$3:$AH$1849,6,FALSE)</f>
        <v>Balances, Electronic</v>
      </c>
      <c r="D71" s="583">
        <f>VLOOKUP(B71,[13]AssetDetails_UEM!$A$3:$AK$1849,22,FALSE)</f>
        <v>3380</v>
      </c>
      <c r="E71" s="566" t="s">
        <v>447</v>
      </c>
      <c r="F71" s="566" t="s">
        <v>448</v>
      </c>
      <c r="G71" s="584" t="s">
        <v>954</v>
      </c>
      <c r="H71" s="570" t="s">
        <v>142</v>
      </c>
      <c r="I71" s="571" t="s">
        <v>449</v>
      </c>
      <c r="J71" s="572" t="s">
        <v>450</v>
      </c>
      <c r="K71" s="572" t="s">
        <v>451</v>
      </c>
      <c r="L71" s="572" t="s">
        <v>452</v>
      </c>
      <c r="M71" s="585">
        <f t="shared" si="0"/>
        <v>10</v>
      </c>
      <c r="N71" s="586" t="s">
        <v>147</v>
      </c>
      <c r="O71" s="587">
        <f>'[14]B1&amp; B2 UNSCHEDULED'!$O$24</f>
        <v>0</v>
      </c>
      <c r="P71" s="565"/>
      <c r="Q71" s="586" t="s">
        <v>147</v>
      </c>
      <c r="R71" s="593">
        <v>5</v>
      </c>
      <c r="S71" s="588">
        <f t="shared" si="6"/>
        <v>46174</v>
      </c>
      <c r="T71" s="565">
        <v>0</v>
      </c>
      <c r="U71" s="589">
        <f t="shared" si="2"/>
        <v>0</v>
      </c>
      <c r="V71" s="580" t="s">
        <v>453</v>
      </c>
    </row>
    <row r="72" spans="1:23" s="590" customFormat="1" ht="270" customHeight="1">
      <c r="A72" s="565">
        <v>49</v>
      </c>
      <c r="B72" s="566" t="s">
        <v>454</v>
      </c>
      <c r="C72" s="582" t="str">
        <f>VLOOKUP(B72,[13]AssetDetails_UEM!$A$3:$AH$1849,6,FALSE)</f>
        <v>Defibrillators, External, Manual</v>
      </c>
      <c r="D72" s="583">
        <f>VLOOKUP(B72,[13]AssetDetails_UEM!$A$3:$AK$1849,22,FALSE)</f>
        <v>45000</v>
      </c>
      <c r="E72" s="566" t="s">
        <v>455</v>
      </c>
      <c r="F72" s="566" t="s">
        <v>456</v>
      </c>
      <c r="G72" s="584" t="s">
        <v>955</v>
      </c>
      <c r="H72" s="570" t="s">
        <v>142</v>
      </c>
      <c r="I72" s="571" t="s">
        <v>206</v>
      </c>
      <c r="J72" s="572" t="s">
        <v>457</v>
      </c>
      <c r="K72" s="592">
        <v>46165.271527777775</v>
      </c>
      <c r="L72" s="572" t="s">
        <v>458</v>
      </c>
      <c r="M72" s="585">
        <f t="shared" si="0"/>
        <v>100</v>
      </c>
      <c r="N72" s="586" t="s">
        <v>147</v>
      </c>
      <c r="O72" s="587">
        <f>'[14]B1&amp; B2 UNSCHEDULED'!$O$24</f>
        <v>0</v>
      </c>
      <c r="P72" s="565"/>
      <c r="Q72" s="586" t="s">
        <v>147</v>
      </c>
      <c r="R72" s="593">
        <f t="shared" si="8"/>
        <v>1.1104166666700621</v>
      </c>
      <c r="S72" s="588">
        <f t="shared" si="6"/>
        <v>46174</v>
      </c>
      <c r="T72" s="565">
        <v>0</v>
      </c>
      <c r="U72" s="589">
        <f t="shared" si="2"/>
        <v>0</v>
      </c>
      <c r="V72" s="580" t="s">
        <v>459</v>
      </c>
    </row>
    <row r="73" spans="1:23" s="590" customFormat="1" ht="326.25" customHeight="1">
      <c r="A73" s="565">
        <v>50</v>
      </c>
      <c r="B73" s="566" t="s">
        <v>460</v>
      </c>
      <c r="C73" s="582" t="str">
        <f>VLOOKUP(B73,[13]AssetDetails_UEM!$A$3:$AH$1849,6,FALSE)</f>
        <v>Radiographic Systems, Digital</v>
      </c>
      <c r="D73" s="583">
        <f>VLOOKUP(B73,[13]AssetDetails_UEM!$A$3:$AK$1849,22,FALSE)</f>
        <v>1958605</v>
      </c>
      <c r="E73" s="566" t="s">
        <v>461</v>
      </c>
      <c r="F73" s="566" t="s">
        <v>462</v>
      </c>
      <c r="G73" s="584" t="s">
        <v>956</v>
      </c>
      <c r="H73" s="570" t="s">
        <v>142</v>
      </c>
      <c r="I73" s="571" t="s">
        <v>1558</v>
      </c>
      <c r="J73" s="572" t="s">
        <v>463</v>
      </c>
      <c r="K73" s="592">
        <v>46166.298611111109</v>
      </c>
      <c r="L73" s="572" t="s">
        <v>464</v>
      </c>
      <c r="M73" s="585">
        <f t="shared" si="0"/>
        <v>100</v>
      </c>
      <c r="N73" s="586" t="s">
        <v>147</v>
      </c>
      <c r="O73" s="587">
        <f>'[14]B1&amp; B2 UNSCHEDULED'!$O$24</f>
        <v>0</v>
      </c>
      <c r="P73" s="565"/>
      <c r="Q73" s="586" t="s">
        <v>147</v>
      </c>
      <c r="R73" s="593">
        <f t="shared" si="8"/>
        <v>1.0847222222218988</v>
      </c>
      <c r="S73" s="588">
        <f t="shared" si="6"/>
        <v>46174</v>
      </c>
      <c r="T73" s="565">
        <v>0</v>
      </c>
      <c r="U73" s="589">
        <f t="shared" si="2"/>
        <v>0</v>
      </c>
      <c r="V73" s="580" t="s">
        <v>1632</v>
      </c>
    </row>
    <row r="74" spans="1:23" s="590" customFormat="1" ht="326.25" customHeight="1">
      <c r="A74" s="565">
        <v>51</v>
      </c>
      <c r="B74" s="566" t="s">
        <v>138</v>
      </c>
      <c r="C74" s="582" t="str">
        <f>VLOOKUP(B74,[13]AssetDetails_UEM!$A$3:$AH$1849,6,FALSE)</f>
        <v>Analyzers, Laboratory, Hematology, Coagulation, Automated</v>
      </c>
      <c r="D74" s="583">
        <f>VLOOKUP(B74,[13]AssetDetails_UEM!$A$3:$AK$1849,22,FALSE)</f>
        <v>105860</v>
      </c>
      <c r="E74" s="566" t="s">
        <v>465</v>
      </c>
      <c r="F74" s="566" t="s">
        <v>140</v>
      </c>
      <c r="G74" s="584" t="s">
        <v>957</v>
      </c>
      <c r="H74" s="570" t="s">
        <v>142</v>
      </c>
      <c r="I74" s="571" t="s">
        <v>466</v>
      </c>
      <c r="J74" s="572" t="s">
        <v>467</v>
      </c>
      <c r="K74" s="572" t="s">
        <v>468</v>
      </c>
      <c r="L74" s="572" t="s">
        <v>469</v>
      </c>
      <c r="M74" s="585">
        <f t="shared" si="0"/>
        <v>100</v>
      </c>
      <c r="N74" s="586" t="s">
        <v>147</v>
      </c>
      <c r="O74" s="587">
        <f>'[14]B1&amp; B2 UNSCHEDULED'!$O$24</f>
        <v>0</v>
      </c>
      <c r="P74" s="565"/>
      <c r="Q74" s="586" t="s">
        <v>147</v>
      </c>
      <c r="R74" s="593">
        <f t="shared" si="8"/>
        <v>1.0291666666671517</v>
      </c>
      <c r="S74" s="588">
        <f t="shared" si="6"/>
        <v>46175</v>
      </c>
      <c r="T74" s="565">
        <v>0</v>
      </c>
      <c r="U74" s="589">
        <f t="shared" si="2"/>
        <v>0</v>
      </c>
      <c r="V74" s="580" t="s">
        <v>470</v>
      </c>
    </row>
    <row r="75" spans="1:23" s="590" customFormat="1" ht="326.25" customHeight="1">
      <c r="A75" s="565">
        <v>52</v>
      </c>
      <c r="B75" s="566" t="s">
        <v>471</v>
      </c>
      <c r="C75" s="582" t="str">
        <f>VLOOKUP(B75,[13]AssetDetails_UEM!$A$3:$AH$1849,6,FALSE)</f>
        <v>Scales, Patient, Floor</v>
      </c>
      <c r="D75" s="583">
        <f>VLOOKUP(B75,[13]AssetDetails_UEM!$A$3:$AK$1849,22,FALSE)</f>
        <v>9380</v>
      </c>
      <c r="E75" s="566" t="s">
        <v>472</v>
      </c>
      <c r="F75" s="566" t="s">
        <v>473</v>
      </c>
      <c r="G75" s="584" t="s">
        <v>958</v>
      </c>
      <c r="H75" s="570" t="s">
        <v>142</v>
      </c>
      <c r="I75" s="571" t="s">
        <v>474</v>
      </c>
      <c r="J75" s="572" t="s">
        <v>475</v>
      </c>
      <c r="K75" s="572" t="s">
        <v>476</v>
      </c>
      <c r="L75" s="572" t="s">
        <v>477</v>
      </c>
      <c r="M75" s="585">
        <f t="shared" si="0"/>
        <v>20</v>
      </c>
      <c r="N75" s="586" t="s">
        <v>147</v>
      </c>
      <c r="O75" s="587">
        <f>'[14]B1&amp; B2 UNSCHEDULED'!$O$24</f>
        <v>0</v>
      </c>
      <c r="P75" s="565"/>
      <c r="Q75" s="586" t="s">
        <v>147</v>
      </c>
      <c r="R75" s="593">
        <f t="shared" si="8"/>
        <v>1.0951388888934162</v>
      </c>
      <c r="S75" s="588">
        <f t="shared" si="6"/>
        <v>46175</v>
      </c>
      <c r="T75" s="565">
        <v>0</v>
      </c>
      <c r="U75" s="589">
        <f t="shared" si="2"/>
        <v>0</v>
      </c>
      <c r="V75" s="580" t="s">
        <v>478</v>
      </c>
    </row>
    <row r="76" spans="1:23" s="590" customFormat="1" ht="326.25" customHeight="1">
      <c r="A76" s="565">
        <v>53</v>
      </c>
      <c r="B76" s="566" t="s">
        <v>479</v>
      </c>
      <c r="C76" s="582" t="str">
        <f>VLOOKUP(B76,[13]AssetDetails_UEM!$A$3:$AH$1849,6,FALSE)</f>
        <v>Aspirators</v>
      </c>
      <c r="D76" s="583">
        <f>VLOOKUP(B76,[13]AssetDetails_UEM!$A$3:$AK$1849,22,FALSE)</f>
        <v>2165</v>
      </c>
      <c r="E76" s="566" t="s">
        <v>480</v>
      </c>
      <c r="F76" s="566" t="s">
        <v>226</v>
      </c>
      <c r="G76" s="569" t="s">
        <v>481</v>
      </c>
      <c r="H76" s="604" t="s">
        <v>940</v>
      </c>
      <c r="I76" s="571" t="s">
        <v>482</v>
      </c>
      <c r="J76" s="572" t="s">
        <v>483</v>
      </c>
      <c r="K76" s="572" t="s">
        <v>484</v>
      </c>
      <c r="L76" s="572" t="s">
        <v>485</v>
      </c>
      <c r="M76" s="585">
        <f t="shared" si="0"/>
        <v>10</v>
      </c>
      <c r="N76" s="586" t="s">
        <v>147</v>
      </c>
      <c r="O76" s="587">
        <f>'[14]B1&amp; B2 UNSCHEDULED'!$O$24</f>
        <v>0</v>
      </c>
      <c r="P76" s="565"/>
      <c r="Q76" s="586" t="s">
        <v>147</v>
      </c>
      <c r="R76" s="593">
        <f t="shared" si="8"/>
        <v>1.0625</v>
      </c>
      <c r="S76" s="588">
        <f t="shared" si="6"/>
        <v>46175</v>
      </c>
      <c r="T76" s="565">
        <v>0</v>
      </c>
      <c r="U76" s="589">
        <f t="shared" si="2"/>
        <v>0</v>
      </c>
      <c r="V76" s="580" t="s">
        <v>486</v>
      </c>
    </row>
    <row r="77" spans="1:23" s="590" customFormat="1" ht="326.25" customHeight="1">
      <c r="A77" s="565">
        <v>54</v>
      </c>
      <c r="B77" s="566" t="s">
        <v>396</v>
      </c>
      <c r="C77" s="582" t="str">
        <f>VLOOKUP(B77,[13]AssetDetails_UEM!$A$3:$AH$1849,6,FALSE)</f>
        <v>Scanning Systems, Computed Tomography</v>
      </c>
      <c r="D77" s="583">
        <f>VLOOKUP(B77,[13]AssetDetails_UEM!$A$3:$AK$1849,22,FALSE)</f>
        <v>3557530</v>
      </c>
      <c r="E77" s="566" t="s">
        <v>487</v>
      </c>
      <c r="F77" s="566" t="s">
        <v>398</v>
      </c>
      <c r="G77" s="584" t="s">
        <v>959</v>
      </c>
      <c r="H77" s="570" t="s">
        <v>142</v>
      </c>
      <c r="I77" s="571" t="s">
        <v>1554</v>
      </c>
      <c r="J77" s="572" t="s">
        <v>488</v>
      </c>
      <c r="K77" s="592">
        <v>46168.529166666667</v>
      </c>
      <c r="L77" s="592">
        <v>46168.583333333336</v>
      </c>
      <c r="M77" s="585">
        <f t="shared" si="0"/>
        <v>100</v>
      </c>
      <c r="N77" s="586" t="s">
        <v>147</v>
      </c>
      <c r="O77" s="587">
        <f>'[14]B1&amp; B2 UNSCHEDULED'!$O$24</f>
        <v>0</v>
      </c>
      <c r="P77" s="565"/>
      <c r="Q77" s="586" t="s">
        <v>147</v>
      </c>
      <c r="R77" s="593">
        <f>IF(L77="",AKHIR-J77,L77-J77+1)</f>
        <v>1.0583333333343035</v>
      </c>
      <c r="S77" s="588">
        <f>WORKDAY(J77,6,AKHIR)</f>
        <v>46176</v>
      </c>
      <c r="T77" s="565">
        <v>0</v>
      </c>
      <c r="U77" s="589">
        <f t="shared" si="2"/>
        <v>0</v>
      </c>
      <c r="V77" s="580" t="s">
        <v>1555</v>
      </c>
    </row>
    <row r="78" spans="1:23" s="590" customFormat="1" ht="326.25" customHeight="1">
      <c r="A78" s="565">
        <v>55</v>
      </c>
      <c r="B78" s="566" t="s">
        <v>489</v>
      </c>
      <c r="C78" s="582" t="str">
        <f>VLOOKUP(B78,[13]AssetDetails_UEM!$A$3:$AH$1849,6,FALSE)</f>
        <v>Concentrators, Oxygen</v>
      </c>
      <c r="D78" s="583">
        <f>VLOOKUP(B78,[13]AssetDetails_UEM!$A$3:$AK$1849,22,FALSE)</f>
        <v>5000</v>
      </c>
      <c r="E78" s="566" t="s">
        <v>490</v>
      </c>
      <c r="F78" s="566" t="s">
        <v>226</v>
      </c>
      <c r="G78" s="569" t="s">
        <v>227</v>
      </c>
      <c r="H78" s="604" t="s">
        <v>940</v>
      </c>
      <c r="I78" s="571" t="s">
        <v>152</v>
      </c>
      <c r="J78" s="572" t="s">
        <v>491</v>
      </c>
      <c r="K78" s="572" t="s">
        <v>1596</v>
      </c>
      <c r="L78" s="572" t="s">
        <v>1597</v>
      </c>
      <c r="M78" s="585">
        <f t="shared" si="0"/>
        <v>20</v>
      </c>
      <c r="N78" s="586" t="s">
        <v>147</v>
      </c>
      <c r="O78" s="587">
        <f>'[14]B1&amp; B2 UNSCHEDULED'!$O$24</f>
        <v>0</v>
      </c>
      <c r="P78" s="565"/>
      <c r="Q78" s="586" t="s">
        <v>147</v>
      </c>
      <c r="R78" s="593">
        <f t="shared" si="8"/>
        <v>1.0451388888905058</v>
      </c>
      <c r="S78" s="588">
        <f t="shared" si="6"/>
        <v>46176</v>
      </c>
      <c r="T78" s="565">
        <v>0</v>
      </c>
      <c r="U78" s="589">
        <f t="shared" si="2"/>
        <v>0</v>
      </c>
      <c r="V78" s="580" t="s">
        <v>1598</v>
      </c>
    </row>
    <row r="79" spans="1:23" s="590" customFormat="1" ht="326.25" customHeight="1">
      <c r="A79" s="565">
        <v>56</v>
      </c>
      <c r="B79" s="566" t="s">
        <v>438</v>
      </c>
      <c r="C79" s="582" t="str">
        <f>VLOOKUP(B79,[13]AssetDetails_UEM!$A$3:$AH$1849,6,FALSE)</f>
        <v>Analyzers, Laboratory, Immunoassay, Chemiluminescent</v>
      </c>
      <c r="D79" s="583">
        <f>VLOOKUP(B79,[13]AssetDetails_UEM!$A$3:$AK$1849,22,FALSE)</f>
        <v>1443450</v>
      </c>
      <c r="E79" s="566" t="s">
        <v>492</v>
      </c>
      <c r="F79" s="566" t="s">
        <v>440</v>
      </c>
      <c r="G79" s="584" t="s">
        <v>960</v>
      </c>
      <c r="H79" s="570" t="s">
        <v>142</v>
      </c>
      <c r="I79" s="571" t="s">
        <v>391</v>
      </c>
      <c r="J79" s="572" t="s">
        <v>493</v>
      </c>
      <c r="K79" s="603" t="s">
        <v>1599</v>
      </c>
      <c r="L79" s="572" t="s">
        <v>1600</v>
      </c>
      <c r="M79" s="585">
        <f t="shared" si="0"/>
        <v>100</v>
      </c>
      <c r="N79" s="586" t="s">
        <v>147</v>
      </c>
      <c r="O79" s="587">
        <f>'[14]B1&amp; B2 UNSCHEDULED'!$O$24</f>
        <v>0</v>
      </c>
      <c r="P79" s="565"/>
      <c r="Q79" s="586" t="s">
        <v>147</v>
      </c>
      <c r="R79" s="593">
        <f t="shared" si="8"/>
        <v>1.0458333333372138</v>
      </c>
      <c r="S79" s="588">
        <f t="shared" si="6"/>
        <v>46176</v>
      </c>
      <c r="T79" s="565">
        <v>0</v>
      </c>
      <c r="U79" s="589">
        <f t="shared" si="2"/>
        <v>0</v>
      </c>
      <c r="V79" s="580" t="s">
        <v>1601</v>
      </c>
    </row>
    <row r="80" spans="1:23" s="590" customFormat="1" ht="326.25" customHeight="1">
      <c r="A80" s="565">
        <v>57</v>
      </c>
      <c r="B80" s="566" t="s">
        <v>138</v>
      </c>
      <c r="C80" s="582" t="str">
        <f>VLOOKUP(B80,[13]AssetDetails_UEM!$A$3:$AH$1849,6,FALSE)</f>
        <v>Analyzers, Laboratory, Hematology, Coagulation, Automated</v>
      </c>
      <c r="D80" s="583">
        <f>VLOOKUP(B80,[13]AssetDetails_UEM!$A$3:$AK$1849,22,FALSE)</f>
        <v>105860</v>
      </c>
      <c r="E80" s="566" t="s">
        <v>494</v>
      </c>
      <c r="F80" s="566" t="s">
        <v>140</v>
      </c>
      <c r="G80" s="584" t="s">
        <v>961</v>
      </c>
      <c r="H80" s="570" t="s">
        <v>142</v>
      </c>
      <c r="I80" s="571" t="s">
        <v>482</v>
      </c>
      <c r="J80" s="572" t="s">
        <v>495</v>
      </c>
      <c r="K80" s="592">
        <v>46168.854166666664</v>
      </c>
      <c r="L80" s="592">
        <v>46169.458333333336</v>
      </c>
      <c r="M80" s="585">
        <f t="shared" si="0"/>
        <v>100</v>
      </c>
      <c r="N80" s="586" t="s">
        <v>147</v>
      </c>
      <c r="O80" s="587">
        <f>'[14]B1&amp; B2 UNSCHEDULED'!$O$24</f>
        <v>0</v>
      </c>
      <c r="P80" s="565"/>
      <c r="Q80" s="586" t="s">
        <v>147</v>
      </c>
      <c r="R80" s="593">
        <f t="shared" si="8"/>
        <v>1.625</v>
      </c>
      <c r="S80" s="588">
        <f t="shared" si="6"/>
        <v>46176</v>
      </c>
      <c r="T80" s="565">
        <v>0</v>
      </c>
      <c r="U80" s="589">
        <f t="shared" si="2"/>
        <v>0</v>
      </c>
      <c r="V80" s="580" t="s">
        <v>1616</v>
      </c>
    </row>
    <row r="81" spans="1:197" s="590" customFormat="1" ht="326.25" customHeight="1">
      <c r="A81" s="565">
        <v>58</v>
      </c>
      <c r="B81" s="566" t="s">
        <v>322</v>
      </c>
      <c r="C81" s="582" t="str">
        <f>VLOOKUP(B81,[13]AssetDetails_UEM!$A$3:$AH$1849,6,FALSE)</f>
        <v>Linear Accelerators</v>
      </c>
      <c r="D81" s="583">
        <f>VLOOKUP(B81,[13]AssetDetails_UEM!$A$3:$AK$1849,22,FALSE)</f>
        <v>12049370</v>
      </c>
      <c r="E81" s="566" t="s">
        <v>496</v>
      </c>
      <c r="F81" s="566" t="s">
        <v>324</v>
      </c>
      <c r="G81" s="584" t="s">
        <v>962</v>
      </c>
      <c r="H81" s="570" t="s">
        <v>142</v>
      </c>
      <c r="I81" s="571" t="s">
        <v>1588</v>
      </c>
      <c r="J81" s="572" t="s">
        <v>497</v>
      </c>
      <c r="K81" s="592">
        <v>46170.409722222219</v>
      </c>
      <c r="L81" s="592">
        <v>46170.604166666664</v>
      </c>
      <c r="M81" s="585">
        <f t="shared" si="0"/>
        <v>100</v>
      </c>
      <c r="N81" s="586" t="s">
        <v>147</v>
      </c>
      <c r="O81" s="587">
        <f>'[14]B1&amp; B2 UNSCHEDULED'!$O$24</f>
        <v>0</v>
      </c>
      <c r="P81" s="565"/>
      <c r="Q81" s="586" t="s">
        <v>147</v>
      </c>
      <c r="R81" s="593">
        <f t="shared" si="8"/>
        <v>1.1986111111109494</v>
      </c>
      <c r="S81" s="588">
        <f t="shared" si="6"/>
        <v>46178</v>
      </c>
      <c r="T81" s="565">
        <v>0</v>
      </c>
      <c r="U81" s="589">
        <f t="shared" si="2"/>
        <v>0</v>
      </c>
      <c r="V81" s="580" t="s">
        <v>1589</v>
      </c>
    </row>
    <row r="82" spans="1:197" s="590" customFormat="1" ht="326.25" customHeight="1">
      <c r="A82" s="565">
        <v>59</v>
      </c>
      <c r="B82" s="566" t="s">
        <v>498</v>
      </c>
      <c r="C82" s="582" t="str">
        <f>VLOOKUP(B82,[13]AssetDetails_UEM!$A$3:$AH$1849,6,FALSE)</f>
        <v>Laser Imagers</v>
      </c>
      <c r="D82" s="583">
        <f>VLOOKUP(B82,[13]AssetDetails_UEM!$A$3:$AK$1849,22,FALSE)</f>
        <v>83100</v>
      </c>
      <c r="E82" s="566" t="s">
        <v>499</v>
      </c>
      <c r="F82" s="566" t="s">
        <v>500</v>
      </c>
      <c r="G82" s="569" t="s">
        <v>501</v>
      </c>
      <c r="H82" s="570" t="s">
        <v>142</v>
      </c>
      <c r="I82" s="571" t="s">
        <v>206</v>
      </c>
      <c r="J82" s="572" t="s">
        <v>502</v>
      </c>
      <c r="K82" s="592">
        <v>46170.423611111109</v>
      </c>
      <c r="L82" s="592">
        <v>46170.944444444445</v>
      </c>
      <c r="M82" s="585">
        <f t="shared" si="0"/>
        <v>100</v>
      </c>
      <c r="N82" s="586" t="s">
        <v>147</v>
      </c>
      <c r="O82" s="587">
        <f>'[14]B1&amp; B2 UNSCHEDULED'!$O$24</f>
        <v>0</v>
      </c>
      <c r="P82" s="565"/>
      <c r="Q82" s="586" t="s">
        <v>147</v>
      </c>
      <c r="R82" s="593">
        <f t="shared" si="8"/>
        <v>1.5277777777810115</v>
      </c>
      <c r="S82" s="588">
        <f t="shared" si="6"/>
        <v>46178</v>
      </c>
      <c r="T82" s="565">
        <v>0</v>
      </c>
      <c r="U82" s="589">
        <f t="shared" si="2"/>
        <v>0</v>
      </c>
      <c r="V82" s="580" t="s">
        <v>1590</v>
      </c>
    </row>
    <row r="83" spans="1:197" s="581" customFormat="1" ht="409.6">
      <c r="A83" s="565">
        <v>60</v>
      </c>
      <c r="B83" s="594" t="s">
        <v>512</v>
      </c>
      <c r="C83" s="567" t="str">
        <f>VLOOKUP(B83,[13]AssetDetails_UEM!$A$3:$AH$1849,6,FALSE)</f>
        <v>Pumps, Enteral Feeding</v>
      </c>
      <c r="D83" s="568">
        <f>VLOOKUP(B83,[13]AssetDetails_UEM!$A$3:$AK$1849,22,FALSE)</f>
        <v>2500</v>
      </c>
      <c r="E83" s="594" t="s">
        <v>513</v>
      </c>
      <c r="F83" s="594" t="s">
        <v>514</v>
      </c>
      <c r="G83" s="595" t="s">
        <v>964</v>
      </c>
      <c r="H83" s="596" t="s">
        <v>142</v>
      </c>
      <c r="I83" s="597" t="s">
        <v>540</v>
      </c>
      <c r="J83" s="598" t="s">
        <v>515</v>
      </c>
      <c r="K83" s="599">
        <v>46172.680555555555</v>
      </c>
      <c r="L83" s="599">
        <v>46173.8125</v>
      </c>
      <c r="M83" s="573">
        <f t="shared" si="0"/>
        <v>10</v>
      </c>
      <c r="N83" s="574" t="s">
        <v>147</v>
      </c>
      <c r="O83" s="575">
        <f>'[14]B1&amp; B2 UNSCHEDULED'!$O$24</f>
        <v>0</v>
      </c>
      <c r="P83" s="578"/>
      <c r="Q83" s="574" t="s">
        <v>147</v>
      </c>
      <c r="R83" s="576">
        <f t="shared" si="8"/>
        <v>2.1347222222248092</v>
      </c>
      <c r="S83" s="577">
        <f t="shared" si="6"/>
        <v>46181</v>
      </c>
      <c r="T83" s="578">
        <v>0</v>
      </c>
      <c r="U83" s="579">
        <f t="shared" si="2"/>
        <v>0</v>
      </c>
      <c r="V83" s="600" t="s">
        <v>1566</v>
      </c>
    </row>
    <row r="84" spans="1:197" s="331" customFormat="1" ht="174" customHeight="1">
      <c r="A84" s="403" t="s">
        <v>516</v>
      </c>
      <c r="B84" s="404"/>
      <c r="C84" s="405"/>
      <c r="D84" s="406"/>
      <c r="E84" s="404"/>
      <c r="F84" s="404"/>
      <c r="G84" s="411"/>
      <c r="H84" s="412"/>
      <c r="I84" s="412"/>
      <c r="J84" s="773"/>
      <c r="K84" s="773"/>
      <c r="L84" s="773"/>
      <c r="M84" s="773"/>
      <c r="N84" s="773"/>
      <c r="O84" s="773"/>
      <c r="P84" s="773"/>
      <c r="Q84" s="421"/>
      <c r="R84" s="421"/>
      <c r="S84" s="421"/>
      <c r="T84" s="421"/>
      <c r="U84" s="421"/>
      <c r="V84" s="422"/>
      <c r="W84" s="401"/>
    </row>
    <row r="85" spans="1:197" s="613" customFormat="1" ht="358.5" customHeight="1">
      <c r="A85" s="586">
        <v>1</v>
      </c>
      <c r="B85" s="566" t="s">
        <v>319</v>
      </c>
      <c r="C85" s="582" t="str">
        <f>VLOOKUP(B85,[13]AssetDetails_UEM!$A$3:$AH$1849,6,FALSE)</f>
        <v>Anesthesia Units</v>
      </c>
      <c r="D85" s="583">
        <f>VLOOKUP(B85,[13]AssetDetails_UEM!$A$3:$AK$1849,22,FALSE)</f>
        <v>144345</v>
      </c>
      <c r="E85" s="566" t="s">
        <v>320</v>
      </c>
      <c r="F85" s="566" t="s">
        <v>321</v>
      </c>
      <c r="G85" s="584" t="s">
        <v>942</v>
      </c>
      <c r="H85" s="570" t="s">
        <v>142</v>
      </c>
      <c r="I85" s="571" t="s">
        <v>1586</v>
      </c>
      <c r="J85" s="592">
        <v>46157.632638888892</v>
      </c>
      <c r="K85" s="592">
        <v>46157.666666666664</v>
      </c>
      <c r="L85" s="612">
        <v>46173.666666666664</v>
      </c>
      <c r="M85" s="585">
        <f>IF(D85&gt;44999.99,100,ROUNDUP((D85/4999.99)*10,-1))</f>
        <v>100</v>
      </c>
      <c r="N85" s="586" t="s">
        <v>147</v>
      </c>
      <c r="O85" s="587">
        <f>'[14]B1&amp; B2 UNSCHEDULED'!$O$24</f>
        <v>0</v>
      </c>
      <c r="P85" s="565"/>
      <c r="Q85" s="586" t="s">
        <v>373</v>
      </c>
      <c r="R85" s="593">
        <f t="shared" ref="R85:R89" si="9">IF(L85="",AKHIR-J85,L85-J85+1)</f>
        <v>17.03402777777228</v>
      </c>
      <c r="S85" s="588">
        <f>WORKDAY(J85,6,AKHIR)</f>
        <v>46167</v>
      </c>
      <c r="T85" s="565">
        <v>0</v>
      </c>
      <c r="U85" s="589">
        <f>IF(Q85="N",0,M85*T85)</f>
        <v>0</v>
      </c>
      <c r="V85" s="580" t="s">
        <v>1623</v>
      </c>
    </row>
    <row r="86" spans="1:197" s="613" customFormat="1" ht="405" customHeight="1">
      <c r="A86" s="586">
        <v>2</v>
      </c>
      <c r="B86" s="566" t="s">
        <v>343</v>
      </c>
      <c r="C86" s="582" t="str">
        <f>VLOOKUP(B86,[13]AssetDetails_UEM!$A$3:$AH$1849,6,FALSE)</f>
        <v>Analyzers, Laboratory, Hematology, Coagulation, Automated</v>
      </c>
      <c r="D86" s="583">
        <f>VLOOKUP(B86,[13]AssetDetails_UEM!$A$3:$AK$1849,22,FALSE)</f>
        <v>105860</v>
      </c>
      <c r="E86" s="566" t="s">
        <v>344</v>
      </c>
      <c r="F86" s="566" t="s">
        <v>140</v>
      </c>
      <c r="G86" s="584" t="s">
        <v>945</v>
      </c>
      <c r="H86" s="570" t="s">
        <v>142</v>
      </c>
      <c r="I86" s="571" t="s">
        <v>1558</v>
      </c>
      <c r="J86" s="572" t="s">
        <v>345</v>
      </c>
      <c r="K86" s="592">
        <v>46161.520833333336</v>
      </c>
      <c r="L86" s="612">
        <v>46173.666666666664</v>
      </c>
      <c r="M86" s="585">
        <f>IF(D86&gt;44999.99,100,ROUNDUP((D86/4999.99)*10,-1))</f>
        <v>100</v>
      </c>
      <c r="N86" s="586" t="s">
        <v>147</v>
      </c>
      <c r="O86" s="587">
        <f>'[14]B1&amp; B2 UNSCHEDULED'!$O$24</f>
        <v>0</v>
      </c>
      <c r="P86" s="565"/>
      <c r="Q86" s="586" t="s">
        <v>147</v>
      </c>
      <c r="R86" s="593">
        <f t="shared" si="9"/>
        <v>13.154166666667152</v>
      </c>
      <c r="S86" s="588">
        <f>WORKDAY(J86,6,AKHIR)</f>
        <v>46169</v>
      </c>
      <c r="T86" s="565">
        <v>0</v>
      </c>
      <c r="U86" s="589">
        <f>IF(Q86="N",0,M86*T86)</f>
        <v>0</v>
      </c>
      <c r="V86" s="614" t="s">
        <v>1626</v>
      </c>
    </row>
    <row r="87" spans="1:197" s="613" customFormat="1" ht="409.6" customHeight="1">
      <c r="A87" s="586">
        <v>3</v>
      </c>
      <c r="B87" s="566" t="s">
        <v>400</v>
      </c>
      <c r="C87" s="582" t="str">
        <f>VLOOKUP(B87,[13]AssetDetails_UEM!$A$3:$AH$1849,6,FALSE)</f>
        <v>Radiation Monitors</v>
      </c>
      <c r="D87" s="583">
        <f>VLOOKUP(B87,[13]AssetDetails_UEM!$A$3:$AK$1849,22,FALSE)</f>
        <v>23270</v>
      </c>
      <c r="E87" s="566" t="s">
        <v>401</v>
      </c>
      <c r="F87" s="566" t="s">
        <v>402</v>
      </c>
      <c r="G87" s="569" t="s">
        <v>403</v>
      </c>
      <c r="H87" s="570" t="s">
        <v>142</v>
      </c>
      <c r="I87" s="571" t="s">
        <v>206</v>
      </c>
      <c r="J87" s="572" t="s">
        <v>404</v>
      </c>
      <c r="K87" s="592">
        <v>46163.590277777781</v>
      </c>
      <c r="L87" s="612">
        <v>46173.666666666664</v>
      </c>
      <c r="M87" s="585">
        <f>IF(D87&gt;44999.99,100,ROUNDUP((D87/4999.99)*10,-1))</f>
        <v>50</v>
      </c>
      <c r="N87" s="586" t="s">
        <v>147</v>
      </c>
      <c r="O87" s="587">
        <f>'[14]B1&amp; B2 UNSCHEDULED'!$O$24</f>
        <v>0</v>
      </c>
      <c r="P87" s="565"/>
      <c r="Q87" s="586" t="s">
        <v>147</v>
      </c>
      <c r="R87" s="593">
        <f>IF(L87="",AKHIR-J87,L87-J87+1)</f>
        <v>11.083333333328483</v>
      </c>
      <c r="S87" s="588">
        <f>WORKDAY(J87,6,AKHIR)</f>
        <v>46171</v>
      </c>
      <c r="T87" s="565">
        <v>0</v>
      </c>
      <c r="U87" s="589">
        <f>IF(Q87="N",0,M87*T87)</f>
        <v>0</v>
      </c>
      <c r="V87" s="580" t="s">
        <v>1625</v>
      </c>
    </row>
    <row r="88" spans="1:197" s="590" customFormat="1" ht="326.25" customHeight="1">
      <c r="A88" s="586">
        <v>4</v>
      </c>
      <c r="B88" s="566" t="s">
        <v>503</v>
      </c>
      <c r="C88" s="582" t="str">
        <f>VLOOKUP(B88,[13]AssetDetails_UEM!$A$3:$AH$1849,6,FALSE)</f>
        <v>Radiation Monitors</v>
      </c>
      <c r="D88" s="583">
        <f>VLOOKUP(B88,[13]AssetDetails_UEM!$A$3:$AK$1849,22,FALSE)</f>
        <v>112855</v>
      </c>
      <c r="E88" s="566" t="s">
        <v>504</v>
      </c>
      <c r="F88" s="566" t="s">
        <v>505</v>
      </c>
      <c r="G88" s="584" t="s">
        <v>963</v>
      </c>
      <c r="H88" s="570" t="s">
        <v>142</v>
      </c>
      <c r="I88" s="571" t="s">
        <v>250</v>
      </c>
      <c r="J88" s="572" t="s">
        <v>506</v>
      </c>
      <c r="K88" s="592">
        <v>46170.694444444445</v>
      </c>
      <c r="L88" s="612">
        <v>46173.666666666664</v>
      </c>
      <c r="M88" s="585">
        <f>IF(D88&gt;44999.99,100,ROUNDUP((D88/4999.99)*10,-1))</f>
        <v>100</v>
      </c>
      <c r="N88" s="586" t="s">
        <v>147</v>
      </c>
      <c r="O88" s="587">
        <f>'[14]B1&amp; B2 UNSCHEDULED'!$O$24</f>
        <v>0</v>
      </c>
      <c r="P88" s="565"/>
      <c r="Q88" s="586" t="s">
        <v>147</v>
      </c>
      <c r="R88" s="593">
        <f t="shared" si="9"/>
        <v>3.9826388888832298</v>
      </c>
      <c r="S88" s="588">
        <f>WORKDAY(J88,6,AKHIR)</f>
        <v>46178</v>
      </c>
      <c r="T88" s="565">
        <v>0</v>
      </c>
      <c r="U88" s="589">
        <f>IF(Q88="N",0,M88*T88)</f>
        <v>0</v>
      </c>
      <c r="V88" s="580" t="s">
        <v>1587</v>
      </c>
    </row>
    <row r="89" spans="1:197" s="590" customFormat="1" ht="326.25" customHeight="1">
      <c r="A89" s="586">
        <v>5</v>
      </c>
      <c r="B89" s="566" t="s">
        <v>507</v>
      </c>
      <c r="C89" s="582" t="str">
        <f>VLOOKUP(B89,[13]AssetDetails_UEM!$A$3:$AH$1849,6,FALSE)</f>
        <v>Radiation Monitors</v>
      </c>
      <c r="D89" s="583">
        <f>VLOOKUP(B89,[13]AssetDetails_UEM!$A$3:$AK$1849,22,FALSE)</f>
        <v>112855</v>
      </c>
      <c r="E89" s="566" t="s">
        <v>508</v>
      </c>
      <c r="F89" s="566" t="s">
        <v>509</v>
      </c>
      <c r="G89" s="569" t="s">
        <v>510</v>
      </c>
      <c r="H89" s="604" t="s">
        <v>940</v>
      </c>
      <c r="I89" s="571" t="s">
        <v>206</v>
      </c>
      <c r="J89" s="572" t="s">
        <v>511</v>
      </c>
      <c r="K89" s="592">
        <v>46171.444444444445</v>
      </c>
      <c r="L89" s="612">
        <v>46173.666666666664</v>
      </c>
      <c r="M89" s="585">
        <f>IF(D89&gt;44999.99,100,ROUNDUP((D89/4999.99)*10,-1))</f>
        <v>100</v>
      </c>
      <c r="N89" s="586" t="s">
        <v>147</v>
      </c>
      <c r="O89" s="587">
        <f>'[14]B1&amp; B2 UNSCHEDULED'!$O$24</f>
        <v>0</v>
      </c>
      <c r="P89" s="565"/>
      <c r="Q89" s="586" t="s">
        <v>147</v>
      </c>
      <c r="R89" s="593">
        <f t="shared" si="9"/>
        <v>3.2291666666642413</v>
      </c>
      <c r="S89" s="588">
        <f>WORKDAY(J89,6,AKHIR)</f>
        <v>46181</v>
      </c>
      <c r="T89" s="565">
        <v>0</v>
      </c>
      <c r="U89" s="589">
        <f>IF(Q89="N",0,M89*T89)</f>
        <v>0</v>
      </c>
      <c r="V89" s="580" t="s">
        <v>1591</v>
      </c>
    </row>
    <row r="90" spans="1:197" s="331" customFormat="1" ht="195" customHeight="1">
      <c r="A90" s="407" t="s">
        <v>517</v>
      </c>
      <c r="B90" s="408"/>
      <c r="C90" s="409"/>
      <c r="D90" s="410"/>
      <c r="E90" s="408"/>
      <c r="F90" s="408"/>
      <c r="G90" s="409"/>
      <c r="H90" s="408"/>
      <c r="I90" s="409"/>
      <c r="J90" s="413"/>
      <c r="K90" s="414"/>
      <c r="L90" s="414"/>
      <c r="M90" s="414"/>
      <c r="N90" s="414"/>
      <c r="O90" s="414"/>
      <c r="P90" s="414"/>
      <c r="Q90" s="414"/>
      <c r="R90" s="414"/>
      <c r="S90" s="414"/>
      <c r="T90" s="414"/>
      <c r="U90" s="414"/>
      <c r="V90" s="423"/>
      <c r="W90" s="401"/>
      <c r="AL90" s="515" t="s">
        <v>595</v>
      </c>
    </row>
    <row r="91" spans="1:197" s="590" customFormat="1" ht="409.6">
      <c r="A91" s="565">
        <v>1</v>
      </c>
      <c r="B91" s="566" t="s">
        <v>518</v>
      </c>
      <c r="C91" s="582" t="str">
        <f>VLOOKUP(B91,[13]AssetDetails_UEM!$A$3:$AH$1849,6,FALSE)</f>
        <v>Ventilators, Intensive Care</v>
      </c>
      <c r="D91" s="583">
        <f>VLOOKUP(B91,[13]AssetDetails_UEM!$A$3:$AK$1849,22,FALSE)</f>
        <v>151560</v>
      </c>
      <c r="E91" s="566" t="s">
        <v>519</v>
      </c>
      <c r="F91" s="566" t="s">
        <v>520</v>
      </c>
      <c r="G91" s="584" t="s">
        <v>521</v>
      </c>
      <c r="H91" s="570" t="s">
        <v>142</v>
      </c>
      <c r="I91" s="571" t="s">
        <v>206</v>
      </c>
      <c r="J91" s="572" t="s">
        <v>522</v>
      </c>
      <c r="K91" s="592">
        <v>46062.381944444402</v>
      </c>
      <c r="L91" s="615">
        <v>46153.493055555598</v>
      </c>
      <c r="M91" s="585">
        <f t="shared" ref="M91:M97" si="10">IF(D91&gt;44999.99,100,ROUNDUP((D91/4999.99)*10,-1))</f>
        <v>100</v>
      </c>
      <c r="N91" s="586" t="s">
        <v>147</v>
      </c>
      <c r="O91" s="587">
        <f>'[14]B1&amp; B2 UNSCHEDULED'!$O$24</f>
        <v>0</v>
      </c>
      <c r="P91" s="565"/>
      <c r="Q91" s="586" t="s">
        <v>373</v>
      </c>
      <c r="R91" s="593">
        <f>IF(L91="",AKHIR-J91,L91-J91+1)</f>
        <v>92.118055555598403</v>
      </c>
      <c r="S91" s="588">
        <f>WORKDAY(J91,6,AKHIR)</f>
        <v>46070</v>
      </c>
      <c r="T91" s="616">
        <v>10</v>
      </c>
      <c r="U91" s="589">
        <f t="shared" ref="U91:U97" si="11">IF(Q91="N",0,M91*T91)</f>
        <v>1000</v>
      </c>
      <c r="V91" s="600" t="s">
        <v>523</v>
      </c>
      <c r="W91" s="613"/>
      <c r="X91" s="613"/>
      <c r="Y91" s="613"/>
      <c r="Z91" s="613"/>
      <c r="AA91" s="613"/>
      <c r="AB91" s="613"/>
      <c r="AC91" s="613"/>
      <c r="AD91" s="613"/>
      <c r="AE91" s="613"/>
      <c r="AF91" s="613"/>
      <c r="AG91" s="613"/>
      <c r="AH91" s="613"/>
      <c r="AI91" s="613"/>
      <c r="AJ91" s="613"/>
      <c r="AK91" s="613"/>
      <c r="AL91" s="613"/>
      <c r="AM91" s="613"/>
      <c r="AN91" s="613"/>
      <c r="AO91" s="613"/>
      <c r="AP91" s="613"/>
      <c r="AQ91" s="613"/>
      <c r="AR91" s="613"/>
      <c r="AS91" s="613"/>
      <c r="AT91" s="613"/>
      <c r="AU91" s="613"/>
      <c r="AV91" s="613"/>
      <c r="AW91" s="613"/>
      <c r="AX91" s="613"/>
      <c r="AY91" s="613"/>
      <c r="AZ91" s="613"/>
      <c r="BA91" s="613"/>
      <c r="BB91" s="613"/>
      <c r="BC91" s="613"/>
      <c r="BD91" s="613"/>
      <c r="BE91" s="613"/>
      <c r="BF91" s="613"/>
      <c r="BG91" s="613"/>
      <c r="BH91" s="613"/>
      <c r="BI91" s="613"/>
      <c r="BJ91" s="613"/>
      <c r="BK91" s="613"/>
      <c r="BL91" s="613"/>
      <c r="BM91" s="613"/>
      <c r="BN91" s="613"/>
      <c r="BO91" s="613"/>
      <c r="BP91" s="613"/>
      <c r="BQ91" s="613"/>
      <c r="BR91" s="613"/>
      <c r="BS91" s="613"/>
      <c r="BT91" s="613"/>
      <c r="BU91" s="613"/>
      <c r="BV91" s="613"/>
      <c r="BW91" s="613"/>
      <c r="BX91" s="613"/>
      <c r="BY91" s="613"/>
      <c r="BZ91" s="613"/>
      <c r="CA91" s="613"/>
      <c r="CB91" s="613"/>
      <c r="CC91" s="613"/>
      <c r="CD91" s="613"/>
      <c r="CE91" s="613"/>
      <c r="CF91" s="613"/>
      <c r="CG91" s="613"/>
      <c r="CH91" s="613"/>
      <c r="CI91" s="613"/>
      <c r="CJ91" s="613"/>
      <c r="CK91" s="613"/>
      <c r="CL91" s="613"/>
      <c r="CM91" s="613"/>
      <c r="CN91" s="613"/>
      <c r="CO91" s="613"/>
      <c r="CP91" s="613"/>
      <c r="CQ91" s="613"/>
      <c r="CR91" s="613"/>
      <c r="CS91" s="613"/>
      <c r="CT91" s="613"/>
      <c r="CU91" s="613"/>
      <c r="CV91" s="613"/>
      <c r="CW91" s="613"/>
      <c r="CX91" s="613"/>
      <c r="CY91" s="613"/>
      <c r="CZ91" s="613"/>
      <c r="DA91" s="613"/>
      <c r="DB91" s="613"/>
      <c r="DC91" s="613"/>
      <c r="DD91" s="613"/>
      <c r="DE91" s="613"/>
      <c r="DF91" s="613"/>
      <c r="DG91" s="613"/>
      <c r="DH91" s="613"/>
      <c r="DI91" s="613"/>
      <c r="DJ91" s="613"/>
      <c r="DK91" s="613"/>
      <c r="DL91" s="613"/>
      <c r="DM91" s="613"/>
      <c r="DN91" s="613"/>
      <c r="DO91" s="613"/>
      <c r="DP91" s="613"/>
      <c r="DQ91" s="613"/>
      <c r="DR91" s="613"/>
      <c r="DS91" s="613"/>
      <c r="DT91" s="613"/>
      <c r="DU91" s="613"/>
      <c r="DV91" s="613"/>
      <c r="DW91" s="613"/>
      <c r="DX91" s="613"/>
      <c r="DY91" s="613"/>
      <c r="DZ91" s="613"/>
      <c r="EA91" s="613"/>
      <c r="EB91" s="613"/>
      <c r="EC91" s="613"/>
      <c r="ED91" s="613"/>
      <c r="EE91" s="613"/>
      <c r="EF91" s="613"/>
      <c r="EG91" s="613"/>
      <c r="EH91" s="613"/>
      <c r="EI91" s="613"/>
      <c r="EJ91" s="613"/>
      <c r="EK91" s="613"/>
      <c r="EL91" s="613"/>
      <c r="EM91" s="613"/>
      <c r="EN91" s="613"/>
      <c r="EO91" s="613"/>
      <c r="EP91" s="613"/>
      <c r="EQ91" s="613"/>
      <c r="ER91" s="613"/>
      <c r="ES91" s="613"/>
      <c r="ET91" s="613"/>
      <c r="EU91" s="613"/>
      <c r="EV91" s="613"/>
      <c r="EW91" s="613"/>
      <c r="EX91" s="613"/>
      <c r="EY91" s="613"/>
      <c r="EZ91" s="613"/>
      <c r="FA91" s="613"/>
      <c r="FB91" s="613"/>
      <c r="FC91" s="613"/>
      <c r="FD91" s="613"/>
      <c r="FE91" s="613"/>
      <c r="FF91" s="613"/>
      <c r="FG91" s="613"/>
      <c r="FH91" s="613"/>
      <c r="FI91" s="613"/>
      <c r="FJ91" s="613"/>
      <c r="FK91" s="613"/>
      <c r="FL91" s="613"/>
      <c r="FM91" s="613"/>
      <c r="FN91" s="613"/>
      <c r="FO91" s="613"/>
      <c r="FP91" s="613"/>
      <c r="FQ91" s="613"/>
      <c r="FR91" s="613"/>
      <c r="FS91" s="613"/>
      <c r="FT91" s="613"/>
      <c r="FU91" s="613"/>
      <c r="FV91" s="613"/>
      <c r="FW91" s="613"/>
      <c r="FX91" s="613"/>
      <c r="FY91" s="613"/>
      <c r="FZ91" s="613"/>
      <c r="GA91" s="613"/>
      <c r="GB91" s="613"/>
      <c r="GC91" s="613"/>
      <c r="GD91" s="613"/>
      <c r="GE91" s="613"/>
      <c r="GF91" s="613"/>
      <c r="GG91" s="613"/>
      <c r="GH91" s="613"/>
      <c r="GI91" s="613"/>
      <c r="GJ91" s="613"/>
      <c r="GK91" s="613"/>
      <c r="GL91" s="613"/>
      <c r="GM91" s="613"/>
      <c r="GN91" s="613"/>
      <c r="GO91" s="613"/>
    </row>
    <row r="92" spans="1:197" s="590" customFormat="1" ht="409.6" customHeight="1">
      <c r="A92" s="565">
        <v>2</v>
      </c>
      <c r="B92" s="566" t="s">
        <v>524</v>
      </c>
      <c r="C92" s="582" t="str">
        <f>VLOOKUP(B92,[13]AssetDetails_UEM!$A$3:$AH$1849,6,FALSE)</f>
        <v>Ventilators, Intensive Care</v>
      </c>
      <c r="D92" s="583">
        <f>VLOOKUP(B92,[13]AssetDetails_UEM!$A$3:$AK$1849,22,FALSE)</f>
        <v>151560</v>
      </c>
      <c r="E92" s="566" t="s">
        <v>525</v>
      </c>
      <c r="F92" s="566" t="s">
        <v>526</v>
      </c>
      <c r="G92" s="584" t="s">
        <v>527</v>
      </c>
      <c r="H92" s="570" t="s">
        <v>142</v>
      </c>
      <c r="I92" s="571" t="s">
        <v>206</v>
      </c>
      <c r="J92" s="572" t="s">
        <v>528</v>
      </c>
      <c r="K92" s="592">
        <v>46073.423611111102</v>
      </c>
      <c r="L92" s="615">
        <v>46153.791666666701</v>
      </c>
      <c r="M92" s="585">
        <f t="shared" si="10"/>
        <v>100</v>
      </c>
      <c r="N92" s="586" t="s">
        <v>147</v>
      </c>
      <c r="O92" s="587">
        <f>'[14]B1&amp; B2 UNSCHEDULED'!$O$24</f>
        <v>0</v>
      </c>
      <c r="P92" s="565"/>
      <c r="Q92" s="586" t="s">
        <v>373</v>
      </c>
      <c r="R92" s="593">
        <f>IF(L92="",AKHIR-J92,L92-J92+1)</f>
        <v>81.37500000003638</v>
      </c>
      <c r="S92" s="588">
        <f>WORKDAY(J92,6,AKHIR)</f>
        <v>46083</v>
      </c>
      <c r="T92" s="617">
        <v>10</v>
      </c>
      <c r="U92" s="589">
        <f t="shared" si="11"/>
        <v>1000</v>
      </c>
      <c r="V92" s="600" t="s">
        <v>529</v>
      </c>
      <c r="W92" s="613"/>
      <c r="X92" s="613"/>
      <c r="Y92" s="613"/>
      <c r="Z92" s="613"/>
      <c r="AA92" s="613"/>
      <c r="AB92" s="613"/>
      <c r="AC92" s="613"/>
      <c r="AD92" s="613"/>
      <c r="AE92" s="613"/>
      <c r="AF92" s="613"/>
      <c r="AG92" s="613"/>
      <c r="AH92" s="613"/>
      <c r="AI92" s="613"/>
      <c r="AJ92" s="613"/>
      <c r="AK92" s="613"/>
      <c r="AL92" s="613"/>
      <c r="AM92" s="613"/>
      <c r="AN92" s="613"/>
      <c r="AO92" s="613"/>
      <c r="AP92" s="613"/>
      <c r="AQ92" s="613"/>
      <c r="AR92" s="613"/>
      <c r="AS92" s="613"/>
      <c r="AT92" s="613"/>
      <c r="AU92" s="613"/>
      <c r="AV92" s="613"/>
      <c r="AW92" s="613"/>
      <c r="AX92" s="613"/>
      <c r="AY92" s="613"/>
      <c r="AZ92" s="613"/>
      <c r="BA92" s="613"/>
      <c r="BB92" s="613"/>
      <c r="BC92" s="613"/>
      <c r="BD92" s="613"/>
      <c r="BE92" s="613"/>
      <c r="BF92" s="613"/>
      <c r="BG92" s="613"/>
      <c r="BH92" s="613"/>
      <c r="BI92" s="613"/>
      <c r="BJ92" s="613"/>
      <c r="BK92" s="613"/>
      <c r="BL92" s="613"/>
      <c r="BM92" s="613"/>
      <c r="BN92" s="613"/>
      <c r="BO92" s="613"/>
      <c r="BP92" s="613"/>
      <c r="BQ92" s="613"/>
      <c r="BR92" s="613"/>
      <c r="BS92" s="613"/>
      <c r="BT92" s="613"/>
      <c r="BU92" s="613"/>
      <c r="BV92" s="613"/>
      <c r="BW92" s="613"/>
      <c r="BX92" s="613"/>
      <c r="BY92" s="613"/>
      <c r="BZ92" s="613"/>
      <c r="CA92" s="613"/>
      <c r="CB92" s="613"/>
      <c r="CC92" s="613"/>
      <c r="CD92" s="613"/>
      <c r="CE92" s="613"/>
      <c r="CF92" s="613"/>
      <c r="CG92" s="613"/>
      <c r="CH92" s="613"/>
      <c r="CI92" s="613"/>
      <c r="CJ92" s="613"/>
      <c r="CK92" s="613"/>
      <c r="CL92" s="613"/>
      <c r="CM92" s="613"/>
      <c r="CN92" s="613"/>
      <c r="CO92" s="613"/>
      <c r="CP92" s="613"/>
      <c r="CQ92" s="613"/>
      <c r="CR92" s="613"/>
      <c r="CS92" s="613"/>
      <c r="CT92" s="613"/>
      <c r="CU92" s="613"/>
      <c r="CV92" s="613"/>
      <c r="CW92" s="613"/>
      <c r="CX92" s="613"/>
      <c r="CY92" s="613"/>
      <c r="CZ92" s="613"/>
      <c r="DA92" s="613"/>
      <c r="DB92" s="613"/>
      <c r="DC92" s="613"/>
      <c r="DD92" s="613"/>
      <c r="DE92" s="613"/>
      <c r="DF92" s="613"/>
      <c r="DG92" s="613"/>
      <c r="DH92" s="613"/>
      <c r="DI92" s="613"/>
      <c r="DJ92" s="613"/>
      <c r="DK92" s="613"/>
      <c r="DL92" s="613"/>
      <c r="DM92" s="613"/>
      <c r="DN92" s="613"/>
      <c r="DO92" s="613"/>
      <c r="DP92" s="613"/>
      <c r="DQ92" s="613"/>
      <c r="DR92" s="613"/>
      <c r="DS92" s="613"/>
      <c r="DT92" s="613"/>
      <c r="DU92" s="613"/>
      <c r="DV92" s="613"/>
      <c r="DW92" s="613"/>
      <c r="DX92" s="613"/>
      <c r="DY92" s="613"/>
      <c r="DZ92" s="613"/>
      <c r="EA92" s="613"/>
      <c r="EB92" s="613"/>
      <c r="EC92" s="613"/>
      <c r="ED92" s="613"/>
      <c r="EE92" s="613"/>
      <c r="EF92" s="613"/>
      <c r="EG92" s="613"/>
      <c r="EH92" s="613"/>
      <c r="EI92" s="613"/>
      <c r="EJ92" s="613"/>
      <c r="EK92" s="613"/>
      <c r="EL92" s="613"/>
      <c r="EM92" s="613"/>
      <c r="EN92" s="613"/>
      <c r="EO92" s="613"/>
      <c r="EP92" s="613"/>
      <c r="EQ92" s="613"/>
      <c r="ER92" s="613"/>
      <c r="ES92" s="613"/>
      <c r="ET92" s="613"/>
      <c r="EU92" s="613"/>
      <c r="EV92" s="613"/>
      <c r="EW92" s="613"/>
      <c r="EX92" s="613"/>
      <c r="EY92" s="613"/>
      <c r="EZ92" s="613"/>
      <c r="FA92" s="613"/>
      <c r="FB92" s="613"/>
      <c r="FC92" s="613"/>
      <c r="FD92" s="613"/>
      <c r="FE92" s="613"/>
      <c r="FF92" s="613"/>
      <c r="FG92" s="613"/>
      <c r="FH92" s="613"/>
      <c r="FI92" s="613"/>
      <c r="FJ92" s="613"/>
      <c r="FK92" s="613"/>
      <c r="FL92" s="613"/>
      <c r="FM92" s="613"/>
      <c r="FN92" s="613"/>
      <c r="FO92" s="613"/>
      <c r="FP92" s="613"/>
      <c r="FQ92" s="613"/>
      <c r="FR92" s="613"/>
      <c r="FS92" s="613"/>
      <c r="FT92" s="613"/>
      <c r="FU92" s="613"/>
      <c r="FV92" s="613"/>
      <c r="FW92" s="613"/>
      <c r="FX92" s="613"/>
      <c r="FY92" s="613"/>
      <c r="FZ92" s="613"/>
      <c r="GA92" s="613"/>
      <c r="GB92" s="613"/>
      <c r="GC92" s="613"/>
      <c r="GD92" s="613"/>
      <c r="GE92" s="613"/>
      <c r="GF92" s="613"/>
      <c r="GG92" s="613"/>
      <c r="GH92" s="613"/>
      <c r="GI92" s="613"/>
      <c r="GJ92" s="613"/>
      <c r="GK92" s="613"/>
      <c r="GL92" s="613"/>
      <c r="GM92" s="613"/>
      <c r="GN92" s="613"/>
      <c r="GO92" s="613"/>
    </row>
    <row r="93" spans="1:197" s="590" customFormat="1" ht="409.6">
      <c r="A93" s="565">
        <v>3</v>
      </c>
      <c r="B93" s="594" t="s">
        <v>530</v>
      </c>
      <c r="C93" s="582" t="str">
        <f>VLOOKUP(B93,[13]AssetDetails_UEM!$A$3:$AH$1849,6,FALSE)</f>
        <v>Radiographic Units, Mobile</v>
      </c>
      <c r="D93" s="583">
        <f>VLOOKUP(B93,[13]AssetDetails_UEM!$A$3:$AK$1849,22,FALSE)</f>
        <v>1149550</v>
      </c>
      <c r="E93" s="594" t="s">
        <v>531</v>
      </c>
      <c r="F93" s="594" t="s">
        <v>532</v>
      </c>
      <c r="G93" s="595" t="s">
        <v>533</v>
      </c>
      <c r="H93" s="604" t="s">
        <v>228</v>
      </c>
      <c r="I93" s="571" t="s">
        <v>206</v>
      </c>
      <c r="J93" s="598" t="s">
        <v>534</v>
      </c>
      <c r="K93" s="599">
        <v>46097.590277777803</v>
      </c>
      <c r="L93" s="615">
        <v>46156.666666666701</v>
      </c>
      <c r="M93" s="585">
        <f t="shared" si="10"/>
        <v>100</v>
      </c>
      <c r="N93" s="586" t="s">
        <v>147</v>
      </c>
      <c r="O93" s="587">
        <f>'[14]B1&amp; B2 UNSCHEDULED'!$O$24</f>
        <v>0</v>
      </c>
      <c r="P93" s="565"/>
      <c r="Q93" s="586" t="s">
        <v>373</v>
      </c>
      <c r="R93" s="593">
        <f>IF(L93="",AKHIR-J93,L93-J93+1)</f>
        <v>60.083333333364862</v>
      </c>
      <c r="S93" s="588">
        <f>WORKDAY(J93,6,AKHIR)+2</f>
        <v>46107</v>
      </c>
      <c r="T93" s="617">
        <v>13</v>
      </c>
      <c r="U93" s="579">
        <f t="shared" si="11"/>
        <v>1300</v>
      </c>
      <c r="V93" s="600" t="s">
        <v>535</v>
      </c>
      <c r="W93" s="601"/>
    </row>
    <row r="94" spans="1:197" s="581" customFormat="1" ht="409.6">
      <c r="A94" s="565">
        <v>4</v>
      </c>
      <c r="B94" s="594" t="s">
        <v>536</v>
      </c>
      <c r="C94" s="567" t="str">
        <f>VLOOKUP(B94,[13]AssetDetails_UEM!$A$3:$AH$1849,6,FALSE)</f>
        <v>Sphygmomanometers, Electronic, Automatic</v>
      </c>
      <c r="D94" s="568">
        <f>VLOOKUP(B94,[13]AssetDetails_UEM!$A$3:$AK$1849,22,FALSE)</f>
        <v>336</v>
      </c>
      <c r="E94" s="594" t="s">
        <v>537</v>
      </c>
      <c r="F94" s="594" t="s">
        <v>538</v>
      </c>
      <c r="G94" s="595" t="s">
        <v>539</v>
      </c>
      <c r="H94" s="596" t="s">
        <v>142</v>
      </c>
      <c r="I94" s="597" t="s">
        <v>540</v>
      </c>
      <c r="J94" s="598" t="s">
        <v>541</v>
      </c>
      <c r="K94" s="599">
        <v>46105.673611111102</v>
      </c>
      <c r="L94" s="618" t="s">
        <v>1564</v>
      </c>
      <c r="M94" s="573">
        <f t="shared" si="10"/>
        <v>10</v>
      </c>
      <c r="N94" s="574" t="s">
        <v>147</v>
      </c>
      <c r="O94" s="575">
        <f>'[14]B1&amp; B2 UNSCHEDULED'!$O$24</f>
        <v>0</v>
      </c>
      <c r="P94" s="578"/>
      <c r="Q94" s="574" t="s">
        <v>373</v>
      </c>
      <c r="R94" s="576">
        <f>IF(L94="",AKHIR-J94,L94-J94+1)</f>
        <v>52.997222222220444</v>
      </c>
      <c r="S94" s="577">
        <f>WORKDAY(J94,5,AKHIR)</f>
        <v>46112</v>
      </c>
      <c r="T94" s="619">
        <v>14</v>
      </c>
      <c r="U94" s="579">
        <f t="shared" si="11"/>
        <v>140</v>
      </c>
      <c r="V94" s="600" t="s">
        <v>1565</v>
      </c>
    </row>
    <row r="95" spans="1:197" s="613" customFormat="1" ht="409.6">
      <c r="A95" s="565">
        <v>5</v>
      </c>
      <c r="B95" s="566" t="s">
        <v>542</v>
      </c>
      <c r="C95" s="582" t="str">
        <f>VLOOKUP(B95,[13]AssetDetails_UEM!$A$3:$AH$1849,6,FALSE)</f>
        <v>Radiographic/Fluoroscopic Units, Mobile</v>
      </c>
      <c r="D95" s="583">
        <f>VLOOKUP(B95,[13]AssetDetails_UEM!$A$3:$AK$1849,22,FALSE)</f>
        <v>399000</v>
      </c>
      <c r="E95" s="566" t="s">
        <v>543</v>
      </c>
      <c r="F95" s="566" t="s">
        <v>544</v>
      </c>
      <c r="G95" s="584" t="s">
        <v>545</v>
      </c>
      <c r="H95" s="570" t="s">
        <v>142</v>
      </c>
      <c r="I95" s="571" t="s">
        <v>206</v>
      </c>
      <c r="J95" s="572" t="s">
        <v>546</v>
      </c>
      <c r="K95" s="592">
        <v>46140.444444444402</v>
      </c>
      <c r="L95" s="592">
        <v>46154.666666666701</v>
      </c>
      <c r="M95" s="585">
        <f t="shared" si="10"/>
        <v>100</v>
      </c>
      <c r="N95" s="586" t="s">
        <v>147</v>
      </c>
      <c r="O95" s="587">
        <f>'[14]B1&amp; B2 UNSCHEDULED'!$O$24</f>
        <v>0</v>
      </c>
      <c r="P95" s="565"/>
      <c r="Q95" s="586" t="s">
        <v>373</v>
      </c>
      <c r="R95" s="593">
        <f>IF(L95="",AKHIR-J95,L95-J95+1)</f>
        <v>15.229166666700621</v>
      </c>
      <c r="S95" s="588">
        <f>WORKDAY(J95,6,AKHIR)</f>
        <v>46148</v>
      </c>
      <c r="T95" s="565">
        <v>5</v>
      </c>
      <c r="U95" s="589">
        <f t="shared" si="11"/>
        <v>500</v>
      </c>
      <c r="V95" s="580" t="s">
        <v>547</v>
      </c>
    </row>
    <row r="96" spans="1:197" s="590" customFormat="1" ht="253.5" customHeight="1">
      <c r="A96" s="565">
        <v>6</v>
      </c>
      <c r="B96" s="566" t="s">
        <v>548</v>
      </c>
      <c r="C96" s="582" t="str">
        <f>VLOOKUP(B96,[13]AssetDetails_UEM!$A$3:$AH$1849,6,FALSE)</f>
        <v>Analyzers, Laboratory, Urine, Automated</v>
      </c>
      <c r="D96" s="583">
        <f>VLOOKUP(B96,[13]AssetDetails_UEM!$A$3:$AK$1849,22,FALSE)</f>
        <v>36080</v>
      </c>
      <c r="E96" s="566" t="s">
        <v>549</v>
      </c>
      <c r="F96" s="566" t="s">
        <v>140</v>
      </c>
      <c r="G96" s="584" t="s">
        <v>550</v>
      </c>
      <c r="H96" s="570" t="s">
        <v>142</v>
      </c>
      <c r="I96" s="571" t="s">
        <v>482</v>
      </c>
      <c r="J96" s="592">
        <v>46141.645833333299</v>
      </c>
      <c r="K96" s="592">
        <v>46141.666666666701</v>
      </c>
      <c r="L96" s="592">
        <v>46148.666666666701</v>
      </c>
      <c r="M96" s="585">
        <f t="shared" si="10"/>
        <v>80</v>
      </c>
      <c r="N96" s="586" t="s">
        <v>147</v>
      </c>
      <c r="O96" s="587">
        <f>'[14]B1&amp; B2 UNSCHEDULED'!$O$24</f>
        <v>0</v>
      </c>
      <c r="P96" s="565"/>
      <c r="Q96" s="586" t="s">
        <v>147</v>
      </c>
      <c r="R96" s="593">
        <v>7</v>
      </c>
      <c r="S96" s="588">
        <f>WORKDAY(J96,6,AKHIR)</f>
        <v>46149</v>
      </c>
      <c r="T96" s="565">
        <v>0</v>
      </c>
      <c r="U96" s="589">
        <f t="shared" si="11"/>
        <v>0</v>
      </c>
      <c r="V96" s="580" t="s">
        <v>551</v>
      </c>
      <c r="W96" s="620"/>
    </row>
    <row r="97" spans="1:197" s="590" customFormat="1" ht="273.60000000000002" customHeight="1">
      <c r="A97" s="565">
        <v>7</v>
      </c>
      <c r="B97" s="566" t="s">
        <v>552</v>
      </c>
      <c r="C97" s="582" t="str">
        <f>VLOOKUP(B97,[13]AssetDetails_UEM!$A$3:$AH$1849,6,FALSE)</f>
        <v>Video Image Processors, Endoscopic</v>
      </c>
      <c r="D97" s="583">
        <f>VLOOKUP(B97,[13]AssetDetails_UEM!$A$3:$AK$1849,22,FALSE)</f>
        <v>80000</v>
      </c>
      <c r="E97" s="566" t="s">
        <v>553</v>
      </c>
      <c r="F97" s="566" t="s">
        <v>554</v>
      </c>
      <c r="G97" s="584" t="s">
        <v>555</v>
      </c>
      <c r="H97" s="570" t="s">
        <v>142</v>
      </c>
      <c r="I97" s="571" t="s">
        <v>206</v>
      </c>
      <c r="J97" s="572" t="s">
        <v>556</v>
      </c>
      <c r="K97" s="621">
        <v>46142.715277777803</v>
      </c>
      <c r="L97" s="592" t="s">
        <v>557</v>
      </c>
      <c r="M97" s="585">
        <f t="shared" si="10"/>
        <v>100</v>
      </c>
      <c r="N97" s="586" t="s">
        <v>147</v>
      </c>
      <c r="O97" s="587">
        <f>'[14]B1&amp; B2 UNSCHEDULED'!$O$24</f>
        <v>0</v>
      </c>
      <c r="P97" s="565"/>
      <c r="Q97" s="586" t="s">
        <v>147</v>
      </c>
      <c r="R97" s="593">
        <f>IF(L97="",AKHIR-J97,L97-J97+1)</f>
        <v>1.7916666666642413</v>
      </c>
      <c r="S97" s="588">
        <f>WORKDAY(J97,6,AKHIR)</f>
        <v>46150</v>
      </c>
      <c r="T97" s="565">
        <v>0</v>
      </c>
      <c r="U97" s="589">
        <f t="shared" si="11"/>
        <v>0</v>
      </c>
      <c r="V97" s="580" t="s">
        <v>558</v>
      </c>
      <c r="W97" s="620"/>
    </row>
    <row r="98" spans="1:197" s="332" customFormat="1" ht="226.5" customHeight="1">
      <c r="A98" s="356" t="s">
        <v>559</v>
      </c>
      <c r="B98" s="357"/>
      <c r="C98" s="358"/>
      <c r="D98" s="359"/>
      <c r="E98" s="357"/>
      <c r="F98" s="357"/>
      <c r="G98" s="358"/>
      <c r="H98" s="357"/>
      <c r="I98" s="357"/>
      <c r="J98" s="774"/>
      <c r="K98" s="774"/>
      <c r="L98" s="774"/>
      <c r="M98" s="379"/>
      <c r="N98" s="379"/>
      <c r="O98" s="379"/>
      <c r="P98" s="379"/>
      <c r="Q98" s="379"/>
      <c r="R98" s="379"/>
      <c r="S98" s="379"/>
      <c r="T98" s="379"/>
      <c r="U98" s="379"/>
      <c r="V98" s="424"/>
      <c r="W98" s="401"/>
    </row>
    <row r="99" spans="1:197" s="590" customFormat="1" ht="409.05" customHeight="1">
      <c r="A99" s="565">
        <v>1</v>
      </c>
      <c r="B99" s="622" t="s">
        <v>560</v>
      </c>
      <c r="C99" s="623" t="str">
        <f>VLOOKUP(B99,[13]AssetDetails_UEM!$A$3:$AH$1849,6,FALSE)</f>
        <v>Washers, Flexible Endoscope</v>
      </c>
      <c r="D99" s="624">
        <f>VLOOKUP(B99,[13]AssetDetails_UEM!$A$3:$AK$1849,22,FALSE)</f>
        <v>126300</v>
      </c>
      <c r="E99" s="622" t="s">
        <v>561</v>
      </c>
      <c r="F99" s="622" t="s">
        <v>562</v>
      </c>
      <c r="G99" s="625" t="s">
        <v>563</v>
      </c>
      <c r="H99" s="626" t="s">
        <v>142</v>
      </c>
      <c r="I99" s="627" t="s">
        <v>363</v>
      </c>
      <c r="J99" s="628">
        <v>46106.498611111099</v>
      </c>
      <c r="K99" s="628">
        <v>46106.510416666701</v>
      </c>
      <c r="L99" s="629">
        <v>46173.958344907405</v>
      </c>
      <c r="M99" s="630">
        <f t="shared" ref="M99:M100" si="12">IF(D99&gt;44999.99,100,ROUNDUP((D99/4999.99)*10,-1))</f>
        <v>100</v>
      </c>
      <c r="N99" s="631" t="s">
        <v>147</v>
      </c>
      <c r="O99" s="587">
        <f>'[14]B1&amp; B2 UNSCHEDULED'!$O$24</f>
        <v>0</v>
      </c>
      <c r="P99" s="565"/>
      <c r="Q99" s="586" t="s">
        <v>147</v>
      </c>
      <c r="R99" s="593">
        <f>IF(L99="",AKHIR-J99,L99-J99+1)</f>
        <v>68.459733796305954</v>
      </c>
      <c r="S99" s="588">
        <f>WORKDAY(J99,5,AKHIR)</f>
        <v>46113</v>
      </c>
      <c r="T99" s="565">
        <v>30</v>
      </c>
      <c r="U99" s="579">
        <f>IF(Q99="N",0,M99*T99)</f>
        <v>0</v>
      </c>
      <c r="V99" s="600" t="s">
        <v>1619</v>
      </c>
      <c r="W99" s="590" t="s">
        <v>564</v>
      </c>
    </row>
    <row r="100" spans="1:197" s="590" customFormat="1" ht="300">
      <c r="A100" s="565">
        <v>2</v>
      </c>
      <c r="B100" s="566" t="s">
        <v>565</v>
      </c>
      <c r="C100" s="582" t="str">
        <f>VLOOKUP(B100,[13]AssetDetails_UEM!$A$3:$AH$1849,6,FALSE)</f>
        <v>Mattress Systems, Alternating-Pressure</v>
      </c>
      <c r="D100" s="583">
        <f>VLOOKUP(B100,[13]AssetDetails_UEM!$A$3:$AK$1849,22,FALSE)</f>
        <v>28630</v>
      </c>
      <c r="E100" s="566" t="s">
        <v>566</v>
      </c>
      <c r="F100" s="566" t="s">
        <v>167</v>
      </c>
      <c r="G100" s="584" t="s">
        <v>567</v>
      </c>
      <c r="H100" s="570" t="s">
        <v>142</v>
      </c>
      <c r="I100" s="571" t="s">
        <v>143</v>
      </c>
      <c r="J100" s="592">
        <v>46113.534722222197</v>
      </c>
      <c r="K100" s="592">
        <v>46113.552083333299</v>
      </c>
      <c r="L100" s="629">
        <v>46173.958344907405</v>
      </c>
      <c r="M100" s="585">
        <f t="shared" si="12"/>
        <v>60</v>
      </c>
      <c r="N100" s="586" t="s">
        <v>147</v>
      </c>
      <c r="O100" s="587">
        <f>'[14]B1&amp; B2 UNSCHEDULED'!$O$24</f>
        <v>0</v>
      </c>
      <c r="P100" s="586"/>
      <c r="Q100" s="586" t="s">
        <v>147</v>
      </c>
      <c r="R100" s="593">
        <f>IF(L100="",AKHIR-J100,L100-J100+1)</f>
        <v>61.423622685208102</v>
      </c>
      <c r="S100" s="588">
        <f>WORKDAY(J100,6,AKHIR)</f>
        <v>46121</v>
      </c>
      <c r="T100" s="565">
        <v>30</v>
      </c>
      <c r="U100" s="589">
        <f>IF(Q100="N",0,M100*T100)</f>
        <v>0</v>
      </c>
      <c r="V100" s="580" t="s">
        <v>568</v>
      </c>
    </row>
    <row r="101" spans="1:197" s="590" customFormat="1" ht="409.6">
      <c r="A101" s="565">
        <v>3</v>
      </c>
      <c r="B101" s="566" t="s">
        <v>744</v>
      </c>
      <c r="C101" s="582" t="str">
        <f>VLOOKUP(B101,[13]AssetDetails_UEM!$A$3:$AH$1849,6,FALSE)</f>
        <v>Bronchoscopes, Flexible</v>
      </c>
      <c r="D101" s="583">
        <f>VLOOKUP(B101,[13]AssetDetails_UEM!$A$3:$AK$1849,22,FALSE)</f>
        <v>58000</v>
      </c>
      <c r="E101" s="566" t="s">
        <v>569</v>
      </c>
      <c r="F101" s="566" t="s">
        <v>526</v>
      </c>
      <c r="G101" s="584" t="s">
        <v>570</v>
      </c>
      <c r="H101" s="570" t="s">
        <v>142</v>
      </c>
      <c r="I101" s="571" t="s">
        <v>482</v>
      </c>
      <c r="J101" s="592">
        <v>46119.479166666701</v>
      </c>
      <c r="K101" s="592">
        <v>46119.5</v>
      </c>
      <c r="L101" s="629">
        <v>46173.958344907405</v>
      </c>
      <c r="M101" s="585">
        <f>IF(D101&gt;44999.99,100,ROUNDUP((D101/4999.99)*10,-1))</f>
        <v>100</v>
      </c>
      <c r="N101" s="586" t="s">
        <v>147</v>
      </c>
      <c r="O101" s="587">
        <f>'[14]B1&amp; B2 UNSCHEDULED'!$O$24</f>
        <v>0</v>
      </c>
      <c r="P101" s="586"/>
      <c r="Q101" s="586" t="s">
        <v>147</v>
      </c>
      <c r="R101" s="593">
        <f>IF(L101="",AKHIR-J101,L101-J101+1)</f>
        <v>55.479178240704641</v>
      </c>
      <c r="S101" s="588">
        <f>WORKDAY(J101,6,AKHIR)</f>
        <v>46127</v>
      </c>
      <c r="T101" s="565">
        <v>30</v>
      </c>
      <c r="U101" s="589">
        <v>0</v>
      </c>
      <c r="V101" s="580" t="s">
        <v>571</v>
      </c>
      <c r="W101" s="632" t="s">
        <v>1620</v>
      </c>
    </row>
    <row r="102" spans="1:197" s="590" customFormat="1" ht="360">
      <c r="A102" s="565">
        <v>4</v>
      </c>
      <c r="B102" s="566" t="s">
        <v>572</v>
      </c>
      <c r="C102" s="582" t="str">
        <f>VLOOKUP(B102,[13]AssetDetails_UEM!$A$3:$AH$1849,6,FALSE)</f>
        <v>Scanning Systems, Computed Tomography</v>
      </c>
      <c r="D102" s="583">
        <f>VLOOKUP(B102,[13]AssetDetails_UEM!$A$3:$AK$1849,22,FALSE)</f>
        <v>3557530</v>
      </c>
      <c r="E102" s="566" t="s">
        <v>573</v>
      </c>
      <c r="F102" s="566" t="s">
        <v>574</v>
      </c>
      <c r="G102" s="584" t="s">
        <v>575</v>
      </c>
      <c r="H102" s="570" t="s">
        <v>142</v>
      </c>
      <c r="I102" s="571" t="s">
        <v>384</v>
      </c>
      <c r="J102" s="572" t="s">
        <v>576</v>
      </c>
      <c r="K102" s="592">
        <v>46122.430555555555</v>
      </c>
      <c r="L102" s="629">
        <v>46173.958344907405</v>
      </c>
      <c r="M102" s="585">
        <f>IF(D102&gt;44999.99,100,ROUNDUP((D102/4999.99)*10,-1))</f>
        <v>100</v>
      </c>
      <c r="N102" s="586" t="s">
        <v>147</v>
      </c>
      <c r="O102" s="587">
        <f>'[14]B1&amp; B2 UNSCHEDULED'!$O$24</f>
        <v>0</v>
      </c>
      <c r="P102" s="565"/>
      <c r="Q102" s="586" t="s">
        <v>373</v>
      </c>
      <c r="R102" s="593">
        <f>IF(L102="",AKHIR-J102,L102-J102+1)</f>
        <v>52.543761574073869</v>
      </c>
      <c r="S102" s="588">
        <f>WORKDAY(J102,6,AKHIR)</f>
        <v>46132</v>
      </c>
      <c r="T102" s="565">
        <v>30</v>
      </c>
      <c r="U102" s="589">
        <f>IF(Q102="N",0,M102*T102)</f>
        <v>3000</v>
      </c>
      <c r="V102" s="580" t="s">
        <v>1618</v>
      </c>
    </row>
    <row r="103" spans="1:197" s="581" customFormat="1" ht="327" customHeight="1">
      <c r="A103" s="565">
        <v>5</v>
      </c>
      <c r="B103" s="594" t="s">
        <v>438</v>
      </c>
      <c r="C103" s="567" t="str">
        <f>VLOOKUP(B103,[13]AssetDetails_UEM!$A$3:$AH$1849,6,FALSE)</f>
        <v>Analyzers, Laboratory, Immunoassay, Chemiluminescent</v>
      </c>
      <c r="D103" s="568">
        <f>VLOOKUP(B103,[13]AssetDetails_UEM!$A$3:$AK$1849,22,FALSE)</f>
        <v>1443450</v>
      </c>
      <c r="E103" s="594" t="s">
        <v>577</v>
      </c>
      <c r="F103" s="594" t="s">
        <v>440</v>
      </c>
      <c r="G103" s="595" t="s">
        <v>578</v>
      </c>
      <c r="H103" s="596" t="s">
        <v>142</v>
      </c>
      <c r="I103" s="597" t="s">
        <v>579</v>
      </c>
      <c r="J103" s="598" t="s">
        <v>580</v>
      </c>
      <c r="K103" s="599">
        <v>46122.625</v>
      </c>
      <c r="L103" s="629">
        <v>46173.958344907405</v>
      </c>
      <c r="M103" s="573">
        <f>IF(D103&gt;44999.99,100,ROUNDUP((D103/4999.99)*10,-1))</f>
        <v>100</v>
      </c>
      <c r="N103" s="574" t="s">
        <v>147</v>
      </c>
      <c r="O103" s="575">
        <f>'[14]B1&amp; B2 UNSCHEDULED'!$O$24</f>
        <v>0</v>
      </c>
      <c r="P103" s="578"/>
      <c r="Q103" s="574" t="s">
        <v>373</v>
      </c>
      <c r="R103" s="576">
        <f>IF(L104="",AKHIR-J104,L104-J104+1)</f>
        <v>34.666678240741021</v>
      </c>
      <c r="S103" s="577">
        <f>WORKDAY(J104,6,AKHIR)</f>
        <v>46147</v>
      </c>
      <c r="T103" s="578">
        <v>25</v>
      </c>
      <c r="U103" s="589">
        <f>IF(Q103="N",0,M103*T103)</f>
        <v>2500</v>
      </c>
      <c r="V103" s="580" t="s">
        <v>1617</v>
      </c>
    </row>
    <row r="104" spans="1:197" s="590" customFormat="1" ht="370.95" customHeight="1">
      <c r="A104" s="565">
        <v>6</v>
      </c>
      <c r="B104" s="566" t="s">
        <v>581</v>
      </c>
      <c r="C104" s="582" t="str">
        <f>VLOOKUP(B104,[13]AssetDetails_UEM!$A$3:$AH$1849,6,FALSE)</f>
        <v>Mattress Systems, Alternating-Pressure</v>
      </c>
      <c r="D104" s="583">
        <f>VLOOKUP(B104,[13]AssetDetails_UEM!$A$3:$AK$1849,22,FALSE)</f>
        <v>28630</v>
      </c>
      <c r="E104" s="566" t="s">
        <v>582</v>
      </c>
      <c r="F104" s="566" t="s">
        <v>583</v>
      </c>
      <c r="G104" s="584" t="s">
        <v>584</v>
      </c>
      <c r="H104" s="570" t="s">
        <v>142</v>
      </c>
      <c r="I104" s="571" t="s">
        <v>585</v>
      </c>
      <c r="J104" s="572" t="s">
        <v>586</v>
      </c>
      <c r="K104" s="592">
        <v>46139.817361111098</v>
      </c>
      <c r="L104" s="629">
        <v>46173.458344907405</v>
      </c>
      <c r="M104" s="585">
        <f>IF(D104&gt;44999.99,100,ROUNDUP((D104/4999.99)*10,-1))</f>
        <v>60</v>
      </c>
      <c r="N104" s="586" t="s">
        <v>147</v>
      </c>
      <c r="O104" s="587">
        <f>'[14]B1&amp; B2 UNSCHEDULED'!$O$24</f>
        <v>0</v>
      </c>
      <c r="P104" s="565"/>
      <c r="Q104" s="586" t="s">
        <v>373</v>
      </c>
      <c r="R104" s="576">
        <f>IF(L105="",AKHIR-J105,L105-J105+1)</f>
        <v>32.618055555554747</v>
      </c>
      <c r="S104" s="577">
        <f>WORKDAY(J105,6,AKHIR)</f>
        <v>46148</v>
      </c>
      <c r="T104" s="565">
        <v>24</v>
      </c>
      <c r="U104" s="589">
        <f>IF(Q104="N",0,M104*T104)</f>
        <v>1440</v>
      </c>
      <c r="V104" s="580" t="s">
        <v>1624</v>
      </c>
      <c r="W104" s="613"/>
    </row>
    <row r="105" spans="1:197" s="613" customFormat="1" ht="392.55" customHeight="1">
      <c r="A105" s="565">
        <v>7</v>
      </c>
      <c r="B105" s="566" t="s">
        <v>587</v>
      </c>
      <c r="C105" s="582" t="str">
        <f>VLOOKUP(B105,[13]AssetDetails_UEM!$A$3:$AH$1849,6,FALSE)</f>
        <v>Physiologic Monitoring Systems, Stress Exercise</v>
      </c>
      <c r="D105" s="583">
        <f>VLOOKUP(B105,[13]AssetDetails_UEM!$A$3:$AK$1849,22,FALSE)</f>
        <v>138350</v>
      </c>
      <c r="E105" s="566" t="s">
        <v>588</v>
      </c>
      <c r="F105" s="566" t="s">
        <v>589</v>
      </c>
      <c r="G105" s="584" t="s">
        <v>590</v>
      </c>
      <c r="H105" s="570" t="s">
        <v>142</v>
      </c>
      <c r="I105" s="571" t="s">
        <v>206</v>
      </c>
      <c r="J105" s="572" t="s">
        <v>591</v>
      </c>
      <c r="K105" s="592">
        <v>46140.388888888898</v>
      </c>
      <c r="L105" s="615"/>
      <c r="M105" s="585">
        <f>IF(D105&gt;44999.99,100,ROUNDUP((D105/4999.99)*10,-1))</f>
        <v>100</v>
      </c>
      <c r="N105" s="586" t="s">
        <v>147</v>
      </c>
      <c r="O105" s="587">
        <f>'[14]B1&amp; B2 UNSCHEDULED'!$O$24</f>
        <v>0</v>
      </c>
      <c r="P105" s="565"/>
      <c r="Q105" s="586" t="s">
        <v>373</v>
      </c>
      <c r="R105" s="593">
        <v>8</v>
      </c>
      <c r="S105" s="588">
        <f>WORKDAY(J105,6,AKHIR)</f>
        <v>46148</v>
      </c>
      <c r="T105" s="565">
        <v>24</v>
      </c>
      <c r="U105" s="589">
        <f>IF(Q105="N",0,M105*T105)</f>
        <v>2400</v>
      </c>
      <c r="V105" s="580" t="s">
        <v>1627</v>
      </c>
    </row>
    <row r="106" spans="1:197" s="332" customFormat="1" ht="240" customHeight="1">
      <c r="A106" s="775" t="s">
        <v>592</v>
      </c>
      <c r="B106" s="776"/>
      <c r="C106" s="776"/>
      <c r="D106" s="776"/>
      <c r="E106" s="776"/>
      <c r="F106" s="776"/>
      <c r="G106" s="776"/>
      <c r="H106" s="776"/>
      <c r="I106" s="776"/>
      <c r="J106" s="776"/>
      <c r="K106" s="776"/>
      <c r="L106" s="776"/>
      <c r="M106" s="776"/>
      <c r="N106" s="776"/>
      <c r="O106" s="420" t="s">
        <v>593</v>
      </c>
      <c r="P106" s="777" t="s">
        <v>594</v>
      </c>
      <c r="Q106" s="777"/>
      <c r="R106" s="777"/>
      <c r="S106" s="778"/>
      <c r="T106" s="777"/>
      <c r="U106" s="425">
        <f>SUM(U24:U105)</f>
        <v>13280</v>
      </c>
      <c r="V106" s="426"/>
      <c r="W106" s="402"/>
    </row>
    <row r="107" spans="1:197" s="332" customFormat="1" ht="234" customHeight="1">
      <c r="A107" s="333"/>
      <c r="B107" s="334"/>
      <c r="C107" s="335"/>
      <c r="D107" s="336"/>
      <c r="E107" s="334"/>
      <c r="F107" s="334"/>
      <c r="G107" s="335"/>
      <c r="H107" s="333"/>
      <c r="I107" s="337"/>
      <c r="J107" s="338"/>
      <c r="K107" s="415"/>
      <c r="L107" s="340" t="s">
        <v>595</v>
      </c>
      <c r="M107" s="341"/>
      <c r="N107" s="333"/>
      <c r="O107" s="333"/>
      <c r="P107" s="334"/>
      <c r="Q107" s="333"/>
      <c r="R107" s="333"/>
      <c r="S107" s="342"/>
      <c r="T107" s="343"/>
      <c r="U107" s="333"/>
      <c r="V107" s="344"/>
      <c r="W107" s="401"/>
      <c r="X107" s="331"/>
      <c r="Y107" s="331"/>
      <c r="Z107" s="331"/>
      <c r="AA107" s="331"/>
      <c r="AB107" s="331"/>
      <c r="AC107" s="331"/>
      <c r="AD107" s="331"/>
      <c r="AE107" s="331"/>
      <c r="AF107" s="331"/>
      <c r="AG107" s="331"/>
      <c r="AH107" s="331"/>
      <c r="AI107" s="331"/>
      <c r="AJ107" s="331"/>
      <c r="AK107" s="331"/>
      <c r="AL107" s="331"/>
      <c r="AM107" s="331"/>
      <c r="AN107" s="331"/>
      <c r="AO107" s="331"/>
      <c r="AP107" s="331"/>
      <c r="AQ107" s="331"/>
      <c r="AR107" s="331"/>
      <c r="AS107" s="331"/>
      <c r="AT107" s="331"/>
      <c r="AU107" s="331"/>
      <c r="AV107" s="331"/>
      <c r="AW107" s="331"/>
      <c r="AX107" s="331"/>
      <c r="AY107" s="331"/>
      <c r="AZ107" s="331"/>
      <c r="BA107" s="331"/>
      <c r="BB107" s="331"/>
      <c r="BC107" s="331"/>
      <c r="BD107" s="331"/>
      <c r="BE107" s="331"/>
      <c r="BF107" s="331"/>
      <c r="BG107" s="331"/>
      <c r="BH107" s="331"/>
      <c r="BI107" s="331"/>
      <c r="BJ107" s="331"/>
      <c r="BK107" s="331"/>
      <c r="BL107" s="331"/>
      <c r="BM107" s="331"/>
      <c r="BN107" s="331"/>
      <c r="BO107" s="331"/>
      <c r="BP107" s="331"/>
      <c r="BQ107" s="331"/>
      <c r="BR107" s="331"/>
      <c r="BS107" s="331"/>
      <c r="BT107" s="331"/>
      <c r="BU107" s="331"/>
      <c r="BV107" s="331"/>
      <c r="BW107" s="331"/>
      <c r="BX107" s="331"/>
      <c r="BY107" s="331"/>
      <c r="BZ107" s="331"/>
      <c r="CA107" s="331"/>
      <c r="CB107" s="331"/>
      <c r="CC107" s="331"/>
      <c r="CD107" s="331"/>
      <c r="CE107" s="331"/>
      <c r="CF107" s="331"/>
      <c r="CG107" s="331"/>
      <c r="CH107" s="331"/>
      <c r="CI107" s="331"/>
      <c r="CJ107" s="331"/>
      <c r="CK107" s="331"/>
      <c r="CL107" s="331"/>
      <c r="CM107" s="331"/>
      <c r="CN107" s="331"/>
      <c r="CO107" s="331"/>
      <c r="CP107" s="331"/>
      <c r="CQ107" s="331"/>
      <c r="CR107" s="331"/>
      <c r="CS107" s="331"/>
      <c r="CT107" s="331"/>
      <c r="CU107" s="331"/>
      <c r="CV107" s="331"/>
      <c r="CW107" s="331"/>
      <c r="CX107" s="331"/>
      <c r="CY107" s="331"/>
      <c r="CZ107" s="331"/>
      <c r="DA107" s="331"/>
      <c r="DB107" s="331"/>
      <c r="DC107" s="331"/>
      <c r="DD107" s="331"/>
      <c r="DE107" s="331"/>
      <c r="DF107" s="331"/>
      <c r="DG107" s="331"/>
      <c r="DH107" s="331"/>
      <c r="DI107" s="331"/>
      <c r="DJ107" s="331"/>
      <c r="DK107" s="331"/>
      <c r="DL107" s="331"/>
      <c r="DM107" s="331"/>
      <c r="DN107" s="331"/>
      <c r="DO107" s="331"/>
      <c r="DP107" s="331"/>
      <c r="DQ107" s="331"/>
      <c r="DR107" s="331"/>
      <c r="DS107" s="331"/>
      <c r="DT107" s="331"/>
      <c r="DU107" s="331"/>
      <c r="DV107" s="331"/>
      <c r="DW107" s="331"/>
      <c r="DX107" s="331"/>
      <c r="DY107" s="331"/>
      <c r="DZ107" s="331"/>
      <c r="EA107" s="331"/>
      <c r="EB107" s="331"/>
      <c r="EC107" s="331"/>
      <c r="ED107" s="331"/>
      <c r="EE107" s="331"/>
      <c r="EF107" s="331"/>
      <c r="EG107" s="331"/>
      <c r="EH107" s="331"/>
      <c r="EI107" s="331"/>
      <c r="EJ107" s="331"/>
      <c r="EK107" s="331"/>
      <c r="EL107" s="331"/>
      <c r="EM107" s="331"/>
      <c r="EN107" s="331"/>
      <c r="EO107" s="331"/>
      <c r="EP107" s="331"/>
      <c r="EQ107" s="331"/>
      <c r="ER107" s="331"/>
      <c r="ES107" s="331"/>
      <c r="ET107" s="331"/>
      <c r="EU107" s="331"/>
      <c r="EV107" s="331"/>
      <c r="EW107" s="331"/>
      <c r="EX107" s="331"/>
      <c r="EY107" s="331"/>
      <c r="EZ107" s="331"/>
      <c r="FA107" s="331"/>
      <c r="FB107" s="331"/>
      <c r="FC107" s="331"/>
      <c r="FD107" s="331"/>
      <c r="FE107" s="331"/>
      <c r="FF107" s="331"/>
      <c r="FG107" s="331"/>
      <c r="FH107" s="331"/>
      <c r="FI107" s="331"/>
      <c r="FJ107" s="331"/>
      <c r="FK107" s="331"/>
      <c r="FL107" s="331"/>
      <c r="FM107" s="331"/>
      <c r="FN107" s="331"/>
      <c r="FO107" s="331"/>
      <c r="FP107" s="331"/>
      <c r="FQ107" s="331"/>
      <c r="FR107" s="331"/>
      <c r="FS107" s="331"/>
      <c r="FT107" s="331"/>
      <c r="FU107" s="331"/>
      <c r="FV107" s="331"/>
      <c r="FW107" s="331"/>
      <c r="FX107" s="331"/>
      <c r="FY107" s="331"/>
      <c r="FZ107" s="331"/>
      <c r="GA107" s="331"/>
      <c r="GB107" s="331"/>
      <c r="GC107" s="331"/>
      <c r="GD107" s="331"/>
      <c r="GE107" s="331"/>
      <c r="GF107" s="331"/>
      <c r="GG107" s="331"/>
      <c r="GH107" s="331"/>
      <c r="GI107" s="331"/>
      <c r="GJ107" s="331"/>
      <c r="GK107" s="331"/>
      <c r="GL107" s="331"/>
      <c r="GM107" s="331"/>
      <c r="GN107" s="331"/>
      <c r="GO107" s="331"/>
    </row>
    <row r="108" spans="1:197" s="331" customFormat="1" ht="293.55" customHeight="1">
      <c r="A108" s="333"/>
      <c r="B108" s="334"/>
      <c r="C108" s="335"/>
      <c r="D108" s="336"/>
      <c r="E108" s="334"/>
      <c r="F108" s="334"/>
      <c r="G108" s="335"/>
      <c r="H108" s="333"/>
      <c r="I108" s="337"/>
      <c r="J108" s="338"/>
      <c r="K108" s="415"/>
      <c r="L108" s="340"/>
      <c r="M108" s="341"/>
      <c r="N108" s="333"/>
      <c r="O108" s="333"/>
      <c r="P108" s="334"/>
      <c r="Q108" s="333"/>
      <c r="R108" s="333"/>
      <c r="S108" s="342"/>
      <c r="T108" s="343"/>
      <c r="U108" s="333"/>
      <c r="V108" s="344"/>
      <c r="W108" s="401"/>
      <c r="X108" s="328"/>
      <c r="Y108" s="328"/>
      <c r="Z108" s="328"/>
      <c r="AA108" s="328"/>
      <c r="AB108" s="328"/>
      <c r="AC108" s="328"/>
      <c r="AD108" s="328"/>
      <c r="AE108" s="328"/>
      <c r="AF108" s="328"/>
      <c r="AG108" s="328"/>
      <c r="AH108" s="328"/>
      <c r="AI108" s="328"/>
      <c r="AJ108" s="328"/>
      <c r="AK108" s="328"/>
      <c r="AL108" s="328"/>
      <c r="AM108" s="328"/>
      <c r="AN108" s="328"/>
      <c r="AO108" s="328"/>
      <c r="AP108" s="328"/>
      <c r="AQ108" s="328"/>
      <c r="AR108" s="328"/>
      <c r="AS108" s="328"/>
      <c r="AT108" s="328"/>
      <c r="AU108" s="328"/>
      <c r="AV108" s="328"/>
      <c r="AW108" s="328"/>
      <c r="AX108" s="328"/>
      <c r="AY108" s="328"/>
      <c r="AZ108" s="328"/>
      <c r="BA108" s="328"/>
      <c r="BB108" s="328"/>
      <c r="BC108" s="328"/>
      <c r="BD108" s="328"/>
      <c r="BE108" s="328"/>
      <c r="BF108" s="328"/>
      <c r="BG108" s="328"/>
      <c r="BH108" s="328"/>
      <c r="BI108" s="328"/>
      <c r="BJ108" s="328"/>
      <c r="BK108" s="328"/>
      <c r="BL108" s="328"/>
      <c r="BM108" s="328"/>
      <c r="BN108" s="328"/>
      <c r="BO108" s="328"/>
      <c r="BP108" s="328"/>
      <c r="BQ108" s="328"/>
      <c r="BR108" s="328"/>
      <c r="BS108" s="328"/>
      <c r="BT108" s="328"/>
      <c r="BU108" s="328"/>
      <c r="BV108" s="328"/>
      <c r="BW108" s="328"/>
      <c r="BX108" s="328"/>
      <c r="BY108" s="328"/>
      <c r="BZ108" s="328"/>
      <c r="CA108" s="328"/>
      <c r="CB108" s="328"/>
      <c r="CC108" s="328"/>
      <c r="CD108" s="328"/>
      <c r="CE108" s="328"/>
      <c r="CF108" s="328"/>
      <c r="CG108" s="328"/>
      <c r="CH108" s="328"/>
      <c r="CI108" s="328"/>
      <c r="CJ108" s="328"/>
      <c r="CK108" s="328"/>
      <c r="CL108" s="328"/>
      <c r="CM108" s="328"/>
      <c r="CN108" s="328"/>
      <c r="CO108" s="328"/>
      <c r="CP108" s="328"/>
      <c r="CQ108" s="328"/>
      <c r="CR108" s="328"/>
      <c r="CS108" s="328"/>
      <c r="CT108" s="328"/>
      <c r="CU108" s="328"/>
      <c r="CV108" s="328"/>
      <c r="CW108" s="328"/>
      <c r="CX108" s="328"/>
      <c r="CY108" s="328"/>
      <c r="CZ108" s="328"/>
      <c r="DA108" s="328"/>
      <c r="DB108" s="328"/>
      <c r="DC108" s="328"/>
      <c r="DD108" s="328"/>
      <c r="DE108" s="328"/>
      <c r="DF108" s="328"/>
      <c r="DG108" s="328"/>
      <c r="DH108" s="328"/>
      <c r="DI108" s="328"/>
      <c r="DJ108" s="328"/>
      <c r="DK108" s="328"/>
      <c r="DL108" s="328"/>
      <c r="DM108" s="328"/>
      <c r="DN108" s="328"/>
      <c r="DO108" s="328"/>
      <c r="DP108" s="328"/>
      <c r="DQ108" s="328"/>
      <c r="DR108" s="328"/>
      <c r="DS108" s="328"/>
      <c r="DT108" s="328"/>
      <c r="DU108" s="328"/>
      <c r="DV108" s="328"/>
      <c r="DW108" s="328"/>
      <c r="DX108" s="328"/>
      <c r="DY108" s="328"/>
      <c r="DZ108" s="328"/>
      <c r="EA108" s="328"/>
      <c r="EB108" s="328"/>
      <c r="EC108" s="328"/>
      <c r="ED108" s="328"/>
      <c r="EE108" s="328"/>
      <c r="EF108" s="328"/>
      <c r="EG108" s="328"/>
      <c r="EH108" s="328"/>
      <c r="EI108" s="328"/>
      <c r="EJ108" s="328"/>
      <c r="EK108" s="328"/>
      <c r="EL108" s="328"/>
      <c r="EM108" s="328"/>
      <c r="EN108" s="328"/>
      <c r="EO108" s="328"/>
      <c r="EP108" s="328"/>
      <c r="EQ108" s="328"/>
      <c r="ER108" s="328"/>
      <c r="ES108" s="328"/>
      <c r="ET108" s="328"/>
      <c r="EU108" s="328"/>
      <c r="EV108" s="328"/>
      <c r="EW108" s="328"/>
      <c r="EX108" s="328"/>
      <c r="EY108" s="328"/>
      <c r="EZ108" s="328"/>
      <c r="FA108" s="328"/>
      <c r="FB108" s="328"/>
      <c r="FC108" s="328"/>
      <c r="FD108" s="328"/>
      <c r="FE108" s="328"/>
      <c r="FF108" s="328"/>
      <c r="FG108" s="328"/>
      <c r="FH108" s="328"/>
      <c r="FI108" s="328"/>
      <c r="FJ108" s="328"/>
      <c r="FK108" s="328"/>
      <c r="FL108" s="328"/>
      <c r="FM108" s="328"/>
      <c r="FN108" s="328"/>
      <c r="FO108" s="328"/>
      <c r="FP108" s="328"/>
      <c r="FQ108" s="328"/>
      <c r="FR108" s="328"/>
      <c r="FS108" s="328"/>
      <c r="FT108" s="328"/>
      <c r="FU108" s="328"/>
      <c r="FV108" s="328"/>
      <c r="FW108" s="328"/>
      <c r="FX108" s="328"/>
      <c r="FY108" s="328"/>
      <c r="FZ108" s="328"/>
      <c r="GA108" s="328"/>
      <c r="GB108" s="328"/>
      <c r="GC108" s="328"/>
      <c r="GD108" s="328"/>
      <c r="GE108" s="328"/>
      <c r="GF108" s="328"/>
      <c r="GG108" s="328"/>
      <c r="GH108" s="328"/>
      <c r="GI108" s="328"/>
      <c r="GJ108" s="328"/>
      <c r="GK108" s="328"/>
      <c r="GL108" s="328"/>
      <c r="GM108" s="328"/>
      <c r="GN108" s="328"/>
      <c r="GO108" s="328"/>
    </row>
    <row r="109" spans="1:197" s="328" customFormat="1" ht="110.25" customHeight="1">
      <c r="A109" s="333"/>
      <c r="B109" s="334"/>
      <c r="C109" s="335"/>
      <c r="D109" s="336"/>
      <c r="E109" s="334"/>
      <c r="F109" s="334"/>
      <c r="G109" s="335"/>
      <c r="H109" s="333"/>
      <c r="I109" s="337"/>
      <c r="J109" s="338"/>
      <c r="K109" s="415"/>
      <c r="L109" s="340"/>
      <c r="M109" s="341"/>
      <c r="N109" s="333"/>
      <c r="O109" s="333"/>
      <c r="P109" s="334"/>
      <c r="Q109" s="333"/>
      <c r="R109" s="333"/>
      <c r="S109" s="342"/>
      <c r="T109" s="343"/>
      <c r="U109" s="333"/>
      <c r="V109" s="344"/>
      <c r="W109" s="402"/>
      <c r="X109" s="332"/>
      <c r="Y109" s="332"/>
      <c r="Z109" s="332"/>
      <c r="AA109" s="332"/>
      <c r="AB109" s="332"/>
      <c r="AC109" s="332"/>
      <c r="AD109" s="332"/>
      <c r="AE109" s="332"/>
      <c r="AF109" s="332"/>
      <c r="AG109" s="332"/>
      <c r="AH109" s="332"/>
      <c r="AI109" s="332"/>
      <c r="AJ109" s="332"/>
      <c r="AK109" s="332"/>
      <c r="AL109" s="332"/>
      <c r="AM109" s="332"/>
      <c r="AN109" s="332"/>
      <c r="AO109" s="332"/>
      <c r="AP109" s="332"/>
      <c r="AQ109" s="332"/>
      <c r="AR109" s="332"/>
      <c r="AS109" s="332"/>
      <c r="AT109" s="332"/>
      <c r="AU109" s="332"/>
      <c r="AV109" s="332"/>
      <c r="AW109" s="332"/>
      <c r="AX109" s="332"/>
      <c r="AY109" s="332"/>
      <c r="AZ109" s="332"/>
      <c r="BA109" s="332"/>
      <c r="BB109" s="332"/>
      <c r="BC109" s="332"/>
      <c r="BD109" s="332"/>
      <c r="BE109" s="332"/>
      <c r="BF109" s="332"/>
      <c r="BG109" s="332"/>
      <c r="BH109" s="332"/>
      <c r="BI109" s="332"/>
      <c r="BJ109" s="332"/>
      <c r="BK109" s="332"/>
      <c r="BL109" s="332"/>
      <c r="BM109" s="332"/>
      <c r="BN109" s="332"/>
      <c r="BO109" s="332"/>
      <c r="BP109" s="332"/>
      <c r="BQ109" s="332"/>
      <c r="BR109" s="332"/>
      <c r="BS109" s="332"/>
      <c r="BT109" s="332"/>
      <c r="BU109" s="332"/>
      <c r="BV109" s="332"/>
      <c r="BW109" s="332"/>
      <c r="BX109" s="332"/>
      <c r="BY109" s="332"/>
      <c r="BZ109" s="332"/>
      <c r="CA109" s="332"/>
      <c r="CB109" s="332"/>
      <c r="CC109" s="332"/>
      <c r="CD109" s="332"/>
      <c r="CE109" s="332"/>
      <c r="CF109" s="332"/>
      <c r="CG109" s="332"/>
      <c r="CH109" s="332"/>
      <c r="CI109" s="332"/>
      <c r="CJ109" s="332"/>
      <c r="CK109" s="332"/>
      <c r="CL109" s="332"/>
      <c r="CM109" s="332"/>
      <c r="CN109" s="332"/>
      <c r="CO109" s="332"/>
      <c r="CP109" s="332"/>
      <c r="CQ109" s="332"/>
      <c r="CR109" s="332"/>
      <c r="CS109" s="332"/>
      <c r="CT109" s="332"/>
      <c r="CU109" s="332"/>
      <c r="CV109" s="332"/>
      <c r="CW109" s="332"/>
      <c r="CX109" s="332"/>
      <c r="CY109" s="332"/>
      <c r="CZ109" s="332"/>
      <c r="DA109" s="332"/>
      <c r="DB109" s="332"/>
      <c r="DC109" s="332"/>
      <c r="DD109" s="332"/>
      <c r="DE109" s="332"/>
      <c r="DF109" s="332"/>
      <c r="DG109" s="332"/>
      <c r="DH109" s="332"/>
      <c r="DI109" s="332"/>
      <c r="DJ109" s="332"/>
      <c r="DK109" s="332"/>
      <c r="DL109" s="332"/>
      <c r="DM109" s="332"/>
      <c r="DN109" s="332"/>
      <c r="DO109" s="332"/>
      <c r="DP109" s="332"/>
      <c r="DQ109" s="332"/>
      <c r="DR109" s="332"/>
      <c r="DS109" s="332"/>
      <c r="DT109" s="332"/>
      <c r="DU109" s="332"/>
      <c r="DV109" s="332"/>
      <c r="DW109" s="332"/>
      <c r="DX109" s="332"/>
      <c r="DY109" s="332"/>
      <c r="DZ109" s="332"/>
      <c r="EA109" s="332"/>
      <c r="EB109" s="332"/>
      <c r="EC109" s="332"/>
      <c r="ED109" s="332"/>
      <c r="EE109" s="332"/>
      <c r="EF109" s="332"/>
      <c r="EG109" s="332"/>
      <c r="EH109" s="332"/>
      <c r="EI109" s="332"/>
      <c r="EJ109" s="332"/>
      <c r="EK109" s="332"/>
      <c r="EL109" s="332"/>
      <c r="EM109" s="332"/>
      <c r="EN109" s="332"/>
      <c r="EO109" s="332"/>
      <c r="EP109" s="332"/>
      <c r="EQ109" s="332"/>
      <c r="ER109" s="332"/>
      <c r="ES109" s="332"/>
      <c r="ET109" s="332"/>
      <c r="EU109" s="332"/>
      <c r="EV109" s="332"/>
      <c r="EW109" s="332"/>
      <c r="EX109" s="332"/>
      <c r="EY109" s="332"/>
      <c r="EZ109" s="332"/>
      <c r="FA109" s="332"/>
      <c r="FB109" s="332"/>
      <c r="FC109" s="332"/>
      <c r="FD109" s="332"/>
      <c r="FE109" s="332"/>
      <c r="FF109" s="332"/>
      <c r="FG109" s="332"/>
      <c r="FH109" s="332"/>
      <c r="FI109" s="332"/>
      <c r="FJ109" s="332"/>
      <c r="FK109" s="332"/>
      <c r="FL109" s="332"/>
      <c r="FM109" s="332"/>
      <c r="FN109" s="332"/>
      <c r="FO109" s="332"/>
      <c r="FP109" s="332"/>
      <c r="FQ109" s="332"/>
      <c r="FR109" s="332"/>
      <c r="FS109" s="332"/>
      <c r="FT109" s="332"/>
      <c r="FU109" s="332"/>
      <c r="FV109" s="332"/>
      <c r="FW109" s="332"/>
      <c r="FX109" s="332"/>
      <c r="FY109" s="332"/>
      <c r="FZ109" s="332"/>
      <c r="GA109" s="332"/>
      <c r="GB109" s="332"/>
      <c r="GC109" s="332"/>
      <c r="GD109" s="332"/>
      <c r="GE109" s="332"/>
      <c r="GF109" s="332"/>
      <c r="GG109" s="332"/>
      <c r="GH109" s="332"/>
      <c r="GI109" s="332"/>
      <c r="GJ109" s="332"/>
      <c r="GK109" s="332"/>
      <c r="GL109" s="332"/>
      <c r="GM109" s="332"/>
      <c r="GN109" s="332"/>
      <c r="GO109" s="332"/>
    </row>
    <row r="110" spans="1:197" s="332" customFormat="1" ht="181.5" customHeight="1">
      <c r="A110" s="333"/>
      <c r="B110" s="334"/>
      <c r="C110" s="335"/>
      <c r="D110" s="336"/>
      <c r="E110" s="334"/>
      <c r="F110" s="334"/>
      <c r="G110" s="335"/>
      <c r="H110" s="333"/>
      <c r="I110" s="337"/>
      <c r="J110" s="338"/>
      <c r="K110" s="415"/>
      <c r="L110" s="340"/>
      <c r="M110" s="341"/>
      <c r="N110" s="333"/>
      <c r="O110" s="333"/>
      <c r="P110" s="334"/>
      <c r="Q110" s="333"/>
      <c r="R110" s="333"/>
      <c r="S110" s="342"/>
      <c r="T110" s="343"/>
      <c r="U110" s="333"/>
      <c r="V110" s="344"/>
      <c r="W110" s="402"/>
    </row>
    <row r="111" spans="1:197" s="332" customFormat="1" ht="239.1" customHeight="1">
      <c r="A111" s="333"/>
      <c r="B111" s="334"/>
      <c r="C111" s="335"/>
      <c r="D111" s="336"/>
      <c r="E111" s="334" t="s">
        <v>596</v>
      </c>
      <c r="F111" s="334"/>
      <c r="G111" s="335"/>
      <c r="H111" s="333"/>
      <c r="I111" s="337"/>
      <c r="J111" s="338"/>
      <c r="K111" s="415"/>
      <c r="L111" s="340"/>
      <c r="M111" s="341"/>
      <c r="N111" s="333"/>
      <c r="O111" s="333"/>
      <c r="P111" s="334"/>
      <c r="Q111" s="333"/>
      <c r="R111" s="333"/>
      <c r="S111" s="342"/>
      <c r="T111" s="343"/>
      <c r="U111" s="333"/>
      <c r="V111" s="344"/>
      <c r="W111" s="402"/>
    </row>
    <row r="112" spans="1:197" s="332" customFormat="1" ht="181.5" customHeight="1">
      <c r="A112" s="333"/>
      <c r="B112" s="334"/>
      <c r="C112" s="335"/>
      <c r="D112" s="336"/>
      <c r="E112" s="334"/>
      <c r="F112" s="334"/>
      <c r="G112" s="335"/>
      <c r="H112" s="333"/>
      <c r="I112" s="337"/>
      <c r="J112" s="338"/>
      <c r="K112" s="416"/>
      <c r="L112" s="340"/>
      <c r="M112" s="341"/>
      <c r="N112" s="333"/>
      <c r="O112" s="333"/>
      <c r="P112" s="334"/>
      <c r="Q112" s="333"/>
      <c r="R112" s="333"/>
      <c r="S112" s="342"/>
      <c r="T112" s="343"/>
      <c r="U112" s="333"/>
      <c r="V112" s="344"/>
      <c r="W112" s="402"/>
      <c r="X112" s="331"/>
      <c r="Y112" s="331"/>
      <c r="Z112" s="331"/>
      <c r="AA112" s="331"/>
      <c r="AB112" s="331"/>
      <c r="AC112" s="331"/>
      <c r="AD112" s="331"/>
      <c r="AE112" s="331"/>
      <c r="AF112" s="331"/>
      <c r="AG112" s="331"/>
      <c r="AH112" s="331"/>
      <c r="AI112" s="331"/>
      <c r="AJ112" s="331"/>
      <c r="AK112" s="331"/>
      <c r="AL112" s="331"/>
      <c r="AM112" s="331"/>
      <c r="AN112" s="331"/>
      <c r="AO112" s="331"/>
      <c r="AP112" s="331"/>
      <c r="AQ112" s="331"/>
      <c r="AR112" s="331"/>
      <c r="AS112" s="331"/>
      <c r="AT112" s="331"/>
      <c r="AU112" s="331"/>
      <c r="AV112" s="331"/>
      <c r="AW112" s="331"/>
      <c r="AX112" s="331"/>
      <c r="AY112" s="331"/>
      <c r="AZ112" s="331"/>
      <c r="BA112" s="331"/>
      <c r="BB112" s="331"/>
      <c r="BC112" s="331"/>
      <c r="BD112" s="331"/>
      <c r="BE112" s="331"/>
      <c r="BF112" s="331"/>
      <c r="BG112" s="331"/>
      <c r="BH112" s="331"/>
      <c r="BI112" s="331"/>
      <c r="BJ112" s="331"/>
      <c r="BK112" s="331"/>
      <c r="BL112" s="331"/>
      <c r="BM112" s="331"/>
      <c r="BN112" s="331"/>
      <c r="BO112" s="331"/>
      <c r="BP112" s="331"/>
      <c r="BQ112" s="331"/>
      <c r="BR112" s="331"/>
      <c r="BS112" s="331"/>
      <c r="BT112" s="331"/>
      <c r="BU112" s="331"/>
      <c r="BV112" s="331"/>
      <c r="BW112" s="331"/>
      <c r="BX112" s="331"/>
      <c r="BY112" s="331"/>
      <c r="BZ112" s="331"/>
      <c r="CA112" s="331"/>
      <c r="CB112" s="331"/>
      <c r="CC112" s="331"/>
      <c r="CD112" s="331"/>
      <c r="CE112" s="331"/>
      <c r="CF112" s="331"/>
      <c r="CG112" s="331"/>
      <c r="CH112" s="331"/>
      <c r="CI112" s="331"/>
      <c r="CJ112" s="331"/>
      <c r="CK112" s="331"/>
      <c r="CL112" s="331"/>
      <c r="CM112" s="331"/>
      <c r="CN112" s="331"/>
      <c r="CO112" s="331"/>
      <c r="CP112" s="331"/>
      <c r="CQ112" s="331"/>
      <c r="CR112" s="331"/>
      <c r="CS112" s="331"/>
      <c r="CT112" s="331"/>
      <c r="CU112" s="331"/>
      <c r="CV112" s="331"/>
      <c r="CW112" s="331"/>
      <c r="CX112" s="331"/>
      <c r="CY112" s="331"/>
      <c r="CZ112" s="331"/>
      <c r="DA112" s="331"/>
      <c r="DB112" s="331"/>
      <c r="DC112" s="331"/>
      <c r="DD112" s="331"/>
      <c r="DE112" s="331"/>
      <c r="DF112" s="331"/>
      <c r="DG112" s="331"/>
      <c r="DH112" s="331"/>
      <c r="DI112" s="331"/>
      <c r="DJ112" s="331"/>
      <c r="DK112" s="331"/>
      <c r="DL112" s="331"/>
      <c r="DM112" s="331"/>
      <c r="DN112" s="331"/>
      <c r="DO112" s="331"/>
      <c r="DP112" s="331"/>
      <c r="DQ112" s="331"/>
      <c r="DR112" s="331"/>
      <c r="DS112" s="331"/>
      <c r="DT112" s="331"/>
      <c r="DU112" s="331"/>
      <c r="DV112" s="331"/>
      <c r="DW112" s="331"/>
      <c r="DX112" s="331"/>
      <c r="DY112" s="331"/>
      <c r="DZ112" s="331"/>
      <c r="EA112" s="331"/>
      <c r="EB112" s="331"/>
      <c r="EC112" s="331"/>
      <c r="ED112" s="331"/>
      <c r="EE112" s="331"/>
      <c r="EF112" s="331"/>
      <c r="EG112" s="331"/>
      <c r="EH112" s="331"/>
      <c r="EI112" s="331"/>
      <c r="EJ112" s="331"/>
      <c r="EK112" s="331"/>
      <c r="EL112" s="331"/>
      <c r="EM112" s="331"/>
      <c r="EN112" s="331"/>
      <c r="EO112" s="331"/>
      <c r="EP112" s="331"/>
      <c r="EQ112" s="331"/>
      <c r="ER112" s="331"/>
      <c r="ES112" s="331"/>
      <c r="ET112" s="331"/>
      <c r="EU112" s="331"/>
      <c r="EV112" s="331"/>
      <c r="EW112" s="331"/>
      <c r="EX112" s="331"/>
      <c r="EY112" s="331"/>
      <c r="EZ112" s="331"/>
      <c r="FA112" s="331"/>
      <c r="FB112" s="331"/>
      <c r="FC112" s="331"/>
      <c r="FD112" s="331"/>
      <c r="FE112" s="331"/>
      <c r="FF112" s="331"/>
      <c r="FG112" s="331"/>
      <c r="FH112" s="331"/>
      <c r="FI112" s="331"/>
      <c r="FJ112" s="331"/>
      <c r="FK112" s="331"/>
      <c r="FL112" s="331"/>
      <c r="FM112" s="331"/>
      <c r="FN112" s="331"/>
      <c r="FO112" s="331"/>
      <c r="FP112" s="331"/>
      <c r="FQ112" s="331"/>
      <c r="FR112" s="331"/>
      <c r="FS112" s="331"/>
      <c r="FT112" s="331"/>
      <c r="FU112" s="331"/>
      <c r="FV112" s="331"/>
      <c r="FW112" s="331"/>
      <c r="FX112" s="331"/>
      <c r="FY112" s="331"/>
      <c r="FZ112" s="331"/>
      <c r="GA112" s="331"/>
      <c r="GB112" s="331"/>
      <c r="GC112" s="331"/>
      <c r="GD112" s="331"/>
      <c r="GE112" s="331"/>
      <c r="GF112" s="331"/>
      <c r="GG112" s="331"/>
      <c r="GH112" s="331"/>
      <c r="GI112" s="331"/>
      <c r="GJ112" s="331"/>
      <c r="GK112" s="331"/>
      <c r="GL112" s="331"/>
      <c r="GM112" s="331"/>
      <c r="GN112" s="331"/>
      <c r="GO112" s="331"/>
    </row>
    <row r="113" spans="1:197" s="331" customFormat="1" ht="181.5" customHeight="1">
      <c r="A113" s="333"/>
      <c r="B113" s="334"/>
      <c r="C113" s="335"/>
      <c r="D113" s="336"/>
      <c r="E113" s="334"/>
      <c r="F113" s="334"/>
      <c r="G113" s="335"/>
      <c r="H113" s="333"/>
      <c r="I113" s="337"/>
      <c r="J113" s="338"/>
      <c r="K113" s="417"/>
      <c r="L113" s="340"/>
      <c r="M113" s="341"/>
      <c r="N113" s="333"/>
      <c r="O113" s="333"/>
      <c r="P113" s="334"/>
      <c r="Q113" s="333"/>
      <c r="R113" s="333"/>
      <c r="S113" s="342"/>
      <c r="T113" s="343"/>
      <c r="U113" s="333"/>
      <c r="V113" s="344"/>
      <c r="W113" s="402"/>
    </row>
    <row r="114" spans="1:197" s="331" customFormat="1" ht="214.05" customHeight="1">
      <c r="A114" s="333"/>
      <c r="B114" s="334"/>
      <c r="C114" s="335"/>
      <c r="D114" s="336"/>
      <c r="E114" s="334"/>
      <c r="F114" s="334"/>
      <c r="G114" s="335"/>
      <c r="H114" s="333"/>
      <c r="I114" s="337"/>
      <c r="J114" s="338"/>
      <c r="K114" s="418"/>
      <c r="L114" s="340"/>
      <c r="M114" s="341"/>
      <c r="N114" s="333"/>
      <c r="O114" s="333"/>
      <c r="P114" s="334"/>
      <c r="Q114" s="333"/>
      <c r="R114" s="333"/>
      <c r="S114" s="342"/>
      <c r="T114" s="343"/>
      <c r="U114" s="333"/>
      <c r="V114" s="344"/>
      <c r="W114" s="402"/>
      <c r="X114" s="330"/>
      <c r="Y114" s="330"/>
      <c r="Z114" s="330"/>
      <c r="AA114" s="330"/>
      <c r="AB114" s="330"/>
      <c r="AC114" s="330"/>
      <c r="AD114" s="330"/>
      <c r="AE114" s="330"/>
      <c r="AF114" s="330"/>
      <c r="AG114" s="330"/>
      <c r="AH114" s="330"/>
      <c r="AI114" s="330"/>
      <c r="AJ114" s="330"/>
      <c r="AK114" s="330"/>
      <c r="AL114" s="330"/>
      <c r="AM114" s="330"/>
      <c r="AN114" s="330"/>
      <c r="AO114" s="330"/>
      <c r="AP114" s="330"/>
      <c r="AQ114" s="330"/>
      <c r="AR114" s="330"/>
      <c r="AS114" s="330"/>
      <c r="AT114" s="330"/>
      <c r="AU114" s="330"/>
      <c r="AV114" s="330"/>
      <c r="AW114" s="330"/>
      <c r="AX114" s="330"/>
      <c r="AY114" s="330"/>
      <c r="AZ114" s="330"/>
      <c r="BA114" s="330"/>
      <c r="BB114" s="330"/>
      <c r="BC114" s="330"/>
      <c r="BD114" s="330"/>
      <c r="BE114" s="330"/>
      <c r="BF114" s="330"/>
      <c r="BG114" s="330"/>
      <c r="BH114" s="330"/>
      <c r="BI114" s="330"/>
      <c r="BJ114" s="330"/>
      <c r="BK114" s="330"/>
      <c r="BL114" s="330"/>
      <c r="BM114" s="330"/>
      <c r="BN114" s="330"/>
      <c r="BO114" s="330"/>
      <c r="BP114" s="330"/>
      <c r="BQ114" s="330"/>
      <c r="BR114" s="330"/>
      <c r="BS114" s="330"/>
      <c r="BT114" s="330"/>
      <c r="BU114" s="330"/>
      <c r="BV114" s="330"/>
      <c r="BW114" s="330"/>
      <c r="BX114" s="330"/>
      <c r="BY114" s="330"/>
      <c r="BZ114" s="330"/>
      <c r="CA114" s="330"/>
      <c r="CB114" s="330"/>
      <c r="CC114" s="330"/>
      <c r="CD114" s="330"/>
      <c r="CE114" s="330"/>
      <c r="CF114" s="330"/>
      <c r="CG114" s="330"/>
      <c r="CH114" s="330"/>
      <c r="CI114" s="330"/>
      <c r="CJ114" s="330"/>
      <c r="CK114" s="330"/>
      <c r="CL114" s="330"/>
      <c r="CM114" s="330"/>
      <c r="CN114" s="330"/>
      <c r="CO114" s="330"/>
      <c r="CP114" s="330"/>
      <c r="CQ114" s="330"/>
      <c r="CR114" s="330"/>
      <c r="CS114" s="330"/>
      <c r="CT114" s="330"/>
      <c r="CU114" s="330"/>
      <c r="CV114" s="330"/>
      <c r="CW114" s="330"/>
      <c r="CX114" s="330"/>
      <c r="CY114" s="330"/>
      <c r="CZ114" s="330"/>
      <c r="DA114" s="330"/>
      <c r="DB114" s="330"/>
      <c r="DC114" s="330"/>
      <c r="DD114" s="330"/>
      <c r="DE114" s="330"/>
      <c r="DF114" s="330"/>
      <c r="DG114" s="330"/>
      <c r="DH114" s="330"/>
      <c r="DI114" s="330"/>
      <c r="DJ114" s="330"/>
      <c r="DK114" s="330"/>
      <c r="DL114" s="330"/>
      <c r="DM114" s="330"/>
      <c r="DN114" s="330"/>
      <c r="DO114" s="330"/>
      <c r="DP114" s="330"/>
      <c r="DQ114" s="330"/>
      <c r="DR114" s="330"/>
      <c r="DS114" s="330"/>
      <c r="DT114" s="330"/>
      <c r="DU114" s="330"/>
      <c r="DV114" s="330"/>
      <c r="DW114" s="330"/>
      <c r="DX114" s="330"/>
      <c r="DY114" s="330"/>
      <c r="DZ114" s="330"/>
      <c r="EA114" s="330"/>
      <c r="EB114" s="330"/>
      <c r="EC114" s="330"/>
      <c r="ED114" s="330"/>
      <c r="EE114" s="330"/>
      <c r="EF114" s="330"/>
      <c r="EG114" s="330"/>
      <c r="EH114" s="330"/>
      <c r="EI114" s="330"/>
      <c r="EJ114" s="330"/>
      <c r="EK114" s="330"/>
      <c r="EL114" s="330"/>
      <c r="EM114" s="330"/>
      <c r="EN114" s="330"/>
      <c r="EO114" s="330"/>
      <c r="EP114" s="330"/>
      <c r="EQ114" s="330"/>
      <c r="ER114" s="330"/>
      <c r="ES114" s="330"/>
      <c r="ET114" s="330"/>
      <c r="EU114" s="330"/>
      <c r="EV114" s="330"/>
      <c r="EW114" s="330"/>
      <c r="EX114" s="330"/>
      <c r="EY114" s="330"/>
      <c r="EZ114" s="330"/>
      <c r="FA114" s="330"/>
      <c r="FB114" s="330"/>
      <c r="FC114" s="330"/>
      <c r="FD114" s="330"/>
      <c r="FE114" s="330"/>
      <c r="FF114" s="330"/>
      <c r="FG114" s="330"/>
      <c r="FH114" s="330"/>
      <c r="FI114" s="330"/>
      <c r="FJ114" s="330"/>
      <c r="FK114" s="330"/>
      <c r="FL114" s="330"/>
      <c r="FM114" s="330"/>
      <c r="FN114" s="330"/>
      <c r="FO114" s="330"/>
      <c r="FP114" s="330"/>
      <c r="FQ114" s="330"/>
      <c r="FR114" s="330"/>
      <c r="FS114" s="330"/>
      <c r="FT114" s="330"/>
      <c r="FU114" s="330"/>
      <c r="FV114" s="330"/>
      <c r="FW114" s="330"/>
      <c r="FX114" s="330"/>
      <c r="FY114" s="330"/>
      <c r="FZ114" s="330"/>
      <c r="GA114" s="330"/>
      <c r="GB114" s="330"/>
      <c r="GC114" s="330"/>
      <c r="GD114" s="330"/>
      <c r="GE114" s="330"/>
      <c r="GF114" s="330"/>
      <c r="GG114" s="330"/>
      <c r="GH114" s="330"/>
      <c r="GI114" s="330"/>
      <c r="GJ114" s="330"/>
      <c r="GK114" s="330"/>
      <c r="GL114" s="330"/>
      <c r="GM114" s="330"/>
      <c r="GN114" s="330"/>
      <c r="GO114" s="330"/>
    </row>
    <row r="115" spans="1:197" s="330" customFormat="1" ht="239.1" customHeight="1">
      <c r="A115" s="333"/>
      <c r="B115" s="334"/>
      <c r="C115" s="335"/>
      <c r="D115" s="336"/>
      <c r="E115" s="334"/>
      <c r="F115" s="334"/>
      <c r="G115" s="335"/>
      <c r="H115" s="333"/>
      <c r="I115" s="337"/>
      <c r="J115" s="338"/>
      <c r="K115" s="419"/>
      <c r="L115" s="340"/>
      <c r="M115" s="341"/>
      <c r="N115" s="333"/>
      <c r="O115" s="333"/>
      <c r="P115" s="334"/>
      <c r="Q115" s="333"/>
      <c r="R115" s="333"/>
      <c r="S115" s="342"/>
      <c r="T115" s="343"/>
      <c r="U115" s="333"/>
      <c r="V115" s="344"/>
      <c r="W115" s="402"/>
      <c r="X115" s="331"/>
      <c r="Y115" s="331"/>
      <c r="Z115" s="331"/>
      <c r="AA115" s="331"/>
      <c r="AB115" s="331"/>
      <c r="AC115" s="331"/>
      <c r="AD115" s="331"/>
      <c r="AE115" s="331"/>
      <c r="AF115" s="331"/>
      <c r="AG115" s="331"/>
      <c r="AH115" s="331"/>
      <c r="AI115" s="331"/>
      <c r="AJ115" s="331"/>
      <c r="AK115" s="331"/>
      <c r="AL115" s="331"/>
      <c r="AM115" s="331"/>
      <c r="AN115" s="331"/>
      <c r="AO115" s="331"/>
      <c r="AP115" s="331"/>
      <c r="AQ115" s="331"/>
      <c r="AR115" s="331"/>
      <c r="AS115" s="331"/>
      <c r="AT115" s="331"/>
      <c r="AU115" s="331"/>
      <c r="AV115" s="331"/>
      <c r="AW115" s="331"/>
      <c r="AX115" s="331"/>
      <c r="AY115" s="331"/>
      <c r="AZ115" s="331"/>
      <c r="BA115" s="331"/>
      <c r="BB115" s="331"/>
      <c r="BC115" s="331"/>
      <c r="BD115" s="331"/>
      <c r="BE115" s="331"/>
      <c r="BF115" s="331"/>
      <c r="BG115" s="331"/>
      <c r="BH115" s="331"/>
      <c r="BI115" s="331"/>
      <c r="BJ115" s="331"/>
      <c r="BK115" s="331"/>
      <c r="BL115" s="331"/>
      <c r="BM115" s="331"/>
      <c r="BN115" s="331"/>
      <c r="BO115" s="331"/>
      <c r="BP115" s="331"/>
      <c r="BQ115" s="331"/>
      <c r="BR115" s="331"/>
      <c r="BS115" s="331"/>
      <c r="BT115" s="331"/>
      <c r="BU115" s="331"/>
      <c r="BV115" s="331"/>
      <c r="BW115" s="331"/>
      <c r="BX115" s="331"/>
      <c r="BY115" s="331"/>
      <c r="BZ115" s="331"/>
      <c r="CA115" s="331"/>
      <c r="CB115" s="331"/>
      <c r="CC115" s="331"/>
      <c r="CD115" s="331"/>
      <c r="CE115" s="331"/>
      <c r="CF115" s="331"/>
      <c r="CG115" s="331"/>
      <c r="CH115" s="331"/>
      <c r="CI115" s="331"/>
      <c r="CJ115" s="331"/>
      <c r="CK115" s="331"/>
      <c r="CL115" s="331"/>
      <c r="CM115" s="331"/>
      <c r="CN115" s="331"/>
      <c r="CO115" s="331"/>
      <c r="CP115" s="331"/>
      <c r="CQ115" s="331"/>
      <c r="CR115" s="331"/>
      <c r="CS115" s="331"/>
      <c r="CT115" s="331"/>
      <c r="CU115" s="331"/>
      <c r="CV115" s="331"/>
      <c r="CW115" s="331"/>
      <c r="CX115" s="331"/>
      <c r="CY115" s="331"/>
      <c r="CZ115" s="331"/>
      <c r="DA115" s="331"/>
      <c r="DB115" s="331"/>
      <c r="DC115" s="331"/>
      <c r="DD115" s="331"/>
      <c r="DE115" s="331"/>
      <c r="DF115" s="331"/>
      <c r="DG115" s="331"/>
      <c r="DH115" s="331"/>
      <c r="DI115" s="331"/>
      <c r="DJ115" s="331"/>
      <c r="DK115" s="331"/>
      <c r="DL115" s="331"/>
      <c r="DM115" s="331"/>
      <c r="DN115" s="331"/>
      <c r="DO115" s="331"/>
      <c r="DP115" s="331"/>
      <c r="DQ115" s="331"/>
      <c r="DR115" s="331"/>
      <c r="DS115" s="331"/>
      <c r="DT115" s="331"/>
      <c r="DU115" s="331"/>
      <c r="DV115" s="331"/>
      <c r="DW115" s="331"/>
      <c r="DX115" s="331"/>
      <c r="DY115" s="331"/>
      <c r="DZ115" s="331"/>
      <c r="EA115" s="331"/>
      <c r="EB115" s="331"/>
      <c r="EC115" s="331"/>
      <c r="ED115" s="331"/>
      <c r="EE115" s="331"/>
      <c r="EF115" s="331"/>
      <c r="EG115" s="331"/>
      <c r="EH115" s="331"/>
      <c r="EI115" s="331"/>
      <c r="EJ115" s="331"/>
      <c r="EK115" s="331"/>
      <c r="EL115" s="331"/>
      <c r="EM115" s="331"/>
      <c r="EN115" s="331"/>
      <c r="EO115" s="331"/>
      <c r="EP115" s="331"/>
      <c r="EQ115" s="331"/>
      <c r="ER115" s="331"/>
      <c r="ES115" s="331"/>
      <c r="ET115" s="331"/>
      <c r="EU115" s="331"/>
      <c r="EV115" s="331"/>
      <c r="EW115" s="331"/>
      <c r="EX115" s="331"/>
      <c r="EY115" s="331"/>
      <c r="EZ115" s="331"/>
      <c r="FA115" s="331"/>
      <c r="FB115" s="331"/>
      <c r="FC115" s="331"/>
      <c r="FD115" s="331"/>
      <c r="FE115" s="331"/>
      <c r="FF115" s="331"/>
      <c r="FG115" s="331"/>
      <c r="FH115" s="331"/>
      <c r="FI115" s="331"/>
      <c r="FJ115" s="331"/>
      <c r="FK115" s="331"/>
      <c r="FL115" s="331"/>
      <c r="FM115" s="331"/>
      <c r="FN115" s="331"/>
      <c r="FO115" s="331"/>
      <c r="FP115" s="331"/>
      <c r="FQ115" s="331"/>
      <c r="FR115" s="331"/>
      <c r="FS115" s="331"/>
      <c r="FT115" s="331"/>
      <c r="FU115" s="331"/>
      <c r="FV115" s="331"/>
      <c r="FW115" s="331"/>
      <c r="FX115" s="331"/>
      <c r="FY115" s="331"/>
      <c r="FZ115" s="331"/>
      <c r="GA115" s="331"/>
      <c r="GB115" s="331"/>
      <c r="GC115" s="331"/>
      <c r="GD115" s="331"/>
      <c r="GE115" s="331"/>
      <c r="GF115" s="331"/>
      <c r="GG115" s="331"/>
      <c r="GH115" s="331"/>
      <c r="GI115" s="331"/>
      <c r="GJ115" s="331"/>
      <c r="GK115" s="331"/>
      <c r="GL115" s="331"/>
      <c r="GM115" s="331"/>
      <c r="GN115" s="331"/>
      <c r="GO115" s="331"/>
    </row>
    <row r="116" spans="1:197" s="331" customFormat="1" ht="240" customHeight="1">
      <c r="A116" s="333"/>
      <c r="B116" s="334"/>
      <c r="C116" s="335"/>
      <c r="D116" s="336"/>
      <c r="E116" s="334"/>
      <c r="F116" s="334"/>
      <c r="G116" s="335"/>
      <c r="H116" s="333"/>
      <c r="I116" s="337"/>
      <c r="J116" s="338"/>
      <c r="K116" s="419"/>
      <c r="L116" s="340"/>
      <c r="M116" s="341"/>
      <c r="N116" s="333"/>
      <c r="O116" s="333"/>
      <c r="P116" s="334"/>
      <c r="Q116" s="333"/>
      <c r="R116" s="333"/>
      <c r="S116" s="342"/>
      <c r="T116" s="343"/>
      <c r="U116" s="333"/>
      <c r="V116" s="344"/>
      <c r="W116" s="402"/>
      <c r="X116" s="329"/>
      <c r="Y116" s="329"/>
      <c r="Z116" s="329"/>
      <c r="AA116" s="329"/>
      <c r="AB116" s="329"/>
      <c r="AC116" s="329"/>
      <c r="AD116" s="329"/>
      <c r="AE116" s="329"/>
      <c r="AF116" s="329"/>
      <c r="AG116" s="329"/>
      <c r="AH116" s="329"/>
      <c r="AI116" s="329"/>
      <c r="AJ116" s="329"/>
      <c r="AK116" s="329"/>
      <c r="AL116" s="329"/>
      <c r="AM116" s="329"/>
      <c r="AN116" s="329"/>
      <c r="AO116" s="329"/>
      <c r="AP116" s="329"/>
      <c r="AQ116" s="329"/>
      <c r="AR116" s="329"/>
      <c r="AS116" s="329"/>
      <c r="AT116" s="329"/>
      <c r="AU116" s="329"/>
      <c r="AV116" s="329"/>
      <c r="AW116" s="329"/>
      <c r="AX116" s="329"/>
      <c r="AY116" s="329"/>
      <c r="AZ116" s="329"/>
      <c r="BA116" s="329"/>
      <c r="BB116" s="329"/>
      <c r="BC116" s="329"/>
      <c r="BD116" s="329"/>
      <c r="BE116" s="329"/>
      <c r="BF116" s="329"/>
      <c r="BG116" s="329"/>
      <c r="BH116" s="329"/>
      <c r="BI116" s="329"/>
      <c r="BJ116" s="329"/>
      <c r="BK116" s="329"/>
      <c r="BL116" s="329"/>
      <c r="BM116" s="329"/>
      <c r="BN116" s="329"/>
      <c r="BO116" s="329"/>
      <c r="BP116" s="329"/>
      <c r="BQ116" s="329"/>
      <c r="BR116" s="329"/>
      <c r="BS116" s="329"/>
      <c r="BT116" s="329"/>
      <c r="BU116" s="329"/>
      <c r="BV116" s="329"/>
      <c r="BW116" s="329"/>
      <c r="BX116" s="329"/>
      <c r="BY116" s="329"/>
      <c r="BZ116" s="329"/>
      <c r="CA116" s="329"/>
      <c r="CB116" s="329"/>
      <c r="CC116" s="329"/>
      <c r="CD116" s="329"/>
      <c r="CE116" s="329"/>
      <c r="CF116" s="329"/>
      <c r="CG116" s="329"/>
      <c r="CH116" s="329"/>
      <c r="CI116" s="329"/>
      <c r="CJ116" s="329"/>
      <c r="CK116" s="329"/>
      <c r="CL116" s="329"/>
      <c r="CM116" s="329"/>
      <c r="CN116" s="329"/>
      <c r="CO116" s="329"/>
      <c r="CP116" s="329"/>
      <c r="CQ116" s="329"/>
      <c r="CR116" s="329"/>
      <c r="CS116" s="329"/>
      <c r="CT116" s="329"/>
      <c r="CU116" s="329"/>
      <c r="CV116" s="329"/>
      <c r="CW116" s="329"/>
      <c r="CX116" s="329"/>
      <c r="CY116" s="329"/>
      <c r="CZ116" s="329"/>
      <c r="DA116" s="329"/>
      <c r="DB116" s="329"/>
      <c r="DC116" s="329"/>
      <c r="DD116" s="329"/>
      <c r="DE116" s="329"/>
      <c r="DF116" s="329"/>
      <c r="DG116" s="329"/>
      <c r="DH116" s="329"/>
      <c r="DI116" s="329"/>
      <c r="DJ116" s="329"/>
      <c r="DK116" s="329"/>
      <c r="DL116" s="329"/>
      <c r="DM116" s="329"/>
      <c r="DN116" s="329"/>
      <c r="DO116" s="329"/>
      <c r="DP116" s="329"/>
      <c r="DQ116" s="329"/>
      <c r="DR116" s="329"/>
      <c r="DS116" s="329"/>
      <c r="DT116" s="329"/>
      <c r="DU116" s="329"/>
      <c r="DV116" s="329"/>
      <c r="DW116" s="329"/>
      <c r="DX116" s="329"/>
      <c r="DY116" s="329"/>
      <c r="DZ116" s="329"/>
      <c r="EA116" s="329"/>
      <c r="EB116" s="329"/>
      <c r="EC116" s="329"/>
      <c r="ED116" s="329"/>
      <c r="EE116" s="329"/>
      <c r="EF116" s="329"/>
      <c r="EG116" s="329"/>
      <c r="EH116" s="329"/>
      <c r="EI116" s="329"/>
      <c r="EJ116" s="329"/>
      <c r="EK116" s="329"/>
      <c r="EL116" s="329"/>
      <c r="EM116" s="329"/>
      <c r="EN116" s="329"/>
      <c r="EO116" s="329"/>
      <c r="EP116" s="329"/>
      <c r="EQ116" s="329"/>
      <c r="ER116" s="329"/>
      <c r="ES116" s="329"/>
      <c r="ET116" s="329"/>
      <c r="EU116" s="329"/>
      <c r="EV116" s="329"/>
      <c r="EW116" s="329"/>
      <c r="EX116" s="329"/>
      <c r="EY116" s="329"/>
      <c r="EZ116" s="329"/>
      <c r="FA116" s="329"/>
      <c r="FB116" s="329"/>
      <c r="FC116" s="329"/>
      <c r="FD116" s="329"/>
      <c r="FE116" s="329"/>
      <c r="FF116" s="329"/>
      <c r="FG116" s="329"/>
      <c r="FH116" s="329"/>
      <c r="FI116" s="329"/>
      <c r="FJ116" s="329"/>
      <c r="FK116" s="329"/>
      <c r="FL116" s="329"/>
      <c r="FM116" s="329"/>
      <c r="FN116" s="329"/>
      <c r="FO116" s="329"/>
      <c r="FP116" s="329"/>
      <c r="FQ116" s="329"/>
      <c r="FR116" s="329"/>
      <c r="FS116" s="329"/>
      <c r="FT116" s="329"/>
      <c r="FU116" s="329"/>
      <c r="FV116" s="329"/>
      <c r="FW116" s="329"/>
      <c r="FX116" s="329"/>
      <c r="FY116" s="329"/>
      <c r="FZ116" s="329"/>
      <c r="GA116" s="329"/>
      <c r="GB116" s="329"/>
      <c r="GC116" s="329"/>
      <c r="GD116" s="329"/>
      <c r="GE116" s="329"/>
      <c r="GF116" s="329"/>
      <c r="GG116" s="329"/>
      <c r="GH116" s="329"/>
      <c r="GI116" s="329"/>
      <c r="GJ116" s="329"/>
      <c r="GK116" s="329"/>
      <c r="GL116" s="329"/>
      <c r="GM116" s="329"/>
      <c r="GN116" s="329"/>
      <c r="GO116" s="329"/>
    </row>
    <row r="117" spans="1:197" s="329" customFormat="1" ht="264.60000000000002" customHeight="1">
      <c r="A117" s="333"/>
      <c r="B117" s="334"/>
      <c r="C117" s="335"/>
      <c r="D117" s="336"/>
      <c r="E117" s="334"/>
      <c r="F117" s="334"/>
      <c r="G117" s="335"/>
      <c r="H117" s="333"/>
      <c r="I117" s="337"/>
      <c r="J117" s="338"/>
      <c r="K117" s="419"/>
      <c r="L117" s="340"/>
      <c r="M117" s="341"/>
      <c r="N117" s="333"/>
      <c r="O117" s="333"/>
      <c r="P117" s="334"/>
      <c r="Q117" s="333"/>
      <c r="R117" s="333"/>
      <c r="S117" s="342"/>
      <c r="T117" s="343"/>
      <c r="U117" s="333"/>
      <c r="V117" s="344"/>
      <c r="W117" s="401"/>
    </row>
    <row r="118" spans="1:197" s="329" customFormat="1" ht="201.6" customHeight="1">
      <c r="A118" s="333"/>
      <c r="B118" s="334"/>
      <c r="C118" s="335"/>
      <c r="D118" s="336"/>
      <c r="E118" s="334"/>
      <c r="F118" s="334"/>
      <c r="G118" s="335"/>
      <c r="H118" s="333"/>
      <c r="I118" s="337"/>
      <c r="J118" s="338"/>
      <c r="K118" s="417"/>
      <c r="L118" s="340"/>
      <c r="M118" s="341"/>
      <c r="N118" s="333"/>
      <c r="O118" s="333"/>
      <c r="P118" s="334"/>
      <c r="Q118" s="333"/>
      <c r="R118" s="333"/>
      <c r="S118" s="342"/>
      <c r="T118" s="343"/>
      <c r="U118" s="333"/>
      <c r="V118" s="344"/>
      <c r="W118" s="401"/>
      <c r="X118" s="331"/>
      <c r="Y118" s="331"/>
      <c r="Z118" s="331"/>
      <c r="AA118" s="331"/>
      <c r="AB118" s="331"/>
      <c r="AC118" s="331"/>
      <c r="AD118" s="331"/>
      <c r="AE118" s="331"/>
      <c r="AF118" s="331"/>
      <c r="AG118" s="331"/>
      <c r="AH118" s="331"/>
      <c r="AI118" s="331"/>
      <c r="AJ118" s="331"/>
      <c r="AK118" s="331"/>
      <c r="AL118" s="331"/>
      <c r="AM118" s="331"/>
      <c r="AN118" s="331"/>
      <c r="AO118" s="331"/>
      <c r="AP118" s="331"/>
      <c r="AQ118" s="331"/>
      <c r="AR118" s="331"/>
      <c r="AS118" s="331"/>
      <c r="AT118" s="331"/>
      <c r="AU118" s="331"/>
      <c r="AV118" s="331"/>
      <c r="AW118" s="331"/>
      <c r="AX118" s="331"/>
      <c r="AY118" s="331"/>
      <c r="AZ118" s="331"/>
      <c r="BA118" s="331"/>
      <c r="BB118" s="331"/>
      <c r="BC118" s="331"/>
      <c r="BD118" s="331"/>
      <c r="BE118" s="331"/>
      <c r="BF118" s="331"/>
      <c r="BG118" s="331"/>
      <c r="BH118" s="331"/>
      <c r="BI118" s="331"/>
      <c r="BJ118" s="331"/>
      <c r="BK118" s="331"/>
      <c r="BL118" s="331"/>
      <c r="BM118" s="331"/>
      <c r="BN118" s="331"/>
      <c r="BO118" s="331"/>
      <c r="BP118" s="331"/>
      <c r="BQ118" s="331"/>
      <c r="BR118" s="331"/>
      <c r="BS118" s="331"/>
      <c r="BT118" s="331"/>
      <c r="BU118" s="331"/>
      <c r="BV118" s="331"/>
      <c r="BW118" s="331"/>
      <c r="BX118" s="331"/>
      <c r="BY118" s="331"/>
      <c r="BZ118" s="331"/>
      <c r="CA118" s="331"/>
      <c r="CB118" s="331"/>
      <c r="CC118" s="331"/>
      <c r="CD118" s="331"/>
      <c r="CE118" s="331"/>
      <c r="CF118" s="331"/>
      <c r="CG118" s="331"/>
      <c r="CH118" s="331"/>
      <c r="CI118" s="331"/>
      <c r="CJ118" s="331"/>
      <c r="CK118" s="331"/>
      <c r="CL118" s="331"/>
      <c r="CM118" s="331"/>
      <c r="CN118" s="331"/>
      <c r="CO118" s="331"/>
      <c r="CP118" s="331"/>
      <c r="CQ118" s="331"/>
      <c r="CR118" s="331"/>
      <c r="CS118" s="331"/>
      <c r="CT118" s="331"/>
      <c r="CU118" s="331"/>
      <c r="CV118" s="331"/>
      <c r="CW118" s="331"/>
      <c r="CX118" s="331"/>
      <c r="CY118" s="331"/>
      <c r="CZ118" s="331"/>
      <c r="DA118" s="331"/>
      <c r="DB118" s="331"/>
      <c r="DC118" s="331"/>
      <c r="DD118" s="331"/>
      <c r="DE118" s="331"/>
      <c r="DF118" s="331"/>
      <c r="DG118" s="331"/>
      <c r="DH118" s="331"/>
      <c r="DI118" s="331"/>
      <c r="DJ118" s="331"/>
      <c r="DK118" s="331"/>
      <c r="DL118" s="331"/>
      <c r="DM118" s="331"/>
      <c r="DN118" s="331"/>
      <c r="DO118" s="331"/>
      <c r="DP118" s="331"/>
      <c r="DQ118" s="331"/>
      <c r="DR118" s="331"/>
      <c r="DS118" s="331"/>
      <c r="DT118" s="331"/>
      <c r="DU118" s="331"/>
      <c r="DV118" s="331"/>
      <c r="DW118" s="331"/>
      <c r="DX118" s="331"/>
      <c r="DY118" s="331"/>
      <c r="DZ118" s="331"/>
      <c r="EA118" s="331"/>
      <c r="EB118" s="331"/>
      <c r="EC118" s="331"/>
      <c r="ED118" s="331"/>
      <c r="EE118" s="331"/>
      <c r="EF118" s="331"/>
      <c r="EG118" s="331"/>
      <c r="EH118" s="331"/>
      <c r="EI118" s="331"/>
      <c r="EJ118" s="331"/>
      <c r="EK118" s="331"/>
      <c r="EL118" s="331"/>
      <c r="EM118" s="331"/>
      <c r="EN118" s="331"/>
      <c r="EO118" s="331"/>
      <c r="EP118" s="331"/>
      <c r="EQ118" s="331"/>
      <c r="ER118" s="331"/>
      <c r="ES118" s="331"/>
      <c r="ET118" s="331"/>
      <c r="EU118" s="331"/>
      <c r="EV118" s="331"/>
      <c r="EW118" s="331"/>
      <c r="EX118" s="331"/>
      <c r="EY118" s="331"/>
      <c r="EZ118" s="331"/>
      <c r="FA118" s="331"/>
      <c r="FB118" s="331"/>
      <c r="FC118" s="331"/>
      <c r="FD118" s="331"/>
      <c r="FE118" s="331"/>
      <c r="FF118" s="331"/>
      <c r="FG118" s="331"/>
      <c r="FH118" s="331"/>
      <c r="FI118" s="331"/>
      <c r="FJ118" s="331"/>
      <c r="FK118" s="331"/>
      <c r="FL118" s="331"/>
      <c r="FM118" s="331"/>
      <c r="FN118" s="331"/>
      <c r="FO118" s="331"/>
      <c r="FP118" s="331"/>
      <c r="FQ118" s="331"/>
      <c r="FR118" s="331"/>
      <c r="FS118" s="331"/>
      <c r="FT118" s="331"/>
      <c r="FU118" s="331"/>
      <c r="FV118" s="331"/>
      <c r="FW118" s="331"/>
      <c r="FX118" s="331"/>
      <c r="FY118" s="331"/>
      <c r="FZ118" s="331"/>
      <c r="GA118" s="331"/>
      <c r="GB118" s="331"/>
      <c r="GC118" s="331"/>
      <c r="GD118" s="331"/>
      <c r="GE118" s="331"/>
      <c r="GF118" s="331"/>
      <c r="GG118" s="331"/>
      <c r="GH118" s="331"/>
      <c r="GI118" s="331"/>
      <c r="GJ118" s="331"/>
      <c r="GK118" s="331"/>
      <c r="GL118" s="331"/>
      <c r="GM118" s="331"/>
      <c r="GN118" s="331"/>
      <c r="GO118" s="331"/>
    </row>
    <row r="119" spans="1:197" s="331" customFormat="1" ht="181.5" customHeight="1">
      <c r="A119" s="333"/>
      <c r="B119" s="334"/>
      <c r="C119" s="335"/>
      <c r="D119" s="336"/>
      <c r="E119" s="334"/>
      <c r="F119" s="334"/>
      <c r="G119" s="335"/>
      <c r="H119" s="333"/>
      <c r="I119" s="337"/>
      <c r="J119" s="338"/>
      <c r="K119" s="417"/>
      <c r="L119" s="340"/>
      <c r="M119" s="341"/>
      <c r="N119" s="333"/>
      <c r="O119" s="333"/>
      <c r="P119" s="334"/>
      <c r="Q119" s="333"/>
      <c r="R119" s="333"/>
      <c r="S119" s="342"/>
      <c r="T119" s="343"/>
      <c r="U119" s="333"/>
      <c r="V119" s="344"/>
      <c r="W119" s="427"/>
      <c r="X119" s="332"/>
      <c r="Y119" s="332"/>
      <c r="Z119" s="332"/>
      <c r="AA119" s="332"/>
      <c r="AB119" s="332"/>
      <c r="AC119" s="332"/>
      <c r="AD119" s="332"/>
      <c r="AE119" s="332"/>
      <c r="AF119" s="332"/>
      <c r="AG119" s="332"/>
      <c r="AH119" s="332"/>
      <c r="AI119" s="332"/>
      <c r="AJ119" s="332"/>
      <c r="AK119" s="332"/>
      <c r="AL119" s="332"/>
      <c r="AM119" s="332"/>
      <c r="AN119" s="332"/>
      <c r="AO119" s="332"/>
      <c r="AP119" s="332"/>
      <c r="AQ119" s="332"/>
      <c r="AR119" s="332"/>
      <c r="AS119" s="332"/>
      <c r="AT119" s="332"/>
      <c r="AU119" s="332"/>
      <c r="AV119" s="332"/>
      <c r="AW119" s="332"/>
      <c r="AX119" s="332"/>
      <c r="AY119" s="332"/>
      <c r="AZ119" s="332"/>
      <c r="BA119" s="332"/>
      <c r="BB119" s="332"/>
      <c r="BC119" s="332"/>
      <c r="BD119" s="332"/>
      <c r="BE119" s="332"/>
      <c r="BF119" s="332"/>
      <c r="BG119" s="332"/>
      <c r="BH119" s="332"/>
      <c r="BI119" s="332"/>
      <c r="BJ119" s="332"/>
      <c r="BK119" s="332"/>
      <c r="BL119" s="332"/>
      <c r="BM119" s="332"/>
      <c r="BN119" s="332"/>
      <c r="BO119" s="332"/>
      <c r="BP119" s="332"/>
      <c r="BQ119" s="332"/>
      <c r="BR119" s="332"/>
      <c r="BS119" s="332"/>
      <c r="BT119" s="332"/>
      <c r="BU119" s="332"/>
      <c r="BV119" s="332"/>
      <c r="BW119" s="332"/>
      <c r="BX119" s="332"/>
      <c r="BY119" s="332"/>
      <c r="BZ119" s="332"/>
      <c r="CA119" s="332"/>
      <c r="CB119" s="332"/>
      <c r="CC119" s="332"/>
      <c r="CD119" s="332"/>
      <c r="CE119" s="332"/>
      <c r="CF119" s="332"/>
      <c r="CG119" s="332"/>
      <c r="CH119" s="332"/>
      <c r="CI119" s="332"/>
      <c r="CJ119" s="332"/>
      <c r="CK119" s="332"/>
      <c r="CL119" s="332"/>
      <c r="CM119" s="332"/>
      <c r="CN119" s="332"/>
      <c r="CO119" s="332"/>
      <c r="CP119" s="332"/>
      <c r="CQ119" s="332"/>
      <c r="CR119" s="332"/>
      <c r="CS119" s="332"/>
      <c r="CT119" s="332"/>
      <c r="CU119" s="332"/>
      <c r="CV119" s="332"/>
      <c r="CW119" s="332"/>
      <c r="CX119" s="332"/>
      <c r="CY119" s="332"/>
      <c r="CZ119" s="332"/>
      <c r="DA119" s="332"/>
      <c r="DB119" s="332"/>
      <c r="DC119" s="332"/>
      <c r="DD119" s="332"/>
      <c r="DE119" s="332"/>
      <c r="DF119" s="332"/>
      <c r="DG119" s="332"/>
      <c r="DH119" s="332"/>
      <c r="DI119" s="332"/>
      <c r="DJ119" s="332"/>
      <c r="DK119" s="332"/>
      <c r="DL119" s="332"/>
      <c r="DM119" s="332"/>
      <c r="DN119" s="332"/>
      <c r="DO119" s="332"/>
      <c r="DP119" s="332"/>
      <c r="DQ119" s="332"/>
      <c r="DR119" s="332"/>
      <c r="DS119" s="332"/>
      <c r="DT119" s="332"/>
      <c r="DU119" s="332"/>
      <c r="DV119" s="332"/>
      <c r="DW119" s="332"/>
      <c r="DX119" s="332"/>
      <c r="DY119" s="332"/>
      <c r="DZ119" s="332"/>
      <c r="EA119" s="332"/>
      <c r="EB119" s="332"/>
      <c r="EC119" s="332"/>
      <c r="ED119" s="332"/>
      <c r="EE119" s="332"/>
      <c r="EF119" s="332"/>
      <c r="EG119" s="332"/>
      <c r="EH119" s="332"/>
      <c r="EI119" s="332"/>
      <c r="EJ119" s="332"/>
      <c r="EK119" s="332"/>
      <c r="EL119" s="332"/>
      <c r="EM119" s="332"/>
      <c r="EN119" s="332"/>
      <c r="EO119" s="332"/>
      <c r="EP119" s="332"/>
      <c r="EQ119" s="332"/>
      <c r="ER119" s="332"/>
      <c r="ES119" s="332"/>
      <c r="ET119" s="332"/>
      <c r="EU119" s="332"/>
      <c r="EV119" s="332"/>
      <c r="EW119" s="332"/>
      <c r="EX119" s="332"/>
      <c r="EY119" s="332"/>
      <c r="EZ119" s="332"/>
      <c r="FA119" s="332"/>
      <c r="FB119" s="332"/>
      <c r="FC119" s="332"/>
      <c r="FD119" s="332"/>
      <c r="FE119" s="332"/>
      <c r="FF119" s="332"/>
      <c r="FG119" s="332"/>
      <c r="FH119" s="332"/>
      <c r="FI119" s="332"/>
      <c r="FJ119" s="332"/>
      <c r="FK119" s="332"/>
      <c r="FL119" s="332"/>
      <c r="FM119" s="332"/>
      <c r="FN119" s="332"/>
      <c r="FO119" s="332"/>
      <c r="FP119" s="332"/>
      <c r="FQ119" s="332"/>
      <c r="FR119" s="332"/>
      <c r="FS119" s="332"/>
      <c r="FT119" s="332"/>
      <c r="FU119" s="332"/>
      <c r="FV119" s="332"/>
      <c r="FW119" s="332"/>
      <c r="FX119" s="332"/>
      <c r="FY119" s="332"/>
      <c r="FZ119" s="332"/>
      <c r="GA119" s="332"/>
      <c r="GB119" s="332"/>
      <c r="GC119" s="332"/>
      <c r="GD119" s="332"/>
      <c r="GE119" s="332"/>
      <c r="GF119" s="332"/>
      <c r="GG119" s="332"/>
      <c r="GH119" s="332"/>
      <c r="GI119" s="332"/>
      <c r="GJ119" s="332"/>
      <c r="GK119" s="332"/>
      <c r="GL119" s="332"/>
      <c r="GM119" s="332"/>
      <c r="GN119" s="332"/>
      <c r="GO119" s="332"/>
    </row>
    <row r="120" spans="1:197" s="332" customFormat="1" ht="279" customHeight="1">
      <c r="A120" s="333"/>
      <c r="B120" s="334"/>
      <c r="C120" s="335"/>
      <c r="D120" s="336"/>
      <c r="E120" s="334"/>
      <c r="F120" s="334"/>
      <c r="G120" s="335"/>
      <c r="H120" s="333"/>
      <c r="I120" s="337"/>
      <c r="J120" s="338"/>
      <c r="K120" s="419"/>
      <c r="L120" s="340"/>
      <c r="M120" s="341"/>
      <c r="N120" s="333"/>
      <c r="O120" s="333"/>
      <c r="P120" s="334"/>
      <c r="Q120" s="333"/>
      <c r="R120" s="333"/>
      <c r="S120" s="342"/>
      <c r="T120" s="343"/>
      <c r="U120" s="333"/>
      <c r="V120" s="344"/>
      <c r="W120" s="427"/>
    </row>
    <row r="121" spans="1:197" s="332" customFormat="1" ht="279" customHeight="1">
      <c r="A121" s="333"/>
      <c r="B121" s="334"/>
      <c r="C121" s="335"/>
      <c r="D121" s="336"/>
      <c r="E121" s="334"/>
      <c r="F121" s="334"/>
      <c r="G121" s="335"/>
      <c r="H121" s="333"/>
      <c r="I121" s="337"/>
      <c r="J121" s="338"/>
      <c r="K121" s="415"/>
      <c r="L121" s="340"/>
      <c r="M121" s="341"/>
      <c r="N121" s="333"/>
      <c r="O121" s="333"/>
      <c r="P121" s="334"/>
      <c r="Q121" s="333"/>
      <c r="R121" s="333"/>
      <c r="S121" s="342"/>
      <c r="T121" s="343"/>
      <c r="U121" s="333"/>
      <c r="V121" s="344"/>
      <c r="W121" s="427"/>
    </row>
    <row r="122" spans="1:197" s="332" customFormat="1" ht="279" customHeight="1">
      <c r="A122" s="333"/>
      <c r="B122" s="334"/>
      <c r="C122" s="335"/>
      <c r="D122" s="336"/>
      <c r="E122" s="334"/>
      <c r="F122" s="334"/>
      <c r="G122" s="335"/>
      <c r="H122" s="333"/>
      <c r="I122" s="337"/>
      <c r="J122" s="338"/>
      <c r="K122" s="419"/>
      <c r="L122" s="340"/>
      <c r="M122" s="341"/>
      <c r="N122" s="333"/>
      <c r="O122" s="333"/>
      <c r="P122" s="334"/>
      <c r="Q122" s="333"/>
      <c r="R122" s="333"/>
      <c r="S122" s="342"/>
      <c r="T122" s="343"/>
      <c r="U122" s="333"/>
      <c r="V122" s="344"/>
      <c r="W122" s="427"/>
    </row>
    <row r="123" spans="1:197" s="332" customFormat="1" ht="279" customHeight="1">
      <c r="A123" s="333"/>
      <c r="B123" s="334"/>
      <c r="C123" s="335"/>
      <c r="D123" s="336"/>
      <c r="E123" s="334"/>
      <c r="F123" s="334"/>
      <c r="G123" s="335"/>
      <c r="H123" s="333"/>
      <c r="I123" s="337"/>
      <c r="J123" s="338"/>
      <c r="K123" s="417"/>
      <c r="L123" s="340"/>
      <c r="M123" s="341"/>
      <c r="N123" s="333"/>
      <c r="O123" s="333"/>
      <c r="P123" s="334"/>
      <c r="Q123" s="333"/>
      <c r="R123" s="333"/>
      <c r="S123" s="342"/>
      <c r="T123" s="343"/>
      <c r="U123" s="333"/>
      <c r="V123" s="344"/>
      <c r="W123" s="427"/>
    </row>
    <row r="124" spans="1:197" s="332" customFormat="1" ht="279" customHeight="1">
      <c r="A124" s="333"/>
      <c r="B124" s="334"/>
      <c r="C124" s="335"/>
      <c r="D124" s="336"/>
      <c r="E124" s="334"/>
      <c r="F124" s="334"/>
      <c r="G124" s="335"/>
      <c r="H124" s="333"/>
      <c r="I124" s="337"/>
      <c r="J124" s="338"/>
      <c r="K124" s="417"/>
      <c r="L124" s="340"/>
      <c r="M124" s="341"/>
      <c r="N124" s="333"/>
      <c r="O124" s="333"/>
      <c r="P124" s="334"/>
      <c r="Q124" s="333"/>
      <c r="R124" s="333"/>
      <c r="S124" s="342"/>
      <c r="T124" s="343"/>
      <c r="U124" s="333"/>
      <c r="V124" s="344"/>
      <c r="W124" s="427"/>
    </row>
    <row r="125" spans="1:197" s="332" customFormat="1" ht="279" customHeight="1">
      <c r="A125" s="333"/>
      <c r="B125" s="334"/>
      <c r="C125" s="335"/>
      <c r="D125" s="336"/>
      <c r="E125" s="334"/>
      <c r="F125" s="334"/>
      <c r="G125" s="335"/>
      <c r="H125" s="333"/>
      <c r="I125" s="337"/>
      <c r="J125" s="338"/>
      <c r="K125" s="417"/>
      <c r="L125" s="340"/>
      <c r="M125" s="341"/>
      <c r="N125" s="333"/>
      <c r="O125" s="333"/>
      <c r="P125" s="334"/>
      <c r="Q125" s="333"/>
      <c r="R125" s="333"/>
      <c r="S125" s="342"/>
      <c r="T125" s="343"/>
      <c r="U125" s="333"/>
      <c r="V125" s="344"/>
      <c r="W125" s="427"/>
    </row>
    <row r="126" spans="1:197" s="332" customFormat="1" ht="279" customHeight="1">
      <c r="A126" s="333"/>
      <c r="B126" s="334"/>
      <c r="C126" s="335"/>
      <c r="D126" s="336"/>
      <c r="E126" s="334"/>
      <c r="F126" s="334"/>
      <c r="G126" s="335"/>
      <c r="H126" s="333"/>
      <c r="I126" s="337"/>
      <c r="J126" s="338"/>
      <c r="K126" s="417"/>
      <c r="L126" s="340"/>
      <c r="M126" s="341"/>
      <c r="N126" s="333"/>
      <c r="O126" s="333"/>
      <c r="P126" s="334"/>
      <c r="Q126" s="333"/>
      <c r="R126" s="333"/>
      <c r="S126" s="342"/>
      <c r="T126" s="343"/>
      <c r="U126" s="333"/>
      <c r="V126" s="344"/>
      <c r="W126" s="427"/>
    </row>
    <row r="127" spans="1:197" s="332" customFormat="1" ht="279" customHeight="1">
      <c r="A127" s="333"/>
      <c r="B127" s="334"/>
      <c r="C127" s="335"/>
      <c r="D127" s="336"/>
      <c r="E127" s="334"/>
      <c r="F127" s="334"/>
      <c r="G127" s="335"/>
      <c r="H127" s="333"/>
      <c r="I127" s="337"/>
      <c r="J127" s="338"/>
      <c r="K127" s="418"/>
      <c r="L127" s="340"/>
      <c r="M127" s="341"/>
      <c r="N127" s="333"/>
      <c r="O127" s="333"/>
      <c r="P127" s="334"/>
      <c r="Q127" s="333"/>
      <c r="R127" s="333"/>
      <c r="S127" s="342"/>
      <c r="T127" s="343"/>
      <c r="U127" s="333"/>
      <c r="V127" s="344"/>
      <c r="W127" s="427"/>
    </row>
    <row r="128" spans="1:197" s="332" customFormat="1" ht="279" customHeight="1">
      <c r="A128" s="333"/>
      <c r="B128" s="334"/>
      <c r="C128" s="335"/>
      <c r="D128" s="336"/>
      <c r="E128" s="334"/>
      <c r="F128" s="334"/>
      <c r="G128" s="335"/>
      <c r="H128" s="333"/>
      <c r="I128" s="337"/>
      <c r="J128" s="338"/>
      <c r="K128" s="417"/>
      <c r="L128" s="340"/>
      <c r="M128" s="341"/>
      <c r="N128" s="333"/>
      <c r="O128" s="333"/>
      <c r="P128" s="334"/>
      <c r="Q128" s="333"/>
      <c r="R128" s="333"/>
      <c r="S128" s="342"/>
      <c r="T128" s="343"/>
      <c r="U128" s="333"/>
      <c r="V128" s="344"/>
      <c r="W128" s="427"/>
    </row>
    <row r="129" spans="1:197" s="332" customFormat="1" ht="279" customHeight="1">
      <c r="A129" s="333"/>
      <c r="B129" s="334"/>
      <c r="C129" s="335"/>
      <c r="D129" s="336"/>
      <c r="E129" s="334"/>
      <c r="F129" s="334"/>
      <c r="G129" s="335"/>
      <c r="H129" s="333"/>
      <c r="I129" s="337"/>
      <c r="J129" s="338"/>
      <c r="K129" s="417"/>
      <c r="L129" s="340"/>
      <c r="M129" s="341"/>
      <c r="N129" s="333"/>
      <c r="O129" s="333"/>
      <c r="P129" s="334"/>
      <c r="Q129" s="333"/>
      <c r="R129" s="333"/>
      <c r="S129" s="342"/>
      <c r="T129" s="343"/>
      <c r="U129" s="333"/>
      <c r="V129" s="344"/>
      <c r="W129" s="427"/>
    </row>
    <row r="130" spans="1:197" s="332" customFormat="1" ht="279" customHeight="1">
      <c r="A130" s="333"/>
      <c r="B130" s="334"/>
      <c r="C130" s="335"/>
      <c r="D130" s="336"/>
      <c r="E130" s="334"/>
      <c r="F130" s="334"/>
      <c r="G130" s="335"/>
      <c r="H130" s="333"/>
      <c r="I130" s="337"/>
      <c r="J130" s="338"/>
      <c r="K130" s="418"/>
      <c r="L130" s="340"/>
      <c r="M130" s="341"/>
      <c r="N130" s="333"/>
      <c r="O130" s="333"/>
      <c r="P130" s="334"/>
      <c r="Q130" s="333"/>
      <c r="R130" s="333"/>
      <c r="S130" s="342"/>
      <c r="T130" s="343"/>
      <c r="U130" s="333"/>
      <c r="V130" s="344"/>
      <c r="W130" s="427"/>
    </row>
    <row r="131" spans="1:197" s="332" customFormat="1" ht="279" customHeight="1">
      <c r="A131" s="333"/>
      <c r="B131" s="334"/>
      <c r="C131" s="335"/>
      <c r="D131" s="336"/>
      <c r="E131" s="334"/>
      <c r="F131" s="334"/>
      <c r="G131" s="335"/>
      <c r="H131" s="333"/>
      <c r="I131" s="337"/>
      <c r="J131" s="338"/>
      <c r="K131" s="418"/>
      <c r="L131" s="340"/>
      <c r="M131" s="341"/>
      <c r="N131" s="333"/>
      <c r="O131" s="333"/>
      <c r="P131" s="334"/>
      <c r="Q131" s="333"/>
      <c r="R131" s="333"/>
      <c r="S131" s="342"/>
      <c r="T131" s="343"/>
      <c r="U131" s="333"/>
      <c r="V131" s="344"/>
      <c r="W131" s="429"/>
      <c r="X131" s="345"/>
      <c r="Y131" s="345"/>
      <c r="Z131" s="345"/>
      <c r="AA131" s="345"/>
      <c r="AB131" s="345"/>
      <c r="AC131" s="345"/>
      <c r="AD131" s="345"/>
      <c r="AE131" s="345"/>
      <c r="AF131" s="345"/>
      <c r="AG131" s="345"/>
      <c r="AH131" s="345"/>
      <c r="AI131" s="345"/>
      <c r="AJ131" s="345"/>
      <c r="AK131" s="345"/>
      <c r="AL131" s="345"/>
      <c r="AM131" s="345"/>
      <c r="AN131" s="345"/>
      <c r="AO131" s="345"/>
      <c r="AP131" s="345"/>
      <c r="AQ131" s="345"/>
      <c r="AR131" s="345"/>
      <c r="AS131" s="345"/>
      <c r="AT131" s="345"/>
      <c r="AU131" s="345"/>
      <c r="AV131" s="345"/>
      <c r="AW131" s="345"/>
      <c r="AX131" s="345"/>
      <c r="AY131" s="345"/>
      <c r="AZ131" s="345"/>
      <c r="BA131" s="345"/>
      <c r="BB131" s="345"/>
      <c r="BC131" s="345"/>
      <c r="BD131" s="345"/>
      <c r="BE131" s="345"/>
      <c r="BF131" s="345"/>
      <c r="BG131" s="345"/>
      <c r="BH131" s="345"/>
      <c r="BI131" s="345"/>
      <c r="BJ131" s="345"/>
      <c r="BK131" s="345"/>
      <c r="BL131" s="345"/>
      <c r="BM131" s="345"/>
      <c r="BN131" s="345"/>
      <c r="BO131" s="345"/>
      <c r="BP131" s="345"/>
      <c r="BQ131" s="345"/>
      <c r="BR131" s="345"/>
      <c r="BS131" s="345"/>
      <c r="BT131" s="345"/>
      <c r="BU131" s="345"/>
      <c r="BV131" s="345"/>
      <c r="BW131" s="345"/>
      <c r="BX131" s="345"/>
      <c r="BY131" s="345"/>
      <c r="BZ131" s="345"/>
      <c r="CA131" s="345"/>
      <c r="CB131" s="345"/>
      <c r="CC131" s="345"/>
      <c r="CD131" s="345"/>
      <c r="CE131" s="345"/>
      <c r="CF131" s="345"/>
      <c r="CG131" s="345"/>
      <c r="CH131" s="345"/>
      <c r="CI131" s="345"/>
      <c r="CJ131" s="345"/>
      <c r="CK131" s="345"/>
      <c r="CL131" s="345"/>
      <c r="CM131" s="345"/>
      <c r="CN131" s="345"/>
      <c r="CO131" s="345"/>
      <c r="CP131" s="345"/>
      <c r="CQ131" s="345"/>
      <c r="CR131" s="345"/>
      <c r="CS131" s="345"/>
      <c r="CT131" s="345"/>
      <c r="CU131" s="345"/>
      <c r="CV131" s="345"/>
      <c r="CW131" s="345"/>
      <c r="CX131" s="345"/>
      <c r="CY131" s="345"/>
      <c r="CZ131" s="345"/>
      <c r="DA131" s="345"/>
      <c r="DB131" s="345"/>
      <c r="DC131" s="345"/>
      <c r="DD131" s="345"/>
      <c r="DE131" s="345"/>
      <c r="DF131" s="345"/>
      <c r="DG131" s="345"/>
      <c r="DH131" s="345"/>
      <c r="DI131" s="345"/>
      <c r="DJ131" s="345"/>
      <c r="DK131" s="345"/>
      <c r="DL131" s="345"/>
      <c r="DM131" s="345"/>
      <c r="DN131" s="345"/>
      <c r="DO131" s="345"/>
      <c r="DP131" s="345"/>
      <c r="DQ131" s="345"/>
      <c r="DR131" s="345"/>
      <c r="DS131" s="345"/>
      <c r="DT131" s="345"/>
      <c r="DU131" s="345"/>
      <c r="DV131" s="345"/>
      <c r="DW131" s="345"/>
      <c r="DX131" s="345"/>
      <c r="DY131" s="345"/>
      <c r="DZ131" s="345"/>
      <c r="EA131" s="345"/>
      <c r="EB131" s="345"/>
      <c r="EC131" s="345"/>
      <c r="ED131" s="345"/>
      <c r="EE131" s="345"/>
      <c r="EF131" s="345"/>
      <c r="EG131" s="345"/>
      <c r="EH131" s="345"/>
      <c r="EI131" s="345"/>
      <c r="EJ131" s="345"/>
      <c r="EK131" s="345"/>
      <c r="EL131" s="345"/>
      <c r="EM131" s="345"/>
      <c r="EN131" s="345"/>
      <c r="EO131" s="345"/>
      <c r="EP131" s="345"/>
      <c r="EQ131" s="345"/>
      <c r="ER131" s="345"/>
      <c r="ES131" s="345"/>
      <c r="ET131" s="345"/>
      <c r="EU131" s="345"/>
      <c r="EV131" s="345"/>
      <c r="EW131" s="345"/>
      <c r="EX131" s="345"/>
      <c r="EY131" s="345"/>
      <c r="EZ131" s="345"/>
      <c r="FA131" s="345"/>
      <c r="FB131" s="345"/>
      <c r="FC131" s="345"/>
      <c r="FD131" s="345"/>
      <c r="FE131" s="345"/>
      <c r="FF131" s="345"/>
      <c r="FG131" s="345"/>
      <c r="FH131" s="345"/>
      <c r="FI131" s="345"/>
      <c r="FJ131" s="345"/>
      <c r="FK131" s="345"/>
      <c r="FL131" s="345"/>
      <c r="FM131" s="345"/>
      <c r="FN131" s="345"/>
      <c r="FO131" s="345"/>
      <c r="FP131" s="345"/>
      <c r="FQ131" s="345"/>
      <c r="FR131" s="345"/>
      <c r="FS131" s="345"/>
      <c r="FT131" s="345"/>
      <c r="FU131" s="345"/>
      <c r="FV131" s="345"/>
      <c r="FW131" s="345"/>
      <c r="FX131" s="345"/>
      <c r="FY131" s="345"/>
      <c r="FZ131" s="345"/>
      <c r="GA131" s="345"/>
      <c r="GB131" s="345"/>
      <c r="GC131" s="345"/>
      <c r="GD131" s="345"/>
      <c r="GE131" s="345"/>
      <c r="GF131" s="345"/>
      <c r="GG131" s="345"/>
      <c r="GH131" s="345"/>
      <c r="GI131" s="345"/>
      <c r="GJ131" s="345"/>
      <c r="GK131" s="345"/>
      <c r="GL131" s="345"/>
      <c r="GM131" s="345"/>
      <c r="GN131" s="345"/>
      <c r="GO131" s="345"/>
    </row>
    <row r="132" spans="1:197" ht="100.05" customHeight="1">
      <c r="K132" s="418"/>
    </row>
    <row r="133" spans="1:197" ht="52.2">
      <c r="K133" s="418"/>
    </row>
    <row r="134" spans="1:197" ht="52.2">
      <c r="K134" s="418"/>
    </row>
    <row r="135" spans="1:197" ht="52.2">
      <c r="K135" s="418"/>
    </row>
    <row r="136" spans="1:197" ht="52.2">
      <c r="K136" s="418"/>
    </row>
    <row r="137" spans="1:197" ht="52.2">
      <c r="K137" s="418"/>
    </row>
    <row r="138" spans="1:197" ht="52.2">
      <c r="K138" s="418"/>
    </row>
    <row r="139" spans="1:197" ht="52.2">
      <c r="K139" s="418"/>
    </row>
    <row r="140" spans="1:197" ht="52.2">
      <c r="K140" s="418"/>
    </row>
    <row r="141" spans="1:197" ht="52.2">
      <c r="K141" s="418"/>
    </row>
    <row r="142" spans="1:197" ht="52.2">
      <c r="K142" s="418"/>
    </row>
    <row r="143" spans="1:197" ht="52.2">
      <c r="K143" s="418"/>
    </row>
    <row r="144" spans="1:197" ht="52.2">
      <c r="K144" s="418"/>
    </row>
    <row r="145" spans="11:11" ht="52.2">
      <c r="K145" s="418"/>
    </row>
    <row r="146" spans="11:11" ht="52.2">
      <c r="K146" s="418"/>
    </row>
    <row r="147" spans="11:11" ht="52.2">
      <c r="K147" s="418"/>
    </row>
    <row r="148" spans="11:11" ht="52.2">
      <c r="K148" s="418"/>
    </row>
    <row r="149" spans="11:11" ht="52.2">
      <c r="K149" s="418"/>
    </row>
    <row r="150" spans="11:11" ht="52.2">
      <c r="K150" s="418"/>
    </row>
    <row r="151" spans="11:11" ht="52.2">
      <c r="K151" s="418"/>
    </row>
    <row r="152" spans="11:11" ht="52.2">
      <c r="K152" s="418"/>
    </row>
    <row r="153" spans="11:11" ht="52.2">
      <c r="K153" s="418"/>
    </row>
    <row r="154" spans="11:11" ht="52.2">
      <c r="K154" s="418"/>
    </row>
    <row r="155" spans="11:11" ht="52.2">
      <c r="K155" s="418"/>
    </row>
    <row r="156" spans="11:11" ht="52.2">
      <c r="K156" s="418"/>
    </row>
    <row r="157" spans="11:11" ht="52.2">
      <c r="K157" s="418"/>
    </row>
    <row r="158" spans="11:11" ht="52.2">
      <c r="K158" s="418"/>
    </row>
    <row r="159" spans="11:11" ht="52.2">
      <c r="K159" s="418"/>
    </row>
    <row r="160" spans="11:11" ht="52.2">
      <c r="K160" s="418"/>
    </row>
    <row r="161" spans="11:11" ht="52.2">
      <c r="K161" s="428"/>
    </row>
    <row r="162" spans="11:11" ht="52.2">
      <c r="K162" s="415"/>
    </row>
    <row r="163" spans="11:11" ht="52.2">
      <c r="K163" s="417"/>
    </row>
    <row r="164" spans="11:11" ht="52.2">
      <c r="K164" s="417"/>
    </row>
    <row r="165" spans="11:11" ht="52.2">
      <c r="K165" s="417"/>
    </row>
    <row r="166" spans="11:11" ht="52.2">
      <c r="K166" s="417"/>
    </row>
    <row r="167" spans="11:11" ht="52.2">
      <c r="K167" s="417"/>
    </row>
    <row r="168" spans="11:11" ht="52.2">
      <c r="K168" s="417"/>
    </row>
    <row r="169" spans="11:11" ht="52.2">
      <c r="K169" s="428"/>
    </row>
    <row r="170" spans="11:11" ht="52.2">
      <c r="K170" s="417"/>
    </row>
    <row r="171" spans="11:11" ht="52.2">
      <c r="K171" s="417"/>
    </row>
    <row r="172" spans="11:11" ht="52.2">
      <c r="K172" s="417"/>
    </row>
    <row r="173" spans="11:11" ht="52.2">
      <c r="K173" s="417"/>
    </row>
    <row r="174" spans="11:11" ht="52.2">
      <c r="K174" s="417"/>
    </row>
    <row r="175" spans="11:11" ht="52.2">
      <c r="K175" s="417"/>
    </row>
    <row r="176" spans="11:11" ht="52.2">
      <c r="K176" s="417"/>
    </row>
    <row r="177" spans="11:11" ht="52.2">
      <c r="K177" s="417"/>
    </row>
    <row r="178" spans="11:11" ht="52.2">
      <c r="K178" s="417"/>
    </row>
    <row r="179" spans="11:11" ht="52.2">
      <c r="K179" s="417"/>
    </row>
    <row r="180" spans="11:11" ht="52.2">
      <c r="K180" s="417"/>
    </row>
    <row r="181" spans="11:11" ht="52.2">
      <c r="K181" s="417"/>
    </row>
    <row r="182" spans="11:11" ht="52.2">
      <c r="K182" s="417"/>
    </row>
    <row r="183" spans="11:11" ht="52.2">
      <c r="K183" s="417"/>
    </row>
    <row r="184" spans="11:11" ht="52.2">
      <c r="K184" s="428"/>
    </row>
    <row r="185" spans="11:11" ht="52.2">
      <c r="K185" s="419"/>
    </row>
    <row r="186" spans="11:11" ht="52.2">
      <c r="K186" s="417"/>
    </row>
    <row r="187" spans="11:11" ht="52.2">
      <c r="K187" s="417"/>
    </row>
    <row r="188" spans="11:11" ht="52.2">
      <c r="K188" s="417"/>
    </row>
    <row r="189" spans="11:11" ht="52.2">
      <c r="K189" s="417"/>
    </row>
    <row r="190" spans="11:11" ht="52.2">
      <c r="K190" s="417"/>
    </row>
    <row r="191" spans="11:11" ht="52.2">
      <c r="K191" s="417"/>
    </row>
    <row r="192" spans="11:11" ht="52.2">
      <c r="K192" s="417"/>
    </row>
    <row r="193" spans="11:11" ht="52.2">
      <c r="K193" s="430"/>
    </row>
  </sheetData>
  <autoFilter ref="A21:W107" xr:uid="{00000000-0001-0000-0300-000000000000}">
    <filterColumn colId="13" showButton="0"/>
    <filterColumn colId="14" showButton="0"/>
    <filterColumn colId="16" showButton="0"/>
    <filterColumn colId="17" showButton="0"/>
    <filterColumn colId="18" showButton="0"/>
    <filterColumn colId="19" showButton="0"/>
    <filterColumn colId="20" showButton="0"/>
  </autoFilter>
  <mergeCells count="41">
    <mergeCell ref="Q21:V21"/>
    <mergeCell ref="J84:P84"/>
    <mergeCell ref="J98:L98"/>
    <mergeCell ref="A106:N106"/>
    <mergeCell ref="P106:T106"/>
    <mergeCell ref="A21:A22"/>
    <mergeCell ref="B21:B22"/>
    <mergeCell ref="C21:C22"/>
    <mergeCell ref="D21:D22"/>
    <mergeCell ref="E21:E22"/>
    <mergeCell ref="F21:F22"/>
    <mergeCell ref="G21:G22"/>
    <mergeCell ref="H21:H22"/>
    <mergeCell ref="I21:I22"/>
    <mergeCell ref="J21:J22"/>
    <mergeCell ref="K21:K22"/>
    <mergeCell ref="L21:L22"/>
    <mergeCell ref="M21:M22"/>
    <mergeCell ref="N21:P21"/>
    <mergeCell ref="A10:B10"/>
    <mergeCell ref="C10:G10"/>
    <mergeCell ref="I10:L10"/>
    <mergeCell ref="M10:N10"/>
    <mergeCell ref="A12:B12"/>
    <mergeCell ref="C12:G12"/>
    <mergeCell ref="I12:L12"/>
    <mergeCell ref="M12:N12"/>
    <mergeCell ref="A8:B8"/>
    <mergeCell ref="C8:G8"/>
    <mergeCell ref="I8:L8"/>
    <mergeCell ref="M8:O8"/>
    <mergeCell ref="Q8:S8"/>
    <mergeCell ref="A1:V1"/>
    <mergeCell ref="A2:V2"/>
    <mergeCell ref="A3:V3"/>
    <mergeCell ref="A4:V4"/>
    <mergeCell ref="A6:B6"/>
    <mergeCell ref="C6:G6"/>
    <mergeCell ref="I6:L6"/>
    <mergeCell ref="M6:O6"/>
    <mergeCell ref="Q6:S6"/>
  </mergeCells>
  <printOptions horizontalCentered="1"/>
  <pageMargins left="0.25" right="0.25" top="0.75" bottom="0.75" header="0.3" footer="0.3"/>
  <pageSetup paperSize="9" scale="10" fitToHeight="0" orientation="landscape" r:id="rId1"/>
  <drawing r:id="rId2"/>
  <legacyDrawing r:id="rId3"/>
  <oleObjects>
    <mc:AlternateContent xmlns:mc="http://schemas.openxmlformats.org/markup-compatibility/2006">
      <mc:Choice Requires="x14">
        <oleObject progId="PBrush" shapeId="56321" r:id="rId4">
          <objectPr defaultSize="0" altText="" r:id="rId5">
            <anchor moveWithCells="1" sizeWithCells="1">
              <from>
                <xdr:col>4</xdr:col>
                <xdr:colOff>0</xdr:colOff>
                <xdr:row>1</xdr:row>
                <xdr:rowOff>0</xdr:rowOff>
              </from>
              <to>
                <xdr:col>4</xdr:col>
                <xdr:colOff>0</xdr:colOff>
                <xdr:row>1</xdr:row>
                <xdr:rowOff>0</xdr:rowOff>
              </to>
            </anchor>
          </objectPr>
        </oleObject>
      </mc:Choice>
      <mc:Fallback>
        <oleObject progId="PBrush" shapeId="56321" r:id="rId4"/>
      </mc:Fallback>
    </mc:AlternateContent>
  </oleObjec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41"/>
  <sheetViews>
    <sheetView view="pageBreakPreview" topLeftCell="C1" zoomScale="40" zoomScaleNormal="10" zoomScaleSheetLayoutView="40" zoomScalePageLayoutView="33" workbookViewId="0">
      <selection activeCell="D37" sqref="D37"/>
    </sheetView>
  </sheetViews>
  <sheetFormatPr defaultColWidth="9.21875" defaultRowHeight="59.25" customHeight="1"/>
  <cols>
    <col min="1" max="1" width="13.77734375" style="215" customWidth="1"/>
    <col min="2" max="2" width="37.77734375" style="216" customWidth="1"/>
    <col min="3" max="3" width="43.5546875" style="217" customWidth="1"/>
    <col min="4" max="4" width="43.44140625" style="218" customWidth="1"/>
    <col min="5" max="5" width="49.21875" style="218" customWidth="1"/>
    <col min="6" max="6" width="27.21875" style="218" customWidth="1"/>
    <col min="7" max="7" width="53.5546875" style="219" customWidth="1"/>
    <col min="8" max="8" width="57.44140625" style="220" customWidth="1"/>
    <col min="9" max="9" width="54.21875" style="220" customWidth="1"/>
    <col min="10" max="10" width="22.5546875" style="220" customWidth="1"/>
    <col min="11" max="11" width="27.21875" style="221" customWidth="1"/>
    <col min="12" max="12" width="26.21875" style="221" customWidth="1"/>
    <col min="13" max="13" width="55.5546875" style="211" bestFit="1" customWidth="1"/>
    <col min="14" max="14" width="36.5546875" style="215" customWidth="1"/>
    <col min="15" max="15" width="2.5546875" style="215" customWidth="1"/>
    <col min="16" max="16" width="33.5546875" style="215" customWidth="1"/>
    <col min="17" max="16384" width="9.21875" style="215"/>
  </cols>
  <sheetData>
    <row r="1" spans="1:13" ht="27" customHeight="1">
      <c r="A1" s="222"/>
      <c r="B1" s="637"/>
      <c r="C1" s="637"/>
      <c r="D1" s="638"/>
      <c r="E1" s="637"/>
      <c r="F1" s="637"/>
      <c r="G1" s="637"/>
      <c r="H1" s="637"/>
      <c r="I1" s="637"/>
      <c r="J1" s="637"/>
      <c r="K1" s="637"/>
      <c r="L1" s="637"/>
      <c r="M1" s="277"/>
    </row>
    <row r="2" spans="1:13" ht="69" customHeight="1">
      <c r="A2" s="637"/>
      <c r="B2" s="637"/>
      <c r="C2" s="637"/>
      <c r="D2" s="637"/>
      <c r="E2" s="637"/>
      <c r="F2" s="637"/>
      <c r="G2" s="637"/>
      <c r="H2" s="637"/>
      <c r="I2" s="637"/>
      <c r="J2" s="637"/>
      <c r="K2" s="637"/>
      <c r="L2" s="637"/>
      <c r="M2" s="637"/>
    </row>
    <row r="3" spans="1:13" ht="27" customHeight="1">
      <c r="A3" s="637" t="s">
        <v>65</v>
      </c>
      <c r="B3" s="637"/>
      <c r="C3" s="637"/>
      <c r="D3" s="638"/>
      <c r="E3" s="637"/>
      <c r="F3" s="637"/>
      <c r="G3" s="637"/>
      <c r="H3" s="637"/>
      <c r="I3" s="637"/>
      <c r="J3" s="637"/>
      <c r="K3" s="637"/>
      <c r="L3" s="637"/>
      <c r="M3" s="637"/>
    </row>
    <row r="4" spans="1:13" ht="38.25" customHeight="1">
      <c r="A4" s="639" t="s">
        <v>597</v>
      </c>
      <c r="B4" s="639"/>
      <c r="C4" s="639"/>
      <c r="D4" s="640"/>
      <c r="E4" s="639"/>
      <c r="F4" s="639"/>
      <c r="G4" s="639"/>
      <c r="H4" s="639"/>
      <c r="I4" s="639"/>
      <c r="J4" s="639"/>
      <c r="K4" s="639"/>
      <c r="L4" s="639"/>
      <c r="M4" s="639"/>
    </row>
    <row r="5" spans="1:13" ht="27" customHeight="1">
      <c r="A5" s="637" t="s">
        <v>598</v>
      </c>
      <c r="B5" s="637"/>
      <c r="C5" s="637"/>
      <c r="D5" s="637"/>
      <c r="E5" s="637"/>
      <c r="F5" s="637"/>
      <c r="G5" s="637"/>
      <c r="H5" s="637"/>
      <c r="I5" s="637"/>
      <c r="J5" s="637"/>
      <c r="K5" s="637"/>
      <c r="L5" s="637"/>
      <c r="M5" s="637"/>
    </row>
    <row r="6" spans="1:13" ht="27" customHeight="1">
      <c r="A6" s="223"/>
      <c r="B6" s="224"/>
      <c r="C6" s="224"/>
      <c r="D6" s="225"/>
      <c r="E6" s="242"/>
      <c r="F6" s="242"/>
      <c r="G6" s="243"/>
      <c r="H6" s="244"/>
      <c r="I6" s="244"/>
      <c r="J6" s="244"/>
      <c r="K6" s="257"/>
      <c r="L6" s="119"/>
      <c r="M6" s="277"/>
    </row>
    <row r="7" spans="1:13" ht="27" customHeight="1">
      <c r="A7" s="641" t="s">
        <v>67</v>
      </c>
      <c r="B7" s="642"/>
      <c r="C7" s="643" t="s">
        <v>100</v>
      </c>
      <c r="D7" s="644"/>
      <c r="E7" s="645"/>
      <c r="F7" s="242"/>
      <c r="G7" s="243"/>
      <c r="H7" s="646" t="s">
        <v>71</v>
      </c>
      <c r="I7" s="646"/>
      <c r="J7" s="647">
        <v>46143</v>
      </c>
      <c r="K7" s="648"/>
      <c r="L7" s="258"/>
      <c r="M7" s="278"/>
    </row>
    <row r="8" spans="1:13" ht="12.75" customHeight="1">
      <c r="A8" s="227"/>
      <c r="B8" s="228"/>
      <c r="C8" s="229"/>
      <c r="D8" s="230"/>
      <c r="E8" s="245"/>
      <c r="F8" s="245"/>
      <c r="G8" s="246"/>
      <c r="H8" s="247"/>
      <c r="I8" s="247"/>
      <c r="J8" s="259"/>
      <c r="K8" s="260"/>
      <c r="L8" s="261"/>
      <c r="M8" s="279"/>
    </row>
    <row r="9" spans="1:13" ht="48.6" customHeight="1">
      <c r="A9" s="227"/>
      <c r="B9" s="226" t="s">
        <v>599</v>
      </c>
      <c r="C9" s="643" t="s">
        <v>104</v>
      </c>
      <c r="D9" s="644"/>
      <c r="E9" s="645"/>
      <c r="F9" s="242"/>
      <c r="G9" s="646" t="s">
        <v>108</v>
      </c>
      <c r="H9" s="646"/>
      <c r="I9" s="649"/>
      <c r="J9" s="650">
        <f>BEMSdar!E11</f>
        <v>1329813.1567500001</v>
      </c>
      <c r="K9" s="651"/>
      <c r="L9" s="262"/>
      <c r="M9" s="280"/>
    </row>
    <row r="10" spans="1:13" ht="15" customHeight="1">
      <c r="A10" s="227"/>
      <c r="B10" s="228"/>
      <c r="C10" s="229"/>
      <c r="D10" s="230"/>
      <c r="E10" s="245"/>
      <c r="F10" s="245"/>
      <c r="G10" s="246"/>
      <c r="H10" s="247"/>
      <c r="I10" s="247"/>
      <c r="J10" s="259"/>
      <c r="K10" s="260"/>
      <c r="L10" s="261"/>
      <c r="M10" s="279"/>
    </row>
    <row r="11" spans="1:13" ht="46.5" customHeight="1">
      <c r="A11" s="227"/>
      <c r="B11" s="226" t="s">
        <v>600</v>
      </c>
      <c r="C11" s="643" t="s">
        <v>107</v>
      </c>
      <c r="D11" s="644"/>
      <c r="E11" s="645"/>
      <c r="F11" s="242"/>
      <c r="G11" s="646" t="s">
        <v>110</v>
      </c>
      <c r="H11" s="646"/>
      <c r="I11" s="649"/>
      <c r="J11" s="650">
        <f>BEMSdar!E13</f>
        <v>34097.773249999998</v>
      </c>
      <c r="K11" s="651"/>
      <c r="L11" s="262"/>
      <c r="M11" s="280"/>
    </row>
    <row r="12" spans="1:13" s="200" customFormat="1" ht="27" customHeight="1">
      <c r="A12" s="231"/>
      <c r="B12" s="232"/>
      <c r="C12" s="229"/>
      <c r="D12" s="230"/>
      <c r="E12" s="245"/>
      <c r="F12" s="245"/>
      <c r="G12" s="246"/>
      <c r="H12" s="248"/>
      <c r="I12" s="263"/>
      <c r="J12" s="264"/>
      <c r="K12" s="265"/>
      <c r="L12" s="266"/>
      <c r="M12" s="281"/>
    </row>
    <row r="13" spans="1:13" s="201" customFormat="1" ht="17.25" customHeight="1">
      <c r="A13" s="233" t="s">
        <v>111</v>
      </c>
      <c r="B13" s="232"/>
      <c r="C13" s="228"/>
      <c r="D13" s="234"/>
      <c r="E13" s="234"/>
      <c r="F13" s="234"/>
      <c r="G13" s="249"/>
      <c r="H13" s="247"/>
      <c r="I13" s="247"/>
      <c r="J13" s="247"/>
      <c r="K13" s="267"/>
      <c r="L13" s="267"/>
      <c r="M13" s="282"/>
    </row>
    <row r="14" spans="1:13" s="201" customFormat="1" ht="17.25" customHeight="1">
      <c r="A14" s="233" t="s">
        <v>112</v>
      </c>
      <c r="B14" s="232"/>
      <c r="C14" s="228"/>
      <c r="D14" s="234"/>
      <c r="E14" s="234"/>
      <c r="F14" s="234"/>
      <c r="G14" s="249"/>
      <c r="H14" s="247"/>
      <c r="I14" s="247"/>
      <c r="J14" s="247"/>
      <c r="K14" s="267"/>
      <c r="L14" s="267"/>
      <c r="M14" s="282"/>
    </row>
    <row r="15" spans="1:13" s="201" customFormat="1" ht="17.25" customHeight="1">
      <c r="A15" s="233" t="s">
        <v>601</v>
      </c>
      <c r="B15" s="232"/>
      <c r="C15" s="228"/>
      <c r="D15" s="234"/>
      <c r="E15" s="234"/>
      <c r="F15" s="234"/>
      <c r="G15" s="249"/>
      <c r="H15" s="247"/>
      <c r="I15" s="247"/>
      <c r="J15" s="247"/>
      <c r="K15" s="267"/>
      <c r="L15" s="267"/>
      <c r="M15" s="282"/>
    </row>
    <row r="16" spans="1:13" s="201" customFormat="1" ht="17.25" customHeight="1">
      <c r="A16" s="233" t="s">
        <v>602</v>
      </c>
      <c r="B16" s="232"/>
      <c r="C16" s="228"/>
      <c r="D16" s="234"/>
      <c r="E16" s="234"/>
      <c r="F16" s="234"/>
      <c r="G16" s="249"/>
      <c r="H16" s="247"/>
      <c r="I16" s="247"/>
      <c r="J16" s="247"/>
      <c r="K16" s="267"/>
      <c r="L16" s="267"/>
      <c r="M16" s="282"/>
    </row>
    <row r="17" spans="1:14" s="201" customFormat="1" ht="17.25" customHeight="1">
      <c r="A17" s="233" t="s">
        <v>603</v>
      </c>
      <c r="B17" s="232"/>
      <c r="C17" s="228"/>
      <c r="D17" s="234"/>
      <c r="E17" s="234"/>
      <c r="F17" s="234"/>
      <c r="G17" s="249"/>
      <c r="H17" s="247"/>
      <c r="I17" s="247"/>
      <c r="J17" s="247"/>
      <c r="K17" s="267"/>
      <c r="L17" s="267"/>
      <c r="M17" s="282"/>
    </row>
    <row r="18" spans="1:14" ht="17.25" customHeight="1">
      <c r="A18" s="235"/>
      <c r="B18" s="232"/>
      <c r="C18" s="228"/>
      <c r="E18" s="250"/>
      <c r="F18" s="251"/>
      <c r="G18" s="252"/>
      <c r="H18" s="253"/>
      <c r="I18" s="253"/>
      <c r="J18" s="247"/>
      <c r="K18" s="265"/>
      <c r="L18" s="265"/>
      <c r="M18" s="282"/>
    </row>
    <row r="19" spans="1:14" s="202" customFormat="1" ht="36" customHeight="1">
      <c r="A19" s="652" t="s">
        <v>78</v>
      </c>
      <c r="B19" s="660" t="s">
        <v>117</v>
      </c>
      <c r="C19" s="661" t="s">
        <v>118</v>
      </c>
      <c r="D19" s="662" t="s">
        <v>119</v>
      </c>
      <c r="E19" s="664" t="s">
        <v>120</v>
      </c>
      <c r="F19" s="652" t="s">
        <v>121</v>
      </c>
      <c r="G19" s="665" t="s">
        <v>604</v>
      </c>
      <c r="H19" s="666" t="s">
        <v>605</v>
      </c>
      <c r="I19" s="666" t="s">
        <v>606</v>
      </c>
      <c r="J19" s="667" t="s">
        <v>131</v>
      </c>
      <c r="K19" s="668" t="s">
        <v>128</v>
      </c>
      <c r="L19" s="652" t="s">
        <v>607</v>
      </c>
      <c r="M19" s="652"/>
      <c r="N19" s="283"/>
    </row>
    <row r="20" spans="1:14" s="202" customFormat="1" ht="64.5" customHeight="1">
      <c r="A20" s="652"/>
      <c r="B20" s="660"/>
      <c r="C20" s="661"/>
      <c r="D20" s="663"/>
      <c r="E20" s="664"/>
      <c r="F20" s="652"/>
      <c r="G20" s="665"/>
      <c r="H20" s="666"/>
      <c r="I20" s="666"/>
      <c r="J20" s="667"/>
      <c r="K20" s="668"/>
      <c r="L20" s="236" t="s">
        <v>132</v>
      </c>
      <c r="M20" s="236" t="s">
        <v>133</v>
      </c>
      <c r="N20" s="283"/>
    </row>
    <row r="21" spans="1:14" s="203" customFormat="1" ht="78" customHeight="1">
      <c r="A21" s="653" t="s">
        <v>608</v>
      </c>
      <c r="B21" s="654"/>
      <c r="C21" s="654"/>
      <c r="D21" s="654"/>
      <c r="E21" s="654"/>
      <c r="F21" s="254"/>
      <c r="G21" s="255"/>
      <c r="H21" s="256"/>
      <c r="I21" s="256"/>
      <c r="J21" s="268"/>
      <c r="K21" s="269"/>
      <c r="L21" s="269"/>
      <c r="M21" s="269"/>
      <c r="N21" s="284"/>
    </row>
    <row r="22" spans="1:14" s="204" customFormat="1" ht="109.8">
      <c r="A22" s="237">
        <v>1</v>
      </c>
      <c r="B22" s="237" t="s">
        <v>1144</v>
      </c>
      <c r="C22" s="238" t="s">
        <v>1301</v>
      </c>
      <c r="D22" s="239">
        <f>VLOOKUP(B22,[13]AssetDetails_UEM!$A$3:$X$1848,22,FALSE)</f>
        <v>96230</v>
      </c>
      <c r="E22" s="237" t="s">
        <v>972</v>
      </c>
      <c r="F22" s="237" t="s">
        <v>1340</v>
      </c>
      <c r="G22" s="237" t="s">
        <v>1385</v>
      </c>
      <c r="H22" s="237" t="s">
        <v>145</v>
      </c>
      <c r="I22" s="270" t="s">
        <v>609</v>
      </c>
      <c r="J22" s="271" t="s">
        <v>147</v>
      </c>
      <c r="K22" s="272">
        <f t="shared" ref="K22:K83" si="0">ROUNDUP((D22/4999.99)*10,-1)</f>
        <v>200</v>
      </c>
      <c r="L22" s="273">
        <f t="shared" ref="L22:L81" si="1">IF(J22="N",0,K22)</f>
        <v>0</v>
      </c>
      <c r="M22" s="238" t="s">
        <v>1490</v>
      </c>
      <c r="N22" s="285"/>
    </row>
    <row r="23" spans="1:14" s="204" customFormat="1" ht="214.5" customHeight="1">
      <c r="A23" s="237">
        <v>2</v>
      </c>
      <c r="B23" s="237" t="s">
        <v>1145</v>
      </c>
      <c r="C23" s="238" t="s">
        <v>1302</v>
      </c>
      <c r="D23" s="239">
        <f>VLOOKUP(B23,[13]AssetDetails_UEM!$A$3:$X$1848,22,FALSE)</f>
        <v>84200</v>
      </c>
      <c r="E23" s="237" t="s">
        <v>973</v>
      </c>
      <c r="F23" s="237" t="s">
        <v>276</v>
      </c>
      <c r="G23" s="237" t="s">
        <v>1386</v>
      </c>
      <c r="H23" s="237" t="s">
        <v>1405</v>
      </c>
      <c r="I23" s="270" t="s">
        <v>609</v>
      </c>
      <c r="J23" s="271" t="s">
        <v>147</v>
      </c>
      <c r="K23" s="272">
        <f t="shared" si="0"/>
        <v>170</v>
      </c>
      <c r="L23" s="273">
        <f t="shared" si="1"/>
        <v>0</v>
      </c>
      <c r="M23" s="238" t="s">
        <v>1491</v>
      </c>
      <c r="N23" s="286"/>
    </row>
    <row r="24" spans="1:14" s="204" customFormat="1" ht="234.75" customHeight="1">
      <c r="A24" s="237">
        <v>3</v>
      </c>
      <c r="B24" s="237" t="s">
        <v>368</v>
      </c>
      <c r="C24" s="238" t="s">
        <v>1303</v>
      </c>
      <c r="D24" s="239">
        <f>VLOOKUP(B24,[13]AssetDetails_UEM!$A$3:$X$1848,22,FALSE)</f>
        <v>10225</v>
      </c>
      <c r="E24" s="237" t="s">
        <v>974</v>
      </c>
      <c r="F24" s="237" t="s">
        <v>276</v>
      </c>
      <c r="G24" s="237" t="s">
        <v>1386</v>
      </c>
      <c r="H24" s="237" t="s">
        <v>1406</v>
      </c>
      <c r="I24" s="270" t="s">
        <v>609</v>
      </c>
      <c r="J24" s="271" t="s">
        <v>147</v>
      </c>
      <c r="K24" s="272">
        <f t="shared" si="0"/>
        <v>30</v>
      </c>
      <c r="L24" s="273">
        <f t="shared" si="1"/>
        <v>0</v>
      </c>
      <c r="M24" s="502" t="s">
        <v>1491</v>
      </c>
      <c r="N24" s="285"/>
    </row>
    <row r="25" spans="1:14" s="204" customFormat="1" ht="208.5" customHeight="1">
      <c r="A25" s="237">
        <v>4</v>
      </c>
      <c r="B25" s="237" t="s">
        <v>1146</v>
      </c>
      <c r="C25" s="238" t="s">
        <v>1303</v>
      </c>
      <c r="D25" s="239">
        <f>VLOOKUP(B25,[13]AssetDetails_UEM!$A$3:$X$1848,22,FALSE)</f>
        <v>10225</v>
      </c>
      <c r="E25" s="237" t="s">
        <v>975</v>
      </c>
      <c r="F25" s="237" t="s">
        <v>276</v>
      </c>
      <c r="G25" s="237" t="s">
        <v>1386</v>
      </c>
      <c r="H25" s="237" t="s">
        <v>1407</v>
      </c>
      <c r="I25" s="270" t="s">
        <v>609</v>
      </c>
      <c r="J25" s="271" t="s">
        <v>147</v>
      </c>
      <c r="K25" s="272">
        <f t="shared" si="0"/>
        <v>30</v>
      </c>
      <c r="L25" s="273">
        <f t="shared" si="1"/>
        <v>0</v>
      </c>
      <c r="M25" s="502" t="s">
        <v>1539</v>
      </c>
      <c r="N25" s="285"/>
    </row>
    <row r="26" spans="1:14" s="205" customFormat="1" ht="239.25" customHeight="1">
      <c r="A26" s="237">
        <v>5</v>
      </c>
      <c r="B26" s="237" t="s">
        <v>1147</v>
      </c>
      <c r="C26" s="238" t="s">
        <v>1303</v>
      </c>
      <c r="D26" s="239">
        <f>VLOOKUP(B26,[13]AssetDetails_UEM!$A$3:$X$1848,22,FALSE)</f>
        <v>10225</v>
      </c>
      <c r="E26" s="237" t="s">
        <v>976</v>
      </c>
      <c r="F26" s="237" t="s">
        <v>276</v>
      </c>
      <c r="G26" s="237" t="s">
        <v>1386</v>
      </c>
      <c r="H26" s="237" t="s">
        <v>1408</v>
      </c>
      <c r="I26" s="270" t="s">
        <v>609</v>
      </c>
      <c r="J26" s="271" t="s">
        <v>147</v>
      </c>
      <c r="K26" s="272">
        <f t="shared" si="0"/>
        <v>30</v>
      </c>
      <c r="L26" s="273">
        <f t="shared" si="1"/>
        <v>0</v>
      </c>
      <c r="M26" s="502" t="s">
        <v>1491</v>
      </c>
    </row>
    <row r="27" spans="1:14" s="204" customFormat="1" ht="292.8">
      <c r="A27" s="237">
        <v>6</v>
      </c>
      <c r="B27" s="237" t="s">
        <v>1148</v>
      </c>
      <c r="C27" s="238" t="s">
        <v>1303</v>
      </c>
      <c r="D27" s="239">
        <f>VLOOKUP(B27,[13]AssetDetails_UEM!$A$3:$X$1848,22,FALSE)</f>
        <v>10225</v>
      </c>
      <c r="E27" s="237" t="s">
        <v>977</v>
      </c>
      <c r="F27" s="237" t="s">
        <v>276</v>
      </c>
      <c r="G27" s="237" t="s">
        <v>1386</v>
      </c>
      <c r="H27" s="237" t="s">
        <v>1409</v>
      </c>
      <c r="I27" s="270" t="s">
        <v>609</v>
      </c>
      <c r="J27" s="271" t="s">
        <v>147</v>
      </c>
      <c r="K27" s="272">
        <f t="shared" si="0"/>
        <v>30</v>
      </c>
      <c r="L27" s="273">
        <f t="shared" si="1"/>
        <v>0</v>
      </c>
      <c r="M27" s="238" t="s">
        <v>1492</v>
      </c>
      <c r="N27" s="285"/>
    </row>
    <row r="28" spans="1:14" s="204" customFormat="1" ht="256.2">
      <c r="A28" s="237">
        <v>7</v>
      </c>
      <c r="B28" s="237" t="s">
        <v>1149</v>
      </c>
      <c r="C28" s="238" t="s">
        <v>1303</v>
      </c>
      <c r="D28" s="239">
        <f>VLOOKUP(B28,[13]AssetDetails_UEM!$A$3:$X$1848,22,FALSE)</f>
        <v>10225</v>
      </c>
      <c r="E28" s="237" t="s">
        <v>978</v>
      </c>
      <c r="F28" s="237" t="s">
        <v>276</v>
      </c>
      <c r="G28" s="237" t="s">
        <v>1386</v>
      </c>
      <c r="H28" s="237" t="s">
        <v>1410</v>
      </c>
      <c r="I28" s="270" t="s">
        <v>609</v>
      </c>
      <c r="J28" s="271" t="s">
        <v>147</v>
      </c>
      <c r="K28" s="272">
        <f t="shared" si="0"/>
        <v>30</v>
      </c>
      <c r="L28" s="273">
        <f t="shared" si="1"/>
        <v>0</v>
      </c>
      <c r="M28" s="238" t="s">
        <v>1491</v>
      </c>
      <c r="N28" s="285"/>
    </row>
    <row r="29" spans="1:14" s="204" customFormat="1" ht="292.8">
      <c r="A29" s="237">
        <v>8</v>
      </c>
      <c r="B29" s="237" t="s">
        <v>1150</v>
      </c>
      <c r="C29" s="238" t="s">
        <v>1303</v>
      </c>
      <c r="D29" s="239">
        <f>VLOOKUP(B29,[13]AssetDetails_UEM!$A$3:$X$1848,22,FALSE)</f>
        <v>10225</v>
      </c>
      <c r="E29" s="237" t="s">
        <v>979</v>
      </c>
      <c r="F29" s="237" t="s">
        <v>276</v>
      </c>
      <c r="G29" s="237" t="s">
        <v>1386</v>
      </c>
      <c r="H29" s="237" t="s">
        <v>1411</v>
      </c>
      <c r="I29" s="270" t="s">
        <v>609</v>
      </c>
      <c r="J29" s="271" t="s">
        <v>147</v>
      </c>
      <c r="K29" s="272">
        <f t="shared" si="0"/>
        <v>30</v>
      </c>
      <c r="L29" s="273">
        <f t="shared" si="1"/>
        <v>0</v>
      </c>
      <c r="M29" s="238" t="s">
        <v>1492</v>
      </c>
      <c r="N29" s="285"/>
    </row>
    <row r="30" spans="1:14" s="204" customFormat="1" ht="256.2">
      <c r="A30" s="237">
        <v>9</v>
      </c>
      <c r="B30" s="237" t="s">
        <v>1151</v>
      </c>
      <c r="C30" s="238" t="s">
        <v>703</v>
      </c>
      <c r="D30" s="239">
        <f>VLOOKUP(B30,[13]AssetDetails_UEM!$A$3:$X$1848,22,FALSE)</f>
        <v>10825</v>
      </c>
      <c r="E30" s="237" t="s">
        <v>980</v>
      </c>
      <c r="F30" s="237" t="s">
        <v>276</v>
      </c>
      <c r="G30" s="237" t="s">
        <v>1386</v>
      </c>
      <c r="H30" s="237" t="s">
        <v>1410</v>
      </c>
      <c r="I30" s="270" t="s">
        <v>609</v>
      </c>
      <c r="J30" s="271" t="s">
        <v>147</v>
      </c>
      <c r="K30" s="272">
        <f t="shared" si="0"/>
        <v>30</v>
      </c>
      <c r="L30" s="273">
        <f t="shared" si="1"/>
        <v>0</v>
      </c>
      <c r="M30" s="502" t="s">
        <v>1491</v>
      </c>
      <c r="N30" s="285"/>
    </row>
    <row r="31" spans="1:14" s="204" customFormat="1" ht="256.2">
      <c r="A31" s="237">
        <v>10</v>
      </c>
      <c r="B31" s="237" t="s">
        <v>1152</v>
      </c>
      <c r="C31" s="238" t="s">
        <v>703</v>
      </c>
      <c r="D31" s="239">
        <f>VLOOKUP(B31,[13]AssetDetails_UEM!$A$3:$X$1848,22,FALSE)</f>
        <v>10825</v>
      </c>
      <c r="E31" s="237" t="s">
        <v>981</v>
      </c>
      <c r="F31" s="237" t="s">
        <v>276</v>
      </c>
      <c r="G31" s="237" t="s">
        <v>1386</v>
      </c>
      <c r="H31" s="237" t="s">
        <v>1412</v>
      </c>
      <c r="I31" s="270" t="s">
        <v>609</v>
      </c>
      <c r="J31" s="271" t="s">
        <v>147</v>
      </c>
      <c r="K31" s="272">
        <f t="shared" si="0"/>
        <v>30</v>
      </c>
      <c r="L31" s="273">
        <f t="shared" si="1"/>
        <v>0</v>
      </c>
      <c r="M31" s="502" t="s">
        <v>1491</v>
      </c>
      <c r="N31" s="285"/>
    </row>
    <row r="32" spans="1:14" s="204" customFormat="1" ht="146.4">
      <c r="A32" s="237">
        <v>11</v>
      </c>
      <c r="B32" s="237" t="s">
        <v>1153</v>
      </c>
      <c r="C32" s="238" t="s">
        <v>1304</v>
      </c>
      <c r="D32" s="239">
        <f>VLOOKUP(B32,[13]AssetDetails_UEM!$A$3:$X$1848,22,FALSE)</f>
        <v>10725</v>
      </c>
      <c r="E32" s="237" t="s">
        <v>982</v>
      </c>
      <c r="F32" s="237" t="s">
        <v>1341</v>
      </c>
      <c r="G32" s="237" t="s">
        <v>1386</v>
      </c>
      <c r="H32" s="237" t="s">
        <v>1413</v>
      </c>
      <c r="I32" s="270" t="s">
        <v>609</v>
      </c>
      <c r="J32" s="271" t="s">
        <v>147</v>
      </c>
      <c r="K32" s="272">
        <f t="shared" si="0"/>
        <v>30</v>
      </c>
      <c r="L32" s="273">
        <f t="shared" si="1"/>
        <v>0</v>
      </c>
      <c r="M32" s="238" t="s">
        <v>1493</v>
      </c>
      <c r="N32" s="285"/>
    </row>
    <row r="33" spans="1:14" s="204" customFormat="1" ht="143.1" customHeight="1">
      <c r="A33" s="237">
        <v>12</v>
      </c>
      <c r="B33" s="237" t="s">
        <v>1154</v>
      </c>
      <c r="C33" s="238" t="s">
        <v>1304</v>
      </c>
      <c r="D33" s="240">
        <f>VLOOKUP(B33,[13]AssetDetails_UEM!$A$3:$X$1848,22,FALSE)</f>
        <v>10725</v>
      </c>
      <c r="E33" s="237" t="s">
        <v>983</v>
      </c>
      <c r="F33" s="237" t="s">
        <v>1342</v>
      </c>
      <c r="G33" s="237" t="s">
        <v>1386</v>
      </c>
      <c r="H33" s="237" t="s">
        <v>1413</v>
      </c>
      <c r="I33" s="270" t="s">
        <v>609</v>
      </c>
      <c r="J33" s="271" t="s">
        <v>147</v>
      </c>
      <c r="K33" s="272">
        <f t="shared" si="0"/>
        <v>30</v>
      </c>
      <c r="L33" s="273">
        <f t="shared" si="1"/>
        <v>0</v>
      </c>
      <c r="M33" s="238" t="s">
        <v>1493</v>
      </c>
      <c r="N33" s="285"/>
    </row>
    <row r="34" spans="1:14" s="204" customFormat="1" ht="146.4">
      <c r="A34" s="237">
        <v>13</v>
      </c>
      <c r="B34" s="237" t="s">
        <v>1155</v>
      </c>
      <c r="C34" s="238" t="s">
        <v>1304</v>
      </c>
      <c r="D34" s="239">
        <f>VLOOKUP(B34,[13]AssetDetails_UEM!$A$3:$X$1848,22,FALSE)</f>
        <v>10725</v>
      </c>
      <c r="E34" s="237" t="s">
        <v>984</v>
      </c>
      <c r="F34" s="237" t="s">
        <v>1342</v>
      </c>
      <c r="G34" s="237" t="s">
        <v>1386</v>
      </c>
      <c r="H34" s="237" t="s">
        <v>1413</v>
      </c>
      <c r="I34" s="270" t="s">
        <v>609</v>
      </c>
      <c r="J34" s="271" t="s">
        <v>147</v>
      </c>
      <c r="K34" s="272">
        <f t="shared" si="0"/>
        <v>30</v>
      </c>
      <c r="L34" s="273">
        <f t="shared" si="1"/>
        <v>0</v>
      </c>
      <c r="M34" s="238" t="s">
        <v>1493</v>
      </c>
      <c r="N34" s="285"/>
    </row>
    <row r="35" spans="1:14" s="204" customFormat="1" ht="146.4">
      <c r="A35" s="237">
        <v>14</v>
      </c>
      <c r="B35" s="237" t="s">
        <v>1156</v>
      </c>
      <c r="C35" s="238" t="s">
        <v>1304</v>
      </c>
      <c r="D35" s="239">
        <f>VLOOKUP(B35,[13]AssetDetails_UEM!$A$3:$X$1848,22,FALSE)</f>
        <v>10725</v>
      </c>
      <c r="E35" s="237" t="s">
        <v>985</v>
      </c>
      <c r="F35" s="237" t="s">
        <v>1343</v>
      </c>
      <c r="G35" s="237" t="s">
        <v>1386</v>
      </c>
      <c r="H35" s="237" t="s">
        <v>1413</v>
      </c>
      <c r="I35" s="270" t="s">
        <v>609</v>
      </c>
      <c r="J35" s="271" t="s">
        <v>147</v>
      </c>
      <c r="K35" s="272">
        <f t="shared" si="0"/>
        <v>30</v>
      </c>
      <c r="L35" s="273">
        <f t="shared" si="1"/>
        <v>0</v>
      </c>
      <c r="M35" s="238" t="s">
        <v>1493</v>
      </c>
      <c r="N35" s="285"/>
    </row>
    <row r="36" spans="1:14" s="204" customFormat="1" ht="142.05000000000001" customHeight="1">
      <c r="A36" s="237">
        <v>15</v>
      </c>
      <c r="B36" s="237" t="s">
        <v>1157</v>
      </c>
      <c r="C36" s="238" t="s">
        <v>1304</v>
      </c>
      <c r="D36" s="239">
        <f>VLOOKUP(B36,[13]AssetDetails_UEM!$A$3:$X$1848,22,FALSE)</f>
        <v>10725</v>
      </c>
      <c r="E36" s="237" t="s">
        <v>986</v>
      </c>
      <c r="F36" s="237" t="s">
        <v>1343</v>
      </c>
      <c r="G36" s="237" t="s">
        <v>1386</v>
      </c>
      <c r="H36" s="237" t="s">
        <v>1413</v>
      </c>
      <c r="I36" s="270" t="s">
        <v>609</v>
      </c>
      <c r="J36" s="271" t="s">
        <v>147</v>
      </c>
      <c r="K36" s="272">
        <f t="shared" si="0"/>
        <v>30</v>
      </c>
      <c r="L36" s="273">
        <f t="shared" si="1"/>
        <v>0</v>
      </c>
      <c r="M36" s="238" t="s">
        <v>1493</v>
      </c>
      <c r="N36" s="285"/>
    </row>
    <row r="37" spans="1:14" s="204" customFormat="1" ht="146.4">
      <c r="A37" s="237">
        <v>16</v>
      </c>
      <c r="B37" s="237" t="s">
        <v>1158</v>
      </c>
      <c r="C37" s="238" t="s">
        <v>1304</v>
      </c>
      <c r="D37" s="239">
        <f>VLOOKUP(B37,[13]AssetDetails_UEM!$A$3:$X$1848,22,FALSE)</f>
        <v>10725</v>
      </c>
      <c r="E37" s="237" t="s">
        <v>987</v>
      </c>
      <c r="F37" s="237" t="s">
        <v>1343</v>
      </c>
      <c r="G37" s="237" t="s">
        <v>1386</v>
      </c>
      <c r="H37" s="237" t="s">
        <v>1413</v>
      </c>
      <c r="I37" s="270" t="s">
        <v>609</v>
      </c>
      <c r="J37" s="271" t="s">
        <v>147</v>
      </c>
      <c r="K37" s="272">
        <f t="shared" si="0"/>
        <v>30</v>
      </c>
      <c r="L37" s="273">
        <f t="shared" si="1"/>
        <v>0</v>
      </c>
      <c r="M37" s="238" t="s">
        <v>1493</v>
      </c>
      <c r="N37" s="285"/>
    </row>
    <row r="38" spans="1:14" s="204" customFormat="1" ht="146.4">
      <c r="A38" s="237">
        <v>17</v>
      </c>
      <c r="B38" s="237" t="s">
        <v>1159</v>
      </c>
      <c r="C38" s="238" t="s">
        <v>1304</v>
      </c>
      <c r="D38" s="239">
        <f>VLOOKUP(B38,[13]AssetDetails_UEM!$A$3:$X$1848,22,FALSE)</f>
        <v>10725</v>
      </c>
      <c r="E38" s="237" t="s">
        <v>988</v>
      </c>
      <c r="F38" s="237" t="s">
        <v>1343</v>
      </c>
      <c r="G38" s="237" t="s">
        <v>1386</v>
      </c>
      <c r="H38" s="237" t="s">
        <v>1413</v>
      </c>
      <c r="I38" s="270" t="s">
        <v>609</v>
      </c>
      <c r="J38" s="271" t="s">
        <v>147</v>
      </c>
      <c r="K38" s="272">
        <f t="shared" si="0"/>
        <v>30</v>
      </c>
      <c r="L38" s="273">
        <f t="shared" si="1"/>
        <v>0</v>
      </c>
      <c r="M38" s="238" t="s">
        <v>1493</v>
      </c>
      <c r="N38" s="285"/>
    </row>
    <row r="39" spans="1:14" s="204" customFormat="1" ht="256.2">
      <c r="A39" s="237">
        <v>18</v>
      </c>
      <c r="B39" s="237" t="s">
        <v>1160</v>
      </c>
      <c r="C39" s="238" t="s">
        <v>1305</v>
      </c>
      <c r="D39" s="239">
        <f>VLOOKUP(B39,[13]AssetDetails_UEM!$A$3:$X$1848,22,FALSE)</f>
        <v>6615</v>
      </c>
      <c r="E39" s="237" t="s">
        <v>989</v>
      </c>
      <c r="F39" s="237" t="s">
        <v>276</v>
      </c>
      <c r="G39" s="237" t="s">
        <v>1386</v>
      </c>
      <c r="H39" s="237" t="s">
        <v>1414</v>
      </c>
      <c r="I39" s="270" t="s">
        <v>609</v>
      </c>
      <c r="J39" s="271" t="s">
        <v>147</v>
      </c>
      <c r="K39" s="272">
        <f t="shared" si="0"/>
        <v>20</v>
      </c>
      <c r="L39" s="273">
        <f t="shared" si="1"/>
        <v>0</v>
      </c>
      <c r="M39" s="502" t="s">
        <v>1491</v>
      </c>
      <c r="N39" s="285"/>
    </row>
    <row r="40" spans="1:14" s="204" customFormat="1" ht="256.2">
      <c r="A40" s="237">
        <v>19</v>
      </c>
      <c r="B40" s="237" t="s">
        <v>1161</v>
      </c>
      <c r="C40" s="238" t="s">
        <v>1306</v>
      </c>
      <c r="D40" s="239">
        <f>VLOOKUP(B40,[13]AssetDetails_UEM!$A$3:$X$1848,22,FALSE)</f>
        <v>37408</v>
      </c>
      <c r="E40" s="237" t="s">
        <v>990</v>
      </c>
      <c r="F40" s="237" t="s">
        <v>1344</v>
      </c>
      <c r="G40" s="237" t="s">
        <v>1386</v>
      </c>
      <c r="H40" s="237" t="s">
        <v>1415</v>
      </c>
      <c r="I40" s="270" t="s">
        <v>609</v>
      </c>
      <c r="J40" s="271" t="s">
        <v>147</v>
      </c>
      <c r="K40" s="272">
        <f t="shared" si="0"/>
        <v>80</v>
      </c>
      <c r="L40" s="273">
        <f t="shared" si="1"/>
        <v>0</v>
      </c>
      <c r="M40" s="502" t="s">
        <v>1536</v>
      </c>
      <c r="N40" s="285"/>
    </row>
    <row r="41" spans="1:14" s="545" customFormat="1" ht="146.4">
      <c r="A41" s="237">
        <v>20</v>
      </c>
      <c r="B41" s="536" t="s">
        <v>1162</v>
      </c>
      <c r="C41" s="537" t="s">
        <v>730</v>
      </c>
      <c r="D41" s="538">
        <f>VLOOKUP(B41,[13]AssetDetails_UEM!$A$3:$X$1848,22,FALSE)</f>
        <v>87400</v>
      </c>
      <c r="E41" s="536" t="s">
        <v>991</v>
      </c>
      <c r="F41" s="536" t="s">
        <v>1345</v>
      </c>
      <c r="G41" s="536" t="s">
        <v>1386</v>
      </c>
      <c r="H41" s="539">
        <v>46146.416666666664</v>
      </c>
      <c r="I41" s="540" t="s">
        <v>609</v>
      </c>
      <c r="J41" s="541" t="s">
        <v>147</v>
      </c>
      <c r="K41" s="542">
        <f t="shared" si="0"/>
        <v>180</v>
      </c>
      <c r="L41" s="543">
        <f t="shared" si="1"/>
        <v>0</v>
      </c>
      <c r="M41" s="537" t="s">
        <v>1498</v>
      </c>
      <c r="N41" s="544"/>
    </row>
    <row r="42" spans="1:14" s="204" customFormat="1" ht="133.5" customHeight="1">
      <c r="A42" s="237">
        <v>21</v>
      </c>
      <c r="B42" s="237" t="s">
        <v>1164</v>
      </c>
      <c r="C42" s="238" t="s">
        <v>703</v>
      </c>
      <c r="D42" s="239">
        <f>VLOOKUP(B42,[13]AssetDetails_UEM!$A$3:$X$1848,22,FALSE)</f>
        <v>10825</v>
      </c>
      <c r="E42" s="237" t="s">
        <v>993</v>
      </c>
      <c r="F42" s="237" t="s">
        <v>167</v>
      </c>
      <c r="G42" s="237" t="s">
        <v>1388</v>
      </c>
      <c r="H42" s="237" t="s">
        <v>1416</v>
      </c>
      <c r="I42" s="270" t="s">
        <v>609</v>
      </c>
      <c r="J42" s="271" t="s">
        <v>147</v>
      </c>
      <c r="K42" s="272">
        <f t="shared" si="0"/>
        <v>30</v>
      </c>
      <c r="L42" s="273">
        <f t="shared" si="1"/>
        <v>0</v>
      </c>
      <c r="M42" s="238" t="s">
        <v>1495</v>
      </c>
      <c r="N42" s="285"/>
    </row>
    <row r="43" spans="1:14" s="204" customFormat="1" ht="130.5" customHeight="1">
      <c r="A43" s="237">
        <v>22</v>
      </c>
      <c r="B43" s="237" t="s">
        <v>1165</v>
      </c>
      <c r="C43" s="238" t="s">
        <v>703</v>
      </c>
      <c r="D43" s="239">
        <f>VLOOKUP(B43,[13]AssetDetails_UEM!$A$3:$X$1848,22,FALSE)</f>
        <v>10825</v>
      </c>
      <c r="E43" s="237" t="s">
        <v>994</v>
      </c>
      <c r="F43" s="237" t="s">
        <v>167</v>
      </c>
      <c r="G43" s="237" t="s">
        <v>1388</v>
      </c>
      <c r="H43" s="237" t="s">
        <v>1417</v>
      </c>
      <c r="I43" s="270" t="s">
        <v>609</v>
      </c>
      <c r="J43" s="271" t="s">
        <v>147</v>
      </c>
      <c r="K43" s="272">
        <f t="shared" si="0"/>
        <v>30</v>
      </c>
      <c r="L43" s="273">
        <f t="shared" si="1"/>
        <v>0</v>
      </c>
      <c r="M43" s="502" t="s">
        <v>1495</v>
      </c>
      <c r="N43" s="285"/>
    </row>
    <row r="44" spans="1:14" s="204" customFormat="1" ht="131.25" customHeight="1">
      <c r="A44" s="237">
        <v>23</v>
      </c>
      <c r="B44" s="237" t="s">
        <v>1166</v>
      </c>
      <c r="C44" s="238" t="s">
        <v>703</v>
      </c>
      <c r="D44" s="239">
        <f>VLOOKUP(B44,[13]AssetDetails_UEM!$A$3:$X$1848,22,FALSE)</f>
        <v>10825</v>
      </c>
      <c r="E44" s="237" t="s">
        <v>995</v>
      </c>
      <c r="F44" s="237" t="s">
        <v>167</v>
      </c>
      <c r="G44" s="237" t="s">
        <v>1388</v>
      </c>
      <c r="H44" s="237" t="s">
        <v>1418</v>
      </c>
      <c r="I44" s="270" t="s">
        <v>609</v>
      </c>
      <c r="J44" s="271" t="s">
        <v>147</v>
      </c>
      <c r="K44" s="272">
        <f t="shared" si="0"/>
        <v>30</v>
      </c>
      <c r="L44" s="273">
        <f t="shared" si="1"/>
        <v>0</v>
      </c>
      <c r="M44" s="502" t="s">
        <v>1537</v>
      </c>
      <c r="N44" s="285"/>
    </row>
    <row r="45" spans="1:14" s="204" customFormat="1" ht="104.25" customHeight="1">
      <c r="A45" s="237">
        <v>24</v>
      </c>
      <c r="B45" s="237" t="s">
        <v>1167</v>
      </c>
      <c r="C45" s="238" t="s">
        <v>703</v>
      </c>
      <c r="D45" s="239">
        <f>VLOOKUP(B45,[13]AssetDetails_UEM!$A$3:$X$1848,22,FALSE)</f>
        <v>10825</v>
      </c>
      <c r="E45" s="237" t="s">
        <v>996</v>
      </c>
      <c r="F45" s="237" t="s">
        <v>167</v>
      </c>
      <c r="G45" s="237" t="s">
        <v>1388</v>
      </c>
      <c r="H45" s="237" t="s">
        <v>1419</v>
      </c>
      <c r="I45" s="270" t="s">
        <v>609</v>
      </c>
      <c r="J45" s="271" t="s">
        <v>147</v>
      </c>
      <c r="K45" s="272">
        <f t="shared" si="0"/>
        <v>30</v>
      </c>
      <c r="L45" s="273">
        <f t="shared" si="1"/>
        <v>0</v>
      </c>
      <c r="M45" s="502" t="s">
        <v>1538</v>
      </c>
      <c r="N45" s="285"/>
    </row>
    <row r="46" spans="1:14" s="204" customFormat="1" ht="150" customHeight="1">
      <c r="A46" s="237">
        <v>25</v>
      </c>
      <c r="B46" s="237" t="s">
        <v>1168</v>
      </c>
      <c r="C46" s="238" t="s">
        <v>1308</v>
      </c>
      <c r="D46" s="239">
        <f>VLOOKUP(B46,[13]AssetDetails_UEM!$A$3:$X$1848,22,FALSE)</f>
        <v>16240</v>
      </c>
      <c r="E46" s="237" t="s">
        <v>997</v>
      </c>
      <c r="F46" s="237" t="s">
        <v>1346</v>
      </c>
      <c r="G46" s="237" t="s">
        <v>1389</v>
      </c>
      <c r="H46" s="237" t="s">
        <v>1420</v>
      </c>
      <c r="I46" s="270" t="s">
        <v>609</v>
      </c>
      <c r="J46" s="271" t="s">
        <v>147</v>
      </c>
      <c r="K46" s="272">
        <f t="shared" si="0"/>
        <v>40</v>
      </c>
      <c r="L46" s="273">
        <f t="shared" si="1"/>
        <v>0</v>
      </c>
      <c r="M46" s="238" t="s">
        <v>1497</v>
      </c>
      <c r="N46" s="285"/>
    </row>
    <row r="47" spans="1:14" s="204" customFormat="1" ht="147" customHeight="1">
      <c r="A47" s="237">
        <v>26</v>
      </c>
      <c r="B47" s="237" t="s">
        <v>1169</v>
      </c>
      <c r="C47" s="238" t="s">
        <v>1309</v>
      </c>
      <c r="D47" s="239">
        <f>VLOOKUP(B47,[13]AssetDetails_UEM!$A$3:$X$1848,22,FALSE)</f>
        <v>14435</v>
      </c>
      <c r="E47" s="237" t="s">
        <v>998</v>
      </c>
      <c r="F47" s="237" t="s">
        <v>140</v>
      </c>
      <c r="G47" s="237" t="s">
        <v>1389</v>
      </c>
      <c r="H47" s="237" t="s">
        <v>1421</v>
      </c>
      <c r="I47" s="270" t="s">
        <v>609</v>
      </c>
      <c r="J47" s="271" t="s">
        <v>147</v>
      </c>
      <c r="K47" s="272">
        <f t="shared" si="0"/>
        <v>30</v>
      </c>
      <c r="L47" s="273">
        <f t="shared" si="1"/>
        <v>0</v>
      </c>
      <c r="M47" s="238" t="s">
        <v>1498</v>
      </c>
      <c r="N47" s="285"/>
    </row>
    <row r="48" spans="1:14" s="204" customFormat="1" ht="109.8">
      <c r="A48" s="237">
        <v>27</v>
      </c>
      <c r="B48" s="237" t="s">
        <v>1170</v>
      </c>
      <c r="C48" s="238" t="s">
        <v>1309</v>
      </c>
      <c r="D48" s="239">
        <f>VLOOKUP(B48,[13]AssetDetails_UEM!$A$3:$X$1848,22,FALSE)</f>
        <v>14435</v>
      </c>
      <c r="E48" s="237" t="s">
        <v>999</v>
      </c>
      <c r="F48" s="237" t="s">
        <v>1347</v>
      </c>
      <c r="G48" s="237" t="s">
        <v>1389</v>
      </c>
      <c r="H48" s="237" t="s">
        <v>1422</v>
      </c>
      <c r="I48" s="270" t="s">
        <v>609</v>
      </c>
      <c r="J48" s="271" t="s">
        <v>147</v>
      </c>
      <c r="K48" s="272">
        <f t="shared" si="0"/>
        <v>30</v>
      </c>
      <c r="L48" s="273">
        <f t="shared" si="1"/>
        <v>0</v>
      </c>
      <c r="M48" s="238" t="s">
        <v>1499</v>
      </c>
      <c r="N48" s="285"/>
    </row>
    <row r="49" spans="1:14" s="204" customFormat="1" ht="127.05" customHeight="1">
      <c r="A49" s="237">
        <v>28</v>
      </c>
      <c r="B49" s="237" t="s">
        <v>1171</v>
      </c>
      <c r="C49" s="238" t="s">
        <v>916</v>
      </c>
      <c r="D49" s="239">
        <f>VLOOKUP(B49,[13]AssetDetails_UEM!$A$3:$X$1848,22,FALSE)</f>
        <v>68500</v>
      </c>
      <c r="E49" s="237" t="s">
        <v>1000</v>
      </c>
      <c r="F49" s="237" t="s">
        <v>1348</v>
      </c>
      <c r="G49" s="237" t="s">
        <v>1389</v>
      </c>
      <c r="H49" s="237" t="s">
        <v>1423</v>
      </c>
      <c r="I49" s="270" t="s">
        <v>609</v>
      </c>
      <c r="J49" s="271" t="s">
        <v>147</v>
      </c>
      <c r="K49" s="272">
        <f t="shared" si="0"/>
        <v>140</v>
      </c>
      <c r="L49" s="273">
        <f t="shared" si="1"/>
        <v>0</v>
      </c>
      <c r="M49" s="238" t="s">
        <v>1496</v>
      </c>
      <c r="N49" s="285"/>
    </row>
    <row r="50" spans="1:14" s="204" customFormat="1" ht="146.4">
      <c r="A50" s="237">
        <v>29</v>
      </c>
      <c r="B50" s="237" t="s">
        <v>1173</v>
      </c>
      <c r="C50" s="238" t="s">
        <v>653</v>
      </c>
      <c r="D50" s="239">
        <f>VLOOKUP(B50,[13]AssetDetails_UEM!$A$3:$X$1848,22,FALSE)</f>
        <v>8295.6</v>
      </c>
      <c r="E50" s="237" t="s">
        <v>1002</v>
      </c>
      <c r="F50" s="237" t="s">
        <v>634</v>
      </c>
      <c r="G50" s="237" t="s">
        <v>1390</v>
      </c>
      <c r="H50" s="237" t="s">
        <v>1424</v>
      </c>
      <c r="I50" s="270" t="s">
        <v>609</v>
      </c>
      <c r="J50" s="271" t="s">
        <v>147</v>
      </c>
      <c r="K50" s="272">
        <f t="shared" si="0"/>
        <v>20</v>
      </c>
      <c r="L50" s="273">
        <f t="shared" si="1"/>
        <v>0</v>
      </c>
      <c r="M50" s="238" t="s">
        <v>1500</v>
      </c>
      <c r="N50" s="522" t="s">
        <v>595</v>
      </c>
    </row>
    <row r="51" spans="1:14" s="545" customFormat="1" ht="135" customHeight="1">
      <c r="A51" s="237">
        <v>30</v>
      </c>
      <c r="B51" s="536" t="s">
        <v>322</v>
      </c>
      <c r="C51" s="537" t="s">
        <v>908</v>
      </c>
      <c r="D51" s="546">
        <f>VLOOKUP(B51,[13]AssetDetails_UEM!$A$3:$X$1848,22,FALSE)</f>
        <v>12049370</v>
      </c>
      <c r="E51" s="536" t="s">
        <v>1003</v>
      </c>
      <c r="F51" s="536" t="s">
        <v>324</v>
      </c>
      <c r="G51" s="536" t="s">
        <v>1390</v>
      </c>
      <c r="H51" s="539">
        <v>46150.75</v>
      </c>
      <c r="I51" s="540" t="s">
        <v>609</v>
      </c>
      <c r="J51" s="541" t="s">
        <v>147</v>
      </c>
      <c r="K51" s="542">
        <f t="shared" si="0"/>
        <v>24100</v>
      </c>
      <c r="L51" s="543">
        <f t="shared" si="1"/>
        <v>0</v>
      </c>
      <c r="M51" s="537" t="s">
        <v>1501</v>
      </c>
      <c r="N51" s="544"/>
    </row>
    <row r="52" spans="1:14" s="204" customFormat="1" ht="109.8">
      <c r="A52" s="237">
        <v>31</v>
      </c>
      <c r="B52" s="237" t="s">
        <v>1174</v>
      </c>
      <c r="C52" s="238" t="s">
        <v>1308</v>
      </c>
      <c r="D52" s="239">
        <f>VLOOKUP(B52,[13]AssetDetails_UEM!$A$3:$X$1848,22,FALSE)</f>
        <v>16240</v>
      </c>
      <c r="E52" s="237" t="s">
        <v>1004</v>
      </c>
      <c r="F52" s="237" t="s">
        <v>377</v>
      </c>
      <c r="G52" s="237" t="s">
        <v>1390</v>
      </c>
      <c r="H52" s="237" t="s">
        <v>1425</v>
      </c>
      <c r="I52" s="270" t="s">
        <v>609</v>
      </c>
      <c r="J52" s="271" t="s">
        <v>147</v>
      </c>
      <c r="K52" s="272">
        <f t="shared" si="0"/>
        <v>40</v>
      </c>
      <c r="L52" s="273">
        <f t="shared" si="1"/>
        <v>0</v>
      </c>
      <c r="M52" s="238" t="s">
        <v>1501</v>
      </c>
      <c r="N52" s="285"/>
    </row>
    <row r="53" spans="1:14" s="204" customFormat="1" ht="109.8">
      <c r="A53" s="237">
        <v>32</v>
      </c>
      <c r="B53" s="237" t="s">
        <v>1175</v>
      </c>
      <c r="C53" s="238" t="s">
        <v>1310</v>
      </c>
      <c r="D53" s="239">
        <f>VLOOKUP(B53,[13]AssetDetails_UEM!$A$3:$X$1848,22,FALSE)</f>
        <v>1200</v>
      </c>
      <c r="E53" s="237" t="s">
        <v>1005</v>
      </c>
      <c r="F53" s="237" t="s">
        <v>377</v>
      </c>
      <c r="G53" s="237" t="s">
        <v>1390</v>
      </c>
      <c r="H53" s="237" t="s">
        <v>1426</v>
      </c>
      <c r="I53" s="270" t="s">
        <v>609</v>
      </c>
      <c r="J53" s="271" t="s">
        <v>147</v>
      </c>
      <c r="K53" s="272">
        <f t="shared" si="0"/>
        <v>10</v>
      </c>
      <c r="L53" s="273">
        <f t="shared" si="1"/>
        <v>0</v>
      </c>
      <c r="M53" s="238" t="s">
        <v>1499</v>
      </c>
      <c r="N53" s="285"/>
    </row>
    <row r="54" spans="1:14" s="545" customFormat="1" ht="146.4">
      <c r="A54" s="237">
        <v>33</v>
      </c>
      <c r="B54" s="536" t="s">
        <v>1176</v>
      </c>
      <c r="C54" s="537" t="s">
        <v>730</v>
      </c>
      <c r="D54" s="546">
        <f>VLOOKUP(B54,[13]AssetDetails_UEM!$A$3:$X$1848,22,FALSE)</f>
        <v>87400</v>
      </c>
      <c r="E54" s="536" t="s">
        <v>1006</v>
      </c>
      <c r="F54" s="536" t="s">
        <v>1345</v>
      </c>
      <c r="G54" s="536" t="s">
        <v>1390</v>
      </c>
      <c r="H54" s="539">
        <v>46150.625</v>
      </c>
      <c r="I54" s="540" t="s">
        <v>609</v>
      </c>
      <c r="J54" s="541" t="s">
        <v>147</v>
      </c>
      <c r="K54" s="542">
        <f t="shared" si="0"/>
        <v>180</v>
      </c>
      <c r="L54" s="543">
        <f t="shared" si="1"/>
        <v>0</v>
      </c>
      <c r="M54" s="537" t="s">
        <v>1499</v>
      </c>
      <c r="N54" s="544"/>
    </row>
    <row r="55" spans="1:14" s="204" customFormat="1" ht="256.2">
      <c r="A55" s="237">
        <v>34</v>
      </c>
      <c r="B55" s="237" t="s">
        <v>1177</v>
      </c>
      <c r="C55" s="238" t="s">
        <v>1311</v>
      </c>
      <c r="D55" s="239">
        <f>VLOOKUP(B55,[13]AssetDetails_UEM!$A$3:$X$1848,22,FALSE)</f>
        <v>62550</v>
      </c>
      <c r="E55" s="237" t="s">
        <v>1007</v>
      </c>
      <c r="F55" s="237" t="s">
        <v>1349</v>
      </c>
      <c r="G55" s="237" t="s">
        <v>1390</v>
      </c>
      <c r="H55" s="237" t="s">
        <v>1427</v>
      </c>
      <c r="I55" s="270" t="s">
        <v>609</v>
      </c>
      <c r="J55" s="271" t="s">
        <v>147</v>
      </c>
      <c r="K55" s="272">
        <f t="shared" si="0"/>
        <v>130</v>
      </c>
      <c r="L55" s="273">
        <f t="shared" si="1"/>
        <v>0</v>
      </c>
      <c r="M55" s="502" t="s">
        <v>1536</v>
      </c>
      <c r="N55" s="285"/>
    </row>
    <row r="56" spans="1:14" s="206" customFormat="1" ht="146.4">
      <c r="A56" s="237">
        <v>35</v>
      </c>
      <c r="B56" s="237" t="s">
        <v>1178</v>
      </c>
      <c r="C56" s="238" t="s">
        <v>920</v>
      </c>
      <c r="D56" s="241">
        <f>VLOOKUP(B56,[13]AssetDetails_UEM!$A$3:$X$1848,22,FALSE)</f>
        <v>133788</v>
      </c>
      <c r="E56" s="237" t="s">
        <v>1008</v>
      </c>
      <c r="F56" s="237" t="s">
        <v>969</v>
      </c>
      <c r="G56" s="237" t="s">
        <v>1390</v>
      </c>
      <c r="H56" s="237" t="s">
        <v>1425</v>
      </c>
      <c r="I56" s="274" t="s">
        <v>609</v>
      </c>
      <c r="J56" s="275" t="s">
        <v>147</v>
      </c>
      <c r="K56" s="272">
        <f t="shared" si="0"/>
        <v>270</v>
      </c>
      <c r="L56" s="276">
        <f t="shared" si="1"/>
        <v>0</v>
      </c>
      <c r="M56" s="502" t="s">
        <v>1540</v>
      </c>
      <c r="N56" s="287"/>
    </row>
    <row r="57" spans="1:14" s="204" customFormat="1" ht="142.5" customHeight="1">
      <c r="A57" s="237">
        <v>36</v>
      </c>
      <c r="B57" s="237" t="s">
        <v>1179</v>
      </c>
      <c r="C57" s="238" t="s">
        <v>916</v>
      </c>
      <c r="D57" s="239">
        <f>VLOOKUP(B57,[13]AssetDetails_UEM!$A$3:$X$1848,22,FALSE)</f>
        <v>125000</v>
      </c>
      <c r="E57" s="237" t="s">
        <v>1009</v>
      </c>
      <c r="F57" s="237" t="s">
        <v>1350</v>
      </c>
      <c r="G57" s="237" t="s">
        <v>1390</v>
      </c>
      <c r="H57" s="237" t="s">
        <v>201</v>
      </c>
      <c r="I57" s="270" t="s">
        <v>609</v>
      </c>
      <c r="J57" s="271" t="s">
        <v>147</v>
      </c>
      <c r="K57" s="272">
        <f t="shared" si="0"/>
        <v>260</v>
      </c>
      <c r="L57" s="273">
        <f t="shared" si="1"/>
        <v>0</v>
      </c>
      <c r="M57" s="238" t="s">
        <v>1502</v>
      </c>
      <c r="N57" s="285"/>
    </row>
    <row r="58" spans="1:14" s="204" customFormat="1" ht="126.75" customHeight="1">
      <c r="A58" s="237">
        <v>37</v>
      </c>
      <c r="B58" s="237" t="s">
        <v>1180</v>
      </c>
      <c r="C58" s="238" t="s">
        <v>1312</v>
      </c>
      <c r="D58" s="239">
        <f>VLOOKUP(B58,[13]AssetDetails_UEM!$A$3:$X$1848,22,FALSE)</f>
        <v>10000</v>
      </c>
      <c r="E58" s="237" t="s">
        <v>1010</v>
      </c>
      <c r="F58" s="237" t="s">
        <v>1351</v>
      </c>
      <c r="G58" s="237" t="s">
        <v>1390</v>
      </c>
      <c r="H58" s="237" t="s">
        <v>1428</v>
      </c>
      <c r="I58" s="270" t="s">
        <v>609</v>
      </c>
      <c r="J58" s="271" t="s">
        <v>147</v>
      </c>
      <c r="K58" s="272">
        <f t="shared" si="0"/>
        <v>30</v>
      </c>
      <c r="L58" s="273">
        <f t="shared" si="1"/>
        <v>0</v>
      </c>
      <c r="M58" s="502" t="s">
        <v>1499</v>
      </c>
      <c r="N58" s="285"/>
    </row>
    <row r="59" spans="1:14" s="545" customFormat="1" ht="128.25" customHeight="1">
      <c r="A59" s="237">
        <v>38</v>
      </c>
      <c r="B59" s="536" t="s">
        <v>1181</v>
      </c>
      <c r="C59" s="537" t="s">
        <v>1313</v>
      </c>
      <c r="D59" s="546">
        <f>VLOOKUP(B59,[13]AssetDetails_UEM!$A$3:$X$1848,22,FALSE)</f>
        <v>10585</v>
      </c>
      <c r="E59" s="536" t="s">
        <v>1011</v>
      </c>
      <c r="F59" s="536" t="s">
        <v>1352</v>
      </c>
      <c r="G59" s="536" t="s">
        <v>1390</v>
      </c>
      <c r="H59" s="539">
        <v>46150.375</v>
      </c>
      <c r="I59" s="540" t="s">
        <v>609</v>
      </c>
      <c r="J59" s="541" t="s">
        <v>147</v>
      </c>
      <c r="K59" s="542">
        <f t="shared" si="0"/>
        <v>30</v>
      </c>
      <c r="L59" s="543">
        <f t="shared" si="1"/>
        <v>0</v>
      </c>
      <c r="M59" s="537" t="s">
        <v>1499</v>
      </c>
      <c r="N59" s="544"/>
    </row>
    <row r="60" spans="1:14" s="204" customFormat="1" ht="163.5" customHeight="1">
      <c r="A60" s="237">
        <v>39</v>
      </c>
      <c r="B60" s="237" t="s">
        <v>1182</v>
      </c>
      <c r="C60" s="238" t="s">
        <v>1303</v>
      </c>
      <c r="D60" s="239">
        <f>VLOOKUP(B60,[13]AssetDetails_UEM!$A$3:$X$1848,22,FALSE)</f>
        <v>10225</v>
      </c>
      <c r="E60" s="237" t="s">
        <v>1012</v>
      </c>
      <c r="F60" s="237" t="s">
        <v>167</v>
      </c>
      <c r="G60" s="237" t="s">
        <v>1391</v>
      </c>
      <c r="H60" s="237" t="s">
        <v>229</v>
      </c>
      <c r="I60" s="270" t="s">
        <v>609</v>
      </c>
      <c r="J60" s="271" t="s">
        <v>147</v>
      </c>
      <c r="K60" s="272">
        <f t="shared" si="0"/>
        <v>30</v>
      </c>
      <c r="L60" s="273">
        <f t="shared" si="1"/>
        <v>0</v>
      </c>
      <c r="M60" s="502" t="s">
        <v>1537</v>
      </c>
      <c r="N60" s="285"/>
    </row>
    <row r="61" spans="1:14" s="204" customFormat="1" ht="109.8">
      <c r="A61" s="237">
        <v>40</v>
      </c>
      <c r="B61" s="237" t="s">
        <v>1183</v>
      </c>
      <c r="C61" s="238" t="s">
        <v>1303</v>
      </c>
      <c r="D61" s="239">
        <f>VLOOKUP(B61,[13]AssetDetails_UEM!$A$3:$X$1848,22,FALSE)</f>
        <v>10225</v>
      </c>
      <c r="E61" s="237" t="s">
        <v>1013</v>
      </c>
      <c r="F61" s="237" t="s">
        <v>167</v>
      </c>
      <c r="G61" s="237" t="s">
        <v>1391</v>
      </c>
      <c r="H61" s="237" t="s">
        <v>1429</v>
      </c>
      <c r="I61" s="270" t="s">
        <v>609</v>
      </c>
      <c r="J61" s="271" t="s">
        <v>147</v>
      </c>
      <c r="K61" s="272">
        <f t="shared" si="0"/>
        <v>30</v>
      </c>
      <c r="L61" s="273">
        <f t="shared" si="1"/>
        <v>0</v>
      </c>
      <c r="M61" s="238" t="s">
        <v>1496</v>
      </c>
      <c r="N61" s="285"/>
    </row>
    <row r="62" spans="1:14" s="204" customFormat="1" ht="109.8">
      <c r="A62" s="237">
        <v>41</v>
      </c>
      <c r="B62" s="237" t="s">
        <v>1184</v>
      </c>
      <c r="C62" s="238" t="s">
        <v>703</v>
      </c>
      <c r="D62" s="239">
        <f>VLOOKUP(B62,[13]AssetDetails_UEM!$A$3:$X$1848,22,FALSE)</f>
        <v>10825</v>
      </c>
      <c r="E62" s="237" t="s">
        <v>1014</v>
      </c>
      <c r="F62" s="237" t="s">
        <v>167</v>
      </c>
      <c r="G62" s="237" t="s">
        <v>1391</v>
      </c>
      <c r="H62" s="237" t="s">
        <v>1430</v>
      </c>
      <c r="I62" s="270" t="s">
        <v>609</v>
      </c>
      <c r="J62" s="271" t="s">
        <v>147</v>
      </c>
      <c r="K62" s="272">
        <f t="shared" si="0"/>
        <v>30</v>
      </c>
      <c r="L62" s="273">
        <f t="shared" si="1"/>
        <v>0</v>
      </c>
      <c r="M62" s="238" t="s">
        <v>1503</v>
      </c>
      <c r="N62" s="285"/>
    </row>
    <row r="63" spans="1:14" s="204" customFormat="1" ht="144" customHeight="1">
      <c r="A63" s="237">
        <v>42</v>
      </c>
      <c r="B63" s="237" t="s">
        <v>435</v>
      </c>
      <c r="C63" s="238" t="s">
        <v>703</v>
      </c>
      <c r="D63" s="239">
        <f>VLOOKUP(B63,[13]AssetDetails_UEM!$A$3:$X$1848,22,FALSE)</f>
        <v>10825</v>
      </c>
      <c r="E63" s="237" t="s">
        <v>1015</v>
      </c>
      <c r="F63" s="237" t="s">
        <v>167</v>
      </c>
      <c r="G63" s="237" t="s">
        <v>1391</v>
      </c>
      <c r="H63" s="237" t="s">
        <v>216</v>
      </c>
      <c r="I63" s="270" t="s">
        <v>609</v>
      </c>
      <c r="J63" s="271" t="s">
        <v>147</v>
      </c>
      <c r="K63" s="272">
        <f t="shared" si="0"/>
        <v>30</v>
      </c>
      <c r="L63" s="273">
        <f t="shared" si="1"/>
        <v>0</v>
      </c>
      <c r="M63" s="502" t="s">
        <v>1495</v>
      </c>
      <c r="N63" s="285"/>
    </row>
    <row r="64" spans="1:14" s="206" customFormat="1" ht="152.25" customHeight="1">
      <c r="A64" s="237">
        <v>43</v>
      </c>
      <c r="B64" s="237" t="s">
        <v>1185</v>
      </c>
      <c r="C64" s="238" t="s">
        <v>703</v>
      </c>
      <c r="D64" s="241">
        <f>VLOOKUP(B64,[13]AssetDetails_UEM!$A$3:$X$1848,22,FALSE)</f>
        <v>10825</v>
      </c>
      <c r="E64" s="237" t="s">
        <v>1016</v>
      </c>
      <c r="F64" s="237" t="s">
        <v>167</v>
      </c>
      <c r="G64" s="237" t="s">
        <v>1391</v>
      </c>
      <c r="H64" s="237" t="s">
        <v>1431</v>
      </c>
      <c r="I64" s="274" t="s">
        <v>609</v>
      </c>
      <c r="J64" s="275" t="s">
        <v>147</v>
      </c>
      <c r="K64" s="272">
        <f t="shared" si="0"/>
        <v>30</v>
      </c>
      <c r="L64" s="276">
        <f t="shared" si="1"/>
        <v>0</v>
      </c>
      <c r="M64" s="502" t="s">
        <v>1495</v>
      </c>
      <c r="N64" s="287"/>
    </row>
    <row r="65" spans="1:14" s="204" customFormat="1" ht="109.8">
      <c r="A65" s="237">
        <v>44</v>
      </c>
      <c r="B65" s="237" t="s">
        <v>1186</v>
      </c>
      <c r="C65" s="238" t="s">
        <v>703</v>
      </c>
      <c r="D65" s="239">
        <f>VLOOKUP(B65,[13]AssetDetails_UEM!$A$3:$X$1848,22,FALSE)</f>
        <v>10825</v>
      </c>
      <c r="E65" s="237" t="s">
        <v>1017</v>
      </c>
      <c r="F65" s="237" t="s">
        <v>167</v>
      </c>
      <c r="G65" s="237" t="s">
        <v>1391</v>
      </c>
      <c r="H65" s="237" t="s">
        <v>1432</v>
      </c>
      <c r="I65" s="270" t="s">
        <v>609</v>
      </c>
      <c r="J65" s="271" t="s">
        <v>147</v>
      </c>
      <c r="K65" s="272">
        <f t="shared" si="0"/>
        <v>30</v>
      </c>
      <c r="L65" s="273">
        <f t="shared" si="1"/>
        <v>0</v>
      </c>
      <c r="M65" s="238" t="s">
        <v>1496</v>
      </c>
      <c r="N65" s="285"/>
    </row>
    <row r="66" spans="1:14" s="204" customFormat="1" ht="128.25" customHeight="1">
      <c r="A66" s="237">
        <v>45</v>
      </c>
      <c r="B66" s="237" t="s">
        <v>1187</v>
      </c>
      <c r="C66" s="238" t="s">
        <v>703</v>
      </c>
      <c r="D66" s="239">
        <f>VLOOKUP(B66,[13]AssetDetails_UEM!$A$3:$X$1848,22,FALSE)</f>
        <v>10825</v>
      </c>
      <c r="E66" s="237" t="s">
        <v>1018</v>
      </c>
      <c r="F66" s="237" t="s">
        <v>167</v>
      </c>
      <c r="G66" s="237" t="s">
        <v>1391</v>
      </c>
      <c r="H66" s="237" t="s">
        <v>1433</v>
      </c>
      <c r="I66" s="270" t="s">
        <v>609</v>
      </c>
      <c r="J66" s="271" t="s">
        <v>147</v>
      </c>
      <c r="K66" s="272">
        <f t="shared" si="0"/>
        <v>30</v>
      </c>
      <c r="L66" s="273">
        <f t="shared" si="1"/>
        <v>0</v>
      </c>
      <c r="M66" s="238" t="s">
        <v>1496</v>
      </c>
      <c r="N66" s="285"/>
    </row>
    <row r="67" spans="1:14" s="206" customFormat="1" ht="119.25" customHeight="1">
      <c r="A67" s="237">
        <v>46</v>
      </c>
      <c r="B67" s="237" t="s">
        <v>1188</v>
      </c>
      <c r="C67" s="238" t="s">
        <v>703</v>
      </c>
      <c r="D67" s="241">
        <f>VLOOKUP(B67,[13]AssetDetails_UEM!$A$3:$X$1848,22,FALSE)</f>
        <v>10825</v>
      </c>
      <c r="E67" s="237" t="s">
        <v>1019</v>
      </c>
      <c r="F67" s="237" t="s">
        <v>175</v>
      </c>
      <c r="G67" s="237" t="s">
        <v>1391</v>
      </c>
      <c r="H67" s="237" t="s">
        <v>237</v>
      </c>
      <c r="I67" s="274" t="s">
        <v>609</v>
      </c>
      <c r="J67" s="275" t="s">
        <v>147</v>
      </c>
      <c r="K67" s="288">
        <f t="shared" si="0"/>
        <v>30</v>
      </c>
      <c r="L67" s="276">
        <f t="shared" si="1"/>
        <v>0</v>
      </c>
      <c r="M67" s="238" t="s">
        <v>1504</v>
      </c>
      <c r="N67" s="287"/>
    </row>
    <row r="68" spans="1:14" s="204" customFormat="1" ht="109.8">
      <c r="A68" s="237">
        <v>47</v>
      </c>
      <c r="B68" s="237" t="s">
        <v>1189</v>
      </c>
      <c r="C68" s="238" t="s">
        <v>703</v>
      </c>
      <c r="D68" s="239">
        <f>VLOOKUP(B68,[13]AssetDetails_UEM!$A$3:$X$1848,22,FALSE)</f>
        <v>10825</v>
      </c>
      <c r="E68" s="237" t="s">
        <v>1020</v>
      </c>
      <c r="F68" s="237" t="s">
        <v>175</v>
      </c>
      <c r="G68" s="237" t="s">
        <v>1391</v>
      </c>
      <c r="H68" s="237" t="s">
        <v>222</v>
      </c>
      <c r="I68" s="270" t="s">
        <v>609</v>
      </c>
      <c r="J68" s="271" t="s">
        <v>147</v>
      </c>
      <c r="K68" s="272">
        <f t="shared" si="0"/>
        <v>30</v>
      </c>
      <c r="L68" s="273">
        <f t="shared" si="1"/>
        <v>0</v>
      </c>
      <c r="M68" s="238" t="s">
        <v>1505</v>
      </c>
      <c r="N68" s="285"/>
    </row>
    <row r="69" spans="1:14" s="204" customFormat="1" ht="109.8">
      <c r="A69" s="237">
        <v>48</v>
      </c>
      <c r="B69" s="237" t="s">
        <v>1190</v>
      </c>
      <c r="C69" s="238" t="s">
        <v>703</v>
      </c>
      <c r="D69" s="239">
        <f>VLOOKUP(B69,[13]AssetDetails_UEM!$A$3:$X$1848,22,FALSE)</f>
        <v>10825</v>
      </c>
      <c r="E69" s="237" t="s">
        <v>1021</v>
      </c>
      <c r="F69" s="237" t="s">
        <v>175</v>
      </c>
      <c r="G69" s="237" t="s">
        <v>1391</v>
      </c>
      <c r="H69" s="237" t="s">
        <v>1434</v>
      </c>
      <c r="I69" s="270" t="s">
        <v>609</v>
      </c>
      <c r="J69" s="271" t="s">
        <v>147</v>
      </c>
      <c r="K69" s="272">
        <f t="shared" si="0"/>
        <v>30</v>
      </c>
      <c r="L69" s="273">
        <f t="shared" si="1"/>
        <v>0</v>
      </c>
      <c r="M69" s="238" t="s">
        <v>1505</v>
      </c>
      <c r="N69" s="285"/>
    </row>
    <row r="70" spans="1:14" s="204" customFormat="1" ht="109.8">
      <c r="A70" s="237">
        <v>49</v>
      </c>
      <c r="B70" s="237" t="s">
        <v>1191</v>
      </c>
      <c r="C70" s="238" t="s">
        <v>703</v>
      </c>
      <c r="D70" s="239">
        <f>VLOOKUP(B70,[13]AssetDetails_UEM!$A$3:$X$1848,22,FALSE)</f>
        <v>10825</v>
      </c>
      <c r="E70" s="237" t="s">
        <v>1022</v>
      </c>
      <c r="F70" s="237" t="s">
        <v>175</v>
      </c>
      <c r="G70" s="237" t="s">
        <v>1391</v>
      </c>
      <c r="H70" s="237" t="s">
        <v>1435</v>
      </c>
      <c r="I70" s="270" t="s">
        <v>609</v>
      </c>
      <c r="J70" s="271" t="s">
        <v>147</v>
      </c>
      <c r="K70" s="272">
        <f t="shared" si="0"/>
        <v>30</v>
      </c>
      <c r="L70" s="273">
        <f t="shared" si="1"/>
        <v>0</v>
      </c>
      <c r="M70" s="238" t="s">
        <v>1496</v>
      </c>
      <c r="N70" s="285"/>
    </row>
    <row r="71" spans="1:14" s="204" customFormat="1" ht="124.5" customHeight="1">
      <c r="A71" s="237">
        <v>50</v>
      </c>
      <c r="B71" s="237" t="s">
        <v>1192</v>
      </c>
      <c r="C71" s="238" t="s">
        <v>1314</v>
      </c>
      <c r="D71" s="239">
        <f>VLOOKUP(B71,[13]AssetDetails_UEM!$A$3:$X$1848,22,FALSE)</f>
        <v>4210</v>
      </c>
      <c r="E71" s="237" t="s">
        <v>1023</v>
      </c>
      <c r="F71" s="237" t="s">
        <v>1347</v>
      </c>
      <c r="G71" s="237" t="s">
        <v>1392</v>
      </c>
      <c r="H71" s="237" t="s">
        <v>1436</v>
      </c>
      <c r="I71" s="270" t="s">
        <v>609</v>
      </c>
      <c r="J71" s="271" t="s">
        <v>147</v>
      </c>
      <c r="K71" s="272">
        <f t="shared" si="0"/>
        <v>10</v>
      </c>
      <c r="L71" s="273">
        <f t="shared" si="1"/>
        <v>0</v>
      </c>
      <c r="M71" s="238" t="s">
        <v>1506</v>
      </c>
      <c r="N71" s="285"/>
    </row>
    <row r="72" spans="1:14" s="204" customFormat="1" ht="128.1" customHeight="1">
      <c r="A72" s="237">
        <v>51</v>
      </c>
      <c r="B72" s="237" t="s">
        <v>1193</v>
      </c>
      <c r="C72" s="238" t="s">
        <v>1315</v>
      </c>
      <c r="D72" s="239">
        <f>VLOOKUP(B72,[13]AssetDetails_UEM!$A$3:$X$1848,22,FALSE)</f>
        <v>6620</v>
      </c>
      <c r="E72" s="237" t="s">
        <v>1024</v>
      </c>
      <c r="F72" s="237" t="s">
        <v>140</v>
      </c>
      <c r="G72" s="237" t="s">
        <v>1392</v>
      </c>
      <c r="H72" s="237" t="s">
        <v>1437</v>
      </c>
      <c r="I72" s="270" t="s">
        <v>609</v>
      </c>
      <c r="J72" s="271" t="s">
        <v>147</v>
      </c>
      <c r="K72" s="272">
        <f t="shared" si="0"/>
        <v>20</v>
      </c>
      <c r="L72" s="273">
        <f t="shared" si="1"/>
        <v>0</v>
      </c>
      <c r="M72" s="238" t="s">
        <v>1506</v>
      </c>
      <c r="N72" s="285"/>
    </row>
    <row r="73" spans="1:14" s="204" customFormat="1" ht="108" customHeight="1">
      <c r="A73" s="237">
        <v>52</v>
      </c>
      <c r="B73" s="237" t="s">
        <v>1194</v>
      </c>
      <c r="C73" s="238" t="s">
        <v>1316</v>
      </c>
      <c r="D73" s="239">
        <f>VLOOKUP(B73,[13]AssetDetails_UEM!$A$3:$X$1848,22,FALSE)</f>
        <v>50000</v>
      </c>
      <c r="E73" s="237" t="s">
        <v>1025</v>
      </c>
      <c r="F73" s="237" t="s">
        <v>462</v>
      </c>
      <c r="G73" s="237" t="s">
        <v>1392</v>
      </c>
      <c r="H73" s="237" t="s">
        <v>1436</v>
      </c>
      <c r="I73" s="270" t="s">
        <v>609</v>
      </c>
      <c r="J73" s="271" t="s">
        <v>147</v>
      </c>
      <c r="K73" s="272">
        <f t="shared" si="0"/>
        <v>110</v>
      </c>
      <c r="L73" s="273">
        <f t="shared" si="1"/>
        <v>0</v>
      </c>
      <c r="M73" s="238" t="s">
        <v>1507</v>
      </c>
      <c r="N73" s="285"/>
    </row>
    <row r="74" spans="1:14" s="204" customFormat="1" ht="238.5" customHeight="1">
      <c r="A74" s="237">
        <v>53</v>
      </c>
      <c r="B74" s="237" t="s">
        <v>1195</v>
      </c>
      <c r="C74" s="238" t="s">
        <v>653</v>
      </c>
      <c r="D74" s="239">
        <f>VLOOKUP(B74,[13]AssetDetails_UEM!$A$3:$X$1848,22,FALSE)</f>
        <v>100000</v>
      </c>
      <c r="E74" s="237" t="s">
        <v>1026</v>
      </c>
      <c r="F74" s="237" t="s">
        <v>655</v>
      </c>
      <c r="G74" s="237" t="s">
        <v>1393</v>
      </c>
      <c r="H74" s="237" t="s">
        <v>1438</v>
      </c>
      <c r="I74" s="270" t="s">
        <v>609</v>
      </c>
      <c r="J74" s="271" t="s">
        <v>147</v>
      </c>
      <c r="K74" s="272">
        <f t="shared" si="0"/>
        <v>210</v>
      </c>
      <c r="L74" s="273">
        <f t="shared" si="1"/>
        <v>0</v>
      </c>
      <c r="M74" s="502" t="s">
        <v>1541</v>
      </c>
      <c r="N74" s="285"/>
    </row>
    <row r="75" spans="1:14" s="206" customFormat="1" ht="234.75" customHeight="1">
      <c r="A75" s="237">
        <v>54</v>
      </c>
      <c r="B75" s="237" t="s">
        <v>1196</v>
      </c>
      <c r="C75" s="238" t="s">
        <v>653</v>
      </c>
      <c r="D75" s="241">
        <f>VLOOKUP(B75,[13]AssetDetails_UEM!$A$3:$X$1848,22,FALSE)</f>
        <v>100000</v>
      </c>
      <c r="E75" s="237" t="s">
        <v>1027</v>
      </c>
      <c r="F75" s="237" t="s">
        <v>655</v>
      </c>
      <c r="G75" s="237" t="s">
        <v>1393</v>
      </c>
      <c r="H75" s="237" t="s">
        <v>1438</v>
      </c>
      <c r="I75" s="270" t="s">
        <v>609</v>
      </c>
      <c r="J75" s="275" t="s">
        <v>147</v>
      </c>
      <c r="K75" s="272">
        <f t="shared" si="0"/>
        <v>210</v>
      </c>
      <c r="L75" s="276">
        <f t="shared" si="1"/>
        <v>0</v>
      </c>
      <c r="M75" s="502" t="s">
        <v>1541</v>
      </c>
      <c r="N75" s="287"/>
    </row>
    <row r="76" spans="1:14" s="204" customFormat="1" ht="292.8">
      <c r="A76" s="237">
        <v>55</v>
      </c>
      <c r="B76" s="237" t="s">
        <v>1197</v>
      </c>
      <c r="C76" s="238" t="s">
        <v>727</v>
      </c>
      <c r="D76" s="239">
        <f>VLOOKUP(B76,[13]AssetDetails_UEM!$A$3:$X$1848,22,FALSE)</f>
        <v>151560</v>
      </c>
      <c r="E76" s="237" t="s">
        <v>1028</v>
      </c>
      <c r="F76" s="237" t="s">
        <v>1353</v>
      </c>
      <c r="G76" s="237" t="s">
        <v>1393</v>
      </c>
      <c r="H76" s="237" t="s">
        <v>1439</v>
      </c>
      <c r="I76" s="270" t="s">
        <v>609</v>
      </c>
      <c r="J76" s="271" t="s">
        <v>147</v>
      </c>
      <c r="K76" s="272">
        <f t="shared" si="0"/>
        <v>310</v>
      </c>
      <c r="L76" s="273">
        <f t="shared" si="1"/>
        <v>0</v>
      </c>
      <c r="M76" s="238" t="s">
        <v>1492</v>
      </c>
      <c r="N76" s="285"/>
    </row>
    <row r="77" spans="1:14" s="204" customFormat="1" ht="292.8">
      <c r="A77" s="237">
        <v>56</v>
      </c>
      <c r="B77" s="237" t="s">
        <v>524</v>
      </c>
      <c r="C77" s="238" t="s">
        <v>727</v>
      </c>
      <c r="D77" s="239">
        <f>VLOOKUP(B77,[13]AssetDetails_UEM!$A$3:$X$1848,22,FALSE)</f>
        <v>151560</v>
      </c>
      <c r="E77" s="237" t="s">
        <v>1029</v>
      </c>
      <c r="F77" s="237" t="s">
        <v>526</v>
      </c>
      <c r="G77" s="237" t="s">
        <v>1393</v>
      </c>
      <c r="H77" s="237" t="s">
        <v>1440</v>
      </c>
      <c r="I77" s="270" t="s">
        <v>609</v>
      </c>
      <c r="J77" s="271" t="s">
        <v>147</v>
      </c>
      <c r="K77" s="272">
        <f t="shared" si="0"/>
        <v>310</v>
      </c>
      <c r="L77" s="273">
        <f t="shared" si="1"/>
        <v>0</v>
      </c>
      <c r="M77" s="238" t="s">
        <v>1492</v>
      </c>
      <c r="N77" s="285"/>
    </row>
    <row r="78" spans="1:14" s="204" customFormat="1" ht="292.8">
      <c r="A78" s="237">
        <v>57</v>
      </c>
      <c r="B78" s="237" t="s">
        <v>1198</v>
      </c>
      <c r="C78" s="238" t="s">
        <v>727</v>
      </c>
      <c r="D78" s="239">
        <f>VLOOKUP(B78,[13]AssetDetails_UEM!$A$3:$X$1848,22,FALSE)</f>
        <v>151560</v>
      </c>
      <c r="E78" s="237" t="s">
        <v>1030</v>
      </c>
      <c r="F78" s="237" t="s">
        <v>276</v>
      </c>
      <c r="G78" s="237" t="s">
        <v>1393</v>
      </c>
      <c r="H78" s="237" t="s">
        <v>1441</v>
      </c>
      <c r="I78" s="270" t="s">
        <v>609</v>
      </c>
      <c r="J78" s="271" t="s">
        <v>147</v>
      </c>
      <c r="K78" s="272">
        <f t="shared" si="0"/>
        <v>310</v>
      </c>
      <c r="L78" s="273">
        <f t="shared" si="1"/>
        <v>0</v>
      </c>
      <c r="M78" s="238" t="s">
        <v>1494</v>
      </c>
      <c r="N78" s="285"/>
    </row>
    <row r="79" spans="1:14" s="545" customFormat="1" ht="129" customHeight="1">
      <c r="A79" s="237">
        <v>58</v>
      </c>
      <c r="B79" s="536" t="s">
        <v>1199</v>
      </c>
      <c r="C79" s="537" t="s">
        <v>1317</v>
      </c>
      <c r="D79" s="538">
        <f>VLOOKUP(B79,[13]AssetDetails_UEM!$A$3:$X$1848,22,FALSE)</f>
        <v>8000</v>
      </c>
      <c r="E79" s="536" t="s">
        <v>1031</v>
      </c>
      <c r="F79" s="536" t="s">
        <v>1354</v>
      </c>
      <c r="G79" s="536" t="s">
        <v>1393</v>
      </c>
      <c r="H79" s="536" t="s">
        <v>272</v>
      </c>
      <c r="I79" s="540" t="s">
        <v>609</v>
      </c>
      <c r="J79" s="541" t="s">
        <v>147</v>
      </c>
      <c r="K79" s="542">
        <f t="shared" si="0"/>
        <v>20</v>
      </c>
      <c r="L79" s="543">
        <f t="shared" si="1"/>
        <v>0</v>
      </c>
      <c r="M79" s="537" t="s">
        <v>1545</v>
      </c>
      <c r="N79" s="544"/>
    </row>
    <row r="80" spans="1:14" s="204" customFormat="1" ht="107.55" customHeight="1">
      <c r="A80" s="237">
        <v>59</v>
      </c>
      <c r="B80" s="237" t="s">
        <v>1200</v>
      </c>
      <c r="C80" s="238" t="s">
        <v>1318</v>
      </c>
      <c r="D80" s="239" t="e">
        <f>VLOOKUP(B80,[13]AssetDetails_UEM!$A$3:$X$1848,22,FALSE)</f>
        <v>#N/A</v>
      </c>
      <c r="E80" s="237" t="s">
        <v>1032</v>
      </c>
      <c r="F80" s="237" t="s">
        <v>1355</v>
      </c>
      <c r="G80" s="237" t="s">
        <v>1393</v>
      </c>
      <c r="H80" s="237" t="s">
        <v>1442</v>
      </c>
      <c r="I80" s="270" t="s">
        <v>609</v>
      </c>
      <c r="J80" s="271" t="s">
        <v>147</v>
      </c>
      <c r="K80" s="272" t="e">
        <f t="shared" si="0"/>
        <v>#N/A</v>
      </c>
      <c r="L80" s="273">
        <f t="shared" si="1"/>
        <v>0</v>
      </c>
      <c r="M80" s="238" t="s">
        <v>1508</v>
      </c>
      <c r="N80" s="285"/>
    </row>
    <row r="81" spans="1:14" s="204" customFormat="1" ht="107.55" customHeight="1">
      <c r="A81" s="237">
        <v>60</v>
      </c>
      <c r="B81" s="237" t="s">
        <v>1201</v>
      </c>
      <c r="C81" s="238" t="s">
        <v>1302</v>
      </c>
      <c r="D81" s="239">
        <f>VLOOKUP(B81,[13]AssetDetails_UEM!$A$3:$X$1848,22,FALSE)</f>
        <v>84200</v>
      </c>
      <c r="E81" s="237" t="s">
        <v>1033</v>
      </c>
      <c r="F81" s="237" t="s">
        <v>1353</v>
      </c>
      <c r="G81" s="237" t="s">
        <v>1394</v>
      </c>
      <c r="H81" s="237" t="s">
        <v>1443</v>
      </c>
      <c r="I81" s="270" t="s">
        <v>609</v>
      </c>
      <c r="J81" s="271" t="s">
        <v>147</v>
      </c>
      <c r="K81" s="272">
        <f t="shared" si="0"/>
        <v>170</v>
      </c>
      <c r="L81" s="273">
        <f t="shared" si="1"/>
        <v>0</v>
      </c>
      <c r="M81" s="238" t="s">
        <v>1492</v>
      </c>
      <c r="N81" s="285"/>
    </row>
    <row r="82" spans="1:14" s="204" customFormat="1" ht="107.55" customHeight="1">
      <c r="A82" s="237">
        <v>61</v>
      </c>
      <c r="B82" s="237" t="s">
        <v>1202</v>
      </c>
      <c r="C82" s="238" t="s">
        <v>1305</v>
      </c>
      <c r="D82" s="239">
        <f>VLOOKUP(B82,[13]AssetDetails_UEM!$A$3:$X$1848,22,FALSE)</f>
        <v>6615</v>
      </c>
      <c r="E82" s="237" t="s">
        <v>1034</v>
      </c>
      <c r="F82" s="237" t="s">
        <v>1353</v>
      </c>
      <c r="G82" s="237" t="s">
        <v>1394</v>
      </c>
      <c r="H82" s="237" t="s">
        <v>1444</v>
      </c>
      <c r="I82" s="270" t="s">
        <v>609</v>
      </c>
      <c r="J82" s="271" t="s">
        <v>147</v>
      </c>
      <c r="K82" s="272">
        <f t="shared" si="0"/>
        <v>20</v>
      </c>
      <c r="L82" s="273">
        <f t="shared" ref="L82:L130" si="2">IF(J82="N",0,K82)</f>
        <v>0</v>
      </c>
      <c r="M82" s="238" t="s">
        <v>1492</v>
      </c>
      <c r="N82" s="285"/>
    </row>
    <row r="83" spans="1:14" s="204" customFormat="1" ht="240.75" customHeight="1">
      <c r="A83" s="237">
        <v>62</v>
      </c>
      <c r="B83" s="237" t="s">
        <v>1203</v>
      </c>
      <c r="C83" s="238" t="s">
        <v>1303</v>
      </c>
      <c r="D83" s="239">
        <f>VLOOKUP(B83,[13]AssetDetails_UEM!$A$3:$X$1848,22,FALSE)</f>
        <v>10225</v>
      </c>
      <c r="E83" s="237" t="s">
        <v>1035</v>
      </c>
      <c r="F83" s="237" t="s">
        <v>1353</v>
      </c>
      <c r="G83" s="237" t="s">
        <v>1394</v>
      </c>
      <c r="H83" s="237" t="s">
        <v>1445</v>
      </c>
      <c r="I83" s="270" t="s">
        <v>609</v>
      </c>
      <c r="J83" s="271" t="s">
        <v>147</v>
      </c>
      <c r="K83" s="272">
        <f t="shared" si="0"/>
        <v>30</v>
      </c>
      <c r="L83" s="273">
        <f t="shared" si="2"/>
        <v>0</v>
      </c>
      <c r="M83" s="238" t="s">
        <v>1494</v>
      </c>
      <c r="N83" s="285"/>
    </row>
    <row r="84" spans="1:14" s="206" customFormat="1" ht="107.55" customHeight="1">
      <c r="A84" s="237">
        <v>63</v>
      </c>
      <c r="B84" s="237" t="s">
        <v>1204</v>
      </c>
      <c r="C84" s="238" t="s">
        <v>1303</v>
      </c>
      <c r="D84" s="241">
        <f>VLOOKUP(B84,[13]AssetDetails_UEM!$A$3:$X$1848,22,FALSE)</f>
        <v>10225</v>
      </c>
      <c r="E84" s="237" t="s">
        <v>1036</v>
      </c>
      <c r="F84" s="237" t="s">
        <v>1353</v>
      </c>
      <c r="G84" s="237" t="s">
        <v>1394</v>
      </c>
      <c r="H84" s="237" t="s">
        <v>1446</v>
      </c>
      <c r="I84" s="274" t="s">
        <v>609</v>
      </c>
      <c r="J84" s="275" t="s">
        <v>147</v>
      </c>
      <c r="K84" s="288">
        <f t="shared" ref="K84:K131" si="3">ROUNDUP((D84/4999.99)*10,-1)</f>
        <v>30</v>
      </c>
      <c r="L84" s="276">
        <f t="shared" si="2"/>
        <v>0</v>
      </c>
      <c r="M84" s="238" t="s">
        <v>1492</v>
      </c>
      <c r="N84" s="287"/>
    </row>
    <row r="85" spans="1:14" s="205" customFormat="1" ht="256.2">
      <c r="A85" s="237">
        <v>64</v>
      </c>
      <c r="B85" s="237" t="s">
        <v>1205</v>
      </c>
      <c r="C85" s="238" t="s">
        <v>1303</v>
      </c>
      <c r="D85" s="241">
        <f>VLOOKUP(B85,[13]AssetDetails_UEM!$A$3:$X$1848,22,FALSE)</f>
        <v>10225</v>
      </c>
      <c r="E85" s="237" t="s">
        <v>1037</v>
      </c>
      <c r="F85" s="237" t="s">
        <v>1353</v>
      </c>
      <c r="G85" s="237" t="s">
        <v>1394</v>
      </c>
      <c r="H85" s="237" t="s">
        <v>301</v>
      </c>
      <c r="I85" s="274" t="s">
        <v>609</v>
      </c>
      <c r="J85" s="275" t="s">
        <v>147</v>
      </c>
      <c r="K85" s="288">
        <f t="shared" si="3"/>
        <v>30</v>
      </c>
      <c r="L85" s="276">
        <f t="shared" si="2"/>
        <v>0</v>
      </c>
      <c r="M85" s="238" t="s">
        <v>1491</v>
      </c>
    </row>
    <row r="86" spans="1:14" s="207" customFormat="1" ht="256.2">
      <c r="A86" s="237">
        <v>65</v>
      </c>
      <c r="B86" s="237" t="s">
        <v>1206</v>
      </c>
      <c r="C86" s="238" t="s">
        <v>1303</v>
      </c>
      <c r="D86" s="239">
        <f>VLOOKUP(B86,[13]AssetDetails_UEM!$A$3:$X$1848,22,FALSE)</f>
        <v>10225</v>
      </c>
      <c r="E86" s="237" t="s">
        <v>1038</v>
      </c>
      <c r="F86" s="237" t="s">
        <v>1353</v>
      </c>
      <c r="G86" s="237" t="s">
        <v>1394</v>
      </c>
      <c r="H86" s="237" t="s">
        <v>1447</v>
      </c>
      <c r="I86" s="270" t="s">
        <v>609</v>
      </c>
      <c r="J86" s="271" t="s">
        <v>147</v>
      </c>
      <c r="K86" s="272">
        <f t="shared" si="3"/>
        <v>30</v>
      </c>
      <c r="L86" s="273">
        <f t="shared" si="2"/>
        <v>0</v>
      </c>
      <c r="M86" s="238" t="s">
        <v>1491</v>
      </c>
    </row>
    <row r="87" spans="1:14" s="207" customFormat="1" ht="256.2">
      <c r="A87" s="237">
        <v>66</v>
      </c>
      <c r="B87" s="237" t="s">
        <v>1207</v>
      </c>
      <c r="C87" s="238" t="s">
        <v>1303</v>
      </c>
      <c r="D87" s="239">
        <f>VLOOKUP(B87,[13]AssetDetails_UEM!$A$3:$X$1848,22,FALSE)</f>
        <v>10225</v>
      </c>
      <c r="E87" s="237" t="s">
        <v>1039</v>
      </c>
      <c r="F87" s="237" t="s">
        <v>1353</v>
      </c>
      <c r="G87" s="237" t="s">
        <v>1394</v>
      </c>
      <c r="H87" s="237" t="s">
        <v>307</v>
      </c>
      <c r="I87" s="270" t="s">
        <v>609</v>
      </c>
      <c r="J87" s="271" t="s">
        <v>147</v>
      </c>
      <c r="K87" s="272">
        <f t="shared" si="3"/>
        <v>30</v>
      </c>
      <c r="L87" s="273">
        <f t="shared" si="2"/>
        <v>0</v>
      </c>
      <c r="M87" s="502" t="s">
        <v>1491</v>
      </c>
    </row>
    <row r="88" spans="1:14" s="207" customFormat="1" ht="231" customHeight="1">
      <c r="A88" s="237">
        <v>67</v>
      </c>
      <c r="B88" s="237" t="s">
        <v>1208</v>
      </c>
      <c r="C88" s="238" t="s">
        <v>1303</v>
      </c>
      <c r="D88" s="239">
        <f>VLOOKUP(B88,[13]AssetDetails_UEM!$A$3:$X$1848,22,FALSE)</f>
        <v>10225</v>
      </c>
      <c r="E88" s="237" t="s">
        <v>1040</v>
      </c>
      <c r="F88" s="237" t="s">
        <v>1353</v>
      </c>
      <c r="G88" s="237" t="s">
        <v>1394</v>
      </c>
      <c r="H88" s="237" t="s">
        <v>1448</v>
      </c>
      <c r="I88" s="270" t="s">
        <v>609</v>
      </c>
      <c r="J88" s="271" t="s">
        <v>147</v>
      </c>
      <c r="K88" s="272">
        <f t="shared" si="3"/>
        <v>30</v>
      </c>
      <c r="L88" s="273">
        <f t="shared" si="2"/>
        <v>0</v>
      </c>
      <c r="M88" s="502" t="s">
        <v>1491</v>
      </c>
    </row>
    <row r="89" spans="1:14" s="207" customFormat="1" ht="256.2">
      <c r="A89" s="237">
        <v>68</v>
      </c>
      <c r="B89" s="237" t="s">
        <v>1209</v>
      </c>
      <c r="C89" s="238" t="s">
        <v>703</v>
      </c>
      <c r="D89" s="239">
        <f>VLOOKUP(B89,[13]AssetDetails_UEM!$A$3:$X$1848,22,FALSE)</f>
        <v>10825</v>
      </c>
      <c r="E89" s="237" t="s">
        <v>1041</v>
      </c>
      <c r="F89" s="237" t="s">
        <v>1353</v>
      </c>
      <c r="G89" s="237" t="s">
        <v>1394</v>
      </c>
      <c r="H89" s="237" t="s">
        <v>1449</v>
      </c>
      <c r="I89" s="270" t="s">
        <v>609</v>
      </c>
      <c r="J89" s="271" t="s">
        <v>147</v>
      </c>
      <c r="K89" s="272">
        <f t="shared" si="3"/>
        <v>30</v>
      </c>
      <c r="L89" s="273">
        <f t="shared" si="2"/>
        <v>0</v>
      </c>
      <c r="M89" s="502" t="s">
        <v>1542</v>
      </c>
    </row>
    <row r="90" spans="1:14" s="207" customFormat="1" ht="231" customHeight="1">
      <c r="A90" s="237">
        <v>69</v>
      </c>
      <c r="B90" s="237" t="s">
        <v>1210</v>
      </c>
      <c r="C90" s="238" t="s">
        <v>703</v>
      </c>
      <c r="D90" s="239">
        <f>VLOOKUP(B90,[13]AssetDetails_UEM!$A$3:$X$1848,22,FALSE)</f>
        <v>10825</v>
      </c>
      <c r="E90" s="237" t="s">
        <v>1042</v>
      </c>
      <c r="F90" s="237" t="s">
        <v>1353</v>
      </c>
      <c r="G90" s="237" t="s">
        <v>1394</v>
      </c>
      <c r="H90" s="237" t="s">
        <v>1450</v>
      </c>
      <c r="I90" s="270" t="s">
        <v>609</v>
      </c>
      <c r="J90" s="271" t="s">
        <v>147</v>
      </c>
      <c r="K90" s="272">
        <f t="shared" si="3"/>
        <v>30</v>
      </c>
      <c r="L90" s="273">
        <f t="shared" si="2"/>
        <v>0</v>
      </c>
      <c r="M90" s="502" t="s">
        <v>1491</v>
      </c>
    </row>
    <row r="91" spans="1:14" s="207" customFormat="1" ht="142.5" customHeight="1">
      <c r="A91" s="237">
        <v>70</v>
      </c>
      <c r="B91" s="237" t="s">
        <v>165</v>
      </c>
      <c r="C91" s="238" t="s">
        <v>703</v>
      </c>
      <c r="D91" s="239">
        <f>VLOOKUP(B91,[13]AssetDetails_UEM!$A$3:$X$1848,22,FALSE)</f>
        <v>10825</v>
      </c>
      <c r="E91" s="237" t="s">
        <v>1043</v>
      </c>
      <c r="F91" s="237" t="s">
        <v>167</v>
      </c>
      <c r="G91" s="237" t="s">
        <v>1394</v>
      </c>
      <c r="H91" s="237" t="s">
        <v>1444</v>
      </c>
      <c r="I91" s="270" t="s">
        <v>609</v>
      </c>
      <c r="J91" s="271" t="s">
        <v>147</v>
      </c>
      <c r="K91" s="272">
        <f t="shared" si="3"/>
        <v>30</v>
      </c>
      <c r="L91" s="273">
        <f t="shared" si="2"/>
        <v>0</v>
      </c>
      <c r="M91" s="238" t="s">
        <v>1496</v>
      </c>
    </row>
    <row r="92" spans="1:14" s="207" customFormat="1" ht="146.4">
      <c r="A92" s="237">
        <v>71</v>
      </c>
      <c r="B92" s="237" t="s">
        <v>1211</v>
      </c>
      <c r="C92" s="238" t="s">
        <v>730</v>
      </c>
      <c r="D92" s="239">
        <f>VLOOKUP(B92,[13]AssetDetails_UEM!$A$3:$X$1848,22,FALSE)</f>
        <v>44510</v>
      </c>
      <c r="E92" s="237" t="s">
        <v>1044</v>
      </c>
      <c r="F92" s="237" t="s">
        <v>1356</v>
      </c>
      <c r="G92" s="237" t="s">
        <v>1394</v>
      </c>
      <c r="H92" s="237" t="s">
        <v>1446</v>
      </c>
      <c r="I92" s="270" t="s">
        <v>609</v>
      </c>
      <c r="J92" s="271" t="s">
        <v>147</v>
      </c>
      <c r="K92" s="272">
        <f t="shared" si="3"/>
        <v>90</v>
      </c>
      <c r="L92" s="273">
        <f t="shared" si="2"/>
        <v>0</v>
      </c>
      <c r="M92" s="238" t="s">
        <v>1496</v>
      </c>
    </row>
    <row r="93" spans="1:14" s="207" customFormat="1" ht="155.1" customHeight="1">
      <c r="A93" s="237">
        <v>72</v>
      </c>
      <c r="B93" s="237" t="s">
        <v>1212</v>
      </c>
      <c r="C93" s="238" t="s">
        <v>730</v>
      </c>
      <c r="D93" s="239">
        <f>VLOOKUP(B93,[13]AssetDetails_UEM!$A$3:$X$1848,22,FALSE)</f>
        <v>44510</v>
      </c>
      <c r="E93" s="237" t="s">
        <v>1045</v>
      </c>
      <c r="F93" s="237" t="s">
        <v>1356</v>
      </c>
      <c r="G93" s="237" t="s">
        <v>1394</v>
      </c>
      <c r="H93" s="237" t="s">
        <v>1445</v>
      </c>
      <c r="I93" s="270" t="s">
        <v>609</v>
      </c>
      <c r="J93" s="271" t="s">
        <v>147</v>
      </c>
      <c r="K93" s="272">
        <f t="shared" si="3"/>
        <v>90</v>
      </c>
      <c r="L93" s="273">
        <f t="shared" si="2"/>
        <v>0</v>
      </c>
      <c r="M93" s="238" t="s">
        <v>1509</v>
      </c>
    </row>
    <row r="94" spans="1:14" s="207" customFormat="1" ht="146.1" customHeight="1">
      <c r="A94" s="237">
        <v>73</v>
      </c>
      <c r="B94" s="237" t="s">
        <v>1213</v>
      </c>
      <c r="C94" s="238" t="s">
        <v>1319</v>
      </c>
      <c r="D94" s="239">
        <f>VLOOKUP(B94,[13]AssetDetails_UEM!$A$3:$X$1848,22,FALSE)</f>
        <v>1140</v>
      </c>
      <c r="E94" s="237" t="s">
        <v>1046</v>
      </c>
      <c r="F94" s="237" t="s">
        <v>583</v>
      </c>
      <c r="G94" s="237" t="s">
        <v>1394</v>
      </c>
      <c r="H94" s="237" t="s">
        <v>293</v>
      </c>
      <c r="I94" s="270" t="s">
        <v>609</v>
      </c>
      <c r="J94" s="271" t="s">
        <v>147</v>
      </c>
      <c r="K94" s="272">
        <f t="shared" si="3"/>
        <v>10</v>
      </c>
      <c r="L94" s="273">
        <f t="shared" si="2"/>
        <v>0</v>
      </c>
      <c r="M94" s="238" t="s">
        <v>1510</v>
      </c>
    </row>
    <row r="95" spans="1:14" s="207" customFormat="1" ht="147.6" customHeight="1">
      <c r="A95" s="237">
        <v>74</v>
      </c>
      <c r="B95" s="237" t="s">
        <v>1214</v>
      </c>
      <c r="C95" s="238" t="s">
        <v>1319</v>
      </c>
      <c r="D95" s="239">
        <f>VLOOKUP(B95,[13]AssetDetails_UEM!$A$3:$X$1848,22,FALSE)</f>
        <v>1140</v>
      </c>
      <c r="E95" s="237" t="s">
        <v>1047</v>
      </c>
      <c r="F95" s="237" t="s">
        <v>583</v>
      </c>
      <c r="G95" s="237" t="s">
        <v>1394</v>
      </c>
      <c r="H95" s="237" t="s">
        <v>1445</v>
      </c>
      <c r="I95" s="270" t="s">
        <v>609</v>
      </c>
      <c r="J95" s="271" t="s">
        <v>147</v>
      </c>
      <c r="K95" s="272">
        <f t="shared" si="3"/>
        <v>10</v>
      </c>
      <c r="L95" s="273">
        <f t="shared" si="2"/>
        <v>0</v>
      </c>
      <c r="M95" s="238" t="s">
        <v>1510</v>
      </c>
    </row>
    <row r="96" spans="1:14" s="207" customFormat="1" ht="147.6" customHeight="1">
      <c r="A96" s="237">
        <v>75</v>
      </c>
      <c r="B96" s="237" t="s">
        <v>1215</v>
      </c>
      <c r="C96" s="238" t="s">
        <v>1319</v>
      </c>
      <c r="D96" s="239">
        <f>VLOOKUP(B96,[13]AssetDetails_UEM!$A$3:$X$1848,22,FALSE)</f>
        <v>1140</v>
      </c>
      <c r="E96" s="237" t="s">
        <v>1048</v>
      </c>
      <c r="F96" s="237" t="s">
        <v>583</v>
      </c>
      <c r="G96" s="237" t="s">
        <v>1394</v>
      </c>
      <c r="H96" s="237" t="s">
        <v>1447</v>
      </c>
      <c r="I96" s="270" t="s">
        <v>609</v>
      </c>
      <c r="J96" s="271" t="s">
        <v>147</v>
      </c>
      <c r="K96" s="272">
        <f t="shared" si="3"/>
        <v>10</v>
      </c>
      <c r="L96" s="273">
        <f t="shared" si="2"/>
        <v>0</v>
      </c>
      <c r="M96" s="238" t="s">
        <v>1510</v>
      </c>
    </row>
    <row r="97" spans="1:13" s="207" customFormat="1" ht="146.4">
      <c r="A97" s="237">
        <v>76</v>
      </c>
      <c r="B97" s="237" t="s">
        <v>1216</v>
      </c>
      <c r="C97" s="238" t="s">
        <v>1320</v>
      </c>
      <c r="D97" s="239">
        <f>VLOOKUP(B97,[13]AssetDetails_UEM!$A$3:$X$1848,22,FALSE)</f>
        <v>6610</v>
      </c>
      <c r="E97" s="237" t="s">
        <v>1049</v>
      </c>
      <c r="F97" s="237" t="s">
        <v>1357</v>
      </c>
      <c r="G97" s="237" t="s">
        <v>1394</v>
      </c>
      <c r="H97" s="237" t="s">
        <v>1444</v>
      </c>
      <c r="I97" s="270" t="s">
        <v>609</v>
      </c>
      <c r="J97" s="271" t="s">
        <v>147</v>
      </c>
      <c r="K97" s="272">
        <f t="shared" si="3"/>
        <v>20</v>
      </c>
      <c r="L97" s="273">
        <f t="shared" si="2"/>
        <v>0</v>
      </c>
      <c r="M97" s="238" t="s">
        <v>1510</v>
      </c>
    </row>
    <row r="98" spans="1:13" s="207" customFormat="1" ht="146.4">
      <c r="A98" s="237">
        <v>77</v>
      </c>
      <c r="B98" s="237" t="s">
        <v>1217</v>
      </c>
      <c r="C98" s="238" t="s">
        <v>1321</v>
      </c>
      <c r="D98" s="239">
        <f>VLOOKUP(B98,[13]AssetDetails_UEM!$A$3:$X$1848,22,FALSE)</f>
        <v>30700</v>
      </c>
      <c r="E98" s="237" t="s">
        <v>1050</v>
      </c>
      <c r="F98" s="237" t="s">
        <v>1357</v>
      </c>
      <c r="G98" s="237" t="s">
        <v>1394</v>
      </c>
      <c r="H98" s="237" t="s">
        <v>1445</v>
      </c>
      <c r="I98" s="270" t="s">
        <v>609</v>
      </c>
      <c r="J98" s="271" t="s">
        <v>147</v>
      </c>
      <c r="K98" s="272">
        <f t="shared" si="3"/>
        <v>70</v>
      </c>
      <c r="L98" s="273">
        <f t="shared" si="2"/>
        <v>0</v>
      </c>
      <c r="M98" s="238" t="s">
        <v>1510</v>
      </c>
    </row>
    <row r="99" spans="1:13" s="207" customFormat="1" ht="177" customHeight="1">
      <c r="A99" s="237">
        <v>78</v>
      </c>
      <c r="B99" s="237" t="s">
        <v>1218</v>
      </c>
      <c r="C99" s="238" t="s">
        <v>663</v>
      </c>
      <c r="D99" s="239">
        <f>VLOOKUP(B99,[13]AssetDetails_UEM!$A$3:$X$1848,22,FALSE)</f>
        <v>4510</v>
      </c>
      <c r="E99" s="237" t="s">
        <v>1053</v>
      </c>
      <c r="F99" s="237" t="s">
        <v>1358</v>
      </c>
      <c r="G99" s="237" t="s">
        <v>1395</v>
      </c>
      <c r="H99" s="237" t="s">
        <v>1451</v>
      </c>
      <c r="I99" s="270" t="s">
        <v>609</v>
      </c>
      <c r="J99" s="271" t="s">
        <v>147</v>
      </c>
      <c r="K99" s="272">
        <f t="shared" si="3"/>
        <v>10</v>
      </c>
      <c r="L99" s="273">
        <f t="shared" si="2"/>
        <v>0</v>
      </c>
      <c r="M99" s="238" t="s">
        <v>1511</v>
      </c>
    </row>
    <row r="100" spans="1:13" s="547" customFormat="1" ht="307.5" customHeight="1">
      <c r="A100" s="237">
        <v>79</v>
      </c>
      <c r="B100" s="536" t="s">
        <v>1219</v>
      </c>
      <c r="C100" s="537" t="s">
        <v>1322</v>
      </c>
      <c r="D100" s="546">
        <f>VLOOKUP(B100,[13]AssetDetails_UEM!$A$3:$X$1848,22,FALSE)</f>
        <v>10230</v>
      </c>
      <c r="E100" s="536" t="s">
        <v>1054</v>
      </c>
      <c r="F100" s="536" t="s">
        <v>1340</v>
      </c>
      <c r="G100" s="536" t="s">
        <v>1395</v>
      </c>
      <c r="H100" s="536" t="s">
        <v>1573</v>
      </c>
      <c r="I100" s="540" t="s">
        <v>609</v>
      </c>
      <c r="J100" s="541" t="s">
        <v>147</v>
      </c>
      <c r="K100" s="542">
        <f t="shared" si="3"/>
        <v>30</v>
      </c>
      <c r="L100" s="543">
        <f t="shared" si="2"/>
        <v>0</v>
      </c>
      <c r="M100" s="537" t="s">
        <v>1572</v>
      </c>
    </row>
    <row r="101" spans="1:13" s="207" customFormat="1" ht="150" customHeight="1">
      <c r="A101" s="237">
        <v>80</v>
      </c>
      <c r="B101" s="237" t="s">
        <v>1220</v>
      </c>
      <c r="C101" s="238" t="s">
        <v>1323</v>
      </c>
      <c r="D101" s="239">
        <f>VLOOKUP(B101,[13]AssetDetails_UEM!$A$3:$X$1848,22,FALSE)</f>
        <v>56180</v>
      </c>
      <c r="E101" s="237" t="s">
        <v>1055</v>
      </c>
      <c r="F101" s="237" t="s">
        <v>377</v>
      </c>
      <c r="G101" s="237" t="s">
        <v>1395</v>
      </c>
      <c r="H101" s="237" t="s">
        <v>1452</v>
      </c>
      <c r="I101" s="270" t="s">
        <v>609</v>
      </c>
      <c r="J101" s="271" t="s">
        <v>147</v>
      </c>
      <c r="K101" s="272">
        <f t="shared" si="3"/>
        <v>120</v>
      </c>
      <c r="L101" s="273">
        <f t="shared" si="2"/>
        <v>0</v>
      </c>
      <c r="M101" s="238" t="s">
        <v>1512</v>
      </c>
    </row>
    <row r="102" spans="1:13" s="207" customFormat="1" ht="140.1" customHeight="1">
      <c r="A102" s="237">
        <v>81</v>
      </c>
      <c r="B102" s="237" t="s">
        <v>438</v>
      </c>
      <c r="C102" s="238" t="s">
        <v>750</v>
      </c>
      <c r="D102" s="239">
        <f>VLOOKUP(B102,[13]AssetDetails_UEM!$A$3:$X$1848,22,FALSE)</f>
        <v>1443450</v>
      </c>
      <c r="E102" s="237" t="s">
        <v>1056</v>
      </c>
      <c r="F102" s="237" t="s">
        <v>440</v>
      </c>
      <c r="G102" s="237" t="s">
        <v>1395</v>
      </c>
      <c r="H102" s="237" t="s">
        <v>1453</v>
      </c>
      <c r="I102" s="270" t="s">
        <v>609</v>
      </c>
      <c r="J102" s="271" t="s">
        <v>147</v>
      </c>
      <c r="K102" s="272">
        <f t="shared" si="3"/>
        <v>2890</v>
      </c>
      <c r="L102" s="273">
        <f t="shared" si="2"/>
        <v>0</v>
      </c>
      <c r="M102" s="238" t="s">
        <v>1513</v>
      </c>
    </row>
    <row r="103" spans="1:13" s="207" customFormat="1" ht="153.6" customHeight="1">
      <c r="A103" s="237">
        <v>82</v>
      </c>
      <c r="B103" s="237" t="s">
        <v>1221</v>
      </c>
      <c r="C103" s="238" t="s">
        <v>645</v>
      </c>
      <c r="D103" s="239">
        <f>VLOOKUP(B103,[13]AssetDetails_UEM!$A$3:$X$1848,22,FALSE)</f>
        <v>5773</v>
      </c>
      <c r="E103" s="237" t="s">
        <v>1057</v>
      </c>
      <c r="F103" s="237" t="s">
        <v>226</v>
      </c>
      <c r="G103" s="237" t="s">
        <v>1395</v>
      </c>
      <c r="H103" s="237" t="s">
        <v>1451</v>
      </c>
      <c r="I103" s="270" t="s">
        <v>609</v>
      </c>
      <c r="J103" s="271" t="s">
        <v>147</v>
      </c>
      <c r="K103" s="272">
        <f t="shared" si="3"/>
        <v>20</v>
      </c>
      <c r="L103" s="273">
        <f t="shared" si="2"/>
        <v>0</v>
      </c>
      <c r="M103" s="238" t="s">
        <v>1514</v>
      </c>
    </row>
    <row r="104" spans="1:13" s="207" customFormat="1" ht="172.5" customHeight="1">
      <c r="A104" s="237">
        <v>83</v>
      </c>
      <c r="B104" s="237" t="s">
        <v>1222</v>
      </c>
      <c r="C104" s="238" t="s">
        <v>703</v>
      </c>
      <c r="D104" s="239">
        <f>VLOOKUP(B104,[13]AssetDetails_UEM!$A$3:$X$1848,22,FALSE)</f>
        <v>10825</v>
      </c>
      <c r="E104" s="237" t="s">
        <v>1058</v>
      </c>
      <c r="F104" s="237" t="s">
        <v>583</v>
      </c>
      <c r="G104" s="237" t="s">
        <v>1395</v>
      </c>
      <c r="H104" s="237" t="s">
        <v>1451</v>
      </c>
      <c r="I104" s="270" t="s">
        <v>609</v>
      </c>
      <c r="J104" s="271" t="s">
        <v>147</v>
      </c>
      <c r="K104" s="272">
        <f t="shared" si="3"/>
        <v>30</v>
      </c>
      <c r="L104" s="273">
        <f t="shared" si="2"/>
        <v>0</v>
      </c>
      <c r="M104" s="238" t="s">
        <v>1510</v>
      </c>
    </row>
    <row r="105" spans="1:13" s="207" customFormat="1" ht="183">
      <c r="A105" s="237">
        <v>84</v>
      </c>
      <c r="B105" s="237" t="s">
        <v>1223</v>
      </c>
      <c r="C105" s="238" t="s">
        <v>730</v>
      </c>
      <c r="D105" s="239" t="e">
        <f>VLOOKUP(B105,[13]AssetDetails_UEM!$A$3:$X$1848,22,FALSE)</f>
        <v>#N/A</v>
      </c>
      <c r="E105" s="237" t="s">
        <v>1059</v>
      </c>
      <c r="F105" s="237" t="s">
        <v>1355</v>
      </c>
      <c r="G105" s="237" t="s">
        <v>1395</v>
      </c>
      <c r="H105" s="237" t="s">
        <v>1454</v>
      </c>
      <c r="I105" s="270" t="s">
        <v>609</v>
      </c>
      <c r="J105" s="271" t="s">
        <v>147</v>
      </c>
      <c r="K105" s="272" t="e">
        <f t="shared" si="3"/>
        <v>#N/A</v>
      </c>
      <c r="L105" s="273">
        <f t="shared" si="2"/>
        <v>0</v>
      </c>
      <c r="M105" s="238" t="s">
        <v>1508</v>
      </c>
    </row>
    <row r="106" spans="1:13" s="207" customFormat="1" ht="146.4">
      <c r="A106" s="237">
        <v>85</v>
      </c>
      <c r="B106" s="237" t="s">
        <v>1229</v>
      </c>
      <c r="C106" s="238" t="s">
        <v>743</v>
      </c>
      <c r="D106" s="239">
        <f>VLOOKUP(B106,[13]AssetDetails_UEM!$A$3:$X$1848,22,FALSE)</f>
        <v>28630</v>
      </c>
      <c r="E106" s="237" t="s">
        <v>1065</v>
      </c>
      <c r="F106" s="237" t="s">
        <v>583</v>
      </c>
      <c r="G106" s="237" t="s">
        <v>1396</v>
      </c>
      <c r="H106" s="237" t="s">
        <v>1455</v>
      </c>
      <c r="I106" s="270" t="s">
        <v>609</v>
      </c>
      <c r="J106" s="271" t="s">
        <v>147</v>
      </c>
      <c r="K106" s="272">
        <f t="shared" si="3"/>
        <v>60</v>
      </c>
      <c r="L106" s="273">
        <f t="shared" si="2"/>
        <v>0</v>
      </c>
      <c r="M106" s="238" t="s">
        <v>1510</v>
      </c>
    </row>
    <row r="107" spans="1:13" s="207" customFormat="1" ht="219.6">
      <c r="A107" s="237">
        <v>86</v>
      </c>
      <c r="B107" s="237" t="s">
        <v>1230</v>
      </c>
      <c r="C107" s="238" t="s">
        <v>1324</v>
      </c>
      <c r="D107" s="239">
        <f>VLOOKUP(B107,[13]AssetDetails_UEM!$A$3:$X$1848,22,FALSE)</f>
        <v>4950</v>
      </c>
      <c r="E107" s="237" t="s">
        <v>1066</v>
      </c>
      <c r="F107" s="237" t="s">
        <v>324</v>
      </c>
      <c r="G107" s="237" t="s">
        <v>1396</v>
      </c>
      <c r="H107" s="237" t="s">
        <v>1456</v>
      </c>
      <c r="I107" s="270" t="s">
        <v>609</v>
      </c>
      <c r="J107" s="271" t="s">
        <v>147</v>
      </c>
      <c r="K107" s="272">
        <f t="shared" si="3"/>
        <v>10</v>
      </c>
      <c r="L107" s="273">
        <f t="shared" si="2"/>
        <v>0</v>
      </c>
      <c r="M107" s="238" t="s">
        <v>1515</v>
      </c>
    </row>
    <row r="108" spans="1:13" s="205" customFormat="1" ht="219.6">
      <c r="A108" s="237">
        <v>87</v>
      </c>
      <c r="B108" s="237" t="s">
        <v>1231</v>
      </c>
      <c r="C108" s="238" t="s">
        <v>1324</v>
      </c>
      <c r="D108" s="241">
        <f>VLOOKUP(B108,[13]AssetDetails_UEM!$A$3:$X$1848,22,FALSE)</f>
        <v>4950</v>
      </c>
      <c r="E108" s="237" t="s">
        <v>1067</v>
      </c>
      <c r="F108" s="237" t="s">
        <v>183</v>
      </c>
      <c r="G108" s="237" t="s">
        <v>1396</v>
      </c>
      <c r="H108" s="237" t="s">
        <v>1457</v>
      </c>
      <c r="I108" s="274" t="s">
        <v>609</v>
      </c>
      <c r="J108" s="275" t="s">
        <v>147</v>
      </c>
      <c r="K108" s="272">
        <f t="shared" si="3"/>
        <v>10</v>
      </c>
      <c r="L108" s="276">
        <f t="shared" si="2"/>
        <v>0</v>
      </c>
      <c r="M108" s="238" t="s">
        <v>1515</v>
      </c>
    </row>
    <row r="109" spans="1:13" s="205" customFormat="1" ht="183">
      <c r="A109" s="237">
        <v>88</v>
      </c>
      <c r="B109" s="237" t="s">
        <v>1232</v>
      </c>
      <c r="C109" s="238" t="s">
        <v>1324</v>
      </c>
      <c r="D109" s="241">
        <f>VLOOKUP(B109,[13]AssetDetails_UEM!$A$3:$X$1848,22,FALSE)</f>
        <v>4950</v>
      </c>
      <c r="E109" s="237" t="s">
        <v>1068</v>
      </c>
      <c r="F109" s="237" t="s">
        <v>159</v>
      </c>
      <c r="G109" s="237" t="s">
        <v>1396</v>
      </c>
      <c r="H109" s="237" t="s">
        <v>1458</v>
      </c>
      <c r="I109" s="274" t="s">
        <v>609</v>
      </c>
      <c r="J109" s="275" t="s">
        <v>147</v>
      </c>
      <c r="K109" s="272">
        <f t="shared" si="3"/>
        <v>10</v>
      </c>
      <c r="L109" s="276">
        <f t="shared" si="2"/>
        <v>0</v>
      </c>
      <c r="M109" s="238" t="s">
        <v>1516</v>
      </c>
    </row>
    <row r="110" spans="1:13" s="207" customFormat="1" ht="183">
      <c r="A110" s="237">
        <v>89</v>
      </c>
      <c r="B110" s="237" t="s">
        <v>1233</v>
      </c>
      <c r="C110" s="238" t="s">
        <v>1325</v>
      </c>
      <c r="D110" s="239" t="e">
        <f>VLOOKUP(B110,[13]AssetDetails_UEM!$A$3:$X$1848,22,FALSE)</f>
        <v>#N/A</v>
      </c>
      <c r="E110" s="237" t="s">
        <v>1069</v>
      </c>
      <c r="F110" s="237" t="s">
        <v>1355</v>
      </c>
      <c r="G110" s="237" t="s">
        <v>1396</v>
      </c>
      <c r="H110" s="237" t="s">
        <v>1459</v>
      </c>
      <c r="I110" s="270" t="s">
        <v>609</v>
      </c>
      <c r="J110" s="271" t="s">
        <v>147</v>
      </c>
      <c r="K110" s="272" t="e">
        <f t="shared" si="3"/>
        <v>#N/A</v>
      </c>
      <c r="L110" s="273">
        <f t="shared" si="2"/>
        <v>0</v>
      </c>
      <c r="M110" s="238" t="s">
        <v>1517</v>
      </c>
    </row>
    <row r="111" spans="1:13" s="207" customFormat="1" ht="183">
      <c r="A111" s="237">
        <v>90</v>
      </c>
      <c r="B111" s="237" t="s">
        <v>1234</v>
      </c>
      <c r="C111" s="238" t="s">
        <v>730</v>
      </c>
      <c r="D111" s="239" t="e">
        <f>VLOOKUP(B111,[13]AssetDetails_UEM!$A$3:$X$1848,22,FALSE)</f>
        <v>#N/A</v>
      </c>
      <c r="E111" s="237" t="s">
        <v>1070</v>
      </c>
      <c r="F111" s="237" t="s">
        <v>1355</v>
      </c>
      <c r="G111" s="237" t="s">
        <v>1396</v>
      </c>
      <c r="H111" s="237" t="s">
        <v>1460</v>
      </c>
      <c r="I111" s="270" t="s">
        <v>609</v>
      </c>
      <c r="J111" s="271" t="s">
        <v>147</v>
      </c>
      <c r="K111" s="272" t="e">
        <f t="shared" si="3"/>
        <v>#N/A</v>
      </c>
      <c r="L111" s="273">
        <f t="shared" si="2"/>
        <v>0</v>
      </c>
      <c r="M111" s="238" t="s">
        <v>1508</v>
      </c>
    </row>
    <row r="112" spans="1:13" s="207" customFormat="1" ht="183">
      <c r="A112" s="237">
        <v>91</v>
      </c>
      <c r="B112" s="237" t="s">
        <v>258</v>
      </c>
      <c r="C112" s="238" t="s">
        <v>730</v>
      </c>
      <c r="D112" s="239">
        <f>VLOOKUP(B112,[13]AssetDetails_UEM!$A$3:$X$1848,22,FALSE)</f>
        <v>87400</v>
      </c>
      <c r="E112" s="237" t="s">
        <v>1071</v>
      </c>
      <c r="F112" s="237" t="s">
        <v>260</v>
      </c>
      <c r="G112" s="237" t="s">
        <v>1397</v>
      </c>
      <c r="H112" s="237" t="s">
        <v>1461</v>
      </c>
      <c r="I112" s="270" t="s">
        <v>609</v>
      </c>
      <c r="J112" s="271" t="s">
        <v>147</v>
      </c>
      <c r="K112" s="272">
        <f t="shared" si="3"/>
        <v>180</v>
      </c>
      <c r="L112" s="273">
        <f t="shared" si="2"/>
        <v>0</v>
      </c>
      <c r="M112" s="238" t="s">
        <v>1516</v>
      </c>
    </row>
    <row r="113" spans="1:13" s="207" customFormat="1" ht="183">
      <c r="A113" s="237">
        <v>92</v>
      </c>
      <c r="B113" s="237" t="s">
        <v>1235</v>
      </c>
      <c r="C113" s="238" t="s">
        <v>730</v>
      </c>
      <c r="D113" s="239">
        <f>VLOOKUP(B113,[13]AssetDetails_UEM!$A$3:$X$1848,22,FALSE)</f>
        <v>87400</v>
      </c>
      <c r="E113" s="237" t="s">
        <v>1072</v>
      </c>
      <c r="F113" s="237" t="s">
        <v>1362</v>
      </c>
      <c r="G113" s="237" t="s">
        <v>1397</v>
      </c>
      <c r="H113" s="237" t="s">
        <v>334</v>
      </c>
      <c r="I113" s="270" t="s">
        <v>609</v>
      </c>
      <c r="J113" s="271" t="s">
        <v>147</v>
      </c>
      <c r="K113" s="272">
        <f t="shared" si="3"/>
        <v>180</v>
      </c>
      <c r="L113" s="273">
        <f t="shared" si="2"/>
        <v>0</v>
      </c>
      <c r="M113" s="238" t="s">
        <v>1518</v>
      </c>
    </row>
    <row r="114" spans="1:13" s="207" customFormat="1" ht="141" customHeight="1">
      <c r="A114" s="237">
        <v>93</v>
      </c>
      <c r="B114" s="237" t="s">
        <v>354</v>
      </c>
      <c r="C114" s="238" t="s">
        <v>743</v>
      </c>
      <c r="D114" s="239">
        <f>VLOOKUP(B114,[13]AssetDetails_UEM!$A$3:$X$1848,22,FALSE)</f>
        <v>28630</v>
      </c>
      <c r="E114" s="237" t="s">
        <v>1073</v>
      </c>
      <c r="F114" s="237" t="s">
        <v>151</v>
      </c>
      <c r="G114" s="530">
        <v>46161</v>
      </c>
      <c r="H114" s="237" t="s">
        <v>1462</v>
      </c>
      <c r="I114" s="290">
        <v>46182</v>
      </c>
      <c r="J114" s="271" t="s">
        <v>147</v>
      </c>
      <c r="K114" s="272">
        <f t="shared" si="3"/>
        <v>60</v>
      </c>
      <c r="L114" s="273">
        <f t="shared" si="2"/>
        <v>0</v>
      </c>
      <c r="M114" s="238" t="s">
        <v>1510</v>
      </c>
    </row>
    <row r="115" spans="1:13" s="547" customFormat="1" ht="138.6" customHeight="1">
      <c r="A115" s="237">
        <v>94</v>
      </c>
      <c r="B115" s="536" t="s">
        <v>1236</v>
      </c>
      <c r="C115" s="537" t="s">
        <v>1326</v>
      </c>
      <c r="D115" s="546">
        <f>VLOOKUP(B115,[13]AssetDetails_UEM!$A$3:$X$1848,22,FALSE)</f>
        <v>18765</v>
      </c>
      <c r="E115" s="536" t="s">
        <v>1074</v>
      </c>
      <c r="F115" s="536" t="s">
        <v>1363</v>
      </c>
      <c r="G115" s="536" t="s">
        <v>1397</v>
      </c>
      <c r="H115" s="536" t="s">
        <v>1574</v>
      </c>
      <c r="I115" s="540" t="s">
        <v>609</v>
      </c>
      <c r="J115" s="541" t="s">
        <v>147</v>
      </c>
      <c r="K115" s="542">
        <f t="shared" si="3"/>
        <v>40</v>
      </c>
      <c r="L115" s="543">
        <f t="shared" si="2"/>
        <v>0</v>
      </c>
      <c r="M115" s="537" t="s">
        <v>1510</v>
      </c>
    </row>
    <row r="116" spans="1:13" s="207" customFormat="1" ht="161.1" customHeight="1">
      <c r="A116" s="237">
        <v>95</v>
      </c>
      <c r="B116" s="237" t="s">
        <v>1237</v>
      </c>
      <c r="C116" s="238" t="s">
        <v>1313</v>
      </c>
      <c r="D116" s="239">
        <f>VLOOKUP(B116,[13]AssetDetails_UEM!$A$3:$X$1848,22,FALSE)</f>
        <v>5050</v>
      </c>
      <c r="E116" s="237" t="s">
        <v>1075</v>
      </c>
      <c r="F116" s="237" t="s">
        <v>171</v>
      </c>
      <c r="G116" s="237" t="s">
        <v>1397</v>
      </c>
      <c r="H116" s="237" t="s">
        <v>1463</v>
      </c>
      <c r="I116" s="270" t="s">
        <v>609</v>
      </c>
      <c r="J116" s="271" t="s">
        <v>147</v>
      </c>
      <c r="K116" s="272">
        <f t="shared" si="3"/>
        <v>20</v>
      </c>
      <c r="L116" s="273">
        <f t="shared" si="2"/>
        <v>0</v>
      </c>
      <c r="M116" s="238" t="s">
        <v>1510</v>
      </c>
    </row>
    <row r="117" spans="1:13" s="207" customFormat="1" ht="172.5" customHeight="1">
      <c r="A117" s="237">
        <v>96</v>
      </c>
      <c r="B117" s="237" t="s">
        <v>1238</v>
      </c>
      <c r="C117" s="238" t="s">
        <v>724</v>
      </c>
      <c r="D117" s="239" t="e">
        <f>VLOOKUP(B117,[13]AssetDetails_UEM!$A$3:$X$1848,22,FALSE)</f>
        <v>#N/A</v>
      </c>
      <c r="E117" s="237" t="s">
        <v>1076</v>
      </c>
      <c r="F117" s="237" t="s">
        <v>1355</v>
      </c>
      <c r="G117" s="237" t="s">
        <v>1397</v>
      </c>
      <c r="H117" s="237" t="s">
        <v>341</v>
      </c>
      <c r="I117" s="270" t="s">
        <v>609</v>
      </c>
      <c r="J117" s="271" t="s">
        <v>147</v>
      </c>
      <c r="K117" s="272" t="e">
        <f t="shared" si="3"/>
        <v>#N/A</v>
      </c>
      <c r="L117" s="273">
        <f t="shared" si="2"/>
        <v>0</v>
      </c>
      <c r="M117" s="238" t="s">
        <v>1519</v>
      </c>
    </row>
    <row r="118" spans="1:13" s="207" customFormat="1" ht="146.4">
      <c r="A118" s="237">
        <v>97</v>
      </c>
      <c r="B118" s="237" t="s">
        <v>1240</v>
      </c>
      <c r="C118" s="238" t="s">
        <v>1327</v>
      </c>
      <c r="D118" s="239" t="e">
        <f>VLOOKUP(B118,[13]AssetDetails_UEM!$A$3:$X$1848,22,FALSE)</f>
        <v>#N/A</v>
      </c>
      <c r="E118" s="237" t="s">
        <v>1078</v>
      </c>
      <c r="F118" s="237" t="s">
        <v>1355</v>
      </c>
      <c r="G118" s="237" t="s">
        <v>1398</v>
      </c>
      <c r="H118" s="237" t="s">
        <v>1464</v>
      </c>
      <c r="I118" s="270" t="s">
        <v>609</v>
      </c>
      <c r="J118" s="271" t="s">
        <v>147</v>
      </c>
      <c r="K118" s="272" t="e">
        <f t="shared" si="3"/>
        <v>#N/A</v>
      </c>
      <c r="L118" s="273">
        <f t="shared" si="2"/>
        <v>0</v>
      </c>
      <c r="M118" s="238" t="s">
        <v>1520</v>
      </c>
    </row>
    <row r="119" spans="1:13" s="207" customFormat="1" ht="183">
      <c r="A119" s="237">
        <v>98</v>
      </c>
      <c r="B119" s="237" t="s">
        <v>1241</v>
      </c>
      <c r="C119" s="238" t="s">
        <v>1328</v>
      </c>
      <c r="D119" s="239" t="e">
        <f>VLOOKUP(B119,[13]AssetDetails_UEM!$A$3:$X$1848,22,FALSE)</f>
        <v>#N/A</v>
      </c>
      <c r="E119" s="237" t="s">
        <v>1079</v>
      </c>
      <c r="F119" s="237" t="s">
        <v>1355</v>
      </c>
      <c r="G119" s="237" t="s">
        <v>1398</v>
      </c>
      <c r="H119" s="237" t="s">
        <v>1465</v>
      </c>
      <c r="I119" s="270" t="s">
        <v>609</v>
      </c>
      <c r="J119" s="271" t="s">
        <v>147</v>
      </c>
      <c r="K119" s="272" t="e">
        <f t="shared" si="3"/>
        <v>#N/A</v>
      </c>
      <c r="L119" s="273">
        <f t="shared" si="2"/>
        <v>0</v>
      </c>
      <c r="M119" s="238" t="s">
        <v>1521</v>
      </c>
    </row>
    <row r="120" spans="1:13" s="207" customFormat="1" ht="263.25" customHeight="1">
      <c r="A120" s="237">
        <v>99</v>
      </c>
      <c r="B120" s="237" t="s">
        <v>1242</v>
      </c>
      <c r="C120" s="238" t="s">
        <v>1302</v>
      </c>
      <c r="D120" s="239">
        <f>VLOOKUP(B120,[13]AssetDetails_UEM!$A$3:$X$1848,22,FALSE)</f>
        <v>84200</v>
      </c>
      <c r="E120" s="237" t="s">
        <v>1080</v>
      </c>
      <c r="F120" s="237" t="s">
        <v>526</v>
      </c>
      <c r="G120" s="237" t="s">
        <v>1398</v>
      </c>
      <c r="H120" s="237" t="s">
        <v>365</v>
      </c>
      <c r="I120" s="270" t="s">
        <v>609</v>
      </c>
      <c r="J120" s="271" t="s">
        <v>147</v>
      </c>
      <c r="K120" s="272">
        <f t="shared" si="3"/>
        <v>170</v>
      </c>
      <c r="L120" s="273">
        <f t="shared" si="2"/>
        <v>0</v>
      </c>
      <c r="M120" s="502" t="s">
        <v>1543</v>
      </c>
    </row>
    <row r="121" spans="1:13" s="207" customFormat="1" ht="234.75" customHeight="1">
      <c r="A121" s="237">
        <v>100</v>
      </c>
      <c r="B121" s="237" t="s">
        <v>1243</v>
      </c>
      <c r="C121" s="238" t="s">
        <v>1305</v>
      </c>
      <c r="D121" s="239">
        <f>VLOOKUP(B121,[13]AssetDetails_UEM!$A$3:$X$1848,22,FALSE)</f>
        <v>6615</v>
      </c>
      <c r="E121" s="237" t="s">
        <v>1081</v>
      </c>
      <c r="F121" s="237" t="s">
        <v>526</v>
      </c>
      <c r="G121" s="237" t="s">
        <v>1398</v>
      </c>
      <c r="H121" s="237" t="s">
        <v>1466</v>
      </c>
      <c r="I121" s="270" t="s">
        <v>609</v>
      </c>
      <c r="J121" s="271" t="s">
        <v>147</v>
      </c>
      <c r="K121" s="272">
        <f t="shared" si="3"/>
        <v>20</v>
      </c>
      <c r="L121" s="273">
        <f t="shared" si="2"/>
        <v>0</v>
      </c>
      <c r="M121" s="502" t="s">
        <v>1542</v>
      </c>
    </row>
    <row r="122" spans="1:13" s="207" customFormat="1" ht="256.2">
      <c r="A122" s="237">
        <v>101</v>
      </c>
      <c r="B122" s="237" t="s">
        <v>1244</v>
      </c>
      <c r="C122" s="238" t="s">
        <v>1303</v>
      </c>
      <c r="D122" s="239">
        <f>VLOOKUP(B122,[13]AssetDetails_UEM!$A$3:$X$1848,22,FALSE)</f>
        <v>10225</v>
      </c>
      <c r="E122" s="237" t="s">
        <v>1082</v>
      </c>
      <c r="F122" s="237" t="s">
        <v>526</v>
      </c>
      <c r="G122" s="237" t="s">
        <v>1398</v>
      </c>
      <c r="H122" s="237" t="s">
        <v>1465</v>
      </c>
      <c r="I122" s="270" t="s">
        <v>609</v>
      </c>
      <c r="J122" s="271" t="s">
        <v>147</v>
      </c>
      <c r="K122" s="272">
        <f t="shared" si="3"/>
        <v>30</v>
      </c>
      <c r="L122" s="273">
        <f t="shared" si="2"/>
        <v>0</v>
      </c>
      <c r="M122" s="502" t="s">
        <v>1491</v>
      </c>
    </row>
    <row r="123" spans="1:13" s="207" customFormat="1" ht="183">
      <c r="A123" s="237">
        <v>102</v>
      </c>
      <c r="B123" s="237" t="s">
        <v>1245</v>
      </c>
      <c r="C123" s="238" t="s">
        <v>1303</v>
      </c>
      <c r="D123" s="239">
        <f>VLOOKUP(B123,[13]AssetDetails_UEM!$A$3:$X$1848,22,FALSE)</f>
        <v>10225</v>
      </c>
      <c r="E123" s="237" t="s">
        <v>1083</v>
      </c>
      <c r="F123" s="237" t="s">
        <v>526</v>
      </c>
      <c r="G123" s="237" t="s">
        <v>1398</v>
      </c>
      <c r="H123" s="237" t="s">
        <v>1467</v>
      </c>
      <c r="I123" s="270" t="s">
        <v>609</v>
      </c>
      <c r="J123" s="271" t="s">
        <v>147</v>
      </c>
      <c r="K123" s="272">
        <f t="shared" si="3"/>
        <v>30</v>
      </c>
      <c r="L123" s="273">
        <f t="shared" si="2"/>
        <v>0</v>
      </c>
      <c r="M123" s="238" t="s">
        <v>1522</v>
      </c>
    </row>
    <row r="124" spans="1:13" s="207" customFormat="1" ht="256.2">
      <c r="A124" s="237">
        <v>103</v>
      </c>
      <c r="B124" s="237" t="s">
        <v>1246</v>
      </c>
      <c r="C124" s="238" t="s">
        <v>1303</v>
      </c>
      <c r="D124" s="239">
        <f>VLOOKUP(B124,[13]AssetDetails_UEM!$A$3:$X$1848,22,FALSE)</f>
        <v>10225</v>
      </c>
      <c r="E124" s="237" t="s">
        <v>1084</v>
      </c>
      <c r="F124" s="237" t="s">
        <v>526</v>
      </c>
      <c r="G124" s="237" t="s">
        <v>1398</v>
      </c>
      <c r="H124" s="237" t="s">
        <v>371</v>
      </c>
      <c r="I124" s="270" t="s">
        <v>609</v>
      </c>
      <c r="J124" s="271" t="s">
        <v>147</v>
      </c>
      <c r="K124" s="272">
        <f t="shared" si="3"/>
        <v>30</v>
      </c>
      <c r="L124" s="273">
        <f t="shared" si="2"/>
        <v>0</v>
      </c>
      <c r="M124" s="502" t="s">
        <v>1542</v>
      </c>
    </row>
    <row r="125" spans="1:13" s="207" customFormat="1" ht="256.2">
      <c r="A125" s="237">
        <v>104</v>
      </c>
      <c r="B125" s="237" t="s">
        <v>1247</v>
      </c>
      <c r="C125" s="238" t="s">
        <v>1303</v>
      </c>
      <c r="D125" s="239">
        <f>VLOOKUP(B125,[13]AssetDetails_UEM!$A$3:$X$1848,22,FALSE)</f>
        <v>10225</v>
      </c>
      <c r="E125" s="237" t="s">
        <v>1085</v>
      </c>
      <c r="F125" s="237" t="s">
        <v>526</v>
      </c>
      <c r="G125" s="237" t="s">
        <v>1398</v>
      </c>
      <c r="H125" s="237" t="s">
        <v>380</v>
      </c>
      <c r="I125" s="270" t="s">
        <v>609</v>
      </c>
      <c r="J125" s="271" t="s">
        <v>147</v>
      </c>
      <c r="K125" s="272">
        <f t="shared" si="3"/>
        <v>30</v>
      </c>
      <c r="L125" s="273">
        <f t="shared" si="2"/>
        <v>0</v>
      </c>
      <c r="M125" s="502" t="s">
        <v>1491</v>
      </c>
    </row>
    <row r="126" spans="1:13" s="207" customFormat="1" ht="256.2">
      <c r="A126" s="237">
        <v>105</v>
      </c>
      <c r="B126" s="237" t="s">
        <v>1248</v>
      </c>
      <c r="C126" s="238" t="s">
        <v>1303</v>
      </c>
      <c r="D126" s="239">
        <f>VLOOKUP(B126,[13]AssetDetails_UEM!$A$3:$X$1848,22,FALSE)</f>
        <v>10225</v>
      </c>
      <c r="E126" s="237" t="s">
        <v>1086</v>
      </c>
      <c r="F126" s="237" t="s">
        <v>526</v>
      </c>
      <c r="G126" s="237" t="s">
        <v>1398</v>
      </c>
      <c r="H126" s="237" t="s">
        <v>1468</v>
      </c>
      <c r="I126" s="270" t="s">
        <v>609</v>
      </c>
      <c r="J126" s="271" t="s">
        <v>147</v>
      </c>
      <c r="K126" s="272">
        <f t="shared" si="3"/>
        <v>30</v>
      </c>
      <c r="L126" s="273">
        <f t="shared" si="2"/>
        <v>0</v>
      </c>
      <c r="M126" s="502" t="s">
        <v>1491</v>
      </c>
    </row>
    <row r="127" spans="1:13" s="207" customFormat="1" ht="256.2">
      <c r="A127" s="237">
        <v>106</v>
      </c>
      <c r="B127" s="237" t="s">
        <v>1249</v>
      </c>
      <c r="C127" s="238" t="s">
        <v>1303</v>
      </c>
      <c r="D127" s="239">
        <f>VLOOKUP(B127,[13]AssetDetails_UEM!$A$3:$X$1848,22,FALSE)</f>
        <v>10225</v>
      </c>
      <c r="E127" s="237" t="s">
        <v>1087</v>
      </c>
      <c r="F127" s="237" t="s">
        <v>526</v>
      </c>
      <c r="G127" s="237" t="s">
        <v>1398</v>
      </c>
      <c r="H127" s="237" t="s">
        <v>1464</v>
      </c>
      <c r="I127" s="270" t="s">
        <v>609</v>
      </c>
      <c r="J127" s="271" t="s">
        <v>147</v>
      </c>
      <c r="K127" s="272">
        <f t="shared" si="3"/>
        <v>30</v>
      </c>
      <c r="L127" s="273">
        <f t="shared" si="2"/>
        <v>0</v>
      </c>
      <c r="M127" s="502" t="s">
        <v>1491</v>
      </c>
    </row>
    <row r="128" spans="1:13" s="207" customFormat="1" ht="219.6">
      <c r="A128" s="237">
        <v>107</v>
      </c>
      <c r="B128" s="237" t="s">
        <v>1250</v>
      </c>
      <c r="C128" s="238" t="s">
        <v>703</v>
      </c>
      <c r="D128" s="239">
        <f>VLOOKUP(B128,[13]AssetDetails_UEM!$A$3:$X$1848,22,FALSE)</f>
        <v>10825</v>
      </c>
      <c r="E128" s="237" t="s">
        <v>1088</v>
      </c>
      <c r="F128" s="237" t="s">
        <v>526</v>
      </c>
      <c r="G128" s="237" t="s">
        <v>1398</v>
      </c>
      <c r="H128" s="237" t="s">
        <v>1469</v>
      </c>
      <c r="I128" s="270" t="s">
        <v>609</v>
      </c>
      <c r="J128" s="271" t="s">
        <v>147</v>
      </c>
      <c r="K128" s="272">
        <f t="shared" si="3"/>
        <v>30</v>
      </c>
      <c r="L128" s="273">
        <f t="shared" si="2"/>
        <v>0</v>
      </c>
      <c r="M128" s="502" t="s">
        <v>1544</v>
      </c>
    </row>
    <row r="129" spans="1:14" s="207" customFormat="1" ht="219.6">
      <c r="A129" s="237">
        <v>108</v>
      </c>
      <c r="B129" s="237" t="s">
        <v>1251</v>
      </c>
      <c r="C129" s="238" t="s">
        <v>703</v>
      </c>
      <c r="D129" s="239">
        <f>VLOOKUP(B129,[13]AssetDetails_UEM!$A$3:$X$1848,22,FALSE)</f>
        <v>10825</v>
      </c>
      <c r="E129" s="237" t="s">
        <v>1089</v>
      </c>
      <c r="F129" s="237" t="s">
        <v>526</v>
      </c>
      <c r="G129" s="237" t="s">
        <v>1398</v>
      </c>
      <c r="H129" s="237" t="s">
        <v>1470</v>
      </c>
      <c r="I129" s="270" t="s">
        <v>609</v>
      </c>
      <c r="J129" s="271" t="s">
        <v>147</v>
      </c>
      <c r="K129" s="272">
        <f t="shared" si="3"/>
        <v>30</v>
      </c>
      <c r="L129" s="273">
        <f t="shared" si="2"/>
        <v>0</v>
      </c>
      <c r="M129" s="238" t="s">
        <v>1523</v>
      </c>
    </row>
    <row r="130" spans="1:14" s="207" customFormat="1" ht="109.8">
      <c r="A130" s="237">
        <v>109</v>
      </c>
      <c r="B130" s="237" t="s">
        <v>1252</v>
      </c>
      <c r="C130" s="238" t="s">
        <v>703</v>
      </c>
      <c r="D130" s="239">
        <f>VLOOKUP(B130,[13]AssetDetails_UEM!$A$3:$X$1848,22,FALSE)</f>
        <v>10825</v>
      </c>
      <c r="E130" s="237" t="s">
        <v>1090</v>
      </c>
      <c r="F130" s="237" t="s">
        <v>583</v>
      </c>
      <c r="G130" s="237" t="s">
        <v>1398</v>
      </c>
      <c r="H130" s="237" t="s">
        <v>1468</v>
      </c>
      <c r="I130" s="270" t="s">
        <v>609</v>
      </c>
      <c r="J130" s="271" t="s">
        <v>147</v>
      </c>
      <c r="K130" s="272">
        <f t="shared" si="3"/>
        <v>30</v>
      </c>
      <c r="L130" s="273">
        <f t="shared" si="2"/>
        <v>0</v>
      </c>
      <c r="M130" s="502" t="s">
        <v>1545</v>
      </c>
    </row>
    <row r="131" spans="1:14" s="207" customFormat="1" ht="146.4">
      <c r="A131" s="237">
        <v>110</v>
      </c>
      <c r="B131" s="237" t="s">
        <v>722</v>
      </c>
      <c r="C131" s="238" t="s">
        <v>703</v>
      </c>
      <c r="D131" s="239">
        <f>VLOOKUP(B131,[13]AssetDetails_UEM!$A$3:$X$1848,22,FALSE)</f>
        <v>10825</v>
      </c>
      <c r="E131" s="237" t="s">
        <v>1091</v>
      </c>
      <c r="F131" s="237" t="s">
        <v>583</v>
      </c>
      <c r="G131" s="237" t="s">
        <v>1398</v>
      </c>
      <c r="H131" s="237" t="s">
        <v>1466</v>
      </c>
      <c r="I131" s="270" t="s">
        <v>609</v>
      </c>
      <c r="J131" s="271" t="s">
        <v>147</v>
      </c>
      <c r="K131" s="272">
        <f t="shared" si="3"/>
        <v>30</v>
      </c>
      <c r="L131" s="273">
        <f t="shared" ref="L131:L182" si="4">IF(J131="N",0,K131)</f>
        <v>0</v>
      </c>
      <c r="M131" s="238" t="s">
        <v>1510</v>
      </c>
    </row>
    <row r="132" spans="1:14" s="547" customFormat="1" ht="142.5" customHeight="1">
      <c r="A132" s="237">
        <v>111</v>
      </c>
      <c r="B132" s="536" t="s">
        <v>1253</v>
      </c>
      <c r="C132" s="537" t="s">
        <v>1329</v>
      </c>
      <c r="D132" s="546">
        <f>VLOOKUP(B132,[13]AssetDetails_UEM!$A$3:$X$1848,22,FALSE)</f>
        <v>50000</v>
      </c>
      <c r="E132" s="536" t="s">
        <v>1092</v>
      </c>
      <c r="F132" s="536" t="s">
        <v>1364</v>
      </c>
      <c r="G132" s="536" t="s">
        <v>1398</v>
      </c>
      <c r="H132" s="536" t="s">
        <v>1576</v>
      </c>
      <c r="I132" s="540" t="s">
        <v>609</v>
      </c>
      <c r="J132" s="541" t="s">
        <v>147</v>
      </c>
      <c r="K132" s="542">
        <f t="shared" ref="K132:K182" si="5">ROUNDUP((D132/4999.99)*10,-1)</f>
        <v>110</v>
      </c>
      <c r="L132" s="543">
        <f t="shared" si="4"/>
        <v>0</v>
      </c>
      <c r="M132" s="537" t="s">
        <v>1575</v>
      </c>
    </row>
    <row r="133" spans="1:14" s="207" customFormat="1" ht="183">
      <c r="A133" s="237">
        <v>112</v>
      </c>
      <c r="B133" s="237" t="s">
        <v>1254</v>
      </c>
      <c r="C133" s="238" t="s">
        <v>1324</v>
      </c>
      <c r="D133" s="239">
        <f>VLOOKUP(B133,[13]AssetDetails_UEM!$A$3:$X$1848,22,FALSE)</f>
        <v>4950</v>
      </c>
      <c r="E133" s="237" t="s">
        <v>1093</v>
      </c>
      <c r="F133" s="237" t="s">
        <v>398</v>
      </c>
      <c r="G133" s="237" t="s">
        <v>1398</v>
      </c>
      <c r="H133" s="237" t="s">
        <v>1471</v>
      </c>
      <c r="I133" s="270" t="s">
        <v>609</v>
      </c>
      <c r="J133" s="271" t="s">
        <v>147</v>
      </c>
      <c r="K133" s="272">
        <f t="shared" si="5"/>
        <v>10</v>
      </c>
      <c r="L133" s="273">
        <f t="shared" si="4"/>
        <v>0</v>
      </c>
      <c r="M133" s="238" t="s">
        <v>1516</v>
      </c>
    </row>
    <row r="134" spans="1:14" s="207" customFormat="1" ht="183">
      <c r="A134" s="237">
        <v>113</v>
      </c>
      <c r="B134" s="237" t="s">
        <v>1255</v>
      </c>
      <c r="C134" s="238" t="s">
        <v>1324</v>
      </c>
      <c r="D134" s="239">
        <f>VLOOKUP(B134,[13]AssetDetails_UEM!$A$3:$X$1848,22,FALSE)</f>
        <v>4950</v>
      </c>
      <c r="E134" s="237" t="s">
        <v>1094</v>
      </c>
      <c r="F134" s="237" t="s">
        <v>574</v>
      </c>
      <c r="G134" s="237" t="s">
        <v>1398</v>
      </c>
      <c r="H134" s="237" t="s">
        <v>1472</v>
      </c>
      <c r="I134" s="270" t="s">
        <v>609</v>
      </c>
      <c r="J134" s="271" t="s">
        <v>147</v>
      </c>
      <c r="K134" s="272">
        <f t="shared" si="5"/>
        <v>10</v>
      </c>
      <c r="L134" s="273">
        <f t="shared" si="4"/>
        <v>0</v>
      </c>
      <c r="M134" s="238" t="s">
        <v>1516</v>
      </c>
    </row>
    <row r="135" spans="1:14" s="547" customFormat="1" ht="127.5" customHeight="1">
      <c r="A135" s="237">
        <v>114</v>
      </c>
      <c r="B135" s="536" t="s">
        <v>1256</v>
      </c>
      <c r="C135" s="537" t="s">
        <v>1330</v>
      </c>
      <c r="D135" s="546">
        <f>VLOOKUP(B135,[13]AssetDetails_UEM!$A$3:$X$1848,22,FALSE)</f>
        <v>12630</v>
      </c>
      <c r="E135" s="536" t="s">
        <v>1095</v>
      </c>
      <c r="F135" s="536" t="s">
        <v>1345</v>
      </c>
      <c r="G135" s="536" t="s">
        <v>1398</v>
      </c>
      <c r="H135" s="539">
        <v>46162.555555555555</v>
      </c>
      <c r="I135" s="540" t="s">
        <v>609</v>
      </c>
      <c r="J135" s="541" t="s">
        <v>147</v>
      </c>
      <c r="K135" s="542">
        <f t="shared" si="5"/>
        <v>30</v>
      </c>
      <c r="L135" s="543">
        <f t="shared" si="4"/>
        <v>0</v>
      </c>
      <c r="M135" s="537" t="s">
        <v>1516</v>
      </c>
    </row>
    <row r="136" spans="1:14" s="535" customFormat="1" ht="175.05" customHeight="1">
      <c r="A136" s="237">
        <v>115</v>
      </c>
      <c r="B136" s="528" t="s">
        <v>1257</v>
      </c>
      <c r="C136" s="502" t="s">
        <v>1324</v>
      </c>
      <c r="D136" s="529">
        <f>VLOOKUP(B136,[13]AssetDetails_UEM!$A$3:$X$1848,22,FALSE)</f>
        <v>15515</v>
      </c>
      <c r="E136" s="528" t="s">
        <v>1096</v>
      </c>
      <c r="F136" s="528" t="s">
        <v>398</v>
      </c>
      <c r="G136" s="528" t="s">
        <v>1398</v>
      </c>
      <c r="H136" s="530">
        <v>46162.458333333336</v>
      </c>
      <c r="I136" s="531" t="s">
        <v>609</v>
      </c>
      <c r="J136" s="532" t="s">
        <v>147</v>
      </c>
      <c r="K136" s="533">
        <f t="shared" si="5"/>
        <v>40</v>
      </c>
      <c r="L136" s="534">
        <f t="shared" si="4"/>
        <v>0</v>
      </c>
      <c r="M136" s="502" t="s">
        <v>1516</v>
      </c>
      <c r="N136" s="558"/>
    </row>
    <row r="137" spans="1:14" s="547" customFormat="1" ht="219.6">
      <c r="A137" s="237">
        <v>116</v>
      </c>
      <c r="B137" s="536" t="s">
        <v>1258</v>
      </c>
      <c r="C137" s="537" t="s">
        <v>1331</v>
      </c>
      <c r="D137" s="546">
        <f>VLOOKUP(B137,[13]AssetDetails_UEM!$A$3:$X$1848,22,FALSE)</f>
        <v>7000</v>
      </c>
      <c r="E137" s="536" t="s">
        <v>1097</v>
      </c>
      <c r="F137" s="536" t="s">
        <v>1364</v>
      </c>
      <c r="G137" s="536" t="s">
        <v>1399</v>
      </c>
      <c r="H137" s="536" t="s">
        <v>387</v>
      </c>
      <c r="I137" s="540" t="s">
        <v>609</v>
      </c>
      <c r="J137" s="541" t="s">
        <v>147</v>
      </c>
      <c r="K137" s="542">
        <f t="shared" si="5"/>
        <v>20</v>
      </c>
      <c r="L137" s="543">
        <f t="shared" si="4"/>
        <v>0</v>
      </c>
      <c r="M137" s="537" t="s">
        <v>1577</v>
      </c>
    </row>
    <row r="138" spans="1:14" s="207" customFormat="1" ht="159" customHeight="1">
      <c r="A138" s="237">
        <v>117</v>
      </c>
      <c r="B138" s="237" t="s">
        <v>460</v>
      </c>
      <c r="C138" s="238" t="s">
        <v>1332</v>
      </c>
      <c r="D138" s="239">
        <f>VLOOKUP(B138,[13]AssetDetails_UEM!$A$3:$X$1848,22,FALSE)</f>
        <v>1958605</v>
      </c>
      <c r="E138" s="237" t="s">
        <v>1098</v>
      </c>
      <c r="F138" s="237" t="s">
        <v>462</v>
      </c>
      <c r="G138" s="237" t="s">
        <v>1400</v>
      </c>
      <c r="H138" s="237" t="s">
        <v>1473</v>
      </c>
      <c r="I138" s="270" t="s">
        <v>609</v>
      </c>
      <c r="J138" s="271" t="s">
        <v>147</v>
      </c>
      <c r="K138" s="272">
        <f t="shared" si="5"/>
        <v>3920</v>
      </c>
      <c r="L138" s="273">
        <f t="shared" si="4"/>
        <v>0</v>
      </c>
      <c r="M138" s="238" t="s">
        <v>1524</v>
      </c>
    </row>
    <row r="139" spans="1:14" s="207" customFormat="1" ht="159" customHeight="1">
      <c r="A139" s="237">
        <v>118</v>
      </c>
      <c r="B139" s="237" t="s">
        <v>1259</v>
      </c>
      <c r="C139" s="238" t="s">
        <v>1332</v>
      </c>
      <c r="D139" s="239">
        <f>VLOOKUP(B139,[13]AssetDetails_UEM!$A$3:$X$1848,22,FALSE)</f>
        <v>1958605</v>
      </c>
      <c r="E139" s="237" t="s">
        <v>1099</v>
      </c>
      <c r="F139" s="237" t="s">
        <v>1365</v>
      </c>
      <c r="G139" s="237" t="s">
        <v>1400</v>
      </c>
      <c r="H139" s="237" t="s">
        <v>1474</v>
      </c>
      <c r="I139" s="270" t="s">
        <v>609</v>
      </c>
      <c r="J139" s="271" t="s">
        <v>147</v>
      </c>
      <c r="K139" s="272">
        <f t="shared" si="5"/>
        <v>3920</v>
      </c>
      <c r="L139" s="273">
        <f t="shared" si="4"/>
        <v>0</v>
      </c>
      <c r="M139" s="238" t="s">
        <v>1525</v>
      </c>
    </row>
    <row r="140" spans="1:14" s="547" customFormat="1" ht="124.05" customHeight="1">
      <c r="A140" s="237">
        <v>119</v>
      </c>
      <c r="B140" s="536" t="s">
        <v>1260</v>
      </c>
      <c r="C140" s="537" t="s">
        <v>719</v>
      </c>
      <c r="D140" s="546">
        <f>VLOOKUP(B140,[13]AssetDetails_UEM!$A$3:$X$1848,22,FALSE)</f>
        <v>1163300</v>
      </c>
      <c r="E140" s="536" t="s">
        <v>1100</v>
      </c>
      <c r="F140" s="536" t="s">
        <v>1344</v>
      </c>
      <c r="G140" s="536" t="s">
        <v>1400</v>
      </c>
      <c r="H140" s="539">
        <v>46164.583333333336</v>
      </c>
      <c r="I140" s="540" t="s">
        <v>609</v>
      </c>
      <c r="J140" s="541" t="s">
        <v>147</v>
      </c>
      <c r="K140" s="542">
        <f t="shared" si="5"/>
        <v>2330</v>
      </c>
      <c r="L140" s="543">
        <f t="shared" si="4"/>
        <v>0</v>
      </c>
      <c r="M140" s="537" t="s">
        <v>1552</v>
      </c>
    </row>
    <row r="141" spans="1:14" s="207" customFormat="1" ht="124.05" customHeight="1">
      <c r="A141" s="237">
        <v>120</v>
      </c>
      <c r="B141" s="237" t="s">
        <v>1261</v>
      </c>
      <c r="C141" s="238" t="s">
        <v>1333</v>
      </c>
      <c r="D141" s="239">
        <f>VLOOKUP(B141,[13]AssetDetails_UEM!$A$3:$X$1848,22,FALSE)</f>
        <v>7050</v>
      </c>
      <c r="E141" s="237" t="s">
        <v>1101</v>
      </c>
      <c r="F141" s="237" t="s">
        <v>1366</v>
      </c>
      <c r="G141" s="237" t="s">
        <v>1400</v>
      </c>
      <c r="H141" s="237" t="s">
        <v>1475</v>
      </c>
      <c r="I141" s="270" t="s">
        <v>609</v>
      </c>
      <c r="J141" s="271" t="s">
        <v>147</v>
      </c>
      <c r="K141" s="272">
        <f t="shared" si="5"/>
        <v>20</v>
      </c>
      <c r="L141" s="273">
        <f t="shared" si="4"/>
        <v>0</v>
      </c>
      <c r="M141" s="238" t="s">
        <v>1526</v>
      </c>
    </row>
    <row r="142" spans="1:14" s="207" customFormat="1" ht="124.05" customHeight="1">
      <c r="A142" s="237">
        <v>121</v>
      </c>
      <c r="B142" s="237" t="s">
        <v>1262</v>
      </c>
      <c r="C142" s="238" t="s">
        <v>1333</v>
      </c>
      <c r="D142" s="239">
        <f>VLOOKUP(B142,[13]AssetDetails_UEM!$A$3:$X$1848,22,FALSE)</f>
        <v>7050</v>
      </c>
      <c r="E142" s="237" t="s">
        <v>1102</v>
      </c>
      <c r="F142" s="237" t="s">
        <v>1342</v>
      </c>
      <c r="G142" s="237" t="s">
        <v>1400</v>
      </c>
      <c r="H142" s="237" t="s">
        <v>1475</v>
      </c>
      <c r="I142" s="270" t="s">
        <v>609</v>
      </c>
      <c r="J142" s="271" t="s">
        <v>147</v>
      </c>
      <c r="K142" s="272">
        <f t="shared" si="5"/>
        <v>20</v>
      </c>
      <c r="L142" s="273">
        <f t="shared" si="4"/>
        <v>0</v>
      </c>
      <c r="M142" s="238" t="s">
        <v>1527</v>
      </c>
    </row>
    <row r="143" spans="1:14" s="207" customFormat="1" ht="146.4">
      <c r="A143" s="237">
        <v>122</v>
      </c>
      <c r="B143" s="237" t="s">
        <v>1263</v>
      </c>
      <c r="C143" s="238" t="s">
        <v>1308</v>
      </c>
      <c r="D143" s="239">
        <f>VLOOKUP(B143,[13]AssetDetails_UEM!$A$3:$X$1848,22,FALSE)</f>
        <v>16240</v>
      </c>
      <c r="E143" s="237" t="s">
        <v>1103</v>
      </c>
      <c r="F143" s="237" t="s">
        <v>377</v>
      </c>
      <c r="G143" s="237" t="s">
        <v>1400</v>
      </c>
      <c r="H143" s="237" t="s">
        <v>1476</v>
      </c>
      <c r="I143" s="270" t="s">
        <v>609</v>
      </c>
      <c r="J143" s="271" t="s">
        <v>147</v>
      </c>
      <c r="K143" s="272">
        <f t="shared" si="5"/>
        <v>40</v>
      </c>
      <c r="L143" s="273">
        <f t="shared" si="4"/>
        <v>0</v>
      </c>
      <c r="M143" s="238" t="s">
        <v>1528</v>
      </c>
    </row>
    <row r="144" spans="1:14" s="207" customFormat="1" ht="159" customHeight="1">
      <c r="A144" s="237">
        <v>123</v>
      </c>
      <c r="B144" s="237" t="s">
        <v>1264</v>
      </c>
      <c r="C144" s="238" t="s">
        <v>1324</v>
      </c>
      <c r="D144" s="239">
        <f>VLOOKUP(B144,[13]AssetDetails_UEM!$A$3:$X$1848,22,FALSE)</f>
        <v>4950</v>
      </c>
      <c r="E144" s="237" t="s">
        <v>1104</v>
      </c>
      <c r="F144" s="237" t="s">
        <v>1367</v>
      </c>
      <c r="G144" s="237" t="s">
        <v>1400</v>
      </c>
      <c r="H144" s="237" t="s">
        <v>1474</v>
      </c>
      <c r="I144" s="270" t="s">
        <v>609</v>
      </c>
      <c r="J144" s="271" t="s">
        <v>147</v>
      </c>
      <c r="K144" s="272">
        <f t="shared" si="5"/>
        <v>10</v>
      </c>
      <c r="L144" s="273">
        <f t="shared" si="4"/>
        <v>0</v>
      </c>
      <c r="M144" s="238" t="s">
        <v>1529</v>
      </c>
    </row>
    <row r="145" spans="1:14" s="547" customFormat="1" ht="219.6">
      <c r="A145" s="237">
        <v>124</v>
      </c>
      <c r="B145" s="536" t="s">
        <v>1265</v>
      </c>
      <c r="C145" s="537" t="s">
        <v>1334</v>
      </c>
      <c r="D145" s="546">
        <f>VLOOKUP(B145,[13]AssetDetails_UEM!$A$3:$X$1848,22,FALSE)</f>
        <v>227540</v>
      </c>
      <c r="E145" s="536" t="s">
        <v>1105</v>
      </c>
      <c r="F145" s="536" t="s">
        <v>1349</v>
      </c>
      <c r="G145" s="536" t="s">
        <v>1400</v>
      </c>
      <c r="H145" s="536" t="s">
        <v>1579</v>
      </c>
      <c r="I145" s="540" t="s">
        <v>609</v>
      </c>
      <c r="J145" s="541" t="s">
        <v>147</v>
      </c>
      <c r="K145" s="542">
        <f t="shared" si="5"/>
        <v>460</v>
      </c>
      <c r="L145" s="543">
        <f t="shared" si="4"/>
        <v>0</v>
      </c>
      <c r="M145" s="537" t="s">
        <v>1578</v>
      </c>
    </row>
    <row r="146" spans="1:14" s="524" customFormat="1" ht="292.8">
      <c r="A146" s="237">
        <v>125</v>
      </c>
      <c r="B146" s="528" t="s">
        <v>157</v>
      </c>
      <c r="C146" s="502" t="s">
        <v>908</v>
      </c>
      <c r="D146" s="529">
        <f>VLOOKUP(B146,[13]AssetDetails_UEM!$A$3:$X$1848,22,FALSE)</f>
        <v>19351760</v>
      </c>
      <c r="E146" s="528" t="s">
        <v>1106</v>
      </c>
      <c r="F146" s="528" t="s">
        <v>159</v>
      </c>
      <c r="G146" s="528" t="s">
        <v>1401</v>
      </c>
      <c r="H146" s="530">
        <v>46157.770833333336</v>
      </c>
      <c r="I146" s="531" t="s">
        <v>609</v>
      </c>
      <c r="J146" s="532" t="s">
        <v>147</v>
      </c>
      <c r="K146" s="533">
        <f t="shared" si="5"/>
        <v>38710</v>
      </c>
      <c r="L146" s="523">
        <f t="shared" si="4"/>
        <v>0</v>
      </c>
      <c r="M146" s="502" t="s">
        <v>1621</v>
      </c>
      <c r="N146" s="555" t="s">
        <v>1622</v>
      </c>
    </row>
    <row r="147" spans="1:14" s="207" customFormat="1" ht="292.8">
      <c r="A147" s="237">
        <v>126</v>
      </c>
      <c r="B147" s="237" t="s">
        <v>1266</v>
      </c>
      <c r="C147" s="238" t="s">
        <v>1302</v>
      </c>
      <c r="D147" s="239">
        <f>VLOOKUP(B147,[13]AssetDetails_UEM!$A$3:$X$1848,22,FALSE)</f>
        <v>84200</v>
      </c>
      <c r="E147" s="237" t="s">
        <v>1107</v>
      </c>
      <c r="F147" s="237" t="s">
        <v>1368</v>
      </c>
      <c r="G147" s="237" t="s">
        <v>1402</v>
      </c>
      <c r="H147" s="237" t="s">
        <v>1477</v>
      </c>
      <c r="I147" s="270" t="s">
        <v>609</v>
      </c>
      <c r="J147" s="271" t="s">
        <v>147</v>
      </c>
      <c r="K147" s="272">
        <f t="shared" si="5"/>
        <v>170</v>
      </c>
      <c r="L147" s="273">
        <f t="shared" si="4"/>
        <v>0</v>
      </c>
      <c r="M147" s="238" t="s">
        <v>1492</v>
      </c>
    </row>
    <row r="148" spans="1:14" s="207" customFormat="1" ht="292.8">
      <c r="A148" s="237">
        <v>127</v>
      </c>
      <c r="B148" s="237" t="s">
        <v>1267</v>
      </c>
      <c r="C148" s="238" t="s">
        <v>1305</v>
      </c>
      <c r="D148" s="239">
        <f>VLOOKUP(B148,[13]AssetDetails_UEM!$A$3:$X$1848,22,FALSE)</f>
        <v>6615</v>
      </c>
      <c r="E148" s="237" t="s">
        <v>1108</v>
      </c>
      <c r="F148" s="237" t="s">
        <v>1368</v>
      </c>
      <c r="G148" s="237" t="s">
        <v>1402</v>
      </c>
      <c r="H148" s="237" t="s">
        <v>1478</v>
      </c>
      <c r="I148" s="270" t="s">
        <v>609</v>
      </c>
      <c r="J148" s="271" t="s">
        <v>147</v>
      </c>
      <c r="K148" s="272">
        <f t="shared" si="5"/>
        <v>20</v>
      </c>
      <c r="L148" s="273">
        <f t="shared" si="4"/>
        <v>0</v>
      </c>
      <c r="M148" s="238" t="s">
        <v>1530</v>
      </c>
    </row>
    <row r="149" spans="1:14" s="207" customFormat="1" ht="292.8">
      <c r="A149" s="237">
        <v>128</v>
      </c>
      <c r="B149" s="237" t="s">
        <v>1268</v>
      </c>
      <c r="C149" s="238" t="s">
        <v>1303</v>
      </c>
      <c r="D149" s="239">
        <f>VLOOKUP(B149,[13]AssetDetails_UEM!$A$3:$X$1848,22,FALSE)</f>
        <v>10225</v>
      </c>
      <c r="E149" s="237" t="s">
        <v>1109</v>
      </c>
      <c r="F149" s="237" t="s">
        <v>1368</v>
      </c>
      <c r="G149" s="237" t="s">
        <v>1402</v>
      </c>
      <c r="H149" s="237" t="s">
        <v>468</v>
      </c>
      <c r="I149" s="270" t="s">
        <v>609</v>
      </c>
      <c r="J149" s="271" t="s">
        <v>147</v>
      </c>
      <c r="K149" s="272">
        <f t="shared" si="5"/>
        <v>30</v>
      </c>
      <c r="L149" s="273">
        <f t="shared" si="4"/>
        <v>0</v>
      </c>
      <c r="M149" s="238" t="s">
        <v>1492</v>
      </c>
    </row>
    <row r="150" spans="1:14" s="207" customFormat="1" ht="256.2">
      <c r="A150" s="237">
        <v>129</v>
      </c>
      <c r="B150" s="237" t="s">
        <v>1269</v>
      </c>
      <c r="C150" s="238" t="s">
        <v>1303</v>
      </c>
      <c r="D150" s="239">
        <f>VLOOKUP(B150,[13]AssetDetails_UEM!$A$3:$X$1848,22,FALSE)</f>
        <v>10225</v>
      </c>
      <c r="E150" s="237" t="s">
        <v>1110</v>
      </c>
      <c r="F150" s="237" t="s">
        <v>1368</v>
      </c>
      <c r="G150" s="237" t="s">
        <v>1402</v>
      </c>
      <c r="H150" s="237" t="s">
        <v>476</v>
      </c>
      <c r="I150" s="270" t="s">
        <v>609</v>
      </c>
      <c r="J150" s="271" t="s">
        <v>147</v>
      </c>
      <c r="K150" s="272">
        <f t="shared" si="5"/>
        <v>30</v>
      </c>
      <c r="L150" s="273">
        <f t="shared" si="4"/>
        <v>0</v>
      </c>
      <c r="M150" s="238" t="s">
        <v>1531</v>
      </c>
    </row>
    <row r="151" spans="1:14" s="207" customFormat="1" ht="292.8">
      <c r="A151" s="237">
        <v>130</v>
      </c>
      <c r="B151" s="237" t="s">
        <v>1270</v>
      </c>
      <c r="C151" s="238" t="s">
        <v>1303</v>
      </c>
      <c r="D151" s="239">
        <f>VLOOKUP(B151,[13]AssetDetails_UEM!$A$3:$X$1848,22,FALSE)</f>
        <v>10225</v>
      </c>
      <c r="E151" s="237" t="s">
        <v>1111</v>
      </c>
      <c r="F151" s="237" t="s">
        <v>1368</v>
      </c>
      <c r="G151" s="237" t="s">
        <v>1402</v>
      </c>
      <c r="H151" s="237" t="s">
        <v>1479</v>
      </c>
      <c r="I151" s="270" t="s">
        <v>609</v>
      </c>
      <c r="J151" s="271" t="s">
        <v>147</v>
      </c>
      <c r="K151" s="272">
        <f t="shared" si="5"/>
        <v>30</v>
      </c>
      <c r="L151" s="273">
        <f t="shared" si="4"/>
        <v>0</v>
      </c>
      <c r="M151" s="238" t="s">
        <v>1492</v>
      </c>
    </row>
    <row r="152" spans="1:14" s="207" customFormat="1" ht="292.8">
      <c r="A152" s="237">
        <v>131</v>
      </c>
      <c r="B152" s="237" t="s">
        <v>1271</v>
      </c>
      <c r="C152" s="238" t="s">
        <v>1303</v>
      </c>
      <c r="D152" s="239">
        <f>VLOOKUP(B152,[13]AssetDetails_UEM!$A$3:$X$1848,22,FALSE)</f>
        <v>10225</v>
      </c>
      <c r="E152" s="237" t="s">
        <v>1112</v>
      </c>
      <c r="F152" s="237" t="s">
        <v>1368</v>
      </c>
      <c r="G152" s="237" t="s">
        <v>1402</v>
      </c>
      <c r="H152" s="237" t="s">
        <v>1480</v>
      </c>
      <c r="I152" s="270" t="s">
        <v>609</v>
      </c>
      <c r="J152" s="271" t="s">
        <v>147</v>
      </c>
      <c r="K152" s="272">
        <f t="shared" si="5"/>
        <v>30</v>
      </c>
      <c r="L152" s="273">
        <f t="shared" si="4"/>
        <v>0</v>
      </c>
      <c r="M152" s="238" t="s">
        <v>1492</v>
      </c>
    </row>
    <row r="153" spans="1:14" s="207" customFormat="1" ht="292.8">
      <c r="A153" s="237">
        <v>132</v>
      </c>
      <c r="B153" s="237" t="s">
        <v>1272</v>
      </c>
      <c r="C153" s="238" t="s">
        <v>1303</v>
      </c>
      <c r="D153" s="239">
        <f>VLOOKUP(B153,[13]AssetDetails_UEM!$A$3:$X$1848,22,FALSE)</f>
        <v>10225</v>
      </c>
      <c r="E153" s="237" t="s">
        <v>1113</v>
      </c>
      <c r="F153" s="237" t="s">
        <v>1368</v>
      </c>
      <c r="G153" s="237" t="s">
        <v>1402</v>
      </c>
      <c r="H153" s="237" t="s">
        <v>483</v>
      </c>
      <c r="I153" s="270" t="s">
        <v>609</v>
      </c>
      <c r="J153" s="271" t="s">
        <v>147</v>
      </c>
      <c r="K153" s="272">
        <f t="shared" si="5"/>
        <v>30</v>
      </c>
      <c r="L153" s="273">
        <f t="shared" si="4"/>
        <v>0</v>
      </c>
      <c r="M153" s="238" t="s">
        <v>1492</v>
      </c>
    </row>
    <row r="154" spans="1:14" s="207" customFormat="1" ht="256.2">
      <c r="A154" s="237">
        <v>133</v>
      </c>
      <c r="B154" s="237" t="s">
        <v>1273</v>
      </c>
      <c r="C154" s="238" t="s">
        <v>1303</v>
      </c>
      <c r="D154" s="239">
        <f>VLOOKUP(B154,[13]AssetDetails_UEM!$A$3:$X$1848,22,FALSE)</f>
        <v>10225</v>
      </c>
      <c r="E154" s="237" t="s">
        <v>1114</v>
      </c>
      <c r="F154" s="237" t="s">
        <v>1368</v>
      </c>
      <c r="G154" s="237" t="s">
        <v>1402</v>
      </c>
      <c r="H154" s="237" t="s">
        <v>1481</v>
      </c>
      <c r="I154" s="270" t="s">
        <v>609</v>
      </c>
      <c r="J154" s="271" t="s">
        <v>147</v>
      </c>
      <c r="K154" s="272">
        <f t="shared" si="5"/>
        <v>30</v>
      </c>
      <c r="L154" s="273">
        <f t="shared" si="4"/>
        <v>0</v>
      </c>
      <c r="M154" s="238" t="s">
        <v>1491</v>
      </c>
    </row>
    <row r="155" spans="1:14" s="207" customFormat="1" ht="292.8">
      <c r="A155" s="237">
        <v>134</v>
      </c>
      <c r="B155" s="237" t="s">
        <v>1274</v>
      </c>
      <c r="C155" s="238" t="s">
        <v>703</v>
      </c>
      <c r="D155" s="239">
        <f>VLOOKUP(B155,[13]AssetDetails_UEM!$A$3:$X$1848,22,FALSE)</f>
        <v>10825</v>
      </c>
      <c r="E155" s="237" t="s">
        <v>1115</v>
      </c>
      <c r="F155" s="237" t="s">
        <v>1368</v>
      </c>
      <c r="G155" s="237" t="s">
        <v>1402</v>
      </c>
      <c r="H155" s="237" t="s">
        <v>1482</v>
      </c>
      <c r="I155" s="270" t="s">
        <v>609</v>
      </c>
      <c r="J155" s="271" t="s">
        <v>147</v>
      </c>
      <c r="K155" s="272">
        <f t="shared" si="5"/>
        <v>30</v>
      </c>
      <c r="L155" s="273">
        <f t="shared" si="4"/>
        <v>0</v>
      </c>
      <c r="M155" s="238" t="s">
        <v>1492</v>
      </c>
    </row>
    <row r="156" spans="1:14" s="205" customFormat="1" ht="292.8">
      <c r="A156" s="237">
        <v>135</v>
      </c>
      <c r="B156" s="237" t="s">
        <v>1275</v>
      </c>
      <c r="C156" s="238" t="s">
        <v>703</v>
      </c>
      <c r="D156" s="241">
        <f>VLOOKUP(B156,[13]AssetDetails_UEM!$A$3:$X$1848,22,FALSE)</f>
        <v>10825</v>
      </c>
      <c r="E156" s="237" t="s">
        <v>1116</v>
      </c>
      <c r="F156" s="237" t="s">
        <v>1368</v>
      </c>
      <c r="G156" s="237" t="s">
        <v>1402</v>
      </c>
      <c r="H156" s="237" t="s">
        <v>1483</v>
      </c>
      <c r="I156" s="274" t="s">
        <v>609</v>
      </c>
      <c r="J156" s="275" t="s">
        <v>147</v>
      </c>
      <c r="K156" s="288">
        <f t="shared" si="5"/>
        <v>30</v>
      </c>
      <c r="L156" s="276">
        <f t="shared" si="4"/>
        <v>0</v>
      </c>
      <c r="M156" s="238" t="s">
        <v>1492</v>
      </c>
    </row>
    <row r="157" spans="1:14" s="207" customFormat="1" ht="146.4">
      <c r="A157" s="237">
        <v>136</v>
      </c>
      <c r="B157" s="237" t="s">
        <v>1276</v>
      </c>
      <c r="C157" s="238" t="s">
        <v>743</v>
      </c>
      <c r="D157" s="239">
        <f>VLOOKUP(B157,[13]AssetDetails_UEM!$A$3:$X$1848,22,FALSE)</f>
        <v>28630</v>
      </c>
      <c r="E157" s="237" t="s">
        <v>1117</v>
      </c>
      <c r="F157" s="237" t="s">
        <v>583</v>
      </c>
      <c r="G157" s="237" t="s">
        <v>1402</v>
      </c>
      <c r="H157" s="237" t="s">
        <v>1478</v>
      </c>
      <c r="I157" s="270" t="s">
        <v>609</v>
      </c>
      <c r="J157" s="271" t="s">
        <v>147</v>
      </c>
      <c r="K157" s="272">
        <f t="shared" si="5"/>
        <v>60</v>
      </c>
      <c r="L157" s="273">
        <f t="shared" si="4"/>
        <v>0</v>
      </c>
      <c r="M157" s="238" t="s">
        <v>1510</v>
      </c>
    </row>
    <row r="158" spans="1:14" s="207" customFormat="1" ht="146.4">
      <c r="A158" s="237">
        <v>137</v>
      </c>
      <c r="B158" s="237" t="s">
        <v>1277</v>
      </c>
      <c r="C158" s="238" t="s">
        <v>1335</v>
      </c>
      <c r="D158" s="239">
        <f>VLOOKUP(B158,[13]AssetDetails_UEM!$A$3:$X$1848,22,FALSE)</f>
        <v>148000</v>
      </c>
      <c r="E158" s="237" t="s">
        <v>1118</v>
      </c>
      <c r="F158" s="237" t="s">
        <v>1369</v>
      </c>
      <c r="G158" s="237" t="s">
        <v>1402</v>
      </c>
      <c r="H158" s="237" t="s">
        <v>468</v>
      </c>
      <c r="I158" s="270" t="s">
        <v>609</v>
      </c>
      <c r="J158" s="271" t="s">
        <v>147</v>
      </c>
      <c r="K158" s="272">
        <f t="shared" si="5"/>
        <v>300</v>
      </c>
      <c r="L158" s="273">
        <f t="shared" si="4"/>
        <v>0</v>
      </c>
      <c r="M158" s="238" t="s">
        <v>1528</v>
      </c>
    </row>
    <row r="159" spans="1:14" s="207" customFormat="1" ht="146.4">
      <c r="A159" s="237">
        <v>138</v>
      </c>
      <c r="B159" s="237" t="s">
        <v>1278</v>
      </c>
      <c r="C159" s="238" t="s">
        <v>730</v>
      </c>
      <c r="D159" s="239">
        <f>VLOOKUP(B159,[13]AssetDetails_UEM!$A$3:$X$1848,22,FALSE)</f>
        <v>44510</v>
      </c>
      <c r="E159" s="237" t="s">
        <v>1119</v>
      </c>
      <c r="F159" s="237" t="s">
        <v>175</v>
      </c>
      <c r="G159" s="237" t="s">
        <v>1403</v>
      </c>
      <c r="H159" s="237" t="s">
        <v>1484</v>
      </c>
      <c r="I159" s="270" t="s">
        <v>609</v>
      </c>
      <c r="J159" s="271" t="s">
        <v>147</v>
      </c>
      <c r="K159" s="272">
        <f t="shared" si="5"/>
        <v>90</v>
      </c>
      <c r="L159" s="273">
        <f t="shared" si="4"/>
        <v>0</v>
      </c>
      <c r="M159" s="238" t="s">
        <v>1496</v>
      </c>
    </row>
    <row r="160" spans="1:14" s="207" customFormat="1" ht="131.55000000000001" customHeight="1">
      <c r="A160" s="237">
        <v>139</v>
      </c>
      <c r="B160" s="237" t="s">
        <v>1279</v>
      </c>
      <c r="C160" s="238" t="s">
        <v>743</v>
      </c>
      <c r="D160" s="239">
        <f>VLOOKUP(B160,[13]AssetDetails_UEM!$A$3:$X$1848,22,FALSE)</f>
        <v>28630</v>
      </c>
      <c r="E160" s="237" t="s">
        <v>1120</v>
      </c>
      <c r="F160" s="237" t="s">
        <v>583</v>
      </c>
      <c r="G160" s="237" t="s">
        <v>1403</v>
      </c>
      <c r="H160" s="237" t="s">
        <v>1485</v>
      </c>
      <c r="I160" s="270" t="s">
        <v>609</v>
      </c>
      <c r="J160" s="271" t="s">
        <v>147</v>
      </c>
      <c r="K160" s="272">
        <f t="shared" si="5"/>
        <v>60</v>
      </c>
      <c r="L160" s="273">
        <f t="shared" si="4"/>
        <v>0</v>
      </c>
      <c r="M160" s="238" t="s">
        <v>1510</v>
      </c>
    </row>
    <row r="161" spans="1:16" s="535" customFormat="1" ht="124.05" customHeight="1">
      <c r="A161" s="237">
        <v>140</v>
      </c>
      <c r="B161" s="528" t="s">
        <v>1281</v>
      </c>
      <c r="C161" s="502" t="s">
        <v>1319</v>
      </c>
      <c r="D161" s="529">
        <f>VLOOKUP(B161,[13]AssetDetails_UEM!$A$3:$X$1848,22,FALSE)</f>
        <v>1140</v>
      </c>
      <c r="E161" s="528" t="s">
        <v>1122</v>
      </c>
      <c r="F161" s="528" t="s">
        <v>1370</v>
      </c>
      <c r="G161" s="528" t="s">
        <v>1403</v>
      </c>
      <c r="H161" s="528" t="s">
        <v>1485</v>
      </c>
      <c r="I161" s="531" t="s">
        <v>609</v>
      </c>
      <c r="J161" s="532" t="s">
        <v>147</v>
      </c>
      <c r="K161" s="533">
        <f t="shared" si="5"/>
        <v>10</v>
      </c>
      <c r="L161" s="534">
        <f t="shared" si="4"/>
        <v>0</v>
      </c>
      <c r="M161" s="502" t="s">
        <v>1602</v>
      </c>
      <c r="N161" s="535" t="s">
        <v>595</v>
      </c>
    </row>
    <row r="162" spans="1:16" s="535" customFormat="1" ht="146.4">
      <c r="A162" s="237">
        <v>141</v>
      </c>
      <c r="B162" s="528" t="s">
        <v>1282</v>
      </c>
      <c r="C162" s="502" t="s">
        <v>663</v>
      </c>
      <c r="D162" s="529">
        <f>VLOOKUP(B162,[13]AssetDetails_UEM!$A$3:$X$1848,22,FALSE)</f>
        <v>4510</v>
      </c>
      <c r="E162" s="528" t="s">
        <v>1123</v>
      </c>
      <c r="F162" s="528" t="s">
        <v>1371</v>
      </c>
      <c r="G162" s="528" t="s">
        <v>1403</v>
      </c>
      <c r="H162" s="528" t="s">
        <v>1604</v>
      </c>
      <c r="I162" s="531" t="s">
        <v>609</v>
      </c>
      <c r="J162" s="532" t="s">
        <v>147</v>
      </c>
      <c r="K162" s="533">
        <f t="shared" si="5"/>
        <v>10</v>
      </c>
      <c r="L162" s="534">
        <f t="shared" si="4"/>
        <v>0</v>
      </c>
      <c r="M162" s="502" t="s">
        <v>1603</v>
      </c>
      <c r="P162" s="535" t="s">
        <v>595</v>
      </c>
    </row>
    <row r="163" spans="1:16" s="535" customFormat="1" ht="146.4">
      <c r="A163" s="237">
        <v>142</v>
      </c>
      <c r="B163" s="528" t="s">
        <v>1283</v>
      </c>
      <c r="C163" s="502" t="s">
        <v>663</v>
      </c>
      <c r="D163" s="529">
        <f>VLOOKUP(B163,[13]AssetDetails_UEM!$A$3:$X$1848,22,FALSE)</f>
        <v>336</v>
      </c>
      <c r="E163" s="528" t="s">
        <v>1124</v>
      </c>
      <c r="F163" s="528" t="s">
        <v>1372</v>
      </c>
      <c r="G163" s="528" t="s">
        <v>1403</v>
      </c>
      <c r="H163" s="528" t="s">
        <v>1606</v>
      </c>
      <c r="I163" s="531" t="s">
        <v>609</v>
      </c>
      <c r="J163" s="532" t="s">
        <v>147</v>
      </c>
      <c r="K163" s="533">
        <f t="shared" si="5"/>
        <v>10</v>
      </c>
      <c r="L163" s="534">
        <f t="shared" si="4"/>
        <v>0</v>
      </c>
      <c r="M163" s="502" t="s">
        <v>1605</v>
      </c>
    </row>
    <row r="164" spans="1:16" s="535" customFormat="1" ht="146.4">
      <c r="A164" s="237">
        <v>143</v>
      </c>
      <c r="B164" s="528" t="s">
        <v>1284</v>
      </c>
      <c r="C164" s="502" t="s">
        <v>663</v>
      </c>
      <c r="D164" s="529">
        <f>VLOOKUP(B164,[13]AssetDetails_UEM!$A$3:$X$1848,22,FALSE)</f>
        <v>336</v>
      </c>
      <c r="E164" s="528" t="s">
        <v>1125</v>
      </c>
      <c r="F164" s="528" t="s">
        <v>1373</v>
      </c>
      <c r="G164" s="528" t="s">
        <v>1403</v>
      </c>
      <c r="H164" s="528" t="s">
        <v>1608</v>
      </c>
      <c r="I164" s="531" t="s">
        <v>609</v>
      </c>
      <c r="J164" s="532" t="s">
        <v>147</v>
      </c>
      <c r="K164" s="533">
        <f t="shared" si="5"/>
        <v>10</v>
      </c>
      <c r="L164" s="534">
        <f t="shared" si="4"/>
        <v>0</v>
      </c>
      <c r="M164" s="502" t="s">
        <v>1607</v>
      </c>
    </row>
    <row r="165" spans="1:16" s="207" customFormat="1" ht="146.4">
      <c r="A165" s="237">
        <v>144</v>
      </c>
      <c r="B165" s="237" t="s">
        <v>1285</v>
      </c>
      <c r="C165" s="238" t="s">
        <v>1313</v>
      </c>
      <c r="D165" s="239">
        <f>VLOOKUP(B165,[13]AssetDetails_UEM!$A$3:$X$1848,22,FALSE)</f>
        <v>5050</v>
      </c>
      <c r="E165" s="237" t="s">
        <v>1126</v>
      </c>
      <c r="F165" s="237" t="s">
        <v>1374</v>
      </c>
      <c r="G165" s="237" t="s">
        <v>1403</v>
      </c>
      <c r="H165" s="237" t="s">
        <v>1486</v>
      </c>
      <c r="I165" s="270" t="s">
        <v>609</v>
      </c>
      <c r="J165" s="271" t="s">
        <v>147</v>
      </c>
      <c r="K165" s="272">
        <f t="shared" si="5"/>
        <v>20</v>
      </c>
      <c r="L165" s="273">
        <f t="shared" si="4"/>
        <v>0</v>
      </c>
      <c r="M165" s="238" t="s">
        <v>1528</v>
      </c>
    </row>
    <row r="166" spans="1:16" s="207" customFormat="1" ht="146.1" customHeight="1">
      <c r="A166" s="237">
        <v>145</v>
      </c>
      <c r="B166" s="237" t="s">
        <v>1286</v>
      </c>
      <c r="C166" s="238" t="s">
        <v>1313</v>
      </c>
      <c r="D166" s="239">
        <f>VLOOKUP(B166,[13]AssetDetails_UEM!$A$3:$X$1848,22,FALSE)</f>
        <v>5050</v>
      </c>
      <c r="E166" s="237" t="s">
        <v>1127</v>
      </c>
      <c r="F166" s="237" t="s">
        <v>1375</v>
      </c>
      <c r="G166" s="237" t="s">
        <v>1403</v>
      </c>
      <c r="H166" s="237" t="s">
        <v>1487</v>
      </c>
      <c r="I166" s="270" t="s">
        <v>609</v>
      </c>
      <c r="J166" s="271" t="s">
        <v>147</v>
      </c>
      <c r="K166" s="272">
        <f t="shared" si="5"/>
        <v>20</v>
      </c>
      <c r="L166" s="273">
        <f t="shared" si="4"/>
        <v>0</v>
      </c>
      <c r="M166" s="238" t="s">
        <v>1532</v>
      </c>
    </row>
    <row r="167" spans="1:16" s="207" customFormat="1" ht="146.4">
      <c r="A167" s="237">
        <v>146</v>
      </c>
      <c r="B167" s="237" t="s">
        <v>1287</v>
      </c>
      <c r="C167" s="238" t="s">
        <v>1313</v>
      </c>
      <c r="D167" s="239">
        <f>VLOOKUP(B167,[13]AssetDetails_UEM!$A$3:$X$1848,22,FALSE)</f>
        <v>5050</v>
      </c>
      <c r="E167" s="237" t="s">
        <v>1128</v>
      </c>
      <c r="F167" s="237" t="s">
        <v>1375</v>
      </c>
      <c r="G167" s="237" t="s">
        <v>1403</v>
      </c>
      <c r="H167" s="237" t="s">
        <v>1485</v>
      </c>
      <c r="I167" s="270" t="s">
        <v>609</v>
      </c>
      <c r="J167" s="271" t="s">
        <v>147</v>
      </c>
      <c r="K167" s="272">
        <f t="shared" si="5"/>
        <v>20</v>
      </c>
      <c r="L167" s="273">
        <f t="shared" si="4"/>
        <v>0</v>
      </c>
      <c r="M167" s="238" t="s">
        <v>1533</v>
      </c>
    </row>
    <row r="168" spans="1:16" s="207" customFormat="1" ht="123.6" customHeight="1">
      <c r="A168" s="237">
        <v>147</v>
      </c>
      <c r="B168" s="237" t="s">
        <v>1288</v>
      </c>
      <c r="C168" s="238" t="s">
        <v>1336</v>
      </c>
      <c r="D168" s="239">
        <f>VLOOKUP(B168,[13]AssetDetails_UEM!$A$3:$X$1848,22,FALSE)</f>
        <v>7000</v>
      </c>
      <c r="E168" s="237" t="s">
        <v>1129</v>
      </c>
      <c r="F168" s="237" t="s">
        <v>1376</v>
      </c>
      <c r="G168" s="237" t="s">
        <v>1403</v>
      </c>
      <c r="H168" s="237" t="s">
        <v>1487</v>
      </c>
      <c r="I168" s="270" t="s">
        <v>609</v>
      </c>
      <c r="J168" s="271" t="s">
        <v>147</v>
      </c>
      <c r="K168" s="272">
        <f t="shared" si="5"/>
        <v>20</v>
      </c>
      <c r="L168" s="273">
        <f t="shared" si="4"/>
        <v>0</v>
      </c>
      <c r="M168" s="238" t="s">
        <v>1534</v>
      </c>
    </row>
    <row r="169" spans="1:16" s="207" customFormat="1" ht="131.1" customHeight="1">
      <c r="A169" s="237">
        <v>148</v>
      </c>
      <c r="B169" s="237" t="s">
        <v>1289</v>
      </c>
      <c r="C169" s="238" t="s">
        <v>807</v>
      </c>
      <c r="D169" s="239">
        <f>VLOOKUP(B169,[13]AssetDetails_UEM!$A$3:$X$1848,22,FALSE)</f>
        <v>7580</v>
      </c>
      <c r="E169" s="237" t="s">
        <v>1130</v>
      </c>
      <c r="F169" s="237" t="s">
        <v>1377</v>
      </c>
      <c r="G169" s="237" t="s">
        <v>1403</v>
      </c>
      <c r="H169" s="237" t="s">
        <v>1488</v>
      </c>
      <c r="I169" s="270" t="s">
        <v>609</v>
      </c>
      <c r="J169" s="271" t="s">
        <v>147</v>
      </c>
      <c r="K169" s="272">
        <f t="shared" si="5"/>
        <v>20</v>
      </c>
      <c r="L169" s="273">
        <f t="shared" si="4"/>
        <v>0</v>
      </c>
      <c r="M169" s="238" t="s">
        <v>1528</v>
      </c>
    </row>
    <row r="170" spans="1:16" s="207" customFormat="1" ht="131.1" customHeight="1">
      <c r="A170" s="237">
        <v>149</v>
      </c>
      <c r="B170" s="237" t="s">
        <v>1290</v>
      </c>
      <c r="C170" s="238" t="s">
        <v>1337</v>
      </c>
      <c r="D170" s="239">
        <f>VLOOKUP(B170,[13]AssetDetails_UEM!$A$3:$X$1848,22,FALSE)</f>
        <v>2700</v>
      </c>
      <c r="E170" s="237" t="s">
        <v>1131</v>
      </c>
      <c r="F170" s="237" t="s">
        <v>1378</v>
      </c>
      <c r="G170" s="237" t="s">
        <v>1403</v>
      </c>
      <c r="H170" s="237" t="s">
        <v>1485</v>
      </c>
      <c r="I170" s="270" t="s">
        <v>609</v>
      </c>
      <c r="J170" s="271" t="s">
        <v>147</v>
      </c>
      <c r="K170" s="272">
        <f t="shared" si="5"/>
        <v>10</v>
      </c>
      <c r="L170" s="273">
        <f t="shared" si="4"/>
        <v>0</v>
      </c>
      <c r="M170" s="238" t="s">
        <v>1528</v>
      </c>
    </row>
    <row r="171" spans="1:16" s="207" customFormat="1" ht="141" customHeight="1">
      <c r="A171" s="237">
        <v>150</v>
      </c>
      <c r="B171" s="237" t="s">
        <v>581</v>
      </c>
      <c r="C171" s="238" t="s">
        <v>743</v>
      </c>
      <c r="D171" s="239">
        <f>VLOOKUP(B171,[13]AssetDetails_UEM!$A$3:$X$1848,22,FALSE)</f>
        <v>28630</v>
      </c>
      <c r="E171" s="237" t="s">
        <v>1132</v>
      </c>
      <c r="F171" s="237" t="s">
        <v>583</v>
      </c>
      <c r="G171" s="237" t="s">
        <v>1403</v>
      </c>
      <c r="H171" s="237" t="s">
        <v>1485</v>
      </c>
      <c r="I171" s="270" t="s">
        <v>609</v>
      </c>
      <c r="J171" s="271" t="s">
        <v>147</v>
      </c>
      <c r="K171" s="272">
        <f t="shared" si="5"/>
        <v>60</v>
      </c>
      <c r="L171" s="273">
        <f t="shared" si="4"/>
        <v>0</v>
      </c>
      <c r="M171" s="238" t="s">
        <v>1510</v>
      </c>
    </row>
    <row r="172" spans="1:16" s="207" customFormat="1" ht="135" customHeight="1">
      <c r="A172" s="237">
        <v>151</v>
      </c>
      <c r="B172" s="237" t="s">
        <v>1291</v>
      </c>
      <c r="C172" s="238" t="s">
        <v>807</v>
      </c>
      <c r="D172" s="239">
        <f>VLOOKUP(B172,[13]AssetDetails_UEM!$A$3:$X$1848,22,FALSE)</f>
        <v>2165</v>
      </c>
      <c r="E172" s="237" t="s">
        <v>1133</v>
      </c>
      <c r="F172" s="237" t="s">
        <v>226</v>
      </c>
      <c r="G172" s="237" t="s">
        <v>1403</v>
      </c>
      <c r="H172" s="237" t="s">
        <v>1485</v>
      </c>
      <c r="I172" s="270" t="s">
        <v>609</v>
      </c>
      <c r="J172" s="271" t="s">
        <v>147</v>
      </c>
      <c r="K172" s="272">
        <f t="shared" si="5"/>
        <v>10</v>
      </c>
      <c r="L172" s="273">
        <f t="shared" si="4"/>
        <v>0</v>
      </c>
      <c r="M172" s="238" t="s">
        <v>1535</v>
      </c>
    </row>
    <row r="173" spans="1:16" s="535" customFormat="1" ht="140.1" customHeight="1">
      <c r="A173" s="237">
        <v>152</v>
      </c>
      <c r="B173" s="528" t="s">
        <v>1292</v>
      </c>
      <c r="C173" s="502" t="s">
        <v>737</v>
      </c>
      <c r="D173" s="529">
        <f>VLOOKUP(B173,[13]AssetDetails_UEM!$A$3:$X$1848,22,FALSE)</f>
        <v>11120</v>
      </c>
      <c r="E173" s="528" t="s">
        <v>1134</v>
      </c>
      <c r="F173" s="528" t="s">
        <v>1379</v>
      </c>
      <c r="G173" s="528" t="s">
        <v>1403</v>
      </c>
      <c r="H173" s="528" t="s">
        <v>1610</v>
      </c>
      <c r="I173" s="531" t="s">
        <v>609</v>
      </c>
      <c r="J173" s="532" t="s">
        <v>147</v>
      </c>
      <c r="K173" s="533">
        <f t="shared" si="5"/>
        <v>30</v>
      </c>
      <c r="L173" s="534">
        <f t="shared" si="4"/>
        <v>0</v>
      </c>
      <c r="M173" s="502" t="s">
        <v>1609</v>
      </c>
    </row>
    <row r="174" spans="1:16" s="535" customFormat="1" ht="148.5" customHeight="1">
      <c r="A174" s="237">
        <v>153</v>
      </c>
      <c r="B174" s="528" t="s">
        <v>1293</v>
      </c>
      <c r="C174" s="502" t="s">
        <v>663</v>
      </c>
      <c r="D174" s="529">
        <f>VLOOKUP(B174,[13]AssetDetails_UEM!$A$3:$X$1848,22,FALSE)</f>
        <v>336</v>
      </c>
      <c r="E174" s="528" t="s">
        <v>1135</v>
      </c>
      <c r="F174" s="528" t="s">
        <v>1380</v>
      </c>
      <c r="G174" s="528" t="s">
        <v>1403</v>
      </c>
      <c r="H174" s="528" t="s">
        <v>1612</v>
      </c>
      <c r="I174" s="531" t="s">
        <v>609</v>
      </c>
      <c r="J174" s="532" t="s">
        <v>147</v>
      </c>
      <c r="K174" s="533">
        <f t="shared" si="5"/>
        <v>10</v>
      </c>
      <c r="L174" s="534">
        <f t="shared" si="4"/>
        <v>0</v>
      </c>
      <c r="M174" s="502" t="s">
        <v>1611</v>
      </c>
      <c r="N174" s="535" t="s">
        <v>595</v>
      </c>
    </row>
    <row r="175" spans="1:16" s="207" customFormat="1" ht="148.5" customHeight="1">
      <c r="A175" s="237">
        <v>154</v>
      </c>
      <c r="B175" s="237" t="s">
        <v>1294</v>
      </c>
      <c r="C175" s="238" t="s">
        <v>1338</v>
      </c>
      <c r="D175" s="239">
        <f>VLOOKUP(B175,[13]AssetDetails_UEM!$A$3:$X$1848,22,FALSE)</f>
        <v>14740</v>
      </c>
      <c r="E175" s="237" t="s">
        <v>1136</v>
      </c>
      <c r="F175" s="237" t="s">
        <v>1369</v>
      </c>
      <c r="G175" s="237" t="s">
        <v>1403</v>
      </c>
      <c r="H175" s="237" t="s">
        <v>1488</v>
      </c>
      <c r="I175" s="270" t="s">
        <v>609</v>
      </c>
      <c r="J175" s="271" t="s">
        <v>147</v>
      </c>
      <c r="K175" s="272">
        <f t="shared" si="5"/>
        <v>30</v>
      </c>
      <c r="L175" s="273">
        <f t="shared" si="4"/>
        <v>0</v>
      </c>
      <c r="M175" s="238" t="s">
        <v>1528</v>
      </c>
    </row>
    <row r="176" spans="1:16" s="547" customFormat="1" ht="146.1" customHeight="1">
      <c r="A176" s="237">
        <v>155</v>
      </c>
      <c r="B176" s="536" t="s">
        <v>1295</v>
      </c>
      <c r="C176" s="537" t="s">
        <v>1339</v>
      </c>
      <c r="D176" s="546">
        <f>VLOOKUP(B176,[13]AssetDetails_UEM!$A$3:$X$1848,22,FALSE)</f>
        <v>240330</v>
      </c>
      <c r="E176" s="536" t="s">
        <v>1137</v>
      </c>
      <c r="F176" s="536" t="s">
        <v>321</v>
      </c>
      <c r="G176" s="536" t="s">
        <v>1403</v>
      </c>
      <c r="H176" s="536" t="s">
        <v>1486</v>
      </c>
      <c r="I176" s="540" t="s">
        <v>609</v>
      </c>
      <c r="J176" s="541" t="s">
        <v>147</v>
      </c>
      <c r="K176" s="542">
        <f t="shared" si="5"/>
        <v>490</v>
      </c>
      <c r="L176" s="543">
        <f t="shared" si="4"/>
        <v>0</v>
      </c>
      <c r="M176" s="537" t="s">
        <v>1529</v>
      </c>
    </row>
    <row r="177" spans="1:16" s="547" customFormat="1" ht="146.1" customHeight="1">
      <c r="A177" s="237">
        <v>156</v>
      </c>
      <c r="B177" s="536" t="s">
        <v>1296</v>
      </c>
      <c r="C177" s="537" t="s">
        <v>1339</v>
      </c>
      <c r="D177" s="546">
        <f>VLOOKUP(B177,[13]AssetDetails_UEM!$A$3:$X$1848,22,FALSE)</f>
        <v>240330</v>
      </c>
      <c r="E177" s="536" t="s">
        <v>1138</v>
      </c>
      <c r="F177" s="536" t="s">
        <v>1381</v>
      </c>
      <c r="G177" s="536" t="s">
        <v>1403</v>
      </c>
      <c r="H177" s="536" t="s">
        <v>1580</v>
      </c>
      <c r="I177" s="540" t="s">
        <v>609</v>
      </c>
      <c r="J177" s="541" t="s">
        <v>147</v>
      </c>
      <c r="K177" s="542">
        <f t="shared" si="5"/>
        <v>490</v>
      </c>
      <c r="L177" s="543">
        <f t="shared" si="4"/>
        <v>0</v>
      </c>
      <c r="M177" s="537" t="s">
        <v>1529</v>
      </c>
    </row>
    <row r="178" spans="1:16" s="547" customFormat="1" ht="126.75" customHeight="1">
      <c r="A178" s="237">
        <v>157</v>
      </c>
      <c r="B178" s="536" t="s">
        <v>1297</v>
      </c>
      <c r="C178" s="537" t="s">
        <v>807</v>
      </c>
      <c r="D178" s="546">
        <f>VLOOKUP(B178,[13]AssetDetails_UEM!$A$3:$X$1848,22,FALSE)</f>
        <v>7580</v>
      </c>
      <c r="E178" s="536" t="s">
        <v>1139</v>
      </c>
      <c r="F178" s="536" t="s">
        <v>260</v>
      </c>
      <c r="G178" s="536" t="s">
        <v>1404</v>
      </c>
      <c r="H178" s="539">
        <v>46171.458333333336</v>
      </c>
      <c r="I178" s="540" t="s">
        <v>609</v>
      </c>
      <c r="J178" s="541" t="s">
        <v>147</v>
      </c>
      <c r="K178" s="542">
        <f t="shared" si="5"/>
        <v>20</v>
      </c>
      <c r="L178" s="543">
        <f t="shared" si="4"/>
        <v>0</v>
      </c>
      <c r="M178" s="537" t="s">
        <v>1528</v>
      </c>
    </row>
    <row r="179" spans="1:16" s="547" customFormat="1" ht="146.4">
      <c r="A179" s="237">
        <v>158</v>
      </c>
      <c r="B179" s="536" t="s">
        <v>1298</v>
      </c>
      <c r="C179" s="537" t="s">
        <v>807</v>
      </c>
      <c r="D179" s="546">
        <f>VLOOKUP(B179,[13]AssetDetails_UEM!$A$3:$X$1848,22,FALSE)</f>
        <v>7580</v>
      </c>
      <c r="E179" s="536" t="s">
        <v>1140</v>
      </c>
      <c r="F179" s="536" t="s">
        <v>1362</v>
      </c>
      <c r="G179" s="536" t="s">
        <v>1404</v>
      </c>
      <c r="H179" s="536" t="s">
        <v>1581</v>
      </c>
      <c r="I179" s="540" t="s">
        <v>609</v>
      </c>
      <c r="J179" s="541" t="s">
        <v>147</v>
      </c>
      <c r="K179" s="542">
        <f t="shared" si="5"/>
        <v>20</v>
      </c>
      <c r="L179" s="543">
        <f t="shared" si="4"/>
        <v>0</v>
      </c>
      <c r="M179" s="537" t="s">
        <v>1529</v>
      </c>
    </row>
    <row r="180" spans="1:16" s="535" customFormat="1" ht="219.6">
      <c r="A180" s="237">
        <v>159</v>
      </c>
      <c r="B180" s="528" t="s">
        <v>1299</v>
      </c>
      <c r="C180" s="502" t="s">
        <v>663</v>
      </c>
      <c r="D180" s="529">
        <f>VLOOKUP(B180,[13]AssetDetails_UEM!$A$3:$X$1848,22,FALSE)</f>
        <v>336</v>
      </c>
      <c r="E180" s="528" t="s">
        <v>1141</v>
      </c>
      <c r="F180" s="528" t="s">
        <v>1382</v>
      </c>
      <c r="G180" s="528" t="s">
        <v>1404</v>
      </c>
      <c r="H180" s="528" t="s">
        <v>1614</v>
      </c>
      <c r="I180" s="531" t="s">
        <v>609</v>
      </c>
      <c r="J180" s="532" t="s">
        <v>147</v>
      </c>
      <c r="K180" s="533">
        <f t="shared" si="5"/>
        <v>10</v>
      </c>
      <c r="L180" s="534">
        <f t="shared" si="4"/>
        <v>0</v>
      </c>
      <c r="M180" s="502" t="s">
        <v>1613</v>
      </c>
    </row>
    <row r="181" spans="1:16" s="547" customFormat="1" ht="130.05000000000001" customHeight="1">
      <c r="A181" s="237">
        <v>160</v>
      </c>
      <c r="B181" s="536" t="s">
        <v>1300</v>
      </c>
      <c r="C181" s="537" t="s">
        <v>1326</v>
      </c>
      <c r="D181" s="546">
        <f>VLOOKUP(B181,[13]AssetDetails_UEM!$A$3:$X$1848,22,FALSE)</f>
        <v>5500</v>
      </c>
      <c r="E181" s="536" t="s">
        <v>1142</v>
      </c>
      <c r="F181" s="536" t="s">
        <v>1383</v>
      </c>
      <c r="G181" s="536" t="s">
        <v>1404</v>
      </c>
      <c r="H181" s="536" t="s">
        <v>1582</v>
      </c>
      <c r="I181" s="540" t="s">
        <v>609</v>
      </c>
      <c r="J181" s="541" t="s">
        <v>147</v>
      </c>
      <c r="K181" s="542">
        <f t="shared" si="5"/>
        <v>20</v>
      </c>
      <c r="L181" s="543">
        <f t="shared" si="4"/>
        <v>0</v>
      </c>
      <c r="M181" s="537" t="s">
        <v>1516</v>
      </c>
    </row>
    <row r="182" spans="1:16" s="535" customFormat="1" ht="183">
      <c r="A182" s="237">
        <v>161</v>
      </c>
      <c r="B182" s="528" t="s">
        <v>1549</v>
      </c>
      <c r="C182" s="502" t="s">
        <v>1550</v>
      </c>
      <c r="D182" s="529">
        <v>12000</v>
      </c>
      <c r="E182" s="528" t="s">
        <v>1143</v>
      </c>
      <c r="F182" s="528" t="s">
        <v>1384</v>
      </c>
      <c r="G182" s="530">
        <v>46157</v>
      </c>
      <c r="H182" s="528" t="s">
        <v>1489</v>
      </c>
      <c r="I182" s="531" t="s">
        <v>609</v>
      </c>
      <c r="J182" s="532" t="s">
        <v>147</v>
      </c>
      <c r="K182" s="533">
        <f t="shared" si="5"/>
        <v>30</v>
      </c>
      <c r="L182" s="534">
        <f t="shared" si="4"/>
        <v>0</v>
      </c>
      <c r="M182" s="502" t="s">
        <v>1551</v>
      </c>
    </row>
    <row r="183" spans="1:16" s="207" customFormat="1" ht="153.75" customHeight="1">
      <c r="A183" s="655" t="s">
        <v>610</v>
      </c>
      <c r="B183" s="655"/>
      <c r="C183" s="655"/>
      <c r="D183" s="291"/>
      <c r="E183" s="291"/>
      <c r="F183" s="291"/>
      <c r="G183" s="291"/>
      <c r="H183" s="298"/>
      <c r="I183" s="298"/>
      <c r="J183" s="298"/>
      <c r="K183" s="298"/>
      <c r="L183" s="298"/>
      <c r="M183" s="298"/>
    </row>
    <row r="184" spans="1:16" s="559" customFormat="1" ht="137.1" customHeight="1">
      <c r="A184" s="528">
        <v>1</v>
      </c>
      <c r="B184" s="528" t="s">
        <v>1163</v>
      </c>
      <c r="C184" s="502" t="s">
        <v>1307</v>
      </c>
      <c r="D184" s="529">
        <f>VLOOKUP(B184,[13]AssetDetails_UEM!$A$3:$X$1848,22,FALSE)</f>
        <v>13500</v>
      </c>
      <c r="E184" s="528" t="s">
        <v>992</v>
      </c>
      <c r="F184" s="528" t="s">
        <v>655</v>
      </c>
      <c r="G184" s="528" t="s">
        <v>1387</v>
      </c>
      <c r="H184" s="554">
        <v>46173.458333333336</v>
      </c>
      <c r="I184" s="550">
        <v>46182</v>
      </c>
      <c r="J184" s="532" t="s">
        <v>147</v>
      </c>
      <c r="K184" s="533">
        <f t="shared" ref="K184:K194" si="6">ROUNDUP((D184/4999.99)*10,-1)</f>
        <v>30</v>
      </c>
      <c r="L184" s="534">
        <f t="shared" ref="L184:L194" si="7">IF(J184="N",0,K184)</f>
        <v>0</v>
      </c>
      <c r="M184" s="502" t="s">
        <v>1615</v>
      </c>
      <c r="N184" s="522"/>
    </row>
    <row r="185" spans="1:16" s="559" customFormat="1" ht="132" customHeight="1">
      <c r="A185" s="528">
        <v>2</v>
      </c>
      <c r="B185" s="528" t="s">
        <v>1172</v>
      </c>
      <c r="C185" s="502" t="s">
        <v>1307</v>
      </c>
      <c r="D185" s="529">
        <f>VLOOKUP(B185,[13]AssetDetails_UEM!$A$3:$X$1848,22,FALSE)</f>
        <v>3000</v>
      </c>
      <c r="E185" s="528" t="s">
        <v>1001</v>
      </c>
      <c r="F185" s="528" t="s">
        <v>655</v>
      </c>
      <c r="G185" s="528" t="s">
        <v>1389</v>
      </c>
      <c r="H185" s="554">
        <v>46173.458333333336</v>
      </c>
      <c r="I185" s="550">
        <v>46184</v>
      </c>
      <c r="J185" s="532" t="s">
        <v>147</v>
      </c>
      <c r="K185" s="533">
        <f t="shared" si="6"/>
        <v>10</v>
      </c>
      <c r="L185" s="534">
        <f t="shared" si="7"/>
        <v>0</v>
      </c>
      <c r="M185" s="502" t="s">
        <v>643</v>
      </c>
      <c r="N185" s="522"/>
    </row>
    <row r="186" spans="1:16" s="535" customFormat="1" ht="129.6" customHeight="1">
      <c r="A186" s="528">
        <v>3</v>
      </c>
      <c r="B186" s="528" t="s">
        <v>1239</v>
      </c>
      <c r="C186" s="502" t="s">
        <v>653</v>
      </c>
      <c r="D186" s="529">
        <f>VLOOKUP(B186,[13]AssetDetails_UEM!$A$3:$X$1848,22,FALSE)</f>
        <v>48000</v>
      </c>
      <c r="E186" s="528" t="s">
        <v>1077</v>
      </c>
      <c r="F186" s="528" t="s">
        <v>655</v>
      </c>
      <c r="G186" s="528" t="s">
        <v>1398</v>
      </c>
      <c r="H186" s="554">
        <v>46173.458333333336</v>
      </c>
      <c r="I186" s="550">
        <v>46184</v>
      </c>
      <c r="J186" s="532" t="s">
        <v>147</v>
      </c>
      <c r="K186" s="533">
        <f t="shared" si="6"/>
        <v>100</v>
      </c>
      <c r="L186" s="534">
        <f t="shared" si="7"/>
        <v>0</v>
      </c>
      <c r="M186" s="502" t="s">
        <v>643</v>
      </c>
    </row>
    <row r="187" spans="1:16" s="535" customFormat="1" ht="109.8">
      <c r="A187" s="237">
        <v>4</v>
      </c>
      <c r="B187" s="528" t="s">
        <v>572</v>
      </c>
      <c r="C187" s="502" t="s">
        <v>748</v>
      </c>
      <c r="D187" s="529">
        <f>VLOOKUP(B187,[13]AssetDetails_UEM!$A$3:$X$1848,22,FALSE)</f>
        <v>3557530</v>
      </c>
      <c r="E187" s="528" t="s">
        <v>1051</v>
      </c>
      <c r="F187" s="528" t="s">
        <v>574</v>
      </c>
      <c r="G187" s="528" t="s">
        <v>1395</v>
      </c>
      <c r="H187" s="554">
        <v>46173.458333333336</v>
      </c>
      <c r="I187" s="550">
        <v>46178</v>
      </c>
      <c r="J187" s="532" t="s">
        <v>147</v>
      </c>
      <c r="K187" s="533">
        <f t="shared" si="6"/>
        <v>7120</v>
      </c>
      <c r="L187" s="534">
        <f t="shared" si="7"/>
        <v>0</v>
      </c>
      <c r="M187" s="502" t="s">
        <v>643</v>
      </c>
    </row>
    <row r="188" spans="1:16" s="535" customFormat="1" ht="109.8">
      <c r="A188" s="237">
        <v>5</v>
      </c>
      <c r="B188" s="528" t="s">
        <v>396</v>
      </c>
      <c r="C188" s="502" t="s">
        <v>748</v>
      </c>
      <c r="D188" s="529">
        <f>VLOOKUP(B188,[13]AssetDetails_UEM!$A$3:$X$1848,22,FALSE)</f>
        <v>3557530</v>
      </c>
      <c r="E188" s="528" t="s">
        <v>1052</v>
      </c>
      <c r="F188" s="528" t="s">
        <v>398</v>
      </c>
      <c r="G188" s="528" t="s">
        <v>1395</v>
      </c>
      <c r="H188" s="554">
        <v>46173.458333333336</v>
      </c>
      <c r="I188" s="550">
        <v>46178</v>
      </c>
      <c r="J188" s="532" t="s">
        <v>147</v>
      </c>
      <c r="K188" s="533">
        <f t="shared" si="6"/>
        <v>7120</v>
      </c>
      <c r="L188" s="534">
        <f t="shared" si="7"/>
        <v>0</v>
      </c>
      <c r="M188" s="502" t="s">
        <v>643</v>
      </c>
    </row>
    <row r="189" spans="1:16" s="535" customFormat="1" ht="138.6" customHeight="1">
      <c r="A189" s="237">
        <v>6</v>
      </c>
      <c r="B189" s="528" t="s">
        <v>1224</v>
      </c>
      <c r="C189" s="502" t="s">
        <v>1307</v>
      </c>
      <c r="D189" s="529">
        <f>VLOOKUP(B189,[13]AssetDetails_UEM!$A$3:$X$1848,22,FALSE)</f>
        <v>10000</v>
      </c>
      <c r="E189" s="528" t="s">
        <v>1060</v>
      </c>
      <c r="F189" s="528" t="s">
        <v>430</v>
      </c>
      <c r="G189" s="530">
        <v>46157</v>
      </c>
      <c r="H189" s="554">
        <v>46173.458333333336</v>
      </c>
      <c r="I189" s="550">
        <v>46192</v>
      </c>
      <c r="J189" s="532" t="s">
        <v>147</v>
      </c>
      <c r="K189" s="533">
        <f t="shared" si="6"/>
        <v>30</v>
      </c>
      <c r="L189" s="534">
        <f t="shared" si="7"/>
        <v>0</v>
      </c>
      <c r="M189" s="502" t="s">
        <v>1585</v>
      </c>
      <c r="P189" s="535" t="s">
        <v>595</v>
      </c>
    </row>
    <row r="190" spans="1:16" s="535" customFormat="1" ht="152.55000000000001" customHeight="1">
      <c r="A190" s="237">
        <v>7</v>
      </c>
      <c r="B190" s="528" t="s">
        <v>1225</v>
      </c>
      <c r="C190" s="502" t="s">
        <v>1307</v>
      </c>
      <c r="D190" s="529">
        <f>VLOOKUP(B190,[13]AssetDetails_UEM!$A$3:$X$1848,22,FALSE)</f>
        <v>10000</v>
      </c>
      <c r="E190" s="528" t="s">
        <v>1061</v>
      </c>
      <c r="F190" s="528" t="s">
        <v>1359</v>
      </c>
      <c r="G190" s="530">
        <v>46157</v>
      </c>
      <c r="H190" s="554">
        <v>46173.458333333336</v>
      </c>
      <c r="I190" s="550">
        <v>46192</v>
      </c>
      <c r="J190" s="532" t="s">
        <v>147</v>
      </c>
      <c r="K190" s="533">
        <f t="shared" si="6"/>
        <v>30</v>
      </c>
      <c r="L190" s="534">
        <f t="shared" si="7"/>
        <v>0</v>
      </c>
      <c r="M190" s="502" t="s">
        <v>1585</v>
      </c>
    </row>
    <row r="191" spans="1:16" s="524" customFormat="1" ht="123.75" customHeight="1">
      <c r="A191" s="237">
        <v>8</v>
      </c>
      <c r="B191" s="536" t="s">
        <v>1226</v>
      </c>
      <c r="C191" s="537" t="s">
        <v>617</v>
      </c>
      <c r="D191" s="546">
        <v>239500</v>
      </c>
      <c r="E191" s="536" t="s">
        <v>1062</v>
      </c>
      <c r="F191" s="536" t="s">
        <v>249</v>
      </c>
      <c r="G191" s="530">
        <v>46157</v>
      </c>
      <c r="H191" s="554">
        <v>46173.458333333336</v>
      </c>
      <c r="I191" s="550">
        <v>46192</v>
      </c>
      <c r="J191" s="541" t="s">
        <v>147</v>
      </c>
      <c r="K191" s="542">
        <f t="shared" si="6"/>
        <v>480</v>
      </c>
      <c r="L191" s="543">
        <f t="shared" si="7"/>
        <v>0</v>
      </c>
      <c r="M191" s="537" t="s">
        <v>1583</v>
      </c>
      <c r="N191" s="551"/>
    </row>
    <row r="192" spans="1:16" s="524" customFormat="1" ht="87" customHeight="1">
      <c r="A192" s="237">
        <v>9</v>
      </c>
      <c r="B192" s="536" t="s">
        <v>1227</v>
      </c>
      <c r="C192" s="537" t="s">
        <v>617</v>
      </c>
      <c r="D192" s="546">
        <f>VLOOKUP(B192,[13]AssetDetails_UEM!$A$3:$X$1848,22,FALSE)</f>
        <v>25000</v>
      </c>
      <c r="E192" s="536" t="s">
        <v>1063</v>
      </c>
      <c r="F192" s="536" t="s">
        <v>1360</v>
      </c>
      <c r="G192" s="530">
        <v>46157</v>
      </c>
      <c r="H192" s="554">
        <v>46173.458333333336</v>
      </c>
      <c r="I192" s="550">
        <v>46192</v>
      </c>
      <c r="J192" s="541" t="s">
        <v>147</v>
      </c>
      <c r="K192" s="542">
        <f t="shared" si="6"/>
        <v>60</v>
      </c>
      <c r="L192" s="543">
        <f t="shared" si="7"/>
        <v>0</v>
      </c>
      <c r="M192" s="537" t="s">
        <v>1583</v>
      </c>
      <c r="N192" s="551"/>
    </row>
    <row r="193" spans="1:21" s="524" customFormat="1" ht="93" customHeight="1">
      <c r="A193" s="237">
        <v>10</v>
      </c>
      <c r="B193" s="536" t="s">
        <v>1228</v>
      </c>
      <c r="C193" s="537" t="s">
        <v>617</v>
      </c>
      <c r="D193" s="546">
        <f>VLOOKUP(B193,[13]AssetDetails_UEM!$A$3:$X$1848,22,FALSE)</f>
        <v>25000</v>
      </c>
      <c r="E193" s="536" t="s">
        <v>1064</v>
      </c>
      <c r="F193" s="536" t="s">
        <v>1361</v>
      </c>
      <c r="G193" s="530">
        <v>46157</v>
      </c>
      <c r="H193" s="554">
        <v>46173.458333333336</v>
      </c>
      <c r="I193" s="550">
        <v>46192</v>
      </c>
      <c r="J193" s="541" t="s">
        <v>147</v>
      </c>
      <c r="K193" s="542">
        <f t="shared" si="6"/>
        <v>60</v>
      </c>
      <c r="L193" s="543">
        <f t="shared" si="7"/>
        <v>0</v>
      </c>
      <c r="M193" s="537" t="s">
        <v>1583</v>
      </c>
      <c r="N193" s="551"/>
    </row>
    <row r="194" spans="1:21" s="547" customFormat="1" ht="131.55000000000001" customHeight="1">
      <c r="A194" s="237">
        <v>11</v>
      </c>
      <c r="B194" s="536" t="s">
        <v>1280</v>
      </c>
      <c r="C194" s="537" t="s">
        <v>743</v>
      </c>
      <c r="D194" s="546">
        <f>VLOOKUP(B194,[13]AssetDetails_UEM!$A$3:$X$1848,22,FALSE)</f>
        <v>28630</v>
      </c>
      <c r="E194" s="536" t="s">
        <v>1121</v>
      </c>
      <c r="F194" s="536" t="s">
        <v>583</v>
      </c>
      <c r="G194" s="536" t="s">
        <v>1403</v>
      </c>
      <c r="H194" s="554">
        <v>46173.458333333336</v>
      </c>
      <c r="I194" s="549">
        <v>46189</v>
      </c>
      <c r="J194" s="541" t="s">
        <v>147</v>
      </c>
      <c r="K194" s="542">
        <f t="shared" si="6"/>
        <v>60</v>
      </c>
      <c r="L194" s="543">
        <f t="shared" si="7"/>
        <v>0</v>
      </c>
      <c r="M194" s="537" t="s">
        <v>1584</v>
      </c>
      <c r="N194" s="548"/>
    </row>
    <row r="195" spans="1:21" s="207" customFormat="1" ht="147.75" customHeight="1">
      <c r="A195" s="656" t="s">
        <v>650</v>
      </c>
      <c r="B195" s="657"/>
      <c r="C195" s="657"/>
      <c r="D195" s="657"/>
      <c r="E195" s="657"/>
      <c r="F195" s="301"/>
      <c r="G195" s="302"/>
      <c r="H195" s="303"/>
      <c r="I195" s="310"/>
      <c r="J195" s="310"/>
      <c r="K195" s="305"/>
      <c r="L195" s="305"/>
      <c r="M195" s="313"/>
    </row>
    <row r="196" spans="1:21" s="207" customFormat="1" ht="114.6" customHeight="1">
      <c r="A196" s="237">
        <v>1</v>
      </c>
      <c r="B196" s="237" t="s">
        <v>652</v>
      </c>
      <c r="C196" s="238" t="s">
        <v>653</v>
      </c>
      <c r="D196" s="239">
        <f>VLOOKUP(B196,[13]AssetDetails_UEM!$A$3:$X$1848,22,FALSE)</f>
        <v>40000</v>
      </c>
      <c r="E196" s="237" t="s">
        <v>654</v>
      </c>
      <c r="F196" s="237" t="s">
        <v>655</v>
      </c>
      <c r="G196" s="300" t="s">
        <v>656</v>
      </c>
      <c r="H196" s="503">
        <v>46154.416666666664</v>
      </c>
      <c r="I196" s="289">
        <v>46154</v>
      </c>
      <c r="J196" s="271" t="s">
        <v>147</v>
      </c>
      <c r="K196" s="272">
        <f>ROUNDUP((D196/4999.99)*10,-1)</f>
        <v>90</v>
      </c>
      <c r="L196" s="273">
        <f>IF(J196="N",0,K196)</f>
        <v>0</v>
      </c>
      <c r="M196" s="504" t="s">
        <v>966</v>
      </c>
      <c r="N196" s="314"/>
    </row>
    <row r="197" spans="1:21" s="209" customFormat="1" ht="292.8">
      <c r="A197" s="237">
        <v>2</v>
      </c>
      <c r="B197" s="237" t="s">
        <v>536</v>
      </c>
      <c r="C197" s="238" t="s">
        <v>663</v>
      </c>
      <c r="D197" s="239">
        <v>336</v>
      </c>
      <c r="E197" s="237" t="s">
        <v>664</v>
      </c>
      <c r="F197" s="237" t="s">
        <v>538</v>
      </c>
      <c r="G197" s="300">
        <v>46105</v>
      </c>
      <c r="H197" s="501">
        <v>46157.645833333336</v>
      </c>
      <c r="I197" s="290">
        <v>46168</v>
      </c>
      <c r="J197" s="271" t="s">
        <v>147</v>
      </c>
      <c r="K197" s="272">
        <v>10</v>
      </c>
      <c r="L197" s="273">
        <v>0</v>
      </c>
      <c r="M197" s="502" t="s">
        <v>965</v>
      </c>
      <c r="N197" s="505"/>
      <c r="P197" s="316"/>
      <c r="Q197" s="318"/>
      <c r="U197" s="516" t="s">
        <v>595</v>
      </c>
    </row>
    <row r="198" spans="1:21" s="204" customFormat="1" ht="183">
      <c r="A198" s="237">
        <v>3</v>
      </c>
      <c r="B198" s="237" t="s">
        <v>967</v>
      </c>
      <c r="C198" s="294" t="s">
        <v>640</v>
      </c>
      <c r="D198" s="295">
        <v>58988</v>
      </c>
      <c r="E198" s="304" t="s">
        <v>968</v>
      </c>
      <c r="F198" s="304" t="s">
        <v>969</v>
      </c>
      <c r="G198" s="517">
        <v>46108</v>
      </c>
      <c r="H198" s="517">
        <v>46157.625</v>
      </c>
      <c r="I198" s="518">
        <v>46157</v>
      </c>
      <c r="J198" s="271" t="s">
        <v>147</v>
      </c>
      <c r="K198" s="272">
        <v>120</v>
      </c>
      <c r="L198" s="273">
        <v>0</v>
      </c>
      <c r="M198" s="502" t="s">
        <v>970</v>
      </c>
      <c r="N198" s="285"/>
      <c r="O198" s="204" t="s">
        <v>595</v>
      </c>
    </row>
    <row r="199" spans="1:21" s="208" customFormat="1" ht="166.05" customHeight="1">
      <c r="A199" s="237">
        <v>4</v>
      </c>
      <c r="B199" s="292" t="s">
        <v>644</v>
      </c>
      <c r="C199" s="293" t="s">
        <v>645</v>
      </c>
      <c r="D199" s="240">
        <f>VLOOKUP(B199,[13]AssetDetails_UEM!$A$3:$X$1848,22,FALSE)</f>
        <v>5773</v>
      </c>
      <c r="E199" s="520" t="s">
        <v>646</v>
      </c>
      <c r="F199" s="292" t="s">
        <v>226</v>
      </c>
      <c r="G199" s="292" t="s">
        <v>647</v>
      </c>
      <c r="H199" s="299">
        <v>46153.4375</v>
      </c>
      <c r="I199" s="308">
        <v>46153</v>
      </c>
      <c r="J199" s="309" t="s">
        <v>147</v>
      </c>
      <c r="K199" s="272">
        <f>ROUNDUP((D199/4999.99)*10,-1)</f>
        <v>20</v>
      </c>
      <c r="L199" s="273">
        <f>IF(J199="N",0,K199)</f>
        <v>0</v>
      </c>
      <c r="M199" s="502" t="s">
        <v>971</v>
      </c>
      <c r="N199" s="312"/>
    </row>
    <row r="200" spans="1:21" s="204" customFormat="1" ht="146.4">
      <c r="A200" s="237">
        <v>5</v>
      </c>
      <c r="B200" s="292" t="s">
        <v>648</v>
      </c>
      <c r="C200" s="293" t="s">
        <v>645</v>
      </c>
      <c r="D200" s="239">
        <f>VLOOKUP(B200,[13]AssetDetails_UEM!$A$3:$X$1848,22,FALSE)</f>
        <v>5773</v>
      </c>
      <c r="E200" s="292" t="s">
        <v>649</v>
      </c>
      <c r="F200" s="292" t="s">
        <v>226</v>
      </c>
      <c r="G200" s="292" t="s">
        <v>647</v>
      </c>
      <c r="H200" s="299">
        <v>46153.416666666664</v>
      </c>
      <c r="I200" s="308">
        <v>46153</v>
      </c>
      <c r="J200" s="271" t="s">
        <v>147</v>
      </c>
      <c r="K200" s="272">
        <f t="shared" ref="K200" si="8">ROUNDUP((D200/4999.99)*10,-1)</f>
        <v>20</v>
      </c>
      <c r="L200" s="273">
        <f t="shared" ref="L200" si="9">IF(J200="N",0,K200)</f>
        <v>0</v>
      </c>
      <c r="M200" s="502" t="s">
        <v>971</v>
      </c>
      <c r="N200" s="285"/>
    </row>
    <row r="201" spans="1:21" s="204" customFormat="1" ht="114.6" customHeight="1">
      <c r="A201" s="656" t="s">
        <v>651</v>
      </c>
      <c r="B201" s="657"/>
      <c r="C201" s="657"/>
      <c r="D201" s="657"/>
      <c r="E201" s="657"/>
      <c r="F201" s="305"/>
      <c r="G201" s="306"/>
      <c r="H201" s="307"/>
      <c r="I201" s="303"/>
      <c r="J201" s="303"/>
      <c r="K201" s="305"/>
      <c r="L201" s="305"/>
      <c r="M201" s="305"/>
      <c r="N201" s="522" t="s">
        <v>595</v>
      </c>
    </row>
    <row r="202" spans="1:21" s="524" customFormat="1" ht="114.6" customHeight="1">
      <c r="A202" s="528">
        <v>1</v>
      </c>
      <c r="B202" s="528" t="s">
        <v>657</v>
      </c>
      <c r="C202" s="502" t="s">
        <v>653</v>
      </c>
      <c r="D202" s="529">
        <f>VLOOKUP(B202,[13]AssetDetails_UEM!$A$3:$X$1848,22,FALSE)</f>
        <v>48000</v>
      </c>
      <c r="E202" s="528" t="s">
        <v>658</v>
      </c>
      <c r="F202" s="528" t="s">
        <v>655</v>
      </c>
      <c r="G202" s="530" t="s">
        <v>659</v>
      </c>
      <c r="H202" s="554">
        <v>46173.458333333336</v>
      </c>
      <c r="I202" s="550">
        <v>46192</v>
      </c>
      <c r="J202" s="532" t="s">
        <v>147</v>
      </c>
      <c r="K202" s="533">
        <f t="shared" ref="K202:K203" si="10">ROUNDUP((D202/4999.99)*10,-1)</f>
        <v>100</v>
      </c>
      <c r="L202" s="534">
        <f t="shared" ref="L202:L203" si="11">IF(J202="N",0,K202)</f>
        <v>0</v>
      </c>
      <c r="M202" s="552" t="s">
        <v>1563</v>
      </c>
      <c r="N202" s="521"/>
    </row>
    <row r="203" spans="1:21" s="524" customFormat="1" ht="114" customHeight="1">
      <c r="A203" s="528">
        <v>2</v>
      </c>
      <c r="B203" s="528" t="s">
        <v>660</v>
      </c>
      <c r="C203" s="502" t="s">
        <v>653</v>
      </c>
      <c r="D203" s="529">
        <f>VLOOKUP(B203,[13]AssetDetails_UEM!$A$3:$X$1848,22,FALSE)</f>
        <v>40000</v>
      </c>
      <c r="E203" s="528" t="s">
        <v>661</v>
      </c>
      <c r="F203" s="528" t="s">
        <v>655</v>
      </c>
      <c r="G203" s="530" t="s">
        <v>662</v>
      </c>
      <c r="H203" s="554">
        <v>46173.458333333336</v>
      </c>
      <c r="I203" s="550">
        <v>46198</v>
      </c>
      <c r="J203" s="532" t="s">
        <v>147</v>
      </c>
      <c r="K203" s="533">
        <f t="shared" si="10"/>
        <v>90</v>
      </c>
      <c r="L203" s="534">
        <f t="shared" si="11"/>
        <v>0</v>
      </c>
      <c r="M203" s="552" t="s">
        <v>1563</v>
      </c>
      <c r="N203" s="521"/>
    </row>
    <row r="204" spans="1:21" s="207" customFormat="1" ht="114.6" customHeight="1">
      <c r="A204" s="528">
        <v>3</v>
      </c>
      <c r="B204" s="506" t="s">
        <v>611</v>
      </c>
      <c r="C204" s="507" t="s">
        <v>612</v>
      </c>
      <c r="D204" s="508">
        <v>1883</v>
      </c>
      <c r="E204" s="506" t="s">
        <v>613</v>
      </c>
      <c r="F204" s="506" t="s">
        <v>614</v>
      </c>
      <c r="G204" s="509">
        <v>46121</v>
      </c>
      <c r="H204" s="554">
        <v>46173.458333333336</v>
      </c>
      <c r="I204" s="510">
        <v>46185</v>
      </c>
      <c r="J204" s="511" t="s">
        <v>147</v>
      </c>
      <c r="K204" s="512">
        <v>10</v>
      </c>
      <c r="L204" s="513">
        <v>0</v>
      </c>
      <c r="M204" s="514" t="s">
        <v>615</v>
      </c>
      <c r="N204" s="315"/>
    </row>
    <row r="205" spans="1:21" s="207" customFormat="1" ht="114.6" customHeight="1">
      <c r="A205" s="528">
        <v>4</v>
      </c>
      <c r="B205" s="237" t="s">
        <v>616</v>
      </c>
      <c r="C205" s="238" t="s">
        <v>617</v>
      </c>
      <c r="D205" s="239">
        <v>23270</v>
      </c>
      <c r="E205" s="237" t="s">
        <v>618</v>
      </c>
      <c r="F205" s="237" t="s">
        <v>619</v>
      </c>
      <c r="G205" s="300">
        <v>46122</v>
      </c>
      <c r="H205" s="554">
        <v>46173.458333333336</v>
      </c>
      <c r="I205" s="289">
        <v>46185</v>
      </c>
      <c r="J205" s="271" t="s">
        <v>147</v>
      </c>
      <c r="K205" s="272">
        <v>50</v>
      </c>
      <c r="L205" s="273">
        <v>0</v>
      </c>
      <c r="M205" s="514" t="s">
        <v>615</v>
      </c>
      <c r="N205" s="315"/>
    </row>
    <row r="206" spans="1:21" s="207" customFormat="1" ht="114.6" customHeight="1">
      <c r="A206" s="528">
        <v>5</v>
      </c>
      <c r="B206" s="237" t="s">
        <v>620</v>
      </c>
      <c r="C206" s="238" t="s">
        <v>612</v>
      </c>
      <c r="D206" s="239">
        <v>1883</v>
      </c>
      <c r="E206" s="237" t="s">
        <v>621</v>
      </c>
      <c r="F206" s="237" t="s">
        <v>614</v>
      </c>
      <c r="G206" s="300">
        <v>46122</v>
      </c>
      <c r="H206" s="554">
        <v>46173.458333333336</v>
      </c>
      <c r="I206" s="289">
        <v>46185</v>
      </c>
      <c r="J206" s="271" t="s">
        <v>147</v>
      </c>
      <c r="K206" s="272">
        <v>10</v>
      </c>
      <c r="L206" s="273">
        <v>0</v>
      </c>
      <c r="M206" s="514" t="s">
        <v>615</v>
      </c>
      <c r="N206" s="315"/>
    </row>
    <row r="207" spans="1:21" s="207" customFormat="1" ht="114.6" customHeight="1">
      <c r="A207" s="528">
        <v>6</v>
      </c>
      <c r="B207" s="237" t="s">
        <v>622</v>
      </c>
      <c r="C207" s="238" t="s">
        <v>612</v>
      </c>
      <c r="D207" s="239">
        <v>1883</v>
      </c>
      <c r="E207" s="237" t="s">
        <v>623</v>
      </c>
      <c r="F207" s="237" t="s">
        <v>614</v>
      </c>
      <c r="G207" s="300">
        <v>46122</v>
      </c>
      <c r="H207" s="554">
        <v>46173.458333333336</v>
      </c>
      <c r="I207" s="289">
        <v>46185</v>
      </c>
      <c r="J207" s="271" t="s">
        <v>147</v>
      </c>
      <c r="K207" s="272">
        <v>10</v>
      </c>
      <c r="L207" s="273">
        <v>0</v>
      </c>
      <c r="M207" s="514" t="s">
        <v>615</v>
      </c>
      <c r="N207" s="315"/>
    </row>
    <row r="208" spans="1:21" s="207" customFormat="1" ht="114.6" customHeight="1">
      <c r="A208" s="528">
        <v>7</v>
      </c>
      <c r="B208" s="237" t="s">
        <v>624</v>
      </c>
      <c r="C208" s="238" t="s">
        <v>612</v>
      </c>
      <c r="D208" s="239">
        <v>1883</v>
      </c>
      <c r="E208" s="237" t="s">
        <v>625</v>
      </c>
      <c r="F208" s="237" t="s">
        <v>614</v>
      </c>
      <c r="G208" s="300">
        <v>46122</v>
      </c>
      <c r="H208" s="554">
        <v>46173.458333333336</v>
      </c>
      <c r="I208" s="289">
        <v>46185</v>
      </c>
      <c r="J208" s="271" t="s">
        <v>147</v>
      </c>
      <c r="K208" s="272">
        <v>10</v>
      </c>
      <c r="L208" s="273">
        <v>0</v>
      </c>
      <c r="M208" s="514" t="s">
        <v>615</v>
      </c>
      <c r="N208" s="315"/>
    </row>
    <row r="209" spans="1:14" s="207" customFormat="1" ht="114.6" customHeight="1">
      <c r="A209" s="528">
        <v>8</v>
      </c>
      <c r="B209" s="237" t="s">
        <v>626</v>
      </c>
      <c r="C209" s="238" t="s">
        <v>612</v>
      </c>
      <c r="D209" s="239">
        <v>1883</v>
      </c>
      <c r="E209" s="237" t="s">
        <v>627</v>
      </c>
      <c r="F209" s="237" t="s">
        <v>614</v>
      </c>
      <c r="G209" s="300">
        <v>46122</v>
      </c>
      <c r="H209" s="554">
        <v>46173.458333333336</v>
      </c>
      <c r="I209" s="289">
        <v>46185</v>
      </c>
      <c r="J209" s="271" t="s">
        <v>147</v>
      </c>
      <c r="K209" s="272">
        <v>10</v>
      </c>
      <c r="L209" s="273">
        <v>0</v>
      </c>
      <c r="M209" s="514" t="s">
        <v>615</v>
      </c>
      <c r="N209" s="315"/>
    </row>
    <row r="210" spans="1:14" s="207" customFormat="1" ht="114.6" customHeight="1">
      <c r="A210" s="528">
        <v>9</v>
      </c>
      <c r="B210" s="237" t="s">
        <v>628</v>
      </c>
      <c r="C210" s="238" t="s">
        <v>612</v>
      </c>
      <c r="D210" s="239">
        <v>1883</v>
      </c>
      <c r="E210" s="237" t="s">
        <v>629</v>
      </c>
      <c r="F210" s="237" t="s">
        <v>614</v>
      </c>
      <c r="G210" s="300">
        <v>46122</v>
      </c>
      <c r="H210" s="554">
        <v>46173.458333333336</v>
      </c>
      <c r="I210" s="289">
        <v>46185</v>
      </c>
      <c r="J210" s="271" t="s">
        <v>147</v>
      </c>
      <c r="K210" s="272">
        <v>10</v>
      </c>
      <c r="L210" s="273">
        <v>0</v>
      </c>
      <c r="M210" s="514" t="s">
        <v>615</v>
      </c>
      <c r="N210" s="315"/>
    </row>
    <row r="211" spans="1:14" s="207" customFormat="1" ht="114.6" customHeight="1">
      <c r="A211" s="528">
        <v>10</v>
      </c>
      <c r="B211" s="237" t="s">
        <v>630</v>
      </c>
      <c r="C211" s="238" t="s">
        <v>612</v>
      </c>
      <c r="D211" s="239">
        <v>1883</v>
      </c>
      <c r="E211" s="237" t="s">
        <v>631</v>
      </c>
      <c r="F211" s="237" t="s">
        <v>614</v>
      </c>
      <c r="G211" s="300">
        <v>46122</v>
      </c>
      <c r="H211" s="554">
        <v>46173.458333333336</v>
      </c>
      <c r="I211" s="289">
        <v>46185</v>
      </c>
      <c r="J211" s="271" t="s">
        <v>147</v>
      </c>
      <c r="K211" s="272">
        <v>10</v>
      </c>
      <c r="L211" s="273">
        <v>0</v>
      </c>
      <c r="M211" s="514" t="s">
        <v>615</v>
      </c>
      <c r="N211" s="315"/>
    </row>
    <row r="212" spans="1:14" s="207" customFormat="1" ht="114.6" customHeight="1">
      <c r="A212" s="528">
        <v>11</v>
      </c>
      <c r="B212" s="237" t="s">
        <v>632</v>
      </c>
      <c r="C212" s="238" t="s">
        <v>612</v>
      </c>
      <c r="D212" s="239">
        <v>4370</v>
      </c>
      <c r="E212" s="237" t="s">
        <v>633</v>
      </c>
      <c r="F212" s="237" t="s">
        <v>634</v>
      </c>
      <c r="G212" s="300">
        <v>46129</v>
      </c>
      <c r="H212" s="554">
        <v>46173.458333333336</v>
      </c>
      <c r="I212" s="289">
        <v>46192</v>
      </c>
      <c r="J212" s="271" t="s">
        <v>147</v>
      </c>
      <c r="K212" s="272">
        <v>10</v>
      </c>
      <c r="L212" s="273">
        <v>0</v>
      </c>
      <c r="M212" s="514" t="s">
        <v>615</v>
      </c>
      <c r="N212" s="315"/>
    </row>
    <row r="213" spans="1:14" s="207" customFormat="1" ht="114" customHeight="1">
      <c r="A213" s="528">
        <v>12</v>
      </c>
      <c r="B213" s="237" t="s">
        <v>635</v>
      </c>
      <c r="C213" s="238" t="s">
        <v>612</v>
      </c>
      <c r="D213" s="239">
        <v>4370</v>
      </c>
      <c r="E213" s="237" t="s">
        <v>636</v>
      </c>
      <c r="F213" s="237" t="s">
        <v>634</v>
      </c>
      <c r="G213" s="300">
        <v>46129</v>
      </c>
      <c r="H213" s="554">
        <v>46173.458333333336</v>
      </c>
      <c r="I213" s="289">
        <v>46192</v>
      </c>
      <c r="J213" s="271" t="s">
        <v>147</v>
      </c>
      <c r="K213" s="272">
        <v>10</v>
      </c>
      <c r="L213" s="273">
        <v>0</v>
      </c>
      <c r="M213" s="514" t="s">
        <v>615</v>
      </c>
      <c r="N213" s="315"/>
    </row>
    <row r="214" spans="1:14" s="207" customFormat="1" ht="114.6" customHeight="1">
      <c r="A214" s="528">
        <v>13</v>
      </c>
      <c r="B214" s="237" t="s">
        <v>637</v>
      </c>
      <c r="C214" s="238" t="s">
        <v>612</v>
      </c>
      <c r="D214" s="239">
        <v>4370</v>
      </c>
      <c r="E214" s="237" t="s">
        <v>638</v>
      </c>
      <c r="F214" s="237" t="s">
        <v>634</v>
      </c>
      <c r="G214" s="300">
        <v>46129</v>
      </c>
      <c r="H214" s="554">
        <v>46173.458333333336</v>
      </c>
      <c r="I214" s="289">
        <v>46192</v>
      </c>
      <c r="J214" s="271" t="s">
        <v>147</v>
      </c>
      <c r="K214" s="272">
        <v>10</v>
      </c>
      <c r="L214" s="273">
        <v>0</v>
      </c>
      <c r="M214" s="514" t="s">
        <v>615</v>
      </c>
      <c r="N214" s="315"/>
    </row>
    <row r="215" spans="1:14" s="535" customFormat="1" ht="114.6" customHeight="1">
      <c r="A215" s="528">
        <v>14</v>
      </c>
      <c r="B215" s="528" t="s">
        <v>639</v>
      </c>
      <c r="C215" s="502" t="s">
        <v>640</v>
      </c>
      <c r="D215" s="529">
        <v>20000</v>
      </c>
      <c r="E215" s="528" t="s">
        <v>641</v>
      </c>
      <c r="F215" s="528" t="s">
        <v>642</v>
      </c>
      <c r="G215" s="530">
        <v>46129</v>
      </c>
      <c r="H215" s="554">
        <v>46173.458333333336</v>
      </c>
      <c r="I215" s="550">
        <v>46192</v>
      </c>
      <c r="J215" s="532" t="s">
        <v>147</v>
      </c>
      <c r="K215" s="533">
        <v>50</v>
      </c>
      <c r="L215" s="534">
        <v>0</v>
      </c>
      <c r="M215" s="552" t="s">
        <v>643</v>
      </c>
      <c r="N215" s="553"/>
    </row>
    <row r="216" spans="1:14" s="204" customFormat="1" ht="151.5" customHeight="1">
      <c r="A216" s="296"/>
      <c r="B216" s="297"/>
      <c r="C216" s="297"/>
      <c r="D216" s="519" t="s">
        <v>595</v>
      </c>
      <c r="E216" s="296"/>
      <c r="F216" s="296"/>
      <c r="G216" s="658" t="s">
        <v>665</v>
      </c>
      <c r="H216" s="658"/>
      <c r="I216" s="658"/>
      <c r="J216" s="658"/>
      <c r="K216" s="659"/>
      <c r="L216" s="311">
        <f>SUM(L200:L201)</f>
        <v>0</v>
      </c>
      <c r="M216" s="297"/>
      <c r="N216" s="285"/>
    </row>
    <row r="217" spans="1:14" s="204" customFormat="1" ht="138.75" customHeight="1">
      <c r="A217" s="215"/>
      <c r="B217" s="216"/>
      <c r="C217" s="217"/>
      <c r="D217" s="218"/>
      <c r="E217" s="218"/>
      <c r="F217" s="218"/>
      <c r="G217" s="219"/>
      <c r="H217" s="220"/>
      <c r="I217" s="220"/>
      <c r="J217" s="220"/>
      <c r="K217" s="221"/>
      <c r="L217" s="221"/>
      <c r="M217" s="211"/>
      <c r="N217" s="285"/>
    </row>
    <row r="218" spans="1:14" s="204" customFormat="1" ht="151.5" customHeight="1">
      <c r="A218" s="215"/>
      <c r="B218" s="216"/>
      <c r="C218" s="217"/>
      <c r="D218" s="218"/>
      <c r="E218" s="218"/>
      <c r="F218" s="218"/>
      <c r="G218" s="219"/>
      <c r="H218" s="220"/>
      <c r="I218" s="220"/>
      <c r="J218" s="220"/>
      <c r="K218" s="221"/>
      <c r="L218" s="221"/>
      <c r="M218" s="211"/>
      <c r="N218" s="285"/>
    </row>
    <row r="219" spans="1:14" s="204" customFormat="1" ht="135" customHeight="1">
      <c r="A219" s="215"/>
      <c r="B219" s="216"/>
      <c r="C219" s="217"/>
      <c r="D219" s="218"/>
      <c r="E219" s="218"/>
      <c r="F219" s="218" t="s">
        <v>595</v>
      </c>
      <c r="G219" s="219"/>
      <c r="H219" s="220"/>
      <c r="I219" s="220"/>
      <c r="J219" s="220"/>
      <c r="K219" s="221"/>
      <c r="L219" s="221"/>
      <c r="M219" s="211"/>
      <c r="N219" s="285"/>
    </row>
    <row r="220" spans="1:14" s="204" customFormat="1" ht="112.5" customHeight="1">
      <c r="A220" s="215"/>
      <c r="B220" s="216"/>
      <c r="C220" s="217"/>
      <c r="D220" s="218"/>
      <c r="E220" s="218"/>
      <c r="F220" s="218"/>
      <c r="G220" s="219"/>
      <c r="H220" s="220"/>
      <c r="I220" s="220"/>
      <c r="J220" s="220"/>
      <c r="K220" s="221"/>
      <c r="L220" s="221"/>
      <c r="M220" s="211"/>
      <c r="N220" s="285"/>
    </row>
    <row r="221" spans="1:14" s="204" customFormat="1" ht="87.75" customHeight="1">
      <c r="A221" s="215"/>
      <c r="B221" s="216"/>
      <c r="C221" s="217"/>
      <c r="D221" s="218"/>
      <c r="E221" s="218"/>
      <c r="F221" s="218"/>
      <c r="G221" s="219"/>
      <c r="H221" s="220"/>
      <c r="I221" s="220"/>
      <c r="J221" s="220"/>
      <c r="K221" s="221"/>
      <c r="L221" s="221"/>
      <c r="M221" s="211"/>
      <c r="N221" s="285"/>
    </row>
    <row r="222" spans="1:14" s="204" customFormat="1" ht="74.099999999999994" customHeight="1">
      <c r="A222" s="215"/>
      <c r="B222" s="216"/>
      <c r="C222" s="217"/>
      <c r="D222" s="218"/>
      <c r="E222" s="218"/>
      <c r="F222" s="218"/>
      <c r="G222" s="219"/>
      <c r="H222" s="220"/>
      <c r="I222" s="220"/>
      <c r="J222" s="220"/>
      <c r="K222" s="221"/>
      <c r="L222" s="221"/>
      <c r="M222" s="211"/>
      <c r="N222" s="317"/>
    </row>
    <row r="223" spans="1:14" s="204" customFormat="1" ht="74.099999999999994" customHeight="1">
      <c r="A223" s="215"/>
      <c r="B223" s="216"/>
      <c r="C223" s="217"/>
      <c r="D223" s="218"/>
      <c r="E223" s="218"/>
      <c r="F223" s="218"/>
      <c r="G223" s="219"/>
      <c r="H223" s="220"/>
      <c r="I223" s="220"/>
      <c r="J223" s="220"/>
      <c r="K223" s="221"/>
      <c r="L223" s="221"/>
      <c r="M223" s="211"/>
      <c r="N223" s="317"/>
    </row>
    <row r="224" spans="1:14" s="210" customFormat="1" ht="74.099999999999994" customHeight="1">
      <c r="A224" s="215"/>
      <c r="B224" s="216"/>
      <c r="C224" s="217"/>
      <c r="D224" s="218"/>
      <c r="E224" s="218"/>
      <c r="F224" s="218"/>
      <c r="G224" s="219"/>
      <c r="H224" s="220"/>
      <c r="I224" s="220"/>
      <c r="J224" s="220"/>
      <c r="K224" s="221"/>
      <c r="L224" s="221"/>
      <c r="M224" s="211"/>
      <c r="N224" s="317"/>
    </row>
    <row r="225" spans="1:14" s="204" customFormat="1" ht="74.099999999999994" customHeight="1">
      <c r="A225" s="215"/>
      <c r="B225" s="216"/>
      <c r="C225" s="217"/>
      <c r="D225" s="218"/>
      <c r="E225" s="218"/>
      <c r="F225" s="218"/>
      <c r="G225" s="219"/>
      <c r="H225" s="220"/>
      <c r="I225" s="220"/>
      <c r="J225" s="220"/>
      <c r="K225" s="221"/>
      <c r="L225" s="221"/>
      <c r="M225" s="211"/>
      <c r="N225" s="317"/>
    </row>
    <row r="226" spans="1:14" s="204" customFormat="1" ht="74.099999999999994" customHeight="1">
      <c r="A226" s="215"/>
      <c r="B226" s="216"/>
      <c r="C226" s="217"/>
      <c r="D226" s="218"/>
      <c r="E226" s="218"/>
      <c r="F226" s="218"/>
      <c r="G226" s="219"/>
      <c r="H226" s="220"/>
      <c r="I226" s="220"/>
      <c r="J226" s="220"/>
      <c r="K226" s="221"/>
      <c r="L226" s="221"/>
      <c r="M226" s="211"/>
      <c r="N226" s="317"/>
    </row>
    <row r="227" spans="1:14" s="204" customFormat="1" ht="74.099999999999994" customHeight="1">
      <c r="A227" s="215"/>
      <c r="B227" s="216"/>
      <c r="C227" s="217"/>
      <c r="D227" s="218"/>
      <c r="E227" s="218"/>
      <c r="F227" s="218"/>
      <c r="G227" s="219"/>
      <c r="H227" s="220"/>
      <c r="I227" s="220"/>
      <c r="J227" s="220"/>
      <c r="K227" s="221"/>
      <c r="L227" s="221"/>
      <c r="M227" s="211"/>
      <c r="N227" s="317"/>
    </row>
    <row r="228" spans="1:14" s="204" customFormat="1" ht="104.1" customHeight="1">
      <c r="A228" s="215"/>
      <c r="B228" s="216"/>
      <c r="C228" s="217"/>
      <c r="D228" s="218"/>
      <c r="E228" s="218"/>
      <c r="F228" s="218"/>
      <c r="G228" s="219"/>
      <c r="H228" s="220"/>
      <c r="I228" s="220"/>
      <c r="J228" s="220"/>
      <c r="K228" s="221"/>
      <c r="L228" s="221"/>
      <c r="M228" s="211"/>
      <c r="N228" s="317"/>
    </row>
    <row r="229" spans="1:14" s="204" customFormat="1" ht="74.099999999999994" customHeight="1">
      <c r="A229" s="215"/>
      <c r="B229" s="216"/>
      <c r="C229" s="217"/>
      <c r="D229" s="218"/>
      <c r="E229" s="218"/>
      <c r="F229" s="218"/>
      <c r="G229" s="219"/>
      <c r="H229" s="220"/>
      <c r="I229" s="220"/>
      <c r="J229" s="220"/>
      <c r="K229" s="221"/>
      <c r="L229" s="221"/>
      <c r="M229" s="211"/>
      <c r="N229" s="317"/>
    </row>
    <row r="230" spans="1:14" s="204" customFormat="1" ht="74.099999999999994" customHeight="1">
      <c r="A230" s="215"/>
      <c r="B230" s="216"/>
      <c r="C230" s="217"/>
      <c r="D230" s="218"/>
      <c r="E230" s="218"/>
      <c r="F230" s="218"/>
      <c r="G230" s="219"/>
      <c r="H230" s="220"/>
      <c r="I230" s="220"/>
      <c r="J230" s="220"/>
      <c r="K230" s="221"/>
      <c r="L230" s="221"/>
      <c r="M230" s="211"/>
      <c r="N230" s="317"/>
    </row>
    <row r="231" spans="1:14" s="204" customFormat="1" ht="74.099999999999994" customHeight="1">
      <c r="A231" s="215"/>
      <c r="B231" s="216"/>
      <c r="C231" s="217"/>
      <c r="D231" s="218"/>
      <c r="E231" s="218"/>
      <c r="F231" s="218"/>
      <c r="G231" s="219"/>
      <c r="H231" s="220"/>
      <c r="I231" s="220"/>
      <c r="J231" s="220"/>
      <c r="K231" s="221"/>
      <c r="L231" s="221"/>
      <c r="M231" s="211"/>
      <c r="N231" s="317"/>
    </row>
    <row r="232" spans="1:14" s="204" customFormat="1" ht="74.099999999999994" customHeight="1">
      <c r="A232" s="215"/>
      <c r="B232" s="216"/>
      <c r="C232" s="217"/>
      <c r="D232" s="218"/>
      <c r="E232" s="218"/>
      <c r="F232" s="218"/>
      <c r="G232" s="219"/>
      <c r="H232" s="220"/>
      <c r="I232" s="220"/>
      <c r="J232" s="220"/>
      <c r="K232" s="221"/>
      <c r="L232" s="221"/>
      <c r="M232" s="211"/>
      <c r="N232" s="317"/>
    </row>
    <row r="233" spans="1:14" s="204" customFormat="1" ht="125.1" customHeight="1">
      <c r="A233" s="215"/>
      <c r="B233" s="216"/>
      <c r="C233" s="217"/>
      <c r="D233" s="218"/>
      <c r="E233" s="218"/>
      <c r="F233" s="218"/>
      <c r="G233" s="219"/>
      <c r="H233" s="220"/>
      <c r="I233" s="220"/>
      <c r="J233" s="220"/>
      <c r="K233" s="221"/>
      <c r="L233" s="221"/>
      <c r="M233" s="211"/>
      <c r="N233" s="285"/>
    </row>
    <row r="234" spans="1:14" s="204" customFormat="1" ht="74.099999999999994" customHeight="1">
      <c r="A234" s="215"/>
      <c r="B234" s="216"/>
      <c r="C234" s="217"/>
      <c r="D234" s="218"/>
      <c r="E234" s="218"/>
      <c r="F234" s="218"/>
      <c r="G234" s="219"/>
      <c r="H234" s="220"/>
      <c r="I234" s="220"/>
      <c r="J234" s="220"/>
      <c r="K234" s="221"/>
      <c r="L234" s="221"/>
      <c r="M234" s="211"/>
      <c r="N234" s="285"/>
    </row>
    <row r="235" spans="1:14" s="203" customFormat="1" ht="74.099999999999994" customHeight="1">
      <c r="A235" s="215"/>
      <c r="B235" s="216"/>
      <c r="C235" s="217"/>
      <c r="D235" s="218"/>
      <c r="E235" s="218"/>
      <c r="F235" s="218"/>
      <c r="G235" s="219"/>
      <c r="H235" s="220"/>
      <c r="I235" s="220"/>
      <c r="J235" s="220"/>
      <c r="K235" s="221"/>
      <c r="L235" s="221"/>
      <c r="M235" s="211"/>
    </row>
    <row r="236" spans="1:14" s="203" customFormat="1" ht="74.099999999999994" customHeight="1">
      <c r="A236" s="215"/>
      <c r="B236" s="216"/>
      <c r="C236" s="217"/>
      <c r="D236" s="218"/>
      <c r="E236" s="218"/>
      <c r="F236" s="218"/>
      <c r="G236" s="219"/>
      <c r="H236" s="220"/>
      <c r="I236" s="220"/>
      <c r="J236" s="220"/>
      <c r="K236" s="221"/>
      <c r="L236" s="221"/>
      <c r="M236" s="211"/>
    </row>
    <row r="237" spans="1:14" s="203" customFormat="1" ht="74.099999999999994" customHeight="1">
      <c r="A237" s="215"/>
      <c r="B237" s="216"/>
      <c r="C237" s="217"/>
      <c r="D237" s="218"/>
      <c r="E237" s="218"/>
      <c r="F237" s="218"/>
      <c r="G237" s="219"/>
      <c r="H237" s="220"/>
      <c r="I237" s="220"/>
      <c r="J237" s="220"/>
      <c r="K237" s="221"/>
      <c r="L237" s="221"/>
      <c r="M237" s="211"/>
    </row>
    <row r="238" spans="1:14" s="203" customFormat="1" ht="74.099999999999994" customHeight="1">
      <c r="A238" s="215"/>
      <c r="B238" s="216"/>
      <c r="C238" s="217"/>
      <c r="D238" s="218"/>
      <c r="E238" s="218"/>
      <c r="F238" s="218"/>
      <c r="G238" s="219"/>
      <c r="H238" s="220"/>
      <c r="I238" s="220"/>
      <c r="J238" s="220"/>
      <c r="K238" s="221"/>
      <c r="L238" s="221"/>
      <c r="M238" s="211"/>
    </row>
    <row r="239" spans="1:14" s="203" customFormat="1" ht="74.099999999999994" customHeight="1">
      <c r="A239" s="215"/>
      <c r="B239" s="216"/>
      <c r="C239" s="217"/>
      <c r="D239" s="218"/>
      <c r="E239" s="218"/>
      <c r="F239" s="218"/>
      <c r="G239" s="219"/>
      <c r="H239" s="220"/>
      <c r="I239" s="220"/>
      <c r="J239" s="220"/>
      <c r="K239" s="221"/>
      <c r="L239" s="221"/>
      <c r="M239" s="211"/>
    </row>
    <row r="240" spans="1:14" s="203" customFormat="1" ht="74.099999999999994" customHeight="1">
      <c r="A240" s="215"/>
      <c r="B240" s="216"/>
      <c r="C240" s="217"/>
      <c r="D240" s="218"/>
      <c r="E240" s="218"/>
      <c r="F240" s="218"/>
      <c r="G240" s="219"/>
      <c r="H240" s="220"/>
      <c r="I240" s="220"/>
      <c r="J240" s="220"/>
      <c r="K240" s="221"/>
      <c r="L240" s="221"/>
      <c r="M240" s="211"/>
    </row>
    <row r="241" spans="1:13" s="203" customFormat="1" ht="74.099999999999994" customHeight="1">
      <c r="A241" s="215"/>
      <c r="B241" s="216"/>
      <c r="C241" s="217"/>
      <c r="D241" s="218"/>
      <c r="E241" s="218"/>
      <c r="F241" s="218"/>
      <c r="G241" s="219"/>
      <c r="H241" s="220"/>
      <c r="I241" s="220"/>
      <c r="J241" s="220"/>
      <c r="K241" s="221"/>
      <c r="L241" s="221"/>
      <c r="M241" s="211"/>
    </row>
    <row r="242" spans="1:13" s="203" customFormat="1" ht="74.099999999999994" customHeight="1">
      <c r="A242" s="215"/>
      <c r="B242" s="216"/>
      <c r="C242" s="217"/>
      <c r="D242" s="218"/>
      <c r="E242" s="218"/>
      <c r="F242" s="218"/>
      <c r="G242" s="219"/>
      <c r="H242" s="220"/>
      <c r="I242" s="220"/>
      <c r="J242" s="220"/>
      <c r="K242" s="221"/>
      <c r="L242" s="221"/>
      <c r="M242" s="211"/>
    </row>
    <row r="243" spans="1:13" s="203" customFormat="1" ht="74.099999999999994" customHeight="1">
      <c r="A243" s="215"/>
      <c r="B243" s="216"/>
      <c r="C243" s="217"/>
      <c r="D243" s="218"/>
      <c r="E243" s="218"/>
      <c r="F243" s="218"/>
      <c r="G243" s="219"/>
      <c r="H243" s="220"/>
      <c r="I243" s="220"/>
      <c r="J243" s="220"/>
      <c r="K243" s="221"/>
      <c r="L243" s="221"/>
      <c r="M243" s="211"/>
    </row>
    <row r="244" spans="1:13" s="203" customFormat="1" ht="74.099999999999994" customHeight="1">
      <c r="A244" s="215"/>
      <c r="B244" s="216"/>
      <c r="C244" s="217"/>
      <c r="D244" s="218"/>
      <c r="E244" s="218"/>
      <c r="F244" s="218"/>
      <c r="G244" s="219"/>
      <c r="H244" s="220"/>
      <c r="I244" s="220"/>
      <c r="J244" s="220"/>
      <c r="K244" s="221"/>
      <c r="L244" s="221"/>
      <c r="M244" s="211"/>
    </row>
    <row r="245" spans="1:13" s="203" customFormat="1" ht="74.099999999999994" customHeight="1">
      <c r="A245" s="215"/>
      <c r="B245" s="216"/>
      <c r="C245" s="217"/>
      <c r="D245" s="218"/>
      <c r="E245" s="218"/>
      <c r="F245" s="218"/>
      <c r="G245" s="219"/>
      <c r="H245" s="220"/>
      <c r="I245" s="220"/>
      <c r="J245" s="220"/>
      <c r="K245" s="221"/>
      <c r="L245" s="221"/>
      <c r="M245" s="211"/>
    </row>
    <row r="246" spans="1:13" s="203" customFormat="1" ht="74.099999999999994" customHeight="1">
      <c r="A246" s="215"/>
      <c r="B246" s="216"/>
      <c r="C246" s="217"/>
      <c r="D246" s="218"/>
      <c r="E246" s="218"/>
      <c r="F246" s="218"/>
      <c r="G246" s="219"/>
      <c r="H246" s="220"/>
      <c r="I246" s="220"/>
      <c r="J246" s="220"/>
      <c r="K246" s="221"/>
      <c r="L246" s="221"/>
      <c r="M246" s="211"/>
    </row>
    <row r="247" spans="1:13" s="203" customFormat="1" ht="74.099999999999994" customHeight="1">
      <c r="A247" s="215"/>
      <c r="B247" s="216"/>
      <c r="C247" s="217"/>
      <c r="D247" s="218"/>
      <c r="E247" s="218"/>
      <c r="F247" s="218"/>
      <c r="G247" s="219"/>
      <c r="H247" s="220"/>
      <c r="I247" s="220"/>
      <c r="J247" s="220"/>
      <c r="K247" s="221"/>
      <c r="L247" s="221"/>
      <c r="M247" s="211"/>
    </row>
    <row r="248" spans="1:13" s="203" customFormat="1" ht="74.099999999999994" customHeight="1">
      <c r="A248" s="215"/>
      <c r="B248" s="216"/>
      <c r="C248" s="217"/>
      <c r="D248" s="218"/>
      <c r="E248" s="218"/>
      <c r="F248" s="218"/>
      <c r="G248" s="219"/>
      <c r="H248" s="220"/>
      <c r="I248" s="220"/>
      <c r="J248" s="220"/>
      <c r="K248" s="221"/>
      <c r="L248" s="221"/>
      <c r="M248" s="211"/>
    </row>
    <row r="249" spans="1:13" s="203" customFormat="1" ht="74.099999999999994" customHeight="1">
      <c r="A249" s="215"/>
      <c r="B249" s="216"/>
      <c r="C249" s="217"/>
      <c r="D249" s="218"/>
      <c r="E249" s="218"/>
      <c r="F249" s="218"/>
      <c r="G249" s="219"/>
      <c r="H249" s="220"/>
      <c r="I249" s="220"/>
      <c r="J249" s="220"/>
      <c r="K249" s="221"/>
      <c r="L249" s="221"/>
      <c r="M249" s="211"/>
    </row>
    <row r="250" spans="1:13" s="203" customFormat="1" ht="74.099999999999994" customHeight="1">
      <c r="A250" s="215"/>
      <c r="B250" s="216"/>
      <c r="C250" s="217"/>
      <c r="D250" s="218"/>
      <c r="E250" s="218"/>
      <c r="F250" s="218"/>
      <c r="G250" s="219"/>
      <c r="H250" s="220"/>
      <c r="I250" s="220"/>
      <c r="J250" s="220"/>
      <c r="K250" s="221"/>
      <c r="L250" s="221"/>
      <c r="M250" s="211"/>
    </row>
    <row r="251" spans="1:13" s="203" customFormat="1" ht="74.099999999999994" customHeight="1">
      <c r="A251" s="215"/>
      <c r="B251" s="216"/>
      <c r="C251" s="217"/>
      <c r="D251" s="218"/>
      <c r="E251" s="218"/>
      <c r="F251" s="218"/>
      <c r="G251" s="219"/>
      <c r="H251" s="220"/>
      <c r="I251" s="220"/>
      <c r="J251" s="220"/>
      <c r="K251" s="221"/>
      <c r="L251" s="221"/>
      <c r="M251" s="211"/>
    </row>
    <row r="252" spans="1:13" s="203" customFormat="1" ht="74.099999999999994" customHeight="1">
      <c r="A252" s="215"/>
      <c r="B252" s="216"/>
      <c r="C252" s="217"/>
      <c r="D252" s="218"/>
      <c r="E252" s="218"/>
      <c r="F252" s="218"/>
      <c r="G252" s="219"/>
      <c r="H252" s="220"/>
      <c r="I252" s="220"/>
      <c r="J252" s="220"/>
      <c r="K252" s="221"/>
      <c r="L252" s="221"/>
      <c r="M252" s="211"/>
    </row>
    <row r="253" spans="1:13" s="203" customFormat="1" ht="74.099999999999994" customHeight="1">
      <c r="A253" s="215"/>
      <c r="B253" s="216"/>
      <c r="C253" s="217"/>
      <c r="D253" s="218"/>
      <c r="E253" s="218"/>
      <c r="F253" s="218"/>
      <c r="G253" s="219"/>
      <c r="H253" s="220"/>
      <c r="I253" s="220"/>
      <c r="J253" s="220"/>
      <c r="K253" s="221"/>
      <c r="L253" s="221"/>
      <c r="M253" s="211"/>
    </row>
    <row r="254" spans="1:13" s="203" customFormat="1" ht="74.099999999999994" customHeight="1">
      <c r="A254" s="215"/>
      <c r="B254" s="216"/>
      <c r="C254" s="217"/>
      <c r="D254" s="218"/>
      <c r="E254" s="218"/>
      <c r="F254" s="218"/>
      <c r="G254" s="219"/>
      <c r="H254" s="220"/>
      <c r="I254" s="220"/>
      <c r="J254" s="220"/>
      <c r="K254" s="221"/>
      <c r="L254" s="221"/>
      <c r="M254" s="211"/>
    </row>
    <row r="255" spans="1:13" s="203" customFormat="1" ht="74.099999999999994" customHeight="1">
      <c r="A255" s="215"/>
      <c r="B255" s="216"/>
      <c r="C255" s="217"/>
      <c r="D255" s="218"/>
      <c r="E255" s="218"/>
      <c r="F255" s="218"/>
      <c r="G255" s="219"/>
      <c r="H255" s="220"/>
      <c r="I255" s="220"/>
      <c r="J255" s="220"/>
      <c r="K255" s="221"/>
      <c r="L255" s="221"/>
      <c r="M255" s="211"/>
    </row>
    <row r="256" spans="1:13" s="203" customFormat="1" ht="74.099999999999994" customHeight="1">
      <c r="A256" s="215"/>
      <c r="B256" s="216"/>
      <c r="C256" s="217"/>
      <c r="D256" s="218"/>
      <c r="E256" s="218"/>
      <c r="F256" s="218"/>
      <c r="G256" s="219"/>
      <c r="H256" s="220"/>
      <c r="I256" s="220"/>
      <c r="J256" s="220"/>
      <c r="K256" s="221"/>
      <c r="L256" s="221"/>
      <c r="M256" s="211"/>
    </row>
    <row r="257" spans="1:14" s="203" customFormat="1" ht="74.099999999999994" customHeight="1">
      <c r="A257" s="215"/>
      <c r="B257" s="216"/>
      <c r="C257" s="217"/>
      <c r="D257" s="218"/>
      <c r="E257" s="218"/>
      <c r="F257" s="218"/>
      <c r="G257" s="219"/>
      <c r="H257" s="220"/>
      <c r="I257" s="220"/>
      <c r="J257" s="220"/>
      <c r="K257" s="221"/>
      <c r="L257" s="221"/>
      <c r="M257" s="211"/>
    </row>
    <row r="258" spans="1:14" s="203" customFormat="1" ht="74.099999999999994" customHeight="1">
      <c r="A258" s="215"/>
      <c r="B258" s="216"/>
      <c r="C258" s="217"/>
      <c r="D258" s="218"/>
      <c r="E258" s="218"/>
      <c r="F258" s="218"/>
      <c r="G258" s="219"/>
      <c r="H258" s="220"/>
      <c r="I258" s="220"/>
      <c r="J258" s="220"/>
      <c r="K258" s="221"/>
      <c r="L258" s="221"/>
      <c r="M258" s="211"/>
    </row>
    <row r="259" spans="1:14" s="203" customFormat="1" ht="74.099999999999994" customHeight="1">
      <c r="A259" s="215"/>
      <c r="B259" s="216"/>
      <c r="C259" s="217"/>
      <c r="D259" s="218"/>
      <c r="E259" s="218"/>
      <c r="F259" s="218"/>
      <c r="G259" s="219"/>
      <c r="H259" s="220"/>
      <c r="I259" s="220"/>
      <c r="J259" s="220"/>
      <c r="K259" s="221"/>
      <c r="L259" s="221"/>
      <c r="M259" s="211"/>
    </row>
    <row r="260" spans="1:14" s="203" customFormat="1" ht="74.099999999999994" customHeight="1">
      <c r="A260" s="215"/>
      <c r="B260" s="216"/>
      <c r="C260" s="217"/>
      <c r="D260" s="218"/>
      <c r="E260" s="218"/>
      <c r="F260" s="218"/>
      <c r="G260" s="219"/>
      <c r="H260" s="220"/>
      <c r="I260" s="220"/>
      <c r="J260" s="220"/>
      <c r="K260" s="221"/>
      <c r="L260" s="221"/>
      <c r="M260" s="211"/>
    </row>
    <row r="261" spans="1:14" s="203" customFormat="1" ht="74.099999999999994" customHeight="1">
      <c r="A261" s="215"/>
      <c r="B261" s="216"/>
      <c r="C261" s="217"/>
      <c r="D261" s="218"/>
      <c r="E261" s="218"/>
      <c r="F261" s="218"/>
      <c r="G261" s="219"/>
      <c r="H261" s="220"/>
      <c r="I261" s="220"/>
      <c r="J261" s="220"/>
      <c r="K261" s="221"/>
      <c r="L261" s="221"/>
      <c r="M261" s="211"/>
    </row>
    <row r="262" spans="1:14" s="203" customFormat="1" ht="74.099999999999994" customHeight="1">
      <c r="A262" s="215"/>
      <c r="B262" s="216"/>
      <c r="C262" s="217"/>
      <c r="D262" s="218"/>
      <c r="E262" s="218"/>
      <c r="F262" s="218"/>
      <c r="G262" s="219"/>
      <c r="H262" s="220"/>
      <c r="I262" s="220"/>
      <c r="J262" s="220"/>
      <c r="K262" s="221"/>
      <c r="L262" s="221"/>
      <c r="M262" s="211"/>
    </row>
    <row r="263" spans="1:14" s="203" customFormat="1" ht="74.099999999999994" customHeight="1">
      <c r="A263" s="215"/>
      <c r="B263" s="216"/>
      <c r="C263" s="217"/>
      <c r="D263" s="218"/>
      <c r="E263" s="218"/>
      <c r="F263" s="218"/>
      <c r="G263" s="219"/>
      <c r="H263" s="220"/>
      <c r="I263" s="220"/>
      <c r="J263" s="220"/>
      <c r="K263" s="221"/>
      <c r="L263" s="221"/>
      <c r="M263" s="211"/>
    </row>
    <row r="264" spans="1:14" s="203" customFormat="1" ht="74.099999999999994" customHeight="1">
      <c r="A264" s="215"/>
      <c r="B264" s="216"/>
      <c r="C264" s="217"/>
      <c r="D264" s="218"/>
      <c r="E264" s="218"/>
      <c r="F264" s="218"/>
      <c r="G264" s="219"/>
      <c r="H264" s="220"/>
      <c r="I264" s="220"/>
      <c r="J264" s="220"/>
      <c r="K264" s="221"/>
      <c r="L264" s="221"/>
      <c r="M264" s="211"/>
    </row>
    <row r="265" spans="1:14" s="203" customFormat="1" ht="74.099999999999994" customHeight="1">
      <c r="A265" s="215"/>
      <c r="B265" s="216"/>
      <c r="C265" s="217"/>
      <c r="D265" s="218"/>
      <c r="E265" s="218"/>
      <c r="F265" s="218"/>
      <c r="G265" s="219"/>
      <c r="H265" s="220"/>
      <c r="I265" s="220"/>
      <c r="J265" s="220"/>
      <c r="K265" s="221"/>
      <c r="L265" s="221"/>
      <c r="M265" s="211"/>
    </row>
    <row r="266" spans="1:14" s="203" customFormat="1" ht="74.099999999999994" customHeight="1">
      <c r="A266" s="215"/>
      <c r="B266" s="216"/>
      <c r="C266" s="217"/>
      <c r="D266" s="218"/>
      <c r="E266" s="218"/>
      <c r="F266" s="218"/>
      <c r="G266" s="219"/>
      <c r="H266" s="220"/>
      <c r="I266" s="220"/>
      <c r="J266" s="220"/>
      <c r="K266" s="221"/>
      <c r="L266" s="221"/>
      <c r="M266" s="211"/>
    </row>
    <row r="267" spans="1:14" s="203" customFormat="1" ht="74.099999999999994" customHeight="1">
      <c r="A267" s="215"/>
      <c r="B267" s="216"/>
      <c r="C267" s="217"/>
      <c r="D267" s="218"/>
      <c r="E267" s="218"/>
      <c r="F267" s="218"/>
      <c r="G267" s="219"/>
      <c r="H267" s="220"/>
      <c r="I267" s="220"/>
      <c r="J267" s="220"/>
      <c r="K267" s="221"/>
      <c r="L267" s="221"/>
      <c r="M267" s="211"/>
    </row>
    <row r="268" spans="1:14" s="211" customFormat="1" ht="74.099999999999994" customHeight="1">
      <c r="A268" s="215"/>
      <c r="B268" s="216"/>
      <c r="C268" s="217"/>
      <c r="D268" s="218"/>
      <c r="E268" s="218"/>
      <c r="F268" s="218"/>
      <c r="G268" s="219"/>
      <c r="H268" s="220"/>
      <c r="I268" s="220"/>
      <c r="J268" s="220"/>
      <c r="K268" s="221"/>
      <c r="L268" s="221"/>
      <c r="N268" s="215"/>
    </row>
    <row r="269" spans="1:14" s="211" customFormat="1" ht="74.099999999999994" customHeight="1">
      <c r="A269" s="215"/>
      <c r="B269" s="216"/>
      <c r="C269" s="217"/>
      <c r="D269" s="218"/>
      <c r="E269" s="218"/>
      <c r="F269" s="218"/>
      <c r="G269" s="219"/>
      <c r="H269" s="220"/>
      <c r="I269" s="220"/>
      <c r="J269" s="220"/>
      <c r="K269" s="221"/>
      <c r="L269" s="221"/>
      <c r="N269" s="215"/>
    </row>
    <row r="270" spans="1:14" s="211" customFormat="1" ht="74.099999999999994" customHeight="1">
      <c r="A270" s="215"/>
      <c r="B270" s="216"/>
      <c r="C270" s="217"/>
      <c r="D270" s="218"/>
      <c r="E270" s="218"/>
      <c r="F270" s="218"/>
      <c r="G270" s="219"/>
      <c r="H270" s="220"/>
      <c r="I270" s="220"/>
      <c r="J270" s="220"/>
      <c r="K270" s="221"/>
      <c r="L270" s="221"/>
      <c r="N270" s="215"/>
    </row>
    <row r="271" spans="1:14" s="211" customFormat="1" ht="74.099999999999994" customHeight="1">
      <c r="A271" s="215"/>
      <c r="B271" s="216"/>
      <c r="C271" s="217"/>
      <c r="D271" s="218"/>
      <c r="E271" s="218"/>
      <c r="F271" s="218"/>
      <c r="G271" s="219"/>
      <c r="H271" s="220"/>
      <c r="I271" s="220"/>
      <c r="J271" s="220"/>
      <c r="K271" s="221"/>
      <c r="L271" s="221"/>
      <c r="N271" s="215"/>
    </row>
    <row r="272" spans="1:14" s="211" customFormat="1" ht="74.099999999999994" customHeight="1">
      <c r="A272" s="215"/>
      <c r="B272" s="216"/>
      <c r="C272" s="217"/>
      <c r="D272" s="218"/>
      <c r="E272" s="218"/>
      <c r="F272" s="218"/>
      <c r="G272" s="219"/>
      <c r="H272" s="220"/>
      <c r="I272" s="220"/>
      <c r="J272" s="220"/>
      <c r="K272" s="221"/>
      <c r="L272" s="221"/>
      <c r="N272" s="215"/>
    </row>
    <row r="273" spans="1:14" s="211" customFormat="1" ht="74.099999999999994" customHeight="1">
      <c r="A273" s="215"/>
      <c r="B273" s="216"/>
      <c r="C273" s="217"/>
      <c r="D273" s="218"/>
      <c r="E273" s="218"/>
      <c r="F273" s="218"/>
      <c r="G273" s="219"/>
      <c r="H273" s="220"/>
      <c r="I273" s="220"/>
      <c r="J273" s="220"/>
      <c r="K273" s="221"/>
      <c r="L273" s="221"/>
      <c r="N273" s="215"/>
    </row>
    <row r="274" spans="1:14" s="207" customFormat="1" ht="74.099999999999994" customHeight="1">
      <c r="A274" s="215"/>
      <c r="B274" s="216"/>
      <c r="C274" s="217"/>
      <c r="D274" s="218"/>
      <c r="E274" s="218"/>
      <c r="F274" s="218"/>
      <c r="G274" s="219"/>
      <c r="H274" s="220"/>
      <c r="I274" s="220"/>
      <c r="J274" s="220"/>
      <c r="K274" s="221"/>
      <c r="L274" s="221"/>
      <c r="M274" s="211"/>
    </row>
    <row r="275" spans="1:14" ht="74.099999999999994" customHeight="1"/>
    <row r="276" spans="1:14" s="203" customFormat="1" ht="78" customHeight="1">
      <c r="A276" s="215"/>
      <c r="B276" s="216"/>
      <c r="C276" s="217"/>
      <c r="D276" s="218"/>
      <c r="E276" s="218"/>
      <c r="F276" s="218"/>
      <c r="G276" s="219"/>
      <c r="H276" s="220"/>
      <c r="I276" s="220"/>
      <c r="J276" s="220"/>
      <c r="K276" s="221"/>
      <c r="L276" s="221"/>
      <c r="M276" s="211"/>
    </row>
    <row r="277" spans="1:14" s="203" customFormat="1" ht="75" customHeight="1">
      <c r="A277" s="215"/>
      <c r="B277" s="216"/>
      <c r="C277" s="217"/>
      <c r="D277" s="218"/>
      <c r="E277" s="218"/>
      <c r="F277" s="218"/>
      <c r="G277" s="219"/>
      <c r="H277" s="220"/>
      <c r="I277" s="220"/>
      <c r="J277" s="220"/>
      <c r="K277" s="221"/>
      <c r="L277" s="221"/>
      <c r="M277" s="211"/>
    </row>
    <row r="278" spans="1:14" s="203" customFormat="1" ht="75" customHeight="1">
      <c r="A278" s="215"/>
      <c r="B278" s="216"/>
      <c r="C278" s="217"/>
      <c r="D278" s="218"/>
      <c r="E278" s="218"/>
      <c r="F278" s="218"/>
      <c r="G278" s="219"/>
      <c r="H278" s="220"/>
      <c r="I278" s="220"/>
      <c r="J278" s="220"/>
      <c r="K278" s="221"/>
      <c r="L278" s="221"/>
      <c r="M278" s="211"/>
    </row>
    <row r="279" spans="1:14" s="203" customFormat="1" ht="75" customHeight="1">
      <c r="A279" s="215"/>
      <c r="B279" s="216"/>
      <c r="C279" s="217"/>
      <c r="D279" s="218"/>
      <c r="E279" s="218"/>
      <c r="F279" s="218"/>
      <c r="G279" s="219"/>
      <c r="H279" s="220"/>
      <c r="I279" s="220"/>
      <c r="J279" s="220"/>
      <c r="K279" s="221"/>
      <c r="L279" s="221"/>
      <c r="M279" s="211"/>
    </row>
    <row r="280" spans="1:14" s="203" customFormat="1" ht="75" customHeight="1">
      <c r="A280" s="215"/>
      <c r="B280" s="216"/>
      <c r="C280" s="217"/>
      <c r="D280" s="218"/>
      <c r="E280" s="218"/>
      <c r="F280" s="218"/>
      <c r="G280" s="219"/>
      <c r="H280" s="220"/>
      <c r="I280" s="220"/>
      <c r="J280" s="220"/>
      <c r="K280" s="221"/>
      <c r="L280" s="221"/>
      <c r="M280" s="211"/>
    </row>
    <row r="281" spans="1:14" s="203" customFormat="1" ht="75" customHeight="1">
      <c r="A281" s="215"/>
      <c r="B281" s="216"/>
      <c r="C281" s="217"/>
      <c r="D281" s="218"/>
      <c r="E281" s="218"/>
      <c r="F281" s="218"/>
      <c r="G281" s="219"/>
      <c r="H281" s="220"/>
      <c r="I281" s="220"/>
      <c r="J281" s="220"/>
      <c r="K281" s="221"/>
      <c r="L281" s="221"/>
      <c r="M281" s="211"/>
    </row>
    <row r="282" spans="1:14" s="203" customFormat="1" ht="75" customHeight="1">
      <c r="A282" s="215"/>
      <c r="B282" s="216"/>
      <c r="C282" s="217"/>
      <c r="D282" s="218"/>
      <c r="E282" s="218"/>
      <c r="F282" s="218"/>
      <c r="G282" s="219"/>
      <c r="H282" s="220"/>
      <c r="I282" s="220"/>
      <c r="J282" s="220"/>
      <c r="K282" s="221"/>
      <c r="L282" s="221"/>
      <c r="M282" s="211"/>
    </row>
    <row r="283" spans="1:14" s="203" customFormat="1" ht="75" customHeight="1">
      <c r="A283" s="215"/>
      <c r="B283" s="216"/>
      <c r="C283" s="217"/>
      <c r="D283" s="218"/>
      <c r="E283" s="218"/>
      <c r="F283" s="218"/>
      <c r="G283" s="219"/>
      <c r="H283" s="220"/>
      <c r="I283" s="220"/>
      <c r="J283" s="220"/>
      <c r="K283" s="221"/>
      <c r="L283" s="221"/>
      <c r="M283" s="211"/>
    </row>
    <row r="284" spans="1:14" s="203" customFormat="1" ht="75" customHeight="1">
      <c r="A284" s="215"/>
      <c r="B284" s="216"/>
      <c r="C284" s="217"/>
      <c r="D284" s="218"/>
      <c r="E284" s="218"/>
      <c r="F284" s="218"/>
      <c r="G284" s="219"/>
      <c r="H284" s="220"/>
      <c r="I284" s="220"/>
      <c r="J284" s="220"/>
      <c r="K284" s="221"/>
      <c r="L284" s="221"/>
      <c r="M284" s="211"/>
    </row>
    <row r="285" spans="1:14" s="203" customFormat="1" ht="75" customHeight="1">
      <c r="A285" s="215"/>
      <c r="B285" s="216"/>
      <c r="C285" s="217"/>
      <c r="D285" s="218"/>
      <c r="E285" s="218"/>
      <c r="F285" s="218"/>
      <c r="G285" s="219"/>
      <c r="H285" s="220"/>
      <c r="I285" s="220"/>
      <c r="J285" s="220"/>
      <c r="K285" s="221"/>
      <c r="L285" s="221"/>
      <c r="M285" s="211"/>
    </row>
    <row r="286" spans="1:14" s="203" customFormat="1" ht="75" customHeight="1">
      <c r="A286" s="215"/>
      <c r="B286" s="216"/>
      <c r="C286" s="217"/>
      <c r="D286" s="218"/>
      <c r="E286" s="218"/>
      <c r="F286" s="218"/>
      <c r="G286" s="219"/>
      <c r="H286" s="220"/>
      <c r="I286" s="220"/>
      <c r="J286" s="220"/>
      <c r="K286" s="221"/>
      <c r="L286" s="221"/>
      <c r="M286" s="211"/>
    </row>
    <row r="287" spans="1:14" s="203" customFormat="1" ht="75" customHeight="1">
      <c r="A287" s="215"/>
      <c r="B287" s="216"/>
      <c r="C287" s="217"/>
      <c r="D287" s="218"/>
      <c r="E287" s="218"/>
      <c r="F287" s="218"/>
      <c r="G287" s="219"/>
      <c r="H287" s="220"/>
      <c r="I287" s="220"/>
      <c r="J287" s="220"/>
      <c r="K287" s="221"/>
      <c r="L287" s="221"/>
      <c r="M287" s="211"/>
    </row>
    <row r="288" spans="1:14" s="203" customFormat="1" ht="75" customHeight="1">
      <c r="A288" s="215"/>
      <c r="B288" s="216"/>
      <c r="C288" s="217"/>
      <c r="D288" s="218"/>
      <c r="E288" s="218"/>
      <c r="F288" s="218"/>
      <c r="G288" s="219"/>
      <c r="H288" s="220"/>
      <c r="I288" s="220"/>
      <c r="J288" s="220"/>
      <c r="K288" s="221"/>
      <c r="L288" s="221"/>
      <c r="M288" s="211"/>
    </row>
    <row r="289" spans="1:13" s="203" customFormat="1" ht="75" customHeight="1">
      <c r="A289" s="215"/>
      <c r="B289" s="216"/>
      <c r="C289" s="217"/>
      <c r="D289" s="218"/>
      <c r="E289" s="218"/>
      <c r="F289" s="218"/>
      <c r="G289" s="219"/>
      <c r="H289" s="220"/>
      <c r="I289" s="220"/>
      <c r="J289" s="220"/>
      <c r="K289" s="221"/>
      <c r="L289" s="221"/>
      <c r="M289" s="211"/>
    </row>
    <row r="290" spans="1:13" s="203" customFormat="1" ht="75" customHeight="1">
      <c r="A290" s="215"/>
      <c r="B290" s="216"/>
      <c r="C290" s="217"/>
      <c r="D290" s="218"/>
      <c r="E290" s="218"/>
      <c r="F290" s="218"/>
      <c r="G290" s="219"/>
      <c r="H290" s="220"/>
      <c r="I290" s="220"/>
      <c r="J290" s="220"/>
      <c r="K290" s="221"/>
      <c r="L290" s="221"/>
      <c r="M290" s="211"/>
    </row>
    <row r="291" spans="1:13" s="203" customFormat="1" ht="75" customHeight="1">
      <c r="A291" s="215"/>
      <c r="B291" s="216"/>
      <c r="C291" s="217"/>
      <c r="D291" s="218"/>
      <c r="E291" s="218"/>
      <c r="F291" s="218"/>
      <c r="G291" s="219"/>
      <c r="H291" s="220"/>
      <c r="I291" s="220"/>
      <c r="J291" s="220"/>
      <c r="K291" s="221"/>
      <c r="L291" s="221"/>
      <c r="M291" s="211"/>
    </row>
    <row r="292" spans="1:13" s="203" customFormat="1" ht="75" customHeight="1">
      <c r="A292" s="215"/>
      <c r="B292" s="216"/>
      <c r="C292" s="217"/>
      <c r="D292" s="218"/>
      <c r="E292" s="218"/>
      <c r="F292" s="218"/>
      <c r="G292" s="219"/>
      <c r="H292" s="220"/>
      <c r="I292" s="220"/>
      <c r="J292" s="220"/>
      <c r="K292" s="221"/>
      <c r="L292" s="221"/>
      <c r="M292" s="211"/>
    </row>
    <row r="293" spans="1:13" s="203" customFormat="1" ht="75" customHeight="1">
      <c r="A293" s="215"/>
      <c r="B293" s="216"/>
      <c r="C293" s="217"/>
      <c r="D293" s="218"/>
      <c r="E293" s="218"/>
      <c r="F293" s="218"/>
      <c r="G293" s="219"/>
      <c r="H293" s="220"/>
      <c r="I293" s="220"/>
      <c r="J293" s="220"/>
      <c r="K293" s="221"/>
      <c r="L293" s="221"/>
      <c r="M293" s="211"/>
    </row>
    <row r="294" spans="1:13" s="203" customFormat="1" ht="75" customHeight="1">
      <c r="A294" s="215"/>
      <c r="B294" s="216"/>
      <c r="C294" s="217"/>
      <c r="D294" s="218"/>
      <c r="E294" s="218"/>
      <c r="F294" s="218"/>
      <c r="G294" s="219"/>
      <c r="H294" s="220"/>
      <c r="I294" s="220"/>
      <c r="J294" s="220"/>
      <c r="K294" s="221"/>
      <c r="L294" s="221"/>
      <c r="M294" s="211"/>
    </row>
    <row r="295" spans="1:13" s="203" customFormat="1" ht="75" customHeight="1">
      <c r="A295" s="215"/>
      <c r="B295" s="216"/>
      <c r="C295" s="217"/>
      <c r="D295" s="218"/>
      <c r="E295" s="218"/>
      <c r="F295" s="218"/>
      <c r="G295" s="219"/>
      <c r="H295" s="220"/>
      <c r="I295" s="220"/>
      <c r="J295" s="220"/>
      <c r="K295" s="221"/>
      <c r="L295" s="221"/>
      <c r="M295" s="211"/>
    </row>
    <row r="296" spans="1:13" s="203" customFormat="1" ht="75" customHeight="1">
      <c r="A296" s="215"/>
      <c r="B296" s="216"/>
      <c r="C296" s="217"/>
      <c r="D296" s="218"/>
      <c r="E296" s="218"/>
      <c r="F296" s="218"/>
      <c r="G296" s="219"/>
      <c r="H296" s="220"/>
      <c r="I296" s="220"/>
      <c r="J296" s="220"/>
      <c r="K296" s="221"/>
      <c r="L296" s="221"/>
      <c r="M296" s="211"/>
    </row>
    <row r="297" spans="1:13" s="203" customFormat="1" ht="78" customHeight="1">
      <c r="A297" s="215"/>
      <c r="B297" s="216"/>
      <c r="C297" s="217"/>
      <c r="D297" s="218"/>
      <c r="E297" s="218"/>
      <c r="F297" s="218"/>
      <c r="G297" s="219"/>
      <c r="H297" s="220"/>
      <c r="I297" s="220"/>
      <c r="J297" s="220"/>
      <c r="K297" s="221"/>
      <c r="L297" s="221"/>
      <c r="M297" s="211"/>
    </row>
    <row r="298" spans="1:13" s="203" customFormat="1" ht="76.05" customHeight="1">
      <c r="A298" s="215"/>
      <c r="B298" s="216"/>
      <c r="C298" s="217"/>
      <c r="D298" s="218"/>
      <c r="E298" s="218"/>
      <c r="F298" s="218"/>
      <c r="G298" s="219"/>
      <c r="H298" s="220"/>
      <c r="I298" s="220"/>
      <c r="J298" s="220"/>
      <c r="K298" s="221"/>
      <c r="L298" s="221"/>
      <c r="M298" s="211"/>
    </row>
    <row r="299" spans="1:13" s="203" customFormat="1" ht="76.05" customHeight="1">
      <c r="A299" s="215"/>
      <c r="B299" s="216"/>
      <c r="C299" s="217"/>
      <c r="D299" s="218"/>
      <c r="E299" s="218"/>
      <c r="F299" s="218"/>
      <c r="G299" s="219"/>
      <c r="H299" s="220"/>
      <c r="I299" s="220"/>
      <c r="J299" s="220"/>
      <c r="K299" s="221"/>
      <c r="L299" s="221"/>
      <c r="M299" s="211"/>
    </row>
    <row r="300" spans="1:13" s="203" customFormat="1" ht="76.05" customHeight="1">
      <c r="A300" s="215"/>
      <c r="B300" s="216"/>
      <c r="C300" s="217"/>
      <c r="D300" s="218"/>
      <c r="E300" s="218"/>
      <c r="F300" s="218"/>
      <c r="G300" s="219"/>
      <c r="H300" s="220"/>
      <c r="I300" s="220"/>
      <c r="J300" s="220"/>
      <c r="K300" s="221"/>
      <c r="L300" s="221"/>
      <c r="M300" s="211"/>
    </row>
    <row r="301" spans="1:13" s="203" customFormat="1" ht="76.05" customHeight="1">
      <c r="A301" s="215"/>
      <c r="B301" s="216"/>
      <c r="C301" s="217"/>
      <c r="D301" s="218"/>
      <c r="E301" s="218"/>
      <c r="F301" s="218"/>
      <c r="G301" s="219"/>
      <c r="H301" s="220"/>
      <c r="I301" s="220"/>
      <c r="J301" s="220"/>
      <c r="K301" s="221"/>
      <c r="L301" s="221"/>
      <c r="M301" s="211"/>
    </row>
    <row r="302" spans="1:13" s="203" customFormat="1" ht="76.05" customHeight="1">
      <c r="A302" s="215"/>
      <c r="B302" s="216"/>
      <c r="C302" s="217"/>
      <c r="D302" s="218"/>
      <c r="E302" s="218"/>
      <c r="F302" s="218"/>
      <c r="G302" s="219"/>
      <c r="H302" s="220"/>
      <c r="I302" s="220"/>
      <c r="J302" s="220"/>
      <c r="K302" s="221"/>
      <c r="L302" s="221"/>
      <c r="M302" s="211"/>
    </row>
    <row r="303" spans="1:13" s="203" customFormat="1" ht="76.05" customHeight="1">
      <c r="A303" s="215"/>
      <c r="B303" s="216"/>
      <c r="C303" s="217"/>
      <c r="D303" s="218"/>
      <c r="E303" s="218"/>
      <c r="F303" s="218"/>
      <c r="G303" s="219"/>
      <c r="H303" s="220"/>
      <c r="I303" s="220"/>
      <c r="J303" s="220"/>
      <c r="K303" s="221"/>
      <c r="L303" s="221"/>
      <c r="M303" s="211"/>
    </row>
    <row r="304" spans="1:13" s="203" customFormat="1" ht="76.05" customHeight="1">
      <c r="A304" s="215"/>
      <c r="B304" s="216"/>
      <c r="C304" s="217"/>
      <c r="D304" s="218"/>
      <c r="E304" s="218"/>
      <c r="F304" s="218"/>
      <c r="G304" s="219"/>
      <c r="H304" s="220"/>
      <c r="I304" s="220"/>
      <c r="J304" s="220"/>
      <c r="K304" s="221"/>
      <c r="L304" s="221"/>
      <c r="M304" s="211"/>
    </row>
    <row r="305" spans="1:13" s="203" customFormat="1" ht="76.05" customHeight="1">
      <c r="A305" s="215"/>
      <c r="B305" s="216"/>
      <c r="C305" s="217"/>
      <c r="D305" s="218"/>
      <c r="E305" s="218"/>
      <c r="F305" s="218"/>
      <c r="G305" s="219"/>
      <c r="H305" s="220"/>
      <c r="I305" s="220"/>
      <c r="J305" s="220"/>
      <c r="K305" s="221"/>
      <c r="L305" s="221"/>
      <c r="M305" s="211"/>
    </row>
    <row r="306" spans="1:13" s="203" customFormat="1" ht="76.05" customHeight="1">
      <c r="A306" s="215"/>
      <c r="B306" s="216"/>
      <c r="C306" s="217"/>
      <c r="D306" s="218"/>
      <c r="E306" s="218"/>
      <c r="F306" s="218"/>
      <c r="G306" s="219"/>
      <c r="H306" s="220"/>
      <c r="I306" s="220"/>
      <c r="J306" s="220"/>
      <c r="K306" s="221"/>
      <c r="L306" s="221"/>
      <c r="M306" s="211"/>
    </row>
    <row r="307" spans="1:13" s="203" customFormat="1" ht="76.05" customHeight="1">
      <c r="A307" s="215"/>
      <c r="B307" s="216"/>
      <c r="C307" s="217"/>
      <c r="D307" s="218"/>
      <c r="E307" s="218"/>
      <c r="F307" s="218"/>
      <c r="G307" s="219"/>
      <c r="H307" s="220"/>
      <c r="I307" s="220"/>
      <c r="J307" s="220"/>
      <c r="K307" s="221"/>
      <c r="L307" s="221"/>
      <c r="M307" s="211"/>
    </row>
    <row r="308" spans="1:13" s="203" customFormat="1" ht="76.05" customHeight="1">
      <c r="A308" s="215"/>
      <c r="B308" s="216"/>
      <c r="C308" s="217"/>
      <c r="D308" s="218"/>
      <c r="E308" s="218"/>
      <c r="F308" s="218"/>
      <c r="G308" s="219"/>
      <c r="H308" s="220"/>
      <c r="I308" s="220"/>
      <c r="J308" s="220"/>
      <c r="K308" s="221"/>
      <c r="L308" s="221"/>
      <c r="M308" s="211"/>
    </row>
    <row r="309" spans="1:13" s="203" customFormat="1" ht="76.05" customHeight="1">
      <c r="A309" s="215"/>
      <c r="B309" s="216"/>
      <c r="C309" s="217"/>
      <c r="D309" s="218"/>
      <c r="E309" s="218"/>
      <c r="F309" s="218"/>
      <c r="G309" s="219"/>
      <c r="H309" s="220"/>
      <c r="I309" s="220"/>
      <c r="J309" s="220"/>
      <c r="K309" s="221"/>
      <c r="L309" s="221"/>
      <c r="M309" s="211"/>
    </row>
    <row r="310" spans="1:13" s="203" customFormat="1" ht="76.05" customHeight="1">
      <c r="A310" s="215"/>
      <c r="B310" s="216"/>
      <c r="C310" s="217"/>
      <c r="D310" s="218"/>
      <c r="E310" s="218"/>
      <c r="F310" s="218"/>
      <c r="G310" s="219"/>
      <c r="H310" s="220"/>
      <c r="I310" s="220"/>
      <c r="J310" s="220"/>
      <c r="K310" s="221"/>
      <c r="L310" s="221"/>
      <c r="M310" s="211"/>
    </row>
    <row r="311" spans="1:13" s="203" customFormat="1" ht="76.05" customHeight="1">
      <c r="A311" s="215"/>
      <c r="B311" s="216"/>
      <c r="C311" s="217"/>
      <c r="D311" s="218"/>
      <c r="E311" s="218"/>
      <c r="F311" s="218"/>
      <c r="G311" s="219"/>
      <c r="H311" s="220"/>
      <c r="I311" s="220"/>
      <c r="J311" s="220"/>
      <c r="K311" s="221"/>
      <c r="L311" s="221"/>
      <c r="M311" s="211"/>
    </row>
    <row r="312" spans="1:13" s="203" customFormat="1" ht="76.05" customHeight="1">
      <c r="A312" s="215"/>
      <c r="B312" s="216"/>
      <c r="C312" s="217"/>
      <c r="D312" s="218"/>
      <c r="E312" s="218"/>
      <c r="F312" s="218"/>
      <c r="G312" s="219"/>
      <c r="H312" s="220"/>
      <c r="I312" s="220"/>
      <c r="J312" s="220"/>
      <c r="K312" s="221"/>
      <c r="L312" s="221"/>
      <c r="M312" s="211"/>
    </row>
    <row r="313" spans="1:13" s="203" customFormat="1" ht="76.05" customHeight="1">
      <c r="A313" s="215"/>
      <c r="B313" s="216"/>
      <c r="C313" s="217"/>
      <c r="D313" s="218"/>
      <c r="E313" s="218"/>
      <c r="F313" s="218"/>
      <c r="G313" s="219"/>
      <c r="H313" s="220"/>
      <c r="I313" s="220"/>
      <c r="J313" s="220"/>
      <c r="K313" s="221"/>
      <c r="L313" s="221"/>
      <c r="M313" s="211"/>
    </row>
    <row r="314" spans="1:13" s="203" customFormat="1" ht="76.05" customHeight="1">
      <c r="A314" s="215"/>
      <c r="B314" s="216"/>
      <c r="C314" s="217"/>
      <c r="D314" s="218"/>
      <c r="E314" s="218"/>
      <c r="F314" s="218"/>
      <c r="G314" s="219"/>
      <c r="H314" s="220"/>
      <c r="I314" s="220"/>
      <c r="J314" s="220"/>
      <c r="K314" s="221"/>
      <c r="L314" s="221"/>
      <c r="M314" s="211"/>
    </row>
    <row r="315" spans="1:13" s="203" customFormat="1" ht="78" customHeight="1">
      <c r="A315" s="215"/>
      <c r="B315" s="216"/>
      <c r="C315" s="217"/>
      <c r="D315" s="218"/>
      <c r="E315" s="218"/>
      <c r="F315" s="218"/>
      <c r="G315" s="219"/>
      <c r="H315" s="220"/>
      <c r="I315" s="220"/>
      <c r="J315" s="220"/>
      <c r="K315" s="221"/>
      <c r="L315" s="221"/>
      <c r="M315" s="211"/>
    </row>
    <row r="316" spans="1:13" s="203" customFormat="1" ht="90" customHeight="1">
      <c r="A316" s="215"/>
      <c r="B316" s="216"/>
      <c r="C316" s="217"/>
      <c r="D316" s="218"/>
      <c r="E316" s="218"/>
      <c r="F316" s="218"/>
      <c r="G316" s="219"/>
      <c r="H316" s="220"/>
      <c r="I316" s="220"/>
      <c r="J316" s="220"/>
      <c r="K316" s="221"/>
      <c r="L316" s="221"/>
      <c r="M316" s="211"/>
    </row>
    <row r="317" spans="1:13" s="203" customFormat="1" ht="90" customHeight="1">
      <c r="A317" s="215"/>
      <c r="B317" s="216"/>
      <c r="C317" s="217"/>
      <c r="D317" s="218"/>
      <c r="E317" s="218"/>
      <c r="F317" s="218"/>
      <c r="G317" s="219"/>
      <c r="H317" s="220"/>
      <c r="I317" s="220"/>
      <c r="J317" s="220"/>
      <c r="K317" s="221"/>
      <c r="L317" s="221"/>
      <c r="M317" s="211"/>
    </row>
    <row r="318" spans="1:13" s="203" customFormat="1" ht="90" customHeight="1">
      <c r="A318" s="215"/>
      <c r="B318" s="216"/>
      <c r="C318" s="217"/>
      <c r="D318" s="218"/>
      <c r="E318" s="218"/>
      <c r="F318" s="218"/>
      <c r="G318" s="219"/>
      <c r="H318" s="220"/>
      <c r="I318" s="220"/>
      <c r="J318" s="220"/>
      <c r="K318" s="221"/>
      <c r="L318" s="221"/>
      <c r="M318" s="211"/>
    </row>
    <row r="319" spans="1:13" s="203" customFormat="1" ht="90" customHeight="1">
      <c r="A319" s="215"/>
      <c r="B319" s="216"/>
      <c r="C319" s="217"/>
      <c r="D319" s="218"/>
      <c r="E319" s="218"/>
      <c r="F319" s="218"/>
      <c r="G319" s="219"/>
      <c r="H319" s="220"/>
      <c r="I319" s="220"/>
      <c r="J319" s="220"/>
      <c r="K319" s="221"/>
      <c r="L319" s="221"/>
      <c r="M319" s="211"/>
    </row>
    <row r="320" spans="1:13" s="203" customFormat="1" ht="90" customHeight="1">
      <c r="A320" s="215"/>
      <c r="B320" s="216"/>
      <c r="C320" s="217"/>
      <c r="D320" s="218"/>
      <c r="E320" s="218"/>
      <c r="F320" s="218"/>
      <c r="G320" s="219"/>
      <c r="H320" s="220"/>
      <c r="I320" s="220"/>
      <c r="J320" s="220"/>
      <c r="K320" s="221"/>
      <c r="L320" s="221"/>
      <c r="M320" s="211"/>
    </row>
    <row r="321" spans="1:13" s="203" customFormat="1" ht="90" customHeight="1">
      <c r="A321" s="215"/>
      <c r="B321" s="216"/>
      <c r="C321" s="217"/>
      <c r="D321" s="218"/>
      <c r="E321" s="218"/>
      <c r="F321" s="218"/>
      <c r="G321" s="219"/>
      <c r="H321" s="220"/>
      <c r="I321" s="220"/>
      <c r="J321" s="220"/>
      <c r="K321" s="221"/>
      <c r="L321" s="221"/>
      <c r="M321" s="211"/>
    </row>
    <row r="322" spans="1:13" s="203" customFormat="1" ht="90" customHeight="1">
      <c r="A322" s="215"/>
      <c r="B322" s="216"/>
      <c r="C322" s="217"/>
      <c r="D322" s="218"/>
      <c r="E322" s="218"/>
      <c r="F322" s="218"/>
      <c r="G322" s="219"/>
      <c r="H322" s="220"/>
      <c r="I322" s="220"/>
      <c r="J322" s="220"/>
      <c r="K322" s="221"/>
      <c r="L322" s="221"/>
      <c r="M322" s="211"/>
    </row>
    <row r="323" spans="1:13" s="203" customFormat="1" ht="90" customHeight="1">
      <c r="A323" s="215"/>
      <c r="B323" s="216"/>
      <c r="C323" s="217"/>
      <c r="D323" s="218"/>
      <c r="E323" s="218"/>
      <c r="F323" s="218"/>
      <c r="G323" s="219"/>
      <c r="H323" s="220"/>
      <c r="I323" s="220"/>
      <c r="J323" s="220"/>
      <c r="K323" s="221"/>
      <c r="L323" s="221"/>
      <c r="M323" s="211"/>
    </row>
    <row r="324" spans="1:13" s="203" customFormat="1" ht="155.1" customHeight="1">
      <c r="A324" s="215"/>
      <c r="B324" s="216"/>
      <c r="C324" s="217"/>
      <c r="D324" s="218"/>
      <c r="E324" s="218"/>
      <c r="F324" s="218"/>
      <c r="G324" s="219"/>
      <c r="H324" s="220"/>
      <c r="I324" s="220"/>
      <c r="J324" s="220"/>
      <c r="K324" s="221"/>
      <c r="L324" s="221"/>
      <c r="M324" s="211"/>
    </row>
    <row r="325" spans="1:13" s="212" customFormat="1" ht="208.05" customHeight="1">
      <c r="A325" s="215"/>
      <c r="B325" s="216"/>
      <c r="C325" s="217"/>
      <c r="D325" s="218"/>
      <c r="E325" s="218"/>
      <c r="F325" s="218"/>
      <c r="G325" s="219"/>
      <c r="H325" s="220"/>
      <c r="I325" s="220"/>
      <c r="J325" s="220"/>
      <c r="K325" s="221"/>
      <c r="L325" s="221"/>
      <c r="M325" s="211"/>
    </row>
    <row r="326" spans="1:13" s="212" customFormat="1" ht="105" customHeight="1">
      <c r="A326" s="215"/>
      <c r="B326" s="216"/>
      <c r="C326" s="217"/>
      <c r="D326" s="218"/>
      <c r="E326" s="218"/>
      <c r="F326" s="218"/>
      <c r="G326" s="219"/>
      <c r="H326" s="220"/>
      <c r="I326" s="220"/>
      <c r="J326" s="220"/>
      <c r="K326" s="221"/>
      <c r="L326" s="221"/>
      <c r="M326" s="211"/>
    </row>
    <row r="327" spans="1:13" s="203" customFormat="1" ht="136.05000000000001" customHeight="1">
      <c r="A327" s="215"/>
      <c r="B327" s="216"/>
      <c r="C327" s="217"/>
      <c r="D327" s="218"/>
      <c r="E327" s="218"/>
      <c r="F327" s="218"/>
      <c r="G327" s="219"/>
      <c r="H327" s="220"/>
      <c r="I327" s="220"/>
      <c r="J327" s="220"/>
      <c r="K327" s="221"/>
      <c r="L327" s="221"/>
      <c r="M327" s="211"/>
    </row>
    <row r="328" spans="1:13" s="203" customFormat="1" ht="124.05" customHeight="1">
      <c r="A328" s="215"/>
      <c r="B328" s="216"/>
      <c r="C328" s="217"/>
      <c r="D328" s="218"/>
      <c r="E328" s="218"/>
      <c r="F328" s="218"/>
      <c r="G328" s="219"/>
      <c r="H328" s="220"/>
      <c r="I328" s="220"/>
      <c r="J328" s="220"/>
      <c r="K328" s="221"/>
      <c r="L328" s="221"/>
      <c r="M328" s="211"/>
    </row>
    <row r="329" spans="1:13" s="203" customFormat="1" ht="129" customHeight="1">
      <c r="A329" s="215"/>
      <c r="B329" s="216"/>
      <c r="C329" s="217"/>
      <c r="D329" s="218"/>
      <c r="E329" s="218"/>
      <c r="F329" s="218"/>
      <c r="G329" s="219"/>
      <c r="H329" s="220"/>
      <c r="I329" s="220"/>
      <c r="J329" s="220"/>
      <c r="K329" s="221"/>
      <c r="L329" s="221"/>
      <c r="M329" s="211"/>
    </row>
    <row r="330" spans="1:13" s="203" customFormat="1" ht="130.05000000000001" customHeight="1">
      <c r="A330" s="215"/>
      <c r="B330" s="216"/>
      <c r="C330" s="217"/>
      <c r="D330" s="218"/>
      <c r="E330" s="218"/>
      <c r="F330" s="218"/>
      <c r="G330" s="219"/>
      <c r="H330" s="220"/>
      <c r="I330" s="220"/>
      <c r="J330" s="220"/>
      <c r="K330" s="221"/>
      <c r="L330" s="221"/>
      <c r="M330" s="211"/>
    </row>
    <row r="331" spans="1:13" s="203" customFormat="1" ht="167.1" customHeight="1">
      <c r="A331" s="215"/>
      <c r="B331" s="216"/>
      <c r="C331" s="217"/>
      <c r="D331" s="218"/>
      <c r="E331" s="218"/>
      <c r="F331" s="218"/>
      <c r="G331" s="219"/>
      <c r="H331" s="220"/>
      <c r="I331" s="220"/>
      <c r="J331" s="220"/>
      <c r="K331" s="221"/>
      <c r="L331" s="221"/>
      <c r="M331" s="211"/>
    </row>
    <row r="332" spans="1:13" s="203" customFormat="1" ht="90" customHeight="1">
      <c r="A332" s="215"/>
      <c r="B332" s="216"/>
      <c r="C332" s="217"/>
      <c r="D332" s="218"/>
      <c r="E332" s="218"/>
      <c r="F332" s="218"/>
      <c r="G332" s="219"/>
      <c r="H332" s="220"/>
      <c r="I332" s="220"/>
      <c r="J332" s="220"/>
      <c r="K332" s="221"/>
      <c r="L332" s="221"/>
      <c r="M332" s="211"/>
    </row>
    <row r="333" spans="1:13" s="213" customFormat="1" ht="59.25" customHeight="1">
      <c r="A333" s="215"/>
      <c r="B333" s="216"/>
      <c r="C333" s="217"/>
      <c r="D333" s="218"/>
      <c r="E333" s="218"/>
      <c r="F333" s="218"/>
      <c r="G333" s="219"/>
      <c r="H333" s="220"/>
      <c r="I333" s="220"/>
      <c r="J333" s="220"/>
      <c r="K333" s="221"/>
      <c r="L333" s="221"/>
      <c r="M333" s="211"/>
    </row>
    <row r="342" spans="1:14" s="214" customFormat="1" ht="59.25" customHeight="1">
      <c r="A342" s="215"/>
      <c r="B342" s="216"/>
      <c r="C342" s="217"/>
      <c r="D342" s="218"/>
      <c r="E342" s="218"/>
      <c r="F342" s="218"/>
      <c r="G342" s="219"/>
      <c r="H342" s="220"/>
      <c r="I342" s="220"/>
      <c r="J342" s="220"/>
      <c r="K342" s="221"/>
      <c r="L342" s="221"/>
      <c r="M342" s="211"/>
      <c r="N342" s="215"/>
    </row>
    <row r="343" spans="1:14" s="214" customFormat="1" ht="59.25" customHeight="1">
      <c r="A343" s="215"/>
      <c r="B343" s="216"/>
      <c r="C343" s="217"/>
      <c r="D343" s="218"/>
      <c r="E343" s="218"/>
      <c r="F343" s="218"/>
      <c r="G343" s="219"/>
      <c r="H343" s="220"/>
      <c r="I343" s="220"/>
      <c r="J343" s="220"/>
      <c r="K343" s="221"/>
      <c r="L343" s="221"/>
      <c r="M343" s="211"/>
      <c r="N343" s="215"/>
    </row>
    <row r="344" spans="1:14" s="214" customFormat="1" ht="59.25" customHeight="1">
      <c r="A344" s="215"/>
      <c r="B344" s="216"/>
      <c r="C344" s="217"/>
      <c r="D344" s="218"/>
      <c r="E344" s="218"/>
      <c r="F344" s="218"/>
      <c r="G344" s="219"/>
      <c r="H344" s="220"/>
      <c r="I344" s="220"/>
      <c r="J344" s="220"/>
      <c r="K344" s="221"/>
      <c r="L344" s="221"/>
      <c r="M344" s="211"/>
      <c r="N344" s="215"/>
    </row>
    <row r="345" spans="1:14" s="214" customFormat="1" ht="59.25" customHeight="1">
      <c r="A345" s="215"/>
      <c r="B345" s="216"/>
      <c r="C345" s="217"/>
      <c r="D345" s="218"/>
      <c r="E345" s="218"/>
      <c r="F345" s="218"/>
      <c r="G345" s="219"/>
      <c r="H345" s="220"/>
      <c r="I345" s="220"/>
      <c r="J345" s="220"/>
      <c r="K345" s="221"/>
      <c r="L345" s="221"/>
      <c r="M345" s="211"/>
      <c r="N345" s="215"/>
    </row>
    <row r="346" spans="1:14" s="214" customFormat="1" ht="59.25" customHeight="1">
      <c r="A346" s="215"/>
      <c r="B346" s="216"/>
      <c r="C346" s="217"/>
      <c r="D346" s="218"/>
      <c r="E346" s="218"/>
      <c r="F346" s="218"/>
      <c r="G346" s="219"/>
      <c r="H346" s="220"/>
      <c r="I346" s="220"/>
      <c r="J346" s="220"/>
      <c r="K346" s="221"/>
      <c r="L346" s="221"/>
      <c r="M346" s="211"/>
      <c r="N346" s="215"/>
    </row>
    <row r="347" spans="1:14" s="214" customFormat="1" ht="59.25" customHeight="1">
      <c r="A347" s="215"/>
      <c r="B347" s="216"/>
      <c r="C347" s="217"/>
      <c r="D347" s="218"/>
      <c r="E347" s="218"/>
      <c r="F347" s="218"/>
      <c r="G347" s="219"/>
      <c r="H347" s="220"/>
      <c r="I347" s="220"/>
      <c r="J347" s="220"/>
      <c r="K347" s="221"/>
      <c r="L347" s="221"/>
      <c r="M347" s="211"/>
      <c r="N347" s="215"/>
    </row>
    <row r="348" spans="1:14" s="214" customFormat="1" ht="59.25" customHeight="1">
      <c r="A348" s="215"/>
      <c r="B348" s="216"/>
      <c r="C348" s="217"/>
      <c r="D348" s="218"/>
      <c r="E348" s="218"/>
      <c r="F348" s="218"/>
      <c r="G348" s="219"/>
      <c r="H348" s="220"/>
      <c r="I348" s="220"/>
      <c r="J348" s="220"/>
      <c r="K348" s="221"/>
      <c r="L348" s="221"/>
      <c r="M348" s="211"/>
      <c r="N348" s="215"/>
    </row>
    <row r="349" spans="1:14" s="214" customFormat="1" ht="59.25" customHeight="1">
      <c r="A349" s="215"/>
      <c r="B349" s="216"/>
      <c r="C349" s="217"/>
      <c r="D349" s="218"/>
      <c r="E349" s="218"/>
      <c r="F349" s="218"/>
      <c r="G349" s="219"/>
      <c r="H349" s="220"/>
      <c r="I349" s="220"/>
      <c r="J349" s="220"/>
      <c r="K349" s="221"/>
      <c r="L349" s="221"/>
      <c r="M349" s="211"/>
      <c r="N349" s="215"/>
    </row>
    <row r="350" spans="1:14" s="214" customFormat="1" ht="59.25" customHeight="1">
      <c r="A350" s="215"/>
      <c r="B350" s="216"/>
      <c r="C350" s="217"/>
      <c r="D350" s="218"/>
      <c r="E350" s="218"/>
      <c r="F350" s="218"/>
      <c r="G350" s="219"/>
      <c r="H350" s="220"/>
      <c r="I350" s="220"/>
      <c r="J350" s="220"/>
      <c r="K350" s="221"/>
      <c r="L350" s="221"/>
      <c r="M350" s="211"/>
      <c r="N350" s="215"/>
    </row>
    <row r="351" spans="1:14" s="214" customFormat="1" ht="59.25" customHeight="1">
      <c r="A351" s="215"/>
      <c r="B351" s="216"/>
      <c r="C351" s="217"/>
      <c r="D351" s="218"/>
      <c r="E351" s="218"/>
      <c r="F351" s="218"/>
      <c r="G351" s="219"/>
      <c r="H351" s="220"/>
      <c r="I351" s="220"/>
      <c r="J351" s="220"/>
      <c r="K351" s="221"/>
      <c r="L351" s="221"/>
      <c r="M351" s="211"/>
      <c r="N351" s="215"/>
    </row>
    <row r="352" spans="1:14" s="214" customFormat="1" ht="59.25" customHeight="1">
      <c r="A352" s="215"/>
      <c r="B352" s="216"/>
      <c r="C352" s="217"/>
      <c r="D352" s="218"/>
      <c r="E352" s="218"/>
      <c r="F352" s="218"/>
      <c r="G352" s="219"/>
      <c r="H352" s="220"/>
      <c r="I352" s="220"/>
      <c r="J352" s="220"/>
      <c r="K352" s="221"/>
      <c r="L352" s="221"/>
      <c r="M352" s="211"/>
      <c r="N352" s="215"/>
    </row>
    <row r="353" spans="1:14" s="214" customFormat="1" ht="59.25" customHeight="1">
      <c r="A353" s="215"/>
      <c r="B353" s="216"/>
      <c r="C353" s="217"/>
      <c r="D353" s="218"/>
      <c r="E353" s="218"/>
      <c r="F353" s="218"/>
      <c r="G353" s="219"/>
      <c r="H353" s="220"/>
      <c r="I353" s="220"/>
      <c r="J353" s="220"/>
      <c r="K353" s="221"/>
      <c r="L353" s="221"/>
      <c r="M353" s="211"/>
      <c r="N353" s="215"/>
    </row>
    <row r="354" spans="1:14" s="214" customFormat="1" ht="59.25" customHeight="1">
      <c r="A354" s="215"/>
      <c r="B354" s="216"/>
      <c r="C354" s="217"/>
      <c r="D354" s="218"/>
      <c r="E354" s="218"/>
      <c r="F354" s="218"/>
      <c r="G354" s="219"/>
      <c r="H354" s="220"/>
      <c r="I354" s="220"/>
      <c r="J354" s="220"/>
      <c r="K354" s="221"/>
      <c r="L354" s="221"/>
      <c r="M354" s="211"/>
      <c r="N354" s="215"/>
    </row>
    <row r="355" spans="1:14" s="214" customFormat="1" ht="59.25" customHeight="1">
      <c r="A355" s="215"/>
      <c r="B355" s="216"/>
      <c r="C355" s="217"/>
      <c r="D355" s="218"/>
      <c r="E355" s="218"/>
      <c r="F355" s="218"/>
      <c r="G355" s="219"/>
      <c r="H355" s="220"/>
      <c r="I355" s="220"/>
      <c r="J355" s="220"/>
      <c r="K355" s="221"/>
      <c r="L355" s="221"/>
      <c r="M355" s="211"/>
      <c r="N355" s="215"/>
    </row>
    <row r="356" spans="1:14" s="214" customFormat="1" ht="59.25" customHeight="1">
      <c r="A356" s="215"/>
      <c r="B356" s="216"/>
      <c r="C356" s="217"/>
      <c r="D356" s="218"/>
      <c r="E356" s="218"/>
      <c r="F356" s="218"/>
      <c r="G356" s="219"/>
      <c r="H356" s="220"/>
      <c r="I356" s="220"/>
      <c r="J356" s="220"/>
      <c r="K356" s="221"/>
      <c r="L356" s="221"/>
      <c r="M356" s="211"/>
      <c r="N356" s="215"/>
    </row>
    <row r="357" spans="1:14" s="214" customFormat="1" ht="59.25" customHeight="1">
      <c r="A357" s="215"/>
      <c r="B357" s="216"/>
      <c r="C357" s="217"/>
      <c r="D357" s="218"/>
      <c r="E357" s="218"/>
      <c r="F357" s="218"/>
      <c r="G357" s="219"/>
      <c r="H357" s="220"/>
      <c r="I357" s="220"/>
      <c r="J357" s="220"/>
      <c r="K357" s="221"/>
      <c r="L357" s="221"/>
      <c r="M357" s="211"/>
      <c r="N357" s="215"/>
    </row>
    <row r="358" spans="1:14" s="214" customFormat="1" ht="59.25" customHeight="1">
      <c r="A358" s="215"/>
      <c r="B358" s="216"/>
      <c r="C358" s="217"/>
      <c r="D358" s="218"/>
      <c r="E358" s="218"/>
      <c r="F358" s="218"/>
      <c r="G358" s="219"/>
      <c r="H358" s="220"/>
      <c r="I358" s="220"/>
      <c r="J358" s="220"/>
      <c r="K358" s="221"/>
      <c r="L358" s="221"/>
      <c r="M358" s="211"/>
      <c r="N358" s="215"/>
    </row>
    <row r="359" spans="1:14" s="214" customFormat="1" ht="59.25" customHeight="1">
      <c r="A359" s="215"/>
      <c r="B359" s="216"/>
      <c r="C359" s="217"/>
      <c r="D359" s="218"/>
      <c r="E359" s="218"/>
      <c r="F359" s="218"/>
      <c r="G359" s="219"/>
      <c r="H359" s="220"/>
      <c r="I359" s="220"/>
      <c r="J359" s="220"/>
      <c r="K359" s="221"/>
      <c r="L359" s="221"/>
      <c r="M359" s="211"/>
      <c r="N359" s="215"/>
    </row>
    <row r="360" spans="1:14" s="214" customFormat="1" ht="59.25" customHeight="1">
      <c r="A360" s="215"/>
      <c r="B360" s="216"/>
      <c r="C360" s="217"/>
      <c r="D360" s="218"/>
      <c r="E360" s="218"/>
      <c r="F360" s="218"/>
      <c r="G360" s="219"/>
      <c r="H360" s="220"/>
      <c r="I360" s="220"/>
      <c r="J360" s="220"/>
      <c r="K360" s="221"/>
      <c r="L360" s="221"/>
      <c r="M360" s="211"/>
      <c r="N360" s="215"/>
    </row>
    <row r="361" spans="1:14" s="214" customFormat="1" ht="59.25" customHeight="1">
      <c r="A361" s="215"/>
      <c r="B361" s="216"/>
      <c r="C361" s="217"/>
      <c r="D361" s="218"/>
      <c r="E361" s="218"/>
      <c r="F361" s="218"/>
      <c r="G361" s="219"/>
      <c r="H361" s="220"/>
      <c r="I361" s="220"/>
      <c r="J361" s="220"/>
      <c r="K361" s="221"/>
      <c r="L361" s="221"/>
      <c r="M361" s="211"/>
      <c r="N361" s="215"/>
    </row>
    <row r="362" spans="1:14" s="214" customFormat="1" ht="59.25" customHeight="1">
      <c r="A362" s="215"/>
      <c r="B362" s="216"/>
      <c r="C362" s="217"/>
      <c r="D362" s="218"/>
      <c r="E362" s="218"/>
      <c r="F362" s="218"/>
      <c r="G362" s="219"/>
      <c r="H362" s="220"/>
      <c r="I362" s="220"/>
      <c r="J362" s="220"/>
      <c r="K362" s="221"/>
      <c r="L362" s="221"/>
      <c r="M362" s="211"/>
      <c r="N362" s="215"/>
    </row>
    <row r="363" spans="1:14" s="214" customFormat="1" ht="59.25" customHeight="1">
      <c r="A363" s="215"/>
      <c r="B363" s="216"/>
      <c r="C363" s="217"/>
      <c r="D363" s="218"/>
      <c r="E363" s="218"/>
      <c r="F363" s="218"/>
      <c r="G363" s="219"/>
      <c r="H363" s="220"/>
      <c r="I363" s="220"/>
      <c r="J363" s="220"/>
      <c r="K363" s="221"/>
      <c r="L363" s="221"/>
      <c r="M363" s="211"/>
      <c r="N363" s="215"/>
    </row>
    <row r="364" spans="1:14" s="214" customFormat="1" ht="59.25" customHeight="1">
      <c r="A364" s="215"/>
      <c r="B364" s="216"/>
      <c r="C364" s="217"/>
      <c r="D364" s="218"/>
      <c r="E364" s="218"/>
      <c r="F364" s="218"/>
      <c r="G364" s="219"/>
      <c r="H364" s="220"/>
      <c r="I364" s="220"/>
      <c r="J364" s="220"/>
      <c r="K364" s="221"/>
      <c r="L364" s="221"/>
      <c r="M364" s="211"/>
      <c r="N364" s="215"/>
    </row>
    <row r="365" spans="1:14" s="214" customFormat="1" ht="59.25" customHeight="1">
      <c r="A365" s="215"/>
      <c r="B365" s="216"/>
      <c r="C365" s="217"/>
      <c r="D365" s="218"/>
      <c r="E365" s="218"/>
      <c r="F365" s="218"/>
      <c r="G365" s="219"/>
      <c r="H365" s="220"/>
      <c r="I365" s="220"/>
      <c r="J365" s="220"/>
      <c r="K365" s="221"/>
      <c r="L365" s="221"/>
      <c r="M365" s="211"/>
      <c r="N365" s="215"/>
    </row>
    <row r="366" spans="1:14" s="214" customFormat="1" ht="59.25" customHeight="1">
      <c r="A366" s="215"/>
      <c r="B366" s="216"/>
      <c r="C366" s="217"/>
      <c r="D366" s="218"/>
      <c r="E366" s="218"/>
      <c r="F366" s="218"/>
      <c r="G366" s="219"/>
      <c r="H366" s="220"/>
      <c r="I366" s="220"/>
      <c r="J366" s="220"/>
      <c r="K366" s="221"/>
      <c r="L366" s="221"/>
      <c r="M366" s="211"/>
      <c r="N366" s="215"/>
    </row>
    <row r="367" spans="1:14" s="214" customFormat="1" ht="59.25" customHeight="1">
      <c r="A367" s="215"/>
      <c r="B367" s="216"/>
      <c r="C367" s="217"/>
      <c r="D367" s="218"/>
      <c r="E367" s="218"/>
      <c r="F367" s="218"/>
      <c r="G367" s="219"/>
      <c r="H367" s="220"/>
      <c r="I367" s="220"/>
      <c r="J367" s="220"/>
      <c r="K367" s="221"/>
      <c r="L367" s="221"/>
      <c r="M367" s="211"/>
      <c r="N367" s="215"/>
    </row>
    <row r="368" spans="1:14" s="214" customFormat="1" ht="59.25" customHeight="1">
      <c r="A368" s="215"/>
      <c r="B368" s="216"/>
      <c r="C368" s="217"/>
      <c r="D368" s="218"/>
      <c r="E368" s="218"/>
      <c r="F368" s="218"/>
      <c r="G368" s="219"/>
      <c r="H368" s="220"/>
      <c r="I368" s="220"/>
      <c r="J368" s="220"/>
      <c r="K368" s="221"/>
      <c r="L368" s="221"/>
      <c r="M368" s="211"/>
      <c r="N368" s="215"/>
    </row>
    <row r="369" spans="1:14" s="214" customFormat="1" ht="59.25" customHeight="1">
      <c r="A369" s="215"/>
      <c r="B369" s="216"/>
      <c r="C369" s="217"/>
      <c r="D369" s="218"/>
      <c r="E369" s="218"/>
      <c r="F369" s="218"/>
      <c r="G369" s="219"/>
      <c r="H369" s="220"/>
      <c r="I369" s="220"/>
      <c r="J369" s="220"/>
      <c r="K369" s="221"/>
      <c r="L369" s="221"/>
      <c r="M369" s="211"/>
      <c r="N369" s="215"/>
    </row>
    <row r="370" spans="1:14" s="214" customFormat="1" ht="59.25" customHeight="1">
      <c r="A370" s="215"/>
      <c r="B370" s="216"/>
      <c r="C370" s="217"/>
      <c r="D370" s="218"/>
      <c r="E370" s="218"/>
      <c r="F370" s="218"/>
      <c r="G370" s="219"/>
      <c r="H370" s="220"/>
      <c r="I370" s="220"/>
      <c r="J370" s="220"/>
      <c r="K370" s="221"/>
      <c r="L370" s="221"/>
      <c r="M370" s="211"/>
      <c r="N370" s="215"/>
    </row>
    <row r="371" spans="1:14" s="214" customFormat="1" ht="59.25" customHeight="1">
      <c r="A371" s="215"/>
      <c r="B371" s="216"/>
      <c r="C371" s="217"/>
      <c r="D371" s="218"/>
      <c r="E371" s="218"/>
      <c r="F371" s="218"/>
      <c r="G371" s="219"/>
      <c r="H371" s="220"/>
      <c r="I371" s="220"/>
      <c r="J371" s="220"/>
      <c r="K371" s="221"/>
      <c r="L371" s="221"/>
      <c r="M371" s="211"/>
      <c r="N371" s="215"/>
    </row>
    <row r="372" spans="1:14" s="214" customFormat="1" ht="59.25" customHeight="1">
      <c r="A372" s="215"/>
      <c r="B372" s="216"/>
      <c r="C372" s="217"/>
      <c r="D372" s="218"/>
      <c r="E372" s="218"/>
      <c r="F372" s="218"/>
      <c r="G372" s="219"/>
      <c r="H372" s="220"/>
      <c r="I372" s="220"/>
      <c r="J372" s="220"/>
      <c r="K372" s="221"/>
      <c r="L372" s="221"/>
      <c r="M372" s="211"/>
      <c r="N372" s="215"/>
    </row>
    <row r="373" spans="1:14" s="214" customFormat="1" ht="59.25" customHeight="1">
      <c r="A373" s="215"/>
      <c r="B373" s="216"/>
      <c r="C373" s="217"/>
      <c r="D373" s="218"/>
      <c r="E373" s="218"/>
      <c r="F373" s="218"/>
      <c r="G373" s="219"/>
      <c r="H373" s="319"/>
      <c r="I373" s="220"/>
      <c r="J373" s="220"/>
      <c r="K373" s="221"/>
      <c r="L373" s="221"/>
      <c r="M373" s="211"/>
      <c r="N373" s="215"/>
    </row>
    <row r="374" spans="1:14" s="214" customFormat="1" ht="59.25" customHeight="1">
      <c r="A374" s="215"/>
      <c r="B374" s="216"/>
      <c r="C374" s="217"/>
      <c r="D374" s="218"/>
      <c r="E374" s="218"/>
      <c r="F374" s="218"/>
      <c r="G374" s="219"/>
      <c r="H374" s="220"/>
      <c r="I374" s="220"/>
      <c r="J374" s="220"/>
      <c r="K374" s="221"/>
      <c r="L374" s="221"/>
      <c r="M374" s="211"/>
      <c r="N374" s="215"/>
    </row>
    <row r="375" spans="1:14" s="214" customFormat="1" ht="59.25" customHeight="1">
      <c r="A375" s="215"/>
      <c r="B375" s="216"/>
      <c r="C375" s="217"/>
      <c r="D375" s="218"/>
      <c r="E375" s="218"/>
      <c r="F375" s="218"/>
      <c r="G375" s="219"/>
      <c r="H375" s="220"/>
      <c r="I375" s="319"/>
      <c r="J375" s="220"/>
      <c r="K375" s="221"/>
      <c r="L375" s="221"/>
      <c r="M375" s="211"/>
      <c r="N375" s="215"/>
    </row>
    <row r="376" spans="1:14" s="214" customFormat="1" ht="59.25" customHeight="1">
      <c r="A376" s="215"/>
      <c r="B376" s="216"/>
      <c r="C376" s="217"/>
      <c r="D376" s="218"/>
      <c r="E376" s="218"/>
      <c r="F376" s="218"/>
      <c r="G376" s="219"/>
      <c r="H376" s="220"/>
      <c r="I376" s="220"/>
      <c r="J376" s="220"/>
      <c r="K376" s="221"/>
      <c r="L376" s="221"/>
      <c r="M376" s="211"/>
      <c r="N376" s="215"/>
    </row>
    <row r="377" spans="1:14" s="214" customFormat="1" ht="59.25" customHeight="1">
      <c r="A377" s="215"/>
      <c r="B377" s="216"/>
      <c r="C377" s="217"/>
      <c r="D377" s="218"/>
      <c r="E377" s="218"/>
      <c r="F377" s="218"/>
      <c r="G377" s="219"/>
      <c r="H377" s="220"/>
      <c r="I377" s="220"/>
      <c r="J377" s="220"/>
      <c r="K377" s="221"/>
      <c r="L377" s="221"/>
      <c r="M377" s="211"/>
      <c r="N377" s="215"/>
    </row>
    <row r="378" spans="1:14" s="214" customFormat="1" ht="59.25" customHeight="1">
      <c r="A378" s="215"/>
      <c r="B378" s="216"/>
      <c r="C378" s="217"/>
      <c r="D378" s="218"/>
      <c r="E378" s="218"/>
      <c r="F378" s="218"/>
      <c r="G378" s="219"/>
      <c r="H378" s="220"/>
      <c r="I378" s="220"/>
      <c r="J378" s="220"/>
      <c r="K378" s="221"/>
      <c r="L378" s="221"/>
      <c r="M378" s="211"/>
      <c r="N378" s="215"/>
    </row>
    <row r="379" spans="1:14" s="214" customFormat="1" ht="59.25" customHeight="1">
      <c r="A379" s="215"/>
      <c r="B379" s="216"/>
      <c r="C379" s="217"/>
      <c r="D379" s="218"/>
      <c r="E379" s="218"/>
      <c r="F379" s="218"/>
      <c r="G379" s="219"/>
      <c r="H379" s="220"/>
      <c r="I379" s="220"/>
      <c r="J379" s="220"/>
      <c r="K379" s="221"/>
      <c r="L379" s="221"/>
      <c r="M379" s="211"/>
      <c r="N379" s="215"/>
    </row>
    <row r="380" spans="1:14" s="214" customFormat="1" ht="59.25" customHeight="1">
      <c r="A380" s="215"/>
      <c r="B380" s="216"/>
      <c r="C380" s="217"/>
      <c r="D380" s="218"/>
      <c r="E380" s="218"/>
      <c r="F380" s="218"/>
      <c r="G380" s="219"/>
      <c r="H380" s="220"/>
      <c r="I380" s="220"/>
      <c r="J380" s="220"/>
      <c r="K380" s="221"/>
      <c r="L380" s="221"/>
      <c r="M380" s="211"/>
      <c r="N380" s="215"/>
    </row>
    <row r="381" spans="1:14" s="214" customFormat="1" ht="59.25" customHeight="1">
      <c r="A381" s="215"/>
      <c r="B381" s="216"/>
      <c r="C381" s="217"/>
      <c r="D381" s="218"/>
      <c r="E381" s="218"/>
      <c r="F381" s="218"/>
      <c r="G381" s="219"/>
      <c r="H381" s="220"/>
      <c r="I381" s="220"/>
      <c r="J381" s="220"/>
      <c r="K381" s="221"/>
      <c r="L381" s="221"/>
      <c r="M381" s="211"/>
      <c r="N381" s="215"/>
    </row>
    <row r="382" spans="1:14" s="214" customFormat="1" ht="59.25" customHeight="1">
      <c r="A382" s="215"/>
      <c r="B382" s="216"/>
      <c r="C382" s="217"/>
      <c r="D382" s="218"/>
      <c r="E382" s="218"/>
      <c r="F382" s="218"/>
      <c r="G382" s="219"/>
      <c r="H382" s="220"/>
      <c r="I382" s="220"/>
      <c r="J382" s="220"/>
      <c r="K382" s="221"/>
      <c r="L382" s="221"/>
      <c r="M382" s="211"/>
      <c r="N382" s="215"/>
    </row>
    <row r="383" spans="1:14" s="214" customFormat="1" ht="59.25" customHeight="1">
      <c r="A383" s="215"/>
      <c r="B383" s="216"/>
      <c r="C383" s="217"/>
      <c r="D383" s="218"/>
      <c r="E383" s="218"/>
      <c r="F383" s="218"/>
      <c r="G383" s="219"/>
      <c r="H383" s="220"/>
      <c r="I383" s="220"/>
      <c r="J383" s="220"/>
      <c r="K383" s="221"/>
      <c r="L383" s="221"/>
      <c r="M383" s="211"/>
      <c r="N383" s="215"/>
    </row>
    <row r="384" spans="1:14" s="214" customFormat="1" ht="59.25" customHeight="1">
      <c r="A384" s="215"/>
      <c r="B384" s="216"/>
      <c r="C384" s="217"/>
      <c r="D384" s="218"/>
      <c r="E384" s="218"/>
      <c r="F384" s="218"/>
      <c r="G384" s="219"/>
      <c r="H384" s="220"/>
      <c r="I384" s="220"/>
      <c r="J384" s="220"/>
      <c r="K384" s="221"/>
      <c r="L384" s="221"/>
      <c r="M384" s="211"/>
      <c r="N384" s="215"/>
    </row>
    <row r="385" spans="1:14" s="214" customFormat="1" ht="59.25" customHeight="1">
      <c r="A385" s="215"/>
      <c r="B385" s="216"/>
      <c r="C385" s="217"/>
      <c r="D385" s="218"/>
      <c r="E385" s="218"/>
      <c r="F385" s="218"/>
      <c r="G385" s="219"/>
      <c r="H385" s="220"/>
      <c r="I385" s="220"/>
      <c r="J385" s="220"/>
      <c r="K385" s="221"/>
      <c r="L385" s="221"/>
      <c r="M385" s="211"/>
      <c r="N385" s="215"/>
    </row>
    <row r="386" spans="1:14" s="214" customFormat="1" ht="59.25" customHeight="1">
      <c r="A386" s="215"/>
      <c r="B386" s="216"/>
      <c r="C386" s="217"/>
      <c r="D386" s="218"/>
      <c r="E386" s="218"/>
      <c r="F386" s="218"/>
      <c r="G386" s="219"/>
      <c r="H386" s="220"/>
      <c r="I386" s="220"/>
      <c r="J386" s="220"/>
      <c r="K386" s="221"/>
      <c r="L386" s="221"/>
      <c r="M386" s="211"/>
      <c r="N386" s="215"/>
    </row>
    <row r="387" spans="1:14" s="214" customFormat="1" ht="59.25" customHeight="1">
      <c r="A387" s="215"/>
      <c r="B387" s="216"/>
      <c r="C387" s="217"/>
      <c r="D387" s="218"/>
      <c r="E387" s="218"/>
      <c r="F387" s="218"/>
      <c r="G387" s="219"/>
      <c r="H387" s="220"/>
      <c r="I387" s="220"/>
      <c r="J387" s="220"/>
      <c r="K387" s="221"/>
      <c r="L387" s="221"/>
      <c r="M387" s="211"/>
      <c r="N387" s="215"/>
    </row>
    <row r="388" spans="1:14" s="214" customFormat="1" ht="59.25" customHeight="1">
      <c r="A388" s="215"/>
      <c r="B388" s="216"/>
      <c r="C388" s="217"/>
      <c r="D388" s="218"/>
      <c r="E388" s="218"/>
      <c r="F388" s="218"/>
      <c r="G388" s="219"/>
      <c r="H388" s="220"/>
      <c r="I388" s="220"/>
      <c r="J388" s="220"/>
      <c r="K388" s="221"/>
      <c r="L388" s="221"/>
      <c r="M388" s="211"/>
      <c r="N388" s="215"/>
    </row>
    <row r="389" spans="1:14" s="214" customFormat="1" ht="59.25" customHeight="1">
      <c r="A389" s="215"/>
      <c r="B389" s="216"/>
      <c r="C389" s="217"/>
      <c r="D389" s="218"/>
      <c r="E389" s="218"/>
      <c r="F389" s="218"/>
      <c r="G389" s="219"/>
      <c r="H389" s="220"/>
      <c r="I389" s="220"/>
      <c r="J389" s="220"/>
      <c r="K389" s="221"/>
      <c r="L389" s="221"/>
      <c r="M389" s="211"/>
      <c r="N389" s="215"/>
    </row>
    <row r="390" spans="1:14" s="214" customFormat="1" ht="59.25" customHeight="1">
      <c r="A390" s="215"/>
      <c r="B390" s="216"/>
      <c r="C390" s="217"/>
      <c r="D390" s="218"/>
      <c r="E390" s="218"/>
      <c r="F390" s="218"/>
      <c r="G390" s="219"/>
      <c r="H390" s="220"/>
      <c r="I390" s="220"/>
      <c r="J390" s="220"/>
      <c r="K390" s="221"/>
      <c r="L390" s="221"/>
      <c r="M390" s="211"/>
      <c r="N390" s="215"/>
    </row>
    <row r="391" spans="1:14" s="214" customFormat="1" ht="59.25" customHeight="1">
      <c r="A391" s="215"/>
      <c r="B391" s="216"/>
      <c r="C391" s="217"/>
      <c r="D391" s="218"/>
      <c r="E391" s="218"/>
      <c r="F391" s="218"/>
      <c r="G391" s="219"/>
      <c r="H391" s="220"/>
      <c r="I391" s="220"/>
      <c r="J391" s="220"/>
      <c r="K391" s="221"/>
      <c r="L391" s="221"/>
      <c r="M391" s="211"/>
      <c r="N391" s="215"/>
    </row>
    <row r="392" spans="1:14" s="214" customFormat="1" ht="59.25" customHeight="1">
      <c r="A392" s="215"/>
      <c r="B392" s="216"/>
      <c r="C392" s="217"/>
      <c r="D392" s="218"/>
      <c r="E392" s="218"/>
      <c r="F392" s="218"/>
      <c r="G392" s="219"/>
      <c r="H392" s="256"/>
      <c r="I392" s="220"/>
      <c r="J392" s="220"/>
      <c r="K392" s="221"/>
      <c r="L392" s="221"/>
      <c r="M392" s="211"/>
      <c r="N392" s="215"/>
    </row>
    <row r="393" spans="1:14" s="214" customFormat="1" ht="59.25" customHeight="1">
      <c r="A393" s="215"/>
      <c r="B393" s="216"/>
      <c r="C393" s="217"/>
      <c r="D393" s="218"/>
      <c r="E393" s="218"/>
      <c r="F393" s="218"/>
      <c r="G393" s="219"/>
      <c r="H393" s="220"/>
      <c r="I393" s="220"/>
      <c r="J393" s="220"/>
      <c r="K393" s="221"/>
      <c r="L393" s="221"/>
      <c r="M393" s="211"/>
      <c r="N393" s="215"/>
    </row>
    <row r="394" spans="1:14" s="214" customFormat="1" ht="59.25" customHeight="1">
      <c r="A394" s="215"/>
      <c r="B394" s="216"/>
      <c r="C394" s="217"/>
      <c r="D394" s="218"/>
      <c r="E394" s="218"/>
      <c r="F394" s="218"/>
      <c r="G394" s="219"/>
      <c r="H394" s="320"/>
      <c r="I394" s="319"/>
      <c r="J394" s="220"/>
      <c r="K394" s="221"/>
      <c r="L394" s="221"/>
      <c r="M394" s="211"/>
      <c r="N394" s="215"/>
    </row>
    <row r="395" spans="1:14" s="214" customFormat="1" ht="59.25" customHeight="1">
      <c r="A395" s="215"/>
      <c r="B395" s="216"/>
      <c r="C395" s="217"/>
      <c r="D395" s="218"/>
      <c r="E395" s="218"/>
      <c r="F395" s="218"/>
      <c r="G395" s="219"/>
      <c r="H395" s="319"/>
      <c r="I395" s="321"/>
      <c r="J395" s="220"/>
      <c r="K395" s="221"/>
      <c r="L395" s="221"/>
      <c r="M395" s="211"/>
      <c r="N395" s="215"/>
    </row>
    <row r="396" spans="1:14" s="214" customFormat="1" ht="59.25" customHeight="1">
      <c r="A396" s="215"/>
      <c r="B396" s="216"/>
      <c r="C396" s="217"/>
      <c r="D396" s="218"/>
      <c r="E396" s="218"/>
      <c r="F396" s="218"/>
      <c r="G396" s="219"/>
      <c r="H396" s="320"/>
      <c r="I396" s="320"/>
      <c r="J396" s="220"/>
      <c r="K396" s="221"/>
      <c r="L396" s="221"/>
      <c r="M396" s="211"/>
      <c r="N396" s="215"/>
    </row>
    <row r="397" spans="1:14" s="214" customFormat="1" ht="59.25" customHeight="1">
      <c r="A397" s="215"/>
      <c r="B397" s="216"/>
      <c r="C397" s="217"/>
      <c r="D397" s="218"/>
      <c r="E397" s="218"/>
      <c r="F397" s="218"/>
      <c r="G397" s="219"/>
      <c r="H397" s="320"/>
      <c r="I397" s="319"/>
      <c r="J397" s="220"/>
      <c r="K397" s="221"/>
      <c r="L397" s="221"/>
      <c r="M397" s="211"/>
      <c r="N397" s="215"/>
    </row>
    <row r="398" spans="1:14" s="214" customFormat="1" ht="59.25" customHeight="1">
      <c r="A398" s="215"/>
      <c r="B398" s="216"/>
      <c r="C398" s="217"/>
      <c r="D398" s="218"/>
      <c r="E398" s="218"/>
      <c r="F398" s="218"/>
      <c r="G398" s="219"/>
      <c r="H398" s="320"/>
      <c r="I398" s="321"/>
      <c r="J398" s="220"/>
      <c r="K398" s="221"/>
      <c r="L398" s="221"/>
      <c r="M398" s="211"/>
      <c r="N398" s="215"/>
    </row>
    <row r="399" spans="1:14" s="214" customFormat="1" ht="59.25" customHeight="1">
      <c r="A399" s="215"/>
      <c r="B399" s="216"/>
      <c r="C399" s="217"/>
      <c r="D399" s="218"/>
      <c r="E399" s="218"/>
      <c r="F399" s="218"/>
      <c r="G399" s="219"/>
      <c r="H399" s="320"/>
      <c r="I399" s="321"/>
      <c r="J399" s="220"/>
      <c r="K399" s="221"/>
      <c r="L399" s="221"/>
      <c r="M399" s="211"/>
      <c r="N399" s="215"/>
    </row>
    <row r="400" spans="1:14" s="214" customFormat="1" ht="59.25" customHeight="1">
      <c r="A400" s="215"/>
      <c r="B400" s="216"/>
      <c r="C400" s="217"/>
      <c r="D400" s="218"/>
      <c r="E400" s="218"/>
      <c r="F400" s="218"/>
      <c r="G400" s="219"/>
      <c r="H400" s="320"/>
      <c r="I400" s="321"/>
      <c r="J400" s="220"/>
      <c r="K400" s="221"/>
      <c r="L400" s="221"/>
      <c r="M400" s="211"/>
      <c r="N400" s="215"/>
    </row>
    <row r="401" spans="1:14" s="214" customFormat="1" ht="59.25" customHeight="1">
      <c r="A401" s="215"/>
      <c r="B401" s="216"/>
      <c r="C401" s="217"/>
      <c r="D401" s="218"/>
      <c r="E401" s="218"/>
      <c r="F401" s="218"/>
      <c r="G401" s="219"/>
      <c r="H401" s="320"/>
      <c r="I401" s="321"/>
      <c r="J401" s="220"/>
      <c r="K401" s="221"/>
      <c r="L401" s="221"/>
      <c r="M401" s="211"/>
      <c r="N401" s="215"/>
    </row>
    <row r="402" spans="1:14" s="214" customFormat="1" ht="59.25" customHeight="1">
      <c r="A402" s="215"/>
      <c r="B402" s="216"/>
      <c r="C402" s="217"/>
      <c r="D402" s="218"/>
      <c r="E402" s="218"/>
      <c r="F402" s="218"/>
      <c r="G402" s="219"/>
      <c r="H402" s="320"/>
      <c r="I402" s="321"/>
      <c r="J402" s="220"/>
      <c r="K402" s="221"/>
      <c r="L402" s="221"/>
      <c r="M402" s="211"/>
      <c r="N402" s="215"/>
    </row>
    <row r="403" spans="1:14" s="214" customFormat="1" ht="59.25" customHeight="1">
      <c r="A403" s="215"/>
      <c r="B403" s="216"/>
      <c r="C403" s="217"/>
      <c r="D403" s="218"/>
      <c r="E403" s="218"/>
      <c r="F403" s="218"/>
      <c r="G403" s="219"/>
      <c r="H403" s="320"/>
      <c r="I403" s="321"/>
      <c r="J403" s="220"/>
      <c r="K403" s="221"/>
      <c r="L403" s="221"/>
      <c r="M403" s="211"/>
      <c r="N403" s="215"/>
    </row>
    <row r="404" spans="1:14" s="214" customFormat="1" ht="59.25" customHeight="1">
      <c r="A404" s="215"/>
      <c r="B404" s="216"/>
      <c r="C404" s="217"/>
      <c r="D404" s="218"/>
      <c r="E404" s="218"/>
      <c r="F404" s="218"/>
      <c r="G404" s="219"/>
      <c r="H404" s="320"/>
      <c r="I404" s="321"/>
      <c r="J404" s="220"/>
      <c r="K404" s="221"/>
      <c r="L404" s="221"/>
      <c r="M404" s="211"/>
      <c r="N404" s="215"/>
    </row>
    <row r="405" spans="1:14" s="214" customFormat="1" ht="59.25" customHeight="1">
      <c r="A405" s="215"/>
      <c r="B405" s="216"/>
      <c r="C405" s="217"/>
      <c r="D405" s="218"/>
      <c r="E405" s="218"/>
      <c r="F405" s="218"/>
      <c r="G405" s="219"/>
      <c r="H405" s="320"/>
      <c r="I405" s="321"/>
      <c r="J405" s="220"/>
      <c r="K405" s="221"/>
      <c r="L405" s="221"/>
      <c r="M405" s="211"/>
      <c r="N405" s="215"/>
    </row>
    <row r="406" spans="1:14" s="214" customFormat="1" ht="59.25" customHeight="1">
      <c r="A406" s="215"/>
      <c r="B406" s="216"/>
      <c r="C406" s="217"/>
      <c r="D406" s="218"/>
      <c r="E406" s="218"/>
      <c r="F406" s="218"/>
      <c r="G406" s="219"/>
      <c r="H406" s="320"/>
      <c r="I406" s="321"/>
      <c r="J406" s="220"/>
      <c r="K406" s="221"/>
      <c r="L406" s="221"/>
      <c r="M406" s="211"/>
      <c r="N406" s="215"/>
    </row>
    <row r="407" spans="1:14" s="214" customFormat="1" ht="59.25" customHeight="1">
      <c r="A407" s="215"/>
      <c r="B407" s="216"/>
      <c r="C407" s="217"/>
      <c r="D407" s="218"/>
      <c r="E407" s="218"/>
      <c r="F407" s="218"/>
      <c r="G407" s="219"/>
      <c r="H407" s="220"/>
      <c r="I407" s="321"/>
      <c r="J407" s="220"/>
      <c r="K407" s="221"/>
      <c r="L407" s="221"/>
      <c r="M407" s="211"/>
      <c r="N407" s="215"/>
    </row>
    <row r="408" spans="1:14" s="214" customFormat="1" ht="59.25" customHeight="1">
      <c r="A408" s="215"/>
      <c r="B408" s="216"/>
      <c r="C408" s="217"/>
      <c r="D408" s="218"/>
      <c r="E408" s="218"/>
      <c r="F408" s="218"/>
      <c r="G408" s="219"/>
      <c r="H408" s="220"/>
      <c r="I408" s="321"/>
      <c r="J408" s="220"/>
      <c r="K408" s="221"/>
      <c r="L408" s="221"/>
      <c r="M408" s="211"/>
      <c r="N408" s="215"/>
    </row>
    <row r="409" spans="1:14" s="214" customFormat="1" ht="59.25" customHeight="1">
      <c r="A409" s="215"/>
      <c r="B409" s="216"/>
      <c r="C409" s="217"/>
      <c r="D409" s="218"/>
      <c r="E409" s="218"/>
      <c r="F409" s="218"/>
      <c r="G409" s="219"/>
      <c r="H409" s="220"/>
      <c r="I409" s="321"/>
      <c r="J409" s="220"/>
      <c r="K409" s="221"/>
      <c r="L409" s="221"/>
      <c r="M409" s="211"/>
      <c r="N409" s="215"/>
    </row>
    <row r="410" spans="1:14" s="214" customFormat="1" ht="59.25" customHeight="1">
      <c r="A410" s="215"/>
      <c r="B410" s="216"/>
      <c r="C410" s="217"/>
      <c r="D410" s="218"/>
      <c r="E410" s="218"/>
      <c r="F410" s="218"/>
      <c r="G410" s="219"/>
      <c r="H410" s="220"/>
      <c r="I410" s="321"/>
      <c r="J410" s="220"/>
      <c r="K410" s="221"/>
      <c r="L410" s="221"/>
      <c r="M410" s="211"/>
      <c r="N410" s="215"/>
    </row>
    <row r="411" spans="1:14" s="214" customFormat="1" ht="59.25" customHeight="1">
      <c r="A411" s="215"/>
      <c r="B411" s="216"/>
      <c r="C411" s="217"/>
      <c r="D411" s="218"/>
      <c r="E411" s="218"/>
      <c r="F411" s="218"/>
      <c r="G411" s="219"/>
      <c r="H411" s="220"/>
      <c r="I411" s="321"/>
      <c r="J411" s="220"/>
      <c r="K411" s="221"/>
      <c r="L411" s="221"/>
      <c r="M411" s="211"/>
      <c r="N411" s="215"/>
    </row>
    <row r="412" spans="1:14" s="214" customFormat="1" ht="59.25" customHeight="1">
      <c r="A412" s="215"/>
      <c r="B412" s="216"/>
      <c r="C412" s="217"/>
      <c r="D412" s="218"/>
      <c r="E412" s="218"/>
      <c r="F412" s="218"/>
      <c r="G412" s="219"/>
      <c r="H412" s="220"/>
      <c r="I412" s="321"/>
      <c r="J412" s="220"/>
      <c r="K412" s="221"/>
      <c r="L412" s="221"/>
      <c r="M412" s="211"/>
      <c r="N412" s="215"/>
    </row>
    <row r="413" spans="1:14" s="214" customFormat="1" ht="59.25" customHeight="1">
      <c r="A413" s="215"/>
      <c r="B413" s="216"/>
      <c r="C413" s="217"/>
      <c r="D413" s="218"/>
      <c r="E413" s="218"/>
      <c r="F413" s="218"/>
      <c r="G413" s="219"/>
      <c r="H413" s="220"/>
      <c r="I413" s="321"/>
      <c r="J413" s="220"/>
      <c r="K413" s="221"/>
      <c r="L413" s="221"/>
      <c r="M413" s="211"/>
      <c r="N413" s="215"/>
    </row>
    <row r="414" spans="1:14" s="214" customFormat="1" ht="59.25" customHeight="1">
      <c r="A414" s="215"/>
      <c r="B414" s="216"/>
      <c r="C414" s="217"/>
      <c r="D414" s="218"/>
      <c r="E414" s="218"/>
      <c r="F414" s="218"/>
      <c r="G414" s="219"/>
      <c r="H414" s="220"/>
      <c r="I414" s="321"/>
      <c r="J414" s="220"/>
      <c r="K414" s="221"/>
      <c r="L414" s="221"/>
      <c r="M414" s="211"/>
      <c r="N414" s="215"/>
    </row>
    <row r="415" spans="1:14" s="214" customFormat="1" ht="59.25" customHeight="1">
      <c r="A415" s="215"/>
      <c r="B415" s="216"/>
      <c r="C415" s="217"/>
      <c r="D415" s="218"/>
      <c r="E415" s="218"/>
      <c r="F415" s="218"/>
      <c r="G415" s="219"/>
      <c r="H415" s="220"/>
      <c r="I415" s="321"/>
      <c r="J415" s="220"/>
      <c r="K415" s="221"/>
      <c r="L415" s="221"/>
      <c r="M415" s="211"/>
      <c r="N415" s="215"/>
    </row>
    <row r="416" spans="1:14" s="214" customFormat="1" ht="59.25" customHeight="1">
      <c r="A416" s="215"/>
      <c r="B416" s="216"/>
      <c r="C416" s="217"/>
      <c r="D416" s="218"/>
      <c r="E416" s="218"/>
      <c r="F416" s="218"/>
      <c r="G416" s="219"/>
      <c r="H416" s="220"/>
      <c r="I416" s="321"/>
      <c r="J416" s="220"/>
      <c r="K416" s="221"/>
      <c r="L416" s="221"/>
      <c r="M416" s="211"/>
      <c r="N416" s="215"/>
    </row>
    <row r="417" spans="1:14" s="214" customFormat="1" ht="59.25" customHeight="1">
      <c r="A417" s="215"/>
      <c r="B417" s="216"/>
      <c r="C417" s="217"/>
      <c r="D417" s="218"/>
      <c r="E417" s="218"/>
      <c r="F417" s="218"/>
      <c r="G417" s="219"/>
      <c r="H417" s="220"/>
      <c r="I417" s="321"/>
      <c r="J417" s="220"/>
      <c r="K417" s="221"/>
      <c r="L417" s="221"/>
      <c r="M417" s="211"/>
      <c r="N417" s="215"/>
    </row>
    <row r="418" spans="1:14" s="214" customFormat="1" ht="59.25" customHeight="1">
      <c r="A418" s="215"/>
      <c r="B418" s="216"/>
      <c r="C418" s="217"/>
      <c r="D418" s="218"/>
      <c r="E418" s="218"/>
      <c r="F418" s="218"/>
      <c r="G418" s="219"/>
      <c r="H418" s="220"/>
      <c r="I418" s="321"/>
      <c r="J418" s="220"/>
      <c r="K418" s="221"/>
      <c r="L418" s="221"/>
      <c r="M418" s="211"/>
      <c r="N418" s="215"/>
    </row>
    <row r="419" spans="1:14" s="214" customFormat="1" ht="59.25" customHeight="1">
      <c r="A419" s="215"/>
      <c r="B419" s="216"/>
      <c r="C419" s="217"/>
      <c r="D419" s="218"/>
      <c r="E419" s="218"/>
      <c r="F419" s="218"/>
      <c r="G419" s="219"/>
      <c r="H419" s="220"/>
      <c r="I419" s="321"/>
      <c r="J419" s="220"/>
      <c r="K419" s="221"/>
      <c r="L419" s="221"/>
      <c r="M419" s="211"/>
      <c r="N419" s="215"/>
    </row>
    <row r="420" spans="1:14" s="214" customFormat="1" ht="59.25" customHeight="1">
      <c r="A420" s="215"/>
      <c r="B420" s="216"/>
      <c r="C420" s="217"/>
      <c r="D420" s="218"/>
      <c r="E420" s="218"/>
      <c r="F420" s="218"/>
      <c r="G420" s="219"/>
      <c r="H420" s="220"/>
      <c r="I420" s="321"/>
      <c r="J420" s="220"/>
      <c r="K420" s="221"/>
      <c r="L420" s="221"/>
      <c r="M420" s="211"/>
      <c r="N420" s="215"/>
    </row>
    <row r="421" spans="1:14" s="214" customFormat="1" ht="59.25" customHeight="1">
      <c r="A421" s="215"/>
      <c r="B421" s="216"/>
      <c r="C421" s="217"/>
      <c r="D421" s="218"/>
      <c r="E421" s="218"/>
      <c r="F421" s="218"/>
      <c r="G421" s="219"/>
      <c r="H421" s="322"/>
      <c r="I421" s="321"/>
      <c r="J421" s="220"/>
      <c r="K421" s="221"/>
      <c r="L421" s="221"/>
      <c r="M421" s="211"/>
      <c r="N421" s="215"/>
    </row>
    <row r="422" spans="1:14" s="214" customFormat="1" ht="59.25" customHeight="1">
      <c r="A422" s="215"/>
      <c r="B422" s="216"/>
      <c r="C422" s="217"/>
      <c r="D422" s="218"/>
      <c r="E422" s="218"/>
      <c r="F422" s="218"/>
      <c r="G422" s="219"/>
      <c r="H422" s="220"/>
      <c r="I422" s="321"/>
      <c r="J422" s="220"/>
      <c r="K422" s="221"/>
      <c r="L422" s="221"/>
      <c r="M422" s="211"/>
      <c r="N422" s="215"/>
    </row>
    <row r="423" spans="1:14" s="214" customFormat="1" ht="59.25" customHeight="1">
      <c r="A423" s="215"/>
      <c r="B423" s="216"/>
      <c r="C423" s="217"/>
      <c r="D423" s="218"/>
      <c r="E423" s="218"/>
      <c r="F423" s="218"/>
      <c r="G423" s="219"/>
      <c r="H423" s="220"/>
      <c r="I423" s="322"/>
      <c r="J423" s="220"/>
      <c r="K423" s="221"/>
      <c r="L423" s="221"/>
      <c r="M423" s="211"/>
      <c r="N423" s="215"/>
    </row>
    <row r="424" spans="1:14" s="214" customFormat="1" ht="59.25" customHeight="1">
      <c r="A424" s="215"/>
      <c r="B424" s="216"/>
      <c r="C424" s="217"/>
      <c r="D424" s="218"/>
      <c r="E424" s="218"/>
      <c r="F424" s="218"/>
      <c r="G424" s="219"/>
      <c r="H424" s="220"/>
      <c r="I424" s="220"/>
      <c r="J424" s="220"/>
      <c r="K424" s="221"/>
      <c r="L424" s="221"/>
      <c r="M424" s="211"/>
      <c r="N424" s="215"/>
    </row>
    <row r="425" spans="1:14" s="214" customFormat="1" ht="59.25" customHeight="1">
      <c r="A425" s="215"/>
      <c r="B425" s="216"/>
      <c r="C425" s="217"/>
      <c r="D425" s="218"/>
      <c r="E425" s="218"/>
      <c r="F425" s="218"/>
      <c r="G425" s="219"/>
      <c r="H425" s="220"/>
      <c r="I425" s="220"/>
      <c r="J425" s="220"/>
      <c r="K425" s="221"/>
      <c r="L425" s="221"/>
      <c r="M425" s="211"/>
      <c r="N425" s="215"/>
    </row>
    <row r="426" spans="1:14" s="214" customFormat="1" ht="59.25" customHeight="1">
      <c r="A426" s="215"/>
      <c r="B426" s="216"/>
      <c r="C426" s="217"/>
      <c r="D426" s="218"/>
      <c r="E426" s="218"/>
      <c r="F426" s="218"/>
      <c r="G426" s="219"/>
      <c r="H426" s="220"/>
      <c r="I426" s="220"/>
      <c r="J426" s="220"/>
      <c r="K426" s="221"/>
      <c r="L426" s="221"/>
      <c r="M426" s="211"/>
      <c r="N426" s="215"/>
    </row>
    <row r="427" spans="1:14" s="214" customFormat="1" ht="59.25" customHeight="1">
      <c r="A427" s="215"/>
      <c r="B427" s="216"/>
      <c r="C427" s="217"/>
      <c r="D427" s="218"/>
      <c r="E427" s="218"/>
      <c r="F427" s="218"/>
      <c r="G427" s="219"/>
      <c r="H427" s="220"/>
      <c r="I427" s="220"/>
      <c r="J427" s="220"/>
      <c r="K427" s="221"/>
      <c r="L427" s="221"/>
      <c r="M427" s="211"/>
      <c r="N427" s="215"/>
    </row>
    <row r="428" spans="1:14" s="214" customFormat="1" ht="59.25" customHeight="1">
      <c r="A428" s="215"/>
      <c r="B428" s="216"/>
      <c r="C428" s="217"/>
      <c r="D428" s="218"/>
      <c r="E428" s="218"/>
      <c r="F428" s="218"/>
      <c r="G428" s="219"/>
      <c r="H428" s="220"/>
      <c r="I428" s="220"/>
      <c r="J428" s="220"/>
      <c r="K428" s="221"/>
      <c r="L428" s="221"/>
      <c r="M428" s="211"/>
      <c r="N428" s="215"/>
    </row>
    <row r="429" spans="1:14" s="214" customFormat="1" ht="59.25" customHeight="1">
      <c r="A429" s="215"/>
      <c r="B429" s="216"/>
      <c r="C429" s="217"/>
      <c r="D429" s="218"/>
      <c r="E429" s="218"/>
      <c r="F429" s="218"/>
      <c r="G429" s="219"/>
      <c r="H429" s="220"/>
      <c r="I429" s="220"/>
      <c r="J429" s="220"/>
      <c r="K429" s="221"/>
      <c r="L429" s="221"/>
      <c r="M429" s="211"/>
      <c r="N429" s="215"/>
    </row>
    <row r="430" spans="1:14" s="214" customFormat="1" ht="59.25" customHeight="1">
      <c r="A430" s="215"/>
      <c r="B430" s="216"/>
      <c r="C430" s="217"/>
      <c r="D430" s="218"/>
      <c r="E430" s="218"/>
      <c r="F430" s="218"/>
      <c r="G430" s="219"/>
      <c r="H430" s="220"/>
      <c r="I430" s="220"/>
      <c r="J430" s="220"/>
      <c r="K430" s="221"/>
      <c r="L430" s="221"/>
      <c r="M430" s="211"/>
      <c r="N430" s="215"/>
    </row>
    <row r="431" spans="1:14" s="214" customFormat="1" ht="59.25" customHeight="1">
      <c r="A431" s="215"/>
      <c r="B431" s="216"/>
      <c r="C431" s="217"/>
      <c r="D431" s="218"/>
      <c r="E431" s="218"/>
      <c r="F431" s="218"/>
      <c r="G431" s="219"/>
      <c r="H431" s="220"/>
      <c r="I431" s="220"/>
      <c r="J431" s="220"/>
      <c r="K431" s="221"/>
      <c r="L431" s="221"/>
      <c r="M431" s="211"/>
      <c r="N431" s="215"/>
    </row>
    <row r="432" spans="1:14" s="214" customFormat="1" ht="59.25" customHeight="1">
      <c r="A432" s="215"/>
      <c r="B432" s="216"/>
      <c r="C432" s="217"/>
      <c r="D432" s="218"/>
      <c r="E432" s="218"/>
      <c r="F432" s="218"/>
      <c r="G432" s="219"/>
      <c r="H432" s="220"/>
      <c r="I432" s="220"/>
      <c r="J432" s="220"/>
      <c r="K432" s="221"/>
      <c r="L432" s="221"/>
      <c r="M432" s="211"/>
      <c r="N432" s="215"/>
    </row>
    <row r="433" spans="1:14" s="214" customFormat="1" ht="59.25" customHeight="1">
      <c r="A433" s="215"/>
      <c r="B433" s="216"/>
      <c r="C433" s="217"/>
      <c r="D433" s="218"/>
      <c r="E433" s="218"/>
      <c r="F433" s="218"/>
      <c r="G433" s="219"/>
      <c r="H433" s="220"/>
      <c r="I433" s="220"/>
      <c r="J433" s="220"/>
      <c r="K433" s="221"/>
      <c r="L433" s="221"/>
      <c r="M433" s="211"/>
      <c r="N433" s="215"/>
    </row>
    <row r="434" spans="1:14" s="214" customFormat="1" ht="59.25" customHeight="1">
      <c r="A434" s="215"/>
      <c r="B434" s="216"/>
      <c r="C434" s="217"/>
      <c r="D434" s="218"/>
      <c r="E434" s="218"/>
      <c r="F434" s="218"/>
      <c r="G434" s="219"/>
      <c r="H434" s="220"/>
      <c r="I434" s="220"/>
      <c r="J434" s="220"/>
      <c r="K434" s="221"/>
      <c r="L434" s="221"/>
      <c r="M434" s="211"/>
      <c r="N434" s="215"/>
    </row>
    <row r="435" spans="1:14" s="214" customFormat="1" ht="59.25" customHeight="1">
      <c r="A435" s="215"/>
      <c r="B435" s="216"/>
      <c r="C435" s="217"/>
      <c r="D435" s="218"/>
      <c r="E435" s="218"/>
      <c r="F435" s="218"/>
      <c r="G435" s="219"/>
      <c r="H435" s="220"/>
      <c r="I435" s="220"/>
      <c r="J435" s="220"/>
      <c r="K435" s="221"/>
      <c r="L435" s="221"/>
      <c r="M435" s="211"/>
      <c r="N435" s="215"/>
    </row>
    <row r="436" spans="1:14" s="214" customFormat="1" ht="59.25" customHeight="1">
      <c r="A436" s="215"/>
      <c r="B436" s="216"/>
      <c r="C436" s="217"/>
      <c r="D436" s="218"/>
      <c r="E436" s="218"/>
      <c r="F436" s="218"/>
      <c r="G436" s="219"/>
      <c r="H436" s="220"/>
      <c r="I436" s="220"/>
      <c r="J436" s="220"/>
      <c r="K436" s="221"/>
      <c r="L436" s="221"/>
      <c r="M436" s="211"/>
      <c r="N436" s="215"/>
    </row>
    <row r="437" spans="1:14" s="214" customFormat="1" ht="59.25" customHeight="1">
      <c r="A437" s="215"/>
      <c r="B437" s="216"/>
      <c r="C437" s="217"/>
      <c r="D437" s="218"/>
      <c r="E437" s="218"/>
      <c r="F437" s="218"/>
      <c r="G437" s="219"/>
      <c r="H437" s="220"/>
      <c r="I437" s="220"/>
      <c r="J437" s="220"/>
      <c r="K437" s="221"/>
      <c r="L437" s="221"/>
      <c r="M437" s="211"/>
      <c r="N437" s="215"/>
    </row>
    <row r="438" spans="1:14" s="214" customFormat="1" ht="59.25" customHeight="1">
      <c r="A438" s="215"/>
      <c r="B438" s="216"/>
      <c r="C438" s="217"/>
      <c r="D438" s="218"/>
      <c r="E438" s="218"/>
      <c r="F438" s="218"/>
      <c r="G438" s="219"/>
      <c r="H438" s="220"/>
      <c r="I438" s="220"/>
      <c r="J438" s="220"/>
      <c r="K438" s="221"/>
      <c r="L438" s="221"/>
      <c r="M438" s="211"/>
      <c r="N438" s="215"/>
    </row>
    <row r="439" spans="1:14" s="214" customFormat="1" ht="59.25" customHeight="1">
      <c r="A439" s="215"/>
      <c r="B439" s="216"/>
      <c r="C439" s="217"/>
      <c r="D439" s="218"/>
      <c r="E439" s="218"/>
      <c r="F439" s="218"/>
      <c r="G439" s="219"/>
      <c r="H439" s="220"/>
      <c r="I439" s="220"/>
      <c r="J439" s="220"/>
      <c r="K439" s="221"/>
      <c r="L439" s="221"/>
      <c r="M439" s="211"/>
      <c r="N439" s="215"/>
    </row>
    <row r="440" spans="1:14" s="214" customFormat="1" ht="59.25" customHeight="1">
      <c r="A440" s="215"/>
      <c r="B440" s="216"/>
      <c r="C440" s="217"/>
      <c r="D440" s="218"/>
      <c r="E440" s="218"/>
      <c r="F440" s="218"/>
      <c r="G440" s="219"/>
      <c r="H440" s="220"/>
      <c r="I440" s="220"/>
      <c r="J440" s="220"/>
      <c r="K440" s="221"/>
      <c r="L440" s="221"/>
      <c r="M440" s="211"/>
      <c r="N440" s="215"/>
    </row>
    <row r="441" spans="1:14" s="214" customFormat="1" ht="59.25" customHeight="1">
      <c r="A441" s="215"/>
      <c r="B441" s="216"/>
      <c r="C441" s="217"/>
      <c r="D441" s="218"/>
      <c r="E441" s="218"/>
      <c r="F441" s="218"/>
      <c r="G441" s="219"/>
      <c r="H441" s="220"/>
      <c r="I441" s="220"/>
      <c r="J441" s="220"/>
      <c r="K441" s="221"/>
      <c r="L441" s="221"/>
      <c r="M441" s="211"/>
      <c r="N441" s="215"/>
    </row>
  </sheetData>
  <autoFilter ref="A19:P216" xr:uid="{00000000-0001-0000-0400-000000000000}">
    <filterColumn colId="11" showButton="0"/>
  </autoFilter>
  <mergeCells count="32">
    <mergeCell ref="A183:C183"/>
    <mergeCell ref="A195:E195"/>
    <mergeCell ref="A201:E201"/>
    <mergeCell ref="G216:K216"/>
    <mergeCell ref="A19:A20"/>
    <mergeCell ref="B19:B20"/>
    <mergeCell ref="C19:C20"/>
    <mergeCell ref="D19:D20"/>
    <mergeCell ref="E19:E20"/>
    <mergeCell ref="F19:F20"/>
    <mergeCell ref="G19:G20"/>
    <mergeCell ref="H19:H20"/>
    <mergeCell ref="I19:I20"/>
    <mergeCell ref="J19:J20"/>
    <mergeCell ref="K19:K20"/>
    <mergeCell ref="C11:E11"/>
    <mergeCell ref="G11:I11"/>
    <mergeCell ref="J11:K11"/>
    <mergeCell ref="L19:M19"/>
    <mergeCell ref="A21:E21"/>
    <mergeCell ref="A7:B7"/>
    <mergeCell ref="C7:E7"/>
    <mergeCell ref="H7:I7"/>
    <mergeCell ref="J7:K7"/>
    <mergeCell ref="C9:E9"/>
    <mergeCell ref="G9:I9"/>
    <mergeCell ref="J9:K9"/>
    <mergeCell ref="B1:L1"/>
    <mergeCell ref="A2:M2"/>
    <mergeCell ref="A3:M3"/>
    <mergeCell ref="A4:M4"/>
    <mergeCell ref="A5:M5"/>
  </mergeCells>
  <phoneticPr fontId="124" type="noConversion"/>
  <printOptions horizontalCentered="1"/>
  <pageMargins left="0.4" right="0.2" top="0.40748031499999998" bottom="0.15748031496063" header="0.15748031496063" footer="0.15748031496063"/>
  <pageSetup paperSize="9" scale="27"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XFD137"/>
  <sheetViews>
    <sheetView topLeftCell="F1" zoomScale="60" zoomScaleNormal="60" workbookViewId="0">
      <selection activeCell="U10" sqref="U10"/>
    </sheetView>
  </sheetViews>
  <sheetFormatPr defaultColWidth="9.21875" defaultRowHeight="14.4"/>
  <cols>
    <col min="1" max="1" width="8.44140625" style="115" customWidth="1"/>
    <col min="2" max="2" width="20.77734375" style="115" customWidth="1"/>
    <col min="3" max="3" width="12.5546875" style="116" customWidth="1"/>
    <col min="4" max="4" width="26.21875" style="115" customWidth="1"/>
    <col min="5" max="5" width="20.44140625" style="116" customWidth="1"/>
    <col min="6" max="6" width="9.5546875" style="115" customWidth="1"/>
    <col min="7" max="7" width="10.44140625" style="116" customWidth="1"/>
    <col min="8" max="8" width="10.77734375" style="116" customWidth="1"/>
    <col min="9" max="10" width="10.77734375" style="117" customWidth="1"/>
    <col min="11" max="11" width="12.77734375" style="116" customWidth="1"/>
    <col min="12" max="15" width="10.77734375" style="116" customWidth="1"/>
    <col min="16" max="19" width="9.5546875" style="116" customWidth="1"/>
    <col min="20" max="20" width="25.21875" style="116" customWidth="1"/>
    <col min="21" max="24" width="8.44140625" style="116" customWidth="1"/>
    <col min="25" max="25" width="16.5546875" style="116" customWidth="1"/>
    <col min="26" max="26" width="15.77734375" style="116" customWidth="1"/>
    <col min="27" max="27" width="16.21875" style="118" customWidth="1"/>
    <col min="28" max="28" width="35" style="115" customWidth="1"/>
    <col min="29" max="29" width="9.21875" style="115"/>
    <col min="30" max="30" width="26.5546875" style="115" customWidth="1"/>
    <col min="31" max="16384" width="9.21875" style="115"/>
  </cols>
  <sheetData>
    <row r="1" spans="1:28" s="106" customFormat="1" ht="96.75" customHeight="1">
      <c r="A1" s="639" t="s">
        <v>65</v>
      </c>
      <c r="B1" s="639"/>
      <c r="C1" s="639"/>
      <c r="D1" s="639"/>
      <c r="E1" s="639"/>
      <c r="F1" s="639"/>
      <c r="G1" s="639"/>
      <c r="H1" s="639"/>
      <c r="I1" s="639"/>
      <c r="J1" s="639"/>
      <c r="K1" s="639"/>
      <c r="L1" s="639"/>
      <c r="M1" s="639"/>
      <c r="N1" s="639"/>
      <c r="O1" s="639"/>
      <c r="P1" s="639"/>
      <c r="Q1" s="639"/>
      <c r="R1" s="639"/>
      <c r="S1" s="639"/>
      <c r="T1" s="639"/>
      <c r="U1" s="639"/>
      <c r="V1" s="639"/>
      <c r="W1" s="639"/>
      <c r="X1" s="639"/>
      <c r="Y1" s="639"/>
      <c r="Z1" s="639"/>
      <c r="AA1" s="639"/>
      <c r="AB1" s="639"/>
    </row>
    <row r="2" spans="1:28" s="106" customFormat="1" ht="44.25" customHeight="1">
      <c r="A2" s="639" t="s">
        <v>666</v>
      </c>
      <c r="B2" s="639"/>
      <c r="C2" s="639"/>
      <c r="D2" s="639"/>
      <c r="E2" s="639"/>
      <c r="F2" s="639"/>
      <c r="G2" s="639"/>
      <c r="H2" s="639"/>
      <c r="I2" s="639"/>
      <c r="J2" s="639"/>
      <c r="K2" s="639"/>
      <c r="L2" s="639"/>
      <c r="M2" s="639"/>
      <c r="N2" s="639"/>
      <c r="O2" s="639"/>
      <c r="P2" s="639"/>
      <c r="Q2" s="639"/>
      <c r="R2" s="639"/>
      <c r="S2" s="639"/>
      <c r="T2" s="639"/>
      <c r="U2" s="639"/>
      <c r="V2" s="639"/>
      <c r="W2" s="639"/>
      <c r="X2" s="639"/>
      <c r="Y2" s="639"/>
      <c r="Z2" s="639"/>
      <c r="AA2" s="639"/>
      <c r="AB2" s="639"/>
    </row>
    <row r="3" spans="1:28" s="106" customFormat="1" ht="25.5" customHeight="1">
      <c r="A3" s="637" t="s">
        <v>667</v>
      </c>
      <c r="B3" s="637"/>
      <c r="C3" s="637"/>
      <c r="D3" s="637"/>
      <c r="E3" s="637"/>
      <c r="F3" s="637"/>
      <c r="G3" s="637"/>
      <c r="H3" s="637"/>
      <c r="I3" s="637"/>
      <c r="J3" s="637"/>
      <c r="K3" s="637"/>
      <c r="L3" s="637"/>
      <c r="M3" s="637"/>
      <c r="N3" s="637"/>
      <c r="O3" s="637"/>
      <c r="P3" s="637"/>
      <c r="Q3" s="637"/>
      <c r="R3" s="637"/>
      <c r="S3" s="637"/>
      <c r="T3" s="637"/>
      <c r="U3" s="637"/>
      <c r="V3" s="637"/>
      <c r="W3" s="637"/>
      <c r="X3" s="637"/>
      <c r="Y3" s="637"/>
      <c r="Z3" s="637"/>
      <c r="AA3" s="637"/>
      <c r="AB3" s="637"/>
    </row>
    <row r="4" spans="1:28" s="106" customFormat="1" ht="17.25" customHeight="1">
      <c r="A4" s="120"/>
      <c r="B4" s="121"/>
      <c r="C4" s="71"/>
      <c r="D4" s="71"/>
      <c r="E4" s="71"/>
      <c r="F4" s="71"/>
      <c r="G4" s="71"/>
      <c r="H4" s="71"/>
      <c r="I4" s="156"/>
      <c r="J4" s="156"/>
      <c r="K4" s="71"/>
      <c r="L4" s="71"/>
      <c r="M4" s="71"/>
      <c r="N4" s="71"/>
      <c r="O4" s="71"/>
      <c r="P4" s="71"/>
      <c r="Q4" s="71"/>
      <c r="R4" s="71"/>
      <c r="S4" s="71"/>
      <c r="T4" s="170"/>
      <c r="U4" s="170"/>
      <c r="V4" s="170"/>
      <c r="W4" s="170"/>
      <c r="X4" s="170"/>
      <c r="Y4" s="170"/>
      <c r="Z4" s="170"/>
      <c r="AA4" s="170"/>
      <c r="AB4" s="120"/>
    </row>
    <row r="5" spans="1:28" s="107" customFormat="1" ht="24.75" customHeight="1">
      <c r="A5" s="122"/>
      <c r="B5" s="123" t="s">
        <v>67</v>
      </c>
      <c r="C5" s="790" t="s">
        <v>100</v>
      </c>
      <c r="D5" s="791"/>
      <c r="E5" s="792"/>
      <c r="F5" s="791"/>
      <c r="G5" s="791"/>
      <c r="H5" s="793"/>
      <c r="I5" s="157"/>
      <c r="J5" s="794"/>
      <c r="K5" s="794"/>
      <c r="L5" s="794"/>
      <c r="M5" s="794"/>
      <c r="N5" s="795" t="s">
        <v>668</v>
      </c>
      <c r="O5" s="796"/>
      <c r="P5" s="796"/>
      <c r="Q5" s="796"/>
      <c r="R5" s="796"/>
      <c r="S5" s="796"/>
      <c r="T5" s="796"/>
      <c r="U5" s="797">
        <v>46143</v>
      </c>
      <c r="V5" s="797"/>
      <c r="W5" s="797"/>
      <c r="X5" s="797"/>
      <c r="Y5" s="797"/>
      <c r="Z5" s="797"/>
      <c r="AA5" s="797"/>
      <c r="AB5" s="122"/>
    </row>
    <row r="6" spans="1:28" s="107" customFormat="1" ht="9" customHeight="1">
      <c r="A6" s="122"/>
      <c r="B6" s="123"/>
      <c r="C6" s="124"/>
      <c r="D6" s="125"/>
      <c r="E6" s="138"/>
      <c r="F6" s="125"/>
      <c r="G6" s="125"/>
      <c r="H6" s="125"/>
      <c r="I6" s="157"/>
      <c r="J6" s="157"/>
      <c r="K6" s="124"/>
      <c r="L6" s="124"/>
      <c r="M6" s="124"/>
      <c r="N6" s="123"/>
      <c r="O6" s="123"/>
      <c r="P6" s="123"/>
      <c r="Q6" s="123"/>
      <c r="R6" s="123"/>
      <c r="S6" s="123"/>
      <c r="T6" s="123"/>
      <c r="U6" s="123"/>
      <c r="V6" s="123"/>
      <c r="W6" s="123"/>
      <c r="X6" s="123"/>
      <c r="Y6" s="124"/>
      <c r="Z6" s="123"/>
      <c r="AA6" s="123"/>
      <c r="AB6" s="122"/>
    </row>
    <row r="7" spans="1:28" s="107" customFormat="1" ht="27.75" customHeight="1">
      <c r="A7" s="122"/>
      <c r="B7" s="123" t="s">
        <v>599</v>
      </c>
      <c r="C7" s="790" t="s">
        <v>104</v>
      </c>
      <c r="D7" s="791"/>
      <c r="E7" s="792"/>
      <c r="F7" s="791"/>
      <c r="G7" s="791"/>
      <c r="H7" s="793"/>
      <c r="I7" s="157"/>
      <c r="J7" s="798"/>
      <c r="K7" s="798"/>
      <c r="L7" s="798"/>
      <c r="M7" s="798"/>
      <c r="N7" s="799" t="s">
        <v>669</v>
      </c>
      <c r="O7" s="799"/>
      <c r="P7" s="799"/>
      <c r="Q7" s="799"/>
      <c r="R7" s="799"/>
      <c r="S7" s="799"/>
      <c r="T7" s="799"/>
      <c r="U7" s="800">
        <f>BEMSdar!E11</f>
        <v>1329813.1567500001</v>
      </c>
      <c r="V7" s="801"/>
      <c r="W7" s="801"/>
      <c r="X7" s="801"/>
      <c r="Y7" s="801"/>
      <c r="Z7" s="801"/>
      <c r="AA7" s="802"/>
      <c r="AB7" s="122"/>
    </row>
    <row r="8" spans="1:28" s="107" customFormat="1" ht="9" customHeight="1">
      <c r="A8" s="122"/>
      <c r="B8" s="123"/>
      <c r="C8" s="124"/>
      <c r="D8" s="125"/>
      <c r="E8" s="138"/>
      <c r="F8" s="125"/>
      <c r="G8" s="125"/>
      <c r="H8" s="125"/>
      <c r="I8" s="157"/>
      <c r="J8" s="157"/>
      <c r="K8" s="124"/>
      <c r="L8" s="124"/>
      <c r="M8" s="124"/>
      <c r="N8" s="165"/>
      <c r="O8" s="165"/>
      <c r="P8" s="165"/>
      <c r="Q8" s="165"/>
      <c r="R8" s="165"/>
      <c r="S8" s="165"/>
      <c r="T8" s="165"/>
      <c r="U8" s="123"/>
      <c r="V8" s="123"/>
      <c r="W8" s="123"/>
      <c r="X8" s="123"/>
      <c r="Y8" s="124"/>
      <c r="Z8" s="123"/>
      <c r="AA8" s="123"/>
      <c r="AB8" s="122"/>
    </row>
    <row r="9" spans="1:28" s="107" customFormat="1" ht="33" customHeight="1">
      <c r="A9" s="122"/>
      <c r="B9" s="123" t="s">
        <v>600</v>
      </c>
      <c r="C9" s="790" t="s">
        <v>107</v>
      </c>
      <c r="D9" s="791"/>
      <c r="E9" s="792"/>
      <c r="F9" s="791"/>
      <c r="G9" s="791"/>
      <c r="H9" s="793"/>
      <c r="I9" s="157"/>
      <c r="J9" s="798"/>
      <c r="K9" s="798"/>
      <c r="L9" s="798"/>
      <c r="M9" s="798"/>
      <c r="N9" s="799" t="s">
        <v>670</v>
      </c>
      <c r="O9" s="799"/>
      <c r="P9" s="799"/>
      <c r="Q9" s="799"/>
      <c r="R9" s="799"/>
      <c r="S9" s="799"/>
      <c r="T9" s="799"/>
      <c r="U9" s="803">
        <f>BEMSdar!E13</f>
        <v>34097.773249999998</v>
      </c>
      <c r="V9" s="803"/>
      <c r="W9" s="803"/>
      <c r="X9" s="803"/>
      <c r="Y9" s="803"/>
      <c r="Z9" s="803"/>
      <c r="AA9" s="803"/>
      <c r="AB9" s="122"/>
    </row>
    <row r="10" spans="1:28" s="108" customFormat="1" ht="22.5" customHeight="1">
      <c r="A10" s="126"/>
      <c r="B10" s="126"/>
      <c r="C10" s="127"/>
      <c r="D10" s="128"/>
      <c r="E10" s="139"/>
      <c r="F10" s="140"/>
      <c r="G10" s="127"/>
      <c r="H10" s="127"/>
      <c r="I10" s="158"/>
      <c r="J10" s="159"/>
      <c r="K10" s="127"/>
      <c r="L10" s="160"/>
      <c r="M10" s="166"/>
      <c r="N10" s="127"/>
      <c r="O10" s="127"/>
      <c r="P10" s="127"/>
      <c r="Q10" s="127"/>
      <c r="R10" s="127"/>
      <c r="S10" s="127"/>
      <c r="T10" s="127"/>
      <c r="U10" s="124"/>
      <c r="V10" s="127"/>
      <c r="W10" s="127"/>
      <c r="X10" s="127"/>
      <c r="Y10" s="127"/>
      <c r="Z10" s="127"/>
      <c r="AA10" s="127"/>
      <c r="AB10" s="126"/>
    </row>
    <row r="11" spans="1:28" s="107" customFormat="1" ht="17.399999999999999">
      <c r="A11" s="804" t="s">
        <v>111</v>
      </c>
      <c r="B11" s="804"/>
      <c r="C11" s="804"/>
      <c r="D11" s="804"/>
      <c r="E11" s="805"/>
      <c r="F11" s="804"/>
      <c r="G11" s="804"/>
      <c r="H11" s="804"/>
      <c r="I11" s="804"/>
      <c r="J11" s="804"/>
      <c r="K11" s="804"/>
      <c r="L11" s="804"/>
      <c r="M11" s="804"/>
      <c r="N11" s="124"/>
      <c r="O11" s="124"/>
      <c r="P11" s="167"/>
      <c r="Q11" s="124"/>
      <c r="R11" s="124"/>
      <c r="S11" s="124"/>
      <c r="T11" s="124"/>
      <c r="U11" s="124"/>
      <c r="V11" s="124"/>
      <c r="W11" s="124"/>
      <c r="X11" s="124"/>
      <c r="Y11" s="124"/>
      <c r="Z11" s="124"/>
      <c r="AA11" s="124"/>
      <c r="AB11" s="122"/>
    </row>
    <row r="12" spans="1:28" s="107" customFormat="1" ht="17.399999999999999">
      <c r="A12" s="804" t="s">
        <v>112</v>
      </c>
      <c r="B12" s="804"/>
      <c r="C12" s="804"/>
      <c r="D12" s="804"/>
      <c r="E12" s="805"/>
      <c r="F12" s="804"/>
      <c r="G12" s="804"/>
      <c r="H12" s="804"/>
      <c r="I12" s="804"/>
      <c r="J12" s="804"/>
      <c r="K12" s="804"/>
      <c r="L12" s="804"/>
      <c r="M12" s="804"/>
      <c r="N12" s="124"/>
      <c r="O12" s="124"/>
      <c r="P12" s="167"/>
      <c r="Q12" s="124"/>
      <c r="R12" s="124"/>
      <c r="S12" s="124"/>
      <c r="T12" s="124"/>
      <c r="U12" s="124"/>
      <c r="V12" s="124"/>
      <c r="W12" s="124"/>
      <c r="X12" s="124"/>
      <c r="Y12" s="124"/>
      <c r="Z12" s="124"/>
      <c r="AA12" s="124"/>
      <c r="AB12" s="122"/>
    </row>
    <row r="13" spans="1:28" s="107" customFormat="1" ht="17.399999999999999">
      <c r="A13" s="804" t="s">
        <v>671</v>
      </c>
      <c r="B13" s="804"/>
      <c r="C13" s="804"/>
      <c r="D13" s="804"/>
      <c r="E13" s="805"/>
      <c r="F13" s="804"/>
      <c r="G13" s="804"/>
      <c r="H13" s="804"/>
      <c r="I13" s="804"/>
      <c r="J13" s="804"/>
      <c r="K13" s="804"/>
      <c r="L13" s="804"/>
      <c r="M13" s="804"/>
      <c r="N13" s="124"/>
      <c r="O13" s="124"/>
      <c r="P13" s="167"/>
      <c r="Q13" s="124"/>
      <c r="R13" s="124"/>
      <c r="S13" s="124"/>
      <c r="T13" s="124"/>
      <c r="U13" s="124"/>
      <c r="V13" s="124"/>
      <c r="W13" s="124"/>
      <c r="X13" s="124"/>
      <c r="Y13" s="124"/>
      <c r="Z13" s="124"/>
      <c r="AA13" s="124"/>
      <c r="AB13" s="122"/>
    </row>
    <row r="14" spans="1:28" s="107" customFormat="1" ht="17.399999999999999">
      <c r="A14" s="804" t="s">
        <v>672</v>
      </c>
      <c r="B14" s="804"/>
      <c r="C14" s="804"/>
      <c r="D14" s="804"/>
      <c r="E14" s="805"/>
      <c r="F14" s="804"/>
      <c r="G14" s="804"/>
      <c r="H14" s="804"/>
      <c r="I14" s="804"/>
      <c r="J14" s="804"/>
      <c r="K14" s="804"/>
      <c r="L14" s="804"/>
      <c r="M14" s="804"/>
      <c r="N14" s="124"/>
      <c r="O14" s="124"/>
      <c r="P14" s="167"/>
      <c r="Q14" s="124"/>
      <c r="R14" s="124"/>
      <c r="S14" s="124"/>
      <c r="T14" s="124"/>
      <c r="U14" s="124"/>
      <c r="V14" s="124"/>
      <c r="W14" s="124"/>
      <c r="X14" s="124"/>
      <c r="Y14" s="124"/>
      <c r="Z14" s="124"/>
      <c r="AA14" s="124"/>
      <c r="AB14" s="122"/>
    </row>
    <row r="15" spans="1:28" s="107" customFormat="1" ht="15" customHeight="1">
      <c r="A15" s="804" t="s">
        <v>603</v>
      </c>
      <c r="B15" s="804"/>
      <c r="C15" s="804"/>
      <c r="D15" s="804"/>
      <c r="E15" s="805"/>
      <c r="F15" s="804"/>
      <c r="G15" s="804"/>
      <c r="H15" s="804"/>
      <c r="I15" s="804"/>
      <c r="J15" s="804"/>
      <c r="K15" s="804"/>
      <c r="L15" s="804"/>
      <c r="M15" s="804"/>
      <c r="N15" s="124"/>
      <c r="O15" s="124"/>
      <c r="P15" s="167"/>
      <c r="Q15" s="124"/>
      <c r="R15" s="124"/>
      <c r="S15" s="124"/>
      <c r="T15" s="124"/>
      <c r="U15" s="124"/>
      <c r="V15" s="124"/>
      <c r="W15" s="124"/>
      <c r="X15" s="124"/>
      <c r="Y15" s="124"/>
      <c r="Z15" s="124"/>
      <c r="AA15" s="124"/>
      <c r="AB15" s="122"/>
    </row>
    <row r="16" spans="1:28" s="109" customFormat="1" ht="17.399999999999999">
      <c r="A16" s="129"/>
      <c r="C16" s="130"/>
      <c r="D16" s="129"/>
      <c r="E16" s="130"/>
      <c r="F16" s="129"/>
      <c r="G16" s="130"/>
      <c r="H16" s="130"/>
      <c r="I16" s="161"/>
      <c r="J16" s="161"/>
      <c r="K16" s="130"/>
      <c r="L16" s="130"/>
      <c r="M16" s="130"/>
      <c r="N16" s="130"/>
      <c r="O16" s="130"/>
      <c r="P16" s="130"/>
      <c r="Q16" s="130"/>
      <c r="R16" s="130"/>
      <c r="S16" s="130"/>
      <c r="T16" s="130"/>
      <c r="U16" s="130"/>
      <c r="V16" s="130"/>
      <c r="W16" s="130"/>
      <c r="X16" s="130"/>
      <c r="Y16" s="130"/>
      <c r="Z16" s="130"/>
      <c r="AA16" s="183"/>
      <c r="AB16" s="129"/>
    </row>
    <row r="17" spans="1:28" s="109" customFormat="1" ht="49.05" customHeight="1">
      <c r="A17" s="810" t="s">
        <v>673</v>
      </c>
      <c r="B17" s="810" t="s">
        <v>117</v>
      </c>
      <c r="C17" s="810" t="s">
        <v>674</v>
      </c>
      <c r="D17" s="810" t="s">
        <v>675</v>
      </c>
      <c r="E17" s="812" t="s">
        <v>676</v>
      </c>
      <c r="F17" s="814" t="s">
        <v>677</v>
      </c>
      <c r="G17" s="814" t="s">
        <v>678</v>
      </c>
      <c r="H17" s="819" t="s">
        <v>679</v>
      </c>
      <c r="I17" s="819"/>
      <c r="J17" s="819"/>
      <c r="K17" s="819"/>
      <c r="L17" s="819"/>
      <c r="M17" s="819"/>
      <c r="N17" s="819"/>
      <c r="O17" s="819"/>
      <c r="P17" s="819"/>
      <c r="Q17" s="819"/>
      <c r="R17" s="819"/>
      <c r="S17" s="819"/>
      <c r="T17" s="816" t="s">
        <v>680</v>
      </c>
      <c r="U17" s="816" t="s">
        <v>681</v>
      </c>
      <c r="V17" s="816"/>
      <c r="W17" s="816" t="s">
        <v>682</v>
      </c>
      <c r="X17" s="816"/>
      <c r="Y17" s="820" t="s">
        <v>132</v>
      </c>
      <c r="Z17" s="820"/>
      <c r="AA17" s="817" t="s">
        <v>683</v>
      </c>
      <c r="AB17" s="818" t="s">
        <v>684</v>
      </c>
    </row>
    <row r="18" spans="1:28" s="110" customFormat="1" ht="20.55" customHeight="1">
      <c r="A18" s="811"/>
      <c r="B18" s="811"/>
      <c r="C18" s="811"/>
      <c r="D18" s="811"/>
      <c r="E18" s="813"/>
      <c r="F18" s="815"/>
      <c r="G18" s="815"/>
      <c r="H18" s="141" t="s">
        <v>685</v>
      </c>
      <c r="I18" s="162" t="s">
        <v>686</v>
      </c>
      <c r="J18" s="162" t="s">
        <v>687</v>
      </c>
      <c r="K18" s="141" t="s">
        <v>688</v>
      </c>
      <c r="L18" s="141" t="s">
        <v>689</v>
      </c>
      <c r="M18" s="141" t="s">
        <v>690</v>
      </c>
      <c r="N18" s="141" t="s">
        <v>691</v>
      </c>
      <c r="O18" s="141" t="s">
        <v>692</v>
      </c>
      <c r="P18" s="141" t="s">
        <v>693</v>
      </c>
      <c r="Q18" s="141" t="s">
        <v>694</v>
      </c>
      <c r="R18" s="141" t="s">
        <v>695</v>
      </c>
      <c r="S18" s="141" t="s">
        <v>696</v>
      </c>
      <c r="T18" s="816"/>
      <c r="U18" s="171" t="s">
        <v>697</v>
      </c>
      <c r="V18" s="171" t="s">
        <v>698</v>
      </c>
      <c r="W18" s="171" t="s">
        <v>697</v>
      </c>
      <c r="X18" s="171" t="s">
        <v>698</v>
      </c>
      <c r="Y18" s="141" t="s">
        <v>697</v>
      </c>
      <c r="Z18" s="184" t="s">
        <v>698</v>
      </c>
      <c r="AA18" s="817"/>
      <c r="AB18" s="818"/>
    </row>
    <row r="19" spans="1:28" s="111" customFormat="1" ht="65.099999999999994" customHeight="1">
      <c r="A19" s="131">
        <v>1</v>
      </c>
      <c r="B19" s="132" t="s">
        <v>699</v>
      </c>
      <c r="C19" s="131" t="s">
        <v>700</v>
      </c>
      <c r="D19" s="133" t="s">
        <v>663</v>
      </c>
      <c r="E19" s="142">
        <v>4510</v>
      </c>
      <c r="F19" s="143">
        <v>13</v>
      </c>
      <c r="G19" s="144">
        <v>88</v>
      </c>
      <c r="H19" s="145">
        <v>99.8273296782843</v>
      </c>
      <c r="I19" s="145">
        <v>99.78</v>
      </c>
      <c r="J19" s="495" t="s">
        <v>593</v>
      </c>
      <c r="K19" s="495" t="s">
        <v>593</v>
      </c>
      <c r="L19" s="495" t="s">
        <v>593</v>
      </c>
      <c r="M19" s="168"/>
      <c r="N19" s="145"/>
      <c r="O19" s="145"/>
      <c r="P19" s="145"/>
      <c r="Q19" s="145"/>
      <c r="R19" s="145"/>
      <c r="S19" s="145"/>
      <c r="T19" s="172">
        <f>ROUNDUP((E19/4999.99)*10,-1)</f>
        <v>10</v>
      </c>
      <c r="U19" s="174" t="s">
        <v>147</v>
      </c>
      <c r="V19" s="174" t="s">
        <v>147</v>
      </c>
      <c r="W19" s="174" t="s">
        <v>147</v>
      </c>
      <c r="X19" s="174" t="s">
        <v>147</v>
      </c>
      <c r="Y19" s="185">
        <f>IF(W19="Y",T19,0)</f>
        <v>0</v>
      </c>
      <c r="Z19" s="185">
        <f>IF(X19="Y",T19*2,0)</f>
        <v>0</v>
      </c>
      <c r="AA19" s="185">
        <f>Y19+Z19</f>
        <v>0</v>
      </c>
      <c r="AB19" s="186"/>
    </row>
    <row r="20" spans="1:28" s="111" customFormat="1" ht="65.099999999999994" customHeight="1">
      <c r="A20" s="131">
        <v>2</v>
      </c>
      <c r="B20" s="132" t="s">
        <v>701</v>
      </c>
      <c r="C20" s="131" t="s">
        <v>702</v>
      </c>
      <c r="D20" s="133" t="s">
        <v>703</v>
      </c>
      <c r="E20" s="146">
        <v>10825</v>
      </c>
      <c r="F20" s="143">
        <v>13</v>
      </c>
      <c r="G20" s="144">
        <v>88</v>
      </c>
      <c r="H20" s="145">
        <v>99.961970644887998</v>
      </c>
      <c r="I20" s="145">
        <v>99.93</v>
      </c>
      <c r="J20" s="495" t="s">
        <v>593</v>
      </c>
      <c r="K20" s="495" t="s">
        <v>593</v>
      </c>
      <c r="L20" s="495" t="s">
        <v>593</v>
      </c>
      <c r="M20" s="168"/>
      <c r="N20" s="145"/>
      <c r="O20" s="145"/>
      <c r="P20" s="145"/>
      <c r="Q20" s="145"/>
      <c r="R20" s="145"/>
      <c r="S20" s="145"/>
      <c r="T20" s="172">
        <f t="shared" ref="T20:T38" si="0">ROUNDUP((E20/4999.99)*10,-1)</f>
        <v>30</v>
      </c>
      <c r="U20" s="175" t="s">
        <v>147</v>
      </c>
      <c r="V20" s="174" t="s">
        <v>147</v>
      </c>
      <c r="W20" s="176" t="s">
        <v>147</v>
      </c>
      <c r="X20" s="176" t="s">
        <v>147</v>
      </c>
      <c r="Y20" s="185">
        <f t="shared" ref="Y20:Y37" si="1">IF(W20="Y",T20,0)</f>
        <v>0</v>
      </c>
      <c r="Z20" s="185">
        <f>IF(X20="Y",T20*2,0)</f>
        <v>0</v>
      </c>
      <c r="AA20" s="185">
        <f t="shared" ref="AA20:AA37" si="2">Y20+Z20</f>
        <v>0</v>
      </c>
      <c r="AB20" s="187"/>
    </row>
    <row r="21" spans="1:28" s="111" customFormat="1" ht="65.099999999999994" customHeight="1">
      <c r="A21" s="131">
        <v>3</v>
      </c>
      <c r="B21" s="132" t="s">
        <v>704</v>
      </c>
      <c r="C21" s="131" t="s">
        <v>702</v>
      </c>
      <c r="D21" s="133" t="s">
        <v>703</v>
      </c>
      <c r="E21" s="146">
        <v>5800</v>
      </c>
      <c r="F21" s="131">
        <v>8</v>
      </c>
      <c r="G21" s="144">
        <v>95</v>
      </c>
      <c r="H21" s="145">
        <v>99.962034016285202</v>
      </c>
      <c r="I21" s="145">
        <v>99.93</v>
      </c>
      <c r="J21" s="495" t="s">
        <v>593</v>
      </c>
      <c r="K21" s="495" t="s">
        <v>593</v>
      </c>
      <c r="L21" s="495" t="s">
        <v>593</v>
      </c>
      <c r="M21" s="168"/>
      <c r="N21" s="145"/>
      <c r="O21" s="145"/>
      <c r="P21" s="145"/>
      <c r="Q21" s="145"/>
      <c r="R21" s="145"/>
      <c r="S21" s="145"/>
      <c r="T21" s="172">
        <f t="shared" si="0"/>
        <v>20</v>
      </c>
      <c r="U21" s="175" t="s">
        <v>373</v>
      </c>
      <c r="V21" s="174" t="s">
        <v>373</v>
      </c>
      <c r="W21" s="176" t="s">
        <v>147</v>
      </c>
      <c r="X21" s="176" t="s">
        <v>147</v>
      </c>
      <c r="Y21" s="185">
        <f t="shared" si="1"/>
        <v>0</v>
      </c>
      <c r="Z21" s="185">
        <f t="shared" ref="Z21:Z37" si="3">IF(X21="Y",T21*2,0)</f>
        <v>0</v>
      </c>
      <c r="AA21" s="185">
        <f t="shared" si="2"/>
        <v>0</v>
      </c>
      <c r="AB21" s="187"/>
    </row>
    <row r="22" spans="1:28" s="111" customFormat="1" ht="65.099999999999994" customHeight="1">
      <c r="A22" s="131">
        <v>4</v>
      </c>
      <c r="B22" s="132" t="s">
        <v>262</v>
      </c>
      <c r="C22" s="132" t="s">
        <v>702</v>
      </c>
      <c r="D22" s="134" t="s">
        <v>703</v>
      </c>
      <c r="E22" s="146">
        <v>10825</v>
      </c>
      <c r="F22" s="147">
        <v>13</v>
      </c>
      <c r="G22" s="148">
        <v>88</v>
      </c>
      <c r="H22" s="149">
        <v>99.65</v>
      </c>
      <c r="I22" s="149">
        <v>99.68</v>
      </c>
      <c r="J22" s="149">
        <v>98.553172180229495</v>
      </c>
      <c r="K22" s="496" t="s">
        <v>593</v>
      </c>
      <c r="L22" s="495" t="s">
        <v>593</v>
      </c>
      <c r="M22" s="168"/>
      <c r="N22" s="149"/>
      <c r="O22" s="149"/>
      <c r="P22" s="149"/>
      <c r="Q22" s="149"/>
      <c r="R22" s="149"/>
      <c r="S22" s="149"/>
      <c r="T22" s="172">
        <f t="shared" si="0"/>
        <v>30</v>
      </c>
      <c r="U22" s="175" t="s">
        <v>147</v>
      </c>
      <c r="V22" s="174" t="s">
        <v>147</v>
      </c>
      <c r="W22" s="176" t="s">
        <v>147</v>
      </c>
      <c r="X22" s="176" t="s">
        <v>147</v>
      </c>
      <c r="Y22" s="185">
        <f t="shared" si="1"/>
        <v>0</v>
      </c>
      <c r="Z22" s="185">
        <f t="shared" si="3"/>
        <v>0</v>
      </c>
      <c r="AA22" s="185">
        <f t="shared" si="2"/>
        <v>0</v>
      </c>
      <c r="AB22" s="187"/>
    </row>
    <row r="23" spans="1:28" s="111" customFormat="1" ht="65.099999999999994" customHeight="1">
      <c r="A23" s="131">
        <v>5</v>
      </c>
      <c r="B23" s="132" t="s">
        <v>169</v>
      </c>
      <c r="C23" s="132" t="s">
        <v>702</v>
      </c>
      <c r="D23" s="134" t="s">
        <v>703</v>
      </c>
      <c r="E23" s="146">
        <v>10825</v>
      </c>
      <c r="F23" s="147">
        <v>13</v>
      </c>
      <c r="G23" s="148">
        <v>88</v>
      </c>
      <c r="H23" s="149">
        <v>99.65</v>
      </c>
      <c r="I23" s="149">
        <v>99.68</v>
      </c>
      <c r="J23" s="149">
        <v>99.330997729885496</v>
      </c>
      <c r="K23" s="149">
        <v>99.04</v>
      </c>
      <c r="L23" s="495" t="s">
        <v>593</v>
      </c>
      <c r="M23" s="168"/>
      <c r="N23" s="149" t="s">
        <v>595</v>
      </c>
      <c r="O23" s="149"/>
      <c r="P23" s="149"/>
      <c r="Q23" s="149"/>
      <c r="R23" s="149"/>
      <c r="S23" s="149"/>
      <c r="T23" s="172">
        <f t="shared" si="0"/>
        <v>30</v>
      </c>
      <c r="U23" s="175" t="s">
        <v>147</v>
      </c>
      <c r="V23" s="174" t="s">
        <v>147</v>
      </c>
      <c r="W23" s="176" t="s">
        <v>147</v>
      </c>
      <c r="X23" s="176" t="s">
        <v>147</v>
      </c>
      <c r="Y23" s="185">
        <f t="shared" si="1"/>
        <v>0</v>
      </c>
      <c r="Z23" s="185">
        <f t="shared" si="3"/>
        <v>0</v>
      </c>
      <c r="AA23" s="185">
        <f t="shared" si="2"/>
        <v>0</v>
      </c>
      <c r="AB23" s="187"/>
    </row>
    <row r="24" spans="1:28" s="111" customFormat="1" ht="65.099999999999994" customHeight="1">
      <c r="A24" s="131">
        <v>6</v>
      </c>
      <c r="B24" s="132" t="s">
        <v>705</v>
      </c>
      <c r="C24" s="132" t="s">
        <v>702</v>
      </c>
      <c r="D24" s="134" t="s">
        <v>703</v>
      </c>
      <c r="E24" s="146">
        <v>10825</v>
      </c>
      <c r="F24" s="147">
        <v>13</v>
      </c>
      <c r="G24" s="148">
        <v>88</v>
      </c>
      <c r="H24" s="149">
        <v>99.65</v>
      </c>
      <c r="I24" s="149">
        <v>99.45</v>
      </c>
      <c r="J24" s="496" t="s">
        <v>593</v>
      </c>
      <c r="K24" s="496" t="s">
        <v>593</v>
      </c>
      <c r="L24" s="495" t="s">
        <v>593</v>
      </c>
      <c r="M24" s="168"/>
      <c r="N24" s="149"/>
      <c r="O24" s="149"/>
      <c r="P24" s="149"/>
      <c r="Q24" s="149"/>
      <c r="R24" s="149"/>
      <c r="S24" s="149"/>
      <c r="T24" s="172">
        <f t="shared" si="0"/>
        <v>30</v>
      </c>
      <c r="U24" s="175" t="s">
        <v>147</v>
      </c>
      <c r="V24" s="174" t="s">
        <v>147</v>
      </c>
      <c r="W24" s="176" t="s">
        <v>147</v>
      </c>
      <c r="X24" s="176" t="s">
        <v>147</v>
      </c>
      <c r="Y24" s="185">
        <f t="shared" si="1"/>
        <v>0</v>
      </c>
      <c r="Z24" s="185">
        <f t="shared" si="3"/>
        <v>0</v>
      </c>
      <c r="AA24" s="185">
        <f t="shared" si="2"/>
        <v>0</v>
      </c>
      <c r="AB24" s="187"/>
    </row>
    <row r="25" spans="1:28" s="111" customFormat="1" ht="84">
      <c r="A25" s="131">
        <v>7</v>
      </c>
      <c r="B25" s="131" t="s">
        <v>587</v>
      </c>
      <c r="C25" s="131" t="s">
        <v>706</v>
      </c>
      <c r="D25" s="134" t="s">
        <v>707</v>
      </c>
      <c r="E25" s="146">
        <v>138350</v>
      </c>
      <c r="F25" s="143">
        <v>13</v>
      </c>
      <c r="G25" s="150">
        <v>88</v>
      </c>
      <c r="H25" s="145">
        <v>99.65</v>
      </c>
      <c r="I25" s="145">
        <v>99.56</v>
      </c>
      <c r="J25" s="495" t="s">
        <v>593</v>
      </c>
      <c r="K25" s="495" t="s">
        <v>593</v>
      </c>
      <c r="L25" s="560">
        <v>99.617707255949327</v>
      </c>
      <c r="M25" s="168"/>
      <c r="N25" s="145"/>
      <c r="O25" s="145"/>
      <c r="P25" s="145"/>
      <c r="Q25" s="145"/>
      <c r="R25" s="145"/>
      <c r="S25" s="145"/>
      <c r="T25" s="172">
        <f t="shared" si="0"/>
        <v>280</v>
      </c>
      <c r="U25" s="177" t="s">
        <v>147</v>
      </c>
      <c r="V25" s="178" t="s">
        <v>147</v>
      </c>
      <c r="W25" s="179" t="s">
        <v>147</v>
      </c>
      <c r="X25" s="179" t="s">
        <v>147</v>
      </c>
      <c r="Y25" s="185">
        <f t="shared" si="1"/>
        <v>0</v>
      </c>
      <c r="Z25" s="185">
        <f t="shared" si="3"/>
        <v>0</v>
      </c>
      <c r="AA25" s="185">
        <f t="shared" si="2"/>
        <v>0</v>
      </c>
      <c r="AB25" s="187"/>
    </row>
    <row r="26" spans="1:28" s="111" customFormat="1" ht="65.099999999999994" customHeight="1">
      <c r="A26" s="131">
        <v>8</v>
      </c>
      <c r="B26" s="131" t="s">
        <v>708</v>
      </c>
      <c r="C26" s="131" t="s">
        <v>700</v>
      </c>
      <c r="D26" s="134" t="s">
        <v>663</v>
      </c>
      <c r="E26" s="146">
        <v>4510</v>
      </c>
      <c r="F26" s="143">
        <v>13</v>
      </c>
      <c r="G26" s="144">
        <v>88</v>
      </c>
      <c r="H26" s="145">
        <v>99.65</v>
      </c>
      <c r="I26" s="145">
        <v>99.53</v>
      </c>
      <c r="J26" s="495" t="s">
        <v>593</v>
      </c>
      <c r="K26" s="495" t="s">
        <v>593</v>
      </c>
      <c r="L26" s="495" t="s">
        <v>593</v>
      </c>
      <c r="M26" s="168"/>
      <c r="N26" s="145"/>
      <c r="O26" s="145"/>
      <c r="P26" s="145"/>
      <c r="Q26" s="145"/>
      <c r="R26" s="145"/>
      <c r="S26" s="145"/>
      <c r="T26" s="172">
        <f t="shared" si="0"/>
        <v>10</v>
      </c>
      <c r="U26" s="175" t="s">
        <v>147</v>
      </c>
      <c r="V26" s="174" t="s">
        <v>147</v>
      </c>
      <c r="W26" s="176" t="s">
        <v>147</v>
      </c>
      <c r="X26" s="176" t="s">
        <v>147</v>
      </c>
      <c r="Y26" s="185">
        <f t="shared" si="1"/>
        <v>0</v>
      </c>
      <c r="Z26" s="185">
        <f t="shared" si="3"/>
        <v>0</v>
      </c>
      <c r="AA26" s="185">
        <f t="shared" si="2"/>
        <v>0</v>
      </c>
      <c r="AB26" s="187"/>
    </row>
    <row r="27" spans="1:28" s="111" customFormat="1" ht="65.099999999999994" customHeight="1">
      <c r="A27" s="131">
        <v>9</v>
      </c>
      <c r="B27" s="131" t="s">
        <v>709</v>
      </c>
      <c r="C27" s="131" t="s">
        <v>710</v>
      </c>
      <c r="D27" s="134" t="s">
        <v>711</v>
      </c>
      <c r="E27" s="146">
        <v>5000</v>
      </c>
      <c r="F27" s="143">
        <v>13</v>
      </c>
      <c r="G27" s="144">
        <v>85</v>
      </c>
      <c r="H27" s="145">
        <v>99.65</v>
      </c>
      <c r="I27" s="145">
        <v>99.35</v>
      </c>
      <c r="J27" s="495" t="s">
        <v>593</v>
      </c>
      <c r="K27" s="495" t="s">
        <v>593</v>
      </c>
      <c r="L27" s="495" t="s">
        <v>593</v>
      </c>
      <c r="M27" s="168"/>
      <c r="N27" s="145"/>
      <c r="O27" s="145"/>
      <c r="P27" s="145"/>
      <c r="Q27" s="145"/>
      <c r="R27" s="145"/>
      <c r="S27" s="145"/>
      <c r="T27" s="172">
        <f t="shared" si="0"/>
        <v>20</v>
      </c>
      <c r="U27" s="175" t="s">
        <v>147</v>
      </c>
      <c r="V27" s="174" t="s">
        <v>147</v>
      </c>
      <c r="W27" s="176" t="s">
        <v>147</v>
      </c>
      <c r="X27" s="176" t="s">
        <v>147</v>
      </c>
      <c r="Y27" s="185">
        <f t="shared" si="1"/>
        <v>0</v>
      </c>
      <c r="Z27" s="185">
        <f t="shared" si="3"/>
        <v>0</v>
      </c>
      <c r="AA27" s="185">
        <f t="shared" si="2"/>
        <v>0</v>
      </c>
      <c r="AB27" s="187"/>
    </row>
    <row r="28" spans="1:28" s="111" customFormat="1" ht="65.099999999999994" customHeight="1">
      <c r="A28" s="131">
        <v>10</v>
      </c>
      <c r="B28" s="131" t="s">
        <v>712</v>
      </c>
      <c r="C28" s="131" t="s">
        <v>713</v>
      </c>
      <c r="D28" s="134" t="s">
        <v>714</v>
      </c>
      <c r="E28" s="146">
        <v>142000</v>
      </c>
      <c r="F28" s="143">
        <v>4</v>
      </c>
      <c r="G28" s="144">
        <v>96</v>
      </c>
      <c r="H28" s="145">
        <v>99.65</v>
      </c>
      <c r="I28" s="145">
        <v>99.39</v>
      </c>
      <c r="J28" s="495" t="s">
        <v>593</v>
      </c>
      <c r="K28" s="495" t="s">
        <v>593</v>
      </c>
      <c r="L28" s="495" t="s">
        <v>593</v>
      </c>
      <c r="M28" s="168"/>
      <c r="N28" s="145"/>
      <c r="O28" s="145"/>
      <c r="P28" s="145"/>
      <c r="Q28" s="145"/>
      <c r="R28" s="145"/>
      <c r="S28" s="145"/>
      <c r="T28" s="172">
        <f t="shared" si="0"/>
        <v>290</v>
      </c>
      <c r="U28" s="175" t="s">
        <v>147</v>
      </c>
      <c r="V28" s="174" t="s">
        <v>147</v>
      </c>
      <c r="W28" s="176" t="s">
        <v>147</v>
      </c>
      <c r="X28" s="176" t="s">
        <v>147</v>
      </c>
      <c r="Y28" s="185">
        <f t="shared" si="1"/>
        <v>0</v>
      </c>
      <c r="Z28" s="185">
        <f t="shared" si="3"/>
        <v>0</v>
      </c>
      <c r="AA28" s="185">
        <f t="shared" si="2"/>
        <v>0</v>
      </c>
      <c r="AB28" s="187"/>
    </row>
    <row r="29" spans="1:28" s="111" customFormat="1" ht="66" customHeight="1">
      <c r="A29" s="131">
        <v>11</v>
      </c>
      <c r="B29" s="131" t="s">
        <v>552</v>
      </c>
      <c r="C29" s="131" t="s">
        <v>715</v>
      </c>
      <c r="D29" s="134" t="s">
        <v>716</v>
      </c>
      <c r="E29" s="146">
        <v>80000</v>
      </c>
      <c r="F29" s="131">
        <v>13</v>
      </c>
      <c r="G29" s="144">
        <v>88</v>
      </c>
      <c r="H29" s="145">
        <v>99.65</v>
      </c>
      <c r="I29" s="145">
        <v>99.35</v>
      </c>
      <c r="J29" s="495" t="s">
        <v>593</v>
      </c>
      <c r="K29" s="495" t="s">
        <v>593</v>
      </c>
      <c r="L29" s="145">
        <v>99.990963525937076</v>
      </c>
      <c r="M29" s="168"/>
      <c r="N29" s="145"/>
      <c r="O29" s="145"/>
      <c r="P29" s="145"/>
      <c r="Q29" s="145"/>
      <c r="R29" s="145"/>
      <c r="S29" s="145"/>
      <c r="T29" s="172">
        <f t="shared" si="0"/>
        <v>170</v>
      </c>
      <c r="U29" s="175" t="s">
        <v>373</v>
      </c>
      <c r="V29" s="174" t="s">
        <v>373</v>
      </c>
      <c r="W29" s="176" t="s">
        <v>147</v>
      </c>
      <c r="X29" s="176" t="s">
        <v>147</v>
      </c>
      <c r="Y29" s="185">
        <f t="shared" si="1"/>
        <v>0</v>
      </c>
      <c r="Z29" s="185">
        <f t="shared" si="3"/>
        <v>0</v>
      </c>
      <c r="AA29" s="185">
        <f t="shared" si="2"/>
        <v>0</v>
      </c>
      <c r="AB29" s="187"/>
    </row>
    <row r="30" spans="1:28" s="112" customFormat="1" ht="65.099999999999994" customHeight="1">
      <c r="A30" s="131">
        <v>12</v>
      </c>
      <c r="B30" s="132" t="s">
        <v>717</v>
      </c>
      <c r="C30" s="132" t="s">
        <v>702</v>
      </c>
      <c r="D30" s="134" t="s">
        <v>703</v>
      </c>
      <c r="E30" s="146">
        <v>3500</v>
      </c>
      <c r="F30" s="147">
        <v>5</v>
      </c>
      <c r="G30" s="148">
        <v>95</v>
      </c>
      <c r="H30" s="149">
        <v>99.65</v>
      </c>
      <c r="I30" s="149">
        <v>99.68</v>
      </c>
      <c r="J30" s="149">
        <v>99.330997729885496</v>
      </c>
      <c r="K30" s="149">
        <v>98.99</v>
      </c>
      <c r="L30" s="561" t="s">
        <v>593</v>
      </c>
      <c r="M30" s="168"/>
      <c r="N30" s="149"/>
      <c r="O30" s="149"/>
      <c r="P30" s="149"/>
      <c r="Q30" s="149"/>
      <c r="R30" s="149"/>
      <c r="S30" s="149"/>
      <c r="T30" s="172">
        <f t="shared" si="0"/>
        <v>10</v>
      </c>
      <c r="U30" s="175" t="s">
        <v>147</v>
      </c>
      <c r="V30" s="174" t="s">
        <v>147</v>
      </c>
      <c r="W30" s="176" t="s">
        <v>147</v>
      </c>
      <c r="X30" s="176" t="s">
        <v>147</v>
      </c>
      <c r="Y30" s="185">
        <f t="shared" si="1"/>
        <v>0</v>
      </c>
      <c r="Z30" s="185">
        <f t="shared" si="3"/>
        <v>0</v>
      </c>
      <c r="AA30" s="185">
        <f t="shared" si="2"/>
        <v>0</v>
      </c>
      <c r="AB30" s="187"/>
    </row>
    <row r="31" spans="1:28" s="112" customFormat="1" ht="65.099999999999994" customHeight="1">
      <c r="A31" s="564">
        <v>13</v>
      </c>
      <c r="B31" s="132" t="s">
        <v>542</v>
      </c>
      <c r="C31" s="132" t="s">
        <v>718</v>
      </c>
      <c r="D31" s="134" t="s">
        <v>719</v>
      </c>
      <c r="E31" s="146">
        <v>399000</v>
      </c>
      <c r="F31" s="147">
        <v>10</v>
      </c>
      <c r="G31" s="148">
        <v>88</v>
      </c>
      <c r="H31" s="149">
        <v>99.65</v>
      </c>
      <c r="I31" s="163" t="s">
        <v>593</v>
      </c>
      <c r="J31" s="496" t="s">
        <v>593</v>
      </c>
      <c r="K31" s="164">
        <v>99.970764194165994</v>
      </c>
      <c r="L31" s="149">
        <v>99.837830008808552</v>
      </c>
      <c r="M31" s="168"/>
      <c r="N31" s="149"/>
      <c r="O31" s="149"/>
      <c r="P31" s="149"/>
      <c r="Q31" s="149"/>
      <c r="R31" s="149"/>
      <c r="S31" s="149"/>
      <c r="T31" s="172">
        <f t="shared" si="0"/>
        <v>800</v>
      </c>
      <c r="U31" s="175" t="s">
        <v>147</v>
      </c>
      <c r="V31" s="174" t="s">
        <v>147</v>
      </c>
      <c r="W31" s="176" t="s">
        <v>147</v>
      </c>
      <c r="X31" s="176" t="s">
        <v>147</v>
      </c>
      <c r="Y31" s="185">
        <f t="shared" si="1"/>
        <v>0</v>
      </c>
      <c r="Z31" s="185">
        <f t="shared" si="3"/>
        <v>0</v>
      </c>
      <c r="AA31" s="185">
        <f t="shared" si="2"/>
        <v>0</v>
      </c>
      <c r="AB31" s="187"/>
    </row>
    <row r="32" spans="1:28" s="112" customFormat="1" ht="65.099999999999994" customHeight="1">
      <c r="A32" s="131">
        <v>14</v>
      </c>
      <c r="B32" s="132" t="s">
        <v>720</v>
      </c>
      <c r="C32" s="132" t="s">
        <v>702</v>
      </c>
      <c r="D32" s="134" t="s">
        <v>703</v>
      </c>
      <c r="E32" s="146">
        <v>10825</v>
      </c>
      <c r="F32" s="147">
        <v>13</v>
      </c>
      <c r="G32" s="148">
        <v>88</v>
      </c>
      <c r="H32" s="149">
        <v>99.65</v>
      </c>
      <c r="I32" s="149">
        <v>99.68</v>
      </c>
      <c r="J32" s="149">
        <v>99.330997729885496</v>
      </c>
      <c r="K32" s="149">
        <v>98.87</v>
      </c>
      <c r="L32" s="561" t="s">
        <v>593</v>
      </c>
      <c r="M32" s="168"/>
      <c r="N32" s="149"/>
      <c r="O32" s="149"/>
      <c r="P32" s="149"/>
      <c r="Q32" s="149"/>
      <c r="R32" s="149"/>
      <c r="S32" s="149"/>
      <c r="T32" s="172">
        <f t="shared" si="0"/>
        <v>30</v>
      </c>
      <c r="U32" s="175" t="s">
        <v>373</v>
      </c>
      <c r="V32" s="175" t="s">
        <v>147</v>
      </c>
      <c r="W32" s="175" t="s">
        <v>147</v>
      </c>
      <c r="X32" s="175" t="s">
        <v>147</v>
      </c>
      <c r="Y32" s="185">
        <f t="shared" si="1"/>
        <v>0</v>
      </c>
      <c r="Z32" s="185">
        <f t="shared" si="3"/>
        <v>0</v>
      </c>
      <c r="AA32" s="185">
        <f t="shared" si="2"/>
        <v>0</v>
      </c>
      <c r="AB32" s="188" t="s">
        <v>721</v>
      </c>
    </row>
    <row r="33" spans="1:28" s="111" customFormat="1" ht="65.099999999999994" customHeight="1">
      <c r="A33" s="131">
        <v>15</v>
      </c>
      <c r="B33" s="131" t="s">
        <v>722</v>
      </c>
      <c r="C33" s="131" t="s">
        <v>702</v>
      </c>
      <c r="D33" s="134" t="s">
        <v>703</v>
      </c>
      <c r="E33" s="146">
        <v>10825</v>
      </c>
      <c r="F33" s="143">
        <v>13</v>
      </c>
      <c r="G33" s="144">
        <v>88</v>
      </c>
      <c r="H33" s="145">
        <v>99.65</v>
      </c>
      <c r="I33" s="145">
        <v>99.61</v>
      </c>
      <c r="J33" s="495" t="s">
        <v>593</v>
      </c>
      <c r="K33" s="495" t="s">
        <v>593</v>
      </c>
      <c r="L33" s="495" t="s">
        <v>593</v>
      </c>
      <c r="M33" s="168"/>
      <c r="N33" s="145"/>
      <c r="O33" s="145"/>
      <c r="P33" s="145"/>
      <c r="Q33" s="145"/>
      <c r="R33" s="145"/>
      <c r="S33" s="145"/>
      <c r="T33" s="172">
        <f t="shared" si="0"/>
        <v>30</v>
      </c>
      <c r="U33" s="175" t="s">
        <v>147</v>
      </c>
      <c r="V33" s="174" t="s">
        <v>147</v>
      </c>
      <c r="W33" s="176" t="s">
        <v>147</v>
      </c>
      <c r="X33" s="176" t="s">
        <v>147</v>
      </c>
      <c r="Y33" s="185">
        <f t="shared" si="1"/>
        <v>0</v>
      </c>
      <c r="Z33" s="185">
        <f t="shared" si="3"/>
        <v>0</v>
      </c>
      <c r="AA33" s="185">
        <f t="shared" si="2"/>
        <v>0</v>
      </c>
      <c r="AB33" s="187"/>
    </row>
    <row r="34" spans="1:28" s="111" customFormat="1" ht="65.099999999999994" customHeight="1">
      <c r="A34" s="131">
        <v>16</v>
      </c>
      <c r="B34" s="131" t="s">
        <v>346</v>
      </c>
      <c r="C34" s="131" t="s">
        <v>723</v>
      </c>
      <c r="D34" s="134" t="s">
        <v>724</v>
      </c>
      <c r="E34" s="146">
        <v>83100</v>
      </c>
      <c r="F34" s="143">
        <v>13</v>
      </c>
      <c r="G34" s="144">
        <v>85</v>
      </c>
      <c r="H34" s="145">
        <v>99.65</v>
      </c>
      <c r="I34" s="145">
        <v>99.51</v>
      </c>
      <c r="J34" s="495" t="s">
        <v>593</v>
      </c>
      <c r="K34" s="495" t="s">
        <v>593</v>
      </c>
      <c r="L34" s="495" t="s">
        <v>593</v>
      </c>
      <c r="M34" s="168"/>
      <c r="N34" s="145"/>
      <c r="O34" s="145"/>
      <c r="P34" s="145"/>
      <c r="Q34" s="145"/>
      <c r="R34" s="145"/>
      <c r="S34" s="145"/>
      <c r="T34" s="172">
        <f t="shared" si="0"/>
        <v>170</v>
      </c>
      <c r="U34" s="175" t="s">
        <v>147</v>
      </c>
      <c r="V34" s="174" t="s">
        <v>147</v>
      </c>
      <c r="W34" s="176" t="s">
        <v>147</v>
      </c>
      <c r="X34" s="176" t="s">
        <v>147</v>
      </c>
      <c r="Y34" s="185">
        <f t="shared" si="1"/>
        <v>0</v>
      </c>
      <c r="Z34" s="185">
        <f t="shared" si="3"/>
        <v>0</v>
      </c>
      <c r="AA34" s="185">
        <f t="shared" si="2"/>
        <v>0</v>
      </c>
      <c r="AB34" s="187"/>
    </row>
    <row r="35" spans="1:28" s="113" customFormat="1" ht="65.099999999999994" customHeight="1">
      <c r="A35" s="131">
        <v>17</v>
      </c>
      <c r="B35" s="135" t="s">
        <v>725</v>
      </c>
      <c r="C35" s="135" t="s">
        <v>700</v>
      </c>
      <c r="D35" s="133" t="s">
        <v>663</v>
      </c>
      <c r="E35" s="151">
        <v>4510</v>
      </c>
      <c r="F35" s="152">
        <v>12</v>
      </c>
      <c r="G35" s="153">
        <v>88</v>
      </c>
      <c r="H35" s="154" t="s">
        <v>593</v>
      </c>
      <c r="I35" s="154">
        <v>99.8</v>
      </c>
      <c r="J35" s="164">
        <v>99.385529487706506</v>
      </c>
      <c r="K35" s="164">
        <v>99.37</v>
      </c>
      <c r="L35" s="495" t="s">
        <v>593</v>
      </c>
      <c r="M35" s="169"/>
      <c r="N35" s="164"/>
      <c r="O35" s="164"/>
      <c r="P35" s="164"/>
      <c r="Q35" s="164"/>
      <c r="R35" s="164"/>
      <c r="S35" s="164"/>
      <c r="T35" s="173">
        <f t="shared" si="0"/>
        <v>10</v>
      </c>
      <c r="U35" s="180" t="s">
        <v>147</v>
      </c>
      <c r="V35" s="180" t="s">
        <v>147</v>
      </c>
      <c r="W35" s="180" t="s">
        <v>147</v>
      </c>
      <c r="X35" s="180" t="s">
        <v>147</v>
      </c>
      <c r="Y35" s="189">
        <f t="shared" si="1"/>
        <v>0</v>
      </c>
      <c r="Z35" s="189">
        <f t="shared" si="3"/>
        <v>0</v>
      </c>
      <c r="AA35" s="189">
        <f t="shared" si="2"/>
        <v>0</v>
      </c>
      <c r="AB35" s="190"/>
    </row>
    <row r="36" spans="1:28" s="113" customFormat="1" ht="65.099999999999994" customHeight="1">
      <c r="A36" s="131">
        <v>18</v>
      </c>
      <c r="B36" s="135" t="s">
        <v>518</v>
      </c>
      <c r="C36" s="135" t="s">
        <v>726</v>
      </c>
      <c r="D36" s="133" t="s">
        <v>727</v>
      </c>
      <c r="E36" s="151">
        <v>151560</v>
      </c>
      <c r="F36" s="152">
        <v>12</v>
      </c>
      <c r="G36" s="153">
        <v>88</v>
      </c>
      <c r="H36" s="154" t="s">
        <v>593</v>
      </c>
      <c r="I36" s="154">
        <v>99.78</v>
      </c>
      <c r="J36" s="164">
        <v>99.425417498239796</v>
      </c>
      <c r="K36" s="164">
        <v>99.08</v>
      </c>
      <c r="L36" s="164">
        <v>98.970547506160472</v>
      </c>
      <c r="M36" s="169"/>
      <c r="N36" s="164"/>
      <c r="O36" s="164"/>
      <c r="P36" s="164"/>
      <c r="Q36" s="164"/>
      <c r="R36" s="164"/>
      <c r="S36" s="164"/>
      <c r="T36" s="173">
        <f t="shared" si="0"/>
        <v>310</v>
      </c>
      <c r="U36" s="181" t="s">
        <v>147</v>
      </c>
      <c r="V36" s="180" t="s">
        <v>147</v>
      </c>
      <c r="W36" s="182" t="s">
        <v>147</v>
      </c>
      <c r="X36" s="182" t="s">
        <v>147</v>
      </c>
      <c r="Y36" s="189">
        <f t="shared" si="1"/>
        <v>0</v>
      </c>
      <c r="Z36" s="189">
        <f t="shared" si="3"/>
        <v>0</v>
      </c>
      <c r="AA36" s="189">
        <f t="shared" si="2"/>
        <v>0</v>
      </c>
      <c r="AB36" s="191"/>
    </row>
    <row r="37" spans="1:28" s="113" customFormat="1" ht="64.05" customHeight="1">
      <c r="A37" s="131">
        <v>19</v>
      </c>
      <c r="B37" s="135" t="s">
        <v>524</v>
      </c>
      <c r="C37" s="135" t="s">
        <v>726</v>
      </c>
      <c r="D37" s="133" t="s">
        <v>727</v>
      </c>
      <c r="E37" s="151">
        <v>151560</v>
      </c>
      <c r="F37" s="152">
        <v>12</v>
      </c>
      <c r="G37" s="153">
        <v>88</v>
      </c>
      <c r="H37" s="154" t="s">
        <v>593</v>
      </c>
      <c r="I37" s="154">
        <v>99.9</v>
      </c>
      <c r="J37" s="164">
        <v>99.5501759513689</v>
      </c>
      <c r="K37" s="164">
        <v>99.21</v>
      </c>
      <c r="L37" s="164">
        <v>99.090819111179826</v>
      </c>
      <c r="M37" s="169"/>
      <c r="N37" s="164"/>
      <c r="O37" s="164"/>
      <c r="P37" s="164"/>
      <c r="Q37" s="164"/>
      <c r="R37" s="164"/>
      <c r="S37" s="164"/>
      <c r="T37" s="173">
        <f t="shared" si="0"/>
        <v>310</v>
      </c>
      <c r="U37" s="181" t="s">
        <v>373</v>
      </c>
      <c r="V37" s="180" t="s">
        <v>373</v>
      </c>
      <c r="W37" s="182" t="s">
        <v>147</v>
      </c>
      <c r="X37" s="182" t="s">
        <v>147</v>
      </c>
      <c r="Y37" s="189">
        <f t="shared" si="1"/>
        <v>0</v>
      </c>
      <c r="Z37" s="189">
        <f t="shared" si="3"/>
        <v>0</v>
      </c>
      <c r="AA37" s="189">
        <f t="shared" si="2"/>
        <v>0</v>
      </c>
      <c r="AB37" s="191"/>
    </row>
    <row r="38" spans="1:28" s="113" customFormat="1" ht="84">
      <c r="A38" s="131">
        <v>20</v>
      </c>
      <c r="B38" s="135" t="s">
        <v>728</v>
      </c>
      <c r="C38" s="135" t="s">
        <v>729</v>
      </c>
      <c r="D38" s="133" t="s">
        <v>730</v>
      </c>
      <c r="E38" s="155">
        <v>100000</v>
      </c>
      <c r="F38" s="135">
        <v>2</v>
      </c>
      <c r="G38" s="153">
        <v>99</v>
      </c>
      <c r="H38" s="497" t="s">
        <v>593</v>
      </c>
      <c r="I38" s="497" t="s">
        <v>593</v>
      </c>
      <c r="J38" s="164">
        <v>99.677138176310805</v>
      </c>
      <c r="K38" s="164">
        <v>99.5</v>
      </c>
      <c r="L38" s="563" t="s">
        <v>593</v>
      </c>
      <c r="M38" s="169"/>
      <c r="N38" s="164"/>
      <c r="O38" s="164"/>
      <c r="P38" s="164"/>
      <c r="Q38" s="164"/>
      <c r="R38" s="164"/>
      <c r="S38" s="164"/>
      <c r="T38" s="173">
        <f t="shared" si="0"/>
        <v>210</v>
      </c>
      <c r="U38" s="181" t="s">
        <v>147</v>
      </c>
      <c r="V38" s="181" t="s">
        <v>147</v>
      </c>
      <c r="W38" s="182" t="s">
        <v>147</v>
      </c>
      <c r="X38" s="182" t="s">
        <v>147</v>
      </c>
      <c r="Y38" s="189">
        <f t="shared" ref="Y38:Y41" si="4">IF(W38="Y",T38,0)</f>
        <v>0</v>
      </c>
      <c r="Z38" s="189">
        <f t="shared" ref="Z38:Z41" si="5">IF(X38="Y",T38*2,0)</f>
        <v>0</v>
      </c>
      <c r="AA38" s="189">
        <f t="shared" ref="AA38:AA41" si="6">Y38+Z38</f>
        <v>0</v>
      </c>
      <c r="AB38" s="191"/>
    </row>
    <row r="39" spans="1:28" s="113" customFormat="1" ht="65.099999999999994" customHeight="1">
      <c r="A39" s="131">
        <v>21</v>
      </c>
      <c r="B39" s="135" t="s">
        <v>530</v>
      </c>
      <c r="C39" s="135" t="s">
        <v>731</v>
      </c>
      <c r="D39" s="133" t="s">
        <v>732</v>
      </c>
      <c r="E39" s="151">
        <v>1149550</v>
      </c>
      <c r="F39" s="135">
        <v>13</v>
      </c>
      <c r="G39" s="153">
        <v>88</v>
      </c>
      <c r="H39" s="497" t="s">
        <v>593</v>
      </c>
      <c r="I39" s="497" t="s">
        <v>593</v>
      </c>
      <c r="J39" s="164">
        <v>99.824327732485699</v>
      </c>
      <c r="K39" s="164">
        <v>99.48</v>
      </c>
      <c r="L39" s="164">
        <v>99.330051309187112</v>
      </c>
      <c r="M39" s="169"/>
      <c r="N39" s="164"/>
      <c r="O39" s="164"/>
      <c r="P39" s="164"/>
      <c r="Q39" s="164"/>
      <c r="R39" s="164"/>
      <c r="S39" s="164"/>
      <c r="T39" s="173">
        <f t="shared" ref="T39:T57" si="7">ROUNDUP((E39/4999.99)*10,-1)</f>
        <v>2300</v>
      </c>
      <c r="U39" s="181" t="s">
        <v>147</v>
      </c>
      <c r="V39" s="181" t="s">
        <v>147</v>
      </c>
      <c r="W39" s="182" t="s">
        <v>147</v>
      </c>
      <c r="X39" s="182" t="s">
        <v>147</v>
      </c>
      <c r="Y39" s="189">
        <f t="shared" si="4"/>
        <v>0</v>
      </c>
      <c r="Z39" s="189">
        <f t="shared" si="5"/>
        <v>0</v>
      </c>
      <c r="AA39" s="189">
        <f t="shared" si="6"/>
        <v>0</v>
      </c>
      <c r="AB39" s="191"/>
    </row>
    <row r="40" spans="1:28" s="113" customFormat="1" ht="65.099999999999994" customHeight="1">
      <c r="A40" s="131">
        <v>22</v>
      </c>
      <c r="B40" s="135" t="s">
        <v>536</v>
      </c>
      <c r="C40" s="135" t="s">
        <v>700</v>
      </c>
      <c r="D40" s="133" t="s">
        <v>663</v>
      </c>
      <c r="E40" s="151">
        <v>336</v>
      </c>
      <c r="F40" s="135">
        <v>13</v>
      </c>
      <c r="G40" s="153">
        <v>88</v>
      </c>
      <c r="H40" s="497" t="s">
        <v>593</v>
      </c>
      <c r="I40" s="497" t="s">
        <v>593</v>
      </c>
      <c r="J40" s="164">
        <v>99.916395741608596</v>
      </c>
      <c r="K40" s="164">
        <v>99.58</v>
      </c>
      <c r="L40" s="164">
        <v>99.226015994122477</v>
      </c>
      <c r="M40" s="169"/>
      <c r="N40" s="164"/>
      <c r="O40" s="164"/>
      <c r="P40" s="164"/>
      <c r="Q40" s="562" t="s">
        <v>595</v>
      </c>
      <c r="R40" s="164"/>
      <c r="S40" s="164"/>
      <c r="T40" s="173">
        <f t="shared" si="7"/>
        <v>10</v>
      </c>
      <c r="U40" s="181" t="s">
        <v>373</v>
      </c>
      <c r="V40" s="181" t="s">
        <v>147</v>
      </c>
      <c r="W40" s="182" t="s">
        <v>147</v>
      </c>
      <c r="X40" s="182" t="s">
        <v>147</v>
      </c>
      <c r="Y40" s="189">
        <f t="shared" si="4"/>
        <v>0</v>
      </c>
      <c r="Z40" s="189">
        <f t="shared" si="5"/>
        <v>0</v>
      </c>
      <c r="AA40" s="189">
        <f t="shared" si="6"/>
        <v>0</v>
      </c>
      <c r="AB40" s="191"/>
    </row>
    <row r="41" spans="1:28" s="113" customFormat="1" ht="65.099999999999994" customHeight="1">
      <c r="A41" s="131">
        <v>23</v>
      </c>
      <c r="B41" s="135" t="s">
        <v>560</v>
      </c>
      <c r="C41" s="135" t="s">
        <v>733</v>
      </c>
      <c r="D41" s="133" t="s">
        <v>734</v>
      </c>
      <c r="E41" s="151">
        <v>126300</v>
      </c>
      <c r="F41" s="135">
        <v>13</v>
      </c>
      <c r="G41" s="153">
        <v>85</v>
      </c>
      <c r="H41" s="497" t="s">
        <v>593</v>
      </c>
      <c r="I41" s="497" t="s">
        <v>593</v>
      </c>
      <c r="J41" s="164">
        <v>99.925846187994296</v>
      </c>
      <c r="K41" s="164">
        <v>99.59</v>
      </c>
      <c r="L41" s="164">
        <v>99.235336288481733</v>
      </c>
      <c r="M41" s="169"/>
      <c r="N41" s="164"/>
      <c r="O41" s="164"/>
      <c r="P41" s="164"/>
      <c r="Q41" s="164"/>
      <c r="R41" s="164"/>
      <c r="S41" s="164"/>
      <c r="T41" s="173">
        <f t="shared" si="7"/>
        <v>260</v>
      </c>
      <c r="U41" s="181" t="s">
        <v>147</v>
      </c>
      <c r="V41" s="181" t="s">
        <v>147</v>
      </c>
      <c r="W41" s="182" t="s">
        <v>147</v>
      </c>
      <c r="X41" s="182" t="s">
        <v>147</v>
      </c>
      <c r="Y41" s="189">
        <f t="shared" si="4"/>
        <v>0</v>
      </c>
      <c r="Z41" s="189">
        <f t="shared" si="5"/>
        <v>0</v>
      </c>
      <c r="AA41" s="189">
        <f t="shared" si="6"/>
        <v>0</v>
      </c>
      <c r="AB41" s="191"/>
    </row>
    <row r="42" spans="1:28" s="113" customFormat="1" ht="65.099999999999994" customHeight="1">
      <c r="A42" s="131">
        <v>24</v>
      </c>
      <c r="B42" s="135" t="s">
        <v>735</v>
      </c>
      <c r="C42" s="135" t="s">
        <v>736</v>
      </c>
      <c r="D42" s="133" t="s">
        <v>737</v>
      </c>
      <c r="E42" s="151">
        <v>5410</v>
      </c>
      <c r="F42" s="135">
        <v>13</v>
      </c>
      <c r="G42" s="153">
        <v>88</v>
      </c>
      <c r="H42" s="497" t="s">
        <v>593</v>
      </c>
      <c r="I42" s="497" t="s">
        <v>593</v>
      </c>
      <c r="J42" s="164">
        <v>99.935425097510006</v>
      </c>
      <c r="K42" s="164">
        <v>99.93</v>
      </c>
      <c r="L42" s="563" t="s">
        <v>593</v>
      </c>
      <c r="M42" s="169"/>
      <c r="N42" s="164"/>
      <c r="O42" s="164"/>
      <c r="P42" s="164"/>
      <c r="Q42" s="164"/>
      <c r="R42" s="164"/>
      <c r="S42" s="164"/>
      <c r="T42" s="173">
        <f t="shared" si="7"/>
        <v>20</v>
      </c>
      <c r="U42" s="181" t="s">
        <v>373</v>
      </c>
      <c r="V42" s="181" t="s">
        <v>147</v>
      </c>
      <c r="W42" s="182" t="s">
        <v>147</v>
      </c>
      <c r="X42" s="182" t="s">
        <v>147</v>
      </c>
      <c r="Y42" s="189"/>
      <c r="Z42" s="189"/>
      <c r="AA42" s="189"/>
      <c r="AB42" s="191"/>
    </row>
    <row r="43" spans="1:28" s="113" customFormat="1" ht="82.5" customHeight="1">
      <c r="A43" s="131">
        <v>25</v>
      </c>
      <c r="B43" s="135" t="s">
        <v>738</v>
      </c>
      <c r="C43" s="135" t="s">
        <v>729</v>
      </c>
      <c r="D43" s="133" t="s">
        <v>730</v>
      </c>
      <c r="E43" s="151">
        <v>105850</v>
      </c>
      <c r="F43" s="135">
        <v>13</v>
      </c>
      <c r="G43" s="153">
        <v>88</v>
      </c>
      <c r="H43" s="497" t="s">
        <v>593</v>
      </c>
      <c r="I43" s="497" t="s">
        <v>593</v>
      </c>
      <c r="J43" s="164">
        <v>99.946763832905802</v>
      </c>
      <c r="K43" s="164">
        <v>99.95</v>
      </c>
      <c r="L43" s="563" t="s">
        <v>593</v>
      </c>
      <c r="M43" s="169"/>
      <c r="N43" s="164"/>
      <c r="O43" s="164"/>
      <c r="P43" s="164"/>
      <c r="Q43" s="164"/>
      <c r="R43" s="164"/>
      <c r="S43" s="164"/>
      <c r="T43" s="173">
        <f t="shared" si="7"/>
        <v>220</v>
      </c>
      <c r="U43" s="181" t="s">
        <v>147</v>
      </c>
      <c r="V43" s="181" t="s">
        <v>147</v>
      </c>
      <c r="W43" s="182" t="s">
        <v>147</v>
      </c>
      <c r="X43" s="182" t="s">
        <v>147</v>
      </c>
      <c r="Y43" s="189">
        <f>IF(W43="Y",T43,0)</f>
        <v>0</v>
      </c>
      <c r="Z43" s="189">
        <f>IF(X43="Y",T43*2,0)</f>
        <v>0</v>
      </c>
      <c r="AA43" s="189">
        <f>Y43+Z43</f>
        <v>0</v>
      </c>
      <c r="AB43" s="191"/>
    </row>
    <row r="44" spans="1:28" s="113" customFormat="1" ht="105">
      <c r="A44" s="131">
        <v>26</v>
      </c>
      <c r="B44" s="135" t="s">
        <v>739</v>
      </c>
      <c r="C44" s="135" t="s">
        <v>740</v>
      </c>
      <c r="D44" s="133" t="s">
        <v>741</v>
      </c>
      <c r="E44" s="151">
        <v>42100</v>
      </c>
      <c r="F44" s="135">
        <v>13</v>
      </c>
      <c r="G44" s="153">
        <v>85</v>
      </c>
      <c r="H44" s="497" t="s">
        <v>593</v>
      </c>
      <c r="I44" s="497" t="s">
        <v>593</v>
      </c>
      <c r="J44" s="164">
        <v>99.981896986561594</v>
      </c>
      <c r="K44" s="164">
        <v>99.91</v>
      </c>
      <c r="L44" s="563" t="s">
        <v>593</v>
      </c>
      <c r="M44" s="169"/>
      <c r="N44" s="164"/>
      <c r="O44" s="164"/>
      <c r="P44" s="164"/>
      <c r="Q44" s="164"/>
      <c r="R44" s="164"/>
      <c r="S44" s="164"/>
      <c r="T44" s="173">
        <f t="shared" si="7"/>
        <v>90</v>
      </c>
      <c r="U44" s="181" t="s">
        <v>147</v>
      </c>
      <c r="V44" s="181" t="s">
        <v>147</v>
      </c>
      <c r="W44" s="182" t="s">
        <v>147</v>
      </c>
      <c r="X44" s="182" t="s">
        <v>147</v>
      </c>
      <c r="Y44" s="189">
        <f>IF(W44="Y",T44,0)</f>
        <v>0</v>
      </c>
      <c r="Z44" s="189">
        <f>IF(X44="Y",T44*2,0)</f>
        <v>0</v>
      </c>
      <c r="AA44" s="189">
        <f>Y44+Z44</f>
        <v>0</v>
      </c>
      <c r="AB44" s="191"/>
    </row>
    <row r="45" spans="1:28" s="113" customFormat="1" ht="75" customHeight="1">
      <c r="A45" s="131">
        <v>27</v>
      </c>
      <c r="B45" s="136" t="s">
        <v>565</v>
      </c>
      <c r="C45" s="135" t="s">
        <v>742</v>
      </c>
      <c r="D45" s="133" t="s">
        <v>743</v>
      </c>
      <c r="E45" s="151">
        <v>28630</v>
      </c>
      <c r="F45" s="135">
        <v>13</v>
      </c>
      <c r="G45" s="153">
        <v>85</v>
      </c>
      <c r="H45" s="497" t="s">
        <v>593</v>
      </c>
      <c r="I45" s="497" t="s">
        <v>593</v>
      </c>
      <c r="J45" s="497" t="s">
        <v>593</v>
      </c>
      <c r="K45" s="164">
        <v>99.664773854493902</v>
      </c>
      <c r="L45" s="164">
        <v>99.314496614525439</v>
      </c>
      <c r="M45" s="169"/>
      <c r="N45" s="164"/>
      <c r="O45" s="164"/>
      <c r="P45" s="164"/>
      <c r="Q45" s="164"/>
      <c r="R45" s="164"/>
      <c r="S45" s="164"/>
      <c r="T45" s="173">
        <f t="shared" si="7"/>
        <v>60</v>
      </c>
      <c r="U45" s="181" t="s">
        <v>147</v>
      </c>
      <c r="V45" s="181" t="s">
        <v>147</v>
      </c>
      <c r="W45" s="182" t="s">
        <v>147</v>
      </c>
      <c r="X45" s="182" t="s">
        <v>147</v>
      </c>
      <c r="Y45" s="189">
        <f t="shared" ref="Y45:Y57" si="8">IF(W45="Y",T45,0)</f>
        <v>0</v>
      </c>
      <c r="Z45" s="189">
        <f t="shared" ref="Z45:Z57" si="9">IF(X45="Y",T45*2,0)</f>
        <v>0</v>
      </c>
      <c r="AA45" s="189">
        <f t="shared" ref="AA45:AA57" si="10">Y45+Z45</f>
        <v>0</v>
      </c>
      <c r="AB45" s="192"/>
    </row>
    <row r="46" spans="1:28" s="113" customFormat="1" ht="75" customHeight="1">
      <c r="A46" s="131">
        <v>28</v>
      </c>
      <c r="B46" s="136" t="s">
        <v>744</v>
      </c>
      <c r="C46" s="137" t="s">
        <v>745</v>
      </c>
      <c r="D46" s="133" t="s">
        <v>746</v>
      </c>
      <c r="E46" s="151">
        <v>58000</v>
      </c>
      <c r="F46" s="135">
        <v>4</v>
      </c>
      <c r="G46" s="153">
        <v>96</v>
      </c>
      <c r="H46" s="497" t="s">
        <v>593</v>
      </c>
      <c r="I46" s="497" t="s">
        <v>593</v>
      </c>
      <c r="J46" s="497" t="s">
        <v>593</v>
      </c>
      <c r="K46" s="164">
        <v>99.732224227678898</v>
      </c>
      <c r="L46" s="164">
        <v>99.381473545583603</v>
      </c>
      <c r="M46" s="169"/>
      <c r="N46" s="164"/>
      <c r="O46" s="164"/>
      <c r="P46" s="164"/>
      <c r="Q46" s="164"/>
      <c r="R46" s="164"/>
      <c r="S46" s="164"/>
      <c r="T46" s="173">
        <f t="shared" si="7"/>
        <v>120</v>
      </c>
      <c r="U46" s="181" t="s">
        <v>147</v>
      </c>
      <c r="V46" s="181" t="s">
        <v>147</v>
      </c>
      <c r="W46" s="182" t="s">
        <v>147</v>
      </c>
      <c r="X46" s="182" t="s">
        <v>147</v>
      </c>
      <c r="Y46" s="189">
        <f t="shared" si="8"/>
        <v>0</v>
      </c>
      <c r="Z46" s="189">
        <f t="shared" si="9"/>
        <v>0</v>
      </c>
      <c r="AA46" s="189">
        <f t="shared" si="10"/>
        <v>0</v>
      </c>
      <c r="AB46" s="192"/>
    </row>
    <row r="47" spans="1:28" s="113" customFormat="1" ht="75" customHeight="1">
      <c r="A47" s="131">
        <v>29</v>
      </c>
      <c r="B47" s="136" t="s">
        <v>572</v>
      </c>
      <c r="C47" s="135" t="s">
        <v>747</v>
      </c>
      <c r="D47" s="133" t="s">
        <v>748</v>
      </c>
      <c r="E47" s="151">
        <v>3557530</v>
      </c>
      <c r="F47" s="135">
        <v>13</v>
      </c>
      <c r="G47" s="153">
        <v>85</v>
      </c>
      <c r="H47" s="497" t="s">
        <v>593</v>
      </c>
      <c r="I47" s="497" t="s">
        <v>593</v>
      </c>
      <c r="J47" s="497" t="s">
        <v>593</v>
      </c>
      <c r="K47" s="164">
        <v>99.765565473445903</v>
      </c>
      <c r="L47" s="164">
        <v>99.599191893542951</v>
      </c>
      <c r="M47" s="169"/>
      <c r="N47" s="164"/>
      <c r="O47" s="164"/>
      <c r="P47" s="164"/>
      <c r="Q47" s="164"/>
      <c r="R47" s="164"/>
      <c r="S47" s="164"/>
      <c r="T47" s="173">
        <f t="shared" si="7"/>
        <v>7120</v>
      </c>
      <c r="U47" s="181" t="s">
        <v>147</v>
      </c>
      <c r="V47" s="181" t="s">
        <v>147</v>
      </c>
      <c r="W47" s="182" t="s">
        <v>147</v>
      </c>
      <c r="X47" s="182" t="s">
        <v>147</v>
      </c>
      <c r="Y47" s="189">
        <f t="shared" si="8"/>
        <v>0</v>
      </c>
      <c r="Z47" s="189">
        <f t="shared" si="9"/>
        <v>0</v>
      </c>
      <c r="AA47" s="189">
        <f t="shared" si="10"/>
        <v>0</v>
      </c>
      <c r="AB47" s="192"/>
    </row>
    <row r="48" spans="1:28" s="113" customFormat="1" ht="75" customHeight="1">
      <c r="A48" s="131">
        <v>30</v>
      </c>
      <c r="B48" s="136" t="s">
        <v>581</v>
      </c>
      <c r="C48" s="135" t="s">
        <v>742</v>
      </c>
      <c r="D48" s="133" t="s">
        <v>743</v>
      </c>
      <c r="E48" s="151">
        <v>28630</v>
      </c>
      <c r="F48" s="135">
        <v>13</v>
      </c>
      <c r="G48" s="153">
        <v>85</v>
      </c>
      <c r="H48" s="497" t="s">
        <v>593</v>
      </c>
      <c r="I48" s="497" t="s">
        <v>593</v>
      </c>
      <c r="J48" s="497" t="s">
        <v>593</v>
      </c>
      <c r="K48" s="164">
        <v>99.963396520759602</v>
      </c>
      <c r="L48" s="164">
        <v>99.611020795806326</v>
      </c>
      <c r="M48" s="169"/>
      <c r="N48" s="164"/>
      <c r="O48" s="164"/>
      <c r="P48" s="164"/>
      <c r="Q48" s="164"/>
      <c r="R48" s="164"/>
      <c r="S48" s="164"/>
      <c r="T48" s="173">
        <f t="shared" si="7"/>
        <v>60</v>
      </c>
      <c r="U48" s="181" t="s">
        <v>147</v>
      </c>
      <c r="V48" s="181" t="s">
        <v>147</v>
      </c>
      <c r="W48" s="182" t="s">
        <v>147</v>
      </c>
      <c r="X48" s="182" t="s">
        <v>147</v>
      </c>
      <c r="Y48" s="189">
        <f t="shared" si="8"/>
        <v>0</v>
      </c>
      <c r="Z48" s="189">
        <f t="shared" si="9"/>
        <v>0</v>
      </c>
      <c r="AA48" s="189">
        <f t="shared" si="10"/>
        <v>0</v>
      </c>
      <c r="AB48" s="192"/>
    </row>
    <row r="49" spans="1:30" s="113" customFormat="1" ht="84">
      <c r="A49" s="131">
        <v>31</v>
      </c>
      <c r="B49" s="136" t="s">
        <v>438</v>
      </c>
      <c r="C49" s="135" t="s">
        <v>749</v>
      </c>
      <c r="D49" s="133" t="s">
        <v>750</v>
      </c>
      <c r="E49" s="151">
        <v>1443450</v>
      </c>
      <c r="F49" s="135">
        <v>13</v>
      </c>
      <c r="G49" s="153">
        <v>85</v>
      </c>
      <c r="H49" s="497" t="s">
        <v>593</v>
      </c>
      <c r="I49" s="497" t="s">
        <v>593</v>
      </c>
      <c r="J49" s="497" t="s">
        <v>593</v>
      </c>
      <c r="K49" s="164">
        <v>99.7675380930025</v>
      </c>
      <c r="L49" s="164">
        <v>99.416539411646752</v>
      </c>
      <c r="M49" s="169"/>
      <c r="N49" s="164"/>
      <c r="O49" s="164"/>
      <c r="P49" s="164"/>
      <c r="Q49" s="164"/>
      <c r="R49" s="164"/>
      <c r="S49" s="164"/>
      <c r="T49" s="173">
        <f t="shared" si="7"/>
        <v>2890</v>
      </c>
      <c r="U49" s="181" t="s">
        <v>147</v>
      </c>
      <c r="V49" s="181" t="s">
        <v>147</v>
      </c>
      <c r="W49" s="182" t="s">
        <v>147</v>
      </c>
      <c r="X49" s="182" t="s">
        <v>147</v>
      </c>
      <c r="Y49" s="189">
        <f t="shared" si="8"/>
        <v>0</v>
      </c>
      <c r="Z49" s="189">
        <f t="shared" si="9"/>
        <v>0</v>
      </c>
      <c r="AA49" s="189">
        <f t="shared" si="10"/>
        <v>0</v>
      </c>
      <c r="AB49" s="192"/>
    </row>
    <row r="50" spans="1:30" s="113" customFormat="1" ht="84">
      <c r="A50" s="131">
        <v>32</v>
      </c>
      <c r="B50" s="136" t="s">
        <v>587</v>
      </c>
      <c r="C50" s="135" t="s">
        <v>706</v>
      </c>
      <c r="D50" s="133" t="s">
        <v>707</v>
      </c>
      <c r="E50" s="151">
        <v>138350</v>
      </c>
      <c r="F50" s="135">
        <v>13</v>
      </c>
      <c r="G50" s="153">
        <v>88</v>
      </c>
      <c r="H50" s="497" t="s">
        <v>593</v>
      </c>
      <c r="I50" s="497" t="s">
        <v>593</v>
      </c>
      <c r="J50" s="497" t="s">
        <v>593</v>
      </c>
      <c r="K50" s="164">
        <v>99.970130373115197</v>
      </c>
      <c r="L50" s="164">
        <v>99.617707255949327</v>
      </c>
      <c r="M50" s="169"/>
      <c r="N50" s="164"/>
      <c r="O50" s="164"/>
      <c r="P50" s="164"/>
      <c r="Q50" s="164"/>
      <c r="R50" s="164"/>
      <c r="S50" s="164"/>
      <c r="T50" s="173">
        <f t="shared" si="7"/>
        <v>280</v>
      </c>
      <c r="U50" s="181" t="s">
        <v>147</v>
      </c>
      <c r="V50" s="181" t="s">
        <v>147</v>
      </c>
      <c r="W50" s="182" t="s">
        <v>147</v>
      </c>
      <c r="X50" s="182" t="s">
        <v>147</v>
      </c>
      <c r="Y50" s="189">
        <f t="shared" si="8"/>
        <v>0</v>
      </c>
      <c r="Z50" s="189">
        <f t="shared" si="9"/>
        <v>0</v>
      </c>
      <c r="AA50" s="189">
        <f t="shared" si="10"/>
        <v>0</v>
      </c>
      <c r="AB50" s="192"/>
    </row>
    <row r="51" spans="1:30" s="113" customFormat="1" ht="75" customHeight="1">
      <c r="A51" s="131">
        <v>33</v>
      </c>
      <c r="B51" s="136" t="s">
        <v>548</v>
      </c>
      <c r="C51" s="135" t="s">
        <v>751</v>
      </c>
      <c r="D51" s="133" t="s">
        <v>752</v>
      </c>
      <c r="E51" s="151">
        <v>36080</v>
      </c>
      <c r="F51" s="135">
        <v>13</v>
      </c>
      <c r="G51" s="153">
        <v>85</v>
      </c>
      <c r="H51" s="497" t="s">
        <v>593</v>
      </c>
      <c r="I51" s="497" t="s">
        <v>593</v>
      </c>
      <c r="J51" s="497" t="s">
        <v>593</v>
      </c>
      <c r="K51" s="164">
        <v>99.984551790696401</v>
      </c>
      <c r="L51" s="164">
        <v>99.919917683933505</v>
      </c>
      <c r="M51" s="169"/>
      <c r="N51" s="164"/>
      <c r="O51" s="164"/>
      <c r="P51" s="164"/>
      <c r="Q51" s="164"/>
      <c r="R51" s="164"/>
      <c r="S51" s="164"/>
      <c r="T51" s="173">
        <f t="shared" si="7"/>
        <v>80</v>
      </c>
      <c r="U51" s="181" t="s">
        <v>147</v>
      </c>
      <c r="V51" s="181" t="s">
        <v>147</v>
      </c>
      <c r="W51" s="182" t="s">
        <v>147</v>
      </c>
      <c r="X51" s="182" t="s">
        <v>147</v>
      </c>
      <c r="Y51" s="189">
        <f t="shared" si="8"/>
        <v>0</v>
      </c>
      <c r="Z51" s="189">
        <f t="shared" si="9"/>
        <v>0</v>
      </c>
      <c r="AA51" s="189">
        <f t="shared" si="10"/>
        <v>0</v>
      </c>
      <c r="AB51" s="192"/>
    </row>
    <row r="52" spans="1:30" s="113" customFormat="1" ht="75" customHeight="1">
      <c r="A52" s="131">
        <v>34</v>
      </c>
      <c r="B52" s="136" t="s">
        <v>552</v>
      </c>
      <c r="C52" s="135" t="s">
        <v>715</v>
      </c>
      <c r="D52" s="133" t="s">
        <v>716</v>
      </c>
      <c r="E52" s="151">
        <v>80000</v>
      </c>
      <c r="F52" s="135">
        <v>13</v>
      </c>
      <c r="G52" s="153">
        <v>88</v>
      </c>
      <c r="H52" s="497" t="s">
        <v>593</v>
      </c>
      <c r="I52" s="497" t="s">
        <v>593</v>
      </c>
      <c r="J52" s="497" t="s">
        <v>593</v>
      </c>
      <c r="K52" s="164">
        <v>99.996678509616402</v>
      </c>
      <c r="L52" s="164">
        <v>99.990963525937076</v>
      </c>
      <c r="M52" s="169"/>
      <c r="N52" s="164"/>
      <c r="O52" s="164"/>
      <c r="P52" s="164"/>
      <c r="Q52" s="164"/>
      <c r="R52" s="164"/>
      <c r="S52" s="164"/>
      <c r="T52" s="173">
        <f t="shared" si="7"/>
        <v>170</v>
      </c>
      <c r="U52" s="181" t="s">
        <v>147</v>
      </c>
      <c r="V52" s="181" t="s">
        <v>147</v>
      </c>
      <c r="W52" s="182" t="s">
        <v>147</v>
      </c>
      <c r="X52" s="182" t="s">
        <v>147</v>
      </c>
      <c r="Y52" s="189">
        <f t="shared" si="8"/>
        <v>0</v>
      </c>
      <c r="Z52" s="189">
        <f t="shared" si="9"/>
        <v>0</v>
      </c>
      <c r="AA52" s="189">
        <f t="shared" si="10"/>
        <v>0</v>
      </c>
      <c r="AB52" s="192"/>
      <c r="AD52" s="113" t="s">
        <v>595</v>
      </c>
    </row>
    <row r="53" spans="1:30" s="113" customFormat="1" ht="75" customHeight="1">
      <c r="A53" s="131">
        <v>35</v>
      </c>
      <c r="B53" s="136" t="s">
        <v>319</v>
      </c>
      <c r="C53" s="135" t="s">
        <v>1593</v>
      </c>
      <c r="D53" s="133" t="s">
        <v>1328</v>
      </c>
      <c r="E53" s="151">
        <v>144345</v>
      </c>
      <c r="F53" s="135">
        <v>13</v>
      </c>
      <c r="G53" s="153">
        <v>88</v>
      </c>
      <c r="H53" s="497" t="s">
        <v>593</v>
      </c>
      <c r="I53" s="497" t="s">
        <v>593</v>
      </c>
      <c r="J53" s="497" t="s">
        <v>593</v>
      </c>
      <c r="K53" s="497" t="s">
        <v>593</v>
      </c>
      <c r="L53" s="164">
        <v>99.813514324454758</v>
      </c>
      <c r="M53" s="169"/>
      <c r="N53" s="164"/>
      <c r="O53" s="562" t="s">
        <v>595</v>
      </c>
      <c r="P53" s="164"/>
      <c r="Q53" s="164"/>
      <c r="R53" s="164"/>
      <c r="S53" s="164"/>
      <c r="T53" s="173">
        <f t="shared" si="7"/>
        <v>290</v>
      </c>
      <c r="U53" s="181" t="s">
        <v>147</v>
      </c>
      <c r="V53" s="181" t="s">
        <v>147</v>
      </c>
      <c r="W53" s="182" t="s">
        <v>147</v>
      </c>
      <c r="X53" s="182" t="s">
        <v>147</v>
      </c>
      <c r="Y53" s="189">
        <f t="shared" si="8"/>
        <v>0</v>
      </c>
      <c r="Z53" s="189">
        <f t="shared" si="9"/>
        <v>0</v>
      </c>
      <c r="AA53" s="189">
        <f t="shared" si="10"/>
        <v>0</v>
      </c>
      <c r="AB53" s="192"/>
    </row>
    <row r="54" spans="1:30" s="113" customFormat="1" ht="105">
      <c r="A54" s="131">
        <v>36</v>
      </c>
      <c r="B54" s="136" t="s">
        <v>343</v>
      </c>
      <c r="C54" s="135" t="s">
        <v>1594</v>
      </c>
      <c r="D54" s="556" t="s">
        <v>1592</v>
      </c>
      <c r="E54" s="151">
        <v>105860</v>
      </c>
      <c r="F54" s="135">
        <v>13</v>
      </c>
      <c r="G54" s="557">
        <v>85</v>
      </c>
      <c r="H54" s="497" t="s">
        <v>593</v>
      </c>
      <c r="I54" s="497" t="s">
        <v>593</v>
      </c>
      <c r="J54" s="497" t="s">
        <v>593</v>
      </c>
      <c r="K54" s="497" t="s">
        <v>593</v>
      </c>
      <c r="L54" s="164">
        <v>99.857659454698194</v>
      </c>
      <c r="M54" s="169"/>
      <c r="N54" s="164"/>
      <c r="O54" s="164"/>
      <c r="P54" s="164"/>
      <c r="Q54" s="164"/>
      <c r="R54" s="164"/>
      <c r="S54" s="164"/>
      <c r="T54" s="173">
        <f t="shared" si="7"/>
        <v>220</v>
      </c>
      <c r="U54" s="181" t="s">
        <v>147</v>
      </c>
      <c r="V54" s="181" t="s">
        <v>147</v>
      </c>
      <c r="W54" s="182" t="s">
        <v>147</v>
      </c>
      <c r="X54" s="182" t="s">
        <v>147</v>
      </c>
      <c r="Y54" s="189">
        <f t="shared" si="8"/>
        <v>0</v>
      </c>
      <c r="Z54" s="189">
        <f t="shared" si="9"/>
        <v>0</v>
      </c>
      <c r="AA54" s="189">
        <f t="shared" si="10"/>
        <v>0</v>
      </c>
      <c r="AB54" s="192"/>
    </row>
    <row r="55" spans="1:30" s="113" customFormat="1" ht="75" customHeight="1">
      <c r="A55" s="131">
        <v>37</v>
      </c>
      <c r="B55" s="136" t="s">
        <v>400</v>
      </c>
      <c r="C55" s="135" t="s">
        <v>1595</v>
      </c>
      <c r="D55" s="133" t="s">
        <v>617</v>
      </c>
      <c r="E55" s="151">
        <v>23270</v>
      </c>
      <c r="F55" s="135">
        <v>13</v>
      </c>
      <c r="G55" s="153">
        <v>85</v>
      </c>
      <c r="H55" s="497" t="s">
        <v>593</v>
      </c>
      <c r="I55" s="497" t="s">
        <v>593</v>
      </c>
      <c r="J55" s="497" t="s">
        <v>593</v>
      </c>
      <c r="K55" s="497" t="s">
        <v>593</v>
      </c>
      <c r="L55" s="164">
        <v>99.881237420719756</v>
      </c>
      <c r="M55" s="169"/>
      <c r="N55" s="164"/>
      <c r="O55" s="164"/>
      <c r="P55" s="164"/>
      <c r="Q55" s="164"/>
      <c r="R55" s="164"/>
      <c r="S55" s="164"/>
      <c r="T55" s="173">
        <f t="shared" si="7"/>
        <v>50</v>
      </c>
      <c r="U55" s="181" t="s">
        <v>147</v>
      </c>
      <c r="V55" s="181" t="s">
        <v>147</v>
      </c>
      <c r="W55" s="182" t="s">
        <v>147</v>
      </c>
      <c r="X55" s="182" t="s">
        <v>147</v>
      </c>
      <c r="Y55" s="189">
        <f t="shared" si="8"/>
        <v>0</v>
      </c>
      <c r="Z55" s="189">
        <f t="shared" si="9"/>
        <v>0</v>
      </c>
      <c r="AA55" s="189">
        <f t="shared" si="10"/>
        <v>0</v>
      </c>
      <c r="AB55" s="192"/>
    </row>
    <row r="56" spans="1:30" s="113" customFormat="1" ht="75" customHeight="1">
      <c r="A56" s="131">
        <v>38</v>
      </c>
      <c r="B56" s="136" t="s">
        <v>503</v>
      </c>
      <c r="C56" s="135" t="s">
        <v>1595</v>
      </c>
      <c r="D56" s="133" t="s">
        <v>617</v>
      </c>
      <c r="E56" s="151">
        <v>112855</v>
      </c>
      <c r="F56" s="135">
        <v>13</v>
      </c>
      <c r="G56" s="153">
        <v>85</v>
      </c>
      <c r="H56" s="497" t="s">
        <v>593</v>
      </c>
      <c r="I56" s="497" t="s">
        <v>593</v>
      </c>
      <c r="J56" s="497" t="s">
        <v>593</v>
      </c>
      <c r="K56" s="497" t="s">
        <v>593</v>
      </c>
      <c r="L56" s="164">
        <v>99.962168680771086</v>
      </c>
      <c r="M56" s="169"/>
      <c r="N56" s="164"/>
      <c r="O56" s="164"/>
      <c r="P56" s="164"/>
      <c r="Q56" s="164"/>
      <c r="R56" s="164"/>
      <c r="S56" s="164"/>
      <c r="T56" s="173">
        <f t="shared" si="7"/>
        <v>230</v>
      </c>
      <c r="U56" s="181" t="s">
        <v>147</v>
      </c>
      <c r="V56" s="181" t="s">
        <v>147</v>
      </c>
      <c r="W56" s="182" t="s">
        <v>147</v>
      </c>
      <c r="X56" s="182" t="s">
        <v>147</v>
      </c>
      <c r="Y56" s="189">
        <f t="shared" si="8"/>
        <v>0</v>
      </c>
      <c r="Z56" s="189">
        <f t="shared" si="9"/>
        <v>0</v>
      </c>
      <c r="AA56" s="189">
        <f t="shared" si="10"/>
        <v>0</v>
      </c>
      <c r="AB56" s="192"/>
    </row>
    <row r="57" spans="1:30" s="113" customFormat="1" ht="75" customHeight="1">
      <c r="A57" s="131">
        <v>39</v>
      </c>
      <c r="B57" s="136" t="s">
        <v>507</v>
      </c>
      <c r="C57" s="135" t="s">
        <v>1595</v>
      </c>
      <c r="D57" s="133" t="s">
        <v>617</v>
      </c>
      <c r="E57" s="151">
        <v>112855</v>
      </c>
      <c r="F57" s="135">
        <v>13</v>
      </c>
      <c r="G57" s="153">
        <v>85</v>
      </c>
      <c r="H57" s="497" t="s">
        <v>593</v>
      </c>
      <c r="I57" s="497" t="s">
        <v>593</v>
      </c>
      <c r="J57" s="497" t="s">
        <v>593</v>
      </c>
      <c r="K57" s="497" t="s">
        <v>593</v>
      </c>
      <c r="L57" s="164">
        <v>99.970764194166037</v>
      </c>
      <c r="M57" s="169"/>
      <c r="N57" s="164"/>
      <c r="O57" s="164"/>
      <c r="P57" s="164"/>
      <c r="Q57" s="164"/>
      <c r="R57" s="164"/>
      <c r="S57" s="164"/>
      <c r="T57" s="173">
        <f t="shared" si="7"/>
        <v>230</v>
      </c>
      <c r="U57" s="181" t="s">
        <v>147</v>
      </c>
      <c r="V57" s="181" t="s">
        <v>147</v>
      </c>
      <c r="W57" s="182" t="s">
        <v>147</v>
      </c>
      <c r="X57" s="182" t="s">
        <v>147</v>
      </c>
      <c r="Y57" s="189">
        <f t="shared" si="8"/>
        <v>0</v>
      </c>
      <c r="Z57" s="189">
        <f t="shared" si="9"/>
        <v>0</v>
      </c>
      <c r="AA57" s="189">
        <f t="shared" si="10"/>
        <v>0</v>
      </c>
      <c r="AB57" s="192"/>
    </row>
    <row r="58" spans="1:30" s="112" customFormat="1" ht="65.099999999999994" customHeight="1">
      <c r="A58" s="806" t="s">
        <v>753</v>
      </c>
      <c r="B58" s="807"/>
      <c r="C58" s="807"/>
      <c r="D58" s="807"/>
      <c r="E58" s="808"/>
      <c r="F58" s="807"/>
      <c r="G58" s="807"/>
      <c r="H58" s="807"/>
      <c r="I58" s="807"/>
      <c r="J58" s="807"/>
      <c r="K58" s="807"/>
      <c r="L58" s="807"/>
      <c r="M58" s="807"/>
      <c r="N58" s="807"/>
      <c r="O58" s="807"/>
      <c r="P58" s="807"/>
      <c r="Q58" s="807"/>
      <c r="R58" s="807"/>
      <c r="S58" s="807"/>
      <c r="T58" s="807"/>
      <c r="U58" s="807"/>
      <c r="V58" s="807"/>
      <c r="W58" s="807"/>
      <c r="X58" s="807"/>
      <c r="Y58" s="807"/>
      <c r="Z58" s="809"/>
      <c r="AA58" s="193">
        <f>SUM(AA19:AA34)</f>
        <v>0</v>
      </c>
      <c r="AB58" s="194"/>
    </row>
    <row r="59" spans="1:30" s="114" customFormat="1" ht="65.099999999999994" customHeight="1">
      <c r="A59" s="115"/>
      <c r="B59" s="115"/>
      <c r="C59" s="116"/>
      <c r="D59" s="115"/>
      <c r="E59" s="116"/>
      <c r="F59" s="115"/>
      <c r="G59" s="116"/>
      <c r="H59" s="116"/>
      <c r="I59" s="117"/>
      <c r="J59" s="117"/>
      <c r="K59" s="116"/>
      <c r="L59" s="116"/>
      <c r="M59" s="116"/>
      <c r="N59" s="116"/>
      <c r="O59" s="116"/>
      <c r="P59" s="116"/>
      <c r="Q59" s="116"/>
      <c r="R59" s="116" t="s">
        <v>595</v>
      </c>
      <c r="S59" s="116"/>
      <c r="T59" s="116"/>
      <c r="U59" s="116"/>
      <c r="V59" s="116"/>
      <c r="W59" s="116"/>
      <c r="X59" s="116"/>
      <c r="Y59" s="116"/>
      <c r="Z59" s="116"/>
      <c r="AA59" s="118"/>
      <c r="AB59" s="115"/>
    </row>
    <row r="60" spans="1:30" s="114" customFormat="1" ht="65.099999999999994" customHeight="1">
      <c r="A60" s="115"/>
      <c r="B60" s="115"/>
      <c r="C60" s="116"/>
      <c r="D60" s="115"/>
      <c r="E60" s="116"/>
      <c r="F60" s="115"/>
      <c r="G60" s="116"/>
      <c r="H60" s="116"/>
      <c r="I60" s="117"/>
      <c r="J60" s="117"/>
      <c r="K60" s="116"/>
      <c r="L60" s="116"/>
      <c r="M60" s="116"/>
      <c r="N60" s="116"/>
      <c r="O60" s="116"/>
      <c r="P60" s="116"/>
      <c r="Q60" s="116"/>
      <c r="R60" s="116"/>
      <c r="S60" s="116"/>
      <c r="T60" s="116"/>
      <c r="U60" s="116"/>
      <c r="V60" s="116"/>
      <c r="W60" s="116"/>
      <c r="X60" s="116"/>
      <c r="Y60" s="116"/>
      <c r="Z60" s="116"/>
      <c r="AA60" s="118"/>
      <c r="AB60" s="115"/>
    </row>
    <row r="61" spans="1:30" s="114" customFormat="1" ht="65.099999999999994" customHeight="1">
      <c r="A61" s="115"/>
      <c r="B61" s="115"/>
      <c r="C61" s="116"/>
      <c r="D61" s="115"/>
      <c r="E61" s="116"/>
      <c r="F61" s="115"/>
      <c r="G61" s="116"/>
      <c r="H61" s="116"/>
      <c r="I61" s="117"/>
      <c r="J61" s="117"/>
      <c r="K61" s="116"/>
      <c r="L61" s="116"/>
      <c r="M61" s="116"/>
      <c r="N61" s="116"/>
      <c r="O61" s="116"/>
      <c r="P61" s="116"/>
      <c r="Q61" s="116"/>
      <c r="R61" s="116"/>
      <c r="S61" s="116"/>
      <c r="T61" s="116"/>
      <c r="U61" s="116"/>
      <c r="V61" s="116"/>
      <c r="W61" s="116"/>
      <c r="X61" s="116"/>
      <c r="Y61" s="116"/>
      <c r="Z61" s="116"/>
      <c r="AA61" s="118"/>
      <c r="AB61" s="115"/>
    </row>
    <row r="62" spans="1:30" s="114" customFormat="1" ht="65.099999999999994" customHeight="1">
      <c r="A62" s="115"/>
      <c r="B62" s="115"/>
      <c r="C62" s="116"/>
      <c r="D62" s="115"/>
      <c r="E62" s="116"/>
      <c r="F62" s="115"/>
      <c r="G62" s="116"/>
      <c r="H62" s="116"/>
      <c r="I62" s="117"/>
      <c r="J62" s="117"/>
      <c r="K62" s="116"/>
      <c r="L62" s="116"/>
      <c r="M62" s="116"/>
      <c r="N62" s="116"/>
      <c r="O62" s="116"/>
      <c r="P62" s="116"/>
      <c r="Q62" s="116"/>
      <c r="R62" s="116"/>
      <c r="S62" s="116"/>
      <c r="T62" s="116"/>
      <c r="U62" s="116"/>
      <c r="V62" s="116"/>
      <c r="W62" s="116"/>
      <c r="X62" s="116"/>
      <c r="Y62" s="116"/>
      <c r="Z62" s="116"/>
      <c r="AA62" s="118"/>
      <c r="AB62" s="115"/>
    </row>
    <row r="63" spans="1:30" s="114" customFormat="1" ht="65.099999999999994" customHeight="1">
      <c r="A63" s="115"/>
      <c r="B63" s="115"/>
      <c r="C63" s="116"/>
      <c r="D63" s="115"/>
      <c r="E63" s="116"/>
      <c r="F63" s="115"/>
      <c r="G63" s="116"/>
      <c r="H63" s="116"/>
      <c r="I63" s="117"/>
      <c r="J63" s="117"/>
      <c r="K63" s="116"/>
      <c r="L63" s="116"/>
      <c r="M63" s="116"/>
      <c r="N63" s="116"/>
      <c r="O63" s="116"/>
      <c r="P63" s="116"/>
      <c r="Q63" s="116"/>
      <c r="R63" s="116"/>
      <c r="S63" s="116"/>
      <c r="T63" s="116"/>
      <c r="U63" s="116"/>
      <c r="V63" s="116"/>
      <c r="W63" s="116"/>
      <c r="X63" s="116"/>
      <c r="Y63" s="116"/>
      <c r="Z63" s="116"/>
      <c r="AA63" s="118"/>
      <c r="AB63" s="115"/>
    </row>
    <row r="64" spans="1:30" s="114" customFormat="1" ht="65.099999999999994" customHeight="1">
      <c r="A64" s="115"/>
      <c r="B64" s="115"/>
      <c r="C64" s="116"/>
      <c r="D64" s="115"/>
      <c r="E64" s="116"/>
      <c r="F64" s="115"/>
      <c r="G64" s="116"/>
      <c r="H64" s="116"/>
      <c r="I64" s="117"/>
      <c r="J64" s="117"/>
      <c r="K64" s="116"/>
      <c r="L64" s="116"/>
      <c r="M64" s="116"/>
      <c r="N64" s="116"/>
      <c r="O64" s="116"/>
      <c r="P64" s="116"/>
      <c r="Q64" s="116"/>
      <c r="R64" s="116"/>
      <c r="S64" s="116"/>
      <c r="T64" s="116"/>
      <c r="U64" s="116"/>
      <c r="V64" s="116"/>
      <c r="W64" s="116"/>
      <c r="X64" s="116"/>
      <c r="Y64" s="116"/>
      <c r="Z64" s="116"/>
      <c r="AA64" s="118"/>
      <c r="AB64" s="115"/>
    </row>
    <row r="65" spans="1:28" s="114" customFormat="1" ht="65.099999999999994" customHeight="1">
      <c r="A65" s="115"/>
      <c r="B65" s="115"/>
      <c r="C65" s="116"/>
      <c r="D65" s="115"/>
      <c r="E65" s="116"/>
      <c r="F65" s="115"/>
      <c r="G65" s="116"/>
      <c r="H65" s="116"/>
      <c r="I65" s="117"/>
      <c r="J65" s="117"/>
      <c r="K65" s="116"/>
      <c r="L65" s="116"/>
      <c r="M65" s="116"/>
      <c r="N65" s="116"/>
      <c r="O65" s="116"/>
      <c r="P65" s="116"/>
      <c r="Q65" s="116"/>
      <c r="R65" s="116"/>
      <c r="S65" s="116"/>
      <c r="T65" s="116"/>
      <c r="U65" s="116"/>
      <c r="V65" s="116"/>
      <c r="W65" s="116"/>
      <c r="X65" s="116"/>
      <c r="Y65" s="116"/>
      <c r="Z65" s="116"/>
      <c r="AA65" s="118"/>
      <c r="AB65" s="115"/>
    </row>
    <row r="66" spans="1:28" s="112" customFormat="1" ht="65.099999999999994" customHeight="1">
      <c r="A66" s="115"/>
      <c r="B66" s="115"/>
      <c r="C66" s="116"/>
      <c r="D66" s="115"/>
      <c r="E66" s="116"/>
      <c r="F66" s="115"/>
      <c r="G66" s="116"/>
      <c r="H66" s="116"/>
      <c r="I66" s="117"/>
      <c r="J66" s="117"/>
      <c r="K66" s="116"/>
      <c r="L66" s="116"/>
      <c r="M66" s="116"/>
      <c r="N66" s="116"/>
      <c r="O66" s="116"/>
      <c r="P66" s="116"/>
      <c r="Q66" s="116"/>
      <c r="R66" s="116"/>
      <c r="S66" s="116"/>
      <c r="T66" s="116"/>
      <c r="U66" s="116"/>
      <c r="V66" s="116"/>
      <c r="W66" s="116"/>
      <c r="X66" s="116"/>
      <c r="Y66" s="116"/>
      <c r="Z66" s="116"/>
      <c r="AA66" s="118"/>
      <c r="AB66" s="115"/>
    </row>
    <row r="67" spans="1:28" s="112" customFormat="1" ht="108" customHeight="1">
      <c r="A67" s="115"/>
      <c r="B67" s="115"/>
      <c r="C67" s="116"/>
      <c r="D67" s="115"/>
      <c r="E67" s="116"/>
      <c r="F67" s="115"/>
      <c r="G67" s="116"/>
      <c r="H67" s="116"/>
      <c r="I67" s="117"/>
      <c r="J67" s="117"/>
      <c r="K67" s="116"/>
      <c r="L67" s="116"/>
      <c r="M67" s="116"/>
      <c r="N67" s="116"/>
      <c r="O67" s="116"/>
      <c r="P67" s="116"/>
      <c r="Q67" s="116"/>
      <c r="R67" s="116"/>
      <c r="S67" s="116"/>
      <c r="T67" s="116"/>
      <c r="U67" s="116"/>
      <c r="V67" s="116"/>
      <c r="W67" s="116"/>
      <c r="X67" s="116"/>
      <c r="Y67" s="116"/>
      <c r="Z67" s="116"/>
      <c r="AA67" s="118"/>
      <c r="AB67" s="115"/>
    </row>
    <row r="68" spans="1:28" s="112" customFormat="1" ht="65.099999999999994" customHeight="1">
      <c r="A68" s="115"/>
      <c r="B68" s="115"/>
      <c r="C68" s="116"/>
      <c r="D68" s="115"/>
      <c r="E68" s="116"/>
      <c r="F68" s="115"/>
      <c r="G68" s="116"/>
      <c r="H68" s="116"/>
      <c r="I68" s="117"/>
      <c r="J68" s="117"/>
      <c r="K68" s="116"/>
      <c r="L68" s="116"/>
      <c r="M68" s="116"/>
      <c r="N68" s="116"/>
      <c r="O68" s="116"/>
      <c r="P68" s="116"/>
      <c r="Q68" s="116"/>
      <c r="R68" s="116"/>
      <c r="S68" s="116"/>
      <c r="T68" s="116"/>
      <c r="U68" s="116"/>
      <c r="V68" s="116"/>
      <c r="W68" s="116"/>
      <c r="X68" s="116"/>
      <c r="Y68" s="116"/>
      <c r="Z68" s="116"/>
      <c r="AA68" s="118"/>
      <c r="AB68" s="115"/>
    </row>
    <row r="69" spans="1:28" s="112" customFormat="1" ht="112.05" customHeight="1">
      <c r="A69" s="115"/>
      <c r="B69" s="115"/>
      <c r="C69" s="116"/>
      <c r="D69" s="115"/>
      <c r="E69" s="116"/>
      <c r="F69" s="115"/>
      <c r="G69" s="116"/>
      <c r="H69" s="116"/>
      <c r="I69" s="117"/>
      <c r="J69" s="117"/>
      <c r="K69" s="116"/>
      <c r="L69" s="116"/>
      <c r="M69" s="116"/>
      <c r="N69" s="116"/>
      <c r="O69" s="116"/>
      <c r="P69" s="116"/>
      <c r="Q69" s="116"/>
      <c r="R69" s="116"/>
      <c r="S69" s="116"/>
      <c r="T69" s="116"/>
      <c r="U69" s="116"/>
      <c r="V69" s="116"/>
      <c r="W69" s="116"/>
      <c r="X69" s="116"/>
      <c r="Y69" s="116"/>
      <c r="Z69" s="116"/>
      <c r="AA69" s="118"/>
      <c r="AB69" s="115"/>
    </row>
    <row r="70" spans="1:28" s="112" customFormat="1" ht="100.05" customHeight="1">
      <c r="A70" s="115"/>
      <c r="B70" s="115"/>
      <c r="C70" s="116"/>
      <c r="D70" s="115"/>
      <c r="E70" s="116"/>
      <c r="F70" s="115"/>
      <c r="G70" s="116"/>
      <c r="H70" s="116"/>
      <c r="I70" s="117"/>
      <c r="J70" s="117"/>
      <c r="K70" s="116"/>
      <c r="L70" s="116"/>
      <c r="M70" s="116"/>
      <c r="N70" s="116"/>
      <c r="O70" s="116"/>
      <c r="P70" s="116"/>
      <c r="Q70" s="116"/>
      <c r="R70" s="116"/>
      <c r="S70" s="116"/>
      <c r="T70" s="116"/>
      <c r="U70" s="116"/>
      <c r="V70" s="116"/>
      <c r="W70" s="116"/>
      <c r="X70" s="116"/>
      <c r="Y70" s="116"/>
      <c r="Z70" s="116"/>
      <c r="AA70" s="118"/>
      <c r="AB70" s="115"/>
    </row>
    <row r="71" spans="1:28" s="112" customFormat="1" ht="108" customHeight="1">
      <c r="A71" s="115"/>
      <c r="B71" s="115"/>
      <c r="C71" s="116"/>
      <c r="D71" s="115"/>
      <c r="E71" s="116"/>
      <c r="F71" s="115"/>
      <c r="G71" s="116"/>
      <c r="H71" s="116"/>
      <c r="I71" s="117"/>
      <c r="J71" s="117"/>
      <c r="K71" s="116"/>
      <c r="L71" s="116"/>
      <c r="M71" s="116"/>
      <c r="N71" s="116"/>
      <c r="O71" s="116"/>
      <c r="P71" s="116"/>
      <c r="Q71" s="116"/>
      <c r="R71" s="116"/>
      <c r="S71" s="116"/>
      <c r="T71" s="116"/>
      <c r="U71" s="116"/>
      <c r="V71" s="116"/>
      <c r="W71" s="116"/>
      <c r="X71" s="116"/>
      <c r="Y71" s="116"/>
      <c r="Z71" s="116"/>
      <c r="AA71" s="118"/>
      <c r="AB71" s="115"/>
    </row>
    <row r="72" spans="1:28" s="112" customFormat="1" ht="102.6" customHeight="1">
      <c r="A72" s="115"/>
      <c r="B72" s="115"/>
      <c r="C72" s="116"/>
      <c r="D72" s="115"/>
      <c r="E72" s="116"/>
      <c r="F72" s="115"/>
      <c r="G72" s="116"/>
      <c r="H72" s="116"/>
      <c r="I72" s="117"/>
      <c r="J72" s="117"/>
      <c r="K72" s="116"/>
      <c r="L72" s="116"/>
      <c r="M72" s="116"/>
      <c r="N72" s="116"/>
      <c r="O72" s="116"/>
      <c r="P72" s="116"/>
      <c r="Q72" s="116"/>
      <c r="R72" s="116"/>
      <c r="S72" s="116"/>
      <c r="T72" s="116"/>
      <c r="U72" s="116"/>
      <c r="V72" s="116"/>
      <c r="W72" s="116"/>
      <c r="X72" s="116"/>
      <c r="Y72" s="116"/>
      <c r="Z72" s="116"/>
      <c r="AA72" s="118"/>
      <c r="AB72" s="115"/>
    </row>
    <row r="73" spans="1:28" s="112" customFormat="1" ht="94.05" customHeight="1">
      <c r="A73" s="115"/>
      <c r="B73" s="115"/>
      <c r="C73" s="116"/>
      <c r="D73" s="115"/>
      <c r="E73" s="116"/>
      <c r="F73" s="115"/>
      <c r="G73" s="116"/>
      <c r="H73" s="116"/>
      <c r="I73" s="117"/>
      <c r="J73" s="117"/>
      <c r="K73" s="116"/>
      <c r="L73" s="116"/>
      <c r="M73" s="116"/>
      <c r="N73" s="116"/>
      <c r="O73" s="116"/>
      <c r="P73" s="116"/>
      <c r="Q73" s="116"/>
      <c r="R73" s="116"/>
      <c r="S73" s="116"/>
      <c r="T73" s="116"/>
      <c r="U73" s="116"/>
      <c r="V73" s="116"/>
      <c r="W73" s="116"/>
      <c r="X73" s="116"/>
      <c r="Y73" s="116"/>
      <c r="Z73" s="116"/>
      <c r="AA73" s="118"/>
      <c r="AB73" s="115"/>
    </row>
    <row r="74" spans="1:28" s="112" customFormat="1" ht="65.099999999999994" customHeight="1">
      <c r="A74" s="115"/>
      <c r="B74" s="115"/>
      <c r="C74" s="116"/>
      <c r="D74" s="115"/>
      <c r="E74" s="116"/>
      <c r="F74" s="115"/>
      <c r="G74" s="116"/>
      <c r="H74" s="116"/>
      <c r="I74" s="117"/>
      <c r="J74" s="117"/>
      <c r="K74" s="116"/>
      <c r="L74" s="116"/>
      <c r="M74" s="116"/>
      <c r="N74" s="116"/>
      <c r="O74" s="116"/>
      <c r="P74" s="116"/>
      <c r="Q74" s="116"/>
      <c r="R74" s="116"/>
      <c r="S74" s="116"/>
      <c r="T74" s="116"/>
      <c r="U74" s="116"/>
      <c r="V74" s="116"/>
      <c r="W74" s="116"/>
      <c r="X74" s="116"/>
      <c r="Y74" s="116"/>
      <c r="Z74" s="116"/>
      <c r="AA74" s="118"/>
      <c r="AB74" s="115"/>
    </row>
    <row r="75" spans="1:28" s="112" customFormat="1" ht="65.099999999999994" customHeight="1">
      <c r="A75" s="115"/>
      <c r="B75" s="115"/>
      <c r="C75" s="116"/>
      <c r="D75" s="115"/>
      <c r="E75" s="116"/>
      <c r="F75" s="115"/>
      <c r="G75" s="116"/>
      <c r="H75" s="116"/>
      <c r="I75" s="117"/>
      <c r="J75" s="117"/>
      <c r="K75" s="116"/>
      <c r="L75" s="116"/>
      <c r="M75" s="116"/>
      <c r="N75" s="116"/>
      <c r="O75" s="116"/>
      <c r="P75" s="116"/>
      <c r="Q75" s="116"/>
      <c r="R75" s="116"/>
      <c r="S75" s="116"/>
      <c r="T75" s="116"/>
      <c r="U75" s="116"/>
      <c r="V75" s="116"/>
      <c r="W75" s="116"/>
      <c r="X75" s="116"/>
      <c r="Y75" s="116"/>
      <c r="Z75" s="116"/>
      <c r="AA75" s="118"/>
      <c r="AB75" s="115"/>
    </row>
    <row r="76" spans="1:28" s="112" customFormat="1" ht="65.099999999999994" customHeight="1">
      <c r="A76" s="115"/>
      <c r="B76" s="115"/>
      <c r="C76" s="116"/>
      <c r="D76" s="115"/>
      <c r="E76" s="116"/>
      <c r="F76" s="115"/>
      <c r="G76" s="116"/>
      <c r="H76" s="116"/>
      <c r="I76" s="117"/>
      <c r="J76" s="117"/>
      <c r="K76" s="116"/>
      <c r="L76" s="116"/>
      <c r="M76" s="116"/>
      <c r="N76" s="116"/>
      <c r="O76" s="116"/>
      <c r="P76" s="116"/>
      <c r="Q76" s="116"/>
      <c r="R76" s="116"/>
      <c r="S76" s="116"/>
      <c r="T76" s="116"/>
      <c r="U76" s="116"/>
      <c r="V76" s="116"/>
      <c r="W76" s="116"/>
      <c r="X76" s="116"/>
      <c r="Y76" s="116"/>
      <c r="Z76" s="116"/>
      <c r="AA76" s="118"/>
      <c r="AB76" s="115"/>
    </row>
    <row r="77" spans="1:28" s="112" customFormat="1" ht="65.099999999999994" customHeight="1">
      <c r="A77" s="115"/>
      <c r="B77" s="115"/>
      <c r="C77" s="116"/>
      <c r="D77" s="115"/>
      <c r="E77" s="116"/>
      <c r="F77" s="115"/>
      <c r="G77" s="116"/>
      <c r="H77" s="116"/>
      <c r="I77" s="117"/>
      <c r="J77" s="117"/>
      <c r="K77" s="116"/>
      <c r="L77" s="116"/>
      <c r="M77" s="116"/>
      <c r="N77" s="116"/>
      <c r="O77" s="116"/>
      <c r="P77" s="116"/>
      <c r="Q77" s="116"/>
      <c r="R77" s="116"/>
      <c r="S77" s="116"/>
      <c r="T77" s="116"/>
      <c r="U77" s="116"/>
      <c r="V77" s="116"/>
      <c r="W77" s="116"/>
      <c r="X77" s="116"/>
      <c r="Y77" s="116"/>
      <c r="Z77" s="116"/>
      <c r="AA77" s="118"/>
      <c r="AB77" s="115"/>
    </row>
    <row r="78" spans="1:28" s="112" customFormat="1" ht="65.099999999999994" customHeight="1">
      <c r="A78" s="115"/>
      <c r="B78" s="115"/>
      <c r="C78" s="116"/>
      <c r="D78" s="115"/>
      <c r="E78" s="116"/>
      <c r="F78" s="115"/>
      <c r="G78" s="116"/>
      <c r="H78" s="116"/>
      <c r="I78" s="117"/>
      <c r="J78" s="117"/>
      <c r="K78" s="116"/>
      <c r="L78" s="116"/>
      <c r="M78" s="116"/>
      <c r="N78" s="116"/>
      <c r="O78" s="116"/>
      <c r="P78" s="116"/>
      <c r="Q78" s="116"/>
      <c r="R78" s="116"/>
      <c r="S78" s="116"/>
      <c r="T78" s="116"/>
      <c r="U78" s="116"/>
      <c r="V78" s="116"/>
      <c r="W78" s="116"/>
      <c r="X78" s="116"/>
      <c r="Y78" s="116"/>
      <c r="Z78" s="116"/>
      <c r="AA78" s="118"/>
      <c r="AB78" s="115"/>
    </row>
    <row r="79" spans="1:28" s="112" customFormat="1" ht="65.099999999999994" customHeight="1">
      <c r="A79" s="115"/>
      <c r="B79" s="115"/>
      <c r="C79" s="116"/>
      <c r="D79" s="115"/>
      <c r="E79" s="116"/>
      <c r="F79" s="115"/>
      <c r="G79" s="116"/>
      <c r="H79" s="116"/>
      <c r="I79" s="117"/>
      <c r="J79" s="117"/>
      <c r="K79" s="116"/>
      <c r="L79" s="116"/>
      <c r="M79" s="116"/>
      <c r="N79" s="116"/>
      <c r="O79" s="116"/>
      <c r="P79" s="116"/>
      <c r="Q79" s="116"/>
      <c r="R79" s="116"/>
      <c r="S79" s="116"/>
      <c r="T79" s="116"/>
      <c r="U79" s="116"/>
      <c r="V79" s="116"/>
      <c r="W79" s="116"/>
      <c r="X79" s="116"/>
      <c r="Y79" s="116"/>
      <c r="Z79" s="116"/>
      <c r="AA79" s="118"/>
      <c r="AB79" s="115"/>
    </row>
    <row r="80" spans="1:28" s="112" customFormat="1" ht="65.099999999999994" customHeight="1">
      <c r="A80" s="115"/>
      <c r="B80" s="115"/>
      <c r="C80" s="116"/>
      <c r="D80" s="115"/>
      <c r="E80" s="116"/>
      <c r="F80" s="115"/>
      <c r="G80" s="116"/>
      <c r="H80" s="116"/>
      <c r="I80" s="117"/>
      <c r="J80" s="117"/>
      <c r="K80" s="116"/>
      <c r="L80" s="116"/>
      <c r="M80" s="116"/>
      <c r="N80" s="116"/>
      <c r="O80" s="116"/>
      <c r="P80" s="116"/>
      <c r="Q80" s="116"/>
      <c r="R80" s="116"/>
      <c r="S80" s="116"/>
      <c r="T80" s="116"/>
      <c r="U80" s="116"/>
      <c r="V80" s="116"/>
      <c r="W80" s="116"/>
      <c r="X80" s="116"/>
      <c r="Y80" s="116"/>
      <c r="Z80" s="116"/>
      <c r="AA80" s="118"/>
      <c r="AB80" s="115"/>
    </row>
    <row r="81" spans="1:28" s="112" customFormat="1" ht="65.099999999999994" customHeight="1">
      <c r="A81" s="115"/>
      <c r="B81" s="115"/>
      <c r="C81" s="116"/>
      <c r="D81" s="115"/>
      <c r="E81" s="116"/>
      <c r="F81" s="115"/>
      <c r="G81" s="116"/>
      <c r="H81" s="116"/>
      <c r="I81" s="117"/>
      <c r="J81" s="117"/>
      <c r="K81" s="116"/>
      <c r="L81" s="116"/>
      <c r="M81" s="116"/>
      <c r="N81" s="116"/>
      <c r="O81" s="116"/>
      <c r="P81" s="116"/>
      <c r="Q81" s="116"/>
      <c r="R81" s="116"/>
      <c r="S81" s="116"/>
      <c r="T81" s="116"/>
      <c r="U81" s="116"/>
      <c r="V81" s="116"/>
      <c r="W81" s="116"/>
      <c r="X81" s="116"/>
      <c r="Y81" s="116"/>
      <c r="Z81" s="116"/>
      <c r="AA81" s="118"/>
      <c r="AB81" s="115"/>
    </row>
    <row r="82" spans="1:28" s="112" customFormat="1" ht="65.099999999999994" customHeight="1">
      <c r="A82" s="115"/>
      <c r="B82" s="115"/>
      <c r="C82" s="116"/>
      <c r="D82" s="115"/>
      <c r="E82" s="116"/>
      <c r="F82" s="115"/>
      <c r="G82" s="116"/>
      <c r="H82" s="116"/>
      <c r="I82" s="117"/>
      <c r="J82" s="117"/>
      <c r="K82" s="116"/>
      <c r="L82" s="116"/>
      <c r="M82" s="116"/>
      <c r="N82" s="116"/>
      <c r="O82" s="116"/>
      <c r="P82" s="116"/>
      <c r="Q82" s="116"/>
      <c r="R82" s="116"/>
      <c r="S82" s="116"/>
      <c r="T82" s="116"/>
      <c r="U82" s="116"/>
      <c r="V82" s="116"/>
      <c r="W82" s="116"/>
      <c r="X82" s="116"/>
      <c r="Y82" s="116"/>
      <c r="Z82" s="116"/>
      <c r="AA82" s="118"/>
      <c r="AB82" s="115"/>
    </row>
    <row r="83" spans="1:28" s="112" customFormat="1" ht="65.099999999999994" customHeight="1">
      <c r="A83" s="115"/>
      <c r="B83" s="115"/>
      <c r="C83" s="116"/>
      <c r="D83" s="115"/>
      <c r="E83" s="116"/>
      <c r="F83" s="115"/>
      <c r="G83" s="116"/>
      <c r="H83" s="116"/>
      <c r="I83" s="117"/>
      <c r="J83" s="117"/>
      <c r="K83" s="116"/>
      <c r="L83" s="116"/>
      <c r="M83" s="116"/>
      <c r="N83" s="116"/>
      <c r="O83" s="116"/>
      <c r="P83" s="116"/>
      <c r="Q83" s="116"/>
      <c r="R83" s="116"/>
      <c r="S83" s="116"/>
      <c r="T83" s="116"/>
      <c r="U83" s="116"/>
      <c r="V83" s="116"/>
      <c r="W83" s="116"/>
      <c r="X83" s="116"/>
      <c r="Y83" s="116"/>
      <c r="Z83" s="116"/>
      <c r="AA83" s="118"/>
      <c r="AB83" s="115"/>
    </row>
    <row r="84" spans="1:28" s="114" customFormat="1" ht="65.099999999999994" customHeight="1">
      <c r="A84" s="115"/>
      <c r="B84" s="115"/>
      <c r="C84" s="116"/>
      <c r="D84" s="115"/>
      <c r="E84" s="116"/>
      <c r="F84" s="115"/>
      <c r="G84" s="116"/>
      <c r="H84" s="116"/>
      <c r="I84" s="117"/>
      <c r="J84" s="117"/>
      <c r="K84" s="116"/>
      <c r="L84" s="116"/>
      <c r="M84" s="116"/>
      <c r="N84" s="149"/>
      <c r="O84" s="116"/>
      <c r="P84" s="116"/>
      <c r="Q84" s="116"/>
      <c r="R84" s="116"/>
      <c r="S84" s="116"/>
      <c r="T84" s="116"/>
      <c r="U84" s="116"/>
      <c r="V84" s="116"/>
      <c r="W84" s="116"/>
      <c r="X84" s="116"/>
      <c r="Y84" s="116"/>
      <c r="Z84" s="116"/>
      <c r="AA84" s="118"/>
      <c r="AB84" s="115"/>
    </row>
    <row r="85" spans="1:28" s="114" customFormat="1" ht="65.099999999999994" customHeight="1">
      <c r="A85" s="115"/>
      <c r="B85" s="115"/>
      <c r="C85" s="116"/>
      <c r="D85" s="115"/>
      <c r="E85" s="116"/>
      <c r="F85" s="115"/>
      <c r="G85" s="116"/>
      <c r="H85" s="116"/>
      <c r="I85" s="117"/>
      <c r="J85" s="117"/>
      <c r="K85" s="116"/>
      <c r="L85" s="116"/>
      <c r="M85" s="116"/>
      <c r="N85" s="116"/>
      <c r="O85" s="116"/>
      <c r="P85" s="116"/>
      <c r="Q85" s="116"/>
      <c r="R85" s="116"/>
      <c r="S85" s="116"/>
      <c r="T85" s="116"/>
      <c r="U85" s="116"/>
      <c r="V85" s="116"/>
      <c r="W85" s="116"/>
      <c r="X85" s="116"/>
      <c r="Y85" s="116"/>
      <c r="Z85" s="116"/>
      <c r="AA85" s="118"/>
      <c r="AB85" s="115"/>
    </row>
    <row r="86" spans="1:28" s="114" customFormat="1" ht="65.099999999999994" customHeight="1">
      <c r="A86" s="115"/>
      <c r="B86" s="115"/>
      <c r="C86" s="116"/>
      <c r="D86" s="115"/>
      <c r="E86" s="116"/>
      <c r="F86" s="115"/>
      <c r="G86" s="116"/>
      <c r="H86" s="116"/>
      <c r="I86" s="117"/>
      <c r="J86" s="117"/>
      <c r="K86" s="116"/>
      <c r="L86" s="116"/>
      <c r="M86" s="116"/>
      <c r="N86" s="116"/>
      <c r="O86" s="116"/>
      <c r="P86" s="116"/>
      <c r="Q86" s="116"/>
      <c r="R86" s="116"/>
      <c r="S86" s="116"/>
      <c r="T86" s="116"/>
      <c r="U86" s="116"/>
      <c r="V86" s="116"/>
      <c r="W86" s="116"/>
      <c r="X86" s="116"/>
      <c r="Y86" s="116"/>
      <c r="Z86" s="116"/>
      <c r="AA86" s="118"/>
      <c r="AB86" s="115"/>
    </row>
    <row r="87" spans="1:28" s="114" customFormat="1" ht="65.099999999999994" customHeight="1">
      <c r="A87" s="115"/>
      <c r="B87" s="115"/>
      <c r="C87" s="116"/>
      <c r="D87" s="115"/>
      <c r="E87" s="116"/>
      <c r="F87" s="115"/>
      <c r="G87" s="116"/>
      <c r="H87" s="116"/>
      <c r="I87" s="117"/>
      <c r="J87" s="117"/>
      <c r="K87" s="116"/>
      <c r="L87" s="116"/>
      <c r="M87" s="116"/>
      <c r="N87" s="116"/>
      <c r="O87" s="116"/>
      <c r="P87" s="116"/>
      <c r="Q87" s="116"/>
      <c r="R87" s="116"/>
      <c r="S87" s="116"/>
      <c r="T87" s="116"/>
      <c r="U87" s="116"/>
      <c r="V87" s="116"/>
      <c r="W87" s="116"/>
      <c r="X87" s="116"/>
      <c r="Y87" s="116"/>
      <c r="Z87" s="116"/>
      <c r="AA87" s="118"/>
      <c r="AB87" s="115"/>
    </row>
    <row r="88" spans="1:28" s="114" customFormat="1" ht="65.099999999999994" customHeight="1">
      <c r="A88" s="115"/>
      <c r="B88" s="115"/>
      <c r="C88" s="116"/>
      <c r="D88" s="115"/>
      <c r="E88" s="116"/>
      <c r="F88" s="115"/>
      <c r="G88" s="116"/>
      <c r="H88" s="116"/>
      <c r="I88" s="117"/>
      <c r="J88" s="117"/>
      <c r="K88" s="116"/>
      <c r="L88" s="116"/>
      <c r="M88" s="116"/>
      <c r="N88" s="116"/>
      <c r="O88" s="116"/>
      <c r="P88" s="116"/>
      <c r="Q88" s="116"/>
      <c r="R88" s="116"/>
      <c r="S88" s="116"/>
      <c r="T88" s="116"/>
      <c r="U88" s="116"/>
      <c r="V88" s="116"/>
      <c r="W88" s="116"/>
      <c r="X88" s="116"/>
      <c r="Y88" s="116"/>
      <c r="Z88" s="116"/>
      <c r="AA88" s="118"/>
      <c r="AB88" s="115"/>
    </row>
    <row r="89" spans="1:28" s="112" customFormat="1" ht="65.099999999999994" customHeight="1">
      <c r="A89" s="115"/>
      <c r="B89" s="115"/>
      <c r="C89" s="116"/>
      <c r="D89" s="115"/>
      <c r="E89" s="116"/>
      <c r="F89" s="115"/>
      <c r="G89" s="116"/>
      <c r="H89" s="116"/>
      <c r="I89" s="117"/>
      <c r="J89" s="117"/>
      <c r="K89" s="116"/>
      <c r="L89" s="116"/>
      <c r="M89" s="116"/>
      <c r="N89" s="116"/>
      <c r="O89" s="116"/>
      <c r="P89" s="116"/>
      <c r="Q89" s="116"/>
      <c r="R89" s="116"/>
      <c r="S89" s="116"/>
      <c r="T89" s="116"/>
      <c r="U89" s="116"/>
      <c r="V89" s="116"/>
      <c r="W89" s="116"/>
      <c r="X89" s="116"/>
      <c r="Y89" s="116"/>
      <c r="Z89" s="116"/>
      <c r="AA89" s="118"/>
      <c r="AB89" s="115"/>
    </row>
    <row r="90" spans="1:28" s="112" customFormat="1" ht="65.099999999999994" customHeight="1">
      <c r="A90" s="115"/>
      <c r="B90" s="115"/>
      <c r="C90" s="116"/>
      <c r="D90" s="115"/>
      <c r="E90" s="116"/>
      <c r="F90" s="115"/>
      <c r="G90" s="116"/>
      <c r="H90" s="116"/>
      <c r="I90" s="117"/>
      <c r="J90" s="117"/>
      <c r="K90" s="116"/>
      <c r="L90" s="116"/>
      <c r="M90" s="116"/>
      <c r="N90" s="116"/>
      <c r="O90" s="116"/>
      <c r="P90" s="116"/>
      <c r="Q90" s="116"/>
      <c r="R90" s="116"/>
      <c r="S90" s="116"/>
      <c r="T90" s="116"/>
      <c r="U90" s="116"/>
      <c r="V90" s="116"/>
      <c r="W90" s="116"/>
      <c r="X90" s="116"/>
      <c r="Y90" s="116"/>
      <c r="Z90" s="116"/>
      <c r="AA90" s="118"/>
      <c r="AB90" s="115"/>
    </row>
    <row r="91" spans="1:28" s="112" customFormat="1" ht="65.099999999999994" customHeight="1">
      <c r="A91" s="115"/>
      <c r="B91" s="115"/>
      <c r="C91" s="116"/>
      <c r="D91" s="115"/>
      <c r="E91" s="116"/>
      <c r="F91" s="115"/>
      <c r="G91" s="116"/>
      <c r="H91" s="116"/>
      <c r="I91" s="117"/>
      <c r="J91" s="117"/>
      <c r="K91" s="116"/>
      <c r="L91" s="116"/>
      <c r="M91" s="116"/>
      <c r="N91" s="116"/>
      <c r="O91" s="116"/>
      <c r="P91" s="116"/>
      <c r="Q91" s="116"/>
      <c r="R91" s="116"/>
      <c r="S91" s="116"/>
      <c r="T91" s="116"/>
      <c r="U91" s="116"/>
      <c r="V91" s="116"/>
      <c r="W91" s="116"/>
      <c r="X91" s="116"/>
      <c r="Y91" s="116"/>
      <c r="Z91" s="116"/>
      <c r="AA91" s="118"/>
      <c r="AB91" s="115"/>
    </row>
    <row r="92" spans="1:28" s="112" customFormat="1" ht="65.099999999999994" customHeight="1">
      <c r="A92" s="115"/>
      <c r="B92" s="115"/>
      <c r="C92" s="116"/>
      <c r="D92" s="115"/>
      <c r="E92" s="116"/>
      <c r="F92" s="115"/>
      <c r="G92" s="116"/>
      <c r="H92" s="116"/>
      <c r="I92" s="117"/>
      <c r="J92" s="117"/>
      <c r="K92" s="116"/>
      <c r="L92" s="116"/>
      <c r="M92" s="116"/>
      <c r="N92" s="116"/>
      <c r="O92" s="116"/>
      <c r="P92" s="116"/>
      <c r="Q92" s="116"/>
      <c r="R92" s="116"/>
      <c r="S92" s="116"/>
      <c r="T92" s="116"/>
      <c r="U92" s="116"/>
      <c r="V92" s="116"/>
      <c r="W92" s="116"/>
      <c r="X92" s="116"/>
      <c r="Y92" s="116"/>
      <c r="Z92" s="116"/>
      <c r="AA92" s="118"/>
      <c r="AB92" s="115"/>
    </row>
    <row r="93" spans="1:28" s="112" customFormat="1" ht="65.099999999999994" customHeight="1">
      <c r="A93" s="115"/>
      <c r="B93" s="115"/>
      <c r="C93" s="116"/>
      <c r="D93" s="115"/>
      <c r="E93" s="116"/>
      <c r="F93" s="115"/>
      <c r="G93" s="116"/>
      <c r="H93" s="116"/>
      <c r="I93" s="117"/>
      <c r="J93" s="117"/>
      <c r="K93" s="116"/>
      <c r="L93" s="116"/>
      <c r="M93" s="116"/>
      <c r="N93" s="116"/>
      <c r="O93" s="116"/>
      <c r="P93" s="116"/>
      <c r="Q93" s="116"/>
      <c r="R93" s="116"/>
      <c r="S93" s="116"/>
      <c r="T93" s="116"/>
      <c r="U93" s="116"/>
      <c r="V93" s="116"/>
      <c r="W93" s="116"/>
      <c r="X93" s="116"/>
      <c r="Y93" s="116"/>
      <c r="Z93" s="116"/>
      <c r="AA93" s="118"/>
      <c r="AB93" s="115"/>
    </row>
    <row r="94" spans="1:28" s="112" customFormat="1" ht="65.099999999999994" customHeight="1">
      <c r="A94" s="115"/>
      <c r="B94" s="115"/>
      <c r="C94" s="116"/>
      <c r="D94" s="115"/>
      <c r="E94" s="116"/>
      <c r="F94" s="115"/>
      <c r="G94" s="116"/>
      <c r="H94" s="116"/>
      <c r="I94" s="117"/>
      <c r="J94" s="117"/>
      <c r="K94" s="116"/>
      <c r="L94" s="116"/>
      <c r="M94" s="116"/>
      <c r="N94" s="116"/>
      <c r="O94" s="116"/>
      <c r="P94" s="116"/>
      <c r="Q94" s="116"/>
      <c r="R94" s="116"/>
      <c r="S94" s="116"/>
      <c r="T94" s="116"/>
      <c r="U94" s="116"/>
      <c r="V94" s="116"/>
      <c r="W94" s="116"/>
      <c r="X94" s="116"/>
      <c r="Y94" s="116"/>
      <c r="Z94" s="116"/>
      <c r="AA94" s="118"/>
      <c r="AB94" s="115"/>
    </row>
    <row r="95" spans="1:28" s="112" customFormat="1" ht="65.099999999999994" customHeight="1">
      <c r="A95" s="115"/>
      <c r="B95" s="115"/>
      <c r="C95" s="116"/>
      <c r="D95" s="115"/>
      <c r="E95" s="116"/>
      <c r="F95" s="115"/>
      <c r="G95" s="116"/>
      <c r="H95" s="116"/>
      <c r="I95" s="117"/>
      <c r="J95" s="117"/>
      <c r="K95" s="116"/>
      <c r="L95" s="116"/>
      <c r="M95" s="116"/>
      <c r="N95" s="116"/>
      <c r="O95" s="116"/>
      <c r="P95" s="116"/>
      <c r="Q95" s="116"/>
      <c r="R95" s="116"/>
      <c r="S95" s="116"/>
      <c r="T95" s="116"/>
      <c r="U95" s="116"/>
      <c r="V95" s="116"/>
      <c r="W95" s="116"/>
      <c r="X95" s="116"/>
      <c r="Y95" s="116"/>
      <c r="Z95" s="116"/>
      <c r="AA95" s="118"/>
      <c r="AB95" s="115"/>
    </row>
    <row r="96" spans="1:28" s="112" customFormat="1" ht="65.099999999999994" customHeight="1">
      <c r="A96" s="115"/>
      <c r="B96" s="115"/>
      <c r="C96" s="116"/>
      <c r="D96" s="115"/>
      <c r="E96" s="116"/>
      <c r="F96" s="115"/>
      <c r="G96" s="116"/>
      <c r="H96" s="116"/>
      <c r="I96" s="117"/>
      <c r="J96" s="117"/>
      <c r="K96" s="116"/>
      <c r="L96" s="116"/>
      <c r="M96" s="116"/>
      <c r="N96" s="116"/>
      <c r="O96" s="116"/>
      <c r="P96" s="116"/>
      <c r="Q96" s="116"/>
      <c r="R96" s="116"/>
      <c r="S96" s="116"/>
      <c r="T96" s="116"/>
      <c r="U96" s="116"/>
      <c r="V96" s="116"/>
      <c r="W96" s="116"/>
      <c r="X96" s="116"/>
      <c r="Y96" s="116"/>
      <c r="Z96" s="116"/>
      <c r="AA96" s="118"/>
      <c r="AB96" s="115"/>
    </row>
    <row r="97" spans="1:28" s="112" customFormat="1" ht="65.099999999999994" customHeight="1">
      <c r="A97" s="115"/>
      <c r="B97" s="115"/>
      <c r="C97" s="116"/>
      <c r="D97" s="115"/>
      <c r="E97" s="116"/>
      <c r="F97" s="115"/>
      <c r="G97" s="116"/>
      <c r="H97" s="116"/>
      <c r="I97" s="117"/>
      <c r="J97" s="117"/>
      <c r="K97" s="116"/>
      <c r="L97" s="116"/>
      <c r="M97" s="116"/>
      <c r="N97" s="116"/>
      <c r="O97" s="116"/>
      <c r="P97" s="116"/>
      <c r="Q97" s="116"/>
      <c r="R97" s="116"/>
      <c r="S97" s="116"/>
      <c r="T97" s="116"/>
      <c r="U97" s="116"/>
      <c r="V97" s="116"/>
      <c r="W97" s="116"/>
      <c r="X97" s="116"/>
      <c r="Y97" s="116"/>
      <c r="Z97" s="116"/>
      <c r="AA97" s="118"/>
      <c r="AB97" s="115"/>
    </row>
    <row r="98" spans="1:28" s="112" customFormat="1" ht="65.099999999999994" customHeight="1">
      <c r="A98" s="115"/>
      <c r="B98" s="115"/>
      <c r="C98" s="116"/>
      <c r="D98" s="115"/>
      <c r="E98" s="116"/>
      <c r="F98" s="115"/>
      <c r="G98" s="116"/>
      <c r="H98" s="116"/>
      <c r="I98" s="117"/>
      <c r="J98" s="117"/>
      <c r="K98" s="116"/>
      <c r="L98" s="116"/>
      <c r="M98" s="116"/>
      <c r="N98" s="116"/>
      <c r="O98" s="116"/>
      <c r="P98" s="116"/>
      <c r="Q98" s="116"/>
      <c r="R98" s="116"/>
      <c r="S98" s="116"/>
      <c r="T98" s="116"/>
      <c r="U98" s="116"/>
      <c r="V98" s="116"/>
      <c r="W98" s="116"/>
      <c r="X98" s="116"/>
      <c r="Y98" s="116"/>
      <c r="Z98" s="116"/>
      <c r="AA98" s="118"/>
      <c r="AB98" s="115"/>
    </row>
    <row r="99" spans="1:28" s="112" customFormat="1" ht="65.099999999999994" customHeight="1">
      <c r="A99" s="115"/>
      <c r="B99" s="115"/>
      <c r="C99" s="116"/>
      <c r="D99" s="115"/>
      <c r="E99" s="116"/>
      <c r="F99" s="115"/>
      <c r="G99" s="116"/>
      <c r="H99" s="116"/>
      <c r="I99" s="117"/>
      <c r="J99" s="117"/>
      <c r="K99" s="116"/>
      <c r="L99" s="116"/>
      <c r="M99" s="116"/>
      <c r="N99" s="116"/>
      <c r="O99" s="116"/>
      <c r="P99" s="116"/>
      <c r="Q99" s="116"/>
      <c r="R99" s="116"/>
      <c r="S99" s="116"/>
      <c r="T99" s="116"/>
      <c r="U99" s="116"/>
      <c r="V99" s="116"/>
      <c r="W99" s="116"/>
      <c r="X99" s="116"/>
      <c r="Y99" s="116"/>
      <c r="Z99" s="116"/>
      <c r="AA99" s="118"/>
      <c r="AB99" s="115"/>
    </row>
    <row r="100" spans="1:28" s="112" customFormat="1" ht="65.099999999999994" customHeight="1">
      <c r="A100" s="115"/>
      <c r="B100" s="115"/>
      <c r="C100" s="116"/>
      <c r="D100" s="115"/>
      <c r="E100" s="116"/>
      <c r="F100" s="115"/>
      <c r="G100" s="116"/>
      <c r="H100" s="116"/>
      <c r="I100" s="117"/>
      <c r="J100" s="117"/>
      <c r="K100" s="116"/>
      <c r="L100" s="116"/>
      <c r="M100" s="116"/>
      <c r="N100" s="116"/>
      <c r="O100" s="116"/>
      <c r="P100" s="116"/>
      <c r="Q100" s="116"/>
      <c r="R100" s="116"/>
      <c r="S100" s="116"/>
      <c r="T100" s="116"/>
      <c r="U100" s="116"/>
      <c r="V100" s="116"/>
      <c r="W100" s="116"/>
      <c r="X100" s="116"/>
      <c r="Y100" s="116"/>
      <c r="Z100" s="116"/>
      <c r="AA100" s="118"/>
      <c r="AB100" s="115"/>
    </row>
    <row r="101" spans="1:28" s="112" customFormat="1" ht="65.099999999999994" customHeight="1">
      <c r="A101" s="115"/>
      <c r="B101" s="115"/>
      <c r="C101" s="116"/>
      <c r="D101" s="115"/>
      <c r="E101" s="116"/>
      <c r="F101" s="115"/>
      <c r="G101" s="116"/>
      <c r="H101" s="116"/>
      <c r="I101" s="117"/>
      <c r="J101" s="117"/>
      <c r="K101" s="116"/>
      <c r="L101" s="116"/>
      <c r="M101" s="116"/>
      <c r="N101" s="116"/>
      <c r="O101" s="116"/>
      <c r="P101" s="116"/>
      <c r="Q101" s="116"/>
      <c r="R101" s="116"/>
      <c r="S101" s="116"/>
      <c r="T101" s="116"/>
      <c r="U101" s="116"/>
      <c r="V101" s="116"/>
      <c r="W101" s="116"/>
      <c r="X101" s="116"/>
      <c r="Y101" s="116"/>
      <c r="Z101" s="116"/>
      <c r="AA101" s="118"/>
      <c r="AB101" s="115"/>
    </row>
    <row r="102" spans="1:28" s="112" customFormat="1" ht="65.099999999999994" customHeight="1">
      <c r="A102" s="115"/>
      <c r="B102" s="115"/>
      <c r="C102" s="116"/>
      <c r="D102" s="115"/>
      <c r="E102" s="116"/>
      <c r="F102" s="115"/>
      <c r="G102" s="116"/>
      <c r="H102" s="116"/>
      <c r="I102" s="117"/>
      <c r="J102" s="117"/>
      <c r="K102" s="116"/>
      <c r="L102" s="116"/>
      <c r="M102" s="116"/>
      <c r="N102" s="116"/>
      <c r="O102" s="116"/>
      <c r="P102" s="116"/>
      <c r="Q102" s="116"/>
      <c r="R102" s="116"/>
      <c r="S102" s="116"/>
      <c r="T102" s="116"/>
      <c r="U102" s="116"/>
      <c r="V102" s="116"/>
      <c r="W102" s="116"/>
      <c r="X102" s="116"/>
      <c r="Y102" s="116"/>
      <c r="Z102" s="116"/>
      <c r="AA102" s="118"/>
      <c r="AB102" s="115"/>
    </row>
    <row r="103" spans="1:28" s="112" customFormat="1" ht="63" customHeight="1">
      <c r="A103" s="115"/>
      <c r="B103" s="115"/>
      <c r="C103" s="116"/>
      <c r="D103" s="115"/>
      <c r="E103" s="116"/>
      <c r="F103" s="115"/>
      <c r="G103" s="116"/>
      <c r="H103" s="116"/>
      <c r="I103" s="117"/>
      <c r="J103" s="117"/>
      <c r="K103" s="116"/>
      <c r="L103" s="116"/>
      <c r="M103" s="116"/>
      <c r="N103" s="116"/>
      <c r="O103" s="116"/>
      <c r="P103" s="116"/>
      <c r="Q103" s="116"/>
      <c r="R103" s="116"/>
      <c r="S103" s="116"/>
      <c r="T103" s="116"/>
      <c r="U103" s="116"/>
      <c r="V103" s="116"/>
      <c r="W103" s="116"/>
      <c r="X103" s="116"/>
      <c r="Y103" s="116"/>
      <c r="Z103" s="116"/>
      <c r="AA103" s="118"/>
      <c r="AB103" s="115"/>
    </row>
    <row r="104" spans="1:28" s="114" customFormat="1" ht="63" customHeight="1">
      <c r="A104" s="115"/>
      <c r="B104" s="115"/>
      <c r="C104" s="116"/>
      <c r="D104" s="115"/>
      <c r="E104" s="116"/>
      <c r="F104" s="115"/>
      <c r="G104" s="116"/>
      <c r="H104" s="116"/>
      <c r="I104" s="117"/>
      <c r="J104" s="117"/>
      <c r="K104" s="116"/>
      <c r="L104" s="116"/>
      <c r="M104" s="116"/>
      <c r="N104" s="116"/>
      <c r="O104" s="116"/>
      <c r="P104" s="116"/>
      <c r="Q104" s="116"/>
      <c r="R104" s="116"/>
      <c r="S104" s="116"/>
      <c r="T104" s="116"/>
      <c r="U104" s="116"/>
      <c r="V104" s="116"/>
      <c r="W104" s="116"/>
      <c r="X104" s="116"/>
      <c r="Y104" s="116"/>
      <c r="Z104" s="116"/>
      <c r="AA104" s="118"/>
      <c r="AB104" s="115"/>
    </row>
    <row r="105" spans="1:28" s="114" customFormat="1" ht="63" customHeight="1">
      <c r="A105" s="115"/>
      <c r="B105" s="115"/>
      <c r="C105" s="116"/>
      <c r="D105" s="115"/>
      <c r="E105" s="116"/>
      <c r="F105" s="115"/>
      <c r="G105" s="116"/>
      <c r="H105" s="116"/>
      <c r="I105" s="117"/>
      <c r="J105" s="117"/>
      <c r="K105" s="116"/>
      <c r="L105" s="116"/>
      <c r="M105" s="116"/>
      <c r="N105" s="116"/>
      <c r="O105" s="116"/>
      <c r="P105" s="116"/>
      <c r="Q105" s="116"/>
      <c r="R105" s="116"/>
      <c r="S105" s="116"/>
      <c r="T105" s="116"/>
      <c r="U105" s="116"/>
      <c r="V105" s="116"/>
      <c r="W105" s="116"/>
      <c r="X105" s="116"/>
      <c r="Y105" s="116"/>
      <c r="Z105" s="116"/>
      <c r="AA105" s="118"/>
      <c r="AB105" s="115"/>
    </row>
    <row r="106" spans="1:28" s="112" customFormat="1" ht="65.099999999999994" customHeight="1">
      <c r="A106" s="115"/>
      <c r="B106" s="115"/>
      <c r="C106" s="116"/>
      <c r="D106" s="115"/>
      <c r="E106" s="116"/>
      <c r="F106" s="115"/>
      <c r="G106" s="116"/>
      <c r="H106" s="116"/>
      <c r="I106" s="117" t="s">
        <v>754</v>
      </c>
      <c r="J106" s="117"/>
      <c r="K106" s="116" t="s">
        <v>755</v>
      </c>
      <c r="L106" s="116" t="s">
        <v>756</v>
      </c>
      <c r="M106" s="116"/>
      <c r="N106" s="116"/>
      <c r="O106" s="116"/>
      <c r="P106" s="116"/>
      <c r="Q106" s="116"/>
      <c r="R106" s="116"/>
      <c r="S106" s="116"/>
      <c r="T106" s="116"/>
      <c r="U106" s="116"/>
      <c r="V106" s="116" t="s">
        <v>757</v>
      </c>
      <c r="W106" s="116"/>
      <c r="X106" s="116"/>
      <c r="Y106" s="116"/>
      <c r="Z106" s="116"/>
      <c r="AA106" s="118"/>
      <c r="AB106" s="115"/>
    </row>
    <row r="107" spans="1:28" s="112" customFormat="1" ht="65.099999999999994" customHeight="1">
      <c r="A107" s="115"/>
      <c r="B107" s="115"/>
      <c r="C107" s="116"/>
      <c r="D107" s="115"/>
      <c r="E107" s="116"/>
      <c r="F107" s="115"/>
      <c r="G107" s="116"/>
      <c r="H107" s="116"/>
      <c r="I107" s="117"/>
      <c r="J107" s="117"/>
      <c r="K107" s="116"/>
      <c r="L107" s="116"/>
      <c r="M107" s="116"/>
      <c r="N107" s="116"/>
      <c r="O107" s="116"/>
      <c r="P107" s="116"/>
      <c r="Q107" s="116"/>
      <c r="R107" s="116"/>
      <c r="S107" s="116"/>
      <c r="T107" s="116"/>
      <c r="U107" s="116"/>
      <c r="V107" s="116"/>
      <c r="W107" s="116"/>
      <c r="X107" s="116"/>
      <c r="Y107" s="116"/>
      <c r="Z107" s="116"/>
      <c r="AA107" s="118"/>
      <c r="AB107" s="115"/>
    </row>
    <row r="108" spans="1:28" s="112" customFormat="1" ht="94.05" customHeight="1">
      <c r="A108" s="115"/>
      <c r="B108" s="115"/>
      <c r="C108" s="116"/>
      <c r="D108" s="115"/>
      <c r="E108" s="116"/>
      <c r="F108" s="115"/>
      <c r="G108" s="116"/>
      <c r="H108" s="116"/>
      <c r="I108" s="117"/>
      <c r="J108" s="117"/>
      <c r="K108" s="116"/>
      <c r="L108" s="116"/>
      <c r="M108" s="116"/>
      <c r="N108" s="116"/>
      <c r="O108" s="116"/>
      <c r="P108" s="116"/>
      <c r="Q108" s="116"/>
      <c r="R108" s="116"/>
      <c r="S108" s="116"/>
      <c r="T108" s="116"/>
      <c r="U108" s="116"/>
      <c r="V108" s="116"/>
      <c r="W108" s="116"/>
      <c r="X108" s="116"/>
      <c r="Y108" s="116"/>
      <c r="Z108" s="116"/>
      <c r="AA108" s="118"/>
      <c r="AB108" s="115"/>
    </row>
    <row r="109" spans="1:28" s="112" customFormat="1" ht="84" customHeight="1">
      <c r="A109" s="115"/>
      <c r="B109" s="115"/>
      <c r="C109" s="116"/>
      <c r="D109" s="115"/>
      <c r="E109" s="116"/>
      <c r="F109" s="115"/>
      <c r="G109" s="116"/>
      <c r="H109" s="116"/>
      <c r="I109" s="117"/>
      <c r="J109" s="117"/>
      <c r="K109" s="116"/>
      <c r="L109" s="116"/>
      <c r="M109" s="116"/>
      <c r="N109" s="116"/>
      <c r="O109" s="116"/>
      <c r="P109" s="116"/>
      <c r="Q109" s="116"/>
      <c r="R109" s="116"/>
      <c r="S109" s="116"/>
      <c r="T109" s="116"/>
      <c r="U109" s="116"/>
      <c r="V109" s="195" t="s">
        <v>758</v>
      </c>
      <c r="W109" s="116"/>
      <c r="X109" s="116"/>
      <c r="Y109" s="116"/>
      <c r="Z109" s="116"/>
      <c r="AA109" s="118"/>
      <c r="AB109" s="115"/>
    </row>
    <row r="110" spans="1:28" s="112" customFormat="1" ht="65.099999999999994" customHeight="1">
      <c r="A110" s="115"/>
      <c r="B110" s="115"/>
      <c r="C110" s="116"/>
      <c r="D110" s="115"/>
      <c r="E110" s="116"/>
      <c r="F110" s="115"/>
      <c r="G110" s="116"/>
      <c r="H110" s="116"/>
      <c r="I110" s="117"/>
      <c r="J110" s="117"/>
      <c r="K110" s="116"/>
      <c r="L110" s="116"/>
      <c r="M110" s="116"/>
      <c r="N110" s="116"/>
      <c r="O110" s="116"/>
      <c r="P110" s="116"/>
      <c r="Q110" s="116"/>
      <c r="R110" s="116"/>
      <c r="S110" s="116"/>
      <c r="T110" s="116"/>
      <c r="U110" s="116"/>
      <c r="V110" s="195" t="s">
        <v>759</v>
      </c>
      <c r="W110" s="116"/>
      <c r="X110" s="116"/>
      <c r="Y110" s="116"/>
      <c r="Z110" s="116"/>
      <c r="AA110" s="118"/>
      <c r="AB110" s="115"/>
    </row>
    <row r="111" spans="1:28" s="112" customFormat="1" ht="65.099999999999994" customHeight="1">
      <c r="A111" s="115"/>
      <c r="B111" s="115"/>
      <c r="C111" s="116"/>
      <c r="D111" s="115"/>
      <c r="E111" s="116"/>
      <c r="F111" s="115"/>
      <c r="G111" s="116"/>
      <c r="H111" s="116"/>
      <c r="I111" s="117"/>
      <c r="J111" s="117"/>
      <c r="K111" s="116"/>
      <c r="L111" s="116"/>
      <c r="M111" s="116"/>
      <c r="N111" s="116"/>
      <c r="O111" s="116"/>
      <c r="P111" s="116"/>
      <c r="Q111" s="116"/>
      <c r="R111" s="116"/>
      <c r="S111" s="116"/>
      <c r="T111" s="116"/>
      <c r="U111" s="116"/>
      <c r="V111" s="195" t="s">
        <v>760</v>
      </c>
      <c r="W111" s="116"/>
      <c r="X111" s="116"/>
      <c r="Y111" s="116"/>
      <c r="Z111" s="116"/>
      <c r="AA111" s="118"/>
      <c r="AB111" s="115"/>
    </row>
    <row r="112" spans="1:28" s="112" customFormat="1" ht="65.099999999999994" customHeight="1">
      <c r="A112" s="115"/>
      <c r="B112" s="115"/>
      <c r="C112" s="116"/>
      <c r="D112" s="115"/>
      <c r="E112" s="116"/>
      <c r="F112" s="115"/>
      <c r="G112" s="116"/>
      <c r="H112" s="116"/>
      <c r="I112" s="117"/>
      <c r="J112" s="117"/>
      <c r="K112" s="116"/>
      <c r="L112" s="116"/>
      <c r="M112" s="116"/>
      <c r="N112" s="116"/>
      <c r="O112" s="116"/>
      <c r="P112" s="116"/>
      <c r="Q112" s="116"/>
      <c r="R112" s="116"/>
      <c r="S112" s="116"/>
      <c r="T112" s="116"/>
      <c r="U112" s="116"/>
      <c r="V112" s="116"/>
      <c r="W112" s="116"/>
      <c r="X112" s="116"/>
      <c r="Y112" s="116"/>
      <c r="Z112" s="116"/>
      <c r="AA112" s="118"/>
      <c r="AB112" s="115"/>
    </row>
    <row r="113" spans="1:16384" s="112" customFormat="1" ht="65.099999999999994" customHeight="1">
      <c r="A113" s="115"/>
      <c r="B113" s="115"/>
      <c r="C113" s="116"/>
      <c r="D113" s="115"/>
      <c r="E113" s="116"/>
      <c r="F113" s="115"/>
      <c r="G113" s="116"/>
      <c r="H113" s="116"/>
      <c r="I113" s="117"/>
      <c r="J113" s="117"/>
      <c r="K113" s="116"/>
      <c r="L113" s="116"/>
      <c r="M113" s="116"/>
      <c r="N113" s="116"/>
      <c r="O113" s="116"/>
      <c r="P113" s="116"/>
      <c r="Q113" s="116"/>
      <c r="R113" s="116"/>
      <c r="S113" s="116"/>
      <c r="T113" s="116"/>
      <c r="U113" s="116"/>
      <c r="V113" s="116"/>
      <c r="W113" s="116"/>
      <c r="X113" s="116"/>
      <c r="Y113" s="116"/>
      <c r="Z113" s="116"/>
      <c r="AA113" s="118"/>
      <c r="AB113" s="115"/>
    </row>
    <row r="114" spans="1:16384" s="112" customFormat="1" ht="65.099999999999994" customHeight="1">
      <c r="A114" s="115"/>
      <c r="B114" s="115"/>
      <c r="C114" s="116"/>
      <c r="D114" s="115"/>
      <c r="E114" s="116"/>
      <c r="F114" s="115"/>
      <c r="G114" s="116"/>
      <c r="H114" s="116"/>
      <c r="I114" s="117"/>
      <c r="J114" s="117"/>
      <c r="K114" s="116"/>
      <c r="L114" s="116"/>
      <c r="M114" s="116"/>
      <c r="N114" s="116"/>
      <c r="O114" s="116"/>
      <c r="P114" s="116"/>
      <c r="Q114" s="116"/>
      <c r="R114" s="116"/>
      <c r="S114" s="116"/>
      <c r="T114" s="116"/>
      <c r="U114" s="116"/>
      <c r="V114" s="116"/>
      <c r="W114" s="116"/>
      <c r="X114" s="116"/>
      <c r="Y114" s="116"/>
      <c r="Z114" s="116"/>
      <c r="AA114" s="118"/>
      <c r="AB114" s="115"/>
    </row>
    <row r="115" spans="1:16384" s="112" customFormat="1" ht="65.099999999999994" customHeight="1">
      <c r="A115" s="115"/>
      <c r="B115" s="115"/>
      <c r="C115" s="116"/>
      <c r="D115" s="115"/>
      <c r="E115" s="116"/>
      <c r="F115" s="115"/>
      <c r="G115" s="116"/>
      <c r="H115" s="116"/>
      <c r="I115" s="117"/>
      <c r="J115" s="117"/>
      <c r="K115" s="116"/>
      <c r="L115" s="116"/>
      <c r="M115" s="116"/>
      <c r="N115" s="116"/>
      <c r="O115" s="116"/>
      <c r="P115" s="116"/>
      <c r="Q115" s="116"/>
      <c r="R115" s="116"/>
      <c r="S115" s="116"/>
      <c r="T115" s="116"/>
      <c r="U115" s="116"/>
      <c r="V115" s="116"/>
      <c r="W115" s="116"/>
      <c r="X115" s="116"/>
      <c r="Y115" s="116"/>
      <c r="Z115" s="116"/>
      <c r="AA115" s="118"/>
      <c r="AB115" s="115"/>
      <c r="AC115" s="196"/>
      <c r="AD115" s="197"/>
      <c r="AE115" s="196"/>
      <c r="AF115" s="197"/>
      <c r="AG115" s="196" t="s">
        <v>761</v>
      </c>
      <c r="AH115" s="197" t="str">
        <f>VLOOKUP(AG115,[13]AssetDetails_UEM!$A$3:$AH$1849,6,FALSE)</f>
        <v>Electrosurgical Units, Monopolar/Bipolar</v>
      </c>
      <c r="AI115" s="196" t="s">
        <v>761</v>
      </c>
      <c r="AJ115" s="197" t="str">
        <f>VLOOKUP(AI115,[13]AssetDetails_UEM!$A$3:$AH$1849,6,FALSE)</f>
        <v>Electrosurgical Units, Monopolar/Bipolar</v>
      </c>
      <c r="AK115" s="196" t="s">
        <v>761</v>
      </c>
      <c r="AL115" s="197" t="str">
        <f>VLOOKUP(AK115,[13]AssetDetails_UEM!$A$3:$AH$1849,6,FALSE)</f>
        <v>Electrosurgical Units, Monopolar/Bipolar</v>
      </c>
      <c r="AM115" s="196" t="s">
        <v>761</v>
      </c>
      <c r="AN115" s="197" t="str">
        <f>VLOOKUP(AM115,[13]AssetDetails_UEM!$A$3:$AH$1849,6,FALSE)</f>
        <v>Electrosurgical Units, Monopolar/Bipolar</v>
      </c>
      <c r="AO115" s="196" t="s">
        <v>761</v>
      </c>
      <c r="AP115" s="197" t="str">
        <f>VLOOKUP(AO115,[13]AssetDetails_UEM!$A$3:$AH$1849,6,FALSE)</f>
        <v>Electrosurgical Units, Monopolar/Bipolar</v>
      </c>
      <c r="AQ115" s="196" t="s">
        <v>761</v>
      </c>
      <c r="AR115" s="197" t="str">
        <f>VLOOKUP(AQ115,[13]AssetDetails_UEM!$A$3:$AH$1849,6,FALSE)</f>
        <v>Electrosurgical Units, Monopolar/Bipolar</v>
      </c>
      <c r="AS115" s="196" t="s">
        <v>761</v>
      </c>
      <c r="AT115" s="197" t="str">
        <f>VLOOKUP(AS115,[13]AssetDetails_UEM!$A$3:$AH$1849,6,FALSE)</f>
        <v>Electrosurgical Units, Monopolar/Bipolar</v>
      </c>
      <c r="AU115" s="196" t="s">
        <v>761</v>
      </c>
      <c r="AV115" s="197" t="str">
        <f>VLOOKUP(AU115,[13]AssetDetails_UEM!$A$3:$AH$1849,6,FALSE)</f>
        <v>Electrosurgical Units, Monopolar/Bipolar</v>
      </c>
      <c r="AW115" s="196" t="s">
        <v>761</v>
      </c>
      <c r="AX115" s="197" t="str">
        <f>VLOOKUP(AW115,[13]AssetDetails_UEM!$A$3:$AH$1849,6,FALSE)</f>
        <v>Electrosurgical Units, Monopolar/Bipolar</v>
      </c>
      <c r="AY115" s="196" t="s">
        <v>761</v>
      </c>
      <c r="AZ115" s="197" t="str">
        <f>VLOOKUP(AY115,[13]AssetDetails_UEM!$A$3:$AH$1849,6,FALSE)</f>
        <v>Electrosurgical Units, Monopolar/Bipolar</v>
      </c>
      <c r="BA115" s="196" t="s">
        <v>761</v>
      </c>
      <c r="BB115" s="197" t="str">
        <f>VLOOKUP(BA115,[13]AssetDetails_UEM!$A$3:$AH$1849,6,FALSE)</f>
        <v>Electrosurgical Units, Monopolar/Bipolar</v>
      </c>
      <c r="BC115" s="196" t="s">
        <v>761</v>
      </c>
      <c r="BD115" s="197" t="str">
        <f>VLOOKUP(BC115,[13]AssetDetails_UEM!$A$3:$AH$1849,6,FALSE)</f>
        <v>Electrosurgical Units, Monopolar/Bipolar</v>
      </c>
      <c r="BE115" s="196" t="s">
        <v>761</v>
      </c>
      <c r="BF115" s="197" t="str">
        <f>VLOOKUP(BE115,[13]AssetDetails_UEM!$A$3:$AH$1849,6,FALSE)</f>
        <v>Electrosurgical Units, Monopolar/Bipolar</v>
      </c>
      <c r="BG115" s="196" t="s">
        <v>761</v>
      </c>
      <c r="BH115" s="197" t="str">
        <f>VLOOKUP(BG115,[13]AssetDetails_UEM!$A$3:$AH$1849,6,FALSE)</f>
        <v>Electrosurgical Units, Monopolar/Bipolar</v>
      </c>
      <c r="BI115" s="196" t="s">
        <v>761</v>
      </c>
      <c r="BJ115" s="197" t="str">
        <f>VLOOKUP(BI115,[13]AssetDetails_UEM!$A$3:$AH$1849,6,FALSE)</f>
        <v>Electrosurgical Units, Monopolar/Bipolar</v>
      </c>
      <c r="BK115" s="196" t="s">
        <v>761</v>
      </c>
      <c r="BL115" s="197" t="str">
        <f>VLOOKUP(BK115,[13]AssetDetails_UEM!$A$3:$AH$1849,6,FALSE)</f>
        <v>Electrosurgical Units, Monopolar/Bipolar</v>
      </c>
      <c r="BM115" s="196" t="s">
        <v>761</v>
      </c>
      <c r="BN115" s="197" t="str">
        <f>VLOOKUP(BM115,[13]AssetDetails_UEM!$A$3:$AH$1849,6,FALSE)</f>
        <v>Electrosurgical Units, Monopolar/Bipolar</v>
      </c>
      <c r="BO115" s="196" t="s">
        <v>761</v>
      </c>
      <c r="BP115" s="197" t="str">
        <f>VLOOKUP(BO115,[13]AssetDetails_UEM!$A$3:$AH$1849,6,FALSE)</f>
        <v>Electrosurgical Units, Monopolar/Bipolar</v>
      </c>
      <c r="BQ115" s="196" t="s">
        <v>761</v>
      </c>
      <c r="BR115" s="197" t="str">
        <f>VLOOKUP(BQ115,[13]AssetDetails_UEM!$A$3:$AH$1849,6,FALSE)</f>
        <v>Electrosurgical Units, Monopolar/Bipolar</v>
      </c>
      <c r="BS115" s="196" t="s">
        <v>761</v>
      </c>
      <c r="BT115" s="197" t="str">
        <f>VLOOKUP(BS115,[13]AssetDetails_UEM!$A$3:$AH$1849,6,FALSE)</f>
        <v>Electrosurgical Units, Monopolar/Bipolar</v>
      </c>
      <c r="BU115" s="196" t="s">
        <v>761</v>
      </c>
      <c r="BV115" s="197" t="str">
        <f>VLOOKUP(BU115,[13]AssetDetails_UEM!$A$3:$AH$1849,6,FALSE)</f>
        <v>Electrosurgical Units, Monopolar/Bipolar</v>
      </c>
      <c r="BW115" s="196" t="s">
        <v>761</v>
      </c>
      <c r="BX115" s="197" t="str">
        <f>VLOOKUP(BW115,[13]AssetDetails_UEM!$A$3:$AH$1849,6,FALSE)</f>
        <v>Electrosurgical Units, Monopolar/Bipolar</v>
      </c>
      <c r="BY115" s="196" t="s">
        <v>761</v>
      </c>
      <c r="BZ115" s="197" t="str">
        <f>VLOOKUP(BY115,[13]AssetDetails_UEM!$A$3:$AH$1849,6,FALSE)</f>
        <v>Electrosurgical Units, Monopolar/Bipolar</v>
      </c>
      <c r="CA115" s="196" t="s">
        <v>761</v>
      </c>
      <c r="CB115" s="197" t="str">
        <f>VLOOKUP(CA115,[13]AssetDetails_UEM!$A$3:$AH$1849,6,FALSE)</f>
        <v>Electrosurgical Units, Monopolar/Bipolar</v>
      </c>
      <c r="CC115" s="196" t="s">
        <v>761</v>
      </c>
      <c r="CD115" s="197" t="str">
        <f>VLOOKUP(CC115,[13]AssetDetails_UEM!$A$3:$AH$1849,6,FALSE)</f>
        <v>Electrosurgical Units, Monopolar/Bipolar</v>
      </c>
      <c r="CE115" s="196" t="s">
        <v>761</v>
      </c>
      <c r="CF115" s="197" t="str">
        <f>VLOOKUP(CE115,[13]AssetDetails_UEM!$A$3:$AH$1849,6,FALSE)</f>
        <v>Electrosurgical Units, Monopolar/Bipolar</v>
      </c>
      <c r="CG115" s="196" t="s">
        <v>761</v>
      </c>
      <c r="CH115" s="197" t="str">
        <f>VLOOKUP(CG115,[13]AssetDetails_UEM!$A$3:$AH$1849,6,FALSE)</f>
        <v>Electrosurgical Units, Monopolar/Bipolar</v>
      </c>
      <c r="CI115" s="196" t="s">
        <v>761</v>
      </c>
      <c r="CJ115" s="197" t="str">
        <f>VLOOKUP(CI115,[13]AssetDetails_UEM!$A$3:$AH$1849,6,FALSE)</f>
        <v>Electrosurgical Units, Monopolar/Bipolar</v>
      </c>
      <c r="CK115" s="196" t="s">
        <v>761</v>
      </c>
      <c r="CL115" s="197" t="str">
        <f>VLOOKUP(CK115,[13]AssetDetails_UEM!$A$3:$AH$1849,6,FALSE)</f>
        <v>Electrosurgical Units, Monopolar/Bipolar</v>
      </c>
      <c r="CM115" s="196" t="s">
        <v>761</v>
      </c>
      <c r="CN115" s="197" t="str">
        <f>VLOOKUP(CM115,[13]AssetDetails_UEM!$A$3:$AH$1849,6,FALSE)</f>
        <v>Electrosurgical Units, Monopolar/Bipolar</v>
      </c>
      <c r="CO115" s="196" t="s">
        <v>761</v>
      </c>
      <c r="CP115" s="197" t="str">
        <f>VLOOKUP(CO115,[13]AssetDetails_UEM!$A$3:$AH$1849,6,FALSE)</f>
        <v>Electrosurgical Units, Monopolar/Bipolar</v>
      </c>
      <c r="CQ115" s="196" t="s">
        <v>761</v>
      </c>
      <c r="CR115" s="197" t="str">
        <f>VLOOKUP(CQ115,[13]AssetDetails_UEM!$A$3:$AH$1849,6,FALSE)</f>
        <v>Electrosurgical Units, Monopolar/Bipolar</v>
      </c>
      <c r="CS115" s="196" t="s">
        <v>761</v>
      </c>
      <c r="CT115" s="197" t="str">
        <f>VLOOKUP(CS115,[13]AssetDetails_UEM!$A$3:$AH$1849,6,FALSE)</f>
        <v>Electrosurgical Units, Monopolar/Bipolar</v>
      </c>
      <c r="CU115" s="196" t="s">
        <v>761</v>
      </c>
      <c r="CV115" s="197" t="str">
        <f>VLOOKUP(CU115,[13]AssetDetails_UEM!$A$3:$AH$1849,6,FALSE)</f>
        <v>Electrosurgical Units, Monopolar/Bipolar</v>
      </c>
      <c r="CW115" s="196" t="s">
        <v>761</v>
      </c>
      <c r="CX115" s="197" t="str">
        <f>VLOOKUP(CW115,[13]AssetDetails_UEM!$A$3:$AH$1849,6,FALSE)</f>
        <v>Electrosurgical Units, Monopolar/Bipolar</v>
      </c>
      <c r="CY115" s="196" t="s">
        <v>761</v>
      </c>
      <c r="CZ115" s="197" t="str">
        <f>VLOOKUP(CY115,[13]AssetDetails_UEM!$A$3:$AH$1849,6,FALSE)</f>
        <v>Electrosurgical Units, Monopolar/Bipolar</v>
      </c>
      <c r="DA115" s="196" t="s">
        <v>761</v>
      </c>
      <c r="DB115" s="197" t="str">
        <f>VLOOKUP(DA115,[13]AssetDetails_UEM!$A$3:$AH$1849,6,FALSE)</f>
        <v>Electrosurgical Units, Monopolar/Bipolar</v>
      </c>
      <c r="DC115" s="196" t="s">
        <v>761</v>
      </c>
      <c r="DD115" s="197" t="str">
        <f>VLOOKUP(DC115,[13]AssetDetails_UEM!$A$3:$AH$1849,6,FALSE)</f>
        <v>Electrosurgical Units, Monopolar/Bipolar</v>
      </c>
      <c r="DE115" s="196" t="s">
        <v>761</v>
      </c>
      <c r="DF115" s="197" t="str">
        <f>VLOOKUP(DE115,[13]AssetDetails_UEM!$A$3:$AH$1849,6,FALSE)</f>
        <v>Electrosurgical Units, Monopolar/Bipolar</v>
      </c>
      <c r="DG115" s="196" t="s">
        <v>761</v>
      </c>
      <c r="DH115" s="197" t="str">
        <f>VLOOKUP(DG115,[13]AssetDetails_UEM!$A$3:$AH$1849,6,FALSE)</f>
        <v>Electrosurgical Units, Monopolar/Bipolar</v>
      </c>
      <c r="DI115" s="196" t="s">
        <v>761</v>
      </c>
      <c r="DJ115" s="197" t="str">
        <f>VLOOKUP(DI115,[13]AssetDetails_UEM!$A$3:$AH$1849,6,FALSE)</f>
        <v>Electrosurgical Units, Monopolar/Bipolar</v>
      </c>
      <c r="DK115" s="196" t="s">
        <v>761</v>
      </c>
      <c r="DL115" s="197" t="str">
        <f>VLOOKUP(DK115,[13]AssetDetails_UEM!$A$3:$AH$1849,6,FALSE)</f>
        <v>Electrosurgical Units, Monopolar/Bipolar</v>
      </c>
      <c r="DM115" s="196" t="s">
        <v>761</v>
      </c>
      <c r="DN115" s="197" t="str">
        <f>VLOOKUP(DM115,[13]AssetDetails_UEM!$A$3:$AH$1849,6,FALSE)</f>
        <v>Electrosurgical Units, Monopolar/Bipolar</v>
      </c>
      <c r="DO115" s="196" t="s">
        <v>761</v>
      </c>
      <c r="DP115" s="197" t="str">
        <f>VLOOKUP(DO115,[13]AssetDetails_UEM!$A$3:$AH$1849,6,FALSE)</f>
        <v>Electrosurgical Units, Monopolar/Bipolar</v>
      </c>
      <c r="DQ115" s="196" t="s">
        <v>761</v>
      </c>
      <c r="DR115" s="197" t="str">
        <f>VLOOKUP(DQ115,[13]AssetDetails_UEM!$A$3:$AH$1849,6,FALSE)</f>
        <v>Electrosurgical Units, Monopolar/Bipolar</v>
      </c>
      <c r="DS115" s="196" t="s">
        <v>761</v>
      </c>
      <c r="DT115" s="197" t="str">
        <f>VLOOKUP(DS115,[13]AssetDetails_UEM!$A$3:$AH$1849,6,FALSE)</f>
        <v>Electrosurgical Units, Monopolar/Bipolar</v>
      </c>
      <c r="DU115" s="196" t="s">
        <v>761</v>
      </c>
      <c r="DV115" s="197" t="str">
        <f>VLOOKUP(DU115,[13]AssetDetails_UEM!$A$3:$AH$1849,6,FALSE)</f>
        <v>Electrosurgical Units, Monopolar/Bipolar</v>
      </c>
      <c r="DW115" s="196" t="s">
        <v>761</v>
      </c>
      <c r="DX115" s="197" t="str">
        <f>VLOOKUP(DW115,[13]AssetDetails_UEM!$A$3:$AH$1849,6,FALSE)</f>
        <v>Electrosurgical Units, Monopolar/Bipolar</v>
      </c>
      <c r="DY115" s="196" t="s">
        <v>761</v>
      </c>
      <c r="DZ115" s="197" t="str">
        <f>VLOOKUP(DY115,[13]AssetDetails_UEM!$A$3:$AH$1849,6,FALSE)</f>
        <v>Electrosurgical Units, Monopolar/Bipolar</v>
      </c>
      <c r="EA115" s="196" t="s">
        <v>761</v>
      </c>
      <c r="EB115" s="197" t="str">
        <f>VLOOKUP(EA115,[13]AssetDetails_UEM!$A$3:$AH$1849,6,FALSE)</f>
        <v>Electrosurgical Units, Monopolar/Bipolar</v>
      </c>
      <c r="EC115" s="196" t="s">
        <v>761</v>
      </c>
      <c r="ED115" s="197" t="str">
        <f>VLOOKUP(EC115,[13]AssetDetails_UEM!$A$3:$AH$1849,6,FALSE)</f>
        <v>Electrosurgical Units, Monopolar/Bipolar</v>
      </c>
      <c r="EE115" s="196" t="s">
        <v>761</v>
      </c>
      <c r="EF115" s="197" t="str">
        <f>VLOOKUP(EE115,[13]AssetDetails_UEM!$A$3:$AH$1849,6,FALSE)</f>
        <v>Electrosurgical Units, Monopolar/Bipolar</v>
      </c>
      <c r="EG115" s="196" t="s">
        <v>761</v>
      </c>
      <c r="EH115" s="197" t="str">
        <f>VLOOKUP(EG115,[13]AssetDetails_UEM!$A$3:$AH$1849,6,FALSE)</f>
        <v>Electrosurgical Units, Monopolar/Bipolar</v>
      </c>
      <c r="EI115" s="196" t="s">
        <v>761</v>
      </c>
      <c r="EJ115" s="197" t="str">
        <f>VLOOKUP(EI115,[13]AssetDetails_UEM!$A$3:$AH$1849,6,FALSE)</f>
        <v>Electrosurgical Units, Monopolar/Bipolar</v>
      </c>
      <c r="EK115" s="196" t="s">
        <v>761</v>
      </c>
      <c r="EL115" s="197" t="str">
        <f>VLOOKUP(EK115,[13]AssetDetails_UEM!$A$3:$AH$1849,6,FALSE)</f>
        <v>Electrosurgical Units, Monopolar/Bipolar</v>
      </c>
      <c r="EM115" s="196" t="s">
        <v>761</v>
      </c>
      <c r="EN115" s="197" t="str">
        <f>VLOOKUP(EM115,[13]AssetDetails_UEM!$A$3:$AH$1849,6,FALSE)</f>
        <v>Electrosurgical Units, Monopolar/Bipolar</v>
      </c>
      <c r="EO115" s="196" t="s">
        <v>761</v>
      </c>
      <c r="EP115" s="197" t="str">
        <f>VLOOKUP(EO115,[13]AssetDetails_UEM!$A$3:$AH$1849,6,FALSE)</f>
        <v>Electrosurgical Units, Monopolar/Bipolar</v>
      </c>
      <c r="EQ115" s="196" t="s">
        <v>761</v>
      </c>
      <c r="ER115" s="197" t="str">
        <f>VLOOKUP(EQ115,[13]AssetDetails_UEM!$A$3:$AH$1849,6,FALSE)</f>
        <v>Electrosurgical Units, Monopolar/Bipolar</v>
      </c>
      <c r="ES115" s="196" t="s">
        <v>761</v>
      </c>
      <c r="ET115" s="197" t="str">
        <f>VLOOKUP(ES115,[13]AssetDetails_UEM!$A$3:$AH$1849,6,FALSE)</f>
        <v>Electrosurgical Units, Monopolar/Bipolar</v>
      </c>
      <c r="EU115" s="196" t="s">
        <v>761</v>
      </c>
      <c r="EV115" s="197" t="str">
        <f>VLOOKUP(EU115,[13]AssetDetails_UEM!$A$3:$AH$1849,6,FALSE)</f>
        <v>Electrosurgical Units, Monopolar/Bipolar</v>
      </c>
      <c r="EW115" s="196" t="s">
        <v>761</v>
      </c>
      <c r="EX115" s="197" t="str">
        <f>VLOOKUP(EW115,[13]AssetDetails_UEM!$A$3:$AH$1849,6,FALSE)</f>
        <v>Electrosurgical Units, Monopolar/Bipolar</v>
      </c>
      <c r="EY115" s="196" t="s">
        <v>761</v>
      </c>
      <c r="EZ115" s="197" t="str">
        <f>VLOOKUP(EY115,[13]AssetDetails_UEM!$A$3:$AH$1849,6,FALSE)</f>
        <v>Electrosurgical Units, Monopolar/Bipolar</v>
      </c>
      <c r="FA115" s="196" t="s">
        <v>761</v>
      </c>
      <c r="FB115" s="197" t="str">
        <f>VLOOKUP(FA115,[13]AssetDetails_UEM!$A$3:$AH$1849,6,FALSE)</f>
        <v>Electrosurgical Units, Monopolar/Bipolar</v>
      </c>
      <c r="FC115" s="196" t="s">
        <v>761</v>
      </c>
      <c r="FD115" s="197" t="str">
        <f>VLOOKUP(FC115,[13]AssetDetails_UEM!$A$3:$AH$1849,6,FALSE)</f>
        <v>Electrosurgical Units, Monopolar/Bipolar</v>
      </c>
      <c r="FE115" s="196" t="s">
        <v>761</v>
      </c>
      <c r="FF115" s="197" t="str">
        <f>VLOOKUP(FE115,[13]AssetDetails_UEM!$A$3:$AH$1849,6,FALSE)</f>
        <v>Electrosurgical Units, Monopolar/Bipolar</v>
      </c>
      <c r="FG115" s="196" t="s">
        <v>761</v>
      </c>
      <c r="FH115" s="197" t="str">
        <f>VLOOKUP(FG115,[13]AssetDetails_UEM!$A$3:$AH$1849,6,FALSE)</f>
        <v>Electrosurgical Units, Monopolar/Bipolar</v>
      </c>
      <c r="FI115" s="196" t="s">
        <v>761</v>
      </c>
      <c r="FJ115" s="197" t="str">
        <f>VLOOKUP(FI115,[13]AssetDetails_UEM!$A$3:$AH$1849,6,FALSE)</f>
        <v>Electrosurgical Units, Monopolar/Bipolar</v>
      </c>
      <c r="FK115" s="196" t="s">
        <v>761</v>
      </c>
      <c r="FL115" s="197" t="str">
        <f>VLOOKUP(FK115,[13]AssetDetails_UEM!$A$3:$AH$1849,6,FALSE)</f>
        <v>Electrosurgical Units, Monopolar/Bipolar</v>
      </c>
      <c r="FM115" s="196" t="s">
        <v>761</v>
      </c>
      <c r="FN115" s="197" t="str">
        <f>VLOOKUP(FM115,[13]AssetDetails_UEM!$A$3:$AH$1849,6,FALSE)</f>
        <v>Electrosurgical Units, Monopolar/Bipolar</v>
      </c>
      <c r="FO115" s="196" t="s">
        <v>761</v>
      </c>
      <c r="FP115" s="197" t="str">
        <f>VLOOKUP(FO115,[13]AssetDetails_UEM!$A$3:$AH$1849,6,FALSE)</f>
        <v>Electrosurgical Units, Monopolar/Bipolar</v>
      </c>
      <c r="FQ115" s="196" t="s">
        <v>761</v>
      </c>
      <c r="FR115" s="197" t="str">
        <f>VLOOKUP(FQ115,[13]AssetDetails_UEM!$A$3:$AH$1849,6,FALSE)</f>
        <v>Electrosurgical Units, Monopolar/Bipolar</v>
      </c>
      <c r="FS115" s="196" t="s">
        <v>761</v>
      </c>
      <c r="FT115" s="197" t="str">
        <f>VLOOKUP(FS115,[13]AssetDetails_UEM!$A$3:$AH$1849,6,FALSE)</f>
        <v>Electrosurgical Units, Monopolar/Bipolar</v>
      </c>
      <c r="FU115" s="196" t="s">
        <v>761</v>
      </c>
      <c r="FV115" s="197" t="str">
        <f>VLOOKUP(FU115,[13]AssetDetails_UEM!$A$3:$AH$1849,6,FALSE)</f>
        <v>Electrosurgical Units, Monopolar/Bipolar</v>
      </c>
      <c r="FW115" s="196" t="s">
        <v>761</v>
      </c>
      <c r="FX115" s="197" t="str">
        <f>VLOOKUP(FW115,[13]AssetDetails_UEM!$A$3:$AH$1849,6,FALSE)</f>
        <v>Electrosurgical Units, Monopolar/Bipolar</v>
      </c>
      <c r="FY115" s="196" t="s">
        <v>761</v>
      </c>
      <c r="FZ115" s="197" t="str">
        <f>VLOOKUP(FY115,[13]AssetDetails_UEM!$A$3:$AH$1849,6,FALSE)</f>
        <v>Electrosurgical Units, Monopolar/Bipolar</v>
      </c>
      <c r="GA115" s="196" t="s">
        <v>761</v>
      </c>
      <c r="GB115" s="197" t="str">
        <f>VLOOKUP(GA115,[13]AssetDetails_UEM!$A$3:$AH$1849,6,FALSE)</f>
        <v>Electrosurgical Units, Monopolar/Bipolar</v>
      </c>
      <c r="GC115" s="196" t="s">
        <v>761</v>
      </c>
      <c r="GD115" s="197" t="str">
        <f>VLOOKUP(GC115,[13]AssetDetails_UEM!$A$3:$AH$1849,6,FALSE)</f>
        <v>Electrosurgical Units, Monopolar/Bipolar</v>
      </c>
      <c r="GE115" s="196" t="s">
        <v>761</v>
      </c>
      <c r="GF115" s="197" t="str">
        <f>VLOOKUP(GE115,[13]AssetDetails_UEM!$A$3:$AH$1849,6,FALSE)</f>
        <v>Electrosurgical Units, Monopolar/Bipolar</v>
      </c>
      <c r="GG115" s="196" t="s">
        <v>761</v>
      </c>
      <c r="GH115" s="197" t="str">
        <f>VLOOKUP(GG115,[13]AssetDetails_UEM!$A$3:$AH$1849,6,FALSE)</f>
        <v>Electrosurgical Units, Monopolar/Bipolar</v>
      </c>
      <c r="GI115" s="196" t="s">
        <v>761</v>
      </c>
      <c r="GJ115" s="197" t="str">
        <f>VLOOKUP(GI115,[13]AssetDetails_UEM!$A$3:$AH$1849,6,FALSE)</f>
        <v>Electrosurgical Units, Monopolar/Bipolar</v>
      </c>
      <c r="GK115" s="196" t="s">
        <v>761</v>
      </c>
      <c r="GL115" s="197" t="str">
        <f>VLOOKUP(GK115,[13]AssetDetails_UEM!$A$3:$AH$1849,6,FALSE)</f>
        <v>Electrosurgical Units, Monopolar/Bipolar</v>
      </c>
      <c r="GM115" s="196" t="s">
        <v>761</v>
      </c>
      <c r="GN115" s="197" t="str">
        <f>VLOOKUP(GM115,[13]AssetDetails_UEM!$A$3:$AH$1849,6,FALSE)</f>
        <v>Electrosurgical Units, Monopolar/Bipolar</v>
      </c>
      <c r="GO115" s="196" t="s">
        <v>761</v>
      </c>
      <c r="GP115" s="197" t="str">
        <f>VLOOKUP(GO115,[13]AssetDetails_UEM!$A$3:$AH$1849,6,FALSE)</f>
        <v>Electrosurgical Units, Monopolar/Bipolar</v>
      </c>
      <c r="GQ115" s="196" t="s">
        <v>761</v>
      </c>
      <c r="GR115" s="197" t="str">
        <f>VLOOKUP(GQ115,[13]AssetDetails_UEM!$A$3:$AH$1849,6,FALSE)</f>
        <v>Electrosurgical Units, Monopolar/Bipolar</v>
      </c>
      <c r="GS115" s="196" t="s">
        <v>761</v>
      </c>
      <c r="GT115" s="197" t="str">
        <f>VLOOKUP(GS115,[13]AssetDetails_UEM!$A$3:$AH$1849,6,FALSE)</f>
        <v>Electrosurgical Units, Monopolar/Bipolar</v>
      </c>
      <c r="GU115" s="196" t="s">
        <v>761</v>
      </c>
      <c r="GV115" s="197" t="str">
        <f>VLOOKUP(GU115,[13]AssetDetails_UEM!$A$3:$AH$1849,6,FALSE)</f>
        <v>Electrosurgical Units, Monopolar/Bipolar</v>
      </c>
      <c r="GW115" s="196" t="s">
        <v>761</v>
      </c>
      <c r="GX115" s="197" t="str">
        <f>VLOOKUP(GW115,[13]AssetDetails_UEM!$A$3:$AH$1849,6,FALSE)</f>
        <v>Electrosurgical Units, Monopolar/Bipolar</v>
      </c>
      <c r="GY115" s="196" t="s">
        <v>761</v>
      </c>
      <c r="GZ115" s="197" t="str">
        <f>VLOOKUP(GY115,[13]AssetDetails_UEM!$A$3:$AH$1849,6,FALSE)</f>
        <v>Electrosurgical Units, Monopolar/Bipolar</v>
      </c>
      <c r="HA115" s="196" t="s">
        <v>761</v>
      </c>
      <c r="HB115" s="197" t="str">
        <f>VLOOKUP(HA115,[13]AssetDetails_UEM!$A$3:$AH$1849,6,FALSE)</f>
        <v>Electrosurgical Units, Monopolar/Bipolar</v>
      </c>
      <c r="HC115" s="196" t="s">
        <v>761</v>
      </c>
      <c r="HD115" s="197" t="str">
        <f>VLOOKUP(HC115,[13]AssetDetails_UEM!$A$3:$AH$1849,6,FALSE)</f>
        <v>Electrosurgical Units, Monopolar/Bipolar</v>
      </c>
      <c r="HE115" s="196" t="s">
        <v>761</v>
      </c>
      <c r="HF115" s="197" t="str">
        <f>VLOOKUP(HE115,[13]AssetDetails_UEM!$A$3:$AH$1849,6,FALSE)</f>
        <v>Electrosurgical Units, Monopolar/Bipolar</v>
      </c>
      <c r="HG115" s="196" t="s">
        <v>761</v>
      </c>
      <c r="HH115" s="197" t="str">
        <f>VLOOKUP(HG115,[13]AssetDetails_UEM!$A$3:$AH$1849,6,FALSE)</f>
        <v>Electrosurgical Units, Monopolar/Bipolar</v>
      </c>
      <c r="HI115" s="196" t="s">
        <v>761</v>
      </c>
      <c r="HJ115" s="197" t="str">
        <f>VLOOKUP(HI115,[13]AssetDetails_UEM!$A$3:$AH$1849,6,FALSE)</f>
        <v>Electrosurgical Units, Monopolar/Bipolar</v>
      </c>
      <c r="HK115" s="196" t="s">
        <v>761</v>
      </c>
      <c r="HL115" s="197" t="str">
        <f>VLOOKUP(HK115,[13]AssetDetails_UEM!$A$3:$AH$1849,6,FALSE)</f>
        <v>Electrosurgical Units, Monopolar/Bipolar</v>
      </c>
      <c r="HM115" s="196" t="s">
        <v>761</v>
      </c>
      <c r="HN115" s="197" t="str">
        <f>VLOOKUP(HM115,[13]AssetDetails_UEM!$A$3:$AH$1849,6,FALSE)</f>
        <v>Electrosurgical Units, Monopolar/Bipolar</v>
      </c>
      <c r="HO115" s="196" t="s">
        <v>761</v>
      </c>
      <c r="HP115" s="197" t="str">
        <f>VLOOKUP(HO115,[13]AssetDetails_UEM!$A$3:$AH$1849,6,FALSE)</f>
        <v>Electrosurgical Units, Monopolar/Bipolar</v>
      </c>
      <c r="HQ115" s="196" t="s">
        <v>761</v>
      </c>
      <c r="HR115" s="197" t="str">
        <f>VLOOKUP(HQ115,[13]AssetDetails_UEM!$A$3:$AH$1849,6,FALSE)</f>
        <v>Electrosurgical Units, Monopolar/Bipolar</v>
      </c>
      <c r="HS115" s="196" t="s">
        <v>761</v>
      </c>
      <c r="HT115" s="197" t="str">
        <f>VLOOKUP(HS115,[13]AssetDetails_UEM!$A$3:$AH$1849,6,FALSE)</f>
        <v>Electrosurgical Units, Monopolar/Bipolar</v>
      </c>
      <c r="HU115" s="196" t="s">
        <v>761</v>
      </c>
      <c r="HV115" s="197" t="str">
        <f>VLOOKUP(HU115,[13]AssetDetails_UEM!$A$3:$AH$1849,6,FALSE)</f>
        <v>Electrosurgical Units, Monopolar/Bipolar</v>
      </c>
      <c r="HW115" s="196" t="s">
        <v>761</v>
      </c>
      <c r="HX115" s="197" t="str">
        <f>VLOOKUP(HW115,[13]AssetDetails_UEM!$A$3:$AH$1849,6,FALSE)</f>
        <v>Electrosurgical Units, Monopolar/Bipolar</v>
      </c>
      <c r="HY115" s="196" t="s">
        <v>761</v>
      </c>
      <c r="HZ115" s="197" t="str">
        <f>VLOOKUP(HY115,[13]AssetDetails_UEM!$A$3:$AH$1849,6,FALSE)</f>
        <v>Electrosurgical Units, Monopolar/Bipolar</v>
      </c>
      <c r="IA115" s="196" t="s">
        <v>761</v>
      </c>
      <c r="IB115" s="197" t="str">
        <f>VLOOKUP(IA115,[13]AssetDetails_UEM!$A$3:$AH$1849,6,FALSE)</f>
        <v>Electrosurgical Units, Monopolar/Bipolar</v>
      </c>
      <c r="IC115" s="196" t="s">
        <v>761</v>
      </c>
      <c r="ID115" s="197" t="str">
        <f>VLOOKUP(IC115,[13]AssetDetails_UEM!$A$3:$AH$1849,6,FALSE)</f>
        <v>Electrosurgical Units, Monopolar/Bipolar</v>
      </c>
      <c r="IE115" s="196" t="s">
        <v>761</v>
      </c>
      <c r="IF115" s="197" t="str">
        <f>VLOOKUP(IE115,[13]AssetDetails_UEM!$A$3:$AH$1849,6,FALSE)</f>
        <v>Electrosurgical Units, Monopolar/Bipolar</v>
      </c>
      <c r="IG115" s="196" t="s">
        <v>761</v>
      </c>
      <c r="IH115" s="197" t="str">
        <f>VLOOKUP(IG115,[13]AssetDetails_UEM!$A$3:$AH$1849,6,FALSE)</f>
        <v>Electrosurgical Units, Monopolar/Bipolar</v>
      </c>
      <c r="II115" s="196" t="s">
        <v>761</v>
      </c>
      <c r="IJ115" s="197" t="str">
        <f>VLOOKUP(II115,[13]AssetDetails_UEM!$A$3:$AH$1849,6,FALSE)</f>
        <v>Electrosurgical Units, Monopolar/Bipolar</v>
      </c>
      <c r="IK115" s="196" t="s">
        <v>761</v>
      </c>
      <c r="IL115" s="197" t="str">
        <f>VLOOKUP(IK115,[13]AssetDetails_UEM!$A$3:$AH$1849,6,FALSE)</f>
        <v>Electrosurgical Units, Monopolar/Bipolar</v>
      </c>
      <c r="IM115" s="196" t="s">
        <v>761</v>
      </c>
      <c r="IN115" s="197" t="str">
        <f>VLOOKUP(IM115,[13]AssetDetails_UEM!$A$3:$AH$1849,6,FALSE)</f>
        <v>Electrosurgical Units, Monopolar/Bipolar</v>
      </c>
      <c r="IO115" s="196" t="s">
        <v>761</v>
      </c>
      <c r="IP115" s="197" t="str">
        <f>VLOOKUP(IO115,[13]AssetDetails_UEM!$A$3:$AH$1849,6,FALSE)</f>
        <v>Electrosurgical Units, Monopolar/Bipolar</v>
      </c>
      <c r="IQ115" s="196" t="s">
        <v>761</v>
      </c>
      <c r="IR115" s="197" t="str">
        <f>VLOOKUP(IQ115,[13]AssetDetails_UEM!$A$3:$AH$1849,6,FALSE)</f>
        <v>Electrosurgical Units, Monopolar/Bipolar</v>
      </c>
      <c r="IS115" s="196" t="s">
        <v>761</v>
      </c>
      <c r="IT115" s="197" t="str">
        <f>VLOOKUP(IS115,[13]AssetDetails_UEM!$A$3:$AH$1849,6,FALSE)</f>
        <v>Electrosurgical Units, Monopolar/Bipolar</v>
      </c>
      <c r="IU115" s="196" t="s">
        <v>761</v>
      </c>
      <c r="IV115" s="197" t="str">
        <f>VLOOKUP(IU115,[13]AssetDetails_UEM!$A$3:$AH$1849,6,FALSE)</f>
        <v>Electrosurgical Units, Monopolar/Bipolar</v>
      </c>
      <c r="IW115" s="196" t="s">
        <v>761</v>
      </c>
      <c r="IX115" s="197" t="str">
        <f>VLOOKUP(IW115,[13]AssetDetails_UEM!$A$3:$AH$1849,6,FALSE)</f>
        <v>Electrosurgical Units, Monopolar/Bipolar</v>
      </c>
      <c r="IY115" s="196" t="s">
        <v>761</v>
      </c>
      <c r="IZ115" s="197" t="str">
        <f>VLOOKUP(IY115,[13]AssetDetails_UEM!$A$3:$AH$1849,6,FALSE)</f>
        <v>Electrosurgical Units, Monopolar/Bipolar</v>
      </c>
      <c r="JA115" s="196" t="s">
        <v>761</v>
      </c>
      <c r="JB115" s="197" t="str">
        <f>VLOOKUP(JA115,[13]AssetDetails_UEM!$A$3:$AH$1849,6,FALSE)</f>
        <v>Electrosurgical Units, Monopolar/Bipolar</v>
      </c>
      <c r="JC115" s="196" t="s">
        <v>761</v>
      </c>
      <c r="JD115" s="197" t="str">
        <f>VLOOKUP(JC115,[13]AssetDetails_UEM!$A$3:$AH$1849,6,FALSE)</f>
        <v>Electrosurgical Units, Monopolar/Bipolar</v>
      </c>
      <c r="JE115" s="196" t="s">
        <v>761</v>
      </c>
      <c r="JF115" s="197" t="str">
        <f>VLOOKUP(JE115,[13]AssetDetails_UEM!$A$3:$AH$1849,6,FALSE)</f>
        <v>Electrosurgical Units, Monopolar/Bipolar</v>
      </c>
      <c r="JG115" s="196" t="s">
        <v>761</v>
      </c>
      <c r="JH115" s="197" t="str">
        <f>VLOOKUP(JG115,[13]AssetDetails_UEM!$A$3:$AH$1849,6,FALSE)</f>
        <v>Electrosurgical Units, Monopolar/Bipolar</v>
      </c>
      <c r="JI115" s="196" t="s">
        <v>761</v>
      </c>
      <c r="JJ115" s="197" t="str">
        <f>VLOOKUP(JI115,[13]AssetDetails_UEM!$A$3:$AH$1849,6,FALSE)</f>
        <v>Electrosurgical Units, Monopolar/Bipolar</v>
      </c>
      <c r="JK115" s="196" t="s">
        <v>761</v>
      </c>
      <c r="JL115" s="197" t="str">
        <f>VLOOKUP(JK115,[13]AssetDetails_UEM!$A$3:$AH$1849,6,FALSE)</f>
        <v>Electrosurgical Units, Monopolar/Bipolar</v>
      </c>
      <c r="JM115" s="196" t="s">
        <v>761</v>
      </c>
      <c r="JN115" s="197" t="str">
        <f>VLOOKUP(JM115,[13]AssetDetails_UEM!$A$3:$AH$1849,6,FALSE)</f>
        <v>Electrosurgical Units, Monopolar/Bipolar</v>
      </c>
      <c r="JO115" s="196" t="s">
        <v>761</v>
      </c>
      <c r="JP115" s="197" t="str">
        <f>VLOOKUP(JO115,[13]AssetDetails_UEM!$A$3:$AH$1849,6,FALSE)</f>
        <v>Electrosurgical Units, Monopolar/Bipolar</v>
      </c>
      <c r="JQ115" s="196" t="s">
        <v>761</v>
      </c>
      <c r="JR115" s="197" t="str">
        <f>VLOOKUP(JQ115,[13]AssetDetails_UEM!$A$3:$AH$1849,6,FALSE)</f>
        <v>Electrosurgical Units, Monopolar/Bipolar</v>
      </c>
      <c r="JS115" s="196" t="s">
        <v>761</v>
      </c>
      <c r="JT115" s="197" t="str">
        <f>VLOOKUP(JS115,[13]AssetDetails_UEM!$A$3:$AH$1849,6,FALSE)</f>
        <v>Electrosurgical Units, Monopolar/Bipolar</v>
      </c>
      <c r="JU115" s="196" t="s">
        <v>761</v>
      </c>
      <c r="JV115" s="197" t="str">
        <f>VLOOKUP(JU115,[13]AssetDetails_UEM!$A$3:$AH$1849,6,FALSE)</f>
        <v>Electrosurgical Units, Monopolar/Bipolar</v>
      </c>
      <c r="JW115" s="196" t="s">
        <v>761</v>
      </c>
      <c r="JX115" s="197" t="str">
        <f>VLOOKUP(JW115,[13]AssetDetails_UEM!$A$3:$AH$1849,6,FALSE)</f>
        <v>Electrosurgical Units, Monopolar/Bipolar</v>
      </c>
      <c r="JY115" s="196" t="s">
        <v>761</v>
      </c>
      <c r="JZ115" s="197" t="str">
        <f>VLOOKUP(JY115,[13]AssetDetails_UEM!$A$3:$AH$1849,6,FALSE)</f>
        <v>Electrosurgical Units, Monopolar/Bipolar</v>
      </c>
      <c r="KA115" s="196" t="s">
        <v>761</v>
      </c>
      <c r="KB115" s="197" t="str">
        <f>VLOOKUP(KA115,[13]AssetDetails_UEM!$A$3:$AH$1849,6,FALSE)</f>
        <v>Electrosurgical Units, Monopolar/Bipolar</v>
      </c>
      <c r="KC115" s="196" t="s">
        <v>761</v>
      </c>
      <c r="KD115" s="197" t="str">
        <f>VLOOKUP(KC115,[13]AssetDetails_UEM!$A$3:$AH$1849,6,FALSE)</f>
        <v>Electrosurgical Units, Monopolar/Bipolar</v>
      </c>
      <c r="KE115" s="196" t="s">
        <v>761</v>
      </c>
      <c r="KF115" s="197" t="str">
        <f>VLOOKUP(KE115,[13]AssetDetails_UEM!$A$3:$AH$1849,6,FALSE)</f>
        <v>Electrosurgical Units, Monopolar/Bipolar</v>
      </c>
      <c r="KG115" s="196" t="s">
        <v>761</v>
      </c>
      <c r="KH115" s="197" t="str">
        <f>VLOOKUP(KG115,[13]AssetDetails_UEM!$A$3:$AH$1849,6,FALSE)</f>
        <v>Electrosurgical Units, Monopolar/Bipolar</v>
      </c>
      <c r="KI115" s="196" t="s">
        <v>761</v>
      </c>
      <c r="KJ115" s="197" t="str">
        <f>VLOOKUP(KI115,[13]AssetDetails_UEM!$A$3:$AH$1849,6,FALSE)</f>
        <v>Electrosurgical Units, Monopolar/Bipolar</v>
      </c>
      <c r="KK115" s="196" t="s">
        <v>761</v>
      </c>
      <c r="KL115" s="197" t="str">
        <f>VLOOKUP(KK115,[13]AssetDetails_UEM!$A$3:$AH$1849,6,FALSE)</f>
        <v>Electrosurgical Units, Monopolar/Bipolar</v>
      </c>
      <c r="KM115" s="196" t="s">
        <v>761</v>
      </c>
      <c r="KN115" s="197" t="str">
        <f>VLOOKUP(KM115,[13]AssetDetails_UEM!$A$3:$AH$1849,6,FALSE)</f>
        <v>Electrosurgical Units, Monopolar/Bipolar</v>
      </c>
      <c r="KO115" s="196" t="s">
        <v>761</v>
      </c>
      <c r="KP115" s="197" t="str">
        <f>VLOOKUP(KO115,[13]AssetDetails_UEM!$A$3:$AH$1849,6,FALSE)</f>
        <v>Electrosurgical Units, Monopolar/Bipolar</v>
      </c>
      <c r="KQ115" s="196" t="s">
        <v>761</v>
      </c>
      <c r="KR115" s="197" t="str">
        <f>VLOOKUP(KQ115,[13]AssetDetails_UEM!$A$3:$AH$1849,6,FALSE)</f>
        <v>Electrosurgical Units, Monopolar/Bipolar</v>
      </c>
      <c r="KS115" s="196" t="s">
        <v>761</v>
      </c>
      <c r="KT115" s="197" t="str">
        <f>VLOOKUP(KS115,[13]AssetDetails_UEM!$A$3:$AH$1849,6,FALSE)</f>
        <v>Electrosurgical Units, Monopolar/Bipolar</v>
      </c>
      <c r="KU115" s="196" t="s">
        <v>761</v>
      </c>
      <c r="KV115" s="197" t="str">
        <f>VLOOKUP(KU115,[13]AssetDetails_UEM!$A$3:$AH$1849,6,FALSE)</f>
        <v>Electrosurgical Units, Monopolar/Bipolar</v>
      </c>
      <c r="KW115" s="196" t="s">
        <v>761</v>
      </c>
      <c r="KX115" s="197" t="str">
        <f>VLOOKUP(KW115,[13]AssetDetails_UEM!$A$3:$AH$1849,6,FALSE)</f>
        <v>Electrosurgical Units, Monopolar/Bipolar</v>
      </c>
      <c r="KY115" s="196" t="s">
        <v>761</v>
      </c>
      <c r="KZ115" s="197" t="str">
        <f>VLOOKUP(KY115,[13]AssetDetails_UEM!$A$3:$AH$1849,6,FALSE)</f>
        <v>Electrosurgical Units, Monopolar/Bipolar</v>
      </c>
      <c r="LA115" s="196" t="s">
        <v>761</v>
      </c>
      <c r="LB115" s="197" t="str">
        <f>VLOOKUP(LA115,[13]AssetDetails_UEM!$A$3:$AH$1849,6,FALSE)</f>
        <v>Electrosurgical Units, Monopolar/Bipolar</v>
      </c>
      <c r="LC115" s="196" t="s">
        <v>761</v>
      </c>
      <c r="LD115" s="197" t="str">
        <f>VLOOKUP(LC115,[13]AssetDetails_UEM!$A$3:$AH$1849,6,FALSE)</f>
        <v>Electrosurgical Units, Monopolar/Bipolar</v>
      </c>
      <c r="LE115" s="196" t="s">
        <v>761</v>
      </c>
      <c r="LF115" s="197" t="str">
        <f>VLOOKUP(LE115,[13]AssetDetails_UEM!$A$3:$AH$1849,6,FALSE)</f>
        <v>Electrosurgical Units, Monopolar/Bipolar</v>
      </c>
      <c r="LG115" s="196" t="s">
        <v>761</v>
      </c>
      <c r="LH115" s="197" t="str">
        <f>VLOOKUP(LG115,[13]AssetDetails_UEM!$A$3:$AH$1849,6,FALSE)</f>
        <v>Electrosurgical Units, Monopolar/Bipolar</v>
      </c>
      <c r="LI115" s="196" t="s">
        <v>761</v>
      </c>
      <c r="LJ115" s="197" t="str">
        <f>VLOOKUP(LI115,[13]AssetDetails_UEM!$A$3:$AH$1849,6,FALSE)</f>
        <v>Electrosurgical Units, Monopolar/Bipolar</v>
      </c>
      <c r="LK115" s="196" t="s">
        <v>761</v>
      </c>
      <c r="LL115" s="197" t="str">
        <f>VLOOKUP(LK115,[13]AssetDetails_UEM!$A$3:$AH$1849,6,FALSE)</f>
        <v>Electrosurgical Units, Monopolar/Bipolar</v>
      </c>
      <c r="LM115" s="196" t="s">
        <v>761</v>
      </c>
      <c r="LN115" s="197" t="str">
        <f>VLOOKUP(LM115,[13]AssetDetails_UEM!$A$3:$AH$1849,6,FALSE)</f>
        <v>Electrosurgical Units, Monopolar/Bipolar</v>
      </c>
      <c r="LO115" s="196" t="s">
        <v>761</v>
      </c>
      <c r="LP115" s="197" t="str">
        <f>VLOOKUP(LO115,[13]AssetDetails_UEM!$A$3:$AH$1849,6,FALSE)</f>
        <v>Electrosurgical Units, Monopolar/Bipolar</v>
      </c>
      <c r="LQ115" s="196" t="s">
        <v>761</v>
      </c>
      <c r="LR115" s="197" t="str">
        <f>VLOOKUP(LQ115,[13]AssetDetails_UEM!$A$3:$AH$1849,6,FALSE)</f>
        <v>Electrosurgical Units, Monopolar/Bipolar</v>
      </c>
      <c r="LS115" s="196" t="s">
        <v>761</v>
      </c>
      <c r="LT115" s="197" t="str">
        <f>VLOOKUP(LS115,[13]AssetDetails_UEM!$A$3:$AH$1849,6,FALSE)</f>
        <v>Electrosurgical Units, Monopolar/Bipolar</v>
      </c>
      <c r="LU115" s="196" t="s">
        <v>761</v>
      </c>
      <c r="LV115" s="197" t="str">
        <f>VLOOKUP(LU115,[13]AssetDetails_UEM!$A$3:$AH$1849,6,FALSE)</f>
        <v>Electrosurgical Units, Monopolar/Bipolar</v>
      </c>
      <c r="LW115" s="196" t="s">
        <v>761</v>
      </c>
      <c r="LX115" s="197" t="str">
        <f>VLOOKUP(LW115,[13]AssetDetails_UEM!$A$3:$AH$1849,6,FALSE)</f>
        <v>Electrosurgical Units, Monopolar/Bipolar</v>
      </c>
      <c r="LY115" s="196" t="s">
        <v>761</v>
      </c>
      <c r="LZ115" s="197" t="str">
        <f>VLOOKUP(LY115,[13]AssetDetails_UEM!$A$3:$AH$1849,6,FALSE)</f>
        <v>Electrosurgical Units, Monopolar/Bipolar</v>
      </c>
      <c r="MA115" s="196" t="s">
        <v>761</v>
      </c>
      <c r="MB115" s="197" t="str">
        <f>VLOOKUP(MA115,[13]AssetDetails_UEM!$A$3:$AH$1849,6,FALSE)</f>
        <v>Electrosurgical Units, Monopolar/Bipolar</v>
      </c>
      <c r="MC115" s="196" t="s">
        <v>761</v>
      </c>
      <c r="MD115" s="197" t="str">
        <f>VLOOKUP(MC115,[13]AssetDetails_UEM!$A$3:$AH$1849,6,FALSE)</f>
        <v>Electrosurgical Units, Monopolar/Bipolar</v>
      </c>
      <c r="ME115" s="196" t="s">
        <v>761</v>
      </c>
      <c r="MF115" s="197" t="str">
        <f>VLOOKUP(ME115,[13]AssetDetails_UEM!$A$3:$AH$1849,6,FALSE)</f>
        <v>Electrosurgical Units, Monopolar/Bipolar</v>
      </c>
      <c r="MG115" s="196" t="s">
        <v>761</v>
      </c>
      <c r="MH115" s="197" t="str">
        <f>VLOOKUP(MG115,[13]AssetDetails_UEM!$A$3:$AH$1849,6,FALSE)</f>
        <v>Electrosurgical Units, Monopolar/Bipolar</v>
      </c>
      <c r="MI115" s="196" t="s">
        <v>761</v>
      </c>
      <c r="MJ115" s="197" t="str">
        <f>VLOOKUP(MI115,[13]AssetDetails_UEM!$A$3:$AH$1849,6,FALSE)</f>
        <v>Electrosurgical Units, Monopolar/Bipolar</v>
      </c>
      <c r="MK115" s="196" t="s">
        <v>761</v>
      </c>
      <c r="ML115" s="197" t="str">
        <f>VLOOKUP(MK115,[13]AssetDetails_UEM!$A$3:$AH$1849,6,FALSE)</f>
        <v>Electrosurgical Units, Monopolar/Bipolar</v>
      </c>
      <c r="MM115" s="196" t="s">
        <v>761</v>
      </c>
      <c r="MN115" s="197" t="str">
        <f>VLOOKUP(MM115,[13]AssetDetails_UEM!$A$3:$AH$1849,6,FALSE)</f>
        <v>Electrosurgical Units, Monopolar/Bipolar</v>
      </c>
      <c r="MO115" s="196" t="s">
        <v>761</v>
      </c>
      <c r="MP115" s="197" t="str">
        <f>VLOOKUP(MO115,[13]AssetDetails_UEM!$A$3:$AH$1849,6,FALSE)</f>
        <v>Electrosurgical Units, Monopolar/Bipolar</v>
      </c>
      <c r="MQ115" s="196" t="s">
        <v>761</v>
      </c>
      <c r="MR115" s="197" t="str">
        <f>VLOOKUP(MQ115,[13]AssetDetails_UEM!$A$3:$AH$1849,6,FALSE)</f>
        <v>Electrosurgical Units, Monopolar/Bipolar</v>
      </c>
      <c r="MS115" s="196" t="s">
        <v>761</v>
      </c>
      <c r="MT115" s="197" t="str">
        <f>VLOOKUP(MS115,[13]AssetDetails_UEM!$A$3:$AH$1849,6,FALSE)</f>
        <v>Electrosurgical Units, Monopolar/Bipolar</v>
      </c>
      <c r="MU115" s="196" t="s">
        <v>761</v>
      </c>
      <c r="MV115" s="197" t="str">
        <f>VLOOKUP(MU115,[13]AssetDetails_UEM!$A$3:$AH$1849,6,FALSE)</f>
        <v>Electrosurgical Units, Monopolar/Bipolar</v>
      </c>
      <c r="MW115" s="196" t="s">
        <v>761</v>
      </c>
      <c r="MX115" s="197" t="str">
        <f>VLOOKUP(MW115,[13]AssetDetails_UEM!$A$3:$AH$1849,6,FALSE)</f>
        <v>Electrosurgical Units, Monopolar/Bipolar</v>
      </c>
      <c r="MY115" s="196" t="s">
        <v>761</v>
      </c>
      <c r="MZ115" s="197" t="str">
        <f>VLOOKUP(MY115,[13]AssetDetails_UEM!$A$3:$AH$1849,6,FALSE)</f>
        <v>Electrosurgical Units, Monopolar/Bipolar</v>
      </c>
      <c r="NA115" s="196" t="s">
        <v>761</v>
      </c>
      <c r="NB115" s="197" t="str">
        <f>VLOOKUP(NA115,[13]AssetDetails_UEM!$A$3:$AH$1849,6,FALSE)</f>
        <v>Electrosurgical Units, Monopolar/Bipolar</v>
      </c>
      <c r="NC115" s="196" t="s">
        <v>761</v>
      </c>
      <c r="ND115" s="197" t="str">
        <f>VLOOKUP(NC115,[13]AssetDetails_UEM!$A$3:$AH$1849,6,FALSE)</f>
        <v>Electrosurgical Units, Monopolar/Bipolar</v>
      </c>
      <c r="NE115" s="196" t="s">
        <v>761</v>
      </c>
      <c r="NF115" s="197" t="str">
        <f>VLOOKUP(NE115,[13]AssetDetails_UEM!$A$3:$AH$1849,6,FALSE)</f>
        <v>Electrosurgical Units, Monopolar/Bipolar</v>
      </c>
      <c r="NG115" s="196" t="s">
        <v>761</v>
      </c>
      <c r="NH115" s="197" t="str">
        <f>VLOOKUP(NG115,[13]AssetDetails_UEM!$A$3:$AH$1849,6,FALSE)</f>
        <v>Electrosurgical Units, Monopolar/Bipolar</v>
      </c>
      <c r="NI115" s="196" t="s">
        <v>761</v>
      </c>
      <c r="NJ115" s="197" t="str">
        <f>VLOOKUP(NI115,[13]AssetDetails_UEM!$A$3:$AH$1849,6,FALSE)</f>
        <v>Electrosurgical Units, Monopolar/Bipolar</v>
      </c>
      <c r="NK115" s="196" t="s">
        <v>761</v>
      </c>
      <c r="NL115" s="197" t="str">
        <f>VLOOKUP(NK115,[13]AssetDetails_UEM!$A$3:$AH$1849,6,FALSE)</f>
        <v>Electrosurgical Units, Monopolar/Bipolar</v>
      </c>
      <c r="NM115" s="196" t="s">
        <v>761</v>
      </c>
      <c r="NN115" s="197" t="str">
        <f>VLOOKUP(NM115,[13]AssetDetails_UEM!$A$3:$AH$1849,6,FALSE)</f>
        <v>Electrosurgical Units, Monopolar/Bipolar</v>
      </c>
      <c r="NO115" s="196" t="s">
        <v>761</v>
      </c>
      <c r="NP115" s="197" t="str">
        <f>VLOOKUP(NO115,[13]AssetDetails_UEM!$A$3:$AH$1849,6,FALSE)</f>
        <v>Electrosurgical Units, Monopolar/Bipolar</v>
      </c>
      <c r="NQ115" s="196" t="s">
        <v>761</v>
      </c>
      <c r="NR115" s="197" t="str">
        <f>VLOOKUP(NQ115,[13]AssetDetails_UEM!$A$3:$AH$1849,6,FALSE)</f>
        <v>Electrosurgical Units, Monopolar/Bipolar</v>
      </c>
      <c r="NS115" s="196" t="s">
        <v>761</v>
      </c>
      <c r="NT115" s="197" t="str">
        <f>VLOOKUP(NS115,[13]AssetDetails_UEM!$A$3:$AH$1849,6,FALSE)</f>
        <v>Electrosurgical Units, Monopolar/Bipolar</v>
      </c>
      <c r="NU115" s="196" t="s">
        <v>761</v>
      </c>
      <c r="NV115" s="197" t="str">
        <f>VLOOKUP(NU115,[13]AssetDetails_UEM!$A$3:$AH$1849,6,FALSE)</f>
        <v>Electrosurgical Units, Monopolar/Bipolar</v>
      </c>
      <c r="NW115" s="196" t="s">
        <v>761</v>
      </c>
      <c r="NX115" s="197" t="str">
        <f>VLOOKUP(NW115,[13]AssetDetails_UEM!$A$3:$AH$1849,6,FALSE)</f>
        <v>Electrosurgical Units, Monopolar/Bipolar</v>
      </c>
      <c r="NY115" s="196" t="s">
        <v>761</v>
      </c>
      <c r="NZ115" s="197" t="str">
        <f>VLOOKUP(NY115,[13]AssetDetails_UEM!$A$3:$AH$1849,6,FALSE)</f>
        <v>Electrosurgical Units, Monopolar/Bipolar</v>
      </c>
      <c r="OA115" s="196" t="s">
        <v>761</v>
      </c>
      <c r="OB115" s="197" t="str">
        <f>VLOOKUP(OA115,[13]AssetDetails_UEM!$A$3:$AH$1849,6,FALSE)</f>
        <v>Electrosurgical Units, Monopolar/Bipolar</v>
      </c>
      <c r="OC115" s="196" t="s">
        <v>761</v>
      </c>
      <c r="OD115" s="197" t="str">
        <f>VLOOKUP(OC115,[13]AssetDetails_UEM!$A$3:$AH$1849,6,FALSE)</f>
        <v>Electrosurgical Units, Monopolar/Bipolar</v>
      </c>
      <c r="OE115" s="196" t="s">
        <v>761</v>
      </c>
      <c r="OF115" s="197" t="str">
        <f>VLOOKUP(OE115,[13]AssetDetails_UEM!$A$3:$AH$1849,6,FALSE)</f>
        <v>Electrosurgical Units, Monopolar/Bipolar</v>
      </c>
      <c r="OG115" s="196" t="s">
        <v>761</v>
      </c>
      <c r="OH115" s="197" t="str">
        <f>VLOOKUP(OG115,[13]AssetDetails_UEM!$A$3:$AH$1849,6,FALSE)</f>
        <v>Electrosurgical Units, Monopolar/Bipolar</v>
      </c>
      <c r="OI115" s="196" t="s">
        <v>761</v>
      </c>
      <c r="OJ115" s="197" t="str">
        <f>VLOOKUP(OI115,[13]AssetDetails_UEM!$A$3:$AH$1849,6,FALSE)</f>
        <v>Electrosurgical Units, Monopolar/Bipolar</v>
      </c>
      <c r="OK115" s="196" t="s">
        <v>761</v>
      </c>
      <c r="OL115" s="197" t="str">
        <f>VLOOKUP(OK115,[13]AssetDetails_UEM!$A$3:$AH$1849,6,FALSE)</f>
        <v>Electrosurgical Units, Monopolar/Bipolar</v>
      </c>
      <c r="OM115" s="196" t="s">
        <v>761</v>
      </c>
      <c r="ON115" s="197" t="str">
        <f>VLOOKUP(OM115,[13]AssetDetails_UEM!$A$3:$AH$1849,6,FALSE)</f>
        <v>Electrosurgical Units, Monopolar/Bipolar</v>
      </c>
      <c r="OO115" s="196" t="s">
        <v>761</v>
      </c>
      <c r="OP115" s="197" t="str">
        <f>VLOOKUP(OO115,[13]AssetDetails_UEM!$A$3:$AH$1849,6,FALSE)</f>
        <v>Electrosurgical Units, Monopolar/Bipolar</v>
      </c>
      <c r="OQ115" s="196" t="s">
        <v>761</v>
      </c>
      <c r="OR115" s="197" t="str">
        <f>VLOOKUP(OQ115,[13]AssetDetails_UEM!$A$3:$AH$1849,6,FALSE)</f>
        <v>Electrosurgical Units, Monopolar/Bipolar</v>
      </c>
      <c r="OS115" s="196" t="s">
        <v>761</v>
      </c>
      <c r="OT115" s="197" t="str">
        <f>VLOOKUP(OS115,[13]AssetDetails_UEM!$A$3:$AH$1849,6,FALSE)</f>
        <v>Electrosurgical Units, Monopolar/Bipolar</v>
      </c>
      <c r="OU115" s="196" t="s">
        <v>761</v>
      </c>
      <c r="OV115" s="197" t="str">
        <f>VLOOKUP(OU115,[13]AssetDetails_UEM!$A$3:$AH$1849,6,FALSE)</f>
        <v>Electrosurgical Units, Monopolar/Bipolar</v>
      </c>
      <c r="OW115" s="196" t="s">
        <v>761</v>
      </c>
      <c r="OX115" s="197" t="str">
        <f>VLOOKUP(OW115,[13]AssetDetails_UEM!$A$3:$AH$1849,6,FALSE)</f>
        <v>Electrosurgical Units, Monopolar/Bipolar</v>
      </c>
      <c r="OY115" s="196" t="s">
        <v>761</v>
      </c>
      <c r="OZ115" s="197" t="str">
        <f>VLOOKUP(OY115,[13]AssetDetails_UEM!$A$3:$AH$1849,6,FALSE)</f>
        <v>Electrosurgical Units, Monopolar/Bipolar</v>
      </c>
      <c r="PA115" s="196" t="s">
        <v>761</v>
      </c>
      <c r="PB115" s="197" t="str">
        <f>VLOOKUP(PA115,[13]AssetDetails_UEM!$A$3:$AH$1849,6,FALSE)</f>
        <v>Electrosurgical Units, Monopolar/Bipolar</v>
      </c>
      <c r="PC115" s="196" t="s">
        <v>761</v>
      </c>
      <c r="PD115" s="197" t="str">
        <f>VLOOKUP(PC115,[13]AssetDetails_UEM!$A$3:$AH$1849,6,FALSE)</f>
        <v>Electrosurgical Units, Monopolar/Bipolar</v>
      </c>
      <c r="PE115" s="196" t="s">
        <v>761</v>
      </c>
      <c r="PF115" s="197" t="str">
        <f>VLOOKUP(PE115,[13]AssetDetails_UEM!$A$3:$AH$1849,6,FALSE)</f>
        <v>Electrosurgical Units, Monopolar/Bipolar</v>
      </c>
      <c r="PG115" s="196" t="s">
        <v>761</v>
      </c>
      <c r="PH115" s="197" t="str">
        <f>VLOOKUP(PG115,[13]AssetDetails_UEM!$A$3:$AH$1849,6,FALSE)</f>
        <v>Electrosurgical Units, Monopolar/Bipolar</v>
      </c>
      <c r="PI115" s="196" t="s">
        <v>761</v>
      </c>
      <c r="PJ115" s="197" t="str">
        <f>VLOOKUP(PI115,[13]AssetDetails_UEM!$A$3:$AH$1849,6,FALSE)</f>
        <v>Electrosurgical Units, Monopolar/Bipolar</v>
      </c>
      <c r="PK115" s="196" t="s">
        <v>761</v>
      </c>
      <c r="PL115" s="197" t="str">
        <f>VLOOKUP(PK115,[13]AssetDetails_UEM!$A$3:$AH$1849,6,FALSE)</f>
        <v>Electrosurgical Units, Monopolar/Bipolar</v>
      </c>
      <c r="PM115" s="196" t="s">
        <v>761</v>
      </c>
      <c r="PN115" s="197" t="str">
        <f>VLOOKUP(PM115,[13]AssetDetails_UEM!$A$3:$AH$1849,6,FALSE)</f>
        <v>Electrosurgical Units, Monopolar/Bipolar</v>
      </c>
      <c r="PO115" s="196" t="s">
        <v>761</v>
      </c>
      <c r="PP115" s="197" t="str">
        <f>VLOOKUP(PO115,[13]AssetDetails_UEM!$A$3:$AH$1849,6,FALSE)</f>
        <v>Electrosurgical Units, Monopolar/Bipolar</v>
      </c>
      <c r="PQ115" s="196" t="s">
        <v>761</v>
      </c>
      <c r="PR115" s="197" t="str">
        <f>VLOOKUP(PQ115,[13]AssetDetails_UEM!$A$3:$AH$1849,6,FALSE)</f>
        <v>Electrosurgical Units, Monopolar/Bipolar</v>
      </c>
      <c r="PS115" s="196" t="s">
        <v>761</v>
      </c>
      <c r="PT115" s="197" t="str">
        <f>VLOOKUP(PS115,[13]AssetDetails_UEM!$A$3:$AH$1849,6,FALSE)</f>
        <v>Electrosurgical Units, Monopolar/Bipolar</v>
      </c>
      <c r="PU115" s="196" t="s">
        <v>761</v>
      </c>
      <c r="PV115" s="197" t="str">
        <f>VLOOKUP(PU115,[13]AssetDetails_UEM!$A$3:$AH$1849,6,FALSE)</f>
        <v>Electrosurgical Units, Monopolar/Bipolar</v>
      </c>
      <c r="PW115" s="196" t="s">
        <v>761</v>
      </c>
      <c r="PX115" s="197" t="str">
        <f>VLOOKUP(PW115,[13]AssetDetails_UEM!$A$3:$AH$1849,6,FALSE)</f>
        <v>Electrosurgical Units, Monopolar/Bipolar</v>
      </c>
      <c r="PY115" s="196" t="s">
        <v>761</v>
      </c>
      <c r="PZ115" s="197" t="str">
        <f>VLOOKUP(PY115,[13]AssetDetails_UEM!$A$3:$AH$1849,6,FALSE)</f>
        <v>Electrosurgical Units, Monopolar/Bipolar</v>
      </c>
      <c r="QA115" s="196" t="s">
        <v>761</v>
      </c>
      <c r="QB115" s="197" t="str">
        <f>VLOOKUP(QA115,[13]AssetDetails_UEM!$A$3:$AH$1849,6,FALSE)</f>
        <v>Electrosurgical Units, Monopolar/Bipolar</v>
      </c>
      <c r="QC115" s="196" t="s">
        <v>761</v>
      </c>
      <c r="QD115" s="197" t="str">
        <f>VLOOKUP(QC115,[13]AssetDetails_UEM!$A$3:$AH$1849,6,FALSE)</f>
        <v>Electrosurgical Units, Monopolar/Bipolar</v>
      </c>
      <c r="QE115" s="196" t="s">
        <v>761</v>
      </c>
      <c r="QF115" s="197" t="str">
        <f>VLOOKUP(QE115,[13]AssetDetails_UEM!$A$3:$AH$1849,6,FALSE)</f>
        <v>Electrosurgical Units, Monopolar/Bipolar</v>
      </c>
      <c r="QG115" s="196" t="s">
        <v>761</v>
      </c>
      <c r="QH115" s="197" t="str">
        <f>VLOOKUP(QG115,[13]AssetDetails_UEM!$A$3:$AH$1849,6,FALSE)</f>
        <v>Electrosurgical Units, Monopolar/Bipolar</v>
      </c>
      <c r="QI115" s="196" t="s">
        <v>761</v>
      </c>
      <c r="QJ115" s="197" t="str">
        <f>VLOOKUP(QI115,[13]AssetDetails_UEM!$A$3:$AH$1849,6,FALSE)</f>
        <v>Electrosurgical Units, Monopolar/Bipolar</v>
      </c>
      <c r="QK115" s="196" t="s">
        <v>761</v>
      </c>
      <c r="QL115" s="197" t="str">
        <f>VLOOKUP(QK115,[13]AssetDetails_UEM!$A$3:$AH$1849,6,FALSE)</f>
        <v>Electrosurgical Units, Monopolar/Bipolar</v>
      </c>
      <c r="QM115" s="196" t="s">
        <v>761</v>
      </c>
      <c r="QN115" s="197" t="str">
        <f>VLOOKUP(QM115,[13]AssetDetails_UEM!$A$3:$AH$1849,6,FALSE)</f>
        <v>Electrosurgical Units, Monopolar/Bipolar</v>
      </c>
      <c r="QO115" s="196" t="s">
        <v>761</v>
      </c>
      <c r="QP115" s="197" t="str">
        <f>VLOOKUP(QO115,[13]AssetDetails_UEM!$A$3:$AH$1849,6,FALSE)</f>
        <v>Electrosurgical Units, Monopolar/Bipolar</v>
      </c>
      <c r="QQ115" s="196" t="s">
        <v>761</v>
      </c>
      <c r="QR115" s="197" t="str">
        <f>VLOOKUP(QQ115,[13]AssetDetails_UEM!$A$3:$AH$1849,6,FALSE)</f>
        <v>Electrosurgical Units, Monopolar/Bipolar</v>
      </c>
      <c r="QS115" s="196" t="s">
        <v>761</v>
      </c>
      <c r="QT115" s="197" t="str">
        <f>VLOOKUP(QS115,[13]AssetDetails_UEM!$A$3:$AH$1849,6,FALSE)</f>
        <v>Electrosurgical Units, Monopolar/Bipolar</v>
      </c>
      <c r="QU115" s="196" t="s">
        <v>761</v>
      </c>
      <c r="QV115" s="197" t="str">
        <f>VLOOKUP(QU115,[13]AssetDetails_UEM!$A$3:$AH$1849,6,FALSE)</f>
        <v>Electrosurgical Units, Monopolar/Bipolar</v>
      </c>
      <c r="QW115" s="196" t="s">
        <v>761</v>
      </c>
      <c r="QX115" s="197" t="str">
        <f>VLOOKUP(QW115,[13]AssetDetails_UEM!$A$3:$AH$1849,6,FALSE)</f>
        <v>Electrosurgical Units, Monopolar/Bipolar</v>
      </c>
      <c r="QY115" s="196" t="s">
        <v>761</v>
      </c>
      <c r="QZ115" s="197" t="str">
        <f>VLOOKUP(QY115,[13]AssetDetails_UEM!$A$3:$AH$1849,6,FALSE)</f>
        <v>Electrosurgical Units, Monopolar/Bipolar</v>
      </c>
      <c r="RA115" s="196" t="s">
        <v>761</v>
      </c>
      <c r="RB115" s="197" t="str">
        <f>VLOOKUP(RA115,[13]AssetDetails_UEM!$A$3:$AH$1849,6,FALSE)</f>
        <v>Electrosurgical Units, Monopolar/Bipolar</v>
      </c>
      <c r="RC115" s="196" t="s">
        <v>761</v>
      </c>
      <c r="RD115" s="197" t="str">
        <f>VLOOKUP(RC115,[13]AssetDetails_UEM!$A$3:$AH$1849,6,FALSE)</f>
        <v>Electrosurgical Units, Monopolar/Bipolar</v>
      </c>
      <c r="RE115" s="196" t="s">
        <v>761</v>
      </c>
      <c r="RF115" s="197" t="str">
        <f>VLOOKUP(RE115,[13]AssetDetails_UEM!$A$3:$AH$1849,6,FALSE)</f>
        <v>Electrosurgical Units, Monopolar/Bipolar</v>
      </c>
      <c r="RG115" s="196" t="s">
        <v>761</v>
      </c>
      <c r="RH115" s="197" t="str">
        <f>VLOOKUP(RG115,[13]AssetDetails_UEM!$A$3:$AH$1849,6,FALSE)</f>
        <v>Electrosurgical Units, Monopolar/Bipolar</v>
      </c>
      <c r="RI115" s="196" t="s">
        <v>761</v>
      </c>
      <c r="RJ115" s="197" t="str">
        <f>VLOOKUP(RI115,[13]AssetDetails_UEM!$A$3:$AH$1849,6,FALSE)</f>
        <v>Electrosurgical Units, Monopolar/Bipolar</v>
      </c>
      <c r="RK115" s="196" t="s">
        <v>761</v>
      </c>
      <c r="RL115" s="197" t="str">
        <f>VLOOKUP(RK115,[13]AssetDetails_UEM!$A$3:$AH$1849,6,FALSE)</f>
        <v>Electrosurgical Units, Monopolar/Bipolar</v>
      </c>
      <c r="RM115" s="196" t="s">
        <v>761</v>
      </c>
      <c r="RN115" s="197" t="str">
        <f>VLOOKUP(RM115,[13]AssetDetails_UEM!$A$3:$AH$1849,6,FALSE)</f>
        <v>Electrosurgical Units, Monopolar/Bipolar</v>
      </c>
      <c r="RO115" s="196" t="s">
        <v>761</v>
      </c>
      <c r="RP115" s="197" t="str">
        <f>VLOOKUP(RO115,[13]AssetDetails_UEM!$A$3:$AH$1849,6,FALSE)</f>
        <v>Electrosurgical Units, Monopolar/Bipolar</v>
      </c>
      <c r="RQ115" s="196" t="s">
        <v>761</v>
      </c>
      <c r="RR115" s="197" t="str">
        <f>VLOOKUP(RQ115,[13]AssetDetails_UEM!$A$3:$AH$1849,6,FALSE)</f>
        <v>Electrosurgical Units, Monopolar/Bipolar</v>
      </c>
      <c r="RS115" s="196" t="s">
        <v>761</v>
      </c>
      <c r="RT115" s="197" t="str">
        <f>VLOOKUP(RS115,[13]AssetDetails_UEM!$A$3:$AH$1849,6,FALSE)</f>
        <v>Electrosurgical Units, Monopolar/Bipolar</v>
      </c>
      <c r="RU115" s="196" t="s">
        <v>761</v>
      </c>
      <c r="RV115" s="197" t="str">
        <f>VLOOKUP(RU115,[13]AssetDetails_UEM!$A$3:$AH$1849,6,FALSE)</f>
        <v>Electrosurgical Units, Monopolar/Bipolar</v>
      </c>
      <c r="RW115" s="196" t="s">
        <v>761</v>
      </c>
      <c r="RX115" s="197" t="str">
        <f>VLOOKUP(RW115,[13]AssetDetails_UEM!$A$3:$AH$1849,6,FALSE)</f>
        <v>Electrosurgical Units, Monopolar/Bipolar</v>
      </c>
      <c r="RY115" s="196" t="s">
        <v>761</v>
      </c>
      <c r="RZ115" s="197" t="str">
        <f>VLOOKUP(RY115,[13]AssetDetails_UEM!$A$3:$AH$1849,6,FALSE)</f>
        <v>Electrosurgical Units, Monopolar/Bipolar</v>
      </c>
      <c r="SA115" s="196" t="s">
        <v>761</v>
      </c>
      <c r="SB115" s="197" t="str">
        <f>VLOOKUP(SA115,[13]AssetDetails_UEM!$A$3:$AH$1849,6,FALSE)</f>
        <v>Electrosurgical Units, Monopolar/Bipolar</v>
      </c>
      <c r="SC115" s="196" t="s">
        <v>761</v>
      </c>
      <c r="SD115" s="197" t="str">
        <f>VLOOKUP(SC115,[13]AssetDetails_UEM!$A$3:$AH$1849,6,FALSE)</f>
        <v>Electrosurgical Units, Monopolar/Bipolar</v>
      </c>
      <c r="SE115" s="196" t="s">
        <v>761</v>
      </c>
      <c r="SF115" s="197" t="str">
        <f>VLOOKUP(SE115,[13]AssetDetails_UEM!$A$3:$AH$1849,6,FALSE)</f>
        <v>Electrosurgical Units, Monopolar/Bipolar</v>
      </c>
      <c r="SG115" s="196" t="s">
        <v>761</v>
      </c>
      <c r="SH115" s="197" t="str">
        <f>VLOOKUP(SG115,[13]AssetDetails_UEM!$A$3:$AH$1849,6,FALSE)</f>
        <v>Electrosurgical Units, Monopolar/Bipolar</v>
      </c>
      <c r="SI115" s="196" t="s">
        <v>761</v>
      </c>
      <c r="SJ115" s="197" t="str">
        <f>VLOOKUP(SI115,[13]AssetDetails_UEM!$A$3:$AH$1849,6,FALSE)</f>
        <v>Electrosurgical Units, Monopolar/Bipolar</v>
      </c>
      <c r="SK115" s="196" t="s">
        <v>761</v>
      </c>
      <c r="SL115" s="197" t="str">
        <f>VLOOKUP(SK115,[13]AssetDetails_UEM!$A$3:$AH$1849,6,FALSE)</f>
        <v>Electrosurgical Units, Monopolar/Bipolar</v>
      </c>
      <c r="SM115" s="196" t="s">
        <v>761</v>
      </c>
      <c r="SN115" s="197" t="str">
        <f>VLOOKUP(SM115,[13]AssetDetails_UEM!$A$3:$AH$1849,6,FALSE)</f>
        <v>Electrosurgical Units, Monopolar/Bipolar</v>
      </c>
      <c r="SO115" s="196" t="s">
        <v>761</v>
      </c>
      <c r="SP115" s="197" t="str">
        <f>VLOOKUP(SO115,[13]AssetDetails_UEM!$A$3:$AH$1849,6,FALSE)</f>
        <v>Electrosurgical Units, Monopolar/Bipolar</v>
      </c>
      <c r="SQ115" s="196" t="s">
        <v>761</v>
      </c>
      <c r="SR115" s="197" t="str">
        <f>VLOOKUP(SQ115,[13]AssetDetails_UEM!$A$3:$AH$1849,6,FALSE)</f>
        <v>Electrosurgical Units, Monopolar/Bipolar</v>
      </c>
      <c r="SS115" s="196" t="s">
        <v>761</v>
      </c>
      <c r="ST115" s="197" t="str">
        <f>VLOOKUP(SS115,[13]AssetDetails_UEM!$A$3:$AH$1849,6,FALSE)</f>
        <v>Electrosurgical Units, Monopolar/Bipolar</v>
      </c>
      <c r="SU115" s="196" t="s">
        <v>761</v>
      </c>
      <c r="SV115" s="197" t="str">
        <f>VLOOKUP(SU115,[13]AssetDetails_UEM!$A$3:$AH$1849,6,FALSE)</f>
        <v>Electrosurgical Units, Monopolar/Bipolar</v>
      </c>
      <c r="SW115" s="196" t="s">
        <v>761</v>
      </c>
      <c r="SX115" s="197" t="str">
        <f>VLOOKUP(SW115,[13]AssetDetails_UEM!$A$3:$AH$1849,6,FALSE)</f>
        <v>Electrosurgical Units, Monopolar/Bipolar</v>
      </c>
      <c r="SY115" s="196" t="s">
        <v>761</v>
      </c>
      <c r="SZ115" s="197" t="str">
        <f>VLOOKUP(SY115,[13]AssetDetails_UEM!$A$3:$AH$1849,6,FALSE)</f>
        <v>Electrosurgical Units, Monopolar/Bipolar</v>
      </c>
      <c r="TA115" s="196" t="s">
        <v>761</v>
      </c>
      <c r="TB115" s="197" t="str">
        <f>VLOOKUP(TA115,[13]AssetDetails_UEM!$A$3:$AH$1849,6,FALSE)</f>
        <v>Electrosurgical Units, Monopolar/Bipolar</v>
      </c>
      <c r="TC115" s="196" t="s">
        <v>761</v>
      </c>
      <c r="TD115" s="197" t="str">
        <f>VLOOKUP(TC115,[13]AssetDetails_UEM!$A$3:$AH$1849,6,FALSE)</f>
        <v>Electrosurgical Units, Monopolar/Bipolar</v>
      </c>
      <c r="TE115" s="196" t="s">
        <v>761</v>
      </c>
      <c r="TF115" s="197" t="str">
        <f>VLOOKUP(TE115,[13]AssetDetails_UEM!$A$3:$AH$1849,6,FALSE)</f>
        <v>Electrosurgical Units, Monopolar/Bipolar</v>
      </c>
      <c r="TG115" s="196" t="s">
        <v>761</v>
      </c>
      <c r="TH115" s="197" t="str">
        <f>VLOOKUP(TG115,[13]AssetDetails_UEM!$A$3:$AH$1849,6,FALSE)</f>
        <v>Electrosurgical Units, Monopolar/Bipolar</v>
      </c>
      <c r="TI115" s="196" t="s">
        <v>761</v>
      </c>
      <c r="TJ115" s="197" t="str">
        <f>VLOOKUP(TI115,[13]AssetDetails_UEM!$A$3:$AH$1849,6,FALSE)</f>
        <v>Electrosurgical Units, Monopolar/Bipolar</v>
      </c>
      <c r="TK115" s="196" t="s">
        <v>761</v>
      </c>
      <c r="TL115" s="197" t="str">
        <f>VLOOKUP(TK115,[13]AssetDetails_UEM!$A$3:$AH$1849,6,FALSE)</f>
        <v>Electrosurgical Units, Monopolar/Bipolar</v>
      </c>
      <c r="TM115" s="196" t="s">
        <v>761</v>
      </c>
      <c r="TN115" s="197" t="str">
        <f>VLOOKUP(TM115,[13]AssetDetails_UEM!$A$3:$AH$1849,6,FALSE)</f>
        <v>Electrosurgical Units, Monopolar/Bipolar</v>
      </c>
      <c r="TO115" s="196" t="s">
        <v>761</v>
      </c>
      <c r="TP115" s="197" t="str">
        <f>VLOOKUP(TO115,[13]AssetDetails_UEM!$A$3:$AH$1849,6,FALSE)</f>
        <v>Electrosurgical Units, Monopolar/Bipolar</v>
      </c>
      <c r="TQ115" s="196" t="s">
        <v>761</v>
      </c>
      <c r="TR115" s="197" t="str">
        <f>VLOOKUP(TQ115,[13]AssetDetails_UEM!$A$3:$AH$1849,6,FALSE)</f>
        <v>Electrosurgical Units, Monopolar/Bipolar</v>
      </c>
      <c r="TS115" s="196" t="s">
        <v>761</v>
      </c>
      <c r="TT115" s="197" t="str">
        <f>VLOOKUP(TS115,[13]AssetDetails_UEM!$A$3:$AH$1849,6,FALSE)</f>
        <v>Electrosurgical Units, Monopolar/Bipolar</v>
      </c>
      <c r="TU115" s="196" t="s">
        <v>761</v>
      </c>
      <c r="TV115" s="197" t="str">
        <f>VLOOKUP(TU115,[13]AssetDetails_UEM!$A$3:$AH$1849,6,FALSE)</f>
        <v>Electrosurgical Units, Monopolar/Bipolar</v>
      </c>
      <c r="TW115" s="196" t="s">
        <v>761</v>
      </c>
      <c r="TX115" s="197" t="str">
        <f>VLOOKUP(TW115,[13]AssetDetails_UEM!$A$3:$AH$1849,6,FALSE)</f>
        <v>Electrosurgical Units, Monopolar/Bipolar</v>
      </c>
      <c r="TY115" s="196" t="s">
        <v>761</v>
      </c>
      <c r="TZ115" s="197" t="str">
        <f>VLOOKUP(TY115,[13]AssetDetails_UEM!$A$3:$AH$1849,6,FALSE)</f>
        <v>Electrosurgical Units, Monopolar/Bipolar</v>
      </c>
      <c r="UA115" s="196" t="s">
        <v>761</v>
      </c>
      <c r="UB115" s="197" t="str">
        <f>VLOOKUP(UA115,[13]AssetDetails_UEM!$A$3:$AH$1849,6,FALSE)</f>
        <v>Electrosurgical Units, Monopolar/Bipolar</v>
      </c>
      <c r="UC115" s="196" t="s">
        <v>761</v>
      </c>
      <c r="UD115" s="197" t="str">
        <f>VLOOKUP(UC115,[13]AssetDetails_UEM!$A$3:$AH$1849,6,FALSE)</f>
        <v>Electrosurgical Units, Monopolar/Bipolar</v>
      </c>
      <c r="UE115" s="196" t="s">
        <v>761</v>
      </c>
      <c r="UF115" s="197" t="str">
        <f>VLOOKUP(UE115,[13]AssetDetails_UEM!$A$3:$AH$1849,6,FALSE)</f>
        <v>Electrosurgical Units, Monopolar/Bipolar</v>
      </c>
      <c r="UG115" s="196" t="s">
        <v>761</v>
      </c>
      <c r="UH115" s="197" t="str">
        <f>VLOOKUP(UG115,[13]AssetDetails_UEM!$A$3:$AH$1849,6,FALSE)</f>
        <v>Electrosurgical Units, Monopolar/Bipolar</v>
      </c>
      <c r="UI115" s="196" t="s">
        <v>761</v>
      </c>
      <c r="UJ115" s="197" t="str">
        <f>VLOOKUP(UI115,[13]AssetDetails_UEM!$A$3:$AH$1849,6,FALSE)</f>
        <v>Electrosurgical Units, Monopolar/Bipolar</v>
      </c>
      <c r="UK115" s="196" t="s">
        <v>761</v>
      </c>
      <c r="UL115" s="197" t="str">
        <f>VLOOKUP(UK115,[13]AssetDetails_UEM!$A$3:$AH$1849,6,FALSE)</f>
        <v>Electrosurgical Units, Monopolar/Bipolar</v>
      </c>
      <c r="UM115" s="196" t="s">
        <v>761</v>
      </c>
      <c r="UN115" s="197" t="str">
        <f>VLOOKUP(UM115,[13]AssetDetails_UEM!$A$3:$AH$1849,6,FALSE)</f>
        <v>Electrosurgical Units, Monopolar/Bipolar</v>
      </c>
      <c r="UO115" s="196" t="s">
        <v>761</v>
      </c>
      <c r="UP115" s="197" t="str">
        <f>VLOOKUP(UO115,[13]AssetDetails_UEM!$A$3:$AH$1849,6,FALSE)</f>
        <v>Electrosurgical Units, Monopolar/Bipolar</v>
      </c>
      <c r="UQ115" s="196" t="s">
        <v>761</v>
      </c>
      <c r="UR115" s="197" t="str">
        <f>VLOOKUP(UQ115,[13]AssetDetails_UEM!$A$3:$AH$1849,6,FALSE)</f>
        <v>Electrosurgical Units, Monopolar/Bipolar</v>
      </c>
      <c r="US115" s="196" t="s">
        <v>761</v>
      </c>
      <c r="UT115" s="197" t="str">
        <f>VLOOKUP(US115,[13]AssetDetails_UEM!$A$3:$AH$1849,6,FALSE)</f>
        <v>Electrosurgical Units, Monopolar/Bipolar</v>
      </c>
      <c r="UU115" s="196" t="s">
        <v>761</v>
      </c>
      <c r="UV115" s="197" t="str">
        <f>VLOOKUP(UU115,[13]AssetDetails_UEM!$A$3:$AH$1849,6,FALSE)</f>
        <v>Electrosurgical Units, Monopolar/Bipolar</v>
      </c>
      <c r="UW115" s="196" t="s">
        <v>761</v>
      </c>
      <c r="UX115" s="197" t="str">
        <f>VLOOKUP(UW115,[13]AssetDetails_UEM!$A$3:$AH$1849,6,FALSE)</f>
        <v>Electrosurgical Units, Monopolar/Bipolar</v>
      </c>
      <c r="UY115" s="196" t="s">
        <v>761</v>
      </c>
      <c r="UZ115" s="197" t="str">
        <f>VLOOKUP(UY115,[13]AssetDetails_UEM!$A$3:$AH$1849,6,FALSE)</f>
        <v>Electrosurgical Units, Monopolar/Bipolar</v>
      </c>
      <c r="VA115" s="196" t="s">
        <v>761</v>
      </c>
      <c r="VB115" s="197" t="str">
        <f>VLOOKUP(VA115,[13]AssetDetails_UEM!$A$3:$AH$1849,6,FALSE)</f>
        <v>Electrosurgical Units, Monopolar/Bipolar</v>
      </c>
      <c r="VC115" s="196" t="s">
        <v>761</v>
      </c>
      <c r="VD115" s="197" t="str">
        <f>VLOOKUP(VC115,[13]AssetDetails_UEM!$A$3:$AH$1849,6,FALSE)</f>
        <v>Electrosurgical Units, Monopolar/Bipolar</v>
      </c>
      <c r="VE115" s="196" t="s">
        <v>761</v>
      </c>
      <c r="VF115" s="197" t="str">
        <f>VLOOKUP(VE115,[13]AssetDetails_UEM!$A$3:$AH$1849,6,FALSE)</f>
        <v>Electrosurgical Units, Monopolar/Bipolar</v>
      </c>
      <c r="VG115" s="196" t="s">
        <v>761</v>
      </c>
      <c r="VH115" s="197" t="str">
        <f>VLOOKUP(VG115,[13]AssetDetails_UEM!$A$3:$AH$1849,6,FALSE)</f>
        <v>Electrosurgical Units, Monopolar/Bipolar</v>
      </c>
      <c r="VI115" s="196" t="s">
        <v>761</v>
      </c>
      <c r="VJ115" s="197" t="str">
        <f>VLOOKUP(VI115,[13]AssetDetails_UEM!$A$3:$AH$1849,6,FALSE)</f>
        <v>Electrosurgical Units, Monopolar/Bipolar</v>
      </c>
      <c r="VK115" s="196" t="s">
        <v>761</v>
      </c>
      <c r="VL115" s="197" t="str">
        <f>VLOOKUP(VK115,[13]AssetDetails_UEM!$A$3:$AH$1849,6,FALSE)</f>
        <v>Electrosurgical Units, Monopolar/Bipolar</v>
      </c>
      <c r="VM115" s="196" t="s">
        <v>761</v>
      </c>
      <c r="VN115" s="197" t="str">
        <f>VLOOKUP(VM115,[13]AssetDetails_UEM!$A$3:$AH$1849,6,FALSE)</f>
        <v>Electrosurgical Units, Monopolar/Bipolar</v>
      </c>
      <c r="VO115" s="196" t="s">
        <v>761</v>
      </c>
      <c r="VP115" s="197" t="str">
        <f>VLOOKUP(VO115,[13]AssetDetails_UEM!$A$3:$AH$1849,6,FALSE)</f>
        <v>Electrosurgical Units, Monopolar/Bipolar</v>
      </c>
      <c r="VQ115" s="196" t="s">
        <v>761</v>
      </c>
      <c r="VR115" s="197" t="str">
        <f>VLOOKUP(VQ115,[13]AssetDetails_UEM!$A$3:$AH$1849,6,FALSE)</f>
        <v>Electrosurgical Units, Monopolar/Bipolar</v>
      </c>
      <c r="VS115" s="196" t="s">
        <v>761</v>
      </c>
      <c r="VT115" s="197" t="str">
        <f>VLOOKUP(VS115,[13]AssetDetails_UEM!$A$3:$AH$1849,6,FALSE)</f>
        <v>Electrosurgical Units, Monopolar/Bipolar</v>
      </c>
      <c r="VU115" s="196" t="s">
        <v>761</v>
      </c>
      <c r="VV115" s="197" t="str">
        <f>VLOOKUP(VU115,[13]AssetDetails_UEM!$A$3:$AH$1849,6,FALSE)</f>
        <v>Electrosurgical Units, Monopolar/Bipolar</v>
      </c>
      <c r="VW115" s="196" t="s">
        <v>761</v>
      </c>
      <c r="VX115" s="197" t="str">
        <f>VLOOKUP(VW115,[13]AssetDetails_UEM!$A$3:$AH$1849,6,FALSE)</f>
        <v>Electrosurgical Units, Monopolar/Bipolar</v>
      </c>
      <c r="VY115" s="196" t="s">
        <v>761</v>
      </c>
      <c r="VZ115" s="197" t="str">
        <f>VLOOKUP(VY115,[13]AssetDetails_UEM!$A$3:$AH$1849,6,FALSE)</f>
        <v>Electrosurgical Units, Monopolar/Bipolar</v>
      </c>
      <c r="WA115" s="196" t="s">
        <v>761</v>
      </c>
      <c r="WB115" s="197" t="str">
        <f>VLOOKUP(WA115,[13]AssetDetails_UEM!$A$3:$AH$1849,6,FALSE)</f>
        <v>Electrosurgical Units, Monopolar/Bipolar</v>
      </c>
      <c r="WC115" s="196" t="s">
        <v>761</v>
      </c>
      <c r="WD115" s="197" t="str">
        <f>VLOOKUP(WC115,[13]AssetDetails_UEM!$A$3:$AH$1849,6,FALSE)</f>
        <v>Electrosurgical Units, Monopolar/Bipolar</v>
      </c>
      <c r="WE115" s="196" t="s">
        <v>761</v>
      </c>
      <c r="WF115" s="197" t="str">
        <f>VLOOKUP(WE115,[13]AssetDetails_UEM!$A$3:$AH$1849,6,FALSE)</f>
        <v>Electrosurgical Units, Monopolar/Bipolar</v>
      </c>
      <c r="WG115" s="196" t="s">
        <v>761</v>
      </c>
      <c r="WH115" s="197" t="str">
        <f>VLOOKUP(WG115,[13]AssetDetails_UEM!$A$3:$AH$1849,6,FALSE)</f>
        <v>Electrosurgical Units, Monopolar/Bipolar</v>
      </c>
      <c r="WI115" s="196" t="s">
        <v>761</v>
      </c>
      <c r="WJ115" s="197" t="str">
        <f>VLOOKUP(WI115,[13]AssetDetails_UEM!$A$3:$AH$1849,6,FALSE)</f>
        <v>Electrosurgical Units, Monopolar/Bipolar</v>
      </c>
      <c r="WK115" s="196" t="s">
        <v>761</v>
      </c>
      <c r="WL115" s="197" t="str">
        <f>VLOOKUP(WK115,[13]AssetDetails_UEM!$A$3:$AH$1849,6,FALSE)</f>
        <v>Electrosurgical Units, Monopolar/Bipolar</v>
      </c>
      <c r="WM115" s="196" t="s">
        <v>761</v>
      </c>
      <c r="WN115" s="197" t="str">
        <f>VLOOKUP(WM115,[13]AssetDetails_UEM!$A$3:$AH$1849,6,FALSE)</f>
        <v>Electrosurgical Units, Monopolar/Bipolar</v>
      </c>
      <c r="WO115" s="196" t="s">
        <v>761</v>
      </c>
      <c r="WP115" s="197" t="str">
        <f>VLOOKUP(WO115,[13]AssetDetails_UEM!$A$3:$AH$1849,6,FALSE)</f>
        <v>Electrosurgical Units, Monopolar/Bipolar</v>
      </c>
      <c r="WQ115" s="196" t="s">
        <v>761</v>
      </c>
      <c r="WR115" s="197" t="str">
        <f>VLOOKUP(WQ115,[13]AssetDetails_UEM!$A$3:$AH$1849,6,FALSE)</f>
        <v>Electrosurgical Units, Monopolar/Bipolar</v>
      </c>
      <c r="WS115" s="196" t="s">
        <v>761</v>
      </c>
      <c r="WT115" s="197" t="str">
        <f>VLOOKUP(WS115,[13]AssetDetails_UEM!$A$3:$AH$1849,6,FALSE)</f>
        <v>Electrosurgical Units, Monopolar/Bipolar</v>
      </c>
      <c r="WU115" s="196" t="s">
        <v>761</v>
      </c>
      <c r="WV115" s="197" t="str">
        <f>VLOOKUP(WU115,[13]AssetDetails_UEM!$A$3:$AH$1849,6,FALSE)</f>
        <v>Electrosurgical Units, Monopolar/Bipolar</v>
      </c>
      <c r="WW115" s="196" t="s">
        <v>761</v>
      </c>
      <c r="WX115" s="197" t="str">
        <f>VLOOKUP(WW115,[13]AssetDetails_UEM!$A$3:$AH$1849,6,FALSE)</f>
        <v>Electrosurgical Units, Monopolar/Bipolar</v>
      </c>
      <c r="WY115" s="196" t="s">
        <v>761</v>
      </c>
      <c r="WZ115" s="197" t="str">
        <f>VLOOKUP(WY115,[13]AssetDetails_UEM!$A$3:$AH$1849,6,FALSE)</f>
        <v>Electrosurgical Units, Monopolar/Bipolar</v>
      </c>
      <c r="XA115" s="196" t="s">
        <v>761</v>
      </c>
      <c r="XB115" s="197" t="str">
        <f>VLOOKUP(XA115,[13]AssetDetails_UEM!$A$3:$AH$1849,6,FALSE)</f>
        <v>Electrosurgical Units, Monopolar/Bipolar</v>
      </c>
      <c r="XC115" s="196" t="s">
        <v>761</v>
      </c>
      <c r="XD115" s="197" t="str">
        <f>VLOOKUP(XC115,[13]AssetDetails_UEM!$A$3:$AH$1849,6,FALSE)</f>
        <v>Electrosurgical Units, Monopolar/Bipolar</v>
      </c>
      <c r="XE115" s="196" t="s">
        <v>761</v>
      </c>
      <c r="XF115" s="197" t="str">
        <f>VLOOKUP(XE115,[13]AssetDetails_UEM!$A$3:$AH$1849,6,FALSE)</f>
        <v>Electrosurgical Units, Monopolar/Bipolar</v>
      </c>
      <c r="XG115" s="196" t="s">
        <v>761</v>
      </c>
      <c r="XH115" s="197" t="str">
        <f>VLOOKUP(XG115,[13]AssetDetails_UEM!$A$3:$AH$1849,6,FALSE)</f>
        <v>Electrosurgical Units, Monopolar/Bipolar</v>
      </c>
      <c r="XI115" s="196" t="s">
        <v>761</v>
      </c>
      <c r="XJ115" s="197" t="str">
        <f>VLOOKUP(XI115,[13]AssetDetails_UEM!$A$3:$AH$1849,6,FALSE)</f>
        <v>Electrosurgical Units, Monopolar/Bipolar</v>
      </c>
      <c r="XK115" s="196" t="s">
        <v>761</v>
      </c>
      <c r="XL115" s="197" t="str">
        <f>VLOOKUP(XK115,[13]AssetDetails_UEM!$A$3:$AH$1849,6,FALSE)</f>
        <v>Electrosurgical Units, Monopolar/Bipolar</v>
      </c>
      <c r="XM115" s="196" t="s">
        <v>761</v>
      </c>
      <c r="XN115" s="197" t="str">
        <f>VLOOKUP(XM115,[13]AssetDetails_UEM!$A$3:$AH$1849,6,FALSE)</f>
        <v>Electrosurgical Units, Monopolar/Bipolar</v>
      </c>
      <c r="XO115" s="196" t="s">
        <v>761</v>
      </c>
      <c r="XP115" s="197" t="str">
        <f>VLOOKUP(XO115,[13]AssetDetails_UEM!$A$3:$AH$1849,6,FALSE)</f>
        <v>Electrosurgical Units, Monopolar/Bipolar</v>
      </c>
      <c r="XQ115" s="196" t="s">
        <v>761</v>
      </c>
      <c r="XR115" s="197" t="str">
        <f>VLOOKUP(XQ115,[13]AssetDetails_UEM!$A$3:$AH$1849,6,FALSE)</f>
        <v>Electrosurgical Units, Monopolar/Bipolar</v>
      </c>
      <c r="XS115" s="196" t="s">
        <v>761</v>
      </c>
      <c r="XT115" s="197" t="str">
        <f>VLOOKUP(XS115,[13]AssetDetails_UEM!$A$3:$AH$1849,6,FALSE)</f>
        <v>Electrosurgical Units, Monopolar/Bipolar</v>
      </c>
      <c r="XU115" s="196" t="s">
        <v>761</v>
      </c>
      <c r="XV115" s="197" t="str">
        <f>VLOOKUP(XU115,[13]AssetDetails_UEM!$A$3:$AH$1849,6,FALSE)</f>
        <v>Electrosurgical Units, Monopolar/Bipolar</v>
      </c>
      <c r="XW115" s="196" t="s">
        <v>761</v>
      </c>
      <c r="XX115" s="197" t="str">
        <f>VLOOKUP(XW115,[13]AssetDetails_UEM!$A$3:$AH$1849,6,FALSE)</f>
        <v>Electrosurgical Units, Monopolar/Bipolar</v>
      </c>
      <c r="XY115" s="196" t="s">
        <v>761</v>
      </c>
      <c r="XZ115" s="197" t="str">
        <f>VLOOKUP(XY115,[13]AssetDetails_UEM!$A$3:$AH$1849,6,FALSE)</f>
        <v>Electrosurgical Units, Monopolar/Bipolar</v>
      </c>
      <c r="YA115" s="196" t="s">
        <v>761</v>
      </c>
      <c r="YB115" s="197" t="str">
        <f>VLOOKUP(YA115,[13]AssetDetails_UEM!$A$3:$AH$1849,6,FALSE)</f>
        <v>Electrosurgical Units, Monopolar/Bipolar</v>
      </c>
      <c r="YC115" s="196" t="s">
        <v>761</v>
      </c>
      <c r="YD115" s="197" t="str">
        <f>VLOOKUP(YC115,[13]AssetDetails_UEM!$A$3:$AH$1849,6,FALSE)</f>
        <v>Electrosurgical Units, Monopolar/Bipolar</v>
      </c>
      <c r="YE115" s="196" t="s">
        <v>761</v>
      </c>
      <c r="YF115" s="197" t="str">
        <f>VLOOKUP(YE115,[13]AssetDetails_UEM!$A$3:$AH$1849,6,FALSE)</f>
        <v>Electrosurgical Units, Monopolar/Bipolar</v>
      </c>
      <c r="YG115" s="196" t="s">
        <v>761</v>
      </c>
      <c r="YH115" s="197" t="str">
        <f>VLOOKUP(YG115,[13]AssetDetails_UEM!$A$3:$AH$1849,6,FALSE)</f>
        <v>Electrosurgical Units, Monopolar/Bipolar</v>
      </c>
      <c r="YI115" s="196" t="s">
        <v>761</v>
      </c>
      <c r="YJ115" s="197" t="str">
        <f>VLOOKUP(YI115,[13]AssetDetails_UEM!$A$3:$AH$1849,6,FALSE)</f>
        <v>Electrosurgical Units, Monopolar/Bipolar</v>
      </c>
      <c r="YK115" s="196" t="s">
        <v>761</v>
      </c>
      <c r="YL115" s="197" t="str">
        <f>VLOOKUP(YK115,[13]AssetDetails_UEM!$A$3:$AH$1849,6,FALSE)</f>
        <v>Electrosurgical Units, Monopolar/Bipolar</v>
      </c>
      <c r="YM115" s="196" t="s">
        <v>761</v>
      </c>
      <c r="YN115" s="197" t="str">
        <f>VLOOKUP(YM115,[13]AssetDetails_UEM!$A$3:$AH$1849,6,FALSE)</f>
        <v>Electrosurgical Units, Monopolar/Bipolar</v>
      </c>
      <c r="YO115" s="196" t="s">
        <v>761</v>
      </c>
      <c r="YP115" s="197" t="str">
        <f>VLOOKUP(YO115,[13]AssetDetails_UEM!$A$3:$AH$1849,6,FALSE)</f>
        <v>Electrosurgical Units, Monopolar/Bipolar</v>
      </c>
      <c r="YQ115" s="196" t="s">
        <v>761</v>
      </c>
      <c r="YR115" s="197" t="str">
        <f>VLOOKUP(YQ115,[13]AssetDetails_UEM!$A$3:$AH$1849,6,FALSE)</f>
        <v>Electrosurgical Units, Monopolar/Bipolar</v>
      </c>
      <c r="YS115" s="196" t="s">
        <v>761</v>
      </c>
      <c r="YT115" s="197" t="str">
        <f>VLOOKUP(YS115,[13]AssetDetails_UEM!$A$3:$AH$1849,6,FALSE)</f>
        <v>Electrosurgical Units, Monopolar/Bipolar</v>
      </c>
      <c r="YU115" s="196" t="s">
        <v>761</v>
      </c>
      <c r="YV115" s="197" t="str">
        <f>VLOOKUP(YU115,[13]AssetDetails_UEM!$A$3:$AH$1849,6,FALSE)</f>
        <v>Electrosurgical Units, Monopolar/Bipolar</v>
      </c>
      <c r="YW115" s="196" t="s">
        <v>761</v>
      </c>
      <c r="YX115" s="197" t="str">
        <f>VLOOKUP(YW115,[13]AssetDetails_UEM!$A$3:$AH$1849,6,FALSE)</f>
        <v>Electrosurgical Units, Monopolar/Bipolar</v>
      </c>
      <c r="YY115" s="196" t="s">
        <v>761</v>
      </c>
      <c r="YZ115" s="197" t="str">
        <f>VLOOKUP(YY115,[13]AssetDetails_UEM!$A$3:$AH$1849,6,FALSE)</f>
        <v>Electrosurgical Units, Monopolar/Bipolar</v>
      </c>
      <c r="ZA115" s="196" t="s">
        <v>761</v>
      </c>
      <c r="ZB115" s="197" t="str">
        <f>VLOOKUP(ZA115,[13]AssetDetails_UEM!$A$3:$AH$1849,6,FALSE)</f>
        <v>Electrosurgical Units, Monopolar/Bipolar</v>
      </c>
      <c r="ZC115" s="196" t="s">
        <v>761</v>
      </c>
      <c r="ZD115" s="197" t="str">
        <f>VLOOKUP(ZC115,[13]AssetDetails_UEM!$A$3:$AH$1849,6,FALSE)</f>
        <v>Electrosurgical Units, Monopolar/Bipolar</v>
      </c>
      <c r="ZE115" s="196" t="s">
        <v>761</v>
      </c>
      <c r="ZF115" s="197" t="str">
        <f>VLOOKUP(ZE115,[13]AssetDetails_UEM!$A$3:$AH$1849,6,FALSE)</f>
        <v>Electrosurgical Units, Monopolar/Bipolar</v>
      </c>
      <c r="ZG115" s="196" t="s">
        <v>761</v>
      </c>
      <c r="ZH115" s="197" t="str">
        <f>VLOOKUP(ZG115,[13]AssetDetails_UEM!$A$3:$AH$1849,6,FALSE)</f>
        <v>Electrosurgical Units, Monopolar/Bipolar</v>
      </c>
      <c r="ZI115" s="196" t="s">
        <v>761</v>
      </c>
      <c r="ZJ115" s="197" t="str">
        <f>VLOOKUP(ZI115,[13]AssetDetails_UEM!$A$3:$AH$1849,6,FALSE)</f>
        <v>Electrosurgical Units, Monopolar/Bipolar</v>
      </c>
      <c r="ZK115" s="196" t="s">
        <v>761</v>
      </c>
      <c r="ZL115" s="197" t="str">
        <f>VLOOKUP(ZK115,[13]AssetDetails_UEM!$A$3:$AH$1849,6,FALSE)</f>
        <v>Electrosurgical Units, Monopolar/Bipolar</v>
      </c>
      <c r="ZM115" s="196" t="s">
        <v>761</v>
      </c>
      <c r="ZN115" s="197" t="str">
        <f>VLOOKUP(ZM115,[13]AssetDetails_UEM!$A$3:$AH$1849,6,FALSE)</f>
        <v>Electrosurgical Units, Monopolar/Bipolar</v>
      </c>
      <c r="ZO115" s="196" t="s">
        <v>761</v>
      </c>
      <c r="ZP115" s="197" t="str">
        <f>VLOOKUP(ZO115,[13]AssetDetails_UEM!$A$3:$AH$1849,6,FALSE)</f>
        <v>Electrosurgical Units, Monopolar/Bipolar</v>
      </c>
      <c r="ZQ115" s="196" t="s">
        <v>761</v>
      </c>
      <c r="ZR115" s="197" t="str">
        <f>VLOOKUP(ZQ115,[13]AssetDetails_UEM!$A$3:$AH$1849,6,FALSE)</f>
        <v>Electrosurgical Units, Monopolar/Bipolar</v>
      </c>
      <c r="ZS115" s="196" t="s">
        <v>761</v>
      </c>
      <c r="ZT115" s="197" t="str">
        <f>VLOOKUP(ZS115,[13]AssetDetails_UEM!$A$3:$AH$1849,6,FALSE)</f>
        <v>Electrosurgical Units, Monopolar/Bipolar</v>
      </c>
      <c r="ZU115" s="196" t="s">
        <v>761</v>
      </c>
      <c r="ZV115" s="197" t="str">
        <f>VLOOKUP(ZU115,[13]AssetDetails_UEM!$A$3:$AH$1849,6,FALSE)</f>
        <v>Electrosurgical Units, Monopolar/Bipolar</v>
      </c>
      <c r="ZW115" s="196" t="s">
        <v>761</v>
      </c>
      <c r="ZX115" s="197" t="str">
        <f>VLOOKUP(ZW115,[13]AssetDetails_UEM!$A$3:$AH$1849,6,FALSE)</f>
        <v>Electrosurgical Units, Monopolar/Bipolar</v>
      </c>
      <c r="ZY115" s="196" t="s">
        <v>761</v>
      </c>
      <c r="ZZ115" s="197" t="str">
        <f>VLOOKUP(ZY115,[13]AssetDetails_UEM!$A$3:$AH$1849,6,FALSE)</f>
        <v>Electrosurgical Units, Monopolar/Bipolar</v>
      </c>
      <c r="AAA115" s="196" t="s">
        <v>761</v>
      </c>
      <c r="AAB115" s="197" t="str">
        <f>VLOOKUP(AAA115,[13]AssetDetails_UEM!$A$3:$AH$1849,6,FALSE)</f>
        <v>Electrosurgical Units, Monopolar/Bipolar</v>
      </c>
      <c r="AAC115" s="196" t="s">
        <v>761</v>
      </c>
      <c r="AAD115" s="197" t="str">
        <f>VLOOKUP(AAC115,[13]AssetDetails_UEM!$A$3:$AH$1849,6,FALSE)</f>
        <v>Electrosurgical Units, Monopolar/Bipolar</v>
      </c>
      <c r="AAE115" s="196" t="s">
        <v>761</v>
      </c>
      <c r="AAF115" s="197" t="str">
        <f>VLOOKUP(AAE115,[13]AssetDetails_UEM!$A$3:$AH$1849,6,FALSE)</f>
        <v>Electrosurgical Units, Monopolar/Bipolar</v>
      </c>
      <c r="AAG115" s="196" t="s">
        <v>761</v>
      </c>
      <c r="AAH115" s="197" t="str">
        <f>VLOOKUP(AAG115,[13]AssetDetails_UEM!$A$3:$AH$1849,6,FALSE)</f>
        <v>Electrosurgical Units, Monopolar/Bipolar</v>
      </c>
      <c r="AAI115" s="196" t="s">
        <v>761</v>
      </c>
      <c r="AAJ115" s="197" t="str">
        <f>VLOOKUP(AAI115,[13]AssetDetails_UEM!$A$3:$AH$1849,6,FALSE)</f>
        <v>Electrosurgical Units, Monopolar/Bipolar</v>
      </c>
      <c r="AAK115" s="196" t="s">
        <v>761</v>
      </c>
      <c r="AAL115" s="197" t="str">
        <f>VLOOKUP(AAK115,[13]AssetDetails_UEM!$A$3:$AH$1849,6,FALSE)</f>
        <v>Electrosurgical Units, Monopolar/Bipolar</v>
      </c>
      <c r="AAM115" s="196" t="s">
        <v>761</v>
      </c>
      <c r="AAN115" s="197" t="str">
        <f>VLOOKUP(AAM115,[13]AssetDetails_UEM!$A$3:$AH$1849,6,FALSE)</f>
        <v>Electrosurgical Units, Monopolar/Bipolar</v>
      </c>
      <c r="AAO115" s="196" t="s">
        <v>761</v>
      </c>
      <c r="AAP115" s="197" t="str">
        <f>VLOOKUP(AAO115,[13]AssetDetails_UEM!$A$3:$AH$1849,6,FALSE)</f>
        <v>Electrosurgical Units, Monopolar/Bipolar</v>
      </c>
      <c r="AAQ115" s="196" t="s">
        <v>761</v>
      </c>
      <c r="AAR115" s="197" t="str">
        <f>VLOOKUP(AAQ115,[13]AssetDetails_UEM!$A$3:$AH$1849,6,FALSE)</f>
        <v>Electrosurgical Units, Monopolar/Bipolar</v>
      </c>
      <c r="AAS115" s="196" t="s">
        <v>761</v>
      </c>
      <c r="AAT115" s="197" t="str">
        <f>VLOOKUP(AAS115,[13]AssetDetails_UEM!$A$3:$AH$1849,6,FALSE)</f>
        <v>Electrosurgical Units, Monopolar/Bipolar</v>
      </c>
      <c r="AAU115" s="196" t="s">
        <v>761</v>
      </c>
      <c r="AAV115" s="197" t="str">
        <f>VLOOKUP(AAU115,[13]AssetDetails_UEM!$A$3:$AH$1849,6,FALSE)</f>
        <v>Electrosurgical Units, Monopolar/Bipolar</v>
      </c>
      <c r="AAW115" s="196" t="s">
        <v>761</v>
      </c>
      <c r="AAX115" s="197" t="str">
        <f>VLOOKUP(AAW115,[13]AssetDetails_UEM!$A$3:$AH$1849,6,FALSE)</f>
        <v>Electrosurgical Units, Monopolar/Bipolar</v>
      </c>
      <c r="AAY115" s="196" t="s">
        <v>761</v>
      </c>
      <c r="AAZ115" s="197" t="str">
        <f>VLOOKUP(AAY115,[13]AssetDetails_UEM!$A$3:$AH$1849,6,FALSE)</f>
        <v>Electrosurgical Units, Monopolar/Bipolar</v>
      </c>
      <c r="ABA115" s="196" t="s">
        <v>761</v>
      </c>
      <c r="ABB115" s="197" t="str">
        <f>VLOOKUP(ABA115,[13]AssetDetails_UEM!$A$3:$AH$1849,6,FALSE)</f>
        <v>Electrosurgical Units, Monopolar/Bipolar</v>
      </c>
      <c r="ABC115" s="196" t="s">
        <v>761</v>
      </c>
      <c r="ABD115" s="197" t="str">
        <f>VLOOKUP(ABC115,[13]AssetDetails_UEM!$A$3:$AH$1849,6,FALSE)</f>
        <v>Electrosurgical Units, Monopolar/Bipolar</v>
      </c>
      <c r="ABE115" s="196" t="s">
        <v>761</v>
      </c>
      <c r="ABF115" s="197" t="str">
        <f>VLOOKUP(ABE115,[13]AssetDetails_UEM!$A$3:$AH$1849,6,FALSE)</f>
        <v>Electrosurgical Units, Monopolar/Bipolar</v>
      </c>
      <c r="ABG115" s="196" t="s">
        <v>761</v>
      </c>
      <c r="ABH115" s="197" t="str">
        <f>VLOOKUP(ABG115,[13]AssetDetails_UEM!$A$3:$AH$1849,6,FALSE)</f>
        <v>Electrosurgical Units, Monopolar/Bipolar</v>
      </c>
      <c r="ABI115" s="196" t="s">
        <v>761</v>
      </c>
      <c r="ABJ115" s="197" t="str">
        <f>VLOOKUP(ABI115,[13]AssetDetails_UEM!$A$3:$AH$1849,6,FALSE)</f>
        <v>Electrosurgical Units, Monopolar/Bipolar</v>
      </c>
      <c r="ABK115" s="196" t="s">
        <v>761</v>
      </c>
      <c r="ABL115" s="197" t="str">
        <f>VLOOKUP(ABK115,[13]AssetDetails_UEM!$A$3:$AH$1849,6,FALSE)</f>
        <v>Electrosurgical Units, Monopolar/Bipolar</v>
      </c>
      <c r="ABM115" s="196" t="s">
        <v>761</v>
      </c>
      <c r="ABN115" s="197" t="str">
        <f>VLOOKUP(ABM115,[13]AssetDetails_UEM!$A$3:$AH$1849,6,FALSE)</f>
        <v>Electrosurgical Units, Monopolar/Bipolar</v>
      </c>
      <c r="ABO115" s="196" t="s">
        <v>761</v>
      </c>
      <c r="ABP115" s="197" t="str">
        <f>VLOOKUP(ABO115,[13]AssetDetails_UEM!$A$3:$AH$1849,6,FALSE)</f>
        <v>Electrosurgical Units, Monopolar/Bipolar</v>
      </c>
      <c r="ABQ115" s="196" t="s">
        <v>761</v>
      </c>
      <c r="ABR115" s="197" t="str">
        <f>VLOOKUP(ABQ115,[13]AssetDetails_UEM!$A$3:$AH$1849,6,FALSE)</f>
        <v>Electrosurgical Units, Monopolar/Bipolar</v>
      </c>
      <c r="ABS115" s="196" t="s">
        <v>761</v>
      </c>
      <c r="ABT115" s="197" t="str">
        <f>VLOOKUP(ABS115,[13]AssetDetails_UEM!$A$3:$AH$1849,6,FALSE)</f>
        <v>Electrosurgical Units, Monopolar/Bipolar</v>
      </c>
      <c r="ABU115" s="196" t="s">
        <v>761</v>
      </c>
      <c r="ABV115" s="197" t="str">
        <f>VLOOKUP(ABU115,[13]AssetDetails_UEM!$A$3:$AH$1849,6,FALSE)</f>
        <v>Electrosurgical Units, Monopolar/Bipolar</v>
      </c>
      <c r="ABW115" s="196" t="s">
        <v>761</v>
      </c>
      <c r="ABX115" s="197" t="str">
        <f>VLOOKUP(ABW115,[13]AssetDetails_UEM!$A$3:$AH$1849,6,FALSE)</f>
        <v>Electrosurgical Units, Monopolar/Bipolar</v>
      </c>
      <c r="ABY115" s="196" t="s">
        <v>761</v>
      </c>
      <c r="ABZ115" s="197" t="str">
        <f>VLOOKUP(ABY115,[13]AssetDetails_UEM!$A$3:$AH$1849,6,FALSE)</f>
        <v>Electrosurgical Units, Monopolar/Bipolar</v>
      </c>
      <c r="ACA115" s="196" t="s">
        <v>761</v>
      </c>
      <c r="ACB115" s="197" t="str">
        <f>VLOOKUP(ACA115,[13]AssetDetails_UEM!$A$3:$AH$1849,6,FALSE)</f>
        <v>Electrosurgical Units, Monopolar/Bipolar</v>
      </c>
      <c r="ACC115" s="196" t="s">
        <v>761</v>
      </c>
      <c r="ACD115" s="197" t="str">
        <f>VLOOKUP(ACC115,[13]AssetDetails_UEM!$A$3:$AH$1849,6,FALSE)</f>
        <v>Electrosurgical Units, Monopolar/Bipolar</v>
      </c>
      <c r="ACE115" s="196" t="s">
        <v>761</v>
      </c>
      <c r="ACF115" s="197" t="str">
        <f>VLOOKUP(ACE115,[13]AssetDetails_UEM!$A$3:$AH$1849,6,FALSE)</f>
        <v>Electrosurgical Units, Monopolar/Bipolar</v>
      </c>
      <c r="ACG115" s="196" t="s">
        <v>761</v>
      </c>
      <c r="ACH115" s="197" t="str">
        <f>VLOOKUP(ACG115,[13]AssetDetails_UEM!$A$3:$AH$1849,6,FALSE)</f>
        <v>Electrosurgical Units, Monopolar/Bipolar</v>
      </c>
      <c r="ACI115" s="196" t="s">
        <v>761</v>
      </c>
      <c r="ACJ115" s="197" t="str">
        <f>VLOOKUP(ACI115,[13]AssetDetails_UEM!$A$3:$AH$1849,6,FALSE)</f>
        <v>Electrosurgical Units, Monopolar/Bipolar</v>
      </c>
      <c r="ACK115" s="196" t="s">
        <v>761</v>
      </c>
      <c r="ACL115" s="197" t="str">
        <f>VLOOKUP(ACK115,[13]AssetDetails_UEM!$A$3:$AH$1849,6,FALSE)</f>
        <v>Electrosurgical Units, Monopolar/Bipolar</v>
      </c>
      <c r="ACM115" s="196" t="s">
        <v>761</v>
      </c>
      <c r="ACN115" s="197" t="str">
        <f>VLOOKUP(ACM115,[13]AssetDetails_UEM!$A$3:$AH$1849,6,FALSE)</f>
        <v>Electrosurgical Units, Monopolar/Bipolar</v>
      </c>
      <c r="ACO115" s="196" t="s">
        <v>761</v>
      </c>
      <c r="ACP115" s="197" t="str">
        <f>VLOOKUP(ACO115,[13]AssetDetails_UEM!$A$3:$AH$1849,6,FALSE)</f>
        <v>Electrosurgical Units, Monopolar/Bipolar</v>
      </c>
      <c r="ACQ115" s="196" t="s">
        <v>761</v>
      </c>
      <c r="ACR115" s="197" t="str">
        <f>VLOOKUP(ACQ115,[13]AssetDetails_UEM!$A$3:$AH$1849,6,FALSE)</f>
        <v>Electrosurgical Units, Monopolar/Bipolar</v>
      </c>
      <c r="ACS115" s="196" t="s">
        <v>761</v>
      </c>
      <c r="ACT115" s="197" t="str">
        <f>VLOOKUP(ACS115,[13]AssetDetails_UEM!$A$3:$AH$1849,6,FALSE)</f>
        <v>Electrosurgical Units, Monopolar/Bipolar</v>
      </c>
      <c r="ACU115" s="196" t="s">
        <v>761</v>
      </c>
      <c r="ACV115" s="197" t="str">
        <f>VLOOKUP(ACU115,[13]AssetDetails_UEM!$A$3:$AH$1849,6,FALSE)</f>
        <v>Electrosurgical Units, Monopolar/Bipolar</v>
      </c>
      <c r="ACW115" s="196" t="s">
        <v>761</v>
      </c>
      <c r="ACX115" s="197" t="str">
        <f>VLOOKUP(ACW115,[13]AssetDetails_UEM!$A$3:$AH$1849,6,FALSE)</f>
        <v>Electrosurgical Units, Monopolar/Bipolar</v>
      </c>
      <c r="ACY115" s="196" t="s">
        <v>761</v>
      </c>
      <c r="ACZ115" s="197" t="str">
        <f>VLOOKUP(ACY115,[13]AssetDetails_UEM!$A$3:$AH$1849,6,FALSE)</f>
        <v>Electrosurgical Units, Monopolar/Bipolar</v>
      </c>
      <c r="ADA115" s="196" t="s">
        <v>761</v>
      </c>
      <c r="ADB115" s="197" t="str">
        <f>VLOOKUP(ADA115,[13]AssetDetails_UEM!$A$3:$AH$1849,6,FALSE)</f>
        <v>Electrosurgical Units, Monopolar/Bipolar</v>
      </c>
      <c r="ADC115" s="196" t="s">
        <v>761</v>
      </c>
      <c r="ADD115" s="197" t="str">
        <f>VLOOKUP(ADC115,[13]AssetDetails_UEM!$A$3:$AH$1849,6,FALSE)</f>
        <v>Electrosurgical Units, Monopolar/Bipolar</v>
      </c>
      <c r="ADE115" s="196" t="s">
        <v>761</v>
      </c>
      <c r="ADF115" s="197" t="str">
        <f>VLOOKUP(ADE115,[13]AssetDetails_UEM!$A$3:$AH$1849,6,FALSE)</f>
        <v>Electrosurgical Units, Monopolar/Bipolar</v>
      </c>
      <c r="ADG115" s="196" t="s">
        <v>761</v>
      </c>
      <c r="ADH115" s="197" t="str">
        <f>VLOOKUP(ADG115,[13]AssetDetails_UEM!$A$3:$AH$1849,6,FALSE)</f>
        <v>Electrosurgical Units, Monopolar/Bipolar</v>
      </c>
      <c r="ADI115" s="196" t="s">
        <v>761</v>
      </c>
      <c r="ADJ115" s="197" t="str">
        <f>VLOOKUP(ADI115,[13]AssetDetails_UEM!$A$3:$AH$1849,6,FALSE)</f>
        <v>Electrosurgical Units, Monopolar/Bipolar</v>
      </c>
      <c r="ADK115" s="196" t="s">
        <v>761</v>
      </c>
      <c r="ADL115" s="197" t="str">
        <f>VLOOKUP(ADK115,[13]AssetDetails_UEM!$A$3:$AH$1849,6,FALSE)</f>
        <v>Electrosurgical Units, Monopolar/Bipolar</v>
      </c>
      <c r="ADM115" s="196" t="s">
        <v>761</v>
      </c>
      <c r="ADN115" s="197" t="str">
        <f>VLOOKUP(ADM115,[13]AssetDetails_UEM!$A$3:$AH$1849,6,FALSE)</f>
        <v>Electrosurgical Units, Monopolar/Bipolar</v>
      </c>
      <c r="ADO115" s="196" t="s">
        <v>761</v>
      </c>
      <c r="ADP115" s="197" t="str">
        <f>VLOOKUP(ADO115,[13]AssetDetails_UEM!$A$3:$AH$1849,6,FALSE)</f>
        <v>Electrosurgical Units, Monopolar/Bipolar</v>
      </c>
      <c r="ADQ115" s="196" t="s">
        <v>761</v>
      </c>
      <c r="ADR115" s="197" t="str">
        <f>VLOOKUP(ADQ115,[13]AssetDetails_UEM!$A$3:$AH$1849,6,FALSE)</f>
        <v>Electrosurgical Units, Monopolar/Bipolar</v>
      </c>
      <c r="ADS115" s="196" t="s">
        <v>761</v>
      </c>
      <c r="ADT115" s="197" t="str">
        <f>VLOOKUP(ADS115,[13]AssetDetails_UEM!$A$3:$AH$1849,6,FALSE)</f>
        <v>Electrosurgical Units, Monopolar/Bipolar</v>
      </c>
      <c r="ADU115" s="196" t="s">
        <v>761</v>
      </c>
      <c r="ADV115" s="197" t="str">
        <f>VLOOKUP(ADU115,[13]AssetDetails_UEM!$A$3:$AH$1849,6,FALSE)</f>
        <v>Electrosurgical Units, Monopolar/Bipolar</v>
      </c>
      <c r="ADW115" s="196" t="s">
        <v>761</v>
      </c>
      <c r="ADX115" s="197" t="str">
        <f>VLOOKUP(ADW115,[13]AssetDetails_UEM!$A$3:$AH$1849,6,FALSE)</f>
        <v>Electrosurgical Units, Monopolar/Bipolar</v>
      </c>
      <c r="ADY115" s="196" t="s">
        <v>761</v>
      </c>
      <c r="ADZ115" s="197" t="str">
        <f>VLOOKUP(ADY115,[13]AssetDetails_UEM!$A$3:$AH$1849,6,FALSE)</f>
        <v>Electrosurgical Units, Monopolar/Bipolar</v>
      </c>
      <c r="AEA115" s="196" t="s">
        <v>761</v>
      </c>
      <c r="AEB115" s="197" t="str">
        <f>VLOOKUP(AEA115,[13]AssetDetails_UEM!$A$3:$AH$1849,6,FALSE)</f>
        <v>Electrosurgical Units, Monopolar/Bipolar</v>
      </c>
      <c r="AEC115" s="196" t="s">
        <v>761</v>
      </c>
      <c r="AED115" s="197" t="str">
        <f>VLOOKUP(AEC115,[13]AssetDetails_UEM!$A$3:$AH$1849,6,FALSE)</f>
        <v>Electrosurgical Units, Monopolar/Bipolar</v>
      </c>
      <c r="AEE115" s="196" t="s">
        <v>761</v>
      </c>
      <c r="AEF115" s="197" t="str">
        <f>VLOOKUP(AEE115,[13]AssetDetails_UEM!$A$3:$AH$1849,6,FALSE)</f>
        <v>Electrosurgical Units, Monopolar/Bipolar</v>
      </c>
      <c r="AEG115" s="196" t="s">
        <v>761</v>
      </c>
      <c r="AEH115" s="197" t="str">
        <f>VLOOKUP(AEG115,[13]AssetDetails_UEM!$A$3:$AH$1849,6,FALSE)</f>
        <v>Electrosurgical Units, Monopolar/Bipolar</v>
      </c>
      <c r="AEI115" s="196" t="s">
        <v>761</v>
      </c>
      <c r="AEJ115" s="197" t="str">
        <f>VLOOKUP(AEI115,[13]AssetDetails_UEM!$A$3:$AH$1849,6,FALSE)</f>
        <v>Electrosurgical Units, Monopolar/Bipolar</v>
      </c>
      <c r="AEK115" s="196" t="s">
        <v>761</v>
      </c>
      <c r="AEL115" s="197" t="str">
        <f>VLOOKUP(AEK115,[13]AssetDetails_UEM!$A$3:$AH$1849,6,FALSE)</f>
        <v>Electrosurgical Units, Monopolar/Bipolar</v>
      </c>
      <c r="AEM115" s="196" t="s">
        <v>761</v>
      </c>
      <c r="AEN115" s="197" t="str">
        <f>VLOOKUP(AEM115,[13]AssetDetails_UEM!$A$3:$AH$1849,6,FALSE)</f>
        <v>Electrosurgical Units, Monopolar/Bipolar</v>
      </c>
      <c r="AEO115" s="196" t="s">
        <v>761</v>
      </c>
      <c r="AEP115" s="197" t="str">
        <f>VLOOKUP(AEO115,[13]AssetDetails_UEM!$A$3:$AH$1849,6,FALSE)</f>
        <v>Electrosurgical Units, Monopolar/Bipolar</v>
      </c>
      <c r="AEQ115" s="196" t="s">
        <v>761</v>
      </c>
      <c r="AER115" s="197" t="str">
        <f>VLOOKUP(AEQ115,[13]AssetDetails_UEM!$A$3:$AH$1849,6,FALSE)</f>
        <v>Electrosurgical Units, Monopolar/Bipolar</v>
      </c>
      <c r="AES115" s="196" t="s">
        <v>761</v>
      </c>
      <c r="AET115" s="197" t="str">
        <f>VLOOKUP(AES115,[13]AssetDetails_UEM!$A$3:$AH$1849,6,FALSE)</f>
        <v>Electrosurgical Units, Monopolar/Bipolar</v>
      </c>
      <c r="AEU115" s="196" t="s">
        <v>761</v>
      </c>
      <c r="AEV115" s="197" t="str">
        <f>VLOOKUP(AEU115,[13]AssetDetails_UEM!$A$3:$AH$1849,6,FALSE)</f>
        <v>Electrosurgical Units, Monopolar/Bipolar</v>
      </c>
      <c r="AEW115" s="196" t="s">
        <v>761</v>
      </c>
      <c r="AEX115" s="197" t="str">
        <f>VLOOKUP(AEW115,[13]AssetDetails_UEM!$A$3:$AH$1849,6,FALSE)</f>
        <v>Electrosurgical Units, Monopolar/Bipolar</v>
      </c>
      <c r="AEY115" s="196" t="s">
        <v>761</v>
      </c>
      <c r="AEZ115" s="197" t="str">
        <f>VLOOKUP(AEY115,[13]AssetDetails_UEM!$A$3:$AH$1849,6,FALSE)</f>
        <v>Electrosurgical Units, Monopolar/Bipolar</v>
      </c>
      <c r="AFA115" s="196" t="s">
        <v>761</v>
      </c>
      <c r="AFB115" s="197" t="str">
        <f>VLOOKUP(AFA115,[13]AssetDetails_UEM!$A$3:$AH$1849,6,FALSE)</f>
        <v>Electrosurgical Units, Monopolar/Bipolar</v>
      </c>
      <c r="AFC115" s="196" t="s">
        <v>761</v>
      </c>
      <c r="AFD115" s="197" t="str">
        <f>VLOOKUP(AFC115,[13]AssetDetails_UEM!$A$3:$AH$1849,6,FALSE)</f>
        <v>Electrosurgical Units, Monopolar/Bipolar</v>
      </c>
      <c r="AFE115" s="196" t="s">
        <v>761</v>
      </c>
      <c r="AFF115" s="197" t="str">
        <f>VLOOKUP(AFE115,[13]AssetDetails_UEM!$A$3:$AH$1849,6,FALSE)</f>
        <v>Electrosurgical Units, Monopolar/Bipolar</v>
      </c>
      <c r="AFG115" s="196" t="s">
        <v>761</v>
      </c>
      <c r="AFH115" s="197" t="str">
        <f>VLOOKUP(AFG115,[13]AssetDetails_UEM!$A$3:$AH$1849,6,FALSE)</f>
        <v>Electrosurgical Units, Monopolar/Bipolar</v>
      </c>
      <c r="AFI115" s="196" t="s">
        <v>761</v>
      </c>
      <c r="AFJ115" s="197" t="str">
        <f>VLOOKUP(AFI115,[13]AssetDetails_UEM!$A$3:$AH$1849,6,FALSE)</f>
        <v>Electrosurgical Units, Monopolar/Bipolar</v>
      </c>
      <c r="AFK115" s="196" t="s">
        <v>761</v>
      </c>
      <c r="AFL115" s="197" t="str">
        <f>VLOOKUP(AFK115,[13]AssetDetails_UEM!$A$3:$AH$1849,6,FALSE)</f>
        <v>Electrosurgical Units, Monopolar/Bipolar</v>
      </c>
      <c r="AFM115" s="196" t="s">
        <v>761</v>
      </c>
      <c r="AFN115" s="197" t="str">
        <f>VLOOKUP(AFM115,[13]AssetDetails_UEM!$A$3:$AH$1849,6,FALSE)</f>
        <v>Electrosurgical Units, Monopolar/Bipolar</v>
      </c>
      <c r="AFO115" s="196" t="s">
        <v>761</v>
      </c>
      <c r="AFP115" s="197" t="str">
        <f>VLOOKUP(AFO115,[13]AssetDetails_UEM!$A$3:$AH$1849,6,FALSE)</f>
        <v>Electrosurgical Units, Monopolar/Bipolar</v>
      </c>
      <c r="AFQ115" s="196" t="s">
        <v>761</v>
      </c>
      <c r="AFR115" s="197" t="str">
        <f>VLOOKUP(AFQ115,[13]AssetDetails_UEM!$A$3:$AH$1849,6,FALSE)</f>
        <v>Electrosurgical Units, Monopolar/Bipolar</v>
      </c>
      <c r="AFS115" s="196" t="s">
        <v>761</v>
      </c>
      <c r="AFT115" s="197" t="str">
        <f>VLOOKUP(AFS115,[13]AssetDetails_UEM!$A$3:$AH$1849,6,FALSE)</f>
        <v>Electrosurgical Units, Monopolar/Bipolar</v>
      </c>
      <c r="AFU115" s="196" t="s">
        <v>761</v>
      </c>
      <c r="AFV115" s="197" t="str">
        <f>VLOOKUP(AFU115,[13]AssetDetails_UEM!$A$3:$AH$1849,6,FALSE)</f>
        <v>Electrosurgical Units, Monopolar/Bipolar</v>
      </c>
      <c r="AFW115" s="196" t="s">
        <v>761</v>
      </c>
      <c r="AFX115" s="197" t="str">
        <f>VLOOKUP(AFW115,[13]AssetDetails_UEM!$A$3:$AH$1849,6,FALSE)</f>
        <v>Electrosurgical Units, Monopolar/Bipolar</v>
      </c>
      <c r="AFY115" s="196" t="s">
        <v>761</v>
      </c>
      <c r="AFZ115" s="197" t="str">
        <f>VLOOKUP(AFY115,[13]AssetDetails_UEM!$A$3:$AH$1849,6,FALSE)</f>
        <v>Electrosurgical Units, Monopolar/Bipolar</v>
      </c>
      <c r="AGA115" s="196" t="s">
        <v>761</v>
      </c>
      <c r="AGB115" s="197" t="str">
        <f>VLOOKUP(AGA115,[13]AssetDetails_UEM!$A$3:$AH$1849,6,FALSE)</f>
        <v>Electrosurgical Units, Monopolar/Bipolar</v>
      </c>
      <c r="AGC115" s="196" t="s">
        <v>761</v>
      </c>
      <c r="AGD115" s="197" t="str">
        <f>VLOOKUP(AGC115,[13]AssetDetails_UEM!$A$3:$AH$1849,6,FALSE)</f>
        <v>Electrosurgical Units, Monopolar/Bipolar</v>
      </c>
      <c r="AGE115" s="196" t="s">
        <v>761</v>
      </c>
      <c r="AGF115" s="197" t="str">
        <f>VLOOKUP(AGE115,[13]AssetDetails_UEM!$A$3:$AH$1849,6,FALSE)</f>
        <v>Electrosurgical Units, Monopolar/Bipolar</v>
      </c>
      <c r="AGG115" s="196" t="s">
        <v>761</v>
      </c>
      <c r="AGH115" s="197" t="str">
        <f>VLOOKUP(AGG115,[13]AssetDetails_UEM!$A$3:$AH$1849,6,FALSE)</f>
        <v>Electrosurgical Units, Monopolar/Bipolar</v>
      </c>
      <c r="AGI115" s="196" t="s">
        <v>761</v>
      </c>
      <c r="AGJ115" s="197" t="str">
        <f>VLOOKUP(AGI115,[13]AssetDetails_UEM!$A$3:$AH$1849,6,FALSE)</f>
        <v>Electrosurgical Units, Monopolar/Bipolar</v>
      </c>
      <c r="AGK115" s="196" t="s">
        <v>761</v>
      </c>
      <c r="AGL115" s="197" t="str">
        <f>VLOOKUP(AGK115,[13]AssetDetails_UEM!$A$3:$AH$1849,6,FALSE)</f>
        <v>Electrosurgical Units, Monopolar/Bipolar</v>
      </c>
      <c r="AGM115" s="196" t="s">
        <v>761</v>
      </c>
      <c r="AGN115" s="197" t="str">
        <f>VLOOKUP(AGM115,[13]AssetDetails_UEM!$A$3:$AH$1849,6,FALSE)</f>
        <v>Electrosurgical Units, Monopolar/Bipolar</v>
      </c>
      <c r="AGO115" s="196" t="s">
        <v>761</v>
      </c>
      <c r="AGP115" s="197" t="str">
        <f>VLOOKUP(AGO115,[13]AssetDetails_UEM!$A$3:$AH$1849,6,FALSE)</f>
        <v>Electrosurgical Units, Monopolar/Bipolar</v>
      </c>
      <c r="AGQ115" s="196" t="s">
        <v>761</v>
      </c>
      <c r="AGR115" s="197" t="str">
        <f>VLOOKUP(AGQ115,[13]AssetDetails_UEM!$A$3:$AH$1849,6,FALSE)</f>
        <v>Electrosurgical Units, Monopolar/Bipolar</v>
      </c>
      <c r="AGS115" s="196" t="s">
        <v>761</v>
      </c>
      <c r="AGT115" s="197" t="str">
        <f>VLOOKUP(AGS115,[13]AssetDetails_UEM!$A$3:$AH$1849,6,FALSE)</f>
        <v>Electrosurgical Units, Monopolar/Bipolar</v>
      </c>
      <c r="AGU115" s="196" t="s">
        <v>761</v>
      </c>
      <c r="AGV115" s="197" t="str">
        <f>VLOOKUP(AGU115,[13]AssetDetails_UEM!$A$3:$AH$1849,6,FALSE)</f>
        <v>Electrosurgical Units, Monopolar/Bipolar</v>
      </c>
      <c r="AGW115" s="196" t="s">
        <v>761</v>
      </c>
      <c r="AGX115" s="197" t="str">
        <f>VLOOKUP(AGW115,[13]AssetDetails_UEM!$A$3:$AH$1849,6,FALSE)</f>
        <v>Electrosurgical Units, Monopolar/Bipolar</v>
      </c>
      <c r="AGY115" s="196" t="s">
        <v>761</v>
      </c>
      <c r="AGZ115" s="197" t="str">
        <f>VLOOKUP(AGY115,[13]AssetDetails_UEM!$A$3:$AH$1849,6,FALSE)</f>
        <v>Electrosurgical Units, Monopolar/Bipolar</v>
      </c>
      <c r="AHA115" s="196" t="s">
        <v>761</v>
      </c>
      <c r="AHB115" s="197" t="str">
        <f>VLOOKUP(AHA115,[13]AssetDetails_UEM!$A$3:$AH$1849,6,FALSE)</f>
        <v>Electrosurgical Units, Monopolar/Bipolar</v>
      </c>
      <c r="AHC115" s="196" t="s">
        <v>761</v>
      </c>
      <c r="AHD115" s="197" t="str">
        <f>VLOOKUP(AHC115,[13]AssetDetails_UEM!$A$3:$AH$1849,6,FALSE)</f>
        <v>Electrosurgical Units, Monopolar/Bipolar</v>
      </c>
      <c r="AHE115" s="196" t="s">
        <v>761</v>
      </c>
      <c r="AHF115" s="197" t="str">
        <f>VLOOKUP(AHE115,[13]AssetDetails_UEM!$A$3:$AH$1849,6,FALSE)</f>
        <v>Electrosurgical Units, Monopolar/Bipolar</v>
      </c>
      <c r="AHG115" s="196" t="s">
        <v>761</v>
      </c>
      <c r="AHH115" s="197" t="str">
        <f>VLOOKUP(AHG115,[13]AssetDetails_UEM!$A$3:$AH$1849,6,FALSE)</f>
        <v>Electrosurgical Units, Monopolar/Bipolar</v>
      </c>
      <c r="AHI115" s="196" t="s">
        <v>761</v>
      </c>
      <c r="AHJ115" s="197" t="str">
        <f>VLOOKUP(AHI115,[13]AssetDetails_UEM!$A$3:$AH$1849,6,FALSE)</f>
        <v>Electrosurgical Units, Monopolar/Bipolar</v>
      </c>
      <c r="AHK115" s="196" t="s">
        <v>761</v>
      </c>
      <c r="AHL115" s="197" t="str">
        <f>VLOOKUP(AHK115,[13]AssetDetails_UEM!$A$3:$AH$1849,6,FALSE)</f>
        <v>Electrosurgical Units, Monopolar/Bipolar</v>
      </c>
      <c r="AHM115" s="196" t="s">
        <v>761</v>
      </c>
      <c r="AHN115" s="197" t="str">
        <f>VLOOKUP(AHM115,[13]AssetDetails_UEM!$A$3:$AH$1849,6,FALSE)</f>
        <v>Electrosurgical Units, Monopolar/Bipolar</v>
      </c>
      <c r="AHO115" s="196" t="s">
        <v>761</v>
      </c>
      <c r="AHP115" s="197" t="str">
        <f>VLOOKUP(AHO115,[13]AssetDetails_UEM!$A$3:$AH$1849,6,FALSE)</f>
        <v>Electrosurgical Units, Monopolar/Bipolar</v>
      </c>
      <c r="AHQ115" s="196" t="s">
        <v>761</v>
      </c>
      <c r="AHR115" s="197" t="str">
        <f>VLOOKUP(AHQ115,[13]AssetDetails_UEM!$A$3:$AH$1849,6,FALSE)</f>
        <v>Electrosurgical Units, Monopolar/Bipolar</v>
      </c>
      <c r="AHS115" s="196" t="s">
        <v>761</v>
      </c>
      <c r="AHT115" s="197" t="str">
        <f>VLOOKUP(AHS115,[13]AssetDetails_UEM!$A$3:$AH$1849,6,FALSE)</f>
        <v>Electrosurgical Units, Monopolar/Bipolar</v>
      </c>
      <c r="AHU115" s="196" t="s">
        <v>761</v>
      </c>
      <c r="AHV115" s="197" t="str">
        <f>VLOOKUP(AHU115,[13]AssetDetails_UEM!$A$3:$AH$1849,6,FALSE)</f>
        <v>Electrosurgical Units, Monopolar/Bipolar</v>
      </c>
      <c r="AHW115" s="196" t="s">
        <v>761</v>
      </c>
      <c r="AHX115" s="197" t="str">
        <f>VLOOKUP(AHW115,[13]AssetDetails_UEM!$A$3:$AH$1849,6,FALSE)</f>
        <v>Electrosurgical Units, Monopolar/Bipolar</v>
      </c>
      <c r="AHY115" s="196" t="s">
        <v>761</v>
      </c>
      <c r="AHZ115" s="197" t="str">
        <f>VLOOKUP(AHY115,[13]AssetDetails_UEM!$A$3:$AH$1849,6,FALSE)</f>
        <v>Electrosurgical Units, Monopolar/Bipolar</v>
      </c>
      <c r="AIA115" s="196" t="s">
        <v>761</v>
      </c>
      <c r="AIB115" s="197" t="str">
        <f>VLOOKUP(AIA115,[13]AssetDetails_UEM!$A$3:$AH$1849,6,FALSE)</f>
        <v>Electrosurgical Units, Monopolar/Bipolar</v>
      </c>
      <c r="AIC115" s="196" t="s">
        <v>761</v>
      </c>
      <c r="AID115" s="197" t="str">
        <f>VLOOKUP(AIC115,[13]AssetDetails_UEM!$A$3:$AH$1849,6,FALSE)</f>
        <v>Electrosurgical Units, Monopolar/Bipolar</v>
      </c>
      <c r="AIE115" s="196" t="s">
        <v>761</v>
      </c>
      <c r="AIF115" s="197" t="str">
        <f>VLOOKUP(AIE115,[13]AssetDetails_UEM!$A$3:$AH$1849,6,FALSE)</f>
        <v>Electrosurgical Units, Monopolar/Bipolar</v>
      </c>
      <c r="AIG115" s="196" t="s">
        <v>761</v>
      </c>
      <c r="AIH115" s="197" t="str">
        <f>VLOOKUP(AIG115,[13]AssetDetails_UEM!$A$3:$AH$1849,6,FALSE)</f>
        <v>Electrosurgical Units, Monopolar/Bipolar</v>
      </c>
      <c r="AII115" s="196" t="s">
        <v>761</v>
      </c>
      <c r="AIJ115" s="197" t="str">
        <f>VLOOKUP(AII115,[13]AssetDetails_UEM!$A$3:$AH$1849,6,FALSE)</f>
        <v>Electrosurgical Units, Monopolar/Bipolar</v>
      </c>
      <c r="AIK115" s="196" t="s">
        <v>761</v>
      </c>
      <c r="AIL115" s="197" t="str">
        <f>VLOOKUP(AIK115,[13]AssetDetails_UEM!$A$3:$AH$1849,6,FALSE)</f>
        <v>Electrosurgical Units, Monopolar/Bipolar</v>
      </c>
      <c r="AIM115" s="196" t="s">
        <v>761</v>
      </c>
      <c r="AIN115" s="197" t="str">
        <f>VLOOKUP(AIM115,[13]AssetDetails_UEM!$A$3:$AH$1849,6,FALSE)</f>
        <v>Electrosurgical Units, Monopolar/Bipolar</v>
      </c>
      <c r="AIO115" s="196" t="s">
        <v>761</v>
      </c>
      <c r="AIP115" s="197" t="str">
        <f>VLOOKUP(AIO115,[13]AssetDetails_UEM!$A$3:$AH$1849,6,FALSE)</f>
        <v>Electrosurgical Units, Monopolar/Bipolar</v>
      </c>
      <c r="AIQ115" s="196" t="s">
        <v>761</v>
      </c>
      <c r="AIR115" s="197" t="str">
        <f>VLOOKUP(AIQ115,[13]AssetDetails_UEM!$A$3:$AH$1849,6,FALSE)</f>
        <v>Electrosurgical Units, Monopolar/Bipolar</v>
      </c>
      <c r="AIS115" s="196" t="s">
        <v>761</v>
      </c>
      <c r="AIT115" s="197" t="str">
        <f>VLOOKUP(AIS115,[13]AssetDetails_UEM!$A$3:$AH$1849,6,FALSE)</f>
        <v>Electrosurgical Units, Monopolar/Bipolar</v>
      </c>
      <c r="AIU115" s="196" t="s">
        <v>761</v>
      </c>
      <c r="AIV115" s="197" t="str">
        <f>VLOOKUP(AIU115,[13]AssetDetails_UEM!$A$3:$AH$1849,6,FALSE)</f>
        <v>Electrosurgical Units, Monopolar/Bipolar</v>
      </c>
      <c r="AIW115" s="196" t="s">
        <v>761</v>
      </c>
      <c r="AIX115" s="197" t="str">
        <f>VLOOKUP(AIW115,[13]AssetDetails_UEM!$A$3:$AH$1849,6,FALSE)</f>
        <v>Electrosurgical Units, Monopolar/Bipolar</v>
      </c>
      <c r="AIY115" s="196" t="s">
        <v>761</v>
      </c>
      <c r="AIZ115" s="197" t="str">
        <f>VLOOKUP(AIY115,[13]AssetDetails_UEM!$A$3:$AH$1849,6,FALSE)</f>
        <v>Electrosurgical Units, Monopolar/Bipolar</v>
      </c>
      <c r="AJA115" s="196" t="s">
        <v>761</v>
      </c>
      <c r="AJB115" s="197" t="str">
        <f>VLOOKUP(AJA115,[13]AssetDetails_UEM!$A$3:$AH$1849,6,FALSE)</f>
        <v>Electrosurgical Units, Monopolar/Bipolar</v>
      </c>
      <c r="AJC115" s="196" t="s">
        <v>761</v>
      </c>
      <c r="AJD115" s="197" t="str">
        <f>VLOOKUP(AJC115,[13]AssetDetails_UEM!$A$3:$AH$1849,6,FALSE)</f>
        <v>Electrosurgical Units, Monopolar/Bipolar</v>
      </c>
      <c r="AJE115" s="196" t="s">
        <v>761</v>
      </c>
      <c r="AJF115" s="197" t="str">
        <f>VLOOKUP(AJE115,[13]AssetDetails_UEM!$A$3:$AH$1849,6,FALSE)</f>
        <v>Electrosurgical Units, Monopolar/Bipolar</v>
      </c>
      <c r="AJG115" s="196" t="s">
        <v>761</v>
      </c>
      <c r="AJH115" s="197" t="str">
        <f>VLOOKUP(AJG115,[13]AssetDetails_UEM!$A$3:$AH$1849,6,FALSE)</f>
        <v>Electrosurgical Units, Monopolar/Bipolar</v>
      </c>
      <c r="AJI115" s="196" t="s">
        <v>761</v>
      </c>
      <c r="AJJ115" s="197" t="str">
        <f>VLOOKUP(AJI115,[13]AssetDetails_UEM!$A$3:$AH$1849,6,FALSE)</f>
        <v>Electrosurgical Units, Monopolar/Bipolar</v>
      </c>
      <c r="AJK115" s="196" t="s">
        <v>761</v>
      </c>
      <c r="AJL115" s="197" t="str">
        <f>VLOOKUP(AJK115,[13]AssetDetails_UEM!$A$3:$AH$1849,6,FALSE)</f>
        <v>Electrosurgical Units, Monopolar/Bipolar</v>
      </c>
      <c r="AJM115" s="196" t="s">
        <v>761</v>
      </c>
      <c r="AJN115" s="197" t="str">
        <f>VLOOKUP(AJM115,[13]AssetDetails_UEM!$A$3:$AH$1849,6,FALSE)</f>
        <v>Electrosurgical Units, Monopolar/Bipolar</v>
      </c>
      <c r="AJO115" s="196" t="s">
        <v>761</v>
      </c>
      <c r="AJP115" s="197" t="str">
        <f>VLOOKUP(AJO115,[13]AssetDetails_UEM!$A$3:$AH$1849,6,FALSE)</f>
        <v>Electrosurgical Units, Monopolar/Bipolar</v>
      </c>
      <c r="AJQ115" s="196" t="s">
        <v>761</v>
      </c>
      <c r="AJR115" s="197" t="str">
        <f>VLOOKUP(AJQ115,[13]AssetDetails_UEM!$A$3:$AH$1849,6,FALSE)</f>
        <v>Electrosurgical Units, Monopolar/Bipolar</v>
      </c>
      <c r="AJS115" s="196" t="s">
        <v>761</v>
      </c>
      <c r="AJT115" s="197" t="str">
        <f>VLOOKUP(AJS115,[13]AssetDetails_UEM!$A$3:$AH$1849,6,FALSE)</f>
        <v>Electrosurgical Units, Monopolar/Bipolar</v>
      </c>
      <c r="AJU115" s="196" t="s">
        <v>761</v>
      </c>
      <c r="AJV115" s="197" t="str">
        <f>VLOOKUP(AJU115,[13]AssetDetails_UEM!$A$3:$AH$1849,6,FALSE)</f>
        <v>Electrosurgical Units, Monopolar/Bipolar</v>
      </c>
      <c r="AJW115" s="196" t="s">
        <v>761</v>
      </c>
      <c r="AJX115" s="197" t="str">
        <f>VLOOKUP(AJW115,[13]AssetDetails_UEM!$A$3:$AH$1849,6,FALSE)</f>
        <v>Electrosurgical Units, Monopolar/Bipolar</v>
      </c>
      <c r="AJY115" s="196" t="s">
        <v>761</v>
      </c>
      <c r="AJZ115" s="197" t="str">
        <f>VLOOKUP(AJY115,[13]AssetDetails_UEM!$A$3:$AH$1849,6,FALSE)</f>
        <v>Electrosurgical Units, Monopolar/Bipolar</v>
      </c>
      <c r="AKA115" s="196" t="s">
        <v>761</v>
      </c>
      <c r="AKB115" s="197" t="str">
        <f>VLOOKUP(AKA115,[13]AssetDetails_UEM!$A$3:$AH$1849,6,FALSE)</f>
        <v>Electrosurgical Units, Monopolar/Bipolar</v>
      </c>
      <c r="AKC115" s="196" t="s">
        <v>761</v>
      </c>
      <c r="AKD115" s="197" t="str">
        <f>VLOOKUP(AKC115,[13]AssetDetails_UEM!$A$3:$AH$1849,6,FALSE)</f>
        <v>Electrosurgical Units, Monopolar/Bipolar</v>
      </c>
      <c r="AKE115" s="196" t="s">
        <v>761</v>
      </c>
      <c r="AKF115" s="197" t="str">
        <f>VLOOKUP(AKE115,[13]AssetDetails_UEM!$A$3:$AH$1849,6,FALSE)</f>
        <v>Electrosurgical Units, Monopolar/Bipolar</v>
      </c>
      <c r="AKG115" s="196" t="s">
        <v>761</v>
      </c>
      <c r="AKH115" s="197" t="str">
        <f>VLOOKUP(AKG115,[13]AssetDetails_UEM!$A$3:$AH$1849,6,FALSE)</f>
        <v>Electrosurgical Units, Monopolar/Bipolar</v>
      </c>
      <c r="AKI115" s="196" t="s">
        <v>761</v>
      </c>
      <c r="AKJ115" s="197" t="str">
        <f>VLOOKUP(AKI115,[13]AssetDetails_UEM!$A$3:$AH$1849,6,FALSE)</f>
        <v>Electrosurgical Units, Monopolar/Bipolar</v>
      </c>
      <c r="AKK115" s="196" t="s">
        <v>761</v>
      </c>
      <c r="AKL115" s="197" t="str">
        <f>VLOOKUP(AKK115,[13]AssetDetails_UEM!$A$3:$AH$1849,6,FALSE)</f>
        <v>Electrosurgical Units, Monopolar/Bipolar</v>
      </c>
      <c r="AKM115" s="196" t="s">
        <v>761</v>
      </c>
      <c r="AKN115" s="197" t="str">
        <f>VLOOKUP(AKM115,[13]AssetDetails_UEM!$A$3:$AH$1849,6,FALSE)</f>
        <v>Electrosurgical Units, Monopolar/Bipolar</v>
      </c>
      <c r="AKO115" s="196" t="s">
        <v>761</v>
      </c>
      <c r="AKP115" s="197" t="str">
        <f>VLOOKUP(AKO115,[13]AssetDetails_UEM!$A$3:$AH$1849,6,FALSE)</f>
        <v>Electrosurgical Units, Monopolar/Bipolar</v>
      </c>
      <c r="AKQ115" s="196" t="s">
        <v>761</v>
      </c>
      <c r="AKR115" s="197" t="str">
        <f>VLOOKUP(AKQ115,[13]AssetDetails_UEM!$A$3:$AH$1849,6,FALSE)</f>
        <v>Electrosurgical Units, Monopolar/Bipolar</v>
      </c>
      <c r="AKS115" s="196" t="s">
        <v>761</v>
      </c>
      <c r="AKT115" s="197" t="str">
        <f>VLOOKUP(AKS115,[13]AssetDetails_UEM!$A$3:$AH$1849,6,FALSE)</f>
        <v>Electrosurgical Units, Monopolar/Bipolar</v>
      </c>
      <c r="AKU115" s="196" t="s">
        <v>761</v>
      </c>
      <c r="AKV115" s="197" t="str">
        <f>VLOOKUP(AKU115,[13]AssetDetails_UEM!$A$3:$AH$1849,6,FALSE)</f>
        <v>Electrosurgical Units, Monopolar/Bipolar</v>
      </c>
      <c r="AKW115" s="196" t="s">
        <v>761</v>
      </c>
      <c r="AKX115" s="197" t="str">
        <f>VLOOKUP(AKW115,[13]AssetDetails_UEM!$A$3:$AH$1849,6,FALSE)</f>
        <v>Electrosurgical Units, Monopolar/Bipolar</v>
      </c>
      <c r="AKY115" s="196" t="s">
        <v>761</v>
      </c>
      <c r="AKZ115" s="197" t="str">
        <f>VLOOKUP(AKY115,[13]AssetDetails_UEM!$A$3:$AH$1849,6,FALSE)</f>
        <v>Electrosurgical Units, Monopolar/Bipolar</v>
      </c>
      <c r="ALA115" s="196" t="s">
        <v>761</v>
      </c>
      <c r="ALB115" s="197" t="str">
        <f>VLOOKUP(ALA115,[13]AssetDetails_UEM!$A$3:$AH$1849,6,FALSE)</f>
        <v>Electrosurgical Units, Monopolar/Bipolar</v>
      </c>
      <c r="ALC115" s="196" t="s">
        <v>761</v>
      </c>
      <c r="ALD115" s="197" t="str">
        <f>VLOOKUP(ALC115,[13]AssetDetails_UEM!$A$3:$AH$1849,6,FALSE)</f>
        <v>Electrosurgical Units, Monopolar/Bipolar</v>
      </c>
      <c r="ALE115" s="196" t="s">
        <v>761</v>
      </c>
      <c r="ALF115" s="197" t="str">
        <f>VLOOKUP(ALE115,[13]AssetDetails_UEM!$A$3:$AH$1849,6,FALSE)</f>
        <v>Electrosurgical Units, Monopolar/Bipolar</v>
      </c>
      <c r="ALG115" s="196" t="s">
        <v>761</v>
      </c>
      <c r="ALH115" s="197" t="str">
        <f>VLOOKUP(ALG115,[13]AssetDetails_UEM!$A$3:$AH$1849,6,FALSE)</f>
        <v>Electrosurgical Units, Monopolar/Bipolar</v>
      </c>
      <c r="ALI115" s="196" t="s">
        <v>761</v>
      </c>
      <c r="ALJ115" s="197" t="str">
        <f>VLOOKUP(ALI115,[13]AssetDetails_UEM!$A$3:$AH$1849,6,FALSE)</f>
        <v>Electrosurgical Units, Monopolar/Bipolar</v>
      </c>
      <c r="ALK115" s="196" t="s">
        <v>761</v>
      </c>
      <c r="ALL115" s="197" t="str">
        <f>VLOOKUP(ALK115,[13]AssetDetails_UEM!$A$3:$AH$1849,6,FALSE)</f>
        <v>Electrosurgical Units, Monopolar/Bipolar</v>
      </c>
      <c r="ALM115" s="196" t="s">
        <v>761</v>
      </c>
      <c r="ALN115" s="197" t="str">
        <f>VLOOKUP(ALM115,[13]AssetDetails_UEM!$A$3:$AH$1849,6,FALSE)</f>
        <v>Electrosurgical Units, Monopolar/Bipolar</v>
      </c>
      <c r="ALO115" s="196" t="s">
        <v>761</v>
      </c>
      <c r="ALP115" s="197" t="str">
        <f>VLOOKUP(ALO115,[13]AssetDetails_UEM!$A$3:$AH$1849,6,FALSE)</f>
        <v>Electrosurgical Units, Monopolar/Bipolar</v>
      </c>
      <c r="ALQ115" s="196" t="s">
        <v>761</v>
      </c>
      <c r="ALR115" s="197" t="str">
        <f>VLOOKUP(ALQ115,[13]AssetDetails_UEM!$A$3:$AH$1849,6,FALSE)</f>
        <v>Electrosurgical Units, Monopolar/Bipolar</v>
      </c>
      <c r="ALS115" s="196" t="s">
        <v>761</v>
      </c>
      <c r="ALT115" s="197" t="str">
        <f>VLOOKUP(ALS115,[13]AssetDetails_UEM!$A$3:$AH$1849,6,FALSE)</f>
        <v>Electrosurgical Units, Monopolar/Bipolar</v>
      </c>
      <c r="ALU115" s="196" t="s">
        <v>761</v>
      </c>
      <c r="ALV115" s="197" t="str">
        <f>VLOOKUP(ALU115,[13]AssetDetails_UEM!$A$3:$AH$1849,6,FALSE)</f>
        <v>Electrosurgical Units, Monopolar/Bipolar</v>
      </c>
      <c r="ALW115" s="196" t="s">
        <v>761</v>
      </c>
      <c r="ALX115" s="197" t="str">
        <f>VLOOKUP(ALW115,[13]AssetDetails_UEM!$A$3:$AH$1849,6,FALSE)</f>
        <v>Electrosurgical Units, Monopolar/Bipolar</v>
      </c>
      <c r="ALY115" s="196" t="s">
        <v>761</v>
      </c>
      <c r="ALZ115" s="197" t="str">
        <f>VLOOKUP(ALY115,[13]AssetDetails_UEM!$A$3:$AH$1849,6,FALSE)</f>
        <v>Electrosurgical Units, Monopolar/Bipolar</v>
      </c>
      <c r="AMA115" s="196" t="s">
        <v>761</v>
      </c>
      <c r="AMB115" s="197" t="str">
        <f>VLOOKUP(AMA115,[13]AssetDetails_UEM!$A$3:$AH$1849,6,FALSE)</f>
        <v>Electrosurgical Units, Monopolar/Bipolar</v>
      </c>
      <c r="AMC115" s="196" t="s">
        <v>761</v>
      </c>
      <c r="AMD115" s="197" t="str">
        <f>VLOOKUP(AMC115,[13]AssetDetails_UEM!$A$3:$AH$1849,6,FALSE)</f>
        <v>Electrosurgical Units, Monopolar/Bipolar</v>
      </c>
      <c r="AME115" s="196" t="s">
        <v>761</v>
      </c>
      <c r="AMF115" s="197" t="str">
        <f>VLOOKUP(AME115,[13]AssetDetails_UEM!$A$3:$AH$1849,6,FALSE)</f>
        <v>Electrosurgical Units, Monopolar/Bipolar</v>
      </c>
      <c r="AMG115" s="196" t="s">
        <v>761</v>
      </c>
      <c r="AMH115" s="197" t="str">
        <f>VLOOKUP(AMG115,[13]AssetDetails_UEM!$A$3:$AH$1849,6,FALSE)</f>
        <v>Electrosurgical Units, Monopolar/Bipolar</v>
      </c>
      <c r="AMI115" s="196" t="s">
        <v>761</v>
      </c>
      <c r="AMJ115" s="197" t="str">
        <f>VLOOKUP(AMI115,[13]AssetDetails_UEM!$A$3:$AH$1849,6,FALSE)</f>
        <v>Electrosurgical Units, Monopolar/Bipolar</v>
      </c>
      <c r="AMK115" s="196" t="s">
        <v>761</v>
      </c>
      <c r="AML115" s="197" t="str">
        <f>VLOOKUP(AMK115,[13]AssetDetails_UEM!$A$3:$AH$1849,6,FALSE)</f>
        <v>Electrosurgical Units, Monopolar/Bipolar</v>
      </c>
      <c r="AMM115" s="196" t="s">
        <v>761</v>
      </c>
      <c r="AMN115" s="197" t="str">
        <f>VLOOKUP(AMM115,[13]AssetDetails_UEM!$A$3:$AH$1849,6,FALSE)</f>
        <v>Electrosurgical Units, Monopolar/Bipolar</v>
      </c>
      <c r="AMO115" s="196" t="s">
        <v>761</v>
      </c>
      <c r="AMP115" s="197" t="str">
        <f>VLOOKUP(AMO115,[13]AssetDetails_UEM!$A$3:$AH$1849,6,FALSE)</f>
        <v>Electrosurgical Units, Monopolar/Bipolar</v>
      </c>
      <c r="AMQ115" s="196" t="s">
        <v>761</v>
      </c>
      <c r="AMR115" s="197" t="str">
        <f>VLOOKUP(AMQ115,[13]AssetDetails_UEM!$A$3:$AH$1849,6,FALSE)</f>
        <v>Electrosurgical Units, Monopolar/Bipolar</v>
      </c>
      <c r="AMS115" s="196" t="s">
        <v>761</v>
      </c>
      <c r="AMT115" s="197" t="str">
        <f>VLOOKUP(AMS115,[13]AssetDetails_UEM!$A$3:$AH$1849,6,FALSE)</f>
        <v>Electrosurgical Units, Monopolar/Bipolar</v>
      </c>
      <c r="AMU115" s="196" t="s">
        <v>761</v>
      </c>
      <c r="AMV115" s="197" t="str">
        <f>VLOOKUP(AMU115,[13]AssetDetails_UEM!$A$3:$AH$1849,6,FALSE)</f>
        <v>Electrosurgical Units, Monopolar/Bipolar</v>
      </c>
      <c r="AMW115" s="196" t="s">
        <v>761</v>
      </c>
      <c r="AMX115" s="197" t="str">
        <f>VLOOKUP(AMW115,[13]AssetDetails_UEM!$A$3:$AH$1849,6,FALSE)</f>
        <v>Electrosurgical Units, Monopolar/Bipolar</v>
      </c>
      <c r="AMY115" s="196" t="s">
        <v>761</v>
      </c>
      <c r="AMZ115" s="197" t="str">
        <f>VLOOKUP(AMY115,[13]AssetDetails_UEM!$A$3:$AH$1849,6,FALSE)</f>
        <v>Electrosurgical Units, Monopolar/Bipolar</v>
      </c>
      <c r="ANA115" s="196" t="s">
        <v>761</v>
      </c>
      <c r="ANB115" s="197" t="str">
        <f>VLOOKUP(ANA115,[13]AssetDetails_UEM!$A$3:$AH$1849,6,FALSE)</f>
        <v>Electrosurgical Units, Monopolar/Bipolar</v>
      </c>
      <c r="ANC115" s="196" t="s">
        <v>761</v>
      </c>
      <c r="AND115" s="197" t="str">
        <f>VLOOKUP(ANC115,[13]AssetDetails_UEM!$A$3:$AH$1849,6,FALSE)</f>
        <v>Electrosurgical Units, Monopolar/Bipolar</v>
      </c>
      <c r="ANE115" s="196" t="s">
        <v>761</v>
      </c>
      <c r="ANF115" s="197" t="str">
        <f>VLOOKUP(ANE115,[13]AssetDetails_UEM!$A$3:$AH$1849,6,FALSE)</f>
        <v>Electrosurgical Units, Monopolar/Bipolar</v>
      </c>
      <c r="ANG115" s="196" t="s">
        <v>761</v>
      </c>
      <c r="ANH115" s="197" t="str">
        <f>VLOOKUP(ANG115,[13]AssetDetails_UEM!$A$3:$AH$1849,6,FALSE)</f>
        <v>Electrosurgical Units, Monopolar/Bipolar</v>
      </c>
      <c r="ANI115" s="196" t="s">
        <v>761</v>
      </c>
      <c r="ANJ115" s="197" t="str">
        <f>VLOOKUP(ANI115,[13]AssetDetails_UEM!$A$3:$AH$1849,6,FALSE)</f>
        <v>Electrosurgical Units, Monopolar/Bipolar</v>
      </c>
      <c r="ANK115" s="196" t="s">
        <v>761</v>
      </c>
      <c r="ANL115" s="197" t="str">
        <f>VLOOKUP(ANK115,[13]AssetDetails_UEM!$A$3:$AH$1849,6,FALSE)</f>
        <v>Electrosurgical Units, Monopolar/Bipolar</v>
      </c>
      <c r="ANM115" s="196" t="s">
        <v>761</v>
      </c>
      <c r="ANN115" s="197" t="str">
        <f>VLOOKUP(ANM115,[13]AssetDetails_UEM!$A$3:$AH$1849,6,FALSE)</f>
        <v>Electrosurgical Units, Monopolar/Bipolar</v>
      </c>
      <c r="ANO115" s="196" t="s">
        <v>761</v>
      </c>
      <c r="ANP115" s="197" t="str">
        <f>VLOOKUP(ANO115,[13]AssetDetails_UEM!$A$3:$AH$1849,6,FALSE)</f>
        <v>Electrosurgical Units, Monopolar/Bipolar</v>
      </c>
      <c r="ANQ115" s="196" t="s">
        <v>761</v>
      </c>
      <c r="ANR115" s="197" t="str">
        <f>VLOOKUP(ANQ115,[13]AssetDetails_UEM!$A$3:$AH$1849,6,FALSE)</f>
        <v>Electrosurgical Units, Monopolar/Bipolar</v>
      </c>
      <c r="ANS115" s="196" t="s">
        <v>761</v>
      </c>
      <c r="ANT115" s="197" t="str">
        <f>VLOOKUP(ANS115,[13]AssetDetails_UEM!$A$3:$AH$1849,6,FALSE)</f>
        <v>Electrosurgical Units, Monopolar/Bipolar</v>
      </c>
      <c r="ANU115" s="196" t="s">
        <v>761</v>
      </c>
      <c r="ANV115" s="197" t="str">
        <f>VLOOKUP(ANU115,[13]AssetDetails_UEM!$A$3:$AH$1849,6,FALSE)</f>
        <v>Electrosurgical Units, Monopolar/Bipolar</v>
      </c>
      <c r="ANW115" s="196" t="s">
        <v>761</v>
      </c>
      <c r="ANX115" s="197" t="str">
        <f>VLOOKUP(ANW115,[13]AssetDetails_UEM!$A$3:$AH$1849,6,FALSE)</f>
        <v>Electrosurgical Units, Monopolar/Bipolar</v>
      </c>
      <c r="ANY115" s="196" t="s">
        <v>761</v>
      </c>
      <c r="ANZ115" s="197" t="str">
        <f>VLOOKUP(ANY115,[13]AssetDetails_UEM!$A$3:$AH$1849,6,FALSE)</f>
        <v>Electrosurgical Units, Monopolar/Bipolar</v>
      </c>
      <c r="AOA115" s="196" t="s">
        <v>761</v>
      </c>
      <c r="AOB115" s="197" t="str">
        <f>VLOOKUP(AOA115,[13]AssetDetails_UEM!$A$3:$AH$1849,6,FALSE)</f>
        <v>Electrosurgical Units, Monopolar/Bipolar</v>
      </c>
      <c r="AOC115" s="196" t="s">
        <v>761</v>
      </c>
      <c r="AOD115" s="197" t="str">
        <f>VLOOKUP(AOC115,[13]AssetDetails_UEM!$A$3:$AH$1849,6,FALSE)</f>
        <v>Electrosurgical Units, Monopolar/Bipolar</v>
      </c>
      <c r="AOE115" s="196" t="s">
        <v>761</v>
      </c>
      <c r="AOF115" s="197" t="str">
        <f>VLOOKUP(AOE115,[13]AssetDetails_UEM!$A$3:$AH$1849,6,FALSE)</f>
        <v>Electrosurgical Units, Monopolar/Bipolar</v>
      </c>
      <c r="AOG115" s="196" t="s">
        <v>761</v>
      </c>
      <c r="AOH115" s="197" t="str">
        <f>VLOOKUP(AOG115,[13]AssetDetails_UEM!$A$3:$AH$1849,6,FALSE)</f>
        <v>Electrosurgical Units, Monopolar/Bipolar</v>
      </c>
      <c r="AOI115" s="196" t="s">
        <v>761</v>
      </c>
      <c r="AOJ115" s="197" t="str">
        <f>VLOOKUP(AOI115,[13]AssetDetails_UEM!$A$3:$AH$1849,6,FALSE)</f>
        <v>Electrosurgical Units, Monopolar/Bipolar</v>
      </c>
      <c r="AOK115" s="196" t="s">
        <v>761</v>
      </c>
      <c r="AOL115" s="197" t="str">
        <f>VLOOKUP(AOK115,[13]AssetDetails_UEM!$A$3:$AH$1849,6,FALSE)</f>
        <v>Electrosurgical Units, Monopolar/Bipolar</v>
      </c>
      <c r="AOM115" s="196" t="s">
        <v>761</v>
      </c>
      <c r="AON115" s="197" t="str">
        <f>VLOOKUP(AOM115,[13]AssetDetails_UEM!$A$3:$AH$1849,6,FALSE)</f>
        <v>Electrosurgical Units, Monopolar/Bipolar</v>
      </c>
      <c r="AOO115" s="196" t="s">
        <v>761</v>
      </c>
      <c r="AOP115" s="197" t="str">
        <f>VLOOKUP(AOO115,[13]AssetDetails_UEM!$A$3:$AH$1849,6,FALSE)</f>
        <v>Electrosurgical Units, Monopolar/Bipolar</v>
      </c>
      <c r="AOQ115" s="196" t="s">
        <v>761</v>
      </c>
      <c r="AOR115" s="197" t="str">
        <f>VLOOKUP(AOQ115,[13]AssetDetails_UEM!$A$3:$AH$1849,6,FALSE)</f>
        <v>Electrosurgical Units, Monopolar/Bipolar</v>
      </c>
      <c r="AOS115" s="196" t="s">
        <v>761</v>
      </c>
      <c r="AOT115" s="197" t="str">
        <f>VLOOKUP(AOS115,[13]AssetDetails_UEM!$A$3:$AH$1849,6,FALSE)</f>
        <v>Electrosurgical Units, Monopolar/Bipolar</v>
      </c>
      <c r="AOU115" s="196" t="s">
        <v>761</v>
      </c>
      <c r="AOV115" s="197" t="str">
        <f>VLOOKUP(AOU115,[13]AssetDetails_UEM!$A$3:$AH$1849,6,FALSE)</f>
        <v>Electrosurgical Units, Monopolar/Bipolar</v>
      </c>
      <c r="AOW115" s="196" t="s">
        <v>761</v>
      </c>
      <c r="AOX115" s="197" t="str">
        <f>VLOOKUP(AOW115,[13]AssetDetails_UEM!$A$3:$AH$1849,6,FALSE)</f>
        <v>Electrosurgical Units, Monopolar/Bipolar</v>
      </c>
      <c r="AOY115" s="196" t="s">
        <v>761</v>
      </c>
      <c r="AOZ115" s="197" t="str">
        <f>VLOOKUP(AOY115,[13]AssetDetails_UEM!$A$3:$AH$1849,6,FALSE)</f>
        <v>Electrosurgical Units, Monopolar/Bipolar</v>
      </c>
      <c r="APA115" s="196" t="s">
        <v>761</v>
      </c>
      <c r="APB115" s="197" t="str">
        <f>VLOOKUP(APA115,[13]AssetDetails_UEM!$A$3:$AH$1849,6,FALSE)</f>
        <v>Electrosurgical Units, Monopolar/Bipolar</v>
      </c>
      <c r="APC115" s="196" t="s">
        <v>761</v>
      </c>
      <c r="APD115" s="197" t="str">
        <f>VLOOKUP(APC115,[13]AssetDetails_UEM!$A$3:$AH$1849,6,FALSE)</f>
        <v>Electrosurgical Units, Monopolar/Bipolar</v>
      </c>
      <c r="APE115" s="196" t="s">
        <v>761</v>
      </c>
      <c r="APF115" s="197" t="str">
        <f>VLOOKUP(APE115,[13]AssetDetails_UEM!$A$3:$AH$1849,6,FALSE)</f>
        <v>Electrosurgical Units, Monopolar/Bipolar</v>
      </c>
      <c r="APG115" s="196" t="s">
        <v>761</v>
      </c>
      <c r="APH115" s="197" t="str">
        <f>VLOOKUP(APG115,[13]AssetDetails_UEM!$A$3:$AH$1849,6,FALSE)</f>
        <v>Electrosurgical Units, Monopolar/Bipolar</v>
      </c>
      <c r="API115" s="196" t="s">
        <v>761</v>
      </c>
      <c r="APJ115" s="197" t="str">
        <f>VLOOKUP(API115,[13]AssetDetails_UEM!$A$3:$AH$1849,6,FALSE)</f>
        <v>Electrosurgical Units, Monopolar/Bipolar</v>
      </c>
      <c r="APK115" s="196" t="s">
        <v>761</v>
      </c>
      <c r="APL115" s="197" t="str">
        <f>VLOOKUP(APK115,[13]AssetDetails_UEM!$A$3:$AH$1849,6,FALSE)</f>
        <v>Electrosurgical Units, Monopolar/Bipolar</v>
      </c>
      <c r="APM115" s="196" t="s">
        <v>761</v>
      </c>
      <c r="APN115" s="197" t="str">
        <f>VLOOKUP(APM115,[13]AssetDetails_UEM!$A$3:$AH$1849,6,FALSE)</f>
        <v>Electrosurgical Units, Monopolar/Bipolar</v>
      </c>
      <c r="APO115" s="196" t="s">
        <v>761</v>
      </c>
      <c r="APP115" s="197" t="str">
        <f>VLOOKUP(APO115,[13]AssetDetails_UEM!$A$3:$AH$1849,6,FALSE)</f>
        <v>Electrosurgical Units, Monopolar/Bipolar</v>
      </c>
      <c r="APQ115" s="196" t="s">
        <v>761</v>
      </c>
      <c r="APR115" s="197" t="str">
        <f>VLOOKUP(APQ115,[13]AssetDetails_UEM!$A$3:$AH$1849,6,FALSE)</f>
        <v>Electrosurgical Units, Monopolar/Bipolar</v>
      </c>
      <c r="APS115" s="196" t="s">
        <v>761</v>
      </c>
      <c r="APT115" s="197" t="str">
        <f>VLOOKUP(APS115,[13]AssetDetails_UEM!$A$3:$AH$1849,6,FALSE)</f>
        <v>Electrosurgical Units, Monopolar/Bipolar</v>
      </c>
      <c r="APU115" s="196" t="s">
        <v>761</v>
      </c>
      <c r="APV115" s="197" t="str">
        <f>VLOOKUP(APU115,[13]AssetDetails_UEM!$A$3:$AH$1849,6,FALSE)</f>
        <v>Electrosurgical Units, Monopolar/Bipolar</v>
      </c>
      <c r="APW115" s="196" t="s">
        <v>761</v>
      </c>
      <c r="APX115" s="197" t="str">
        <f>VLOOKUP(APW115,[13]AssetDetails_UEM!$A$3:$AH$1849,6,FALSE)</f>
        <v>Electrosurgical Units, Monopolar/Bipolar</v>
      </c>
      <c r="APY115" s="196" t="s">
        <v>761</v>
      </c>
      <c r="APZ115" s="197" t="str">
        <f>VLOOKUP(APY115,[13]AssetDetails_UEM!$A$3:$AH$1849,6,FALSE)</f>
        <v>Electrosurgical Units, Monopolar/Bipolar</v>
      </c>
      <c r="AQA115" s="196" t="s">
        <v>761</v>
      </c>
      <c r="AQB115" s="197" t="str">
        <f>VLOOKUP(AQA115,[13]AssetDetails_UEM!$A$3:$AH$1849,6,FALSE)</f>
        <v>Electrosurgical Units, Monopolar/Bipolar</v>
      </c>
      <c r="AQC115" s="196" t="s">
        <v>761</v>
      </c>
      <c r="AQD115" s="197" t="str">
        <f>VLOOKUP(AQC115,[13]AssetDetails_UEM!$A$3:$AH$1849,6,FALSE)</f>
        <v>Electrosurgical Units, Monopolar/Bipolar</v>
      </c>
      <c r="AQE115" s="196" t="s">
        <v>761</v>
      </c>
      <c r="AQF115" s="197" t="str">
        <f>VLOOKUP(AQE115,[13]AssetDetails_UEM!$A$3:$AH$1849,6,FALSE)</f>
        <v>Electrosurgical Units, Monopolar/Bipolar</v>
      </c>
      <c r="AQG115" s="196" t="s">
        <v>761</v>
      </c>
      <c r="AQH115" s="197" t="str">
        <f>VLOOKUP(AQG115,[13]AssetDetails_UEM!$A$3:$AH$1849,6,FALSE)</f>
        <v>Electrosurgical Units, Monopolar/Bipolar</v>
      </c>
      <c r="AQI115" s="196" t="s">
        <v>761</v>
      </c>
      <c r="AQJ115" s="197" t="str">
        <f>VLOOKUP(AQI115,[13]AssetDetails_UEM!$A$3:$AH$1849,6,FALSE)</f>
        <v>Electrosurgical Units, Monopolar/Bipolar</v>
      </c>
      <c r="AQK115" s="196" t="s">
        <v>761</v>
      </c>
      <c r="AQL115" s="197" t="str">
        <f>VLOOKUP(AQK115,[13]AssetDetails_UEM!$A$3:$AH$1849,6,FALSE)</f>
        <v>Electrosurgical Units, Monopolar/Bipolar</v>
      </c>
      <c r="AQM115" s="196" t="s">
        <v>761</v>
      </c>
      <c r="AQN115" s="197" t="str">
        <f>VLOOKUP(AQM115,[13]AssetDetails_UEM!$A$3:$AH$1849,6,FALSE)</f>
        <v>Electrosurgical Units, Monopolar/Bipolar</v>
      </c>
      <c r="AQO115" s="196" t="s">
        <v>761</v>
      </c>
      <c r="AQP115" s="197" t="str">
        <f>VLOOKUP(AQO115,[13]AssetDetails_UEM!$A$3:$AH$1849,6,FALSE)</f>
        <v>Electrosurgical Units, Monopolar/Bipolar</v>
      </c>
      <c r="AQQ115" s="196" t="s">
        <v>761</v>
      </c>
      <c r="AQR115" s="197" t="str">
        <f>VLOOKUP(AQQ115,[13]AssetDetails_UEM!$A$3:$AH$1849,6,FALSE)</f>
        <v>Electrosurgical Units, Monopolar/Bipolar</v>
      </c>
      <c r="AQS115" s="196" t="s">
        <v>761</v>
      </c>
      <c r="AQT115" s="197" t="str">
        <f>VLOOKUP(AQS115,[13]AssetDetails_UEM!$A$3:$AH$1849,6,FALSE)</f>
        <v>Electrosurgical Units, Monopolar/Bipolar</v>
      </c>
      <c r="AQU115" s="196" t="s">
        <v>761</v>
      </c>
      <c r="AQV115" s="197" t="str">
        <f>VLOOKUP(AQU115,[13]AssetDetails_UEM!$A$3:$AH$1849,6,FALSE)</f>
        <v>Electrosurgical Units, Monopolar/Bipolar</v>
      </c>
      <c r="AQW115" s="196" t="s">
        <v>761</v>
      </c>
      <c r="AQX115" s="197" t="str">
        <f>VLOOKUP(AQW115,[13]AssetDetails_UEM!$A$3:$AH$1849,6,FALSE)</f>
        <v>Electrosurgical Units, Monopolar/Bipolar</v>
      </c>
      <c r="AQY115" s="196" t="s">
        <v>761</v>
      </c>
      <c r="AQZ115" s="197" t="str">
        <f>VLOOKUP(AQY115,[13]AssetDetails_UEM!$A$3:$AH$1849,6,FALSE)</f>
        <v>Electrosurgical Units, Monopolar/Bipolar</v>
      </c>
      <c r="ARA115" s="196" t="s">
        <v>761</v>
      </c>
      <c r="ARB115" s="197" t="str">
        <f>VLOOKUP(ARA115,[13]AssetDetails_UEM!$A$3:$AH$1849,6,FALSE)</f>
        <v>Electrosurgical Units, Monopolar/Bipolar</v>
      </c>
      <c r="ARC115" s="196" t="s">
        <v>761</v>
      </c>
      <c r="ARD115" s="197" t="str">
        <f>VLOOKUP(ARC115,[13]AssetDetails_UEM!$A$3:$AH$1849,6,FALSE)</f>
        <v>Electrosurgical Units, Monopolar/Bipolar</v>
      </c>
      <c r="ARE115" s="196" t="s">
        <v>761</v>
      </c>
      <c r="ARF115" s="197" t="str">
        <f>VLOOKUP(ARE115,[13]AssetDetails_UEM!$A$3:$AH$1849,6,FALSE)</f>
        <v>Electrosurgical Units, Monopolar/Bipolar</v>
      </c>
      <c r="ARG115" s="196" t="s">
        <v>761</v>
      </c>
      <c r="ARH115" s="197" t="str">
        <f>VLOOKUP(ARG115,[13]AssetDetails_UEM!$A$3:$AH$1849,6,FALSE)</f>
        <v>Electrosurgical Units, Monopolar/Bipolar</v>
      </c>
      <c r="ARI115" s="196" t="s">
        <v>761</v>
      </c>
      <c r="ARJ115" s="197" t="str">
        <f>VLOOKUP(ARI115,[13]AssetDetails_UEM!$A$3:$AH$1849,6,FALSE)</f>
        <v>Electrosurgical Units, Monopolar/Bipolar</v>
      </c>
      <c r="ARK115" s="196" t="s">
        <v>761</v>
      </c>
      <c r="ARL115" s="197" t="str">
        <f>VLOOKUP(ARK115,[13]AssetDetails_UEM!$A$3:$AH$1849,6,FALSE)</f>
        <v>Electrosurgical Units, Monopolar/Bipolar</v>
      </c>
      <c r="ARM115" s="196" t="s">
        <v>761</v>
      </c>
      <c r="ARN115" s="197" t="str">
        <f>VLOOKUP(ARM115,[13]AssetDetails_UEM!$A$3:$AH$1849,6,FALSE)</f>
        <v>Electrosurgical Units, Monopolar/Bipolar</v>
      </c>
      <c r="ARO115" s="196" t="s">
        <v>761</v>
      </c>
      <c r="ARP115" s="197" t="str">
        <f>VLOOKUP(ARO115,[13]AssetDetails_UEM!$A$3:$AH$1849,6,FALSE)</f>
        <v>Electrosurgical Units, Monopolar/Bipolar</v>
      </c>
      <c r="ARQ115" s="196" t="s">
        <v>761</v>
      </c>
      <c r="ARR115" s="197" t="str">
        <f>VLOOKUP(ARQ115,[13]AssetDetails_UEM!$A$3:$AH$1849,6,FALSE)</f>
        <v>Electrosurgical Units, Monopolar/Bipolar</v>
      </c>
      <c r="ARS115" s="196" t="s">
        <v>761</v>
      </c>
      <c r="ART115" s="197" t="str">
        <f>VLOOKUP(ARS115,[13]AssetDetails_UEM!$A$3:$AH$1849,6,FALSE)</f>
        <v>Electrosurgical Units, Monopolar/Bipolar</v>
      </c>
      <c r="ARU115" s="196" t="s">
        <v>761</v>
      </c>
      <c r="ARV115" s="197" t="str">
        <f>VLOOKUP(ARU115,[13]AssetDetails_UEM!$A$3:$AH$1849,6,FALSE)</f>
        <v>Electrosurgical Units, Monopolar/Bipolar</v>
      </c>
      <c r="ARW115" s="196" t="s">
        <v>761</v>
      </c>
      <c r="ARX115" s="197" t="str">
        <f>VLOOKUP(ARW115,[13]AssetDetails_UEM!$A$3:$AH$1849,6,FALSE)</f>
        <v>Electrosurgical Units, Monopolar/Bipolar</v>
      </c>
      <c r="ARY115" s="196" t="s">
        <v>761</v>
      </c>
      <c r="ARZ115" s="197" t="str">
        <f>VLOOKUP(ARY115,[13]AssetDetails_UEM!$A$3:$AH$1849,6,FALSE)</f>
        <v>Electrosurgical Units, Monopolar/Bipolar</v>
      </c>
      <c r="ASA115" s="196" t="s">
        <v>761</v>
      </c>
      <c r="ASB115" s="197" t="str">
        <f>VLOOKUP(ASA115,[13]AssetDetails_UEM!$A$3:$AH$1849,6,FALSE)</f>
        <v>Electrosurgical Units, Monopolar/Bipolar</v>
      </c>
      <c r="ASC115" s="196" t="s">
        <v>761</v>
      </c>
      <c r="ASD115" s="197" t="str">
        <f>VLOOKUP(ASC115,[13]AssetDetails_UEM!$A$3:$AH$1849,6,FALSE)</f>
        <v>Electrosurgical Units, Monopolar/Bipolar</v>
      </c>
      <c r="ASE115" s="196" t="s">
        <v>761</v>
      </c>
      <c r="ASF115" s="197" t="str">
        <f>VLOOKUP(ASE115,[13]AssetDetails_UEM!$A$3:$AH$1849,6,FALSE)</f>
        <v>Electrosurgical Units, Monopolar/Bipolar</v>
      </c>
      <c r="ASG115" s="196" t="s">
        <v>761</v>
      </c>
      <c r="ASH115" s="197" t="str">
        <f>VLOOKUP(ASG115,[13]AssetDetails_UEM!$A$3:$AH$1849,6,FALSE)</f>
        <v>Electrosurgical Units, Monopolar/Bipolar</v>
      </c>
      <c r="ASI115" s="196" t="s">
        <v>761</v>
      </c>
      <c r="ASJ115" s="197" t="str">
        <f>VLOOKUP(ASI115,[13]AssetDetails_UEM!$A$3:$AH$1849,6,FALSE)</f>
        <v>Electrosurgical Units, Monopolar/Bipolar</v>
      </c>
      <c r="ASK115" s="196" t="s">
        <v>761</v>
      </c>
      <c r="ASL115" s="197" t="str">
        <f>VLOOKUP(ASK115,[13]AssetDetails_UEM!$A$3:$AH$1849,6,FALSE)</f>
        <v>Electrosurgical Units, Monopolar/Bipolar</v>
      </c>
      <c r="ASM115" s="196" t="s">
        <v>761</v>
      </c>
      <c r="ASN115" s="197" t="str">
        <f>VLOOKUP(ASM115,[13]AssetDetails_UEM!$A$3:$AH$1849,6,FALSE)</f>
        <v>Electrosurgical Units, Monopolar/Bipolar</v>
      </c>
      <c r="ASO115" s="196" t="s">
        <v>761</v>
      </c>
      <c r="ASP115" s="197" t="str">
        <f>VLOOKUP(ASO115,[13]AssetDetails_UEM!$A$3:$AH$1849,6,FALSE)</f>
        <v>Electrosurgical Units, Monopolar/Bipolar</v>
      </c>
      <c r="ASQ115" s="196" t="s">
        <v>761</v>
      </c>
      <c r="ASR115" s="197" t="str">
        <f>VLOOKUP(ASQ115,[13]AssetDetails_UEM!$A$3:$AH$1849,6,FALSE)</f>
        <v>Electrosurgical Units, Monopolar/Bipolar</v>
      </c>
      <c r="ASS115" s="196" t="s">
        <v>761</v>
      </c>
      <c r="AST115" s="197" t="str">
        <f>VLOOKUP(ASS115,[13]AssetDetails_UEM!$A$3:$AH$1849,6,FALSE)</f>
        <v>Electrosurgical Units, Monopolar/Bipolar</v>
      </c>
      <c r="ASU115" s="196" t="s">
        <v>761</v>
      </c>
      <c r="ASV115" s="197" t="str">
        <f>VLOOKUP(ASU115,[13]AssetDetails_UEM!$A$3:$AH$1849,6,FALSE)</f>
        <v>Electrosurgical Units, Monopolar/Bipolar</v>
      </c>
      <c r="ASW115" s="196" t="s">
        <v>761</v>
      </c>
      <c r="ASX115" s="197" t="str">
        <f>VLOOKUP(ASW115,[13]AssetDetails_UEM!$A$3:$AH$1849,6,FALSE)</f>
        <v>Electrosurgical Units, Monopolar/Bipolar</v>
      </c>
      <c r="ASY115" s="196" t="s">
        <v>761</v>
      </c>
      <c r="ASZ115" s="197" t="str">
        <f>VLOOKUP(ASY115,[13]AssetDetails_UEM!$A$3:$AH$1849,6,FALSE)</f>
        <v>Electrosurgical Units, Monopolar/Bipolar</v>
      </c>
      <c r="ATA115" s="196" t="s">
        <v>761</v>
      </c>
      <c r="ATB115" s="197" t="str">
        <f>VLOOKUP(ATA115,[13]AssetDetails_UEM!$A$3:$AH$1849,6,FALSE)</f>
        <v>Electrosurgical Units, Monopolar/Bipolar</v>
      </c>
      <c r="ATC115" s="196" t="s">
        <v>761</v>
      </c>
      <c r="ATD115" s="197" t="str">
        <f>VLOOKUP(ATC115,[13]AssetDetails_UEM!$A$3:$AH$1849,6,FALSE)</f>
        <v>Electrosurgical Units, Monopolar/Bipolar</v>
      </c>
      <c r="ATE115" s="196" t="s">
        <v>761</v>
      </c>
      <c r="ATF115" s="197" t="str">
        <f>VLOOKUP(ATE115,[13]AssetDetails_UEM!$A$3:$AH$1849,6,FALSE)</f>
        <v>Electrosurgical Units, Monopolar/Bipolar</v>
      </c>
      <c r="ATG115" s="196" t="s">
        <v>761</v>
      </c>
      <c r="ATH115" s="197" t="str">
        <f>VLOOKUP(ATG115,[13]AssetDetails_UEM!$A$3:$AH$1849,6,FALSE)</f>
        <v>Electrosurgical Units, Monopolar/Bipolar</v>
      </c>
      <c r="ATI115" s="196" t="s">
        <v>761</v>
      </c>
      <c r="ATJ115" s="197" t="str">
        <f>VLOOKUP(ATI115,[13]AssetDetails_UEM!$A$3:$AH$1849,6,FALSE)</f>
        <v>Electrosurgical Units, Monopolar/Bipolar</v>
      </c>
      <c r="ATK115" s="196" t="s">
        <v>761</v>
      </c>
      <c r="ATL115" s="197" t="str">
        <f>VLOOKUP(ATK115,[13]AssetDetails_UEM!$A$3:$AH$1849,6,FALSE)</f>
        <v>Electrosurgical Units, Monopolar/Bipolar</v>
      </c>
      <c r="ATM115" s="196" t="s">
        <v>761</v>
      </c>
      <c r="ATN115" s="197" t="str">
        <f>VLOOKUP(ATM115,[13]AssetDetails_UEM!$A$3:$AH$1849,6,FALSE)</f>
        <v>Electrosurgical Units, Monopolar/Bipolar</v>
      </c>
      <c r="ATO115" s="196" t="s">
        <v>761</v>
      </c>
      <c r="ATP115" s="197" t="str">
        <f>VLOOKUP(ATO115,[13]AssetDetails_UEM!$A$3:$AH$1849,6,FALSE)</f>
        <v>Electrosurgical Units, Monopolar/Bipolar</v>
      </c>
      <c r="ATQ115" s="196" t="s">
        <v>761</v>
      </c>
      <c r="ATR115" s="197" t="str">
        <f>VLOOKUP(ATQ115,[13]AssetDetails_UEM!$A$3:$AH$1849,6,FALSE)</f>
        <v>Electrosurgical Units, Monopolar/Bipolar</v>
      </c>
      <c r="ATS115" s="196" t="s">
        <v>761</v>
      </c>
      <c r="ATT115" s="197" t="str">
        <f>VLOOKUP(ATS115,[13]AssetDetails_UEM!$A$3:$AH$1849,6,FALSE)</f>
        <v>Electrosurgical Units, Monopolar/Bipolar</v>
      </c>
      <c r="ATU115" s="196" t="s">
        <v>761</v>
      </c>
      <c r="ATV115" s="197" t="str">
        <f>VLOOKUP(ATU115,[13]AssetDetails_UEM!$A$3:$AH$1849,6,FALSE)</f>
        <v>Electrosurgical Units, Monopolar/Bipolar</v>
      </c>
      <c r="ATW115" s="196" t="s">
        <v>761</v>
      </c>
      <c r="ATX115" s="197" t="str">
        <f>VLOOKUP(ATW115,[13]AssetDetails_UEM!$A$3:$AH$1849,6,FALSE)</f>
        <v>Electrosurgical Units, Monopolar/Bipolar</v>
      </c>
      <c r="ATY115" s="196" t="s">
        <v>761</v>
      </c>
      <c r="ATZ115" s="197" t="str">
        <f>VLOOKUP(ATY115,[13]AssetDetails_UEM!$A$3:$AH$1849,6,FALSE)</f>
        <v>Electrosurgical Units, Monopolar/Bipolar</v>
      </c>
      <c r="AUA115" s="196" t="s">
        <v>761</v>
      </c>
      <c r="AUB115" s="197" t="str">
        <f>VLOOKUP(AUA115,[13]AssetDetails_UEM!$A$3:$AH$1849,6,FALSE)</f>
        <v>Electrosurgical Units, Monopolar/Bipolar</v>
      </c>
      <c r="AUC115" s="196" t="s">
        <v>761</v>
      </c>
      <c r="AUD115" s="197" t="str">
        <f>VLOOKUP(AUC115,[13]AssetDetails_UEM!$A$3:$AH$1849,6,FALSE)</f>
        <v>Electrosurgical Units, Monopolar/Bipolar</v>
      </c>
      <c r="AUE115" s="196" t="s">
        <v>761</v>
      </c>
      <c r="AUF115" s="197" t="str">
        <f>VLOOKUP(AUE115,[13]AssetDetails_UEM!$A$3:$AH$1849,6,FALSE)</f>
        <v>Electrosurgical Units, Monopolar/Bipolar</v>
      </c>
      <c r="AUG115" s="196" t="s">
        <v>761</v>
      </c>
      <c r="AUH115" s="197" t="str">
        <f>VLOOKUP(AUG115,[13]AssetDetails_UEM!$A$3:$AH$1849,6,FALSE)</f>
        <v>Electrosurgical Units, Monopolar/Bipolar</v>
      </c>
      <c r="AUI115" s="196" t="s">
        <v>761</v>
      </c>
      <c r="AUJ115" s="197" t="str">
        <f>VLOOKUP(AUI115,[13]AssetDetails_UEM!$A$3:$AH$1849,6,FALSE)</f>
        <v>Electrosurgical Units, Monopolar/Bipolar</v>
      </c>
      <c r="AUK115" s="196" t="s">
        <v>761</v>
      </c>
      <c r="AUL115" s="197" t="str">
        <f>VLOOKUP(AUK115,[13]AssetDetails_UEM!$A$3:$AH$1849,6,FALSE)</f>
        <v>Electrosurgical Units, Monopolar/Bipolar</v>
      </c>
      <c r="AUM115" s="196" t="s">
        <v>761</v>
      </c>
      <c r="AUN115" s="197" t="str">
        <f>VLOOKUP(AUM115,[13]AssetDetails_UEM!$A$3:$AH$1849,6,FALSE)</f>
        <v>Electrosurgical Units, Monopolar/Bipolar</v>
      </c>
      <c r="AUO115" s="196" t="s">
        <v>761</v>
      </c>
      <c r="AUP115" s="197" t="str">
        <f>VLOOKUP(AUO115,[13]AssetDetails_UEM!$A$3:$AH$1849,6,FALSE)</f>
        <v>Electrosurgical Units, Monopolar/Bipolar</v>
      </c>
      <c r="AUQ115" s="196" t="s">
        <v>761</v>
      </c>
      <c r="AUR115" s="197" t="str">
        <f>VLOOKUP(AUQ115,[13]AssetDetails_UEM!$A$3:$AH$1849,6,FALSE)</f>
        <v>Electrosurgical Units, Monopolar/Bipolar</v>
      </c>
      <c r="AUS115" s="196" t="s">
        <v>761</v>
      </c>
      <c r="AUT115" s="197" t="str">
        <f>VLOOKUP(AUS115,[13]AssetDetails_UEM!$A$3:$AH$1849,6,FALSE)</f>
        <v>Electrosurgical Units, Monopolar/Bipolar</v>
      </c>
      <c r="AUU115" s="196" t="s">
        <v>761</v>
      </c>
      <c r="AUV115" s="197" t="str">
        <f>VLOOKUP(AUU115,[13]AssetDetails_UEM!$A$3:$AH$1849,6,FALSE)</f>
        <v>Electrosurgical Units, Monopolar/Bipolar</v>
      </c>
      <c r="AUW115" s="196" t="s">
        <v>761</v>
      </c>
      <c r="AUX115" s="197" t="str">
        <f>VLOOKUP(AUW115,[13]AssetDetails_UEM!$A$3:$AH$1849,6,FALSE)</f>
        <v>Electrosurgical Units, Monopolar/Bipolar</v>
      </c>
      <c r="AUY115" s="196" t="s">
        <v>761</v>
      </c>
      <c r="AUZ115" s="197" t="str">
        <f>VLOOKUP(AUY115,[13]AssetDetails_UEM!$A$3:$AH$1849,6,FALSE)</f>
        <v>Electrosurgical Units, Monopolar/Bipolar</v>
      </c>
      <c r="AVA115" s="196" t="s">
        <v>761</v>
      </c>
      <c r="AVB115" s="197" t="str">
        <f>VLOOKUP(AVA115,[13]AssetDetails_UEM!$A$3:$AH$1849,6,FALSE)</f>
        <v>Electrosurgical Units, Monopolar/Bipolar</v>
      </c>
      <c r="AVC115" s="196" t="s">
        <v>761</v>
      </c>
      <c r="AVD115" s="197" t="str">
        <f>VLOOKUP(AVC115,[13]AssetDetails_UEM!$A$3:$AH$1849,6,FALSE)</f>
        <v>Electrosurgical Units, Monopolar/Bipolar</v>
      </c>
      <c r="AVE115" s="196" t="s">
        <v>761</v>
      </c>
      <c r="AVF115" s="197" t="str">
        <f>VLOOKUP(AVE115,[13]AssetDetails_UEM!$A$3:$AH$1849,6,FALSE)</f>
        <v>Electrosurgical Units, Monopolar/Bipolar</v>
      </c>
      <c r="AVG115" s="196" t="s">
        <v>761</v>
      </c>
      <c r="AVH115" s="197" t="str">
        <f>VLOOKUP(AVG115,[13]AssetDetails_UEM!$A$3:$AH$1849,6,FALSE)</f>
        <v>Electrosurgical Units, Monopolar/Bipolar</v>
      </c>
      <c r="AVI115" s="196" t="s">
        <v>761</v>
      </c>
      <c r="AVJ115" s="197" t="str">
        <f>VLOOKUP(AVI115,[13]AssetDetails_UEM!$A$3:$AH$1849,6,FALSE)</f>
        <v>Electrosurgical Units, Monopolar/Bipolar</v>
      </c>
      <c r="AVK115" s="196" t="s">
        <v>761</v>
      </c>
      <c r="AVL115" s="197" t="str">
        <f>VLOOKUP(AVK115,[13]AssetDetails_UEM!$A$3:$AH$1849,6,FALSE)</f>
        <v>Electrosurgical Units, Monopolar/Bipolar</v>
      </c>
      <c r="AVM115" s="196" t="s">
        <v>761</v>
      </c>
      <c r="AVN115" s="197" t="str">
        <f>VLOOKUP(AVM115,[13]AssetDetails_UEM!$A$3:$AH$1849,6,FALSE)</f>
        <v>Electrosurgical Units, Monopolar/Bipolar</v>
      </c>
      <c r="AVO115" s="196" t="s">
        <v>761</v>
      </c>
      <c r="AVP115" s="197" t="str">
        <f>VLOOKUP(AVO115,[13]AssetDetails_UEM!$A$3:$AH$1849,6,FALSE)</f>
        <v>Electrosurgical Units, Monopolar/Bipolar</v>
      </c>
      <c r="AVQ115" s="196" t="s">
        <v>761</v>
      </c>
      <c r="AVR115" s="197" t="str">
        <f>VLOOKUP(AVQ115,[13]AssetDetails_UEM!$A$3:$AH$1849,6,FALSE)</f>
        <v>Electrosurgical Units, Monopolar/Bipolar</v>
      </c>
      <c r="AVS115" s="196" t="s">
        <v>761</v>
      </c>
      <c r="AVT115" s="197" t="str">
        <f>VLOOKUP(AVS115,[13]AssetDetails_UEM!$A$3:$AH$1849,6,FALSE)</f>
        <v>Electrosurgical Units, Monopolar/Bipolar</v>
      </c>
      <c r="AVU115" s="196" t="s">
        <v>761</v>
      </c>
      <c r="AVV115" s="197" t="str">
        <f>VLOOKUP(AVU115,[13]AssetDetails_UEM!$A$3:$AH$1849,6,FALSE)</f>
        <v>Electrosurgical Units, Monopolar/Bipolar</v>
      </c>
      <c r="AVW115" s="196" t="s">
        <v>761</v>
      </c>
      <c r="AVX115" s="197" t="str">
        <f>VLOOKUP(AVW115,[13]AssetDetails_UEM!$A$3:$AH$1849,6,FALSE)</f>
        <v>Electrosurgical Units, Monopolar/Bipolar</v>
      </c>
      <c r="AVY115" s="196" t="s">
        <v>761</v>
      </c>
      <c r="AVZ115" s="197" t="str">
        <f>VLOOKUP(AVY115,[13]AssetDetails_UEM!$A$3:$AH$1849,6,FALSE)</f>
        <v>Electrosurgical Units, Monopolar/Bipolar</v>
      </c>
      <c r="AWA115" s="196" t="s">
        <v>761</v>
      </c>
      <c r="AWB115" s="197" t="str">
        <f>VLOOKUP(AWA115,[13]AssetDetails_UEM!$A$3:$AH$1849,6,FALSE)</f>
        <v>Electrosurgical Units, Monopolar/Bipolar</v>
      </c>
      <c r="AWC115" s="196" t="s">
        <v>761</v>
      </c>
      <c r="AWD115" s="197" t="str">
        <f>VLOOKUP(AWC115,[13]AssetDetails_UEM!$A$3:$AH$1849,6,FALSE)</f>
        <v>Electrosurgical Units, Monopolar/Bipolar</v>
      </c>
      <c r="AWE115" s="196" t="s">
        <v>761</v>
      </c>
      <c r="AWF115" s="197" t="str">
        <f>VLOOKUP(AWE115,[13]AssetDetails_UEM!$A$3:$AH$1849,6,FALSE)</f>
        <v>Electrosurgical Units, Monopolar/Bipolar</v>
      </c>
      <c r="AWG115" s="196" t="s">
        <v>761</v>
      </c>
      <c r="AWH115" s="197" t="str">
        <f>VLOOKUP(AWG115,[13]AssetDetails_UEM!$A$3:$AH$1849,6,FALSE)</f>
        <v>Electrosurgical Units, Monopolar/Bipolar</v>
      </c>
      <c r="AWI115" s="196" t="s">
        <v>761</v>
      </c>
      <c r="AWJ115" s="197" t="str">
        <f>VLOOKUP(AWI115,[13]AssetDetails_UEM!$A$3:$AH$1849,6,FALSE)</f>
        <v>Electrosurgical Units, Monopolar/Bipolar</v>
      </c>
      <c r="AWK115" s="196" t="s">
        <v>761</v>
      </c>
      <c r="AWL115" s="197" t="str">
        <f>VLOOKUP(AWK115,[13]AssetDetails_UEM!$A$3:$AH$1849,6,FALSE)</f>
        <v>Electrosurgical Units, Monopolar/Bipolar</v>
      </c>
      <c r="AWM115" s="196" t="s">
        <v>761</v>
      </c>
      <c r="AWN115" s="197" t="str">
        <f>VLOOKUP(AWM115,[13]AssetDetails_UEM!$A$3:$AH$1849,6,FALSE)</f>
        <v>Electrosurgical Units, Monopolar/Bipolar</v>
      </c>
      <c r="AWO115" s="196" t="s">
        <v>761</v>
      </c>
      <c r="AWP115" s="197" t="str">
        <f>VLOOKUP(AWO115,[13]AssetDetails_UEM!$A$3:$AH$1849,6,FALSE)</f>
        <v>Electrosurgical Units, Monopolar/Bipolar</v>
      </c>
      <c r="AWQ115" s="196" t="s">
        <v>761</v>
      </c>
      <c r="AWR115" s="197" t="str">
        <f>VLOOKUP(AWQ115,[13]AssetDetails_UEM!$A$3:$AH$1849,6,FALSE)</f>
        <v>Electrosurgical Units, Monopolar/Bipolar</v>
      </c>
      <c r="AWS115" s="196" t="s">
        <v>761</v>
      </c>
      <c r="AWT115" s="197" t="str">
        <f>VLOOKUP(AWS115,[13]AssetDetails_UEM!$A$3:$AH$1849,6,FALSE)</f>
        <v>Electrosurgical Units, Monopolar/Bipolar</v>
      </c>
      <c r="AWU115" s="196" t="s">
        <v>761</v>
      </c>
      <c r="AWV115" s="197" t="str">
        <f>VLOOKUP(AWU115,[13]AssetDetails_UEM!$A$3:$AH$1849,6,FALSE)</f>
        <v>Electrosurgical Units, Monopolar/Bipolar</v>
      </c>
      <c r="AWW115" s="196" t="s">
        <v>761</v>
      </c>
      <c r="AWX115" s="197" t="str">
        <f>VLOOKUP(AWW115,[13]AssetDetails_UEM!$A$3:$AH$1849,6,FALSE)</f>
        <v>Electrosurgical Units, Monopolar/Bipolar</v>
      </c>
      <c r="AWY115" s="196" t="s">
        <v>761</v>
      </c>
      <c r="AWZ115" s="197" t="str">
        <f>VLOOKUP(AWY115,[13]AssetDetails_UEM!$A$3:$AH$1849,6,FALSE)</f>
        <v>Electrosurgical Units, Monopolar/Bipolar</v>
      </c>
      <c r="AXA115" s="196" t="s">
        <v>761</v>
      </c>
      <c r="AXB115" s="197" t="str">
        <f>VLOOKUP(AXA115,[13]AssetDetails_UEM!$A$3:$AH$1849,6,FALSE)</f>
        <v>Electrosurgical Units, Monopolar/Bipolar</v>
      </c>
      <c r="AXC115" s="196" t="s">
        <v>761</v>
      </c>
      <c r="AXD115" s="197" t="str">
        <f>VLOOKUP(AXC115,[13]AssetDetails_UEM!$A$3:$AH$1849,6,FALSE)</f>
        <v>Electrosurgical Units, Monopolar/Bipolar</v>
      </c>
      <c r="AXE115" s="196" t="s">
        <v>761</v>
      </c>
      <c r="AXF115" s="197" t="str">
        <f>VLOOKUP(AXE115,[13]AssetDetails_UEM!$A$3:$AH$1849,6,FALSE)</f>
        <v>Electrosurgical Units, Monopolar/Bipolar</v>
      </c>
      <c r="AXG115" s="196" t="s">
        <v>761</v>
      </c>
      <c r="AXH115" s="197" t="str">
        <f>VLOOKUP(AXG115,[13]AssetDetails_UEM!$A$3:$AH$1849,6,FALSE)</f>
        <v>Electrosurgical Units, Monopolar/Bipolar</v>
      </c>
      <c r="AXI115" s="196" t="s">
        <v>761</v>
      </c>
      <c r="AXJ115" s="197" t="str">
        <f>VLOOKUP(AXI115,[13]AssetDetails_UEM!$A$3:$AH$1849,6,FALSE)</f>
        <v>Electrosurgical Units, Monopolar/Bipolar</v>
      </c>
      <c r="AXK115" s="196" t="s">
        <v>761</v>
      </c>
      <c r="AXL115" s="197" t="str">
        <f>VLOOKUP(AXK115,[13]AssetDetails_UEM!$A$3:$AH$1849,6,FALSE)</f>
        <v>Electrosurgical Units, Monopolar/Bipolar</v>
      </c>
      <c r="AXM115" s="196" t="s">
        <v>761</v>
      </c>
      <c r="AXN115" s="197" t="str">
        <f>VLOOKUP(AXM115,[13]AssetDetails_UEM!$A$3:$AH$1849,6,FALSE)</f>
        <v>Electrosurgical Units, Monopolar/Bipolar</v>
      </c>
      <c r="AXO115" s="196" t="s">
        <v>761</v>
      </c>
      <c r="AXP115" s="197" t="str">
        <f>VLOOKUP(AXO115,[13]AssetDetails_UEM!$A$3:$AH$1849,6,FALSE)</f>
        <v>Electrosurgical Units, Monopolar/Bipolar</v>
      </c>
      <c r="AXQ115" s="196" t="s">
        <v>761</v>
      </c>
      <c r="AXR115" s="197" t="str">
        <f>VLOOKUP(AXQ115,[13]AssetDetails_UEM!$A$3:$AH$1849,6,FALSE)</f>
        <v>Electrosurgical Units, Monopolar/Bipolar</v>
      </c>
      <c r="AXS115" s="196" t="s">
        <v>761</v>
      </c>
      <c r="AXT115" s="197" t="str">
        <f>VLOOKUP(AXS115,[13]AssetDetails_UEM!$A$3:$AH$1849,6,FALSE)</f>
        <v>Electrosurgical Units, Monopolar/Bipolar</v>
      </c>
      <c r="AXU115" s="196" t="s">
        <v>761</v>
      </c>
      <c r="AXV115" s="197" t="str">
        <f>VLOOKUP(AXU115,[13]AssetDetails_UEM!$A$3:$AH$1849,6,FALSE)</f>
        <v>Electrosurgical Units, Monopolar/Bipolar</v>
      </c>
      <c r="AXW115" s="196" t="s">
        <v>761</v>
      </c>
      <c r="AXX115" s="197" t="str">
        <f>VLOOKUP(AXW115,[13]AssetDetails_UEM!$A$3:$AH$1849,6,FALSE)</f>
        <v>Electrosurgical Units, Monopolar/Bipolar</v>
      </c>
      <c r="AXY115" s="196" t="s">
        <v>761</v>
      </c>
      <c r="AXZ115" s="197" t="str">
        <f>VLOOKUP(AXY115,[13]AssetDetails_UEM!$A$3:$AH$1849,6,FALSE)</f>
        <v>Electrosurgical Units, Monopolar/Bipolar</v>
      </c>
      <c r="AYA115" s="196" t="s">
        <v>761</v>
      </c>
      <c r="AYB115" s="197" t="str">
        <f>VLOOKUP(AYA115,[13]AssetDetails_UEM!$A$3:$AH$1849,6,FALSE)</f>
        <v>Electrosurgical Units, Monopolar/Bipolar</v>
      </c>
      <c r="AYC115" s="196" t="s">
        <v>761</v>
      </c>
      <c r="AYD115" s="197" t="str">
        <f>VLOOKUP(AYC115,[13]AssetDetails_UEM!$A$3:$AH$1849,6,FALSE)</f>
        <v>Electrosurgical Units, Monopolar/Bipolar</v>
      </c>
      <c r="AYE115" s="196" t="s">
        <v>761</v>
      </c>
      <c r="AYF115" s="197" t="str">
        <f>VLOOKUP(AYE115,[13]AssetDetails_UEM!$A$3:$AH$1849,6,FALSE)</f>
        <v>Electrosurgical Units, Monopolar/Bipolar</v>
      </c>
      <c r="AYG115" s="196" t="s">
        <v>761</v>
      </c>
      <c r="AYH115" s="197" t="str">
        <f>VLOOKUP(AYG115,[13]AssetDetails_UEM!$A$3:$AH$1849,6,FALSE)</f>
        <v>Electrosurgical Units, Monopolar/Bipolar</v>
      </c>
      <c r="AYI115" s="196" t="s">
        <v>761</v>
      </c>
      <c r="AYJ115" s="197" t="str">
        <f>VLOOKUP(AYI115,[13]AssetDetails_UEM!$A$3:$AH$1849,6,FALSE)</f>
        <v>Electrosurgical Units, Monopolar/Bipolar</v>
      </c>
      <c r="AYK115" s="196" t="s">
        <v>761</v>
      </c>
      <c r="AYL115" s="197" t="str">
        <f>VLOOKUP(AYK115,[13]AssetDetails_UEM!$A$3:$AH$1849,6,FALSE)</f>
        <v>Electrosurgical Units, Monopolar/Bipolar</v>
      </c>
      <c r="AYM115" s="196" t="s">
        <v>761</v>
      </c>
      <c r="AYN115" s="197" t="str">
        <f>VLOOKUP(AYM115,[13]AssetDetails_UEM!$A$3:$AH$1849,6,FALSE)</f>
        <v>Electrosurgical Units, Monopolar/Bipolar</v>
      </c>
      <c r="AYO115" s="196" t="s">
        <v>761</v>
      </c>
      <c r="AYP115" s="197" t="str">
        <f>VLOOKUP(AYO115,[13]AssetDetails_UEM!$A$3:$AH$1849,6,FALSE)</f>
        <v>Electrosurgical Units, Monopolar/Bipolar</v>
      </c>
      <c r="AYQ115" s="196" t="s">
        <v>761</v>
      </c>
      <c r="AYR115" s="197" t="str">
        <f>VLOOKUP(AYQ115,[13]AssetDetails_UEM!$A$3:$AH$1849,6,FALSE)</f>
        <v>Electrosurgical Units, Monopolar/Bipolar</v>
      </c>
      <c r="AYS115" s="196" t="s">
        <v>761</v>
      </c>
      <c r="AYT115" s="197" t="str">
        <f>VLOOKUP(AYS115,[13]AssetDetails_UEM!$A$3:$AH$1849,6,FALSE)</f>
        <v>Electrosurgical Units, Monopolar/Bipolar</v>
      </c>
      <c r="AYU115" s="196" t="s">
        <v>761</v>
      </c>
      <c r="AYV115" s="197" t="str">
        <f>VLOOKUP(AYU115,[13]AssetDetails_UEM!$A$3:$AH$1849,6,FALSE)</f>
        <v>Electrosurgical Units, Monopolar/Bipolar</v>
      </c>
      <c r="AYW115" s="196" t="s">
        <v>761</v>
      </c>
      <c r="AYX115" s="197" t="str">
        <f>VLOOKUP(AYW115,[13]AssetDetails_UEM!$A$3:$AH$1849,6,FALSE)</f>
        <v>Electrosurgical Units, Monopolar/Bipolar</v>
      </c>
      <c r="AYY115" s="196" t="s">
        <v>761</v>
      </c>
      <c r="AYZ115" s="197" t="str">
        <f>VLOOKUP(AYY115,[13]AssetDetails_UEM!$A$3:$AH$1849,6,FALSE)</f>
        <v>Electrosurgical Units, Monopolar/Bipolar</v>
      </c>
      <c r="AZA115" s="196" t="s">
        <v>761</v>
      </c>
      <c r="AZB115" s="197" t="str">
        <f>VLOOKUP(AZA115,[13]AssetDetails_UEM!$A$3:$AH$1849,6,FALSE)</f>
        <v>Electrosurgical Units, Monopolar/Bipolar</v>
      </c>
      <c r="AZC115" s="196" t="s">
        <v>761</v>
      </c>
      <c r="AZD115" s="197" t="str">
        <f>VLOOKUP(AZC115,[13]AssetDetails_UEM!$A$3:$AH$1849,6,FALSE)</f>
        <v>Electrosurgical Units, Monopolar/Bipolar</v>
      </c>
      <c r="AZE115" s="196" t="s">
        <v>761</v>
      </c>
      <c r="AZF115" s="197" t="str">
        <f>VLOOKUP(AZE115,[13]AssetDetails_UEM!$A$3:$AH$1849,6,FALSE)</f>
        <v>Electrosurgical Units, Monopolar/Bipolar</v>
      </c>
      <c r="AZG115" s="196" t="s">
        <v>761</v>
      </c>
      <c r="AZH115" s="197" t="str">
        <f>VLOOKUP(AZG115,[13]AssetDetails_UEM!$A$3:$AH$1849,6,FALSE)</f>
        <v>Electrosurgical Units, Monopolar/Bipolar</v>
      </c>
      <c r="AZI115" s="196" t="s">
        <v>761</v>
      </c>
      <c r="AZJ115" s="197" t="str">
        <f>VLOOKUP(AZI115,[13]AssetDetails_UEM!$A$3:$AH$1849,6,FALSE)</f>
        <v>Electrosurgical Units, Monopolar/Bipolar</v>
      </c>
      <c r="AZK115" s="196" t="s">
        <v>761</v>
      </c>
      <c r="AZL115" s="197" t="str">
        <f>VLOOKUP(AZK115,[13]AssetDetails_UEM!$A$3:$AH$1849,6,FALSE)</f>
        <v>Electrosurgical Units, Monopolar/Bipolar</v>
      </c>
      <c r="AZM115" s="196" t="s">
        <v>761</v>
      </c>
      <c r="AZN115" s="197" t="str">
        <f>VLOOKUP(AZM115,[13]AssetDetails_UEM!$A$3:$AH$1849,6,FALSE)</f>
        <v>Electrosurgical Units, Monopolar/Bipolar</v>
      </c>
      <c r="AZO115" s="196" t="s">
        <v>761</v>
      </c>
      <c r="AZP115" s="197" t="str">
        <f>VLOOKUP(AZO115,[13]AssetDetails_UEM!$A$3:$AH$1849,6,FALSE)</f>
        <v>Electrosurgical Units, Monopolar/Bipolar</v>
      </c>
      <c r="AZQ115" s="196" t="s">
        <v>761</v>
      </c>
      <c r="AZR115" s="197" t="str">
        <f>VLOOKUP(AZQ115,[13]AssetDetails_UEM!$A$3:$AH$1849,6,FALSE)</f>
        <v>Electrosurgical Units, Monopolar/Bipolar</v>
      </c>
      <c r="AZS115" s="196" t="s">
        <v>761</v>
      </c>
      <c r="AZT115" s="197" t="str">
        <f>VLOOKUP(AZS115,[13]AssetDetails_UEM!$A$3:$AH$1849,6,FALSE)</f>
        <v>Electrosurgical Units, Monopolar/Bipolar</v>
      </c>
      <c r="AZU115" s="196" t="s">
        <v>761</v>
      </c>
      <c r="AZV115" s="197" t="str">
        <f>VLOOKUP(AZU115,[13]AssetDetails_UEM!$A$3:$AH$1849,6,FALSE)</f>
        <v>Electrosurgical Units, Monopolar/Bipolar</v>
      </c>
      <c r="AZW115" s="196" t="s">
        <v>761</v>
      </c>
      <c r="AZX115" s="197" t="str">
        <f>VLOOKUP(AZW115,[13]AssetDetails_UEM!$A$3:$AH$1849,6,FALSE)</f>
        <v>Electrosurgical Units, Monopolar/Bipolar</v>
      </c>
      <c r="AZY115" s="196" t="s">
        <v>761</v>
      </c>
      <c r="AZZ115" s="197" t="str">
        <f>VLOOKUP(AZY115,[13]AssetDetails_UEM!$A$3:$AH$1849,6,FALSE)</f>
        <v>Electrosurgical Units, Monopolar/Bipolar</v>
      </c>
      <c r="BAA115" s="196" t="s">
        <v>761</v>
      </c>
      <c r="BAB115" s="197" t="str">
        <f>VLOOKUP(BAA115,[13]AssetDetails_UEM!$A$3:$AH$1849,6,FALSE)</f>
        <v>Electrosurgical Units, Monopolar/Bipolar</v>
      </c>
      <c r="BAC115" s="196" t="s">
        <v>761</v>
      </c>
      <c r="BAD115" s="197" t="str">
        <f>VLOOKUP(BAC115,[13]AssetDetails_UEM!$A$3:$AH$1849,6,FALSE)</f>
        <v>Electrosurgical Units, Monopolar/Bipolar</v>
      </c>
      <c r="BAE115" s="196" t="s">
        <v>761</v>
      </c>
      <c r="BAF115" s="197" t="str">
        <f>VLOOKUP(BAE115,[13]AssetDetails_UEM!$A$3:$AH$1849,6,FALSE)</f>
        <v>Electrosurgical Units, Monopolar/Bipolar</v>
      </c>
      <c r="BAG115" s="196" t="s">
        <v>761</v>
      </c>
      <c r="BAH115" s="197" t="str">
        <f>VLOOKUP(BAG115,[13]AssetDetails_UEM!$A$3:$AH$1849,6,FALSE)</f>
        <v>Electrosurgical Units, Monopolar/Bipolar</v>
      </c>
      <c r="BAI115" s="196" t="s">
        <v>761</v>
      </c>
      <c r="BAJ115" s="197" t="str">
        <f>VLOOKUP(BAI115,[13]AssetDetails_UEM!$A$3:$AH$1849,6,FALSE)</f>
        <v>Electrosurgical Units, Monopolar/Bipolar</v>
      </c>
      <c r="BAK115" s="196" t="s">
        <v>761</v>
      </c>
      <c r="BAL115" s="197" t="str">
        <f>VLOOKUP(BAK115,[13]AssetDetails_UEM!$A$3:$AH$1849,6,FALSE)</f>
        <v>Electrosurgical Units, Monopolar/Bipolar</v>
      </c>
      <c r="BAM115" s="196" t="s">
        <v>761</v>
      </c>
      <c r="BAN115" s="197" t="str">
        <f>VLOOKUP(BAM115,[13]AssetDetails_UEM!$A$3:$AH$1849,6,FALSE)</f>
        <v>Electrosurgical Units, Monopolar/Bipolar</v>
      </c>
      <c r="BAO115" s="196" t="s">
        <v>761</v>
      </c>
      <c r="BAP115" s="197" t="str">
        <f>VLOOKUP(BAO115,[13]AssetDetails_UEM!$A$3:$AH$1849,6,FALSE)</f>
        <v>Electrosurgical Units, Monopolar/Bipolar</v>
      </c>
      <c r="BAQ115" s="196" t="s">
        <v>761</v>
      </c>
      <c r="BAR115" s="197" t="str">
        <f>VLOOKUP(BAQ115,[13]AssetDetails_UEM!$A$3:$AH$1849,6,FALSE)</f>
        <v>Electrosurgical Units, Monopolar/Bipolar</v>
      </c>
      <c r="BAS115" s="196" t="s">
        <v>761</v>
      </c>
      <c r="BAT115" s="197" t="str">
        <f>VLOOKUP(BAS115,[13]AssetDetails_UEM!$A$3:$AH$1849,6,FALSE)</f>
        <v>Electrosurgical Units, Monopolar/Bipolar</v>
      </c>
      <c r="BAU115" s="196" t="s">
        <v>761</v>
      </c>
      <c r="BAV115" s="197" t="str">
        <f>VLOOKUP(BAU115,[13]AssetDetails_UEM!$A$3:$AH$1849,6,FALSE)</f>
        <v>Electrosurgical Units, Monopolar/Bipolar</v>
      </c>
      <c r="BAW115" s="196" t="s">
        <v>761</v>
      </c>
      <c r="BAX115" s="197" t="str">
        <f>VLOOKUP(BAW115,[13]AssetDetails_UEM!$A$3:$AH$1849,6,FALSE)</f>
        <v>Electrosurgical Units, Monopolar/Bipolar</v>
      </c>
      <c r="BAY115" s="196" t="s">
        <v>761</v>
      </c>
      <c r="BAZ115" s="197" t="str">
        <f>VLOOKUP(BAY115,[13]AssetDetails_UEM!$A$3:$AH$1849,6,FALSE)</f>
        <v>Electrosurgical Units, Monopolar/Bipolar</v>
      </c>
      <c r="BBA115" s="196" t="s">
        <v>761</v>
      </c>
      <c r="BBB115" s="197" t="str">
        <f>VLOOKUP(BBA115,[13]AssetDetails_UEM!$A$3:$AH$1849,6,FALSE)</f>
        <v>Electrosurgical Units, Monopolar/Bipolar</v>
      </c>
      <c r="BBC115" s="196" t="s">
        <v>761</v>
      </c>
      <c r="BBD115" s="197" t="str">
        <f>VLOOKUP(BBC115,[13]AssetDetails_UEM!$A$3:$AH$1849,6,FALSE)</f>
        <v>Electrosurgical Units, Monopolar/Bipolar</v>
      </c>
      <c r="BBE115" s="196" t="s">
        <v>761</v>
      </c>
      <c r="BBF115" s="197" t="str">
        <f>VLOOKUP(BBE115,[13]AssetDetails_UEM!$A$3:$AH$1849,6,FALSE)</f>
        <v>Electrosurgical Units, Monopolar/Bipolar</v>
      </c>
      <c r="BBG115" s="196" t="s">
        <v>761</v>
      </c>
      <c r="BBH115" s="197" t="str">
        <f>VLOOKUP(BBG115,[13]AssetDetails_UEM!$A$3:$AH$1849,6,FALSE)</f>
        <v>Electrosurgical Units, Monopolar/Bipolar</v>
      </c>
      <c r="BBI115" s="196" t="s">
        <v>761</v>
      </c>
      <c r="BBJ115" s="197" t="str">
        <f>VLOOKUP(BBI115,[13]AssetDetails_UEM!$A$3:$AH$1849,6,FALSE)</f>
        <v>Electrosurgical Units, Monopolar/Bipolar</v>
      </c>
      <c r="BBK115" s="196" t="s">
        <v>761</v>
      </c>
      <c r="BBL115" s="197" t="str">
        <f>VLOOKUP(BBK115,[13]AssetDetails_UEM!$A$3:$AH$1849,6,FALSE)</f>
        <v>Electrosurgical Units, Monopolar/Bipolar</v>
      </c>
      <c r="BBM115" s="196" t="s">
        <v>761</v>
      </c>
      <c r="BBN115" s="197" t="str">
        <f>VLOOKUP(BBM115,[13]AssetDetails_UEM!$A$3:$AH$1849,6,FALSE)</f>
        <v>Electrosurgical Units, Monopolar/Bipolar</v>
      </c>
      <c r="BBO115" s="196" t="s">
        <v>761</v>
      </c>
      <c r="BBP115" s="197" t="str">
        <f>VLOOKUP(BBO115,[13]AssetDetails_UEM!$A$3:$AH$1849,6,FALSE)</f>
        <v>Electrosurgical Units, Monopolar/Bipolar</v>
      </c>
      <c r="BBQ115" s="196" t="s">
        <v>761</v>
      </c>
      <c r="BBR115" s="197" t="str">
        <f>VLOOKUP(BBQ115,[13]AssetDetails_UEM!$A$3:$AH$1849,6,FALSE)</f>
        <v>Electrosurgical Units, Monopolar/Bipolar</v>
      </c>
      <c r="BBS115" s="196" t="s">
        <v>761</v>
      </c>
      <c r="BBT115" s="197" t="str">
        <f>VLOOKUP(BBS115,[13]AssetDetails_UEM!$A$3:$AH$1849,6,FALSE)</f>
        <v>Electrosurgical Units, Monopolar/Bipolar</v>
      </c>
      <c r="BBU115" s="196" t="s">
        <v>761</v>
      </c>
      <c r="BBV115" s="197" t="str">
        <f>VLOOKUP(BBU115,[13]AssetDetails_UEM!$A$3:$AH$1849,6,FALSE)</f>
        <v>Electrosurgical Units, Monopolar/Bipolar</v>
      </c>
      <c r="BBW115" s="196" t="s">
        <v>761</v>
      </c>
      <c r="BBX115" s="197" t="str">
        <f>VLOOKUP(BBW115,[13]AssetDetails_UEM!$A$3:$AH$1849,6,FALSE)</f>
        <v>Electrosurgical Units, Monopolar/Bipolar</v>
      </c>
      <c r="BBY115" s="196" t="s">
        <v>761</v>
      </c>
      <c r="BBZ115" s="197" t="str">
        <f>VLOOKUP(BBY115,[13]AssetDetails_UEM!$A$3:$AH$1849,6,FALSE)</f>
        <v>Electrosurgical Units, Monopolar/Bipolar</v>
      </c>
      <c r="BCA115" s="196" t="s">
        <v>761</v>
      </c>
      <c r="BCB115" s="197" t="str">
        <f>VLOOKUP(BCA115,[13]AssetDetails_UEM!$A$3:$AH$1849,6,FALSE)</f>
        <v>Electrosurgical Units, Monopolar/Bipolar</v>
      </c>
      <c r="BCC115" s="196" t="s">
        <v>761</v>
      </c>
      <c r="BCD115" s="197" t="str">
        <f>VLOOKUP(BCC115,[13]AssetDetails_UEM!$A$3:$AH$1849,6,FALSE)</f>
        <v>Electrosurgical Units, Monopolar/Bipolar</v>
      </c>
      <c r="BCE115" s="196" t="s">
        <v>761</v>
      </c>
      <c r="BCF115" s="197" t="str">
        <f>VLOOKUP(BCE115,[13]AssetDetails_UEM!$A$3:$AH$1849,6,FALSE)</f>
        <v>Electrosurgical Units, Monopolar/Bipolar</v>
      </c>
      <c r="BCG115" s="196" t="s">
        <v>761</v>
      </c>
      <c r="BCH115" s="197" t="str">
        <f>VLOOKUP(BCG115,[13]AssetDetails_UEM!$A$3:$AH$1849,6,FALSE)</f>
        <v>Electrosurgical Units, Monopolar/Bipolar</v>
      </c>
      <c r="BCI115" s="196" t="s">
        <v>761</v>
      </c>
      <c r="BCJ115" s="197" t="str">
        <f>VLOOKUP(BCI115,[13]AssetDetails_UEM!$A$3:$AH$1849,6,FALSE)</f>
        <v>Electrosurgical Units, Monopolar/Bipolar</v>
      </c>
      <c r="BCK115" s="196" t="s">
        <v>761</v>
      </c>
      <c r="BCL115" s="197" t="str">
        <f>VLOOKUP(BCK115,[13]AssetDetails_UEM!$A$3:$AH$1849,6,FALSE)</f>
        <v>Electrosurgical Units, Monopolar/Bipolar</v>
      </c>
      <c r="BCM115" s="196" t="s">
        <v>761</v>
      </c>
      <c r="BCN115" s="197" t="str">
        <f>VLOOKUP(BCM115,[13]AssetDetails_UEM!$A$3:$AH$1849,6,FALSE)</f>
        <v>Electrosurgical Units, Monopolar/Bipolar</v>
      </c>
      <c r="BCO115" s="196" t="s">
        <v>761</v>
      </c>
      <c r="BCP115" s="197" t="str">
        <f>VLOOKUP(BCO115,[13]AssetDetails_UEM!$A$3:$AH$1849,6,FALSE)</f>
        <v>Electrosurgical Units, Monopolar/Bipolar</v>
      </c>
      <c r="BCQ115" s="196" t="s">
        <v>761</v>
      </c>
      <c r="BCR115" s="197" t="str">
        <f>VLOOKUP(BCQ115,[13]AssetDetails_UEM!$A$3:$AH$1849,6,FALSE)</f>
        <v>Electrosurgical Units, Monopolar/Bipolar</v>
      </c>
      <c r="BCS115" s="196" t="s">
        <v>761</v>
      </c>
      <c r="BCT115" s="197" t="str">
        <f>VLOOKUP(BCS115,[13]AssetDetails_UEM!$A$3:$AH$1849,6,FALSE)</f>
        <v>Electrosurgical Units, Monopolar/Bipolar</v>
      </c>
      <c r="BCU115" s="196" t="s">
        <v>761</v>
      </c>
      <c r="BCV115" s="197" t="str">
        <f>VLOOKUP(BCU115,[13]AssetDetails_UEM!$A$3:$AH$1849,6,FALSE)</f>
        <v>Electrosurgical Units, Monopolar/Bipolar</v>
      </c>
      <c r="BCW115" s="196" t="s">
        <v>761</v>
      </c>
      <c r="BCX115" s="197" t="str">
        <f>VLOOKUP(BCW115,[13]AssetDetails_UEM!$A$3:$AH$1849,6,FALSE)</f>
        <v>Electrosurgical Units, Monopolar/Bipolar</v>
      </c>
      <c r="BCY115" s="196" t="s">
        <v>761</v>
      </c>
      <c r="BCZ115" s="197" t="str">
        <f>VLOOKUP(BCY115,[13]AssetDetails_UEM!$A$3:$AH$1849,6,FALSE)</f>
        <v>Electrosurgical Units, Monopolar/Bipolar</v>
      </c>
      <c r="BDA115" s="196" t="s">
        <v>761</v>
      </c>
      <c r="BDB115" s="197" t="str">
        <f>VLOOKUP(BDA115,[13]AssetDetails_UEM!$A$3:$AH$1849,6,FALSE)</f>
        <v>Electrosurgical Units, Monopolar/Bipolar</v>
      </c>
      <c r="BDC115" s="196" t="s">
        <v>761</v>
      </c>
      <c r="BDD115" s="197" t="str">
        <f>VLOOKUP(BDC115,[13]AssetDetails_UEM!$A$3:$AH$1849,6,FALSE)</f>
        <v>Electrosurgical Units, Monopolar/Bipolar</v>
      </c>
      <c r="BDE115" s="196" t="s">
        <v>761</v>
      </c>
      <c r="BDF115" s="197" t="str">
        <f>VLOOKUP(BDE115,[13]AssetDetails_UEM!$A$3:$AH$1849,6,FALSE)</f>
        <v>Electrosurgical Units, Monopolar/Bipolar</v>
      </c>
      <c r="BDG115" s="196" t="s">
        <v>761</v>
      </c>
      <c r="BDH115" s="197" t="str">
        <f>VLOOKUP(BDG115,[13]AssetDetails_UEM!$A$3:$AH$1849,6,FALSE)</f>
        <v>Electrosurgical Units, Monopolar/Bipolar</v>
      </c>
      <c r="BDI115" s="196" t="s">
        <v>761</v>
      </c>
      <c r="BDJ115" s="197" t="str">
        <f>VLOOKUP(BDI115,[13]AssetDetails_UEM!$A$3:$AH$1849,6,FALSE)</f>
        <v>Electrosurgical Units, Monopolar/Bipolar</v>
      </c>
      <c r="BDK115" s="196" t="s">
        <v>761</v>
      </c>
      <c r="BDL115" s="197" t="str">
        <f>VLOOKUP(BDK115,[13]AssetDetails_UEM!$A$3:$AH$1849,6,FALSE)</f>
        <v>Electrosurgical Units, Monopolar/Bipolar</v>
      </c>
      <c r="BDM115" s="196" t="s">
        <v>761</v>
      </c>
      <c r="BDN115" s="197" t="str">
        <f>VLOOKUP(BDM115,[13]AssetDetails_UEM!$A$3:$AH$1849,6,FALSE)</f>
        <v>Electrosurgical Units, Monopolar/Bipolar</v>
      </c>
      <c r="BDO115" s="196" t="s">
        <v>761</v>
      </c>
      <c r="BDP115" s="197" t="str">
        <f>VLOOKUP(BDO115,[13]AssetDetails_UEM!$A$3:$AH$1849,6,FALSE)</f>
        <v>Electrosurgical Units, Monopolar/Bipolar</v>
      </c>
      <c r="BDQ115" s="196" t="s">
        <v>761</v>
      </c>
      <c r="BDR115" s="197" t="str">
        <f>VLOOKUP(BDQ115,[13]AssetDetails_UEM!$A$3:$AH$1849,6,FALSE)</f>
        <v>Electrosurgical Units, Monopolar/Bipolar</v>
      </c>
      <c r="BDS115" s="196" t="s">
        <v>761</v>
      </c>
      <c r="BDT115" s="197" t="str">
        <f>VLOOKUP(BDS115,[13]AssetDetails_UEM!$A$3:$AH$1849,6,FALSE)</f>
        <v>Electrosurgical Units, Monopolar/Bipolar</v>
      </c>
      <c r="BDU115" s="196" t="s">
        <v>761</v>
      </c>
      <c r="BDV115" s="197" t="str">
        <f>VLOOKUP(BDU115,[13]AssetDetails_UEM!$A$3:$AH$1849,6,FALSE)</f>
        <v>Electrosurgical Units, Monopolar/Bipolar</v>
      </c>
      <c r="BDW115" s="196" t="s">
        <v>761</v>
      </c>
      <c r="BDX115" s="197" t="str">
        <f>VLOOKUP(BDW115,[13]AssetDetails_UEM!$A$3:$AH$1849,6,FALSE)</f>
        <v>Electrosurgical Units, Monopolar/Bipolar</v>
      </c>
      <c r="BDY115" s="196" t="s">
        <v>761</v>
      </c>
      <c r="BDZ115" s="197" t="str">
        <f>VLOOKUP(BDY115,[13]AssetDetails_UEM!$A$3:$AH$1849,6,FALSE)</f>
        <v>Electrosurgical Units, Monopolar/Bipolar</v>
      </c>
      <c r="BEA115" s="196" t="s">
        <v>761</v>
      </c>
      <c r="BEB115" s="197" t="str">
        <f>VLOOKUP(BEA115,[13]AssetDetails_UEM!$A$3:$AH$1849,6,FALSE)</f>
        <v>Electrosurgical Units, Monopolar/Bipolar</v>
      </c>
      <c r="BEC115" s="196" t="s">
        <v>761</v>
      </c>
      <c r="BED115" s="197" t="str">
        <f>VLOOKUP(BEC115,[13]AssetDetails_UEM!$A$3:$AH$1849,6,FALSE)</f>
        <v>Electrosurgical Units, Monopolar/Bipolar</v>
      </c>
      <c r="BEE115" s="196" t="s">
        <v>761</v>
      </c>
      <c r="BEF115" s="197" t="str">
        <f>VLOOKUP(BEE115,[13]AssetDetails_UEM!$A$3:$AH$1849,6,FALSE)</f>
        <v>Electrosurgical Units, Monopolar/Bipolar</v>
      </c>
      <c r="BEG115" s="196" t="s">
        <v>761</v>
      </c>
      <c r="BEH115" s="197" t="str">
        <f>VLOOKUP(BEG115,[13]AssetDetails_UEM!$A$3:$AH$1849,6,FALSE)</f>
        <v>Electrosurgical Units, Monopolar/Bipolar</v>
      </c>
      <c r="BEI115" s="196" t="s">
        <v>761</v>
      </c>
      <c r="BEJ115" s="197" t="str">
        <f>VLOOKUP(BEI115,[13]AssetDetails_UEM!$A$3:$AH$1849,6,FALSE)</f>
        <v>Electrosurgical Units, Monopolar/Bipolar</v>
      </c>
      <c r="BEK115" s="196" t="s">
        <v>761</v>
      </c>
      <c r="BEL115" s="197" t="str">
        <f>VLOOKUP(BEK115,[13]AssetDetails_UEM!$A$3:$AH$1849,6,FALSE)</f>
        <v>Electrosurgical Units, Monopolar/Bipolar</v>
      </c>
      <c r="BEM115" s="196" t="s">
        <v>761</v>
      </c>
      <c r="BEN115" s="197" t="str">
        <f>VLOOKUP(BEM115,[13]AssetDetails_UEM!$A$3:$AH$1849,6,FALSE)</f>
        <v>Electrosurgical Units, Monopolar/Bipolar</v>
      </c>
      <c r="BEO115" s="196" t="s">
        <v>761</v>
      </c>
      <c r="BEP115" s="197" t="str">
        <f>VLOOKUP(BEO115,[13]AssetDetails_UEM!$A$3:$AH$1849,6,FALSE)</f>
        <v>Electrosurgical Units, Monopolar/Bipolar</v>
      </c>
      <c r="BEQ115" s="196" t="s">
        <v>761</v>
      </c>
      <c r="BER115" s="197" t="str">
        <f>VLOOKUP(BEQ115,[13]AssetDetails_UEM!$A$3:$AH$1849,6,FALSE)</f>
        <v>Electrosurgical Units, Monopolar/Bipolar</v>
      </c>
      <c r="BES115" s="196" t="s">
        <v>761</v>
      </c>
      <c r="BET115" s="197" t="str">
        <f>VLOOKUP(BES115,[13]AssetDetails_UEM!$A$3:$AH$1849,6,FALSE)</f>
        <v>Electrosurgical Units, Monopolar/Bipolar</v>
      </c>
      <c r="BEU115" s="196" t="s">
        <v>761</v>
      </c>
      <c r="BEV115" s="197" t="str">
        <f>VLOOKUP(BEU115,[13]AssetDetails_UEM!$A$3:$AH$1849,6,FALSE)</f>
        <v>Electrosurgical Units, Monopolar/Bipolar</v>
      </c>
      <c r="BEW115" s="196" t="s">
        <v>761</v>
      </c>
      <c r="BEX115" s="197" t="str">
        <f>VLOOKUP(BEW115,[13]AssetDetails_UEM!$A$3:$AH$1849,6,FALSE)</f>
        <v>Electrosurgical Units, Monopolar/Bipolar</v>
      </c>
      <c r="BEY115" s="196" t="s">
        <v>761</v>
      </c>
      <c r="BEZ115" s="197" t="str">
        <f>VLOOKUP(BEY115,[13]AssetDetails_UEM!$A$3:$AH$1849,6,FALSE)</f>
        <v>Electrosurgical Units, Monopolar/Bipolar</v>
      </c>
      <c r="BFA115" s="196" t="s">
        <v>761</v>
      </c>
      <c r="BFB115" s="197" t="str">
        <f>VLOOKUP(BFA115,[13]AssetDetails_UEM!$A$3:$AH$1849,6,FALSE)</f>
        <v>Electrosurgical Units, Monopolar/Bipolar</v>
      </c>
      <c r="BFC115" s="196" t="s">
        <v>761</v>
      </c>
      <c r="BFD115" s="197" t="str">
        <f>VLOOKUP(BFC115,[13]AssetDetails_UEM!$A$3:$AH$1849,6,FALSE)</f>
        <v>Electrosurgical Units, Monopolar/Bipolar</v>
      </c>
      <c r="BFE115" s="196" t="s">
        <v>761</v>
      </c>
      <c r="BFF115" s="197" t="str">
        <f>VLOOKUP(BFE115,[13]AssetDetails_UEM!$A$3:$AH$1849,6,FALSE)</f>
        <v>Electrosurgical Units, Monopolar/Bipolar</v>
      </c>
      <c r="BFG115" s="196" t="s">
        <v>761</v>
      </c>
      <c r="BFH115" s="197" t="str">
        <f>VLOOKUP(BFG115,[13]AssetDetails_UEM!$A$3:$AH$1849,6,FALSE)</f>
        <v>Electrosurgical Units, Monopolar/Bipolar</v>
      </c>
      <c r="BFI115" s="196" t="s">
        <v>761</v>
      </c>
      <c r="BFJ115" s="197" t="str">
        <f>VLOOKUP(BFI115,[13]AssetDetails_UEM!$A$3:$AH$1849,6,FALSE)</f>
        <v>Electrosurgical Units, Monopolar/Bipolar</v>
      </c>
      <c r="BFK115" s="196" t="s">
        <v>761</v>
      </c>
      <c r="BFL115" s="197" t="str">
        <f>VLOOKUP(BFK115,[13]AssetDetails_UEM!$A$3:$AH$1849,6,FALSE)</f>
        <v>Electrosurgical Units, Monopolar/Bipolar</v>
      </c>
      <c r="BFM115" s="196" t="s">
        <v>761</v>
      </c>
      <c r="BFN115" s="197" t="str">
        <f>VLOOKUP(BFM115,[13]AssetDetails_UEM!$A$3:$AH$1849,6,FALSE)</f>
        <v>Electrosurgical Units, Monopolar/Bipolar</v>
      </c>
      <c r="BFO115" s="196" t="s">
        <v>761</v>
      </c>
      <c r="BFP115" s="197" t="str">
        <f>VLOOKUP(BFO115,[13]AssetDetails_UEM!$A$3:$AH$1849,6,FALSE)</f>
        <v>Electrosurgical Units, Monopolar/Bipolar</v>
      </c>
      <c r="BFQ115" s="196" t="s">
        <v>761</v>
      </c>
      <c r="BFR115" s="197" t="str">
        <f>VLOOKUP(BFQ115,[13]AssetDetails_UEM!$A$3:$AH$1849,6,FALSE)</f>
        <v>Electrosurgical Units, Monopolar/Bipolar</v>
      </c>
      <c r="BFS115" s="196" t="s">
        <v>761</v>
      </c>
      <c r="BFT115" s="197" t="str">
        <f>VLOOKUP(BFS115,[13]AssetDetails_UEM!$A$3:$AH$1849,6,FALSE)</f>
        <v>Electrosurgical Units, Monopolar/Bipolar</v>
      </c>
      <c r="BFU115" s="196" t="s">
        <v>761</v>
      </c>
      <c r="BFV115" s="197" t="str">
        <f>VLOOKUP(BFU115,[13]AssetDetails_UEM!$A$3:$AH$1849,6,FALSE)</f>
        <v>Electrosurgical Units, Monopolar/Bipolar</v>
      </c>
      <c r="BFW115" s="196" t="s">
        <v>761</v>
      </c>
      <c r="BFX115" s="197" t="str">
        <f>VLOOKUP(BFW115,[13]AssetDetails_UEM!$A$3:$AH$1849,6,FALSE)</f>
        <v>Electrosurgical Units, Monopolar/Bipolar</v>
      </c>
      <c r="BFY115" s="196" t="s">
        <v>761</v>
      </c>
      <c r="BFZ115" s="197" t="str">
        <f>VLOOKUP(BFY115,[13]AssetDetails_UEM!$A$3:$AH$1849,6,FALSE)</f>
        <v>Electrosurgical Units, Monopolar/Bipolar</v>
      </c>
      <c r="BGA115" s="196" t="s">
        <v>761</v>
      </c>
      <c r="BGB115" s="197" t="str">
        <f>VLOOKUP(BGA115,[13]AssetDetails_UEM!$A$3:$AH$1849,6,FALSE)</f>
        <v>Electrosurgical Units, Monopolar/Bipolar</v>
      </c>
      <c r="BGC115" s="196" t="s">
        <v>761</v>
      </c>
      <c r="BGD115" s="197" t="str">
        <f>VLOOKUP(BGC115,[13]AssetDetails_UEM!$A$3:$AH$1849,6,FALSE)</f>
        <v>Electrosurgical Units, Monopolar/Bipolar</v>
      </c>
      <c r="BGE115" s="196" t="s">
        <v>761</v>
      </c>
      <c r="BGF115" s="197" t="str">
        <f>VLOOKUP(BGE115,[13]AssetDetails_UEM!$A$3:$AH$1849,6,FALSE)</f>
        <v>Electrosurgical Units, Monopolar/Bipolar</v>
      </c>
      <c r="BGG115" s="196" t="s">
        <v>761</v>
      </c>
      <c r="BGH115" s="197" t="str">
        <f>VLOOKUP(BGG115,[13]AssetDetails_UEM!$A$3:$AH$1849,6,FALSE)</f>
        <v>Electrosurgical Units, Monopolar/Bipolar</v>
      </c>
      <c r="BGI115" s="196" t="s">
        <v>761</v>
      </c>
      <c r="BGJ115" s="197" t="str">
        <f>VLOOKUP(BGI115,[13]AssetDetails_UEM!$A$3:$AH$1849,6,FALSE)</f>
        <v>Electrosurgical Units, Monopolar/Bipolar</v>
      </c>
      <c r="BGK115" s="196" t="s">
        <v>761</v>
      </c>
      <c r="BGL115" s="197" t="str">
        <f>VLOOKUP(BGK115,[13]AssetDetails_UEM!$A$3:$AH$1849,6,FALSE)</f>
        <v>Electrosurgical Units, Monopolar/Bipolar</v>
      </c>
      <c r="BGM115" s="196" t="s">
        <v>761</v>
      </c>
      <c r="BGN115" s="197" t="str">
        <f>VLOOKUP(BGM115,[13]AssetDetails_UEM!$A$3:$AH$1849,6,FALSE)</f>
        <v>Electrosurgical Units, Monopolar/Bipolar</v>
      </c>
      <c r="BGO115" s="196" t="s">
        <v>761</v>
      </c>
      <c r="BGP115" s="197" t="str">
        <f>VLOOKUP(BGO115,[13]AssetDetails_UEM!$A$3:$AH$1849,6,FALSE)</f>
        <v>Electrosurgical Units, Monopolar/Bipolar</v>
      </c>
      <c r="BGQ115" s="196" t="s">
        <v>761</v>
      </c>
      <c r="BGR115" s="197" t="str">
        <f>VLOOKUP(BGQ115,[13]AssetDetails_UEM!$A$3:$AH$1849,6,FALSE)</f>
        <v>Electrosurgical Units, Monopolar/Bipolar</v>
      </c>
      <c r="BGS115" s="196" t="s">
        <v>761</v>
      </c>
      <c r="BGT115" s="197" t="str">
        <f>VLOOKUP(BGS115,[13]AssetDetails_UEM!$A$3:$AH$1849,6,FALSE)</f>
        <v>Electrosurgical Units, Monopolar/Bipolar</v>
      </c>
      <c r="BGU115" s="196" t="s">
        <v>761</v>
      </c>
      <c r="BGV115" s="197" t="str">
        <f>VLOOKUP(BGU115,[13]AssetDetails_UEM!$A$3:$AH$1849,6,FALSE)</f>
        <v>Electrosurgical Units, Monopolar/Bipolar</v>
      </c>
      <c r="BGW115" s="196" t="s">
        <v>761</v>
      </c>
      <c r="BGX115" s="197" t="str">
        <f>VLOOKUP(BGW115,[13]AssetDetails_UEM!$A$3:$AH$1849,6,FALSE)</f>
        <v>Electrosurgical Units, Monopolar/Bipolar</v>
      </c>
      <c r="BGY115" s="196" t="s">
        <v>761</v>
      </c>
      <c r="BGZ115" s="197" t="str">
        <f>VLOOKUP(BGY115,[13]AssetDetails_UEM!$A$3:$AH$1849,6,FALSE)</f>
        <v>Electrosurgical Units, Monopolar/Bipolar</v>
      </c>
      <c r="BHA115" s="196" t="s">
        <v>761</v>
      </c>
      <c r="BHB115" s="197" t="str">
        <f>VLOOKUP(BHA115,[13]AssetDetails_UEM!$A$3:$AH$1849,6,FALSE)</f>
        <v>Electrosurgical Units, Monopolar/Bipolar</v>
      </c>
      <c r="BHC115" s="196" t="s">
        <v>761</v>
      </c>
      <c r="BHD115" s="197" t="str">
        <f>VLOOKUP(BHC115,[13]AssetDetails_UEM!$A$3:$AH$1849,6,FALSE)</f>
        <v>Electrosurgical Units, Monopolar/Bipolar</v>
      </c>
      <c r="BHE115" s="196" t="s">
        <v>761</v>
      </c>
      <c r="BHF115" s="197" t="str">
        <f>VLOOKUP(BHE115,[13]AssetDetails_UEM!$A$3:$AH$1849,6,FALSE)</f>
        <v>Electrosurgical Units, Monopolar/Bipolar</v>
      </c>
      <c r="BHG115" s="196" t="s">
        <v>761</v>
      </c>
      <c r="BHH115" s="197" t="str">
        <f>VLOOKUP(BHG115,[13]AssetDetails_UEM!$A$3:$AH$1849,6,FALSE)</f>
        <v>Electrosurgical Units, Monopolar/Bipolar</v>
      </c>
      <c r="BHI115" s="196" t="s">
        <v>761</v>
      </c>
      <c r="BHJ115" s="197" t="str">
        <f>VLOOKUP(BHI115,[13]AssetDetails_UEM!$A$3:$AH$1849,6,FALSE)</f>
        <v>Electrosurgical Units, Monopolar/Bipolar</v>
      </c>
      <c r="BHK115" s="196" t="s">
        <v>761</v>
      </c>
      <c r="BHL115" s="197" t="str">
        <f>VLOOKUP(BHK115,[13]AssetDetails_UEM!$A$3:$AH$1849,6,FALSE)</f>
        <v>Electrosurgical Units, Monopolar/Bipolar</v>
      </c>
      <c r="BHM115" s="196" t="s">
        <v>761</v>
      </c>
      <c r="BHN115" s="197" t="str">
        <f>VLOOKUP(BHM115,[13]AssetDetails_UEM!$A$3:$AH$1849,6,FALSE)</f>
        <v>Electrosurgical Units, Monopolar/Bipolar</v>
      </c>
      <c r="BHO115" s="196" t="s">
        <v>761</v>
      </c>
      <c r="BHP115" s="197" t="str">
        <f>VLOOKUP(BHO115,[13]AssetDetails_UEM!$A$3:$AH$1849,6,FALSE)</f>
        <v>Electrosurgical Units, Monopolar/Bipolar</v>
      </c>
      <c r="BHQ115" s="196" t="s">
        <v>761</v>
      </c>
      <c r="BHR115" s="197" t="str">
        <f>VLOOKUP(BHQ115,[13]AssetDetails_UEM!$A$3:$AH$1849,6,FALSE)</f>
        <v>Electrosurgical Units, Monopolar/Bipolar</v>
      </c>
      <c r="BHS115" s="196" t="s">
        <v>761</v>
      </c>
      <c r="BHT115" s="197" t="str">
        <f>VLOOKUP(BHS115,[13]AssetDetails_UEM!$A$3:$AH$1849,6,FALSE)</f>
        <v>Electrosurgical Units, Monopolar/Bipolar</v>
      </c>
      <c r="BHU115" s="196" t="s">
        <v>761</v>
      </c>
      <c r="BHV115" s="197" t="str">
        <f>VLOOKUP(BHU115,[13]AssetDetails_UEM!$A$3:$AH$1849,6,FALSE)</f>
        <v>Electrosurgical Units, Monopolar/Bipolar</v>
      </c>
      <c r="BHW115" s="196" t="s">
        <v>761</v>
      </c>
      <c r="BHX115" s="197" t="str">
        <f>VLOOKUP(BHW115,[13]AssetDetails_UEM!$A$3:$AH$1849,6,FALSE)</f>
        <v>Electrosurgical Units, Monopolar/Bipolar</v>
      </c>
      <c r="BHY115" s="196" t="s">
        <v>761</v>
      </c>
      <c r="BHZ115" s="197" t="str">
        <f>VLOOKUP(BHY115,[13]AssetDetails_UEM!$A$3:$AH$1849,6,FALSE)</f>
        <v>Electrosurgical Units, Monopolar/Bipolar</v>
      </c>
      <c r="BIA115" s="196" t="s">
        <v>761</v>
      </c>
      <c r="BIB115" s="197" t="str">
        <f>VLOOKUP(BIA115,[13]AssetDetails_UEM!$A$3:$AH$1849,6,FALSE)</f>
        <v>Electrosurgical Units, Monopolar/Bipolar</v>
      </c>
      <c r="BIC115" s="196" t="s">
        <v>761</v>
      </c>
      <c r="BID115" s="197" t="str">
        <f>VLOOKUP(BIC115,[13]AssetDetails_UEM!$A$3:$AH$1849,6,FALSE)</f>
        <v>Electrosurgical Units, Monopolar/Bipolar</v>
      </c>
      <c r="BIE115" s="196" t="s">
        <v>761</v>
      </c>
      <c r="BIF115" s="197" t="str">
        <f>VLOOKUP(BIE115,[13]AssetDetails_UEM!$A$3:$AH$1849,6,FALSE)</f>
        <v>Electrosurgical Units, Monopolar/Bipolar</v>
      </c>
      <c r="BIG115" s="196" t="s">
        <v>761</v>
      </c>
      <c r="BIH115" s="197" t="str">
        <f>VLOOKUP(BIG115,[13]AssetDetails_UEM!$A$3:$AH$1849,6,FALSE)</f>
        <v>Electrosurgical Units, Monopolar/Bipolar</v>
      </c>
      <c r="BII115" s="196" t="s">
        <v>761</v>
      </c>
      <c r="BIJ115" s="197" t="str">
        <f>VLOOKUP(BII115,[13]AssetDetails_UEM!$A$3:$AH$1849,6,FALSE)</f>
        <v>Electrosurgical Units, Monopolar/Bipolar</v>
      </c>
      <c r="BIK115" s="196" t="s">
        <v>761</v>
      </c>
      <c r="BIL115" s="197" t="str">
        <f>VLOOKUP(BIK115,[13]AssetDetails_UEM!$A$3:$AH$1849,6,FALSE)</f>
        <v>Electrosurgical Units, Monopolar/Bipolar</v>
      </c>
      <c r="BIM115" s="196" t="s">
        <v>761</v>
      </c>
      <c r="BIN115" s="197" t="str">
        <f>VLOOKUP(BIM115,[13]AssetDetails_UEM!$A$3:$AH$1849,6,FALSE)</f>
        <v>Electrosurgical Units, Monopolar/Bipolar</v>
      </c>
      <c r="BIO115" s="196" t="s">
        <v>761</v>
      </c>
      <c r="BIP115" s="197" t="str">
        <f>VLOOKUP(BIO115,[13]AssetDetails_UEM!$A$3:$AH$1849,6,FALSE)</f>
        <v>Electrosurgical Units, Monopolar/Bipolar</v>
      </c>
      <c r="BIQ115" s="196" t="s">
        <v>761</v>
      </c>
      <c r="BIR115" s="197" t="str">
        <f>VLOOKUP(BIQ115,[13]AssetDetails_UEM!$A$3:$AH$1849,6,FALSE)</f>
        <v>Electrosurgical Units, Monopolar/Bipolar</v>
      </c>
      <c r="BIS115" s="196" t="s">
        <v>761</v>
      </c>
      <c r="BIT115" s="197" t="str">
        <f>VLOOKUP(BIS115,[13]AssetDetails_UEM!$A$3:$AH$1849,6,FALSE)</f>
        <v>Electrosurgical Units, Monopolar/Bipolar</v>
      </c>
      <c r="BIU115" s="196" t="s">
        <v>761</v>
      </c>
      <c r="BIV115" s="197" t="str">
        <f>VLOOKUP(BIU115,[13]AssetDetails_UEM!$A$3:$AH$1849,6,FALSE)</f>
        <v>Electrosurgical Units, Monopolar/Bipolar</v>
      </c>
      <c r="BIW115" s="196" t="s">
        <v>761</v>
      </c>
      <c r="BIX115" s="197" t="str">
        <f>VLOOKUP(BIW115,[13]AssetDetails_UEM!$A$3:$AH$1849,6,FALSE)</f>
        <v>Electrosurgical Units, Monopolar/Bipolar</v>
      </c>
      <c r="BIY115" s="196" t="s">
        <v>761</v>
      </c>
      <c r="BIZ115" s="197" t="str">
        <f>VLOOKUP(BIY115,[13]AssetDetails_UEM!$A$3:$AH$1849,6,FALSE)</f>
        <v>Electrosurgical Units, Monopolar/Bipolar</v>
      </c>
      <c r="BJA115" s="196" t="s">
        <v>761</v>
      </c>
      <c r="BJB115" s="197" t="str">
        <f>VLOOKUP(BJA115,[13]AssetDetails_UEM!$A$3:$AH$1849,6,FALSE)</f>
        <v>Electrosurgical Units, Monopolar/Bipolar</v>
      </c>
      <c r="BJC115" s="196" t="s">
        <v>761</v>
      </c>
      <c r="BJD115" s="197" t="str">
        <f>VLOOKUP(BJC115,[13]AssetDetails_UEM!$A$3:$AH$1849,6,FALSE)</f>
        <v>Electrosurgical Units, Monopolar/Bipolar</v>
      </c>
      <c r="BJE115" s="196" t="s">
        <v>761</v>
      </c>
      <c r="BJF115" s="197" t="str">
        <f>VLOOKUP(BJE115,[13]AssetDetails_UEM!$A$3:$AH$1849,6,FALSE)</f>
        <v>Electrosurgical Units, Monopolar/Bipolar</v>
      </c>
      <c r="BJG115" s="196" t="s">
        <v>761</v>
      </c>
      <c r="BJH115" s="197" t="str">
        <f>VLOOKUP(BJG115,[13]AssetDetails_UEM!$A$3:$AH$1849,6,FALSE)</f>
        <v>Electrosurgical Units, Monopolar/Bipolar</v>
      </c>
      <c r="BJI115" s="196" t="s">
        <v>761</v>
      </c>
      <c r="BJJ115" s="197" t="str">
        <f>VLOOKUP(BJI115,[13]AssetDetails_UEM!$A$3:$AH$1849,6,FALSE)</f>
        <v>Electrosurgical Units, Monopolar/Bipolar</v>
      </c>
      <c r="BJK115" s="196" t="s">
        <v>761</v>
      </c>
      <c r="BJL115" s="197" t="str">
        <f>VLOOKUP(BJK115,[13]AssetDetails_UEM!$A$3:$AH$1849,6,FALSE)</f>
        <v>Electrosurgical Units, Monopolar/Bipolar</v>
      </c>
      <c r="BJM115" s="196" t="s">
        <v>761</v>
      </c>
      <c r="BJN115" s="197" t="str">
        <f>VLOOKUP(BJM115,[13]AssetDetails_UEM!$A$3:$AH$1849,6,FALSE)</f>
        <v>Electrosurgical Units, Monopolar/Bipolar</v>
      </c>
      <c r="BJO115" s="196" t="s">
        <v>761</v>
      </c>
      <c r="BJP115" s="197" t="str">
        <f>VLOOKUP(BJO115,[13]AssetDetails_UEM!$A$3:$AH$1849,6,FALSE)</f>
        <v>Electrosurgical Units, Monopolar/Bipolar</v>
      </c>
      <c r="BJQ115" s="196" t="s">
        <v>761</v>
      </c>
      <c r="BJR115" s="197" t="str">
        <f>VLOOKUP(BJQ115,[13]AssetDetails_UEM!$A$3:$AH$1849,6,FALSE)</f>
        <v>Electrosurgical Units, Monopolar/Bipolar</v>
      </c>
      <c r="BJS115" s="196" t="s">
        <v>761</v>
      </c>
      <c r="BJT115" s="197" t="str">
        <f>VLOOKUP(BJS115,[13]AssetDetails_UEM!$A$3:$AH$1849,6,FALSE)</f>
        <v>Electrosurgical Units, Monopolar/Bipolar</v>
      </c>
      <c r="BJU115" s="196" t="s">
        <v>761</v>
      </c>
      <c r="BJV115" s="197" t="str">
        <f>VLOOKUP(BJU115,[13]AssetDetails_UEM!$A$3:$AH$1849,6,FALSE)</f>
        <v>Electrosurgical Units, Monopolar/Bipolar</v>
      </c>
      <c r="BJW115" s="196" t="s">
        <v>761</v>
      </c>
      <c r="BJX115" s="197" t="str">
        <f>VLOOKUP(BJW115,[13]AssetDetails_UEM!$A$3:$AH$1849,6,FALSE)</f>
        <v>Electrosurgical Units, Monopolar/Bipolar</v>
      </c>
      <c r="BJY115" s="196" t="s">
        <v>761</v>
      </c>
      <c r="BJZ115" s="197" t="str">
        <f>VLOOKUP(BJY115,[13]AssetDetails_UEM!$A$3:$AH$1849,6,FALSE)</f>
        <v>Electrosurgical Units, Monopolar/Bipolar</v>
      </c>
      <c r="BKA115" s="196" t="s">
        <v>761</v>
      </c>
      <c r="BKB115" s="197" t="str">
        <f>VLOOKUP(BKA115,[13]AssetDetails_UEM!$A$3:$AH$1849,6,FALSE)</f>
        <v>Electrosurgical Units, Monopolar/Bipolar</v>
      </c>
      <c r="BKC115" s="196" t="s">
        <v>761</v>
      </c>
      <c r="BKD115" s="197" t="str">
        <f>VLOOKUP(BKC115,[13]AssetDetails_UEM!$A$3:$AH$1849,6,FALSE)</f>
        <v>Electrosurgical Units, Monopolar/Bipolar</v>
      </c>
      <c r="BKE115" s="196" t="s">
        <v>761</v>
      </c>
      <c r="BKF115" s="197" t="str">
        <f>VLOOKUP(BKE115,[13]AssetDetails_UEM!$A$3:$AH$1849,6,FALSE)</f>
        <v>Electrosurgical Units, Monopolar/Bipolar</v>
      </c>
      <c r="BKG115" s="196" t="s">
        <v>761</v>
      </c>
      <c r="BKH115" s="197" t="str">
        <f>VLOOKUP(BKG115,[13]AssetDetails_UEM!$A$3:$AH$1849,6,FALSE)</f>
        <v>Electrosurgical Units, Monopolar/Bipolar</v>
      </c>
      <c r="BKI115" s="196" t="s">
        <v>761</v>
      </c>
      <c r="BKJ115" s="197" t="str">
        <f>VLOOKUP(BKI115,[13]AssetDetails_UEM!$A$3:$AH$1849,6,FALSE)</f>
        <v>Electrosurgical Units, Monopolar/Bipolar</v>
      </c>
      <c r="BKK115" s="196" t="s">
        <v>761</v>
      </c>
      <c r="BKL115" s="197" t="str">
        <f>VLOOKUP(BKK115,[13]AssetDetails_UEM!$A$3:$AH$1849,6,FALSE)</f>
        <v>Electrosurgical Units, Monopolar/Bipolar</v>
      </c>
      <c r="BKM115" s="196" t="s">
        <v>761</v>
      </c>
      <c r="BKN115" s="197" t="str">
        <f>VLOOKUP(BKM115,[13]AssetDetails_UEM!$A$3:$AH$1849,6,FALSE)</f>
        <v>Electrosurgical Units, Monopolar/Bipolar</v>
      </c>
      <c r="BKO115" s="196" t="s">
        <v>761</v>
      </c>
      <c r="BKP115" s="197" t="str">
        <f>VLOOKUP(BKO115,[13]AssetDetails_UEM!$A$3:$AH$1849,6,FALSE)</f>
        <v>Electrosurgical Units, Monopolar/Bipolar</v>
      </c>
      <c r="BKQ115" s="196" t="s">
        <v>761</v>
      </c>
      <c r="BKR115" s="197" t="str">
        <f>VLOOKUP(BKQ115,[13]AssetDetails_UEM!$A$3:$AH$1849,6,FALSE)</f>
        <v>Electrosurgical Units, Monopolar/Bipolar</v>
      </c>
      <c r="BKS115" s="196" t="s">
        <v>761</v>
      </c>
      <c r="BKT115" s="197" t="str">
        <f>VLOOKUP(BKS115,[13]AssetDetails_UEM!$A$3:$AH$1849,6,FALSE)</f>
        <v>Electrosurgical Units, Monopolar/Bipolar</v>
      </c>
      <c r="BKU115" s="196" t="s">
        <v>761</v>
      </c>
      <c r="BKV115" s="197" t="str">
        <f>VLOOKUP(BKU115,[13]AssetDetails_UEM!$A$3:$AH$1849,6,FALSE)</f>
        <v>Electrosurgical Units, Monopolar/Bipolar</v>
      </c>
      <c r="BKW115" s="196" t="s">
        <v>761</v>
      </c>
      <c r="BKX115" s="197" t="str">
        <f>VLOOKUP(BKW115,[13]AssetDetails_UEM!$A$3:$AH$1849,6,FALSE)</f>
        <v>Electrosurgical Units, Monopolar/Bipolar</v>
      </c>
      <c r="BKY115" s="196" t="s">
        <v>761</v>
      </c>
      <c r="BKZ115" s="197" t="str">
        <f>VLOOKUP(BKY115,[13]AssetDetails_UEM!$A$3:$AH$1849,6,FALSE)</f>
        <v>Electrosurgical Units, Monopolar/Bipolar</v>
      </c>
      <c r="BLA115" s="196" t="s">
        <v>761</v>
      </c>
      <c r="BLB115" s="197" t="str">
        <f>VLOOKUP(BLA115,[13]AssetDetails_UEM!$A$3:$AH$1849,6,FALSE)</f>
        <v>Electrosurgical Units, Monopolar/Bipolar</v>
      </c>
      <c r="BLC115" s="196" t="s">
        <v>761</v>
      </c>
      <c r="BLD115" s="197" t="str">
        <f>VLOOKUP(BLC115,[13]AssetDetails_UEM!$A$3:$AH$1849,6,FALSE)</f>
        <v>Electrosurgical Units, Monopolar/Bipolar</v>
      </c>
      <c r="BLE115" s="196" t="s">
        <v>761</v>
      </c>
      <c r="BLF115" s="197" t="str">
        <f>VLOOKUP(BLE115,[13]AssetDetails_UEM!$A$3:$AH$1849,6,FALSE)</f>
        <v>Electrosurgical Units, Monopolar/Bipolar</v>
      </c>
      <c r="BLG115" s="196" t="s">
        <v>761</v>
      </c>
      <c r="BLH115" s="197" t="str">
        <f>VLOOKUP(BLG115,[13]AssetDetails_UEM!$A$3:$AH$1849,6,FALSE)</f>
        <v>Electrosurgical Units, Monopolar/Bipolar</v>
      </c>
      <c r="BLI115" s="196" t="s">
        <v>761</v>
      </c>
      <c r="BLJ115" s="197" t="str">
        <f>VLOOKUP(BLI115,[13]AssetDetails_UEM!$A$3:$AH$1849,6,FALSE)</f>
        <v>Electrosurgical Units, Monopolar/Bipolar</v>
      </c>
      <c r="BLK115" s="196" t="s">
        <v>761</v>
      </c>
      <c r="BLL115" s="197" t="str">
        <f>VLOOKUP(BLK115,[13]AssetDetails_UEM!$A$3:$AH$1849,6,FALSE)</f>
        <v>Electrosurgical Units, Monopolar/Bipolar</v>
      </c>
      <c r="BLM115" s="196" t="s">
        <v>761</v>
      </c>
      <c r="BLN115" s="197" t="str">
        <f>VLOOKUP(BLM115,[13]AssetDetails_UEM!$A$3:$AH$1849,6,FALSE)</f>
        <v>Electrosurgical Units, Monopolar/Bipolar</v>
      </c>
      <c r="BLO115" s="196" t="s">
        <v>761</v>
      </c>
      <c r="BLP115" s="197" t="str">
        <f>VLOOKUP(BLO115,[13]AssetDetails_UEM!$A$3:$AH$1849,6,FALSE)</f>
        <v>Electrosurgical Units, Monopolar/Bipolar</v>
      </c>
      <c r="BLQ115" s="196" t="s">
        <v>761</v>
      </c>
      <c r="BLR115" s="197" t="str">
        <f>VLOOKUP(BLQ115,[13]AssetDetails_UEM!$A$3:$AH$1849,6,FALSE)</f>
        <v>Electrosurgical Units, Monopolar/Bipolar</v>
      </c>
      <c r="BLS115" s="196" t="s">
        <v>761</v>
      </c>
      <c r="BLT115" s="197" t="str">
        <f>VLOOKUP(BLS115,[13]AssetDetails_UEM!$A$3:$AH$1849,6,FALSE)</f>
        <v>Electrosurgical Units, Monopolar/Bipolar</v>
      </c>
      <c r="BLU115" s="196" t="s">
        <v>761</v>
      </c>
      <c r="BLV115" s="197" t="str">
        <f>VLOOKUP(BLU115,[13]AssetDetails_UEM!$A$3:$AH$1849,6,FALSE)</f>
        <v>Electrosurgical Units, Monopolar/Bipolar</v>
      </c>
      <c r="BLW115" s="196" t="s">
        <v>761</v>
      </c>
      <c r="BLX115" s="197" t="str">
        <f>VLOOKUP(BLW115,[13]AssetDetails_UEM!$A$3:$AH$1849,6,FALSE)</f>
        <v>Electrosurgical Units, Monopolar/Bipolar</v>
      </c>
      <c r="BLY115" s="196" t="s">
        <v>761</v>
      </c>
      <c r="BLZ115" s="197" t="str">
        <f>VLOOKUP(BLY115,[13]AssetDetails_UEM!$A$3:$AH$1849,6,FALSE)</f>
        <v>Electrosurgical Units, Monopolar/Bipolar</v>
      </c>
      <c r="BMA115" s="196" t="s">
        <v>761</v>
      </c>
      <c r="BMB115" s="197" t="str">
        <f>VLOOKUP(BMA115,[13]AssetDetails_UEM!$A$3:$AH$1849,6,FALSE)</f>
        <v>Electrosurgical Units, Monopolar/Bipolar</v>
      </c>
      <c r="BMC115" s="196" t="s">
        <v>761</v>
      </c>
      <c r="BMD115" s="197" t="str">
        <f>VLOOKUP(BMC115,[13]AssetDetails_UEM!$A$3:$AH$1849,6,FALSE)</f>
        <v>Electrosurgical Units, Monopolar/Bipolar</v>
      </c>
      <c r="BME115" s="196" t="s">
        <v>761</v>
      </c>
      <c r="BMF115" s="197" t="str">
        <f>VLOOKUP(BME115,[13]AssetDetails_UEM!$A$3:$AH$1849,6,FALSE)</f>
        <v>Electrosurgical Units, Monopolar/Bipolar</v>
      </c>
      <c r="BMG115" s="196" t="s">
        <v>761</v>
      </c>
      <c r="BMH115" s="197" t="str">
        <f>VLOOKUP(BMG115,[13]AssetDetails_UEM!$A$3:$AH$1849,6,FALSE)</f>
        <v>Electrosurgical Units, Monopolar/Bipolar</v>
      </c>
      <c r="BMI115" s="196" t="s">
        <v>761</v>
      </c>
      <c r="BMJ115" s="197" t="str">
        <f>VLOOKUP(BMI115,[13]AssetDetails_UEM!$A$3:$AH$1849,6,FALSE)</f>
        <v>Electrosurgical Units, Monopolar/Bipolar</v>
      </c>
      <c r="BMK115" s="196" t="s">
        <v>761</v>
      </c>
      <c r="BML115" s="197" t="str">
        <f>VLOOKUP(BMK115,[13]AssetDetails_UEM!$A$3:$AH$1849,6,FALSE)</f>
        <v>Electrosurgical Units, Monopolar/Bipolar</v>
      </c>
      <c r="BMM115" s="196" t="s">
        <v>761</v>
      </c>
      <c r="BMN115" s="197" t="str">
        <f>VLOOKUP(BMM115,[13]AssetDetails_UEM!$A$3:$AH$1849,6,FALSE)</f>
        <v>Electrosurgical Units, Monopolar/Bipolar</v>
      </c>
      <c r="BMO115" s="196" t="s">
        <v>761</v>
      </c>
      <c r="BMP115" s="197" t="str">
        <f>VLOOKUP(BMO115,[13]AssetDetails_UEM!$A$3:$AH$1849,6,FALSE)</f>
        <v>Electrosurgical Units, Monopolar/Bipolar</v>
      </c>
      <c r="BMQ115" s="196" t="s">
        <v>761</v>
      </c>
      <c r="BMR115" s="197" t="str">
        <f>VLOOKUP(BMQ115,[13]AssetDetails_UEM!$A$3:$AH$1849,6,FALSE)</f>
        <v>Electrosurgical Units, Monopolar/Bipolar</v>
      </c>
      <c r="BMS115" s="196" t="s">
        <v>761</v>
      </c>
      <c r="BMT115" s="197" t="str">
        <f>VLOOKUP(BMS115,[13]AssetDetails_UEM!$A$3:$AH$1849,6,FALSE)</f>
        <v>Electrosurgical Units, Monopolar/Bipolar</v>
      </c>
      <c r="BMU115" s="196" t="s">
        <v>761</v>
      </c>
      <c r="BMV115" s="197" t="str">
        <f>VLOOKUP(BMU115,[13]AssetDetails_UEM!$A$3:$AH$1849,6,FALSE)</f>
        <v>Electrosurgical Units, Monopolar/Bipolar</v>
      </c>
      <c r="BMW115" s="196" t="s">
        <v>761</v>
      </c>
      <c r="BMX115" s="197" t="str">
        <f>VLOOKUP(BMW115,[13]AssetDetails_UEM!$A$3:$AH$1849,6,FALSE)</f>
        <v>Electrosurgical Units, Monopolar/Bipolar</v>
      </c>
      <c r="BMY115" s="196" t="s">
        <v>761</v>
      </c>
      <c r="BMZ115" s="197" t="str">
        <f>VLOOKUP(BMY115,[13]AssetDetails_UEM!$A$3:$AH$1849,6,FALSE)</f>
        <v>Electrosurgical Units, Monopolar/Bipolar</v>
      </c>
      <c r="BNA115" s="196" t="s">
        <v>761</v>
      </c>
      <c r="BNB115" s="197" t="str">
        <f>VLOOKUP(BNA115,[13]AssetDetails_UEM!$A$3:$AH$1849,6,FALSE)</f>
        <v>Electrosurgical Units, Monopolar/Bipolar</v>
      </c>
      <c r="BNC115" s="196" t="s">
        <v>761</v>
      </c>
      <c r="BND115" s="197" t="str">
        <f>VLOOKUP(BNC115,[13]AssetDetails_UEM!$A$3:$AH$1849,6,FALSE)</f>
        <v>Electrosurgical Units, Monopolar/Bipolar</v>
      </c>
      <c r="BNE115" s="196" t="s">
        <v>761</v>
      </c>
      <c r="BNF115" s="197" t="str">
        <f>VLOOKUP(BNE115,[13]AssetDetails_UEM!$A$3:$AH$1849,6,FALSE)</f>
        <v>Electrosurgical Units, Monopolar/Bipolar</v>
      </c>
      <c r="BNG115" s="196" t="s">
        <v>761</v>
      </c>
      <c r="BNH115" s="197" t="str">
        <f>VLOOKUP(BNG115,[13]AssetDetails_UEM!$A$3:$AH$1849,6,FALSE)</f>
        <v>Electrosurgical Units, Monopolar/Bipolar</v>
      </c>
      <c r="BNI115" s="196" t="s">
        <v>761</v>
      </c>
      <c r="BNJ115" s="197" t="str">
        <f>VLOOKUP(BNI115,[13]AssetDetails_UEM!$A$3:$AH$1849,6,FALSE)</f>
        <v>Electrosurgical Units, Monopolar/Bipolar</v>
      </c>
      <c r="BNK115" s="196" t="s">
        <v>761</v>
      </c>
      <c r="BNL115" s="197" t="str">
        <f>VLOOKUP(BNK115,[13]AssetDetails_UEM!$A$3:$AH$1849,6,FALSE)</f>
        <v>Electrosurgical Units, Monopolar/Bipolar</v>
      </c>
      <c r="BNM115" s="196" t="s">
        <v>761</v>
      </c>
      <c r="BNN115" s="197" t="str">
        <f>VLOOKUP(BNM115,[13]AssetDetails_UEM!$A$3:$AH$1849,6,FALSE)</f>
        <v>Electrosurgical Units, Monopolar/Bipolar</v>
      </c>
      <c r="BNO115" s="196" t="s">
        <v>761</v>
      </c>
      <c r="BNP115" s="197" t="str">
        <f>VLOOKUP(BNO115,[13]AssetDetails_UEM!$A$3:$AH$1849,6,FALSE)</f>
        <v>Electrosurgical Units, Monopolar/Bipolar</v>
      </c>
      <c r="BNQ115" s="196" t="s">
        <v>761</v>
      </c>
      <c r="BNR115" s="197" t="str">
        <f>VLOOKUP(BNQ115,[13]AssetDetails_UEM!$A$3:$AH$1849,6,FALSE)</f>
        <v>Electrosurgical Units, Monopolar/Bipolar</v>
      </c>
      <c r="BNS115" s="196" t="s">
        <v>761</v>
      </c>
      <c r="BNT115" s="197" t="str">
        <f>VLOOKUP(BNS115,[13]AssetDetails_UEM!$A$3:$AH$1849,6,FALSE)</f>
        <v>Electrosurgical Units, Monopolar/Bipolar</v>
      </c>
      <c r="BNU115" s="196" t="s">
        <v>761</v>
      </c>
      <c r="BNV115" s="197" t="str">
        <f>VLOOKUP(BNU115,[13]AssetDetails_UEM!$A$3:$AH$1849,6,FALSE)</f>
        <v>Electrosurgical Units, Monopolar/Bipolar</v>
      </c>
      <c r="BNW115" s="196" t="s">
        <v>761</v>
      </c>
      <c r="BNX115" s="197" t="str">
        <f>VLOOKUP(BNW115,[13]AssetDetails_UEM!$A$3:$AH$1849,6,FALSE)</f>
        <v>Electrosurgical Units, Monopolar/Bipolar</v>
      </c>
      <c r="BNY115" s="196" t="s">
        <v>761</v>
      </c>
      <c r="BNZ115" s="197" t="str">
        <f>VLOOKUP(BNY115,[13]AssetDetails_UEM!$A$3:$AH$1849,6,FALSE)</f>
        <v>Electrosurgical Units, Monopolar/Bipolar</v>
      </c>
      <c r="BOA115" s="196" t="s">
        <v>761</v>
      </c>
      <c r="BOB115" s="197" t="str">
        <f>VLOOKUP(BOA115,[13]AssetDetails_UEM!$A$3:$AH$1849,6,FALSE)</f>
        <v>Electrosurgical Units, Monopolar/Bipolar</v>
      </c>
      <c r="BOC115" s="196" t="s">
        <v>761</v>
      </c>
      <c r="BOD115" s="197" t="str">
        <f>VLOOKUP(BOC115,[13]AssetDetails_UEM!$A$3:$AH$1849,6,FALSE)</f>
        <v>Electrosurgical Units, Monopolar/Bipolar</v>
      </c>
      <c r="BOE115" s="196" t="s">
        <v>761</v>
      </c>
      <c r="BOF115" s="197" t="str">
        <f>VLOOKUP(BOE115,[13]AssetDetails_UEM!$A$3:$AH$1849,6,FALSE)</f>
        <v>Electrosurgical Units, Monopolar/Bipolar</v>
      </c>
      <c r="BOG115" s="196" t="s">
        <v>761</v>
      </c>
      <c r="BOH115" s="197" t="str">
        <f>VLOOKUP(BOG115,[13]AssetDetails_UEM!$A$3:$AH$1849,6,FALSE)</f>
        <v>Electrosurgical Units, Monopolar/Bipolar</v>
      </c>
      <c r="BOI115" s="196" t="s">
        <v>761</v>
      </c>
      <c r="BOJ115" s="197" t="str">
        <f>VLOOKUP(BOI115,[13]AssetDetails_UEM!$A$3:$AH$1849,6,FALSE)</f>
        <v>Electrosurgical Units, Monopolar/Bipolar</v>
      </c>
      <c r="BOK115" s="196" t="s">
        <v>761</v>
      </c>
      <c r="BOL115" s="197" t="str">
        <f>VLOOKUP(BOK115,[13]AssetDetails_UEM!$A$3:$AH$1849,6,FALSE)</f>
        <v>Electrosurgical Units, Monopolar/Bipolar</v>
      </c>
      <c r="BOM115" s="196" t="s">
        <v>761</v>
      </c>
      <c r="BON115" s="197" t="str">
        <f>VLOOKUP(BOM115,[13]AssetDetails_UEM!$A$3:$AH$1849,6,FALSE)</f>
        <v>Electrosurgical Units, Monopolar/Bipolar</v>
      </c>
      <c r="BOO115" s="196" t="s">
        <v>761</v>
      </c>
      <c r="BOP115" s="197" t="str">
        <f>VLOOKUP(BOO115,[13]AssetDetails_UEM!$A$3:$AH$1849,6,FALSE)</f>
        <v>Electrosurgical Units, Monopolar/Bipolar</v>
      </c>
      <c r="BOQ115" s="196" t="s">
        <v>761</v>
      </c>
      <c r="BOR115" s="197" t="str">
        <f>VLOOKUP(BOQ115,[13]AssetDetails_UEM!$A$3:$AH$1849,6,FALSE)</f>
        <v>Electrosurgical Units, Monopolar/Bipolar</v>
      </c>
      <c r="BOS115" s="196" t="s">
        <v>761</v>
      </c>
      <c r="BOT115" s="197" t="str">
        <f>VLOOKUP(BOS115,[13]AssetDetails_UEM!$A$3:$AH$1849,6,FALSE)</f>
        <v>Electrosurgical Units, Monopolar/Bipolar</v>
      </c>
      <c r="BOU115" s="196" t="s">
        <v>761</v>
      </c>
      <c r="BOV115" s="197" t="str">
        <f>VLOOKUP(BOU115,[13]AssetDetails_UEM!$A$3:$AH$1849,6,FALSE)</f>
        <v>Electrosurgical Units, Monopolar/Bipolar</v>
      </c>
      <c r="BOW115" s="196" t="s">
        <v>761</v>
      </c>
      <c r="BOX115" s="197" t="str">
        <f>VLOOKUP(BOW115,[13]AssetDetails_UEM!$A$3:$AH$1849,6,FALSE)</f>
        <v>Electrosurgical Units, Monopolar/Bipolar</v>
      </c>
      <c r="BOY115" s="196" t="s">
        <v>761</v>
      </c>
      <c r="BOZ115" s="197" t="str">
        <f>VLOOKUP(BOY115,[13]AssetDetails_UEM!$A$3:$AH$1849,6,FALSE)</f>
        <v>Electrosurgical Units, Monopolar/Bipolar</v>
      </c>
      <c r="BPA115" s="196" t="s">
        <v>761</v>
      </c>
      <c r="BPB115" s="197" t="str">
        <f>VLOOKUP(BPA115,[13]AssetDetails_UEM!$A$3:$AH$1849,6,FALSE)</f>
        <v>Electrosurgical Units, Monopolar/Bipolar</v>
      </c>
      <c r="BPC115" s="196" t="s">
        <v>761</v>
      </c>
      <c r="BPD115" s="197" t="str">
        <f>VLOOKUP(BPC115,[13]AssetDetails_UEM!$A$3:$AH$1849,6,FALSE)</f>
        <v>Electrosurgical Units, Monopolar/Bipolar</v>
      </c>
      <c r="BPE115" s="196" t="s">
        <v>761</v>
      </c>
      <c r="BPF115" s="197" t="str">
        <f>VLOOKUP(BPE115,[13]AssetDetails_UEM!$A$3:$AH$1849,6,FALSE)</f>
        <v>Electrosurgical Units, Monopolar/Bipolar</v>
      </c>
      <c r="BPG115" s="196" t="s">
        <v>761</v>
      </c>
      <c r="BPH115" s="197" t="str">
        <f>VLOOKUP(BPG115,[13]AssetDetails_UEM!$A$3:$AH$1849,6,FALSE)</f>
        <v>Electrosurgical Units, Monopolar/Bipolar</v>
      </c>
      <c r="BPI115" s="196" t="s">
        <v>761</v>
      </c>
      <c r="BPJ115" s="197" t="str">
        <f>VLOOKUP(BPI115,[13]AssetDetails_UEM!$A$3:$AH$1849,6,FALSE)</f>
        <v>Electrosurgical Units, Monopolar/Bipolar</v>
      </c>
      <c r="BPK115" s="196" t="s">
        <v>761</v>
      </c>
      <c r="BPL115" s="197" t="str">
        <f>VLOOKUP(BPK115,[13]AssetDetails_UEM!$A$3:$AH$1849,6,FALSE)</f>
        <v>Electrosurgical Units, Monopolar/Bipolar</v>
      </c>
      <c r="BPM115" s="196" t="s">
        <v>761</v>
      </c>
      <c r="BPN115" s="197" t="str">
        <f>VLOOKUP(BPM115,[13]AssetDetails_UEM!$A$3:$AH$1849,6,FALSE)</f>
        <v>Electrosurgical Units, Monopolar/Bipolar</v>
      </c>
      <c r="BPO115" s="196" t="s">
        <v>761</v>
      </c>
      <c r="BPP115" s="197" t="str">
        <f>VLOOKUP(BPO115,[13]AssetDetails_UEM!$A$3:$AH$1849,6,FALSE)</f>
        <v>Electrosurgical Units, Monopolar/Bipolar</v>
      </c>
      <c r="BPQ115" s="196" t="s">
        <v>761</v>
      </c>
      <c r="BPR115" s="197" t="str">
        <f>VLOOKUP(BPQ115,[13]AssetDetails_UEM!$A$3:$AH$1849,6,FALSE)</f>
        <v>Electrosurgical Units, Monopolar/Bipolar</v>
      </c>
      <c r="BPS115" s="196" t="s">
        <v>761</v>
      </c>
      <c r="BPT115" s="197" t="str">
        <f>VLOOKUP(BPS115,[13]AssetDetails_UEM!$A$3:$AH$1849,6,FALSE)</f>
        <v>Electrosurgical Units, Monopolar/Bipolar</v>
      </c>
      <c r="BPU115" s="196" t="s">
        <v>761</v>
      </c>
      <c r="BPV115" s="197" t="str">
        <f>VLOOKUP(BPU115,[13]AssetDetails_UEM!$A$3:$AH$1849,6,FALSE)</f>
        <v>Electrosurgical Units, Monopolar/Bipolar</v>
      </c>
      <c r="BPW115" s="196" t="s">
        <v>761</v>
      </c>
      <c r="BPX115" s="197" t="str">
        <f>VLOOKUP(BPW115,[13]AssetDetails_UEM!$A$3:$AH$1849,6,FALSE)</f>
        <v>Electrosurgical Units, Monopolar/Bipolar</v>
      </c>
      <c r="BPY115" s="196" t="s">
        <v>761</v>
      </c>
      <c r="BPZ115" s="197" t="str">
        <f>VLOOKUP(BPY115,[13]AssetDetails_UEM!$A$3:$AH$1849,6,FALSE)</f>
        <v>Electrosurgical Units, Monopolar/Bipolar</v>
      </c>
      <c r="BQA115" s="196" t="s">
        <v>761</v>
      </c>
      <c r="BQB115" s="197" t="str">
        <f>VLOOKUP(BQA115,[13]AssetDetails_UEM!$A$3:$AH$1849,6,FALSE)</f>
        <v>Electrosurgical Units, Monopolar/Bipolar</v>
      </c>
      <c r="BQC115" s="196" t="s">
        <v>761</v>
      </c>
      <c r="BQD115" s="197" t="str">
        <f>VLOOKUP(BQC115,[13]AssetDetails_UEM!$A$3:$AH$1849,6,FALSE)</f>
        <v>Electrosurgical Units, Monopolar/Bipolar</v>
      </c>
      <c r="BQE115" s="196" t="s">
        <v>761</v>
      </c>
      <c r="BQF115" s="197" t="str">
        <f>VLOOKUP(BQE115,[13]AssetDetails_UEM!$A$3:$AH$1849,6,FALSE)</f>
        <v>Electrosurgical Units, Monopolar/Bipolar</v>
      </c>
      <c r="BQG115" s="196" t="s">
        <v>761</v>
      </c>
      <c r="BQH115" s="197" t="str">
        <f>VLOOKUP(BQG115,[13]AssetDetails_UEM!$A$3:$AH$1849,6,FALSE)</f>
        <v>Electrosurgical Units, Monopolar/Bipolar</v>
      </c>
      <c r="BQI115" s="196" t="s">
        <v>761</v>
      </c>
      <c r="BQJ115" s="197" t="str">
        <f>VLOOKUP(BQI115,[13]AssetDetails_UEM!$A$3:$AH$1849,6,FALSE)</f>
        <v>Electrosurgical Units, Monopolar/Bipolar</v>
      </c>
      <c r="BQK115" s="196" t="s">
        <v>761</v>
      </c>
      <c r="BQL115" s="197" t="str">
        <f>VLOOKUP(BQK115,[13]AssetDetails_UEM!$A$3:$AH$1849,6,FALSE)</f>
        <v>Electrosurgical Units, Monopolar/Bipolar</v>
      </c>
      <c r="BQM115" s="196" t="s">
        <v>761</v>
      </c>
      <c r="BQN115" s="197" t="str">
        <f>VLOOKUP(BQM115,[13]AssetDetails_UEM!$A$3:$AH$1849,6,FALSE)</f>
        <v>Electrosurgical Units, Monopolar/Bipolar</v>
      </c>
      <c r="BQO115" s="196" t="s">
        <v>761</v>
      </c>
      <c r="BQP115" s="197" t="str">
        <f>VLOOKUP(BQO115,[13]AssetDetails_UEM!$A$3:$AH$1849,6,FALSE)</f>
        <v>Electrosurgical Units, Monopolar/Bipolar</v>
      </c>
      <c r="BQQ115" s="196" t="s">
        <v>761</v>
      </c>
      <c r="BQR115" s="197" t="str">
        <f>VLOOKUP(BQQ115,[13]AssetDetails_UEM!$A$3:$AH$1849,6,FALSE)</f>
        <v>Electrosurgical Units, Monopolar/Bipolar</v>
      </c>
      <c r="BQS115" s="196" t="s">
        <v>761</v>
      </c>
      <c r="BQT115" s="197" t="str">
        <f>VLOOKUP(BQS115,[13]AssetDetails_UEM!$A$3:$AH$1849,6,FALSE)</f>
        <v>Electrosurgical Units, Monopolar/Bipolar</v>
      </c>
      <c r="BQU115" s="196" t="s">
        <v>761</v>
      </c>
      <c r="BQV115" s="197" t="str">
        <f>VLOOKUP(BQU115,[13]AssetDetails_UEM!$A$3:$AH$1849,6,FALSE)</f>
        <v>Electrosurgical Units, Monopolar/Bipolar</v>
      </c>
      <c r="BQW115" s="196" t="s">
        <v>761</v>
      </c>
      <c r="BQX115" s="197" t="str">
        <f>VLOOKUP(BQW115,[13]AssetDetails_UEM!$A$3:$AH$1849,6,FALSE)</f>
        <v>Electrosurgical Units, Monopolar/Bipolar</v>
      </c>
      <c r="BQY115" s="196" t="s">
        <v>761</v>
      </c>
      <c r="BQZ115" s="197" t="str">
        <f>VLOOKUP(BQY115,[13]AssetDetails_UEM!$A$3:$AH$1849,6,FALSE)</f>
        <v>Electrosurgical Units, Monopolar/Bipolar</v>
      </c>
      <c r="BRA115" s="196" t="s">
        <v>761</v>
      </c>
      <c r="BRB115" s="197" t="str">
        <f>VLOOKUP(BRA115,[13]AssetDetails_UEM!$A$3:$AH$1849,6,FALSE)</f>
        <v>Electrosurgical Units, Monopolar/Bipolar</v>
      </c>
      <c r="BRC115" s="196" t="s">
        <v>761</v>
      </c>
      <c r="BRD115" s="197" t="str">
        <f>VLOOKUP(BRC115,[13]AssetDetails_UEM!$A$3:$AH$1849,6,FALSE)</f>
        <v>Electrosurgical Units, Monopolar/Bipolar</v>
      </c>
      <c r="BRE115" s="196" t="s">
        <v>761</v>
      </c>
      <c r="BRF115" s="197" t="str">
        <f>VLOOKUP(BRE115,[13]AssetDetails_UEM!$A$3:$AH$1849,6,FALSE)</f>
        <v>Electrosurgical Units, Monopolar/Bipolar</v>
      </c>
      <c r="BRG115" s="196" t="s">
        <v>761</v>
      </c>
      <c r="BRH115" s="197" t="str">
        <f>VLOOKUP(BRG115,[13]AssetDetails_UEM!$A$3:$AH$1849,6,FALSE)</f>
        <v>Electrosurgical Units, Monopolar/Bipolar</v>
      </c>
      <c r="BRI115" s="196" t="s">
        <v>761</v>
      </c>
      <c r="BRJ115" s="197" t="str">
        <f>VLOOKUP(BRI115,[13]AssetDetails_UEM!$A$3:$AH$1849,6,FALSE)</f>
        <v>Electrosurgical Units, Monopolar/Bipolar</v>
      </c>
      <c r="BRK115" s="196" t="s">
        <v>761</v>
      </c>
      <c r="BRL115" s="197" t="str">
        <f>VLOOKUP(BRK115,[13]AssetDetails_UEM!$A$3:$AH$1849,6,FALSE)</f>
        <v>Electrosurgical Units, Monopolar/Bipolar</v>
      </c>
      <c r="BRM115" s="196" t="s">
        <v>761</v>
      </c>
      <c r="BRN115" s="197" t="str">
        <f>VLOOKUP(BRM115,[13]AssetDetails_UEM!$A$3:$AH$1849,6,FALSE)</f>
        <v>Electrosurgical Units, Monopolar/Bipolar</v>
      </c>
      <c r="BRO115" s="196" t="s">
        <v>761</v>
      </c>
      <c r="BRP115" s="197" t="str">
        <f>VLOOKUP(BRO115,[13]AssetDetails_UEM!$A$3:$AH$1849,6,FALSE)</f>
        <v>Electrosurgical Units, Monopolar/Bipolar</v>
      </c>
      <c r="BRQ115" s="196" t="s">
        <v>761</v>
      </c>
      <c r="BRR115" s="197" t="str">
        <f>VLOOKUP(BRQ115,[13]AssetDetails_UEM!$A$3:$AH$1849,6,FALSE)</f>
        <v>Electrosurgical Units, Monopolar/Bipolar</v>
      </c>
      <c r="BRS115" s="196" t="s">
        <v>761</v>
      </c>
      <c r="BRT115" s="197" t="str">
        <f>VLOOKUP(BRS115,[13]AssetDetails_UEM!$A$3:$AH$1849,6,FALSE)</f>
        <v>Electrosurgical Units, Monopolar/Bipolar</v>
      </c>
      <c r="BRU115" s="196" t="s">
        <v>761</v>
      </c>
      <c r="BRV115" s="197" t="str">
        <f>VLOOKUP(BRU115,[13]AssetDetails_UEM!$A$3:$AH$1849,6,FALSE)</f>
        <v>Electrosurgical Units, Monopolar/Bipolar</v>
      </c>
      <c r="BRW115" s="196" t="s">
        <v>761</v>
      </c>
      <c r="BRX115" s="197" t="str">
        <f>VLOOKUP(BRW115,[13]AssetDetails_UEM!$A$3:$AH$1849,6,FALSE)</f>
        <v>Electrosurgical Units, Monopolar/Bipolar</v>
      </c>
      <c r="BRY115" s="196" t="s">
        <v>761</v>
      </c>
      <c r="BRZ115" s="197" t="str">
        <f>VLOOKUP(BRY115,[13]AssetDetails_UEM!$A$3:$AH$1849,6,FALSE)</f>
        <v>Electrosurgical Units, Monopolar/Bipolar</v>
      </c>
      <c r="BSA115" s="196" t="s">
        <v>761</v>
      </c>
      <c r="BSB115" s="197" t="str">
        <f>VLOOKUP(BSA115,[13]AssetDetails_UEM!$A$3:$AH$1849,6,FALSE)</f>
        <v>Electrosurgical Units, Monopolar/Bipolar</v>
      </c>
      <c r="BSC115" s="196" t="s">
        <v>761</v>
      </c>
      <c r="BSD115" s="197" t="str">
        <f>VLOOKUP(BSC115,[13]AssetDetails_UEM!$A$3:$AH$1849,6,FALSE)</f>
        <v>Electrosurgical Units, Monopolar/Bipolar</v>
      </c>
      <c r="BSE115" s="196" t="s">
        <v>761</v>
      </c>
      <c r="BSF115" s="197" t="str">
        <f>VLOOKUP(BSE115,[13]AssetDetails_UEM!$A$3:$AH$1849,6,FALSE)</f>
        <v>Electrosurgical Units, Monopolar/Bipolar</v>
      </c>
      <c r="BSG115" s="196" t="s">
        <v>761</v>
      </c>
      <c r="BSH115" s="197" t="str">
        <f>VLOOKUP(BSG115,[13]AssetDetails_UEM!$A$3:$AH$1849,6,FALSE)</f>
        <v>Electrosurgical Units, Monopolar/Bipolar</v>
      </c>
      <c r="BSI115" s="196" t="s">
        <v>761</v>
      </c>
      <c r="BSJ115" s="197" t="str">
        <f>VLOOKUP(BSI115,[13]AssetDetails_UEM!$A$3:$AH$1849,6,FALSE)</f>
        <v>Electrosurgical Units, Monopolar/Bipolar</v>
      </c>
      <c r="BSK115" s="196" t="s">
        <v>761</v>
      </c>
      <c r="BSL115" s="197" t="str">
        <f>VLOOKUP(BSK115,[13]AssetDetails_UEM!$A$3:$AH$1849,6,FALSE)</f>
        <v>Electrosurgical Units, Monopolar/Bipolar</v>
      </c>
      <c r="BSM115" s="196" t="s">
        <v>761</v>
      </c>
      <c r="BSN115" s="197" t="str">
        <f>VLOOKUP(BSM115,[13]AssetDetails_UEM!$A$3:$AH$1849,6,FALSE)</f>
        <v>Electrosurgical Units, Monopolar/Bipolar</v>
      </c>
      <c r="BSO115" s="196" t="s">
        <v>761</v>
      </c>
      <c r="BSP115" s="197" t="str">
        <f>VLOOKUP(BSO115,[13]AssetDetails_UEM!$A$3:$AH$1849,6,FALSE)</f>
        <v>Electrosurgical Units, Monopolar/Bipolar</v>
      </c>
      <c r="BSQ115" s="196" t="s">
        <v>761</v>
      </c>
      <c r="BSR115" s="197" t="str">
        <f>VLOOKUP(BSQ115,[13]AssetDetails_UEM!$A$3:$AH$1849,6,FALSE)</f>
        <v>Electrosurgical Units, Monopolar/Bipolar</v>
      </c>
      <c r="BSS115" s="196" t="s">
        <v>761</v>
      </c>
      <c r="BST115" s="197" t="str">
        <f>VLOOKUP(BSS115,[13]AssetDetails_UEM!$A$3:$AH$1849,6,FALSE)</f>
        <v>Electrosurgical Units, Monopolar/Bipolar</v>
      </c>
      <c r="BSU115" s="196" t="s">
        <v>761</v>
      </c>
      <c r="BSV115" s="197" t="str">
        <f>VLOOKUP(BSU115,[13]AssetDetails_UEM!$A$3:$AH$1849,6,FALSE)</f>
        <v>Electrosurgical Units, Monopolar/Bipolar</v>
      </c>
      <c r="BSW115" s="196" t="s">
        <v>761</v>
      </c>
      <c r="BSX115" s="197" t="str">
        <f>VLOOKUP(BSW115,[13]AssetDetails_UEM!$A$3:$AH$1849,6,FALSE)</f>
        <v>Electrosurgical Units, Monopolar/Bipolar</v>
      </c>
      <c r="BSY115" s="196" t="s">
        <v>761</v>
      </c>
      <c r="BSZ115" s="197" t="str">
        <f>VLOOKUP(BSY115,[13]AssetDetails_UEM!$A$3:$AH$1849,6,FALSE)</f>
        <v>Electrosurgical Units, Monopolar/Bipolar</v>
      </c>
      <c r="BTA115" s="196" t="s">
        <v>761</v>
      </c>
      <c r="BTB115" s="197" t="str">
        <f>VLOOKUP(BTA115,[13]AssetDetails_UEM!$A$3:$AH$1849,6,FALSE)</f>
        <v>Electrosurgical Units, Monopolar/Bipolar</v>
      </c>
      <c r="BTC115" s="196" t="s">
        <v>761</v>
      </c>
      <c r="BTD115" s="197" t="str">
        <f>VLOOKUP(BTC115,[13]AssetDetails_UEM!$A$3:$AH$1849,6,FALSE)</f>
        <v>Electrosurgical Units, Monopolar/Bipolar</v>
      </c>
      <c r="BTE115" s="196" t="s">
        <v>761</v>
      </c>
      <c r="BTF115" s="197" t="str">
        <f>VLOOKUP(BTE115,[13]AssetDetails_UEM!$A$3:$AH$1849,6,FALSE)</f>
        <v>Electrosurgical Units, Monopolar/Bipolar</v>
      </c>
      <c r="BTG115" s="196" t="s">
        <v>761</v>
      </c>
      <c r="BTH115" s="197" t="str">
        <f>VLOOKUP(BTG115,[13]AssetDetails_UEM!$A$3:$AH$1849,6,FALSE)</f>
        <v>Electrosurgical Units, Monopolar/Bipolar</v>
      </c>
      <c r="BTI115" s="196" t="s">
        <v>761</v>
      </c>
      <c r="BTJ115" s="197" t="str">
        <f>VLOOKUP(BTI115,[13]AssetDetails_UEM!$A$3:$AH$1849,6,FALSE)</f>
        <v>Electrosurgical Units, Monopolar/Bipolar</v>
      </c>
      <c r="BTK115" s="196" t="s">
        <v>761</v>
      </c>
      <c r="BTL115" s="197" t="str">
        <f>VLOOKUP(BTK115,[13]AssetDetails_UEM!$A$3:$AH$1849,6,FALSE)</f>
        <v>Electrosurgical Units, Monopolar/Bipolar</v>
      </c>
      <c r="BTM115" s="196" t="s">
        <v>761</v>
      </c>
      <c r="BTN115" s="197" t="str">
        <f>VLOOKUP(BTM115,[13]AssetDetails_UEM!$A$3:$AH$1849,6,FALSE)</f>
        <v>Electrosurgical Units, Monopolar/Bipolar</v>
      </c>
      <c r="BTO115" s="196" t="s">
        <v>761</v>
      </c>
      <c r="BTP115" s="197" t="str">
        <f>VLOOKUP(BTO115,[13]AssetDetails_UEM!$A$3:$AH$1849,6,FALSE)</f>
        <v>Electrosurgical Units, Monopolar/Bipolar</v>
      </c>
      <c r="BTQ115" s="196" t="s">
        <v>761</v>
      </c>
      <c r="BTR115" s="197" t="str">
        <f>VLOOKUP(BTQ115,[13]AssetDetails_UEM!$A$3:$AH$1849,6,FALSE)</f>
        <v>Electrosurgical Units, Monopolar/Bipolar</v>
      </c>
      <c r="BTS115" s="196" t="s">
        <v>761</v>
      </c>
      <c r="BTT115" s="197" t="str">
        <f>VLOOKUP(BTS115,[13]AssetDetails_UEM!$A$3:$AH$1849,6,FALSE)</f>
        <v>Electrosurgical Units, Monopolar/Bipolar</v>
      </c>
      <c r="BTU115" s="196" t="s">
        <v>761</v>
      </c>
      <c r="BTV115" s="197" t="str">
        <f>VLOOKUP(BTU115,[13]AssetDetails_UEM!$A$3:$AH$1849,6,FALSE)</f>
        <v>Electrosurgical Units, Monopolar/Bipolar</v>
      </c>
      <c r="BTW115" s="196" t="s">
        <v>761</v>
      </c>
      <c r="BTX115" s="197" t="str">
        <f>VLOOKUP(BTW115,[13]AssetDetails_UEM!$A$3:$AH$1849,6,FALSE)</f>
        <v>Electrosurgical Units, Monopolar/Bipolar</v>
      </c>
      <c r="BTY115" s="196" t="s">
        <v>761</v>
      </c>
      <c r="BTZ115" s="197" t="str">
        <f>VLOOKUP(BTY115,[13]AssetDetails_UEM!$A$3:$AH$1849,6,FALSE)</f>
        <v>Electrosurgical Units, Monopolar/Bipolar</v>
      </c>
      <c r="BUA115" s="196" t="s">
        <v>761</v>
      </c>
      <c r="BUB115" s="197" t="str">
        <f>VLOOKUP(BUA115,[13]AssetDetails_UEM!$A$3:$AH$1849,6,FALSE)</f>
        <v>Electrosurgical Units, Monopolar/Bipolar</v>
      </c>
      <c r="BUC115" s="196" t="s">
        <v>761</v>
      </c>
      <c r="BUD115" s="197" t="str">
        <f>VLOOKUP(BUC115,[13]AssetDetails_UEM!$A$3:$AH$1849,6,FALSE)</f>
        <v>Electrosurgical Units, Monopolar/Bipolar</v>
      </c>
      <c r="BUE115" s="196" t="s">
        <v>761</v>
      </c>
      <c r="BUF115" s="197" t="str">
        <f>VLOOKUP(BUE115,[13]AssetDetails_UEM!$A$3:$AH$1849,6,FALSE)</f>
        <v>Electrosurgical Units, Monopolar/Bipolar</v>
      </c>
      <c r="BUG115" s="196" t="s">
        <v>761</v>
      </c>
      <c r="BUH115" s="197" t="str">
        <f>VLOOKUP(BUG115,[13]AssetDetails_UEM!$A$3:$AH$1849,6,FALSE)</f>
        <v>Electrosurgical Units, Monopolar/Bipolar</v>
      </c>
      <c r="BUI115" s="196" t="s">
        <v>761</v>
      </c>
      <c r="BUJ115" s="197" t="str">
        <f>VLOOKUP(BUI115,[13]AssetDetails_UEM!$A$3:$AH$1849,6,FALSE)</f>
        <v>Electrosurgical Units, Monopolar/Bipolar</v>
      </c>
      <c r="BUK115" s="196" t="s">
        <v>761</v>
      </c>
      <c r="BUL115" s="197" t="str">
        <f>VLOOKUP(BUK115,[13]AssetDetails_UEM!$A$3:$AH$1849,6,FALSE)</f>
        <v>Electrosurgical Units, Monopolar/Bipolar</v>
      </c>
      <c r="BUM115" s="196" t="s">
        <v>761</v>
      </c>
      <c r="BUN115" s="197" t="str">
        <f>VLOOKUP(BUM115,[13]AssetDetails_UEM!$A$3:$AH$1849,6,FALSE)</f>
        <v>Electrosurgical Units, Monopolar/Bipolar</v>
      </c>
      <c r="BUO115" s="196" t="s">
        <v>761</v>
      </c>
      <c r="BUP115" s="197" t="str">
        <f>VLOOKUP(BUO115,[13]AssetDetails_UEM!$A$3:$AH$1849,6,FALSE)</f>
        <v>Electrosurgical Units, Monopolar/Bipolar</v>
      </c>
      <c r="BUQ115" s="196" t="s">
        <v>761</v>
      </c>
      <c r="BUR115" s="197" t="str">
        <f>VLOOKUP(BUQ115,[13]AssetDetails_UEM!$A$3:$AH$1849,6,FALSE)</f>
        <v>Electrosurgical Units, Monopolar/Bipolar</v>
      </c>
      <c r="BUS115" s="196" t="s">
        <v>761</v>
      </c>
      <c r="BUT115" s="197" t="str">
        <f>VLOOKUP(BUS115,[13]AssetDetails_UEM!$A$3:$AH$1849,6,FALSE)</f>
        <v>Electrosurgical Units, Monopolar/Bipolar</v>
      </c>
      <c r="BUU115" s="196" t="s">
        <v>761</v>
      </c>
      <c r="BUV115" s="197" t="str">
        <f>VLOOKUP(BUU115,[13]AssetDetails_UEM!$A$3:$AH$1849,6,FALSE)</f>
        <v>Electrosurgical Units, Monopolar/Bipolar</v>
      </c>
      <c r="BUW115" s="196" t="s">
        <v>761</v>
      </c>
      <c r="BUX115" s="197" t="str">
        <f>VLOOKUP(BUW115,[13]AssetDetails_UEM!$A$3:$AH$1849,6,FALSE)</f>
        <v>Electrosurgical Units, Monopolar/Bipolar</v>
      </c>
      <c r="BUY115" s="196" t="s">
        <v>761</v>
      </c>
      <c r="BUZ115" s="197" t="str">
        <f>VLOOKUP(BUY115,[13]AssetDetails_UEM!$A$3:$AH$1849,6,FALSE)</f>
        <v>Electrosurgical Units, Monopolar/Bipolar</v>
      </c>
      <c r="BVA115" s="196" t="s">
        <v>761</v>
      </c>
      <c r="BVB115" s="197" t="str">
        <f>VLOOKUP(BVA115,[13]AssetDetails_UEM!$A$3:$AH$1849,6,FALSE)</f>
        <v>Electrosurgical Units, Monopolar/Bipolar</v>
      </c>
      <c r="BVC115" s="196" t="s">
        <v>761</v>
      </c>
      <c r="BVD115" s="197" t="str">
        <f>VLOOKUP(BVC115,[13]AssetDetails_UEM!$A$3:$AH$1849,6,FALSE)</f>
        <v>Electrosurgical Units, Monopolar/Bipolar</v>
      </c>
      <c r="BVE115" s="196" t="s">
        <v>761</v>
      </c>
      <c r="BVF115" s="197" t="str">
        <f>VLOOKUP(BVE115,[13]AssetDetails_UEM!$A$3:$AH$1849,6,FALSE)</f>
        <v>Electrosurgical Units, Monopolar/Bipolar</v>
      </c>
      <c r="BVG115" s="196" t="s">
        <v>761</v>
      </c>
      <c r="BVH115" s="197" t="str">
        <f>VLOOKUP(BVG115,[13]AssetDetails_UEM!$A$3:$AH$1849,6,FALSE)</f>
        <v>Electrosurgical Units, Monopolar/Bipolar</v>
      </c>
      <c r="BVI115" s="196" t="s">
        <v>761</v>
      </c>
      <c r="BVJ115" s="197" t="str">
        <f>VLOOKUP(BVI115,[13]AssetDetails_UEM!$A$3:$AH$1849,6,FALSE)</f>
        <v>Electrosurgical Units, Monopolar/Bipolar</v>
      </c>
      <c r="BVK115" s="196" t="s">
        <v>761</v>
      </c>
      <c r="BVL115" s="197" t="str">
        <f>VLOOKUP(BVK115,[13]AssetDetails_UEM!$A$3:$AH$1849,6,FALSE)</f>
        <v>Electrosurgical Units, Monopolar/Bipolar</v>
      </c>
      <c r="BVM115" s="196" t="s">
        <v>761</v>
      </c>
      <c r="BVN115" s="197" t="str">
        <f>VLOOKUP(BVM115,[13]AssetDetails_UEM!$A$3:$AH$1849,6,FALSE)</f>
        <v>Electrosurgical Units, Monopolar/Bipolar</v>
      </c>
      <c r="BVO115" s="196" t="s">
        <v>761</v>
      </c>
      <c r="BVP115" s="197" t="str">
        <f>VLOOKUP(BVO115,[13]AssetDetails_UEM!$A$3:$AH$1849,6,FALSE)</f>
        <v>Electrosurgical Units, Monopolar/Bipolar</v>
      </c>
      <c r="BVQ115" s="196" t="s">
        <v>761</v>
      </c>
      <c r="BVR115" s="197" t="str">
        <f>VLOOKUP(BVQ115,[13]AssetDetails_UEM!$A$3:$AH$1849,6,FALSE)</f>
        <v>Electrosurgical Units, Monopolar/Bipolar</v>
      </c>
      <c r="BVS115" s="196" t="s">
        <v>761</v>
      </c>
      <c r="BVT115" s="197" t="str">
        <f>VLOOKUP(BVS115,[13]AssetDetails_UEM!$A$3:$AH$1849,6,FALSE)</f>
        <v>Electrosurgical Units, Monopolar/Bipolar</v>
      </c>
      <c r="BVU115" s="196" t="s">
        <v>761</v>
      </c>
      <c r="BVV115" s="197" t="str">
        <f>VLOOKUP(BVU115,[13]AssetDetails_UEM!$A$3:$AH$1849,6,FALSE)</f>
        <v>Electrosurgical Units, Monopolar/Bipolar</v>
      </c>
      <c r="BVW115" s="196" t="s">
        <v>761</v>
      </c>
      <c r="BVX115" s="197" t="str">
        <f>VLOOKUP(BVW115,[13]AssetDetails_UEM!$A$3:$AH$1849,6,FALSE)</f>
        <v>Electrosurgical Units, Monopolar/Bipolar</v>
      </c>
      <c r="BVY115" s="196" t="s">
        <v>761</v>
      </c>
      <c r="BVZ115" s="197" t="str">
        <f>VLOOKUP(BVY115,[13]AssetDetails_UEM!$A$3:$AH$1849,6,FALSE)</f>
        <v>Electrosurgical Units, Monopolar/Bipolar</v>
      </c>
      <c r="BWA115" s="196" t="s">
        <v>761</v>
      </c>
      <c r="BWB115" s="197" t="str">
        <f>VLOOKUP(BWA115,[13]AssetDetails_UEM!$A$3:$AH$1849,6,FALSE)</f>
        <v>Electrosurgical Units, Monopolar/Bipolar</v>
      </c>
      <c r="BWC115" s="196" t="s">
        <v>761</v>
      </c>
      <c r="BWD115" s="197" t="str">
        <f>VLOOKUP(BWC115,[13]AssetDetails_UEM!$A$3:$AH$1849,6,FALSE)</f>
        <v>Electrosurgical Units, Monopolar/Bipolar</v>
      </c>
      <c r="BWE115" s="196" t="s">
        <v>761</v>
      </c>
      <c r="BWF115" s="197" t="str">
        <f>VLOOKUP(BWE115,[13]AssetDetails_UEM!$A$3:$AH$1849,6,FALSE)</f>
        <v>Electrosurgical Units, Monopolar/Bipolar</v>
      </c>
      <c r="BWG115" s="196" t="s">
        <v>761</v>
      </c>
      <c r="BWH115" s="197" t="str">
        <f>VLOOKUP(BWG115,[13]AssetDetails_UEM!$A$3:$AH$1849,6,FALSE)</f>
        <v>Electrosurgical Units, Monopolar/Bipolar</v>
      </c>
      <c r="BWI115" s="196" t="s">
        <v>761</v>
      </c>
      <c r="BWJ115" s="197" t="str">
        <f>VLOOKUP(BWI115,[13]AssetDetails_UEM!$A$3:$AH$1849,6,FALSE)</f>
        <v>Electrosurgical Units, Monopolar/Bipolar</v>
      </c>
      <c r="BWK115" s="196" t="s">
        <v>761</v>
      </c>
      <c r="BWL115" s="197" t="str">
        <f>VLOOKUP(BWK115,[13]AssetDetails_UEM!$A$3:$AH$1849,6,FALSE)</f>
        <v>Electrosurgical Units, Monopolar/Bipolar</v>
      </c>
      <c r="BWM115" s="196" t="s">
        <v>761</v>
      </c>
      <c r="BWN115" s="197" t="str">
        <f>VLOOKUP(BWM115,[13]AssetDetails_UEM!$A$3:$AH$1849,6,FALSE)</f>
        <v>Electrosurgical Units, Monopolar/Bipolar</v>
      </c>
      <c r="BWO115" s="196" t="s">
        <v>761</v>
      </c>
      <c r="BWP115" s="197" t="str">
        <f>VLOOKUP(BWO115,[13]AssetDetails_UEM!$A$3:$AH$1849,6,FALSE)</f>
        <v>Electrosurgical Units, Monopolar/Bipolar</v>
      </c>
      <c r="BWQ115" s="196" t="s">
        <v>761</v>
      </c>
      <c r="BWR115" s="197" t="str">
        <f>VLOOKUP(BWQ115,[13]AssetDetails_UEM!$A$3:$AH$1849,6,FALSE)</f>
        <v>Electrosurgical Units, Monopolar/Bipolar</v>
      </c>
      <c r="BWS115" s="196" t="s">
        <v>761</v>
      </c>
      <c r="BWT115" s="197" t="str">
        <f>VLOOKUP(BWS115,[13]AssetDetails_UEM!$A$3:$AH$1849,6,FALSE)</f>
        <v>Electrosurgical Units, Monopolar/Bipolar</v>
      </c>
      <c r="BWU115" s="196" t="s">
        <v>761</v>
      </c>
      <c r="BWV115" s="197" t="str">
        <f>VLOOKUP(BWU115,[13]AssetDetails_UEM!$A$3:$AH$1849,6,FALSE)</f>
        <v>Electrosurgical Units, Monopolar/Bipolar</v>
      </c>
      <c r="BWW115" s="196" t="s">
        <v>761</v>
      </c>
      <c r="BWX115" s="197" t="str">
        <f>VLOOKUP(BWW115,[13]AssetDetails_UEM!$A$3:$AH$1849,6,FALSE)</f>
        <v>Electrosurgical Units, Monopolar/Bipolar</v>
      </c>
      <c r="BWY115" s="196" t="s">
        <v>761</v>
      </c>
      <c r="BWZ115" s="197" t="str">
        <f>VLOOKUP(BWY115,[13]AssetDetails_UEM!$A$3:$AH$1849,6,FALSE)</f>
        <v>Electrosurgical Units, Monopolar/Bipolar</v>
      </c>
      <c r="BXA115" s="196" t="s">
        <v>761</v>
      </c>
      <c r="BXB115" s="197" t="str">
        <f>VLOOKUP(BXA115,[13]AssetDetails_UEM!$A$3:$AH$1849,6,FALSE)</f>
        <v>Electrosurgical Units, Monopolar/Bipolar</v>
      </c>
      <c r="BXC115" s="196" t="s">
        <v>761</v>
      </c>
      <c r="BXD115" s="197" t="str">
        <f>VLOOKUP(BXC115,[13]AssetDetails_UEM!$A$3:$AH$1849,6,FALSE)</f>
        <v>Electrosurgical Units, Monopolar/Bipolar</v>
      </c>
      <c r="BXE115" s="196" t="s">
        <v>761</v>
      </c>
      <c r="BXF115" s="197" t="str">
        <f>VLOOKUP(BXE115,[13]AssetDetails_UEM!$A$3:$AH$1849,6,FALSE)</f>
        <v>Electrosurgical Units, Monopolar/Bipolar</v>
      </c>
      <c r="BXG115" s="196" t="s">
        <v>761</v>
      </c>
      <c r="BXH115" s="197" t="str">
        <f>VLOOKUP(BXG115,[13]AssetDetails_UEM!$A$3:$AH$1849,6,FALSE)</f>
        <v>Electrosurgical Units, Monopolar/Bipolar</v>
      </c>
      <c r="BXI115" s="196" t="s">
        <v>761</v>
      </c>
      <c r="BXJ115" s="197" t="str">
        <f>VLOOKUP(BXI115,[13]AssetDetails_UEM!$A$3:$AH$1849,6,FALSE)</f>
        <v>Electrosurgical Units, Monopolar/Bipolar</v>
      </c>
      <c r="BXK115" s="196" t="s">
        <v>761</v>
      </c>
      <c r="BXL115" s="197" t="str">
        <f>VLOOKUP(BXK115,[13]AssetDetails_UEM!$A$3:$AH$1849,6,FALSE)</f>
        <v>Electrosurgical Units, Monopolar/Bipolar</v>
      </c>
      <c r="BXM115" s="196" t="s">
        <v>761</v>
      </c>
      <c r="BXN115" s="197" t="str">
        <f>VLOOKUP(BXM115,[13]AssetDetails_UEM!$A$3:$AH$1849,6,FALSE)</f>
        <v>Electrosurgical Units, Monopolar/Bipolar</v>
      </c>
      <c r="BXO115" s="196" t="s">
        <v>761</v>
      </c>
      <c r="BXP115" s="197" t="str">
        <f>VLOOKUP(BXO115,[13]AssetDetails_UEM!$A$3:$AH$1849,6,FALSE)</f>
        <v>Electrosurgical Units, Monopolar/Bipolar</v>
      </c>
      <c r="BXQ115" s="196" t="s">
        <v>761</v>
      </c>
      <c r="BXR115" s="197" t="str">
        <f>VLOOKUP(BXQ115,[13]AssetDetails_UEM!$A$3:$AH$1849,6,FALSE)</f>
        <v>Electrosurgical Units, Monopolar/Bipolar</v>
      </c>
      <c r="BXS115" s="196" t="s">
        <v>761</v>
      </c>
      <c r="BXT115" s="197" t="str">
        <f>VLOOKUP(BXS115,[13]AssetDetails_UEM!$A$3:$AH$1849,6,FALSE)</f>
        <v>Electrosurgical Units, Monopolar/Bipolar</v>
      </c>
      <c r="BXU115" s="196" t="s">
        <v>761</v>
      </c>
      <c r="BXV115" s="197" t="str">
        <f>VLOOKUP(BXU115,[13]AssetDetails_UEM!$A$3:$AH$1849,6,FALSE)</f>
        <v>Electrosurgical Units, Monopolar/Bipolar</v>
      </c>
      <c r="BXW115" s="196" t="s">
        <v>761</v>
      </c>
      <c r="BXX115" s="197" t="str">
        <f>VLOOKUP(BXW115,[13]AssetDetails_UEM!$A$3:$AH$1849,6,FALSE)</f>
        <v>Electrosurgical Units, Monopolar/Bipolar</v>
      </c>
      <c r="BXY115" s="196" t="s">
        <v>761</v>
      </c>
      <c r="BXZ115" s="197" t="str">
        <f>VLOOKUP(BXY115,[13]AssetDetails_UEM!$A$3:$AH$1849,6,FALSE)</f>
        <v>Electrosurgical Units, Monopolar/Bipolar</v>
      </c>
      <c r="BYA115" s="196" t="s">
        <v>761</v>
      </c>
      <c r="BYB115" s="197" t="str">
        <f>VLOOKUP(BYA115,[13]AssetDetails_UEM!$A$3:$AH$1849,6,FALSE)</f>
        <v>Electrosurgical Units, Monopolar/Bipolar</v>
      </c>
      <c r="BYC115" s="196" t="s">
        <v>761</v>
      </c>
      <c r="BYD115" s="197" t="str">
        <f>VLOOKUP(BYC115,[13]AssetDetails_UEM!$A$3:$AH$1849,6,FALSE)</f>
        <v>Electrosurgical Units, Monopolar/Bipolar</v>
      </c>
      <c r="BYE115" s="196" t="s">
        <v>761</v>
      </c>
      <c r="BYF115" s="197" t="str">
        <f>VLOOKUP(BYE115,[13]AssetDetails_UEM!$A$3:$AH$1849,6,FALSE)</f>
        <v>Electrosurgical Units, Monopolar/Bipolar</v>
      </c>
      <c r="BYG115" s="196" t="s">
        <v>761</v>
      </c>
      <c r="BYH115" s="197" t="str">
        <f>VLOOKUP(BYG115,[13]AssetDetails_UEM!$A$3:$AH$1849,6,FALSE)</f>
        <v>Electrosurgical Units, Monopolar/Bipolar</v>
      </c>
      <c r="BYI115" s="196" t="s">
        <v>761</v>
      </c>
      <c r="BYJ115" s="197" t="str">
        <f>VLOOKUP(BYI115,[13]AssetDetails_UEM!$A$3:$AH$1849,6,FALSE)</f>
        <v>Electrosurgical Units, Monopolar/Bipolar</v>
      </c>
      <c r="BYK115" s="196" t="s">
        <v>761</v>
      </c>
      <c r="BYL115" s="197" t="str">
        <f>VLOOKUP(BYK115,[13]AssetDetails_UEM!$A$3:$AH$1849,6,FALSE)</f>
        <v>Electrosurgical Units, Monopolar/Bipolar</v>
      </c>
      <c r="BYM115" s="196" t="s">
        <v>761</v>
      </c>
      <c r="BYN115" s="197" t="str">
        <f>VLOOKUP(BYM115,[13]AssetDetails_UEM!$A$3:$AH$1849,6,FALSE)</f>
        <v>Electrosurgical Units, Monopolar/Bipolar</v>
      </c>
      <c r="BYO115" s="196" t="s">
        <v>761</v>
      </c>
      <c r="BYP115" s="197" t="str">
        <f>VLOOKUP(BYO115,[13]AssetDetails_UEM!$A$3:$AH$1849,6,FALSE)</f>
        <v>Electrosurgical Units, Monopolar/Bipolar</v>
      </c>
      <c r="BYQ115" s="196" t="s">
        <v>761</v>
      </c>
      <c r="BYR115" s="197" t="str">
        <f>VLOOKUP(BYQ115,[13]AssetDetails_UEM!$A$3:$AH$1849,6,FALSE)</f>
        <v>Electrosurgical Units, Monopolar/Bipolar</v>
      </c>
      <c r="BYS115" s="196" t="s">
        <v>761</v>
      </c>
      <c r="BYT115" s="197" t="str">
        <f>VLOOKUP(BYS115,[13]AssetDetails_UEM!$A$3:$AH$1849,6,FALSE)</f>
        <v>Electrosurgical Units, Monopolar/Bipolar</v>
      </c>
      <c r="BYU115" s="196" t="s">
        <v>761</v>
      </c>
      <c r="BYV115" s="197" t="str">
        <f>VLOOKUP(BYU115,[13]AssetDetails_UEM!$A$3:$AH$1849,6,FALSE)</f>
        <v>Electrosurgical Units, Monopolar/Bipolar</v>
      </c>
      <c r="BYW115" s="196" t="s">
        <v>761</v>
      </c>
      <c r="BYX115" s="197" t="str">
        <f>VLOOKUP(BYW115,[13]AssetDetails_UEM!$A$3:$AH$1849,6,FALSE)</f>
        <v>Electrosurgical Units, Monopolar/Bipolar</v>
      </c>
      <c r="BYY115" s="196" t="s">
        <v>761</v>
      </c>
      <c r="BYZ115" s="197" t="str">
        <f>VLOOKUP(BYY115,[13]AssetDetails_UEM!$A$3:$AH$1849,6,FALSE)</f>
        <v>Electrosurgical Units, Monopolar/Bipolar</v>
      </c>
      <c r="BZA115" s="196" t="s">
        <v>761</v>
      </c>
      <c r="BZB115" s="197" t="str">
        <f>VLOOKUP(BZA115,[13]AssetDetails_UEM!$A$3:$AH$1849,6,FALSE)</f>
        <v>Electrosurgical Units, Monopolar/Bipolar</v>
      </c>
      <c r="BZC115" s="196" t="s">
        <v>761</v>
      </c>
      <c r="BZD115" s="197" t="str">
        <f>VLOOKUP(BZC115,[13]AssetDetails_UEM!$A$3:$AH$1849,6,FALSE)</f>
        <v>Electrosurgical Units, Monopolar/Bipolar</v>
      </c>
      <c r="BZE115" s="196" t="s">
        <v>761</v>
      </c>
      <c r="BZF115" s="197" t="str">
        <f>VLOOKUP(BZE115,[13]AssetDetails_UEM!$A$3:$AH$1849,6,FALSE)</f>
        <v>Electrosurgical Units, Monopolar/Bipolar</v>
      </c>
      <c r="BZG115" s="196" t="s">
        <v>761</v>
      </c>
      <c r="BZH115" s="197" t="str">
        <f>VLOOKUP(BZG115,[13]AssetDetails_UEM!$A$3:$AH$1849,6,FALSE)</f>
        <v>Electrosurgical Units, Monopolar/Bipolar</v>
      </c>
      <c r="BZI115" s="196" t="s">
        <v>761</v>
      </c>
      <c r="BZJ115" s="197" t="str">
        <f>VLOOKUP(BZI115,[13]AssetDetails_UEM!$A$3:$AH$1849,6,FALSE)</f>
        <v>Electrosurgical Units, Monopolar/Bipolar</v>
      </c>
      <c r="BZK115" s="196" t="s">
        <v>761</v>
      </c>
      <c r="BZL115" s="197" t="str">
        <f>VLOOKUP(BZK115,[13]AssetDetails_UEM!$A$3:$AH$1849,6,FALSE)</f>
        <v>Electrosurgical Units, Monopolar/Bipolar</v>
      </c>
      <c r="BZM115" s="196" t="s">
        <v>761</v>
      </c>
      <c r="BZN115" s="197" t="str">
        <f>VLOOKUP(BZM115,[13]AssetDetails_UEM!$A$3:$AH$1849,6,FALSE)</f>
        <v>Electrosurgical Units, Monopolar/Bipolar</v>
      </c>
      <c r="BZO115" s="196" t="s">
        <v>761</v>
      </c>
      <c r="BZP115" s="197" t="str">
        <f>VLOOKUP(BZO115,[13]AssetDetails_UEM!$A$3:$AH$1849,6,FALSE)</f>
        <v>Electrosurgical Units, Monopolar/Bipolar</v>
      </c>
      <c r="BZQ115" s="196" t="s">
        <v>761</v>
      </c>
      <c r="BZR115" s="197" t="str">
        <f>VLOOKUP(BZQ115,[13]AssetDetails_UEM!$A$3:$AH$1849,6,FALSE)</f>
        <v>Electrosurgical Units, Monopolar/Bipolar</v>
      </c>
      <c r="BZS115" s="196" t="s">
        <v>761</v>
      </c>
      <c r="BZT115" s="197" t="str">
        <f>VLOOKUP(BZS115,[13]AssetDetails_UEM!$A$3:$AH$1849,6,FALSE)</f>
        <v>Electrosurgical Units, Monopolar/Bipolar</v>
      </c>
      <c r="BZU115" s="196" t="s">
        <v>761</v>
      </c>
      <c r="BZV115" s="197" t="str">
        <f>VLOOKUP(BZU115,[13]AssetDetails_UEM!$A$3:$AH$1849,6,FALSE)</f>
        <v>Electrosurgical Units, Monopolar/Bipolar</v>
      </c>
      <c r="BZW115" s="196" t="s">
        <v>761</v>
      </c>
      <c r="BZX115" s="197" t="str">
        <f>VLOOKUP(BZW115,[13]AssetDetails_UEM!$A$3:$AH$1849,6,FALSE)</f>
        <v>Electrosurgical Units, Monopolar/Bipolar</v>
      </c>
      <c r="BZY115" s="196" t="s">
        <v>761</v>
      </c>
      <c r="BZZ115" s="197" t="str">
        <f>VLOOKUP(BZY115,[13]AssetDetails_UEM!$A$3:$AH$1849,6,FALSE)</f>
        <v>Electrosurgical Units, Monopolar/Bipolar</v>
      </c>
      <c r="CAA115" s="196" t="s">
        <v>761</v>
      </c>
      <c r="CAB115" s="197" t="str">
        <f>VLOOKUP(CAA115,[13]AssetDetails_UEM!$A$3:$AH$1849,6,FALSE)</f>
        <v>Electrosurgical Units, Monopolar/Bipolar</v>
      </c>
      <c r="CAC115" s="196" t="s">
        <v>761</v>
      </c>
      <c r="CAD115" s="197" t="str">
        <f>VLOOKUP(CAC115,[13]AssetDetails_UEM!$A$3:$AH$1849,6,FALSE)</f>
        <v>Electrosurgical Units, Monopolar/Bipolar</v>
      </c>
      <c r="CAE115" s="196" t="s">
        <v>761</v>
      </c>
      <c r="CAF115" s="197" t="str">
        <f>VLOOKUP(CAE115,[13]AssetDetails_UEM!$A$3:$AH$1849,6,FALSE)</f>
        <v>Electrosurgical Units, Monopolar/Bipolar</v>
      </c>
      <c r="CAG115" s="196" t="s">
        <v>761</v>
      </c>
      <c r="CAH115" s="197" t="str">
        <f>VLOOKUP(CAG115,[13]AssetDetails_UEM!$A$3:$AH$1849,6,FALSE)</f>
        <v>Electrosurgical Units, Monopolar/Bipolar</v>
      </c>
      <c r="CAI115" s="196" t="s">
        <v>761</v>
      </c>
      <c r="CAJ115" s="197" t="str">
        <f>VLOOKUP(CAI115,[13]AssetDetails_UEM!$A$3:$AH$1849,6,FALSE)</f>
        <v>Electrosurgical Units, Monopolar/Bipolar</v>
      </c>
      <c r="CAK115" s="196" t="s">
        <v>761</v>
      </c>
      <c r="CAL115" s="197" t="str">
        <f>VLOOKUP(CAK115,[13]AssetDetails_UEM!$A$3:$AH$1849,6,FALSE)</f>
        <v>Electrosurgical Units, Monopolar/Bipolar</v>
      </c>
      <c r="CAM115" s="196" t="s">
        <v>761</v>
      </c>
      <c r="CAN115" s="197" t="str">
        <f>VLOOKUP(CAM115,[13]AssetDetails_UEM!$A$3:$AH$1849,6,FALSE)</f>
        <v>Electrosurgical Units, Monopolar/Bipolar</v>
      </c>
      <c r="CAO115" s="196" t="s">
        <v>761</v>
      </c>
      <c r="CAP115" s="197" t="str">
        <f>VLOOKUP(CAO115,[13]AssetDetails_UEM!$A$3:$AH$1849,6,FALSE)</f>
        <v>Electrosurgical Units, Monopolar/Bipolar</v>
      </c>
      <c r="CAQ115" s="196" t="s">
        <v>761</v>
      </c>
      <c r="CAR115" s="197" t="str">
        <f>VLOOKUP(CAQ115,[13]AssetDetails_UEM!$A$3:$AH$1849,6,FALSE)</f>
        <v>Electrosurgical Units, Monopolar/Bipolar</v>
      </c>
      <c r="CAS115" s="196" t="s">
        <v>761</v>
      </c>
      <c r="CAT115" s="197" t="str">
        <f>VLOOKUP(CAS115,[13]AssetDetails_UEM!$A$3:$AH$1849,6,FALSE)</f>
        <v>Electrosurgical Units, Monopolar/Bipolar</v>
      </c>
      <c r="CAU115" s="196" t="s">
        <v>761</v>
      </c>
      <c r="CAV115" s="197" t="str">
        <f>VLOOKUP(CAU115,[13]AssetDetails_UEM!$A$3:$AH$1849,6,FALSE)</f>
        <v>Electrosurgical Units, Monopolar/Bipolar</v>
      </c>
      <c r="CAW115" s="196" t="s">
        <v>761</v>
      </c>
      <c r="CAX115" s="197" t="str">
        <f>VLOOKUP(CAW115,[13]AssetDetails_UEM!$A$3:$AH$1849,6,FALSE)</f>
        <v>Electrosurgical Units, Monopolar/Bipolar</v>
      </c>
      <c r="CAY115" s="196" t="s">
        <v>761</v>
      </c>
      <c r="CAZ115" s="197" t="str">
        <f>VLOOKUP(CAY115,[13]AssetDetails_UEM!$A$3:$AH$1849,6,FALSE)</f>
        <v>Electrosurgical Units, Monopolar/Bipolar</v>
      </c>
      <c r="CBA115" s="196" t="s">
        <v>761</v>
      </c>
      <c r="CBB115" s="197" t="str">
        <f>VLOOKUP(CBA115,[13]AssetDetails_UEM!$A$3:$AH$1849,6,FALSE)</f>
        <v>Electrosurgical Units, Monopolar/Bipolar</v>
      </c>
      <c r="CBC115" s="196" t="s">
        <v>761</v>
      </c>
      <c r="CBD115" s="197" t="str">
        <f>VLOOKUP(CBC115,[13]AssetDetails_UEM!$A$3:$AH$1849,6,FALSE)</f>
        <v>Electrosurgical Units, Monopolar/Bipolar</v>
      </c>
      <c r="CBE115" s="196" t="s">
        <v>761</v>
      </c>
      <c r="CBF115" s="197" t="str">
        <f>VLOOKUP(CBE115,[13]AssetDetails_UEM!$A$3:$AH$1849,6,FALSE)</f>
        <v>Electrosurgical Units, Monopolar/Bipolar</v>
      </c>
      <c r="CBG115" s="196" t="s">
        <v>761</v>
      </c>
      <c r="CBH115" s="197" t="str">
        <f>VLOOKUP(CBG115,[13]AssetDetails_UEM!$A$3:$AH$1849,6,FALSE)</f>
        <v>Electrosurgical Units, Monopolar/Bipolar</v>
      </c>
      <c r="CBI115" s="196" t="s">
        <v>761</v>
      </c>
      <c r="CBJ115" s="197" t="str">
        <f>VLOOKUP(CBI115,[13]AssetDetails_UEM!$A$3:$AH$1849,6,FALSE)</f>
        <v>Electrosurgical Units, Monopolar/Bipolar</v>
      </c>
      <c r="CBK115" s="196" t="s">
        <v>761</v>
      </c>
      <c r="CBL115" s="197" t="str">
        <f>VLOOKUP(CBK115,[13]AssetDetails_UEM!$A$3:$AH$1849,6,FALSE)</f>
        <v>Electrosurgical Units, Monopolar/Bipolar</v>
      </c>
      <c r="CBM115" s="196" t="s">
        <v>761</v>
      </c>
      <c r="CBN115" s="197" t="str">
        <f>VLOOKUP(CBM115,[13]AssetDetails_UEM!$A$3:$AH$1849,6,FALSE)</f>
        <v>Electrosurgical Units, Monopolar/Bipolar</v>
      </c>
      <c r="CBO115" s="196" t="s">
        <v>761</v>
      </c>
      <c r="CBP115" s="197" t="str">
        <f>VLOOKUP(CBO115,[13]AssetDetails_UEM!$A$3:$AH$1849,6,FALSE)</f>
        <v>Electrosurgical Units, Monopolar/Bipolar</v>
      </c>
      <c r="CBQ115" s="196" t="s">
        <v>761</v>
      </c>
      <c r="CBR115" s="197" t="str">
        <f>VLOOKUP(CBQ115,[13]AssetDetails_UEM!$A$3:$AH$1849,6,FALSE)</f>
        <v>Electrosurgical Units, Monopolar/Bipolar</v>
      </c>
      <c r="CBS115" s="196" t="s">
        <v>761</v>
      </c>
      <c r="CBT115" s="197" t="str">
        <f>VLOOKUP(CBS115,[13]AssetDetails_UEM!$A$3:$AH$1849,6,FALSE)</f>
        <v>Electrosurgical Units, Monopolar/Bipolar</v>
      </c>
      <c r="CBU115" s="196" t="s">
        <v>761</v>
      </c>
      <c r="CBV115" s="197" t="str">
        <f>VLOOKUP(CBU115,[13]AssetDetails_UEM!$A$3:$AH$1849,6,FALSE)</f>
        <v>Electrosurgical Units, Monopolar/Bipolar</v>
      </c>
      <c r="CBW115" s="196" t="s">
        <v>761</v>
      </c>
      <c r="CBX115" s="197" t="str">
        <f>VLOOKUP(CBW115,[13]AssetDetails_UEM!$A$3:$AH$1849,6,FALSE)</f>
        <v>Electrosurgical Units, Monopolar/Bipolar</v>
      </c>
      <c r="CBY115" s="196" t="s">
        <v>761</v>
      </c>
      <c r="CBZ115" s="197" t="str">
        <f>VLOOKUP(CBY115,[13]AssetDetails_UEM!$A$3:$AH$1849,6,FALSE)</f>
        <v>Electrosurgical Units, Monopolar/Bipolar</v>
      </c>
      <c r="CCA115" s="196" t="s">
        <v>761</v>
      </c>
      <c r="CCB115" s="197" t="str">
        <f>VLOOKUP(CCA115,[13]AssetDetails_UEM!$A$3:$AH$1849,6,FALSE)</f>
        <v>Electrosurgical Units, Monopolar/Bipolar</v>
      </c>
      <c r="CCC115" s="196" t="s">
        <v>761</v>
      </c>
      <c r="CCD115" s="197" t="str">
        <f>VLOOKUP(CCC115,[13]AssetDetails_UEM!$A$3:$AH$1849,6,FALSE)</f>
        <v>Electrosurgical Units, Monopolar/Bipolar</v>
      </c>
      <c r="CCE115" s="196" t="s">
        <v>761</v>
      </c>
      <c r="CCF115" s="197" t="str">
        <f>VLOOKUP(CCE115,[13]AssetDetails_UEM!$A$3:$AH$1849,6,FALSE)</f>
        <v>Electrosurgical Units, Monopolar/Bipolar</v>
      </c>
      <c r="CCG115" s="196" t="s">
        <v>761</v>
      </c>
      <c r="CCH115" s="197" t="str">
        <f>VLOOKUP(CCG115,[13]AssetDetails_UEM!$A$3:$AH$1849,6,FALSE)</f>
        <v>Electrosurgical Units, Monopolar/Bipolar</v>
      </c>
      <c r="CCI115" s="196" t="s">
        <v>761</v>
      </c>
      <c r="CCJ115" s="197" t="str">
        <f>VLOOKUP(CCI115,[13]AssetDetails_UEM!$A$3:$AH$1849,6,FALSE)</f>
        <v>Electrosurgical Units, Monopolar/Bipolar</v>
      </c>
      <c r="CCK115" s="196" t="s">
        <v>761</v>
      </c>
      <c r="CCL115" s="197" t="str">
        <f>VLOOKUP(CCK115,[13]AssetDetails_UEM!$A$3:$AH$1849,6,FALSE)</f>
        <v>Electrosurgical Units, Monopolar/Bipolar</v>
      </c>
      <c r="CCM115" s="196" t="s">
        <v>761</v>
      </c>
      <c r="CCN115" s="197" t="str">
        <f>VLOOKUP(CCM115,[13]AssetDetails_UEM!$A$3:$AH$1849,6,FALSE)</f>
        <v>Electrosurgical Units, Monopolar/Bipolar</v>
      </c>
      <c r="CCO115" s="196" t="s">
        <v>761</v>
      </c>
      <c r="CCP115" s="197" t="str">
        <f>VLOOKUP(CCO115,[13]AssetDetails_UEM!$A$3:$AH$1849,6,FALSE)</f>
        <v>Electrosurgical Units, Monopolar/Bipolar</v>
      </c>
      <c r="CCQ115" s="196" t="s">
        <v>761</v>
      </c>
      <c r="CCR115" s="197" t="str">
        <f>VLOOKUP(CCQ115,[13]AssetDetails_UEM!$A$3:$AH$1849,6,FALSE)</f>
        <v>Electrosurgical Units, Monopolar/Bipolar</v>
      </c>
      <c r="CCS115" s="196" t="s">
        <v>761</v>
      </c>
      <c r="CCT115" s="197" t="str">
        <f>VLOOKUP(CCS115,[13]AssetDetails_UEM!$A$3:$AH$1849,6,FALSE)</f>
        <v>Electrosurgical Units, Monopolar/Bipolar</v>
      </c>
      <c r="CCU115" s="196" t="s">
        <v>761</v>
      </c>
      <c r="CCV115" s="197" t="str">
        <f>VLOOKUP(CCU115,[13]AssetDetails_UEM!$A$3:$AH$1849,6,FALSE)</f>
        <v>Electrosurgical Units, Monopolar/Bipolar</v>
      </c>
      <c r="CCW115" s="196" t="s">
        <v>761</v>
      </c>
      <c r="CCX115" s="197" t="str">
        <f>VLOOKUP(CCW115,[13]AssetDetails_UEM!$A$3:$AH$1849,6,FALSE)</f>
        <v>Electrosurgical Units, Monopolar/Bipolar</v>
      </c>
      <c r="CCY115" s="196" t="s">
        <v>761</v>
      </c>
      <c r="CCZ115" s="197" t="str">
        <f>VLOOKUP(CCY115,[13]AssetDetails_UEM!$A$3:$AH$1849,6,FALSE)</f>
        <v>Electrosurgical Units, Monopolar/Bipolar</v>
      </c>
      <c r="CDA115" s="196" t="s">
        <v>761</v>
      </c>
      <c r="CDB115" s="197" t="str">
        <f>VLOOKUP(CDA115,[13]AssetDetails_UEM!$A$3:$AH$1849,6,FALSE)</f>
        <v>Electrosurgical Units, Monopolar/Bipolar</v>
      </c>
      <c r="CDC115" s="196" t="s">
        <v>761</v>
      </c>
      <c r="CDD115" s="197" t="str">
        <f>VLOOKUP(CDC115,[13]AssetDetails_UEM!$A$3:$AH$1849,6,FALSE)</f>
        <v>Electrosurgical Units, Monopolar/Bipolar</v>
      </c>
      <c r="CDE115" s="196" t="s">
        <v>761</v>
      </c>
      <c r="CDF115" s="197" t="str">
        <f>VLOOKUP(CDE115,[13]AssetDetails_UEM!$A$3:$AH$1849,6,FALSE)</f>
        <v>Electrosurgical Units, Monopolar/Bipolar</v>
      </c>
      <c r="CDG115" s="196" t="s">
        <v>761</v>
      </c>
      <c r="CDH115" s="197" t="str">
        <f>VLOOKUP(CDG115,[13]AssetDetails_UEM!$A$3:$AH$1849,6,FALSE)</f>
        <v>Electrosurgical Units, Monopolar/Bipolar</v>
      </c>
      <c r="CDI115" s="196" t="s">
        <v>761</v>
      </c>
      <c r="CDJ115" s="197" t="str">
        <f>VLOOKUP(CDI115,[13]AssetDetails_UEM!$A$3:$AH$1849,6,FALSE)</f>
        <v>Electrosurgical Units, Monopolar/Bipolar</v>
      </c>
      <c r="CDK115" s="196" t="s">
        <v>761</v>
      </c>
      <c r="CDL115" s="197" t="str">
        <f>VLOOKUP(CDK115,[13]AssetDetails_UEM!$A$3:$AH$1849,6,FALSE)</f>
        <v>Electrosurgical Units, Monopolar/Bipolar</v>
      </c>
      <c r="CDM115" s="196" t="s">
        <v>761</v>
      </c>
      <c r="CDN115" s="197" t="str">
        <f>VLOOKUP(CDM115,[13]AssetDetails_UEM!$A$3:$AH$1849,6,FALSE)</f>
        <v>Electrosurgical Units, Monopolar/Bipolar</v>
      </c>
      <c r="CDO115" s="196" t="s">
        <v>761</v>
      </c>
      <c r="CDP115" s="197" t="str">
        <f>VLOOKUP(CDO115,[13]AssetDetails_UEM!$A$3:$AH$1849,6,FALSE)</f>
        <v>Electrosurgical Units, Monopolar/Bipolar</v>
      </c>
      <c r="CDQ115" s="196" t="s">
        <v>761</v>
      </c>
      <c r="CDR115" s="197" t="str">
        <f>VLOOKUP(CDQ115,[13]AssetDetails_UEM!$A$3:$AH$1849,6,FALSE)</f>
        <v>Electrosurgical Units, Monopolar/Bipolar</v>
      </c>
      <c r="CDS115" s="196" t="s">
        <v>761</v>
      </c>
      <c r="CDT115" s="197" t="str">
        <f>VLOOKUP(CDS115,[13]AssetDetails_UEM!$A$3:$AH$1849,6,FALSE)</f>
        <v>Electrosurgical Units, Monopolar/Bipolar</v>
      </c>
      <c r="CDU115" s="196" t="s">
        <v>761</v>
      </c>
      <c r="CDV115" s="197" t="str">
        <f>VLOOKUP(CDU115,[13]AssetDetails_UEM!$A$3:$AH$1849,6,FALSE)</f>
        <v>Electrosurgical Units, Monopolar/Bipolar</v>
      </c>
      <c r="CDW115" s="196" t="s">
        <v>761</v>
      </c>
      <c r="CDX115" s="197" t="str">
        <f>VLOOKUP(CDW115,[13]AssetDetails_UEM!$A$3:$AH$1849,6,FALSE)</f>
        <v>Electrosurgical Units, Monopolar/Bipolar</v>
      </c>
      <c r="CDY115" s="196" t="s">
        <v>761</v>
      </c>
      <c r="CDZ115" s="197" t="str">
        <f>VLOOKUP(CDY115,[13]AssetDetails_UEM!$A$3:$AH$1849,6,FALSE)</f>
        <v>Electrosurgical Units, Monopolar/Bipolar</v>
      </c>
      <c r="CEA115" s="196" t="s">
        <v>761</v>
      </c>
      <c r="CEB115" s="197" t="str">
        <f>VLOOKUP(CEA115,[13]AssetDetails_UEM!$A$3:$AH$1849,6,FALSE)</f>
        <v>Electrosurgical Units, Monopolar/Bipolar</v>
      </c>
      <c r="CEC115" s="196" t="s">
        <v>761</v>
      </c>
      <c r="CED115" s="197" t="str">
        <f>VLOOKUP(CEC115,[13]AssetDetails_UEM!$A$3:$AH$1849,6,FALSE)</f>
        <v>Electrosurgical Units, Monopolar/Bipolar</v>
      </c>
      <c r="CEE115" s="196" t="s">
        <v>761</v>
      </c>
      <c r="CEF115" s="197" t="str">
        <f>VLOOKUP(CEE115,[13]AssetDetails_UEM!$A$3:$AH$1849,6,FALSE)</f>
        <v>Electrosurgical Units, Monopolar/Bipolar</v>
      </c>
      <c r="CEG115" s="196" t="s">
        <v>761</v>
      </c>
      <c r="CEH115" s="197" t="str">
        <f>VLOOKUP(CEG115,[13]AssetDetails_UEM!$A$3:$AH$1849,6,FALSE)</f>
        <v>Electrosurgical Units, Monopolar/Bipolar</v>
      </c>
      <c r="CEI115" s="196" t="s">
        <v>761</v>
      </c>
      <c r="CEJ115" s="197" t="str">
        <f>VLOOKUP(CEI115,[13]AssetDetails_UEM!$A$3:$AH$1849,6,FALSE)</f>
        <v>Electrosurgical Units, Monopolar/Bipolar</v>
      </c>
      <c r="CEK115" s="196" t="s">
        <v>761</v>
      </c>
      <c r="CEL115" s="197" t="str">
        <f>VLOOKUP(CEK115,[13]AssetDetails_UEM!$A$3:$AH$1849,6,FALSE)</f>
        <v>Electrosurgical Units, Monopolar/Bipolar</v>
      </c>
      <c r="CEM115" s="196" t="s">
        <v>761</v>
      </c>
      <c r="CEN115" s="197" t="str">
        <f>VLOOKUP(CEM115,[13]AssetDetails_UEM!$A$3:$AH$1849,6,FALSE)</f>
        <v>Electrosurgical Units, Monopolar/Bipolar</v>
      </c>
      <c r="CEO115" s="196" t="s">
        <v>761</v>
      </c>
      <c r="CEP115" s="197" t="str">
        <f>VLOOKUP(CEO115,[13]AssetDetails_UEM!$A$3:$AH$1849,6,FALSE)</f>
        <v>Electrosurgical Units, Monopolar/Bipolar</v>
      </c>
      <c r="CEQ115" s="196" t="s">
        <v>761</v>
      </c>
      <c r="CER115" s="197" t="str">
        <f>VLOOKUP(CEQ115,[13]AssetDetails_UEM!$A$3:$AH$1849,6,FALSE)</f>
        <v>Electrosurgical Units, Monopolar/Bipolar</v>
      </c>
      <c r="CES115" s="196" t="s">
        <v>761</v>
      </c>
      <c r="CET115" s="197" t="str">
        <f>VLOOKUP(CES115,[13]AssetDetails_UEM!$A$3:$AH$1849,6,FALSE)</f>
        <v>Electrosurgical Units, Monopolar/Bipolar</v>
      </c>
      <c r="CEU115" s="196" t="s">
        <v>761</v>
      </c>
      <c r="CEV115" s="197" t="str">
        <f>VLOOKUP(CEU115,[13]AssetDetails_UEM!$A$3:$AH$1849,6,FALSE)</f>
        <v>Electrosurgical Units, Monopolar/Bipolar</v>
      </c>
      <c r="CEW115" s="196" t="s">
        <v>761</v>
      </c>
      <c r="CEX115" s="197" t="str">
        <f>VLOOKUP(CEW115,[13]AssetDetails_UEM!$A$3:$AH$1849,6,FALSE)</f>
        <v>Electrosurgical Units, Monopolar/Bipolar</v>
      </c>
      <c r="CEY115" s="196" t="s">
        <v>761</v>
      </c>
      <c r="CEZ115" s="197" t="str">
        <f>VLOOKUP(CEY115,[13]AssetDetails_UEM!$A$3:$AH$1849,6,FALSE)</f>
        <v>Electrosurgical Units, Monopolar/Bipolar</v>
      </c>
      <c r="CFA115" s="196" t="s">
        <v>761</v>
      </c>
      <c r="CFB115" s="197" t="str">
        <f>VLOOKUP(CFA115,[13]AssetDetails_UEM!$A$3:$AH$1849,6,FALSE)</f>
        <v>Electrosurgical Units, Monopolar/Bipolar</v>
      </c>
      <c r="CFC115" s="196" t="s">
        <v>761</v>
      </c>
      <c r="CFD115" s="197" t="str">
        <f>VLOOKUP(CFC115,[13]AssetDetails_UEM!$A$3:$AH$1849,6,FALSE)</f>
        <v>Electrosurgical Units, Monopolar/Bipolar</v>
      </c>
      <c r="CFE115" s="196" t="s">
        <v>761</v>
      </c>
      <c r="CFF115" s="197" t="str">
        <f>VLOOKUP(CFE115,[13]AssetDetails_UEM!$A$3:$AH$1849,6,FALSE)</f>
        <v>Electrosurgical Units, Monopolar/Bipolar</v>
      </c>
      <c r="CFG115" s="196" t="s">
        <v>761</v>
      </c>
      <c r="CFH115" s="197" t="str">
        <f>VLOOKUP(CFG115,[13]AssetDetails_UEM!$A$3:$AH$1849,6,FALSE)</f>
        <v>Electrosurgical Units, Monopolar/Bipolar</v>
      </c>
      <c r="CFI115" s="196" t="s">
        <v>761</v>
      </c>
      <c r="CFJ115" s="197" t="str">
        <f>VLOOKUP(CFI115,[13]AssetDetails_UEM!$A$3:$AH$1849,6,FALSE)</f>
        <v>Electrosurgical Units, Monopolar/Bipolar</v>
      </c>
      <c r="CFK115" s="196" t="s">
        <v>761</v>
      </c>
      <c r="CFL115" s="197" t="str">
        <f>VLOOKUP(CFK115,[13]AssetDetails_UEM!$A$3:$AH$1849,6,FALSE)</f>
        <v>Electrosurgical Units, Monopolar/Bipolar</v>
      </c>
      <c r="CFM115" s="196" t="s">
        <v>761</v>
      </c>
      <c r="CFN115" s="197" t="str">
        <f>VLOOKUP(CFM115,[13]AssetDetails_UEM!$A$3:$AH$1849,6,FALSE)</f>
        <v>Electrosurgical Units, Monopolar/Bipolar</v>
      </c>
      <c r="CFO115" s="196" t="s">
        <v>761</v>
      </c>
      <c r="CFP115" s="197" t="str">
        <f>VLOOKUP(CFO115,[13]AssetDetails_UEM!$A$3:$AH$1849,6,FALSE)</f>
        <v>Electrosurgical Units, Monopolar/Bipolar</v>
      </c>
      <c r="CFQ115" s="196" t="s">
        <v>761</v>
      </c>
      <c r="CFR115" s="197" t="str">
        <f>VLOOKUP(CFQ115,[13]AssetDetails_UEM!$A$3:$AH$1849,6,FALSE)</f>
        <v>Electrosurgical Units, Monopolar/Bipolar</v>
      </c>
      <c r="CFS115" s="196" t="s">
        <v>761</v>
      </c>
      <c r="CFT115" s="197" t="str">
        <f>VLOOKUP(CFS115,[13]AssetDetails_UEM!$A$3:$AH$1849,6,FALSE)</f>
        <v>Electrosurgical Units, Monopolar/Bipolar</v>
      </c>
      <c r="CFU115" s="196" t="s">
        <v>761</v>
      </c>
      <c r="CFV115" s="197" t="str">
        <f>VLOOKUP(CFU115,[13]AssetDetails_UEM!$A$3:$AH$1849,6,FALSE)</f>
        <v>Electrosurgical Units, Monopolar/Bipolar</v>
      </c>
      <c r="CFW115" s="196" t="s">
        <v>761</v>
      </c>
      <c r="CFX115" s="197" t="str">
        <f>VLOOKUP(CFW115,[13]AssetDetails_UEM!$A$3:$AH$1849,6,FALSE)</f>
        <v>Electrosurgical Units, Monopolar/Bipolar</v>
      </c>
      <c r="CFY115" s="196" t="s">
        <v>761</v>
      </c>
      <c r="CFZ115" s="197" t="str">
        <f>VLOOKUP(CFY115,[13]AssetDetails_UEM!$A$3:$AH$1849,6,FALSE)</f>
        <v>Electrosurgical Units, Monopolar/Bipolar</v>
      </c>
      <c r="CGA115" s="196" t="s">
        <v>761</v>
      </c>
      <c r="CGB115" s="197" t="str">
        <f>VLOOKUP(CGA115,[13]AssetDetails_UEM!$A$3:$AH$1849,6,FALSE)</f>
        <v>Electrosurgical Units, Monopolar/Bipolar</v>
      </c>
      <c r="CGC115" s="196" t="s">
        <v>761</v>
      </c>
      <c r="CGD115" s="197" t="str">
        <f>VLOOKUP(CGC115,[13]AssetDetails_UEM!$A$3:$AH$1849,6,FALSE)</f>
        <v>Electrosurgical Units, Monopolar/Bipolar</v>
      </c>
      <c r="CGE115" s="196" t="s">
        <v>761</v>
      </c>
      <c r="CGF115" s="197" t="str">
        <f>VLOOKUP(CGE115,[13]AssetDetails_UEM!$A$3:$AH$1849,6,FALSE)</f>
        <v>Electrosurgical Units, Monopolar/Bipolar</v>
      </c>
      <c r="CGG115" s="196" t="s">
        <v>761</v>
      </c>
      <c r="CGH115" s="197" t="str">
        <f>VLOOKUP(CGG115,[13]AssetDetails_UEM!$A$3:$AH$1849,6,FALSE)</f>
        <v>Electrosurgical Units, Monopolar/Bipolar</v>
      </c>
      <c r="CGI115" s="196" t="s">
        <v>761</v>
      </c>
      <c r="CGJ115" s="197" t="str">
        <f>VLOOKUP(CGI115,[13]AssetDetails_UEM!$A$3:$AH$1849,6,FALSE)</f>
        <v>Electrosurgical Units, Monopolar/Bipolar</v>
      </c>
      <c r="CGK115" s="196" t="s">
        <v>761</v>
      </c>
      <c r="CGL115" s="197" t="str">
        <f>VLOOKUP(CGK115,[13]AssetDetails_UEM!$A$3:$AH$1849,6,FALSE)</f>
        <v>Electrosurgical Units, Monopolar/Bipolar</v>
      </c>
      <c r="CGM115" s="196" t="s">
        <v>761</v>
      </c>
      <c r="CGN115" s="197" t="str">
        <f>VLOOKUP(CGM115,[13]AssetDetails_UEM!$A$3:$AH$1849,6,FALSE)</f>
        <v>Electrosurgical Units, Monopolar/Bipolar</v>
      </c>
      <c r="CGO115" s="196" t="s">
        <v>761</v>
      </c>
      <c r="CGP115" s="197" t="str">
        <f>VLOOKUP(CGO115,[13]AssetDetails_UEM!$A$3:$AH$1849,6,FALSE)</f>
        <v>Electrosurgical Units, Monopolar/Bipolar</v>
      </c>
      <c r="CGQ115" s="196" t="s">
        <v>761</v>
      </c>
      <c r="CGR115" s="197" t="str">
        <f>VLOOKUP(CGQ115,[13]AssetDetails_UEM!$A$3:$AH$1849,6,FALSE)</f>
        <v>Electrosurgical Units, Monopolar/Bipolar</v>
      </c>
      <c r="CGS115" s="196" t="s">
        <v>761</v>
      </c>
      <c r="CGT115" s="197" t="str">
        <f>VLOOKUP(CGS115,[13]AssetDetails_UEM!$A$3:$AH$1849,6,FALSE)</f>
        <v>Electrosurgical Units, Monopolar/Bipolar</v>
      </c>
      <c r="CGU115" s="196" t="s">
        <v>761</v>
      </c>
      <c r="CGV115" s="197" t="str">
        <f>VLOOKUP(CGU115,[13]AssetDetails_UEM!$A$3:$AH$1849,6,FALSE)</f>
        <v>Electrosurgical Units, Monopolar/Bipolar</v>
      </c>
      <c r="CGW115" s="196" t="s">
        <v>761</v>
      </c>
      <c r="CGX115" s="197" t="str">
        <f>VLOOKUP(CGW115,[13]AssetDetails_UEM!$A$3:$AH$1849,6,FALSE)</f>
        <v>Electrosurgical Units, Monopolar/Bipolar</v>
      </c>
      <c r="CGY115" s="196" t="s">
        <v>761</v>
      </c>
      <c r="CGZ115" s="197" t="str">
        <f>VLOOKUP(CGY115,[13]AssetDetails_UEM!$A$3:$AH$1849,6,FALSE)</f>
        <v>Electrosurgical Units, Monopolar/Bipolar</v>
      </c>
      <c r="CHA115" s="196" t="s">
        <v>761</v>
      </c>
      <c r="CHB115" s="197" t="str">
        <f>VLOOKUP(CHA115,[13]AssetDetails_UEM!$A$3:$AH$1849,6,FALSE)</f>
        <v>Electrosurgical Units, Monopolar/Bipolar</v>
      </c>
      <c r="CHC115" s="196" t="s">
        <v>761</v>
      </c>
      <c r="CHD115" s="197" t="str">
        <f>VLOOKUP(CHC115,[13]AssetDetails_UEM!$A$3:$AH$1849,6,FALSE)</f>
        <v>Electrosurgical Units, Monopolar/Bipolar</v>
      </c>
      <c r="CHE115" s="196" t="s">
        <v>761</v>
      </c>
      <c r="CHF115" s="197" t="str">
        <f>VLOOKUP(CHE115,[13]AssetDetails_UEM!$A$3:$AH$1849,6,FALSE)</f>
        <v>Electrosurgical Units, Monopolar/Bipolar</v>
      </c>
      <c r="CHG115" s="196" t="s">
        <v>761</v>
      </c>
      <c r="CHH115" s="197" t="str">
        <f>VLOOKUP(CHG115,[13]AssetDetails_UEM!$A$3:$AH$1849,6,FALSE)</f>
        <v>Electrosurgical Units, Monopolar/Bipolar</v>
      </c>
      <c r="CHI115" s="196" t="s">
        <v>761</v>
      </c>
      <c r="CHJ115" s="197" t="str">
        <f>VLOOKUP(CHI115,[13]AssetDetails_UEM!$A$3:$AH$1849,6,FALSE)</f>
        <v>Electrosurgical Units, Monopolar/Bipolar</v>
      </c>
      <c r="CHK115" s="196" t="s">
        <v>761</v>
      </c>
      <c r="CHL115" s="197" t="str">
        <f>VLOOKUP(CHK115,[13]AssetDetails_UEM!$A$3:$AH$1849,6,FALSE)</f>
        <v>Electrosurgical Units, Monopolar/Bipolar</v>
      </c>
      <c r="CHM115" s="196" t="s">
        <v>761</v>
      </c>
      <c r="CHN115" s="197" t="str">
        <f>VLOOKUP(CHM115,[13]AssetDetails_UEM!$A$3:$AH$1849,6,FALSE)</f>
        <v>Electrosurgical Units, Monopolar/Bipolar</v>
      </c>
      <c r="CHO115" s="196" t="s">
        <v>761</v>
      </c>
      <c r="CHP115" s="197" t="str">
        <f>VLOOKUP(CHO115,[13]AssetDetails_UEM!$A$3:$AH$1849,6,FALSE)</f>
        <v>Electrosurgical Units, Monopolar/Bipolar</v>
      </c>
      <c r="CHQ115" s="196" t="s">
        <v>761</v>
      </c>
      <c r="CHR115" s="197" t="str">
        <f>VLOOKUP(CHQ115,[13]AssetDetails_UEM!$A$3:$AH$1849,6,FALSE)</f>
        <v>Electrosurgical Units, Monopolar/Bipolar</v>
      </c>
      <c r="CHS115" s="196" t="s">
        <v>761</v>
      </c>
      <c r="CHT115" s="197" t="str">
        <f>VLOOKUP(CHS115,[13]AssetDetails_UEM!$A$3:$AH$1849,6,FALSE)</f>
        <v>Electrosurgical Units, Monopolar/Bipolar</v>
      </c>
      <c r="CHU115" s="196" t="s">
        <v>761</v>
      </c>
      <c r="CHV115" s="197" t="str">
        <f>VLOOKUP(CHU115,[13]AssetDetails_UEM!$A$3:$AH$1849,6,FALSE)</f>
        <v>Electrosurgical Units, Monopolar/Bipolar</v>
      </c>
      <c r="CHW115" s="196" t="s">
        <v>761</v>
      </c>
      <c r="CHX115" s="197" t="str">
        <f>VLOOKUP(CHW115,[13]AssetDetails_UEM!$A$3:$AH$1849,6,FALSE)</f>
        <v>Electrosurgical Units, Monopolar/Bipolar</v>
      </c>
      <c r="CHY115" s="196" t="s">
        <v>761</v>
      </c>
      <c r="CHZ115" s="197" t="str">
        <f>VLOOKUP(CHY115,[13]AssetDetails_UEM!$A$3:$AH$1849,6,FALSE)</f>
        <v>Electrosurgical Units, Monopolar/Bipolar</v>
      </c>
      <c r="CIA115" s="196" t="s">
        <v>761</v>
      </c>
      <c r="CIB115" s="197" t="str">
        <f>VLOOKUP(CIA115,[13]AssetDetails_UEM!$A$3:$AH$1849,6,FALSE)</f>
        <v>Electrosurgical Units, Monopolar/Bipolar</v>
      </c>
      <c r="CIC115" s="196" t="s">
        <v>761</v>
      </c>
      <c r="CID115" s="197" t="str">
        <f>VLOOKUP(CIC115,[13]AssetDetails_UEM!$A$3:$AH$1849,6,FALSE)</f>
        <v>Electrosurgical Units, Monopolar/Bipolar</v>
      </c>
      <c r="CIE115" s="196" t="s">
        <v>761</v>
      </c>
      <c r="CIF115" s="197" t="str">
        <f>VLOOKUP(CIE115,[13]AssetDetails_UEM!$A$3:$AH$1849,6,FALSE)</f>
        <v>Electrosurgical Units, Monopolar/Bipolar</v>
      </c>
      <c r="CIG115" s="196" t="s">
        <v>761</v>
      </c>
      <c r="CIH115" s="197" t="str">
        <f>VLOOKUP(CIG115,[13]AssetDetails_UEM!$A$3:$AH$1849,6,FALSE)</f>
        <v>Electrosurgical Units, Monopolar/Bipolar</v>
      </c>
      <c r="CII115" s="196" t="s">
        <v>761</v>
      </c>
      <c r="CIJ115" s="197" t="str">
        <f>VLOOKUP(CII115,[13]AssetDetails_UEM!$A$3:$AH$1849,6,FALSE)</f>
        <v>Electrosurgical Units, Monopolar/Bipolar</v>
      </c>
      <c r="CIK115" s="196" t="s">
        <v>761</v>
      </c>
      <c r="CIL115" s="197" t="str">
        <f>VLOOKUP(CIK115,[13]AssetDetails_UEM!$A$3:$AH$1849,6,FALSE)</f>
        <v>Electrosurgical Units, Monopolar/Bipolar</v>
      </c>
      <c r="CIM115" s="196" t="s">
        <v>761</v>
      </c>
      <c r="CIN115" s="197" t="str">
        <f>VLOOKUP(CIM115,[13]AssetDetails_UEM!$A$3:$AH$1849,6,FALSE)</f>
        <v>Electrosurgical Units, Monopolar/Bipolar</v>
      </c>
      <c r="CIO115" s="196" t="s">
        <v>761</v>
      </c>
      <c r="CIP115" s="197" t="str">
        <f>VLOOKUP(CIO115,[13]AssetDetails_UEM!$A$3:$AH$1849,6,FALSE)</f>
        <v>Electrosurgical Units, Monopolar/Bipolar</v>
      </c>
      <c r="CIQ115" s="196" t="s">
        <v>761</v>
      </c>
      <c r="CIR115" s="197" t="str">
        <f>VLOOKUP(CIQ115,[13]AssetDetails_UEM!$A$3:$AH$1849,6,FALSE)</f>
        <v>Electrosurgical Units, Monopolar/Bipolar</v>
      </c>
      <c r="CIS115" s="196" t="s">
        <v>761</v>
      </c>
      <c r="CIT115" s="197" t="str">
        <f>VLOOKUP(CIS115,[13]AssetDetails_UEM!$A$3:$AH$1849,6,FALSE)</f>
        <v>Electrosurgical Units, Monopolar/Bipolar</v>
      </c>
      <c r="CIU115" s="196" t="s">
        <v>761</v>
      </c>
      <c r="CIV115" s="197" t="str">
        <f>VLOOKUP(CIU115,[13]AssetDetails_UEM!$A$3:$AH$1849,6,FALSE)</f>
        <v>Electrosurgical Units, Monopolar/Bipolar</v>
      </c>
      <c r="CIW115" s="196" t="s">
        <v>761</v>
      </c>
      <c r="CIX115" s="197" t="str">
        <f>VLOOKUP(CIW115,[13]AssetDetails_UEM!$A$3:$AH$1849,6,FALSE)</f>
        <v>Electrosurgical Units, Monopolar/Bipolar</v>
      </c>
      <c r="CIY115" s="196" t="s">
        <v>761</v>
      </c>
      <c r="CIZ115" s="197" t="str">
        <f>VLOOKUP(CIY115,[13]AssetDetails_UEM!$A$3:$AH$1849,6,FALSE)</f>
        <v>Electrosurgical Units, Monopolar/Bipolar</v>
      </c>
      <c r="CJA115" s="196" t="s">
        <v>761</v>
      </c>
      <c r="CJB115" s="197" t="str">
        <f>VLOOKUP(CJA115,[13]AssetDetails_UEM!$A$3:$AH$1849,6,FALSE)</f>
        <v>Electrosurgical Units, Monopolar/Bipolar</v>
      </c>
      <c r="CJC115" s="196" t="s">
        <v>761</v>
      </c>
      <c r="CJD115" s="197" t="str">
        <f>VLOOKUP(CJC115,[13]AssetDetails_UEM!$A$3:$AH$1849,6,FALSE)</f>
        <v>Electrosurgical Units, Monopolar/Bipolar</v>
      </c>
      <c r="CJE115" s="196" t="s">
        <v>761</v>
      </c>
      <c r="CJF115" s="197" t="str">
        <f>VLOOKUP(CJE115,[13]AssetDetails_UEM!$A$3:$AH$1849,6,FALSE)</f>
        <v>Electrosurgical Units, Monopolar/Bipolar</v>
      </c>
      <c r="CJG115" s="196" t="s">
        <v>761</v>
      </c>
      <c r="CJH115" s="197" t="str">
        <f>VLOOKUP(CJG115,[13]AssetDetails_UEM!$A$3:$AH$1849,6,FALSE)</f>
        <v>Electrosurgical Units, Monopolar/Bipolar</v>
      </c>
      <c r="CJI115" s="196" t="s">
        <v>761</v>
      </c>
      <c r="CJJ115" s="197" t="str">
        <f>VLOOKUP(CJI115,[13]AssetDetails_UEM!$A$3:$AH$1849,6,FALSE)</f>
        <v>Electrosurgical Units, Monopolar/Bipolar</v>
      </c>
      <c r="CJK115" s="196" t="s">
        <v>761</v>
      </c>
      <c r="CJL115" s="197" t="str">
        <f>VLOOKUP(CJK115,[13]AssetDetails_UEM!$A$3:$AH$1849,6,FALSE)</f>
        <v>Electrosurgical Units, Monopolar/Bipolar</v>
      </c>
      <c r="CJM115" s="196" t="s">
        <v>761</v>
      </c>
      <c r="CJN115" s="197" t="str">
        <f>VLOOKUP(CJM115,[13]AssetDetails_UEM!$A$3:$AH$1849,6,FALSE)</f>
        <v>Electrosurgical Units, Monopolar/Bipolar</v>
      </c>
      <c r="CJO115" s="196" t="s">
        <v>761</v>
      </c>
      <c r="CJP115" s="197" t="str">
        <f>VLOOKUP(CJO115,[13]AssetDetails_UEM!$A$3:$AH$1849,6,FALSE)</f>
        <v>Electrosurgical Units, Monopolar/Bipolar</v>
      </c>
      <c r="CJQ115" s="196" t="s">
        <v>761</v>
      </c>
      <c r="CJR115" s="197" t="str">
        <f>VLOOKUP(CJQ115,[13]AssetDetails_UEM!$A$3:$AH$1849,6,FALSE)</f>
        <v>Electrosurgical Units, Monopolar/Bipolar</v>
      </c>
      <c r="CJS115" s="196" t="s">
        <v>761</v>
      </c>
      <c r="CJT115" s="197" t="str">
        <f>VLOOKUP(CJS115,[13]AssetDetails_UEM!$A$3:$AH$1849,6,FALSE)</f>
        <v>Electrosurgical Units, Monopolar/Bipolar</v>
      </c>
      <c r="CJU115" s="196" t="s">
        <v>761</v>
      </c>
      <c r="CJV115" s="197" t="str">
        <f>VLOOKUP(CJU115,[13]AssetDetails_UEM!$A$3:$AH$1849,6,FALSE)</f>
        <v>Electrosurgical Units, Monopolar/Bipolar</v>
      </c>
      <c r="CJW115" s="196" t="s">
        <v>761</v>
      </c>
      <c r="CJX115" s="197" t="str">
        <f>VLOOKUP(CJW115,[13]AssetDetails_UEM!$A$3:$AH$1849,6,FALSE)</f>
        <v>Electrosurgical Units, Monopolar/Bipolar</v>
      </c>
      <c r="CJY115" s="196" t="s">
        <v>761</v>
      </c>
      <c r="CJZ115" s="197" t="str">
        <f>VLOOKUP(CJY115,[13]AssetDetails_UEM!$A$3:$AH$1849,6,FALSE)</f>
        <v>Electrosurgical Units, Monopolar/Bipolar</v>
      </c>
      <c r="CKA115" s="196" t="s">
        <v>761</v>
      </c>
      <c r="CKB115" s="197" t="str">
        <f>VLOOKUP(CKA115,[13]AssetDetails_UEM!$A$3:$AH$1849,6,FALSE)</f>
        <v>Electrosurgical Units, Monopolar/Bipolar</v>
      </c>
      <c r="CKC115" s="196" t="s">
        <v>761</v>
      </c>
      <c r="CKD115" s="197" t="str">
        <f>VLOOKUP(CKC115,[13]AssetDetails_UEM!$A$3:$AH$1849,6,FALSE)</f>
        <v>Electrosurgical Units, Monopolar/Bipolar</v>
      </c>
      <c r="CKE115" s="196" t="s">
        <v>761</v>
      </c>
      <c r="CKF115" s="197" t="str">
        <f>VLOOKUP(CKE115,[13]AssetDetails_UEM!$A$3:$AH$1849,6,FALSE)</f>
        <v>Electrosurgical Units, Monopolar/Bipolar</v>
      </c>
      <c r="CKG115" s="196" t="s">
        <v>761</v>
      </c>
      <c r="CKH115" s="197" t="str">
        <f>VLOOKUP(CKG115,[13]AssetDetails_UEM!$A$3:$AH$1849,6,FALSE)</f>
        <v>Electrosurgical Units, Monopolar/Bipolar</v>
      </c>
      <c r="CKI115" s="196" t="s">
        <v>761</v>
      </c>
      <c r="CKJ115" s="197" t="str">
        <f>VLOOKUP(CKI115,[13]AssetDetails_UEM!$A$3:$AH$1849,6,FALSE)</f>
        <v>Electrosurgical Units, Monopolar/Bipolar</v>
      </c>
      <c r="CKK115" s="196" t="s">
        <v>761</v>
      </c>
      <c r="CKL115" s="197" t="str">
        <f>VLOOKUP(CKK115,[13]AssetDetails_UEM!$A$3:$AH$1849,6,FALSE)</f>
        <v>Electrosurgical Units, Monopolar/Bipolar</v>
      </c>
      <c r="CKM115" s="196" t="s">
        <v>761</v>
      </c>
      <c r="CKN115" s="197" t="str">
        <f>VLOOKUP(CKM115,[13]AssetDetails_UEM!$A$3:$AH$1849,6,FALSE)</f>
        <v>Electrosurgical Units, Monopolar/Bipolar</v>
      </c>
      <c r="CKO115" s="196" t="s">
        <v>761</v>
      </c>
      <c r="CKP115" s="197" t="str">
        <f>VLOOKUP(CKO115,[13]AssetDetails_UEM!$A$3:$AH$1849,6,FALSE)</f>
        <v>Electrosurgical Units, Monopolar/Bipolar</v>
      </c>
      <c r="CKQ115" s="196" t="s">
        <v>761</v>
      </c>
      <c r="CKR115" s="197" t="str">
        <f>VLOOKUP(CKQ115,[13]AssetDetails_UEM!$A$3:$AH$1849,6,FALSE)</f>
        <v>Electrosurgical Units, Monopolar/Bipolar</v>
      </c>
      <c r="CKS115" s="196" t="s">
        <v>761</v>
      </c>
      <c r="CKT115" s="197" t="str">
        <f>VLOOKUP(CKS115,[13]AssetDetails_UEM!$A$3:$AH$1849,6,FALSE)</f>
        <v>Electrosurgical Units, Monopolar/Bipolar</v>
      </c>
      <c r="CKU115" s="196" t="s">
        <v>761</v>
      </c>
      <c r="CKV115" s="197" t="str">
        <f>VLOOKUP(CKU115,[13]AssetDetails_UEM!$A$3:$AH$1849,6,FALSE)</f>
        <v>Electrosurgical Units, Monopolar/Bipolar</v>
      </c>
      <c r="CKW115" s="196" t="s">
        <v>761</v>
      </c>
      <c r="CKX115" s="197" t="str">
        <f>VLOOKUP(CKW115,[13]AssetDetails_UEM!$A$3:$AH$1849,6,FALSE)</f>
        <v>Electrosurgical Units, Monopolar/Bipolar</v>
      </c>
      <c r="CKY115" s="196" t="s">
        <v>761</v>
      </c>
      <c r="CKZ115" s="197" t="str">
        <f>VLOOKUP(CKY115,[13]AssetDetails_UEM!$A$3:$AH$1849,6,FALSE)</f>
        <v>Electrosurgical Units, Monopolar/Bipolar</v>
      </c>
      <c r="CLA115" s="196" t="s">
        <v>761</v>
      </c>
      <c r="CLB115" s="197" t="str">
        <f>VLOOKUP(CLA115,[13]AssetDetails_UEM!$A$3:$AH$1849,6,FALSE)</f>
        <v>Electrosurgical Units, Monopolar/Bipolar</v>
      </c>
      <c r="CLC115" s="196" t="s">
        <v>761</v>
      </c>
      <c r="CLD115" s="197" t="str">
        <f>VLOOKUP(CLC115,[13]AssetDetails_UEM!$A$3:$AH$1849,6,FALSE)</f>
        <v>Electrosurgical Units, Monopolar/Bipolar</v>
      </c>
      <c r="CLE115" s="196" t="s">
        <v>761</v>
      </c>
      <c r="CLF115" s="197" t="str">
        <f>VLOOKUP(CLE115,[13]AssetDetails_UEM!$A$3:$AH$1849,6,FALSE)</f>
        <v>Electrosurgical Units, Monopolar/Bipolar</v>
      </c>
      <c r="CLG115" s="196" t="s">
        <v>761</v>
      </c>
      <c r="CLH115" s="197" t="str">
        <f>VLOOKUP(CLG115,[13]AssetDetails_UEM!$A$3:$AH$1849,6,FALSE)</f>
        <v>Electrosurgical Units, Monopolar/Bipolar</v>
      </c>
      <c r="CLI115" s="196" t="s">
        <v>761</v>
      </c>
      <c r="CLJ115" s="197" t="str">
        <f>VLOOKUP(CLI115,[13]AssetDetails_UEM!$A$3:$AH$1849,6,FALSE)</f>
        <v>Electrosurgical Units, Monopolar/Bipolar</v>
      </c>
      <c r="CLK115" s="196" t="s">
        <v>761</v>
      </c>
      <c r="CLL115" s="197" t="str">
        <f>VLOOKUP(CLK115,[13]AssetDetails_UEM!$A$3:$AH$1849,6,FALSE)</f>
        <v>Electrosurgical Units, Monopolar/Bipolar</v>
      </c>
      <c r="CLM115" s="196" t="s">
        <v>761</v>
      </c>
      <c r="CLN115" s="197" t="str">
        <f>VLOOKUP(CLM115,[13]AssetDetails_UEM!$A$3:$AH$1849,6,FALSE)</f>
        <v>Electrosurgical Units, Monopolar/Bipolar</v>
      </c>
      <c r="CLO115" s="196" t="s">
        <v>761</v>
      </c>
      <c r="CLP115" s="197" t="str">
        <f>VLOOKUP(CLO115,[13]AssetDetails_UEM!$A$3:$AH$1849,6,FALSE)</f>
        <v>Electrosurgical Units, Monopolar/Bipolar</v>
      </c>
      <c r="CLQ115" s="196" t="s">
        <v>761</v>
      </c>
      <c r="CLR115" s="197" t="str">
        <f>VLOOKUP(CLQ115,[13]AssetDetails_UEM!$A$3:$AH$1849,6,FALSE)</f>
        <v>Electrosurgical Units, Monopolar/Bipolar</v>
      </c>
      <c r="CLS115" s="196" t="s">
        <v>761</v>
      </c>
      <c r="CLT115" s="197" t="str">
        <f>VLOOKUP(CLS115,[13]AssetDetails_UEM!$A$3:$AH$1849,6,FALSE)</f>
        <v>Electrosurgical Units, Monopolar/Bipolar</v>
      </c>
      <c r="CLU115" s="196" t="s">
        <v>761</v>
      </c>
      <c r="CLV115" s="197" t="str">
        <f>VLOOKUP(CLU115,[13]AssetDetails_UEM!$A$3:$AH$1849,6,FALSE)</f>
        <v>Electrosurgical Units, Monopolar/Bipolar</v>
      </c>
      <c r="CLW115" s="196" t="s">
        <v>761</v>
      </c>
      <c r="CLX115" s="197" t="str">
        <f>VLOOKUP(CLW115,[13]AssetDetails_UEM!$A$3:$AH$1849,6,FALSE)</f>
        <v>Electrosurgical Units, Monopolar/Bipolar</v>
      </c>
      <c r="CLY115" s="196" t="s">
        <v>761</v>
      </c>
      <c r="CLZ115" s="197" t="str">
        <f>VLOOKUP(CLY115,[13]AssetDetails_UEM!$A$3:$AH$1849,6,FALSE)</f>
        <v>Electrosurgical Units, Monopolar/Bipolar</v>
      </c>
      <c r="CMA115" s="196" t="s">
        <v>761</v>
      </c>
      <c r="CMB115" s="197" t="str">
        <f>VLOOKUP(CMA115,[13]AssetDetails_UEM!$A$3:$AH$1849,6,FALSE)</f>
        <v>Electrosurgical Units, Monopolar/Bipolar</v>
      </c>
      <c r="CMC115" s="196" t="s">
        <v>761</v>
      </c>
      <c r="CMD115" s="197" t="str">
        <f>VLOOKUP(CMC115,[13]AssetDetails_UEM!$A$3:$AH$1849,6,FALSE)</f>
        <v>Electrosurgical Units, Monopolar/Bipolar</v>
      </c>
      <c r="CME115" s="196" t="s">
        <v>761</v>
      </c>
      <c r="CMF115" s="197" t="str">
        <f>VLOOKUP(CME115,[13]AssetDetails_UEM!$A$3:$AH$1849,6,FALSE)</f>
        <v>Electrosurgical Units, Monopolar/Bipolar</v>
      </c>
      <c r="CMG115" s="196" t="s">
        <v>761</v>
      </c>
      <c r="CMH115" s="197" t="str">
        <f>VLOOKUP(CMG115,[13]AssetDetails_UEM!$A$3:$AH$1849,6,FALSE)</f>
        <v>Electrosurgical Units, Monopolar/Bipolar</v>
      </c>
      <c r="CMI115" s="196" t="s">
        <v>761</v>
      </c>
      <c r="CMJ115" s="197" t="str">
        <f>VLOOKUP(CMI115,[13]AssetDetails_UEM!$A$3:$AH$1849,6,FALSE)</f>
        <v>Electrosurgical Units, Monopolar/Bipolar</v>
      </c>
      <c r="CMK115" s="196" t="s">
        <v>761</v>
      </c>
      <c r="CML115" s="197" t="str">
        <f>VLOOKUP(CMK115,[13]AssetDetails_UEM!$A$3:$AH$1849,6,FALSE)</f>
        <v>Electrosurgical Units, Monopolar/Bipolar</v>
      </c>
      <c r="CMM115" s="196" t="s">
        <v>761</v>
      </c>
      <c r="CMN115" s="197" t="str">
        <f>VLOOKUP(CMM115,[13]AssetDetails_UEM!$A$3:$AH$1849,6,FALSE)</f>
        <v>Electrosurgical Units, Monopolar/Bipolar</v>
      </c>
      <c r="CMO115" s="196" t="s">
        <v>761</v>
      </c>
      <c r="CMP115" s="197" t="str">
        <f>VLOOKUP(CMO115,[13]AssetDetails_UEM!$A$3:$AH$1849,6,FALSE)</f>
        <v>Electrosurgical Units, Monopolar/Bipolar</v>
      </c>
      <c r="CMQ115" s="196" t="s">
        <v>761</v>
      </c>
      <c r="CMR115" s="197" t="str">
        <f>VLOOKUP(CMQ115,[13]AssetDetails_UEM!$A$3:$AH$1849,6,FALSE)</f>
        <v>Electrosurgical Units, Monopolar/Bipolar</v>
      </c>
      <c r="CMS115" s="196" t="s">
        <v>761</v>
      </c>
      <c r="CMT115" s="197" t="str">
        <f>VLOOKUP(CMS115,[13]AssetDetails_UEM!$A$3:$AH$1849,6,FALSE)</f>
        <v>Electrosurgical Units, Monopolar/Bipolar</v>
      </c>
      <c r="CMU115" s="196" t="s">
        <v>761</v>
      </c>
      <c r="CMV115" s="197" t="str">
        <f>VLOOKUP(CMU115,[13]AssetDetails_UEM!$A$3:$AH$1849,6,FALSE)</f>
        <v>Electrosurgical Units, Monopolar/Bipolar</v>
      </c>
      <c r="CMW115" s="196" t="s">
        <v>761</v>
      </c>
      <c r="CMX115" s="197" t="str">
        <f>VLOOKUP(CMW115,[13]AssetDetails_UEM!$A$3:$AH$1849,6,FALSE)</f>
        <v>Electrosurgical Units, Monopolar/Bipolar</v>
      </c>
      <c r="CMY115" s="196" t="s">
        <v>761</v>
      </c>
      <c r="CMZ115" s="197" t="str">
        <f>VLOOKUP(CMY115,[13]AssetDetails_UEM!$A$3:$AH$1849,6,FALSE)</f>
        <v>Electrosurgical Units, Monopolar/Bipolar</v>
      </c>
      <c r="CNA115" s="196" t="s">
        <v>761</v>
      </c>
      <c r="CNB115" s="197" t="str">
        <f>VLOOKUP(CNA115,[13]AssetDetails_UEM!$A$3:$AH$1849,6,FALSE)</f>
        <v>Electrosurgical Units, Monopolar/Bipolar</v>
      </c>
      <c r="CNC115" s="196" t="s">
        <v>761</v>
      </c>
      <c r="CND115" s="197" t="str">
        <f>VLOOKUP(CNC115,[13]AssetDetails_UEM!$A$3:$AH$1849,6,FALSE)</f>
        <v>Electrosurgical Units, Monopolar/Bipolar</v>
      </c>
      <c r="CNE115" s="196" t="s">
        <v>761</v>
      </c>
      <c r="CNF115" s="197" t="str">
        <f>VLOOKUP(CNE115,[13]AssetDetails_UEM!$A$3:$AH$1849,6,FALSE)</f>
        <v>Electrosurgical Units, Monopolar/Bipolar</v>
      </c>
      <c r="CNG115" s="196" t="s">
        <v>761</v>
      </c>
      <c r="CNH115" s="197" t="str">
        <f>VLOOKUP(CNG115,[13]AssetDetails_UEM!$A$3:$AH$1849,6,FALSE)</f>
        <v>Electrosurgical Units, Monopolar/Bipolar</v>
      </c>
      <c r="CNI115" s="196" t="s">
        <v>761</v>
      </c>
      <c r="CNJ115" s="197" t="str">
        <f>VLOOKUP(CNI115,[13]AssetDetails_UEM!$A$3:$AH$1849,6,FALSE)</f>
        <v>Electrosurgical Units, Monopolar/Bipolar</v>
      </c>
      <c r="CNK115" s="196" t="s">
        <v>761</v>
      </c>
      <c r="CNL115" s="197" t="str">
        <f>VLOOKUP(CNK115,[13]AssetDetails_UEM!$A$3:$AH$1849,6,FALSE)</f>
        <v>Electrosurgical Units, Monopolar/Bipolar</v>
      </c>
      <c r="CNM115" s="196" t="s">
        <v>761</v>
      </c>
      <c r="CNN115" s="197" t="str">
        <f>VLOOKUP(CNM115,[13]AssetDetails_UEM!$A$3:$AH$1849,6,FALSE)</f>
        <v>Electrosurgical Units, Monopolar/Bipolar</v>
      </c>
      <c r="CNO115" s="196" t="s">
        <v>761</v>
      </c>
      <c r="CNP115" s="197" t="str">
        <f>VLOOKUP(CNO115,[13]AssetDetails_UEM!$A$3:$AH$1849,6,FALSE)</f>
        <v>Electrosurgical Units, Monopolar/Bipolar</v>
      </c>
      <c r="CNQ115" s="196" t="s">
        <v>761</v>
      </c>
      <c r="CNR115" s="197" t="str">
        <f>VLOOKUP(CNQ115,[13]AssetDetails_UEM!$A$3:$AH$1849,6,FALSE)</f>
        <v>Electrosurgical Units, Monopolar/Bipolar</v>
      </c>
      <c r="CNS115" s="196" t="s">
        <v>761</v>
      </c>
      <c r="CNT115" s="197" t="str">
        <f>VLOOKUP(CNS115,[13]AssetDetails_UEM!$A$3:$AH$1849,6,FALSE)</f>
        <v>Electrosurgical Units, Monopolar/Bipolar</v>
      </c>
      <c r="CNU115" s="196" t="s">
        <v>761</v>
      </c>
      <c r="CNV115" s="197" t="str">
        <f>VLOOKUP(CNU115,[13]AssetDetails_UEM!$A$3:$AH$1849,6,FALSE)</f>
        <v>Electrosurgical Units, Monopolar/Bipolar</v>
      </c>
      <c r="CNW115" s="196" t="s">
        <v>761</v>
      </c>
      <c r="CNX115" s="197" t="str">
        <f>VLOOKUP(CNW115,[13]AssetDetails_UEM!$A$3:$AH$1849,6,FALSE)</f>
        <v>Electrosurgical Units, Monopolar/Bipolar</v>
      </c>
      <c r="CNY115" s="196" t="s">
        <v>761</v>
      </c>
      <c r="CNZ115" s="197" t="str">
        <f>VLOOKUP(CNY115,[13]AssetDetails_UEM!$A$3:$AH$1849,6,FALSE)</f>
        <v>Electrosurgical Units, Monopolar/Bipolar</v>
      </c>
      <c r="COA115" s="196" t="s">
        <v>761</v>
      </c>
      <c r="COB115" s="197" t="str">
        <f>VLOOKUP(COA115,[13]AssetDetails_UEM!$A$3:$AH$1849,6,FALSE)</f>
        <v>Electrosurgical Units, Monopolar/Bipolar</v>
      </c>
      <c r="COC115" s="196" t="s">
        <v>761</v>
      </c>
      <c r="COD115" s="197" t="str">
        <f>VLOOKUP(COC115,[13]AssetDetails_UEM!$A$3:$AH$1849,6,FALSE)</f>
        <v>Electrosurgical Units, Monopolar/Bipolar</v>
      </c>
      <c r="COE115" s="196" t="s">
        <v>761</v>
      </c>
      <c r="COF115" s="197" t="str">
        <f>VLOOKUP(COE115,[13]AssetDetails_UEM!$A$3:$AH$1849,6,FALSE)</f>
        <v>Electrosurgical Units, Monopolar/Bipolar</v>
      </c>
      <c r="COG115" s="196" t="s">
        <v>761</v>
      </c>
      <c r="COH115" s="197" t="str">
        <f>VLOOKUP(COG115,[13]AssetDetails_UEM!$A$3:$AH$1849,6,FALSE)</f>
        <v>Electrosurgical Units, Monopolar/Bipolar</v>
      </c>
      <c r="COI115" s="196" t="s">
        <v>761</v>
      </c>
      <c r="COJ115" s="197" t="str">
        <f>VLOOKUP(COI115,[13]AssetDetails_UEM!$A$3:$AH$1849,6,FALSE)</f>
        <v>Electrosurgical Units, Monopolar/Bipolar</v>
      </c>
      <c r="COK115" s="196" t="s">
        <v>761</v>
      </c>
      <c r="COL115" s="197" t="str">
        <f>VLOOKUP(COK115,[13]AssetDetails_UEM!$A$3:$AH$1849,6,FALSE)</f>
        <v>Electrosurgical Units, Monopolar/Bipolar</v>
      </c>
      <c r="COM115" s="196" t="s">
        <v>761</v>
      </c>
      <c r="CON115" s="197" t="str">
        <f>VLOOKUP(COM115,[13]AssetDetails_UEM!$A$3:$AH$1849,6,FALSE)</f>
        <v>Electrosurgical Units, Monopolar/Bipolar</v>
      </c>
      <c r="COO115" s="196" t="s">
        <v>761</v>
      </c>
      <c r="COP115" s="197" t="str">
        <f>VLOOKUP(COO115,[13]AssetDetails_UEM!$A$3:$AH$1849,6,FALSE)</f>
        <v>Electrosurgical Units, Monopolar/Bipolar</v>
      </c>
      <c r="COQ115" s="196" t="s">
        <v>761</v>
      </c>
      <c r="COR115" s="197" t="str">
        <f>VLOOKUP(COQ115,[13]AssetDetails_UEM!$A$3:$AH$1849,6,FALSE)</f>
        <v>Electrosurgical Units, Monopolar/Bipolar</v>
      </c>
      <c r="COS115" s="196" t="s">
        <v>761</v>
      </c>
      <c r="COT115" s="197" t="str">
        <f>VLOOKUP(COS115,[13]AssetDetails_UEM!$A$3:$AH$1849,6,FALSE)</f>
        <v>Electrosurgical Units, Monopolar/Bipolar</v>
      </c>
      <c r="COU115" s="196" t="s">
        <v>761</v>
      </c>
      <c r="COV115" s="197" t="str">
        <f>VLOOKUP(COU115,[13]AssetDetails_UEM!$A$3:$AH$1849,6,FALSE)</f>
        <v>Electrosurgical Units, Monopolar/Bipolar</v>
      </c>
      <c r="COW115" s="196" t="s">
        <v>761</v>
      </c>
      <c r="COX115" s="197" t="str">
        <f>VLOOKUP(COW115,[13]AssetDetails_UEM!$A$3:$AH$1849,6,FALSE)</f>
        <v>Electrosurgical Units, Monopolar/Bipolar</v>
      </c>
      <c r="COY115" s="196" t="s">
        <v>761</v>
      </c>
      <c r="COZ115" s="197" t="str">
        <f>VLOOKUP(COY115,[13]AssetDetails_UEM!$A$3:$AH$1849,6,FALSE)</f>
        <v>Electrosurgical Units, Monopolar/Bipolar</v>
      </c>
      <c r="CPA115" s="196" t="s">
        <v>761</v>
      </c>
      <c r="CPB115" s="197" t="str">
        <f>VLOOKUP(CPA115,[13]AssetDetails_UEM!$A$3:$AH$1849,6,FALSE)</f>
        <v>Electrosurgical Units, Monopolar/Bipolar</v>
      </c>
      <c r="CPC115" s="196" t="s">
        <v>761</v>
      </c>
      <c r="CPD115" s="197" t="str">
        <f>VLOOKUP(CPC115,[13]AssetDetails_UEM!$A$3:$AH$1849,6,FALSE)</f>
        <v>Electrosurgical Units, Monopolar/Bipolar</v>
      </c>
      <c r="CPE115" s="196" t="s">
        <v>761</v>
      </c>
      <c r="CPF115" s="197" t="str">
        <f>VLOOKUP(CPE115,[13]AssetDetails_UEM!$A$3:$AH$1849,6,FALSE)</f>
        <v>Electrosurgical Units, Monopolar/Bipolar</v>
      </c>
      <c r="CPG115" s="196" t="s">
        <v>761</v>
      </c>
      <c r="CPH115" s="197" t="str">
        <f>VLOOKUP(CPG115,[13]AssetDetails_UEM!$A$3:$AH$1849,6,FALSE)</f>
        <v>Electrosurgical Units, Monopolar/Bipolar</v>
      </c>
      <c r="CPI115" s="196" t="s">
        <v>761</v>
      </c>
      <c r="CPJ115" s="197" t="str">
        <f>VLOOKUP(CPI115,[13]AssetDetails_UEM!$A$3:$AH$1849,6,FALSE)</f>
        <v>Electrosurgical Units, Monopolar/Bipolar</v>
      </c>
      <c r="CPK115" s="196" t="s">
        <v>761</v>
      </c>
      <c r="CPL115" s="197" t="str">
        <f>VLOOKUP(CPK115,[13]AssetDetails_UEM!$A$3:$AH$1849,6,FALSE)</f>
        <v>Electrosurgical Units, Monopolar/Bipolar</v>
      </c>
      <c r="CPM115" s="196" t="s">
        <v>761</v>
      </c>
      <c r="CPN115" s="197" t="str">
        <f>VLOOKUP(CPM115,[13]AssetDetails_UEM!$A$3:$AH$1849,6,FALSE)</f>
        <v>Electrosurgical Units, Monopolar/Bipolar</v>
      </c>
      <c r="CPO115" s="196" t="s">
        <v>761</v>
      </c>
      <c r="CPP115" s="197" t="str">
        <f>VLOOKUP(CPO115,[13]AssetDetails_UEM!$A$3:$AH$1849,6,FALSE)</f>
        <v>Electrosurgical Units, Monopolar/Bipolar</v>
      </c>
      <c r="CPQ115" s="196" t="s">
        <v>761</v>
      </c>
      <c r="CPR115" s="197" t="str">
        <f>VLOOKUP(CPQ115,[13]AssetDetails_UEM!$A$3:$AH$1849,6,FALSE)</f>
        <v>Electrosurgical Units, Monopolar/Bipolar</v>
      </c>
      <c r="CPS115" s="196" t="s">
        <v>761</v>
      </c>
      <c r="CPT115" s="197" t="str">
        <f>VLOOKUP(CPS115,[13]AssetDetails_UEM!$A$3:$AH$1849,6,FALSE)</f>
        <v>Electrosurgical Units, Monopolar/Bipolar</v>
      </c>
      <c r="CPU115" s="196" t="s">
        <v>761</v>
      </c>
      <c r="CPV115" s="197" t="str">
        <f>VLOOKUP(CPU115,[13]AssetDetails_UEM!$A$3:$AH$1849,6,FALSE)</f>
        <v>Electrosurgical Units, Monopolar/Bipolar</v>
      </c>
      <c r="CPW115" s="196" t="s">
        <v>761</v>
      </c>
      <c r="CPX115" s="197" t="str">
        <f>VLOOKUP(CPW115,[13]AssetDetails_UEM!$A$3:$AH$1849,6,FALSE)</f>
        <v>Electrosurgical Units, Monopolar/Bipolar</v>
      </c>
      <c r="CPY115" s="196" t="s">
        <v>761</v>
      </c>
      <c r="CPZ115" s="197" t="str">
        <f>VLOOKUP(CPY115,[13]AssetDetails_UEM!$A$3:$AH$1849,6,FALSE)</f>
        <v>Electrosurgical Units, Monopolar/Bipolar</v>
      </c>
      <c r="CQA115" s="196" t="s">
        <v>761</v>
      </c>
      <c r="CQB115" s="197" t="str">
        <f>VLOOKUP(CQA115,[13]AssetDetails_UEM!$A$3:$AH$1849,6,FALSE)</f>
        <v>Electrosurgical Units, Monopolar/Bipolar</v>
      </c>
      <c r="CQC115" s="196" t="s">
        <v>761</v>
      </c>
      <c r="CQD115" s="197" t="str">
        <f>VLOOKUP(CQC115,[13]AssetDetails_UEM!$A$3:$AH$1849,6,FALSE)</f>
        <v>Electrosurgical Units, Monopolar/Bipolar</v>
      </c>
      <c r="CQE115" s="196" t="s">
        <v>761</v>
      </c>
      <c r="CQF115" s="197" t="str">
        <f>VLOOKUP(CQE115,[13]AssetDetails_UEM!$A$3:$AH$1849,6,FALSE)</f>
        <v>Electrosurgical Units, Monopolar/Bipolar</v>
      </c>
      <c r="CQG115" s="196" t="s">
        <v>761</v>
      </c>
      <c r="CQH115" s="197" t="str">
        <f>VLOOKUP(CQG115,[13]AssetDetails_UEM!$A$3:$AH$1849,6,FALSE)</f>
        <v>Electrosurgical Units, Monopolar/Bipolar</v>
      </c>
      <c r="CQI115" s="196" t="s">
        <v>761</v>
      </c>
      <c r="CQJ115" s="197" t="str">
        <f>VLOOKUP(CQI115,[13]AssetDetails_UEM!$A$3:$AH$1849,6,FALSE)</f>
        <v>Electrosurgical Units, Monopolar/Bipolar</v>
      </c>
      <c r="CQK115" s="196" t="s">
        <v>761</v>
      </c>
      <c r="CQL115" s="197" t="str">
        <f>VLOOKUP(CQK115,[13]AssetDetails_UEM!$A$3:$AH$1849,6,FALSE)</f>
        <v>Electrosurgical Units, Monopolar/Bipolar</v>
      </c>
      <c r="CQM115" s="196" t="s">
        <v>761</v>
      </c>
      <c r="CQN115" s="197" t="str">
        <f>VLOOKUP(CQM115,[13]AssetDetails_UEM!$A$3:$AH$1849,6,FALSE)</f>
        <v>Electrosurgical Units, Monopolar/Bipolar</v>
      </c>
      <c r="CQO115" s="196" t="s">
        <v>761</v>
      </c>
      <c r="CQP115" s="197" t="str">
        <f>VLOOKUP(CQO115,[13]AssetDetails_UEM!$A$3:$AH$1849,6,FALSE)</f>
        <v>Electrosurgical Units, Monopolar/Bipolar</v>
      </c>
      <c r="CQQ115" s="196" t="s">
        <v>761</v>
      </c>
      <c r="CQR115" s="197" t="str">
        <f>VLOOKUP(CQQ115,[13]AssetDetails_UEM!$A$3:$AH$1849,6,FALSE)</f>
        <v>Electrosurgical Units, Monopolar/Bipolar</v>
      </c>
      <c r="CQS115" s="196" t="s">
        <v>761</v>
      </c>
      <c r="CQT115" s="197" t="str">
        <f>VLOOKUP(CQS115,[13]AssetDetails_UEM!$A$3:$AH$1849,6,FALSE)</f>
        <v>Electrosurgical Units, Monopolar/Bipolar</v>
      </c>
      <c r="CQU115" s="196" t="s">
        <v>761</v>
      </c>
      <c r="CQV115" s="197" t="str">
        <f>VLOOKUP(CQU115,[13]AssetDetails_UEM!$A$3:$AH$1849,6,FALSE)</f>
        <v>Electrosurgical Units, Monopolar/Bipolar</v>
      </c>
      <c r="CQW115" s="196" t="s">
        <v>761</v>
      </c>
      <c r="CQX115" s="197" t="str">
        <f>VLOOKUP(CQW115,[13]AssetDetails_UEM!$A$3:$AH$1849,6,FALSE)</f>
        <v>Electrosurgical Units, Monopolar/Bipolar</v>
      </c>
      <c r="CQY115" s="196" t="s">
        <v>761</v>
      </c>
      <c r="CQZ115" s="197" t="str">
        <f>VLOOKUP(CQY115,[13]AssetDetails_UEM!$A$3:$AH$1849,6,FALSE)</f>
        <v>Electrosurgical Units, Monopolar/Bipolar</v>
      </c>
      <c r="CRA115" s="196" t="s">
        <v>761</v>
      </c>
      <c r="CRB115" s="197" t="str">
        <f>VLOOKUP(CRA115,[13]AssetDetails_UEM!$A$3:$AH$1849,6,FALSE)</f>
        <v>Electrosurgical Units, Monopolar/Bipolar</v>
      </c>
      <c r="CRC115" s="196" t="s">
        <v>761</v>
      </c>
      <c r="CRD115" s="197" t="str">
        <f>VLOOKUP(CRC115,[13]AssetDetails_UEM!$A$3:$AH$1849,6,FALSE)</f>
        <v>Electrosurgical Units, Monopolar/Bipolar</v>
      </c>
      <c r="CRE115" s="196" t="s">
        <v>761</v>
      </c>
      <c r="CRF115" s="197" t="str">
        <f>VLOOKUP(CRE115,[13]AssetDetails_UEM!$A$3:$AH$1849,6,FALSE)</f>
        <v>Electrosurgical Units, Monopolar/Bipolar</v>
      </c>
      <c r="CRG115" s="196" t="s">
        <v>761</v>
      </c>
      <c r="CRH115" s="197" t="str">
        <f>VLOOKUP(CRG115,[13]AssetDetails_UEM!$A$3:$AH$1849,6,FALSE)</f>
        <v>Electrosurgical Units, Monopolar/Bipolar</v>
      </c>
      <c r="CRI115" s="196" t="s">
        <v>761</v>
      </c>
      <c r="CRJ115" s="197" t="str">
        <f>VLOOKUP(CRI115,[13]AssetDetails_UEM!$A$3:$AH$1849,6,FALSE)</f>
        <v>Electrosurgical Units, Monopolar/Bipolar</v>
      </c>
      <c r="CRK115" s="196" t="s">
        <v>761</v>
      </c>
      <c r="CRL115" s="197" t="str">
        <f>VLOOKUP(CRK115,[13]AssetDetails_UEM!$A$3:$AH$1849,6,FALSE)</f>
        <v>Electrosurgical Units, Monopolar/Bipolar</v>
      </c>
      <c r="CRM115" s="196" t="s">
        <v>761</v>
      </c>
      <c r="CRN115" s="197" t="str">
        <f>VLOOKUP(CRM115,[13]AssetDetails_UEM!$A$3:$AH$1849,6,FALSE)</f>
        <v>Electrosurgical Units, Monopolar/Bipolar</v>
      </c>
      <c r="CRO115" s="196" t="s">
        <v>761</v>
      </c>
      <c r="CRP115" s="197" t="str">
        <f>VLOOKUP(CRO115,[13]AssetDetails_UEM!$A$3:$AH$1849,6,FALSE)</f>
        <v>Electrosurgical Units, Monopolar/Bipolar</v>
      </c>
      <c r="CRQ115" s="196" t="s">
        <v>761</v>
      </c>
      <c r="CRR115" s="197" t="str">
        <f>VLOOKUP(CRQ115,[13]AssetDetails_UEM!$A$3:$AH$1849,6,FALSE)</f>
        <v>Electrosurgical Units, Monopolar/Bipolar</v>
      </c>
      <c r="CRS115" s="196" t="s">
        <v>761</v>
      </c>
      <c r="CRT115" s="197" t="str">
        <f>VLOOKUP(CRS115,[13]AssetDetails_UEM!$A$3:$AH$1849,6,FALSE)</f>
        <v>Electrosurgical Units, Monopolar/Bipolar</v>
      </c>
      <c r="CRU115" s="196" t="s">
        <v>761</v>
      </c>
      <c r="CRV115" s="197" t="str">
        <f>VLOOKUP(CRU115,[13]AssetDetails_UEM!$A$3:$AH$1849,6,FALSE)</f>
        <v>Electrosurgical Units, Monopolar/Bipolar</v>
      </c>
      <c r="CRW115" s="196" t="s">
        <v>761</v>
      </c>
      <c r="CRX115" s="197" t="str">
        <f>VLOOKUP(CRW115,[13]AssetDetails_UEM!$A$3:$AH$1849,6,FALSE)</f>
        <v>Electrosurgical Units, Monopolar/Bipolar</v>
      </c>
      <c r="CRY115" s="196" t="s">
        <v>761</v>
      </c>
      <c r="CRZ115" s="197" t="str">
        <f>VLOOKUP(CRY115,[13]AssetDetails_UEM!$A$3:$AH$1849,6,FALSE)</f>
        <v>Electrosurgical Units, Monopolar/Bipolar</v>
      </c>
      <c r="CSA115" s="196" t="s">
        <v>761</v>
      </c>
      <c r="CSB115" s="197" t="str">
        <f>VLOOKUP(CSA115,[13]AssetDetails_UEM!$A$3:$AH$1849,6,FALSE)</f>
        <v>Electrosurgical Units, Monopolar/Bipolar</v>
      </c>
      <c r="CSC115" s="196" t="s">
        <v>761</v>
      </c>
      <c r="CSD115" s="197" t="str">
        <f>VLOOKUP(CSC115,[13]AssetDetails_UEM!$A$3:$AH$1849,6,FALSE)</f>
        <v>Electrosurgical Units, Monopolar/Bipolar</v>
      </c>
      <c r="CSE115" s="196" t="s">
        <v>761</v>
      </c>
      <c r="CSF115" s="197" t="str">
        <f>VLOOKUP(CSE115,[13]AssetDetails_UEM!$A$3:$AH$1849,6,FALSE)</f>
        <v>Electrosurgical Units, Monopolar/Bipolar</v>
      </c>
      <c r="CSG115" s="196" t="s">
        <v>761</v>
      </c>
      <c r="CSH115" s="197" t="str">
        <f>VLOOKUP(CSG115,[13]AssetDetails_UEM!$A$3:$AH$1849,6,FALSE)</f>
        <v>Electrosurgical Units, Monopolar/Bipolar</v>
      </c>
      <c r="CSI115" s="196" t="s">
        <v>761</v>
      </c>
      <c r="CSJ115" s="197" t="str">
        <f>VLOOKUP(CSI115,[13]AssetDetails_UEM!$A$3:$AH$1849,6,FALSE)</f>
        <v>Electrosurgical Units, Monopolar/Bipolar</v>
      </c>
      <c r="CSK115" s="196" t="s">
        <v>761</v>
      </c>
      <c r="CSL115" s="197" t="str">
        <f>VLOOKUP(CSK115,[13]AssetDetails_UEM!$A$3:$AH$1849,6,FALSE)</f>
        <v>Electrosurgical Units, Monopolar/Bipolar</v>
      </c>
      <c r="CSM115" s="196" t="s">
        <v>761</v>
      </c>
      <c r="CSN115" s="197" t="str">
        <f>VLOOKUP(CSM115,[13]AssetDetails_UEM!$A$3:$AH$1849,6,FALSE)</f>
        <v>Electrosurgical Units, Monopolar/Bipolar</v>
      </c>
      <c r="CSO115" s="196" t="s">
        <v>761</v>
      </c>
      <c r="CSP115" s="197" t="str">
        <f>VLOOKUP(CSO115,[13]AssetDetails_UEM!$A$3:$AH$1849,6,FALSE)</f>
        <v>Electrosurgical Units, Monopolar/Bipolar</v>
      </c>
      <c r="CSQ115" s="196" t="s">
        <v>761</v>
      </c>
      <c r="CSR115" s="197" t="str">
        <f>VLOOKUP(CSQ115,[13]AssetDetails_UEM!$A$3:$AH$1849,6,FALSE)</f>
        <v>Electrosurgical Units, Monopolar/Bipolar</v>
      </c>
      <c r="CSS115" s="196" t="s">
        <v>761</v>
      </c>
      <c r="CST115" s="197" t="str">
        <f>VLOOKUP(CSS115,[13]AssetDetails_UEM!$A$3:$AH$1849,6,FALSE)</f>
        <v>Electrosurgical Units, Monopolar/Bipolar</v>
      </c>
      <c r="CSU115" s="196" t="s">
        <v>761</v>
      </c>
      <c r="CSV115" s="197" t="str">
        <f>VLOOKUP(CSU115,[13]AssetDetails_UEM!$A$3:$AH$1849,6,FALSE)</f>
        <v>Electrosurgical Units, Monopolar/Bipolar</v>
      </c>
      <c r="CSW115" s="196" t="s">
        <v>761</v>
      </c>
      <c r="CSX115" s="197" t="str">
        <f>VLOOKUP(CSW115,[13]AssetDetails_UEM!$A$3:$AH$1849,6,FALSE)</f>
        <v>Electrosurgical Units, Monopolar/Bipolar</v>
      </c>
      <c r="CSY115" s="196" t="s">
        <v>761</v>
      </c>
      <c r="CSZ115" s="197" t="str">
        <f>VLOOKUP(CSY115,[13]AssetDetails_UEM!$A$3:$AH$1849,6,FALSE)</f>
        <v>Electrosurgical Units, Monopolar/Bipolar</v>
      </c>
      <c r="CTA115" s="196" t="s">
        <v>761</v>
      </c>
      <c r="CTB115" s="197" t="str">
        <f>VLOOKUP(CTA115,[13]AssetDetails_UEM!$A$3:$AH$1849,6,FALSE)</f>
        <v>Electrosurgical Units, Monopolar/Bipolar</v>
      </c>
      <c r="CTC115" s="196" t="s">
        <v>761</v>
      </c>
      <c r="CTD115" s="197" t="str">
        <f>VLOOKUP(CTC115,[13]AssetDetails_UEM!$A$3:$AH$1849,6,FALSE)</f>
        <v>Electrosurgical Units, Monopolar/Bipolar</v>
      </c>
      <c r="CTE115" s="196" t="s">
        <v>761</v>
      </c>
      <c r="CTF115" s="197" t="str">
        <f>VLOOKUP(CTE115,[13]AssetDetails_UEM!$A$3:$AH$1849,6,FALSE)</f>
        <v>Electrosurgical Units, Monopolar/Bipolar</v>
      </c>
      <c r="CTG115" s="196" t="s">
        <v>761</v>
      </c>
      <c r="CTH115" s="197" t="str">
        <f>VLOOKUP(CTG115,[13]AssetDetails_UEM!$A$3:$AH$1849,6,FALSE)</f>
        <v>Electrosurgical Units, Monopolar/Bipolar</v>
      </c>
      <c r="CTI115" s="196" t="s">
        <v>761</v>
      </c>
      <c r="CTJ115" s="197" t="str">
        <f>VLOOKUP(CTI115,[13]AssetDetails_UEM!$A$3:$AH$1849,6,FALSE)</f>
        <v>Electrosurgical Units, Monopolar/Bipolar</v>
      </c>
      <c r="CTK115" s="196" t="s">
        <v>761</v>
      </c>
      <c r="CTL115" s="197" t="str">
        <f>VLOOKUP(CTK115,[13]AssetDetails_UEM!$A$3:$AH$1849,6,FALSE)</f>
        <v>Electrosurgical Units, Monopolar/Bipolar</v>
      </c>
      <c r="CTM115" s="196" t="s">
        <v>761</v>
      </c>
      <c r="CTN115" s="197" t="str">
        <f>VLOOKUP(CTM115,[13]AssetDetails_UEM!$A$3:$AH$1849,6,FALSE)</f>
        <v>Electrosurgical Units, Monopolar/Bipolar</v>
      </c>
      <c r="CTO115" s="196" t="s">
        <v>761</v>
      </c>
      <c r="CTP115" s="197" t="str">
        <f>VLOOKUP(CTO115,[13]AssetDetails_UEM!$A$3:$AH$1849,6,FALSE)</f>
        <v>Electrosurgical Units, Monopolar/Bipolar</v>
      </c>
      <c r="CTQ115" s="196" t="s">
        <v>761</v>
      </c>
      <c r="CTR115" s="197" t="str">
        <f>VLOOKUP(CTQ115,[13]AssetDetails_UEM!$A$3:$AH$1849,6,FALSE)</f>
        <v>Electrosurgical Units, Monopolar/Bipolar</v>
      </c>
      <c r="CTS115" s="196" t="s">
        <v>761</v>
      </c>
      <c r="CTT115" s="197" t="str">
        <f>VLOOKUP(CTS115,[13]AssetDetails_UEM!$A$3:$AH$1849,6,FALSE)</f>
        <v>Electrosurgical Units, Monopolar/Bipolar</v>
      </c>
      <c r="CTU115" s="196" t="s">
        <v>761</v>
      </c>
      <c r="CTV115" s="197" t="str">
        <f>VLOOKUP(CTU115,[13]AssetDetails_UEM!$A$3:$AH$1849,6,FALSE)</f>
        <v>Electrosurgical Units, Monopolar/Bipolar</v>
      </c>
      <c r="CTW115" s="196" t="s">
        <v>761</v>
      </c>
      <c r="CTX115" s="197" t="str">
        <f>VLOOKUP(CTW115,[13]AssetDetails_UEM!$A$3:$AH$1849,6,FALSE)</f>
        <v>Electrosurgical Units, Monopolar/Bipolar</v>
      </c>
      <c r="CTY115" s="196" t="s">
        <v>761</v>
      </c>
      <c r="CTZ115" s="197" t="str">
        <f>VLOOKUP(CTY115,[13]AssetDetails_UEM!$A$3:$AH$1849,6,FALSE)</f>
        <v>Electrosurgical Units, Monopolar/Bipolar</v>
      </c>
      <c r="CUA115" s="196" t="s">
        <v>761</v>
      </c>
      <c r="CUB115" s="197" t="str">
        <f>VLOOKUP(CUA115,[13]AssetDetails_UEM!$A$3:$AH$1849,6,FALSE)</f>
        <v>Electrosurgical Units, Monopolar/Bipolar</v>
      </c>
      <c r="CUC115" s="196" t="s">
        <v>761</v>
      </c>
      <c r="CUD115" s="197" t="str">
        <f>VLOOKUP(CUC115,[13]AssetDetails_UEM!$A$3:$AH$1849,6,FALSE)</f>
        <v>Electrosurgical Units, Monopolar/Bipolar</v>
      </c>
      <c r="CUE115" s="196" t="s">
        <v>761</v>
      </c>
      <c r="CUF115" s="197" t="str">
        <f>VLOOKUP(CUE115,[13]AssetDetails_UEM!$A$3:$AH$1849,6,FALSE)</f>
        <v>Electrosurgical Units, Monopolar/Bipolar</v>
      </c>
      <c r="CUG115" s="196" t="s">
        <v>761</v>
      </c>
      <c r="CUH115" s="197" t="str">
        <f>VLOOKUP(CUG115,[13]AssetDetails_UEM!$A$3:$AH$1849,6,FALSE)</f>
        <v>Electrosurgical Units, Monopolar/Bipolar</v>
      </c>
      <c r="CUI115" s="196" t="s">
        <v>761</v>
      </c>
      <c r="CUJ115" s="197" t="str">
        <f>VLOOKUP(CUI115,[13]AssetDetails_UEM!$A$3:$AH$1849,6,FALSE)</f>
        <v>Electrosurgical Units, Monopolar/Bipolar</v>
      </c>
      <c r="CUK115" s="196" t="s">
        <v>761</v>
      </c>
      <c r="CUL115" s="197" t="str">
        <f>VLOOKUP(CUK115,[13]AssetDetails_UEM!$A$3:$AH$1849,6,FALSE)</f>
        <v>Electrosurgical Units, Monopolar/Bipolar</v>
      </c>
      <c r="CUM115" s="196" t="s">
        <v>761</v>
      </c>
      <c r="CUN115" s="197" t="str">
        <f>VLOOKUP(CUM115,[13]AssetDetails_UEM!$A$3:$AH$1849,6,FALSE)</f>
        <v>Electrosurgical Units, Monopolar/Bipolar</v>
      </c>
      <c r="CUO115" s="196" t="s">
        <v>761</v>
      </c>
      <c r="CUP115" s="197" t="str">
        <f>VLOOKUP(CUO115,[13]AssetDetails_UEM!$A$3:$AH$1849,6,FALSE)</f>
        <v>Electrosurgical Units, Monopolar/Bipolar</v>
      </c>
      <c r="CUQ115" s="196" t="s">
        <v>761</v>
      </c>
      <c r="CUR115" s="197" t="str">
        <f>VLOOKUP(CUQ115,[13]AssetDetails_UEM!$A$3:$AH$1849,6,FALSE)</f>
        <v>Electrosurgical Units, Monopolar/Bipolar</v>
      </c>
      <c r="CUS115" s="196" t="s">
        <v>761</v>
      </c>
      <c r="CUT115" s="197" t="str">
        <f>VLOOKUP(CUS115,[13]AssetDetails_UEM!$A$3:$AH$1849,6,FALSE)</f>
        <v>Electrosurgical Units, Monopolar/Bipolar</v>
      </c>
      <c r="CUU115" s="196" t="s">
        <v>761</v>
      </c>
      <c r="CUV115" s="197" t="str">
        <f>VLOOKUP(CUU115,[13]AssetDetails_UEM!$A$3:$AH$1849,6,FALSE)</f>
        <v>Electrosurgical Units, Monopolar/Bipolar</v>
      </c>
      <c r="CUW115" s="196" t="s">
        <v>761</v>
      </c>
      <c r="CUX115" s="197" t="str">
        <f>VLOOKUP(CUW115,[13]AssetDetails_UEM!$A$3:$AH$1849,6,FALSE)</f>
        <v>Electrosurgical Units, Monopolar/Bipolar</v>
      </c>
      <c r="CUY115" s="196" t="s">
        <v>761</v>
      </c>
      <c r="CUZ115" s="197" t="str">
        <f>VLOOKUP(CUY115,[13]AssetDetails_UEM!$A$3:$AH$1849,6,FALSE)</f>
        <v>Electrosurgical Units, Monopolar/Bipolar</v>
      </c>
      <c r="CVA115" s="196" t="s">
        <v>761</v>
      </c>
      <c r="CVB115" s="197" t="str">
        <f>VLOOKUP(CVA115,[13]AssetDetails_UEM!$A$3:$AH$1849,6,FALSE)</f>
        <v>Electrosurgical Units, Monopolar/Bipolar</v>
      </c>
      <c r="CVC115" s="196" t="s">
        <v>761</v>
      </c>
      <c r="CVD115" s="197" t="str">
        <f>VLOOKUP(CVC115,[13]AssetDetails_UEM!$A$3:$AH$1849,6,FALSE)</f>
        <v>Electrosurgical Units, Monopolar/Bipolar</v>
      </c>
      <c r="CVE115" s="196" t="s">
        <v>761</v>
      </c>
      <c r="CVF115" s="197" t="str">
        <f>VLOOKUP(CVE115,[13]AssetDetails_UEM!$A$3:$AH$1849,6,FALSE)</f>
        <v>Electrosurgical Units, Monopolar/Bipolar</v>
      </c>
      <c r="CVG115" s="196" t="s">
        <v>761</v>
      </c>
      <c r="CVH115" s="197" t="str">
        <f>VLOOKUP(CVG115,[13]AssetDetails_UEM!$A$3:$AH$1849,6,FALSE)</f>
        <v>Electrosurgical Units, Monopolar/Bipolar</v>
      </c>
      <c r="CVI115" s="196" t="s">
        <v>761</v>
      </c>
      <c r="CVJ115" s="197" t="str">
        <f>VLOOKUP(CVI115,[13]AssetDetails_UEM!$A$3:$AH$1849,6,FALSE)</f>
        <v>Electrosurgical Units, Monopolar/Bipolar</v>
      </c>
      <c r="CVK115" s="196" t="s">
        <v>761</v>
      </c>
      <c r="CVL115" s="197" t="str">
        <f>VLOOKUP(CVK115,[13]AssetDetails_UEM!$A$3:$AH$1849,6,FALSE)</f>
        <v>Electrosurgical Units, Monopolar/Bipolar</v>
      </c>
      <c r="CVM115" s="196" t="s">
        <v>761</v>
      </c>
      <c r="CVN115" s="197" t="str">
        <f>VLOOKUP(CVM115,[13]AssetDetails_UEM!$A$3:$AH$1849,6,FALSE)</f>
        <v>Electrosurgical Units, Monopolar/Bipolar</v>
      </c>
      <c r="CVO115" s="196" t="s">
        <v>761</v>
      </c>
      <c r="CVP115" s="197" t="str">
        <f>VLOOKUP(CVO115,[13]AssetDetails_UEM!$A$3:$AH$1849,6,FALSE)</f>
        <v>Electrosurgical Units, Monopolar/Bipolar</v>
      </c>
      <c r="CVQ115" s="196" t="s">
        <v>761</v>
      </c>
      <c r="CVR115" s="197" t="str">
        <f>VLOOKUP(CVQ115,[13]AssetDetails_UEM!$A$3:$AH$1849,6,FALSE)</f>
        <v>Electrosurgical Units, Monopolar/Bipolar</v>
      </c>
      <c r="CVS115" s="196" t="s">
        <v>761</v>
      </c>
      <c r="CVT115" s="197" t="str">
        <f>VLOOKUP(CVS115,[13]AssetDetails_UEM!$A$3:$AH$1849,6,FALSE)</f>
        <v>Electrosurgical Units, Monopolar/Bipolar</v>
      </c>
      <c r="CVU115" s="196" t="s">
        <v>761</v>
      </c>
      <c r="CVV115" s="197" t="str">
        <f>VLOOKUP(CVU115,[13]AssetDetails_UEM!$A$3:$AH$1849,6,FALSE)</f>
        <v>Electrosurgical Units, Monopolar/Bipolar</v>
      </c>
      <c r="CVW115" s="196" t="s">
        <v>761</v>
      </c>
      <c r="CVX115" s="197" t="str">
        <f>VLOOKUP(CVW115,[13]AssetDetails_UEM!$A$3:$AH$1849,6,FALSE)</f>
        <v>Electrosurgical Units, Monopolar/Bipolar</v>
      </c>
      <c r="CVY115" s="196" t="s">
        <v>761</v>
      </c>
      <c r="CVZ115" s="197" t="str">
        <f>VLOOKUP(CVY115,[13]AssetDetails_UEM!$A$3:$AH$1849,6,FALSE)</f>
        <v>Electrosurgical Units, Monopolar/Bipolar</v>
      </c>
      <c r="CWA115" s="196" t="s">
        <v>761</v>
      </c>
      <c r="CWB115" s="197" t="str">
        <f>VLOOKUP(CWA115,[13]AssetDetails_UEM!$A$3:$AH$1849,6,FALSE)</f>
        <v>Electrosurgical Units, Monopolar/Bipolar</v>
      </c>
      <c r="CWC115" s="196" t="s">
        <v>761</v>
      </c>
      <c r="CWD115" s="197" t="str">
        <f>VLOOKUP(CWC115,[13]AssetDetails_UEM!$A$3:$AH$1849,6,FALSE)</f>
        <v>Electrosurgical Units, Monopolar/Bipolar</v>
      </c>
      <c r="CWE115" s="196" t="s">
        <v>761</v>
      </c>
      <c r="CWF115" s="197" t="str">
        <f>VLOOKUP(CWE115,[13]AssetDetails_UEM!$A$3:$AH$1849,6,FALSE)</f>
        <v>Electrosurgical Units, Monopolar/Bipolar</v>
      </c>
      <c r="CWG115" s="196" t="s">
        <v>761</v>
      </c>
      <c r="CWH115" s="197" t="str">
        <f>VLOOKUP(CWG115,[13]AssetDetails_UEM!$A$3:$AH$1849,6,FALSE)</f>
        <v>Electrosurgical Units, Monopolar/Bipolar</v>
      </c>
      <c r="CWI115" s="196" t="s">
        <v>761</v>
      </c>
      <c r="CWJ115" s="197" t="str">
        <f>VLOOKUP(CWI115,[13]AssetDetails_UEM!$A$3:$AH$1849,6,FALSE)</f>
        <v>Electrosurgical Units, Monopolar/Bipolar</v>
      </c>
      <c r="CWK115" s="196" t="s">
        <v>761</v>
      </c>
      <c r="CWL115" s="197" t="str">
        <f>VLOOKUP(CWK115,[13]AssetDetails_UEM!$A$3:$AH$1849,6,FALSE)</f>
        <v>Electrosurgical Units, Monopolar/Bipolar</v>
      </c>
      <c r="CWM115" s="196" t="s">
        <v>761</v>
      </c>
      <c r="CWN115" s="197" t="str">
        <f>VLOOKUP(CWM115,[13]AssetDetails_UEM!$A$3:$AH$1849,6,FALSE)</f>
        <v>Electrosurgical Units, Monopolar/Bipolar</v>
      </c>
      <c r="CWO115" s="196" t="s">
        <v>761</v>
      </c>
      <c r="CWP115" s="197" t="str">
        <f>VLOOKUP(CWO115,[13]AssetDetails_UEM!$A$3:$AH$1849,6,FALSE)</f>
        <v>Electrosurgical Units, Monopolar/Bipolar</v>
      </c>
      <c r="CWQ115" s="196" t="s">
        <v>761</v>
      </c>
      <c r="CWR115" s="197" t="str">
        <f>VLOOKUP(CWQ115,[13]AssetDetails_UEM!$A$3:$AH$1849,6,FALSE)</f>
        <v>Electrosurgical Units, Monopolar/Bipolar</v>
      </c>
      <c r="CWS115" s="196" t="s">
        <v>761</v>
      </c>
      <c r="CWT115" s="197" t="str">
        <f>VLOOKUP(CWS115,[13]AssetDetails_UEM!$A$3:$AH$1849,6,FALSE)</f>
        <v>Electrosurgical Units, Monopolar/Bipolar</v>
      </c>
      <c r="CWU115" s="196" t="s">
        <v>761</v>
      </c>
      <c r="CWV115" s="197" t="str">
        <f>VLOOKUP(CWU115,[13]AssetDetails_UEM!$A$3:$AH$1849,6,FALSE)</f>
        <v>Electrosurgical Units, Monopolar/Bipolar</v>
      </c>
      <c r="CWW115" s="196" t="s">
        <v>761</v>
      </c>
      <c r="CWX115" s="197" t="str">
        <f>VLOOKUP(CWW115,[13]AssetDetails_UEM!$A$3:$AH$1849,6,FALSE)</f>
        <v>Electrosurgical Units, Monopolar/Bipolar</v>
      </c>
      <c r="CWY115" s="196" t="s">
        <v>761</v>
      </c>
      <c r="CWZ115" s="197" t="str">
        <f>VLOOKUP(CWY115,[13]AssetDetails_UEM!$A$3:$AH$1849,6,FALSE)</f>
        <v>Electrosurgical Units, Monopolar/Bipolar</v>
      </c>
      <c r="CXA115" s="196" t="s">
        <v>761</v>
      </c>
      <c r="CXB115" s="197" t="str">
        <f>VLOOKUP(CXA115,[13]AssetDetails_UEM!$A$3:$AH$1849,6,FALSE)</f>
        <v>Electrosurgical Units, Monopolar/Bipolar</v>
      </c>
      <c r="CXC115" s="196" t="s">
        <v>761</v>
      </c>
      <c r="CXD115" s="197" t="str">
        <f>VLOOKUP(CXC115,[13]AssetDetails_UEM!$A$3:$AH$1849,6,FALSE)</f>
        <v>Electrosurgical Units, Monopolar/Bipolar</v>
      </c>
      <c r="CXE115" s="196" t="s">
        <v>761</v>
      </c>
      <c r="CXF115" s="197" t="str">
        <f>VLOOKUP(CXE115,[13]AssetDetails_UEM!$A$3:$AH$1849,6,FALSE)</f>
        <v>Electrosurgical Units, Monopolar/Bipolar</v>
      </c>
      <c r="CXG115" s="196" t="s">
        <v>761</v>
      </c>
      <c r="CXH115" s="197" t="str">
        <f>VLOOKUP(CXG115,[13]AssetDetails_UEM!$A$3:$AH$1849,6,FALSE)</f>
        <v>Electrosurgical Units, Monopolar/Bipolar</v>
      </c>
      <c r="CXI115" s="196" t="s">
        <v>761</v>
      </c>
      <c r="CXJ115" s="197" t="str">
        <f>VLOOKUP(CXI115,[13]AssetDetails_UEM!$A$3:$AH$1849,6,FALSE)</f>
        <v>Electrosurgical Units, Monopolar/Bipolar</v>
      </c>
      <c r="CXK115" s="196" t="s">
        <v>761</v>
      </c>
      <c r="CXL115" s="197" t="str">
        <f>VLOOKUP(CXK115,[13]AssetDetails_UEM!$A$3:$AH$1849,6,FALSE)</f>
        <v>Electrosurgical Units, Monopolar/Bipolar</v>
      </c>
      <c r="CXM115" s="196" t="s">
        <v>761</v>
      </c>
      <c r="CXN115" s="197" t="str">
        <f>VLOOKUP(CXM115,[13]AssetDetails_UEM!$A$3:$AH$1849,6,FALSE)</f>
        <v>Electrosurgical Units, Monopolar/Bipolar</v>
      </c>
      <c r="CXO115" s="196" t="s">
        <v>761</v>
      </c>
      <c r="CXP115" s="197" t="str">
        <f>VLOOKUP(CXO115,[13]AssetDetails_UEM!$A$3:$AH$1849,6,FALSE)</f>
        <v>Electrosurgical Units, Monopolar/Bipolar</v>
      </c>
      <c r="CXQ115" s="196" t="s">
        <v>761</v>
      </c>
      <c r="CXR115" s="197" t="str">
        <f>VLOOKUP(CXQ115,[13]AssetDetails_UEM!$A$3:$AH$1849,6,FALSE)</f>
        <v>Electrosurgical Units, Monopolar/Bipolar</v>
      </c>
      <c r="CXS115" s="196" t="s">
        <v>761</v>
      </c>
      <c r="CXT115" s="197" t="str">
        <f>VLOOKUP(CXS115,[13]AssetDetails_UEM!$A$3:$AH$1849,6,FALSE)</f>
        <v>Electrosurgical Units, Monopolar/Bipolar</v>
      </c>
      <c r="CXU115" s="196" t="s">
        <v>761</v>
      </c>
      <c r="CXV115" s="197" t="str">
        <f>VLOOKUP(CXU115,[13]AssetDetails_UEM!$A$3:$AH$1849,6,FALSE)</f>
        <v>Electrosurgical Units, Monopolar/Bipolar</v>
      </c>
      <c r="CXW115" s="196" t="s">
        <v>761</v>
      </c>
      <c r="CXX115" s="197" t="str">
        <f>VLOOKUP(CXW115,[13]AssetDetails_UEM!$A$3:$AH$1849,6,FALSE)</f>
        <v>Electrosurgical Units, Monopolar/Bipolar</v>
      </c>
      <c r="CXY115" s="196" t="s">
        <v>761</v>
      </c>
      <c r="CXZ115" s="197" t="str">
        <f>VLOOKUP(CXY115,[13]AssetDetails_UEM!$A$3:$AH$1849,6,FALSE)</f>
        <v>Electrosurgical Units, Monopolar/Bipolar</v>
      </c>
      <c r="CYA115" s="196" t="s">
        <v>761</v>
      </c>
      <c r="CYB115" s="197" t="str">
        <f>VLOOKUP(CYA115,[13]AssetDetails_UEM!$A$3:$AH$1849,6,FALSE)</f>
        <v>Electrosurgical Units, Monopolar/Bipolar</v>
      </c>
      <c r="CYC115" s="196" t="s">
        <v>761</v>
      </c>
      <c r="CYD115" s="197" t="str">
        <f>VLOOKUP(CYC115,[13]AssetDetails_UEM!$A$3:$AH$1849,6,FALSE)</f>
        <v>Electrosurgical Units, Monopolar/Bipolar</v>
      </c>
      <c r="CYE115" s="196" t="s">
        <v>761</v>
      </c>
      <c r="CYF115" s="197" t="str">
        <f>VLOOKUP(CYE115,[13]AssetDetails_UEM!$A$3:$AH$1849,6,FALSE)</f>
        <v>Electrosurgical Units, Monopolar/Bipolar</v>
      </c>
      <c r="CYG115" s="196" t="s">
        <v>761</v>
      </c>
      <c r="CYH115" s="197" t="str">
        <f>VLOOKUP(CYG115,[13]AssetDetails_UEM!$A$3:$AH$1849,6,FALSE)</f>
        <v>Electrosurgical Units, Monopolar/Bipolar</v>
      </c>
      <c r="CYI115" s="196" t="s">
        <v>761</v>
      </c>
      <c r="CYJ115" s="197" t="str">
        <f>VLOOKUP(CYI115,[13]AssetDetails_UEM!$A$3:$AH$1849,6,FALSE)</f>
        <v>Electrosurgical Units, Monopolar/Bipolar</v>
      </c>
      <c r="CYK115" s="196" t="s">
        <v>761</v>
      </c>
      <c r="CYL115" s="197" t="str">
        <f>VLOOKUP(CYK115,[13]AssetDetails_UEM!$A$3:$AH$1849,6,FALSE)</f>
        <v>Electrosurgical Units, Monopolar/Bipolar</v>
      </c>
      <c r="CYM115" s="196" t="s">
        <v>761</v>
      </c>
      <c r="CYN115" s="197" t="str">
        <f>VLOOKUP(CYM115,[13]AssetDetails_UEM!$A$3:$AH$1849,6,FALSE)</f>
        <v>Electrosurgical Units, Monopolar/Bipolar</v>
      </c>
      <c r="CYO115" s="196" t="s">
        <v>761</v>
      </c>
      <c r="CYP115" s="197" t="str">
        <f>VLOOKUP(CYO115,[13]AssetDetails_UEM!$A$3:$AH$1849,6,FALSE)</f>
        <v>Electrosurgical Units, Monopolar/Bipolar</v>
      </c>
      <c r="CYQ115" s="196" t="s">
        <v>761</v>
      </c>
      <c r="CYR115" s="197" t="str">
        <f>VLOOKUP(CYQ115,[13]AssetDetails_UEM!$A$3:$AH$1849,6,FALSE)</f>
        <v>Electrosurgical Units, Monopolar/Bipolar</v>
      </c>
      <c r="CYS115" s="196" t="s">
        <v>761</v>
      </c>
      <c r="CYT115" s="197" t="str">
        <f>VLOOKUP(CYS115,[13]AssetDetails_UEM!$A$3:$AH$1849,6,FALSE)</f>
        <v>Electrosurgical Units, Monopolar/Bipolar</v>
      </c>
      <c r="CYU115" s="196" t="s">
        <v>761</v>
      </c>
      <c r="CYV115" s="197" t="str">
        <f>VLOOKUP(CYU115,[13]AssetDetails_UEM!$A$3:$AH$1849,6,FALSE)</f>
        <v>Electrosurgical Units, Monopolar/Bipolar</v>
      </c>
      <c r="CYW115" s="196" t="s">
        <v>761</v>
      </c>
      <c r="CYX115" s="197" t="str">
        <f>VLOOKUP(CYW115,[13]AssetDetails_UEM!$A$3:$AH$1849,6,FALSE)</f>
        <v>Electrosurgical Units, Monopolar/Bipolar</v>
      </c>
      <c r="CYY115" s="196" t="s">
        <v>761</v>
      </c>
      <c r="CYZ115" s="197" t="str">
        <f>VLOOKUP(CYY115,[13]AssetDetails_UEM!$A$3:$AH$1849,6,FALSE)</f>
        <v>Electrosurgical Units, Monopolar/Bipolar</v>
      </c>
      <c r="CZA115" s="196" t="s">
        <v>761</v>
      </c>
      <c r="CZB115" s="197" t="str">
        <f>VLOOKUP(CZA115,[13]AssetDetails_UEM!$A$3:$AH$1849,6,FALSE)</f>
        <v>Electrosurgical Units, Monopolar/Bipolar</v>
      </c>
      <c r="CZC115" s="196" t="s">
        <v>761</v>
      </c>
      <c r="CZD115" s="197" t="str">
        <f>VLOOKUP(CZC115,[13]AssetDetails_UEM!$A$3:$AH$1849,6,FALSE)</f>
        <v>Electrosurgical Units, Monopolar/Bipolar</v>
      </c>
      <c r="CZE115" s="196" t="s">
        <v>761</v>
      </c>
      <c r="CZF115" s="197" t="str">
        <f>VLOOKUP(CZE115,[13]AssetDetails_UEM!$A$3:$AH$1849,6,FALSE)</f>
        <v>Electrosurgical Units, Monopolar/Bipolar</v>
      </c>
      <c r="CZG115" s="196" t="s">
        <v>761</v>
      </c>
      <c r="CZH115" s="197" t="str">
        <f>VLOOKUP(CZG115,[13]AssetDetails_UEM!$A$3:$AH$1849,6,FALSE)</f>
        <v>Electrosurgical Units, Monopolar/Bipolar</v>
      </c>
      <c r="CZI115" s="196" t="s">
        <v>761</v>
      </c>
      <c r="CZJ115" s="197" t="str">
        <f>VLOOKUP(CZI115,[13]AssetDetails_UEM!$A$3:$AH$1849,6,FALSE)</f>
        <v>Electrosurgical Units, Monopolar/Bipolar</v>
      </c>
      <c r="CZK115" s="196" t="s">
        <v>761</v>
      </c>
      <c r="CZL115" s="197" t="str">
        <f>VLOOKUP(CZK115,[13]AssetDetails_UEM!$A$3:$AH$1849,6,FALSE)</f>
        <v>Electrosurgical Units, Monopolar/Bipolar</v>
      </c>
      <c r="CZM115" s="196" t="s">
        <v>761</v>
      </c>
      <c r="CZN115" s="197" t="str">
        <f>VLOOKUP(CZM115,[13]AssetDetails_UEM!$A$3:$AH$1849,6,FALSE)</f>
        <v>Electrosurgical Units, Monopolar/Bipolar</v>
      </c>
      <c r="CZO115" s="196" t="s">
        <v>761</v>
      </c>
      <c r="CZP115" s="197" t="str">
        <f>VLOOKUP(CZO115,[13]AssetDetails_UEM!$A$3:$AH$1849,6,FALSE)</f>
        <v>Electrosurgical Units, Monopolar/Bipolar</v>
      </c>
      <c r="CZQ115" s="196" t="s">
        <v>761</v>
      </c>
      <c r="CZR115" s="197" t="str">
        <f>VLOOKUP(CZQ115,[13]AssetDetails_UEM!$A$3:$AH$1849,6,FALSE)</f>
        <v>Electrosurgical Units, Monopolar/Bipolar</v>
      </c>
      <c r="CZS115" s="196" t="s">
        <v>761</v>
      </c>
      <c r="CZT115" s="197" t="str">
        <f>VLOOKUP(CZS115,[13]AssetDetails_UEM!$A$3:$AH$1849,6,FALSE)</f>
        <v>Electrosurgical Units, Monopolar/Bipolar</v>
      </c>
      <c r="CZU115" s="196" t="s">
        <v>761</v>
      </c>
      <c r="CZV115" s="197" t="str">
        <f>VLOOKUP(CZU115,[13]AssetDetails_UEM!$A$3:$AH$1849,6,FALSE)</f>
        <v>Electrosurgical Units, Monopolar/Bipolar</v>
      </c>
      <c r="CZW115" s="196" t="s">
        <v>761</v>
      </c>
      <c r="CZX115" s="197" t="str">
        <f>VLOOKUP(CZW115,[13]AssetDetails_UEM!$A$3:$AH$1849,6,FALSE)</f>
        <v>Electrosurgical Units, Monopolar/Bipolar</v>
      </c>
      <c r="CZY115" s="196" t="s">
        <v>761</v>
      </c>
      <c r="CZZ115" s="197" t="str">
        <f>VLOOKUP(CZY115,[13]AssetDetails_UEM!$A$3:$AH$1849,6,FALSE)</f>
        <v>Electrosurgical Units, Monopolar/Bipolar</v>
      </c>
      <c r="DAA115" s="196" t="s">
        <v>761</v>
      </c>
      <c r="DAB115" s="197" t="str">
        <f>VLOOKUP(DAA115,[13]AssetDetails_UEM!$A$3:$AH$1849,6,FALSE)</f>
        <v>Electrosurgical Units, Monopolar/Bipolar</v>
      </c>
      <c r="DAC115" s="196" t="s">
        <v>761</v>
      </c>
      <c r="DAD115" s="197" t="str">
        <f>VLOOKUP(DAC115,[13]AssetDetails_UEM!$A$3:$AH$1849,6,FALSE)</f>
        <v>Electrosurgical Units, Monopolar/Bipolar</v>
      </c>
      <c r="DAE115" s="196" t="s">
        <v>761</v>
      </c>
      <c r="DAF115" s="197" t="str">
        <f>VLOOKUP(DAE115,[13]AssetDetails_UEM!$A$3:$AH$1849,6,FALSE)</f>
        <v>Electrosurgical Units, Monopolar/Bipolar</v>
      </c>
      <c r="DAG115" s="196" t="s">
        <v>761</v>
      </c>
      <c r="DAH115" s="197" t="str">
        <f>VLOOKUP(DAG115,[13]AssetDetails_UEM!$A$3:$AH$1849,6,FALSE)</f>
        <v>Electrosurgical Units, Monopolar/Bipolar</v>
      </c>
      <c r="DAI115" s="196" t="s">
        <v>761</v>
      </c>
      <c r="DAJ115" s="197" t="str">
        <f>VLOOKUP(DAI115,[13]AssetDetails_UEM!$A$3:$AH$1849,6,FALSE)</f>
        <v>Electrosurgical Units, Monopolar/Bipolar</v>
      </c>
      <c r="DAK115" s="196" t="s">
        <v>761</v>
      </c>
      <c r="DAL115" s="197" t="str">
        <f>VLOOKUP(DAK115,[13]AssetDetails_UEM!$A$3:$AH$1849,6,FALSE)</f>
        <v>Electrosurgical Units, Monopolar/Bipolar</v>
      </c>
      <c r="DAM115" s="196" t="s">
        <v>761</v>
      </c>
      <c r="DAN115" s="197" t="str">
        <f>VLOOKUP(DAM115,[13]AssetDetails_UEM!$A$3:$AH$1849,6,FALSE)</f>
        <v>Electrosurgical Units, Monopolar/Bipolar</v>
      </c>
      <c r="DAO115" s="196" t="s">
        <v>761</v>
      </c>
      <c r="DAP115" s="197" t="str">
        <f>VLOOKUP(DAO115,[13]AssetDetails_UEM!$A$3:$AH$1849,6,FALSE)</f>
        <v>Electrosurgical Units, Monopolar/Bipolar</v>
      </c>
      <c r="DAQ115" s="196" t="s">
        <v>761</v>
      </c>
      <c r="DAR115" s="197" t="str">
        <f>VLOOKUP(DAQ115,[13]AssetDetails_UEM!$A$3:$AH$1849,6,FALSE)</f>
        <v>Electrosurgical Units, Monopolar/Bipolar</v>
      </c>
      <c r="DAS115" s="196" t="s">
        <v>761</v>
      </c>
      <c r="DAT115" s="197" t="str">
        <f>VLOOKUP(DAS115,[13]AssetDetails_UEM!$A$3:$AH$1849,6,FALSE)</f>
        <v>Electrosurgical Units, Monopolar/Bipolar</v>
      </c>
      <c r="DAU115" s="196" t="s">
        <v>761</v>
      </c>
      <c r="DAV115" s="197" t="str">
        <f>VLOOKUP(DAU115,[13]AssetDetails_UEM!$A$3:$AH$1849,6,FALSE)</f>
        <v>Electrosurgical Units, Monopolar/Bipolar</v>
      </c>
      <c r="DAW115" s="196" t="s">
        <v>761</v>
      </c>
      <c r="DAX115" s="197" t="str">
        <f>VLOOKUP(DAW115,[13]AssetDetails_UEM!$A$3:$AH$1849,6,FALSE)</f>
        <v>Electrosurgical Units, Monopolar/Bipolar</v>
      </c>
      <c r="DAY115" s="196" t="s">
        <v>761</v>
      </c>
      <c r="DAZ115" s="197" t="str">
        <f>VLOOKUP(DAY115,[13]AssetDetails_UEM!$A$3:$AH$1849,6,FALSE)</f>
        <v>Electrosurgical Units, Monopolar/Bipolar</v>
      </c>
      <c r="DBA115" s="196" t="s">
        <v>761</v>
      </c>
      <c r="DBB115" s="197" t="str">
        <f>VLOOKUP(DBA115,[13]AssetDetails_UEM!$A$3:$AH$1849,6,FALSE)</f>
        <v>Electrosurgical Units, Monopolar/Bipolar</v>
      </c>
      <c r="DBC115" s="196" t="s">
        <v>761</v>
      </c>
      <c r="DBD115" s="197" t="str">
        <f>VLOOKUP(DBC115,[13]AssetDetails_UEM!$A$3:$AH$1849,6,FALSE)</f>
        <v>Electrosurgical Units, Monopolar/Bipolar</v>
      </c>
      <c r="DBE115" s="196" t="s">
        <v>761</v>
      </c>
      <c r="DBF115" s="197" t="str">
        <f>VLOOKUP(DBE115,[13]AssetDetails_UEM!$A$3:$AH$1849,6,FALSE)</f>
        <v>Electrosurgical Units, Monopolar/Bipolar</v>
      </c>
      <c r="DBG115" s="196" t="s">
        <v>761</v>
      </c>
      <c r="DBH115" s="197" t="str">
        <f>VLOOKUP(DBG115,[13]AssetDetails_UEM!$A$3:$AH$1849,6,FALSE)</f>
        <v>Electrosurgical Units, Monopolar/Bipolar</v>
      </c>
      <c r="DBI115" s="196" t="s">
        <v>761</v>
      </c>
      <c r="DBJ115" s="197" t="str">
        <f>VLOOKUP(DBI115,[13]AssetDetails_UEM!$A$3:$AH$1849,6,FALSE)</f>
        <v>Electrosurgical Units, Monopolar/Bipolar</v>
      </c>
      <c r="DBK115" s="196" t="s">
        <v>761</v>
      </c>
      <c r="DBL115" s="197" t="str">
        <f>VLOOKUP(DBK115,[13]AssetDetails_UEM!$A$3:$AH$1849,6,FALSE)</f>
        <v>Electrosurgical Units, Monopolar/Bipolar</v>
      </c>
      <c r="DBM115" s="196" t="s">
        <v>761</v>
      </c>
      <c r="DBN115" s="197" t="str">
        <f>VLOOKUP(DBM115,[13]AssetDetails_UEM!$A$3:$AH$1849,6,FALSE)</f>
        <v>Electrosurgical Units, Monopolar/Bipolar</v>
      </c>
      <c r="DBO115" s="196" t="s">
        <v>761</v>
      </c>
      <c r="DBP115" s="197" t="str">
        <f>VLOOKUP(DBO115,[13]AssetDetails_UEM!$A$3:$AH$1849,6,FALSE)</f>
        <v>Electrosurgical Units, Monopolar/Bipolar</v>
      </c>
      <c r="DBQ115" s="196" t="s">
        <v>761</v>
      </c>
      <c r="DBR115" s="197" t="str">
        <f>VLOOKUP(DBQ115,[13]AssetDetails_UEM!$A$3:$AH$1849,6,FALSE)</f>
        <v>Electrosurgical Units, Monopolar/Bipolar</v>
      </c>
      <c r="DBS115" s="196" t="s">
        <v>761</v>
      </c>
      <c r="DBT115" s="197" t="str">
        <f>VLOOKUP(DBS115,[13]AssetDetails_UEM!$A$3:$AH$1849,6,FALSE)</f>
        <v>Electrosurgical Units, Monopolar/Bipolar</v>
      </c>
      <c r="DBU115" s="196" t="s">
        <v>761</v>
      </c>
      <c r="DBV115" s="197" t="str">
        <f>VLOOKUP(DBU115,[13]AssetDetails_UEM!$A$3:$AH$1849,6,FALSE)</f>
        <v>Electrosurgical Units, Monopolar/Bipolar</v>
      </c>
      <c r="DBW115" s="196" t="s">
        <v>761</v>
      </c>
      <c r="DBX115" s="197" t="str">
        <f>VLOOKUP(DBW115,[13]AssetDetails_UEM!$A$3:$AH$1849,6,FALSE)</f>
        <v>Electrosurgical Units, Monopolar/Bipolar</v>
      </c>
      <c r="DBY115" s="196" t="s">
        <v>761</v>
      </c>
      <c r="DBZ115" s="197" t="str">
        <f>VLOOKUP(DBY115,[13]AssetDetails_UEM!$A$3:$AH$1849,6,FALSE)</f>
        <v>Electrosurgical Units, Monopolar/Bipolar</v>
      </c>
      <c r="DCA115" s="196" t="s">
        <v>761</v>
      </c>
      <c r="DCB115" s="197" t="str">
        <f>VLOOKUP(DCA115,[13]AssetDetails_UEM!$A$3:$AH$1849,6,FALSE)</f>
        <v>Electrosurgical Units, Monopolar/Bipolar</v>
      </c>
      <c r="DCC115" s="196" t="s">
        <v>761</v>
      </c>
      <c r="DCD115" s="197" t="str">
        <f>VLOOKUP(DCC115,[13]AssetDetails_UEM!$A$3:$AH$1849,6,FALSE)</f>
        <v>Electrosurgical Units, Monopolar/Bipolar</v>
      </c>
      <c r="DCE115" s="196" t="s">
        <v>761</v>
      </c>
      <c r="DCF115" s="197" t="str">
        <f>VLOOKUP(DCE115,[13]AssetDetails_UEM!$A$3:$AH$1849,6,FALSE)</f>
        <v>Electrosurgical Units, Monopolar/Bipolar</v>
      </c>
      <c r="DCG115" s="196" t="s">
        <v>761</v>
      </c>
      <c r="DCH115" s="197" t="str">
        <f>VLOOKUP(DCG115,[13]AssetDetails_UEM!$A$3:$AH$1849,6,FALSE)</f>
        <v>Electrosurgical Units, Monopolar/Bipolar</v>
      </c>
      <c r="DCI115" s="196" t="s">
        <v>761</v>
      </c>
      <c r="DCJ115" s="197" t="str">
        <f>VLOOKUP(DCI115,[13]AssetDetails_UEM!$A$3:$AH$1849,6,FALSE)</f>
        <v>Electrosurgical Units, Monopolar/Bipolar</v>
      </c>
      <c r="DCK115" s="196" t="s">
        <v>761</v>
      </c>
      <c r="DCL115" s="197" t="str">
        <f>VLOOKUP(DCK115,[13]AssetDetails_UEM!$A$3:$AH$1849,6,FALSE)</f>
        <v>Electrosurgical Units, Monopolar/Bipolar</v>
      </c>
      <c r="DCM115" s="196" t="s">
        <v>761</v>
      </c>
      <c r="DCN115" s="197" t="str">
        <f>VLOOKUP(DCM115,[13]AssetDetails_UEM!$A$3:$AH$1849,6,FALSE)</f>
        <v>Electrosurgical Units, Monopolar/Bipolar</v>
      </c>
      <c r="DCO115" s="196" t="s">
        <v>761</v>
      </c>
      <c r="DCP115" s="197" t="str">
        <f>VLOOKUP(DCO115,[13]AssetDetails_UEM!$A$3:$AH$1849,6,FALSE)</f>
        <v>Electrosurgical Units, Monopolar/Bipolar</v>
      </c>
      <c r="DCQ115" s="196" t="s">
        <v>761</v>
      </c>
      <c r="DCR115" s="197" t="str">
        <f>VLOOKUP(DCQ115,[13]AssetDetails_UEM!$A$3:$AH$1849,6,FALSE)</f>
        <v>Electrosurgical Units, Monopolar/Bipolar</v>
      </c>
      <c r="DCS115" s="196" t="s">
        <v>761</v>
      </c>
      <c r="DCT115" s="197" t="str">
        <f>VLOOKUP(DCS115,[13]AssetDetails_UEM!$A$3:$AH$1849,6,FALSE)</f>
        <v>Electrosurgical Units, Monopolar/Bipolar</v>
      </c>
      <c r="DCU115" s="196" t="s">
        <v>761</v>
      </c>
      <c r="DCV115" s="197" t="str">
        <f>VLOOKUP(DCU115,[13]AssetDetails_UEM!$A$3:$AH$1849,6,FALSE)</f>
        <v>Electrosurgical Units, Monopolar/Bipolar</v>
      </c>
      <c r="DCW115" s="196" t="s">
        <v>761</v>
      </c>
      <c r="DCX115" s="197" t="str">
        <f>VLOOKUP(DCW115,[13]AssetDetails_UEM!$A$3:$AH$1849,6,FALSE)</f>
        <v>Electrosurgical Units, Monopolar/Bipolar</v>
      </c>
      <c r="DCY115" s="196" t="s">
        <v>761</v>
      </c>
      <c r="DCZ115" s="197" t="str">
        <f>VLOOKUP(DCY115,[13]AssetDetails_UEM!$A$3:$AH$1849,6,FALSE)</f>
        <v>Electrosurgical Units, Monopolar/Bipolar</v>
      </c>
      <c r="DDA115" s="196" t="s">
        <v>761</v>
      </c>
      <c r="DDB115" s="197" t="str">
        <f>VLOOKUP(DDA115,[13]AssetDetails_UEM!$A$3:$AH$1849,6,FALSE)</f>
        <v>Electrosurgical Units, Monopolar/Bipolar</v>
      </c>
      <c r="DDC115" s="196" t="s">
        <v>761</v>
      </c>
      <c r="DDD115" s="197" t="str">
        <f>VLOOKUP(DDC115,[13]AssetDetails_UEM!$A$3:$AH$1849,6,FALSE)</f>
        <v>Electrosurgical Units, Monopolar/Bipolar</v>
      </c>
      <c r="DDE115" s="196" t="s">
        <v>761</v>
      </c>
      <c r="DDF115" s="197" t="str">
        <f>VLOOKUP(DDE115,[13]AssetDetails_UEM!$A$3:$AH$1849,6,FALSE)</f>
        <v>Electrosurgical Units, Monopolar/Bipolar</v>
      </c>
      <c r="DDG115" s="196" t="s">
        <v>761</v>
      </c>
      <c r="DDH115" s="197" t="str">
        <f>VLOOKUP(DDG115,[13]AssetDetails_UEM!$A$3:$AH$1849,6,FALSE)</f>
        <v>Electrosurgical Units, Monopolar/Bipolar</v>
      </c>
      <c r="DDI115" s="196" t="s">
        <v>761</v>
      </c>
      <c r="DDJ115" s="197" t="str">
        <f>VLOOKUP(DDI115,[13]AssetDetails_UEM!$A$3:$AH$1849,6,FALSE)</f>
        <v>Electrosurgical Units, Monopolar/Bipolar</v>
      </c>
      <c r="DDK115" s="196" t="s">
        <v>761</v>
      </c>
      <c r="DDL115" s="197" t="str">
        <f>VLOOKUP(DDK115,[13]AssetDetails_UEM!$A$3:$AH$1849,6,FALSE)</f>
        <v>Electrosurgical Units, Monopolar/Bipolar</v>
      </c>
      <c r="DDM115" s="196" t="s">
        <v>761</v>
      </c>
      <c r="DDN115" s="197" t="str">
        <f>VLOOKUP(DDM115,[13]AssetDetails_UEM!$A$3:$AH$1849,6,FALSE)</f>
        <v>Electrosurgical Units, Monopolar/Bipolar</v>
      </c>
      <c r="DDO115" s="196" t="s">
        <v>761</v>
      </c>
      <c r="DDP115" s="197" t="str">
        <f>VLOOKUP(DDO115,[13]AssetDetails_UEM!$A$3:$AH$1849,6,FALSE)</f>
        <v>Electrosurgical Units, Monopolar/Bipolar</v>
      </c>
      <c r="DDQ115" s="196" t="s">
        <v>761</v>
      </c>
      <c r="DDR115" s="197" t="str">
        <f>VLOOKUP(DDQ115,[13]AssetDetails_UEM!$A$3:$AH$1849,6,FALSE)</f>
        <v>Electrosurgical Units, Monopolar/Bipolar</v>
      </c>
      <c r="DDS115" s="196" t="s">
        <v>761</v>
      </c>
      <c r="DDT115" s="197" t="str">
        <f>VLOOKUP(DDS115,[13]AssetDetails_UEM!$A$3:$AH$1849,6,FALSE)</f>
        <v>Electrosurgical Units, Monopolar/Bipolar</v>
      </c>
      <c r="DDU115" s="196" t="s">
        <v>761</v>
      </c>
      <c r="DDV115" s="197" t="str">
        <f>VLOOKUP(DDU115,[13]AssetDetails_UEM!$A$3:$AH$1849,6,FALSE)</f>
        <v>Electrosurgical Units, Monopolar/Bipolar</v>
      </c>
      <c r="DDW115" s="196" t="s">
        <v>761</v>
      </c>
      <c r="DDX115" s="197" t="str">
        <f>VLOOKUP(DDW115,[13]AssetDetails_UEM!$A$3:$AH$1849,6,FALSE)</f>
        <v>Electrosurgical Units, Monopolar/Bipolar</v>
      </c>
      <c r="DDY115" s="196" t="s">
        <v>761</v>
      </c>
      <c r="DDZ115" s="197" t="str">
        <f>VLOOKUP(DDY115,[13]AssetDetails_UEM!$A$3:$AH$1849,6,FALSE)</f>
        <v>Electrosurgical Units, Monopolar/Bipolar</v>
      </c>
      <c r="DEA115" s="196" t="s">
        <v>761</v>
      </c>
      <c r="DEB115" s="197" t="str">
        <f>VLOOKUP(DEA115,[13]AssetDetails_UEM!$A$3:$AH$1849,6,FALSE)</f>
        <v>Electrosurgical Units, Monopolar/Bipolar</v>
      </c>
      <c r="DEC115" s="196" t="s">
        <v>761</v>
      </c>
      <c r="DED115" s="197" t="str">
        <f>VLOOKUP(DEC115,[13]AssetDetails_UEM!$A$3:$AH$1849,6,FALSE)</f>
        <v>Electrosurgical Units, Monopolar/Bipolar</v>
      </c>
      <c r="DEE115" s="196" t="s">
        <v>761</v>
      </c>
      <c r="DEF115" s="197" t="str">
        <f>VLOOKUP(DEE115,[13]AssetDetails_UEM!$A$3:$AH$1849,6,FALSE)</f>
        <v>Electrosurgical Units, Monopolar/Bipolar</v>
      </c>
      <c r="DEG115" s="196" t="s">
        <v>761</v>
      </c>
      <c r="DEH115" s="197" t="str">
        <f>VLOOKUP(DEG115,[13]AssetDetails_UEM!$A$3:$AH$1849,6,FALSE)</f>
        <v>Electrosurgical Units, Monopolar/Bipolar</v>
      </c>
      <c r="DEI115" s="196" t="s">
        <v>761</v>
      </c>
      <c r="DEJ115" s="197" t="str">
        <f>VLOOKUP(DEI115,[13]AssetDetails_UEM!$A$3:$AH$1849,6,FALSE)</f>
        <v>Electrosurgical Units, Monopolar/Bipolar</v>
      </c>
      <c r="DEK115" s="196" t="s">
        <v>761</v>
      </c>
      <c r="DEL115" s="197" t="str">
        <f>VLOOKUP(DEK115,[13]AssetDetails_UEM!$A$3:$AH$1849,6,FALSE)</f>
        <v>Electrosurgical Units, Monopolar/Bipolar</v>
      </c>
      <c r="DEM115" s="196" t="s">
        <v>761</v>
      </c>
      <c r="DEN115" s="197" t="str">
        <f>VLOOKUP(DEM115,[13]AssetDetails_UEM!$A$3:$AH$1849,6,FALSE)</f>
        <v>Electrosurgical Units, Monopolar/Bipolar</v>
      </c>
      <c r="DEO115" s="196" t="s">
        <v>761</v>
      </c>
      <c r="DEP115" s="197" t="str">
        <f>VLOOKUP(DEO115,[13]AssetDetails_UEM!$A$3:$AH$1849,6,FALSE)</f>
        <v>Electrosurgical Units, Monopolar/Bipolar</v>
      </c>
      <c r="DEQ115" s="196" t="s">
        <v>761</v>
      </c>
      <c r="DER115" s="197" t="str">
        <f>VLOOKUP(DEQ115,[13]AssetDetails_UEM!$A$3:$AH$1849,6,FALSE)</f>
        <v>Electrosurgical Units, Monopolar/Bipolar</v>
      </c>
      <c r="DES115" s="196" t="s">
        <v>761</v>
      </c>
      <c r="DET115" s="197" t="str">
        <f>VLOOKUP(DES115,[13]AssetDetails_UEM!$A$3:$AH$1849,6,FALSE)</f>
        <v>Electrosurgical Units, Monopolar/Bipolar</v>
      </c>
      <c r="DEU115" s="196" t="s">
        <v>761</v>
      </c>
      <c r="DEV115" s="197" t="str">
        <f>VLOOKUP(DEU115,[13]AssetDetails_UEM!$A$3:$AH$1849,6,FALSE)</f>
        <v>Electrosurgical Units, Monopolar/Bipolar</v>
      </c>
      <c r="DEW115" s="196" t="s">
        <v>761</v>
      </c>
      <c r="DEX115" s="197" t="str">
        <f>VLOOKUP(DEW115,[13]AssetDetails_UEM!$A$3:$AH$1849,6,FALSE)</f>
        <v>Electrosurgical Units, Monopolar/Bipolar</v>
      </c>
      <c r="DEY115" s="196" t="s">
        <v>761</v>
      </c>
      <c r="DEZ115" s="197" t="str">
        <f>VLOOKUP(DEY115,[13]AssetDetails_UEM!$A$3:$AH$1849,6,FALSE)</f>
        <v>Electrosurgical Units, Monopolar/Bipolar</v>
      </c>
      <c r="DFA115" s="196" t="s">
        <v>761</v>
      </c>
      <c r="DFB115" s="197" t="str">
        <f>VLOOKUP(DFA115,[13]AssetDetails_UEM!$A$3:$AH$1849,6,FALSE)</f>
        <v>Electrosurgical Units, Monopolar/Bipolar</v>
      </c>
      <c r="DFC115" s="196" t="s">
        <v>761</v>
      </c>
      <c r="DFD115" s="197" t="str">
        <f>VLOOKUP(DFC115,[13]AssetDetails_UEM!$A$3:$AH$1849,6,FALSE)</f>
        <v>Electrosurgical Units, Monopolar/Bipolar</v>
      </c>
      <c r="DFE115" s="196" t="s">
        <v>761</v>
      </c>
      <c r="DFF115" s="197" t="str">
        <f>VLOOKUP(DFE115,[13]AssetDetails_UEM!$A$3:$AH$1849,6,FALSE)</f>
        <v>Electrosurgical Units, Monopolar/Bipolar</v>
      </c>
      <c r="DFG115" s="196" t="s">
        <v>761</v>
      </c>
      <c r="DFH115" s="197" t="str">
        <f>VLOOKUP(DFG115,[13]AssetDetails_UEM!$A$3:$AH$1849,6,FALSE)</f>
        <v>Electrosurgical Units, Monopolar/Bipolar</v>
      </c>
      <c r="DFI115" s="196" t="s">
        <v>761</v>
      </c>
      <c r="DFJ115" s="197" t="str">
        <f>VLOOKUP(DFI115,[13]AssetDetails_UEM!$A$3:$AH$1849,6,FALSE)</f>
        <v>Electrosurgical Units, Monopolar/Bipolar</v>
      </c>
      <c r="DFK115" s="196" t="s">
        <v>761</v>
      </c>
      <c r="DFL115" s="197" t="str">
        <f>VLOOKUP(DFK115,[13]AssetDetails_UEM!$A$3:$AH$1849,6,FALSE)</f>
        <v>Electrosurgical Units, Monopolar/Bipolar</v>
      </c>
      <c r="DFM115" s="196" t="s">
        <v>761</v>
      </c>
      <c r="DFN115" s="197" t="str">
        <f>VLOOKUP(DFM115,[13]AssetDetails_UEM!$A$3:$AH$1849,6,FALSE)</f>
        <v>Electrosurgical Units, Monopolar/Bipolar</v>
      </c>
      <c r="DFO115" s="196" t="s">
        <v>761</v>
      </c>
      <c r="DFP115" s="197" t="str">
        <f>VLOOKUP(DFO115,[13]AssetDetails_UEM!$A$3:$AH$1849,6,FALSE)</f>
        <v>Electrosurgical Units, Monopolar/Bipolar</v>
      </c>
      <c r="DFQ115" s="196" t="s">
        <v>761</v>
      </c>
      <c r="DFR115" s="197" t="str">
        <f>VLOOKUP(DFQ115,[13]AssetDetails_UEM!$A$3:$AH$1849,6,FALSE)</f>
        <v>Electrosurgical Units, Monopolar/Bipolar</v>
      </c>
      <c r="DFS115" s="196" t="s">
        <v>761</v>
      </c>
      <c r="DFT115" s="197" t="str">
        <f>VLOOKUP(DFS115,[13]AssetDetails_UEM!$A$3:$AH$1849,6,FALSE)</f>
        <v>Electrosurgical Units, Monopolar/Bipolar</v>
      </c>
      <c r="DFU115" s="196" t="s">
        <v>761</v>
      </c>
      <c r="DFV115" s="197" t="str">
        <f>VLOOKUP(DFU115,[13]AssetDetails_UEM!$A$3:$AH$1849,6,FALSE)</f>
        <v>Electrosurgical Units, Monopolar/Bipolar</v>
      </c>
      <c r="DFW115" s="196" t="s">
        <v>761</v>
      </c>
      <c r="DFX115" s="197" t="str">
        <f>VLOOKUP(DFW115,[13]AssetDetails_UEM!$A$3:$AH$1849,6,FALSE)</f>
        <v>Electrosurgical Units, Monopolar/Bipolar</v>
      </c>
      <c r="DFY115" s="196" t="s">
        <v>761</v>
      </c>
      <c r="DFZ115" s="197" t="str">
        <f>VLOOKUP(DFY115,[13]AssetDetails_UEM!$A$3:$AH$1849,6,FALSE)</f>
        <v>Electrosurgical Units, Monopolar/Bipolar</v>
      </c>
      <c r="DGA115" s="196" t="s">
        <v>761</v>
      </c>
      <c r="DGB115" s="197" t="str">
        <f>VLOOKUP(DGA115,[13]AssetDetails_UEM!$A$3:$AH$1849,6,FALSE)</f>
        <v>Electrosurgical Units, Monopolar/Bipolar</v>
      </c>
      <c r="DGC115" s="196" t="s">
        <v>761</v>
      </c>
      <c r="DGD115" s="197" t="str">
        <f>VLOOKUP(DGC115,[13]AssetDetails_UEM!$A$3:$AH$1849,6,FALSE)</f>
        <v>Electrosurgical Units, Monopolar/Bipolar</v>
      </c>
      <c r="DGE115" s="196" t="s">
        <v>761</v>
      </c>
      <c r="DGF115" s="197" t="str">
        <f>VLOOKUP(DGE115,[13]AssetDetails_UEM!$A$3:$AH$1849,6,FALSE)</f>
        <v>Electrosurgical Units, Monopolar/Bipolar</v>
      </c>
      <c r="DGG115" s="196" t="s">
        <v>761</v>
      </c>
      <c r="DGH115" s="197" t="str">
        <f>VLOOKUP(DGG115,[13]AssetDetails_UEM!$A$3:$AH$1849,6,FALSE)</f>
        <v>Electrosurgical Units, Monopolar/Bipolar</v>
      </c>
      <c r="DGI115" s="196" t="s">
        <v>761</v>
      </c>
      <c r="DGJ115" s="197" t="str">
        <f>VLOOKUP(DGI115,[13]AssetDetails_UEM!$A$3:$AH$1849,6,FALSE)</f>
        <v>Electrosurgical Units, Monopolar/Bipolar</v>
      </c>
      <c r="DGK115" s="196" t="s">
        <v>761</v>
      </c>
      <c r="DGL115" s="197" t="str">
        <f>VLOOKUP(DGK115,[13]AssetDetails_UEM!$A$3:$AH$1849,6,FALSE)</f>
        <v>Electrosurgical Units, Monopolar/Bipolar</v>
      </c>
      <c r="DGM115" s="196" t="s">
        <v>761</v>
      </c>
      <c r="DGN115" s="197" t="str">
        <f>VLOOKUP(DGM115,[13]AssetDetails_UEM!$A$3:$AH$1849,6,FALSE)</f>
        <v>Electrosurgical Units, Monopolar/Bipolar</v>
      </c>
      <c r="DGO115" s="196" t="s">
        <v>761</v>
      </c>
      <c r="DGP115" s="197" t="str">
        <f>VLOOKUP(DGO115,[13]AssetDetails_UEM!$A$3:$AH$1849,6,FALSE)</f>
        <v>Electrosurgical Units, Monopolar/Bipolar</v>
      </c>
      <c r="DGQ115" s="196" t="s">
        <v>761</v>
      </c>
      <c r="DGR115" s="197" t="str">
        <f>VLOOKUP(DGQ115,[13]AssetDetails_UEM!$A$3:$AH$1849,6,FALSE)</f>
        <v>Electrosurgical Units, Monopolar/Bipolar</v>
      </c>
      <c r="DGS115" s="196" t="s">
        <v>761</v>
      </c>
      <c r="DGT115" s="197" t="str">
        <f>VLOOKUP(DGS115,[13]AssetDetails_UEM!$A$3:$AH$1849,6,FALSE)</f>
        <v>Electrosurgical Units, Monopolar/Bipolar</v>
      </c>
      <c r="DGU115" s="196" t="s">
        <v>761</v>
      </c>
      <c r="DGV115" s="197" t="str">
        <f>VLOOKUP(DGU115,[13]AssetDetails_UEM!$A$3:$AH$1849,6,FALSE)</f>
        <v>Electrosurgical Units, Monopolar/Bipolar</v>
      </c>
      <c r="DGW115" s="196" t="s">
        <v>761</v>
      </c>
      <c r="DGX115" s="197" t="str">
        <f>VLOOKUP(DGW115,[13]AssetDetails_UEM!$A$3:$AH$1849,6,FALSE)</f>
        <v>Electrosurgical Units, Monopolar/Bipolar</v>
      </c>
      <c r="DGY115" s="196" t="s">
        <v>761</v>
      </c>
      <c r="DGZ115" s="197" t="str">
        <f>VLOOKUP(DGY115,[13]AssetDetails_UEM!$A$3:$AH$1849,6,FALSE)</f>
        <v>Electrosurgical Units, Monopolar/Bipolar</v>
      </c>
      <c r="DHA115" s="196" t="s">
        <v>761</v>
      </c>
      <c r="DHB115" s="197" t="str">
        <f>VLOOKUP(DHA115,[13]AssetDetails_UEM!$A$3:$AH$1849,6,FALSE)</f>
        <v>Electrosurgical Units, Monopolar/Bipolar</v>
      </c>
      <c r="DHC115" s="196" t="s">
        <v>761</v>
      </c>
      <c r="DHD115" s="197" t="str">
        <f>VLOOKUP(DHC115,[13]AssetDetails_UEM!$A$3:$AH$1849,6,FALSE)</f>
        <v>Electrosurgical Units, Monopolar/Bipolar</v>
      </c>
      <c r="DHE115" s="196" t="s">
        <v>761</v>
      </c>
      <c r="DHF115" s="197" t="str">
        <f>VLOOKUP(DHE115,[13]AssetDetails_UEM!$A$3:$AH$1849,6,FALSE)</f>
        <v>Electrosurgical Units, Monopolar/Bipolar</v>
      </c>
      <c r="DHG115" s="196" t="s">
        <v>761</v>
      </c>
      <c r="DHH115" s="197" t="str">
        <f>VLOOKUP(DHG115,[13]AssetDetails_UEM!$A$3:$AH$1849,6,FALSE)</f>
        <v>Electrosurgical Units, Monopolar/Bipolar</v>
      </c>
      <c r="DHI115" s="196" t="s">
        <v>761</v>
      </c>
      <c r="DHJ115" s="197" t="str">
        <f>VLOOKUP(DHI115,[13]AssetDetails_UEM!$A$3:$AH$1849,6,FALSE)</f>
        <v>Electrosurgical Units, Monopolar/Bipolar</v>
      </c>
      <c r="DHK115" s="196" t="s">
        <v>761</v>
      </c>
      <c r="DHL115" s="197" t="str">
        <f>VLOOKUP(DHK115,[13]AssetDetails_UEM!$A$3:$AH$1849,6,FALSE)</f>
        <v>Electrosurgical Units, Monopolar/Bipolar</v>
      </c>
      <c r="DHM115" s="196" t="s">
        <v>761</v>
      </c>
      <c r="DHN115" s="197" t="str">
        <f>VLOOKUP(DHM115,[13]AssetDetails_UEM!$A$3:$AH$1849,6,FALSE)</f>
        <v>Electrosurgical Units, Monopolar/Bipolar</v>
      </c>
      <c r="DHO115" s="196" t="s">
        <v>761</v>
      </c>
      <c r="DHP115" s="197" t="str">
        <f>VLOOKUP(DHO115,[13]AssetDetails_UEM!$A$3:$AH$1849,6,FALSE)</f>
        <v>Electrosurgical Units, Monopolar/Bipolar</v>
      </c>
      <c r="DHQ115" s="196" t="s">
        <v>761</v>
      </c>
      <c r="DHR115" s="197" t="str">
        <f>VLOOKUP(DHQ115,[13]AssetDetails_UEM!$A$3:$AH$1849,6,FALSE)</f>
        <v>Electrosurgical Units, Monopolar/Bipolar</v>
      </c>
      <c r="DHS115" s="196" t="s">
        <v>761</v>
      </c>
      <c r="DHT115" s="197" t="str">
        <f>VLOOKUP(DHS115,[13]AssetDetails_UEM!$A$3:$AH$1849,6,FALSE)</f>
        <v>Electrosurgical Units, Monopolar/Bipolar</v>
      </c>
      <c r="DHU115" s="196" t="s">
        <v>761</v>
      </c>
      <c r="DHV115" s="197" t="str">
        <f>VLOOKUP(DHU115,[13]AssetDetails_UEM!$A$3:$AH$1849,6,FALSE)</f>
        <v>Electrosurgical Units, Monopolar/Bipolar</v>
      </c>
      <c r="DHW115" s="196" t="s">
        <v>761</v>
      </c>
      <c r="DHX115" s="197" t="str">
        <f>VLOOKUP(DHW115,[13]AssetDetails_UEM!$A$3:$AH$1849,6,FALSE)</f>
        <v>Electrosurgical Units, Monopolar/Bipolar</v>
      </c>
      <c r="DHY115" s="196" t="s">
        <v>761</v>
      </c>
      <c r="DHZ115" s="197" t="str">
        <f>VLOOKUP(DHY115,[13]AssetDetails_UEM!$A$3:$AH$1849,6,FALSE)</f>
        <v>Electrosurgical Units, Monopolar/Bipolar</v>
      </c>
      <c r="DIA115" s="196" t="s">
        <v>761</v>
      </c>
      <c r="DIB115" s="197" t="str">
        <f>VLOOKUP(DIA115,[13]AssetDetails_UEM!$A$3:$AH$1849,6,FALSE)</f>
        <v>Electrosurgical Units, Monopolar/Bipolar</v>
      </c>
      <c r="DIC115" s="196" t="s">
        <v>761</v>
      </c>
      <c r="DID115" s="197" t="str">
        <f>VLOOKUP(DIC115,[13]AssetDetails_UEM!$A$3:$AH$1849,6,FALSE)</f>
        <v>Electrosurgical Units, Monopolar/Bipolar</v>
      </c>
      <c r="DIE115" s="196" t="s">
        <v>761</v>
      </c>
      <c r="DIF115" s="197" t="str">
        <f>VLOOKUP(DIE115,[13]AssetDetails_UEM!$A$3:$AH$1849,6,FALSE)</f>
        <v>Electrosurgical Units, Monopolar/Bipolar</v>
      </c>
      <c r="DIG115" s="196" t="s">
        <v>761</v>
      </c>
      <c r="DIH115" s="197" t="str">
        <f>VLOOKUP(DIG115,[13]AssetDetails_UEM!$A$3:$AH$1849,6,FALSE)</f>
        <v>Electrosurgical Units, Monopolar/Bipolar</v>
      </c>
      <c r="DII115" s="196" t="s">
        <v>761</v>
      </c>
      <c r="DIJ115" s="197" t="str">
        <f>VLOOKUP(DII115,[13]AssetDetails_UEM!$A$3:$AH$1849,6,FALSE)</f>
        <v>Electrosurgical Units, Monopolar/Bipolar</v>
      </c>
      <c r="DIK115" s="196" t="s">
        <v>761</v>
      </c>
      <c r="DIL115" s="197" t="str">
        <f>VLOOKUP(DIK115,[13]AssetDetails_UEM!$A$3:$AH$1849,6,FALSE)</f>
        <v>Electrosurgical Units, Monopolar/Bipolar</v>
      </c>
      <c r="DIM115" s="196" t="s">
        <v>761</v>
      </c>
      <c r="DIN115" s="197" t="str">
        <f>VLOOKUP(DIM115,[13]AssetDetails_UEM!$A$3:$AH$1849,6,FALSE)</f>
        <v>Electrosurgical Units, Monopolar/Bipolar</v>
      </c>
      <c r="DIO115" s="196" t="s">
        <v>761</v>
      </c>
      <c r="DIP115" s="197" t="str">
        <f>VLOOKUP(DIO115,[13]AssetDetails_UEM!$A$3:$AH$1849,6,FALSE)</f>
        <v>Electrosurgical Units, Monopolar/Bipolar</v>
      </c>
      <c r="DIQ115" s="196" t="s">
        <v>761</v>
      </c>
      <c r="DIR115" s="197" t="str">
        <f>VLOOKUP(DIQ115,[13]AssetDetails_UEM!$A$3:$AH$1849,6,FALSE)</f>
        <v>Electrosurgical Units, Monopolar/Bipolar</v>
      </c>
      <c r="DIS115" s="196" t="s">
        <v>761</v>
      </c>
      <c r="DIT115" s="197" t="str">
        <f>VLOOKUP(DIS115,[13]AssetDetails_UEM!$A$3:$AH$1849,6,FALSE)</f>
        <v>Electrosurgical Units, Monopolar/Bipolar</v>
      </c>
      <c r="DIU115" s="196" t="s">
        <v>761</v>
      </c>
      <c r="DIV115" s="197" t="str">
        <f>VLOOKUP(DIU115,[13]AssetDetails_UEM!$A$3:$AH$1849,6,FALSE)</f>
        <v>Electrosurgical Units, Monopolar/Bipolar</v>
      </c>
      <c r="DIW115" s="196" t="s">
        <v>761</v>
      </c>
      <c r="DIX115" s="197" t="str">
        <f>VLOOKUP(DIW115,[13]AssetDetails_UEM!$A$3:$AH$1849,6,FALSE)</f>
        <v>Electrosurgical Units, Monopolar/Bipolar</v>
      </c>
      <c r="DIY115" s="196" t="s">
        <v>761</v>
      </c>
      <c r="DIZ115" s="197" t="str">
        <f>VLOOKUP(DIY115,[13]AssetDetails_UEM!$A$3:$AH$1849,6,FALSE)</f>
        <v>Electrosurgical Units, Monopolar/Bipolar</v>
      </c>
      <c r="DJA115" s="196" t="s">
        <v>761</v>
      </c>
      <c r="DJB115" s="197" t="str">
        <f>VLOOKUP(DJA115,[13]AssetDetails_UEM!$A$3:$AH$1849,6,FALSE)</f>
        <v>Electrosurgical Units, Monopolar/Bipolar</v>
      </c>
      <c r="DJC115" s="196" t="s">
        <v>761</v>
      </c>
      <c r="DJD115" s="197" t="str">
        <f>VLOOKUP(DJC115,[13]AssetDetails_UEM!$A$3:$AH$1849,6,FALSE)</f>
        <v>Electrosurgical Units, Monopolar/Bipolar</v>
      </c>
      <c r="DJE115" s="196" t="s">
        <v>761</v>
      </c>
      <c r="DJF115" s="197" t="str">
        <f>VLOOKUP(DJE115,[13]AssetDetails_UEM!$A$3:$AH$1849,6,FALSE)</f>
        <v>Electrosurgical Units, Monopolar/Bipolar</v>
      </c>
      <c r="DJG115" s="196" t="s">
        <v>761</v>
      </c>
      <c r="DJH115" s="197" t="str">
        <f>VLOOKUP(DJG115,[13]AssetDetails_UEM!$A$3:$AH$1849,6,FALSE)</f>
        <v>Electrosurgical Units, Monopolar/Bipolar</v>
      </c>
      <c r="DJI115" s="196" t="s">
        <v>761</v>
      </c>
      <c r="DJJ115" s="197" t="str">
        <f>VLOOKUP(DJI115,[13]AssetDetails_UEM!$A$3:$AH$1849,6,FALSE)</f>
        <v>Electrosurgical Units, Monopolar/Bipolar</v>
      </c>
      <c r="DJK115" s="196" t="s">
        <v>761</v>
      </c>
      <c r="DJL115" s="197" t="str">
        <f>VLOOKUP(DJK115,[13]AssetDetails_UEM!$A$3:$AH$1849,6,FALSE)</f>
        <v>Electrosurgical Units, Monopolar/Bipolar</v>
      </c>
      <c r="DJM115" s="196" t="s">
        <v>761</v>
      </c>
      <c r="DJN115" s="197" t="str">
        <f>VLOOKUP(DJM115,[13]AssetDetails_UEM!$A$3:$AH$1849,6,FALSE)</f>
        <v>Electrosurgical Units, Monopolar/Bipolar</v>
      </c>
      <c r="DJO115" s="196" t="s">
        <v>761</v>
      </c>
      <c r="DJP115" s="197" t="str">
        <f>VLOOKUP(DJO115,[13]AssetDetails_UEM!$A$3:$AH$1849,6,FALSE)</f>
        <v>Electrosurgical Units, Monopolar/Bipolar</v>
      </c>
      <c r="DJQ115" s="196" t="s">
        <v>761</v>
      </c>
      <c r="DJR115" s="197" t="str">
        <f>VLOOKUP(DJQ115,[13]AssetDetails_UEM!$A$3:$AH$1849,6,FALSE)</f>
        <v>Electrosurgical Units, Monopolar/Bipolar</v>
      </c>
      <c r="DJS115" s="196" t="s">
        <v>761</v>
      </c>
      <c r="DJT115" s="197" t="str">
        <f>VLOOKUP(DJS115,[13]AssetDetails_UEM!$A$3:$AH$1849,6,FALSE)</f>
        <v>Electrosurgical Units, Monopolar/Bipolar</v>
      </c>
      <c r="DJU115" s="196" t="s">
        <v>761</v>
      </c>
      <c r="DJV115" s="197" t="str">
        <f>VLOOKUP(DJU115,[13]AssetDetails_UEM!$A$3:$AH$1849,6,FALSE)</f>
        <v>Electrosurgical Units, Monopolar/Bipolar</v>
      </c>
      <c r="DJW115" s="196" t="s">
        <v>761</v>
      </c>
      <c r="DJX115" s="197" t="str">
        <f>VLOOKUP(DJW115,[13]AssetDetails_UEM!$A$3:$AH$1849,6,FALSE)</f>
        <v>Electrosurgical Units, Monopolar/Bipolar</v>
      </c>
      <c r="DJY115" s="196" t="s">
        <v>761</v>
      </c>
      <c r="DJZ115" s="197" t="str">
        <f>VLOOKUP(DJY115,[13]AssetDetails_UEM!$A$3:$AH$1849,6,FALSE)</f>
        <v>Electrosurgical Units, Monopolar/Bipolar</v>
      </c>
      <c r="DKA115" s="196" t="s">
        <v>761</v>
      </c>
      <c r="DKB115" s="197" t="str">
        <f>VLOOKUP(DKA115,[13]AssetDetails_UEM!$A$3:$AH$1849,6,FALSE)</f>
        <v>Electrosurgical Units, Monopolar/Bipolar</v>
      </c>
      <c r="DKC115" s="196" t="s">
        <v>761</v>
      </c>
      <c r="DKD115" s="197" t="str">
        <f>VLOOKUP(DKC115,[13]AssetDetails_UEM!$A$3:$AH$1849,6,FALSE)</f>
        <v>Electrosurgical Units, Monopolar/Bipolar</v>
      </c>
      <c r="DKE115" s="196" t="s">
        <v>761</v>
      </c>
      <c r="DKF115" s="197" t="str">
        <f>VLOOKUP(DKE115,[13]AssetDetails_UEM!$A$3:$AH$1849,6,FALSE)</f>
        <v>Electrosurgical Units, Monopolar/Bipolar</v>
      </c>
      <c r="DKG115" s="196" t="s">
        <v>761</v>
      </c>
      <c r="DKH115" s="197" t="str">
        <f>VLOOKUP(DKG115,[13]AssetDetails_UEM!$A$3:$AH$1849,6,FALSE)</f>
        <v>Electrosurgical Units, Monopolar/Bipolar</v>
      </c>
      <c r="DKI115" s="196" t="s">
        <v>761</v>
      </c>
      <c r="DKJ115" s="197" t="str">
        <f>VLOOKUP(DKI115,[13]AssetDetails_UEM!$A$3:$AH$1849,6,FALSE)</f>
        <v>Electrosurgical Units, Monopolar/Bipolar</v>
      </c>
      <c r="DKK115" s="196" t="s">
        <v>761</v>
      </c>
      <c r="DKL115" s="197" t="str">
        <f>VLOOKUP(DKK115,[13]AssetDetails_UEM!$A$3:$AH$1849,6,FALSE)</f>
        <v>Electrosurgical Units, Monopolar/Bipolar</v>
      </c>
      <c r="DKM115" s="196" t="s">
        <v>761</v>
      </c>
      <c r="DKN115" s="197" t="str">
        <f>VLOOKUP(DKM115,[13]AssetDetails_UEM!$A$3:$AH$1849,6,FALSE)</f>
        <v>Electrosurgical Units, Monopolar/Bipolar</v>
      </c>
      <c r="DKO115" s="196" t="s">
        <v>761</v>
      </c>
      <c r="DKP115" s="197" t="str">
        <f>VLOOKUP(DKO115,[13]AssetDetails_UEM!$A$3:$AH$1849,6,FALSE)</f>
        <v>Electrosurgical Units, Monopolar/Bipolar</v>
      </c>
      <c r="DKQ115" s="196" t="s">
        <v>761</v>
      </c>
      <c r="DKR115" s="197" t="str">
        <f>VLOOKUP(DKQ115,[13]AssetDetails_UEM!$A$3:$AH$1849,6,FALSE)</f>
        <v>Electrosurgical Units, Monopolar/Bipolar</v>
      </c>
      <c r="DKS115" s="196" t="s">
        <v>761</v>
      </c>
      <c r="DKT115" s="197" t="str">
        <f>VLOOKUP(DKS115,[13]AssetDetails_UEM!$A$3:$AH$1849,6,FALSE)</f>
        <v>Electrosurgical Units, Monopolar/Bipolar</v>
      </c>
      <c r="DKU115" s="196" t="s">
        <v>761</v>
      </c>
      <c r="DKV115" s="197" t="str">
        <f>VLOOKUP(DKU115,[13]AssetDetails_UEM!$A$3:$AH$1849,6,FALSE)</f>
        <v>Electrosurgical Units, Monopolar/Bipolar</v>
      </c>
      <c r="DKW115" s="196" t="s">
        <v>761</v>
      </c>
      <c r="DKX115" s="197" t="str">
        <f>VLOOKUP(DKW115,[13]AssetDetails_UEM!$A$3:$AH$1849,6,FALSE)</f>
        <v>Electrosurgical Units, Monopolar/Bipolar</v>
      </c>
      <c r="DKY115" s="196" t="s">
        <v>761</v>
      </c>
      <c r="DKZ115" s="197" t="str">
        <f>VLOOKUP(DKY115,[13]AssetDetails_UEM!$A$3:$AH$1849,6,FALSE)</f>
        <v>Electrosurgical Units, Monopolar/Bipolar</v>
      </c>
      <c r="DLA115" s="196" t="s">
        <v>761</v>
      </c>
      <c r="DLB115" s="197" t="str">
        <f>VLOOKUP(DLA115,[13]AssetDetails_UEM!$A$3:$AH$1849,6,FALSE)</f>
        <v>Electrosurgical Units, Monopolar/Bipolar</v>
      </c>
      <c r="DLC115" s="196" t="s">
        <v>761</v>
      </c>
      <c r="DLD115" s="197" t="str">
        <f>VLOOKUP(DLC115,[13]AssetDetails_UEM!$A$3:$AH$1849,6,FALSE)</f>
        <v>Electrosurgical Units, Monopolar/Bipolar</v>
      </c>
      <c r="DLE115" s="196" t="s">
        <v>761</v>
      </c>
      <c r="DLF115" s="197" t="str">
        <f>VLOOKUP(DLE115,[13]AssetDetails_UEM!$A$3:$AH$1849,6,FALSE)</f>
        <v>Electrosurgical Units, Monopolar/Bipolar</v>
      </c>
      <c r="DLG115" s="196" t="s">
        <v>761</v>
      </c>
      <c r="DLH115" s="197" t="str">
        <f>VLOOKUP(DLG115,[13]AssetDetails_UEM!$A$3:$AH$1849,6,FALSE)</f>
        <v>Electrosurgical Units, Monopolar/Bipolar</v>
      </c>
      <c r="DLI115" s="196" t="s">
        <v>761</v>
      </c>
      <c r="DLJ115" s="197" t="str">
        <f>VLOOKUP(DLI115,[13]AssetDetails_UEM!$A$3:$AH$1849,6,FALSE)</f>
        <v>Electrosurgical Units, Monopolar/Bipolar</v>
      </c>
      <c r="DLK115" s="196" t="s">
        <v>761</v>
      </c>
      <c r="DLL115" s="197" t="str">
        <f>VLOOKUP(DLK115,[13]AssetDetails_UEM!$A$3:$AH$1849,6,FALSE)</f>
        <v>Electrosurgical Units, Monopolar/Bipolar</v>
      </c>
      <c r="DLM115" s="196" t="s">
        <v>761</v>
      </c>
      <c r="DLN115" s="197" t="str">
        <f>VLOOKUP(DLM115,[13]AssetDetails_UEM!$A$3:$AH$1849,6,FALSE)</f>
        <v>Electrosurgical Units, Monopolar/Bipolar</v>
      </c>
      <c r="DLO115" s="196" t="s">
        <v>761</v>
      </c>
      <c r="DLP115" s="197" t="str">
        <f>VLOOKUP(DLO115,[13]AssetDetails_UEM!$A$3:$AH$1849,6,FALSE)</f>
        <v>Electrosurgical Units, Monopolar/Bipolar</v>
      </c>
      <c r="DLQ115" s="196" t="s">
        <v>761</v>
      </c>
      <c r="DLR115" s="197" t="str">
        <f>VLOOKUP(DLQ115,[13]AssetDetails_UEM!$A$3:$AH$1849,6,FALSE)</f>
        <v>Electrosurgical Units, Monopolar/Bipolar</v>
      </c>
      <c r="DLS115" s="196" t="s">
        <v>761</v>
      </c>
      <c r="DLT115" s="197" t="str">
        <f>VLOOKUP(DLS115,[13]AssetDetails_UEM!$A$3:$AH$1849,6,FALSE)</f>
        <v>Electrosurgical Units, Monopolar/Bipolar</v>
      </c>
      <c r="DLU115" s="196" t="s">
        <v>761</v>
      </c>
      <c r="DLV115" s="197" t="str">
        <f>VLOOKUP(DLU115,[13]AssetDetails_UEM!$A$3:$AH$1849,6,FALSE)</f>
        <v>Electrosurgical Units, Monopolar/Bipolar</v>
      </c>
      <c r="DLW115" s="196" t="s">
        <v>761</v>
      </c>
      <c r="DLX115" s="197" t="str">
        <f>VLOOKUP(DLW115,[13]AssetDetails_UEM!$A$3:$AH$1849,6,FALSE)</f>
        <v>Electrosurgical Units, Monopolar/Bipolar</v>
      </c>
      <c r="DLY115" s="196" t="s">
        <v>761</v>
      </c>
      <c r="DLZ115" s="197" t="str">
        <f>VLOOKUP(DLY115,[13]AssetDetails_UEM!$A$3:$AH$1849,6,FALSE)</f>
        <v>Electrosurgical Units, Monopolar/Bipolar</v>
      </c>
      <c r="DMA115" s="196" t="s">
        <v>761</v>
      </c>
      <c r="DMB115" s="197" t="str">
        <f>VLOOKUP(DMA115,[13]AssetDetails_UEM!$A$3:$AH$1849,6,FALSE)</f>
        <v>Electrosurgical Units, Monopolar/Bipolar</v>
      </c>
      <c r="DMC115" s="196" t="s">
        <v>761</v>
      </c>
      <c r="DMD115" s="197" t="str">
        <f>VLOOKUP(DMC115,[13]AssetDetails_UEM!$A$3:$AH$1849,6,FALSE)</f>
        <v>Electrosurgical Units, Monopolar/Bipolar</v>
      </c>
      <c r="DME115" s="196" t="s">
        <v>761</v>
      </c>
      <c r="DMF115" s="197" t="str">
        <f>VLOOKUP(DME115,[13]AssetDetails_UEM!$A$3:$AH$1849,6,FALSE)</f>
        <v>Electrosurgical Units, Monopolar/Bipolar</v>
      </c>
      <c r="DMG115" s="196" t="s">
        <v>761</v>
      </c>
      <c r="DMH115" s="197" t="str">
        <f>VLOOKUP(DMG115,[13]AssetDetails_UEM!$A$3:$AH$1849,6,FALSE)</f>
        <v>Electrosurgical Units, Monopolar/Bipolar</v>
      </c>
      <c r="DMI115" s="196" t="s">
        <v>761</v>
      </c>
      <c r="DMJ115" s="197" t="str">
        <f>VLOOKUP(DMI115,[13]AssetDetails_UEM!$A$3:$AH$1849,6,FALSE)</f>
        <v>Electrosurgical Units, Monopolar/Bipolar</v>
      </c>
      <c r="DMK115" s="196" t="s">
        <v>761</v>
      </c>
      <c r="DML115" s="197" t="str">
        <f>VLOOKUP(DMK115,[13]AssetDetails_UEM!$A$3:$AH$1849,6,FALSE)</f>
        <v>Electrosurgical Units, Monopolar/Bipolar</v>
      </c>
      <c r="DMM115" s="196" t="s">
        <v>761</v>
      </c>
      <c r="DMN115" s="197" t="str">
        <f>VLOOKUP(DMM115,[13]AssetDetails_UEM!$A$3:$AH$1849,6,FALSE)</f>
        <v>Electrosurgical Units, Monopolar/Bipolar</v>
      </c>
      <c r="DMO115" s="196" t="s">
        <v>761</v>
      </c>
      <c r="DMP115" s="197" t="str">
        <f>VLOOKUP(DMO115,[13]AssetDetails_UEM!$A$3:$AH$1849,6,FALSE)</f>
        <v>Electrosurgical Units, Monopolar/Bipolar</v>
      </c>
      <c r="DMQ115" s="196" t="s">
        <v>761</v>
      </c>
      <c r="DMR115" s="197" t="str">
        <f>VLOOKUP(DMQ115,[13]AssetDetails_UEM!$A$3:$AH$1849,6,FALSE)</f>
        <v>Electrosurgical Units, Monopolar/Bipolar</v>
      </c>
      <c r="DMS115" s="196" t="s">
        <v>761</v>
      </c>
      <c r="DMT115" s="197" t="str">
        <f>VLOOKUP(DMS115,[13]AssetDetails_UEM!$A$3:$AH$1849,6,FALSE)</f>
        <v>Electrosurgical Units, Monopolar/Bipolar</v>
      </c>
      <c r="DMU115" s="196" t="s">
        <v>761</v>
      </c>
      <c r="DMV115" s="197" t="str">
        <f>VLOOKUP(DMU115,[13]AssetDetails_UEM!$A$3:$AH$1849,6,FALSE)</f>
        <v>Electrosurgical Units, Monopolar/Bipolar</v>
      </c>
      <c r="DMW115" s="196" t="s">
        <v>761</v>
      </c>
      <c r="DMX115" s="197" t="str">
        <f>VLOOKUP(DMW115,[13]AssetDetails_UEM!$A$3:$AH$1849,6,FALSE)</f>
        <v>Electrosurgical Units, Monopolar/Bipolar</v>
      </c>
      <c r="DMY115" s="196" t="s">
        <v>761</v>
      </c>
      <c r="DMZ115" s="197" t="str">
        <f>VLOOKUP(DMY115,[13]AssetDetails_UEM!$A$3:$AH$1849,6,FALSE)</f>
        <v>Electrosurgical Units, Monopolar/Bipolar</v>
      </c>
      <c r="DNA115" s="196" t="s">
        <v>761</v>
      </c>
      <c r="DNB115" s="197" t="str">
        <f>VLOOKUP(DNA115,[13]AssetDetails_UEM!$A$3:$AH$1849,6,FALSE)</f>
        <v>Electrosurgical Units, Monopolar/Bipolar</v>
      </c>
      <c r="DNC115" s="196" t="s">
        <v>761</v>
      </c>
      <c r="DND115" s="197" t="str">
        <f>VLOOKUP(DNC115,[13]AssetDetails_UEM!$A$3:$AH$1849,6,FALSE)</f>
        <v>Electrosurgical Units, Monopolar/Bipolar</v>
      </c>
      <c r="DNE115" s="196" t="s">
        <v>761</v>
      </c>
      <c r="DNF115" s="197" t="str">
        <f>VLOOKUP(DNE115,[13]AssetDetails_UEM!$A$3:$AH$1849,6,FALSE)</f>
        <v>Electrosurgical Units, Monopolar/Bipolar</v>
      </c>
      <c r="DNG115" s="196" t="s">
        <v>761</v>
      </c>
      <c r="DNH115" s="197" t="str">
        <f>VLOOKUP(DNG115,[13]AssetDetails_UEM!$A$3:$AH$1849,6,FALSE)</f>
        <v>Electrosurgical Units, Monopolar/Bipolar</v>
      </c>
      <c r="DNI115" s="196" t="s">
        <v>761</v>
      </c>
      <c r="DNJ115" s="197" t="str">
        <f>VLOOKUP(DNI115,[13]AssetDetails_UEM!$A$3:$AH$1849,6,FALSE)</f>
        <v>Electrosurgical Units, Monopolar/Bipolar</v>
      </c>
      <c r="DNK115" s="196" t="s">
        <v>761</v>
      </c>
      <c r="DNL115" s="197" t="str">
        <f>VLOOKUP(DNK115,[13]AssetDetails_UEM!$A$3:$AH$1849,6,FALSE)</f>
        <v>Electrosurgical Units, Monopolar/Bipolar</v>
      </c>
      <c r="DNM115" s="196" t="s">
        <v>761</v>
      </c>
      <c r="DNN115" s="197" t="str">
        <f>VLOOKUP(DNM115,[13]AssetDetails_UEM!$A$3:$AH$1849,6,FALSE)</f>
        <v>Electrosurgical Units, Monopolar/Bipolar</v>
      </c>
      <c r="DNO115" s="196" t="s">
        <v>761</v>
      </c>
      <c r="DNP115" s="197" t="str">
        <f>VLOOKUP(DNO115,[13]AssetDetails_UEM!$A$3:$AH$1849,6,FALSE)</f>
        <v>Electrosurgical Units, Monopolar/Bipolar</v>
      </c>
      <c r="DNQ115" s="196" t="s">
        <v>761</v>
      </c>
      <c r="DNR115" s="197" t="str">
        <f>VLOOKUP(DNQ115,[13]AssetDetails_UEM!$A$3:$AH$1849,6,FALSE)</f>
        <v>Electrosurgical Units, Monopolar/Bipolar</v>
      </c>
      <c r="DNS115" s="196" t="s">
        <v>761</v>
      </c>
      <c r="DNT115" s="197" t="str">
        <f>VLOOKUP(DNS115,[13]AssetDetails_UEM!$A$3:$AH$1849,6,FALSE)</f>
        <v>Electrosurgical Units, Monopolar/Bipolar</v>
      </c>
      <c r="DNU115" s="196" t="s">
        <v>761</v>
      </c>
      <c r="DNV115" s="197" t="str">
        <f>VLOOKUP(DNU115,[13]AssetDetails_UEM!$A$3:$AH$1849,6,FALSE)</f>
        <v>Electrosurgical Units, Monopolar/Bipolar</v>
      </c>
      <c r="DNW115" s="196" t="s">
        <v>761</v>
      </c>
      <c r="DNX115" s="197" t="str">
        <f>VLOOKUP(DNW115,[13]AssetDetails_UEM!$A$3:$AH$1849,6,FALSE)</f>
        <v>Electrosurgical Units, Monopolar/Bipolar</v>
      </c>
      <c r="DNY115" s="196" t="s">
        <v>761</v>
      </c>
      <c r="DNZ115" s="197" t="str">
        <f>VLOOKUP(DNY115,[13]AssetDetails_UEM!$A$3:$AH$1849,6,FALSE)</f>
        <v>Electrosurgical Units, Monopolar/Bipolar</v>
      </c>
      <c r="DOA115" s="196" t="s">
        <v>761</v>
      </c>
      <c r="DOB115" s="197" t="str">
        <f>VLOOKUP(DOA115,[13]AssetDetails_UEM!$A$3:$AH$1849,6,FALSE)</f>
        <v>Electrosurgical Units, Monopolar/Bipolar</v>
      </c>
      <c r="DOC115" s="196" t="s">
        <v>761</v>
      </c>
      <c r="DOD115" s="197" t="str">
        <f>VLOOKUP(DOC115,[13]AssetDetails_UEM!$A$3:$AH$1849,6,FALSE)</f>
        <v>Electrosurgical Units, Monopolar/Bipolar</v>
      </c>
      <c r="DOE115" s="196" t="s">
        <v>761</v>
      </c>
      <c r="DOF115" s="197" t="str">
        <f>VLOOKUP(DOE115,[13]AssetDetails_UEM!$A$3:$AH$1849,6,FALSE)</f>
        <v>Electrosurgical Units, Monopolar/Bipolar</v>
      </c>
      <c r="DOG115" s="196" t="s">
        <v>761</v>
      </c>
      <c r="DOH115" s="197" t="str">
        <f>VLOOKUP(DOG115,[13]AssetDetails_UEM!$A$3:$AH$1849,6,FALSE)</f>
        <v>Electrosurgical Units, Monopolar/Bipolar</v>
      </c>
      <c r="DOI115" s="196" t="s">
        <v>761</v>
      </c>
      <c r="DOJ115" s="197" t="str">
        <f>VLOOKUP(DOI115,[13]AssetDetails_UEM!$A$3:$AH$1849,6,FALSE)</f>
        <v>Electrosurgical Units, Monopolar/Bipolar</v>
      </c>
      <c r="DOK115" s="196" t="s">
        <v>761</v>
      </c>
      <c r="DOL115" s="197" t="str">
        <f>VLOOKUP(DOK115,[13]AssetDetails_UEM!$A$3:$AH$1849,6,FALSE)</f>
        <v>Electrosurgical Units, Monopolar/Bipolar</v>
      </c>
      <c r="DOM115" s="196" t="s">
        <v>761</v>
      </c>
      <c r="DON115" s="197" t="str">
        <f>VLOOKUP(DOM115,[13]AssetDetails_UEM!$A$3:$AH$1849,6,FALSE)</f>
        <v>Electrosurgical Units, Monopolar/Bipolar</v>
      </c>
      <c r="DOO115" s="196" t="s">
        <v>761</v>
      </c>
      <c r="DOP115" s="197" t="str">
        <f>VLOOKUP(DOO115,[13]AssetDetails_UEM!$A$3:$AH$1849,6,FALSE)</f>
        <v>Electrosurgical Units, Monopolar/Bipolar</v>
      </c>
      <c r="DOQ115" s="196" t="s">
        <v>761</v>
      </c>
      <c r="DOR115" s="197" t="str">
        <f>VLOOKUP(DOQ115,[13]AssetDetails_UEM!$A$3:$AH$1849,6,FALSE)</f>
        <v>Electrosurgical Units, Monopolar/Bipolar</v>
      </c>
      <c r="DOS115" s="196" t="s">
        <v>761</v>
      </c>
      <c r="DOT115" s="197" t="str">
        <f>VLOOKUP(DOS115,[13]AssetDetails_UEM!$A$3:$AH$1849,6,FALSE)</f>
        <v>Electrosurgical Units, Monopolar/Bipolar</v>
      </c>
      <c r="DOU115" s="196" t="s">
        <v>761</v>
      </c>
      <c r="DOV115" s="197" t="str">
        <f>VLOOKUP(DOU115,[13]AssetDetails_UEM!$A$3:$AH$1849,6,FALSE)</f>
        <v>Electrosurgical Units, Monopolar/Bipolar</v>
      </c>
      <c r="DOW115" s="196" t="s">
        <v>761</v>
      </c>
      <c r="DOX115" s="197" t="str">
        <f>VLOOKUP(DOW115,[13]AssetDetails_UEM!$A$3:$AH$1849,6,FALSE)</f>
        <v>Electrosurgical Units, Monopolar/Bipolar</v>
      </c>
      <c r="DOY115" s="196" t="s">
        <v>761</v>
      </c>
      <c r="DOZ115" s="197" t="str">
        <f>VLOOKUP(DOY115,[13]AssetDetails_UEM!$A$3:$AH$1849,6,FALSE)</f>
        <v>Electrosurgical Units, Monopolar/Bipolar</v>
      </c>
      <c r="DPA115" s="196" t="s">
        <v>761</v>
      </c>
      <c r="DPB115" s="197" t="str">
        <f>VLOOKUP(DPA115,[13]AssetDetails_UEM!$A$3:$AH$1849,6,FALSE)</f>
        <v>Electrosurgical Units, Monopolar/Bipolar</v>
      </c>
      <c r="DPC115" s="196" t="s">
        <v>761</v>
      </c>
      <c r="DPD115" s="197" t="str">
        <f>VLOOKUP(DPC115,[13]AssetDetails_UEM!$A$3:$AH$1849,6,FALSE)</f>
        <v>Electrosurgical Units, Monopolar/Bipolar</v>
      </c>
      <c r="DPE115" s="196" t="s">
        <v>761</v>
      </c>
      <c r="DPF115" s="197" t="str">
        <f>VLOOKUP(DPE115,[13]AssetDetails_UEM!$A$3:$AH$1849,6,FALSE)</f>
        <v>Electrosurgical Units, Monopolar/Bipolar</v>
      </c>
      <c r="DPG115" s="196" t="s">
        <v>761</v>
      </c>
      <c r="DPH115" s="197" t="str">
        <f>VLOOKUP(DPG115,[13]AssetDetails_UEM!$A$3:$AH$1849,6,FALSE)</f>
        <v>Electrosurgical Units, Monopolar/Bipolar</v>
      </c>
      <c r="DPI115" s="196" t="s">
        <v>761</v>
      </c>
      <c r="DPJ115" s="197" t="str">
        <f>VLOOKUP(DPI115,[13]AssetDetails_UEM!$A$3:$AH$1849,6,FALSE)</f>
        <v>Electrosurgical Units, Monopolar/Bipolar</v>
      </c>
      <c r="DPK115" s="196" t="s">
        <v>761</v>
      </c>
      <c r="DPL115" s="197" t="str">
        <f>VLOOKUP(DPK115,[13]AssetDetails_UEM!$A$3:$AH$1849,6,FALSE)</f>
        <v>Electrosurgical Units, Monopolar/Bipolar</v>
      </c>
      <c r="DPM115" s="196" t="s">
        <v>761</v>
      </c>
      <c r="DPN115" s="197" t="str">
        <f>VLOOKUP(DPM115,[13]AssetDetails_UEM!$A$3:$AH$1849,6,FALSE)</f>
        <v>Electrosurgical Units, Monopolar/Bipolar</v>
      </c>
      <c r="DPO115" s="196" t="s">
        <v>761</v>
      </c>
      <c r="DPP115" s="197" t="str">
        <f>VLOOKUP(DPO115,[13]AssetDetails_UEM!$A$3:$AH$1849,6,FALSE)</f>
        <v>Electrosurgical Units, Monopolar/Bipolar</v>
      </c>
      <c r="DPQ115" s="196" t="s">
        <v>761</v>
      </c>
      <c r="DPR115" s="197" t="str">
        <f>VLOOKUP(DPQ115,[13]AssetDetails_UEM!$A$3:$AH$1849,6,FALSE)</f>
        <v>Electrosurgical Units, Monopolar/Bipolar</v>
      </c>
      <c r="DPS115" s="196" t="s">
        <v>761</v>
      </c>
      <c r="DPT115" s="197" t="str">
        <f>VLOOKUP(DPS115,[13]AssetDetails_UEM!$A$3:$AH$1849,6,FALSE)</f>
        <v>Electrosurgical Units, Monopolar/Bipolar</v>
      </c>
      <c r="DPU115" s="196" t="s">
        <v>761</v>
      </c>
      <c r="DPV115" s="197" t="str">
        <f>VLOOKUP(DPU115,[13]AssetDetails_UEM!$A$3:$AH$1849,6,FALSE)</f>
        <v>Electrosurgical Units, Monopolar/Bipolar</v>
      </c>
      <c r="DPW115" s="196" t="s">
        <v>761</v>
      </c>
      <c r="DPX115" s="197" t="str">
        <f>VLOOKUP(DPW115,[13]AssetDetails_UEM!$A$3:$AH$1849,6,FALSE)</f>
        <v>Electrosurgical Units, Monopolar/Bipolar</v>
      </c>
      <c r="DPY115" s="196" t="s">
        <v>761</v>
      </c>
      <c r="DPZ115" s="197" t="str">
        <f>VLOOKUP(DPY115,[13]AssetDetails_UEM!$A$3:$AH$1849,6,FALSE)</f>
        <v>Electrosurgical Units, Monopolar/Bipolar</v>
      </c>
      <c r="DQA115" s="196" t="s">
        <v>761</v>
      </c>
      <c r="DQB115" s="197" t="str">
        <f>VLOOKUP(DQA115,[13]AssetDetails_UEM!$A$3:$AH$1849,6,FALSE)</f>
        <v>Electrosurgical Units, Monopolar/Bipolar</v>
      </c>
      <c r="DQC115" s="196" t="s">
        <v>761</v>
      </c>
      <c r="DQD115" s="197" t="str">
        <f>VLOOKUP(DQC115,[13]AssetDetails_UEM!$A$3:$AH$1849,6,FALSE)</f>
        <v>Electrosurgical Units, Monopolar/Bipolar</v>
      </c>
      <c r="DQE115" s="196" t="s">
        <v>761</v>
      </c>
      <c r="DQF115" s="197" t="str">
        <f>VLOOKUP(DQE115,[13]AssetDetails_UEM!$A$3:$AH$1849,6,FALSE)</f>
        <v>Electrosurgical Units, Monopolar/Bipolar</v>
      </c>
      <c r="DQG115" s="196" t="s">
        <v>761</v>
      </c>
      <c r="DQH115" s="197" t="str">
        <f>VLOOKUP(DQG115,[13]AssetDetails_UEM!$A$3:$AH$1849,6,FALSE)</f>
        <v>Electrosurgical Units, Monopolar/Bipolar</v>
      </c>
      <c r="DQI115" s="196" t="s">
        <v>761</v>
      </c>
      <c r="DQJ115" s="197" t="str">
        <f>VLOOKUP(DQI115,[13]AssetDetails_UEM!$A$3:$AH$1849,6,FALSE)</f>
        <v>Electrosurgical Units, Monopolar/Bipolar</v>
      </c>
      <c r="DQK115" s="196" t="s">
        <v>761</v>
      </c>
      <c r="DQL115" s="197" t="str">
        <f>VLOOKUP(DQK115,[13]AssetDetails_UEM!$A$3:$AH$1849,6,FALSE)</f>
        <v>Electrosurgical Units, Monopolar/Bipolar</v>
      </c>
      <c r="DQM115" s="196" t="s">
        <v>761</v>
      </c>
      <c r="DQN115" s="197" t="str">
        <f>VLOOKUP(DQM115,[13]AssetDetails_UEM!$A$3:$AH$1849,6,FALSE)</f>
        <v>Electrosurgical Units, Monopolar/Bipolar</v>
      </c>
      <c r="DQO115" s="196" t="s">
        <v>761</v>
      </c>
      <c r="DQP115" s="197" t="str">
        <f>VLOOKUP(DQO115,[13]AssetDetails_UEM!$A$3:$AH$1849,6,FALSE)</f>
        <v>Electrosurgical Units, Monopolar/Bipolar</v>
      </c>
      <c r="DQQ115" s="196" t="s">
        <v>761</v>
      </c>
      <c r="DQR115" s="197" t="str">
        <f>VLOOKUP(DQQ115,[13]AssetDetails_UEM!$A$3:$AH$1849,6,FALSE)</f>
        <v>Electrosurgical Units, Monopolar/Bipolar</v>
      </c>
      <c r="DQS115" s="196" t="s">
        <v>761</v>
      </c>
      <c r="DQT115" s="197" t="str">
        <f>VLOOKUP(DQS115,[13]AssetDetails_UEM!$A$3:$AH$1849,6,FALSE)</f>
        <v>Electrosurgical Units, Monopolar/Bipolar</v>
      </c>
      <c r="DQU115" s="196" t="s">
        <v>761</v>
      </c>
      <c r="DQV115" s="197" t="str">
        <f>VLOOKUP(DQU115,[13]AssetDetails_UEM!$A$3:$AH$1849,6,FALSE)</f>
        <v>Electrosurgical Units, Monopolar/Bipolar</v>
      </c>
      <c r="DQW115" s="196" t="s">
        <v>761</v>
      </c>
      <c r="DQX115" s="197" t="str">
        <f>VLOOKUP(DQW115,[13]AssetDetails_UEM!$A$3:$AH$1849,6,FALSE)</f>
        <v>Electrosurgical Units, Monopolar/Bipolar</v>
      </c>
      <c r="DQY115" s="196" t="s">
        <v>761</v>
      </c>
      <c r="DQZ115" s="197" t="str">
        <f>VLOOKUP(DQY115,[13]AssetDetails_UEM!$A$3:$AH$1849,6,FALSE)</f>
        <v>Electrosurgical Units, Monopolar/Bipolar</v>
      </c>
      <c r="DRA115" s="196" t="s">
        <v>761</v>
      </c>
      <c r="DRB115" s="197" t="str">
        <f>VLOOKUP(DRA115,[13]AssetDetails_UEM!$A$3:$AH$1849,6,FALSE)</f>
        <v>Electrosurgical Units, Monopolar/Bipolar</v>
      </c>
      <c r="DRC115" s="196" t="s">
        <v>761</v>
      </c>
      <c r="DRD115" s="197" t="str">
        <f>VLOOKUP(DRC115,[13]AssetDetails_UEM!$A$3:$AH$1849,6,FALSE)</f>
        <v>Electrosurgical Units, Monopolar/Bipolar</v>
      </c>
      <c r="DRE115" s="196" t="s">
        <v>761</v>
      </c>
      <c r="DRF115" s="197" t="str">
        <f>VLOOKUP(DRE115,[13]AssetDetails_UEM!$A$3:$AH$1849,6,FALSE)</f>
        <v>Electrosurgical Units, Monopolar/Bipolar</v>
      </c>
      <c r="DRG115" s="196" t="s">
        <v>761</v>
      </c>
      <c r="DRH115" s="197" t="str">
        <f>VLOOKUP(DRG115,[13]AssetDetails_UEM!$A$3:$AH$1849,6,FALSE)</f>
        <v>Electrosurgical Units, Monopolar/Bipolar</v>
      </c>
      <c r="DRI115" s="196" t="s">
        <v>761</v>
      </c>
      <c r="DRJ115" s="197" t="str">
        <f>VLOOKUP(DRI115,[13]AssetDetails_UEM!$A$3:$AH$1849,6,FALSE)</f>
        <v>Electrosurgical Units, Monopolar/Bipolar</v>
      </c>
      <c r="DRK115" s="196" t="s">
        <v>761</v>
      </c>
      <c r="DRL115" s="197" t="str">
        <f>VLOOKUP(DRK115,[13]AssetDetails_UEM!$A$3:$AH$1849,6,FALSE)</f>
        <v>Electrosurgical Units, Monopolar/Bipolar</v>
      </c>
      <c r="DRM115" s="196" t="s">
        <v>761</v>
      </c>
      <c r="DRN115" s="197" t="str">
        <f>VLOOKUP(DRM115,[13]AssetDetails_UEM!$A$3:$AH$1849,6,FALSE)</f>
        <v>Electrosurgical Units, Monopolar/Bipolar</v>
      </c>
      <c r="DRO115" s="196" t="s">
        <v>761</v>
      </c>
      <c r="DRP115" s="197" t="str">
        <f>VLOOKUP(DRO115,[13]AssetDetails_UEM!$A$3:$AH$1849,6,FALSE)</f>
        <v>Electrosurgical Units, Monopolar/Bipolar</v>
      </c>
      <c r="DRQ115" s="196" t="s">
        <v>761</v>
      </c>
      <c r="DRR115" s="197" t="str">
        <f>VLOOKUP(DRQ115,[13]AssetDetails_UEM!$A$3:$AH$1849,6,FALSE)</f>
        <v>Electrosurgical Units, Monopolar/Bipolar</v>
      </c>
      <c r="DRS115" s="196" t="s">
        <v>761</v>
      </c>
      <c r="DRT115" s="197" t="str">
        <f>VLOOKUP(DRS115,[13]AssetDetails_UEM!$A$3:$AH$1849,6,FALSE)</f>
        <v>Electrosurgical Units, Monopolar/Bipolar</v>
      </c>
      <c r="DRU115" s="196" t="s">
        <v>761</v>
      </c>
      <c r="DRV115" s="197" t="str">
        <f>VLOOKUP(DRU115,[13]AssetDetails_UEM!$A$3:$AH$1849,6,FALSE)</f>
        <v>Electrosurgical Units, Monopolar/Bipolar</v>
      </c>
      <c r="DRW115" s="196" t="s">
        <v>761</v>
      </c>
      <c r="DRX115" s="197" t="str">
        <f>VLOOKUP(DRW115,[13]AssetDetails_UEM!$A$3:$AH$1849,6,FALSE)</f>
        <v>Electrosurgical Units, Monopolar/Bipolar</v>
      </c>
      <c r="DRY115" s="196" t="s">
        <v>761</v>
      </c>
      <c r="DRZ115" s="197" t="str">
        <f>VLOOKUP(DRY115,[13]AssetDetails_UEM!$A$3:$AH$1849,6,FALSE)</f>
        <v>Electrosurgical Units, Monopolar/Bipolar</v>
      </c>
      <c r="DSA115" s="196" t="s">
        <v>761</v>
      </c>
      <c r="DSB115" s="197" t="str">
        <f>VLOOKUP(DSA115,[13]AssetDetails_UEM!$A$3:$AH$1849,6,FALSE)</f>
        <v>Electrosurgical Units, Monopolar/Bipolar</v>
      </c>
      <c r="DSC115" s="196" t="s">
        <v>761</v>
      </c>
      <c r="DSD115" s="197" t="str">
        <f>VLOOKUP(DSC115,[13]AssetDetails_UEM!$A$3:$AH$1849,6,FALSE)</f>
        <v>Electrosurgical Units, Monopolar/Bipolar</v>
      </c>
      <c r="DSE115" s="196" t="s">
        <v>761</v>
      </c>
      <c r="DSF115" s="197" t="str">
        <f>VLOOKUP(DSE115,[13]AssetDetails_UEM!$A$3:$AH$1849,6,FALSE)</f>
        <v>Electrosurgical Units, Monopolar/Bipolar</v>
      </c>
      <c r="DSG115" s="196" t="s">
        <v>761</v>
      </c>
      <c r="DSH115" s="197" t="str">
        <f>VLOOKUP(DSG115,[13]AssetDetails_UEM!$A$3:$AH$1849,6,FALSE)</f>
        <v>Electrosurgical Units, Monopolar/Bipolar</v>
      </c>
      <c r="DSI115" s="196" t="s">
        <v>761</v>
      </c>
      <c r="DSJ115" s="197" t="str">
        <f>VLOOKUP(DSI115,[13]AssetDetails_UEM!$A$3:$AH$1849,6,FALSE)</f>
        <v>Electrosurgical Units, Monopolar/Bipolar</v>
      </c>
      <c r="DSK115" s="196" t="s">
        <v>761</v>
      </c>
      <c r="DSL115" s="197" t="str">
        <f>VLOOKUP(DSK115,[13]AssetDetails_UEM!$A$3:$AH$1849,6,FALSE)</f>
        <v>Electrosurgical Units, Monopolar/Bipolar</v>
      </c>
      <c r="DSM115" s="196" t="s">
        <v>761</v>
      </c>
      <c r="DSN115" s="197" t="str">
        <f>VLOOKUP(DSM115,[13]AssetDetails_UEM!$A$3:$AH$1849,6,FALSE)</f>
        <v>Electrosurgical Units, Monopolar/Bipolar</v>
      </c>
      <c r="DSO115" s="196" t="s">
        <v>761</v>
      </c>
      <c r="DSP115" s="197" t="str">
        <f>VLOOKUP(DSO115,[13]AssetDetails_UEM!$A$3:$AH$1849,6,FALSE)</f>
        <v>Electrosurgical Units, Monopolar/Bipolar</v>
      </c>
      <c r="DSQ115" s="196" t="s">
        <v>761</v>
      </c>
      <c r="DSR115" s="197" t="str">
        <f>VLOOKUP(DSQ115,[13]AssetDetails_UEM!$A$3:$AH$1849,6,FALSE)</f>
        <v>Electrosurgical Units, Monopolar/Bipolar</v>
      </c>
      <c r="DSS115" s="196" t="s">
        <v>761</v>
      </c>
      <c r="DST115" s="197" t="str">
        <f>VLOOKUP(DSS115,[13]AssetDetails_UEM!$A$3:$AH$1849,6,FALSE)</f>
        <v>Electrosurgical Units, Monopolar/Bipolar</v>
      </c>
      <c r="DSU115" s="196" t="s">
        <v>761</v>
      </c>
      <c r="DSV115" s="197" t="str">
        <f>VLOOKUP(DSU115,[13]AssetDetails_UEM!$A$3:$AH$1849,6,FALSE)</f>
        <v>Electrosurgical Units, Monopolar/Bipolar</v>
      </c>
      <c r="DSW115" s="196" t="s">
        <v>761</v>
      </c>
      <c r="DSX115" s="197" t="str">
        <f>VLOOKUP(DSW115,[13]AssetDetails_UEM!$A$3:$AH$1849,6,FALSE)</f>
        <v>Electrosurgical Units, Monopolar/Bipolar</v>
      </c>
      <c r="DSY115" s="196" t="s">
        <v>761</v>
      </c>
      <c r="DSZ115" s="197" t="str">
        <f>VLOOKUP(DSY115,[13]AssetDetails_UEM!$A$3:$AH$1849,6,FALSE)</f>
        <v>Electrosurgical Units, Monopolar/Bipolar</v>
      </c>
      <c r="DTA115" s="196" t="s">
        <v>761</v>
      </c>
      <c r="DTB115" s="197" t="str">
        <f>VLOOKUP(DTA115,[13]AssetDetails_UEM!$A$3:$AH$1849,6,FALSE)</f>
        <v>Electrosurgical Units, Monopolar/Bipolar</v>
      </c>
      <c r="DTC115" s="196" t="s">
        <v>761</v>
      </c>
      <c r="DTD115" s="197" t="str">
        <f>VLOOKUP(DTC115,[13]AssetDetails_UEM!$A$3:$AH$1849,6,FALSE)</f>
        <v>Electrosurgical Units, Monopolar/Bipolar</v>
      </c>
      <c r="DTE115" s="196" t="s">
        <v>761</v>
      </c>
      <c r="DTF115" s="197" t="str">
        <f>VLOOKUP(DTE115,[13]AssetDetails_UEM!$A$3:$AH$1849,6,FALSE)</f>
        <v>Electrosurgical Units, Monopolar/Bipolar</v>
      </c>
      <c r="DTG115" s="196" t="s">
        <v>761</v>
      </c>
      <c r="DTH115" s="197" t="str">
        <f>VLOOKUP(DTG115,[13]AssetDetails_UEM!$A$3:$AH$1849,6,FALSE)</f>
        <v>Electrosurgical Units, Monopolar/Bipolar</v>
      </c>
      <c r="DTI115" s="196" t="s">
        <v>761</v>
      </c>
      <c r="DTJ115" s="197" t="str">
        <f>VLOOKUP(DTI115,[13]AssetDetails_UEM!$A$3:$AH$1849,6,FALSE)</f>
        <v>Electrosurgical Units, Monopolar/Bipolar</v>
      </c>
      <c r="DTK115" s="196" t="s">
        <v>761</v>
      </c>
      <c r="DTL115" s="197" t="str">
        <f>VLOOKUP(DTK115,[13]AssetDetails_UEM!$A$3:$AH$1849,6,FALSE)</f>
        <v>Electrosurgical Units, Monopolar/Bipolar</v>
      </c>
      <c r="DTM115" s="196" t="s">
        <v>761</v>
      </c>
      <c r="DTN115" s="197" t="str">
        <f>VLOOKUP(DTM115,[13]AssetDetails_UEM!$A$3:$AH$1849,6,FALSE)</f>
        <v>Electrosurgical Units, Monopolar/Bipolar</v>
      </c>
      <c r="DTO115" s="196" t="s">
        <v>761</v>
      </c>
      <c r="DTP115" s="197" t="str">
        <f>VLOOKUP(DTO115,[13]AssetDetails_UEM!$A$3:$AH$1849,6,FALSE)</f>
        <v>Electrosurgical Units, Monopolar/Bipolar</v>
      </c>
      <c r="DTQ115" s="196" t="s">
        <v>761</v>
      </c>
      <c r="DTR115" s="197" t="str">
        <f>VLOOKUP(DTQ115,[13]AssetDetails_UEM!$A$3:$AH$1849,6,FALSE)</f>
        <v>Electrosurgical Units, Monopolar/Bipolar</v>
      </c>
      <c r="DTS115" s="196" t="s">
        <v>761</v>
      </c>
      <c r="DTT115" s="197" t="str">
        <f>VLOOKUP(DTS115,[13]AssetDetails_UEM!$A$3:$AH$1849,6,FALSE)</f>
        <v>Electrosurgical Units, Monopolar/Bipolar</v>
      </c>
      <c r="DTU115" s="196" t="s">
        <v>761</v>
      </c>
      <c r="DTV115" s="197" t="str">
        <f>VLOOKUP(DTU115,[13]AssetDetails_UEM!$A$3:$AH$1849,6,FALSE)</f>
        <v>Electrosurgical Units, Monopolar/Bipolar</v>
      </c>
      <c r="DTW115" s="196" t="s">
        <v>761</v>
      </c>
      <c r="DTX115" s="197" t="str">
        <f>VLOOKUP(DTW115,[13]AssetDetails_UEM!$A$3:$AH$1849,6,FALSE)</f>
        <v>Electrosurgical Units, Monopolar/Bipolar</v>
      </c>
      <c r="DTY115" s="196" t="s">
        <v>761</v>
      </c>
      <c r="DTZ115" s="197" t="str">
        <f>VLOOKUP(DTY115,[13]AssetDetails_UEM!$A$3:$AH$1849,6,FALSE)</f>
        <v>Electrosurgical Units, Monopolar/Bipolar</v>
      </c>
      <c r="DUA115" s="196" t="s">
        <v>761</v>
      </c>
      <c r="DUB115" s="197" t="str">
        <f>VLOOKUP(DUA115,[13]AssetDetails_UEM!$A$3:$AH$1849,6,FALSE)</f>
        <v>Electrosurgical Units, Monopolar/Bipolar</v>
      </c>
      <c r="DUC115" s="196" t="s">
        <v>761</v>
      </c>
      <c r="DUD115" s="197" t="str">
        <f>VLOOKUP(DUC115,[13]AssetDetails_UEM!$A$3:$AH$1849,6,FALSE)</f>
        <v>Electrosurgical Units, Monopolar/Bipolar</v>
      </c>
      <c r="DUE115" s="196" t="s">
        <v>761</v>
      </c>
      <c r="DUF115" s="197" t="str">
        <f>VLOOKUP(DUE115,[13]AssetDetails_UEM!$A$3:$AH$1849,6,FALSE)</f>
        <v>Electrosurgical Units, Monopolar/Bipolar</v>
      </c>
      <c r="DUG115" s="196" t="s">
        <v>761</v>
      </c>
      <c r="DUH115" s="197" t="str">
        <f>VLOOKUP(DUG115,[13]AssetDetails_UEM!$A$3:$AH$1849,6,FALSE)</f>
        <v>Electrosurgical Units, Monopolar/Bipolar</v>
      </c>
      <c r="DUI115" s="196" t="s">
        <v>761</v>
      </c>
      <c r="DUJ115" s="197" t="str">
        <f>VLOOKUP(DUI115,[13]AssetDetails_UEM!$A$3:$AH$1849,6,FALSE)</f>
        <v>Electrosurgical Units, Monopolar/Bipolar</v>
      </c>
      <c r="DUK115" s="196" t="s">
        <v>761</v>
      </c>
      <c r="DUL115" s="197" t="str">
        <f>VLOOKUP(DUK115,[13]AssetDetails_UEM!$A$3:$AH$1849,6,FALSE)</f>
        <v>Electrosurgical Units, Monopolar/Bipolar</v>
      </c>
      <c r="DUM115" s="196" t="s">
        <v>761</v>
      </c>
      <c r="DUN115" s="197" t="str">
        <f>VLOOKUP(DUM115,[13]AssetDetails_UEM!$A$3:$AH$1849,6,FALSE)</f>
        <v>Electrosurgical Units, Monopolar/Bipolar</v>
      </c>
      <c r="DUO115" s="196" t="s">
        <v>761</v>
      </c>
      <c r="DUP115" s="197" t="str">
        <f>VLOOKUP(DUO115,[13]AssetDetails_UEM!$A$3:$AH$1849,6,FALSE)</f>
        <v>Electrosurgical Units, Monopolar/Bipolar</v>
      </c>
      <c r="DUQ115" s="196" t="s">
        <v>761</v>
      </c>
      <c r="DUR115" s="197" t="str">
        <f>VLOOKUP(DUQ115,[13]AssetDetails_UEM!$A$3:$AH$1849,6,FALSE)</f>
        <v>Electrosurgical Units, Monopolar/Bipolar</v>
      </c>
      <c r="DUS115" s="196" t="s">
        <v>761</v>
      </c>
      <c r="DUT115" s="197" t="str">
        <f>VLOOKUP(DUS115,[13]AssetDetails_UEM!$A$3:$AH$1849,6,FALSE)</f>
        <v>Electrosurgical Units, Monopolar/Bipolar</v>
      </c>
      <c r="DUU115" s="196" t="s">
        <v>761</v>
      </c>
      <c r="DUV115" s="197" t="str">
        <f>VLOOKUP(DUU115,[13]AssetDetails_UEM!$A$3:$AH$1849,6,FALSE)</f>
        <v>Electrosurgical Units, Monopolar/Bipolar</v>
      </c>
      <c r="DUW115" s="196" t="s">
        <v>761</v>
      </c>
      <c r="DUX115" s="197" t="str">
        <f>VLOOKUP(DUW115,[13]AssetDetails_UEM!$A$3:$AH$1849,6,FALSE)</f>
        <v>Electrosurgical Units, Monopolar/Bipolar</v>
      </c>
      <c r="DUY115" s="196" t="s">
        <v>761</v>
      </c>
      <c r="DUZ115" s="197" t="str">
        <f>VLOOKUP(DUY115,[13]AssetDetails_UEM!$A$3:$AH$1849,6,FALSE)</f>
        <v>Electrosurgical Units, Monopolar/Bipolar</v>
      </c>
      <c r="DVA115" s="196" t="s">
        <v>761</v>
      </c>
      <c r="DVB115" s="197" t="str">
        <f>VLOOKUP(DVA115,[13]AssetDetails_UEM!$A$3:$AH$1849,6,FALSE)</f>
        <v>Electrosurgical Units, Monopolar/Bipolar</v>
      </c>
      <c r="DVC115" s="196" t="s">
        <v>761</v>
      </c>
      <c r="DVD115" s="197" t="str">
        <f>VLOOKUP(DVC115,[13]AssetDetails_UEM!$A$3:$AH$1849,6,FALSE)</f>
        <v>Electrosurgical Units, Monopolar/Bipolar</v>
      </c>
      <c r="DVE115" s="196" t="s">
        <v>761</v>
      </c>
      <c r="DVF115" s="197" t="str">
        <f>VLOOKUP(DVE115,[13]AssetDetails_UEM!$A$3:$AH$1849,6,FALSE)</f>
        <v>Electrosurgical Units, Monopolar/Bipolar</v>
      </c>
      <c r="DVG115" s="196" t="s">
        <v>761</v>
      </c>
      <c r="DVH115" s="197" t="str">
        <f>VLOOKUP(DVG115,[13]AssetDetails_UEM!$A$3:$AH$1849,6,FALSE)</f>
        <v>Electrosurgical Units, Monopolar/Bipolar</v>
      </c>
      <c r="DVI115" s="196" t="s">
        <v>761</v>
      </c>
      <c r="DVJ115" s="197" t="str">
        <f>VLOOKUP(DVI115,[13]AssetDetails_UEM!$A$3:$AH$1849,6,FALSE)</f>
        <v>Electrosurgical Units, Monopolar/Bipolar</v>
      </c>
      <c r="DVK115" s="196" t="s">
        <v>761</v>
      </c>
      <c r="DVL115" s="197" t="str">
        <f>VLOOKUP(DVK115,[13]AssetDetails_UEM!$A$3:$AH$1849,6,FALSE)</f>
        <v>Electrosurgical Units, Monopolar/Bipolar</v>
      </c>
      <c r="DVM115" s="196" t="s">
        <v>761</v>
      </c>
      <c r="DVN115" s="197" t="str">
        <f>VLOOKUP(DVM115,[13]AssetDetails_UEM!$A$3:$AH$1849,6,FALSE)</f>
        <v>Electrosurgical Units, Monopolar/Bipolar</v>
      </c>
      <c r="DVO115" s="196" t="s">
        <v>761</v>
      </c>
      <c r="DVP115" s="197" t="str">
        <f>VLOOKUP(DVO115,[13]AssetDetails_UEM!$A$3:$AH$1849,6,FALSE)</f>
        <v>Electrosurgical Units, Monopolar/Bipolar</v>
      </c>
      <c r="DVQ115" s="196" t="s">
        <v>761</v>
      </c>
      <c r="DVR115" s="197" t="str">
        <f>VLOOKUP(DVQ115,[13]AssetDetails_UEM!$A$3:$AH$1849,6,FALSE)</f>
        <v>Electrosurgical Units, Monopolar/Bipolar</v>
      </c>
      <c r="DVS115" s="196" t="s">
        <v>761</v>
      </c>
      <c r="DVT115" s="197" t="str">
        <f>VLOOKUP(DVS115,[13]AssetDetails_UEM!$A$3:$AH$1849,6,FALSE)</f>
        <v>Electrosurgical Units, Monopolar/Bipolar</v>
      </c>
      <c r="DVU115" s="196" t="s">
        <v>761</v>
      </c>
      <c r="DVV115" s="197" t="str">
        <f>VLOOKUP(DVU115,[13]AssetDetails_UEM!$A$3:$AH$1849,6,FALSE)</f>
        <v>Electrosurgical Units, Monopolar/Bipolar</v>
      </c>
      <c r="DVW115" s="196" t="s">
        <v>761</v>
      </c>
      <c r="DVX115" s="197" t="str">
        <f>VLOOKUP(DVW115,[13]AssetDetails_UEM!$A$3:$AH$1849,6,FALSE)</f>
        <v>Electrosurgical Units, Monopolar/Bipolar</v>
      </c>
      <c r="DVY115" s="196" t="s">
        <v>761</v>
      </c>
      <c r="DVZ115" s="197" t="str">
        <f>VLOOKUP(DVY115,[13]AssetDetails_UEM!$A$3:$AH$1849,6,FALSE)</f>
        <v>Electrosurgical Units, Monopolar/Bipolar</v>
      </c>
      <c r="DWA115" s="196" t="s">
        <v>761</v>
      </c>
      <c r="DWB115" s="197" t="str">
        <f>VLOOKUP(DWA115,[13]AssetDetails_UEM!$A$3:$AH$1849,6,FALSE)</f>
        <v>Electrosurgical Units, Monopolar/Bipolar</v>
      </c>
      <c r="DWC115" s="196" t="s">
        <v>761</v>
      </c>
      <c r="DWD115" s="197" t="str">
        <f>VLOOKUP(DWC115,[13]AssetDetails_UEM!$A$3:$AH$1849,6,FALSE)</f>
        <v>Electrosurgical Units, Monopolar/Bipolar</v>
      </c>
      <c r="DWE115" s="196" t="s">
        <v>761</v>
      </c>
      <c r="DWF115" s="197" t="str">
        <f>VLOOKUP(DWE115,[13]AssetDetails_UEM!$A$3:$AH$1849,6,FALSE)</f>
        <v>Electrosurgical Units, Monopolar/Bipolar</v>
      </c>
      <c r="DWG115" s="196" t="s">
        <v>761</v>
      </c>
      <c r="DWH115" s="197" t="str">
        <f>VLOOKUP(DWG115,[13]AssetDetails_UEM!$A$3:$AH$1849,6,FALSE)</f>
        <v>Electrosurgical Units, Monopolar/Bipolar</v>
      </c>
      <c r="DWI115" s="196" t="s">
        <v>761</v>
      </c>
      <c r="DWJ115" s="197" t="str">
        <f>VLOOKUP(DWI115,[13]AssetDetails_UEM!$A$3:$AH$1849,6,FALSE)</f>
        <v>Electrosurgical Units, Monopolar/Bipolar</v>
      </c>
      <c r="DWK115" s="196" t="s">
        <v>761</v>
      </c>
      <c r="DWL115" s="197" t="str">
        <f>VLOOKUP(DWK115,[13]AssetDetails_UEM!$A$3:$AH$1849,6,FALSE)</f>
        <v>Electrosurgical Units, Monopolar/Bipolar</v>
      </c>
      <c r="DWM115" s="196" t="s">
        <v>761</v>
      </c>
      <c r="DWN115" s="197" t="str">
        <f>VLOOKUP(DWM115,[13]AssetDetails_UEM!$A$3:$AH$1849,6,FALSE)</f>
        <v>Electrosurgical Units, Monopolar/Bipolar</v>
      </c>
      <c r="DWO115" s="196" t="s">
        <v>761</v>
      </c>
      <c r="DWP115" s="197" t="str">
        <f>VLOOKUP(DWO115,[13]AssetDetails_UEM!$A$3:$AH$1849,6,FALSE)</f>
        <v>Electrosurgical Units, Monopolar/Bipolar</v>
      </c>
      <c r="DWQ115" s="196" t="s">
        <v>761</v>
      </c>
      <c r="DWR115" s="197" t="str">
        <f>VLOOKUP(DWQ115,[13]AssetDetails_UEM!$A$3:$AH$1849,6,FALSE)</f>
        <v>Electrosurgical Units, Monopolar/Bipolar</v>
      </c>
      <c r="DWS115" s="196" t="s">
        <v>761</v>
      </c>
      <c r="DWT115" s="197" t="str">
        <f>VLOOKUP(DWS115,[13]AssetDetails_UEM!$A$3:$AH$1849,6,FALSE)</f>
        <v>Electrosurgical Units, Monopolar/Bipolar</v>
      </c>
      <c r="DWU115" s="196" t="s">
        <v>761</v>
      </c>
      <c r="DWV115" s="197" t="str">
        <f>VLOOKUP(DWU115,[13]AssetDetails_UEM!$A$3:$AH$1849,6,FALSE)</f>
        <v>Electrosurgical Units, Monopolar/Bipolar</v>
      </c>
      <c r="DWW115" s="196" t="s">
        <v>761</v>
      </c>
      <c r="DWX115" s="197" t="str">
        <f>VLOOKUP(DWW115,[13]AssetDetails_UEM!$A$3:$AH$1849,6,FALSE)</f>
        <v>Electrosurgical Units, Monopolar/Bipolar</v>
      </c>
      <c r="DWY115" s="196" t="s">
        <v>761</v>
      </c>
      <c r="DWZ115" s="197" t="str">
        <f>VLOOKUP(DWY115,[13]AssetDetails_UEM!$A$3:$AH$1849,6,FALSE)</f>
        <v>Electrosurgical Units, Monopolar/Bipolar</v>
      </c>
      <c r="DXA115" s="196" t="s">
        <v>761</v>
      </c>
      <c r="DXB115" s="197" t="str">
        <f>VLOOKUP(DXA115,[13]AssetDetails_UEM!$A$3:$AH$1849,6,FALSE)</f>
        <v>Electrosurgical Units, Monopolar/Bipolar</v>
      </c>
      <c r="DXC115" s="196" t="s">
        <v>761</v>
      </c>
      <c r="DXD115" s="197" t="str">
        <f>VLOOKUP(DXC115,[13]AssetDetails_UEM!$A$3:$AH$1849,6,FALSE)</f>
        <v>Electrosurgical Units, Monopolar/Bipolar</v>
      </c>
      <c r="DXE115" s="196" t="s">
        <v>761</v>
      </c>
      <c r="DXF115" s="197" t="str">
        <f>VLOOKUP(DXE115,[13]AssetDetails_UEM!$A$3:$AH$1849,6,FALSE)</f>
        <v>Electrosurgical Units, Monopolar/Bipolar</v>
      </c>
      <c r="DXG115" s="196" t="s">
        <v>761</v>
      </c>
      <c r="DXH115" s="197" t="str">
        <f>VLOOKUP(DXG115,[13]AssetDetails_UEM!$A$3:$AH$1849,6,FALSE)</f>
        <v>Electrosurgical Units, Monopolar/Bipolar</v>
      </c>
      <c r="DXI115" s="196" t="s">
        <v>761</v>
      </c>
      <c r="DXJ115" s="197" t="str">
        <f>VLOOKUP(DXI115,[13]AssetDetails_UEM!$A$3:$AH$1849,6,FALSE)</f>
        <v>Electrosurgical Units, Monopolar/Bipolar</v>
      </c>
      <c r="DXK115" s="196" t="s">
        <v>761</v>
      </c>
      <c r="DXL115" s="197" t="str">
        <f>VLOOKUP(DXK115,[13]AssetDetails_UEM!$A$3:$AH$1849,6,FALSE)</f>
        <v>Electrosurgical Units, Monopolar/Bipolar</v>
      </c>
      <c r="DXM115" s="196" t="s">
        <v>761</v>
      </c>
      <c r="DXN115" s="197" t="str">
        <f>VLOOKUP(DXM115,[13]AssetDetails_UEM!$A$3:$AH$1849,6,FALSE)</f>
        <v>Electrosurgical Units, Monopolar/Bipolar</v>
      </c>
      <c r="DXO115" s="196" t="s">
        <v>761</v>
      </c>
      <c r="DXP115" s="197" t="str">
        <f>VLOOKUP(DXO115,[13]AssetDetails_UEM!$A$3:$AH$1849,6,FALSE)</f>
        <v>Electrosurgical Units, Monopolar/Bipolar</v>
      </c>
      <c r="DXQ115" s="196" t="s">
        <v>761</v>
      </c>
      <c r="DXR115" s="197" t="str">
        <f>VLOOKUP(DXQ115,[13]AssetDetails_UEM!$A$3:$AH$1849,6,FALSE)</f>
        <v>Electrosurgical Units, Monopolar/Bipolar</v>
      </c>
      <c r="DXS115" s="196" t="s">
        <v>761</v>
      </c>
      <c r="DXT115" s="197" t="str">
        <f>VLOOKUP(DXS115,[13]AssetDetails_UEM!$A$3:$AH$1849,6,FALSE)</f>
        <v>Electrosurgical Units, Monopolar/Bipolar</v>
      </c>
      <c r="DXU115" s="196" t="s">
        <v>761</v>
      </c>
      <c r="DXV115" s="197" t="str">
        <f>VLOOKUP(DXU115,[13]AssetDetails_UEM!$A$3:$AH$1849,6,FALSE)</f>
        <v>Electrosurgical Units, Monopolar/Bipolar</v>
      </c>
      <c r="DXW115" s="196" t="s">
        <v>761</v>
      </c>
      <c r="DXX115" s="197" t="str">
        <f>VLOOKUP(DXW115,[13]AssetDetails_UEM!$A$3:$AH$1849,6,FALSE)</f>
        <v>Electrosurgical Units, Monopolar/Bipolar</v>
      </c>
      <c r="DXY115" s="196" t="s">
        <v>761</v>
      </c>
      <c r="DXZ115" s="197" t="str">
        <f>VLOOKUP(DXY115,[13]AssetDetails_UEM!$A$3:$AH$1849,6,FALSE)</f>
        <v>Electrosurgical Units, Monopolar/Bipolar</v>
      </c>
      <c r="DYA115" s="196" t="s">
        <v>761</v>
      </c>
      <c r="DYB115" s="197" t="str">
        <f>VLOOKUP(DYA115,[13]AssetDetails_UEM!$A$3:$AH$1849,6,FALSE)</f>
        <v>Electrosurgical Units, Monopolar/Bipolar</v>
      </c>
      <c r="DYC115" s="196" t="s">
        <v>761</v>
      </c>
      <c r="DYD115" s="197" t="str">
        <f>VLOOKUP(DYC115,[13]AssetDetails_UEM!$A$3:$AH$1849,6,FALSE)</f>
        <v>Electrosurgical Units, Monopolar/Bipolar</v>
      </c>
      <c r="DYE115" s="196" t="s">
        <v>761</v>
      </c>
      <c r="DYF115" s="197" t="str">
        <f>VLOOKUP(DYE115,[13]AssetDetails_UEM!$A$3:$AH$1849,6,FALSE)</f>
        <v>Electrosurgical Units, Monopolar/Bipolar</v>
      </c>
      <c r="DYG115" s="196" t="s">
        <v>761</v>
      </c>
      <c r="DYH115" s="197" t="str">
        <f>VLOOKUP(DYG115,[13]AssetDetails_UEM!$A$3:$AH$1849,6,FALSE)</f>
        <v>Electrosurgical Units, Monopolar/Bipolar</v>
      </c>
      <c r="DYI115" s="196" t="s">
        <v>761</v>
      </c>
      <c r="DYJ115" s="197" t="str">
        <f>VLOOKUP(DYI115,[13]AssetDetails_UEM!$A$3:$AH$1849,6,FALSE)</f>
        <v>Electrosurgical Units, Monopolar/Bipolar</v>
      </c>
      <c r="DYK115" s="196" t="s">
        <v>761</v>
      </c>
      <c r="DYL115" s="197" t="str">
        <f>VLOOKUP(DYK115,[13]AssetDetails_UEM!$A$3:$AH$1849,6,FALSE)</f>
        <v>Electrosurgical Units, Monopolar/Bipolar</v>
      </c>
      <c r="DYM115" s="196" t="s">
        <v>761</v>
      </c>
      <c r="DYN115" s="197" t="str">
        <f>VLOOKUP(DYM115,[13]AssetDetails_UEM!$A$3:$AH$1849,6,FALSE)</f>
        <v>Electrosurgical Units, Monopolar/Bipolar</v>
      </c>
      <c r="DYO115" s="196" t="s">
        <v>761</v>
      </c>
      <c r="DYP115" s="197" t="str">
        <f>VLOOKUP(DYO115,[13]AssetDetails_UEM!$A$3:$AH$1849,6,FALSE)</f>
        <v>Electrosurgical Units, Monopolar/Bipolar</v>
      </c>
      <c r="DYQ115" s="196" t="s">
        <v>761</v>
      </c>
      <c r="DYR115" s="197" t="str">
        <f>VLOOKUP(DYQ115,[13]AssetDetails_UEM!$A$3:$AH$1849,6,FALSE)</f>
        <v>Electrosurgical Units, Monopolar/Bipolar</v>
      </c>
      <c r="DYS115" s="196" t="s">
        <v>761</v>
      </c>
      <c r="DYT115" s="197" t="str">
        <f>VLOOKUP(DYS115,[13]AssetDetails_UEM!$A$3:$AH$1849,6,FALSE)</f>
        <v>Electrosurgical Units, Monopolar/Bipolar</v>
      </c>
      <c r="DYU115" s="196" t="s">
        <v>761</v>
      </c>
      <c r="DYV115" s="197" t="str">
        <f>VLOOKUP(DYU115,[13]AssetDetails_UEM!$A$3:$AH$1849,6,FALSE)</f>
        <v>Electrosurgical Units, Monopolar/Bipolar</v>
      </c>
      <c r="DYW115" s="196" t="s">
        <v>761</v>
      </c>
      <c r="DYX115" s="197" t="str">
        <f>VLOOKUP(DYW115,[13]AssetDetails_UEM!$A$3:$AH$1849,6,FALSE)</f>
        <v>Electrosurgical Units, Monopolar/Bipolar</v>
      </c>
      <c r="DYY115" s="196" t="s">
        <v>761</v>
      </c>
      <c r="DYZ115" s="197" t="str">
        <f>VLOOKUP(DYY115,[13]AssetDetails_UEM!$A$3:$AH$1849,6,FALSE)</f>
        <v>Electrosurgical Units, Monopolar/Bipolar</v>
      </c>
      <c r="DZA115" s="196" t="s">
        <v>761</v>
      </c>
      <c r="DZB115" s="197" t="str">
        <f>VLOOKUP(DZA115,[13]AssetDetails_UEM!$A$3:$AH$1849,6,FALSE)</f>
        <v>Electrosurgical Units, Monopolar/Bipolar</v>
      </c>
      <c r="DZC115" s="196" t="s">
        <v>761</v>
      </c>
      <c r="DZD115" s="197" t="str">
        <f>VLOOKUP(DZC115,[13]AssetDetails_UEM!$A$3:$AH$1849,6,FALSE)</f>
        <v>Electrosurgical Units, Monopolar/Bipolar</v>
      </c>
      <c r="DZE115" s="196" t="s">
        <v>761</v>
      </c>
      <c r="DZF115" s="197" t="str">
        <f>VLOOKUP(DZE115,[13]AssetDetails_UEM!$A$3:$AH$1849,6,FALSE)</f>
        <v>Electrosurgical Units, Monopolar/Bipolar</v>
      </c>
      <c r="DZG115" s="196" t="s">
        <v>761</v>
      </c>
      <c r="DZH115" s="197" t="str">
        <f>VLOOKUP(DZG115,[13]AssetDetails_UEM!$A$3:$AH$1849,6,FALSE)</f>
        <v>Electrosurgical Units, Monopolar/Bipolar</v>
      </c>
      <c r="DZI115" s="196" t="s">
        <v>761</v>
      </c>
      <c r="DZJ115" s="197" t="str">
        <f>VLOOKUP(DZI115,[13]AssetDetails_UEM!$A$3:$AH$1849,6,FALSE)</f>
        <v>Electrosurgical Units, Monopolar/Bipolar</v>
      </c>
      <c r="DZK115" s="196" t="s">
        <v>761</v>
      </c>
      <c r="DZL115" s="197" t="str">
        <f>VLOOKUP(DZK115,[13]AssetDetails_UEM!$A$3:$AH$1849,6,FALSE)</f>
        <v>Electrosurgical Units, Monopolar/Bipolar</v>
      </c>
      <c r="DZM115" s="196" t="s">
        <v>761</v>
      </c>
      <c r="DZN115" s="197" t="str">
        <f>VLOOKUP(DZM115,[13]AssetDetails_UEM!$A$3:$AH$1849,6,FALSE)</f>
        <v>Electrosurgical Units, Monopolar/Bipolar</v>
      </c>
      <c r="DZO115" s="196" t="s">
        <v>761</v>
      </c>
      <c r="DZP115" s="197" t="str">
        <f>VLOOKUP(DZO115,[13]AssetDetails_UEM!$A$3:$AH$1849,6,FALSE)</f>
        <v>Electrosurgical Units, Monopolar/Bipolar</v>
      </c>
      <c r="DZQ115" s="196" t="s">
        <v>761</v>
      </c>
      <c r="DZR115" s="197" t="str">
        <f>VLOOKUP(DZQ115,[13]AssetDetails_UEM!$A$3:$AH$1849,6,FALSE)</f>
        <v>Electrosurgical Units, Monopolar/Bipolar</v>
      </c>
      <c r="DZS115" s="196" t="s">
        <v>761</v>
      </c>
      <c r="DZT115" s="197" t="str">
        <f>VLOOKUP(DZS115,[13]AssetDetails_UEM!$A$3:$AH$1849,6,FALSE)</f>
        <v>Electrosurgical Units, Monopolar/Bipolar</v>
      </c>
      <c r="DZU115" s="196" t="s">
        <v>761</v>
      </c>
      <c r="DZV115" s="197" t="str">
        <f>VLOOKUP(DZU115,[13]AssetDetails_UEM!$A$3:$AH$1849,6,FALSE)</f>
        <v>Electrosurgical Units, Monopolar/Bipolar</v>
      </c>
      <c r="DZW115" s="196" t="s">
        <v>761</v>
      </c>
      <c r="DZX115" s="197" t="str">
        <f>VLOOKUP(DZW115,[13]AssetDetails_UEM!$A$3:$AH$1849,6,FALSE)</f>
        <v>Electrosurgical Units, Monopolar/Bipolar</v>
      </c>
      <c r="DZY115" s="196" t="s">
        <v>761</v>
      </c>
      <c r="DZZ115" s="197" t="str">
        <f>VLOOKUP(DZY115,[13]AssetDetails_UEM!$A$3:$AH$1849,6,FALSE)</f>
        <v>Electrosurgical Units, Monopolar/Bipolar</v>
      </c>
      <c r="EAA115" s="196" t="s">
        <v>761</v>
      </c>
      <c r="EAB115" s="197" t="str">
        <f>VLOOKUP(EAA115,[13]AssetDetails_UEM!$A$3:$AH$1849,6,FALSE)</f>
        <v>Electrosurgical Units, Monopolar/Bipolar</v>
      </c>
      <c r="EAC115" s="196" t="s">
        <v>761</v>
      </c>
      <c r="EAD115" s="197" t="str">
        <f>VLOOKUP(EAC115,[13]AssetDetails_UEM!$A$3:$AH$1849,6,FALSE)</f>
        <v>Electrosurgical Units, Monopolar/Bipolar</v>
      </c>
      <c r="EAE115" s="196" t="s">
        <v>761</v>
      </c>
      <c r="EAF115" s="197" t="str">
        <f>VLOOKUP(EAE115,[13]AssetDetails_UEM!$A$3:$AH$1849,6,FALSE)</f>
        <v>Electrosurgical Units, Monopolar/Bipolar</v>
      </c>
      <c r="EAG115" s="196" t="s">
        <v>761</v>
      </c>
      <c r="EAH115" s="197" t="str">
        <f>VLOOKUP(EAG115,[13]AssetDetails_UEM!$A$3:$AH$1849,6,FALSE)</f>
        <v>Electrosurgical Units, Monopolar/Bipolar</v>
      </c>
      <c r="EAI115" s="196" t="s">
        <v>761</v>
      </c>
      <c r="EAJ115" s="197" t="str">
        <f>VLOOKUP(EAI115,[13]AssetDetails_UEM!$A$3:$AH$1849,6,FALSE)</f>
        <v>Electrosurgical Units, Monopolar/Bipolar</v>
      </c>
      <c r="EAK115" s="196" t="s">
        <v>761</v>
      </c>
      <c r="EAL115" s="197" t="str">
        <f>VLOOKUP(EAK115,[13]AssetDetails_UEM!$A$3:$AH$1849,6,FALSE)</f>
        <v>Electrosurgical Units, Monopolar/Bipolar</v>
      </c>
      <c r="EAM115" s="196" t="s">
        <v>761</v>
      </c>
      <c r="EAN115" s="197" t="str">
        <f>VLOOKUP(EAM115,[13]AssetDetails_UEM!$A$3:$AH$1849,6,FALSE)</f>
        <v>Electrosurgical Units, Monopolar/Bipolar</v>
      </c>
      <c r="EAO115" s="196" t="s">
        <v>761</v>
      </c>
      <c r="EAP115" s="197" t="str">
        <f>VLOOKUP(EAO115,[13]AssetDetails_UEM!$A$3:$AH$1849,6,FALSE)</f>
        <v>Electrosurgical Units, Monopolar/Bipolar</v>
      </c>
      <c r="EAQ115" s="196" t="s">
        <v>761</v>
      </c>
      <c r="EAR115" s="197" t="str">
        <f>VLOOKUP(EAQ115,[13]AssetDetails_UEM!$A$3:$AH$1849,6,FALSE)</f>
        <v>Electrosurgical Units, Monopolar/Bipolar</v>
      </c>
      <c r="EAS115" s="196" t="s">
        <v>761</v>
      </c>
      <c r="EAT115" s="197" t="str">
        <f>VLOOKUP(EAS115,[13]AssetDetails_UEM!$A$3:$AH$1849,6,FALSE)</f>
        <v>Electrosurgical Units, Monopolar/Bipolar</v>
      </c>
      <c r="EAU115" s="196" t="s">
        <v>761</v>
      </c>
      <c r="EAV115" s="197" t="str">
        <f>VLOOKUP(EAU115,[13]AssetDetails_UEM!$A$3:$AH$1849,6,FALSE)</f>
        <v>Electrosurgical Units, Monopolar/Bipolar</v>
      </c>
      <c r="EAW115" s="196" t="s">
        <v>761</v>
      </c>
      <c r="EAX115" s="197" t="str">
        <f>VLOOKUP(EAW115,[13]AssetDetails_UEM!$A$3:$AH$1849,6,FALSE)</f>
        <v>Electrosurgical Units, Monopolar/Bipolar</v>
      </c>
      <c r="EAY115" s="196" t="s">
        <v>761</v>
      </c>
      <c r="EAZ115" s="197" t="str">
        <f>VLOOKUP(EAY115,[13]AssetDetails_UEM!$A$3:$AH$1849,6,FALSE)</f>
        <v>Electrosurgical Units, Monopolar/Bipolar</v>
      </c>
      <c r="EBA115" s="196" t="s">
        <v>761</v>
      </c>
      <c r="EBB115" s="197" t="str">
        <f>VLOOKUP(EBA115,[13]AssetDetails_UEM!$A$3:$AH$1849,6,FALSE)</f>
        <v>Electrosurgical Units, Monopolar/Bipolar</v>
      </c>
      <c r="EBC115" s="196" t="s">
        <v>761</v>
      </c>
      <c r="EBD115" s="197" t="str">
        <f>VLOOKUP(EBC115,[13]AssetDetails_UEM!$A$3:$AH$1849,6,FALSE)</f>
        <v>Electrosurgical Units, Monopolar/Bipolar</v>
      </c>
      <c r="EBE115" s="196" t="s">
        <v>761</v>
      </c>
      <c r="EBF115" s="197" t="str">
        <f>VLOOKUP(EBE115,[13]AssetDetails_UEM!$A$3:$AH$1849,6,FALSE)</f>
        <v>Electrosurgical Units, Monopolar/Bipolar</v>
      </c>
      <c r="EBG115" s="196" t="s">
        <v>761</v>
      </c>
      <c r="EBH115" s="197" t="str">
        <f>VLOOKUP(EBG115,[13]AssetDetails_UEM!$A$3:$AH$1849,6,FALSE)</f>
        <v>Electrosurgical Units, Monopolar/Bipolar</v>
      </c>
      <c r="EBI115" s="196" t="s">
        <v>761</v>
      </c>
      <c r="EBJ115" s="197" t="str">
        <f>VLOOKUP(EBI115,[13]AssetDetails_UEM!$A$3:$AH$1849,6,FALSE)</f>
        <v>Electrosurgical Units, Monopolar/Bipolar</v>
      </c>
      <c r="EBK115" s="196" t="s">
        <v>761</v>
      </c>
      <c r="EBL115" s="197" t="str">
        <f>VLOOKUP(EBK115,[13]AssetDetails_UEM!$A$3:$AH$1849,6,FALSE)</f>
        <v>Electrosurgical Units, Monopolar/Bipolar</v>
      </c>
      <c r="EBM115" s="196" t="s">
        <v>761</v>
      </c>
      <c r="EBN115" s="197" t="str">
        <f>VLOOKUP(EBM115,[13]AssetDetails_UEM!$A$3:$AH$1849,6,FALSE)</f>
        <v>Electrosurgical Units, Monopolar/Bipolar</v>
      </c>
      <c r="EBO115" s="196" t="s">
        <v>761</v>
      </c>
      <c r="EBP115" s="197" t="str">
        <f>VLOOKUP(EBO115,[13]AssetDetails_UEM!$A$3:$AH$1849,6,FALSE)</f>
        <v>Electrosurgical Units, Monopolar/Bipolar</v>
      </c>
      <c r="EBQ115" s="196" t="s">
        <v>761</v>
      </c>
      <c r="EBR115" s="197" t="str">
        <f>VLOOKUP(EBQ115,[13]AssetDetails_UEM!$A$3:$AH$1849,6,FALSE)</f>
        <v>Electrosurgical Units, Monopolar/Bipolar</v>
      </c>
      <c r="EBS115" s="196" t="s">
        <v>761</v>
      </c>
      <c r="EBT115" s="197" t="str">
        <f>VLOOKUP(EBS115,[13]AssetDetails_UEM!$A$3:$AH$1849,6,FALSE)</f>
        <v>Electrosurgical Units, Monopolar/Bipolar</v>
      </c>
      <c r="EBU115" s="196" t="s">
        <v>761</v>
      </c>
      <c r="EBV115" s="197" t="str">
        <f>VLOOKUP(EBU115,[13]AssetDetails_UEM!$A$3:$AH$1849,6,FALSE)</f>
        <v>Electrosurgical Units, Monopolar/Bipolar</v>
      </c>
      <c r="EBW115" s="196" t="s">
        <v>761</v>
      </c>
      <c r="EBX115" s="197" t="str">
        <f>VLOOKUP(EBW115,[13]AssetDetails_UEM!$A$3:$AH$1849,6,FALSE)</f>
        <v>Electrosurgical Units, Monopolar/Bipolar</v>
      </c>
      <c r="EBY115" s="196" t="s">
        <v>761</v>
      </c>
      <c r="EBZ115" s="197" t="str">
        <f>VLOOKUP(EBY115,[13]AssetDetails_UEM!$A$3:$AH$1849,6,FALSE)</f>
        <v>Electrosurgical Units, Monopolar/Bipolar</v>
      </c>
      <c r="ECA115" s="196" t="s">
        <v>761</v>
      </c>
      <c r="ECB115" s="197" t="str">
        <f>VLOOKUP(ECA115,[13]AssetDetails_UEM!$A$3:$AH$1849,6,FALSE)</f>
        <v>Electrosurgical Units, Monopolar/Bipolar</v>
      </c>
      <c r="ECC115" s="196" t="s">
        <v>761</v>
      </c>
      <c r="ECD115" s="197" t="str">
        <f>VLOOKUP(ECC115,[13]AssetDetails_UEM!$A$3:$AH$1849,6,FALSE)</f>
        <v>Electrosurgical Units, Monopolar/Bipolar</v>
      </c>
      <c r="ECE115" s="196" t="s">
        <v>761</v>
      </c>
      <c r="ECF115" s="197" t="str">
        <f>VLOOKUP(ECE115,[13]AssetDetails_UEM!$A$3:$AH$1849,6,FALSE)</f>
        <v>Electrosurgical Units, Monopolar/Bipolar</v>
      </c>
      <c r="ECG115" s="196" t="s">
        <v>761</v>
      </c>
      <c r="ECH115" s="197" t="str">
        <f>VLOOKUP(ECG115,[13]AssetDetails_UEM!$A$3:$AH$1849,6,FALSE)</f>
        <v>Electrosurgical Units, Monopolar/Bipolar</v>
      </c>
      <c r="ECI115" s="196" t="s">
        <v>761</v>
      </c>
      <c r="ECJ115" s="197" t="str">
        <f>VLOOKUP(ECI115,[13]AssetDetails_UEM!$A$3:$AH$1849,6,FALSE)</f>
        <v>Electrosurgical Units, Monopolar/Bipolar</v>
      </c>
      <c r="ECK115" s="196" t="s">
        <v>761</v>
      </c>
      <c r="ECL115" s="197" t="str">
        <f>VLOOKUP(ECK115,[13]AssetDetails_UEM!$A$3:$AH$1849,6,FALSE)</f>
        <v>Electrosurgical Units, Monopolar/Bipolar</v>
      </c>
      <c r="ECM115" s="196" t="s">
        <v>761</v>
      </c>
      <c r="ECN115" s="197" t="str">
        <f>VLOOKUP(ECM115,[13]AssetDetails_UEM!$A$3:$AH$1849,6,FALSE)</f>
        <v>Electrosurgical Units, Monopolar/Bipolar</v>
      </c>
      <c r="ECO115" s="196" t="s">
        <v>761</v>
      </c>
      <c r="ECP115" s="197" t="str">
        <f>VLOOKUP(ECO115,[13]AssetDetails_UEM!$A$3:$AH$1849,6,FALSE)</f>
        <v>Electrosurgical Units, Monopolar/Bipolar</v>
      </c>
      <c r="ECQ115" s="196" t="s">
        <v>761</v>
      </c>
      <c r="ECR115" s="197" t="str">
        <f>VLOOKUP(ECQ115,[13]AssetDetails_UEM!$A$3:$AH$1849,6,FALSE)</f>
        <v>Electrosurgical Units, Monopolar/Bipolar</v>
      </c>
      <c r="ECS115" s="196" t="s">
        <v>761</v>
      </c>
      <c r="ECT115" s="197" t="str">
        <f>VLOOKUP(ECS115,[13]AssetDetails_UEM!$A$3:$AH$1849,6,FALSE)</f>
        <v>Electrosurgical Units, Monopolar/Bipolar</v>
      </c>
      <c r="ECU115" s="196" t="s">
        <v>761</v>
      </c>
      <c r="ECV115" s="197" t="str">
        <f>VLOOKUP(ECU115,[13]AssetDetails_UEM!$A$3:$AH$1849,6,FALSE)</f>
        <v>Electrosurgical Units, Monopolar/Bipolar</v>
      </c>
      <c r="ECW115" s="196" t="s">
        <v>761</v>
      </c>
      <c r="ECX115" s="197" t="str">
        <f>VLOOKUP(ECW115,[13]AssetDetails_UEM!$A$3:$AH$1849,6,FALSE)</f>
        <v>Electrosurgical Units, Monopolar/Bipolar</v>
      </c>
      <c r="ECY115" s="196" t="s">
        <v>761</v>
      </c>
      <c r="ECZ115" s="197" t="str">
        <f>VLOOKUP(ECY115,[13]AssetDetails_UEM!$A$3:$AH$1849,6,FALSE)</f>
        <v>Electrosurgical Units, Monopolar/Bipolar</v>
      </c>
      <c r="EDA115" s="196" t="s">
        <v>761</v>
      </c>
      <c r="EDB115" s="197" t="str">
        <f>VLOOKUP(EDA115,[13]AssetDetails_UEM!$A$3:$AH$1849,6,FALSE)</f>
        <v>Electrosurgical Units, Monopolar/Bipolar</v>
      </c>
      <c r="EDC115" s="196" t="s">
        <v>761</v>
      </c>
      <c r="EDD115" s="197" t="str">
        <f>VLOOKUP(EDC115,[13]AssetDetails_UEM!$A$3:$AH$1849,6,FALSE)</f>
        <v>Electrosurgical Units, Monopolar/Bipolar</v>
      </c>
      <c r="EDE115" s="196" t="s">
        <v>761</v>
      </c>
      <c r="EDF115" s="197" t="str">
        <f>VLOOKUP(EDE115,[13]AssetDetails_UEM!$A$3:$AH$1849,6,FALSE)</f>
        <v>Electrosurgical Units, Monopolar/Bipolar</v>
      </c>
      <c r="EDG115" s="196" t="s">
        <v>761</v>
      </c>
      <c r="EDH115" s="197" t="str">
        <f>VLOOKUP(EDG115,[13]AssetDetails_UEM!$A$3:$AH$1849,6,FALSE)</f>
        <v>Electrosurgical Units, Monopolar/Bipolar</v>
      </c>
      <c r="EDI115" s="196" t="s">
        <v>761</v>
      </c>
      <c r="EDJ115" s="197" t="str">
        <f>VLOOKUP(EDI115,[13]AssetDetails_UEM!$A$3:$AH$1849,6,FALSE)</f>
        <v>Electrosurgical Units, Monopolar/Bipolar</v>
      </c>
      <c r="EDK115" s="196" t="s">
        <v>761</v>
      </c>
      <c r="EDL115" s="197" t="str">
        <f>VLOOKUP(EDK115,[13]AssetDetails_UEM!$A$3:$AH$1849,6,FALSE)</f>
        <v>Electrosurgical Units, Monopolar/Bipolar</v>
      </c>
      <c r="EDM115" s="196" t="s">
        <v>761</v>
      </c>
      <c r="EDN115" s="197" t="str">
        <f>VLOOKUP(EDM115,[13]AssetDetails_UEM!$A$3:$AH$1849,6,FALSE)</f>
        <v>Electrosurgical Units, Monopolar/Bipolar</v>
      </c>
      <c r="EDO115" s="196" t="s">
        <v>761</v>
      </c>
      <c r="EDP115" s="197" t="str">
        <f>VLOOKUP(EDO115,[13]AssetDetails_UEM!$A$3:$AH$1849,6,FALSE)</f>
        <v>Electrosurgical Units, Monopolar/Bipolar</v>
      </c>
      <c r="EDQ115" s="196" t="s">
        <v>761</v>
      </c>
      <c r="EDR115" s="197" t="str">
        <f>VLOOKUP(EDQ115,[13]AssetDetails_UEM!$A$3:$AH$1849,6,FALSE)</f>
        <v>Electrosurgical Units, Monopolar/Bipolar</v>
      </c>
      <c r="EDS115" s="196" t="s">
        <v>761</v>
      </c>
      <c r="EDT115" s="197" t="str">
        <f>VLOOKUP(EDS115,[13]AssetDetails_UEM!$A$3:$AH$1849,6,FALSE)</f>
        <v>Electrosurgical Units, Monopolar/Bipolar</v>
      </c>
      <c r="EDU115" s="196" t="s">
        <v>761</v>
      </c>
      <c r="EDV115" s="197" t="str">
        <f>VLOOKUP(EDU115,[13]AssetDetails_UEM!$A$3:$AH$1849,6,FALSE)</f>
        <v>Electrosurgical Units, Monopolar/Bipolar</v>
      </c>
      <c r="EDW115" s="196" t="s">
        <v>761</v>
      </c>
      <c r="EDX115" s="197" t="str">
        <f>VLOOKUP(EDW115,[13]AssetDetails_UEM!$A$3:$AH$1849,6,FALSE)</f>
        <v>Electrosurgical Units, Monopolar/Bipolar</v>
      </c>
      <c r="EDY115" s="196" t="s">
        <v>761</v>
      </c>
      <c r="EDZ115" s="197" t="str">
        <f>VLOOKUP(EDY115,[13]AssetDetails_UEM!$A$3:$AH$1849,6,FALSE)</f>
        <v>Electrosurgical Units, Monopolar/Bipolar</v>
      </c>
      <c r="EEA115" s="196" t="s">
        <v>761</v>
      </c>
      <c r="EEB115" s="197" t="str">
        <f>VLOOKUP(EEA115,[13]AssetDetails_UEM!$A$3:$AH$1849,6,FALSE)</f>
        <v>Electrosurgical Units, Monopolar/Bipolar</v>
      </c>
      <c r="EEC115" s="196" t="s">
        <v>761</v>
      </c>
      <c r="EED115" s="197" t="str">
        <f>VLOOKUP(EEC115,[13]AssetDetails_UEM!$A$3:$AH$1849,6,FALSE)</f>
        <v>Electrosurgical Units, Monopolar/Bipolar</v>
      </c>
      <c r="EEE115" s="196" t="s">
        <v>761</v>
      </c>
      <c r="EEF115" s="197" t="str">
        <f>VLOOKUP(EEE115,[13]AssetDetails_UEM!$A$3:$AH$1849,6,FALSE)</f>
        <v>Electrosurgical Units, Monopolar/Bipolar</v>
      </c>
      <c r="EEG115" s="196" t="s">
        <v>761</v>
      </c>
      <c r="EEH115" s="197" t="str">
        <f>VLOOKUP(EEG115,[13]AssetDetails_UEM!$A$3:$AH$1849,6,FALSE)</f>
        <v>Electrosurgical Units, Monopolar/Bipolar</v>
      </c>
      <c r="EEI115" s="196" t="s">
        <v>761</v>
      </c>
      <c r="EEJ115" s="197" t="str">
        <f>VLOOKUP(EEI115,[13]AssetDetails_UEM!$A$3:$AH$1849,6,FALSE)</f>
        <v>Electrosurgical Units, Monopolar/Bipolar</v>
      </c>
      <c r="EEK115" s="196" t="s">
        <v>761</v>
      </c>
      <c r="EEL115" s="197" t="str">
        <f>VLOOKUP(EEK115,[13]AssetDetails_UEM!$A$3:$AH$1849,6,FALSE)</f>
        <v>Electrosurgical Units, Monopolar/Bipolar</v>
      </c>
      <c r="EEM115" s="196" t="s">
        <v>761</v>
      </c>
      <c r="EEN115" s="197" t="str">
        <f>VLOOKUP(EEM115,[13]AssetDetails_UEM!$A$3:$AH$1849,6,FALSE)</f>
        <v>Electrosurgical Units, Monopolar/Bipolar</v>
      </c>
      <c r="EEO115" s="196" t="s">
        <v>761</v>
      </c>
      <c r="EEP115" s="197" t="str">
        <f>VLOOKUP(EEO115,[13]AssetDetails_UEM!$A$3:$AH$1849,6,FALSE)</f>
        <v>Electrosurgical Units, Monopolar/Bipolar</v>
      </c>
      <c r="EEQ115" s="196" t="s">
        <v>761</v>
      </c>
      <c r="EER115" s="197" t="str">
        <f>VLOOKUP(EEQ115,[13]AssetDetails_UEM!$A$3:$AH$1849,6,FALSE)</f>
        <v>Electrosurgical Units, Monopolar/Bipolar</v>
      </c>
      <c r="EES115" s="196" t="s">
        <v>761</v>
      </c>
      <c r="EET115" s="197" t="str">
        <f>VLOOKUP(EES115,[13]AssetDetails_UEM!$A$3:$AH$1849,6,FALSE)</f>
        <v>Electrosurgical Units, Monopolar/Bipolar</v>
      </c>
      <c r="EEU115" s="196" t="s">
        <v>761</v>
      </c>
      <c r="EEV115" s="197" t="str">
        <f>VLOOKUP(EEU115,[13]AssetDetails_UEM!$A$3:$AH$1849,6,FALSE)</f>
        <v>Electrosurgical Units, Monopolar/Bipolar</v>
      </c>
      <c r="EEW115" s="196" t="s">
        <v>761</v>
      </c>
      <c r="EEX115" s="197" t="str">
        <f>VLOOKUP(EEW115,[13]AssetDetails_UEM!$A$3:$AH$1849,6,FALSE)</f>
        <v>Electrosurgical Units, Monopolar/Bipolar</v>
      </c>
      <c r="EEY115" s="196" t="s">
        <v>761</v>
      </c>
      <c r="EEZ115" s="197" t="str">
        <f>VLOOKUP(EEY115,[13]AssetDetails_UEM!$A$3:$AH$1849,6,FALSE)</f>
        <v>Electrosurgical Units, Monopolar/Bipolar</v>
      </c>
      <c r="EFA115" s="196" t="s">
        <v>761</v>
      </c>
      <c r="EFB115" s="197" t="str">
        <f>VLOOKUP(EFA115,[13]AssetDetails_UEM!$A$3:$AH$1849,6,FALSE)</f>
        <v>Electrosurgical Units, Monopolar/Bipolar</v>
      </c>
      <c r="EFC115" s="196" t="s">
        <v>761</v>
      </c>
      <c r="EFD115" s="197" t="str">
        <f>VLOOKUP(EFC115,[13]AssetDetails_UEM!$A$3:$AH$1849,6,FALSE)</f>
        <v>Electrosurgical Units, Monopolar/Bipolar</v>
      </c>
      <c r="EFE115" s="196" t="s">
        <v>761</v>
      </c>
      <c r="EFF115" s="197" t="str">
        <f>VLOOKUP(EFE115,[13]AssetDetails_UEM!$A$3:$AH$1849,6,FALSE)</f>
        <v>Electrosurgical Units, Monopolar/Bipolar</v>
      </c>
      <c r="EFG115" s="196" t="s">
        <v>761</v>
      </c>
      <c r="EFH115" s="197" t="str">
        <f>VLOOKUP(EFG115,[13]AssetDetails_UEM!$A$3:$AH$1849,6,FALSE)</f>
        <v>Electrosurgical Units, Monopolar/Bipolar</v>
      </c>
      <c r="EFI115" s="196" t="s">
        <v>761</v>
      </c>
      <c r="EFJ115" s="197" t="str">
        <f>VLOOKUP(EFI115,[13]AssetDetails_UEM!$A$3:$AH$1849,6,FALSE)</f>
        <v>Electrosurgical Units, Monopolar/Bipolar</v>
      </c>
      <c r="EFK115" s="196" t="s">
        <v>761</v>
      </c>
      <c r="EFL115" s="197" t="str">
        <f>VLOOKUP(EFK115,[13]AssetDetails_UEM!$A$3:$AH$1849,6,FALSE)</f>
        <v>Electrosurgical Units, Monopolar/Bipolar</v>
      </c>
      <c r="EFM115" s="196" t="s">
        <v>761</v>
      </c>
      <c r="EFN115" s="197" t="str">
        <f>VLOOKUP(EFM115,[13]AssetDetails_UEM!$A$3:$AH$1849,6,FALSE)</f>
        <v>Electrosurgical Units, Monopolar/Bipolar</v>
      </c>
      <c r="EFO115" s="196" t="s">
        <v>761</v>
      </c>
      <c r="EFP115" s="197" t="str">
        <f>VLOOKUP(EFO115,[13]AssetDetails_UEM!$A$3:$AH$1849,6,FALSE)</f>
        <v>Electrosurgical Units, Monopolar/Bipolar</v>
      </c>
      <c r="EFQ115" s="196" t="s">
        <v>761</v>
      </c>
      <c r="EFR115" s="197" t="str">
        <f>VLOOKUP(EFQ115,[13]AssetDetails_UEM!$A$3:$AH$1849,6,FALSE)</f>
        <v>Electrosurgical Units, Monopolar/Bipolar</v>
      </c>
      <c r="EFS115" s="196" t="s">
        <v>761</v>
      </c>
      <c r="EFT115" s="197" t="str">
        <f>VLOOKUP(EFS115,[13]AssetDetails_UEM!$A$3:$AH$1849,6,FALSE)</f>
        <v>Electrosurgical Units, Monopolar/Bipolar</v>
      </c>
      <c r="EFU115" s="196" t="s">
        <v>761</v>
      </c>
      <c r="EFV115" s="197" t="str">
        <f>VLOOKUP(EFU115,[13]AssetDetails_UEM!$A$3:$AH$1849,6,FALSE)</f>
        <v>Electrosurgical Units, Monopolar/Bipolar</v>
      </c>
      <c r="EFW115" s="196" t="s">
        <v>761</v>
      </c>
      <c r="EFX115" s="197" t="str">
        <f>VLOOKUP(EFW115,[13]AssetDetails_UEM!$A$3:$AH$1849,6,FALSE)</f>
        <v>Electrosurgical Units, Monopolar/Bipolar</v>
      </c>
      <c r="EFY115" s="196" t="s">
        <v>761</v>
      </c>
      <c r="EFZ115" s="197" t="str">
        <f>VLOOKUP(EFY115,[13]AssetDetails_UEM!$A$3:$AH$1849,6,FALSE)</f>
        <v>Electrosurgical Units, Monopolar/Bipolar</v>
      </c>
      <c r="EGA115" s="196" t="s">
        <v>761</v>
      </c>
      <c r="EGB115" s="197" t="str">
        <f>VLOOKUP(EGA115,[13]AssetDetails_UEM!$A$3:$AH$1849,6,FALSE)</f>
        <v>Electrosurgical Units, Monopolar/Bipolar</v>
      </c>
      <c r="EGC115" s="196" t="s">
        <v>761</v>
      </c>
      <c r="EGD115" s="197" t="str">
        <f>VLOOKUP(EGC115,[13]AssetDetails_UEM!$A$3:$AH$1849,6,FALSE)</f>
        <v>Electrosurgical Units, Monopolar/Bipolar</v>
      </c>
      <c r="EGE115" s="196" t="s">
        <v>761</v>
      </c>
      <c r="EGF115" s="197" t="str">
        <f>VLOOKUP(EGE115,[13]AssetDetails_UEM!$A$3:$AH$1849,6,FALSE)</f>
        <v>Electrosurgical Units, Monopolar/Bipolar</v>
      </c>
      <c r="EGG115" s="196" t="s">
        <v>761</v>
      </c>
      <c r="EGH115" s="197" t="str">
        <f>VLOOKUP(EGG115,[13]AssetDetails_UEM!$A$3:$AH$1849,6,FALSE)</f>
        <v>Electrosurgical Units, Monopolar/Bipolar</v>
      </c>
      <c r="EGI115" s="196" t="s">
        <v>761</v>
      </c>
      <c r="EGJ115" s="197" t="str">
        <f>VLOOKUP(EGI115,[13]AssetDetails_UEM!$A$3:$AH$1849,6,FALSE)</f>
        <v>Electrosurgical Units, Monopolar/Bipolar</v>
      </c>
      <c r="EGK115" s="196" t="s">
        <v>761</v>
      </c>
      <c r="EGL115" s="197" t="str">
        <f>VLOOKUP(EGK115,[13]AssetDetails_UEM!$A$3:$AH$1849,6,FALSE)</f>
        <v>Electrosurgical Units, Monopolar/Bipolar</v>
      </c>
      <c r="EGM115" s="196" t="s">
        <v>761</v>
      </c>
      <c r="EGN115" s="197" t="str">
        <f>VLOOKUP(EGM115,[13]AssetDetails_UEM!$A$3:$AH$1849,6,FALSE)</f>
        <v>Electrosurgical Units, Monopolar/Bipolar</v>
      </c>
      <c r="EGO115" s="196" t="s">
        <v>761</v>
      </c>
      <c r="EGP115" s="197" t="str">
        <f>VLOOKUP(EGO115,[13]AssetDetails_UEM!$A$3:$AH$1849,6,FALSE)</f>
        <v>Electrosurgical Units, Monopolar/Bipolar</v>
      </c>
      <c r="EGQ115" s="196" t="s">
        <v>761</v>
      </c>
      <c r="EGR115" s="197" t="str">
        <f>VLOOKUP(EGQ115,[13]AssetDetails_UEM!$A$3:$AH$1849,6,FALSE)</f>
        <v>Electrosurgical Units, Monopolar/Bipolar</v>
      </c>
      <c r="EGS115" s="196" t="s">
        <v>761</v>
      </c>
      <c r="EGT115" s="197" t="str">
        <f>VLOOKUP(EGS115,[13]AssetDetails_UEM!$A$3:$AH$1849,6,FALSE)</f>
        <v>Electrosurgical Units, Monopolar/Bipolar</v>
      </c>
      <c r="EGU115" s="196" t="s">
        <v>761</v>
      </c>
      <c r="EGV115" s="197" t="str">
        <f>VLOOKUP(EGU115,[13]AssetDetails_UEM!$A$3:$AH$1849,6,FALSE)</f>
        <v>Electrosurgical Units, Monopolar/Bipolar</v>
      </c>
      <c r="EGW115" s="196" t="s">
        <v>761</v>
      </c>
      <c r="EGX115" s="197" t="str">
        <f>VLOOKUP(EGW115,[13]AssetDetails_UEM!$A$3:$AH$1849,6,FALSE)</f>
        <v>Electrosurgical Units, Monopolar/Bipolar</v>
      </c>
      <c r="EGY115" s="196" t="s">
        <v>761</v>
      </c>
      <c r="EGZ115" s="197" t="str">
        <f>VLOOKUP(EGY115,[13]AssetDetails_UEM!$A$3:$AH$1849,6,FALSE)</f>
        <v>Electrosurgical Units, Monopolar/Bipolar</v>
      </c>
      <c r="EHA115" s="196" t="s">
        <v>761</v>
      </c>
      <c r="EHB115" s="197" t="str">
        <f>VLOOKUP(EHA115,[13]AssetDetails_UEM!$A$3:$AH$1849,6,FALSE)</f>
        <v>Electrosurgical Units, Monopolar/Bipolar</v>
      </c>
      <c r="EHC115" s="196" t="s">
        <v>761</v>
      </c>
      <c r="EHD115" s="197" t="str">
        <f>VLOOKUP(EHC115,[13]AssetDetails_UEM!$A$3:$AH$1849,6,FALSE)</f>
        <v>Electrosurgical Units, Monopolar/Bipolar</v>
      </c>
      <c r="EHE115" s="196" t="s">
        <v>761</v>
      </c>
      <c r="EHF115" s="197" t="str">
        <f>VLOOKUP(EHE115,[13]AssetDetails_UEM!$A$3:$AH$1849,6,FALSE)</f>
        <v>Electrosurgical Units, Monopolar/Bipolar</v>
      </c>
      <c r="EHG115" s="196" t="s">
        <v>761</v>
      </c>
      <c r="EHH115" s="197" t="str">
        <f>VLOOKUP(EHG115,[13]AssetDetails_UEM!$A$3:$AH$1849,6,FALSE)</f>
        <v>Electrosurgical Units, Monopolar/Bipolar</v>
      </c>
      <c r="EHI115" s="196" t="s">
        <v>761</v>
      </c>
      <c r="EHJ115" s="197" t="str">
        <f>VLOOKUP(EHI115,[13]AssetDetails_UEM!$A$3:$AH$1849,6,FALSE)</f>
        <v>Electrosurgical Units, Monopolar/Bipolar</v>
      </c>
      <c r="EHK115" s="196" t="s">
        <v>761</v>
      </c>
      <c r="EHL115" s="197" t="str">
        <f>VLOOKUP(EHK115,[13]AssetDetails_UEM!$A$3:$AH$1849,6,FALSE)</f>
        <v>Electrosurgical Units, Monopolar/Bipolar</v>
      </c>
      <c r="EHM115" s="196" t="s">
        <v>761</v>
      </c>
      <c r="EHN115" s="197" t="str">
        <f>VLOOKUP(EHM115,[13]AssetDetails_UEM!$A$3:$AH$1849,6,FALSE)</f>
        <v>Electrosurgical Units, Monopolar/Bipolar</v>
      </c>
      <c r="EHO115" s="196" t="s">
        <v>761</v>
      </c>
      <c r="EHP115" s="197" t="str">
        <f>VLOOKUP(EHO115,[13]AssetDetails_UEM!$A$3:$AH$1849,6,FALSE)</f>
        <v>Electrosurgical Units, Monopolar/Bipolar</v>
      </c>
      <c r="EHQ115" s="196" t="s">
        <v>761</v>
      </c>
      <c r="EHR115" s="197" t="str">
        <f>VLOOKUP(EHQ115,[13]AssetDetails_UEM!$A$3:$AH$1849,6,FALSE)</f>
        <v>Electrosurgical Units, Monopolar/Bipolar</v>
      </c>
      <c r="EHS115" s="196" t="s">
        <v>761</v>
      </c>
      <c r="EHT115" s="197" t="str">
        <f>VLOOKUP(EHS115,[13]AssetDetails_UEM!$A$3:$AH$1849,6,FALSE)</f>
        <v>Electrosurgical Units, Monopolar/Bipolar</v>
      </c>
      <c r="EHU115" s="196" t="s">
        <v>761</v>
      </c>
      <c r="EHV115" s="197" t="str">
        <f>VLOOKUP(EHU115,[13]AssetDetails_UEM!$A$3:$AH$1849,6,FALSE)</f>
        <v>Electrosurgical Units, Monopolar/Bipolar</v>
      </c>
      <c r="EHW115" s="196" t="s">
        <v>761</v>
      </c>
      <c r="EHX115" s="197" t="str">
        <f>VLOOKUP(EHW115,[13]AssetDetails_UEM!$A$3:$AH$1849,6,FALSE)</f>
        <v>Electrosurgical Units, Monopolar/Bipolar</v>
      </c>
      <c r="EHY115" s="196" t="s">
        <v>761</v>
      </c>
      <c r="EHZ115" s="197" t="str">
        <f>VLOOKUP(EHY115,[13]AssetDetails_UEM!$A$3:$AH$1849,6,FALSE)</f>
        <v>Electrosurgical Units, Monopolar/Bipolar</v>
      </c>
      <c r="EIA115" s="196" t="s">
        <v>761</v>
      </c>
      <c r="EIB115" s="197" t="str">
        <f>VLOOKUP(EIA115,[13]AssetDetails_UEM!$A$3:$AH$1849,6,FALSE)</f>
        <v>Electrosurgical Units, Monopolar/Bipolar</v>
      </c>
      <c r="EIC115" s="196" t="s">
        <v>761</v>
      </c>
      <c r="EID115" s="197" t="str">
        <f>VLOOKUP(EIC115,[13]AssetDetails_UEM!$A$3:$AH$1849,6,FALSE)</f>
        <v>Electrosurgical Units, Monopolar/Bipolar</v>
      </c>
      <c r="EIE115" s="196" t="s">
        <v>761</v>
      </c>
      <c r="EIF115" s="197" t="str">
        <f>VLOOKUP(EIE115,[13]AssetDetails_UEM!$A$3:$AH$1849,6,FALSE)</f>
        <v>Electrosurgical Units, Monopolar/Bipolar</v>
      </c>
      <c r="EIG115" s="196" t="s">
        <v>761</v>
      </c>
      <c r="EIH115" s="197" t="str">
        <f>VLOOKUP(EIG115,[13]AssetDetails_UEM!$A$3:$AH$1849,6,FALSE)</f>
        <v>Electrosurgical Units, Monopolar/Bipolar</v>
      </c>
      <c r="EII115" s="196" t="s">
        <v>761</v>
      </c>
      <c r="EIJ115" s="197" t="str">
        <f>VLOOKUP(EII115,[13]AssetDetails_UEM!$A$3:$AH$1849,6,FALSE)</f>
        <v>Electrosurgical Units, Monopolar/Bipolar</v>
      </c>
      <c r="EIK115" s="196" t="s">
        <v>761</v>
      </c>
      <c r="EIL115" s="197" t="str">
        <f>VLOOKUP(EIK115,[13]AssetDetails_UEM!$A$3:$AH$1849,6,FALSE)</f>
        <v>Electrosurgical Units, Monopolar/Bipolar</v>
      </c>
      <c r="EIM115" s="196" t="s">
        <v>761</v>
      </c>
      <c r="EIN115" s="197" t="str">
        <f>VLOOKUP(EIM115,[13]AssetDetails_UEM!$A$3:$AH$1849,6,FALSE)</f>
        <v>Electrosurgical Units, Monopolar/Bipolar</v>
      </c>
      <c r="EIO115" s="196" t="s">
        <v>761</v>
      </c>
      <c r="EIP115" s="197" t="str">
        <f>VLOOKUP(EIO115,[13]AssetDetails_UEM!$A$3:$AH$1849,6,FALSE)</f>
        <v>Electrosurgical Units, Monopolar/Bipolar</v>
      </c>
      <c r="EIQ115" s="196" t="s">
        <v>761</v>
      </c>
      <c r="EIR115" s="197" t="str">
        <f>VLOOKUP(EIQ115,[13]AssetDetails_UEM!$A$3:$AH$1849,6,FALSE)</f>
        <v>Electrosurgical Units, Monopolar/Bipolar</v>
      </c>
      <c r="EIS115" s="196" t="s">
        <v>761</v>
      </c>
      <c r="EIT115" s="197" t="str">
        <f>VLOOKUP(EIS115,[13]AssetDetails_UEM!$A$3:$AH$1849,6,FALSE)</f>
        <v>Electrosurgical Units, Monopolar/Bipolar</v>
      </c>
      <c r="EIU115" s="196" t="s">
        <v>761</v>
      </c>
      <c r="EIV115" s="197" t="str">
        <f>VLOOKUP(EIU115,[13]AssetDetails_UEM!$A$3:$AH$1849,6,FALSE)</f>
        <v>Electrosurgical Units, Monopolar/Bipolar</v>
      </c>
      <c r="EIW115" s="196" t="s">
        <v>761</v>
      </c>
      <c r="EIX115" s="197" t="str">
        <f>VLOOKUP(EIW115,[13]AssetDetails_UEM!$A$3:$AH$1849,6,FALSE)</f>
        <v>Electrosurgical Units, Monopolar/Bipolar</v>
      </c>
      <c r="EIY115" s="196" t="s">
        <v>761</v>
      </c>
      <c r="EIZ115" s="197" t="str">
        <f>VLOOKUP(EIY115,[13]AssetDetails_UEM!$A$3:$AH$1849,6,FALSE)</f>
        <v>Electrosurgical Units, Monopolar/Bipolar</v>
      </c>
      <c r="EJA115" s="196" t="s">
        <v>761</v>
      </c>
      <c r="EJB115" s="197" t="str">
        <f>VLOOKUP(EJA115,[13]AssetDetails_UEM!$A$3:$AH$1849,6,FALSE)</f>
        <v>Electrosurgical Units, Monopolar/Bipolar</v>
      </c>
      <c r="EJC115" s="196" t="s">
        <v>761</v>
      </c>
      <c r="EJD115" s="197" t="str">
        <f>VLOOKUP(EJC115,[13]AssetDetails_UEM!$A$3:$AH$1849,6,FALSE)</f>
        <v>Electrosurgical Units, Monopolar/Bipolar</v>
      </c>
      <c r="EJE115" s="196" t="s">
        <v>761</v>
      </c>
      <c r="EJF115" s="197" t="str">
        <f>VLOOKUP(EJE115,[13]AssetDetails_UEM!$A$3:$AH$1849,6,FALSE)</f>
        <v>Electrosurgical Units, Monopolar/Bipolar</v>
      </c>
      <c r="EJG115" s="196" t="s">
        <v>761</v>
      </c>
      <c r="EJH115" s="197" t="str">
        <f>VLOOKUP(EJG115,[13]AssetDetails_UEM!$A$3:$AH$1849,6,FALSE)</f>
        <v>Electrosurgical Units, Monopolar/Bipolar</v>
      </c>
      <c r="EJI115" s="196" t="s">
        <v>761</v>
      </c>
      <c r="EJJ115" s="197" t="str">
        <f>VLOOKUP(EJI115,[13]AssetDetails_UEM!$A$3:$AH$1849,6,FALSE)</f>
        <v>Electrosurgical Units, Monopolar/Bipolar</v>
      </c>
      <c r="EJK115" s="196" t="s">
        <v>761</v>
      </c>
      <c r="EJL115" s="197" t="str">
        <f>VLOOKUP(EJK115,[13]AssetDetails_UEM!$A$3:$AH$1849,6,FALSE)</f>
        <v>Electrosurgical Units, Monopolar/Bipolar</v>
      </c>
      <c r="EJM115" s="196" t="s">
        <v>761</v>
      </c>
      <c r="EJN115" s="197" t="str">
        <f>VLOOKUP(EJM115,[13]AssetDetails_UEM!$A$3:$AH$1849,6,FALSE)</f>
        <v>Electrosurgical Units, Monopolar/Bipolar</v>
      </c>
      <c r="EJO115" s="196" t="s">
        <v>761</v>
      </c>
      <c r="EJP115" s="197" t="str">
        <f>VLOOKUP(EJO115,[13]AssetDetails_UEM!$A$3:$AH$1849,6,FALSE)</f>
        <v>Electrosurgical Units, Monopolar/Bipolar</v>
      </c>
      <c r="EJQ115" s="196" t="s">
        <v>761</v>
      </c>
      <c r="EJR115" s="197" t="str">
        <f>VLOOKUP(EJQ115,[13]AssetDetails_UEM!$A$3:$AH$1849,6,FALSE)</f>
        <v>Electrosurgical Units, Monopolar/Bipolar</v>
      </c>
      <c r="EJS115" s="196" t="s">
        <v>761</v>
      </c>
      <c r="EJT115" s="197" t="str">
        <f>VLOOKUP(EJS115,[13]AssetDetails_UEM!$A$3:$AH$1849,6,FALSE)</f>
        <v>Electrosurgical Units, Monopolar/Bipolar</v>
      </c>
      <c r="EJU115" s="196" t="s">
        <v>761</v>
      </c>
      <c r="EJV115" s="197" t="str">
        <f>VLOOKUP(EJU115,[13]AssetDetails_UEM!$A$3:$AH$1849,6,FALSE)</f>
        <v>Electrosurgical Units, Monopolar/Bipolar</v>
      </c>
      <c r="EJW115" s="196" t="s">
        <v>761</v>
      </c>
      <c r="EJX115" s="197" t="str">
        <f>VLOOKUP(EJW115,[13]AssetDetails_UEM!$A$3:$AH$1849,6,FALSE)</f>
        <v>Electrosurgical Units, Monopolar/Bipolar</v>
      </c>
      <c r="EJY115" s="196" t="s">
        <v>761</v>
      </c>
      <c r="EJZ115" s="197" t="str">
        <f>VLOOKUP(EJY115,[13]AssetDetails_UEM!$A$3:$AH$1849,6,FALSE)</f>
        <v>Electrosurgical Units, Monopolar/Bipolar</v>
      </c>
      <c r="EKA115" s="196" t="s">
        <v>761</v>
      </c>
      <c r="EKB115" s="197" t="str">
        <f>VLOOKUP(EKA115,[13]AssetDetails_UEM!$A$3:$AH$1849,6,FALSE)</f>
        <v>Electrosurgical Units, Monopolar/Bipolar</v>
      </c>
      <c r="EKC115" s="196" t="s">
        <v>761</v>
      </c>
      <c r="EKD115" s="197" t="str">
        <f>VLOOKUP(EKC115,[13]AssetDetails_UEM!$A$3:$AH$1849,6,FALSE)</f>
        <v>Electrosurgical Units, Monopolar/Bipolar</v>
      </c>
      <c r="EKE115" s="196" t="s">
        <v>761</v>
      </c>
      <c r="EKF115" s="197" t="str">
        <f>VLOOKUP(EKE115,[13]AssetDetails_UEM!$A$3:$AH$1849,6,FALSE)</f>
        <v>Electrosurgical Units, Monopolar/Bipolar</v>
      </c>
      <c r="EKG115" s="196" t="s">
        <v>761</v>
      </c>
      <c r="EKH115" s="197" t="str">
        <f>VLOOKUP(EKG115,[13]AssetDetails_UEM!$A$3:$AH$1849,6,FALSE)</f>
        <v>Electrosurgical Units, Monopolar/Bipolar</v>
      </c>
      <c r="EKI115" s="196" t="s">
        <v>761</v>
      </c>
      <c r="EKJ115" s="197" t="str">
        <f>VLOOKUP(EKI115,[13]AssetDetails_UEM!$A$3:$AH$1849,6,FALSE)</f>
        <v>Electrosurgical Units, Monopolar/Bipolar</v>
      </c>
      <c r="EKK115" s="196" t="s">
        <v>761</v>
      </c>
      <c r="EKL115" s="197" t="str">
        <f>VLOOKUP(EKK115,[13]AssetDetails_UEM!$A$3:$AH$1849,6,FALSE)</f>
        <v>Electrosurgical Units, Monopolar/Bipolar</v>
      </c>
      <c r="EKM115" s="196" t="s">
        <v>761</v>
      </c>
      <c r="EKN115" s="197" t="str">
        <f>VLOOKUP(EKM115,[13]AssetDetails_UEM!$A$3:$AH$1849,6,FALSE)</f>
        <v>Electrosurgical Units, Monopolar/Bipolar</v>
      </c>
      <c r="EKO115" s="196" t="s">
        <v>761</v>
      </c>
      <c r="EKP115" s="197" t="str">
        <f>VLOOKUP(EKO115,[13]AssetDetails_UEM!$A$3:$AH$1849,6,FALSE)</f>
        <v>Electrosurgical Units, Monopolar/Bipolar</v>
      </c>
      <c r="EKQ115" s="196" t="s">
        <v>761</v>
      </c>
      <c r="EKR115" s="197" t="str">
        <f>VLOOKUP(EKQ115,[13]AssetDetails_UEM!$A$3:$AH$1849,6,FALSE)</f>
        <v>Electrosurgical Units, Monopolar/Bipolar</v>
      </c>
      <c r="EKS115" s="196" t="s">
        <v>761</v>
      </c>
      <c r="EKT115" s="197" t="str">
        <f>VLOOKUP(EKS115,[13]AssetDetails_UEM!$A$3:$AH$1849,6,FALSE)</f>
        <v>Electrosurgical Units, Monopolar/Bipolar</v>
      </c>
      <c r="EKU115" s="196" t="s">
        <v>761</v>
      </c>
      <c r="EKV115" s="197" t="str">
        <f>VLOOKUP(EKU115,[13]AssetDetails_UEM!$A$3:$AH$1849,6,FALSE)</f>
        <v>Electrosurgical Units, Monopolar/Bipolar</v>
      </c>
      <c r="EKW115" s="196" t="s">
        <v>761</v>
      </c>
      <c r="EKX115" s="197" t="str">
        <f>VLOOKUP(EKW115,[13]AssetDetails_UEM!$A$3:$AH$1849,6,FALSE)</f>
        <v>Electrosurgical Units, Monopolar/Bipolar</v>
      </c>
      <c r="EKY115" s="196" t="s">
        <v>761</v>
      </c>
      <c r="EKZ115" s="197" t="str">
        <f>VLOOKUP(EKY115,[13]AssetDetails_UEM!$A$3:$AH$1849,6,FALSE)</f>
        <v>Electrosurgical Units, Monopolar/Bipolar</v>
      </c>
      <c r="ELA115" s="196" t="s">
        <v>761</v>
      </c>
      <c r="ELB115" s="197" t="str">
        <f>VLOOKUP(ELA115,[13]AssetDetails_UEM!$A$3:$AH$1849,6,FALSE)</f>
        <v>Electrosurgical Units, Monopolar/Bipolar</v>
      </c>
      <c r="ELC115" s="196" t="s">
        <v>761</v>
      </c>
      <c r="ELD115" s="197" t="str">
        <f>VLOOKUP(ELC115,[13]AssetDetails_UEM!$A$3:$AH$1849,6,FALSE)</f>
        <v>Electrosurgical Units, Monopolar/Bipolar</v>
      </c>
      <c r="ELE115" s="196" t="s">
        <v>761</v>
      </c>
      <c r="ELF115" s="197" t="str">
        <f>VLOOKUP(ELE115,[13]AssetDetails_UEM!$A$3:$AH$1849,6,FALSE)</f>
        <v>Electrosurgical Units, Monopolar/Bipolar</v>
      </c>
      <c r="ELG115" s="196" t="s">
        <v>761</v>
      </c>
      <c r="ELH115" s="197" t="str">
        <f>VLOOKUP(ELG115,[13]AssetDetails_UEM!$A$3:$AH$1849,6,FALSE)</f>
        <v>Electrosurgical Units, Monopolar/Bipolar</v>
      </c>
      <c r="ELI115" s="196" t="s">
        <v>761</v>
      </c>
      <c r="ELJ115" s="197" t="str">
        <f>VLOOKUP(ELI115,[13]AssetDetails_UEM!$A$3:$AH$1849,6,FALSE)</f>
        <v>Electrosurgical Units, Monopolar/Bipolar</v>
      </c>
      <c r="ELK115" s="196" t="s">
        <v>761</v>
      </c>
      <c r="ELL115" s="197" t="str">
        <f>VLOOKUP(ELK115,[13]AssetDetails_UEM!$A$3:$AH$1849,6,FALSE)</f>
        <v>Electrosurgical Units, Monopolar/Bipolar</v>
      </c>
      <c r="ELM115" s="196" t="s">
        <v>761</v>
      </c>
      <c r="ELN115" s="197" t="str">
        <f>VLOOKUP(ELM115,[13]AssetDetails_UEM!$A$3:$AH$1849,6,FALSE)</f>
        <v>Electrosurgical Units, Monopolar/Bipolar</v>
      </c>
      <c r="ELO115" s="196" t="s">
        <v>761</v>
      </c>
      <c r="ELP115" s="197" t="str">
        <f>VLOOKUP(ELO115,[13]AssetDetails_UEM!$A$3:$AH$1849,6,FALSE)</f>
        <v>Electrosurgical Units, Monopolar/Bipolar</v>
      </c>
      <c r="ELQ115" s="196" t="s">
        <v>761</v>
      </c>
      <c r="ELR115" s="197" t="str">
        <f>VLOOKUP(ELQ115,[13]AssetDetails_UEM!$A$3:$AH$1849,6,FALSE)</f>
        <v>Electrosurgical Units, Monopolar/Bipolar</v>
      </c>
      <c r="ELS115" s="196" t="s">
        <v>761</v>
      </c>
      <c r="ELT115" s="197" t="str">
        <f>VLOOKUP(ELS115,[13]AssetDetails_UEM!$A$3:$AH$1849,6,FALSE)</f>
        <v>Electrosurgical Units, Monopolar/Bipolar</v>
      </c>
      <c r="ELU115" s="196" t="s">
        <v>761</v>
      </c>
      <c r="ELV115" s="197" t="str">
        <f>VLOOKUP(ELU115,[13]AssetDetails_UEM!$A$3:$AH$1849,6,FALSE)</f>
        <v>Electrosurgical Units, Monopolar/Bipolar</v>
      </c>
      <c r="ELW115" s="196" t="s">
        <v>761</v>
      </c>
      <c r="ELX115" s="197" t="str">
        <f>VLOOKUP(ELW115,[13]AssetDetails_UEM!$A$3:$AH$1849,6,FALSE)</f>
        <v>Electrosurgical Units, Monopolar/Bipolar</v>
      </c>
      <c r="ELY115" s="196" t="s">
        <v>761</v>
      </c>
      <c r="ELZ115" s="197" t="str">
        <f>VLOOKUP(ELY115,[13]AssetDetails_UEM!$A$3:$AH$1849,6,FALSE)</f>
        <v>Electrosurgical Units, Monopolar/Bipolar</v>
      </c>
      <c r="EMA115" s="196" t="s">
        <v>761</v>
      </c>
      <c r="EMB115" s="197" t="str">
        <f>VLOOKUP(EMA115,[13]AssetDetails_UEM!$A$3:$AH$1849,6,FALSE)</f>
        <v>Electrosurgical Units, Monopolar/Bipolar</v>
      </c>
      <c r="EMC115" s="196" t="s">
        <v>761</v>
      </c>
      <c r="EMD115" s="197" t="str">
        <f>VLOOKUP(EMC115,[13]AssetDetails_UEM!$A$3:$AH$1849,6,FALSE)</f>
        <v>Electrosurgical Units, Monopolar/Bipolar</v>
      </c>
      <c r="EME115" s="196" t="s">
        <v>761</v>
      </c>
      <c r="EMF115" s="197" t="str">
        <f>VLOOKUP(EME115,[13]AssetDetails_UEM!$A$3:$AH$1849,6,FALSE)</f>
        <v>Electrosurgical Units, Monopolar/Bipolar</v>
      </c>
      <c r="EMG115" s="196" t="s">
        <v>761</v>
      </c>
      <c r="EMH115" s="197" t="str">
        <f>VLOOKUP(EMG115,[13]AssetDetails_UEM!$A$3:$AH$1849,6,FALSE)</f>
        <v>Electrosurgical Units, Monopolar/Bipolar</v>
      </c>
      <c r="EMI115" s="196" t="s">
        <v>761</v>
      </c>
      <c r="EMJ115" s="197" t="str">
        <f>VLOOKUP(EMI115,[13]AssetDetails_UEM!$A$3:$AH$1849,6,FALSE)</f>
        <v>Electrosurgical Units, Monopolar/Bipolar</v>
      </c>
      <c r="EMK115" s="196" t="s">
        <v>761</v>
      </c>
      <c r="EML115" s="197" t="str">
        <f>VLOOKUP(EMK115,[13]AssetDetails_UEM!$A$3:$AH$1849,6,FALSE)</f>
        <v>Electrosurgical Units, Monopolar/Bipolar</v>
      </c>
      <c r="EMM115" s="196" t="s">
        <v>761</v>
      </c>
      <c r="EMN115" s="197" t="str">
        <f>VLOOKUP(EMM115,[13]AssetDetails_UEM!$A$3:$AH$1849,6,FALSE)</f>
        <v>Electrosurgical Units, Monopolar/Bipolar</v>
      </c>
      <c r="EMO115" s="196" t="s">
        <v>761</v>
      </c>
      <c r="EMP115" s="197" t="str">
        <f>VLOOKUP(EMO115,[13]AssetDetails_UEM!$A$3:$AH$1849,6,FALSE)</f>
        <v>Electrosurgical Units, Monopolar/Bipolar</v>
      </c>
      <c r="EMQ115" s="196" t="s">
        <v>761</v>
      </c>
      <c r="EMR115" s="197" t="str">
        <f>VLOOKUP(EMQ115,[13]AssetDetails_UEM!$A$3:$AH$1849,6,FALSE)</f>
        <v>Electrosurgical Units, Monopolar/Bipolar</v>
      </c>
      <c r="EMS115" s="196" t="s">
        <v>761</v>
      </c>
      <c r="EMT115" s="197" t="str">
        <f>VLOOKUP(EMS115,[13]AssetDetails_UEM!$A$3:$AH$1849,6,FALSE)</f>
        <v>Electrosurgical Units, Monopolar/Bipolar</v>
      </c>
      <c r="EMU115" s="196" t="s">
        <v>761</v>
      </c>
      <c r="EMV115" s="197" t="str">
        <f>VLOOKUP(EMU115,[13]AssetDetails_UEM!$A$3:$AH$1849,6,FALSE)</f>
        <v>Electrosurgical Units, Monopolar/Bipolar</v>
      </c>
      <c r="EMW115" s="196" t="s">
        <v>761</v>
      </c>
      <c r="EMX115" s="197" t="str">
        <f>VLOOKUP(EMW115,[13]AssetDetails_UEM!$A$3:$AH$1849,6,FALSE)</f>
        <v>Electrosurgical Units, Monopolar/Bipolar</v>
      </c>
      <c r="EMY115" s="196" t="s">
        <v>761</v>
      </c>
      <c r="EMZ115" s="197" t="str">
        <f>VLOOKUP(EMY115,[13]AssetDetails_UEM!$A$3:$AH$1849,6,FALSE)</f>
        <v>Electrosurgical Units, Monopolar/Bipolar</v>
      </c>
      <c r="ENA115" s="196" t="s">
        <v>761</v>
      </c>
      <c r="ENB115" s="197" t="str">
        <f>VLOOKUP(ENA115,[13]AssetDetails_UEM!$A$3:$AH$1849,6,FALSE)</f>
        <v>Electrosurgical Units, Monopolar/Bipolar</v>
      </c>
      <c r="ENC115" s="196" t="s">
        <v>761</v>
      </c>
      <c r="END115" s="197" t="str">
        <f>VLOOKUP(ENC115,[13]AssetDetails_UEM!$A$3:$AH$1849,6,FALSE)</f>
        <v>Electrosurgical Units, Monopolar/Bipolar</v>
      </c>
      <c r="ENE115" s="196" t="s">
        <v>761</v>
      </c>
      <c r="ENF115" s="197" t="str">
        <f>VLOOKUP(ENE115,[13]AssetDetails_UEM!$A$3:$AH$1849,6,FALSE)</f>
        <v>Electrosurgical Units, Monopolar/Bipolar</v>
      </c>
      <c r="ENG115" s="196" t="s">
        <v>761</v>
      </c>
      <c r="ENH115" s="197" t="str">
        <f>VLOOKUP(ENG115,[13]AssetDetails_UEM!$A$3:$AH$1849,6,FALSE)</f>
        <v>Electrosurgical Units, Monopolar/Bipolar</v>
      </c>
      <c r="ENI115" s="196" t="s">
        <v>761</v>
      </c>
      <c r="ENJ115" s="197" t="str">
        <f>VLOOKUP(ENI115,[13]AssetDetails_UEM!$A$3:$AH$1849,6,FALSE)</f>
        <v>Electrosurgical Units, Monopolar/Bipolar</v>
      </c>
      <c r="ENK115" s="196" t="s">
        <v>761</v>
      </c>
      <c r="ENL115" s="197" t="str">
        <f>VLOOKUP(ENK115,[13]AssetDetails_UEM!$A$3:$AH$1849,6,FALSE)</f>
        <v>Electrosurgical Units, Monopolar/Bipolar</v>
      </c>
      <c r="ENM115" s="196" t="s">
        <v>761</v>
      </c>
      <c r="ENN115" s="197" t="str">
        <f>VLOOKUP(ENM115,[13]AssetDetails_UEM!$A$3:$AH$1849,6,FALSE)</f>
        <v>Electrosurgical Units, Monopolar/Bipolar</v>
      </c>
      <c r="ENO115" s="196" t="s">
        <v>761</v>
      </c>
      <c r="ENP115" s="197" t="str">
        <f>VLOOKUP(ENO115,[13]AssetDetails_UEM!$A$3:$AH$1849,6,FALSE)</f>
        <v>Electrosurgical Units, Monopolar/Bipolar</v>
      </c>
      <c r="ENQ115" s="196" t="s">
        <v>761</v>
      </c>
      <c r="ENR115" s="197" t="str">
        <f>VLOOKUP(ENQ115,[13]AssetDetails_UEM!$A$3:$AH$1849,6,FALSE)</f>
        <v>Electrosurgical Units, Monopolar/Bipolar</v>
      </c>
      <c r="ENS115" s="196" t="s">
        <v>761</v>
      </c>
      <c r="ENT115" s="197" t="str">
        <f>VLOOKUP(ENS115,[13]AssetDetails_UEM!$A$3:$AH$1849,6,FALSE)</f>
        <v>Electrosurgical Units, Monopolar/Bipolar</v>
      </c>
      <c r="ENU115" s="196" t="s">
        <v>761</v>
      </c>
      <c r="ENV115" s="197" t="str">
        <f>VLOOKUP(ENU115,[13]AssetDetails_UEM!$A$3:$AH$1849,6,FALSE)</f>
        <v>Electrosurgical Units, Monopolar/Bipolar</v>
      </c>
      <c r="ENW115" s="196" t="s">
        <v>761</v>
      </c>
      <c r="ENX115" s="197" t="str">
        <f>VLOOKUP(ENW115,[13]AssetDetails_UEM!$A$3:$AH$1849,6,FALSE)</f>
        <v>Electrosurgical Units, Monopolar/Bipolar</v>
      </c>
      <c r="ENY115" s="196" t="s">
        <v>761</v>
      </c>
      <c r="ENZ115" s="197" t="str">
        <f>VLOOKUP(ENY115,[13]AssetDetails_UEM!$A$3:$AH$1849,6,FALSE)</f>
        <v>Electrosurgical Units, Monopolar/Bipolar</v>
      </c>
      <c r="EOA115" s="196" t="s">
        <v>761</v>
      </c>
      <c r="EOB115" s="197" t="str">
        <f>VLOOKUP(EOA115,[13]AssetDetails_UEM!$A$3:$AH$1849,6,FALSE)</f>
        <v>Electrosurgical Units, Monopolar/Bipolar</v>
      </c>
      <c r="EOC115" s="196" t="s">
        <v>761</v>
      </c>
      <c r="EOD115" s="197" t="str">
        <f>VLOOKUP(EOC115,[13]AssetDetails_UEM!$A$3:$AH$1849,6,FALSE)</f>
        <v>Electrosurgical Units, Monopolar/Bipolar</v>
      </c>
      <c r="EOE115" s="196" t="s">
        <v>761</v>
      </c>
      <c r="EOF115" s="197" t="str">
        <f>VLOOKUP(EOE115,[13]AssetDetails_UEM!$A$3:$AH$1849,6,FALSE)</f>
        <v>Electrosurgical Units, Monopolar/Bipolar</v>
      </c>
      <c r="EOG115" s="196" t="s">
        <v>761</v>
      </c>
      <c r="EOH115" s="197" t="str">
        <f>VLOOKUP(EOG115,[13]AssetDetails_UEM!$A$3:$AH$1849,6,FALSE)</f>
        <v>Electrosurgical Units, Monopolar/Bipolar</v>
      </c>
      <c r="EOI115" s="196" t="s">
        <v>761</v>
      </c>
      <c r="EOJ115" s="197" t="str">
        <f>VLOOKUP(EOI115,[13]AssetDetails_UEM!$A$3:$AH$1849,6,FALSE)</f>
        <v>Electrosurgical Units, Monopolar/Bipolar</v>
      </c>
      <c r="EOK115" s="196" t="s">
        <v>761</v>
      </c>
      <c r="EOL115" s="197" t="str">
        <f>VLOOKUP(EOK115,[13]AssetDetails_UEM!$A$3:$AH$1849,6,FALSE)</f>
        <v>Electrosurgical Units, Monopolar/Bipolar</v>
      </c>
      <c r="EOM115" s="196" t="s">
        <v>761</v>
      </c>
      <c r="EON115" s="197" t="str">
        <f>VLOOKUP(EOM115,[13]AssetDetails_UEM!$A$3:$AH$1849,6,FALSE)</f>
        <v>Electrosurgical Units, Monopolar/Bipolar</v>
      </c>
      <c r="EOO115" s="196" t="s">
        <v>761</v>
      </c>
      <c r="EOP115" s="197" t="str">
        <f>VLOOKUP(EOO115,[13]AssetDetails_UEM!$A$3:$AH$1849,6,FALSE)</f>
        <v>Electrosurgical Units, Monopolar/Bipolar</v>
      </c>
      <c r="EOQ115" s="196" t="s">
        <v>761</v>
      </c>
      <c r="EOR115" s="197" t="str">
        <f>VLOOKUP(EOQ115,[13]AssetDetails_UEM!$A$3:$AH$1849,6,FALSE)</f>
        <v>Electrosurgical Units, Monopolar/Bipolar</v>
      </c>
      <c r="EOS115" s="196" t="s">
        <v>761</v>
      </c>
      <c r="EOT115" s="197" t="str">
        <f>VLOOKUP(EOS115,[13]AssetDetails_UEM!$A$3:$AH$1849,6,FALSE)</f>
        <v>Electrosurgical Units, Monopolar/Bipolar</v>
      </c>
      <c r="EOU115" s="196" t="s">
        <v>761</v>
      </c>
      <c r="EOV115" s="197" t="str">
        <f>VLOOKUP(EOU115,[13]AssetDetails_UEM!$A$3:$AH$1849,6,FALSE)</f>
        <v>Electrosurgical Units, Monopolar/Bipolar</v>
      </c>
      <c r="EOW115" s="196" t="s">
        <v>761</v>
      </c>
      <c r="EOX115" s="197" t="str">
        <f>VLOOKUP(EOW115,[13]AssetDetails_UEM!$A$3:$AH$1849,6,FALSE)</f>
        <v>Electrosurgical Units, Monopolar/Bipolar</v>
      </c>
      <c r="EOY115" s="196" t="s">
        <v>761</v>
      </c>
      <c r="EOZ115" s="197" t="str">
        <f>VLOOKUP(EOY115,[13]AssetDetails_UEM!$A$3:$AH$1849,6,FALSE)</f>
        <v>Electrosurgical Units, Monopolar/Bipolar</v>
      </c>
      <c r="EPA115" s="196" t="s">
        <v>761</v>
      </c>
      <c r="EPB115" s="197" t="str">
        <f>VLOOKUP(EPA115,[13]AssetDetails_UEM!$A$3:$AH$1849,6,FALSE)</f>
        <v>Electrosurgical Units, Monopolar/Bipolar</v>
      </c>
      <c r="EPC115" s="196" t="s">
        <v>761</v>
      </c>
      <c r="EPD115" s="197" t="str">
        <f>VLOOKUP(EPC115,[13]AssetDetails_UEM!$A$3:$AH$1849,6,FALSE)</f>
        <v>Electrosurgical Units, Monopolar/Bipolar</v>
      </c>
      <c r="EPE115" s="196" t="s">
        <v>761</v>
      </c>
      <c r="EPF115" s="197" t="str">
        <f>VLOOKUP(EPE115,[13]AssetDetails_UEM!$A$3:$AH$1849,6,FALSE)</f>
        <v>Electrosurgical Units, Monopolar/Bipolar</v>
      </c>
      <c r="EPG115" s="196" t="s">
        <v>761</v>
      </c>
      <c r="EPH115" s="197" t="str">
        <f>VLOOKUP(EPG115,[13]AssetDetails_UEM!$A$3:$AH$1849,6,FALSE)</f>
        <v>Electrosurgical Units, Monopolar/Bipolar</v>
      </c>
      <c r="EPI115" s="196" t="s">
        <v>761</v>
      </c>
      <c r="EPJ115" s="197" t="str">
        <f>VLOOKUP(EPI115,[13]AssetDetails_UEM!$A$3:$AH$1849,6,FALSE)</f>
        <v>Electrosurgical Units, Monopolar/Bipolar</v>
      </c>
      <c r="EPK115" s="196" t="s">
        <v>761</v>
      </c>
      <c r="EPL115" s="197" t="str">
        <f>VLOOKUP(EPK115,[13]AssetDetails_UEM!$A$3:$AH$1849,6,FALSE)</f>
        <v>Electrosurgical Units, Monopolar/Bipolar</v>
      </c>
      <c r="EPM115" s="196" t="s">
        <v>761</v>
      </c>
      <c r="EPN115" s="197" t="str">
        <f>VLOOKUP(EPM115,[13]AssetDetails_UEM!$A$3:$AH$1849,6,FALSE)</f>
        <v>Electrosurgical Units, Monopolar/Bipolar</v>
      </c>
      <c r="EPO115" s="196" t="s">
        <v>761</v>
      </c>
      <c r="EPP115" s="197" t="str">
        <f>VLOOKUP(EPO115,[13]AssetDetails_UEM!$A$3:$AH$1849,6,FALSE)</f>
        <v>Electrosurgical Units, Monopolar/Bipolar</v>
      </c>
      <c r="EPQ115" s="196" t="s">
        <v>761</v>
      </c>
      <c r="EPR115" s="197" t="str">
        <f>VLOOKUP(EPQ115,[13]AssetDetails_UEM!$A$3:$AH$1849,6,FALSE)</f>
        <v>Electrosurgical Units, Monopolar/Bipolar</v>
      </c>
      <c r="EPS115" s="196" t="s">
        <v>761</v>
      </c>
      <c r="EPT115" s="197" t="str">
        <f>VLOOKUP(EPS115,[13]AssetDetails_UEM!$A$3:$AH$1849,6,FALSE)</f>
        <v>Electrosurgical Units, Monopolar/Bipolar</v>
      </c>
      <c r="EPU115" s="196" t="s">
        <v>761</v>
      </c>
      <c r="EPV115" s="197" t="str">
        <f>VLOOKUP(EPU115,[13]AssetDetails_UEM!$A$3:$AH$1849,6,FALSE)</f>
        <v>Electrosurgical Units, Monopolar/Bipolar</v>
      </c>
      <c r="EPW115" s="196" t="s">
        <v>761</v>
      </c>
      <c r="EPX115" s="197" t="str">
        <f>VLOOKUP(EPW115,[13]AssetDetails_UEM!$A$3:$AH$1849,6,FALSE)</f>
        <v>Electrosurgical Units, Monopolar/Bipolar</v>
      </c>
      <c r="EPY115" s="196" t="s">
        <v>761</v>
      </c>
      <c r="EPZ115" s="197" t="str">
        <f>VLOOKUP(EPY115,[13]AssetDetails_UEM!$A$3:$AH$1849,6,FALSE)</f>
        <v>Electrosurgical Units, Monopolar/Bipolar</v>
      </c>
      <c r="EQA115" s="196" t="s">
        <v>761</v>
      </c>
      <c r="EQB115" s="197" t="str">
        <f>VLOOKUP(EQA115,[13]AssetDetails_UEM!$A$3:$AH$1849,6,FALSE)</f>
        <v>Electrosurgical Units, Monopolar/Bipolar</v>
      </c>
      <c r="EQC115" s="196" t="s">
        <v>761</v>
      </c>
      <c r="EQD115" s="197" t="str">
        <f>VLOOKUP(EQC115,[13]AssetDetails_UEM!$A$3:$AH$1849,6,FALSE)</f>
        <v>Electrosurgical Units, Monopolar/Bipolar</v>
      </c>
      <c r="EQE115" s="196" t="s">
        <v>761</v>
      </c>
      <c r="EQF115" s="197" t="str">
        <f>VLOOKUP(EQE115,[13]AssetDetails_UEM!$A$3:$AH$1849,6,FALSE)</f>
        <v>Electrosurgical Units, Monopolar/Bipolar</v>
      </c>
      <c r="EQG115" s="196" t="s">
        <v>761</v>
      </c>
      <c r="EQH115" s="197" t="str">
        <f>VLOOKUP(EQG115,[13]AssetDetails_UEM!$A$3:$AH$1849,6,FALSE)</f>
        <v>Electrosurgical Units, Monopolar/Bipolar</v>
      </c>
      <c r="EQI115" s="196" t="s">
        <v>761</v>
      </c>
      <c r="EQJ115" s="197" t="str">
        <f>VLOOKUP(EQI115,[13]AssetDetails_UEM!$A$3:$AH$1849,6,FALSE)</f>
        <v>Electrosurgical Units, Monopolar/Bipolar</v>
      </c>
      <c r="EQK115" s="196" t="s">
        <v>761</v>
      </c>
      <c r="EQL115" s="197" t="str">
        <f>VLOOKUP(EQK115,[13]AssetDetails_UEM!$A$3:$AH$1849,6,FALSE)</f>
        <v>Electrosurgical Units, Monopolar/Bipolar</v>
      </c>
      <c r="EQM115" s="196" t="s">
        <v>761</v>
      </c>
      <c r="EQN115" s="197" t="str">
        <f>VLOOKUP(EQM115,[13]AssetDetails_UEM!$A$3:$AH$1849,6,FALSE)</f>
        <v>Electrosurgical Units, Monopolar/Bipolar</v>
      </c>
      <c r="EQO115" s="196" t="s">
        <v>761</v>
      </c>
      <c r="EQP115" s="197" t="str">
        <f>VLOOKUP(EQO115,[13]AssetDetails_UEM!$A$3:$AH$1849,6,FALSE)</f>
        <v>Electrosurgical Units, Monopolar/Bipolar</v>
      </c>
      <c r="EQQ115" s="196" t="s">
        <v>761</v>
      </c>
      <c r="EQR115" s="197" t="str">
        <f>VLOOKUP(EQQ115,[13]AssetDetails_UEM!$A$3:$AH$1849,6,FALSE)</f>
        <v>Electrosurgical Units, Monopolar/Bipolar</v>
      </c>
      <c r="EQS115" s="196" t="s">
        <v>761</v>
      </c>
      <c r="EQT115" s="197" t="str">
        <f>VLOOKUP(EQS115,[13]AssetDetails_UEM!$A$3:$AH$1849,6,FALSE)</f>
        <v>Electrosurgical Units, Monopolar/Bipolar</v>
      </c>
      <c r="EQU115" s="196" t="s">
        <v>761</v>
      </c>
      <c r="EQV115" s="197" t="str">
        <f>VLOOKUP(EQU115,[13]AssetDetails_UEM!$A$3:$AH$1849,6,FALSE)</f>
        <v>Electrosurgical Units, Monopolar/Bipolar</v>
      </c>
      <c r="EQW115" s="196" t="s">
        <v>761</v>
      </c>
      <c r="EQX115" s="197" t="str">
        <f>VLOOKUP(EQW115,[13]AssetDetails_UEM!$A$3:$AH$1849,6,FALSE)</f>
        <v>Electrosurgical Units, Monopolar/Bipolar</v>
      </c>
      <c r="EQY115" s="196" t="s">
        <v>761</v>
      </c>
      <c r="EQZ115" s="197" t="str">
        <f>VLOOKUP(EQY115,[13]AssetDetails_UEM!$A$3:$AH$1849,6,FALSE)</f>
        <v>Electrosurgical Units, Monopolar/Bipolar</v>
      </c>
      <c r="ERA115" s="196" t="s">
        <v>761</v>
      </c>
      <c r="ERB115" s="197" t="str">
        <f>VLOOKUP(ERA115,[13]AssetDetails_UEM!$A$3:$AH$1849,6,FALSE)</f>
        <v>Electrosurgical Units, Monopolar/Bipolar</v>
      </c>
      <c r="ERC115" s="196" t="s">
        <v>761</v>
      </c>
      <c r="ERD115" s="197" t="str">
        <f>VLOOKUP(ERC115,[13]AssetDetails_UEM!$A$3:$AH$1849,6,FALSE)</f>
        <v>Electrosurgical Units, Monopolar/Bipolar</v>
      </c>
      <c r="ERE115" s="196" t="s">
        <v>761</v>
      </c>
      <c r="ERF115" s="197" t="str">
        <f>VLOOKUP(ERE115,[13]AssetDetails_UEM!$A$3:$AH$1849,6,FALSE)</f>
        <v>Electrosurgical Units, Monopolar/Bipolar</v>
      </c>
      <c r="ERG115" s="196" t="s">
        <v>761</v>
      </c>
      <c r="ERH115" s="197" t="str">
        <f>VLOOKUP(ERG115,[13]AssetDetails_UEM!$A$3:$AH$1849,6,FALSE)</f>
        <v>Electrosurgical Units, Monopolar/Bipolar</v>
      </c>
      <c r="ERI115" s="196" t="s">
        <v>761</v>
      </c>
      <c r="ERJ115" s="197" t="str">
        <f>VLOOKUP(ERI115,[13]AssetDetails_UEM!$A$3:$AH$1849,6,FALSE)</f>
        <v>Electrosurgical Units, Monopolar/Bipolar</v>
      </c>
      <c r="ERK115" s="196" t="s">
        <v>761</v>
      </c>
      <c r="ERL115" s="197" t="str">
        <f>VLOOKUP(ERK115,[13]AssetDetails_UEM!$A$3:$AH$1849,6,FALSE)</f>
        <v>Electrosurgical Units, Monopolar/Bipolar</v>
      </c>
      <c r="ERM115" s="196" t="s">
        <v>761</v>
      </c>
      <c r="ERN115" s="197" t="str">
        <f>VLOOKUP(ERM115,[13]AssetDetails_UEM!$A$3:$AH$1849,6,FALSE)</f>
        <v>Electrosurgical Units, Monopolar/Bipolar</v>
      </c>
      <c r="ERO115" s="196" t="s">
        <v>761</v>
      </c>
      <c r="ERP115" s="197" t="str">
        <f>VLOOKUP(ERO115,[13]AssetDetails_UEM!$A$3:$AH$1849,6,FALSE)</f>
        <v>Electrosurgical Units, Monopolar/Bipolar</v>
      </c>
      <c r="ERQ115" s="196" t="s">
        <v>761</v>
      </c>
      <c r="ERR115" s="197" t="str">
        <f>VLOOKUP(ERQ115,[13]AssetDetails_UEM!$A$3:$AH$1849,6,FALSE)</f>
        <v>Electrosurgical Units, Monopolar/Bipolar</v>
      </c>
      <c r="ERS115" s="196" t="s">
        <v>761</v>
      </c>
      <c r="ERT115" s="197" t="str">
        <f>VLOOKUP(ERS115,[13]AssetDetails_UEM!$A$3:$AH$1849,6,FALSE)</f>
        <v>Electrosurgical Units, Monopolar/Bipolar</v>
      </c>
      <c r="ERU115" s="196" t="s">
        <v>761</v>
      </c>
      <c r="ERV115" s="197" t="str">
        <f>VLOOKUP(ERU115,[13]AssetDetails_UEM!$A$3:$AH$1849,6,FALSE)</f>
        <v>Electrosurgical Units, Monopolar/Bipolar</v>
      </c>
      <c r="ERW115" s="196" t="s">
        <v>761</v>
      </c>
      <c r="ERX115" s="197" t="str">
        <f>VLOOKUP(ERW115,[13]AssetDetails_UEM!$A$3:$AH$1849,6,FALSE)</f>
        <v>Electrosurgical Units, Monopolar/Bipolar</v>
      </c>
      <c r="ERY115" s="196" t="s">
        <v>761</v>
      </c>
      <c r="ERZ115" s="197" t="str">
        <f>VLOOKUP(ERY115,[13]AssetDetails_UEM!$A$3:$AH$1849,6,FALSE)</f>
        <v>Electrosurgical Units, Monopolar/Bipolar</v>
      </c>
      <c r="ESA115" s="196" t="s">
        <v>761</v>
      </c>
      <c r="ESB115" s="197" t="str">
        <f>VLOOKUP(ESA115,[13]AssetDetails_UEM!$A$3:$AH$1849,6,FALSE)</f>
        <v>Electrosurgical Units, Monopolar/Bipolar</v>
      </c>
      <c r="ESC115" s="196" t="s">
        <v>761</v>
      </c>
      <c r="ESD115" s="197" t="str">
        <f>VLOOKUP(ESC115,[13]AssetDetails_UEM!$A$3:$AH$1849,6,FALSE)</f>
        <v>Electrosurgical Units, Monopolar/Bipolar</v>
      </c>
      <c r="ESE115" s="196" t="s">
        <v>761</v>
      </c>
      <c r="ESF115" s="197" t="str">
        <f>VLOOKUP(ESE115,[13]AssetDetails_UEM!$A$3:$AH$1849,6,FALSE)</f>
        <v>Electrosurgical Units, Monopolar/Bipolar</v>
      </c>
      <c r="ESG115" s="196" t="s">
        <v>761</v>
      </c>
      <c r="ESH115" s="197" t="str">
        <f>VLOOKUP(ESG115,[13]AssetDetails_UEM!$A$3:$AH$1849,6,FALSE)</f>
        <v>Electrosurgical Units, Monopolar/Bipolar</v>
      </c>
      <c r="ESI115" s="196" t="s">
        <v>761</v>
      </c>
      <c r="ESJ115" s="197" t="str">
        <f>VLOOKUP(ESI115,[13]AssetDetails_UEM!$A$3:$AH$1849,6,FALSE)</f>
        <v>Electrosurgical Units, Monopolar/Bipolar</v>
      </c>
      <c r="ESK115" s="196" t="s">
        <v>761</v>
      </c>
      <c r="ESL115" s="197" t="str">
        <f>VLOOKUP(ESK115,[13]AssetDetails_UEM!$A$3:$AH$1849,6,FALSE)</f>
        <v>Electrosurgical Units, Monopolar/Bipolar</v>
      </c>
      <c r="ESM115" s="196" t="s">
        <v>761</v>
      </c>
      <c r="ESN115" s="197" t="str">
        <f>VLOOKUP(ESM115,[13]AssetDetails_UEM!$A$3:$AH$1849,6,FALSE)</f>
        <v>Electrosurgical Units, Monopolar/Bipolar</v>
      </c>
      <c r="ESO115" s="196" t="s">
        <v>761</v>
      </c>
      <c r="ESP115" s="197" t="str">
        <f>VLOOKUP(ESO115,[13]AssetDetails_UEM!$A$3:$AH$1849,6,FALSE)</f>
        <v>Electrosurgical Units, Monopolar/Bipolar</v>
      </c>
      <c r="ESQ115" s="196" t="s">
        <v>761</v>
      </c>
      <c r="ESR115" s="197" t="str">
        <f>VLOOKUP(ESQ115,[13]AssetDetails_UEM!$A$3:$AH$1849,6,FALSE)</f>
        <v>Electrosurgical Units, Monopolar/Bipolar</v>
      </c>
      <c r="ESS115" s="196" t="s">
        <v>761</v>
      </c>
      <c r="EST115" s="197" t="str">
        <f>VLOOKUP(ESS115,[13]AssetDetails_UEM!$A$3:$AH$1849,6,FALSE)</f>
        <v>Electrosurgical Units, Monopolar/Bipolar</v>
      </c>
      <c r="ESU115" s="196" t="s">
        <v>761</v>
      </c>
      <c r="ESV115" s="197" t="str">
        <f>VLOOKUP(ESU115,[13]AssetDetails_UEM!$A$3:$AH$1849,6,FALSE)</f>
        <v>Electrosurgical Units, Monopolar/Bipolar</v>
      </c>
      <c r="ESW115" s="196" t="s">
        <v>761</v>
      </c>
      <c r="ESX115" s="197" t="str">
        <f>VLOOKUP(ESW115,[13]AssetDetails_UEM!$A$3:$AH$1849,6,FALSE)</f>
        <v>Electrosurgical Units, Monopolar/Bipolar</v>
      </c>
      <c r="ESY115" s="196" t="s">
        <v>761</v>
      </c>
      <c r="ESZ115" s="197" t="str">
        <f>VLOOKUP(ESY115,[13]AssetDetails_UEM!$A$3:$AH$1849,6,FALSE)</f>
        <v>Electrosurgical Units, Monopolar/Bipolar</v>
      </c>
      <c r="ETA115" s="196" t="s">
        <v>761</v>
      </c>
      <c r="ETB115" s="197" t="str">
        <f>VLOOKUP(ETA115,[13]AssetDetails_UEM!$A$3:$AH$1849,6,FALSE)</f>
        <v>Electrosurgical Units, Monopolar/Bipolar</v>
      </c>
      <c r="ETC115" s="196" t="s">
        <v>761</v>
      </c>
      <c r="ETD115" s="197" t="str">
        <f>VLOOKUP(ETC115,[13]AssetDetails_UEM!$A$3:$AH$1849,6,FALSE)</f>
        <v>Electrosurgical Units, Monopolar/Bipolar</v>
      </c>
      <c r="ETE115" s="196" t="s">
        <v>761</v>
      </c>
      <c r="ETF115" s="197" t="str">
        <f>VLOOKUP(ETE115,[13]AssetDetails_UEM!$A$3:$AH$1849,6,FALSE)</f>
        <v>Electrosurgical Units, Monopolar/Bipolar</v>
      </c>
      <c r="ETG115" s="196" t="s">
        <v>761</v>
      </c>
      <c r="ETH115" s="197" t="str">
        <f>VLOOKUP(ETG115,[13]AssetDetails_UEM!$A$3:$AH$1849,6,FALSE)</f>
        <v>Electrosurgical Units, Monopolar/Bipolar</v>
      </c>
      <c r="ETI115" s="196" t="s">
        <v>761</v>
      </c>
      <c r="ETJ115" s="197" t="str">
        <f>VLOOKUP(ETI115,[13]AssetDetails_UEM!$A$3:$AH$1849,6,FALSE)</f>
        <v>Electrosurgical Units, Monopolar/Bipolar</v>
      </c>
      <c r="ETK115" s="196" t="s">
        <v>761</v>
      </c>
      <c r="ETL115" s="197" t="str">
        <f>VLOOKUP(ETK115,[13]AssetDetails_UEM!$A$3:$AH$1849,6,FALSE)</f>
        <v>Electrosurgical Units, Monopolar/Bipolar</v>
      </c>
      <c r="ETM115" s="196" t="s">
        <v>761</v>
      </c>
      <c r="ETN115" s="197" t="str">
        <f>VLOOKUP(ETM115,[13]AssetDetails_UEM!$A$3:$AH$1849,6,FALSE)</f>
        <v>Electrosurgical Units, Monopolar/Bipolar</v>
      </c>
      <c r="ETO115" s="196" t="s">
        <v>761</v>
      </c>
      <c r="ETP115" s="197" t="str">
        <f>VLOOKUP(ETO115,[13]AssetDetails_UEM!$A$3:$AH$1849,6,FALSE)</f>
        <v>Electrosurgical Units, Monopolar/Bipolar</v>
      </c>
      <c r="ETQ115" s="196" t="s">
        <v>761</v>
      </c>
      <c r="ETR115" s="197" t="str">
        <f>VLOOKUP(ETQ115,[13]AssetDetails_UEM!$A$3:$AH$1849,6,FALSE)</f>
        <v>Electrosurgical Units, Monopolar/Bipolar</v>
      </c>
      <c r="ETS115" s="196" t="s">
        <v>761</v>
      </c>
      <c r="ETT115" s="197" t="str">
        <f>VLOOKUP(ETS115,[13]AssetDetails_UEM!$A$3:$AH$1849,6,FALSE)</f>
        <v>Electrosurgical Units, Monopolar/Bipolar</v>
      </c>
      <c r="ETU115" s="196" t="s">
        <v>761</v>
      </c>
      <c r="ETV115" s="197" t="str">
        <f>VLOOKUP(ETU115,[13]AssetDetails_UEM!$A$3:$AH$1849,6,FALSE)</f>
        <v>Electrosurgical Units, Monopolar/Bipolar</v>
      </c>
      <c r="ETW115" s="196" t="s">
        <v>761</v>
      </c>
      <c r="ETX115" s="197" t="str">
        <f>VLOOKUP(ETW115,[13]AssetDetails_UEM!$A$3:$AH$1849,6,FALSE)</f>
        <v>Electrosurgical Units, Monopolar/Bipolar</v>
      </c>
      <c r="ETY115" s="196" t="s">
        <v>761</v>
      </c>
      <c r="ETZ115" s="197" t="str">
        <f>VLOOKUP(ETY115,[13]AssetDetails_UEM!$A$3:$AH$1849,6,FALSE)</f>
        <v>Electrosurgical Units, Monopolar/Bipolar</v>
      </c>
      <c r="EUA115" s="196" t="s">
        <v>761</v>
      </c>
      <c r="EUB115" s="197" t="str">
        <f>VLOOKUP(EUA115,[13]AssetDetails_UEM!$A$3:$AH$1849,6,FALSE)</f>
        <v>Electrosurgical Units, Monopolar/Bipolar</v>
      </c>
      <c r="EUC115" s="196" t="s">
        <v>761</v>
      </c>
      <c r="EUD115" s="197" t="str">
        <f>VLOOKUP(EUC115,[13]AssetDetails_UEM!$A$3:$AH$1849,6,FALSE)</f>
        <v>Electrosurgical Units, Monopolar/Bipolar</v>
      </c>
      <c r="EUE115" s="196" t="s">
        <v>761</v>
      </c>
      <c r="EUF115" s="197" t="str">
        <f>VLOOKUP(EUE115,[13]AssetDetails_UEM!$A$3:$AH$1849,6,FALSE)</f>
        <v>Electrosurgical Units, Monopolar/Bipolar</v>
      </c>
      <c r="EUG115" s="196" t="s">
        <v>761</v>
      </c>
      <c r="EUH115" s="197" t="str">
        <f>VLOOKUP(EUG115,[13]AssetDetails_UEM!$A$3:$AH$1849,6,FALSE)</f>
        <v>Electrosurgical Units, Monopolar/Bipolar</v>
      </c>
      <c r="EUI115" s="196" t="s">
        <v>761</v>
      </c>
      <c r="EUJ115" s="197" t="str">
        <f>VLOOKUP(EUI115,[13]AssetDetails_UEM!$A$3:$AH$1849,6,FALSE)</f>
        <v>Electrosurgical Units, Monopolar/Bipolar</v>
      </c>
      <c r="EUK115" s="196" t="s">
        <v>761</v>
      </c>
      <c r="EUL115" s="197" t="str">
        <f>VLOOKUP(EUK115,[13]AssetDetails_UEM!$A$3:$AH$1849,6,FALSE)</f>
        <v>Electrosurgical Units, Monopolar/Bipolar</v>
      </c>
      <c r="EUM115" s="196" t="s">
        <v>761</v>
      </c>
      <c r="EUN115" s="197" t="str">
        <f>VLOOKUP(EUM115,[13]AssetDetails_UEM!$A$3:$AH$1849,6,FALSE)</f>
        <v>Electrosurgical Units, Monopolar/Bipolar</v>
      </c>
      <c r="EUO115" s="196" t="s">
        <v>761</v>
      </c>
      <c r="EUP115" s="197" t="str">
        <f>VLOOKUP(EUO115,[13]AssetDetails_UEM!$A$3:$AH$1849,6,FALSE)</f>
        <v>Electrosurgical Units, Monopolar/Bipolar</v>
      </c>
      <c r="EUQ115" s="196" t="s">
        <v>761</v>
      </c>
      <c r="EUR115" s="197" t="str">
        <f>VLOOKUP(EUQ115,[13]AssetDetails_UEM!$A$3:$AH$1849,6,FALSE)</f>
        <v>Electrosurgical Units, Monopolar/Bipolar</v>
      </c>
      <c r="EUS115" s="196" t="s">
        <v>761</v>
      </c>
      <c r="EUT115" s="197" t="str">
        <f>VLOOKUP(EUS115,[13]AssetDetails_UEM!$A$3:$AH$1849,6,FALSE)</f>
        <v>Electrosurgical Units, Monopolar/Bipolar</v>
      </c>
      <c r="EUU115" s="196" t="s">
        <v>761</v>
      </c>
      <c r="EUV115" s="197" t="str">
        <f>VLOOKUP(EUU115,[13]AssetDetails_UEM!$A$3:$AH$1849,6,FALSE)</f>
        <v>Electrosurgical Units, Monopolar/Bipolar</v>
      </c>
      <c r="EUW115" s="196" t="s">
        <v>761</v>
      </c>
      <c r="EUX115" s="197" t="str">
        <f>VLOOKUP(EUW115,[13]AssetDetails_UEM!$A$3:$AH$1849,6,FALSE)</f>
        <v>Electrosurgical Units, Monopolar/Bipolar</v>
      </c>
      <c r="EUY115" s="196" t="s">
        <v>761</v>
      </c>
      <c r="EUZ115" s="197" t="str">
        <f>VLOOKUP(EUY115,[13]AssetDetails_UEM!$A$3:$AH$1849,6,FALSE)</f>
        <v>Electrosurgical Units, Monopolar/Bipolar</v>
      </c>
      <c r="EVA115" s="196" t="s">
        <v>761</v>
      </c>
      <c r="EVB115" s="197" t="str">
        <f>VLOOKUP(EVA115,[13]AssetDetails_UEM!$A$3:$AH$1849,6,FALSE)</f>
        <v>Electrosurgical Units, Monopolar/Bipolar</v>
      </c>
      <c r="EVC115" s="196" t="s">
        <v>761</v>
      </c>
      <c r="EVD115" s="197" t="str">
        <f>VLOOKUP(EVC115,[13]AssetDetails_UEM!$A$3:$AH$1849,6,FALSE)</f>
        <v>Electrosurgical Units, Monopolar/Bipolar</v>
      </c>
      <c r="EVE115" s="196" t="s">
        <v>761</v>
      </c>
      <c r="EVF115" s="197" t="str">
        <f>VLOOKUP(EVE115,[13]AssetDetails_UEM!$A$3:$AH$1849,6,FALSE)</f>
        <v>Electrosurgical Units, Monopolar/Bipolar</v>
      </c>
      <c r="EVG115" s="196" t="s">
        <v>761</v>
      </c>
      <c r="EVH115" s="197" t="str">
        <f>VLOOKUP(EVG115,[13]AssetDetails_UEM!$A$3:$AH$1849,6,FALSE)</f>
        <v>Electrosurgical Units, Monopolar/Bipolar</v>
      </c>
      <c r="EVI115" s="196" t="s">
        <v>761</v>
      </c>
      <c r="EVJ115" s="197" t="str">
        <f>VLOOKUP(EVI115,[13]AssetDetails_UEM!$A$3:$AH$1849,6,FALSE)</f>
        <v>Electrosurgical Units, Monopolar/Bipolar</v>
      </c>
      <c r="EVK115" s="196" t="s">
        <v>761</v>
      </c>
      <c r="EVL115" s="197" t="str">
        <f>VLOOKUP(EVK115,[13]AssetDetails_UEM!$A$3:$AH$1849,6,FALSE)</f>
        <v>Electrosurgical Units, Monopolar/Bipolar</v>
      </c>
      <c r="EVM115" s="196" t="s">
        <v>761</v>
      </c>
      <c r="EVN115" s="197" t="str">
        <f>VLOOKUP(EVM115,[13]AssetDetails_UEM!$A$3:$AH$1849,6,FALSE)</f>
        <v>Electrosurgical Units, Monopolar/Bipolar</v>
      </c>
      <c r="EVO115" s="196" t="s">
        <v>761</v>
      </c>
      <c r="EVP115" s="197" t="str">
        <f>VLOOKUP(EVO115,[13]AssetDetails_UEM!$A$3:$AH$1849,6,FALSE)</f>
        <v>Electrosurgical Units, Monopolar/Bipolar</v>
      </c>
      <c r="EVQ115" s="196" t="s">
        <v>761</v>
      </c>
      <c r="EVR115" s="197" t="str">
        <f>VLOOKUP(EVQ115,[13]AssetDetails_UEM!$A$3:$AH$1849,6,FALSE)</f>
        <v>Electrosurgical Units, Monopolar/Bipolar</v>
      </c>
      <c r="EVS115" s="196" t="s">
        <v>761</v>
      </c>
      <c r="EVT115" s="197" t="str">
        <f>VLOOKUP(EVS115,[13]AssetDetails_UEM!$A$3:$AH$1849,6,FALSE)</f>
        <v>Electrosurgical Units, Monopolar/Bipolar</v>
      </c>
      <c r="EVU115" s="196" t="s">
        <v>761</v>
      </c>
      <c r="EVV115" s="197" t="str">
        <f>VLOOKUP(EVU115,[13]AssetDetails_UEM!$A$3:$AH$1849,6,FALSE)</f>
        <v>Electrosurgical Units, Monopolar/Bipolar</v>
      </c>
      <c r="EVW115" s="196" t="s">
        <v>761</v>
      </c>
      <c r="EVX115" s="197" t="str">
        <f>VLOOKUP(EVW115,[13]AssetDetails_UEM!$A$3:$AH$1849,6,FALSE)</f>
        <v>Electrosurgical Units, Monopolar/Bipolar</v>
      </c>
      <c r="EVY115" s="196" t="s">
        <v>761</v>
      </c>
      <c r="EVZ115" s="197" t="str">
        <f>VLOOKUP(EVY115,[13]AssetDetails_UEM!$A$3:$AH$1849,6,FALSE)</f>
        <v>Electrosurgical Units, Monopolar/Bipolar</v>
      </c>
      <c r="EWA115" s="196" t="s">
        <v>761</v>
      </c>
      <c r="EWB115" s="197" t="str">
        <f>VLOOKUP(EWA115,[13]AssetDetails_UEM!$A$3:$AH$1849,6,FALSE)</f>
        <v>Electrosurgical Units, Monopolar/Bipolar</v>
      </c>
      <c r="EWC115" s="196" t="s">
        <v>761</v>
      </c>
      <c r="EWD115" s="197" t="str">
        <f>VLOOKUP(EWC115,[13]AssetDetails_UEM!$A$3:$AH$1849,6,FALSE)</f>
        <v>Electrosurgical Units, Monopolar/Bipolar</v>
      </c>
      <c r="EWE115" s="196" t="s">
        <v>761</v>
      </c>
      <c r="EWF115" s="197" t="str">
        <f>VLOOKUP(EWE115,[13]AssetDetails_UEM!$A$3:$AH$1849,6,FALSE)</f>
        <v>Electrosurgical Units, Monopolar/Bipolar</v>
      </c>
      <c r="EWG115" s="196" t="s">
        <v>761</v>
      </c>
      <c r="EWH115" s="197" t="str">
        <f>VLOOKUP(EWG115,[13]AssetDetails_UEM!$A$3:$AH$1849,6,FALSE)</f>
        <v>Electrosurgical Units, Monopolar/Bipolar</v>
      </c>
      <c r="EWI115" s="196" t="s">
        <v>761</v>
      </c>
      <c r="EWJ115" s="197" t="str">
        <f>VLOOKUP(EWI115,[13]AssetDetails_UEM!$A$3:$AH$1849,6,FALSE)</f>
        <v>Electrosurgical Units, Monopolar/Bipolar</v>
      </c>
      <c r="EWK115" s="196" t="s">
        <v>761</v>
      </c>
      <c r="EWL115" s="197" t="str">
        <f>VLOOKUP(EWK115,[13]AssetDetails_UEM!$A$3:$AH$1849,6,FALSE)</f>
        <v>Electrosurgical Units, Monopolar/Bipolar</v>
      </c>
      <c r="EWM115" s="196" t="s">
        <v>761</v>
      </c>
      <c r="EWN115" s="197" t="str">
        <f>VLOOKUP(EWM115,[13]AssetDetails_UEM!$A$3:$AH$1849,6,FALSE)</f>
        <v>Electrosurgical Units, Monopolar/Bipolar</v>
      </c>
      <c r="EWO115" s="196" t="s">
        <v>761</v>
      </c>
      <c r="EWP115" s="197" t="str">
        <f>VLOOKUP(EWO115,[13]AssetDetails_UEM!$A$3:$AH$1849,6,FALSE)</f>
        <v>Electrosurgical Units, Monopolar/Bipolar</v>
      </c>
      <c r="EWQ115" s="196" t="s">
        <v>761</v>
      </c>
      <c r="EWR115" s="197" t="str">
        <f>VLOOKUP(EWQ115,[13]AssetDetails_UEM!$A$3:$AH$1849,6,FALSE)</f>
        <v>Electrosurgical Units, Monopolar/Bipolar</v>
      </c>
      <c r="EWS115" s="196" t="s">
        <v>761</v>
      </c>
      <c r="EWT115" s="197" t="str">
        <f>VLOOKUP(EWS115,[13]AssetDetails_UEM!$A$3:$AH$1849,6,FALSE)</f>
        <v>Electrosurgical Units, Monopolar/Bipolar</v>
      </c>
      <c r="EWU115" s="196" t="s">
        <v>761</v>
      </c>
      <c r="EWV115" s="197" t="str">
        <f>VLOOKUP(EWU115,[13]AssetDetails_UEM!$A$3:$AH$1849,6,FALSE)</f>
        <v>Electrosurgical Units, Monopolar/Bipolar</v>
      </c>
      <c r="EWW115" s="196" t="s">
        <v>761</v>
      </c>
      <c r="EWX115" s="197" t="str">
        <f>VLOOKUP(EWW115,[13]AssetDetails_UEM!$A$3:$AH$1849,6,FALSE)</f>
        <v>Electrosurgical Units, Monopolar/Bipolar</v>
      </c>
      <c r="EWY115" s="196" t="s">
        <v>761</v>
      </c>
      <c r="EWZ115" s="197" t="str">
        <f>VLOOKUP(EWY115,[13]AssetDetails_UEM!$A$3:$AH$1849,6,FALSE)</f>
        <v>Electrosurgical Units, Monopolar/Bipolar</v>
      </c>
      <c r="EXA115" s="196" t="s">
        <v>761</v>
      </c>
      <c r="EXB115" s="197" t="str">
        <f>VLOOKUP(EXA115,[13]AssetDetails_UEM!$A$3:$AH$1849,6,FALSE)</f>
        <v>Electrosurgical Units, Monopolar/Bipolar</v>
      </c>
      <c r="EXC115" s="196" t="s">
        <v>761</v>
      </c>
      <c r="EXD115" s="197" t="str">
        <f>VLOOKUP(EXC115,[13]AssetDetails_UEM!$A$3:$AH$1849,6,FALSE)</f>
        <v>Electrosurgical Units, Monopolar/Bipolar</v>
      </c>
      <c r="EXE115" s="196" t="s">
        <v>761</v>
      </c>
      <c r="EXF115" s="197" t="str">
        <f>VLOOKUP(EXE115,[13]AssetDetails_UEM!$A$3:$AH$1849,6,FALSE)</f>
        <v>Electrosurgical Units, Monopolar/Bipolar</v>
      </c>
      <c r="EXG115" s="196" t="s">
        <v>761</v>
      </c>
      <c r="EXH115" s="197" t="str">
        <f>VLOOKUP(EXG115,[13]AssetDetails_UEM!$A$3:$AH$1849,6,FALSE)</f>
        <v>Electrosurgical Units, Monopolar/Bipolar</v>
      </c>
      <c r="EXI115" s="196" t="s">
        <v>761</v>
      </c>
      <c r="EXJ115" s="197" t="str">
        <f>VLOOKUP(EXI115,[13]AssetDetails_UEM!$A$3:$AH$1849,6,FALSE)</f>
        <v>Electrosurgical Units, Monopolar/Bipolar</v>
      </c>
      <c r="EXK115" s="196" t="s">
        <v>761</v>
      </c>
      <c r="EXL115" s="197" t="str">
        <f>VLOOKUP(EXK115,[13]AssetDetails_UEM!$A$3:$AH$1849,6,FALSE)</f>
        <v>Electrosurgical Units, Monopolar/Bipolar</v>
      </c>
      <c r="EXM115" s="196" t="s">
        <v>761</v>
      </c>
      <c r="EXN115" s="197" t="str">
        <f>VLOOKUP(EXM115,[13]AssetDetails_UEM!$A$3:$AH$1849,6,FALSE)</f>
        <v>Electrosurgical Units, Monopolar/Bipolar</v>
      </c>
      <c r="EXO115" s="196" t="s">
        <v>761</v>
      </c>
      <c r="EXP115" s="197" t="str">
        <f>VLOOKUP(EXO115,[13]AssetDetails_UEM!$A$3:$AH$1849,6,FALSE)</f>
        <v>Electrosurgical Units, Monopolar/Bipolar</v>
      </c>
      <c r="EXQ115" s="196" t="s">
        <v>761</v>
      </c>
      <c r="EXR115" s="197" t="str">
        <f>VLOOKUP(EXQ115,[13]AssetDetails_UEM!$A$3:$AH$1849,6,FALSE)</f>
        <v>Electrosurgical Units, Monopolar/Bipolar</v>
      </c>
      <c r="EXS115" s="196" t="s">
        <v>761</v>
      </c>
      <c r="EXT115" s="197" t="str">
        <f>VLOOKUP(EXS115,[13]AssetDetails_UEM!$A$3:$AH$1849,6,FALSE)</f>
        <v>Electrosurgical Units, Monopolar/Bipolar</v>
      </c>
      <c r="EXU115" s="196" t="s">
        <v>761</v>
      </c>
      <c r="EXV115" s="197" t="str">
        <f>VLOOKUP(EXU115,[13]AssetDetails_UEM!$A$3:$AH$1849,6,FALSE)</f>
        <v>Electrosurgical Units, Monopolar/Bipolar</v>
      </c>
      <c r="EXW115" s="196" t="s">
        <v>761</v>
      </c>
      <c r="EXX115" s="197" t="str">
        <f>VLOOKUP(EXW115,[13]AssetDetails_UEM!$A$3:$AH$1849,6,FALSE)</f>
        <v>Electrosurgical Units, Monopolar/Bipolar</v>
      </c>
      <c r="EXY115" s="196" t="s">
        <v>761</v>
      </c>
      <c r="EXZ115" s="197" t="str">
        <f>VLOOKUP(EXY115,[13]AssetDetails_UEM!$A$3:$AH$1849,6,FALSE)</f>
        <v>Electrosurgical Units, Monopolar/Bipolar</v>
      </c>
      <c r="EYA115" s="196" t="s">
        <v>761</v>
      </c>
      <c r="EYB115" s="197" t="str">
        <f>VLOOKUP(EYA115,[13]AssetDetails_UEM!$A$3:$AH$1849,6,FALSE)</f>
        <v>Electrosurgical Units, Monopolar/Bipolar</v>
      </c>
      <c r="EYC115" s="196" t="s">
        <v>761</v>
      </c>
      <c r="EYD115" s="197" t="str">
        <f>VLOOKUP(EYC115,[13]AssetDetails_UEM!$A$3:$AH$1849,6,FALSE)</f>
        <v>Electrosurgical Units, Monopolar/Bipolar</v>
      </c>
      <c r="EYE115" s="196" t="s">
        <v>761</v>
      </c>
      <c r="EYF115" s="197" t="str">
        <f>VLOOKUP(EYE115,[13]AssetDetails_UEM!$A$3:$AH$1849,6,FALSE)</f>
        <v>Electrosurgical Units, Monopolar/Bipolar</v>
      </c>
      <c r="EYG115" s="196" t="s">
        <v>761</v>
      </c>
      <c r="EYH115" s="197" t="str">
        <f>VLOOKUP(EYG115,[13]AssetDetails_UEM!$A$3:$AH$1849,6,FALSE)</f>
        <v>Electrosurgical Units, Monopolar/Bipolar</v>
      </c>
      <c r="EYI115" s="196" t="s">
        <v>761</v>
      </c>
      <c r="EYJ115" s="197" t="str">
        <f>VLOOKUP(EYI115,[13]AssetDetails_UEM!$A$3:$AH$1849,6,FALSE)</f>
        <v>Electrosurgical Units, Monopolar/Bipolar</v>
      </c>
      <c r="EYK115" s="196" t="s">
        <v>761</v>
      </c>
      <c r="EYL115" s="197" t="str">
        <f>VLOOKUP(EYK115,[13]AssetDetails_UEM!$A$3:$AH$1849,6,FALSE)</f>
        <v>Electrosurgical Units, Monopolar/Bipolar</v>
      </c>
      <c r="EYM115" s="196" t="s">
        <v>761</v>
      </c>
      <c r="EYN115" s="197" t="str">
        <f>VLOOKUP(EYM115,[13]AssetDetails_UEM!$A$3:$AH$1849,6,FALSE)</f>
        <v>Electrosurgical Units, Monopolar/Bipolar</v>
      </c>
      <c r="EYO115" s="196" t="s">
        <v>761</v>
      </c>
      <c r="EYP115" s="197" t="str">
        <f>VLOOKUP(EYO115,[13]AssetDetails_UEM!$A$3:$AH$1849,6,FALSE)</f>
        <v>Electrosurgical Units, Monopolar/Bipolar</v>
      </c>
      <c r="EYQ115" s="196" t="s">
        <v>761</v>
      </c>
      <c r="EYR115" s="197" t="str">
        <f>VLOOKUP(EYQ115,[13]AssetDetails_UEM!$A$3:$AH$1849,6,FALSE)</f>
        <v>Electrosurgical Units, Monopolar/Bipolar</v>
      </c>
      <c r="EYS115" s="196" t="s">
        <v>761</v>
      </c>
      <c r="EYT115" s="197" t="str">
        <f>VLOOKUP(EYS115,[13]AssetDetails_UEM!$A$3:$AH$1849,6,FALSE)</f>
        <v>Electrosurgical Units, Monopolar/Bipolar</v>
      </c>
      <c r="EYU115" s="196" t="s">
        <v>761</v>
      </c>
      <c r="EYV115" s="197" t="str">
        <f>VLOOKUP(EYU115,[13]AssetDetails_UEM!$A$3:$AH$1849,6,FALSE)</f>
        <v>Electrosurgical Units, Monopolar/Bipolar</v>
      </c>
      <c r="EYW115" s="196" t="s">
        <v>761</v>
      </c>
      <c r="EYX115" s="197" t="str">
        <f>VLOOKUP(EYW115,[13]AssetDetails_UEM!$A$3:$AH$1849,6,FALSE)</f>
        <v>Electrosurgical Units, Monopolar/Bipolar</v>
      </c>
      <c r="EYY115" s="196" t="s">
        <v>761</v>
      </c>
      <c r="EYZ115" s="197" t="str">
        <f>VLOOKUP(EYY115,[13]AssetDetails_UEM!$A$3:$AH$1849,6,FALSE)</f>
        <v>Electrosurgical Units, Monopolar/Bipolar</v>
      </c>
      <c r="EZA115" s="196" t="s">
        <v>761</v>
      </c>
      <c r="EZB115" s="197" t="str">
        <f>VLOOKUP(EZA115,[13]AssetDetails_UEM!$A$3:$AH$1849,6,FALSE)</f>
        <v>Electrosurgical Units, Monopolar/Bipolar</v>
      </c>
      <c r="EZC115" s="196" t="s">
        <v>761</v>
      </c>
      <c r="EZD115" s="197" t="str">
        <f>VLOOKUP(EZC115,[13]AssetDetails_UEM!$A$3:$AH$1849,6,FALSE)</f>
        <v>Electrosurgical Units, Monopolar/Bipolar</v>
      </c>
      <c r="EZE115" s="196" t="s">
        <v>761</v>
      </c>
      <c r="EZF115" s="197" t="str">
        <f>VLOOKUP(EZE115,[13]AssetDetails_UEM!$A$3:$AH$1849,6,FALSE)</f>
        <v>Electrosurgical Units, Monopolar/Bipolar</v>
      </c>
      <c r="EZG115" s="196" t="s">
        <v>761</v>
      </c>
      <c r="EZH115" s="197" t="str">
        <f>VLOOKUP(EZG115,[13]AssetDetails_UEM!$A$3:$AH$1849,6,FALSE)</f>
        <v>Electrosurgical Units, Monopolar/Bipolar</v>
      </c>
      <c r="EZI115" s="196" t="s">
        <v>761</v>
      </c>
      <c r="EZJ115" s="197" t="str">
        <f>VLOOKUP(EZI115,[13]AssetDetails_UEM!$A$3:$AH$1849,6,FALSE)</f>
        <v>Electrosurgical Units, Monopolar/Bipolar</v>
      </c>
      <c r="EZK115" s="196" t="s">
        <v>761</v>
      </c>
      <c r="EZL115" s="197" t="str">
        <f>VLOOKUP(EZK115,[13]AssetDetails_UEM!$A$3:$AH$1849,6,FALSE)</f>
        <v>Electrosurgical Units, Monopolar/Bipolar</v>
      </c>
      <c r="EZM115" s="196" t="s">
        <v>761</v>
      </c>
      <c r="EZN115" s="197" t="str">
        <f>VLOOKUP(EZM115,[13]AssetDetails_UEM!$A$3:$AH$1849,6,FALSE)</f>
        <v>Electrosurgical Units, Monopolar/Bipolar</v>
      </c>
      <c r="EZO115" s="196" t="s">
        <v>761</v>
      </c>
      <c r="EZP115" s="197" t="str">
        <f>VLOOKUP(EZO115,[13]AssetDetails_UEM!$A$3:$AH$1849,6,FALSE)</f>
        <v>Electrosurgical Units, Monopolar/Bipolar</v>
      </c>
      <c r="EZQ115" s="196" t="s">
        <v>761</v>
      </c>
      <c r="EZR115" s="197" t="str">
        <f>VLOOKUP(EZQ115,[13]AssetDetails_UEM!$A$3:$AH$1849,6,FALSE)</f>
        <v>Electrosurgical Units, Monopolar/Bipolar</v>
      </c>
      <c r="EZS115" s="196" t="s">
        <v>761</v>
      </c>
      <c r="EZT115" s="197" t="str">
        <f>VLOOKUP(EZS115,[13]AssetDetails_UEM!$A$3:$AH$1849,6,FALSE)</f>
        <v>Electrosurgical Units, Monopolar/Bipolar</v>
      </c>
      <c r="EZU115" s="196" t="s">
        <v>761</v>
      </c>
      <c r="EZV115" s="197" t="str">
        <f>VLOOKUP(EZU115,[13]AssetDetails_UEM!$A$3:$AH$1849,6,FALSE)</f>
        <v>Electrosurgical Units, Monopolar/Bipolar</v>
      </c>
      <c r="EZW115" s="196" t="s">
        <v>761</v>
      </c>
      <c r="EZX115" s="197" t="str">
        <f>VLOOKUP(EZW115,[13]AssetDetails_UEM!$A$3:$AH$1849,6,FALSE)</f>
        <v>Electrosurgical Units, Monopolar/Bipolar</v>
      </c>
      <c r="EZY115" s="196" t="s">
        <v>761</v>
      </c>
      <c r="EZZ115" s="197" t="str">
        <f>VLOOKUP(EZY115,[13]AssetDetails_UEM!$A$3:$AH$1849,6,FALSE)</f>
        <v>Electrosurgical Units, Monopolar/Bipolar</v>
      </c>
      <c r="FAA115" s="196" t="s">
        <v>761</v>
      </c>
      <c r="FAB115" s="197" t="str">
        <f>VLOOKUP(FAA115,[13]AssetDetails_UEM!$A$3:$AH$1849,6,FALSE)</f>
        <v>Electrosurgical Units, Monopolar/Bipolar</v>
      </c>
      <c r="FAC115" s="196" t="s">
        <v>761</v>
      </c>
      <c r="FAD115" s="197" t="str">
        <f>VLOOKUP(FAC115,[13]AssetDetails_UEM!$A$3:$AH$1849,6,FALSE)</f>
        <v>Electrosurgical Units, Monopolar/Bipolar</v>
      </c>
      <c r="FAE115" s="196" t="s">
        <v>761</v>
      </c>
      <c r="FAF115" s="197" t="str">
        <f>VLOOKUP(FAE115,[13]AssetDetails_UEM!$A$3:$AH$1849,6,FALSE)</f>
        <v>Electrosurgical Units, Monopolar/Bipolar</v>
      </c>
      <c r="FAG115" s="196" t="s">
        <v>761</v>
      </c>
      <c r="FAH115" s="197" t="str">
        <f>VLOOKUP(FAG115,[13]AssetDetails_UEM!$A$3:$AH$1849,6,FALSE)</f>
        <v>Electrosurgical Units, Monopolar/Bipolar</v>
      </c>
      <c r="FAI115" s="196" t="s">
        <v>761</v>
      </c>
      <c r="FAJ115" s="197" t="str">
        <f>VLOOKUP(FAI115,[13]AssetDetails_UEM!$A$3:$AH$1849,6,FALSE)</f>
        <v>Electrosurgical Units, Monopolar/Bipolar</v>
      </c>
      <c r="FAK115" s="196" t="s">
        <v>761</v>
      </c>
      <c r="FAL115" s="197" t="str">
        <f>VLOOKUP(FAK115,[13]AssetDetails_UEM!$A$3:$AH$1849,6,FALSE)</f>
        <v>Electrosurgical Units, Monopolar/Bipolar</v>
      </c>
      <c r="FAM115" s="196" t="s">
        <v>761</v>
      </c>
      <c r="FAN115" s="197" t="str">
        <f>VLOOKUP(FAM115,[13]AssetDetails_UEM!$A$3:$AH$1849,6,FALSE)</f>
        <v>Electrosurgical Units, Monopolar/Bipolar</v>
      </c>
      <c r="FAO115" s="196" t="s">
        <v>761</v>
      </c>
      <c r="FAP115" s="197" t="str">
        <f>VLOOKUP(FAO115,[13]AssetDetails_UEM!$A$3:$AH$1849,6,FALSE)</f>
        <v>Electrosurgical Units, Monopolar/Bipolar</v>
      </c>
      <c r="FAQ115" s="196" t="s">
        <v>761</v>
      </c>
      <c r="FAR115" s="197" t="str">
        <f>VLOOKUP(FAQ115,[13]AssetDetails_UEM!$A$3:$AH$1849,6,FALSE)</f>
        <v>Electrosurgical Units, Monopolar/Bipolar</v>
      </c>
      <c r="FAS115" s="196" t="s">
        <v>761</v>
      </c>
      <c r="FAT115" s="197" t="str">
        <f>VLOOKUP(FAS115,[13]AssetDetails_UEM!$A$3:$AH$1849,6,FALSE)</f>
        <v>Electrosurgical Units, Monopolar/Bipolar</v>
      </c>
      <c r="FAU115" s="196" t="s">
        <v>761</v>
      </c>
      <c r="FAV115" s="197" t="str">
        <f>VLOOKUP(FAU115,[13]AssetDetails_UEM!$A$3:$AH$1849,6,FALSE)</f>
        <v>Electrosurgical Units, Monopolar/Bipolar</v>
      </c>
      <c r="FAW115" s="196" t="s">
        <v>761</v>
      </c>
      <c r="FAX115" s="197" t="str">
        <f>VLOOKUP(FAW115,[13]AssetDetails_UEM!$A$3:$AH$1849,6,FALSE)</f>
        <v>Electrosurgical Units, Monopolar/Bipolar</v>
      </c>
      <c r="FAY115" s="196" t="s">
        <v>761</v>
      </c>
      <c r="FAZ115" s="197" t="str">
        <f>VLOOKUP(FAY115,[13]AssetDetails_UEM!$A$3:$AH$1849,6,FALSE)</f>
        <v>Electrosurgical Units, Monopolar/Bipolar</v>
      </c>
      <c r="FBA115" s="196" t="s">
        <v>761</v>
      </c>
      <c r="FBB115" s="197" t="str">
        <f>VLOOKUP(FBA115,[13]AssetDetails_UEM!$A$3:$AH$1849,6,FALSE)</f>
        <v>Electrosurgical Units, Monopolar/Bipolar</v>
      </c>
      <c r="FBC115" s="196" t="s">
        <v>761</v>
      </c>
      <c r="FBD115" s="197" t="str">
        <f>VLOOKUP(FBC115,[13]AssetDetails_UEM!$A$3:$AH$1849,6,FALSE)</f>
        <v>Electrosurgical Units, Monopolar/Bipolar</v>
      </c>
      <c r="FBE115" s="196" t="s">
        <v>761</v>
      </c>
      <c r="FBF115" s="197" t="str">
        <f>VLOOKUP(FBE115,[13]AssetDetails_UEM!$A$3:$AH$1849,6,FALSE)</f>
        <v>Electrosurgical Units, Monopolar/Bipolar</v>
      </c>
      <c r="FBG115" s="196" t="s">
        <v>761</v>
      </c>
      <c r="FBH115" s="197" t="str">
        <f>VLOOKUP(FBG115,[13]AssetDetails_UEM!$A$3:$AH$1849,6,FALSE)</f>
        <v>Electrosurgical Units, Monopolar/Bipolar</v>
      </c>
      <c r="FBI115" s="196" t="s">
        <v>761</v>
      </c>
      <c r="FBJ115" s="197" t="str">
        <f>VLOOKUP(FBI115,[13]AssetDetails_UEM!$A$3:$AH$1849,6,FALSE)</f>
        <v>Electrosurgical Units, Monopolar/Bipolar</v>
      </c>
      <c r="FBK115" s="196" t="s">
        <v>761</v>
      </c>
      <c r="FBL115" s="197" t="str">
        <f>VLOOKUP(FBK115,[13]AssetDetails_UEM!$A$3:$AH$1849,6,FALSE)</f>
        <v>Electrosurgical Units, Monopolar/Bipolar</v>
      </c>
      <c r="FBM115" s="196" t="s">
        <v>761</v>
      </c>
      <c r="FBN115" s="197" t="str">
        <f>VLOOKUP(FBM115,[13]AssetDetails_UEM!$A$3:$AH$1849,6,FALSE)</f>
        <v>Electrosurgical Units, Monopolar/Bipolar</v>
      </c>
      <c r="FBO115" s="196" t="s">
        <v>761</v>
      </c>
      <c r="FBP115" s="197" t="str">
        <f>VLOOKUP(FBO115,[13]AssetDetails_UEM!$A$3:$AH$1849,6,FALSE)</f>
        <v>Electrosurgical Units, Monopolar/Bipolar</v>
      </c>
      <c r="FBQ115" s="196" t="s">
        <v>761</v>
      </c>
      <c r="FBR115" s="197" t="str">
        <f>VLOOKUP(FBQ115,[13]AssetDetails_UEM!$A$3:$AH$1849,6,FALSE)</f>
        <v>Electrosurgical Units, Monopolar/Bipolar</v>
      </c>
      <c r="FBS115" s="196" t="s">
        <v>761</v>
      </c>
      <c r="FBT115" s="197" t="str">
        <f>VLOOKUP(FBS115,[13]AssetDetails_UEM!$A$3:$AH$1849,6,FALSE)</f>
        <v>Electrosurgical Units, Monopolar/Bipolar</v>
      </c>
      <c r="FBU115" s="196" t="s">
        <v>761</v>
      </c>
      <c r="FBV115" s="197" t="str">
        <f>VLOOKUP(FBU115,[13]AssetDetails_UEM!$A$3:$AH$1849,6,FALSE)</f>
        <v>Electrosurgical Units, Monopolar/Bipolar</v>
      </c>
      <c r="FBW115" s="196" t="s">
        <v>761</v>
      </c>
      <c r="FBX115" s="197" t="str">
        <f>VLOOKUP(FBW115,[13]AssetDetails_UEM!$A$3:$AH$1849,6,FALSE)</f>
        <v>Electrosurgical Units, Monopolar/Bipolar</v>
      </c>
      <c r="FBY115" s="196" t="s">
        <v>761</v>
      </c>
      <c r="FBZ115" s="197" t="str">
        <f>VLOOKUP(FBY115,[13]AssetDetails_UEM!$A$3:$AH$1849,6,FALSE)</f>
        <v>Electrosurgical Units, Monopolar/Bipolar</v>
      </c>
      <c r="FCA115" s="196" t="s">
        <v>761</v>
      </c>
      <c r="FCB115" s="197" t="str">
        <f>VLOOKUP(FCA115,[13]AssetDetails_UEM!$A$3:$AH$1849,6,FALSE)</f>
        <v>Electrosurgical Units, Monopolar/Bipolar</v>
      </c>
      <c r="FCC115" s="196" t="s">
        <v>761</v>
      </c>
      <c r="FCD115" s="197" t="str">
        <f>VLOOKUP(FCC115,[13]AssetDetails_UEM!$A$3:$AH$1849,6,FALSE)</f>
        <v>Electrosurgical Units, Monopolar/Bipolar</v>
      </c>
      <c r="FCE115" s="196" t="s">
        <v>761</v>
      </c>
      <c r="FCF115" s="197" t="str">
        <f>VLOOKUP(FCE115,[13]AssetDetails_UEM!$A$3:$AH$1849,6,FALSE)</f>
        <v>Electrosurgical Units, Monopolar/Bipolar</v>
      </c>
      <c r="FCG115" s="196" t="s">
        <v>761</v>
      </c>
      <c r="FCH115" s="197" t="str">
        <f>VLOOKUP(FCG115,[13]AssetDetails_UEM!$A$3:$AH$1849,6,FALSE)</f>
        <v>Electrosurgical Units, Monopolar/Bipolar</v>
      </c>
      <c r="FCI115" s="196" t="s">
        <v>761</v>
      </c>
      <c r="FCJ115" s="197" t="str">
        <f>VLOOKUP(FCI115,[13]AssetDetails_UEM!$A$3:$AH$1849,6,FALSE)</f>
        <v>Electrosurgical Units, Monopolar/Bipolar</v>
      </c>
      <c r="FCK115" s="196" t="s">
        <v>761</v>
      </c>
      <c r="FCL115" s="197" t="str">
        <f>VLOOKUP(FCK115,[13]AssetDetails_UEM!$A$3:$AH$1849,6,FALSE)</f>
        <v>Electrosurgical Units, Monopolar/Bipolar</v>
      </c>
      <c r="FCM115" s="196" t="s">
        <v>761</v>
      </c>
      <c r="FCN115" s="197" t="str">
        <f>VLOOKUP(FCM115,[13]AssetDetails_UEM!$A$3:$AH$1849,6,FALSE)</f>
        <v>Electrosurgical Units, Monopolar/Bipolar</v>
      </c>
      <c r="FCO115" s="196" t="s">
        <v>761</v>
      </c>
      <c r="FCP115" s="197" t="str">
        <f>VLOOKUP(FCO115,[13]AssetDetails_UEM!$A$3:$AH$1849,6,FALSE)</f>
        <v>Electrosurgical Units, Monopolar/Bipolar</v>
      </c>
      <c r="FCQ115" s="196" t="s">
        <v>761</v>
      </c>
      <c r="FCR115" s="197" t="str">
        <f>VLOOKUP(FCQ115,[13]AssetDetails_UEM!$A$3:$AH$1849,6,FALSE)</f>
        <v>Electrosurgical Units, Monopolar/Bipolar</v>
      </c>
      <c r="FCS115" s="196" t="s">
        <v>761</v>
      </c>
      <c r="FCT115" s="197" t="str">
        <f>VLOOKUP(FCS115,[13]AssetDetails_UEM!$A$3:$AH$1849,6,FALSE)</f>
        <v>Electrosurgical Units, Monopolar/Bipolar</v>
      </c>
      <c r="FCU115" s="196" t="s">
        <v>761</v>
      </c>
      <c r="FCV115" s="197" t="str">
        <f>VLOOKUP(FCU115,[13]AssetDetails_UEM!$A$3:$AH$1849,6,FALSE)</f>
        <v>Electrosurgical Units, Monopolar/Bipolar</v>
      </c>
      <c r="FCW115" s="196" t="s">
        <v>761</v>
      </c>
      <c r="FCX115" s="197" t="str">
        <f>VLOOKUP(FCW115,[13]AssetDetails_UEM!$A$3:$AH$1849,6,FALSE)</f>
        <v>Electrosurgical Units, Monopolar/Bipolar</v>
      </c>
      <c r="FCY115" s="196" t="s">
        <v>761</v>
      </c>
      <c r="FCZ115" s="197" t="str">
        <f>VLOOKUP(FCY115,[13]AssetDetails_UEM!$A$3:$AH$1849,6,FALSE)</f>
        <v>Electrosurgical Units, Monopolar/Bipolar</v>
      </c>
      <c r="FDA115" s="196" t="s">
        <v>761</v>
      </c>
      <c r="FDB115" s="197" t="str">
        <f>VLOOKUP(FDA115,[13]AssetDetails_UEM!$A$3:$AH$1849,6,FALSE)</f>
        <v>Electrosurgical Units, Monopolar/Bipolar</v>
      </c>
      <c r="FDC115" s="196" t="s">
        <v>761</v>
      </c>
      <c r="FDD115" s="197" t="str">
        <f>VLOOKUP(FDC115,[13]AssetDetails_UEM!$A$3:$AH$1849,6,FALSE)</f>
        <v>Electrosurgical Units, Monopolar/Bipolar</v>
      </c>
      <c r="FDE115" s="196" t="s">
        <v>761</v>
      </c>
      <c r="FDF115" s="197" t="str">
        <f>VLOOKUP(FDE115,[13]AssetDetails_UEM!$A$3:$AH$1849,6,FALSE)</f>
        <v>Electrosurgical Units, Monopolar/Bipolar</v>
      </c>
      <c r="FDG115" s="196" t="s">
        <v>761</v>
      </c>
      <c r="FDH115" s="197" t="str">
        <f>VLOOKUP(FDG115,[13]AssetDetails_UEM!$A$3:$AH$1849,6,FALSE)</f>
        <v>Electrosurgical Units, Monopolar/Bipolar</v>
      </c>
      <c r="FDI115" s="196" t="s">
        <v>761</v>
      </c>
      <c r="FDJ115" s="197" t="str">
        <f>VLOOKUP(FDI115,[13]AssetDetails_UEM!$A$3:$AH$1849,6,FALSE)</f>
        <v>Electrosurgical Units, Monopolar/Bipolar</v>
      </c>
      <c r="FDK115" s="196" t="s">
        <v>761</v>
      </c>
      <c r="FDL115" s="197" t="str">
        <f>VLOOKUP(FDK115,[13]AssetDetails_UEM!$A$3:$AH$1849,6,FALSE)</f>
        <v>Electrosurgical Units, Monopolar/Bipolar</v>
      </c>
      <c r="FDM115" s="196" t="s">
        <v>761</v>
      </c>
      <c r="FDN115" s="197" t="str">
        <f>VLOOKUP(FDM115,[13]AssetDetails_UEM!$A$3:$AH$1849,6,FALSE)</f>
        <v>Electrosurgical Units, Monopolar/Bipolar</v>
      </c>
      <c r="FDO115" s="196" t="s">
        <v>761</v>
      </c>
      <c r="FDP115" s="197" t="str">
        <f>VLOOKUP(FDO115,[13]AssetDetails_UEM!$A$3:$AH$1849,6,FALSE)</f>
        <v>Electrosurgical Units, Monopolar/Bipolar</v>
      </c>
      <c r="FDQ115" s="196" t="s">
        <v>761</v>
      </c>
      <c r="FDR115" s="197" t="str">
        <f>VLOOKUP(FDQ115,[13]AssetDetails_UEM!$A$3:$AH$1849,6,FALSE)</f>
        <v>Electrosurgical Units, Monopolar/Bipolar</v>
      </c>
      <c r="FDS115" s="196" t="s">
        <v>761</v>
      </c>
      <c r="FDT115" s="197" t="str">
        <f>VLOOKUP(FDS115,[13]AssetDetails_UEM!$A$3:$AH$1849,6,FALSE)</f>
        <v>Electrosurgical Units, Monopolar/Bipolar</v>
      </c>
      <c r="FDU115" s="196" t="s">
        <v>761</v>
      </c>
      <c r="FDV115" s="197" t="str">
        <f>VLOOKUP(FDU115,[13]AssetDetails_UEM!$A$3:$AH$1849,6,FALSE)</f>
        <v>Electrosurgical Units, Monopolar/Bipolar</v>
      </c>
      <c r="FDW115" s="196" t="s">
        <v>761</v>
      </c>
      <c r="FDX115" s="197" t="str">
        <f>VLOOKUP(FDW115,[13]AssetDetails_UEM!$A$3:$AH$1849,6,FALSE)</f>
        <v>Electrosurgical Units, Monopolar/Bipolar</v>
      </c>
      <c r="FDY115" s="196" t="s">
        <v>761</v>
      </c>
      <c r="FDZ115" s="197" t="str">
        <f>VLOOKUP(FDY115,[13]AssetDetails_UEM!$A$3:$AH$1849,6,FALSE)</f>
        <v>Electrosurgical Units, Monopolar/Bipolar</v>
      </c>
      <c r="FEA115" s="196" t="s">
        <v>761</v>
      </c>
      <c r="FEB115" s="197" t="str">
        <f>VLOOKUP(FEA115,[13]AssetDetails_UEM!$A$3:$AH$1849,6,FALSE)</f>
        <v>Electrosurgical Units, Monopolar/Bipolar</v>
      </c>
      <c r="FEC115" s="196" t="s">
        <v>761</v>
      </c>
      <c r="FED115" s="197" t="str">
        <f>VLOOKUP(FEC115,[13]AssetDetails_UEM!$A$3:$AH$1849,6,FALSE)</f>
        <v>Electrosurgical Units, Monopolar/Bipolar</v>
      </c>
      <c r="FEE115" s="196" t="s">
        <v>761</v>
      </c>
      <c r="FEF115" s="197" t="str">
        <f>VLOOKUP(FEE115,[13]AssetDetails_UEM!$A$3:$AH$1849,6,FALSE)</f>
        <v>Electrosurgical Units, Monopolar/Bipolar</v>
      </c>
      <c r="FEG115" s="196" t="s">
        <v>761</v>
      </c>
      <c r="FEH115" s="197" t="str">
        <f>VLOOKUP(FEG115,[13]AssetDetails_UEM!$A$3:$AH$1849,6,FALSE)</f>
        <v>Electrosurgical Units, Monopolar/Bipolar</v>
      </c>
      <c r="FEI115" s="196" t="s">
        <v>761</v>
      </c>
      <c r="FEJ115" s="197" t="str">
        <f>VLOOKUP(FEI115,[13]AssetDetails_UEM!$A$3:$AH$1849,6,FALSE)</f>
        <v>Electrosurgical Units, Monopolar/Bipolar</v>
      </c>
      <c r="FEK115" s="196" t="s">
        <v>761</v>
      </c>
      <c r="FEL115" s="197" t="str">
        <f>VLOOKUP(FEK115,[13]AssetDetails_UEM!$A$3:$AH$1849,6,FALSE)</f>
        <v>Electrosurgical Units, Monopolar/Bipolar</v>
      </c>
      <c r="FEM115" s="196" t="s">
        <v>761</v>
      </c>
      <c r="FEN115" s="197" t="str">
        <f>VLOOKUP(FEM115,[13]AssetDetails_UEM!$A$3:$AH$1849,6,FALSE)</f>
        <v>Electrosurgical Units, Monopolar/Bipolar</v>
      </c>
      <c r="FEO115" s="196" t="s">
        <v>761</v>
      </c>
      <c r="FEP115" s="197" t="str">
        <f>VLOOKUP(FEO115,[13]AssetDetails_UEM!$A$3:$AH$1849,6,FALSE)</f>
        <v>Electrosurgical Units, Monopolar/Bipolar</v>
      </c>
      <c r="FEQ115" s="196" t="s">
        <v>761</v>
      </c>
      <c r="FER115" s="197" t="str">
        <f>VLOOKUP(FEQ115,[13]AssetDetails_UEM!$A$3:$AH$1849,6,FALSE)</f>
        <v>Electrosurgical Units, Monopolar/Bipolar</v>
      </c>
      <c r="FES115" s="196" t="s">
        <v>761</v>
      </c>
      <c r="FET115" s="197" t="str">
        <f>VLOOKUP(FES115,[13]AssetDetails_UEM!$A$3:$AH$1849,6,FALSE)</f>
        <v>Electrosurgical Units, Monopolar/Bipolar</v>
      </c>
      <c r="FEU115" s="196" t="s">
        <v>761</v>
      </c>
      <c r="FEV115" s="197" t="str">
        <f>VLOOKUP(FEU115,[13]AssetDetails_UEM!$A$3:$AH$1849,6,FALSE)</f>
        <v>Electrosurgical Units, Monopolar/Bipolar</v>
      </c>
      <c r="FEW115" s="196" t="s">
        <v>761</v>
      </c>
      <c r="FEX115" s="197" t="str">
        <f>VLOOKUP(FEW115,[13]AssetDetails_UEM!$A$3:$AH$1849,6,FALSE)</f>
        <v>Electrosurgical Units, Monopolar/Bipolar</v>
      </c>
      <c r="FEY115" s="196" t="s">
        <v>761</v>
      </c>
      <c r="FEZ115" s="197" t="str">
        <f>VLOOKUP(FEY115,[13]AssetDetails_UEM!$A$3:$AH$1849,6,FALSE)</f>
        <v>Electrosurgical Units, Monopolar/Bipolar</v>
      </c>
      <c r="FFA115" s="196" t="s">
        <v>761</v>
      </c>
      <c r="FFB115" s="197" t="str">
        <f>VLOOKUP(FFA115,[13]AssetDetails_UEM!$A$3:$AH$1849,6,FALSE)</f>
        <v>Electrosurgical Units, Monopolar/Bipolar</v>
      </c>
      <c r="FFC115" s="196" t="s">
        <v>761</v>
      </c>
      <c r="FFD115" s="197" t="str">
        <f>VLOOKUP(FFC115,[13]AssetDetails_UEM!$A$3:$AH$1849,6,FALSE)</f>
        <v>Electrosurgical Units, Monopolar/Bipolar</v>
      </c>
      <c r="FFE115" s="196" t="s">
        <v>761</v>
      </c>
      <c r="FFF115" s="197" t="str">
        <f>VLOOKUP(FFE115,[13]AssetDetails_UEM!$A$3:$AH$1849,6,FALSE)</f>
        <v>Electrosurgical Units, Monopolar/Bipolar</v>
      </c>
      <c r="FFG115" s="196" t="s">
        <v>761</v>
      </c>
      <c r="FFH115" s="197" t="str">
        <f>VLOOKUP(FFG115,[13]AssetDetails_UEM!$A$3:$AH$1849,6,FALSE)</f>
        <v>Electrosurgical Units, Monopolar/Bipolar</v>
      </c>
      <c r="FFI115" s="196" t="s">
        <v>761</v>
      </c>
      <c r="FFJ115" s="197" t="str">
        <f>VLOOKUP(FFI115,[13]AssetDetails_UEM!$A$3:$AH$1849,6,FALSE)</f>
        <v>Electrosurgical Units, Monopolar/Bipolar</v>
      </c>
      <c r="FFK115" s="196" t="s">
        <v>761</v>
      </c>
      <c r="FFL115" s="197" t="str">
        <f>VLOOKUP(FFK115,[13]AssetDetails_UEM!$A$3:$AH$1849,6,FALSE)</f>
        <v>Electrosurgical Units, Monopolar/Bipolar</v>
      </c>
      <c r="FFM115" s="196" t="s">
        <v>761</v>
      </c>
      <c r="FFN115" s="197" t="str">
        <f>VLOOKUP(FFM115,[13]AssetDetails_UEM!$A$3:$AH$1849,6,FALSE)</f>
        <v>Electrosurgical Units, Monopolar/Bipolar</v>
      </c>
      <c r="FFO115" s="196" t="s">
        <v>761</v>
      </c>
      <c r="FFP115" s="197" t="str">
        <f>VLOOKUP(FFO115,[13]AssetDetails_UEM!$A$3:$AH$1849,6,FALSE)</f>
        <v>Electrosurgical Units, Monopolar/Bipolar</v>
      </c>
      <c r="FFQ115" s="196" t="s">
        <v>761</v>
      </c>
      <c r="FFR115" s="197" t="str">
        <f>VLOOKUP(FFQ115,[13]AssetDetails_UEM!$A$3:$AH$1849,6,FALSE)</f>
        <v>Electrosurgical Units, Monopolar/Bipolar</v>
      </c>
      <c r="FFS115" s="196" t="s">
        <v>761</v>
      </c>
      <c r="FFT115" s="197" t="str">
        <f>VLOOKUP(FFS115,[13]AssetDetails_UEM!$A$3:$AH$1849,6,FALSE)</f>
        <v>Electrosurgical Units, Monopolar/Bipolar</v>
      </c>
      <c r="FFU115" s="196" t="s">
        <v>761</v>
      </c>
      <c r="FFV115" s="197" t="str">
        <f>VLOOKUP(FFU115,[13]AssetDetails_UEM!$A$3:$AH$1849,6,FALSE)</f>
        <v>Electrosurgical Units, Monopolar/Bipolar</v>
      </c>
      <c r="FFW115" s="196" t="s">
        <v>761</v>
      </c>
      <c r="FFX115" s="197" t="str">
        <f>VLOOKUP(FFW115,[13]AssetDetails_UEM!$A$3:$AH$1849,6,FALSE)</f>
        <v>Electrosurgical Units, Monopolar/Bipolar</v>
      </c>
      <c r="FFY115" s="196" t="s">
        <v>761</v>
      </c>
      <c r="FFZ115" s="197" t="str">
        <f>VLOOKUP(FFY115,[13]AssetDetails_UEM!$A$3:$AH$1849,6,FALSE)</f>
        <v>Electrosurgical Units, Monopolar/Bipolar</v>
      </c>
      <c r="FGA115" s="196" t="s">
        <v>761</v>
      </c>
      <c r="FGB115" s="197" t="str">
        <f>VLOOKUP(FGA115,[13]AssetDetails_UEM!$A$3:$AH$1849,6,FALSE)</f>
        <v>Electrosurgical Units, Monopolar/Bipolar</v>
      </c>
      <c r="FGC115" s="196" t="s">
        <v>761</v>
      </c>
      <c r="FGD115" s="197" t="str">
        <f>VLOOKUP(FGC115,[13]AssetDetails_UEM!$A$3:$AH$1849,6,FALSE)</f>
        <v>Electrosurgical Units, Monopolar/Bipolar</v>
      </c>
      <c r="FGE115" s="196" t="s">
        <v>761</v>
      </c>
      <c r="FGF115" s="197" t="str">
        <f>VLOOKUP(FGE115,[13]AssetDetails_UEM!$A$3:$AH$1849,6,FALSE)</f>
        <v>Electrosurgical Units, Monopolar/Bipolar</v>
      </c>
      <c r="FGG115" s="196" t="s">
        <v>761</v>
      </c>
      <c r="FGH115" s="197" t="str">
        <f>VLOOKUP(FGG115,[13]AssetDetails_UEM!$A$3:$AH$1849,6,FALSE)</f>
        <v>Electrosurgical Units, Monopolar/Bipolar</v>
      </c>
      <c r="FGI115" s="196" t="s">
        <v>761</v>
      </c>
      <c r="FGJ115" s="197" t="str">
        <f>VLOOKUP(FGI115,[13]AssetDetails_UEM!$A$3:$AH$1849,6,FALSE)</f>
        <v>Electrosurgical Units, Monopolar/Bipolar</v>
      </c>
      <c r="FGK115" s="196" t="s">
        <v>761</v>
      </c>
      <c r="FGL115" s="197" t="str">
        <f>VLOOKUP(FGK115,[13]AssetDetails_UEM!$A$3:$AH$1849,6,FALSE)</f>
        <v>Electrosurgical Units, Monopolar/Bipolar</v>
      </c>
      <c r="FGM115" s="196" t="s">
        <v>761</v>
      </c>
      <c r="FGN115" s="197" t="str">
        <f>VLOOKUP(FGM115,[13]AssetDetails_UEM!$A$3:$AH$1849,6,FALSE)</f>
        <v>Electrosurgical Units, Monopolar/Bipolar</v>
      </c>
      <c r="FGO115" s="196" t="s">
        <v>761</v>
      </c>
      <c r="FGP115" s="197" t="str">
        <f>VLOOKUP(FGO115,[13]AssetDetails_UEM!$A$3:$AH$1849,6,FALSE)</f>
        <v>Electrosurgical Units, Monopolar/Bipolar</v>
      </c>
      <c r="FGQ115" s="196" t="s">
        <v>761</v>
      </c>
      <c r="FGR115" s="197" t="str">
        <f>VLOOKUP(FGQ115,[13]AssetDetails_UEM!$A$3:$AH$1849,6,FALSE)</f>
        <v>Electrosurgical Units, Monopolar/Bipolar</v>
      </c>
      <c r="FGS115" s="196" t="s">
        <v>761</v>
      </c>
      <c r="FGT115" s="197" t="str">
        <f>VLOOKUP(FGS115,[13]AssetDetails_UEM!$A$3:$AH$1849,6,FALSE)</f>
        <v>Electrosurgical Units, Monopolar/Bipolar</v>
      </c>
      <c r="FGU115" s="196" t="s">
        <v>761</v>
      </c>
      <c r="FGV115" s="197" t="str">
        <f>VLOOKUP(FGU115,[13]AssetDetails_UEM!$A$3:$AH$1849,6,FALSE)</f>
        <v>Electrosurgical Units, Monopolar/Bipolar</v>
      </c>
      <c r="FGW115" s="196" t="s">
        <v>761</v>
      </c>
      <c r="FGX115" s="197" t="str">
        <f>VLOOKUP(FGW115,[13]AssetDetails_UEM!$A$3:$AH$1849,6,FALSE)</f>
        <v>Electrosurgical Units, Monopolar/Bipolar</v>
      </c>
      <c r="FGY115" s="196" t="s">
        <v>761</v>
      </c>
      <c r="FGZ115" s="197" t="str">
        <f>VLOOKUP(FGY115,[13]AssetDetails_UEM!$A$3:$AH$1849,6,FALSE)</f>
        <v>Electrosurgical Units, Monopolar/Bipolar</v>
      </c>
      <c r="FHA115" s="196" t="s">
        <v>761</v>
      </c>
      <c r="FHB115" s="197" t="str">
        <f>VLOOKUP(FHA115,[13]AssetDetails_UEM!$A$3:$AH$1849,6,FALSE)</f>
        <v>Electrosurgical Units, Monopolar/Bipolar</v>
      </c>
      <c r="FHC115" s="196" t="s">
        <v>761</v>
      </c>
      <c r="FHD115" s="197" t="str">
        <f>VLOOKUP(FHC115,[13]AssetDetails_UEM!$A$3:$AH$1849,6,FALSE)</f>
        <v>Electrosurgical Units, Monopolar/Bipolar</v>
      </c>
      <c r="FHE115" s="196" t="s">
        <v>761</v>
      </c>
      <c r="FHF115" s="197" t="str">
        <f>VLOOKUP(FHE115,[13]AssetDetails_UEM!$A$3:$AH$1849,6,FALSE)</f>
        <v>Electrosurgical Units, Monopolar/Bipolar</v>
      </c>
      <c r="FHG115" s="196" t="s">
        <v>761</v>
      </c>
      <c r="FHH115" s="197" t="str">
        <f>VLOOKUP(FHG115,[13]AssetDetails_UEM!$A$3:$AH$1849,6,FALSE)</f>
        <v>Electrosurgical Units, Monopolar/Bipolar</v>
      </c>
      <c r="FHI115" s="196" t="s">
        <v>761</v>
      </c>
      <c r="FHJ115" s="197" t="str">
        <f>VLOOKUP(FHI115,[13]AssetDetails_UEM!$A$3:$AH$1849,6,FALSE)</f>
        <v>Electrosurgical Units, Monopolar/Bipolar</v>
      </c>
      <c r="FHK115" s="196" t="s">
        <v>761</v>
      </c>
      <c r="FHL115" s="197" t="str">
        <f>VLOOKUP(FHK115,[13]AssetDetails_UEM!$A$3:$AH$1849,6,FALSE)</f>
        <v>Electrosurgical Units, Monopolar/Bipolar</v>
      </c>
      <c r="FHM115" s="196" t="s">
        <v>761</v>
      </c>
      <c r="FHN115" s="197" t="str">
        <f>VLOOKUP(FHM115,[13]AssetDetails_UEM!$A$3:$AH$1849,6,FALSE)</f>
        <v>Electrosurgical Units, Monopolar/Bipolar</v>
      </c>
      <c r="FHO115" s="196" t="s">
        <v>761</v>
      </c>
      <c r="FHP115" s="197" t="str">
        <f>VLOOKUP(FHO115,[13]AssetDetails_UEM!$A$3:$AH$1849,6,FALSE)</f>
        <v>Electrosurgical Units, Monopolar/Bipolar</v>
      </c>
      <c r="FHQ115" s="196" t="s">
        <v>761</v>
      </c>
      <c r="FHR115" s="197" t="str">
        <f>VLOOKUP(FHQ115,[13]AssetDetails_UEM!$A$3:$AH$1849,6,FALSE)</f>
        <v>Electrosurgical Units, Monopolar/Bipolar</v>
      </c>
      <c r="FHS115" s="196" t="s">
        <v>761</v>
      </c>
      <c r="FHT115" s="197" t="str">
        <f>VLOOKUP(FHS115,[13]AssetDetails_UEM!$A$3:$AH$1849,6,FALSE)</f>
        <v>Electrosurgical Units, Monopolar/Bipolar</v>
      </c>
      <c r="FHU115" s="196" t="s">
        <v>761</v>
      </c>
      <c r="FHV115" s="197" t="str">
        <f>VLOOKUP(FHU115,[13]AssetDetails_UEM!$A$3:$AH$1849,6,FALSE)</f>
        <v>Electrosurgical Units, Monopolar/Bipolar</v>
      </c>
      <c r="FHW115" s="196" t="s">
        <v>761</v>
      </c>
      <c r="FHX115" s="197" t="str">
        <f>VLOOKUP(FHW115,[13]AssetDetails_UEM!$A$3:$AH$1849,6,FALSE)</f>
        <v>Electrosurgical Units, Monopolar/Bipolar</v>
      </c>
      <c r="FHY115" s="196" t="s">
        <v>761</v>
      </c>
      <c r="FHZ115" s="197" t="str">
        <f>VLOOKUP(FHY115,[13]AssetDetails_UEM!$A$3:$AH$1849,6,FALSE)</f>
        <v>Electrosurgical Units, Monopolar/Bipolar</v>
      </c>
      <c r="FIA115" s="196" t="s">
        <v>761</v>
      </c>
      <c r="FIB115" s="197" t="str">
        <f>VLOOKUP(FIA115,[13]AssetDetails_UEM!$A$3:$AH$1849,6,FALSE)</f>
        <v>Electrosurgical Units, Monopolar/Bipolar</v>
      </c>
      <c r="FIC115" s="196" t="s">
        <v>761</v>
      </c>
      <c r="FID115" s="197" t="str">
        <f>VLOOKUP(FIC115,[13]AssetDetails_UEM!$A$3:$AH$1849,6,FALSE)</f>
        <v>Electrosurgical Units, Monopolar/Bipolar</v>
      </c>
      <c r="FIE115" s="196" t="s">
        <v>761</v>
      </c>
      <c r="FIF115" s="197" t="str">
        <f>VLOOKUP(FIE115,[13]AssetDetails_UEM!$A$3:$AH$1849,6,FALSE)</f>
        <v>Electrosurgical Units, Monopolar/Bipolar</v>
      </c>
      <c r="FIG115" s="196" t="s">
        <v>761</v>
      </c>
      <c r="FIH115" s="197" t="str">
        <f>VLOOKUP(FIG115,[13]AssetDetails_UEM!$A$3:$AH$1849,6,FALSE)</f>
        <v>Electrosurgical Units, Monopolar/Bipolar</v>
      </c>
      <c r="FII115" s="196" t="s">
        <v>761</v>
      </c>
      <c r="FIJ115" s="197" t="str">
        <f>VLOOKUP(FII115,[13]AssetDetails_UEM!$A$3:$AH$1849,6,FALSE)</f>
        <v>Electrosurgical Units, Monopolar/Bipolar</v>
      </c>
      <c r="FIK115" s="196" t="s">
        <v>761</v>
      </c>
      <c r="FIL115" s="197" t="str">
        <f>VLOOKUP(FIK115,[13]AssetDetails_UEM!$A$3:$AH$1849,6,FALSE)</f>
        <v>Electrosurgical Units, Monopolar/Bipolar</v>
      </c>
      <c r="FIM115" s="196" t="s">
        <v>761</v>
      </c>
      <c r="FIN115" s="197" t="str">
        <f>VLOOKUP(FIM115,[13]AssetDetails_UEM!$A$3:$AH$1849,6,FALSE)</f>
        <v>Electrosurgical Units, Monopolar/Bipolar</v>
      </c>
      <c r="FIO115" s="196" t="s">
        <v>761</v>
      </c>
      <c r="FIP115" s="197" t="str">
        <f>VLOOKUP(FIO115,[13]AssetDetails_UEM!$A$3:$AH$1849,6,FALSE)</f>
        <v>Electrosurgical Units, Monopolar/Bipolar</v>
      </c>
      <c r="FIQ115" s="196" t="s">
        <v>761</v>
      </c>
      <c r="FIR115" s="197" t="str">
        <f>VLOOKUP(FIQ115,[13]AssetDetails_UEM!$A$3:$AH$1849,6,FALSE)</f>
        <v>Electrosurgical Units, Monopolar/Bipolar</v>
      </c>
      <c r="FIS115" s="196" t="s">
        <v>761</v>
      </c>
      <c r="FIT115" s="197" t="str">
        <f>VLOOKUP(FIS115,[13]AssetDetails_UEM!$A$3:$AH$1849,6,FALSE)</f>
        <v>Electrosurgical Units, Monopolar/Bipolar</v>
      </c>
      <c r="FIU115" s="196" t="s">
        <v>761</v>
      </c>
      <c r="FIV115" s="197" t="str">
        <f>VLOOKUP(FIU115,[13]AssetDetails_UEM!$A$3:$AH$1849,6,FALSE)</f>
        <v>Electrosurgical Units, Monopolar/Bipolar</v>
      </c>
      <c r="FIW115" s="196" t="s">
        <v>761</v>
      </c>
      <c r="FIX115" s="197" t="str">
        <f>VLOOKUP(FIW115,[13]AssetDetails_UEM!$A$3:$AH$1849,6,FALSE)</f>
        <v>Electrosurgical Units, Monopolar/Bipolar</v>
      </c>
      <c r="FIY115" s="196" t="s">
        <v>761</v>
      </c>
      <c r="FIZ115" s="197" t="str">
        <f>VLOOKUP(FIY115,[13]AssetDetails_UEM!$A$3:$AH$1849,6,FALSE)</f>
        <v>Electrosurgical Units, Monopolar/Bipolar</v>
      </c>
      <c r="FJA115" s="196" t="s">
        <v>761</v>
      </c>
      <c r="FJB115" s="197" t="str">
        <f>VLOOKUP(FJA115,[13]AssetDetails_UEM!$A$3:$AH$1849,6,FALSE)</f>
        <v>Electrosurgical Units, Monopolar/Bipolar</v>
      </c>
      <c r="FJC115" s="196" t="s">
        <v>761</v>
      </c>
      <c r="FJD115" s="197" t="str">
        <f>VLOOKUP(FJC115,[13]AssetDetails_UEM!$A$3:$AH$1849,6,FALSE)</f>
        <v>Electrosurgical Units, Monopolar/Bipolar</v>
      </c>
      <c r="FJE115" s="196" t="s">
        <v>761</v>
      </c>
      <c r="FJF115" s="197" t="str">
        <f>VLOOKUP(FJE115,[13]AssetDetails_UEM!$A$3:$AH$1849,6,FALSE)</f>
        <v>Electrosurgical Units, Monopolar/Bipolar</v>
      </c>
      <c r="FJG115" s="196" t="s">
        <v>761</v>
      </c>
      <c r="FJH115" s="197" t="str">
        <f>VLOOKUP(FJG115,[13]AssetDetails_UEM!$A$3:$AH$1849,6,FALSE)</f>
        <v>Electrosurgical Units, Monopolar/Bipolar</v>
      </c>
      <c r="FJI115" s="196" t="s">
        <v>761</v>
      </c>
      <c r="FJJ115" s="197" t="str">
        <f>VLOOKUP(FJI115,[13]AssetDetails_UEM!$A$3:$AH$1849,6,FALSE)</f>
        <v>Electrosurgical Units, Monopolar/Bipolar</v>
      </c>
      <c r="FJK115" s="196" t="s">
        <v>761</v>
      </c>
      <c r="FJL115" s="197" t="str">
        <f>VLOOKUP(FJK115,[13]AssetDetails_UEM!$A$3:$AH$1849,6,FALSE)</f>
        <v>Electrosurgical Units, Monopolar/Bipolar</v>
      </c>
      <c r="FJM115" s="196" t="s">
        <v>761</v>
      </c>
      <c r="FJN115" s="197" t="str">
        <f>VLOOKUP(FJM115,[13]AssetDetails_UEM!$A$3:$AH$1849,6,FALSE)</f>
        <v>Electrosurgical Units, Monopolar/Bipolar</v>
      </c>
      <c r="FJO115" s="196" t="s">
        <v>761</v>
      </c>
      <c r="FJP115" s="197" t="str">
        <f>VLOOKUP(FJO115,[13]AssetDetails_UEM!$A$3:$AH$1849,6,FALSE)</f>
        <v>Electrosurgical Units, Monopolar/Bipolar</v>
      </c>
      <c r="FJQ115" s="196" t="s">
        <v>761</v>
      </c>
      <c r="FJR115" s="197" t="str">
        <f>VLOOKUP(FJQ115,[13]AssetDetails_UEM!$A$3:$AH$1849,6,FALSE)</f>
        <v>Electrosurgical Units, Monopolar/Bipolar</v>
      </c>
      <c r="FJS115" s="196" t="s">
        <v>761</v>
      </c>
      <c r="FJT115" s="197" t="str">
        <f>VLOOKUP(FJS115,[13]AssetDetails_UEM!$A$3:$AH$1849,6,FALSE)</f>
        <v>Electrosurgical Units, Monopolar/Bipolar</v>
      </c>
      <c r="FJU115" s="196" t="s">
        <v>761</v>
      </c>
      <c r="FJV115" s="197" t="str">
        <f>VLOOKUP(FJU115,[13]AssetDetails_UEM!$A$3:$AH$1849,6,FALSE)</f>
        <v>Electrosurgical Units, Monopolar/Bipolar</v>
      </c>
      <c r="FJW115" s="196" t="s">
        <v>761</v>
      </c>
      <c r="FJX115" s="197" t="str">
        <f>VLOOKUP(FJW115,[13]AssetDetails_UEM!$A$3:$AH$1849,6,FALSE)</f>
        <v>Electrosurgical Units, Monopolar/Bipolar</v>
      </c>
      <c r="FJY115" s="196" t="s">
        <v>761</v>
      </c>
      <c r="FJZ115" s="197" t="str">
        <f>VLOOKUP(FJY115,[13]AssetDetails_UEM!$A$3:$AH$1849,6,FALSE)</f>
        <v>Electrosurgical Units, Monopolar/Bipolar</v>
      </c>
      <c r="FKA115" s="196" t="s">
        <v>761</v>
      </c>
      <c r="FKB115" s="197" t="str">
        <f>VLOOKUP(FKA115,[13]AssetDetails_UEM!$A$3:$AH$1849,6,FALSE)</f>
        <v>Electrosurgical Units, Monopolar/Bipolar</v>
      </c>
      <c r="FKC115" s="196" t="s">
        <v>761</v>
      </c>
      <c r="FKD115" s="197" t="str">
        <f>VLOOKUP(FKC115,[13]AssetDetails_UEM!$A$3:$AH$1849,6,FALSE)</f>
        <v>Electrosurgical Units, Monopolar/Bipolar</v>
      </c>
      <c r="FKE115" s="196" t="s">
        <v>761</v>
      </c>
      <c r="FKF115" s="197" t="str">
        <f>VLOOKUP(FKE115,[13]AssetDetails_UEM!$A$3:$AH$1849,6,FALSE)</f>
        <v>Electrosurgical Units, Monopolar/Bipolar</v>
      </c>
      <c r="FKG115" s="196" t="s">
        <v>761</v>
      </c>
      <c r="FKH115" s="197" t="str">
        <f>VLOOKUP(FKG115,[13]AssetDetails_UEM!$A$3:$AH$1849,6,FALSE)</f>
        <v>Electrosurgical Units, Monopolar/Bipolar</v>
      </c>
      <c r="FKI115" s="196" t="s">
        <v>761</v>
      </c>
      <c r="FKJ115" s="197" t="str">
        <f>VLOOKUP(FKI115,[13]AssetDetails_UEM!$A$3:$AH$1849,6,FALSE)</f>
        <v>Electrosurgical Units, Monopolar/Bipolar</v>
      </c>
      <c r="FKK115" s="196" t="s">
        <v>761</v>
      </c>
      <c r="FKL115" s="197" t="str">
        <f>VLOOKUP(FKK115,[13]AssetDetails_UEM!$A$3:$AH$1849,6,FALSE)</f>
        <v>Electrosurgical Units, Monopolar/Bipolar</v>
      </c>
      <c r="FKM115" s="196" t="s">
        <v>761</v>
      </c>
      <c r="FKN115" s="197" t="str">
        <f>VLOOKUP(FKM115,[13]AssetDetails_UEM!$A$3:$AH$1849,6,FALSE)</f>
        <v>Electrosurgical Units, Monopolar/Bipolar</v>
      </c>
      <c r="FKO115" s="196" t="s">
        <v>761</v>
      </c>
      <c r="FKP115" s="197" t="str">
        <f>VLOOKUP(FKO115,[13]AssetDetails_UEM!$A$3:$AH$1849,6,FALSE)</f>
        <v>Electrosurgical Units, Monopolar/Bipolar</v>
      </c>
      <c r="FKQ115" s="196" t="s">
        <v>761</v>
      </c>
      <c r="FKR115" s="197" t="str">
        <f>VLOOKUP(FKQ115,[13]AssetDetails_UEM!$A$3:$AH$1849,6,FALSE)</f>
        <v>Electrosurgical Units, Monopolar/Bipolar</v>
      </c>
      <c r="FKS115" s="196" t="s">
        <v>761</v>
      </c>
      <c r="FKT115" s="197" t="str">
        <f>VLOOKUP(FKS115,[13]AssetDetails_UEM!$A$3:$AH$1849,6,FALSE)</f>
        <v>Electrosurgical Units, Monopolar/Bipolar</v>
      </c>
      <c r="FKU115" s="196" t="s">
        <v>761</v>
      </c>
      <c r="FKV115" s="197" t="str">
        <f>VLOOKUP(FKU115,[13]AssetDetails_UEM!$A$3:$AH$1849,6,FALSE)</f>
        <v>Electrosurgical Units, Monopolar/Bipolar</v>
      </c>
      <c r="FKW115" s="196" t="s">
        <v>761</v>
      </c>
      <c r="FKX115" s="197" t="str">
        <f>VLOOKUP(FKW115,[13]AssetDetails_UEM!$A$3:$AH$1849,6,FALSE)</f>
        <v>Electrosurgical Units, Monopolar/Bipolar</v>
      </c>
      <c r="FKY115" s="196" t="s">
        <v>761</v>
      </c>
      <c r="FKZ115" s="197" t="str">
        <f>VLOOKUP(FKY115,[13]AssetDetails_UEM!$A$3:$AH$1849,6,FALSE)</f>
        <v>Electrosurgical Units, Monopolar/Bipolar</v>
      </c>
      <c r="FLA115" s="196" t="s">
        <v>761</v>
      </c>
      <c r="FLB115" s="197" t="str">
        <f>VLOOKUP(FLA115,[13]AssetDetails_UEM!$A$3:$AH$1849,6,FALSE)</f>
        <v>Electrosurgical Units, Monopolar/Bipolar</v>
      </c>
      <c r="FLC115" s="196" t="s">
        <v>761</v>
      </c>
      <c r="FLD115" s="197" t="str">
        <f>VLOOKUP(FLC115,[13]AssetDetails_UEM!$A$3:$AH$1849,6,FALSE)</f>
        <v>Electrosurgical Units, Monopolar/Bipolar</v>
      </c>
      <c r="FLE115" s="196" t="s">
        <v>761</v>
      </c>
      <c r="FLF115" s="197" t="str">
        <f>VLOOKUP(FLE115,[13]AssetDetails_UEM!$A$3:$AH$1849,6,FALSE)</f>
        <v>Electrosurgical Units, Monopolar/Bipolar</v>
      </c>
      <c r="FLG115" s="196" t="s">
        <v>761</v>
      </c>
      <c r="FLH115" s="197" t="str">
        <f>VLOOKUP(FLG115,[13]AssetDetails_UEM!$A$3:$AH$1849,6,FALSE)</f>
        <v>Electrosurgical Units, Monopolar/Bipolar</v>
      </c>
      <c r="FLI115" s="196" t="s">
        <v>761</v>
      </c>
      <c r="FLJ115" s="197" t="str">
        <f>VLOOKUP(FLI115,[13]AssetDetails_UEM!$A$3:$AH$1849,6,FALSE)</f>
        <v>Electrosurgical Units, Monopolar/Bipolar</v>
      </c>
      <c r="FLK115" s="196" t="s">
        <v>761</v>
      </c>
      <c r="FLL115" s="197" t="str">
        <f>VLOOKUP(FLK115,[13]AssetDetails_UEM!$A$3:$AH$1849,6,FALSE)</f>
        <v>Electrosurgical Units, Monopolar/Bipolar</v>
      </c>
      <c r="FLM115" s="196" t="s">
        <v>761</v>
      </c>
      <c r="FLN115" s="197" t="str">
        <f>VLOOKUP(FLM115,[13]AssetDetails_UEM!$A$3:$AH$1849,6,FALSE)</f>
        <v>Electrosurgical Units, Monopolar/Bipolar</v>
      </c>
      <c r="FLO115" s="196" t="s">
        <v>761</v>
      </c>
      <c r="FLP115" s="197" t="str">
        <f>VLOOKUP(FLO115,[13]AssetDetails_UEM!$A$3:$AH$1849,6,FALSE)</f>
        <v>Electrosurgical Units, Monopolar/Bipolar</v>
      </c>
      <c r="FLQ115" s="196" t="s">
        <v>761</v>
      </c>
      <c r="FLR115" s="197" t="str">
        <f>VLOOKUP(FLQ115,[13]AssetDetails_UEM!$A$3:$AH$1849,6,FALSE)</f>
        <v>Electrosurgical Units, Monopolar/Bipolar</v>
      </c>
      <c r="FLS115" s="196" t="s">
        <v>761</v>
      </c>
      <c r="FLT115" s="197" t="str">
        <f>VLOOKUP(FLS115,[13]AssetDetails_UEM!$A$3:$AH$1849,6,FALSE)</f>
        <v>Electrosurgical Units, Monopolar/Bipolar</v>
      </c>
      <c r="FLU115" s="196" t="s">
        <v>761</v>
      </c>
      <c r="FLV115" s="197" t="str">
        <f>VLOOKUP(FLU115,[13]AssetDetails_UEM!$A$3:$AH$1849,6,FALSE)</f>
        <v>Electrosurgical Units, Monopolar/Bipolar</v>
      </c>
      <c r="FLW115" s="196" t="s">
        <v>761</v>
      </c>
      <c r="FLX115" s="197" t="str">
        <f>VLOOKUP(FLW115,[13]AssetDetails_UEM!$A$3:$AH$1849,6,FALSE)</f>
        <v>Electrosurgical Units, Monopolar/Bipolar</v>
      </c>
      <c r="FLY115" s="196" t="s">
        <v>761</v>
      </c>
      <c r="FLZ115" s="197" t="str">
        <f>VLOOKUP(FLY115,[13]AssetDetails_UEM!$A$3:$AH$1849,6,FALSE)</f>
        <v>Electrosurgical Units, Monopolar/Bipolar</v>
      </c>
      <c r="FMA115" s="196" t="s">
        <v>761</v>
      </c>
      <c r="FMB115" s="197" t="str">
        <f>VLOOKUP(FMA115,[13]AssetDetails_UEM!$A$3:$AH$1849,6,FALSE)</f>
        <v>Electrosurgical Units, Monopolar/Bipolar</v>
      </c>
      <c r="FMC115" s="196" t="s">
        <v>761</v>
      </c>
      <c r="FMD115" s="197" t="str">
        <f>VLOOKUP(FMC115,[13]AssetDetails_UEM!$A$3:$AH$1849,6,FALSE)</f>
        <v>Electrosurgical Units, Monopolar/Bipolar</v>
      </c>
      <c r="FME115" s="196" t="s">
        <v>761</v>
      </c>
      <c r="FMF115" s="197" t="str">
        <f>VLOOKUP(FME115,[13]AssetDetails_UEM!$A$3:$AH$1849,6,FALSE)</f>
        <v>Electrosurgical Units, Monopolar/Bipolar</v>
      </c>
      <c r="FMG115" s="196" t="s">
        <v>761</v>
      </c>
      <c r="FMH115" s="197" t="str">
        <f>VLOOKUP(FMG115,[13]AssetDetails_UEM!$A$3:$AH$1849,6,FALSE)</f>
        <v>Electrosurgical Units, Monopolar/Bipolar</v>
      </c>
      <c r="FMI115" s="196" t="s">
        <v>761</v>
      </c>
      <c r="FMJ115" s="197" t="str">
        <f>VLOOKUP(FMI115,[13]AssetDetails_UEM!$A$3:$AH$1849,6,FALSE)</f>
        <v>Electrosurgical Units, Monopolar/Bipolar</v>
      </c>
      <c r="FMK115" s="196" t="s">
        <v>761</v>
      </c>
      <c r="FML115" s="197" t="str">
        <f>VLOOKUP(FMK115,[13]AssetDetails_UEM!$A$3:$AH$1849,6,FALSE)</f>
        <v>Electrosurgical Units, Monopolar/Bipolar</v>
      </c>
      <c r="FMM115" s="196" t="s">
        <v>761</v>
      </c>
      <c r="FMN115" s="197" t="str">
        <f>VLOOKUP(FMM115,[13]AssetDetails_UEM!$A$3:$AH$1849,6,FALSE)</f>
        <v>Electrosurgical Units, Monopolar/Bipolar</v>
      </c>
      <c r="FMO115" s="196" t="s">
        <v>761</v>
      </c>
      <c r="FMP115" s="197" t="str">
        <f>VLOOKUP(FMO115,[13]AssetDetails_UEM!$A$3:$AH$1849,6,FALSE)</f>
        <v>Electrosurgical Units, Monopolar/Bipolar</v>
      </c>
      <c r="FMQ115" s="196" t="s">
        <v>761</v>
      </c>
      <c r="FMR115" s="197" t="str">
        <f>VLOOKUP(FMQ115,[13]AssetDetails_UEM!$A$3:$AH$1849,6,FALSE)</f>
        <v>Electrosurgical Units, Monopolar/Bipolar</v>
      </c>
      <c r="FMS115" s="196" t="s">
        <v>761</v>
      </c>
      <c r="FMT115" s="197" t="str">
        <f>VLOOKUP(FMS115,[13]AssetDetails_UEM!$A$3:$AH$1849,6,FALSE)</f>
        <v>Electrosurgical Units, Monopolar/Bipolar</v>
      </c>
      <c r="FMU115" s="196" t="s">
        <v>761</v>
      </c>
      <c r="FMV115" s="197" t="str">
        <f>VLOOKUP(FMU115,[13]AssetDetails_UEM!$A$3:$AH$1849,6,FALSE)</f>
        <v>Electrosurgical Units, Monopolar/Bipolar</v>
      </c>
      <c r="FMW115" s="196" t="s">
        <v>761</v>
      </c>
      <c r="FMX115" s="197" t="str">
        <f>VLOOKUP(FMW115,[13]AssetDetails_UEM!$A$3:$AH$1849,6,FALSE)</f>
        <v>Electrosurgical Units, Monopolar/Bipolar</v>
      </c>
      <c r="FMY115" s="196" t="s">
        <v>761</v>
      </c>
      <c r="FMZ115" s="197" t="str">
        <f>VLOOKUP(FMY115,[13]AssetDetails_UEM!$A$3:$AH$1849,6,FALSE)</f>
        <v>Electrosurgical Units, Monopolar/Bipolar</v>
      </c>
      <c r="FNA115" s="196" t="s">
        <v>761</v>
      </c>
      <c r="FNB115" s="197" t="str">
        <f>VLOOKUP(FNA115,[13]AssetDetails_UEM!$A$3:$AH$1849,6,FALSE)</f>
        <v>Electrosurgical Units, Monopolar/Bipolar</v>
      </c>
      <c r="FNC115" s="196" t="s">
        <v>761</v>
      </c>
      <c r="FND115" s="197" t="str">
        <f>VLOOKUP(FNC115,[13]AssetDetails_UEM!$A$3:$AH$1849,6,FALSE)</f>
        <v>Electrosurgical Units, Monopolar/Bipolar</v>
      </c>
      <c r="FNE115" s="196" t="s">
        <v>761</v>
      </c>
      <c r="FNF115" s="197" t="str">
        <f>VLOOKUP(FNE115,[13]AssetDetails_UEM!$A$3:$AH$1849,6,FALSE)</f>
        <v>Electrosurgical Units, Monopolar/Bipolar</v>
      </c>
      <c r="FNG115" s="196" t="s">
        <v>761</v>
      </c>
      <c r="FNH115" s="197" t="str">
        <f>VLOOKUP(FNG115,[13]AssetDetails_UEM!$A$3:$AH$1849,6,FALSE)</f>
        <v>Electrosurgical Units, Monopolar/Bipolar</v>
      </c>
      <c r="FNI115" s="196" t="s">
        <v>761</v>
      </c>
      <c r="FNJ115" s="197" t="str">
        <f>VLOOKUP(FNI115,[13]AssetDetails_UEM!$A$3:$AH$1849,6,FALSE)</f>
        <v>Electrosurgical Units, Monopolar/Bipolar</v>
      </c>
      <c r="FNK115" s="196" t="s">
        <v>761</v>
      </c>
      <c r="FNL115" s="197" t="str">
        <f>VLOOKUP(FNK115,[13]AssetDetails_UEM!$A$3:$AH$1849,6,FALSE)</f>
        <v>Electrosurgical Units, Monopolar/Bipolar</v>
      </c>
      <c r="FNM115" s="196" t="s">
        <v>761</v>
      </c>
      <c r="FNN115" s="197" t="str">
        <f>VLOOKUP(FNM115,[13]AssetDetails_UEM!$A$3:$AH$1849,6,FALSE)</f>
        <v>Electrosurgical Units, Monopolar/Bipolar</v>
      </c>
      <c r="FNO115" s="196" t="s">
        <v>761</v>
      </c>
      <c r="FNP115" s="197" t="str">
        <f>VLOOKUP(FNO115,[13]AssetDetails_UEM!$A$3:$AH$1849,6,FALSE)</f>
        <v>Electrosurgical Units, Monopolar/Bipolar</v>
      </c>
      <c r="FNQ115" s="196" t="s">
        <v>761</v>
      </c>
      <c r="FNR115" s="197" t="str">
        <f>VLOOKUP(FNQ115,[13]AssetDetails_UEM!$A$3:$AH$1849,6,FALSE)</f>
        <v>Electrosurgical Units, Monopolar/Bipolar</v>
      </c>
      <c r="FNS115" s="196" t="s">
        <v>761</v>
      </c>
      <c r="FNT115" s="197" t="str">
        <f>VLOOKUP(FNS115,[13]AssetDetails_UEM!$A$3:$AH$1849,6,FALSE)</f>
        <v>Electrosurgical Units, Monopolar/Bipolar</v>
      </c>
      <c r="FNU115" s="196" t="s">
        <v>761</v>
      </c>
      <c r="FNV115" s="197" t="str">
        <f>VLOOKUP(FNU115,[13]AssetDetails_UEM!$A$3:$AH$1849,6,FALSE)</f>
        <v>Electrosurgical Units, Monopolar/Bipolar</v>
      </c>
      <c r="FNW115" s="196" t="s">
        <v>761</v>
      </c>
      <c r="FNX115" s="197" t="str">
        <f>VLOOKUP(FNW115,[13]AssetDetails_UEM!$A$3:$AH$1849,6,FALSE)</f>
        <v>Electrosurgical Units, Monopolar/Bipolar</v>
      </c>
      <c r="FNY115" s="196" t="s">
        <v>761</v>
      </c>
      <c r="FNZ115" s="197" t="str">
        <f>VLOOKUP(FNY115,[13]AssetDetails_UEM!$A$3:$AH$1849,6,FALSE)</f>
        <v>Electrosurgical Units, Monopolar/Bipolar</v>
      </c>
      <c r="FOA115" s="196" t="s">
        <v>761</v>
      </c>
      <c r="FOB115" s="197" t="str">
        <f>VLOOKUP(FOA115,[13]AssetDetails_UEM!$A$3:$AH$1849,6,FALSE)</f>
        <v>Electrosurgical Units, Monopolar/Bipolar</v>
      </c>
      <c r="FOC115" s="196" t="s">
        <v>761</v>
      </c>
      <c r="FOD115" s="197" t="str">
        <f>VLOOKUP(FOC115,[13]AssetDetails_UEM!$A$3:$AH$1849,6,FALSE)</f>
        <v>Electrosurgical Units, Monopolar/Bipolar</v>
      </c>
      <c r="FOE115" s="196" t="s">
        <v>761</v>
      </c>
      <c r="FOF115" s="197" t="str">
        <f>VLOOKUP(FOE115,[13]AssetDetails_UEM!$A$3:$AH$1849,6,FALSE)</f>
        <v>Electrosurgical Units, Monopolar/Bipolar</v>
      </c>
      <c r="FOG115" s="196" t="s">
        <v>761</v>
      </c>
      <c r="FOH115" s="197" t="str">
        <f>VLOOKUP(FOG115,[13]AssetDetails_UEM!$A$3:$AH$1849,6,FALSE)</f>
        <v>Electrosurgical Units, Monopolar/Bipolar</v>
      </c>
      <c r="FOI115" s="196" t="s">
        <v>761</v>
      </c>
      <c r="FOJ115" s="197" t="str">
        <f>VLOOKUP(FOI115,[13]AssetDetails_UEM!$A$3:$AH$1849,6,FALSE)</f>
        <v>Electrosurgical Units, Monopolar/Bipolar</v>
      </c>
      <c r="FOK115" s="196" t="s">
        <v>761</v>
      </c>
      <c r="FOL115" s="197" t="str">
        <f>VLOOKUP(FOK115,[13]AssetDetails_UEM!$A$3:$AH$1849,6,FALSE)</f>
        <v>Electrosurgical Units, Monopolar/Bipolar</v>
      </c>
      <c r="FOM115" s="196" t="s">
        <v>761</v>
      </c>
      <c r="FON115" s="197" t="str">
        <f>VLOOKUP(FOM115,[13]AssetDetails_UEM!$A$3:$AH$1849,6,FALSE)</f>
        <v>Electrosurgical Units, Monopolar/Bipolar</v>
      </c>
      <c r="FOO115" s="196" t="s">
        <v>761</v>
      </c>
      <c r="FOP115" s="197" t="str">
        <f>VLOOKUP(FOO115,[13]AssetDetails_UEM!$A$3:$AH$1849,6,FALSE)</f>
        <v>Electrosurgical Units, Monopolar/Bipolar</v>
      </c>
      <c r="FOQ115" s="196" t="s">
        <v>761</v>
      </c>
      <c r="FOR115" s="197" t="str">
        <f>VLOOKUP(FOQ115,[13]AssetDetails_UEM!$A$3:$AH$1849,6,FALSE)</f>
        <v>Electrosurgical Units, Monopolar/Bipolar</v>
      </c>
      <c r="FOS115" s="196" t="s">
        <v>761</v>
      </c>
      <c r="FOT115" s="197" t="str">
        <f>VLOOKUP(FOS115,[13]AssetDetails_UEM!$A$3:$AH$1849,6,FALSE)</f>
        <v>Electrosurgical Units, Monopolar/Bipolar</v>
      </c>
      <c r="FOU115" s="196" t="s">
        <v>761</v>
      </c>
      <c r="FOV115" s="197" t="str">
        <f>VLOOKUP(FOU115,[13]AssetDetails_UEM!$A$3:$AH$1849,6,FALSE)</f>
        <v>Electrosurgical Units, Monopolar/Bipolar</v>
      </c>
      <c r="FOW115" s="196" t="s">
        <v>761</v>
      </c>
      <c r="FOX115" s="197" t="str">
        <f>VLOOKUP(FOW115,[13]AssetDetails_UEM!$A$3:$AH$1849,6,FALSE)</f>
        <v>Electrosurgical Units, Monopolar/Bipolar</v>
      </c>
      <c r="FOY115" s="196" t="s">
        <v>761</v>
      </c>
      <c r="FOZ115" s="197" t="str">
        <f>VLOOKUP(FOY115,[13]AssetDetails_UEM!$A$3:$AH$1849,6,FALSE)</f>
        <v>Electrosurgical Units, Monopolar/Bipolar</v>
      </c>
      <c r="FPA115" s="196" t="s">
        <v>761</v>
      </c>
      <c r="FPB115" s="197" t="str">
        <f>VLOOKUP(FPA115,[13]AssetDetails_UEM!$A$3:$AH$1849,6,FALSE)</f>
        <v>Electrosurgical Units, Monopolar/Bipolar</v>
      </c>
      <c r="FPC115" s="196" t="s">
        <v>761</v>
      </c>
      <c r="FPD115" s="197" t="str">
        <f>VLOOKUP(FPC115,[13]AssetDetails_UEM!$A$3:$AH$1849,6,FALSE)</f>
        <v>Electrosurgical Units, Monopolar/Bipolar</v>
      </c>
      <c r="FPE115" s="196" t="s">
        <v>761</v>
      </c>
      <c r="FPF115" s="197" t="str">
        <f>VLOOKUP(FPE115,[13]AssetDetails_UEM!$A$3:$AH$1849,6,FALSE)</f>
        <v>Electrosurgical Units, Monopolar/Bipolar</v>
      </c>
      <c r="FPG115" s="196" t="s">
        <v>761</v>
      </c>
      <c r="FPH115" s="197" t="str">
        <f>VLOOKUP(FPG115,[13]AssetDetails_UEM!$A$3:$AH$1849,6,FALSE)</f>
        <v>Electrosurgical Units, Monopolar/Bipolar</v>
      </c>
      <c r="FPI115" s="196" t="s">
        <v>761</v>
      </c>
      <c r="FPJ115" s="197" t="str">
        <f>VLOOKUP(FPI115,[13]AssetDetails_UEM!$A$3:$AH$1849,6,FALSE)</f>
        <v>Electrosurgical Units, Monopolar/Bipolar</v>
      </c>
      <c r="FPK115" s="196" t="s">
        <v>761</v>
      </c>
      <c r="FPL115" s="197" t="str">
        <f>VLOOKUP(FPK115,[13]AssetDetails_UEM!$A$3:$AH$1849,6,FALSE)</f>
        <v>Electrosurgical Units, Monopolar/Bipolar</v>
      </c>
      <c r="FPM115" s="196" t="s">
        <v>761</v>
      </c>
      <c r="FPN115" s="197" t="str">
        <f>VLOOKUP(FPM115,[13]AssetDetails_UEM!$A$3:$AH$1849,6,FALSE)</f>
        <v>Electrosurgical Units, Monopolar/Bipolar</v>
      </c>
      <c r="FPO115" s="196" t="s">
        <v>761</v>
      </c>
      <c r="FPP115" s="197" t="str">
        <f>VLOOKUP(FPO115,[13]AssetDetails_UEM!$A$3:$AH$1849,6,FALSE)</f>
        <v>Electrosurgical Units, Monopolar/Bipolar</v>
      </c>
      <c r="FPQ115" s="196" t="s">
        <v>761</v>
      </c>
      <c r="FPR115" s="197" t="str">
        <f>VLOOKUP(FPQ115,[13]AssetDetails_UEM!$A$3:$AH$1849,6,FALSE)</f>
        <v>Electrosurgical Units, Monopolar/Bipolar</v>
      </c>
      <c r="FPS115" s="196" t="s">
        <v>761</v>
      </c>
      <c r="FPT115" s="197" t="str">
        <f>VLOOKUP(FPS115,[13]AssetDetails_UEM!$A$3:$AH$1849,6,FALSE)</f>
        <v>Electrosurgical Units, Monopolar/Bipolar</v>
      </c>
      <c r="FPU115" s="196" t="s">
        <v>761</v>
      </c>
      <c r="FPV115" s="197" t="str">
        <f>VLOOKUP(FPU115,[13]AssetDetails_UEM!$A$3:$AH$1849,6,FALSE)</f>
        <v>Electrosurgical Units, Monopolar/Bipolar</v>
      </c>
      <c r="FPW115" s="196" t="s">
        <v>761</v>
      </c>
      <c r="FPX115" s="197" t="str">
        <f>VLOOKUP(FPW115,[13]AssetDetails_UEM!$A$3:$AH$1849,6,FALSE)</f>
        <v>Electrosurgical Units, Monopolar/Bipolar</v>
      </c>
      <c r="FPY115" s="196" t="s">
        <v>761</v>
      </c>
      <c r="FPZ115" s="197" t="str">
        <f>VLOOKUP(FPY115,[13]AssetDetails_UEM!$A$3:$AH$1849,6,FALSE)</f>
        <v>Electrosurgical Units, Monopolar/Bipolar</v>
      </c>
      <c r="FQA115" s="196" t="s">
        <v>761</v>
      </c>
      <c r="FQB115" s="197" t="str">
        <f>VLOOKUP(FQA115,[13]AssetDetails_UEM!$A$3:$AH$1849,6,FALSE)</f>
        <v>Electrosurgical Units, Monopolar/Bipolar</v>
      </c>
      <c r="FQC115" s="196" t="s">
        <v>761</v>
      </c>
      <c r="FQD115" s="197" t="str">
        <f>VLOOKUP(FQC115,[13]AssetDetails_UEM!$A$3:$AH$1849,6,FALSE)</f>
        <v>Electrosurgical Units, Monopolar/Bipolar</v>
      </c>
      <c r="FQE115" s="196" t="s">
        <v>761</v>
      </c>
      <c r="FQF115" s="197" t="str">
        <f>VLOOKUP(FQE115,[13]AssetDetails_UEM!$A$3:$AH$1849,6,FALSE)</f>
        <v>Electrosurgical Units, Monopolar/Bipolar</v>
      </c>
      <c r="FQG115" s="196" t="s">
        <v>761</v>
      </c>
      <c r="FQH115" s="197" t="str">
        <f>VLOOKUP(FQG115,[13]AssetDetails_UEM!$A$3:$AH$1849,6,FALSE)</f>
        <v>Electrosurgical Units, Monopolar/Bipolar</v>
      </c>
      <c r="FQI115" s="196" t="s">
        <v>761</v>
      </c>
      <c r="FQJ115" s="197" t="str">
        <f>VLOOKUP(FQI115,[13]AssetDetails_UEM!$A$3:$AH$1849,6,FALSE)</f>
        <v>Electrosurgical Units, Monopolar/Bipolar</v>
      </c>
      <c r="FQK115" s="196" t="s">
        <v>761</v>
      </c>
      <c r="FQL115" s="197" t="str">
        <f>VLOOKUP(FQK115,[13]AssetDetails_UEM!$A$3:$AH$1849,6,FALSE)</f>
        <v>Electrosurgical Units, Monopolar/Bipolar</v>
      </c>
      <c r="FQM115" s="196" t="s">
        <v>761</v>
      </c>
      <c r="FQN115" s="197" t="str">
        <f>VLOOKUP(FQM115,[13]AssetDetails_UEM!$A$3:$AH$1849,6,FALSE)</f>
        <v>Electrosurgical Units, Monopolar/Bipolar</v>
      </c>
      <c r="FQO115" s="196" t="s">
        <v>761</v>
      </c>
      <c r="FQP115" s="197" t="str">
        <f>VLOOKUP(FQO115,[13]AssetDetails_UEM!$A$3:$AH$1849,6,FALSE)</f>
        <v>Electrosurgical Units, Monopolar/Bipolar</v>
      </c>
      <c r="FQQ115" s="196" t="s">
        <v>761</v>
      </c>
      <c r="FQR115" s="197" t="str">
        <f>VLOOKUP(FQQ115,[13]AssetDetails_UEM!$A$3:$AH$1849,6,FALSE)</f>
        <v>Electrosurgical Units, Monopolar/Bipolar</v>
      </c>
      <c r="FQS115" s="196" t="s">
        <v>761</v>
      </c>
      <c r="FQT115" s="197" t="str">
        <f>VLOOKUP(FQS115,[13]AssetDetails_UEM!$A$3:$AH$1849,6,FALSE)</f>
        <v>Electrosurgical Units, Monopolar/Bipolar</v>
      </c>
      <c r="FQU115" s="196" t="s">
        <v>761</v>
      </c>
      <c r="FQV115" s="197" t="str">
        <f>VLOOKUP(FQU115,[13]AssetDetails_UEM!$A$3:$AH$1849,6,FALSE)</f>
        <v>Electrosurgical Units, Monopolar/Bipolar</v>
      </c>
      <c r="FQW115" s="196" t="s">
        <v>761</v>
      </c>
      <c r="FQX115" s="197" t="str">
        <f>VLOOKUP(FQW115,[13]AssetDetails_UEM!$A$3:$AH$1849,6,FALSE)</f>
        <v>Electrosurgical Units, Monopolar/Bipolar</v>
      </c>
      <c r="FQY115" s="196" t="s">
        <v>761</v>
      </c>
      <c r="FQZ115" s="197" t="str">
        <f>VLOOKUP(FQY115,[13]AssetDetails_UEM!$A$3:$AH$1849,6,FALSE)</f>
        <v>Electrosurgical Units, Monopolar/Bipolar</v>
      </c>
      <c r="FRA115" s="196" t="s">
        <v>761</v>
      </c>
      <c r="FRB115" s="197" t="str">
        <f>VLOOKUP(FRA115,[13]AssetDetails_UEM!$A$3:$AH$1849,6,FALSE)</f>
        <v>Electrosurgical Units, Monopolar/Bipolar</v>
      </c>
      <c r="FRC115" s="196" t="s">
        <v>761</v>
      </c>
      <c r="FRD115" s="197" t="str">
        <f>VLOOKUP(FRC115,[13]AssetDetails_UEM!$A$3:$AH$1849,6,FALSE)</f>
        <v>Electrosurgical Units, Monopolar/Bipolar</v>
      </c>
      <c r="FRE115" s="196" t="s">
        <v>761</v>
      </c>
      <c r="FRF115" s="197" t="str">
        <f>VLOOKUP(FRE115,[13]AssetDetails_UEM!$A$3:$AH$1849,6,FALSE)</f>
        <v>Electrosurgical Units, Monopolar/Bipolar</v>
      </c>
      <c r="FRG115" s="196" t="s">
        <v>761</v>
      </c>
      <c r="FRH115" s="197" t="str">
        <f>VLOOKUP(FRG115,[13]AssetDetails_UEM!$A$3:$AH$1849,6,FALSE)</f>
        <v>Electrosurgical Units, Monopolar/Bipolar</v>
      </c>
      <c r="FRI115" s="196" t="s">
        <v>761</v>
      </c>
      <c r="FRJ115" s="197" t="str">
        <f>VLOOKUP(FRI115,[13]AssetDetails_UEM!$A$3:$AH$1849,6,FALSE)</f>
        <v>Electrosurgical Units, Monopolar/Bipolar</v>
      </c>
      <c r="FRK115" s="196" t="s">
        <v>761</v>
      </c>
      <c r="FRL115" s="197" t="str">
        <f>VLOOKUP(FRK115,[13]AssetDetails_UEM!$A$3:$AH$1849,6,FALSE)</f>
        <v>Electrosurgical Units, Monopolar/Bipolar</v>
      </c>
      <c r="FRM115" s="196" t="s">
        <v>761</v>
      </c>
      <c r="FRN115" s="197" t="str">
        <f>VLOOKUP(FRM115,[13]AssetDetails_UEM!$A$3:$AH$1849,6,FALSE)</f>
        <v>Electrosurgical Units, Monopolar/Bipolar</v>
      </c>
      <c r="FRO115" s="196" t="s">
        <v>761</v>
      </c>
      <c r="FRP115" s="197" t="str">
        <f>VLOOKUP(FRO115,[13]AssetDetails_UEM!$A$3:$AH$1849,6,FALSE)</f>
        <v>Electrosurgical Units, Monopolar/Bipolar</v>
      </c>
      <c r="FRQ115" s="196" t="s">
        <v>761</v>
      </c>
      <c r="FRR115" s="197" t="str">
        <f>VLOOKUP(FRQ115,[13]AssetDetails_UEM!$A$3:$AH$1849,6,FALSE)</f>
        <v>Electrosurgical Units, Monopolar/Bipolar</v>
      </c>
      <c r="FRS115" s="196" t="s">
        <v>761</v>
      </c>
      <c r="FRT115" s="197" t="str">
        <f>VLOOKUP(FRS115,[13]AssetDetails_UEM!$A$3:$AH$1849,6,FALSE)</f>
        <v>Electrosurgical Units, Monopolar/Bipolar</v>
      </c>
      <c r="FRU115" s="196" t="s">
        <v>761</v>
      </c>
      <c r="FRV115" s="197" t="str">
        <f>VLOOKUP(FRU115,[13]AssetDetails_UEM!$A$3:$AH$1849,6,FALSE)</f>
        <v>Electrosurgical Units, Monopolar/Bipolar</v>
      </c>
      <c r="FRW115" s="196" t="s">
        <v>761</v>
      </c>
      <c r="FRX115" s="197" t="str">
        <f>VLOOKUP(FRW115,[13]AssetDetails_UEM!$A$3:$AH$1849,6,FALSE)</f>
        <v>Electrosurgical Units, Monopolar/Bipolar</v>
      </c>
      <c r="FRY115" s="196" t="s">
        <v>761</v>
      </c>
      <c r="FRZ115" s="197" t="str">
        <f>VLOOKUP(FRY115,[13]AssetDetails_UEM!$A$3:$AH$1849,6,FALSE)</f>
        <v>Electrosurgical Units, Monopolar/Bipolar</v>
      </c>
      <c r="FSA115" s="196" t="s">
        <v>761</v>
      </c>
      <c r="FSB115" s="197" t="str">
        <f>VLOOKUP(FSA115,[13]AssetDetails_UEM!$A$3:$AH$1849,6,FALSE)</f>
        <v>Electrosurgical Units, Monopolar/Bipolar</v>
      </c>
      <c r="FSC115" s="196" t="s">
        <v>761</v>
      </c>
      <c r="FSD115" s="197" t="str">
        <f>VLOOKUP(FSC115,[13]AssetDetails_UEM!$A$3:$AH$1849,6,FALSE)</f>
        <v>Electrosurgical Units, Monopolar/Bipolar</v>
      </c>
      <c r="FSE115" s="196" t="s">
        <v>761</v>
      </c>
      <c r="FSF115" s="197" t="str">
        <f>VLOOKUP(FSE115,[13]AssetDetails_UEM!$A$3:$AH$1849,6,FALSE)</f>
        <v>Electrosurgical Units, Monopolar/Bipolar</v>
      </c>
      <c r="FSG115" s="196" t="s">
        <v>761</v>
      </c>
      <c r="FSH115" s="197" t="str">
        <f>VLOOKUP(FSG115,[13]AssetDetails_UEM!$A$3:$AH$1849,6,FALSE)</f>
        <v>Electrosurgical Units, Monopolar/Bipolar</v>
      </c>
      <c r="FSI115" s="196" t="s">
        <v>761</v>
      </c>
      <c r="FSJ115" s="197" t="str">
        <f>VLOOKUP(FSI115,[13]AssetDetails_UEM!$A$3:$AH$1849,6,FALSE)</f>
        <v>Electrosurgical Units, Monopolar/Bipolar</v>
      </c>
      <c r="FSK115" s="196" t="s">
        <v>761</v>
      </c>
      <c r="FSL115" s="197" t="str">
        <f>VLOOKUP(FSK115,[13]AssetDetails_UEM!$A$3:$AH$1849,6,FALSE)</f>
        <v>Electrosurgical Units, Monopolar/Bipolar</v>
      </c>
      <c r="FSM115" s="196" t="s">
        <v>761</v>
      </c>
      <c r="FSN115" s="197" t="str">
        <f>VLOOKUP(FSM115,[13]AssetDetails_UEM!$A$3:$AH$1849,6,FALSE)</f>
        <v>Electrosurgical Units, Monopolar/Bipolar</v>
      </c>
      <c r="FSO115" s="196" t="s">
        <v>761</v>
      </c>
      <c r="FSP115" s="197" t="str">
        <f>VLOOKUP(FSO115,[13]AssetDetails_UEM!$A$3:$AH$1849,6,FALSE)</f>
        <v>Electrosurgical Units, Monopolar/Bipolar</v>
      </c>
      <c r="FSQ115" s="196" t="s">
        <v>761</v>
      </c>
      <c r="FSR115" s="197" t="str">
        <f>VLOOKUP(FSQ115,[13]AssetDetails_UEM!$A$3:$AH$1849,6,FALSE)</f>
        <v>Electrosurgical Units, Monopolar/Bipolar</v>
      </c>
      <c r="FSS115" s="196" t="s">
        <v>761</v>
      </c>
      <c r="FST115" s="197" t="str">
        <f>VLOOKUP(FSS115,[13]AssetDetails_UEM!$A$3:$AH$1849,6,FALSE)</f>
        <v>Electrosurgical Units, Monopolar/Bipolar</v>
      </c>
      <c r="FSU115" s="196" t="s">
        <v>761</v>
      </c>
      <c r="FSV115" s="197" t="str">
        <f>VLOOKUP(FSU115,[13]AssetDetails_UEM!$A$3:$AH$1849,6,FALSE)</f>
        <v>Electrosurgical Units, Monopolar/Bipolar</v>
      </c>
      <c r="FSW115" s="196" t="s">
        <v>761</v>
      </c>
      <c r="FSX115" s="197" t="str">
        <f>VLOOKUP(FSW115,[13]AssetDetails_UEM!$A$3:$AH$1849,6,FALSE)</f>
        <v>Electrosurgical Units, Monopolar/Bipolar</v>
      </c>
      <c r="FSY115" s="196" t="s">
        <v>761</v>
      </c>
      <c r="FSZ115" s="197" t="str">
        <f>VLOOKUP(FSY115,[13]AssetDetails_UEM!$A$3:$AH$1849,6,FALSE)</f>
        <v>Electrosurgical Units, Monopolar/Bipolar</v>
      </c>
      <c r="FTA115" s="196" t="s">
        <v>761</v>
      </c>
      <c r="FTB115" s="197" t="str">
        <f>VLOOKUP(FTA115,[13]AssetDetails_UEM!$A$3:$AH$1849,6,FALSE)</f>
        <v>Electrosurgical Units, Monopolar/Bipolar</v>
      </c>
      <c r="FTC115" s="196" t="s">
        <v>761</v>
      </c>
      <c r="FTD115" s="197" t="str">
        <f>VLOOKUP(FTC115,[13]AssetDetails_UEM!$A$3:$AH$1849,6,FALSE)</f>
        <v>Electrosurgical Units, Monopolar/Bipolar</v>
      </c>
      <c r="FTE115" s="196" t="s">
        <v>761</v>
      </c>
      <c r="FTF115" s="197" t="str">
        <f>VLOOKUP(FTE115,[13]AssetDetails_UEM!$A$3:$AH$1849,6,FALSE)</f>
        <v>Electrosurgical Units, Monopolar/Bipolar</v>
      </c>
      <c r="FTG115" s="196" t="s">
        <v>761</v>
      </c>
      <c r="FTH115" s="197" t="str">
        <f>VLOOKUP(FTG115,[13]AssetDetails_UEM!$A$3:$AH$1849,6,FALSE)</f>
        <v>Electrosurgical Units, Monopolar/Bipolar</v>
      </c>
      <c r="FTI115" s="196" t="s">
        <v>761</v>
      </c>
      <c r="FTJ115" s="197" t="str">
        <f>VLOOKUP(FTI115,[13]AssetDetails_UEM!$A$3:$AH$1849,6,FALSE)</f>
        <v>Electrosurgical Units, Monopolar/Bipolar</v>
      </c>
      <c r="FTK115" s="196" t="s">
        <v>761</v>
      </c>
      <c r="FTL115" s="197" t="str">
        <f>VLOOKUP(FTK115,[13]AssetDetails_UEM!$A$3:$AH$1849,6,FALSE)</f>
        <v>Electrosurgical Units, Monopolar/Bipolar</v>
      </c>
      <c r="FTM115" s="196" t="s">
        <v>761</v>
      </c>
      <c r="FTN115" s="197" t="str">
        <f>VLOOKUP(FTM115,[13]AssetDetails_UEM!$A$3:$AH$1849,6,FALSE)</f>
        <v>Electrosurgical Units, Monopolar/Bipolar</v>
      </c>
      <c r="FTO115" s="196" t="s">
        <v>761</v>
      </c>
      <c r="FTP115" s="197" t="str">
        <f>VLOOKUP(FTO115,[13]AssetDetails_UEM!$A$3:$AH$1849,6,FALSE)</f>
        <v>Electrosurgical Units, Monopolar/Bipolar</v>
      </c>
      <c r="FTQ115" s="196" t="s">
        <v>761</v>
      </c>
      <c r="FTR115" s="197" t="str">
        <f>VLOOKUP(FTQ115,[13]AssetDetails_UEM!$A$3:$AH$1849,6,FALSE)</f>
        <v>Electrosurgical Units, Monopolar/Bipolar</v>
      </c>
      <c r="FTS115" s="196" t="s">
        <v>761</v>
      </c>
      <c r="FTT115" s="197" t="str">
        <f>VLOOKUP(FTS115,[13]AssetDetails_UEM!$A$3:$AH$1849,6,FALSE)</f>
        <v>Electrosurgical Units, Monopolar/Bipolar</v>
      </c>
      <c r="FTU115" s="196" t="s">
        <v>761</v>
      </c>
      <c r="FTV115" s="197" t="str">
        <f>VLOOKUP(FTU115,[13]AssetDetails_UEM!$A$3:$AH$1849,6,FALSE)</f>
        <v>Electrosurgical Units, Monopolar/Bipolar</v>
      </c>
      <c r="FTW115" s="196" t="s">
        <v>761</v>
      </c>
      <c r="FTX115" s="197" t="str">
        <f>VLOOKUP(FTW115,[13]AssetDetails_UEM!$A$3:$AH$1849,6,FALSE)</f>
        <v>Electrosurgical Units, Monopolar/Bipolar</v>
      </c>
      <c r="FTY115" s="196" t="s">
        <v>761</v>
      </c>
      <c r="FTZ115" s="197" t="str">
        <f>VLOOKUP(FTY115,[13]AssetDetails_UEM!$A$3:$AH$1849,6,FALSE)</f>
        <v>Electrosurgical Units, Monopolar/Bipolar</v>
      </c>
      <c r="FUA115" s="196" t="s">
        <v>761</v>
      </c>
      <c r="FUB115" s="197" t="str">
        <f>VLOOKUP(FUA115,[13]AssetDetails_UEM!$A$3:$AH$1849,6,FALSE)</f>
        <v>Electrosurgical Units, Monopolar/Bipolar</v>
      </c>
      <c r="FUC115" s="196" t="s">
        <v>761</v>
      </c>
      <c r="FUD115" s="197" t="str">
        <f>VLOOKUP(FUC115,[13]AssetDetails_UEM!$A$3:$AH$1849,6,FALSE)</f>
        <v>Electrosurgical Units, Monopolar/Bipolar</v>
      </c>
      <c r="FUE115" s="196" t="s">
        <v>761</v>
      </c>
      <c r="FUF115" s="197" t="str">
        <f>VLOOKUP(FUE115,[13]AssetDetails_UEM!$A$3:$AH$1849,6,FALSE)</f>
        <v>Electrosurgical Units, Monopolar/Bipolar</v>
      </c>
      <c r="FUG115" s="196" t="s">
        <v>761</v>
      </c>
      <c r="FUH115" s="197" t="str">
        <f>VLOOKUP(FUG115,[13]AssetDetails_UEM!$A$3:$AH$1849,6,FALSE)</f>
        <v>Electrosurgical Units, Monopolar/Bipolar</v>
      </c>
      <c r="FUI115" s="196" t="s">
        <v>761</v>
      </c>
      <c r="FUJ115" s="197" t="str">
        <f>VLOOKUP(FUI115,[13]AssetDetails_UEM!$A$3:$AH$1849,6,FALSE)</f>
        <v>Electrosurgical Units, Monopolar/Bipolar</v>
      </c>
      <c r="FUK115" s="196" t="s">
        <v>761</v>
      </c>
      <c r="FUL115" s="197" t="str">
        <f>VLOOKUP(FUK115,[13]AssetDetails_UEM!$A$3:$AH$1849,6,FALSE)</f>
        <v>Electrosurgical Units, Monopolar/Bipolar</v>
      </c>
      <c r="FUM115" s="196" t="s">
        <v>761</v>
      </c>
      <c r="FUN115" s="197" t="str">
        <f>VLOOKUP(FUM115,[13]AssetDetails_UEM!$A$3:$AH$1849,6,FALSE)</f>
        <v>Electrosurgical Units, Monopolar/Bipolar</v>
      </c>
      <c r="FUO115" s="196" t="s">
        <v>761</v>
      </c>
      <c r="FUP115" s="197" t="str">
        <f>VLOOKUP(FUO115,[13]AssetDetails_UEM!$A$3:$AH$1849,6,FALSE)</f>
        <v>Electrosurgical Units, Monopolar/Bipolar</v>
      </c>
      <c r="FUQ115" s="196" t="s">
        <v>761</v>
      </c>
      <c r="FUR115" s="197" t="str">
        <f>VLOOKUP(FUQ115,[13]AssetDetails_UEM!$A$3:$AH$1849,6,FALSE)</f>
        <v>Electrosurgical Units, Monopolar/Bipolar</v>
      </c>
      <c r="FUS115" s="196" t="s">
        <v>761</v>
      </c>
      <c r="FUT115" s="197" t="str">
        <f>VLOOKUP(FUS115,[13]AssetDetails_UEM!$A$3:$AH$1849,6,FALSE)</f>
        <v>Electrosurgical Units, Monopolar/Bipolar</v>
      </c>
      <c r="FUU115" s="196" t="s">
        <v>761</v>
      </c>
      <c r="FUV115" s="197" t="str">
        <f>VLOOKUP(FUU115,[13]AssetDetails_UEM!$A$3:$AH$1849,6,FALSE)</f>
        <v>Electrosurgical Units, Monopolar/Bipolar</v>
      </c>
      <c r="FUW115" s="196" t="s">
        <v>761</v>
      </c>
      <c r="FUX115" s="197" t="str">
        <f>VLOOKUP(FUW115,[13]AssetDetails_UEM!$A$3:$AH$1849,6,FALSE)</f>
        <v>Electrosurgical Units, Monopolar/Bipolar</v>
      </c>
      <c r="FUY115" s="196" t="s">
        <v>761</v>
      </c>
      <c r="FUZ115" s="197" t="str">
        <f>VLOOKUP(FUY115,[13]AssetDetails_UEM!$A$3:$AH$1849,6,FALSE)</f>
        <v>Electrosurgical Units, Monopolar/Bipolar</v>
      </c>
      <c r="FVA115" s="196" t="s">
        <v>761</v>
      </c>
      <c r="FVB115" s="197" t="str">
        <f>VLOOKUP(FVA115,[13]AssetDetails_UEM!$A$3:$AH$1849,6,FALSE)</f>
        <v>Electrosurgical Units, Monopolar/Bipolar</v>
      </c>
      <c r="FVC115" s="196" t="s">
        <v>761</v>
      </c>
      <c r="FVD115" s="197" t="str">
        <f>VLOOKUP(FVC115,[13]AssetDetails_UEM!$A$3:$AH$1849,6,FALSE)</f>
        <v>Electrosurgical Units, Monopolar/Bipolar</v>
      </c>
      <c r="FVE115" s="196" t="s">
        <v>761</v>
      </c>
      <c r="FVF115" s="197" t="str">
        <f>VLOOKUP(FVE115,[13]AssetDetails_UEM!$A$3:$AH$1849,6,FALSE)</f>
        <v>Electrosurgical Units, Monopolar/Bipolar</v>
      </c>
      <c r="FVG115" s="196" t="s">
        <v>761</v>
      </c>
      <c r="FVH115" s="197" t="str">
        <f>VLOOKUP(FVG115,[13]AssetDetails_UEM!$A$3:$AH$1849,6,FALSE)</f>
        <v>Electrosurgical Units, Monopolar/Bipolar</v>
      </c>
      <c r="FVI115" s="196" t="s">
        <v>761</v>
      </c>
      <c r="FVJ115" s="197" t="str">
        <f>VLOOKUP(FVI115,[13]AssetDetails_UEM!$A$3:$AH$1849,6,FALSE)</f>
        <v>Electrosurgical Units, Monopolar/Bipolar</v>
      </c>
      <c r="FVK115" s="196" t="s">
        <v>761</v>
      </c>
      <c r="FVL115" s="197" t="str">
        <f>VLOOKUP(FVK115,[13]AssetDetails_UEM!$A$3:$AH$1849,6,FALSE)</f>
        <v>Electrosurgical Units, Monopolar/Bipolar</v>
      </c>
      <c r="FVM115" s="196" t="s">
        <v>761</v>
      </c>
      <c r="FVN115" s="197" t="str">
        <f>VLOOKUP(FVM115,[13]AssetDetails_UEM!$A$3:$AH$1849,6,FALSE)</f>
        <v>Electrosurgical Units, Monopolar/Bipolar</v>
      </c>
      <c r="FVO115" s="196" t="s">
        <v>761</v>
      </c>
      <c r="FVP115" s="197" t="str">
        <f>VLOOKUP(FVO115,[13]AssetDetails_UEM!$A$3:$AH$1849,6,FALSE)</f>
        <v>Electrosurgical Units, Monopolar/Bipolar</v>
      </c>
      <c r="FVQ115" s="196" t="s">
        <v>761</v>
      </c>
      <c r="FVR115" s="197" t="str">
        <f>VLOOKUP(FVQ115,[13]AssetDetails_UEM!$A$3:$AH$1849,6,FALSE)</f>
        <v>Electrosurgical Units, Monopolar/Bipolar</v>
      </c>
      <c r="FVS115" s="196" t="s">
        <v>761</v>
      </c>
      <c r="FVT115" s="197" t="str">
        <f>VLOOKUP(FVS115,[13]AssetDetails_UEM!$A$3:$AH$1849,6,FALSE)</f>
        <v>Electrosurgical Units, Monopolar/Bipolar</v>
      </c>
      <c r="FVU115" s="196" t="s">
        <v>761</v>
      </c>
      <c r="FVV115" s="197" t="str">
        <f>VLOOKUP(FVU115,[13]AssetDetails_UEM!$A$3:$AH$1849,6,FALSE)</f>
        <v>Electrosurgical Units, Monopolar/Bipolar</v>
      </c>
      <c r="FVW115" s="196" t="s">
        <v>761</v>
      </c>
      <c r="FVX115" s="197" t="str">
        <f>VLOOKUP(FVW115,[13]AssetDetails_UEM!$A$3:$AH$1849,6,FALSE)</f>
        <v>Electrosurgical Units, Monopolar/Bipolar</v>
      </c>
      <c r="FVY115" s="196" t="s">
        <v>761</v>
      </c>
      <c r="FVZ115" s="197" t="str">
        <f>VLOOKUP(FVY115,[13]AssetDetails_UEM!$A$3:$AH$1849,6,FALSE)</f>
        <v>Electrosurgical Units, Monopolar/Bipolar</v>
      </c>
      <c r="FWA115" s="196" t="s">
        <v>761</v>
      </c>
      <c r="FWB115" s="197" t="str">
        <f>VLOOKUP(FWA115,[13]AssetDetails_UEM!$A$3:$AH$1849,6,FALSE)</f>
        <v>Electrosurgical Units, Monopolar/Bipolar</v>
      </c>
      <c r="FWC115" s="196" t="s">
        <v>761</v>
      </c>
      <c r="FWD115" s="197" t="str">
        <f>VLOOKUP(FWC115,[13]AssetDetails_UEM!$A$3:$AH$1849,6,FALSE)</f>
        <v>Electrosurgical Units, Monopolar/Bipolar</v>
      </c>
      <c r="FWE115" s="196" t="s">
        <v>761</v>
      </c>
      <c r="FWF115" s="197" t="str">
        <f>VLOOKUP(FWE115,[13]AssetDetails_UEM!$A$3:$AH$1849,6,FALSE)</f>
        <v>Electrosurgical Units, Monopolar/Bipolar</v>
      </c>
      <c r="FWG115" s="196" t="s">
        <v>761</v>
      </c>
      <c r="FWH115" s="197" t="str">
        <f>VLOOKUP(FWG115,[13]AssetDetails_UEM!$A$3:$AH$1849,6,FALSE)</f>
        <v>Electrosurgical Units, Monopolar/Bipolar</v>
      </c>
      <c r="FWI115" s="196" t="s">
        <v>761</v>
      </c>
      <c r="FWJ115" s="197" t="str">
        <f>VLOOKUP(FWI115,[13]AssetDetails_UEM!$A$3:$AH$1849,6,FALSE)</f>
        <v>Electrosurgical Units, Monopolar/Bipolar</v>
      </c>
      <c r="FWK115" s="196" t="s">
        <v>761</v>
      </c>
      <c r="FWL115" s="197" t="str">
        <f>VLOOKUP(FWK115,[13]AssetDetails_UEM!$A$3:$AH$1849,6,FALSE)</f>
        <v>Electrosurgical Units, Monopolar/Bipolar</v>
      </c>
      <c r="FWM115" s="196" t="s">
        <v>761</v>
      </c>
      <c r="FWN115" s="197" t="str">
        <f>VLOOKUP(FWM115,[13]AssetDetails_UEM!$A$3:$AH$1849,6,FALSE)</f>
        <v>Electrosurgical Units, Monopolar/Bipolar</v>
      </c>
      <c r="FWO115" s="196" t="s">
        <v>761</v>
      </c>
      <c r="FWP115" s="197" t="str">
        <f>VLOOKUP(FWO115,[13]AssetDetails_UEM!$A$3:$AH$1849,6,FALSE)</f>
        <v>Electrosurgical Units, Monopolar/Bipolar</v>
      </c>
      <c r="FWQ115" s="196" t="s">
        <v>761</v>
      </c>
      <c r="FWR115" s="197" t="str">
        <f>VLOOKUP(FWQ115,[13]AssetDetails_UEM!$A$3:$AH$1849,6,FALSE)</f>
        <v>Electrosurgical Units, Monopolar/Bipolar</v>
      </c>
      <c r="FWS115" s="196" t="s">
        <v>761</v>
      </c>
      <c r="FWT115" s="197" t="str">
        <f>VLOOKUP(FWS115,[13]AssetDetails_UEM!$A$3:$AH$1849,6,FALSE)</f>
        <v>Electrosurgical Units, Monopolar/Bipolar</v>
      </c>
      <c r="FWU115" s="196" t="s">
        <v>761</v>
      </c>
      <c r="FWV115" s="197" t="str">
        <f>VLOOKUP(FWU115,[13]AssetDetails_UEM!$A$3:$AH$1849,6,FALSE)</f>
        <v>Electrosurgical Units, Monopolar/Bipolar</v>
      </c>
      <c r="FWW115" s="196" t="s">
        <v>761</v>
      </c>
      <c r="FWX115" s="197" t="str">
        <f>VLOOKUP(FWW115,[13]AssetDetails_UEM!$A$3:$AH$1849,6,FALSE)</f>
        <v>Electrosurgical Units, Monopolar/Bipolar</v>
      </c>
      <c r="FWY115" s="196" t="s">
        <v>761</v>
      </c>
      <c r="FWZ115" s="197" t="str">
        <f>VLOOKUP(FWY115,[13]AssetDetails_UEM!$A$3:$AH$1849,6,FALSE)</f>
        <v>Electrosurgical Units, Monopolar/Bipolar</v>
      </c>
      <c r="FXA115" s="196" t="s">
        <v>761</v>
      </c>
      <c r="FXB115" s="197" t="str">
        <f>VLOOKUP(FXA115,[13]AssetDetails_UEM!$A$3:$AH$1849,6,FALSE)</f>
        <v>Electrosurgical Units, Monopolar/Bipolar</v>
      </c>
      <c r="FXC115" s="196" t="s">
        <v>761</v>
      </c>
      <c r="FXD115" s="197" t="str">
        <f>VLOOKUP(FXC115,[13]AssetDetails_UEM!$A$3:$AH$1849,6,FALSE)</f>
        <v>Electrosurgical Units, Monopolar/Bipolar</v>
      </c>
      <c r="FXE115" s="196" t="s">
        <v>761</v>
      </c>
      <c r="FXF115" s="197" t="str">
        <f>VLOOKUP(FXE115,[13]AssetDetails_UEM!$A$3:$AH$1849,6,FALSE)</f>
        <v>Electrosurgical Units, Monopolar/Bipolar</v>
      </c>
      <c r="FXG115" s="196" t="s">
        <v>761</v>
      </c>
      <c r="FXH115" s="197" t="str">
        <f>VLOOKUP(FXG115,[13]AssetDetails_UEM!$A$3:$AH$1849,6,FALSE)</f>
        <v>Electrosurgical Units, Monopolar/Bipolar</v>
      </c>
      <c r="FXI115" s="196" t="s">
        <v>761</v>
      </c>
      <c r="FXJ115" s="197" t="str">
        <f>VLOOKUP(FXI115,[13]AssetDetails_UEM!$A$3:$AH$1849,6,FALSE)</f>
        <v>Electrosurgical Units, Monopolar/Bipolar</v>
      </c>
      <c r="FXK115" s="196" t="s">
        <v>761</v>
      </c>
      <c r="FXL115" s="197" t="str">
        <f>VLOOKUP(FXK115,[13]AssetDetails_UEM!$A$3:$AH$1849,6,FALSE)</f>
        <v>Electrosurgical Units, Monopolar/Bipolar</v>
      </c>
      <c r="FXM115" s="196" t="s">
        <v>761</v>
      </c>
      <c r="FXN115" s="197" t="str">
        <f>VLOOKUP(FXM115,[13]AssetDetails_UEM!$A$3:$AH$1849,6,FALSE)</f>
        <v>Electrosurgical Units, Monopolar/Bipolar</v>
      </c>
      <c r="FXO115" s="196" t="s">
        <v>761</v>
      </c>
      <c r="FXP115" s="197" t="str">
        <f>VLOOKUP(FXO115,[13]AssetDetails_UEM!$A$3:$AH$1849,6,FALSE)</f>
        <v>Electrosurgical Units, Monopolar/Bipolar</v>
      </c>
      <c r="FXQ115" s="196" t="s">
        <v>761</v>
      </c>
      <c r="FXR115" s="197" t="str">
        <f>VLOOKUP(FXQ115,[13]AssetDetails_UEM!$A$3:$AH$1849,6,FALSE)</f>
        <v>Electrosurgical Units, Monopolar/Bipolar</v>
      </c>
      <c r="FXS115" s="196" t="s">
        <v>761</v>
      </c>
      <c r="FXT115" s="197" t="str">
        <f>VLOOKUP(FXS115,[13]AssetDetails_UEM!$A$3:$AH$1849,6,FALSE)</f>
        <v>Electrosurgical Units, Monopolar/Bipolar</v>
      </c>
      <c r="FXU115" s="196" t="s">
        <v>761</v>
      </c>
      <c r="FXV115" s="197" t="str">
        <f>VLOOKUP(FXU115,[13]AssetDetails_UEM!$A$3:$AH$1849,6,FALSE)</f>
        <v>Electrosurgical Units, Monopolar/Bipolar</v>
      </c>
      <c r="FXW115" s="196" t="s">
        <v>761</v>
      </c>
      <c r="FXX115" s="197" t="str">
        <f>VLOOKUP(FXW115,[13]AssetDetails_UEM!$A$3:$AH$1849,6,FALSE)</f>
        <v>Electrosurgical Units, Monopolar/Bipolar</v>
      </c>
      <c r="FXY115" s="196" t="s">
        <v>761</v>
      </c>
      <c r="FXZ115" s="197" t="str">
        <f>VLOOKUP(FXY115,[13]AssetDetails_UEM!$A$3:$AH$1849,6,FALSE)</f>
        <v>Electrosurgical Units, Monopolar/Bipolar</v>
      </c>
      <c r="FYA115" s="196" t="s">
        <v>761</v>
      </c>
      <c r="FYB115" s="197" t="str">
        <f>VLOOKUP(FYA115,[13]AssetDetails_UEM!$A$3:$AH$1849,6,FALSE)</f>
        <v>Electrosurgical Units, Monopolar/Bipolar</v>
      </c>
      <c r="FYC115" s="196" t="s">
        <v>761</v>
      </c>
      <c r="FYD115" s="197" t="str">
        <f>VLOOKUP(FYC115,[13]AssetDetails_UEM!$A$3:$AH$1849,6,FALSE)</f>
        <v>Electrosurgical Units, Monopolar/Bipolar</v>
      </c>
      <c r="FYE115" s="196" t="s">
        <v>761</v>
      </c>
      <c r="FYF115" s="197" t="str">
        <f>VLOOKUP(FYE115,[13]AssetDetails_UEM!$A$3:$AH$1849,6,FALSE)</f>
        <v>Electrosurgical Units, Monopolar/Bipolar</v>
      </c>
      <c r="FYG115" s="196" t="s">
        <v>761</v>
      </c>
      <c r="FYH115" s="197" t="str">
        <f>VLOOKUP(FYG115,[13]AssetDetails_UEM!$A$3:$AH$1849,6,FALSE)</f>
        <v>Electrosurgical Units, Monopolar/Bipolar</v>
      </c>
      <c r="FYI115" s="196" t="s">
        <v>761</v>
      </c>
      <c r="FYJ115" s="197" t="str">
        <f>VLOOKUP(FYI115,[13]AssetDetails_UEM!$A$3:$AH$1849,6,FALSE)</f>
        <v>Electrosurgical Units, Monopolar/Bipolar</v>
      </c>
      <c r="FYK115" s="196" t="s">
        <v>761</v>
      </c>
      <c r="FYL115" s="197" t="str">
        <f>VLOOKUP(FYK115,[13]AssetDetails_UEM!$A$3:$AH$1849,6,FALSE)</f>
        <v>Electrosurgical Units, Monopolar/Bipolar</v>
      </c>
      <c r="FYM115" s="196" t="s">
        <v>761</v>
      </c>
      <c r="FYN115" s="197" t="str">
        <f>VLOOKUP(FYM115,[13]AssetDetails_UEM!$A$3:$AH$1849,6,FALSE)</f>
        <v>Electrosurgical Units, Monopolar/Bipolar</v>
      </c>
      <c r="FYO115" s="196" t="s">
        <v>761</v>
      </c>
      <c r="FYP115" s="197" t="str">
        <f>VLOOKUP(FYO115,[13]AssetDetails_UEM!$A$3:$AH$1849,6,FALSE)</f>
        <v>Electrosurgical Units, Monopolar/Bipolar</v>
      </c>
      <c r="FYQ115" s="196" t="s">
        <v>761</v>
      </c>
      <c r="FYR115" s="197" t="str">
        <f>VLOOKUP(FYQ115,[13]AssetDetails_UEM!$A$3:$AH$1849,6,FALSE)</f>
        <v>Electrosurgical Units, Monopolar/Bipolar</v>
      </c>
      <c r="FYS115" s="196" t="s">
        <v>761</v>
      </c>
      <c r="FYT115" s="197" t="str">
        <f>VLOOKUP(FYS115,[13]AssetDetails_UEM!$A$3:$AH$1849,6,FALSE)</f>
        <v>Electrosurgical Units, Monopolar/Bipolar</v>
      </c>
      <c r="FYU115" s="196" t="s">
        <v>761</v>
      </c>
      <c r="FYV115" s="197" t="str">
        <f>VLOOKUP(FYU115,[13]AssetDetails_UEM!$A$3:$AH$1849,6,FALSE)</f>
        <v>Electrosurgical Units, Monopolar/Bipolar</v>
      </c>
      <c r="FYW115" s="196" t="s">
        <v>761</v>
      </c>
      <c r="FYX115" s="197" t="str">
        <f>VLOOKUP(FYW115,[13]AssetDetails_UEM!$A$3:$AH$1849,6,FALSE)</f>
        <v>Electrosurgical Units, Monopolar/Bipolar</v>
      </c>
      <c r="FYY115" s="196" t="s">
        <v>761</v>
      </c>
      <c r="FYZ115" s="197" t="str">
        <f>VLOOKUP(FYY115,[13]AssetDetails_UEM!$A$3:$AH$1849,6,FALSE)</f>
        <v>Electrosurgical Units, Monopolar/Bipolar</v>
      </c>
      <c r="FZA115" s="196" t="s">
        <v>761</v>
      </c>
      <c r="FZB115" s="197" t="str">
        <f>VLOOKUP(FZA115,[13]AssetDetails_UEM!$A$3:$AH$1849,6,FALSE)</f>
        <v>Electrosurgical Units, Monopolar/Bipolar</v>
      </c>
      <c r="FZC115" s="196" t="s">
        <v>761</v>
      </c>
      <c r="FZD115" s="197" t="str">
        <f>VLOOKUP(FZC115,[13]AssetDetails_UEM!$A$3:$AH$1849,6,FALSE)</f>
        <v>Electrosurgical Units, Monopolar/Bipolar</v>
      </c>
      <c r="FZE115" s="196" t="s">
        <v>761</v>
      </c>
      <c r="FZF115" s="197" t="str">
        <f>VLOOKUP(FZE115,[13]AssetDetails_UEM!$A$3:$AH$1849,6,FALSE)</f>
        <v>Electrosurgical Units, Monopolar/Bipolar</v>
      </c>
      <c r="FZG115" s="196" t="s">
        <v>761</v>
      </c>
      <c r="FZH115" s="197" t="str">
        <f>VLOOKUP(FZG115,[13]AssetDetails_UEM!$A$3:$AH$1849,6,FALSE)</f>
        <v>Electrosurgical Units, Monopolar/Bipolar</v>
      </c>
      <c r="FZI115" s="196" t="s">
        <v>761</v>
      </c>
      <c r="FZJ115" s="197" t="str">
        <f>VLOOKUP(FZI115,[13]AssetDetails_UEM!$A$3:$AH$1849,6,FALSE)</f>
        <v>Electrosurgical Units, Monopolar/Bipolar</v>
      </c>
      <c r="FZK115" s="196" t="s">
        <v>761</v>
      </c>
      <c r="FZL115" s="197" t="str">
        <f>VLOOKUP(FZK115,[13]AssetDetails_UEM!$A$3:$AH$1849,6,FALSE)</f>
        <v>Electrosurgical Units, Monopolar/Bipolar</v>
      </c>
      <c r="FZM115" s="196" t="s">
        <v>761</v>
      </c>
      <c r="FZN115" s="197" t="str">
        <f>VLOOKUP(FZM115,[13]AssetDetails_UEM!$A$3:$AH$1849,6,FALSE)</f>
        <v>Electrosurgical Units, Monopolar/Bipolar</v>
      </c>
      <c r="FZO115" s="196" t="s">
        <v>761</v>
      </c>
      <c r="FZP115" s="197" t="str">
        <f>VLOOKUP(FZO115,[13]AssetDetails_UEM!$A$3:$AH$1849,6,FALSE)</f>
        <v>Electrosurgical Units, Monopolar/Bipolar</v>
      </c>
      <c r="FZQ115" s="196" t="s">
        <v>761</v>
      </c>
      <c r="FZR115" s="197" t="str">
        <f>VLOOKUP(FZQ115,[13]AssetDetails_UEM!$A$3:$AH$1849,6,FALSE)</f>
        <v>Electrosurgical Units, Monopolar/Bipolar</v>
      </c>
      <c r="FZS115" s="196" t="s">
        <v>761</v>
      </c>
      <c r="FZT115" s="197" t="str">
        <f>VLOOKUP(FZS115,[13]AssetDetails_UEM!$A$3:$AH$1849,6,FALSE)</f>
        <v>Electrosurgical Units, Monopolar/Bipolar</v>
      </c>
      <c r="FZU115" s="196" t="s">
        <v>761</v>
      </c>
      <c r="FZV115" s="197" t="str">
        <f>VLOOKUP(FZU115,[13]AssetDetails_UEM!$A$3:$AH$1849,6,FALSE)</f>
        <v>Electrosurgical Units, Monopolar/Bipolar</v>
      </c>
      <c r="FZW115" s="196" t="s">
        <v>761</v>
      </c>
      <c r="FZX115" s="197" t="str">
        <f>VLOOKUP(FZW115,[13]AssetDetails_UEM!$A$3:$AH$1849,6,FALSE)</f>
        <v>Electrosurgical Units, Monopolar/Bipolar</v>
      </c>
      <c r="FZY115" s="196" t="s">
        <v>761</v>
      </c>
      <c r="FZZ115" s="197" t="str">
        <f>VLOOKUP(FZY115,[13]AssetDetails_UEM!$A$3:$AH$1849,6,FALSE)</f>
        <v>Electrosurgical Units, Monopolar/Bipolar</v>
      </c>
      <c r="GAA115" s="196" t="s">
        <v>761</v>
      </c>
      <c r="GAB115" s="197" t="str">
        <f>VLOOKUP(GAA115,[13]AssetDetails_UEM!$A$3:$AH$1849,6,FALSE)</f>
        <v>Electrosurgical Units, Monopolar/Bipolar</v>
      </c>
      <c r="GAC115" s="196" t="s">
        <v>761</v>
      </c>
      <c r="GAD115" s="197" t="str">
        <f>VLOOKUP(GAC115,[13]AssetDetails_UEM!$A$3:$AH$1849,6,FALSE)</f>
        <v>Electrosurgical Units, Monopolar/Bipolar</v>
      </c>
      <c r="GAE115" s="196" t="s">
        <v>761</v>
      </c>
      <c r="GAF115" s="197" t="str">
        <f>VLOOKUP(GAE115,[13]AssetDetails_UEM!$A$3:$AH$1849,6,FALSE)</f>
        <v>Electrosurgical Units, Monopolar/Bipolar</v>
      </c>
      <c r="GAG115" s="196" t="s">
        <v>761</v>
      </c>
      <c r="GAH115" s="197" t="str">
        <f>VLOOKUP(GAG115,[13]AssetDetails_UEM!$A$3:$AH$1849,6,FALSE)</f>
        <v>Electrosurgical Units, Monopolar/Bipolar</v>
      </c>
      <c r="GAI115" s="196" t="s">
        <v>761</v>
      </c>
      <c r="GAJ115" s="197" t="str">
        <f>VLOOKUP(GAI115,[13]AssetDetails_UEM!$A$3:$AH$1849,6,FALSE)</f>
        <v>Electrosurgical Units, Monopolar/Bipolar</v>
      </c>
      <c r="GAK115" s="196" t="s">
        <v>761</v>
      </c>
      <c r="GAL115" s="197" t="str">
        <f>VLOOKUP(GAK115,[13]AssetDetails_UEM!$A$3:$AH$1849,6,FALSE)</f>
        <v>Electrosurgical Units, Monopolar/Bipolar</v>
      </c>
      <c r="GAM115" s="196" t="s">
        <v>761</v>
      </c>
      <c r="GAN115" s="197" t="str">
        <f>VLOOKUP(GAM115,[13]AssetDetails_UEM!$A$3:$AH$1849,6,FALSE)</f>
        <v>Electrosurgical Units, Monopolar/Bipolar</v>
      </c>
      <c r="GAO115" s="196" t="s">
        <v>761</v>
      </c>
      <c r="GAP115" s="197" t="str">
        <f>VLOOKUP(GAO115,[13]AssetDetails_UEM!$A$3:$AH$1849,6,FALSE)</f>
        <v>Electrosurgical Units, Monopolar/Bipolar</v>
      </c>
      <c r="GAQ115" s="196" t="s">
        <v>761</v>
      </c>
      <c r="GAR115" s="197" t="str">
        <f>VLOOKUP(GAQ115,[13]AssetDetails_UEM!$A$3:$AH$1849,6,FALSE)</f>
        <v>Electrosurgical Units, Monopolar/Bipolar</v>
      </c>
      <c r="GAS115" s="196" t="s">
        <v>761</v>
      </c>
      <c r="GAT115" s="197" t="str">
        <f>VLOOKUP(GAS115,[13]AssetDetails_UEM!$A$3:$AH$1849,6,FALSE)</f>
        <v>Electrosurgical Units, Monopolar/Bipolar</v>
      </c>
      <c r="GAU115" s="196" t="s">
        <v>761</v>
      </c>
      <c r="GAV115" s="197" t="str">
        <f>VLOOKUP(GAU115,[13]AssetDetails_UEM!$A$3:$AH$1849,6,FALSE)</f>
        <v>Electrosurgical Units, Monopolar/Bipolar</v>
      </c>
      <c r="GAW115" s="196" t="s">
        <v>761</v>
      </c>
      <c r="GAX115" s="197" t="str">
        <f>VLOOKUP(GAW115,[13]AssetDetails_UEM!$A$3:$AH$1849,6,FALSE)</f>
        <v>Electrosurgical Units, Monopolar/Bipolar</v>
      </c>
      <c r="GAY115" s="196" t="s">
        <v>761</v>
      </c>
      <c r="GAZ115" s="197" t="str">
        <f>VLOOKUP(GAY115,[13]AssetDetails_UEM!$A$3:$AH$1849,6,FALSE)</f>
        <v>Electrosurgical Units, Monopolar/Bipolar</v>
      </c>
      <c r="GBA115" s="196" t="s">
        <v>761</v>
      </c>
      <c r="GBB115" s="197" t="str">
        <f>VLOOKUP(GBA115,[13]AssetDetails_UEM!$A$3:$AH$1849,6,FALSE)</f>
        <v>Electrosurgical Units, Monopolar/Bipolar</v>
      </c>
      <c r="GBC115" s="196" t="s">
        <v>761</v>
      </c>
      <c r="GBD115" s="197" t="str">
        <f>VLOOKUP(GBC115,[13]AssetDetails_UEM!$A$3:$AH$1849,6,FALSE)</f>
        <v>Electrosurgical Units, Monopolar/Bipolar</v>
      </c>
      <c r="GBE115" s="196" t="s">
        <v>761</v>
      </c>
      <c r="GBF115" s="197" t="str">
        <f>VLOOKUP(GBE115,[13]AssetDetails_UEM!$A$3:$AH$1849,6,FALSE)</f>
        <v>Electrosurgical Units, Monopolar/Bipolar</v>
      </c>
      <c r="GBG115" s="196" t="s">
        <v>761</v>
      </c>
      <c r="GBH115" s="197" t="str">
        <f>VLOOKUP(GBG115,[13]AssetDetails_UEM!$A$3:$AH$1849,6,FALSE)</f>
        <v>Electrosurgical Units, Monopolar/Bipolar</v>
      </c>
      <c r="GBI115" s="196" t="s">
        <v>761</v>
      </c>
      <c r="GBJ115" s="197" t="str">
        <f>VLOOKUP(GBI115,[13]AssetDetails_UEM!$A$3:$AH$1849,6,FALSE)</f>
        <v>Electrosurgical Units, Monopolar/Bipolar</v>
      </c>
      <c r="GBK115" s="196" t="s">
        <v>761</v>
      </c>
      <c r="GBL115" s="197" t="str">
        <f>VLOOKUP(GBK115,[13]AssetDetails_UEM!$A$3:$AH$1849,6,FALSE)</f>
        <v>Electrosurgical Units, Monopolar/Bipolar</v>
      </c>
      <c r="GBM115" s="196" t="s">
        <v>761</v>
      </c>
      <c r="GBN115" s="197" t="str">
        <f>VLOOKUP(GBM115,[13]AssetDetails_UEM!$A$3:$AH$1849,6,FALSE)</f>
        <v>Electrosurgical Units, Monopolar/Bipolar</v>
      </c>
      <c r="GBO115" s="196" t="s">
        <v>761</v>
      </c>
      <c r="GBP115" s="197" t="str">
        <f>VLOOKUP(GBO115,[13]AssetDetails_UEM!$A$3:$AH$1849,6,FALSE)</f>
        <v>Electrosurgical Units, Monopolar/Bipolar</v>
      </c>
      <c r="GBQ115" s="196" t="s">
        <v>761</v>
      </c>
      <c r="GBR115" s="197" t="str">
        <f>VLOOKUP(GBQ115,[13]AssetDetails_UEM!$A$3:$AH$1849,6,FALSE)</f>
        <v>Electrosurgical Units, Monopolar/Bipolar</v>
      </c>
      <c r="GBS115" s="196" t="s">
        <v>761</v>
      </c>
      <c r="GBT115" s="197" t="str">
        <f>VLOOKUP(GBS115,[13]AssetDetails_UEM!$A$3:$AH$1849,6,FALSE)</f>
        <v>Electrosurgical Units, Monopolar/Bipolar</v>
      </c>
      <c r="GBU115" s="196" t="s">
        <v>761</v>
      </c>
      <c r="GBV115" s="197" t="str">
        <f>VLOOKUP(GBU115,[13]AssetDetails_UEM!$A$3:$AH$1849,6,FALSE)</f>
        <v>Electrosurgical Units, Monopolar/Bipolar</v>
      </c>
      <c r="GBW115" s="196" t="s">
        <v>761</v>
      </c>
      <c r="GBX115" s="197" t="str">
        <f>VLOOKUP(GBW115,[13]AssetDetails_UEM!$A$3:$AH$1849,6,FALSE)</f>
        <v>Electrosurgical Units, Monopolar/Bipolar</v>
      </c>
      <c r="GBY115" s="196" t="s">
        <v>761</v>
      </c>
      <c r="GBZ115" s="197" t="str">
        <f>VLOOKUP(GBY115,[13]AssetDetails_UEM!$A$3:$AH$1849,6,FALSE)</f>
        <v>Electrosurgical Units, Monopolar/Bipolar</v>
      </c>
      <c r="GCA115" s="196" t="s">
        <v>761</v>
      </c>
      <c r="GCB115" s="197" t="str">
        <f>VLOOKUP(GCA115,[13]AssetDetails_UEM!$A$3:$AH$1849,6,FALSE)</f>
        <v>Electrosurgical Units, Monopolar/Bipolar</v>
      </c>
      <c r="GCC115" s="196" t="s">
        <v>761</v>
      </c>
      <c r="GCD115" s="197" t="str">
        <f>VLOOKUP(GCC115,[13]AssetDetails_UEM!$A$3:$AH$1849,6,FALSE)</f>
        <v>Electrosurgical Units, Monopolar/Bipolar</v>
      </c>
      <c r="GCE115" s="196" t="s">
        <v>761</v>
      </c>
      <c r="GCF115" s="197" t="str">
        <f>VLOOKUP(GCE115,[13]AssetDetails_UEM!$A$3:$AH$1849,6,FALSE)</f>
        <v>Electrosurgical Units, Monopolar/Bipolar</v>
      </c>
      <c r="GCG115" s="196" t="s">
        <v>761</v>
      </c>
      <c r="GCH115" s="197" t="str">
        <f>VLOOKUP(GCG115,[13]AssetDetails_UEM!$A$3:$AH$1849,6,FALSE)</f>
        <v>Electrosurgical Units, Monopolar/Bipolar</v>
      </c>
      <c r="GCI115" s="196" t="s">
        <v>761</v>
      </c>
      <c r="GCJ115" s="197" t="str">
        <f>VLOOKUP(GCI115,[13]AssetDetails_UEM!$A$3:$AH$1849,6,FALSE)</f>
        <v>Electrosurgical Units, Monopolar/Bipolar</v>
      </c>
      <c r="GCK115" s="196" t="s">
        <v>761</v>
      </c>
      <c r="GCL115" s="197" t="str">
        <f>VLOOKUP(GCK115,[13]AssetDetails_UEM!$A$3:$AH$1849,6,FALSE)</f>
        <v>Electrosurgical Units, Monopolar/Bipolar</v>
      </c>
      <c r="GCM115" s="196" t="s">
        <v>761</v>
      </c>
      <c r="GCN115" s="197" t="str">
        <f>VLOOKUP(GCM115,[13]AssetDetails_UEM!$A$3:$AH$1849,6,FALSE)</f>
        <v>Electrosurgical Units, Monopolar/Bipolar</v>
      </c>
      <c r="GCO115" s="196" t="s">
        <v>761</v>
      </c>
      <c r="GCP115" s="197" t="str">
        <f>VLOOKUP(GCO115,[13]AssetDetails_UEM!$A$3:$AH$1849,6,FALSE)</f>
        <v>Electrosurgical Units, Monopolar/Bipolar</v>
      </c>
      <c r="GCQ115" s="196" t="s">
        <v>761</v>
      </c>
      <c r="GCR115" s="197" t="str">
        <f>VLOOKUP(GCQ115,[13]AssetDetails_UEM!$A$3:$AH$1849,6,FALSE)</f>
        <v>Electrosurgical Units, Monopolar/Bipolar</v>
      </c>
      <c r="GCS115" s="196" t="s">
        <v>761</v>
      </c>
      <c r="GCT115" s="197" t="str">
        <f>VLOOKUP(GCS115,[13]AssetDetails_UEM!$A$3:$AH$1849,6,FALSE)</f>
        <v>Electrosurgical Units, Monopolar/Bipolar</v>
      </c>
      <c r="GCU115" s="196" t="s">
        <v>761</v>
      </c>
      <c r="GCV115" s="197" t="str">
        <f>VLOOKUP(GCU115,[13]AssetDetails_UEM!$A$3:$AH$1849,6,FALSE)</f>
        <v>Electrosurgical Units, Monopolar/Bipolar</v>
      </c>
      <c r="GCW115" s="196" t="s">
        <v>761</v>
      </c>
      <c r="GCX115" s="197" t="str">
        <f>VLOOKUP(GCW115,[13]AssetDetails_UEM!$A$3:$AH$1849,6,FALSE)</f>
        <v>Electrosurgical Units, Monopolar/Bipolar</v>
      </c>
      <c r="GCY115" s="196" t="s">
        <v>761</v>
      </c>
      <c r="GCZ115" s="197" t="str">
        <f>VLOOKUP(GCY115,[13]AssetDetails_UEM!$A$3:$AH$1849,6,FALSE)</f>
        <v>Electrosurgical Units, Monopolar/Bipolar</v>
      </c>
      <c r="GDA115" s="196" t="s">
        <v>761</v>
      </c>
      <c r="GDB115" s="197" t="str">
        <f>VLOOKUP(GDA115,[13]AssetDetails_UEM!$A$3:$AH$1849,6,FALSE)</f>
        <v>Electrosurgical Units, Monopolar/Bipolar</v>
      </c>
      <c r="GDC115" s="196" t="s">
        <v>761</v>
      </c>
      <c r="GDD115" s="197" t="str">
        <f>VLOOKUP(GDC115,[13]AssetDetails_UEM!$A$3:$AH$1849,6,FALSE)</f>
        <v>Electrosurgical Units, Monopolar/Bipolar</v>
      </c>
      <c r="GDE115" s="196" t="s">
        <v>761</v>
      </c>
      <c r="GDF115" s="197" t="str">
        <f>VLOOKUP(GDE115,[13]AssetDetails_UEM!$A$3:$AH$1849,6,FALSE)</f>
        <v>Electrosurgical Units, Monopolar/Bipolar</v>
      </c>
      <c r="GDG115" s="196" t="s">
        <v>761</v>
      </c>
      <c r="GDH115" s="197" t="str">
        <f>VLOOKUP(GDG115,[13]AssetDetails_UEM!$A$3:$AH$1849,6,FALSE)</f>
        <v>Electrosurgical Units, Monopolar/Bipolar</v>
      </c>
      <c r="GDI115" s="196" t="s">
        <v>761</v>
      </c>
      <c r="GDJ115" s="197" t="str">
        <f>VLOOKUP(GDI115,[13]AssetDetails_UEM!$A$3:$AH$1849,6,FALSE)</f>
        <v>Electrosurgical Units, Monopolar/Bipolar</v>
      </c>
      <c r="GDK115" s="196" t="s">
        <v>761</v>
      </c>
      <c r="GDL115" s="197" t="str">
        <f>VLOOKUP(GDK115,[13]AssetDetails_UEM!$A$3:$AH$1849,6,FALSE)</f>
        <v>Electrosurgical Units, Monopolar/Bipolar</v>
      </c>
      <c r="GDM115" s="196" t="s">
        <v>761</v>
      </c>
      <c r="GDN115" s="197" t="str">
        <f>VLOOKUP(GDM115,[13]AssetDetails_UEM!$A$3:$AH$1849,6,FALSE)</f>
        <v>Electrosurgical Units, Monopolar/Bipolar</v>
      </c>
      <c r="GDO115" s="196" t="s">
        <v>761</v>
      </c>
      <c r="GDP115" s="197" t="str">
        <f>VLOOKUP(GDO115,[13]AssetDetails_UEM!$A$3:$AH$1849,6,FALSE)</f>
        <v>Electrosurgical Units, Monopolar/Bipolar</v>
      </c>
      <c r="GDQ115" s="196" t="s">
        <v>761</v>
      </c>
      <c r="GDR115" s="197" t="str">
        <f>VLOOKUP(GDQ115,[13]AssetDetails_UEM!$A$3:$AH$1849,6,FALSE)</f>
        <v>Electrosurgical Units, Monopolar/Bipolar</v>
      </c>
      <c r="GDS115" s="196" t="s">
        <v>761</v>
      </c>
      <c r="GDT115" s="197" t="str">
        <f>VLOOKUP(GDS115,[13]AssetDetails_UEM!$A$3:$AH$1849,6,FALSE)</f>
        <v>Electrosurgical Units, Monopolar/Bipolar</v>
      </c>
      <c r="GDU115" s="196" t="s">
        <v>761</v>
      </c>
      <c r="GDV115" s="197" t="str">
        <f>VLOOKUP(GDU115,[13]AssetDetails_UEM!$A$3:$AH$1849,6,FALSE)</f>
        <v>Electrosurgical Units, Monopolar/Bipolar</v>
      </c>
      <c r="GDW115" s="196" t="s">
        <v>761</v>
      </c>
      <c r="GDX115" s="197" t="str">
        <f>VLOOKUP(GDW115,[13]AssetDetails_UEM!$A$3:$AH$1849,6,FALSE)</f>
        <v>Electrosurgical Units, Monopolar/Bipolar</v>
      </c>
      <c r="GDY115" s="196" t="s">
        <v>761</v>
      </c>
      <c r="GDZ115" s="197" t="str">
        <f>VLOOKUP(GDY115,[13]AssetDetails_UEM!$A$3:$AH$1849,6,FALSE)</f>
        <v>Electrosurgical Units, Monopolar/Bipolar</v>
      </c>
      <c r="GEA115" s="196" t="s">
        <v>761</v>
      </c>
      <c r="GEB115" s="197" t="str">
        <f>VLOOKUP(GEA115,[13]AssetDetails_UEM!$A$3:$AH$1849,6,FALSE)</f>
        <v>Electrosurgical Units, Monopolar/Bipolar</v>
      </c>
      <c r="GEC115" s="196" t="s">
        <v>761</v>
      </c>
      <c r="GED115" s="197" t="str">
        <f>VLOOKUP(GEC115,[13]AssetDetails_UEM!$A$3:$AH$1849,6,FALSE)</f>
        <v>Electrosurgical Units, Monopolar/Bipolar</v>
      </c>
      <c r="GEE115" s="196" t="s">
        <v>761</v>
      </c>
      <c r="GEF115" s="197" t="str">
        <f>VLOOKUP(GEE115,[13]AssetDetails_UEM!$A$3:$AH$1849,6,FALSE)</f>
        <v>Electrosurgical Units, Monopolar/Bipolar</v>
      </c>
      <c r="GEG115" s="196" t="s">
        <v>761</v>
      </c>
      <c r="GEH115" s="197" t="str">
        <f>VLOOKUP(GEG115,[13]AssetDetails_UEM!$A$3:$AH$1849,6,FALSE)</f>
        <v>Electrosurgical Units, Monopolar/Bipolar</v>
      </c>
      <c r="GEI115" s="196" t="s">
        <v>761</v>
      </c>
      <c r="GEJ115" s="197" t="str">
        <f>VLOOKUP(GEI115,[13]AssetDetails_UEM!$A$3:$AH$1849,6,FALSE)</f>
        <v>Electrosurgical Units, Monopolar/Bipolar</v>
      </c>
      <c r="GEK115" s="196" t="s">
        <v>761</v>
      </c>
      <c r="GEL115" s="197" t="str">
        <f>VLOOKUP(GEK115,[13]AssetDetails_UEM!$A$3:$AH$1849,6,FALSE)</f>
        <v>Electrosurgical Units, Monopolar/Bipolar</v>
      </c>
      <c r="GEM115" s="196" t="s">
        <v>761</v>
      </c>
      <c r="GEN115" s="197" t="str">
        <f>VLOOKUP(GEM115,[13]AssetDetails_UEM!$A$3:$AH$1849,6,FALSE)</f>
        <v>Electrosurgical Units, Monopolar/Bipolar</v>
      </c>
      <c r="GEO115" s="196" t="s">
        <v>761</v>
      </c>
      <c r="GEP115" s="197" t="str">
        <f>VLOOKUP(GEO115,[13]AssetDetails_UEM!$A$3:$AH$1849,6,FALSE)</f>
        <v>Electrosurgical Units, Monopolar/Bipolar</v>
      </c>
      <c r="GEQ115" s="196" t="s">
        <v>761</v>
      </c>
      <c r="GER115" s="197" t="str">
        <f>VLOOKUP(GEQ115,[13]AssetDetails_UEM!$A$3:$AH$1849,6,FALSE)</f>
        <v>Electrosurgical Units, Monopolar/Bipolar</v>
      </c>
      <c r="GES115" s="196" t="s">
        <v>761</v>
      </c>
      <c r="GET115" s="197" t="str">
        <f>VLOOKUP(GES115,[13]AssetDetails_UEM!$A$3:$AH$1849,6,FALSE)</f>
        <v>Electrosurgical Units, Monopolar/Bipolar</v>
      </c>
      <c r="GEU115" s="196" t="s">
        <v>761</v>
      </c>
      <c r="GEV115" s="197" t="str">
        <f>VLOOKUP(GEU115,[13]AssetDetails_UEM!$A$3:$AH$1849,6,FALSE)</f>
        <v>Electrosurgical Units, Monopolar/Bipolar</v>
      </c>
      <c r="GEW115" s="196" t="s">
        <v>761</v>
      </c>
      <c r="GEX115" s="197" t="str">
        <f>VLOOKUP(GEW115,[13]AssetDetails_UEM!$A$3:$AH$1849,6,FALSE)</f>
        <v>Electrosurgical Units, Monopolar/Bipolar</v>
      </c>
      <c r="GEY115" s="196" t="s">
        <v>761</v>
      </c>
      <c r="GEZ115" s="197" t="str">
        <f>VLOOKUP(GEY115,[13]AssetDetails_UEM!$A$3:$AH$1849,6,FALSE)</f>
        <v>Electrosurgical Units, Monopolar/Bipolar</v>
      </c>
      <c r="GFA115" s="196" t="s">
        <v>761</v>
      </c>
      <c r="GFB115" s="197" t="str">
        <f>VLOOKUP(GFA115,[13]AssetDetails_UEM!$A$3:$AH$1849,6,FALSE)</f>
        <v>Electrosurgical Units, Monopolar/Bipolar</v>
      </c>
      <c r="GFC115" s="196" t="s">
        <v>761</v>
      </c>
      <c r="GFD115" s="197" t="str">
        <f>VLOOKUP(GFC115,[13]AssetDetails_UEM!$A$3:$AH$1849,6,FALSE)</f>
        <v>Electrosurgical Units, Monopolar/Bipolar</v>
      </c>
      <c r="GFE115" s="196" t="s">
        <v>761</v>
      </c>
      <c r="GFF115" s="197" t="str">
        <f>VLOOKUP(GFE115,[13]AssetDetails_UEM!$A$3:$AH$1849,6,FALSE)</f>
        <v>Electrosurgical Units, Monopolar/Bipolar</v>
      </c>
      <c r="GFG115" s="196" t="s">
        <v>761</v>
      </c>
      <c r="GFH115" s="197" t="str">
        <f>VLOOKUP(GFG115,[13]AssetDetails_UEM!$A$3:$AH$1849,6,FALSE)</f>
        <v>Electrosurgical Units, Monopolar/Bipolar</v>
      </c>
      <c r="GFI115" s="196" t="s">
        <v>761</v>
      </c>
      <c r="GFJ115" s="197" t="str">
        <f>VLOOKUP(GFI115,[13]AssetDetails_UEM!$A$3:$AH$1849,6,FALSE)</f>
        <v>Electrosurgical Units, Monopolar/Bipolar</v>
      </c>
      <c r="GFK115" s="196" t="s">
        <v>761</v>
      </c>
      <c r="GFL115" s="197" t="str">
        <f>VLOOKUP(GFK115,[13]AssetDetails_UEM!$A$3:$AH$1849,6,FALSE)</f>
        <v>Electrosurgical Units, Monopolar/Bipolar</v>
      </c>
      <c r="GFM115" s="196" t="s">
        <v>761</v>
      </c>
      <c r="GFN115" s="197" t="str">
        <f>VLOOKUP(GFM115,[13]AssetDetails_UEM!$A$3:$AH$1849,6,FALSE)</f>
        <v>Electrosurgical Units, Monopolar/Bipolar</v>
      </c>
      <c r="GFO115" s="196" t="s">
        <v>761</v>
      </c>
      <c r="GFP115" s="197" t="str">
        <f>VLOOKUP(GFO115,[13]AssetDetails_UEM!$A$3:$AH$1849,6,FALSE)</f>
        <v>Electrosurgical Units, Monopolar/Bipolar</v>
      </c>
      <c r="GFQ115" s="196" t="s">
        <v>761</v>
      </c>
      <c r="GFR115" s="197" t="str">
        <f>VLOOKUP(GFQ115,[13]AssetDetails_UEM!$A$3:$AH$1849,6,FALSE)</f>
        <v>Electrosurgical Units, Monopolar/Bipolar</v>
      </c>
      <c r="GFS115" s="196" t="s">
        <v>761</v>
      </c>
      <c r="GFT115" s="197" t="str">
        <f>VLOOKUP(GFS115,[13]AssetDetails_UEM!$A$3:$AH$1849,6,FALSE)</f>
        <v>Electrosurgical Units, Monopolar/Bipolar</v>
      </c>
      <c r="GFU115" s="196" t="s">
        <v>761</v>
      </c>
      <c r="GFV115" s="197" t="str">
        <f>VLOOKUP(GFU115,[13]AssetDetails_UEM!$A$3:$AH$1849,6,FALSE)</f>
        <v>Electrosurgical Units, Monopolar/Bipolar</v>
      </c>
      <c r="GFW115" s="196" t="s">
        <v>761</v>
      </c>
      <c r="GFX115" s="197" t="str">
        <f>VLOOKUP(GFW115,[13]AssetDetails_UEM!$A$3:$AH$1849,6,FALSE)</f>
        <v>Electrosurgical Units, Monopolar/Bipolar</v>
      </c>
      <c r="GFY115" s="196" t="s">
        <v>761</v>
      </c>
      <c r="GFZ115" s="197" t="str">
        <f>VLOOKUP(GFY115,[13]AssetDetails_UEM!$A$3:$AH$1849,6,FALSE)</f>
        <v>Electrosurgical Units, Monopolar/Bipolar</v>
      </c>
      <c r="GGA115" s="196" t="s">
        <v>761</v>
      </c>
      <c r="GGB115" s="197" t="str">
        <f>VLOOKUP(GGA115,[13]AssetDetails_UEM!$A$3:$AH$1849,6,FALSE)</f>
        <v>Electrosurgical Units, Monopolar/Bipolar</v>
      </c>
      <c r="GGC115" s="196" t="s">
        <v>761</v>
      </c>
      <c r="GGD115" s="197" t="str">
        <f>VLOOKUP(GGC115,[13]AssetDetails_UEM!$A$3:$AH$1849,6,FALSE)</f>
        <v>Electrosurgical Units, Monopolar/Bipolar</v>
      </c>
      <c r="GGE115" s="196" t="s">
        <v>761</v>
      </c>
      <c r="GGF115" s="197" t="str">
        <f>VLOOKUP(GGE115,[13]AssetDetails_UEM!$A$3:$AH$1849,6,FALSE)</f>
        <v>Electrosurgical Units, Monopolar/Bipolar</v>
      </c>
      <c r="GGG115" s="196" t="s">
        <v>761</v>
      </c>
      <c r="GGH115" s="197" t="str">
        <f>VLOOKUP(GGG115,[13]AssetDetails_UEM!$A$3:$AH$1849,6,FALSE)</f>
        <v>Electrosurgical Units, Monopolar/Bipolar</v>
      </c>
      <c r="GGI115" s="196" t="s">
        <v>761</v>
      </c>
      <c r="GGJ115" s="197" t="str">
        <f>VLOOKUP(GGI115,[13]AssetDetails_UEM!$A$3:$AH$1849,6,FALSE)</f>
        <v>Electrosurgical Units, Monopolar/Bipolar</v>
      </c>
      <c r="GGK115" s="196" t="s">
        <v>761</v>
      </c>
      <c r="GGL115" s="197" t="str">
        <f>VLOOKUP(GGK115,[13]AssetDetails_UEM!$A$3:$AH$1849,6,FALSE)</f>
        <v>Electrosurgical Units, Monopolar/Bipolar</v>
      </c>
      <c r="GGM115" s="196" t="s">
        <v>761</v>
      </c>
      <c r="GGN115" s="197" t="str">
        <f>VLOOKUP(GGM115,[13]AssetDetails_UEM!$A$3:$AH$1849,6,FALSE)</f>
        <v>Electrosurgical Units, Monopolar/Bipolar</v>
      </c>
      <c r="GGO115" s="196" t="s">
        <v>761</v>
      </c>
      <c r="GGP115" s="197" t="str">
        <f>VLOOKUP(GGO115,[13]AssetDetails_UEM!$A$3:$AH$1849,6,FALSE)</f>
        <v>Electrosurgical Units, Monopolar/Bipolar</v>
      </c>
      <c r="GGQ115" s="196" t="s">
        <v>761</v>
      </c>
      <c r="GGR115" s="197" t="str">
        <f>VLOOKUP(GGQ115,[13]AssetDetails_UEM!$A$3:$AH$1849,6,FALSE)</f>
        <v>Electrosurgical Units, Monopolar/Bipolar</v>
      </c>
      <c r="GGS115" s="196" t="s">
        <v>761</v>
      </c>
      <c r="GGT115" s="197" t="str">
        <f>VLOOKUP(GGS115,[13]AssetDetails_UEM!$A$3:$AH$1849,6,FALSE)</f>
        <v>Electrosurgical Units, Monopolar/Bipolar</v>
      </c>
      <c r="GGU115" s="196" t="s">
        <v>761</v>
      </c>
      <c r="GGV115" s="197" t="str">
        <f>VLOOKUP(GGU115,[13]AssetDetails_UEM!$A$3:$AH$1849,6,FALSE)</f>
        <v>Electrosurgical Units, Monopolar/Bipolar</v>
      </c>
      <c r="GGW115" s="196" t="s">
        <v>761</v>
      </c>
      <c r="GGX115" s="197" t="str">
        <f>VLOOKUP(GGW115,[13]AssetDetails_UEM!$A$3:$AH$1849,6,FALSE)</f>
        <v>Electrosurgical Units, Monopolar/Bipolar</v>
      </c>
      <c r="GGY115" s="196" t="s">
        <v>761</v>
      </c>
      <c r="GGZ115" s="197" t="str">
        <f>VLOOKUP(GGY115,[13]AssetDetails_UEM!$A$3:$AH$1849,6,FALSE)</f>
        <v>Electrosurgical Units, Monopolar/Bipolar</v>
      </c>
      <c r="GHA115" s="196" t="s">
        <v>761</v>
      </c>
      <c r="GHB115" s="197" t="str">
        <f>VLOOKUP(GHA115,[13]AssetDetails_UEM!$A$3:$AH$1849,6,FALSE)</f>
        <v>Electrosurgical Units, Monopolar/Bipolar</v>
      </c>
      <c r="GHC115" s="196" t="s">
        <v>761</v>
      </c>
      <c r="GHD115" s="197" t="str">
        <f>VLOOKUP(GHC115,[13]AssetDetails_UEM!$A$3:$AH$1849,6,FALSE)</f>
        <v>Electrosurgical Units, Monopolar/Bipolar</v>
      </c>
      <c r="GHE115" s="196" t="s">
        <v>761</v>
      </c>
      <c r="GHF115" s="197" t="str">
        <f>VLOOKUP(GHE115,[13]AssetDetails_UEM!$A$3:$AH$1849,6,FALSE)</f>
        <v>Electrosurgical Units, Monopolar/Bipolar</v>
      </c>
      <c r="GHG115" s="196" t="s">
        <v>761</v>
      </c>
      <c r="GHH115" s="197" t="str">
        <f>VLOOKUP(GHG115,[13]AssetDetails_UEM!$A$3:$AH$1849,6,FALSE)</f>
        <v>Electrosurgical Units, Monopolar/Bipolar</v>
      </c>
      <c r="GHI115" s="196" t="s">
        <v>761</v>
      </c>
      <c r="GHJ115" s="197" t="str">
        <f>VLOOKUP(GHI115,[13]AssetDetails_UEM!$A$3:$AH$1849,6,FALSE)</f>
        <v>Electrosurgical Units, Monopolar/Bipolar</v>
      </c>
      <c r="GHK115" s="196" t="s">
        <v>761</v>
      </c>
      <c r="GHL115" s="197" t="str">
        <f>VLOOKUP(GHK115,[13]AssetDetails_UEM!$A$3:$AH$1849,6,FALSE)</f>
        <v>Electrosurgical Units, Monopolar/Bipolar</v>
      </c>
      <c r="GHM115" s="196" t="s">
        <v>761</v>
      </c>
      <c r="GHN115" s="197" t="str">
        <f>VLOOKUP(GHM115,[13]AssetDetails_UEM!$A$3:$AH$1849,6,FALSE)</f>
        <v>Electrosurgical Units, Monopolar/Bipolar</v>
      </c>
      <c r="GHO115" s="196" t="s">
        <v>761</v>
      </c>
      <c r="GHP115" s="197" t="str">
        <f>VLOOKUP(GHO115,[13]AssetDetails_UEM!$A$3:$AH$1849,6,FALSE)</f>
        <v>Electrosurgical Units, Monopolar/Bipolar</v>
      </c>
      <c r="GHQ115" s="196" t="s">
        <v>761</v>
      </c>
      <c r="GHR115" s="197" t="str">
        <f>VLOOKUP(GHQ115,[13]AssetDetails_UEM!$A$3:$AH$1849,6,FALSE)</f>
        <v>Electrosurgical Units, Monopolar/Bipolar</v>
      </c>
      <c r="GHS115" s="196" t="s">
        <v>761</v>
      </c>
      <c r="GHT115" s="197" t="str">
        <f>VLOOKUP(GHS115,[13]AssetDetails_UEM!$A$3:$AH$1849,6,FALSE)</f>
        <v>Electrosurgical Units, Monopolar/Bipolar</v>
      </c>
      <c r="GHU115" s="196" t="s">
        <v>761</v>
      </c>
      <c r="GHV115" s="197" t="str">
        <f>VLOOKUP(GHU115,[13]AssetDetails_UEM!$A$3:$AH$1849,6,FALSE)</f>
        <v>Electrosurgical Units, Monopolar/Bipolar</v>
      </c>
      <c r="GHW115" s="196" t="s">
        <v>761</v>
      </c>
      <c r="GHX115" s="197" t="str">
        <f>VLOOKUP(GHW115,[13]AssetDetails_UEM!$A$3:$AH$1849,6,FALSE)</f>
        <v>Electrosurgical Units, Monopolar/Bipolar</v>
      </c>
      <c r="GHY115" s="196" t="s">
        <v>761</v>
      </c>
      <c r="GHZ115" s="197" t="str">
        <f>VLOOKUP(GHY115,[13]AssetDetails_UEM!$A$3:$AH$1849,6,FALSE)</f>
        <v>Electrosurgical Units, Monopolar/Bipolar</v>
      </c>
      <c r="GIA115" s="196" t="s">
        <v>761</v>
      </c>
      <c r="GIB115" s="197" t="str">
        <f>VLOOKUP(GIA115,[13]AssetDetails_UEM!$A$3:$AH$1849,6,FALSE)</f>
        <v>Electrosurgical Units, Monopolar/Bipolar</v>
      </c>
      <c r="GIC115" s="196" t="s">
        <v>761</v>
      </c>
      <c r="GID115" s="197" t="str">
        <f>VLOOKUP(GIC115,[13]AssetDetails_UEM!$A$3:$AH$1849,6,FALSE)</f>
        <v>Electrosurgical Units, Monopolar/Bipolar</v>
      </c>
      <c r="GIE115" s="196" t="s">
        <v>761</v>
      </c>
      <c r="GIF115" s="197" t="str">
        <f>VLOOKUP(GIE115,[13]AssetDetails_UEM!$A$3:$AH$1849,6,FALSE)</f>
        <v>Electrosurgical Units, Monopolar/Bipolar</v>
      </c>
      <c r="GIG115" s="196" t="s">
        <v>761</v>
      </c>
      <c r="GIH115" s="197" t="str">
        <f>VLOOKUP(GIG115,[13]AssetDetails_UEM!$A$3:$AH$1849,6,FALSE)</f>
        <v>Electrosurgical Units, Monopolar/Bipolar</v>
      </c>
      <c r="GII115" s="196" t="s">
        <v>761</v>
      </c>
      <c r="GIJ115" s="197" t="str">
        <f>VLOOKUP(GII115,[13]AssetDetails_UEM!$A$3:$AH$1849,6,FALSE)</f>
        <v>Electrosurgical Units, Monopolar/Bipolar</v>
      </c>
      <c r="GIK115" s="196" t="s">
        <v>761</v>
      </c>
      <c r="GIL115" s="197" t="str">
        <f>VLOOKUP(GIK115,[13]AssetDetails_UEM!$A$3:$AH$1849,6,FALSE)</f>
        <v>Electrosurgical Units, Monopolar/Bipolar</v>
      </c>
      <c r="GIM115" s="196" t="s">
        <v>761</v>
      </c>
      <c r="GIN115" s="197" t="str">
        <f>VLOOKUP(GIM115,[13]AssetDetails_UEM!$A$3:$AH$1849,6,FALSE)</f>
        <v>Electrosurgical Units, Monopolar/Bipolar</v>
      </c>
      <c r="GIO115" s="196" t="s">
        <v>761</v>
      </c>
      <c r="GIP115" s="197" t="str">
        <f>VLOOKUP(GIO115,[13]AssetDetails_UEM!$A$3:$AH$1849,6,FALSE)</f>
        <v>Electrosurgical Units, Monopolar/Bipolar</v>
      </c>
      <c r="GIQ115" s="196" t="s">
        <v>761</v>
      </c>
      <c r="GIR115" s="197" t="str">
        <f>VLOOKUP(GIQ115,[13]AssetDetails_UEM!$A$3:$AH$1849,6,FALSE)</f>
        <v>Electrosurgical Units, Monopolar/Bipolar</v>
      </c>
      <c r="GIS115" s="196" t="s">
        <v>761</v>
      </c>
      <c r="GIT115" s="197" t="str">
        <f>VLOOKUP(GIS115,[13]AssetDetails_UEM!$A$3:$AH$1849,6,FALSE)</f>
        <v>Electrosurgical Units, Monopolar/Bipolar</v>
      </c>
      <c r="GIU115" s="196" t="s">
        <v>761</v>
      </c>
      <c r="GIV115" s="197" t="str">
        <f>VLOOKUP(GIU115,[13]AssetDetails_UEM!$A$3:$AH$1849,6,FALSE)</f>
        <v>Electrosurgical Units, Monopolar/Bipolar</v>
      </c>
      <c r="GIW115" s="196" t="s">
        <v>761</v>
      </c>
      <c r="GIX115" s="197" t="str">
        <f>VLOOKUP(GIW115,[13]AssetDetails_UEM!$A$3:$AH$1849,6,FALSE)</f>
        <v>Electrosurgical Units, Monopolar/Bipolar</v>
      </c>
      <c r="GIY115" s="196" t="s">
        <v>761</v>
      </c>
      <c r="GIZ115" s="197" t="str">
        <f>VLOOKUP(GIY115,[13]AssetDetails_UEM!$A$3:$AH$1849,6,FALSE)</f>
        <v>Electrosurgical Units, Monopolar/Bipolar</v>
      </c>
      <c r="GJA115" s="196" t="s">
        <v>761</v>
      </c>
      <c r="GJB115" s="197" t="str">
        <f>VLOOKUP(GJA115,[13]AssetDetails_UEM!$A$3:$AH$1849,6,FALSE)</f>
        <v>Electrosurgical Units, Monopolar/Bipolar</v>
      </c>
      <c r="GJC115" s="196" t="s">
        <v>761</v>
      </c>
      <c r="GJD115" s="197" t="str">
        <f>VLOOKUP(GJC115,[13]AssetDetails_UEM!$A$3:$AH$1849,6,FALSE)</f>
        <v>Electrosurgical Units, Monopolar/Bipolar</v>
      </c>
      <c r="GJE115" s="196" t="s">
        <v>761</v>
      </c>
      <c r="GJF115" s="197" t="str">
        <f>VLOOKUP(GJE115,[13]AssetDetails_UEM!$A$3:$AH$1849,6,FALSE)</f>
        <v>Electrosurgical Units, Monopolar/Bipolar</v>
      </c>
      <c r="GJG115" s="196" t="s">
        <v>761</v>
      </c>
      <c r="GJH115" s="197" t="str">
        <f>VLOOKUP(GJG115,[13]AssetDetails_UEM!$A$3:$AH$1849,6,FALSE)</f>
        <v>Electrosurgical Units, Monopolar/Bipolar</v>
      </c>
      <c r="GJI115" s="196" t="s">
        <v>761</v>
      </c>
      <c r="GJJ115" s="197" t="str">
        <f>VLOOKUP(GJI115,[13]AssetDetails_UEM!$A$3:$AH$1849,6,FALSE)</f>
        <v>Electrosurgical Units, Monopolar/Bipolar</v>
      </c>
      <c r="GJK115" s="196" t="s">
        <v>761</v>
      </c>
      <c r="GJL115" s="197" t="str">
        <f>VLOOKUP(GJK115,[13]AssetDetails_UEM!$A$3:$AH$1849,6,FALSE)</f>
        <v>Electrosurgical Units, Monopolar/Bipolar</v>
      </c>
      <c r="GJM115" s="196" t="s">
        <v>761</v>
      </c>
      <c r="GJN115" s="197" t="str">
        <f>VLOOKUP(GJM115,[13]AssetDetails_UEM!$A$3:$AH$1849,6,FALSE)</f>
        <v>Electrosurgical Units, Monopolar/Bipolar</v>
      </c>
      <c r="GJO115" s="196" t="s">
        <v>761</v>
      </c>
      <c r="GJP115" s="197" t="str">
        <f>VLOOKUP(GJO115,[13]AssetDetails_UEM!$A$3:$AH$1849,6,FALSE)</f>
        <v>Electrosurgical Units, Monopolar/Bipolar</v>
      </c>
      <c r="GJQ115" s="196" t="s">
        <v>761</v>
      </c>
      <c r="GJR115" s="197" t="str">
        <f>VLOOKUP(GJQ115,[13]AssetDetails_UEM!$A$3:$AH$1849,6,FALSE)</f>
        <v>Electrosurgical Units, Monopolar/Bipolar</v>
      </c>
      <c r="GJS115" s="196" t="s">
        <v>761</v>
      </c>
      <c r="GJT115" s="197" t="str">
        <f>VLOOKUP(GJS115,[13]AssetDetails_UEM!$A$3:$AH$1849,6,FALSE)</f>
        <v>Electrosurgical Units, Monopolar/Bipolar</v>
      </c>
      <c r="GJU115" s="196" t="s">
        <v>761</v>
      </c>
      <c r="GJV115" s="197" t="str">
        <f>VLOOKUP(GJU115,[13]AssetDetails_UEM!$A$3:$AH$1849,6,FALSE)</f>
        <v>Electrosurgical Units, Monopolar/Bipolar</v>
      </c>
      <c r="GJW115" s="196" t="s">
        <v>761</v>
      </c>
      <c r="GJX115" s="197" t="str">
        <f>VLOOKUP(GJW115,[13]AssetDetails_UEM!$A$3:$AH$1849,6,FALSE)</f>
        <v>Electrosurgical Units, Monopolar/Bipolar</v>
      </c>
      <c r="GJY115" s="196" t="s">
        <v>761</v>
      </c>
      <c r="GJZ115" s="197" t="str">
        <f>VLOOKUP(GJY115,[13]AssetDetails_UEM!$A$3:$AH$1849,6,FALSE)</f>
        <v>Electrosurgical Units, Monopolar/Bipolar</v>
      </c>
      <c r="GKA115" s="196" t="s">
        <v>761</v>
      </c>
      <c r="GKB115" s="197" t="str">
        <f>VLOOKUP(GKA115,[13]AssetDetails_UEM!$A$3:$AH$1849,6,FALSE)</f>
        <v>Electrosurgical Units, Monopolar/Bipolar</v>
      </c>
      <c r="GKC115" s="196" t="s">
        <v>761</v>
      </c>
      <c r="GKD115" s="197" t="str">
        <f>VLOOKUP(GKC115,[13]AssetDetails_UEM!$A$3:$AH$1849,6,FALSE)</f>
        <v>Electrosurgical Units, Monopolar/Bipolar</v>
      </c>
      <c r="GKE115" s="196" t="s">
        <v>761</v>
      </c>
      <c r="GKF115" s="197" t="str">
        <f>VLOOKUP(GKE115,[13]AssetDetails_UEM!$A$3:$AH$1849,6,FALSE)</f>
        <v>Electrosurgical Units, Monopolar/Bipolar</v>
      </c>
      <c r="GKG115" s="196" t="s">
        <v>761</v>
      </c>
      <c r="GKH115" s="197" t="str">
        <f>VLOOKUP(GKG115,[13]AssetDetails_UEM!$A$3:$AH$1849,6,FALSE)</f>
        <v>Electrosurgical Units, Monopolar/Bipolar</v>
      </c>
      <c r="GKI115" s="196" t="s">
        <v>761</v>
      </c>
      <c r="GKJ115" s="197" t="str">
        <f>VLOOKUP(GKI115,[13]AssetDetails_UEM!$A$3:$AH$1849,6,FALSE)</f>
        <v>Electrosurgical Units, Monopolar/Bipolar</v>
      </c>
      <c r="GKK115" s="196" t="s">
        <v>761</v>
      </c>
      <c r="GKL115" s="197" t="str">
        <f>VLOOKUP(GKK115,[13]AssetDetails_UEM!$A$3:$AH$1849,6,FALSE)</f>
        <v>Electrosurgical Units, Monopolar/Bipolar</v>
      </c>
      <c r="GKM115" s="196" t="s">
        <v>761</v>
      </c>
      <c r="GKN115" s="197" t="str">
        <f>VLOOKUP(GKM115,[13]AssetDetails_UEM!$A$3:$AH$1849,6,FALSE)</f>
        <v>Electrosurgical Units, Monopolar/Bipolar</v>
      </c>
      <c r="GKO115" s="196" t="s">
        <v>761</v>
      </c>
      <c r="GKP115" s="197" t="str">
        <f>VLOOKUP(GKO115,[13]AssetDetails_UEM!$A$3:$AH$1849,6,FALSE)</f>
        <v>Electrosurgical Units, Monopolar/Bipolar</v>
      </c>
      <c r="GKQ115" s="196" t="s">
        <v>761</v>
      </c>
      <c r="GKR115" s="197" t="str">
        <f>VLOOKUP(GKQ115,[13]AssetDetails_UEM!$A$3:$AH$1849,6,FALSE)</f>
        <v>Electrosurgical Units, Monopolar/Bipolar</v>
      </c>
      <c r="GKS115" s="196" t="s">
        <v>761</v>
      </c>
      <c r="GKT115" s="197" t="str">
        <f>VLOOKUP(GKS115,[13]AssetDetails_UEM!$A$3:$AH$1849,6,FALSE)</f>
        <v>Electrosurgical Units, Monopolar/Bipolar</v>
      </c>
      <c r="GKU115" s="196" t="s">
        <v>761</v>
      </c>
      <c r="GKV115" s="197" t="str">
        <f>VLOOKUP(GKU115,[13]AssetDetails_UEM!$A$3:$AH$1849,6,FALSE)</f>
        <v>Electrosurgical Units, Monopolar/Bipolar</v>
      </c>
      <c r="GKW115" s="196" t="s">
        <v>761</v>
      </c>
      <c r="GKX115" s="197" t="str">
        <f>VLOOKUP(GKW115,[13]AssetDetails_UEM!$A$3:$AH$1849,6,FALSE)</f>
        <v>Electrosurgical Units, Monopolar/Bipolar</v>
      </c>
      <c r="GKY115" s="196" t="s">
        <v>761</v>
      </c>
      <c r="GKZ115" s="197" t="str">
        <f>VLOOKUP(GKY115,[13]AssetDetails_UEM!$A$3:$AH$1849,6,FALSE)</f>
        <v>Electrosurgical Units, Monopolar/Bipolar</v>
      </c>
      <c r="GLA115" s="196" t="s">
        <v>761</v>
      </c>
      <c r="GLB115" s="197" t="str">
        <f>VLOOKUP(GLA115,[13]AssetDetails_UEM!$A$3:$AH$1849,6,FALSE)</f>
        <v>Electrosurgical Units, Monopolar/Bipolar</v>
      </c>
      <c r="GLC115" s="196" t="s">
        <v>761</v>
      </c>
      <c r="GLD115" s="197" t="str">
        <f>VLOOKUP(GLC115,[13]AssetDetails_UEM!$A$3:$AH$1849,6,FALSE)</f>
        <v>Electrosurgical Units, Monopolar/Bipolar</v>
      </c>
      <c r="GLE115" s="196" t="s">
        <v>761</v>
      </c>
      <c r="GLF115" s="197" t="str">
        <f>VLOOKUP(GLE115,[13]AssetDetails_UEM!$A$3:$AH$1849,6,FALSE)</f>
        <v>Electrosurgical Units, Monopolar/Bipolar</v>
      </c>
      <c r="GLG115" s="196" t="s">
        <v>761</v>
      </c>
      <c r="GLH115" s="197" t="str">
        <f>VLOOKUP(GLG115,[13]AssetDetails_UEM!$A$3:$AH$1849,6,FALSE)</f>
        <v>Electrosurgical Units, Monopolar/Bipolar</v>
      </c>
      <c r="GLI115" s="196" t="s">
        <v>761</v>
      </c>
      <c r="GLJ115" s="197" t="str">
        <f>VLOOKUP(GLI115,[13]AssetDetails_UEM!$A$3:$AH$1849,6,FALSE)</f>
        <v>Electrosurgical Units, Monopolar/Bipolar</v>
      </c>
      <c r="GLK115" s="196" t="s">
        <v>761</v>
      </c>
      <c r="GLL115" s="197" t="str">
        <f>VLOOKUP(GLK115,[13]AssetDetails_UEM!$A$3:$AH$1849,6,FALSE)</f>
        <v>Electrosurgical Units, Monopolar/Bipolar</v>
      </c>
      <c r="GLM115" s="196" t="s">
        <v>761</v>
      </c>
      <c r="GLN115" s="197" t="str">
        <f>VLOOKUP(GLM115,[13]AssetDetails_UEM!$A$3:$AH$1849,6,FALSE)</f>
        <v>Electrosurgical Units, Monopolar/Bipolar</v>
      </c>
      <c r="GLO115" s="196" t="s">
        <v>761</v>
      </c>
      <c r="GLP115" s="197" t="str">
        <f>VLOOKUP(GLO115,[13]AssetDetails_UEM!$A$3:$AH$1849,6,FALSE)</f>
        <v>Electrosurgical Units, Monopolar/Bipolar</v>
      </c>
      <c r="GLQ115" s="196" t="s">
        <v>761</v>
      </c>
      <c r="GLR115" s="197" t="str">
        <f>VLOOKUP(GLQ115,[13]AssetDetails_UEM!$A$3:$AH$1849,6,FALSE)</f>
        <v>Electrosurgical Units, Monopolar/Bipolar</v>
      </c>
      <c r="GLS115" s="196" t="s">
        <v>761</v>
      </c>
      <c r="GLT115" s="197" t="str">
        <f>VLOOKUP(GLS115,[13]AssetDetails_UEM!$A$3:$AH$1849,6,FALSE)</f>
        <v>Electrosurgical Units, Monopolar/Bipolar</v>
      </c>
      <c r="GLU115" s="196" t="s">
        <v>761</v>
      </c>
      <c r="GLV115" s="197" t="str">
        <f>VLOOKUP(GLU115,[13]AssetDetails_UEM!$A$3:$AH$1849,6,FALSE)</f>
        <v>Electrosurgical Units, Monopolar/Bipolar</v>
      </c>
      <c r="GLW115" s="196" t="s">
        <v>761</v>
      </c>
      <c r="GLX115" s="197" t="str">
        <f>VLOOKUP(GLW115,[13]AssetDetails_UEM!$A$3:$AH$1849,6,FALSE)</f>
        <v>Electrosurgical Units, Monopolar/Bipolar</v>
      </c>
      <c r="GLY115" s="196" t="s">
        <v>761</v>
      </c>
      <c r="GLZ115" s="197" t="str">
        <f>VLOOKUP(GLY115,[13]AssetDetails_UEM!$A$3:$AH$1849,6,FALSE)</f>
        <v>Electrosurgical Units, Monopolar/Bipolar</v>
      </c>
      <c r="GMA115" s="196" t="s">
        <v>761</v>
      </c>
      <c r="GMB115" s="197" t="str">
        <f>VLOOKUP(GMA115,[13]AssetDetails_UEM!$A$3:$AH$1849,6,FALSE)</f>
        <v>Electrosurgical Units, Monopolar/Bipolar</v>
      </c>
      <c r="GMC115" s="196" t="s">
        <v>761</v>
      </c>
      <c r="GMD115" s="197" t="str">
        <f>VLOOKUP(GMC115,[13]AssetDetails_UEM!$A$3:$AH$1849,6,FALSE)</f>
        <v>Electrosurgical Units, Monopolar/Bipolar</v>
      </c>
      <c r="GME115" s="196" t="s">
        <v>761</v>
      </c>
      <c r="GMF115" s="197" t="str">
        <f>VLOOKUP(GME115,[13]AssetDetails_UEM!$A$3:$AH$1849,6,FALSE)</f>
        <v>Electrosurgical Units, Monopolar/Bipolar</v>
      </c>
      <c r="GMG115" s="196" t="s">
        <v>761</v>
      </c>
      <c r="GMH115" s="197" t="str">
        <f>VLOOKUP(GMG115,[13]AssetDetails_UEM!$A$3:$AH$1849,6,FALSE)</f>
        <v>Electrosurgical Units, Monopolar/Bipolar</v>
      </c>
      <c r="GMI115" s="196" t="s">
        <v>761</v>
      </c>
      <c r="GMJ115" s="197" t="str">
        <f>VLOOKUP(GMI115,[13]AssetDetails_UEM!$A$3:$AH$1849,6,FALSE)</f>
        <v>Electrosurgical Units, Monopolar/Bipolar</v>
      </c>
      <c r="GMK115" s="196" t="s">
        <v>761</v>
      </c>
      <c r="GML115" s="197" t="str">
        <f>VLOOKUP(GMK115,[13]AssetDetails_UEM!$A$3:$AH$1849,6,FALSE)</f>
        <v>Electrosurgical Units, Monopolar/Bipolar</v>
      </c>
      <c r="GMM115" s="196" t="s">
        <v>761</v>
      </c>
      <c r="GMN115" s="197" t="str">
        <f>VLOOKUP(GMM115,[13]AssetDetails_UEM!$A$3:$AH$1849,6,FALSE)</f>
        <v>Electrosurgical Units, Monopolar/Bipolar</v>
      </c>
      <c r="GMO115" s="196" t="s">
        <v>761</v>
      </c>
      <c r="GMP115" s="197" t="str">
        <f>VLOOKUP(GMO115,[13]AssetDetails_UEM!$A$3:$AH$1849,6,FALSE)</f>
        <v>Electrosurgical Units, Monopolar/Bipolar</v>
      </c>
      <c r="GMQ115" s="196" t="s">
        <v>761</v>
      </c>
      <c r="GMR115" s="197" t="str">
        <f>VLOOKUP(GMQ115,[13]AssetDetails_UEM!$A$3:$AH$1849,6,FALSE)</f>
        <v>Electrosurgical Units, Monopolar/Bipolar</v>
      </c>
      <c r="GMS115" s="196" t="s">
        <v>761</v>
      </c>
      <c r="GMT115" s="197" t="str">
        <f>VLOOKUP(GMS115,[13]AssetDetails_UEM!$A$3:$AH$1849,6,FALSE)</f>
        <v>Electrosurgical Units, Monopolar/Bipolar</v>
      </c>
      <c r="GMU115" s="196" t="s">
        <v>761</v>
      </c>
      <c r="GMV115" s="197" t="str">
        <f>VLOOKUP(GMU115,[13]AssetDetails_UEM!$A$3:$AH$1849,6,FALSE)</f>
        <v>Electrosurgical Units, Monopolar/Bipolar</v>
      </c>
      <c r="GMW115" s="196" t="s">
        <v>761</v>
      </c>
      <c r="GMX115" s="197" t="str">
        <f>VLOOKUP(GMW115,[13]AssetDetails_UEM!$A$3:$AH$1849,6,FALSE)</f>
        <v>Electrosurgical Units, Monopolar/Bipolar</v>
      </c>
      <c r="GMY115" s="196" t="s">
        <v>761</v>
      </c>
      <c r="GMZ115" s="197" t="str">
        <f>VLOOKUP(GMY115,[13]AssetDetails_UEM!$A$3:$AH$1849,6,FALSE)</f>
        <v>Electrosurgical Units, Monopolar/Bipolar</v>
      </c>
      <c r="GNA115" s="196" t="s">
        <v>761</v>
      </c>
      <c r="GNB115" s="197" t="str">
        <f>VLOOKUP(GNA115,[13]AssetDetails_UEM!$A$3:$AH$1849,6,FALSE)</f>
        <v>Electrosurgical Units, Monopolar/Bipolar</v>
      </c>
      <c r="GNC115" s="196" t="s">
        <v>761</v>
      </c>
      <c r="GND115" s="197" t="str">
        <f>VLOOKUP(GNC115,[13]AssetDetails_UEM!$A$3:$AH$1849,6,FALSE)</f>
        <v>Electrosurgical Units, Monopolar/Bipolar</v>
      </c>
      <c r="GNE115" s="196" t="s">
        <v>761</v>
      </c>
      <c r="GNF115" s="197" t="str">
        <f>VLOOKUP(GNE115,[13]AssetDetails_UEM!$A$3:$AH$1849,6,FALSE)</f>
        <v>Electrosurgical Units, Monopolar/Bipolar</v>
      </c>
      <c r="GNG115" s="196" t="s">
        <v>761</v>
      </c>
      <c r="GNH115" s="197" t="str">
        <f>VLOOKUP(GNG115,[13]AssetDetails_UEM!$A$3:$AH$1849,6,FALSE)</f>
        <v>Electrosurgical Units, Monopolar/Bipolar</v>
      </c>
      <c r="GNI115" s="196" t="s">
        <v>761</v>
      </c>
      <c r="GNJ115" s="197" t="str">
        <f>VLOOKUP(GNI115,[13]AssetDetails_UEM!$A$3:$AH$1849,6,FALSE)</f>
        <v>Electrosurgical Units, Monopolar/Bipolar</v>
      </c>
      <c r="GNK115" s="196" t="s">
        <v>761</v>
      </c>
      <c r="GNL115" s="197" t="str">
        <f>VLOOKUP(GNK115,[13]AssetDetails_UEM!$A$3:$AH$1849,6,FALSE)</f>
        <v>Electrosurgical Units, Monopolar/Bipolar</v>
      </c>
      <c r="GNM115" s="196" t="s">
        <v>761</v>
      </c>
      <c r="GNN115" s="197" t="str">
        <f>VLOOKUP(GNM115,[13]AssetDetails_UEM!$A$3:$AH$1849,6,FALSE)</f>
        <v>Electrosurgical Units, Monopolar/Bipolar</v>
      </c>
      <c r="GNO115" s="196" t="s">
        <v>761</v>
      </c>
      <c r="GNP115" s="197" t="str">
        <f>VLOOKUP(GNO115,[13]AssetDetails_UEM!$A$3:$AH$1849,6,FALSE)</f>
        <v>Electrosurgical Units, Monopolar/Bipolar</v>
      </c>
      <c r="GNQ115" s="196" t="s">
        <v>761</v>
      </c>
      <c r="GNR115" s="197" t="str">
        <f>VLOOKUP(GNQ115,[13]AssetDetails_UEM!$A$3:$AH$1849,6,FALSE)</f>
        <v>Electrosurgical Units, Monopolar/Bipolar</v>
      </c>
      <c r="GNS115" s="196" t="s">
        <v>761</v>
      </c>
      <c r="GNT115" s="197" t="str">
        <f>VLOOKUP(GNS115,[13]AssetDetails_UEM!$A$3:$AH$1849,6,FALSE)</f>
        <v>Electrosurgical Units, Monopolar/Bipolar</v>
      </c>
      <c r="GNU115" s="196" t="s">
        <v>761</v>
      </c>
      <c r="GNV115" s="197" t="str">
        <f>VLOOKUP(GNU115,[13]AssetDetails_UEM!$A$3:$AH$1849,6,FALSE)</f>
        <v>Electrosurgical Units, Monopolar/Bipolar</v>
      </c>
      <c r="GNW115" s="196" t="s">
        <v>761</v>
      </c>
      <c r="GNX115" s="197" t="str">
        <f>VLOOKUP(GNW115,[13]AssetDetails_UEM!$A$3:$AH$1849,6,FALSE)</f>
        <v>Electrosurgical Units, Monopolar/Bipolar</v>
      </c>
      <c r="GNY115" s="196" t="s">
        <v>761</v>
      </c>
      <c r="GNZ115" s="197" t="str">
        <f>VLOOKUP(GNY115,[13]AssetDetails_UEM!$A$3:$AH$1849,6,FALSE)</f>
        <v>Electrosurgical Units, Monopolar/Bipolar</v>
      </c>
      <c r="GOA115" s="196" t="s">
        <v>761</v>
      </c>
      <c r="GOB115" s="197" t="str">
        <f>VLOOKUP(GOA115,[13]AssetDetails_UEM!$A$3:$AH$1849,6,FALSE)</f>
        <v>Electrosurgical Units, Monopolar/Bipolar</v>
      </c>
      <c r="GOC115" s="196" t="s">
        <v>761</v>
      </c>
      <c r="GOD115" s="197" t="str">
        <f>VLOOKUP(GOC115,[13]AssetDetails_UEM!$A$3:$AH$1849,6,FALSE)</f>
        <v>Electrosurgical Units, Monopolar/Bipolar</v>
      </c>
      <c r="GOE115" s="196" t="s">
        <v>761</v>
      </c>
      <c r="GOF115" s="197" t="str">
        <f>VLOOKUP(GOE115,[13]AssetDetails_UEM!$A$3:$AH$1849,6,FALSE)</f>
        <v>Electrosurgical Units, Monopolar/Bipolar</v>
      </c>
      <c r="GOG115" s="196" t="s">
        <v>761</v>
      </c>
      <c r="GOH115" s="197" t="str">
        <f>VLOOKUP(GOG115,[13]AssetDetails_UEM!$A$3:$AH$1849,6,FALSE)</f>
        <v>Electrosurgical Units, Monopolar/Bipolar</v>
      </c>
      <c r="GOI115" s="196" t="s">
        <v>761</v>
      </c>
      <c r="GOJ115" s="197" t="str">
        <f>VLOOKUP(GOI115,[13]AssetDetails_UEM!$A$3:$AH$1849,6,FALSE)</f>
        <v>Electrosurgical Units, Monopolar/Bipolar</v>
      </c>
      <c r="GOK115" s="196" t="s">
        <v>761</v>
      </c>
      <c r="GOL115" s="197" t="str">
        <f>VLOOKUP(GOK115,[13]AssetDetails_UEM!$A$3:$AH$1849,6,FALSE)</f>
        <v>Electrosurgical Units, Monopolar/Bipolar</v>
      </c>
      <c r="GOM115" s="196" t="s">
        <v>761</v>
      </c>
      <c r="GON115" s="197" t="str">
        <f>VLOOKUP(GOM115,[13]AssetDetails_UEM!$A$3:$AH$1849,6,FALSE)</f>
        <v>Electrosurgical Units, Monopolar/Bipolar</v>
      </c>
      <c r="GOO115" s="196" t="s">
        <v>761</v>
      </c>
      <c r="GOP115" s="197" t="str">
        <f>VLOOKUP(GOO115,[13]AssetDetails_UEM!$A$3:$AH$1849,6,FALSE)</f>
        <v>Electrosurgical Units, Monopolar/Bipolar</v>
      </c>
      <c r="GOQ115" s="196" t="s">
        <v>761</v>
      </c>
      <c r="GOR115" s="197" t="str">
        <f>VLOOKUP(GOQ115,[13]AssetDetails_UEM!$A$3:$AH$1849,6,FALSE)</f>
        <v>Electrosurgical Units, Monopolar/Bipolar</v>
      </c>
      <c r="GOS115" s="196" t="s">
        <v>761</v>
      </c>
      <c r="GOT115" s="197" t="str">
        <f>VLOOKUP(GOS115,[13]AssetDetails_UEM!$A$3:$AH$1849,6,FALSE)</f>
        <v>Electrosurgical Units, Monopolar/Bipolar</v>
      </c>
      <c r="GOU115" s="196" t="s">
        <v>761</v>
      </c>
      <c r="GOV115" s="197" t="str">
        <f>VLOOKUP(GOU115,[13]AssetDetails_UEM!$A$3:$AH$1849,6,FALSE)</f>
        <v>Electrosurgical Units, Monopolar/Bipolar</v>
      </c>
      <c r="GOW115" s="196" t="s">
        <v>761</v>
      </c>
      <c r="GOX115" s="197" t="str">
        <f>VLOOKUP(GOW115,[13]AssetDetails_UEM!$A$3:$AH$1849,6,FALSE)</f>
        <v>Electrosurgical Units, Monopolar/Bipolar</v>
      </c>
      <c r="GOY115" s="196" t="s">
        <v>761</v>
      </c>
      <c r="GOZ115" s="197" t="str">
        <f>VLOOKUP(GOY115,[13]AssetDetails_UEM!$A$3:$AH$1849,6,FALSE)</f>
        <v>Electrosurgical Units, Monopolar/Bipolar</v>
      </c>
      <c r="GPA115" s="196" t="s">
        <v>761</v>
      </c>
      <c r="GPB115" s="197" t="str">
        <f>VLOOKUP(GPA115,[13]AssetDetails_UEM!$A$3:$AH$1849,6,FALSE)</f>
        <v>Electrosurgical Units, Monopolar/Bipolar</v>
      </c>
      <c r="GPC115" s="196" t="s">
        <v>761</v>
      </c>
      <c r="GPD115" s="197" t="str">
        <f>VLOOKUP(GPC115,[13]AssetDetails_UEM!$A$3:$AH$1849,6,FALSE)</f>
        <v>Electrosurgical Units, Monopolar/Bipolar</v>
      </c>
      <c r="GPE115" s="196" t="s">
        <v>761</v>
      </c>
      <c r="GPF115" s="197" t="str">
        <f>VLOOKUP(GPE115,[13]AssetDetails_UEM!$A$3:$AH$1849,6,FALSE)</f>
        <v>Electrosurgical Units, Monopolar/Bipolar</v>
      </c>
      <c r="GPG115" s="196" t="s">
        <v>761</v>
      </c>
      <c r="GPH115" s="197" t="str">
        <f>VLOOKUP(GPG115,[13]AssetDetails_UEM!$A$3:$AH$1849,6,FALSE)</f>
        <v>Electrosurgical Units, Monopolar/Bipolar</v>
      </c>
      <c r="GPI115" s="196" t="s">
        <v>761</v>
      </c>
      <c r="GPJ115" s="197" t="str">
        <f>VLOOKUP(GPI115,[13]AssetDetails_UEM!$A$3:$AH$1849,6,FALSE)</f>
        <v>Electrosurgical Units, Monopolar/Bipolar</v>
      </c>
      <c r="GPK115" s="196" t="s">
        <v>761</v>
      </c>
      <c r="GPL115" s="197" t="str">
        <f>VLOOKUP(GPK115,[13]AssetDetails_UEM!$A$3:$AH$1849,6,FALSE)</f>
        <v>Electrosurgical Units, Monopolar/Bipolar</v>
      </c>
      <c r="GPM115" s="196" t="s">
        <v>761</v>
      </c>
      <c r="GPN115" s="197" t="str">
        <f>VLOOKUP(GPM115,[13]AssetDetails_UEM!$A$3:$AH$1849,6,FALSE)</f>
        <v>Electrosurgical Units, Monopolar/Bipolar</v>
      </c>
      <c r="GPO115" s="196" t="s">
        <v>761</v>
      </c>
      <c r="GPP115" s="197" t="str">
        <f>VLOOKUP(GPO115,[13]AssetDetails_UEM!$A$3:$AH$1849,6,FALSE)</f>
        <v>Electrosurgical Units, Monopolar/Bipolar</v>
      </c>
      <c r="GPQ115" s="196" t="s">
        <v>761</v>
      </c>
      <c r="GPR115" s="197" t="str">
        <f>VLOOKUP(GPQ115,[13]AssetDetails_UEM!$A$3:$AH$1849,6,FALSE)</f>
        <v>Electrosurgical Units, Monopolar/Bipolar</v>
      </c>
      <c r="GPS115" s="196" t="s">
        <v>761</v>
      </c>
      <c r="GPT115" s="197" t="str">
        <f>VLOOKUP(GPS115,[13]AssetDetails_UEM!$A$3:$AH$1849,6,FALSE)</f>
        <v>Electrosurgical Units, Monopolar/Bipolar</v>
      </c>
      <c r="GPU115" s="196" t="s">
        <v>761</v>
      </c>
      <c r="GPV115" s="197" t="str">
        <f>VLOOKUP(GPU115,[13]AssetDetails_UEM!$A$3:$AH$1849,6,FALSE)</f>
        <v>Electrosurgical Units, Monopolar/Bipolar</v>
      </c>
      <c r="GPW115" s="196" t="s">
        <v>761</v>
      </c>
      <c r="GPX115" s="197" t="str">
        <f>VLOOKUP(GPW115,[13]AssetDetails_UEM!$A$3:$AH$1849,6,FALSE)</f>
        <v>Electrosurgical Units, Monopolar/Bipolar</v>
      </c>
      <c r="GPY115" s="196" t="s">
        <v>761</v>
      </c>
      <c r="GPZ115" s="197" t="str">
        <f>VLOOKUP(GPY115,[13]AssetDetails_UEM!$A$3:$AH$1849,6,FALSE)</f>
        <v>Electrosurgical Units, Monopolar/Bipolar</v>
      </c>
      <c r="GQA115" s="196" t="s">
        <v>761</v>
      </c>
      <c r="GQB115" s="197" t="str">
        <f>VLOOKUP(GQA115,[13]AssetDetails_UEM!$A$3:$AH$1849,6,FALSE)</f>
        <v>Electrosurgical Units, Monopolar/Bipolar</v>
      </c>
      <c r="GQC115" s="196" t="s">
        <v>761</v>
      </c>
      <c r="GQD115" s="197" t="str">
        <f>VLOOKUP(GQC115,[13]AssetDetails_UEM!$A$3:$AH$1849,6,FALSE)</f>
        <v>Electrosurgical Units, Monopolar/Bipolar</v>
      </c>
      <c r="GQE115" s="196" t="s">
        <v>761</v>
      </c>
      <c r="GQF115" s="197" t="str">
        <f>VLOOKUP(GQE115,[13]AssetDetails_UEM!$A$3:$AH$1849,6,FALSE)</f>
        <v>Electrosurgical Units, Monopolar/Bipolar</v>
      </c>
      <c r="GQG115" s="196" t="s">
        <v>761</v>
      </c>
      <c r="GQH115" s="197" t="str">
        <f>VLOOKUP(GQG115,[13]AssetDetails_UEM!$A$3:$AH$1849,6,FALSE)</f>
        <v>Electrosurgical Units, Monopolar/Bipolar</v>
      </c>
      <c r="GQI115" s="196" t="s">
        <v>761</v>
      </c>
      <c r="GQJ115" s="197" t="str">
        <f>VLOOKUP(GQI115,[13]AssetDetails_UEM!$A$3:$AH$1849,6,FALSE)</f>
        <v>Electrosurgical Units, Monopolar/Bipolar</v>
      </c>
      <c r="GQK115" s="196" t="s">
        <v>761</v>
      </c>
      <c r="GQL115" s="197" t="str">
        <f>VLOOKUP(GQK115,[13]AssetDetails_UEM!$A$3:$AH$1849,6,FALSE)</f>
        <v>Electrosurgical Units, Monopolar/Bipolar</v>
      </c>
      <c r="GQM115" s="196" t="s">
        <v>761</v>
      </c>
      <c r="GQN115" s="197" t="str">
        <f>VLOOKUP(GQM115,[13]AssetDetails_UEM!$A$3:$AH$1849,6,FALSE)</f>
        <v>Electrosurgical Units, Monopolar/Bipolar</v>
      </c>
      <c r="GQO115" s="196" t="s">
        <v>761</v>
      </c>
      <c r="GQP115" s="197" t="str">
        <f>VLOOKUP(GQO115,[13]AssetDetails_UEM!$A$3:$AH$1849,6,FALSE)</f>
        <v>Electrosurgical Units, Monopolar/Bipolar</v>
      </c>
      <c r="GQQ115" s="196" t="s">
        <v>761</v>
      </c>
      <c r="GQR115" s="197" t="str">
        <f>VLOOKUP(GQQ115,[13]AssetDetails_UEM!$A$3:$AH$1849,6,FALSE)</f>
        <v>Electrosurgical Units, Monopolar/Bipolar</v>
      </c>
      <c r="GQS115" s="196" t="s">
        <v>761</v>
      </c>
      <c r="GQT115" s="197" t="str">
        <f>VLOOKUP(GQS115,[13]AssetDetails_UEM!$A$3:$AH$1849,6,FALSE)</f>
        <v>Electrosurgical Units, Monopolar/Bipolar</v>
      </c>
      <c r="GQU115" s="196" t="s">
        <v>761</v>
      </c>
      <c r="GQV115" s="197" t="str">
        <f>VLOOKUP(GQU115,[13]AssetDetails_UEM!$A$3:$AH$1849,6,FALSE)</f>
        <v>Electrosurgical Units, Monopolar/Bipolar</v>
      </c>
      <c r="GQW115" s="196" t="s">
        <v>761</v>
      </c>
      <c r="GQX115" s="197" t="str">
        <f>VLOOKUP(GQW115,[13]AssetDetails_UEM!$A$3:$AH$1849,6,FALSE)</f>
        <v>Electrosurgical Units, Monopolar/Bipolar</v>
      </c>
      <c r="GQY115" s="196" t="s">
        <v>761</v>
      </c>
      <c r="GQZ115" s="197" t="str">
        <f>VLOOKUP(GQY115,[13]AssetDetails_UEM!$A$3:$AH$1849,6,FALSE)</f>
        <v>Electrosurgical Units, Monopolar/Bipolar</v>
      </c>
      <c r="GRA115" s="196" t="s">
        <v>761</v>
      </c>
      <c r="GRB115" s="197" t="str">
        <f>VLOOKUP(GRA115,[13]AssetDetails_UEM!$A$3:$AH$1849,6,FALSE)</f>
        <v>Electrosurgical Units, Monopolar/Bipolar</v>
      </c>
      <c r="GRC115" s="196" t="s">
        <v>761</v>
      </c>
      <c r="GRD115" s="197" t="str">
        <f>VLOOKUP(GRC115,[13]AssetDetails_UEM!$A$3:$AH$1849,6,FALSE)</f>
        <v>Electrosurgical Units, Monopolar/Bipolar</v>
      </c>
      <c r="GRE115" s="196" t="s">
        <v>761</v>
      </c>
      <c r="GRF115" s="197" t="str">
        <f>VLOOKUP(GRE115,[13]AssetDetails_UEM!$A$3:$AH$1849,6,FALSE)</f>
        <v>Electrosurgical Units, Monopolar/Bipolar</v>
      </c>
      <c r="GRG115" s="196" t="s">
        <v>761</v>
      </c>
      <c r="GRH115" s="197" t="str">
        <f>VLOOKUP(GRG115,[13]AssetDetails_UEM!$A$3:$AH$1849,6,FALSE)</f>
        <v>Electrosurgical Units, Monopolar/Bipolar</v>
      </c>
      <c r="GRI115" s="196" t="s">
        <v>761</v>
      </c>
      <c r="GRJ115" s="197" t="str">
        <f>VLOOKUP(GRI115,[13]AssetDetails_UEM!$A$3:$AH$1849,6,FALSE)</f>
        <v>Electrosurgical Units, Monopolar/Bipolar</v>
      </c>
      <c r="GRK115" s="196" t="s">
        <v>761</v>
      </c>
      <c r="GRL115" s="197" t="str">
        <f>VLOOKUP(GRK115,[13]AssetDetails_UEM!$A$3:$AH$1849,6,FALSE)</f>
        <v>Electrosurgical Units, Monopolar/Bipolar</v>
      </c>
      <c r="GRM115" s="196" t="s">
        <v>761</v>
      </c>
      <c r="GRN115" s="197" t="str">
        <f>VLOOKUP(GRM115,[13]AssetDetails_UEM!$A$3:$AH$1849,6,FALSE)</f>
        <v>Electrosurgical Units, Monopolar/Bipolar</v>
      </c>
      <c r="GRO115" s="196" t="s">
        <v>761</v>
      </c>
      <c r="GRP115" s="197" t="str">
        <f>VLOOKUP(GRO115,[13]AssetDetails_UEM!$A$3:$AH$1849,6,FALSE)</f>
        <v>Electrosurgical Units, Monopolar/Bipolar</v>
      </c>
      <c r="GRQ115" s="196" t="s">
        <v>761</v>
      </c>
      <c r="GRR115" s="197" t="str">
        <f>VLOOKUP(GRQ115,[13]AssetDetails_UEM!$A$3:$AH$1849,6,FALSE)</f>
        <v>Electrosurgical Units, Monopolar/Bipolar</v>
      </c>
      <c r="GRS115" s="196" t="s">
        <v>761</v>
      </c>
      <c r="GRT115" s="197" t="str">
        <f>VLOOKUP(GRS115,[13]AssetDetails_UEM!$A$3:$AH$1849,6,FALSE)</f>
        <v>Electrosurgical Units, Monopolar/Bipolar</v>
      </c>
      <c r="GRU115" s="196" t="s">
        <v>761</v>
      </c>
      <c r="GRV115" s="197" t="str">
        <f>VLOOKUP(GRU115,[13]AssetDetails_UEM!$A$3:$AH$1849,6,FALSE)</f>
        <v>Electrosurgical Units, Monopolar/Bipolar</v>
      </c>
      <c r="GRW115" s="196" t="s">
        <v>761</v>
      </c>
      <c r="GRX115" s="197" t="str">
        <f>VLOOKUP(GRW115,[13]AssetDetails_UEM!$A$3:$AH$1849,6,FALSE)</f>
        <v>Electrosurgical Units, Monopolar/Bipolar</v>
      </c>
      <c r="GRY115" s="196" t="s">
        <v>761</v>
      </c>
      <c r="GRZ115" s="197" t="str">
        <f>VLOOKUP(GRY115,[13]AssetDetails_UEM!$A$3:$AH$1849,6,FALSE)</f>
        <v>Electrosurgical Units, Monopolar/Bipolar</v>
      </c>
      <c r="GSA115" s="196" t="s">
        <v>761</v>
      </c>
      <c r="GSB115" s="197" t="str">
        <f>VLOOKUP(GSA115,[13]AssetDetails_UEM!$A$3:$AH$1849,6,FALSE)</f>
        <v>Electrosurgical Units, Monopolar/Bipolar</v>
      </c>
      <c r="GSC115" s="196" t="s">
        <v>761</v>
      </c>
      <c r="GSD115" s="197" t="str">
        <f>VLOOKUP(GSC115,[13]AssetDetails_UEM!$A$3:$AH$1849,6,FALSE)</f>
        <v>Electrosurgical Units, Monopolar/Bipolar</v>
      </c>
      <c r="GSE115" s="196" t="s">
        <v>761</v>
      </c>
      <c r="GSF115" s="197" t="str">
        <f>VLOOKUP(GSE115,[13]AssetDetails_UEM!$A$3:$AH$1849,6,FALSE)</f>
        <v>Electrosurgical Units, Monopolar/Bipolar</v>
      </c>
      <c r="GSG115" s="196" t="s">
        <v>761</v>
      </c>
      <c r="GSH115" s="197" t="str">
        <f>VLOOKUP(GSG115,[13]AssetDetails_UEM!$A$3:$AH$1849,6,FALSE)</f>
        <v>Electrosurgical Units, Monopolar/Bipolar</v>
      </c>
      <c r="GSI115" s="196" t="s">
        <v>761</v>
      </c>
      <c r="GSJ115" s="197" t="str">
        <f>VLOOKUP(GSI115,[13]AssetDetails_UEM!$A$3:$AH$1849,6,FALSE)</f>
        <v>Electrosurgical Units, Monopolar/Bipolar</v>
      </c>
      <c r="GSK115" s="196" t="s">
        <v>761</v>
      </c>
      <c r="GSL115" s="197" t="str">
        <f>VLOOKUP(GSK115,[13]AssetDetails_UEM!$A$3:$AH$1849,6,FALSE)</f>
        <v>Electrosurgical Units, Monopolar/Bipolar</v>
      </c>
      <c r="GSM115" s="196" t="s">
        <v>761</v>
      </c>
      <c r="GSN115" s="197" t="str">
        <f>VLOOKUP(GSM115,[13]AssetDetails_UEM!$A$3:$AH$1849,6,FALSE)</f>
        <v>Electrosurgical Units, Monopolar/Bipolar</v>
      </c>
      <c r="GSO115" s="196" t="s">
        <v>761</v>
      </c>
      <c r="GSP115" s="197" t="str">
        <f>VLOOKUP(GSO115,[13]AssetDetails_UEM!$A$3:$AH$1849,6,FALSE)</f>
        <v>Electrosurgical Units, Monopolar/Bipolar</v>
      </c>
      <c r="GSQ115" s="196" t="s">
        <v>761</v>
      </c>
      <c r="GSR115" s="197" t="str">
        <f>VLOOKUP(GSQ115,[13]AssetDetails_UEM!$A$3:$AH$1849,6,FALSE)</f>
        <v>Electrosurgical Units, Monopolar/Bipolar</v>
      </c>
      <c r="GSS115" s="196" t="s">
        <v>761</v>
      </c>
      <c r="GST115" s="197" t="str">
        <f>VLOOKUP(GSS115,[13]AssetDetails_UEM!$A$3:$AH$1849,6,FALSE)</f>
        <v>Electrosurgical Units, Monopolar/Bipolar</v>
      </c>
      <c r="GSU115" s="196" t="s">
        <v>761</v>
      </c>
      <c r="GSV115" s="197" t="str">
        <f>VLOOKUP(GSU115,[13]AssetDetails_UEM!$A$3:$AH$1849,6,FALSE)</f>
        <v>Electrosurgical Units, Monopolar/Bipolar</v>
      </c>
      <c r="GSW115" s="196" t="s">
        <v>761</v>
      </c>
      <c r="GSX115" s="197" t="str">
        <f>VLOOKUP(GSW115,[13]AssetDetails_UEM!$A$3:$AH$1849,6,FALSE)</f>
        <v>Electrosurgical Units, Monopolar/Bipolar</v>
      </c>
      <c r="GSY115" s="196" t="s">
        <v>761</v>
      </c>
      <c r="GSZ115" s="197" t="str">
        <f>VLOOKUP(GSY115,[13]AssetDetails_UEM!$A$3:$AH$1849,6,FALSE)</f>
        <v>Electrosurgical Units, Monopolar/Bipolar</v>
      </c>
      <c r="GTA115" s="196" t="s">
        <v>761</v>
      </c>
      <c r="GTB115" s="197" t="str">
        <f>VLOOKUP(GTA115,[13]AssetDetails_UEM!$A$3:$AH$1849,6,FALSE)</f>
        <v>Electrosurgical Units, Monopolar/Bipolar</v>
      </c>
      <c r="GTC115" s="196" t="s">
        <v>761</v>
      </c>
      <c r="GTD115" s="197" t="str">
        <f>VLOOKUP(GTC115,[13]AssetDetails_UEM!$A$3:$AH$1849,6,FALSE)</f>
        <v>Electrosurgical Units, Monopolar/Bipolar</v>
      </c>
      <c r="GTE115" s="196" t="s">
        <v>761</v>
      </c>
      <c r="GTF115" s="197" t="str">
        <f>VLOOKUP(GTE115,[13]AssetDetails_UEM!$A$3:$AH$1849,6,FALSE)</f>
        <v>Electrosurgical Units, Monopolar/Bipolar</v>
      </c>
      <c r="GTG115" s="196" t="s">
        <v>761</v>
      </c>
      <c r="GTH115" s="197" t="str">
        <f>VLOOKUP(GTG115,[13]AssetDetails_UEM!$A$3:$AH$1849,6,FALSE)</f>
        <v>Electrosurgical Units, Monopolar/Bipolar</v>
      </c>
      <c r="GTI115" s="196" t="s">
        <v>761</v>
      </c>
      <c r="GTJ115" s="197" t="str">
        <f>VLOOKUP(GTI115,[13]AssetDetails_UEM!$A$3:$AH$1849,6,FALSE)</f>
        <v>Electrosurgical Units, Monopolar/Bipolar</v>
      </c>
      <c r="GTK115" s="196" t="s">
        <v>761</v>
      </c>
      <c r="GTL115" s="197" t="str">
        <f>VLOOKUP(GTK115,[13]AssetDetails_UEM!$A$3:$AH$1849,6,FALSE)</f>
        <v>Electrosurgical Units, Monopolar/Bipolar</v>
      </c>
      <c r="GTM115" s="196" t="s">
        <v>761</v>
      </c>
      <c r="GTN115" s="197" t="str">
        <f>VLOOKUP(GTM115,[13]AssetDetails_UEM!$A$3:$AH$1849,6,FALSE)</f>
        <v>Electrosurgical Units, Monopolar/Bipolar</v>
      </c>
      <c r="GTO115" s="196" t="s">
        <v>761</v>
      </c>
      <c r="GTP115" s="197" t="str">
        <f>VLOOKUP(GTO115,[13]AssetDetails_UEM!$A$3:$AH$1849,6,FALSE)</f>
        <v>Electrosurgical Units, Monopolar/Bipolar</v>
      </c>
      <c r="GTQ115" s="196" t="s">
        <v>761</v>
      </c>
      <c r="GTR115" s="197" t="str">
        <f>VLOOKUP(GTQ115,[13]AssetDetails_UEM!$A$3:$AH$1849,6,FALSE)</f>
        <v>Electrosurgical Units, Monopolar/Bipolar</v>
      </c>
      <c r="GTS115" s="196" t="s">
        <v>761</v>
      </c>
      <c r="GTT115" s="197" t="str">
        <f>VLOOKUP(GTS115,[13]AssetDetails_UEM!$A$3:$AH$1849,6,FALSE)</f>
        <v>Electrosurgical Units, Monopolar/Bipolar</v>
      </c>
      <c r="GTU115" s="196" t="s">
        <v>761</v>
      </c>
      <c r="GTV115" s="197" t="str">
        <f>VLOOKUP(GTU115,[13]AssetDetails_UEM!$A$3:$AH$1849,6,FALSE)</f>
        <v>Electrosurgical Units, Monopolar/Bipolar</v>
      </c>
      <c r="GTW115" s="196" t="s">
        <v>761</v>
      </c>
      <c r="GTX115" s="197" t="str">
        <f>VLOOKUP(GTW115,[13]AssetDetails_UEM!$A$3:$AH$1849,6,FALSE)</f>
        <v>Electrosurgical Units, Monopolar/Bipolar</v>
      </c>
      <c r="GTY115" s="196" t="s">
        <v>761</v>
      </c>
      <c r="GTZ115" s="197" t="str">
        <f>VLOOKUP(GTY115,[13]AssetDetails_UEM!$A$3:$AH$1849,6,FALSE)</f>
        <v>Electrosurgical Units, Monopolar/Bipolar</v>
      </c>
      <c r="GUA115" s="196" t="s">
        <v>761</v>
      </c>
      <c r="GUB115" s="197" t="str">
        <f>VLOOKUP(GUA115,[13]AssetDetails_UEM!$A$3:$AH$1849,6,FALSE)</f>
        <v>Electrosurgical Units, Monopolar/Bipolar</v>
      </c>
      <c r="GUC115" s="196" t="s">
        <v>761</v>
      </c>
      <c r="GUD115" s="197" t="str">
        <f>VLOOKUP(GUC115,[13]AssetDetails_UEM!$A$3:$AH$1849,6,FALSE)</f>
        <v>Electrosurgical Units, Monopolar/Bipolar</v>
      </c>
      <c r="GUE115" s="196" t="s">
        <v>761</v>
      </c>
      <c r="GUF115" s="197" t="str">
        <f>VLOOKUP(GUE115,[13]AssetDetails_UEM!$A$3:$AH$1849,6,FALSE)</f>
        <v>Electrosurgical Units, Monopolar/Bipolar</v>
      </c>
      <c r="GUG115" s="196" t="s">
        <v>761</v>
      </c>
      <c r="GUH115" s="197" t="str">
        <f>VLOOKUP(GUG115,[13]AssetDetails_UEM!$A$3:$AH$1849,6,FALSE)</f>
        <v>Electrosurgical Units, Monopolar/Bipolar</v>
      </c>
      <c r="GUI115" s="196" t="s">
        <v>761</v>
      </c>
      <c r="GUJ115" s="197" t="str">
        <f>VLOOKUP(GUI115,[13]AssetDetails_UEM!$A$3:$AH$1849,6,FALSE)</f>
        <v>Electrosurgical Units, Monopolar/Bipolar</v>
      </c>
      <c r="GUK115" s="196" t="s">
        <v>761</v>
      </c>
      <c r="GUL115" s="197" t="str">
        <f>VLOOKUP(GUK115,[13]AssetDetails_UEM!$A$3:$AH$1849,6,FALSE)</f>
        <v>Electrosurgical Units, Monopolar/Bipolar</v>
      </c>
      <c r="GUM115" s="196" t="s">
        <v>761</v>
      </c>
      <c r="GUN115" s="197" t="str">
        <f>VLOOKUP(GUM115,[13]AssetDetails_UEM!$A$3:$AH$1849,6,FALSE)</f>
        <v>Electrosurgical Units, Monopolar/Bipolar</v>
      </c>
      <c r="GUO115" s="196" t="s">
        <v>761</v>
      </c>
      <c r="GUP115" s="197" t="str">
        <f>VLOOKUP(GUO115,[13]AssetDetails_UEM!$A$3:$AH$1849,6,FALSE)</f>
        <v>Electrosurgical Units, Monopolar/Bipolar</v>
      </c>
      <c r="GUQ115" s="196" t="s">
        <v>761</v>
      </c>
      <c r="GUR115" s="197" t="str">
        <f>VLOOKUP(GUQ115,[13]AssetDetails_UEM!$A$3:$AH$1849,6,FALSE)</f>
        <v>Electrosurgical Units, Monopolar/Bipolar</v>
      </c>
      <c r="GUS115" s="196" t="s">
        <v>761</v>
      </c>
      <c r="GUT115" s="197" t="str">
        <f>VLOOKUP(GUS115,[13]AssetDetails_UEM!$A$3:$AH$1849,6,FALSE)</f>
        <v>Electrosurgical Units, Monopolar/Bipolar</v>
      </c>
      <c r="GUU115" s="196" t="s">
        <v>761</v>
      </c>
      <c r="GUV115" s="197" t="str">
        <f>VLOOKUP(GUU115,[13]AssetDetails_UEM!$A$3:$AH$1849,6,FALSE)</f>
        <v>Electrosurgical Units, Monopolar/Bipolar</v>
      </c>
      <c r="GUW115" s="196" t="s">
        <v>761</v>
      </c>
      <c r="GUX115" s="197" t="str">
        <f>VLOOKUP(GUW115,[13]AssetDetails_UEM!$A$3:$AH$1849,6,FALSE)</f>
        <v>Electrosurgical Units, Monopolar/Bipolar</v>
      </c>
      <c r="GUY115" s="196" t="s">
        <v>761</v>
      </c>
      <c r="GUZ115" s="197" t="str">
        <f>VLOOKUP(GUY115,[13]AssetDetails_UEM!$A$3:$AH$1849,6,FALSE)</f>
        <v>Electrosurgical Units, Monopolar/Bipolar</v>
      </c>
      <c r="GVA115" s="196" t="s">
        <v>761</v>
      </c>
      <c r="GVB115" s="197" t="str">
        <f>VLOOKUP(GVA115,[13]AssetDetails_UEM!$A$3:$AH$1849,6,FALSE)</f>
        <v>Electrosurgical Units, Monopolar/Bipolar</v>
      </c>
      <c r="GVC115" s="196" t="s">
        <v>761</v>
      </c>
      <c r="GVD115" s="197" t="str">
        <f>VLOOKUP(GVC115,[13]AssetDetails_UEM!$A$3:$AH$1849,6,FALSE)</f>
        <v>Electrosurgical Units, Monopolar/Bipolar</v>
      </c>
      <c r="GVE115" s="196" t="s">
        <v>761</v>
      </c>
      <c r="GVF115" s="197" t="str">
        <f>VLOOKUP(GVE115,[13]AssetDetails_UEM!$A$3:$AH$1849,6,FALSE)</f>
        <v>Electrosurgical Units, Monopolar/Bipolar</v>
      </c>
      <c r="GVG115" s="196" t="s">
        <v>761</v>
      </c>
      <c r="GVH115" s="197" t="str">
        <f>VLOOKUP(GVG115,[13]AssetDetails_UEM!$A$3:$AH$1849,6,FALSE)</f>
        <v>Electrosurgical Units, Monopolar/Bipolar</v>
      </c>
      <c r="GVI115" s="196" t="s">
        <v>761</v>
      </c>
      <c r="GVJ115" s="197" t="str">
        <f>VLOOKUP(GVI115,[13]AssetDetails_UEM!$A$3:$AH$1849,6,FALSE)</f>
        <v>Electrosurgical Units, Monopolar/Bipolar</v>
      </c>
      <c r="GVK115" s="196" t="s">
        <v>761</v>
      </c>
      <c r="GVL115" s="197" t="str">
        <f>VLOOKUP(GVK115,[13]AssetDetails_UEM!$A$3:$AH$1849,6,FALSE)</f>
        <v>Electrosurgical Units, Monopolar/Bipolar</v>
      </c>
      <c r="GVM115" s="196" t="s">
        <v>761</v>
      </c>
      <c r="GVN115" s="197" t="str">
        <f>VLOOKUP(GVM115,[13]AssetDetails_UEM!$A$3:$AH$1849,6,FALSE)</f>
        <v>Electrosurgical Units, Monopolar/Bipolar</v>
      </c>
      <c r="GVO115" s="196" t="s">
        <v>761</v>
      </c>
      <c r="GVP115" s="197" t="str">
        <f>VLOOKUP(GVO115,[13]AssetDetails_UEM!$A$3:$AH$1849,6,FALSE)</f>
        <v>Electrosurgical Units, Monopolar/Bipolar</v>
      </c>
      <c r="GVQ115" s="196" t="s">
        <v>761</v>
      </c>
      <c r="GVR115" s="197" t="str">
        <f>VLOOKUP(GVQ115,[13]AssetDetails_UEM!$A$3:$AH$1849,6,FALSE)</f>
        <v>Electrosurgical Units, Monopolar/Bipolar</v>
      </c>
      <c r="GVS115" s="196" t="s">
        <v>761</v>
      </c>
      <c r="GVT115" s="197" t="str">
        <f>VLOOKUP(GVS115,[13]AssetDetails_UEM!$A$3:$AH$1849,6,FALSE)</f>
        <v>Electrosurgical Units, Monopolar/Bipolar</v>
      </c>
      <c r="GVU115" s="196" t="s">
        <v>761</v>
      </c>
      <c r="GVV115" s="197" t="str">
        <f>VLOOKUP(GVU115,[13]AssetDetails_UEM!$A$3:$AH$1849,6,FALSE)</f>
        <v>Electrosurgical Units, Monopolar/Bipolar</v>
      </c>
      <c r="GVW115" s="196" t="s">
        <v>761</v>
      </c>
      <c r="GVX115" s="197" t="str">
        <f>VLOOKUP(GVW115,[13]AssetDetails_UEM!$A$3:$AH$1849,6,FALSE)</f>
        <v>Electrosurgical Units, Monopolar/Bipolar</v>
      </c>
      <c r="GVY115" s="196" t="s">
        <v>761</v>
      </c>
      <c r="GVZ115" s="197" t="str">
        <f>VLOOKUP(GVY115,[13]AssetDetails_UEM!$A$3:$AH$1849,6,FALSE)</f>
        <v>Electrosurgical Units, Monopolar/Bipolar</v>
      </c>
      <c r="GWA115" s="196" t="s">
        <v>761</v>
      </c>
      <c r="GWB115" s="197" t="str">
        <f>VLOOKUP(GWA115,[13]AssetDetails_UEM!$A$3:$AH$1849,6,FALSE)</f>
        <v>Electrosurgical Units, Monopolar/Bipolar</v>
      </c>
      <c r="GWC115" s="196" t="s">
        <v>761</v>
      </c>
      <c r="GWD115" s="197" t="str">
        <f>VLOOKUP(GWC115,[13]AssetDetails_UEM!$A$3:$AH$1849,6,FALSE)</f>
        <v>Electrosurgical Units, Monopolar/Bipolar</v>
      </c>
      <c r="GWE115" s="196" t="s">
        <v>761</v>
      </c>
      <c r="GWF115" s="197" t="str">
        <f>VLOOKUP(GWE115,[13]AssetDetails_UEM!$A$3:$AH$1849,6,FALSE)</f>
        <v>Electrosurgical Units, Monopolar/Bipolar</v>
      </c>
      <c r="GWG115" s="196" t="s">
        <v>761</v>
      </c>
      <c r="GWH115" s="197" t="str">
        <f>VLOOKUP(GWG115,[13]AssetDetails_UEM!$A$3:$AH$1849,6,FALSE)</f>
        <v>Electrosurgical Units, Monopolar/Bipolar</v>
      </c>
      <c r="GWI115" s="196" t="s">
        <v>761</v>
      </c>
      <c r="GWJ115" s="197" t="str">
        <f>VLOOKUP(GWI115,[13]AssetDetails_UEM!$A$3:$AH$1849,6,FALSE)</f>
        <v>Electrosurgical Units, Monopolar/Bipolar</v>
      </c>
      <c r="GWK115" s="196" t="s">
        <v>761</v>
      </c>
      <c r="GWL115" s="197" t="str">
        <f>VLOOKUP(GWK115,[13]AssetDetails_UEM!$A$3:$AH$1849,6,FALSE)</f>
        <v>Electrosurgical Units, Monopolar/Bipolar</v>
      </c>
      <c r="GWM115" s="196" t="s">
        <v>761</v>
      </c>
      <c r="GWN115" s="197" t="str">
        <f>VLOOKUP(GWM115,[13]AssetDetails_UEM!$A$3:$AH$1849,6,FALSE)</f>
        <v>Electrosurgical Units, Monopolar/Bipolar</v>
      </c>
      <c r="GWO115" s="196" t="s">
        <v>761</v>
      </c>
      <c r="GWP115" s="197" t="str">
        <f>VLOOKUP(GWO115,[13]AssetDetails_UEM!$A$3:$AH$1849,6,FALSE)</f>
        <v>Electrosurgical Units, Monopolar/Bipolar</v>
      </c>
      <c r="GWQ115" s="196" t="s">
        <v>761</v>
      </c>
      <c r="GWR115" s="197" t="str">
        <f>VLOOKUP(GWQ115,[13]AssetDetails_UEM!$A$3:$AH$1849,6,FALSE)</f>
        <v>Electrosurgical Units, Monopolar/Bipolar</v>
      </c>
      <c r="GWS115" s="196" t="s">
        <v>761</v>
      </c>
      <c r="GWT115" s="197" t="str">
        <f>VLOOKUP(GWS115,[13]AssetDetails_UEM!$A$3:$AH$1849,6,FALSE)</f>
        <v>Electrosurgical Units, Monopolar/Bipolar</v>
      </c>
      <c r="GWU115" s="196" t="s">
        <v>761</v>
      </c>
      <c r="GWV115" s="197" t="str">
        <f>VLOOKUP(GWU115,[13]AssetDetails_UEM!$A$3:$AH$1849,6,FALSE)</f>
        <v>Electrosurgical Units, Monopolar/Bipolar</v>
      </c>
      <c r="GWW115" s="196" t="s">
        <v>761</v>
      </c>
      <c r="GWX115" s="197" t="str">
        <f>VLOOKUP(GWW115,[13]AssetDetails_UEM!$A$3:$AH$1849,6,FALSE)</f>
        <v>Electrosurgical Units, Monopolar/Bipolar</v>
      </c>
      <c r="GWY115" s="196" t="s">
        <v>761</v>
      </c>
      <c r="GWZ115" s="197" t="str">
        <f>VLOOKUP(GWY115,[13]AssetDetails_UEM!$A$3:$AH$1849,6,FALSE)</f>
        <v>Electrosurgical Units, Monopolar/Bipolar</v>
      </c>
      <c r="GXA115" s="196" t="s">
        <v>761</v>
      </c>
      <c r="GXB115" s="197" t="str">
        <f>VLOOKUP(GXA115,[13]AssetDetails_UEM!$A$3:$AH$1849,6,FALSE)</f>
        <v>Electrosurgical Units, Monopolar/Bipolar</v>
      </c>
      <c r="GXC115" s="196" t="s">
        <v>761</v>
      </c>
      <c r="GXD115" s="197" t="str">
        <f>VLOOKUP(GXC115,[13]AssetDetails_UEM!$A$3:$AH$1849,6,FALSE)</f>
        <v>Electrosurgical Units, Monopolar/Bipolar</v>
      </c>
      <c r="GXE115" s="196" t="s">
        <v>761</v>
      </c>
      <c r="GXF115" s="197" t="str">
        <f>VLOOKUP(GXE115,[13]AssetDetails_UEM!$A$3:$AH$1849,6,FALSE)</f>
        <v>Electrosurgical Units, Monopolar/Bipolar</v>
      </c>
      <c r="GXG115" s="196" t="s">
        <v>761</v>
      </c>
      <c r="GXH115" s="197" t="str">
        <f>VLOOKUP(GXG115,[13]AssetDetails_UEM!$A$3:$AH$1849,6,FALSE)</f>
        <v>Electrosurgical Units, Monopolar/Bipolar</v>
      </c>
      <c r="GXI115" s="196" t="s">
        <v>761</v>
      </c>
      <c r="GXJ115" s="197" t="str">
        <f>VLOOKUP(GXI115,[13]AssetDetails_UEM!$A$3:$AH$1849,6,FALSE)</f>
        <v>Electrosurgical Units, Monopolar/Bipolar</v>
      </c>
      <c r="GXK115" s="196" t="s">
        <v>761</v>
      </c>
      <c r="GXL115" s="197" t="str">
        <f>VLOOKUP(GXK115,[13]AssetDetails_UEM!$A$3:$AH$1849,6,FALSE)</f>
        <v>Electrosurgical Units, Monopolar/Bipolar</v>
      </c>
      <c r="GXM115" s="196" t="s">
        <v>761</v>
      </c>
      <c r="GXN115" s="197" t="str">
        <f>VLOOKUP(GXM115,[13]AssetDetails_UEM!$A$3:$AH$1849,6,FALSE)</f>
        <v>Electrosurgical Units, Monopolar/Bipolar</v>
      </c>
      <c r="GXO115" s="196" t="s">
        <v>761</v>
      </c>
      <c r="GXP115" s="197" t="str">
        <f>VLOOKUP(GXO115,[13]AssetDetails_UEM!$A$3:$AH$1849,6,FALSE)</f>
        <v>Electrosurgical Units, Monopolar/Bipolar</v>
      </c>
      <c r="GXQ115" s="196" t="s">
        <v>761</v>
      </c>
      <c r="GXR115" s="197" t="str">
        <f>VLOOKUP(GXQ115,[13]AssetDetails_UEM!$A$3:$AH$1849,6,FALSE)</f>
        <v>Electrosurgical Units, Monopolar/Bipolar</v>
      </c>
      <c r="GXS115" s="196" t="s">
        <v>761</v>
      </c>
      <c r="GXT115" s="197" t="str">
        <f>VLOOKUP(GXS115,[13]AssetDetails_UEM!$A$3:$AH$1849,6,FALSE)</f>
        <v>Electrosurgical Units, Monopolar/Bipolar</v>
      </c>
      <c r="GXU115" s="196" t="s">
        <v>761</v>
      </c>
      <c r="GXV115" s="197" t="str">
        <f>VLOOKUP(GXU115,[13]AssetDetails_UEM!$A$3:$AH$1849,6,FALSE)</f>
        <v>Electrosurgical Units, Monopolar/Bipolar</v>
      </c>
      <c r="GXW115" s="196" t="s">
        <v>761</v>
      </c>
      <c r="GXX115" s="197" t="str">
        <f>VLOOKUP(GXW115,[13]AssetDetails_UEM!$A$3:$AH$1849,6,FALSE)</f>
        <v>Electrosurgical Units, Monopolar/Bipolar</v>
      </c>
      <c r="GXY115" s="196" t="s">
        <v>761</v>
      </c>
      <c r="GXZ115" s="197" t="str">
        <f>VLOOKUP(GXY115,[13]AssetDetails_UEM!$A$3:$AH$1849,6,FALSE)</f>
        <v>Electrosurgical Units, Monopolar/Bipolar</v>
      </c>
      <c r="GYA115" s="196" t="s">
        <v>761</v>
      </c>
      <c r="GYB115" s="197" t="str">
        <f>VLOOKUP(GYA115,[13]AssetDetails_UEM!$A$3:$AH$1849,6,FALSE)</f>
        <v>Electrosurgical Units, Monopolar/Bipolar</v>
      </c>
      <c r="GYC115" s="196" t="s">
        <v>761</v>
      </c>
      <c r="GYD115" s="197" t="str">
        <f>VLOOKUP(GYC115,[13]AssetDetails_UEM!$A$3:$AH$1849,6,FALSE)</f>
        <v>Electrosurgical Units, Monopolar/Bipolar</v>
      </c>
      <c r="GYE115" s="196" t="s">
        <v>761</v>
      </c>
      <c r="GYF115" s="197" t="str">
        <f>VLOOKUP(GYE115,[13]AssetDetails_UEM!$A$3:$AH$1849,6,FALSE)</f>
        <v>Electrosurgical Units, Monopolar/Bipolar</v>
      </c>
      <c r="GYG115" s="196" t="s">
        <v>761</v>
      </c>
      <c r="GYH115" s="197" t="str">
        <f>VLOOKUP(GYG115,[13]AssetDetails_UEM!$A$3:$AH$1849,6,FALSE)</f>
        <v>Electrosurgical Units, Monopolar/Bipolar</v>
      </c>
      <c r="GYI115" s="196" t="s">
        <v>761</v>
      </c>
      <c r="GYJ115" s="197" t="str">
        <f>VLOOKUP(GYI115,[13]AssetDetails_UEM!$A$3:$AH$1849,6,FALSE)</f>
        <v>Electrosurgical Units, Monopolar/Bipolar</v>
      </c>
      <c r="GYK115" s="196" t="s">
        <v>761</v>
      </c>
      <c r="GYL115" s="197" t="str">
        <f>VLOOKUP(GYK115,[13]AssetDetails_UEM!$A$3:$AH$1849,6,FALSE)</f>
        <v>Electrosurgical Units, Monopolar/Bipolar</v>
      </c>
      <c r="GYM115" s="196" t="s">
        <v>761</v>
      </c>
      <c r="GYN115" s="197" t="str">
        <f>VLOOKUP(GYM115,[13]AssetDetails_UEM!$A$3:$AH$1849,6,FALSE)</f>
        <v>Electrosurgical Units, Monopolar/Bipolar</v>
      </c>
      <c r="GYO115" s="196" t="s">
        <v>761</v>
      </c>
      <c r="GYP115" s="197" t="str">
        <f>VLOOKUP(GYO115,[13]AssetDetails_UEM!$A$3:$AH$1849,6,FALSE)</f>
        <v>Electrosurgical Units, Monopolar/Bipolar</v>
      </c>
      <c r="GYQ115" s="196" t="s">
        <v>761</v>
      </c>
      <c r="GYR115" s="197" t="str">
        <f>VLOOKUP(GYQ115,[13]AssetDetails_UEM!$A$3:$AH$1849,6,FALSE)</f>
        <v>Electrosurgical Units, Monopolar/Bipolar</v>
      </c>
      <c r="GYS115" s="196" t="s">
        <v>761</v>
      </c>
      <c r="GYT115" s="197" t="str">
        <f>VLOOKUP(GYS115,[13]AssetDetails_UEM!$A$3:$AH$1849,6,FALSE)</f>
        <v>Electrosurgical Units, Monopolar/Bipolar</v>
      </c>
      <c r="GYU115" s="196" t="s">
        <v>761</v>
      </c>
      <c r="GYV115" s="197" t="str">
        <f>VLOOKUP(GYU115,[13]AssetDetails_UEM!$A$3:$AH$1849,6,FALSE)</f>
        <v>Electrosurgical Units, Monopolar/Bipolar</v>
      </c>
      <c r="GYW115" s="196" t="s">
        <v>761</v>
      </c>
      <c r="GYX115" s="197" t="str">
        <f>VLOOKUP(GYW115,[13]AssetDetails_UEM!$A$3:$AH$1849,6,FALSE)</f>
        <v>Electrosurgical Units, Monopolar/Bipolar</v>
      </c>
      <c r="GYY115" s="196" t="s">
        <v>761</v>
      </c>
      <c r="GYZ115" s="197" t="str">
        <f>VLOOKUP(GYY115,[13]AssetDetails_UEM!$A$3:$AH$1849,6,FALSE)</f>
        <v>Electrosurgical Units, Monopolar/Bipolar</v>
      </c>
      <c r="GZA115" s="196" t="s">
        <v>761</v>
      </c>
      <c r="GZB115" s="197" t="str">
        <f>VLOOKUP(GZA115,[13]AssetDetails_UEM!$A$3:$AH$1849,6,FALSE)</f>
        <v>Electrosurgical Units, Monopolar/Bipolar</v>
      </c>
      <c r="GZC115" s="196" t="s">
        <v>761</v>
      </c>
      <c r="GZD115" s="197" t="str">
        <f>VLOOKUP(GZC115,[13]AssetDetails_UEM!$A$3:$AH$1849,6,FALSE)</f>
        <v>Electrosurgical Units, Monopolar/Bipolar</v>
      </c>
      <c r="GZE115" s="196" t="s">
        <v>761</v>
      </c>
      <c r="GZF115" s="197" t="str">
        <f>VLOOKUP(GZE115,[13]AssetDetails_UEM!$A$3:$AH$1849,6,FALSE)</f>
        <v>Electrosurgical Units, Monopolar/Bipolar</v>
      </c>
      <c r="GZG115" s="196" t="s">
        <v>761</v>
      </c>
      <c r="GZH115" s="197" t="str">
        <f>VLOOKUP(GZG115,[13]AssetDetails_UEM!$A$3:$AH$1849,6,FALSE)</f>
        <v>Electrosurgical Units, Monopolar/Bipolar</v>
      </c>
      <c r="GZI115" s="196" t="s">
        <v>761</v>
      </c>
      <c r="GZJ115" s="197" t="str">
        <f>VLOOKUP(GZI115,[13]AssetDetails_UEM!$A$3:$AH$1849,6,FALSE)</f>
        <v>Electrosurgical Units, Monopolar/Bipolar</v>
      </c>
      <c r="GZK115" s="196" t="s">
        <v>761</v>
      </c>
      <c r="GZL115" s="197" t="str">
        <f>VLOOKUP(GZK115,[13]AssetDetails_UEM!$A$3:$AH$1849,6,FALSE)</f>
        <v>Electrosurgical Units, Monopolar/Bipolar</v>
      </c>
      <c r="GZM115" s="196" t="s">
        <v>761</v>
      </c>
      <c r="GZN115" s="197" t="str">
        <f>VLOOKUP(GZM115,[13]AssetDetails_UEM!$A$3:$AH$1849,6,FALSE)</f>
        <v>Electrosurgical Units, Monopolar/Bipolar</v>
      </c>
      <c r="GZO115" s="196" t="s">
        <v>761</v>
      </c>
      <c r="GZP115" s="197" t="str">
        <f>VLOOKUP(GZO115,[13]AssetDetails_UEM!$A$3:$AH$1849,6,FALSE)</f>
        <v>Electrosurgical Units, Monopolar/Bipolar</v>
      </c>
      <c r="GZQ115" s="196" t="s">
        <v>761</v>
      </c>
      <c r="GZR115" s="197" t="str">
        <f>VLOOKUP(GZQ115,[13]AssetDetails_UEM!$A$3:$AH$1849,6,FALSE)</f>
        <v>Electrosurgical Units, Monopolar/Bipolar</v>
      </c>
      <c r="GZS115" s="196" t="s">
        <v>761</v>
      </c>
      <c r="GZT115" s="197" t="str">
        <f>VLOOKUP(GZS115,[13]AssetDetails_UEM!$A$3:$AH$1849,6,FALSE)</f>
        <v>Electrosurgical Units, Monopolar/Bipolar</v>
      </c>
      <c r="GZU115" s="196" t="s">
        <v>761</v>
      </c>
      <c r="GZV115" s="197" t="str">
        <f>VLOOKUP(GZU115,[13]AssetDetails_UEM!$A$3:$AH$1849,6,FALSE)</f>
        <v>Electrosurgical Units, Monopolar/Bipolar</v>
      </c>
      <c r="GZW115" s="196" t="s">
        <v>761</v>
      </c>
      <c r="GZX115" s="197" t="str">
        <f>VLOOKUP(GZW115,[13]AssetDetails_UEM!$A$3:$AH$1849,6,FALSE)</f>
        <v>Electrosurgical Units, Monopolar/Bipolar</v>
      </c>
      <c r="GZY115" s="196" t="s">
        <v>761</v>
      </c>
      <c r="GZZ115" s="197" t="str">
        <f>VLOOKUP(GZY115,[13]AssetDetails_UEM!$A$3:$AH$1849,6,FALSE)</f>
        <v>Electrosurgical Units, Monopolar/Bipolar</v>
      </c>
      <c r="HAA115" s="196" t="s">
        <v>761</v>
      </c>
      <c r="HAB115" s="197" t="str">
        <f>VLOOKUP(HAA115,[13]AssetDetails_UEM!$A$3:$AH$1849,6,FALSE)</f>
        <v>Electrosurgical Units, Monopolar/Bipolar</v>
      </c>
      <c r="HAC115" s="196" t="s">
        <v>761</v>
      </c>
      <c r="HAD115" s="197" t="str">
        <f>VLOOKUP(HAC115,[13]AssetDetails_UEM!$A$3:$AH$1849,6,FALSE)</f>
        <v>Electrosurgical Units, Monopolar/Bipolar</v>
      </c>
      <c r="HAE115" s="196" t="s">
        <v>761</v>
      </c>
      <c r="HAF115" s="197" t="str">
        <f>VLOOKUP(HAE115,[13]AssetDetails_UEM!$A$3:$AH$1849,6,FALSE)</f>
        <v>Electrosurgical Units, Monopolar/Bipolar</v>
      </c>
      <c r="HAG115" s="196" t="s">
        <v>761</v>
      </c>
      <c r="HAH115" s="197" t="str">
        <f>VLOOKUP(HAG115,[13]AssetDetails_UEM!$A$3:$AH$1849,6,FALSE)</f>
        <v>Electrosurgical Units, Monopolar/Bipolar</v>
      </c>
      <c r="HAI115" s="196" t="s">
        <v>761</v>
      </c>
      <c r="HAJ115" s="197" t="str">
        <f>VLOOKUP(HAI115,[13]AssetDetails_UEM!$A$3:$AH$1849,6,FALSE)</f>
        <v>Electrosurgical Units, Monopolar/Bipolar</v>
      </c>
      <c r="HAK115" s="196" t="s">
        <v>761</v>
      </c>
      <c r="HAL115" s="197" t="str">
        <f>VLOOKUP(HAK115,[13]AssetDetails_UEM!$A$3:$AH$1849,6,FALSE)</f>
        <v>Electrosurgical Units, Monopolar/Bipolar</v>
      </c>
      <c r="HAM115" s="196" t="s">
        <v>761</v>
      </c>
      <c r="HAN115" s="197" t="str">
        <f>VLOOKUP(HAM115,[13]AssetDetails_UEM!$A$3:$AH$1849,6,FALSE)</f>
        <v>Electrosurgical Units, Monopolar/Bipolar</v>
      </c>
      <c r="HAO115" s="196" t="s">
        <v>761</v>
      </c>
      <c r="HAP115" s="197" t="str">
        <f>VLOOKUP(HAO115,[13]AssetDetails_UEM!$A$3:$AH$1849,6,FALSE)</f>
        <v>Electrosurgical Units, Monopolar/Bipolar</v>
      </c>
      <c r="HAQ115" s="196" t="s">
        <v>761</v>
      </c>
      <c r="HAR115" s="197" t="str">
        <f>VLOOKUP(HAQ115,[13]AssetDetails_UEM!$A$3:$AH$1849,6,FALSE)</f>
        <v>Electrosurgical Units, Monopolar/Bipolar</v>
      </c>
      <c r="HAS115" s="196" t="s">
        <v>761</v>
      </c>
      <c r="HAT115" s="197" t="str">
        <f>VLOOKUP(HAS115,[13]AssetDetails_UEM!$A$3:$AH$1849,6,FALSE)</f>
        <v>Electrosurgical Units, Monopolar/Bipolar</v>
      </c>
      <c r="HAU115" s="196" t="s">
        <v>761</v>
      </c>
      <c r="HAV115" s="197" t="str">
        <f>VLOOKUP(HAU115,[13]AssetDetails_UEM!$A$3:$AH$1849,6,FALSE)</f>
        <v>Electrosurgical Units, Monopolar/Bipolar</v>
      </c>
      <c r="HAW115" s="196" t="s">
        <v>761</v>
      </c>
      <c r="HAX115" s="197" t="str">
        <f>VLOOKUP(HAW115,[13]AssetDetails_UEM!$A$3:$AH$1849,6,FALSE)</f>
        <v>Electrosurgical Units, Monopolar/Bipolar</v>
      </c>
      <c r="HAY115" s="196" t="s">
        <v>761</v>
      </c>
      <c r="HAZ115" s="197" t="str">
        <f>VLOOKUP(HAY115,[13]AssetDetails_UEM!$A$3:$AH$1849,6,FALSE)</f>
        <v>Electrosurgical Units, Monopolar/Bipolar</v>
      </c>
      <c r="HBA115" s="196" t="s">
        <v>761</v>
      </c>
      <c r="HBB115" s="197" t="str">
        <f>VLOOKUP(HBA115,[13]AssetDetails_UEM!$A$3:$AH$1849,6,FALSE)</f>
        <v>Electrosurgical Units, Monopolar/Bipolar</v>
      </c>
      <c r="HBC115" s="196" t="s">
        <v>761</v>
      </c>
      <c r="HBD115" s="197" t="str">
        <f>VLOOKUP(HBC115,[13]AssetDetails_UEM!$A$3:$AH$1849,6,FALSE)</f>
        <v>Electrosurgical Units, Monopolar/Bipolar</v>
      </c>
      <c r="HBE115" s="196" t="s">
        <v>761</v>
      </c>
      <c r="HBF115" s="197" t="str">
        <f>VLOOKUP(HBE115,[13]AssetDetails_UEM!$A$3:$AH$1849,6,FALSE)</f>
        <v>Electrosurgical Units, Monopolar/Bipolar</v>
      </c>
      <c r="HBG115" s="196" t="s">
        <v>761</v>
      </c>
      <c r="HBH115" s="197" t="str">
        <f>VLOOKUP(HBG115,[13]AssetDetails_UEM!$A$3:$AH$1849,6,FALSE)</f>
        <v>Electrosurgical Units, Monopolar/Bipolar</v>
      </c>
      <c r="HBI115" s="196" t="s">
        <v>761</v>
      </c>
      <c r="HBJ115" s="197" t="str">
        <f>VLOOKUP(HBI115,[13]AssetDetails_UEM!$A$3:$AH$1849,6,FALSE)</f>
        <v>Electrosurgical Units, Monopolar/Bipolar</v>
      </c>
      <c r="HBK115" s="196" t="s">
        <v>761</v>
      </c>
      <c r="HBL115" s="197" t="str">
        <f>VLOOKUP(HBK115,[13]AssetDetails_UEM!$A$3:$AH$1849,6,FALSE)</f>
        <v>Electrosurgical Units, Monopolar/Bipolar</v>
      </c>
      <c r="HBM115" s="196" t="s">
        <v>761</v>
      </c>
      <c r="HBN115" s="197" t="str">
        <f>VLOOKUP(HBM115,[13]AssetDetails_UEM!$A$3:$AH$1849,6,FALSE)</f>
        <v>Electrosurgical Units, Monopolar/Bipolar</v>
      </c>
      <c r="HBO115" s="196" t="s">
        <v>761</v>
      </c>
      <c r="HBP115" s="197" t="str">
        <f>VLOOKUP(HBO115,[13]AssetDetails_UEM!$A$3:$AH$1849,6,FALSE)</f>
        <v>Electrosurgical Units, Monopolar/Bipolar</v>
      </c>
      <c r="HBQ115" s="196" t="s">
        <v>761</v>
      </c>
      <c r="HBR115" s="197" t="str">
        <f>VLOOKUP(HBQ115,[13]AssetDetails_UEM!$A$3:$AH$1849,6,FALSE)</f>
        <v>Electrosurgical Units, Monopolar/Bipolar</v>
      </c>
      <c r="HBS115" s="196" t="s">
        <v>761</v>
      </c>
      <c r="HBT115" s="197" t="str">
        <f>VLOOKUP(HBS115,[13]AssetDetails_UEM!$A$3:$AH$1849,6,FALSE)</f>
        <v>Electrosurgical Units, Monopolar/Bipolar</v>
      </c>
      <c r="HBU115" s="196" t="s">
        <v>761</v>
      </c>
      <c r="HBV115" s="197" t="str">
        <f>VLOOKUP(HBU115,[13]AssetDetails_UEM!$A$3:$AH$1849,6,FALSE)</f>
        <v>Electrosurgical Units, Monopolar/Bipolar</v>
      </c>
      <c r="HBW115" s="196" t="s">
        <v>761</v>
      </c>
      <c r="HBX115" s="197" t="str">
        <f>VLOOKUP(HBW115,[13]AssetDetails_UEM!$A$3:$AH$1849,6,FALSE)</f>
        <v>Electrosurgical Units, Monopolar/Bipolar</v>
      </c>
      <c r="HBY115" s="196" t="s">
        <v>761</v>
      </c>
      <c r="HBZ115" s="197" t="str">
        <f>VLOOKUP(HBY115,[13]AssetDetails_UEM!$A$3:$AH$1849,6,FALSE)</f>
        <v>Electrosurgical Units, Monopolar/Bipolar</v>
      </c>
      <c r="HCA115" s="196" t="s">
        <v>761</v>
      </c>
      <c r="HCB115" s="197" t="str">
        <f>VLOOKUP(HCA115,[13]AssetDetails_UEM!$A$3:$AH$1849,6,FALSE)</f>
        <v>Electrosurgical Units, Monopolar/Bipolar</v>
      </c>
      <c r="HCC115" s="196" t="s">
        <v>761</v>
      </c>
      <c r="HCD115" s="197" t="str">
        <f>VLOOKUP(HCC115,[13]AssetDetails_UEM!$A$3:$AH$1849,6,FALSE)</f>
        <v>Electrosurgical Units, Monopolar/Bipolar</v>
      </c>
      <c r="HCE115" s="196" t="s">
        <v>761</v>
      </c>
      <c r="HCF115" s="197" t="str">
        <f>VLOOKUP(HCE115,[13]AssetDetails_UEM!$A$3:$AH$1849,6,FALSE)</f>
        <v>Electrosurgical Units, Monopolar/Bipolar</v>
      </c>
      <c r="HCG115" s="196" t="s">
        <v>761</v>
      </c>
      <c r="HCH115" s="197" t="str">
        <f>VLOOKUP(HCG115,[13]AssetDetails_UEM!$A$3:$AH$1849,6,FALSE)</f>
        <v>Electrosurgical Units, Monopolar/Bipolar</v>
      </c>
      <c r="HCI115" s="196" t="s">
        <v>761</v>
      </c>
      <c r="HCJ115" s="197" t="str">
        <f>VLOOKUP(HCI115,[13]AssetDetails_UEM!$A$3:$AH$1849,6,FALSE)</f>
        <v>Electrosurgical Units, Monopolar/Bipolar</v>
      </c>
      <c r="HCK115" s="196" t="s">
        <v>761</v>
      </c>
      <c r="HCL115" s="197" t="str">
        <f>VLOOKUP(HCK115,[13]AssetDetails_UEM!$A$3:$AH$1849,6,FALSE)</f>
        <v>Electrosurgical Units, Monopolar/Bipolar</v>
      </c>
      <c r="HCM115" s="196" t="s">
        <v>761</v>
      </c>
      <c r="HCN115" s="197" t="str">
        <f>VLOOKUP(HCM115,[13]AssetDetails_UEM!$A$3:$AH$1849,6,FALSE)</f>
        <v>Electrosurgical Units, Monopolar/Bipolar</v>
      </c>
      <c r="HCO115" s="196" t="s">
        <v>761</v>
      </c>
      <c r="HCP115" s="197" t="str">
        <f>VLOOKUP(HCO115,[13]AssetDetails_UEM!$A$3:$AH$1849,6,FALSE)</f>
        <v>Electrosurgical Units, Monopolar/Bipolar</v>
      </c>
      <c r="HCQ115" s="196" t="s">
        <v>761</v>
      </c>
      <c r="HCR115" s="197" t="str">
        <f>VLOOKUP(HCQ115,[13]AssetDetails_UEM!$A$3:$AH$1849,6,FALSE)</f>
        <v>Electrosurgical Units, Monopolar/Bipolar</v>
      </c>
      <c r="HCS115" s="196" t="s">
        <v>761</v>
      </c>
      <c r="HCT115" s="197" t="str">
        <f>VLOOKUP(HCS115,[13]AssetDetails_UEM!$A$3:$AH$1849,6,FALSE)</f>
        <v>Electrosurgical Units, Monopolar/Bipolar</v>
      </c>
      <c r="HCU115" s="196" t="s">
        <v>761</v>
      </c>
      <c r="HCV115" s="197" t="str">
        <f>VLOOKUP(HCU115,[13]AssetDetails_UEM!$A$3:$AH$1849,6,FALSE)</f>
        <v>Electrosurgical Units, Monopolar/Bipolar</v>
      </c>
      <c r="HCW115" s="196" t="s">
        <v>761</v>
      </c>
      <c r="HCX115" s="197" t="str">
        <f>VLOOKUP(HCW115,[13]AssetDetails_UEM!$A$3:$AH$1849,6,FALSE)</f>
        <v>Electrosurgical Units, Monopolar/Bipolar</v>
      </c>
      <c r="HCY115" s="196" t="s">
        <v>761</v>
      </c>
      <c r="HCZ115" s="197" t="str">
        <f>VLOOKUP(HCY115,[13]AssetDetails_UEM!$A$3:$AH$1849,6,FALSE)</f>
        <v>Electrosurgical Units, Monopolar/Bipolar</v>
      </c>
      <c r="HDA115" s="196" t="s">
        <v>761</v>
      </c>
      <c r="HDB115" s="197" t="str">
        <f>VLOOKUP(HDA115,[13]AssetDetails_UEM!$A$3:$AH$1849,6,FALSE)</f>
        <v>Electrosurgical Units, Monopolar/Bipolar</v>
      </c>
      <c r="HDC115" s="196" t="s">
        <v>761</v>
      </c>
      <c r="HDD115" s="197" t="str">
        <f>VLOOKUP(HDC115,[13]AssetDetails_UEM!$A$3:$AH$1849,6,FALSE)</f>
        <v>Electrosurgical Units, Monopolar/Bipolar</v>
      </c>
      <c r="HDE115" s="196" t="s">
        <v>761</v>
      </c>
      <c r="HDF115" s="197" t="str">
        <f>VLOOKUP(HDE115,[13]AssetDetails_UEM!$A$3:$AH$1849,6,FALSE)</f>
        <v>Electrosurgical Units, Monopolar/Bipolar</v>
      </c>
      <c r="HDG115" s="196" t="s">
        <v>761</v>
      </c>
      <c r="HDH115" s="197" t="str">
        <f>VLOOKUP(HDG115,[13]AssetDetails_UEM!$A$3:$AH$1849,6,FALSE)</f>
        <v>Electrosurgical Units, Monopolar/Bipolar</v>
      </c>
      <c r="HDI115" s="196" t="s">
        <v>761</v>
      </c>
      <c r="HDJ115" s="197" t="str">
        <f>VLOOKUP(HDI115,[13]AssetDetails_UEM!$A$3:$AH$1849,6,FALSE)</f>
        <v>Electrosurgical Units, Monopolar/Bipolar</v>
      </c>
      <c r="HDK115" s="196" t="s">
        <v>761</v>
      </c>
      <c r="HDL115" s="197" t="str">
        <f>VLOOKUP(HDK115,[13]AssetDetails_UEM!$A$3:$AH$1849,6,FALSE)</f>
        <v>Electrosurgical Units, Monopolar/Bipolar</v>
      </c>
      <c r="HDM115" s="196" t="s">
        <v>761</v>
      </c>
      <c r="HDN115" s="197" t="str">
        <f>VLOOKUP(HDM115,[13]AssetDetails_UEM!$A$3:$AH$1849,6,FALSE)</f>
        <v>Electrosurgical Units, Monopolar/Bipolar</v>
      </c>
      <c r="HDO115" s="196" t="s">
        <v>761</v>
      </c>
      <c r="HDP115" s="197" t="str">
        <f>VLOOKUP(HDO115,[13]AssetDetails_UEM!$A$3:$AH$1849,6,FALSE)</f>
        <v>Electrosurgical Units, Monopolar/Bipolar</v>
      </c>
      <c r="HDQ115" s="196" t="s">
        <v>761</v>
      </c>
      <c r="HDR115" s="197" t="str">
        <f>VLOOKUP(HDQ115,[13]AssetDetails_UEM!$A$3:$AH$1849,6,FALSE)</f>
        <v>Electrosurgical Units, Monopolar/Bipolar</v>
      </c>
      <c r="HDS115" s="196" t="s">
        <v>761</v>
      </c>
      <c r="HDT115" s="197" t="str">
        <f>VLOOKUP(HDS115,[13]AssetDetails_UEM!$A$3:$AH$1849,6,FALSE)</f>
        <v>Electrosurgical Units, Monopolar/Bipolar</v>
      </c>
      <c r="HDU115" s="196" t="s">
        <v>761</v>
      </c>
      <c r="HDV115" s="197" t="str">
        <f>VLOOKUP(HDU115,[13]AssetDetails_UEM!$A$3:$AH$1849,6,FALSE)</f>
        <v>Electrosurgical Units, Monopolar/Bipolar</v>
      </c>
      <c r="HDW115" s="196" t="s">
        <v>761</v>
      </c>
      <c r="HDX115" s="197" t="str">
        <f>VLOOKUP(HDW115,[13]AssetDetails_UEM!$A$3:$AH$1849,6,FALSE)</f>
        <v>Electrosurgical Units, Monopolar/Bipolar</v>
      </c>
      <c r="HDY115" s="196" t="s">
        <v>761</v>
      </c>
      <c r="HDZ115" s="197" t="str">
        <f>VLOOKUP(HDY115,[13]AssetDetails_UEM!$A$3:$AH$1849,6,FALSE)</f>
        <v>Electrosurgical Units, Monopolar/Bipolar</v>
      </c>
      <c r="HEA115" s="196" t="s">
        <v>761</v>
      </c>
      <c r="HEB115" s="197" t="str">
        <f>VLOOKUP(HEA115,[13]AssetDetails_UEM!$A$3:$AH$1849,6,FALSE)</f>
        <v>Electrosurgical Units, Monopolar/Bipolar</v>
      </c>
      <c r="HEC115" s="196" t="s">
        <v>761</v>
      </c>
      <c r="HED115" s="197" t="str">
        <f>VLOOKUP(HEC115,[13]AssetDetails_UEM!$A$3:$AH$1849,6,FALSE)</f>
        <v>Electrosurgical Units, Monopolar/Bipolar</v>
      </c>
      <c r="HEE115" s="196" t="s">
        <v>761</v>
      </c>
      <c r="HEF115" s="197" t="str">
        <f>VLOOKUP(HEE115,[13]AssetDetails_UEM!$A$3:$AH$1849,6,FALSE)</f>
        <v>Electrosurgical Units, Monopolar/Bipolar</v>
      </c>
      <c r="HEG115" s="196" t="s">
        <v>761</v>
      </c>
      <c r="HEH115" s="197" t="str">
        <f>VLOOKUP(HEG115,[13]AssetDetails_UEM!$A$3:$AH$1849,6,FALSE)</f>
        <v>Electrosurgical Units, Monopolar/Bipolar</v>
      </c>
      <c r="HEI115" s="196" t="s">
        <v>761</v>
      </c>
      <c r="HEJ115" s="197" t="str">
        <f>VLOOKUP(HEI115,[13]AssetDetails_UEM!$A$3:$AH$1849,6,FALSE)</f>
        <v>Electrosurgical Units, Monopolar/Bipolar</v>
      </c>
      <c r="HEK115" s="196" t="s">
        <v>761</v>
      </c>
      <c r="HEL115" s="197" t="str">
        <f>VLOOKUP(HEK115,[13]AssetDetails_UEM!$A$3:$AH$1849,6,FALSE)</f>
        <v>Electrosurgical Units, Monopolar/Bipolar</v>
      </c>
      <c r="HEM115" s="196" t="s">
        <v>761</v>
      </c>
      <c r="HEN115" s="197" t="str">
        <f>VLOOKUP(HEM115,[13]AssetDetails_UEM!$A$3:$AH$1849,6,FALSE)</f>
        <v>Electrosurgical Units, Monopolar/Bipolar</v>
      </c>
      <c r="HEO115" s="196" t="s">
        <v>761</v>
      </c>
      <c r="HEP115" s="197" t="str">
        <f>VLOOKUP(HEO115,[13]AssetDetails_UEM!$A$3:$AH$1849,6,FALSE)</f>
        <v>Electrosurgical Units, Monopolar/Bipolar</v>
      </c>
      <c r="HEQ115" s="196" t="s">
        <v>761</v>
      </c>
      <c r="HER115" s="197" t="str">
        <f>VLOOKUP(HEQ115,[13]AssetDetails_UEM!$A$3:$AH$1849,6,FALSE)</f>
        <v>Electrosurgical Units, Monopolar/Bipolar</v>
      </c>
      <c r="HES115" s="196" t="s">
        <v>761</v>
      </c>
      <c r="HET115" s="197" t="str">
        <f>VLOOKUP(HES115,[13]AssetDetails_UEM!$A$3:$AH$1849,6,FALSE)</f>
        <v>Electrosurgical Units, Monopolar/Bipolar</v>
      </c>
      <c r="HEU115" s="196" t="s">
        <v>761</v>
      </c>
      <c r="HEV115" s="197" t="str">
        <f>VLOOKUP(HEU115,[13]AssetDetails_UEM!$A$3:$AH$1849,6,FALSE)</f>
        <v>Electrosurgical Units, Monopolar/Bipolar</v>
      </c>
      <c r="HEW115" s="196" t="s">
        <v>761</v>
      </c>
      <c r="HEX115" s="197" t="str">
        <f>VLOOKUP(HEW115,[13]AssetDetails_UEM!$A$3:$AH$1849,6,FALSE)</f>
        <v>Electrosurgical Units, Monopolar/Bipolar</v>
      </c>
      <c r="HEY115" s="196" t="s">
        <v>761</v>
      </c>
      <c r="HEZ115" s="197" t="str">
        <f>VLOOKUP(HEY115,[13]AssetDetails_UEM!$A$3:$AH$1849,6,FALSE)</f>
        <v>Electrosurgical Units, Monopolar/Bipolar</v>
      </c>
      <c r="HFA115" s="196" t="s">
        <v>761</v>
      </c>
      <c r="HFB115" s="197" t="str">
        <f>VLOOKUP(HFA115,[13]AssetDetails_UEM!$A$3:$AH$1849,6,FALSE)</f>
        <v>Electrosurgical Units, Monopolar/Bipolar</v>
      </c>
      <c r="HFC115" s="196" t="s">
        <v>761</v>
      </c>
      <c r="HFD115" s="197" t="str">
        <f>VLOOKUP(HFC115,[13]AssetDetails_UEM!$A$3:$AH$1849,6,FALSE)</f>
        <v>Electrosurgical Units, Monopolar/Bipolar</v>
      </c>
      <c r="HFE115" s="196" t="s">
        <v>761</v>
      </c>
      <c r="HFF115" s="197" t="str">
        <f>VLOOKUP(HFE115,[13]AssetDetails_UEM!$A$3:$AH$1849,6,FALSE)</f>
        <v>Electrosurgical Units, Monopolar/Bipolar</v>
      </c>
      <c r="HFG115" s="196" t="s">
        <v>761</v>
      </c>
      <c r="HFH115" s="197" t="str">
        <f>VLOOKUP(HFG115,[13]AssetDetails_UEM!$A$3:$AH$1849,6,FALSE)</f>
        <v>Electrosurgical Units, Monopolar/Bipolar</v>
      </c>
      <c r="HFI115" s="196" t="s">
        <v>761</v>
      </c>
      <c r="HFJ115" s="197" t="str">
        <f>VLOOKUP(HFI115,[13]AssetDetails_UEM!$A$3:$AH$1849,6,FALSE)</f>
        <v>Electrosurgical Units, Monopolar/Bipolar</v>
      </c>
      <c r="HFK115" s="196" t="s">
        <v>761</v>
      </c>
      <c r="HFL115" s="197" t="str">
        <f>VLOOKUP(HFK115,[13]AssetDetails_UEM!$A$3:$AH$1849,6,FALSE)</f>
        <v>Electrosurgical Units, Monopolar/Bipolar</v>
      </c>
      <c r="HFM115" s="196" t="s">
        <v>761</v>
      </c>
      <c r="HFN115" s="197" t="str">
        <f>VLOOKUP(HFM115,[13]AssetDetails_UEM!$A$3:$AH$1849,6,FALSE)</f>
        <v>Electrosurgical Units, Monopolar/Bipolar</v>
      </c>
      <c r="HFO115" s="196" t="s">
        <v>761</v>
      </c>
      <c r="HFP115" s="197" t="str">
        <f>VLOOKUP(HFO115,[13]AssetDetails_UEM!$A$3:$AH$1849,6,FALSE)</f>
        <v>Electrosurgical Units, Monopolar/Bipolar</v>
      </c>
      <c r="HFQ115" s="196" t="s">
        <v>761</v>
      </c>
      <c r="HFR115" s="197" t="str">
        <f>VLOOKUP(HFQ115,[13]AssetDetails_UEM!$A$3:$AH$1849,6,FALSE)</f>
        <v>Electrosurgical Units, Monopolar/Bipolar</v>
      </c>
      <c r="HFS115" s="196" t="s">
        <v>761</v>
      </c>
      <c r="HFT115" s="197" t="str">
        <f>VLOOKUP(HFS115,[13]AssetDetails_UEM!$A$3:$AH$1849,6,FALSE)</f>
        <v>Electrosurgical Units, Monopolar/Bipolar</v>
      </c>
      <c r="HFU115" s="196" t="s">
        <v>761</v>
      </c>
      <c r="HFV115" s="197" t="str">
        <f>VLOOKUP(HFU115,[13]AssetDetails_UEM!$A$3:$AH$1849,6,FALSE)</f>
        <v>Electrosurgical Units, Monopolar/Bipolar</v>
      </c>
      <c r="HFW115" s="196" t="s">
        <v>761</v>
      </c>
      <c r="HFX115" s="197" t="str">
        <f>VLOOKUP(HFW115,[13]AssetDetails_UEM!$A$3:$AH$1849,6,FALSE)</f>
        <v>Electrosurgical Units, Monopolar/Bipolar</v>
      </c>
      <c r="HFY115" s="196" t="s">
        <v>761</v>
      </c>
      <c r="HFZ115" s="197" t="str">
        <f>VLOOKUP(HFY115,[13]AssetDetails_UEM!$A$3:$AH$1849,6,FALSE)</f>
        <v>Electrosurgical Units, Monopolar/Bipolar</v>
      </c>
      <c r="HGA115" s="196" t="s">
        <v>761</v>
      </c>
      <c r="HGB115" s="197" t="str">
        <f>VLOOKUP(HGA115,[13]AssetDetails_UEM!$A$3:$AH$1849,6,FALSE)</f>
        <v>Electrosurgical Units, Monopolar/Bipolar</v>
      </c>
      <c r="HGC115" s="196" t="s">
        <v>761</v>
      </c>
      <c r="HGD115" s="197" t="str">
        <f>VLOOKUP(HGC115,[13]AssetDetails_UEM!$A$3:$AH$1849,6,FALSE)</f>
        <v>Electrosurgical Units, Monopolar/Bipolar</v>
      </c>
      <c r="HGE115" s="196" t="s">
        <v>761</v>
      </c>
      <c r="HGF115" s="197" t="str">
        <f>VLOOKUP(HGE115,[13]AssetDetails_UEM!$A$3:$AH$1849,6,FALSE)</f>
        <v>Electrosurgical Units, Monopolar/Bipolar</v>
      </c>
      <c r="HGG115" s="196" t="s">
        <v>761</v>
      </c>
      <c r="HGH115" s="197" t="str">
        <f>VLOOKUP(HGG115,[13]AssetDetails_UEM!$A$3:$AH$1849,6,FALSE)</f>
        <v>Electrosurgical Units, Monopolar/Bipolar</v>
      </c>
      <c r="HGI115" s="196" t="s">
        <v>761</v>
      </c>
      <c r="HGJ115" s="197" t="str">
        <f>VLOOKUP(HGI115,[13]AssetDetails_UEM!$A$3:$AH$1849,6,FALSE)</f>
        <v>Electrosurgical Units, Monopolar/Bipolar</v>
      </c>
      <c r="HGK115" s="196" t="s">
        <v>761</v>
      </c>
      <c r="HGL115" s="197" t="str">
        <f>VLOOKUP(HGK115,[13]AssetDetails_UEM!$A$3:$AH$1849,6,FALSE)</f>
        <v>Electrosurgical Units, Monopolar/Bipolar</v>
      </c>
      <c r="HGM115" s="196" t="s">
        <v>761</v>
      </c>
      <c r="HGN115" s="197" t="str">
        <f>VLOOKUP(HGM115,[13]AssetDetails_UEM!$A$3:$AH$1849,6,FALSE)</f>
        <v>Electrosurgical Units, Monopolar/Bipolar</v>
      </c>
      <c r="HGO115" s="196" t="s">
        <v>761</v>
      </c>
      <c r="HGP115" s="197" t="str">
        <f>VLOOKUP(HGO115,[13]AssetDetails_UEM!$A$3:$AH$1849,6,FALSE)</f>
        <v>Electrosurgical Units, Monopolar/Bipolar</v>
      </c>
      <c r="HGQ115" s="196" t="s">
        <v>761</v>
      </c>
      <c r="HGR115" s="197" t="str">
        <f>VLOOKUP(HGQ115,[13]AssetDetails_UEM!$A$3:$AH$1849,6,FALSE)</f>
        <v>Electrosurgical Units, Monopolar/Bipolar</v>
      </c>
      <c r="HGS115" s="196" t="s">
        <v>761</v>
      </c>
      <c r="HGT115" s="197" t="str">
        <f>VLOOKUP(HGS115,[13]AssetDetails_UEM!$A$3:$AH$1849,6,FALSE)</f>
        <v>Electrosurgical Units, Monopolar/Bipolar</v>
      </c>
      <c r="HGU115" s="196" t="s">
        <v>761</v>
      </c>
      <c r="HGV115" s="197" t="str">
        <f>VLOOKUP(HGU115,[13]AssetDetails_UEM!$A$3:$AH$1849,6,FALSE)</f>
        <v>Electrosurgical Units, Monopolar/Bipolar</v>
      </c>
      <c r="HGW115" s="196" t="s">
        <v>761</v>
      </c>
      <c r="HGX115" s="197" t="str">
        <f>VLOOKUP(HGW115,[13]AssetDetails_UEM!$A$3:$AH$1849,6,FALSE)</f>
        <v>Electrosurgical Units, Monopolar/Bipolar</v>
      </c>
      <c r="HGY115" s="196" t="s">
        <v>761</v>
      </c>
      <c r="HGZ115" s="197" t="str">
        <f>VLOOKUP(HGY115,[13]AssetDetails_UEM!$A$3:$AH$1849,6,FALSE)</f>
        <v>Electrosurgical Units, Monopolar/Bipolar</v>
      </c>
      <c r="HHA115" s="196" t="s">
        <v>761</v>
      </c>
      <c r="HHB115" s="197" t="str">
        <f>VLOOKUP(HHA115,[13]AssetDetails_UEM!$A$3:$AH$1849,6,FALSE)</f>
        <v>Electrosurgical Units, Monopolar/Bipolar</v>
      </c>
      <c r="HHC115" s="196" t="s">
        <v>761</v>
      </c>
      <c r="HHD115" s="197" t="str">
        <f>VLOOKUP(HHC115,[13]AssetDetails_UEM!$A$3:$AH$1849,6,FALSE)</f>
        <v>Electrosurgical Units, Monopolar/Bipolar</v>
      </c>
      <c r="HHE115" s="196" t="s">
        <v>761</v>
      </c>
      <c r="HHF115" s="197" t="str">
        <f>VLOOKUP(HHE115,[13]AssetDetails_UEM!$A$3:$AH$1849,6,FALSE)</f>
        <v>Electrosurgical Units, Monopolar/Bipolar</v>
      </c>
      <c r="HHG115" s="196" t="s">
        <v>761</v>
      </c>
      <c r="HHH115" s="197" t="str">
        <f>VLOOKUP(HHG115,[13]AssetDetails_UEM!$A$3:$AH$1849,6,FALSE)</f>
        <v>Electrosurgical Units, Monopolar/Bipolar</v>
      </c>
      <c r="HHI115" s="196" t="s">
        <v>761</v>
      </c>
      <c r="HHJ115" s="197" t="str">
        <f>VLOOKUP(HHI115,[13]AssetDetails_UEM!$A$3:$AH$1849,6,FALSE)</f>
        <v>Electrosurgical Units, Monopolar/Bipolar</v>
      </c>
      <c r="HHK115" s="196" t="s">
        <v>761</v>
      </c>
      <c r="HHL115" s="197" t="str">
        <f>VLOOKUP(HHK115,[13]AssetDetails_UEM!$A$3:$AH$1849,6,FALSE)</f>
        <v>Electrosurgical Units, Monopolar/Bipolar</v>
      </c>
      <c r="HHM115" s="196" t="s">
        <v>761</v>
      </c>
      <c r="HHN115" s="197" t="str">
        <f>VLOOKUP(HHM115,[13]AssetDetails_UEM!$A$3:$AH$1849,6,FALSE)</f>
        <v>Electrosurgical Units, Monopolar/Bipolar</v>
      </c>
      <c r="HHO115" s="196" t="s">
        <v>761</v>
      </c>
      <c r="HHP115" s="197" t="str">
        <f>VLOOKUP(HHO115,[13]AssetDetails_UEM!$A$3:$AH$1849,6,FALSE)</f>
        <v>Electrosurgical Units, Monopolar/Bipolar</v>
      </c>
      <c r="HHQ115" s="196" t="s">
        <v>761</v>
      </c>
      <c r="HHR115" s="197" t="str">
        <f>VLOOKUP(HHQ115,[13]AssetDetails_UEM!$A$3:$AH$1849,6,FALSE)</f>
        <v>Electrosurgical Units, Monopolar/Bipolar</v>
      </c>
      <c r="HHS115" s="196" t="s">
        <v>761</v>
      </c>
      <c r="HHT115" s="197" t="str">
        <f>VLOOKUP(HHS115,[13]AssetDetails_UEM!$A$3:$AH$1849,6,FALSE)</f>
        <v>Electrosurgical Units, Monopolar/Bipolar</v>
      </c>
      <c r="HHU115" s="196" t="s">
        <v>761</v>
      </c>
      <c r="HHV115" s="197" t="str">
        <f>VLOOKUP(HHU115,[13]AssetDetails_UEM!$A$3:$AH$1849,6,FALSE)</f>
        <v>Electrosurgical Units, Monopolar/Bipolar</v>
      </c>
      <c r="HHW115" s="196" t="s">
        <v>761</v>
      </c>
      <c r="HHX115" s="197" t="str">
        <f>VLOOKUP(HHW115,[13]AssetDetails_UEM!$A$3:$AH$1849,6,FALSE)</f>
        <v>Electrosurgical Units, Monopolar/Bipolar</v>
      </c>
      <c r="HHY115" s="196" t="s">
        <v>761</v>
      </c>
      <c r="HHZ115" s="197" t="str">
        <f>VLOOKUP(HHY115,[13]AssetDetails_UEM!$A$3:$AH$1849,6,FALSE)</f>
        <v>Electrosurgical Units, Monopolar/Bipolar</v>
      </c>
      <c r="HIA115" s="196" t="s">
        <v>761</v>
      </c>
      <c r="HIB115" s="197" t="str">
        <f>VLOOKUP(HIA115,[13]AssetDetails_UEM!$A$3:$AH$1849,6,FALSE)</f>
        <v>Electrosurgical Units, Monopolar/Bipolar</v>
      </c>
      <c r="HIC115" s="196" t="s">
        <v>761</v>
      </c>
      <c r="HID115" s="197" t="str">
        <f>VLOOKUP(HIC115,[13]AssetDetails_UEM!$A$3:$AH$1849,6,FALSE)</f>
        <v>Electrosurgical Units, Monopolar/Bipolar</v>
      </c>
      <c r="HIE115" s="196" t="s">
        <v>761</v>
      </c>
      <c r="HIF115" s="197" t="str">
        <f>VLOOKUP(HIE115,[13]AssetDetails_UEM!$A$3:$AH$1849,6,FALSE)</f>
        <v>Electrosurgical Units, Monopolar/Bipolar</v>
      </c>
      <c r="HIG115" s="196" t="s">
        <v>761</v>
      </c>
      <c r="HIH115" s="197" t="str">
        <f>VLOOKUP(HIG115,[13]AssetDetails_UEM!$A$3:$AH$1849,6,FALSE)</f>
        <v>Electrosurgical Units, Monopolar/Bipolar</v>
      </c>
      <c r="HII115" s="196" t="s">
        <v>761</v>
      </c>
      <c r="HIJ115" s="197" t="str">
        <f>VLOOKUP(HII115,[13]AssetDetails_UEM!$A$3:$AH$1849,6,FALSE)</f>
        <v>Electrosurgical Units, Monopolar/Bipolar</v>
      </c>
      <c r="HIK115" s="196" t="s">
        <v>761</v>
      </c>
      <c r="HIL115" s="197" t="str">
        <f>VLOOKUP(HIK115,[13]AssetDetails_UEM!$A$3:$AH$1849,6,FALSE)</f>
        <v>Electrosurgical Units, Monopolar/Bipolar</v>
      </c>
      <c r="HIM115" s="196" t="s">
        <v>761</v>
      </c>
      <c r="HIN115" s="197" t="str">
        <f>VLOOKUP(HIM115,[13]AssetDetails_UEM!$A$3:$AH$1849,6,FALSE)</f>
        <v>Electrosurgical Units, Monopolar/Bipolar</v>
      </c>
      <c r="HIO115" s="196" t="s">
        <v>761</v>
      </c>
      <c r="HIP115" s="197" t="str">
        <f>VLOOKUP(HIO115,[13]AssetDetails_UEM!$A$3:$AH$1849,6,FALSE)</f>
        <v>Electrosurgical Units, Monopolar/Bipolar</v>
      </c>
      <c r="HIQ115" s="196" t="s">
        <v>761</v>
      </c>
      <c r="HIR115" s="197" t="str">
        <f>VLOOKUP(HIQ115,[13]AssetDetails_UEM!$A$3:$AH$1849,6,FALSE)</f>
        <v>Electrosurgical Units, Monopolar/Bipolar</v>
      </c>
      <c r="HIS115" s="196" t="s">
        <v>761</v>
      </c>
      <c r="HIT115" s="197" t="str">
        <f>VLOOKUP(HIS115,[13]AssetDetails_UEM!$A$3:$AH$1849,6,FALSE)</f>
        <v>Electrosurgical Units, Monopolar/Bipolar</v>
      </c>
      <c r="HIU115" s="196" t="s">
        <v>761</v>
      </c>
      <c r="HIV115" s="197" t="str">
        <f>VLOOKUP(HIU115,[13]AssetDetails_UEM!$A$3:$AH$1849,6,FALSE)</f>
        <v>Electrosurgical Units, Monopolar/Bipolar</v>
      </c>
      <c r="HIW115" s="196" t="s">
        <v>761</v>
      </c>
      <c r="HIX115" s="197" t="str">
        <f>VLOOKUP(HIW115,[13]AssetDetails_UEM!$A$3:$AH$1849,6,FALSE)</f>
        <v>Electrosurgical Units, Monopolar/Bipolar</v>
      </c>
      <c r="HIY115" s="196" t="s">
        <v>761</v>
      </c>
      <c r="HIZ115" s="197" t="str">
        <f>VLOOKUP(HIY115,[13]AssetDetails_UEM!$A$3:$AH$1849,6,FALSE)</f>
        <v>Electrosurgical Units, Monopolar/Bipolar</v>
      </c>
      <c r="HJA115" s="196" t="s">
        <v>761</v>
      </c>
      <c r="HJB115" s="197" t="str">
        <f>VLOOKUP(HJA115,[13]AssetDetails_UEM!$A$3:$AH$1849,6,FALSE)</f>
        <v>Electrosurgical Units, Monopolar/Bipolar</v>
      </c>
      <c r="HJC115" s="196" t="s">
        <v>761</v>
      </c>
      <c r="HJD115" s="197" t="str">
        <f>VLOOKUP(HJC115,[13]AssetDetails_UEM!$A$3:$AH$1849,6,FALSE)</f>
        <v>Electrosurgical Units, Monopolar/Bipolar</v>
      </c>
      <c r="HJE115" s="196" t="s">
        <v>761</v>
      </c>
      <c r="HJF115" s="197" t="str">
        <f>VLOOKUP(HJE115,[13]AssetDetails_UEM!$A$3:$AH$1849,6,FALSE)</f>
        <v>Electrosurgical Units, Monopolar/Bipolar</v>
      </c>
      <c r="HJG115" s="196" t="s">
        <v>761</v>
      </c>
      <c r="HJH115" s="197" t="str">
        <f>VLOOKUP(HJG115,[13]AssetDetails_UEM!$A$3:$AH$1849,6,FALSE)</f>
        <v>Electrosurgical Units, Monopolar/Bipolar</v>
      </c>
      <c r="HJI115" s="196" t="s">
        <v>761</v>
      </c>
      <c r="HJJ115" s="197" t="str">
        <f>VLOOKUP(HJI115,[13]AssetDetails_UEM!$A$3:$AH$1849,6,FALSE)</f>
        <v>Electrosurgical Units, Monopolar/Bipolar</v>
      </c>
      <c r="HJK115" s="196" t="s">
        <v>761</v>
      </c>
      <c r="HJL115" s="197" t="str">
        <f>VLOOKUP(HJK115,[13]AssetDetails_UEM!$A$3:$AH$1849,6,FALSE)</f>
        <v>Electrosurgical Units, Monopolar/Bipolar</v>
      </c>
      <c r="HJM115" s="196" t="s">
        <v>761</v>
      </c>
      <c r="HJN115" s="197" t="str">
        <f>VLOOKUP(HJM115,[13]AssetDetails_UEM!$A$3:$AH$1849,6,FALSE)</f>
        <v>Electrosurgical Units, Monopolar/Bipolar</v>
      </c>
      <c r="HJO115" s="196" t="s">
        <v>761</v>
      </c>
      <c r="HJP115" s="197" t="str">
        <f>VLOOKUP(HJO115,[13]AssetDetails_UEM!$A$3:$AH$1849,6,FALSE)</f>
        <v>Electrosurgical Units, Monopolar/Bipolar</v>
      </c>
      <c r="HJQ115" s="196" t="s">
        <v>761</v>
      </c>
      <c r="HJR115" s="197" t="str">
        <f>VLOOKUP(HJQ115,[13]AssetDetails_UEM!$A$3:$AH$1849,6,FALSE)</f>
        <v>Electrosurgical Units, Monopolar/Bipolar</v>
      </c>
      <c r="HJS115" s="196" t="s">
        <v>761</v>
      </c>
      <c r="HJT115" s="197" t="str">
        <f>VLOOKUP(HJS115,[13]AssetDetails_UEM!$A$3:$AH$1849,6,FALSE)</f>
        <v>Electrosurgical Units, Monopolar/Bipolar</v>
      </c>
      <c r="HJU115" s="196" t="s">
        <v>761</v>
      </c>
      <c r="HJV115" s="197" t="str">
        <f>VLOOKUP(HJU115,[13]AssetDetails_UEM!$A$3:$AH$1849,6,FALSE)</f>
        <v>Electrosurgical Units, Monopolar/Bipolar</v>
      </c>
      <c r="HJW115" s="196" t="s">
        <v>761</v>
      </c>
      <c r="HJX115" s="197" t="str">
        <f>VLOOKUP(HJW115,[13]AssetDetails_UEM!$A$3:$AH$1849,6,FALSE)</f>
        <v>Electrosurgical Units, Monopolar/Bipolar</v>
      </c>
      <c r="HJY115" s="196" t="s">
        <v>761</v>
      </c>
      <c r="HJZ115" s="197" t="str">
        <f>VLOOKUP(HJY115,[13]AssetDetails_UEM!$A$3:$AH$1849,6,FALSE)</f>
        <v>Electrosurgical Units, Monopolar/Bipolar</v>
      </c>
      <c r="HKA115" s="196" t="s">
        <v>761</v>
      </c>
      <c r="HKB115" s="197" t="str">
        <f>VLOOKUP(HKA115,[13]AssetDetails_UEM!$A$3:$AH$1849,6,FALSE)</f>
        <v>Electrosurgical Units, Monopolar/Bipolar</v>
      </c>
      <c r="HKC115" s="196" t="s">
        <v>761</v>
      </c>
      <c r="HKD115" s="197" t="str">
        <f>VLOOKUP(HKC115,[13]AssetDetails_UEM!$A$3:$AH$1849,6,FALSE)</f>
        <v>Electrosurgical Units, Monopolar/Bipolar</v>
      </c>
      <c r="HKE115" s="196" t="s">
        <v>761</v>
      </c>
      <c r="HKF115" s="197" t="str">
        <f>VLOOKUP(HKE115,[13]AssetDetails_UEM!$A$3:$AH$1849,6,FALSE)</f>
        <v>Electrosurgical Units, Monopolar/Bipolar</v>
      </c>
      <c r="HKG115" s="196" t="s">
        <v>761</v>
      </c>
      <c r="HKH115" s="197" t="str">
        <f>VLOOKUP(HKG115,[13]AssetDetails_UEM!$A$3:$AH$1849,6,FALSE)</f>
        <v>Electrosurgical Units, Monopolar/Bipolar</v>
      </c>
      <c r="HKI115" s="196" t="s">
        <v>761</v>
      </c>
      <c r="HKJ115" s="197" t="str">
        <f>VLOOKUP(HKI115,[13]AssetDetails_UEM!$A$3:$AH$1849,6,FALSE)</f>
        <v>Electrosurgical Units, Monopolar/Bipolar</v>
      </c>
      <c r="HKK115" s="196" t="s">
        <v>761</v>
      </c>
      <c r="HKL115" s="197" t="str">
        <f>VLOOKUP(HKK115,[13]AssetDetails_UEM!$A$3:$AH$1849,6,FALSE)</f>
        <v>Electrosurgical Units, Monopolar/Bipolar</v>
      </c>
      <c r="HKM115" s="196" t="s">
        <v>761</v>
      </c>
      <c r="HKN115" s="197" t="str">
        <f>VLOOKUP(HKM115,[13]AssetDetails_UEM!$A$3:$AH$1849,6,FALSE)</f>
        <v>Electrosurgical Units, Monopolar/Bipolar</v>
      </c>
      <c r="HKO115" s="196" t="s">
        <v>761</v>
      </c>
      <c r="HKP115" s="197" t="str">
        <f>VLOOKUP(HKO115,[13]AssetDetails_UEM!$A$3:$AH$1849,6,FALSE)</f>
        <v>Electrosurgical Units, Monopolar/Bipolar</v>
      </c>
      <c r="HKQ115" s="196" t="s">
        <v>761</v>
      </c>
      <c r="HKR115" s="197" t="str">
        <f>VLOOKUP(HKQ115,[13]AssetDetails_UEM!$A$3:$AH$1849,6,FALSE)</f>
        <v>Electrosurgical Units, Monopolar/Bipolar</v>
      </c>
      <c r="HKS115" s="196" t="s">
        <v>761</v>
      </c>
      <c r="HKT115" s="197" t="str">
        <f>VLOOKUP(HKS115,[13]AssetDetails_UEM!$A$3:$AH$1849,6,FALSE)</f>
        <v>Electrosurgical Units, Monopolar/Bipolar</v>
      </c>
      <c r="HKU115" s="196" t="s">
        <v>761</v>
      </c>
      <c r="HKV115" s="197" t="str">
        <f>VLOOKUP(HKU115,[13]AssetDetails_UEM!$A$3:$AH$1849,6,FALSE)</f>
        <v>Electrosurgical Units, Monopolar/Bipolar</v>
      </c>
      <c r="HKW115" s="196" t="s">
        <v>761</v>
      </c>
      <c r="HKX115" s="197" t="str">
        <f>VLOOKUP(HKW115,[13]AssetDetails_UEM!$A$3:$AH$1849,6,FALSE)</f>
        <v>Electrosurgical Units, Monopolar/Bipolar</v>
      </c>
      <c r="HKY115" s="196" t="s">
        <v>761</v>
      </c>
      <c r="HKZ115" s="197" t="str">
        <f>VLOOKUP(HKY115,[13]AssetDetails_UEM!$A$3:$AH$1849,6,FALSE)</f>
        <v>Electrosurgical Units, Monopolar/Bipolar</v>
      </c>
      <c r="HLA115" s="196" t="s">
        <v>761</v>
      </c>
      <c r="HLB115" s="197" t="str">
        <f>VLOOKUP(HLA115,[13]AssetDetails_UEM!$A$3:$AH$1849,6,FALSE)</f>
        <v>Electrosurgical Units, Monopolar/Bipolar</v>
      </c>
      <c r="HLC115" s="196" t="s">
        <v>761</v>
      </c>
      <c r="HLD115" s="197" t="str">
        <f>VLOOKUP(HLC115,[13]AssetDetails_UEM!$A$3:$AH$1849,6,FALSE)</f>
        <v>Electrosurgical Units, Monopolar/Bipolar</v>
      </c>
      <c r="HLE115" s="196" t="s">
        <v>761</v>
      </c>
      <c r="HLF115" s="197" t="str">
        <f>VLOOKUP(HLE115,[13]AssetDetails_UEM!$A$3:$AH$1849,6,FALSE)</f>
        <v>Electrosurgical Units, Monopolar/Bipolar</v>
      </c>
      <c r="HLG115" s="196" t="s">
        <v>761</v>
      </c>
      <c r="HLH115" s="197" t="str">
        <f>VLOOKUP(HLG115,[13]AssetDetails_UEM!$A$3:$AH$1849,6,FALSE)</f>
        <v>Electrosurgical Units, Monopolar/Bipolar</v>
      </c>
      <c r="HLI115" s="196" t="s">
        <v>761</v>
      </c>
      <c r="HLJ115" s="197" t="str">
        <f>VLOOKUP(HLI115,[13]AssetDetails_UEM!$A$3:$AH$1849,6,FALSE)</f>
        <v>Electrosurgical Units, Monopolar/Bipolar</v>
      </c>
      <c r="HLK115" s="196" t="s">
        <v>761</v>
      </c>
      <c r="HLL115" s="197" t="str">
        <f>VLOOKUP(HLK115,[13]AssetDetails_UEM!$A$3:$AH$1849,6,FALSE)</f>
        <v>Electrosurgical Units, Monopolar/Bipolar</v>
      </c>
      <c r="HLM115" s="196" t="s">
        <v>761</v>
      </c>
      <c r="HLN115" s="197" t="str">
        <f>VLOOKUP(HLM115,[13]AssetDetails_UEM!$A$3:$AH$1849,6,FALSE)</f>
        <v>Electrosurgical Units, Monopolar/Bipolar</v>
      </c>
      <c r="HLO115" s="196" t="s">
        <v>761</v>
      </c>
      <c r="HLP115" s="197" t="str">
        <f>VLOOKUP(HLO115,[13]AssetDetails_UEM!$A$3:$AH$1849,6,FALSE)</f>
        <v>Electrosurgical Units, Monopolar/Bipolar</v>
      </c>
      <c r="HLQ115" s="196" t="s">
        <v>761</v>
      </c>
      <c r="HLR115" s="197" t="str">
        <f>VLOOKUP(HLQ115,[13]AssetDetails_UEM!$A$3:$AH$1849,6,FALSE)</f>
        <v>Electrosurgical Units, Monopolar/Bipolar</v>
      </c>
      <c r="HLS115" s="196" t="s">
        <v>761</v>
      </c>
      <c r="HLT115" s="197" t="str">
        <f>VLOOKUP(HLS115,[13]AssetDetails_UEM!$A$3:$AH$1849,6,FALSE)</f>
        <v>Electrosurgical Units, Monopolar/Bipolar</v>
      </c>
      <c r="HLU115" s="196" t="s">
        <v>761</v>
      </c>
      <c r="HLV115" s="197" t="str">
        <f>VLOOKUP(HLU115,[13]AssetDetails_UEM!$A$3:$AH$1849,6,FALSE)</f>
        <v>Electrosurgical Units, Monopolar/Bipolar</v>
      </c>
      <c r="HLW115" s="196" t="s">
        <v>761</v>
      </c>
      <c r="HLX115" s="197" t="str">
        <f>VLOOKUP(HLW115,[13]AssetDetails_UEM!$A$3:$AH$1849,6,FALSE)</f>
        <v>Electrosurgical Units, Monopolar/Bipolar</v>
      </c>
      <c r="HLY115" s="196" t="s">
        <v>761</v>
      </c>
      <c r="HLZ115" s="197" t="str">
        <f>VLOOKUP(HLY115,[13]AssetDetails_UEM!$A$3:$AH$1849,6,FALSE)</f>
        <v>Electrosurgical Units, Monopolar/Bipolar</v>
      </c>
      <c r="HMA115" s="196" t="s">
        <v>761</v>
      </c>
      <c r="HMB115" s="197" t="str">
        <f>VLOOKUP(HMA115,[13]AssetDetails_UEM!$A$3:$AH$1849,6,FALSE)</f>
        <v>Electrosurgical Units, Monopolar/Bipolar</v>
      </c>
      <c r="HMC115" s="196" t="s">
        <v>761</v>
      </c>
      <c r="HMD115" s="197" t="str">
        <f>VLOOKUP(HMC115,[13]AssetDetails_UEM!$A$3:$AH$1849,6,FALSE)</f>
        <v>Electrosurgical Units, Monopolar/Bipolar</v>
      </c>
      <c r="HME115" s="196" t="s">
        <v>761</v>
      </c>
      <c r="HMF115" s="197" t="str">
        <f>VLOOKUP(HME115,[13]AssetDetails_UEM!$A$3:$AH$1849,6,FALSE)</f>
        <v>Electrosurgical Units, Monopolar/Bipolar</v>
      </c>
      <c r="HMG115" s="196" t="s">
        <v>761</v>
      </c>
      <c r="HMH115" s="197" t="str">
        <f>VLOOKUP(HMG115,[13]AssetDetails_UEM!$A$3:$AH$1849,6,FALSE)</f>
        <v>Electrosurgical Units, Monopolar/Bipolar</v>
      </c>
      <c r="HMI115" s="196" t="s">
        <v>761</v>
      </c>
      <c r="HMJ115" s="197" t="str">
        <f>VLOOKUP(HMI115,[13]AssetDetails_UEM!$A$3:$AH$1849,6,FALSE)</f>
        <v>Electrosurgical Units, Monopolar/Bipolar</v>
      </c>
      <c r="HMK115" s="196" t="s">
        <v>761</v>
      </c>
      <c r="HML115" s="197" t="str">
        <f>VLOOKUP(HMK115,[13]AssetDetails_UEM!$A$3:$AH$1849,6,FALSE)</f>
        <v>Electrosurgical Units, Monopolar/Bipolar</v>
      </c>
      <c r="HMM115" s="196" t="s">
        <v>761</v>
      </c>
      <c r="HMN115" s="197" t="str">
        <f>VLOOKUP(HMM115,[13]AssetDetails_UEM!$A$3:$AH$1849,6,FALSE)</f>
        <v>Electrosurgical Units, Monopolar/Bipolar</v>
      </c>
      <c r="HMO115" s="196" t="s">
        <v>761</v>
      </c>
      <c r="HMP115" s="197" t="str">
        <f>VLOOKUP(HMO115,[13]AssetDetails_UEM!$A$3:$AH$1849,6,FALSE)</f>
        <v>Electrosurgical Units, Monopolar/Bipolar</v>
      </c>
      <c r="HMQ115" s="196" t="s">
        <v>761</v>
      </c>
      <c r="HMR115" s="197" t="str">
        <f>VLOOKUP(HMQ115,[13]AssetDetails_UEM!$A$3:$AH$1849,6,FALSE)</f>
        <v>Electrosurgical Units, Monopolar/Bipolar</v>
      </c>
      <c r="HMS115" s="196" t="s">
        <v>761</v>
      </c>
      <c r="HMT115" s="197" t="str">
        <f>VLOOKUP(HMS115,[13]AssetDetails_UEM!$A$3:$AH$1849,6,FALSE)</f>
        <v>Electrosurgical Units, Monopolar/Bipolar</v>
      </c>
      <c r="HMU115" s="196" t="s">
        <v>761</v>
      </c>
      <c r="HMV115" s="197" t="str">
        <f>VLOOKUP(HMU115,[13]AssetDetails_UEM!$A$3:$AH$1849,6,FALSE)</f>
        <v>Electrosurgical Units, Monopolar/Bipolar</v>
      </c>
      <c r="HMW115" s="196" t="s">
        <v>761</v>
      </c>
      <c r="HMX115" s="197" t="str">
        <f>VLOOKUP(HMW115,[13]AssetDetails_UEM!$A$3:$AH$1849,6,FALSE)</f>
        <v>Electrosurgical Units, Monopolar/Bipolar</v>
      </c>
      <c r="HMY115" s="196" t="s">
        <v>761</v>
      </c>
      <c r="HMZ115" s="197" t="str">
        <f>VLOOKUP(HMY115,[13]AssetDetails_UEM!$A$3:$AH$1849,6,FALSE)</f>
        <v>Electrosurgical Units, Monopolar/Bipolar</v>
      </c>
      <c r="HNA115" s="196" t="s">
        <v>761</v>
      </c>
      <c r="HNB115" s="197" t="str">
        <f>VLOOKUP(HNA115,[13]AssetDetails_UEM!$A$3:$AH$1849,6,FALSE)</f>
        <v>Electrosurgical Units, Monopolar/Bipolar</v>
      </c>
      <c r="HNC115" s="196" t="s">
        <v>761</v>
      </c>
      <c r="HND115" s="197" t="str">
        <f>VLOOKUP(HNC115,[13]AssetDetails_UEM!$A$3:$AH$1849,6,FALSE)</f>
        <v>Electrosurgical Units, Monopolar/Bipolar</v>
      </c>
      <c r="HNE115" s="196" t="s">
        <v>761</v>
      </c>
      <c r="HNF115" s="197" t="str">
        <f>VLOOKUP(HNE115,[13]AssetDetails_UEM!$A$3:$AH$1849,6,FALSE)</f>
        <v>Electrosurgical Units, Monopolar/Bipolar</v>
      </c>
      <c r="HNG115" s="196" t="s">
        <v>761</v>
      </c>
      <c r="HNH115" s="197" t="str">
        <f>VLOOKUP(HNG115,[13]AssetDetails_UEM!$A$3:$AH$1849,6,FALSE)</f>
        <v>Electrosurgical Units, Monopolar/Bipolar</v>
      </c>
      <c r="HNI115" s="196" t="s">
        <v>761</v>
      </c>
      <c r="HNJ115" s="197" t="str">
        <f>VLOOKUP(HNI115,[13]AssetDetails_UEM!$A$3:$AH$1849,6,FALSE)</f>
        <v>Electrosurgical Units, Monopolar/Bipolar</v>
      </c>
      <c r="HNK115" s="196" t="s">
        <v>761</v>
      </c>
      <c r="HNL115" s="197" t="str">
        <f>VLOOKUP(HNK115,[13]AssetDetails_UEM!$A$3:$AH$1849,6,FALSE)</f>
        <v>Electrosurgical Units, Monopolar/Bipolar</v>
      </c>
      <c r="HNM115" s="196" t="s">
        <v>761</v>
      </c>
      <c r="HNN115" s="197" t="str">
        <f>VLOOKUP(HNM115,[13]AssetDetails_UEM!$A$3:$AH$1849,6,FALSE)</f>
        <v>Electrosurgical Units, Monopolar/Bipolar</v>
      </c>
      <c r="HNO115" s="196" t="s">
        <v>761</v>
      </c>
      <c r="HNP115" s="197" t="str">
        <f>VLOOKUP(HNO115,[13]AssetDetails_UEM!$A$3:$AH$1849,6,FALSE)</f>
        <v>Electrosurgical Units, Monopolar/Bipolar</v>
      </c>
      <c r="HNQ115" s="196" t="s">
        <v>761</v>
      </c>
      <c r="HNR115" s="197" t="str">
        <f>VLOOKUP(HNQ115,[13]AssetDetails_UEM!$A$3:$AH$1849,6,FALSE)</f>
        <v>Electrosurgical Units, Monopolar/Bipolar</v>
      </c>
      <c r="HNS115" s="196" t="s">
        <v>761</v>
      </c>
      <c r="HNT115" s="197" t="str">
        <f>VLOOKUP(HNS115,[13]AssetDetails_UEM!$A$3:$AH$1849,6,FALSE)</f>
        <v>Electrosurgical Units, Monopolar/Bipolar</v>
      </c>
      <c r="HNU115" s="196" t="s">
        <v>761</v>
      </c>
      <c r="HNV115" s="197" t="str">
        <f>VLOOKUP(HNU115,[13]AssetDetails_UEM!$A$3:$AH$1849,6,FALSE)</f>
        <v>Electrosurgical Units, Monopolar/Bipolar</v>
      </c>
      <c r="HNW115" s="196" t="s">
        <v>761</v>
      </c>
      <c r="HNX115" s="197" t="str">
        <f>VLOOKUP(HNW115,[13]AssetDetails_UEM!$A$3:$AH$1849,6,FALSE)</f>
        <v>Electrosurgical Units, Monopolar/Bipolar</v>
      </c>
      <c r="HNY115" s="196" t="s">
        <v>761</v>
      </c>
      <c r="HNZ115" s="197" t="str">
        <f>VLOOKUP(HNY115,[13]AssetDetails_UEM!$A$3:$AH$1849,6,FALSE)</f>
        <v>Electrosurgical Units, Monopolar/Bipolar</v>
      </c>
      <c r="HOA115" s="196" t="s">
        <v>761</v>
      </c>
      <c r="HOB115" s="197" t="str">
        <f>VLOOKUP(HOA115,[13]AssetDetails_UEM!$A$3:$AH$1849,6,FALSE)</f>
        <v>Electrosurgical Units, Monopolar/Bipolar</v>
      </c>
      <c r="HOC115" s="196" t="s">
        <v>761</v>
      </c>
      <c r="HOD115" s="197" t="str">
        <f>VLOOKUP(HOC115,[13]AssetDetails_UEM!$A$3:$AH$1849,6,FALSE)</f>
        <v>Electrosurgical Units, Monopolar/Bipolar</v>
      </c>
      <c r="HOE115" s="196" t="s">
        <v>761</v>
      </c>
      <c r="HOF115" s="197" t="str">
        <f>VLOOKUP(HOE115,[13]AssetDetails_UEM!$A$3:$AH$1849,6,FALSE)</f>
        <v>Electrosurgical Units, Monopolar/Bipolar</v>
      </c>
      <c r="HOG115" s="196" t="s">
        <v>761</v>
      </c>
      <c r="HOH115" s="197" t="str">
        <f>VLOOKUP(HOG115,[13]AssetDetails_UEM!$A$3:$AH$1849,6,FALSE)</f>
        <v>Electrosurgical Units, Monopolar/Bipolar</v>
      </c>
      <c r="HOI115" s="196" t="s">
        <v>761</v>
      </c>
      <c r="HOJ115" s="197" t="str">
        <f>VLOOKUP(HOI115,[13]AssetDetails_UEM!$A$3:$AH$1849,6,FALSE)</f>
        <v>Electrosurgical Units, Monopolar/Bipolar</v>
      </c>
      <c r="HOK115" s="196" t="s">
        <v>761</v>
      </c>
      <c r="HOL115" s="197" t="str">
        <f>VLOOKUP(HOK115,[13]AssetDetails_UEM!$A$3:$AH$1849,6,FALSE)</f>
        <v>Electrosurgical Units, Monopolar/Bipolar</v>
      </c>
      <c r="HOM115" s="196" t="s">
        <v>761</v>
      </c>
      <c r="HON115" s="197" t="str">
        <f>VLOOKUP(HOM115,[13]AssetDetails_UEM!$A$3:$AH$1849,6,FALSE)</f>
        <v>Electrosurgical Units, Monopolar/Bipolar</v>
      </c>
      <c r="HOO115" s="196" t="s">
        <v>761</v>
      </c>
      <c r="HOP115" s="197" t="str">
        <f>VLOOKUP(HOO115,[13]AssetDetails_UEM!$A$3:$AH$1849,6,FALSE)</f>
        <v>Electrosurgical Units, Monopolar/Bipolar</v>
      </c>
      <c r="HOQ115" s="196" t="s">
        <v>761</v>
      </c>
      <c r="HOR115" s="197" t="str">
        <f>VLOOKUP(HOQ115,[13]AssetDetails_UEM!$A$3:$AH$1849,6,FALSE)</f>
        <v>Electrosurgical Units, Monopolar/Bipolar</v>
      </c>
      <c r="HOS115" s="196" t="s">
        <v>761</v>
      </c>
      <c r="HOT115" s="197" t="str">
        <f>VLOOKUP(HOS115,[13]AssetDetails_UEM!$A$3:$AH$1849,6,FALSE)</f>
        <v>Electrosurgical Units, Monopolar/Bipolar</v>
      </c>
      <c r="HOU115" s="196" t="s">
        <v>761</v>
      </c>
      <c r="HOV115" s="197" t="str">
        <f>VLOOKUP(HOU115,[13]AssetDetails_UEM!$A$3:$AH$1849,6,FALSE)</f>
        <v>Electrosurgical Units, Monopolar/Bipolar</v>
      </c>
      <c r="HOW115" s="196" t="s">
        <v>761</v>
      </c>
      <c r="HOX115" s="197" t="str">
        <f>VLOOKUP(HOW115,[13]AssetDetails_UEM!$A$3:$AH$1849,6,FALSE)</f>
        <v>Electrosurgical Units, Monopolar/Bipolar</v>
      </c>
      <c r="HOY115" s="196" t="s">
        <v>761</v>
      </c>
      <c r="HOZ115" s="197" t="str">
        <f>VLOOKUP(HOY115,[13]AssetDetails_UEM!$A$3:$AH$1849,6,FALSE)</f>
        <v>Electrosurgical Units, Monopolar/Bipolar</v>
      </c>
      <c r="HPA115" s="196" t="s">
        <v>761</v>
      </c>
      <c r="HPB115" s="197" t="str">
        <f>VLOOKUP(HPA115,[13]AssetDetails_UEM!$A$3:$AH$1849,6,FALSE)</f>
        <v>Electrosurgical Units, Monopolar/Bipolar</v>
      </c>
      <c r="HPC115" s="196" t="s">
        <v>761</v>
      </c>
      <c r="HPD115" s="197" t="str">
        <f>VLOOKUP(HPC115,[13]AssetDetails_UEM!$A$3:$AH$1849,6,FALSE)</f>
        <v>Electrosurgical Units, Monopolar/Bipolar</v>
      </c>
      <c r="HPE115" s="196" t="s">
        <v>761</v>
      </c>
      <c r="HPF115" s="197" t="str">
        <f>VLOOKUP(HPE115,[13]AssetDetails_UEM!$A$3:$AH$1849,6,FALSE)</f>
        <v>Electrosurgical Units, Monopolar/Bipolar</v>
      </c>
      <c r="HPG115" s="196" t="s">
        <v>761</v>
      </c>
      <c r="HPH115" s="197" t="str">
        <f>VLOOKUP(HPG115,[13]AssetDetails_UEM!$A$3:$AH$1849,6,FALSE)</f>
        <v>Electrosurgical Units, Monopolar/Bipolar</v>
      </c>
      <c r="HPI115" s="196" t="s">
        <v>761</v>
      </c>
      <c r="HPJ115" s="197" t="str">
        <f>VLOOKUP(HPI115,[13]AssetDetails_UEM!$A$3:$AH$1849,6,FALSE)</f>
        <v>Electrosurgical Units, Monopolar/Bipolar</v>
      </c>
      <c r="HPK115" s="196" t="s">
        <v>761</v>
      </c>
      <c r="HPL115" s="197" t="str">
        <f>VLOOKUP(HPK115,[13]AssetDetails_UEM!$A$3:$AH$1849,6,FALSE)</f>
        <v>Electrosurgical Units, Monopolar/Bipolar</v>
      </c>
      <c r="HPM115" s="196" t="s">
        <v>761</v>
      </c>
      <c r="HPN115" s="197" t="str">
        <f>VLOOKUP(HPM115,[13]AssetDetails_UEM!$A$3:$AH$1849,6,FALSE)</f>
        <v>Electrosurgical Units, Monopolar/Bipolar</v>
      </c>
      <c r="HPO115" s="196" t="s">
        <v>761</v>
      </c>
      <c r="HPP115" s="197" t="str">
        <f>VLOOKUP(HPO115,[13]AssetDetails_UEM!$A$3:$AH$1849,6,FALSE)</f>
        <v>Electrosurgical Units, Monopolar/Bipolar</v>
      </c>
      <c r="HPQ115" s="196" t="s">
        <v>761</v>
      </c>
      <c r="HPR115" s="197" t="str">
        <f>VLOOKUP(HPQ115,[13]AssetDetails_UEM!$A$3:$AH$1849,6,FALSE)</f>
        <v>Electrosurgical Units, Monopolar/Bipolar</v>
      </c>
      <c r="HPS115" s="196" t="s">
        <v>761</v>
      </c>
      <c r="HPT115" s="197" t="str">
        <f>VLOOKUP(HPS115,[13]AssetDetails_UEM!$A$3:$AH$1849,6,FALSE)</f>
        <v>Electrosurgical Units, Monopolar/Bipolar</v>
      </c>
      <c r="HPU115" s="196" t="s">
        <v>761</v>
      </c>
      <c r="HPV115" s="197" t="str">
        <f>VLOOKUP(HPU115,[13]AssetDetails_UEM!$A$3:$AH$1849,6,FALSE)</f>
        <v>Electrosurgical Units, Monopolar/Bipolar</v>
      </c>
      <c r="HPW115" s="196" t="s">
        <v>761</v>
      </c>
      <c r="HPX115" s="197" t="str">
        <f>VLOOKUP(HPW115,[13]AssetDetails_UEM!$A$3:$AH$1849,6,FALSE)</f>
        <v>Electrosurgical Units, Monopolar/Bipolar</v>
      </c>
      <c r="HPY115" s="196" t="s">
        <v>761</v>
      </c>
      <c r="HPZ115" s="197" t="str">
        <f>VLOOKUP(HPY115,[13]AssetDetails_UEM!$A$3:$AH$1849,6,FALSE)</f>
        <v>Electrosurgical Units, Monopolar/Bipolar</v>
      </c>
      <c r="HQA115" s="196" t="s">
        <v>761</v>
      </c>
      <c r="HQB115" s="197" t="str">
        <f>VLOOKUP(HQA115,[13]AssetDetails_UEM!$A$3:$AH$1849,6,FALSE)</f>
        <v>Electrosurgical Units, Monopolar/Bipolar</v>
      </c>
      <c r="HQC115" s="196" t="s">
        <v>761</v>
      </c>
      <c r="HQD115" s="197" t="str">
        <f>VLOOKUP(HQC115,[13]AssetDetails_UEM!$A$3:$AH$1849,6,FALSE)</f>
        <v>Electrosurgical Units, Monopolar/Bipolar</v>
      </c>
      <c r="HQE115" s="196" t="s">
        <v>761</v>
      </c>
      <c r="HQF115" s="197" t="str">
        <f>VLOOKUP(HQE115,[13]AssetDetails_UEM!$A$3:$AH$1849,6,FALSE)</f>
        <v>Electrosurgical Units, Monopolar/Bipolar</v>
      </c>
      <c r="HQG115" s="196" t="s">
        <v>761</v>
      </c>
      <c r="HQH115" s="197" t="str">
        <f>VLOOKUP(HQG115,[13]AssetDetails_UEM!$A$3:$AH$1849,6,FALSE)</f>
        <v>Electrosurgical Units, Monopolar/Bipolar</v>
      </c>
      <c r="HQI115" s="196" t="s">
        <v>761</v>
      </c>
      <c r="HQJ115" s="197" t="str">
        <f>VLOOKUP(HQI115,[13]AssetDetails_UEM!$A$3:$AH$1849,6,FALSE)</f>
        <v>Electrosurgical Units, Monopolar/Bipolar</v>
      </c>
      <c r="HQK115" s="196" t="s">
        <v>761</v>
      </c>
      <c r="HQL115" s="197" t="str">
        <f>VLOOKUP(HQK115,[13]AssetDetails_UEM!$A$3:$AH$1849,6,FALSE)</f>
        <v>Electrosurgical Units, Monopolar/Bipolar</v>
      </c>
      <c r="HQM115" s="196" t="s">
        <v>761</v>
      </c>
      <c r="HQN115" s="197" t="str">
        <f>VLOOKUP(HQM115,[13]AssetDetails_UEM!$A$3:$AH$1849,6,FALSE)</f>
        <v>Electrosurgical Units, Monopolar/Bipolar</v>
      </c>
      <c r="HQO115" s="196" t="s">
        <v>761</v>
      </c>
      <c r="HQP115" s="197" t="str">
        <f>VLOOKUP(HQO115,[13]AssetDetails_UEM!$A$3:$AH$1849,6,FALSE)</f>
        <v>Electrosurgical Units, Monopolar/Bipolar</v>
      </c>
      <c r="HQQ115" s="196" t="s">
        <v>761</v>
      </c>
      <c r="HQR115" s="197" t="str">
        <f>VLOOKUP(HQQ115,[13]AssetDetails_UEM!$A$3:$AH$1849,6,FALSE)</f>
        <v>Electrosurgical Units, Monopolar/Bipolar</v>
      </c>
      <c r="HQS115" s="196" t="s">
        <v>761</v>
      </c>
      <c r="HQT115" s="197" t="str">
        <f>VLOOKUP(HQS115,[13]AssetDetails_UEM!$A$3:$AH$1849,6,FALSE)</f>
        <v>Electrosurgical Units, Monopolar/Bipolar</v>
      </c>
      <c r="HQU115" s="196" t="s">
        <v>761</v>
      </c>
      <c r="HQV115" s="197" t="str">
        <f>VLOOKUP(HQU115,[13]AssetDetails_UEM!$A$3:$AH$1849,6,FALSE)</f>
        <v>Electrosurgical Units, Monopolar/Bipolar</v>
      </c>
      <c r="HQW115" s="196" t="s">
        <v>761</v>
      </c>
      <c r="HQX115" s="197" t="str">
        <f>VLOOKUP(HQW115,[13]AssetDetails_UEM!$A$3:$AH$1849,6,FALSE)</f>
        <v>Electrosurgical Units, Monopolar/Bipolar</v>
      </c>
      <c r="HQY115" s="196" t="s">
        <v>761</v>
      </c>
      <c r="HQZ115" s="197" t="str">
        <f>VLOOKUP(HQY115,[13]AssetDetails_UEM!$A$3:$AH$1849,6,FALSE)</f>
        <v>Electrosurgical Units, Monopolar/Bipolar</v>
      </c>
      <c r="HRA115" s="196" t="s">
        <v>761</v>
      </c>
      <c r="HRB115" s="197" t="str">
        <f>VLOOKUP(HRA115,[13]AssetDetails_UEM!$A$3:$AH$1849,6,FALSE)</f>
        <v>Electrosurgical Units, Monopolar/Bipolar</v>
      </c>
      <c r="HRC115" s="196" t="s">
        <v>761</v>
      </c>
      <c r="HRD115" s="197" t="str">
        <f>VLOOKUP(HRC115,[13]AssetDetails_UEM!$A$3:$AH$1849,6,FALSE)</f>
        <v>Electrosurgical Units, Monopolar/Bipolar</v>
      </c>
      <c r="HRE115" s="196" t="s">
        <v>761</v>
      </c>
      <c r="HRF115" s="197" t="str">
        <f>VLOOKUP(HRE115,[13]AssetDetails_UEM!$A$3:$AH$1849,6,FALSE)</f>
        <v>Electrosurgical Units, Monopolar/Bipolar</v>
      </c>
      <c r="HRG115" s="196" t="s">
        <v>761</v>
      </c>
      <c r="HRH115" s="197" t="str">
        <f>VLOOKUP(HRG115,[13]AssetDetails_UEM!$A$3:$AH$1849,6,FALSE)</f>
        <v>Electrosurgical Units, Monopolar/Bipolar</v>
      </c>
      <c r="HRI115" s="196" t="s">
        <v>761</v>
      </c>
      <c r="HRJ115" s="197" t="str">
        <f>VLOOKUP(HRI115,[13]AssetDetails_UEM!$A$3:$AH$1849,6,FALSE)</f>
        <v>Electrosurgical Units, Monopolar/Bipolar</v>
      </c>
      <c r="HRK115" s="196" t="s">
        <v>761</v>
      </c>
      <c r="HRL115" s="197" t="str">
        <f>VLOOKUP(HRK115,[13]AssetDetails_UEM!$A$3:$AH$1849,6,FALSE)</f>
        <v>Electrosurgical Units, Monopolar/Bipolar</v>
      </c>
      <c r="HRM115" s="196" t="s">
        <v>761</v>
      </c>
      <c r="HRN115" s="197" t="str">
        <f>VLOOKUP(HRM115,[13]AssetDetails_UEM!$A$3:$AH$1849,6,FALSE)</f>
        <v>Electrosurgical Units, Monopolar/Bipolar</v>
      </c>
      <c r="HRO115" s="196" t="s">
        <v>761</v>
      </c>
      <c r="HRP115" s="197" t="str">
        <f>VLOOKUP(HRO115,[13]AssetDetails_UEM!$A$3:$AH$1849,6,FALSE)</f>
        <v>Electrosurgical Units, Monopolar/Bipolar</v>
      </c>
      <c r="HRQ115" s="196" t="s">
        <v>761</v>
      </c>
      <c r="HRR115" s="197" t="str">
        <f>VLOOKUP(HRQ115,[13]AssetDetails_UEM!$A$3:$AH$1849,6,FALSE)</f>
        <v>Electrosurgical Units, Monopolar/Bipolar</v>
      </c>
      <c r="HRS115" s="196" t="s">
        <v>761</v>
      </c>
      <c r="HRT115" s="197" t="str">
        <f>VLOOKUP(HRS115,[13]AssetDetails_UEM!$A$3:$AH$1849,6,FALSE)</f>
        <v>Electrosurgical Units, Monopolar/Bipolar</v>
      </c>
      <c r="HRU115" s="196" t="s">
        <v>761</v>
      </c>
      <c r="HRV115" s="197" t="str">
        <f>VLOOKUP(HRU115,[13]AssetDetails_UEM!$A$3:$AH$1849,6,FALSE)</f>
        <v>Electrosurgical Units, Monopolar/Bipolar</v>
      </c>
      <c r="HRW115" s="196" t="s">
        <v>761</v>
      </c>
      <c r="HRX115" s="197" t="str">
        <f>VLOOKUP(HRW115,[13]AssetDetails_UEM!$A$3:$AH$1849,6,FALSE)</f>
        <v>Electrosurgical Units, Monopolar/Bipolar</v>
      </c>
      <c r="HRY115" s="196" t="s">
        <v>761</v>
      </c>
      <c r="HRZ115" s="197" t="str">
        <f>VLOOKUP(HRY115,[13]AssetDetails_UEM!$A$3:$AH$1849,6,FALSE)</f>
        <v>Electrosurgical Units, Monopolar/Bipolar</v>
      </c>
      <c r="HSA115" s="196" t="s">
        <v>761</v>
      </c>
      <c r="HSB115" s="197" t="str">
        <f>VLOOKUP(HSA115,[13]AssetDetails_UEM!$A$3:$AH$1849,6,FALSE)</f>
        <v>Electrosurgical Units, Monopolar/Bipolar</v>
      </c>
      <c r="HSC115" s="196" t="s">
        <v>761</v>
      </c>
      <c r="HSD115" s="197" t="str">
        <f>VLOOKUP(HSC115,[13]AssetDetails_UEM!$A$3:$AH$1849,6,FALSE)</f>
        <v>Electrosurgical Units, Monopolar/Bipolar</v>
      </c>
      <c r="HSE115" s="196" t="s">
        <v>761</v>
      </c>
      <c r="HSF115" s="197" t="str">
        <f>VLOOKUP(HSE115,[13]AssetDetails_UEM!$A$3:$AH$1849,6,FALSE)</f>
        <v>Electrosurgical Units, Monopolar/Bipolar</v>
      </c>
      <c r="HSG115" s="196" t="s">
        <v>761</v>
      </c>
      <c r="HSH115" s="197" t="str">
        <f>VLOOKUP(HSG115,[13]AssetDetails_UEM!$A$3:$AH$1849,6,FALSE)</f>
        <v>Electrosurgical Units, Monopolar/Bipolar</v>
      </c>
      <c r="HSI115" s="196" t="s">
        <v>761</v>
      </c>
      <c r="HSJ115" s="197" t="str">
        <f>VLOOKUP(HSI115,[13]AssetDetails_UEM!$A$3:$AH$1849,6,FALSE)</f>
        <v>Electrosurgical Units, Monopolar/Bipolar</v>
      </c>
      <c r="HSK115" s="196" t="s">
        <v>761</v>
      </c>
      <c r="HSL115" s="197" t="str">
        <f>VLOOKUP(HSK115,[13]AssetDetails_UEM!$A$3:$AH$1849,6,FALSE)</f>
        <v>Electrosurgical Units, Monopolar/Bipolar</v>
      </c>
      <c r="HSM115" s="196" t="s">
        <v>761</v>
      </c>
      <c r="HSN115" s="197" t="str">
        <f>VLOOKUP(HSM115,[13]AssetDetails_UEM!$A$3:$AH$1849,6,FALSE)</f>
        <v>Electrosurgical Units, Monopolar/Bipolar</v>
      </c>
      <c r="HSO115" s="196" t="s">
        <v>761</v>
      </c>
      <c r="HSP115" s="197" t="str">
        <f>VLOOKUP(HSO115,[13]AssetDetails_UEM!$A$3:$AH$1849,6,FALSE)</f>
        <v>Electrosurgical Units, Monopolar/Bipolar</v>
      </c>
      <c r="HSQ115" s="196" t="s">
        <v>761</v>
      </c>
      <c r="HSR115" s="197" t="str">
        <f>VLOOKUP(HSQ115,[13]AssetDetails_UEM!$A$3:$AH$1849,6,FALSE)</f>
        <v>Electrosurgical Units, Monopolar/Bipolar</v>
      </c>
      <c r="HSS115" s="196" t="s">
        <v>761</v>
      </c>
      <c r="HST115" s="197" t="str">
        <f>VLOOKUP(HSS115,[13]AssetDetails_UEM!$A$3:$AH$1849,6,FALSE)</f>
        <v>Electrosurgical Units, Monopolar/Bipolar</v>
      </c>
      <c r="HSU115" s="196" t="s">
        <v>761</v>
      </c>
      <c r="HSV115" s="197" t="str">
        <f>VLOOKUP(HSU115,[13]AssetDetails_UEM!$A$3:$AH$1849,6,FALSE)</f>
        <v>Electrosurgical Units, Monopolar/Bipolar</v>
      </c>
      <c r="HSW115" s="196" t="s">
        <v>761</v>
      </c>
      <c r="HSX115" s="197" t="str">
        <f>VLOOKUP(HSW115,[13]AssetDetails_UEM!$A$3:$AH$1849,6,FALSE)</f>
        <v>Electrosurgical Units, Monopolar/Bipolar</v>
      </c>
      <c r="HSY115" s="196" t="s">
        <v>761</v>
      </c>
      <c r="HSZ115" s="197" t="str">
        <f>VLOOKUP(HSY115,[13]AssetDetails_UEM!$A$3:$AH$1849,6,FALSE)</f>
        <v>Electrosurgical Units, Monopolar/Bipolar</v>
      </c>
      <c r="HTA115" s="196" t="s">
        <v>761</v>
      </c>
      <c r="HTB115" s="197" t="str">
        <f>VLOOKUP(HTA115,[13]AssetDetails_UEM!$A$3:$AH$1849,6,FALSE)</f>
        <v>Electrosurgical Units, Monopolar/Bipolar</v>
      </c>
      <c r="HTC115" s="196" t="s">
        <v>761</v>
      </c>
      <c r="HTD115" s="197" t="str">
        <f>VLOOKUP(HTC115,[13]AssetDetails_UEM!$A$3:$AH$1849,6,FALSE)</f>
        <v>Electrosurgical Units, Monopolar/Bipolar</v>
      </c>
      <c r="HTE115" s="196" t="s">
        <v>761</v>
      </c>
      <c r="HTF115" s="197" t="str">
        <f>VLOOKUP(HTE115,[13]AssetDetails_UEM!$A$3:$AH$1849,6,FALSE)</f>
        <v>Electrosurgical Units, Monopolar/Bipolar</v>
      </c>
      <c r="HTG115" s="196" t="s">
        <v>761</v>
      </c>
      <c r="HTH115" s="197" t="str">
        <f>VLOOKUP(HTG115,[13]AssetDetails_UEM!$A$3:$AH$1849,6,FALSE)</f>
        <v>Electrosurgical Units, Monopolar/Bipolar</v>
      </c>
      <c r="HTI115" s="196" t="s">
        <v>761</v>
      </c>
      <c r="HTJ115" s="197" t="str">
        <f>VLOOKUP(HTI115,[13]AssetDetails_UEM!$A$3:$AH$1849,6,FALSE)</f>
        <v>Electrosurgical Units, Monopolar/Bipolar</v>
      </c>
      <c r="HTK115" s="196" t="s">
        <v>761</v>
      </c>
      <c r="HTL115" s="197" t="str">
        <f>VLOOKUP(HTK115,[13]AssetDetails_UEM!$A$3:$AH$1849,6,FALSE)</f>
        <v>Electrosurgical Units, Monopolar/Bipolar</v>
      </c>
      <c r="HTM115" s="196" t="s">
        <v>761</v>
      </c>
      <c r="HTN115" s="197" t="str">
        <f>VLOOKUP(HTM115,[13]AssetDetails_UEM!$A$3:$AH$1849,6,FALSE)</f>
        <v>Electrosurgical Units, Monopolar/Bipolar</v>
      </c>
      <c r="HTO115" s="196" t="s">
        <v>761</v>
      </c>
      <c r="HTP115" s="197" t="str">
        <f>VLOOKUP(HTO115,[13]AssetDetails_UEM!$A$3:$AH$1849,6,FALSE)</f>
        <v>Electrosurgical Units, Monopolar/Bipolar</v>
      </c>
      <c r="HTQ115" s="196" t="s">
        <v>761</v>
      </c>
      <c r="HTR115" s="197" t="str">
        <f>VLOOKUP(HTQ115,[13]AssetDetails_UEM!$A$3:$AH$1849,6,FALSE)</f>
        <v>Electrosurgical Units, Monopolar/Bipolar</v>
      </c>
      <c r="HTS115" s="196" t="s">
        <v>761</v>
      </c>
      <c r="HTT115" s="197" t="str">
        <f>VLOOKUP(HTS115,[13]AssetDetails_UEM!$A$3:$AH$1849,6,FALSE)</f>
        <v>Electrosurgical Units, Monopolar/Bipolar</v>
      </c>
      <c r="HTU115" s="196" t="s">
        <v>761</v>
      </c>
      <c r="HTV115" s="197" t="str">
        <f>VLOOKUP(HTU115,[13]AssetDetails_UEM!$A$3:$AH$1849,6,FALSE)</f>
        <v>Electrosurgical Units, Monopolar/Bipolar</v>
      </c>
      <c r="HTW115" s="196" t="s">
        <v>761</v>
      </c>
      <c r="HTX115" s="197" t="str">
        <f>VLOOKUP(HTW115,[13]AssetDetails_UEM!$A$3:$AH$1849,6,FALSE)</f>
        <v>Electrosurgical Units, Monopolar/Bipolar</v>
      </c>
      <c r="HTY115" s="196" t="s">
        <v>761</v>
      </c>
      <c r="HTZ115" s="197" t="str">
        <f>VLOOKUP(HTY115,[13]AssetDetails_UEM!$A$3:$AH$1849,6,FALSE)</f>
        <v>Electrosurgical Units, Monopolar/Bipolar</v>
      </c>
      <c r="HUA115" s="196" t="s">
        <v>761</v>
      </c>
      <c r="HUB115" s="197" t="str">
        <f>VLOOKUP(HUA115,[13]AssetDetails_UEM!$A$3:$AH$1849,6,FALSE)</f>
        <v>Electrosurgical Units, Monopolar/Bipolar</v>
      </c>
      <c r="HUC115" s="196" t="s">
        <v>761</v>
      </c>
      <c r="HUD115" s="197" t="str">
        <f>VLOOKUP(HUC115,[13]AssetDetails_UEM!$A$3:$AH$1849,6,FALSE)</f>
        <v>Electrosurgical Units, Monopolar/Bipolar</v>
      </c>
      <c r="HUE115" s="196" t="s">
        <v>761</v>
      </c>
      <c r="HUF115" s="197" t="str">
        <f>VLOOKUP(HUE115,[13]AssetDetails_UEM!$A$3:$AH$1849,6,FALSE)</f>
        <v>Electrosurgical Units, Monopolar/Bipolar</v>
      </c>
      <c r="HUG115" s="196" t="s">
        <v>761</v>
      </c>
      <c r="HUH115" s="197" t="str">
        <f>VLOOKUP(HUG115,[13]AssetDetails_UEM!$A$3:$AH$1849,6,FALSE)</f>
        <v>Electrosurgical Units, Monopolar/Bipolar</v>
      </c>
      <c r="HUI115" s="196" t="s">
        <v>761</v>
      </c>
      <c r="HUJ115" s="197" t="str">
        <f>VLOOKUP(HUI115,[13]AssetDetails_UEM!$A$3:$AH$1849,6,FALSE)</f>
        <v>Electrosurgical Units, Monopolar/Bipolar</v>
      </c>
      <c r="HUK115" s="196" t="s">
        <v>761</v>
      </c>
      <c r="HUL115" s="197" t="str">
        <f>VLOOKUP(HUK115,[13]AssetDetails_UEM!$A$3:$AH$1849,6,FALSE)</f>
        <v>Electrosurgical Units, Monopolar/Bipolar</v>
      </c>
      <c r="HUM115" s="196" t="s">
        <v>761</v>
      </c>
      <c r="HUN115" s="197" t="str">
        <f>VLOOKUP(HUM115,[13]AssetDetails_UEM!$A$3:$AH$1849,6,FALSE)</f>
        <v>Electrosurgical Units, Monopolar/Bipolar</v>
      </c>
      <c r="HUO115" s="196" t="s">
        <v>761</v>
      </c>
      <c r="HUP115" s="197" t="str">
        <f>VLOOKUP(HUO115,[13]AssetDetails_UEM!$A$3:$AH$1849,6,FALSE)</f>
        <v>Electrosurgical Units, Monopolar/Bipolar</v>
      </c>
      <c r="HUQ115" s="196" t="s">
        <v>761</v>
      </c>
      <c r="HUR115" s="197" t="str">
        <f>VLOOKUP(HUQ115,[13]AssetDetails_UEM!$A$3:$AH$1849,6,FALSE)</f>
        <v>Electrosurgical Units, Monopolar/Bipolar</v>
      </c>
      <c r="HUS115" s="196" t="s">
        <v>761</v>
      </c>
      <c r="HUT115" s="197" t="str">
        <f>VLOOKUP(HUS115,[13]AssetDetails_UEM!$A$3:$AH$1849,6,FALSE)</f>
        <v>Electrosurgical Units, Monopolar/Bipolar</v>
      </c>
      <c r="HUU115" s="196" t="s">
        <v>761</v>
      </c>
      <c r="HUV115" s="197" t="str">
        <f>VLOOKUP(HUU115,[13]AssetDetails_UEM!$A$3:$AH$1849,6,FALSE)</f>
        <v>Electrosurgical Units, Monopolar/Bipolar</v>
      </c>
      <c r="HUW115" s="196" t="s">
        <v>761</v>
      </c>
      <c r="HUX115" s="197" t="str">
        <f>VLOOKUP(HUW115,[13]AssetDetails_UEM!$A$3:$AH$1849,6,FALSE)</f>
        <v>Electrosurgical Units, Monopolar/Bipolar</v>
      </c>
      <c r="HUY115" s="196" t="s">
        <v>761</v>
      </c>
      <c r="HUZ115" s="197" t="str">
        <f>VLOOKUP(HUY115,[13]AssetDetails_UEM!$A$3:$AH$1849,6,FALSE)</f>
        <v>Electrosurgical Units, Monopolar/Bipolar</v>
      </c>
      <c r="HVA115" s="196" t="s">
        <v>761</v>
      </c>
      <c r="HVB115" s="197" t="str">
        <f>VLOOKUP(HVA115,[13]AssetDetails_UEM!$A$3:$AH$1849,6,FALSE)</f>
        <v>Electrosurgical Units, Monopolar/Bipolar</v>
      </c>
      <c r="HVC115" s="196" t="s">
        <v>761</v>
      </c>
      <c r="HVD115" s="197" t="str">
        <f>VLOOKUP(HVC115,[13]AssetDetails_UEM!$A$3:$AH$1849,6,FALSE)</f>
        <v>Electrosurgical Units, Monopolar/Bipolar</v>
      </c>
      <c r="HVE115" s="196" t="s">
        <v>761</v>
      </c>
      <c r="HVF115" s="197" t="str">
        <f>VLOOKUP(HVE115,[13]AssetDetails_UEM!$A$3:$AH$1849,6,FALSE)</f>
        <v>Electrosurgical Units, Monopolar/Bipolar</v>
      </c>
      <c r="HVG115" s="196" t="s">
        <v>761</v>
      </c>
      <c r="HVH115" s="197" t="str">
        <f>VLOOKUP(HVG115,[13]AssetDetails_UEM!$A$3:$AH$1849,6,FALSE)</f>
        <v>Electrosurgical Units, Monopolar/Bipolar</v>
      </c>
      <c r="HVI115" s="196" t="s">
        <v>761</v>
      </c>
      <c r="HVJ115" s="197" t="str">
        <f>VLOOKUP(HVI115,[13]AssetDetails_UEM!$A$3:$AH$1849,6,FALSE)</f>
        <v>Electrosurgical Units, Monopolar/Bipolar</v>
      </c>
      <c r="HVK115" s="196" t="s">
        <v>761</v>
      </c>
      <c r="HVL115" s="197" t="str">
        <f>VLOOKUP(HVK115,[13]AssetDetails_UEM!$A$3:$AH$1849,6,FALSE)</f>
        <v>Electrosurgical Units, Monopolar/Bipolar</v>
      </c>
      <c r="HVM115" s="196" t="s">
        <v>761</v>
      </c>
      <c r="HVN115" s="197" t="str">
        <f>VLOOKUP(HVM115,[13]AssetDetails_UEM!$A$3:$AH$1849,6,FALSE)</f>
        <v>Electrosurgical Units, Monopolar/Bipolar</v>
      </c>
      <c r="HVO115" s="196" t="s">
        <v>761</v>
      </c>
      <c r="HVP115" s="197" t="str">
        <f>VLOOKUP(HVO115,[13]AssetDetails_UEM!$A$3:$AH$1849,6,FALSE)</f>
        <v>Electrosurgical Units, Monopolar/Bipolar</v>
      </c>
      <c r="HVQ115" s="196" t="s">
        <v>761</v>
      </c>
      <c r="HVR115" s="197" t="str">
        <f>VLOOKUP(HVQ115,[13]AssetDetails_UEM!$A$3:$AH$1849,6,FALSE)</f>
        <v>Electrosurgical Units, Monopolar/Bipolar</v>
      </c>
      <c r="HVS115" s="196" t="s">
        <v>761</v>
      </c>
      <c r="HVT115" s="197" t="str">
        <f>VLOOKUP(HVS115,[13]AssetDetails_UEM!$A$3:$AH$1849,6,FALSE)</f>
        <v>Electrosurgical Units, Monopolar/Bipolar</v>
      </c>
      <c r="HVU115" s="196" t="s">
        <v>761</v>
      </c>
      <c r="HVV115" s="197" t="str">
        <f>VLOOKUP(HVU115,[13]AssetDetails_UEM!$A$3:$AH$1849,6,FALSE)</f>
        <v>Electrosurgical Units, Monopolar/Bipolar</v>
      </c>
      <c r="HVW115" s="196" t="s">
        <v>761</v>
      </c>
      <c r="HVX115" s="197" t="str">
        <f>VLOOKUP(HVW115,[13]AssetDetails_UEM!$A$3:$AH$1849,6,FALSE)</f>
        <v>Electrosurgical Units, Monopolar/Bipolar</v>
      </c>
      <c r="HVY115" s="196" t="s">
        <v>761</v>
      </c>
      <c r="HVZ115" s="197" t="str">
        <f>VLOOKUP(HVY115,[13]AssetDetails_UEM!$A$3:$AH$1849,6,FALSE)</f>
        <v>Electrosurgical Units, Monopolar/Bipolar</v>
      </c>
      <c r="HWA115" s="196" t="s">
        <v>761</v>
      </c>
      <c r="HWB115" s="197" t="str">
        <f>VLOOKUP(HWA115,[13]AssetDetails_UEM!$A$3:$AH$1849,6,FALSE)</f>
        <v>Electrosurgical Units, Monopolar/Bipolar</v>
      </c>
      <c r="HWC115" s="196" t="s">
        <v>761</v>
      </c>
      <c r="HWD115" s="197" t="str">
        <f>VLOOKUP(HWC115,[13]AssetDetails_UEM!$A$3:$AH$1849,6,FALSE)</f>
        <v>Electrosurgical Units, Monopolar/Bipolar</v>
      </c>
      <c r="HWE115" s="196" t="s">
        <v>761</v>
      </c>
      <c r="HWF115" s="197" t="str">
        <f>VLOOKUP(HWE115,[13]AssetDetails_UEM!$A$3:$AH$1849,6,FALSE)</f>
        <v>Electrosurgical Units, Monopolar/Bipolar</v>
      </c>
      <c r="HWG115" s="196" t="s">
        <v>761</v>
      </c>
      <c r="HWH115" s="197" t="str">
        <f>VLOOKUP(HWG115,[13]AssetDetails_UEM!$A$3:$AH$1849,6,FALSE)</f>
        <v>Electrosurgical Units, Monopolar/Bipolar</v>
      </c>
      <c r="HWI115" s="196" t="s">
        <v>761</v>
      </c>
      <c r="HWJ115" s="197" t="str">
        <f>VLOOKUP(HWI115,[13]AssetDetails_UEM!$A$3:$AH$1849,6,FALSE)</f>
        <v>Electrosurgical Units, Monopolar/Bipolar</v>
      </c>
      <c r="HWK115" s="196" t="s">
        <v>761</v>
      </c>
      <c r="HWL115" s="197" t="str">
        <f>VLOOKUP(HWK115,[13]AssetDetails_UEM!$A$3:$AH$1849,6,FALSE)</f>
        <v>Electrosurgical Units, Monopolar/Bipolar</v>
      </c>
      <c r="HWM115" s="196" t="s">
        <v>761</v>
      </c>
      <c r="HWN115" s="197" t="str">
        <f>VLOOKUP(HWM115,[13]AssetDetails_UEM!$A$3:$AH$1849,6,FALSE)</f>
        <v>Electrosurgical Units, Monopolar/Bipolar</v>
      </c>
      <c r="HWO115" s="196" t="s">
        <v>761</v>
      </c>
      <c r="HWP115" s="197" t="str">
        <f>VLOOKUP(HWO115,[13]AssetDetails_UEM!$A$3:$AH$1849,6,FALSE)</f>
        <v>Electrosurgical Units, Monopolar/Bipolar</v>
      </c>
      <c r="HWQ115" s="196" t="s">
        <v>761</v>
      </c>
      <c r="HWR115" s="197" t="str">
        <f>VLOOKUP(HWQ115,[13]AssetDetails_UEM!$A$3:$AH$1849,6,FALSE)</f>
        <v>Electrosurgical Units, Monopolar/Bipolar</v>
      </c>
      <c r="HWS115" s="196" t="s">
        <v>761</v>
      </c>
      <c r="HWT115" s="197" t="str">
        <f>VLOOKUP(HWS115,[13]AssetDetails_UEM!$A$3:$AH$1849,6,FALSE)</f>
        <v>Electrosurgical Units, Monopolar/Bipolar</v>
      </c>
      <c r="HWU115" s="196" t="s">
        <v>761</v>
      </c>
      <c r="HWV115" s="197" t="str">
        <f>VLOOKUP(HWU115,[13]AssetDetails_UEM!$A$3:$AH$1849,6,FALSE)</f>
        <v>Electrosurgical Units, Monopolar/Bipolar</v>
      </c>
      <c r="HWW115" s="196" t="s">
        <v>761</v>
      </c>
      <c r="HWX115" s="197" t="str">
        <f>VLOOKUP(HWW115,[13]AssetDetails_UEM!$A$3:$AH$1849,6,FALSE)</f>
        <v>Electrosurgical Units, Monopolar/Bipolar</v>
      </c>
      <c r="HWY115" s="196" t="s">
        <v>761</v>
      </c>
      <c r="HWZ115" s="197" t="str">
        <f>VLOOKUP(HWY115,[13]AssetDetails_UEM!$A$3:$AH$1849,6,FALSE)</f>
        <v>Electrosurgical Units, Monopolar/Bipolar</v>
      </c>
      <c r="HXA115" s="196" t="s">
        <v>761</v>
      </c>
      <c r="HXB115" s="197" t="str">
        <f>VLOOKUP(HXA115,[13]AssetDetails_UEM!$A$3:$AH$1849,6,FALSE)</f>
        <v>Electrosurgical Units, Monopolar/Bipolar</v>
      </c>
      <c r="HXC115" s="196" t="s">
        <v>761</v>
      </c>
      <c r="HXD115" s="197" t="str">
        <f>VLOOKUP(HXC115,[13]AssetDetails_UEM!$A$3:$AH$1849,6,FALSE)</f>
        <v>Electrosurgical Units, Monopolar/Bipolar</v>
      </c>
      <c r="HXE115" s="196" t="s">
        <v>761</v>
      </c>
      <c r="HXF115" s="197" t="str">
        <f>VLOOKUP(HXE115,[13]AssetDetails_UEM!$A$3:$AH$1849,6,FALSE)</f>
        <v>Electrosurgical Units, Monopolar/Bipolar</v>
      </c>
      <c r="HXG115" s="196" t="s">
        <v>761</v>
      </c>
      <c r="HXH115" s="197" t="str">
        <f>VLOOKUP(HXG115,[13]AssetDetails_UEM!$A$3:$AH$1849,6,FALSE)</f>
        <v>Electrosurgical Units, Monopolar/Bipolar</v>
      </c>
      <c r="HXI115" s="196" t="s">
        <v>761</v>
      </c>
      <c r="HXJ115" s="197" t="str">
        <f>VLOOKUP(HXI115,[13]AssetDetails_UEM!$A$3:$AH$1849,6,FALSE)</f>
        <v>Electrosurgical Units, Monopolar/Bipolar</v>
      </c>
      <c r="HXK115" s="196" t="s">
        <v>761</v>
      </c>
      <c r="HXL115" s="197" t="str">
        <f>VLOOKUP(HXK115,[13]AssetDetails_UEM!$A$3:$AH$1849,6,FALSE)</f>
        <v>Electrosurgical Units, Monopolar/Bipolar</v>
      </c>
      <c r="HXM115" s="196" t="s">
        <v>761</v>
      </c>
      <c r="HXN115" s="197" t="str">
        <f>VLOOKUP(HXM115,[13]AssetDetails_UEM!$A$3:$AH$1849,6,FALSE)</f>
        <v>Electrosurgical Units, Monopolar/Bipolar</v>
      </c>
      <c r="HXO115" s="196" t="s">
        <v>761</v>
      </c>
      <c r="HXP115" s="197" t="str">
        <f>VLOOKUP(HXO115,[13]AssetDetails_UEM!$A$3:$AH$1849,6,FALSE)</f>
        <v>Electrosurgical Units, Monopolar/Bipolar</v>
      </c>
      <c r="HXQ115" s="196" t="s">
        <v>761</v>
      </c>
      <c r="HXR115" s="197" t="str">
        <f>VLOOKUP(HXQ115,[13]AssetDetails_UEM!$A$3:$AH$1849,6,FALSE)</f>
        <v>Electrosurgical Units, Monopolar/Bipolar</v>
      </c>
      <c r="HXS115" s="196" t="s">
        <v>761</v>
      </c>
      <c r="HXT115" s="197" t="str">
        <f>VLOOKUP(HXS115,[13]AssetDetails_UEM!$A$3:$AH$1849,6,FALSE)</f>
        <v>Electrosurgical Units, Monopolar/Bipolar</v>
      </c>
      <c r="HXU115" s="196" t="s">
        <v>761</v>
      </c>
      <c r="HXV115" s="197" t="str">
        <f>VLOOKUP(HXU115,[13]AssetDetails_UEM!$A$3:$AH$1849,6,FALSE)</f>
        <v>Electrosurgical Units, Monopolar/Bipolar</v>
      </c>
      <c r="HXW115" s="196" t="s">
        <v>761</v>
      </c>
      <c r="HXX115" s="197" t="str">
        <f>VLOOKUP(HXW115,[13]AssetDetails_UEM!$A$3:$AH$1849,6,FALSE)</f>
        <v>Electrosurgical Units, Monopolar/Bipolar</v>
      </c>
      <c r="HXY115" s="196" t="s">
        <v>761</v>
      </c>
      <c r="HXZ115" s="197" t="str">
        <f>VLOOKUP(HXY115,[13]AssetDetails_UEM!$A$3:$AH$1849,6,FALSE)</f>
        <v>Electrosurgical Units, Monopolar/Bipolar</v>
      </c>
      <c r="HYA115" s="196" t="s">
        <v>761</v>
      </c>
      <c r="HYB115" s="197" t="str">
        <f>VLOOKUP(HYA115,[13]AssetDetails_UEM!$A$3:$AH$1849,6,FALSE)</f>
        <v>Electrosurgical Units, Monopolar/Bipolar</v>
      </c>
      <c r="HYC115" s="196" t="s">
        <v>761</v>
      </c>
      <c r="HYD115" s="197" t="str">
        <f>VLOOKUP(HYC115,[13]AssetDetails_UEM!$A$3:$AH$1849,6,FALSE)</f>
        <v>Electrosurgical Units, Monopolar/Bipolar</v>
      </c>
      <c r="HYE115" s="196" t="s">
        <v>761</v>
      </c>
      <c r="HYF115" s="197" t="str">
        <f>VLOOKUP(HYE115,[13]AssetDetails_UEM!$A$3:$AH$1849,6,FALSE)</f>
        <v>Electrosurgical Units, Monopolar/Bipolar</v>
      </c>
      <c r="HYG115" s="196" t="s">
        <v>761</v>
      </c>
      <c r="HYH115" s="197" t="str">
        <f>VLOOKUP(HYG115,[13]AssetDetails_UEM!$A$3:$AH$1849,6,FALSE)</f>
        <v>Electrosurgical Units, Monopolar/Bipolar</v>
      </c>
      <c r="HYI115" s="196" t="s">
        <v>761</v>
      </c>
      <c r="HYJ115" s="197" t="str">
        <f>VLOOKUP(HYI115,[13]AssetDetails_UEM!$A$3:$AH$1849,6,FALSE)</f>
        <v>Electrosurgical Units, Monopolar/Bipolar</v>
      </c>
      <c r="HYK115" s="196" t="s">
        <v>761</v>
      </c>
      <c r="HYL115" s="197" t="str">
        <f>VLOOKUP(HYK115,[13]AssetDetails_UEM!$A$3:$AH$1849,6,FALSE)</f>
        <v>Electrosurgical Units, Monopolar/Bipolar</v>
      </c>
      <c r="HYM115" s="196" t="s">
        <v>761</v>
      </c>
      <c r="HYN115" s="197" t="str">
        <f>VLOOKUP(HYM115,[13]AssetDetails_UEM!$A$3:$AH$1849,6,FALSE)</f>
        <v>Electrosurgical Units, Monopolar/Bipolar</v>
      </c>
      <c r="HYO115" s="196" t="s">
        <v>761</v>
      </c>
      <c r="HYP115" s="197" t="str">
        <f>VLOOKUP(HYO115,[13]AssetDetails_UEM!$A$3:$AH$1849,6,FALSE)</f>
        <v>Electrosurgical Units, Monopolar/Bipolar</v>
      </c>
      <c r="HYQ115" s="196" t="s">
        <v>761</v>
      </c>
      <c r="HYR115" s="197" t="str">
        <f>VLOOKUP(HYQ115,[13]AssetDetails_UEM!$A$3:$AH$1849,6,FALSE)</f>
        <v>Electrosurgical Units, Monopolar/Bipolar</v>
      </c>
      <c r="HYS115" s="196" t="s">
        <v>761</v>
      </c>
      <c r="HYT115" s="197" t="str">
        <f>VLOOKUP(HYS115,[13]AssetDetails_UEM!$A$3:$AH$1849,6,FALSE)</f>
        <v>Electrosurgical Units, Monopolar/Bipolar</v>
      </c>
      <c r="HYU115" s="196" t="s">
        <v>761</v>
      </c>
      <c r="HYV115" s="197" t="str">
        <f>VLOOKUP(HYU115,[13]AssetDetails_UEM!$A$3:$AH$1849,6,FALSE)</f>
        <v>Electrosurgical Units, Monopolar/Bipolar</v>
      </c>
      <c r="HYW115" s="196" t="s">
        <v>761</v>
      </c>
      <c r="HYX115" s="197" t="str">
        <f>VLOOKUP(HYW115,[13]AssetDetails_UEM!$A$3:$AH$1849,6,FALSE)</f>
        <v>Electrosurgical Units, Monopolar/Bipolar</v>
      </c>
      <c r="HYY115" s="196" t="s">
        <v>761</v>
      </c>
      <c r="HYZ115" s="197" t="str">
        <f>VLOOKUP(HYY115,[13]AssetDetails_UEM!$A$3:$AH$1849,6,FALSE)</f>
        <v>Electrosurgical Units, Monopolar/Bipolar</v>
      </c>
      <c r="HZA115" s="196" t="s">
        <v>761</v>
      </c>
      <c r="HZB115" s="197" t="str">
        <f>VLOOKUP(HZA115,[13]AssetDetails_UEM!$A$3:$AH$1849,6,FALSE)</f>
        <v>Electrosurgical Units, Monopolar/Bipolar</v>
      </c>
      <c r="HZC115" s="196" t="s">
        <v>761</v>
      </c>
      <c r="HZD115" s="197" t="str">
        <f>VLOOKUP(HZC115,[13]AssetDetails_UEM!$A$3:$AH$1849,6,FALSE)</f>
        <v>Electrosurgical Units, Monopolar/Bipolar</v>
      </c>
      <c r="HZE115" s="196" t="s">
        <v>761</v>
      </c>
      <c r="HZF115" s="197" t="str">
        <f>VLOOKUP(HZE115,[13]AssetDetails_UEM!$A$3:$AH$1849,6,FALSE)</f>
        <v>Electrosurgical Units, Monopolar/Bipolar</v>
      </c>
      <c r="HZG115" s="196" t="s">
        <v>761</v>
      </c>
      <c r="HZH115" s="197" t="str">
        <f>VLOOKUP(HZG115,[13]AssetDetails_UEM!$A$3:$AH$1849,6,FALSE)</f>
        <v>Electrosurgical Units, Monopolar/Bipolar</v>
      </c>
      <c r="HZI115" s="196" t="s">
        <v>761</v>
      </c>
      <c r="HZJ115" s="197" t="str">
        <f>VLOOKUP(HZI115,[13]AssetDetails_UEM!$A$3:$AH$1849,6,FALSE)</f>
        <v>Electrosurgical Units, Monopolar/Bipolar</v>
      </c>
      <c r="HZK115" s="196" t="s">
        <v>761</v>
      </c>
      <c r="HZL115" s="197" t="str">
        <f>VLOOKUP(HZK115,[13]AssetDetails_UEM!$A$3:$AH$1849,6,FALSE)</f>
        <v>Electrosurgical Units, Monopolar/Bipolar</v>
      </c>
      <c r="HZM115" s="196" t="s">
        <v>761</v>
      </c>
      <c r="HZN115" s="197" t="str">
        <f>VLOOKUP(HZM115,[13]AssetDetails_UEM!$A$3:$AH$1849,6,FALSE)</f>
        <v>Electrosurgical Units, Monopolar/Bipolar</v>
      </c>
      <c r="HZO115" s="196" t="s">
        <v>761</v>
      </c>
      <c r="HZP115" s="197" t="str">
        <f>VLOOKUP(HZO115,[13]AssetDetails_UEM!$A$3:$AH$1849,6,FALSE)</f>
        <v>Electrosurgical Units, Monopolar/Bipolar</v>
      </c>
      <c r="HZQ115" s="196" t="s">
        <v>761</v>
      </c>
      <c r="HZR115" s="197" t="str">
        <f>VLOOKUP(HZQ115,[13]AssetDetails_UEM!$A$3:$AH$1849,6,FALSE)</f>
        <v>Electrosurgical Units, Monopolar/Bipolar</v>
      </c>
      <c r="HZS115" s="196" t="s">
        <v>761</v>
      </c>
      <c r="HZT115" s="197" t="str">
        <f>VLOOKUP(HZS115,[13]AssetDetails_UEM!$A$3:$AH$1849,6,FALSE)</f>
        <v>Electrosurgical Units, Monopolar/Bipolar</v>
      </c>
      <c r="HZU115" s="196" t="s">
        <v>761</v>
      </c>
      <c r="HZV115" s="197" t="str">
        <f>VLOOKUP(HZU115,[13]AssetDetails_UEM!$A$3:$AH$1849,6,FALSE)</f>
        <v>Electrosurgical Units, Monopolar/Bipolar</v>
      </c>
      <c r="HZW115" s="196" t="s">
        <v>761</v>
      </c>
      <c r="HZX115" s="197" t="str">
        <f>VLOOKUP(HZW115,[13]AssetDetails_UEM!$A$3:$AH$1849,6,FALSE)</f>
        <v>Electrosurgical Units, Monopolar/Bipolar</v>
      </c>
      <c r="HZY115" s="196" t="s">
        <v>761</v>
      </c>
      <c r="HZZ115" s="197" t="str">
        <f>VLOOKUP(HZY115,[13]AssetDetails_UEM!$A$3:$AH$1849,6,FALSE)</f>
        <v>Electrosurgical Units, Monopolar/Bipolar</v>
      </c>
      <c r="IAA115" s="196" t="s">
        <v>761</v>
      </c>
      <c r="IAB115" s="197" t="str">
        <f>VLOOKUP(IAA115,[13]AssetDetails_UEM!$A$3:$AH$1849,6,FALSE)</f>
        <v>Electrosurgical Units, Monopolar/Bipolar</v>
      </c>
      <c r="IAC115" s="196" t="s">
        <v>761</v>
      </c>
      <c r="IAD115" s="197" t="str">
        <f>VLOOKUP(IAC115,[13]AssetDetails_UEM!$A$3:$AH$1849,6,FALSE)</f>
        <v>Electrosurgical Units, Monopolar/Bipolar</v>
      </c>
      <c r="IAE115" s="196" t="s">
        <v>761</v>
      </c>
      <c r="IAF115" s="197" t="str">
        <f>VLOOKUP(IAE115,[13]AssetDetails_UEM!$A$3:$AH$1849,6,FALSE)</f>
        <v>Electrosurgical Units, Monopolar/Bipolar</v>
      </c>
      <c r="IAG115" s="196" t="s">
        <v>761</v>
      </c>
      <c r="IAH115" s="197" t="str">
        <f>VLOOKUP(IAG115,[13]AssetDetails_UEM!$A$3:$AH$1849,6,FALSE)</f>
        <v>Electrosurgical Units, Monopolar/Bipolar</v>
      </c>
      <c r="IAI115" s="196" t="s">
        <v>761</v>
      </c>
      <c r="IAJ115" s="197" t="str">
        <f>VLOOKUP(IAI115,[13]AssetDetails_UEM!$A$3:$AH$1849,6,FALSE)</f>
        <v>Electrosurgical Units, Monopolar/Bipolar</v>
      </c>
      <c r="IAK115" s="196" t="s">
        <v>761</v>
      </c>
      <c r="IAL115" s="197" t="str">
        <f>VLOOKUP(IAK115,[13]AssetDetails_UEM!$A$3:$AH$1849,6,FALSE)</f>
        <v>Electrosurgical Units, Monopolar/Bipolar</v>
      </c>
      <c r="IAM115" s="196" t="s">
        <v>761</v>
      </c>
      <c r="IAN115" s="197" t="str">
        <f>VLOOKUP(IAM115,[13]AssetDetails_UEM!$A$3:$AH$1849,6,FALSE)</f>
        <v>Electrosurgical Units, Monopolar/Bipolar</v>
      </c>
      <c r="IAO115" s="196" t="s">
        <v>761</v>
      </c>
      <c r="IAP115" s="197" t="str">
        <f>VLOOKUP(IAO115,[13]AssetDetails_UEM!$A$3:$AH$1849,6,FALSE)</f>
        <v>Electrosurgical Units, Monopolar/Bipolar</v>
      </c>
      <c r="IAQ115" s="196" t="s">
        <v>761</v>
      </c>
      <c r="IAR115" s="197" t="str">
        <f>VLOOKUP(IAQ115,[13]AssetDetails_UEM!$A$3:$AH$1849,6,FALSE)</f>
        <v>Electrosurgical Units, Monopolar/Bipolar</v>
      </c>
      <c r="IAS115" s="196" t="s">
        <v>761</v>
      </c>
      <c r="IAT115" s="197" t="str">
        <f>VLOOKUP(IAS115,[13]AssetDetails_UEM!$A$3:$AH$1849,6,FALSE)</f>
        <v>Electrosurgical Units, Monopolar/Bipolar</v>
      </c>
      <c r="IAU115" s="196" t="s">
        <v>761</v>
      </c>
      <c r="IAV115" s="197" t="str">
        <f>VLOOKUP(IAU115,[13]AssetDetails_UEM!$A$3:$AH$1849,6,FALSE)</f>
        <v>Electrosurgical Units, Monopolar/Bipolar</v>
      </c>
      <c r="IAW115" s="196" t="s">
        <v>761</v>
      </c>
      <c r="IAX115" s="197" t="str">
        <f>VLOOKUP(IAW115,[13]AssetDetails_UEM!$A$3:$AH$1849,6,FALSE)</f>
        <v>Electrosurgical Units, Monopolar/Bipolar</v>
      </c>
      <c r="IAY115" s="196" t="s">
        <v>761</v>
      </c>
      <c r="IAZ115" s="197" t="str">
        <f>VLOOKUP(IAY115,[13]AssetDetails_UEM!$A$3:$AH$1849,6,FALSE)</f>
        <v>Electrosurgical Units, Monopolar/Bipolar</v>
      </c>
      <c r="IBA115" s="196" t="s">
        <v>761</v>
      </c>
      <c r="IBB115" s="197" t="str">
        <f>VLOOKUP(IBA115,[13]AssetDetails_UEM!$A$3:$AH$1849,6,FALSE)</f>
        <v>Electrosurgical Units, Monopolar/Bipolar</v>
      </c>
      <c r="IBC115" s="196" t="s">
        <v>761</v>
      </c>
      <c r="IBD115" s="197" t="str">
        <f>VLOOKUP(IBC115,[13]AssetDetails_UEM!$A$3:$AH$1849,6,FALSE)</f>
        <v>Electrosurgical Units, Monopolar/Bipolar</v>
      </c>
      <c r="IBE115" s="196" t="s">
        <v>761</v>
      </c>
      <c r="IBF115" s="197" t="str">
        <f>VLOOKUP(IBE115,[13]AssetDetails_UEM!$A$3:$AH$1849,6,FALSE)</f>
        <v>Electrosurgical Units, Monopolar/Bipolar</v>
      </c>
      <c r="IBG115" s="196" t="s">
        <v>761</v>
      </c>
      <c r="IBH115" s="197" t="str">
        <f>VLOOKUP(IBG115,[13]AssetDetails_UEM!$A$3:$AH$1849,6,FALSE)</f>
        <v>Electrosurgical Units, Monopolar/Bipolar</v>
      </c>
      <c r="IBI115" s="196" t="s">
        <v>761</v>
      </c>
      <c r="IBJ115" s="197" t="str">
        <f>VLOOKUP(IBI115,[13]AssetDetails_UEM!$A$3:$AH$1849,6,FALSE)</f>
        <v>Electrosurgical Units, Monopolar/Bipolar</v>
      </c>
      <c r="IBK115" s="196" t="s">
        <v>761</v>
      </c>
      <c r="IBL115" s="197" t="str">
        <f>VLOOKUP(IBK115,[13]AssetDetails_UEM!$A$3:$AH$1849,6,FALSE)</f>
        <v>Electrosurgical Units, Monopolar/Bipolar</v>
      </c>
      <c r="IBM115" s="196" t="s">
        <v>761</v>
      </c>
      <c r="IBN115" s="197" t="str">
        <f>VLOOKUP(IBM115,[13]AssetDetails_UEM!$A$3:$AH$1849,6,FALSE)</f>
        <v>Electrosurgical Units, Monopolar/Bipolar</v>
      </c>
      <c r="IBO115" s="196" t="s">
        <v>761</v>
      </c>
      <c r="IBP115" s="197" t="str">
        <f>VLOOKUP(IBO115,[13]AssetDetails_UEM!$A$3:$AH$1849,6,FALSE)</f>
        <v>Electrosurgical Units, Monopolar/Bipolar</v>
      </c>
      <c r="IBQ115" s="196" t="s">
        <v>761</v>
      </c>
      <c r="IBR115" s="197" t="str">
        <f>VLOOKUP(IBQ115,[13]AssetDetails_UEM!$A$3:$AH$1849,6,FALSE)</f>
        <v>Electrosurgical Units, Monopolar/Bipolar</v>
      </c>
      <c r="IBS115" s="196" t="s">
        <v>761</v>
      </c>
      <c r="IBT115" s="197" t="str">
        <f>VLOOKUP(IBS115,[13]AssetDetails_UEM!$A$3:$AH$1849,6,FALSE)</f>
        <v>Electrosurgical Units, Monopolar/Bipolar</v>
      </c>
      <c r="IBU115" s="196" t="s">
        <v>761</v>
      </c>
      <c r="IBV115" s="197" t="str">
        <f>VLOOKUP(IBU115,[13]AssetDetails_UEM!$A$3:$AH$1849,6,FALSE)</f>
        <v>Electrosurgical Units, Monopolar/Bipolar</v>
      </c>
      <c r="IBW115" s="196" t="s">
        <v>761</v>
      </c>
      <c r="IBX115" s="197" t="str">
        <f>VLOOKUP(IBW115,[13]AssetDetails_UEM!$A$3:$AH$1849,6,FALSE)</f>
        <v>Electrosurgical Units, Monopolar/Bipolar</v>
      </c>
      <c r="IBY115" s="196" t="s">
        <v>761</v>
      </c>
      <c r="IBZ115" s="197" t="str">
        <f>VLOOKUP(IBY115,[13]AssetDetails_UEM!$A$3:$AH$1849,6,FALSE)</f>
        <v>Electrosurgical Units, Monopolar/Bipolar</v>
      </c>
      <c r="ICA115" s="196" t="s">
        <v>761</v>
      </c>
      <c r="ICB115" s="197" t="str">
        <f>VLOOKUP(ICA115,[13]AssetDetails_UEM!$A$3:$AH$1849,6,FALSE)</f>
        <v>Electrosurgical Units, Monopolar/Bipolar</v>
      </c>
      <c r="ICC115" s="196" t="s">
        <v>761</v>
      </c>
      <c r="ICD115" s="197" t="str">
        <f>VLOOKUP(ICC115,[13]AssetDetails_UEM!$A$3:$AH$1849,6,FALSE)</f>
        <v>Electrosurgical Units, Monopolar/Bipolar</v>
      </c>
      <c r="ICE115" s="196" t="s">
        <v>761</v>
      </c>
      <c r="ICF115" s="197" t="str">
        <f>VLOOKUP(ICE115,[13]AssetDetails_UEM!$A$3:$AH$1849,6,FALSE)</f>
        <v>Electrosurgical Units, Monopolar/Bipolar</v>
      </c>
      <c r="ICG115" s="196" t="s">
        <v>761</v>
      </c>
      <c r="ICH115" s="197" t="str">
        <f>VLOOKUP(ICG115,[13]AssetDetails_UEM!$A$3:$AH$1849,6,FALSE)</f>
        <v>Electrosurgical Units, Monopolar/Bipolar</v>
      </c>
      <c r="ICI115" s="196" t="s">
        <v>761</v>
      </c>
      <c r="ICJ115" s="197" t="str">
        <f>VLOOKUP(ICI115,[13]AssetDetails_UEM!$A$3:$AH$1849,6,FALSE)</f>
        <v>Electrosurgical Units, Monopolar/Bipolar</v>
      </c>
      <c r="ICK115" s="196" t="s">
        <v>761</v>
      </c>
      <c r="ICL115" s="197" t="str">
        <f>VLOOKUP(ICK115,[13]AssetDetails_UEM!$A$3:$AH$1849,6,FALSE)</f>
        <v>Electrosurgical Units, Monopolar/Bipolar</v>
      </c>
      <c r="ICM115" s="196" t="s">
        <v>761</v>
      </c>
      <c r="ICN115" s="197" t="str">
        <f>VLOOKUP(ICM115,[13]AssetDetails_UEM!$A$3:$AH$1849,6,FALSE)</f>
        <v>Electrosurgical Units, Monopolar/Bipolar</v>
      </c>
      <c r="ICO115" s="196" t="s">
        <v>761</v>
      </c>
      <c r="ICP115" s="197" t="str">
        <f>VLOOKUP(ICO115,[13]AssetDetails_UEM!$A$3:$AH$1849,6,FALSE)</f>
        <v>Electrosurgical Units, Monopolar/Bipolar</v>
      </c>
      <c r="ICQ115" s="196" t="s">
        <v>761</v>
      </c>
      <c r="ICR115" s="197" t="str">
        <f>VLOOKUP(ICQ115,[13]AssetDetails_UEM!$A$3:$AH$1849,6,FALSE)</f>
        <v>Electrosurgical Units, Monopolar/Bipolar</v>
      </c>
      <c r="ICS115" s="196" t="s">
        <v>761</v>
      </c>
      <c r="ICT115" s="197" t="str">
        <f>VLOOKUP(ICS115,[13]AssetDetails_UEM!$A$3:$AH$1849,6,FALSE)</f>
        <v>Electrosurgical Units, Monopolar/Bipolar</v>
      </c>
      <c r="ICU115" s="196" t="s">
        <v>761</v>
      </c>
      <c r="ICV115" s="197" t="str">
        <f>VLOOKUP(ICU115,[13]AssetDetails_UEM!$A$3:$AH$1849,6,FALSE)</f>
        <v>Electrosurgical Units, Monopolar/Bipolar</v>
      </c>
      <c r="ICW115" s="196" t="s">
        <v>761</v>
      </c>
      <c r="ICX115" s="197" t="str">
        <f>VLOOKUP(ICW115,[13]AssetDetails_UEM!$A$3:$AH$1849,6,FALSE)</f>
        <v>Electrosurgical Units, Monopolar/Bipolar</v>
      </c>
      <c r="ICY115" s="196" t="s">
        <v>761</v>
      </c>
      <c r="ICZ115" s="197" t="str">
        <f>VLOOKUP(ICY115,[13]AssetDetails_UEM!$A$3:$AH$1849,6,FALSE)</f>
        <v>Electrosurgical Units, Monopolar/Bipolar</v>
      </c>
      <c r="IDA115" s="196" t="s">
        <v>761</v>
      </c>
      <c r="IDB115" s="197" t="str">
        <f>VLOOKUP(IDA115,[13]AssetDetails_UEM!$A$3:$AH$1849,6,FALSE)</f>
        <v>Electrosurgical Units, Monopolar/Bipolar</v>
      </c>
      <c r="IDC115" s="196" t="s">
        <v>761</v>
      </c>
      <c r="IDD115" s="197" t="str">
        <f>VLOOKUP(IDC115,[13]AssetDetails_UEM!$A$3:$AH$1849,6,FALSE)</f>
        <v>Electrosurgical Units, Monopolar/Bipolar</v>
      </c>
      <c r="IDE115" s="196" t="s">
        <v>761</v>
      </c>
      <c r="IDF115" s="197" t="str">
        <f>VLOOKUP(IDE115,[13]AssetDetails_UEM!$A$3:$AH$1849,6,FALSE)</f>
        <v>Electrosurgical Units, Monopolar/Bipolar</v>
      </c>
      <c r="IDG115" s="196" t="s">
        <v>761</v>
      </c>
      <c r="IDH115" s="197" t="str">
        <f>VLOOKUP(IDG115,[13]AssetDetails_UEM!$A$3:$AH$1849,6,FALSE)</f>
        <v>Electrosurgical Units, Monopolar/Bipolar</v>
      </c>
      <c r="IDI115" s="196" t="s">
        <v>761</v>
      </c>
      <c r="IDJ115" s="197" t="str">
        <f>VLOOKUP(IDI115,[13]AssetDetails_UEM!$A$3:$AH$1849,6,FALSE)</f>
        <v>Electrosurgical Units, Monopolar/Bipolar</v>
      </c>
      <c r="IDK115" s="196" t="s">
        <v>761</v>
      </c>
      <c r="IDL115" s="197" t="str">
        <f>VLOOKUP(IDK115,[13]AssetDetails_UEM!$A$3:$AH$1849,6,FALSE)</f>
        <v>Electrosurgical Units, Monopolar/Bipolar</v>
      </c>
      <c r="IDM115" s="196" t="s">
        <v>761</v>
      </c>
      <c r="IDN115" s="197" t="str">
        <f>VLOOKUP(IDM115,[13]AssetDetails_UEM!$A$3:$AH$1849,6,FALSE)</f>
        <v>Electrosurgical Units, Monopolar/Bipolar</v>
      </c>
      <c r="IDO115" s="196" t="s">
        <v>761</v>
      </c>
      <c r="IDP115" s="197" t="str">
        <f>VLOOKUP(IDO115,[13]AssetDetails_UEM!$A$3:$AH$1849,6,FALSE)</f>
        <v>Electrosurgical Units, Monopolar/Bipolar</v>
      </c>
      <c r="IDQ115" s="196" t="s">
        <v>761</v>
      </c>
      <c r="IDR115" s="197" t="str">
        <f>VLOOKUP(IDQ115,[13]AssetDetails_UEM!$A$3:$AH$1849,6,FALSE)</f>
        <v>Electrosurgical Units, Monopolar/Bipolar</v>
      </c>
      <c r="IDS115" s="196" t="s">
        <v>761</v>
      </c>
      <c r="IDT115" s="197" t="str">
        <f>VLOOKUP(IDS115,[13]AssetDetails_UEM!$A$3:$AH$1849,6,FALSE)</f>
        <v>Electrosurgical Units, Monopolar/Bipolar</v>
      </c>
      <c r="IDU115" s="196" t="s">
        <v>761</v>
      </c>
      <c r="IDV115" s="197" t="str">
        <f>VLOOKUP(IDU115,[13]AssetDetails_UEM!$A$3:$AH$1849,6,FALSE)</f>
        <v>Electrosurgical Units, Monopolar/Bipolar</v>
      </c>
      <c r="IDW115" s="196" t="s">
        <v>761</v>
      </c>
      <c r="IDX115" s="197" t="str">
        <f>VLOOKUP(IDW115,[13]AssetDetails_UEM!$A$3:$AH$1849,6,FALSE)</f>
        <v>Electrosurgical Units, Monopolar/Bipolar</v>
      </c>
      <c r="IDY115" s="196" t="s">
        <v>761</v>
      </c>
      <c r="IDZ115" s="197" t="str">
        <f>VLOOKUP(IDY115,[13]AssetDetails_UEM!$A$3:$AH$1849,6,FALSE)</f>
        <v>Electrosurgical Units, Monopolar/Bipolar</v>
      </c>
      <c r="IEA115" s="196" t="s">
        <v>761</v>
      </c>
      <c r="IEB115" s="197" t="str">
        <f>VLOOKUP(IEA115,[13]AssetDetails_UEM!$A$3:$AH$1849,6,FALSE)</f>
        <v>Electrosurgical Units, Monopolar/Bipolar</v>
      </c>
      <c r="IEC115" s="196" t="s">
        <v>761</v>
      </c>
      <c r="IED115" s="197" t="str">
        <f>VLOOKUP(IEC115,[13]AssetDetails_UEM!$A$3:$AH$1849,6,FALSE)</f>
        <v>Electrosurgical Units, Monopolar/Bipolar</v>
      </c>
      <c r="IEE115" s="196" t="s">
        <v>761</v>
      </c>
      <c r="IEF115" s="197" t="str">
        <f>VLOOKUP(IEE115,[13]AssetDetails_UEM!$A$3:$AH$1849,6,FALSE)</f>
        <v>Electrosurgical Units, Monopolar/Bipolar</v>
      </c>
      <c r="IEG115" s="196" t="s">
        <v>761</v>
      </c>
      <c r="IEH115" s="197" t="str">
        <f>VLOOKUP(IEG115,[13]AssetDetails_UEM!$A$3:$AH$1849,6,FALSE)</f>
        <v>Electrosurgical Units, Monopolar/Bipolar</v>
      </c>
      <c r="IEI115" s="196" t="s">
        <v>761</v>
      </c>
      <c r="IEJ115" s="197" t="str">
        <f>VLOOKUP(IEI115,[13]AssetDetails_UEM!$A$3:$AH$1849,6,FALSE)</f>
        <v>Electrosurgical Units, Monopolar/Bipolar</v>
      </c>
      <c r="IEK115" s="196" t="s">
        <v>761</v>
      </c>
      <c r="IEL115" s="197" t="str">
        <f>VLOOKUP(IEK115,[13]AssetDetails_UEM!$A$3:$AH$1849,6,FALSE)</f>
        <v>Electrosurgical Units, Monopolar/Bipolar</v>
      </c>
      <c r="IEM115" s="196" t="s">
        <v>761</v>
      </c>
      <c r="IEN115" s="197" t="str">
        <f>VLOOKUP(IEM115,[13]AssetDetails_UEM!$A$3:$AH$1849,6,FALSE)</f>
        <v>Electrosurgical Units, Monopolar/Bipolar</v>
      </c>
      <c r="IEO115" s="196" t="s">
        <v>761</v>
      </c>
      <c r="IEP115" s="197" t="str">
        <f>VLOOKUP(IEO115,[13]AssetDetails_UEM!$A$3:$AH$1849,6,FALSE)</f>
        <v>Electrosurgical Units, Monopolar/Bipolar</v>
      </c>
      <c r="IEQ115" s="196" t="s">
        <v>761</v>
      </c>
      <c r="IER115" s="197" t="str">
        <f>VLOOKUP(IEQ115,[13]AssetDetails_UEM!$A$3:$AH$1849,6,FALSE)</f>
        <v>Electrosurgical Units, Monopolar/Bipolar</v>
      </c>
      <c r="IES115" s="196" t="s">
        <v>761</v>
      </c>
      <c r="IET115" s="197" t="str">
        <f>VLOOKUP(IES115,[13]AssetDetails_UEM!$A$3:$AH$1849,6,FALSE)</f>
        <v>Electrosurgical Units, Monopolar/Bipolar</v>
      </c>
      <c r="IEU115" s="196" t="s">
        <v>761</v>
      </c>
      <c r="IEV115" s="197" t="str">
        <f>VLOOKUP(IEU115,[13]AssetDetails_UEM!$A$3:$AH$1849,6,FALSE)</f>
        <v>Electrosurgical Units, Monopolar/Bipolar</v>
      </c>
      <c r="IEW115" s="196" t="s">
        <v>761</v>
      </c>
      <c r="IEX115" s="197" t="str">
        <f>VLOOKUP(IEW115,[13]AssetDetails_UEM!$A$3:$AH$1849,6,FALSE)</f>
        <v>Electrosurgical Units, Monopolar/Bipolar</v>
      </c>
      <c r="IEY115" s="196" t="s">
        <v>761</v>
      </c>
      <c r="IEZ115" s="197" t="str">
        <f>VLOOKUP(IEY115,[13]AssetDetails_UEM!$A$3:$AH$1849,6,FALSE)</f>
        <v>Electrosurgical Units, Monopolar/Bipolar</v>
      </c>
      <c r="IFA115" s="196" t="s">
        <v>761</v>
      </c>
      <c r="IFB115" s="197" t="str">
        <f>VLOOKUP(IFA115,[13]AssetDetails_UEM!$A$3:$AH$1849,6,FALSE)</f>
        <v>Electrosurgical Units, Monopolar/Bipolar</v>
      </c>
      <c r="IFC115" s="196" t="s">
        <v>761</v>
      </c>
      <c r="IFD115" s="197" t="str">
        <f>VLOOKUP(IFC115,[13]AssetDetails_UEM!$A$3:$AH$1849,6,FALSE)</f>
        <v>Electrosurgical Units, Monopolar/Bipolar</v>
      </c>
      <c r="IFE115" s="196" t="s">
        <v>761</v>
      </c>
      <c r="IFF115" s="197" t="str">
        <f>VLOOKUP(IFE115,[13]AssetDetails_UEM!$A$3:$AH$1849,6,FALSE)</f>
        <v>Electrosurgical Units, Monopolar/Bipolar</v>
      </c>
      <c r="IFG115" s="196" t="s">
        <v>761</v>
      </c>
      <c r="IFH115" s="197" t="str">
        <f>VLOOKUP(IFG115,[13]AssetDetails_UEM!$A$3:$AH$1849,6,FALSE)</f>
        <v>Electrosurgical Units, Monopolar/Bipolar</v>
      </c>
      <c r="IFI115" s="196" t="s">
        <v>761</v>
      </c>
      <c r="IFJ115" s="197" t="str">
        <f>VLOOKUP(IFI115,[13]AssetDetails_UEM!$A$3:$AH$1849,6,FALSE)</f>
        <v>Electrosurgical Units, Monopolar/Bipolar</v>
      </c>
      <c r="IFK115" s="196" t="s">
        <v>761</v>
      </c>
      <c r="IFL115" s="197" t="str">
        <f>VLOOKUP(IFK115,[13]AssetDetails_UEM!$A$3:$AH$1849,6,FALSE)</f>
        <v>Electrosurgical Units, Monopolar/Bipolar</v>
      </c>
      <c r="IFM115" s="196" t="s">
        <v>761</v>
      </c>
      <c r="IFN115" s="197" t="str">
        <f>VLOOKUP(IFM115,[13]AssetDetails_UEM!$A$3:$AH$1849,6,FALSE)</f>
        <v>Electrosurgical Units, Monopolar/Bipolar</v>
      </c>
      <c r="IFO115" s="196" t="s">
        <v>761</v>
      </c>
      <c r="IFP115" s="197" t="str">
        <f>VLOOKUP(IFO115,[13]AssetDetails_UEM!$A$3:$AH$1849,6,FALSE)</f>
        <v>Electrosurgical Units, Monopolar/Bipolar</v>
      </c>
      <c r="IFQ115" s="196" t="s">
        <v>761</v>
      </c>
      <c r="IFR115" s="197" t="str">
        <f>VLOOKUP(IFQ115,[13]AssetDetails_UEM!$A$3:$AH$1849,6,FALSE)</f>
        <v>Electrosurgical Units, Monopolar/Bipolar</v>
      </c>
      <c r="IFS115" s="196" t="s">
        <v>761</v>
      </c>
      <c r="IFT115" s="197" t="str">
        <f>VLOOKUP(IFS115,[13]AssetDetails_UEM!$A$3:$AH$1849,6,FALSE)</f>
        <v>Electrosurgical Units, Monopolar/Bipolar</v>
      </c>
      <c r="IFU115" s="196" t="s">
        <v>761</v>
      </c>
      <c r="IFV115" s="197" t="str">
        <f>VLOOKUP(IFU115,[13]AssetDetails_UEM!$A$3:$AH$1849,6,FALSE)</f>
        <v>Electrosurgical Units, Monopolar/Bipolar</v>
      </c>
      <c r="IFW115" s="196" t="s">
        <v>761</v>
      </c>
      <c r="IFX115" s="197" t="str">
        <f>VLOOKUP(IFW115,[13]AssetDetails_UEM!$A$3:$AH$1849,6,FALSE)</f>
        <v>Electrosurgical Units, Monopolar/Bipolar</v>
      </c>
      <c r="IFY115" s="196" t="s">
        <v>761</v>
      </c>
      <c r="IFZ115" s="197" t="str">
        <f>VLOOKUP(IFY115,[13]AssetDetails_UEM!$A$3:$AH$1849,6,FALSE)</f>
        <v>Electrosurgical Units, Monopolar/Bipolar</v>
      </c>
      <c r="IGA115" s="196" t="s">
        <v>761</v>
      </c>
      <c r="IGB115" s="197" t="str">
        <f>VLOOKUP(IGA115,[13]AssetDetails_UEM!$A$3:$AH$1849,6,FALSE)</f>
        <v>Electrosurgical Units, Monopolar/Bipolar</v>
      </c>
      <c r="IGC115" s="196" t="s">
        <v>761</v>
      </c>
      <c r="IGD115" s="197" t="str">
        <f>VLOOKUP(IGC115,[13]AssetDetails_UEM!$A$3:$AH$1849,6,FALSE)</f>
        <v>Electrosurgical Units, Monopolar/Bipolar</v>
      </c>
      <c r="IGE115" s="196" t="s">
        <v>761</v>
      </c>
      <c r="IGF115" s="197" t="str">
        <f>VLOOKUP(IGE115,[13]AssetDetails_UEM!$A$3:$AH$1849,6,FALSE)</f>
        <v>Electrosurgical Units, Monopolar/Bipolar</v>
      </c>
      <c r="IGG115" s="196" t="s">
        <v>761</v>
      </c>
      <c r="IGH115" s="197" t="str">
        <f>VLOOKUP(IGG115,[13]AssetDetails_UEM!$A$3:$AH$1849,6,FALSE)</f>
        <v>Electrosurgical Units, Monopolar/Bipolar</v>
      </c>
      <c r="IGI115" s="196" t="s">
        <v>761</v>
      </c>
      <c r="IGJ115" s="197" t="str">
        <f>VLOOKUP(IGI115,[13]AssetDetails_UEM!$A$3:$AH$1849,6,FALSE)</f>
        <v>Electrosurgical Units, Monopolar/Bipolar</v>
      </c>
      <c r="IGK115" s="196" t="s">
        <v>761</v>
      </c>
      <c r="IGL115" s="197" t="str">
        <f>VLOOKUP(IGK115,[13]AssetDetails_UEM!$A$3:$AH$1849,6,FALSE)</f>
        <v>Electrosurgical Units, Monopolar/Bipolar</v>
      </c>
      <c r="IGM115" s="196" t="s">
        <v>761</v>
      </c>
      <c r="IGN115" s="197" t="str">
        <f>VLOOKUP(IGM115,[13]AssetDetails_UEM!$A$3:$AH$1849,6,FALSE)</f>
        <v>Electrosurgical Units, Monopolar/Bipolar</v>
      </c>
      <c r="IGO115" s="196" t="s">
        <v>761</v>
      </c>
      <c r="IGP115" s="197" t="str">
        <f>VLOOKUP(IGO115,[13]AssetDetails_UEM!$A$3:$AH$1849,6,FALSE)</f>
        <v>Electrosurgical Units, Monopolar/Bipolar</v>
      </c>
      <c r="IGQ115" s="196" t="s">
        <v>761</v>
      </c>
      <c r="IGR115" s="197" t="str">
        <f>VLOOKUP(IGQ115,[13]AssetDetails_UEM!$A$3:$AH$1849,6,FALSE)</f>
        <v>Electrosurgical Units, Monopolar/Bipolar</v>
      </c>
      <c r="IGS115" s="196" t="s">
        <v>761</v>
      </c>
      <c r="IGT115" s="197" t="str">
        <f>VLOOKUP(IGS115,[13]AssetDetails_UEM!$A$3:$AH$1849,6,FALSE)</f>
        <v>Electrosurgical Units, Monopolar/Bipolar</v>
      </c>
      <c r="IGU115" s="196" t="s">
        <v>761</v>
      </c>
      <c r="IGV115" s="197" t="str">
        <f>VLOOKUP(IGU115,[13]AssetDetails_UEM!$A$3:$AH$1849,6,FALSE)</f>
        <v>Electrosurgical Units, Monopolar/Bipolar</v>
      </c>
      <c r="IGW115" s="196" t="s">
        <v>761</v>
      </c>
      <c r="IGX115" s="197" t="str">
        <f>VLOOKUP(IGW115,[13]AssetDetails_UEM!$A$3:$AH$1849,6,FALSE)</f>
        <v>Electrosurgical Units, Monopolar/Bipolar</v>
      </c>
      <c r="IGY115" s="196" t="s">
        <v>761</v>
      </c>
      <c r="IGZ115" s="197" t="str">
        <f>VLOOKUP(IGY115,[13]AssetDetails_UEM!$A$3:$AH$1849,6,FALSE)</f>
        <v>Electrosurgical Units, Monopolar/Bipolar</v>
      </c>
      <c r="IHA115" s="196" t="s">
        <v>761</v>
      </c>
      <c r="IHB115" s="197" t="str">
        <f>VLOOKUP(IHA115,[13]AssetDetails_UEM!$A$3:$AH$1849,6,FALSE)</f>
        <v>Electrosurgical Units, Monopolar/Bipolar</v>
      </c>
      <c r="IHC115" s="196" t="s">
        <v>761</v>
      </c>
      <c r="IHD115" s="197" t="str">
        <f>VLOOKUP(IHC115,[13]AssetDetails_UEM!$A$3:$AH$1849,6,FALSE)</f>
        <v>Electrosurgical Units, Monopolar/Bipolar</v>
      </c>
      <c r="IHE115" s="196" t="s">
        <v>761</v>
      </c>
      <c r="IHF115" s="197" t="str">
        <f>VLOOKUP(IHE115,[13]AssetDetails_UEM!$A$3:$AH$1849,6,FALSE)</f>
        <v>Electrosurgical Units, Monopolar/Bipolar</v>
      </c>
      <c r="IHG115" s="196" t="s">
        <v>761</v>
      </c>
      <c r="IHH115" s="197" t="str">
        <f>VLOOKUP(IHG115,[13]AssetDetails_UEM!$A$3:$AH$1849,6,FALSE)</f>
        <v>Electrosurgical Units, Monopolar/Bipolar</v>
      </c>
      <c r="IHI115" s="196" t="s">
        <v>761</v>
      </c>
      <c r="IHJ115" s="197" t="str">
        <f>VLOOKUP(IHI115,[13]AssetDetails_UEM!$A$3:$AH$1849,6,FALSE)</f>
        <v>Electrosurgical Units, Monopolar/Bipolar</v>
      </c>
      <c r="IHK115" s="196" t="s">
        <v>761</v>
      </c>
      <c r="IHL115" s="197" t="str">
        <f>VLOOKUP(IHK115,[13]AssetDetails_UEM!$A$3:$AH$1849,6,FALSE)</f>
        <v>Electrosurgical Units, Monopolar/Bipolar</v>
      </c>
      <c r="IHM115" s="196" t="s">
        <v>761</v>
      </c>
      <c r="IHN115" s="197" t="str">
        <f>VLOOKUP(IHM115,[13]AssetDetails_UEM!$A$3:$AH$1849,6,FALSE)</f>
        <v>Electrosurgical Units, Monopolar/Bipolar</v>
      </c>
      <c r="IHO115" s="196" t="s">
        <v>761</v>
      </c>
      <c r="IHP115" s="197" t="str">
        <f>VLOOKUP(IHO115,[13]AssetDetails_UEM!$A$3:$AH$1849,6,FALSE)</f>
        <v>Electrosurgical Units, Monopolar/Bipolar</v>
      </c>
      <c r="IHQ115" s="196" t="s">
        <v>761</v>
      </c>
      <c r="IHR115" s="197" t="str">
        <f>VLOOKUP(IHQ115,[13]AssetDetails_UEM!$A$3:$AH$1849,6,FALSE)</f>
        <v>Electrosurgical Units, Monopolar/Bipolar</v>
      </c>
      <c r="IHS115" s="196" t="s">
        <v>761</v>
      </c>
      <c r="IHT115" s="197" t="str">
        <f>VLOOKUP(IHS115,[13]AssetDetails_UEM!$A$3:$AH$1849,6,FALSE)</f>
        <v>Electrosurgical Units, Monopolar/Bipolar</v>
      </c>
      <c r="IHU115" s="196" t="s">
        <v>761</v>
      </c>
      <c r="IHV115" s="197" t="str">
        <f>VLOOKUP(IHU115,[13]AssetDetails_UEM!$A$3:$AH$1849,6,FALSE)</f>
        <v>Electrosurgical Units, Monopolar/Bipolar</v>
      </c>
      <c r="IHW115" s="196" t="s">
        <v>761</v>
      </c>
      <c r="IHX115" s="197" t="str">
        <f>VLOOKUP(IHW115,[13]AssetDetails_UEM!$A$3:$AH$1849,6,FALSE)</f>
        <v>Electrosurgical Units, Monopolar/Bipolar</v>
      </c>
      <c r="IHY115" s="196" t="s">
        <v>761</v>
      </c>
      <c r="IHZ115" s="197" t="str">
        <f>VLOOKUP(IHY115,[13]AssetDetails_UEM!$A$3:$AH$1849,6,FALSE)</f>
        <v>Electrosurgical Units, Monopolar/Bipolar</v>
      </c>
      <c r="IIA115" s="196" t="s">
        <v>761</v>
      </c>
      <c r="IIB115" s="197" t="str">
        <f>VLOOKUP(IIA115,[13]AssetDetails_UEM!$A$3:$AH$1849,6,FALSE)</f>
        <v>Electrosurgical Units, Monopolar/Bipolar</v>
      </c>
      <c r="IIC115" s="196" t="s">
        <v>761</v>
      </c>
      <c r="IID115" s="197" t="str">
        <f>VLOOKUP(IIC115,[13]AssetDetails_UEM!$A$3:$AH$1849,6,FALSE)</f>
        <v>Electrosurgical Units, Monopolar/Bipolar</v>
      </c>
      <c r="IIE115" s="196" t="s">
        <v>761</v>
      </c>
      <c r="IIF115" s="197" t="str">
        <f>VLOOKUP(IIE115,[13]AssetDetails_UEM!$A$3:$AH$1849,6,FALSE)</f>
        <v>Electrosurgical Units, Monopolar/Bipolar</v>
      </c>
      <c r="IIG115" s="196" t="s">
        <v>761</v>
      </c>
      <c r="IIH115" s="197" t="str">
        <f>VLOOKUP(IIG115,[13]AssetDetails_UEM!$A$3:$AH$1849,6,FALSE)</f>
        <v>Electrosurgical Units, Monopolar/Bipolar</v>
      </c>
      <c r="III115" s="196" t="s">
        <v>761</v>
      </c>
      <c r="IIJ115" s="197" t="str">
        <f>VLOOKUP(III115,[13]AssetDetails_UEM!$A$3:$AH$1849,6,FALSE)</f>
        <v>Electrosurgical Units, Monopolar/Bipolar</v>
      </c>
      <c r="IIK115" s="196" t="s">
        <v>761</v>
      </c>
      <c r="IIL115" s="197" t="str">
        <f>VLOOKUP(IIK115,[13]AssetDetails_UEM!$A$3:$AH$1849,6,FALSE)</f>
        <v>Electrosurgical Units, Monopolar/Bipolar</v>
      </c>
      <c r="IIM115" s="196" t="s">
        <v>761</v>
      </c>
      <c r="IIN115" s="197" t="str">
        <f>VLOOKUP(IIM115,[13]AssetDetails_UEM!$A$3:$AH$1849,6,FALSE)</f>
        <v>Electrosurgical Units, Monopolar/Bipolar</v>
      </c>
      <c r="IIO115" s="196" t="s">
        <v>761</v>
      </c>
      <c r="IIP115" s="197" t="str">
        <f>VLOOKUP(IIO115,[13]AssetDetails_UEM!$A$3:$AH$1849,6,FALSE)</f>
        <v>Electrosurgical Units, Monopolar/Bipolar</v>
      </c>
      <c r="IIQ115" s="196" t="s">
        <v>761</v>
      </c>
      <c r="IIR115" s="197" t="str">
        <f>VLOOKUP(IIQ115,[13]AssetDetails_UEM!$A$3:$AH$1849,6,FALSE)</f>
        <v>Electrosurgical Units, Monopolar/Bipolar</v>
      </c>
      <c r="IIS115" s="196" t="s">
        <v>761</v>
      </c>
      <c r="IIT115" s="197" t="str">
        <f>VLOOKUP(IIS115,[13]AssetDetails_UEM!$A$3:$AH$1849,6,FALSE)</f>
        <v>Electrosurgical Units, Monopolar/Bipolar</v>
      </c>
      <c r="IIU115" s="196" t="s">
        <v>761</v>
      </c>
      <c r="IIV115" s="197" t="str">
        <f>VLOOKUP(IIU115,[13]AssetDetails_UEM!$A$3:$AH$1849,6,FALSE)</f>
        <v>Electrosurgical Units, Monopolar/Bipolar</v>
      </c>
      <c r="IIW115" s="196" t="s">
        <v>761</v>
      </c>
      <c r="IIX115" s="197" t="str">
        <f>VLOOKUP(IIW115,[13]AssetDetails_UEM!$A$3:$AH$1849,6,FALSE)</f>
        <v>Electrosurgical Units, Monopolar/Bipolar</v>
      </c>
      <c r="IIY115" s="196" t="s">
        <v>761</v>
      </c>
      <c r="IIZ115" s="197" t="str">
        <f>VLOOKUP(IIY115,[13]AssetDetails_UEM!$A$3:$AH$1849,6,FALSE)</f>
        <v>Electrosurgical Units, Monopolar/Bipolar</v>
      </c>
      <c r="IJA115" s="196" t="s">
        <v>761</v>
      </c>
      <c r="IJB115" s="197" t="str">
        <f>VLOOKUP(IJA115,[13]AssetDetails_UEM!$A$3:$AH$1849,6,FALSE)</f>
        <v>Electrosurgical Units, Monopolar/Bipolar</v>
      </c>
      <c r="IJC115" s="196" t="s">
        <v>761</v>
      </c>
      <c r="IJD115" s="197" t="str">
        <f>VLOOKUP(IJC115,[13]AssetDetails_UEM!$A$3:$AH$1849,6,FALSE)</f>
        <v>Electrosurgical Units, Monopolar/Bipolar</v>
      </c>
      <c r="IJE115" s="196" t="s">
        <v>761</v>
      </c>
      <c r="IJF115" s="197" t="str">
        <f>VLOOKUP(IJE115,[13]AssetDetails_UEM!$A$3:$AH$1849,6,FALSE)</f>
        <v>Electrosurgical Units, Monopolar/Bipolar</v>
      </c>
      <c r="IJG115" s="196" t="s">
        <v>761</v>
      </c>
      <c r="IJH115" s="197" t="str">
        <f>VLOOKUP(IJG115,[13]AssetDetails_UEM!$A$3:$AH$1849,6,FALSE)</f>
        <v>Electrosurgical Units, Monopolar/Bipolar</v>
      </c>
      <c r="IJI115" s="196" t="s">
        <v>761</v>
      </c>
      <c r="IJJ115" s="197" t="str">
        <f>VLOOKUP(IJI115,[13]AssetDetails_UEM!$A$3:$AH$1849,6,FALSE)</f>
        <v>Electrosurgical Units, Monopolar/Bipolar</v>
      </c>
      <c r="IJK115" s="196" t="s">
        <v>761</v>
      </c>
      <c r="IJL115" s="197" t="str">
        <f>VLOOKUP(IJK115,[13]AssetDetails_UEM!$A$3:$AH$1849,6,FALSE)</f>
        <v>Electrosurgical Units, Monopolar/Bipolar</v>
      </c>
      <c r="IJM115" s="196" t="s">
        <v>761</v>
      </c>
      <c r="IJN115" s="197" t="str">
        <f>VLOOKUP(IJM115,[13]AssetDetails_UEM!$A$3:$AH$1849,6,FALSE)</f>
        <v>Electrosurgical Units, Monopolar/Bipolar</v>
      </c>
      <c r="IJO115" s="196" t="s">
        <v>761</v>
      </c>
      <c r="IJP115" s="197" t="str">
        <f>VLOOKUP(IJO115,[13]AssetDetails_UEM!$A$3:$AH$1849,6,FALSE)</f>
        <v>Electrosurgical Units, Monopolar/Bipolar</v>
      </c>
      <c r="IJQ115" s="196" t="s">
        <v>761</v>
      </c>
      <c r="IJR115" s="197" t="str">
        <f>VLOOKUP(IJQ115,[13]AssetDetails_UEM!$A$3:$AH$1849,6,FALSE)</f>
        <v>Electrosurgical Units, Monopolar/Bipolar</v>
      </c>
      <c r="IJS115" s="196" t="s">
        <v>761</v>
      </c>
      <c r="IJT115" s="197" t="str">
        <f>VLOOKUP(IJS115,[13]AssetDetails_UEM!$A$3:$AH$1849,6,FALSE)</f>
        <v>Electrosurgical Units, Monopolar/Bipolar</v>
      </c>
      <c r="IJU115" s="196" t="s">
        <v>761</v>
      </c>
      <c r="IJV115" s="197" t="str">
        <f>VLOOKUP(IJU115,[13]AssetDetails_UEM!$A$3:$AH$1849,6,FALSE)</f>
        <v>Electrosurgical Units, Monopolar/Bipolar</v>
      </c>
      <c r="IJW115" s="196" t="s">
        <v>761</v>
      </c>
      <c r="IJX115" s="197" t="str">
        <f>VLOOKUP(IJW115,[13]AssetDetails_UEM!$A$3:$AH$1849,6,FALSE)</f>
        <v>Electrosurgical Units, Monopolar/Bipolar</v>
      </c>
      <c r="IJY115" s="196" t="s">
        <v>761</v>
      </c>
      <c r="IJZ115" s="197" t="str">
        <f>VLOOKUP(IJY115,[13]AssetDetails_UEM!$A$3:$AH$1849,6,FALSE)</f>
        <v>Electrosurgical Units, Monopolar/Bipolar</v>
      </c>
      <c r="IKA115" s="196" t="s">
        <v>761</v>
      </c>
      <c r="IKB115" s="197" t="str">
        <f>VLOOKUP(IKA115,[13]AssetDetails_UEM!$A$3:$AH$1849,6,FALSE)</f>
        <v>Electrosurgical Units, Monopolar/Bipolar</v>
      </c>
      <c r="IKC115" s="196" t="s">
        <v>761</v>
      </c>
      <c r="IKD115" s="197" t="str">
        <f>VLOOKUP(IKC115,[13]AssetDetails_UEM!$A$3:$AH$1849,6,FALSE)</f>
        <v>Electrosurgical Units, Monopolar/Bipolar</v>
      </c>
      <c r="IKE115" s="196" t="s">
        <v>761</v>
      </c>
      <c r="IKF115" s="197" t="str">
        <f>VLOOKUP(IKE115,[13]AssetDetails_UEM!$A$3:$AH$1849,6,FALSE)</f>
        <v>Electrosurgical Units, Monopolar/Bipolar</v>
      </c>
      <c r="IKG115" s="196" t="s">
        <v>761</v>
      </c>
      <c r="IKH115" s="197" t="str">
        <f>VLOOKUP(IKG115,[13]AssetDetails_UEM!$A$3:$AH$1849,6,FALSE)</f>
        <v>Electrosurgical Units, Monopolar/Bipolar</v>
      </c>
      <c r="IKI115" s="196" t="s">
        <v>761</v>
      </c>
      <c r="IKJ115" s="197" t="str">
        <f>VLOOKUP(IKI115,[13]AssetDetails_UEM!$A$3:$AH$1849,6,FALSE)</f>
        <v>Electrosurgical Units, Monopolar/Bipolar</v>
      </c>
      <c r="IKK115" s="196" t="s">
        <v>761</v>
      </c>
      <c r="IKL115" s="197" t="str">
        <f>VLOOKUP(IKK115,[13]AssetDetails_UEM!$A$3:$AH$1849,6,FALSE)</f>
        <v>Electrosurgical Units, Monopolar/Bipolar</v>
      </c>
      <c r="IKM115" s="196" t="s">
        <v>761</v>
      </c>
      <c r="IKN115" s="197" t="str">
        <f>VLOOKUP(IKM115,[13]AssetDetails_UEM!$A$3:$AH$1849,6,FALSE)</f>
        <v>Electrosurgical Units, Monopolar/Bipolar</v>
      </c>
      <c r="IKO115" s="196" t="s">
        <v>761</v>
      </c>
      <c r="IKP115" s="197" t="str">
        <f>VLOOKUP(IKO115,[13]AssetDetails_UEM!$A$3:$AH$1849,6,FALSE)</f>
        <v>Electrosurgical Units, Monopolar/Bipolar</v>
      </c>
      <c r="IKQ115" s="196" t="s">
        <v>761</v>
      </c>
      <c r="IKR115" s="197" t="str">
        <f>VLOOKUP(IKQ115,[13]AssetDetails_UEM!$A$3:$AH$1849,6,FALSE)</f>
        <v>Electrosurgical Units, Monopolar/Bipolar</v>
      </c>
      <c r="IKS115" s="196" t="s">
        <v>761</v>
      </c>
      <c r="IKT115" s="197" t="str">
        <f>VLOOKUP(IKS115,[13]AssetDetails_UEM!$A$3:$AH$1849,6,FALSE)</f>
        <v>Electrosurgical Units, Monopolar/Bipolar</v>
      </c>
      <c r="IKU115" s="196" t="s">
        <v>761</v>
      </c>
      <c r="IKV115" s="197" t="str">
        <f>VLOOKUP(IKU115,[13]AssetDetails_UEM!$A$3:$AH$1849,6,FALSE)</f>
        <v>Electrosurgical Units, Monopolar/Bipolar</v>
      </c>
      <c r="IKW115" s="196" t="s">
        <v>761</v>
      </c>
      <c r="IKX115" s="197" t="str">
        <f>VLOOKUP(IKW115,[13]AssetDetails_UEM!$A$3:$AH$1849,6,FALSE)</f>
        <v>Electrosurgical Units, Monopolar/Bipolar</v>
      </c>
      <c r="IKY115" s="196" t="s">
        <v>761</v>
      </c>
      <c r="IKZ115" s="197" t="str">
        <f>VLOOKUP(IKY115,[13]AssetDetails_UEM!$A$3:$AH$1849,6,FALSE)</f>
        <v>Electrosurgical Units, Monopolar/Bipolar</v>
      </c>
      <c r="ILA115" s="196" t="s">
        <v>761</v>
      </c>
      <c r="ILB115" s="197" t="str">
        <f>VLOOKUP(ILA115,[13]AssetDetails_UEM!$A$3:$AH$1849,6,FALSE)</f>
        <v>Electrosurgical Units, Monopolar/Bipolar</v>
      </c>
      <c r="ILC115" s="196" t="s">
        <v>761</v>
      </c>
      <c r="ILD115" s="197" t="str">
        <f>VLOOKUP(ILC115,[13]AssetDetails_UEM!$A$3:$AH$1849,6,FALSE)</f>
        <v>Electrosurgical Units, Monopolar/Bipolar</v>
      </c>
      <c r="ILE115" s="196" t="s">
        <v>761</v>
      </c>
      <c r="ILF115" s="197" t="str">
        <f>VLOOKUP(ILE115,[13]AssetDetails_UEM!$A$3:$AH$1849,6,FALSE)</f>
        <v>Electrosurgical Units, Monopolar/Bipolar</v>
      </c>
      <c r="ILG115" s="196" t="s">
        <v>761</v>
      </c>
      <c r="ILH115" s="197" t="str">
        <f>VLOOKUP(ILG115,[13]AssetDetails_UEM!$A$3:$AH$1849,6,FALSE)</f>
        <v>Electrosurgical Units, Monopolar/Bipolar</v>
      </c>
      <c r="ILI115" s="196" t="s">
        <v>761</v>
      </c>
      <c r="ILJ115" s="197" t="str">
        <f>VLOOKUP(ILI115,[13]AssetDetails_UEM!$A$3:$AH$1849,6,FALSE)</f>
        <v>Electrosurgical Units, Monopolar/Bipolar</v>
      </c>
      <c r="ILK115" s="196" t="s">
        <v>761</v>
      </c>
      <c r="ILL115" s="197" t="str">
        <f>VLOOKUP(ILK115,[13]AssetDetails_UEM!$A$3:$AH$1849,6,FALSE)</f>
        <v>Electrosurgical Units, Monopolar/Bipolar</v>
      </c>
      <c r="ILM115" s="196" t="s">
        <v>761</v>
      </c>
      <c r="ILN115" s="197" t="str">
        <f>VLOOKUP(ILM115,[13]AssetDetails_UEM!$A$3:$AH$1849,6,FALSE)</f>
        <v>Electrosurgical Units, Monopolar/Bipolar</v>
      </c>
      <c r="ILO115" s="196" t="s">
        <v>761</v>
      </c>
      <c r="ILP115" s="197" t="str">
        <f>VLOOKUP(ILO115,[13]AssetDetails_UEM!$A$3:$AH$1849,6,FALSE)</f>
        <v>Electrosurgical Units, Monopolar/Bipolar</v>
      </c>
      <c r="ILQ115" s="196" t="s">
        <v>761</v>
      </c>
      <c r="ILR115" s="197" t="str">
        <f>VLOOKUP(ILQ115,[13]AssetDetails_UEM!$A$3:$AH$1849,6,FALSE)</f>
        <v>Electrosurgical Units, Monopolar/Bipolar</v>
      </c>
      <c r="ILS115" s="196" t="s">
        <v>761</v>
      </c>
      <c r="ILT115" s="197" t="str">
        <f>VLOOKUP(ILS115,[13]AssetDetails_UEM!$A$3:$AH$1849,6,FALSE)</f>
        <v>Electrosurgical Units, Monopolar/Bipolar</v>
      </c>
      <c r="ILU115" s="196" t="s">
        <v>761</v>
      </c>
      <c r="ILV115" s="197" t="str">
        <f>VLOOKUP(ILU115,[13]AssetDetails_UEM!$A$3:$AH$1849,6,FALSE)</f>
        <v>Electrosurgical Units, Monopolar/Bipolar</v>
      </c>
      <c r="ILW115" s="196" t="s">
        <v>761</v>
      </c>
      <c r="ILX115" s="197" t="str">
        <f>VLOOKUP(ILW115,[13]AssetDetails_UEM!$A$3:$AH$1849,6,FALSE)</f>
        <v>Electrosurgical Units, Monopolar/Bipolar</v>
      </c>
      <c r="ILY115" s="196" t="s">
        <v>761</v>
      </c>
      <c r="ILZ115" s="197" t="str">
        <f>VLOOKUP(ILY115,[13]AssetDetails_UEM!$A$3:$AH$1849,6,FALSE)</f>
        <v>Electrosurgical Units, Monopolar/Bipolar</v>
      </c>
      <c r="IMA115" s="196" t="s">
        <v>761</v>
      </c>
      <c r="IMB115" s="197" t="str">
        <f>VLOOKUP(IMA115,[13]AssetDetails_UEM!$A$3:$AH$1849,6,FALSE)</f>
        <v>Electrosurgical Units, Monopolar/Bipolar</v>
      </c>
      <c r="IMC115" s="196" t="s">
        <v>761</v>
      </c>
      <c r="IMD115" s="197" t="str">
        <f>VLOOKUP(IMC115,[13]AssetDetails_UEM!$A$3:$AH$1849,6,FALSE)</f>
        <v>Electrosurgical Units, Monopolar/Bipolar</v>
      </c>
      <c r="IME115" s="196" t="s">
        <v>761</v>
      </c>
      <c r="IMF115" s="197" t="str">
        <f>VLOOKUP(IME115,[13]AssetDetails_UEM!$A$3:$AH$1849,6,FALSE)</f>
        <v>Electrosurgical Units, Monopolar/Bipolar</v>
      </c>
      <c r="IMG115" s="196" t="s">
        <v>761</v>
      </c>
      <c r="IMH115" s="197" t="str">
        <f>VLOOKUP(IMG115,[13]AssetDetails_UEM!$A$3:$AH$1849,6,FALSE)</f>
        <v>Electrosurgical Units, Monopolar/Bipolar</v>
      </c>
      <c r="IMI115" s="196" t="s">
        <v>761</v>
      </c>
      <c r="IMJ115" s="197" t="str">
        <f>VLOOKUP(IMI115,[13]AssetDetails_UEM!$A$3:$AH$1849,6,FALSE)</f>
        <v>Electrosurgical Units, Monopolar/Bipolar</v>
      </c>
      <c r="IMK115" s="196" t="s">
        <v>761</v>
      </c>
      <c r="IML115" s="197" t="str">
        <f>VLOOKUP(IMK115,[13]AssetDetails_UEM!$A$3:$AH$1849,6,FALSE)</f>
        <v>Electrosurgical Units, Monopolar/Bipolar</v>
      </c>
      <c r="IMM115" s="196" t="s">
        <v>761</v>
      </c>
      <c r="IMN115" s="197" t="str">
        <f>VLOOKUP(IMM115,[13]AssetDetails_UEM!$A$3:$AH$1849,6,FALSE)</f>
        <v>Electrosurgical Units, Monopolar/Bipolar</v>
      </c>
      <c r="IMO115" s="196" t="s">
        <v>761</v>
      </c>
      <c r="IMP115" s="197" t="str">
        <f>VLOOKUP(IMO115,[13]AssetDetails_UEM!$A$3:$AH$1849,6,FALSE)</f>
        <v>Electrosurgical Units, Monopolar/Bipolar</v>
      </c>
      <c r="IMQ115" s="196" t="s">
        <v>761</v>
      </c>
      <c r="IMR115" s="197" t="str">
        <f>VLOOKUP(IMQ115,[13]AssetDetails_UEM!$A$3:$AH$1849,6,FALSE)</f>
        <v>Electrosurgical Units, Monopolar/Bipolar</v>
      </c>
      <c r="IMS115" s="196" t="s">
        <v>761</v>
      </c>
      <c r="IMT115" s="197" t="str">
        <f>VLOOKUP(IMS115,[13]AssetDetails_UEM!$A$3:$AH$1849,6,FALSE)</f>
        <v>Electrosurgical Units, Monopolar/Bipolar</v>
      </c>
      <c r="IMU115" s="196" t="s">
        <v>761</v>
      </c>
      <c r="IMV115" s="197" t="str">
        <f>VLOOKUP(IMU115,[13]AssetDetails_UEM!$A$3:$AH$1849,6,FALSE)</f>
        <v>Electrosurgical Units, Monopolar/Bipolar</v>
      </c>
      <c r="IMW115" s="196" t="s">
        <v>761</v>
      </c>
      <c r="IMX115" s="197" t="str">
        <f>VLOOKUP(IMW115,[13]AssetDetails_UEM!$A$3:$AH$1849,6,FALSE)</f>
        <v>Electrosurgical Units, Monopolar/Bipolar</v>
      </c>
      <c r="IMY115" s="196" t="s">
        <v>761</v>
      </c>
      <c r="IMZ115" s="197" t="str">
        <f>VLOOKUP(IMY115,[13]AssetDetails_UEM!$A$3:$AH$1849,6,FALSE)</f>
        <v>Electrosurgical Units, Monopolar/Bipolar</v>
      </c>
      <c r="INA115" s="196" t="s">
        <v>761</v>
      </c>
      <c r="INB115" s="197" t="str">
        <f>VLOOKUP(INA115,[13]AssetDetails_UEM!$A$3:$AH$1849,6,FALSE)</f>
        <v>Electrosurgical Units, Monopolar/Bipolar</v>
      </c>
      <c r="INC115" s="196" t="s">
        <v>761</v>
      </c>
      <c r="IND115" s="197" t="str">
        <f>VLOOKUP(INC115,[13]AssetDetails_UEM!$A$3:$AH$1849,6,FALSE)</f>
        <v>Electrosurgical Units, Monopolar/Bipolar</v>
      </c>
      <c r="INE115" s="196" t="s">
        <v>761</v>
      </c>
      <c r="INF115" s="197" t="str">
        <f>VLOOKUP(INE115,[13]AssetDetails_UEM!$A$3:$AH$1849,6,FALSE)</f>
        <v>Electrosurgical Units, Monopolar/Bipolar</v>
      </c>
      <c r="ING115" s="196" t="s">
        <v>761</v>
      </c>
      <c r="INH115" s="197" t="str">
        <f>VLOOKUP(ING115,[13]AssetDetails_UEM!$A$3:$AH$1849,6,FALSE)</f>
        <v>Electrosurgical Units, Monopolar/Bipolar</v>
      </c>
      <c r="INI115" s="196" t="s">
        <v>761</v>
      </c>
      <c r="INJ115" s="197" t="str">
        <f>VLOOKUP(INI115,[13]AssetDetails_UEM!$A$3:$AH$1849,6,FALSE)</f>
        <v>Electrosurgical Units, Monopolar/Bipolar</v>
      </c>
      <c r="INK115" s="196" t="s">
        <v>761</v>
      </c>
      <c r="INL115" s="197" t="str">
        <f>VLOOKUP(INK115,[13]AssetDetails_UEM!$A$3:$AH$1849,6,FALSE)</f>
        <v>Electrosurgical Units, Monopolar/Bipolar</v>
      </c>
      <c r="INM115" s="196" t="s">
        <v>761</v>
      </c>
      <c r="INN115" s="197" t="str">
        <f>VLOOKUP(INM115,[13]AssetDetails_UEM!$A$3:$AH$1849,6,FALSE)</f>
        <v>Electrosurgical Units, Monopolar/Bipolar</v>
      </c>
      <c r="INO115" s="196" t="s">
        <v>761</v>
      </c>
      <c r="INP115" s="197" t="str">
        <f>VLOOKUP(INO115,[13]AssetDetails_UEM!$A$3:$AH$1849,6,FALSE)</f>
        <v>Electrosurgical Units, Monopolar/Bipolar</v>
      </c>
      <c r="INQ115" s="196" t="s">
        <v>761</v>
      </c>
      <c r="INR115" s="197" t="str">
        <f>VLOOKUP(INQ115,[13]AssetDetails_UEM!$A$3:$AH$1849,6,FALSE)</f>
        <v>Electrosurgical Units, Monopolar/Bipolar</v>
      </c>
      <c r="INS115" s="196" t="s">
        <v>761</v>
      </c>
      <c r="INT115" s="197" t="str">
        <f>VLOOKUP(INS115,[13]AssetDetails_UEM!$A$3:$AH$1849,6,FALSE)</f>
        <v>Electrosurgical Units, Monopolar/Bipolar</v>
      </c>
      <c r="INU115" s="196" t="s">
        <v>761</v>
      </c>
      <c r="INV115" s="197" t="str">
        <f>VLOOKUP(INU115,[13]AssetDetails_UEM!$A$3:$AH$1849,6,FALSE)</f>
        <v>Electrosurgical Units, Monopolar/Bipolar</v>
      </c>
      <c r="INW115" s="196" t="s">
        <v>761</v>
      </c>
      <c r="INX115" s="197" t="str">
        <f>VLOOKUP(INW115,[13]AssetDetails_UEM!$A$3:$AH$1849,6,FALSE)</f>
        <v>Electrosurgical Units, Monopolar/Bipolar</v>
      </c>
      <c r="INY115" s="196" t="s">
        <v>761</v>
      </c>
      <c r="INZ115" s="197" t="str">
        <f>VLOOKUP(INY115,[13]AssetDetails_UEM!$A$3:$AH$1849,6,FALSE)</f>
        <v>Electrosurgical Units, Monopolar/Bipolar</v>
      </c>
      <c r="IOA115" s="196" t="s">
        <v>761</v>
      </c>
      <c r="IOB115" s="197" t="str">
        <f>VLOOKUP(IOA115,[13]AssetDetails_UEM!$A$3:$AH$1849,6,FALSE)</f>
        <v>Electrosurgical Units, Monopolar/Bipolar</v>
      </c>
      <c r="IOC115" s="196" t="s">
        <v>761</v>
      </c>
      <c r="IOD115" s="197" t="str">
        <f>VLOOKUP(IOC115,[13]AssetDetails_UEM!$A$3:$AH$1849,6,FALSE)</f>
        <v>Electrosurgical Units, Monopolar/Bipolar</v>
      </c>
      <c r="IOE115" s="196" t="s">
        <v>761</v>
      </c>
      <c r="IOF115" s="197" t="str">
        <f>VLOOKUP(IOE115,[13]AssetDetails_UEM!$A$3:$AH$1849,6,FALSE)</f>
        <v>Electrosurgical Units, Monopolar/Bipolar</v>
      </c>
      <c r="IOG115" s="196" t="s">
        <v>761</v>
      </c>
      <c r="IOH115" s="197" t="str">
        <f>VLOOKUP(IOG115,[13]AssetDetails_UEM!$A$3:$AH$1849,6,FALSE)</f>
        <v>Electrosurgical Units, Monopolar/Bipolar</v>
      </c>
      <c r="IOI115" s="196" t="s">
        <v>761</v>
      </c>
      <c r="IOJ115" s="197" t="str">
        <f>VLOOKUP(IOI115,[13]AssetDetails_UEM!$A$3:$AH$1849,6,FALSE)</f>
        <v>Electrosurgical Units, Monopolar/Bipolar</v>
      </c>
      <c r="IOK115" s="196" t="s">
        <v>761</v>
      </c>
      <c r="IOL115" s="197" t="str">
        <f>VLOOKUP(IOK115,[13]AssetDetails_UEM!$A$3:$AH$1849,6,FALSE)</f>
        <v>Electrosurgical Units, Monopolar/Bipolar</v>
      </c>
      <c r="IOM115" s="196" t="s">
        <v>761</v>
      </c>
      <c r="ION115" s="197" t="str">
        <f>VLOOKUP(IOM115,[13]AssetDetails_UEM!$A$3:$AH$1849,6,FALSE)</f>
        <v>Electrosurgical Units, Monopolar/Bipolar</v>
      </c>
      <c r="IOO115" s="196" t="s">
        <v>761</v>
      </c>
      <c r="IOP115" s="197" t="str">
        <f>VLOOKUP(IOO115,[13]AssetDetails_UEM!$A$3:$AH$1849,6,FALSE)</f>
        <v>Electrosurgical Units, Monopolar/Bipolar</v>
      </c>
      <c r="IOQ115" s="196" t="s">
        <v>761</v>
      </c>
      <c r="IOR115" s="197" t="str">
        <f>VLOOKUP(IOQ115,[13]AssetDetails_UEM!$A$3:$AH$1849,6,FALSE)</f>
        <v>Electrosurgical Units, Monopolar/Bipolar</v>
      </c>
      <c r="IOS115" s="196" t="s">
        <v>761</v>
      </c>
      <c r="IOT115" s="197" t="str">
        <f>VLOOKUP(IOS115,[13]AssetDetails_UEM!$A$3:$AH$1849,6,FALSE)</f>
        <v>Electrosurgical Units, Monopolar/Bipolar</v>
      </c>
      <c r="IOU115" s="196" t="s">
        <v>761</v>
      </c>
      <c r="IOV115" s="197" t="str">
        <f>VLOOKUP(IOU115,[13]AssetDetails_UEM!$A$3:$AH$1849,6,FALSE)</f>
        <v>Electrosurgical Units, Monopolar/Bipolar</v>
      </c>
      <c r="IOW115" s="196" t="s">
        <v>761</v>
      </c>
      <c r="IOX115" s="197" t="str">
        <f>VLOOKUP(IOW115,[13]AssetDetails_UEM!$A$3:$AH$1849,6,FALSE)</f>
        <v>Electrosurgical Units, Monopolar/Bipolar</v>
      </c>
      <c r="IOY115" s="196" t="s">
        <v>761</v>
      </c>
      <c r="IOZ115" s="197" t="str">
        <f>VLOOKUP(IOY115,[13]AssetDetails_UEM!$A$3:$AH$1849,6,FALSE)</f>
        <v>Electrosurgical Units, Monopolar/Bipolar</v>
      </c>
      <c r="IPA115" s="196" t="s">
        <v>761</v>
      </c>
      <c r="IPB115" s="197" t="str">
        <f>VLOOKUP(IPA115,[13]AssetDetails_UEM!$A$3:$AH$1849,6,FALSE)</f>
        <v>Electrosurgical Units, Monopolar/Bipolar</v>
      </c>
      <c r="IPC115" s="196" t="s">
        <v>761</v>
      </c>
      <c r="IPD115" s="197" t="str">
        <f>VLOOKUP(IPC115,[13]AssetDetails_UEM!$A$3:$AH$1849,6,FALSE)</f>
        <v>Electrosurgical Units, Monopolar/Bipolar</v>
      </c>
      <c r="IPE115" s="196" t="s">
        <v>761</v>
      </c>
      <c r="IPF115" s="197" t="str">
        <f>VLOOKUP(IPE115,[13]AssetDetails_UEM!$A$3:$AH$1849,6,FALSE)</f>
        <v>Electrosurgical Units, Monopolar/Bipolar</v>
      </c>
      <c r="IPG115" s="196" t="s">
        <v>761</v>
      </c>
      <c r="IPH115" s="197" t="str">
        <f>VLOOKUP(IPG115,[13]AssetDetails_UEM!$A$3:$AH$1849,6,FALSE)</f>
        <v>Electrosurgical Units, Monopolar/Bipolar</v>
      </c>
      <c r="IPI115" s="196" t="s">
        <v>761</v>
      </c>
      <c r="IPJ115" s="197" t="str">
        <f>VLOOKUP(IPI115,[13]AssetDetails_UEM!$A$3:$AH$1849,6,FALSE)</f>
        <v>Electrosurgical Units, Monopolar/Bipolar</v>
      </c>
      <c r="IPK115" s="196" t="s">
        <v>761</v>
      </c>
      <c r="IPL115" s="197" t="str">
        <f>VLOOKUP(IPK115,[13]AssetDetails_UEM!$A$3:$AH$1849,6,FALSE)</f>
        <v>Electrosurgical Units, Monopolar/Bipolar</v>
      </c>
      <c r="IPM115" s="196" t="s">
        <v>761</v>
      </c>
      <c r="IPN115" s="197" t="str">
        <f>VLOOKUP(IPM115,[13]AssetDetails_UEM!$A$3:$AH$1849,6,FALSE)</f>
        <v>Electrosurgical Units, Monopolar/Bipolar</v>
      </c>
      <c r="IPO115" s="196" t="s">
        <v>761</v>
      </c>
      <c r="IPP115" s="197" t="str">
        <f>VLOOKUP(IPO115,[13]AssetDetails_UEM!$A$3:$AH$1849,6,FALSE)</f>
        <v>Electrosurgical Units, Monopolar/Bipolar</v>
      </c>
      <c r="IPQ115" s="196" t="s">
        <v>761</v>
      </c>
      <c r="IPR115" s="197" t="str">
        <f>VLOOKUP(IPQ115,[13]AssetDetails_UEM!$A$3:$AH$1849,6,FALSE)</f>
        <v>Electrosurgical Units, Monopolar/Bipolar</v>
      </c>
      <c r="IPS115" s="196" t="s">
        <v>761</v>
      </c>
      <c r="IPT115" s="197" t="str">
        <f>VLOOKUP(IPS115,[13]AssetDetails_UEM!$A$3:$AH$1849,6,FALSE)</f>
        <v>Electrosurgical Units, Monopolar/Bipolar</v>
      </c>
      <c r="IPU115" s="196" t="s">
        <v>761</v>
      </c>
      <c r="IPV115" s="197" t="str">
        <f>VLOOKUP(IPU115,[13]AssetDetails_UEM!$A$3:$AH$1849,6,FALSE)</f>
        <v>Electrosurgical Units, Monopolar/Bipolar</v>
      </c>
      <c r="IPW115" s="196" t="s">
        <v>761</v>
      </c>
      <c r="IPX115" s="197" t="str">
        <f>VLOOKUP(IPW115,[13]AssetDetails_UEM!$A$3:$AH$1849,6,FALSE)</f>
        <v>Electrosurgical Units, Monopolar/Bipolar</v>
      </c>
      <c r="IPY115" s="196" t="s">
        <v>761</v>
      </c>
      <c r="IPZ115" s="197" t="str">
        <f>VLOOKUP(IPY115,[13]AssetDetails_UEM!$A$3:$AH$1849,6,FALSE)</f>
        <v>Electrosurgical Units, Monopolar/Bipolar</v>
      </c>
      <c r="IQA115" s="196" t="s">
        <v>761</v>
      </c>
      <c r="IQB115" s="197" t="str">
        <f>VLOOKUP(IQA115,[13]AssetDetails_UEM!$A$3:$AH$1849,6,FALSE)</f>
        <v>Electrosurgical Units, Monopolar/Bipolar</v>
      </c>
      <c r="IQC115" s="196" t="s">
        <v>761</v>
      </c>
      <c r="IQD115" s="197" t="str">
        <f>VLOOKUP(IQC115,[13]AssetDetails_UEM!$A$3:$AH$1849,6,FALSE)</f>
        <v>Electrosurgical Units, Monopolar/Bipolar</v>
      </c>
      <c r="IQE115" s="196" t="s">
        <v>761</v>
      </c>
      <c r="IQF115" s="197" t="str">
        <f>VLOOKUP(IQE115,[13]AssetDetails_UEM!$A$3:$AH$1849,6,FALSE)</f>
        <v>Electrosurgical Units, Monopolar/Bipolar</v>
      </c>
      <c r="IQG115" s="196" t="s">
        <v>761</v>
      </c>
      <c r="IQH115" s="197" t="str">
        <f>VLOOKUP(IQG115,[13]AssetDetails_UEM!$A$3:$AH$1849,6,FALSE)</f>
        <v>Electrosurgical Units, Monopolar/Bipolar</v>
      </c>
      <c r="IQI115" s="196" t="s">
        <v>761</v>
      </c>
      <c r="IQJ115" s="197" t="str">
        <f>VLOOKUP(IQI115,[13]AssetDetails_UEM!$A$3:$AH$1849,6,FALSE)</f>
        <v>Electrosurgical Units, Monopolar/Bipolar</v>
      </c>
      <c r="IQK115" s="196" t="s">
        <v>761</v>
      </c>
      <c r="IQL115" s="197" t="str">
        <f>VLOOKUP(IQK115,[13]AssetDetails_UEM!$A$3:$AH$1849,6,FALSE)</f>
        <v>Electrosurgical Units, Monopolar/Bipolar</v>
      </c>
      <c r="IQM115" s="196" t="s">
        <v>761</v>
      </c>
      <c r="IQN115" s="197" t="str">
        <f>VLOOKUP(IQM115,[13]AssetDetails_UEM!$A$3:$AH$1849,6,FALSE)</f>
        <v>Electrosurgical Units, Monopolar/Bipolar</v>
      </c>
      <c r="IQO115" s="196" t="s">
        <v>761</v>
      </c>
      <c r="IQP115" s="197" t="str">
        <f>VLOOKUP(IQO115,[13]AssetDetails_UEM!$A$3:$AH$1849,6,FALSE)</f>
        <v>Electrosurgical Units, Monopolar/Bipolar</v>
      </c>
      <c r="IQQ115" s="196" t="s">
        <v>761</v>
      </c>
      <c r="IQR115" s="197" t="str">
        <f>VLOOKUP(IQQ115,[13]AssetDetails_UEM!$A$3:$AH$1849,6,FALSE)</f>
        <v>Electrosurgical Units, Monopolar/Bipolar</v>
      </c>
      <c r="IQS115" s="196" t="s">
        <v>761</v>
      </c>
      <c r="IQT115" s="197" t="str">
        <f>VLOOKUP(IQS115,[13]AssetDetails_UEM!$A$3:$AH$1849,6,FALSE)</f>
        <v>Electrosurgical Units, Monopolar/Bipolar</v>
      </c>
      <c r="IQU115" s="196" t="s">
        <v>761</v>
      </c>
      <c r="IQV115" s="197" t="str">
        <f>VLOOKUP(IQU115,[13]AssetDetails_UEM!$A$3:$AH$1849,6,FALSE)</f>
        <v>Electrosurgical Units, Monopolar/Bipolar</v>
      </c>
      <c r="IQW115" s="196" t="s">
        <v>761</v>
      </c>
      <c r="IQX115" s="197" t="str">
        <f>VLOOKUP(IQW115,[13]AssetDetails_UEM!$A$3:$AH$1849,6,FALSE)</f>
        <v>Electrosurgical Units, Monopolar/Bipolar</v>
      </c>
      <c r="IQY115" s="196" t="s">
        <v>761</v>
      </c>
      <c r="IQZ115" s="197" t="str">
        <f>VLOOKUP(IQY115,[13]AssetDetails_UEM!$A$3:$AH$1849,6,FALSE)</f>
        <v>Electrosurgical Units, Monopolar/Bipolar</v>
      </c>
      <c r="IRA115" s="196" t="s">
        <v>761</v>
      </c>
      <c r="IRB115" s="197" t="str">
        <f>VLOOKUP(IRA115,[13]AssetDetails_UEM!$A$3:$AH$1849,6,FALSE)</f>
        <v>Electrosurgical Units, Monopolar/Bipolar</v>
      </c>
      <c r="IRC115" s="196" t="s">
        <v>761</v>
      </c>
      <c r="IRD115" s="197" t="str">
        <f>VLOOKUP(IRC115,[13]AssetDetails_UEM!$A$3:$AH$1849,6,FALSE)</f>
        <v>Electrosurgical Units, Monopolar/Bipolar</v>
      </c>
      <c r="IRE115" s="196" t="s">
        <v>761</v>
      </c>
      <c r="IRF115" s="197" t="str">
        <f>VLOOKUP(IRE115,[13]AssetDetails_UEM!$A$3:$AH$1849,6,FALSE)</f>
        <v>Electrosurgical Units, Monopolar/Bipolar</v>
      </c>
      <c r="IRG115" s="196" t="s">
        <v>761</v>
      </c>
      <c r="IRH115" s="197" t="str">
        <f>VLOOKUP(IRG115,[13]AssetDetails_UEM!$A$3:$AH$1849,6,FALSE)</f>
        <v>Electrosurgical Units, Monopolar/Bipolar</v>
      </c>
      <c r="IRI115" s="196" t="s">
        <v>761</v>
      </c>
      <c r="IRJ115" s="197" t="str">
        <f>VLOOKUP(IRI115,[13]AssetDetails_UEM!$A$3:$AH$1849,6,FALSE)</f>
        <v>Electrosurgical Units, Monopolar/Bipolar</v>
      </c>
      <c r="IRK115" s="196" t="s">
        <v>761</v>
      </c>
      <c r="IRL115" s="197" t="str">
        <f>VLOOKUP(IRK115,[13]AssetDetails_UEM!$A$3:$AH$1849,6,FALSE)</f>
        <v>Electrosurgical Units, Monopolar/Bipolar</v>
      </c>
      <c r="IRM115" s="196" t="s">
        <v>761</v>
      </c>
      <c r="IRN115" s="197" t="str">
        <f>VLOOKUP(IRM115,[13]AssetDetails_UEM!$A$3:$AH$1849,6,FALSE)</f>
        <v>Electrosurgical Units, Monopolar/Bipolar</v>
      </c>
      <c r="IRO115" s="196" t="s">
        <v>761</v>
      </c>
      <c r="IRP115" s="197" t="str">
        <f>VLOOKUP(IRO115,[13]AssetDetails_UEM!$A$3:$AH$1849,6,FALSE)</f>
        <v>Electrosurgical Units, Monopolar/Bipolar</v>
      </c>
      <c r="IRQ115" s="196" t="s">
        <v>761</v>
      </c>
      <c r="IRR115" s="197" t="str">
        <f>VLOOKUP(IRQ115,[13]AssetDetails_UEM!$A$3:$AH$1849,6,FALSE)</f>
        <v>Electrosurgical Units, Monopolar/Bipolar</v>
      </c>
      <c r="IRS115" s="196" t="s">
        <v>761</v>
      </c>
      <c r="IRT115" s="197" t="str">
        <f>VLOOKUP(IRS115,[13]AssetDetails_UEM!$A$3:$AH$1849,6,FALSE)</f>
        <v>Electrosurgical Units, Monopolar/Bipolar</v>
      </c>
      <c r="IRU115" s="196" t="s">
        <v>761</v>
      </c>
      <c r="IRV115" s="197" t="str">
        <f>VLOOKUP(IRU115,[13]AssetDetails_UEM!$A$3:$AH$1849,6,FALSE)</f>
        <v>Electrosurgical Units, Monopolar/Bipolar</v>
      </c>
      <c r="IRW115" s="196" t="s">
        <v>761</v>
      </c>
      <c r="IRX115" s="197" t="str">
        <f>VLOOKUP(IRW115,[13]AssetDetails_UEM!$A$3:$AH$1849,6,FALSE)</f>
        <v>Electrosurgical Units, Monopolar/Bipolar</v>
      </c>
      <c r="IRY115" s="196" t="s">
        <v>761</v>
      </c>
      <c r="IRZ115" s="197" t="str">
        <f>VLOOKUP(IRY115,[13]AssetDetails_UEM!$A$3:$AH$1849,6,FALSE)</f>
        <v>Electrosurgical Units, Monopolar/Bipolar</v>
      </c>
      <c r="ISA115" s="196" t="s">
        <v>761</v>
      </c>
      <c r="ISB115" s="197" t="str">
        <f>VLOOKUP(ISA115,[13]AssetDetails_UEM!$A$3:$AH$1849,6,FALSE)</f>
        <v>Electrosurgical Units, Monopolar/Bipolar</v>
      </c>
      <c r="ISC115" s="196" t="s">
        <v>761</v>
      </c>
      <c r="ISD115" s="197" t="str">
        <f>VLOOKUP(ISC115,[13]AssetDetails_UEM!$A$3:$AH$1849,6,FALSE)</f>
        <v>Electrosurgical Units, Monopolar/Bipolar</v>
      </c>
      <c r="ISE115" s="196" t="s">
        <v>761</v>
      </c>
      <c r="ISF115" s="197" t="str">
        <f>VLOOKUP(ISE115,[13]AssetDetails_UEM!$A$3:$AH$1849,6,FALSE)</f>
        <v>Electrosurgical Units, Monopolar/Bipolar</v>
      </c>
      <c r="ISG115" s="196" t="s">
        <v>761</v>
      </c>
      <c r="ISH115" s="197" t="str">
        <f>VLOOKUP(ISG115,[13]AssetDetails_UEM!$A$3:$AH$1849,6,FALSE)</f>
        <v>Electrosurgical Units, Monopolar/Bipolar</v>
      </c>
      <c r="ISI115" s="196" t="s">
        <v>761</v>
      </c>
      <c r="ISJ115" s="197" t="str">
        <f>VLOOKUP(ISI115,[13]AssetDetails_UEM!$A$3:$AH$1849,6,FALSE)</f>
        <v>Electrosurgical Units, Monopolar/Bipolar</v>
      </c>
      <c r="ISK115" s="196" t="s">
        <v>761</v>
      </c>
      <c r="ISL115" s="197" t="str">
        <f>VLOOKUP(ISK115,[13]AssetDetails_UEM!$A$3:$AH$1849,6,FALSE)</f>
        <v>Electrosurgical Units, Monopolar/Bipolar</v>
      </c>
      <c r="ISM115" s="196" t="s">
        <v>761</v>
      </c>
      <c r="ISN115" s="197" t="str">
        <f>VLOOKUP(ISM115,[13]AssetDetails_UEM!$A$3:$AH$1849,6,FALSE)</f>
        <v>Electrosurgical Units, Monopolar/Bipolar</v>
      </c>
      <c r="ISO115" s="196" t="s">
        <v>761</v>
      </c>
      <c r="ISP115" s="197" t="str">
        <f>VLOOKUP(ISO115,[13]AssetDetails_UEM!$A$3:$AH$1849,6,FALSE)</f>
        <v>Electrosurgical Units, Monopolar/Bipolar</v>
      </c>
      <c r="ISQ115" s="196" t="s">
        <v>761</v>
      </c>
      <c r="ISR115" s="197" t="str">
        <f>VLOOKUP(ISQ115,[13]AssetDetails_UEM!$A$3:$AH$1849,6,FALSE)</f>
        <v>Electrosurgical Units, Monopolar/Bipolar</v>
      </c>
      <c r="ISS115" s="196" t="s">
        <v>761</v>
      </c>
      <c r="IST115" s="197" t="str">
        <f>VLOOKUP(ISS115,[13]AssetDetails_UEM!$A$3:$AH$1849,6,FALSE)</f>
        <v>Electrosurgical Units, Monopolar/Bipolar</v>
      </c>
      <c r="ISU115" s="196" t="s">
        <v>761</v>
      </c>
      <c r="ISV115" s="197" t="str">
        <f>VLOOKUP(ISU115,[13]AssetDetails_UEM!$A$3:$AH$1849,6,FALSE)</f>
        <v>Electrosurgical Units, Monopolar/Bipolar</v>
      </c>
      <c r="ISW115" s="196" t="s">
        <v>761</v>
      </c>
      <c r="ISX115" s="197" t="str">
        <f>VLOOKUP(ISW115,[13]AssetDetails_UEM!$A$3:$AH$1849,6,FALSE)</f>
        <v>Electrosurgical Units, Monopolar/Bipolar</v>
      </c>
      <c r="ISY115" s="196" t="s">
        <v>761</v>
      </c>
      <c r="ISZ115" s="197" t="str">
        <f>VLOOKUP(ISY115,[13]AssetDetails_UEM!$A$3:$AH$1849,6,FALSE)</f>
        <v>Electrosurgical Units, Monopolar/Bipolar</v>
      </c>
      <c r="ITA115" s="196" t="s">
        <v>761</v>
      </c>
      <c r="ITB115" s="197" t="str">
        <f>VLOOKUP(ITA115,[13]AssetDetails_UEM!$A$3:$AH$1849,6,FALSE)</f>
        <v>Electrosurgical Units, Monopolar/Bipolar</v>
      </c>
      <c r="ITC115" s="196" t="s">
        <v>761</v>
      </c>
      <c r="ITD115" s="197" t="str">
        <f>VLOOKUP(ITC115,[13]AssetDetails_UEM!$A$3:$AH$1849,6,FALSE)</f>
        <v>Electrosurgical Units, Monopolar/Bipolar</v>
      </c>
      <c r="ITE115" s="196" t="s">
        <v>761</v>
      </c>
      <c r="ITF115" s="197" t="str">
        <f>VLOOKUP(ITE115,[13]AssetDetails_UEM!$A$3:$AH$1849,6,FALSE)</f>
        <v>Electrosurgical Units, Monopolar/Bipolar</v>
      </c>
      <c r="ITG115" s="196" t="s">
        <v>761</v>
      </c>
      <c r="ITH115" s="197" t="str">
        <f>VLOOKUP(ITG115,[13]AssetDetails_UEM!$A$3:$AH$1849,6,FALSE)</f>
        <v>Electrosurgical Units, Monopolar/Bipolar</v>
      </c>
      <c r="ITI115" s="196" t="s">
        <v>761</v>
      </c>
      <c r="ITJ115" s="197" t="str">
        <f>VLOOKUP(ITI115,[13]AssetDetails_UEM!$A$3:$AH$1849,6,FALSE)</f>
        <v>Electrosurgical Units, Monopolar/Bipolar</v>
      </c>
      <c r="ITK115" s="196" t="s">
        <v>761</v>
      </c>
      <c r="ITL115" s="197" t="str">
        <f>VLOOKUP(ITK115,[13]AssetDetails_UEM!$A$3:$AH$1849,6,FALSE)</f>
        <v>Electrosurgical Units, Monopolar/Bipolar</v>
      </c>
      <c r="ITM115" s="196" t="s">
        <v>761</v>
      </c>
      <c r="ITN115" s="197" t="str">
        <f>VLOOKUP(ITM115,[13]AssetDetails_UEM!$A$3:$AH$1849,6,FALSE)</f>
        <v>Electrosurgical Units, Monopolar/Bipolar</v>
      </c>
      <c r="ITO115" s="196" t="s">
        <v>761</v>
      </c>
      <c r="ITP115" s="197" t="str">
        <f>VLOOKUP(ITO115,[13]AssetDetails_UEM!$A$3:$AH$1849,6,FALSE)</f>
        <v>Electrosurgical Units, Monopolar/Bipolar</v>
      </c>
      <c r="ITQ115" s="196" t="s">
        <v>761</v>
      </c>
      <c r="ITR115" s="197" t="str">
        <f>VLOOKUP(ITQ115,[13]AssetDetails_UEM!$A$3:$AH$1849,6,FALSE)</f>
        <v>Electrosurgical Units, Monopolar/Bipolar</v>
      </c>
      <c r="ITS115" s="196" t="s">
        <v>761</v>
      </c>
      <c r="ITT115" s="197" t="str">
        <f>VLOOKUP(ITS115,[13]AssetDetails_UEM!$A$3:$AH$1849,6,FALSE)</f>
        <v>Electrosurgical Units, Monopolar/Bipolar</v>
      </c>
      <c r="ITU115" s="196" t="s">
        <v>761</v>
      </c>
      <c r="ITV115" s="197" t="str">
        <f>VLOOKUP(ITU115,[13]AssetDetails_UEM!$A$3:$AH$1849,6,FALSE)</f>
        <v>Electrosurgical Units, Monopolar/Bipolar</v>
      </c>
      <c r="ITW115" s="196" t="s">
        <v>761</v>
      </c>
      <c r="ITX115" s="197" t="str">
        <f>VLOOKUP(ITW115,[13]AssetDetails_UEM!$A$3:$AH$1849,6,FALSE)</f>
        <v>Electrosurgical Units, Monopolar/Bipolar</v>
      </c>
      <c r="ITY115" s="196" t="s">
        <v>761</v>
      </c>
      <c r="ITZ115" s="197" t="str">
        <f>VLOOKUP(ITY115,[13]AssetDetails_UEM!$A$3:$AH$1849,6,FALSE)</f>
        <v>Electrosurgical Units, Monopolar/Bipolar</v>
      </c>
      <c r="IUA115" s="196" t="s">
        <v>761</v>
      </c>
      <c r="IUB115" s="197" t="str">
        <f>VLOOKUP(IUA115,[13]AssetDetails_UEM!$A$3:$AH$1849,6,FALSE)</f>
        <v>Electrosurgical Units, Monopolar/Bipolar</v>
      </c>
      <c r="IUC115" s="196" t="s">
        <v>761</v>
      </c>
      <c r="IUD115" s="197" t="str">
        <f>VLOOKUP(IUC115,[13]AssetDetails_UEM!$A$3:$AH$1849,6,FALSE)</f>
        <v>Electrosurgical Units, Monopolar/Bipolar</v>
      </c>
      <c r="IUE115" s="196" t="s">
        <v>761</v>
      </c>
      <c r="IUF115" s="197" t="str">
        <f>VLOOKUP(IUE115,[13]AssetDetails_UEM!$A$3:$AH$1849,6,FALSE)</f>
        <v>Electrosurgical Units, Monopolar/Bipolar</v>
      </c>
      <c r="IUG115" s="196" t="s">
        <v>761</v>
      </c>
      <c r="IUH115" s="197" t="str">
        <f>VLOOKUP(IUG115,[13]AssetDetails_UEM!$A$3:$AH$1849,6,FALSE)</f>
        <v>Electrosurgical Units, Monopolar/Bipolar</v>
      </c>
      <c r="IUI115" s="196" t="s">
        <v>761</v>
      </c>
      <c r="IUJ115" s="197" t="str">
        <f>VLOOKUP(IUI115,[13]AssetDetails_UEM!$A$3:$AH$1849,6,FALSE)</f>
        <v>Electrosurgical Units, Monopolar/Bipolar</v>
      </c>
      <c r="IUK115" s="196" t="s">
        <v>761</v>
      </c>
      <c r="IUL115" s="197" t="str">
        <f>VLOOKUP(IUK115,[13]AssetDetails_UEM!$A$3:$AH$1849,6,FALSE)</f>
        <v>Electrosurgical Units, Monopolar/Bipolar</v>
      </c>
      <c r="IUM115" s="196" t="s">
        <v>761</v>
      </c>
      <c r="IUN115" s="197" t="str">
        <f>VLOOKUP(IUM115,[13]AssetDetails_UEM!$A$3:$AH$1849,6,FALSE)</f>
        <v>Electrosurgical Units, Monopolar/Bipolar</v>
      </c>
      <c r="IUO115" s="196" t="s">
        <v>761</v>
      </c>
      <c r="IUP115" s="197" t="str">
        <f>VLOOKUP(IUO115,[13]AssetDetails_UEM!$A$3:$AH$1849,6,FALSE)</f>
        <v>Electrosurgical Units, Monopolar/Bipolar</v>
      </c>
      <c r="IUQ115" s="196" t="s">
        <v>761</v>
      </c>
      <c r="IUR115" s="197" t="str">
        <f>VLOOKUP(IUQ115,[13]AssetDetails_UEM!$A$3:$AH$1849,6,FALSE)</f>
        <v>Electrosurgical Units, Monopolar/Bipolar</v>
      </c>
      <c r="IUS115" s="196" t="s">
        <v>761</v>
      </c>
      <c r="IUT115" s="197" t="str">
        <f>VLOOKUP(IUS115,[13]AssetDetails_UEM!$A$3:$AH$1849,6,FALSE)</f>
        <v>Electrosurgical Units, Monopolar/Bipolar</v>
      </c>
      <c r="IUU115" s="196" t="s">
        <v>761</v>
      </c>
      <c r="IUV115" s="197" t="str">
        <f>VLOOKUP(IUU115,[13]AssetDetails_UEM!$A$3:$AH$1849,6,FALSE)</f>
        <v>Electrosurgical Units, Monopolar/Bipolar</v>
      </c>
      <c r="IUW115" s="196" t="s">
        <v>761</v>
      </c>
      <c r="IUX115" s="197" t="str">
        <f>VLOOKUP(IUW115,[13]AssetDetails_UEM!$A$3:$AH$1849,6,FALSE)</f>
        <v>Electrosurgical Units, Monopolar/Bipolar</v>
      </c>
      <c r="IUY115" s="196" t="s">
        <v>761</v>
      </c>
      <c r="IUZ115" s="197" t="str">
        <f>VLOOKUP(IUY115,[13]AssetDetails_UEM!$A$3:$AH$1849,6,FALSE)</f>
        <v>Electrosurgical Units, Monopolar/Bipolar</v>
      </c>
      <c r="IVA115" s="196" t="s">
        <v>761</v>
      </c>
      <c r="IVB115" s="197" t="str">
        <f>VLOOKUP(IVA115,[13]AssetDetails_UEM!$A$3:$AH$1849,6,FALSE)</f>
        <v>Electrosurgical Units, Monopolar/Bipolar</v>
      </c>
      <c r="IVC115" s="196" t="s">
        <v>761</v>
      </c>
      <c r="IVD115" s="197" t="str">
        <f>VLOOKUP(IVC115,[13]AssetDetails_UEM!$A$3:$AH$1849,6,FALSE)</f>
        <v>Electrosurgical Units, Monopolar/Bipolar</v>
      </c>
      <c r="IVE115" s="196" t="s">
        <v>761</v>
      </c>
      <c r="IVF115" s="197" t="str">
        <f>VLOOKUP(IVE115,[13]AssetDetails_UEM!$A$3:$AH$1849,6,FALSE)</f>
        <v>Electrosurgical Units, Monopolar/Bipolar</v>
      </c>
      <c r="IVG115" s="196" t="s">
        <v>761</v>
      </c>
      <c r="IVH115" s="197" t="str">
        <f>VLOOKUP(IVG115,[13]AssetDetails_UEM!$A$3:$AH$1849,6,FALSE)</f>
        <v>Electrosurgical Units, Monopolar/Bipolar</v>
      </c>
      <c r="IVI115" s="196" t="s">
        <v>761</v>
      </c>
      <c r="IVJ115" s="197" t="str">
        <f>VLOOKUP(IVI115,[13]AssetDetails_UEM!$A$3:$AH$1849,6,FALSE)</f>
        <v>Electrosurgical Units, Monopolar/Bipolar</v>
      </c>
      <c r="IVK115" s="196" t="s">
        <v>761</v>
      </c>
      <c r="IVL115" s="197" t="str">
        <f>VLOOKUP(IVK115,[13]AssetDetails_UEM!$A$3:$AH$1849,6,FALSE)</f>
        <v>Electrosurgical Units, Monopolar/Bipolar</v>
      </c>
      <c r="IVM115" s="196" t="s">
        <v>761</v>
      </c>
      <c r="IVN115" s="197" t="str">
        <f>VLOOKUP(IVM115,[13]AssetDetails_UEM!$A$3:$AH$1849,6,FALSE)</f>
        <v>Electrosurgical Units, Monopolar/Bipolar</v>
      </c>
      <c r="IVO115" s="196" t="s">
        <v>761</v>
      </c>
      <c r="IVP115" s="197" t="str">
        <f>VLOOKUP(IVO115,[13]AssetDetails_UEM!$A$3:$AH$1849,6,FALSE)</f>
        <v>Electrosurgical Units, Monopolar/Bipolar</v>
      </c>
      <c r="IVQ115" s="196" t="s">
        <v>761</v>
      </c>
      <c r="IVR115" s="197" t="str">
        <f>VLOOKUP(IVQ115,[13]AssetDetails_UEM!$A$3:$AH$1849,6,FALSE)</f>
        <v>Electrosurgical Units, Monopolar/Bipolar</v>
      </c>
      <c r="IVS115" s="196" t="s">
        <v>761</v>
      </c>
      <c r="IVT115" s="197" t="str">
        <f>VLOOKUP(IVS115,[13]AssetDetails_UEM!$A$3:$AH$1849,6,FALSE)</f>
        <v>Electrosurgical Units, Monopolar/Bipolar</v>
      </c>
      <c r="IVU115" s="196" t="s">
        <v>761</v>
      </c>
      <c r="IVV115" s="197" t="str">
        <f>VLOOKUP(IVU115,[13]AssetDetails_UEM!$A$3:$AH$1849,6,FALSE)</f>
        <v>Electrosurgical Units, Monopolar/Bipolar</v>
      </c>
      <c r="IVW115" s="196" t="s">
        <v>761</v>
      </c>
      <c r="IVX115" s="197" t="str">
        <f>VLOOKUP(IVW115,[13]AssetDetails_UEM!$A$3:$AH$1849,6,FALSE)</f>
        <v>Electrosurgical Units, Monopolar/Bipolar</v>
      </c>
      <c r="IVY115" s="196" t="s">
        <v>761</v>
      </c>
      <c r="IVZ115" s="197" t="str">
        <f>VLOOKUP(IVY115,[13]AssetDetails_UEM!$A$3:$AH$1849,6,FALSE)</f>
        <v>Electrosurgical Units, Monopolar/Bipolar</v>
      </c>
      <c r="IWA115" s="196" t="s">
        <v>761</v>
      </c>
      <c r="IWB115" s="197" t="str">
        <f>VLOOKUP(IWA115,[13]AssetDetails_UEM!$A$3:$AH$1849,6,FALSE)</f>
        <v>Electrosurgical Units, Monopolar/Bipolar</v>
      </c>
      <c r="IWC115" s="196" t="s">
        <v>761</v>
      </c>
      <c r="IWD115" s="197" t="str">
        <f>VLOOKUP(IWC115,[13]AssetDetails_UEM!$A$3:$AH$1849,6,FALSE)</f>
        <v>Electrosurgical Units, Monopolar/Bipolar</v>
      </c>
      <c r="IWE115" s="196" t="s">
        <v>761</v>
      </c>
      <c r="IWF115" s="197" t="str">
        <f>VLOOKUP(IWE115,[13]AssetDetails_UEM!$A$3:$AH$1849,6,FALSE)</f>
        <v>Electrosurgical Units, Monopolar/Bipolar</v>
      </c>
      <c r="IWG115" s="196" t="s">
        <v>761</v>
      </c>
      <c r="IWH115" s="197" t="str">
        <f>VLOOKUP(IWG115,[13]AssetDetails_UEM!$A$3:$AH$1849,6,FALSE)</f>
        <v>Electrosurgical Units, Monopolar/Bipolar</v>
      </c>
      <c r="IWI115" s="196" t="s">
        <v>761</v>
      </c>
      <c r="IWJ115" s="197" t="str">
        <f>VLOOKUP(IWI115,[13]AssetDetails_UEM!$A$3:$AH$1849,6,FALSE)</f>
        <v>Electrosurgical Units, Monopolar/Bipolar</v>
      </c>
      <c r="IWK115" s="196" t="s">
        <v>761</v>
      </c>
      <c r="IWL115" s="197" t="str">
        <f>VLOOKUP(IWK115,[13]AssetDetails_UEM!$A$3:$AH$1849,6,FALSE)</f>
        <v>Electrosurgical Units, Monopolar/Bipolar</v>
      </c>
      <c r="IWM115" s="196" t="s">
        <v>761</v>
      </c>
      <c r="IWN115" s="197" t="str">
        <f>VLOOKUP(IWM115,[13]AssetDetails_UEM!$A$3:$AH$1849,6,FALSE)</f>
        <v>Electrosurgical Units, Monopolar/Bipolar</v>
      </c>
      <c r="IWO115" s="196" t="s">
        <v>761</v>
      </c>
      <c r="IWP115" s="197" t="str">
        <f>VLOOKUP(IWO115,[13]AssetDetails_UEM!$A$3:$AH$1849,6,FALSE)</f>
        <v>Electrosurgical Units, Monopolar/Bipolar</v>
      </c>
      <c r="IWQ115" s="196" t="s">
        <v>761</v>
      </c>
      <c r="IWR115" s="197" t="str">
        <f>VLOOKUP(IWQ115,[13]AssetDetails_UEM!$A$3:$AH$1849,6,FALSE)</f>
        <v>Electrosurgical Units, Monopolar/Bipolar</v>
      </c>
      <c r="IWS115" s="196" t="s">
        <v>761</v>
      </c>
      <c r="IWT115" s="197" t="str">
        <f>VLOOKUP(IWS115,[13]AssetDetails_UEM!$A$3:$AH$1849,6,FALSE)</f>
        <v>Electrosurgical Units, Monopolar/Bipolar</v>
      </c>
      <c r="IWU115" s="196" t="s">
        <v>761</v>
      </c>
      <c r="IWV115" s="197" t="str">
        <f>VLOOKUP(IWU115,[13]AssetDetails_UEM!$A$3:$AH$1849,6,FALSE)</f>
        <v>Electrosurgical Units, Monopolar/Bipolar</v>
      </c>
      <c r="IWW115" s="196" t="s">
        <v>761</v>
      </c>
      <c r="IWX115" s="197" t="str">
        <f>VLOOKUP(IWW115,[13]AssetDetails_UEM!$A$3:$AH$1849,6,FALSE)</f>
        <v>Electrosurgical Units, Monopolar/Bipolar</v>
      </c>
      <c r="IWY115" s="196" t="s">
        <v>761</v>
      </c>
      <c r="IWZ115" s="197" t="str">
        <f>VLOOKUP(IWY115,[13]AssetDetails_UEM!$A$3:$AH$1849,6,FALSE)</f>
        <v>Electrosurgical Units, Monopolar/Bipolar</v>
      </c>
      <c r="IXA115" s="196" t="s">
        <v>761</v>
      </c>
      <c r="IXB115" s="197" t="str">
        <f>VLOOKUP(IXA115,[13]AssetDetails_UEM!$A$3:$AH$1849,6,FALSE)</f>
        <v>Electrosurgical Units, Monopolar/Bipolar</v>
      </c>
      <c r="IXC115" s="196" t="s">
        <v>761</v>
      </c>
      <c r="IXD115" s="197" t="str">
        <f>VLOOKUP(IXC115,[13]AssetDetails_UEM!$A$3:$AH$1849,6,FALSE)</f>
        <v>Electrosurgical Units, Monopolar/Bipolar</v>
      </c>
      <c r="IXE115" s="196" t="s">
        <v>761</v>
      </c>
      <c r="IXF115" s="197" t="str">
        <f>VLOOKUP(IXE115,[13]AssetDetails_UEM!$A$3:$AH$1849,6,FALSE)</f>
        <v>Electrosurgical Units, Monopolar/Bipolar</v>
      </c>
      <c r="IXG115" s="196" t="s">
        <v>761</v>
      </c>
      <c r="IXH115" s="197" t="str">
        <f>VLOOKUP(IXG115,[13]AssetDetails_UEM!$A$3:$AH$1849,6,FALSE)</f>
        <v>Electrosurgical Units, Monopolar/Bipolar</v>
      </c>
      <c r="IXI115" s="196" t="s">
        <v>761</v>
      </c>
      <c r="IXJ115" s="197" t="str">
        <f>VLOOKUP(IXI115,[13]AssetDetails_UEM!$A$3:$AH$1849,6,FALSE)</f>
        <v>Electrosurgical Units, Monopolar/Bipolar</v>
      </c>
      <c r="IXK115" s="196" t="s">
        <v>761</v>
      </c>
      <c r="IXL115" s="197" t="str">
        <f>VLOOKUP(IXK115,[13]AssetDetails_UEM!$A$3:$AH$1849,6,FALSE)</f>
        <v>Electrosurgical Units, Monopolar/Bipolar</v>
      </c>
      <c r="IXM115" s="196" t="s">
        <v>761</v>
      </c>
      <c r="IXN115" s="197" t="str">
        <f>VLOOKUP(IXM115,[13]AssetDetails_UEM!$A$3:$AH$1849,6,FALSE)</f>
        <v>Electrosurgical Units, Monopolar/Bipolar</v>
      </c>
      <c r="IXO115" s="196" t="s">
        <v>761</v>
      </c>
      <c r="IXP115" s="197" t="str">
        <f>VLOOKUP(IXO115,[13]AssetDetails_UEM!$A$3:$AH$1849,6,FALSE)</f>
        <v>Electrosurgical Units, Monopolar/Bipolar</v>
      </c>
      <c r="IXQ115" s="196" t="s">
        <v>761</v>
      </c>
      <c r="IXR115" s="197" t="str">
        <f>VLOOKUP(IXQ115,[13]AssetDetails_UEM!$A$3:$AH$1849,6,FALSE)</f>
        <v>Electrosurgical Units, Monopolar/Bipolar</v>
      </c>
      <c r="IXS115" s="196" t="s">
        <v>761</v>
      </c>
      <c r="IXT115" s="197" t="str">
        <f>VLOOKUP(IXS115,[13]AssetDetails_UEM!$A$3:$AH$1849,6,FALSE)</f>
        <v>Electrosurgical Units, Monopolar/Bipolar</v>
      </c>
      <c r="IXU115" s="196" t="s">
        <v>761</v>
      </c>
      <c r="IXV115" s="197" t="str">
        <f>VLOOKUP(IXU115,[13]AssetDetails_UEM!$A$3:$AH$1849,6,FALSE)</f>
        <v>Electrosurgical Units, Monopolar/Bipolar</v>
      </c>
      <c r="IXW115" s="196" t="s">
        <v>761</v>
      </c>
      <c r="IXX115" s="197" t="str">
        <f>VLOOKUP(IXW115,[13]AssetDetails_UEM!$A$3:$AH$1849,6,FALSE)</f>
        <v>Electrosurgical Units, Monopolar/Bipolar</v>
      </c>
      <c r="IXY115" s="196" t="s">
        <v>761</v>
      </c>
      <c r="IXZ115" s="197" t="str">
        <f>VLOOKUP(IXY115,[13]AssetDetails_UEM!$A$3:$AH$1849,6,FALSE)</f>
        <v>Electrosurgical Units, Monopolar/Bipolar</v>
      </c>
      <c r="IYA115" s="196" t="s">
        <v>761</v>
      </c>
      <c r="IYB115" s="197" t="str">
        <f>VLOOKUP(IYA115,[13]AssetDetails_UEM!$A$3:$AH$1849,6,FALSE)</f>
        <v>Electrosurgical Units, Monopolar/Bipolar</v>
      </c>
      <c r="IYC115" s="196" t="s">
        <v>761</v>
      </c>
      <c r="IYD115" s="197" t="str">
        <f>VLOOKUP(IYC115,[13]AssetDetails_UEM!$A$3:$AH$1849,6,FALSE)</f>
        <v>Electrosurgical Units, Monopolar/Bipolar</v>
      </c>
      <c r="IYE115" s="196" t="s">
        <v>761</v>
      </c>
      <c r="IYF115" s="197" t="str">
        <f>VLOOKUP(IYE115,[13]AssetDetails_UEM!$A$3:$AH$1849,6,FALSE)</f>
        <v>Electrosurgical Units, Monopolar/Bipolar</v>
      </c>
      <c r="IYG115" s="196" t="s">
        <v>761</v>
      </c>
      <c r="IYH115" s="197" t="str">
        <f>VLOOKUP(IYG115,[13]AssetDetails_UEM!$A$3:$AH$1849,6,FALSE)</f>
        <v>Electrosurgical Units, Monopolar/Bipolar</v>
      </c>
      <c r="IYI115" s="196" t="s">
        <v>761</v>
      </c>
      <c r="IYJ115" s="197" t="str">
        <f>VLOOKUP(IYI115,[13]AssetDetails_UEM!$A$3:$AH$1849,6,FALSE)</f>
        <v>Electrosurgical Units, Monopolar/Bipolar</v>
      </c>
      <c r="IYK115" s="196" t="s">
        <v>761</v>
      </c>
      <c r="IYL115" s="197" t="str">
        <f>VLOOKUP(IYK115,[13]AssetDetails_UEM!$A$3:$AH$1849,6,FALSE)</f>
        <v>Electrosurgical Units, Monopolar/Bipolar</v>
      </c>
      <c r="IYM115" s="196" t="s">
        <v>761</v>
      </c>
      <c r="IYN115" s="197" t="str">
        <f>VLOOKUP(IYM115,[13]AssetDetails_UEM!$A$3:$AH$1849,6,FALSE)</f>
        <v>Electrosurgical Units, Monopolar/Bipolar</v>
      </c>
      <c r="IYO115" s="196" t="s">
        <v>761</v>
      </c>
      <c r="IYP115" s="197" t="str">
        <f>VLOOKUP(IYO115,[13]AssetDetails_UEM!$A$3:$AH$1849,6,FALSE)</f>
        <v>Electrosurgical Units, Monopolar/Bipolar</v>
      </c>
      <c r="IYQ115" s="196" t="s">
        <v>761</v>
      </c>
      <c r="IYR115" s="197" t="str">
        <f>VLOOKUP(IYQ115,[13]AssetDetails_UEM!$A$3:$AH$1849,6,FALSE)</f>
        <v>Electrosurgical Units, Monopolar/Bipolar</v>
      </c>
      <c r="IYS115" s="196" t="s">
        <v>761</v>
      </c>
      <c r="IYT115" s="197" t="str">
        <f>VLOOKUP(IYS115,[13]AssetDetails_UEM!$A$3:$AH$1849,6,FALSE)</f>
        <v>Electrosurgical Units, Monopolar/Bipolar</v>
      </c>
      <c r="IYU115" s="196" t="s">
        <v>761</v>
      </c>
      <c r="IYV115" s="197" t="str">
        <f>VLOOKUP(IYU115,[13]AssetDetails_UEM!$A$3:$AH$1849,6,FALSE)</f>
        <v>Electrosurgical Units, Monopolar/Bipolar</v>
      </c>
      <c r="IYW115" s="196" t="s">
        <v>761</v>
      </c>
      <c r="IYX115" s="197" t="str">
        <f>VLOOKUP(IYW115,[13]AssetDetails_UEM!$A$3:$AH$1849,6,FALSE)</f>
        <v>Electrosurgical Units, Monopolar/Bipolar</v>
      </c>
      <c r="IYY115" s="196" t="s">
        <v>761</v>
      </c>
      <c r="IYZ115" s="197" t="str">
        <f>VLOOKUP(IYY115,[13]AssetDetails_UEM!$A$3:$AH$1849,6,FALSE)</f>
        <v>Electrosurgical Units, Monopolar/Bipolar</v>
      </c>
      <c r="IZA115" s="196" t="s">
        <v>761</v>
      </c>
      <c r="IZB115" s="197" t="str">
        <f>VLOOKUP(IZA115,[13]AssetDetails_UEM!$A$3:$AH$1849,6,FALSE)</f>
        <v>Electrosurgical Units, Monopolar/Bipolar</v>
      </c>
      <c r="IZC115" s="196" t="s">
        <v>761</v>
      </c>
      <c r="IZD115" s="197" t="str">
        <f>VLOOKUP(IZC115,[13]AssetDetails_UEM!$A$3:$AH$1849,6,FALSE)</f>
        <v>Electrosurgical Units, Monopolar/Bipolar</v>
      </c>
      <c r="IZE115" s="196" t="s">
        <v>761</v>
      </c>
      <c r="IZF115" s="197" t="str">
        <f>VLOOKUP(IZE115,[13]AssetDetails_UEM!$A$3:$AH$1849,6,FALSE)</f>
        <v>Electrosurgical Units, Monopolar/Bipolar</v>
      </c>
      <c r="IZG115" s="196" t="s">
        <v>761</v>
      </c>
      <c r="IZH115" s="197" t="str">
        <f>VLOOKUP(IZG115,[13]AssetDetails_UEM!$A$3:$AH$1849,6,FALSE)</f>
        <v>Electrosurgical Units, Monopolar/Bipolar</v>
      </c>
      <c r="IZI115" s="196" t="s">
        <v>761</v>
      </c>
      <c r="IZJ115" s="197" t="str">
        <f>VLOOKUP(IZI115,[13]AssetDetails_UEM!$A$3:$AH$1849,6,FALSE)</f>
        <v>Electrosurgical Units, Monopolar/Bipolar</v>
      </c>
      <c r="IZK115" s="196" t="s">
        <v>761</v>
      </c>
      <c r="IZL115" s="197" t="str">
        <f>VLOOKUP(IZK115,[13]AssetDetails_UEM!$A$3:$AH$1849,6,FALSE)</f>
        <v>Electrosurgical Units, Monopolar/Bipolar</v>
      </c>
      <c r="IZM115" s="196" t="s">
        <v>761</v>
      </c>
      <c r="IZN115" s="197" t="str">
        <f>VLOOKUP(IZM115,[13]AssetDetails_UEM!$A$3:$AH$1849,6,FALSE)</f>
        <v>Electrosurgical Units, Monopolar/Bipolar</v>
      </c>
      <c r="IZO115" s="196" t="s">
        <v>761</v>
      </c>
      <c r="IZP115" s="197" t="str">
        <f>VLOOKUP(IZO115,[13]AssetDetails_UEM!$A$3:$AH$1849,6,FALSE)</f>
        <v>Electrosurgical Units, Monopolar/Bipolar</v>
      </c>
      <c r="IZQ115" s="196" t="s">
        <v>761</v>
      </c>
      <c r="IZR115" s="197" t="str">
        <f>VLOOKUP(IZQ115,[13]AssetDetails_UEM!$A$3:$AH$1849,6,FALSE)</f>
        <v>Electrosurgical Units, Monopolar/Bipolar</v>
      </c>
      <c r="IZS115" s="196" t="s">
        <v>761</v>
      </c>
      <c r="IZT115" s="197" t="str">
        <f>VLOOKUP(IZS115,[13]AssetDetails_UEM!$A$3:$AH$1849,6,FALSE)</f>
        <v>Electrosurgical Units, Monopolar/Bipolar</v>
      </c>
      <c r="IZU115" s="196" t="s">
        <v>761</v>
      </c>
      <c r="IZV115" s="197" t="str">
        <f>VLOOKUP(IZU115,[13]AssetDetails_UEM!$A$3:$AH$1849,6,FALSE)</f>
        <v>Electrosurgical Units, Monopolar/Bipolar</v>
      </c>
      <c r="IZW115" s="196" t="s">
        <v>761</v>
      </c>
      <c r="IZX115" s="197" t="str">
        <f>VLOOKUP(IZW115,[13]AssetDetails_UEM!$A$3:$AH$1849,6,FALSE)</f>
        <v>Electrosurgical Units, Monopolar/Bipolar</v>
      </c>
      <c r="IZY115" s="196" t="s">
        <v>761</v>
      </c>
      <c r="IZZ115" s="197" t="str">
        <f>VLOOKUP(IZY115,[13]AssetDetails_UEM!$A$3:$AH$1849,6,FALSE)</f>
        <v>Electrosurgical Units, Monopolar/Bipolar</v>
      </c>
      <c r="JAA115" s="196" t="s">
        <v>761</v>
      </c>
      <c r="JAB115" s="197" t="str">
        <f>VLOOKUP(JAA115,[13]AssetDetails_UEM!$A$3:$AH$1849,6,FALSE)</f>
        <v>Electrosurgical Units, Monopolar/Bipolar</v>
      </c>
      <c r="JAC115" s="196" t="s">
        <v>761</v>
      </c>
      <c r="JAD115" s="197" t="str">
        <f>VLOOKUP(JAC115,[13]AssetDetails_UEM!$A$3:$AH$1849,6,FALSE)</f>
        <v>Electrosurgical Units, Monopolar/Bipolar</v>
      </c>
      <c r="JAE115" s="196" t="s">
        <v>761</v>
      </c>
      <c r="JAF115" s="197" t="str">
        <f>VLOOKUP(JAE115,[13]AssetDetails_UEM!$A$3:$AH$1849,6,FALSE)</f>
        <v>Electrosurgical Units, Monopolar/Bipolar</v>
      </c>
      <c r="JAG115" s="196" t="s">
        <v>761</v>
      </c>
      <c r="JAH115" s="197" t="str">
        <f>VLOOKUP(JAG115,[13]AssetDetails_UEM!$A$3:$AH$1849,6,FALSE)</f>
        <v>Electrosurgical Units, Monopolar/Bipolar</v>
      </c>
      <c r="JAI115" s="196" t="s">
        <v>761</v>
      </c>
      <c r="JAJ115" s="197" t="str">
        <f>VLOOKUP(JAI115,[13]AssetDetails_UEM!$A$3:$AH$1849,6,FALSE)</f>
        <v>Electrosurgical Units, Monopolar/Bipolar</v>
      </c>
      <c r="JAK115" s="196" t="s">
        <v>761</v>
      </c>
      <c r="JAL115" s="197" t="str">
        <f>VLOOKUP(JAK115,[13]AssetDetails_UEM!$A$3:$AH$1849,6,FALSE)</f>
        <v>Electrosurgical Units, Monopolar/Bipolar</v>
      </c>
      <c r="JAM115" s="196" t="s">
        <v>761</v>
      </c>
      <c r="JAN115" s="197" t="str">
        <f>VLOOKUP(JAM115,[13]AssetDetails_UEM!$A$3:$AH$1849,6,FALSE)</f>
        <v>Electrosurgical Units, Monopolar/Bipolar</v>
      </c>
      <c r="JAO115" s="196" t="s">
        <v>761</v>
      </c>
      <c r="JAP115" s="197" t="str">
        <f>VLOOKUP(JAO115,[13]AssetDetails_UEM!$A$3:$AH$1849,6,FALSE)</f>
        <v>Electrosurgical Units, Monopolar/Bipolar</v>
      </c>
      <c r="JAQ115" s="196" t="s">
        <v>761</v>
      </c>
      <c r="JAR115" s="197" t="str">
        <f>VLOOKUP(JAQ115,[13]AssetDetails_UEM!$A$3:$AH$1849,6,FALSE)</f>
        <v>Electrosurgical Units, Monopolar/Bipolar</v>
      </c>
      <c r="JAS115" s="196" t="s">
        <v>761</v>
      </c>
      <c r="JAT115" s="197" t="str">
        <f>VLOOKUP(JAS115,[13]AssetDetails_UEM!$A$3:$AH$1849,6,FALSE)</f>
        <v>Electrosurgical Units, Monopolar/Bipolar</v>
      </c>
      <c r="JAU115" s="196" t="s">
        <v>761</v>
      </c>
      <c r="JAV115" s="197" t="str">
        <f>VLOOKUP(JAU115,[13]AssetDetails_UEM!$A$3:$AH$1849,6,FALSE)</f>
        <v>Electrosurgical Units, Monopolar/Bipolar</v>
      </c>
      <c r="JAW115" s="196" t="s">
        <v>761</v>
      </c>
      <c r="JAX115" s="197" t="str">
        <f>VLOOKUP(JAW115,[13]AssetDetails_UEM!$A$3:$AH$1849,6,FALSE)</f>
        <v>Electrosurgical Units, Monopolar/Bipolar</v>
      </c>
      <c r="JAY115" s="196" t="s">
        <v>761</v>
      </c>
      <c r="JAZ115" s="197" t="str">
        <f>VLOOKUP(JAY115,[13]AssetDetails_UEM!$A$3:$AH$1849,6,FALSE)</f>
        <v>Electrosurgical Units, Monopolar/Bipolar</v>
      </c>
      <c r="JBA115" s="196" t="s">
        <v>761</v>
      </c>
      <c r="JBB115" s="197" t="str">
        <f>VLOOKUP(JBA115,[13]AssetDetails_UEM!$A$3:$AH$1849,6,FALSE)</f>
        <v>Electrosurgical Units, Monopolar/Bipolar</v>
      </c>
      <c r="JBC115" s="196" t="s">
        <v>761</v>
      </c>
      <c r="JBD115" s="197" t="str">
        <f>VLOOKUP(JBC115,[13]AssetDetails_UEM!$A$3:$AH$1849,6,FALSE)</f>
        <v>Electrosurgical Units, Monopolar/Bipolar</v>
      </c>
      <c r="JBE115" s="196" t="s">
        <v>761</v>
      </c>
      <c r="JBF115" s="197" t="str">
        <f>VLOOKUP(JBE115,[13]AssetDetails_UEM!$A$3:$AH$1849,6,FALSE)</f>
        <v>Electrosurgical Units, Monopolar/Bipolar</v>
      </c>
      <c r="JBG115" s="196" t="s">
        <v>761</v>
      </c>
      <c r="JBH115" s="197" t="str">
        <f>VLOOKUP(JBG115,[13]AssetDetails_UEM!$A$3:$AH$1849,6,FALSE)</f>
        <v>Electrosurgical Units, Monopolar/Bipolar</v>
      </c>
      <c r="JBI115" s="196" t="s">
        <v>761</v>
      </c>
      <c r="JBJ115" s="197" t="str">
        <f>VLOOKUP(JBI115,[13]AssetDetails_UEM!$A$3:$AH$1849,6,FALSE)</f>
        <v>Electrosurgical Units, Monopolar/Bipolar</v>
      </c>
      <c r="JBK115" s="196" t="s">
        <v>761</v>
      </c>
      <c r="JBL115" s="197" t="str">
        <f>VLOOKUP(JBK115,[13]AssetDetails_UEM!$A$3:$AH$1849,6,FALSE)</f>
        <v>Electrosurgical Units, Monopolar/Bipolar</v>
      </c>
      <c r="JBM115" s="196" t="s">
        <v>761</v>
      </c>
      <c r="JBN115" s="197" t="str">
        <f>VLOOKUP(JBM115,[13]AssetDetails_UEM!$A$3:$AH$1849,6,FALSE)</f>
        <v>Electrosurgical Units, Monopolar/Bipolar</v>
      </c>
      <c r="JBO115" s="196" t="s">
        <v>761</v>
      </c>
      <c r="JBP115" s="197" t="str">
        <f>VLOOKUP(JBO115,[13]AssetDetails_UEM!$A$3:$AH$1849,6,FALSE)</f>
        <v>Electrosurgical Units, Monopolar/Bipolar</v>
      </c>
      <c r="JBQ115" s="196" t="s">
        <v>761</v>
      </c>
      <c r="JBR115" s="197" t="str">
        <f>VLOOKUP(JBQ115,[13]AssetDetails_UEM!$A$3:$AH$1849,6,FALSE)</f>
        <v>Electrosurgical Units, Monopolar/Bipolar</v>
      </c>
      <c r="JBS115" s="196" t="s">
        <v>761</v>
      </c>
      <c r="JBT115" s="197" t="str">
        <f>VLOOKUP(JBS115,[13]AssetDetails_UEM!$A$3:$AH$1849,6,FALSE)</f>
        <v>Electrosurgical Units, Monopolar/Bipolar</v>
      </c>
      <c r="JBU115" s="196" t="s">
        <v>761</v>
      </c>
      <c r="JBV115" s="197" t="str">
        <f>VLOOKUP(JBU115,[13]AssetDetails_UEM!$A$3:$AH$1849,6,FALSE)</f>
        <v>Electrosurgical Units, Monopolar/Bipolar</v>
      </c>
      <c r="JBW115" s="196" t="s">
        <v>761</v>
      </c>
      <c r="JBX115" s="197" t="str">
        <f>VLOOKUP(JBW115,[13]AssetDetails_UEM!$A$3:$AH$1849,6,FALSE)</f>
        <v>Electrosurgical Units, Monopolar/Bipolar</v>
      </c>
      <c r="JBY115" s="196" t="s">
        <v>761</v>
      </c>
      <c r="JBZ115" s="197" t="str">
        <f>VLOOKUP(JBY115,[13]AssetDetails_UEM!$A$3:$AH$1849,6,FALSE)</f>
        <v>Electrosurgical Units, Monopolar/Bipolar</v>
      </c>
      <c r="JCA115" s="196" t="s">
        <v>761</v>
      </c>
      <c r="JCB115" s="197" t="str">
        <f>VLOOKUP(JCA115,[13]AssetDetails_UEM!$A$3:$AH$1849,6,FALSE)</f>
        <v>Electrosurgical Units, Monopolar/Bipolar</v>
      </c>
      <c r="JCC115" s="196" t="s">
        <v>761</v>
      </c>
      <c r="JCD115" s="197" t="str">
        <f>VLOOKUP(JCC115,[13]AssetDetails_UEM!$A$3:$AH$1849,6,FALSE)</f>
        <v>Electrosurgical Units, Monopolar/Bipolar</v>
      </c>
      <c r="JCE115" s="196" t="s">
        <v>761</v>
      </c>
      <c r="JCF115" s="197" t="str">
        <f>VLOOKUP(JCE115,[13]AssetDetails_UEM!$A$3:$AH$1849,6,FALSE)</f>
        <v>Electrosurgical Units, Monopolar/Bipolar</v>
      </c>
      <c r="JCG115" s="196" t="s">
        <v>761</v>
      </c>
      <c r="JCH115" s="197" t="str">
        <f>VLOOKUP(JCG115,[13]AssetDetails_UEM!$A$3:$AH$1849,6,FALSE)</f>
        <v>Electrosurgical Units, Monopolar/Bipolar</v>
      </c>
      <c r="JCI115" s="196" t="s">
        <v>761</v>
      </c>
      <c r="JCJ115" s="197" t="str">
        <f>VLOOKUP(JCI115,[13]AssetDetails_UEM!$A$3:$AH$1849,6,FALSE)</f>
        <v>Electrosurgical Units, Monopolar/Bipolar</v>
      </c>
      <c r="JCK115" s="196" t="s">
        <v>761</v>
      </c>
      <c r="JCL115" s="197" t="str">
        <f>VLOOKUP(JCK115,[13]AssetDetails_UEM!$A$3:$AH$1849,6,FALSE)</f>
        <v>Electrosurgical Units, Monopolar/Bipolar</v>
      </c>
      <c r="JCM115" s="196" t="s">
        <v>761</v>
      </c>
      <c r="JCN115" s="197" t="str">
        <f>VLOOKUP(JCM115,[13]AssetDetails_UEM!$A$3:$AH$1849,6,FALSE)</f>
        <v>Electrosurgical Units, Monopolar/Bipolar</v>
      </c>
      <c r="JCO115" s="196" t="s">
        <v>761</v>
      </c>
      <c r="JCP115" s="197" t="str">
        <f>VLOOKUP(JCO115,[13]AssetDetails_UEM!$A$3:$AH$1849,6,FALSE)</f>
        <v>Electrosurgical Units, Monopolar/Bipolar</v>
      </c>
      <c r="JCQ115" s="196" t="s">
        <v>761</v>
      </c>
      <c r="JCR115" s="197" t="str">
        <f>VLOOKUP(JCQ115,[13]AssetDetails_UEM!$A$3:$AH$1849,6,FALSE)</f>
        <v>Electrosurgical Units, Monopolar/Bipolar</v>
      </c>
      <c r="JCS115" s="196" t="s">
        <v>761</v>
      </c>
      <c r="JCT115" s="197" t="str">
        <f>VLOOKUP(JCS115,[13]AssetDetails_UEM!$A$3:$AH$1849,6,FALSE)</f>
        <v>Electrosurgical Units, Monopolar/Bipolar</v>
      </c>
      <c r="JCU115" s="196" t="s">
        <v>761</v>
      </c>
      <c r="JCV115" s="197" t="str">
        <f>VLOOKUP(JCU115,[13]AssetDetails_UEM!$A$3:$AH$1849,6,FALSE)</f>
        <v>Electrosurgical Units, Monopolar/Bipolar</v>
      </c>
      <c r="JCW115" s="196" t="s">
        <v>761</v>
      </c>
      <c r="JCX115" s="197" t="str">
        <f>VLOOKUP(JCW115,[13]AssetDetails_UEM!$A$3:$AH$1849,6,FALSE)</f>
        <v>Electrosurgical Units, Monopolar/Bipolar</v>
      </c>
      <c r="JCY115" s="196" t="s">
        <v>761</v>
      </c>
      <c r="JCZ115" s="197" t="str">
        <f>VLOOKUP(JCY115,[13]AssetDetails_UEM!$A$3:$AH$1849,6,FALSE)</f>
        <v>Electrosurgical Units, Monopolar/Bipolar</v>
      </c>
      <c r="JDA115" s="196" t="s">
        <v>761</v>
      </c>
      <c r="JDB115" s="197" t="str">
        <f>VLOOKUP(JDA115,[13]AssetDetails_UEM!$A$3:$AH$1849,6,FALSE)</f>
        <v>Electrosurgical Units, Monopolar/Bipolar</v>
      </c>
      <c r="JDC115" s="196" t="s">
        <v>761</v>
      </c>
      <c r="JDD115" s="197" t="str">
        <f>VLOOKUP(JDC115,[13]AssetDetails_UEM!$A$3:$AH$1849,6,FALSE)</f>
        <v>Electrosurgical Units, Monopolar/Bipolar</v>
      </c>
      <c r="JDE115" s="196" t="s">
        <v>761</v>
      </c>
      <c r="JDF115" s="197" t="str">
        <f>VLOOKUP(JDE115,[13]AssetDetails_UEM!$A$3:$AH$1849,6,FALSE)</f>
        <v>Electrosurgical Units, Monopolar/Bipolar</v>
      </c>
      <c r="JDG115" s="196" t="s">
        <v>761</v>
      </c>
      <c r="JDH115" s="197" t="str">
        <f>VLOOKUP(JDG115,[13]AssetDetails_UEM!$A$3:$AH$1849,6,FALSE)</f>
        <v>Electrosurgical Units, Monopolar/Bipolar</v>
      </c>
      <c r="JDI115" s="196" t="s">
        <v>761</v>
      </c>
      <c r="JDJ115" s="197" t="str">
        <f>VLOOKUP(JDI115,[13]AssetDetails_UEM!$A$3:$AH$1849,6,FALSE)</f>
        <v>Electrosurgical Units, Monopolar/Bipolar</v>
      </c>
      <c r="JDK115" s="196" t="s">
        <v>761</v>
      </c>
      <c r="JDL115" s="197" t="str">
        <f>VLOOKUP(JDK115,[13]AssetDetails_UEM!$A$3:$AH$1849,6,FALSE)</f>
        <v>Electrosurgical Units, Monopolar/Bipolar</v>
      </c>
      <c r="JDM115" s="196" t="s">
        <v>761</v>
      </c>
      <c r="JDN115" s="197" t="str">
        <f>VLOOKUP(JDM115,[13]AssetDetails_UEM!$A$3:$AH$1849,6,FALSE)</f>
        <v>Electrosurgical Units, Monopolar/Bipolar</v>
      </c>
      <c r="JDO115" s="196" t="s">
        <v>761</v>
      </c>
      <c r="JDP115" s="197" t="str">
        <f>VLOOKUP(JDO115,[13]AssetDetails_UEM!$A$3:$AH$1849,6,FALSE)</f>
        <v>Electrosurgical Units, Monopolar/Bipolar</v>
      </c>
      <c r="JDQ115" s="196" t="s">
        <v>761</v>
      </c>
      <c r="JDR115" s="197" t="str">
        <f>VLOOKUP(JDQ115,[13]AssetDetails_UEM!$A$3:$AH$1849,6,FALSE)</f>
        <v>Electrosurgical Units, Monopolar/Bipolar</v>
      </c>
      <c r="JDS115" s="196" t="s">
        <v>761</v>
      </c>
      <c r="JDT115" s="197" t="str">
        <f>VLOOKUP(JDS115,[13]AssetDetails_UEM!$A$3:$AH$1849,6,FALSE)</f>
        <v>Electrosurgical Units, Monopolar/Bipolar</v>
      </c>
      <c r="JDU115" s="196" t="s">
        <v>761</v>
      </c>
      <c r="JDV115" s="197" t="str">
        <f>VLOOKUP(JDU115,[13]AssetDetails_UEM!$A$3:$AH$1849,6,FALSE)</f>
        <v>Electrosurgical Units, Monopolar/Bipolar</v>
      </c>
      <c r="JDW115" s="196" t="s">
        <v>761</v>
      </c>
      <c r="JDX115" s="197" t="str">
        <f>VLOOKUP(JDW115,[13]AssetDetails_UEM!$A$3:$AH$1849,6,FALSE)</f>
        <v>Electrosurgical Units, Monopolar/Bipolar</v>
      </c>
      <c r="JDY115" s="196" t="s">
        <v>761</v>
      </c>
      <c r="JDZ115" s="197" t="str">
        <f>VLOOKUP(JDY115,[13]AssetDetails_UEM!$A$3:$AH$1849,6,FALSE)</f>
        <v>Electrosurgical Units, Monopolar/Bipolar</v>
      </c>
      <c r="JEA115" s="196" t="s">
        <v>761</v>
      </c>
      <c r="JEB115" s="197" t="str">
        <f>VLOOKUP(JEA115,[13]AssetDetails_UEM!$A$3:$AH$1849,6,FALSE)</f>
        <v>Electrosurgical Units, Monopolar/Bipolar</v>
      </c>
      <c r="JEC115" s="196" t="s">
        <v>761</v>
      </c>
      <c r="JED115" s="197" t="str">
        <f>VLOOKUP(JEC115,[13]AssetDetails_UEM!$A$3:$AH$1849,6,FALSE)</f>
        <v>Electrosurgical Units, Monopolar/Bipolar</v>
      </c>
      <c r="JEE115" s="196" t="s">
        <v>761</v>
      </c>
      <c r="JEF115" s="197" t="str">
        <f>VLOOKUP(JEE115,[13]AssetDetails_UEM!$A$3:$AH$1849,6,FALSE)</f>
        <v>Electrosurgical Units, Monopolar/Bipolar</v>
      </c>
      <c r="JEG115" s="196" t="s">
        <v>761</v>
      </c>
      <c r="JEH115" s="197" t="str">
        <f>VLOOKUP(JEG115,[13]AssetDetails_UEM!$A$3:$AH$1849,6,FALSE)</f>
        <v>Electrosurgical Units, Monopolar/Bipolar</v>
      </c>
      <c r="JEI115" s="196" t="s">
        <v>761</v>
      </c>
      <c r="JEJ115" s="197" t="str">
        <f>VLOOKUP(JEI115,[13]AssetDetails_UEM!$A$3:$AH$1849,6,FALSE)</f>
        <v>Electrosurgical Units, Monopolar/Bipolar</v>
      </c>
      <c r="JEK115" s="196" t="s">
        <v>761</v>
      </c>
      <c r="JEL115" s="197" t="str">
        <f>VLOOKUP(JEK115,[13]AssetDetails_UEM!$A$3:$AH$1849,6,FALSE)</f>
        <v>Electrosurgical Units, Monopolar/Bipolar</v>
      </c>
      <c r="JEM115" s="196" t="s">
        <v>761</v>
      </c>
      <c r="JEN115" s="197" t="str">
        <f>VLOOKUP(JEM115,[13]AssetDetails_UEM!$A$3:$AH$1849,6,FALSE)</f>
        <v>Electrosurgical Units, Monopolar/Bipolar</v>
      </c>
      <c r="JEO115" s="196" t="s">
        <v>761</v>
      </c>
      <c r="JEP115" s="197" t="str">
        <f>VLOOKUP(JEO115,[13]AssetDetails_UEM!$A$3:$AH$1849,6,FALSE)</f>
        <v>Electrosurgical Units, Monopolar/Bipolar</v>
      </c>
      <c r="JEQ115" s="196" t="s">
        <v>761</v>
      </c>
      <c r="JER115" s="197" t="str">
        <f>VLOOKUP(JEQ115,[13]AssetDetails_UEM!$A$3:$AH$1849,6,FALSE)</f>
        <v>Electrosurgical Units, Monopolar/Bipolar</v>
      </c>
      <c r="JES115" s="196" t="s">
        <v>761</v>
      </c>
      <c r="JET115" s="197" t="str">
        <f>VLOOKUP(JES115,[13]AssetDetails_UEM!$A$3:$AH$1849,6,FALSE)</f>
        <v>Electrosurgical Units, Monopolar/Bipolar</v>
      </c>
      <c r="JEU115" s="196" t="s">
        <v>761</v>
      </c>
      <c r="JEV115" s="197" t="str">
        <f>VLOOKUP(JEU115,[13]AssetDetails_UEM!$A$3:$AH$1849,6,FALSE)</f>
        <v>Electrosurgical Units, Monopolar/Bipolar</v>
      </c>
      <c r="JEW115" s="196" t="s">
        <v>761</v>
      </c>
      <c r="JEX115" s="197" t="str">
        <f>VLOOKUP(JEW115,[13]AssetDetails_UEM!$A$3:$AH$1849,6,FALSE)</f>
        <v>Electrosurgical Units, Monopolar/Bipolar</v>
      </c>
      <c r="JEY115" s="196" t="s">
        <v>761</v>
      </c>
      <c r="JEZ115" s="197" t="str">
        <f>VLOOKUP(JEY115,[13]AssetDetails_UEM!$A$3:$AH$1849,6,FALSE)</f>
        <v>Electrosurgical Units, Monopolar/Bipolar</v>
      </c>
      <c r="JFA115" s="196" t="s">
        <v>761</v>
      </c>
      <c r="JFB115" s="197" t="str">
        <f>VLOOKUP(JFA115,[13]AssetDetails_UEM!$A$3:$AH$1849,6,FALSE)</f>
        <v>Electrosurgical Units, Monopolar/Bipolar</v>
      </c>
      <c r="JFC115" s="196" t="s">
        <v>761</v>
      </c>
      <c r="JFD115" s="197" t="str">
        <f>VLOOKUP(JFC115,[13]AssetDetails_UEM!$A$3:$AH$1849,6,FALSE)</f>
        <v>Electrosurgical Units, Monopolar/Bipolar</v>
      </c>
      <c r="JFE115" s="196" t="s">
        <v>761</v>
      </c>
      <c r="JFF115" s="197" t="str">
        <f>VLOOKUP(JFE115,[13]AssetDetails_UEM!$A$3:$AH$1849,6,FALSE)</f>
        <v>Electrosurgical Units, Monopolar/Bipolar</v>
      </c>
      <c r="JFG115" s="196" t="s">
        <v>761</v>
      </c>
      <c r="JFH115" s="197" t="str">
        <f>VLOOKUP(JFG115,[13]AssetDetails_UEM!$A$3:$AH$1849,6,FALSE)</f>
        <v>Electrosurgical Units, Monopolar/Bipolar</v>
      </c>
      <c r="JFI115" s="196" t="s">
        <v>761</v>
      </c>
      <c r="JFJ115" s="197" t="str">
        <f>VLOOKUP(JFI115,[13]AssetDetails_UEM!$A$3:$AH$1849,6,FALSE)</f>
        <v>Electrosurgical Units, Monopolar/Bipolar</v>
      </c>
      <c r="JFK115" s="196" t="s">
        <v>761</v>
      </c>
      <c r="JFL115" s="197" t="str">
        <f>VLOOKUP(JFK115,[13]AssetDetails_UEM!$A$3:$AH$1849,6,FALSE)</f>
        <v>Electrosurgical Units, Monopolar/Bipolar</v>
      </c>
      <c r="JFM115" s="196" t="s">
        <v>761</v>
      </c>
      <c r="JFN115" s="197" t="str">
        <f>VLOOKUP(JFM115,[13]AssetDetails_UEM!$A$3:$AH$1849,6,FALSE)</f>
        <v>Electrosurgical Units, Monopolar/Bipolar</v>
      </c>
      <c r="JFO115" s="196" t="s">
        <v>761</v>
      </c>
      <c r="JFP115" s="197" t="str">
        <f>VLOOKUP(JFO115,[13]AssetDetails_UEM!$A$3:$AH$1849,6,FALSE)</f>
        <v>Electrosurgical Units, Monopolar/Bipolar</v>
      </c>
      <c r="JFQ115" s="196" t="s">
        <v>761</v>
      </c>
      <c r="JFR115" s="197" t="str">
        <f>VLOOKUP(JFQ115,[13]AssetDetails_UEM!$A$3:$AH$1849,6,FALSE)</f>
        <v>Electrosurgical Units, Monopolar/Bipolar</v>
      </c>
      <c r="JFS115" s="196" t="s">
        <v>761</v>
      </c>
      <c r="JFT115" s="197" t="str">
        <f>VLOOKUP(JFS115,[13]AssetDetails_UEM!$A$3:$AH$1849,6,FALSE)</f>
        <v>Electrosurgical Units, Monopolar/Bipolar</v>
      </c>
      <c r="JFU115" s="196" t="s">
        <v>761</v>
      </c>
      <c r="JFV115" s="197" t="str">
        <f>VLOOKUP(JFU115,[13]AssetDetails_UEM!$A$3:$AH$1849,6,FALSE)</f>
        <v>Electrosurgical Units, Monopolar/Bipolar</v>
      </c>
      <c r="JFW115" s="196" t="s">
        <v>761</v>
      </c>
      <c r="JFX115" s="197" t="str">
        <f>VLOOKUP(JFW115,[13]AssetDetails_UEM!$A$3:$AH$1849,6,FALSE)</f>
        <v>Electrosurgical Units, Monopolar/Bipolar</v>
      </c>
      <c r="JFY115" s="196" t="s">
        <v>761</v>
      </c>
      <c r="JFZ115" s="197" t="str">
        <f>VLOOKUP(JFY115,[13]AssetDetails_UEM!$A$3:$AH$1849,6,FALSE)</f>
        <v>Electrosurgical Units, Monopolar/Bipolar</v>
      </c>
      <c r="JGA115" s="196" t="s">
        <v>761</v>
      </c>
      <c r="JGB115" s="197" t="str">
        <f>VLOOKUP(JGA115,[13]AssetDetails_UEM!$A$3:$AH$1849,6,FALSE)</f>
        <v>Electrosurgical Units, Monopolar/Bipolar</v>
      </c>
      <c r="JGC115" s="196" t="s">
        <v>761</v>
      </c>
      <c r="JGD115" s="197" t="str">
        <f>VLOOKUP(JGC115,[13]AssetDetails_UEM!$A$3:$AH$1849,6,FALSE)</f>
        <v>Electrosurgical Units, Monopolar/Bipolar</v>
      </c>
      <c r="JGE115" s="196" t="s">
        <v>761</v>
      </c>
      <c r="JGF115" s="197" t="str">
        <f>VLOOKUP(JGE115,[13]AssetDetails_UEM!$A$3:$AH$1849,6,FALSE)</f>
        <v>Electrosurgical Units, Monopolar/Bipolar</v>
      </c>
      <c r="JGG115" s="196" t="s">
        <v>761</v>
      </c>
      <c r="JGH115" s="197" t="str">
        <f>VLOOKUP(JGG115,[13]AssetDetails_UEM!$A$3:$AH$1849,6,FALSE)</f>
        <v>Electrosurgical Units, Monopolar/Bipolar</v>
      </c>
      <c r="JGI115" s="196" t="s">
        <v>761</v>
      </c>
      <c r="JGJ115" s="197" t="str">
        <f>VLOOKUP(JGI115,[13]AssetDetails_UEM!$A$3:$AH$1849,6,FALSE)</f>
        <v>Electrosurgical Units, Monopolar/Bipolar</v>
      </c>
      <c r="JGK115" s="196" t="s">
        <v>761</v>
      </c>
      <c r="JGL115" s="197" t="str">
        <f>VLOOKUP(JGK115,[13]AssetDetails_UEM!$A$3:$AH$1849,6,FALSE)</f>
        <v>Electrosurgical Units, Monopolar/Bipolar</v>
      </c>
      <c r="JGM115" s="196" t="s">
        <v>761</v>
      </c>
      <c r="JGN115" s="197" t="str">
        <f>VLOOKUP(JGM115,[13]AssetDetails_UEM!$A$3:$AH$1849,6,FALSE)</f>
        <v>Electrosurgical Units, Monopolar/Bipolar</v>
      </c>
      <c r="JGO115" s="196" t="s">
        <v>761</v>
      </c>
      <c r="JGP115" s="197" t="str">
        <f>VLOOKUP(JGO115,[13]AssetDetails_UEM!$A$3:$AH$1849,6,FALSE)</f>
        <v>Electrosurgical Units, Monopolar/Bipolar</v>
      </c>
      <c r="JGQ115" s="196" t="s">
        <v>761</v>
      </c>
      <c r="JGR115" s="197" t="str">
        <f>VLOOKUP(JGQ115,[13]AssetDetails_UEM!$A$3:$AH$1849,6,FALSE)</f>
        <v>Electrosurgical Units, Monopolar/Bipolar</v>
      </c>
      <c r="JGS115" s="196" t="s">
        <v>761</v>
      </c>
      <c r="JGT115" s="197" t="str">
        <f>VLOOKUP(JGS115,[13]AssetDetails_UEM!$A$3:$AH$1849,6,FALSE)</f>
        <v>Electrosurgical Units, Monopolar/Bipolar</v>
      </c>
      <c r="JGU115" s="196" t="s">
        <v>761</v>
      </c>
      <c r="JGV115" s="197" t="str">
        <f>VLOOKUP(JGU115,[13]AssetDetails_UEM!$A$3:$AH$1849,6,FALSE)</f>
        <v>Electrosurgical Units, Monopolar/Bipolar</v>
      </c>
      <c r="JGW115" s="196" t="s">
        <v>761</v>
      </c>
      <c r="JGX115" s="197" t="str">
        <f>VLOOKUP(JGW115,[13]AssetDetails_UEM!$A$3:$AH$1849,6,FALSE)</f>
        <v>Electrosurgical Units, Monopolar/Bipolar</v>
      </c>
      <c r="JGY115" s="196" t="s">
        <v>761</v>
      </c>
      <c r="JGZ115" s="197" t="str">
        <f>VLOOKUP(JGY115,[13]AssetDetails_UEM!$A$3:$AH$1849,6,FALSE)</f>
        <v>Electrosurgical Units, Monopolar/Bipolar</v>
      </c>
      <c r="JHA115" s="196" t="s">
        <v>761</v>
      </c>
      <c r="JHB115" s="197" t="str">
        <f>VLOOKUP(JHA115,[13]AssetDetails_UEM!$A$3:$AH$1849,6,FALSE)</f>
        <v>Electrosurgical Units, Monopolar/Bipolar</v>
      </c>
      <c r="JHC115" s="196" t="s">
        <v>761</v>
      </c>
      <c r="JHD115" s="197" t="str">
        <f>VLOOKUP(JHC115,[13]AssetDetails_UEM!$A$3:$AH$1849,6,FALSE)</f>
        <v>Electrosurgical Units, Monopolar/Bipolar</v>
      </c>
      <c r="JHE115" s="196" t="s">
        <v>761</v>
      </c>
      <c r="JHF115" s="197" t="str">
        <f>VLOOKUP(JHE115,[13]AssetDetails_UEM!$A$3:$AH$1849,6,FALSE)</f>
        <v>Electrosurgical Units, Monopolar/Bipolar</v>
      </c>
      <c r="JHG115" s="196" t="s">
        <v>761</v>
      </c>
      <c r="JHH115" s="197" t="str">
        <f>VLOOKUP(JHG115,[13]AssetDetails_UEM!$A$3:$AH$1849,6,FALSE)</f>
        <v>Electrosurgical Units, Monopolar/Bipolar</v>
      </c>
      <c r="JHI115" s="196" t="s">
        <v>761</v>
      </c>
      <c r="JHJ115" s="197" t="str">
        <f>VLOOKUP(JHI115,[13]AssetDetails_UEM!$A$3:$AH$1849,6,FALSE)</f>
        <v>Electrosurgical Units, Monopolar/Bipolar</v>
      </c>
      <c r="JHK115" s="196" t="s">
        <v>761</v>
      </c>
      <c r="JHL115" s="197" t="str">
        <f>VLOOKUP(JHK115,[13]AssetDetails_UEM!$A$3:$AH$1849,6,FALSE)</f>
        <v>Electrosurgical Units, Monopolar/Bipolar</v>
      </c>
      <c r="JHM115" s="196" t="s">
        <v>761</v>
      </c>
      <c r="JHN115" s="197" t="str">
        <f>VLOOKUP(JHM115,[13]AssetDetails_UEM!$A$3:$AH$1849,6,FALSE)</f>
        <v>Electrosurgical Units, Monopolar/Bipolar</v>
      </c>
      <c r="JHO115" s="196" t="s">
        <v>761</v>
      </c>
      <c r="JHP115" s="197" t="str">
        <f>VLOOKUP(JHO115,[13]AssetDetails_UEM!$A$3:$AH$1849,6,FALSE)</f>
        <v>Electrosurgical Units, Monopolar/Bipolar</v>
      </c>
      <c r="JHQ115" s="196" t="s">
        <v>761</v>
      </c>
      <c r="JHR115" s="197" t="str">
        <f>VLOOKUP(JHQ115,[13]AssetDetails_UEM!$A$3:$AH$1849,6,FALSE)</f>
        <v>Electrosurgical Units, Monopolar/Bipolar</v>
      </c>
      <c r="JHS115" s="196" t="s">
        <v>761</v>
      </c>
      <c r="JHT115" s="197" t="str">
        <f>VLOOKUP(JHS115,[13]AssetDetails_UEM!$A$3:$AH$1849,6,FALSE)</f>
        <v>Electrosurgical Units, Monopolar/Bipolar</v>
      </c>
      <c r="JHU115" s="196" t="s">
        <v>761</v>
      </c>
      <c r="JHV115" s="197" t="str">
        <f>VLOOKUP(JHU115,[13]AssetDetails_UEM!$A$3:$AH$1849,6,FALSE)</f>
        <v>Electrosurgical Units, Monopolar/Bipolar</v>
      </c>
      <c r="JHW115" s="196" t="s">
        <v>761</v>
      </c>
      <c r="JHX115" s="197" t="str">
        <f>VLOOKUP(JHW115,[13]AssetDetails_UEM!$A$3:$AH$1849,6,FALSE)</f>
        <v>Electrosurgical Units, Monopolar/Bipolar</v>
      </c>
      <c r="JHY115" s="196" t="s">
        <v>761</v>
      </c>
      <c r="JHZ115" s="197" t="str">
        <f>VLOOKUP(JHY115,[13]AssetDetails_UEM!$A$3:$AH$1849,6,FALSE)</f>
        <v>Electrosurgical Units, Monopolar/Bipolar</v>
      </c>
      <c r="JIA115" s="196" t="s">
        <v>761</v>
      </c>
      <c r="JIB115" s="197" t="str">
        <f>VLOOKUP(JIA115,[13]AssetDetails_UEM!$A$3:$AH$1849,6,FALSE)</f>
        <v>Electrosurgical Units, Monopolar/Bipolar</v>
      </c>
      <c r="JIC115" s="196" t="s">
        <v>761</v>
      </c>
      <c r="JID115" s="197" t="str">
        <f>VLOOKUP(JIC115,[13]AssetDetails_UEM!$A$3:$AH$1849,6,FALSE)</f>
        <v>Electrosurgical Units, Monopolar/Bipolar</v>
      </c>
      <c r="JIE115" s="196" t="s">
        <v>761</v>
      </c>
      <c r="JIF115" s="197" t="str">
        <f>VLOOKUP(JIE115,[13]AssetDetails_UEM!$A$3:$AH$1849,6,FALSE)</f>
        <v>Electrosurgical Units, Monopolar/Bipolar</v>
      </c>
      <c r="JIG115" s="196" t="s">
        <v>761</v>
      </c>
      <c r="JIH115" s="197" t="str">
        <f>VLOOKUP(JIG115,[13]AssetDetails_UEM!$A$3:$AH$1849,6,FALSE)</f>
        <v>Electrosurgical Units, Monopolar/Bipolar</v>
      </c>
      <c r="JII115" s="196" t="s">
        <v>761</v>
      </c>
      <c r="JIJ115" s="197" t="str">
        <f>VLOOKUP(JII115,[13]AssetDetails_UEM!$A$3:$AH$1849,6,FALSE)</f>
        <v>Electrosurgical Units, Monopolar/Bipolar</v>
      </c>
      <c r="JIK115" s="196" t="s">
        <v>761</v>
      </c>
      <c r="JIL115" s="197" t="str">
        <f>VLOOKUP(JIK115,[13]AssetDetails_UEM!$A$3:$AH$1849,6,FALSE)</f>
        <v>Electrosurgical Units, Monopolar/Bipolar</v>
      </c>
      <c r="JIM115" s="196" t="s">
        <v>761</v>
      </c>
      <c r="JIN115" s="197" t="str">
        <f>VLOOKUP(JIM115,[13]AssetDetails_UEM!$A$3:$AH$1849,6,FALSE)</f>
        <v>Electrosurgical Units, Monopolar/Bipolar</v>
      </c>
      <c r="JIO115" s="196" t="s">
        <v>761</v>
      </c>
      <c r="JIP115" s="197" t="str">
        <f>VLOOKUP(JIO115,[13]AssetDetails_UEM!$A$3:$AH$1849,6,FALSE)</f>
        <v>Electrosurgical Units, Monopolar/Bipolar</v>
      </c>
      <c r="JIQ115" s="196" t="s">
        <v>761</v>
      </c>
      <c r="JIR115" s="197" t="str">
        <f>VLOOKUP(JIQ115,[13]AssetDetails_UEM!$A$3:$AH$1849,6,FALSE)</f>
        <v>Electrosurgical Units, Monopolar/Bipolar</v>
      </c>
      <c r="JIS115" s="196" t="s">
        <v>761</v>
      </c>
      <c r="JIT115" s="197" t="str">
        <f>VLOOKUP(JIS115,[13]AssetDetails_UEM!$A$3:$AH$1849,6,FALSE)</f>
        <v>Electrosurgical Units, Monopolar/Bipolar</v>
      </c>
      <c r="JIU115" s="196" t="s">
        <v>761</v>
      </c>
      <c r="JIV115" s="197" t="str">
        <f>VLOOKUP(JIU115,[13]AssetDetails_UEM!$A$3:$AH$1849,6,FALSE)</f>
        <v>Electrosurgical Units, Monopolar/Bipolar</v>
      </c>
      <c r="JIW115" s="196" t="s">
        <v>761</v>
      </c>
      <c r="JIX115" s="197" t="str">
        <f>VLOOKUP(JIW115,[13]AssetDetails_UEM!$A$3:$AH$1849,6,FALSE)</f>
        <v>Electrosurgical Units, Monopolar/Bipolar</v>
      </c>
      <c r="JIY115" s="196" t="s">
        <v>761</v>
      </c>
      <c r="JIZ115" s="197" t="str">
        <f>VLOOKUP(JIY115,[13]AssetDetails_UEM!$A$3:$AH$1849,6,FALSE)</f>
        <v>Electrosurgical Units, Monopolar/Bipolar</v>
      </c>
      <c r="JJA115" s="196" t="s">
        <v>761</v>
      </c>
      <c r="JJB115" s="197" t="str">
        <f>VLOOKUP(JJA115,[13]AssetDetails_UEM!$A$3:$AH$1849,6,FALSE)</f>
        <v>Electrosurgical Units, Monopolar/Bipolar</v>
      </c>
      <c r="JJC115" s="196" t="s">
        <v>761</v>
      </c>
      <c r="JJD115" s="197" t="str">
        <f>VLOOKUP(JJC115,[13]AssetDetails_UEM!$A$3:$AH$1849,6,FALSE)</f>
        <v>Electrosurgical Units, Monopolar/Bipolar</v>
      </c>
      <c r="JJE115" s="196" t="s">
        <v>761</v>
      </c>
      <c r="JJF115" s="197" t="str">
        <f>VLOOKUP(JJE115,[13]AssetDetails_UEM!$A$3:$AH$1849,6,FALSE)</f>
        <v>Electrosurgical Units, Monopolar/Bipolar</v>
      </c>
      <c r="JJG115" s="196" t="s">
        <v>761</v>
      </c>
      <c r="JJH115" s="197" t="str">
        <f>VLOOKUP(JJG115,[13]AssetDetails_UEM!$A$3:$AH$1849,6,FALSE)</f>
        <v>Electrosurgical Units, Monopolar/Bipolar</v>
      </c>
      <c r="JJI115" s="196" t="s">
        <v>761</v>
      </c>
      <c r="JJJ115" s="197" t="str">
        <f>VLOOKUP(JJI115,[13]AssetDetails_UEM!$A$3:$AH$1849,6,FALSE)</f>
        <v>Electrosurgical Units, Monopolar/Bipolar</v>
      </c>
      <c r="JJK115" s="196" t="s">
        <v>761</v>
      </c>
      <c r="JJL115" s="197" t="str">
        <f>VLOOKUP(JJK115,[13]AssetDetails_UEM!$A$3:$AH$1849,6,FALSE)</f>
        <v>Electrosurgical Units, Monopolar/Bipolar</v>
      </c>
      <c r="JJM115" s="196" t="s">
        <v>761</v>
      </c>
      <c r="JJN115" s="197" t="str">
        <f>VLOOKUP(JJM115,[13]AssetDetails_UEM!$A$3:$AH$1849,6,FALSE)</f>
        <v>Electrosurgical Units, Monopolar/Bipolar</v>
      </c>
      <c r="JJO115" s="196" t="s">
        <v>761</v>
      </c>
      <c r="JJP115" s="197" t="str">
        <f>VLOOKUP(JJO115,[13]AssetDetails_UEM!$A$3:$AH$1849,6,FALSE)</f>
        <v>Electrosurgical Units, Monopolar/Bipolar</v>
      </c>
      <c r="JJQ115" s="196" t="s">
        <v>761</v>
      </c>
      <c r="JJR115" s="197" t="str">
        <f>VLOOKUP(JJQ115,[13]AssetDetails_UEM!$A$3:$AH$1849,6,FALSE)</f>
        <v>Electrosurgical Units, Monopolar/Bipolar</v>
      </c>
      <c r="JJS115" s="196" t="s">
        <v>761</v>
      </c>
      <c r="JJT115" s="197" t="str">
        <f>VLOOKUP(JJS115,[13]AssetDetails_UEM!$A$3:$AH$1849,6,FALSE)</f>
        <v>Electrosurgical Units, Monopolar/Bipolar</v>
      </c>
      <c r="JJU115" s="196" t="s">
        <v>761</v>
      </c>
      <c r="JJV115" s="197" t="str">
        <f>VLOOKUP(JJU115,[13]AssetDetails_UEM!$A$3:$AH$1849,6,FALSE)</f>
        <v>Electrosurgical Units, Monopolar/Bipolar</v>
      </c>
      <c r="JJW115" s="196" t="s">
        <v>761</v>
      </c>
      <c r="JJX115" s="197" t="str">
        <f>VLOOKUP(JJW115,[13]AssetDetails_UEM!$A$3:$AH$1849,6,FALSE)</f>
        <v>Electrosurgical Units, Monopolar/Bipolar</v>
      </c>
      <c r="JJY115" s="196" t="s">
        <v>761</v>
      </c>
      <c r="JJZ115" s="197" t="str">
        <f>VLOOKUP(JJY115,[13]AssetDetails_UEM!$A$3:$AH$1849,6,FALSE)</f>
        <v>Electrosurgical Units, Monopolar/Bipolar</v>
      </c>
      <c r="JKA115" s="196" t="s">
        <v>761</v>
      </c>
      <c r="JKB115" s="197" t="str">
        <f>VLOOKUP(JKA115,[13]AssetDetails_UEM!$A$3:$AH$1849,6,FALSE)</f>
        <v>Electrosurgical Units, Monopolar/Bipolar</v>
      </c>
      <c r="JKC115" s="196" t="s">
        <v>761</v>
      </c>
      <c r="JKD115" s="197" t="str">
        <f>VLOOKUP(JKC115,[13]AssetDetails_UEM!$A$3:$AH$1849,6,FALSE)</f>
        <v>Electrosurgical Units, Monopolar/Bipolar</v>
      </c>
      <c r="JKE115" s="196" t="s">
        <v>761</v>
      </c>
      <c r="JKF115" s="197" t="str">
        <f>VLOOKUP(JKE115,[13]AssetDetails_UEM!$A$3:$AH$1849,6,FALSE)</f>
        <v>Electrosurgical Units, Monopolar/Bipolar</v>
      </c>
      <c r="JKG115" s="196" t="s">
        <v>761</v>
      </c>
      <c r="JKH115" s="197" t="str">
        <f>VLOOKUP(JKG115,[13]AssetDetails_UEM!$A$3:$AH$1849,6,FALSE)</f>
        <v>Electrosurgical Units, Monopolar/Bipolar</v>
      </c>
      <c r="JKI115" s="196" t="s">
        <v>761</v>
      </c>
      <c r="JKJ115" s="197" t="str">
        <f>VLOOKUP(JKI115,[13]AssetDetails_UEM!$A$3:$AH$1849,6,FALSE)</f>
        <v>Electrosurgical Units, Monopolar/Bipolar</v>
      </c>
      <c r="JKK115" s="196" t="s">
        <v>761</v>
      </c>
      <c r="JKL115" s="197" t="str">
        <f>VLOOKUP(JKK115,[13]AssetDetails_UEM!$A$3:$AH$1849,6,FALSE)</f>
        <v>Electrosurgical Units, Monopolar/Bipolar</v>
      </c>
      <c r="JKM115" s="196" t="s">
        <v>761</v>
      </c>
      <c r="JKN115" s="197" t="str">
        <f>VLOOKUP(JKM115,[13]AssetDetails_UEM!$A$3:$AH$1849,6,FALSE)</f>
        <v>Electrosurgical Units, Monopolar/Bipolar</v>
      </c>
      <c r="JKO115" s="196" t="s">
        <v>761</v>
      </c>
      <c r="JKP115" s="197" t="str">
        <f>VLOOKUP(JKO115,[13]AssetDetails_UEM!$A$3:$AH$1849,6,FALSE)</f>
        <v>Electrosurgical Units, Monopolar/Bipolar</v>
      </c>
      <c r="JKQ115" s="196" t="s">
        <v>761</v>
      </c>
      <c r="JKR115" s="197" t="str">
        <f>VLOOKUP(JKQ115,[13]AssetDetails_UEM!$A$3:$AH$1849,6,FALSE)</f>
        <v>Electrosurgical Units, Monopolar/Bipolar</v>
      </c>
      <c r="JKS115" s="196" t="s">
        <v>761</v>
      </c>
      <c r="JKT115" s="197" t="str">
        <f>VLOOKUP(JKS115,[13]AssetDetails_UEM!$A$3:$AH$1849,6,FALSE)</f>
        <v>Electrosurgical Units, Monopolar/Bipolar</v>
      </c>
      <c r="JKU115" s="196" t="s">
        <v>761</v>
      </c>
      <c r="JKV115" s="197" t="str">
        <f>VLOOKUP(JKU115,[13]AssetDetails_UEM!$A$3:$AH$1849,6,FALSE)</f>
        <v>Electrosurgical Units, Monopolar/Bipolar</v>
      </c>
      <c r="JKW115" s="196" t="s">
        <v>761</v>
      </c>
      <c r="JKX115" s="197" t="str">
        <f>VLOOKUP(JKW115,[13]AssetDetails_UEM!$A$3:$AH$1849,6,FALSE)</f>
        <v>Electrosurgical Units, Monopolar/Bipolar</v>
      </c>
      <c r="JKY115" s="196" t="s">
        <v>761</v>
      </c>
      <c r="JKZ115" s="197" t="str">
        <f>VLOOKUP(JKY115,[13]AssetDetails_UEM!$A$3:$AH$1849,6,FALSE)</f>
        <v>Electrosurgical Units, Monopolar/Bipolar</v>
      </c>
      <c r="JLA115" s="196" t="s">
        <v>761</v>
      </c>
      <c r="JLB115" s="197" t="str">
        <f>VLOOKUP(JLA115,[13]AssetDetails_UEM!$A$3:$AH$1849,6,FALSE)</f>
        <v>Electrosurgical Units, Monopolar/Bipolar</v>
      </c>
      <c r="JLC115" s="196" t="s">
        <v>761</v>
      </c>
      <c r="JLD115" s="197" t="str">
        <f>VLOOKUP(JLC115,[13]AssetDetails_UEM!$A$3:$AH$1849,6,FALSE)</f>
        <v>Electrosurgical Units, Monopolar/Bipolar</v>
      </c>
      <c r="JLE115" s="196" t="s">
        <v>761</v>
      </c>
      <c r="JLF115" s="197" t="str">
        <f>VLOOKUP(JLE115,[13]AssetDetails_UEM!$A$3:$AH$1849,6,FALSE)</f>
        <v>Electrosurgical Units, Monopolar/Bipolar</v>
      </c>
      <c r="JLG115" s="196" t="s">
        <v>761</v>
      </c>
      <c r="JLH115" s="197" t="str">
        <f>VLOOKUP(JLG115,[13]AssetDetails_UEM!$A$3:$AH$1849,6,FALSE)</f>
        <v>Electrosurgical Units, Monopolar/Bipolar</v>
      </c>
      <c r="JLI115" s="196" t="s">
        <v>761</v>
      </c>
      <c r="JLJ115" s="197" t="str">
        <f>VLOOKUP(JLI115,[13]AssetDetails_UEM!$A$3:$AH$1849,6,FALSE)</f>
        <v>Electrosurgical Units, Monopolar/Bipolar</v>
      </c>
      <c r="JLK115" s="196" t="s">
        <v>761</v>
      </c>
      <c r="JLL115" s="197" t="str">
        <f>VLOOKUP(JLK115,[13]AssetDetails_UEM!$A$3:$AH$1849,6,FALSE)</f>
        <v>Electrosurgical Units, Monopolar/Bipolar</v>
      </c>
      <c r="JLM115" s="196" t="s">
        <v>761</v>
      </c>
      <c r="JLN115" s="197" t="str">
        <f>VLOOKUP(JLM115,[13]AssetDetails_UEM!$A$3:$AH$1849,6,FALSE)</f>
        <v>Electrosurgical Units, Monopolar/Bipolar</v>
      </c>
      <c r="JLO115" s="196" t="s">
        <v>761</v>
      </c>
      <c r="JLP115" s="197" t="str">
        <f>VLOOKUP(JLO115,[13]AssetDetails_UEM!$A$3:$AH$1849,6,FALSE)</f>
        <v>Electrosurgical Units, Monopolar/Bipolar</v>
      </c>
      <c r="JLQ115" s="196" t="s">
        <v>761</v>
      </c>
      <c r="JLR115" s="197" t="str">
        <f>VLOOKUP(JLQ115,[13]AssetDetails_UEM!$A$3:$AH$1849,6,FALSE)</f>
        <v>Electrosurgical Units, Monopolar/Bipolar</v>
      </c>
      <c r="JLS115" s="196" t="s">
        <v>761</v>
      </c>
      <c r="JLT115" s="197" t="str">
        <f>VLOOKUP(JLS115,[13]AssetDetails_UEM!$A$3:$AH$1849,6,FALSE)</f>
        <v>Electrosurgical Units, Monopolar/Bipolar</v>
      </c>
      <c r="JLU115" s="196" t="s">
        <v>761</v>
      </c>
      <c r="JLV115" s="197" t="str">
        <f>VLOOKUP(JLU115,[13]AssetDetails_UEM!$A$3:$AH$1849,6,FALSE)</f>
        <v>Electrosurgical Units, Monopolar/Bipolar</v>
      </c>
      <c r="JLW115" s="196" t="s">
        <v>761</v>
      </c>
      <c r="JLX115" s="197" t="str">
        <f>VLOOKUP(JLW115,[13]AssetDetails_UEM!$A$3:$AH$1849,6,FALSE)</f>
        <v>Electrosurgical Units, Monopolar/Bipolar</v>
      </c>
      <c r="JLY115" s="196" t="s">
        <v>761</v>
      </c>
      <c r="JLZ115" s="197" t="str">
        <f>VLOOKUP(JLY115,[13]AssetDetails_UEM!$A$3:$AH$1849,6,FALSE)</f>
        <v>Electrosurgical Units, Monopolar/Bipolar</v>
      </c>
      <c r="JMA115" s="196" t="s">
        <v>761</v>
      </c>
      <c r="JMB115" s="197" t="str">
        <f>VLOOKUP(JMA115,[13]AssetDetails_UEM!$A$3:$AH$1849,6,FALSE)</f>
        <v>Electrosurgical Units, Monopolar/Bipolar</v>
      </c>
      <c r="JMC115" s="196" t="s">
        <v>761</v>
      </c>
      <c r="JMD115" s="197" t="str">
        <f>VLOOKUP(JMC115,[13]AssetDetails_UEM!$A$3:$AH$1849,6,FALSE)</f>
        <v>Electrosurgical Units, Monopolar/Bipolar</v>
      </c>
      <c r="JME115" s="196" t="s">
        <v>761</v>
      </c>
      <c r="JMF115" s="197" t="str">
        <f>VLOOKUP(JME115,[13]AssetDetails_UEM!$A$3:$AH$1849,6,FALSE)</f>
        <v>Electrosurgical Units, Monopolar/Bipolar</v>
      </c>
      <c r="JMG115" s="196" t="s">
        <v>761</v>
      </c>
      <c r="JMH115" s="197" t="str">
        <f>VLOOKUP(JMG115,[13]AssetDetails_UEM!$A$3:$AH$1849,6,FALSE)</f>
        <v>Electrosurgical Units, Monopolar/Bipolar</v>
      </c>
      <c r="JMI115" s="196" t="s">
        <v>761</v>
      </c>
      <c r="JMJ115" s="197" t="str">
        <f>VLOOKUP(JMI115,[13]AssetDetails_UEM!$A$3:$AH$1849,6,FALSE)</f>
        <v>Electrosurgical Units, Monopolar/Bipolar</v>
      </c>
      <c r="JMK115" s="196" t="s">
        <v>761</v>
      </c>
      <c r="JML115" s="197" t="str">
        <f>VLOOKUP(JMK115,[13]AssetDetails_UEM!$A$3:$AH$1849,6,FALSE)</f>
        <v>Electrosurgical Units, Monopolar/Bipolar</v>
      </c>
      <c r="JMM115" s="196" t="s">
        <v>761</v>
      </c>
      <c r="JMN115" s="197" t="str">
        <f>VLOOKUP(JMM115,[13]AssetDetails_UEM!$A$3:$AH$1849,6,FALSE)</f>
        <v>Electrosurgical Units, Monopolar/Bipolar</v>
      </c>
      <c r="JMO115" s="196" t="s">
        <v>761</v>
      </c>
      <c r="JMP115" s="197" t="str">
        <f>VLOOKUP(JMO115,[13]AssetDetails_UEM!$A$3:$AH$1849,6,FALSE)</f>
        <v>Electrosurgical Units, Monopolar/Bipolar</v>
      </c>
      <c r="JMQ115" s="196" t="s">
        <v>761</v>
      </c>
      <c r="JMR115" s="197" t="str">
        <f>VLOOKUP(JMQ115,[13]AssetDetails_UEM!$A$3:$AH$1849,6,FALSE)</f>
        <v>Electrosurgical Units, Monopolar/Bipolar</v>
      </c>
      <c r="JMS115" s="196" t="s">
        <v>761</v>
      </c>
      <c r="JMT115" s="197" t="str">
        <f>VLOOKUP(JMS115,[13]AssetDetails_UEM!$A$3:$AH$1849,6,FALSE)</f>
        <v>Electrosurgical Units, Monopolar/Bipolar</v>
      </c>
      <c r="JMU115" s="196" t="s">
        <v>761</v>
      </c>
      <c r="JMV115" s="197" t="str">
        <f>VLOOKUP(JMU115,[13]AssetDetails_UEM!$A$3:$AH$1849,6,FALSE)</f>
        <v>Electrosurgical Units, Monopolar/Bipolar</v>
      </c>
      <c r="JMW115" s="196" t="s">
        <v>761</v>
      </c>
      <c r="JMX115" s="197" t="str">
        <f>VLOOKUP(JMW115,[13]AssetDetails_UEM!$A$3:$AH$1849,6,FALSE)</f>
        <v>Electrosurgical Units, Monopolar/Bipolar</v>
      </c>
      <c r="JMY115" s="196" t="s">
        <v>761</v>
      </c>
      <c r="JMZ115" s="197" t="str">
        <f>VLOOKUP(JMY115,[13]AssetDetails_UEM!$A$3:$AH$1849,6,FALSE)</f>
        <v>Electrosurgical Units, Monopolar/Bipolar</v>
      </c>
      <c r="JNA115" s="196" t="s">
        <v>761</v>
      </c>
      <c r="JNB115" s="197" t="str">
        <f>VLOOKUP(JNA115,[13]AssetDetails_UEM!$A$3:$AH$1849,6,FALSE)</f>
        <v>Electrosurgical Units, Monopolar/Bipolar</v>
      </c>
      <c r="JNC115" s="196" t="s">
        <v>761</v>
      </c>
      <c r="JND115" s="197" t="str">
        <f>VLOOKUP(JNC115,[13]AssetDetails_UEM!$A$3:$AH$1849,6,FALSE)</f>
        <v>Electrosurgical Units, Monopolar/Bipolar</v>
      </c>
      <c r="JNE115" s="196" t="s">
        <v>761</v>
      </c>
      <c r="JNF115" s="197" t="str">
        <f>VLOOKUP(JNE115,[13]AssetDetails_UEM!$A$3:$AH$1849,6,FALSE)</f>
        <v>Electrosurgical Units, Monopolar/Bipolar</v>
      </c>
      <c r="JNG115" s="196" t="s">
        <v>761</v>
      </c>
      <c r="JNH115" s="197" t="str">
        <f>VLOOKUP(JNG115,[13]AssetDetails_UEM!$A$3:$AH$1849,6,FALSE)</f>
        <v>Electrosurgical Units, Monopolar/Bipolar</v>
      </c>
      <c r="JNI115" s="196" t="s">
        <v>761</v>
      </c>
      <c r="JNJ115" s="197" t="str">
        <f>VLOOKUP(JNI115,[13]AssetDetails_UEM!$A$3:$AH$1849,6,FALSE)</f>
        <v>Electrosurgical Units, Monopolar/Bipolar</v>
      </c>
      <c r="JNK115" s="196" t="s">
        <v>761</v>
      </c>
      <c r="JNL115" s="197" t="str">
        <f>VLOOKUP(JNK115,[13]AssetDetails_UEM!$A$3:$AH$1849,6,FALSE)</f>
        <v>Electrosurgical Units, Monopolar/Bipolar</v>
      </c>
      <c r="JNM115" s="196" t="s">
        <v>761</v>
      </c>
      <c r="JNN115" s="197" t="str">
        <f>VLOOKUP(JNM115,[13]AssetDetails_UEM!$A$3:$AH$1849,6,FALSE)</f>
        <v>Electrosurgical Units, Monopolar/Bipolar</v>
      </c>
      <c r="JNO115" s="196" t="s">
        <v>761</v>
      </c>
      <c r="JNP115" s="197" t="str">
        <f>VLOOKUP(JNO115,[13]AssetDetails_UEM!$A$3:$AH$1849,6,FALSE)</f>
        <v>Electrosurgical Units, Monopolar/Bipolar</v>
      </c>
      <c r="JNQ115" s="196" t="s">
        <v>761</v>
      </c>
      <c r="JNR115" s="197" t="str">
        <f>VLOOKUP(JNQ115,[13]AssetDetails_UEM!$A$3:$AH$1849,6,FALSE)</f>
        <v>Electrosurgical Units, Monopolar/Bipolar</v>
      </c>
      <c r="JNS115" s="196" t="s">
        <v>761</v>
      </c>
      <c r="JNT115" s="197" t="str">
        <f>VLOOKUP(JNS115,[13]AssetDetails_UEM!$A$3:$AH$1849,6,FALSE)</f>
        <v>Electrosurgical Units, Monopolar/Bipolar</v>
      </c>
      <c r="JNU115" s="196" t="s">
        <v>761</v>
      </c>
      <c r="JNV115" s="197" t="str">
        <f>VLOOKUP(JNU115,[13]AssetDetails_UEM!$A$3:$AH$1849,6,FALSE)</f>
        <v>Electrosurgical Units, Monopolar/Bipolar</v>
      </c>
      <c r="JNW115" s="196" t="s">
        <v>761</v>
      </c>
      <c r="JNX115" s="197" t="str">
        <f>VLOOKUP(JNW115,[13]AssetDetails_UEM!$A$3:$AH$1849,6,FALSE)</f>
        <v>Electrosurgical Units, Monopolar/Bipolar</v>
      </c>
      <c r="JNY115" s="196" t="s">
        <v>761</v>
      </c>
      <c r="JNZ115" s="197" t="str">
        <f>VLOOKUP(JNY115,[13]AssetDetails_UEM!$A$3:$AH$1849,6,FALSE)</f>
        <v>Electrosurgical Units, Monopolar/Bipolar</v>
      </c>
      <c r="JOA115" s="196" t="s">
        <v>761</v>
      </c>
      <c r="JOB115" s="197" t="str">
        <f>VLOOKUP(JOA115,[13]AssetDetails_UEM!$A$3:$AH$1849,6,FALSE)</f>
        <v>Electrosurgical Units, Monopolar/Bipolar</v>
      </c>
      <c r="JOC115" s="196" t="s">
        <v>761</v>
      </c>
      <c r="JOD115" s="197" t="str">
        <f>VLOOKUP(JOC115,[13]AssetDetails_UEM!$A$3:$AH$1849,6,FALSE)</f>
        <v>Electrosurgical Units, Monopolar/Bipolar</v>
      </c>
      <c r="JOE115" s="196" t="s">
        <v>761</v>
      </c>
      <c r="JOF115" s="197" t="str">
        <f>VLOOKUP(JOE115,[13]AssetDetails_UEM!$A$3:$AH$1849,6,FALSE)</f>
        <v>Electrosurgical Units, Monopolar/Bipolar</v>
      </c>
      <c r="JOG115" s="196" t="s">
        <v>761</v>
      </c>
      <c r="JOH115" s="197" t="str">
        <f>VLOOKUP(JOG115,[13]AssetDetails_UEM!$A$3:$AH$1849,6,FALSE)</f>
        <v>Electrosurgical Units, Monopolar/Bipolar</v>
      </c>
      <c r="JOI115" s="196" t="s">
        <v>761</v>
      </c>
      <c r="JOJ115" s="197" t="str">
        <f>VLOOKUP(JOI115,[13]AssetDetails_UEM!$A$3:$AH$1849,6,FALSE)</f>
        <v>Electrosurgical Units, Monopolar/Bipolar</v>
      </c>
      <c r="JOK115" s="196" t="s">
        <v>761</v>
      </c>
      <c r="JOL115" s="197" t="str">
        <f>VLOOKUP(JOK115,[13]AssetDetails_UEM!$A$3:$AH$1849,6,FALSE)</f>
        <v>Electrosurgical Units, Monopolar/Bipolar</v>
      </c>
      <c r="JOM115" s="196" t="s">
        <v>761</v>
      </c>
      <c r="JON115" s="197" t="str">
        <f>VLOOKUP(JOM115,[13]AssetDetails_UEM!$A$3:$AH$1849,6,FALSE)</f>
        <v>Electrosurgical Units, Monopolar/Bipolar</v>
      </c>
      <c r="JOO115" s="196" t="s">
        <v>761</v>
      </c>
      <c r="JOP115" s="197" t="str">
        <f>VLOOKUP(JOO115,[13]AssetDetails_UEM!$A$3:$AH$1849,6,FALSE)</f>
        <v>Electrosurgical Units, Monopolar/Bipolar</v>
      </c>
      <c r="JOQ115" s="196" t="s">
        <v>761</v>
      </c>
      <c r="JOR115" s="197" t="str">
        <f>VLOOKUP(JOQ115,[13]AssetDetails_UEM!$A$3:$AH$1849,6,FALSE)</f>
        <v>Electrosurgical Units, Monopolar/Bipolar</v>
      </c>
      <c r="JOS115" s="196" t="s">
        <v>761</v>
      </c>
      <c r="JOT115" s="197" t="str">
        <f>VLOOKUP(JOS115,[13]AssetDetails_UEM!$A$3:$AH$1849,6,FALSE)</f>
        <v>Electrosurgical Units, Monopolar/Bipolar</v>
      </c>
      <c r="JOU115" s="196" t="s">
        <v>761</v>
      </c>
      <c r="JOV115" s="197" t="str">
        <f>VLOOKUP(JOU115,[13]AssetDetails_UEM!$A$3:$AH$1849,6,FALSE)</f>
        <v>Electrosurgical Units, Monopolar/Bipolar</v>
      </c>
      <c r="JOW115" s="196" t="s">
        <v>761</v>
      </c>
      <c r="JOX115" s="197" t="str">
        <f>VLOOKUP(JOW115,[13]AssetDetails_UEM!$A$3:$AH$1849,6,FALSE)</f>
        <v>Electrosurgical Units, Monopolar/Bipolar</v>
      </c>
      <c r="JOY115" s="196" t="s">
        <v>761</v>
      </c>
      <c r="JOZ115" s="197" t="str">
        <f>VLOOKUP(JOY115,[13]AssetDetails_UEM!$A$3:$AH$1849,6,FALSE)</f>
        <v>Electrosurgical Units, Monopolar/Bipolar</v>
      </c>
      <c r="JPA115" s="196" t="s">
        <v>761</v>
      </c>
      <c r="JPB115" s="197" t="str">
        <f>VLOOKUP(JPA115,[13]AssetDetails_UEM!$A$3:$AH$1849,6,FALSE)</f>
        <v>Electrosurgical Units, Monopolar/Bipolar</v>
      </c>
      <c r="JPC115" s="196" t="s">
        <v>761</v>
      </c>
      <c r="JPD115" s="197" t="str">
        <f>VLOOKUP(JPC115,[13]AssetDetails_UEM!$A$3:$AH$1849,6,FALSE)</f>
        <v>Electrosurgical Units, Monopolar/Bipolar</v>
      </c>
      <c r="JPE115" s="196" t="s">
        <v>761</v>
      </c>
      <c r="JPF115" s="197" t="str">
        <f>VLOOKUP(JPE115,[13]AssetDetails_UEM!$A$3:$AH$1849,6,FALSE)</f>
        <v>Electrosurgical Units, Monopolar/Bipolar</v>
      </c>
      <c r="JPG115" s="196" t="s">
        <v>761</v>
      </c>
      <c r="JPH115" s="197" t="str">
        <f>VLOOKUP(JPG115,[13]AssetDetails_UEM!$A$3:$AH$1849,6,FALSE)</f>
        <v>Electrosurgical Units, Monopolar/Bipolar</v>
      </c>
      <c r="JPI115" s="196" t="s">
        <v>761</v>
      </c>
      <c r="JPJ115" s="197" t="str">
        <f>VLOOKUP(JPI115,[13]AssetDetails_UEM!$A$3:$AH$1849,6,FALSE)</f>
        <v>Electrosurgical Units, Monopolar/Bipolar</v>
      </c>
      <c r="JPK115" s="196" t="s">
        <v>761</v>
      </c>
      <c r="JPL115" s="197" t="str">
        <f>VLOOKUP(JPK115,[13]AssetDetails_UEM!$A$3:$AH$1849,6,FALSE)</f>
        <v>Electrosurgical Units, Monopolar/Bipolar</v>
      </c>
      <c r="JPM115" s="196" t="s">
        <v>761</v>
      </c>
      <c r="JPN115" s="197" t="str">
        <f>VLOOKUP(JPM115,[13]AssetDetails_UEM!$A$3:$AH$1849,6,FALSE)</f>
        <v>Electrosurgical Units, Monopolar/Bipolar</v>
      </c>
      <c r="JPO115" s="196" t="s">
        <v>761</v>
      </c>
      <c r="JPP115" s="197" t="str">
        <f>VLOOKUP(JPO115,[13]AssetDetails_UEM!$A$3:$AH$1849,6,FALSE)</f>
        <v>Electrosurgical Units, Monopolar/Bipolar</v>
      </c>
      <c r="JPQ115" s="196" t="s">
        <v>761</v>
      </c>
      <c r="JPR115" s="197" t="str">
        <f>VLOOKUP(JPQ115,[13]AssetDetails_UEM!$A$3:$AH$1849,6,FALSE)</f>
        <v>Electrosurgical Units, Monopolar/Bipolar</v>
      </c>
      <c r="JPS115" s="196" t="s">
        <v>761</v>
      </c>
      <c r="JPT115" s="197" t="str">
        <f>VLOOKUP(JPS115,[13]AssetDetails_UEM!$A$3:$AH$1849,6,FALSE)</f>
        <v>Electrosurgical Units, Monopolar/Bipolar</v>
      </c>
      <c r="JPU115" s="196" t="s">
        <v>761</v>
      </c>
      <c r="JPV115" s="197" t="str">
        <f>VLOOKUP(JPU115,[13]AssetDetails_UEM!$A$3:$AH$1849,6,FALSE)</f>
        <v>Electrosurgical Units, Monopolar/Bipolar</v>
      </c>
      <c r="JPW115" s="196" t="s">
        <v>761</v>
      </c>
      <c r="JPX115" s="197" t="str">
        <f>VLOOKUP(JPW115,[13]AssetDetails_UEM!$A$3:$AH$1849,6,FALSE)</f>
        <v>Electrosurgical Units, Monopolar/Bipolar</v>
      </c>
      <c r="JPY115" s="196" t="s">
        <v>761</v>
      </c>
      <c r="JPZ115" s="197" t="str">
        <f>VLOOKUP(JPY115,[13]AssetDetails_UEM!$A$3:$AH$1849,6,FALSE)</f>
        <v>Electrosurgical Units, Monopolar/Bipolar</v>
      </c>
      <c r="JQA115" s="196" t="s">
        <v>761</v>
      </c>
      <c r="JQB115" s="197" t="str">
        <f>VLOOKUP(JQA115,[13]AssetDetails_UEM!$A$3:$AH$1849,6,FALSE)</f>
        <v>Electrosurgical Units, Monopolar/Bipolar</v>
      </c>
      <c r="JQC115" s="196" t="s">
        <v>761</v>
      </c>
      <c r="JQD115" s="197" t="str">
        <f>VLOOKUP(JQC115,[13]AssetDetails_UEM!$A$3:$AH$1849,6,FALSE)</f>
        <v>Electrosurgical Units, Monopolar/Bipolar</v>
      </c>
      <c r="JQE115" s="196" t="s">
        <v>761</v>
      </c>
      <c r="JQF115" s="197" t="str">
        <f>VLOOKUP(JQE115,[13]AssetDetails_UEM!$A$3:$AH$1849,6,FALSE)</f>
        <v>Electrosurgical Units, Monopolar/Bipolar</v>
      </c>
      <c r="JQG115" s="196" t="s">
        <v>761</v>
      </c>
      <c r="JQH115" s="197" t="str">
        <f>VLOOKUP(JQG115,[13]AssetDetails_UEM!$A$3:$AH$1849,6,FALSE)</f>
        <v>Electrosurgical Units, Monopolar/Bipolar</v>
      </c>
      <c r="JQI115" s="196" t="s">
        <v>761</v>
      </c>
      <c r="JQJ115" s="197" t="str">
        <f>VLOOKUP(JQI115,[13]AssetDetails_UEM!$A$3:$AH$1849,6,FALSE)</f>
        <v>Electrosurgical Units, Monopolar/Bipolar</v>
      </c>
      <c r="JQK115" s="196" t="s">
        <v>761</v>
      </c>
      <c r="JQL115" s="197" t="str">
        <f>VLOOKUP(JQK115,[13]AssetDetails_UEM!$A$3:$AH$1849,6,FALSE)</f>
        <v>Electrosurgical Units, Monopolar/Bipolar</v>
      </c>
      <c r="JQM115" s="196" t="s">
        <v>761</v>
      </c>
      <c r="JQN115" s="197" t="str">
        <f>VLOOKUP(JQM115,[13]AssetDetails_UEM!$A$3:$AH$1849,6,FALSE)</f>
        <v>Electrosurgical Units, Monopolar/Bipolar</v>
      </c>
      <c r="JQO115" s="196" t="s">
        <v>761</v>
      </c>
      <c r="JQP115" s="197" t="str">
        <f>VLOOKUP(JQO115,[13]AssetDetails_UEM!$A$3:$AH$1849,6,FALSE)</f>
        <v>Electrosurgical Units, Monopolar/Bipolar</v>
      </c>
      <c r="JQQ115" s="196" t="s">
        <v>761</v>
      </c>
      <c r="JQR115" s="197" t="str">
        <f>VLOOKUP(JQQ115,[13]AssetDetails_UEM!$A$3:$AH$1849,6,FALSE)</f>
        <v>Electrosurgical Units, Monopolar/Bipolar</v>
      </c>
      <c r="JQS115" s="196" t="s">
        <v>761</v>
      </c>
      <c r="JQT115" s="197" t="str">
        <f>VLOOKUP(JQS115,[13]AssetDetails_UEM!$A$3:$AH$1849,6,FALSE)</f>
        <v>Electrosurgical Units, Monopolar/Bipolar</v>
      </c>
      <c r="JQU115" s="196" t="s">
        <v>761</v>
      </c>
      <c r="JQV115" s="197" t="str">
        <f>VLOOKUP(JQU115,[13]AssetDetails_UEM!$A$3:$AH$1849,6,FALSE)</f>
        <v>Electrosurgical Units, Monopolar/Bipolar</v>
      </c>
      <c r="JQW115" s="196" t="s">
        <v>761</v>
      </c>
      <c r="JQX115" s="197" t="str">
        <f>VLOOKUP(JQW115,[13]AssetDetails_UEM!$A$3:$AH$1849,6,FALSE)</f>
        <v>Electrosurgical Units, Monopolar/Bipolar</v>
      </c>
      <c r="JQY115" s="196" t="s">
        <v>761</v>
      </c>
      <c r="JQZ115" s="197" t="str">
        <f>VLOOKUP(JQY115,[13]AssetDetails_UEM!$A$3:$AH$1849,6,FALSE)</f>
        <v>Electrosurgical Units, Monopolar/Bipolar</v>
      </c>
      <c r="JRA115" s="196" t="s">
        <v>761</v>
      </c>
      <c r="JRB115" s="197" t="str">
        <f>VLOOKUP(JRA115,[13]AssetDetails_UEM!$A$3:$AH$1849,6,FALSE)</f>
        <v>Electrosurgical Units, Monopolar/Bipolar</v>
      </c>
      <c r="JRC115" s="196" t="s">
        <v>761</v>
      </c>
      <c r="JRD115" s="197" t="str">
        <f>VLOOKUP(JRC115,[13]AssetDetails_UEM!$A$3:$AH$1849,6,FALSE)</f>
        <v>Electrosurgical Units, Monopolar/Bipolar</v>
      </c>
      <c r="JRE115" s="196" t="s">
        <v>761</v>
      </c>
      <c r="JRF115" s="197" t="str">
        <f>VLOOKUP(JRE115,[13]AssetDetails_UEM!$A$3:$AH$1849,6,FALSE)</f>
        <v>Electrosurgical Units, Monopolar/Bipolar</v>
      </c>
      <c r="JRG115" s="196" t="s">
        <v>761</v>
      </c>
      <c r="JRH115" s="197" t="str">
        <f>VLOOKUP(JRG115,[13]AssetDetails_UEM!$A$3:$AH$1849,6,FALSE)</f>
        <v>Electrosurgical Units, Monopolar/Bipolar</v>
      </c>
      <c r="JRI115" s="196" t="s">
        <v>761</v>
      </c>
      <c r="JRJ115" s="197" t="str">
        <f>VLOOKUP(JRI115,[13]AssetDetails_UEM!$A$3:$AH$1849,6,FALSE)</f>
        <v>Electrosurgical Units, Monopolar/Bipolar</v>
      </c>
      <c r="JRK115" s="196" t="s">
        <v>761</v>
      </c>
      <c r="JRL115" s="197" t="str">
        <f>VLOOKUP(JRK115,[13]AssetDetails_UEM!$A$3:$AH$1849,6,FALSE)</f>
        <v>Electrosurgical Units, Monopolar/Bipolar</v>
      </c>
      <c r="JRM115" s="196" t="s">
        <v>761</v>
      </c>
      <c r="JRN115" s="197" t="str">
        <f>VLOOKUP(JRM115,[13]AssetDetails_UEM!$A$3:$AH$1849,6,FALSE)</f>
        <v>Electrosurgical Units, Monopolar/Bipolar</v>
      </c>
      <c r="JRO115" s="196" t="s">
        <v>761</v>
      </c>
      <c r="JRP115" s="197" t="str">
        <f>VLOOKUP(JRO115,[13]AssetDetails_UEM!$A$3:$AH$1849,6,FALSE)</f>
        <v>Electrosurgical Units, Monopolar/Bipolar</v>
      </c>
      <c r="JRQ115" s="196" t="s">
        <v>761</v>
      </c>
      <c r="JRR115" s="197" t="str">
        <f>VLOOKUP(JRQ115,[13]AssetDetails_UEM!$A$3:$AH$1849,6,FALSE)</f>
        <v>Electrosurgical Units, Monopolar/Bipolar</v>
      </c>
      <c r="JRS115" s="196" t="s">
        <v>761</v>
      </c>
      <c r="JRT115" s="197" t="str">
        <f>VLOOKUP(JRS115,[13]AssetDetails_UEM!$A$3:$AH$1849,6,FALSE)</f>
        <v>Electrosurgical Units, Monopolar/Bipolar</v>
      </c>
      <c r="JRU115" s="196" t="s">
        <v>761</v>
      </c>
      <c r="JRV115" s="197" t="str">
        <f>VLOOKUP(JRU115,[13]AssetDetails_UEM!$A$3:$AH$1849,6,FALSE)</f>
        <v>Electrosurgical Units, Monopolar/Bipolar</v>
      </c>
      <c r="JRW115" s="196" t="s">
        <v>761</v>
      </c>
      <c r="JRX115" s="197" t="str">
        <f>VLOOKUP(JRW115,[13]AssetDetails_UEM!$A$3:$AH$1849,6,FALSE)</f>
        <v>Electrosurgical Units, Monopolar/Bipolar</v>
      </c>
      <c r="JRY115" s="196" t="s">
        <v>761</v>
      </c>
      <c r="JRZ115" s="197" t="str">
        <f>VLOOKUP(JRY115,[13]AssetDetails_UEM!$A$3:$AH$1849,6,FALSE)</f>
        <v>Electrosurgical Units, Monopolar/Bipolar</v>
      </c>
      <c r="JSA115" s="196" t="s">
        <v>761</v>
      </c>
      <c r="JSB115" s="197" t="str">
        <f>VLOOKUP(JSA115,[13]AssetDetails_UEM!$A$3:$AH$1849,6,FALSE)</f>
        <v>Electrosurgical Units, Monopolar/Bipolar</v>
      </c>
      <c r="JSC115" s="196" t="s">
        <v>761</v>
      </c>
      <c r="JSD115" s="197" t="str">
        <f>VLOOKUP(JSC115,[13]AssetDetails_UEM!$A$3:$AH$1849,6,FALSE)</f>
        <v>Electrosurgical Units, Monopolar/Bipolar</v>
      </c>
      <c r="JSE115" s="196" t="s">
        <v>761</v>
      </c>
      <c r="JSF115" s="197" t="str">
        <f>VLOOKUP(JSE115,[13]AssetDetails_UEM!$A$3:$AH$1849,6,FALSE)</f>
        <v>Electrosurgical Units, Monopolar/Bipolar</v>
      </c>
      <c r="JSG115" s="196" t="s">
        <v>761</v>
      </c>
      <c r="JSH115" s="197" t="str">
        <f>VLOOKUP(JSG115,[13]AssetDetails_UEM!$A$3:$AH$1849,6,FALSE)</f>
        <v>Electrosurgical Units, Monopolar/Bipolar</v>
      </c>
      <c r="JSI115" s="196" t="s">
        <v>761</v>
      </c>
      <c r="JSJ115" s="197" t="str">
        <f>VLOOKUP(JSI115,[13]AssetDetails_UEM!$A$3:$AH$1849,6,FALSE)</f>
        <v>Electrosurgical Units, Monopolar/Bipolar</v>
      </c>
      <c r="JSK115" s="196" t="s">
        <v>761</v>
      </c>
      <c r="JSL115" s="197" t="str">
        <f>VLOOKUP(JSK115,[13]AssetDetails_UEM!$A$3:$AH$1849,6,FALSE)</f>
        <v>Electrosurgical Units, Monopolar/Bipolar</v>
      </c>
      <c r="JSM115" s="196" t="s">
        <v>761</v>
      </c>
      <c r="JSN115" s="197" t="str">
        <f>VLOOKUP(JSM115,[13]AssetDetails_UEM!$A$3:$AH$1849,6,FALSE)</f>
        <v>Electrosurgical Units, Monopolar/Bipolar</v>
      </c>
      <c r="JSO115" s="196" t="s">
        <v>761</v>
      </c>
      <c r="JSP115" s="197" t="str">
        <f>VLOOKUP(JSO115,[13]AssetDetails_UEM!$A$3:$AH$1849,6,FALSE)</f>
        <v>Electrosurgical Units, Monopolar/Bipolar</v>
      </c>
      <c r="JSQ115" s="196" t="s">
        <v>761</v>
      </c>
      <c r="JSR115" s="197" t="str">
        <f>VLOOKUP(JSQ115,[13]AssetDetails_UEM!$A$3:$AH$1849,6,FALSE)</f>
        <v>Electrosurgical Units, Monopolar/Bipolar</v>
      </c>
      <c r="JSS115" s="196" t="s">
        <v>761</v>
      </c>
      <c r="JST115" s="197" t="str">
        <f>VLOOKUP(JSS115,[13]AssetDetails_UEM!$A$3:$AH$1849,6,FALSE)</f>
        <v>Electrosurgical Units, Monopolar/Bipolar</v>
      </c>
      <c r="JSU115" s="196" t="s">
        <v>761</v>
      </c>
      <c r="JSV115" s="197" t="str">
        <f>VLOOKUP(JSU115,[13]AssetDetails_UEM!$A$3:$AH$1849,6,FALSE)</f>
        <v>Electrosurgical Units, Monopolar/Bipolar</v>
      </c>
      <c r="JSW115" s="196" t="s">
        <v>761</v>
      </c>
      <c r="JSX115" s="197" t="str">
        <f>VLOOKUP(JSW115,[13]AssetDetails_UEM!$A$3:$AH$1849,6,FALSE)</f>
        <v>Electrosurgical Units, Monopolar/Bipolar</v>
      </c>
      <c r="JSY115" s="196" t="s">
        <v>761</v>
      </c>
      <c r="JSZ115" s="197" t="str">
        <f>VLOOKUP(JSY115,[13]AssetDetails_UEM!$A$3:$AH$1849,6,FALSE)</f>
        <v>Electrosurgical Units, Monopolar/Bipolar</v>
      </c>
      <c r="JTA115" s="196" t="s">
        <v>761</v>
      </c>
      <c r="JTB115" s="197" t="str">
        <f>VLOOKUP(JTA115,[13]AssetDetails_UEM!$A$3:$AH$1849,6,FALSE)</f>
        <v>Electrosurgical Units, Monopolar/Bipolar</v>
      </c>
      <c r="JTC115" s="196" t="s">
        <v>761</v>
      </c>
      <c r="JTD115" s="197" t="str">
        <f>VLOOKUP(JTC115,[13]AssetDetails_UEM!$A$3:$AH$1849,6,FALSE)</f>
        <v>Electrosurgical Units, Monopolar/Bipolar</v>
      </c>
      <c r="JTE115" s="196" t="s">
        <v>761</v>
      </c>
      <c r="JTF115" s="197" t="str">
        <f>VLOOKUP(JTE115,[13]AssetDetails_UEM!$A$3:$AH$1849,6,FALSE)</f>
        <v>Electrosurgical Units, Monopolar/Bipolar</v>
      </c>
      <c r="JTG115" s="196" t="s">
        <v>761</v>
      </c>
      <c r="JTH115" s="197" t="str">
        <f>VLOOKUP(JTG115,[13]AssetDetails_UEM!$A$3:$AH$1849,6,FALSE)</f>
        <v>Electrosurgical Units, Monopolar/Bipolar</v>
      </c>
      <c r="JTI115" s="196" t="s">
        <v>761</v>
      </c>
      <c r="JTJ115" s="197" t="str">
        <f>VLOOKUP(JTI115,[13]AssetDetails_UEM!$A$3:$AH$1849,6,FALSE)</f>
        <v>Electrosurgical Units, Monopolar/Bipolar</v>
      </c>
      <c r="JTK115" s="196" t="s">
        <v>761</v>
      </c>
      <c r="JTL115" s="197" t="str">
        <f>VLOOKUP(JTK115,[13]AssetDetails_UEM!$A$3:$AH$1849,6,FALSE)</f>
        <v>Electrosurgical Units, Monopolar/Bipolar</v>
      </c>
      <c r="JTM115" s="196" t="s">
        <v>761</v>
      </c>
      <c r="JTN115" s="197" t="str">
        <f>VLOOKUP(JTM115,[13]AssetDetails_UEM!$A$3:$AH$1849,6,FALSE)</f>
        <v>Electrosurgical Units, Monopolar/Bipolar</v>
      </c>
      <c r="JTO115" s="196" t="s">
        <v>761</v>
      </c>
      <c r="JTP115" s="197" t="str">
        <f>VLOOKUP(JTO115,[13]AssetDetails_UEM!$A$3:$AH$1849,6,FALSE)</f>
        <v>Electrosurgical Units, Monopolar/Bipolar</v>
      </c>
      <c r="JTQ115" s="196" t="s">
        <v>761</v>
      </c>
      <c r="JTR115" s="197" t="str">
        <f>VLOOKUP(JTQ115,[13]AssetDetails_UEM!$A$3:$AH$1849,6,FALSE)</f>
        <v>Electrosurgical Units, Monopolar/Bipolar</v>
      </c>
      <c r="JTS115" s="196" t="s">
        <v>761</v>
      </c>
      <c r="JTT115" s="197" t="str">
        <f>VLOOKUP(JTS115,[13]AssetDetails_UEM!$A$3:$AH$1849,6,FALSE)</f>
        <v>Electrosurgical Units, Monopolar/Bipolar</v>
      </c>
      <c r="JTU115" s="196" t="s">
        <v>761</v>
      </c>
      <c r="JTV115" s="197" t="str">
        <f>VLOOKUP(JTU115,[13]AssetDetails_UEM!$A$3:$AH$1849,6,FALSE)</f>
        <v>Electrosurgical Units, Monopolar/Bipolar</v>
      </c>
      <c r="JTW115" s="196" t="s">
        <v>761</v>
      </c>
      <c r="JTX115" s="197" t="str">
        <f>VLOOKUP(JTW115,[13]AssetDetails_UEM!$A$3:$AH$1849,6,FALSE)</f>
        <v>Electrosurgical Units, Monopolar/Bipolar</v>
      </c>
      <c r="JTY115" s="196" t="s">
        <v>761</v>
      </c>
      <c r="JTZ115" s="197" t="str">
        <f>VLOOKUP(JTY115,[13]AssetDetails_UEM!$A$3:$AH$1849,6,FALSE)</f>
        <v>Electrosurgical Units, Monopolar/Bipolar</v>
      </c>
      <c r="JUA115" s="196" t="s">
        <v>761</v>
      </c>
      <c r="JUB115" s="197" t="str">
        <f>VLOOKUP(JUA115,[13]AssetDetails_UEM!$A$3:$AH$1849,6,FALSE)</f>
        <v>Electrosurgical Units, Monopolar/Bipolar</v>
      </c>
      <c r="JUC115" s="196" t="s">
        <v>761</v>
      </c>
      <c r="JUD115" s="197" t="str">
        <f>VLOOKUP(JUC115,[13]AssetDetails_UEM!$A$3:$AH$1849,6,FALSE)</f>
        <v>Electrosurgical Units, Monopolar/Bipolar</v>
      </c>
      <c r="JUE115" s="196" t="s">
        <v>761</v>
      </c>
      <c r="JUF115" s="197" t="str">
        <f>VLOOKUP(JUE115,[13]AssetDetails_UEM!$A$3:$AH$1849,6,FALSE)</f>
        <v>Electrosurgical Units, Monopolar/Bipolar</v>
      </c>
      <c r="JUG115" s="196" t="s">
        <v>761</v>
      </c>
      <c r="JUH115" s="197" t="str">
        <f>VLOOKUP(JUG115,[13]AssetDetails_UEM!$A$3:$AH$1849,6,FALSE)</f>
        <v>Electrosurgical Units, Monopolar/Bipolar</v>
      </c>
      <c r="JUI115" s="196" t="s">
        <v>761</v>
      </c>
      <c r="JUJ115" s="197" t="str">
        <f>VLOOKUP(JUI115,[13]AssetDetails_UEM!$A$3:$AH$1849,6,FALSE)</f>
        <v>Electrosurgical Units, Monopolar/Bipolar</v>
      </c>
      <c r="JUK115" s="196" t="s">
        <v>761</v>
      </c>
      <c r="JUL115" s="197" t="str">
        <f>VLOOKUP(JUK115,[13]AssetDetails_UEM!$A$3:$AH$1849,6,FALSE)</f>
        <v>Electrosurgical Units, Monopolar/Bipolar</v>
      </c>
      <c r="JUM115" s="196" t="s">
        <v>761</v>
      </c>
      <c r="JUN115" s="197" t="str">
        <f>VLOOKUP(JUM115,[13]AssetDetails_UEM!$A$3:$AH$1849,6,FALSE)</f>
        <v>Electrosurgical Units, Monopolar/Bipolar</v>
      </c>
      <c r="JUO115" s="196" t="s">
        <v>761</v>
      </c>
      <c r="JUP115" s="197" t="str">
        <f>VLOOKUP(JUO115,[13]AssetDetails_UEM!$A$3:$AH$1849,6,FALSE)</f>
        <v>Electrosurgical Units, Monopolar/Bipolar</v>
      </c>
      <c r="JUQ115" s="196" t="s">
        <v>761</v>
      </c>
      <c r="JUR115" s="197" t="str">
        <f>VLOOKUP(JUQ115,[13]AssetDetails_UEM!$A$3:$AH$1849,6,FALSE)</f>
        <v>Electrosurgical Units, Monopolar/Bipolar</v>
      </c>
      <c r="JUS115" s="196" t="s">
        <v>761</v>
      </c>
      <c r="JUT115" s="197" t="str">
        <f>VLOOKUP(JUS115,[13]AssetDetails_UEM!$A$3:$AH$1849,6,FALSE)</f>
        <v>Electrosurgical Units, Monopolar/Bipolar</v>
      </c>
      <c r="JUU115" s="196" t="s">
        <v>761</v>
      </c>
      <c r="JUV115" s="197" t="str">
        <f>VLOOKUP(JUU115,[13]AssetDetails_UEM!$A$3:$AH$1849,6,FALSE)</f>
        <v>Electrosurgical Units, Monopolar/Bipolar</v>
      </c>
      <c r="JUW115" s="196" t="s">
        <v>761</v>
      </c>
      <c r="JUX115" s="197" t="str">
        <f>VLOOKUP(JUW115,[13]AssetDetails_UEM!$A$3:$AH$1849,6,FALSE)</f>
        <v>Electrosurgical Units, Monopolar/Bipolar</v>
      </c>
      <c r="JUY115" s="196" t="s">
        <v>761</v>
      </c>
      <c r="JUZ115" s="197" t="str">
        <f>VLOOKUP(JUY115,[13]AssetDetails_UEM!$A$3:$AH$1849,6,FALSE)</f>
        <v>Electrosurgical Units, Monopolar/Bipolar</v>
      </c>
      <c r="JVA115" s="196" t="s">
        <v>761</v>
      </c>
      <c r="JVB115" s="197" t="str">
        <f>VLOOKUP(JVA115,[13]AssetDetails_UEM!$A$3:$AH$1849,6,FALSE)</f>
        <v>Electrosurgical Units, Monopolar/Bipolar</v>
      </c>
      <c r="JVC115" s="196" t="s">
        <v>761</v>
      </c>
      <c r="JVD115" s="197" t="str">
        <f>VLOOKUP(JVC115,[13]AssetDetails_UEM!$A$3:$AH$1849,6,FALSE)</f>
        <v>Electrosurgical Units, Monopolar/Bipolar</v>
      </c>
      <c r="JVE115" s="196" t="s">
        <v>761</v>
      </c>
      <c r="JVF115" s="197" t="str">
        <f>VLOOKUP(JVE115,[13]AssetDetails_UEM!$A$3:$AH$1849,6,FALSE)</f>
        <v>Electrosurgical Units, Monopolar/Bipolar</v>
      </c>
      <c r="JVG115" s="196" t="s">
        <v>761</v>
      </c>
      <c r="JVH115" s="197" t="str">
        <f>VLOOKUP(JVG115,[13]AssetDetails_UEM!$A$3:$AH$1849,6,FALSE)</f>
        <v>Electrosurgical Units, Monopolar/Bipolar</v>
      </c>
      <c r="JVI115" s="196" t="s">
        <v>761</v>
      </c>
      <c r="JVJ115" s="197" t="str">
        <f>VLOOKUP(JVI115,[13]AssetDetails_UEM!$A$3:$AH$1849,6,FALSE)</f>
        <v>Electrosurgical Units, Monopolar/Bipolar</v>
      </c>
      <c r="JVK115" s="196" t="s">
        <v>761</v>
      </c>
      <c r="JVL115" s="197" t="str">
        <f>VLOOKUP(JVK115,[13]AssetDetails_UEM!$A$3:$AH$1849,6,FALSE)</f>
        <v>Electrosurgical Units, Monopolar/Bipolar</v>
      </c>
      <c r="JVM115" s="196" t="s">
        <v>761</v>
      </c>
      <c r="JVN115" s="197" t="str">
        <f>VLOOKUP(JVM115,[13]AssetDetails_UEM!$A$3:$AH$1849,6,FALSE)</f>
        <v>Electrosurgical Units, Monopolar/Bipolar</v>
      </c>
      <c r="JVO115" s="196" t="s">
        <v>761</v>
      </c>
      <c r="JVP115" s="197" t="str">
        <f>VLOOKUP(JVO115,[13]AssetDetails_UEM!$A$3:$AH$1849,6,FALSE)</f>
        <v>Electrosurgical Units, Monopolar/Bipolar</v>
      </c>
      <c r="JVQ115" s="196" t="s">
        <v>761</v>
      </c>
      <c r="JVR115" s="197" t="str">
        <f>VLOOKUP(JVQ115,[13]AssetDetails_UEM!$A$3:$AH$1849,6,FALSE)</f>
        <v>Electrosurgical Units, Monopolar/Bipolar</v>
      </c>
      <c r="JVS115" s="196" t="s">
        <v>761</v>
      </c>
      <c r="JVT115" s="197" t="str">
        <f>VLOOKUP(JVS115,[13]AssetDetails_UEM!$A$3:$AH$1849,6,FALSE)</f>
        <v>Electrosurgical Units, Monopolar/Bipolar</v>
      </c>
      <c r="JVU115" s="196" t="s">
        <v>761</v>
      </c>
      <c r="JVV115" s="197" t="str">
        <f>VLOOKUP(JVU115,[13]AssetDetails_UEM!$A$3:$AH$1849,6,FALSE)</f>
        <v>Electrosurgical Units, Monopolar/Bipolar</v>
      </c>
      <c r="JVW115" s="196" t="s">
        <v>761</v>
      </c>
      <c r="JVX115" s="197" t="str">
        <f>VLOOKUP(JVW115,[13]AssetDetails_UEM!$A$3:$AH$1849,6,FALSE)</f>
        <v>Electrosurgical Units, Monopolar/Bipolar</v>
      </c>
      <c r="JVY115" s="196" t="s">
        <v>761</v>
      </c>
      <c r="JVZ115" s="197" t="str">
        <f>VLOOKUP(JVY115,[13]AssetDetails_UEM!$A$3:$AH$1849,6,FALSE)</f>
        <v>Electrosurgical Units, Monopolar/Bipolar</v>
      </c>
      <c r="JWA115" s="196" t="s">
        <v>761</v>
      </c>
      <c r="JWB115" s="197" t="str">
        <f>VLOOKUP(JWA115,[13]AssetDetails_UEM!$A$3:$AH$1849,6,FALSE)</f>
        <v>Electrosurgical Units, Monopolar/Bipolar</v>
      </c>
      <c r="JWC115" s="196" t="s">
        <v>761</v>
      </c>
      <c r="JWD115" s="197" t="str">
        <f>VLOOKUP(JWC115,[13]AssetDetails_UEM!$A$3:$AH$1849,6,FALSE)</f>
        <v>Electrosurgical Units, Monopolar/Bipolar</v>
      </c>
      <c r="JWE115" s="196" t="s">
        <v>761</v>
      </c>
      <c r="JWF115" s="197" t="str">
        <f>VLOOKUP(JWE115,[13]AssetDetails_UEM!$A$3:$AH$1849,6,FALSE)</f>
        <v>Electrosurgical Units, Monopolar/Bipolar</v>
      </c>
      <c r="JWG115" s="196" t="s">
        <v>761</v>
      </c>
      <c r="JWH115" s="197" t="str">
        <f>VLOOKUP(JWG115,[13]AssetDetails_UEM!$A$3:$AH$1849,6,FALSE)</f>
        <v>Electrosurgical Units, Monopolar/Bipolar</v>
      </c>
      <c r="JWI115" s="196" t="s">
        <v>761</v>
      </c>
      <c r="JWJ115" s="197" t="str">
        <f>VLOOKUP(JWI115,[13]AssetDetails_UEM!$A$3:$AH$1849,6,FALSE)</f>
        <v>Electrosurgical Units, Monopolar/Bipolar</v>
      </c>
      <c r="JWK115" s="196" t="s">
        <v>761</v>
      </c>
      <c r="JWL115" s="197" t="str">
        <f>VLOOKUP(JWK115,[13]AssetDetails_UEM!$A$3:$AH$1849,6,FALSE)</f>
        <v>Electrosurgical Units, Monopolar/Bipolar</v>
      </c>
      <c r="JWM115" s="196" t="s">
        <v>761</v>
      </c>
      <c r="JWN115" s="197" t="str">
        <f>VLOOKUP(JWM115,[13]AssetDetails_UEM!$A$3:$AH$1849,6,FALSE)</f>
        <v>Electrosurgical Units, Monopolar/Bipolar</v>
      </c>
      <c r="JWO115" s="196" t="s">
        <v>761</v>
      </c>
      <c r="JWP115" s="197" t="str">
        <f>VLOOKUP(JWO115,[13]AssetDetails_UEM!$A$3:$AH$1849,6,FALSE)</f>
        <v>Electrosurgical Units, Monopolar/Bipolar</v>
      </c>
      <c r="JWQ115" s="196" t="s">
        <v>761</v>
      </c>
      <c r="JWR115" s="197" t="str">
        <f>VLOOKUP(JWQ115,[13]AssetDetails_UEM!$A$3:$AH$1849,6,FALSE)</f>
        <v>Electrosurgical Units, Monopolar/Bipolar</v>
      </c>
      <c r="JWS115" s="196" t="s">
        <v>761</v>
      </c>
      <c r="JWT115" s="197" t="str">
        <f>VLOOKUP(JWS115,[13]AssetDetails_UEM!$A$3:$AH$1849,6,FALSE)</f>
        <v>Electrosurgical Units, Monopolar/Bipolar</v>
      </c>
      <c r="JWU115" s="196" t="s">
        <v>761</v>
      </c>
      <c r="JWV115" s="197" t="str">
        <f>VLOOKUP(JWU115,[13]AssetDetails_UEM!$A$3:$AH$1849,6,FALSE)</f>
        <v>Electrosurgical Units, Monopolar/Bipolar</v>
      </c>
      <c r="JWW115" s="196" t="s">
        <v>761</v>
      </c>
      <c r="JWX115" s="197" t="str">
        <f>VLOOKUP(JWW115,[13]AssetDetails_UEM!$A$3:$AH$1849,6,FALSE)</f>
        <v>Electrosurgical Units, Monopolar/Bipolar</v>
      </c>
      <c r="JWY115" s="196" t="s">
        <v>761</v>
      </c>
      <c r="JWZ115" s="197" t="str">
        <f>VLOOKUP(JWY115,[13]AssetDetails_UEM!$A$3:$AH$1849,6,FALSE)</f>
        <v>Electrosurgical Units, Monopolar/Bipolar</v>
      </c>
      <c r="JXA115" s="196" t="s">
        <v>761</v>
      </c>
      <c r="JXB115" s="197" t="str">
        <f>VLOOKUP(JXA115,[13]AssetDetails_UEM!$A$3:$AH$1849,6,FALSE)</f>
        <v>Electrosurgical Units, Monopolar/Bipolar</v>
      </c>
      <c r="JXC115" s="196" t="s">
        <v>761</v>
      </c>
      <c r="JXD115" s="197" t="str">
        <f>VLOOKUP(JXC115,[13]AssetDetails_UEM!$A$3:$AH$1849,6,FALSE)</f>
        <v>Electrosurgical Units, Monopolar/Bipolar</v>
      </c>
      <c r="JXE115" s="196" t="s">
        <v>761</v>
      </c>
      <c r="JXF115" s="197" t="str">
        <f>VLOOKUP(JXE115,[13]AssetDetails_UEM!$A$3:$AH$1849,6,FALSE)</f>
        <v>Electrosurgical Units, Monopolar/Bipolar</v>
      </c>
      <c r="JXG115" s="196" t="s">
        <v>761</v>
      </c>
      <c r="JXH115" s="197" t="str">
        <f>VLOOKUP(JXG115,[13]AssetDetails_UEM!$A$3:$AH$1849,6,FALSE)</f>
        <v>Electrosurgical Units, Monopolar/Bipolar</v>
      </c>
      <c r="JXI115" s="196" t="s">
        <v>761</v>
      </c>
      <c r="JXJ115" s="197" t="str">
        <f>VLOOKUP(JXI115,[13]AssetDetails_UEM!$A$3:$AH$1849,6,FALSE)</f>
        <v>Electrosurgical Units, Monopolar/Bipolar</v>
      </c>
      <c r="JXK115" s="196" t="s">
        <v>761</v>
      </c>
      <c r="JXL115" s="197" t="str">
        <f>VLOOKUP(JXK115,[13]AssetDetails_UEM!$A$3:$AH$1849,6,FALSE)</f>
        <v>Electrosurgical Units, Monopolar/Bipolar</v>
      </c>
      <c r="JXM115" s="196" t="s">
        <v>761</v>
      </c>
      <c r="JXN115" s="197" t="str">
        <f>VLOOKUP(JXM115,[13]AssetDetails_UEM!$A$3:$AH$1849,6,FALSE)</f>
        <v>Electrosurgical Units, Monopolar/Bipolar</v>
      </c>
      <c r="JXO115" s="196" t="s">
        <v>761</v>
      </c>
      <c r="JXP115" s="197" t="str">
        <f>VLOOKUP(JXO115,[13]AssetDetails_UEM!$A$3:$AH$1849,6,FALSE)</f>
        <v>Electrosurgical Units, Monopolar/Bipolar</v>
      </c>
      <c r="JXQ115" s="196" t="s">
        <v>761</v>
      </c>
      <c r="JXR115" s="197" t="str">
        <f>VLOOKUP(JXQ115,[13]AssetDetails_UEM!$A$3:$AH$1849,6,FALSE)</f>
        <v>Electrosurgical Units, Monopolar/Bipolar</v>
      </c>
      <c r="JXS115" s="196" t="s">
        <v>761</v>
      </c>
      <c r="JXT115" s="197" t="str">
        <f>VLOOKUP(JXS115,[13]AssetDetails_UEM!$A$3:$AH$1849,6,FALSE)</f>
        <v>Electrosurgical Units, Monopolar/Bipolar</v>
      </c>
      <c r="JXU115" s="196" t="s">
        <v>761</v>
      </c>
      <c r="JXV115" s="197" t="str">
        <f>VLOOKUP(JXU115,[13]AssetDetails_UEM!$A$3:$AH$1849,6,FALSE)</f>
        <v>Electrosurgical Units, Monopolar/Bipolar</v>
      </c>
      <c r="JXW115" s="196" t="s">
        <v>761</v>
      </c>
      <c r="JXX115" s="197" t="str">
        <f>VLOOKUP(JXW115,[13]AssetDetails_UEM!$A$3:$AH$1849,6,FALSE)</f>
        <v>Electrosurgical Units, Monopolar/Bipolar</v>
      </c>
      <c r="JXY115" s="196" t="s">
        <v>761</v>
      </c>
      <c r="JXZ115" s="197" t="str">
        <f>VLOOKUP(JXY115,[13]AssetDetails_UEM!$A$3:$AH$1849,6,FALSE)</f>
        <v>Electrosurgical Units, Monopolar/Bipolar</v>
      </c>
      <c r="JYA115" s="196" t="s">
        <v>761</v>
      </c>
      <c r="JYB115" s="197" t="str">
        <f>VLOOKUP(JYA115,[13]AssetDetails_UEM!$A$3:$AH$1849,6,FALSE)</f>
        <v>Electrosurgical Units, Monopolar/Bipolar</v>
      </c>
      <c r="JYC115" s="196" t="s">
        <v>761</v>
      </c>
      <c r="JYD115" s="197" t="str">
        <f>VLOOKUP(JYC115,[13]AssetDetails_UEM!$A$3:$AH$1849,6,FALSE)</f>
        <v>Electrosurgical Units, Monopolar/Bipolar</v>
      </c>
      <c r="JYE115" s="196" t="s">
        <v>761</v>
      </c>
      <c r="JYF115" s="197" t="str">
        <f>VLOOKUP(JYE115,[13]AssetDetails_UEM!$A$3:$AH$1849,6,FALSE)</f>
        <v>Electrosurgical Units, Monopolar/Bipolar</v>
      </c>
      <c r="JYG115" s="196" t="s">
        <v>761</v>
      </c>
      <c r="JYH115" s="197" t="str">
        <f>VLOOKUP(JYG115,[13]AssetDetails_UEM!$A$3:$AH$1849,6,FALSE)</f>
        <v>Electrosurgical Units, Monopolar/Bipolar</v>
      </c>
      <c r="JYI115" s="196" t="s">
        <v>761</v>
      </c>
      <c r="JYJ115" s="197" t="str">
        <f>VLOOKUP(JYI115,[13]AssetDetails_UEM!$A$3:$AH$1849,6,FALSE)</f>
        <v>Electrosurgical Units, Monopolar/Bipolar</v>
      </c>
      <c r="JYK115" s="196" t="s">
        <v>761</v>
      </c>
      <c r="JYL115" s="197" t="str">
        <f>VLOOKUP(JYK115,[13]AssetDetails_UEM!$A$3:$AH$1849,6,FALSE)</f>
        <v>Electrosurgical Units, Monopolar/Bipolar</v>
      </c>
      <c r="JYM115" s="196" t="s">
        <v>761</v>
      </c>
      <c r="JYN115" s="197" t="str">
        <f>VLOOKUP(JYM115,[13]AssetDetails_UEM!$A$3:$AH$1849,6,FALSE)</f>
        <v>Electrosurgical Units, Monopolar/Bipolar</v>
      </c>
      <c r="JYO115" s="196" t="s">
        <v>761</v>
      </c>
      <c r="JYP115" s="197" t="str">
        <f>VLOOKUP(JYO115,[13]AssetDetails_UEM!$A$3:$AH$1849,6,FALSE)</f>
        <v>Electrosurgical Units, Monopolar/Bipolar</v>
      </c>
      <c r="JYQ115" s="196" t="s">
        <v>761</v>
      </c>
      <c r="JYR115" s="197" t="str">
        <f>VLOOKUP(JYQ115,[13]AssetDetails_UEM!$A$3:$AH$1849,6,FALSE)</f>
        <v>Electrosurgical Units, Monopolar/Bipolar</v>
      </c>
      <c r="JYS115" s="196" t="s">
        <v>761</v>
      </c>
      <c r="JYT115" s="197" t="str">
        <f>VLOOKUP(JYS115,[13]AssetDetails_UEM!$A$3:$AH$1849,6,FALSE)</f>
        <v>Electrosurgical Units, Monopolar/Bipolar</v>
      </c>
      <c r="JYU115" s="196" t="s">
        <v>761</v>
      </c>
      <c r="JYV115" s="197" t="str">
        <f>VLOOKUP(JYU115,[13]AssetDetails_UEM!$A$3:$AH$1849,6,FALSE)</f>
        <v>Electrosurgical Units, Monopolar/Bipolar</v>
      </c>
      <c r="JYW115" s="196" t="s">
        <v>761</v>
      </c>
      <c r="JYX115" s="197" t="str">
        <f>VLOOKUP(JYW115,[13]AssetDetails_UEM!$A$3:$AH$1849,6,FALSE)</f>
        <v>Electrosurgical Units, Monopolar/Bipolar</v>
      </c>
      <c r="JYY115" s="196" t="s">
        <v>761</v>
      </c>
      <c r="JYZ115" s="197" t="str">
        <f>VLOOKUP(JYY115,[13]AssetDetails_UEM!$A$3:$AH$1849,6,FALSE)</f>
        <v>Electrosurgical Units, Monopolar/Bipolar</v>
      </c>
      <c r="JZA115" s="196" t="s">
        <v>761</v>
      </c>
      <c r="JZB115" s="197" t="str">
        <f>VLOOKUP(JZA115,[13]AssetDetails_UEM!$A$3:$AH$1849,6,FALSE)</f>
        <v>Electrosurgical Units, Monopolar/Bipolar</v>
      </c>
      <c r="JZC115" s="196" t="s">
        <v>761</v>
      </c>
      <c r="JZD115" s="197" t="str">
        <f>VLOOKUP(JZC115,[13]AssetDetails_UEM!$A$3:$AH$1849,6,FALSE)</f>
        <v>Electrosurgical Units, Monopolar/Bipolar</v>
      </c>
      <c r="JZE115" s="196" t="s">
        <v>761</v>
      </c>
      <c r="JZF115" s="197" t="str">
        <f>VLOOKUP(JZE115,[13]AssetDetails_UEM!$A$3:$AH$1849,6,FALSE)</f>
        <v>Electrosurgical Units, Monopolar/Bipolar</v>
      </c>
      <c r="JZG115" s="196" t="s">
        <v>761</v>
      </c>
      <c r="JZH115" s="197" t="str">
        <f>VLOOKUP(JZG115,[13]AssetDetails_UEM!$A$3:$AH$1849,6,FALSE)</f>
        <v>Electrosurgical Units, Monopolar/Bipolar</v>
      </c>
      <c r="JZI115" s="196" t="s">
        <v>761</v>
      </c>
      <c r="JZJ115" s="197" t="str">
        <f>VLOOKUP(JZI115,[13]AssetDetails_UEM!$A$3:$AH$1849,6,FALSE)</f>
        <v>Electrosurgical Units, Monopolar/Bipolar</v>
      </c>
      <c r="JZK115" s="196" t="s">
        <v>761</v>
      </c>
      <c r="JZL115" s="197" t="str">
        <f>VLOOKUP(JZK115,[13]AssetDetails_UEM!$A$3:$AH$1849,6,FALSE)</f>
        <v>Electrosurgical Units, Monopolar/Bipolar</v>
      </c>
      <c r="JZM115" s="196" t="s">
        <v>761</v>
      </c>
      <c r="JZN115" s="197" t="str">
        <f>VLOOKUP(JZM115,[13]AssetDetails_UEM!$A$3:$AH$1849,6,FALSE)</f>
        <v>Electrosurgical Units, Monopolar/Bipolar</v>
      </c>
      <c r="JZO115" s="196" t="s">
        <v>761</v>
      </c>
      <c r="JZP115" s="197" t="str">
        <f>VLOOKUP(JZO115,[13]AssetDetails_UEM!$A$3:$AH$1849,6,FALSE)</f>
        <v>Electrosurgical Units, Monopolar/Bipolar</v>
      </c>
      <c r="JZQ115" s="196" t="s">
        <v>761</v>
      </c>
      <c r="JZR115" s="197" t="str">
        <f>VLOOKUP(JZQ115,[13]AssetDetails_UEM!$A$3:$AH$1849,6,FALSE)</f>
        <v>Electrosurgical Units, Monopolar/Bipolar</v>
      </c>
      <c r="JZS115" s="196" t="s">
        <v>761</v>
      </c>
      <c r="JZT115" s="197" t="str">
        <f>VLOOKUP(JZS115,[13]AssetDetails_UEM!$A$3:$AH$1849,6,FALSE)</f>
        <v>Electrosurgical Units, Monopolar/Bipolar</v>
      </c>
      <c r="JZU115" s="196" t="s">
        <v>761</v>
      </c>
      <c r="JZV115" s="197" t="str">
        <f>VLOOKUP(JZU115,[13]AssetDetails_UEM!$A$3:$AH$1849,6,FALSE)</f>
        <v>Electrosurgical Units, Monopolar/Bipolar</v>
      </c>
      <c r="JZW115" s="196" t="s">
        <v>761</v>
      </c>
      <c r="JZX115" s="197" t="str">
        <f>VLOOKUP(JZW115,[13]AssetDetails_UEM!$A$3:$AH$1849,6,FALSE)</f>
        <v>Electrosurgical Units, Monopolar/Bipolar</v>
      </c>
      <c r="JZY115" s="196" t="s">
        <v>761</v>
      </c>
      <c r="JZZ115" s="197" t="str">
        <f>VLOOKUP(JZY115,[13]AssetDetails_UEM!$A$3:$AH$1849,6,FALSE)</f>
        <v>Electrosurgical Units, Monopolar/Bipolar</v>
      </c>
      <c r="KAA115" s="196" t="s">
        <v>761</v>
      </c>
      <c r="KAB115" s="197" t="str">
        <f>VLOOKUP(KAA115,[13]AssetDetails_UEM!$A$3:$AH$1849,6,FALSE)</f>
        <v>Electrosurgical Units, Monopolar/Bipolar</v>
      </c>
      <c r="KAC115" s="196" t="s">
        <v>761</v>
      </c>
      <c r="KAD115" s="197" t="str">
        <f>VLOOKUP(KAC115,[13]AssetDetails_UEM!$A$3:$AH$1849,6,FALSE)</f>
        <v>Electrosurgical Units, Monopolar/Bipolar</v>
      </c>
      <c r="KAE115" s="196" t="s">
        <v>761</v>
      </c>
      <c r="KAF115" s="197" t="str">
        <f>VLOOKUP(KAE115,[13]AssetDetails_UEM!$A$3:$AH$1849,6,FALSE)</f>
        <v>Electrosurgical Units, Monopolar/Bipolar</v>
      </c>
      <c r="KAG115" s="196" t="s">
        <v>761</v>
      </c>
      <c r="KAH115" s="197" t="str">
        <f>VLOOKUP(KAG115,[13]AssetDetails_UEM!$A$3:$AH$1849,6,FALSE)</f>
        <v>Electrosurgical Units, Monopolar/Bipolar</v>
      </c>
      <c r="KAI115" s="196" t="s">
        <v>761</v>
      </c>
      <c r="KAJ115" s="197" t="str">
        <f>VLOOKUP(KAI115,[13]AssetDetails_UEM!$A$3:$AH$1849,6,FALSE)</f>
        <v>Electrosurgical Units, Monopolar/Bipolar</v>
      </c>
      <c r="KAK115" s="196" t="s">
        <v>761</v>
      </c>
      <c r="KAL115" s="197" t="str">
        <f>VLOOKUP(KAK115,[13]AssetDetails_UEM!$A$3:$AH$1849,6,FALSE)</f>
        <v>Electrosurgical Units, Monopolar/Bipolar</v>
      </c>
      <c r="KAM115" s="196" t="s">
        <v>761</v>
      </c>
      <c r="KAN115" s="197" t="str">
        <f>VLOOKUP(KAM115,[13]AssetDetails_UEM!$A$3:$AH$1849,6,FALSE)</f>
        <v>Electrosurgical Units, Monopolar/Bipolar</v>
      </c>
      <c r="KAO115" s="196" t="s">
        <v>761</v>
      </c>
      <c r="KAP115" s="197" t="str">
        <f>VLOOKUP(KAO115,[13]AssetDetails_UEM!$A$3:$AH$1849,6,FALSE)</f>
        <v>Electrosurgical Units, Monopolar/Bipolar</v>
      </c>
      <c r="KAQ115" s="196" t="s">
        <v>761</v>
      </c>
      <c r="KAR115" s="197" t="str">
        <f>VLOOKUP(KAQ115,[13]AssetDetails_UEM!$A$3:$AH$1849,6,FALSE)</f>
        <v>Electrosurgical Units, Monopolar/Bipolar</v>
      </c>
      <c r="KAS115" s="196" t="s">
        <v>761</v>
      </c>
      <c r="KAT115" s="197" t="str">
        <f>VLOOKUP(KAS115,[13]AssetDetails_UEM!$A$3:$AH$1849,6,FALSE)</f>
        <v>Electrosurgical Units, Monopolar/Bipolar</v>
      </c>
      <c r="KAU115" s="196" t="s">
        <v>761</v>
      </c>
      <c r="KAV115" s="197" t="str">
        <f>VLOOKUP(KAU115,[13]AssetDetails_UEM!$A$3:$AH$1849,6,FALSE)</f>
        <v>Electrosurgical Units, Monopolar/Bipolar</v>
      </c>
      <c r="KAW115" s="196" t="s">
        <v>761</v>
      </c>
      <c r="KAX115" s="197" t="str">
        <f>VLOOKUP(KAW115,[13]AssetDetails_UEM!$A$3:$AH$1849,6,FALSE)</f>
        <v>Electrosurgical Units, Monopolar/Bipolar</v>
      </c>
      <c r="KAY115" s="196" t="s">
        <v>761</v>
      </c>
      <c r="KAZ115" s="197" t="str">
        <f>VLOOKUP(KAY115,[13]AssetDetails_UEM!$A$3:$AH$1849,6,FALSE)</f>
        <v>Electrosurgical Units, Monopolar/Bipolar</v>
      </c>
      <c r="KBA115" s="196" t="s">
        <v>761</v>
      </c>
      <c r="KBB115" s="197" t="str">
        <f>VLOOKUP(KBA115,[13]AssetDetails_UEM!$A$3:$AH$1849,6,FALSE)</f>
        <v>Electrosurgical Units, Monopolar/Bipolar</v>
      </c>
      <c r="KBC115" s="196" t="s">
        <v>761</v>
      </c>
      <c r="KBD115" s="197" t="str">
        <f>VLOOKUP(KBC115,[13]AssetDetails_UEM!$A$3:$AH$1849,6,FALSE)</f>
        <v>Electrosurgical Units, Monopolar/Bipolar</v>
      </c>
      <c r="KBE115" s="196" t="s">
        <v>761</v>
      </c>
      <c r="KBF115" s="197" t="str">
        <f>VLOOKUP(KBE115,[13]AssetDetails_UEM!$A$3:$AH$1849,6,FALSE)</f>
        <v>Electrosurgical Units, Monopolar/Bipolar</v>
      </c>
      <c r="KBG115" s="196" t="s">
        <v>761</v>
      </c>
      <c r="KBH115" s="197" t="str">
        <f>VLOOKUP(KBG115,[13]AssetDetails_UEM!$A$3:$AH$1849,6,FALSE)</f>
        <v>Electrosurgical Units, Monopolar/Bipolar</v>
      </c>
      <c r="KBI115" s="196" t="s">
        <v>761</v>
      </c>
      <c r="KBJ115" s="197" t="str">
        <f>VLOOKUP(KBI115,[13]AssetDetails_UEM!$A$3:$AH$1849,6,FALSE)</f>
        <v>Electrosurgical Units, Monopolar/Bipolar</v>
      </c>
      <c r="KBK115" s="196" t="s">
        <v>761</v>
      </c>
      <c r="KBL115" s="197" t="str">
        <f>VLOOKUP(KBK115,[13]AssetDetails_UEM!$A$3:$AH$1849,6,FALSE)</f>
        <v>Electrosurgical Units, Monopolar/Bipolar</v>
      </c>
      <c r="KBM115" s="196" t="s">
        <v>761</v>
      </c>
      <c r="KBN115" s="197" t="str">
        <f>VLOOKUP(KBM115,[13]AssetDetails_UEM!$A$3:$AH$1849,6,FALSE)</f>
        <v>Electrosurgical Units, Monopolar/Bipolar</v>
      </c>
      <c r="KBO115" s="196" t="s">
        <v>761</v>
      </c>
      <c r="KBP115" s="197" t="str">
        <f>VLOOKUP(KBO115,[13]AssetDetails_UEM!$A$3:$AH$1849,6,FALSE)</f>
        <v>Electrosurgical Units, Monopolar/Bipolar</v>
      </c>
      <c r="KBQ115" s="196" t="s">
        <v>761</v>
      </c>
      <c r="KBR115" s="197" t="str">
        <f>VLOOKUP(KBQ115,[13]AssetDetails_UEM!$A$3:$AH$1849,6,FALSE)</f>
        <v>Electrosurgical Units, Monopolar/Bipolar</v>
      </c>
      <c r="KBS115" s="196" t="s">
        <v>761</v>
      </c>
      <c r="KBT115" s="197" t="str">
        <f>VLOOKUP(KBS115,[13]AssetDetails_UEM!$A$3:$AH$1849,6,FALSE)</f>
        <v>Electrosurgical Units, Monopolar/Bipolar</v>
      </c>
      <c r="KBU115" s="196" t="s">
        <v>761</v>
      </c>
      <c r="KBV115" s="197" t="str">
        <f>VLOOKUP(KBU115,[13]AssetDetails_UEM!$A$3:$AH$1849,6,FALSE)</f>
        <v>Electrosurgical Units, Monopolar/Bipolar</v>
      </c>
      <c r="KBW115" s="196" t="s">
        <v>761</v>
      </c>
      <c r="KBX115" s="197" t="str">
        <f>VLOOKUP(KBW115,[13]AssetDetails_UEM!$A$3:$AH$1849,6,FALSE)</f>
        <v>Electrosurgical Units, Monopolar/Bipolar</v>
      </c>
      <c r="KBY115" s="196" t="s">
        <v>761</v>
      </c>
      <c r="KBZ115" s="197" t="str">
        <f>VLOOKUP(KBY115,[13]AssetDetails_UEM!$A$3:$AH$1849,6,FALSE)</f>
        <v>Electrosurgical Units, Monopolar/Bipolar</v>
      </c>
      <c r="KCA115" s="196" t="s">
        <v>761</v>
      </c>
      <c r="KCB115" s="197" t="str">
        <f>VLOOKUP(KCA115,[13]AssetDetails_UEM!$A$3:$AH$1849,6,FALSE)</f>
        <v>Electrosurgical Units, Monopolar/Bipolar</v>
      </c>
      <c r="KCC115" s="196" t="s">
        <v>761</v>
      </c>
      <c r="KCD115" s="197" t="str">
        <f>VLOOKUP(KCC115,[13]AssetDetails_UEM!$A$3:$AH$1849,6,FALSE)</f>
        <v>Electrosurgical Units, Monopolar/Bipolar</v>
      </c>
      <c r="KCE115" s="196" t="s">
        <v>761</v>
      </c>
      <c r="KCF115" s="197" t="str">
        <f>VLOOKUP(KCE115,[13]AssetDetails_UEM!$A$3:$AH$1849,6,FALSE)</f>
        <v>Electrosurgical Units, Monopolar/Bipolar</v>
      </c>
      <c r="KCG115" s="196" t="s">
        <v>761</v>
      </c>
      <c r="KCH115" s="197" t="str">
        <f>VLOOKUP(KCG115,[13]AssetDetails_UEM!$A$3:$AH$1849,6,FALSE)</f>
        <v>Electrosurgical Units, Monopolar/Bipolar</v>
      </c>
      <c r="KCI115" s="196" t="s">
        <v>761</v>
      </c>
      <c r="KCJ115" s="197" t="str">
        <f>VLOOKUP(KCI115,[13]AssetDetails_UEM!$A$3:$AH$1849,6,FALSE)</f>
        <v>Electrosurgical Units, Monopolar/Bipolar</v>
      </c>
      <c r="KCK115" s="196" t="s">
        <v>761</v>
      </c>
      <c r="KCL115" s="197" t="str">
        <f>VLOOKUP(KCK115,[13]AssetDetails_UEM!$A$3:$AH$1849,6,FALSE)</f>
        <v>Electrosurgical Units, Monopolar/Bipolar</v>
      </c>
      <c r="KCM115" s="196" t="s">
        <v>761</v>
      </c>
      <c r="KCN115" s="197" t="str">
        <f>VLOOKUP(KCM115,[13]AssetDetails_UEM!$A$3:$AH$1849,6,FALSE)</f>
        <v>Electrosurgical Units, Monopolar/Bipolar</v>
      </c>
      <c r="KCO115" s="196" t="s">
        <v>761</v>
      </c>
      <c r="KCP115" s="197" t="str">
        <f>VLOOKUP(KCO115,[13]AssetDetails_UEM!$A$3:$AH$1849,6,FALSE)</f>
        <v>Electrosurgical Units, Monopolar/Bipolar</v>
      </c>
      <c r="KCQ115" s="196" t="s">
        <v>761</v>
      </c>
      <c r="KCR115" s="197" t="str">
        <f>VLOOKUP(KCQ115,[13]AssetDetails_UEM!$A$3:$AH$1849,6,FALSE)</f>
        <v>Electrosurgical Units, Monopolar/Bipolar</v>
      </c>
      <c r="KCS115" s="196" t="s">
        <v>761</v>
      </c>
      <c r="KCT115" s="197" t="str">
        <f>VLOOKUP(KCS115,[13]AssetDetails_UEM!$A$3:$AH$1849,6,FALSE)</f>
        <v>Electrosurgical Units, Monopolar/Bipolar</v>
      </c>
      <c r="KCU115" s="196" t="s">
        <v>761</v>
      </c>
      <c r="KCV115" s="197" t="str">
        <f>VLOOKUP(KCU115,[13]AssetDetails_UEM!$A$3:$AH$1849,6,FALSE)</f>
        <v>Electrosurgical Units, Monopolar/Bipolar</v>
      </c>
      <c r="KCW115" s="196" t="s">
        <v>761</v>
      </c>
      <c r="KCX115" s="197" t="str">
        <f>VLOOKUP(KCW115,[13]AssetDetails_UEM!$A$3:$AH$1849,6,FALSE)</f>
        <v>Electrosurgical Units, Monopolar/Bipolar</v>
      </c>
      <c r="KCY115" s="196" t="s">
        <v>761</v>
      </c>
      <c r="KCZ115" s="197" t="str">
        <f>VLOOKUP(KCY115,[13]AssetDetails_UEM!$A$3:$AH$1849,6,FALSE)</f>
        <v>Electrosurgical Units, Monopolar/Bipolar</v>
      </c>
      <c r="KDA115" s="196" t="s">
        <v>761</v>
      </c>
      <c r="KDB115" s="197" t="str">
        <f>VLOOKUP(KDA115,[13]AssetDetails_UEM!$A$3:$AH$1849,6,FALSE)</f>
        <v>Electrosurgical Units, Monopolar/Bipolar</v>
      </c>
      <c r="KDC115" s="196" t="s">
        <v>761</v>
      </c>
      <c r="KDD115" s="197" t="str">
        <f>VLOOKUP(KDC115,[13]AssetDetails_UEM!$A$3:$AH$1849,6,FALSE)</f>
        <v>Electrosurgical Units, Monopolar/Bipolar</v>
      </c>
      <c r="KDE115" s="196" t="s">
        <v>761</v>
      </c>
      <c r="KDF115" s="197" t="str">
        <f>VLOOKUP(KDE115,[13]AssetDetails_UEM!$A$3:$AH$1849,6,FALSE)</f>
        <v>Electrosurgical Units, Monopolar/Bipolar</v>
      </c>
      <c r="KDG115" s="196" t="s">
        <v>761</v>
      </c>
      <c r="KDH115" s="197" t="str">
        <f>VLOOKUP(KDG115,[13]AssetDetails_UEM!$A$3:$AH$1849,6,FALSE)</f>
        <v>Electrosurgical Units, Monopolar/Bipolar</v>
      </c>
      <c r="KDI115" s="196" t="s">
        <v>761</v>
      </c>
      <c r="KDJ115" s="197" t="str">
        <f>VLOOKUP(KDI115,[13]AssetDetails_UEM!$A$3:$AH$1849,6,FALSE)</f>
        <v>Electrosurgical Units, Monopolar/Bipolar</v>
      </c>
      <c r="KDK115" s="196" t="s">
        <v>761</v>
      </c>
      <c r="KDL115" s="197" t="str">
        <f>VLOOKUP(KDK115,[13]AssetDetails_UEM!$A$3:$AH$1849,6,FALSE)</f>
        <v>Electrosurgical Units, Monopolar/Bipolar</v>
      </c>
      <c r="KDM115" s="196" t="s">
        <v>761</v>
      </c>
      <c r="KDN115" s="197" t="str">
        <f>VLOOKUP(KDM115,[13]AssetDetails_UEM!$A$3:$AH$1849,6,FALSE)</f>
        <v>Electrosurgical Units, Monopolar/Bipolar</v>
      </c>
      <c r="KDO115" s="196" t="s">
        <v>761</v>
      </c>
      <c r="KDP115" s="197" t="str">
        <f>VLOOKUP(KDO115,[13]AssetDetails_UEM!$A$3:$AH$1849,6,FALSE)</f>
        <v>Electrosurgical Units, Monopolar/Bipolar</v>
      </c>
      <c r="KDQ115" s="196" t="s">
        <v>761</v>
      </c>
      <c r="KDR115" s="197" t="str">
        <f>VLOOKUP(KDQ115,[13]AssetDetails_UEM!$A$3:$AH$1849,6,FALSE)</f>
        <v>Electrosurgical Units, Monopolar/Bipolar</v>
      </c>
      <c r="KDS115" s="196" t="s">
        <v>761</v>
      </c>
      <c r="KDT115" s="197" t="str">
        <f>VLOOKUP(KDS115,[13]AssetDetails_UEM!$A$3:$AH$1849,6,FALSE)</f>
        <v>Electrosurgical Units, Monopolar/Bipolar</v>
      </c>
      <c r="KDU115" s="196" t="s">
        <v>761</v>
      </c>
      <c r="KDV115" s="197" t="str">
        <f>VLOOKUP(KDU115,[13]AssetDetails_UEM!$A$3:$AH$1849,6,FALSE)</f>
        <v>Electrosurgical Units, Monopolar/Bipolar</v>
      </c>
      <c r="KDW115" s="196" t="s">
        <v>761</v>
      </c>
      <c r="KDX115" s="197" t="str">
        <f>VLOOKUP(KDW115,[13]AssetDetails_UEM!$A$3:$AH$1849,6,FALSE)</f>
        <v>Electrosurgical Units, Monopolar/Bipolar</v>
      </c>
      <c r="KDY115" s="196" t="s">
        <v>761</v>
      </c>
      <c r="KDZ115" s="197" t="str">
        <f>VLOOKUP(KDY115,[13]AssetDetails_UEM!$A$3:$AH$1849,6,FALSE)</f>
        <v>Electrosurgical Units, Monopolar/Bipolar</v>
      </c>
      <c r="KEA115" s="196" t="s">
        <v>761</v>
      </c>
      <c r="KEB115" s="197" t="str">
        <f>VLOOKUP(KEA115,[13]AssetDetails_UEM!$A$3:$AH$1849,6,FALSE)</f>
        <v>Electrosurgical Units, Monopolar/Bipolar</v>
      </c>
      <c r="KEC115" s="196" t="s">
        <v>761</v>
      </c>
      <c r="KED115" s="197" t="str">
        <f>VLOOKUP(KEC115,[13]AssetDetails_UEM!$A$3:$AH$1849,6,FALSE)</f>
        <v>Electrosurgical Units, Monopolar/Bipolar</v>
      </c>
      <c r="KEE115" s="196" t="s">
        <v>761</v>
      </c>
      <c r="KEF115" s="197" t="str">
        <f>VLOOKUP(KEE115,[13]AssetDetails_UEM!$A$3:$AH$1849,6,FALSE)</f>
        <v>Electrosurgical Units, Monopolar/Bipolar</v>
      </c>
      <c r="KEG115" s="196" t="s">
        <v>761</v>
      </c>
      <c r="KEH115" s="197" t="str">
        <f>VLOOKUP(KEG115,[13]AssetDetails_UEM!$A$3:$AH$1849,6,FALSE)</f>
        <v>Electrosurgical Units, Monopolar/Bipolar</v>
      </c>
      <c r="KEI115" s="196" t="s">
        <v>761</v>
      </c>
      <c r="KEJ115" s="197" t="str">
        <f>VLOOKUP(KEI115,[13]AssetDetails_UEM!$A$3:$AH$1849,6,FALSE)</f>
        <v>Electrosurgical Units, Monopolar/Bipolar</v>
      </c>
      <c r="KEK115" s="196" t="s">
        <v>761</v>
      </c>
      <c r="KEL115" s="197" t="str">
        <f>VLOOKUP(KEK115,[13]AssetDetails_UEM!$A$3:$AH$1849,6,FALSE)</f>
        <v>Electrosurgical Units, Monopolar/Bipolar</v>
      </c>
      <c r="KEM115" s="196" t="s">
        <v>761</v>
      </c>
      <c r="KEN115" s="197" t="str">
        <f>VLOOKUP(KEM115,[13]AssetDetails_UEM!$A$3:$AH$1849,6,FALSE)</f>
        <v>Electrosurgical Units, Monopolar/Bipolar</v>
      </c>
      <c r="KEO115" s="196" t="s">
        <v>761</v>
      </c>
      <c r="KEP115" s="197" t="str">
        <f>VLOOKUP(KEO115,[13]AssetDetails_UEM!$A$3:$AH$1849,6,FALSE)</f>
        <v>Electrosurgical Units, Monopolar/Bipolar</v>
      </c>
      <c r="KEQ115" s="196" t="s">
        <v>761</v>
      </c>
      <c r="KER115" s="197" t="str">
        <f>VLOOKUP(KEQ115,[13]AssetDetails_UEM!$A$3:$AH$1849,6,FALSE)</f>
        <v>Electrosurgical Units, Monopolar/Bipolar</v>
      </c>
      <c r="KES115" s="196" t="s">
        <v>761</v>
      </c>
      <c r="KET115" s="197" t="str">
        <f>VLOOKUP(KES115,[13]AssetDetails_UEM!$A$3:$AH$1849,6,FALSE)</f>
        <v>Electrosurgical Units, Monopolar/Bipolar</v>
      </c>
      <c r="KEU115" s="196" t="s">
        <v>761</v>
      </c>
      <c r="KEV115" s="197" t="str">
        <f>VLOOKUP(KEU115,[13]AssetDetails_UEM!$A$3:$AH$1849,6,FALSE)</f>
        <v>Electrosurgical Units, Monopolar/Bipolar</v>
      </c>
      <c r="KEW115" s="196" t="s">
        <v>761</v>
      </c>
      <c r="KEX115" s="197" t="str">
        <f>VLOOKUP(KEW115,[13]AssetDetails_UEM!$A$3:$AH$1849,6,FALSE)</f>
        <v>Electrosurgical Units, Monopolar/Bipolar</v>
      </c>
      <c r="KEY115" s="196" t="s">
        <v>761</v>
      </c>
      <c r="KEZ115" s="197" t="str">
        <f>VLOOKUP(KEY115,[13]AssetDetails_UEM!$A$3:$AH$1849,6,FALSE)</f>
        <v>Electrosurgical Units, Monopolar/Bipolar</v>
      </c>
      <c r="KFA115" s="196" t="s">
        <v>761</v>
      </c>
      <c r="KFB115" s="197" t="str">
        <f>VLOOKUP(KFA115,[13]AssetDetails_UEM!$A$3:$AH$1849,6,FALSE)</f>
        <v>Electrosurgical Units, Monopolar/Bipolar</v>
      </c>
      <c r="KFC115" s="196" t="s">
        <v>761</v>
      </c>
      <c r="KFD115" s="197" t="str">
        <f>VLOOKUP(KFC115,[13]AssetDetails_UEM!$A$3:$AH$1849,6,FALSE)</f>
        <v>Electrosurgical Units, Monopolar/Bipolar</v>
      </c>
      <c r="KFE115" s="196" t="s">
        <v>761</v>
      </c>
      <c r="KFF115" s="197" t="str">
        <f>VLOOKUP(KFE115,[13]AssetDetails_UEM!$A$3:$AH$1849,6,FALSE)</f>
        <v>Electrosurgical Units, Monopolar/Bipolar</v>
      </c>
      <c r="KFG115" s="196" t="s">
        <v>761</v>
      </c>
      <c r="KFH115" s="197" t="str">
        <f>VLOOKUP(KFG115,[13]AssetDetails_UEM!$A$3:$AH$1849,6,FALSE)</f>
        <v>Electrosurgical Units, Monopolar/Bipolar</v>
      </c>
      <c r="KFI115" s="196" t="s">
        <v>761</v>
      </c>
      <c r="KFJ115" s="197" t="str">
        <f>VLOOKUP(KFI115,[13]AssetDetails_UEM!$A$3:$AH$1849,6,FALSE)</f>
        <v>Electrosurgical Units, Monopolar/Bipolar</v>
      </c>
      <c r="KFK115" s="196" t="s">
        <v>761</v>
      </c>
      <c r="KFL115" s="197" t="str">
        <f>VLOOKUP(KFK115,[13]AssetDetails_UEM!$A$3:$AH$1849,6,FALSE)</f>
        <v>Electrosurgical Units, Monopolar/Bipolar</v>
      </c>
      <c r="KFM115" s="196" t="s">
        <v>761</v>
      </c>
      <c r="KFN115" s="197" t="str">
        <f>VLOOKUP(KFM115,[13]AssetDetails_UEM!$A$3:$AH$1849,6,FALSE)</f>
        <v>Electrosurgical Units, Monopolar/Bipolar</v>
      </c>
      <c r="KFO115" s="196" t="s">
        <v>761</v>
      </c>
      <c r="KFP115" s="197" t="str">
        <f>VLOOKUP(KFO115,[13]AssetDetails_UEM!$A$3:$AH$1849,6,FALSE)</f>
        <v>Electrosurgical Units, Monopolar/Bipolar</v>
      </c>
      <c r="KFQ115" s="196" t="s">
        <v>761</v>
      </c>
      <c r="KFR115" s="197" t="str">
        <f>VLOOKUP(KFQ115,[13]AssetDetails_UEM!$A$3:$AH$1849,6,FALSE)</f>
        <v>Electrosurgical Units, Monopolar/Bipolar</v>
      </c>
      <c r="KFS115" s="196" t="s">
        <v>761</v>
      </c>
      <c r="KFT115" s="197" t="str">
        <f>VLOOKUP(KFS115,[13]AssetDetails_UEM!$A$3:$AH$1849,6,FALSE)</f>
        <v>Electrosurgical Units, Monopolar/Bipolar</v>
      </c>
      <c r="KFU115" s="196" t="s">
        <v>761</v>
      </c>
      <c r="KFV115" s="197" t="str">
        <f>VLOOKUP(KFU115,[13]AssetDetails_UEM!$A$3:$AH$1849,6,FALSE)</f>
        <v>Electrosurgical Units, Monopolar/Bipolar</v>
      </c>
      <c r="KFW115" s="196" t="s">
        <v>761</v>
      </c>
      <c r="KFX115" s="197" t="str">
        <f>VLOOKUP(KFW115,[13]AssetDetails_UEM!$A$3:$AH$1849,6,FALSE)</f>
        <v>Electrosurgical Units, Monopolar/Bipolar</v>
      </c>
      <c r="KFY115" s="196" t="s">
        <v>761</v>
      </c>
      <c r="KFZ115" s="197" t="str">
        <f>VLOOKUP(KFY115,[13]AssetDetails_UEM!$A$3:$AH$1849,6,FALSE)</f>
        <v>Electrosurgical Units, Monopolar/Bipolar</v>
      </c>
      <c r="KGA115" s="196" t="s">
        <v>761</v>
      </c>
      <c r="KGB115" s="197" t="str">
        <f>VLOOKUP(KGA115,[13]AssetDetails_UEM!$A$3:$AH$1849,6,FALSE)</f>
        <v>Electrosurgical Units, Monopolar/Bipolar</v>
      </c>
      <c r="KGC115" s="196" t="s">
        <v>761</v>
      </c>
      <c r="KGD115" s="197" t="str">
        <f>VLOOKUP(KGC115,[13]AssetDetails_UEM!$A$3:$AH$1849,6,FALSE)</f>
        <v>Electrosurgical Units, Monopolar/Bipolar</v>
      </c>
      <c r="KGE115" s="196" t="s">
        <v>761</v>
      </c>
      <c r="KGF115" s="197" t="str">
        <f>VLOOKUP(KGE115,[13]AssetDetails_UEM!$A$3:$AH$1849,6,FALSE)</f>
        <v>Electrosurgical Units, Monopolar/Bipolar</v>
      </c>
      <c r="KGG115" s="196" t="s">
        <v>761</v>
      </c>
      <c r="KGH115" s="197" t="str">
        <f>VLOOKUP(KGG115,[13]AssetDetails_UEM!$A$3:$AH$1849,6,FALSE)</f>
        <v>Electrosurgical Units, Monopolar/Bipolar</v>
      </c>
      <c r="KGI115" s="196" t="s">
        <v>761</v>
      </c>
      <c r="KGJ115" s="197" t="str">
        <f>VLOOKUP(KGI115,[13]AssetDetails_UEM!$A$3:$AH$1849,6,FALSE)</f>
        <v>Electrosurgical Units, Monopolar/Bipolar</v>
      </c>
      <c r="KGK115" s="196" t="s">
        <v>761</v>
      </c>
      <c r="KGL115" s="197" t="str">
        <f>VLOOKUP(KGK115,[13]AssetDetails_UEM!$A$3:$AH$1849,6,FALSE)</f>
        <v>Electrosurgical Units, Monopolar/Bipolar</v>
      </c>
      <c r="KGM115" s="196" t="s">
        <v>761</v>
      </c>
      <c r="KGN115" s="197" t="str">
        <f>VLOOKUP(KGM115,[13]AssetDetails_UEM!$A$3:$AH$1849,6,FALSE)</f>
        <v>Electrosurgical Units, Monopolar/Bipolar</v>
      </c>
      <c r="KGO115" s="196" t="s">
        <v>761</v>
      </c>
      <c r="KGP115" s="197" t="str">
        <f>VLOOKUP(KGO115,[13]AssetDetails_UEM!$A$3:$AH$1849,6,FALSE)</f>
        <v>Electrosurgical Units, Monopolar/Bipolar</v>
      </c>
      <c r="KGQ115" s="196" t="s">
        <v>761</v>
      </c>
      <c r="KGR115" s="197" t="str">
        <f>VLOOKUP(KGQ115,[13]AssetDetails_UEM!$A$3:$AH$1849,6,FALSE)</f>
        <v>Electrosurgical Units, Monopolar/Bipolar</v>
      </c>
      <c r="KGS115" s="196" t="s">
        <v>761</v>
      </c>
      <c r="KGT115" s="197" t="str">
        <f>VLOOKUP(KGS115,[13]AssetDetails_UEM!$A$3:$AH$1849,6,FALSE)</f>
        <v>Electrosurgical Units, Monopolar/Bipolar</v>
      </c>
      <c r="KGU115" s="196" t="s">
        <v>761</v>
      </c>
      <c r="KGV115" s="197" t="str">
        <f>VLOOKUP(KGU115,[13]AssetDetails_UEM!$A$3:$AH$1849,6,FALSE)</f>
        <v>Electrosurgical Units, Monopolar/Bipolar</v>
      </c>
      <c r="KGW115" s="196" t="s">
        <v>761</v>
      </c>
      <c r="KGX115" s="197" t="str">
        <f>VLOOKUP(KGW115,[13]AssetDetails_UEM!$A$3:$AH$1849,6,FALSE)</f>
        <v>Electrosurgical Units, Monopolar/Bipolar</v>
      </c>
      <c r="KGY115" s="196" t="s">
        <v>761</v>
      </c>
      <c r="KGZ115" s="197" t="str">
        <f>VLOOKUP(KGY115,[13]AssetDetails_UEM!$A$3:$AH$1849,6,FALSE)</f>
        <v>Electrosurgical Units, Monopolar/Bipolar</v>
      </c>
      <c r="KHA115" s="196" t="s">
        <v>761</v>
      </c>
      <c r="KHB115" s="197" t="str">
        <f>VLOOKUP(KHA115,[13]AssetDetails_UEM!$A$3:$AH$1849,6,FALSE)</f>
        <v>Electrosurgical Units, Monopolar/Bipolar</v>
      </c>
      <c r="KHC115" s="196" t="s">
        <v>761</v>
      </c>
      <c r="KHD115" s="197" t="str">
        <f>VLOOKUP(KHC115,[13]AssetDetails_UEM!$A$3:$AH$1849,6,FALSE)</f>
        <v>Electrosurgical Units, Monopolar/Bipolar</v>
      </c>
      <c r="KHE115" s="196" t="s">
        <v>761</v>
      </c>
      <c r="KHF115" s="197" t="str">
        <f>VLOOKUP(KHE115,[13]AssetDetails_UEM!$A$3:$AH$1849,6,FALSE)</f>
        <v>Electrosurgical Units, Monopolar/Bipolar</v>
      </c>
      <c r="KHG115" s="196" t="s">
        <v>761</v>
      </c>
      <c r="KHH115" s="197" t="str">
        <f>VLOOKUP(KHG115,[13]AssetDetails_UEM!$A$3:$AH$1849,6,FALSE)</f>
        <v>Electrosurgical Units, Monopolar/Bipolar</v>
      </c>
      <c r="KHI115" s="196" t="s">
        <v>761</v>
      </c>
      <c r="KHJ115" s="197" t="str">
        <f>VLOOKUP(KHI115,[13]AssetDetails_UEM!$A$3:$AH$1849,6,FALSE)</f>
        <v>Electrosurgical Units, Monopolar/Bipolar</v>
      </c>
      <c r="KHK115" s="196" t="s">
        <v>761</v>
      </c>
      <c r="KHL115" s="197" t="str">
        <f>VLOOKUP(KHK115,[13]AssetDetails_UEM!$A$3:$AH$1849,6,FALSE)</f>
        <v>Electrosurgical Units, Monopolar/Bipolar</v>
      </c>
      <c r="KHM115" s="196" t="s">
        <v>761</v>
      </c>
      <c r="KHN115" s="197" t="str">
        <f>VLOOKUP(KHM115,[13]AssetDetails_UEM!$A$3:$AH$1849,6,FALSE)</f>
        <v>Electrosurgical Units, Monopolar/Bipolar</v>
      </c>
      <c r="KHO115" s="196" t="s">
        <v>761</v>
      </c>
      <c r="KHP115" s="197" t="str">
        <f>VLOOKUP(KHO115,[13]AssetDetails_UEM!$A$3:$AH$1849,6,FALSE)</f>
        <v>Electrosurgical Units, Monopolar/Bipolar</v>
      </c>
      <c r="KHQ115" s="196" t="s">
        <v>761</v>
      </c>
      <c r="KHR115" s="197" t="str">
        <f>VLOOKUP(KHQ115,[13]AssetDetails_UEM!$A$3:$AH$1849,6,FALSE)</f>
        <v>Electrosurgical Units, Monopolar/Bipolar</v>
      </c>
      <c r="KHS115" s="196" t="s">
        <v>761</v>
      </c>
      <c r="KHT115" s="197" t="str">
        <f>VLOOKUP(KHS115,[13]AssetDetails_UEM!$A$3:$AH$1849,6,FALSE)</f>
        <v>Electrosurgical Units, Monopolar/Bipolar</v>
      </c>
      <c r="KHU115" s="196" t="s">
        <v>761</v>
      </c>
      <c r="KHV115" s="197" t="str">
        <f>VLOOKUP(KHU115,[13]AssetDetails_UEM!$A$3:$AH$1849,6,FALSE)</f>
        <v>Electrosurgical Units, Monopolar/Bipolar</v>
      </c>
      <c r="KHW115" s="196" t="s">
        <v>761</v>
      </c>
      <c r="KHX115" s="197" t="str">
        <f>VLOOKUP(KHW115,[13]AssetDetails_UEM!$A$3:$AH$1849,6,FALSE)</f>
        <v>Electrosurgical Units, Monopolar/Bipolar</v>
      </c>
      <c r="KHY115" s="196" t="s">
        <v>761</v>
      </c>
      <c r="KHZ115" s="197" t="str">
        <f>VLOOKUP(KHY115,[13]AssetDetails_UEM!$A$3:$AH$1849,6,FALSE)</f>
        <v>Electrosurgical Units, Monopolar/Bipolar</v>
      </c>
      <c r="KIA115" s="196" t="s">
        <v>761</v>
      </c>
      <c r="KIB115" s="197" t="str">
        <f>VLOOKUP(KIA115,[13]AssetDetails_UEM!$A$3:$AH$1849,6,FALSE)</f>
        <v>Electrosurgical Units, Monopolar/Bipolar</v>
      </c>
      <c r="KIC115" s="196" t="s">
        <v>761</v>
      </c>
      <c r="KID115" s="197" t="str">
        <f>VLOOKUP(KIC115,[13]AssetDetails_UEM!$A$3:$AH$1849,6,FALSE)</f>
        <v>Electrosurgical Units, Monopolar/Bipolar</v>
      </c>
      <c r="KIE115" s="196" t="s">
        <v>761</v>
      </c>
      <c r="KIF115" s="197" t="str">
        <f>VLOOKUP(KIE115,[13]AssetDetails_UEM!$A$3:$AH$1849,6,FALSE)</f>
        <v>Electrosurgical Units, Monopolar/Bipolar</v>
      </c>
      <c r="KIG115" s="196" t="s">
        <v>761</v>
      </c>
      <c r="KIH115" s="197" t="str">
        <f>VLOOKUP(KIG115,[13]AssetDetails_UEM!$A$3:$AH$1849,6,FALSE)</f>
        <v>Electrosurgical Units, Monopolar/Bipolar</v>
      </c>
      <c r="KII115" s="196" t="s">
        <v>761</v>
      </c>
      <c r="KIJ115" s="197" t="str">
        <f>VLOOKUP(KII115,[13]AssetDetails_UEM!$A$3:$AH$1849,6,FALSE)</f>
        <v>Electrosurgical Units, Monopolar/Bipolar</v>
      </c>
      <c r="KIK115" s="196" t="s">
        <v>761</v>
      </c>
      <c r="KIL115" s="197" t="str">
        <f>VLOOKUP(KIK115,[13]AssetDetails_UEM!$A$3:$AH$1849,6,FALSE)</f>
        <v>Electrosurgical Units, Monopolar/Bipolar</v>
      </c>
      <c r="KIM115" s="196" t="s">
        <v>761</v>
      </c>
      <c r="KIN115" s="197" t="str">
        <f>VLOOKUP(KIM115,[13]AssetDetails_UEM!$A$3:$AH$1849,6,FALSE)</f>
        <v>Electrosurgical Units, Monopolar/Bipolar</v>
      </c>
      <c r="KIO115" s="196" t="s">
        <v>761</v>
      </c>
      <c r="KIP115" s="197" t="str">
        <f>VLOOKUP(KIO115,[13]AssetDetails_UEM!$A$3:$AH$1849,6,FALSE)</f>
        <v>Electrosurgical Units, Monopolar/Bipolar</v>
      </c>
      <c r="KIQ115" s="196" t="s">
        <v>761</v>
      </c>
      <c r="KIR115" s="197" t="str">
        <f>VLOOKUP(KIQ115,[13]AssetDetails_UEM!$A$3:$AH$1849,6,FALSE)</f>
        <v>Electrosurgical Units, Monopolar/Bipolar</v>
      </c>
      <c r="KIS115" s="196" t="s">
        <v>761</v>
      </c>
      <c r="KIT115" s="197" t="str">
        <f>VLOOKUP(KIS115,[13]AssetDetails_UEM!$A$3:$AH$1849,6,FALSE)</f>
        <v>Electrosurgical Units, Monopolar/Bipolar</v>
      </c>
      <c r="KIU115" s="196" t="s">
        <v>761</v>
      </c>
      <c r="KIV115" s="197" t="str">
        <f>VLOOKUP(KIU115,[13]AssetDetails_UEM!$A$3:$AH$1849,6,FALSE)</f>
        <v>Electrosurgical Units, Monopolar/Bipolar</v>
      </c>
      <c r="KIW115" s="196" t="s">
        <v>761</v>
      </c>
      <c r="KIX115" s="197" t="str">
        <f>VLOOKUP(KIW115,[13]AssetDetails_UEM!$A$3:$AH$1849,6,FALSE)</f>
        <v>Electrosurgical Units, Monopolar/Bipolar</v>
      </c>
      <c r="KIY115" s="196" t="s">
        <v>761</v>
      </c>
      <c r="KIZ115" s="197" t="str">
        <f>VLOOKUP(KIY115,[13]AssetDetails_UEM!$A$3:$AH$1849,6,FALSE)</f>
        <v>Electrosurgical Units, Monopolar/Bipolar</v>
      </c>
      <c r="KJA115" s="196" t="s">
        <v>761</v>
      </c>
      <c r="KJB115" s="197" t="str">
        <f>VLOOKUP(KJA115,[13]AssetDetails_UEM!$A$3:$AH$1849,6,FALSE)</f>
        <v>Electrosurgical Units, Monopolar/Bipolar</v>
      </c>
      <c r="KJC115" s="196" t="s">
        <v>761</v>
      </c>
      <c r="KJD115" s="197" t="str">
        <f>VLOOKUP(KJC115,[13]AssetDetails_UEM!$A$3:$AH$1849,6,FALSE)</f>
        <v>Electrosurgical Units, Monopolar/Bipolar</v>
      </c>
      <c r="KJE115" s="196" t="s">
        <v>761</v>
      </c>
      <c r="KJF115" s="197" t="str">
        <f>VLOOKUP(KJE115,[13]AssetDetails_UEM!$A$3:$AH$1849,6,FALSE)</f>
        <v>Electrosurgical Units, Monopolar/Bipolar</v>
      </c>
      <c r="KJG115" s="196" t="s">
        <v>761</v>
      </c>
      <c r="KJH115" s="197" t="str">
        <f>VLOOKUP(KJG115,[13]AssetDetails_UEM!$A$3:$AH$1849,6,FALSE)</f>
        <v>Electrosurgical Units, Monopolar/Bipolar</v>
      </c>
      <c r="KJI115" s="196" t="s">
        <v>761</v>
      </c>
      <c r="KJJ115" s="197" t="str">
        <f>VLOOKUP(KJI115,[13]AssetDetails_UEM!$A$3:$AH$1849,6,FALSE)</f>
        <v>Electrosurgical Units, Monopolar/Bipolar</v>
      </c>
      <c r="KJK115" s="196" t="s">
        <v>761</v>
      </c>
      <c r="KJL115" s="197" t="str">
        <f>VLOOKUP(KJK115,[13]AssetDetails_UEM!$A$3:$AH$1849,6,FALSE)</f>
        <v>Electrosurgical Units, Monopolar/Bipolar</v>
      </c>
      <c r="KJM115" s="196" t="s">
        <v>761</v>
      </c>
      <c r="KJN115" s="197" t="str">
        <f>VLOOKUP(KJM115,[13]AssetDetails_UEM!$A$3:$AH$1849,6,FALSE)</f>
        <v>Electrosurgical Units, Monopolar/Bipolar</v>
      </c>
      <c r="KJO115" s="196" t="s">
        <v>761</v>
      </c>
      <c r="KJP115" s="197" t="str">
        <f>VLOOKUP(KJO115,[13]AssetDetails_UEM!$A$3:$AH$1849,6,FALSE)</f>
        <v>Electrosurgical Units, Monopolar/Bipolar</v>
      </c>
      <c r="KJQ115" s="196" t="s">
        <v>761</v>
      </c>
      <c r="KJR115" s="197" t="str">
        <f>VLOOKUP(KJQ115,[13]AssetDetails_UEM!$A$3:$AH$1849,6,FALSE)</f>
        <v>Electrosurgical Units, Monopolar/Bipolar</v>
      </c>
      <c r="KJS115" s="196" t="s">
        <v>761</v>
      </c>
      <c r="KJT115" s="197" t="str">
        <f>VLOOKUP(KJS115,[13]AssetDetails_UEM!$A$3:$AH$1849,6,FALSE)</f>
        <v>Electrosurgical Units, Monopolar/Bipolar</v>
      </c>
      <c r="KJU115" s="196" t="s">
        <v>761</v>
      </c>
      <c r="KJV115" s="197" t="str">
        <f>VLOOKUP(KJU115,[13]AssetDetails_UEM!$A$3:$AH$1849,6,FALSE)</f>
        <v>Electrosurgical Units, Monopolar/Bipolar</v>
      </c>
      <c r="KJW115" s="196" t="s">
        <v>761</v>
      </c>
      <c r="KJX115" s="197" t="str">
        <f>VLOOKUP(KJW115,[13]AssetDetails_UEM!$A$3:$AH$1849,6,FALSE)</f>
        <v>Electrosurgical Units, Monopolar/Bipolar</v>
      </c>
      <c r="KJY115" s="196" t="s">
        <v>761</v>
      </c>
      <c r="KJZ115" s="197" t="str">
        <f>VLOOKUP(KJY115,[13]AssetDetails_UEM!$A$3:$AH$1849,6,FALSE)</f>
        <v>Electrosurgical Units, Monopolar/Bipolar</v>
      </c>
      <c r="KKA115" s="196" t="s">
        <v>761</v>
      </c>
      <c r="KKB115" s="197" t="str">
        <f>VLOOKUP(KKA115,[13]AssetDetails_UEM!$A$3:$AH$1849,6,FALSE)</f>
        <v>Electrosurgical Units, Monopolar/Bipolar</v>
      </c>
      <c r="KKC115" s="196" t="s">
        <v>761</v>
      </c>
      <c r="KKD115" s="197" t="str">
        <f>VLOOKUP(KKC115,[13]AssetDetails_UEM!$A$3:$AH$1849,6,FALSE)</f>
        <v>Electrosurgical Units, Monopolar/Bipolar</v>
      </c>
      <c r="KKE115" s="196" t="s">
        <v>761</v>
      </c>
      <c r="KKF115" s="197" t="str">
        <f>VLOOKUP(KKE115,[13]AssetDetails_UEM!$A$3:$AH$1849,6,FALSE)</f>
        <v>Electrosurgical Units, Monopolar/Bipolar</v>
      </c>
      <c r="KKG115" s="196" t="s">
        <v>761</v>
      </c>
      <c r="KKH115" s="197" t="str">
        <f>VLOOKUP(KKG115,[13]AssetDetails_UEM!$A$3:$AH$1849,6,FALSE)</f>
        <v>Electrosurgical Units, Monopolar/Bipolar</v>
      </c>
      <c r="KKI115" s="196" t="s">
        <v>761</v>
      </c>
      <c r="KKJ115" s="197" t="str">
        <f>VLOOKUP(KKI115,[13]AssetDetails_UEM!$A$3:$AH$1849,6,FALSE)</f>
        <v>Electrosurgical Units, Monopolar/Bipolar</v>
      </c>
      <c r="KKK115" s="196" t="s">
        <v>761</v>
      </c>
      <c r="KKL115" s="197" t="str">
        <f>VLOOKUP(KKK115,[13]AssetDetails_UEM!$A$3:$AH$1849,6,FALSE)</f>
        <v>Electrosurgical Units, Monopolar/Bipolar</v>
      </c>
      <c r="KKM115" s="196" t="s">
        <v>761</v>
      </c>
      <c r="KKN115" s="197" t="str">
        <f>VLOOKUP(KKM115,[13]AssetDetails_UEM!$A$3:$AH$1849,6,FALSE)</f>
        <v>Electrosurgical Units, Monopolar/Bipolar</v>
      </c>
      <c r="KKO115" s="196" t="s">
        <v>761</v>
      </c>
      <c r="KKP115" s="197" t="str">
        <f>VLOOKUP(KKO115,[13]AssetDetails_UEM!$A$3:$AH$1849,6,FALSE)</f>
        <v>Electrosurgical Units, Monopolar/Bipolar</v>
      </c>
      <c r="KKQ115" s="196" t="s">
        <v>761</v>
      </c>
      <c r="KKR115" s="197" t="str">
        <f>VLOOKUP(KKQ115,[13]AssetDetails_UEM!$A$3:$AH$1849,6,FALSE)</f>
        <v>Electrosurgical Units, Monopolar/Bipolar</v>
      </c>
      <c r="KKS115" s="196" t="s">
        <v>761</v>
      </c>
      <c r="KKT115" s="197" t="str">
        <f>VLOOKUP(KKS115,[13]AssetDetails_UEM!$A$3:$AH$1849,6,FALSE)</f>
        <v>Electrosurgical Units, Monopolar/Bipolar</v>
      </c>
      <c r="KKU115" s="196" t="s">
        <v>761</v>
      </c>
      <c r="KKV115" s="197" t="str">
        <f>VLOOKUP(KKU115,[13]AssetDetails_UEM!$A$3:$AH$1849,6,FALSE)</f>
        <v>Electrosurgical Units, Monopolar/Bipolar</v>
      </c>
      <c r="KKW115" s="196" t="s">
        <v>761</v>
      </c>
      <c r="KKX115" s="197" t="str">
        <f>VLOOKUP(KKW115,[13]AssetDetails_UEM!$A$3:$AH$1849,6,FALSE)</f>
        <v>Electrosurgical Units, Monopolar/Bipolar</v>
      </c>
      <c r="KKY115" s="196" t="s">
        <v>761</v>
      </c>
      <c r="KKZ115" s="197" t="str">
        <f>VLOOKUP(KKY115,[13]AssetDetails_UEM!$A$3:$AH$1849,6,FALSE)</f>
        <v>Electrosurgical Units, Monopolar/Bipolar</v>
      </c>
      <c r="KLA115" s="196" t="s">
        <v>761</v>
      </c>
      <c r="KLB115" s="197" t="str">
        <f>VLOOKUP(KLA115,[13]AssetDetails_UEM!$A$3:$AH$1849,6,FALSE)</f>
        <v>Electrosurgical Units, Monopolar/Bipolar</v>
      </c>
      <c r="KLC115" s="196" t="s">
        <v>761</v>
      </c>
      <c r="KLD115" s="197" t="str">
        <f>VLOOKUP(KLC115,[13]AssetDetails_UEM!$A$3:$AH$1849,6,FALSE)</f>
        <v>Electrosurgical Units, Monopolar/Bipolar</v>
      </c>
      <c r="KLE115" s="196" t="s">
        <v>761</v>
      </c>
      <c r="KLF115" s="197" t="str">
        <f>VLOOKUP(KLE115,[13]AssetDetails_UEM!$A$3:$AH$1849,6,FALSE)</f>
        <v>Electrosurgical Units, Monopolar/Bipolar</v>
      </c>
      <c r="KLG115" s="196" t="s">
        <v>761</v>
      </c>
      <c r="KLH115" s="197" t="str">
        <f>VLOOKUP(KLG115,[13]AssetDetails_UEM!$A$3:$AH$1849,6,FALSE)</f>
        <v>Electrosurgical Units, Monopolar/Bipolar</v>
      </c>
      <c r="KLI115" s="196" t="s">
        <v>761</v>
      </c>
      <c r="KLJ115" s="197" t="str">
        <f>VLOOKUP(KLI115,[13]AssetDetails_UEM!$A$3:$AH$1849,6,FALSE)</f>
        <v>Electrosurgical Units, Monopolar/Bipolar</v>
      </c>
      <c r="KLK115" s="196" t="s">
        <v>761</v>
      </c>
      <c r="KLL115" s="197" t="str">
        <f>VLOOKUP(KLK115,[13]AssetDetails_UEM!$A$3:$AH$1849,6,FALSE)</f>
        <v>Electrosurgical Units, Monopolar/Bipolar</v>
      </c>
      <c r="KLM115" s="196" t="s">
        <v>761</v>
      </c>
      <c r="KLN115" s="197" t="str">
        <f>VLOOKUP(KLM115,[13]AssetDetails_UEM!$A$3:$AH$1849,6,FALSE)</f>
        <v>Electrosurgical Units, Monopolar/Bipolar</v>
      </c>
      <c r="KLO115" s="196" t="s">
        <v>761</v>
      </c>
      <c r="KLP115" s="197" t="str">
        <f>VLOOKUP(KLO115,[13]AssetDetails_UEM!$A$3:$AH$1849,6,FALSE)</f>
        <v>Electrosurgical Units, Monopolar/Bipolar</v>
      </c>
      <c r="KLQ115" s="196" t="s">
        <v>761</v>
      </c>
      <c r="KLR115" s="197" t="str">
        <f>VLOOKUP(KLQ115,[13]AssetDetails_UEM!$A$3:$AH$1849,6,FALSE)</f>
        <v>Electrosurgical Units, Monopolar/Bipolar</v>
      </c>
      <c r="KLS115" s="196" t="s">
        <v>761</v>
      </c>
      <c r="KLT115" s="197" t="str">
        <f>VLOOKUP(KLS115,[13]AssetDetails_UEM!$A$3:$AH$1849,6,FALSE)</f>
        <v>Electrosurgical Units, Monopolar/Bipolar</v>
      </c>
      <c r="KLU115" s="196" t="s">
        <v>761</v>
      </c>
      <c r="KLV115" s="197" t="str">
        <f>VLOOKUP(KLU115,[13]AssetDetails_UEM!$A$3:$AH$1849,6,FALSE)</f>
        <v>Electrosurgical Units, Monopolar/Bipolar</v>
      </c>
      <c r="KLW115" s="196" t="s">
        <v>761</v>
      </c>
      <c r="KLX115" s="197" t="str">
        <f>VLOOKUP(KLW115,[13]AssetDetails_UEM!$A$3:$AH$1849,6,FALSE)</f>
        <v>Electrosurgical Units, Monopolar/Bipolar</v>
      </c>
      <c r="KLY115" s="196" t="s">
        <v>761</v>
      </c>
      <c r="KLZ115" s="197" t="str">
        <f>VLOOKUP(KLY115,[13]AssetDetails_UEM!$A$3:$AH$1849,6,FALSE)</f>
        <v>Electrosurgical Units, Monopolar/Bipolar</v>
      </c>
      <c r="KMA115" s="196" t="s">
        <v>761</v>
      </c>
      <c r="KMB115" s="197" t="str">
        <f>VLOOKUP(KMA115,[13]AssetDetails_UEM!$A$3:$AH$1849,6,FALSE)</f>
        <v>Electrosurgical Units, Monopolar/Bipolar</v>
      </c>
      <c r="KMC115" s="196" t="s">
        <v>761</v>
      </c>
      <c r="KMD115" s="197" t="str">
        <f>VLOOKUP(KMC115,[13]AssetDetails_UEM!$A$3:$AH$1849,6,FALSE)</f>
        <v>Electrosurgical Units, Monopolar/Bipolar</v>
      </c>
      <c r="KME115" s="196" t="s">
        <v>761</v>
      </c>
      <c r="KMF115" s="197" t="str">
        <f>VLOOKUP(KME115,[13]AssetDetails_UEM!$A$3:$AH$1849,6,FALSE)</f>
        <v>Electrosurgical Units, Monopolar/Bipolar</v>
      </c>
      <c r="KMG115" s="196" t="s">
        <v>761</v>
      </c>
      <c r="KMH115" s="197" t="str">
        <f>VLOOKUP(KMG115,[13]AssetDetails_UEM!$A$3:$AH$1849,6,FALSE)</f>
        <v>Electrosurgical Units, Monopolar/Bipolar</v>
      </c>
      <c r="KMI115" s="196" t="s">
        <v>761</v>
      </c>
      <c r="KMJ115" s="197" t="str">
        <f>VLOOKUP(KMI115,[13]AssetDetails_UEM!$A$3:$AH$1849,6,FALSE)</f>
        <v>Electrosurgical Units, Monopolar/Bipolar</v>
      </c>
      <c r="KMK115" s="196" t="s">
        <v>761</v>
      </c>
      <c r="KML115" s="197" t="str">
        <f>VLOOKUP(KMK115,[13]AssetDetails_UEM!$A$3:$AH$1849,6,FALSE)</f>
        <v>Electrosurgical Units, Monopolar/Bipolar</v>
      </c>
      <c r="KMM115" s="196" t="s">
        <v>761</v>
      </c>
      <c r="KMN115" s="197" t="str">
        <f>VLOOKUP(KMM115,[13]AssetDetails_UEM!$A$3:$AH$1849,6,FALSE)</f>
        <v>Electrosurgical Units, Monopolar/Bipolar</v>
      </c>
      <c r="KMO115" s="196" t="s">
        <v>761</v>
      </c>
      <c r="KMP115" s="197" t="str">
        <f>VLOOKUP(KMO115,[13]AssetDetails_UEM!$A$3:$AH$1849,6,FALSE)</f>
        <v>Electrosurgical Units, Monopolar/Bipolar</v>
      </c>
      <c r="KMQ115" s="196" t="s">
        <v>761</v>
      </c>
      <c r="KMR115" s="197" t="str">
        <f>VLOOKUP(KMQ115,[13]AssetDetails_UEM!$A$3:$AH$1849,6,FALSE)</f>
        <v>Electrosurgical Units, Monopolar/Bipolar</v>
      </c>
      <c r="KMS115" s="196" t="s">
        <v>761</v>
      </c>
      <c r="KMT115" s="197" t="str">
        <f>VLOOKUP(KMS115,[13]AssetDetails_UEM!$A$3:$AH$1849,6,FALSE)</f>
        <v>Electrosurgical Units, Monopolar/Bipolar</v>
      </c>
      <c r="KMU115" s="196" t="s">
        <v>761</v>
      </c>
      <c r="KMV115" s="197" t="str">
        <f>VLOOKUP(KMU115,[13]AssetDetails_UEM!$A$3:$AH$1849,6,FALSE)</f>
        <v>Electrosurgical Units, Monopolar/Bipolar</v>
      </c>
      <c r="KMW115" s="196" t="s">
        <v>761</v>
      </c>
      <c r="KMX115" s="197" t="str">
        <f>VLOOKUP(KMW115,[13]AssetDetails_UEM!$A$3:$AH$1849,6,FALSE)</f>
        <v>Electrosurgical Units, Monopolar/Bipolar</v>
      </c>
      <c r="KMY115" s="196" t="s">
        <v>761</v>
      </c>
      <c r="KMZ115" s="197" t="str">
        <f>VLOOKUP(KMY115,[13]AssetDetails_UEM!$A$3:$AH$1849,6,FALSE)</f>
        <v>Electrosurgical Units, Monopolar/Bipolar</v>
      </c>
      <c r="KNA115" s="196" t="s">
        <v>761</v>
      </c>
      <c r="KNB115" s="197" t="str">
        <f>VLOOKUP(KNA115,[13]AssetDetails_UEM!$A$3:$AH$1849,6,FALSE)</f>
        <v>Electrosurgical Units, Monopolar/Bipolar</v>
      </c>
      <c r="KNC115" s="196" t="s">
        <v>761</v>
      </c>
      <c r="KND115" s="197" t="str">
        <f>VLOOKUP(KNC115,[13]AssetDetails_UEM!$A$3:$AH$1849,6,FALSE)</f>
        <v>Electrosurgical Units, Monopolar/Bipolar</v>
      </c>
      <c r="KNE115" s="196" t="s">
        <v>761</v>
      </c>
      <c r="KNF115" s="197" t="str">
        <f>VLOOKUP(KNE115,[13]AssetDetails_UEM!$A$3:$AH$1849,6,FALSE)</f>
        <v>Electrosurgical Units, Monopolar/Bipolar</v>
      </c>
      <c r="KNG115" s="196" t="s">
        <v>761</v>
      </c>
      <c r="KNH115" s="197" t="str">
        <f>VLOOKUP(KNG115,[13]AssetDetails_UEM!$A$3:$AH$1849,6,FALSE)</f>
        <v>Electrosurgical Units, Monopolar/Bipolar</v>
      </c>
      <c r="KNI115" s="196" t="s">
        <v>761</v>
      </c>
      <c r="KNJ115" s="197" t="str">
        <f>VLOOKUP(KNI115,[13]AssetDetails_UEM!$A$3:$AH$1849,6,FALSE)</f>
        <v>Electrosurgical Units, Monopolar/Bipolar</v>
      </c>
      <c r="KNK115" s="196" t="s">
        <v>761</v>
      </c>
      <c r="KNL115" s="197" t="str">
        <f>VLOOKUP(KNK115,[13]AssetDetails_UEM!$A$3:$AH$1849,6,FALSE)</f>
        <v>Electrosurgical Units, Monopolar/Bipolar</v>
      </c>
      <c r="KNM115" s="196" t="s">
        <v>761</v>
      </c>
      <c r="KNN115" s="197" t="str">
        <f>VLOOKUP(KNM115,[13]AssetDetails_UEM!$A$3:$AH$1849,6,FALSE)</f>
        <v>Electrosurgical Units, Monopolar/Bipolar</v>
      </c>
      <c r="KNO115" s="196" t="s">
        <v>761</v>
      </c>
      <c r="KNP115" s="197" t="str">
        <f>VLOOKUP(KNO115,[13]AssetDetails_UEM!$A$3:$AH$1849,6,FALSE)</f>
        <v>Electrosurgical Units, Monopolar/Bipolar</v>
      </c>
      <c r="KNQ115" s="196" t="s">
        <v>761</v>
      </c>
      <c r="KNR115" s="197" t="str">
        <f>VLOOKUP(KNQ115,[13]AssetDetails_UEM!$A$3:$AH$1849,6,FALSE)</f>
        <v>Electrosurgical Units, Monopolar/Bipolar</v>
      </c>
      <c r="KNS115" s="196" t="s">
        <v>761</v>
      </c>
      <c r="KNT115" s="197" t="str">
        <f>VLOOKUP(KNS115,[13]AssetDetails_UEM!$A$3:$AH$1849,6,FALSE)</f>
        <v>Electrosurgical Units, Monopolar/Bipolar</v>
      </c>
      <c r="KNU115" s="196" t="s">
        <v>761</v>
      </c>
      <c r="KNV115" s="197" t="str">
        <f>VLOOKUP(KNU115,[13]AssetDetails_UEM!$A$3:$AH$1849,6,FALSE)</f>
        <v>Electrosurgical Units, Monopolar/Bipolar</v>
      </c>
      <c r="KNW115" s="196" t="s">
        <v>761</v>
      </c>
      <c r="KNX115" s="197" t="str">
        <f>VLOOKUP(KNW115,[13]AssetDetails_UEM!$A$3:$AH$1849,6,FALSE)</f>
        <v>Electrosurgical Units, Monopolar/Bipolar</v>
      </c>
      <c r="KNY115" s="196" t="s">
        <v>761</v>
      </c>
      <c r="KNZ115" s="197" t="str">
        <f>VLOOKUP(KNY115,[13]AssetDetails_UEM!$A$3:$AH$1849,6,FALSE)</f>
        <v>Electrosurgical Units, Monopolar/Bipolar</v>
      </c>
      <c r="KOA115" s="196" t="s">
        <v>761</v>
      </c>
      <c r="KOB115" s="197" t="str">
        <f>VLOOKUP(KOA115,[13]AssetDetails_UEM!$A$3:$AH$1849,6,FALSE)</f>
        <v>Electrosurgical Units, Monopolar/Bipolar</v>
      </c>
      <c r="KOC115" s="196" t="s">
        <v>761</v>
      </c>
      <c r="KOD115" s="197" t="str">
        <f>VLOOKUP(KOC115,[13]AssetDetails_UEM!$A$3:$AH$1849,6,FALSE)</f>
        <v>Electrosurgical Units, Monopolar/Bipolar</v>
      </c>
      <c r="KOE115" s="196" t="s">
        <v>761</v>
      </c>
      <c r="KOF115" s="197" t="str">
        <f>VLOOKUP(KOE115,[13]AssetDetails_UEM!$A$3:$AH$1849,6,FALSE)</f>
        <v>Electrosurgical Units, Monopolar/Bipolar</v>
      </c>
      <c r="KOG115" s="196" t="s">
        <v>761</v>
      </c>
      <c r="KOH115" s="197" t="str">
        <f>VLOOKUP(KOG115,[13]AssetDetails_UEM!$A$3:$AH$1849,6,FALSE)</f>
        <v>Electrosurgical Units, Monopolar/Bipolar</v>
      </c>
      <c r="KOI115" s="196" t="s">
        <v>761</v>
      </c>
      <c r="KOJ115" s="197" t="str">
        <f>VLOOKUP(KOI115,[13]AssetDetails_UEM!$A$3:$AH$1849,6,FALSE)</f>
        <v>Electrosurgical Units, Monopolar/Bipolar</v>
      </c>
      <c r="KOK115" s="196" t="s">
        <v>761</v>
      </c>
      <c r="KOL115" s="197" t="str">
        <f>VLOOKUP(KOK115,[13]AssetDetails_UEM!$A$3:$AH$1849,6,FALSE)</f>
        <v>Electrosurgical Units, Monopolar/Bipolar</v>
      </c>
      <c r="KOM115" s="196" t="s">
        <v>761</v>
      </c>
      <c r="KON115" s="197" t="str">
        <f>VLOOKUP(KOM115,[13]AssetDetails_UEM!$A$3:$AH$1849,6,FALSE)</f>
        <v>Electrosurgical Units, Monopolar/Bipolar</v>
      </c>
      <c r="KOO115" s="196" t="s">
        <v>761</v>
      </c>
      <c r="KOP115" s="197" t="str">
        <f>VLOOKUP(KOO115,[13]AssetDetails_UEM!$A$3:$AH$1849,6,FALSE)</f>
        <v>Electrosurgical Units, Monopolar/Bipolar</v>
      </c>
      <c r="KOQ115" s="196" t="s">
        <v>761</v>
      </c>
      <c r="KOR115" s="197" t="str">
        <f>VLOOKUP(KOQ115,[13]AssetDetails_UEM!$A$3:$AH$1849,6,FALSE)</f>
        <v>Electrosurgical Units, Monopolar/Bipolar</v>
      </c>
      <c r="KOS115" s="196" t="s">
        <v>761</v>
      </c>
      <c r="KOT115" s="197" t="str">
        <f>VLOOKUP(KOS115,[13]AssetDetails_UEM!$A$3:$AH$1849,6,FALSE)</f>
        <v>Electrosurgical Units, Monopolar/Bipolar</v>
      </c>
      <c r="KOU115" s="196" t="s">
        <v>761</v>
      </c>
      <c r="KOV115" s="197" t="str">
        <f>VLOOKUP(KOU115,[13]AssetDetails_UEM!$A$3:$AH$1849,6,FALSE)</f>
        <v>Electrosurgical Units, Monopolar/Bipolar</v>
      </c>
      <c r="KOW115" s="196" t="s">
        <v>761</v>
      </c>
      <c r="KOX115" s="197" t="str">
        <f>VLOOKUP(KOW115,[13]AssetDetails_UEM!$A$3:$AH$1849,6,FALSE)</f>
        <v>Electrosurgical Units, Monopolar/Bipolar</v>
      </c>
      <c r="KOY115" s="196" t="s">
        <v>761</v>
      </c>
      <c r="KOZ115" s="197" t="str">
        <f>VLOOKUP(KOY115,[13]AssetDetails_UEM!$A$3:$AH$1849,6,FALSE)</f>
        <v>Electrosurgical Units, Monopolar/Bipolar</v>
      </c>
      <c r="KPA115" s="196" t="s">
        <v>761</v>
      </c>
      <c r="KPB115" s="197" t="str">
        <f>VLOOKUP(KPA115,[13]AssetDetails_UEM!$A$3:$AH$1849,6,FALSE)</f>
        <v>Electrosurgical Units, Monopolar/Bipolar</v>
      </c>
      <c r="KPC115" s="196" t="s">
        <v>761</v>
      </c>
      <c r="KPD115" s="197" t="str">
        <f>VLOOKUP(KPC115,[13]AssetDetails_UEM!$A$3:$AH$1849,6,FALSE)</f>
        <v>Electrosurgical Units, Monopolar/Bipolar</v>
      </c>
      <c r="KPE115" s="196" t="s">
        <v>761</v>
      </c>
      <c r="KPF115" s="197" t="str">
        <f>VLOOKUP(KPE115,[13]AssetDetails_UEM!$A$3:$AH$1849,6,FALSE)</f>
        <v>Electrosurgical Units, Monopolar/Bipolar</v>
      </c>
      <c r="KPG115" s="196" t="s">
        <v>761</v>
      </c>
      <c r="KPH115" s="197" t="str">
        <f>VLOOKUP(KPG115,[13]AssetDetails_UEM!$A$3:$AH$1849,6,FALSE)</f>
        <v>Electrosurgical Units, Monopolar/Bipolar</v>
      </c>
      <c r="KPI115" s="196" t="s">
        <v>761</v>
      </c>
      <c r="KPJ115" s="197" t="str">
        <f>VLOOKUP(KPI115,[13]AssetDetails_UEM!$A$3:$AH$1849,6,FALSE)</f>
        <v>Electrosurgical Units, Monopolar/Bipolar</v>
      </c>
      <c r="KPK115" s="196" t="s">
        <v>761</v>
      </c>
      <c r="KPL115" s="197" t="str">
        <f>VLOOKUP(KPK115,[13]AssetDetails_UEM!$A$3:$AH$1849,6,FALSE)</f>
        <v>Electrosurgical Units, Monopolar/Bipolar</v>
      </c>
      <c r="KPM115" s="196" t="s">
        <v>761</v>
      </c>
      <c r="KPN115" s="197" t="str">
        <f>VLOOKUP(KPM115,[13]AssetDetails_UEM!$A$3:$AH$1849,6,FALSE)</f>
        <v>Electrosurgical Units, Monopolar/Bipolar</v>
      </c>
      <c r="KPO115" s="196" t="s">
        <v>761</v>
      </c>
      <c r="KPP115" s="197" t="str">
        <f>VLOOKUP(KPO115,[13]AssetDetails_UEM!$A$3:$AH$1849,6,FALSE)</f>
        <v>Electrosurgical Units, Monopolar/Bipolar</v>
      </c>
      <c r="KPQ115" s="196" t="s">
        <v>761</v>
      </c>
      <c r="KPR115" s="197" t="str">
        <f>VLOOKUP(KPQ115,[13]AssetDetails_UEM!$A$3:$AH$1849,6,FALSE)</f>
        <v>Electrosurgical Units, Monopolar/Bipolar</v>
      </c>
      <c r="KPS115" s="196" t="s">
        <v>761</v>
      </c>
      <c r="KPT115" s="197" t="str">
        <f>VLOOKUP(KPS115,[13]AssetDetails_UEM!$A$3:$AH$1849,6,FALSE)</f>
        <v>Electrosurgical Units, Monopolar/Bipolar</v>
      </c>
      <c r="KPU115" s="196" t="s">
        <v>761</v>
      </c>
      <c r="KPV115" s="197" t="str">
        <f>VLOOKUP(KPU115,[13]AssetDetails_UEM!$A$3:$AH$1849,6,FALSE)</f>
        <v>Electrosurgical Units, Monopolar/Bipolar</v>
      </c>
      <c r="KPW115" s="196" t="s">
        <v>761</v>
      </c>
      <c r="KPX115" s="197" t="str">
        <f>VLOOKUP(KPW115,[13]AssetDetails_UEM!$A$3:$AH$1849,6,FALSE)</f>
        <v>Electrosurgical Units, Monopolar/Bipolar</v>
      </c>
      <c r="KPY115" s="196" t="s">
        <v>761</v>
      </c>
      <c r="KPZ115" s="197" t="str">
        <f>VLOOKUP(KPY115,[13]AssetDetails_UEM!$A$3:$AH$1849,6,FALSE)</f>
        <v>Electrosurgical Units, Monopolar/Bipolar</v>
      </c>
      <c r="KQA115" s="196" t="s">
        <v>761</v>
      </c>
      <c r="KQB115" s="197" t="str">
        <f>VLOOKUP(KQA115,[13]AssetDetails_UEM!$A$3:$AH$1849,6,FALSE)</f>
        <v>Electrosurgical Units, Monopolar/Bipolar</v>
      </c>
      <c r="KQC115" s="196" t="s">
        <v>761</v>
      </c>
      <c r="KQD115" s="197" t="str">
        <f>VLOOKUP(KQC115,[13]AssetDetails_UEM!$A$3:$AH$1849,6,FALSE)</f>
        <v>Electrosurgical Units, Monopolar/Bipolar</v>
      </c>
      <c r="KQE115" s="196" t="s">
        <v>761</v>
      </c>
      <c r="KQF115" s="197" t="str">
        <f>VLOOKUP(KQE115,[13]AssetDetails_UEM!$A$3:$AH$1849,6,FALSE)</f>
        <v>Electrosurgical Units, Monopolar/Bipolar</v>
      </c>
      <c r="KQG115" s="196" t="s">
        <v>761</v>
      </c>
      <c r="KQH115" s="197" t="str">
        <f>VLOOKUP(KQG115,[13]AssetDetails_UEM!$A$3:$AH$1849,6,FALSE)</f>
        <v>Electrosurgical Units, Monopolar/Bipolar</v>
      </c>
      <c r="KQI115" s="196" t="s">
        <v>761</v>
      </c>
      <c r="KQJ115" s="197" t="str">
        <f>VLOOKUP(KQI115,[13]AssetDetails_UEM!$A$3:$AH$1849,6,FALSE)</f>
        <v>Electrosurgical Units, Monopolar/Bipolar</v>
      </c>
      <c r="KQK115" s="196" t="s">
        <v>761</v>
      </c>
      <c r="KQL115" s="197" t="str">
        <f>VLOOKUP(KQK115,[13]AssetDetails_UEM!$A$3:$AH$1849,6,FALSE)</f>
        <v>Electrosurgical Units, Monopolar/Bipolar</v>
      </c>
      <c r="KQM115" s="196" t="s">
        <v>761</v>
      </c>
      <c r="KQN115" s="197" t="str">
        <f>VLOOKUP(KQM115,[13]AssetDetails_UEM!$A$3:$AH$1849,6,FALSE)</f>
        <v>Electrosurgical Units, Monopolar/Bipolar</v>
      </c>
      <c r="KQO115" s="196" t="s">
        <v>761</v>
      </c>
      <c r="KQP115" s="197" t="str">
        <f>VLOOKUP(KQO115,[13]AssetDetails_UEM!$A$3:$AH$1849,6,FALSE)</f>
        <v>Electrosurgical Units, Monopolar/Bipolar</v>
      </c>
      <c r="KQQ115" s="196" t="s">
        <v>761</v>
      </c>
      <c r="KQR115" s="197" t="str">
        <f>VLOOKUP(KQQ115,[13]AssetDetails_UEM!$A$3:$AH$1849,6,FALSE)</f>
        <v>Electrosurgical Units, Monopolar/Bipolar</v>
      </c>
      <c r="KQS115" s="196" t="s">
        <v>761</v>
      </c>
      <c r="KQT115" s="197" t="str">
        <f>VLOOKUP(KQS115,[13]AssetDetails_UEM!$A$3:$AH$1849,6,FALSE)</f>
        <v>Electrosurgical Units, Monopolar/Bipolar</v>
      </c>
      <c r="KQU115" s="196" t="s">
        <v>761</v>
      </c>
      <c r="KQV115" s="197" t="str">
        <f>VLOOKUP(KQU115,[13]AssetDetails_UEM!$A$3:$AH$1849,6,FALSE)</f>
        <v>Electrosurgical Units, Monopolar/Bipolar</v>
      </c>
      <c r="KQW115" s="196" t="s">
        <v>761</v>
      </c>
      <c r="KQX115" s="197" t="str">
        <f>VLOOKUP(KQW115,[13]AssetDetails_UEM!$A$3:$AH$1849,6,FALSE)</f>
        <v>Electrosurgical Units, Monopolar/Bipolar</v>
      </c>
      <c r="KQY115" s="196" t="s">
        <v>761</v>
      </c>
      <c r="KQZ115" s="197" t="str">
        <f>VLOOKUP(KQY115,[13]AssetDetails_UEM!$A$3:$AH$1849,6,FALSE)</f>
        <v>Electrosurgical Units, Monopolar/Bipolar</v>
      </c>
      <c r="KRA115" s="196" t="s">
        <v>761</v>
      </c>
      <c r="KRB115" s="197" t="str">
        <f>VLOOKUP(KRA115,[13]AssetDetails_UEM!$A$3:$AH$1849,6,FALSE)</f>
        <v>Electrosurgical Units, Monopolar/Bipolar</v>
      </c>
      <c r="KRC115" s="196" t="s">
        <v>761</v>
      </c>
      <c r="KRD115" s="197" t="str">
        <f>VLOOKUP(KRC115,[13]AssetDetails_UEM!$A$3:$AH$1849,6,FALSE)</f>
        <v>Electrosurgical Units, Monopolar/Bipolar</v>
      </c>
      <c r="KRE115" s="196" t="s">
        <v>761</v>
      </c>
      <c r="KRF115" s="197" t="str">
        <f>VLOOKUP(KRE115,[13]AssetDetails_UEM!$A$3:$AH$1849,6,FALSE)</f>
        <v>Electrosurgical Units, Monopolar/Bipolar</v>
      </c>
      <c r="KRG115" s="196" t="s">
        <v>761</v>
      </c>
      <c r="KRH115" s="197" t="str">
        <f>VLOOKUP(KRG115,[13]AssetDetails_UEM!$A$3:$AH$1849,6,FALSE)</f>
        <v>Electrosurgical Units, Monopolar/Bipolar</v>
      </c>
      <c r="KRI115" s="196" t="s">
        <v>761</v>
      </c>
      <c r="KRJ115" s="197" t="str">
        <f>VLOOKUP(KRI115,[13]AssetDetails_UEM!$A$3:$AH$1849,6,FALSE)</f>
        <v>Electrosurgical Units, Monopolar/Bipolar</v>
      </c>
      <c r="KRK115" s="196" t="s">
        <v>761</v>
      </c>
      <c r="KRL115" s="197" t="str">
        <f>VLOOKUP(KRK115,[13]AssetDetails_UEM!$A$3:$AH$1849,6,FALSE)</f>
        <v>Electrosurgical Units, Monopolar/Bipolar</v>
      </c>
      <c r="KRM115" s="196" t="s">
        <v>761</v>
      </c>
      <c r="KRN115" s="197" t="str">
        <f>VLOOKUP(KRM115,[13]AssetDetails_UEM!$A$3:$AH$1849,6,FALSE)</f>
        <v>Electrosurgical Units, Monopolar/Bipolar</v>
      </c>
      <c r="KRO115" s="196" t="s">
        <v>761</v>
      </c>
      <c r="KRP115" s="197" t="str">
        <f>VLOOKUP(KRO115,[13]AssetDetails_UEM!$A$3:$AH$1849,6,FALSE)</f>
        <v>Electrosurgical Units, Monopolar/Bipolar</v>
      </c>
      <c r="KRQ115" s="196" t="s">
        <v>761</v>
      </c>
      <c r="KRR115" s="197" t="str">
        <f>VLOOKUP(KRQ115,[13]AssetDetails_UEM!$A$3:$AH$1849,6,FALSE)</f>
        <v>Electrosurgical Units, Monopolar/Bipolar</v>
      </c>
      <c r="KRS115" s="196" t="s">
        <v>761</v>
      </c>
      <c r="KRT115" s="197" t="str">
        <f>VLOOKUP(KRS115,[13]AssetDetails_UEM!$A$3:$AH$1849,6,FALSE)</f>
        <v>Electrosurgical Units, Monopolar/Bipolar</v>
      </c>
      <c r="KRU115" s="196" t="s">
        <v>761</v>
      </c>
      <c r="KRV115" s="197" t="str">
        <f>VLOOKUP(KRU115,[13]AssetDetails_UEM!$A$3:$AH$1849,6,FALSE)</f>
        <v>Electrosurgical Units, Monopolar/Bipolar</v>
      </c>
      <c r="KRW115" s="196" t="s">
        <v>761</v>
      </c>
      <c r="KRX115" s="197" t="str">
        <f>VLOOKUP(KRW115,[13]AssetDetails_UEM!$A$3:$AH$1849,6,FALSE)</f>
        <v>Electrosurgical Units, Monopolar/Bipolar</v>
      </c>
      <c r="KRY115" s="196" t="s">
        <v>761</v>
      </c>
      <c r="KRZ115" s="197" t="str">
        <f>VLOOKUP(KRY115,[13]AssetDetails_UEM!$A$3:$AH$1849,6,FALSE)</f>
        <v>Electrosurgical Units, Monopolar/Bipolar</v>
      </c>
      <c r="KSA115" s="196" t="s">
        <v>761</v>
      </c>
      <c r="KSB115" s="197" t="str">
        <f>VLOOKUP(KSA115,[13]AssetDetails_UEM!$A$3:$AH$1849,6,FALSE)</f>
        <v>Electrosurgical Units, Monopolar/Bipolar</v>
      </c>
      <c r="KSC115" s="196" t="s">
        <v>761</v>
      </c>
      <c r="KSD115" s="197" t="str">
        <f>VLOOKUP(KSC115,[13]AssetDetails_UEM!$A$3:$AH$1849,6,FALSE)</f>
        <v>Electrosurgical Units, Monopolar/Bipolar</v>
      </c>
      <c r="KSE115" s="196" t="s">
        <v>761</v>
      </c>
      <c r="KSF115" s="197" t="str">
        <f>VLOOKUP(KSE115,[13]AssetDetails_UEM!$A$3:$AH$1849,6,FALSE)</f>
        <v>Electrosurgical Units, Monopolar/Bipolar</v>
      </c>
      <c r="KSG115" s="196" t="s">
        <v>761</v>
      </c>
      <c r="KSH115" s="197" t="str">
        <f>VLOOKUP(KSG115,[13]AssetDetails_UEM!$A$3:$AH$1849,6,FALSE)</f>
        <v>Electrosurgical Units, Monopolar/Bipolar</v>
      </c>
      <c r="KSI115" s="196" t="s">
        <v>761</v>
      </c>
      <c r="KSJ115" s="197" t="str">
        <f>VLOOKUP(KSI115,[13]AssetDetails_UEM!$A$3:$AH$1849,6,FALSE)</f>
        <v>Electrosurgical Units, Monopolar/Bipolar</v>
      </c>
      <c r="KSK115" s="196" t="s">
        <v>761</v>
      </c>
      <c r="KSL115" s="197" t="str">
        <f>VLOOKUP(KSK115,[13]AssetDetails_UEM!$A$3:$AH$1849,6,FALSE)</f>
        <v>Electrosurgical Units, Monopolar/Bipolar</v>
      </c>
      <c r="KSM115" s="196" t="s">
        <v>761</v>
      </c>
      <c r="KSN115" s="197" t="str">
        <f>VLOOKUP(KSM115,[13]AssetDetails_UEM!$A$3:$AH$1849,6,FALSE)</f>
        <v>Electrosurgical Units, Monopolar/Bipolar</v>
      </c>
      <c r="KSO115" s="196" t="s">
        <v>761</v>
      </c>
      <c r="KSP115" s="197" t="str">
        <f>VLOOKUP(KSO115,[13]AssetDetails_UEM!$A$3:$AH$1849,6,FALSE)</f>
        <v>Electrosurgical Units, Monopolar/Bipolar</v>
      </c>
      <c r="KSQ115" s="196" t="s">
        <v>761</v>
      </c>
      <c r="KSR115" s="197" t="str">
        <f>VLOOKUP(KSQ115,[13]AssetDetails_UEM!$A$3:$AH$1849,6,FALSE)</f>
        <v>Electrosurgical Units, Monopolar/Bipolar</v>
      </c>
      <c r="KSS115" s="196" t="s">
        <v>761</v>
      </c>
      <c r="KST115" s="197" t="str">
        <f>VLOOKUP(KSS115,[13]AssetDetails_UEM!$A$3:$AH$1849,6,FALSE)</f>
        <v>Electrosurgical Units, Monopolar/Bipolar</v>
      </c>
      <c r="KSU115" s="196" t="s">
        <v>761</v>
      </c>
      <c r="KSV115" s="197" t="str">
        <f>VLOOKUP(KSU115,[13]AssetDetails_UEM!$A$3:$AH$1849,6,FALSE)</f>
        <v>Electrosurgical Units, Monopolar/Bipolar</v>
      </c>
      <c r="KSW115" s="196" t="s">
        <v>761</v>
      </c>
      <c r="KSX115" s="197" t="str">
        <f>VLOOKUP(KSW115,[13]AssetDetails_UEM!$A$3:$AH$1849,6,FALSE)</f>
        <v>Electrosurgical Units, Monopolar/Bipolar</v>
      </c>
      <c r="KSY115" s="196" t="s">
        <v>761</v>
      </c>
      <c r="KSZ115" s="197" t="str">
        <f>VLOOKUP(KSY115,[13]AssetDetails_UEM!$A$3:$AH$1849,6,FALSE)</f>
        <v>Electrosurgical Units, Monopolar/Bipolar</v>
      </c>
      <c r="KTA115" s="196" t="s">
        <v>761</v>
      </c>
      <c r="KTB115" s="197" t="str">
        <f>VLOOKUP(KTA115,[13]AssetDetails_UEM!$A$3:$AH$1849,6,FALSE)</f>
        <v>Electrosurgical Units, Monopolar/Bipolar</v>
      </c>
      <c r="KTC115" s="196" t="s">
        <v>761</v>
      </c>
      <c r="KTD115" s="197" t="str">
        <f>VLOOKUP(KTC115,[13]AssetDetails_UEM!$A$3:$AH$1849,6,FALSE)</f>
        <v>Electrosurgical Units, Monopolar/Bipolar</v>
      </c>
      <c r="KTE115" s="196" t="s">
        <v>761</v>
      </c>
      <c r="KTF115" s="197" t="str">
        <f>VLOOKUP(KTE115,[13]AssetDetails_UEM!$A$3:$AH$1849,6,FALSE)</f>
        <v>Electrosurgical Units, Monopolar/Bipolar</v>
      </c>
      <c r="KTG115" s="196" t="s">
        <v>761</v>
      </c>
      <c r="KTH115" s="197" t="str">
        <f>VLOOKUP(KTG115,[13]AssetDetails_UEM!$A$3:$AH$1849,6,FALSE)</f>
        <v>Electrosurgical Units, Monopolar/Bipolar</v>
      </c>
      <c r="KTI115" s="196" t="s">
        <v>761</v>
      </c>
      <c r="KTJ115" s="197" t="str">
        <f>VLOOKUP(KTI115,[13]AssetDetails_UEM!$A$3:$AH$1849,6,FALSE)</f>
        <v>Electrosurgical Units, Monopolar/Bipolar</v>
      </c>
      <c r="KTK115" s="196" t="s">
        <v>761</v>
      </c>
      <c r="KTL115" s="197" t="str">
        <f>VLOOKUP(KTK115,[13]AssetDetails_UEM!$A$3:$AH$1849,6,FALSE)</f>
        <v>Electrosurgical Units, Monopolar/Bipolar</v>
      </c>
      <c r="KTM115" s="196" t="s">
        <v>761</v>
      </c>
      <c r="KTN115" s="197" t="str">
        <f>VLOOKUP(KTM115,[13]AssetDetails_UEM!$A$3:$AH$1849,6,FALSE)</f>
        <v>Electrosurgical Units, Monopolar/Bipolar</v>
      </c>
      <c r="KTO115" s="196" t="s">
        <v>761</v>
      </c>
      <c r="KTP115" s="197" t="str">
        <f>VLOOKUP(KTO115,[13]AssetDetails_UEM!$A$3:$AH$1849,6,FALSE)</f>
        <v>Electrosurgical Units, Monopolar/Bipolar</v>
      </c>
      <c r="KTQ115" s="196" t="s">
        <v>761</v>
      </c>
      <c r="KTR115" s="197" t="str">
        <f>VLOOKUP(KTQ115,[13]AssetDetails_UEM!$A$3:$AH$1849,6,FALSE)</f>
        <v>Electrosurgical Units, Monopolar/Bipolar</v>
      </c>
      <c r="KTS115" s="196" t="s">
        <v>761</v>
      </c>
      <c r="KTT115" s="197" t="str">
        <f>VLOOKUP(KTS115,[13]AssetDetails_UEM!$A$3:$AH$1849,6,FALSE)</f>
        <v>Electrosurgical Units, Monopolar/Bipolar</v>
      </c>
      <c r="KTU115" s="196" t="s">
        <v>761</v>
      </c>
      <c r="KTV115" s="197" t="str">
        <f>VLOOKUP(KTU115,[13]AssetDetails_UEM!$A$3:$AH$1849,6,FALSE)</f>
        <v>Electrosurgical Units, Monopolar/Bipolar</v>
      </c>
      <c r="KTW115" s="196" t="s">
        <v>761</v>
      </c>
      <c r="KTX115" s="197" t="str">
        <f>VLOOKUP(KTW115,[13]AssetDetails_UEM!$A$3:$AH$1849,6,FALSE)</f>
        <v>Electrosurgical Units, Monopolar/Bipolar</v>
      </c>
      <c r="KTY115" s="196" t="s">
        <v>761</v>
      </c>
      <c r="KTZ115" s="197" t="str">
        <f>VLOOKUP(KTY115,[13]AssetDetails_UEM!$A$3:$AH$1849,6,FALSE)</f>
        <v>Electrosurgical Units, Monopolar/Bipolar</v>
      </c>
      <c r="KUA115" s="196" t="s">
        <v>761</v>
      </c>
      <c r="KUB115" s="197" t="str">
        <f>VLOOKUP(KUA115,[13]AssetDetails_UEM!$A$3:$AH$1849,6,FALSE)</f>
        <v>Electrosurgical Units, Monopolar/Bipolar</v>
      </c>
      <c r="KUC115" s="196" t="s">
        <v>761</v>
      </c>
      <c r="KUD115" s="197" t="str">
        <f>VLOOKUP(KUC115,[13]AssetDetails_UEM!$A$3:$AH$1849,6,FALSE)</f>
        <v>Electrosurgical Units, Monopolar/Bipolar</v>
      </c>
      <c r="KUE115" s="196" t="s">
        <v>761</v>
      </c>
      <c r="KUF115" s="197" t="str">
        <f>VLOOKUP(KUE115,[13]AssetDetails_UEM!$A$3:$AH$1849,6,FALSE)</f>
        <v>Electrosurgical Units, Monopolar/Bipolar</v>
      </c>
      <c r="KUG115" s="196" t="s">
        <v>761</v>
      </c>
      <c r="KUH115" s="197" t="str">
        <f>VLOOKUP(KUG115,[13]AssetDetails_UEM!$A$3:$AH$1849,6,FALSE)</f>
        <v>Electrosurgical Units, Monopolar/Bipolar</v>
      </c>
      <c r="KUI115" s="196" t="s">
        <v>761</v>
      </c>
      <c r="KUJ115" s="197" t="str">
        <f>VLOOKUP(KUI115,[13]AssetDetails_UEM!$A$3:$AH$1849,6,FALSE)</f>
        <v>Electrosurgical Units, Monopolar/Bipolar</v>
      </c>
      <c r="KUK115" s="196" t="s">
        <v>761</v>
      </c>
      <c r="KUL115" s="197" t="str">
        <f>VLOOKUP(KUK115,[13]AssetDetails_UEM!$A$3:$AH$1849,6,FALSE)</f>
        <v>Electrosurgical Units, Monopolar/Bipolar</v>
      </c>
      <c r="KUM115" s="196" t="s">
        <v>761</v>
      </c>
      <c r="KUN115" s="197" t="str">
        <f>VLOOKUP(KUM115,[13]AssetDetails_UEM!$A$3:$AH$1849,6,FALSE)</f>
        <v>Electrosurgical Units, Monopolar/Bipolar</v>
      </c>
      <c r="KUO115" s="196" t="s">
        <v>761</v>
      </c>
      <c r="KUP115" s="197" t="str">
        <f>VLOOKUP(KUO115,[13]AssetDetails_UEM!$A$3:$AH$1849,6,FALSE)</f>
        <v>Electrosurgical Units, Monopolar/Bipolar</v>
      </c>
      <c r="KUQ115" s="196" t="s">
        <v>761</v>
      </c>
      <c r="KUR115" s="197" t="str">
        <f>VLOOKUP(KUQ115,[13]AssetDetails_UEM!$A$3:$AH$1849,6,FALSE)</f>
        <v>Electrosurgical Units, Monopolar/Bipolar</v>
      </c>
      <c r="KUS115" s="196" t="s">
        <v>761</v>
      </c>
      <c r="KUT115" s="197" t="str">
        <f>VLOOKUP(KUS115,[13]AssetDetails_UEM!$A$3:$AH$1849,6,FALSE)</f>
        <v>Electrosurgical Units, Monopolar/Bipolar</v>
      </c>
      <c r="KUU115" s="196" t="s">
        <v>761</v>
      </c>
      <c r="KUV115" s="197" t="str">
        <f>VLOOKUP(KUU115,[13]AssetDetails_UEM!$A$3:$AH$1849,6,FALSE)</f>
        <v>Electrosurgical Units, Monopolar/Bipolar</v>
      </c>
      <c r="KUW115" s="196" t="s">
        <v>761</v>
      </c>
      <c r="KUX115" s="197" t="str">
        <f>VLOOKUP(KUW115,[13]AssetDetails_UEM!$A$3:$AH$1849,6,FALSE)</f>
        <v>Electrosurgical Units, Monopolar/Bipolar</v>
      </c>
      <c r="KUY115" s="196" t="s">
        <v>761</v>
      </c>
      <c r="KUZ115" s="197" t="str">
        <f>VLOOKUP(KUY115,[13]AssetDetails_UEM!$A$3:$AH$1849,6,FALSE)</f>
        <v>Electrosurgical Units, Monopolar/Bipolar</v>
      </c>
      <c r="KVA115" s="196" t="s">
        <v>761</v>
      </c>
      <c r="KVB115" s="197" t="str">
        <f>VLOOKUP(KVA115,[13]AssetDetails_UEM!$A$3:$AH$1849,6,FALSE)</f>
        <v>Electrosurgical Units, Monopolar/Bipolar</v>
      </c>
      <c r="KVC115" s="196" t="s">
        <v>761</v>
      </c>
      <c r="KVD115" s="197" t="str">
        <f>VLOOKUP(KVC115,[13]AssetDetails_UEM!$A$3:$AH$1849,6,FALSE)</f>
        <v>Electrosurgical Units, Monopolar/Bipolar</v>
      </c>
      <c r="KVE115" s="196" t="s">
        <v>761</v>
      </c>
      <c r="KVF115" s="197" t="str">
        <f>VLOOKUP(KVE115,[13]AssetDetails_UEM!$A$3:$AH$1849,6,FALSE)</f>
        <v>Electrosurgical Units, Monopolar/Bipolar</v>
      </c>
      <c r="KVG115" s="196" t="s">
        <v>761</v>
      </c>
      <c r="KVH115" s="197" t="str">
        <f>VLOOKUP(KVG115,[13]AssetDetails_UEM!$A$3:$AH$1849,6,FALSE)</f>
        <v>Electrosurgical Units, Monopolar/Bipolar</v>
      </c>
      <c r="KVI115" s="196" t="s">
        <v>761</v>
      </c>
      <c r="KVJ115" s="197" t="str">
        <f>VLOOKUP(KVI115,[13]AssetDetails_UEM!$A$3:$AH$1849,6,FALSE)</f>
        <v>Electrosurgical Units, Monopolar/Bipolar</v>
      </c>
      <c r="KVK115" s="196" t="s">
        <v>761</v>
      </c>
      <c r="KVL115" s="197" t="str">
        <f>VLOOKUP(KVK115,[13]AssetDetails_UEM!$A$3:$AH$1849,6,FALSE)</f>
        <v>Electrosurgical Units, Monopolar/Bipolar</v>
      </c>
      <c r="KVM115" s="196" t="s">
        <v>761</v>
      </c>
      <c r="KVN115" s="197" t="str">
        <f>VLOOKUP(KVM115,[13]AssetDetails_UEM!$A$3:$AH$1849,6,FALSE)</f>
        <v>Electrosurgical Units, Monopolar/Bipolar</v>
      </c>
      <c r="KVO115" s="196" t="s">
        <v>761</v>
      </c>
      <c r="KVP115" s="197" t="str">
        <f>VLOOKUP(KVO115,[13]AssetDetails_UEM!$A$3:$AH$1849,6,FALSE)</f>
        <v>Electrosurgical Units, Monopolar/Bipolar</v>
      </c>
      <c r="KVQ115" s="196" t="s">
        <v>761</v>
      </c>
      <c r="KVR115" s="197" t="str">
        <f>VLOOKUP(KVQ115,[13]AssetDetails_UEM!$A$3:$AH$1849,6,FALSE)</f>
        <v>Electrosurgical Units, Monopolar/Bipolar</v>
      </c>
      <c r="KVS115" s="196" t="s">
        <v>761</v>
      </c>
      <c r="KVT115" s="197" t="str">
        <f>VLOOKUP(KVS115,[13]AssetDetails_UEM!$A$3:$AH$1849,6,FALSE)</f>
        <v>Electrosurgical Units, Monopolar/Bipolar</v>
      </c>
      <c r="KVU115" s="196" t="s">
        <v>761</v>
      </c>
      <c r="KVV115" s="197" t="str">
        <f>VLOOKUP(KVU115,[13]AssetDetails_UEM!$A$3:$AH$1849,6,FALSE)</f>
        <v>Electrosurgical Units, Monopolar/Bipolar</v>
      </c>
      <c r="KVW115" s="196" t="s">
        <v>761</v>
      </c>
      <c r="KVX115" s="197" t="str">
        <f>VLOOKUP(KVW115,[13]AssetDetails_UEM!$A$3:$AH$1849,6,FALSE)</f>
        <v>Electrosurgical Units, Monopolar/Bipolar</v>
      </c>
      <c r="KVY115" s="196" t="s">
        <v>761</v>
      </c>
      <c r="KVZ115" s="197" t="str">
        <f>VLOOKUP(KVY115,[13]AssetDetails_UEM!$A$3:$AH$1849,6,FALSE)</f>
        <v>Electrosurgical Units, Monopolar/Bipolar</v>
      </c>
      <c r="KWA115" s="196" t="s">
        <v>761</v>
      </c>
      <c r="KWB115" s="197" t="str">
        <f>VLOOKUP(KWA115,[13]AssetDetails_UEM!$A$3:$AH$1849,6,FALSE)</f>
        <v>Electrosurgical Units, Monopolar/Bipolar</v>
      </c>
      <c r="KWC115" s="196" t="s">
        <v>761</v>
      </c>
      <c r="KWD115" s="197" t="str">
        <f>VLOOKUP(KWC115,[13]AssetDetails_UEM!$A$3:$AH$1849,6,FALSE)</f>
        <v>Electrosurgical Units, Monopolar/Bipolar</v>
      </c>
      <c r="KWE115" s="196" t="s">
        <v>761</v>
      </c>
      <c r="KWF115" s="197" t="str">
        <f>VLOOKUP(KWE115,[13]AssetDetails_UEM!$A$3:$AH$1849,6,FALSE)</f>
        <v>Electrosurgical Units, Monopolar/Bipolar</v>
      </c>
      <c r="KWG115" s="196" t="s">
        <v>761</v>
      </c>
      <c r="KWH115" s="197" t="str">
        <f>VLOOKUP(KWG115,[13]AssetDetails_UEM!$A$3:$AH$1849,6,FALSE)</f>
        <v>Electrosurgical Units, Monopolar/Bipolar</v>
      </c>
      <c r="KWI115" s="196" t="s">
        <v>761</v>
      </c>
      <c r="KWJ115" s="197" t="str">
        <f>VLOOKUP(KWI115,[13]AssetDetails_UEM!$A$3:$AH$1849,6,FALSE)</f>
        <v>Electrosurgical Units, Monopolar/Bipolar</v>
      </c>
      <c r="KWK115" s="196" t="s">
        <v>761</v>
      </c>
      <c r="KWL115" s="197" t="str">
        <f>VLOOKUP(KWK115,[13]AssetDetails_UEM!$A$3:$AH$1849,6,FALSE)</f>
        <v>Electrosurgical Units, Monopolar/Bipolar</v>
      </c>
      <c r="KWM115" s="196" t="s">
        <v>761</v>
      </c>
      <c r="KWN115" s="197" t="str">
        <f>VLOOKUP(KWM115,[13]AssetDetails_UEM!$A$3:$AH$1849,6,FALSE)</f>
        <v>Electrosurgical Units, Monopolar/Bipolar</v>
      </c>
      <c r="KWO115" s="196" t="s">
        <v>761</v>
      </c>
      <c r="KWP115" s="197" t="str">
        <f>VLOOKUP(KWO115,[13]AssetDetails_UEM!$A$3:$AH$1849,6,FALSE)</f>
        <v>Electrosurgical Units, Monopolar/Bipolar</v>
      </c>
      <c r="KWQ115" s="196" t="s">
        <v>761</v>
      </c>
      <c r="KWR115" s="197" t="str">
        <f>VLOOKUP(KWQ115,[13]AssetDetails_UEM!$A$3:$AH$1849,6,FALSE)</f>
        <v>Electrosurgical Units, Monopolar/Bipolar</v>
      </c>
      <c r="KWS115" s="196" t="s">
        <v>761</v>
      </c>
      <c r="KWT115" s="197" t="str">
        <f>VLOOKUP(KWS115,[13]AssetDetails_UEM!$A$3:$AH$1849,6,FALSE)</f>
        <v>Electrosurgical Units, Monopolar/Bipolar</v>
      </c>
      <c r="KWU115" s="196" t="s">
        <v>761</v>
      </c>
      <c r="KWV115" s="197" t="str">
        <f>VLOOKUP(KWU115,[13]AssetDetails_UEM!$A$3:$AH$1849,6,FALSE)</f>
        <v>Electrosurgical Units, Monopolar/Bipolar</v>
      </c>
      <c r="KWW115" s="196" t="s">
        <v>761</v>
      </c>
      <c r="KWX115" s="197" t="str">
        <f>VLOOKUP(KWW115,[13]AssetDetails_UEM!$A$3:$AH$1849,6,FALSE)</f>
        <v>Electrosurgical Units, Monopolar/Bipolar</v>
      </c>
      <c r="KWY115" s="196" t="s">
        <v>761</v>
      </c>
      <c r="KWZ115" s="197" t="str">
        <f>VLOOKUP(KWY115,[13]AssetDetails_UEM!$A$3:$AH$1849,6,FALSE)</f>
        <v>Electrosurgical Units, Monopolar/Bipolar</v>
      </c>
      <c r="KXA115" s="196" t="s">
        <v>761</v>
      </c>
      <c r="KXB115" s="197" t="str">
        <f>VLOOKUP(KXA115,[13]AssetDetails_UEM!$A$3:$AH$1849,6,FALSE)</f>
        <v>Electrosurgical Units, Monopolar/Bipolar</v>
      </c>
      <c r="KXC115" s="196" t="s">
        <v>761</v>
      </c>
      <c r="KXD115" s="197" t="str">
        <f>VLOOKUP(KXC115,[13]AssetDetails_UEM!$A$3:$AH$1849,6,FALSE)</f>
        <v>Electrosurgical Units, Monopolar/Bipolar</v>
      </c>
      <c r="KXE115" s="196" t="s">
        <v>761</v>
      </c>
      <c r="KXF115" s="197" t="str">
        <f>VLOOKUP(KXE115,[13]AssetDetails_UEM!$A$3:$AH$1849,6,FALSE)</f>
        <v>Electrosurgical Units, Monopolar/Bipolar</v>
      </c>
      <c r="KXG115" s="196" t="s">
        <v>761</v>
      </c>
      <c r="KXH115" s="197" t="str">
        <f>VLOOKUP(KXG115,[13]AssetDetails_UEM!$A$3:$AH$1849,6,FALSE)</f>
        <v>Electrosurgical Units, Monopolar/Bipolar</v>
      </c>
      <c r="KXI115" s="196" t="s">
        <v>761</v>
      </c>
      <c r="KXJ115" s="197" t="str">
        <f>VLOOKUP(KXI115,[13]AssetDetails_UEM!$A$3:$AH$1849,6,FALSE)</f>
        <v>Electrosurgical Units, Monopolar/Bipolar</v>
      </c>
      <c r="KXK115" s="196" t="s">
        <v>761</v>
      </c>
      <c r="KXL115" s="197" t="str">
        <f>VLOOKUP(KXK115,[13]AssetDetails_UEM!$A$3:$AH$1849,6,FALSE)</f>
        <v>Electrosurgical Units, Monopolar/Bipolar</v>
      </c>
      <c r="KXM115" s="196" t="s">
        <v>761</v>
      </c>
      <c r="KXN115" s="197" t="str">
        <f>VLOOKUP(KXM115,[13]AssetDetails_UEM!$A$3:$AH$1849,6,FALSE)</f>
        <v>Electrosurgical Units, Monopolar/Bipolar</v>
      </c>
      <c r="KXO115" s="196" t="s">
        <v>761</v>
      </c>
      <c r="KXP115" s="197" t="str">
        <f>VLOOKUP(KXO115,[13]AssetDetails_UEM!$A$3:$AH$1849,6,FALSE)</f>
        <v>Electrosurgical Units, Monopolar/Bipolar</v>
      </c>
      <c r="KXQ115" s="196" t="s">
        <v>761</v>
      </c>
      <c r="KXR115" s="197" t="str">
        <f>VLOOKUP(KXQ115,[13]AssetDetails_UEM!$A$3:$AH$1849,6,FALSE)</f>
        <v>Electrosurgical Units, Monopolar/Bipolar</v>
      </c>
      <c r="KXS115" s="196" t="s">
        <v>761</v>
      </c>
      <c r="KXT115" s="197" t="str">
        <f>VLOOKUP(KXS115,[13]AssetDetails_UEM!$A$3:$AH$1849,6,FALSE)</f>
        <v>Electrosurgical Units, Monopolar/Bipolar</v>
      </c>
      <c r="KXU115" s="196" t="s">
        <v>761</v>
      </c>
      <c r="KXV115" s="197" t="str">
        <f>VLOOKUP(KXU115,[13]AssetDetails_UEM!$A$3:$AH$1849,6,FALSE)</f>
        <v>Electrosurgical Units, Monopolar/Bipolar</v>
      </c>
      <c r="KXW115" s="196" t="s">
        <v>761</v>
      </c>
      <c r="KXX115" s="197" t="str">
        <f>VLOOKUP(KXW115,[13]AssetDetails_UEM!$A$3:$AH$1849,6,FALSE)</f>
        <v>Electrosurgical Units, Monopolar/Bipolar</v>
      </c>
      <c r="KXY115" s="196" t="s">
        <v>761</v>
      </c>
      <c r="KXZ115" s="197" t="str">
        <f>VLOOKUP(KXY115,[13]AssetDetails_UEM!$A$3:$AH$1849,6,FALSE)</f>
        <v>Electrosurgical Units, Monopolar/Bipolar</v>
      </c>
      <c r="KYA115" s="196" t="s">
        <v>761</v>
      </c>
      <c r="KYB115" s="197" t="str">
        <f>VLOOKUP(KYA115,[13]AssetDetails_UEM!$A$3:$AH$1849,6,FALSE)</f>
        <v>Electrosurgical Units, Monopolar/Bipolar</v>
      </c>
      <c r="KYC115" s="196" t="s">
        <v>761</v>
      </c>
      <c r="KYD115" s="197" t="str">
        <f>VLOOKUP(KYC115,[13]AssetDetails_UEM!$A$3:$AH$1849,6,FALSE)</f>
        <v>Electrosurgical Units, Monopolar/Bipolar</v>
      </c>
      <c r="KYE115" s="196" t="s">
        <v>761</v>
      </c>
      <c r="KYF115" s="197" t="str">
        <f>VLOOKUP(KYE115,[13]AssetDetails_UEM!$A$3:$AH$1849,6,FALSE)</f>
        <v>Electrosurgical Units, Monopolar/Bipolar</v>
      </c>
      <c r="KYG115" s="196" t="s">
        <v>761</v>
      </c>
      <c r="KYH115" s="197" t="str">
        <f>VLOOKUP(KYG115,[13]AssetDetails_UEM!$A$3:$AH$1849,6,FALSE)</f>
        <v>Electrosurgical Units, Monopolar/Bipolar</v>
      </c>
      <c r="KYI115" s="196" t="s">
        <v>761</v>
      </c>
      <c r="KYJ115" s="197" t="str">
        <f>VLOOKUP(KYI115,[13]AssetDetails_UEM!$A$3:$AH$1849,6,FALSE)</f>
        <v>Electrosurgical Units, Monopolar/Bipolar</v>
      </c>
      <c r="KYK115" s="196" t="s">
        <v>761</v>
      </c>
      <c r="KYL115" s="197" t="str">
        <f>VLOOKUP(KYK115,[13]AssetDetails_UEM!$A$3:$AH$1849,6,FALSE)</f>
        <v>Electrosurgical Units, Monopolar/Bipolar</v>
      </c>
      <c r="KYM115" s="196" t="s">
        <v>761</v>
      </c>
      <c r="KYN115" s="197" t="str">
        <f>VLOOKUP(KYM115,[13]AssetDetails_UEM!$A$3:$AH$1849,6,FALSE)</f>
        <v>Electrosurgical Units, Monopolar/Bipolar</v>
      </c>
      <c r="KYO115" s="196" t="s">
        <v>761</v>
      </c>
      <c r="KYP115" s="197" t="str">
        <f>VLOOKUP(KYO115,[13]AssetDetails_UEM!$A$3:$AH$1849,6,FALSE)</f>
        <v>Electrosurgical Units, Monopolar/Bipolar</v>
      </c>
      <c r="KYQ115" s="196" t="s">
        <v>761</v>
      </c>
      <c r="KYR115" s="197" t="str">
        <f>VLOOKUP(KYQ115,[13]AssetDetails_UEM!$A$3:$AH$1849,6,FALSE)</f>
        <v>Electrosurgical Units, Monopolar/Bipolar</v>
      </c>
      <c r="KYS115" s="196" t="s">
        <v>761</v>
      </c>
      <c r="KYT115" s="197" t="str">
        <f>VLOOKUP(KYS115,[13]AssetDetails_UEM!$A$3:$AH$1849,6,FALSE)</f>
        <v>Electrosurgical Units, Monopolar/Bipolar</v>
      </c>
      <c r="KYU115" s="196" t="s">
        <v>761</v>
      </c>
      <c r="KYV115" s="197" t="str">
        <f>VLOOKUP(KYU115,[13]AssetDetails_UEM!$A$3:$AH$1849,6,FALSE)</f>
        <v>Electrosurgical Units, Monopolar/Bipolar</v>
      </c>
      <c r="KYW115" s="196" t="s">
        <v>761</v>
      </c>
      <c r="KYX115" s="197" t="str">
        <f>VLOOKUP(KYW115,[13]AssetDetails_UEM!$A$3:$AH$1849,6,FALSE)</f>
        <v>Electrosurgical Units, Monopolar/Bipolar</v>
      </c>
      <c r="KYY115" s="196" t="s">
        <v>761</v>
      </c>
      <c r="KYZ115" s="197" t="str">
        <f>VLOOKUP(KYY115,[13]AssetDetails_UEM!$A$3:$AH$1849,6,FALSE)</f>
        <v>Electrosurgical Units, Monopolar/Bipolar</v>
      </c>
      <c r="KZA115" s="196" t="s">
        <v>761</v>
      </c>
      <c r="KZB115" s="197" t="str">
        <f>VLOOKUP(KZA115,[13]AssetDetails_UEM!$A$3:$AH$1849,6,FALSE)</f>
        <v>Electrosurgical Units, Monopolar/Bipolar</v>
      </c>
      <c r="KZC115" s="196" t="s">
        <v>761</v>
      </c>
      <c r="KZD115" s="197" t="str">
        <f>VLOOKUP(KZC115,[13]AssetDetails_UEM!$A$3:$AH$1849,6,FALSE)</f>
        <v>Electrosurgical Units, Monopolar/Bipolar</v>
      </c>
      <c r="KZE115" s="196" t="s">
        <v>761</v>
      </c>
      <c r="KZF115" s="197" t="str">
        <f>VLOOKUP(KZE115,[13]AssetDetails_UEM!$A$3:$AH$1849,6,FALSE)</f>
        <v>Electrosurgical Units, Monopolar/Bipolar</v>
      </c>
      <c r="KZG115" s="196" t="s">
        <v>761</v>
      </c>
      <c r="KZH115" s="197" t="str">
        <f>VLOOKUP(KZG115,[13]AssetDetails_UEM!$A$3:$AH$1849,6,FALSE)</f>
        <v>Electrosurgical Units, Monopolar/Bipolar</v>
      </c>
      <c r="KZI115" s="196" t="s">
        <v>761</v>
      </c>
      <c r="KZJ115" s="197" t="str">
        <f>VLOOKUP(KZI115,[13]AssetDetails_UEM!$A$3:$AH$1849,6,FALSE)</f>
        <v>Electrosurgical Units, Monopolar/Bipolar</v>
      </c>
      <c r="KZK115" s="196" t="s">
        <v>761</v>
      </c>
      <c r="KZL115" s="197" t="str">
        <f>VLOOKUP(KZK115,[13]AssetDetails_UEM!$A$3:$AH$1849,6,FALSE)</f>
        <v>Electrosurgical Units, Monopolar/Bipolar</v>
      </c>
      <c r="KZM115" s="196" t="s">
        <v>761</v>
      </c>
      <c r="KZN115" s="197" t="str">
        <f>VLOOKUP(KZM115,[13]AssetDetails_UEM!$A$3:$AH$1849,6,FALSE)</f>
        <v>Electrosurgical Units, Monopolar/Bipolar</v>
      </c>
      <c r="KZO115" s="196" t="s">
        <v>761</v>
      </c>
      <c r="KZP115" s="197" t="str">
        <f>VLOOKUP(KZO115,[13]AssetDetails_UEM!$A$3:$AH$1849,6,FALSE)</f>
        <v>Electrosurgical Units, Monopolar/Bipolar</v>
      </c>
      <c r="KZQ115" s="196" t="s">
        <v>761</v>
      </c>
      <c r="KZR115" s="197" t="str">
        <f>VLOOKUP(KZQ115,[13]AssetDetails_UEM!$A$3:$AH$1849,6,FALSE)</f>
        <v>Electrosurgical Units, Monopolar/Bipolar</v>
      </c>
      <c r="KZS115" s="196" t="s">
        <v>761</v>
      </c>
      <c r="KZT115" s="197" t="str">
        <f>VLOOKUP(KZS115,[13]AssetDetails_UEM!$A$3:$AH$1849,6,FALSE)</f>
        <v>Electrosurgical Units, Monopolar/Bipolar</v>
      </c>
      <c r="KZU115" s="196" t="s">
        <v>761</v>
      </c>
      <c r="KZV115" s="197" t="str">
        <f>VLOOKUP(KZU115,[13]AssetDetails_UEM!$A$3:$AH$1849,6,FALSE)</f>
        <v>Electrosurgical Units, Monopolar/Bipolar</v>
      </c>
      <c r="KZW115" s="196" t="s">
        <v>761</v>
      </c>
      <c r="KZX115" s="197" t="str">
        <f>VLOOKUP(KZW115,[13]AssetDetails_UEM!$A$3:$AH$1849,6,FALSE)</f>
        <v>Electrosurgical Units, Monopolar/Bipolar</v>
      </c>
      <c r="KZY115" s="196" t="s">
        <v>761</v>
      </c>
      <c r="KZZ115" s="197" t="str">
        <f>VLOOKUP(KZY115,[13]AssetDetails_UEM!$A$3:$AH$1849,6,FALSE)</f>
        <v>Electrosurgical Units, Monopolar/Bipolar</v>
      </c>
      <c r="LAA115" s="196" t="s">
        <v>761</v>
      </c>
      <c r="LAB115" s="197" t="str">
        <f>VLOOKUP(LAA115,[13]AssetDetails_UEM!$A$3:$AH$1849,6,FALSE)</f>
        <v>Electrosurgical Units, Monopolar/Bipolar</v>
      </c>
      <c r="LAC115" s="196" t="s">
        <v>761</v>
      </c>
      <c r="LAD115" s="197" t="str">
        <f>VLOOKUP(LAC115,[13]AssetDetails_UEM!$A$3:$AH$1849,6,FALSE)</f>
        <v>Electrosurgical Units, Monopolar/Bipolar</v>
      </c>
      <c r="LAE115" s="196" t="s">
        <v>761</v>
      </c>
      <c r="LAF115" s="197" t="str">
        <f>VLOOKUP(LAE115,[13]AssetDetails_UEM!$A$3:$AH$1849,6,FALSE)</f>
        <v>Electrosurgical Units, Monopolar/Bipolar</v>
      </c>
      <c r="LAG115" s="196" t="s">
        <v>761</v>
      </c>
      <c r="LAH115" s="197" t="str">
        <f>VLOOKUP(LAG115,[13]AssetDetails_UEM!$A$3:$AH$1849,6,FALSE)</f>
        <v>Electrosurgical Units, Monopolar/Bipolar</v>
      </c>
      <c r="LAI115" s="196" t="s">
        <v>761</v>
      </c>
      <c r="LAJ115" s="197" t="str">
        <f>VLOOKUP(LAI115,[13]AssetDetails_UEM!$A$3:$AH$1849,6,FALSE)</f>
        <v>Electrosurgical Units, Monopolar/Bipolar</v>
      </c>
      <c r="LAK115" s="196" t="s">
        <v>761</v>
      </c>
      <c r="LAL115" s="197" t="str">
        <f>VLOOKUP(LAK115,[13]AssetDetails_UEM!$A$3:$AH$1849,6,FALSE)</f>
        <v>Electrosurgical Units, Monopolar/Bipolar</v>
      </c>
      <c r="LAM115" s="196" t="s">
        <v>761</v>
      </c>
      <c r="LAN115" s="197" t="str">
        <f>VLOOKUP(LAM115,[13]AssetDetails_UEM!$A$3:$AH$1849,6,FALSE)</f>
        <v>Electrosurgical Units, Monopolar/Bipolar</v>
      </c>
      <c r="LAO115" s="196" t="s">
        <v>761</v>
      </c>
      <c r="LAP115" s="197" t="str">
        <f>VLOOKUP(LAO115,[13]AssetDetails_UEM!$A$3:$AH$1849,6,FALSE)</f>
        <v>Electrosurgical Units, Monopolar/Bipolar</v>
      </c>
      <c r="LAQ115" s="196" t="s">
        <v>761</v>
      </c>
      <c r="LAR115" s="197" t="str">
        <f>VLOOKUP(LAQ115,[13]AssetDetails_UEM!$A$3:$AH$1849,6,FALSE)</f>
        <v>Electrosurgical Units, Monopolar/Bipolar</v>
      </c>
      <c r="LAS115" s="196" t="s">
        <v>761</v>
      </c>
      <c r="LAT115" s="197" t="str">
        <f>VLOOKUP(LAS115,[13]AssetDetails_UEM!$A$3:$AH$1849,6,FALSE)</f>
        <v>Electrosurgical Units, Monopolar/Bipolar</v>
      </c>
      <c r="LAU115" s="196" t="s">
        <v>761</v>
      </c>
      <c r="LAV115" s="197" t="str">
        <f>VLOOKUP(LAU115,[13]AssetDetails_UEM!$A$3:$AH$1849,6,FALSE)</f>
        <v>Electrosurgical Units, Monopolar/Bipolar</v>
      </c>
      <c r="LAW115" s="196" t="s">
        <v>761</v>
      </c>
      <c r="LAX115" s="197" t="str">
        <f>VLOOKUP(LAW115,[13]AssetDetails_UEM!$A$3:$AH$1849,6,FALSE)</f>
        <v>Electrosurgical Units, Monopolar/Bipolar</v>
      </c>
      <c r="LAY115" s="196" t="s">
        <v>761</v>
      </c>
      <c r="LAZ115" s="197" t="str">
        <f>VLOOKUP(LAY115,[13]AssetDetails_UEM!$A$3:$AH$1849,6,FALSE)</f>
        <v>Electrosurgical Units, Monopolar/Bipolar</v>
      </c>
      <c r="LBA115" s="196" t="s">
        <v>761</v>
      </c>
      <c r="LBB115" s="197" t="str">
        <f>VLOOKUP(LBA115,[13]AssetDetails_UEM!$A$3:$AH$1849,6,FALSE)</f>
        <v>Electrosurgical Units, Monopolar/Bipolar</v>
      </c>
      <c r="LBC115" s="196" t="s">
        <v>761</v>
      </c>
      <c r="LBD115" s="197" t="str">
        <f>VLOOKUP(LBC115,[13]AssetDetails_UEM!$A$3:$AH$1849,6,FALSE)</f>
        <v>Electrosurgical Units, Monopolar/Bipolar</v>
      </c>
      <c r="LBE115" s="196" t="s">
        <v>761</v>
      </c>
      <c r="LBF115" s="197" t="str">
        <f>VLOOKUP(LBE115,[13]AssetDetails_UEM!$A$3:$AH$1849,6,FALSE)</f>
        <v>Electrosurgical Units, Monopolar/Bipolar</v>
      </c>
      <c r="LBG115" s="196" t="s">
        <v>761</v>
      </c>
      <c r="LBH115" s="197" t="str">
        <f>VLOOKUP(LBG115,[13]AssetDetails_UEM!$A$3:$AH$1849,6,FALSE)</f>
        <v>Electrosurgical Units, Monopolar/Bipolar</v>
      </c>
      <c r="LBI115" s="196" t="s">
        <v>761</v>
      </c>
      <c r="LBJ115" s="197" t="str">
        <f>VLOOKUP(LBI115,[13]AssetDetails_UEM!$A$3:$AH$1849,6,FALSE)</f>
        <v>Electrosurgical Units, Monopolar/Bipolar</v>
      </c>
      <c r="LBK115" s="196" t="s">
        <v>761</v>
      </c>
      <c r="LBL115" s="197" t="str">
        <f>VLOOKUP(LBK115,[13]AssetDetails_UEM!$A$3:$AH$1849,6,FALSE)</f>
        <v>Electrosurgical Units, Monopolar/Bipolar</v>
      </c>
      <c r="LBM115" s="196" t="s">
        <v>761</v>
      </c>
      <c r="LBN115" s="197" t="str">
        <f>VLOOKUP(LBM115,[13]AssetDetails_UEM!$A$3:$AH$1849,6,FALSE)</f>
        <v>Electrosurgical Units, Monopolar/Bipolar</v>
      </c>
      <c r="LBO115" s="196" t="s">
        <v>761</v>
      </c>
      <c r="LBP115" s="197" t="str">
        <f>VLOOKUP(LBO115,[13]AssetDetails_UEM!$A$3:$AH$1849,6,FALSE)</f>
        <v>Electrosurgical Units, Monopolar/Bipolar</v>
      </c>
      <c r="LBQ115" s="196" t="s">
        <v>761</v>
      </c>
      <c r="LBR115" s="197" t="str">
        <f>VLOOKUP(LBQ115,[13]AssetDetails_UEM!$A$3:$AH$1849,6,FALSE)</f>
        <v>Electrosurgical Units, Monopolar/Bipolar</v>
      </c>
      <c r="LBS115" s="196" t="s">
        <v>761</v>
      </c>
      <c r="LBT115" s="197" t="str">
        <f>VLOOKUP(LBS115,[13]AssetDetails_UEM!$A$3:$AH$1849,6,FALSE)</f>
        <v>Electrosurgical Units, Monopolar/Bipolar</v>
      </c>
      <c r="LBU115" s="196" t="s">
        <v>761</v>
      </c>
      <c r="LBV115" s="197" t="str">
        <f>VLOOKUP(LBU115,[13]AssetDetails_UEM!$A$3:$AH$1849,6,FALSE)</f>
        <v>Electrosurgical Units, Monopolar/Bipolar</v>
      </c>
      <c r="LBW115" s="196" t="s">
        <v>761</v>
      </c>
      <c r="LBX115" s="197" t="str">
        <f>VLOOKUP(LBW115,[13]AssetDetails_UEM!$A$3:$AH$1849,6,FALSE)</f>
        <v>Electrosurgical Units, Monopolar/Bipolar</v>
      </c>
      <c r="LBY115" s="196" t="s">
        <v>761</v>
      </c>
      <c r="LBZ115" s="197" t="str">
        <f>VLOOKUP(LBY115,[13]AssetDetails_UEM!$A$3:$AH$1849,6,FALSE)</f>
        <v>Electrosurgical Units, Monopolar/Bipolar</v>
      </c>
      <c r="LCA115" s="196" t="s">
        <v>761</v>
      </c>
      <c r="LCB115" s="197" t="str">
        <f>VLOOKUP(LCA115,[13]AssetDetails_UEM!$A$3:$AH$1849,6,FALSE)</f>
        <v>Electrosurgical Units, Monopolar/Bipolar</v>
      </c>
      <c r="LCC115" s="196" t="s">
        <v>761</v>
      </c>
      <c r="LCD115" s="197" t="str">
        <f>VLOOKUP(LCC115,[13]AssetDetails_UEM!$A$3:$AH$1849,6,FALSE)</f>
        <v>Electrosurgical Units, Monopolar/Bipolar</v>
      </c>
      <c r="LCE115" s="196" t="s">
        <v>761</v>
      </c>
      <c r="LCF115" s="197" t="str">
        <f>VLOOKUP(LCE115,[13]AssetDetails_UEM!$A$3:$AH$1849,6,FALSE)</f>
        <v>Electrosurgical Units, Monopolar/Bipolar</v>
      </c>
      <c r="LCG115" s="196" t="s">
        <v>761</v>
      </c>
      <c r="LCH115" s="197" t="str">
        <f>VLOOKUP(LCG115,[13]AssetDetails_UEM!$A$3:$AH$1849,6,FALSE)</f>
        <v>Electrosurgical Units, Monopolar/Bipolar</v>
      </c>
      <c r="LCI115" s="196" t="s">
        <v>761</v>
      </c>
      <c r="LCJ115" s="197" t="str">
        <f>VLOOKUP(LCI115,[13]AssetDetails_UEM!$A$3:$AH$1849,6,FALSE)</f>
        <v>Electrosurgical Units, Monopolar/Bipolar</v>
      </c>
      <c r="LCK115" s="196" t="s">
        <v>761</v>
      </c>
      <c r="LCL115" s="197" t="str">
        <f>VLOOKUP(LCK115,[13]AssetDetails_UEM!$A$3:$AH$1849,6,FALSE)</f>
        <v>Electrosurgical Units, Monopolar/Bipolar</v>
      </c>
      <c r="LCM115" s="196" t="s">
        <v>761</v>
      </c>
      <c r="LCN115" s="197" t="str">
        <f>VLOOKUP(LCM115,[13]AssetDetails_UEM!$A$3:$AH$1849,6,FALSE)</f>
        <v>Electrosurgical Units, Monopolar/Bipolar</v>
      </c>
      <c r="LCO115" s="196" t="s">
        <v>761</v>
      </c>
      <c r="LCP115" s="197" t="str">
        <f>VLOOKUP(LCO115,[13]AssetDetails_UEM!$A$3:$AH$1849,6,FALSE)</f>
        <v>Electrosurgical Units, Monopolar/Bipolar</v>
      </c>
      <c r="LCQ115" s="196" t="s">
        <v>761</v>
      </c>
      <c r="LCR115" s="197" t="str">
        <f>VLOOKUP(LCQ115,[13]AssetDetails_UEM!$A$3:$AH$1849,6,FALSE)</f>
        <v>Electrosurgical Units, Monopolar/Bipolar</v>
      </c>
      <c r="LCS115" s="196" t="s">
        <v>761</v>
      </c>
      <c r="LCT115" s="197" t="str">
        <f>VLOOKUP(LCS115,[13]AssetDetails_UEM!$A$3:$AH$1849,6,FALSE)</f>
        <v>Electrosurgical Units, Monopolar/Bipolar</v>
      </c>
      <c r="LCU115" s="196" t="s">
        <v>761</v>
      </c>
      <c r="LCV115" s="197" t="str">
        <f>VLOOKUP(LCU115,[13]AssetDetails_UEM!$A$3:$AH$1849,6,FALSE)</f>
        <v>Electrosurgical Units, Monopolar/Bipolar</v>
      </c>
      <c r="LCW115" s="196" t="s">
        <v>761</v>
      </c>
      <c r="LCX115" s="197" t="str">
        <f>VLOOKUP(LCW115,[13]AssetDetails_UEM!$A$3:$AH$1849,6,FALSE)</f>
        <v>Electrosurgical Units, Monopolar/Bipolar</v>
      </c>
      <c r="LCY115" s="196" t="s">
        <v>761</v>
      </c>
      <c r="LCZ115" s="197" t="str">
        <f>VLOOKUP(LCY115,[13]AssetDetails_UEM!$A$3:$AH$1849,6,FALSE)</f>
        <v>Electrosurgical Units, Monopolar/Bipolar</v>
      </c>
      <c r="LDA115" s="196" t="s">
        <v>761</v>
      </c>
      <c r="LDB115" s="197" t="str">
        <f>VLOOKUP(LDA115,[13]AssetDetails_UEM!$A$3:$AH$1849,6,FALSE)</f>
        <v>Electrosurgical Units, Monopolar/Bipolar</v>
      </c>
      <c r="LDC115" s="196" t="s">
        <v>761</v>
      </c>
      <c r="LDD115" s="197" t="str">
        <f>VLOOKUP(LDC115,[13]AssetDetails_UEM!$A$3:$AH$1849,6,FALSE)</f>
        <v>Electrosurgical Units, Monopolar/Bipolar</v>
      </c>
      <c r="LDE115" s="196" t="s">
        <v>761</v>
      </c>
      <c r="LDF115" s="197" t="str">
        <f>VLOOKUP(LDE115,[13]AssetDetails_UEM!$A$3:$AH$1849,6,FALSE)</f>
        <v>Electrosurgical Units, Monopolar/Bipolar</v>
      </c>
      <c r="LDG115" s="196" t="s">
        <v>761</v>
      </c>
      <c r="LDH115" s="197" t="str">
        <f>VLOOKUP(LDG115,[13]AssetDetails_UEM!$A$3:$AH$1849,6,FALSE)</f>
        <v>Electrosurgical Units, Monopolar/Bipolar</v>
      </c>
      <c r="LDI115" s="196" t="s">
        <v>761</v>
      </c>
      <c r="LDJ115" s="197" t="str">
        <f>VLOOKUP(LDI115,[13]AssetDetails_UEM!$A$3:$AH$1849,6,FALSE)</f>
        <v>Electrosurgical Units, Monopolar/Bipolar</v>
      </c>
      <c r="LDK115" s="196" t="s">
        <v>761</v>
      </c>
      <c r="LDL115" s="197" t="str">
        <f>VLOOKUP(LDK115,[13]AssetDetails_UEM!$A$3:$AH$1849,6,FALSE)</f>
        <v>Electrosurgical Units, Monopolar/Bipolar</v>
      </c>
      <c r="LDM115" s="196" t="s">
        <v>761</v>
      </c>
      <c r="LDN115" s="197" t="str">
        <f>VLOOKUP(LDM115,[13]AssetDetails_UEM!$A$3:$AH$1849,6,FALSE)</f>
        <v>Electrosurgical Units, Monopolar/Bipolar</v>
      </c>
      <c r="LDO115" s="196" t="s">
        <v>761</v>
      </c>
      <c r="LDP115" s="197" t="str">
        <f>VLOOKUP(LDO115,[13]AssetDetails_UEM!$A$3:$AH$1849,6,FALSE)</f>
        <v>Electrosurgical Units, Monopolar/Bipolar</v>
      </c>
      <c r="LDQ115" s="196" t="s">
        <v>761</v>
      </c>
      <c r="LDR115" s="197" t="str">
        <f>VLOOKUP(LDQ115,[13]AssetDetails_UEM!$A$3:$AH$1849,6,FALSE)</f>
        <v>Electrosurgical Units, Monopolar/Bipolar</v>
      </c>
      <c r="LDS115" s="196" t="s">
        <v>761</v>
      </c>
      <c r="LDT115" s="197" t="str">
        <f>VLOOKUP(LDS115,[13]AssetDetails_UEM!$A$3:$AH$1849,6,FALSE)</f>
        <v>Electrosurgical Units, Monopolar/Bipolar</v>
      </c>
      <c r="LDU115" s="196" t="s">
        <v>761</v>
      </c>
      <c r="LDV115" s="197" t="str">
        <f>VLOOKUP(LDU115,[13]AssetDetails_UEM!$A$3:$AH$1849,6,FALSE)</f>
        <v>Electrosurgical Units, Monopolar/Bipolar</v>
      </c>
      <c r="LDW115" s="196" t="s">
        <v>761</v>
      </c>
      <c r="LDX115" s="197" t="str">
        <f>VLOOKUP(LDW115,[13]AssetDetails_UEM!$A$3:$AH$1849,6,FALSE)</f>
        <v>Electrosurgical Units, Monopolar/Bipolar</v>
      </c>
      <c r="LDY115" s="196" t="s">
        <v>761</v>
      </c>
      <c r="LDZ115" s="197" t="str">
        <f>VLOOKUP(LDY115,[13]AssetDetails_UEM!$A$3:$AH$1849,6,FALSE)</f>
        <v>Electrosurgical Units, Monopolar/Bipolar</v>
      </c>
      <c r="LEA115" s="196" t="s">
        <v>761</v>
      </c>
      <c r="LEB115" s="197" t="str">
        <f>VLOOKUP(LEA115,[13]AssetDetails_UEM!$A$3:$AH$1849,6,FALSE)</f>
        <v>Electrosurgical Units, Monopolar/Bipolar</v>
      </c>
      <c r="LEC115" s="196" t="s">
        <v>761</v>
      </c>
      <c r="LED115" s="197" t="str">
        <f>VLOOKUP(LEC115,[13]AssetDetails_UEM!$A$3:$AH$1849,6,FALSE)</f>
        <v>Electrosurgical Units, Monopolar/Bipolar</v>
      </c>
      <c r="LEE115" s="196" t="s">
        <v>761</v>
      </c>
      <c r="LEF115" s="197" t="str">
        <f>VLOOKUP(LEE115,[13]AssetDetails_UEM!$A$3:$AH$1849,6,FALSE)</f>
        <v>Electrosurgical Units, Monopolar/Bipolar</v>
      </c>
      <c r="LEG115" s="196" t="s">
        <v>761</v>
      </c>
      <c r="LEH115" s="197" t="str">
        <f>VLOOKUP(LEG115,[13]AssetDetails_UEM!$A$3:$AH$1849,6,FALSE)</f>
        <v>Electrosurgical Units, Monopolar/Bipolar</v>
      </c>
      <c r="LEI115" s="196" t="s">
        <v>761</v>
      </c>
      <c r="LEJ115" s="197" t="str">
        <f>VLOOKUP(LEI115,[13]AssetDetails_UEM!$A$3:$AH$1849,6,FALSE)</f>
        <v>Electrosurgical Units, Monopolar/Bipolar</v>
      </c>
      <c r="LEK115" s="196" t="s">
        <v>761</v>
      </c>
      <c r="LEL115" s="197" t="str">
        <f>VLOOKUP(LEK115,[13]AssetDetails_UEM!$A$3:$AH$1849,6,FALSE)</f>
        <v>Electrosurgical Units, Monopolar/Bipolar</v>
      </c>
      <c r="LEM115" s="196" t="s">
        <v>761</v>
      </c>
      <c r="LEN115" s="197" t="str">
        <f>VLOOKUP(LEM115,[13]AssetDetails_UEM!$A$3:$AH$1849,6,FALSE)</f>
        <v>Electrosurgical Units, Monopolar/Bipolar</v>
      </c>
      <c r="LEO115" s="196" t="s">
        <v>761</v>
      </c>
      <c r="LEP115" s="197" t="str">
        <f>VLOOKUP(LEO115,[13]AssetDetails_UEM!$A$3:$AH$1849,6,FALSE)</f>
        <v>Electrosurgical Units, Monopolar/Bipolar</v>
      </c>
      <c r="LEQ115" s="196" t="s">
        <v>761</v>
      </c>
      <c r="LER115" s="197" t="str">
        <f>VLOOKUP(LEQ115,[13]AssetDetails_UEM!$A$3:$AH$1849,6,FALSE)</f>
        <v>Electrosurgical Units, Monopolar/Bipolar</v>
      </c>
      <c r="LES115" s="196" t="s">
        <v>761</v>
      </c>
      <c r="LET115" s="197" t="str">
        <f>VLOOKUP(LES115,[13]AssetDetails_UEM!$A$3:$AH$1849,6,FALSE)</f>
        <v>Electrosurgical Units, Monopolar/Bipolar</v>
      </c>
      <c r="LEU115" s="196" t="s">
        <v>761</v>
      </c>
      <c r="LEV115" s="197" t="str">
        <f>VLOOKUP(LEU115,[13]AssetDetails_UEM!$A$3:$AH$1849,6,FALSE)</f>
        <v>Electrosurgical Units, Monopolar/Bipolar</v>
      </c>
      <c r="LEW115" s="196" t="s">
        <v>761</v>
      </c>
      <c r="LEX115" s="197" t="str">
        <f>VLOOKUP(LEW115,[13]AssetDetails_UEM!$A$3:$AH$1849,6,FALSE)</f>
        <v>Electrosurgical Units, Monopolar/Bipolar</v>
      </c>
      <c r="LEY115" s="196" t="s">
        <v>761</v>
      </c>
      <c r="LEZ115" s="197" t="str">
        <f>VLOOKUP(LEY115,[13]AssetDetails_UEM!$A$3:$AH$1849,6,FALSE)</f>
        <v>Electrosurgical Units, Monopolar/Bipolar</v>
      </c>
      <c r="LFA115" s="196" t="s">
        <v>761</v>
      </c>
      <c r="LFB115" s="197" t="str">
        <f>VLOOKUP(LFA115,[13]AssetDetails_UEM!$A$3:$AH$1849,6,FALSE)</f>
        <v>Electrosurgical Units, Monopolar/Bipolar</v>
      </c>
      <c r="LFC115" s="196" t="s">
        <v>761</v>
      </c>
      <c r="LFD115" s="197" t="str">
        <f>VLOOKUP(LFC115,[13]AssetDetails_UEM!$A$3:$AH$1849,6,FALSE)</f>
        <v>Electrosurgical Units, Monopolar/Bipolar</v>
      </c>
      <c r="LFE115" s="196" t="s">
        <v>761</v>
      </c>
      <c r="LFF115" s="197" t="str">
        <f>VLOOKUP(LFE115,[13]AssetDetails_UEM!$A$3:$AH$1849,6,FALSE)</f>
        <v>Electrosurgical Units, Monopolar/Bipolar</v>
      </c>
      <c r="LFG115" s="196" t="s">
        <v>761</v>
      </c>
      <c r="LFH115" s="197" t="str">
        <f>VLOOKUP(LFG115,[13]AssetDetails_UEM!$A$3:$AH$1849,6,FALSE)</f>
        <v>Electrosurgical Units, Monopolar/Bipolar</v>
      </c>
      <c r="LFI115" s="196" t="s">
        <v>761</v>
      </c>
      <c r="LFJ115" s="197" t="str">
        <f>VLOOKUP(LFI115,[13]AssetDetails_UEM!$A$3:$AH$1849,6,FALSE)</f>
        <v>Electrosurgical Units, Monopolar/Bipolar</v>
      </c>
      <c r="LFK115" s="196" t="s">
        <v>761</v>
      </c>
      <c r="LFL115" s="197" t="str">
        <f>VLOOKUP(LFK115,[13]AssetDetails_UEM!$A$3:$AH$1849,6,FALSE)</f>
        <v>Electrosurgical Units, Monopolar/Bipolar</v>
      </c>
      <c r="LFM115" s="196" t="s">
        <v>761</v>
      </c>
      <c r="LFN115" s="197" t="str">
        <f>VLOOKUP(LFM115,[13]AssetDetails_UEM!$A$3:$AH$1849,6,FALSE)</f>
        <v>Electrosurgical Units, Monopolar/Bipolar</v>
      </c>
      <c r="LFO115" s="196" t="s">
        <v>761</v>
      </c>
      <c r="LFP115" s="197" t="str">
        <f>VLOOKUP(LFO115,[13]AssetDetails_UEM!$A$3:$AH$1849,6,FALSE)</f>
        <v>Electrosurgical Units, Monopolar/Bipolar</v>
      </c>
      <c r="LFQ115" s="196" t="s">
        <v>761</v>
      </c>
      <c r="LFR115" s="197" t="str">
        <f>VLOOKUP(LFQ115,[13]AssetDetails_UEM!$A$3:$AH$1849,6,FALSE)</f>
        <v>Electrosurgical Units, Monopolar/Bipolar</v>
      </c>
      <c r="LFS115" s="196" t="s">
        <v>761</v>
      </c>
      <c r="LFT115" s="197" t="str">
        <f>VLOOKUP(LFS115,[13]AssetDetails_UEM!$A$3:$AH$1849,6,FALSE)</f>
        <v>Electrosurgical Units, Monopolar/Bipolar</v>
      </c>
      <c r="LFU115" s="196" t="s">
        <v>761</v>
      </c>
      <c r="LFV115" s="197" t="str">
        <f>VLOOKUP(LFU115,[13]AssetDetails_UEM!$A$3:$AH$1849,6,FALSE)</f>
        <v>Electrosurgical Units, Monopolar/Bipolar</v>
      </c>
      <c r="LFW115" s="196" t="s">
        <v>761</v>
      </c>
      <c r="LFX115" s="197" t="str">
        <f>VLOOKUP(LFW115,[13]AssetDetails_UEM!$A$3:$AH$1849,6,FALSE)</f>
        <v>Electrosurgical Units, Monopolar/Bipolar</v>
      </c>
      <c r="LFY115" s="196" t="s">
        <v>761</v>
      </c>
      <c r="LFZ115" s="197" t="str">
        <f>VLOOKUP(LFY115,[13]AssetDetails_UEM!$A$3:$AH$1849,6,FALSE)</f>
        <v>Electrosurgical Units, Monopolar/Bipolar</v>
      </c>
      <c r="LGA115" s="196" t="s">
        <v>761</v>
      </c>
      <c r="LGB115" s="197" t="str">
        <f>VLOOKUP(LGA115,[13]AssetDetails_UEM!$A$3:$AH$1849,6,FALSE)</f>
        <v>Electrosurgical Units, Monopolar/Bipolar</v>
      </c>
      <c r="LGC115" s="196" t="s">
        <v>761</v>
      </c>
      <c r="LGD115" s="197" t="str">
        <f>VLOOKUP(LGC115,[13]AssetDetails_UEM!$A$3:$AH$1849,6,FALSE)</f>
        <v>Electrosurgical Units, Monopolar/Bipolar</v>
      </c>
      <c r="LGE115" s="196" t="s">
        <v>761</v>
      </c>
      <c r="LGF115" s="197" t="str">
        <f>VLOOKUP(LGE115,[13]AssetDetails_UEM!$A$3:$AH$1849,6,FALSE)</f>
        <v>Electrosurgical Units, Monopolar/Bipolar</v>
      </c>
      <c r="LGG115" s="196" t="s">
        <v>761</v>
      </c>
      <c r="LGH115" s="197" t="str">
        <f>VLOOKUP(LGG115,[13]AssetDetails_UEM!$A$3:$AH$1849,6,FALSE)</f>
        <v>Electrosurgical Units, Monopolar/Bipolar</v>
      </c>
      <c r="LGI115" s="196" t="s">
        <v>761</v>
      </c>
      <c r="LGJ115" s="197" t="str">
        <f>VLOOKUP(LGI115,[13]AssetDetails_UEM!$A$3:$AH$1849,6,FALSE)</f>
        <v>Electrosurgical Units, Monopolar/Bipolar</v>
      </c>
      <c r="LGK115" s="196" t="s">
        <v>761</v>
      </c>
      <c r="LGL115" s="197" t="str">
        <f>VLOOKUP(LGK115,[13]AssetDetails_UEM!$A$3:$AH$1849,6,FALSE)</f>
        <v>Electrosurgical Units, Monopolar/Bipolar</v>
      </c>
      <c r="LGM115" s="196" t="s">
        <v>761</v>
      </c>
      <c r="LGN115" s="197" t="str">
        <f>VLOOKUP(LGM115,[13]AssetDetails_UEM!$A$3:$AH$1849,6,FALSE)</f>
        <v>Electrosurgical Units, Monopolar/Bipolar</v>
      </c>
      <c r="LGO115" s="196" t="s">
        <v>761</v>
      </c>
      <c r="LGP115" s="197" t="str">
        <f>VLOOKUP(LGO115,[13]AssetDetails_UEM!$A$3:$AH$1849,6,FALSE)</f>
        <v>Electrosurgical Units, Monopolar/Bipolar</v>
      </c>
      <c r="LGQ115" s="196" t="s">
        <v>761</v>
      </c>
      <c r="LGR115" s="197" t="str">
        <f>VLOOKUP(LGQ115,[13]AssetDetails_UEM!$A$3:$AH$1849,6,FALSE)</f>
        <v>Electrosurgical Units, Monopolar/Bipolar</v>
      </c>
      <c r="LGS115" s="196" t="s">
        <v>761</v>
      </c>
      <c r="LGT115" s="197" t="str">
        <f>VLOOKUP(LGS115,[13]AssetDetails_UEM!$A$3:$AH$1849,6,FALSE)</f>
        <v>Electrosurgical Units, Monopolar/Bipolar</v>
      </c>
      <c r="LGU115" s="196" t="s">
        <v>761</v>
      </c>
      <c r="LGV115" s="197" t="str">
        <f>VLOOKUP(LGU115,[13]AssetDetails_UEM!$A$3:$AH$1849,6,FALSE)</f>
        <v>Electrosurgical Units, Monopolar/Bipolar</v>
      </c>
      <c r="LGW115" s="196" t="s">
        <v>761</v>
      </c>
      <c r="LGX115" s="197" t="str">
        <f>VLOOKUP(LGW115,[13]AssetDetails_UEM!$A$3:$AH$1849,6,FALSE)</f>
        <v>Electrosurgical Units, Monopolar/Bipolar</v>
      </c>
      <c r="LGY115" s="196" t="s">
        <v>761</v>
      </c>
      <c r="LGZ115" s="197" t="str">
        <f>VLOOKUP(LGY115,[13]AssetDetails_UEM!$A$3:$AH$1849,6,FALSE)</f>
        <v>Electrosurgical Units, Monopolar/Bipolar</v>
      </c>
      <c r="LHA115" s="196" t="s">
        <v>761</v>
      </c>
      <c r="LHB115" s="197" t="str">
        <f>VLOOKUP(LHA115,[13]AssetDetails_UEM!$A$3:$AH$1849,6,FALSE)</f>
        <v>Electrosurgical Units, Monopolar/Bipolar</v>
      </c>
      <c r="LHC115" s="196" t="s">
        <v>761</v>
      </c>
      <c r="LHD115" s="197" t="str">
        <f>VLOOKUP(LHC115,[13]AssetDetails_UEM!$A$3:$AH$1849,6,FALSE)</f>
        <v>Electrosurgical Units, Monopolar/Bipolar</v>
      </c>
      <c r="LHE115" s="196" t="s">
        <v>761</v>
      </c>
      <c r="LHF115" s="197" t="str">
        <f>VLOOKUP(LHE115,[13]AssetDetails_UEM!$A$3:$AH$1849,6,FALSE)</f>
        <v>Electrosurgical Units, Monopolar/Bipolar</v>
      </c>
      <c r="LHG115" s="196" t="s">
        <v>761</v>
      </c>
      <c r="LHH115" s="197" t="str">
        <f>VLOOKUP(LHG115,[13]AssetDetails_UEM!$A$3:$AH$1849,6,FALSE)</f>
        <v>Electrosurgical Units, Monopolar/Bipolar</v>
      </c>
      <c r="LHI115" s="196" t="s">
        <v>761</v>
      </c>
      <c r="LHJ115" s="197" t="str">
        <f>VLOOKUP(LHI115,[13]AssetDetails_UEM!$A$3:$AH$1849,6,FALSE)</f>
        <v>Electrosurgical Units, Monopolar/Bipolar</v>
      </c>
      <c r="LHK115" s="196" t="s">
        <v>761</v>
      </c>
      <c r="LHL115" s="197" t="str">
        <f>VLOOKUP(LHK115,[13]AssetDetails_UEM!$A$3:$AH$1849,6,FALSE)</f>
        <v>Electrosurgical Units, Monopolar/Bipolar</v>
      </c>
      <c r="LHM115" s="196" t="s">
        <v>761</v>
      </c>
      <c r="LHN115" s="197" t="str">
        <f>VLOOKUP(LHM115,[13]AssetDetails_UEM!$A$3:$AH$1849,6,FALSE)</f>
        <v>Electrosurgical Units, Monopolar/Bipolar</v>
      </c>
      <c r="LHO115" s="196" t="s">
        <v>761</v>
      </c>
      <c r="LHP115" s="197" t="str">
        <f>VLOOKUP(LHO115,[13]AssetDetails_UEM!$A$3:$AH$1849,6,FALSE)</f>
        <v>Electrosurgical Units, Monopolar/Bipolar</v>
      </c>
      <c r="LHQ115" s="196" t="s">
        <v>761</v>
      </c>
      <c r="LHR115" s="197" t="str">
        <f>VLOOKUP(LHQ115,[13]AssetDetails_UEM!$A$3:$AH$1849,6,FALSE)</f>
        <v>Electrosurgical Units, Monopolar/Bipolar</v>
      </c>
      <c r="LHS115" s="196" t="s">
        <v>761</v>
      </c>
      <c r="LHT115" s="197" t="str">
        <f>VLOOKUP(LHS115,[13]AssetDetails_UEM!$A$3:$AH$1849,6,FALSE)</f>
        <v>Electrosurgical Units, Monopolar/Bipolar</v>
      </c>
      <c r="LHU115" s="196" t="s">
        <v>761</v>
      </c>
      <c r="LHV115" s="197" t="str">
        <f>VLOOKUP(LHU115,[13]AssetDetails_UEM!$A$3:$AH$1849,6,FALSE)</f>
        <v>Electrosurgical Units, Monopolar/Bipolar</v>
      </c>
      <c r="LHW115" s="196" t="s">
        <v>761</v>
      </c>
      <c r="LHX115" s="197" t="str">
        <f>VLOOKUP(LHW115,[13]AssetDetails_UEM!$A$3:$AH$1849,6,FALSE)</f>
        <v>Electrosurgical Units, Monopolar/Bipolar</v>
      </c>
      <c r="LHY115" s="196" t="s">
        <v>761</v>
      </c>
      <c r="LHZ115" s="197" t="str">
        <f>VLOOKUP(LHY115,[13]AssetDetails_UEM!$A$3:$AH$1849,6,FALSE)</f>
        <v>Electrosurgical Units, Monopolar/Bipolar</v>
      </c>
      <c r="LIA115" s="196" t="s">
        <v>761</v>
      </c>
      <c r="LIB115" s="197" t="str">
        <f>VLOOKUP(LIA115,[13]AssetDetails_UEM!$A$3:$AH$1849,6,FALSE)</f>
        <v>Electrosurgical Units, Monopolar/Bipolar</v>
      </c>
      <c r="LIC115" s="196" t="s">
        <v>761</v>
      </c>
      <c r="LID115" s="197" t="str">
        <f>VLOOKUP(LIC115,[13]AssetDetails_UEM!$A$3:$AH$1849,6,FALSE)</f>
        <v>Electrosurgical Units, Monopolar/Bipolar</v>
      </c>
      <c r="LIE115" s="196" t="s">
        <v>761</v>
      </c>
      <c r="LIF115" s="197" t="str">
        <f>VLOOKUP(LIE115,[13]AssetDetails_UEM!$A$3:$AH$1849,6,FALSE)</f>
        <v>Electrosurgical Units, Monopolar/Bipolar</v>
      </c>
      <c r="LIG115" s="196" t="s">
        <v>761</v>
      </c>
      <c r="LIH115" s="197" t="str">
        <f>VLOOKUP(LIG115,[13]AssetDetails_UEM!$A$3:$AH$1849,6,FALSE)</f>
        <v>Electrosurgical Units, Monopolar/Bipolar</v>
      </c>
      <c r="LII115" s="196" t="s">
        <v>761</v>
      </c>
      <c r="LIJ115" s="197" t="str">
        <f>VLOOKUP(LII115,[13]AssetDetails_UEM!$A$3:$AH$1849,6,FALSE)</f>
        <v>Electrosurgical Units, Monopolar/Bipolar</v>
      </c>
      <c r="LIK115" s="196" t="s">
        <v>761</v>
      </c>
      <c r="LIL115" s="197" t="str">
        <f>VLOOKUP(LIK115,[13]AssetDetails_UEM!$A$3:$AH$1849,6,FALSE)</f>
        <v>Electrosurgical Units, Monopolar/Bipolar</v>
      </c>
      <c r="LIM115" s="196" t="s">
        <v>761</v>
      </c>
      <c r="LIN115" s="197" t="str">
        <f>VLOOKUP(LIM115,[13]AssetDetails_UEM!$A$3:$AH$1849,6,FALSE)</f>
        <v>Electrosurgical Units, Monopolar/Bipolar</v>
      </c>
      <c r="LIO115" s="196" t="s">
        <v>761</v>
      </c>
      <c r="LIP115" s="197" t="str">
        <f>VLOOKUP(LIO115,[13]AssetDetails_UEM!$A$3:$AH$1849,6,FALSE)</f>
        <v>Electrosurgical Units, Monopolar/Bipolar</v>
      </c>
      <c r="LIQ115" s="196" t="s">
        <v>761</v>
      </c>
      <c r="LIR115" s="197" t="str">
        <f>VLOOKUP(LIQ115,[13]AssetDetails_UEM!$A$3:$AH$1849,6,FALSE)</f>
        <v>Electrosurgical Units, Monopolar/Bipolar</v>
      </c>
      <c r="LIS115" s="196" t="s">
        <v>761</v>
      </c>
      <c r="LIT115" s="197" t="str">
        <f>VLOOKUP(LIS115,[13]AssetDetails_UEM!$A$3:$AH$1849,6,FALSE)</f>
        <v>Electrosurgical Units, Monopolar/Bipolar</v>
      </c>
      <c r="LIU115" s="196" t="s">
        <v>761</v>
      </c>
      <c r="LIV115" s="197" t="str">
        <f>VLOOKUP(LIU115,[13]AssetDetails_UEM!$A$3:$AH$1849,6,FALSE)</f>
        <v>Electrosurgical Units, Monopolar/Bipolar</v>
      </c>
      <c r="LIW115" s="196" t="s">
        <v>761</v>
      </c>
      <c r="LIX115" s="197" t="str">
        <f>VLOOKUP(LIW115,[13]AssetDetails_UEM!$A$3:$AH$1849,6,FALSE)</f>
        <v>Electrosurgical Units, Monopolar/Bipolar</v>
      </c>
      <c r="LIY115" s="196" t="s">
        <v>761</v>
      </c>
      <c r="LIZ115" s="197" t="str">
        <f>VLOOKUP(LIY115,[13]AssetDetails_UEM!$A$3:$AH$1849,6,FALSE)</f>
        <v>Electrosurgical Units, Monopolar/Bipolar</v>
      </c>
      <c r="LJA115" s="196" t="s">
        <v>761</v>
      </c>
      <c r="LJB115" s="197" t="str">
        <f>VLOOKUP(LJA115,[13]AssetDetails_UEM!$A$3:$AH$1849,6,FALSE)</f>
        <v>Electrosurgical Units, Monopolar/Bipolar</v>
      </c>
      <c r="LJC115" s="196" t="s">
        <v>761</v>
      </c>
      <c r="LJD115" s="197" t="str">
        <f>VLOOKUP(LJC115,[13]AssetDetails_UEM!$A$3:$AH$1849,6,FALSE)</f>
        <v>Electrosurgical Units, Monopolar/Bipolar</v>
      </c>
      <c r="LJE115" s="196" t="s">
        <v>761</v>
      </c>
      <c r="LJF115" s="197" t="str">
        <f>VLOOKUP(LJE115,[13]AssetDetails_UEM!$A$3:$AH$1849,6,FALSE)</f>
        <v>Electrosurgical Units, Monopolar/Bipolar</v>
      </c>
      <c r="LJG115" s="196" t="s">
        <v>761</v>
      </c>
      <c r="LJH115" s="197" t="str">
        <f>VLOOKUP(LJG115,[13]AssetDetails_UEM!$A$3:$AH$1849,6,FALSE)</f>
        <v>Electrosurgical Units, Monopolar/Bipolar</v>
      </c>
      <c r="LJI115" s="196" t="s">
        <v>761</v>
      </c>
      <c r="LJJ115" s="197" t="str">
        <f>VLOOKUP(LJI115,[13]AssetDetails_UEM!$A$3:$AH$1849,6,FALSE)</f>
        <v>Electrosurgical Units, Monopolar/Bipolar</v>
      </c>
      <c r="LJK115" s="196" t="s">
        <v>761</v>
      </c>
      <c r="LJL115" s="197" t="str">
        <f>VLOOKUP(LJK115,[13]AssetDetails_UEM!$A$3:$AH$1849,6,FALSE)</f>
        <v>Electrosurgical Units, Monopolar/Bipolar</v>
      </c>
      <c r="LJM115" s="196" t="s">
        <v>761</v>
      </c>
      <c r="LJN115" s="197" t="str">
        <f>VLOOKUP(LJM115,[13]AssetDetails_UEM!$A$3:$AH$1849,6,FALSE)</f>
        <v>Electrosurgical Units, Monopolar/Bipolar</v>
      </c>
      <c r="LJO115" s="196" t="s">
        <v>761</v>
      </c>
      <c r="LJP115" s="197" t="str">
        <f>VLOOKUP(LJO115,[13]AssetDetails_UEM!$A$3:$AH$1849,6,FALSE)</f>
        <v>Electrosurgical Units, Monopolar/Bipolar</v>
      </c>
      <c r="LJQ115" s="196" t="s">
        <v>761</v>
      </c>
      <c r="LJR115" s="197" t="str">
        <f>VLOOKUP(LJQ115,[13]AssetDetails_UEM!$A$3:$AH$1849,6,FALSE)</f>
        <v>Electrosurgical Units, Monopolar/Bipolar</v>
      </c>
      <c r="LJS115" s="196" t="s">
        <v>761</v>
      </c>
      <c r="LJT115" s="197" t="str">
        <f>VLOOKUP(LJS115,[13]AssetDetails_UEM!$A$3:$AH$1849,6,FALSE)</f>
        <v>Electrosurgical Units, Monopolar/Bipolar</v>
      </c>
      <c r="LJU115" s="196" t="s">
        <v>761</v>
      </c>
      <c r="LJV115" s="197" t="str">
        <f>VLOOKUP(LJU115,[13]AssetDetails_UEM!$A$3:$AH$1849,6,FALSE)</f>
        <v>Electrosurgical Units, Monopolar/Bipolar</v>
      </c>
      <c r="LJW115" s="196" t="s">
        <v>761</v>
      </c>
      <c r="LJX115" s="197" t="str">
        <f>VLOOKUP(LJW115,[13]AssetDetails_UEM!$A$3:$AH$1849,6,FALSE)</f>
        <v>Electrosurgical Units, Monopolar/Bipolar</v>
      </c>
      <c r="LJY115" s="196" t="s">
        <v>761</v>
      </c>
      <c r="LJZ115" s="197" t="str">
        <f>VLOOKUP(LJY115,[13]AssetDetails_UEM!$A$3:$AH$1849,6,FALSE)</f>
        <v>Electrosurgical Units, Monopolar/Bipolar</v>
      </c>
      <c r="LKA115" s="196" t="s">
        <v>761</v>
      </c>
      <c r="LKB115" s="197" t="str">
        <f>VLOOKUP(LKA115,[13]AssetDetails_UEM!$A$3:$AH$1849,6,FALSE)</f>
        <v>Electrosurgical Units, Monopolar/Bipolar</v>
      </c>
      <c r="LKC115" s="196" t="s">
        <v>761</v>
      </c>
      <c r="LKD115" s="197" t="str">
        <f>VLOOKUP(LKC115,[13]AssetDetails_UEM!$A$3:$AH$1849,6,FALSE)</f>
        <v>Electrosurgical Units, Monopolar/Bipolar</v>
      </c>
      <c r="LKE115" s="196" t="s">
        <v>761</v>
      </c>
      <c r="LKF115" s="197" t="str">
        <f>VLOOKUP(LKE115,[13]AssetDetails_UEM!$A$3:$AH$1849,6,FALSE)</f>
        <v>Electrosurgical Units, Monopolar/Bipolar</v>
      </c>
      <c r="LKG115" s="196" t="s">
        <v>761</v>
      </c>
      <c r="LKH115" s="197" t="str">
        <f>VLOOKUP(LKG115,[13]AssetDetails_UEM!$A$3:$AH$1849,6,FALSE)</f>
        <v>Electrosurgical Units, Monopolar/Bipolar</v>
      </c>
      <c r="LKI115" s="196" t="s">
        <v>761</v>
      </c>
      <c r="LKJ115" s="197" t="str">
        <f>VLOOKUP(LKI115,[13]AssetDetails_UEM!$A$3:$AH$1849,6,FALSE)</f>
        <v>Electrosurgical Units, Monopolar/Bipolar</v>
      </c>
      <c r="LKK115" s="196" t="s">
        <v>761</v>
      </c>
      <c r="LKL115" s="197" t="str">
        <f>VLOOKUP(LKK115,[13]AssetDetails_UEM!$A$3:$AH$1849,6,FALSE)</f>
        <v>Electrosurgical Units, Monopolar/Bipolar</v>
      </c>
      <c r="LKM115" s="196" t="s">
        <v>761</v>
      </c>
      <c r="LKN115" s="197" t="str">
        <f>VLOOKUP(LKM115,[13]AssetDetails_UEM!$A$3:$AH$1849,6,FALSE)</f>
        <v>Electrosurgical Units, Monopolar/Bipolar</v>
      </c>
      <c r="LKO115" s="196" t="s">
        <v>761</v>
      </c>
      <c r="LKP115" s="197" t="str">
        <f>VLOOKUP(LKO115,[13]AssetDetails_UEM!$A$3:$AH$1849,6,FALSE)</f>
        <v>Electrosurgical Units, Monopolar/Bipolar</v>
      </c>
      <c r="LKQ115" s="196" t="s">
        <v>761</v>
      </c>
      <c r="LKR115" s="197" t="str">
        <f>VLOOKUP(LKQ115,[13]AssetDetails_UEM!$A$3:$AH$1849,6,FALSE)</f>
        <v>Electrosurgical Units, Monopolar/Bipolar</v>
      </c>
      <c r="LKS115" s="196" t="s">
        <v>761</v>
      </c>
      <c r="LKT115" s="197" t="str">
        <f>VLOOKUP(LKS115,[13]AssetDetails_UEM!$A$3:$AH$1849,6,FALSE)</f>
        <v>Electrosurgical Units, Monopolar/Bipolar</v>
      </c>
      <c r="LKU115" s="196" t="s">
        <v>761</v>
      </c>
      <c r="LKV115" s="197" t="str">
        <f>VLOOKUP(LKU115,[13]AssetDetails_UEM!$A$3:$AH$1849,6,FALSE)</f>
        <v>Electrosurgical Units, Monopolar/Bipolar</v>
      </c>
      <c r="LKW115" s="196" t="s">
        <v>761</v>
      </c>
      <c r="LKX115" s="197" t="str">
        <f>VLOOKUP(LKW115,[13]AssetDetails_UEM!$A$3:$AH$1849,6,FALSE)</f>
        <v>Electrosurgical Units, Monopolar/Bipolar</v>
      </c>
      <c r="LKY115" s="196" t="s">
        <v>761</v>
      </c>
      <c r="LKZ115" s="197" t="str">
        <f>VLOOKUP(LKY115,[13]AssetDetails_UEM!$A$3:$AH$1849,6,FALSE)</f>
        <v>Electrosurgical Units, Monopolar/Bipolar</v>
      </c>
      <c r="LLA115" s="196" t="s">
        <v>761</v>
      </c>
      <c r="LLB115" s="197" t="str">
        <f>VLOOKUP(LLA115,[13]AssetDetails_UEM!$A$3:$AH$1849,6,FALSE)</f>
        <v>Electrosurgical Units, Monopolar/Bipolar</v>
      </c>
      <c r="LLC115" s="196" t="s">
        <v>761</v>
      </c>
      <c r="LLD115" s="197" t="str">
        <f>VLOOKUP(LLC115,[13]AssetDetails_UEM!$A$3:$AH$1849,6,FALSE)</f>
        <v>Electrosurgical Units, Monopolar/Bipolar</v>
      </c>
      <c r="LLE115" s="196" t="s">
        <v>761</v>
      </c>
      <c r="LLF115" s="197" t="str">
        <f>VLOOKUP(LLE115,[13]AssetDetails_UEM!$A$3:$AH$1849,6,FALSE)</f>
        <v>Electrosurgical Units, Monopolar/Bipolar</v>
      </c>
      <c r="LLG115" s="196" t="s">
        <v>761</v>
      </c>
      <c r="LLH115" s="197" t="str">
        <f>VLOOKUP(LLG115,[13]AssetDetails_UEM!$A$3:$AH$1849,6,FALSE)</f>
        <v>Electrosurgical Units, Monopolar/Bipolar</v>
      </c>
      <c r="LLI115" s="196" t="s">
        <v>761</v>
      </c>
      <c r="LLJ115" s="197" t="str">
        <f>VLOOKUP(LLI115,[13]AssetDetails_UEM!$A$3:$AH$1849,6,FALSE)</f>
        <v>Electrosurgical Units, Monopolar/Bipolar</v>
      </c>
      <c r="LLK115" s="196" t="s">
        <v>761</v>
      </c>
      <c r="LLL115" s="197" t="str">
        <f>VLOOKUP(LLK115,[13]AssetDetails_UEM!$A$3:$AH$1849,6,FALSE)</f>
        <v>Electrosurgical Units, Monopolar/Bipolar</v>
      </c>
      <c r="LLM115" s="196" t="s">
        <v>761</v>
      </c>
      <c r="LLN115" s="197" t="str">
        <f>VLOOKUP(LLM115,[13]AssetDetails_UEM!$A$3:$AH$1849,6,FALSE)</f>
        <v>Electrosurgical Units, Monopolar/Bipolar</v>
      </c>
      <c r="LLO115" s="196" t="s">
        <v>761</v>
      </c>
      <c r="LLP115" s="197" t="str">
        <f>VLOOKUP(LLO115,[13]AssetDetails_UEM!$A$3:$AH$1849,6,FALSE)</f>
        <v>Electrosurgical Units, Monopolar/Bipolar</v>
      </c>
      <c r="LLQ115" s="196" t="s">
        <v>761</v>
      </c>
      <c r="LLR115" s="197" t="str">
        <f>VLOOKUP(LLQ115,[13]AssetDetails_UEM!$A$3:$AH$1849,6,FALSE)</f>
        <v>Electrosurgical Units, Monopolar/Bipolar</v>
      </c>
      <c r="LLS115" s="196" t="s">
        <v>761</v>
      </c>
      <c r="LLT115" s="197" t="str">
        <f>VLOOKUP(LLS115,[13]AssetDetails_UEM!$A$3:$AH$1849,6,FALSE)</f>
        <v>Electrosurgical Units, Monopolar/Bipolar</v>
      </c>
      <c r="LLU115" s="196" t="s">
        <v>761</v>
      </c>
      <c r="LLV115" s="197" t="str">
        <f>VLOOKUP(LLU115,[13]AssetDetails_UEM!$A$3:$AH$1849,6,FALSE)</f>
        <v>Electrosurgical Units, Monopolar/Bipolar</v>
      </c>
      <c r="LLW115" s="196" t="s">
        <v>761</v>
      </c>
      <c r="LLX115" s="197" t="str">
        <f>VLOOKUP(LLW115,[13]AssetDetails_UEM!$A$3:$AH$1849,6,FALSE)</f>
        <v>Electrosurgical Units, Monopolar/Bipolar</v>
      </c>
      <c r="LLY115" s="196" t="s">
        <v>761</v>
      </c>
      <c r="LLZ115" s="197" t="str">
        <f>VLOOKUP(LLY115,[13]AssetDetails_UEM!$A$3:$AH$1849,6,FALSE)</f>
        <v>Electrosurgical Units, Monopolar/Bipolar</v>
      </c>
      <c r="LMA115" s="196" t="s">
        <v>761</v>
      </c>
      <c r="LMB115" s="197" t="str">
        <f>VLOOKUP(LMA115,[13]AssetDetails_UEM!$A$3:$AH$1849,6,FALSE)</f>
        <v>Electrosurgical Units, Monopolar/Bipolar</v>
      </c>
      <c r="LMC115" s="196" t="s">
        <v>761</v>
      </c>
      <c r="LMD115" s="197" t="str">
        <f>VLOOKUP(LMC115,[13]AssetDetails_UEM!$A$3:$AH$1849,6,FALSE)</f>
        <v>Electrosurgical Units, Monopolar/Bipolar</v>
      </c>
      <c r="LME115" s="196" t="s">
        <v>761</v>
      </c>
      <c r="LMF115" s="197" t="str">
        <f>VLOOKUP(LME115,[13]AssetDetails_UEM!$A$3:$AH$1849,6,FALSE)</f>
        <v>Electrosurgical Units, Monopolar/Bipolar</v>
      </c>
      <c r="LMG115" s="196" t="s">
        <v>761</v>
      </c>
      <c r="LMH115" s="197" t="str">
        <f>VLOOKUP(LMG115,[13]AssetDetails_UEM!$A$3:$AH$1849,6,FALSE)</f>
        <v>Electrosurgical Units, Monopolar/Bipolar</v>
      </c>
      <c r="LMI115" s="196" t="s">
        <v>761</v>
      </c>
      <c r="LMJ115" s="197" t="str">
        <f>VLOOKUP(LMI115,[13]AssetDetails_UEM!$A$3:$AH$1849,6,FALSE)</f>
        <v>Electrosurgical Units, Monopolar/Bipolar</v>
      </c>
      <c r="LMK115" s="196" t="s">
        <v>761</v>
      </c>
      <c r="LML115" s="197" t="str">
        <f>VLOOKUP(LMK115,[13]AssetDetails_UEM!$A$3:$AH$1849,6,FALSE)</f>
        <v>Electrosurgical Units, Monopolar/Bipolar</v>
      </c>
      <c r="LMM115" s="196" t="s">
        <v>761</v>
      </c>
      <c r="LMN115" s="197" t="str">
        <f>VLOOKUP(LMM115,[13]AssetDetails_UEM!$A$3:$AH$1849,6,FALSE)</f>
        <v>Electrosurgical Units, Monopolar/Bipolar</v>
      </c>
      <c r="LMO115" s="196" t="s">
        <v>761</v>
      </c>
      <c r="LMP115" s="197" t="str">
        <f>VLOOKUP(LMO115,[13]AssetDetails_UEM!$A$3:$AH$1849,6,FALSE)</f>
        <v>Electrosurgical Units, Monopolar/Bipolar</v>
      </c>
      <c r="LMQ115" s="196" t="s">
        <v>761</v>
      </c>
      <c r="LMR115" s="197" t="str">
        <f>VLOOKUP(LMQ115,[13]AssetDetails_UEM!$A$3:$AH$1849,6,FALSE)</f>
        <v>Electrosurgical Units, Monopolar/Bipolar</v>
      </c>
      <c r="LMS115" s="196" t="s">
        <v>761</v>
      </c>
      <c r="LMT115" s="197" t="str">
        <f>VLOOKUP(LMS115,[13]AssetDetails_UEM!$A$3:$AH$1849,6,FALSE)</f>
        <v>Electrosurgical Units, Monopolar/Bipolar</v>
      </c>
      <c r="LMU115" s="196" t="s">
        <v>761</v>
      </c>
      <c r="LMV115" s="197" t="str">
        <f>VLOOKUP(LMU115,[13]AssetDetails_UEM!$A$3:$AH$1849,6,FALSE)</f>
        <v>Electrosurgical Units, Monopolar/Bipolar</v>
      </c>
      <c r="LMW115" s="196" t="s">
        <v>761</v>
      </c>
      <c r="LMX115" s="197" t="str">
        <f>VLOOKUP(LMW115,[13]AssetDetails_UEM!$A$3:$AH$1849,6,FALSE)</f>
        <v>Electrosurgical Units, Monopolar/Bipolar</v>
      </c>
      <c r="LMY115" s="196" t="s">
        <v>761</v>
      </c>
      <c r="LMZ115" s="197" t="str">
        <f>VLOOKUP(LMY115,[13]AssetDetails_UEM!$A$3:$AH$1849,6,FALSE)</f>
        <v>Electrosurgical Units, Monopolar/Bipolar</v>
      </c>
      <c r="LNA115" s="196" t="s">
        <v>761</v>
      </c>
      <c r="LNB115" s="197" t="str">
        <f>VLOOKUP(LNA115,[13]AssetDetails_UEM!$A$3:$AH$1849,6,FALSE)</f>
        <v>Electrosurgical Units, Monopolar/Bipolar</v>
      </c>
      <c r="LNC115" s="196" t="s">
        <v>761</v>
      </c>
      <c r="LND115" s="197" t="str">
        <f>VLOOKUP(LNC115,[13]AssetDetails_UEM!$A$3:$AH$1849,6,FALSE)</f>
        <v>Electrosurgical Units, Monopolar/Bipolar</v>
      </c>
      <c r="LNE115" s="196" t="s">
        <v>761</v>
      </c>
      <c r="LNF115" s="197" t="str">
        <f>VLOOKUP(LNE115,[13]AssetDetails_UEM!$A$3:$AH$1849,6,FALSE)</f>
        <v>Electrosurgical Units, Monopolar/Bipolar</v>
      </c>
      <c r="LNG115" s="196" t="s">
        <v>761</v>
      </c>
      <c r="LNH115" s="197" t="str">
        <f>VLOOKUP(LNG115,[13]AssetDetails_UEM!$A$3:$AH$1849,6,FALSE)</f>
        <v>Electrosurgical Units, Monopolar/Bipolar</v>
      </c>
      <c r="LNI115" s="196" t="s">
        <v>761</v>
      </c>
      <c r="LNJ115" s="197" t="str">
        <f>VLOOKUP(LNI115,[13]AssetDetails_UEM!$A$3:$AH$1849,6,FALSE)</f>
        <v>Electrosurgical Units, Monopolar/Bipolar</v>
      </c>
      <c r="LNK115" s="196" t="s">
        <v>761</v>
      </c>
      <c r="LNL115" s="197" t="str">
        <f>VLOOKUP(LNK115,[13]AssetDetails_UEM!$A$3:$AH$1849,6,FALSE)</f>
        <v>Electrosurgical Units, Monopolar/Bipolar</v>
      </c>
      <c r="LNM115" s="196" t="s">
        <v>761</v>
      </c>
      <c r="LNN115" s="197" t="str">
        <f>VLOOKUP(LNM115,[13]AssetDetails_UEM!$A$3:$AH$1849,6,FALSE)</f>
        <v>Electrosurgical Units, Monopolar/Bipolar</v>
      </c>
      <c r="LNO115" s="196" t="s">
        <v>761</v>
      </c>
      <c r="LNP115" s="197" t="str">
        <f>VLOOKUP(LNO115,[13]AssetDetails_UEM!$A$3:$AH$1849,6,FALSE)</f>
        <v>Electrosurgical Units, Monopolar/Bipolar</v>
      </c>
      <c r="LNQ115" s="196" t="s">
        <v>761</v>
      </c>
      <c r="LNR115" s="197" t="str">
        <f>VLOOKUP(LNQ115,[13]AssetDetails_UEM!$A$3:$AH$1849,6,FALSE)</f>
        <v>Electrosurgical Units, Monopolar/Bipolar</v>
      </c>
      <c r="LNS115" s="196" t="s">
        <v>761</v>
      </c>
      <c r="LNT115" s="197" t="str">
        <f>VLOOKUP(LNS115,[13]AssetDetails_UEM!$A$3:$AH$1849,6,FALSE)</f>
        <v>Electrosurgical Units, Monopolar/Bipolar</v>
      </c>
      <c r="LNU115" s="196" t="s">
        <v>761</v>
      </c>
      <c r="LNV115" s="197" t="str">
        <f>VLOOKUP(LNU115,[13]AssetDetails_UEM!$A$3:$AH$1849,6,FALSE)</f>
        <v>Electrosurgical Units, Monopolar/Bipolar</v>
      </c>
      <c r="LNW115" s="196" t="s">
        <v>761</v>
      </c>
      <c r="LNX115" s="197" t="str">
        <f>VLOOKUP(LNW115,[13]AssetDetails_UEM!$A$3:$AH$1849,6,FALSE)</f>
        <v>Electrosurgical Units, Monopolar/Bipolar</v>
      </c>
      <c r="LNY115" s="196" t="s">
        <v>761</v>
      </c>
      <c r="LNZ115" s="197" t="str">
        <f>VLOOKUP(LNY115,[13]AssetDetails_UEM!$A$3:$AH$1849,6,FALSE)</f>
        <v>Electrosurgical Units, Monopolar/Bipolar</v>
      </c>
      <c r="LOA115" s="196" t="s">
        <v>761</v>
      </c>
      <c r="LOB115" s="197" t="str">
        <f>VLOOKUP(LOA115,[13]AssetDetails_UEM!$A$3:$AH$1849,6,FALSE)</f>
        <v>Electrosurgical Units, Monopolar/Bipolar</v>
      </c>
      <c r="LOC115" s="196" t="s">
        <v>761</v>
      </c>
      <c r="LOD115" s="197" t="str">
        <f>VLOOKUP(LOC115,[13]AssetDetails_UEM!$A$3:$AH$1849,6,FALSE)</f>
        <v>Electrosurgical Units, Monopolar/Bipolar</v>
      </c>
      <c r="LOE115" s="196" t="s">
        <v>761</v>
      </c>
      <c r="LOF115" s="197" t="str">
        <f>VLOOKUP(LOE115,[13]AssetDetails_UEM!$A$3:$AH$1849,6,FALSE)</f>
        <v>Electrosurgical Units, Monopolar/Bipolar</v>
      </c>
      <c r="LOG115" s="196" t="s">
        <v>761</v>
      </c>
      <c r="LOH115" s="197" t="str">
        <f>VLOOKUP(LOG115,[13]AssetDetails_UEM!$A$3:$AH$1849,6,FALSE)</f>
        <v>Electrosurgical Units, Monopolar/Bipolar</v>
      </c>
      <c r="LOI115" s="196" t="s">
        <v>761</v>
      </c>
      <c r="LOJ115" s="197" t="str">
        <f>VLOOKUP(LOI115,[13]AssetDetails_UEM!$A$3:$AH$1849,6,FALSE)</f>
        <v>Electrosurgical Units, Monopolar/Bipolar</v>
      </c>
      <c r="LOK115" s="196" t="s">
        <v>761</v>
      </c>
      <c r="LOL115" s="197" t="str">
        <f>VLOOKUP(LOK115,[13]AssetDetails_UEM!$A$3:$AH$1849,6,FALSE)</f>
        <v>Electrosurgical Units, Monopolar/Bipolar</v>
      </c>
      <c r="LOM115" s="196" t="s">
        <v>761</v>
      </c>
      <c r="LON115" s="197" t="str">
        <f>VLOOKUP(LOM115,[13]AssetDetails_UEM!$A$3:$AH$1849,6,FALSE)</f>
        <v>Electrosurgical Units, Monopolar/Bipolar</v>
      </c>
      <c r="LOO115" s="196" t="s">
        <v>761</v>
      </c>
      <c r="LOP115" s="197" t="str">
        <f>VLOOKUP(LOO115,[13]AssetDetails_UEM!$A$3:$AH$1849,6,FALSE)</f>
        <v>Electrosurgical Units, Monopolar/Bipolar</v>
      </c>
      <c r="LOQ115" s="196" t="s">
        <v>761</v>
      </c>
      <c r="LOR115" s="197" t="str">
        <f>VLOOKUP(LOQ115,[13]AssetDetails_UEM!$A$3:$AH$1849,6,FALSE)</f>
        <v>Electrosurgical Units, Monopolar/Bipolar</v>
      </c>
      <c r="LOS115" s="196" t="s">
        <v>761</v>
      </c>
      <c r="LOT115" s="197" t="str">
        <f>VLOOKUP(LOS115,[13]AssetDetails_UEM!$A$3:$AH$1849,6,FALSE)</f>
        <v>Electrosurgical Units, Monopolar/Bipolar</v>
      </c>
      <c r="LOU115" s="196" t="s">
        <v>761</v>
      </c>
      <c r="LOV115" s="197" t="str">
        <f>VLOOKUP(LOU115,[13]AssetDetails_UEM!$A$3:$AH$1849,6,FALSE)</f>
        <v>Electrosurgical Units, Monopolar/Bipolar</v>
      </c>
      <c r="LOW115" s="196" t="s">
        <v>761</v>
      </c>
      <c r="LOX115" s="197" t="str">
        <f>VLOOKUP(LOW115,[13]AssetDetails_UEM!$A$3:$AH$1849,6,FALSE)</f>
        <v>Electrosurgical Units, Monopolar/Bipolar</v>
      </c>
      <c r="LOY115" s="196" t="s">
        <v>761</v>
      </c>
      <c r="LOZ115" s="197" t="str">
        <f>VLOOKUP(LOY115,[13]AssetDetails_UEM!$A$3:$AH$1849,6,FALSE)</f>
        <v>Electrosurgical Units, Monopolar/Bipolar</v>
      </c>
      <c r="LPA115" s="196" t="s">
        <v>761</v>
      </c>
      <c r="LPB115" s="197" t="str">
        <f>VLOOKUP(LPA115,[13]AssetDetails_UEM!$A$3:$AH$1849,6,FALSE)</f>
        <v>Electrosurgical Units, Monopolar/Bipolar</v>
      </c>
      <c r="LPC115" s="196" t="s">
        <v>761</v>
      </c>
      <c r="LPD115" s="197" t="str">
        <f>VLOOKUP(LPC115,[13]AssetDetails_UEM!$A$3:$AH$1849,6,FALSE)</f>
        <v>Electrosurgical Units, Monopolar/Bipolar</v>
      </c>
      <c r="LPE115" s="196" t="s">
        <v>761</v>
      </c>
      <c r="LPF115" s="197" t="str">
        <f>VLOOKUP(LPE115,[13]AssetDetails_UEM!$A$3:$AH$1849,6,FALSE)</f>
        <v>Electrosurgical Units, Monopolar/Bipolar</v>
      </c>
      <c r="LPG115" s="196" t="s">
        <v>761</v>
      </c>
      <c r="LPH115" s="197" t="str">
        <f>VLOOKUP(LPG115,[13]AssetDetails_UEM!$A$3:$AH$1849,6,FALSE)</f>
        <v>Electrosurgical Units, Monopolar/Bipolar</v>
      </c>
      <c r="LPI115" s="196" t="s">
        <v>761</v>
      </c>
      <c r="LPJ115" s="197" t="str">
        <f>VLOOKUP(LPI115,[13]AssetDetails_UEM!$A$3:$AH$1849,6,FALSE)</f>
        <v>Electrosurgical Units, Monopolar/Bipolar</v>
      </c>
      <c r="LPK115" s="196" t="s">
        <v>761</v>
      </c>
      <c r="LPL115" s="197" t="str">
        <f>VLOOKUP(LPK115,[13]AssetDetails_UEM!$A$3:$AH$1849,6,FALSE)</f>
        <v>Electrosurgical Units, Monopolar/Bipolar</v>
      </c>
      <c r="LPM115" s="196" t="s">
        <v>761</v>
      </c>
      <c r="LPN115" s="197" t="str">
        <f>VLOOKUP(LPM115,[13]AssetDetails_UEM!$A$3:$AH$1849,6,FALSE)</f>
        <v>Electrosurgical Units, Monopolar/Bipolar</v>
      </c>
      <c r="LPO115" s="196" t="s">
        <v>761</v>
      </c>
      <c r="LPP115" s="197" t="str">
        <f>VLOOKUP(LPO115,[13]AssetDetails_UEM!$A$3:$AH$1849,6,FALSE)</f>
        <v>Electrosurgical Units, Monopolar/Bipolar</v>
      </c>
      <c r="LPQ115" s="196" t="s">
        <v>761</v>
      </c>
      <c r="LPR115" s="197" t="str">
        <f>VLOOKUP(LPQ115,[13]AssetDetails_UEM!$A$3:$AH$1849,6,FALSE)</f>
        <v>Electrosurgical Units, Monopolar/Bipolar</v>
      </c>
      <c r="LPS115" s="196" t="s">
        <v>761</v>
      </c>
      <c r="LPT115" s="197" t="str">
        <f>VLOOKUP(LPS115,[13]AssetDetails_UEM!$A$3:$AH$1849,6,FALSE)</f>
        <v>Electrosurgical Units, Monopolar/Bipolar</v>
      </c>
      <c r="LPU115" s="196" t="s">
        <v>761</v>
      </c>
      <c r="LPV115" s="197" t="str">
        <f>VLOOKUP(LPU115,[13]AssetDetails_UEM!$A$3:$AH$1849,6,FALSE)</f>
        <v>Electrosurgical Units, Monopolar/Bipolar</v>
      </c>
      <c r="LPW115" s="196" t="s">
        <v>761</v>
      </c>
      <c r="LPX115" s="197" t="str">
        <f>VLOOKUP(LPW115,[13]AssetDetails_UEM!$A$3:$AH$1849,6,FALSE)</f>
        <v>Electrosurgical Units, Monopolar/Bipolar</v>
      </c>
      <c r="LPY115" s="196" t="s">
        <v>761</v>
      </c>
      <c r="LPZ115" s="197" t="str">
        <f>VLOOKUP(LPY115,[13]AssetDetails_UEM!$A$3:$AH$1849,6,FALSE)</f>
        <v>Electrosurgical Units, Monopolar/Bipolar</v>
      </c>
      <c r="LQA115" s="196" t="s">
        <v>761</v>
      </c>
      <c r="LQB115" s="197" t="str">
        <f>VLOOKUP(LQA115,[13]AssetDetails_UEM!$A$3:$AH$1849,6,FALSE)</f>
        <v>Electrosurgical Units, Monopolar/Bipolar</v>
      </c>
      <c r="LQC115" s="196" t="s">
        <v>761</v>
      </c>
      <c r="LQD115" s="197" t="str">
        <f>VLOOKUP(LQC115,[13]AssetDetails_UEM!$A$3:$AH$1849,6,FALSE)</f>
        <v>Electrosurgical Units, Monopolar/Bipolar</v>
      </c>
      <c r="LQE115" s="196" t="s">
        <v>761</v>
      </c>
      <c r="LQF115" s="197" t="str">
        <f>VLOOKUP(LQE115,[13]AssetDetails_UEM!$A$3:$AH$1849,6,FALSE)</f>
        <v>Electrosurgical Units, Monopolar/Bipolar</v>
      </c>
      <c r="LQG115" s="196" t="s">
        <v>761</v>
      </c>
      <c r="LQH115" s="197" t="str">
        <f>VLOOKUP(LQG115,[13]AssetDetails_UEM!$A$3:$AH$1849,6,FALSE)</f>
        <v>Electrosurgical Units, Monopolar/Bipolar</v>
      </c>
      <c r="LQI115" s="196" t="s">
        <v>761</v>
      </c>
      <c r="LQJ115" s="197" t="str">
        <f>VLOOKUP(LQI115,[13]AssetDetails_UEM!$A$3:$AH$1849,6,FALSE)</f>
        <v>Electrosurgical Units, Monopolar/Bipolar</v>
      </c>
      <c r="LQK115" s="196" t="s">
        <v>761</v>
      </c>
      <c r="LQL115" s="197" t="str">
        <f>VLOOKUP(LQK115,[13]AssetDetails_UEM!$A$3:$AH$1849,6,FALSE)</f>
        <v>Electrosurgical Units, Monopolar/Bipolar</v>
      </c>
      <c r="LQM115" s="196" t="s">
        <v>761</v>
      </c>
      <c r="LQN115" s="197" t="str">
        <f>VLOOKUP(LQM115,[13]AssetDetails_UEM!$A$3:$AH$1849,6,FALSE)</f>
        <v>Electrosurgical Units, Monopolar/Bipolar</v>
      </c>
      <c r="LQO115" s="196" t="s">
        <v>761</v>
      </c>
      <c r="LQP115" s="197" t="str">
        <f>VLOOKUP(LQO115,[13]AssetDetails_UEM!$A$3:$AH$1849,6,FALSE)</f>
        <v>Electrosurgical Units, Monopolar/Bipolar</v>
      </c>
      <c r="LQQ115" s="196" t="s">
        <v>761</v>
      </c>
      <c r="LQR115" s="197" t="str">
        <f>VLOOKUP(LQQ115,[13]AssetDetails_UEM!$A$3:$AH$1849,6,FALSE)</f>
        <v>Electrosurgical Units, Monopolar/Bipolar</v>
      </c>
      <c r="LQS115" s="196" t="s">
        <v>761</v>
      </c>
      <c r="LQT115" s="197" t="str">
        <f>VLOOKUP(LQS115,[13]AssetDetails_UEM!$A$3:$AH$1849,6,FALSE)</f>
        <v>Electrosurgical Units, Monopolar/Bipolar</v>
      </c>
      <c r="LQU115" s="196" t="s">
        <v>761</v>
      </c>
      <c r="LQV115" s="197" t="str">
        <f>VLOOKUP(LQU115,[13]AssetDetails_UEM!$A$3:$AH$1849,6,FALSE)</f>
        <v>Electrosurgical Units, Monopolar/Bipolar</v>
      </c>
      <c r="LQW115" s="196" t="s">
        <v>761</v>
      </c>
      <c r="LQX115" s="197" t="str">
        <f>VLOOKUP(LQW115,[13]AssetDetails_UEM!$A$3:$AH$1849,6,FALSE)</f>
        <v>Electrosurgical Units, Monopolar/Bipolar</v>
      </c>
      <c r="LQY115" s="196" t="s">
        <v>761</v>
      </c>
      <c r="LQZ115" s="197" t="str">
        <f>VLOOKUP(LQY115,[13]AssetDetails_UEM!$A$3:$AH$1849,6,FALSE)</f>
        <v>Electrosurgical Units, Monopolar/Bipolar</v>
      </c>
      <c r="LRA115" s="196" t="s">
        <v>761</v>
      </c>
      <c r="LRB115" s="197" t="str">
        <f>VLOOKUP(LRA115,[13]AssetDetails_UEM!$A$3:$AH$1849,6,FALSE)</f>
        <v>Electrosurgical Units, Monopolar/Bipolar</v>
      </c>
      <c r="LRC115" s="196" t="s">
        <v>761</v>
      </c>
      <c r="LRD115" s="197" t="str">
        <f>VLOOKUP(LRC115,[13]AssetDetails_UEM!$A$3:$AH$1849,6,FALSE)</f>
        <v>Electrosurgical Units, Monopolar/Bipolar</v>
      </c>
      <c r="LRE115" s="196" t="s">
        <v>761</v>
      </c>
      <c r="LRF115" s="197" t="str">
        <f>VLOOKUP(LRE115,[13]AssetDetails_UEM!$A$3:$AH$1849,6,FALSE)</f>
        <v>Electrosurgical Units, Monopolar/Bipolar</v>
      </c>
      <c r="LRG115" s="196" t="s">
        <v>761</v>
      </c>
      <c r="LRH115" s="197" t="str">
        <f>VLOOKUP(LRG115,[13]AssetDetails_UEM!$A$3:$AH$1849,6,FALSE)</f>
        <v>Electrosurgical Units, Monopolar/Bipolar</v>
      </c>
      <c r="LRI115" s="196" t="s">
        <v>761</v>
      </c>
      <c r="LRJ115" s="197" t="str">
        <f>VLOOKUP(LRI115,[13]AssetDetails_UEM!$A$3:$AH$1849,6,FALSE)</f>
        <v>Electrosurgical Units, Monopolar/Bipolar</v>
      </c>
      <c r="LRK115" s="196" t="s">
        <v>761</v>
      </c>
      <c r="LRL115" s="197" t="str">
        <f>VLOOKUP(LRK115,[13]AssetDetails_UEM!$A$3:$AH$1849,6,FALSE)</f>
        <v>Electrosurgical Units, Monopolar/Bipolar</v>
      </c>
      <c r="LRM115" s="196" t="s">
        <v>761</v>
      </c>
      <c r="LRN115" s="197" t="str">
        <f>VLOOKUP(LRM115,[13]AssetDetails_UEM!$A$3:$AH$1849,6,FALSE)</f>
        <v>Electrosurgical Units, Monopolar/Bipolar</v>
      </c>
      <c r="LRO115" s="196" t="s">
        <v>761</v>
      </c>
      <c r="LRP115" s="197" t="str">
        <f>VLOOKUP(LRO115,[13]AssetDetails_UEM!$A$3:$AH$1849,6,FALSE)</f>
        <v>Electrosurgical Units, Monopolar/Bipolar</v>
      </c>
      <c r="LRQ115" s="196" t="s">
        <v>761</v>
      </c>
      <c r="LRR115" s="197" t="str">
        <f>VLOOKUP(LRQ115,[13]AssetDetails_UEM!$A$3:$AH$1849,6,FALSE)</f>
        <v>Electrosurgical Units, Monopolar/Bipolar</v>
      </c>
      <c r="LRS115" s="196" t="s">
        <v>761</v>
      </c>
      <c r="LRT115" s="197" t="str">
        <f>VLOOKUP(LRS115,[13]AssetDetails_UEM!$A$3:$AH$1849,6,FALSE)</f>
        <v>Electrosurgical Units, Monopolar/Bipolar</v>
      </c>
      <c r="LRU115" s="196" t="s">
        <v>761</v>
      </c>
      <c r="LRV115" s="197" t="str">
        <f>VLOOKUP(LRU115,[13]AssetDetails_UEM!$A$3:$AH$1849,6,FALSE)</f>
        <v>Electrosurgical Units, Monopolar/Bipolar</v>
      </c>
      <c r="LRW115" s="196" t="s">
        <v>761</v>
      </c>
      <c r="LRX115" s="197" t="str">
        <f>VLOOKUP(LRW115,[13]AssetDetails_UEM!$A$3:$AH$1849,6,FALSE)</f>
        <v>Electrosurgical Units, Monopolar/Bipolar</v>
      </c>
      <c r="LRY115" s="196" t="s">
        <v>761</v>
      </c>
      <c r="LRZ115" s="197" t="str">
        <f>VLOOKUP(LRY115,[13]AssetDetails_UEM!$A$3:$AH$1849,6,FALSE)</f>
        <v>Electrosurgical Units, Monopolar/Bipolar</v>
      </c>
      <c r="LSA115" s="196" t="s">
        <v>761</v>
      </c>
      <c r="LSB115" s="197" t="str">
        <f>VLOOKUP(LSA115,[13]AssetDetails_UEM!$A$3:$AH$1849,6,FALSE)</f>
        <v>Electrosurgical Units, Monopolar/Bipolar</v>
      </c>
      <c r="LSC115" s="196" t="s">
        <v>761</v>
      </c>
      <c r="LSD115" s="197" t="str">
        <f>VLOOKUP(LSC115,[13]AssetDetails_UEM!$A$3:$AH$1849,6,FALSE)</f>
        <v>Electrosurgical Units, Monopolar/Bipolar</v>
      </c>
      <c r="LSE115" s="196" t="s">
        <v>761</v>
      </c>
      <c r="LSF115" s="197" t="str">
        <f>VLOOKUP(LSE115,[13]AssetDetails_UEM!$A$3:$AH$1849,6,FALSE)</f>
        <v>Electrosurgical Units, Monopolar/Bipolar</v>
      </c>
      <c r="LSG115" s="196" t="s">
        <v>761</v>
      </c>
      <c r="LSH115" s="197" t="str">
        <f>VLOOKUP(LSG115,[13]AssetDetails_UEM!$A$3:$AH$1849,6,FALSE)</f>
        <v>Electrosurgical Units, Monopolar/Bipolar</v>
      </c>
      <c r="LSI115" s="196" t="s">
        <v>761</v>
      </c>
      <c r="LSJ115" s="197" t="str">
        <f>VLOOKUP(LSI115,[13]AssetDetails_UEM!$A$3:$AH$1849,6,FALSE)</f>
        <v>Electrosurgical Units, Monopolar/Bipolar</v>
      </c>
      <c r="LSK115" s="196" t="s">
        <v>761</v>
      </c>
      <c r="LSL115" s="197" t="str">
        <f>VLOOKUP(LSK115,[13]AssetDetails_UEM!$A$3:$AH$1849,6,FALSE)</f>
        <v>Electrosurgical Units, Monopolar/Bipolar</v>
      </c>
      <c r="LSM115" s="196" t="s">
        <v>761</v>
      </c>
      <c r="LSN115" s="197" t="str">
        <f>VLOOKUP(LSM115,[13]AssetDetails_UEM!$A$3:$AH$1849,6,FALSE)</f>
        <v>Electrosurgical Units, Monopolar/Bipolar</v>
      </c>
      <c r="LSO115" s="196" t="s">
        <v>761</v>
      </c>
      <c r="LSP115" s="197" t="str">
        <f>VLOOKUP(LSO115,[13]AssetDetails_UEM!$A$3:$AH$1849,6,FALSE)</f>
        <v>Electrosurgical Units, Monopolar/Bipolar</v>
      </c>
      <c r="LSQ115" s="196" t="s">
        <v>761</v>
      </c>
      <c r="LSR115" s="197" t="str">
        <f>VLOOKUP(LSQ115,[13]AssetDetails_UEM!$A$3:$AH$1849,6,FALSE)</f>
        <v>Electrosurgical Units, Monopolar/Bipolar</v>
      </c>
      <c r="LSS115" s="196" t="s">
        <v>761</v>
      </c>
      <c r="LST115" s="197" t="str">
        <f>VLOOKUP(LSS115,[13]AssetDetails_UEM!$A$3:$AH$1849,6,FALSE)</f>
        <v>Electrosurgical Units, Monopolar/Bipolar</v>
      </c>
      <c r="LSU115" s="196" t="s">
        <v>761</v>
      </c>
      <c r="LSV115" s="197" t="str">
        <f>VLOOKUP(LSU115,[13]AssetDetails_UEM!$A$3:$AH$1849,6,FALSE)</f>
        <v>Electrosurgical Units, Monopolar/Bipolar</v>
      </c>
      <c r="LSW115" s="196" t="s">
        <v>761</v>
      </c>
      <c r="LSX115" s="197" t="str">
        <f>VLOOKUP(LSW115,[13]AssetDetails_UEM!$A$3:$AH$1849,6,FALSE)</f>
        <v>Electrosurgical Units, Monopolar/Bipolar</v>
      </c>
      <c r="LSY115" s="196" t="s">
        <v>761</v>
      </c>
      <c r="LSZ115" s="197" t="str">
        <f>VLOOKUP(LSY115,[13]AssetDetails_UEM!$A$3:$AH$1849,6,FALSE)</f>
        <v>Electrosurgical Units, Monopolar/Bipolar</v>
      </c>
      <c r="LTA115" s="196" t="s">
        <v>761</v>
      </c>
      <c r="LTB115" s="197" t="str">
        <f>VLOOKUP(LTA115,[13]AssetDetails_UEM!$A$3:$AH$1849,6,FALSE)</f>
        <v>Electrosurgical Units, Monopolar/Bipolar</v>
      </c>
      <c r="LTC115" s="196" t="s">
        <v>761</v>
      </c>
      <c r="LTD115" s="197" t="str">
        <f>VLOOKUP(LTC115,[13]AssetDetails_UEM!$A$3:$AH$1849,6,FALSE)</f>
        <v>Electrosurgical Units, Monopolar/Bipolar</v>
      </c>
      <c r="LTE115" s="196" t="s">
        <v>761</v>
      </c>
      <c r="LTF115" s="197" t="str">
        <f>VLOOKUP(LTE115,[13]AssetDetails_UEM!$A$3:$AH$1849,6,FALSE)</f>
        <v>Electrosurgical Units, Monopolar/Bipolar</v>
      </c>
      <c r="LTG115" s="196" t="s">
        <v>761</v>
      </c>
      <c r="LTH115" s="197" t="str">
        <f>VLOOKUP(LTG115,[13]AssetDetails_UEM!$A$3:$AH$1849,6,FALSE)</f>
        <v>Electrosurgical Units, Monopolar/Bipolar</v>
      </c>
      <c r="LTI115" s="196" t="s">
        <v>761</v>
      </c>
      <c r="LTJ115" s="197" t="str">
        <f>VLOOKUP(LTI115,[13]AssetDetails_UEM!$A$3:$AH$1849,6,FALSE)</f>
        <v>Electrosurgical Units, Monopolar/Bipolar</v>
      </c>
      <c r="LTK115" s="196" t="s">
        <v>761</v>
      </c>
      <c r="LTL115" s="197" t="str">
        <f>VLOOKUP(LTK115,[13]AssetDetails_UEM!$A$3:$AH$1849,6,FALSE)</f>
        <v>Electrosurgical Units, Monopolar/Bipolar</v>
      </c>
      <c r="LTM115" s="196" t="s">
        <v>761</v>
      </c>
      <c r="LTN115" s="197" t="str">
        <f>VLOOKUP(LTM115,[13]AssetDetails_UEM!$A$3:$AH$1849,6,FALSE)</f>
        <v>Electrosurgical Units, Monopolar/Bipolar</v>
      </c>
      <c r="LTO115" s="196" t="s">
        <v>761</v>
      </c>
      <c r="LTP115" s="197" t="str">
        <f>VLOOKUP(LTO115,[13]AssetDetails_UEM!$A$3:$AH$1849,6,FALSE)</f>
        <v>Electrosurgical Units, Monopolar/Bipolar</v>
      </c>
      <c r="LTQ115" s="196" t="s">
        <v>761</v>
      </c>
      <c r="LTR115" s="197" t="str">
        <f>VLOOKUP(LTQ115,[13]AssetDetails_UEM!$A$3:$AH$1849,6,FALSE)</f>
        <v>Electrosurgical Units, Monopolar/Bipolar</v>
      </c>
      <c r="LTS115" s="196" t="s">
        <v>761</v>
      </c>
      <c r="LTT115" s="197" t="str">
        <f>VLOOKUP(LTS115,[13]AssetDetails_UEM!$A$3:$AH$1849,6,FALSE)</f>
        <v>Electrosurgical Units, Monopolar/Bipolar</v>
      </c>
      <c r="LTU115" s="196" t="s">
        <v>761</v>
      </c>
      <c r="LTV115" s="197" t="str">
        <f>VLOOKUP(LTU115,[13]AssetDetails_UEM!$A$3:$AH$1849,6,FALSE)</f>
        <v>Electrosurgical Units, Monopolar/Bipolar</v>
      </c>
      <c r="LTW115" s="196" t="s">
        <v>761</v>
      </c>
      <c r="LTX115" s="197" t="str">
        <f>VLOOKUP(LTW115,[13]AssetDetails_UEM!$A$3:$AH$1849,6,FALSE)</f>
        <v>Electrosurgical Units, Monopolar/Bipolar</v>
      </c>
      <c r="LTY115" s="196" t="s">
        <v>761</v>
      </c>
      <c r="LTZ115" s="197" t="str">
        <f>VLOOKUP(LTY115,[13]AssetDetails_UEM!$A$3:$AH$1849,6,FALSE)</f>
        <v>Electrosurgical Units, Monopolar/Bipolar</v>
      </c>
      <c r="LUA115" s="196" t="s">
        <v>761</v>
      </c>
      <c r="LUB115" s="197" t="str">
        <f>VLOOKUP(LUA115,[13]AssetDetails_UEM!$A$3:$AH$1849,6,FALSE)</f>
        <v>Electrosurgical Units, Monopolar/Bipolar</v>
      </c>
      <c r="LUC115" s="196" t="s">
        <v>761</v>
      </c>
      <c r="LUD115" s="197" t="str">
        <f>VLOOKUP(LUC115,[13]AssetDetails_UEM!$A$3:$AH$1849,6,FALSE)</f>
        <v>Electrosurgical Units, Monopolar/Bipolar</v>
      </c>
      <c r="LUE115" s="196" t="s">
        <v>761</v>
      </c>
      <c r="LUF115" s="197" t="str">
        <f>VLOOKUP(LUE115,[13]AssetDetails_UEM!$A$3:$AH$1849,6,FALSE)</f>
        <v>Electrosurgical Units, Monopolar/Bipolar</v>
      </c>
      <c r="LUG115" s="196" t="s">
        <v>761</v>
      </c>
      <c r="LUH115" s="197" t="str">
        <f>VLOOKUP(LUG115,[13]AssetDetails_UEM!$A$3:$AH$1849,6,FALSE)</f>
        <v>Electrosurgical Units, Monopolar/Bipolar</v>
      </c>
      <c r="LUI115" s="196" t="s">
        <v>761</v>
      </c>
      <c r="LUJ115" s="197" t="str">
        <f>VLOOKUP(LUI115,[13]AssetDetails_UEM!$A$3:$AH$1849,6,FALSE)</f>
        <v>Electrosurgical Units, Monopolar/Bipolar</v>
      </c>
      <c r="LUK115" s="196" t="s">
        <v>761</v>
      </c>
      <c r="LUL115" s="197" t="str">
        <f>VLOOKUP(LUK115,[13]AssetDetails_UEM!$A$3:$AH$1849,6,FALSE)</f>
        <v>Electrosurgical Units, Monopolar/Bipolar</v>
      </c>
      <c r="LUM115" s="196" t="s">
        <v>761</v>
      </c>
      <c r="LUN115" s="197" t="str">
        <f>VLOOKUP(LUM115,[13]AssetDetails_UEM!$A$3:$AH$1849,6,FALSE)</f>
        <v>Electrosurgical Units, Monopolar/Bipolar</v>
      </c>
      <c r="LUO115" s="196" t="s">
        <v>761</v>
      </c>
      <c r="LUP115" s="197" t="str">
        <f>VLOOKUP(LUO115,[13]AssetDetails_UEM!$A$3:$AH$1849,6,FALSE)</f>
        <v>Electrosurgical Units, Monopolar/Bipolar</v>
      </c>
      <c r="LUQ115" s="196" t="s">
        <v>761</v>
      </c>
      <c r="LUR115" s="197" t="str">
        <f>VLOOKUP(LUQ115,[13]AssetDetails_UEM!$A$3:$AH$1849,6,FALSE)</f>
        <v>Electrosurgical Units, Monopolar/Bipolar</v>
      </c>
      <c r="LUS115" s="196" t="s">
        <v>761</v>
      </c>
      <c r="LUT115" s="197" t="str">
        <f>VLOOKUP(LUS115,[13]AssetDetails_UEM!$A$3:$AH$1849,6,FALSE)</f>
        <v>Electrosurgical Units, Monopolar/Bipolar</v>
      </c>
      <c r="LUU115" s="196" t="s">
        <v>761</v>
      </c>
      <c r="LUV115" s="197" t="str">
        <f>VLOOKUP(LUU115,[13]AssetDetails_UEM!$A$3:$AH$1849,6,FALSE)</f>
        <v>Electrosurgical Units, Monopolar/Bipolar</v>
      </c>
      <c r="LUW115" s="196" t="s">
        <v>761</v>
      </c>
      <c r="LUX115" s="197" t="str">
        <f>VLOOKUP(LUW115,[13]AssetDetails_UEM!$A$3:$AH$1849,6,FALSE)</f>
        <v>Electrosurgical Units, Monopolar/Bipolar</v>
      </c>
      <c r="LUY115" s="196" t="s">
        <v>761</v>
      </c>
      <c r="LUZ115" s="197" t="str">
        <f>VLOOKUP(LUY115,[13]AssetDetails_UEM!$A$3:$AH$1849,6,FALSE)</f>
        <v>Electrosurgical Units, Monopolar/Bipolar</v>
      </c>
      <c r="LVA115" s="196" t="s">
        <v>761</v>
      </c>
      <c r="LVB115" s="197" t="str">
        <f>VLOOKUP(LVA115,[13]AssetDetails_UEM!$A$3:$AH$1849,6,FALSE)</f>
        <v>Electrosurgical Units, Monopolar/Bipolar</v>
      </c>
      <c r="LVC115" s="196" t="s">
        <v>761</v>
      </c>
      <c r="LVD115" s="197" t="str">
        <f>VLOOKUP(LVC115,[13]AssetDetails_UEM!$A$3:$AH$1849,6,FALSE)</f>
        <v>Electrosurgical Units, Monopolar/Bipolar</v>
      </c>
      <c r="LVE115" s="196" t="s">
        <v>761</v>
      </c>
      <c r="LVF115" s="197" t="str">
        <f>VLOOKUP(LVE115,[13]AssetDetails_UEM!$A$3:$AH$1849,6,FALSE)</f>
        <v>Electrosurgical Units, Monopolar/Bipolar</v>
      </c>
      <c r="LVG115" s="196" t="s">
        <v>761</v>
      </c>
      <c r="LVH115" s="197" t="str">
        <f>VLOOKUP(LVG115,[13]AssetDetails_UEM!$A$3:$AH$1849,6,FALSE)</f>
        <v>Electrosurgical Units, Monopolar/Bipolar</v>
      </c>
      <c r="LVI115" s="196" t="s">
        <v>761</v>
      </c>
      <c r="LVJ115" s="197" t="str">
        <f>VLOOKUP(LVI115,[13]AssetDetails_UEM!$A$3:$AH$1849,6,FALSE)</f>
        <v>Electrosurgical Units, Monopolar/Bipolar</v>
      </c>
      <c r="LVK115" s="196" t="s">
        <v>761</v>
      </c>
      <c r="LVL115" s="197" t="str">
        <f>VLOOKUP(LVK115,[13]AssetDetails_UEM!$A$3:$AH$1849,6,FALSE)</f>
        <v>Electrosurgical Units, Monopolar/Bipolar</v>
      </c>
      <c r="LVM115" s="196" t="s">
        <v>761</v>
      </c>
      <c r="LVN115" s="197" t="str">
        <f>VLOOKUP(LVM115,[13]AssetDetails_UEM!$A$3:$AH$1849,6,FALSE)</f>
        <v>Electrosurgical Units, Monopolar/Bipolar</v>
      </c>
      <c r="LVO115" s="196" t="s">
        <v>761</v>
      </c>
      <c r="LVP115" s="197" t="str">
        <f>VLOOKUP(LVO115,[13]AssetDetails_UEM!$A$3:$AH$1849,6,FALSE)</f>
        <v>Electrosurgical Units, Monopolar/Bipolar</v>
      </c>
      <c r="LVQ115" s="196" t="s">
        <v>761</v>
      </c>
      <c r="LVR115" s="197" t="str">
        <f>VLOOKUP(LVQ115,[13]AssetDetails_UEM!$A$3:$AH$1849,6,FALSE)</f>
        <v>Electrosurgical Units, Monopolar/Bipolar</v>
      </c>
      <c r="LVS115" s="196" t="s">
        <v>761</v>
      </c>
      <c r="LVT115" s="197" t="str">
        <f>VLOOKUP(LVS115,[13]AssetDetails_UEM!$A$3:$AH$1849,6,FALSE)</f>
        <v>Electrosurgical Units, Monopolar/Bipolar</v>
      </c>
      <c r="LVU115" s="196" t="s">
        <v>761</v>
      </c>
      <c r="LVV115" s="197" t="str">
        <f>VLOOKUP(LVU115,[13]AssetDetails_UEM!$A$3:$AH$1849,6,FALSE)</f>
        <v>Electrosurgical Units, Monopolar/Bipolar</v>
      </c>
      <c r="LVW115" s="196" t="s">
        <v>761</v>
      </c>
      <c r="LVX115" s="197" t="str">
        <f>VLOOKUP(LVW115,[13]AssetDetails_UEM!$A$3:$AH$1849,6,FALSE)</f>
        <v>Electrosurgical Units, Monopolar/Bipolar</v>
      </c>
      <c r="LVY115" s="196" t="s">
        <v>761</v>
      </c>
      <c r="LVZ115" s="197" t="str">
        <f>VLOOKUP(LVY115,[13]AssetDetails_UEM!$A$3:$AH$1849,6,FALSE)</f>
        <v>Electrosurgical Units, Monopolar/Bipolar</v>
      </c>
      <c r="LWA115" s="196" t="s">
        <v>761</v>
      </c>
      <c r="LWB115" s="197" t="str">
        <f>VLOOKUP(LWA115,[13]AssetDetails_UEM!$A$3:$AH$1849,6,FALSE)</f>
        <v>Electrosurgical Units, Monopolar/Bipolar</v>
      </c>
      <c r="LWC115" s="196" t="s">
        <v>761</v>
      </c>
      <c r="LWD115" s="197" t="str">
        <f>VLOOKUP(LWC115,[13]AssetDetails_UEM!$A$3:$AH$1849,6,FALSE)</f>
        <v>Electrosurgical Units, Monopolar/Bipolar</v>
      </c>
      <c r="LWE115" s="196" t="s">
        <v>761</v>
      </c>
      <c r="LWF115" s="197" t="str">
        <f>VLOOKUP(LWE115,[13]AssetDetails_UEM!$A$3:$AH$1849,6,FALSE)</f>
        <v>Electrosurgical Units, Monopolar/Bipolar</v>
      </c>
      <c r="LWG115" s="196" t="s">
        <v>761</v>
      </c>
      <c r="LWH115" s="197" t="str">
        <f>VLOOKUP(LWG115,[13]AssetDetails_UEM!$A$3:$AH$1849,6,FALSE)</f>
        <v>Electrosurgical Units, Monopolar/Bipolar</v>
      </c>
      <c r="LWI115" s="196" t="s">
        <v>761</v>
      </c>
      <c r="LWJ115" s="197" t="str">
        <f>VLOOKUP(LWI115,[13]AssetDetails_UEM!$A$3:$AH$1849,6,FALSE)</f>
        <v>Electrosurgical Units, Monopolar/Bipolar</v>
      </c>
      <c r="LWK115" s="196" t="s">
        <v>761</v>
      </c>
      <c r="LWL115" s="197" t="str">
        <f>VLOOKUP(LWK115,[13]AssetDetails_UEM!$A$3:$AH$1849,6,FALSE)</f>
        <v>Electrosurgical Units, Monopolar/Bipolar</v>
      </c>
      <c r="LWM115" s="196" t="s">
        <v>761</v>
      </c>
      <c r="LWN115" s="197" t="str">
        <f>VLOOKUP(LWM115,[13]AssetDetails_UEM!$A$3:$AH$1849,6,FALSE)</f>
        <v>Electrosurgical Units, Monopolar/Bipolar</v>
      </c>
      <c r="LWO115" s="196" t="s">
        <v>761</v>
      </c>
      <c r="LWP115" s="197" t="str">
        <f>VLOOKUP(LWO115,[13]AssetDetails_UEM!$A$3:$AH$1849,6,FALSE)</f>
        <v>Electrosurgical Units, Monopolar/Bipolar</v>
      </c>
      <c r="LWQ115" s="196" t="s">
        <v>761</v>
      </c>
      <c r="LWR115" s="197" t="str">
        <f>VLOOKUP(LWQ115,[13]AssetDetails_UEM!$A$3:$AH$1849,6,FALSE)</f>
        <v>Electrosurgical Units, Monopolar/Bipolar</v>
      </c>
      <c r="LWS115" s="196" t="s">
        <v>761</v>
      </c>
      <c r="LWT115" s="197" t="str">
        <f>VLOOKUP(LWS115,[13]AssetDetails_UEM!$A$3:$AH$1849,6,FALSE)</f>
        <v>Electrosurgical Units, Monopolar/Bipolar</v>
      </c>
      <c r="LWU115" s="196" t="s">
        <v>761</v>
      </c>
      <c r="LWV115" s="197" t="str">
        <f>VLOOKUP(LWU115,[13]AssetDetails_UEM!$A$3:$AH$1849,6,FALSE)</f>
        <v>Electrosurgical Units, Monopolar/Bipolar</v>
      </c>
      <c r="LWW115" s="196" t="s">
        <v>761</v>
      </c>
      <c r="LWX115" s="197" t="str">
        <f>VLOOKUP(LWW115,[13]AssetDetails_UEM!$A$3:$AH$1849,6,FALSE)</f>
        <v>Electrosurgical Units, Monopolar/Bipolar</v>
      </c>
      <c r="LWY115" s="196" t="s">
        <v>761</v>
      </c>
      <c r="LWZ115" s="197" t="str">
        <f>VLOOKUP(LWY115,[13]AssetDetails_UEM!$A$3:$AH$1849,6,FALSE)</f>
        <v>Electrosurgical Units, Monopolar/Bipolar</v>
      </c>
      <c r="LXA115" s="196" t="s">
        <v>761</v>
      </c>
      <c r="LXB115" s="197" t="str">
        <f>VLOOKUP(LXA115,[13]AssetDetails_UEM!$A$3:$AH$1849,6,FALSE)</f>
        <v>Electrosurgical Units, Monopolar/Bipolar</v>
      </c>
      <c r="LXC115" s="196" t="s">
        <v>761</v>
      </c>
      <c r="LXD115" s="197" t="str">
        <f>VLOOKUP(LXC115,[13]AssetDetails_UEM!$A$3:$AH$1849,6,FALSE)</f>
        <v>Electrosurgical Units, Monopolar/Bipolar</v>
      </c>
      <c r="LXE115" s="196" t="s">
        <v>761</v>
      </c>
      <c r="LXF115" s="197" t="str">
        <f>VLOOKUP(LXE115,[13]AssetDetails_UEM!$A$3:$AH$1849,6,FALSE)</f>
        <v>Electrosurgical Units, Monopolar/Bipolar</v>
      </c>
      <c r="LXG115" s="196" t="s">
        <v>761</v>
      </c>
      <c r="LXH115" s="197" t="str">
        <f>VLOOKUP(LXG115,[13]AssetDetails_UEM!$A$3:$AH$1849,6,FALSE)</f>
        <v>Electrosurgical Units, Monopolar/Bipolar</v>
      </c>
      <c r="LXI115" s="196" t="s">
        <v>761</v>
      </c>
      <c r="LXJ115" s="197" t="str">
        <f>VLOOKUP(LXI115,[13]AssetDetails_UEM!$A$3:$AH$1849,6,FALSE)</f>
        <v>Electrosurgical Units, Monopolar/Bipolar</v>
      </c>
      <c r="LXK115" s="196" t="s">
        <v>761</v>
      </c>
      <c r="LXL115" s="197" t="str">
        <f>VLOOKUP(LXK115,[13]AssetDetails_UEM!$A$3:$AH$1849,6,FALSE)</f>
        <v>Electrosurgical Units, Monopolar/Bipolar</v>
      </c>
      <c r="LXM115" s="196" t="s">
        <v>761</v>
      </c>
      <c r="LXN115" s="197" t="str">
        <f>VLOOKUP(LXM115,[13]AssetDetails_UEM!$A$3:$AH$1849,6,FALSE)</f>
        <v>Electrosurgical Units, Monopolar/Bipolar</v>
      </c>
      <c r="LXO115" s="196" t="s">
        <v>761</v>
      </c>
      <c r="LXP115" s="197" t="str">
        <f>VLOOKUP(LXO115,[13]AssetDetails_UEM!$A$3:$AH$1849,6,FALSE)</f>
        <v>Electrosurgical Units, Monopolar/Bipolar</v>
      </c>
      <c r="LXQ115" s="196" t="s">
        <v>761</v>
      </c>
      <c r="LXR115" s="197" t="str">
        <f>VLOOKUP(LXQ115,[13]AssetDetails_UEM!$A$3:$AH$1849,6,FALSE)</f>
        <v>Electrosurgical Units, Monopolar/Bipolar</v>
      </c>
      <c r="LXS115" s="196" t="s">
        <v>761</v>
      </c>
      <c r="LXT115" s="197" t="str">
        <f>VLOOKUP(LXS115,[13]AssetDetails_UEM!$A$3:$AH$1849,6,FALSE)</f>
        <v>Electrosurgical Units, Monopolar/Bipolar</v>
      </c>
      <c r="LXU115" s="196" t="s">
        <v>761</v>
      </c>
      <c r="LXV115" s="197" t="str">
        <f>VLOOKUP(LXU115,[13]AssetDetails_UEM!$A$3:$AH$1849,6,FALSE)</f>
        <v>Electrosurgical Units, Monopolar/Bipolar</v>
      </c>
      <c r="LXW115" s="196" t="s">
        <v>761</v>
      </c>
      <c r="LXX115" s="197" t="str">
        <f>VLOOKUP(LXW115,[13]AssetDetails_UEM!$A$3:$AH$1849,6,FALSE)</f>
        <v>Electrosurgical Units, Monopolar/Bipolar</v>
      </c>
      <c r="LXY115" s="196" t="s">
        <v>761</v>
      </c>
      <c r="LXZ115" s="197" t="str">
        <f>VLOOKUP(LXY115,[13]AssetDetails_UEM!$A$3:$AH$1849,6,FALSE)</f>
        <v>Electrosurgical Units, Monopolar/Bipolar</v>
      </c>
      <c r="LYA115" s="196" t="s">
        <v>761</v>
      </c>
      <c r="LYB115" s="197" t="str">
        <f>VLOOKUP(LYA115,[13]AssetDetails_UEM!$A$3:$AH$1849,6,FALSE)</f>
        <v>Electrosurgical Units, Monopolar/Bipolar</v>
      </c>
      <c r="LYC115" s="196" t="s">
        <v>761</v>
      </c>
      <c r="LYD115" s="197" t="str">
        <f>VLOOKUP(LYC115,[13]AssetDetails_UEM!$A$3:$AH$1849,6,FALSE)</f>
        <v>Electrosurgical Units, Monopolar/Bipolar</v>
      </c>
      <c r="LYE115" s="196" t="s">
        <v>761</v>
      </c>
      <c r="LYF115" s="197" t="str">
        <f>VLOOKUP(LYE115,[13]AssetDetails_UEM!$A$3:$AH$1849,6,FALSE)</f>
        <v>Electrosurgical Units, Monopolar/Bipolar</v>
      </c>
      <c r="LYG115" s="196" t="s">
        <v>761</v>
      </c>
      <c r="LYH115" s="197" t="str">
        <f>VLOOKUP(LYG115,[13]AssetDetails_UEM!$A$3:$AH$1849,6,FALSE)</f>
        <v>Electrosurgical Units, Monopolar/Bipolar</v>
      </c>
      <c r="LYI115" s="196" t="s">
        <v>761</v>
      </c>
      <c r="LYJ115" s="197" t="str">
        <f>VLOOKUP(LYI115,[13]AssetDetails_UEM!$A$3:$AH$1849,6,FALSE)</f>
        <v>Electrosurgical Units, Monopolar/Bipolar</v>
      </c>
      <c r="LYK115" s="196" t="s">
        <v>761</v>
      </c>
      <c r="LYL115" s="197" t="str">
        <f>VLOOKUP(LYK115,[13]AssetDetails_UEM!$A$3:$AH$1849,6,FALSE)</f>
        <v>Electrosurgical Units, Monopolar/Bipolar</v>
      </c>
      <c r="LYM115" s="196" t="s">
        <v>761</v>
      </c>
      <c r="LYN115" s="197" t="str">
        <f>VLOOKUP(LYM115,[13]AssetDetails_UEM!$A$3:$AH$1849,6,FALSE)</f>
        <v>Electrosurgical Units, Monopolar/Bipolar</v>
      </c>
      <c r="LYO115" s="196" t="s">
        <v>761</v>
      </c>
      <c r="LYP115" s="197" t="str">
        <f>VLOOKUP(LYO115,[13]AssetDetails_UEM!$A$3:$AH$1849,6,FALSE)</f>
        <v>Electrosurgical Units, Monopolar/Bipolar</v>
      </c>
      <c r="LYQ115" s="196" t="s">
        <v>761</v>
      </c>
      <c r="LYR115" s="197" t="str">
        <f>VLOOKUP(LYQ115,[13]AssetDetails_UEM!$A$3:$AH$1849,6,FALSE)</f>
        <v>Electrosurgical Units, Monopolar/Bipolar</v>
      </c>
      <c r="LYS115" s="196" t="s">
        <v>761</v>
      </c>
      <c r="LYT115" s="197" t="str">
        <f>VLOOKUP(LYS115,[13]AssetDetails_UEM!$A$3:$AH$1849,6,FALSE)</f>
        <v>Electrosurgical Units, Monopolar/Bipolar</v>
      </c>
      <c r="LYU115" s="196" t="s">
        <v>761</v>
      </c>
      <c r="LYV115" s="197" t="str">
        <f>VLOOKUP(LYU115,[13]AssetDetails_UEM!$A$3:$AH$1849,6,FALSE)</f>
        <v>Electrosurgical Units, Monopolar/Bipolar</v>
      </c>
      <c r="LYW115" s="196" t="s">
        <v>761</v>
      </c>
      <c r="LYX115" s="197" t="str">
        <f>VLOOKUP(LYW115,[13]AssetDetails_UEM!$A$3:$AH$1849,6,FALSE)</f>
        <v>Electrosurgical Units, Monopolar/Bipolar</v>
      </c>
      <c r="LYY115" s="196" t="s">
        <v>761</v>
      </c>
      <c r="LYZ115" s="197" t="str">
        <f>VLOOKUP(LYY115,[13]AssetDetails_UEM!$A$3:$AH$1849,6,FALSE)</f>
        <v>Electrosurgical Units, Monopolar/Bipolar</v>
      </c>
      <c r="LZA115" s="196" t="s">
        <v>761</v>
      </c>
      <c r="LZB115" s="197" t="str">
        <f>VLOOKUP(LZA115,[13]AssetDetails_UEM!$A$3:$AH$1849,6,FALSE)</f>
        <v>Electrosurgical Units, Monopolar/Bipolar</v>
      </c>
      <c r="LZC115" s="196" t="s">
        <v>761</v>
      </c>
      <c r="LZD115" s="197" t="str">
        <f>VLOOKUP(LZC115,[13]AssetDetails_UEM!$A$3:$AH$1849,6,FALSE)</f>
        <v>Electrosurgical Units, Monopolar/Bipolar</v>
      </c>
      <c r="LZE115" s="196" t="s">
        <v>761</v>
      </c>
      <c r="LZF115" s="197" t="str">
        <f>VLOOKUP(LZE115,[13]AssetDetails_UEM!$A$3:$AH$1849,6,FALSE)</f>
        <v>Electrosurgical Units, Monopolar/Bipolar</v>
      </c>
      <c r="LZG115" s="196" t="s">
        <v>761</v>
      </c>
      <c r="LZH115" s="197" t="str">
        <f>VLOOKUP(LZG115,[13]AssetDetails_UEM!$A$3:$AH$1849,6,FALSE)</f>
        <v>Electrosurgical Units, Monopolar/Bipolar</v>
      </c>
      <c r="LZI115" s="196" t="s">
        <v>761</v>
      </c>
      <c r="LZJ115" s="197" t="str">
        <f>VLOOKUP(LZI115,[13]AssetDetails_UEM!$A$3:$AH$1849,6,FALSE)</f>
        <v>Electrosurgical Units, Monopolar/Bipolar</v>
      </c>
      <c r="LZK115" s="196" t="s">
        <v>761</v>
      </c>
      <c r="LZL115" s="197" t="str">
        <f>VLOOKUP(LZK115,[13]AssetDetails_UEM!$A$3:$AH$1849,6,FALSE)</f>
        <v>Electrosurgical Units, Monopolar/Bipolar</v>
      </c>
      <c r="LZM115" s="196" t="s">
        <v>761</v>
      </c>
      <c r="LZN115" s="197" t="str">
        <f>VLOOKUP(LZM115,[13]AssetDetails_UEM!$A$3:$AH$1849,6,FALSE)</f>
        <v>Electrosurgical Units, Monopolar/Bipolar</v>
      </c>
      <c r="LZO115" s="196" t="s">
        <v>761</v>
      </c>
      <c r="LZP115" s="197" t="str">
        <f>VLOOKUP(LZO115,[13]AssetDetails_UEM!$A$3:$AH$1849,6,FALSE)</f>
        <v>Electrosurgical Units, Monopolar/Bipolar</v>
      </c>
      <c r="LZQ115" s="196" t="s">
        <v>761</v>
      </c>
      <c r="LZR115" s="197" t="str">
        <f>VLOOKUP(LZQ115,[13]AssetDetails_UEM!$A$3:$AH$1849,6,FALSE)</f>
        <v>Electrosurgical Units, Monopolar/Bipolar</v>
      </c>
      <c r="LZS115" s="196" t="s">
        <v>761</v>
      </c>
      <c r="LZT115" s="197" t="str">
        <f>VLOOKUP(LZS115,[13]AssetDetails_UEM!$A$3:$AH$1849,6,FALSE)</f>
        <v>Electrosurgical Units, Monopolar/Bipolar</v>
      </c>
      <c r="LZU115" s="196" t="s">
        <v>761</v>
      </c>
      <c r="LZV115" s="197" t="str">
        <f>VLOOKUP(LZU115,[13]AssetDetails_UEM!$A$3:$AH$1849,6,FALSE)</f>
        <v>Electrosurgical Units, Monopolar/Bipolar</v>
      </c>
      <c r="LZW115" s="196" t="s">
        <v>761</v>
      </c>
      <c r="LZX115" s="197" t="str">
        <f>VLOOKUP(LZW115,[13]AssetDetails_UEM!$A$3:$AH$1849,6,FALSE)</f>
        <v>Electrosurgical Units, Monopolar/Bipolar</v>
      </c>
      <c r="LZY115" s="196" t="s">
        <v>761</v>
      </c>
      <c r="LZZ115" s="197" t="str">
        <f>VLOOKUP(LZY115,[13]AssetDetails_UEM!$A$3:$AH$1849,6,FALSE)</f>
        <v>Electrosurgical Units, Monopolar/Bipolar</v>
      </c>
      <c r="MAA115" s="196" t="s">
        <v>761</v>
      </c>
      <c r="MAB115" s="197" t="str">
        <f>VLOOKUP(MAA115,[13]AssetDetails_UEM!$A$3:$AH$1849,6,FALSE)</f>
        <v>Electrosurgical Units, Monopolar/Bipolar</v>
      </c>
      <c r="MAC115" s="196" t="s">
        <v>761</v>
      </c>
      <c r="MAD115" s="197" t="str">
        <f>VLOOKUP(MAC115,[13]AssetDetails_UEM!$A$3:$AH$1849,6,FALSE)</f>
        <v>Electrosurgical Units, Monopolar/Bipolar</v>
      </c>
      <c r="MAE115" s="196" t="s">
        <v>761</v>
      </c>
      <c r="MAF115" s="197" t="str">
        <f>VLOOKUP(MAE115,[13]AssetDetails_UEM!$A$3:$AH$1849,6,FALSE)</f>
        <v>Electrosurgical Units, Monopolar/Bipolar</v>
      </c>
      <c r="MAG115" s="196" t="s">
        <v>761</v>
      </c>
      <c r="MAH115" s="197" t="str">
        <f>VLOOKUP(MAG115,[13]AssetDetails_UEM!$A$3:$AH$1849,6,FALSE)</f>
        <v>Electrosurgical Units, Monopolar/Bipolar</v>
      </c>
      <c r="MAI115" s="196" t="s">
        <v>761</v>
      </c>
      <c r="MAJ115" s="197" t="str">
        <f>VLOOKUP(MAI115,[13]AssetDetails_UEM!$A$3:$AH$1849,6,FALSE)</f>
        <v>Electrosurgical Units, Monopolar/Bipolar</v>
      </c>
      <c r="MAK115" s="196" t="s">
        <v>761</v>
      </c>
      <c r="MAL115" s="197" t="str">
        <f>VLOOKUP(MAK115,[13]AssetDetails_UEM!$A$3:$AH$1849,6,FALSE)</f>
        <v>Electrosurgical Units, Monopolar/Bipolar</v>
      </c>
      <c r="MAM115" s="196" t="s">
        <v>761</v>
      </c>
      <c r="MAN115" s="197" t="str">
        <f>VLOOKUP(MAM115,[13]AssetDetails_UEM!$A$3:$AH$1849,6,FALSE)</f>
        <v>Electrosurgical Units, Monopolar/Bipolar</v>
      </c>
      <c r="MAO115" s="196" t="s">
        <v>761</v>
      </c>
      <c r="MAP115" s="197" t="str">
        <f>VLOOKUP(MAO115,[13]AssetDetails_UEM!$A$3:$AH$1849,6,FALSE)</f>
        <v>Electrosurgical Units, Monopolar/Bipolar</v>
      </c>
      <c r="MAQ115" s="196" t="s">
        <v>761</v>
      </c>
      <c r="MAR115" s="197" t="str">
        <f>VLOOKUP(MAQ115,[13]AssetDetails_UEM!$A$3:$AH$1849,6,FALSE)</f>
        <v>Electrosurgical Units, Monopolar/Bipolar</v>
      </c>
      <c r="MAS115" s="196" t="s">
        <v>761</v>
      </c>
      <c r="MAT115" s="197" t="str">
        <f>VLOOKUP(MAS115,[13]AssetDetails_UEM!$A$3:$AH$1849,6,FALSE)</f>
        <v>Electrosurgical Units, Monopolar/Bipolar</v>
      </c>
      <c r="MAU115" s="196" t="s">
        <v>761</v>
      </c>
      <c r="MAV115" s="197" t="str">
        <f>VLOOKUP(MAU115,[13]AssetDetails_UEM!$A$3:$AH$1849,6,FALSE)</f>
        <v>Electrosurgical Units, Monopolar/Bipolar</v>
      </c>
      <c r="MAW115" s="196" t="s">
        <v>761</v>
      </c>
      <c r="MAX115" s="197" t="str">
        <f>VLOOKUP(MAW115,[13]AssetDetails_UEM!$A$3:$AH$1849,6,FALSE)</f>
        <v>Electrosurgical Units, Monopolar/Bipolar</v>
      </c>
      <c r="MAY115" s="196" t="s">
        <v>761</v>
      </c>
      <c r="MAZ115" s="197" t="str">
        <f>VLOOKUP(MAY115,[13]AssetDetails_UEM!$A$3:$AH$1849,6,FALSE)</f>
        <v>Electrosurgical Units, Monopolar/Bipolar</v>
      </c>
      <c r="MBA115" s="196" t="s">
        <v>761</v>
      </c>
      <c r="MBB115" s="197" t="str">
        <f>VLOOKUP(MBA115,[13]AssetDetails_UEM!$A$3:$AH$1849,6,FALSE)</f>
        <v>Electrosurgical Units, Monopolar/Bipolar</v>
      </c>
      <c r="MBC115" s="196" t="s">
        <v>761</v>
      </c>
      <c r="MBD115" s="197" t="str">
        <f>VLOOKUP(MBC115,[13]AssetDetails_UEM!$A$3:$AH$1849,6,FALSE)</f>
        <v>Electrosurgical Units, Monopolar/Bipolar</v>
      </c>
      <c r="MBE115" s="196" t="s">
        <v>761</v>
      </c>
      <c r="MBF115" s="197" t="str">
        <f>VLOOKUP(MBE115,[13]AssetDetails_UEM!$A$3:$AH$1849,6,FALSE)</f>
        <v>Electrosurgical Units, Monopolar/Bipolar</v>
      </c>
      <c r="MBG115" s="196" t="s">
        <v>761</v>
      </c>
      <c r="MBH115" s="197" t="str">
        <f>VLOOKUP(MBG115,[13]AssetDetails_UEM!$A$3:$AH$1849,6,FALSE)</f>
        <v>Electrosurgical Units, Monopolar/Bipolar</v>
      </c>
      <c r="MBI115" s="196" t="s">
        <v>761</v>
      </c>
      <c r="MBJ115" s="197" t="str">
        <f>VLOOKUP(MBI115,[13]AssetDetails_UEM!$A$3:$AH$1849,6,FALSE)</f>
        <v>Electrosurgical Units, Monopolar/Bipolar</v>
      </c>
      <c r="MBK115" s="196" t="s">
        <v>761</v>
      </c>
      <c r="MBL115" s="197" t="str">
        <f>VLOOKUP(MBK115,[13]AssetDetails_UEM!$A$3:$AH$1849,6,FALSE)</f>
        <v>Electrosurgical Units, Monopolar/Bipolar</v>
      </c>
      <c r="MBM115" s="196" t="s">
        <v>761</v>
      </c>
      <c r="MBN115" s="197" t="str">
        <f>VLOOKUP(MBM115,[13]AssetDetails_UEM!$A$3:$AH$1849,6,FALSE)</f>
        <v>Electrosurgical Units, Monopolar/Bipolar</v>
      </c>
      <c r="MBO115" s="196" t="s">
        <v>761</v>
      </c>
      <c r="MBP115" s="197" t="str">
        <f>VLOOKUP(MBO115,[13]AssetDetails_UEM!$A$3:$AH$1849,6,FALSE)</f>
        <v>Electrosurgical Units, Monopolar/Bipolar</v>
      </c>
      <c r="MBQ115" s="196" t="s">
        <v>761</v>
      </c>
      <c r="MBR115" s="197" t="str">
        <f>VLOOKUP(MBQ115,[13]AssetDetails_UEM!$A$3:$AH$1849,6,FALSE)</f>
        <v>Electrosurgical Units, Monopolar/Bipolar</v>
      </c>
      <c r="MBS115" s="196" t="s">
        <v>761</v>
      </c>
      <c r="MBT115" s="197" t="str">
        <f>VLOOKUP(MBS115,[13]AssetDetails_UEM!$A$3:$AH$1849,6,FALSE)</f>
        <v>Electrosurgical Units, Monopolar/Bipolar</v>
      </c>
      <c r="MBU115" s="196" t="s">
        <v>761</v>
      </c>
      <c r="MBV115" s="197" t="str">
        <f>VLOOKUP(MBU115,[13]AssetDetails_UEM!$A$3:$AH$1849,6,FALSE)</f>
        <v>Electrosurgical Units, Monopolar/Bipolar</v>
      </c>
      <c r="MBW115" s="196" t="s">
        <v>761</v>
      </c>
      <c r="MBX115" s="197" t="str">
        <f>VLOOKUP(MBW115,[13]AssetDetails_UEM!$A$3:$AH$1849,6,FALSE)</f>
        <v>Electrosurgical Units, Monopolar/Bipolar</v>
      </c>
      <c r="MBY115" s="196" t="s">
        <v>761</v>
      </c>
      <c r="MBZ115" s="197" t="str">
        <f>VLOOKUP(MBY115,[13]AssetDetails_UEM!$A$3:$AH$1849,6,FALSE)</f>
        <v>Electrosurgical Units, Monopolar/Bipolar</v>
      </c>
      <c r="MCA115" s="196" t="s">
        <v>761</v>
      </c>
      <c r="MCB115" s="197" t="str">
        <f>VLOOKUP(MCA115,[13]AssetDetails_UEM!$A$3:$AH$1849,6,FALSE)</f>
        <v>Electrosurgical Units, Monopolar/Bipolar</v>
      </c>
      <c r="MCC115" s="196" t="s">
        <v>761</v>
      </c>
      <c r="MCD115" s="197" t="str">
        <f>VLOOKUP(MCC115,[13]AssetDetails_UEM!$A$3:$AH$1849,6,FALSE)</f>
        <v>Electrosurgical Units, Monopolar/Bipolar</v>
      </c>
      <c r="MCE115" s="196" t="s">
        <v>761</v>
      </c>
      <c r="MCF115" s="197" t="str">
        <f>VLOOKUP(MCE115,[13]AssetDetails_UEM!$A$3:$AH$1849,6,FALSE)</f>
        <v>Electrosurgical Units, Monopolar/Bipolar</v>
      </c>
      <c r="MCG115" s="196" t="s">
        <v>761</v>
      </c>
      <c r="MCH115" s="197" t="str">
        <f>VLOOKUP(MCG115,[13]AssetDetails_UEM!$A$3:$AH$1849,6,FALSE)</f>
        <v>Electrosurgical Units, Monopolar/Bipolar</v>
      </c>
      <c r="MCI115" s="196" t="s">
        <v>761</v>
      </c>
      <c r="MCJ115" s="197" t="str">
        <f>VLOOKUP(MCI115,[13]AssetDetails_UEM!$A$3:$AH$1849,6,FALSE)</f>
        <v>Electrosurgical Units, Monopolar/Bipolar</v>
      </c>
      <c r="MCK115" s="196" t="s">
        <v>761</v>
      </c>
      <c r="MCL115" s="197" t="str">
        <f>VLOOKUP(MCK115,[13]AssetDetails_UEM!$A$3:$AH$1849,6,FALSE)</f>
        <v>Electrosurgical Units, Monopolar/Bipolar</v>
      </c>
      <c r="MCM115" s="196" t="s">
        <v>761</v>
      </c>
      <c r="MCN115" s="197" t="str">
        <f>VLOOKUP(MCM115,[13]AssetDetails_UEM!$A$3:$AH$1849,6,FALSE)</f>
        <v>Electrosurgical Units, Monopolar/Bipolar</v>
      </c>
      <c r="MCO115" s="196" t="s">
        <v>761</v>
      </c>
      <c r="MCP115" s="197" t="str">
        <f>VLOOKUP(MCO115,[13]AssetDetails_UEM!$A$3:$AH$1849,6,FALSE)</f>
        <v>Electrosurgical Units, Monopolar/Bipolar</v>
      </c>
      <c r="MCQ115" s="196" t="s">
        <v>761</v>
      </c>
      <c r="MCR115" s="197" t="str">
        <f>VLOOKUP(MCQ115,[13]AssetDetails_UEM!$A$3:$AH$1849,6,FALSE)</f>
        <v>Electrosurgical Units, Monopolar/Bipolar</v>
      </c>
      <c r="MCS115" s="196" t="s">
        <v>761</v>
      </c>
      <c r="MCT115" s="197" t="str">
        <f>VLOOKUP(MCS115,[13]AssetDetails_UEM!$A$3:$AH$1849,6,FALSE)</f>
        <v>Electrosurgical Units, Monopolar/Bipolar</v>
      </c>
      <c r="MCU115" s="196" t="s">
        <v>761</v>
      </c>
      <c r="MCV115" s="197" t="str">
        <f>VLOOKUP(MCU115,[13]AssetDetails_UEM!$A$3:$AH$1849,6,FALSE)</f>
        <v>Electrosurgical Units, Monopolar/Bipolar</v>
      </c>
      <c r="MCW115" s="196" t="s">
        <v>761</v>
      </c>
      <c r="MCX115" s="197" t="str">
        <f>VLOOKUP(MCW115,[13]AssetDetails_UEM!$A$3:$AH$1849,6,FALSE)</f>
        <v>Electrosurgical Units, Monopolar/Bipolar</v>
      </c>
      <c r="MCY115" s="196" t="s">
        <v>761</v>
      </c>
      <c r="MCZ115" s="197" t="str">
        <f>VLOOKUP(MCY115,[13]AssetDetails_UEM!$A$3:$AH$1849,6,FALSE)</f>
        <v>Electrosurgical Units, Monopolar/Bipolar</v>
      </c>
      <c r="MDA115" s="196" t="s">
        <v>761</v>
      </c>
      <c r="MDB115" s="197" t="str">
        <f>VLOOKUP(MDA115,[13]AssetDetails_UEM!$A$3:$AH$1849,6,FALSE)</f>
        <v>Electrosurgical Units, Monopolar/Bipolar</v>
      </c>
      <c r="MDC115" s="196" t="s">
        <v>761</v>
      </c>
      <c r="MDD115" s="197" t="str">
        <f>VLOOKUP(MDC115,[13]AssetDetails_UEM!$A$3:$AH$1849,6,FALSE)</f>
        <v>Electrosurgical Units, Monopolar/Bipolar</v>
      </c>
      <c r="MDE115" s="196" t="s">
        <v>761</v>
      </c>
      <c r="MDF115" s="197" t="str">
        <f>VLOOKUP(MDE115,[13]AssetDetails_UEM!$A$3:$AH$1849,6,FALSE)</f>
        <v>Electrosurgical Units, Monopolar/Bipolar</v>
      </c>
      <c r="MDG115" s="196" t="s">
        <v>761</v>
      </c>
      <c r="MDH115" s="197" t="str">
        <f>VLOOKUP(MDG115,[13]AssetDetails_UEM!$A$3:$AH$1849,6,FALSE)</f>
        <v>Electrosurgical Units, Monopolar/Bipolar</v>
      </c>
      <c r="MDI115" s="196" t="s">
        <v>761</v>
      </c>
      <c r="MDJ115" s="197" t="str">
        <f>VLOOKUP(MDI115,[13]AssetDetails_UEM!$A$3:$AH$1849,6,FALSE)</f>
        <v>Electrosurgical Units, Monopolar/Bipolar</v>
      </c>
      <c r="MDK115" s="196" t="s">
        <v>761</v>
      </c>
      <c r="MDL115" s="197" t="str">
        <f>VLOOKUP(MDK115,[13]AssetDetails_UEM!$A$3:$AH$1849,6,FALSE)</f>
        <v>Electrosurgical Units, Monopolar/Bipolar</v>
      </c>
      <c r="MDM115" s="196" t="s">
        <v>761</v>
      </c>
      <c r="MDN115" s="197" t="str">
        <f>VLOOKUP(MDM115,[13]AssetDetails_UEM!$A$3:$AH$1849,6,FALSE)</f>
        <v>Electrosurgical Units, Monopolar/Bipolar</v>
      </c>
      <c r="MDO115" s="196" t="s">
        <v>761</v>
      </c>
      <c r="MDP115" s="197" t="str">
        <f>VLOOKUP(MDO115,[13]AssetDetails_UEM!$A$3:$AH$1849,6,FALSE)</f>
        <v>Electrosurgical Units, Monopolar/Bipolar</v>
      </c>
      <c r="MDQ115" s="196" t="s">
        <v>761</v>
      </c>
      <c r="MDR115" s="197" t="str">
        <f>VLOOKUP(MDQ115,[13]AssetDetails_UEM!$A$3:$AH$1849,6,FALSE)</f>
        <v>Electrosurgical Units, Monopolar/Bipolar</v>
      </c>
      <c r="MDS115" s="196" t="s">
        <v>761</v>
      </c>
      <c r="MDT115" s="197" t="str">
        <f>VLOOKUP(MDS115,[13]AssetDetails_UEM!$A$3:$AH$1849,6,FALSE)</f>
        <v>Electrosurgical Units, Monopolar/Bipolar</v>
      </c>
      <c r="MDU115" s="196" t="s">
        <v>761</v>
      </c>
      <c r="MDV115" s="197" t="str">
        <f>VLOOKUP(MDU115,[13]AssetDetails_UEM!$A$3:$AH$1849,6,FALSE)</f>
        <v>Electrosurgical Units, Monopolar/Bipolar</v>
      </c>
      <c r="MDW115" s="196" t="s">
        <v>761</v>
      </c>
      <c r="MDX115" s="197" t="str">
        <f>VLOOKUP(MDW115,[13]AssetDetails_UEM!$A$3:$AH$1849,6,FALSE)</f>
        <v>Electrosurgical Units, Monopolar/Bipolar</v>
      </c>
      <c r="MDY115" s="196" t="s">
        <v>761</v>
      </c>
      <c r="MDZ115" s="197" t="str">
        <f>VLOOKUP(MDY115,[13]AssetDetails_UEM!$A$3:$AH$1849,6,FALSE)</f>
        <v>Electrosurgical Units, Monopolar/Bipolar</v>
      </c>
      <c r="MEA115" s="196" t="s">
        <v>761</v>
      </c>
      <c r="MEB115" s="197" t="str">
        <f>VLOOKUP(MEA115,[13]AssetDetails_UEM!$A$3:$AH$1849,6,FALSE)</f>
        <v>Electrosurgical Units, Monopolar/Bipolar</v>
      </c>
      <c r="MEC115" s="196" t="s">
        <v>761</v>
      </c>
      <c r="MED115" s="197" t="str">
        <f>VLOOKUP(MEC115,[13]AssetDetails_UEM!$A$3:$AH$1849,6,FALSE)</f>
        <v>Electrosurgical Units, Monopolar/Bipolar</v>
      </c>
      <c r="MEE115" s="196" t="s">
        <v>761</v>
      </c>
      <c r="MEF115" s="197" t="str">
        <f>VLOOKUP(MEE115,[13]AssetDetails_UEM!$A$3:$AH$1849,6,FALSE)</f>
        <v>Electrosurgical Units, Monopolar/Bipolar</v>
      </c>
      <c r="MEG115" s="196" t="s">
        <v>761</v>
      </c>
      <c r="MEH115" s="197" t="str">
        <f>VLOOKUP(MEG115,[13]AssetDetails_UEM!$A$3:$AH$1849,6,FALSE)</f>
        <v>Electrosurgical Units, Monopolar/Bipolar</v>
      </c>
      <c r="MEI115" s="196" t="s">
        <v>761</v>
      </c>
      <c r="MEJ115" s="197" t="str">
        <f>VLOOKUP(MEI115,[13]AssetDetails_UEM!$A$3:$AH$1849,6,FALSE)</f>
        <v>Electrosurgical Units, Monopolar/Bipolar</v>
      </c>
      <c r="MEK115" s="196" t="s">
        <v>761</v>
      </c>
      <c r="MEL115" s="197" t="str">
        <f>VLOOKUP(MEK115,[13]AssetDetails_UEM!$A$3:$AH$1849,6,FALSE)</f>
        <v>Electrosurgical Units, Monopolar/Bipolar</v>
      </c>
      <c r="MEM115" s="196" t="s">
        <v>761</v>
      </c>
      <c r="MEN115" s="197" t="str">
        <f>VLOOKUP(MEM115,[13]AssetDetails_UEM!$A$3:$AH$1849,6,FALSE)</f>
        <v>Electrosurgical Units, Monopolar/Bipolar</v>
      </c>
      <c r="MEO115" s="196" t="s">
        <v>761</v>
      </c>
      <c r="MEP115" s="197" t="str">
        <f>VLOOKUP(MEO115,[13]AssetDetails_UEM!$A$3:$AH$1849,6,FALSE)</f>
        <v>Electrosurgical Units, Monopolar/Bipolar</v>
      </c>
      <c r="MEQ115" s="196" t="s">
        <v>761</v>
      </c>
      <c r="MER115" s="197" t="str">
        <f>VLOOKUP(MEQ115,[13]AssetDetails_UEM!$A$3:$AH$1849,6,FALSE)</f>
        <v>Electrosurgical Units, Monopolar/Bipolar</v>
      </c>
      <c r="MES115" s="196" t="s">
        <v>761</v>
      </c>
      <c r="MET115" s="197" t="str">
        <f>VLOOKUP(MES115,[13]AssetDetails_UEM!$A$3:$AH$1849,6,FALSE)</f>
        <v>Electrosurgical Units, Monopolar/Bipolar</v>
      </c>
      <c r="MEU115" s="196" t="s">
        <v>761</v>
      </c>
      <c r="MEV115" s="197" t="str">
        <f>VLOOKUP(MEU115,[13]AssetDetails_UEM!$A$3:$AH$1849,6,FALSE)</f>
        <v>Electrosurgical Units, Monopolar/Bipolar</v>
      </c>
      <c r="MEW115" s="196" t="s">
        <v>761</v>
      </c>
      <c r="MEX115" s="197" t="str">
        <f>VLOOKUP(MEW115,[13]AssetDetails_UEM!$A$3:$AH$1849,6,FALSE)</f>
        <v>Electrosurgical Units, Monopolar/Bipolar</v>
      </c>
      <c r="MEY115" s="196" t="s">
        <v>761</v>
      </c>
      <c r="MEZ115" s="197" t="str">
        <f>VLOOKUP(MEY115,[13]AssetDetails_UEM!$A$3:$AH$1849,6,FALSE)</f>
        <v>Electrosurgical Units, Monopolar/Bipolar</v>
      </c>
      <c r="MFA115" s="196" t="s">
        <v>761</v>
      </c>
      <c r="MFB115" s="197" t="str">
        <f>VLOOKUP(MFA115,[13]AssetDetails_UEM!$A$3:$AH$1849,6,FALSE)</f>
        <v>Electrosurgical Units, Monopolar/Bipolar</v>
      </c>
      <c r="MFC115" s="196" t="s">
        <v>761</v>
      </c>
      <c r="MFD115" s="197" t="str">
        <f>VLOOKUP(MFC115,[13]AssetDetails_UEM!$A$3:$AH$1849,6,FALSE)</f>
        <v>Electrosurgical Units, Monopolar/Bipolar</v>
      </c>
      <c r="MFE115" s="196" t="s">
        <v>761</v>
      </c>
      <c r="MFF115" s="197" t="str">
        <f>VLOOKUP(MFE115,[13]AssetDetails_UEM!$A$3:$AH$1849,6,FALSE)</f>
        <v>Electrosurgical Units, Monopolar/Bipolar</v>
      </c>
      <c r="MFG115" s="196" t="s">
        <v>761</v>
      </c>
      <c r="MFH115" s="197" t="str">
        <f>VLOOKUP(MFG115,[13]AssetDetails_UEM!$A$3:$AH$1849,6,FALSE)</f>
        <v>Electrosurgical Units, Monopolar/Bipolar</v>
      </c>
      <c r="MFI115" s="196" t="s">
        <v>761</v>
      </c>
      <c r="MFJ115" s="197" t="str">
        <f>VLOOKUP(MFI115,[13]AssetDetails_UEM!$A$3:$AH$1849,6,FALSE)</f>
        <v>Electrosurgical Units, Monopolar/Bipolar</v>
      </c>
      <c r="MFK115" s="196" t="s">
        <v>761</v>
      </c>
      <c r="MFL115" s="197" t="str">
        <f>VLOOKUP(MFK115,[13]AssetDetails_UEM!$A$3:$AH$1849,6,FALSE)</f>
        <v>Electrosurgical Units, Monopolar/Bipolar</v>
      </c>
      <c r="MFM115" s="196" t="s">
        <v>761</v>
      </c>
      <c r="MFN115" s="197" t="str">
        <f>VLOOKUP(MFM115,[13]AssetDetails_UEM!$A$3:$AH$1849,6,FALSE)</f>
        <v>Electrosurgical Units, Monopolar/Bipolar</v>
      </c>
      <c r="MFO115" s="196" t="s">
        <v>761</v>
      </c>
      <c r="MFP115" s="197" t="str">
        <f>VLOOKUP(MFO115,[13]AssetDetails_UEM!$A$3:$AH$1849,6,FALSE)</f>
        <v>Electrosurgical Units, Monopolar/Bipolar</v>
      </c>
      <c r="MFQ115" s="196" t="s">
        <v>761</v>
      </c>
      <c r="MFR115" s="197" t="str">
        <f>VLOOKUP(MFQ115,[13]AssetDetails_UEM!$A$3:$AH$1849,6,FALSE)</f>
        <v>Electrosurgical Units, Monopolar/Bipolar</v>
      </c>
      <c r="MFS115" s="196" t="s">
        <v>761</v>
      </c>
      <c r="MFT115" s="197" t="str">
        <f>VLOOKUP(MFS115,[13]AssetDetails_UEM!$A$3:$AH$1849,6,FALSE)</f>
        <v>Electrosurgical Units, Monopolar/Bipolar</v>
      </c>
      <c r="MFU115" s="196" t="s">
        <v>761</v>
      </c>
      <c r="MFV115" s="197" t="str">
        <f>VLOOKUP(MFU115,[13]AssetDetails_UEM!$A$3:$AH$1849,6,FALSE)</f>
        <v>Electrosurgical Units, Monopolar/Bipolar</v>
      </c>
      <c r="MFW115" s="196" t="s">
        <v>761</v>
      </c>
      <c r="MFX115" s="197" t="str">
        <f>VLOOKUP(MFW115,[13]AssetDetails_UEM!$A$3:$AH$1849,6,FALSE)</f>
        <v>Electrosurgical Units, Monopolar/Bipolar</v>
      </c>
      <c r="MFY115" s="196" t="s">
        <v>761</v>
      </c>
      <c r="MFZ115" s="197" t="str">
        <f>VLOOKUP(MFY115,[13]AssetDetails_UEM!$A$3:$AH$1849,6,FALSE)</f>
        <v>Electrosurgical Units, Monopolar/Bipolar</v>
      </c>
      <c r="MGA115" s="196" t="s">
        <v>761</v>
      </c>
      <c r="MGB115" s="197" t="str">
        <f>VLOOKUP(MGA115,[13]AssetDetails_UEM!$A$3:$AH$1849,6,FALSE)</f>
        <v>Electrosurgical Units, Monopolar/Bipolar</v>
      </c>
      <c r="MGC115" s="196" t="s">
        <v>761</v>
      </c>
      <c r="MGD115" s="197" t="str">
        <f>VLOOKUP(MGC115,[13]AssetDetails_UEM!$A$3:$AH$1849,6,FALSE)</f>
        <v>Electrosurgical Units, Monopolar/Bipolar</v>
      </c>
      <c r="MGE115" s="196" t="s">
        <v>761</v>
      </c>
      <c r="MGF115" s="197" t="str">
        <f>VLOOKUP(MGE115,[13]AssetDetails_UEM!$A$3:$AH$1849,6,FALSE)</f>
        <v>Electrosurgical Units, Monopolar/Bipolar</v>
      </c>
      <c r="MGG115" s="196" t="s">
        <v>761</v>
      </c>
      <c r="MGH115" s="197" t="str">
        <f>VLOOKUP(MGG115,[13]AssetDetails_UEM!$A$3:$AH$1849,6,FALSE)</f>
        <v>Electrosurgical Units, Monopolar/Bipolar</v>
      </c>
      <c r="MGI115" s="196" t="s">
        <v>761</v>
      </c>
      <c r="MGJ115" s="197" t="str">
        <f>VLOOKUP(MGI115,[13]AssetDetails_UEM!$A$3:$AH$1849,6,FALSE)</f>
        <v>Electrosurgical Units, Monopolar/Bipolar</v>
      </c>
      <c r="MGK115" s="196" t="s">
        <v>761</v>
      </c>
      <c r="MGL115" s="197" t="str">
        <f>VLOOKUP(MGK115,[13]AssetDetails_UEM!$A$3:$AH$1849,6,FALSE)</f>
        <v>Electrosurgical Units, Monopolar/Bipolar</v>
      </c>
      <c r="MGM115" s="196" t="s">
        <v>761</v>
      </c>
      <c r="MGN115" s="197" t="str">
        <f>VLOOKUP(MGM115,[13]AssetDetails_UEM!$A$3:$AH$1849,6,FALSE)</f>
        <v>Electrosurgical Units, Monopolar/Bipolar</v>
      </c>
      <c r="MGO115" s="196" t="s">
        <v>761</v>
      </c>
      <c r="MGP115" s="197" t="str">
        <f>VLOOKUP(MGO115,[13]AssetDetails_UEM!$A$3:$AH$1849,6,FALSE)</f>
        <v>Electrosurgical Units, Monopolar/Bipolar</v>
      </c>
      <c r="MGQ115" s="196" t="s">
        <v>761</v>
      </c>
      <c r="MGR115" s="197" t="str">
        <f>VLOOKUP(MGQ115,[13]AssetDetails_UEM!$A$3:$AH$1849,6,FALSE)</f>
        <v>Electrosurgical Units, Monopolar/Bipolar</v>
      </c>
      <c r="MGS115" s="196" t="s">
        <v>761</v>
      </c>
      <c r="MGT115" s="197" t="str">
        <f>VLOOKUP(MGS115,[13]AssetDetails_UEM!$A$3:$AH$1849,6,FALSE)</f>
        <v>Electrosurgical Units, Monopolar/Bipolar</v>
      </c>
      <c r="MGU115" s="196" t="s">
        <v>761</v>
      </c>
      <c r="MGV115" s="197" t="str">
        <f>VLOOKUP(MGU115,[13]AssetDetails_UEM!$A$3:$AH$1849,6,FALSE)</f>
        <v>Electrosurgical Units, Monopolar/Bipolar</v>
      </c>
      <c r="MGW115" s="196" t="s">
        <v>761</v>
      </c>
      <c r="MGX115" s="197" t="str">
        <f>VLOOKUP(MGW115,[13]AssetDetails_UEM!$A$3:$AH$1849,6,FALSE)</f>
        <v>Electrosurgical Units, Monopolar/Bipolar</v>
      </c>
      <c r="MGY115" s="196" t="s">
        <v>761</v>
      </c>
      <c r="MGZ115" s="197" t="str">
        <f>VLOOKUP(MGY115,[13]AssetDetails_UEM!$A$3:$AH$1849,6,FALSE)</f>
        <v>Electrosurgical Units, Monopolar/Bipolar</v>
      </c>
      <c r="MHA115" s="196" t="s">
        <v>761</v>
      </c>
      <c r="MHB115" s="197" t="str">
        <f>VLOOKUP(MHA115,[13]AssetDetails_UEM!$A$3:$AH$1849,6,FALSE)</f>
        <v>Electrosurgical Units, Monopolar/Bipolar</v>
      </c>
      <c r="MHC115" s="196" t="s">
        <v>761</v>
      </c>
      <c r="MHD115" s="197" t="str">
        <f>VLOOKUP(MHC115,[13]AssetDetails_UEM!$A$3:$AH$1849,6,FALSE)</f>
        <v>Electrosurgical Units, Monopolar/Bipolar</v>
      </c>
      <c r="MHE115" s="196" t="s">
        <v>761</v>
      </c>
      <c r="MHF115" s="197" t="str">
        <f>VLOOKUP(MHE115,[13]AssetDetails_UEM!$A$3:$AH$1849,6,FALSE)</f>
        <v>Electrosurgical Units, Monopolar/Bipolar</v>
      </c>
      <c r="MHG115" s="196" t="s">
        <v>761</v>
      </c>
      <c r="MHH115" s="197" t="str">
        <f>VLOOKUP(MHG115,[13]AssetDetails_UEM!$A$3:$AH$1849,6,FALSE)</f>
        <v>Electrosurgical Units, Monopolar/Bipolar</v>
      </c>
      <c r="MHI115" s="196" t="s">
        <v>761</v>
      </c>
      <c r="MHJ115" s="197" t="str">
        <f>VLOOKUP(MHI115,[13]AssetDetails_UEM!$A$3:$AH$1849,6,FALSE)</f>
        <v>Electrosurgical Units, Monopolar/Bipolar</v>
      </c>
      <c r="MHK115" s="196" t="s">
        <v>761</v>
      </c>
      <c r="MHL115" s="197" t="str">
        <f>VLOOKUP(MHK115,[13]AssetDetails_UEM!$A$3:$AH$1849,6,FALSE)</f>
        <v>Electrosurgical Units, Monopolar/Bipolar</v>
      </c>
      <c r="MHM115" s="196" t="s">
        <v>761</v>
      </c>
      <c r="MHN115" s="197" t="str">
        <f>VLOOKUP(MHM115,[13]AssetDetails_UEM!$A$3:$AH$1849,6,FALSE)</f>
        <v>Electrosurgical Units, Monopolar/Bipolar</v>
      </c>
      <c r="MHO115" s="196" t="s">
        <v>761</v>
      </c>
      <c r="MHP115" s="197" t="str">
        <f>VLOOKUP(MHO115,[13]AssetDetails_UEM!$A$3:$AH$1849,6,FALSE)</f>
        <v>Electrosurgical Units, Monopolar/Bipolar</v>
      </c>
      <c r="MHQ115" s="196" t="s">
        <v>761</v>
      </c>
      <c r="MHR115" s="197" t="str">
        <f>VLOOKUP(MHQ115,[13]AssetDetails_UEM!$A$3:$AH$1849,6,FALSE)</f>
        <v>Electrosurgical Units, Monopolar/Bipolar</v>
      </c>
      <c r="MHS115" s="196" t="s">
        <v>761</v>
      </c>
      <c r="MHT115" s="197" t="str">
        <f>VLOOKUP(MHS115,[13]AssetDetails_UEM!$A$3:$AH$1849,6,FALSE)</f>
        <v>Electrosurgical Units, Monopolar/Bipolar</v>
      </c>
      <c r="MHU115" s="196" t="s">
        <v>761</v>
      </c>
      <c r="MHV115" s="197" t="str">
        <f>VLOOKUP(MHU115,[13]AssetDetails_UEM!$A$3:$AH$1849,6,FALSE)</f>
        <v>Electrosurgical Units, Monopolar/Bipolar</v>
      </c>
      <c r="MHW115" s="196" t="s">
        <v>761</v>
      </c>
      <c r="MHX115" s="197" t="str">
        <f>VLOOKUP(MHW115,[13]AssetDetails_UEM!$A$3:$AH$1849,6,FALSE)</f>
        <v>Electrosurgical Units, Monopolar/Bipolar</v>
      </c>
      <c r="MHY115" s="196" t="s">
        <v>761</v>
      </c>
      <c r="MHZ115" s="197" t="str">
        <f>VLOOKUP(MHY115,[13]AssetDetails_UEM!$A$3:$AH$1849,6,FALSE)</f>
        <v>Electrosurgical Units, Monopolar/Bipolar</v>
      </c>
      <c r="MIA115" s="196" t="s">
        <v>761</v>
      </c>
      <c r="MIB115" s="197" t="str">
        <f>VLOOKUP(MIA115,[13]AssetDetails_UEM!$A$3:$AH$1849,6,FALSE)</f>
        <v>Electrosurgical Units, Monopolar/Bipolar</v>
      </c>
      <c r="MIC115" s="196" t="s">
        <v>761</v>
      </c>
      <c r="MID115" s="197" t="str">
        <f>VLOOKUP(MIC115,[13]AssetDetails_UEM!$A$3:$AH$1849,6,FALSE)</f>
        <v>Electrosurgical Units, Monopolar/Bipolar</v>
      </c>
      <c r="MIE115" s="196" t="s">
        <v>761</v>
      </c>
      <c r="MIF115" s="197" t="str">
        <f>VLOOKUP(MIE115,[13]AssetDetails_UEM!$A$3:$AH$1849,6,FALSE)</f>
        <v>Electrosurgical Units, Monopolar/Bipolar</v>
      </c>
      <c r="MIG115" s="196" t="s">
        <v>761</v>
      </c>
      <c r="MIH115" s="197" t="str">
        <f>VLOOKUP(MIG115,[13]AssetDetails_UEM!$A$3:$AH$1849,6,FALSE)</f>
        <v>Electrosurgical Units, Monopolar/Bipolar</v>
      </c>
      <c r="MII115" s="196" t="s">
        <v>761</v>
      </c>
      <c r="MIJ115" s="197" t="str">
        <f>VLOOKUP(MII115,[13]AssetDetails_UEM!$A$3:$AH$1849,6,FALSE)</f>
        <v>Electrosurgical Units, Monopolar/Bipolar</v>
      </c>
      <c r="MIK115" s="196" t="s">
        <v>761</v>
      </c>
      <c r="MIL115" s="197" t="str">
        <f>VLOOKUP(MIK115,[13]AssetDetails_UEM!$A$3:$AH$1849,6,FALSE)</f>
        <v>Electrosurgical Units, Monopolar/Bipolar</v>
      </c>
      <c r="MIM115" s="196" t="s">
        <v>761</v>
      </c>
      <c r="MIN115" s="197" t="str">
        <f>VLOOKUP(MIM115,[13]AssetDetails_UEM!$A$3:$AH$1849,6,FALSE)</f>
        <v>Electrosurgical Units, Monopolar/Bipolar</v>
      </c>
      <c r="MIO115" s="196" t="s">
        <v>761</v>
      </c>
      <c r="MIP115" s="197" t="str">
        <f>VLOOKUP(MIO115,[13]AssetDetails_UEM!$A$3:$AH$1849,6,FALSE)</f>
        <v>Electrosurgical Units, Monopolar/Bipolar</v>
      </c>
      <c r="MIQ115" s="196" t="s">
        <v>761</v>
      </c>
      <c r="MIR115" s="197" t="str">
        <f>VLOOKUP(MIQ115,[13]AssetDetails_UEM!$A$3:$AH$1849,6,FALSE)</f>
        <v>Electrosurgical Units, Monopolar/Bipolar</v>
      </c>
      <c r="MIS115" s="196" t="s">
        <v>761</v>
      </c>
      <c r="MIT115" s="197" t="str">
        <f>VLOOKUP(MIS115,[13]AssetDetails_UEM!$A$3:$AH$1849,6,FALSE)</f>
        <v>Electrosurgical Units, Monopolar/Bipolar</v>
      </c>
      <c r="MIU115" s="196" t="s">
        <v>761</v>
      </c>
      <c r="MIV115" s="197" t="str">
        <f>VLOOKUP(MIU115,[13]AssetDetails_UEM!$A$3:$AH$1849,6,FALSE)</f>
        <v>Electrosurgical Units, Monopolar/Bipolar</v>
      </c>
      <c r="MIW115" s="196" t="s">
        <v>761</v>
      </c>
      <c r="MIX115" s="197" t="str">
        <f>VLOOKUP(MIW115,[13]AssetDetails_UEM!$A$3:$AH$1849,6,FALSE)</f>
        <v>Electrosurgical Units, Monopolar/Bipolar</v>
      </c>
      <c r="MIY115" s="196" t="s">
        <v>761</v>
      </c>
      <c r="MIZ115" s="197" t="str">
        <f>VLOOKUP(MIY115,[13]AssetDetails_UEM!$A$3:$AH$1849,6,FALSE)</f>
        <v>Electrosurgical Units, Monopolar/Bipolar</v>
      </c>
      <c r="MJA115" s="196" t="s">
        <v>761</v>
      </c>
      <c r="MJB115" s="197" t="str">
        <f>VLOOKUP(MJA115,[13]AssetDetails_UEM!$A$3:$AH$1849,6,FALSE)</f>
        <v>Electrosurgical Units, Monopolar/Bipolar</v>
      </c>
      <c r="MJC115" s="196" t="s">
        <v>761</v>
      </c>
      <c r="MJD115" s="197" t="str">
        <f>VLOOKUP(MJC115,[13]AssetDetails_UEM!$A$3:$AH$1849,6,FALSE)</f>
        <v>Electrosurgical Units, Monopolar/Bipolar</v>
      </c>
      <c r="MJE115" s="196" t="s">
        <v>761</v>
      </c>
      <c r="MJF115" s="197" t="str">
        <f>VLOOKUP(MJE115,[13]AssetDetails_UEM!$A$3:$AH$1849,6,FALSE)</f>
        <v>Electrosurgical Units, Monopolar/Bipolar</v>
      </c>
      <c r="MJG115" s="196" t="s">
        <v>761</v>
      </c>
      <c r="MJH115" s="197" t="str">
        <f>VLOOKUP(MJG115,[13]AssetDetails_UEM!$A$3:$AH$1849,6,FALSE)</f>
        <v>Electrosurgical Units, Monopolar/Bipolar</v>
      </c>
      <c r="MJI115" s="196" t="s">
        <v>761</v>
      </c>
      <c r="MJJ115" s="197" t="str">
        <f>VLOOKUP(MJI115,[13]AssetDetails_UEM!$A$3:$AH$1849,6,FALSE)</f>
        <v>Electrosurgical Units, Monopolar/Bipolar</v>
      </c>
      <c r="MJK115" s="196" t="s">
        <v>761</v>
      </c>
      <c r="MJL115" s="197" t="str">
        <f>VLOOKUP(MJK115,[13]AssetDetails_UEM!$A$3:$AH$1849,6,FALSE)</f>
        <v>Electrosurgical Units, Monopolar/Bipolar</v>
      </c>
      <c r="MJM115" s="196" t="s">
        <v>761</v>
      </c>
      <c r="MJN115" s="197" t="str">
        <f>VLOOKUP(MJM115,[13]AssetDetails_UEM!$A$3:$AH$1849,6,FALSE)</f>
        <v>Electrosurgical Units, Monopolar/Bipolar</v>
      </c>
      <c r="MJO115" s="196" t="s">
        <v>761</v>
      </c>
      <c r="MJP115" s="197" t="str">
        <f>VLOOKUP(MJO115,[13]AssetDetails_UEM!$A$3:$AH$1849,6,FALSE)</f>
        <v>Electrosurgical Units, Monopolar/Bipolar</v>
      </c>
      <c r="MJQ115" s="196" t="s">
        <v>761</v>
      </c>
      <c r="MJR115" s="197" t="str">
        <f>VLOOKUP(MJQ115,[13]AssetDetails_UEM!$A$3:$AH$1849,6,FALSE)</f>
        <v>Electrosurgical Units, Monopolar/Bipolar</v>
      </c>
      <c r="MJS115" s="196" t="s">
        <v>761</v>
      </c>
      <c r="MJT115" s="197" t="str">
        <f>VLOOKUP(MJS115,[13]AssetDetails_UEM!$A$3:$AH$1849,6,FALSE)</f>
        <v>Electrosurgical Units, Monopolar/Bipolar</v>
      </c>
      <c r="MJU115" s="196" t="s">
        <v>761</v>
      </c>
      <c r="MJV115" s="197" t="str">
        <f>VLOOKUP(MJU115,[13]AssetDetails_UEM!$A$3:$AH$1849,6,FALSE)</f>
        <v>Electrosurgical Units, Monopolar/Bipolar</v>
      </c>
      <c r="MJW115" s="196" t="s">
        <v>761</v>
      </c>
      <c r="MJX115" s="197" t="str">
        <f>VLOOKUP(MJW115,[13]AssetDetails_UEM!$A$3:$AH$1849,6,FALSE)</f>
        <v>Electrosurgical Units, Monopolar/Bipolar</v>
      </c>
      <c r="MJY115" s="196" t="s">
        <v>761</v>
      </c>
      <c r="MJZ115" s="197" t="str">
        <f>VLOOKUP(MJY115,[13]AssetDetails_UEM!$A$3:$AH$1849,6,FALSE)</f>
        <v>Electrosurgical Units, Monopolar/Bipolar</v>
      </c>
      <c r="MKA115" s="196" t="s">
        <v>761</v>
      </c>
      <c r="MKB115" s="197" t="str">
        <f>VLOOKUP(MKA115,[13]AssetDetails_UEM!$A$3:$AH$1849,6,FALSE)</f>
        <v>Electrosurgical Units, Monopolar/Bipolar</v>
      </c>
      <c r="MKC115" s="196" t="s">
        <v>761</v>
      </c>
      <c r="MKD115" s="197" t="str">
        <f>VLOOKUP(MKC115,[13]AssetDetails_UEM!$A$3:$AH$1849,6,FALSE)</f>
        <v>Electrosurgical Units, Monopolar/Bipolar</v>
      </c>
      <c r="MKE115" s="196" t="s">
        <v>761</v>
      </c>
      <c r="MKF115" s="197" t="str">
        <f>VLOOKUP(MKE115,[13]AssetDetails_UEM!$A$3:$AH$1849,6,FALSE)</f>
        <v>Electrosurgical Units, Monopolar/Bipolar</v>
      </c>
      <c r="MKG115" s="196" t="s">
        <v>761</v>
      </c>
      <c r="MKH115" s="197" t="str">
        <f>VLOOKUP(MKG115,[13]AssetDetails_UEM!$A$3:$AH$1849,6,FALSE)</f>
        <v>Electrosurgical Units, Monopolar/Bipolar</v>
      </c>
      <c r="MKI115" s="196" t="s">
        <v>761</v>
      </c>
      <c r="MKJ115" s="197" t="str">
        <f>VLOOKUP(MKI115,[13]AssetDetails_UEM!$A$3:$AH$1849,6,FALSE)</f>
        <v>Electrosurgical Units, Monopolar/Bipolar</v>
      </c>
      <c r="MKK115" s="196" t="s">
        <v>761</v>
      </c>
      <c r="MKL115" s="197" t="str">
        <f>VLOOKUP(MKK115,[13]AssetDetails_UEM!$A$3:$AH$1849,6,FALSE)</f>
        <v>Electrosurgical Units, Monopolar/Bipolar</v>
      </c>
      <c r="MKM115" s="196" t="s">
        <v>761</v>
      </c>
      <c r="MKN115" s="197" t="str">
        <f>VLOOKUP(MKM115,[13]AssetDetails_UEM!$A$3:$AH$1849,6,FALSE)</f>
        <v>Electrosurgical Units, Monopolar/Bipolar</v>
      </c>
      <c r="MKO115" s="196" t="s">
        <v>761</v>
      </c>
      <c r="MKP115" s="197" t="str">
        <f>VLOOKUP(MKO115,[13]AssetDetails_UEM!$A$3:$AH$1849,6,FALSE)</f>
        <v>Electrosurgical Units, Monopolar/Bipolar</v>
      </c>
      <c r="MKQ115" s="196" t="s">
        <v>761</v>
      </c>
      <c r="MKR115" s="197" t="str">
        <f>VLOOKUP(MKQ115,[13]AssetDetails_UEM!$A$3:$AH$1849,6,FALSE)</f>
        <v>Electrosurgical Units, Monopolar/Bipolar</v>
      </c>
      <c r="MKS115" s="196" t="s">
        <v>761</v>
      </c>
      <c r="MKT115" s="197" t="str">
        <f>VLOOKUP(MKS115,[13]AssetDetails_UEM!$A$3:$AH$1849,6,FALSE)</f>
        <v>Electrosurgical Units, Monopolar/Bipolar</v>
      </c>
      <c r="MKU115" s="196" t="s">
        <v>761</v>
      </c>
      <c r="MKV115" s="197" t="str">
        <f>VLOOKUP(MKU115,[13]AssetDetails_UEM!$A$3:$AH$1849,6,FALSE)</f>
        <v>Electrosurgical Units, Monopolar/Bipolar</v>
      </c>
      <c r="MKW115" s="196" t="s">
        <v>761</v>
      </c>
      <c r="MKX115" s="197" t="str">
        <f>VLOOKUP(MKW115,[13]AssetDetails_UEM!$A$3:$AH$1849,6,FALSE)</f>
        <v>Electrosurgical Units, Monopolar/Bipolar</v>
      </c>
      <c r="MKY115" s="196" t="s">
        <v>761</v>
      </c>
      <c r="MKZ115" s="197" t="str">
        <f>VLOOKUP(MKY115,[13]AssetDetails_UEM!$A$3:$AH$1849,6,FALSE)</f>
        <v>Electrosurgical Units, Monopolar/Bipolar</v>
      </c>
      <c r="MLA115" s="196" t="s">
        <v>761</v>
      </c>
      <c r="MLB115" s="197" t="str">
        <f>VLOOKUP(MLA115,[13]AssetDetails_UEM!$A$3:$AH$1849,6,FALSE)</f>
        <v>Electrosurgical Units, Monopolar/Bipolar</v>
      </c>
      <c r="MLC115" s="196" t="s">
        <v>761</v>
      </c>
      <c r="MLD115" s="197" t="str">
        <f>VLOOKUP(MLC115,[13]AssetDetails_UEM!$A$3:$AH$1849,6,FALSE)</f>
        <v>Electrosurgical Units, Monopolar/Bipolar</v>
      </c>
      <c r="MLE115" s="196" t="s">
        <v>761</v>
      </c>
      <c r="MLF115" s="197" t="str">
        <f>VLOOKUP(MLE115,[13]AssetDetails_UEM!$A$3:$AH$1849,6,FALSE)</f>
        <v>Electrosurgical Units, Monopolar/Bipolar</v>
      </c>
      <c r="MLG115" s="196" t="s">
        <v>761</v>
      </c>
      <c r="MLH115" s="197" t="str">
        <f>VLOOKUP(MLG115,[13]AssetDetails_UEM!$A$3:$AH$1849,6,FALSE)</f>
        <v>Electrosurgical Units, Monopolar/Bipolar</v>
      </c>
      <c r="MLI115" s="196" t="s">
        <v>761</v>
      </c>
      <c r="MLJ115" s="197" t="str">
        <f>VLOOKUP(MLI115,[13]AssetDetails_UEM!$A$3:$AH$1849,6,FALSE)</f>
        <v>Electrosurgical Units, Monopolar/Bipolar</v>
      </c>
      <c r="MLK115" s="196" t="s">
        <v>761</v>
      </c>
      <c r="MLL115" s="197" t="str">
        <f>VLOOKUP(MLK115,[13]AssetDetails_UEM!$A$3:$AH$1849,6,FALSE)</f>
        <v>Electrosurgical Units, Monopolar/Bipolar</v>
      </c>
      <c r="MLM115" s="196" t="s">
        <v>761</v>
      </c>
      <c r="MLN115" s="197" t="str">
        <f>VLOOKUP(MLM115,[13]AssetDetails_UEM!$A$3:$AH$1849,6,FALSE)</f>
        <v>Electrosurgical Units, Monopolar/Bipolar</v>
      </c>
      <c r="MLO115" s="196" t="s">
        <v>761</v>
      </c>
      <c r="MLP115" s="197" t="str">
        <f>VLOOKUP(MLO115,[13]AssetDetails_UEM!$A$3:$AH$1849,6,FALSE)</f>
        <v>Electrosurgical Units, Monopolar/Bipolar</v>
      </c>
      <c r="MLQ115" s="196" t="s">
        <v>761</v>
      </c>
      <c r="MLR115" s="197" t="str">
        <f>VLOOKUP(MLQ115,[13]AssetDetails_UEM!$A$3:$AH$1849,6,FALSE)</f>
        <v>Electrosurgical Units, Monopolar/Bipolar</v>
      </c>
      <c r="MLS115" s="196" t="s">
        <v>761</v>
      </c>
      <c r="MLT115" s="197" t="str">
        <f>VLOOKUP(MLS115,[13]AssetDetails_UEM!$A$3:$AH$1849,6,FALSE)</f>
        <v>Electrosurgical Units, Monopolar/Bipolar</v>
      </c>
      <c r="MLU115" s="196" t="s">
        <v>761</v>
      </c>
      <c r="MLV115" s="197" t="str">
        <f>VLOOKUP(MLU115,[13]AssetDetails_UEM!$A$3:$AH$1849,6,FALSE)</f>
        <v>Electrosurgical Units, Monopolar/Bipolar</v>
      </c>
      <c r="MLW115" s="196" t="s">
        <v>761</v>
      </c>
      <c r="MLX115" s="197" t="str">
        <f>VLOOKUP(MLW115,[13]AssetDetails_UEM!$A$3:$AH$1849,6,FALSE)</f>
        <v>Electrosurgical Units, Monopolar/Bipolar</v>
      </c>
      <c r="MLY115" s="196" t="s">
        <v>761</v>
      </c>
      <c r="MLZ115" s="197" t="str">
        <f>VLOOKUP(MLY115,[13]AssetDetails_UEM!$A$3:$AH$1849,6,FALSE)</f>
        <v>Electrosurgical Units, Monopolar/Bipolar</v>
      </c>
      <c r="MMA115" s="196" t="s">
        <v>761</v>
      </c>
      <c r="MMB115" s="197" t="str">
        <f>VLOOKUP(MMA115,[13]AssetDetails_UEM!$A$3:$AH$1849,6,FALSE)</f>
        <v>Electrosurgical Units, Monopolar/Bipolar</v>
      </c>
      <c r="MMC115" s="196" t="s">
        <v>761</v>
      </c>
      <c r="MMD115" s="197" t="str">
        <f>VLOOKUP(MMC115,[13]AssetDetails_UEM!$A$3:$AH$1849,6,FALSE)</f>
        <v>Electrosurgical Units, Monopolar/Bipolar</v>
      </c>
      <c r="MME115" s="196" t="s">
        <v>761</v>
      </c>
      <c r="MMF115" s="197" t="str">
        <f>VLOOKUP(MME115,[13]AssetDetails_UEM!$A$3:$AH$1849,6,FALSE)</f>
        <v>Electrosurgical Units, Monopolar/Bipolar</v>
      </c>
      <c r="MMG115" s="196" t="s">
        <v>761</v>
      </c>
      <c r="MMH115" s="197" t="str">
        <f>VLOOKUP(MMG115,[13]AssetDetails_UEM!$A$3:$AH$1849,6,FALSE)</f>
        <v>Electrosurgical Units, Monopolar/Bipolar</v>
      </c>
      <c r="MMI115" s="196" t="s">
        <v>761</v>
      </c>
      <c r="MMJ115" s="197" t="str">
        <f>VLOOKUP(MMI115,[13]AssetDetails_UEM!$A$3:$AH$1849,6,FALSE)</f>
        <v>Electrosurgical Units, Monopolar/Bipolar</v>
      </c>
      <c r="MMK115" s="196" t="s">
        <v>761</v>
      </c>
      <c r="MML115" s="197" t="str">
        <f>VLOOKUP(MMK115,[13]AssetDetails_UEM!$A$3:$AH$1849,6,FALSE)</f>
        <v>Electrosurgical Units, Monopolar/Bipolar</v>
      </c>
      <c r="MMM115" s="196" t="s">
        <v>761</v>
      </c>
      <c r="MMN115" s="197" t="str">
        <f>VLOOKUP(MMM115,[13]AssetDetails_UEM!$A$3:$AH$1849,6,FALSE)</f>
        <v>Electrosurgical Units, Monopolar/Bipolar</v>
      </c>
      <c r="MMO115" s="196" t="s">
        <v>761</v>
      </c>
      <c r="MMP115" s="197" t="str">
        <f>VLOOKUP(MMO115,[13]AssetDetails_UEM!$A$3:$AH$1849,6,FALSE)</f>
        <v>Electrosurgical Units, Monopolar/Bipolar</v>
      </c>
      <c r="MMQ115" s="196" t="s">
        <v>761</v>
      </c>
      <c r="MMR115" s="197" t="str">
        <f>VLOOKUP(MMQ115,[13]AssetDetails_UEM!$A$3:$AH$1849,6,FALSE)</f>
        <v>Electrosurgical Units, Monopolar/Bipolar</v>
      </c>
      <c r="MMS115" s="196" t="s">
        <v>761</v>
      </c>
      <c r="MMT115" s="197" t="str">
        <f>VLOOKUP(MMS115,[13]AssetDetails_UEM!$A$3:$AH$1849,6,FALSE)</f>
        <v>Electrosurgical Units, Monopolar/Bipolar</v>
      </c>
      <c r="MMU115" s="196" t="s">
        <v>761</v>
      </c>
      <c r="MMV115" s="197" t="str">
        <f>VLOOKUP(MMU115,[13]AssetDetails_UEM!$A$3:$AH$1849,6,FALSE)</f>
        <v>Electrosurgical Units, Monopolar/Bipolar</v>
      </c>
      <c r="MMW115" s="196" t="s">
        <v>761</v>
      </c>
      <c r="MMX115" s="197" t="str">
        <f>VLOOKUP(MMW115,[13]AssetDetails_UEM!$A$3:$AH$1849,6,FALSE)</f>
        <v>Electrosurgical Units, Monopolar/Bipolar</v>
      </c>
      <c r="MMY115" s="196" t="s">
        <v>761</v>
      </c>
      <c r="MMZ115" s="197" t="str">
        <f>VLOOKUP(MMY115,[13]AssetDetails_UEM!$A$3:$AH$1849,6,FALSE)</f>
        <v>Electrosurgical Units, Monopolar/Bipolar</v>
      </c>
      <c r="MNA115" s="196" t="s">
        <v>761</v>
      </c>
      <c r="MNB115" s="197" t="str">
        <f>VLOOKUP(MNA115,[13]AssetDetails_UEM!$A$3:$AH$1849,6,FALSE)</f>
        <v>Electrosurgical Units, Monopolar/Bipolar</v>
      </c>
      <c r="MNC115" s="196" t="s">
        <v>761</v>
      </c>
      <c r="MND115" s="197" t="str">
        <f>VLOOKUP(MNC115,[13]AssetDetails_UEM!$A$3:$AH$1849,6,FALSE)</f>
        <v>Electrosurgical Units, Monopolar/Bipolar</v>
      </c>
      <c r="MNE115" s="196" t="s">
        <v>761</v>
      </c>
      <c r="MNF115" s="197" t="str">
        <f>VLOOKUP(MNE115,[13]AssetDetails_UEM!$A$3:$AH$1849,6,FALSE)</f>
        <v>Electrosurgical Units, Monopolar/Bipolar</v>
      </c>
      <c r="MNG115" s="196" t="s">
        <v>761</v>
      </c>
      <c r="MNH115" s="197" t="str">
        <f>VLOOKUP(MNG115,[13]AssetDetails_UEM!$A$3:$AH$1849,6,FALSE)</f>
        <v>Electrosurgical Units, Monopolar/Bipolar</v>
      </c>
      <c r="MNI115" s="196" t="s">
        <v>761</v>
      </c>
      <c r="MNJ115" s="197" t="str">
        <f>VLOOKUP(MNI115,[13]AssetDetails_UEM!$A$3:$AH$1849,6,FALSE)</f>
        <v>Electrosurgical Units, Monopolar/Bipolar</v>
      </c>
      <c r="MNK115" s="196" t="s">
        <v>761</v>
      </c>
      <c r="MNL115" s="197" t="str">
        <f>VLOOKUP(MNK115,[13]AssetDetails_UEM!$A$3:$AH$1849,6,FALSE)</f>
        <v>Electrosurgical Units, Monopolar/Bipolar</v>
      </c>
      <c r="MNM115" s="196" t="s">
        <v>761</v>
      </c>
      <c r="MNN115" s="197" t="str">
        <f>VLOOKUP(MNM115,[13]AssetDetails_UEM!$A$3:$AH$1849,6,FALSE)</f>
        <v>Electrosurgical Units, Monopolar/Bipolar</v>
      </c>
      <c r="MNO115" s="196" t="s">
        <v>761</v>
      </c>
      <c r="MNP115" s="197" t="str">
        <f>VLOOKUP(MNO115,[13]AssetDetails_UEM!$A$3:$AH$1849,6,FALSE)</f>
        <v>Electrosurgical Units, Monopolar/Bipolar</v>
      </c>
      <c r="MNQ115" s="196" t="s">
        <v>761</v>
      </c>
      <c r="MNR115" s="197" t="str">
        <f>VLOOKUP(MNQ115,[13]AssetDetails_UEM!$A$3:$AH$1849,6,FALSE)</f>
        <v>Electrosurgical Units, Monopolar/Bipolar</v>
      </c>
      <c r="MNS115" s="196" t="s">
        <v>761</v>
      </c>
      <c r="MNT115" s="197" t="str">
        <f>VLOOKUP(MNS115,[13]AssetDetails_UEM!$A$3:$AH$1849,6,FALSE)</f>
        <v>Electrosurgical Units, Monopolar/Bipolar</v>
      </c>
      <c r="MNU115" s="196" t="s">
        <v>761</v>
      </c>
      <c r="MNV115" s="197" t="str">
        <f>VLOOKUP(MNU115,[13]AssetDetails_UEM!$A$3:$AH$1849,6,FALSE)</f>
        <v>Electrosurgical Units, Monopolar/Bipolar</v>
      </c>
      <c r="MNW115" s="196" t="s">
        <v>761</v>
      </c>
      <c r="MNX115" s="197" t="str">
        <f>VLOOKUP(MNW115,[13]AssetDetails_UEM!$A$3:$AH$1849,6,FALSE)</f>
        <v>Electrosurgical Units, Monopolar/Bipolar</v>
      </c>
      <c r="MNY115" s="196" t="s">
        <v>761</v>
      </c>
      <c r="MNZ115" s="197" t="str">
        <f>VLOOKUP(MNY115,[13]AssetDetails_UEM!$A$3:$AH$1849,6,FALSE)</f>
        <v>Electrosurgical Units, Monopolar/Bipolar</v>
      </c>
      <c r="MOA115" s="196" t="s">
        <v>761</v>
      </c>
      <c r="MOB115" s="197" t="str">
        <f>VLOOKUP(MOA115,[13]AssetDetails_UEM!$A$3:$AH$1849,6,FALSE)</f>
        <v>Electrosurgical Units, Monopolar/Bipolar</v>
      </c>
      <c r="MOC115" s="196" t="s">
        <v>761</v>
      </c>
      <c r="MOD115" s="197" t="str">
        <f>VLOOKUP(MOC115,[13]AssetDetails_UEM!$A$3:$AH$1849,6,FALSE)</f>
        <v>Electrosurgical Units, Monopolar/Bipolar</v>
      </c>
      <c r="MOE115" s="196" t="s">
        <v>761</v>
      </c>
      <c r="MOF115" s="197" t="str">
        <f>VLOOKUP(MOE115,[13]AssetDetails_UEM!$A$3:$AH$1849,6,FALSE)</f>
        <v>Electrosurgical Units, Monopolar/Bipolar</v>
      </c>
      <c r="MOG115" s="196" t="s">
        <v>761</v>
      </c>
      <c r="MOH115" s="197" t="str">
        <f>VLOOKUP(MOG115,[13]AssetDetails_UEM!$A$3:$AH$1849,6,FALSE)</f>
        <v>Electrosurgical Units, Monopolar/Bipolar</v>
      </c>
      <c r="MOI115" s="196" t="s">
        <v>761</v>
      </c>
      <c r="MOJ115" s="197" t="str">
        <f>VLOOKUP(MOI115,[13]AssetDetails_UEM!$A$3:$AH$1849,6,FALSE)</f>
        <v>Electrosurgical Units, Monopolar/Bipolar</v>
      </c>
      <c r="MOK115" s="196" t="s">
        <v>761</v>
      </c>
      <c r="MOL115" s="197" t="str">
        <f>VLOOKUP(MOK115,[13]AssetDetails_UEM!$A$3:$AH$1849,6,FALSE)</f>
        <v>Electrosurgical Units, Monopolar/Bipolar</v>
      </c>
      <c r="MOM115" s="196" t="s">
        <v>761</v>
      </c>
      <c r="MON115" s="197" t="str">
        <f>VLOOKUP(MOM115,[13]AssetDetails_UEM!$A$3:$AH$1849,6,FALSE)</f>
        <v>Electrosurgical Units, Monopolar/Bipolar</v>
      </c>
      <c r="MOO115" s="196" t="s">
        <v>761</v>
      </c>
      <c r="MOP115" s="197" t="str">
        <f>VLOOKUP(MOO115,[13]AssetDetails_UEM!$A$3:$AH$1849,6,FALSE)</f>
        <v>Electrosurgical Units, Monopolar/Bipolar</v>
      </c>
      <c r="MOQ115" s="196" t="s">
        <v>761</v>
      </c>
      <c r="MOR115" s="197" t="str">
        <f>VLOOKUP(MOQ115,[13]AssetDetails_UEM!$A$3:$AH$1849,6,FALSE)</f>
        <v>Electrosurgical Units, Monopolar/Bipolar</v>
      </c>
      <c r="MOS115" s="196" t="s">
        <v>761</v>
      </c>
      <c r="MOT115" s="197" t="str">
        <f>VLOOKUP(MOS115,[13]AssetDetails_UEM!$A$3:$AH$1849,6,FALSE)</f>
        <v>Electrosurgical Units, Monopolar/Bipolar</v>
      </c>
      <c r="MOU115" s="196" t="s">
        <v>761</v>
      </c>
      <c r="MOV115" s="197" t="str">
        <f>VLOOKUP(MOU115,[13]AssetDetails_UEM!$A$3:$AH$1849,6,FALSE)</f>
        <v>Electrosurgical Units, Monopolar/Bipolar</v>
      </c>
      <c r="MOW115" s="196" t="s">
        <v>761</v>
      </c>
      <c r="MOX115" s="197" t="str">
        <f>VLOOKUP(MOW115,[13]AssetDetails_UEM!$A$3:$AH$1849,6,FALSE)</f>
        <v>Electrosurgical Units, Monopolar/Bipolar</v>
      </c>
      <c r="MOY115" s="196" t="s">
        <v>761</v>
      </c>
      <c r="MOZ115" s="197" t="str">
        <f>VLOOKUP(MOY115,[13]AssetDetails_UEM!$A$3:$AH$1849,6,FALSE)</f>
        <v>Electrosurgical Units, Monopolar/Bipolar</v>
      </c>
      <c r="MPA115" s="196" t="s">
        <v>761</v>
      </c>
      <c r="MPB115" s="197" t="str">
        <f>VLOOKUP(MPA115,[13]AssetDetails_UEM!$A$3:$AH$1849,6,FALSE)</f>
        <v>Electrosurgical Units, Monopolar/Bipolar</v>
      </c>
      <c r="MPC115" s="196" t="s">
        <v>761</v>
      </c>
      <c r="MPD115" s="197" t="str">
        <f>VLOOKUP(MPC115,[13]AssetDetails_UEM!$A$3:$AH$1849,6,FALSE)</f>
        <v>Electrosurgical Units, Monopolar/Bipolar</v>
      </c>
      <c r="MPE115" s="196" t="s">
        <v>761</v>
      </c>
      <c r="MPF115" s="197" t="str">
        <f>VLOOKUP(MPE115,[13]AssetDetails_UEM!$A$3:$AH$1849,6,FALSE)</f>
        <v>Electrosurgical Units, Monopolar/Bipolar</v>
      </c>
      <c r="MPG115" s="196" t="s">
        <v>761</v>
      </c>
      <c r="MPH115" s="197" t="str">
        <f>VLOOKUP(MPG115,[13]AssetDetails_UEM!$A$3:$AH$1849,6,FALSE)</f>
        <v>Electrosurgical Units, Monopolar/Bipolar</v>
      </c>
      <c r="MPI115" s="196" t="s">
        <v>761</v>
      </c>
      <c r="MPJ115" s="197" t="str">
        <f>VLOOKUP(MPI115,[13]AssetDetails_UEM!$A$3:$AH$1849,6,FALSE)</f>
        <v>Electrosurgical Units, Monopolar/Bipolar</v>
      </c>
      <c r="MPK115" s="196" t="s">
        <v>761</v>
      </c>
      <c r="MPL115" s="197" t="str">
        <f>VLOOKUP(MPK115,[13]AssetDetails_UEM!$A$3:$AH$1849,6,FALSE)</f>
        <v>Electrosurgical Units, Monopolar/Bipolar</v>
      </c>
      <c r="MPM115" s="196" t="s">
        <v>761</v>
      </c>
      <c r="MPN115" s="197" t="str">
        <f>VLOOKUP(MPM115,[13]AssetDetails_UEM!$A$3:$AH$1849,6,FALSE)</f>
        <v>Electrosurgical Units, Monopolar/Bipolar</v>
      </c>
      <c r="MPO115" s="196" t="s">
        <v>761</v>
      </c>
      <c r="MPP115" s="197" t="str">
        <f>VLOOKUP(MPO115,[13]AssetDetails_UEM!$A$3:$AH$1849,6,FALSE)</f>
        <v>Electrosurgical Units, Monopolar/Bipolar</v>
      </c>
      <c r="MPQ115" s="196" t="s">
        <v>761</v>
      </c>
      <c r="MPR115" s="197" t="str">
        <f>VLOOKUP(MPQ115,[13]AssetDetails_UEM!$A$3:$AH$1849,6,FALSE)</f>
        <v>Electrosurgical Units, Monopolar/Bipolar</v>
      </c>
      <c r="MPS115" s="196" t="s">
        <v>761</v>
      </c>
      <c r="MPT115" s="197" t="str">
        <f>VLOOKUP(MPS115,[13]AssetDetails_UEM!$A$3:$AH$1849,6,FALSE)</f>
        <v>Electrosurgical Units, Monopolar/Bipolar</v>
      </c>
      <c r="MPU115" s="196" t="s">
        <v>761</v>
      </c>
      <c r="MPV115" s="197" t="str">
        <f>VLOOKUP(MPU115,[13]AssetDetails_UEM!$A$3:$AH$1849,6,FALSE)</f>
        <v>Electrosurgical Units, Monopolar/Bipolar</v>
      </c>
      <c r="MPW115" s="196" t="s">
        <v>761</v>
      </c>
      <c r="MPX115" s="197" t="str">
        <f>VLOOKUP(MPW115,[13]AssetDetails_UEM!$A$3:$AH$1849,6,FALSE)</f>
        <v>Electrosurgical Units, Monopolar/Bipolar</v>
      </c>
      <c r="MPY115" s="196" t="s">
        <v>761</v>
      </c>
      <c r="MPZ115" s="197" t="str">
        <f>VLOOKUP(MPY115,[13]AssetDetails_UEM!$A$3:$AH$1849,6,FALSE)</f>
        <v>Electrosurgical Units, Monopolar/Bipolar</v>
      </c>
      <c r="MQA115" s="196" t="s">
        <v>761</v>
      </c>
      <c r="MQB115" s="197" t="str">
        <f>VLOOKUP(MQA115,[13]AssetDetails_UEM!$A$3:$AH$1849,6,FALSE)</f>
        <v>Electrosurgical Units, Monopolar/Bipolar</v>
      </c>
      <c r="MQC115" s="196" t="s">
        <v>761</v>
      </c>
      <c r="MQD115" s="197" t="str">
        <f>VLOOKUP(MQC115,[13]AssetDetails_UEM!$A$3:$AH$1849,6,FALSE)</f>
        <v>Electrosurgical Units, Monopolar/Bipolar</v>
      </c>
      <c r="MQE115" s="196" t="s">
        <v>761</v>
      </c>
      <c r="MQF115" s="197" t="str">
        <f>VLOOKUP(MQE115,[13]AssetDetails_UEM!$A$3:$AH$1849,6,FALSE)</f>
        <v>Electrosurgical Units, Monopolar/Bipolar</v>
      </c>
      <c r="MQG115" s="196" t="s">
        <v>761</v>
      </c>
      <c r="MQH115" s="197" t="str">
        <f>VLOOKUP(MQG115,[13]AssetDetails_UEM!$A$3:$AH$1849,6,FALSE)</f>
        <v>Electrosurgical Units, Monopolar/Bipolar</v>
      </c>
      <c r="MQI115" s="196" t="s">
        <v>761</v>
      </c>
      <c r="MQJ115" s="197" t="str">
        <f>VLOOKUP(MQI115,[13]AssetDetails_UEM!$A$3:$AH$1849,6,FALSE)</f>
        <v>Electrosurgical Units, Monopolar/Bipolar</v>
      </c>
      <c r="MQK115" s="196" t="s">
        <v>761</v>
      </c>
      <c r="MQL115" s="197" t="str">
        <f>VLOOKUP(MQK115,[13]AssetDetails_UEM!$A$3:$AH$1849,6,FALSE)</f>
        <v>Electrosurgical Units, Monopolar/Bipolar</v>
      </c>
      <c r="MQM115" s="196" t="s">
        <v>761</v>
      </c>
      <c r="MQN115" s="197" t="str">
        <f>VLOOKUP(MQM115,[13]AssetDetails_UEM!$A$3:$AH$1849,6,FALSE)</f>
        <v>Electrosurgical Units, Monopolar/Bipolar</v>
      </c>
      <c r="MQO115" s="196" t="s">
        <v>761</v>
      </c>
      <c r="MQP115" s="197" t="str">
        <f>VLOOKUP(MQO115,[13]AssetDetails_UEM!$A$3:$AH$1849,6,FALSE)</f>
        <v>Electrosurgical Units, Monopolar/Bipolar</v>
      </c>
      <c r="MQQ115" s="196" t="s">
        <v>761</v>
      </c>
      <c r="MQR115" s="197" t="str">
        <f>VLOOKUP(MQQ115,[13]AssetDetails_UEM!$A$3:$AH$1849,6,FALSE)</f>
        <v>Electrosurgical Units, Monopolar/Bipolar</v>
      </c>
      <c r="MQS115" s="196" t="s">
        <v>761</v>
      </c>
      <c r="MQT115" s="197" t="str">
        <f>VLOOKUP(MQS115,[13]AssetDetails_UEM!$A$3:$AH$1849,6,FALSE)</f>
        <v>Electrosurgical Units, Monopolar/Bipolar</v>
      </c>
      <c r="MQU115" s="196" t="s">
        <v>761</v>
      </c>
      <c r="MQV115" s="197" t="str">
        <f>VLOOKUP(MQU115,[13]AssetDetails_UEM!$A$3:$AH$1849,6,FALSE)</f>
        <v>Electrosurgical Units, Monopolar/Bipolar</v>
      </c>
      <c r="MQW115" s="196" t="s">
        <v>761</v>
      </c>
      <c r="MQX115" s="197" t="str">
        <f>VLOOKUP(MQW115,[13]AssetDetails_UEM!$A$3:$AH$1849,6,FALSE)</f>
        <v>Electrosurgical Units, Monopolar/Bipolar</v>
      </c>
      <c r="MQY115" s="196" t="s">
        <v>761</v>
      </c>
      <c r="MQZ115" s="197" t="str">
        <f>VLOOKUP(MQY115,[13]AssetDetails_UEM!$A$3:$AH$1849,6,FALSE)</f>
        <v>Electrosurgical Units, Monopolar/Bipolar</v>
      </c>
      <c r="MRA115" s="196" t="s">
        <v>761</v>
      </c>
      <c r="MRB115" s="197" t="str">
        <f>VLOOKUP(MRA115,[13]AssetDetails_UEM!$A$3:$AH$1849,6,FALSE)</f>
        <v>Electrosurgical Units, Monopolar/Bipolar</v>
      </c>
      <c r="MRC115" s="196" t="s">
        <v>761</v>
      </c>
      <c r="MRD115" s="197" t="str">
        <f>VLOOKUP(MRC115,[13]AssetDetails_UEM!$A$3:$AH$1849,6,FALSE)</f>
        <v>Electrosurgical Units, Monopolar/Bipolar</v>
      </c>
      <c r="MRE115" s="196" t="s">
        <v>761</v>
      </c>
      <c r="MRF115" s="197" t="str">
        <f>VLOOKUP(MRE115,[13]AssetDetails_UEM!$A$3:$AH$1849,6,FALSE)</f>
        <v>Electrosurgical Units, Monopolar/Bipolar</v>
      </c>
      <c r="MRG115" s="196" t="s">
        <v>761</v>
      </c>
      <c r="MRH115" s="197" t="str">
        <f>VLOOKUP(MRG115,[13]AssetDetails_UEM!$A$3:$AH$1849,6,FALSE)</f>
        <v>Electrosurgical Units, Monopolar/Bipolar</v>
      </c>
      <c r="MRI115" s="196" t="s">
        <v>761</v>
      </c>
      <c r="MRJ115" s="197" t="str">
        <f>VLOOKUP(MRI115,[13]AssetDetails_UEM!$A$3:$AH$1849,6,FALSE)</f>
        <v>Electrosurgical Units, Monopolar/Bipolar</v>
      </c>
      <c r="MRK115" s="196" t="s">
        <v>761</v>
      </c>
      <c r="MRL115" s="197" t="str">
        <f>VLOOKUP(MRK115,[13]AssetDetails_UEM!$A$3:$AH$1849,6,FALSE)</f>
        <v>Electrosurgical Units, Monopolar/Bipolar</v>
      </c>
      <c r="MRM115" s="196" t="s">
        <v>761</v>
      </c>
      <c r="MRN115" s="197" t="str">
        <f>VLOOKUP(MRM115,[13]AssetDetails_UEM!$A$3:$AH$1849,6,FALSE)</f>
        <v>Electrosurgical Units, Monopolar/Bipolar</v>
      </c>
      <c r="MRO115" s="196" t="s">
        <v>761</v>
      </c>
      <c r="MRP115" s="197" t="str">
        <f>VLOOKUP(MRO115,[13]AssetDetails_UEM!$A$3:$AH$1849,6,FALSE)</f>
        <v>Electrosurgical Units, Monopolar/Bipolar</v>
      </c>
      <c r="MRQ115" s="196" t="s">
        <v>761</v>
      </c>
      <c r="MRR115" s="197" t="str">
        <f>VLOOKUP(MRQ115,[13]AssetDetails_UEM!$A$3:$AH$1849,6,FALSE)</f>
        <v>Electrosurgical Units, Monopolar/Bipolar</v>
      </c>
      <c r="MRS115" s="196" t="s">
        <v>761</v>
      </c>
      <c r="MRT115" s="197" t="str">
        <f>VLOOKUP(MRS115,[13]AssetDetails_UEM!$A$3:$AH$1849,6,FALSE)</f>
        <v>Electrosurgical Units, Monopolar/Bipolar</v>
      </c>
      <c r="MRU115" s="196" t="s">
        <v>761</v>
      </c>
      <c r="MRV115" s="197" t="str">
        <f>VLOOKUP(MRU115,[13]AssetDetails_UEM!$A$3:$AH$1849,6,FALSE)</f>
        <v>Electrosurgical Units, Monopolar/Bipolar</v>
      </c>
      <c r="MRW115" s="196" t="s">
        <v>761</v>
      </c>
      <c r="MRX115" s="197" t="str">
        <f>VLOOKUP(MRW115,[13]AssetDetails_UEM!$A$3:$AH$1849,6,FALSE)</f>
        <v>Electrosurgical Units, Monopolar/Bipolar</v>
      </c>
      <c r="MRY115" s="196" t="s">
        <v>761</v>
      </c>
      <c r="MRZ115" s="197" t="str">
        <f>VLOOKUP(MRY115,[13]AssetDetails_UEM!$A$3:$AH$1849,6,FALSE)</f>
        <v>Electrosurgical Units, Monopolar/Bipolar</v>
      </c>
      <c r="MSA115" s="196" t="s">
        <v>761</v>
      </c>
      <c r="MSB115" s="197" t="str">
        <f>VLOOKUP(MSA115,[13]AssetDetails_UEM!$A$3:$AH$1849,6,FALSE)</f>
        <v>Electrosurgical Units, Monopolar/Bipolar</v>
      </c>
      <c r="MSC115" s="196" t="s">
        <v>761</v>
      </c>
      <c r="MSD115" s="197" t="str">
        <f>VLOOKUP(MSC115,[13]AssetDetails_UEM!$A$3:$AH$1849,6,FALSE)</f>
        <v>Electrosurgical Units, Monopolar/Bipolar</v>
      </c>
      <c r="MSE115" s="196" t="s">
        <v>761</v>
      </c>
      <c r="MSF115" s="197" t="str">
        <f>VLOOKUP(MSE115,[13]AssetDetails_UEM!$A$3:$AH$1849,6,FALSE)</f>
        <v>Electrosurgical Units, Monopolar/Bipolar</v>
      </c>
      <c r="MSG115" s="196" t="s">
        <v>761</v>
      </c>
      <c r="MSH115" s="197" t="str">
        <f>VLOOKUP(MSG115,[13]AssetDetails_UEM!$A$3:$AH$1849,6,FALSE)</f>
        <v>Electrosurgical Units, Monopolar/Bipolar</v>
      </c>
      <c r="MSI115" s="196" t="s">
        <v>761</v>
      </c>
      <c r="MSJ115" s="197" t="str">
        <f>VLOOKUP(MSI115,[13]AssetDetails_UEM!$A$3:$AH$1849,6,FALSE)</f>
        <v>Electrosurgical Units, Monopolar/Bipolar</v>
      </c>
      <c r="MSK115" s="196" t="s">
        <v>761</v>
      </c>
      <c r="MSL115" s="197" t="str">
        <f>VLOOKUP(MSK115,[13]AssetDetails_UEM!$A$3:$AH$1849,6,FALSE)</f>
        <v>Electrosurgical Units, Monopolar/Bipolar</v>
      </c>
      <c r="MSM115" s="196" t="s">
        <v>761</v>
      </c>
      <c r="MSN115" s="197" t="str">
        <f>VLOOKUP(MSM115,[13]AssetDetails_UEM!$A$3:$AH$1849,6,FALSE)</f>
        <v>Electrosurgical Units, Monopolar/Bipolar</v>
      </c>
      <c r="MSO115" s="196" t="s">
        <v>761</v>
      </c>
      <c r="MSP115" s="197" t="str">
        <f>VLOOKUP(MSO115,[13]AssetDetails_UEM!$A$3:$AH$1849,6,FALSE)</f>
        <v>Electrosurgical Units, Monopolar/Bipolar</v>
      </c>
      <c r="MSQ115" s="196" t="s">
        <v>761</v>
      </c>
      <c r="MSR115" s="197" t="str">
        <f>VLOOKUP(MSQ115,[13]AssetDetails_UEM!$A$3:$AH$1849,6,FALSE)</f>
        <v>Electrosurgical Units, Monopolar/Bipolar</v>
      </c>
      <c r="MSS115" s="196" t="s">
        <v>761</v>
      </c>
      <c r="MST115" s="197" t="str">
        <f>VLOOKUP(MSS115,[13]AssetDetails_UEM!$A$3:$AH$1849,6,FALSE)</f>
        <v>Electrosurgical Units, Monopolar/Bipolar</v>
      </c>
      <c r="MSU115" s="196" t="s">
        <v>761</v>
      </c>
      <c r="MSV115" s="197" t="str">
        <f>VLOOKUP(MSU115,[13]AssetDetails_UEM!$A$3:$AH$1849,6,FALSE)</f>
        <v>Electrosurgical Units, Monopolar/Bipolar</v>
      </c>
      <c r="MSW115" s="196" t="s">
        <v>761</v>
      </c>
      <c r="MSX115" s="197" t="str">
        <f>VLOOKUP(MSW115,[13]AssetDetails_UEM!$A$3:$AH$1849,6,FALSE)</f>
        <v>Electrosurgical Units, Monopolar/Bipolar</v>
      </c>
      <c r="MSY115" s="196" t="s">
        <v>761</v>
      </c>
      <c r="MSZ115" s="197" t="str">
        <f>VLOOKUP(MSY115,[13]AssetDetails_UEM!$A$3:$AH$1849,6,FALSE)</f>
        <v>Electrosurgical Units, Monopolar/Bipolar</v>
      </c>
      <c r="MTA115" s="196" t="s">
        <v>761</v>
      </c>
      <c r="MTB115" s="197" t="str">
        <f>VLOOKUP(MTA115,[13]AssetDetails_UEM!$A$3:$AH$1849,6,FALSE)</f>
        <v>Electrosurgical Units, Monopolar/Bipolar</v>
      </c>
      <c r="MTC115" s="196" t="s">
        <v>761</v>
      </c>
      <c r="MTD115" s="197" t="str">
        <f>VLOOKUP(MTC115,[13]AssetDetails_UEM!$A$3:$AH$1849,6,FALSE)</f>
        <v>Electrosurgical Units, Monopolar/Bipolar</v>
      </c>
      <c r="MTE115" s="196" t="s">
        <v>761</v>
      </c>
      <c r="MTF115" s="197" t="str">
        <f>VLOOKUP(MTE115,[13]AssetDetails_UEM!$A$3:$AH$1849,6,FALSE)</f>
        <v>Electrosurgical Units, Monopolar/Bipolar</v>
      </c>
      <c r="MTG115" s="196" t="s">
        <v>761</v>
      </c>
      <c r="MTH115" s="197" t="str">
        <f>VLOOKUP(MTG115,[13]AssetDetails_UEM!$A$3:$AH$1849,6,FALSE)</f>
        <v>Electrosurgical Units, Monopolar/Bipolar</v>
      </c>
      <c r="MTI115" s="196" t="s">
        <v>761</v>
      </c>
      <c r="MTJ115" s="197" t="str">
        <f>VLOOKUP(MTI115,[13]AssetDetails_UEM!$A$3:$AH$1849,6,FALSE)</f>
        <v>Electrosurgical Units, Monopolar/Bipolar</v>
      </c>
      <c r="MTK115" s="196" t="s">
        <v>761</v>
      </c>
      <c r="MTL115" s="197" t="str">
        <f>VLOOKUP(MTK115,[13]AssetDetails_UEM!$A$3:$AH$1849,6,FALSE)</f>
        <v>Electrosurgical Units, Monopolar/Bipolar</v>
      </c>
      <c r="MTM115" s="196" t="s">
        <v>761</v>
      </c>
      <c r="MTN115" s="197" t="str">
        <f>VLOOKUP(MTM115,[13]AssetDetails_UEM!$A$3:$AH$1849,6,FALSE)</f>
        <v>Electrosurgical Units, Monopolar/Bipolar</v>
      </c>
      <c r="MTO115" s="196" t="s">
        <v>761</v>
      </c>
      <c r="MTP115" s="197" t="str">
        <f>VLOOKUP(MTO115,[13]AssetDetails_UEM!$A$3:$AH$1849,6,FALSE)</f>
        <v>Electrosurgical Units, Monopolar/Bipolar</v>
      </c>
      <c r="MTQ115" s="196" t="s">
        <v>761</v>
      </c>
      <c r="MTR115" s="197" t="str">
        <f>VLOOKUP(MTQ115,[13]AssetDetails_UEM!$A$3:$AH$1849,6,FALSE)</f>
        <v>Electrosurgical Units, Monopolar/Bipolar</v>
      </c>
      <c r="MTS115" s="196" t="s">
        <v>761</v>
      </c>
      <c r="MTT115" s="197" t="str">
        <f>VLOOKUP(MTS115,[13]AssetDetails_UEM!$A$3:$AH$1849,6,FALSE)</f>
        <v>Electrosurgical Units, Monopolar/Bipolar</v>
      </c>
      <c r="MTU115" s="196" t="s">
        <v>761</v>
      </c>
      <c r="MTV115" s="197" t="str">
        <f>VLOOKUP(MTU115,[13]AssetDetails_UEM!$A$3:$AH$1849,6,FALSE)</f>
        <v>Electrosurgical Units, Monopolar/Bipolar</v>
      </c>
      <c r="MTW115" s="196" t="s">
        <v>761</v>
      </c>
      <c r="MTX115" s="197" t="str">
        <f>VLOOKUP(MTW115,[13]AssetDetails_UEM!$A$3:$AH$1849,6,FALSE)</f>
        <v>Electrosurgical Units, Monopolar/Bipolar</v>
      </c>
      <c r="MTY115" s="196" t="s">
        <v>761</v>
      </c>
      <c r="MTZ115" s="197" t="str">
        <f>VLOOKUP(MTY115,[13]AssetDetails_UEM!$A$3:$AH$1849,6,FALSE)</f>
        <v>Electrosurgical Units, Monopolar/Bipolar</v>
      </c>
      <c r="MUA115" s="196" t="s">
        <v>761</v>
      </c>
      <c r="MUB115" s="197" t="str">
        <f>VLOOKUP(MUA115,[13]AssetDetails_UEM!$A$3:$AH$1849,6,FALSE)</f>
        <v>Electrosurgical Units, Monopolar/Bipolar</v>
      </c>
      <c r="MUC115" s="196" t="s">
        <v>761</v>
      </c>
      <c r="MUD115" s="197" t="str">
        <f>VLOOKUP(MUC115,[13]AssetDetails_UEM!$A$3:$AH$1849,6,FALSE)</f>
        <v>Electrosurgical Units, Monopolar/Bipolar</v>
      </c>
      <c r="MUE115" s="196" t="s">
        <v>761</v>
      </c>
      <c r="MUF115" s="197" t="str">
        <f>VLOOKUP(MUE115,[13]AssetDetails_UEM!$A$3:$AH$1849,6,FALSE)</f>
        <v>Electrosurgical Units, Monopolar/Bipolar</v>
      </c>
      <c r="MUG115" s="196" t="s">
        <v>761</v>
      </c>
      <c r="MUH115" s="197" t="str">
        <f>VLOOKUP(MUG115,[13]AssetDetails_UEM!$A$3:$AH$1849,6,FALSE)</f>
        <v>Electrosurgical Units, Monopolar/Bipolar</v>
      </c>
      <c r="MUI115" s="196" t="s">
        <v>761</v>
      </c>
      <c r="MUJ115" s="197" t="str">
        <f>VLOOKUP(MUI115,[13]AssetDetails_UEM!$A$3:$AH$1849,6,FALSE)</f>
        <v>Electrosurgical Units, Monopolar/Bipolar</v>
      </c>
      <c r="MUK115" s="196" t="s">
        <v>761</v>
      </c>
      <c r="MUL115" s="197" t="str">
        <f>VLOOKUP(MUK115,[13]AssetDetails_UEM!$A$3:$AH$1849,6,FALSE)</f>
        <v>Electrosurgical Units, Monopolar/Bipolar</v>
      </c>
      <c r="MUM115" s="196" t="s">
        <v>761</v>
      </c>
      <c r="MUN115" s="197" t="str">
        <f>VLOOKUP(MUM115,[13]AssetDetails_UEM!$A$3:$AH$1849,6,FALSE)</f>
        <v>Electrosurgical Units, Monopolar/Bipolar</v>
      </c>
      <c r="MUO115" s="196" t="s">
        <v>761</v>
      </c>
      <c r="MUP115" s="197" t="str">
        <f>VLOOKUP(MUO115,[13]AssetDetails_UEM!$A$3:$AH$1849,6,FALSE)</f>
        <v>Electrosurgical Units, Monopolar/Bipolar</v>
      </c>
      <c r="MUQ115" s="196" t="s">
        <v>761</v>
      </c>
      <c r="MUR115" s="197" t="str">
        <f>VLOOKUP(MUQ115,[13]AssetDetails_UEM!$A$3:$AH$1849,6,FALSE)</f>
        <v>Electrosurgical Units, Monopolar/Bipolar</v>
      </c>
      <c r="MUS115" s="196" t="s">
        <v>761</v>
      </c>
      <c r="MUT115" s="197" t="str">
        <f>VLOOKUP(MUS115,[13]AssetDetails_UEM!$A$3:$AH$1849,6,FALSE)</f>
        <v>Electrosurgical Units, Monopolar/Bipolar</v>
      </c>
      <c r="MUU115" s="196" t="s">
        <v>761</v>
      </c>
      <c r="MUV115" s="197" t="str">
        <f>VLOOKUP(MUU115,[13]AssetDetails_UEM!$A$3:$AH$1849,6,FALSE)</f>
        <v>Electrosurgical Units, Monopolar/Bipolar</v>
      </c>
      <c r="MUW115" s="196" t="s">
        <v>761</v>
      </c>
      <c r="MUX115" s="197" t="str">
        <f>VLOOKUP(MUW115,[13]AssetDetails_UEM!$A$3:$AH$1849,6,FALSE)</f>
        <v>Electrosurgical Units, Monopolar/Bipolar</v>
      </c>
      <c r="MUY115" s="196" t="s">
        <v>761</v>
      </c>
      <c r="MUZ115" s="197" t="str">
        <f>VLOOKUP(MUY115,[13]AssetDetails_UEM!$A$3:$AH$1849,6,FALSE)</f>
        <v>Electrosurgical Units, Monopolar/Bipolar</v>
      </c>
      <c r="MVA115" s="196" t="s">
        <v>761</v>
      </c>
      <c r="MVB115" s="197" t="str">
        <f>VLOOKUP(MVA115,[13]AssetDetails_UEM!$A$3:$AH$1849,6,FALSE)</f>
        <v>Electrosurgical Units, Monopolar/Bipolar</v>
      </c>
      <c r="MVC115" s="196" t="s">
        <v>761</v>
      </c>
      <c r="MVD115" s="197" t="str">
        <f>VLOOKUP(MVC115,[13]AssetDetails_UEM!$A$3:$AH$1849,6,FALSE)</f>
        <v>Electrosurgical Units, Monopolar/Bipolar</v>
      </c>
      <c r="MVE115" s="196" t="s">
        <v>761</v>
      </c>
      <c r="MVF115" s="197" t="str">
        <f>VLOOKUP(MVE115,[13]AssetDetails_UEM!$A$3:$AH$1849,6,FALSE)</f>
        <v>Electrosurgical Units, Monopolar/Bipolar</v>
      </c>
      <c r="MVG115" s="196" t="s">
        <v>761</v>
      </c>
      <c r="MVH115" s="197" t="str">
        <f>VLOOKUP(MVG115,[13]AssetDetails_UEM!$A$3:$AH$1849,6,FALSE)</f>
        <v>Electrosurgical Units, Monopolar/Bipolar</v>
      </c>
      <c r="MVI115" s="196" t="s">
        <v>761</v>
      </c>
      <c r="MVJ115" s="197" t="str">
        <f>VLOOKUP(MVI115,[13]AssetDetails_UEM!$A$3:$AH$1849,6,FALSE)</f>
        <v>Electrosurgical Units, Monopolar/Bipolar</v>
      </c>
      <c r="MVK115" s="196" t="s">
        <v>761</v>
      </c>
      <c r="MVL115" s="197" t="str">
        <f>VLOOKUP(MVK115,[13]AssetDetails_UEM!$A$3:$AH$1849,6,FALSE)</f>
        <v>Electrosurgical Units, Monopolar/Bipolar</v>
      </c>
      <c r="MVM115" s="196" t="s">
        <v>761</v>
      </c>
      <c r="MVN115" s="197" t="str">
        <f>VLOOKUP(MVM115,[13]AssetDetails_UEM!$A$3:$AH$1849,6,FALSE)</f>
        <v>Electrosurgical Units, Monopolar/Bipolar</v>
      </c>
      <c r="MVO115" s="196" t="s">
        <v>761</v>
      </c>
      <c r="MVP115" s="197" t="str">
        <f>VLOOKUP(MVO115,[13]AssetDetails_UEM!$A$3:$AH$1849,6,FALSE)</f>
        <v>Electrosurgical Units, Monopolar/Bipolar</v>
      </c>
      <c r="MVQ115" s="196" t="s">
        <v>761</v>
      </c>
      <c r="MVR115" s="197" t="str">
        <f>VLOOKUP(MVQ115,[13]AssetDetails_UEM!$A$3:$AH$1849,6,FALSE)</f>
        <v>Electrosurgical Units, Monopolar/Bipolar</v>
      </c>
      <c r="MVS115" s="196" t="s">
        <v>761</v>
      </c>
      <c r="MVT115" s="197" t="str">
        <f>VLOOKUP(MVS115,[13]AssetDetails_UEM!$A$3:$AH$1849,6,FALSE)</f>
        <v>Electrosurgical Units, Monopolar/Bipolar</v>
      </c>
      <c r="MVU115" s="196" t="s">
        <v>761</v>
      </c>
      <c r="MVV115" s="197" t="str">
        <f>VLOOKUP(MVU115,[13]AssetDetails_UEM!$A$3:$AH$1849,6,FALSE)</f>
        <v>Electrosurgical Units, Monopolar/Bipolar</v>
      </c>
      <c r="MVW115" s="196" t="s">
        <v>761</v>
      </c>
      <c r="MVX115" s="197" t="str">
        <f>VLOOKUP(MVW115,[13]AssetDetails_UEM!$A$3:$AH$1849,6,FALSE)</f>
        <v>Electrosurgical Units, Monopolar/Bipolar</v>
      </c>
      <c r="MVY115" s="196" t="s">
        <v>761</v>
      </c>
      <c r="MVZ115" s="197" t="str">
        <f>VLOOKUP(MVY115,[13]AssetDetails_UEM!$A$3:$AH$1849,6,FALSE)</f>
        <v>Electrosurgical Units, Monopolar/Bipolar</v>
      </c>
      <c r="MWA115" s="196" t="s">
        <v>761</v>
      </c>
      <c r="MWB115" s="197" t="str">
        <f>VLOOKUP(MWA115,[13]AssetDetails_UEM!$A$3:$AH$1849,6,FALSE)</f>
        <v>Electrosurgical Units, Monopolar/Bipolar</v>
      </c>
      <c r="MWC115" s="196" t="s">
        <v>761</v>
      </c>
      <c r="MWD115" s="197" t="str">
        <f>VLOOKUP(MWC115,[13]AssetDetails_UEM!$A$3:$AH$1849,6,FALSE)</f>
        <v>Electrosurgical Units, Monopolar/Bipolar</v>
      </c>
      <c r="MWE115" s="196" t="s">
        <v>761</v>
      </c>
      <c r="MWF115" s="197" t="str">
        <f>VLOOKUP(MWE115,[13]AssetDetails_UEM!$A$3:$AH$1849,6,FALSE)</f>
        <v>Electrosurgical Units, Monopolar/Bipolar</v>
      </c>
      <c r="MWG115" s="196" t="s">
        <v>761</v>
      </c>
      <c r="MWH115" s="197" t="str">
        <f>VLOOKUP(MWG115,[13]AssetDetails_UEM!$A$3:$AH$1849,6,FALSE)</f>
        <v>Electrosurgical Units, Monopolar/Bipolar</v>
      </c>
      <c r="MWI115" s="196" t="s">
        <v>761</v>
      </c>
      <c r="MWJ115" s="197" t="str">
        <f>VLOOKUP(MWI115,[13]AssetDetails_UEM!$A$3:$AH$1849,6,FALSE)</f>
        <v>Electrosurgical Units, Monopolar/Bipolar</v>
      </c>
      <c r="MWK115" s="196" t="s">
        <v>761</v>
      </c>
      <c r="MWL115" s="197" t="str">
        <f>VLOOKUP(MWK115,[13]AssetDetails_UEM!$A$3:$AH$1849,6,FALSE)</f>
        <v>Electrosurgical Units, Monopolar/Bipolar</v>
      </c>
      <c r="MWM115" s="196" t="s">
        <v>761</v>
      </c>
      <c r="MWN115" s="197" t="str">
        <f>VLOOKUP(MWM115,[13]AssetDetails_UEM!$A$3:$AH$1849,6,FALSE)</f>
        <v>Electrosurgical Units, Monopolar/Bipolar</v>
      </c>
      <c r="MWO115" s="196" t="s">
        <v>761</v>
      </c>
      <c r="MWP115" s="197" t="str">
        <f>VLOOKUP(MWO115,[13]AssetDetails_UEM!$A$3:$AH$1849,6,FALSE)</f>
        <v>Electrosurgical Units, Monopolar/Bipolar</v>
      </c>
      <c r="MWQ115" s="196" t="s">
        <v>761</v>
      </c>
      <c r="MWR115" s="197" t="str">
        <f>VLOOKUP(MWQ115,[13]AssetDetails_UEM!$A$3:$AH$1849,6,FALSE)</f>
        <v>Electrosurgical Units, Monopolar/Bipolar</v>
      </c>
      <c r="MWS115" s="196" t="s">
        <v>761</v>
      </c>
      <c r="MWT115" s="197" t="str">
        <f>VLOOKUP(MWS115,[13]AssetDetails_UEM!$A$3:$AH$1849,6,FALSE)</f>
        <v>Electrosurgical Units, Monopolar/Bipolar</v>
      </c>
      <c r="MWU115" s="196" t="s">
        <v>761</v>
      </c>
      <c r="MWV115" s="197" t="str">
        <f>VLOOKUP(MWU115,[13]AssetDetails_UEM!$A$3:$AH$1849,6,FALSE)</f>
        <v>Electrosurgical Units, Monopolar/Bipolar</v>
      </c>
      <c r="MWW115" s="196" t="s">
        <v>761</v>
      </c>
      <c r="MWX115" s="197" t="str">
        <f>VLOOKUP(MWW115,[13]AssetDetails_UEM!$A$3:$AH$1849,6,FALSE)</f>
        <v>Electrosurgical Units, Monopolar/Bipolar</v>
      </c>
      <c r="MWY115" s="196" t="s">
        <v>761</v>
      </c>
      <c r="MWZ115" s="197" t="str">
        <f>VLOOKUP(MWY115,[13]AssetDetails_UEM!$A$3:$AH$1849,6,FALSE)</f>
        <v>Electrosurgical Units, Monopolar/Bipolar</v>
      </c>
      <c r="MXA115" s="196" t="s">
        <v>761</v>
      </c>
      <c r="MXB115" s="197" t="str">
        <f>VLOOKUP(MXA115,[13]AssetDetails_UEM!$A$3:$AH$1849,6,FALSE)</f>
        <v>Electrosurgical Units, Monopolar/Bipolar</v>
      </c>
      <c r="MXC115" s="196" t="s">
        <v>761</v>
      </c>
      <c r="MXD115" s="197" t="str">
        <f>VLOOKUP(MXC115,[13]AssetDetails_UEM!$A$3:$AH$1849,6,FALSE)</f>
        <v>Electrosurgical Units, Monopolar/Bipolar</v>
      </c>
      <c r="MXE115" s="196" t="s">
        <v>761</v>
      </c>
      <c r="MXF115" s="197" t="str">
        <f>VLOOKUP(MXE115,[13]AssetDetails_UEM!$A$3:$AH$1849,6,FALSE)</f>
        <v>Electrosurgical Units, Monopolar/Bipolar</v>
      </c>
      <c r="MXG115" s="196" t="s">
        <v>761</v>
      </c>
      <c r="MXH115" s="197" t="str">
        <f>VLOOKUP(MXG115,[13]AssetDetails_UEM!$A$3:$AH$1849,6,FALSE)</f>
        <v>Electrosurgical Units, Monopolar/Bipolar</v>
      </c>
      <c r="MXI115" s="196" t="s">
        <v>761</v>
      </c>
      <c r="MXJ115" s="197" t="str">
        <f>VLOOKUP(MXI115,[13]AssetDetails_UEM!$A$3:$AH$1849,6,FALSE)</f>
        <v>Electrosurgical Units, Monopolar/Bipolar</v>
      </c>
      <c r="MXK115" s="196" t="s">
        <v>761</v>
      </c>
      <c r="MXL115" s="197" t="str">
        <f>VLOOKUP(MXK115,[13]AssetDetails_UEM!$A$3:$AH$1849,6,FALSE)</f>
        <v>Electrosurgical Units, Monopolar/Bipolar</v>
      </c>
      <c r="MXM115" s="196" t="s">
        <v>761</v>
      </c>
      <c r="MXN115" s="197" t="str">
        <f>VLOOKUP(MXM115,[13]AssetDetails_UEM!$A$3:$AH$1849,6,FALSE)</f>
        <v>Electrosurgical Units, Monopolar/Bipolar</v>
      </c>
      <c r="MXO115" s="196" t="s">
        <v>761</v>
      </c>
      <c r="MXP115" s="197" t="str">
        <f>VLOOKUP(MXO115,[13]AssetDetails_UEM!$A$3:$AH$1849,6,FALSE)</f>
        <v>Electrosurgical Units, Monopolar/Bipolar</v>
      </c>
      <c r="MXQ115" s="196" t="s">
        <v>761</v>
      </c>
      <c r="MXR115" s="197" t="str">
        <f>VLOOKUP(MXQ115,[13]AssetDetails_UEM!$A$3:$AH$1849,6,FALSE)</f>
        <v>Electrosurgical Units, Monopolar/Bipolar</v>
      </c>
      <c r="MXS115" s="196" t="s">
        <v>761</v>
      </c>
      <c r="MXT115" s="197" t="str">
        <f>VLOOKUP(MXS115,[13]AssetDetails_UEM!$A$3:$AH$1849,6,FALSE)</f>
        <v>Electrosurgical Units, Monopolar/Bipolar</v>
      </c>
      <c r="MXU115" s="196" t="s">
        <v>761</v>
      </c>
      <c r="MXV115" s="197" t="str">
        <f>VLOOKUP(MXU115,[13]AssetDetails_UEM!$A$3:$AH$1849,6,FALSE)</f>
        <v>Electrosurgical Units, Monopolar/Bipolar</v>
      </c>
      <c r="MXW115" s="196" t="s">
        <v>761</v>
      </c>
      <c r="MXX115" s="197" t="str">
        <f>VLOOKUP(MXW115,[13]AssetDetails_UEM!$A$3:$AH$1849,6,FALSE)</f>
        <v>Electrosurgical Units, Monopolar/Bipolar</v>
      </c>
      <c r="MXY115" s="196" t="s">
        <v>761</v>
      </c>
      <c r="MXZ115" s="197" t="str">
        <f>VLOOKUP(MXY115,[13]AssetDetails_UEM!$A$3:$AH$1849,6,FALSE)</f>
        <v>Electrosurgical Units, Monopolar/Bipolar</v>
      </c>
      <c r="MYA115" s="196" t="s">
        <v>761</v>
      </c>
      <c r="MYB115" s="197" t="str">
        <f>VLOOKUP(MYA115,[13]AssetDetails_UEM!$A$3:$AH$1849,6,FALSE)</f>
        <v>Electrosurgical Units, Monopolar/Bipolar</v>
      </c>
      <c r="MYC115" s="196" t="s">
        <v>761</v>
      </c>
      <c r="MYD115" s="197" t="str">
        <f>VLOOKUP(MYC115,[13]AssetDetails_UEM!$A$3:$AH$1849,6,FALSE)</f>
        <v>Electrosurgical Units, Monopolar/Bipolar</v>
      </c>
      <c r="MYE115" s="196" t="s">
        <v>761</v>
      </c>
      <c r="MYF115" s="197" t="str">
        <f>VLOOKUP(MYE115,[13]AssetDetails_UEM!$A$3:$AH$1849,6,FALSE)</f>
        <v>Electrosurgical Units, Monopolar/Bipolar</v>
      </c>
      <c r="MYG115" s="196" t="s">
        <v>761</v>
      </c>
      <c r="MYH115" s="197" t="str">
        <f>VLOOKUP(MYG115,[13]AssetDetails_UEM!$A$3:$AH$1849,6,FALSE)</f>
        <v>Electrosurgical Units, Monopolar/Bipolar</v>
      </c>
      <c r="MYI115" s="196" t="s">
        <v>761</v>
      </c>
      <c r="MYJ115" s="197" t="str">
        <f>VLOOKUP(MYI115,[13]AssetDetails_UEM!$A$3:$AH$1849,6,FALSE)</f>
        <v>Electrosurgical Units, Monopolar/Bipolar</v>
      </c>
      <c r="MYK115" s="196" t="s">
        <v>761</v>
      </c>
      <c r="MYL115" s="197" t="str">
        <f>VLOOKUP(MYK115,[13]AssetDetails_UEM!$A$3:$AH$1849,6,FALSE)</f>
        <v>Electrosurgical Units, Monopolar/Bipolar</v>
      </c>
      <c r="MYM115" s="196" t="s">
        <v>761</v>
      </c>
      <c r="MYN115" s="197" t="str">
        <f>VLOOKUP(MYM115,[13]AssetDetails_UEM!$A$3:$AH$1849,6,FALSE)</f>
        <v>Electrosurgical Units, Monopolar/Bipolar</v>
      </c>
      <c r="MYO115" s="196" t="s">
        <v>761</v>
      </c>
      <c r="MYP115" s="197" t="str">
        <f>VLOOKUP(MYO115,[13]AssetDetails_UEM!$A$3:$AH$1849,6,FALSE)</f>
        <v>Electrosurgical Units, Monopolar/Bipolar</v>
      </c>
      <c r="MYQ115" s="196" t="s">
        <v>761</v>
      </c>
      <c r="MYR115" s="197" t="str">
        <f>VLOOKUP(MYQ115,[13]AssetDetails_UEM!$A$3:$AH$1849,6,FALSE)</f>
        <v>Electrosurgical Units, Monopolar/Bipolar</v>
      </c>
      <c r="MYS115" s="196" t="s">
        <v>761</v>
      </c>
      <c r="MYT115" s="197" t="str">
        <f>VLOOKUP(MYS115,[13]AssetDetails_UEM!$A$3:$AH$1849,6,FALSE)</f>
        <v>Electrosurgical Units, Monopolar/Bipolar</v>
      </c>
      <c r="MYU115" s="196" t="s">
        <v>761</v>
      </c>
      <c r="MYV115" s="197" t="str">
        <f>VLOOKUP(MYU115,[13]AssetDetails_UEM!$A$3:$AH$1849,6,FALSE)</f>
        <v>Electrosurgical Units, Monopolar/Bipolar</v>
      </c>
      <c r="MYW115" s="196" t="s">
        <v>761</v>
      </c>
      <c r="MYX115" s="197" t="str">
        <f>VLOOKUP(MYW115,[13]AssetDetails_UEM!$A$3:$AH$1849,6,FALSE)</f>
        <v>Electrosurgical Units, Monopolar/Bipolar</v>
      </c>
      <c r="MYY115" s="196" t="s">
        <v>761</v>
      </c>
      <c r="MYZ115" s="197" t="str">
        <f>VLOOKUP(MYY115,[13]AssetDetails_UEM!$A$3:$AH$1849,6,FALSE)</f>
        <v>Electrosurgical Units, Monopolar/Bipolar</v>
      </c>
      <c r="MZA115" s="196" t="s">
        <v>761</v>
      </c>
      <c r="MZB115" s="197" t="str">
        <f>VLOOKUP(MZA115,[13]AssetDetails_UEM!$A$3:$AH$1849,6,FALSE)</f>
        <v>Electrosurgical Units, Monopolar/Bipolar</v>
      </c>
      <c r="MZC115" s="196" t="s">
        <v>761</v>
      </c>
      <c r="MZD115" s="197" t="str">
        <f>VLOOKUP(MZC115,[13]AssetDetails_UEM!$A$3:$AH$1849,6,FALSE)</f>
        <v>Electrosurgical Units, Monopolar/Bipolar</v>
      </c>
      <c r="MZE115" s="196" t="s">
        <v>761</v>
      </c>
      <c r="MZF115" s="197" t="str">
        <f>VLOOKUP(MZE115,[13]AssetDetails_UEM!$A$3:$AH$1849,6,FALSE)</f>
        <v>Electrosurgical Units, Monopolar/Bipolar</v>
      </c>
      <c r="MZG115" s="196" t="s">
        <v>761</v>
      </c>
      <c r="MZH115" s="197" t="str">
        <f>VLOOKUP(MZG115,[13]AssetDetails_UEM!$A$3:$AH$1849,6,FALSE)</f>
        <v>Electrosurgical Units, Monopolar/Bipolar</v>
      </c>
      <c r="MZI115" s="196" t="s">
        <v>761</v>
      </c>
      <c r="MZJ115" s="197" t="str">
        <f>VLOOKUP(MZI115,[13]AssetDetails_UEM!$A$3:$AH$1849,6,FALSE)</f>
        <v>Electrosurgical Units, Monopolar/Bipolar</v>
      </c>
      <c r="MZK115" s="196" t="s">
        <v>761</v>
      </c>
      <c r="MZL115" s="197" t="str">
        <f>VLOOKUP(MZK115,[13]AssetDetails_UEM!$A$3:$AH$1849,6,FALSE)</f>
        <v>Electrosurgical Units, Monopolar/Bipolar</v>
      </c>
      <c r="MZM115" s="196" t="s">
        <v>761</v>
      </c>
      <c r="MZN115" s="197" t="str">
        <f>VLOOKUP(MZM115,[13]AssetDetails_UEM!$A$3:$AH$1849,6,FALSE)</f>
        <v>Electrosurgical Units, Monopolar/Bipolar</v>
      </c>
      <c r="MZO115" s="196" t="s">
        <v>761</v>
      </c>
      <c r="MZP115" s="197" t="str">
        <f>VLOOKUP(MZO115,[13]AssetDetails_UEM!$A$3:$AH$1849,6,FALSE)</f>
        <v>Electrosurgical Units, Monopolar/Bipolar</v>
      </c>
      <c r="MZQ115" s="196" t="s">
        <v>761</v>
      </c>
      <c r="MZR115" s="197" t="str">
        <f>VLOOKUP(MZQ115,[13]AssetDetails_UEM!$A$3:$AH$1849,6,FALSE)</f>
        <v>Electrosurgical Units, Monopolar/Bipolar</v>
      </c>
      <c r="MZS115" s="196" t="s">
        <v>761</v>
      </c>
      <c r="MZT115" s="197" t="str">
        <f>VLOOKUP(MZS115,[13]AssetDetails_UEM!$A$3:$AH$1849,6,FALSE)</f>
        <v>Electrosurgical Units, Monopolar/Bipolar</v>
      </c>
      <c r="MZU115" s="196" t="s">
        <v>761</v>
      </c>
      <c r="MZV115" s="197" t="str">
        <f>VLOOKUP(MZU115,[13]AssetDetails_UEM!$A$3:$AH$1849,6,FALSE)</f>
        <v>Electrosurgical Units, Monopolar/Bipolar</v>
      </c>
      <c r="MZW115" s="196" t="s">
        <v>761</v>
      </c>
      <c r="MZX115" s="197" t="str">
        <f>VLOOKUP(MZW115,[13]AssetDetails_UEM!$A$3:$AH$1849,6,FALSE)</f>
        <v>Electrosurgical Units, Monopolar/Bipolar</v>
      </c>
      <c r="MZY115" s="196" t="s">
        <v>761</v>
      </c>
      <c r="MZZ115" s="197" t="str">
        <f>VLOOKUP(MZY115,[13]AssetDetails_UEM!$A$3:$AH$1849,6,FALSE)</f>
        <v>Electrosurgical Units, Monopolar/Bipolar</v>
      </c>
      <c r="NAA115" s="196" t="s">
        <v>761</v>
      </c>
      <c r="NAB115" s="197" t="str">
        <f>VLOOKUP(NAA115,[13]AssetDetails_UEM!$A$3:$AH$1849,6,FALSE)</f>
        <v>Electrosurgical Units, Monopolar/Bipolar</v>
      </c>
      <c r="NAC115" s="196" t="s">
        <v>761</v>
      </c>
      <c r="NAD115" s="197" t="str">
        <f>VLOOKUP(NAC115,[13]AssetDetails_UEM!$A$3:$AH$1849,6,FALSE)</f>
        <v>Electrosurgical Units, Monopolar/Bipolar</v>
      </c>
      <c r="NAE115" s="196" t="s">
        <v>761</v>
      </c>
      <c r="NAF115" s="197" t="str">
        <f>VLOOKUP(NAE115,[13]AssetDetails_UEM!$A$3:$AH$1849,6,FALSE)</f>
        <v>Electrosurgical Units, Monopolar/Bipolar</v>
      </c>
      <c r="NAG115" s="196" t="s">
        <v>761</v>
      </c>
      <c r="NAH115" s="197" t="str">
        <f>VLOOKUP(NAG115,[13]AssetDetails_UEM!$A$3:$AH$1849,6,FALSE)</f>
        <v>Electrosurgical Units, Monopolar/Bipolar</v>
      </c>
      <c r="NAI115" s="196" t="s">
        <v>761</v>
      </c>
      <c r="NAJ115" s="197" t="str">
        <f>VLOOKUP(NAI115,[13]AssetDetails_UEM!$A$3:$AH$1849,6,FALSE)</f>
        <v>Electrosurgical Units, Monopolar/Bipolar</v>
      </c>
      <c r="NAK115" s="196" t="s">
        <v>761</v>
      </c>
      <c r="NAL115" s="197" t="str">
        <f>VLOOKUP(NAK115,[13]AssetDetails_UEM!$A$3:$AH$1849,6,FALSE)</f>
        <v>Electrosurgical Units, Monopolar/Bipolar</v>
      </c>
      <c r="NAM115" s="196" t="s">
        <v>761</v>
      </c>
      <c r="NAN115" s="197" t="str">
        <f>VLOOKUP(NAM115,[13]AssetDetails_UEM!$A$3:$AH$1849,6,FALSE)</f>
        <v>Electrosurgical Units, Monopolar/Bipolar</v>
      </c>
      <c r="NAO115" s="196" t="s">
        <v>761</v>
      </c>
      <c r="NAP115" s="197" t="str">
        <f>VLOOKUP(NAO115,[13]AssetDetails_UEM!$A$3:$AH$1849,6,FALSE)</f>
        <v>Electrosurgical Units, Monopolar/Bipolar</v>
      </c>
      <c r="NAQ115" s="196" t="s">
        <v>761</v>
      </c>
      <c r="NAR115" s="197" t="str">
        <f>VLOOKUP(NAQ115,[13]AssetDetails_UEM!$A$3:$AH$1849,6,FALSE)</f>
        <v>Electrosurgical Units, Monopolar/Bipolar</v>
      </c>
      <c r="NAS115" s="196" t="s">
        <v>761</v>
      </c>
      <c r="NAT115" s="197" t="str">
        <f>VLOOKUP(NAS115,[13]AssetDetails_UEM!$A$3:$AH$1849,6,FALSE)</f>
        <v>Electrosurgical Units, Monopolar/Bipolar</v>
      </c>
      <c r="NAU115" s="196" t="s">
        <v>761</v>
      </c>
      <c r="NAV115" s="197" t="str">
        <f>VLOOKUP(NAU115,[13]AssetDetails_UEM!$A$3:$AH$1849,6,FALSE)</f>
        <v>Electrosurgical Units, Monopolar/Bipolar</v>
      </c>
      <c r="NAW115" s="196" t="s">
        <v>761</v>
      </c>
      <c r="NAX115" s="197" t="str">
        <f>VLOOKUP(NAW115,[13]AssetDetails_UEM!$A$3:$AH$1849,6,FALSE)</f>
        <v>Electrosurgical Units, Monopolar/Bipolar</v>
      </c>
      <c r="NAY115" s="196" t="s">
        <v>761</v>
      </c>
      <c r="NAZ115" s="197" t="str">
        <f>VLOOKUP(NAY115,[13]AssetDetails_UEM!$A$3:$AH$1849,6,FALSE)</f>
        <v>Electrosurgical Units, Monopolar/Bipolar</v>
      </c>
      <c r="NBA115" s="196" t="s">
        <v>761</v>
      </c>
      <c r="NBB115" s="197" t="str">
        <f>VLOOKUP(NBA115,[13]AssetDetails_UEM!$A$3:$AH$1849,6,FALSE)</f>
        <v>Electrosurgical Units, Monopolar/Bipolar</v>
      </c>
      <c r="NBC115" s="196" t="s">
        <v>761</v>
      </c>
      <c r="NBD115" s="197" t="str">
        <f>VLOOKUP(NBC115,[13]AssetDetails_UEM!$A$3:$AH$1849,6,FALSE)</f>
        <v>Electrosurgical Units, Monopolar/Bipolar</v>
      </c>
      <c r="NBE115" s="196" t="s">
        <v>761</v>
      </c>
      <c r="NBF115" s="197" t="str">
        <f>VLOOKUP(NBE115,[13]AssetDetails_UEM!$A$3:$AH$1849,6,FALSE)</f>
        <v>Electrosurgical Units, Monopolar/Bipolar</v>
      </c>
      <c r="NBG115" s="196" t="s">
        <v>761</v>
      </c>
      <c r="NBH115" s="197" t="str">
        <f>VLOOKUP(NBG115,[13]AssetDetails_UEM!$A$3:$AH$1849,6,FALSE)</f>
        <v>Electrosurgical Units, Monopolar/Bipolar</v>
      </c>
      <c r="NBI115" s="196" t="s">
        <v>761</v>
      </c>
      <c r="NBJ115" s="197" t="str">
        <f>VLOOKUP(NBI115,[13]AssetDetails_UEM!$A$3:$AH$1849,6,FALSE)</f>
        <v>Electrosurgical Units, Monopolar/Bipolar</v>
      </c>
      <c r="NBK115" s="196" t="s">
        <v>761</v>
      </c>
      <c r="NBL115" s="197" t="str">
        <f>VLOOKUP(NBK115,[13]AssetDetails_UEM!$A$3:$AH$1849,6,FALSE)</f>
        <v>Electrosurgical Units, Monopolar/Bipolar</v>
      </c>
      <c r="NBM115" s="196" t="s">
        <v>761</v>
      </c>
      <c r="NBN115" s="197" t="str">
        <f>VLOOKUP(NBM115,[13]AssetDetails_UEM!$A$3:$AH$1849,6,FALSE)</f>
        <v>Electrosurgical Units, Monopolar/Bipolar</v>
      </c>
      <c r="NBO115" s="196" t="s">
        <v>761</v>
      </c>
      <c r="NBP115" s="197" t="str">
        <f>VLOOKUP(NBO115,[13]AssetDetails_UEM!$A$3:$AH$1849,6,FALSE)</f>
        <v>Electrosurgical Units, Monopolar/Bipolar</v>
      </c>
      <c r="NBQ115" s="196" t="s">
        <v>761</v>
      </c>
      <c r="NBR115" s="197" t="str">
        <f>VLOOKUP(NBQ115,[13]AssetDetails_UEM!$A$3:$AH$1849,6,FALSE)</f>
        <v>Electrosurgical Units, Monopolar/Bipolar</v>
      </c>
      <c r="NBS115" s="196" t="s">
        <v>761</v>
      </c>
      <c r="NBT115" s="197" t="str">
        <f>VLOOKUP(NBS115,[13]AssetDetails_UEM!$A$3:$AH$1849,6,FALSE)</f>
        <v>Electrosurgical Units, Monopolar/Bipolar</v>
      </c>
      <c r="NBU115" s="196" t="s">
        <v>761</v>
      </c>
      <c r="NBV115" s="197" t="str">
        <f>VLOOKUP(NBU115,[13]AssetDetails_UEM!$A$3:$AH$1849,6,FALSE)</f>
        <v>Electrosurgical Units, Monopolar/Bipolar</v>
      </c>
      <c r="NBW115" s="196" t="s">
        <v>761</v>
      </c>
      <c r="NBX115" s="197" t="str">
        <f>VLOOKUP(NBW115,[13]AssetDetails_UEM!$A$3:$AH$1849,6,FALSE)</f>
        <v>Electrosurgical Units, Monopolar/Bipolar</v>
      </c>
      <c r="NBY115" s="196" t="s">
        <v>761</v>
      </c>
      <c r="NBZ115" s="197" t="str">
        <f>VLOOKUP(NBY115,[13]AssetDetails_UEM!$A$3:$AH$1849,6,FALSE)</f>
        <v>Electrosurgical Units, Monopolar/Bipolar</v>
      </c>
      <c r="NCA115" s="196" t="s">
        <v>761</v>
      </c>
      <c r="NCB115" s="197" t="str">
        <f>VLOOKUP(NCA115,[13]AssetDetails_UEM!$A$3:$AH$1849,6,FALSE)</f>
        <v>Electrosurgical Units, Monopolar/Bipolar</v>
      </c>
      <c r="NCC115" s="196" t="s">
        <v>761</v>
      </c>
      <c r="NCD115" s="197" t="str">
        <f>VLOOKUP(NCC115,[13]AssetDetails_UEM!$A$3:$AH$1849,6,FALSE)</f>
        <v>Electrosurgical Units, Monopolar/Bipolar</v>
      </c>
      <c r="NCE115" s="196" t="s">
        <v>761</v>
      </c>
      <c r="NCF115" s="197" t="str">
        <f>VLOOKUP(NCE115,[13]AssetDetails_UEM!$A$3:$AH$1849,6,FALSE)</f>
        <v>Electrosurgical Units, Monopolar/Bipolar</v>
      </c>
      <c r="NCG115" s="196" t="s">
        <v>761</v>
      </c>
      <c r="NCH115" s="197" t="str">
        <f>VLOOKUP(NCG115,[13]AssetDetails_UEM!$A$3:$AH$1849,6,FALSE)</f>
        <v>Electrosurgical Units, Monopolar/Bipolar</v>
      </c>
      <c r="NCI115" s="196" t="s">
        <v>761</v>
      </c>
      <c r="NCJ115" s="197" t="str">
        <f>VLOOKUP(NCI115,[13]AssetDetails_UEM!$A$3:$AH$1849,6,FALSE)</f>
        <v>Electrosurgical Units, Monopolar/Bipolar</v>
      </c>
      <c r="NCK115" s="196" t="s">
        <v>761</v>
      </c>
      <c r="NCL115" s="197" t="str">
        <f>VLOOKUP(NCK115,[13]AssetDetails_UEM!$A$3:$AH$1849,6,FALSE)</f>
        <v>Electrosurgical Units, Monopolar/Bipolar</v>
      </c>
      <c r="NCM115" s="196" t="s">
        <v>761</v>
      </c>
      <c r="NCN115" s="197" t="str">
        <f>VLOOKUP(NCM115,[13]AssetDetails_UEM!$A$3:$AH$1849,6,FALSE)</f>
        <v>Electrosurgical Units, Monopolar/Bipolar</v>
      </c>
      <c r="NCO115" s="196" t="s">
        <v>761</v>
      </c>
      <c r="NCP115" s="197" t="str">
        <f>VLOOKUP(NCO115,[13]AssetDetails_UEM!$A$3:$AH$1849,6,FALSE)</f>
        <v>Electrosurgical Units, Monopolar/Bipolar</v>
      </c>
      <c r="NCQ115" s="196" t="s">
        <v>761</v>
      </c>
      <c r="NCR115" s="197" t="str">
        <f>VLOOKUP(NCQ115,[13]AssetDetails_UEM!$A$3:$AH$1849,6,FALSE)</f>
        <v>Electrosurgical Units, Monopolar/Bipolar</v>
      </c>
      <c r="NCS115" s="196" t="s">
        <v>761</v>
      </c>
      <c r="NCT115" s="197" t="str">
        <f>VLOOKUP(NCS115,[13]AssetDetails_UEM!$A$3:$AH$1849,6,FALSE)</f>
        <v>Electrosurgical Units, Monopolar/Bipolar</v>
      </c>
      <c r="NCU115" s="196" t="s">
        <v>761</v>
      </c>
      <c r="NCV115" s="197" t="str">
        <f>VLOOKUP(NCU115,[13]AssetDetails_UEM!$A$3:$AH$1849,6,FALSE)</f>
        <v>Electrosurgical Units, Monopolar/Bipolar</v>
      </c>
      <c r="NCW115" s="196" t="s">
        <v>761</v>
      </c>
      <c r="NCX115" s="197" t="str">
        <f>VLOOKUP(NCW115,[13]AssetDetails_UEM!$A$3:$AH$1849,6,FALSE)</f>
        <v>Electrosurgical Units, Monopolar/Bipolar</v>
      </c>
      <c r="NCY115" s="196" t="s">
        <v>761</v>
      </c>
      <c r="NCZ115" s="197" t="str">
        <f>VLOOKUP(NCY115,[13]AssetDetails_UEM!$A$3:$AH$1849,6,FALSE)</f>
        <v>Electrosurgical Units, Monopolar/Bipolar</v>
      </c>
      <c r="NDA115" s="196" t="s">
        <v>761</v>
      </c>
      <c r="NDB115" s="197" t="str">
        <f>VLOOKUP(NDA115,[13]AssetDetails_UEM!$A$3:$AH$1849,6,FALSE)</f>
        <v>Electrosurgical Units, Monopolar/Bipolar</v>
      </c>
      <c r="NDC115" s="196" t="s">
        <v>761</v>
      </c>
      <c r="NDD115" s="197" t="str">
        <f>VLOOKUP(NDC115,[13]AssetDetails_UEM!$A$3:$AH$1849,6,FALSE)</f>
        <v>Electrosurgical Units, Monopolar/Bipolar</v>
      </c>
      <c r="NDE115" s="196" t="s">
        <v>761</v>
      </c>
      <c r="NDF115" s="197" t="str">
        <f>VLOOKUP(NDE115,[13]AssetDetails_UEM!$A$3:$AH$1849,6,FALSE)</f>
        <v>Electrosurgical Units, Monopolar/Bipolar</v>
      </c>
      <c r="NDG115" s="196" t="s">
        <v>761</v>
      </c>
      <c r="NDH115" s="197" t="str">
        <f>VLOOKUP(NDG115,[13]AssetDetails_UEM!$A$3:$AH$1849,6,FALSE)</f>
        <v>Electrosurgical Units, Monopolar/Bipolar</v>
      </c>
      <c r="NDI115" s="196" t="s">
        <v>761</v>
      </c>
      <c r="NDJ115" s="197" t="str">
        <f>VLOOKUP(NDI115,[13]AssetDetails_UEM!$A$3:$AH$1849,6,FALSE)</f>
        <v>Electrosurgical Units, Monopolar/Bipolar</v>
      </c>
      <c r="NDK115" s="196" t="s">
        <v>761</v>
      </c>
      <c r="NDL115" s="197" t="str">
        <f>VLOOKUP(NDK115,[13]AssetDetails_UEM!$A$3:$AH$1849,6,FALSE)</f>
        <v>Electrosurgical Units, Monopolar/Bipolar</v>
      </c>
      <c r="NDM115" s="196" t="s">
        <v>761</v>
      </c>
      <c r="NDN115" s="197" t="str">
        <f>VLOOKUP(NDM115,[13]AssetDetails_UEM!$A$3:$AH$1849,6,FALSE)</f>
        <v>Electrosurgical Units, Monopolar/Bipolar</v>
      </c>
      <c r="NDO115" s="196" t="s">
        <v>761</v>
      </c>
      <c r="NDP115" s="197" t="str">
        <f>VLOOKUP(NDO115,[13]AssetDetails_UEM!$A$3:$AH$1849,6,FALSE)</f>
        <v>Electrosurgical Units, Monopolar/Bipolar</v>
      </c>
      <c r="NDQ115" s="196" t="s">
        <v>761</v>
      </c>
      <c r="NDR115" s="197" t="str">
        <f>VLOOKUP(NDQ115,[13]AssetDetails_UEM!$A$3:$AH$1849,6,FALSE)</f>
        <v>Electrosurgical Units, Monopolar/Bipolar</v>
      </c>
      <c r="NDS115" s="196" t="s">
        <v>761</v>
      </c>
      <c r="NDT115" s="197" t="str">
        <f>VLOOKUP(NDS115,[13]AssetDetails_UEM!$A$3:$AH$1849,6,FALSE)</f>
        <v>Electrosurgical Units, Monopolar/Bipolar</v>
      </c>
      <c r="NDU115" s="196" t="s">
        <v>761</v>
      </c>
      <c r="NDV115" s="197" t="str">
        <f>VLOOKUP(NDU115,[13]AssetDetails_UEM!$A$3:$AH$1849,6,FALSE)</f>
        <v>Electrosurgical Units, Monopolar/Bipolar</v>
      </c>
      <c r="NDW115" s="196" t="s">
        <v>761</v>
      </c>
      <c r="NDX115" s="197" t="str">
        <f>VLOOKUP(NDW115,[13]AssetDetails_UEM!$A$3:$AH$1849,6,FALSE)</f>
        <v>Electrosurgical Units, Monopolar/Bipolar</v>
      </c>
      <c r="NDY115" s="196" t="s">
        <v>761</v>
      </c>
      <c r="NDZ115" s="197" t="str">
        <f>VLOOKUP(NDY115,[13]AssetDetails_UEM!$A$3:$AH$1849,6,FALSE)</f>
        <v>Electrosurgical Units, Monopolar/Bipolar</v>
      </c>
      <c r="NEA115" s="196" t="s">
        <v>761</v>
      </c>
      <c r="NEB115" s="197" t="str">
        <f>VLOOKUP(NEA115,[13]AssetDetails_UEM!$A$3:$AH$1849,6,FALSE)</f>
        <v>Electrosurgical Units, Monopolar/Bipolar</v>
      </c>
      <c r="NEC115" s="196" t="s">
        <v>761</v>
      </c>
      <c r="NED115" s="197" t="str">
        <f>VLOOKUP(NEC115,[13]AssetDetails_UEM!$A$3:$AH$1849,6,FALSE)</f>
        <v>Electrosurgical Units, Monopolar/Bipolar</v>
      </c>
      <c r="NEE115" s="196" t="s">
        <v>761</v>
      </c>
      <c r="NEF115" s="197" t="str">
        <f>VLOOKUP(NEE115,[13]AssetDetails_UEM!$A$3:$AH$1849,6,FALSE)</f>
        <v>Electrosurgical Units, Monopolar/Bipolar</v>
      </c>
      <c r="NEG115" s="196" t="s">
        <v>761</v>
      </c>
      <c r="NEH115" s="197" t="str">
        <f>VLOOKUP(NEG115,[13]AssetDetails_UEM!$A$3:$AH$1849,6,FALSE)</f>
        <v>Electrosurgical Units, Monopolar/Bipolar</v>
      </c>
      <c r="NEI115" s="196" t="s">
        <v>761</v>
      </c>
      <c r="NEJ115" s="197" t="str">
        <f>VLOOKUP(NEI115,[13]AssetDetails_UEM!$A$3:$AH$1849,6,FALSE)</f>
        <v>Electrosurgical Units, Monopolar/Bipolar</v>
      </c>
      <c r="NEK115" s="196" t="s">
        <v>761</v>
      </c>
      <c r="NEL115" s="197" t="str">
        <f>VLOOKUP(NEK115,[13]AssetDetails_UEM!$A$3:$AH$1849,6,FALSE)</f>
        <v>Electrosurgical Units, Monopolar/Bipolar</v>
      </c>
      <c r="NEM115" s="196" t="s">
        <v>761</v>
      </c>
      <c r="NEN115" s="197" t="str">
        <f>VLOOKUP(NEM115,[13]AssetDetails_UEM!$A$3:$AH$1849,6,FALSE)</f>
        <v>Electrosurgical Units, Monopolar/Bipolar</v>
      </c>
      <c r="NEO115" s="196" t="s">
        <v>761</v>
      </c>
      <c r="NEP115" s="197" t="str">
        <f>VLOOKUP(NEO115,[13]AssetDetails_UEM!$A$3:$AH$1849,6,FALSE)</f>
        <v>Electrosurgical Units, Monopolar/Bipolar</v>
      </c>
      <c r="NEQ115" s="196" t="s">
        <v>761</v>
      </c>
      <c r="NER115" s="197" t="str">
        <f>VLOOKUP(NEQ115,[13]AssetDetails_UEM!$A$3:$AH$1849,6,FALSE)</f>
        <v>Electrosurgical Units, Monopolar/Bipolar</v>
      </c>
      <c r="NES115" s="196" t="s">
        <v>761</v>
      </c>
      <c r="NET115" s="197" t="str">
        <f>VLOOKUP(NES115,[13]AssetDetails_UEM!$A$3:$AH$1849,6,FALSE)</f>
        <v>Electrosurgical Units, Monopolar/Bipolar</v>
      </c>
      <c r="NEU115" s="196" t="s">
        <v>761</v>
      </c>
      <c r="NEV115" s="197" t="str">
        <f>VLOOKUP(NEU115,[13]AssetDetails_UEM!$A$3:$AH$1849,6,FALSE)</f>
        <v>Electrosurgical Units, Monopolar/Bipolar</v>
      </c>
      <c r="NEW115" s="196" t="s">
        <v>761</v>
      </c>
      <c r="NEX115" s="197" t="str">
        <f>VLOOKUP(NEW115,[13]AssetDetails_UEM!$A$3:$AH$1849,6,FALSE)</f>
        <v>Electrosurgical Units, Monopolar/Bipolar</v>
      </c>
      <c r="NEY115" s="196" t="s">
        <v>761</v>
      </c>
      <c r="NEZ115" s="197" t="str">
        <f>VLOOKUP(NEY115,[13]AssetDetails_UEM!$A$3:$AH$1849,6,FALSE)</f>
        <v>Electrosurgical Units, Monopolar/Bipolar</v>
      </c>
      <c r="NFA115" s="196" t="s">
        <v>761</v>
      </c>
      <c r="NFB115" s="197" t="str">
        <f>VLOOKUP(NFA115,[13]AssetDetails_UEM!$A$3:$AH$1849,6,FALSE)</f>
        <v>Electrosurgical Units, Monopolar/Bipolar</v>
      </c>
      <c r="NFC115" s="196" t="s">
        <v>761</v>
      </c>
      <c r="NFD115" s="197" t="str">
        <f>VLOOKUP(NFC115,[13]AssetDetails_UEM!$A$3:$AH$1849,6,FALSE)</f>
        <v>Electrosurgical Units, Monopolar/Bipolar</v>
      </c>
      <c r="NFE115" s="196" t="s">
        <v>761</v>
      </c>
      <c r="NFF115" s="197" t="str">
        <f>VLOOKUP(NFE115,[13]AssetDetails_UEM!$A$3:$AH$1849,6,FALSE)</f>
        <v>Electrosurgical Units, Monopolar/Bipolar</v>
      </c>
      <c r="NFG115" s="196" t="s">
        <v>761</v>
      </c>
      <c r="NFH115" s="197" t="str">
        <f>VLOOKUP(NFG115,[13]AssetDetails_UEM!$A$3:$AH$1849,6,FALSE)</f>
        <v>Electrosurgical Units, Monopolar/Bipolar</v>
      </c>
      <c r="NFI115" s="196" t="s">
        <v>761</v>
      </c>
      <c r="NFJ115" s="197" t="str">
        <f>VLOOKUP(NFI115,[13]AssetDetails_UEM!$A$3:$AH$1849,6,FALSE)</f>
        <v>Electrosurgical Units, Monopolar/Bipolar</v>
      </c>
      <c r="NFK115" s="196" t="s">
        <v>761</v>
      </c>
      <c r="NFL115" s="197" t="str">
        <f>VLOOKUP(NFK115,[13]AssetDetails_UEM!$A$3:$AH$1849,6,FALSE)</f>
        <v>Electrosurgical Units, Monopolar/Bipolar</v>
      </c>
      <c r="NFM115" s="196" t="s">
        <v>761</v>
      </c>
      <c r="NFN115" s="197" t="str">
        <f>VLOOKUP(NFM115,[13]AssetDetails_UEM!$A$3:$AH$1849,6,FALSE)</f>
        <v>Electrosurgical Units, Monopolar/Bipolar</v>
      </c>
      <c r="NFO115" s="196" t="s">
        <v>761</v>
      </c>
      <c r="NFP115" s="197" t="str">
        <f>VLOOKUP(NFO115,[13]AssetDetails_UEM!$A$3:$AH$1849,6,FALSE)</f>
        <v>Electrosurgical Units, Monopolar/Bipolar</v>
      </c>
      <c r="NFQ115" s="196" t="s">
        <v>761</v>
      </c>
      <c r="NFR115" s="197" t="str">
        <f>VLOOKUP(NFQ115,[13]AssetDetails_UEM!$A$3:$AH$1849,6,FALSE)</f>
        <v>Electrosurgical Units, Monopolar/Bipolar</v>
      </c>
      <c r="NFS115" s="196" t="s">
        <v>761</v>
      </c>
      <c r="NFT115" s="197" t="str">
        <f>VLOOKUP(NFS115,[13]AssetDetails_UEM!$A$3:$AH$1849,6,FALSE)</f>
        <v>Electrosurgical Units, Monopolar/Bipolar</v>
      </c>
      <c r="NFU115" s="196" t="s">
        <v>761</v>
      </c>
      <c r="NFV115" s="197" t="str">
        <f>VLOOKUP(NFU115,[13]AssetDetails_UEM!$A$3:$AH$1849,6,FALSE)</f>
        <v>Electrosurgical Units, Monopolar/Bipolar</v>
      </c>
      <c r="NFW115" s="196" t="s">
        <v>761</v>
      </c>
      <c r="NFX115" s="197" t="str">
        <f>VLOOKUP(NFW115,[13]AssetDetails_UEM!$A$3:$AH$1849,6,FALSE)</f>
        <v>Electrosurgical Units, Monopolar/Bipolar</v>
      </c>
      <c r="NFY115" s="196" t="s">
        <v>761</v>
      </c>
      <c r="NFZ115" s="197" t="str">
        <f>VLOOKUP(NFY115,[13]AssetDetails_UEM!$A$3:$AH$1849,6,FALSE)</f>
        <v>Electrosurgical Units, Monopolar/Bipolar</v>
      </c>
      <c r="NGA115" s="196" t="s">
        <v>761</v>
      </c>
      <c r="NGB115" s="197" t="str">
        <f>VLOOKUP(NGA115,[13]AssetDetails_UEM!$A$3:$AH$1849,6,FALSE)</f>
        <v>Electrosurgical Units, Monopolar/Bipolar</v>
      </c>
      <c r="NGC115" s="196" t="s">
        <v>761</v>
      </c>
      <c r="NGD115" s="197" t="str">
        <f>VLOOKUP(NGC115,[13]AssetDetails_UEM!$A$3:$AH$1849,6,FALSE)</f>
        <v>Electrosurgical Units, Monopolar/Bipolar</v>
      </c>
      <c r="NGE115" s="196" t="s">
        <v>761</v>
      </c>
      <c r="NGF115" s="197" t="str">
        <f>VLOOKUP(NGE115,[13]AssetDetails_UEM!$A$3:$AH$1849,6,FALSE)</f>
        <v>Electrosurgical Units, Monopolar/Bipolar</v>
      </c>
      <c r="NGG115" s="196" t="s">
        <v>761</v>
      </c>
      <c r="NGH115" s="197" t="str">
        <f>VLOOKUP(NGG115,[13]AssetDetails_UEM!$A$3:$AH$1849,6,FALSE)</f>
        <v>Electrosurgical Units, Monopolar/Bipolar</v>
      </c>
      <c r="NGI115" s="196" t="s">
        <v>761</v>
      </c>
      <c r="NGJ115" s="197" t="str">
        <f>VLOOKUP(NGI115,[13]AssetDetails_UEM!$A$3:$AH$1849,6,FALSE)</f>
        <v>Electrosurgical Units, Monopolar/Bipolar</v>
      </c>
      <c r="NGK115" s="196" t="s">
        <v>761</v>
      </c>
      <c r="NGL115" s="197" t="str">
        <f>VLOOKUP(NGK115,[13]AssetDetails_UEM!$A$3:$AH$1849,6,FALSE)</f>
        <v>Electrosurgical Units, Monopolar/Bipolar</v>
      </c>
      <c r="NGM115" s="196" t="s">
        <v>761</v>
      </c>
      <c r="NGN115" s="197" t="str">
        <f>VLOOKUP(NGM115,[13]AssetDetails_UEM!$A$3:$AH$1849,6,FALSE)</f>
        <v>Electrosurgical Units, Monopolar/Bipolar</v>
      </c>
      <c r="NGO115" s="196" t="s">
        <v>761</v>
      </c>
      <c r="NGP115" s="197" t="str">
        <f>VLOOKUP(NGO115,[13]AssetDetails_UEM!$A$3:$AH$1849,6,FALSE)</f>
        <v>Electrosurgical Units, Monopolar/Bipolar</v>
      </c>
      <c r="NGQ115" s="196" t="s">
        <v>761</v>
      </c>
      <c r="NGR115" s="197" t="str">
        <f>VLOOKUP(NGQ115,[13]AssetDetails_UEM!$A$3:$AH$1849,6,FALSE)</f>
        <v>Electrosurgical Units, Monopolar/Bipolar</v>
      </c>
      <c r="NGS115" s="196" t="s">
        <v>761</v>
      </c>
      <c r="NGT115" s="197" t="str">
        <f>VLOOKUP(NGS115,[13]AssetDetails_UEM!$A$3:$AH$1849,6,FALSE)</f>
        <v>Electrosurgical Units, Monopolar/Bipolar</v>
      </c>
      <c r="NGU115" s="196" t="s">
        <v>761</v>
      </c>
      <c r="NGV115" s="197" t="str">
        <f>VLOOKUP(NGU115,[13]AssetDetails_UEM!$A$3:$AH$1849,6,FALSE)</f>
        <v>Electrosurgical Units, Monopolar/Bipolar</v>
      </c>
      <c r="NGW115" s="196" t="s">
        <v>761</v>
      </c>
      <c r="NGX115" s="197" t="str">
        <f>VLOOKUP(NGW115,[13]AssetDetails_UEM!$A$3:$AH$1849,6,FALSE)</f>
        <v>Electrosurgical Units, Monopolar/Bipolar</v>
      </c>
      <c r="NGY115" s="196" t="s">
        <v>761</v>
      </c>
      <c r="NGZ115" s="197" t="str">
        <f>VLOOKUP(NGY115,[13]AssetDetails_UEM!$A$3:$AH$1849,6,FALSE)</f>
        <v>Electrosurgical Units, Monopolar/Bipolar</v>
      </c>
      <c r="NHA115" s="196" t="s">
        <v>761</v>
      </c>
      <c r="NHB115" s="197" t="str">
        <f>VLOOKUP(NHA115,[13]AssetDetails_UEM!$A$3:$AH$1849,6,FALSE)</f>
        <v>Electrosurgical Units, Monopolar/Bipolar</v>
      </c>
      <c r="NHC115" s="196" t="s">
        <v>761</v>
      </c>
      <c r="NHD115" s="197" t="str">
        <f>VLOOKUP(NHC115,[13]AssetDetails_UEM!$A$3:$AH$1849,6,FALSE)</f>
        <v>Electrosurgical Units, Monopolar/Bipolar</v>
      </c>
      <c r="NHE115" s="196" t="s">
        <v>761</v>
      </c>
      <c r="NHF115" s="197" t="str">
        <f>VLOOKUP(NHE115,[13]AssetDetails_UEM!$A$3:$AH$1849,6,FALSE)</f>
        <v>Electrosurgical Units, Monopolar/Bipolar</v>
      </c>
      <c r="NHG115" s="196" t="s">
        <v>761</v>
      </c>
      <c r="NHH115" s="197" t="str">
        <f>VLOOKUP(NHG115,[13]AssetDetails_UEM!$A$3:$AH$1849,6,FALSE)</f>
        <v>Electrosurgical Units, Monopolar/Bipolar</v>
      </c>
      <c r="NHI115" s="196" t="s">
        <v>761</v>
      </c>
      <c r="NHJ115" s="197" t="str">
        <f>VLOOKUP(NHI115,[13]AssetDetails_UEM!$A$3:$AH$1849,6,FALSE)</f>
        <v>Electrosurgical Units, Monopolar/Bipolar</v>
      </c>
      <c r="NHK115" s="196" t="s">
        <v>761</v>
      </c>
      <c r="NHL115" s="197" t="str">
        <f>VLOOKUP(NHK115,[13]AssetDetails_UEM!$A$3:$AH$1849,6,FALSE)</f>
        <v>Electrosurgical Units, Monopolar/Bipolar</v>
      </c>
      <c r="NHM115" s="196" t="s">
        <v>761</v>
      </c>
      <c r="NHN115" s="197" t="str">
        <f>VLOOKUP(NHM115,[13]AssetDetails_UEM!$A$3:$AH$1849,6,FALSE)</f>
        <v>Electrosurgical Units, Monopolar/Bipolar</v>
      </c>
      <c r="NHO115" s="196" t="s">
        <v>761</v>
      </c>
      <c r="NHP115" s="197" t="str">
        <f>VLOOKUP(NHO115,[13]AssetDetails_UEM!$A$3:$AH$1849,6,FALSE)</f>
        <v>Electrosurgical Units, Monopolar/Bipolar</v>
      </c>
      <c r="NHQ115" s="196" t="s">
        <v>761</v>
      </c>
      <c r="NHR115" s="197" t="str">
        <f>VLOOKUP(NHQ115,[13]AssetDetails_UEM!$A$3:$AH$1849,6,FALSE)</f>
        <v>Electrosurgical Units, Monopolar/Bipolar</v>
      </c>
      <c r="NHS115" s="196" t="s">
        <v>761</v>
      </c>
      <c r="NHT115" s="197" t="str">
        <f>VLOOKUP(NHS115,[13]AssetDetails_UEM!$A$3:$AH$1849,6,FALSE)</f>
        <v>Electrosurgical Units, Monopolar/Bipolar</v>
      </c>
      <c r="NHU115" s="196" t="s">
        <v>761</v>
      </c>
      <c r="NHV115" s="197" t="str">
        <f>VLOOKUP(NHU115,[13]AssetDetails_UEM!$A$3:$AH$1849,6,FALSE)</f>
        <v>Electrosurgical Units, Monopolar/Bipolar</v>
      </c>
      <c r="NHW115" s="196" t="s">
        <v>761</v>
      </c>
      <c r="NHX115" s="197" t="str">
        <f>VLOOKUP(NHW115,[13]AssetDetails_UEM!$A$3:$AH$1849,6,FALSE)</f>
        <v>Electrosurgical Units, Monopolar/Bipolar</v>
      </c>
      <c r="NHY115" s="196" t="s">
        <v>761</v>
      </c>
      <c r="NHZ115" s="197" t="str">
        <f>VLOOKUP(NHY115,[13]AssetDetails_UEM!$A$3:$AH$1849,6,FALSE)</f>
        <v>Electrosurgical Units, Monopolar/Bipolar</v>
      </c>
      <c r="NIA115" s="196" t="s">
        <v>761</v>
      </c>
      <c r="NIB115" s="197" t="str">
        <f>VLOOKUP(NIA115,[13]AssetDetails_UEM!$A$3:$AH$1849,6,FALSE)</f>
        <v>Electrosurgical Units, Monopolar/Bipolar</v>
      </c>
      <c r="NIC115" s="196" t="s">
        <v>761</v>
      </c>
      <c r="NID115" s="197" t="str">
        <f>VLOOKUP(NIC115,[13]AssetDetails_UEM!$A$3:$AH$1849,6,FALSE)</f>
        <v>Electrosurgical Units, Monopolar/Bipolar</v>
      </c>
      <c r="NIE115" s="196" t="s">
        <v>761</v>
      </c>
      <c r="NIF115" s="197" t="str">
        <f>VLOOKUP(NIE115,[13]AssetDetails_UEM!$A$3:$AH$1849,6,FALSE)</f>
        <v>Electrosurgical Units, Monopolar/Bipolar</v>
      </c>
      <c r="NIG115" s="196" t="s">
        <v>761</v>
      </c>
      <c r="NIH115" s="197" t="str">
        <f>VLOOKUP(NIG115,[13]AssetDetails_UEM!$A$3:$AH$1849,6,FALSE)</f>
        <v>Electrosurgical Units, Monopolar/Bipolar</v>
      </c>
      <c r="NII115" s="196" t="s">
        <v>761</v>
      </c>
      <c r="NIJ115" s="197" t="str">
        <f>VLOOKUP(NII115,[13]AssetDetails_UEM!$A$3:$AH$1849,6,FALSE)</f>
        <v>Electrosurgical Units, Monopolar/Bipolar</v>
      </c>
      <c r="NIK115" s="196" t="s">
        <v>761</v>
      </c>
      <c r="NIL115" s="197" t="str">
        <f>VLOOKUP(NIK115,[13]AssetDetails_UEM!$A$3:$AH$1849,6,FALSE)</f>
        <v>Electrosurgical Units, Monopolar/Bipolar</v>
      </c>
      <c r="NIM115" s="196" t="s">
        <v>761</v>
      </c>
      <c r="NIN115" s="197" t="str">
        <f>VLOOKUP(NIM115,[13]AssetDetails_UEM!$A$3:$AH$1849,6,FALSE)</f>
        <v>Electrosurgical Units, Monopolar/Bipolar</v>
      </c>
      <c r="NIO115" s="196" t="s">
        <v>761</v>
      </c>
      <c r="NIP115" s="197" t="str">
        <f>VLOOKUP(NIO115,[13]AssetDetails_UEM!$A$3:$AH$1849,6,FALSE)</f>
        <v>Electrosurgical Units, Monopolar/Bipolar</v>
      </c>
      <c r="NIQ115" s="196" t="s">
        <v>761</v>
      </c>
      <c r="NIR115" s="197" t="str">
        <f>VLOOKUP(NIQ115,[13]AssetDetails_UEM!$A$3:$AH$1849,6,FALSE)</f>
        <v>Electrosurgical Units, Monopolar/Bipolar</v>
      </c>
      <c r="NIS115" s="196" t="s">
        <v>761</v>
      </c>
      <c r="NIT115" s="197" t="str">
        <f>VLOOKUP(NIS115,[13]AssetDetails_UEM!$A$3:$AH$1849,6,FALSE)</f>
        <v>Electrosurgical Units, Monopolar/Bipolar</v>
      </c>
      <c r="NIU115" s="196" t="s">
        <v>761</v>
      </c>
      <c r="NIV115" s="197" t="str">
        <f>VLOOKUP(NIU115,[13]AssetDetails_UEM!$A$3:$AH$1849,6,FALSE)</f>
        <v>Electrosurgical Units, Monopolar/Bipolar</v>
      </c>
      <c r="NIW115" s="196" t="s">
        <v>761</v>
      </c>
      <c r="NIX115" s="197" t="str">
        <f>VLOOKUP(NIW115,[13]AssetDetails_UEM!$A$3:$AH$1849,6,FALSE)</f>
        <v>Electrosurgical Units, Monopolar/Bipolar</v>
      </c>
      <c r="NIY115" s="196" t="s">
        <v>761</v>
      </c>
      <c r="NIZ115" s="197" t="str">
        <f>VLOOKUP(NIY115,[13]AssetDetails_UEM!$A$3:$AH$1849,6,FALSE)</f>
        <v>Electrosurgical Units, Monopolar/Bipolar</v>
      </c>
      <c r="NJA115" s="196" t="s">
        <v>761</v>
      </c>
      <c r="NJB115" s="197" t="str">
        <f>VLOOKUP(NJA115,[13]AssetDetails_UEM!$A$3:$AH$1849,6,FALSE)</f>
        <v>Electrosurgical Units, Monopolar/Bipolar</v>
      </c>
      <c r="NJC115" s="196" t="s">
        <v>761</v>
      </c>
      <c r="NJD115" s="197" t="str">
        <f>VLOOKUP(NJC115,[13]AssetDetails_UEM!$A$3:$AH$1849,6,FALSE)</f>
        <v>Electrosurgical Units, Monopolar/Bipolar</v>
      </c>
      <c r="NJE115" s="196" t="s">
        <v>761</v>
      </c>
      <c r="NJF115" s="197" t="str">
        <f>VLOOKUP(NJE115,[13]AssetDetails_UEM!$A$3:$AH$1849,6,FALSE)</f>
        <v>Electrosurgical Units, Monopolar/Bipolar</v>
      </c>
      <c r="NJG115" s="196" t="s">
        <v>761</v>
      </c>
      <c r="NJH115" s="197" t="str">
        <f>VLOOKUP(NJG115,[13]AssetDetails_UEM!$A$3:$AH$1849,6,FALSE)</f>
        <v>Electrosurgical Units, Monopolar/Bipolar</v>
      </c>
      <c r="NJI115" s="196" t="s">
        <v>761</v>
      </c>
      <c r="NJJ115" s="197" t="str">
        <f>VLOOKUP(NJI115,[13]AssetDetails_UEM!$A$3:$AH$1849,6,FALSE)</f>
        <v>Electrosurgical Units, Monopolar/Bipolar</v>
      </c>
      <c r="NJK115" s="196" t="s">
        <v>761</v>
      </c>
      <c r="NJL115" s="197" t="str">
        <f>VLOOKUP(NJK115,[13]AssetDetails_UEM!$A$3:$AH$1849,6,FALSE)</f>
        <v>Electrosurgical Units, Monopolar/Bipolar</v>
      </c>
      <c r="NJM115" s="196" t="s">
        <v>761</v>
      </c>
      <c r="NJN115" s="197" t="str">
        <f>VLOOKUP(NJM115,[13]AssetDetails_UEM!$A$3:$AH$1849,6,FALSE)</f>
        <v>Electrosurgical Units, Monopolar/Bipolar</v>
      </c>
      <c r="NJO115" s="196" t="s">
        <v>761</v>
      </c>
      <c r="NJP115" s="197" t="str">
        <f>VLOOKUP(NJO115,[13]AssetDetails_UEM!$A$3:$AH$1849,6,FALSE)</f>
        <v>Electrosurgical Units, Monopolar/Bipolar</v>
      </c>
      <c r="NJQ115" s="196" t="s">
        <v>761</v>
      </c>
      <c r="NJR115" s="197" t="str">
        <f>VLOOKUP(NJQ115,[13]AssetDetails_UEM!$A$3:$AH$1849,6,FALSE)</f>
        <v>Electrosurgical Units, Monopolar/Bipolar</v>
      </c>
      <c r="NJS115" s="196" t="s">
        <v>761</v>
      </c>
      <c r="NJT115" s="197" t="str">
        <f>VLOOKUP(NJS115,[13]AssetDetails_UEM!$A$3:$AH$1849,6,FALSE)</f>
        <v>Electrosurgical Units, Monopolar/Bipolar</v>
      </c>
      <c r="NJU115" s="196" t="s">
        <v>761</v>
      </c>
      <c r="NJV115" s="197" t="str">
        <f>VLOOKUP(NJU115,[13]AssetDetails_UEM!$A$3:$AH$1849,6,FALSE)</f>
        <v>Electrosurgical Units, Monopolar/Bipolar</v>
      </c>
      <c r="NJW115" s="196" t="s">
        <v>761</v>
      </c>
      <c r="NJX115" s="197" t="str">
        <f>VLOOKUP(NJW115,[13]AssetDetails_UEM!$A$3:$AH$1849,6,FALSE)</f>
        <v>Electrosurgical Units, Monopolar/Bipolar</v>
      </c>
      <c r="NJY115" s="196" t="s">
        <v>761</v>
      </c>
      <c r="NJZ115" s="197" t="str">
        <f>VLOOKUP(NJY115,[13]AssetDetails_UEM!$A$3:$AH$1849,6,FALSE)</f>
        <v>Electrosurgical Units, Monopolar/Bipolar</v>
      </c>
      <c r="NKA115" s="196" t="s">
        <v>761</v>
      </c>
      <c r="NKB115" s="197" t="str">
        <f>VLOOKUP(NKA115,[13]AssetDetails_UEM!$A$3:$AH$1849,6,FALSE)</f>
        <v>Electrosurgical Units, Monopolar/Bipolar</v>
      </c>
      <c r="NKC115" s="196" t="s">
        <v>761</v>
      </c>
      <c r="NKD115" s="197" t="str">
        <f>VLOOKUP(NKC115,[13]AssetDetails_UEM!$A$3:$AH$1849,6,FALSE)</f>
        <v>Electrosurgical Units, Monopolar/Bipolar</v>
      </c>
      <c r="NKE115" s="196" t="s">
        <v>761</v>
      </c>
      <c r="NKF115" s="197" t="str">
        <f>VLOOKUP(NKE115,[13]AssetDetails_UEM!$A$3:$AH$1849,6,FALSE)</f>
        <v>Electrosurgical Units, Monopolar/Bipolar</v>
      </c>
      <c r="NKG115" s="196" t="s">
        <v>761</v>
      </c>
      <c r="NKH115" s="197" t="str">
        <f>VLOOKUP(NKG115,[13]AssetDetails_UEM!$A$3:$AH$1849,6,FALSE)</f>
        <v>Electrosurgical Units, Monopolar/Bipolar</v>
      </c>
      <c r="NKI115" s="196" t="s">
        <v>761</v>
      </c>
      <c r="NKJ115" s="197" t="str">
        <f>VLOOKUP(NKI115,[13]AssetDetails_UEM!$A$3:$AH$1849,6,FALSE)</f>
        <v>Electrosurgical Units, Monopolar/Bipolar</v>
      </c>
      <c r="NKK115" s="196" t="s">
        <v>761</v>
      </c>
      <c r="NKL115" s="197" t="str">
        <f>VLOOKUP(NKK115,[13]AssetDetails_UEM!$A$3:$AH$1849,6,FALSE)</f>
        <v>Electrosurgical Units, Monopolar/Bipolar</v>
      </c>
      <c r="NKM115" s="196" t="s">
        <v>761</v>
      </c>
      <c r="NKN115" s="197" t="str">
        <f>VLOOKUP(NKM115,[13]AssetDetails_UEM!$A$3:$AH$1849,6,FALSE)</f>
        <v>Electrosurgical Units, Monopolar/Bipolar</v>
      </c>
      <c r="NKO115" s="196" t="s">
        <v>761</v>
      </c>
      <c r="NKP115" s="197" t="str">
        <f>VLOOKUP(NKO115,[13]AssetDetails_UEM!$A$3:$AH$1849,6,FALSE)</f>
        <v>Electrosurgical Units, Monopolar/Bipolar</v>
      </c>
      <c r="NKQ115" s="196" t="s">
        <v>761</v>
      </c>
      <c r="NKR115" s="197" t="str">
        <f>VLOOKUP(NKQ115,[13]AssetDetails_UEM!$A$3:$AH$1849,6,FALSE)</f>
        <v>Electrosurgical Units, Monopolar/Bipolar</v>
      </c>
      <c r="NKS115" s="196" t="s">
        <v>761</v>
      </c>
      <c r="NKT115" s="197" t="str">
        <f>VLOOKUP(NKS115,[13]AssetDetails_UEM!$A$3:$AH$1849,6,FALSE)</f>
        <v>Electrosurgical Units, Monopolar/Bipolar</v>
      </c>
      <c r="NKU115" s="196" t="s">
        <v>761</v>
      </c>
      <c r="NKV115" s="197" t="str">
        <f>VLOOKUP(NKU115,[13]AssetDetails_UEM!$A$3:$AH$1849,6,FALSE)</f>
        <v>Electrosurgical Units, Monopolar/Bipolar</v>
      </c>
      <c r="NKW115" s="196" t="s">
        <v>761</v>
      </c>
      <c r="NKX115" s="197" t="str">
        <f>VLOOKUP(NKW115,[13]AssetDetails_UEM!$A$3:$AH$1849,6,FALSE)</f>
        <v>Electrosurgical Units, Monopolar/Bipolar</v>
      </c>
      <c r="NKY115" s="196" t="s">
        <v>761</v>
      </c>
      <c r="NKZ115" s="197" t="str">
        <f>VLOOKUP(NKY115,[13]AssetDetails_UEM!$A$3:$AH$1849,6,FALSE)</f>
        <v>Electrosurgical Units, Monopolar/Bipolar</v>
      </c>
      <c r="NLA115" s="196" t="s">
        <v>761</v>
      </c>
      <c r="NLB115" s="197" t="str">
        <f>VLOOKUP(NLA115,[13]AssetDetails_UEM!$A$3:$AH$1849,6,FALSE)</f>
        <v>Electrosurgical Units, Monopolar/Bipolar</v>
      </c>
      <c r="NLC115" s="196" t="s">
        <v>761</v>
      </c>
      <c r="NLD115" s="197" t="str">
        <f>VLOOKUP(NLC115,[13]AssetDetails_UEM!$A$3:$AH$1849,6,FALSE)</f>
        <v>Electrosurgical Units, Monopolar/Bipolar</v>
      </c>
      <c r="NLE115" s="196" t="s">
        <v>761</v>
      </c>
      <c r="NLF115" s="197" t="str">
        <f>VLOOKUP(NLE115,[13]AssetDetails_UEM!$A$3:$AH$1849,6,FALSE)</f>
        <v>Electrosurgical Units, Monopolar/Bipolar</v>
      </c>
      <c r="NLG115" s="196" t="s">
        <v>761</v>
      </c>
      <c r="NLH115" s="197" t="str">
        <f>VLOOKUP(NLG115,[13]AssetDetails_UEM!$A$3:$AH$1849,6,FALSE)</f>
        <v>Electrosurgical Units, Monopolar/Bipolar</v>
      </c>
      <c r="NLI115" s="196" t="s">
        <v>761</v>
      </c>
      <c r="NLJ115" s="197" t="str">
        <f>VLOOKUP(NLI115,[13]AssetDetails_UEM!$A$3:$AH$1849,6,FALSE)</f>
        <v>Electrosurgical Units, Monopolar/Bipolar</v>
      </c>
      <c r="NLK115" s="196" t="s">
        <v>761</v>
      </c>
      <c r="NLL115" s="197" t="str">
        <f>VLOOKUP(NLK115,[13]AssetDetails_UEM!$A$3:$AH$1849,6,FALSE)</f>
        <v>Electrosurgical Units, Monopolar/Bipolar</v>
      </c>
      <c r="NLM115" s="196" t="s">
        <v>761</v>
      </c>
      <c r="NLN115" s="197" t="str">
        <f>VLOOKUP(NLM115,[13]AssetDetails_UEM!$A$3:$AH$1849,6,FALSE)</f>
        <v>Electrosurgical Units, Monopolar/Bipolar</v>
      </c>
      <c r="NLO115" s="196" t="s">
        <v>761</v>
      </c>
      <c r="NLP115" s="197" t="str">
        <f>VLOOKUP(NLO115,[13]AssetDetails_UEM!$A$3:$AH$1849,6,FALSE)</f>
        <v>Electrosurgical Units, Monopolar/Bipolar</v>
      </c>
      <c r="NLQ115" s="196" t="s">
        <v>761</v>
      </c>
      <c r="NLR115" s="197" t="str">
        <f>VLOOKUP(NLQ115,[13]AssetDetails_UEM!$A$3:$AH$1849,6,FALSE)</f>
        <v>Electrosurgical Units, Monopolar/Bipolar</v>
      </c>
      <c r="NLS115" s="196" t="s">
        <v>761</v>
      </c>
      <c r="NLT115" s="197" t="str">
        <f>VLOOKUP(NLS115,[13]AssetDetails_UEM!$A$3:$AH$1849,6,FALSE)</f>
        <v>Electrosurgical Units, Monopolar/Bipolar</v>
      </c>
      <c r="NLU115" s="196" t="s">
        <v>761</v>
      </c>
      <c r="NLV115" s="197" t="str">
        <f>VLOOKUP(NLU115,[13]AssetDetails_UEM!$A$3:$AH$1849,6,FALSE)</f>
        <v>Electrosurgical Units, Monopolar/Bipolar</v>
      </c>
      <c r="NLW115" s="196" t="s">
        <v>761</v>
      </c>
      <c r="NLX115" s="197" t="str">
        <f>VLOOKUP(NLW115,[13]AssetDetails_UEM!$A$3:$AH$1849,6,FALSE)</f>
        <v>Electrosurgical Units, Monopolar/Bipolar</v>
      </c>
      <c r="NLY115" s="196" t="s">
        <v>761</v>
      </c>
      <c r="NLZ115" s="197" t="str">
        <f>VLOOKUP(NLY115,[13]AssetDetails_UEM!$A$3:$AH$1849,6,FALSE)</f>
        <v>Electrosurgical Units, Monopolar/Bipolar</v>
      </c>
      <c r="NMA115" s="196" t="s">
        <v>761</v>
      </c>
      <c r="NMB115" s="197" t="str">
        <f>VLOOKUP(NMA115,[13]AssetDetails_UEM!$A$3:$AH$1849,6,FALSE)</f>
        <v>Electrosurgical Units, Monopolar/Bipolar</v>
      </c>
      <c r="NMC115" s="196" t="s">
        <v>761</v>
      </c>
      <c r="NMD115" s="197" t="str">
        <f>VLOOKUP(NMC115,[13]AssetDetails_UEM!$A$3:$AH$1849,6,FALSE)</f>
        <v>Electrosurgical Units, Monopolar/Bipolar</v>
      </c>
      <c r="NME115" s="196" t="s">
        <v>761</v>
      </c>
      <c r="NMF115" s="197" t="str">
        <f>VLOOKUP(NME115,[13]AssetDetails_UEM!$A$3:$AH$1849,6,FALSE)</f>
        <v>Electrosurgical Units, Monopolar/Bipolar</v>
      </c>
      <c r="NMG115" s="196" t="s">
        <v>761</v>
      </c>
      <c r="NMH115" s="197" t="str">
        <f>VLOOKUP(NMG115,[13]AssetDetails_UEM!$A$3:$AH$1849,6,FALSE)</f>
        <v>Electrosurgical Units, Monopolar/Bipolar</v>
      </c>
      <c r="NMI115" s="196" t="s">
        <v>761</v>
      </c>
      <c r="NMJ115" s="197" t="str">
        <f>VLOOKUP(NMI115,[13]AssetDetails_UEM!$A$3:$AH$1849,6,FALSE)</f>
        <v>Electrosurgical Units, Monopolar/Bipolar</v>
      </c>
      <c r="NMK115" s="196" t="s">
        <v>761</v>
      </c>
      <c r="NML115" s="197" t="str">
        <f>VLOOKUP(NMK115,[13]AssetDetails_UEM!$A$3:$AH$1849,6,FALSE)</f>
        <v>Electrosurgical Units, Monopolar/Bipolar</v>
      </c>
      <c r="NMM115" s="196" t="s">
        <v>761</v>
      </c>
      <c r="NMN115" s="197" t="str">
        <f>VLOOKUP(NMM115,[13]AssetDetails_UEM!$A$3:$AH$1849,6,FALSE)</f>
        <v>Electrosurgical Units, Monopolar/Bipolar</v>
      </c>
      <c r="NMO115" s="196" t="s">
        <v>761</v>
      </c>
      <c r="NMP115" s="197" t="str">
        <f>VLOOKUP(NMO115,[13]AssetDetails_UEM!$A$3:$AH$1849,6,FALSE)</f>
        <v>Electrosurgical Units, Monopolar/Bipolar</v>
      </c>
      <c r="NMQ115" s="196" t="s">
        <v>761</v>
      </c>
      <c r="NMR115" s="197" t="str">
        <f>VLOOKUP(NMQ115,[13]AssetDetails_UEM!$A$3:$AH$1849,6,FALSE)</f>
        <v>Electrosurgical Units, Monopolar/Bipolar</v>
      </c>
      <c r="NMS115" s="196" t="s">
        <v>761</v>
      </c>
      <c r="NMT115" s="197" t="str">
        <f>VLOOKUP(NMS115,[13]AssetDetails_UEM!$A$3:$AH$1849,6,FALSE)</f>
        <v>Electrosurgical Units, Monopolar/Bipolar</v>
      </c>
      <c r="NMU115" s="196" t="s">
        <v>761</v>
      </c>
      <c r="NMV115" s="197" t="str">
        <f>VLOOKUP(NMU115,[13]AssetDetails_UEM!$A$3:$AH$1849,6,FALSE)</f>
        <v>Electrosurgical Units, Monopolar/Bipolar</v>
      </c>
      <c r="NMW115" s="196" t="s">
        <v>761</v>
      </c>
      <c r="NMX115" s="197" t="str">
        <f>VLOOKUP(NMW115,[13]AssetDetails_UEM!$A$3:$AH$1849,6,FALSE)</f>
        <v>Electrosurgical Units, Monopolar/Bipolar</v>
      </c>
      <c r="NMY115" s="196" t="s">
        <v>761</v>
      </c>
      <c r="NMZ115" s="197" t="str">
        <f>VLOOKUP(NMY115,[13]AssetDetails_UEM!$A$3:$AH$1849,6,FALSE)</f>
        <v>Electrosurgical Units, Monopolar/Bipolar</v>
      </c>
      <c r="NNA115" s="196" t="s">
        <v>761</v>
      </c>
      <c r="NNB115" s="197" t="str">
        <f>VLOOKUP(NNA115,[13]AssetDetails_UEM!$A$3:$AH$1849,6,FALSE)</f>
        <v>Electrosurgical Units, Monopolar/Bipolar</v>
      </c>
      <c r="NNC115" s="196" t="s">
        <v>761</v>
      </c>
      <c r="NND115" s="197" t="str">
        <f>VLOOKUP(NNC115,[13]AssetDetails_UEM!$A$3:$AH$1849,6,FALSE)</f>
        <v>Electrosurgical Units, Monopolar/Bipolar</v>
      </c>
      <c r="NNE115" s="196" t="s">
        <v>761</v>
      </c>
      <c r="NNF115" s="197" t="str">
        <f>VLOOKUP(NNE115,[13]AssetDetails_UEM!$A$3:$AH$1849,6,FALSE)</f>
        <v>Electrosurgical Units, Monopolar/Bipolar</v>
      </c>
      <c r="NNG115" s="196" t="s">
        <v>761</v>
      </c>
      <c r="NNH115" s="197" t="str">
        <f>VLOOKUP(NNG115,[13]AssetDetails_UEM!$A$3:$AH$1849,6,FALSE)</f>
        <v>Electrosurgical Units, Monopolar/Bipolar</v>
      </c>
      <c r="NNI115" s="196" t="s">
        <v>761</v>
      </c>
      <c r="NNJ115" s="197" t="str">
        <f>VLOOKUP(NNI115,[13]AssetDetails_UEM!$A$3:$AH$1849,6,FALSE)</f>
        <v>Electrosurgical Units, Monopolar/Bipolar</v>
      </c>
      <c r="NNK115" s="196" t="s">
        <v>761</v>
      </c>
      <c r="NNL115" s="197" t="str">
        <f>VLOOKUP(NNK115,[13]AssetDetails_UEM!$A$3:$AH$1849,6,FALSE)</f>
        <v>Electrosurgical Units, Monopolar/Bipolar</v>
      </c>
      <c r="NNM115" s="196" t="s">
        <v>761</v>
      </c>
      <c r="NNN115" s="197" t="str">
        <f>VLOOKUP(NNM115,[13]AssetDetails_UEM!$A$3:$AH$1849,6,FALSE)</f>
        <v>Electrosurgical Units, Monopolar/Bipolar</v>
      </c>
      <c r="NNO115" s="196" t="s">
        <v>761</v>
      </c>
      <c r="NNP115" s="197" t="str">
        <f>VLOOKUP(NNO115,[13]AssetDetails_UEM!$A$3:$AH$1849,6,FALSE)</f>
        <v>Electrosurgical Units, Monopolar/Bipolar</v>
      </c>
      <c r="NNQ115" s="196" t="s">
        <v>761</v>
      </c>
      <c r="NNR115" s="197" t="str">
        <f>VLOOKUP(NNQ115,[13]AssetDetails_UEM!$A$3:$AH$1849,6,FALSE)</f>
        <v>Electrosurgical Units, Monopolar/Bipolar</v>
      </c>
      <c r="NNS115" s="196" t="s">
        <v>761</v>
      </c>
      <c r="NNT115" s="197" t="str">
        <f>VLOOKUP(NNS115,[13]AssetDetails_UEM!$A$3:$AH$1849,6,FALSE)</f>
        <v>Electrosurgical Units, Monopolar/Bipolar</v>
      </c>
      <c r="NNU115" s="196" t="s">
        <v>761</v>
      </c>
      <c r="NNV115" s="197" t="str">
        <f>VLOOKUP(NNU115,[13]AssetDetails_UEM!$A$3:$AH$1849,6,FALSE)</f>
        <v>Electrosurgical Units, Monopolar/Bipolar</v>
      </c>
      <c r="NNW115" s="196" t="s">
        <v>761</v>
      </c>
      <c r="NNX115" s="197" t="str">
        <f>VLOOKUP(NNW115,[13]AssetDetails_UEM!$A$3:$AH$1849,6,FALSE)</f>
        <v>Electrosurgical Units, Monopolar/Bipolar</v>
      </c>
      <c r="NNY115" s="196" t="s">
        <v>761</v>
      </c>
      <c r="NNZ115" s="197" t="str">
        <f>VLOOKUP(NNY115,[13]AssetDetails_UEM!$A$3:$AH$1849,6,FALSE)</f>
        <v>Electrosurgical Units, Monopolar/Bipolar</v>
      </c>
      <c r="NOA115" s="196" t="s">
        <v>761</v>
      </c>
      <c r="NOB115" s="197" t="str">
        <f>VLOOKUP(NOA115,[13]AssetDetails_UEM!$A$3:$AH$1849,6,FALSE)</f>
        <v>Electrosurgical Units, Monopolar/Bipolar</v>
      </c>
      <c r="NOC115" s="196" t="s">
        <v>761</v>
      </c>
      <c r="NOD115" s="197" t="str">
        <f>VLOOKUP(NOC115,[13]AssetDetails_UEM!$A$3:$AH$1849,6,FALSE)</f>
        <v>Electrosurgical Units, Monopolar/Bipolar</v>
      </c>
      <c r="NOE115" s="196" t="s">
        <v>761</v>
      </c>
      <c r="NOF115" s="197" t="str">
        <f>VLOOKUP(NOE115,[13]AssetDetails_UEM!$A$3:$AH$1849,6,FALSE)</f>
        <v>Electrosurgical Units, Monopolar/Bipolar</v>
      </c>
      <c r="NOG115" s="196" t="s">
        <v>761</v>
      </c>
      <c r="NOH115" s="197" t="str">
        <f>VLOOKUP(NOG115,[13]AssetDetails_UEM!$A$3:$AH$1849,6,FALSE)</f>
        <v>Electrosurgical Units, Monopolar/Bipolar</v>
      </c>
      <c r="NOI115" s="196" t="s">
        <v>761</v>
      </c>
      <c r="NOJ115" s="197" t="str">
        <f>VLOOKUP(NOI115,[13]AssetDetails_UEM!$A$3:$AH$1849,6,FALSE)</f>
        <v>Electrosurgical Units, Monopolar/Bipolar</v>
      </c>
      <c r="NOK115" s="196" t="s">
        <v>761</v>
      </c>
      <c r="NOL115" s="197" t="str">
        <f>VLOOKUP(NOK115,[13]AssetDetails_UEM!$A$3:$AH$1849,6,FALSE)</f>
        <v>Electrosurgical Units, Monopolar/Bipolar</v>
      </c>
      <c r="NOM115" s="196" t="s">
        <v>761</v>
      </c>
      <c r="NON115" s="197" t="str">
        <f>VLOOKUP(NOM115,[13]AssetDetails_UEM!$A$3:$AH$1849,6,FALSE)</f>
        <v>Electrosurgical Units, Monopolar/Bipolar</v>
      </c>
      <c r="NOO115" s="196" t="s">
        <v>761</v>
      </c>
      <c r="NOP115" s="197" t="str">
        <f>VLOOKUP(NOO115,[13]AssetDetails_UEM!$A$3:$AH$1849,6,FALSE)</f>
        <v>Electrosurgical Units, Monopolar/Bipolar</v>
      </c>
      <c r="NOQ115" s="196" t="s">
        <v>761</v>
      </c>
      <c r="NOR115" s="197" t="str">
        <f>VLOOKUP(NOQ115,[13]AssetDetails_UEM!$A$3:$AH$1849,6,FALSE)</f>
        <v>Electrosurgical Units, Monopolar/Bipolar</v>
      </c>
      <c r="NOS115" s="196" t="s">
        <v>761</v>
      </c>
      <c r="NOT115" s="197" t="str">
        <f>VLOOKUP(NOS115,[13]AssetDetails_UEM!$A$3:$AH$1849,6,FALSE)</f>
        <v>Electrosurgical Units, Monopolar/Bipolar</v>
      </c>
      <c r="NOU115" s="196" t="s">
        <v>761</v>
      </c>
      <c r="NOV115" s="197" t="str">
        <f>VLOOKUP(NOU115,[13]AssetDetails_UEM!$A$3:$AH$1849,6,FALSE)</f>
        <v>Electrosurgical Units, Monopolar/Bipolar</v>
      </c>
      <c r="NOW115" s="196" t="s">
        <v>761</v>
      </c>
      <c r="NOX115" s="197" t="str">
        <f>VLOOKUP(NOW115,[13]AssetDetails_UEM!$A$3:$AH$1849,6,FALSE)</f>
        <v>Electrosurgical Units, Monopolar/Bipolar</v>
      </c>
      <c r="NOY115" s="196" t="s">
        <v>761</v>
      </c>
      <c r="NOZ115" s="197" t="str">
        <f>VLOOKUP(NOY115,[13]AssetDetails_UEM!$A$3:$AH$1849,6,FALSE)</f>
        <v>Electrosurgical Units, Monopolar/Bipolar</v>
      </c>
      <c r="NPA115" s="196" t="s">
        <v>761</v>
      </c>
      <c r="NPB115" s="197" t="str">
        <f>VLOOKUP(NPA115,[13]AssetDetails_UEM!$A$3:$AH$1849,6,FALSE)</f>
        <v>Electrosurgical Units, Monopolar/Bipolar</v>
      </c>
      <c r="NPC115" s="196" t="s">
        <v>761</v>
      </c>
      <c r="NPD115" s="197" t="str">
        <f>VLOOKUP(NPC115,[13]AssetDetails_UEM!$A$3:$AH$1849,6,FALSE)</f>
        <v>Electrosurgical Units, Monopolar/Bipolar</v>
      </c>
      <c r="NPE115" s="196" t="s">
        <v>761</v>
      </c>
      <c r="NPF115" s="197" t="str">
        <f>VLOOKUP(NPE115,[13]AssetDetails_UEM!$A$3:$AH$1849,6,FALSE)</f>
        <v>Electrosurgical Units, Monopolar/Bipolar</v>
      </c>
      <c r="NPG115" s="196" t="s">
        <v>761</v>
      </c>
      <c r="NPH115" s="197" t="str">
        <f>VLOOKUP(NPG115,[13]AssetDetails_UEM!$A$3:$AH$1849,6,FALSE)</f>
        <v>Electrosurgical Units, Monopolar/Bipolar</v>
      </c>
      <c r="NPI115" s="196" t="s">
        <v>761</v>
      </c>
      <c r="NPJ115" s="197" t="str">
        <f>VLOOKUP(NPI115,[13]AssetDetails_UEM!$A$3:$AH$1849,6,FALSE)</f>
        <v>Electrosurgical Units, Monopolar/Bipolar</v>
      </c>
      <c r="NPK115" s="196" t="s">
        <v>761</v>
      </c>
      <c r="NPL115" s="197" t="str">
        <f>VLOOKUP(NPK115,[13]AssetDetails_UEM!$A$3:$AH$1849,6,FALSE)</f>
        <v>Electrosurgical Units, Monopolar/Bipolar</v>
      </c>
      <c r="NPM115" s="196" t="s">
        <v>761</v>
      </c>
      <c r="NPN115" s="197" t="str">
        <f>VLOOKUP(NPM115,[13]AssetDetails_UEM!$A$3:$AH$1849,6,FALSE)</f>
        <v>Electrosurgical Units, Monopolar/Bipolar</v>
      </c>
      <c r="NPO115" s="196" t="s">
        <v>761</v>
      </c>
      <c r="NPP115" s="197" t="str">
        <f>VLOOKUP(NPO115,[13]AssetDetails_UEM!$A$3:$AH$1849,6,FALSE)</f>
        <v>Electrosurgical Units, Monopolar/Bipolar</v>
      </c>
      <c r="NPQ115" s="196" t="s">
        <v>761</v>
      </c>
      <c r="NPR115" s="197" t="str">
        <f>VLOOKUP(NPQ115,[13]AssetDetails_UEM!$A$3:$AH$1849,6,FALSE)</f>
        <v>Electrosurgical Units, Monopolar/Bipolar</v>
      </c>
      <c r="NPS115" s="196" t="s">
        <v>761</v>
      </c>
      <c r="NPT115" s="197" t="str">
        <f>VLOOKUP(NPS115,[13]AssetDetails_UEM!$A$3:$AH$1849,6,FALSE)</f>
        <v>Electrosurgical Units, Monopolar/Bipolar</v>
      </c>
      <c r="NPU115" s="196" t="s">
        <v>761</v>
      </c>
      <c r="NPV115" s="197" t="str">
        <f>VLOOKUP(NPU115,[13]AssetDetails_UEM!$A$3:$AH$1849,6,FALSE)</f>
        <v>Electrosurgical Units, Monopolar/Bipolar</v>
      </c>
      <c r="NPW115" s="196" t="s">
        <v>761</v>
      </c>
      <c r="NPX115" s="197" t="str">
        <f>VLOOKUP(NPW115,[13]AssetDetails_UEM!$A$3:$AH$1849,6,FALSE)</f>
        <v>Electrosurgical Units, Monopolar/Bipolar</v>
      </c>
      <c r="NPY115" s="196" t="s">
        <v>761</v>
      </c>
      <c r="NPZ115" s="197" t="str">
        <f>VLOOKUP(NPY115,[13]AssetDetails_UEM!$A$3:$AH$1849,6,FALSE)</f>
        <v>Electrosurgical Units, Monopolar/Bipolar</v>
      </c>
      <c r="NQA115" s="196" t="s">
        <v>761</v>
      </c>
      <c r="NQB115" s="197" t="str">
        <f>VLOOKUP(NQA115,[13]AssetDetails_UEM!$A$3:$AH$1849,6,FALSE)</f>
        <v>Electrosurgical Units, Monopolar/Bipolar</v>
      </c>
      <c r="NQC115" s="196" t="s">
        <v>761</v>
      </c>
      <c r="NQD115" s="197" t="str">
        <f>VLOOKUP(NQC115,[13]AssetDetails_UEM!$A$3:$AH$1849,6,FALSE)</f>
        <v>Electrosurgical Units, Monopolar/Bipolar</v>
      </c>
      <c r="NQE115" s="196" t="s">
        <v>761</v>
      </c>
      <c r="NQF115" s="197" t="str">
        <f>VLOOKUP(NQE115,[13]AssetDetails_UEM!$A$3:$AH$1849,6,FALSE)</f>
        <v>Electrosurgical Units, Monopolar/Bipolar</v>
      </c>
      <c r="NQG115" s="196" t="s">
        <v>761</v>
      </c>
      <c r="NQH115" s="197" t="str">
        <f>VLOOKUP(NQG115,[13]AssetDetails_UEM!$A$3:$AH$1849,6,FALSE)</f>
        <v>Electrosurgical Units, Monopolar/Bipolar</v>
      </c>
      <c r="NQI115" s="196" t="s">
        <v>761</v>
      </c>
      <c r="NQJ115" s="197" t="str">
        <f>VLOOKUP(NQI115,[13]AssetDetails_UEM!$A$3:$AH$1849,6,FALSE)</f>
        <v>Electrosurgical Units, Monopolar/Bipolar</v>
      </c>
      <c r="NQK115" s="196" t="s">
        <v>761</v>
      </c>
      <c r="NQL115" s="197" t="str">
        <f>VLOOKUP(NQK115,[13]AssetDetails_UEM!$A$3:$AH$1849,6,FALSE)</f>
        <v>Electrosurgical Units, Monopolar/Bipolar</v>
      </c>
      <c r="NQM115" s="196" t="s">
        <v>761</v>
      </c>
      <c r="NQN115" s="197" t="str">
        <f>VLOOKUP(NQM115,[13]AssetDetails_UEM!$A$3:$AH$1849,6,FALSE)</f>
        <v>Electrosurgical Units, Monopolar/Bipolar</v>
      </c>
      <c r="NQO115" s="196" t="s">
        <v>761</v>
      </c>
      <c r="NQP115" s="197" t="str">
        <f>VLOOKUP(NQO115,[13]AssetDetails_UEM!$A$3:$AH$1849,6,FALSE)</f>
        <v>Electrosurgical Units, Monopolar/Bipolar</v>
      </c>
      <c r="NQQ115" s="196" t="s">
        <v>761</v>
      </c>
      <c r="NQR115" s="197" t="str">
        <f>VLOOKUP(NQQ115,[13]AssetDetails_UEM!$A$3:$AH$1849,6,FALSE)</f>
        <v>Electrosurgical Units, Monopolar/Bipolar</v>
      </c>
      <c r="NQS115" s="196" t="s">
        <v>761</v>
      </c>
      <c r="NQT115" s="197" t="str">
        <f>VLOOKUP(NQS115,[13]AssetDetails_UEM!$A$3:$AH$1849,6,FALSE)</f>
        <v>Electrosurgical Units, Monopolar/Bipolar</v>
      </c>
      <c r="NQU115" s="196" t="s">
        <v>761</v>
      </c>
      <c r="NQV115" s="197" t="str">
        <f>VLOOKUP(NQU115,[13]AssetDetails_UEM!$A$3:$AH$1849,6,FALSE)</f>
        <v>Electrosurgical Units, Monopolar/Bipolar</v>
      </c>
      <c r="NQW115" s="196" t="s">
        <v>761</v>
      </c>
      <c r="NQX115" s="197" t="str">
        <f>VLOOKUP(NQW115,[13]AssetDetails_UEM!$A$3:$AH$1849,6,FALSE)</f>
        <v>Electrosurgical Units, Monopolar/Bipolar</v>
      </c>
      <c r="NQY115" s="196" t="s">
        <v>761</v>
      </c>
      <c r="NQZ115" s="197" t="str">
        <f>VLOOKUP(NQY115,[13]AssetDetails_UEM!$A$3:$AH$1849,6,FALSE)</f>
        <v>Electrosurgical Units, Monopolar/Bipolar</v>
      </c>
      <c r="NRA115" s="196" t="s">
        <v>761</v>
      </c>
      <c r="NRB115" s="197" t="str">
        <f>VLOOKUP(NRA115,[13]AssetDetails_UEM!$A$3:$AH$1849,6,FALSE)</f>
        <v>Electrosurgical Units, Monopolar/Bipolar</v>
      </c>
      <c r="NRC115" s="196" t="s">
        <v>761</v>
      </c>
      <c r="NRD115" s="197" t="str">
        <f>VLOOKUP(NRC115,[13]AssetDetails_UEM!$A$3:$AH$1849,6,FALSE)</f>
        <v>Electrosurgical Units, Monopolar/Bipolar</v>
      </c>
      <c r="NRE115" s="196" t="s">
        <v>761</v>
      </c>
      <c r="NRF115" s="197" t="str">
        <f>VLOOKUP(NRE115,[13]AssetDetails_UEM!$A$3:$AH$1849,6,FALSE)</f>
        <v>Electrosurgical Units, Monopolar/Bipolar</v>
      </c>
      <c r="NRG115" s="196" t="s">
        <v>761</v>
      </c>
      <c r="NRH115" s="197" t="str">
        <f>VLOOKUP(NRG115,[13]AssetDetails_UEM!$A$3:$AH$1849,6,FALSE)</f>
        <v>Electrosurgical Units, Monopolar/Bipolar</v>
      </c>
      <c r="NRI115" s="196" t="s">
        <v>761</v>
      </c>
      <c r="NRJ115" s="197" t="str">
        <f>VLOOKUP(NRI115,[13]AssetDetails_UEM!$A$3:$AH$1849,6,FALSE)</f>
        <v>Electrosurgical Units, Monopolar/Bipolar</v>
      </c>
      <c r="NRK115" s="196" t="s">
        <v>761</v>
      </c>
      <c r="NRL115" s="197" t="str">
        <f>VLOOKUP(NRK115,[13]AssetDetails_UEM!$A$3:$AH$1849,6,FALSE)</f>
        <v>Electrosurgical Units, Monopolar/Bipolar</v>
      </c>
      <c r="NRM115" s="196" t="s">
        <v>761</v>
      </c>
      <c r="NRN115" s="197" t="str">
        <f>VLOOKUP(NRM115,[13]AssetDetails_UEM!$A$3:$AH$1849,6,FALSE)</f>
        <v>Electrosurgical Units, Monopolar/Bipolar</v>
      </c>
      <c r="NRO115" s="196" t="s">
        <v>761</v>
      </c>
      <c r="NRP115" s="197" t="str">
        <f>VLOOKUP(NRO115,[13]AssetDetails_UEM!$A$3:$AH$1849,6,FALSE)</f>
        <v>Electrosurgical Units, Monopolar/Bipolar</v>
      </c>
      <c r="NRQ115" s="196" t="s">
        <v>761</v>
      </c>
      <c r="NRR115" s="197" t="str">
        <f>VLOOKUP(NRQ115,[13]AssetDetails_UEM!$A$3:$AH$1849,6,FALSE)</f>
        <v>Electrosurgical Units, Monopolar/Bipolar</v>
      </c>
      <c r="NRS115" s="196" t="s">
        <v>761</v>
      </c>
      <c r="NRT115" s="197" t="str">
        <f>VLOOKUP(NRS115,[13]AssetDetails_UEM!$A$3:$AH$1849,6,FALSE)</f>
        <v>Electrosurgical Units, Monopolar/Bipolar</v>
      </c>
      <c r="NRU115" s="196" t="s">
        <v>761</v>
      </c>
      <c r="NRV115" s="197" t="str">
        <f>VLOOKUP(NRU115,[13]AssetDetails_UEM!$A$3:$AH$1849,6,FALSE)</f>
        <v>Electrosurgical Units, Monopolar/Bipolar</v>
      </c>
      <c r="NRW115" s="196" t="s">
        <v>761</v>
      </c>
      <c r="NRX115" s="197" t="str">
        <f>VLOOKUP(NRW115,[13]AssetDetails_UEM!$A$3:$AH$1849,6,FALSE)</f>
        <v>Electrosurgical Units, Monopolar/Bipolar</v>
      </c>
      <c r="NRY115" s="196" t="s">
        <v>761</v>
      </c>
      <c r="NRZ115" s="197" t="str">
        <f>VLOOKUP(NRY115,[13]AssetDetails_UEM!$A$3:$AH$1849,6,FALSE)</f>
        <v>Electrosurgical Units, Monopolar/Bipolar</v>
      </c>
      <c r="NSA115" s="196" t="s">
        <v>761</v>
      </c>
      <c r="NSB115" s="197" t="str">
        <f>VLOOKUP(NSA115,[13]AssetDetails_UEM!$A$3:$AH$1849,6,FALSE)</f>
        <v>Electrosurgical Units, Monopolar/Bipolar</v>
      </c>
      <c r="NSC115" s="196" t="s">
        <v>761</v>
      </c>
      <c r="NSD115" s="197" t="str">
        <f>VLOOKUP(NSC115,[13]AssetDetails_UEM!$A$3:$AH$1849,6,FALSE)</f>
        <v>Electrosurgical Units, Monopolar/Bipolar</v>
      </c>
      <c r="NSE115" s="196" t="s">
        <v>761</v>
      </c>
      <c r="NSF115" s="197" t="str">
        <f>VLOOKUP(NSE115,[13]AssetDetails_UEM!$A$3:$AH$1849,6,FALSE)</f>
        <v>Electrosurgical Units, Monopolar/Bipolar</v>
      </c>
      <c r="NSG115" s="196" t="s">
        <v>761</v>
      </c>
      <c r="NSH115" s="197" t="str">
        <f>VLOOKUP(NSG115,[13]AssetDetails_UEM!$A$3:$AH$1849,6,FALSE)</f>
        <v>Electrosurgical Units, Monopolar/Bipolar</v>
      </c>
      <c r="NSI115" s="196" t="s">
        <v>761</v>
      </c>
      <c r="NSJ115" s="197" t="str">
        <f>VLOOKUP(NSI115,[13]AssetDetails_UEM!$A$3:$AH$1849,6,FALSE)</f>
        <v>Electrosurgical Units, Monopolar/Bipolar</v>
      </c>
      <c r="NSK115" s="196" t="s">
        <v>761</v>
      </c>
      <c r="NSL115" s="197" t="str">
        <f>VLOOKUP(NSK115,[13]AssetDetails_UEM!$A$3:$AH$1849,6,FALSE)</f>
        <v>Electrosurgical Units, Monopolar/Bipolar</v>
      </c>
      <c r="NSM115" s="196" t="s">
        <v>761</v>
      </c>
      <c r="NSN115" s="197" t="str">
        <f>VLOOKUP(NSM115,[13]AssetDetails_UEM!$A$3:$AH$1849,6,FALSE)</f>
        <v>Electrosurgical Units, Monopolar/Bipolar</v>
      </c>
      <c r="NSO115" s="196" t="s">
        <v>761</v>
      </c>
      <c r="NSP115" s="197" t="str">
        <f>VLOOKUP(NSO115,[13]AssetDetails_UEM!$A$3:$AH$1849,6,FALSE)</f>
        <v>Electrosurgical Units, Monopolar/Bipolar</v>
      </c>
      <c r="NSQ115" s="196" t="s">
        <v>761</v>
      </c>
      <c r="NSR115" s="197" t="str">
        <f>VLOOKUP(NSQ115,[13]AssetDetails_UEM!$A$3:$AH$1849,6,FALSE)</f>
        <v>Electrosurgical Units, Monopolar/Bipolar</v>
      </c>
      <c r="NSS115" s="196" t="s">
        <v>761</v>
      </c>
      <c r="NST115" s="197" t="str">
        <f>VLOOKUP(NSS115,[13]AssetDetails_UEM!$A$3:$AH$1849,6,FALSE)</f>
        <v>Electrosurgical Units, Monopolar/Bipolar</v>
      </c>
      <c r="NSU115" s="196" t="s">
        <v>761</v>
      </c>
      <c r="NSV115" s="197" t="str">
        <f>VLOOKUP(NSU115,[13]AssetDetails_UEM!$A$3:$AH$1849,6,FALSE)</f>
        <v>Electrosurgical Units, Monopolar/Bipolar</v>
      </c>
      <c r="NSW115" s="196" t="s">
        <v>761</v>
      </c>
      <c r="NSX115" s="197" t="str">
        <f>VLOOKUP(NSW115,[13]AssetDetails_UEM!$A$3:$AH$1849,6,FALSE)</f>
        <v>Electrosurgical Units, Monopolar/Bipolar</v>
      </c>
      <c r="NSY115" s="196" t="s">
        <v>761</v>
      </c>
      <c r="NSZ115" s="197" t="str">
        <f>VLOOKUP(NSY115,[13]AssetDetails_UEM!$A$3:$AH$1849,6,FALSE)</f>
        <v>Electrosurgical Units, Monopolar/Bipolar</v>
      </c>
      <c r="NTA115" s="196" t="s">
        <v>761</v>
      </c>
      <c r="NTB115" s="197" t="str">
        <f>VLOOKUP(NTA115,[13]AssetDetails_UEM!$A$3:$AH$1849,6,FALSE)</f>
        <v>Electrosurgical Units, Monopolar/Bipolar</v>
      </c>
      <c r="NTC115" s="196" t="s">
        <v>761</v>
      </c>
      <c r="NTD115" s="197" t="str">
        <f>VLOOKUP(NTC115,[13]AssetDetails_UEM!$A$3:$AH$1849,6,FALSE)</f>
        <v>Electrosurgical Units, Monopolar/Bipolar</v>
      </c>
      <c r="NTE115" s="196" t="s">
        <v>761</v>
      </c>
      <c r="NTF115" s="197" t="str">
        <f>VLOOKUP(NTE115,[13]AssetDetails_UEM!$A$3:$AH$1849,6,FALSE)</f>
        <v>Electrosurgical Units, Monopolar/Bipolar</v>
      </c>
      <c r="NTG115" s="196" t="s">
        <v>761</v>
      </c>
      <c r="NTH115" s="197" t="str">
        <f>VLOOKUP(NTG115,[13]AssetDetails_UEM!$A$3:$AH$1849,6,FALSE)</f>
        <v>Electrosurgical Units, Monopolar/Bipolar</v>
      </c>
      <c r="NTI115" s="196" t="s">
        <v>761</v>
      </c>
      <c r="NTJ115" s="197" t="str">
        <f>VLOOKUP(NTI115,[13]AssetDetails_UEM!$A$3:$AH$1849,6,FALSE)</f>
        <v>Electrosurgical Units, Monopolar/Bipolar</v>
      </c>
      <c r="NTK115" s="196" t="s">
        <v>761</v>
      </c>
      <c r="NTL115" s="197" t="str">
        <f>VLOOKUP(NTK115,[13]AssetDetails_UEM!$A$3:$AH$1849,6,FALSE)</f>
        <v>Electrosurgical Units, Monopolar/Bipolar</v>
      </c>
      <c r="NTM115" s="196" t="s">
        <v>761</v>
      </c>
      <c r="NTN115" s="197" t="str">
        <f>VLOOKUP(NTM115,[13]AssetDetails_UEM!$A$3:$AH$1849,6,FALSE)</f>
        <v>Electrosurgical Units, Monopolar/Bipolar</v>
      </c>
      <c r="NTO115" s="196" t="s">
        <v>761</v>
      </c>
      <c r="NTP115" s="197" t="str">
        <f>VLOOKUP(NTO115,[13]AssetDetails_UEM!$A$3:$AH$1849,6,FALSE)</f>
        <v>Electrosurgical Units, Monopolar/Bipolar</v>
      </c>
      <c r="NTQ115" s="196" t="s">
        <v>761</v>
      </c>
      <c r="NTR115" s="197" t="str">
        <f>VLOOKUP(NTQ115,[13]AssetDetails_UEM!$A$3:$AH$1849,6,FALSE)</f>
        <v>Electrosurgical Units, Monopolar/Bipolar</v>
      </c>
      <c r="NTS115" s="196" t="s">
        <v>761</v>
      </c>
      <c r="NTT115" s="197" t="str">
        <f>VLOOKUP(NTS115,[13]AssetDetails_UEM!$A$3:$AH$1849,6,FALSE)</f>
        <v>Electrosurgical Units, Monopolar/Bipolar</v>
      </c>
      <c r="NTU115" s="196" t="s">
        <v>761</v>
      </c>
      <c r="NTV115" s="197" t="str">
        <f>VLOOKUP(NTU115,[13]AssetDetails_UEM!$A$3:$AH$1849,6,FALSE)</f>
        <v>Electrosurgical Units, Monopolar/Bipolar</v>
      </c>
      <c r="NTW115" s="196" t="s">
        <v>761</v>
      </c>
      <c r="NTX115" s="197" t="str">
        <f>VLOOKUP(NTW115,[13]AssetDetails_UEM!$A$3:$AH$1849,6,FALSE)</f>
        <v>Electrosurgical Units, Monopolar/Bipolar</v>
      </c>
      <c r="NTY115" s="196" t="s">
        <v>761</v>
      </c>
      <c r="NTZ115" s="197" t="str">
        <f>VLOOKUP(NTY115,[13]AssetDetails_UEM!$A$3:$AH$1849,6,FALSE)</f>
        <v>Electrosurgical Units, Monopolar/Bipolar</v>
      </c>
      <c r="NUA115" s="196" t="s">
        <v>761</v>
      </c>
      <c r="NUB115" s="197" t="str">
        <f>VLOOKUP(NUA115,[13]AssetDetails_UEM!$A$3:$AH$1849,6,FALSE)</f>
        <v>Electrosurgical Units, Monopolar/Bipolar</v>
      </c>
      <c r="NUC115" s="196" t="s">
        <v>761</v>
      </c>
      <c r="NUD115" s="197" t="str">
        <f>VLOOKUP(NUC115,[13]AssetDetails_UEM!$A$3:$AH$1849,6,FALSE)</f>
        <v>Electrosurgical Units, Monopolar/Bipolar</v>
      </c>
      <c r="NUE115" s="196" t="s">
        <v>761</v>
      </c>
      <c r="NUF115" s="197" t="str">
        <f>VLOOKUP(NUE115,[13]AssetDetails_UEM!$A$3:$AH$1849,6,FALSE)</f>
        <v>Electrosurgical Units, Monopolar/Bipolar</v>
      </c>
      <c r="NUG115" s="196" t="s">
        <v>761</v>
      </c>
      <c r="NUH115" s="197" t="str">
        <f>VLOOKUP(NUG115,[13]AssetDetails_UEM!$A$3:$AH$1849,6,FALSE)</f>
        <v>Electrosurgical Units, Monopolar/Bipolar</v>
      </c>
      <c r="NUI115" s="196" t="s">
        <v>761</v>
      </c>
      <c r="NUJ115" s="197" t="str">
        <f>VLOOKUP(NUI115,[13]AssetDetails_UEM!$A$3:$AH$1849,6,FALSE)</f>
        <v>Electrosurgical Units, Monopolar/Bipolar</v>
      </c>
      <c r="NUK115" s="196" t="s">
        <v>761</v>
      </c>
      <c r="NUL115" s="197" t="str">
        <f>VLOOKUP(NUK115,[13]AssetDetails_UEM!$A$3:$AH$1849,6,FALSE)</f>
        <v>Electrosurgical Units, Monopolar/Bipolar</v>
      </c>
      <c r="NUM115" s="196" t="s">
        <v>761</v>
      </c>
      <c r="NUN115" s="197" t="str">
        <f>VLOOKUP(NUM115,[13]AssetDetails_UEM!$A$3:$AH$1849,6,FALSE)</f>
        <v>Electrosurgical Units, Monopolar/Bipolar</v>
      </c>
      <c r="NUO115" s="196" t="s">
        <v>761</v>
      </c>
      <c r="NUP115" s="197" t="str">
        <f>VLOOKUP(NUO115,[13]AssetDetails_UEM!$A$3:$AH$1849,6,FALSE)</f>
        <v>Electrosurgical Units, Monopolar/Bipolar</v>
      </c>
      <c r="NUQ115" s="196" t="s">
        <v>761</v>
      </c>
      <c r="NUR115" s="197" t="str">
        <f>VLOOKUP(NUQ115,[13]AssetDetails_UEM!$A$3:$AH$1849,6,FALSE)</f>
        <v>Electrosurgical Units, Monopolar/Bipolar</v>
      </c>
      <c r="NUS115" s="196" t="s">
        <v>761</v>
      </c>
      <c r="NUT115" s="197" t="str">
        <f>VLOOKUP(NUS115,[13]AssetDetails_UEM!$A$3:$AH$1849,6,FALSE)</f>
        <v>Electrosurgical Units, Monopolar/Bipolar</v>
      </c>
      <c r="NUU115" s="196" t="s">
        <v>761</v>
      </c>
      <c r="NUV115" s="197" t="str">
        <f>VLOOKUP(NUU115,[13]AssetDetails_UEM!$A$3:$AH$1849,6,FALSE)</f>
        <v>Electrosurgical Units, Monopolar/Bipolar</v>
      </c>
      <c r="NUW115" s="196" t="s">
        <v>761</v>
      </c>
      <c r="NUX115" s="197" t="str">
        <f>VLOOKUP(NUW115,[13]AssetDetails_UEM!$A$3:$AH$1849,6,FALSE)</f>
        <v>Electrosurgical Units, Monopolar/Bipolar</v>
      </c>
      <c r="NUY115" s="196" t="s">
        <v>761</v>
      </c>
      <c r="NUZ115" s="197" t="str">
        <f>VLOOKUP(NUY115,[13]AssetDetails_UEM!$A$3:$AH$1849,6,FALSE)</f>
        <v>Electrosurgical Units, Monopolar/Bipolar</v>
      </c>
      <c r="NVA115" s="196" t="s">
        <v>761</v>
      </c>
      <c r="NVB115" s="197" t="str">
        <f>VLOOKUP(NVA115,[13]AssetDetails_UEM!$A$3:$AH$1849,6,FALSE)</f>
        <v>Electrosurgical Units, Monopolar/Bipolar</v>
      </c>
      <c r="NVC115" s="196" t="s">
        <v>761</v>
      </c>
      <c r="NVD115" s="197" t="str">
        <f>VLOOKUP(NVC115,[13]AssetDetails_UEM!$A$3:$AH$1849,6,FALSE)</f>
        <v>Electrosurgical Units, Monopolar/Bipolar</v>
      </c>
      <c r="NVE115" s="196" t="s">
        <v>761</v>
      </c>
      <c r="NVF115" s="197" t="str">
        <f>VLOOKUP(NVE115,[13]AssetDetails_UEM!$A$3:$AH$1849,6,FALSE)</f>
        <v>Electrosurgical Units, Monopolar/Bipolar</v>
      </c>
      <c r="NVG115" s="196" t="s">
        <v>761</v>
      </c>
      <c r="NVH115" s="197" t="str">
        <f>VLOOKUP(NVG115,[13]AssetDetails_UEM!$A$3:$AH$1849,6,FALSE)</f>
        <v>Electrosurgical Units, Monopolar/Bipolar</v>
      </c>
      <c r="NVI115" s="196" t="s">
        <v>761</v>
      </c>
      <c r="NVJ115" s="197" t="str">
        <f>VLOOKUP(NVI115,[13]AssetDetails_UEM!$A$3:$AH$1849,6,FALSE)</f>
        <v>Electrosurgical Units, Monopolar/Bipolar</v>
      </c>
      <c r="NVK115" s="196" t="s">
        <v>761</v>
      </c>
      <c r="NVL115" s="197" t="str">
        <f>VLOOKUP(NVK115,[13]AssetDetails_UEM!$A$3:$AH$1849,6,FALSE)</f>
        <v>Electrosurgical Units, Monopolar/Bipolar</v>
      </c>
      <c r="NVM115" s="196" t="s">
        <v>761</v>
      </c>
      <c r="NVN115" s="197" t="str">
        <f>VLOOKUP(NVM115,[13]AssetDetails_UEM!$A$3:$AH$1849,6,FALSE)</f>
        <v>Electrosurgical Units, Monopolar/Bipolar</v>
      </c>
      <c r="NVO115" s="196" t="s">
        <v>761</v>
      </c>
      <c r="NVP115" s="197" t="str">
        <f>VLOOKUP(NVO115,[13]AssetDetails_UEM!$A$3:$AH$1849,6,FALSE)</f>
        <v>Electrosurgical Units, Monopolar/Bipolar</v>
      </c>
      <c r="NVQ115" s="196" t="s">
        <v>761</v>
      </c>
      <c r="NVR115" s="197" t="str">
        <f>VLOOKUP(NVQ115,[13]AssetDetails_UEM!$A$3:$AH$1849,6,FALSE)</f>
        <v>Electrosurgical Units, Monopolar/Bipolar</v>
      </c>
      <c r="NVS115" s="196" t="s">
        <v>761</v>
      </c>
      <c r="NVT115" s="197" t="str">
        <f>VLOOKUP(NVS115,[13]AssetDetails_UEM!$A$3:$AH$1849,6,FALSE)</f>
        <v>Electrosurgical Units, Monopolar/Bipolar</v>
      </c>
      <c r="NVU115" s="196" t="s">
        <v>761</v>
      </c>
      <c r="NVV115" s="197" t="str">
        <f>VLOOKUP(NVU115,[13]AssetDetails_UEM!$A$3:$AH$1849,6,FALSE)</f>
        <v>Electrosurgical Units, Monopolar/Bipolar</v>
      </c>
      <c r="NVW115" s="196" t="s">
        <v>761</v>
      </c>
      <c r="NVX115" s="197" t="str">
        <f>VLOOKUP(NVW115,[13]AssetDetails_UEM!$A$3:$AH$1849,6,FALSE)</f>
        <v>Electrosurgical Units, Monopolar/Bipolar</v>
      </c>
      <c r="NVY115" s="196" t="s">
        <v>761</v>
      </c>
      <c r="NVZ115" s="197" t="str">
        <f>VLOOKUP(NVY115,[13]AssetDetails_UEM!$A$3:$AH$1849,6,FALSE)</f>
        <v>Electrosurgical Units, Monopolar/Bipolar</v>
      </c>
      <c r="NWA115" s="196" t="s">
        <v>761</v>
      </c>
      <c r="NWB115" s="197" t="str">
        <f>VLOOKUP(NWA115,[13]AssetDetails_UEM!$A$3:$AH$1849,6,FALSE)</f>
        <v>Electrosurgical Units, Monopolar/Bipolar</v>
      </c>
      <c r="NWC115" s="196" t="s">
        <v>761</v>
      </c>
      <c r="NWD115" s="197" t="str">
        <f>VLOOKUP(NWC115,[13]AssetDetails_UEM!$A$3:$AH$1849,6,FALSE)</f>
        <v>Electrosurgical Units, Monopolar/Bipolar</v>
      </c>
      <c r="NWE115" s="196" t="s">
        <v>761</v>
      </c>
      <c r="NWF115" s="197" t="str">
        <f>VLOOKUP(NWE115,[13]AssetDetails_UEM!$A$3:$AH$1849,6,FALSE)</f>
        <v>Electrosurgical Units, Monopolar/Bipolar</v>
      </c>
      <c r="NWG115" s="196" t="s">
        <v>761</v>
      </c>
      <c r="NWH115" s="197" t="str">
        <f>VLOOKUP(NWG115,[13]AssetDetails_UEM!$A$3:$AH$1849,6,FALSE)</f>
        <v>Electrosurgical Units, Monopolar/Bipolar</v>
      </c>
      <c r="NWI115" s="196" t="s">
        <v>761</v>
      </c>
      <c r="NWJ115" s="197" t="str">
        <f>VLOOKUP(NWI115,[13]AssetDetails_UEM!$A$3:$AH$1849,6,FALSE)</f>
        <v>Electrosurgical Units, Monopolar/Bipolar</v>
      </c>
      <c r="NWK115" s="196" t="s">
        <v>761</v>
      </c>
      <c r="NWL115" s="197" t="str">
        <f>VLOOKUP(NWK115,[13]AssetDetails_UEM!$A$3:$AH$1849,6,FALSE)</f>
        <v>Electrosurgical Units, Monopolar/Bipolar</v>
      </c>
      <c r="NWM115" s="196" t="s">
        <v>761</v>
      </c>
      <c r="NWN115" s="197" t="str">
        <f>VLOOKUP(NWM115,[13]AssetDetails_UEM!$A$3:$AH$1849,6,FALSE)</f>
        <v>Electrosurgical Units, Monopolar/Bipolar</v>
      </c>
      <c r="NWO115" s="196" t="s">
        <v>761</v>
      </c>
      <c r="NWP115" s="197" t="str">
        <f>VLOOKUP(NWO115,[13]AssetDetails_UEM!$A$3:$AH$1849,6,FALSE)</f>
        <v>Electrosurgical Units, Monopolar/Bipolar</v>
      </c>
      <c r="NWQ115" s="196" t="s">
        <v>761</v>
      </c>
      <c r="NWR115" s="197" t="str">
        <f>VLOOKUP(NWQ115,[13]AssetDetails_UEM!$A$3:$AH$1849,6,FALSE)</f>
        <v>Electrosurgical Units, Monopolar/Bipolar</v>
      </c>
      <c r="NWS115" s="196" t="s">
        <v>761</v>
      </c>
      <c r="NWT115" s="197" t="str">
        <f>VLOOKUP(NWS115,[13]AssetDetails_UEM!$A$3:$AH$1849,6,FALSE)</f>
        <v>Electrosurgical Units, Monopolar/Bipolar</v>
      </c>
      <c r="NWU115" s="196" t="s">
        <v>761</v>
      </c>
      <c r="NWV115" s="197" t="str">
        <f>VLOOKUP(NWU115,[13]AssetDetails_UEM!$A$3:$AH$1849,6,FALSE)</f>
        <v>Electrosurgical Units, Monopolar/Bipolar</v>
      </c>
      <c r="NWW115" s="196" t="s">
        <v>761</v>
      </c>
      <c r="NWX115" s="197" t="str">
        <f>VLOOKUP(NWW115,[13]AssetDetails_UEM!$A$3:$AH$1849,6,FALSE)</f>
        <v>Electrosurgical Units, Monopolar/Bipolar</v>
      </c>
      <c r="NWY115" s="196" t="s">
        <v>761</v>
      </c>
      <c r="NWZ115" s="197" t="str">
        <f>VLOOKUP(NWY115,[13]AssetDetails_UEM!$A$3:$AH$1849,6,FALSE)</f>
        <v>Electrosurgical Units, Monopolar/Bipolar</v>
      </c>
      <c r="NXA115" s="196" t="s">
        <v>761</v>
      </c>
      <c r="NXB115" s="197" t="str">
        <f>VLOOKUP(NXA115,[13]AssetDetails_UEM!$A$3:$AH$1849,6,FALSE)</f>
        <v>Electrosurgical Units, Monopolar/Bipolar</v>
      </c>
      <c r="NXC115" s="196" t="s">
        <v>761</v>
      </c>
      <c r="NXD115" s="197" t="str">
        <f>VLOOKUP(NXC115,[13]AssetDetails_UEM!$A$3:$AH$1849,6,FALSE)</f>
        <v>Electrosurgical Units, Monopolar/Bipolar</v>
      </c>
      <c r="NXE115" s="196" t="s">
        <v>761</v>
      </c>
      <c r="NXF115" s="197" t="str">
        <f>VLOOKUP(NXE115,[13]AssetDetails_UEM!$A$3:$AH$1849,6,FALSE)</f>
        <v>Electrosurgical Units, Monopolar/Bipolar</v>
      </c>
      <c r="NXG115" s="196" t="s">
        <v>761</v>
      </c>
      <c r="NXH115" s="197" t="str">
        <f>VLOOKUP(NXG115,[13]AssetDetails_UEM!$A$3:$AH$1849,6,FALSE)</f>
        <v>Electrosurgical Units, Monopolar/Bipolar</v>
      </c>
      <c r="NXI115" s="196" t="s">
        <v>761</v>
      </c>
      <c r="NXJ115" s="197" t="str">
        <f>VLOOKUP(NXI115,[13]AssetDetails_UEM!$A$3:$AH$1849,6,FALSE)</f>
        <v>Electrosurgical Units, Monopolar/Bipolar</v>
      </c>
      <c r="NXK115" s="196" t="s">
        <v>761</v>
      </c>
      <c r="NXL115" s="197" t="str">
        <f>VLOOKUP(NXK115,[13]AssetDetails_UEM!$A$3:$AH$1849,6,FALSE)</f>
        <v>Electrosurgical Units, Monopolar/Bipolar</v>
      </c>
      <c r="NXM115" s="196" t="s">
        <v>761</v>
      </c>
      <c r="NXN115" s="197" t="str">
        <f>VLOOKUP(NXM115,[13]AssetDetails_UEM!$A$3:$AH$1849,6,FALSE)</f>
        <v>Electrosurgical Units, Monopolar/Bipolar</v>
      </c>
      <c r="NXO115" s="196" t="s">
        <v>761</v>
      </c>
      <c r="NXP115" s="197" t="str">
        <f>VLOOKUP(NXO115,[13]AssetDetails_UEM!$A$3:$AH$1849,6,FALSE)</f>
        <v>Electrosurgical Units, Monopolar/Bipolar</v>
      </c>
      <c r="NXQ115" s="196" t="s">
        <v>761</v>
      </c>
      <c r="NXR115" s="197" t="str">
        <f>VLOOKUP(NXQ115,[13]AssetDetails_UEM!$A$3:$AH$1849,6,FALSE)</f>
        <v>Electrosurgical Units, Monopolar/Bipolar</v>
      </c>
      <c r="NXS115" s="196" t="s">
        <v>761</v>
      </c>
      <c r="NXT115" s="197" t="str">
        <f>VLOOKUP(NXS115,[13]AssetDetails_UEM!$A$3:$AH$1849,6,FALSE)</f>
        <v>Electrosurgical Units, Monopolar/Bipolar</v>
      </c>
      <c r="NXU115" s="196" t="s">
        <v>761</v>
      </c>
      <c r="NXV115" s="197" t="str">
        <f>VLOOKUP(NXU115,[13]AssetDetails_UEM!$A$3:$AH$1849,6,FALSE)</f>
        <v>Electrosurgical Units, Monopolar/Bipolar</v>
      </c>
      <c r="NXW115" s="196" t="s">
        <v>761</v>
      </c>
      <c r="NXX115" s="197" t="str">
        <f>VLOOKUP(NXW115,[13]AssetDetails_UEM!$A$3:$AH$1849,6,FALSE)</f>
        <v>Electrosurgical Units, Monopolar/Bipolar</v>
      </c>
      <c r="NXY115" s="196" t="s">
        <v>761</v>
      </c>
      <c r="NXZ115" s="197" t="str">
        <f>VLOOKUP(NXY115,[13]AssetDetails_UEM!$A$3:$AH$1849,6,FALSE)</f>
        <v>Electrosurgical Units, Monopolar/Bipolar</v>
      </c>
      <c r="NYA115" s="196" t="s">
        <v>761</v>
      </c>
      <c r="NYB115" s="197" t="str">
        <f>VLOOKUP(NYA115,[13]AssetDetails_UEM!$A$3:$AH$1849,6,FALSE)</f>
        <v>Electrosurgical Units, Monopolar/Bipolar</v>
      </c>
      <c r="NYC115" s="196" t="s">
        <v>761</v>
      </c>
      <c r="NYD115" s="197" t="str">
        <f>VLOOKUP(NYC115,[13]AssetDetails_UEM!$A$3:$AH$1849,6,FALSE)</f>
        <v>Electrosurgical Units, Monopolar/Bipolar</v>
      </c>
      <c r="NYE115" s="196" t="s">
        <v>761</v>
      </c>
      <c r="NYF115" s="197" t="str">
        <f>VLOOKUP(NYE115,[13]AssetDetails_UEM!$A$3:$AH$1849,6,FALSE)</f>
        <v>Electrosurgical Units, Monopolar/Bipolar</v>
      </c>
      <c r="NYG115" s="196" t="s">
        <v>761</v>
      </c>
      <c r="NYH115" s="197" t="str">
        <f>VLOOKUP(NYG115,[13]AssetDetails_UEM!$A$3:$AH$1849,6,FALSE)</f>
        <v>Electrosurgical Units, Monopolar/Bipolar</v>
      </c>
      <c r="NYI115" s="196" t="s">
        <v>761</v>
      </c>
      <c r="NYJ115" s="197" t="str">
        <f>VLOOKUP(NYI115,[13]AssetDetails_UEM!$A$3:$AH$1849,6,FALSE)</f>
        <v>Electrosurgical Units, Monopolar/Bipolar</v>
      </c>
      <c r="NYK115" s="196" t="s">
        <v>761</v>
      </c>
      <c r="NYL115" s="197" t="str">
        <f>VLOOKUP(NYK115,[13]AssetDetails_UEM!$A$3:$AH$1849,6,FALSE)</f>
        <v>Electrosurgical Units, Monopolar/Bipolar</v>
      </c>
      <c r="NYM115" s="196" t="s">
        <v>761</v>
      </c>
      <c r="NYN115" s="197" t="str">
        <f>VLOOKUP(NYM115,[13]AssetDetails_UEM!$A$3:$AH$1849,6,FALSE)</f>
        <v>Electrosurgical Units, Monopolar/Bipolar</v>
      </c>
      <c r="NYO115" s="196" t="s">
        <v>761</v>
      </c>
      <c r="NYP115" s="197" t="str">
        <f>VLOOKUP(NYO115,[13]AssetDetails_UEM!$A$3:$AH$1849,6,FALSE)</f>
        <v>Electrosurgical Units, Monopolar/Bipolar</v>
      </c>
      <c r="NYQ115" s="196" t="s">
        <v>761</v>
      </c>
      <c r="NYR115" s="197" t="str">
        <f>VLOOKUP(NYQ115,[13]AssetDetails_UEM!$A$3:$AH$1849,6,FALSE)</f>
        <v>Electrosurgical Units, Monopolar/Bipolar</v>
      </c>
      <c r="NYS115" s="196" t="s">
        <v>761</v>
      </c>
      <c r="NYT115" s="197" t="str">
        <f>VLOOKUP(NYS115,[13]AssetDetails_UEM!$A$3:$AH$1849,6,FALSE)</f>
        <v>Electrosurgical Units, Monopolar/Bipolar</v>
      </c>
      <c r="NYU115" s="196" t="s">
        <v>761</v>
      </c>
      <c r="NYV115" s="197" t="str">
        <f>VLOOKUP(NYU115,[13]AssetDetails_UEM!$A$3:$AH$1849,6,FALSE)</f>
        <v>Electrosurgical Units, Monopolar/Bipolar</v>
      </c>
      <c r="NYW115" s="196" t="s">
        <v>761</v>
      </c>
      <c r="NYX115" s="197" t="str">
        <f>VLOOKUP(NYW115,[13]AssetDetails_UEM!$A$3:$AH$1849,6,FALSE)</f>
        <v>Electrosurgical Units, Monopolar/Bipolar</v>
      </c>
      <c r="NYY115" s="196" t="s">
        <v>761</v>
      </c>
      <c r="NYZ115" s="197" t="str">
        <f>VLOOKUP(NYY115,[13]AssetDetails_UEM!$A$3:$AH$1849,6,FALSE)</f>
        <v>Electrosurgical Units, Monopolar/Bipolar</v>
      </c>
      <c r="NZA115" s="196" t="s">
        <v>761</v>
      </c>
      <c r="NZB115" s="197" t="str">
        <f>VLOOKUP(NZA115,[13]AssetDetails_UEM!$A$3:$AH$1849,6,FALSE)</f>
        <v>Electrosurgical Units, Monopolar/Bipolar</v>
      </c>
      <c r="NZC115" s="196" t="s">
        <v>761</v>
      </c>
      <c r="NZD115" s="197" t="str">
        <f>VLOOKUP(NZC115,[13]AssetDetails_UEM!$A$3:$AH$1849,6,FALSE)</f>
        <v>Electrosurgical Units, Monopolar/Bipolar</v>
      </c>
      <c r="NZE115" s="196" t="s">
        <v>761</v>
      </c>
      <c r="NZF115" s="197" t="str">
        <f>VLOOKUP(NZE115,[13]AssetDetails_UEM!$A$3:$AH$1849,6,FALSE)</f>
        <v>Electrosurgical Units, Monopolar/Bipolar</v>
      </c>
      <c r="NZG115" s="196" t="s">
        <v>761</v>
      </c>
      <c r="NZH115" s="197" t="str">
        <f>VLOOKUP(NZG115,[13]AssetDetails_UEM!$A$3:$AH$1849,6,FALSE)</f>
        <v>Electrosurgical Units, Monopolar/Bipolar</v>
      </c>
      <c r="NZI115" s="196" t="s">
        <v>761</v>
      </c>
      <c r="NZJ115" s="197" t="str">
        <f>VLOOKUP(NZI115,[13]AssetDetails_UEM!$A$3:$AH$1849,6,FALSE)</f>
        <v>Electrosurgical Units, Monopolar/Bipolar</v>
      </c>
      <c r="NZK115" s="196" t="s">
        <v>761</v>
      </c>
      <c r="NZL115" s="197" t="str">
        <f>VLOOKUP(NZK115,[13]AssetDetails_UEM!$A$3:$AH$1849,6,FALSE)</f>
        <v>Electrosurgical Units, Monopolar/Bipolar</v>
      </c>
      <c r="NZM115" s="196" t="s">
        <v>761</v>
      </c>
      <c r="NZN115" s="197" t="str">
        <f>VLOOKUP(NZM115,[13]AssetDetails_UEM!$A$3:$AH$1849,6,FALSE)</f>
        <v>Electrosurgical Units, Monopolar/Bipolar</v>
      </c>
      <c r="NZO115" s="196" t="s">
        <v>761</v>
      </c>
      <c r="NZP115" s="197" t="str">
        <f>VLOOKUP(NZO115,[13]AssetDetails_UEM!$A$3:$AH$1849,6,FALSE)</f>
        <v>Electrosurgical Units, Monopolar/Bipolar</v>
      </c>
      <c r="NZQ115" s="196" t="s">
        <v>761</v>
      </c>
      <c r="NZR115" s="197" t="str">
        <f>VLOOKUP(NZQ115,[13]AssetDetails_UEM!$A$3:$AH$1849,6,FALSE)</f>
        <v>Electrosurgical Units, Monopolar/Bipolar</v>
      </c>
      <c r="NZS115" s="196" t="s">
        <v>761</v>
      </c>
      <c r="NZT115" s="197" t="str">
        <f>VLOOKUP(NZS115,[13]AssetDetails_UEM!$A$3:$AH$1849,6,FALSE)</f>
        <v>Electrosurgical Units, Monopolar/Bipolar</v>
      </c>
      <c r="NZU115" s="196" t="s">
        <v>761</v>
      </c>
      <c r="NZV115" s="197" t="str">
        <f>VLOOKUP(NZU115,[13]AssetDetails_UEM!$A$3:$AH$1849,6,FALSE)</f>
        <v>Electrosurgical Units, Monopolar/Bipolar</v>
      </c>
      <c r="NZW115" s="196" t="s">
        <v>761</v>
      </c>
      <c r="NZX115" s="197" t="str">
        <f>VLOOKUP(NZW115,[13]AssetDetails_UEM!$A$3:$AH$1849,6,FALSE)</f>
        <v>Electrosurgical Units, Monopolar/Bipolar</v>
      </c>
      <c r="NZY115" s="196" t="s">
        <v>761</v>
      </c>
      <c r="NZZ115" s="197" t="str">
        <f>VLOOKUP(NZY115,[13]AssetDetails_UEM!$A$3:$AH$1849,6,FALSE)</f>
        <v>Electrosurgical Units, Monopolar/Bipolar</v>
      </c>
      <c r="OAA115" s="196" t="s">
        <v>761</v>
      </c>
      <c r="OAB115" s="197" t="str">
        <f>VLOOKUP(OAA115,[13]AssetDetails_UEM!$A$3:$AH$1849,6,FALSE)</f>
        <v>Electrosurgical Units, Monopolar/Bipolar</v>
      </c>
      <c r="OAC115" s="196" t="s">
        <v>761</v>
      </c>
      <c r="OAD115" s="197" t="str">
        <f>VLOOKUP(OAC115,[13]AssetDetails_UEM!$A$3:$AH$1849,6,FALSE)</f>
        <v>Electrosurgical Units, Monopolar/Bipolar</v>
      </c>
      <c r="OAE115" s="196" t="s">
        <v>761</v>
      </c>
      <c r="OAF115" s="197" t="str">
        <f>VLOOKUP(OAE115,[13]AssetDetails_UEM!$A$3:$AH$1849,6,FALSE)</f>
        <v>Electrosurgical Units, Monopolar/Bipolar</v>
      </c>
      <c r="OAG115" s="196" t="s">
        <v>761</v>
      </c>
      <c r="OAH115" s="197" t="str">
        <f>VLOOKUP(OAG115,[13]AssetDetails_UEM!$A$3:$AH$1849,6,FALSE)</f>
        <v>Electrosurgical Units, Monopolar/Bipolar</v>
      </c>
      <c r="OAI115" s="196" t="s">
        <v>761</v>
      </c>
      <c r="OAJ115" s="197" t="str">
        <f>VLOOKUP(OAI115,[13]AssetDetails_UEM!$A$3:$AH$1849,6,FALSE)</f>
        <v>Electrosurgical Units, Monopolar/Bipolar</v>
      </c>
      <c r="OAK115" s="196" t="s">
        <v>761</v>
      </c>
      <c r="OAL115" s="197" t="str">
        <f>VLOOKUP(OAK115,[13]AssetDetails_UEM!$A$3:$AH$1849,6,FALSE)</f>
        <v>Electrosurgical Units, Monopolar/Bipolar</v>
      </c>
      <c r="OAM115" s="196" t="s">
        <v>761</v>
      </c>
      <c r="OAN115" s="197" t="str">
        <f>VLOOKUP(OAM115,[13]AssetDetails_UEM!$A$3:$AH$1849,6,FALSE)</f>
        <v>Electrosurgical Units, Monopolar/Bipolar</v>
      </c>
      <c r="OAO115" s="196" t="s">
        <v>761</v>
      </c>
      <c r="OAP115" s="197" t="str">
        <f>VLOOKUP(OAO115,[13]AssetDetails_UEM!$A$3:$AH$1849,6,FALSE)</f>
        <v>Electrosurgical Units, Monopolar/Bipolar</v>
      </c>
      <c r="OAQ115" s="196" t="s">
        <v>761</v>
      </c>
      <c r="OAR115" s="197" t="str">
        <f>VLOOKUP(OAQ115,[13]AssetDetails_UEM!$A$3:$AH$1849,6,FALSE)</f>
        <v>Electrosurgical Units, Monopolar/Bipolar</v>
      </c>
      <c r="OAS115" s="196" t="s">
        <v>761</v>
      </c>
      <c r="OAT115" s="197" t="str">
        <f>VLOOKUP(OAS115,[13]AssetDetails_UEM!$A$3:$AH$1849,6,FALSE)</f>
        <v>Electrosurgical Units, Monopolar/Bipolar</v>
      </c>
      <c r="OAU115" s="196" t="s">
        <v>761</v>
      </c>
      <c r="OAV115" s="197" t="str">
        <f>VLOOKUP(OAU115,[13]AssetDetails_UEM!$A$3:$AH$1849,6,FALSE)</f>
        <v>Electrosurgical Units, Monopolar/Bipolar</v>
      </c>
      <c r="OAW115" s="196" t="s">
        <v>761</v>
      </c>
      <c r="OAX115" s="197" t="str">
        <f>VLOOKUP(OAW115,[13]AssetDetails_UEM!$A$3:$AH$1849,6,FALSE)</f>
        <v>Electrosurgical Units, Monopolar/Bipolar</v>
      </c>
      <c r="OAY115" s="196" t="s">
        <v>761</v>
      </c>
      <c r="OAZ115" s="197" t="str">
        <f>VLOOKUP(OAY115,[13]AssetDetails_UEM!$A$3:$AH$1849,6,FALSE)</f>
        <v>Electrosurgical Units, Monopolar/Bipolar</v>
      </c>
      <c r="OBA115" s="196" t="s">
        <v>761</v>
      </c>
      <c r="OBB115" s="197" t="str">
        <f>VLOOKUP(OBA115,[13]AssetDetails_UEM!$A$3:$AH$1849,6,FALSE)</f>
        <v>Electrosurgical Units, Monopolar/Bipolar</v>
      </c>
      <c r="OBC115" s="196" t="s">
        <v>761</v>
      </c>
      <c r="OBD115" s="197" t="str">
        <f>VLOOKUP(OBC115,[13]AssetDetails_UEM!$A$3:$AH$1849,6,FALSE)</f>
        <v>Electrosurgical Units, Monopolar/Bipolar</v>
      </c>
      <c r="OBE115" s="196" t="s">
        <v>761</v>
      </c>
      <c r="OBF115" s="197" t="str">
        <f>VLOOKUP(OBE115,[13]AssetDetails_UEM!$A$3:$AH$1849,6,FALSE)</f>
        <v>Electrosurgical Units, Monopolar/Bipolar</v>
      </c>
      <c r="OBG115" s="196" t="s">
        <v>761</v>
      </c>
      <c r="OBH115" s="197" t="str">
        <f>VLOOKUP(OBG115,[13]AssetDetails_UEM!$A$3:$AH$1849,6,FALSE)</f>
        <v>Electrosurgical Units, Monopolar/Bipolar</v>
      </c>
      <c r="OBI115" s="196" t="s">
        <v>761</v>
      </c>
      <c r="OBJ115" s="197" t="str">
        <f>VLOOKUP(OBI115,[13]AssetDetails_UEM!$A$3:$AH$1849,6,FALSE)</f>
        <v>Electrosurgical Units, Monopolar/Bipolar</v>
      </c>
      <c r="OBK115" s="196" t="s">
        <v>761</v>
      </c>
      <c r="OBL115" s="197" t="str">
        <f>VLOOKUP(OBK115,[13]AssetDetails_UEM!$A$3:$AH$1849,6,FALSE)</f>
        <v>Electrosurgical Units, Monopolar/Bipolar</v>
      </c>
      <c r="OBM115" s="196" t="s">
        <v>761</v>
      </c>
      <c r="OBN115" s="197" t="str">
        <f>VLOOKUP(OBM115,[13]AssetDetails_UEM!$A$3:$AH$1849,6,FALSE)</f>
        <v>Electrosurgical Units, Monopolar/Bipolar</v>
      </c>
      <c r="OBO115" s="196" t="s">
        <v>761</v>
      </c>
      <c r="OBP115" s="197" t="str">
        <f>VLOOKUP(OBO115,[13]AssetDetails_UEM!$A$3:$AH$1849,6,FALSE)</f>
        <v>Electrosurgical Units, Monopolar/Bipolar</v>
      </c>
      <c r="OBQ115" s="196" t="s">
        <v>761</v>
      </c>
      <c r="OBR115" s="197" t="str">
        <f>VLOOKUP(OBQ115,[13]AssetDetails_UEM!$A$3:$AH$1849,6,FALSE)</f>
        <v>Electrosurgical Units, Monopolar/Bipolar</v>
      </c>
      <c r="OBS115" s="196" t="s">
        <v>761</v>
      </c>
      <c r="OBT115" s="197" t="str">
        <f>VLOOKUP(OBS115,[13]AssetDetails_UEM!$A$3:$AH$1849,6,FALSE)</f>
        <v>Electrosurgical Units, Monopolar/Bipolar</v>
      </c>
      <c r="OBU115" s="196" t="s">
        <v>761</v>
      </c>
      <c r="OBV115" s="197" t="str">
        <f>VLOOKUP(OBU115,[13]AssetDetails_UEM!$A$3:$AH$1849,6,FALSE)</f>
        <v>Electrosurgical Units, Monopolar/Bipolar</v>
      </c>
      <c r="OBW115" s="196" t="s">
        <v>761</v>
      </c>
      <c r="OBX115" s="197" t="str">
        <f>VLOOKUP(OBW115,[13]AssetDetails_UEM!$A$3:$AH$1849,6,FALSE)</f>
        <v>Electrosurgical Units, Monopolar/Bipolar</v>
      </c>
      <c r="OBY115" s="196" t="s">
        <v>761</v>
      </c>
      <c r="OBZ115" s="197" t="str">
        <f>VLOOKUP(OBY115,[13]AssetDetails_UEM!$A$3:$AH$1849,6,FALSE)</f>
        <v>Electrosurgical Units, Monopolar/Bipolar</v>
      </c>
      <c r="OCA115" s="196" t="s">
        <v>761</v>
      </c>
      <c r="OCB115" s="197" t="str">
        <f>VLOOKUP(OCA115,[13]AssetDetails_UEM!$A$3:$AH$1849,6,FALSE)</f>
        <v>Electrosurgical Units, Monopolar/Bipolar</v>
      </c>
      <c r="OCC115" s="196" t="s">
        <v>761</v>
      </c>
      <c r="OCD115" s="197" t="str">
        <f>VLOOKUP(OCC115,[13]AssetDetails_UEM!$A$3:$AH$1849,6,FALSE)</f>
        <v>Electrosurgical Units, Monopolar/Bipolar</v>
      </c>
      <c r="OCE115" s="196" t="s">
        <v>761</v>
      </c>
      <c r="OCF115" s="197" t="str">
        <f>VLOOKUP(OCE115,[13]AssetDetails_UEM!$A$3:$AH$1849,6,FALSE)</f>
        <v>Electrosurgical Units, Monopolar/Bipolar</v>
      </c>
      <c r="OCG115" s="196" t="s">
        <v>761</v>
      </c>
      <c r="OCH115" s="197" t="str">
        <f>VLOOKUP(OCG115,[13]AssetDetails_UEM!$A$3:$AH$1849,6,FALSE)</f>
        <v>Electrosurgical Units, Monopolar/Bipolar</v>
      </c>
      <c r="OCI115" s="196" t="s">
        <v>761</v>
      </c>
      <c r="OCJ115" s="197" t="str">
        <f>VLOOKUP(OCI115,[13]AssetDetails_UEM!$A$3:$AH$1849,6,FALSE)</f>
        <v>Electrosurgical Units, Monopolar/Bipolar</v>
      </c>
      <c r="OCK115" s="196" t="s">
        <v>761</v>
      </c>
      <c r="OCL115" s="197" t="str">
        <f>VLOOKUP(OCK115,[13]AssetDetails_UEM!$A$3:$AH$1849,6,FALSE)</f>
        <v>Electrosurgical Units, Monopolar/Bipolar</v>
      </c>
      <c r="OCM115" s="196" t="s">
        <v>761</v>
      </c>
      <c r="OCN115" s="197" t="str">
        <f>VLOOKUP(OCM115,[13]AssetDetails_UEM!$A$3:$AH$1849,6,FALSE)</f>
        <v>Electrosurgical Units, Monopolar/Bipolar</v>
      </c>
      <c r="OCO115" s="196" t="s">
        <v>761</v>
      </c>
      <c r="OCP115" s="197" t="str">
        <f>VLOOKUP(OCO115,[13]AssetDetails_UEM!$A$3:$AH$1849,6,FALSE)</f>
        <v>Electrosurgical Units, Monopolar/Bipolar</v>
      </c>
      <c r="OCQ115" s="196" t="s">
        <v>761</v>
      </c>
      <c r="OCR115" s="197" t="str">
        <f>VLOOKUP(OCQ115,[13]AssetDetails_UEM!$A$3:$AH$1849,6,FALSE)</f>
        <v>Electrosurgical Units, Monopolar/Bipolar</v>
      </c>
      <c r="OCS115" s="196" t="s">
        <v>761</v>
      </c>
      <c r="OCT115" s="197" t="str">
        <f>VLOOKUP(OCS115,[13]AssetDetails_UEM!$A$3:$AH$1849,6,FALSE)</f>
        <v>Electrosurgical Units, Monopolar/Bipolar</v>
      </c>
      <c r="OCU115" s="196" t="s">
        <v>761</v>
      </c>
      <c r="OCV115" s="197" t="str">
        <f>VLOOKUP(OCU115,[13]AssetDetails_UEM!$A$3:$AH$1849,6,FALSE)</f>
        <v>Electrosurgical Units, Monopolar/Bipolar</v>
      </c>
      <c r="OCW115" s="196" t="s">
        <v>761</v>
      </c>
      <c r="OCX115" s="197" t="str">
        <f>VLOOKUP(OCW115,[13]AssetDetails_UEM!$A$3:$AH$1849,6,FALSE)</f>
        <v>Electrosurgical Units, Monopolar/Bipolar</v>
      </c>
      <c r="OCY115" s="196" t="s">
        <v>761</v>
      </c>
      <c r="OCZ115" s="197" t="str">
        <f>VLOOKUP(OCY115,[13]AssetDetails_UEM!$A$3:$AH$1849,6,FALSE)</f>
        <v>Electrosurgical Units, Monopolar/Bipolar</v>
      </c>
      <c r="ODA115" s="196" t="s">
        <v>761</v>
      </c>
      <c r="ODB115" s="197" t="str">
        <f>VLOOKUP(ODA115,[13]AssetDetails_UEM!$A$3:$AH$1849,6,FALSE)</f>
        <v>Electrosurgical Units, Monopolar/Bipolar</v>
      </c>
      <c r="ODC115" s="196" t="s">
        <v>761</v>
      </c>
      <c r="ODD115" s="197" t="str">
        <f>VLOOKUP(ODC115,[13]AssetDetails_UEM!$A$3:$AH$1849,6,FALSE)</f>
        <v>Electrosurgical Units, Monopolar/Bipolar</v>
      </c>
      <c r="ODE115" s="196" t="s">
        <v>761</v>
      </c>
      <c r="ODF115" s="197" t="str">
        <f>VLOOKUP(ODE115,[13]AssetDetails_UEM!$A$3:$AH$1849,6,FALSE)</f>
        <v>Electrosurgical Units, Monopolar/Bipolar</v>
      </c>
      <c r="ODG115" s="196" t="s">
        <v>761</v>
      </c>
      <c r="ODH115" s="197" t="str">
        <f>VLOOKUP(ODG115,[13]AssetDetails_UEM!$A$3:$AH$1849,6,FALSE)</f>
        <v>Electrosurgical Units, Monopolar/Bipolar</v>
      </c>
      <c r="ODI115" s="196" t="s">
        <v>761</v>
      </c>
      <c r="ODJ115" s="197" t="str">
        <f>VLOOKUP(ODI115,[13]AssetDetails_UEM!$A$3:$AH$1849,6,FALSE)</f>
        <v>Electrosurgical Units, Monopolar/Bipolar</v>
      </c>
      <c r="ODK115" s="196" t="s">
        <v>761</v>
      </c>
      <c r="ODL115" s="197" t="str">
        <f>VLOOKUP(ODK115,[13]AssetDetails_UEM!$A$3:$AH$1849,6,FALSE)</f>
        <v>Electrosurgical Units, Monopolar/Bipolar</v>
      </c>
      <c r="ODM115" s="196" t="s">
        <v>761</v>
      </c>
      <c r="ODN115" s="197" t="str">
        <f>VLOOKUP(ODM115,[13]AssetDetails_UEM!$A$3:$AH$1849,6,FALSE)</f>
        <v>Electrosurgical Units, Monopolar/Bipolar</v>
      </c>
      <c r="ODO115" s="196" t="s">
        <v>761</v>
      </c>
      <c r="ODP115" s="197" t="str">
        <f>VLOOKUP(ODO115,[13]AssetDetails_UEM!$A$3:$AH$1849,6,FALSE)</f>
        <v>Electrosurgical Units, Monopolar/Bipolar</v>
      </c>
      <c r="ODQ115" s="196" t="s">
        <v>761</v>
      </c>
      <c r="ODR115" s="197" t="str">
        <f>VLOOKUP(ODQ115,[13]AssetDetails_UEM!$A$3:$AH$1849,6,FALSE)</f>
        <v>Electrosurgical Units, Monopolar/Bipolar</v>
      </c>
      <c r="ODS115" s="196" t="s">
        <v>761</v>
      </c>
      <c r="ODT115" s="197" t="str">
        <f>VLOOKUP(ODS115,[13]AssetDetails_UEM!$A$3:$AH$1849,6,FALSE)</f>
        <v>Electrosurgical Units, Monopolar/Bipolar</v>
      </c>
      <c r="ODU115" s="196" t="s">
        <v>761</v>
      </c>
      <c r="ODV115" s="197" t="str">
        <f>VLOOKUP(ODU115,[13]AssetDetails_UEM!$A$3:$AH$1849,6,FALSE)</f>
        <v>Electrosurgical Units, Monopolar/Bipolar</v>
      </c>
      <c r="ODW115" s="196" t="s">
        <v>761</v>
      </c>
      <c r="ODX115" s="197" t="str">
        <f>VLOOKUP(ODW115,[13]AssetDetails_UEM!$A$3:$AH$1849,6,FALSE)</f>
        <v>Electrosurgical Units, Monopolar/Bipolar</v>
      </c>
      <c r="ODY115" s="196" t="s">
        <v>761</v>
      </c>
      <c r="ODZ115" s="197" t="str">
        <f>VLOOKUP(ODY115,[13]AssetDetails_UEM!$A$3:$AH$1849,6,FALSE)</f>
        <v>Electrosurgical Units, Monopolar/Bipolar</v>
      </c>
      <c r="OEA115" s="196" t="s">
        <v>761</v>
      </c>
      <c r="OEB115" s="197" t="str">
        <f>VLOOKUP(OEA115,[13]AssetDetails_UEM!$A$3:$AH$1849,6,FALSE)</f>
        <v>Electrosurgical Units, Monopolar/Bipolar</v>
      </c>
      <c r="OEC115" s="196" t="s">
        <v>761</v>
      </c>
      <c r="OED115" s="197" t="str">
        <f>VLOOKUP(OEC115,[13]AssetDetails_UEM!$A$3:$AH$1849,6,FALSE)</f>
        <v>Electrosurgical Units, Monopolar/Bipolar</v>
      </c>
      <c r="OEE115" s="196" t="s">
        <v>761</v>
      </c>
      <c r="OEF115" s="197" t="str">
        <f>VLOOKUP(OEE115,[13]AssetDetails_UEM!$A$3:$AH$1849,6,FALSE)</f>
        <v>Electrosurgical Units, Monopolar/Bipolar</v>
      </c>
      <c r="OEG115" s="196" t="s">
        <v>761</v>
      </c>
      <c r="OEH115" s="197" t="str">
        <f>VLOOKUP(OEG115,[13]AssetDetails_UEM!$A$3:$AH$1849,6,FALSE)</f>
        <v>Electrosurgical Units, Monopolar/Bipolar</v>
      </c>
      <c r="OEI115" s="196" t="s">
        <v>761</v>
      </c>
      <c r="OEJ115" s="197" t="str">
        <f>VLOOKUP(OEI115,[13]AssetDetails_UEM!$A$3:$AH$1849,6,FALSE)</f>
        <v>Electrosurgical Units, Monopolar/Bipolar</v>
      </c>
      <c r="OEK115" s="196" t="s">
        <v>761</v>
      </c>
      <c r="OEL115" s="197" t="str">
        <f>VLOOKUP(OEK115,[13]AssetDetails_UEM!$A$3:$AH$1849,6,FALSE)</f>
        <v>Electrosurgical Units, Monopolar/Bipolar</v>
      </c>
      <c r="OEM115" s="196" t="s">
        <v>761</v>
      </c>
      <c r="OEN115" s="197" t="str">
        <f>VLOOKUP(OEM115,[13]AssetDetails_UEM!$A$3:$AH$1849,6,FALSE)</f>
        <v>Electrosurgical Units, Monopolar/Bipolar</v>
      </c>
      <c r="OEO115" s="196" t="s">
        <v>761</v>
      </c>
      <c r="OEP115" s="197" t="str">
        <f>VLOOKUP(OEO115,[13]AssetDetails_UEM!$A$3:$AH$1849,6,FALSE)</f>
        <v>Electrosurgical Units, Monopolar/Bipolar</v>
      </c>
      <c r="OEQ115" s="196" t="s">
        <v>761</v>
      </c>
      <c r="OER115" s="197" t="str">
        <f>VLOOKUP(OEQ115,[13]AssetDetails_UEM!$A$3:$AH$1849,6,FALSE)</f>
        <v>Electrosurgical Units, Monopolar/Bipolar</v>
      </c>
      <c r="OES115" s="196" t="s">
        <v>761</v>
      </c>
      <c r="OET115" s="197" t="str">
        <f>VLOOKUP(OES115,[13]AssetDetails_UEM!$A$3:$AH$1849,6,FALSE)</f>
        <v>Electrosurgical Units, Monopolar/Bipolar</v>
      </c>
      <c r="OEU115" s="196" t="s">
        <v>761</v>
      </c>
      <c r="OEV115" s="197" t="str">
        <f>VLOOKUP(OEU115,[13]AssetDetails_UEM!$A$3:$AH$1849,6,FALSE)</f>
        <v>Electrosurgical Units, Monopolar/Bipolar</v>
      </c>
      <c r="OEW115" s="196" t="s">
        <v>761</v>
      </c>
      <c r="OEX115" s="197" t="str">
        <f>VLOOKUP(OEW115,[13]AssetDetails_UEM!$A$3:$AH$1849,6,FALSE)</f>
        <v>Electrosurgical Units, Monopolar/Bipolar</v>
      </c>
      <c r="OEY115" s="196" t="s">
        <v>761</v>
      </c>
      <c r="OEZ115" s="197" t="str">
        <f>VLOOKUP(OEY115,[13]AssetDetails_UEM!$A$3:$AH$1849,6,FALSE)</f>
        <v>Electrosurgical Units, Monopolar/Bipolar</v>
      </c>
      <c r="OFA115" s="196" t="s">
        <v>761</v>
      </c>
      <c r="OFB115" s="197" t="str">
        <f>VLOOKUP(OFA115,[13]AssetDetails_UEM!$A$3:$AH$1849,6,FALSE)</f>
        <v>Electrosurgical Units, Monopolar/Bipolar</v>
      </c>
      <c r="OFC115" s="196" t="s">
        <v>761</v>
      </c>
      <c r="OFD115" s="197" t="str">
        <f>VLOOKUP(OFC115,[13]AssetDetails_UEM!$A$3:$AH$1849,6,FALSE)</f>
        <v>Electrosurgical Units, Monopolar/Bipolar</v>
      </c>
      <c r="OFE115" s="196" t="s">
        <v>761</v>
      </c>
      <c r="OFF115" s="197" t="str">
        <f>VLOOKUP(OFE115,[13]AssetDetails_UEM!$A$3:$AH$1849,6,FALSE)</f>
        <v>Electrosurgical Units, Monopolar/Bipolar</v>
      </c>
      <c r="OFG115" s="196" t="s">
        <v>761</v>
      </c>
      <c r="OFH115" s="197" t="str">
        <f>VLOOKUP(OFG115,[13]AssetDetails_UEM!$A$3:$AH$1849,6,FALSE)</f>
        <v>Electrosurgical Units, Monopolar/Bipolar</v>
      </c>
      <c r="OFI115" s="196" t="s">
        <v>761</v>
      </c>
      <c r="OFJ115" s="197" t="str">
        <f>VLOOKUP(OFI115,[13]AssetDetails_UEM!$A$3:$AH$1849,6,FALSE)</f>
        <v>Electrosurgical Units, Monopolar/Bipolar</v>
      </c>
      <c r="OFK115" s="196" t="s">
        <v>761</v>
      </c>
      <c r="OFL115" s="197" t="str">
        <f>VLOOKUP(OFK115,[13]AssetDetails_UEM!$A$3:$AH$1849,6,FALSE)</f>
        <v>Electrosurgical Units, Monopolar/Bipolar</v>
      </c>
      <c r="OFM115" s="196" t="s">
        <v>761</v>
      </c>
      <c r="OFN115" s="197" t="str">
        <f>VLOOKUP(OFM115,[13]AssetDetails_UEM!$A$3:$AH$1849,6,FALSE)</f>
        <v>Electrosurgical Units, Monopolar/Bipolar</v>
      </c>
      <c r="OFO115" s="196" t="s">
        <v>761</v>
      </c>
      <c r="OFP115" s="197" t="str">
        <f>VLOOKUP(OFO115,[13]AssetDetails_UEM!$A$3:$AH$1849,6,FALSE)</f>
        <v>Electrosurgical Units, Monopolar/Bipolar</v>
      </c>
      <c r="OFQ115" s="196" t="s">
        <v>761</v>
      </c>
      <c r="OFR115" s="197" t="str">
        <f>VLOOKUP(OFQ115,[13]AssetDetails_UEM!$A$3:$AH$1849,6,FALSE)</f>
        <v>Electrosurgical Units, Monopolar/Bipolar</v>
      </c>
      <c r="OFS115" s="196" t="s">
        <v>761</v>
      </c>
      <c r="OFT115" s="197" t="str">
        <f>VLOOKUP(OFS115,[13]AssetDetails_UEM!$A$3:$AH$1849,6,FALSE)</f>
        <v>Electrosurgical Units, Monopolar/Bipolar</v>
      </c>
      <c r="OFU115" s="196" t="s">
        <v>761</v>
      </c>
      <c r="OFV115" s="197" t="str">
        <f>VLOOKUP(OFU115,[13]AssetDetails_UEM!$A$3:$AH$1849,6,FALSE)</f>
        <v>Electrosurgical Units, Monopolar/Bipolar</v>
      </c>
      <c r="OFW115" s="196" t="s">
        <v>761</v>
      </c>
      <c r="OFX115" s="197" t="str">
        <f>VLOOKUP(OFW115,[13]AssetDetails_UEM!$A$3:$AH$1849,6,FALSE)</f>
        <v>Electrosurgical Units, Monopolar/Bipolar</v>
      </c>
      <c r="OFY115" s="196" t="s">
        <v>761</v>
      </c>
      <c r="OFZ115" s="197" t="str">
        <f>VLOOKUP(OFY115,[13]AssetDetails_UEM!$A$3:$AH$1849,6,FALSE)</f>
        <v>Electrosurgical Units, Monopolar/Bipolar</v>
      </c>
      <c r="OGA115" s="196" t="s">
        <v>761</v>
      </c>
      <c r="OGB115" s="197" t="str">
        <f>VLOOKUP(OGA115,[13]AssetDetails_UEM!$A$3:$AH$1849,6,FALSE)</f>
        <v>Electrosurgical Units, Monopolar/Bipolar</v>
      </c>
      <c r="OGC115" s="196" t="s">
        <v>761</v>
      </c>
      <c r="OGD115" s="197" t="str">
        <f>VLOOKUP(OGC115,[13]AssetDetails_UEM!$A$3:$AH$1849,6,FALSE)</f>
        <v>Electrosurgical Units, Monopolar/Bipolar</v>
      </c>
      <c r="OGE115" s="196" t="s">
        <v>761</v>
      </c>
      <c r="OGF115" s="197" t="str">
        <f>VLOOKUP(OGE115,[13]AssetDetails_UEM!$A$3:$AH$1849,6,FALSE)</f>
        <v>Electrosurgical Units, Monopolar/Bipolar</v>
      </c>
      <c r="OGG115" s="196" t="s">
        <v>761</v>
      </c>
      <c r="OGH115" s="197" t="str">
        <f>VLOOKUP(OGG115,[13]AssetDetails_UEM!$A$3:$AH$1849,6,FALSE)</f>
        <v>Electrosurgical Units, Monopolar/Bipolar</v>
      </c>
      <c r="OGI115" s="196" t="s">
        <v>761</v>
      </c>
      <c r="OGJ115" s="197" t="str">
        <f>VLOOKUP(OGI115,[13]AssetDetails_UEM!$A$3:$AH$1849,6,FALSE)</f>
        <v>Electrosurgical Units, Monopolar/Bipolar</v>
      </c>
      <c r="OGK115" s="196" t="s">
        <v>761</v>
      </c>
      <c r="OGL115" s="197" t="str">
        <f>VLOOKUP(OGK115,[13]AssetDetails_UEM!$A$3:$AH$1849,6,FALSE)</f>
        <v>Electrosurgical Units, Monopolar/Bipolar</v>
      </c>
      <c r="OGM115" s="196" t="s">
        <v>761</v>
      </c>
      <c r="OGN115" s="197" t="str">
        <f>VLOOKUP(OGM115,[13]AssetDetails_UEM!$A$3:$AH$1849,6,FALSE)</f>
        <v>Electrosurgical Units, Monopolar/Bipolar</v>
      </c>
      <c r="OGO115" s="196" t="s">
        <v>761</v>
      </c>
      <c r="OGP115" s="197" t="str">
        <f>VLOOKUP(OGO115,[13]AssetDetails_UEM!$A$3:$AH$1849,6,FALSE)</f>
        <v>Electrosurgical Units, Monopolar/Bipolar</v>
      </c>
      <c r="OGQ115" s="196" t="s">
        <v>761</v>
      </c>
      <c r="OGR115" s="197" t="str">
        <f>VLOOKUP(OGQ115,[13]AssetDetails_UEM!$A$3:$AH$1849,6,FALSE)</f>
        <v>Electrosurgical Units, Monopolar/Bipolar</v>
      </c>
      <c r="OGS115" s="196" t="s">
        <v>761</v>
      </c>
      <c r="OGT115" s="197" t="str">
        <f>VLOOKUP(OGS115,[13]AssetDetails_UEM!$A$3:$AH$1849,6,FALSE)</f>
        <v>Electrosurgical Units, Monopolar/Bipolar</v>
      </c>
      <c r="OGU115" s="196" t="s">
        <v>761</v>
      </c>
      <c r="OGV115" s="197" t="str">
        <f>VLOOKUP(OGU115,[13]AssetDetails_UEM!$A$3:$AH$1849,6,FALSE)</f>
        <v>Electrosurgical Units, Monopolar/Bipolar</v>
      </c>
      <c r="OGW115" s="196" t="s">
        <v>761</v>
      </c>
      <c r="OGX115" s="197" t="str">
        <f>VLOOKUP(OGW115,[13]AssetDetails_UEM!$A$3:$AH$1849,6,FALSE)</f>
        <v>Electrosurgical Units, Monopolar/Bipolar</v>
      </c>
      <c r="OGY115" s="196" t="s">
        <v>761</v>
      </c>
      <c r="OGZ115" s="197" t="str">
        <f>VLOOKUP(OGY115,[13]AssetDetails_UEM!$A$3:$AH$1849,6,FALSE)</f>
        <v>Electrosurgical Units, Monopolar/Bipolar</v>
      </c>
      <c r="OHA115" s="196" t="s">
        <v>761</v>
      </c>
      <c r="OHB115" s="197" t="str">
        <f>VLOOKUP(OHA115,[13]AssetDetails_UEM!$A$3:$AH$1849,6,FALSE)</f>
        <v>Electrosurgical Units, Monopolar/Bipolar</v>
      </c>
      <c r="OHC115" s="196" t="s">
        <v>761</v>
      </c>
      <c r="OHD115" s="197" t="str">
        <f>VLOOKUP(OHC115,[13]AssetDetails_UEM!$A$3:$AH$1849,6,FALSE)</f>
        <v>Electrosurgical Units, Monopolar/Bipolar</v>
      </c>
      <c r="OHE115" s="196" t="s">
        <v>761</v>
      </c>
      <c r="OHF115" s="197" t="str">
        <f>VLOOKUP(OHE115,[13]AssetDetails_UEM!$A$3:$AH$1849,6,FALSE)</f>
        <v>Electrosurgical Units, Monopolar/Bipolar</v>
      </c>
      <c r="OHG115" s="196" t="s">
        <v>761</v>
      </c>
      <c r="OHH115" s="197" t="str">
        <f>VLOOKUP(OHG115,[13]AssetDetails_UEM!$A$3:$AH$1849,6,FALSE)</f>
        <v>Electrosurgical Units, Monopolar/Bipolar</v>
      </c>
      <c r="OHI115" s="196" t="s">
        <v>761</v>
      </c>
      <c r="OHJ115" s="197" t="str">
        <f>VLOOKUP(OHI115,[13]AssetDetails_UEM!$A$3:$AH$1849,6,FALSE)</f>
        <v>Electrosurgical Units, Monopolar/Bipolar</v>
      </c>
      <c r="OHK115" s="196" t="s">
        <v>761</v>
      </c>
      <c r="OHL115" s="197" t="str">
        <f>VLOOKUP(OHK115,[13]AssetDetails_UEM!$A$3:$AH$1849,6,FALSE)</f>
        <v>Electrosurgical Units, Monopolar/Bipolar</v>
      </c>
      <c r="OHM115" s="196" t="s">
        <v>761</v>
      </c>
      <c r="OHN115" s="197" t="str">
        <f>VLOOKUP(OHM115,[13]AssetDetails_UEM!$A$3:$AH$1849,6,FALSE)</f>
        <v>Electrosurgical Units, Monopolar/Bipolar</v>
      </c>
      <c r="OHO115" s="196" t="s">
        <v>761</v>
      </c>
      <c r="OHP115" s="197" t="str">
        <f>VLOOKUP(OHO115,[13]AssetDetails_UEM!$A$3:$AH$1849,6,FALSE)</f>
        <v>Electrosurgical Units, Monopolar/Bipolar</v>
      </c>
      <c r="OHQ115" s="196" t="s">
        <v>761</v>
      </c>
      <c r="OHR115" s="197" t="str">
        <f>VLOOKUP(OHQ115,[13]AssetDetails_UEM!$A$3:$AH$1849,6,FALSE)</f>
        <v>Electrosurgical Units, Monopolar/Bipolar</v>
      </c>
      <c r="OHS115" s="196" t="s">
        <v>761</v>
      </c>
      <c r="OHT115" s="197" t="str">
        <f>VLOOKUP(OHS115,[13]AssetDetails_UEM!$A$3:$AH$1849,6,FALSE)</f>
        <v>Electrosurgical Units, Monopolar/Bipolar</v>
      </c>
      <c r="OHU115" s="196" t="s">
        <v>761</v>
      </c>
      <c r="OHV115" s="197" t="str">
        <f>VLOOKUP(OHU115,[13]AssetDetails_UEM!$A$3:$AH$1849,6,FALSE)</f>
        <v>Electrosurgical Units, Monopolar/Bipolar</v>
      </c>
      <c r="OHW115" s="196" t="s">
        <v>761</v>
      </c>
      <c r="OHX115" s="197" t="str">
        <f>VLOOKUP(OHW115,[13]AssetDetails_UEM!$A$3:$AH$1849,6,FALSE)</f>
        <v>Electrosurgical Units, Monopolar/Bipolar</v>
      </c>
      <c r="OHY115" s="196" t="s">
        <v>761</v>
      </c>
      <c r="OHZ115" s="197" t="str">
        <f>VLOOKUP(OHY115,[13]AssetDetails_UEM!$A$3:$AH$1849,6,FALSE)</f>
        <v>Electrosurgical Units, Monopolar/Bipolar</v>
      </c>
      <c r="OIA115" s="196" t="s">
        <v>761</v>
      </c>
      <c r="OIB115" s="197" t="str">
        <f>VLOOKUP(OIA115,[13]AssetDetails_UEM!$A$3:$AH$1849,6,FALSE)</f>
        <v>Electrosurgical Units, Monopolar/Bipolar</v>
      </c>
      <c r="OIC115" s="196" t="s">
        <v>761</v>
      </c>
      <c r="OID115" s="197" t="str">
        <f>VLOOKUP(OIC115,[13]AssetDetails_UEM!$A$3:$AH$1849,6,FALSE)</f>
        <v>Electrosurgical Units, Monopolar/Bipolar</v>
      </c>
      <c r="OIE115" s="196" t="s">
        <v>761</v>
      </c>
      <c r="OIF115" s="197" t="str">
        <f>VLOOKUP(OIE115,[13]AssetDetails_UEM!$A$3:$AH$1849,6,FALSE)</f>
        <v>Electrosurgical Units, Monopolar/Bipolar</v>
      </c>
      <c r="OIG115" s="196" t="s">
        <v>761</v>
      </c>
      <c r="OIH115" s="197" t="str">
        <f>VLOOKUP(OIG115,[13]AssetDetails_UEM!$A$3:$AH$1849,6,FALSE)</f>
        <v>Electrosurgical Units, Monopolar/Bipolar</v>
      </c>
      <c r="OII115" s="196" t="s">
        <v>761</v>
      </c>
      <c r="OIJ115" s="197" t="str">
        <f>VLOOKUP(OII115,[13]AssetDetails_UEM!$A$3:$AH$1849,6,FALSE)</f>
        <v>Electrosurgical Units, Monopolar/Bipolar</v>
      </c>
      <c r="OIK115" s="196" t="s">
        <v>761</v>
      </c>
      <c r="OIL115" s="197" t="str">
        <f>VLOOKUP(OIK115,[13]AssetDetails_UEM!$A$3:$AH$1849,6,FALSE)</f>
        <v>Electrosurgical Units, Monopolar/Bipolar</v>
      </c>
      <c r="OIM115" s="196" t="s">
        <v>761</v>
      </c>
      <c r="OIN115" s="197" t="str">
        <f>VLOOKUP(OIM115,[13]AssetDetails_UEM!$A$3:$AH$1849,6,FALSE)</f>
        <v>Electrosurgical Units, Monopolar/Bipolar</v>
      </c>
      <c r="OIO115" s="196" t="s">
        <v>761</v>
      </c>
      <c r="OIP115" s="197" t="str">
        <f>VLOOKUP(OIO115,[13]AssetDetails_UEM!$A$3:$AH$1849,6,FALSE)</f>
        <v>Electrosurgical Units, Monopolar/Bipolar</v>
      </c>
      <c r="OIQ115" s="196" t="s">
        <v>761</v>
      </c>
      <c r="OIR115" s="197" t="str">
        <f>VLOOKUP(OIQ115,[13]AssetDetails_UEM!$A$3:$AH$1849,6,FALSE)</f>
        <v>Electrosurgical Units, Monopolar/Bipolar</v>
      </c>
      <c r="OIS115" s="196" t="s">
        <v>761</v>
      </c>
      <c r="OIT115" s="197" t="str">
        <f>VLOOKUP(OIS115,[13]AssetDetails_UEM!$A$3:$AH$1849,6,FALSE)</f>
        <v>Electrosurgical Units, Monopolar/Bipolar</v>
      </c>
      <c r="OIU115" s="196" t="s">
        <v>761</v>
      </c>
      <c r="OIV115" s="197" t="str">
        <f>VLOOKUP(OIU115,[13]AssetDetails_UEM!$A$3:$AH$1849,6,FALSE)</f>
        <v>Electrosurgical Units, Monopolar/Bipolar</v>
      </c>
      <c r="OIW115" s="196" t="s">
        <v>761</v>
      </c>
      <c r="OIX115" s="197" t="str">
        <f>VLOOKUP(OIW115,[13]AssetDetails_UEM!$A$3:$AH$1849,6,FALSE)</f>
        <v>Electrosurgical Units, Monopolar/Bipolar</v>
      </c>
      <c r="OIY115" s="196" t="s">
        <v>761</v>
      </c>
      <c r="OIZ115" s="197" t="str">
        <f>VLOOKUP(OIY115,[13]AssetDetails_UEM!$A$3:$AH$1849,6,FALSE)</f>
        <v>Electrosurgical Units, Monopolar/Bipolar</v>
      </c>
      <c r="OJA115" s="196" t="s">
        <v>761</v>
      </c>
      <c r="OJB115" s="197" t="str">
        <f>VLOOKUP(OJA115,[13]AssetDetails_UEM!$A$3:$AH$1849,6,FALSE)</f>
        <v>Electrosurgical Units, Monopolar/Bipolar</v>
      </c>
      <c r="OJC115" s="196" t="s">
        <v>761</v>
      </c>
      <c r="OJD115" s="197" t="str">
        <f>VLOOKUP(OJC115,[13]AssetDetails_UEM!$A$3:$AH$1849,6,FALSE)</f>
        <v>Electrosurgical Units, Monopolar/Bipolar</v>
      </c>
      <c r="OJE115" s="196" t="s">
        <v>761</v>
      </c>
      <c r="OJF115" s="197" t="str">
        <f>VLOOKUP(OJE115,[13]AssetDetails_UEM!$A$3:$AH$1849,6,FALSE)</f>
        <v>Electrosurgical Units, Monopolar/Bipolar</v>
      </c>
      <c r="OJG115" s="196" t="s">
        <v>761</v>
      </c>
      <c r="OJH115" s="197" t="str">
        <f>VLOOKUP(OJG115,[13]AssetDetails_UEM!$A$3:$AH$1849,6,FALSE)</f>
        <v>Electrosurgical Units, Monopolar/Bipolar</v>
      </c>
      <c r="OJI115" s="196" t="s">
        <v>761</v>
      </c>
      <c r="OJJ115" s="197" t="str">
        <f>VLOOKUP(OJI115,[13]AssetDetails_UEM!$A$3:$AH$1849,6,FALSE)</f>
        <v>Electrosurgical Units, Monopolar/Bipolar</v>
      </c>
      <c r="OJK115" s="196" t="s">
        <v>761</v>
      </c>
      <c r="OJL115" s="197" t="str">
        <f>VLOOKUP(OJK115,[13]AssetDetails_UEM!$A$3:$AH$1849,6,FALSE)</f>
        <v>Electrosurgical Units, Monopolar/Bipolar</v>
      </c>
      <c r="OJM115" s="196" t="s">
        <v>761</v>
      </c>
      <c r="OJN115" s="197" t="str">
        <f>VLOOKUP(OJM115,[13]AssetDetails_UEM!$A$3:$AH$1849,6,FALSE)</f>
        <v>Electrosurgical Units, Monopolar/Bipolar</v>
      </c>
      <c r="OJO115" s="196" t="s">
        <v>761</v>
      </c>
      <c r="OJP115" s="197" t="str">
        <f>VLOOKUP(OJO115,[13]AssetDetails_UEM!$A$3:$AH$1849,6,FALSE)</f>
        <v>Electrosurgical Units, Monopolar/Bipolar</v>
      </c>
      <c r="OJQ115" s="196" t="s">
        <v>761</v>
      </c>
      <c r="OJR115" s="197" t="str">
        <f>VLOOKUP(OJQ115,[13]AssetDetails_UEM!$A$3:$AH$1849,6,FALSE)</f>
        <v>Electrosurgical Units, Monopolar/Bipolar</v>
      </c>
      <c r="OJS115" s="196" t="s">
        <v>761</v>
      </c>
      <c r="OJT115" s="197" t="str">
        <f>VLOOKUP(OJS115,[13]AssetDetails_UEM!$A$3:$AH$1849,6,FALSE)</f>
        <v>Electrosurgical Units, Monopolar/Bipolar</v>
      </c>
      <c r="OJU115" s="196" t="s">
        <v>761</v>
      </c>
      <c r="OJV115" s="197" t="str">
        <f>VLOOKUP(OJU115,[13]AssetDetails_UEM!$A$3:$AH$1849,6,FALSE)</f>
        <v>Electrosurgical Units, Monopolar/Bipolar</v>
      </c>
      <c r="OJW115" s="196" t="s">
        <v>761</v>
      </c>
      <c r="OJX115" s="197" t="str">
        <f>VLOOKUP(OJW115,[13]AssetDetails_UEM!$A$3:$AH$1849,6,FALSE)</f>
        <v>Electrosurgical Units, Monopolar/Bipolar</v>
      </c>
      <c r="OJY115" s="196" t="s">
        <v>761</v>
      </c>
      <c r="OJZ115" s="197" t="str">
        <f>VLOOKUP(OJY115,[13]AssetDetails_UEM!$A$3:$AH$1849,6,FALSE)</f>
        <v>Electrosurgical Units, Monopolar/Bipolar</v>
      </c>
      <c r="OKA115" s="196" t="s">
        <v>761</v>
      </c>
      <c r="OKB115" s="197" t="str">
        <f>VLOOKUP(OKA115,[13]AssetDetails_UEM!$A$3:$AH$1849,6,FALSE)</f>
        <v>Electrosurgical Units, Monopolar/Bipolar</v>
      </c>
      <c r="OKC115" s="196" t="s">
        <v>761</v>
      </c>
      <c r="OKD115" s="197" t="str">
        <f>VLOOKUP(OKC115,[13]AssetDetails_UEM!$A$3:$AH$1849,6,FALSE)</f>
        <v>Electrosurgical Units, Monopolar/Bipolar</v>
      </c>
      <c r="OKE115" s="196" t="s">
        <v>761</v>
      </c>
      <c r="OKF115" s="197" t="str">
        <f>VLOOKUP(OKE115,[13]AssetDetails_UEM!$A$3:$AH$1849,6,FALSE)</f>
        <v>Electrosurgical Units, Monopolar/Bipolar</v>
      </c>
      <c r="OKG115" s="196" t="s">
        <v>761</v>
      </c>
      <c r="OKH115" s="197" t="str">
        <f>VLOOKUP(OKG115,[13]AssetDetails_UEM!$A$3:$AH$1849,6,FALSE)</f>
        <v>Electrosurgical Units, Monopolar/Bipolar</v>
      </c>
      <c r="OKI115" s="196" t="s">
        <v>761</v>
      </c>
      <c r="OKJ115" s="197" t="str">
        <f>VLOOKUP(OKI115,[13]AssetDetails_UEM!$A$3:$AH$1849,6,FALSE)</f>
        <v>Electrosurgical Units, Monopolar/Bipolar</v>
      </c>
      <c r="OKK115" s="196" t="s">
        <v>761</v>
      </c>
      <c r="OKL115" s="197" t="str">
        <f>VLOOKUP(OKK115,[13]AssetDetails_UEM!$A$3:$AH$1849,6,FALSE)</f>
        <v>Electrosurgical Units, Monopolar/Bipolar</v>
      </c>
      <c r="OKM115" s="196" t="s">
        <v>761</v>
      </c>
      <c r="OKN115" s="197" t="str">
        <f>VLOOKUP(OKM115,[13]AssetDetails_UEM!$A$3:$AH$1849,6,FALSE)</f>
        <v>Electrosurgical Units, Monopolar/Bipolar</v>
      </c>
      <c r="OKO115" s="196" t="s">
        <v>761</v>
      </c>
      <c r="OKP115" s="197" t="str">
        <f>VLOOKUP(OKO115,[13]AssetDetails_UEM!$A$3:$AH$1849,6,FALSE)</f>
        <v>Electrosurgical Units, Monopolar/Bipolar</v>
      </c>
      <c r="OKQ115" s="196" t="s">
        <v>761</v>
      </c>
      <c r="OKR115" s="197" t="str">
        <f>VLOOKUP(OKQ115,[13]AssetDetails_UEM!$A$3:$AH$1849,6,FALSE)</f>
        <v>Electrosurgical Units, Monopolar/Bipolar</v>
      </c>
      <c r="OKS115" s="196" t="s">
        <v>761</v>
      </c>
      <c r="OKT115" s="197" t="str">
        <f>VLOOKUP(OKS115,[13]AssetDetails_UEM!$A$3:$AH$1849,6,FALSE)</f>
        <v>Electrosurgical Units, Monopolar/Bipolar</v>
      </c>
      <c r="OKU115" s="196" t="s">
        <v>761</v>
      </c>
      <c r="OKV115" s="197" t="str">
        <f>VLOOKUP(OKU115,[13]AssetDetails_UEM!$A$3:$AH$1849,6,FALSE)</f>
        <v>Electrosurgical Units, Monopolar/Bipolar</v>
      </c>
      <c r="OKW115" s="196" t="s">
        <v>761</v>
      </c>
      <c r="OKX115" s="197" t="str">
        <f>VLOOKUP(OKW115,[13]AssetDetails_UEM!$A$3:$AH$1849,6,FALSE)</f>
        <v>Electrosurgical Units, Monopolar/Bipolar</v>
      </c>
      <c r="OKY115" s="196" t="s">
        <v>761</v>
      </c>
      <c r="OKZ115" s="197" t="str">
        <f>VLOOKUP(OKY115,[13]AssetDetails_UEM!$A$3:$AH$1849,6,FALSE)</f>
        <v>Electrosurgical Units, Monopolar/Bipolar</v>
      </c>
      <c r="OLA115" s="196" t="s">
        <v>761</v>
      </c>
      <c r="OLB115" s="197" t="str">
        <f>VLOOKUP(OLA115,[13]AssetDetails_UEM!$A$3:$AH$1849,6,FALSE)</f>
        <v>Electrosurgical Units, Monopolar/Bipolar</v>
      </c>
      <c r="OLC115" s="196" t="s">
        <v>761</v>
      </c>
      <c r="OLD115" s="197" t="str">
        <f>VLOOKUP(OLC115,[13]AssetDetails_UEM!$A$3:$AH$1849,6,FALSE)</f>
        <v>Electrosurgical Units, Monopolar/Bipolar</v>
      </c>
      <c r="OLE115" s="196" t="s">
        <v>761</v>
      </c>
      <c r="OLF115" s="197" t="str">
        <f>VLOOKUP(OLE115,[13]AssetDetails_UEM!$A$3:$AH$1849,6,FALSE)</f>
        <v>Electrosurgical Units, Monopolar/Bipolar</v>
      </c>
      <c r="OLG115" s="196" t="s">
        <v>761</v>
      </c>
      <c r="OLH115" s="197" t="str">
        <f>VLOOKUP(OLG115,[13]AssetDetails_UEM!$A$3:$AH$1849,6,FALSE)</f>
        <v>Electrosurgical Units, Monopolar/Bipolar</v>
      </c>
      <c r="OLI115" s="196" t="s">
        <v>761</v>
      </c>
      <c r="OLJ115" s="197" t="str">
        <f>VLOOKUP(OLI115,[13]AssetDetails_UEM!$A$3:$AH$1849,6,FALSE)</f>
        <v>Electrosurgical Units, Monopolar/Bipolar</v>
      </c>
      <c r="OLK115" s="196" t="s">
        <v>761</v>
      </c>
      <c r="OLL115" s="197" t="str">
        <f>VLOOKUP(OLK115,[13]AssetDetails_UEM!$A$3:$AH$1849,6,FALSE)</f>
        <v>Electrosurgical Units, Monopolar/Bipolar</v>
      </c>
      <c r="OLM115" s="196" t="s">
        <v>761</v>
      </c>
      <c r="OLN115" s="197" t="str">
        <f>VLOOKUP(OLM115,[13]AssetDetails_UEM!$A$3:$AH$1849,6,FALSE)</f>
        <v>Electrosurgical Units, Monopolar/Bipolar</v>
      </c>
      <c r="OLO115" s="196" t="s">
        <v>761</v>
      </c>
      <c r="OLP115" s="197" t="str">
        <f>VLOOKUP(OLO115,[13]AssetDetails_UEM!$A$3:$AH$1849,6,FALSE)</f>
        <v>Electrosurgical Units, Monopolar/Bipolar</v>
      </c>
      <c r="OLQ115" s="196" t="s">
        <v>761</v>
      </c>
      <c r="OLR115" s="197" t="str">
        <f>VLOOKUP(OLQ115,[13]AssetDetails_UEM!$A$3:$AH$1849,6,FALSE)</f>
        <v>Electrosurgical Units, Monopolar/Bipolar</v>
      </c>
      <c r="OLS115" s="196" t="s">
        <v>761</v>
      </c>
      <c r="OLT115" s="197" t="str">
        <f>VLOOKUP(OLS115,[13]AssetDetails_UEM!$A$3:$AH$1849,6,FALSE)</f>
        <v>Electrosurgical Units, Monopolar/Bipolar</v>
      </c>
      <c r="OLU115" s="196" t="s">
        <v>761</v>
      </c>
      <c r="OLV115" s="197" t="str">
        <f>VLOOKUP(OLU115,[13]AssetDetails_UEM!$A$3:$AH$1849,6,FALSE)</f>
        <v>Electrosurgical Units, Monopolar/Bipolar</v>
      </c>
      <c r="OLW115" s="196" t="s">
        <v>761</v>
      </c>
      <c r="OLX115" s="197" t="str">
        <f>VLOOKUP(OLW115,[13]AssetDetails_UEM!$A$3:$AH$1849,6,FALSE)</f>
        <v>Electrosurgical Units, Monopolar/Bipolar</v>
      </c>
      <c r="OLY115" s="196" t="s">
        <v>761</v>
      </c>
      <c r="OLZ115" s="197" t="str">
        <f>VLOOKUP(OLY115,[13]AssetDetails_UEM!$A$3:$AH$1849,6,FALSE)</f>
        <v>Electrosurgical Units, Monopolar/Bipolar</v>
      </c>
      <c r="OMA115" s="196" t="s">
        <v>761</v>
      </c>
      <c r="OMB115" s="197" t="str">
        <f>VLOOKUP(OMA115,[13]AssetDetails_UEM!$A$3:$AH$1849,6,FALSE)</f>
        <v>Electrosurgical Units, Monopolar/Bipolar</v>
      </c>
      <c r="OMC115" s="196" t="s">
        <v>761</v>
      </c>
      <c r="OMD115" s="197" t="str">
        <f>VLOOKUP(OMC115,[13]AssetDetails_UEM!$A$3:$AH$1849,6,FALSE)</f>
        <v>Electrosurgical Units, Monopolar/Bipolar</v>
      </c>
      <c r="OME115" s="196" t="s">
        <v>761</v>
      </c>
      <c r="OMF115" s="197" t="str">
        <f>VLOOKUP(OME115,[13]AssetDetails_UEM!$A$3:$AH$1849,6,FALSE)</f>
        <v>Electrosurgical Units, Monopolar/Bipolar</v>
      </c>
      <c r="OMG115" s="196" t="s">
        <v>761</v>
      </c>
      <c r="OMH115" s="197" t="str">
        <f>VLOOKUP(OMG115,[13]AssetDetails_UEM!$A$3:$AH$1849,6,FALSE)</f>
        <v>Electrosurgical Units, Monopolar/Bipolar</v>
      </c>
      <c r="OMI115" s="196" t="s">
        <v>761</v>
      </c>
      <c r="OMJ115" s="197" t="str">
        <f>VLOOKUP(OMI115,[13]AssetDetails_UEM!$A$3:$AH$1849,6,FALSE)</f>
        <v>Electrosurgical Units, Monopolar/Bipolar</v>
      </c>
      <c r="OMK115" s="196" t="s">
        <v>761</v>
      </c>
      <c r="OML115" s="197" t="str">
        <f>VLOOKUP(OMK115,[13]AssetDetails_UEM!$A$3:$AH$1849,6,FALSE)</f>
        <v>Electrosurgical Units, Monopolar/Bipolar</v>
      </c>
      <c r="OMM115" s="196" t="s">
        <v>761</v>
      </c>
      <c r="OMN115" s="197" t="str">
        <f>VLOOKUP(OMM115,[13]AssetDetails_UEM!$A$3:$AH$1849,6,FALSE)</f>
        <v>Electrosurgical Units, Monopolar/Bipolar</v>
      </c>
      <c r="OMO115" s="196" t="s">
        <v>761</v>
      </c>
      <c r="OMP115" s="197" t="str">
        <f>VLOOKUP(OMO115,[13]AssetDetails_UEM!$A$3:$AH$1849,6,FALSE)</f>
        <v>Electrosurgical Units, Monopolar/Bipolar</v>
      </c>
      <c r="OMQ115" s="196" t="s">
        <v>761</v>
      </c>
      <c r="OMR115" s="197" t="str">
        <f>VLOOKUP(OMQ115,[13]AssetDetails_UEM!$A$3:$AH$1849,6,FALSE)</f>
        <v>Electrosurgical Units, Monopolar/Bipolar</v>
      </c>
      <c r="OMS115" s="196" t="s">
        <v>761</v>
      </c>
      <c r="OMT115" s="197" t="str">
        <f>VLOOKUP(OMS115,[13]AssetDetails_UEM!$A$3:$AH$1849,6,FALSE)</f>
        <v>Electrosurgical Units, Monopolar/Bipolar</v>
      </c>
      <c r="OMU115" s="196" t="s">
        <v>761</v>
      </c>
      <c r="OMV115" s="197" t="str">
        <f>VLOOKUP(OMU115,[13]AssetDetails_UEM!$A$3:$AH$1849,6,FALSE)</f>
        <v>Electrosurgical Units, Monopolar/Bipolar</v>
      </c>
      <c r="OMW115" s="196" t="s">
        <v>761</v>
      </c>
      <c r="OMX115" s="197" t="str">
        <f>VLOOKUP(OMW115,[13]AssetDetails_UEM!$A$3:$AH$1849,6,FALSE)</f>
        <v>Electrosurgical Units, Monopolar/Bipolar</v>
      </c>
      <c r="OMY115" s="196" t="s">
        <v>761</v>
      </c>
      <c r="OMZ115" s="197" t="str">
        <f>VLOOKUP(OMY115,[13]AssetDetails_UEM!$A$3:$AH$1849,6,FALSE)</f>
        <v>Electrosurgical Units, Monopolar/Bipolar</v>
      </c>
      <c r="ONA115" s="196" t="s">
        <v>761</v>
      </c>
      <c r="ONB115" s="197" t="str">
        <f>VLOOKUP(ONA115,[13]AssetDetails_UEM!$A$3:$AH$1849,6,FALSE)</f>
        <v>Electrosurgical Units, Monopolar/Bipolar</v>
      </c>
      <c r="ONC115" s="196" t="s">
        <v>761</v>
      </c>
      <c r="OND115" s="197" t="str">
        <f>VLOOKUP(ONC115,[13]AssetDetails_UEM!$A$3:$AH$1849,6,FALSE)</f>
        <v>Electrosurgical Units, Monopolar/Bipolar</v>
      </c>
      <c r="ONE115" s="196" t="s">
        <v>761</v>
      </c>
      <c r="ONF115" s="197" t="str">
        <f>VLOOKUP(ONE115,[13]AssetDetails_UEM!$A$3:$AH$1849,6,FALSE)</f>
        <v>Electrosurgical Units, Monopolar/Bipolar</v>
      </c>
      <c r="ONG115" s="196" t="s">
        <v>761</v>
      </c>
      <c r="ONH115" s="197" t="str">
        <f>VLOOKUP(ONG115,[13]AssetDetails_UEM!$A$3:$AH$1849,6,FALSE)</f>
        <v>Electrosurgical Units, Monopolar/Bipolar</v>
      </c>
      <c r="ONI115" s="196" t="s">
        <v>761</v>
      </c>
      <c r="ONJ115" s="197" t="str">
        <f>VLOOKUP(ONI115,[13]AssetDetails_UEM!$A$3:$AH$1849,6,FALSE)</f>
        <v>Electrosurgical Units, Monopolar/Bipolar</v>
      </c>
      <c r="ONK115" s="196" t="s">
        <v>761</v>
      </c>
      <c r="ONL115" s="197" t="str">
        <f>VLOOKUP(ONK115,[13]AssetDetails_UEM!$A$3:$AH$1849,6,FALSE)</f>
        <v>Electrosurgical Units, Monopolar/Bipolar</v>
      </c>
      <c r="ONM115" s="196" t="s">
        <v>761</v>
      </c>
      <c r="ONN115" s="197" t="str">
        <f>VLOOKUP(ONM115,[13]AssetDetails_UEM!$A$3:$AH$1849,6,FALSE)</f>
        <v>Electrosurgical Units, Monopolar/Bipolar</v>
      </c>
      <c r="ONO115" s="196" t="s">
        <v>761</v>
      </c>
      <c r="ONP115" s="197" t="str">
        <f>VLOOKUP(ONO115,[13]AssetDetails_UEM!$A$3:$AH$1849,6,FALSE)</f>
        <v>Electrosurgical Units, Monopolar/Bipolar</v>
      </c>
      <c r="ONQ115" s="196" t="s">
        <v>761</v>
      </c>
      <c r="ONR115" s="197" t="str">
        <f>VLOOKUP(ONQ115,[13]AssetDetails_UEM!$A$3:$AH$1849,6,FALSE)</f>
        <v>Electrosurgical Units, Monopolar/Bipolar</v>
      </c>
      <c r="ONS115" s="196" t="s">
        <v>761</v>
      </c>
      <c r="ONT115" s="197" t="str">
        <f>VLOOKUP(ONS115,[13]AssetDetails_UEM!$A$3:$AH$1849,6,FALSE)</f>
        <v>Electrosurgical Units, Monopolar/Bipolar</v>
      </c>
      <c r="ONU115" s="196" t="s">
        <v>761</v>
      </c>
      <c r="ONV115" s="197" t="str">
        <f>VLOOKUP(ONU115,[13]AssetDetails_UEM!$A$3:$AH$1849,6,FALSE)</f>
        <v>Electrosurgical Units, Monopolar/Bipolar</v>
      </c>
      <c r="ONW115" s="196" t="s">
        <v>761</v>
      </c>
      <c r="ONX115" s="197" t="str">
        <f>VLOOKUP(ONW115,[13]AssetDetails_UEM!$A$3:$AH$1849,6,FALSE)</f>
        <v>Electrosurgical Units, Monopolar/Bipolar</v>
      </c>
      <c r="ONY115" s="196" t="s">
        <v>761</v>
      </c>
      <c r="ONZ115" s="197" t="str">
        <f>VLOOKUP(ONY115,[13]AssetDetails_UEM!$A$3:$AH$1849,6,FALSE)</f>
        <v>Electrosurgical Units, Monopolar/Bipolar</v>
      </c>
      <c r="OOA115" s="196" t="s">
        <v>761</v>
      </c>
      <c r="OOB115" s="197" t="str">
        <f>VLOOKUP(OOA115,[13]AssetDetails_UEM!$A$3:$AH$1849,6,FALSE)</f>
        <v>Electrosurgical Units, Monopolar/Bipolar</v>
      </c>
      <c r="OOC115" s="196" t="s">
        <v>761</v>
      </c>
      <c r="OOD115" s="197" t="str">
        <f>VLOOKUP(OOC115,[13]AssetDetails_UEM!$A$3:$AH$1849,6,FALSE)</f>
        <v>Electrosurgical Units, Monopolar/Bipolar</v>
      </c>
      <c r="OOE115" s="196" t="s">
        <v>761</v>
      </c>
      <c r="OOF115" s="197" t="str">
        <f>VLOOKUP(OOE115,[13]AssetDetails_UEM!$A$3:$AH$1849,6,FALSE)</f>
        <v>Electrosurgical Units, Monopolar/Bipolar</v>
      </c>
      <c r="OOG115" s="196" t="s">
        <v>761</v>
      </c>
      <c r="OOH115" s="197" t="str">
        <f>VLOOKUP(OOG115,[13]AssetDetails_UEM!$A$3:$AH$1849,6,FALSE)</f>
        <v>Electrosurgical Units, Monopolar/Bipolar</v>
      </c>
      <c r="OOI115" s="196" t="s">
        <v>761</v>
      </c>
      <c r="OOJ115" s="197" t="str">
        <f>VLOOKUP(OOI115,[13]AssetDetails_UEM!$A$3:$AH$1849,6,FALSE)</f>
        <v>Electrosurgical Units, Monopolar/Bipolar</v>
      </c>
      <c r="OOK115" s="196" t="s">
        <v>761</v>
      </c>
      <c r="OOL115" s="197" t="str">
        <f>VLOOKUP(OOK115,[13]AssetDetails_UEM!$A$3:$AH$1849,6,FALSE)</f>
        <v>Electrosurgical Units, Monopolar/Bipolar</v>
      </c>
      <c r="OOM115" s="196" t="s">
        <v>761</v>
      </c>
      <c r="OON115" s="197" t="str">
        <f>VLOOKUP(OOM115,[13]AssetDetails_UEM!$A$3:$AH$1849,6,FALSE)</f>
        <v>Electrosurgical Units, Monopolar/Bipolar</v>
      </c>
      <c r="OOO115" s="196" t="s">
        <v>761</v>
      </c>
      <c r="OOP115" s="197" t="str">
        <f>VLOOKUP(OOO115,[13]AssetDetails_UEM!$A$3:$AH$1849,6,FALSE)</f>
        <v>Electrosurgical Units, Monopolar/Bipolar</v>
      </c>
      <c r="OOQ115" s="196" t="s">
        <v>761</v>
      </c>
      <c r="OOR115" s="197" t="str">
        <f>VLOOKUP(OOQ115,[13]AssetDetails_UEM!$A$3:$AH$1849,6,FALSE)</f>
        <v>Electrosurgical Units, Monopolar/Bipolar</v>
      </c>
      <c r="OOS115" s="196" t="s">
        <v>761</v>
      </c>
      <c r="OOT115" s="197" t="str">
        <f>VLOOKUP(OOS115,[13]AssetDetails_UEM!$A$3:$AH$1849,6,FALSE)</f>
        <v>Electrosurgical Units, Monopolar/Bipolar</v>
      </c>
      <c r="OOU115" s="196" t="s">
        <v>761</v>
      </c>
      <c r="OOV115" s="197" t="str">
        <f>VLOOKUP(OOU115,[13]AssetDetails_UEM!$A$3:$AH$1849,6,FALSE)</f>
        <v>Electrosurgical Units, Monopolar/Bipolar</v>
      </c>
      <c r="OOW115" s="196" t="s">
        <v>761</v>
      </c>
      <c r="OOX115" s="197" t="str">
        <f>VLOOKUP(OOW115,[13]AssetDetails_UEM!$A$3:$AH$1849,6,FALSE)</f>
        <v>Electrosurgical Units, Monopolar/Bipolar</v>
      </c>
      <c r="OOY115" s="196" t="s">
        <v>761</v>
      </c>
      <c r="OOZ115" s="197" t="str">
        <f>VLOOKUP(OOY115,[13]AssetDetails_UEM!$A$3:$AH$1849,6,FALSE)</f>
        <v>Electrosurgical Units, Monopolar/Bipolar</v>
      </c>
      <c r="OPA115" s="196" t="s">
        <v>761</v>
      </c>
      <c r="OPB115" s="197" t="str">
        <f>VLOOKUP(OPA115,[13]AssetDetails_UEM!$A$3:$AH$1849,6,FALSE)</f>
        <v>Electrosurgical Units, Monopolar/Bipolar</v>
      </c>
      <c r="OPC115" s="196" t="s">
        <v>761</v>
      </c>
      <c r="OPD115" s="197" t="str">
        <f>VLOOKUP(OPC115,[13]AssetDetails_UEM!$A$3:$AH$1849,6,FALSE)</f>
        <v>Electrosurgical Units, Monopolar/Bipolar</v>
      </c>
      <c r="OPE115" s="196" t="s">
        <v>761</v>
      </c>
      <c r="OPF115" s="197" t="str">
        <f>VLOOKUP(OPE115,[13]AssetDetails_UEM!$A$3:$AH$1849,6,FALSE)</f>
        <v>Electrosurgical Units, Monopolar/Bipolar</v>
      </c>
      <c r="OPG115" s="196" t="s">
        <v>761</v>
      </c>
      <c r="OPH115" s="197" t="str">
        <f>VLOOKUP(OPG115,[13]AssetDetails_UEM!$A$3:$AH$1849,6,FALSE)</f>
        <v>Electrosurgical Units, Monopolar/Bipolar</v>
      </c>
      <c r="OPI115" s="196" t="s">
        <v>761</v>
      </c>
      <c r="OPJ115" s="197" t="str">
        <f>VLOOKUP(OPI115,[13]AssetDetails_UEM!$A$3:$AH$1849,6,FALSE)</f>
        <v>Electrosurgical Units, Monopolar/Bipolar</v>
      </c>
      <c r="OPK115" s="196" t="s">
        <v>761</v>
      </c>
      <c r="OPL115" s="197" t="str">
        <f>VLOOKUP(OPK115,[13]AssetDetails_UEM!$A$3:$AH$1849,6,FALSE)</f>
        <v>Electrosurgical Units, Monopolar/Bipolar</v>
      </c>
      <c r="OPM115" s="196" t="s">
        <v>761</v>
      </c>
      <c r="OPN115" s="197" t="str">
        <f>VLOOKUP(OPM115,[13]AssetDetails_UEM!$A$3:$AH$1849,6,FALSE)</f>
        <v>Electrosurgical Units, Monopolar/Bipolar</v>
      </c>
      <c r="OPO115" s="196" t="s">
        <v>761</v>
      </c>
      <c r="OPP115" s="197" t="str">
        <f>VLOOKUP(OPO115,[13]AssetDetails_UEM!$A$3:$AH$1849,6,FALSE)</f>
        <v>Electrosurgical Units, Monopolar/Bipolar</v>
      </c>
      <c r="OPQ115" s="196" t="s">
        <v>761</v>
      </c>
      <c r="OPR115" s="197" t="str">
        <f>VLOOKUP(OPQ115,[13]AssetDetails_UEM!$A$3:$AH$1849,6,FALSE)</f>
        <v>Electrosurgical Units, Monopolar/Bipolar</v>
      </c>
      <c r="OPS115" s="196" t="s">
        <v>761</v>
      </c>
      <c r="OPT115" s="197" t="str">
        <f>VLOOKUP(OPS115,[13]AssetDetails_UEM!$A$3:$AH$1849,6,FALSE)</f>
        <v>Electrosurgical Units, Monopolar/Bipolar</v>
      </c>
      <c r="OPU115" s="196" t="s">
        <v>761</v>
      </c>
      <c r="OPV115" s="197" t="str">
        <f>VLOOKUP(OPU115,[13]AssetDetails_UEM!$A$3:$AH$1849,6,FALSE)</f>
        <v>Electrosurgical Units, Monopolar/Bipolar</v>
      </c>
      <c r="OPW115" s="196" t="s">
        <v>761</v>
      </c>
      <c r="OPX115" s="197" t="str">
        <f>VLOOKUP(OPW115,[13]AssetDetails_UEM!$A$3:$AH$1849,6,FALSE)</f>
        <v>Electrosurgical Units, Monopolar/Bipolar</v>
      </c>
      <c r="OPY115" s="196" t="s">
        <v>761</v>
      </c>
      <c r="OPZ115" s="197" t="str">
        <f>VLOOKUP(OPY115,[13]AssetDetails_UEM!$A$3:$AH$1849,6,FALSE)</f>
        <v>Electrosurgical Units, Monopolar/Bipolar</v>
      </c>
      <c r="OQA115" s="196" t="s">
        <v>761</v>
      </c>
      <c r="OQB115" s="197" t="str">
        <f>VLOOKUP(OQA115,[13]AssetDetails_UEM!$A$3:$AH$1849,6,FALSE)</f>
        <v>Electrosurgical Units, Monopolar/Bipolar</v>
      </c>
      <c r="OQC115" s="196" t="s">
        <v>761</v>
      </c>
      <c r="OQD115" s="197" t="str">
        <f>VLOOKUP(OQC115,[13]AssetDetails_UEM!$A$3:$AH$1849,6,FALSE)</f>
        <v>Electrosurgical Units, Monopolar/Bipolar</v>
      </c>
      <c r="OQE115" s="196" t="s">
        <v>761</v>
      </c>
      <c r="OQF115" s="197" t="str">
        <f>VLOOKUP(OQE115,[13]AssetDetails_UEM!$A$3:$AH$1849,6,FALSE)</f>
        <v>Electrosurgical Units, Monopolar/Bipolar</v>
      </c>
      <c r="OQG115" s="196" t="s">
        <v>761</v>
      </c>
      <c r="OQH115" s="197" t="str">
        <f>VLOOKUP(OQG115,[13]AssetDetails_UEM!$A$3:$AH$1849,6,FALSE)</f>
        <v>Electrosurgical Units, Monopolar/Bipolar</v>
      </c>
      <c r="OQI115" s="196" t="s">
        <v>761</v>
      </c>
      <c r="OQJ115" s="197" t="str">
        <f>VLOOKUP(OQI115,[13]AssetDetails_UEM!$A$3:$AH$1849,6,FALSE)</f>
        <v>Electrosurgical Units, Monopolar/Bipolar</v>
      </c>
      <c r="OQK115" s="196" t="s">
        <v>761</v>
      </c>
      <c r="OQL115" s="197" t="str">
        <f>VLOOKUP(OQK115,[13]AssetDetails_UEM!$A$3:$AH$1849,6,FALSE)</f>
        <v>Electrosurgical Units, Monopolar/Bipolar</v>
      </c>
      <c r="OQM115" s="196" t="s">
        <v>761</v>
      </c>
      <c r="OQN115" s="197" t="str">
        <f>VLOOKUP(OQM115,[13]AssetDetails_UEM!$A$3:$AH$1849,6,FALSE)</f>
        <v>Electrosurgical Units, Monopolar/Bipolar</v>
      </c>
      <c r="OQO115" s="196" t="s">
        <v>761</v>
      </c>
      <c r="OQP115" s="197" t="str">
        <f>VLOOKUP(OQO115,[13]AssetDetails_UEM!$A$3:$AH$1849,6,FALSE)</f>
        <v>Electrosurgical Units, Monopolar/Bipolar</v>
      </c>
      <c r="OQQ115" s="196" t="s">
        <v>761</v>
      </c>
      <c r="OQR115" s="197" t="str">
        <f>VLOOKUP(OQQ115,[13]AssetDetails_UEM!$A$3:$AH$1849,6,FALSE)</f>
        <v>Electrosurgical Units, Monopolar/Bipolar</v>
      </c>
      <c r="OQS115" s="196" t="s">
        <v>761</v>
      </c>
      <c r="OQT115" s="197" t="str">
        <f>VLOOKUP(OQS115,[13]AssetDetails_UEM!$A$3:$AH$1849,6,FALSE)</f>
        <v>Electrosurgical Units, Monopolar/Bipolar</v>
      </c>
      <c r="OQU115" s="196" t="s">
        <v>761</v>
      </c>
      <c r="OQV115" s="197" t="str">
        <f>VLOOKUP(OQU115,[13]AssetDetails_UEM!$A$3:$AH$1849,6,FALSE)</f>
        <v>Electrosurgical Units, Monopolar/Bipolar</v>
      </c>
      <c r="OQW115" s="196" t="s">
        <v>761</v>
      </c>
      <c r="OQX115" s="197" t="str">
        <f>VLOOKUP(OQW115,[13]AssetDetails_UEM!$A$3:$AH$1849,6,FALSE)</f>
        <v>Electrosurgical Units, Monopolar/Bipolar</v>
      </c>
      <c r="OQY115" s="196" t="s">
        <v>761</v>
      </c>
      <c r="OQZ115" s="197" t="str">
        <f>VLOOKUP(OQY115,[13]AssetDetails_UEM!$A$3:$AH$1849,6,FALSE)</f>
        <v>Electrosurgical Units, Monopolar/Bipolar</v>
      </c>
      <c r="ORA115" s="196" t="s">
        <v>761</v>
      </c>
      <c r="ORB115" s="197" t="str">
        <f>VLOOKUP(ORA115,[13]AssetDetails_UEM!$A$3:$AH$1849,6,FALSE)</f>
        <v>Electrosurgical Units, Monopolar/Bipolar</v>
      </c>
      <c r="ORC115" s="196" t="s">
        <v>761</v>
      </c>
      <c r="ORD115" s="197" t="str">
        <f>VLOOKUP(ORC115,[13]AssetDetails_UEM!$A$3:$AH$1849,6,FALSE)</f>
        <v>Electrosurgical Units, Monopolar/Bipolar</v>
      </c>
      <c r="ORE115" s="196" t="s">
        <v>761</v>
      </c>
      <c r="ORF115" s="197" t="str">
        <f>VLOOKUP(ORE115,[13]AssetDetails_UEM!$A$3:$AH$1849,6,FALSE)</f>
        <v>Electrosurgical Units, Monopolar/Bipolar</v>
      </c>
      <c r="ORG115" s="196" t="s">
        <v>761</v>
      </c>
      <c r="ORH115" s="197" t="str">
        <f>VLOOKUP(ORG115,[13]AssetDetails_UEM!$A$3:$AH$1849,6,FALSE)</f>
        <v>Electrosurgical Units, Monopolar/Bipolar</v>
      </c>
      <c r="ORI115" s="196" t="s">
        <v>761</v>
      </c>
      <c r="ORJ115" s="197" t="str">
        <f>VLOOKUP(ORI115,[13]AssetDetails_UEM!$A$3:$AH$1849,6,FALSE)</f>
        <v>Electrosurgical Units, Monopolar/Bipolar</v>
      </c>
      <c r="ORK115" s="196" t="s">
        <v>761</v>
      </c>
      <c r="ORL115" s="197" t="str">
        <f>VLOOKUP(ORK115,[13]AssetDetails_UEM!$A$3:$AH$1849,6,FALSE)</f>
        <v>Electrosurgical Units, Monopolar/Bipolar</v>
      </c>
      <c r="ORM115" s="196" t="s">
        <v>761</v>
      </c>
      <c r="ORN115" s="197" t="str">
        <f>VLOOKUP(ORM115,[13]AssetDetails_UEM!$A$3:$AH$1849,6,FALSE)</f>
        <v>Electrosurgical Units, Monopolar/Bipolar</v>
      </c>
      <c r="ORO115" s="196" t="s">
        <v>761</v>
      </c>
      <c r="ORP115" s="197" t="str">
        <f>VLOOKUP(ORO115,[13]AssetDetails_UEM!$A$3:$AH$1849,6,FALSE)</f>
        <v>Electrosurgical Units, Monopolar/Bipolar</v>
      </c>
      <c r="ORQ115" s="196" t="s">
        <v>761</v>
      </c>
      <c r="ORR115" s="197" t="str">
        <f>VLOOKUP(ORQ115,[13]AssetDetails_UEM!$A$3:$AH$1849,6,FALSE)</f>
        <v>Electrosurgical Units, Monopolar/Bipolar</v>
      </c>
      <c r="ORS115" s="196" t="s">
        <v>761</v>
      </c>
      <c r="ORT115" s="197" t="str">
        <f>VLOOKUP(ORS115,[13]AssetDetails_UEM!$A$3:$AH$1849,6,FALSE)</f>
        <v>Electrosurgical Units, Monopolar/Bipolar</v>
      </c>
      <c r="ORU115" s="196" t="s">
        <v>761</v>
      </c>
      <c r="ORV115" s="197" t="str">
        <f>VLOOKUP(ORU115,[13]AssetDetails_UEM!$A$3:$AH$1849,6,FALSE)</f>
        <v>Electrosurgical Units, Monopolar/Bipolar</v>
      </c>
      <c r="ORW115" s="196" t="s">
        <v>761</v>
      </c>
      <c r="ORX115" s="197" t="str">
        <f>VLOOKUP(ORW115,[13]AssetDetails_UEM!$A$3:$AH$1849,6,FALSE)</f>
        <v>Electrosurgical Units, Monopolar/Bipolar</v>
      </c>
      <c r="ORY115" s="196" t="s">
        <v>761</v>
      </c>
      <c r="ORZ115" s="197" t="str">
        <f>VLOOKUP(ORY115,[13]AssetDetails_UEM!$A$3:$AH$1849,6,FALSE)</f>
        <v>Electrosurgical Units, Monopolar/Bipolar</v>
      </c>
      <c r="OSA115" s="196" t="s">
        <v>761</v>
      </c>
      <c r="OSB115" s="197" t="str">
        <f>VLOOKUP(OSA115,[13]AssetDetails_UEM!$A$3:$AH$1849,6,FALSE)</f>
        <v>Electrosurgical Units, Monopolar/Bipolar</v>
      </c>
      <c r="OSC115" s="196" t="s">
        <v>761</v>
      </c>
      <c r="OSD115" s="197" t="str">
        <f>VLOOKUP(OSC115,[13]AssetDetails_UEM!$A$3:$AH$1849,6,FALSE)</f>
        <v>Electrosurgical Units, Monopolar/Bipolar</v>
      </c>
      <c r="OSE115" s="196" t="s">
        <v>761</v>
      </c>
      <c r="OSF115" s="197" t="str">
        <f>VLOOKUP(OSE115,[13]AssetDetails_UEM!$A$3:$AH$1849,6,FALSE)</f>
        <v>Electrosurgical Units, Monopolar/Bipolar</v>
      </c>
      <c r="OSG115" s="196" t="s">
        <v>761</v>
      </c>
      <c r="OSH115" s="197" t="str">
        <f>VLOOKUP(OSG115,[13]AssetDetails_UEM!$A$3:$AH$1849,6,FALSE)</f>
        <v>Electrosurgical Units, Monopolar/Bipolar</v>
      </c>
      <c r="OSI115" s="196" t="s">
        <v>761</v>
      </c>
      <c r="OSJ115" s="197" t="str">
        <f>VLOOKUP(OSI115,[13]AssetDetails_UEM!$A$3:$AH$1849,6,FALSE)</f>
        <v>Electrosurgical Units, Monopolar/Bipolar</v>
      </c>
      <c r="OSK115" s="196" t="s">
        <v>761</v>
      </c>
      <c r="OSL115" s="197" t="str">
        <f>VLOOKUP(OSK115,[13]AssetDetails_UEM!$A$3:$AH$1849,6,FALSE)</f>
        <v>Electrosurgical Units, Monopolar/Bipolar</v>
      </c>
      <c r="OSM115" s="196" t="s">
        <v>761</v>
      </c>
      <c r="OSN115" s="197" t="str">
        <f>VLOOKUP(OSM115,[13]AssetDetails_UEM!$A$3:$AH$1849,6,FALSE)</f>
        <v>Electrosurgical Units, Monopolar/Bipolar</v>
      </c>
      <c r="OSO115" s="196" t="s">
        <v>761</v>
      </c>
      <c r="OSP115" s="197" t="str">
        <f>VLOOKUP(OSO115,[13]AssetDetails_UEM!$A$3:$AH$1849,6,FALSE)</f>
        <v>Electrosurgical Units, Monopolar/Bipolar</v>
      </c>
      <c r="OSQ115" s="196" t="s">
        <v>761</v>
      </c>
      <c r="OSR115" s="197" t="str">
        <f>VLOOKUP(OSQ115,[13]AssetDetails_UEM!$A$3:$AH$1849,6,FALSE)</f>
        <v>Electrosurgical Units, Monopolar/Bipolar</v>
      </c>
      <c r="OSS115" s="196" t="s">
        <v>761</v>
      </c>
      <c r="OST115" s="197" t="str">
        <f>VLOOKUP(OSS115,[13]AssetDetails_UEM!$A$3:$AH$1849,6,FALSE)</f>
        <v>Electrosurgical Units, Monopolar/Bipolar</v>
      </c>
      <c r="OSU115" s="196" t="s">
        <v>761</v>
      </c>
      <c r="OSV115" s="197" t="str">
        <f>VLOOKUP(OSU115,[13]AssetDetails_UEM!$A$3:$AH$1849,6,FALSE)</f>
        <v>Electrosurgical Units, Monopolar/Bipolar</v>
      </c>
      <c r="OSW115" s="196" t="s">
        <v>761</v>
      </c>
      <c r="OSX115" s="197" t="str">
        <f>VLOOKUP(OSW115,[13]AssetDetails_UEM!$A$3:$AH$1849,6,FALSE)</f>
        <v>Electrosurgical Units, Monopolar/Bipolar</v>
      </c>
      <c r="OSY115" s="196" t="s">
        <v>761</v>
      </c>
      <c r="OSZ115" s="197" t="str">
        <f>VLOOKUP(OSY115,[13]AssetDetails_UEM!$A$3:$AH$1849,6,FALSE)</f>
        <v>Electrosurgical Units, Monopolar/Bipolar</v>
      </c>
      <c r="OTA115" s="196" t="s">
        <v>761</v>
      </c>
      <c r="OTB115" s="197" t="str">
        <f>VLOOKUP(OTA115,[13]AssetDetails_UEM!$A$3:$AH$1849,6,FALSE)</f>
        <v>Electrosurgical Units, Monopolar/Bipolar</v>
      </c>
      <c r="OTC115" s="196" t="s">
        <v>761</v>
      </c>
      <c r="OTD115" s="197" t="str">
        <f>VLOOKUP(OTC115,[13]AssetDetails_UEM!$A$3:$AH$1849,6,FALSE)</f>
        <v>Electrosurgical Units, Monopolar/Bipolar</v>
      </c>
      <c r="OTE115" s="196" t="s">
        <v>761</v>
      </c>
      <c r="OTF115" s="197" t="str">
        <f>VLOOKUP(OTE115,[13]AssetDetails_UEM!$A$3:$AH$1849,6,FALSE)</f>
        <v>Electrosurgical Units, Monopolar/Bipolar</v>
      </c>
      <c r="OTG115" s="196" t="s">
        <v>761</v>
      </c>
      <c r="OTH115" s="197" t="str">
        <f>VLOOKUP(OTG115,[13]AssetDetails_UEM!$A$3:$AH$1849,6,FALSE)</f>
        <v>Electrosurgical Units, Monopolar/Bipolar</v>
      </c>
      <c r="OTI115" s="196" t="s">
        <v>761</v>
      </c>
      <c r="OTJ115" s="197" t="str">
        <f>VLOOKUP(OTI115,[13]AssetDetails_UEM!$A$3:$AH$1849,6,FALSE)</f>
        <v>Electrosurgical Units, Monopolar/Bipolar</v>
      </c>
      <c r="OTK115" s="196" t="s">
        <v>761</v>
      </c>
      <c r="OTL115" s="197" t="str">
        <f>VLOOKUP(OTK115,[13]AssetDetails_UEM!$A$3:$AH$1849,6,FALSE)</f>
        <v>Electrosurgical Units, Monopolar/Bipolar</v>
      </c>
      <c r="OTM115" s="196" t="s">
        <v>761</v>
      </c>
      <c r="OTN115" s="197" t="str">
        <f>VLOOKUP(OTM115,[13]AssetDetails_UEM!$A$3:$AH$1849,6,FALSE)</f>
        <v>Electrosurgical Units, Monopolar/Bipolar</v>
      </c>
      <c r="OTO115" s="196" t="s">
        <v>761</v>
      </c>
      <c r="OTP115" s="197" t="str">
        <f>VLOOKUP(OTO115,[13]AssetDetails_UEM!$A$3:$AH$1849,6,FALSE)</f>
        <v>Electrosurgical Units, Monopolar/Bipolar</v>
      </c>
      <c r="OTQ115" s="196" t="s">
        <v>761</v>
      </c>
      <c r="OTR115" s="197" t="str">
        <f>VLOOKUP(OTQ115,[13]AssetDetails_UEM!$A$3:$AH$1849,6,FALSE)</f>
        <v>Electrosurgical Units, Monopolar/Bipolar</v>
      </c>
      <c r="OTS115" s="196" t="s">
        <v>761</v>
      </c>
      <c r="OTT115" s="197" t="str">
        <f>VLOOKUP(OTS115,[13]AssetDetails_UEM!$A$3:$AH$1849,6,FALSE)</f>
        <v>Electrosurgical Units, Monopolar/Bipolar</v>
      </c>
      <c r="OTU115" s="196" t="s">
        <v>761</v>
      </c>
      <c r="OTV115" s="197" t="str">
        <f>VLOOKUP(OTU115,[13]AssetDetails_UEM!$A$3:$AH$1849,6,FALSE)</f>
        <v>Electrosurgical Units, Monopolar/Bipolar</v>
      </c>
      <c r="OTW115" s="196" t="s">
        <v>761</v>
      </c>
      <c r="OTX115" s="197" t="str">
        <f>VLOOKUP(OTW115,[13]AssetDetails_UEM!$A$3:$AH$1849,6,FALSE)</f>
        <v>Electrosurgical Units, Monopolar/Bipolar</v>
      </c>
      <c r="OTY115" s="196" t="s">
        <v>761</v>
      </c>
      <c r="OTZ115" s="197" t="str">
        <f>VLOOKUP(OTY115,[13]AssetDetails_UEM!$A$3:$AH$1849,6,FALSE)</f>
        <v>Electrosurgical Units, Monopolar/Bipolar</v>
      </c>
      <c r="OUA115" s="196" t="s">
        <v>761</v>
      </c>
      <c r="OUB115" s="197" t="str">
        <f>VLOOKUP(OUA115,[13]AssetDetails_UEM!$A$3:$AH$1849,6,FALSE)</f>
        <v>Electrosurgical Units, Monopolar/Bipolar</v>
      </c>
      <c r="OUC115" s="196" t="s">
        <v>761</v>
      </c>
      <c r="OUD115" s="197" t="str">
        <f>VLOOKUP(OUC115,[13]AssetDetails_UEM!$A$3:$AH$1849,6,FALSE)</f>
        <v>Electrosurgical Units, Monopolar/Bipolar</v>
      </c>
      <c r="OUE115" s="196" t="s">
        <v>761</v>
      </c>
      <c r="OUF115" s="197" t="str">
        <f>VLOOKUP(OUE115,[13]AssetDetails_UEM!$A$3:$AH$1849,6,FALSE)</f>
        <v>Electrosurgical Units, Monopolar/Bipolar</v>
      </c>
      <c r="OUG115" s="196" t="s">
        <v>761</v>
      </c>
      <c r="OUH115" s="197" t="str">
        <f>VLOOKUP(OUG115,[13]AssetDetails_UEM!$A$3:$AH$1849,6,FALSE)</f>
        <v>Electrosurgical Units, Monopolar/Bipolar</v>
      </c>
      <c r="OUI115" s="196" t="s">
        <v>761</v>
      </c>
      <c r="OUJ115" s="197" t="str">
        <f>VLOOKUP(OUI115,[13]AssetDetails_UEM!$A$3:$AH$1849,6,FALSE)</f>
        <v>Electrosurgical Units, Monopolar/Bipolar</v>
      </c>
      <c r="OUK115" s="196" t="s">
        <v>761</v>
      </c>
      <c r="OUL115" s="197" t="str">
        <f>VLOOKUP(OUK115,[13]AssetDetails_UEM!$A$3:$AH$1849,6,FALSE)</f>
        <v>Electrosurgical Units, Monopolar/Bipolar</v>
      </c>
      <c r="OUM115" s="196" t="s">
        <v>761</v>
      </c>
      <c r="OUN115" s="197" t="str">
        <f>VLOOKUP(OUM115,[13]AssetDetails_UEM!$A$3:$AH$1849,6,FALSE)</f>
        <v>Electrosurgical Units, Monopolar/Bipolar</v>
      </c>
      <c r="OUO115" s="196" t="s">
        <v>761</v>
      </c>
      <c r="OUP115" s="197" t="str">
        <f>VLOOKUP(OUO115,[13]AssetDetails_UEM!$A$3:$AH$1849,6,FALSE)</f>
        <v>Electrosurgical Units, Monopolar/Bipolar</v>
      </c>
      <c r="OUQ115" s="196" t="s">
        <v>761</v>
      </c>
      <c r="OUR115" s="197" t="str">
        <f>VLOOKUP(OUQ115,[13]AssetDetails_UEM!$A$3:$AH$1849,6,FALSE)</f>
        <v>Electrosurgical Units, Monopolar/Bipolar</v>
      </c>
      <c r="OUS115" s="196" t="s">
        <v>761</v>
      </c>
      <c r="OUT115" s="197" t="str">
        <f>VLOOKUP(OUS115,[13]AssetDetails_UEM!$A$3:$AH$1849,6,FALSE)</f>
        <v>Electrosurgical Units, Monopolar/Bipolar</v>
      </c>
      <c r="OUU115" s="196" t="s">
        <v>761</v>
      </c>
      <c r="OUV115" s="197" t="str">
        <f>VLOOKUP(OUU115,[13]AssetDetails_UEM!$A$3:$AH$1849,6,FALSE)</f>
        <v>Electrosurgical Units, Monopolar/Bipolar</v>
      </c>
      <c r="OUW115" s="196" t="s">
        <v>761</v>
      </c>
      <c r="OUX115" s="197" t="str">
        <f>VLOOKUP(OUW115,[13]AssetDetails_UEM!$A$3:$AH$1849,6,FALSE)</f>
        <v>Electrosurgical Units, Monopolar/Bipolar</v>
      </c>
      <c r="OUY115" s="196" t="s">
        <v>761</v>
      </c>
      <c r="OUZ115" s="197" t="str">
        <f>VLOOKUP(OUY115,[13]AssetDetails_UEM!$A$3:$AH$1849,6,FALSE)</f>
        <v>Electrosurgical Units, Monopolar/Bipolar</v>
      </c>
      <c r="OVA115" s="196" t="s">
        <v>761</v>
      </c>
      <c r="OVB115" s="197" t="str">
        <f>VLOOKUP(OVA115,[13]AssetDetails_UEM!$A$3:$AH$1849,6,FALSE)</f>
        <v>Electrosurgical Units, Monopolar/Bipolar</v>
      </c>
      <c r="OVC115" s="196" t="s">
        <v>761</v>
      </c>
      <c r="OVD115" s="197" t="str">
        <f>VLOOKUP(OVC115,[13]AssetDetails_UEM!$A$3:$AH$1849,6,FALSE)</f>
        <v>Electrosurgical Units, Monopolar/Bipolar</v>
      </c>
      <c r="OVE115" s="196" t="s">
        <v>761</v>
      </c>
      <c r="OVF115" s="197" t="str">
        <f>VLOOKUP(OVE115,[13]AssetDetails_UEM!$A$3:$AH$1849,6,FALSE)</f>
        <v>Electrosurgical Units, Monopolar/Bipolar</v>
      </c>
      <c r="OVG115" s="196" t="s">
        <v>761</v>
      </c>
      <c r="OVH115" s="197" t="str">
        <f>VLOOKUP(OVG115,[13]AssetDetails_UEM!$A$3:$AH$1849,6,FALSE)</f>
        <v>Electrosurgical Units, Monopolar/Bipolar</v>
      </c>
      <c r="OVI115" s="196" t="s">
        <v>761</v>
      </c>
      <c r="OVJ115" s="197" t="str">
        <f>VLOOKUP(OVI115,[13]AssetDetails_UEM!$A$3:$AH$1849,6,FALSE)</f>
        <v>Electrosurgical Units, Monopolar/Bipolar</v>
      </c>
      <c r="OVK115" s="196" t="s">
        <v>761</v>
      </c>
      <c r="OVL115" s="197" t="str">
        <f>VLOOKUP(OVK115,[13]AssetDetails_UEM!$A$3:$AH$1849,6,FALSE)</f>
        <v>Electrosurgical Units, Monopolar/Bipolar</v>
      </c>
      <c r="OVM115" s="196" t="s">
        <v>761</v>
      </c>
      <c r="OVN115" s="197" t="str">
        <f>VLOOKUP(OVM115,[13]AssetDetails_UEM!$A$3:$AH$1849,6,FALSE)</f>
        <v>Electrosurgical Units, Monopolar/Bipolar</v>
      </c>
      <c r="OVO115" s="196" t="s">
        <v>761</v>
      </c>
      <c r="OVP115" s="197" t="str">
        <f>VLOOKUP(OVO115,[13]AssetDetails_UEM!$A$3:$AH$1849,6,FALSE)</f>
        <v>Electrosurgical Units, Monopolar/Bipolar</v>
      </c>
      <c r="OVQ115" s="196" t="s">
        <v>761</v>
      </c>
      <c r="OVR115" s="197" t="str">
        <f>VLOOKUP(OVQ115,[13]AssetDetails_UEM!$A$3:$AH$1849,6,FALSE)</f>
        <v>Electrosurgical Units, Monopolar/Bipolar</v>
      </c>
      <c r="OVS115" s="196" t="s">
        <v>761</v>
      </c>
      <c r="OVT115" s="197" t="str">
        <f>VLOOKUP(OVS115,[13]AssetDetails_UEM!$A$3:$AH$1849,6,FALSE)</f>
        <v>Electrosurgical Units, Monopolar/Bipolar</v>
      </c>
      <c r="OVU115" s="196" t="s">
        <v>761</v>
      </c>
      <c r="OVV115" s="197" t="str">
        <f>VLOOKUP(OVU115,[13]AssetDetails_UEM!$A$3:$AH$1849,6,FALSE)</f>
        <v>Electrosurgical Units, Monopolar/Bipolar</v>
      </c>
      <c r="OVW115" s="196" t="s">
        <v>761</v>
      </c>
      <c r="OVX115" s="197" t="str">
        <f>VLOOKUP(OVW115,[13]AssetDetails_UEM!$A$3:$AH$1849,6,FALSE)</f>
        <v>Electrosurgical Units, Monopolar/Bipolar</v>
      </c>
      <c r="OVY115" s="196" t="s">
        <v>761</v>
      </c>
      <c r="OVZ115" s="197" t="str">
        <f>VLOOKUP(OVY115,[13]AssetDetails_UEM!$A$3:$AH$1849,6,FALSE)</f>
        <v>Electrosurgical Units, Monopolar/Bipolar</v>
      </c>
      <c r="OWA115" s="196" t="s">
        <v>761</v>
      </c>
      <c r="OWB115" s="197" t="str">
        <f>VLOOKUP(OWA115,[13]AssetDetails_UEM!$A$3:$AH$1849,6,FALSE)</f>
        <v>Electrosurgical Units, Monopolar/Bipolar</v>
      </c>
      <c r="OWC115" s="196" t="s">
        <v>761</v>
      </c>
      <c r="OWD115" s="197" t="str">
        <f>VLOOKUP(OWC115,[13]AssetDetails_UEM!$A$3:$AH$1849,6,FALSE)</f>
        <v>Electrosurgical Units, Monopolar/Bipolar</v>
      </c>
      <c r="OWE115" s="196" t="s">
        <v>761</v>
      </c>
      <c r="OWF115" s="197" t="str">
        <f>VLOOKUP(OWE115,[13]AssetDetails_UEM!$A$3:$AH$1849,6,FALSE)</f>
        <v>Electrosurgical Units, Monopolar/Bipolar</v>
      </c>
      <c r="OWG115" s="196" t="s">
        <v>761</v>
      </c>
      <c r="OWH115" s="197" t="str">
        <f>VLOOKUP(OWG115,[13]AssetDetails_UEM!$A$3:$AH$1849,6,FALSE)</f>
        <v>Electrosurgical Units, Monopolar/Bipolar</v>
      </c>
      <c r="OWI115" s="196" t="s">
        <v>761</v>
      </c>
      <c r="OWJ115" s="197" t="str">
        <f>VLOOKUP(OWI115,[13]AssetDetails_UEM!$A$3:$AH$1849,6,FALSE)</f>
        <v>Electrosurgical Units, Monopolar/Bipolar</v>
      </c>
      <c r="OWK115" s="196" t="s">
        <v>761</v>
      </c>
      <c r="OWL115" s="197" t="str">
        <f>VLOOKUP(OWK115,[13]AssetDetails_UEM!$A$3:$AH$1849,6,FALSE)</f>
        <v>Electrosurgical Units, Monopolar/Bipolar</v>
      </c>
      <c r="OWM115" s="196" t="s">
        <v>761</v>
      </c>
      <c r="OWN115" s="197" t="str">
        <f>VLOOKUP(OWM115,[13]AssetDetails_UEM!$A$3:$AH$1849,6,FALSE)</f>
        <v>Electrosurgical Units, Monopolar/Bipolar</v>
      </c>
      <c r="OWO115" s="196" t="s">
        <v>761</v>
      </c>
      <c r="OWP115" s="197" t="str">
        <f>VLOOKUP(OWO115,[13]AssetDetails_UEM!$A$3:$AH$1849,6,FALSE)</f>
        <v>Electrosurgical Units, Monopolar/Bipolar</v>
      </c>
      <c r="OWQ115" s="196" t="s">
        <v>761</v>
      </c>
      <c r="OWR115" s="197" t="str">
        <f>VLOOKUP(OWQ115,[13]AssetDetails_UEM!$A$3:$AH$1849,6,FALSE)</f>
        <v>Electrosurgical Units, Monopolar/Bipolar</v>
      </c>
      <c r="OWS115" s="196" t="s">
        <v>761</v>
      </c>
      <c r="OWT115" s="197" t="str">
        <f>VLOOKUP(OWS115,[13]AssetDetails_UEM!$A$3:$AH$1849,6,FALSE)</f>
        <v>Electrosurgical Units, Monopolar/Bipolar</v>
      </c>
      <c r="OWU115" s="196" t="s">
        <v>761</v>
      </c>
      <c r="OWV115" s="197" t="str">
        <f>VLOOKUP(OWU115,[13]AssetDetails_UEM!$A$3:$AH$1849,6,FALSE)</f>
        <v>Electrosurgical Units, Monopolar/Bipolar</v>
      </c>
      <c r="OWW115" s="196" t="s">
        <v>761</v>
      </c>
      <c r="OWX115" s="197" t="str">
        <f>VLOOKUP(OWW115,[13]AssetDetails_UEM!$A$3:$AH$1849,6,FALSE)</f>
        <v>Electrosurgical Units, Monopolar/Bipolar</v>
      </c>
      <c r="OWY115" s="196" t="s">
        <v>761</v>
      </c>
      <c r="OWZ115" s="197" t="str">
        <f>VLOOKUP(OWY115,[13]AssetDetails_UEM!$A$3:$AH$1849,6,FALSE)</f>
        <v>Electrosurgical Units, Monopolar/Bipolar</v>
      </c>
      <c r="OXA115" s="196" t="s">
        <v>761</v>
      </c>
      <c r="OXB115" s="197" t="str">
        <f>VLOOKUP(OXA115,[13]AssetDetails_UEM!$A$3:$AH$1849,6,FALSE)</f>
        <v>Electrosurgical Units, Monopolar/Bipolar</v>
      </c>
      <c r="OXC115" s="196" t="s">
        <v>761</v>
      </c>
      <c r="OXD115" s="197" t="str">
        <f>VLOOKUP(OXC115,[13]AssetDetails_UEM!$A$3:$AH$1849,6,FALSE)</f>
        <v>Electrosurgical Units, Monopolar/Bipolar</v>
      </c>
      <c r="OXE115" s="196" t="s">
        <v>761</v>
      </c>
      <c r="OXF115" s="197" t="str">
        <f>VLOOKUP(OXE115,[13]AssetDetails_UEM!$A$3:$AH$1849,6,FALSE)</f>
        <v>Electrosurgical Units, Monopolar/Bipolar</v>
      </c>
      <c r="OXG115" s="196" t="s">
        <v>761</v>
      </c>
      <c r="OXH115" s="197" t="str">
        <f>VLOOKUP(OXG115,[13]AssetDetails_UEM!$A$3:$AH$1849,6,FALSE)</f>
        <v>Electrosurgical Units, Monopolar/Bipolar</v>
      </c>
      <c r="OXI115" s="196" t="s">
        <v>761</v>
      </c>
      <c r="OXJ115" s="197" t="str">
        <f>VLOOKUP(OXI115,[13]AssetDetails_UEM!$A$3:$AH$1849,6,FALSE)</f>
        <v>Electrosurgical Units, Monopolar/Bipolar</v>
      </c>
      <c r="OXK115" s="196" t="s">
        <v>761</v>
      </c>
      <c r="OXL115" s="197" t="str">
        <f>VLOOKUP(OXK115,[13]AssetDetails_UEM!$A$3:$AH$1849,6,FALSE)</f>
        <v>Electrosurgical Units, Monopolar/Bipolar</v>
      </c>
      <c r="OXM115" s="196" t="s">
        <v>761</v>
      </c>
      <c r="OXN115" s="197" t="str">
        <f>VLOOKUP(OXM115,[13]AssetDetails_UEM!$A$3:$AH$1849,6,FALSE)</f>
        <v>Electrosurgical Units, Monopolar/Bipolar</v>
      </c>
      <c r="OXO115" s="196" t="s">
        <v>761</v>
      </c>
      <c r="OXP115" s="197" t="str">
        <f>VLOOKUP(OXO115,[13]AssetDetails_UEM!$A$3:$AH$1849,6,FALSE)</f>
        <v>Electrosurgical Units, Monopolar/Bipolar</v>
      </c>
      <c r="OXQ115" s="196" t="s">
        <v>761</v>
      </c>
      <c r="OXR115" s="197" t="str">
        <f>VLOOKUP(OXQ115,[13]AssetDetails_UEM!$A$3:$AH$1849,6,FALSE)</f>
        <v>Electrosurgical Units, Monopolar/Bipolar</v>
      </c>
      <c r="OXS115" s="196" t="s">
        <v>761</v>
      </c>
      <c r="OXT115" s="197" t="str">
        <f>VLOOKUP(OXS115,[13]AssetDetails_UEM!$A$3:$AH$1849,6,FALSE)</f>
        <v>Electrosurgical Units, Monopolar/Bipolar</v>
      </c>
      <c r="OXU115" s="196" t="s">
        <v>761</v>
      </c>
      <c r="OXV115" s="197" t="str">
        <f>VLOOKUP(OXU115,[13]AssetDetails_UEM!$A$3:$AH$1849,6,FALSE)</f>
        <v>Electrosurgical Units, Monopolar/Bipolar</v>
      </c>
      <c r="OXW115" s="196" t="s">
        <v>761</v>
      </c>
      <c r="OXX115" s="197" t="str">
        <f>VLOOKUP(OXW115,[13]AssetDetails_UEM!$A$3:$AH$1849,6,FALSE)</f>
        <v>Electrosurgical Units, Monopolar/Bipolar</v>
      </c>
      <c r="OXY115" s="196" t="s">
        <v>761</v>
      </c>
      <c r="OXZ115" s="197" t="str">
        <f>VLOOKUP(OXY115,[13]AssetDetails_UEM!$A$3:$AH$1849,6,FALSE)</f>
        <v>Electrosurgical Units, Monopolar/Bipolar</v>
      </c>
      <c r="OYA115" s="196" t="s">
        <v>761</v>
      </c>
      <c r="OYB115" s="197" t="str">
        <f>VLOOKUP(OYA115,[13]AssetDetails_UEM!$A$3:$AH$1849,6,FALSE)</f>
        <v>Electrosurgical Units, Monopolar/Bipolar</v>
      </c>
      <c r="OYC115" s="196" t="s">
        <v>761</v>
      </c>
      <c r="OYD115" s="197" t="str">
        <f>VLOOKUP(OYC115,[13]AssetDetails_UEM!$A$3:$AH$1849,6,FALSE)</f>
        <v>Electrosurgical Units, Monopolar/Bipolar</v>
      </c>
      <c r="OYE115" s="196" t="s">
        <v>761</v>
      </c>
      <c r="OYF115" s="197" t="str">
        <f>VLOOKUP(OYE115,[13]AssetDetails_UEM!$A$3:$AH$1849,6,FALSE)</f>
        <v>Electrosurgical Units, Monopolar/Bipolar</v>
      </c>
      <c r="OYG115" s="196" t="s">
        <v>761</v>
      </c>
      <c r="OYH115" s="197" t="str">
        <f>VLOOKUP(OYG115,[13]AssetDetails_UEM!$A$3:$AH$1849,6,FALSE)</f>
        <v>Electrosurgical Units, Monopolar/Bipolar</v>
      </c>
      <c r="OYI115" s="196" t="s">
        <v>761</v>
      </c>
      <c r="OYJ115" s="197" t="str">
        <f>VLOOKUP(OYI115,[13]AssetDetails_UEM!$A$3:$AH$1849,6,FALSE)</f>
        <v>Electrosurgical Units, Monopolar/Bipolar</v>
      </c>
      <c r="OYK115" s="196" t="s">
        <v>761</v>
      </c>
      <c r="OYL115" s="197" t="str">
        <f>VLOOKUP(OYK115,[13]AssetDetails_UEM!$A$3:$AH$1849,6,FALSE)</f>
        <v>Electrosurgical Units, Monopolar/Bipolar</v>
      </c>
      <c r="OYM115" s="196" t="s">
        <v>761</v>
      </c>
      <c r="OYN115" s="197" t="str">
        <f>VLOOKUP(OYM115,[13]AssetDetails_UEM!$A$3:$AH$1849,6,FALSE)</f>
        <v>Electrosurgical Units, Monopolar/Bipolar</v>
      </c>
      <c r="OYO115" s="196" t="s">
        <v>761</v>
      </c>
      <c r="OYP115" s="197" t="str">
        <f>VLOOKUP(OYO115,[13]AssetDetails_UEM!$A$3:$AH$1849,6,FALSE)</f>
        <v>Electrosurgical Units, Monopolar/Bipolar</v>
      </c>
      <c r="OYQ115" s="196" t="s">
        <v>761</v>
      </c>
      <c r="OYR115" s="197" t="str">
        <f>VLOOKUP(OYQ115,[13]AssetDetails_UEM!$A$3:$AH$1849,6,FALSE)</f>
        <v>Electrosurgical Units, Monopolar/Bipolar</v>
      </c>
      <c r="OYS115" s="196" t="s">
        <v>761</v>
      </c>
      <c r="OYT115" s="197" t="str">
        <f>VLOOKUP(OYS115,[13]AssetDetails_UEM!$A$3:$AH$1849,6,FALSE)</f>
        <v>Electrosurgical Units, Monopolar/Bipolar</v>
      </c>
      <c r="OYU115" s="196" t="s">
        <v>761</v>
      </c>
      <c r="OYV115" s="197" t="str">
        <f>VLOOKUP(OYU115,[13]AssetDetails_UEM!$A$3:$AH$1849,6,FALSE)</f>
        <v>Electrosurgical Units, Monopolar/Bipolar</v>
      </c>
      <c r="OYW115" s="196" t="s">
        <v>761</v>
      </c>
      <c r="OYX115" s="197" t="str">
        <f>VLOOKUP(OYW115,[13]AssetDetails_UEM!$A$3:$AH$1849,6,FALSE)</f>
        <v>Electrosurgical Units, Monopolar/Bipolar</v>
      </c>
      <c r="OYY115" s="196" t="s">
        <v>761</v>
      </c>
      <c r="OYZ115" s="197" t="str">
        <f>VLOOKUP(OYY115,[13]AssetDetails_UEM!$A$3:$AH$1849,6,FALSE)</f>
        <v>Electrosurgical Units, Monopolar/Bipolar</v>
      </c>
      <c r="OZA115" s="196" t="s">
        <v>761</v>
      </c>
      <c r="OZB115" s="197" t="str">
        <f>VLOOKUP(OZA115,[13]AssetDetails_UEM!$A$3:$AH$1849,6,FALSE)</f>
        <v>Electrosurgical Units, Monopolar/Bipolar</v>
      </c>
      <c r="OZC115" s="196" t="s">
        <v>761</v>
      </c>
      <c r="OZD115" s="197" t="str">
        <f>VLOOKUP(OZC115,[13]AssetDetails_UEM!$A$3:$AH$1849,6,FALSE)</f>
        <v>Electrosurgical Units, Monopolar/Bipolar</v>
      </c>
      <c r="OZE115" s="196" t="s">
        <v>761</v>
      </c>
      <c r="OZF115" s="197" t="str">
        <f>VLOOKUP(OZE115,[13]AssetDetails_UEM!$A$3:$AH$1849,6,FALSE)</f>
        <v>Electrosurgical Units, Monopolar/Bipolar</v>
      </c>
      <c r="OZG115" s="196" t="s">
        <v>761</v>
      </c>
      <c r="OZH115" s="197" t="str">
        <f>VLOOKUP(OZG115,[13]AssetDetails_UEM!$A$3:$AH$1849,6,FALSE)</f>
        <v>Electrosurgical Units, Monopolar/Bipolar</v>
      </c>
      <c r="OZI115" s="196" t="s">
        <v>761</v>
      </c>
      <c r="OZJ115" s="197" t="str">
        <f>VLOOKUP(OZI115,[13]AssetDetails_UEM!$A$3:$AH$1849,6,FALSE)</f>
        <v>Electrosurgical Units, Monopolar/Bipolar</v>
      </c>
      <c r="OZK115" s="196" t="s">
        <v>761</v>
      </c>
      <c r="OZL115" s="197" t="str">
        <f>VLOOKUP(OZK115,[13]AssetDetails_UEM!$A$3:$AH$1849,6,FALSE)</f>
        <v>Electrosurgical Units, Monopolar/Bipolar</v>
      </c>
      <c r="OZM115" s="196" t="s">
        <v>761</v>
      </c>
      <c r="OZN115" s="197" t="str">
        <f>VLOOKUP(OZM115,[13]AssetDetails_UEM!$A$3:$AH$1849,6,FALSE)</f>
        <v>Electrosurgical Units, Monopolar/Bipolar</v>
      </c>
      <c r="OZO115" s="196" t="s">
        <v>761</v>
      </c>
      <c r="OZP115" s="197" t="str">
        <f>VLOOKUP(OZO115,[13]AssetDetails_UEM!$A$3:$AH$1849,6,FALSE)</f>
        <v>Electrosurgical Units, Monopolar/Bipolar</v>
      </c>
      <c r="OZQ115" s="196" t="s">
        <v>761</v>
      </c>
      <c r="OZR115" s="197" t="str">
        <f>VLOOKUP(OZQ115,[13]AssetDetails_UEM!$A$3:$AH$1849,6,FALSE)</f>
        <v>Electrosurgical Units, Monopolar/Bipolar</v>
      </c>
      <c r="OZS115" s="196" t="s">
        <v>761</v>
      </c>
      <c r="OZT115" s="197" t="str">
        <f>VLOOKUP(OZS115,[13]AssetDetails_UEM!$A$3:$AH$1849,6,FALSE)</f>
        <v>Electrosurgical Units, Monopolar/Bipolar</v>
      </c>
      <c r="OZU115" s="196" t="s">
        <v>761</v>
      </c>
      <c r="OZV115" s="197" t="str">
        <f>VLOOKUP(OZU115,[13]AssetDetails_UEM!$A$3:$AH$1849,6,FALSE)</f>
        <v>Electrosurgical Units, Monopolar/Bipolar</v>
      </c>
      <c r="OZW115" s="196" t="s">
        <v>761</v>
      </c>
      <c r="OZX115" s="197" t="str">
        <f>VLOOKUP(OZW115,[13]AssetDetails_UEM!$A$3:$AH$1849,6,FALSE)</f>
        <v>Electrosurgical Units, Monopolar/Bipolar</v>
      </c>
      <c r="OZY115" s="196" t="s">
        <v>761</v>
      </c>
      <c r="OZZ115" s="197" t="str">
        <f>VLOOKUP(OZY115,[13]AssetDetails_UEM!$A$3:$AH$1849,6,FALSE)</f>
        <v>Electrosurgical Units, Monopolar/Bipolar</v>
      </c>
      <c r="PAA115" s="196" t="s">
        <v>761</v>
      </c>
      <c r="PAB115" s="197" t="str">
        <f>VLOOKUP(PAA115,[13]AssetDetails_UEM!$A$3:$AH$1849,6,FALSE)</f>
        <v>Electrosurgical Units, Monopolar/Bipolar</v>
      </c>
      <c r="PAC115" s="196" t="s">
        <v>761</v>
      </c>
      <c r="PAD115" s="197" t="str">
        <f>VLOOKUP(PAC115,[13]AssetDetails_UEM!$A$3:$AH$1849,6,FALSE)</f>
        <v>Electrosurgical Units, Monopolar/Bipolar</v>
      </c>
      <c r="PAE115" s="196" t="s">
        <v>761</v>
      </c>
      <c r="PAF115" s="197" t="str">
        <f>VLOOKUP(PAE115,[13]AssetDetails_UEM!$A$3:$AH$1849,6,FALSE)</f>
        <v>Electrosurgical Units, Monopolar/Bipolar</v>
      </c>
      <c r="PAG115" s="196" t="s">
        <v>761</v>
      </c>
      <c r="PAH115" s="197" t="str">
        <f>VLOOKUP(PAG115,[13]AssetDetails_UEM!$A$3:$AH$1849,6,FALSE)</f>
        <v>Electrosurgical Units, Monopolar/Bipolar</v>
      </c>
      <c r="PAI115" s="196" t="s">
        <v>761</v>
      </c>
      <c r="PAJ115" s="197" t="str">
        <f>VLOOKUP(PAI115,[13]AssetDetails_UEM!$A$3:$AH$1849,6,FALSE)</f>
        <v>Electrosurgical Units, Monopolar/Bipolar</v>
      </c>
      <c r="PAK115" s="196" t="s">
        <v>761</v>
      </c>
      <c r="PAL115" s="197" t="str">
        <f>VLOOKUP(PAK115,[13]AssetDetails_UEM!$A$3:$AH$1849,6,FALSE)</f>
        <v>Electrosurgical Units, Monopolar/Bipolar</v>
      </c>
      <c r="PAM115" s="196" t="s">
        <v>761</v>
      </c>
      <c r="PAN115" s="197" t="str">
        <f>VLOOKUP(PAM115,[13]AssetDetails_UEM!$A$3:$AH$1849,6,FALSE)</f>
        <v>Electrosurgical Units, Monopolar/Bipolar</v>
      </c>
      <c r="PAO115" s="196" t="s">
        <v>761</v>
      </c>
      <c r="PAP115" s="197" t="str">
        <f>VLOOKUP(PAO115,[13]AssetDetails_UEM!$A$3:$AH$1849,6,FALSE)</f>
        <v>Electrosurgical Units, Monopolar/Bipolar</v>
      </c>
      <c r="PAQ115" s="196" t="s">
        <v>761</v>
      </c>
      <c r="PAR115" s="197" t="str">
        <f>VLOOKUP(PAQ115,[13]AssetDetails_UEM!$A$3:$AH$1849,6,FALSE)</f>
        <v>Electrosurgical Units, Monopolar/Bipolar</v>
      </c>
      <c r="PAS115" s="196" t="s">
        <v>761</v>
      </c>
      <c r="PAT115" s="197" t="str">
        <f>VLOOKUP(PAS115,[13]AssetDetails_UEM!$A$3:$AH$1849,6,FALSE)</f>
        <v>Electrosurgical Units, Monopolar/Bipolar</v>
      </c>
      <c r="PAU115" s="196" t="s">
        <v>761</v>
      </c>
      <c r="PAV115" s="197" t="str">
        <f>VLOOKUP(PAU115,[13]AssetDetails_UEM!$A$3:$AH$1849,6,FALSE)</f>
        <v>Electrosurgical Units, Monopolar/Bipolar</v>
      </c>
      <c r="PAW115" s="196" t="s">
        <v>761</v>
      </c>
      <c r="PAX115" s="197" t="str">
        <f>VLOOKUP(PAW115,[13]AssetDetails_UEM!$A$3:$AH$1849,6,FALSE)</f>
        <v>Electrosurgical Units, Monopolar/Bipolar</v>
      </c>
      <c r="PAY115" s="196" t="s">
        <v>761</v>
      </c>
      <c r="PAZ115" s="197" t="str">
        <f>VLOOKUP(PAY115,[13]AssetDetails_UEM!$A$3:$AH$1849,6,FALSE)</f>
        <v>Electrosurgical Units, Monopolar/Bipolar</v>
      </c>
      <c r="PBA115" s="196" t="s">
        <v>761</v>
      </c>
      <c r="PBB115" s="197" t="str">
        <f>VLOOKUP(PBA115,[13]AssetDetails_UEM!$A$3:$AH$1849,6,FALSE)</f>
        <v>Electrosurgical Units, Monopolar/Bipolar</v>
      </c>
      <c r="PBC115" s="196" t="s">
        <v>761</v>
      </c>
      <c r="PBD115" s="197" t="str">
        <f>VLOOKUP(PBC115,[13]AssetDetails_UEM!$A$3:$AH$1849,6,FALSE)</f>
        <v>Electrosurgical Units, Monopolar/Bipolar</v>
      </c>
      <c r="PBE115" s="196" t="s">
        <v>761</v>
      </c>
      <c r="PBF115" s="197" t="str">
        <f>VLOOKUP(PBE115,[13]AssetDetails_UEM!$A$3:$AH$1849,6,FALSE)</f>
        <v>Electrosurgical Units, Monopolar/Bipolar</v>
      </c>
      <c r="PBG115" s="196" t="s">
        <v>761</v>
      </c>
      <c r="PBH115" s="197" t="str">
        <f>VLOOKUP(PBG115,[13]AssetDetails_UEM!$A$3:$AH$1849,6,FALSE)</f>
        <v>Electrosurgical Units, Monopolar/Bipolar</v>
      </c>
      <c r="PBI115" s="196" t="s">
        <v>761</v>
      </c>
      <c r="PBJ115" s="197" t="str">
        <f>VLOOKUP(PBI115,[13]AssetDetails_UEM!$A$3:$AH$1849,6,FALSE)</f>
        <v>Electrosurgical Units, Monopolar/Bipolar</v>
      </c>
      <c r="PBK115" s="196" t="s">
        <v>761</v>
      </c>
      <c r="PBL115" s="197" t="str">
        <f>VLOOKUP(PBK115,[13]AssetDetails_UEM!$A$3:$AH$1849,6,FALSE)</f>
        <v>Electrosurgical Units, Monopolar/Bipolar</v>
      </c>
      <c r="PBM115" s="196" t="s">
        <v>761</v>
      </c>
      <c r="PBN115" s="197" t="str">
        <f>VLOOKUP(PBM115,[13]AssetDetails_UEM!$A$3:$AH$1849,6,FALSE)</f>
        <v>Electrosurgical Units, Monopolar/Bipolar</v>
      </c>
      <c r="PBO115" s="196" t="s">
        <v>761</v>
      </c>
      <c r="PBP115" s="197" t="str">
        <f>VLOOKUP(PBO115,[13]AssetDetails_UEM!$A$3:$AH$1849,6,FALSE)</f>
        <v>Electrosurgical Units, Monopolar/Bipolar</v>
      </c>
      <c r="PBQ115" s="196" t="s">
        <v>761</v>
      </c>
      <c r="PBR115" s="197" t="str">
        <f>VLOOKUP(PBQ115,[13]AssetDetails_UEM!$A$3:$AH$1849,6,FALSE)</f>
        <v>Electrosurgical Units, Monopolar/Bipolar</v>
      </c>
      <c r="PBS115" s="196" t="s">
        <v>761</v>
      </c>
      <c r="PBT115" s="197" t="str">
        <f>VLOOKUP(PBS115,[13]AssetDetails_UEM!$A$3:$AH$1849,6,FALSE)</f>
        <v>Electrosurgical Units, Monopolar/Bipolar</v>
      </c>
      <c r="PBU115" s="196" t="s">
        <v>761</v>
      </c>
      <c r="PBV115" s="197" t="str">
        <f>VLOOKUP(PBU115,[13]AssetDetails_UEM!$A$3:$AH$1849,6,FALSE)</f>
        <v>Electrosurgical Units, Monopolar/Bipolar</v>
      </c>
      <c r="PBW115" s="196" t="s">
        <v>761</v>
      </c>
      <c r="PBX115" s="197" t="str">
        <f>VLOOKUP(PBW115,[13]AssetDetails_UEM!$A$3:$AH$1849,6,FALSE)</f>
        <v>Electrosurgical Units, Monopolar/Bipolar</v>
      </c>
      <c r="PBY115" s="196" t="s">
        <v>761</v>
      </c>
      <c r="PBZ115" s="197" t="str">
        <f>VLOOKUP(PBY115,[13]AssetDetails_UEM!$A$3:$AH$1849,6,FALSE)</f>
        <v>Electrosurgical Units, Monopolar/Bipolar</v>
      </c>
      <c r="PCA115" s="196" t="s">
        <v>761</v>
      </c>
      <c r="PCB115" s="197" t="str">
        <f>VLOOKUP(PCA115,[13]AssetDetails_UEM!$A$3:$AH$1849,6,FALSE)</f>
        <v>Electrosurgical Units, Monopolar/Bipolar</v>
      </c>
      <c r="PCC115" s="196" t="s">
        <v>761</v>
      </c>
      <c r="PCD115" s="197" t="str">
        <f>VLOOKUP(PCC115,[13]AssetDetails_UEM!$A$3:$AH$1849,6,FALSE)</f>
        <v>Electrosurgical Units, Monopolar/Bipolar</v>
      </c>
      <c r="PCE115" s="196" t="s">
        <v>761</v>
      </c>
      <c r="PCF115" s="197" t="str">
        <f>VLOOKUP(PCE115,[13]AssetDetails_UEM!$A$3:$AH$1849,6,FALSE)</f>
        <v>Electrosurgical Units, Monopolar/Bipolar</v>
      </c>
      <c r="PCG115" s="196" t="s">
        <v>761</v>
      </c>
      <c r="PCH115" s="197" t="str">
        <f>VLOOKUP(PCG115,[13]AssetDetails_UEM!$A$3:$AH$1849,6,FALSE)</f>
        <v>Electrosurgical Units, Monopolar/Bipolar</v>
      </c>
      <c r="PCI115" s="196" t="s">
        <v>761</v>
      </c>
      <c r="PCJ115" s="197" t="str">
        <f>VLOOKUP(PCI115,[13]AssetDetails_UEM!$A$3:$AH$1849,6,FALSE)</f>
        <v>Electrosurgical Units, Monopolar/Bipolar</v>
      </c>
      <c r="PCK115" s="196" t="s">
        <v>761</v>
      </c>
      <c r="PCL115" s="197" t="str">
        <f>VLOOKUP(PCK115,[13]AssetDetails_UEM!$A$3:$AH$1849,6,FALSE)</f>
        <v>Electrosurgical Units, Monopolar/Bipolar</v>
      </c>
      <c r="PCM115" s="196" t="s">
        <v>761</v>
      </c>
      <c r="PCN115" s="197" t="str">
        <f>VLOOKUP(PCM115,[13]AssetDetails_UEM!$A$3:$AH$1849,6,FALSE)</f>
        <v>Electrosurgical Units, Monopolar/Bipolar</v>
      </c>
      <c r="PCO115" s="196" t="s">
        <v>761</v>
      </c>
      <c r="PCP115" s="197" t="str">
        <f>VLOOKUP(PCO115,[13]AssetDetails_UEM!$A$3:$AH$1849,6,FALSE)</f>
        <v>Electrosurgical Units, Monopolar/Bipolar</v>
      </c>
      <c r="PCQ115" s="196" t="s">
        <v>761</v>
      </c>
      <c r="PCR115" s="197" t="str">
        <f>VLOOKUP(PCQ115,[13]AssetDetails_UEM!$A$3:$AH$1849,6,FALSE)</f>
        <v>Electrosurgical Units, Monopolar/Bipolar</v>
      </c>
      <c r="PCS115" s="196" t="s">
        <v>761</v>
      </c>
      <c r="PCT115" s="197" t="str">
        <f>VLOOKUP(PCS115,[13]AssetDetails_UEM!$A$3:$AH$1849,6,FALSE)</f>
        <v>Electrosurgical Units, Monopolar/Bipolar</v>
      </c>
      <c r="PCU115" s="196" t="s">
        <v>761</v>
      </c>
      <c r="PCV115" s="197" t="str">
        <f>VLOOKUP(PCU115,[13]AssetDetails_UEM!$A$3:$AH$1849,6,FALSE)</f>
        <v>Electrosurgical Units, Monopolar/Bipolar</v>
      </c>
      <c r="PCW115" s="196" t="s">
        <v>761</v>
      </c>
      <c r="PCX115" s="197" t="str">
        <f>VLOOKUP(PCW115,[13]AssetDetails_UEM!$A$3:$AH$1849,6,FALSE)</f>
        <v>Electrosurgical Units, Monopolar/Bipolar</v>
      </c>
      <c r="PCY115" s="196" t="s">
        <v>761</v>
      </c>
      <c r="PCZ115" s="197" t="str">
        <f>VLOOKUP(PCY115,[13]AssetDetails_UEM!$A$3:$AH$1849,6,FALSE)</f>
        <v>Electrosurgical Units, Monopolar/Bipolar</v>
      </c>
      <c r="PDA115" s="196" t="s">
        <v>761</v>
      </c>
      <c r="PDB115" s="197" t="str">
        <f>VLOOKUP(PDA115,[13]AssetDetails_UEM!$A$3:$AH$1849,6,FALSE)</f>
        <v>Electrosurgical Units, Monopolar/Bipolar</v>
      </c>
      <c r="PDC115" s="196" t="s">
        <v>761</v>
      </c>
      <c r="PDD115" s="197" t="str">
        <f>VLOOKUP(PDC115,[13]AssetDetails_UEM!$A$3:$AH$1849,6,FALSE)</f>
        <v>Electrosurgical Units, Monopolar/Bipolar</v>
      </c>
      <c r="PDE115" s="196" t="s">
        <v>761</v>
      </c>
      <c r="PDF115" s="197" t="str">
        <f>VLOOKUP(PDE115,[13]AssetDetails_UEM!$A$3:$AH$1849,6,FALSE)</f>
        <v>Electrosurgical Units, Monopolar/Bipolar</v>
      </c>
      <c r="PDG115" s="196" t="s">
        <v>761</v>
      </c>
      <c r="PDH115" s="197" t="str">
        <f>VLOOKUP(PDG115,[13]AssetDetails_UEM!$A$3:$AH$1849,6,FALSE)</f>
        <v>Electrosurgical Units, Monopolar/Bipolar</v>
      </c>
      <c r="PDI115" s="196" t="s">
        <v>761</v>
      </c>
      <c r="PDJ115" s="197" t="str">
        <f>VLOOKUP(PDI115,[13]AssetDetails_UEM!$A$3:$AH$1849,6,FALSE)</f>
        <v>Electrosurgical Units, Monopolar/Bipolar</v>
      </c>
      <c r="PDK115" s="196" t="s">
        <v>761</v>
      </c>
      <c r="PDL115" s="197" t="str">
        <f>VLOOKUP(PDK115,[13]AssetDetails_UEM!$A$3:$AH$1849,6,FALSE)</f>
        <v>Electrosurgical Units, Monopolar/Bipolar</v>
      </c>
      <c r="PDM115" s="196" t="s">
        <v>761</v>
      </c>
      <c r="PDN115" s="197" t="str">
        <f>VLOOKUP(PDM115,[13]AssetDetails_UEM!$A$3:$AH$1849,6,FALSE)</f>
        <v>Electrosurgical Units, Monopolar/Bipolar</v>
      </c>
      <c r="PDO115" s="196" t="s">
        <v>761</v>
      </c>
      <c r="PDP115" s="197" t="str">
        <f>VLOOKUP(PDO115,[13]AssetDetails_UEM!$A$3:$AH$1849,6,FALSE)</f>
        <v>Electrosurgical Units, Monopolar/Bipolar</v>
      </c>
      <c r="PDQ115" s="196" t="s">
        <v>761</v>
      </c>
      <c r="PDR115" s="197" t="str">
        <f>VLOOKUP(PDQ115,[13]AssetDetails_UEM!$A$3:$AH$1849,6,FALSE)</f>
        <v>Electrosurgical Units, Monopolar/Bipolar</v>
      </c>
      <c r="PDS115" s="196" t="s">
        <v>761</v>
      </c>
      <c r="PDT115" s="197" t="str">
        <f>VLOOKUP(PDS115,[13]AssetDetails_UEM!$A$3:$AH$1849,6,FALSE)</f>
        <v>Electrosurgical Units, Monopolar/Bipolar</v>
      </c>
      <c r="PDU115" s="196" t="s">
        <v>761</v>
      </c>
      <c r="PDV115" s="197" t="str">
        <f>VLOOKUP(PDU115,[13]AssetDetails_UEM!$A$3:$AH$1849,6,FALSE)</f>
        <v>Electrosurgical Units, Monopolar/Bipolar</v>
      </c>
      <c r="PDW115" s="196" t="s">
        <v>761</v>
      </c>
      <c r="PDX115" s="197" t="str">
        <f>VLOOKUP(PDW115,[13]AssetDetails_UEM!$A$3:$AH$1849,6,FALSE)</f>
        <v>Electrosurgical Units, Monopolar/Bipolar</v>
      </c>
      <c r="PDY115" s="196" t="s">
        <v>761</v>
      </c>
      <c r="PDZ115" s="197" t="str">
        <f>VLOOKUP(PDY115,[13]AssetDetails_UEM!$A$3:$AH$1849,6,FALSE)</f>
        <v>Electrosurgical Units, Monopolar/Bipolar</v>
      </c>
      <c r="PEA115" s="196" t="s">
        <v>761</v>
      </c>
      <c r="PEB115" s="197" t="str">
        <f>VLOOKUP(PEA115,[13]AssetDetails_UEM!$A$3:$AH$1849,6,FALSE)</f>
        <v>Electrosurgical Units, Monopolar/Bipolar</v>
      </c>
      <c r="PEC115" s="196" t="s">
        <v>761</v>
      </c>
      <c r="PED115" s="197" t="str">
        <f>VLOOKUP(PEC115,[13]AssetDetails_UEM!$A$3:$AH$1849,6,FALSE)</f>
        <v>Electrosurgical Units, Monopolar/Bipolar</v>
      </c>
      <c r="PEE115" s="196" t="s">
        <v>761</v>
      </c>
      <c r="PEF115" s="197" t="str">
        <f>VLOOKUP(PEE115,[13]AssetDetails_UEM!$A$3:$AH$1849,6,FALSE)</f>
        <v>Electrosurgical Units, Monopolar/Bipolar</v>
      </c>
      <c r="PEG115" s="196" t="s">
        <v>761</v>
      </c>
      <c r="PEH115" s="197" t="str">
        <f>VLOOKUP(PEG115,[13]AssetDetails_UEM!$A$3:$AH$1849,6,FALSE)</f>
        <v>Electrosurgical Units, Monopolar/Bipolar</v>
      </c>
      <c r="PEI115" s="196" t="s">
        <v>761</v>
      </c>
      <c r="PEJ115" s="197" t="str">
        <f>VLOOKUP(PEI115,[13]AssetDetails_UEM!$A$3:$AH$1849,6,FALSE)</f>
        <v>Electrosurgical Units, Monopolar/Bipolar</v>
      </c>
      <c r="PEK115" s="196" t="s">
        <v>761</v>
      </c>
      <c r="PEL115" s="197" t="str">
        <f>VLOOKUP(PEK115,[13]AssetDetails_UEM!$A$3:$AH$1849,6,FALSE)</f>
        <v>Electrosurgical Units, Monopolar/Bipolar</v>
      </c>
      <c r="PEM115" s="196" t="s">
        <v>761</v>
      </c>
      <c r="PEN115" s="197" t="str">
        <f>VLOOKUP(PEM115,[13]AssetDetails_UEM!$A$3:$AH$1849,6,FALSE)</f>
        <v>Electrosurgical Units, Monopolar/Bipolar</v>
      </c>
      <c r="PEO115" s="196" t="s">
        <v>761</v>
      </c>
      <c r="PEP115" s="197" t="str">
        <f>VLOOKUP(PEO115,[13]AssetDetails_UEM!$A$3:$AH$1849,6,FALSE)</f>
        <v>Electrosurgical Units, Monopolar/Bipolar</v>
      </c>
      <c r="PEQ115" s="196" t="s">
        <v>761</v>
      </c>
      <c r="PER115" s="197" t="str">
        <f>VLOOKUP(PEQ115,[13]AssetDetails_UEM!$A$3:$AH$1849,6,FALSE)</f>
        <v>Electrosurgical Units, Monopolar/Bipolar</v>
      </c>
      <c r="PES115" s="196" t="s">
        <v>761</v>
      </c>
      <c r="PET115" s="197" t="str">
        <f>VLOOKUP(PES115,[13]AssetDetails_UEM!$A$3:$AH$1849,6,FALSE)</f>
        <v>Electrosurgical Units, Monopolar/Bipolar</v>
      </c>
      <c r="PEU115" s="196" t="s">
        <v>761</v>
      </c>
      <c r="PEV115" s="197" t="str">
        <f>VLOOKUP(PEU115,[13]AssetDetails_UEM!$A$3:$AH$1849,6,FALSE)</f>
        <v>Electrosurgical Units, Monopolar/Bipolar</v>
      </c>
      <c r="PEW115" s="196" t="s">
        <v>761</v>
      </c>
      <c r="PEX115" s="197" t="str">
        <f>VLOOKUP(PEW115,[13]AssetDetails_UEM!$A$3:$AH$1849,6,FALSE)</f>
        <v>Electrosurgical Units, Monopolar/Bipolar</v>
      </c>
      <c r="PEY115" s="196" t="s">
        <v>761</v>
      </c>
      <c r="PEZ115" s="197" t="str">
        <f>VLOOKUP(PEY115,[13]AssetDetails_UEM!$A$3:$AH$1849,6,FALSE)</f>
        <v>Electrosurgical Units, Monopolar/Bipolar</v>
      </c>
      <c r="PFA115" s="196" t="s">
        <v>761</v>
      </c>
      <c r="PFB115" s="197" t="str">
        <f>VLOOKUP(PFA115,[13]AssetDetails_UEM!$A$3:$AH$1849,6,FALSE)</f>
        <v>Electrosurgical Units, Monopolar/Bipolar</v>
      </c>
      <c r="PFC115" s="196" t="s">
        <v>761</v>
      </c>
      <c r="PFD115" s="197" t="str">
        <f>VLOOKUP(PFC115,[13]AssetDetails_UEM!$A$3:$AH$1849,6,FALSE)</f>
        <v>Electrosurgical Units, Monopolar/Bipolar</v>
      </c>
      <c r="PFE115" s="196" t="s">
        <v>761</v>
      </c>
      <c r="PFF115" s="197" t="str">
        <f>VLOOKUP(PFE115,[13]AssetDetails_UEM!$A$3:$AH$1849,6,FALSE)</f>
        <v>Electrosurgical Units, Monopolar/Bipolar</v>
      </c>
      <c r="PFG115" s="196" t="s">
        <v>761</v>
      </c>
      <c r="PFH115" s="197" t="str">
        <f>VLOOKUP(PFG115,[13]AssetDetails_UEM!$A$3:$AH$1849,6,FALSE)</f>
        <v>Electrosurgical Units, Monopolar/Bipolar</v>
      </c>
      <c r="PFI115" s="196" t="s">
        <v>761</v>
      </c>
      <c r="PFJ115" s="197" t="str">
        <f>VLOOKUP(PFI115,[13]AssetDetails_UEM!$A$3:$AH$1849,6,FALSE)</f>
        <v>Electrosurgical Units, Monopolar/Bipolar</v>
      </c>
      <c r="PFK115" s="196" t="s">
        <v>761</v>
      </c>
      <c r="PFL115" s="197" t="str">
        <f>VLOOKUP(PFK115,[13]AssetDetails_UEM!$A$3:$AH$1849,6,FALSE)</f>
        <v>Electrosurgical Units, Monopolar/Bipolar</v>
      </c>
      <c r="PFM115" s="196" t="s">
        <v>761</v>
      </c>
      <c r="PFN115" s="197" t="str">
        <f>VLOOKUP(PFM115,[13]AssetDetails_UEM!$A$3:$AH$1849,6,FALSE)</f>
        <v>Electrosurgical Units, Monopolar/Bipolar</v>
      </c>
      <c r="PFO115" s="196" t="s">
        <v>761</v>
      </c>
      <c r="PFP115" s="197" t="str">
        <f>VLOOKUP(PFO115,[13]AssetDetails_UEM!$A$3:$AH$1849,6,FALSE)</f>
        <v>Electrosurgical Units, Monopolar/Bipolar</v>
      </c>
      <c r="PFQ115" s="196" t="s">
        <v>761</v>
      </c>
      <c r="PFR115" s="197" t="str">
        <f>VLOOKUP(PFQ115,[13]AssetDetails_UEM!$A$3:$AH$1849,6,FALSE)</f>
        <v>Electrosurgical Units, Monopolar/Bipolar</v>
      </c>
      <c r="PFS115" s="196" t="s">
        <v>761</v>
      </c>
      <c r="PFT115" s="197" t="str">
        <f>VLOOKUP(PFS115,[13]AssetDetails_UEM!$A$3:$AH$1849,6,FALSE)</f>
        <v>Electrosurgical Units, Monopolar/Bipolar</v>
      </c>
      <c r="PFU115" s="196" t="s">
        <v>761</v>
      </c>
      <c r="PFV115" s="197" t="str">
        <f>VLOOKUP(PFU115,[13]AssetDetails_UEM!$A$3:$AH$1849,6,FALSE)</f>
        <v>Electrosurgical Units, Monopolar/Bipolar</v>
      </c>
      <c r="PFW115" s="196" t="s">
        <v>761</v>
      </c>
      <c r="PFX115" s="197" t="str">
        <f>VLOOKUP(PFW115,[13]AssetDetails_UEM!$A$3:$AH$1849,6,FALSE)</f>
        <v>Electrosurgical Units, Monopolar/Bipolar</v>
      </c>
      <c r="PFY115" s="196" t="s">
        <v>761</v>
      </c>
      <c r="PFZ115" s="197" t="str">
        <f>VLOOKUP(PFY115,[13]AssetDetails_UEM!$A$3:$AH$1849,6,FALSE)</f>
        <v>Electrosurgical Units, Monopolar/Bipolar</v>
      </c>
      <c r="PGA115" s="196" t="s">
        <v>761</v>
      </c>
      <c r="PGB115" s="197" t="str">
        <f>VLOOKUP(PGA115,[13]AssetDetails_UEM!$A$3:$AH$1849,6,FALSE)</f>
        <v>Electrosurgical Units, Monopolar/Bipolar</v>
      </c>
      <c r="PGC115" s="196" t="s">
        <v>761</v>
      </c>
      <c r="PGD115" s="197" t="str">
        <f>VLOOKUP(PGC115,[13]AssetDetails_UEM!$A$3:$AH$1849,6,FALSE)</f>
        <v>Electrosurgical Units, Monopolar/Bipolar</v>
      </c>
      <c r="PGE115" s="196" t="s">
        <v>761</v>
      </c>
      <c r="PGF115" s="197" t="str">
        <f>VLOOKUP(PGE115,[13]AssetDetails_UEM!$A$3:$AH$1849,6,FALSE)</f>
        <v>Electrosurgical Units, Monopolar/Bipolar</v>
      </c>
      <c r="PGG115" s="196" t="s">
        <v>761</v>
      </c>
      <c r="PGH115" s="197" t="str">
        <f>VLOOKUP(PGG115,[13]AssetDetails_UEM!$A$3:$AH$1849,6,FALSE)</f>
        <v>Electrosurgical Units, Monopolar/Bipolar</v>
      </c>
      <c r="PGI115" s="196" t="s">
        <v>761</v>
      </c>
      <c r="PGJ115" s="197" t="str">
        <f>VLOOKUP(PGI115,[13]AssetDetails_UEM!$A$3:$AH$1849,6,FALSE)</f>
        <v>Electrosurgical Units, Monopolar/Bipolar</v>
      </c>
      <c r="PGK115" s="196" t="s">
        <v>761</v>
      </c>
      <c r="PGL115" s="197" t="str">
        <f>VLOOKUP(PGK115,[13]AssetDetails_UEM!$A$3:$AH$1849,6,FALSE)</f>
        <v>Electrosurgical Units, Monopolar/Bipolar</v>
      </c>
      <c r="PGM115" s="196" t="s">
        <v>761</v>
      </c>
      <c r="PGN115" s="197" t="str">
        <f>VLOOKUP(PGM115,[13]AssetDetails_UEM!$A$3:$AH$1849,6,FALSE)</f>
        <v>Electrosurgical Units, Monopolar/Bipolar</v>
      </c>
      <c r="PGO115" s="196" t="s">
        <v>761</v>
      </c>
      <c r="PGP115" s="197" t="str">
        <f>VLOOKUP(PGO115,[13]AssetDetails_UEM!$A$3:$AH$1849,6,FALSE)</f>
        <v>Electrosurgical Units, Monopolar/Bipolar</v>
      </c>
      <c r="PGQ115" s="196" t="s">
        <v>761</v>
      </c>
      <c r="PGR115" s="197" t="str">
        <f>VLOOKUP(PGQ115,[13]AssetDetails_UEM!$A$3:$AH$1849,6,FALSE)</f>
        <v>Electrosurgical Units, Monopolar/Bipolar</v>
      </c>
      <c r="PGS115" s="196" t="s">
        <v>761</v>
      </c>
      <c r="PGT115" s="197" t="str">
        <f>VLOOKUP(PGS115,[13]AssetDetails_UEM!$A$3:$AH$1849,6,FALSE)</f>
        <v>Electrosurgical Units, Monopolar/Bipolar</v>
      </c>
      <c r="PGU115" s="196" t="s">
        <v>761</v>
      </c>
      <c r="PGV115" s="197" t="str">
        <f>VLOOKUP(PGU115,[13]AssetDetails_UEM!$A$3:$AH$1849,6,FALSE)</f>
        <v>Electrosurgical Units, Monopolar/Bipolar</v>
      </c>
      <c r="PGW115" s="196" t="s">
        <v>761</v>
      </c>
      <c r="PGX115" s="197" t="str">
        <f>VLOOKUP(PGW115,[13]AssetDetails_UEM!$A$3:$AH$1849,6,FALSE)</f>
        <v>Electrosurgical Units, Monopolar/Bipolar</v>
      </c>
      <c r="PGY115" s="196" t="s">
        <v>761</v>
      </c>
      <c r="PGZ115" s="197" t="str">
        <f>VLOOKUP(PGY115,[13]AssetDetails_UEM!$A$3:$AH$1849,6,FALSE)</f>
        <v>Electrosurgical Units, Monopolar/Bipolar</v>
      </c>
      <c r="PHA115" s="196" t="s">
        <v>761</v>
      </c>
      <c r="PHB115" s="197" t="str">
        <f>VLOOKUP(PHA115,[13]AssetDetails_UEM!$A$3:$AH$1849,6,FALSE)</f>
        <v>Electrosurgical Units, Monopolar/Bipolar</v>
      </c>
      <c r="PHC115" s="196" t="s">
        <v>761</v>
      </c>
      <c r="PHD115" s="197" t="str">
        <f>VLOOKUP(PHC115,[13]AssetDetails_UEM!$A$3:$AH$1849,6,FALSE)</f>
        <v>Electrosurgical Units, Monopolar/Bipolar</v>
      </c>
      <c r="PHE115" s="196" t="s">
        <v>761</v>
      </c>
      <c r="PHF115" s="197" t="str">
        <f>VLOOKUP(PHE115,[13]AssetDetails_UEM!$A$3:$AH$1849,6,FALSE)</f>
        <v>Electrosurgical Units, Monopolar/Bipolar</v>
      </c>
      <c r="PHG115" s="196" t="s">
        <v>761</v>
      </c>
      <c r="PHH115" s="197" t="str">
        <f>VLOOKUP(PHG115,[13]AssetDetails_UEM!$A$3:$AH$1849,6,FALSE)</f>
        <v>Electrosurgical Units, Monopolar/Bipolar</v>
      </c>
      <c r="PHI115" s="196" t="s">
        <v>761</v>
      </c>
      <c r="PHJ115" s="197" t="str">
        <f>VLOOKUP(PHI115,[13]AssetDetails_UEM!$A$3:$AH$1849,6,FALSE)</f>
        <v>Electrosurgical Units, Monopolar/Bipolar</v>
      </c>
      <c r="PHK115" s="196" t="s">
        <v>761</v>
      </c>
      <c r="PHL115" s="197" t="str">
        <f>VLOOKUP(PHK115,[13]AssetDetails_UEM!$A$3:$AH$1849,6,FALSE)</f>
        <v>Electrosurgical Units, Monopolar/Bipolar</v>
      </c>
      <c r="PHM115" s="196" t="s">
        <v>761</v>
      </c>
      <c r="PHN115" s="197" t="str">
        <f>VLOOKUP(PHM115,[13]AssetDetails_UEM!$A$3:$AH$1849,6,FALSE)</f>
        <v>Electrosurgical Units, Monopolar/Bipolar</v>
      </c>
      <c r="PHO115" s="196" t="s">
        <v>761</v>
      </c>
      <c r="PHP115" s="197" t="str">
        <f>VLOOKUP(PHO115,[13]AssetDetails_UEM!$A$3:$AH$1849,6,FALSE)</f>
        <v>Electrosurgical Units, Monopolar/Bipolar</v>
      </c>
      <c r="PHQ115" s="196" t="s">
        <v>761</v>
      </c>
      <c r="PHR115" s="197" t="str">
        <f>VLOOKUP(PHQ115,[13]AssetDetails_UEM!$A$3:$AH$1849,6,FALSE)</f>
        <v>Electrosurgical Units, Monopolar/Bipolar</v>
      </c>
      <c r="PHS115" s="196" t="s">
        <v>761</v>
      </c>
      <c r="PHT115" s="197" t="str">
        <f>VLOOKUP(PHS115,[13]AssetDetails_UEM!$A$3:$AH$1849,6,FALSE)</f>
        <v>Electrosurgical Units, Monopolar/Bipolar</v>
      </c>
      <c r="PHU115" s="196" t="s">
        <v>761</v>
      </c>
      <c r="PHV115" s="197" t="str">
        <f>VLOOKUP(PHU115,[13]AssetDetails_UEM!$A$3:$AH$1849,6,FALSE)</f>
        <v>Electrosurgical Units, Monopolar/Bipolar</v>
      </c>
      <c r="PHW115" s="196" t="s">
        <v>761</v>
      </c>
      <c r="PHX115" s="197" t="str">
        <f>VLOOKUP(PHW115,[13]AssetDetails_UEM!$A$3:$AH$1849,6,FALSE)</f>
        <v>Electrosurgical Units, Monopolar/Bipolar</v>
      </c>
      <c r="PHY115" s="196" t="s">
        <v>761</v>
      </c>
      <c r="PHZ115" s="197" t="str">
        <f>VLOOKUP(PHY115,[13]AssetDetails_UEM!$A$3:$AH$1849,6,FALSE)</f>
        <v>Electrosurgical Units, Monopolar/Bipolar</v>
      </c>
      <c r="PIA115" s="196" t="s">
        <v>761</v>
      </c>
      <c r="PIB115" s="197" t="str">
        <f>VLOOKUP(PIA115,[13]AssetDetails_UEM!$A$3:$AH$1849,6,FALSE)</f>
        <v>Electrosurgical Units, Monopolar/Bipolar</v>
      </c>
      <c r="PIC115" s="196" t="s">
        <v>761</v>
      </c>
      <c r="PID115" s="197" t="str">
        <f>VLOOKUP(PIC115,[13]AssetDetails_UEM!$A$3:$AH$1849,6,FALSE)</f>
        <v>Electrosurgical Units, Monopolar/Bipolar</v>
      </c>
      <c r="PIE115" s="196" t="s">
        <v>761</v>
      </c>
      <c r="PIF115" s="197" t="str">
        <f>VLOOKUP(PIE115,[13]AssetDetails_UEM!$A$3:$AH$1849,6,FALSE)</f>
        <v>Electrosurgical Units, Monopolar/Bipolar</v>
      </c>
      <c r="PIG115" s="196" t="s">
        <v>761</v>
      </c>
      <c r="PIH115" s="197" t="str">
        <f>VLOOKUP(PIG115,[13]AssetDetails_UEM!$A$3:$AH$1849,6,FALSE)</f>
        <v>Electrosurgical Units, Monopolar/Bipolar</v>
      </c>
      <c r="PII115" s="196" t="s">
        <v>761</v>
      </c>
      <c r="PIJ115" s="197" t="str">
        <f>VLOOKUP(PII115,[13]AssetDetails_UEM!$A$3:$AH$1849,6,FALSE)</f>
        <v>Electrosurgical Units, Monopolar/Bipolar</v>
      </c>
      <c r="PIK115" s="196" t="s">
        <v>761</v>
      </c>
      <c r="PIL115" s="197" t="str">
        <f>VLOOKUP(PIK115,[13]AssetDetails_UEM!$A$3:$AH$1849,6,FALSE)</f>
        <v>Electrosurgical Units, Monopolar/Bipolar</v>
      </c>
      <c r="PIM115" s="196" t="s">
        <v>761</v>
      </c>
      <c r="PIN115" s="197" t="str">
        <f>VLOOKUP(PIM115,[13]AssetDetails_UEM!$A$3:$AH$1849,6,FALSE)</f>
        <v>Electrosurgical Units, Monopolar/Bipolar</v>
      </c>
      <c r="PIO115" s="196" t="s">
        <v>761</v>
      </c>
      <c r="PIP115" s="197" t="str">
        <f>VLOOKUP(PIO115,[13]AssetDetails_UEM!$A$3:$AH$1849,6,FALSE)</f>
        <v>Electrosurgical Units, Monopolar/Bipolar</v>
      </c>
      <c r="PIQ115" s="196" t="s">
        <v>761</v>
      </c>
      <c r="PIR115" s="197" t="str">
        <f>VLOOKUP(PIQ115,[13]AssetDetails_UEM!$A$3:$AH$1849,6,FALSE)</f>
        <v>Electrosurgical Units, Monopolar/Bipolar</v>
      </c>
      <c r="PIS115" s="196" t="s">
        <v>761</v>
      </c>
      <c r="PIT115" s="197" t="str">
        <f>VLOOKUP(PIS115,[13]AssetDetails_UEM!$A$3:$AH$1849,6,FALSE)</f>
        <v>Electrosurgical Units, Monopolar/Bipolar</v>
      </c>
      <c r="PIU115" s="196" t="s">
        <v>761</v>
      </c>
      <c r="PIV115" s="197" t="str">
        <f>VLOOKUP(PIU115,[13]AssetDetails_UEM!$A$3:$AH$1849,6,FALSE)</f>
        <v>Electrosurgical Units, Monopolar/Bipolar</v>
      </c>
      <c r="PIW115" s="196" t="s">
        <v>761</v>
      </c>
      <c r="PIX115" s="197" t="str">
        <f>VLOOKUP(PIW115,[13]AssetDetails_UEM!$A$3:$AH$1849,6,FALSE)</f>
        <v>Electrosurgical Units, Monopolar/Bipolar</v>
      </c>
      <c r="PIY115" s="196" t="s">
        <v>761</v>
      </c>
      <c r="PIZ115" s="197" t="str">
        <f>VLOOKUP(PIY115,[13]AssetDetails_UEM!$A$3:$AH$1849,6,FALSE)</f>
        <v>Electrosurgical Units, Monopolar/Bipolar</v>
      </c>
      <c r="PJA115" s="196" t="s">
        <v>761</v>
      </c>
      <c r="PJB115" s="197" t="str">
        <f>VLOOKUP(PJA115,[13]AssetDetails_UEM!$A$3:$AH$1849,6,FALSE)</f>
        <v>Electrosurgical Units, Monopolar/Bipolar</v>
      </c>
      <c r="PJC115" s="196" t="s">
        <v>761</v>
      </c>
      <c r="PJD115" s="197" t="str">
        <f>VLOOKUP(PJC115,[13]AssetDetails_UEM!$A$3:$AH$1849,6,FALSE)</f>
        <v>Electrosurgical Units, Monopolar/Bipolar</v>
      </c>
      <c r="PJE115" s="196" t="s">
        <v>761</v>
      </c>
      <c r="PJF115" s="197" t="str">
        <f>VLOOKUP(PJE115,[13]AssetDetails_UEM!$A$3:$AH$1849,6,FALSE)</f>
        <v>Electrosurgical Units, Monopolar/Bipolar</v>
      </c>
      <c r="PJG115" s="196" t="s">
        <v>761</v>
      </c>
      <c r="PJH115" s="197" t="str">
        <f>VLOOKUP(PJG115,[13]AssetDetails_UEM!$A$3:$AH$1849,6,FALSE)</f>
        <v>Electrosurgical Units, Monopolar/Bipolar</v>
      </c>
      <c r="PJI115" s="196" t="s">
        <v>761</v>
      </c>
      <c r="PJJ115" s="197" t="str">
        <f>VLOOKUP(PJI115,[13]AssetDetails_UEM!$A$3:$AH$1849,6,FALSE)</f>
        <v>Electrosurgical Units, Monopolar/Bipolar</v>
      </c>
      <c r="PJK115" s="196" t="s">
        <v>761</v>
      </c>
      <c r="PJL115" s="197" t="str">
        <f>VLOOKUP(PJK115,[13]AssetDetails_UEM!$A$3:$AH$1849,6,FALSE)</f>
        <v>Electrosurgical Units, Monopolar/Bipolar</v>
      </c>
      <c r="PJM115" s="196" t="s">
        <v>761</v>
      </c>
      <c r="PJN115" s="197" t="str">
        <f>VLOOKUP(PJM115,[13]AssetDetails_UEM!$A$3:$AH$1849,6,FALSE)</f>
        <v>Electrosurgical Units, Monopolar/Bipolar</v>
      </c>
      <c r="PJO115" s="196" t="s">
        <v>761</v>
      </c>
      <c r="PJP115" s="197" t="str">
        <f>VLOOKUP(PJO115,[13]AssetDetails_UEM!$A$3:$AH$1849,6,FALSE)</f>
        <v>Electrosurgical Units, Monopolar/Bipolar</v>
      </c>
      <c r="PJQ115" s="196" t="s">
        <v>761</v>
      </c>
      <c r="PJR115" s="197" t="str">
        <f>VLOOKUP(PJQ115,[13]AssetDetails_UEM!$A$3:$AH$1849,6,FALSE)</f>
        <v>Electrosurgical Units, Monopolar/Bipolar</v>
      </c>
      <c r="PJS115" s="196" t="s">
        <v>761</v>
      </c>
      <c r="PJT115" s="197" t="str">
        <f>VLOOKUP(PJS115,[13]AssetDetails_UEM!$A$3:$AH$1849,6,FALSE)</f>
        <v>Electrosurgical Units, Monopolar/Bipolar</v>
      </c>
      <c r="PJU115" s="196" t="s">
        <v>761</v>
      </c>
      <c r="PJV115" s="197" t="str">
        <f>VLOOKUP(PJU115,[13]AssetDetails_UEM!$A$3:$AH$1849,6,FALSE)</f>
        <v>Electrosurgical Units, Monopolar/Bipolar</v>
      </c>
      <c r="PJW115" s="196" t="s">
        <v>761</v>
      </c>
      <c r="PJX115" s="197" t="str">
        <f>VLOOKUP(PJW115,[13]AssetDetails_UEM!$A$3:$AH$1849,6,FALSE)</f>
        <v>Electrosurgical Units, Monopolar/Bipolar</v>
      </c>
      <c r="PJY115" s="196" t="s">
        <v>761</v>
      </c>
      <c r="PJZ115" s="197" t="str">
        <f>VLOOKUP(PJY115,[13]AssetDetails_UEM!$A$3:$AH$1849,6,FALSE)</f>
        <v>Electrosurgical Units, Monopolar/Bipolar</v>
      </c>
      <c r="PKA115" s="196" t="s">
        <v>761</v>
      </c>
      <c r="PKB115" s="197" t="str">
        <f>VLOOKUP(PKA115,[13]AssetDetails_UEM!$A$3:$AH$1849,6,FALSE)</f>
        <v>Electrosurgical Units, Monopolar/Bipolar</v>
      </c>
      <c r="PKC115" s="196" t="s">
        <v>761</v>
      </c>
      <c r="PKD115" s="197" t="str">
        <f>VLOOKUP(PKC115,[13]AssetDetails_UEM!$A$3:$AH$1849,6,FALSE)</f>
        <v>Electrosurgical Units, Monopolar/Bipolar</v>
      </c>
      <c r="PKE115" s="196" t="s">
        <v>761</v>
      </c>
      <c r="PKF115" s="197" t="str">
        <f>VLOOKUP(PKE115,[13]AssetDetails_UEM!$A$3:$AH$1849,6,FALSE)</f>
        <v>Electrosurgical Units, Monopolar/Bipolar</v>
      </c>
      <c r="PKG115" s="196" t="s">
        <v>761</v>
      </c>
      <c r="PKH115" s="197" t="str">
        <f>VLOOKUP(PKG115,[13]AssetDetails_UEM!$A$3:$AH$1849,6,FALSE)</f>
        <v>Electrosurgical Units, Monopolar/Bipolar</v>
      </c>
      <c r="PKI115" s="196" t="s">
        <v>761</v>
      </c>
      <c r="PKJ115" s="197" t="str">
        <f>VLOOKUP(PKI115,[13]AssetDetails_UEM!$A$3:$AH$1849,6,FALSE)</f>
        <v>Electrosurgical Units, Monopolar/Bipolar</v>
      </c>
      <c r="PKK115" s="196" t="s">
        <v>761</v>
      </c>
      <c r="PKL115" s="197" t="str">
        <f>VLOOKUP(PKK115,[13]AssetDetails_UEM!$A$3:$AH$1849,6,FALSE)</f>
        <v>Electrosurgical Units, Monopolar/Bipolar</v>
      </c>
      <c r="PKM115" s="196" t="s">
        <v>761</v>
      </c>
      <c r="PKN115" s="197" t="str">
        <f>VLOOKUP(PKM115,[13]AssetDetails_UEM!$A$3:$AH$1849,6,FALSE)</f>
        <v>Electrosurgical Units, Monopolar/Bipolar</v>
      </c>
      <c r="PKO115" s="196" t="s">
        <v>761</v>
      </c>
      <c r="PKP115" s="197" t="str">
        <f>VLOOKUP(PKO115,[13]AssetDetails_UEM!$A$3:$AH$1849,6,FALSE)</f>
        <v>Electrosurgical Units, Monopolar/Bipolar</v>
      </c>
      <c r="PKQ115" s="196" t="s">
        <v>761</v>
      </c>
      <c r="PKR115" s="197" t="str">
        <f>VLOOKUP(PKQ115,[13]AssetDetails_UEM!$A$3:$AH$1849,6,FALSE)</f>
        <v>Electrosurgical Units, Monopolar/Bipolar</v>
      </c>
      <c r="PKS115" s="196" t="s">
        <v>761</v>
      </c>
      <c r="PKT115" s="197" t="str">
        <f>VLOOKUP(PKS115,[13]AssetDetails_UEM!$A$3:$AH$1849,6,FALSE)</f>
        <v>Electrosurgical Units, Monopolar/Bipolar</v>
      </c>
      <c r="PKU115" s="196" t="s">
        <v>761</v>
      </c>
      <c r="PKV115" s="197" t="str">
        <f>VLOOKUP(PKU115,[13]AssetDetails_UEM!$A$3:$AH$1849,6,FALSE)</f>
        <v>Electrosurgical Units, Monopolar/Bipolar</v>
      </c>
      <c r="PKW115" s="196" t="s">
        <v>761</v>
      </c>
      <c r="PKX115" s="197" t="str">
        <f>VLOOKUP(PKW115,[13]AssetDetails_UEM!$A$3:$AH$1849,6,FALSE)</f>
        <v>Electrosurgical Units, Monopolar/Bipolar</v>
      </c>
      <c r="PKY115" s="196" t="s">
        <v>761</v>
      </c>
      <c r="PKZ115" s="197" t="str">
        <f>VLOOKUP(PKY115,[13]AssetDetails_UEM!$A$3:$AH$1849,6,FALSE)</f>
        <v>Electrosurgical Units, Monopolar/Bipolar</v>
      </c>
      <c r="PLA115" s="196" t="s">
        <v>761</v>
      </c>
      <c r="PLB115" s="197" t="str">
        <f>VLOOKUP(PLA115,[13]AssetDetails_UEM!$A$3:$AH$1849,6,FALSE)</f>
        <v>Electrosurgical Units, Monopolar/Bipolar</v>
      </c>
      <c r="PLC115" s="196" t="s">
        <v>761</v>
      </c>
      <c r="PLD115" s="197" t="str">
        <f>VLOOKUP(PLC115,[13]AssetDetails_UEM!$A$3:$AH$1849,6,FALSE)</f>
        <v>Electrosurgical Units, Monopolar/Bipolar</v>
      </c>
      <c r="PLE115" s="196" t="s">
        <v>761</v>
      </c>
      <c r="PLF115" s="197" t="str">
        <f>VLOOKUP(PLE115,[13]AssetDetails_UEM!$A$3:$AH$1849,6,FALSE)</f>
        <v>Electrosurgical Units, Monopolar/Bipolar</v>
      </c>
      <c r="PLG115" s="196" t="s">
        <v>761</v>
      </c>
      <c r="PLH115" s="197" t="str">
        <f>VLOOKUP(PLG115,[13]AssetDetails_UEM!$A$3:$AH$1849,6,FALSE)</f>
        <v>Electrosurgical Units, Monopolar/Bipolar</v>
      </c>
      <c r="PLI115" s="196" t="s">
        <v>761</v>
      </c>
      <c r="PLJ115" s="197" t="str">
        <f>VLOOKUP(PLI115,[13]AssetDetails_UEM!$A$3:$AH$1849,6,FALSE)</f>
        <v>Electrosurgical Units, Monopolar/Bipolar</v>
      </c>
      <c r="PLK115" s="196" t="s">
        <v>761</v>
      </c>
      <c r="PLL115" s="197" t="str">
        <f>VLOOKUP(PLK115,[13]AssetDetails_UEM!$A$3:$AH$1849,6,FALSE)</f>
        <v>Electrosurgical Units, Monopolar/Bipolar</v>
      </c>
      <c r="PLM115" s="196" t="s">
        <v>761</v>
      </c>
      <c r="PLN115" s="197" t="str">
        <f>VLOOKUP(PLM115,[13]AssetDetails_UEM!$A$3:$AH$1849,6,FALSE)</f>
        <v>Electrosurgical Units, Monopolar/Bipolar</v>
      </c>
      <c r="PLO115" s="196" t="s">
        <v>761</v>
      </c>
      <c r="PLP115" s="197" t="str">
        <f>VLOOKUP(PLO115,[13]AssetDetails_UEM!$A$3:$AH$1849,6,FALSE)</f>
        <v>Electrosurgical Units, Monopolar/Bipolar</v>
      </c>
      <c r="PLQ115" s="196" t="s">
        <v>761</v>
      </c>
      <c r="PLR115" s="197" t="str">
        <f>VLOOKUP(PLQ115,[13]AssetDetails_UEM!$A$3:$AH$1849,6,FALSE)</f>
        <v>Electrosurgical Units, Monopolar/Bipolar</v>
      </c>
      <c r="PLS115" s="196" t="s">
        <v>761</v>
      </c>
      <c r="PLT115" s="197" t="str">
        <f>VLOOKUP(PLS115,[13]AssetDetails_UEM!$A$3:$AH$1849,6,FALSE)</f>
        <v>Electrosurgical Units, Monopolar/Bipolar</v>
      </c>
      <c r="PLU115" s="196" t="s">
        <v>761</v>
      </c>
      <c r="PLV115" s="197" t="str">
        <f>VLOOKUP(PLU115,[13]AssetDetails_UEM!$A$3:$AH$1849,6,FALSE)</f>
        <v>Electrosurgical Units, Monopolar/Bipolar</v>
      </c>
      <c r="PLW115" s="196" t="s">
        <v>761</v>
      </c>
      <c r="PLX115" s="197" t="str">
        <f>VLOOKUP(PLW115,[13]AssetDetails_UEM!$A$3:$AH$1849,6,FALSE)</f>
        <v>Electrosurgical Units, Monopolar/Bipolar</v>
      </c>
      <c r="PLY115" s="196" t="s">
        <v>761</v>
      </c>
      <c r="PLZ115" s="197" t="str">
        <f>VLOOKUP(PLY115,[13]AssetDetails_UEM!$A$3:$AH$1849,6,FALSE)</f>
        <v>Electrosurgical Units, Monopolar/Bipolar</v>
      </c>
      <c r="PMA115" s="196" t="s">
        <v>761</v>
      </c>
      <c r="PMB115" s="197" t="str">
        <f>VLOOKUP(PMA115,[13]AssetDetails_UEM!$A$3:$AH$1849,6,FALSE)</f>
        <v>Electrosurgical Units, Monopolar/Bipolar</v>
      </c>
      <c r="PMC115" s="196" t="s">
        <v>761</v>
      </c>
      <c r="PMD115" s="197" t="str">
        <f>VLOOKUP(PMC115,[13]AssetDetails_UEM!$A$3:$AH$1849,6,FALSE)</f>
        <v>Electrosurgical Units, Monopolar/Bipolar</v>
      </c>
      <c r="PME115" s="196" t="s">
        <v>761</v>
      </c>
      <c r="PMF115" s="197" t="str">
        <f>VLOOKUP(PME115,[13]AssetDetails_UEM!$A$3:$AH$1849,6,FALSE)</f>
        <v>Electrosurgical Units, Monopolar/Bipolar</v>
      </c>
      <c r="PMG115" s="196" t="s">
        <v>761</v>
      </c>
      <c r="PMH115" s="197" t="str">
        <f>VLOOKUP(PMG115,[13]AssetDetails_UEM!$A$3:$AH$1849,6,FALSE)</f>
        <v>Electrosurgical Units, Monopolar/Bipolar</v>
      </c>
      <c r="PMI115" s="196" t="s">
        <v>761</v>
      </c>
      <c r="PMJ115" s="197" t="str">
        <f>VLOOKUP(PMI115,[13]AssetDetails_UEM!$A$3:$AH$1849,6,FALSE)</f>
        <v>Electrosurgical Units, Monopolar/Bipolar</v>
      </c>
      <c r="PMK115" s="196" t="s">
        <v>761</v>
      </c>
      <c r="PML115" s="197" t="str">
        <f>VLOOKUP(PMK115,[13]AssetDetails_UEM!$A$3:$AH$1849,6,FALSE)</f>
        <v>Electrosurgical Units, Monopolar/Bipolar</v>
      </c>
      <c r="PMM115" s="196" t="s">
        <v>761</v>
      </c>
      <c r="PMN115" s="197" t="str">
        <f>VLOOKUP(PMM115,[13]AssetDetails_UEM!$A$3:$AH$1849,6,FALSE)</f>
        <v>Electrosurgical Units, Monopolar/Bipolar</v>
      </c>
      <c r="PMO115" s="196" t="s">
        <v>761</v>
      </c>
      <c r="PMP115" s="197" t="str">
        <f>VLOOKUP(PMO115,[13]AssetDetails_UEM!$A$3:$AH$1849,6,FALSE)</f>
        <v>Electrosurgical Units, Monopolar/Bipolar</v>
      </c>
      <c r="PMQ115" s="196" t="s">
        <v>761</v>
      </c>
      <c r="PMR115" s="197" t="str">
        <f>VLOOKUP(PMQ115,[13]AssetDetails_UEM!$A$3:$AH$1849,6,FALSE)</f>
        <v>Electrosurgical Units, Monopolar/Bipolar</v>
      </c>
      <c r="PMS115" s="196" t="s">
        <v>761</v>
      </c>
      <c r="PMT115" s="197" t="str">
        <f>VLOOKUP(PMS115,[13]AssetDetails_UEM!$A$3:$AH$1849,6,FALSE)</f>
        <v>Electrosurgical Units, Monopolar/Bipolar</v>
      </c>
      <c r="PMU115" s="196" t="s">
        <v>761</v>
      </c>
      <c r="PMV115" s="197" t="str">
        <f>VLOOKUP(PMU115,[13]AssetDetails_UEM!$A$3:$AH$1849,6,FALSE)</f>
        <v>Electrosurgical Units, Monopolar/Bipolar</v>
      </c>
      <c r="PMW115" s="196" t="s">
        <v>761</v>
      </c>
      <c r="PMX115" s="197" t="str">
        <f>VLOOKUP(PMW115,[13]AssetDetails_UEM!$A$3:$AH$1849,6,FALSE)</f>
        <v>Electrosurgical Units, Monopolar/Bipolar</v>
      </c>
      <c r="PMY115" s="196" t="s">
        <v>761</v>
      </c>
      <c r="PMZ115" s="197" t="str">
        <f>VLOOKUP(PMY115,[13]AssetDetails_UEM!$A$3:$AH$1849,6,FALSE)</f>
        <v>Electrosurgical Units, Monopolar/Bipolar</v>
      </c>
      <c r="PNA115" s="196" t="s">
        <v>761</v>
      </c>
      <c r="PNB115" s="197" t="str">
        <f>VLOOKUP(PNA115,[13]AssetDetails_UEM!$A$3:$AH$1849,6,FALSE)</f>
        <v>Electrosurgical Units, Monopolar/Bipolar</v>
      </c>
      <c r="PNC115" s="196" t="s">
        <v>761</v>
      </c>
      <c r="PND115" s="197" t="str">
        <f>VLOOKUP(PNC115,[13]AssetDetails_UEM!$A$3:$AH$1849,6,FALSE)</f>
        <v>Electrosurgical Units, Monopolar/Bipolar</v>
      </c>
      <c r="PNE115" s="196" t="s">
        <v>761</v>
      </c>
      <c r="PNF115" s="197" t="str">
        <f>VLOOKUP(PNE115,[13]AssetDetails_UEM!$A$3:$AH$1849,6,FALSE)</f>
        <v>Electrosurgical Units, Monopolar/Bipolar</v>
      </c>
      <c r="PNG115" s="196" t="s">
        <v>761</v>
      </c>
      <c r="PNH115" s="197" t="str">
        <f>VLOOKUP(PNG115,[13]AssetDetails_UEM!$A$3:$AH$1849,6,FALSE)</f>
        <v>Electrosurgical Units, Monopolar/Bipolar</v>
      </c>
      <c r="PNI115" s="196" t="s">
        <v>761</v>
      </c>
      <c r="PNJ115" s="197" t="str">
        <f>VLOOKUP(PNI115,[13]AssetDetails_UEM!$A$3:$AH$1849,6,FALSE)</f>
        <v>Electrosurgical Units, Monopolar/Bipolar</v>
      </c>
      <c r="PNK115" s="196" t="s">
        <v>761</v>
      </c>
      <c r="PNL115" s="197" t="str">
        <f>VLOOKUP(PNK115,[13]AssetDetails_UEM!$A$3:$AH$1849,6,FALSE)</f>
        <v>Electrosurgical Units, Monopolar/Bipolar</v>
      </c>
      <c r="PNM115" s="196" t="s">
        <v>761</v>
      </c>
      <c r="PNN115" s="197" t="str">
        <f>VLOOKUP(PNM115,[13]AssetDetails_UEM!$A$3:$AH$1849,6,FALSE)</f>
        <v>Electrosurgical Units, Monopolar/Bipolar</v>
      </c>
      <c r="PNO115" s="196" t="s">
        <v>761</v>
      </c>
      <c r="PNP115" s="197" t="str">
        <f>VLOOKUP(PNO115,[13]AssetDetails_UEM!$A$3:$AH$1849,6,FALSE)</f>
        <v>Electrosurgical Units, Monopolar/Bipolar</v>
      </c>
      <c r="PNQ115" s="196" t="s">
        <v>761</v>
      </c>
      <c r="PNR115" s="197" t="str">
        <f>VLOOKUP(PNQ115,[13]AssetDetails_UEM!$A$3:$AH$1849,6,FALSE)</f>
        <v>Electrosurgical Units, Monopolar/Bipolar</v>
      </c>
      <c r="PNS115" s="196" t="s">
        <v>761</v>
      </c>
      <c r="PNT115" s="197" t="str">
        <f>VLOOKUP(PNS115,[13]AssetDetails_UEM!$A$3:$AH$1849,6,FALSE)</f>
        <v>Electrosurgical Units, Monopolar/Bipolar</v>
      </c>
      <c r="PNU115" s="196" t="s">
        <v>761</v>
      </c>
      <c r="PNV115" s="197" t="str">
        <f>VLOOKUP(PNU115,[13]AssetDetails_UEM!$A$3:$AH$1849,6,FALSE)</f>
        <v>Electrosurgical Units, Monopolar/Bipolar</v>
      </c>
      <c r="PNW115" s="196" t="s">
        <v>761</v>
      </c>
      <c r="PNX115" s="197" t="str">
        <f>VLOOKUP(PNW115,[13]AssetDetails_UEM!$A$3:$AH$1849,6,FALSE)</f>
        <v>Electrosurgical Units, Monopolar/Bipolar</v>
      </c>
      <c r="PNY115" s="196" t="s">
        <v>761</v>
      </c>
      <c r="PNZ115" s="197" t="str">
        <f>VLOOKUP(PNY115,[13]AssetDetails_UEM!$A$3:$AH$1849,6,FALSE)</f>
        <v>Electrosurgical Units, Monopolar/Bipolar</v>
      </c>
      <c r="POA115" s="196" t="s">
        <v>761</v>
      </c>
      <c r="POB115" s="197" t="str">
        <f>VLOOKUP(POA115,[13]AssetDetails_UEM!$A$3:$AH$1849,6,FALSE)</f>
        <v>Electrosurgical Units, Monopolar/Bipolar</v>
      </c>
      <c r="POC115" s="196" t="s">
        <v>761</v>
      </c>
      <c r="POD115" s="197" t="str">
        <f>VLOOKUP(POC115,[13]AssetDetails_UEM!$A$3:$AH$1849,6,FALSE)</f>
        <v>Electrosurgical Units, Monopolar/Bipolar</v>
      </c>
      <c r="POE115" s="196" t="s">
        <v>761</v>
      </c>
      <c r="POF115" s="197" t="str">
        <f>VLOOKUP(POE115,[13]AssetDetails_UEM!$A$3:$AH$1849,6,FALSE)</f>
        <v>Electrosurgical Units, Monopolar/Bipolar</v>
      </c>
      <c r="POG115" s="196" t="s">
        <v>761</v>
      </c>
      <c r="POH115" s="197" t="str">
        <f>VLOOKUP(POG115,[13]AssetDetails_UEM!$A$3:$AH$1849,6,FALSE)</f>
        <v>Electrosurgical Units, Monopolar/Bipolar</v>
      </c>
      <c r="POI115" s="196" t="s">
        <v>761</v>
      </c>
      <c r="POJ115" s="197" t="str">
        <f>VLOOKUP(POI115,[13]AssetDetails_UEM!$A$3:$AH$1849,6,FALSE)</f>
        <v>Electrosurgical Units, Monopolar/Bipolar</v>
      </c>
      <c r="POK115" s="196" t="s">
        <v>761</v>
      </c>
      <c r="POL115" s="197" t="str">
        <f>VLOOKUP(POK115,[13]AssetDetails_UEM!$A$3:$AH$1849,6,FALSE)</f>
        <v>Electrosurgical Units, Monopolar/Bipolar</v>
      </c>
      <c r="POM115" s="196" t="s">
        <v>761</v>
      </c>
      <c r="PON115" s="197" t="str">
        <f>VLOOKUP(POM115,[13]AssetDetails_UEM!$A$3:$AH$1849,6,FALSE)</f>
        <v>Electrosurgical Units, Monopolar/Bipolar</v>
      </c>
      <c r="POO115" s="196" t="s">
        <v>761</v>
      </c>
      <c r="POP115" s="197" t="str">
        <f>VLOOKUP(POO115,[13]AssetDetails_UEM!$A$3:$AH$1849,6,FALSE)</f>
        <v>Electrosurgical Units, Monopolar/Bipolar</v>
      </c>
      <c r="POQ115" s="196" t="s">
        <v>761</v>
      </c>
      <c r="POR115" s="197" t="str">
        <f>VLOOKUP(POQ115,[13]AssetDetails_UEM!$A$3:$AH$1849,6,FALSE)</f>
        <v>Electrosurgical Units, Monopolar/Bipolar</v>
      </c>
      <c r="POS115" s="196" t="s">
        <v>761</v>
      </c>
      <c r="POT115" s="197" t="str">
        <f>VLOOKUP(POS115,[13]AssetDetails_UEM!$A$3:$AH$1849,6,FALSE)</f>
        <v>Electrosurgical Units, Monopolar/Bipolar</v>
      </c>
      <c r="POU115" s="196" t="s">
        <v>761</v>
      </c>
      <c r="POV115" s="197" t="str">
        <f>VLOOKUP(POU115,[13]AssetDetails_UEM!$A$3:$AH$1849,6,FALSE)</f>
        <v>Electrosurgical Units, Monopolar/Bipolar</v>
      </c>
      <c r="POW115" s="196" t="s">
        <v>761</v>
      </c>
      <c r="POX115" s="197" t="str">
        <f>VLOOKUP(POW115,[13]AssetDetails_UEM!$A$3:$AH$1849,6,FALSE)</f>
        <v>Electrosurgical Units, Monopolar/Bipolar</v>
      </c>
      <c r="POY115" s="196" t="s">
        <v>761</v>
      </c>
      <c r="POZ115" s="197" t="str">
        <f>VLOOKUP(POY115,[13]AssetDetails_UEM!$A$3:$AH$1849,6,FALSE)</f>
        <v>Electrosurgical Units, Monopolar/Bipolar</v>
      </c>
      <c r="PPA115" s="196" t="s">
        <v>761</v>
      </c>
      <c r="PPB115" s="197" t="str">
        <f>VLOOKUP(PPA115,[13]AssetDetails_UEM!$A$3:$AH$1849,6,FALSE)</f>
        <v>Electrosurgical Units, Monopolar/Bipolar</v>
      </c>
      <c r="PPC115" s="196" t="s">
        <v>761</v>
      </c>
      <c r="PPD115" s="197" t="str">
        <f>VLOOKUP(PPC115,[13]AssetDetails_UEM!$A$3:$AH$1849,6,FALSE)</f>
        <v>Electrosurgical Units, Monopolar/Bipolar</v>
      </c>
      <c r="PPE115" s="196" t="s">
        <v>761</v>
      </c>
      <c r="PPF115" s="197" t="str">
        <f>VLOOKUP(PPE115,[13]AssetDetails_UEM!$A$3:$AH$1849,6,FALSE)</f>
        <v>Electrosurgical Units, Monopolar/Bipolar</v>
      </c>
      <c r="PPG115" s="196" t="s">
        <v>761</v>
      </c>
      <c r="PPH115" s="197" t="str">
        <f>VLOOKUP(PPG115,[13]AssetDetails_UEM!$A$3:$AH$1849,6,FALSE)</f>
        <v>Electrosurgical Units, Monopolar/Bipolar</v>
      </c>
      <c r="PPI115" s="196" t="s">
        <v>761</v>
      </c>
      <c r="PPJ115" s="197" t="str">
        <f>VLOOKUP(PPI115,[13]AssetDetails_UEM!$A$3:$AH$1849,6,FALSE)</f>
        <v>Electrosurgical Units, Monopolar/Bipolar</v>
      </c>
      <c r="PPK115" s="196" t="s">
        <v>761</v>
      </c>
      <c r="PPL115" s="197" t="str">
        <f>VLOOKUP(PPK115,[13]AssetDetails_UEM!$A$3:$AH$1849,6,FALSE)</f>
        <v>Electrosurgical Units, Monopolar/Bipolar</v>
      </c>
      <c r="PPM115" s="196" t="s">
        <v>761</v>
      </c>
      <c r="PPN115" s="197" t="str">
        <f>VLOOKUP(PPM115,[13]AssetDetails_UEM!$A$3:$AH$1849,6,FALSE)</f>
        <v>Electrosurgical Units, Monopolar/Bipolar</v>
      </c>
      <c r="PPO115" s="196" t="s">
        <v>761</v>
      </c>
      <c r="PPP115" s="197" t="str">
        <f>VLOOKUP(PPO115,[13]AssetDetails_UEM!$A$3:$AH$1849,6,FALSE)</f>
        <v>Electrosurgical Units, Monopolar/Bipolar</v>
      </c>
      <c r="PPQ115" s="196" t="s">
        <v>761</v>
      </c>
      <c r="PPR115" s="197" t="str">
        <f>VLOOKUP(PPQ115,[13]AssetDetails_UEM!$A$3:$AH$1849,6,FALSE)</f>
        <v>Electrosurgical Units, Monopolar/Bipolar</v>
      </c>
      <c r="PPS115" s="196" t="s">
        <v>761</v>
      </c>
      <c r="PPT115" s="197" t="str">
        <f>VLOOKUP(PPS115,[13]AssetDetails_UEM!$A$3:$AH$1849,6,FALSE)</f>
        <v>Electrosurgical Units, Monopolar/Bipolar</v>
      </c>
      <c r="PPU115" s="196" t="s">
        <v>761</v>
      </c>
      <c r="PPV115" s="197" t="str">
        <f>VLOOKUP(PPU115,[13]AssetDetails_UEM!$A$3:$AH$1849,6,FALSE)</f>
        <v>Electrosurgical Units, Monopolar/Bipolar</v>
      </c>
      <c r="PPW115" s="196" t="s">
        <v>761</v>
      </c>
      <c r="PPX115" s="197" t="str">
        <f>VLOOKUP(PPW115,[13]AssetDetails_UEM!$A$3:$AH$1849,6,FALSE)</f>
        <v>Electrosurgical Units, Monopolar/Bipolar</v>
      </c>
      <c r="PPY115" s="196" t="s">
        <v>761</v>
      </c>
      <c r="PPZ115" s="197" t="str">
        <f>VLOOKUP(PPY115,[13]AssetDetails_UEM!$A$3:$AH$1849,6,FALSE)</f>
        <v>Electrosurgical Units, Monopolar/Bipolar</v>
      </c>
      <c r="PQA115" s="196" t="s">
        <v>761</v>
      </c>
      <c r="PQB115" s="197" t="str">
        <f>VLOOKUP(PQA115,[13]AssetDetails_UEM!$A$3:$AH$1849,6,FALSE)</f>
        <v>Electrosurgical Units, Monopolar/Bipolar</v>
      </c>
      <c r="PQC115" s="196" t="s">
        <v>761</v>
      </c>
      <c r="PQD115" s="197" t="str">
        <f>VLOOKUP(PQC115,[13]AssetDetails_UEM!$A$3:$AH$1849,6,FALSE)</f>
        <v>Electrosurgical Units, Monopolar/Bipolar</v>
      </c>
      <c r="PQE115" s="196" t="s">
        <v>761</v>
      </c>
      <c r="PQF115" s="197" t="str">
        <f>VLOOKUP(PQE115,[13]AssetDetails_UEM!$A$3:$AH$1849,6,FALSE)</f>
        <v>Electrosurgical Units, Monopolar/Bipolar</v>
      </c>
      <c r="PQG115" s="196" t="s">
        <v>761</v>
      </c>
      <c r="PQH115" s="197" t="str">
        <f>VLOOKUP(PQG115,[13]AssetDetails_UEM!$A$3:$AH$1849,6,FALSE)</f>
        <v>Electrosurgical Units, Monopolar/Bipolar</v>
      </c>
      <c r="PQI115" s="196" t="s">
        <v>761</v>
      </c>
      <c r="PQJ115" s="197" t="str">
        <f>VLOOKUP(PQI115,[13]AssetDetails_UEM!$A$3:$AH$1849,6,FALSE)</f>
        <v>Electrosurgical Units, Monopolar/Bipolar</v>
      </c>
      <c r="PQK115" s="196" t="s">
        <v>761</v>
      </c>
      <c r="PQL115" s="197" t="str">
        <f>VLOOKUP(PQK115,[13]AssetDetails_UEM!$A$3:$AH$1849,6,FALSE)</f>
        <v>Electrosurgical Units, Monopolar/Bipolar</v>
      </c>
      <c r="PQM115" s="196" t="s">
        <v>761</v>
      </c>
      <c r="PQN115" s="197" t="str">
        <f>VLOOKUP(PQM115,[13]AssetDetails_UEM!$A$3:$AH$1849,6,FALSE)</f>
        <v>Electrosurgical Units, Monopolar/Bipolar</v>
      </c>
      <c r="PQO115" s="196" t="s">
        <v>761</v>
      </c>
      <c r="PQP115" s="197" t="str">
        <f>VLOOKUP(PQO115,[13]AssetDetails_UEM!$A$3:$AH$1849,6,FALSE)</f>
        <v>Electrosurgical Units, Monopolar/Bipolar</v>
      </c>
      <c r="PQQ115" s="196" t="s">
        <v>761</v>
      </c>
      <c r="PQR115" s="197" t="str">
        <f>VLOOKUP(PQQ115,[13]AssetDetails_UEM!$A$3:$AH$1849,6,FALSE)</f>
        <v>Electrosurgical Units, Monopolar/Bipolar</v>
      </c>
      <c r="PQS115" s="196" t="s">
        <v>761</v>
      </c>
      <c r="PQT115" s="197" t="str">
        <f>VLOOKUP(PQS115,[13]AssetDetails_UEM!$A$3:$AH$1849,6,FALSE)</f>
        <v>Electrosurgical Units, Monopolar/Bipolar</v>
      </c>
      <c r="PQU115" s="196" t="s">
        <v>761</v>
      </c>
      <c r="PQV115" s="197" t="str">
        <f>VLOOKUP(PQU115,[13]AssetDetails_UEM!$A$3:$AH$1849,6,FALSE)</f>
        <v>Electrosurgical Units, Monopolar/Bipolar</v>
      </c>
      <c r="PQW115" s="196" t="s">
        <v>761</v>
      </c>
      <c r="PQX115" s="197" t="str">
        <f>VLOOKUP(PQW115,[13]AssetDetails_UEM!$A$3:$AH$1849,6,FALSE)</f>
        <v>Electrosurgical Units, Monopolar/Bipolar</v>
      </c>
      <c r="PQY115" s="196" t="s">
        <v>761</v>
      </c>
      <c r="PQZ115" s="197" t="str">
        <f>VLOOKUP(PQY115,[13]AssetDetails_UEM!$A$3:$AH$1849,6,FALSE)</f>
        <v>Electrosurgical Units, Monopolar/Bipolar</v>
      </c>
      <c r="PRA115" s="196" t="s">
        <v>761</v>
      </c>
      <c r="PRB115" s="197" t="str">
        <f>VLOOKUP(PRA115,[13]AssetDetails_UEM!$A$3:$AH$1849,6,FALSE)</f>
        <v>Electrosurgical Units, Monopolar/Bipolar</v>
      </c>
      <c r="PRC115" s="196" t="s">
        <v>761</v>
      </c>
      <c r="PRD115" s="197" t="str">
        <f>VLOOKUP(PRC115,[13]AssetDetails_UEM!$A$3:$AH$1849,6,FALSE)</f>
        <v>Electrosurgical Units, Monopolar/Bipolar</v>
      </c>
      <c r="PRE115" s="196" t="s">
        <v>761</v>
      </c>
      <c r="PRF115" s="197" t="str">
        <f>VLOOKUP(PRE115,[13]AssetDetails_UEM!$A$3:$AH$1849,6,FALSE)</f>
        <v>Electrosurgical Units, Monopolar/Bipolar</v>
      </c>
      <c r="PRG115" s="196" t="s">
        <v>761</v>
      </c>
      <c r="PRH115" s="197" t="str">
        <f>VLOOKUP(PRG115,[13]AssetDetails_UEM!$A$3:$AH$1849,6,FALSE)</f>
        <v>Electrosurgical Units, Monopolar/Bipolar</v>
      </c>
      <c r="PRI115" s="196" t="s">
        <v>761</v>
      </c>
      <c r="PRJ115" s="197" t="str">
        <f>VLOOKUP(PRI115,[13]AssetDetails_UEM!$A$3:$AH$1849,6,FALSE)</f>
        <v>Electrosurgical Units, Monopolar/Bipolar</v>
      </c>
      <c r="PRK115" s="196" t="s">
        <v>761</v>
      </c>
      <c r="PRL115" s="197" t="str">
        <f>VLOOKUP(PRK115,[13]AssetDetails_UEM!$A$3:$AH$1849,6,FALSE)</f>
        <v>Electrosurgical Units, Monopolar/Bipolar</v>
      </c>
      <c r="PRM115" s="196" t="s">
        <v>761</v>
      </c>
      <c r="PRN115" s="197" t="str">
        <f>VLOOKUP(PRM115,[13]AssetDetails_UEM!$A$3:$AH$1849,6,FALSE)</f>
        <v>Electrosurgical Units, Monopolar/Bipolar</v>
      </c>
      <c r="PRO115" s="196" t="s">
        <v>761</v>
      </c>
      <c r="PRP115" s="197" t="str">
        <f>VLOOKUP(PRO115,[13]AssetDetails_UEM!$A$3:$AH$1849,6,FALSE)</f>
        <v>Electrosurgical Units, Monopolar/Bipolar</v>
      </c>
      <c r="PRQ115" s="196" t="s">
        <v>761</v>
      </c>
      <c r="PRR115" s="197" t="str">
        <f>VLOOKUP(PRQ115,[13]AssetDetails_UEM!$A$3:$AH$1849,6,FALSE)</f>
        <v>Electrosurgical Units, Monopolar/Bipolar</v>
      </c>
      <c r="PRS115" s="196" t="s">
        <v>761</v>
      </c>
      <c r="PRT115" s="197" t="str">
        <f>VLOOKUP(PRS115,[13]AssetDetails_UEM!$A$3:$AH$1849,6,FALSE)</f>
        <v>Electrosurgical Units, Monopolar/Bipolar</v>
      </c>
      <c r="PRU115" s="196" t="s">
        <v>761</v>
      </c>
      <c r="PRV115" s="197" t="str">
        <f>VLOOKUP(PRU115,[13]AssetDetails_UEM!$A$3:$AH$1849,6,FALSE)</f>
        <v>Electrosurgical Units, Monopolar/Bipolar</v>
      </c>
      <c r="PRW115" s="196" t="s">
        <v>761</v>
      </c>
      <c r="PRX115" s="197" t="str">
        <f>VLOOKUP(PRW115,[13]AssetDetails_UEM!$A$3:$AH$1849,6,FALSE)</f>
        <v>Electrosurgical Units, Monopolar/Bipolar</v>
      </c>
      <c r="PRY115" s="196" t="s">
        <v>761</v>
      </c>
      <c r="PRZ115" s="197" t="str">
        <f>VLOOKUP(PRY115,[13]AssetDetails_UEM!$A$3:$AH$1849,6,FALSE)</f>
        <v>Electrosurgical Units, Monopolar/Bipolar</v>
      </c>
      <c r="PSA115" s="196" t="s">
        <v>761</v>
      </c>
      <c r="PSB115" s="197" t="str">
        <f>VLOOKUP(PSA115,[13]AssetDetails_UEM!$A$3:$AH$1849,6,FALSE)</f>
        <v>Electrosurgical Units, Monopolar/Bipolar</v>
      </c>
      <c r="PSC115" s="196" t="s">
        <v>761</v>
      </c>
      <c r="PSD115" s="197" t="str">
        <f>VLOOKUP(PSC115,[13]AssetDetails_UEM!$A$3:$AH$1849,6,FALSE)</f>
        <v>Electrosurgical Units, Monopolar/Bipolar</v>
      </c>
      <c r="PSE115" s="196" t="s">
        <v>761</v>
      </c>
      <c r="PSF115" s="197" t="str">
        <f>VLOOKUP(PSE115,[13]AssetDetails_UEM!$A$3:$AH$1849,6,FALSE)</f>
        <v>Electrosurgical Units, Monopolar/Bipolar</v>
      </c>
      <c r="PSG115" s="196" t="s">
        <v>761</v>
      </c>
      <c r="PSH115" s="197" t="str">
        <f>VLOOKUP(PSG115,[13]AssetDetails_UEM!$A$3:$AH$1849,6,FALSE)</f>
        <v>Electrosurgical Units, Monopolar/Bipolar</v>
      </c>
      <c r="PSI115" s="196" t="s">
        <v>761</v>
      </c>
      <c r="PSJ115" s="197" t="str">
        <f>VLOOKUP(PSI115,[13]AssetDetails_UEM!$A$3:$AH$1849,6,FALSE)</f>
        <v>Electrosurgical Units, Monopolar/Bipolar</v>
      </c>
      <c r="PSK115" s="196" t="s">
        <v>761</v>
      </c>
      <c r="PSL115" s="197" t="str">
        <f>VLOOKUP(PSK115,[13]AssetDetails_UEM!$A$3:$AH$1849,6,FALSE)</f>
        <v>Electrosurgical Units, Monopolar/Bipolar</v>
      </c>
      <c r="PSM115" s="196" t="s">
        <v>761</v>
      </c>
      <c r="PSN115" s="197" t="str">
        <f>VLOOKUP(PSM115,[13]AssetDetails_UEM!$A$3:$AH$1849,6,FALSE)</f>
        <v>Electrosurgical Units, Monopolar/Bipolar</v>
      </c>
      <c r="PSO115" s="196" t="s">
        <v>761</v>
      </c>
      <c r="PSP115" s="197" t="str">
        <f>VLOOKUP(PSO115,[13]AssetDetails_UEM!$A$3:$AH$1849,6,FALSE)</f>
        <v>Electrosurgical Units, Monopolar/Bipolar</v>
      </c>
      <c r="PSQ115" s="196" t="s">
        <v>761</v>
      </c>
      <c r="PSR115" s="197" t="str">
        <f>VLOOKUP(PSQ115,[13]AssetDetails_UEM!$A$3:$AH$1849,6,FALSE)</f>
        <v>Electrosurgical Units, Monopolar/Bipolar</v>
      </c>
      <c r="PSS115" s="196" t="s">
        <v>761</v>
      </c>
      <c r="PST115" s="197" t="str">
        <f>VLOOKUP(PSS115,[13]AssetDetails_UEM!$A$3:$AH$1849,6,FALSE)</f>
        <v>Electrosurgical Units, Monopolar/Bipolar</v>
      </c>
      <c r="PSU115" s="196" t="s">
        <v>761</v>
      </c>
      <c r="PSV115" s="197" t="str">
        <f>VLOOKUP(PSU115,[13]AssetDetails_UEM!$A$3:$AH$1849,6,FALSE)</f>
        <v>Electrosurgical Units, Monopolar/Bipolar</v>
      </c>
      <c r="PSW115" s="196" t="s">
        <v>761</v>
      </c>
      <c r="PSX115" s="197" t="str">
        <f>VLOOKUP(PSW115,[13]AssetDetails_UEM!$A$3:$AH$1849,6,FALSE)</f>
        <v>Electrosurgical Units, Monopolar/Bipolar</v>
      </c>
      <c r="PSY115" s="196" t="s">
        <v>761</v>
      </c>
      <c r="PSZ115" s="197" t="str">
        <f>VLOOKUP(PSY115,[13]AssetDetails_UEM!$A$3:$AH$1849,6,FALSE)</f>
        <v>Electrosurgical Units, Monopolar/Bipolar</v>
      </c>
      <c r="PTA115" s="196" t="s">
        <v>761</v>
      </c>
      <c r="PTB115" s="197" t="str">
        <f>VLOOKUP(PTA115,[13]AssetDetails_UEM!$A$3:$AH$1849,6,FALSE)</f>
        <v>Electrosurgical Units, Monopolar/Bipolar</v>
      </c>
      <c r="PTC115" s="196" t="s">
        <v>761</v>
      </c>
      <c r="PTD115" s="197" t="str">
        <f>VLOOKUP(PTC115,[13]AssetDetails_UEM!$A$3:$AH$1849,6,FALSE)</f>
        <v>Electrosurgical Units, Monopolar/Bipolar</v>
      </c>
      <c r="PTE115" s="196" t="s">
        <v>761</v>
      </c>
      <c r="PTF115" s="197" t="str">
        <f>VLOOKUP(PTE115,[13]AssetDetails_UEM!$A$3:$AH$1849,6,FALSE)</f>
        <v>Electrosurgical Units, Monopolar/Bipolar</v>
      </c>
      <c r="PTG115" s="196" t="s">
        <v>761</v>
      </c>
      <c r="PTH115" s="197" t="str">
        <f>VLOOKUP(PTG115,[13]AssetDetails_UEM!$A$3:$AH$1849,6,FALSE)</f>
        <v>Electrosurgical Units, Monopolar/Bipolar</v>
      </c>
      <c r="PTI115" s="196" t="s">
        <v>761</v>
      </c>
      <c r="PTJ115" s="197" t="str">
        <f>VLOOKUP(PTI115,[13]AssetDetails_UEM!$A$3:$AH$1849,6,FALSE)</f>
        <v>Electrosurgical Units, Monopolar/Bipolar</v>
      </c>
      <c r="PTK115" s="196" t="s">
        <v>761</v>
      </c>
      <c r="PTL115" s="197" t="str">
        <f>VLOOKUP(PTK115,[13]AssetDetails_UEM!$A$3:$AH$1849,6,FALSE)</f>
        <v>Electrosurgical Units, Monopolar/Bipolar</v>
      </c>
      <c r="PTM115" s="196" t="s">
        <v>761</v>
      </c>
      <c r="PTN115" s="197" t="str">
        <f>VLOOKUP(PTM115,[13]AssetDetails_UEM!$A$3:$AH$1849,6,FALSE)</f>
        <v>Electrosurgical Units, Monopolar/Bipolar</v>
      </c>
      <c r="PTO115" s="196" t="s">
        <v>761</v>
      </c>
      <c r="PTP115" s="197" t="str">
        <f>VLOOKUP(PTO115,[13]AssetDetails_UEM!$A$3:$AH$1849,6,FALSE)</f>
        <v>Electrosurgical Units, Monopolar/Bipolar</v>
      </c>
      <c r="PTQ115" s="196" t="s">
        <v>761</v>
      </c>
      <c r="PTR115" s="197" t="str">
        <f>VLOOKUP(PTQ115,[13]AssetDetails_UEM!$A$3:$AH$1849,6,FALSE)</f>
        <v>Electrosurgical Units, Monopolar/Bipolar</v>
      </c>
      <c r="PTS115" s="196" t="s">
        <v>761</v>
      </c>
      <c r="PTT115" s="197" t="str">
        <f>VLOOKUP(PTS115,[13]AssetDetails_UEM!$A$3:$AH$1849,6,FALSE)</f>
        <v>Electrosurgical Units, Monopolar/Bipolar</v>
      </c>
      <c r="PTU115" s="196" t="s">
        <v>761</v>
      </c>
      <c r="PTV115" s="197" t="str">
        <f>VLOOKUP(PTU115,[13]AssetDetails_UEM!$A$3:$AH$1849,6,FALSE)</f>
        <v>Electrosurgical Units, Monopolar/Bipolar</v>
      </c>
      <c r="PTW115" s="196" t="s">
        <v>761</v>
      </c>
      <c r="PTX115" s="197" t="str">
        <f>VLOOKUP(PTW115,[13]AssetDetails_UEM!$A$3:$AH$1849,6,FALSE)</f>
        <v>Electrosurgical Units, Monopolar/Bipolar</v>
      </c>
      <c r="PTY115" s="196" t="s">
        <v>761</v>
      </c>
      <c r="PTZ115" s="197" t="str">
        <f>VLOOKUP(PTY115,[13]AssetDetails_UEM!$A$3:$AH$1849,6,FALSE)</f>
        <v>Electrosurgical Units, Monopolar/Bipolar</v>
      </c>
      <c r="PUA115" s="196" t="s">
        <v>761</v>
      </c>
      <c r="PUB115" s="197" t="str">
        <f>VLOOKUP(PUA115,[13]AssetDetails_UEM!$A$3:$AH$1849,6,FALSE)</f>
        <v>Electrosurgical Units, Monopolar/Bipolar</v>
      </c>
      <c r="PUC115" s="196" t="s">
        <v>761</v>
      </c>
      <c r="PUD115" s="197" t="str">
        <f>VLOOKUP(PUC115,[13]AssetDetails_UEM!$A$3:$AH$1849,6,FALSE)</f>
        <v>Electrosurgical Units, Monopolar/Bipolar</v>
      </c>
      <c r="PUE115" s="196" t="s">
        <v>761</v>
      </c>
      <c r="PUF115" s="197" t="str">
        <f>VLOOKUP(PUE115,[13]AssetDetails_UEM!$A$3:$AH$1849,6,FALSE)</f>
        <v>Electrosurgical Units, Monopolar/Bipolar</v>
      </c>
      <c r="PUG115" s="196" t="s">
        <v>761</v>
      </c>
      <c r="PUH115" s="197" t="str">
        <f>VLOOKUP(PUG115,[13]AssetDetails_UEM!$A$3:$AH$1849,6,FALSE)</f>
        <v>Electrosurgical Units, Monopolar/Bipolar</v>
      </c>
      <c r="PUI115" s="196" t="s">
        <v>761</v>
      </c>
      <c r="PUJ115" s="197" t="str">
        <f>VLOOKUP(PUI115,[13]AssetDetails_UEM!$A$3:$AH$1849,6,FALSE)</f>
        <v>Electrosurgical Units, Monopolar/Bipolar</v>
      </c>
      <c r="PUK115" s="196" t="s">
        <v>761</v>
      </c>
      <c r="PUL115" s="197" t="str">
        <f>VLOOKUP(PUK115,[13]AssetDetails_UEM!$A$3:$AH$1849,6,FALSE)</f>
        <v>Electrosurgical Units, Monopolar/Bipolar</v>
      </c>
      <c r="PUM115" s="196" t="s">
        <v>761</v>
      </c>
      <c r="PUN115" s="197" t="str">
        <f>VLOOKUP(PUM115,[13]AssetDetails_UEM!$A$3:$AH$1849,6,FALSE)</f>
        <v>Electrosurgical Units, Monopolar/Bipolar</v>
      </c>
      <c r="PUO115" s="196" t="s">
        <v>761</v>
      </c>
      <c r="PUP115" s="197" t="str">
        <f>VLOOKUP(PUO115,[13]AssetDetails_UEM!$A$3:$AH$1849,6,FALSE)</f>
        <v>Electrosurgical Units, Monopolar/Bipolar</v>
      </c>
      <c r="PUQ115" s="196" t="s">
        <v>761</v>
      </c>
      <c r="PUR115" s="197" t="str">
        <f>VLOOKUP(PUQ115,[13]AssetDetails_UEM!$A$3:$AH$1849,6,FALSE)</f>
        <v>Electrosurgical Units, Monopolar/Bipolar</v>
      </c>
      <c r="PUS115" s="196" t="s">
        <v>761</v>
      </c>
      <c r="PUT115" s="197" t="str">
        <f>VLOOKUP(PUS115,[13]AssetDetails_UEM!$A$3:$AH$1849,6,FALSE)</f>
        <v>Electrosurgical Units, Monopolar/Bipolar</v>
      </c>
      <c r="PUU115" s="196" t="s">
        <v>761</v>
      </c>
      <c r="PUV115" s="197" t="str">
        <f>VLOOKUP(PUU115,[13]AssetDetails_UEM!$A$3:$AH$1849,6,FALSE)</f>
        <v>Electrosurgical Units, Monopolar/Bipolar</v>
      </c>
      <c r="PUW115" s="196" t="s">
        <v>761</v>
      </c>
      <c r="PUX115" s="197" t="str">
        <f>VLOOKUP(PUW115,[13]AssetDetails_UEM!$A$3:$AH$1849,6,FALSE)</f>
        <v>Electrosurgical Units, Monopolar/Bipolar</v>
      </c>
      <c r="PUY115" s="196" t="s">
        <v>761</v>
      </c>
      <c r="PUZ115" s="197" t="str">
        <f>VLOOKUP(PUY115,[13]AssetDetails_UEM!$A$3:$AH$1849,6,FALSE)</f>
        <v>Electrosurgical Units, Monopolar/Bipolar</v>
      </c>
      <c r="PVA115" s="196" t="s">
        <v>761</v>
      </c>
      <c r="PVB115" s="197" t="str">
        <f>VLOOKUP(PVA115,[13]AssetDetails_UEM!$A$3:$AH$1849,6,FALSE)</f>
        <v>Electrosurgical Units, Monopolar/Bipolar</v>
      </c>
      <c r="PVC115" s="196" t="s">
        <v>761</v>
      </c>
      <c r="PVD115" s="197" t="str">
        <f>VLOOKUP(PVC115,[13]AssetDetails_UEM!$A$3:$AH$1849,6,FALSE)</f>
        <v>Electrosurgical Units, Monopolar/Bipolar</v>
      </c>
      <c r="PVE115" s="196" t="s">
        <v>761</v>
      </c>
      <c r="PVF115" s="197" t="str">
        <f>VLOOKUP(PVE115,[13]AssetDetails_UEM!$A$3:$AH$1849,6,FALSE)</f>
        <v>Electrosurgical Units, Monopolar/Bipolar</v>
      </c>
      <c r="PVG115" s="196" t="s">
        <v>761</v>
      </c>
      <c r="PVH115" s="197" t="str">
        <f>VLOOKUP(PVG115,[13]AssetDetails_UEM!$A$3:$AH$1849,6,FALSE)</f>
        <v>Electrosurgical Units, Monopolar/Bipolar</v>
      </c>
      <c r="PVI115" s="196" t="s">
        <v>761</v>
      </c>
      <c r="PVJ115" s="197" t="str">
        <f>VLOOKUP(PVI115,[13]AssetDetails_UEM!$A$3:$AH$1849,6,FALSE)</f>
        <v>Electrosurgical Units, Monopolar/Bipolar</v>
      </c>
      <c r="PVK115" s="196" t="s">
        <v>761</v>
      </c>
      <c r="PVL115" s="197" t="str">
        <f>VLOOKUP(PVK115,[13]AssetDetails_UEM!$A$3:$AH$1849,6,FALSE)</f>
        <v>Electrosurgical Units, Monopolar/Bipolar</v>
      </c>
      <c r="PVM115" s="196" t="s">
        <v>761</v>
      </c>
      <c r="PVN115" s="197" t="str">
        <f>VLOOKUP(PVM115,[13]AssetDetails_UEM!$A$3:$AH$1849,6,FALSE)</f>
        <v>Electrosurgical Units, Monopolar/Bipolar</v>
      </c>
      <c r="PVO115" s="196" t="s">
        <v>761</v>
      </c>
      <c r="PVP115" s="197" t="str">
        <f>VLOOKUP(PVO115,[13]AssetDetails_UEM!$A$3:$AH$1849,6,FALSE)</f>
        <v>Electrosurgical Units, Monopolar/Bipolar</v>
      </c>
      <c r="PVQ115" s="196" t="s">
        <v>761</v>
      </c>
      <c r="PVR115" s="197" t="str">
        <f>VLOOKUP(PVQ115,[13]AssetDetails_UEM!$A$3:$AH$1849,6,FALSE)</f>
        <v>Electrosurgical Units, Monopolar/Bipolar</v>
      </c>
      <c r="PVS115" s="196" t="s">
        <v>761</v>
      </c>
      <c r="PVT115" s="197" t="str">
        <f>VLOOKUP(PVS115,[13]AssetDetails_UEM!$A$3:$AH$1849,6,FALSE)</f>
        <v>Electrosurgical Units, Monopolar/Bipolar</v>
      </c>
      <c r="PVU115" s="196" t="s">
        <v>761</v>
      </c>
      <c r="PVV115" s="197" t="str">
        <f>VLOOKUP(PVU115,[13]AssetDetails_UEM!$A$3:$AH$1849,6,FALSE)</f>
        <v>Electrosurgical Units, Monopolar/Bipolar</v>
      </c>
      <c r="PVW115" s="196" t="s">
        <v>761</v>
      </c>
      <c r="PVX115" s="197" t="str">
        <f>VLOOKUP(PVW115,[13]AssetDetails_UEM!$A$3:$AH$1849,6,FALSE)</f>
        <v>Electrosurgical Units, Monopolar/Bipolar</v>
      </c>
      <c r="PVY115" s="196" t="s">
        <v>761</v>
      </c>
      <c r="PVZ115" s="197" t="str">
        <f>VLOOKUP(PVY115,[13]AssetDetails_UEM!$A$3:$AH$1849,6,FALSE)</f>
        <v>Electrosurgical Units, Monopolar/Bipolar</v>
      </c>
      <c r="PWA115" s="196" t="s">
        <v>761</v>
      </c>
      <c r="PWB115" s="197" t="str">
        <f>VLOOKUP(PWA115,[13]AssetDetails_UEM!$A$3:$AH$1849,6,FALSE)</f>
        <v>Electrosurgical Units, Monopolar/Bipolar</v>
      </c>
      <c r="PWC115" s="196" t="s">
        <v>761</v>
      </c>
      <c r="PWD115" s="197" t="str">
        <f>VLOOKUP(PWC115,[13]AssetDetails_UEM!$A$3:$AH$1849,6,FALSE)</f>
        <v>Electrosurgical Units, Monopolar/Bipolar</v>
      </c>
      <c r="PWE115" s="196" t="s">
        <v>761</v>
      </c>
      <c r="PWF115" s="197" t="str">
        <f>VLOOKUP(PWE115,[13]AssetDetails_UEM!$A$3:$AH$1849,6,FALSE)</f>
        <v>Electrosurgical Units, Monopolar/Bipolar</v>
      </c>
      <c r="PWG115" s="196" t="s">
        <v>761</v>
      </c>
      <c r="PWH115" s="197" t="str">
        <f>VLOOKUP(PWG115,[13]AssetDetails_UEM!$A$3:$AH$1849,6,FALSE)</f>
        <v>Electrosurgical Units, Monopolar/Bipolar</v>
      </c>
      <c r="PWI115" s="196" t="s">
        <v>761</v>
      </c>
      <c r="PWJ115" s="197" t="str">
        <f>VLOOKUP(PWI115,[13]AssetDetails_UEM!$A$3:$AH$1849,6,FALSE)</f>
        <v>Electrosurgical Units, Monopolar/Bipolar</v>
      </c>
      <c r="PWK115" s="196" t="s">
        <v>761</v>
      </c>
      <c r="PWL115" s="197" t="str">
        <f>VLOOKUP(PWK115,[13]AssetDetails_UEM!$A$3:$AH$1849,6,FALSE)</f>
        <v>Electrosurgical Units, Monopolar/Bipolar</v>
      </c>
      <c r="PWM115" s="196" t="s">
        <v>761</v>
      </c>
      <c r="PWN115" s="197" t="str">
        <f>VLOOKUP(PWM115,[13]AssetDetails_UEM!$A$3:$AH$1849,6,FALSE)</f>
        <v>Electrosurgical Units, Monopolar/Bipolar</v>
      </c>
      <c r="PWO115" s="196" t="s">
        <v>761</v>
      </c>
      <c r="PWP115" s="197" t="str">
        <f>VLOOKUP(PWO115,[13]AssetDetails_UEM!$A$3:$AH$1849,6,FALSE)</f>
        <v>Electrosurgical Units, Monopolar/Bipolar</v>
      </c>
      <c r="PWQ115" s="196" t="s">
        <v>761</v>
      </c>
      <c r="PWR115" s="197" t="str">
        <f>VLOOKUP(PWQ115,[13]AssetDetails_UEM!$A$3:$AH$1849,6,FALSE)</f>
        <v>Electrosurgical Units, Monopolar/Bipolar</v>
      </c>
      <c r="PWS115" s="196" t="s">
        <v>761</v>
      </c>
      <c r="PWT115" s="197" t="str">
        <f>VLOOKUP(PWS115,[13]AssetDetails_UEM!$A$3:$AH$1849,6,FALSE)</f>
        <v>Electrosurgical Units, Monopolar/Bipolar</v>
      </c>
      <c r="PWU115" s="196" t="s">
        <v>761</v>
      </c>
      <c r="PWV115" s="197" t="str">
        <f>VLOOKUP(PWU115,[13]AssetDetails_UEM!$A$3:$AH$1849,6,FALSE)</f>
        <v>Electrosurgical Units, Monopolar/Bipolar</v>
      </c>
      <c r="PWW115" s="196" t="s">
        <v>761</v>
      </c>
      <c r="PWX115" s="197" t="str">
        <f>VLOOKUP(PWW115,[13]AssetDetails_UEM!$A$3:$AH$1849,6,FALSE)</f>
        <v>Electrosurgical Units, Monopolar/Bipolar</v>
      </c>
      <c r="PWY115" s="196" t="s">
        <v>761</v>
      </c>
      <c r="PWZ115" s="197" t="str">
        <f>VLOOKUP(PWY115,[13]AssetDetails_UEM!$A$3:$AH$1849,6,FALSE)</f>
        <v>Electrosurgical Units, Monopolar/Bipolar</v>
      </c>
      <c r="PXA115" s="196" t="s">
        <v>761</v>
      </c>
      <c r="PXB115" s="197" t="str">
        <f>VLOOKUP(PXA115,[13]AssetDetails_UEM!$A$3:$AH$1849,6,FALSE)</f>
        <v>Electrosurgical Units, Monopolar/Bipolar</v>
      </c>
      <c r="PXC115" s="196" t="s">
        <v>761</v>
      </c>
      <c r="PXD115" s="197" t="str">
        <f>VLOOKUP(PXC115,[13]AssetDetails_UEM!$A$3:$AH$1849,6,FALSE)</f>
        <v>Electrosurgical Units, Monopolar/Bipolar</v>
      </c>
      <c r="PXE115" s="196" t="s">
        <v>761</v>
      </c>
      <c r="PXF115" s="197" t="str">
        <f>VLOOKUP(PXE115,[13]AssetDetails_UEM!$A$3:$AH$1849,6,FALSE)</f>
        <v>Electrosurgical Units, Monopolar/Bipolar</v>
      </c>
      <c r="PXG115" s="196" t="s">
        <v>761</v>
      </c>
      <c r="PXH115" s="197" t="str">
        <f>VLOOKUP(PXG115,[13]AssetDetails_UEM!$A$3:$AH$1849,6,FALSE)</f>
        <v>Electrosurgical Units, Monopolar/Bipolar</v>
      </c>
      <c r="PXI115" s="196" t="s">
        <v>761</v>
      </c>
      <c r="PXJ115" s="197" t="str">
        <f>VLOOKUP(PXI115,[13]AssetDetails_UEM!$A$3:$AH$1849,6,FALSE)</f>
        <v>Electrosurgical Units, Monopolar/Bipolar</v>
      </c>
      <c r="PXK115" s="196" t="s">
        <v>761</v>
      </c>
      <c r="PXL115" s="197" t="str">
        <f>VLOOKUP(PXK115,[13]AssetDetails_UEM!$A$3:$AH$1849,6,FALSE)</f>
        <v>Electrosurgical Units, Monopolar/Bipolar</v>
      </c>
      <c r="PXM115" s="196" t="s">
        <v>761</v>
      </c>
      <c r="PXN115" s="197" t="str">
        <f>VLOOKUP(PXM115,[13]AssetDetails_UEM!$A$3:$AH$1849,6,FALSE)</f>
        <v>Electrosurgical Units, Monopolar/Bipolar</v>
      </c>
      <c r="PXO115" s="196" t="s">
        <v>761</v>
      </c>
      <c r="PXP115" s="197" t="str">
        <f>VLOOKUP(PXO115,[13]AssetDetails_UEM!$A$3:$AH$1849,6,FALSE)</f>
        <v>Electrosurgical Units, Monopolar/Bipolar</v>
      </c>
      <c r="PXQ115" s="196" t="s">
        <v>761</v>
      </c>
      <c r="PXR115" s="197" t="str">
        <f>VLOOKUP(PXQ115,[13]AssetDetails_UEM!$A$3:$AH$1849,6,FALSE)</f>
        <v>Electrosurgical Units, Monopolar/Bipolar</v>
      </c>
      <c r="PXS115" s="196" t="s">
        <v>761</v>
      </c>
      <c r="PXT115" s="197" t="str">
        <f>VLOOKUP(PXS115,[13]AssetDetails_UEM!$A$3:$AH$1849,6,FALSE)</f>
        <v>Electrosurgical Units, Monopolar/Bipolar</v>
      </c>
      <c r="PXU115" s="196" t="s">
        <v>761</v>
      </c>
      <c r="PXV115" s="197" t="str">
        <f>VLOOKUP(PXU115,[13]AssetDetails_UEM!$A$3:$AH$1849,6,FALSE)</f>
        <v>Electrosurgical Units, Monopolar/Bipolar</v>
      </c>
      <c r="PXW115" s="196" t="s">
        <v>761</v>
      </c>
      <c r="PXX115" s="197" t="str">
        <f>VLOOKUP(PXW115,[13]AssetDetails_UEM!$A$3:$AH$1849,6,FALSE)</f>
        <v>Electrosurgical Units, Monopolar/Bipolar</v>
      </c>
      <c r="PXY115" s="196" t="s">
        <v>761</v>
      </c>
      <c r="PXZ115" s="197" t="str">
        <f>VLOOKUP(PXY115,[13]AssetDetails_UEM!$A$3:$AH$1849,6,FALSE)</f>
        <v>Electrosurgical Units, Monopolar/Bipolar</v>
      </c>
      <c r="PYA115" s="196" t="s">
        <v>761</v>
      </c>
      <c r="PYB115" s="197" t="str">
        <f>VLOOKUP(PYA115,[13]AssetDetails_UEM!$A$3:$AH$1849,6,FALSE)</f>
        <v>Electrosurgical Units, Monopolar/Bipolar</v>
      </c>
      <c r="PYC115" s="196" t="s">
        <v>761</v>
      </c>
      <c r="PYD115" s="197" t="str">
        <f>VLOOKUP(PYC115,[13]AssetDetails_UEM!$A$3:$AH$1849,6,FALSE)</f>
        <v>Electrosurgical Units, Monopolar/Bipolar</v>
      </c>
      <c r="PYE115" s="196" t="s">
        <v>761</v>
      </c>
      <c r="PYF115" s="197" t="str">
        <f>VLOOKUP(PYE115,[13]AssetDetails_UEM!$A$3:$AH$1849,6,FALSE)</f>
        <v>Electrosurgical Units, Monopolar/Bipolar</v>
      </c>
      <c r="PYG115" s="196" t="s">
        <v>761</v>
      </c>
      <c r="PYH115" s="197" t="str">
        <f>VLOOKUP(PYG115,[13]AssetDetails_UEM!$A$3:$AH$1849,6,FALSE)</f>
        <v>Electrosurgical Units, Monopolar/Bipolar</v>
      </c>
      <c r="PYI115" s="196" t="s">
        <v>761</v>
      </c>
      <c r="PYJ115" s="197" t="str">
        <f>VLOOKUP(PYI115,[13]AssetDetails_UEM!$A$3:$AH$1849,6,FALSE)</f>
        <v>Electrosurgical Units, Monopolar/Bipolar</v>
      </c>
      <c r="PYK115" s="196" t="s">
        <v>761</v>
      </c>
      <c r="PYL115" s="197" t="str">
        <f>VLOOKUP(PYK115,[13]AssetDetails_UEM!$A$3:$AH$1849,6,FALSE)</f>
        <v>Electrosurgical Units, Monopolar/Bipolar</v>
      </c>
      <c r="PYM115" s="196" t="s">
        <v>761</v>
      </c>
      <c r="PYN115" s="197" t="str">
        <f>VLOOKUP(PYM115,[13]AssetDetails_UEM!$A$3:$AH$1849,6,FALSE)</f>
        <v>Electrosurgical Units, Monopolar/Bipolar</v>
      </c>
      <c r="PYO115" s="196" t="s">
        <v>761</v>
      </c>
      <c r="PYP115" s="197" t="str">
        <f>VLOOKUP(PYO115,[13]AssetDetails_UEM!$A$3:$AH$1849,6,FALSE)</f>
        <v>Electrosurgical Units, Monopolar/Bipolar</v>
      </c>
      <c r="PYQ115" s="196" t="s">
        <v>761</v>
      </c>
      <c r="PYR115" s="197" t="str">
        <f>VLOOKUP(PYQ115,[13]AssetDetails_UEM!$A$3:$AH$1849,6,FALSE)</f>
        <v>Electrosurgical Units, Monopolar/Bipolar</v>
      </c>
      <c r="PYS115" s="196" t="s">
        <v>761</v>
      </c>
      <c r="PYT115" s="197" t="str">
        <f>VLOOKUP(PYS115,[13]AssetDetails_UEM!$A$3:$AH$1849,6,FALSE)</f>
        <v>Electrosurgical Units, Monopolar/Bipolar</v>
      </c>
      <c r="PYU115" s="196" t="s">
        <v>761</v>
      </c>
      <c r="PYV115" s="197" t="str">
        <f>VLOOKUP(PYU115,[13]AssetDetails_UEM!$A$3:$AH$1849,6,FALSE)</f>
        <v>Electrosurgical Units, Monopolar/Bipolar</v>
      </c>
      <c r="PYW115" s="196" t="s">
        <v>761</v>
      </c>
      <c r="PYX115" s="197" t="str">
        <f>VLOOKUP(PYW115,[13]AssetDetails_UEM!$A$3:$AH$1849,6,FALSE)</f>
        <v>Electrosurgical Units, Monopolar/Bipolar</v>
      </c>
      <c r="PYY115" s="196" t="s">
        <v>761</v>
      </c>
      <c r="PYZ115" s="197" t="str">
        <f>VLOOKUP(PYY115,[13]AssetDetails_UEM!$A$3:$AH$1849,6,FALSE)</f>
        <v>Electrosurgical Units, Monopolar/Bipolar</v>
      </c>
      <c r="PZA115" s="196" t="s">
        <v>761</v>
      </c>
      <c r="PZB115" s="197" t="str">
        <f>VLOOKUP(PZA115,[13]AssetDetails_UEM!$A$3:$AH$1849,6,FALSE)</f>
        <v>Electrosurgical Units, Monopolar/Bipolar</v>
      </c>
      <c r="PZC115" s="196" t="s">
        <v>761</v>
      </c>
      <c r="PZD115" s="197" t="str">
        <f>VLOOKUP(PZC115,[13]AssetDetails_UEM!$A$3:$AH$1849,6,FALSE)</f>
        <v>Electrosurgical Units, Monopolar/Bipolar</v>
      </c>
      <c r="PZE115" s="196" t="s">
        <v>761</v>
      </c>
      <c r="PZF115" s="197" t="str">
        <f>VLOOKUP(PZE115,[13]AssetDetails_UEM!$A$3:$AH$1849,6,FALSE)</f>
        <v>Electrosurgical Units, Monopolar/Bipolar</v>
      </c>
      <c r="PZG115" s="196" t="s">
        <v>761</v>
      </c>
      <c r="PZH115" s="197" t="str">
        <f>VLOOKUP(PZG115,[13]AssetDetails_UEM!$A$3:$AH$1849,6,FALSE)</f>
        <v>Electrosurgical Units, Monopolar/Bipolar</v>
      </c>
      <c r="PZI115" s="196" t="s">
        <v>761</v>
      </c>
      <c r="PZJ115" s="197" t="str">
        <f>VLOOKUP(PZI115,[13]AssetDetails_UEM!$A$3:$AH$1849,6,FALSE)</f>
        <v>Electrosurgical Units, Monopolar/Bipolar</v>
      </c>
      <c r="PZK115" s="196" t="s">
        <v>761</v>
      </c>
      <c r="PZL115" s="197" t="str">
        <f>VLOOKUP(PZK115,[13]AssetDetails_UEM!$A$3:$AH$1849,6,FALSE)</f>
        <v>Electrosurgical Units, Monopolar/Bipolar</v>
      </c>
      <c r="PZM115" s="196" t="s">
        <v>761</v>
      </c>
      <c r="PZN115" s="197" t="str">
        <f>VLOOKUP(PZM115,[13]AssetDetails_UEM!$A$3:$AH$1849,6,FALSE)</f>
        <v>Electrosurgical Units, Monopolar/Bipolar</v>
      </c>
      <c r="PZO115" s="196" t="s">
        <v>761</v>
      </c>
      <c r="PZP115" s="197" t="str">
        <f>VLOOKUP(PZO115,[13]AssetDetails_UEM!$A$3:$AH$1849,6,FALSE)</f>
        <v>Electrosurgical Units, Monopolar/Bipolar</v>
      </c>
      <c r="PZQ115" s="196" t="s">
        <v>761</v>
      </c>
      <c r="PZR115" s="197" t="str">
        <f>VLOOKUP(PZQ115,[13]AssetDetails_UEM!$A$3:$AH$1849,6,FALSE)</f>
        <v>Electrosurgical Units, Monopolar/Bipolar</v>
      </c>
      <c r="PZS115" s="196" t="s">
        <v>761</v>
      </c>
      <c r="PZT115" s="197" t="str">
        <f>VLOOKUP(PZS115,[13]AssetDetails_UEM!$A$3:$AH$1849,6,FALSE)</f>
        <v>Electrosurgical Units, Monopolar/Bipolar</v>
      </c>
      <c r="PZU115" s="196" t="s">
        <v>761</v>
      </c>
      <c r="PZV115" s="197" t="str">
        <f>VLOOKUP(PZU115,[13]AssetDetails_UEM!$A$3:$AH$1849,6,FALSE)</f>
        <v>Electrosurgical Units, Monopolar/Bipolar</v>
      </c>
      <c r="PZW115" s="196" t="s">
        <v>761</v>
      </c>
      <c r="PZX115" s="197" t="str">
        <f>VLOOKUP(PZW115,[13]AssetDetails_UEM!$A$3:$AH$1849,6,FALSE)</f>
        <v>Electrosurgical Units, Monopolar/Bipolar</v>
      </c>
      <c r="PZY115" s="196" t="s">
        <v>761</v>
      </c>
      <c r="PZZ115" s="197" t="str">
        <f>VLOOKUP(PZY115,[13]AssetDetails_UEM!$A$3:$AH$1849,6,FALSE)</f>
        <v>Electrosurgical Units, Monopolar/Bipolar</v>
      </c>
      <c r="QAA115" s="196" t="s">
        <v>761</v>
      </c>
      <c r="QAB115" s="197" t="str">
        <f>VLOOKUP(QAA115,[13]AssetDetails_UEM!$A$3:$AH$1849,6,FALSE)</f>
        <v>Electrosurgical Units, Monopolar/Bipolar</v>
      </c>
      <c r="QAC115" s="196" t="s">
        <v>761</v>
      </c>
      <c r="QAD115" s="197" t="str">
        <f>VLOOKUP(QAC115,[13]AssetDetails_UEM!$A$3:$AH$1849,6,FALSE)</f>
        <v>Electrosurgical Units, Monopolar/Bipolar</v>
      </c>
      <c r="QAE115" s="196" t="s">
        <v>761</v>
      </c>
      <c r="QAF115" s="197" t="str">
        <f>VLOOKUP(QAE115,[13]AssetDetails_UEM!$A$3:$AH$1849,6,FALSE)</f>
        <v>Electrosurgical Units, Monopolar/Bipolar</v>
      </c>
      <c r="QAG115" s="196" t="s">
        <v>761</v>
      </c>
      <c r="QAH115" s="197" t="str">
        <f>VLOOKUP(QAG115,[13]AssetDetails_UEM!$A$3:$AH$1849,6,FALSE)</f>
        <v>Electrosurgical Units, Monopolar/Bipolar</v>
      </c>
      <c r="QAI115" s="196" t="s">
        <v>761</v>
      </c>
      <c r="QAJ115" s="197" t="str">
        <f>VLOOKUP(QAI115,[13]AssetDetails_UEM!$A$3:$AH$1849,6,FALSE)</f>
        <v>Electrosurgical Units, Monopolar/Bipolar</v>
      </c>
      <c r="QAK115" s="196" t="s">
        <v>761</v>
      </c>
      <c r="QAL115" s="197" t="str">
        <f>VLOOKUP(QAK115,[13]AssetDetails_UEM!$A$3:$AH$1849,6,FALSE)</f>
        <v>Electrosurgical Units, Monopolar/Bipolar</v>
      </c>
      <c r="QAM115" s="196" t="s">
        <v>761</v>
      </c>
      <c r="QAN115" s="197" t="str">
        <f>VLOOKUP(QAM115,[13]AssetDetails_UEM!$A$3:$AH$1849,6,FALSE)</f>
        <v>Electrosurgical Units, Monopolar/Bipolar</v>
      </c>
      <c r="QAO115" s="196" t="s">
        <v>761</v>
      </c>
      <c r="QAP115" s="197" t="str">
        <f>VLOOKUP(QAO115,[13]AssetDetails_UEM!$A$3:$AH$1849,6,FALSE)</f>
        <v>Electrosurgical Units, Monopolar/Bipolar</v>
      </c>
      <c r="QAQ115" s="196" t="s">
        <v>761</v>
      </c>
      <c r="QAR115" s="197" t="str">
        <f>VLOOKUP(QAQ115,[13]AssetDetails_UEM!$A$3:$AH$1849,6,FALSE)</f>
        <v>Electrosurgical Units, Monopolar/Bipolar</v>
      </c>
      <c r="QAS115" s="196" t="s">
        <v>761</v>
      </c>
      <c r="QAT115" s="197" t="str">
        <f>VLOOKUP(QAS115,[13]AssetDetails_UEM!$A$3:$AH$1849,6,FALSE)</f>
        <v>Electrosurgical Units, Monopolar/Bipolar</v>
      </c>
      <c r="QAU115" s="196" t="s">
        <v>761</v>
      </c>
      <c r="QAV115" s="197" t="str">
        <f>VLOOKUP(QAU115,[13]AssetDetails_UEM!$A$3:$AH$1849,6,FALSE)</f>
        <v>Electrosurgical Units, Monopolar/Bipolar</v>
      </c>
      <c r="QAW115" s="196" t="s">
        <v>761</v>
      </c>
      <c r="QAX115" s="197" t="str">
        <f>VLOOKUP(QAW115,[13]AssetDetails_UEM!$A$3:$AH$1849,6,FALSE)</f>
        <v>Electrosurgical Units, Monopolar/Bipolar</v>
      </c>
      <c r="QAY115" s="196" t="s">
        <v>761</v>
      </c>
      <c r="QAZ115" s="197" t="str">
        <f>VLOOKUP(QAY115,[13]AssetDetails_UEM!$A$3:$AH$1849,6,FALSE)</f>
        <v>Electrosurgical Units, Monopolar/Bipolar</v>
      </c>
      <c r="QBA115" s="196" t="s">
        <v>761</v>
      </c>
      <c r="QBB115" s="197" t="str">
        <f>VLOOKUP(QBA115,[13]AssetDetails_UEM!$A$3:$AH$1849,6,FALSE)</f>
        <v>Electrosurgical Units, Monopolar/Bipolar</v>
      </c>
      <c r="QBC115" s="196" t="s">
        <v>761</v>
      </c>
      <c r="QBD115" s="197" t="str">
        <f>VLOOKUP(QBC115,[13]AssetDetails_UEM!$A$3:$AH$1849,6,FALSE)</f>
        <v>Electrosurgical Units, Monopolar/Bipolar</v>
      </c>
      <c r="QBE115" s="196" t="s">
        <v>761</v>
      </c>
      <c r="QBF115" s="197" t="str">
        <f>VLOOKUP(QBE115,[13]AssetDetails_UEM!$A$3:$AH$1849,6,FALSE)</f>
        <v>Electrosurgical Units, Monopolar/Bipolar</v>
      </c>
      <c r="QBG115" s="196" t="s">
        <v>761</v>
      </c>
      <c r="QBH115" s="197" t="str">
        <f>VLOOKUP(QBG115,[13]AssetDetails_UEM!$A$3:$AH$1849,6,FALSE)</f>
        <v>Electrosurgical Units, Monopolar/Bipolar</v>
      </c>
      <c r="QBI115" s="196" t="s">
        <v>761</v>
      </c>
      <c r="QBJ115" s="197" t="str">
        <f>VLOOKUP(QBI115,[13]AssetDetails_UEM!$A$3:$AH$1849,6,FALSE)</f>
        <v>Electrosurgical Units, Monopolar/Bipolar</v>
      </c>
      <c r="QBK115" s="196" t="s">
        <v>761</v>
      </c>
      <c r="QBL115" s="197" t="str">
        <f>VLOOKUP(QBK115,[13]AssetDetails_UEM!$A$3:$AH$1849,6,FALSE)</f>
        <v>Electrosurgical Units, Monopolar/Bipolar</v>
      </c>
      <c r="QBM115" s="196" t="s">
        <v>761</v>
      </c>
      <c r="QBN115" s="197" t="str">
        <f>VLOOKUP(QBM115,[13]AssetDetails_UEM!$A$3:$AH$1849,6,FALSE)</f>
        <v>Electrosurgical Units, Monopolar/Bipolar</v>
      </c>
      <c r="QBO115" s="196" t="s">
        <v>761</v>
      </c>
      <c r="QBP115" s="197" t="str">
        <f>VLOOKUP(QBO115,[13]AssetDetails_UEM!$A$3:$AH$1849,6,FALSE)</f>
        <v>Electrosurgical Units, Monopolar/Bipolar</v>
      </c>
      <c r="QBQ115" s="196" t="s">
        <v>761</v>
      </c>
      <c r="QBR115" s="197" t="str">
        <f>VLOOKUP(QBQ115,[13]AssetDetails_UEM!$A$3:$AH$1849,6,FALSE)</f>
        <v>Electrosurgical Units, Monopolar/Bipolar</v>
      </c>
      <c r="QBS115" s="196" t="s">
        <v>761</v>
      </c>
      <c r="QBT115" s="197" t="str">
        <f>VLOOKUP(QBS115,[13]AssetDetails_UEM!$A$3:$AH$1849,6,FALSE)</f>
        <v>Electrosurgical Units, Monopolar/Bipolar</v>
      </c>
      <c r="QBU115" s="196" t="s">
        <v>761</v>
      </c>
      <c r="QBV115" s="197" t="str">
        <f>VLOOKUP(QBU115,[13]AssetDetails_UEM!$A$3:$AH$1849,6,FALSE)</f>
        <v>Electrosurgical Units, Monopolar/Bipolar</v>
      </c>
      <c r="QBW115" s="196" t="s">
        <v>761</v>
      </c>
      <c r="QBX115" s="197" t="str">
        <f>VLOOKUP(QBW115,[13]AssetDetails_UEM!$A$3:$AH$1849,6,FALSE)</f>
        <v>Electrosurgical Units, Monopolar/Bipolar</v>
      </c>
      <c r="QBY115" s="196" t="s">
        <v>761</v>
      </c>
      <c r="QBZ115" s="197" t="str">
        <f>VLOOKUP(QBY115,[13]AssetDetails_UEM!$A$3:$AH$1849,6,FALSE)</f>
        <v>Electrosurgical Units, Monopolar/Bipolar</v>
      </c>
      <c r="QCA115" s="196" t="s">
        <v>761</v>
      </c>
      <c r="QCB115" s="197" t="str">
        <f>VLOOKUP(QCA115,[13]AssetDetails_UEM!$A$3:$AH$1849,6,FALSE)</f>
        <v>Electrosurgical Units, Monopolar/Bipolar</v>
      </c>
      <c r="QCC115" s="196" t="s">
        <v>761</v>
      </c>
      <c r="QCD115" s="197" t="str">
        <f>VLOOKUP(QCC115,[13]AssetDetails_UEM!$A$3:$AH$1849,6,FALSE)</f>
        <v>Electrosurgical Units, Monopolar/Bipolar</v>
      </c>
      <c r="QCE115" s="196" t="s">
        <v>761</v>
      </c>
      <c r="QCF115" s="197" t="str">
        <f>VLOOKUP(QCE115,[13]AssetDetails_UEM!$A$3:$AH$1849,6,FALSE)</f>
        <v>Electrosurgical Units, Monopolar/Bipolar</v>
      </c>
      <c r="QCG115" s="196" t="s">
        <v>761</v>
      </c>
      <c r="QCH115" s="197" t="str">
        <f>VLOOKUP(QCG115,[13]AssetDetails_UEM!$A$3:$AH$1849,6,FALSE)</f>
        <v>Electrosurgical Units, Monopolar/Bipolar</v>
      </c>
      <c r="QCI115" s="196" t="s">
        <v>761</v>
      </c>
      <c r="QCJ115" s="197" t="str">
        <f>VLOOKUP(QCI115,[13]AssetDetails_UEM!$A$3:$AH$1849,6,FALSE)</f>
        <v>Electrosurgical Units, Monopolar/Bipolar</v>
      </c>
      <c r="QCK115" s="196" t="s">
        <v>761</v>
      </c>
      <c r="QCL115" s="197" t="str">
        <f>VLOOKUP(QCK115,[13]AssetDetails_UEM!$A$3:$AH$1849,6,FALSE)</f>
        <v>Electrosurgical Units, Monopolar/Bipolar</v>
      </c>
      <c r="QCM115" s="196" t="s">
        <v>761</v>
      </c>
      <c r="QCN115" s="197" t="str">
        <f>VLOOKUP(QCM115,[13]AssetDetails_UEM!$A$3:$AH$1849,6,FALSE)</f>
        <v>Electrosurgical Units, Monopolar/Bipolar</v>
      </c>
      <c r="QCO115" s="196" t="s">
        <v>761</v>
      </c>
      <c r="QCP115" s="197" t="str">
        <f>VLOOKUP(QCO115,[13]AssetDetails_UEM!$A$3:$AH$1849,6,FALSE)</f>
        <v>Electrosurgical Units, Monopolar/Bipolar</v>
      </c>
      <c r="QCQ115" s="196" t="s">
        <v>761</v>
      </c>
      <c r="QCR115" s="197" t="str">
        <f>VLOOKUP(QCQ115,[13]AssetDetails_UEM!$A$3:$AH$1849,6,FALSE)</f>
        <v>Electrosurgical Units, Monopolar/Bipolar</v>
      </c>
      <c r="QCS115" s="196" t="s">
        <v>761</v>
      </c>
      <c r="QCT115" s="197" t="str">
        <f>VLOOKUP(QCS115,[13]AssetDetails_UEM!$A$3:$AH$1849,6,FALSE)</f>
        <v>Electrosurgical Units, Monopolar/Bipolar</v>
      </c>
      <c r="QCU115" s="196" t="s">
        <v>761</v>
      </c>
      <c r="QCV115" s="197" t="str">
        <f>VLOOKUP(QCU115,[13]AssetDetails_UEM!$A$3:$AH$1849,6,FALSE)</f>
        <v>Electrosurgical Units, Monopolar/Bipolar</v>
      </c>
      <c r="QCW115" s="196" t="s">
        <v>761</v>
      </c>
      <c r="QCX115" s="197" t="str">
        <f>VLOOKUP(QCW115,[13]AssetDetails_UEM!$A$3:$AH$1849,6,FALSE)</f>
        <v>Electrosurgical Units, Monopolar/Bipolar</v>
      </c>
      <c r="QCY115" s="196" t="s">
        <v>761</v>
      </c>
      <c r="QCZ115" s="197" t="str">
        <f>VLOOKUP(QCY115,[13]AssetDetails_UEM!$A$3:$AH$1849,6,FALSE)</f>
        <v>Electrosurgical Units, Monopolar/Bipolar</v>
      </c>
      <c r="QDA115" s="196" t="s">
        <v>761</v>
      </c>
      <c r="QDB115" s="197" t="str">
        <f>VLOOKUP(QDA115,[13]AssetDetails_UEM!$A$3:$AH$1849,6,FALSE)</f>
        <v>Electrosurgical Units, Monopolar/Bipolar</v>
      </c>
      <c r="QDC115" s="196" t="s">
        <v>761</v>
      </c>
      <c r="QDD115" s="197" t="str">
        <f>VLOOKUP(QDC115,[13]AssetDetails_UEM!$A$3:$AH$1849,6,FALSE)</f>
        <v>Electrosurgical Units, Monopolar/Bipolar</v>
      </c>
      <c r="QDE115" s="196" t="s">
        <v>761</v>
      </c>
      <c r="QDF115" s="197" t="str">
        <f>VLOOKUP(QDE115,[13]AssetDetails_UEM!$A$3:$AH$1849,6,FALSE)</f>
        <v>Electrosurgical Units, Monopolar/Bipolar</v>
      </c>
      <c r="QDG115" s="196" t="s">
        <v>761</v>
      </c>
      <c r="QDH115" s="197" t="str">
        <f>VLOOKUP(QDG115,[13]AssetDetails_UEM!$A$3:$AH$1849,6,FALSE)</f>
        <v>Electrosurgical Units, Monopolar/Bipolar</v>
      </c>
      <c r="QDI115" s="196" t="s">
        <v>761</v>
      </c>
      <c r="QDJ115" s="197" t="str">
        <f>VLOOKUP(QDI115,[13]AssetDetails_UEM!$A$3:$AH$1849,6,FALSE)</f>
        <v>Electrosurgical Units, Monopolar/Bipolar</v>
      </c>
      <c r="QDK115" s="196" t="s">
        <v>761</v>
      </c>
      <c r="QDL115" s="197" t="str">
        <f>VLOOKUP(QDK115,[13]AssetDetails_UEM!$A$3:$AH$1849,6,FALSE)</f>
        <v>Electrosurgical Units, Monopolar/Bipolar</v>
      </c>
      <c r="QDM115" s="196" t="s">
        <v>761</v>
      </c>
      <c r="QDN115" s="197" t="str">
        <f>VLOOKUP(QDM115,[13]AssetDetails_UEM!$A$3:$AH$1849,6,FALSE)</f>
        <v>Electrosurgical Units, Monopolar/Bipolar</v>
      </c>
      <c r="QDO115" s="196" t="s">
        <v>761</v>
      </c>
      <c r="QDP115" s="197" t="str">
        <f>VLOOKUP(QDO115,[13]AssetDetails_UEM!$A$3:$AH$1849,6,FALSE)</f>
        <v>Electrosurgical Units, Monopolar/Bipolar</v>
      </c>
      <c r="QDQ115" s="196" t="s">
        <v>761</v>
      </c>
      <c r="QDR115" s="197" t="str">
        <f>VLOOKUP(QDQ115,[13]AssetDetails_UEM!$A$3:$AH$1849,6,FALSE)</f>
        <v>Electrosurgical Units, Monopolar/Bipolar</v>
      </c>
      <c r="QDS115" s="196" t="s">
        <v>761</v>
      </c>
      <c r="QDT115" s="197" t="str">
        <f>VLOOKUP(QDS115,[13]AssetDetails_UEM!$A$3:$AH$1849,6,FALSE)</f>
        <v>Electrosurgical Units, Monopolar/Bipolar</v>
      </c>
      <c r="QDU115" s="196" t="s">
        <v>761</v>
      </c>
      <c r="QDV115" s="197" t="str">
        <f>VLOOKUP(QDU115,[13]AssetDetails_UEM!$A$3:$AH$1849,6,FALSE)</f>
        <v>Electrosurgical Units, Monopolar/Bipolar</v>
      </c>
      <c r="QDW115" s="196" t="s">
        <v>761</v>
      </c>
      <c r="QDX115" s="197" t="str">
        <f>VLOOKUP(QDW115,[13]AssetDetails_UEM!$A$3:$AH$1849,6,FALSE)</f>
        <v>Electrosurgical Units, Monopolar/Bipolar</v>
      </c>
      <c r="QDY115" s="196" t="s">
        <v>761</v>
      </c>
      <c r="QDZ115" s="197" t="str">
        <f>VLOOKUP(QDY115,[13]AssetDetails_UEM!$A$3:$AH$1849,6,FALSE)</f>
        <v>Electrosurgical Units, Monopolar/Bipolar</v>
      </c>
      <c r="QEA115" s="196" t="s">
        <v>761</v>
      </c>
      <c r="QEB115" s="197" t="str">
        <f>VLOOKUP(QEA115,[13]AssetDetails_UEM!$A$3:$AH$1849,6,FALSE)</f>
        <v>Electrosurgical Units, Monopolar/Bipolar</v>
      </c>
      <c r="QEC115" s="196" t="s">
        <v>761</v>
      </c>
      <c r="QED115" s="197" t="str">
        <f>VLOOKUP(QEC115,[13]AssetDetails_UEM!$A$3:$AH$1849,6,FALSE)</f>
        <v>Electrosurgical Units, Monopolar/Bipolar</v>
      </c>
      <c r="QEE115" s="196" t="s">
        <v>761</v>
      </c>
      <c r="QEF115" s="197" t="str">
        <f>VLOOKUP(QEE115,[13]AssetDetails_UEM!$A$3:$AH$1849,6,FALSE)</f>
        <v>Electrosurgical Units, Monopolar/Bipolar</v>
      </c>
      <c r="QEG115" s="196" t="s">
        <v>761</v>
      </c>
      <c r="QEH115" s="197" t="str">
        <f>VLOOKUP(QEG115,[13]AssetDetails_UEM!$A$3:$AH$1849,6,FALSE)</f>
        <v>Electrosurgical Units, Monopolar/Bipolar</v>
      </c>
      <c r="QEI115" s="196" t="s">
        <v>761</v>
      </c>
      <c r="QEJ115" s="197" t="str">
        <f>VLOOKUP(QEI115,[13]AssetDetails_UEM!$A$3:$AH$1849,6,FALSE)</f>
        <v>Electrosurgical Units, Monopolar/Bipolar</v>
      </c>
      <c r="QEK115" s="196" t="s">
        <v>761</v>
      </c>
      <c r="QEL115" s="197" t="str">
        <f>VLOOKUP(QEK115,[13]AssetDetails_UEM!$A$3:$AH$1849,6,FALSE)</f>
        <v>Electrosurgical Units, Monopolar/Bipolar</v>
      </c>
      <c r="QEM115" s="196" t="s">
        <v>761</v>
      </c>
      <c r="QEN115" s="197" t="str">
        <f>VLOOKUP(QEM115,[13]AssetDetails_UEM!$A$3:$AH$1849,6,FALSE)</f>
        <v>Electrosurgical Units, Monopolar/Bipolar</v>
      </c>
      <c r="QEO115" s="196" t="s">
        <v>761</v>
      </c>
      <c r="QEP115" s="197" t="str">
        <f>VLOOKUP(QEO115,[13]AssetDetails_UEM!$A$3:$AH$1849,6,FALSE)</f>
        <v>Electrosurgical Units, Monopolar/Bipolar</v>
      </c>
      <c r="QEQ115" s="196" t="s">
        <v>761</v>
      </c>
      <c r="QER115" s="197" t="str">
        <f>VLOOKUP(QEQ115,[13]AssetDetails_UEM!$A$3:$AH$1849,6,FALSE)</f>
        <v>Electrosurgical Units, Monopolar/Bipolar</v>
      </c>
      <c r="QES115" s="196" t="s">
        <v>761</v>
      </c>
      <c r="QET115" s="197" t="str">
        <f>VLOOKUP(QES115,[13]AssetDetails_UEM!$A$3:$AH$1849,6,FALSE)</f>
        <v>Electrosurgical Units, Monopolar/Bipolar</v>
      </c>
      <c r="QEU115" s="196" t="s">
        <v>761</v>
      </c>
      <c r="QEV115" s="197" t="str">
        <f>VLOOKUP(QEU115,[13]AssetDetails_UEM!$A$3:$AH$1849,6,FALSE)</f>
        <v>Electrosurgical Units, Monopolar/Bipolar</v>
      </c>
      <c r="QEW115" s="196" t="s">
        <v>761</v>
      </c>
      <c r="QEX115" s="197" t="str">
        <f>VLOOKUP(QEW115,[13]AssetDetails_UEM!$A$3:$AH$1849,6,FALSE)</f>
        <v>Electrosurgical Units, Monopolar/Bipolar</v>
      </c>
      <c r="QEY115" s="196" t="s">
        <v>761</v>
      </c>
      <c r="QEZ115" s="197" t="str">
        <f>VLOOKUP(QEY115,[13]AssetDetails_UEM!$A$3:$AH$1849,6,FALSE)</f>
        <v>Electrosurgical Units, Monopolar/Bipolar</v>
      </c>
      <c r="QFA115" s="196" t="s">
        <v>761</v>
      </c>
      <c r="QFB115" s="197" t="str">
        <f>VLOOKUP(QFA115,[13]AssetDetails_UEM!$A$3:$AH$1849,6,FALSE)</f>
        <v>Electrosurgical Units, Monopolar/Bipolar</v>
      </c>
      <c r="QFC115" s="196" t="s">
        <v>761</v>
      </c>
      <c r="QFD115" s="197" t="str">
        <f>VLOOKUP(QFC115,[13]AssetDetails_UEM!$A$3:$AH$1849,6,FALSE)</f>
        <v>Electrosurgical Units, Monopolar/Bipolar</v>
      </c>
      <c r="QFE115" s="196" t="s">
        <v>761</v>
      </c>
      <c r="QFF115" s="197" t="str">
        <f>VLOOKUP(QFE115,[13]AssetDetails_UEM!$A$3:$AH$1849,6,FALSE)</f>
        <v>Electrosurgical Units, Monopolar/Bipolar</v>
      </c>
      <c r="QFG115" s="196" t="s">
        <v>761</v>
      </c>
      <c r="QFH115" s="197" t="str">
        <f>VLOOKUP(QFG115,[13]AssetDetails_UEM!$A$3:$AH$1849,6,FALSE)</f>
        <v>Electrosurgical Units, Monopolar/Bipolar</v>
      </c>
      <c r="QFI115" s="196" t="s">
        <v>761</v>
      </c>
      <c r="QFJ115" s="197" t="str">
        <f>VLOOKUP(QFI115,[13]AssetDetails_UEM!$A$3:$AH$1849,6,FALSE)</f>
        <v>Electrosurgical Units, Monopolar/Bipolar</v>
      </c>
      <c r="QFK115" s="196" t="s">
        <v>761</v>
      </c>
      <c r="QFL115" s="197" t="str">
        <f>VLOOKUP(QFK115,[13]AssetDetails_UEM!$A$3:$AH$1849,6,FALSE)</f>
        <v>Electrosurgical Units, Monopolar/Bipolar</v>
      </c>
      <c r="QFM115" s="196" t="s">
        <v>761</v>
      </c>
      <c r="QFN115" s="197" t="str">
        <f>VLOOKUP(QFM115,[13]AssetDetails_UEM!$A$3:$AH$1849,6,FALSE)</f>
        <v>Electrosurgical Units, Monopolar/Bipolar</v>
      </c>
      <c r="QFO115" s="196" t="s">
        <v>761</v>
      </c>
      <c r="QFP115" s="197" t="str">
        <f>VLOOKUP(QFO115,[13]AssetDetails_UEM!$A$3:$AH$1849,6,FALSE)</f>
        <v>Electrosurgical Units, Monopolar/Bipolar</v>
      </c>
      <c r="QFQ115" s="196" t="s">
        <v>761</v>
      </c>
      <c r="QFR115" s="197" t="str">
        <f>VLOOKUP(QFQ115,[13]AssetDetails_UEM!$A$3:$AH$1849,6,FALSE)</f>
        <v>Electrosurgical Units, Monopolar/Bipolar</v>
      </c>
      <c r="QFS115" s="196" t="s">
        <v>761</v>
      </c>
      <c r="QFT115" s="197" t="str">
        <f>VLOOKUP(QFS115,[13]AssetDetails_UEM!$A$3:$AH$1849,6,FALSE)</f>
        <v>Electrosurgical Units, Monopolar/Bipolar</v>
      </c>
      <c r="QFU115" s="196" t="s">
        <v>761</v>
      </c>
      <c r="QFV115" s="197" t="str">
        <f>VLOOKUP(QFU115,[13]AssetDetails_UEM!$A$3:$AH$1849,6,FALSE)</f>
        <v>Electrosurgical Units, Monopolar/Bipolar</v>
      </c>
      <c r="QFW115" s="196" t="s">
        <v>761</v>
      </c>
      <c r="QFX115" s="197" t="str">
        <f>VLOOKUP(QFW115,[13]AssetDetails_UEM!$A$3:$AH$1849,6,FALSE)</f>
        <v>Electrosurgical Units, Monopolar/Bipolar</v>
      </c>
      <c r="QFY115" s="196" t="s">
        <v>761</v>
      </c>
      <c r="QFZ115" s="197" t="str">
        <f>VLOOKUP(QFY115,[13]AssetDetails_UEM!$A$3:$AH$1849,6,FALSE)</f>
        <v>Electrosurgical Units, Monopolar/Bipolar</v>
      </c>
      <c r="QGA115" s="196" t="s">
        <v>761</v>
      </c>
      <c r="QGB115" s="197" t="str">
        <f>VLOOKUP(QGA115,[13]AssetDetails_UEM!$A$3:$AH$1849,6,FALSE)</f>
        <v>Electrosurgical Units, Monopolar/Bipolar</v>
      </c>
      <c r="QGC115" s="196" t="s">
        <v>761</v>
      </c>
      <c r="QGD115" s="197" t="str">
        <f>VLOOKUP(QGC115,[13]AssetDetails_UEM!$A$3:$AH$1849,6,FALSE)</f>
        <v>Electrosurgical Units, Monopolar/Bipolar</v>
      </c>
      <c r="QGE115" s="196" t="s">
        <v>761</v>
      </c>
      <c r="QGF115" s="197" t="str">
        <f>VLOOKUP(QGE115,[13]AssetDetails_UEM!$A$3:$AH$1849,6,FALSE)</f>
        <v>Electrosurgical Units, Monopolar/Bipolar</v>
      </c>
      <c r="QGG115" s="196" t="s">
        <v>761</v>
      </c>
      <c r="QGH115" s="197" t="str">
        <f>VLOOKUP(QGG115,[13]AssetDetails_UEM!$A$3:$AH$1849,6,FALSE)</f>
        <v>Electrosurgical Units, Monopolar/Bipolar</v>
      </c>
      <c r="QGI115" s="196" t="s">
        <v>761</v>
      </c>
      <c r="QGJ115" s="197" t="str">
        <f>VLOOKUP(QGI115,[13]AssetDetails_UEM!$A$3:$AH$1849,6,FALSE)</f>
        <v>Electrosurgical Units, Monopolar/Bipolar</v>
      </c>
      <c r="QGK115" s="196" t="s">
        <v>761</v>
      </c>
      <c r="QGL115" s="197" t="str">
        <f>VLOOKUP(QGK115,[13]AssetDetails_UEM!$A$3:$AH$1849,6,FALSE)</f>
        <v>Electrosurgical Units, Monopolar/Bipolar</v>
      </c>
      <c r="QGM115" s="196" t="s">
        <v>761</v>
      </c>
      <c r="QGN115" s="197" t="str">
        <f>VLOOKUP(QGM115,[13]AssetDetails_UEM!$A$3:$AH$1849,6,FALSE)</f>
        <v>Electrosurgical Units, Monopolar/Bipolar</v>
      </c>
      <c r="QGO115" s="196" t="s">
        <v>761</v>
      </c>
      <c r="QGP115" s="197" t="str">
        <f>VLOOKUP(QGO115,[13]AssetDetails_UEM!$A$3:$AH$1849,6,FALSE)</f>
        <v>Electrosurgical Units, Monopolar/Bipolar</v>
      </c>
      <c r="QGQ115" s="196" t="s">
        <v>761</v>
      </c>
      <c r="QGR115" s="197" t="str">
        <f>VLOOKUP(QGQ115,[13]AssetDetails_UEM!$A$3:$AH$1849,6,FALSE)</f>
        <v>Electrosurgical Units, Monopolar/Bipolar</v>
      </c>
      <c r="QGS115" s="196" t="s">
        <v>761</v>
      </c>
      <c r="QGT115" s="197" t="str">
        <f>VLOOKUP(QGS115,[13]AssetDetails_UEM!$A$3:$AH$1849,6,FALSE)</f>
        <v>Electrosurgical Units, Monopolar/Bipolar</v>
      </c>
      <c r="QGU115" s="196" t="s">
        <v>761</v>
      </c>
      <c r="QGV115" s="197" t="str">
        <f>VLOOKUP(QGU115,[13]AssetDetails_UEM!$A$3:$AH$1849,6,FALSE)</f>
        <v>Electrosurgical Units, Monopolar/Bipolar</v>
      </c>
      <c r="QGW115" s="196" t="s">
        <v>761</v>
      </c>
      <c r="QGX115" s="197" t="str">
        <f>VLOOKUP(QGW115,[13]AssetDetails_UEM!$A$3:$AH$1849,6,FALSE)</f>
        <v>Electrosurgical Units, Monopolar/Bipolar</v>
      </c>
      <c r="QGY115" s="196" t="s">
        <v>761</v>
      </c>
      <c r="QGZ115" s="197" t="str">
        <f>VLOOKUP(QGY115,[13]AssetDetails_UEM!$A$3:$AH$1849,6,FALSE)</f>
        <v>Electrosurgical Units, Monopolar/Bipolar</v>
      </c>
      <c r="QHA115" s="196" t="s">
        <v>761</v>
      </c>
      <c r="QHB115" s="197" t="str">
        <f>VLOOKUP(QHA115,[13]AssetDetails_UEM!$A$3:$AH$1849,6,FALSE)</f>
        <v>Electrosurgical Units, Monopolar/Bipolar</v>
      </c>
      <c r="QHC115" s="196" t="s">
        <v>761</v>
      </c>
      <c r="QHD115" s="197" t="str">
        <f>VLOOKUP(QHC115,[13]AssetDetails_UEM!$A$3:$AH$1849,6,FALSE)</f>
        <v>Electrosurgical Units, Monopolar/Bipolar</v>
      </c>
      <c r="QHE115" s="196" t="s">
        <v>761</v>
      </c>
      <c r="QHF115" s="197" t="str">
        <f>VLOOKUP(QHE115,[13]AssetDetails_UEM!$A$3:$AH$1849,6,FALSE)</f>
        <v>Electrosurgical Units, Monopolar/Bipolar</v>
      </c>
      <c r="QHG115" s="196" t="s">
        <v>761</v>
      </c>
      <c r="QHH115" s="197" t="str">
        <f>VLOOKUP(QHG115,[13]AssetDetails_UEM!$A$3:$AH$1849,6,FALSE)</f>
        <v>Electrosurgical Units, Monopolar/Bipolar</v>
      </c>
      <c r="QHI115" s="196" t="s">
        <v>761</v>
      </c>
      <c r="QHJ115" s="197" t="str">
        <f>VLOOKUP(QHI115,[13]AssetDetails_UEM!$A$3:$AH$1849,6,FALSE)</f>
        <v>Electrosurgical Units, Monopolar/Bipolar</v>
      </c>
      <c r="QHK115" s="196" t="s">
        <v>761</v>
      </c>
      <c r="QHL115" s="197" t="str">
        <f>VLOOKUP(QHK115,[13]AssetDetails_UEM!$A$3:$AH$1849,6,FALSE)</f>
        <v>Electrosurgical Units, Monopolar/Bipolar</v>
      </c>
      <c r="QHM115" s="196" t="s">
        <v>761</v>
      </c>
      <c r="QHN115" s="197" t="str">
        <f>VLOOKUP(QHM115,[13]AssetDetails_UEM!$A$3:$AH$1849,6,FALSE)</f>
        <v>Electrosurgical Units, Monopolar/Bipolar</v>
      </c>
      <c r="QHO115" s="196" t="s">
        <v>761</v>
      </c>
      <c r="QHP115" s="197" t="str">
        <f>VLOOKUP(QHO115,[13]AssetDetails_UEM!$A$3:$AH$1849,6,FALSE)</f>
        <v>Electrosurgical Units, Monopolar/Bipolar</v>
      </c>
      <c r="QHQ115" s="196" t="s">
        <v>761</v>
      </c>
      <c r="QHR115" s="197" t="str">
        <f>VLOOKUP(QHQ115,[13]AssetDetails_UEM!$A$3:$AH$1849,6,FALSE)</f>
        <v>Electrosurgical Units, Monopolar/Bipolar</v>
      </c>
      <c r="QHS115" s="196" t="s">
        <v>761</v>
      </c>
      <c r="QHT115" s="197" t="str">
        <f>VLOOKUP(QHS115,[13]AssetDetails_UEM!$A$3:$AH$1849,6,FALSE)</f>
        <v>Electrosurgical Units, Monopolar/Bipolar</v>
      </c>
      <c r="QHU115" s="196" t="s">
        <v>761</v>
      </c>
      <c r="QHV115" s="197" t="str">
        <f>VLOOKUP(QHU115,[13]AssetDetails_UEM!$A$3:$AH$1849,6,FALSE)</f>
        <v>Electrosurgical Units, Monopolar/Bipolar</v>
      </c>
      <c r="QHW115" s="196" t="s">
        <v>761</v>
      </c>
      <c r="QHX115" s="197" t="str">
        <f>VLOOKUP(QHW115,[13]AssetDetails_UEM!$A$3:$AH$1849,6,FALSE)</f>
        <v>Electrosurgical Units, Monopolar/Bipolar</v>
      </c>
      <c r="QHY115" s="196" t="s">
        <v>761</v>
      </c>
      <c r="QHZ115" s="197" t="str">
        <f>VLOOKUP(QHY115,[13]AssetDetails_UEM!$A$3:$AH$1849,6,FALSE)</f>
        <v>Electrosurgical Units, Monopolar/Bipolar</v>
      </c>
      <c r="QIA115" s="196" t="s">
        <v>761</v>
      </c>
      <c r="QIB115" s="197" t="str">
        <f>VLOOKUP(QIA115,[13]AssetDetails_UEM!$A$3:$AH$1849,6,FALSE)</f>
        <v>Electrosurgical Units, Monopolar/Bipolar</v>
      </c>
      <c r="QIC115" s="196" t="s">
        <v>761</v>
      </c>
      <c r="QID115" s="197" t="str">
        <f>VLOOKUP(QIC115,[13]AssetDetails_UEM!$A$3:$AH$1849,6,FALSE)</f>
        <v>Electrosurgical Units, Monopolar/Bipolar</v>
      </c>
      <c r="QIE115" s="196" t="s">
        <v>761</v>
      </c>
      <c r="QIF115" s="197" t="str">
        <f>VLOOKUP(QIE115,[13]AssetDetails_UEM!$A$3:$AH$1849,6,FALSE)</f>
        <v>Electrosurgical Units, Monopolar/Bipolar</v>
      </c>
      <c r="QIG115" s="196" t="s">
        <v>761</v>
      </c>
      <c r="QIH115" s="197" t="str">
        <f>VLOOKUP(QIG115,[13]AssetDetails_UEM!$A$3:$AH$1849,6,FALSE)</f>
        <v>Electrosurgical Units, Monopolar/Bipolar</v>
      </c>
      <c r="QII115" s="196" t="s">
        <v>761</v>
      </c>
      <c r="QIJ115" s="197" t="str">
        <f>VLOOKUP(QII115,[13]AssetDetails_UEM!$A$3:$AH$1849,6,FALSE)</f>
        <v>Electrosurgical Units, Monopolar/Bipolar</v>
      </c>
      <c r="QIK115" s="196" t="s">
        <v>761</v>
      </c>
      <c r="QIL115" s="197" t="str">
        <f>VLOOKUP(QIK115,[13]AssetDetails_UEM!$A$3:$AH$1849,6,FALSE)</f>
        <v>Electrosurgical Units, Monopolar/Bipolar</v>
      </c>
      <c r="QIM115" s="196" t="s">
        <v>761</v>
      </c>
      <c r="QIN115" s="197" t="str">
        <f>VLOOKUP(QIM115,[13]AssetDetails_UEM!$A$3:$AH$1849,6,FALSE)</f>
        <v>Electrosurgical Units, Monopolar/Bipolar</v>
      </c>
      <c r="QIO115" s="196" t="s">
        <v>761</v>
      </c>
      <c r="QIP115" s="197" t="str">
        <f>VLOOKUP(QIO115,[13]AssetDetails_UEM!$A$3:$AH$1849,6,FALSE)</f>
        <v>Electrosurgical Units, Monopolar/Bipolar</v>
      </c>
      <c r="QIQ115" s="196" t="s">
        <v>761</v>
      </c>
      <c r="QIR115" s="197" t="str">
        <f>VLOOKUP(QIQ115,[13]AssetDetails_UEM!$A$3:$AH$1849,6,FALSE)</f>
        <v>Electrosurgical Units, Monopolar/Bipolar</v>
      </c>
      <c r="QIS115" s="196" t="s">
        <v>761</v>
      </c>
      <c r="QIT115" s="197" t="str">
        <f>VLOOKUP(QIS115,[13]AssetDetails_UEM!$A$3:$AH$1849,6,FALSE)</f>
        <v>Electrosurgical Units, Monopolar/Bipolar</v>
      </c>
      <c r="QIU115" s="196" t="s">
        <v>761</v>
      </c>
      <c r="QIV115" s="197" t="str">
        <f>VLOOKUP(QIU115,[13]AssetDetails_UEM!$A$3:$AH$1849,6,FALSE)</f>
        <v>Electrosurgical Units, Monopolar/Bipolar</v>
      </c>
      <c r="QIW115" s="196" t="s">
        <v>761</v>
      </c>
      <c r="QIX115" s="197" t="str">
        <f>VLOOKUP(QIW115,[13]AssetDetails_UEM!$A$3:$AH$1849,6,FALSE)</f>
        <v>Electrosurgical Units, Monopolar/Bipolar</v>
      </c>
      <c r="QIY115" s="196" t="s">
        <v>761</v>
      </c>
      <c r="QIZ115" s="197" t="str">
        <f>VLOOKUP(QIY115,[13]AssetDetails_UEM!$A$3:$AH$1849,6,FALSE)</f>
        <v>Electrosurgical Units, Monopolar/Bipolar</v>
      </c>
      <c r="QJA115" s="196" t="s">
        <v>761</v>
      </c>
      <c r="QJB115" s="197" t="str">
        <f>VLOOKUP(QJA115,[13]AssetDetails_UEM!$A$3:$AH$1849,6,FALSE)</f>
        <v>Electrosurgical Units, Monopolar/Bipolar</v>
      </c>
      <c r="QJC115" s="196" t="s">
        <v>761</v>
      </c>
      <c r="QJD115" s="197" t="str">
        <f>VLOOKUP(QJC115,[13]AssetDetails_UEM!$A$3:$AH$1849,6,FALSE)</f>
        <v>Electrosurgical Units, Monopolar/Bipolar</v>
      </c>
      <c r="QJE115" s="196" t="s">
        <v>761</v>
      </c>
      <c r="QJF115" s="197" t="str">
        <f>VLOOKUP(QJE115,[13]AssetDetails_UEM!$A$3:$AH$1849,6,FALSE)</f>
        <v>Electrosurgical Units, Monopolar/Bipolar</v>
      </c>
      <c r="QJG115" s="196" t="s">
        <v>761</v>
      </c>
      <c r="QJH115" s="197" t="str">
        <f>VLOOKUP(QJG115,[13]AssetDetails_UEM!$A$3:$AH$1849,6,FALSE)</f>
        <v>Electrosurgical Units, Monopolar/Bipolar</v>
      </c>
      <c r="QJI115" s="196" t="s">
        <v>761</v>
      </c>
      <c r="QJJ115" s="197" t="str">
        <f>VLOOKUP(QJI115,[13]AssetDetails_UEM!$A$3:$AH$1849,6,FALSE)</f>
        <v>Electrosurgical Units, Monopolar/Bipolar</v>
      </c>
      <c r="QJK115" s="196" t="s">
        <v>761</v>
      </c>
      <c r="QJL115" s="197" t="str">
        <f>VLOOKUP(QJK115,[13]AssetDetails_UEM!$A$3:$AH$1849,6,FALSE)</f>
        <v>Electrosurgical Units, Monopolar/Bipolar</v>
      </c>
      <c r="QJM115" s="196" t="s">
        <v>761</v>
      </c>
      <c r="QJN115" s="197" t="str">
        <f>VLOOKUP(QJM115,[13]AssetDetails_UEM!$A$3:$AH$1849,6,FALSE)</f>
        <v>Electrosurgical Units, Monopolar/Bipolar</v>
      </c>
      <c r="QJO115" s="196" t="s">
        <v>761</v>
      </c>
      <c r="QJP115" s="197" t="str">
        <f>VLOOKUP(QJO115,[13]AssetDetails_UEM!$A$3:$AH$1849,6,FALSE)</f>
        <v>Electrosurgical Units, Monopolar/Bipolar</v>
      </c>
      <c r="QJQ115" s="196" t="s">
        <v>761</v>
      </c>
      <c r="QJR115" s="197" t="str">
        <f>VLOOKUP(QJQ115,[13]AssetDetails_UEM!$A$3:$AH$1849,6,FALSE)</f>
        <v>Electrosurgical Units, Monopolar/Bipolar</v>
      </c>
      <c r="QJS115" s="196" t="s">
        <v>761</v>
      </c>
      <c r="QJT115" s="197" t="str">
        <f>VLOOKUP(QJS115,[13]AssetDetails_UEM!$A$3:$AH$1849,6,FALSE)</f>
        <v>Electrosurgical Units, Monopolar/Bipolar</v>
      </c>
      <c r="QJU115" s="196" t="s">
        <v>761</v>
      </c>
      <c r="QJV115" s="197" t="str">
        <f>VLOOKUP(QJU115,[13]AssetDetails_UEM!$A$3:$AH$1849,6,FALSE)</f>
        <v>Electrosurgical Units, Monopolar/Bipolar</v>
      </c>
      <c r="QJW115" s="196" t="s">
        <v>761</v>
      </c>
      <c r="QJX115" s="197" t="str">
        <f>VLOOKUP(QJW115,[13]AssetDetails_UEM!$A$3:$AH$1849,6,FALSE)</f>
        <v>Electrosurgical Units, Monopolar/Bipolar</v>
      </c>
      <c r="QJY115" s="196" t="s">
        <v>761</v>
      </c>
      <c r="QJZ115" s="197" t="str">
        <f>VLOOKUP(QJY115,[13]AssetDetails_UEM!$A$3:$AH$1849,6,FALSE)</f>
        <v>Electrosurgical Units, Monopolar/Bipolar</v>
      </c>
      <c r="QKA115" s="196" t="s">
        <v>761</v>
      </c>
      <c r="QKB115" s="197" t="str">
        <f>VLOOKUP(QKA115,[13]AssetDetails_UEM!$A$3:$AH$1849,6,FALSE)</f>
        <v>Electrosurgical Units, Monopolar/Bipolar</v>
      </c>
      <c r="QKC115" s="196" t="s">
        <v>761</v>
      </c>
      <c r="QKD115" s="197" t="str">
        <f>VLOOKUP(QKC115,[13]AssetDetails_UEM!$A$3:$AH$1849,6,FALSE)</f>
        <v>Electrosurgical Units, Monopolar/Bipolar</v>
      </c>
      <c r="QKE115" s="196" t="s">
        <v>761</v>
      </c>
      <c r="QKF115" s="197" t="str">
        <f>VLOOKUP(QKE115,[13]AssetDetails_UEM!$A$3:$AH$1849,6,FALSE)</f>
        <v>Electrosurgical Units, Monopolar/Bipolar</v>
      </c>
      <c r="QKG115" s="196" t="s">
        <v>761</v>
      </c>
      <c r="QKH115" s="197" t="str">
        <f>VLOOKUP(QKG115,[13]AssetDetails_UEM!$A$3:$AH$1849,6,FALSE)</f>
        <v>Electrosurgical Units, Monopolar/Bipolar</v>
      </c>
      <c r="QKI115" s="196" t="s">
        <v>761</v>
      </c>
      <c r="QKJ115" s="197" t="str">
        <f>VLOOKUP(QKI115,[13]AssetDetails_UEM!$A$3:$AH$1849,6,FALSE)</f>
        <v>Electrosurgical Units, Monopolar/Bipolar</v>
      </c>
      <c r="QKK115" s="196" t="s">
        <v>761</v>
      </c>
      <c r="QKL115" s="197" t="str">
        <f>VLOOKUP(QKK115,[13]AssetDetails_UEM!$A$3:$AH$1849,6,FALSE)</f>
        <v>Electrosurgical Units, Monopolar/Bipolar</v>
      </c>
      <c r="QKM115" s="196" t="s">
        <v>761</v>
      </c>
      <c r="QKN115" s="197" t="str">
        <f>VLOOKUP(QKM115,[13]AssetDetails_UEM!$A$3:$AH$1849,6,FALSE)</f>
        <v>Electrosurgical Units, Monopolar/Bipolar</v>
      </c>
      <c r="QKO115" s="196" t="s">
        <v>761</v>
      </c>
      <c r="QKP115" s="197" t="str">
        <f>VLOOKUP(QKO115,[13]AssetDetails_UEM!$A$3:$AH$1849,6,FALSE)</f>
        <v>Electrosurgical Units, Monopolar/Bipolar</v>
      </c>
      <c r="QKQ115" s="196" t="s">
        <v>761</v>
      </c>
      <c r="QKR115" s="197" t="str">
        <f>VLOOKUP(QKQ115,[13]AssetDetails_UEM!$A$3:$AH$1849,6,FALSE)</f>
        <v>Electrosurgical Units, Monopolar/Bipolar</v>
      </c>
      <c r="QKS115" s="196" t="s">
        <v>761</v>
      </c>
      <c r="QKT115" s="197" t="str">
        <f>VLOOKUP(QKS115,[13]AssetDetails_UEM!$A$3:$AH$1849,6,FALSE)</f>
        <v>Electrosurgical Units, Monopolar/Bipolar</v>
      </c>
      <c r="QKU115" s="196" t="s">
        <v>761</v>
      </c>
      <c r="QKV115" s="197" t="str">
        <f>VLOOKUP(QKU115,[13]AssetDetails_UEM!$A$3:$AH$1849,6,FALSE)</f>
        <v>Electrosurgical Units, Monopolar/Bipolar</v>
      </c>
      <c r="QKW115" s="196" t="s">
        <v>761</v>
      </c>
      <c r="QKX115" s="197" t="str">
        <f>VLOOKUP(QKW115,[13]AssetDetails_UEM!$A$3:$AH$1849,6,FALSE)</f>
        <v>Electrosurgical Units, Monopolar/Bipolar</v>
      </c>
      <c r="QKY115" s="196" t="s">
        <v>761</v>
      </c>
      <c r="QKZ115" s="197" t="str">
        <f>VLOOKUP(QKY115,[13]AssetDetails_UEM!$A$3:$AH$1849,6,FALSE)</f>
        <v>Electrosurgical Units, Monopolar/Bipolar</v>
      </c>
      <c r="QLA115" s="196" t="s">
        <v>761</v>
      </c>
      <c r="QLB115" s="197" t="str">
        <f>VLOOKUP(QLA115,[13]AssetDetails_UEM!$A$3:$AH$1849,6,FALSE)</f>
        <v>Electrosurgical Units, Monopolar/Bipolar</v>
      </c>
      <c r="QLC115" s="196" t="s">
        <v>761</v>
      </c>
      <c r="QLD115" s="197" t="str">
        <f>VLOOKUP(QLC115,[13]AssetDetails_UEM!$A$3:$AH$1849,6,FALSE)</f>
        <v>Electrosurgical Units, Monopolar/Bipolar</v>
      </c>
      <c r="QLE115" s="196" t="s">
        <v>761</v>
      </c>
      <c r="QLF115" s="197" t="str">
        <f>VLOOKUP(QLE115,[13]AssetDetails_UEM!$A$3:$AH$1849,6,FALSE)</f>
        <v>Electrosurgical Units, Monopolar/Bipolar</v>
      </c>
      <c r="QLG115" s="196" t="s">
        <v>761</v>
      </c>
      <c r="QLH115" s="197" t="str">
        <f>VLOOKUP(QLG115,[13]AssetDetails_UEM!$A$3:$AH$1849,6,FALSE)</f>
        <v>Electrosurgical Units, Monopolar/Bipolar</v>
      </c>
      <c r="QLI115" s="196" t="s">
        <v>761</v>
      </c>
      <c r="QLJ115" s="197" t="str">
        <f>VLOOKUP(QLI115,[13]AssetDetails_UEM!$A$3:$AH$1849,6,FALSE)</f>
        <v>Electrosurgical Units, Monopolar/Bipolar</v>
      </c>
      <c r="QLK115" s="196" t="s">
        <v>761</v>
      </c>
      <c r="QLL115" s="197" t="str">
        <f>VLOOKUP(QLK115,[13]AssetDetails_UEM!$A$3:$AH$1849,6,FALSE)</f>
        <v>Electrosurgical Units, Monopolar/Bipolar</v>
      </c>
      <c r="QLM115" s="196" t="s">
        <v>761</v>
      </c>
      <c r="QLN115" s="197" t="str">
        <f>VLOOKUP(QLM115,[13]AssetDetails_UEM!$A$3:$AH$1849,6,FALSE)</f>
        <v>Electrosurgical Units, Monopolar/Bipolar</v>
      </c>
      <c r="QLO115" s="196" t="s">
        <v>761</v>
      </c>
      <c r="QLP115" s="197" t="str">
        <f>VLOOKUP(QLO115,[13]AssetDetails_UEM!$A$3:$AH$1849,6,FALSE)</f>
        <v>Electrosurgical Units, Monopolar/Bipolar</v>
      </c>
      <c r="QLQ115" s="196" t="s">
        <v>761</v>
      </c>
      <c r="QLR115" s="197" t="str">
        <f>VLOOKUP(QLQ115,[13]AssetDetails_UEM!$A$3:$AH$1849,6,FALSE)</f>
        <v>Electrosurgical Units, Monopolar/Bipolar</v>
      </c>
      <c r="QLS115" s="196" t="s">
        <v>761</v>
      </c>
      <c r="QLT115" s="197" t="str">
        <f>VLOOKUP(QLS115,[13]AssetDetails_UEM!$A$3:$AH$1849,6,FALSE)</f>
        <v>Electrosurgical Units, Monopolar/Bipolar</v>
      </c>
      <c r="QLU115" s="196" t="s">
        <v>761</v>
      </c>
      <c r="QLV115" s="197" t="str">
        <f>VLOOKUP(QLU115,[13]AssetDetails_UEM!$A$3:$AH$1849,6,FALSE)</f>
        <v>Electrosurgical Units, Monopolar/Bipolar</v>
      </c>
      <c r="QLW115" s="196" t="s">
        <v>761</v>
      </c>
      <c r="QLX115" s="197" t="str">
        <f>VLOOKUP(QLW115,[13]AssetDetails_UEM!$A$3:$AH$1849,6,FALSE)</f>
        <v>Electrosurgical Units, Monopolar/Bipolar</v>
      </c>
      <c r="QLY115" s="196" t="s">
        <v>761</v>
      </c>
      <c r="QLZ115" s="197" t="str">
        <f>VLOOKUP(QLY115,[13]AssetDetails_UEM!$A$3:$AH$1849,6,FALSE)</f>
        <v>Electrosurgical Units, Monopolar/Bipolar</v>
      </c>
      <c r="QMA115" s="196" t="s">
        <v>761</v>
      </c>
      <c r="QMB115" s="197" t="str">
        <f>VLOOKUP(QMA115,[13]AssetDetails_UEM!$A$3:$AH$1849,6,FALSE)</f>
        <v>Electrosurgical Units, Monopolar/Bipolar</v>
      </c>
      <c r="QMC115" s="196" t="s">
        <v>761</v>
      </c>
      <c r="QMD115" s="197" t="str">
        <f>VLOOKUP(QMC115,[13]AssetDetails_UEM!$A$3:$AH$1849,6,FALSE)</f>
        <v>Electrosurgical Units, Monopolar/Bipolar</v>
      </c>
      <c r="QME115" s="196" t="s">
        <v>761</v>
      </c>
      <c r="QMF115" s="197" t="str">
        <f>VLOOKUP(QME115,[13]AssetDetails_UEM!$A$3:$AH$1849,6,FALSE)</f>
        <v>Electrosurgical Units, Monopolar/Bipolar</v>
      </c>
      <c r="QMG115" s="196" t="s">
        <v>761</v>
      </c>
      <c r="QMH115" s="197" t="str">
        <f>VLOOKUP(QMG115,[13]AssetDetails_UEM!$A$3:$AH$1849,6,FALSE)</f>
        <v>Electrosurgical Units, Monopolar/Bipolar</v>
      </c>
      <c r="QMI115" s="196" t="s">
        <v>761</v>
      </c>
      <c r="QMJ115" s="197" t="str">
        <f>VLOOKUP(QMI115,[13]AssetDetails_UEM!$A$3:$AH$1849,6,FALSE)</f>
        <v>Electrosurgical Units, Monopolar/Bipolar</v>
      </c>
      <c r="QMK115" s="196" t="s">
        <v>761</v>
      </c>
      <c r="QML115" s="197" t="str">
        <f>VLOOKUP(QMK115,[13]AssetDetails_UEM!$A$3:$AH$1849,6,FALSE)</f>
        <v>Electrosurgical Units, Monopolar/Bipolar</v>
      </c>
      <c r="QMM115" s="196" t="s">
        <v>761</v>
      </c>
      <c r="QMN115" s="197" t="str">
        <f>VLOOKUP(QMM115,[13]AssetDetails_UEM!$A$3:$AH$1849,6,FALSE)</f>
        <v>Electrosurgical Units, Monopolar/Bipolar</v>
      </c>
      <c r="QMO115" s="196" t="s">
        <v>761</v>
      </c>
      <c r="QMP115" s="197" t="str">
        <f>VLOOKUP(QMO115,[13]AssetDetails_UEM!$A$3:$AH$1849,6,FALSE)</f>
        <v>Electrosurgical Units, Monopolar/Bipolar</v>
      </c>
      <c r="QMQ115" s="196" t="s">
        <v>761</v>
      </c>
      <c r="QMR115" s="197" t="str">
        <f>VLOOKUP(QMQ115,[13]AssetDetails_UEM!$A$3:$AH$1849,6,FALSE)</f>
        <v>Electrosurgical Units, Monopolar/Bipolar</v>
      </c>
      <c r="QMS115" s="196" t="s">
        <v>761</v>
      </c>
      <c r="QMT115" s="197" t="str">
        <f>VLOOKUP(QMS115,[13]AssetDetails_UEM!$A$3:$AH$1849,6,FALSE)</f>
        <v>Electrosurgical Units, Monopolar/Bipolar</v>
      </c>
      <c r="QMU115" s="196" t="s">
        <v>761</v>
      </c>
      <c r="QMV115" s="197" t="str">
        <f>VLOOKUP(QMU115,[13]AssetDetails_UEM!$A$3:$AH$1849,6,FALSE)</f>
        <v>Electrosurgical Units, Monopolar/Bipolar</v>
      </c>
      <c r="QMW115" s="196" t="s">
        <v>761</v>
      </c>
      <c r="QMX115" s="197" t="str">
        <f>VLOOKUP(QMW115,[13]AssetDetails_UEM!$A$3:$AH$1849,6,FALSE)</f>
        <v>Electrosurgical Units, Monopolar/Bipolar</v>
      </c>
      <c r="QMY115" s="196" t="s">
        <v>761</v>
      </c>
      <c r="QMZ115" s="197" t="str">
        <f>VLOOKUP(QMY115,[13]AssetDetails_UEM!$A$3:$AH$1849,6,FALSE)</f>
        <v>Electrosurgical Units, Monopolar/Bipolar</v>
      </c>
      <c r="QNA115" s="196" t="s">
        <v>761</v>
      </c>
      <c r="QNB115" s="197" t="str">
        <f>VLOOKUP(QNA115,[13]AssetDetails_UEM!$A$3:$AH$1849,6,FALSE)</f>
        <v>Electrosurgical Units, Monopolar/Bipolar</v>
      </c>
      <c r="QNC115" s="196" t="s">
        <v>761</v>
      </c>
      <c r="QND115" s="197" t="str">
        <f>VLOOKUP(QNC115,[13]AssetDetails_UEM!$A$3:$AH$1849,6,FALSE)</f>
        <v>Electrosurgical Units, Monopolar/Bipolar</v>
      </c>
      <c r="QNE115" s="196" t="s">
        <v>761</v>
      </c>
      <c r="QNF115" s="197" t="str">
        <f>VLOOKUP(QNE115,[13]AssetDetails_UEM!$A$3:$AH$1849,6,FALSE)</f>
        <v>Electrosurgical Units, Monopolar/Bipolar</v>
      </c>
      <c r="QNG115" s="196" t="s">
        <v>761</v>
      </c>
      <c r="QNH115" s="197" t="str">
        <f>VLOOKUP(QNG115,[13]AssetDetails_UEM!$A$3:$AH$1849,6,FALSE)</f>
        <v>Electrosurgical Units, Monopolar/Bipolar</v>
      </c>
      <c r="QNI115" s="196" t="s">
        <v>761</v>
      </c>
      <c r="QNJ115" s="197" t="str">
        <f>VLOOKUP(QNI115,[13]AssetDetails_UEM!$A$3:$AH$1849,6,FALSE)</f>
        <v>Electrosurgical Units, Monopolar/Bipolar</v>
      </c>
      <c r="QNK115" s="196" t="s">
        <v>761</v>
      </c>
      <c r="QNL115" s="197" t="str">
        <f>VLOOKUP(QNK115,[13]AssetDetails_UEM!$A$3:$AH$1849,6,FALSE)</f>
        <v>Electrosurgical Units, Monopolar/Bipolar</v>
      </c>
      <c r="QNM115" s="196" t="s">
        <v>761</v>
      </c>
      <c r="QNN115" s="197" t="str">
        <f>VLOOKUP(QNM115,[13]AssetDetails_UEM!$A$3:$AH$1849,6,FALSE)</f>
        <v>Electrosurgical Units, Monopolar/Bipolar</v>
      </c>
      <c r="QNO115" s="196" t="s">
        <v>761</v>
      </c>
      <c r="QNP115" s="197" t="str">
        <f>VLOOKUP(QNO115,[13]AssetDetails_UEM!$A$3:$AH$1849,6,FALSE)</f>
        <v>Electrosurgical Units, Monopolar/Bipolar</v>
      </c>
      <c r="QNQ115" s="196" t="s">
        <v>761</v>
      </c>
      <c r="QNR115" s="197" t="str">
        <f>VLOOKUP(QNQ115,[13]AssetDetails_UEM!$A$3:$AH$1849,6,FALSE)</f>
        <v>Electrosurgical Units, Monopolar/Bipolar</v>
      </c>
      <c r="QNS115" s="196" t="s">
        <v>761</v>
      </c>
      <c r="QNT115" s="197" t="str">
        <f>VLOOKUP(QNS115,[13]AssetDetails_UEM!$A$3:$AH$1849,6,FALSE)</f>
        <v>Electrosurgical Units, Monopolar/Bipolar</v>
      </c>
      <c r="QNU115" s="196" t="s">
        <v>761</v>
      </c>
      <c r="QNV115" s="197" t="str">
        <f>VLOOKUP(QNU115,[13]AssetDetails_UEM!$A$3:$AH$1849,6,FALSE)</f>
        <v>Electrosurgical Units, Monopolar/Bipolar</v>
      </c>
      <c r="QNW115" s="196" t="s">
        <v>761</v>
      </c>
      <c r="QNX115" s="197" t="str">
        <f>VLOOKUP(QNW115,[13]AssetDetails_UEM!$A$3:$AH$1849,6,FALSE)</f>
        <v>Electrosurgical Units, Monopolar/Bipolar</v>
      </c>
      <c r="QNY115" s="196" t="s">
        <v>761</v>
      </c>
      <c r="QNZ115" s="197" t="str">
        <f>VLOOKUP(QNY115,[13]AssetDetails_UEM!$A$3:$AH$1849,6,FALSE)</f>
        <v>Electrosurgical Units, Monopolar/Bipolar</v>
      </c>
      <c r="QOA115" s="196" t="s">
        <v>761</v>
      </c>
      <c r="QOB115" s="197" t="str">
        <f>VLOOKUP(QOA115,[13]AssetDetails_UEM!$A$3:$AH$1849,6,FALSE)</f>
        <v>Electrosurgical Units, Monopolar/Bipolar</v>
      </c>
      <c r="QOC115" s="196" t="s">
        <v>761</v>
      </c>
      <c r="QOD115" s="197" t="str">
        <f>VLOOKUP(QOC115,[13]AssetDetails_UEM!$A$3:$AH$1849,6,FALSE)</f>
        <v>Electrosurgical Units, Monopolar/Bipolar</v>
      </c>
      <c r="QOE115" s="196" t="s">
        <v>761</v>
      </c>
      <c r="QOF115" s="197" t="str">
        <f>VLOOKUP(QOE115,[13]AssetDetails_UEM!$A$3:$AH$1849,6,FALSE)</f>
        <v>Electrosurgical Units, Monopolar/Bipolar</v>
      </c>
      <c r="QOG115" s="196" t="s">
        <v>761</v>
      </c>
      <c r="QOH115" s="197" t="str">
        <f>VLOOKUP(QOG115,[13]AssetDetails_UEM!$A$3:$AH$1849,6,FALSE)</f>
        <v>Electrosurgical Units, Monopolar/Bipolar</v>
      </c>
      <c r="QOI115" s="196" t="s">
        <v>761</v>
      </c>
      <c r="QOJ115" s="197" t="str">
        <f>VLOOKUP(QOI115,[13]AssetDetails_UEM!$A$3:$AH$1849,6,FALSE)</f>
        <v>Electrosurgical Units, Monopolar/Bipolar</v>
      </c>
      <c r="QOK115" s="196" t="s">
        <v>761</v>
      </c>
      <c r="QOL115" s="197" t="str">
        <f>VLOOKUP(QOK115,[13]AssetDetails_UEM!$A$3:$AH$1849,6,FALSE)</f>
        <v>Electrosurgical Units, Monopolar/Bipolar</v>
      </c>
      <c r="QOM115" s="196" t="s">
        <v>761</v>
      </c>
      <c r="QON115" s="197" t="str">
        <f>VLOOKUP(QOM115,[13]AssetDetails_UEM!$A$3:$AH$1849,6,FALSE)</f>
        <v>Electrosurgical Units, Monopolar/Bipolar</v>
      </c>
      <c r="QOO115" s="196" t="s">
        <v>761</v>
      </c>
      <c r="QOP115" s="197" t="str">
        <f>VLOOKUP(QOO115,[13]AssetDetails_UEM!$A$3:$AH$1849,6,FALSE)</f>
        <v>Electrosurgical Units, Monopolar/Bipolar</v>
      </c>
      <c r="QOQ115" s="196" t="s">
        <v>761</v>
      </c>
      <c r="QOR115" s="197" t="str">
        <f>VLOOKUP(QOQ115,[13]AssetDetails_UEM!$A$3:$AH$1849,6,FALSE)</f>
        <v>Electrosurgical Units, Monopolar/Bipolar</v>
      </c>
      <c r="QOS115" s="196" t="s">
        <v>761</v>
      </c>
      <c r="QOT115" s="197" t="str">
        <f>VLOOKUP(QOS115,[13]AssetDetails_UEM!$A$3:$AH$1849,6,FALSE)</f>
        <v>Electrosurgical Units, Monopolar/Bipolar</v>
      </c>
      <c r="QOU115" s="196" t="s">
        <v>761</v>
      </c>
      <c r="QOV115" s="197" t="str">
        <f>VLOOKUP(QOU115,[13]AssetDetails_UEM!$A$3:$AH$1849,6,FALSE)</f>
        <v>Electrosurgical Units, Monopolar/Bipolar</v>
      </c>
      <c r="QOW115" s="196" t="s">
        <v>761</v>
      </c>
      <c r="QOX115" s="197" t="str">
        <f>VLOOKUP(QOW115,[13]AssetDetails_UEM!$A$3:$AH$1849,6,FALSE)</f>
        <v>Electrosurgical Units, Monopolar/Bipolar</v>
      </c>
      <c r="QOY115" s="196" t="s">
        <v>761</v>
      </c>
      <c r="QOZ115" s="197" t="str">
        <f>VLOOKUP(QOY115,[13]AssetDetails_UEM!$A$3:$AH$1849,6,FALSE)</f>
        <v>Electrosurgical Units, Monopolar/Bipolar</v>
      </c>
      <c r="QPA115" s="196" t="s">
        <v>761</v>
      </c>
      <c r="QPB115" s="197" t="str">
        <f>VLOOKUP(QPA115,[13]AssetDetails_UEM!$A$3:$AH$1849,6,FALSE)</f>
        <v>Electrosurgical Units, Monopolar/Bipolar</v>
      </c>
      <c r="QPC115" s="196" t="s">
        <v>761</v>
      </c>
      <c r="QPD115" s="197" t="str">
        <f>VLOOKUP(QPC115,[13]AssetDetails_UEM!$A$3:$AH$1849,6,FALSE)</f>
        <v>Electrosurgical Units, Monopolar/Bipolar</v>
      </c>
      <c r="QPE115" s="196" t="s">
        <v>761</v>
      </c>
      <c r="QPF115" s="197" t="str">
        <f>VLOOKUP(QPE115,[13]AssetDetails_UEM!$A$3:$AH$1849,6,FALSE)</f>
        <v>Electrosurgical Units, Monopolar/Bipolar</v>
      </c>
      <c r="QPG115" s="196" t="s">
        <v>761</v>
      </c>
      <c r="QPH115" s="197" t="str">
        <f>VLOOKUP(QPG115,[13]AssetDetails_UEM!$A$3:$AH$1849,6,FALSE)</f>
        <v>Electrosurgical Units, Monopolar/Bipolar</v>
      </c>
      <c r="QPI115" s="196" t="s">
        <v>761</v>
      </c>
      <c r="QPJ115" s="197" t="str">
        <f>VLOOKUP(QPI115,[13]AssetDetails_UEM!$A$3:$AH$1849,6,FALSE)</f>
        <v>Electrosurgical Units, Monopolar/Bipolar</v>
      </c>
      <c r="QPK115" s="196" t="s">
        <v>761</v>
      </c>
      <c r="QPL115" s="197" t="str">
        <f>VLOOKUP(QPK115,[13]AssetDetails_UEM!$A$3:$AH$1849,6,FALSE)</f>
        <v>Electrosurgical Units, Monopolar/Bipolar</v>
      </c>
      <c r="QPM115" s="196" t="s">
        <v>761</v>
      </c>
      <c r="QPN115" s="197" t="str">
        <f>VLOOKUP(QPM115,[13]AssetDetails_UEM!$A$3:$AH$1849,6,FALSE)</f>
        <v>Electrosurgical Units, Monopolar/Bipolar</v>
      </c>
      <c r="QPO115" s="196" t="s">
        <v>761</v>
      </c>
      <c r="QPP115" s="197" t="str">
        <f>VLOOKUP(QPO115,[13]AssetDetails_UEM!$A$3:$AH$1849,6,FALSE)</f>
        <v>Electrosurgical Units, Monopolar/Bipolar</v>
      </c>
      <c r="QPQ115" s="196" t="s">
        <v>761</v>
      </c>
      <c r="QPR115" s="197" t="str">
        <f>VLOOKUP(QPQ115,[13]AssetDetails_UEM!$A$3:$AH$1849,6,FALSE)</f>
        <v>Electrosurgical Units, Monopolar/Bipolar</v>
      </c>
      <c r="QPS115" s="196" t="s">
        <v>761</v>
      </c>
      <c r="QPT115" s="197" t="str">
        <f>VLOOKUP(QPS115,[13]AssetDetails_UEM!$A$3:$AH$1849,6,FALSE)</f>
        <v>Electrosurgical Units, Monopolar/Bipolar</v>
      </c>
      <c r="QPU115" s="196" t="s">
        <v>761</v>
      </c>
      <c r="QPV115" s="197" t="str">
        <f>VLOOKUP(QPU115,[13]AssetDetails_UEM!$A$3:$AH$1849,6,FALSE)</f>
        <v>Electrosurgical Units, Monopolar/Bipolar</v>
      </c>
      <c r="QPW115" s="196" t="s">
        <v>761</v>
      </c>
      <c r="QPX115" s="197" t="str">
        <f>VLOOKUP(QPW115,[13]AssetDetails_UEM!$A$3:$AH$1849,6,FALSE)</f>
        <v>Electrosurgical Units, Monopolar/Bipolar</v>
      </c>
      <c r="QPY115" s="196" t="s">
        <v>761</v>
      </c>
      <c r="QPZ115" s="197" t="str">
        <f>VLOOKUP(QPY115,[13]AssetDetails_UEM!$A$3:$AH$1849,6,FALSE)</f>
        <v>Electrosurgical Units, Monopolar/Bipolar</v>
      </c>
      <c r="QQA115" s="196" t="s">
        <v>761</v>
      </c>
      <c r="QQB115" s="197" t="str">
        <f>VLOOKUP(QQA115,[13]AssetDetails_UEM!$A$3:$AH$1849,6,FALSE)</f>
        <v>Electrosurgical Units, Monopolar/Bipolar</v>
      </c>
      <c r="QQC115" s="196" t="s">
        <v>761</v>
      </c>
      <c r="QQD115" s="197" t="str">
        <f>VLOOKUP(QQC115,[13]AssetDetails_UEM!$A$3:$AH$1849,6,FALSE)</f>
        <v>Electrosurgical Units, Monopolar/Bipolar</v>
      </c>
      <c r="QQE115" s="196" t="s">
        <v>761</v>
      </c>
      <c r="QQF115" s="197" t="str">
        <f>VLOOKUP(QQE115,[13]AssetDetails_UEM!$A$3:$AH$1849,6,FALSE)</f>
        <v>Electrosurgical Units, Monopolar/Bipolar</v>
      </c>
      <c r="QQG115" s="196" t="s">
        <v>761</v>
      </c>
      <c r="QQH115" s="197" t="str">
        <f>VLOOKUP(QQG115,[13]AssetDetails_UEM!$A$3:$AH$1849,6,FALSE)</f>
        <v>Electrosurgical Units, Monopolar/Bipolar</v>
      </c>
      <c r="QQI115" s="196" t="s">
        <v>761</v>
      </c>
      <c r="QQJ115" s="197" t="str">
        <f>VLOOKUP(QQI115,[13]AssetDetails_UEM!$A$3:$AH$1849,6,FALSE)</f>
        <v>Electrosurgical Units, Monopolar/Bipolar</v>
      </c>
      <c r="QQK115" s="196" t="s">
        <v>761</v>
      </c>
      <c r="QQL115" s="197" t="str">
        <f>VLOOKUP(QQK115,[13]AssetDetails_UEM!$A$3:$AH$1849,6,FALSE)</f>
        <v>Electrosurgical Units, Monopolar/Bipolar</v>
      </c>
      <c r="QQM115" s="196" t="s">
        <v>761</v>
      </c>
      <c r="QQN115" s="197" t="str">
        <f>VLOOKUP(QQM115,[13]AssetDetails_UEM!$A$3:$AH$1849,6,FALSE)</f>
        <v>Electrosurgical Units, Monopolar/Bipolar</v>
      </c>
      <c r="QQO115" s="196" t="s">
        <v>761</v>
      </c>
      <c r="QQP115" s="197" t="str">
        <f>VLOOKUP(QQO115,[13]AssetDetails_UEM!$A$3:$AH$1849,6,FALSE)</f>
        <v>Electrosurgical Units, Monopolar/Bipolar</v>
      </c>
      <c r="QQQ115" s="196" t="s">
        <v>761</v>
      </c>
      <c r="QQR115" s="197" t="str">
        <f>VLOOKUP(QQQ115,[13]AssetDetails_UEM!$A$3:$AH$1849,6,FALSE)</f>
        <v>Electrosurgical Units, Monopolar/Bipolar</v>
      </c>
      <c r="QQS115" s="196" t="s">
        <v>761</v>
      </c>
      <c r="QQT115" s="197" t="str">
        <f>VLOOKUP(QQS115,[13]AssetDetails_UEM!$A$3:$AH$1849,6,FALSE)</f>
        <v>Electrosurgical Units, Monopolar/Bipolar</v>
      </c>
      <c r="QQU115" s="196" t="s">
        <v>761</v>
      </c>
      <c r="QQV115" s="197" t="str">
        <f>VLOOKUP(QQU115,[13]AssetDetails_UEM!$A$3:$AH$1849,6,FALSE)</f>
        <v>Electrosurgical Units, Monopolar/Bipolar</v>
      </c>
      <c r="QQW115" s="196" t="s">
        <v>761</v>
      </c>
      <c r="QQX115" s="197" t="str">
        <f>VLOOKUP(QQW115,[13]AssetDetails_UEM!$A$3:$AH$1849,6,FALSE)</f>
        <v>Electrosurgical Units, Monopolar/Bipolar</v>
      </c>
      <c r="QQY115" s="196" t="s">
        <v>761</v>
      </c>
      <c r="QQZ115" s="197" t="str">
        <f>VLOOKUP(QQY115,[13]AssetDetails_UEM!$A$3:$AH$1849,6,FALSE)</f>
        <v>Electrosurgical Units, Monopolar/Bipolar</v>
      </c>
      <c r="QRA115" s="196" t="s">
        <v>761</v>
      </c>
      <c r="QRB115" s="197" t="str">
        <f>VLOOKUP(QRA115,[13]AssetDetails_UEM!$A$3:$AH$1849,6,FALSE)</f>
        <v>Electrosurgical Units, Monopolar/Bipolar</v>
      </c>
      <c r="QRC115" s="196" t="s">
        <v>761</v>
      </c>
      <c r="QRD115" s="197" t="str">
        <f>VLOOKUP(QRC115,[13]AssetDetails_UEM!$A$3:$AH$1849,6,FALSE)</f>
        <v>Electrosurgical Units, Monopolar/Bipolar</v>
      </c>
      <c r="QRE115" s="196" t="s">
        <v>761</v>
      </c>
      <c r="QRF115" s="197" t="str">
        <f>VLOOKUP(QRE115,[13]AssetDetails_UEM!$A$3:$AH$1849,6,FALSE)</f>
        <v>Electrosurgical Units, Monopolar/Bipolar</v>
      </c>
      <c r="QRG115" s="196" t="s">
        <v>761</v>
      </c>
      <c r="QRH115" s="197" t="str">
        <f>VLOOKUP(QRG115,[13]AssetDetails_UEM!$A$3:$AH$1849,6,FALSE)</f>
        <v>Electrosurgical Units, Monopolar/Bipolar</v>
      </c>
      <c r="QRI115" s="196" t="s">
        <v>761</v>
      </c>
      <c r="QRJ115" s="197" t="str">
        <f>VLOOKUP(QRI115,[13]AssetDetails_UEM!$A$3:$AH$1849,6,FALSE)</f>
        <v>Electrosurgical Units, Monopolar/Bipolar</v>
      </c>
      <c r="QRK115" s="196" t="s">
        <v>761</v>
      </c>
      <c r="QRL115" s="197" t="str">
        <f>VLOOKUP(QRK115,[13]AssetDetails_UEM!$A$3:$AH$1849,6,FALSE)</f>
        <v>Electrosurgical Units, Monopolar/Bipolar</v>
      </c>
      <c r="QRM115" s="196" t="s">
        <v>761</v>
      </c>
      <c r="QRN115" s="197" t="str">
        <f>VLOOKUP(QRM115,[13]AssetDetails_UEM!$A$3:$AH$1849,6,FALSE)</f>
        <v>Electrosurgical Units, Monopolar/Bipolar</v>
      </c>
      <c r="QRO115" s="196" t="s">
        <v>761</v>
      </c>
      <c r="QRP115" s="197" t="str">
        <f>VLOOKUP(QRO115,[13]AssetDetails_UEM!$A$3:$AH$1849,6,FALSE)</f>
        <v>Electrosurgical Units, Monopolar/Bipolar</v>
      </c>
      <c r="QRQ115" s="196" t="s">
        <v>761</v>
      </c>
      <c r="QRR115" s="197" t="str">
        <f>VLOOKUP(QRQ115,[13]AssetDetails_UEM!$A$3:$AH$1849,6,FALSE)</f>
        <v>Electrosurgical Units, Monopolar/Bipolar</v>
      </c>
      <c r="QRS115" s="196" t="s">
        <v>761</v>
      </c>
      <c r="QRT115" s="197" t="str">
        <f>VLOOKUP(QRS115,[13]AssetDetails_UEM!$A$3:$AH$1849,6,FALSE)</f>
        <v>Electrosurgical Units, Monopolar/Bipolar</v>
      </c>
      <c r="QRU115" s="196" t="s">
        <v>761</v>
      </c>
      <c r="QRV115" s="197" t="str">
        <f>VLOOKUP(QRU115,[13]AssetDetails_UEM!$A$3:$AH$1849,6,FALSE)</f>
        <v>Electrosurgical Units, Monopolar/Bipolar</v>
      </c>
      <c r="QRW115" s="196" t="s">
        <v>761</v>
      </c>
      <c r="QRX115" s="197" t="str">
        <f>VLOOKUP(QRW115,[13]AssetDetails_UEM!$A$3:$AH$1849,6,FALSE)</f>
        <v>Electrosurgical Units, Monopolar/Bipolar</v>
      </c>
      <c r="QRY115" s="196" t="s">
        <v>761</v>
      </c>
      <c r="QRZ115" s="197" t="str">
        <f>VLOOKUP(QRY115,[13]AssetDetails_UEM!$A$3:$AH$1849,6,FALSE)</f>
        <v>Electrosurgical Units, Monopolar/Bipolar</v>
      </c>
      <c r="QSA115" s="196" t="s">
        <v>761</v>
      </c>
      <c r="QSB115" s="197" t="str">
        <f>VLOOKUP(QSA115,[13]AssetDetails_UEM!$A$3:$AH$1849,6,FALSE)</f>
        <v>Electrosurgical Units, Monopolar/Bipolar</v>
      </c>
      <c r="QSC115" s="196" t="s">
        <v>761</v>
      </c>
      <c r="QSD115" s="197" t="str">
        <f>VLOOKUP(QSC115,[13]AssetDetails_UEM!$A$3:$AH$1849,6,FALSE)</f>
        <v>Electrosurgical Units, Monopolar/Bipolar</v>
      </c>
      <c r="QSE115" s="196" t="s">
        <v>761</v>
      </c>
      <c r="QSF115" s="197" t="str">
        <f>VLOOKUP(QSE115,[13]AssetDetails_UEM!$A$3:$AH$1849,6,FALSE)</f>
        <v>Electrosurgical Units, Monopolar/Bipolar</v>
      </c>
      <c r="QSG115" s="196" t="s">
        <v>761</v>
      </c>
      <c r="QSH115" s="197" t="str">
        <f>VLOOKUP(QSG115,[13]AssetDetails_UEM!$A$3:$AH$1849,6,FALSE)</f>
        <v>Electrosurgical Units, Monopolar/Bipolar</v>
      </c>
      <c r="QSI115" s="196" t="s">
        <v>761</v>
      </c>
      <c r="QSJ115" s="197" t="str">
        <f>VLOOKUP(QSI115,[13]AssetDetails_UEM!$A$3:$AH$1849,6,FALSE)</f>
        <v>Electrosurgical Units, Monopolar/Bipolar</v>
      </c>
      <c r="QSK115" s="196" t="s">
        <v>761</v>
      </c>
      <c r="QSL115" s="197" t="str">
        <f>VLOOKUP(QSK115,[13]AssetDetails_UEM!$A$3:$AH$1849,6,FALSE)</f>
        <v>Electrosurgical Units, Monopolar/Bipolar</v>
      </c>
      <c r="QSM115" s="196" t="s">
        <v>761</v>
      </c>
      <c r="QSN115" s="197" t="str">
        <f>VLOOKUP(QSM115,[13]AssetDetails_UEM!$A$3:$AH$1849,6,FALSE)</f>
        <v>Electrosurgical Units, Monopolar/Bipolar</v>
      </c>
      <c r="QSO115" s="196" t="s">
        <v>761</v>
      </c>
      <c r="QSP115" s="197" t="str">
        <f>VLOOKUP(QSO115,[13]AssetDetails_UEM!$A$3:$AH$1849,6,FALSE)</f>
        <v>Electrosurgical Units, Monopolar/Bipolar</v>
      </c>
      <c r="QSQ115" s="196" t="s">
        <v>761</v>
      </c>
      <c r="QSR115" s="197" t="str">
        <f>VLOOKUP(QSQ115,[13]AssetDetails_UEM!$A$3:$AH$1849,6,FALSE)</f>
        <v>Electrosurgical Units, Monopolar/Bipolar</v>
      </c>
      <c r="QSS115" s="196" t="s">
        <v>761</v>
      </c>
      <c r="QST115" s="197" t="str">
        <f>VLOOKUP(QSS115,[13]AssetDetails_UEM!$A$3:$AH$1849,6,FALSE)</f>
        <v>Electrosurgical Units, Monopolar/Bipolar</v>
      </c>
      <c r="QSU115" s="196" t="s">
        <v>761</v>
      </c>
      <c r="QSV115" s="197" t="str">
        <f>VLOOKUP(QSU115,[13]AssetDetails_UEM!$A$3:$AH$1849,6,FALSE)</f>
        <v>Electrosurgical Units, Monopolar/Bipolar</v>
      </c>
      <c r="QSW115" s="196" t="s">
        <v>761</v>
      </c>
      <c r="QSX115" s="197" t="str">
        <f>VLOOKUP(QSW115,[13]AssetDetails_UEM!$A$3:$AH$1849,6,FALSE)</f>
        <v>Electrosurgical Units, Monopolar/Bipolar</v>
      </c>
      <c r="QSY115" s="196" t="s">
        <v>761</v>
      </c>
      <c r="QSZ115" s="197" t="str">
        <f>VLOOKUP(QSY115,[13]AssetDetails_UEM!$A$3:$AH$1849,6,FALSE)</f>
        <v>Electrosurgical Units, Monopolar/Bipolar</v>
      </c>
      <c r="QTA115" s="196" t="s">
        <v>761</v>
      </c>
      <c r="QTB115" s="197" t="str">
        <f>VLOOKUP(QTA115,[13]AssetDetails_UEM!$A$3:$AH$1849,6,FALSE)</f>
        <v>Electrosurgical Units, Monopolar/Bipolar</v>
      </c>
      <c r="QTC115" s="196" t="s">
        <v>761</v>
      </c>
      <c r="QTD115" s="197" t="str">
        <f>VLOOKUP(QTC115,[13]AssetDetails_UEM!$A$3:$AH$1849,6,FALSE)</f>
        <v>Electrosurgical Units, Monopolar/Bipolar</v>
      </c>
      <c r="QTE115" s="196" t="s">
        <v>761</v>
      </c>
      <c r="QTF115" s="197" t="str">
        <f>VLOOKUP(QTE115,[13]AssetDetails_UEM!$A$3:$AH$1849,6,FALSE)</f>
        <v>Electrosurgical Units, Monopolar/Bipolar</v>
      </c>
      <c r="QTG115" s="196" t="s">
        <v>761</v>
      </c>
      <c r="QTH115" s="197" t="str">
        <f>VLOOKUP(QTG115,[13]AssetDetails_UEM!$A$3:$AH$1849,6,FALSE)</f>
        <v>Electrosurgical Units, Monopolar/Bipolar</v>
      </c>
      <c r="QTI115" s="196" t="s">
        <v>761</v>
      </c>
      <c r="QTJ115" s="197" t="str">
        <f>VLOOKUP(QTI115,[13]AssetDetails_UEM!$A$3:$AH$1849,6,FALSE)</f>
        <v>Electrosurgical Units, Monopolar/Bipolar</v>
      </c>
      <c r="QTK115" s="196" t="s">
        <v>761</v>
      </c>
      <c r="QTL115" s="197" t="str">
        <f>VLOOKUP(QTK115,[13]AssetDetails_UEM!$A$3:$AH$1849,6,FALSE)</f>
        <v>Electrosurgical Units, Monopolar/Bipolar</v>
      </c>
      <c r="QTM115" s="196" t="s">
        <v>761</v>
      </c>
      <c r="QTN115" s="197" t="str">
        <f>VLOOKUP(QTM115,[13]AssetDetails_UEM!$A$3:$AH$1849,6,FALSE)</f>
        <v>Electrosurgical Units, Monopolar/Bipolar</v>
      </c>
      <c r="QTO115" s="196" t="s">
        <v>761</v>
      </c>
      <c r="QTP115" s="197" t="str">
        <f>VLOOKUP(QTO115,[13]AssetDetails_UEM!$A$3:$AH$1849,6,FALSE)</f>
        <v>Electrosurgical Units, Monopolar/Bipolar</v>
      </c>
      <c r="QTQ115" s="196" t="s">
        <v>761</v>
      </c>
      <c r="QTR115" s="197" t="str">
        <f>VLOOKUP(QTQ115,[13]AssetDetails_UEM!$A$3:$AH$1849,6,FALSE)</f>
        <v>Electrosurgical Units, Monopolar/Bipolar</v>
      </c>
      <c r="QTS115" s="196" t="s">
        <v>761</v>
      </c>
      <c r="QTT115" s="197" t="str">
        <f>VLOOKUP(QTS115,[13]AssetDetails_UEM!$A$3:$AH$1849,6,FALSE)</f>
        <v>Electrosurgical Units, Monopolar/Bipolar</v>
      </c>
      <c r="QTU115" s="196" t="s">
        <v>761</v>
      </c>
      <c r="QTV115" s="197" t="str">
        <f>VLOOKUP(QTU115,[13]AssetDetails_UEM!$A$3:$AH$1849,6,FALSE)</f>
        <v>Electrosurgical Units, Monopolar/Bipolar</v>
      </c>
      <c r="QTW115" s="196" t="s">
        <v>761</v>
      </c>
      <c r="QTX115" s="197" t="str">
        <f>VLOOKUP(QTW115,[13]AssetDetails_UEM!$A$3:$AH$1849,6,FALSE)</f>
        <v>Electrosurgical Units, Monopolar/Bipolar</v>
      </c>
      <c r="QTY115" s="196" t="s">
        <v>761</v>
      </c>
      <c r="QTZ115" s="197" t="str">
        <f>VLOOKUP(QTY115,[13]AssetDetails_UEM!$A$3:$AH$1849,6,FALSE)</f>
        <v>Electrosurgical Units, Monopolar/Bipolar</v>
      </c>
      <c r="QUA115" s="196" t="s">
        <v>761</v>
      </c>
      <c r="QUB115" s="197" t="str">
        <f>VLOOKUP(QUA115,[13]AssetDetails_UEM!$A$3:$AH$1849,6,FALSE)</f>
        <v>Electrosurgical Units, Monopolar/Bipolar</v>
      </c>
      <c r="QUC115" s="196" t="s">
        <v>761</v>
      </c>
      <c r="QUD115" s="197" t="str">
        <f>VLOOKUP(QUC115,[13]AssetDetails_UEM!$A$3:$AH$1849,6,FALSE)</f>
        <v>Electrosurgical Units, Monopolar/Bipolar</v>
      </c>
      <c r="QUE115" s="196" t="s">
        <v>761</v>
      </c>
      <c r="QUF115" s="197" t="str">
        <f>VLOOKUP(QUE115,[13]AssetDetails_UEM!$A$3:$AH$1849,6,FALSE)</f>
        <v>Electrosurgical Units, Monopolar/Bipolar</v>
      </c>
      <c r="QUG115" s="196" t="s">
        <v>761</v>
      </c>
      <c r="QUH115" s="197" t="str">
        <f>VLOOKUP(QUG115,[13]AssetDetails_UEM!$A$3:$AH$1849,6,FALSE)</f>
        <v>Electrosurgical Units, Monopolar/Bipolar</v>
      </c>
      <c r="QUI115" s="196" t="s">
        <v>761</v>
      </c>
      <c r="QUJ115" s="197" t="str">
        <f>VLOOKUP(QUI115,[13]AssetDetails_UEM!$A$3:$AH$1849,6,FALSE)</f>
        <v>Electrosurgical Units, Monopolar/Bipolar</v>
      </c>
      <c r="QUK115" s="196" t="s">
        <v>761</v>
      </c>
      <c r="QUL115" s="197" t="str">
        <f>VLOOKUP(QUK115,[13]AssetDetails_UEM!$A$3:$AH$1849,6,FALSE)</f>
        <v>Electrosurgical Units, Monopolar/Bipolar</v>
      </c>
      <c r="QUM115" s="196" t="s">
        <v>761</v>
      </c>
      <c r="QUN115" s="197" t="str">
        <f>VLOOKUP(QUM115,[13]AssetDetails_UEM!$A$3:$AH$1849,6,FALSE)</f>
        <v>Electrosurgical Units, Monopolar/Bipolar</v>
      </c>
      <c r="QUO115" s="196" t="s">
        <v>761</v>
      </c>
      <c r="QUP115" s="197" t="str">
        <f>VLOOKUP(QUO115,[13]AssetDetails_UEM!$A$3:$AH$1849,6,FALSE)</f>
        <v>Electrosurgical Units, Monopolar/Bipolar</v>
      </c>
      <c r="QUQ115" s="196" t="s">
        <v>761</v>
      </c>
      <c r="QUR115" s="197" t="str">
        <f>VLOOKUP(QUQ115,[13]AssetDetails_UEM!$A$3:$AH$1849,6,FALSE)</f>
        <v>Electrosurgical Units, Monopolar/Bipolar</v>
      </c>
      <c r="QUS115" s="196" t="s">
        <v>761</v>
      </c>
      <c r="QUT115" s="197" t="str">
        <f>VLOOKUP(QUS115,[13]AssetDetails_UEM!$A$3:$AH$1849,6,FALSE)</f>
        <v>Electrosurgical Units, Monopolar/Bipolar</v>
      </c>
      <c r="QUU115" s="196" t="s">
        <v>761</v>
      </c>
      <c r="QUV115" s="197" t="str">
        <f>VLOOKUP(QUU115,[13]AssetDetails_UEM!$A$3:$AH$1849,6,FALSE)</f>
        <v>Electrosurgical Units, Monopolar/Bipolar</v>
      </c>
      <c r="QUW115" s="196" t="s">
        <v>761</v>
      </c>
      <c r="QUX115" s="197" t="str">
        <f>VLOOKUP(QUW115,[13]AssetDetails_UEM!$A$3:$AH$1849,6,FALSE)</f>
        <v>Electrosurgical Units, Monopolar/Bipolar</v>
      </c>
      <c r="QUY115" s="196" t="s">
        <v>761</v>
      </c>
      <c r="QUZ115" s="197" t="str">
        <f>VLOOKUP(QUY115,[13]AssetDetails_UEM!$A$3:$AH$1849,6,FALSE)</f>
        <v>Electrosurgical Units, Monopolar/Bipolar</v>
      </c>
      <c r="QVA115" s="196" t="s">
        <v>761</v>
      </c>
      <c r="QVB115" s="197" t="str">
        <f>VLOOKUP(QVA115,[13]AssetDetails_UEM!$A$3:$AH$1849,6,FALSE)</f>
        <v>Electrosurgical Units, Monopolar/Bipolar</v>
      </c>
      <c r="QVC115" s="196" t="s">
        <v>761</v>
      </c>
      <c r="QVD115" s="197" t="str">
        <f>VLOOKUP(QVC115,[13]AssetDetails_UEM!$A$3:$AH$1849,6,FALSE)</f>
        <v>Electrosurgical Units, Monopolar/Bipolar</v>
      </c>
      <c r="QVE115" s="196" t="s">
        <v>761</v>
      </c>
      <c r="QVF115" s="197" t="str">
        <f>VLOOKUP(QVE115,[13]AssetDetails_UEM!$A$3:$AH$1849,6,FALSE)</f>
        <v>Electrosurgical Units, Monopolar/Bipolar</v>
      </c>
      <c r="QVG115" s="196" t="s">
        <v>761</v>
      </c>
      <c r="QVH115" s="197" t="str">
        <f>VLOOKUP(QVG115,[13]AssetDetails_UEM!$A$3:$AH$1849,6,FALSE)</f>
        <v>Electrosurgical Units, Monopolar/Bipolar</v>
      </c>
      <c r="QVI115" s="196" t="s">
        <v>761</v>
      </c>
      <c r="QVJ115" s="197" t="str">
        <f>VLOOKUP(QVI115,[13]AssetDetails_UEM!$A$3:$AH$1849,6,FALSE)</f>
        <v>Electrosurgical Units, Monopolar/Bipolar</v>
      </c>
      <c r="QVK115" s="196" t="s">
        <v>761</v>
      </c>
      <c r="QVL115" s="197" t="str">
        <f>VLOOKUP(QVK115,[13]AssetDetails_UEM!$A$3:$AH$1849,6,FALSE)</f>
        <v>Electrosurgical Units, Monopolar/Bipolar</v>
      </c>
      <c r="QVM115" s="196" t="s">
        <v>761</v>
      </c>
      <c r="QVN115" s="197" t="str">
        <f>VLOOKUP(QVM115,[13]AssetDetails_UEM!$A$3:$AH$1849,6,FALSE)</f>
        <v>Electrosurgical Units, Monopolar/Bipolar</v>
      </c>
      <c r="QVO115" s="196" t="s">
        <v>761</v>
      </c>
      <c r="QVP115" s="197" t="str">
        <f>VLOOKUP(QVO115,[13]AssetDetails_UEM!$A$3:$AH$1849,6,FALSE)</f>
        <v>Electrosurgical Units, Monopolar/Bipolar</v>
      </c>
      <c r="QVQ115" s="196" t="s">
        <v>761</v>
      </c>
      <c r="QVR115" s="197" t="str">
        <f>VLOOKUP(QVQ115,[13]AssetDetails_UEM!$A$3:$AH$1849,6,FALSE)</f>
        <v>Electrosurgical Units, Monopolar/Bipolar</v>
      </c>
      <c r="QVS115" s="196" t="s">
        <v>761</v>
      </c>
      <c r="QVT115" s="197" t="str">
        <f>VLOOKUP(QVS115,[13]AssetDetails_UEM!$A$3:$AH$1849,6,FALSE)</f>
        <v>Electrosurgical Units, Monopolar/Bipolar</v>
      </c>
      <c r="QVU115" s="196" t="s">
        <v>761</v>
      </c>
      <c r="QVV115" s="197" t="str">
        <f>VLOOKUP(QVU115,[13]AssetDetails_UEM!$A$3:$AH$1849,6,FALSE)</f>
        <v>Electrosurgical Units, Monopolar/Bipolar</v>
      </c>
      <c r="QVW115" s="196" t="s">
        <v>761</v>
      </c>
      <c r="QVX115" s="197" t="str">
        <f>VLOOKUP(QVW115,[13]AssetDetails_UEM!$A$3:$AH$1849,6,FALSE)</f>
        <v>Electrosurgical Units, Monopolar/Bipolar</v>
      </c>
      <c r="QVY115" s="196" t="s">
        <v>761</v>
      </c>
      <c r="QVZ115" s="197" t="str">
        <f>VLOOKUP(QVY115,[13]AssetDetails_UEM!$A$3:$AH$1849,6,FALSE)</f>
        <v>Electrosurgical Units, Monopolar/Bipolar</v>
      </c>
      <c r="QWA115" s="196" t="s">
        <v>761</v>
      </c>
      <c r="QWB115" s="197" t="str">
        <f>VLOOKUP(QWA115,[13]AssetDetails_UEM!$A$3:$AH$1849,6,FALSE)</f>
        <v>Electrosurgical Units, Monopolar/Bipolar</v>
      </c>
      <c r="QWC115" s="196" t="s">
        <v>761</v>
      </c>
      <c r="QWD115" s="197" t="str">
        <f>VLOOKUP(QWC115,[13]AssetDetails_UEM!$A$3:$AH$1849,6,FALSE)</f>
        <v>Electrosurgical Units, Monopolar/Bipolar</v>
      </c>
      <c r="QWE115" s="196" t="s">
        <v>761</v>
      </c>
      <c r="QWF115" s="197" t="str">
        <f>VLOOKUP(QWE115,[13]AssetDetails_UEM!$A$3:$AH$1849,6,FALSE)</f>
        <v>Electrosurgical Units, Monopolar/Bipolar</v>
      </c>
      <c r="QWG115" s="196" t="s">
        <v>761</v>
      </c>
      <c r="QWH115" s="197" t="str">
        <f>VLOOKUP(QWG115,[13]AssetDetails_UEM!$A$3:$AH$1849,6,FALSE)</f>
        <v>Electrosurgical Units, Monopolar/Bipolar</v>
      </c>
      <c r="QWI115" s="196" t="s">
        <v>761</v>
      </c>
      <c r="QWJ115" s="197" t="str">
        <f>VLOOKUP(QWI115,[13]AssetDetails_UEM!$A$3:$AH$1849,6,FALSE)</f>
        <v>Electrosurgical Units, Monopolar/Bipolar</v>
      </c>
      <c r="QWK115" s="196" t="s">
        <v>761</v>
      </c>
      <c r="QWL115" s="197" t="str">
        <f>VLOOKUP(QWK115,[13]AssetDetails_UEM!$A$3:$AH$1849,6,FALSE)</f>
        <v>Electrosurgical Units, Monopolar/Bipolar</v>
      </c>
      <c r="QWM115" s="196" t="s">
        <v>761</v>
      </c>
      <c r="QWN115" s="197" t="str">
        <f>VLOOKUP(QWM115,[13]AssetDetails_UEM!$A$3:$AH$1849,6,FALSE)</f>
        <v>Electrosurgical Units, Monopolar/Bipolar</v>
      </c>
      <c r="QWO115" s="196" t="s">
        <v>761</v>
      </c>
      <c r="QWP115" s="197" t="str">
        <f>VLOOKUP(QWO115,[13]AssetDetails_UEM!$A$3:$AH$1849,6,FALSE)</f>
        <v>Electrosurgical Units, Monopolar/Bipolar</v>
      </c>
      <c r="QWQ115" s="196" t="s">
        <v>761</v>
      </c>
      <c r="QWR115" s="197" t="str">
        <f>VLOOKUP(QWQ115,[13]AssetDetails_UEM!$A$3:$AH$1849,6,FALSE)</f>
        <v>Electrosurgical Units, Monopolar/Bipolar</v>
      </c>
      <c r="QWS115" s="196" t="s">
        <v>761</v>
      </c>
      <c r="QWT115" s="197" t="str">
        <f>VLOOKUP(QWS115,[13]AssetDetails_UEM!$A$3:$AH$1849,6,FALSE)</f>
        <v>Electrosurgical Units, Monopolar/Bipolar</v>
      </c>
      <c r="QWU115" s="196" t="s">
        <v>761</v>
      </c>
      <c r="QWV115" s="197" t="str">
        <f>VLOOKUP(QWU115,[13]AssetDetails_UEM!$A$3:$AH$1849,6,FALSE)</f>
        <v>Electrosurgical Units, Monopolar/Bipolar</v>
      </c>
      <c r="QWW115" s="196" t="s">
        <v>761</v>
      </c>
      <c r="QWX115" s="197" t="str">
        <f>VLOOKUP(QWW115,[13]AssetDetails_UEM!$A$3:$AH$1849,6,FALSE)</f>
        <v>Electrosurgical Units, Monopolar/Bipolar</v>
      </c>
      <c r="QWY115" s="196" t="s">
        <v>761</v>
      </c>
      <c r="QWZ115" s="197" t="str">
        <f>VLOOKUP(QWY115,[13]AssetDetails_UEM!$A$3:$AH$1849,6,FALSE)</f>
        <v>Electrosurgical Units, Monopolar/Bipolar</v>
      </c>
      <c r="QXA115" s="196" t="s">
        <v>761</v>
      </c>
      <c r="QXB115" s="197" t="str">
        <f>VLOOKUP(QXA115,[13]AssetDetails_UEM!$A$3:$AH$1849,6,FALSE)</f>
        <v>Electrosurgical Units, Monopolar/Bipolar</v>
      </c>
      <c r="QXC115" s="196" t="s">
        <v>761</v>
      </c>
      <c r="QXD115" s="197" t="str">
        <f>VLOOKUP(QXC115,[13]AssetDetails_UEM!$A$3:$AH$1849,6,FALSE)</f>
        <v>Electrosurgical Units, Monopolar/Bipolar</v>
      </c>
      <c r="QXE115" s="196" t="s">
        <v>761</v>
      </c>
      <c r="QXF115" s="197" t="str">
        <f>VLOOKUP(QXE115,[13]AssetDetails_UEM!$A$3:$AH$1849,6,FALSE)</f>
        <v>Electrosurgical Units, Monopolar/Bipolar</v>
      </c>
      <c r="QXG115" s="196" t="s">
        <v>761</v>
      </c>
      <c r="QXH115" s="197" t="str">
        <f>VLOOKUP(QXG115,[13]AssetDetails_UEM!$A$3:$AH$1849,6,FALSE)</f>
        <v>Electrosurgical Units, Monopolar/Bipolar</v>
      </c>
      <c r="QXI115" s="196" t="s">
        <v>761</v>
      </c>
      <c r="QXJ115" s="197" t="str">
        <f>VLOOKUP(QXI115,[13]AssetDetails_UEM!$A$3:$AH$1849,6,FALSE)</f>
        <v>Electrosurgical Units, Monopolar/Bipolar</v>
      </c>
      <c r="QXK115" s="196" t="s">
        <v>761</v>
      </c>
      <c r="QXL115" s="197" t="str">
        <f>VLOOKUP(QXK115,[13]AssetDetails_UEM!$A$3:$AH$1849,6,FALSE)</f>
        <v>Electrosurgical Units, Monopolar/Bipolar</v>
      </c>
      <c r="QXM115" s="196" t="s">
        <v>761</v>
      </c>
      <c r="QXN115" s="197" t="str">
        <f>VLOOKUP(QXM115,[13]AssetDetails_UEM!$A$3:$AH$1849,6,FALSE)</f>
        <v>Electrosurgical Units, Monopolar/Bipolar</v>
      </c>
      <c r="QXO115" s="196" t="s">
        <v>761</v>
      </c>
      <c r="QXP115" s="197" t="str">
        <f>VLOOKUP(QXO115,[13]AssetDetails_UEM!$A$3:$AH$1849,6,FALSE)</f>
        <v>Electrosurgical Units, Monopolar/Bipolar</v>
      </c>
      <c r="QXQ115" s="196" t="s">
        <v>761</v>
      </c>
      <c r="QXR115" s="197" t="str">
        <f>VLOOKUP(QXQ115,[13]AssetDetails_UEM!$A$3:$AH$1849,6,FALSE)</f>
        <v>Electrosurgical Units, Monopolar/Bipolar</v>
      </c>
      <c r="QXS115" s="196" t="s">
        <v>761</v>
      </c>
      <c r="QXT115" s="197" t="str">
        <f>VLOOKUP(QXS115,[13]AssetDetails_UEM!$A$3:$AH$1849,6,FALSE)</f>
        <v>Electrosurgical Units, Monopolar/Bipolar</v>
      </c>
      <c r="QXU115" s="196" t="s">
        <v>761</v>
      </c>
      <c r="QXV115" s="197" t="str">
        <f>VLOOKUP(QXU115,[13]AssetDetails_UEM!$A$3:$AH$1849,6,FALSE)</f>
        <v>Electrosurgical Units, Monopolar/Bipolar</v>
      </c>
      <c r="QXW115" s="196" t="s">
        <v>761</v>
      </c>
      <c r="QXX115" s="197" t="str">
        <f>VLOOKUP(QXW115,[13]AssetDetails_UEM!$A$3:$AH$1849,6,FALSE)</f>
        <v>Electrosurgical Units, Monopolar/Bipolar</v>
      </c>
      <c r="QXY115" s="196" t="s">
        <v>761</v>
      </c>
      <c r="QXZ115" s="197" t="str">
        <f>VLOOKUP(QXY115,[13]AssetDetails_UEM!$A$3:$AH$1849,6,FALSE)</f>
        <v>Electrosurgical Units, Monopolar/Bipolar</v>
      </c>
      <c r="QYA115" s="196" t="s">
        <v>761</v>
      </c>
      <c r="QYB115" s="197" t="str">
        <f>VLOOKUP(QYA115,[13]AssetDetails_UEM!$A$3:$AH$1849,6,FALSE)</f>
        <v>Electrosurgical Units, Monopolar/Bipolar</v>
      </c>
      <c r="QYC115" s="196" t="s">
        <v>761</v>
      </c>
      <c r="QYD115" s="197" t="str">
        <f>VLOOKUP(QYC115,[13]AssetDetails_UEM!$A$3:$AH$1849,6,FALSE)</f>
        <v>Electrosurgical Units, Monopolar/Bipolar</v>
      </c>
      <c r="QYE115" s="196" t="s">
        <v>761</v>
      </c>
      <c r="QYF115" s="197" t="str">
        <f>VLOOKUP(QYE115,[13]AssetDetails_UEM!$A$3:$AH$1849,6,FALSE)</f>
        <v>Electrosurgical Units, Monopolar/Bipolar</v>
      </c>
      <c r="QYG115" s="196" t="s">
        <v>761</v>
      </c>
      <c r="QYH115" s="197" t="str">
        <f>VLOOKUP(QYG115,[13]AssetDetails_UEM!$A$3:$AH$1849,6,FALSE)</f>
        <v>Electrosurgical Units, Monopolar/Bipolar</v>
      </c>
      <c r="QYI115" s="196" t="s">
        <v>761</v>
      </c>
      <c r="QYJ115" s="197" t="str">
        <f>VLOOKUP(QYI115,[13]AssetDetails_UEM!$A$3:$AH$1849,6,FALSE)</f>
        <v>Electrosurgical Units, Monopolar/Bipolar</v>
      </c>
      <c r="QYK115" s="196" t="s">
        <v>761</v>
      </c>
      <c r="QYL115" s="197" t="str">
        <f>VLOOKUP(QYK115,[13]AssetDetails_UEM!$A$3:$AH$1849,6,FALSE)</f>
        <v>Electrosurgical Units, Monopolar/Bipolar</v>
      </c>
      <c r="QYM115" s="196" t="s">
        <v>761</v>
      </c>
      <c r="QYN115" s="197" t="str">
        <f>VLOOKUP(QYM115,[13]AssetDetails_UEM!$A$3:$AH$1849,6,FALSE)</f>
        <v>Electrosurgical Units, Monopolar/Bipolar</v>
      </c>
      <c r="QYO115" s="196" t="s">
        <v>761</v>
      </c>
      <c r="QYP115" s="197" t="str">
        <f>VLOOKUP(QYO115,[13]AssetDetails_UEM!$A$3:$AH$1849,6,FALSE)</f>
        <v>Electrosurgical Units, Monopolar/Bipolar</v>
      </c>
      <c r="QYQ115" s="196" t="s">
        <v>761</v>
      </c>
      <c r="QYR115" s="197" t="str">
        <f>VLOOKUP(QYQ115,[13]AssetDetails_UEM!$A$3:$AH$1849,6,FALSE)</f>
        <v>Electrosurgical Units, Monopolar/Bipolar</v>
      </c>
      <c r="QYS115" s="196" t="s">
        <v>761</v>
      </c>
      <c r="QYT115" s="197" t="str">
        <f>VLOOKUP(QYS115,[13]AssetDetails_UEM!$A$3:$AH$1849,6,FALSE)</f>
        <v>Electrosurgical Units, Monopolar/Bipolar</v>
      </c>
      <c r="QYU115" s="196" t="s">
        <v>761</v>
      </c>
      <c r="QYV115" s="197" t="str">
        <f>VLOOKUP(QYU115,[13]AssetDetails_UEM!$A$3:$AH$1849,6,FALSE)</f>
        <v>Electrosurgical Units, Monopolar/Bipolar</v>
      </c>
      <c r="QYW115" s="196" t="s">
        <v>761</v>
      </c>
      <c r="QYX115" s="197" t="str">
        <f>VLOOKUP(QYW115,[13]AssetDetails_UEM!$A$3:$AH$1849,6,FALSE)</f>
        <v>Electrosurgical Units, Monopolar/Bipolar</v>
      </c>
      <c r="QYY115" s="196" t="s">
        <v>761</v>
      </c>
      <c r="QYZ115" s="197" t="str">
        <f>VLOOKUP(QYY115,[13]AssetDetails_UEM!$A$3:$AH$1849,6,FALSE)</f>
        <v>Electrosurgical Units, Monopolar/Bipolar</v>
      </c>
      <c r="QZA115" s="196" t="s">
        <v>761</v>
      </c>
      <c r="QZB115" s="197" t="str">
        <f>VLOOKUP(QZA115,[13]AssetDetails_UEM!$A$3:$AH$1849,6,FALSE)</f>
        <v>Electrosurgical Units, Monopolar/Bipolar</v>
      </c>
      <c r="QZC115" s="196" t="s">
        <v>761</v>
      </c>
      <c r="QZD115" s="197" t="str">
        <f>VLOOKUP(QZC115,[13]AssetDetails_UEM!$A$3:$AH$1849,6,FALSE)</f>
        <v>Electrosurgical Units, Monopolar/Bipolar</v>
      </c>
      <c r="QZE115" s="196" t="s">
        <v>761</v>
      </c>
      <c r="QZF115" s="197" t="str">
        <f>VLOOKUP(QZE115,[13]AssetDetails_UEM!$A$3:$AH$1849,6,FALSE)</f>
        <v>Electrosurgical Units, Monopolar/Bipolar</v>
      </c>
      <c r="QZG115" s="196" t="s">
        <v>761</v>
      </c>
      <c r="QZH115" s="197" t="str">
        <f>VLOOKUP(QZG115,[13]AssetDetails_UEM!$A$3:$AH$1849,6,FALSE)</f>
        <v>Electrosurgical Units, Monopolar/Bipolar</v>
      </c>
      <c r="QZI115" s="196" t="s">
        <v>761</v>
      </c>
      <c r="QZJ115" s="197" t="str">
        <f>VLOOKUP(QZI115,[13]AssetDetails_UEM!$A$3:$AH$1849,6,FALSE)</f>
        <v>Electrosurgical Units, Monopolar/Bipolar</v>
      </c>
      <c r="QZK115" s="196" t="s">
        <v>761</v>
      </c>
      <c r="QZL115" s="197" t="str">
        <f>VLOOKUP(QZK115,[13]AssetDetails_UEM!$A$3:$AH$1849,6,FALSE)</f>
        <v>Electrosurgical Units, Monopolar/Bipolar</v>
      </c>
      <c r="QZM115" s="196" t="s">
        <v>761</v>
      </c>
      <c r="QZN115" s="197" t="str">
        <f>VLOOKUP(QZM115,[13]AssetDetails_UEM!$A$3:$AH$1849,6,FALSE)</f>
        <v>Electrosurgical Units, Monopolar/Bipolar</v>
      </c>
      <c r="QZO115" s="196" t="s">
        <v>761</v>
      </c>
      <c r="QZP115" s="197" t="str">
        <f>VLOOKUP(QZO115,[13]AssetDetails_UEM!$A$3:$AH$1849,6,FALSE)</f>
        <v>Electrosurgical Units, Monopolar/Bipolar</v>
      </c>
      <c r="QZQ115" s="196" t="s">
        <v>761</v>
      </c>
      <c r="QZR115" s="197" t="str">
        <f>VLOOKUP(QZQ115,[13]AssetDetails_UEM!$A$3:$AH$1849,6,FALSE)</f>
        <v>Electrosurgical Units, Monopolar/Bipolar</v>
      </c>
      <c r="QZS115" s="196" t="s">
        <v>761</v>
      </c>
      <c r="QZT115" s="197" t="str">
        <f>VLOOKUP(QZS115,[13]AssetDetails_UEM!$A$3:$AH$1849,6,FALSE)</f>
        <v>Electrosurgical Units, Monopolar/Bipolar</v>
      </c>
      <c r="QZU115" s="196" t="s">
        <v>761</v>
      </c>
      <c r="QZV115" s="197" t="str">
        <f>VLOOKUP(QZU115,[13]AssetDetails_UEM!$A$3:$AH$1849,6,FALSE)</f>
        <v>Electrosurgical Units, Monopolar/Bipolar</v>
      </c>
      <c r="QZW115" s="196" t="s">
        <v>761</v>
      </c>
      <c r="QZX115" s="197" t="str">
        <f>VLOOKUP(QZW115,[13]AssetDetails_UEM!$A$3:$AH$1849,6,FALSE)</f>
        <v>Electrosurgical Units, Monopolar/Bipolar</v>
      </c>
      <c r="QZY115" s="196" t="s">
        <v>761</v>
      </c>
      <c r="QZZ115" s="197" t="str">
        <f>VLOOKUP(QZY115,[13]AssetDetails_UEM!$A$3:$AH$1849,6,FALSE)</f>
        <v>Electrosurgical Units, Monopolar/Bipolar</v>
      </c>
      <c r="RAA115" s="196" t="s">
        <v>761</v>
      </c>
      <c r="RAB115" s="197" t="str">
        <f>VLOOKUP(RAA115,[13]AssetDetails_UEM!$A$3:$AH$1849,6,FALSE)</f>
        <v>Electrosurgical Units, Monopolar/Bipolar</v>
      </c>
      <c r="RAC115" s="196" t="s">
        <v>761</v>
      </c>
      <c r="RAD115" s="197" t="str">
        <f>VLOOKUP(RAC115,[13]AssetDetails_UEM!$A$3:$AH$1849,6,FALSE)</f>
        <v>Electrosurgical Units, Monopolar/Bipolar</v>
      </c>
      <c r="RAE115" s="196" t="s">
        <v>761</v>
      </c>
      <c r="RAF115" s="197" t="str">
        <f>VLOOKUP(RAE115,[13]AssetDetails_UEM!$A$3:$AH$1849,6,FALSE)</f>
        <v>Electrosurgical Units, Monopolar/Bipolar</v>
      </c>
      <c r="RAG115" s="196" t="s">
        <v>761</v>
      </c>
      <c r="RAH115" s="197" t="str">
        <f>VLOOKUP(RAG115,[13]AssetDetails_UEM!$A$3:$AH$1849,6,FALSE)</f>
        <v>Electrosurgical Units, Monopolar/Bipolar</v>
      </c>
      <c r="RAI115" s="196" t="s">
        <v>761</v>
      </c>
      <c r="RAJ115" s="197" t="str">
        <f>VLOOKUP(RAI115,[13]AssetDetails_UEM!$A$3:$AH$1849,6,FALSE)</f>
        <v>Electrosurgical Units, Monopolar/Bipolar</v>
      </c>
      <c r="RAK115" s="196" t="s">
        <v>761</v>
      </c>
      <c r="RAL115" s="197" t="str">
        <f>VLOOKUP(RAK115,[13]AssetDetails_UEM!$A$3:$AH$1849,6,FALSE)</f>
        <v>Electrosurgical Units, Monopolar/Bipolar</v>
      </c>
      <c r="RAM115" s="196" t="s">
        <v>761</v>
      </c>
      <c r="RAN115" s="197" t="str">
        <f>VLOOKUP(RAM115,[13]AssetDetails_UEM!$A$3:$AH$1849,6,FALSE)</f>
        <v>Electrosurgical Units, Monopolar/Bipolar</v>
      </c>
      <c r="RAO115" s="196" t="s">
        <v>761</v>
      </c>
      <c r="RAP115" s="197" t="str">
        <f>VLOOKUP(RAO115,[13]AssetDetails_UEM!$A$3:$AH$1849,6,FALSE)</f>
        <v>Electrosurgical Units, Monopolar/Bipolar</v>
      </c>
      <c r="RAQ115" s="196" t="s">
        <v>761</v>
      </c>
      <c r="RAR115" s="197" t="str">
        <f>VLOOKUP(RAQ115,[13]AssetDetails_UEM!$A$3:$AH$1849,6,FALSE)</f>
        <v>Electrosurgical Units, Monopolar/Bipolar</v>
      </c>
      <c r="RAS115" s="196" t="s">
        <v>761</v>
      </c>
      <c r="RAT115" s="197" t="str">
        <f>VLOOKUP(RAS115,[13]AssetDetails_UEM!$A$3:$AH$1849,6,FALSE)</f>
        <v>Electrosurgical Units, Monopolar/Bipolar</v>
      </c>
      <c r="RAU115" s="196" t="s">
        <v>761</v>
      </c>
      <c r="RAV115" s="197" t="str">
        <f>VLOOKUP(RAU115,[13]AssetDetails_UEM!$A$3:$AH$1849,6,FALSE)</f>
        <v>Electrosurgical Units, Monopolar/Bipolar</v>
      </c>
      <c r="RAW115" s="196" t="s">
        <v>761</v>
      </c>
      <c r="RAX115" s="197" t="str">
        <f>VLOOKUP(RAW115,[13]AssetDetails_UEM!$A$3:$AH$1849,6,FALSE)</f>
        <v>Electrosurgical Units, Monopolar/Bipolar</v>
      </c>
      <c r="RAY115" s="196" t="s">
        <v>761</v>
      </c>
      <c r="RAZ115" s="197" t="str">
        <f>VLOOKUP(RAY115,[13]AssetDetails_UEM!$A$3:$AH$1849,6,FALSE)</f>
        <v>Electrosurgical Units, Monopolar/Bipolar</v>
      </c>
      <c r="RBA115" s="196" t="s">
        <v>761</v>
      </c>
      <c r="RBB115" s="197" t="str">
        <f>VLOOKUP(RBA115,[13]AssetDetails_UEM!$A$3:$AH$1849,6,FALSE)</f>
        <v>Electrosurgical Units, Monopolar/Bipolar</v>
      </c>
      <c r="RBC115" s="196" t="s">
        <v>761</v>
      </c>
      <c r="RBD115" s="197" t="str">
        <f>VLOOKUP(RBC115,[13]AssetDetails_UEM!$A$3:$AH$1849,6,FALSE)</f>
        <v>Electrosurgical Units, Monopolar/Bipolar</v>
      </c>
      <c r="RBE115" s="196" t="s">
        <v>761</v>
      </c>
      <c r="RBF115" s="197" t="str">
        <f>VLOOKUP(RBE115,[13]AssetDetails_UEM!$A$3:$AH$1849,6,FALSE)</f>
        <v>Electrosurgical Units, Monopolar/Bipolar</v>
      </c>
      <c r="RBG115" s="196" t="s">
        <v>761</v>
      </c>
      <c r="RBH115" s="197" t="str">
        <f>VLOOKUP(RBG115,[13]AssetDetails_UEM!$A$3:$AH$1849,6,FALSE)</f>
        <v>Electrosurgical Units, Monopolar/Bipolar</v>
      </c>
      <c r="RBI115" s="196" t="s">
        <v>761</v>
      </c>
      <c r="RBJ115" s="197" t="str">
        <f>VLOOKUP(RBI115,[13]AssetDetails_UEM!$A$3:$AH$1849,6,FALSE)</f>
        <v>Electrosurgical Units, Monopolar/Bipolar</v>
      </c>
      <c r="RBK115" s="196" t="s">
        <v>761</v>
      </c>
      <c r="RBL115" s="197" t="str">
        <f>VLOOKUP(RBK115,[13]AssetDetails_UEM!$A$3:$AH$1849,6,FALSE)</f>
        <v>Electrosurgical Units, Monopolar/Bipolar</v>
      </c>
      <c r="RBM115" s="196" t="s">
        <v>761</v>
      </c>
      <c r="RBN115" s="197" t="str">
        <f>VLOOKUP(RBM115,[13]AssetDetails_UEM!$A$3:$AH$1849,6,FALSE)</f>
        <v>Electrosurgical Units, Monopolar/Bipolar</v>
      </c>
      <c r="RBO115" s="196" t="s">
        <v>761</v>
      </c>
      <c r="RBP115" s="197" t="str">
        <f>VLOOKUP(RBO115,[13]AssetDetails_UEM!$A$3:$AH$1849,6,FALSE)</f>
        <v>Electrosurgical Units, Monopolar/Bipolar</v>
      </c>
      <c r="RBQ115" s="196" t="s">
        <v>761</v>
      </c>
      <c r="RBR115" s="197" t="str">
        <f>VLOOKUP(RBQ115,[13]AssetDetails_UEM!$A$3:$AH$1849,6,FALSE)</f>
        <v>Electrosurgical Units, Monopolar/Bipolar</v>
      </c>
      <c r="RBS115" s="196" t="s">
        <v>761</v>
      </c>
      <c r="RBT115" s="197" t="str">
        <f>VLOOKUP(RBS115,[13]AssetDetails_UEM!$A$3:$AH$1849,6,FALSE)</f>
        <v>Electrosurgical Units, Monopolar/Bipolar</v>
      </c>
      <c r="RBU115" s="196" t="s">
        <v>761</v>
      </c>
      <c r="RBV115" s="197" t="str">
        <f>VLOOKUP(RBU115,[13]AssetDetails_UEM!$A$3:$AH$1849,6,FALSE)</f>
        <v>Electrosurgical Units, Monopolar/Bipolar</v>
      </c>
      <c r="RBW115" s="196" t="s">
        <v>761</v>
      </c>
      <c r="RBX115" s="197" t="str">
        <f>VLOOKUP(RBW115,[13]AssetDetails_UEM!$A$3:$AH$1849,6,FALSE)</f>
        <v>Electrosurgical Units, Monopolar/Bipolar</v>
      </c>
      <c r="RBY115" s="196" t="s">
        <v>761</v>
      </c>
      <c r="RBZ115" s="197" t="str">
        <f>VLOOKUP(RBY115,[13]AssetDetails_UEM!$A$3:$AH$1849,6,FALSE)</f>
        <v>Electrosurgical Units, Monopolar/Bipolar</v>
      </c>
      <c r="RCA115" s="196" t="s">
        <v>761</v>
      </c>
      <c r="RCB115" s="197" t="str">
        <f>VLOOKUP(RCA115,[13]AssetDetails_UEM!$A$3:$AH$1849,6,FALSE)</f>
        <v>Electrosurgical Units, Monopolar/Bipolar</v>
      </c>
      <c r="RCC115" s="196" t="s">
        <v>761</v>
      </c>
      <c r="RCD115" s="197" t="str">
        <f>VLOOKUP(RCC115,[13]AssetDetails_UEM!$A$3:$AH$1849,6,FALSE)</f>
        <v>Electrosurgical Units, Monopolar/Bipolar</v>
      </c>
      <c r="RCE115" s="196" t="s">
        <v>761</v>
      </c>
      <c r="RCF115" s="197" t="str">
        <f>VLOOKUP(RCE115,[13]AssetDetails_UEM!$A$3:$AH$1849,6,FALSE)</f>
        <v>Electrosurgical Units, Monopolar/Bipolar</v>
      </c>
      <c r="RCG115" s="196" t="s">
        <v>761</v>
      </c>
      <c r="RCH115" s="197" t="str">
        <f>VLOOKUP(RCG115,[13]AssetDetails_UEM!$A$3:$AH$1849,6,FALSE)</f>
        <v>Electrosurgical Units, Monopolar/Bipolar</v>
      </c>
      <c r="RCI115" s="196" t="s">
        <v>761</v>
      </c>
      <c r="RCJ115" s="197" t="str">
        <f>VLOOKUP(RCI115,[13]AssetDetails_UEM!$A$3:$AH$1849,6,FALSE)</f>
        <v>Electrosurgical Units, Monopolar/Bipolar</v>
      </c>
      <c r="RCK115" s="196" t="s">
        <v>761</v>
      </c>
      <c r="RCL115" s="197" t="str">
        <f>VLOOKUP(RCK115,[13]AssetDetails_UEM!$A$3:$AH$1849,6,FALSE)</f>
        <v>Electrosurgical Units, Monopolar/Bipolar</v>
      </c>
      <c r="RCM115" s="196" t="s">
        <v>761</v>
      </c>
      <c r="RCN115" s="197" t="str">
        <f>VLOOKUP(RCM115,[13]AssetDetails_UEM!$A$3:$AH$1849,6,FALSE)</f>
        <v>Electrosurgical Units, Monopolar/Bipolar</v>
      </c>
      <c r="RCO115" s="196" t="s">
        <v>761</v>
      </c>
      <c r="RCP115" s="197" t="str">
        <f>VLOOKUP(RCO115,[13]AssetDetails_UEM!$A$3:$AH$1849,6,FALSE)</f>
        <v>Electrosurgical Units, Monopolar/Bipolar</v>
      </c>
      <c r="RCQ115" s="196" t="s">
        <v>761</v>
      </c>
      <c r="RCR115" s="197" t="str">
        <f>VLOOKUP(RCQ115,[13]AssetDetails_UEM!$A$3:$AH$1849,6,FALSE)</f>
        <v>Electrosurgical Units, Monopolar/Bipolar</v>
      </c>
      <c r="RCS115" s="196" t="s">
        <v>761</v>
      </c>
      <c r="RCT115" s="197" t="str">
        <f>VLOOKUP(RCS115,[13]AssetDetails_UEM!$A$3:$AH$1849,6,FALSE)</f>
        <v>Electrosurgical Units, Monopolar/Bipolar</v>
      </c>
      <c r="RCU115" s="196" t="s">
        <v>761</v>
      </c>
      <c r="RCV115" s="197" t="str">
        <f>VLOOKUP(RCU115,[13]AssetDetails_UEM!$A$3:$AH$1849,6,FALSE)</f>
        <v>Electrosurgical Units, Monopolar/Bipolar</v>
      </c>
      <c r="RCW115" s="196" t="s">
        <v>761</v>
      </c>
      <c r="RCX115" s="197" t="str">
        <f>VLOOKUP(RCW115,[13]AssetDetails_UEM!$A$3:$AH$1849,6,FALSE)</f>
        <v>Electrosurgical Units, Monopolar/Bipolar</v>
      </c>
      <c r="RCY115" s="196" t="s">
        <v>761</v>
      </c>
      <c r="RCZ115" s="197" t="str">
        <f>VLOOKUP(RCY115,[13]AssetDetails_UEM!$A$3:$AH$1849,6,FALSE)</f>
        <v>Electrosurgical Units, Monopolar/Bipolar</v>
      </c>
      <c r="RDA115" s="196" t="s">
        <v>761</v>
      </c>
      <c r="RDB115" s="197" t="str">
        <f>VLOOKUP(RDA115,[13]AssetDetails_UEM!$A$3:$AH$1849,6,FALSE)</f>
        <v>Electrosurgical Units, Monopolar/Bipolar</v>
      </c>
      <c r="RDC115" s="196" t="s">
        <v>761</v>
      </c>
      <c r="RDD115" s="197" t="str">
        <f>VLOOKUP(RDC115,[13]AssetDetails_UEM!$A$3:$AH$1849,6,FALSE)</f>
        <v>Electrosurgical Units, Monopolar/Bipolar</v>
      </c>
      <c r="RDE115" s="196" t="s">
        <v>761</v>
      </c>
      <c r="RDF115" s="197" t="str">
        <f>VLOOKUP(RDE115,[13]AssetDetails_UEM!$A$3:$AH$1849,6,FALSE)</f>
        <v>Electrosurgical Units, Monopolar/Bipolar</v>
      </c>
      <c r="RDG115" s="196" t="s">
        <v>761</v>
      </c>
      <c r="RDH115" s="197" t="str">
        <f>VLOOKUP(RDG115,[13]AssetDetails_UEM!$A$3:$AH$1849,6,FALSE)</f>
        <v>Electrosurgical Units, Monopolar/Bipolar</v>
      </c>
      <c r="RDI115" s="196" t="s">
        <v>761</v>
      </c>
      <c r="RDJ115" s="197" t="str">
        <f>VLOOKUP(RDI115,[13]AssetDetails_UEM!$A$3:$AH$1849,6,FALSE)</f>
        <v>Electrosurgical Units, Monopolar/Bipolar</v>
      </c>
      <c r="RDK115" s="196" t="s">
        <v>761</v>
      </c>
      <c r="RDL115" s="197" t="str">
        <f>VLOOKUP(RDK115,[13]AssetDetails_UEM!$A$3:$AH$1849,6,FALSE)</f>
        <v>Electrosurgical Units, Monopolar/Bipolar</v>
      </c>
      <c r="RDM115" s="196" t="s">
        <v>761</v>
      </c>
      <c r="RDN115" s="197" t="str">
        <f>VLOOKUP(RDM115,[13]AssetDetails_UEM!$A$3:$AH$1849,6,FALSE)</f>
        <v>Electrosurgical Units, Monopolar/Bipolar</v>
      </c>
      <c r="RDO115" s="196" t="s">
        <v>761</v>
      </c>
      <c r="RDP115" s="197" t="str">
        <f>VLOOKUP(RDO115,[13]AssetDetails_UEM!$A$3:$AH$1849,6,FALSE)</f>
        <v>Electrosurgical Units, Monopolar/Bipolar</v>
      </c>
      <c r="RDQ115" s="196" t="s">
        <v>761</v>
      </c>
      <c r="RDR115" s="197" t="str">
        <f>VLOOKUP(RDQ115,[13]AssetDetails_UEM!$A$3:$AH$1849,6,FALSE)</f>
        <v>Electrosurgical Units, Monopolar/Bipolar</v>
      </c>
      <c r="RDS115" s="196" t="s">
        <v>761</v>
      </c>
      <c r="RDT115" s="197" t="str">
        <f>VLOOKUP(RDS115,[13]AssetDetails_UEM!$A$3:$AH$1849,6,FALSE)</f>
        <v>Electrosurgical Units, Monopolar/Bipolar</v>
      </c>
      <c r="RDU115" s="196" t="s">
        <v>761</v>
      </c>
      <c r="RDV115" s="197" t="str">
        <f>VLOOKUP(RDU115,[13]AssetDetails_UEM!$A$3:$AH$1849,6,FALSE)</f>
        <v>Electrosurgical Units, Monopolar/Bipolar</v>
      </c>
      <c r="RDW115" s="196" t="s">
        <v>761</v>
      </c>
      <c r="RDX115" s="197" t="str">
        <f>VLOOKUP(RDW115,[13]AssetDetails_UEM!$A$3:$AH$1849,6,FALSE)</f>
        <v>Electrosurgical Units, Monopolar/Bipolar</v>
      </c>
      <c r="RDY115" s="196" t="s">
        <v>761</v>
      </c>
      <c r="RDZ115" s="197" t="str">
        <f>VLOOKUP(RDY115,[13]AssetDetails_UEM!$A$3:$AH$1849,6,FALSE)</f>
        <v>Electrosurgical Units, Monopolar/Bipolar</v>
      </c>
      <c r="REA115" s="196" t="s">
        <v>761</v>
      </c>
      <c r="REB115" s="197" t="str">
        <f>VLOOKUP(REA115,[13]AssetDetails_UEM!$A$3:$AH$1849,6,FALSE)</f>
        <v>Electrosurgical Units, Monopolar/Bipolar</v>
      </c>
      <c r="REC115" s="196" t="s">
        <v>761</v>
      </c>
      <c r="RED115" s="197" t="str">
        <f>VLOOKUP(REC115,[13]AssetDetails_UEM!$A$3:$AH$1849,6,FALSE)</f>
        <v>Electrosurgical Units, Monopolar/Bipolar</v>
      </c>
      <c r="REE115" s="196" t="s">
        <v>761</v>
      </c>
      <c r="REF115" s="197" t="str">
        <f>VLOOKUP(REE115,[13]AssetDetails_UEM!$A$3:$AH$1849,6,FALSE)</f>
        <v>Electrosurgical Units, Monopolar/Bipolar</v>
      </c>
      <c r="REG115" s="196" t="s">
        <v>761</v>
      </c>
      <c r="REH115" s="197" t="str">
        <f>VLOOKUP(REG115,[13]AssetDetails_UEM!$A$3:$AH$1849,6,FALSE)</f>
        <v>Electrosurgical Units, Monopolar/Bipolar</v>
      </c>
      <c r="REI115" s="196" t="s">
        <v>761</v>
      </c>
      <c r="REJ115" s="197" t="str">
        <f>VLOOKUP(REI115,[13]AssetDetails_UEM!$A$3:$AH$1849,6,FALSE)</f>
        <v>Electrosurgical Units, Monopolar/Bipolar</v>
      </c>
      <c r="REK115" s="196" t="s">
        <v>761</v>
      </c>
      <c r="REL115" s="197" t="str">
        <f>VLOOKUP(REK115,[13]AssetDetails_UEM!$A$3:$AH$1849,6,FALSE)</f>
        <v>Electrosurgical Units, Monopolar/Bipolar</v>
      </c>
      <c r="REM115" s="196" t="s">
        <v>761</v>
      </c>
      <c r="REN115" s="197" t="str">
        <f>VLOOKUP(REM115,[13]AssetDetails_UEM!$A$3:$AH$1849,6,FALSE)</f>
        <v>Electrosurgical Units, Monopolar/Bipolar</v>
      </c>
      <c r="REO115" s="196" t="s">
        <v>761</v>
      </c>
      <c r="REP115" s="197" t="str">
        <f>VLOOKUP(REO115,[13]AssetDetails_UEM!$A$3:$AH$1849,6,FALSE)</f>
        <v>Electrosurgical Units, Monopolar/Bipolar</v>
      </c>
      <c r="REQ115" s="196" t="s">
        <v>761</v>
      </c>
      <c r="RER115" s="197" t="str">
        <f>VLOOKUP(REQ115,[13]AssetDetails_UEM!$A$3:$AH$1849,6,FALSE)</f>
        <v>Electrosurgical Units, Monopolar/Bipolar</v>
      </c>
      <c r="RES115" s="196" t="s">
        <v>761</v>
      </c>
      <c r="RET115" s="197" t="str">
        <f>VLOOKUP(RES115,[13]AssetDetails_UEM!$A$3:$AH$1849,6,FALSE)</f>
        <v>Electrosurgical Units, Monopolar/Bipolar</v>
      </c>
      <c r="REU115" s="196" t="s">
        <v>761</v>
      </c>
      <c r="REV115" s="197" t="str">
        <f>VLOOKUP(REU115,[13]AssetDetails_UEM!$A$3:$AH$1849,6,FALSE)</f>
        <v>Electrosurgical Units, Monopolar/Bipolar</v>
      </c>
      <c r="REW115" s="196" t="s">
        <v>761</v>
      </c>
      <c r="REX115" s="197" t="str">
        <f>VLOOKUP(REW115,[13]AssetDetails_UEM!$A$3:$AH$1849,6,FALSE)</f>
        <v>Electrosurgical Units, Monopolar/Bipolar</v>
      </c>
      <c r="REY115" s="196" t="s">
        <v>761</v>
      </c>
      <c r="REZ115" s="197" t="str">
        <f>VLOOKUP(REY115,[13]AssetDetails_UEM!$A$3:$AH$1849,6,FALSE)</f>
        <v>Electrosurgical Units, Monopolar/Bipolar</v>
      </c>
      <c r="RFA115" s="196" t="s">
        <v>761</v>
      </c>
      <c r="RFB115" s="197" t="str">
        <f>VLOOKUP(RFA115,[13]AssetDetails_UEM!$A$3:$AH$1849,6,FALSE)</f>
        <v>Electrosurgical Units, Monopolar/Bipolar</v>
      </c>
      <c r="RFC115" s="196" t="s">
        <v>761</v>
      </c>
      <c r="RFD115" s="197" t="str">
        <f>VLOOKUP(RFC115,[13]AssetDetails_UEM!$A$3:$AH$1849,6,FALSE)</f>
        <v>Electrosurgical Units, Monopolar/Bipolar</v>
      </c>
      <c r="RFE115" s="196" t="s">
        <v>761</v>
      </c>
      <c r="RFF115" s="197" t="str">
        <f>VLOOKUP(RFE115,[13]AssetDetails_UEM!$A$3:$AH$1849,6,FALSE)</f>
        <v>Electrosurgical Units, Monopolar/Bipolar</v>
      </c>
      <c r="RFG115" s="196" t="s">
        <v>761</v>
      </c>
      <c r="RFH115" s="197" t="str">
        <f>VLOOKUP(RFG115,[13]AssetDetails_UEM!$A$3:$AH$1849,6,FALSE)</f>
        <v>Electrosurgical Units, Monopolar/Bipolar</v>
      </c>
      <c r="RFI115" s="196" t="s">
        <v>761</v>
      </c>
      <c r="RFJ115" s="197" t="str">
        <f>VLOOKUP(RFI115,[13]AssetDetails_UEM!$A$3:$AH$1849,6,FALSE)</f>
        <v>Electrosurgical Units, Monopolar/Bipolar</v>
      </c>
      <c r="RFK115" s="196" t="s">
        <v>761</v>
      </c>
      <c r="RFL115" s="197" t="str">
        <f>VLOOKUP(RFK115,[13]AssetDetails_UEM!$A$3:$AH$1849,6,FALSE)</f>
        <v>Electrosurgical Units, Monopolar/Bipolar</v>
      </c>
      <c r="RFM115" s="196" t="s">
        <v>761</v>
      </c>
      <c r="RFN115" s="197" t="str">
        <f>VLOOKUP(RFM115,[13]AssetDetails_UEM!$A$3:$AH$1849,6,FALSE)</f>
        <v>Electrosurgical Units, Monopolar/Bipolar</v>
      </c>
      <c r="RFO115" s="196" t="s">
        <v>761</v>
      </c>
      <c r="RFP115" s="197" t="str">
        <f>VLOOKUP(RFO115,[13]AssetDetails_UEM!$A$3:$AH$1849,6,FALSE)</f>
        <v>Electrosurgical Units, Monopolar/Bipolar</v>
      </c>
      <c r="RFQ115" s="196" t="s">
        <v>761</v>
      </c>
      <c r="RFR115" s="197" t="str">
        <f>VLOOKUP(RFQ115,[13]AssetDetails_UEM!$A$3:$AH$1849,6,FALSE)</f>
        <v>Electrosurgical Units, Monopolar/Bipolar</v>
      </c>
      <c r="RFS115" s="196" t="s">
        <v>761</v>
      </c>
      <c r="RFT115" s="197" t="str">
        <f>VLOOKUP(RFS115,[13]AssetDetails_UEM!$A$3:$AH$1849,6,FALSE)</f>
        <v>Electrosurgical Units, Monopolar/Bipolar</v>
      </c>
      <c r="RFU115" s="196" t="s">
        <v>761</v>
      </c>
      <c r="RFV115" s="197" t="str">
        <f>VLOOKUP(RFU115,[13]AssetDetails_UEM!$A$3:$AH$1849,6,FALSE)</f>
        <v>Electrosurgical Units, Monopolar/Bipolar</v>
      </c>
      <c r="RFW115" s="196" t="s">
        <v>761</v>
      </c>
      <c r="RFX115" s="197" t="str">
        <f>VLOOKUP(RFW115,[13]AssetDetails_UEM!$A$3:$AH$1849,6,FALSE)</f>
        <v>Electrosurgical Units, Monopolar/Bipolar</v>
      </c>
      <c r="RFY115" s="196" t="s">
        <v>761</v>
      </c>
      <c r="RFZ115" s="197" t="str">
        <f>VLOOKUP(RFY115,[13]AssetDetails_UEM!$A$3:$AH$1849,6,FALSE)</f>
        <v>Electrosurgical Units, Monopolar/Bipolar</v>
      </c>
      <c r="RGA115" s="196" t="s">
        <v>761</v>
      </c>
      <c r="RGB115" s="197" t="str">
        <f>VLOOKUP(RGA115,[13]AssetDetails_UEM!$A$3:$AH$1849,6,FALSE)</f>
        <v>Electrosurgical Units, Monopolar/Bipolar</v>
      </c>
      <c r="RGC115" s="196" t="s">
        <v>761</v>
      </c>
      <c r="RGD115" s="197" t="str">
        <f>VLOOKUP(RGC115,[13]AssetDetails_UEM!$A$3:$AH$1849,6,FALSE)</f>
        <v>Electrosurgical Units, Monopolar/Bipolar</v>
      </c>
      <c r="RGE115" s="196" t="s">
        <v>761</v>
      </c>
      <c r="RGF115" s="197" t="str">
        <f>VLOOKUP(RGE115,[13]AssetDetails_UEM!$A$3:$AH$1849,6,FALSE)</f>
        <v>Electrosurgical Units, Monopolar/Bipolar</v>
      </c>
      <c r="RGG115" s="196" t="s">
        <v>761</v>
      </c>
      <c r="RGH115" s="197" t="str">
        <f>VLOOKUP(RGG115,[13]AssetDetails_UEM!$A$3:$AH$1849,6,FALSE)</f>
        <v>Electrosurgical Units, Monopolar/Bipolar</v>
      </c>
      <c r="RGI115" s="196" t="s">
        <v>761</v>
      </c>
      <c r="RGJ115" s="197" t="str">
        <f>VLOOKUP(RGI115,[13]AssetDetails_UEM!$A$3:$AH$1849,6,FALSE)</f>
        <v>Electrosurgical Units, Monopolar/Bipolar</v>
      </c>
      <c r="RGK115" s="196" t="s">
        <v>761</v>
      </c>
      <c r="RGL115" s="197" t="str">
        <f>VLOOKUP(RGK115,[13]AssetDetails_UEM!$A$3:$AH$1849,6,FALSE)</f>
        <v>Electrosurgical Units, Monopolar/Bipolar</v>
      </c>
      <c r="RGM115" s="196" t="s">
        <v>761</v>
      </c>
      <c r="RGN115" s="197" t="str">
        <f>VLOOKUP(RGM115,[13]AssetDetails_UEM!$A$3:$AH$1849,6,FALSE)</f>
        <v>Electrosurgical Units, Monopolar/Bipolar</v>
      </c>
      <c r="RGO115" s="196" t="s">
        <v>761</v>
      </c>
      <c r="RGP115" s="197" t="str">
        <f>VLOOKUP(RGO115,[13]AssetDetails_UEM!$A$3:$AH$1849,6,FALSE)</f>
        <v>Electrosurgical Units, Monopolar/Bipolar</v>
      </c>
      <c r="RGQ115" s="196" t="s">
        <v>761</v>
      </c>
      <c r="RGR115" s="197" t="str">
        <f>VLOOKUP(RGQ115,[13]AssetDetails_UEM!$A$3:$AH$1849,6,FALSE)</f>
        <v>Electrosurgical Units, Monopolar/Bipolar</v>
      </c>
      <c r="RGS115" s="196" t="s">
        <v>761</v>
      </c>
      <c r="RGT115" s="197" t="str">
        <f>VLOOKUP(RGS115,[13]AssetDetails_UEM!$A$3:$AH$1849,6,FALSE)</f>
        <v>Electrosurgical Units, Monopolar/Bipolar</v>
      </c>
      <c r="RGU115" s="196" t="s">
        <v>761</v>
      </c>
      <c r="RGV115" s="197" t="str">
        <f>VLOOKUP(RGU115,[13]AssetDetails_UEM!$A$3:$AH$1849,6,FALSE)</f>
        <v>Electrosurgical Units, Monopolar/Bipolar</v>
      </c>
      <c r="RGW115" s="196" t="s">
        <v>761</v>
      </c>
      <c r="RGX115" s="197" t="str">
        <f>VLOOKUP(RGW115,[13]AssetDetails_UEM!$A$3:$AH$1849,6,FALSE)</f>
        <v>Electrosurgical Units, Monopolar/Bipolar</v>
      </c>
      <c r="RGY115" s="196" t="s">
        <v>761</v>
      </c>
      <c r="RGZ115" s="197" t="str">
        <f>VLOOKUP(RGY115,[13]AssetDetails_UEM!$A$3:$AH$1849,6,FALSE)</f>
        <v>Electrosurgical Units, Monopolar/Bipolar</v>
      </c>
      <c r="RHA115" s="196" t="s">
        <v>761</v>
      </c>
      <c r="RHB115" s="197" t="str">
        <f>VLOOKUP(RHA115,[13]AssetDetails_UEM!$A$3:$AH$1849,6,FALSE)</f>
        <v>Electrosurgical Units, Monopolar/Bipolar</v>
      </c>
      <c r="RHC115" s="196" t="s">
        <v>761</v>
      </c>
      <c r="RHD115" s="197" t="str">
        <f>VLOOKUP(RHC115,[13]AssetDetails_UEM!$A$3:$AH$1849,6,FALSE)</f>
        <v>Electrosurgical Units, Monopolar/Bipolar</v>
      </c>
      <c r="RHE115" s="196" t="s">
        <v>761</v>
      </c>
      <c r="RHF115" s="197" t="str">
        <f>VLOOKUP(RHE115,[13]AssetDetails_UEM!$A$3:$AH$1849,6,FALSE)</f>
        <v>Electrosurgical Units, Monopolar/Bipolar</v>
      </c>
      <c r="RHG115" s="196" t="s">
        <v>761</v>
      </c>
      <c r="RHH115" s="197" t="str">
        <f>VLOOKUP(RHG115,[13]AssetDetails_UEM!$A$3:$AH$1849,6,FALSE)</f>
        <v>Electrosurgical Units, Monopolar/Bipolar</v>
      </c>
      <c r="RHI115" s="196" t="s">
        <v>761</v>
      </c>
      <c r="RHJ115" s="197" t="str">
        <f>VLOOKUP(RHI115,[13]AssetDetails_UEM!$A$3:$AH$1849,6,FALSE)</f>
        <v>Electrosurgical Units, Monopolar/Bipolar</v>
      </c>
      <c r="RHK115" s="196" t="s">
        <v>761</v>
      </c>
      <c r="RHL115" s="197" t="str">
        <f>VLOOKUP(RHK115,[13]AssetDetails_UEM!$A$3:$AH$1849,6,FALSE)</f>
        <v>Electrosurgical Units, Monopolar/Bipolar</v>
      </c>
      <c r="RHM115" s="196" t="s">
        <v>761</v>
      </c>
      <c r="RHN115" s="197" t="str">
        <f>VLOOKUP(RHM115,[13]AssetDetails_UEM!$A$3:$AH$1849,6,FALSE)</f>
        <v>Electrosurgical Units, Monopolar/Bipolar</v>
      </c>
      <c r="RHO115" s="196" t="s">
        <v>761</v>
      </c>
      <c r="RHP115" s="197" t="str">
        <f>VLOOKUP(RHO115,[13]AssetDetails_UEM!$A$3:$AH$1849,6,FALSE)</f>
        <v>Electrosurgical Units, Monopolar/Bipolar</v>
      </c>
      <c r="RHQ115" s="196" t="s">
        <v>761</v>
      </c>
      <c r="RHR115" s="197" t="str">
        <f>VLOOKUP(RHQ115,[13]AssetDetails_UEM!$A$3:$AH$1849,6,FALSE)</f>
        <v>Electrosurgical Units, Monopolar/Bipolar</v>
      </c>
      <c r="RHS115" s="196" t="s">
        <v>761</v>
      </c>
      <c r="RHT115" s="197" t="str">
        <f>VLOOKUP(RHS115,[13]AssetDetails_UEM!$A$3:$AH$1849,6,FALSE)</f>
        <v>Electrosurgical Units, Monopolar/Bipolar</v>
      </c>
      <c r="RHU115" s="196" t="s">
        <v>761</v>
      </c>
      <c r="RHV115" s="197" t="str">
        <f>VLOOKUP(RHU115,[13]AssetDetails_UEM!$A$3:$AH$1849,6,FALSE)</f>
        <v>Electrosurgical Units, Monopolar/Bipolar</v>
      </c>
      <c r="RHW115" s="196" t="s">
        <v>761</v>
      </c>
      <c r="RHX115" s="197" t="str">
        <f>VLOOKUP(RHW115,[13]AssetDetails_UEM!$A$3:$AH$1849,6,FALSE)</f>
        <v>Electrosurgical Units, Monopolar/Bipolar</v>
      </c>
      <c r="RHY115" s="196" t="s">
        <v>761</v>
      </c>
      <c r="RHZ115" s="197" t="str">
        <f>VLOOKUP(RHY115,[13]AssetDetails_UEM!$A$3:$AH$1849,6,FALSE)</f>
        <v>Electrosurgical Units, Monopolar/Bipolar</v>
      </c>
      <c r="RIA115" s="196" t="s">
        <v>761</v>
      </c>
      <c r="RIB115" s="197" t="str">
        <f>VLOOKUP(RIA115,[13]AssetDetails_UEM!$A$3:$AH$1849,6,FALSE)</f>
        <v>Electrosurgical Units, Monopolar/Bipolar</v>
      </c>
      <c r="RIC115" s="196" t="s">
        <v>761</v>
      </c>
      <c r="RID115" s="197" t="str">
        <f>VLOOKUP(RIC115,[13]AssetDetails_UEM!$A$3:$AH$1849,6,FALSE)</f>
        <v>Electrosurgical Units, Monopolar/Bipolar</v>
      </c>
      <c r="RIE115" s="196" t="s">
        <v>761</v>
      </c>
      <c r="RIF115" s="197" t="str">
        <f>VLOOKUP(RIE115,[13]AssetDetails_UEM!$A$3:$AH$1849,6,FALSE)</f>
        <v>Electrosurgical Units, Monopolar/Bipolar</v>
      </c>
      <c r="RIG115" s="196" t="s">
        <v>761</v>
      </c>
      <c r="RIH115" s="197" t="str">
        <f>VLOOKUP(RIG115,[13]AssetDetails_UEM!$A$3:$AH$1849,6,FALSE)</f>
        <v>Electrosurgical Units, Monopolar/Bipolar</v>
      </c>
      <c r="RII115" s="196" t="s">
        <v>761</v>
      </c>
      <c r="RIJ115" s="197" t="str">
        <f>VLOOKUP(RII115,[13]AssetDetails_UEM!$A$3:$AH$1849,6,FALSE)</f>
        <v>Electrosurgical Units, Monopolar/Bipolar</v>
      </c>
      <c r="RIK115" s="196" t="s">
        <v>761</v>
      </c>
      <c r="RIL115" s="197" t="str">
        <f>VLOOKUP(RIK115,[13]AssetDetails_UEM!$A$3:$AH$1849,6,FALSE)</f>
        <v>Electrosurgical Units, Monopolar/Bipolar</v>
      </c>
      <c r="RIM115" s="196" t="s">
        <v>761</v>
      </c>
      <c r="RIN115" s="197" t="str">
        <f>VLOOKUP(RIM115,[13]AssetDetails_UEM!$A$3:$AH$1849,6,FALSE)</f>
        <v>Electrosurgical Units, Monopolar/Bipolar</v>
      </c>
      <c r="RIO115" s="196" t="s">
        <v>761</v>
      </c>
      <c r="RIP115" s="197" t="str">
        <f>VLOOKUP(RIO115,[13]AssetDetails_UEM!$A$3:$AH$1849,6,FALSE)</f>
        <v>Electrosurgical Units, Monopolar/Bipolar</v>
      </c>
      <c r="RIQ115" s="196" t="s">
        <v>761</v>
      </c>
      <c r="RIR115" s="197" t="str">
        <f>VLOOKUP(RIQ115,[13]AssetDetails_UEM!$A$3:$AH$1849,6,FALSE)</f>
        <v>Electrosurgical Units, Monopolar/Bipolar</v>
      </c>
      <c r="RIS115" s="196" t="s">
        <v>761</v>
      </c>
      <c r="RIT115" s="197" t="str">
        <f>VLOOKUP(RIS115,[13]AssetDetails_UEM!$A$3:$AH$1849,6,FALSE)</f>
        <v>Electrosurgical Units, Monopolar/Bipolar</v>
      </c>
      <c r="RIU115" s="196" t="s">
        <v>761</v>
      </c>
      <c r="RIV115" s="197" t="str">
        <f>VLOOKUP(RIU115,[13]AssetDetails_UEM!$A$3:$AH$1849,6,FALSE)</f>
        <v>Electrosurgical Units, Monopolar/Bipolar</v>
      </c>
      <c r="RIW115" s="196" t="s">
        <v>761</v>
      </c>
      <c r="RIX115" s="197" t="str">
        <f>VLOOKUP(RIW115,[13]AssetDetails_UEM!$A$3:$AH$1849,6,FALSE)</f>
        <v>Electrosurgical Units, Monopolar/Bipolar</v>
      </c>
      <c r="RIY115" s="196" t="s">
        <v>761</v>
      </c>
      <c r="RIZ115" s="197" t="str">
        <f>VLOOKUP(RIY115,[13]AssetDetails_UEM!$A$3:$AH$1849,6,FALSE)</f>
        <v>Electrosurgical Units, Monopolar/Bipolar</v>
      </c>
      <c r="RJA115" s="196" t="s">
        <v>761</v>
      </c>
      <c r="RJB115" s="197" t="str">
        <f>VLOOKUP(RJA115,[13]AssetDetails_UEM!$A$3:$AH$1849,6,FALSE)</f>
        <v>Electrosurgical Units, Monopolar/Bipolar</v>
      </c>
      <c r="RJC115" s="196" t="s">
        <v>761</v>
      </c>
      <c r="RJD115" s="197" t="str">
        <f>VLOOKUP(RJC115,[13]AssetDetails_UEM!$A$3:$AH$1849,6,FALSE)</f>
        <v>Electrosurgical Units, Monopolar/Bipolar</v>
      </c>
      <c r="RJE115" s="196" t="s">
        <v>761</v>
      </c>
      <c r="RJF115" s="197" t="str">
        <f>VLOOKUP(RJE115,[13]AssetDetails_UEM!$A$3:$AH$1849,6,FALSE)</f>
        <v>Electrosurgical Units, Monopolar/Bipolar</v>
      </c>
      <c r="RJG115" s="196" t="s">
        <v>761</v>
      </c>
      <c r="RJH115" s="197" t="str">
        <f>VLOOKUP(RJG115,[13]AssetDetails_UEM!$A$3:$AH$1849,6,FALSE)</f>
        <v>Electrosurgical Units, Monopolar/Bipolar</v>
      </c>
      <c r="RJI115" s="196" t="s">
        <v>761</v>
      </c>
      <c r="RJJ115" s="197" t="str">
        <f>VLOOKUP(RJI115,[13]AssetDetails_UEM!$A$3:$AH$1849,6,FALSE)</f>
        <v>Electrosurgical Units, Monopolar/Bipolar</v>
      </c>
      <c r="RJK115" s="196" t="s">
        <v>761</v>
      </c>
      <c r="RJL115" s="197" t="str">
        <f>VLOOKUP(RJK115,[13]AssetDetails_UEM!$A$3:$AH$1849,6,FALSE)</f>
        <v>Electrosurgical Units, Monopolar/Bipolar</v>
      </c>
      <c r="RJM115" s="196" t="s">
        <v>761</v>
      </c>
      <c r="RJN115" s="197" t="str">
        <f>VLOOKUP(RJM115,[13]AssetDetails_UEM!$A$3:$AH$1849,6,FALSE)</f>
        <v>Electrosurgical Units, Monopolar/Bipolar</v>
      </c>
      <c r="RJO115" s="196" t="s">
        <v>761</v>
      </c>
      <c r="RJP115" s="197" t="str">
        <f>VLOOKUP(RJO115,[13]AssetDetails_UEM!$A$3:$AH$1849,6,FALSE)</f>
        <v>Electrosurgical Units, Monopolar/Bipolar</v>
      </c>
      <c r="RJQ115" s="196" t="s">
        <v>761</v>
      </c>
      <c r="RJR115" s="197" t="str">
        <f>VLOOKUP(RJQ115,[13]AssetDetails_UEM!$A$3:$AH$1849,6,FALSE)</f>
        <v>Electrosurgical Units, Monopolar/Bipolar</v>
      </c>
      <c r="RJS115" s="196" t="s">
        <v>761</v>
      </c>
      <c r="RJT115" s="197" t="str">
        <f>VLOOKUP(RJS115,[13]AssetDetails_UEM!$A$3:$AH$1849,6,FALSE)</f>
        <v>Electrosurgical Units, Monopolar/Bipolar</v>
      </c>
      <c r="RJU115" s="196" t="s">
        <v>761</v>
      </c>
      <c r="RJV115" s="197" t="str">
        <f>VLOOKUP(RJU115,[13]AssetDetails_UEM!$A$3:$AH$1849,6,FALSE)</f>
        <v>Electrosurgical Units, Monopolar/Bipolar</v>
      </c>
      <c r="RJW115" s="196" t="s">
        <v>761</v>
      </c>
      <c r="RJX115" s="197" t="str">
        <f>VLOOKUP(RJW115,[13]AssetDetails_UEM!$A$3:$AH$1849,6,FALSE)</f>
        <v>Electrosurgical Units, Monopolar/Bipolar</v>
      </c>
      <c r="RJY115" s="196" t="s">
        <v>761</v>
      </c>
      <c r="RJZ115" s="197" t="str">
        <f>VLOOKUP(RJY115,[13]AssetDetails_UEM!$A$3:$AH$1849,6,FALSE)</f>
        <v>Electrosurgical Units, Monopolar/Bipolar</v>
      </c>
      <c r="RKA115" s="196" t="s">
        <v>761</v>
      </c>
      <c r="RKB115" s="197" t="str">
        <f>VLOOKUP(RKA115,[13]AssetDetails_UEM!$A$3:$AH$1849,6,FALSE)</f>
        <v>Electrosurgical Units, Monopolar/Bipolar</v>
      </c>
      <c r="RKC115" s="196" t="s">
        <v>761</v>
      </c>
      <c r="RKD115" s="197" t="str">
        <f>VLOOKUP(RKC115,[13]AssetDetails_UEM!$A$3:$AH$1849,6,FALSE)</f>
        <v>Electrosurgical Units, Monopolar/Bipolar</v>
      </c>
      <c r="RKE115" s="196" t="s">
        <v>761</v>
      </c>
      <c r="RKF115" s="197" t="str">
        <f>VLOOKUP(RKE115,[13]AssetDetails_UEM!$A$3:$AH$1849,6,FALSE)</f>
        <v>Electrosurgical Units, Monopolar/Bipolar</v>
      </c>
      <c r="RKG115" s="196" t="s">
        <v>761</v>
      </c>
      <c r="RKH115" s="197" t="str">
        <f>VLOOKUP(RKG115,[13]AssetDetails_UEM!$A$3:$AH$1849,6,FALSE)</f>
        <v>Electrosurgical Units, Monopolar/Bipolar</v>
      </c>
      <c r="RKI115" s="196" t="s">
        <v>761</v>
      </c>
      <c r="RKJ115" s="197" t="str">
        <f>VLOOKUP(RKI115,[13]AssetDetails_UEM!$A$3:$AH$1849,6,FALSE)</f>
        <v>Electrosurgical Units, Monopolar/Bipolar</v>
      </c>
      <c r="RKK115" s="196" t="s">
        <v>761</v>
      </c>
      <c r="RKL115" s="197" t="str">
        <f>VLOOKUP(RKK115,[13]AssetDetails_UEM!$A$3:$AH$1849,6,FALSE)</f>
        <v>Electrosurgical Units, Monopolar/Bipolar</v>
      </c>
      <c r="RKM115" s="196" t="s">
        <v>761</v>
      </c>
      <c r="RKN115" s="197" t="str">
        <f>VLOOKUP(RKM115,[13]AssetDetails_UEM!$A$3:$AH$1849,6,FALSE)</f>
        <v>Electrosurgical Units, Monopolar/Bipolar</v>
      </c>
      <c r="RKO115" s="196" t="s">
        <v>761</v>
      </c>
      <c r="RKP115" s="197" t="str">
        <f>VLOOKUP(RKO115,[13]AssetDetails_UEM!$A$3:$AH$1849,6,FALSE)</f>
        <v>Electrosurgical Units, Monopolar/Bipolar</v>
      </c>
      <c r="RKQ115" s="196" t="s">
        <v>761</v>
      </c>
      <c r="RKR115" s="197" t="str">
        <f>VLOOKUP(RKQ115,[13]AssetDetails_UEM!$A$3:$AH$1849,6,FALSE)</f>
        <v>Electrosurgical Units, Monopolar/Bipolar</v>
      </c>
      <c r="RKS115" s="196" t="s">
        <v>761</v>
      </c>
      <c r="RKT115" s="197" t="str">
        <f>VLOOKUP(RKS115,[13]AssetDetails_UEM!$A$3:$AH$1849,6,FALSE)</f>
        <v>Electrosurgical Units, Monopolar/Bipolar</v>
      </c>
      <c r="RKU115" s="196" t="s">
        <v>761</v>
      </c>
      <c r="RKV115" s="197" t="str">
        <f>VLOOKUP(RKU115,[13]AssetDetails_UEM!$A$3:$AH$1849,6,FALSE)</f>
        <v>Electrosurgical Units, Monopolar/Bipolar</v>
      </c>
      <c r="RKW115" s="196" t="s">
        <v>761</v>
      </c>
      <c r="RKX115" s="197" t="str">
        <f>VLOOKUP(RKW115,[13]AssetDetails_UEM!$A$3:$AH$1849,6,FALSE)</f>
        <v>Electrosurgical Units, Monopolar/Bipolar</v>
      </c>
      <c r="RKY115" s="196" t="s">
        <v>761</v>
      </c>
      <c r="RKZ115" s="197" t="str">
        <f>VLOOKUP(RKY115,[13]AssetDetails_UEM!$A$3:$AH$1849,6,FALSE)</f>
        <v>Electrosurgical Units, Monopolar/Bipolar</v>
      </c>
      <c r="RLA115" s="196" t="s">
        <v>761</v>
      </c>
      <c r="RLB115" s="197" t="str">
        <f>VLOOKUP(RLA115,[13]AssetDetails_UEM!$A$3:$AH$1849,6,FALSE)</f>
        <v>Electrosurgical Units, Monopolar/Bipolar</v>
      </c>
      <c r="RLC115" s="196" t="s">
        <v>761</v>
      </c>
      <c r="RLD115" s="197" t="str">
        <f>VLOOKUP(RLC115,[13]AssetDetails_UEM!$A$3:$AH$1849,6,FALSE)</f>
        <v>Electrosurgical Units, Monopolar/Bipolar</v>
      </c>
      <c r="RLE115" s="196" t="s">
        <v>761</v>
      </c>
      <c r="RLF115" s="197" t="str">
        <f>VLOOKUP(RLE115,[13]AssetDetails_UEM!$A$3:$AH$1849,6,FALSE)</f>
        <v>Electrosurgical Units, Monopolar/Bipolar</v>
      </c>
      <c r="RLG115" s="196" t="s">
        <v>761</v>
      </c>
      <c r="RLH115" s="197" t="str">
        <f>VLOOKUP(RLG115,[13]AssetDetails_UEM!$A$3:$AH$1849,6,FALSE)</f>
        <v>Electrosurgical Units, Monopolar/Bipolar</v>
      </c>
      <c r="RLI115" s="196" t="s">
        <v>761</v>
      </c>
      <c r="RLJ115" s="197" t="str">
        <f>VLOOKUP(RLI115,[13]AssetDetails_UEM!$A$3:$AH$1849,6,FALSE)</f>
        <v>Electrosurgical Units, Monopolar/Bipolar</v>
      </c>
      <c r="RLK115" s="196" t="s">
        <v>761</v>
      </c>
      <c r="RLL115" s="197" t="str">
        <f>VLOOKUP(RLK115,[13]AssetDetails_UEM!$A$3:$AH$1849,6,FALSE)</f>
        <v>Electrosurgical Units, Monopolar/Bipolar</v>
      </c>
      <c r="RLM115" s="196" t="s">
        <v>761</v>
      </c>
      <c r="RLN115" s="197" t="str">
        <f>VLOOKUP(RLM115,[13]AssetDetails_UEM!$A$3:$AH$1849,6,FALSE)</f>
        <v>Electrosurgical Units, Monopolar/Bipolar</v>
      </c>
      <c r="RLO115" s="196" t="s">
        <v>761</v>
      </c>
      <c r="RLP115" s="197" t="str">
        <f>VLOOKUP(RLO115,[13]AssetDetails_UEM!$A$3:$AH$1849,6,FALSE)</f>
        <v>Electrosurgical Units, Monopolar/Bipolar</v>
      </c>
      <c r="RLQ115" s="196" t="s">
        <v>761</v>
      </c>
      <c r="RLR115" s="197" t="str">
        <f>VLOOKUP(RLQ115,[13]AssetDetails_UEM!$A$3:$AH$1849,6,FALSE)</f>
        <v>Electrosurgical Units, Monopolar/Bipolar</v>
      </c>
      <c r="RLS115" s="196" t="s">
        <v>761</v>
      </c>
      <c r="RLT115" s="197" t="str">
        <f>VLOOKUP(RLS115,[13]AssetDetails_UEM!$A$3:$AH$1849,6,FALSE)</f>
        <v>Electrosurgical Units, Monopolar/Bipolar</v>
      </c>
      <c r="RLU115" s="196" t="s">
        <v>761</v>
      </c>
      <c r="RLV115" s="197" t="str">
        <f>VLOOKUP(RLU115,[13]AssetDetails_UEM!$A$3:$AH$1849,6,FALSE)</f>
        <v>Electrosurgical Units, Monopolar/Bipolar</v>
      </c>
      <c r="RLW115" s="196" t="s">
        <v>761</v>
      </c>
      <c r="RLX115" s="197" t="str">
        <f>VLOOKUP(RLW115,[13]AssetDetails_UEM!$A$3:$AH$1849,6,FALSE)</f>
        <v>Electrosurgical Units, Monopolar/Bipolar</v>
      </c>
      <c r="RLY115" s="196" t="s">
        <v>761</v>
      </c>
      <c r="RLZ115" s="197" t="str">
        <f>VLOOKUP(RLY115,[13]AssetDetails_UEM!$A$3:$AH$1849,6,FALSE)</f>
        <v>Electrosurgical Units, Monopolar/Bipolar</v>
      </c>
      <c r="RMA115" s="196" t="s">
        <v>761</v>
      </c>
      <c r="RMB115" s="197" t="str">
        <f>VLOOKUP(RMA115,[13]AssetDetails_UEM!$A$3:$AH$1849,6,FALSE)</f>
        <v>Electrosurgical Units, Monopolar/Bipolar</v>
      </c>
      <c r="RMC115" s="196" t="s">
        <v>761</v>
      </c>
      <c r="RMD115" s="197" t="str">
        <f>VLOOKUP(RMC115,[13]AssetDetails_UEM!$A$3:$AH$1849,6,FALSE)</f>
        <v>Electrosurgical Units, Monopolar/Bipolar</v>
      </c>
      <c r="RME115" s="196" t="s">
        <v>761</v>
      </c>
      <c r="RMF115" s="197" t="str">
        <f>VLOOKUP(RME115,[13]AssetDetails_UEM!$A$3:$AH$1849,6,FALSE)</f>
        <v>Electrosurgical Units, Monopolar/Bipolar</v>
      </c>
      <c r="RMG115" s="196" t="s">
        <v>761</v>
      </c>
      <c r="RMH115" s="197" t="str">
        <f>VLOOKUP(RMG115,[13]AssetDetails_UEM!$A$3:$AH$1849,6,FALSE)</f>
        <v>Electrosurgical Units, Monopolar/Bipolar</v>
      </c>
      <c r="RMI115" s="196" t="s">
        <v>761</v>
      </c>
      <c r="RMJ115" s="197" t="str">
        <f>VLOOKUP(RMI115,[13]AssetDetails_UEM!$A$3:$AH$1849,6,FALSE)</f>
        <v>Electrosurgical Units, Monopolar/Bipolar</v>
      </c>
      <c r="RMK115" s="196" t="s">
        <v>761</v>
      </c>
      <c r="RML115" s="197" t="str">
        <f>VLOOKUP(RMK115,[13]AssetDetails_UEM!$A$3:$AH$1849,6,FALSE)</f>
        <v>Electrosurgical Units, Monopolar/Bipolar</v>
      </c>
      <c r="RMM115" s="196" t="s">
        <v>761</v>
      </c>
      <c r="RMN115" s="197" t="str">
        <f>VLOOKUP(RMM115,[13]AssetDetails_UEM!$A$3:$AH$1849,6,FALSE)</f>
        <v>Electrosurgical Units, Monopolar/Bipolar</v>
      </c>
      <c r="RMO115" s="196" t="s">
        <v>761</v>
      </c>
      <c r="RMP115" s="197" t="str">
        <f>VLOOKUP(RMO115,[13]AssetDetails_UEM!$A$3:$AH$1849,6,FALSE)</f>
        <v>Electrosurgical Units, Monopolar/Bipolar</v>
      </c>
      <c r="RMQ115" s="196" t="s">
        <v>761</v>
      </c>
      <c r="RMR115" s="197" t="str">
        <f>VLOOKUP(RMQ115,[13]AssetDetails_UEM!$A$3:$AH$1849,6,FALSE)</f>
        <v>Electrosurgical Units, Monopolar/Bipolar</v>
      </c>
      <c r="RMS115" s="196" t="s">
        <v>761</v>
      </c>
      <c r="RMT115" s="197" t="str">
        <f>VLOOKUP(RMS115,[13]AssetDetails_UEM!$A$3:$AH$1849,6,FALSE)</f>
        <v>Electrosurgical Units, Monopolar/Bipolar</v>
      </c>
      <c r="RMU115" s="196" t="s">
        <v>761</v>
      </c>
      <c r="RMV115" s="197" t="str">
        <f>VLOOKUP(RMU115,[13]AssetDetails_UEM!$A$3:$AH$1849,6,FALSE)</f>
        <v>Electrosurgical Units, Monopolar/Bipolar</v>
      </c>
      <c r="RMW115" s="196" t="s">
        <v>761</v>
      </c>
      <c r="RMX115" s="197" t="str">
        <f>VLOOKUP(RMW115,[13]AssetDetails_UEM!$A$3:$AH$1849,6,FALSE)</f>
        <v>Electrosurgical Units, Monopolar/Bipolar</v>
      </c>
      <c r="RMY115" s="196" t="s">
        <v>761</v>
      </c>
      <c r="RMZ115" s="197" t="str">
        <f>VLOOKUP(RMY115,[13]AssetDetails_UEM!$A$3:$AH$1849,6,FALSE)</f>
        <v>Electrosurgical Units, Monopolar/Bipolar</v>
      </c>
      <c r="RNA115" s="196" t="s">
        <v>761</v>
      </c>
      <c r="RNB115" s="197" t="str">
        <f>VLOOKUP(RNA115,[13]AssetDetails_UEM!$A$3:$AH$1849,6,FALSE)</f>
        <v>Electrosurgical Units, Monopolar/Bipolar</v>
      </c>
      <c r="RNC115" s="196" t="s">
        <v>761</v>
      </c>
      <c r="RND115" s="197" t="str">
        <f>VLOOKUP(RNC115,[13]AssetDetails_UEM!$A$3:$AH$1849,6,FALSE)</f>
        <v>Electrosurgical Units, Monopolar/Bipolar</v>
      </c>
      <c r="RNE115" s="196" t="s">
        <v>761</v>
      </c>
      <c r="RNF115" s="197" t="str">
        <f>VLOOKUP(RNE115,[13]AssetDetails_UEM!$A$3:$AH$1849,6,FALSE)</f>
        <v>Electrosurgical Units, Monopolar/Bipolar</v>
      </c>
      <c r="RNG115" s="196" t="s">
        <v>761</v>
      </c>
      <c r="RNH115" s="197" t="str">
        <f>VLOOKUP(RNG115,[13]AssetDetails_UEM!$A$3:$AH$1849,6,FALSE)</f>
        <v>Electrosurgical Units, Monopolar/Bipolar</v>
      </c>
      <c r="RNI115" s="196" t="s">
        <v>761</v>
      </c>
      <c r="RNJ115" s="197" t="str">
        <f>VLOOKUP(RNI115,[13]AssetDetails_UEM!$A$3:$AH$1849,6,FALSE)</f>
        <v>Electrosurgical Units, Monopolar/Bipolar</v>
      </c>
      <c r="RNK115" s="196" t="s">
        <v>761</v>
      </c>
      <c r="RNL115" s="197" t="str">
        <f>VLOOKUP(RNK115,[13]AssetDetails_UEM!$A$3:$AH$1849,6,FALSE)</f>
        <v>Electrosurgical Units, Monopolar/Bipolar</v>
      </c>
      <c r="RNM115" s="196" t="s">
        <v>761</v>
      </c>
      <c r="RNN115" s="197" t="str">
        <f>VLOOKUP(RNM115,[13]AssetDetails_UEM!$A$3:$AH$1849,6,FALSE)</f>
        <v>Electrosurgical Units, Monopolar/Bipolar</v>
      </c>
      <c r="RNO115" s="196" t="s">
        <v>761</v>
      </c>
      <c r="RNP115" s="197" t="str">
        <f>VLOOKUP(RNO115,[13]AssetDetails_UEM!$A$3:$AH$1849,6,FALSE)</f>
        <v>Electrosurgical Units, Monopolar/Bipolar</v>
      </c>
      <c r="RNQ115" s="196" t="s">
        <v>761</v>
      </c>
      <c r="RNR115" s="197" t="str">
        <f>VLOOKUP(RNQ115,[13]AssetDetails_UEM!$A$3:$AH$1849,6,FALSE)</f>
        <v>Electrosurgical Units, Monopolar/Bipolar</v>
      </c>
      <c r="RNS115" s="196" t="s">
        <v>761</v>
      </c>
      <c r="RNT115" s="197" t="str">
        <f>VLOOKUP(RNS115,[13]AssetDetails_UEM!$A$3:$AH$1849,6,FALSE)</f>
        <v>Electrosurgical Units, Monopolar/Bipolar</v>
      </c>
      <c r="RNU115" s="196" t="s">
        <v>761</v>
      </c>
      <c r="RNV115" s="197" t="str">
        <f>VLOOKUP(RNU115,[13]AssetDetails_UEM!$A$3:$AH$1849,6,FALSE)</f>
        <v>Electrosurgical Units, Monopolar/Bipolar</v>
      </c>
      <c r="RNW115" s="196" t="s">
        <v>761</v>
      </c>
      <c r="RNX115" s="197" t="str">
        <f>VLOOKUP(RNW115,[13]AssetDetails_UEM!$A$3:$AH$1849,6,FALSE)</f>
        <v>Electrosurgical Units, Monopolar/Bipolar</v>
      </c>
      <c r="RNY115" s="196" t="s">
        <v>761</v>
      </c>
      <c r="RNZ115" s="197" t="str">
        <f>VLOOKUP(RNY115,[13]AssetDetails_UEM!$A$3:$AH$1849,6,FALSE)</f>
        <v>Electrosurgical Units, Monopolar/Bipolar</v>
      </c>
      <c r="ROA115" s="196" t="s">
        <v>761</v>
      </c>
      <c r="ROB115" s="197" t="str">
        <f>VLOOKUP(ROA115,[13]AssetDetails_UEM!$A$3:$AH$1849,6,FALSE)</f>
        <v>Electrosurgical Units, Monopolar/Bipolar</v>
      </c>
      <c r="ROC115" s="196" t="s">
        <v>761</v>
      </c>
      <c r="ROD115" s="197" t="str">
        <f>VLOOKUP(ROC115,[13]AssetDetails_UEM!$A$3:$AH$1849,6,FALSE)</f>
        <v>Electrosurgical Units, Monopolar/Bipolar</v>
      </c>
      <c r="ROE115" s="196" t="s">
        <v>761</v>
      </c>
      <c r="ROF115" s="197" t="str">
        <f>VLOOKUP(ROE115,[13]AssetDetails_UEM!$A$3:$AH$1849,6,FALSE)</f>
        <v>Electrosurgical Units, Monopolar/Bipolar</v>
      </c>
      <c r="ROG115" s="196" t="s">
        <v>761</v>
      </c>
      <c r="ROH115" s="197" t="str">
        <f>VLOOKUP(ROG115,[13]AssetDetails_UEM!$A$3:$AH$1849,6,FALSE)</f>
        <v>Electrosurgical Units, Monopolar/Bipolar</v>
      </c>
      <c r="ROI115" s="196" t="s">
        <v>761</v>
      </c>
      <c r="ROJ115" s="197" t="str">
        <f>VLOOKUP(ROI115,[13]AssetDetails_UEM!$A$3:$AH$1849,6,FALSE)</f>
        <v>Electrosurgical Units, Monopolar/Bipolar</v>
      </c>
      <c r="ROK115" s="196" t="s">
        <v>761</v>
      </c>
      <c r="ROL115" s="197" t="str">
        <f>VLOOKUP(ROK115,[13]AssetDetails_UEM!$A$3:$AH$1849,6,FALSE)</f>
        <v>Electrosurgical Units, Monopolar/Bipolar</v>
      </c>
      <c r="ROM115" s="196" t="s">
        <v>761</v>
      </c>
      <c r="RON115" s="197" t="str">
        <f>VLOOKUP(ROM115,[13]AssetDetails_UEM!$A$3:$AH$1849,6,FALSE)</f>
        <v>Electrosurgical Units, Monopolar/Bipolar</v>
      </c>
      <c r="ROO115" s="196" t="s">
        <v>761</v>
      </c>
      <c r="ROP115" s="197" t="str">
        <f>VLOOKUP(ROO115,[13]AssetDetails_UEM!$A$3:$AH$1849,6,FALSE)</f>
        <v>Electrosurgical Units, Monopolar/Bipolar</v>
      </c>
      <c r="ROQ115" s="196" t="s">
        <v>761</v>
      </c>
      <c r="ROR115" s="197" t="str">
        <f>VLOOKUP(ROQ115,[13]AssetDetails_UEM!$A$3:$AH$1849,6,FALSE)</f>
        <v>Electrosurgical Units, Monopolar/Bipolar</v>
      </c>
      <c r="ROS115" s="196" t="s">
        <v>761</v>
      </c>
      <c r="ROT115" s="197" t="str">
        <f>VLOOKUP(ROS115,[13]AssetDetails_UEM!$A$3:$AH$1849,6,FALSE)</f>
        <v>Electrosurgical Units, Monopolar/Bipolar</v>
      </c>
      <c r="ROU115" s="196" t="s">
        <v>761</v>
      </c>
      <c r="ROV115" s="197" t="str">
        <f>VLOOKUP(ROU115,[13]AssetDetails_UEM!$A$3:$AH$1849,6,FALSE)</f>
        <v>Electrosurgical Units, Monopolar/Bipolar</v>
      </c>
      <c r="ROW115" s="196" t="s">
        <v>761</v>
      </c>
      <c r="ROX115" s="197" t="str">
        <f>VLOOKUP(ROW115,[13]AssetDetails_UEM!$A$3:$AH$1849,6,FALSE)</f>
        <v>Electrosurgical Units, Monopolar/Bipolar</v>
      </c>
      <c r="ROY115" s="196" t="s">
        <v>761</v>
      </c>
      <c r="ROZ115" s="197" t="str">
        <f>VLOOKUP(ROY115,[13]AssetDetails_UEM!$A$3:$AH$1849,6,FALSE)</f>
        <v>Electrosurgical Units, Monopolar/Bipolar</v>
      </c>
      <c r="RPA115" s="196" t="s">
        <v>761</v>
      </c>
      <c r="RPB115" s="197" t="str">
        <f>VLOOKUP(RPA115,[13]AssetDetails_UEM!$A$3:$AH$1849,6,FALSE)</f>
        <v>Electrosurgical Units, Monopolar/Bipolar</v>
      </c>
      <c r="RPC115" s="196" t="s">
        <v>761</v>
      </c>
      <c r="RPD115" s="197" t="str">
        <f>VLOOKUP(RPC115,[13]AssetDetails_UEM!$A$3:$AH$1849,6,FALSE)</f>
        <v>Electrosurgical Units, Monopolar/Bipolar</v>
      </c>
      <c r="RPE115" s="196" t="s">
        <v>761</v>
      </c>
      <c r="RPF115" s="197" t="str">
        <f>VLOOKUP(RPE115,[13]AssetDetails_UEM!$A$3:$AH$1849,6,FALSE)</f>
        <v>Electrosurgical Units, Monopolar/Bipolar</v>
      </c>
      <c r="RPG115" s="196" t="s">
        <v>761</v>
      </c>
      <c r="RPH115" s="197" t="str">
        <f>VLOOKUP(RPG115,[13]AssetDetails_UEM!$A$3:$AH$1849,6,FALSE)</f>
        <v>Electrosurgical Units, Monopolar/Bipolar</v>
      </c>
      <c r="RPI115" s="196" t="s">
        <v>761</v>
      </c>
      <c r="RPJ115" s="197" t="str">
        <f>VLOOKUP(RPI115,[13]AssetDetails_UEM!$A$3:$AH$1849,6,FALSE)</f>
        <v>Electrosurgical Units, Monopolar/Bipolar</v>
      </c>
      <c r="RPK115" s="196" t="s">
        <v>761</v>
      </c>
      <c r="RPL115" s="197" t="str">
        <f>VLOOKUP(RPK115,[13]AssetDetails_UEM!$A$3:$AH$1849,6,FALSE)</f>
        <v>Electrosurgical Units, Monopolar/Bipolar</v>
      </c>
      <c r="RPM115" s="196" t="s">
        <v>761</v>
      </c>
      <c r="RPN115" s="197" t="str">
        <f>VLOOKUP(RPM115,[13]AssetDetails_UEM!$A$3:$AH$1849,6,FALSE)</f>
        <v>Electrosurgical Units, Monopolar/Bipolar</v>
      </c>
      <c r="RPO115" s="196" t="s">
        <v>761</v>
      </c>
      <c r="RPP115" s="197" t="str">
        <f>VLOOKUP(RPO115,[13]AssetDetails_UEM!$A$3:$AH$1849,6,FALSE)</f>
        <v>Electrosurgical Units, Monopolar/Bipolar</v>
      </c>
      <c r="RPQ115" s="196" t="s">
        <v>761</v>
      </c>
      <c r="RPR115" s="197" t="str">
        <f>VLOOKUP(RPQ115,[13]AssetDetails_UEM!$A$3:$AH$1849,6,FALSE)</f>
        <v>Electrosurgical Units, Monopolar/Bipolar</v>
      </c>
      <c r="RPS115" s="196" t="s">
        <v>761</v>
      </c>
      <c r="RPT115" s="197" t="str">
        <f>VLOOKUP(RPS115,[13]AssetDetails_UEM!$A$3:$AH$1849,6,FALSE)</f>
        <v>Electrosurgical Units, Monopolar/Bipolar</v>
      </c>
      <c r="RPU115" s="196" t="s">
        <v>761</v>
      </c>
      <c r="RPV115" s="197" t="str">
        <f>VLOOKUP(RPU115,[13]AssetDetails_UEM!$A$3:$AH$1849,6,FALSE)</f>
        <v>Electrosurgical Units, Monopolar/Bipolar</v>
      </c>
      <c r="RPW115" s="196" t="s">
        <v>761</v>
      </c>
      <c r="RPX115" s="197" t="str">
        <f>VLOOKUP(RPW115,[13]AssetDetails_UEM!$A$3:$AH$1849,6,FALSE)</f>
        <v>Electrosurgical Units, Monopolar/Bipolar</v>
      </c>
      <c r="RPY115" s="196" t="s">
        <v>761</v>
      </c>
      <c r="RPZ115" s="197" t="str">
        <f>VLOOKUP(RPY115,[13]AssetDetails_UEM!$A$3:$AH$1849,6,FALSE)</f>
        <v>Electrosurgical Units, Monopolar/Bipolar</v>
      </c>
      <c r="RQA115" s="196" t="s">
        <v>761</v>
      </c>
      <c r="RQB115" s="197" t="str">
        <f>VLOOKUP(RQA115,[13]AssetDetails_UEM!$A$3:$AH$1849,6,FALSE)</f>
        <v>Electrosurgical Units, Monopolar/Bipolar</v>
      </c>
      <c r="RQC115" s="196" t="s">
        <v>761</v>
      </c>
      <c r="RQD115" s="197" t="str">
        <f>VLOOKUP(RQC115,[13]AssetDetails_UEM!$A$3:$AH$1849,6,FALSE)</f>
        <v>Electrosurgical Units, Monopolar/Bipolar</v>
      </c>
      <c r="RQE115" s="196" t="s">
        <v>761</v>
      </c>
      <c r="RQF115" s="197" t="str">
        <f>VLOOKUP(RQE115,[13]AssetDetails_UEM!$A$3:$AH$1849,6,FALSE)</f>
        <v>Electrosurgical Units, Monopolar/Bipolar</v>
      </c>
      <c r="RQG115" s="196" t="s">
        <v>761</v>
      </c>
      <c r="RQH115" s="197" t="str">
        <f>VLOOKUP(RQG115,[13]AssetDetails_UEM!$A$3:$AH$1849,6,FALSE)</f>
        <v>Electrosurgical Units, Monopolar/Bipolar</v>
      </c>
      <c r="RQI115" s="196" t="s">
        <v>761</v>
      </c>
      <c r="RQJ115" s="197" t="str">
        <f>VLOOKUP(RQI115,[13]AssetDetails_UEM!$A$3:$AH$1849,6,FALSE)</f>
        <v>Electrosurgical Units, Monopolar/Bipolar</v>
      </c>
      <c r="RQK115" s="196" t="s">
        <v>761</v>
      </c>
      <c r="RQL115" s="197" t="str">
        <f>VLOOKUP(RQK115,[13]AssetDetails_UEM!$A$3:$AH$1849,6,FALSE)</f>
        <v>Electrosurgical Units, Monopolar/Bipolar</v>
      </c>
      <c r="RQM115" s="196" t="s">
        <v>761</v>
      </c>
      <c r="RQN115" s="197" t="str">
        <f>VLOOKUP(RQM115,[13]AssetDetails_UEM!$A$3:$AH$1849,6,FALSE)</f>
        <v>Electrosurgical Units, Monopolar/Bipolar</v>
      </c>
      <c r="RQO115" s="196" t="s">
        <v>761</v>
      </c>
      <c r="RQP115" s="197" t="str">
        <f>VLOOKUP(RQO115,[13]AssetDetails_UEM!$A$3:$AH$1849,6,FALSE)</f>
        <v>Electrosurgical Units, Monopolar/Bipolar</v>
      </c>
      <c r="RQQ115" s="196" t="s">
        <v>761</v>
      </c>
      <c r="RQR115" s="197" t="str">
        <f>VLOOKUP(RQQ115,[13]AssetDetails_UEM!$A$3:$AH$1849,6,FALSE)</f>
        <v>Electrosurgical Units, Monopolar/Bipolar</v>
      </c>
      <c r="RQS115" s="196" t="s">
        <v>761</v>
      </c>
      <c r="RQT115" s="197" t="str">
        <f>VLOOKUP(RQS115,[13]AssetDetails_UEM!$A$3:$AH$1849,6,FALSE)</f>
        <v>Electrosurgical Units, Monopolar/Bipolar</v>
      </c>
      <c r="RQU115" s="196" t="s">
        <v>761</v>
      </c>
      <c r="RQV115" s="197" t="str">
        <f>VLOOKUP(RQU115,[13]AssetDetails_UEM!$A$3:$AH$1849,6,FALSE)</f>
        <v>Electrosurgical Units, Monopolar/Bipolar</v>
      </c>
      <c r="RQW115" s="196" t="s">
        <v>761</v>
      </c>
      <c r="RQX115" s="197" t="str">
        <f>VLOOKUP(RQW115,[13]AssetDetails_UEM!$A$3:$AH$1849,6,FALSE)</f>
        <v>Electrosurgical Units, Monopolar/Bipolar</v>
      </c>
      <c r="RQY115" s="196" t="s">
        <v>761</v>
      </c>
      <c r="RQZ115" s="197" t="str">
        <f>VLOOKUP(RQY115,[13]AssetDetails_UEM!$A$3:$AH$1849,6,FALSE)</f>
        <v>Electrosurgical Units, Monopolar/Bipolar</v>
      </c>
      <c r="RRA115" s="196" t="s">
        <v>761</v>
      </c>
      <c r="RRB115" s="197" t="str">
        <f>VLOOKUP(RRA115,[13]AssetDetails_UEM!$A$3:$AH$1849,6,FALSE)</f>
        <v>Electrosurgical Units, Monopolar/Bipolar</v>
      </c>
      <c r="RRC115" s="196" t="s">
        <v>761</v>
      </c>
      <c r="RRD115" s="197" t="str">
        <f>VLOOKUP(RRC115,[13]AssetDetails_UEM!$A$3:$AH$1849,6,FALSE)</f>
        <v>Electrosurgical Units, Monopolar/Bipolar</v>
      </c>
      <c r="RRE115" s="196" t="s">
        <v>761</v>
      </c>
      <c r="RRF115" s="197" t="str">
        <f>VLOOKUP(RRE115,[13]AssetDetails_UEM!$A$3:$AH$1849,6,FALSE)</f>
        <v>Electrosurgical Units, Monopolar/Bipolar</v>
      </c>
      <c r="RRG115" s="196" t="s">
        <v>761</v>
      </c>
      <c r="RRH115" s="197" t="str">
        <f>VLOOKUP(RRG115,[13]AssetDetails_UEM!$A$3:$AH$1849,6,FALSE)</f>
        <v>Electrosurgical Units, Monopolar/Bipolar</v>
      </c>
      <c r="RRI115" s="196" t="s">
        <v>761</v>
      </c>
      <c r="RRJ115" s="197" t="str">
        <f>VLOOKUP(RRI115,[13]AssetDetails_UEM!$A$3:$AH$1849,6,FALSE)</f>
        <v>Electrosurgical Units, Monopolar/Bipolar</v>
      </c>
      <c r="RRK115" s="196" t="s">
        <v>761</v>
      </c>
      <c r="RRL115" s="197" t="str">
        <f>VLOOKUP(RRK115,[13]AssetDetails_UEM!$A$3:$AH$1849,6,FALSE)</f>
        <v>Electrosurgical Units, Monopolar/Bipolar</v>
      </c>
      <c r="RRM115" s="196" t="s">
        <v>761</v>
      </c>
      <c r="RRN115" s="197" t="str">
        <f>VLOOKUP(RRM115,[13]AssetDetails_UEM!$A$3:$AH$1849,6,FALSE)</f>
        <v>Electrosurgical Units, Monopolar/Bipolar</v>
      </c>
      <c r="RRO115" s="196" t="s">
        <v>761</v>
      </c>
      <c r="RRP115" s="197" t="str">
        <f>VLOOKUP(RRO115,[13]AssetDetails_UEM!$A$3:$AH$1849,6,FALSE)</f>
        <v>Electrosurgical Units, Monopolar/Bipolar</v>
      </c>
      <c r="RRQ115" s="196" t="s">
        <v>761</v>
      </c>
      <c r="RRR115" s="197" t="str">
        <f>VLOOKUP(RRQ115,[13]AssetDetails_UEM!$A$3:$AH$1849,6,FALSE)</f>
        <v>Electrosurgical Units, Monopolar/Bipolar</v>
      </c>
      <c r="RRS115" s="196" t="s">
        <v>761</v>
      </c>
      <c r="RRT115" s="197" t="str">
        <f>VLOOKUP(RRS115,[13]AssetDetails_UEM!$A$3:$AH$1849,6,FALSE)</f>
        <v>Electrosurgical Units, Monopolar/Bipolar</v>
      </c>
      <c r="RRU115" s="196" t="s">
        <v>761</v>
      </c>
      <c r="RRV115" s="197" t="str">
        <f>VLOOKUP(RRU115,[13]AssetDetails_UEM!$A$3:$AH$1849,6,FALSE)</f>
        <v>Electrosurgical Units, Monopolar/Bipolar</v>
      </c>
      <c r="RRW115" s="196" t="s">
        <v>761</v>
      </c>
      <c r="RRX115" s="197" t="str">
        <f>VLOOKUP(RRW115,[13]AssetDetails_UEM!$A$3:$AH$1849,6,FALSE)</f>
        <v>Electrosurgical Units, Monopolar/Bipolar</v>
      </c>
      <c r="RRY115" s="196" t="s">
        <v>761</v>
      </c>
      <c r="RRZ115" s="197" t="str">
        <f>VLOOKUP(RRY115,[13]AssetDetails_UEM!$A$3:$AH$1849,6,FALSE)</f>
        <v>Electrosurgical Units, Monopolar/Bipolar</v>
      </c>
      <c r="RSA115" s="196" t="s">
        <v>761</v>
      </c>
      <c r="RSB115" s="197" t="str">
        <f>VLOOKUP(RSA115,[13]AssetDetails_UEM!$A$3:$AH$1849,6,FALSE)</f>
        <v>Electrosurgical Units, Monopolar/Bipolar</v>
      </c>
      <c r="RSC115" s="196" t="s">
        <v>761</v>
      </c>
      <c r="RSD115" s="197" t="str">
        <f>VLOOKUP(RSC115,[13]AssetDetails_UEM!$A$3:$AH$1849,6,FALSE)</f>
        <v>Electrosurgical Units, Monopolar/Bipolar</v>
      </c>
      <c r="RSE115" s="196" t="s">
        <v>761</v>
      </c>
      <c r="RSF115" s="197" t="str">
        <f>VLOOKUP(RSE115,[13]AssetDetails_UEM!$A$3:$AH$1849,6,FALSE)</f>
        <v>Electrosurgical Units, Monopolar/Bipolar</v>
      </c>
      <c r="RSG115" s="196" t="s">
        <v>761</v>
      </c>
      <c r="RSH115" s="197" t="str">
        <f>VLOOKUP(RSG115,[13]AssetDetails_UEM!$A$3:$AH$1849,6,FALSE)</f>
        <v>Electrosurgical Units, Monopolar/Bipolar</v>
      </c>
      <c r="RSI115" s="196" t="s">
        <v>761</v>
      </c>
      <c r="RSJ115" s="197" t="str">
        <f>VLOOKUP(RSI115,[13]AssetDetails_UEM!$A$3:$AH$1849,6,FALSE)</f>
        <v>Electrosurgical Units, Monopolar/Bipolar</v>
      </c>
      <c r="RSK115" s="196" t="s">
        <v>761</v>
      </c>
      <c r="RSL115" s="197" t="str">
        <f>VLOOKUP(RSK115,[13]AssetDetails_UEM!$A$3:$AH$1849,6,FALSE)</f>
        <v>Electrosurgical Units, Monopolar/Bipolar</v>
      </c>
      <c r="RSM115" s="196" t="s">
        <v>761</v>
      </c>
      <c r="RSN115" s="197" t="str">
        <f>VLOOKUP(RSM115,[13]AssetDetails_UEM!$A$3:$AH$1849,6,FALSE)</f>
        <v>Electrosurgical Units, Monopolar/Bipolar</v>
      </c>
      <c r="RSO115" s="196" t="s">
        <v>761</v>
      </c>
      <c r="RSP115" s="197" t="str">
        <f>VLOOKUP(RSO115,[13]AssetDetails_UEM!$A$3:$AH$1849,6,FALSE)</f>
        <v>Electrosurgical Units, Monopolar/Bipolar</v>
      </c>
      <c r="RSQ115" s="196" t="s">
        <v>761</v>
      </c>
      <c r="RSR115" s="197" t="str">
        <f>VLOOKUP(RSQ115,[13]AssetDetails_UEM!$A$3:$AH$1849,6,FALSE)</f>
        <v>Electrosurgical Units, Monopolar/Bipolar</v>
      </c>
      <c r="RSS115" s="196" t="s">
        <v>761</v>
      </c>
      <c r="RST115" s="197" t="str">
        <f>VLOOKUP(RSS115,[13]AssetDetails_UEM!$A$3:$AH$1849,6,FALSE)</f>
        <v>Electrosurgical Units, Monopolar/Bipolar</v>
      </c>
      <c r="RSU115" s="196" t="s">
        <v>761</v>
      </c>
      <c r="RSV115" s="197" t="str">
        <f>VLOOKUP(RSU115,[13]AssetDetails_UEM!$A$3:$AH$1849,6,FALSE)</f>
        <v>Electrosurgical Units, Monopolar/Bipolar</v>
      </c>
      <c r="RSW115" s="196" t="s">
        <v>761</v>
      </c>
      <c r="RSX115" s="197" t="str">
        <f>VLOOKUP(RSW115,[13]AssetDetails_UEM!$A$3:$AH$1849,6,FALSE)</f>
        <v>Electrosurgical Units, Monopolar/Bipolar</v>
      </c>
      <c r="RSY115" s="196" t="s">
        <v>761</v>
      </c>
      <c r="RSZ115" s="197" t="str">
        <f>VLOOKUP(RSY115,[13]AssetDetails_UEM!$A$3:$AH$1849,6,FALSE)</f>
        <v>Electrosurgical Units, Monopolar/Bipolar</v>
      </c>
      <c r="RTA115" s="196" t="s">
        <v>761</v>
      </c>
      <c r="RTB115" s="197" t="str">
        <f>VLOOKUP(RTA115,[13]AssetDetails_UEM!$A$3:$AH$1849,6,FALSE)</f>
        <v>Electrosurgical Units, Monopolar/Bipolar</v>
      </c>
      <c r="RTC115" s="196" t="s">
        <v>761</v>
      </c>
      <c r="RTD115" s="197" t="str">
        <f>VLOOKUP(RTC115,[13]AssetDetails_UEM!$A$3:$AH$1849,6,FALSE)</f>
        <v>Electrosurgical Units, Monopolar/Bipolar</v>
      </c>
      <c r="RTE115" s="196" t="s">
        <v>761</v>
      </c>
      <c r="RTF115" s="197" t="str">
        <f>VLOOKUP(RTE115,[13]AssetDetails_UEM!$A$3:$AH$1849,6,FALSE)</f>
        <v>Electrosurgical Units, Monopolar/Bipolar</v>
      </c>
      <c r="RTG115" s="196" t="s">
        <v>761</v>
      </c>
      <c r="RTH115" s="197" t="str">
        <f>VLOOKUP(RTG115,[13]AssetDetails_UEM!$A$3:$AH$1849,6,FALSE)</f>
        <v>Electrosurgical Units, Monopolar/Bipolar</v>
      </c>
      <c r="RTI115" s="196" t="s">
        <v>761</v>
      </c>
      <c r="RTJ115" s="197" t="str">
        <f>VLOOKUP(RTI115,[13]AssetDetails_UEM!$A$3:$AH$1849,6,FALSE)</f>
        <v>Electrosurgical Units, Monopolar/Bipolar</v>
      </c>
      <c r="RTK115" s="196" t="s">
        <v>761</v>
      </c>
      <c r="RTL115" s="197" t="str">
        <f>VLOOKUP(RTK115,[13]AssetDetails_UEM!$A$3:$AH$1849,6,FALSE)</f>
        <v>Electrosurgical Units, Monopolar/Bipolar</v>
      </c>
      <c r="RTM115" s="196" t="s">
        <v>761</v>
      </c>
      <c r="RTN115" s="197" t="str">
        <f>VLOOKUP(RTM115,[13]AssetDetails_UEM!$A$3:$AH$1849,6,FALSE)</f>
        <v>Electrosurgical Units, Monopolar/Bipolar</v>
      </c>
      <c r="RTO115" s="196" t="s">
        <v>761</v>
      </c>
      <c r="RTP115" s="197" t="str">
        <f>VLOOKUP(RTO115,[13]AssetDetails_UEM!$A$3:$AH$1849,6,FALSE)</f>
        <v>Electrosurgical Units, Monopolar/Bipolar</v>
      </c>
      <c r="RTQ115" s="196" t="s">
        <v>761</v>
      </c>
      <c r="RTR115" s="197" t="str">
        <f>VLOOKUP(RTQ115,[13]AssetDetails_UEM!$A$3:$AH$1849,6,FALSE)</f>
        <v>Electrosurgical Units, Monopolar/Bipolar</v>
      </c>
      <c r="RTS115" s="196" t="s">
        <v>761</v>
      </c>
      <c r="RTT115" s="197" t="str">
        <f>VLOOKUP(RTS115,[13]AssetDetails_UEM!$A$3:$AH$1849,6,FALSE)</f>
        <v>Electrosurgical Units, Monopolar/Bipolar</v>
      </c>
      <c r="RTU115" s="196" t="s">
        <v>761</v>
      </c>
      <c r="RTV115" s="197" t="str">
        <f>VLOOKUP(RTU115,[13]AssetDetails_UEM!$A$3:$AH$1849,6,FALSE)</f>
        <v>Electrosurgical Units, Monopolar/Bipolar</v>
      </c>
      <c r="RTW115" s="196" t="s">
        <v>761</v>
      </c>
      <c r="RTX115" s="197" t="str">
        <f>VLOOKUP(RTW115,[13]AssetDetails_UEM!$A$3:$AH$1849,6,FALSE)</f>
        <v>Electrosurgical Units, Monopolar/Bipolar</v>
      </c>
      <c r="RTY115" s="196" t="s">
        <v>761</v>
      </c>
      <c r="RTZ115" s="197" t="str">
        <f>VLOOKUP(RTY115,[13]AssetDetails_UEM!$A$3:$AH$1849,6,FALSE)</f>
        <v>Electrosurgical Units, Monopolar/Bipolar</v>
      </c>
      <c r="RUA115" s="196" t="s">
        <v>761</v>
      </c>
      <c r="RUB115" s="197" t="str">
        <f>VLOOKUP(RUA115,[13]AssetDetails_UEM!$A$3:$AH$1849,6,FALSE)</f>
        <v>Electrosurgical Units, Monopolar/Bipolar</v>
      </c>
      <c r="RUC115" s="196" t="s">
        <v>761</v>
      </c>
      <c r="RUD115" s="197" t="str">
        <f>VLOOKUP(RUC115,[13]AssetDetails_UEM!$A$3:$AH$1849,6,FALSE)</f>
        <v>Electrosurgical Units, Monopolar/Bipolar</v>
      </c>
      <c r="RUE115" s="196" t="s">
        <v>761</v>
      </c>
      <c r="RUF115" s="197" t="str">
        <f>VLOOKUP(RUE115,[13]AssetDetails_UEM!$A$3:$AH$1849,6,FALSE)</f>
        <v>Electrosurgical Units, Monopolar/Bipolar</v>
      </c>
      <c r="RUG115" s="196" t="s">
        <v>761</v>
      </c>
      <c r="RUH115" s="197" t="str">
        <f>VLOOKUP(RUG115,[13]AssetDetails_UEM!$A$3:$AH$1849,6,FALSE)</f>
        <v>Electrosurgical Units, Monopolar/Bipolar</v>
      </c>
      <c r="RUI115" s="196" t="s">
        <v>761</v>
      </c>
      <c r="RUJ115" s="197" t="str">
        <f>VLOOKUP(RUI115,[13]AssetDetails_UEM!$A$3:$AH$1849,6,FALSE)</f>
        <v>Electrosurgical Units, Monopolar/Bipolar</v>
      </c>
      <c r="RUK115" s="196" t="s">
        <v>761</v>
      </c>
      <c r="RUL115" s="197" t="str">
        <f>VLOOKUP(RUK115,[13]AssetDetails_UEM!$A$3:$AH$1849,6,FALSE)</f>
        <v>Electrosurgical Units, Monopolar/Bipolar</v>
      </c>
      <c r="RUM115" s="196" t="s">
        <v>761</v>
      </c>
      <c r="RUN115" s="197" t="str">
        <f>VLOOKUP(RUM115,[13]AssetDetails_UEM!$A$3:$AH$1849,6,FALSE)</f>
        <v>Electrosurgical Units, Monopolar/Bipolar</v>
      </c>
      <c r="RUO115" s="196" t="s">
        <v>761</v>
      </c>
      <c r="RUP115" s="197" t="str">
        <f>VLOOKUP(RUO115,[13]AssetDetails_UEM!$A$3:$AH$1849,6,FALSE)</f>
        <v>Electrosurgical Units, Monopolar/Bipolar</v>
      </c>
      <c r="RUQ115" s="196" t="s">
        <v>761</v>
      </c>
      <c r="RUR115" s="197" t="str">
        <f>VLOOKUP(RUQ115,[13]AssetDetails_UEM!$A$3:$AH$1849,6,FALSE)</f>
        <v>Electrosurgical Units, Monopolar/Bipolar</v>
      </c>
      <c r="RUS115" s="196" t="s">
        <v>761</v>
      </c>
      <c r="RUT115" s="197" t="str">
        <f>VLOOKUP(RUS115,[13]AssetDetails_UEM!$A$3:$AH$1849,6,FALSE)</f>
        <v>Electrosurgical Units, Monopolar/Bipolar</v>
      </c>
      <c r="RUU115" s="196" t="s">
        <v>761</v>
      </c>
      <c r="RUV115" s="197" t="str">
        <f>VLOOKUP(RUU115,[13]AssetDetails_UEM!$A$3:$AH$1849,6,FALSE)</f>
        <v>Electrosurgical Units, Monopolar/Bipolar</v>
      </c>
      <c r="RUW115" s="196" t="s">
        <v>761</v>
      </c>
      <c r="RUX115" s="197" t="str">
        <f>VLOOKUP(RUW115,[13]AssetDetails_UEM!$A$3:$AH$1849,6,FALSE)</f>
        <v>Electrosurgical Units, Monopolar/Bipolar</v>
      </c>
      <c r="RUY115" s="196" t="s">
        <v>761</v>
      </c>
      <c r="RUZ115" s="197" t="str">
        <f>VLOOKUP(RUY115,[13]AssetDetails_UEM!$A$3:$AH$1849,6,FALSE)</f>
        <v>Electrosurgical Units, Monopolar/Bipolar</v>
      </c>
      <c r="RVA115" s="196" t="s">
        <v>761</v>
      </c>
      <c r="RVB115" s="197" t="str">
        <f>VLOOKUP(RVA115,[13]AssetDetails_UEM!$A$3:$AH$1849,6,FALSE)</f>
        <v>Electrosurgical Units, Monopolar/Bipolar</v>
      </c>
      <c r="RVC115" s="196" t="s">
        <v>761</v>
      </c>
      <c r="RVD115" s="197" t="str">
        <f>VLOOKUP(RVC115,[13]AssetDetails_UEM!$A$3:$AH$1849,6,FALSE)</f>
        <v>Electrosurgical Units, Monopolar/Bipolar</v>
      </c>
      <c r="RVE115" s="196" t="s">
        <v>761</v>
      </c>
      <c r="RVF115" s="197" t="str">
        <f>VLOOKUP(RVE115,[13]AssetDetails_UEM!$A$3:$AH$1849,6,FALSE)</f>
        <v>Electrosurgical Units, Monopolar/Bipolar</v>
      </c>
      <c r="RVG115" s="196" t="s">
        <v>761</v>
      </c>
      <c r="RVH115" s="197" t="str">
        <f>VLOOKUP(RVG115,[13]AssetDetails_UEM!$A$3:$AH$1849,6,FALSE)</f>
        <v>Electrosurgical Units, Monopolar/Bipolar</v>
      </c>
      <c r="RVI115" s="196" t="s">
        <v>761</v>
      </c>
      <c r="RVJ115" s="197" t="str">
        <f>VLOOKUP(RVI115,[13]AssetDetails_UEM!$A$3:$AH$1849,6,FALSE)</f>
        <v>Electrosurgical Units, Monopolar/Bipolar</v>
      </c>
      <c r="RVK115" s="196" t="s">
        <v>761</v>
      </c>
      <c r="RVL115" s="197" t="str">
        <f>VLOOKUP(RVK115,[13]AssetDetails_UEM!$A$3:$AH$1849,6,FALSE)</f>
        <v>Electrosurgical Units, Monopolar/Bipolar</v>
      </c>
      <c r="RVM115" s="196" t="s">
        <v>761</v>
      </c>
      <c r="RVN115" s="197" t="str">
        <f>VLOOKUP(RVM115,[13]AssetDetails_UEM!$A$3:$AH$1849,6,FALSE)</f>
        <v>Electrosurgical Units, Monopolar/Bipolar</v>
      </c>
      <c r="RVO115" s="196" t="s">
        <v>761</v>
      </c>
      <c r="RVP115" s="197" t="str">
        <f>VLOOKUP(RVO115,[13]AssetDetails_UEM!$A$3:$AH$1849,6,FALSE)</f>
        <v>Electrosurgical Units, Monopolar/Bipolar</v>
      </c>
      <c r="RVQ115" s="196" t="s">
        <v>761</v>
      </c>
      <c r="RVR115" s="197" t="str">
        <f>VLOOKUP(RVQ115,[13]AssetDetails_UEM!$A$3:$AH$1849,6,FALSE)</f>
        <v>Electrosurgical Units, Monopolar/Bipolar</v>
      </c>
      <c r="RVS115" s="196" t="s">
        <v>761</v>
      </c>
      <c r="RVT115" s="197" t="str">
        <f>VLOOKUP(RVS115,[13]AssetDetails_UEM!$A$3:$AH$1849,6,FALSE)</f>
        <v>Electrosurgical Units, Monopolar/Bipolar</v>
      </c>
      <c r="RVU115" s="196" t="s">
        <v>761</v>
      </c>
      <c r="RVV115" s="197" t="str">
        <f>VLOOKUP(RVU115,[13]AssetDetails_UEM!$A$3:$AH$1849,6,FALSE)</f>
        <v>Electrosurgical Units, Monopolar/Bipolar</v>
      </c>
      <c r="RVW115" s="196" t="s">
        <v>761</v>
      </c>
      <c r="RVX115" s="197" t="str">
        <f>VLOOKUP(RVW115,[13]AssetDetails_UEM!$A$3:$AH$1849,6,FALSE)</f>
        <v>Electrosurgical Units, Monopolar/Bipolar</v>
      </c>
      <c r="RVY115" s="196" t="s">
        <v>761</v>
      </c>
      <c r="RVZ115" s="197" t="str">
        <f>VLOOKUP(RVY115,[13]AssetDetails_UEM!$A$3:$AH$1849,6,FALSE)</f>
        <v>Electrosurgical Units, Monopolar/Bipolar</v>
      </c>
      <c r="RWA115" s="196" t="s">
        <v>761</v>
      </c>
      <c r="RWB115" s="197" t="str">
        <f>VLOOKUP(RWA115,[13]AssetDetails_UEM!$A$3:$AH$1849,6,FALSE)</f>
        <v>Electrosurgical Units, Monopolar/Bipolar</v>
      </c>
      <c r="RWC115" s="196" t="s">
        <v>761</v>
      </c>
      <c r="RWD115" s="197" t="str">
        <f>VLOOKUP(RWC115,[13]AssetDetails_UEM!$A$3:$AH$1849,6,FALSE)</f>
        <v>Electrosurgical Units, Monopolar/Bipolar</v>
      </c>
      <c r="RWE115" s="196" t="s">
        <v>761</v>
      </c>
      <c r="RWF115" s="197" t="str">
        <f>VLOOKUP(RWE115,[13]AssetDetails_UEM!$A$3:$AH$1849,6,FALSE)</f>
        <v>Electrosurgical Units, Monopolar/Bipolar</v>
      </c>
      <c r="RWG115" s="196" t="s">
        <v>761</v>
      </c>
      <c r="RWH115" s="197" t="str">
        <f>VLOOKUP(RWG115,[13]AssetDetails_UEM!$A$3:$AH$1849,6,FALSE)</f>
        <v>Electrosurgical Units, Monopolar/Bipolar</v>
      </c>
      <c r="RWI115" s="196" t="s">
        <v>761</v>
      </c>
      <c r="RWJ115" s="197" t="str">
        <f>VLOOKUP(RWI115,[13]AssetDetails_UEM!$A$3:$AH$1849,6,FALSE)</f>
        <v>Electrosurgical Units, Monopolar/Bipolar</v>
      </c>
      <c r="RWK115" s="196" t="s">
        <v>761</v>
      </c>
      <c r="RWL115" s="197" t="str">
        <f>VLOOKUP(RWK115,[13]AssetDetails_UEM!$A$3:$AH$1849,6,FALSE)</f>
        <v>Electrosurgical Units, Monopolar/Bipolar</v>
      </c>
      <c r="RWM115" s="196" t="s">
        <v>761</v>
      </c>
      <c r="RWN115" s="197" t="str">
        <f>VLOOKUP(RWM115,[13]AssetDetails_UEM!$A$3:$AH$1849,6,FALSE)</f>
        <v>Electrosurgical Units, Monopolar/Bipolar</v>
      </c>
      <c r="RWO115" s="196" t="s">
        <v>761</v>
      </c>
      <c r="RWP115" s="197" t="str">
        <f>VLOOKUP(RWO115,[13]AssetDetails_UEM!$A$3:$AH$1849,6,FALSE)</f>
        <v>Electrosurgical Units, Monopolar/Bipolar</v>
      </c>
      <c r="RWQ115" s="196" t="s">
        <v>761</v>
      </c>
      <c r="RWR115" s="197" t="str">
        <f>VLOOKUP(RWQ115,[13]AssetDetails_UEM!$A$3:$AH$1849,6,FALSE)</f>
        <v>Electrosurgical Units, Monopolar/Bipolar</v>
      </c>
      <c r="RWS115" s="196" t="s">
        <v>761</v>
      </c>
      <c r="RWT115" s="197" t="str">
        <f>VLOOKUP(RWS115,[13]AssetDetails_UEM!$A$3:$AH$1849,6,FALSE)</f>
        <v>Electrosurgical Units, Monopolar/Bipolar</v>
      </c>
      <c r="RWU115" s="196" t="s">
        <v>761</v>
      </c>
      <c r="RWV115" s="197" t="str">
        <f>VLOOKUP(RWU115,[13]AssetDetails_UEM!$A$3:$AH$1849,6,FALSE)</f>
        <v>Electrosurgical Units, Monopolar/Bipolar</v>
      </c>
      <c r="RWW115" s="196" t="s">
        <v>761</v>
      </c>
      <c r="RWX115" s="197" t="str">
        <f>VLOOKUP(RWW115,[13]AssetDetails_UEM!$A$3:$AH$1849,6,FALSE)</f>
        <v>Electrosurgical Units, Monopolar/Bipolar</v>
      </c>
      <c r="RWY115" s="196" t="s">
        <v>761</v>
      </c>
      <c r="RWZ115" s="197" t="str">
        <f>VLOOKUP(RWY115,[13]AssetDetails_UEM!$A$3:$AH$1849,6,FALSE)</f>
        <v>Electrosurgical Units, Monopolar/Bipolar</v>
      </c>
      <c r="RXA115" s="196" t="s">
        <v>761</v>
      </c>
      <c r="RXB115" s="197" t="str">
        <f>VLOOKUP(RXA115,[13]AssetDetails_UEM!$A$3:$AH$1849,6,FALSE)</f>
        <v>Electrosurgical Units, Monopolar/Bipolar</v>
      </c>
      <c r="RXC115" s="196" t="s">
        <v>761</v>
      </c>
      <c r="RXD115" s="197" t="str">
        <f>VLOOKUP(RXC115,[13]AssetDetails_UEM!$A$3:$AH$1849,6,FALSE)</f>
        <v>Electrosurgical Units, Monopolar/Bipolar</v>
      </c>
      <c r="RXE115" s="196" t="s">
        <v>761</v>
      </c>
      <c r="RXF115" s="197" t="str">
        <f>VLOOKUP(RXE115,[13]AssetDetails_UEM!$A$3:$AH$1849,6,FALSE)</f>
        <v>Electrosurgical Units, Monopolar/Bipolar</v>
      </c>
      <c r="RXG115" s="196" t="s">
        <v>761</v>
      </c>
      <c r="RXH115" s="197" t="str">
        <f>VLOOKUP(RXG115,[13]AssetDetails_UEM!$A$3:$AH$1849,6,FALSE)</f>
        <v>Electrosurgical Units, Monopolar/Bipolar</v>
      </c>
      <c r="RXI115" s="196" t="s">
        <v>761</v>
      </c>
      <c r="RXJ115" s="197" t="str">
        <f>VLOOKUP(RXI115,[13]AssetDetails_UEM!$A$3:$AH$1849,6,FALSE)</f>
        <v>Electrosurgical Units, Monopolar/Bipolar</v>
      </c>
      <c r="RXK115" s="196" t="s">
        <v>761</v>
      </c>
      <c r="RXL115" s="197" t="str">
        <f>VLOOKUP(RXK115,[13]AssetDetails_UEM!$A$3:$AH$1849,6,FALSE)</f>
        <v>Electrosurgical Units, Monopolar/Bipolar</v>
      </c>
      <c r="RXM115" s="196" t="s">
        <v>761</v>
      </c>
      <c r="RXN115" s="197" t="str">
        <f>VLOOKUP(RXM115,[13]AssetDetails_UEM!$A$3:$AH$1849,6,FALSE)</f>
        <v>Electrosurgical Units, Monopolar/Bipolar</v>
      </c>
      <c r="RXO115" s="196" t="s">
        <v>761</v>
      </c>
      <c r="RXP115" s="197" t="str">
        <f>VLOOKUP(RXO115,[13]AssetDetails_UEM!$A$3:$AH$1849,6,FALSE)</f>
        <v>Electrosurgical Units, Monopolar/Bipolar</v>
      </c>
      <c r="RXQ115" s="196" t="s">
        <v>761</v>
      </c>
      <c r="RXR115" s="197" t="str">
        <f>VLOOKUP(RXQ115,[13]AssetDetails_UEM!$A$3:$AH$1849,6,FALSE)</f>
        <v>Electrosurgical Units, Monopolar/Bipolar</v>
      </c>
      <c r="RXS115" s="196" t="s">
        <v>761</v>
      </c>
      <c r="RXT115" s="197" t="str">
        <f>VLOOKUP(RXS115,[13]AssetDetails_UEM!$A$3:$AH$1849,6,FALSE)</f>
        <v>Electrosurgical Units, Monopolar/Bipolar</v>
      </c>
      <c r="RXU115" s="196" t="s">
        <v>761</v>
      </c>
      <c r="RXV115" s="197" t="str">
        <f>VLOOKUP(RXU115,[13]AssetDetails_UEM!$A$3:$AH$1849,6,FALSE)</f>
        <v>Electrosurgical Units, Monopolar/Bipolar</v>
      </c>
      <c r="RXW115" s="196" t="s">
        <v>761</v>
      </c>
      <c r="RXX115" s="197" t="str">
        <f>VLOOKUP(RXW115,[13]AssetDetails_UEM!$A$3:$AH$1849,6,FALSE)</f>
        <v>Electrosurgical Units, Monopolar/Bipolar</v>
      </c>
      <c r="RXY115" s="196" t="s">
        <v>761</v>
      </c>
      <c r="RXZ115" s="197" t="str">
        <f>VLOOKUP(RXY115,[13]AssetDetails_UEM!$A$3:$AH$1849,6,FALSE)</f>
        <v>Electrosurgical Units, Monopolar/Bipolar</v>
      </c>
      <c r="RYA115" s="196" t="s">
        <v>761</v>
      </c>
      <c r="RYB115" s="197" t="str">
        <f>VLOOKUP(RYA115,[13]AssetDetails_UEM!$A$3:$AH$1849,6,FALSE)</f>
        <v>Electrosurgical Units, Monopolar/Bipolar</v>
      </c>
      <c r="RYC115" s="196" t="s">
        <v>761</v>
      </c>
      <c r="RYD115" s="197" t="str">
        <f>VLOOKUP(RYC115,[13]AssetDetails_UEM!$A$3:$AH$1849,6,FALSE)</f>
        <v>Electrosurgical Units, Monopolar/Bipolar</v>
      </c>
      <c r="RYE115" s="196" t="s">
        <v>761</v>
      </c>
      <c r="RYF115" s="197" t="str">
        <f>VLOOKUP(RYE115,[13]AssetDetails_UEM!$A$3:$AH$1849,6,FALSE)</f>
        <v>Electrosurgical Units, Monopolar/Bipolar</v>
      </c>
      <c r="RYG115" s="196" t="s">
        <v>761</v>
      </c>
      <c r="RYH115" s="197" t="str">
        <f>VLOOKUP(RYG115,[13]AssetDetails_UEM!$A$3:$AH$1849,6,FALSE)</f>
        <v>Electrosurgical Units, Monopolar/Bipolar</v>
      </c>
      <c r="RYI115" s="196" t="s">
        <v>761</v>
      </c>
      <c r="RYJ115" s="197" t="str">
        <f>VLOOKUP(RYI115,[13]AssetDetails_UEM!$A$3:$AH$1849,6,FALSE)</f>
        <v>Electrosurgical Units, Monopolar/Bipolar</v>
      </c>
      <c r="RYK115" s="196" t="s">
        <v>761</v>
      </c>
      <c r="RYL115" s="197" t="str">
        <f>VLOOKUP(RYK115,[13]AssetDetails_UEM!$A$3:$AH$1849,6,FALSE)</f>
        <v>Electrosurgical Units, Monopolar/Bipolar</v>
      </c>
      <c r="RYM115" s="196" t="s">
        <v>761</v>
      </c>
      <c r="RYN115" s="197" t="str">
        <f>VLOOKUP(RYM115,[13]AssetDetails_UEM!$A$3:$AH$1849,6,FALSE)</f>
        <v>Electrosurgical Units, Monopolar/Bipolar</v>
      </c>
      <c r="RYO115" s="196" t="s">
        <v>761</v>
      </c>
      <c r="RYP115" s="197" t="str">
        <f>VLOOKUP(RYO115,[13]AssetDetails_UEM!$A$3:$AH$1849,6,FALSE)</f>
        <v>Electrosurgical Units, Monopolar/Bipolar</v>
      </c>
      <c r="RYQ115" s="196" t="s">
        <v>761</v>
      </c>
      <c r="RYR115" s="197" t="str">
        <f>VLOOKUP(RYQ115,[13]AssetDetails_UEM!$A$3:$AH$1849,6,FALSE)</f>
        <v>Electrosurgical Units, Monopolar/Bipolar</v>
      </c>
      <c r="RYS115" s="196" t="s">
        <v>761</v>
      </c>
      <c r="RYT115" s="197" t="str">
        <f>VLOOKUP(RYS115,[13]AssetDetails_UEM!$A$3:$AH$1849,6,FALSE)</f>
        <v>Electrosurgical Units, Monopolar/Bipolar</v>
      </c>
      <c r="RYU115" s="196" t="s">
        <v>761</v>
      </c>
      <c r="RYV115" s="197" t="str">
        <f>VLOOKUP(RYU115,[13]AssetDetails_UEM!$A$3:$AH$1849,6,FALSE)</f>
        <v>Electrosurgical Units, Monopolar/Bipolar</v>
      </c>
      <c r="RYW115" s="196" t="s">
        <v>761</v>
      </c>
      <c r="RYX115" s="197" t="str">
        <f>VLOOKUP(RYW115,[13]AssetDetails_UEM!$A$3:$AH$1849,6,FALSE)</f>
        <v>Electrosurgical Units, Monopolar/Bipolar</v>
      </c>
      <c r="RYY115" s="196" t="s">
        <v>761</v>
      </c>
      <c r="RYZ115" s="197" t="str">
        <f>VLOOKUP(RYY115,[13]AssetDetails_UEM!$A$3:$AH$1849,6,FALSE)</f>
        <v>Electrosurgical Units, Monopolar/Bipolar</v>
      </c>
      <c r="RZA115" s="196" t="s">
        <v>761</v>
      </c>
      <c r="RZB115" s="197" t="str">
        <f>VLOOKUP(RZA115,[13]AssetDetails_UEM!$A$3:$AH$1849,6,FALSE)</f>
        <v>Electrosurgical Units, Monopolar/Bipolar</v>
      </c>
      <c r="RZC115" s="196" t="s">
        <v>761</v>
      </c>
      <c r="RZD115" s="197" t="str">
        <f>VLOOKUP(RZC115,[13]AssetDetails_UEM!$A$3:$AH$1849,6,FALSE)</f>
        <v>Electrosurgical Units, Monopolar/Bipolar</v>
      </c>
      <c r="RZE115" s="196" t="s">
        <v>761</v>
      </c>
      <c r="RZF115" s="197" t="str">
        <f>VLOOKUP(RZE115,[13]AssetDetails_UEM!$A$3:$AH$1849,6,FALSE)</f>
        <v>Electrosurgical Units, Monopolar/Bipolar</v>
      </c>
      <c r="RZG115" s="196" t="s">
        <v>761</v>
      </c>
      <c r="RZH115" s="197" t="str">
        <f>VLOOKUP(RZG115,[13]AssetDetails_UEM!$A$3:$AH$1849,6,FALSE)</f>
        <v>Electrosurgical Units, Monopolar/Bipolar</v>
      </c>
      <c r="RZI115" s="196" t="s">
        <v>761</v>
      </c>
      <c r="RZJ115" s="197" t="str">
        <f>VLOOKUP(RZI115,[13]AssetDetails_UEM!$A$3:$AH$1849,6,FALSE)</f>
        <v>Electrosurgical Units, Monopolar/Bipolar</v>
      </c>
      <c r="RZK115" s="196" t="s">
        <v>761</v>
      </c>
      <c r="RZL115" s="197" t="str">
        <f>VLOOKUP(RZK115,[13]AssetDetails_UEM!$A$3:$AH$1849,6,FALSE)</f>
        <v>Electrosurgical Units, Monopolar/Bipolar</v>
      </c>
      <c r="RZM115" s="196" t="s">
        <v>761</v>
      </c>
      <c r="RZN115" s="197" t="str">
        <f>VLOOKUP(RZM115,[13]AssetDetails_UEM!$A$3:$AH$1849,6,FALSE)</f>
        <v>Electrosurgical Units, Monopolar/Bipolar</v>
      </c>
      <c r="RZO115" s="196" t="s">
        <v>761</v>
      </c>
      <c r="RZP115" s="197" t="str">
        <f>VLOOKUP(RZO115,[13]AssetDetails_UEM!$A$3:$AH$1849,6,FALSE)</f>
        <v>Electrosurgical Units, Monopolar/Bipolar</v>
      </c>
      <c r="RZQ115" s="196" t="s">
        <v>761</v>
      </c>
      <c r="RZR115" s="197" t="str">
        <f>VLOOKUP(RZQ115,[13]AssetDetails_UEM!$A$3:$AH$1849,6,FALSE)</f>
        <v>Electrosurgical Units, Monopolar/Bipolar</v>
      </c>
      <c r="RZS115" s="196" t="s">
        <v>761</v>
      </c>
      <c r="RZT115" s="197" t="str">
        <f>VLOOKUP(RZS115,[13]AssetDetails_UEM!$A$3:$AH$1849,6,FALSE)</f>
        <v>Electrosurgical Units, Monopolar/Bipolar</v>
      </c>
      <c r="RZU115" s="196" t="s">
        <v>761</v>
      </c>
      <c r="RZV115" s="197" t="str">
        <f>VLOOKUP(RZU115,[13]AssetDetails_UEM!$A$3:$AH$1849,6,FALSE)</f>
        <v>Electrosurgical Units, Monopolar/Bipolar</v>
      </c>
      <c r="RZW115" s="196" t="s">
        <v>761</v>
      </c>
      <c r="RZX115" s="197" t="str">
        <f>VLOOKUP(RZW115,[13]AssetDetails_UEM!$A$3:$AH$1849,6,FALSE)</f>
        <v>Electrosurgical Units, Monopolar/Bipolar</v>
      </c>
      <c r="RZY115" s="196" t="s">
        <v>761</v>
      </c>
      <c r="RZZ115" s="197" t="str">
        <f>VLOOKUP(RZY115,[13]AssetDetails_UEM!$A$3:$AH$1849,6,FALSE)</f>
        <v>Electrosurgical Units, Monopolar/Bipolar</v>
      </c>
      <c r="SAA115" s="196" t="s">
        <v>761</v>
      </c>
      <c r="SAB115" s="197" t="str">
        <f>VLOOKUP(SAA115,[13]AssetDetails_UEM!$A$3:$AH$1849,6,FALSE)</f>
        <v>Electrosurgical Units, Monopolar/Bipolar</v>
      </c>
      <c r="SAC115" s="196" t="s">
        <v>761</v>
      </c>
      <c r="SAD115" s="197" t="str">
        <f>VLOOKUP(SAC115,[13]AssetDetails_UEM!$A$3:$AH$1849,6,FALSE)</f>
        <v>Electrosurgical Units, Monopolar/Bipolar</v>
      </c>
      <c r="SAE115" s="196" t="s">
        <v>761</v>
      </c>
      <c r="SAF115" s="197" t="str">
        <f>VLOOKUP(SAE115,[13]AssetDetails_UEM!$A$3:$AH$1849,6,FALSE)</f>
        <v>Electrosurgical Units, Monopolar/Bipolar</v>
      </c>
      <c r="SAG115" s="196" t="s">
        <v>761</v>
      </c>
      <c r="SAH115" s="197" t="str">
        <f>VLOOKUP(SAG115,[13]AssetDetails_UEM!$A$3:$AH$1849,6,FALSE)</f>
        <v>Electrosurgical Units, Monopolar/Bipolar</v>
      </c>
      <c r="SAI115" s="196" t="s">
        <v>761</v>
      </c>
      <c r="SAJ115" s="197" t="str">
        <f>VLOOKUP(SAI115,[13]AssetDetails_UEM!$A$3:$AH$1849,6,FALSE)</f>
        <v>Electrosurgical Units, Monopolar/Bipolar</v>
      </c>
      <c r="SAK115" s="196" t="s">
        <v>761</v>
      </c>
      <c r="SAL115" s="197" t="str">
        <f>VLOOKUP(SAK115,[13]AssetDetails_UEM!$A$3:$AH$1849,6,FALSE)</f>
        <v>Electrosurgical Units, Monopolar/Bipolar</v>
      </c>
      <c r="SAM115" s="196" t="s">
        <v>761</v>
      </c>
      <c r="SAN115" s="197" t="str">
        <f>VLOOKUP(SAM115,[13]AssetDetails_UEM!$A$3:$AH$1849,6,FALSE)</f>
        <v>Electrosurgical Units, Monopolar/Bipolar</v>
      </c>
      <c r="SAO115" s="196" t="s">
        <v>761</v>
      </c>
      <c r="SAP115" s="197" t="str">
        <f>VLOOKUP(SAO115,[13]AssetDetails_UEM!$A$3:$AH$1849,6,FALSE)</f>
        <v>Electrosurgical Units, Monopolar/Bipolar</v>
      </c>
      <c r="SAQ115" s="196" t="s">
        <v>761</v>
      </c>
      <c r="SAR115" s="197" t="str">
        <f>VLOOKUP(SAQ115,[13]AssetDetails_UEM!$A$3:$AH$1849,6,FALSE)</f>
        <v>Electrosurgical Units, Monopolar/Bipolar</v>
      </c>
      <c r="SAS115" s="196" t="s">
        <v>761</v>
      </c>
      <c r="SAT115" s="197" t="str">
        <f>VLOOKUP(SAS115,[13]AssetDetails_UEM!$A$3:$AH$1849,6,FALSE)</f>
        <v>Electrosurgical Units, Monopolar/Bipolar</v>
      </c>
      <c r="SAU115" s="196" t="s">
        <v>761</v>
      </c>
      <c r="SAV115" s="197" t="str">
        <f>VLOOKUP(SAU115,[13]AssetDetails_UEM!$A$3:$AH$1849,6,FALSE)</f>
        <v>Electrosurgical Units, Monopolar/Bipolar</v>
      </c>
      <c r="SAW115" s="196" t="s">
        <v>761</v>
      </c>
      <c r="SAX115" s="197" t="str">
        <f>VLOOKUP(SAW115,[13]AssetDetails_UEM!$A$3:$AH$1849,6,FALSE)</f>
        <v>Electrosurgical Units, Monopolar/Bipolar</v>
      </c>
      <c r="SAY115" s="196" t="s">
        <v>761</v>
      </c>
      <c r="SAZ115" s="197" t="str">
        <f>VLOOKUP(SAY115,[13]AssetDetails_UEM!$A$3:$AH$1849,6,FALSE)</f>
        <v>Electrosurgical Units, Monopolar/Bipolar</v>
      </c>
      <c r="SBA115" s="196" t="s">
        <v>761</v>
      </c>
      <c r="SBB115" s="197" t="str">
        <f>VLOOKUP(SBA115,[13]AssetDetails_UEM!$A$3:$AH$1849,6,FALSE)</f>
        <v>Electrosurgical Units, Monopolar/Bipolar</v>
      </c>
      <c r="SBC115" s="196" t="s">
        <v>761</v>
      </c>
      <c r="SBD115" s="197" t="str">
        <f>VLOOKUP(SBC115,[13]AssetDetails_UEM!$A$3:$AH$1849,6,FALSE)</f>
        <v>Electrosurgical Units, Monopolar/Bipolar</v>
      </c>
      <c r="SBE115" s="196" t="s">
        <v>761</v>
      </c>
      <c r="SBF115" s="197" t="str">
        <f>VLOOKUP(SBE115,[13]AssetDetails_UEM!$A$3:$AH$1849,6,FALSE)</f>
        <v>Electrosurgical Units, Monopolar/Bipolar</v>
      </c>
      <c r="SBG115" s="196" t="s">
        <v>761</v>
      </c>
      <c r="SBH115" s="197" t="str">
        <f>VLOOKUP(SBG115,[13]AssetDetails_UEM!$A$3:$AH$1849,6,FALSE)</f>
        <v>Electrosurgical Units, Monopolar/Bipolar</v>
      </c>
      <c r="SBI115" s="196" t="s">
        <v>761</v>
      </c>
      <c r="SBJ115" s="197" t="str">
        <f>VLOOKUP(SBI115,[13]AssetDetails_UEM!$A$3:$AH$1849,6,FALSE)</f>
        <v>Electrosurgical Units, Monopolar/Bipolar</v>
      </c>
      <c r="SBK115" s="196" t="s">
        <v>761</v>
      </c>
      <c r="SBL115" s="197" t="str">
        <f>VLOOKUP(SBK115,[13]AssetDetails_UEM!$A$3:$AH$1849,6,FALSE)</f>
        <v>Electrosurgical Units, Monopolar/Bipolar</v>
      </c>
      <c r="SBM115" s="196" t="s">
        <v>761</v>
      </c>
      <c r="SBN115" s="197" t="str">
        <f>VLOOKUP(SBM115,[13]AssetDetails_UEM!$A$3:$AH$1849,6,FALSE)</f>
        <v>Electrosurgical Units, Monopolar/Bipolar</v>
      </c>
      <c r="SBO115" s="196" t="s">
        <v>761</v>
      </c>
      <c r="SBP115" s="197" t="str">
        <f>VLOOKUP(SBO115,[13]AssetDetails_UEM!$A$3:$AH$1849,6,FALSE)</f>
        <v>Electrosurgical Units, Monopolar/Bipolar</v>
      </c>
      <c r="SBQ115" s="196" t="s">
        <v>761</v>
      </c>
      <c r="SBR115" s="197" t="str">
        <f>VLOOKUP(SBQ115,[13]AssetDetails_UEM!$A$3:$AH$1849,6,FALSE)</f>
        <v>Electrosurgical Units, Monopolar/Bipolar</v>
      </c>
      <c r="SBS115" s="196" t="s">
        <v>761</v>
      </c>
      <c r="SBT115" s="197" t="str">
        <f>VLOOKUP(SBS115,[13]AssetDetails_UEM!$A$3:$AH$1849,6,FALSE)</f>
        <v>Electrosurgical Units, Monopolar/Bipolar</v>
      </c>
      <c r="SBU115" s="196" t="s">
        <v>761</v>
      </c>
      <c r="SBV115" s="197" t="str">
        <f>VLOOKUP(SBU115,[13]AssetDetails_UEM!$A$3:$AH$1849,6,FALSE)</f>
        <v>Electrosurgical Units, Monopolar/Bipolar</v>
      </c>
      <c r="SBW115" s="196" t="s">
        <v>761</v>
      </c>
      <c r="SBX115" s="197" t="str">
        <f>VLOOKUP(SBW115,[13]AssetDetails_UEM!$A$3:$AH$1849,6,FALSE)</f>
        <v>Electrosurgical Units, Monopolar/Bipolar</v>
      </c>
      <c r="SBY115" s="196" t="s">
        <v>761</v>
      </c>
      <c r="SBZ115" s="197" t="str">
        <f>VLOOKUP(SBY115,[13]AssetDetails_UEM!$A$3:$AH$1849,6,FALSE)</f>
        <v>Electrosurgical Units, Monopolar/Bipolar</v>
      </c>
      <c r="SCA115" s="196" t="s">
        <v>761</v>
      </c>
      <c r="SCB115" s="197" t="str">
        <f>VLOOKUP(SCA115,[13]AssetDetails_UEM!$A$3:$AH$1849,6,FALSE)</f>
        <v>Electrosurgical Units, Monopolar/Bipolar</v>
      </c>
      <c r="SCC115" s="196" t="s">
        <v>761</v>
      </c>
      <c r="SCD115" s="197" t="str">
        <f>VLOOKUP(SCC115,[13]AssetDetails_UEM!$A$3:$AH$1849,6,FALSE)</f>
        <v>Electrosurgical Units, Monopolar/Bipolar</v>
      </c>
      <c r="SCE115" s="196" t="s">
        <v>761</v>
      </c>
      <c r="SCF115" s="197" t="str">
        <f>VLOOKUP(SCE115,[13]AssetDetails_UEM!$A$3:$AH$1849,6,FALSE)</f>
        <v>Electrosurgical Units, Monopolar/Bipolar</v>
      </c>
      <c r="SCG115" s="196" t="s">
        <v>761</v>
      </c>
      <c r="SCH115" s="197" t="str">
        <f>VLOOKUP(SCG115,[13]AssetDetails_UEM!$A$3:$AH$1849,6,FALSE)</f>
        <v>Electrosurgical Units, Monopolar/Bipolar</v>
      </c>
      <c r="SCI115" s="196" t="s">
        <v>761</v>
      </c>
      <c r="SCJ115" s="197" t="str">
        <f>VLOOKUP(SCI115,[13]AssetDetails_UEM!$A$3:$AH$1849,6,FALSE)</f>
        <v>Electrosurgical Units, Monopolar/Bipolar</v>
      </c>
      <c r="SCK115" s="196" t="s">
        <v>761</v>
      </c>
      <c r="SCL115" s="197" t="str">
        <f>VLOOKUP(SCK115,[13]AssetDetails_UEM!$A$3:$AH$1849,6,FALSE)</f>
        <v>Electrosurgical Units, Monopolar/Bipolar</v>
      </c>
      <c r="SCM115" s="196" t="s">
        <v>761</v>
      </c>
      <c r="SCN115" s="197" t="str">
        <f>VLOOKUP(SCM115,[13]AssetDetails_UEM!$A$3:$AH$1849,6,FALSE)</f>
        <v>Electrosurgical Units, Monopolar/Bipolar</v>
      </c>
      <c r="SCO115" s="196" t="s">
        <v>761</v>
      </c>
      <c r="SCP115" s="197" t="str">
        <f>VLOOKUP(SCO115,[13]AssetDetails_UEM!$A$3:$AH$1849,6,FALSE)</f>
        <v>Electrosurgical Units, Monopolar/Bipolar</v>
      </c>
      <c r="SCQ115" s="196" t="s">
        <v>761</v>
      </c>
      <c r="SCR115" s="197" t="str">
        <f>VLOOKUP(SCQ115,[13]AssetDetails_UEM!$A$3:$AH$1849,6,FALSE)</f>
        <v>Electrosurgical Units, Monopolar/Bipolar</v>
      </c>
      <c r="SCS115" s="196" t="s">
        <v>761</v>
      </c>
      <c r="SCT115" s="197" t="str">
        <f>VLOOKUP(SCS115,[13]AssetDetails_UEM!$A$3:$AH$1849,6,FALSE)</f>
        <v>Electrosurgical Units, Monopolar/Bipolar</v>
      </c>
      <c r="SCU115" s="196" t="s">
        <v>761</v>
      </c>
      <c r="SCV115" s="197" t="str">
        <f>VLOOKUP(SCU115,[13]AssetDetails_UEM!$A$3:$AH$1849,6,FALSE)</f>
        <v>Electrosurgical Units, Monopolar/Bipolar</v>
      </c>
      <c r="SCW115" s="196" t="s">
        <v>761</v>
      </c>
      <c r="SCX115" s="197" t="str">
        <f>VLOOKUP(SCW115,[13]AssetDetails_UEM!$A$3:$AH$1849,6,FALSE)</f>
        <v>Electrosurgical Units, Monopolar/Bipolar</v>
      </c>
      <c r="SCY115" s="196" t="s">
        <v>761</v>
      </c>
      <c r="SCZ115" s="197" t="str">
        <f>VLOOKUP(SCY115,[13]AssetDetails_UEM!$A$3:$AH$1849,6,FALSE)</f>
        <v>Electrosurgical Units, Monopolar/Bipolar</v>
      </c>
      <c r="SDA115" s="196" t="s">
        <v>761</v>
      </c>
      <c r="SDB115" s="197" t="str">
        <f>VLOOKUP(SDA115,[13]AssetDetails_UEM!$A$3:$AH$1849,6,FALSE)</f>
        <v>Electrosurgical Units, Monopolar/Bipolar</v>
      </c>
      <c r="SDC115" s="196" t="s">
        <v>761</v>
      </c>
      <c r="SDD115" s="197" t="str">
        <f>VLOOKUP(SDC115,[13]AssetDetails_UEM!$A$3:$AH$1849,6,FALSE)</f>
        <v>Electrosurgical Units, Monopolar/Bipolar</v>
      </c>
      <c r="SDE115" s="196" t="s">
        <v>761</v>
      </c>
      <c r="SDF115" s="197" t="str">
        <f>VLOOKUP(SDE115,[13]AssetDetails_UEM!$A$3:$AH$1849,6,FALSE)</f>
        <v>Electrosurgical Units, Monopolar/Bipolar</v>
      </c>
      <c r="SDG115" s="196" t="s">
        <v>761</v>
      </c>
      <c r="SDH115" s="197" t="str">
        <f>VLOOKUP(SDG115,[13]AssetDetails_UEM!$A$3:$AH$1849,6,FALSE)</f>
        <v>Electrosurgical Units, Monopolar/Bipolar</v>
      </c>
      <c r="SDI115" s="196" t="s">
        <v>761</v>
      </c>
      <c r="SDJ115" s="197" t="str">
        <f>VLOOKUP(SDI115,[13]AssetDetails_UEM!$A$3:$AH$1849,6,FALSE)</f>
        <v>Electrosurgical Units, Monopolar/Bipolar</v>
      </c>
      <c r="SDK115" s="196" t="s">
        <v>761</v>
      </c>
      <c r="SDL115" s="197" t="str">
        <f>VLOOKUP(SDK115,[13]AssetDetails_UEM!$A$3:$AH$1849,6,FALSE)</f>
        <v>Electrosurgical Units, Monopolar/Bipolar</v>
      </c>
      <c r="SDM115" s="196" t="s">
        <v>761</v>
      </c>
      <c r="SDN115" s="197" t="str">
        <f>VLOOKUP(SDM115,[13]AssetDetails_UEM!$A$3:$AH$1849,6,FALSE)</f>
        <v>Electrosurgical Units, Monopolar/Bipolar</v>
      </c>
      <c r="SDO115" s="196" t="s">
        <v>761</v>
      </c>
      <c r="SDP115" s="197" t="str">
        <f>VLOOKUP(SDO115,[13]AssetDetails_UEM!$A$3:$AH$1849,6,FALSE)</f>
        <v>Electrosurgical Units, Monopolar/Bipolar</v>
      </c>
      <c r="SDQ115" s="196" t="s">
        <v>761</v>
      </c>
      <c r="SDR115" s="197" t="str">
        <f>VLOOKUP(SDQ115,[13]AssetDetails_UEM!$A$3:$AH$1849,6,FALSE)</f>
        <v>Electrosurgical Units, Monopolar/Bipolar</v>
      </c>
      <c r="SDS115" s="196" t="s">
        <v>761</v>
      </c>
      <c r="SDT115" s="197" t="str">
        <f>VLOOKUP(SDS115,[13]AssetDetails_UEM!$A$3:$AH$1849,6,FALSE)</f>
        <v>Electrosurgical Units, Monopolar/Bipolar</v>
      </c>
      <c r="SDU115" s="196" t="s">
        <v>761</v>
      </c>
      <c r="SDV115" s="197" t="str">
        <f>VLOOKUP(SDU115,[13]AssetDetails_UEM!$A$3:$AH$1849,6,FALSE)</f>
        <v>Electrosurgical Units, Monopolar/Bipolar</v>
      </c>
      <c r="SDW115" s="196" t="s">
        <v>761</v>
      </c>
      <c r="SDX115" s="197" t="str">
        <f>VLOOKUP(SDW115,[13]AssetDetails_UEM!$A$3:$AH$1849,6,FALSE)</f>
        <v>Electrosurgical Units, Monopolar/Bipolar</v>
      </c>
      <c r="SDY115" s="196" t="s">
        <v>761</v>
      </c>
      <c r="SDZ115" s="197" t="str">
        <f>VLOOKUP(SDY115,[13]AssetDetails_UEM!$A$3:$AH$1849,6,FALSE)</f>
        <v>Electrosurgical Units, Monopolar/Bipolar</v>
      </c>
      <c r="SEA115" s="196" t="s">
        <v>761</v>
      </c>
      <c r="SEB115" s="197" t="str">
        <f>VLOOKUP(SEA115,[13]AssetDetails_UEM!$A$3:$AH$1849,6,FALSE)</f>
        <v>Electrosurgical Units, Monopolar/Bipolar</v>
      </c>
      <c r="SEC115" s="196" t="s">
        <v>761</v>
      </c>
      <c r="SED115" s="197" t="str">
        <f>VLOOKUP(SEC115,[13]AssetDetails_UEM!$A$3:$AH$1849,6,FALSE)</f>
        <v>Electrosurgical Units, Monopolar/Bipolar</v>
      </c>
      <c r="SEE115" s="196" t="s">
        <v>761</v>
      </c>
      <c r="SEF115" s="197" t="str">
        <f>VLOOKUP(SEE115,[13]AssetDetails_UEM!$A$3:$AH$1849,6,FALSE)</f>
        <v>Electrosurgical Units, Monopolar/Bipolar</v>
      </c>
      <c r="SEG115" s="196" t="s">
        <v>761</v>
      </c>
      <c r="SEH115" s="197" t="str">
        <f>VLOOKUP(SEG115,[13]AssetDetails_UEM!$A$3:$AH$1849,6,FALSE)</f>
        <v>Electrosurgical Units, Monopolar/Bipolar</v>
      </c>
      <c r="SEI115" s="196" t="s">
        <v>761</v>
      </c>
      <c r="SEJ115" s="197" t="str">
        <f>VLOOKUP(SEI115,[13]AssetDetails_UEM!$A$3:$AH$1849,6,FALSE)</f>
        <v>Electrosurgical Units, Monopolar/Bipolar</v>
      </c>
      <c r="SEK115" s="196" t="s">
        <v>761</v>
      </c>
      <c r="SEL115" s="197" t="str">
        <f>VLOOKUP(SEK115,[13]AssetDetails_UEM!$A$3:$AH$1849,6,FALSE)</f>
        <v>Electrosurgical Units, Monopolar/Bipolar</v>
      </c>
      <c r="SEM115" s="196" t="s">
        <v>761</v>
      </c>
      <c r="SEN115" s="197" t="str">
        <f>VLOOKUP(SEM115,[13]AssetDetails_UEM!$A$3:$AH$1849,6,FALSE)</f>
        <v>Electrosurgical Units, Monopolar/Bipolar</v>
      </c>
      <c r="SEO115" s="196" t="s">
        <v>761</v>
      </c>
      <c r="SEP115" s="197" t="str">
        <f>VLOOKUP(SEO115,[13]AssetDetails_UEM!$A$3:$AH$1849,6,FALSE)</f>
        <v>Electrosurgical Units, Monopolar/Bipolar</v>
      </c>
      <c r="SEQ115" s="196" t="s">
        <v>761</v>
      </c>
      <c r="SER115" s="197" t="str">
        <f>VLOOKUP(SEQ115,[13]AssetDetails_UEM!$A$3:$AH$1849,6,FALSE)</f>
        <v>Electrosurgical Units, Monopolar/Bipolar</v>
      </c>
      <c r="SES115" s="196" t="s">
        <v>761</v>
      </c>
      <c r="SET115" s="197" t="str">
        <f>VLOOKUP(SES115,[13]AssetDetails_UEM!$A$3:$AH$1849,6,FALSE)</f>
        <v>Electrosurgical Units, Monopolar/Bipolar</v>
      </c>
      <c r="SEU115" s="196" t="s">
        <v>761</v>
      </c>
      <c r="SEV115" s="197" t="str">
        <f>VLOOKUP(SEU115,[13]AssetDetails_UEM!$A$3:$AH$1849,6,FALSE)</f>
        <v>Electrosurgical Units, Monopolar/Bipolar</v>
      </c>
      <c r="SEW115" s="196" t="s">
        <v>761</v>
      </c>
      <c r="SEX115" s="197" t="str">
        <f>VLOOKUP(SEW115,[13]AssetDetails_UEM!$A$3:$AH$1849,6,FALSE)</f>
        <v>Electrosurgical Units, Monopolar/Bipolar</v>
      </c>
      <c r="SEY115" s="196" t="s">
        <v>761</v>
      </c>
      <c r="SEZ115" s="197" t="str">
        <f>VLOOKUP(SEY115,[13]AssetDetails_UEM!$A$3:$AH$1849,6,FALSE)</f>
        <v>Electrosurgical Units, Monopolar/Bipolar</v>
      </c>
      <c r="SFA115" s="196" t="s">
        <v>761</v>
      </c>
      <c r="SFB115" s="197" t="str">
        <f>VLOOKUP(SFA115,[13]AssetDetails_UEM!$A$3:$AH$1849,6,FALSE)</f>
        <v>Electrosurgical Units, Monopolar/Bipolar</v>
      </c>
      <c r="SFC115" s="196" t="s">
        <v>761</v>
      </c>
      <c r="SFD115" s="197" t="str">
        <f>VLOOKUP(SFC115,[13]AssetDetails_UEM!$A$3:$AH$1849,6,FALSE)</f>
        <v>Electrosurgical Units, Monopolar/Bipolar</v>
      </c>
      <c r="SFE115" s="196" t="s">
        <v>761</v>
      </c>
      <c r="SFF115" s="197" t="str">
        <f>VLOOKUP(SFE115,[13]AssetDetails_UEM!$A$3:$AH$1849,6,FALSE)</f>
        <v>Electrosurgical Units, Monopolar/Bipolar</v>
      </c>
      <c r="SFG115" s="196" t="s">
        <v>761</v>
      </c>
      <c r="SFH115" s="197" t="str">
        <f>VLOOKUP(SFG115,[13]AssetDetails_UEM!$A$3:$AH$1849,6,FALSE)</f>
        <v>Electrosurgical Units, Monopolar/Bipolar</v>
      </c>
      <c r="SFI115" s="196" t="s">
        <v>761</v>
      </c>
      <c r="SFJ115" s="197" t="str">
        <f>VLOOKUP(SFI115,[13]AssetDetails_UEM!$A$3:$AH$1849,6,FALSE)</f>
        <v>Electrosurgical Units, Monopolar/Bipolar</v>
      </c>
      <c r="SFK115" s="196" t="s">
        <v>761</v>
      </c>
      <c r="SFL115" s="197" t="str">
        <f>VLOOKUP(SFK115,[13]AssetDetails_UEM!$A$3:$AH$1849,6,FALSE)</f>
        <v>Electrosurgical Units, Monopolar/Bipolar</v>
      </c>
      <c r="SFM115" s="196" t="s">
        <v>761</v>
      </c>
      <c r="SFN115" s="197" t="str">
        <f>VLOOKUP(SFM115,[13]AssetDetails_UEM!$A$3:$AH$1849,6,FALSE)</f>
        <v>Electrosurgical Units, Monopolar/Bipolar</v>
      </c>
      <c r="SFO115" s="196" t="s">
        <v>761</v>
      </c>
      <c r="SFP115" s="197" t="str">
        <f>VLOOKUP(SFO115,[13]AssetDetails_UEM!$A$3:$AH$1849,6,FALSE)</f>
        <v>Electrosurgical Units, Monopolar/Bipolar</v>
      </c>
      <c r="SFQ115" s="196" t="s">
        <v>761</v>
      </c>
      <c r="SFR115" s="197" t="str">
        <f>VLOOKUP(SFQ115,[13]AssetDetails_UEM!$A$3:$AH$1849,6,FALSE)</f>
        <v>Electrosurgical Units, Monopolar/Bipolar</v>
      </c>
      <c r="SFS115" s="196" t="s">
        <v>761</v>
      </c>
      <c r="SFT115" s="197" t="str">
        <f>VLOOKUP(SFS115,[13]AssetDetails_UEM!$A$3:$AH$1849,6,FALSE)</f>
        <v>Electrosurgical Units, Monopolar/Bipolar</v>
      </c>
      <c r="SFU115" s="196" t="s">
        <v>761</v>
      </c>
      <c r="SFV115" s="197" t="str">
        <f>VLOOKUP(SFU115,[13]AssetDetails_UEM!$A$3:$AH$1849,6,FALSE)</f>
        <v>Electrosurgical Units, Monopolar/Bipolar</v>
      </c>
      <c r="SFW115" s="196" t="s">
        <v>761</v>
      </c>
      <c r="SFX115" s="197" t="str">
        <f>VLOOKUP(SFW115,[13]AssetDetails_UEM!$A$3:$AH$1849,6,FALSE)</f>
        <v>Electrosurgical Units, Monopolar/Bipolar</v>
      </c>
      <c r="SFY115" s="196" t="s">
        <v>761</v>
      </c>
      <c r="SFZ115" s="197" t="str">
        <f>VLOOKUP(SFY115,[13]AssetDetails_UEM!$A$3:$AH$1849,6,FALSE)</f>
        <v>Electrosurgical Units, Monopolar/Bipolar</v>
      </c>
      <c r="SGA115" s="196" t="s">
        <v>761</v>
      </c>
      <c r="SGB115" s="197" t="str">
        <f>VLOOKUP(SGA115,[13]AssetDetails_UEM!$A$3:$AH$1849,6,FALSE)</f>
        <v>Electrosurgical Units, Monopolar/Bipolar</v>
      </c>
      <c r="SGC115" s="196" t="s">
        <v>761</v>
      </c>
      <c r="SGD115" s="197" t="str">
        <f>VLOOKUP(SGC115,[13]AssetDetails_UEM!$A$3:$AH$1849,6,FALSE)</f>
        <v>Electrosurgical Units, Monopolar/Bipolar</v>
      </c>
      <c r="SGE115" s="196" t="s">
        <v>761</v>
      </c>
      <c r="SGF115" s="197" t="str">
        <f>VLOOKUP(SGE115,[13]AssetDetails_UEM!$A$3:$AH$1849,6,FALSE)</f>
        <v>Electrosurgical Units, Monopolar/Bipolar</v>
      </c>
      <c r="SGG115" s="196" t="s">
        <v>761</v>
      </c>
      <c r="SGH115" s="197" t="str">
        <f>VLOOKUP(SGG115,[13]AssetDetails_UEM!$A$3:$AH$1849,6,FALSE)</f>
        <v>Electrosurgical Units, Monopolar/Bipolar</v>
      </c>
      <c r="SGI115" s="196" t="s">
        <v>761</v>
      </c>
      <c r="SGJ115" s="197" t="str">
        <f>VLOOKUP(SGI115,[13]AssetDetails_UEM!$A$3:$AH$1849,6,FALSE)</f>
        <v>Electrosurgical Units, Monopolar/Bipolar</v>
      </c>
      <c r="SGK115" s="196" t="s">
        <v>761</v>
      </c>
      <c r="SGL115" s="197" t="str">
        <f>VLOOKUP(SGK115,[13]AssetDetails_UEM!$A$3:$AH$1849,6,FALSE)</f>
        <v>Electrosurgical Units, Monopolar/Bipolar</v>
      </c>
      <c r="SGM115" s="196" t="s">
        <v>761</v>
      </c>
      <c r="SGN115" s="197" t="str">
        <f>VLOOKUP(SGM115,[13]AssetDetails_UEM!$A$3:$AH$1849,6,FALSE)</f>
        <v>Electrosurgical Units, Monopolar/Bipolar</v>
      </c>
      <c r="SGO115" s="196" t="s">
        <v>761</v>
      </c>
      <c r="SGP115" s="197" t="str">
        <f>VLOOKUP(SGO115,[13]AssetDetails_UEM!$A$3:$AH$1849,6,FALSE)</f>
        <v>Electrosurgical Units, Monopolar/Bipolar</v>
      </c>
      <c r="SGQ115" s="196" t="s">
        <v>761</v>
      </c>
      <c r="SGR115" s="197" t="str">
        <f>VLOOKUP(SGQ115,[13]AssetDetails_UEM!$A$3:$AH$1849,6,FALSE)</f>
        <v>Electrosurgical Units, Monopolar/Bipolar</v>
      </c>
      <c r="SGS115" s="196" t="s">
        <v>761</v>
      </c>
      <c r="SGT115" s="197" t="str">
        <f>VLOOKUP(SGS115,[13]AssetDetails_UEM!$A$3:$AH$1849,6,FALSE)</f>
        <v>Electrosurgical Units, Monopolar/Bipolar</v>
      </c>
      <c r="SGU115" s="196" t="s">
        <v>761</v>
      </c>
      <c r="SGV115" s="197" t="str">
        <f>VLOOKUP(SGU115,[13]AssetDetails_UEM!$A$3:$AH$1849,6,FALSE)</f>
        <v>Electrosurgical Units, Monopolar/Bipolar</v>
      </c>
      <c r="SGW115" s="196" t="s">
        <v>761</v>
      </c>
      <c r="SGX115" s="197" t="str">
        <f>VLOOKUP(SGW115,[13]AssetDetails_UEM!$A$3:$AH$1849,6,FALSE)</f>
        <v>Electrosurgical Units, Monopolar/Bipolar</v>
      </c>
      <c r="SGY115" s="196" t="s">
        <v>761</v>
      </c>
      <c r="SGZ115" s="197" t="str">
        <f>VLOOKUP(SGY115,[13]AssetDetails_UEM!$A$3:$AH$1849,6,FALSE)</f>
        <v>Electrosurgical Units, Monopolar/Bipolar</v>
      </c>
      <c r="SHA115" s="196" t="s">
        <v>761</v>
      </c>
      <c r="SHB115" s="197" t="str">
        <f>VLOOKUP(SHA115,[13]AssetDetails_UEM!$A$3:$AH$1849,6,FALSE)</f>
        <v>Electrosurgical Units, Monopolar/Bipolar</v>
      </c>
      <c r="SHC115" s="196" t="s">
        <v>761</v>
      </c>
      <c r="SHD115" s="197" t="str">
        <f>VLOOKUP(SHC115,[13]AssetDetails_UEM!$A$3:$AH$1849,6,FALSE)</f>
        <v>Electrosurgical Units, Monopolar/Bipolar</v>
      </c>
      <c r="SHE115" s="196" t="s">
        <v>761</v>
      </c>
      <c r="SHF115" s="197" t="str">
        <f>VLOOKUP(SHE115,[13]AssetDetails_UEM!$A$3:$AH$1849,6,FALSE)</f>
        <v>Electrosurgical Units, Monopolar/Bipolar</v>
      </c>
      <c r="SHG115" s="196" t="s">
        <v>761</v>
      </c>
      <c r="SHH115" s="197" t="str">
        <f>VLOOKUP(SHG115,[13]AssetDetails_UEM!$A$3:$AH$1849,6,FALSE)</f>
        <v>Electrosurgical Units, Monopolar/Bipolar</v>
      </c>
      <c r="SHI115" s="196" t="s">
        <v>761</v>
      </c>
      <c r="SHJ115" s="197" t="str">
        <f>VLOOKUP(SHI115,[13]AssetDetails_UEM!$A$3:$AH$1849,6,FALSE)</f>
        <v>Electrosurgical Units, Monopolar/Bipolar</v>
      </c>
      <c r="SHK115" s="196" t="s">
        <v>761</v>
      </c>
      <c r="SHL115" s="197" t="str">
        <f>VLOOKUP(SHK115,[13]AssetDetails_UEM!$A$3:$AH$1849,6,FALSE)</f>
        <v>Electrosurgical Units, Monopolar/Bipolar</v>
      </c>
      <c r="SHM115" s="196" t="s">
        <v>761</v>
      </c>
      <c r="SHN115" s="197" t="str">
        <f>VLOOKUP(SHM115,[13]AssetDetails_UEM!$A$3:$AH$1849,6,FALSE)</f>
        <v>Electrosurgical Units, Monopolar/Bipolar</v>
      </c>
      <c r="SHO115" s="196" t="s">
        <v>761</v>
      </c>
      <c r="SHP115" s="197" t="str">
        <f>VLOOKUP(SHO115,[13]AssetDetails_UEM!$A$3:$AH$1849,6,FALSE)</f>
        <v>Electrosurgical Units, Monopolar/Bipolar</v>
      </c>
      <c r="SHQ115" s="196" t="s">
        <v>761</v>
      </c>
      <c r="SHR115" s="197" t="str">
        <f>VLOOKUP(SHQ115,[13]AssetDetails_UEM!$A$3:$AH$1849,6,FALSE)</f>
        <v>Electrosurgical Units, Monopolar/Bipolar</v>
      </c>
      <c r="SHS115" s="196" t="s">
        <v>761</v>
      </c>
      <c r="SHT115" s="197" t="str">
        <f>VLOOKUP(SHS115,[13]AssetDetails_UEM!$A$3:$AH$1849,6,FALSE)</f>
        <v>Electrosurgical Units, Monopolar/Bipolar</v>
      </c>
      <c r="SHU115" s="196" t="s">
        <v>761</v>
      </c>
      <c r="SHV115" s="197" t="str">
        <f>VLOOKUP(SHU115,[13]AssetDetails_UEM!$A$3:$AH$1849,6,FALSE)</f>
        <v>Electrosurgical Units, Monopolar/Bipolar</v>
      </c>
      <c r="SHW115" s="196" t="s">
        <v>761</v>
      </c>
      <c r="SHX115" s="197" t="str">
        <f>VLOOKUP(SHW115,[13]AssetDetails_UEM!$A$3:$AH$1849,6,FALSE)</f>
        <v>Electrosurgical Units, Monopolar/Bipolar</v>
      </c>
      <c r="SHY115" s="196" t="s">
        <v>761</v>
      </c>
      <c r="SHZ115" s="197" t="str">
        <f>VLOOKUP(SHY115,[13]AssetDetails_UEM!$A$3:$AH$1849,6,FALSE)</f>
        <v>Electrosurgical Units, Monopolar/Bipolar</v>
      </c>
      <c r="SIA115" s="196" t="s">
        <v>761</v>
      </c>
      <c r="SIB115" s="197" t="str">
        <f>VLOOKUP(SIA115,[13]AssetDetails_UEM!$A$3:$AH$1849,6,FALSE)</f>
        <v>Electrosurgical Units, Monopolar/Bipolar</v>
      </c>
      <c r="SIC115" s="196" t="s">
        <v>761</v>
      </c>
      <c r="SID115" s="197" t="str">
        <f>VLOOKUP(SIC115,[13]AssetDetails_UEM!$A$3:$AH$1849,6,FALSE)</f>
        <v>Electrosurgical Units, Monopolar/Bipolar</v>
      </c>
      <c r="SIE115" s="196" t="s">
        <v>761</v>
      </c>
      <c r="SIF115" s="197" t="str">
        <f>VLOOKUP(SIE115,[13]AssetDetails_UEM!$A$3:$AH$1849,6,FALSE)</f>
        <v>Electrosurgical Units, Monopolar/Bipolar</v>
      </c>
      <c r="SIG115" s="196" t="s">
        <v>761</v>
      </c>
      <c r="SIH115" s="197" t="str">
        <f>VLOOKUP(SIG115,[13]AssetDetails_UEM!$A$3:$AH$1849,6,FALSE)</f>
        <v>Electrosurgical Units, Monopolar/Bipolar</v>
      </c>
      <c r="SII115" s="196" t="s">
        <v>761</v>
      </c>
      <c r="SIJ115" s="197" t="str">
        <f>VLOOKUP(SII115,[13]AssetDetails_UEM!$A$3:$AH$1849,6,FALSE)</f>
        <v>Electrosurgical Units, Monopolar/Bipolar</v>
      </c>
      <c r="SIK115" s="196" t="s">
        <v>761</v>
      </c>
      <c r="SIL115" s="197" t="str">
        <f>VLOOKUP(SIK115,[13]AssetDetails_UEM!$A$3:$AH$1849,6,FALSE)</f>
        <v>Electrosurgical Units, Monopolar/Bipolar</v>
      </c>
      <c r="SIM115" s="196" t="s">
        <v>761</v>
      </c>
      <c r="SIN115" s="197" t="str">
        <f>VLOOKUP(SIM115,[13]AssetDetails_UEM!$A$3:$AH$1849,6,FALSE)</f>
        <v>Electrosurgical Units, Monopolar/Bipolar</v>
      </c>
      <c r="SIO115" s="196" t="s">
        <v>761</v>
      </c>
      <c r="SIP115" s="197" t="str">
        <f>VLOOKUP(SIO115,[13]AssetDetails_UEM!$A$3:$AH$1849,6,FALSE)</f>
        <v>Electrosurgical Units, Monopolar/Bipolar</v>
      </c>
      <c r="SIQ115" s="196" t="s">
        <v>761</v>
      </c>
      <c r="SIR115" s="197" t="str">
        <f>VLOOKUP(SIQ115,[13]AssetDetails_UEM!$A$3:$AH$1849,6,FALSE)</f>
        <v>Electrosurgical Units, Monopolar/Bipolar</v>
      </c>
      <c r="SIS115" s="196" t="s">
        <v>761</v>
      </c>
      <c r="SIT115" s="197" t="str">
        <f>VLOOKUP(SIS115,[13]AssetDetails_UEM!$A$3:$AH$1849,6,FALSE)</f>
        <v>Electrosurgical Units, Monopolar/Bipolar</v>
      </c>
      <c r="SIU115" s="196" t="s">
        <v>761</v>
      </c>
      <c r="SIV115" s="197" t="str">
        <f>VLOOKUP(SIU115,[13]AssetDetails_UEM!$A$3:$AH$1849,6,FALSE)</f>
        <v>Electrosurgical Units, Monopolar/Bipolar</v>
      </c>
      <c r="SIW115" s="196" t="s">
        <v>761</v>
      </c>
      <c r="SIX115" s="197" t="str">
        <f>VLOOKUP(SIW115,[13]AssetDetails_UEM!$A$3:$AH$1849,6,FALSE)</f>
        <v>Electrosurgical Units, Monopolar/Bipolar</v>
      </c>
      <c r="SIY115" s="196" t="s">
        <v>761</v>
      </c>
      <c r="SIZ115" s="197" t="str">
        <f>VLOOKUP(SIY115,[13]AssetDetails_UEM!$A$3:$AH$1849,6,FALSE)</f>
        <v>Electrosurgical Units, Monopolar/Bipolar</v>
      </c>
      <c r="SJA115" s="196" t="s">
        <v>761</v>
      </c>
      <c r="SJB115" s="197" t="str">
        <f>VLOOKUP(SJA115,[13]AssetDetails_UEM!$A$3:$AH$1849,6,FALSE)</f>
        <v>Electrosurgical Units, Monopolar/Bipolar</v>
      </c>
      <c r="SJC115" s="196" t="s">
        <v>761</v>
      </c>
      <c r="SJD115" s="197" t="str">
        <f>VLOOKUP(SJC115,[13]AssetDetails_UEM!$A$3:$AH$1849,6,FALSE)</f>
        <v>Electrosurgical Units, Monopolar/Bipolar</v>
      </c>
      <c r="SJE115" s="196" t="s">
        <v>761</v>
      </c>
      <c r="SJF115" s="197" t="str">
        <f>VLOOKUP(SJE115,[13]AssetDetails_UEM!$A$3:$AH$1849,6,FALSE)</f>
        <v>Electrosurgical Units, Monopolar/Bipolar</v>
      </c>
      <c r="SJG115" s="196" t="s">
        <v>761</v>
      </c>
      <c r="SJH115" s="197" t="str">
        <f>VLOOKUP(SJG115,[13]AssetDetails_UEM!$A$3:$AH$1849,6,FALSE)</f>
        <v>Electrosurgical Units, Monopolar/Bipolar</v>
      </c>
      <c r="SJI115" s="196" t="s">
        <v>761</v>
      </c>
      <c r="SJJ115" s="197" t="str">
        <f>VLOOKUP(SJI115,[13]AssetDetails_UEM!$A$3:$AH$1849,6,FALSE)</f>
        <v>Electrosurgical Units, Monopolar/Bipolar</v>
      </c>
      <c r="SJK115" s="196" t="s">
        <v>761</v>
      </c>
      <c r="SJL115" s="197" t="str">
        <f>VLOOKUP(SJK115,[13]AssetDetails_UEM!$A$3:$AH$1849,6,FALSE)</f>
        <v>Electrosurgical Units, Monopolar/Bipolar</v>
      </c>
      <c r="SJM115" s="196" t="s">
        <v>761</v>
      </c>
      <c r="SJN115" s="197" t="str">
        <f>VLOOKUP(SJM115,[13]AssetDetails_UEM!$A$3:$AH$1849,6,FALSE)</f>
        <v>Electrosurgical Units, Monopolar/Bipolar</v>
      </c>
      <c r="SJO115" s="196" t="s">
        <v>761</v>
      </c>
      <c r="SJP115" s="197" t="str">
        <f>VLOOKUP(SJO115,[13]AssetDetails_UEM!$A$3:$AH$1849,6,FALSE)</f>
        <v>Electrosurgical Units, Monopolar/Bipolar</v>
      </c>
      <c r="SJQ115" s="196" t="s">
        <v>761</v>
      </c>
      <c r="SJR115" s="197" t="str">
        <f>VLOOKUP(SJQ115,[13]AssetDetails_UEM!$A$3:$AH$1849,6,FALSE)</f>
        <v>Electrosurgical Units, Monopolar/Bipolar</v>
      </c>
      <c r="SJS115" s="196" t="s">
        <v>761</v>
      </c>
      <c r="SJT115" s="197" t="str">
        <f>VLOOKUP(SJS115,[13]AssetDetails_UEM!$A$3:$AH$1849,6,FALSE)</f>
        <v>Electrosurgical Units, Monopolar/Bipolar</v>
      </c>
      <c r="SJU115" s="196" t="s">
        <v>761</v>
      </c>
      <c r="SJV115" s="197" t="str">
        <f>VLOOKUP(SJU115,[13]AssetDetails_UEM!$A$3:$AH$1849,6,FALSE)</f>
        <v>Electrosurgical Units, Monopolar/Bipolar</v>
      </c>
      <c r="SJW115" s="196" t="s">
        <v>761</v>
      </c>
      <c r="SJX115" s="197" t="str">
        <f>VLOOKUP(SJW115,[13]AssetDetails_UEM!$A$3:$AH$1849,6,FALSE)</f>
        <v>Electrosurgical Units, Monopolar/Bipolar</v>
      </c>
      <c r="SJY115" s="196" t="s">
        <v>761</v>
      </c>
      <c r="SJZ115" s="197" t="str">
        <f>VLOOKUP(SJY115,[13]AssetDetails_UEM!$A$3:$AH$1849,6,FALSE)</f>
        <v>Electrosurgical Units, Monopolar/Bipolar</v>
      </c>
      <c r="SKA115" s="196" t="s">
        <v>761</v>
      </c>
      <c r="SKB115" s="197" t="str">
        <f>VLOOKUP(SKA115,[13]AssetDetails_UEM!$A$3:$AH$1849,6,FALSE)</f>
        <v>Electrosurgical Units, Monopolar/Bipolar</v>
      </c>
      <c r="SKC115" s="196" t="s">
        <v>761</v>
      </c>
      <c r="SKD115" s="197" t="str">
        <f>VLOOKUP(SKC115,[13]AssetDetails_UEM!$A$3:$AH$1849,6,FALSE)</f>
        <v>Electrosurgical Units, Monopolar/Bipolar</v>
      </c>
      <c r="SKE115" s="196" t="s">
        <v>761</v>
      </c>
      <c r="SKF115" s="197" t="str">
        <f>VLOOKUP(SKE115,[13]AssetDetails_UEM!$A$3:$AH$1849,6,FALSE)</f>
        <v>Electrosurgical Units, Monopolar/Bipolar</v>
      </c>
      <c r="SKG115" s="196" t="s">
        <v>761</v>
      </c>
      <c r="SKH115" s="197" t="str">
        <f>VLOOKUP(SKG115,[13]AssetDetails_UEM!$A$3:$AH$1849,6,FALSE)</f>
        <v>Electrosurgical Units, Monopolar/Bipolar</v>
      </c>
      <c r="SKI115" s="196" t="s">
        <v>761</v>
      </c>
      <c r="SKJ115" s="197" t="str">
        <f>VLOOKUP(SKI115,[13]AssetDetails_UEM!$A$3:$AH$1849,6,FALSE)</f>
        <v>Electrosurgical Units, Monopolar/Bipolar</v>
      </c>
      <c r="SKK115" s="196" t="s">
        <v>761</v>
      </c>
      <c r="SKL115" s="197" t="str">
        <f>VLOOKUP(SKK115,[13]AssetDetails_UEM!$A$3:$AH$1849,6,FALSE)</f>
        <v>Electrosurgical Units, Monopolar/Bipolar</v>
      </c>
      <c r="SKM115" s="196" t="s">
        <v>761</v>
      </c>
      <c r="SKN115" s="197" t="str">
        <f>VLOOKUP(SKM115,[13]AssetDetails_UEM!$A$3:$AH$1849,6,FALSE)</f>
        <v>Electrosurgical Units, Monopolar/Bipolar</v>
      </c>
      <c r="SKO115" s="196" t="s">
        <v>761</v>
      </c>
      <c r="SKP115" s="197" t="str">
        <f>VLOOKUP(SKO115,[13]AssetDetails_UEM!$A$3:$AH$1849,6,FALSE)</f>
        <v>Electrosurgical Units, Monopolar/Bipolar</v>
      </c>
      <c r="SKQ115" s="196" t="s">
        <v>761</v>
      </c>
      <c r="SKR115" s="197" t="str">
        <f>VLOOKUP(SKQ115,[13]AssetDetails_UEM!$A$3:$AH$1849,6,FALSE)</f>
        <v>Electrosurgical Units, Monopolar/Bipolar</v>
      </c>
      <c r="SKS115" s="196" t="s">
        <v>761</v>
      </c>
      <c r="SKT115" s="197" t="str">
        <f>VLOOKUP(SKS115,[13]AssetDetails_UEM!$A$3:$AH$1849,6,FALSE)</f>
        <v>Electrosurgical Units, Monopolar/Bipolar</v>
      </c>
      <c r="SKU115" s="196" t="s">
        <v>761</v>
      </c>
      <c r="SKV115" s="197" t="str">
        <f>VLOOKUP(SKU115,[13]AssetDetails_UEM!$A$3:$AH$1849,6,FALSE)</f>
        <v>Electrosurgical Units, Monopolar/Bipolar</v>
      </c>
      <c r="SKW115" s="196" t="s">
        <v>761</v>
      </c>
      <c r="SKX115" s="197" t="str">
        <f>VLOOKUP(SKW115,[13]AssetDetails_UEM!$A$3:$AH$1849,6,FALSE)</f>
        <v>Electrosurgical Units, Monopolar/Bipolar</v>
      </c>
      <c r="SKY115" s="196" t="s">
        <v>761</v>
      </c>
      <c r="SKZ115" s="197" t="str">
        <f>VLOOKUP(SKY115,[13]AssetDetails_UEM!$A$3:$AH$1849,6,FALSE)</f>
        <v>Electrosurgical Units, Monopolar/Bipolar</v>
      </c>
      <c r="SLA115" s="196" t="s">
        <v>761</v>
      </c>
      <c r="SLB115" s="197" t="str">
        <f>VLOOKUP(SLA115,[13]AssetDetails_UEM!$A$3:$AH$1849,6,FALSE)</f>
        <v>Electrosurgical Units, Monopolar/Bipolar</v>
      </c>
      <c r="SLC115" s="196" t="s">
        <v>761</v>
      </c>
      <c r="SLD115" s="197" t="str">
        <f>VLOOKUP(SLC115,[13]AssetDetails_UEM!$A$3:$AH$1849,6,FALSE)</f>
        <v>Electrosurgical Units, Monopolar/Bipolar</v>
      </c>
      <c r="SLE115" s="196" t="s">
        <v>761</v>
      </c>
      <c r="SLF115" s="197" t="str">
        <f>VLOOKUP(SLE115,[13]AssetDetails_UEM!$A$3:$AH$1849,6,FALSE)</f>
        <v>Electrosurgical Units, Monopolar/Bipolar</v>
      </c>
      <c r="SLG115" s="196" t="s">
        <v>761</v>
      </c>
      <c r="SLH115" s="197" t="str">
        <f>VLOOKUP(SLG115,[13]AssetDetails_UEM!$A$3:$AH$1849,6,FALSE)</f>
        <v>Electrosurgical Units, Monopolar/Bipolar</v>
      </c>
      <c r="SLI115" s="196" t="s">
        <v>761</v>
      </c>
      <c r="SLJ115" s="197" t="str">
        <f>VLOOKUP(SLI115,[13]AssetDetails_UEM!$A$3:$AH$1849,6,FALSE)</f>
        <v>Electrosurgical Units, Monopolar/Bipolar</v>
      </c>
      <c r="SLK115" s="196" t="s">
        <v>761</v>
      </c>
      <c r="SLL115" s="197" t="str">
        <f>VLOOKUP(SLK115,[13]AssetDetails_UEM!$A$3:$AH$1849,6,FALSE)</f>
        <v>Electrosurgical Units, Monopolar/Bipolar</v>
      </c>
      <c r="SLM115" s="196" t="s">
        <v>761</v>
      </c>
      <c r="SLN115" s="197" t="str">
        <f>VLOOKUP(SLM115,[13]AssetDetails_UEM!$A$3:$AH$1849,6,FALSE)</f>
        <v>Electrosurgical Units, Monopolar/Bipolar</v>
      </c>
      <c r="SLO115" s="196" t="s">
        <v>761</v>
      </c>
      <c r="SLP115" s="197" t="str">
        <f>VLOOKUP(SLO115,[13]AssetDetails_UEM!$A$3:$AH$1849,6,FALSE)</f>
        <v>Electrosurgical Units, Monopolar/Bipolar</v>
      </c>
      <c r="SLQ115" s="196" t="s">
        <v>761</v>
      </c>
      <c r="SLR115" s="197" t="str">
        <f>VLOOKUP(SLQ115,[13]AssetDetails_UEM!$A$3:$AH$1849,6,FALSE)</f>
        <v>Electrosurgical Units, Monopolar/Bipolar</v>
      </c>
      <c r="SLS115" s="196" t="s">
        <v>761</v>
      </c>
      <c r="SLT115" s="197" t="str">
        <f>VLOOKUP(SLS115,[13]AssetDetails_UEM!$A$3:$AH$1849,6,FALSE)</f>
        <v>Electrosurgical Units, Monopolar/Bipolar</v>
      </c>
      <c r="SLU115" s="196" t="s">
        <v>761</v>
      </c>
      <c r="SLV115" s="197" t="str">
        <f>VLOOKUP(SLU115,[13]AssetDetails_UEM!$A$3:$AH$1849,6,FALSE)</f>
        <v>Electrosurgical Units, Monopolar/Bipolar</v>
      </c>
      <c r="SLW115" s="196" t="s">
        <v>761</v>
      </c>
      <c r="SLX115" s="197" t="str">
        <f>VLOOKUP(SLW115,[13]AssetDetails_UEM!$A$3:$AH$1849,6,FALSE)</f>
        <v>Electrosurgical Units, Monopolar/Bipolar</v>
      </c>
      <c r="SLY115" s="196" t="s">
        <v>761</v>
      </c>
      <c r="SLZ115" s="197" t="str">
        <f>VLOOKUP(SLY115,[13]AssetDetails_UEM!$A$3:$AH$1849,6,FALSE)</f>
        <v>Electrosurgical Units, Monopolar/Bipolar</v>
      </c>
      <c r="SMA115" s="196" t="s">
        <v>761</v>
      </c>
      <c r="SMB115" s="197" t="str">
        <f>VLOOKUP(SMA115,[13]AssetDetails_UEM!$A$3:$AH$1849,6,FALSE)</f>
        <v>Electrosurgical Units, Monopolar/Bipolar</v>
      </c>
      <c r="SMC115" s="196" t="s">
        <v>761</v>
      </c>
      <c r="SMD115" s="197" t="str">
        <f>VLOOKUP(SMC115,[13]AssetDetails_UEM!$A$3:$AH$1849,6,FALSE)</f>
        <v>Electrosurgical Units, Monopolar/Bipolar</v>
      </c>
      <c r="SME115" s="196" t="s">
        <v>761</v>
      </c>
      <c r="SMF115" s="197" t="str">
        <f>VLOOKUP(SME115,[13]AssetDetails_UEM!$A$3:$AH$1849,6,FALSE)</f>
        <v>Electrosurgical Units, Monopolar/Bipolar</v>
      </c>
      <c r="SMG115" s="196" t="s">
        <v>761</v>
      </c>
      <c r="SMH115" s="197" t="str">
        <f>VLOOKUP(SMG115,[13]AssetDetails_UEM!$A$3:$AH$1849,6,FALSE)</f>
        <v>Electrosurgical Units, Monopolar/Bipolar</v>
      </c>
      <c r="SMI115" s="196" t="s">
        <v>761</v>
      </c>
      <c r="SMJ115" s="197" t="str">
        <f>VLOOKUP(SMI115,[13]AssetDetails_UEM!$A$3:$AH$1849,6,FALSE)</f>
        <v>Electrosurgical Units, Monopolar/Bipolar</v>
      </c>
      <c r="SMK115" s="196" t="s">
        <v>761</v>
      </c>
      <c r="SML115" s="197" t="str">
        <f>VLOOKUP(SMK115,[13]AssetDetails_UEM!$A$3:$AH$1849,6,FALSE)</f>
        <v>Electrosurgical Units, Monopolar/Bipolar</v>
      </c>
      <c r="SMM115" s="196" t="s">
        <v>761</v>
      </c>
      <c r="SMN115" s="197" t="str">
        <f>VLOOKUP(SMM115,[13]AssetDetails_UEM!$A$3:$AH$1849,6,FALSE)</f>
        <v>Electrosurgical Units, Monopolar/Bipolar</v>
      </c>
      <c r="SMO115" s="196" t="s">
        <v>761</v>
      </c>
      <c r="SMP115" s="197" t="str">
        <f>VLOOKUP(SMO115,[13]AssetDetails_UEM!$A$3:$AH$1849,6,FALSE)</f>
        <v>Electrosurgical Units, Monopolar/Bipolar</v>
      </c>
      <c r="SMQ115" s="196" t="s">
        <v>761</v>
      </c>
      <c r="SMR115" s="197" t="str">
        <f>VLOOKUP(SMQ115,[13]AssetDetails_UEM!$A$3:$AH$1849,6,FALSE)</f>
        <v>Electrosurgical Units, Monopolar/Bipolar</v>
      </c>
      <c r="SMS115" s="196" t="s">
        <v>761</v>
      </c>
      <c r="SMT115" s="197" t="str">
        <f>VLOOKUP(SMS115,[13]AssetDetails_UEM!$A$3:$AH$1849,6,FALSE)</f>
        <v>Electrosurgical Units, Monopolar/Bipolar</v>
      </c>
      <c r="SMU115" s="196" t="s">
        <v>761</v>
      </c>
      <c r="SMV115" s="197" t="str">
        <f>VLOOKUP(SMU115,[13]AssetDetails_UEM!$A$3:$AH$1849,6,FALSE)</f>
        <v>Electrosurgical Units, Monopolar/Bipolar</v>
      </c>
      <c r="SMW115" s="196" t="s">
        <v>761</v>
      </c>
      <c r="SMX115" s="197" t="str">
        <f>VLOOKUP(SMW115,[13]AssetDetails_UEM!$A$3:$AH$1849,6,FALSE)</f>
        <v>Electrosurgical Units, Monopolar/Bipolar</v>
      </c>
      <c r="SMY115" s="196" t="s">
        <v>761</v>
      </c>
      <c r="SMZ115" s="197" t="str">
        <f>VLOOKUP(SMY115,[13]AssetDetails_UEM!$A$3:$AH$1849,6,FALSE)</f>
        <v>Electrosurgical Units, Monopolar/Bipolar</v>
      </c>
      <c r="SNA115" s="196" t="s">
        <v>761</v>
      </c>
      <c r="SNB115" s="197" t="str">
        <f>VLOOKUP(SNA115,[13]AssetDetails_UEM!$A$3:$AH$1849,6,FALSE)</f>
        <v>Electrosurgical Units, Monopolar/Bipolar</v>
      </c>
      <c r="SNC115" s="196" t="s">
        <v>761</v>
      </c>
      <c r="SND115" s="197" t="str">
        <f>VLOOKUP(SNC115,[13]AssetDetails_UEM!$A$3:$AH$1849,6,FALSE)</f>
        <v>Electrosurgical Units, Monopolar/Bipolar</v>
      </c>
      <c r="SNE115" s="196" t="s">
        <v>761</v>
      </c>
      <c r="SNF115" s="197" t="str">
        <f>VLOOKUP(SNE115,[13]AssetDetails_UEM!$A$3:$AH$1849,6,FALSE)</f>
        <v>Electrosurgical Units, Monopolar/Bipolar</v>
      </c>
      <c r="SNG115" s="196" t="s">
        <v>761</v>
      </c>
      <c r="SNH115" s="197" t="str">
        <f>VLOOKUP(SNG115,[13]AssetDetails_UEM!$A$3:$AH$1849,6,FALSE)</f>
        <v>Electrosurgical Units, Monopolar/Bipolar</v>
      </c>
      <c r="SNI115" s="196" t="s">
        <v>761</v>
      </c>
      <c r="SNJ115" s="197" t="str">
        <f>VLOOKUP(SNI115,[13]AssetDetails_UEM!$A$3:$AH$1849,6,FALSE)</f>
        <v>Electrosurgical Units, Monopolar/Bipolar</v>
      </c>
      <c r="SNK115" s="196" t="s">
        <v>761</v>
      </c>
      <c r="SNL115" s="197" t="str">
        <f>VLOOKUP(SNK115,[13]AssetDetails_UEM!$A$3:$AH$1849,6,FALSE)</f>
        <v>Electrosurgical Units, Monopolar/Bipolar</v>
      </c>
      <c r="SNM115" s="196" t="s">
        <v>761</v>
      </c>
      <c r="SNN115" s="197" t="str">
        <f>VLOOKUP(SNM115,[13]AssetDetails_UEM!$A$3:$AH$1849,6,FALSE)</f>
        <v>Electrosurgical Units, Monopolar/Bipolar</v>
      </c>
      <c r="SNO115" s="196" t="s">
        <v>761</v>
      </c>
      <c r="SNP115" s="197" t="str">
        <f>VLOOKUP(SNO115,[13]AssetDetails_UEM!$A$3:$AH$1849,6,FALSE)</f>
        <v>Electrosurgical Units, Monopolar/Bipolar</v>
      </c>
      <c r="SNQ115" s="196" t="s">
        <v>761</v>
      </c>
      <c r="SNR115" s="197" t="str">
        <f>VLOOKUP(SNQ115,[13]AssetDetails_UEM!$A$3:$AH$1849,6,FALSE)</f>
        <v>Electrosurgical Units, Monopolar/Bipolar</v>
      </c>
      <c r="SNS115" s="196" t="s">
        <v>761</v>
      </c>
      <c r="SNT115" s="197" t="str">
        <f>VLOOKUP(SNS115,[13]AssetDetails_UEM!$A$3:$AH$1849,6,FALSE)</f>
        <v>Electrosurgical Units, Monopolar/Bipolar</v>
      </c>
      <c r="SNU115" s="196" t="s">
        <v>761</v>
      </c>
      <c r="SNV115" s="197" t="str">
        <f>VLOOKUP(SNU115,[13]AssetDetails_UEM!$A$3:$AH$1849,6,FALSE)</f>
        <v>Electrosurgical Units, Monopolar/Bipolar</v>
      </c>
      <c r="SNW115" s="196" t="s">
        <v>761</v>
      </c>
      <c r="SNX115" s="197" t="str">
        <f>VLOOKUP(SNW115,[13]AssetDetails_UEM!$A$3:$AH$1849,6,FALSE)</f>
        <v>Electrosurgical Units, Monopolar/Bipolar</v>
      </c>
      <c r="SNY115" s="196" t="s">
        <v>761</v>
      </c>
      <c r="SNZ115" s="197" t="str">
        <f>VLOOKUP(SNY115,[13]AssetDetails_UEM!$A$3:$AH$1849,6,FALSE)</f>
        <v>Electrosurgical Units, Monopolar/Bipolar</v>
      </c>
      <c r="SOA115" s="196" t="s">
        <v>761</v>
      </c>
      <c r="SOB115" s="197" t="str">
        <f>VLOOKUP(SOA115,[13]AssetDetails_UEM!$A$3:$AH$1849,6,FALSE)</f>
        <v>Electrosurgical Units, Monopolar/Bipolar</v>
      </c>
      <c r="SOC115" s="196" t="s">
        <v>761</v>
      </c>
      <c r="SOD115" s="197" t="str">
        <f>VLOOKUP(SOC115,[13]AssetDetails_UEM!$A$3:$AH$1849,6,FALSE)</f>
        <v>Electrosurgical Units, Monopolar/Bipolar</v>
      </c>
      <c r="SOE115" s="196" t="s">
        <v>761</v>
      </c>
      <c r="SOF115" s="197" t="str">
        <f>VLOOKUP(SOE115,[13]AssetDetails_UEM!$A$3:$AH$1849,6,FALSE)</f>
        <v>Electrosurgical Units, Monopolar/Bipolar</v>
      </c>
      <c r="SOG115" s="196" t="s">
        <v>761</v>
      </c>
      <c r="SOH115" s="197" t="str">
        <f>VLOOKUP(SOG115,[13]AssetDetails_UEM!$A$3:$AH$1849,6,FALSE)</f>
        <v>Electrosurgical Units, Monopolar/Bipolar</v>
      </c>
      <c r="SOI115" s="196" t="s">
        <v>761</v>
      </c>
      <c r="SOJ115" s="197" t="str">
        <f>VLOOKUP(SOI115,[13]AssetDetails_UEM!$A$3:$AH$1849,6,FALSE)</f>
        <v>Electrosurgical Units, Monopolar/Bipolar</v>
      </c>
      <c r="SOK115" s="196" t="s">
        <v>761</v>
      </c>
      <c r="SOL115" s="197" t="str">
        <f>VLOOKUP(SOK115,[13]AssetDetails_UEM!$A$3:$AH$1849,6,FALSE)</f>
        <v>Electrosurgical Units, Monopolar/Bipolar</v>
      </c>
      <c r="SOM115" s="196" t="s">
        <v>761</v>
      </c>
      <c r="SON115" s="197" t="str">
        <f>VLOOKUP(SOM115,[13]AssetDetails_UEM!$A$3:$AH$1849,6,FALSE)</f>
        <v>Electrosurgical Units, Monopolar/Bipolar</v>
      </c>
      <c r="SOO115" s="196" t="s">
        <v>761</v>
      </c>
      <c r="SOP115" s="197" t="str">
        <f>VLOOKUP(SOO115,[13]AssetDetails_UEM!$A$3:$AH$1849,6,FALSE)</f>
        <v>Electrosurgical Units, Monopolar/Bipolar</v>
      </c>
      <c r="SOQ115" s="196" t="s">
        <v>761</v>
      </c>
      <c r="SOR115" s="197" t="str">
        <f>VLOOKUP(SOQ115,[13]AssetDetails_UEM!$A$3:$AH$1849,6,FALSE)</f>
        <v>Electrosurgical Units, Monopolar/Bipolar</v>
      </c>
      <c r="SOS115" s="196" t="s">
        <v>761</v>
      </c>
      <c r="SOT115" s="197" t="str">
        <f>VLOOKUP(SOS115,[13]AssetDetails_UEM!$A$3:$AH$1849,6,FALSE)</f>
        <v>Electrosurgical Units, Monopolar/Bipolar</v>
      </c>
      <c r="SOU115" s="196" t="s">
        <v>761</v>
      </c>
      <c r="SOV115" s="197" t="str">
        <f>VLOOKUP(SOU115,[13]AssetDetails_UEM!$A$3:$AH$1849,6,FALSE)</f>
        <v>Electrosurgical Units, Monopolar/Bipolar</v>
      </c>
      <c r="SOW115" s="196" t="s">
        <v>761</v>
      </c>
      <c r="SOX115" s="197" t="str">
        <f>VLOOKUP(SOW115,[13]AssetDetails_UEM!$A$3:$AH$1849,6,FALSE)</f>
        <v>Electrosurgical Units, Monopolar/Bipolar</v>
      </c>
      <c r="SOY115" s="196" t="s">
        <v>761</v>
      </c>
      <c r="SOZ115" s="197" t="str">
        <f>VLOOKUP(SOY115,[13]AssetDetails_UEM!$A$3:$AH$1849,6,FALSE)</f>
        <v>Electrosurgical Units, Monopolar/Bipolar</v>
      </c>
      <c r="SPA115" s="196" t="s">
        <v>761</v>
      </c>
      <c r="SPB115" s="197" t="str">
        <f>VLOOKUP(SPA115,[13]AssetDetails_UEM!$A$3:$AH$1849,6,FALSE)</f>
        <v>Electrosurgical Units, Monopolar/Bipolar</v>
      </c>
      <c r="SPC115" s="196" t="s">
        <v>761</v>
      </c>
      <c r="SPD115" s="197" t="str">
        <f>VLOOKUP(SPC115,[13]AssetDetails_UEM!$A$3:$AH$1849,6,FALSE)</f>
        <v>Electrosurgical Units, Monopolar/Bipolar</v>
      </c>
      <c r="SPE115" s="196" t="s">
        <v>761</v>
      </c>
      <c r="SPF115" s="197" t="str">
        <f>VLOOKUP(SPE115,[13]AssetDetails_UEM!$A$3:$AH$1849,6,FALSE)</f>
        <v>Electrosurgical Units, Monopolar/Bipolar</v>
      </c>
      <c r="SPG115" s="196" t="s">
        <v>761</v>
      </c>
      <c r="SPH115" s="197" t="str">
        <f>VLOOKUP(SPG115,[13]AssetDetails_UEM!$A$3:$AH$1849,6,FALSE)</f>
        <v>Electrosurgical Units, Monopolar/Bipolar</v>
      </c>
      <c r="SPI115" s="196" t="s">
        <v>761</v>
      </c>
      <c r="SPJ115" s="197" t="str">
        <f>VLOOKUP(SPI115,[13]AssetDetails_UEM!$A$3:$AH$1849,6,FALSE)</f>
        <v>Electrosurgical Units, Monopolar/Bipolar</v>
      </c>
      <c r="SPK115" s="196" t="s">
        <v>761</v>
      </c>
      <c r="SPL115" s="197" t="str">
        <f>VLOOKUP(SPK115,[13]AssetDetails_UEM!$A$3:$AH$1849,6,FALSE)</f>
        <v>Electrosurgical Units, Monopolar/Bipolar</v>
      </c>
      <c r="SPM115" s="196" t="s">
        <v>761</v>
      </c>
      <c r="SPN115" s="197" t="str">
        <f>VLOOKUP(SPM115,[13]AssetDetails_UEM!$A$3:$AH$1849,6,FALSE)</f>
        <v>Electrosurgical Units, Monopolar/Bipolar</v>
      </c>
      <c r="SPO115" s="196" t="s">
        <v>761</v>
      </c>
      <c r="SPP115" s="197" t="str">
        <f>VLOOKUP(SPO115,[13]AssetDetails_UEM!$A$3:$AH$1849,6,FALSE)</f>
        <v>Electrosurgical Units, Monopolar/Bipolar</v>
      </c>
      <c r="SPQ115" s="196" t="s">
        <v>761</v>
      </c>
      <c r="SPR115" s="197" t="str">
        <f>VLOOKUP(SPQ115,[13]AssetDetails_UEM!$A$3:$AH$1849,6,FALSE)</f>
        <v>Electrosurgical Units, Monopolar/Bipolar</v>
      </c>
      <c r="SPS115" s="196" t="s">
        <v>761</v>
      </c>
      <c r="SPT115" s="197" t="str">
        <f>VLOOKUP(SPS115,[13]AssetDetails_UEM!$A$3:$AH$1849,6,FALSE)</f>
        <v>Electrosurgical Units, Monopolar/Bipolar</v>
      </c>
      <c r="SPU115" s="196" t="s">
        <v>761</v>
      </c>
      <c r="SPV115" s="197" t="str">
        <f>VLOOKUP(SPU115,[13]AssetDetails_UEM!$A$3:$AH$1849,6,FALSE)</f>
        <v>Electrosurgical Units, Monopolar/Bipolar</v>
      </c>
      <c r="SPW115" s="196" t="s">
        <v>761</v>
      </c>
      <c r="SPX115" s="197" t="str">
        <f>VLOOKUP(SPW115,[13]AssetDetails_UEM!$A$3:$AH$1849,6,FALSE)</f>
        <v>Electrosurgical Units, Monopolar/Bipolar</v>
      </c>
      <c r="SPY115" s="196" t="s">
        <v>761</v>
      </c>
      <c r="SPZ115" s="197" t="str">
        <f>VLOOKUP(SPY115,[13]AssetDetails_UEM!$A$3:$AH$1849,6,FALSE)</f>
        <v>Electrosurgical Units, Monopolar/Bipolar</v>
      </c>
      <c r="SQA115" s="196" t="s">
        <v>761</v>
      </c>
      <c r="SQB115" s="197" t="str">
        <f>VLOOKUP(SQA115,[13]AssetDetails_UEM!$A$3:$AH$1849,6,FALSE)</f>
        <v>Electrosurgical Units, Monopolar/Bipolar</v>
      </c>
      <c r="SQC115" s="196" t="s">
        <v>761</v>
      </c>
      <c r="SQD115" s="197" t="str">
        <f>VLOOKUP(SQC115,[13]AssetDetails_UEM!$A$3:$AH$1849,6,FALSE)</f>
        <v>Electrosurgical Units, Monopolar/Bipolar</v>
      </c>
      <c r="SQE115" s="196" t="s">
        <v>761</v>
      </c>
      <c r="SQF115" s="197" t="str">
        <f>VLOOKUP(SQE115,[13]AssetDetails_UEM!$A$3:$AH$1849,6,FALSE)</f>
        <v>Electrosurgical Units, Monopolar/Bipolar</v>
      </c>
      <c r="SQG115" s="196" t="s">
        <v>761</v>
      </c>
      <c r="SQH115" s="197" t="str">
        <f>VLOOKUP(SQG115,[13]AssetDetails_UEM!$A$3:$AH$1849,6,FALSE)</f>
        <v>Electrosurgical Units, Monopolar/Bipolar</v>
      </c>
      <c r="SQI115" s="196" t="s">
        <v>761</v>
      </c>
      <c r="SQJ115" s="197" t="str">
        <f>VLOOKUP(SQI115,[13]AssetDetails_UEM!$A$3:$AH$1849,6,FALSE)</f>
        <v>Electrosurgical Units, Monopolar/Bipolar</v>
      </c>
      <c r="SQK115" s="196" t="s">
        <v>761</v>
      </c>
      <c r="SQL115" s="197" t="str">
        <f>VLOOKUP(SQK115,[13]AssetDetails_UEM!$A$3:$AH$1849,6,FALSE)</f>
        <v>Electrosurgical Units, Monopolar/Bipolar</v>
      </c>
      <c r="SQM115" s="196" t="s">
        <v>761</v>
      </c>
      <c r="SQN115" s="197" t="str">
        <f>VLOOKUP(SQM115,[13]AssetDetails_UEM!$A$3:$AH$1849,6,FALSE)</f>
        <v>Electrosurgical Units, Monopolar/Bipolar</v>
      </c>
      <c r="SQO115" s="196" t="s">
        <v>761</v>
      </c>
      <c r="SQP115" s="197" t="str">
        <f>VLOOKUP(SQO115,[13]AssetDetails_UEM!$A$3:$AH$1849,6,FALSE)</f>
        <v>Electrosurgical Units, Monopolar/Bipolar</v>
      </c>
      <c r="SQQ115" s="196" t="s">
        <v>761</v>
      </c>
      <c r="SQR115" s="197" t="str">
        <f>VLOOKUP(SQQ115,[13]AssetDetails_UEM!$A$3:$AH$1849,6,FALSE)</f>
        <v>Electrosurgical Units, Monopolar/Bipolar</v>
      </c>
      <c r="SQS115" s="196" t="s">
        <v>761</v>
      </c>
      <c r="SQT115" s="197" t="str">
        <f>VLOOKUP(SQS115,[13]AssetDetails_UEM!$A$3:$AH$1849,6,FALSE)</f>
        <v>Electrosurgical Units, Monopolar/Bipolar</v>
      </c>
      <c r="SQU115" s="196" t="s">
        <v>761</v>
      </c>
      <c r="SQV115" s="197" t="str">
        <f>VLOOKUP(SQU115,[13]AssetDetails_UEM!$A$3:$AH$1849,6,FALSE)</f>
        <v>Electrosurgical Units, Monopolar/Bipolar</v>
      </c>
      <c r="SQW115" s="196" t="s">
        <v>761</v>
      </c>
      <c r="SQX115" s="197" t="str">
        <f>VLOOKUP(SQW115,[13]AssetDetails_UEM!$A$3:$AH$1849,6,FALSE)</f>
        <v>Electrosurgical Units, Monopolar/Bipolar</v>
      </c>
      <c r="SQY115" s="196" t="s">
        <v>761</v>
      </c>
      <c r="SQZ115" s="197" t="str">
        <f>VLOOKUP(SQY115,[13]AssetDetails_UEM!$A$3:$AH$1849,6,FALSE)</f>
        <v>Electrosurgical Units, Monopolar/Bipolar</v>
      </c>
      <c r="SRA115" s="196" t="s">
        <v>761</v>
      </c>
      <c r="SRB115" s="197" t="str">
        <f>VLOOKUP(SRA115,[13]AssetDetails_UEM!$A$3:$AH$1849,6,FALSE)</f>
        <v>Electrosurgical Units, Monopolar/Bipolar</v>
      </c>
      <c r="SRC115" s="196" t="s">
        <v>761</v>
      </c>
      <c r="SRD115" s="197" t="str">
        <f>VLOOKUP(SRC115,[13]AssetDetails_UEM!$A$3:$AH$1849,6,FALSE)</f>
        <v>Electrosurgical Units, Monopolar/Bipolar</v>
      </c>
      <c r="SRE115" s="196" t="s">
        <v>761</v>
      </c>
      <c r="SRF115" s="197" t="str">
        <f>VLOOKUP(SRE115,[13]AssetDetails_UEM!$A$3:$AH$1849,6,FALSE)</f>
        <v>Electrosurgical Units, Monopolar/Bipolar</v>
      </c>
      <c r="SRG115" s="196" t="s">
        <v>761</v>
      </c>
      <c r="SRH115" s="197" t="str">
        <f>VLOOKUP(SRG115,[13]AssetDetails_UEM!$A$3:$AH$1849,6,FALSE)</f>
        <v>Electrosurgical Units, Monopolar/Bipolar</v>
      </c>
      <c r="SRI115" s="196" t="s">
        <v>761</v>
      </c>
      <c r="SRJ115" s="197" t="str">
        <f>VLOOKUP(SRI115,[13]AssetDetails_UEM!$A$3:$AH$1849,6,FALSE)</f>
        <v>Electrosurgical Units, Monopolar/Bipolar</v>
      </c>
      <c r="SRK115" s="196" t="s">
        <v>761</v>
      </c>
      <c r="SRL115" s="197" t="str">
        <f>VLOOKUP(SRK115,[13]AssetDetails_UEM!$A$3:$AH$1849,6,FALSE)</f>
        <v>Electrosurgical Units, Monopolar/Bipolar</v>
      </c>
      <c r="SRM115" s="196" t="s">
        <v>761</v>
      </c>
      <c r="SRN115" s="197" t="str">
        <f>VLOOKUP(SRM115,[13]AssetDetails_UEM!$A$3:$AH$1849,6,FALSE)</f>
        <v>Electrosurgical Units, Monopolar/Bipolar</v>
      </c>
      <c r="SRO115" s="196" t="s">
        <v>761</v>
      </c>
      <c r="SRP115" s="197" t="str">
        <f>VLOOKUP(SRO115,[13]AssetDetails_UEM!$A$3:$AH$1849,6,FALSE)</f>
        <v>Electrosurgical Units, Monopolar/Bipolar</v>
      </c>
      <c r="SRQ115" s="196" t="s">
        <v>761</v>
      </c>
      <c r="SRR115" s="197" t="str">
        <f>VLOOKUP(SRQ115,[13]AssetDetails_UEM!$A$3:$AH$1849,6,FALSE)</f>
        <v>Electrosurgical Units, Monopolar/Bipolar</v>
      </c>
      <c r="SRS115" s="196" t="s">
        <v>761</v>
      </c>
      <c r="SRT115" s="197" t="str">
        <f>VLOOKUP(SRS115,[13]AssetDetails_UEM!$A$3:$AH$1849,6,FALSE)</f>
        <v>Electrosurgical Units, Monopolar/Bipolar</v>
      </c>
      <c r="SRU115" s="196" t="s">
        <v>761</v>
      </c>
      <c r="SRV115" s="197" t="str">
        <f>VLOOKUP(SRU115,[13]AssetDetails_UEM!$A$3:$AH$1849,6,FALSE)</f>
        <v>Electrosurgical Units, Monopolar/Bipolar</v>
      </c>
      <c r="SRW115" s="196" t="s">
        <v>761</v>
      </c>
      <c r="SRX115" s="197" t="str">
        <f>VLOOKUP(SRW115,[13]AssetDetails_UEM!$A$3:$AH$1849,6,FALSE)</f>
        <v>Electrosurgical Units, Monopolar/Bipolar</v>
      </c>
      <c r="SRY115" s="196" t="s">
        <v>761</v>
      </c>
      <c r="SRZ115" s="197" t="str">
        <f>VLOOKUP(SRY115,[13]AssetDetails_UEM!$A$3:$AH$1849,6,FALSE)</f>
        <v>Electrosurgical Units, Monopolar/Bipolar</v>
      </c>
      <c r="SSA115" s="196" t="s">
        <v>761</v>
      </c>
      <c r="SSB115" s="197" t="str">
        <f>VLOOKUP(SSA115,[13]AssetDetails_UEM!$A$3:$AH$1849,6,FALSE)</f>
        <v>Electrosurgical Units, Monopolar/Bipolar</v>
      </c>
      <c r="SSC115" s="196" t="s">
        <v>761</v>
      </c>
      <c r="SSD115" s="197" t="str">
        <f>VLOOKUP(SSC115,[13]AssetDetails_UEM!$A$3:$AH$1849,6,FALSE)</f>
        <v>Electrosurgical Units, Monopolar/Bipolar</v>
      </c>
      <c r="SSE115" s="196" t="s">
        <v>761</v>
      </c>
      <c r="SSF115" s="197" t="str">
        <f>VLOOKUP(SSE115,[13]AssetDetails_UEM!$A$3:$AH$1849,6,FALSE)</f>
        <v>Electrosurgical Units, Monopolar/Bipolar</v>
      </c>
      <c r="SSG115" s="196" t="s">
        <v>761</v>
      </c>
      <c r="SSH115" s="197" t="str">
        <f>VLOOKUP(SSG115,[13]AssetDetails_UEM!$A$3:$AH$1849,6,FALSE)</f>
        <v>Electrosurgical Units, Monopolar/Bipolar</v>
      </c>
      <c r="SSI115" s="196" t="s">
        <v>761</v>
      </c>
      <c r="SSJ115" s="197" t="str">
        <f>VLOOKUP(SSI115,[13]AssetDetails_UEM!$A$3:$AH$1849,6,FALSE)</f>
        <v>Electrosurgical Units, Monopolar/Bipolar</v>
      </c>
      <c r="SSK115" s="196" t="s">
        <v>761</v>
      </c>
      <c r="SSL115" s="197" t="str">
        <f>VLOOKUP(SSK115,[13]AssetDetails_UEM!$A$3:$AH$1849,6,FALSE)</f>
        <v>Electrosurgical Units, Monopolar/Bipolar</v>
      </c>
      <c r="SSM115" s="196" t="s">
        <v>761</v>
      </c>
      <c r="SSN115" s="197" t="str">
        <f>VLOOKUP(SSM115,[13]AssetDetails_UEM!$A$3:$AH$1849,6,FALSE)</f>
        <v>Electrosurgical Units, Monopolar/Bipolar</v>
      </c>
      <c r="SSO115" s="196" t="s">
        <v>761</v>
      </c>
      <c r="SSP115" s="197" t="str">
        <f>VLOOKUP(SSO115,[13]AssetDetails_UEM!$A$3:$AH$1849,6,FALSE)</f>
        <v>Electrosurgical Units, Monopolar/Bipolar</v>
      </c>
      <c r="SSQ115" s="196" t="s">
        <v>761</v>
      </c>
      <c r="SSR115" s="197" t="str">
        <f>VLOOKUP(SSQ115,[13]AssetDetails_UEM!$A$3:$AH$1849,6,FALSE)</f>
        <v>Electrosurgical Units, Monopolar/Bipolar</v>
      </c>
      <c r="SSS115" s="196" t="s">
        <v>761</v>
      </c>
      <c r="SST115" s="197" t="str">
        <f>VLOOKUP(SSS115,[13]AssetDetails_UEM!$A$3:$AH$1849,6,FALSE)</f>
        <v>Electrosurgical Units, Monopolar/Bipolar</v>
      </c>
      <c r="SSU115" s="196" t="s">
        <v>761</v>
      </c>
      <c r="SSV115" s="197" t="str">
        <f>VLOOKUP(SSU115,[13]AssetDetails_UEM!$A$3:$AH$1849,6,FALSE)</f>
        <v>Electrosurgical Units, Monopolar/Bipolar</v>
      </c>
      <c r="SSW115" s="196" t="s">
        <v>761</v>
      </c>
      <c r="SSX115" s="197" t="str">
        <f>VLOOKUP(SSW115,[13]AssetDetails_UEM!$A$3:$AH$1849,6,FALSE)</f>
        <v>Electrosurgical Units, Monopolar/Bipolar</v>
      </c>
      <c r="SSY115" s="196" t="s">
        <v>761</v>
      </c>
      <c r="SSZ115" s="197" t="str">
        <f>VLOOKUP(SSY115,[13]AssetDetails_UEM!$A$3:$AH$1849,6,FALSE)</f>
        <v>Electrosurgical Units, Monopolar/Bipolar</v>
      </c>
      <c r="STA115" s="196" t="s">
        <v>761</v>
      </c>
      <c r="STB115" s="197" t="str">
        <f>VLOOKUP(STA115,[13]AssetDetails_UEM!$A$3:$AH$1849,6,FALSE)</f>
        <v>Electrosurgical Units, Monopolar/Bipolar</v>
      </c>
      <c r="STC115" s="196" t="s">
        <v>761</v>
      </c>
      <c r="STD115" s="197" t="str">
        <f>VLOOKUP(STC115,[13]AssetDetails_UEM!$A$3:$AH$1849,6,FALSE)</f>
        <v>Electrosurgical Units, Monopolar/Bipolar</v>
      </c>
      <c r="STE115" s="196" t="s">
        <v>761</v>
      </c>
      <c r="STF115" s="197" t="str">
        <f>VLOOKUP(STE115,[13]AssetDetails_UEM!$A$3:$AH$1849,6,FALSE)</f>
        <v>Electrosurgical Units, Monopolar/Bipolar</v>
      </c>
      <c r="STG115" s="196" t="s">
        <v>761</v>
      </c>
      <c r="STH115" s="197" t="str">
        <f>VLOOKUP(STG115,[13]AssetDetails_UEM!$A$3:$AH$1849,6,FALSE)</f>
        <v>Electrosurgical Units, Monopolar/Bipolar</v>
      </c>
      <c r="STI115" s="196" t="s">
        <v>761</v>
      </c>
      <c r="STJ115" s="197" t="str">
        <f>VLOOKUP(STI115,[13]AssetDetails_UEM!$A$3:$AH$1849,6,FALSE)</f>
        <v>Electrosurgical Units, Monopolar/Bipolar</v>
      </c>
      <c r="STK115" s="196" t="s">
        <v>761</v>
      </c>
      <c r="STL115" s="197" t="str">
        <f>VLOOKUP(STK115,[13]AssetDetails_UEM!$A$3:$AH$1849,6,FALSE)</f>
        <v>Electrosurgical Units, Monopolar/Bipolar</v>
      </c>
      <c r="STM115" s="196" t="s">
        <v>761</v>
      </c>
      <c r="STN115" s="197" t="str">
        <f>VLOOKUP(STM115,[13]AssetDetails_UEM!$A$3:$AH$1849,6,FALSE)</f>
        <v>Electrosurgical Units, Monopolar/Bipolar</v>
      </c>
      <c r="STO115" s="196" t="s">
        <v>761</v>
      </c>
      <c r="STP115" s="197" t="str">
        <f>VLOOKUP(STO115,[13]AssetDetails_UEM!$A$3:$AH$1849,6,FALSE)</f>
        <v>Electrosurgical Units, Monopolar/Bipolar</v>
      </c>
      <c r="STQ115" s="196" t="s">
        <v>761</v>
      </c>
      <c r="STR115" s="197" t="str">
        <f>VLOOKUP(STQ115,[13]AssetDetails_UEM!$A$3:$AH$1849,6,FALSE)</f>
        <v>Electrosurgical Units, Monopolar/Bipolar</v>
      </c>
      <c r="STS115" s="196" t="s">
        <v>761</v>
      </c>
      <c r="STT115" s="197" t="str">
        <f>VLOOKUP(STS115,[13]AssetDetails_UEM!$A$3:$AH$1849,6,FALSE)</f>
        <v>Electrosurgical Units, Monopolar/Bipolar</v>
      </c>
      <c r="STU115" s="196" t="s">
        <v>761</v>
      </c>
      <c r="STV115" s="197" t="str">
        <f>VLOOKUP(STU115,[13]AssetDetails_UEM!$A$3:$AH$1849,6,FALSE)</f>
        <v>Electrosurgical Units, Monopolar/Bipolar</v>
      </c>
      <c r="STW115" s="196" t="s">
        <v>761</v>
      </c>
      <c r="STX115" s="197" t="str">
        <f>VLOOKUP(STW115,[13]AssetDetails_UEM!$A$3:$AH$1849,6,FALSE)</f>
        <v>Electrosurgical Units, Monopolar/Bipolar</v>
      </c>
      <c r="STY115" s="196" t="s">
        <v>761</v>
      </c>
      <c r="STZ115" s="197" t="str">
        <f>VLOOKUP(STY115,[13]AssetDetails_UEM!$A$3:$AH$1849,6,FALSE)</f>
        <v>Electrosurgical Units, Monopolar/Bipolar</v>
      </c>
      <c r="SUA115" s="196" t="s">
        <v>761</v>
      </c>
      <c r="SUB115" s="197" t="str">
        <f>VLOOKUP(SUA115,[13]AssetDetails_UEM!$A$3:$AH$1849,6,FALSE)</f>
        <v>Electrosurgical Units, Monopolar/Bipolar</v>
      </c>
      <c r="SUC115" s="196" t="s">
        <v>761</v>
      </c>
      <c r="SUD115" s="197" t="str">
        <f>VLOOKUP(SUC115,[13]AssetDetails_UEM!$A$3:$AH$1849,6,FALSE)</f>
        <v>Electrosurgical Units, Monopolar/Bipolar</v>
      </c>
      <c r="SUE115" s="196" t="s">
        <v>761</v>
      </c>
      <c r="SUF115" s="197" t="str">
        <f>VLOOKUP(SUE115,[13]AssetDetails_UEM!$A$3:$AH$1849,6,FALSE)</f>
        <v>Electrosurgical Units, Monopolar/Bipolar</v>
      </c>
      <c r="SUG115" s="196" t="s">
        <v>761</v>
      </c>
      <c r="SUH115" s="197" t="str">
        <f>VLOOKUP(SUG115,[13]AssetDetails_UEM!$A$3:$AH$1849,6,FALSE)</f>
        <v>Electrosurgical Units, Monopolar/Bipolar</v>
      </c>
      <c r="SUI115" s="196" t="s">
        <v>761</v>
      </c>
      <c r="SUJ115" s="197" t="str">
        <f>VLOOKUP(SUI115,[13]AssetDetails_UEM!$A$3:$AH$1849,6,FALSE)</f>
        <v>Electrosurgical Units, Monopolar/Bipolar</v>
      </c>
      <c r="SUK115" s="196" t="s">
        <v>761</v>
      </c>
      <c r="SUL115" s="197" t="str">
        <f>VLOOKUP(SUK115,[13]AssetDetails_UEM!$A$3:$AH$1849,6,FALSE)</f>
        <v>Electrosurgical Units, Monopolar/Bipolar</v>
      </c>
      <c r="SUM115" s="196" t="s">
        <v>761</v>
      </c>
      <c r="SUN115" s="197" t="str">
        <f>VLOOKUP(SUM115,[13]AssetDetails_UEM!$A$3:$AH$1849,6,FALSE)</f>
        <v>Electrosurgical Units, Monopolar/Bipolar</v>
      </c>
      <c r="SUO115" s="196" t="s">
        <v>761</v>
      </c>
      <c r="SUP115" s="197" t="str">
        <f>VLOOKUP(SUO115,[13]AssetDetails_UEM!$A$3:$AH$1849,6,FALSE)</f>
        <v>Electrosurgical Units, Monopolar/Bipolar</v>
      </c>
      <c r="SUQ115" s="196" t="s">
        <v>761</v>
      </c>
      <c r="SUR115" s="197" t="str">
        <f>VLOOKUP(SUQ115,[13]AssetDetails_UEM!$A$3:$AH$1849,6,FALSE)</f>
        <v>Electrosurgical Units, Monopolar/Bipolar</v>
      </c>
      <c r="SUS115" s="196" t="s">
        <v>761</v>
      </c>
      <c r="SUT115" s="197" t="str">
        <f>VLOOKUP(SUS115,[13]AssetDetails_UEM!$A$3:$AH$1849,6,FALSE)</f>
        <v>Electrosurgical Units, Monopolar/Bipolar</v>
      </c>
      <c r="SUU115" s="196" t="s">
        <v>761</v>
      </c>
      <c r="SUV115" s="197" t="str">
        <f>VLOOKUP(SUU115,[13]AssetDetails_UEM!$A$3:$AH$1849,6,FALSE)</f>
        <v>Electrosurgical Units, Monopolar/Bipolar</v>
      </c>
      <c r="SUW115" s="196" t="s">
        <v>761</v>
      </c>
      <c r="SUX115" s="197" t="str">
        <f>VLOOKUP(SUW115,[13]AssetDetails_UEM!$A$3:$AH$1849,6,FALSE)</f>
        <v>Electrosurgical Units, Monopolar/Bipolar</v>
      </c>
      <c r="SUY115" s="196" t="s">
        <v>761</v>
      </c>
      <c r="SUZ115" s="197" t="str">
        <f>VLOOKUP(SUY115,[13]AssetDetails_UEM!$A$3:$AH$1849,6,FALSE)</f>
        <v>Electrosurgical Units, Monopolar/Bipolar</v>
      </c>
      <c r="SVA115" s="196" t="s">
        <v>761</v>
      </c>
      <c r="SVB115" s="197" t="str">
        <f>VLOOKUP(SVA115,[13]AssetDetails_UEM!$A$3:$AH$1849,6,FALSE)</f>
        <v>Electrosurgical Units, Monopolar/Bipolar</v>
      </c>
      <c r="SVC115" s="196" t="s">
        <v>761</v>
      </c>
      <c r="SVD115" s="197" t="str">
        <f>VLOOKUP(SVC115,[13]AssetDetails_UEM!$A$3:$AH$1849,6,FALSE)</f>
        <v>Electrosurgical Units, Monopolar/Bipolar</v>
      </c>
      <c r="SVE115" s="196" t="s">
        <v>761</v>
      </c>
      <c r="SVF115" s="197" t="str">
        <f>VLOOKUP(SVE115,[13]AssetDetails_UEM!$A$3:$AH$1849,6,FALSE)</f>
        <v>Electrosurgical Units, Monopolar/Bipolar</v>
      </c>
      <c r="SVG115" s="196" t="s">
        <v>761</v>
      </c>
      <c r="SVH115" s="197" t="str">
        <f>VLOOKUP(SVG115,[13]AssetDetails_UEM!$A$3:$AH$1849,6,FALSE)</f>
        <v>Electrosurgical Units, Monopolar/Bipolar</v>
      </c>
      <c r="SVI115" s="196" t="s">
        <v>761</v>
      </c>
      <c r="SVJ115" s="197" t="str">
        <f>VLOOKUP(SVI115,[13]AssetDetails_UEM!$A$3:$AH$1849,6,FALSE)</f>
        <v>Electrosurgical Units, Monopolar/Bipolar</v>
      </c>
      <c r="SVK115" s="196" t="s">
        <v>761</v>
      </c>
      <c r="SVL115" s="197" t="str">
        <f>VLOOKUP(SVK115,[13]AssetDetails_UEM!$A$3:$AH$1849,6,FALSE)</f>
        <v>Electrosurgical Units, Monopolar/Bipolar</v>
      </c>
      <c r="SVM115" s="196" t="s">
        <v>761</v>
      </c>
      <c r="SVN115" s="197" t="str">
        <f>VLOOKUP(SVM115,[13]AssetDetails_UEM!$A$3:$AH$1849,6,FALSE)</f>
        <v>Electrosurgical Units, Monopolar/Bipolar</v>
      </c>
      <c r="SVO115" s="196" t="s">
        <v>761</v>
      </c>
      <c r="SVP115" s="197" t="str">
        <f>VLOOKUP(SVO115,[13]AssetDetails_UEM!$A$3:$AH$1849,6,FALSE)</f>
        <v>Electrosurgical Units, Monopolar/Bipolar</v>
      </c>
      <c r="SVQ115" s="196" t="s">
        <v>761</v>
      </c>
      <c r="SVR115" s="197" t="str">
        <f>VLOOKUP(SVQ115,[13]AssetDetails_UEM!$A$3:$AH$1849,6,FALSE)</f>
        <v>Electrosurgical Units, Monopolar/Bipolar</v>
      </c>
      <c r="SVS115" s="196" t="s">
        <v>761</v>
      </c>
      <c r="SVT115" s="197" t="str">
        <f>VLOOKUP(SVS115,[13]AssetDetails_UEM!$A$3:$AH$1849,6,FALSE)</f>
        <v>Electrosurgical Units, Monopolar/Bipolar</v>
      </c>
      <c r="SVU115" s="196" t="s">
        <v>761</v>
      </c>
      <c r="SVV115" s="197" t="str">
        <f>VLOOKUP(SVU115,[13]AssetDetails_UEM!$A$3:$AH$1849,6,FALSE)</f>
        <v>Electrosurgical Units, Monopolar/Bipolar</v>
      </c>
      <c r="SVW115" s="196" t="s">
        <v>761</v>
      </c>
      <c r="SVX115" s="197" t="str">
        <f>VLOOKUP(SVW115,[13]AssetDetails_UEM!$A$3:$AH$1849,6,FALSE)</f>
        <v>Electrosurgical Units, Monopolar/Bipolar</v>
      </c>
      <c r="SVY115" s="196" t="s">
        <v>761</v>
      </c>
      <c r="SVZ115" s="197" t="str">
        <f>VLOOKUP(SVY115,[13]AssetDetails_UEM!$A$3:$AH$1849,6,FALSE)</f>
        <v>Electrosurgical Units, Monopolar/Bipolar</v>
      </c>
      <c r="SWA115" s="196" t="s">
        <v>761</v>
      </c>
      <c r="SWB115" s="197" t="str">
        <f>VLOOKUP(SWA115,[13]AssetDetails_UEM!$A$3:$AH$1849,6,FALSE)</f>
        <v>Electrosurgical Units, Monopolar/Bipolar</v>
      </c>
      <c r="SWC115" s="196" t="s">
        <v>761</v>
      </c>
      <c r="SWD115" s="197" t="str">
        <f>VLOOKUP(SWC115,[13]AssetDetails_UEM!$A$3:$AH$1849,6,FALSE)</f>
        <v>Electrosurgical Units, Monopolar/Bipolar</v>
      </c>
      <c r="SWE115" s="196" t="s">
        <v>761</v>
      </c>
      <c r="SWF115" s="197" t="str">
        <f>VLOOKUP(SWE115,[13]AssetDetails_UEM!$A$3:$AH$1849,6,FALSE)</f>
        <v>Electrosurgical Units, Monopolar/Bipolar</v>
      </c>
      <c r="SWG115" s="196" t="s">
        <v>761</v>
      </c>
      <c r="SWH115" s="197" t="str">
        <f>VLOOKUP(SWG115,[13]AssetDetails_UEM!$A$3:$AH$1849,6,FALSE)</f>
        <v>Electrosurgical Units, Monopolar/Bipolar</v>
      </c>
      <c r="SWI115" s="196" t="s">
        <v>761</v>
      </c>
      <c r="SWJ115" s="197" t="str">
        <f>VLOOKUP(SWI115,[13]AssetDetails_UEM!$A$3:$AH$1849,6,FALSE)</f>
        <v>Electrosurgical Units, Monopolar/Bipolar</v>
      </c>
      <c r="SWK115" s="196" t="s">
        <v>761</v>
      </c>
      <c r="SWL115" s="197" t="str">
        <f>VLOOKUP(SWK115,[13]AssetDetails_UEM!$A$3:$AH$1849,6,FALSE)</f>
        <v>Electrosurgical Units, Monopolar/Bipolar</v>
      </c>
      <c r="SWM115" s="196" t="s">
        <v>761</v>
      </c>
      <c r="SWN115" s="197" t="str">
        <f>VLOOKUP(SWM115,[13]AssetDetails_UEM!$A$3:$AH$1849,6,FALSE)</f>
        <v>Electrosurgical Units, Monopolar/Bipolar</v>
      </c>
      <c r="SWO115" s="196" t="s">
        <v>761</v>
      </c>
      <c r="SWP115" s="197" t="str">
        <f>VLOOKUP(SWO115,[13]AssetDetails_UEM!$A$3:$AH$1849,6,FALSE)</f>
        <v>Electrosurgical Units, Monopolar/Bipolar</v>
      </c>
      <c r="SWQ115" s="196" t="s">
        <v>761</v>
      </c>
      <c r="SWR115" s="197" t="str">
        <f>VLOOKUP(SWQ115,[13]AssetDetails_UEM!$A$3:$AH$1849,6,FALSE)</f>
        <v>Electrosurgical Units, Monopolar/Bipolar</v>
      </c>
      <c r="SWS115" s="196" t="s">
        <v>761</v>
      </c>
      <c r="SWT115" s="197" t="str">
        <f>VLOOKUP(SWS115,[13]AssetDetails_UEM!$A$3:$AH$1849,6,FALSE)</f>
        <v>Electrosurgical Units, Monopolar/Bipolar</v>
      </c>
      <c r="SWU115" s="196" t="s">
        <v>761</v>
      </c>
      <c r="SWV115" s="197" t="str">
        <f>VLOOKUP(SWU115,[13]AssetDetails_UEM!$A$3:$AH$1849,6,FALSE)</f>
        <v>Electrosurgical Units, Monopolar/Bipolar</v>
      </c>
      <c r="SWW115" s="196" t="s">
        <v>761</v>
      </c>
      <c r="SWX115" s="197" t="str">
        <f>VLOOKUP(SWW115,[13]AssetDetails_UEM!$A$3:$AH$1849,6,FALSE)</f>
        <v>Electrosurgical Units, Monopolar/Bipolar</v>
      </c>
      <c r="SWY115" s="196" t="s">
        <v>761</v>
      </c>
      <c r="SWZ115" s="197" t="str">
        <f>VLOOKUP(SWY115,[13]AssetDetails_UEM!$A$3:$AH$1849,6,FALSE)</f>
        <v>Electrosurgical Units, Monopolar/Bipolar</v>
      </c>
      <c r="SXA115" s="196" t="s">
        <v>761</v>
      </c>
      <c r="SXB115" s="197" t="str">
        <f>VLOOKUP(SXA115,[13]AssetDetails_UEM!$A$3:$AH$1849,6,FALSE)</f>
        <v>Electrosurgical Units, Monopolar/Bipolar</v>
      </c>
      <c r="SXC115" s="196" t="s">
        <v>761</v>
      </c>
      <c r="SXD115" s="197" t="str">
        <f>VLOOKUP(SXC115,[13]AssetDetails_UEM!$A$3:$AH$1849,6,FALSE)</f>
        <v>Electrosurgical Units, Monopolar/Bipolar</v>
      </c>
      <c r="SXE115" s="196" t="s">
        <v>761</v>
      </c>
      <c r="SXF115" s="197" t="str">
        <f>VLOOKUP(SXE115,[13]AssetDetails_UEM!$A$3:$AH$1849,6,FALSE)</f>
        <v>Electrosurgical Units, Monopolar/Bipolar</v>
      </c>
      <c r="SXG115" s="196" t="s">
        <v>761</v>
      </c>
      <c r="SXH115" s="197" t="str">
        <f>VLOOKUP(SXG115,[13]AssetDetails_UEM!$A$3:$AH$1849,6,FALSE)</f>
        <v>Electrosurgical Units, Monopolar/Bipolar</v>
      </c>
      <c r="SXI115" s="196" t="s">
        <v>761</v>
      </c>
      <c r="SXJ115" s="197" t="str">
        <f>VLOOKUP(SXI115,[13]AssetDetails_UEM!$A$3:$AH$1849,6,FALSE)</f>
        <v>Electrosurgical Units, Monopolar/Bipolar</v>
      </c>
      <c r="SXK115" s="196" t="s">
        <v>761</v>
      </c>
      <c r="SXL115" s="197" t="str">
        <f>VLOOKUP(SXK115,[13]AssetDetails_UEM!$A$3:$AH$1849,6,FALSE)</f>
        <v>Electrosurgical Units, Monopolar/Bipolar</v>
      </c>
      <c r="SXM115" s="196" t="s">
        <v>761</v>
      </c>
      <c r="SXN115" s="197" t="str">
        <f>VLOOKUP(SXM115,[13]AssetDetails_UEM!$A$3:$AH$1849,6,FALSE)</f>
        <v>Electrosurgical Units, Monopolar/Bipolar</v>
      </c>
      <c r="SXO115" s="196" t="s">
        <v>761</v>
      </c>
      <c r="SXP115" s="197" t="str">
        <f>VLOOKUP(SXO115,[13]AssetDetails_UEM!$A$3:$AH$1849,6,FALSE)</f>
        <v>Electrosurgical Units, Monopolar/Bipolar</v>
      </c>
      <c r="SXQ115" s="196" t="s">
        <v>761</v>
      </c>
      <c r="SXR115" s="197" t="str">
        <f>VLOOKUP(SXQ115,[13]AssetDetails_UEM!$A$3:$AH$1849,6,FALSE)</f>
        <v>Electrosurgical Units, Monopolar/Bipolar</v>
      </c>
      <c r="SXS115" s="196" t="s">
        <v>761</v>
      </c>
      <c r="SXT115" s="197" t="str">
        <f>VLOOKUP(SXS115,[13]AssetDetails_UEM!$A$3:$AH$1849,6,FALSE)</f>
        <v>Electrosurgical Units, Monopolar/Bipolar</v>
      </c>
      <c r="SXU115" s="196" t="s">
        <v>761</v>
      </c>
      <c r="SXV115" s="197" t="str">
        <f>VLOOKUP(SXU115,[13]AssetDetails_UEM!$A$3:$AH$1849,6,FALSE)</f>
        <v>Electrosurgical Units, Monopolar/Bipolar</v>
      </c>
      <c r="SXW115" s="196" t="s">
        <v>761</v>
      </c>
      <c r="SXX115" s="197" t="str">
        <f>VLOOKUP(SXW115,[13]AssetDetails_UEM!$A$3:$AH$1849,6,FALSE)</f>
        <v>Electrosurgical Units, Monopolar/Bipolar</v>
      </c>
      <c r="SXY115" s="196" t="s">
        <v>761</v>
      </c>
      <c r="SXZ115" s="197" t="str">
        <f>VLOOKUP(SXY115,[13]AssetDetails_UEM!$A$3:$AH$1849,6,FALSE)</f>
        <v>Electrosurgical Units, Monopolar/Bipolar</v>
      </c>
      <c r="SYA115" s="196" t="s">
        <v>761</v>
      </c>
      <c r="SYB115" s="197" t="str">
        <f>VLOOKUP(SYA115,[13]AssetDetails_UEM!$A$3:$AH$1849,6,FALSE)</f>
        <v>Electrosurgical Units, Monopolar/Bipolar</v>
      </c>
      <c r="SYC115" s="196" t="s">
        <v>761</v>
      </c>
      <c r="SYD115" s="197" t="str">
        <f>VLOOKUP(SYC115,[13]AssetDetails_UEM!$A$3:$AH$1849,6,FALSE)</f>
        <v>Electrosurgical Units, Monopolar/Bipolar</v>
      </c>
      <c r="SYE115" s="196" t="s">
        <v>761</v>
      </c>
      <c r="SYF115" s="197" t="str">
        <f>VLOOKUP(SYE115,[13]AssetDetails_UEM!$A$3:$AH$1849,6,FALSE)</f>
        <v>Electrosurgical Units, Monopolar/Bipolar</v>
      </c>
      <c r="SYG115" s="196" t="s">
        <v>761</v>
      </c>
      <c r="SYH115" s="197" t="str">
        <f>VLOOKUP(SYG115,[13]AssetDetails_UEM!$A$3:$AH$1849,6,FALSE)</f>
        <v>Electrosurgical Units, Monopolar/Bipolar</v>
      </c>
      <c r="SYI115" s="196" t="s">
        <v>761</v>
      </c>
      <c r="SYJ115" s="197" t="str">
        <f>VLOOKUP(SYI115,[13]AssetDetails_UEM!$A$3:$AH$1849,6,FALSE)</f>
        <v>Electrosurgical Units, Monopolar/Bipolar</v>
      </c>
      <c r="SYK115" s="196" t="s">
        <v>761</v>
      </c>
      <c r="SYL115" s="197" t="str">
        <f>VLOOKUP(SYK115,[13]AssetDetails_UEM!$A$3:$AH$1849,6,FALSE)</f>
        <v>Electrosurgical Units, Monopolar/Bipolar</v>
      </c>
      <c r="SYM115" s="196" t="s">
        <v>761</v>
      </c>
      <c r="SYN115" s="197" t="str">
        <f>VLOOKUP(SYM115,[13]AssetDetails_UEM!$A$3:$AH$1849,6,FALSE)</f>
        <v>Electrosurgical Units, Monopolar/Bipolar</v>
      </c>
      <c r="SYO115" s="196" t="s">
        <v>761</v>
      </c>
      <c r="SYP115" s="197" t="str">
        <f>VLOOKUP(SYO115,[13]AssetDetails_UEM!$A$3:$AH$1849,6,FALSE)</f>
        <v>Electrosurgical Units, Monopolar/Bipolar</v>
      </c>
      <c r="SYQ115" s="196" t="s">
        <v>761</v>
      </c>
      <c r="SYR115" s="197" t="str">
        <f>VLOOKUP(SYQ115,[13]AssetDetails_UEM!$A$3:$AH$1849,6,FALSE)</f>
        <v>Electrosurgical Units, Monopolar/Bipolar</v>
      </c>
      <c r="SYS115" s="196" t="s">
        <v>761</v>
      </c>
      <c r="SYT115" s="197" t="str">
        <f>VLOOKUP(SYS115,[13]AssetDetails_UEM!$A$3:$AH$1849,6,FALSE)</f>
        <v>Electrosurgical Units, Monopolar/Bipolar</v>
      </c>
      <c r="SYU115" s="196" t="s">
        <v>761</v>
      </c>
      <c r="SYV115" s="197" t="str">
        <f>VLOOKUP(SYU115,[13]AssetDetails_UEM!$A$3:$AH$1849,6,FALSE)</f>
        <v>Electrosurgical Units, Monopolar/Bipolar</v>
      </c>
      <c r="SYW115" s="196" t="s">
        <v>761</v>
      </c>
      <c r="SYX115" s="197" t="str">
        <f>VLOOKUP(SYW115,[13]AssetDetails_UEM!$A$3:$AH$1849,6,FALSE)</f>
        <v>Electrosurgical Units, Monopolar/Bipolar</v>
      </c>
      <c r="SYY115" s="196" t="s">
        <v>761</v>
      </c>
      <c r="SYZ115" s="197" t="str">
        <f>VLOOKUP(SYY115,[13]AssetDetails_UEM!$A$3:$AH$1849,6,FALSE)</f>
        <v>Electrosurgical Units, Monopolar/Bipolar</v>
      </c>
      <c r="SZA115" s="196" t="s">
        <v>761</v>
      </c>
      <c r="SZB115" s="197" t="str">
        <f>VLOOKUP(SZA115,[13]AssetDetails_UEM!$A$3:$AH$1849,6,FALSE)</f>
        <v>Electrosurgical Units, Monopolar/Bipolar</v>
      </c>
      <c r="SZC115" s="196" t="s">
        <v>761</v>
      </c>
      <c r="SZD115" s="197" t="str">
        <f>VLOOKUP(SZC115,[13]AssetDetails_UEM!$A$3:$AH$1849,6,FALSE)</f>
        <v>Electrosurgical Units, Monopolar/Bipolar</v>
      </c>
      <c r="SZE115" s="196" t="s">
        <v>761</v>
      </c>
      <c r="SZF115" s="197" t="str">
        <f>VLOOKUP(SZE115,[13]AssetDetails_UEM!$A$3:$AH$1849,6,FALSE)</f>
        <v>Electrosurgical Units, Monopolar/Bipolar</v>
      </c>
      <c r="SZG115" s="196" t="s">
        <v>761</v>
      </c>
      <c r="SZH115" s="197" t="str">
        <f>VLOOKUP(SZG115,[13]AssetDetails_UEM!$A$3:$AH$1849,6,FALSE)</f>
        <v>Electrosurgical Units, Monopolar/Bipolar</v>
      </c>
      <c r="SZI115" s="196" t="s">
        <v>761</v>
      </c>
      <c r="SZJ115" s="197" t="str">
        <f>VLOOKUP(SZI115,[13]AssetDetails_UEM!$A$3:$AH$1849,6,FALSE)</f>
        <v>Electrosurgical Units, Monopolar/Bipolar</v>
      </c>
      <c r="SZK115" s="196" t="s">
        <v>761</v>
      </c>
      <c r="SZL115" s="197" t="str">
        <f>VLOOKUP(SZK115,[13]AssetDetails_UEM!$A$3:$AH$1849,6,FALSE)</f>
        <v>Electrosurgical Units, Monopolar/Bipolar</v>
      </c>
      <c r="SZM115" s="196" t="s">
        <v>761</v>
      </c>
      <c r="SZN115" s="197" t="str">
        <f>VLOOKUP(SZM115,[13]AssetDetails_UEM!$A$3:$AH$1849,6,FALSE)</f>
        <v>Electrosurgical Units, Monopolar/Bipolar</v>
      </c>
      <c r="SZO115" s="196" t="s">
        <v>761</v>
      </c>
      <c r="SZP115" s="197" t="str">
        <f>VLOOKUP(SZO115,[13]AssetDetails_UEM!$A$3:$AH$1849,6,FALSE)</f>
        <v>Electrosurgical Units, Monopolar/Bipolar</v>
      </c>
      <c r="SZQ115" s="196" t="s">
        <v>761</v>
      </c>
      <c r="SZR115" s="197" t="str">
        <f>VLOOKUP(SZQ115,[13]AssetDetails_UEM!$A$3:$AH$1849,6,FALSE)</f>
        <v>Electrosurgical Units, Monopolar/Bipolar</v>
      </c>
      <c r="SZS115" s="196" t="s">
        <v>761</v>
      </c>
      <c r="SZT115" s="197" t="str">
        <f>VLOOKUP(SZS115,[13]AssetDetails_UEM!$A$3:$AH$1849,6,FALSE)</f>
        <v>Electrosurgical Units, Monopolar/Bipolar</v>
      </c>
      <c r="SZU115" s="196" t="s">
        <v>761</v>
      </c>
      <c r="SZV115" s="197" t="str">
        <f>VLOOKUP(SZU115,[13]AssetDetails_UEM!$A$3:$AH$1849,6,FALSE)</f>
        <v>Electrosurgical Units, Monopolar/Bipolar</v>
      </c>
      <c r="SZW115" s="196" t="s">
        <v>761</v>
      </c>
      <c r="SZX115" s="197" t="str">
        <f>VLOOKUP(SZW115,[13]AssetDetails_UEM!$A$3:$AH$1849,6,FALSE)</f>
        <v>Electrosurgical Units, Monopolar/Bipolar</v>
      </c>
      <c r="SZY115" s="196" t="s">
        <v>761</v>
      </c>
      <c r="SZZ115" s="197" t="str">
        <f>VLOOKUP(SZY115,[13]AssetDetails_UEM!$A$3:$AH$1849,6,FALSE)</f>
        <v>Electrosurgical Units, Monopolar/Bipolar</v>
      </c>
      <c r="TAA115" s="196" t="s">
        <v>761</v>
      </c>
      <c r="TAB115" s="197" t="str">
        <f>VLOOKUP(TAA115,[13]AssetDetails_UEM!$A$3:$AH$1849,6,FALSE)</f>
        <v>Electrosurgical Units, Monopolar/Bipolar</v>
      </c>
      <c r="TAC115" s="196" t="s">
        <v>761</v>
      </c>
      <c r="TAD115" s="197" t="str">
        <f>VLOOKUP(TAC115,[13]AssetDetails_UEM!$A$3:$AH$1849,6,FALSE)</f>
        <v>Electrosurgical Units, Monopolar/Bipolar</v>
      </c>
      <c r="TAE115" s="196" t="s">
        <v>761</v>
      </c>
      <c r="TAF115" s="197" t="str">
        <f>VLOOKUP(TAE115,[13]AssetDetails_UEM!$A$3:$AH$1849,6,FALSE)</f>
        <v>Electrosurgical Units, Monopolar/Bipolar</v>
      </c>
      <c r="TAG115" s="196" t="s">
        <v>761</v>
      </c>
      <c r="TAH115" s="197" t="str">
        <f>VLOOKUP(TAG115,[13]AssetDetails_UEM!$A$3:$AH$1849,6,FALSE)</f>
        <v>Electrosurgical Units, Monopolar/Bipolar</v>
      </c>
      <c r="TAI115" s="196" t="s">
        <v>761</v>
      </c>
      <c r="TAJ115" s="197" t="str">
        <f>VLOOKUP(TAI115,[13]AssetDetails_UEM!$A$3:$AH$1849,6,FALSE)</f>
        <v>Electrosurgical Units, Monopolar/Bipolar</v>
      </c>
      <c r="TAK115" s="196" t="s">
        <v>761</v>
      </c>
      <c r="TAL115" s="197" t="str">
        <f>VLOOKUP(TAK115,[13]AssetDetails_UEM!$A$3:$AH$1849,6,FALSE)</f>
        <v>Electrosurgical Units, Monopolar/Bipolar</v>
      </c>
      <c r="TAM115" s="196" t="s">
        <v>761</v>
      </c>
      <c r="TAN115" s="197" t="str">
        <f>VLOOKUP(TAM115,[13]AssetDetails_UEM!$A$3:$AH$1849,6,FALSE)</f>
        <v>Electrosurgical Units, Monopolar/Bipolar</v>
      </c>
      <c r="TAO115" s="196" t="s">
        <v>761</v>
      </c>
      <c r="TAP115" s="197" t="str">
        <f>VLOOKUP(TAO115,[13]AssetDetails_UEM!$A$3:$AH$1849,6,FALSE)</f>
        <v>Electrosurgical Units, Monopolar/Bipolar</v>
      </c>
      <c r="TAQ115" s="196" t="s">
        <v>761</v>
      </c>
      <c r="TAR115" s="197" t="str">
        <f>VLOOKUP(TAQ115,[13]AssetDetails_UEM!$A$3:$AH$1849,6,FALSE)</f>
        <v>Electrosurgical Units, Monopolar/Bipolar</v>
      </c>
      <c r="TAS115" s="196" t="s">
        <v>761</v>
      </c>
      <c r="TAT115" s="197" t="str">
        <f>VLOOKUP(TAS115,[13]AssetDetails_UEM!$A$3:$AH$1849,6,FALSE)</f>
        <v>Electrosurgical Units, Monopolar/Bipolar</v>
      </c>
      <c r="TAU115" s="196" t="s">
        <v>761</v>
      </c>
      <c r="TAV115" s="197" t="str">
        <f>VLOOKUP(TAU115,[13]AssetDetails_UEM!$A$3:$AH$1849,6,FALSE)</f>
        <v>Electrosurgical Units, Monopolar/Bipolar</v>
      </c>
      <c r="TAW115" s="196" t="s">
        <v>761</v>
      </c>
      <c r="TAX115" s="197" t="str">
        <f>VLOOKUP(TAW115,[13]AssetDetails_UEM!$A$3:$AH$1849,6,FALSE)</f>
        <v>Electrosurgical Units, Monopolar/Bipolar</v>
      </c>
      <c r="TAY115" s="196" t="s">
        <v>761</v>
      </c>
      <c r="TAZ115" s="197" t="str">
        <f>VLOOKUP(TAY115,[13]AssetDetails_UEM!$A$3:$AH$1849,6,FALSE)</f>
        <v>Electrosurgical Units, Monopolar/Bipolar</v>
      </c>
      <c r="TBA115" s="196" t="s">
        <v>761</v>
      </c>
      <c r="TBB115" s="197" t="str">
        <f>VLOOKUP(TBA115,[13]AssetDetails_UEM!$A$3:$AH$1849,6,FALSE)</f>
        <v>Electrosurgical Units, Monopolar/Bipolar</v>
      </c>
      <c r="TBC115" s="196" t="s">
        <v>761</v>
      </c>
      <c r="TBD115" s="197" t="str">
        <f>VLOOKUP(TBC115,[13]AssetDetails_UEM!$A$3:$AH$1849,6,FALSE)</f>
        <v>Electrosurgical Units, Monopolar/Bipolar</v>
      </c>
      <c r="TBE115" s="196" t="s">
        <v>761</v>
      </c>
      <c r="TBF115" s="197" t="str">
        <f>VLOOKUP(TBE115,[13]AssetDetails_UEM!$A$3:$AH$1849,6,FALSE)</f>
        <v>Electrosurgical Units, Monopolar/Bipolar</v>
      </c>
      <c r="TBG115" s="196" t="s">
        <v>761</v>
      </c>
      <c r="TBH115" s="197" t="str">
        <f>VLOOKUP(TBG115,[13]AssetDetails_UEM!$A$3:$AH$1849,6,FALSE)</f>
        <v>Electrosurgical Units, Monopolar/Bipolar</v>
      </c>
      <c r="TBI115" s="196" t="s">
        <v>761</v>
      </c>
      <c r="TBJ115" s="197" t="str">
        <f>VLOOKUP(TBI115,[13]AssetDetails_UEM!$A$3:$AH$1849,6,FALSE)</f>
        <v>Electrosurgical Units, Monopolar/Bipolar</v>
      </c>
      <c r="TBK115" s="196" t="s">
        <v>761</v>
      </c>
      <c r="TBL115" s="197" t="str">
        <f>VLOOKUP(TBK115,[13]AssetDetails_UEM!$A$3:$AH$1849,6,FALSE)</f>
        <v>Electrosurgical Units, Monopolar/Bipolar</v>
      </c>
      <c r="TBM115" s="196" t="s">
        <v>761</v>
      </c>
      <c r="TBN115" s="197" t="str">
        <f>VLOOKUP(TBM115,[13]AssetDetails_UEM!$A$3:$AH$1849,6,FALSE)</f>
        <v>Electrosurgical Units, Monopolar/Bipolar</v>
      </c>
      <c r="TBO115" s="196" t="s">
        <v>761</v>
      </c>
      <c r="TBP115" s="197" t="str">
        <f>VLOOKUP(TBO115,[13]AssetDetails_UEM!$A$3:$AH$1849,6,FALSE)</f>
        <v>Electrosurgical Units, Monopolar/Bipolar</v>
      </c>
      <c r="TBQ115" s="196" t="s">
        <v>761</v>
      </c>
      <c r="TBR115" s="197" t="str">
        <f>VLOOKUP(TBQ115,[13]AssetDetails_UEM!$A$3:$AH$1849,6,FALSE)</f>
        <v>Electrosurgical Units, Monopolar/Bipolar</v>
      </c>
      <c r="TBS115" s="196" t="s">
        <v>761</v>
      </c>
      <c r="TBT115" s="197" t="str">
        <f>VLOOKUP(TBS115,[13]AssetDetails_UEM!$A$3:$AH$1849,6,FALSE)</f>
        <v>Electrosurgical Units, Monopolar/Bipolar</v>
      </c>
      <c r="TBU115" s="196" t="s">
        <v>761</v>
      </c>
      <c r="TBV115" s="197" t="str">
        <f>VLOOKUP(TBU115,[13]AssetDetails_UEM!$A$3:$AH$1849,6,FALSE)</f>
        <v>Electrosurgical Units, Monopolar/Bipolar</v>
      </c>
      <c r="TBW115" s="196" t="s">
        <v>761</v>
      </c>
      <c r="TBX115" s="197" t="str">
        <f>VLOOKUP(TBW115,[13]AssetDetails_UEM!$A$3:$AH$1849,6,FALSE)</f>
        <v>Electrosurgical Units, Monopolar/Bipolar</v>
      </c>
      <c r="TBY115" s="196" t="s">
        <v>761</v>
      </c>
      <c r="TBZ115" s="197" t="str">
        <f>VLOOKUP(TBY115,[13]AssetDetails_UEM!$A$3:$AH$1849,6,FALSE)</f>
        <v>Electrosurgical Units, Monopolar/Bipolar</v>
      </c>
      <c r="TCA115" s="196" t="s">
        <v>761</v>
      </c>
      <c r="TCB115" s="197" t="str">
        <f>VLOOKUP(TCA115,[13]AssetDetails_UEM!$A$3:$AH$1849,6,FALSE)</f>
        <v>Electrosurgical Units, Monopolar/Bipolar</v>
      </c>
      <c r="TCC115" s="196" t="s">
        <v>761</v>
      </c>
      <c r="TCD115" s="197" t="str">
        <f>VLOOKUP(TCC115,[13]AssetDetails_UEM!$A$3:$AH$1849,6,FALSE)</f>
        <v>Electrosurgical Units, Monopolar/Bipolar</v>
      </c>
      <c r="TCE115" s="196" t="s">
        <v>761</v>
      </c>
      <c r="TCF115" s="197" t="str">
        <f>VLOOKUP(TCE115,[13]AssetDetails_UEM!$A$3:$AH$1849,6,FALSE)</f>
        <v>Electrosurgical Units, Monopolar/Bipolar</v>
      </c>
      <c r="TCG115" s="196" t="s">
        <v>761</v>
      </c>
      <c r="TCH115" s="197" t="str">
        <f>VLOOKUP(TCG115,[13]AssetDetails_UEM!$A$3:$AH$1849,6,FALSE)</f>
        <v>Electrosurgical Units, Monopolar/Bipolar</v>
      </c>
      <c r="TCI115" s="196" t="s">
        <v>761</v>
      </c>
      <c r="TCJ115" s="197" t="str">
        <f>VLOOKUP(TCI115,[13]AssetDetails_UEM!$A$3:$AH$1849,6,FALSE)</f>
        <v>Electrosurgical Units, Monopolar/Bipolar</v>
      </c>
      <c r="TCK115" s="196" t="s">
        <v>761</v>
      </c>
      <c r="TCL115" s="197" t="str">
        <f>VLOOKUP(TCK115,[13]AssetDetails_UEM!$A$3:$AH$1849,6,FALSE)</f>
        <v>Electrosurgical Units, Monopolar/Bipolar</v>
      </c>
      <c r="TCM115" s="196" t="s">
        <v>761</v>
      </c>
      <c r="TCN115" s="197" t="str">
        <f>VLOOKUP(TCM115,[13]AssetDetails_UEM!$A$3:$AH$1849,6,FALSE)</f>
        <v>Electrosurgical Units, Monopolar/Bipolar</v>
      </c>
      <c r="TCO115" s="196" t="s">
        <v>761</v>
      </c>
      <c r="TCP115" s="197" t="str">
        <f>VLOOKUP(TCO115,[13]AssetDetails_UEM!$A$3:$AH$1849,6,FALSE)</f>
        <v>Electrosurgical Units, Monopolar/Bipolar</v>
      </c>
      <c r="TCQ115" s="196" t="s">
        <v>761</v>
      </c>
      <c r="TCR115" s="197" t="str">
        <f>VLOOKUP(TCQ115,[13]AssetDetails_UEM!$A$3:$AH$1849,6,FALSE)</f>
        <v>Electrosurgical Units, Monopolar/Bipolar</v>
      </c>
      <c r="TCS115" s="196" t="s">
        <v>761</v>
      </c>
      <c r="TCT115" s="197" t="str">
        <f>VLOOKUP(TCS115,[13]AssetDetails_UEM!$A$3:$AH$1849,6,FALSE)</f>
        <v>Electrosurgical Units, Monopolar/Bipolar</v>
      </c>
      <c r="TCU115" s="196" t="s">
        <v>761</v>
      </c>
      <c r="TCV115" s="197" t="str">
        <f>VLOOKUP(TCU115,[13]AssetDetails_UEM!$A$3:$AH$1849,6,FALSE)</f>
        <v>Electrosurgical Units, Monopolar/Bipolar</v>
      </c>
      <c r="TCW115" s="196" t="s">
        <v>761</v>
      </c>
      <c r="TCX115" s="197" t="str">
        <f>VLOOKUP(TCW115,[13]AssetDetails_UEM!$A$3:$AH$1849,6,FALSE)</f>
        <v>Electrosurgical Units, Monopolar/Bipolar</v>
      </c>
      <c r="TCY115" s="196" t="s">
        <v>761</v>
      </c>
      <c r="TCZ115" s="197" t="str">
        <f>VLOOKUP(TCY115,[13]AssetDetails_UEM!$A$3:$AH$1849,6,FALSE)</f>
        <v>Electrosurgical Units, Monopolar/Bipolar</v>
      </c>
      <c r="TDA115" s="196" t="s">
        <v>761</v>
      </c>
      <c r="TDB115" s="197" t="str">
        <f>VLOOKUP(TDA115,[13]AssetDetails_UEM!$A$3:$AH$1849,6,FALSE)</f>
        <v>Electrosurgical Units, Monopolar/Bipolar</v>
      </c>
      <c r="TDC115" s="196" t="s">
        <v>761</v>
      </c>
      <c r="TDD115" s="197" t="str">
        <f>VLOOKUP(TDC115,[13]AssetDetails_UEM!$A$3:$AH$1849,6,FALSE)</f>
        <v>Electrosurgical Units, Monopolar/Bipolar</v>
      </c>
      <c r="TDE115" s="196" t="s">
        <v>761</v>
      </c>
      <c r="TDF115" s="197" t="str">
        <f>VLOOKUP(TDE115,[13]AssetDetails_UEM!$A$3:$AH$1849,6,FALSE)</f>
        <v>Electrosurgical Units, Monopolar/Bipolar</v>
      </c>
      <c r="TDG115" s="196" t="s">
        <v>761</v>
      </c>
      <c r="TDH115" s="197" t="str">
        <f>VLOOKUP(TDG115,[13]AssetDetails_UEM!$A$3:$AH$1849,6,FALSE)</f>
        <v>Electrosurgical Units, Monopolar/Bipolar</v>
      </c>
      <c r="TDI115" s="196" t="s">
        <v>761</v>
      </c>
      <c r="TDJ115" s="197" t="str">
        <f>VLOOKUP(TDI115,[13]AssetDetails_UEM!$A$3:$AH$1849,6,FALSE)</f>
        <v>Electrosurgical Units, Monopolar/Bipolar</v>
      </c>
      <c r="TDK115" s="196" t="s">
        <v>761</v>
      </c>
      <c r="TDL115" s="197" t="str">
        <f>VLOOKUP(TDK115,[13]AssetDetails_UEM!$A$3:$AH$1849,6,FALSE)</f>
        <v>Electrosurgical Units, Monopolar/Bipolar</v>
      </c>
      <c r="TDM115" s="196" t="s">
        <v>761</v>
      </c>
      <c r="TDN115" s="197" t="str">
        <f>VLOOKUP(TDM115,[13]AssetDetails_UEM!$A$3:$AH$1849,6,FALSE)</f>
        <v>Electrosurgical Units, Monopolar/Bipolar</v>
      </c>
      <c r="TDO115" s="196" t="s">
        <v>761</v>
      </c>
      <c r="TDP115" s="197" t="str">
        <f>VLOOKUP(TDO115,[13]AssetDetails_UEM!$A$3:$AH$1849,6,FALSE)</f>
        <v>Electrosurgical Units, Monopolar/Bipolar</v>
      </c>
      <c r="TDQ115" s="196" t="s">
        <v>761</v>
      </c>
      <c r="TDR115" s="197" t="str">
        <f>VLOOKUP(TDQ115,[13]AssetDetails_UEM!$A$3:$AH$1849,6,FALSE)</f>
        <v>Electrosurgical Units, Monopolar/Bipolar</v>
      </c>
      <c r="TDS115" s="196" t="s">
        <v>761</v>
      </c>
      <c r="TDT115" s="197" t="str">
        <f>VLOOKUP(TDS115,[13]AssetDetails_UEM!$A$3:$AH$1849,6,FALSE)</f>
        <v>Electrosurgical Units, Monopolar/Bipolar</v>
      </c>
      <c r="TDU115" s="196" t="s">
        <v>761</v>
      </c>
      <c r="TDV115" s="197" t="str">
        <f>VLOOKUP(TDU115,[13]AssetDetails_UEM!$A$3:$AH$1849,6,FALSE)</f>
        <v>Electrosurgical Units, Monopolar/Bipolar</v>
      </c>
      <c r="TDW115" s="196" t="s">
        <v>761</v>
      </c>
      <c r="TDX115" s="197" t="str">
        <f>VLOOKUP(TDW115,[13]AssetDetails_UEM!$A$3:$AH$1849,6,FALSE)</f>
        <v>Electrosurgical Units, Monopolar/Bipolar</v>
      </c>
      <c r="TDY115" s="196" t="s">
        <v>761</v>
      </c>
      <c r="TDZ115" s="197" t="str">
        <f>VLOOKUP(TDY115,[13]AssetDetails_UEM!$A$3:$AH$1849,6,FALSE)</f>
        <v>Electrosurgical Units, Monopolar/Bipolar</v>
      </c>
      <c r="TEA115" s="196" t="s">
        <v>761</v>
      </c>
      <c r="TEB115" s="197" t="str">
        <f>VLOOKUP(TEA115,[13]AssetDetails_UEM!$A$3:$AH$1849,6,FALSE)</f>
        <v>Electrosurgical Units, Monopolar/Bipolar</v>
      </c>
      <c r="TEC115" s="196" t="s">
        <v>761</v>
      </c>
      <c r="TED115" s="197" t="str">
        <f>VLOOKUP(TEC115,[13]AssetDetails_UEM!$A$3:$AH$1849,6,FALSE)</f>
        <v>Electrosurgical Units, Monopolar/Bipolar</v>
      </c>
      <c r="TEE115" s="196" t="s">
        <v>761</v>
      </c>
      <c r="TEF115" s="197" t="str">
        <f>VLOOKUP(TEE115,[13]AssetDetails_UEM!$A$3:$AH$1849,6,FALSE)</f>
        <v>Electrosurgical Units, Monopolar/Bipolar</v>
      </c>
      <c r="TEG115" s="196" t="s">
        <v>761</v>
      </c>
      <c r="TEH115" s="197" t="str">
        <f>VLOOKUP(TEG115,[13]AssetDetails_UEM!$A$3:$AH$1849,6,FALSE)</f>
        <v>Electrosurgical Units, Monopolar/Bipolar</v>
      </c>
      <c r="TEI115" s="196" t="s">
        <v>761</v>
      </c>
      <c r="TEJ115" s="197" t="str">
        <f>VLOOKUP(TEI115,[13]AssetDetails_UEM!$A$3:$AH$1849,6,FALSE)</f>
        <v>Electrosurgical Units, Monopolar/Bipolar</v>
      </c>
      <c r="TEK115" s="196" t="s">
        <v>761</v>
      </c>
      <c r="TEL115" s="197" t="str">
        <f>VLOOKUP(TEK115,[13]AssetDetails_UEM!$A$3:$AH$1849,6,FALSE)</f>
        <v>Electrosurgical Units, Monopolar/Bipolar</v>
      </c>
      <c r="TEM115" s="196" t="s">
        <v>761</v>
      </c>
      <c r="TEN115" s="197" t="str">
        <f>VLOOKUP(TEM115,[13]AssetDetails_UEM!$A$3:$AH$1849,6,FALSE)</f>
        <v>Electrosurgical Units, Monopolar/Bipolar</v>
      </c>
      <c r="TEO115" s="196" t="s">
        <v>761</v>
      </c>
      <c r="TEP115" s="197" t="str">
        <f>VLOOKUP(TEO115,[13]AssetDetails_UEM!$A$3:$AH$1849,6,FALSE)</f>
        <v>Electrosurgical Units, Monopolar/Bipolar</v>
      </c>
      <c r="TEQ115" s="196" t="s">
        <v>761</v>
      </c>
      <c r="TER115" s="197" t="str">
        <f>VLOOKUP(TEQ115,[13]AssetDetails_UEM!$A$3:$AH$1849,6,FALSE)</f>
        <v>Electrosurgical Units, Monopolar/Bipolar</v>
      </c>
      <c r="TES115" s="196" t="s">
        <v>761</v>
      </c>
      <c r="TET115" s="197" t="str">
        <f>VLOOKUP(TES115,[13]AssetDetails_UEM!$A$3:$AH$1849,6,FALSE)</f>
        <v>Electrosurgical Units, Monopolar/Bipolar</v>
      </c>
      <c r="TEU115" s="196" t="s">
        <v>761</v>
      </c>
      <c r="TEV115" s="197" t="str">
        <f>VLOOKUP(TEU115,[13]AssetDetails_UEM!$A$3:$AH$1849,6,FALSE)</f>
        <v>Electrosurgical Units, Monopolar/Bipolar</v>
      </c>
      <c r="TEW115" s="196" t="s">
        <v>761</v>
      </c>
      <c r="TEX115" s="197" t="str">
        <f>VLOOKUP(TEW115,[13]AssetDetails_UEM!$A$3:$AH$1849,6,FALSE)</f>
        <v>Electrosurgical Units, Monopolar/Bipolar</v>
      </c>
      <c r="TEY115" s="196" t="s">
        <v>761</v>
      </c>
      <c r="TEZ115" s="197" t="str">
        <f>VLOOKUP(TEY115,[13]AssetDetails_UEM!$A$3:$AH$1849,6,FALSE)</f>
        <v>Electrosurgical Units, Monopolar/Bipolar</v>
      </c>
      <c r="TFA115" s="196" t="s">
        <v>761</v>
      </c>
      <c r="TFB115" s="197" t="str">
        <f>VLOOKUP(TFA115,[13]AssetDetails_UEM!$A$3:$AH$1849,6,FALSE)</f>
        <v>Electrosurgical Units, Monopolar/Bipolar</v>
      </c>
      <c r="TFC115" s="196" t="s">
        <v>761</v>
      </c>
      <c r="TFD115" s="197" t="str">
        <f>VLOOKUP(TFC115,[13]AssetDetails_UEM!$A$3:$AH$1849,6,FALSE)</f>
        <v>Electrosurgical Units, Monopolar/Bipolar</v>
      </c>
      <c r="TFE115" s="196" t="s">
        <v>761</v>
      </c>
      <c r="TFF115" s="197" t="str">
        <f>VLOOKUP(TFE115,[13]AssetDetails_UEM!$A$3:$AH$1849,6,FALSE)</f>
        <v>Electrosurgical Units, Monopolar/Bipolar</v>
      </c>
      <c r="TFG115" s="196" t="s">
        <v>761</v>
      </c>
      <c r="TFH115" s="197" t="str">
        <f>VLOOKUP(TFG115,[13]AssetDetails_UEM!$A$3:$AH$1849,6,FALSE)</f>
        <v>Electrosurgical Units, Monopolar/Bipolar</v>
      </c>
      <c r="TFI115" s="196" t="s">
        <v>761</v>
      </c>
      <c r="TFJ115" s="197" t="str">
        <f>VLOOKUP(TFI115,[13]AssetDetails_UEM!$A$3:$AH$1849,6,FALSE)</f>
        <v>Electrosurgical Units, Monopolar/Bipolar</v>
      </c>
      <c r="TFK115" s="196" t="s">
        <v>761</v>
      </c>
      <c r="TFL115" s="197" t="str">
        <f>VLOOKUP(TFK115,[13]AssetDetails_UEM!$A$3:$AH$1849,6,FALSE)</f>
        <v>Electrosurgical Units, Monopolar/Bipolar</v>
      </c>
      <c r="TFM115" s="196" t="s">
        <v>761</v>
      </c>
      <c r="TFN115" s="197" t="str">
        <f>VLOOKUP(TFM115,[13]AssetDetails_UEM!$A$3:$AH$1849,6,FALSE)</f>
        <v>Electrosurgical Units, Monopolar/Bipolar</v>
      </c>
      <c r="TFO115" s="196" t="s">
        <v>761</v>
      </c>
      <c r="TFP115" s="197" t="str">
        <f>VLOOKUP(TFO115,[13]AssetDetails_UEM!$A$3:$AH$1849,6,FALSE)</f>
        <v>Electrosurgical Units, Monopolar/Bipolar</v>
      </c>
      <c r="TFQ115" s="196" t="s">
        <v>761</v>
      </c>
      <c r="TFR115" s="197" t="str">
        <f>VLOOKUP(TFQ115,[13]AssetDetails_UEM!$A$3:$AH$1849,6,FALSE)</f>
        <v>Electrosurgical Units, Monopolar/Bipolar</v>
      </c>
      <c r="TFS115" s="196" t="s">
        <v>761</v>
      </c>
      <c r="TFT115" s="197" t="str">
        <f>VLOOKUP(TFS115,[13]AssetDetails_UEM!$A$3:$AH$1849,6,FALSE)</f>
        <v>Electrosurgical Units, Monopolar/Bipolar</v>
      </c>
      <c r="TFU115" s="196" t="s">
        <v>761</v>
      </c>
      <c r="TFV115" s="197" t="str">
        <f>VLOOKUP(TFU115,[13]AssetDetails_UEM!$A$3:$AH$1849,6,FALSE)</f>
        <v>Electrosurgical Units, Monopolar/Bipolar</v>
      </c>
      <c r="TFW115" s="196" t="s">
        <v>761</v>
      </c>
      <c r="TFX115" s="197" t="str">
        <f>VLOOKUP(TFW115,[13]AssetDetails_UEM!$A$3:$AH$1849,6,FALSE)</f>
        <v>Electrosurgical Units, Monopolar/Bipolar</v>
      </c>
      <c r="TFY115" s="196" t="s">
        <v>761</v>
      </c>
      <c r="TFZ115" s="197" t="str">
        <f>VLOOKUP(TFY115,[13]AssetDetails_UEM!$A$3:$AH$1849,6,FALSE)</f>
        <v>Electrosurgical Units, Monopolar/Bipolar</v>
      </c>
      <c r="TGA115" s="196" t="s">
        <v>761</v>
      </c>
      <c r="TGB115" s="197" t="str">
        <f>VLOOKUP(TGA115,[13]AssetDetails_UEM!$A$3:$AH$1849,6,FALSE)</f>
        <v>Electrosurgical Units, Monopolar/Bipolar</v>
      </c>
      <c r="TGC115" s="196" t="s">
        <v>761</v>
      </c>
      <c r="TGD115" s="197" t="str">
        <f>VLOOKUP(TGC115,[13]AssetDetails_UEM!$A$3:$AH$1849,6,FALSE)</f>
        <v>Electrosurgical Units, Monopolar/Bipolar</v>
      </c>
      <c r="TGE115" s="196" t="s">
        <v>761</v>
      </c>
      <c r="TGF115" s="197" t="str">
        <f>VLOOKUP(TGE115,[13]AssetDetails_UEM!$A$3:$AH$1849,6,FALSE)</f>
        <v>Electrosurgical Units, Monopolar/Bipolar</v>
      </c>
      <c r="TGG115" s="196" t="s">
        <v>761</v>
      </c>
      <c r="TGH115" s="197" t="str">
        <f>VLOOKUP(TGG115,[13]AssetDetails_UEM!$A$3:$AH$1849,6,FALSE)</f>
        <v>Electrosurgical Units, Monopolar/Bipolar</v>
      </c>
      <c r="TGI115" s="196" t="s">
        <v>761</v>
      </c>
      <c r="TGJ115" s="197" t="str">
        <f>VLOOKUP(TGI115,[13]AssetDetails_UEM!$A$3:$AH$1849,6,FALSE)</f>
        <v>Electrosurgical Units, Monopolar/Bipolar</v>
      </c>
      <c r="TGK115" s="196" t="s">
        <v>761</v>
      </c>
      <c r="TGL115" s="197" t="str">
        <f>VLOOKUP(TGK115,[13]AssetDetails_UEM!$A$3:$AH$1849,6,FALSE)</f>
        <v>Electrosurgical Units, Monopolar/Bipolar</v>
      </c>
      <c r="TGM115" s="196" t="s">
        <v>761</v>
      </c>
      <c r="TGN115" s="197" t="str">
        <f>VLOOKUP(TGM115,[13]AssetDetails_UEM!$A$3:$AH$1849,6,FALSE)</f>
        <v>Electrosurgical Units, Monopolar/Bipolar</v>
      </c>
      <c r="TGO115" s="196" t="s">
        <v>761</v>
      </c>
      <c r="TGP115" s="197" t="str">
        <f>VLOOKUP(TGO115,[13]AssetDetails_UEM!$A$3:$AH$1849,6,FALSE)</f>
        <v>Electrosurgical Units, Monopolar/Bipolar</v>
      </c>
      <c r="TGQ115" s="196" t="s">
        <v>761</v>
      </c>
      <c r="TGR115" s="197" t="str">
        <f>VLOOKUP(TGQ115,[13]AssetDetails_UEM!$A$3:$AH$1849,6,FALSE)</f>
        <v>Electrosurgical Units, Monopolar/Bipolar</v>
      </c>
      <c r="TGS115" s="196" t="s">
        <v>761</v>
      </c>
      <c r="TGT115" s="197" t="str">
        <f>VLOOKUP(TGS115,[13]AssetDetails_UEM!$A$3:$AH$1849,6,FALSE)</f>
        <v>Electrosurgical Units, Monopolar/Bipolar</v>
      </c>
      <c r="TGU115" s="196" t="s">
        <v>761</v>
      </c>
      <c r="TGV115" s="197" t="str">
        <f>VLOOKUP(TGU115,[13]AssetDetails_UEM!$A$3:$AH$1849,6,FALSE)</f>
        <v>Electrosurgical Units, Monopolar/Bipolar</v>
      </c>
      <c r="TGW115" s="196" t="s">
        <v>761</v>
      </c>
      <c r="TGX115" s="197" t="str">
        <f>VLOOKUP(TGW115,[13]AssetDetails_UEM!$A$3:$AH$1849,6,FALSE)</f>
        <v>Electrosurgical Units, Monopolar/Bipolar</v>
      </c>
      <c r="TGY115" s="196" t="s">
        <v>761</v>
      </c>
      <c r="TGZ115" s="197" t="str">
        <f>VLOOKUP(TGY115,[13]AssetDetails_UEM!$A$3:$AH$1849,6,FALSE)</f>
        <v>Electrosurgical Units, Monopolar/Bipolar</v>
      </c>
      <c r="THA115" s="196" t="s">
        <v>761</v>
      </c>
      <c r="THB115" s="197" t="str">
        <f>VLOOKUP(THA115,[13]AssetDetails_UEM!$A$3:$AH$1849,6,FALSE)</f>
        <v>Electrosurgical Units, Monopolar/Bipolar</v>
      </c>
      <c r="THC115" s="196" t="s">
        <v>761</v>
      </c>
      <c r="THD115" s="197" t="str">
        <f>VLOOKUP(THC115,[13]AssetDetails_UEM!$A$3:$AH$1849,6,FALSE)</f>
        <v>Electrosurgical Units, Monopolar/Bipolar</v>
      </c>
      <c r="THE115" s="196" t="s">
        <v>761</v>
      </c>
      <c r="THF115" s="197" t="str">
        <f>VLOOKUP(THE115,[13]AssetDetails_UEM!$A$3:$AH$1849,6,FALSE)</f>
        <v>Electrosurgical Units, Monopolar/Bipolar</v>
      </c>
      <c r="THG115" s="196" t="s">
        <v>761</v>
      </c>
      <c r="THH115" s="197" t="str">
        <f>VLOOKUP(THG115,[13]AssetDetails_UEM!$A$3:$AH$1849,6,FALSE)</f>
        <v>Electrosurgical Units, Monopolar/Bipolar</v>
      </c>
      <c r="THI115" s="196" t="s">
        <v>761</v>
      </c>
      <c r="THJ115" s="197" t="str">
        <f>VLOOKUP(THI115,[13]AssetDetails_UEM!$A$3:$AH$1849,6,FALSE)</f>
        <v>Electrosurgical Units, Monopolar/Bipolar</v>
      </c>
      <c r="THK115" s="196" t="s">
        <v>761</v>
      </c>
      <c r="THL115" s="197" t="str">
        <f>VLOOKUP(THK115,[13]AssetDetails_UEM!$A$3:$AH$1849,6,FALSE)</f>
        <v>Electrosurgical Units, Monopolar/Bipolar</v>
      </c>
      <c r="THM115" s="196" t="s">
        <v>761</v>
      </c>
      <c r="THN115" s="197" t="str">
        <f>VLOOKUP(THM115,[13]AssetDetails_UEM!$A$3:$AH$1849,6,FALSE)</f>
        <v>Electrosurgical Units, Monopolar/Bipolar</v>
      </c>
      <c r="THO115" s="196" t="s">
        <v>761</v>
      </c>
      <c r="THP115" s="197" t="str">
        <f>VLOOKUP(THO115,[13]AssetDetails_UEM!$A$3:$AH$1849,6,FALSE)</f>
        <v>Electrosurgical Units, Monopolar/Bipolar</v>
      </c>
      <c r="THQ115" s="196" t="s">
        <v>761</v>
      </c>
      <c r="THR115" s="197" t="str">
        <f>VLOOKUP(THQ115,[13]AssetDetails_UEM!$A$3:$AH$1849,6,FALSE)</f>
        <v>Electrosurgical Units, Monopolar/Bipolar</v>
      </c>
      <c r="THS115" s="196" t="s">
        <v>761</v>
      </c>
      <c r="THT115" s="197" t="str">
        <f>VLOOKUP(THS115,[13]AssetDetails_UEM!$A$3:$AH$1849,6,FALSE)</f>
        <v>Electrosurgical Units, Monopolar/Bipolar</v>
      </c>
      <c r="THU115" s="196" t="s">
        <v>761</v>
      </c>
      <c r="THV115" s="197" t="str">
        <f>VLOOKUP(THU115,[13]AssetDetails_UEM!$A$3:$AH$1849,6,FALSE)</f>
        <v>Electrosurgical Units, Monopolar/Bipolar</v>
      </c>
      <c r="THW115" s="196" t="s">
        <v>761</v>
      </c>
      <c r="THX115" s="197" t="str">
        <f>VLOOKUP(THW115,[13]AssetDetails_UEM!$A$3:$AH$1849,6,FALSE)</f>
        <v>Electrosurgical Units, Monopolar/Bipolar</v>
      </c>
      <c r="THY115" s="196" t="s">
        <v>761</v>
      </c>
      <c r="THZ115" s="197" t="str">
        <f>VLOOKUP(THY115,[13]AssetDetails_UEM!$A$3:$AH$1849,6,FALSE)</f>
        <v>Electrosurgical Units, Monopolar/Bipolar</v>
      </c>
      <c r="TIA115" s="196" t="s">
        <v>761</v>
      </c>
      <c r="TIB115" s="197" t="str">
        <f>VLOOKUP(TIA115,[13]AssetDetails_UEM!$A$3:$AH$1849,6,FALSE)</f>
        <v>Electrosurgical Units, Monopolar/Bipolar</v>
      </c>
      <c r="TIC115" s="196" t="s">
        <v>761</v>
      </c>
      <c r="TID115" s="197" t="str">
        <f>VLOOKUP(TIC115,[13]AssetDetails_UEM!$A$3:$AH$1849,6,FALSE)</f>
        <v>Electrosurgical Units, Monopolar/Bipolar</v>
      </c>
      <c r="TIE115" s="196" t="s">
        <v>761</v>
      </c>
      <c r="TIF115" s="197" t="str">
        <f>VLOOKUP(TIE115,[13]AssetDetails_UEM!$A$3:$AH$1849,6,FALSE)</f>
        <v>Electrosurgical Units, Monopolar/Bipolar</v>
      </c>
      <c r="TIG115" s="196" t="s">
        <v>761</v>
      </c>
      <c r="TIH115" s="197" t="str">
        <f>VLOOKUP(TIG115,[13]AssetDetails_UEM!$A$3:$AH$1849,6,FALSE)</f>
        <v>Electrosurgical Units, Monopolar/Bipolar</v>
      </c>
      <c r="TII115" s="196" t="s">
        <v>761</v>
      </c>
      <c r="TIJ115" s="197" t="str">
        <f>VLOOKUP(TII115,[13]AssetDetails_UEM!$A$3:$AH$1849,6,FALSE)</f>
        <v>Electrosurgical Units, Monopolar/Bipolar</v>
      </c>
      <c r="TIK115" s="196" t="s">
        <v>761</v>
      </c>
      <c r="TIL115" s="197" t="str">
        <f>VLOOKUP(TIK115,[13]AssetDetails_UEM!$A$3:$AH$1849,6,FALSE)</f>
        <v>Electrosurgical Units, Monopolar/Bipolar</v>
      </c>
      <c r="TIM115" s="196" t="s">
        <v>761</v>
      </c>
      <c r="TIN115" s="197" t="str">
        <f>VLOOKUP(TIM115,[13]AssetDetails_UEM!$A$3:$AH$1849,6,FALSE)</f>
        <v>Electrosurgical Units, Monopolar/Bipolar</v>
      </c>
      <c r="TIO115" s="196" t="s">
        <v>761</v>
      </c>
      <c r="TIP115" s="197" t="str">
        <f>VLOOKUP(TIO115,[13]AssetDetails_UEM!$A$3:$AH$1849,6,FALSE)</f>
        <v>Electrosurgical Units, Monopolar/Bipolar</v>
      </c>
      <c r="TIQ115" s="196" t="s">
        <v>761</v>
      </c>
      <c r="TIR115" s="197" t="str">
        <f>VLOOKUP(TIQ115,[13]AssetDetails_UEM!$A$3:$AH$1849,6,FALSE)</f>
        <v>Electrosurgical Units, Monopolar/Bipolar</v>
      </c>
      <c r="TIS115" s="196" t="s">
        <v>761</v>
      </c>
      <c r="TIT115" s="197" t="str">
        <f>VLOOKUP(TIS115,[13]AssetDetails_UEM!$A$3:$AH$1849,6,FALSE)</f>
        <v>Electrosurgical Units, Monopolar/Bipolar</v>
      </c>
      <c r="TIU115" s="196" t="s">
        <v>761</v>
      </c>
      <c r="TIV115" s="197" t="str">
        <f>VLOOKUP(TIU115,[13]AssetDetails_UEM!$A$3:$AH$1849,6,FALSE)</f>
        <v>Electrosurgical Units, Monopolar/Bipolar</v>
      </c>
      <c r="TIW115" s="196" t="s">
        <v>761</v>
      </c>
      <c r="TIX115" s="197" t="str">
        <f>VLOOKUP(TIW115,[13]AssetDetails_UEM!$A$3:$AH$1849,6,FALSE)</f>
        <v>Electrosurgical Units, Monopolar/Bipolar</v>
      </c>
      <c r="TIY115" s="196" t="s">
        <v>761</v>
      </c>
      <c r="TIZ115" s="197" t="str">
        <f>VLOOKUP(TIY115,[13]AssetDetails_UEM!$A$3:$AH$1849,6,FALSE)</f>
        <v>Electrosurgical Units, Monopolar/Bipolar</v>
      </c>
      <c r="TJA115" s="196" t="s">
        <v>761</v>
      </c>
      <c r="TJB115" s="197" t="str">
        <f>VLOOKUP(TJA115,[13]AssetDetails_UEM!$A$3:$AH$1849,6,FALSE)</f>
        <v>Electrosurgical Units, Monopolar/Bipolar</v>
      </c>
      <c r="TJC115" s="196" t="s">
        <v>761</v>
      </c>
      <c r="TJD115" s="197" t="str">
        <f>VLOOKUP(TJC115,[13]AssetDetails_UEM!$A$3:$AH$1849,6,FALSE)</f>
        <v>Electrosurgical Units, Monopolar/Bipolar</v>
      </c>
      <c r="TJE115" s="196" t="s">
        <v>761</v>
      </c>
      <c r="TJF115" s="197" t="str">
        <f>VLOOKUP(TJE115,[13]AssetDetails_UEM!$A$3:$AH$1849,6,FALSE)</f>
        <v>Electrosurgical Units, Monopolar/Bipolar</v>
      </c>
      <c r="TJG115" s="196" t="s">
        <v>761</v>
      </c>
      <c r="TJH115" s="197" t="str">
        <f>VLOOKUP(TJG115,[13]AssetDetails_UEM!$A$3:$AH$1849,6,FALSE)</f>
        <v>Electrosurgical Units, Monopolar/Bipolar</v>
      </c>
      <c r="TJI115" s="196" t="s">
        <v>761</v>
      </c>
      <c r="TJJ115" s="197" t="str">
        <f>VLOOKUP(TJI115,[13]AssetDetails_UEM!$A$3:$AH$1849,6,FALSE)</f>
        <v>Electrosurgical Units, Monopolar/Bipolar</v>
      </c>
      <c r="TJK115" s="196" t="s">
        <v>761</v>
      </c>
      <c r="TJL115" s="197" t="str">
        <f>VLOOKUP(TJK115,[13]AssetDetails_UEM!$A$3:$AH$1849,6,FALSE)</f>
        <v>Electrosurgical Units, Monopolar/Bipolar</v>
      </c>
      <c r="TJM115" s="196" t="s">
        <v>761</v>
      </c>
      <c r="TJN115" s="197" t="str">
        <f>VLOOKUP(TJM115,[13]AssetDetails_UEM!$A$3:$AH$1849,6,FALSE)</f>
        <v>Electrosurgical Units, Monopolar/Bipolar</v>
      </c>
      <c r="TJO115" s="196" t="s">
        <v>761</v>
      </c>
      <c r="TJP115" s="197" t="str">
        <f>VLOOKUP(TJO115,[13]AssetDetails_UEM!$A$3:$AH$1849,6,FALSE)</f>
        <v>Electrosurgical Units, Monopolar/Bipolar</v>
      </c>
      <c r="TJQ115" s="196" t="s">
        <v>761</v>
      </c>
      <c r="TJR115" s="197" t="str">
        <f>VLOOKUP(TJQ115,[13]AssetDetails_UEM!$A$3:$AH$1849,6,FALSE)</f>
        <v>Electrosurgical Units, Monopolar/Bipolar</v>
      </c>
      <c r="TJS115" s="196" t="s">
        <v>761</v>
      </c>
      <c r="TJT115" s="197" t="str">
        <f>VLOOKUP(TJS115,[13]AssetDetails_UEM!$A$3:$AH$1849,6,FALSE)</f>
        <v>Electrosurgical Units, Monopolar/Bipolar</v>
      </c>
      <c r="TJU115" s="196" t="s">
        <v>761</v>
      </c>
      <c r="TJV115" s="197" t="str">
        <f>VLOOKUP(TJU115,[13]AssetDetails_UEM!$A$3:$AH$1849,6,FALSE)</f>
        <v>Electrosurgical Units, Monopolar/Bipolar</v>
      </c>
      <c r="TJW115" s="196" t="s">
        <v>761</v>
      </c>
      <c r="TJX115" s="197" t="str">
        <f>VLOOKUP(TJW115,[13]AssetDetails_UEM!$A$3:$AH$1849,6,FALSE)</f>
        <v>Electrosurgical Units, Monopolar/Bipolar</v>
      </c>
      <c r="TJY115" s="196" t="s">
        <v>761</v>
      </c>
      <c r="TJZ115" s="197" t="str">
        <f>VLOOKUP(TJY115,[13]AssetDetails_UEM!$A$3:$AH$1849,6,FALSE)</f>
        <v>Electrosurgical Units, Monopolar/Bipolar</v>
      </c>
      <c r="TKA115" s="196" t="s">
        <v>761</v>
      </c>
      <c r="TKB115" s="197" t="str">
        <f>VLOOKUP(TKA115,[13]AssetDetails_UEM!$A$3:$AH$1849,6,FALSE)</f>
        <v>Electrosurgical Units, Monopolar/Bipolar</v>
      </c>
      <c r="TKC115" s="196" t="s">
        <v>761</v>
      </c>
      <c r="TKD115" s="197" t="str">
        <f>VLOOKUP(TKC115,[13]AssetDetails_UEM!$A$3:$AH$1849,6,FALSE)</f>
        <v>Electrosurgical Units, Monopolar/Bipolar</v>
      </c>
      <c r="TKE115" s="196" t="s">
        <v>761</v>
      </c>
      <c r="TKF115" s="197" t="str">
        <f>VLOOKUP(TKE115,[13]AssetDetails_UEM!$A$3:$AH$1849,6,FALSE)</f>
        <v>Electrosurgical Units, Monopolar/Bipolar</v>
      </c>
      <c r="TKG115" s="196" t="s">
        <v>761</v>
      </c>
      <c r="TKH115" s="197" t="str">
        <f>VLOOKUP(TKG115,[13]AssetDetails_UEM!$A$3:$AH$1849,6,FALSE)</f>
        <v>Electrosurgical Units, Monopolar/Bipolar</v>
      </c>
      <c r="TKI115" s="196" t="s">
        <v>761</v>
      </c>
      <c r="TKJ115" s="197" t="str">
        <f>VLOOKUP(TKI115,[13]AssetDetails_UEM!$A$3:$AH$1849,6,FALSE)</f>
        <v>Electrosurgical Units, Monopolar/Bipolar</v>
      </c>
      <c r="TKK115" s="196" t="s">
        <v>761</v>
      </c>
      <c r="TKL115" s="197" t="str">
        <f>VLOOKUP(TKK115,[13]AssetDetails_UEM!$A$3:$AH$1849,6,FALSE)</f>
        <v>Electrosurgical Units, Monopolar/Bipolar</v>
      </c>
      <c r="TKM115" s="196" t="s">
        <v>761</v>
      </c>
      <c r="TKN115" s="197" t="str">
        <f>VLOOKUP(TKM115,[13]AssetDetails_UEM!$A$3:$AH$1849,6,FALSE)</f>
        <v>Electrosurgical Units, Monopolar/Bipolar</v>
      </c>
      <c r="TKO115" s="196" t="s">
        <v>761</v>
      </c>
      <c r="TKP115" s="197" t="str">
        <f>VLOOKUP(TKO115,[13]AssetDetails_UEM!$A$3:$AH$1849,6,FALSE)</f>
        <v>Electrosurgical Units, Monopolar/Bipolar</v>
      </c>
      <c r="TKQ115" s="196" t="s">
        <v>761</v>
      </c>
      <c r="TKR115" s="197" t="str">
        <f>VLOOKUP(TKQ115,[13]AssetDetails_UEM!$A$3:$AH$1849,6,FALSE)</f>
        <v>Electrosurgical Units, Monopolar/Bipolar</v>
      </c>
      <c r="TKS115" s="196" t="s">
        <v>761</v>
      </c>
      <c r="TKT115" s="197" t="str">
        <f>VLOOKUP(TKS115,[13]AssetDetails_UEM!$A$3:$AH$1849,6,FALSE)</f>
        <v>Electrosurgical Units, Monopolar/Bipolar</v>
      </c>
      <c r="TKU115" s="196" t="s">
        <v>761</v>
      </c>
      <c r="TKV115" s="197" t="str">
        <f>VLOOKUP(TKU115,[13]AssetDetails_UEM!$A$3:$AH$1849,6,FALSE)</f>
        <v>Electrosurgical Units, Monopolar/Bipolar</v>
      </c>
      <c r="TKW115" s="196" t="s">
        <v>761</v>
      </c>
      <c r="TKX115" s="197" t="str">
        <f>VLOOKUP(TKW115,[13]AssetDetails_UEM!$A$3:$AH$1849,6,FALSE)</f>
        <v>Electrosurgical Units, Monopolar/Bipolar</v>
      </c>
      <c r="TKY115" s="196" t="s">
        <v>761</v>
      </c>
      <c r="TKZ115" s="197" t="str">
        <f>VLOOKUP(TKY115,[13]AssetDetails_UEM!$A$3:$AH$1849,6,FALSE)</f>
        <v>Electrosurgical Units, Monopolar/Bipolar</v>
      </c>
      <c r="TLA115" s="196" t="s">
        <v>761</v>
      </c>
      <c r="TLB115" s="197" t="str">
        <f>VLOOKUP(TLA115,[13]AssetDetails_UEM!$A$3:$AH$1849,6,FALSE)</f>
        <v>Electrosurgical Units, Monopolar/Bipolar</v>
      </c>
      <c r="TLC115" s="196" t="s">
        <v>761</v>
      </c>
      <c r="TLD115" s="197" t="str">
        <f>VLOOKUP(TLC115,[13]AssetDetails_UEM!$A$3:$AH$1849,6,FALSE)</f>
        <v>Electrosurgical Units, Monopolar/Bipolar</v>
      </c>
      <c r="TLE115" s="196" t="s">
        <v>761</v>
      </c>
      <c r="TLF115" s="197" t="str">
        <f>VLOOKUP(TLE115,[13]AssetDetails_UEM!$A$3:$AH$1849,6,FALSE)</f>
        <v>Electrosurgical Units, Monopolar/Bipolar</v>
      </c>
      <c r="TLG115" s="196" t="s">
        <v>761</v>
      </c>
      <c r="TLH115" s="197" t="str">
        <f>VLOOKUP(TLG115,[13]AssetDetails_UEM!$A$3:$AH$1849,6,FALSE)</f>
        <v>Electrosurgical Units, Monopolar/Bipolar</v>
      </c>
      <c r="TLI115" s="196" t="s">
        <v>761</v>
      </c>
      <c r="TLJ115" s="197" t="str">
        <f>VLOOKUP(TLI115,[13]AssetDetails_UEM!$A$3:$AH$1849,6,FALSE)</f>
        <v>Electrosurgical Units, Monopolar/Bipolar</v>
      </c>
      <c r="TLK115" s="196" t="s">
        <v>761</v>
      </c>
      <c r="TLL115" s="197" t="str">
        <f>VLOOKUP(TLK115,[13]AssetDetails_UEM!$A$3:$AH$1849,6,FALSE)</f>
        <v>Electrosurgical Units, Monopolar/Bipolar</v>
      </c>
      <c r="TLM115" s="196" t="s">
        <v>761</v>
      </c>
      <c r="TLN115" s="197" t="str">
        <f>VLOOKUP(TLM115,[13]AssetDetails_UEM!$A$3:$AH$1849,6,FALSE)</f>
        <v>Electrosurgical Units, Monopolar/Bipolar</v>
      </c>
      <c r="TLO115" s="196" t="s">
        <v>761</v>
      </c>
      <c r="TLP115" s="197" t="str">
        <f>VLOOKUP(TLO115,[13]AssetDetails_UEM!$A$3:$AH$1849,6,FALSE)</f>
        <v>Electrosurgical Units, Monopolar/Bipolar</v>
      </c>
      <c r="TLQ115" s="196" t="s">
        <v>761</v>
      </c>
      <c r="TLR115" s="197" t="str">
        <f>VLOOKUP(TLQ115,[13]AssetDetails_UEM!$A$3:$AH$1849,6,FALSE)</f>
        <v>Electrosurgical Units, Monopolar/Bipolar</v>
      </c>
      <c r="TLS115" s="196" t="s">
        <v>761</v>
      </c>
      <c r="TLT115" s="197" t="str">
        <f>VLOOKUP(TLS115,[13]AssetDetails_UEM!$A$3:$AH$1849,6,FALSE)</f>
        <v>Electrosurgical Units, Monopolar/Bipolar</v>
      </c>
      <c r="TLU115" s="196" t="s">
        <v>761</v>
      </c>
      <c r="TLV115" s="197" t="str">
        <f>VLOOKUP(TLU115,[13]AssetDetails_UEM!$A$3:$AH$1849,6,FALSE)</f>
        <v>Electrosurgical Units, Monopolar/Bipolar</v>
      </c>
      <c r="TLW115" s="196" t="s">
        <v>761</v>
      </c>
      <c r="TLX115" s="197" t="str">
        <f>VLOOKUP(TLW115,[13]AssetDetails_UEM!$A$3:$AH$1849,6,FALSE)</f>
        <v>Electrosurgical Units, Monopolar/Bipolar</v>
      </c>
      <c r="TLY115" s="196" t="s">
        <v>761</v>
      </c>
      <c r="TLZ115" s="197" t="str">
        <f>VLOOKUP(TLY115,[13]AssetDetails_UEM!$A$3:$AH$1849,6,FALSE)</f>
        <v>Electrosurgical Units, Monopolar/Bipolar</v>
      </c>
      <c r="TMA115" s="196" t="s">
        <v>761</v>
      </c>
      <c r="TMB115" s="197" t="str">
        <f>VLOOKUP(TMA115,[13]AssetDetails_UEM!$A$3:$AH$1849,6,FALSE)</f>
        <v>Electrosurgical Units, Monopolar/Bipolar</v>
      </c>
      <c r="TMC115" s="196" t="s">
        <v>761</v>
      </c>
      <c r="TMD115" s="197" t="str">
        <f>VLOOKUP(TMC115,[13]AssetDetails_UEM!$A$3:$AH$1849,6,FALSE)</f>
        <v>Electrosurgical Units, Monopolar/Bipolar</v>
      </c>
      <c r="TME115" s="196" t="s">
        <v>761</v>
      </c>
      <c r="TMF115" s="197" t="str">
        <f>VLOOKUP(TME115,[13]AssetDetails_UEM!$A$3:$AH$1849,6,FALSE)</f>
        <v>Electrosurgical Units, Monopolar/Bipolar</v>
      </c>
      <c r="TMG115" s="196" t="s">
        <v>761</v>
      </c>
      <c r="TMH115" s="197" t="str">
        <f>VLOOKUP(TMG115,[13]AssetDetails_UEM!$A$3:$AH$1849,6,FALSE)</f>
        <v>Electrosurgical Units, Monopolar/Bipolar</v>
      </c>
      <c r="TMI115" s="196" t="s">
        <v>761</v>
      </c>
      <c r="TMJ115" s="197" t="str">
        <f>VLOOKUP(TMI115,[13]AssetDetails_UEM!$A$3:$AH$1849,6,FALSE)</f>
        <v>Electrosurgical Units, Monopolar/Bipolar</v>
      </c>
      <c r="TMK115" s="196" t="s">
        <v>761</v>
      </c>
      <c r="TML115" s="197" t="str">
        <f>VLOOKUP(TMK115,[13]AssetDetails_UEM!$A$3:$AH$1849,6,FALSE)</f>
        <v>Electrosurgical Units, Monopolar/Bipolar</v>
      </c>
      <c r="TMM115" s="196" t="s">
        <v>761</v>
      </c>
      <c r="TMN115" s="197" t="str">
        <f>VLOOKUP(TMM115,[13]AssetDetails_UEM!$A$3:$AH$1849,6,FALSE)</f>
        <v>Electrosurgical Units, Monopolar/Bipolar</v>
      </c>
      <c r="TMO115" s="196" t="s">
        <v>761</v>
      </c>
      <c r="TMP115" s="197" t="str">
        <f>VLOOKUP(TMO115,[13]AssetDetails_UEM!$A$3:$AH$1849,6,FALSE)</f>
        <v>Electrosurgical Units, Monopolar/Bipolar</v>
      </c>
      <c r="TMQ115" s="196" t="s">
        <v>761</v>
      </c>
      <c r="TMR115" s="197" t="str">
        <f>VLOOKUP(TMQ115,[13]AssetDetails_UEM!$A$3:$AH$1849,6,FALSE)</f>
        <v>Electrosurgical Units, Monopolar/Bipolar</v>
      </c>
      <c r="TMS115" s="196" t="s">
        <v>761</v>
      </c>
      <c r="TMT115" s="197" t="str">
        <f>VLOOKUP(TMS115,[13]AssetDetails_UEM!$A$3:$AH$1849,6,FALSE)</f>
        <v>Electrosurgical Units, Monopolar/Bipolar</v>
      </c>
      <c r="TMU115" s="196" t="s">
        <v>761</v>
      </c>
      <c r="TMV115" s="197" t="str">
        <f>VLOOKUP(TMU115,[13]AssetDetails_UEM!$A$3:$AH$1849,6,FALSE)</f>
        <v>Electrosurgical Units, Monopolar/Bipolar</v>
      </c>
      <c r="TMW115" s="196" t="s">
        <v>761</v>
      </c>
      <c r="TMX115" s="197" t="str">
        <f>VLOOKUP(TMW115,[13]AssetDetails_UEM!$A$3:$AH$1849,6,FALSE)</f>
        <v>Electrosurgical Units, Monopolar/Bipolar</v>
      </c>
      <c r="TMY115" s="196" t="s">
        <v>761</v>
      </c>
      <c r="TMZ115" s="197" t="str">
        <f>VLOOKUP(TMY115,[13]AssetDetails_UEM!$A$3:$AH$1849,6,FALSE)</f>
        <v>Electrosurgical Units, Monopolar/Bipolar</v>
      </c>
      <c r="TNA115" s="196" t="s">
        <v>761</v>
      </c>
      <c r="TNB115" s="197" t="str">
        <f>VLOOKUP(TNA115,[13]AssetDetails_UEM!$A$3:$AH$1849,6,FALSE)</f>
        <v>Electrosurgical Units, Monopolar/Bipolar</v>
      </c>
      <c r="TNC115" s="196" t="s">
        <v>761</v>
      </c>
      <c r="TND115" s="197" t="str">
        <f>VLOOKUP(TNC115,[13]AssetDetails_UEM!$A$3:$AH$1849,6,FALSE)</f>
        <v>Electrosurgical Units, Monopolar/Bipolar</v>
      </c>
      <c r="TNE115" s="196" t="s">
        <v>761</v>
      </c>
      <c r="TNF115" s="197" t="str">
        <f>VLOOKUP(TNE115,[13]AssetDetails_UEM!$A$3:$AH$1849,6,FALSE)</f>
        <v>Electrosurgical Units, Monopolar/Bipolar</v>
      </c>
      <c r="TNG115" s="196" t="s">
        <v>761</v>
      </c>
      <c r="TNH115" s="197" t="str">
        <f>VLOOKUP(TNG115,[13]AssetDetails_UEM!$A$3:$AH$1849,6,FALSE)</f>
        <v>Electrosurgical Units, Monopolar/Bipolar</v>
      </c>
      <c r="TNI115" s="196" t="s">
        <v>761</v>
      </c>
      <c r="TNJ115" s="197" t="str">
        <f>VLOOKUP(TNI115,[13]AssetDetails_UEM!$A$3:$AH$1849,6,FALSE)</f>
        <v>Electrosurgical Units, Monopolar/Bipolar</v>
      </c>
      <c r="TNK115" s="196" t="s">
        <v>761</v>
      </c>
      <c r="TNL115" s="197" t="str">
        <f>VLOOKUP(TNK115,[13]AssetDetails_UEM!$A$3:$AH$1849,6,FALSE)</f>
        <v>Electrosurgical Units, Monopolar/Bipolar</v>
      </c>
      <c r="TNM115" s="196" t="s">
        <v>761</v>
      </c>
      <c r="TNN115" s="197" t="str">
        <f>VLOOKUP(TNM115,[13]AssetDetails_UEM!$A$3:$AH$1849,6,FALSE)</f>
        <v>Electrosurgical Units, Monopolar/Bipolar</v>
      </c>
      <c r="TNO115" s="196" t="s">
        <v>761</v>
      </c>
      <c r="TNP115" s="197" t="str">
        <f>VLOOKUP(TNO115,[13]AssetDetails_UEM!$A$3:$AH$1849,6,FALSE)</f>
        <v>Electrosurgical Units, Monopolar/Bipolar</v>
      </c>
      <c r="TNQ115" s="196" t="s">
        <v>761</v>
      </c>
      <c r="TNR115" s="197" t="str">
        <f>VLOOKUP(TNQ115,[13]AssetDetails_UEM!$A$3:$AH$1849,6,FALSE)</f>
        <v>Electrosurgical Units, Monopolar/Bipolar</v>
      </c>
      <c r="TNS115" s="196" t="s">
        <v>761</v>
      </c>
      <c r="TNT115" s="197" t="str">
        <f>VLOOKUP(TNS115,[13]AssetDetails_UEM!$A$3:$AH$1849,6,FALSE)</f>
        <v>Electrosurgical Units, Monopolar/Bipolar</v>
      </c>
      <c r="TNU115" s="196" t="s">
        <v>761</v>
      </c>
      <c r="TNV115" s="197" t="str">
        <f>VLOOKUP(TNU115,[13]AssetDetails_UEM!$A$3:$AH$1849,6,FALSE)</f>
        <v>Electrosurgical Units, Monopolar/Bipolar</v>
      </c>
      <c r="TNW115" s="196" t="s">
        <v>761</v>
      </c>
      <c r="TNX115" s="197" t="str">
        <f>VLOOKUP(TNW115,[13]AssetDetails_UEM!$A$3:$AH$1849,6,FALSE)</f>
        <v>Electrosurgical Units, Monopolar/Bipolar</v>
      </c>
      <c r="TNY115" s="196" t="s">
        <v>761</v>
      </c>
      <c r="TNZ115" s="197" t="str">
        <f>VLOOKUP(TNY115,[13]AssetDetails_UEM!$A$3:$AH$1849,6,FALSE)</f>
        <v>Electrosurgical Units, Monopolar/Bipolar</v>
      </c>
      <c r="TOA115" s="196" t="s">
        <v>761</v>
      </c>
      <c r="TOB115" s="197" t="str">
        <f>VLOOKUP(TOA115,[13]AssetDetails_UEM!$A$3:$AH$1849,6,FALSE)</f>
        <v>Electrosurgical Units, Monopolar/Bipolar</v>
      </c>
      <c r="TOC115" s="196" t="s">
        <v>761</v>
      </c>
      <c r="TOD115" s="197" t="str">
        <f>VLOOKUP(TOC115,[13]AssetDetails_UEM!$A$3:$AH$1849,6,FALSE)</f>
        <v>Electrosurgical Units, Monopolar/Bipolar</v>
      </c>
      <c r="TOE115" s="196" t="s">
        <v>761</v>
      </c>
      <c r="TOF115" s="197" t="str">
        <f>VLOOKUP(TOE115,[13]AssetDetails_UEM!$A$3:$AH$1849,6,FALSE)</f>
        <v>Electrosurgical Units, Monopolar/Bipolar</v>
      </c>
      <c r="TOG115" s="196" t="s">
        <v>761</v>
      </c>
      <c r="TOH115" s="197" t="str">
        <f>VLOOKUP(TOG115,[13]AssetDetails_UEM!$A$3:$AH$1849,6,FALSE)</f>
        <v>Electrosurgical Units, Monopolar/Bipolar</v>
      </c>
      <c r="TOI115" s="196" t="s">
        <v>761</v>
      </c>
      <c r="TOJ115" s="197" t="str">
        <f>VLOOKUP(TOI115,[13]AssetDetails_UEM!$A$3:$AH$1849,6,FALSE)</f>
        <v>Electrosurgical Units, Monopolar/Bipolar</v>
      </c>
      <c r="TOK115" s="196" t="s">
        <v>761</v>
      </c>
      <c r="TOL115" s="197" t="str">
        <f>VLOOKUP(TOK115,[13]AssetDetails_UEM!$A$3:$AH$1849,6,FALSE)</f>
        <v>Electrosurgical Units, Monopolar/Bipolar</v>
      </c>
      <c r="TOM115" s="196" t="s">
        <v>761</v>
      </c>
      <c r="TON115" s="197" t="str">
        <f>VLOOKUP(TOM115,[13]AssetDetails_UEM!$A$3:$AH$1849,6,FALSE)</f>
        <v>Electrosurgical Units, Monopolar/Bipolar</v>
      </c>
      <c r="TOO115" s="196" t="s">
        <v>761</v>
      </c>
      <c r="TOP115" s="197" t="str">
        <f>VLOOKUP(TOO115,[13]AssetDetails_UEM!$A$3:$AH$1849,6,FALSE)</f>
        <v>Electrosurgical Units, Monopolar/Bipolar</v>
      </c>
      <c r="TOQ115" s="196" t="s">
        <v>761</v>
      </c>
      <c r="TOR115" s="197" t="str">
        <f>VLOOKUP(TOQ115,[13]AssetDetails_UEM!$A$3:$AH$1849,6,FALSE)</f>
        <v>Electrosurgical Units, Monopolar/Bipolar</v>
      </c>
      <c r="TOS115" s="196" t="s">
        <v>761</v>
      </c>
      <c r="TOT115" s="197" t="str">
        <f>VLOOKUP(TOS115,[13]AssetDetails_UEM!$A$3:$AH$1849,6,FALSE)</f>
        <v>Electrosurgical Units, Monopolar/Bipolar</v>
      </c>
      <c r="TOU115" s="196" t="s">
        <v>761</v>
      </c>
      <c r="TOV115" s="197" t="str">
        <f>VLOOKUP(TOU115,[13]AssetDetails_UEM!$A$3:$AH$1849,6,FALSE)</f>
        <v>Electrosurgical Units, Monopolar/Bipolar</v>
      </c>
      <c r="TOW115" s="196" t="s">
        <v>761</v>
      </c>
      <c r="TOX115" s="197" t="str">
        <f>VLOOKUP(TOW115,[13]AssetDetails_UEM!$A$3:$AH$1849,6,FALSE)</f>
        <v>Electrosurgical Units, Monopolar/Bipolar</v>
      </c>
      <c r="TOY115" s="196" t="s">
        <v>761</v>
      </c>
      <c r="TOZ115" s="197" t="str">
        <f>VLOOKUP(TOY115,[13]AssetDetails_UEM!$A$3:$AH$1849,6,FALSE)</f>
        <v>Electrosurgical Units, Monopolar/Bipolar</v>
      </c>
      <c r="TPA115" s="196" t="s">
        <v>761</v>
      </c>
      <c r="TPB115" s="197" t="str">
        <f>VLOOKUP(TPA115,[13]AssetDetails_UEM!$A$3:$AH$1849,6,FALSE)</f>
        <v>Electrosurgical Units, Monopolar/Bipolar</v>
      </c>
      <c r="TPC115" s="196" t="s">
        <v>761</v>
      </c>
      <c r="TPD115" s="197" t="str">
        <f>VLOOKUP(TPC115,[13]AssetDetails_UEM!$A$3:$AH$1849,6,FALSE)</f>
        <v>Electrosurgical Units, Monopolar/Bipolar</v>
      </c>
      <c r="TPE115" s="196" t="s">
        <v>761</v>
      </c>
      <c r="TPF115" s="197" t="str">
        <f>VLOOKUP(TPE115,[13]AssetDetails_UEM!$A$3:$AH$1849,6,FALSE)</f>
        <v>Electrosurgical Units, Monopolar/Bipolar</v>
      </c>
      <c r="TPG115" s="196" t="s">
        <v>761</v>
      </c>
      <c r="TPH115" s="197" t="str">
        <f>VLOOKUP(TPG115,[13]AssetDetails_UEM!$A$3:$AH$1849,6,FALSE)</f>
        <v>Electrosurgical Units, Monopolar/Bipolar</v>
      </c>
      <c r="TPI115" s="196" t="s">
        <v>761</v>
      </c>
      <c r="TPJ115" s="197" t="str">
        <f>VLOOKUP(TPI115,[13]AssetDetails_UEM!$A$3:$AH$1849,6,FALSE)</f>
        <v>Electrosurgical Units, Monopolar/Bipolar</v>
      </c>
      <c r="TPK115" s="196" t="s">
        <v>761</v>
      </c>
      <c r="TPL115" s="197" t="str">
        <f>VLOOKUP(TPK115,[13]AssetDetails_UEM!$A$3:$AH$1849,6,FALSE)</f>
        <v>Electrosurgical Units, Monopolar/Bipolar</v>
      </c>
      <c r="TPM115" s="196" t="s">
        <v>761</v>
      </c>
      <c r="TPN115" s="197" t="str">
        <f>VLOOKUP(TPM115,[13]AssetDetails_UEM!$A$3:$AH$1849,6,FALSE)</f>
        <v>Electrosurgical Units, Monopolar/Bipolar</v>
      </c>
      <c r="TPO115" s="196" t="s">
        <v>761</v>
      </c>
      <c r="TPP115" s="197" t="str">
        <f>VLOOKUP(TPO115,[13]AssetDetails_UEM!$A$3:$AH$1849,6,FALSE)</f>
        <v>Electrosurgical Units, Monopolar/Bipolar</v>
      </c>
      <c r="TPQ115" s="196" t="s">
        <v>761</v>
      </c>
      <c r="TPR115" s="197" t="str">
        <f>VLOOKUP(TPQ115,[13]AssetDetails_UEM!$A$3:$AH$1849,6,FALSE)</f>
        <v>Electrosurgical Units, Monopolar/Bipolar</v>
      </c>
      <c r="TPS115" s="196" t="s">
        <v>761</v>
      </c>
      <c r="TPT115" s="197" t="str">
        <f>VLOOKUP(TPS115,[13]AssetDetails_UEM!$A$3:$AH$1849,6,FALSE)</f>
        <v>Electrosurgical Units, Monopolar/Bipolar</v>
      </c>
      <c r="TPU115" s="196" t="s">
        <v>761</v>
      </c>
      <c r="TPV115" s="197" t="str">
        <f>VLOOKUP(TPU115,[13]AssetDetails_UEM!$A$3:$AH$1849,6,FALSE)</f>
        <v>Electrosurgical Units, Monopolar/Bipolar</v>
      </c>
      <c r="TPW115" s="196" t="s">
        <v>761</v>
      </c>
      <c r="TPX115" s="197" t="str">
        <f>VLOOKUP(TPW115,[13]AssetDetails_UEM!$A$3:$AH$1849,6,FALSE)</f>
        <v>Electrosurgical Units, Monopolar/Bipolar</v>
      </c>
      <c r="TPY115" s="196" t="s">
        <v>761</v>
      </c>
      <c r="TPZ115" s="197" t="str">
        <f>VLOOKUP(TPY115,[13]AssetDetails_UEM!$A$3:$AH$1849,6,FALSE)</f>
        <v>Electrosurgical Units, Monopolar/Bipolar</v>
      </c>
      <c r="TQA115" s="196" t="s">
        <v>761</v>
      </c>
      <c r="TQB115" s="197" t="str">
        <f>VLOOKUP(TQA115,[13]AssetDetails_UEM!$A$3:$AH$1849,6,FALSE)</f>
        <v>Electrosurgical Units, Monopolar/Bipolar</v>
      </c>
      <c r="TQC115" s="196" t="s">
        <v>761</v>
      </c>
      <c r="TQD115" s="197" t="str">
        <f>VLOOKUP(TQC115,[13]AssetDetails_UEM!$A$3:$AH$1849,6,FALSE)</f>
        <v>Electrosurgical Units, Monopolar/Bipolar</v>
      </c>
      <c r="TQE115" s="196" t="s">
        <v>761</v>
      </c>
      <c r="TQF115" s="197" t="str">
        <f>VLOOKUP(TQE115,[13]AssetDetails_UEM!$A$3:$AH$1849,6,FALSE)</f>
        <v>Electrosurgical Units, Monopolar/Bipolar</v>
      </c>
      <c r="TQG115" s="196" t="s">
        <v>761</v>
      </c>
      <c r="TQH115" s="197" t="str">
        <f>VLOOKUP(TQG115,[13]AssetDetails_UEM!$A$3:$AH$1849,6,FALSE)</f>
        <v>Electrosurgical Units, Monopolar/Bipolar</v>
      </c>
      <c r="TQI115" s="196" t="s">
        <v>761</v>
      </c>
      <c r="TQJ115" s="197" t="str">
        <f>VLOOKUP(TQI115,[13]AssetDetails_UEM!$A$3:$AH$1849,6,FALSE)</f>
        <v>Electrosurgical Units, Monopolar/Bipolar</v>
      </c>
      <c r="TQK115" s="196" t="s">
        <v>761</v>
      </c>
      <c r="TQL115" s="197" t="str">
        <f>VLOOKUP(TQK115,[13]AssetDetails_UEM!$A$3:$AH$1849,6,FALSE)</f>
        <v>Electrosurgical Units, Monopolar/Bipolar</v>
      </c>
      <c r="TQM115" s="196" t="s">
        <v>761</v>
      </c>
      <c r="TQN115" s="197" t="str">
        <f>VLOOKUP(TQM115,[13]AssetDetails_UEM!$A$3:$AH$1849,6,FALSE)</f>
        <v>Electrosurgical Units, Monopolar/Bipolar</v>
      </c>
      <c r="TQO115" s="196" t="s">
        <v>761</v>
      </c>
      <c r="TQP115" s="197" t="str">
        <f>VLOOKUP(TQO115,[13]AssetDetails_UEM!$A$3:$AH$1849,6,FALSE)</f>
        <v>Electrosurgical Units, Monopolar/Bipolar</v>
      </c>
      <c r="TQQ115" s="196" t="s">
        <v>761</v>
      </c>
      <c r="TQR115" s="197" t="str">
        <f>VLOOKUP(TQQ115,[13]AssetDetails_UEM!$A$3:$AH$1849,6,FALSE)</f>
        <v>Electrosurgical Units, Monopolar/Bipolar</v>
      </c>
      <c r="TQS115" s="196" t="s">
        <v>761</v>
      </c>
      <c r="TQT115" s="197" t="str">
        <f>VLOOKUP(TQS115,[13]AssetDetails_UEM!$A$3:$AH$1849,6,FALSE)</f>
        <v>Electrosurgical Units, Monopolar/Bipolar</v>
      </c>
      <c r="TQU115" s="196" t="s">
        <v>761</v>
      </c>
      <c r="TQV115" s="197" t="str">
        <f>VLOOKUP(TQU115,[13]AssetDetails_UEM!$A$3:$AH$1849,6,FALSE)</f>
        <v>Electrosurgical Units, Monopolar/Bipolar</v>
      </c>
      <c r="TQW115" s="196" t="s">
        <v>761</v>
      </c>
      <c r="TQX115" s="197" t="str">
        <f>VLOOKUP(TQW115,[13]AssetDetails_UEM!$A$3:$AH$1849,6,FALSE)</f>
        <v>Electrosurgical Units, Monopolar/Bipolar</v>
      </c>
      <c r="TQY115" s="196" t="s">
        <v>761</v>
      </c>
      <c r="TQZ115" s="197" t="str">
        <f>VLOOKUP(TQY115,[13]AssetDetails_UEM!$A$3:$AH$1849,6,FALSE)</f>
        <v>Electrosurgical Units, Monopolar/Bipolar</v>
      </c>
      <c r="TRA115" s="196" t="s">
        <v>761</v>
      </c>
      <c r="TRB115" s="197" t="str">
        <f>VLOOKUP(TRA115,[13]AssetDetails_UEM!$A$3:$AH$1849,6,FALSE)</f>
        <v>Electrosurgical Units, Monopolar/Bipolar</v>
      </c>
      <c r="TRC115" s="196" t="s">
        <v>761</v>
      </c>
      <c r="TRD115" s="197" t="str">
        <f>VLOOKUP(TRC115,[13]AssetDetails_UEM!$A$3:$AH$1849,6,FALSE)</f>
        <v>Electrosurgical Units, Monopolar/Bipolar</v>
      </c>
      <c r="TRE115" s="196" t="s">
        <v>761</v>
      </c>
      <c r="TRF115" s="197" t="str">
        <f>VLOOKUP(TRE115,[13]AssetDetails_UEM!$A$3:$AH$1849,6,FALSE)</f>
        <v>Electrosurgical Units, Monopolar/Bipolar</v>
      </c>
      <c r="TRG115" s="196" t="s">
        <v>761</v>
      </c>
      <c r="TRH115" s="197" t="str">
        <f>VLOOKUP(TRG115,[13]AssetDetails_UEM!$A$3:$AH$1849,6,FALSE)</f>
        <v>Electrosurgical Units, Monopolar/Bipolar</v>
      </c>
      <c r="TRI115" s="196" t="s">
        <v>761</v>
      </c>
      <c r="TRJ115" s="197" t="str">
        <f>VLOOKUP(TRI115,[13]AssetDetails_UEM!$A$3:$AH$1849,6,FALSE)</f>
        <v>Electrosurgical Units, Monopolar/Bipolar</v>
      </c>
      <c r="TRK115" s="196" t="s">
        <v>761</v>
      </c>
      <c r="TRL115" s="197" t="str">
        <f>VLOOKUP(TRK115,[13]AssetDetails_UEM!$A$3:$AH$1849,6,FALSE)</f>
        <v>Electrosurgical Units, Monopolar/Bipolar</v>
      </c>
      <c r="TRM115" s="196" t="s">
        <v>761</v>
      </c>
      <c r="TRN115" s="197" t="str">
        <f>VLOOKUP(TRM115,[13]AssetDetails_UEM!$A$3:$AH$1849,6,FALSE)</f>
        <v>Electrosurgical Units, Monopolar/Bipolar</v>
      </c>
      <c r="TRO115" s="196" t="s">
        <v>761</v>
      </c>
      <c r="TRP115" s="197" t="str">
        <f>VLOOKUP(TRO115,[13]AssetDetails_UEM!$A$3:$AH$1849,6,FALSE)</f>
        <v>Electrosurgical Units, Monopolar/Bipolar</v>
      </c>
      <c r="TRQ115" s="196" t="s">
        <v>761</v>
      </c>
      <c r="TRR115" s="197" t="str">
        <f>VLOOKUP(TRQ115,[13]AssetDetails_UEM!$A$3:$AH$1849,6,FALSE)</f>
        <v>Electrosurgical Units, Monopolar/Bipolar</v>
      </c>
      <c r="TRS115" s="196" t="s">
        <v>761</v>
      </c>
      <c r="TRT115" s="197" t="str">
        <f>VLOOKUP(TRS115,[13]AssetDetails_UEM!$A$3:$AH$1849,6,FALSE)</f>
        <v>Electrosurgical Units, Monopolar/Bipolar</v>
      </c>
      <c r="TRU115" s="196" t="s">
        <v>761</v>
      </c>
      <c r="TRV115" s="197" t="str">
        <f>VLOOKUP(TRU115,[13]AssetDetails_UEM!$A$3:$AH$1849,6,FALSE)</f>
        <v>Electrosurgical Units, Monopolar/Bipolar</v>
      </c>
      <c r="TRW115" s="196" t="s">
        <v>761</v>
      </c>
      <c r="TRX115" s="197" t="str">
        <f>VLOOKUP(TRW115,[13]AssetDetails_UEM!$A$3:$AH$1849,6,FALSE)</f>
        <v>Electrosurgical Units, Monopolar/Bipolar</v>
      </c>
      <c r="TRY115" s="196" t="s">
        <v>761</v>
      </c>
      <c r="TRZ115" s="197" t="str">
        <f>VLOOKUP(TRY115,[13]AssetDetails_UEM!$A$3:$AH$1849,6,FALSE)</f>
        <v>Electrosurgical Units, Monopolar/Bipolar</v>
      </c>
      <c r="TSA115" s="196" t="s">
        <v>761</v>
      </c>
      <c r="TSB115" s="197" t="str">
        <f>VLOOKUP(TSA115,[13]AssetDetails_UEM!$A$3:$AH$1849,6,FALSE)</f>
        <v>Electrosurgical Units, Monopolar/Bipolar</v>
      </c>
      <c r="TSC115" s="196" t="s">
        <v>761</v>
      </c>
      <c r="TSD115" s="197" t="str">
        <f>VLOOKUP(TSC115,[13]AssetDetails_UEM!$A$3:$AH$1849,6,FALSE)</f>
        <v>Electrosurgical Units, Monopolar/Bipolar</v>
      </c>
      <c r="TSE115" s="196" t="s">
        <v>761</v>
      </c>
      <c r="TSF115" s="197" t="str">
        <f>VLOOKUP(TSE115,[13]AssetDetails_UEM!$A$3:$AH$1849,6,FALSE)</f>
        <v>Electrosurgical Units, Monopolar/Bipolar</v>
      </c>
      <c r="TSG115" s="196" t="s">
        <v>761</v>
      </c>
      <c r="TSH115" s="197" t="str">
        <f>VLOOKUP(TSG115,[13]AssetDetails_UEM!$A$3:$AH$1849,6,FALSE)</f>
        <v>Electrosurgical Units, Monopolar/Bipolar</v>
      </c>
      <c r="TSI115" s="196" t="s">
        <v>761</v>
      </c>
      <c r="TSJ115" s="197" t="str">
        <f>VLOOKUP(TSI115,[13]AssetDetails_UEM!$A$3:$AH$1849,6,FALSE)</f>
        <v>Electrosurgical Units, Monopolar/Bipolar</v>
      </c>
      <c r="TSK115" s="196" t="s">
        <v>761</v>
      </c>
      <c r="TSL115" s="197" t="str">
        <f>VLOOKUP(TSK115,[13]AssetDetails_UEM!$A$3:$AH$1849,6,FALSE)</f>
        <v>Electrosurgical Units, Monopolar/Bipolar</v>
      </c>
      <c r="TSM115" s="196" t="s">
        <v>761</v>
      </c>
      <c r="TSN115" s="197" t="str">
        <f>VLOOKUP(TSM115,[13]AssetDetails_UEM!$A$3:$AH$1849,6,FALSE)</f>
        <v>Electrosurgical Units, Monopolar/Bipolar</v>
      </c>
      <c r="TSO115" s="196" t="s">
        <v>761</v>
      </c>
      <c r="TSP115" s="197" t="str">
        <f>VLOOKUP(TSO115,[13]AssetDetails_UEM!$A$3:$AH$1849,6,FALSE)</f>
        <v>Electrosurgical Units, Monopolar/Bipolar</v>
      </c>
      <c r="TSQ115" s="196" t="s">
        <v>761</v>
      </c>
      <c r="TSR115" s="197" t="str">
        <f>VLOOKUP(TSQ115,[13]AssetDetails_UEM!$A$3:$AH$1849,6,FALSE)</f>
        <v>Electrosurgical Units, Monopolar/Bipolar</v>
      </c>
      <c r="TSS115" s="196" t="s">
        <v>761</v>
      </c>
      <c r="TST115" s="197" t="str">
        <f>VLOOKUP(TSS115,[13]AssetDetails_UEM!$A$3:$AH$1849,6,FALSE)</f>
        <v>Electrosurgical Units, Monopolar/Bipolar</v>
      </c>
      <c r="TSU115" s="196" t="s">
        <v>761</v>
      </c>
      <c r="TSV115" s="197" t="str">
        <f>VLOOKUP(TSU115,[13]AssetDetails_UEM!$A$3:$AH$1849,6,FALSE)</f>
        <v>Electrosurgical Units, Monopolar/Bipolar</v>
      </c>
      <c r="TSW115" s="196" t="s">
        <v>761</v>
      </c>
      <c r="TSX115" s="197" t="str">
        <f>VLOOKUP(TSW115,[13]AssetDetails_UEM!$A$3:$AH$1849,6,FALSE)</f>
        <v>Electrosurgical Units, Monopolar/Bipolar</v>
      </c>
      <c r="TSY115" s="196" t="s">
        <v>761</v>
      </c>
      <c r="TSZ115" s="197" t="str">
        <f>VLOOKUP(TSY115,[13]AssetDetails_UEM!$A$3:$AH$1849,6,FALSE)</f>
        <v>Electrosurgical Units, Monopolar/Bipolar</v>
      </c>
      <c r="TTA115" s="196" t="s">
        <v>761</v>
      </c>
      <c r="TTB115" s="197" t="str">
        <f>VLOOKUP(TTA115,[13]AssetDetails_UEM!$A$3:$AH$1849,6,FALSE)</f>
        <v>Electrosurgical Units, Monopolar/Bipolar</v>
      </c>
      <c r="TTC115" s="196" t="s">
        <v>761</v>
      </c>
      <c r="TTD115" s="197" t="str">
        <f>VLOOKUP(TTC115,[13]AssetDetails_UEM!$A$3:$AH$1849,6,FALSE)</f>
        <v>Electrosurgical Units, Monopolar/Bipolar</v>
      </c>
      <c r="TTE115" s="196" t="s">
        <v>761</v>
      </c>
      <c r="TTF115" s="197" t="str">
        <f>VLOOKUP(TTE115,[13]AssetDetails_UEM!$A$3:$AH$1849,6,FALSE)</f>
        <v>Electrosurgical Units, Monopolar/Bipolar</v>
      </c>
      <c r="TTG115" s="196" t="s">
        <v>761</v>
      </c>
      <c r="TTH115" s="197" t="str">
        <f>VLOOKUP(TTG115,[13]AssetDetails_UEM!$A$3:$AH$1849,6,FALSE)</f>
        <v>Electrosurgical Units, Monopolar/Bipolar</v>
      </c>
      <c r="TTI115" s="196" t="s">
        <v>761</v>
      </c>
      <c r="TTJ115" s="197" t="str">
        <f>VLOOKUP(TTI115,[13]AssetDetails_UEM!$A$3:$AH$1849,6,FALSE)</f>
        <v>Electrosurgical Units, Monopolar/Bipolar</v>
      </c>
      <c r="TTK115" s="196" t="s">
        <v>761</v>
      </c>
      <c r="TTL115" s="197" t="str">
        <f>VLOOKUP(TTK115,[13]AssetDetails_UEM!$A$3:$AH$1849,6,FALSE)</f>
        <v>Electrosurgical Units, Monopolar/Bipolar</v>
      </c>
      <c r="TTM115" s="196" t="s">
        <v>761</v>
      </c>
      <c r="TTN115" s="197" t="str">
        <f>VLOOKUP(TTM115,[13]AssetDetails_UEM!$A$3:$AH$1849,6,FALSE)</f>
        <v>Electrosurgical Units, Monopolar/Bipolar</v>
      </c>
      <c r="TTO115" s="196" t="s">
        <v>761</v>
      </c>
      <c r="TTP115" s="197" t="str">
        <f>VLOOKUP(TTO115,[13]AssetDetails_UEM!$A$3:$AH$1849,6,FALSE)</f>
        <v>Electrosurgical Units, Monopolar/Bipolar</v>
      </c>
      <c r="TTQ115" s="196" t="s">
        <v>761</v>
      </c>
      <c r="TTR115" s="197" t="str">
        <f>VLOOKUP(TTQ115,[13]AssetDetails_UEM!$A$3:$AH$1849,6,FALSE)</f>
        <v>Electrosurgical Units, Monopolar/Bipolar</v>
      </c>
      <c r="TTS115" s="196" t="s">
        <v>761</v>
      </c>
      <c r="TTT115" s="197" t="str">
        <f>VLOOKUP(TTS115,[13]AssetDetails_UEM!$A$3:$AH$1849,6,FALSE)</f>
        <v>Electrosurgical Units, Monopolar/Bipolar</v>
      </c>
      <c r="TTU115" s="196" t="s">
        <v>761</v>
      </c>
      <c r="TTV115" s="197" t="str">
        <f>VLOOKUP(TTU115,[13]AssetDetails_UEM!$A$3:$AH$1849,6,FALSE)</f>
        <v>Electrosurgical Units, Monopolar/Bipolar</v>
      </c>
      <c r="TTW115" s="196" t="s">
        <v>761</v>
      </c>
      <c r="TTX115" s="197" t="str">
        <f>VLOOKUP(TTW115,[13]AssetDetails_UEM!$A$3:$AH$1849,6,FALSE)</f>
        <v>Electrosurgical Units, Monopolar/Bipolar</v>
      </c>
      <c r="TTY115" s="196" t="s">
        <v>761</v>
      </c>
      <c r="TTZ115" s="197" t="str">
        <f>VLOOKUP(TTY115,[13]AssetDetails_UEM!$A$3:$AH$1849,6,FALSE)</f>
        <v>Electrosurgical Units, Monopolar/Bipolar</v>
      </c>
      <c r="TUA115" s="196" t="s">
        <v>761</v>
      </c>
      <c r="TUB115" s="197" t="str">
        <f>VLOOKUP(TUA115,[13]AssetDetails_UEM!$A$3:$AH$1849,6,FALSE)</f>
        <v>Electrosurgical Units, Monopolar/Bipolar</v>
      </c>
      <c r="TUC115" s="196" t="s">
        <v>761</v>
      </c>
      <c r="TUD115" s="197" t="str">
        <f>VLOOKUP(TUC115,[13]AssetDetails_UEM!$A$3:$AH$1849,6,FALSE)</f>
        <v>Electrosurgical Units, Monopolar/Bipolar</v>
      </c>
      <c r="TUE115" s="196" t="s">
        <v>761</v>
      </c>
      <c r="TUF115" s="197" t="str">
        <f>VLOOKUP(TUE115,[13]AssetDetails_UEM!$A$3:$AH$1849,6,FALSE)</f>
        <v>Electrosurgical Units, Monopolar/Bipolar</v>
      </c>
      <c r="TUG115" s="196" t="s">
        <v>761</v>
      </c>
      <c r="TUH115" s="197" t="str">
        <f>VLOOKUP(TUG115,[13]AssetDetails_UEM!$A$3:$AH$1849,6,FALSE)</f>
        <v>Electrosurgical Units, Monopolar/Bipolar</v>
      </c>
      <c r="TUI115" s="196" t="s">
        <v>761</v>
      </c>
      <c r="TUJ115" s="197" t="str">
        <f>VLOOKUP(TUI115,[13]AssetDetails_UEM!$A$3:$AH$1849,6,FALSE)</f>
        <v>Electrosurgical Units, Monopolar/Bipolar</v>
      </c>
      <c r="TUK115" s="196" t="s">
        <v>761</v>
      </c>
      <c r="TUL115" s="197" t="str">
        <f>VLOOKUP(TUK115,[13]AssetDetails_UEM!$A$3:$AH$1849,6,FALSE)</f>
        <v>Electrosurgical Units, Monopolar/Bipolar</v>
      </c>
      <c r="TUM115" s="196" t="s">
        <v>761</v>
      </c>
      <c r="TUN115" s="197" t="str">
        <f>VLOOKUP(TUM115,[13]AssetDetails_UEM!$A$3:$AH$1849,6,FALSE)</f>
        <v>Electrosurgical Units, Monopolar/Bipolar</v>
      </c>
      <c r="TUO115" s="196" t="s">
        <v>761</v>
      </c>
      <c r="TUP115" s="197" t="str">
        <f>VLOOKUP(TUO115,[13]AssetDetails_UEM!$A$3:$AH$1849,6,FALSE)</f>
        <v>Electrosurgical Units, Monopolar/Bipolar</v>
      </c>
      <c r="TUQ115" s="196" t="s">
        <v>761</v>
      </c>
      <c r="TUR115" s="197" t="str">
        <f>VLOOKUP(TUQ115,[13]AssetDetails_UEM!$A$3:$AH$1849,6,FALSE)</f>
        <v>Electrosurgical Units, Monopolar/Bipolar</v>
      </c>
      <c r="TUS115" s="196" t="s">
        <v>761</v>
      </c>
      <c r="TUT115" s="197" t="str">
        <f>VLOOKUP(TUS115,[13]AssetDetails_UEM!$A$3:$AH$1849,6,FALSE)</f>
        <v>Electrosurgical Units, Monopolar/Bipolar</v>
      </c>
      <c r="TUU115" s="196" t="s">
        <v>761</v>
      </c>
      <c r="TUV115" s="197" t="str">
        <f>VLOOKUP(TUU115,[13]AssetDetails_UEM!$A$3:$AH$1849,6,FALSE)</f>
        <v>Electrosurgical Units, Monopolar/Bipolar</v>
      </c>
      <c r="TUW115" s="196" t="s">
        <v>761</v>
      </c>
      <c r="TUX115" s="197" t="str">
        <f>VLOOKUP(TUW115,[13]AssetDetails_UEM!$A$3:$AH$1849,6,FALSE)</f>
        <v>Electrosurgical Units, Monopolar/Bipolar</v>
      </c>
      <c r="TUY115" s="196" t="s">
        <v>761</v>
      </c>
      <c r="TUZ115" s="197" t="str">
        <f>VLOOKUP(TUY115,[13]AssetDetails_UEM!$A$3:$AH$1849,6,FALSE)</f>
        <v>Electrosurgical Units, Monopolar/Bipolar</v>
      </c>
      <c r="TVA115" s="196" t="s">
        <v>761</v>
      </c>
      <c r="TVB115" s="197" t="str">
        <f>VLOOKUP(TVA115,[13]AssetDetails_UEM!$A$3:$AH$1849,6,FALSE)</f>
        <v>Electrosurgical Units, Monopolar/Bipolar</v>
      </c>
      <c r="TVC115" s="196" t="s">
        <v>761</v>
      </c>
      <c r="TVD115" s="197" t="str">
        <f>VLOOKUP(TVC115,[13]AssetDetails_UEM!$A$3:$AH$1849,6,FALSE)</f>
        <v>Electrosurgical Units, Monopolar/Bipolar</v>
      </c>
      <c r="TVE115" s="196" t="s">
        <v>761</v>
      </c>
      <c r="TVF115" s="197" t="str">
        <f>VLOOKUP(TVE115,[13]AssetDetails_UEM!$A$3:$AH$1849,6,FALSE)</f>
        <v>Electrosurgical Units, Monopolar/Bipolar</v>
      </c>
      <c r="TVG115" s="196" t="s">
        <v>761</v>
      </c>
      <c r="TVH115" s="197" t="str">
        <f>VLOOKUP(TVG115,[13]AssetDetails_UEM!$A$3:$AH$1849,6,FALSE)</f>
        <v>Electrosurgical Units, Monopolar/Bipolar</v>
      </c>
      <c r="TVI115" s="196" t="s">
        <v>761</v>
      </c>
      <c r="TVJ115" s="197" t="str">
        <f>VLOOKUP(TVI115,[13]AssetDetails_UEM!$A$3:$AH$1849,6,FALSE)</f>
        <v>Electrosurgical Units, Monopolar/Bipolar</v>
      </c>
      <c r="TVK115" s="196" t="s">
        <v>761</v>
      </c>
      <c r="TVL115" s="197" t="str">
        <f>VLOOKUP(TVK115,[13]AssetDetails_UEM!$A$3:$AH$1849,6,FALSE)</f>
        <v>Electrosurgical Units, Monopolar/Bipolar</v>
      </c>
      <c r="TVM115" s="196" t="s">
        <v>761</v>
      </c>
      <c r="TVN115" s="197" t="str">
        <f>VLOOKUP(TVM115,[13]AssetDetails_UEM!$A$3:$AH$1849,6,FALSE)</f>
        <v>Electrosurgical Units, Monopolar/Bipolar</v>
      </c>
      <c r="TVO115" s="196" t="s">
        <v>761</v>
      </c>
      <c r="TVP115" s="197" t="str">
        <f>VLOOKUP(TVO115,[13]AssetDetails_UEM!$A$3:$AH$1849,6,FALSE)</f>
        <v>Electrosurgical Units, Monopolar/Bipolar</v>
      </c>
      <c r="TVQ115" s="196" t="s">
        <v>761</v>
      </c>
      <c r="TVR115" s="197" t="str">
        <f>VLOOKUP(TVQ115,[13]AssetDetails_UEM!$A$3:$AH$1849,6,FALSE)</f>
        <v>Electrosurgical Units, Monopolar/Bipolar</v>
      </c>
      <c r="TVS115" s="196" t="s">
        <v>761</v>
      </c>
      <c r="TVT115" s="197" t="str">
        <f>VLOOKUP(TVS115,[13]AssetDetails_UEM!$A$3:$AH$1849,6,FALSE)</f>
        <v>Electrosurgical Units, Monopolar/Bipolar</v>
      </c>
      <c r="TVU115" s="196" t="s">
        <v>761</v>
      </c>
      <c r="TVV115" s="197" t="str">
        <f>VLOOKUP(TVU115,[13]AssetDetails_UEM!$A$3:$AH$1849,6,FALSE)</f>
        <v>Electrosurgical Units, Monopolar/Bipolar</v>
      </c>
      <c r="TVW115" s="196" t="s">
        <v>761</v>
      </c>
      <c r="TVX115" s="197" t="str">
        <f>VLOOKUP(TVW115,[13]AssetDetails_UEM!$A$3:$AH$1849,6,FALSE)</f>
        <v>Electrosurgical Units, Monopolar/Bipolar</v>
      </c>
      <c r="TVY115" s="196" t="s">
        <v>761</v>
      </c>
      <c r="TVZ115" s="197" t="str">
        <f>VLOOKUP(TVY115,[13]AssetDetails_UEM!$A$3:$AH$1849,6,FALSE)</f>
        <v>Electrosurgical Units, Monopolar/Bipolar</v>
      </c>
      <c r="TWA115" s="196" t="s">
        <v>761</v>
      </c>
      <c r="TWB115" s="197" t="str">
        <f>VLOOKUP(TWA115,[13]AssetDetails_UEM!$A$3:$AH$1849,6,FALSE)</f>
        <v>Electrosurgical Units, Monopolar/Bipolar</v>
      </c>
      <c r="TWC115" s="196" t="s">
        <v>761</v>
      </c>
      <c r="TWD115" s="197" t="str">
        <f>VLOOKUP(TWC115,[13]AssetDetails_UEM!$A$3:$AH$1849,6,FALSE)</f>
        <v>Electrosurgical Units, Monopolar/Bipolar</v>
      </c>
      <c r="TWE115" s="196" t="s">
        <v>761</v>
      </c>
      <c r="TWF115" s="197" t="str">
        <f>VLOOKUP(TWE115,[13]AssetDetails_UEM!$A$3:$AH$1849,6,FALSE)</f>
        <v>Electrosurgical Units, Monopolar/Bipolar</v>
      </c>
      <c r="TWG115" s="196" t="s">
        <v>761</v>
      </c>
      <c r="TWH115" s="197" t="str">
        <f>VLOOKUP(TWG115,[13]AssetDetails_UEM!$A$3:$AH$1849,6,FALSE)</f>
        <v>Electrosurgical Units, Monopolar/Bipolar</v>
      </c>
      <c r="TWI115" s="196" t="s">
        <v>761</v>
      </c>
      <c r="TWJ115" s="197" t="str">
        <f>VLOOKUP(TWI115,[13]AssetDetails_UEM!$A$3:$AH$1849,6,FALSE)</f>
        <v>Electrosurgical Units, Monopolar/Bipolar</v>
      </c>
      <c r="TWK115" s="196" t="s">
        <v>761</v>
      </c>
      <c r="TWL115" s="197" t="str">
        <f>VLOOKUP(TWK115,[13]AssetDetails_UEM!$A$3:$AH$1849,6,FALSE)</f>
        <v>Electrosurgical Units, Monopolar/Bipolar</v>
      </c>
      <c r="TWM115" s="196" t="s">
        <v>761</v>
      </c>
      <c r="TWN115" s="197" t="str">
        <f>VLOOKUP(TWM115,[13]AssetDetails_UEM!$A$3:$AH$1849,6,FALSE)</f>
        <v>Electrosurgical Units, Monopolar/Bipolar</v>
      </c>
      <c r="TWO115" s="196" t="s">
        <v>761</v>
      </c>
      <c r="TWP115" s="197" t="str">
        <f>VLOOKUP(TWO115,[13]AssetDetails_UEM!$A$3:$AH$1849,6,FALSE)</f>
        <v>Electrosurgical Units, Monopolar/Bipolar</v>
      </c>
      <c r="TWQ115" s="196" t="s">
        <v>761</v>
      </c>
      <c r="TWR115" s="197" t="str">
        <f>VLOOKUP(TWQ115,[13]AssetDetails_UEM!$A$3:$AH$1849,6,FALSE)</f>
        <v>Electrosurgical Units, Monopolar/Bipolar</v>
      </c>
      <c r="TWS115" s="196" t="s">
        <v>761</v>
      </c>
      <c r="TWT115" s="197" t="str">
        <f>VLOOKUP(TWS115,[13]AssetDetails_UEM!$A$3:$AH$1849,6,FALSE)</f>
        <v>Electrosurgical Units, Monopolar/Bipolar</v>
      </c>
      <c r="TWU115" s="196" t="s">
        <v>761</v>
      </c>
      <c r="TWV115" s="197" t="str">
        <f>VLOOKUP(TWU115,[13]AssetDetails_UEM!$A$3:$AH$1849,6,FALSE)</f>
        <v>Electrosurgical Units, Monopolar/Bipolar</v>
      </c>
      <c r="TWW115" s="196" t="s">
        <v>761</v>
      </c>
      <c r="TWX115" s="197" t="str">
        <f>VLOOKUP(TWW115,[13]AssetDetails_UEM!$A$3:$AH$1849,6,FALSE)</f>
        <v>Electrosurgical Units, Monopolar/Bipolar</v>
      </c>
      <c r="TWY115" s="196" t="s">
        <v>761</v>
      </c>
      <c r="TWZ115" s="197" t="str">
        <f>VLOOKUP(TWY115,[13]AssetDetails_UEM!$A$3:$AH$1849,6,FALSE)</f>
        <v>Electrosurgical Units, Monopolar/Bipolar</v>
      </c>
      <c r="TXA115" s="196" t="s">
        <v>761</v>
      </c>
      <c r="TXB115" s="197" t="str">
        <f>VLOOKUP(TXA115,[13]AssetDetails_UEM!$A$3:$AH$1849,6,FALSE)</f>
        <v>Electrosurgical Units, Monopolar/Bipolar</v>
      </c>
      <c r="TXC115" s="196" t="s">
        <v>761</v>
      </c>
      <c r="TXD115" s="197" t="str">
        <f>VLOOKUP(TXC115,[13]AssetDetails_UEM!$A$3:$AH$1849,6,FALSE)</f>
        <v>Electrosurgical Units, Monopolar/Bipolar</v>
      </c>
      <c r="TXE115" s="196" t="s">
        <v>761</v>
      </c>
      <c r="TXF115" s="197" t="str">
        <f>VLOOKUP(TXE115,[13]AssetDetails_UEM!$A$3:$AH$1849,6,FALSE)</f>
        <v>Electrosurgical Units, Monopolar/Bipolar</v>
      </c>
      <c r="TXG115" s="196" t="s">
        <v>761</v>
      </c>
      <c r="TXH115" s="197" t="str">
        <f>VLOOKUP(TXG115,[13]AssetDetails_UEM!$A$3:$AH$1849,6,FALSE)</f>
        <v>Electrosurgical Units, Monopolar/Bipolar</v>
      </c>
      <c r="TXI115" s="196" t="s">
        <v>761</v>
      </c>
      <c r="TXJ115" s="197" t="str">
        <f>VLOOKUP(TXI115,[13]AssetDetails_UEM!$A$3:$AH$1849,6,FALSE)</f>
        <v>Electrosurgical Units, Monopolar/Bipolar</v>
      </c>
      <c r="TXK115" s="196" t="s">
        <v>761</v>
      </c>
      <c r="TXL115" s="197" t="str">
        <f>VLOOKUP(TXK115,[13]AssetDetails_UEM!$A$3:$AH$1849,6,FALSE)</f>
        <v>Electrosurgical Units, Monopolar/Bipolar</v>
      </c>
      <c r="TXM115" s="196" t="s">
        <v>761</v>
      </c>
      <c r="TXN115" s="197" t="str">
        <f>VLOOKUP(TXM115,[13]AssetDetails_UEM!$A$3:$AH$1849,6,FALSE)</f>
        <v>Electrosurgical Units, Monopolar/Bipolar</v>
      </c>
      <c r="TXO115" s="196" t="s">
        <v>761</v>
      </c>
      <c r="TXP115" s="197" t="str">
        <f>VLOOKUP(TXO115,[13]AssetDetails_UEM!$A$3:$AH$1849,6,FALSE)</f>
        <v>Electrosurgical Units, Monopolar/Bipolar</v>
      </c>
      <c r="TXQ115" s="196" t="s">
        <v>761</v>
      </c>
      <c r="TXR115" s="197" t="str">
        <f>VLOOKUP(TXQ115,[13]AssetDetails_UEM!$A$3:$AH$1849,6,FALSE)</f>
        <v>Electrosurgical Units, Monopolar/Bipolar</v>
      </c>
      <c r="TXS115" s="196" t="s">
        <v>761</v>
      </c>
      <c r="TXT115" s="197" t="str">
        <f>VLOOKUP(TXS115,[13]AssetDetails_UEM!$A$3:$AH$1849,6,FALSE)</f>
        <v>Electrosurgical Units, Monopolar/Bipolar</v>
      </c>
      <c r="TXU115" s="196" t="s">
        <v>761</v>
      </c>
      <c r="TXV115" s="197" t="str">
        <f>VLOOKUP(TXU115,[13]AssetDetails_UEM!$A$3:$AH$1849,6,FALSE)</f>
        <v>Electrosurgical Units, Monopolar/Bipolar</v>
      </c>
      <c r="TXW115" s="196" t="s">
        <v>761</v>
      </c>
      <c r="TXX115" s="197" t="str">
        <f>VLOOKUP(TXW115,[13]AssetDetails_UEM!$A$3:$AH$1849,6,FALSE)</f>
        <v>Electrosurgical Units, Monopolar/Bipolar</v>
      </c>
      <c r="TXY115" s="196" t="s">
        <v>761</v>
      </c>
      <c r="TXZ115" s="197" t="str">
        <f>VLOOKUP(TXY115,[13]AssetDetails_UEM!$A$3:$AH$1849,6,FALSE)</f>
        <v>Electrosurgical Units, Monopolar/Bipolar</v>
      </c>
      <c r="TYA115" s="196" t="s">
        <v>761</v>
      </c>
      <c r="TYB115" s="197" t="str">
        <f>VLOOKUP(TYA115,[13]AssetDetails_UEM!$A$3:$AH$1849,6,FALSE)</f>
        <v>Electrosurgical Units, Monopolar/Bipolar</v>
      </c>
      <c r="TYC115" s="196" t="s">
        <v>761</v>
      </c>
      <c r="TYD115" s="197" t="str">
        <f>VLOOKUP(TYC115,[13]AssetDetails_UEM!$A$3:$AH$1849,6,FALSE)</f>
        <v>Electrosurgical Units, Monopolar/Bipolar</v>
      </c>
      <c r="TYE115" s="196" t="s">
        <v>761</v>
      </c>
      <c r="TYF115" s="197" t="str">
        <f>VLOOKUP(TYE115,[13]AssetDetails_UEM!$A$3:$AH$1849,6,FALSE)</f>
        <v>Electrosurgical Units, Monopolar/Bipolar</v>
      </c>
      <c r="TYG115" s="196" t="s">
        <v>761</v>
      </c>
      <c r="TYH115" s="197" t="str">
        <f>VLOOKUP(TYG115,[13]AssetDetails_UEM!$A$3:$AH$1849,6,FALSE)</f>
        <v>Electrosurgical Units, Monopolar/Bipolar</v>
      </c>
      <c r="TYI115" s="196" t="s">
        <v>761</v>
      </c>
      <c r="TYJ115" s="197" t="str">
        <f>VLOOKUP(TYI115,[13]AssetDetails_UEM!$A$3:$AH$1849,6,FALSE)</f>
        <v>Electrosurgical Units, Monopolar/Bipolar</v>
      </c>
      <c r="TYK115" s="196" t="s">
        <v>761</v>
      </c>
      <c r="TYL115" s="197" t="str">
        <f>VLOOKUP(TYK115,[13]AssetDetails_UEM!$A$3:$AH$1849,6,FALSE)</f>
        <v>Electrosurgical Units, Monopolar/Bipolar</v>
      </c>
      <c r="TYM115" s="196" t="s">
        <v>761</v>
      </c>
      <c r="TYN115" s="197" t="str">
        <f>VLOOKUP(TYM115,[13]AssetDetails_UEM!$A$3:$AH$1849,6,FALSE)</f>
        <v>Electrosurgical Units, Monopolar/Bipolar</v>
      </c>
      <c r="TYO115" s="196" t="s">
        <v>761</v>
      </c>
      <c r="TYP115" s="197" t="str">
        <f>VLOOKUP(TYO115,[13]AssetDetails_UEM!$A$3:$AH$1849,6,FALSE)</f>
        <v>Electrosurgical Units, Monopolar/Bipolar</v>
      </c>
      <c r="TYQ115" s="196" t="s">
        <v>761</v>
      </c>
      <c r="TYR115" s="197" t="str">
        <f>VLOOKUP(TYQ115,[13]AssetDetails_UEM!$A$3:$AH$1849,6,FALSE)</f>
        <v>Electrosurgical Units, Monopolar/Bipolar</v>
      </c>
      <c r="TYS115" s="196" t="s">
        <v>761</v>
      </c>
      <c r="TYT115" s="197" t="str">
        <f>VLOOKUP(TYS115,[13]AssetDetails_UEM!$A$3:$AH$1849,6,FALSE)</f>
        <v>Electrosurgical Units, Monopolar/Bipolar</v>
      </c>
      <c r="TYU115" s="196" t="s">
        <v>761</v>
      </c>
      <c r="TYV115" s="197" t="str">
        <f>VLOOKUP(TYU115,[13]AssetDetails_UEM!$A$3:$AH$1849,6,FALSE)</f>
        <v>Electrosurgical Units, Monopolar/Bipolar</v>
      </c>
      <c r="TYW115" s="196" t="s">
        <v>761</v>
      </c>
      <c r="TYX115" s="197" t="str">
        <f>VLOOKUP(TYW115,[13]AssetDetails_UEM!$A$3:$AH$1849,6,FALSE)</f>
        <v>Electrosurgical Units, Monopolar/Bipolar</v>
      </c>
      <c r="TYY115" s="196" t="s">
        <v>761</v>
      </c>
      <c r="TYZ115" s="197" t="str">
        <f>VLOOKUP(TYY115,[13]AssetDetails_UEM!$A$3:$AH$1849,6,FALSE)</f>
        <v>Electrosurgical Units, Monopolar/Bipolar</v>
      </c>
      <c r="TZA115" s="196" t="s">
        <v>761</v>
      </c>
      <c r="TZB115" s="197" t="str">
        <f>VLOOKUP(TZA115,[13]AssetDetails_UEM!$A$3:$AH$1849,6,FALSE)</f>
        <v>Electrosurgical Units, Monopolar/Bipolar</v>
      </c>
      <c r="TZC115" s="196" t="s">
        <v>761</v>
      </c>
      <c r="TZD115" s="197" t="str">
        <f>VLOOKUP(TZC115,[13]AssetDetails_UEM!$A$3:$AH$1849,6,FALSE)</f>
        <v>Electrosurgical Units, Monopolar/Bipolar</v>
      </c>
      <c r="TZE115" s="196" t="s">
        <v>761</v>
      </c>
      <c r="TZF115" s="197" t="str">
        <f>VLOOKUP(TZE115,[13]AssetDetails_UEM!$A$3:$AH$1849,6,FALSE)</f>
        <v>Electrosurgical Units, Monopolar/Bipolar</v>
      </c>
      <c r="TZG115" s="196" t="s">
        <v>761</v>
      </c>
      <c r="TZH115" s="197" t="str">
        <f>VLOOKUP(TZG115,[13]AssetDetails_UEM!$A$3:$AH$1849,6,FALSE)</f>
        <v>Electrosurgical Units, Monopolar/Bipolar</v>
      </c>
      <c r="TZI115" s="196" t="s">
        <v>761</v>
      </c>
      <c r="TZJ115" s="197" t="str">
        <f>VLOOKUP(TZI115,[13]AssetDetails_UEM!$A$3:$AH$1849,6,FALSE)</f>
        <v>Electrosurgical Units, Monopolar/Bipolar</v>
      </c>
      <c r="TZK115" s="196" t="s">
        <v>761</v>
      </c>
      <c r="TZL115" s="197" t="str">
        <f>VLOOKUP(TZK115,[13]AssetDetails_UEM!$A$3:$AH$1849,6,FALSE)</f>
        <v>Electrosurgical Units, Monopolar/Bipolar</v>
      </c>
      <c r="TZM115" s="196" t="s">
        <v>761</v>
      </c>
      <c r="TZN115" s="197" t="str">
        <f>VLOOKUP(TZM115,[13]AssetDetails_UEM!$A$3:$AH$1849,6,FALSE)</f>
        <v>Electrosurgical Units, Monopolar/Bipolar</v>
      </c>
      <c r="TZO115" s="196" t="s">
        <v>761</v>
      </c>
      <c r="TZP115" s="197" t="str">
        <f>VLOOKUP(TZO115,[13]AssetDetails_UEM!$A$3:$AH$1849,6,FALSE)</f>
        <v>Electrosurgical Units, Monopolar/Bipolar</v>
      </c>
      <c r="TZQ115" s="196" t="s">
        <v>761</v>
      </c>
      <c r="TZR115" s="197" t="str">
        <f>VLOOKUP(TZQ115,[13]AssetDetails_UEM!$A$3:$AH$1849,6,FALSE)</f>
        <v>Electrosurgical Units, Monopolar/Bipolar</v>
      </c>
      <c r="TZS115" s="196" t="s">
        <v>761</v>
      </c>
      <c r="TZT115" s="197" t="str">
        <f>VLOOKUP(TZS115,[13]AssetDetails_UEM!$A$3:$AH$1849,6,FALSE)</f>
        <v>Electrosurgical Units, Monopolar/Bipolar</v>
      </c>
      <c r="TZU115" s="196" t="s">
        <v>761</v>
      </c>
      <c r="TZV115" s="197" t="str">
        <f>VLOOKUP(TZU115,[13]AssetDetails_UEM!$A$3:$AH$1849,6,FALSE)</f>
        <v>Electrosurgical Units, Monopolar/Bipolar</v>
      </c>
      <c r="TZW115" s="196" t="s">
        <v>761</v>
      </c>
      <c r="TZX115" s="197" t="str">
        <f>VLOOKUP(TZW115,[13]AssetDetails_UEM!$A$3:$AH$1849,6,FALSE)</f>
        <v>Electrosurgical Units, Monopolar/Bipolar</v>
      </c>
      <c r="TZY115" s="196" t="s">
        <v>761</v>
      </c>
      <c r="TZZ115" s="197" t="str">
        <f>VLOOKUP(TZY115,[13]AssetDetails_UEM!$A$3:$AH$1849,6,FALSE)</f>
        <v>Electrosurgical Units, Monopolar/Bipolar</v>
      </c>
      <c r="UAA115" s="196" t="s">
        <v>761</v>
      </c>
      <c r="UAB115" s="197" t="str">
        <f>VLOOKUP(UAA115,[13]AssetDetails_UEM!$A$3:$AH$1849,6,FALSE)</f>
        <v>Electrosurgical Units, Monopolar/Bipolar</v>
      </c>
      <c r="UAC115" s="196" t="s">
        <v>761</v>
      </c>
      <c r="UAD115" s="197" t="str">
        <f>VLOOKUP(UAC115,[13]AssetDetails_UEM!$A$3:$AH$1849,6,FALSE)</f>
        <v>Electrosurgical Units, Monopolar/Bipolar</v>
      </c>
      <c r="UAE115" s="196" t="s">
        <v>761</v>
      </c>
      <c r="UAF115" s="197" t="str">
        <f>VLOOKUP(UAE115,[13]AssetDetails_UEM!$A$3:$AH$1849,6,FALSE)</f>
        <v>Electrosurgical Units, Monopolar/Bipolar</v>
      </c>
      <c r="UAG115" s="196" t="s">
        <v>761</v>
      </c>
      <c r="UAH115" s="197" t="str">
        <f>VLOOKUP(UAG115,[13]AssetDetails_UEM!$A$3:$AH$1849,6,FALSE)</f>
        <v>Electrosurgical Units, Monopolar/Bipolar</v>
      </c>
      <c r="UAI115" s="196" t="s">
        <v>761</v>
      </c>
      <c r="UAJ115" s="197" t="str">
        <f>VLOOKUP(UAI115,[13]AssetDetails_UEM!$A$3:$AH$1849,6,FALSE)</f>
        <v>Electrosurgical Units, Monopolar/Bipolar</v>
      </c>
      <c r="UAK115" s="196" t="s">
        <v>761</v>
      </c>
      <c r="UAL115" s="197" t="str">
        <f>VLOOKUP(UAK115,[13]AssetDetails_UEM!$A$3:$AH$1849,6,FALSE)</f>
        <v>Electrosurgical Units, Monopolar/Bipolar</v>
      </c>
      <c r="UAM115" s="196" t="s">
        <v>761</v>
      </c>
      <c r="UAN115" s="197" t="str">
        <f>VLOOKUP(UAM115,[13]AssetDetails_UEM!$A$3:$AH$1849,6,FALSE)</f>
        <v>Electrosurgical Units, Monopolar/Bipolar</v>
      </c>
      <c r="UAO115" s="196" t="s">
        <v>761</v>
      </c>
      <c r="UAP115" s="197" t="str">
        <f>VLOOKUP(UAO115,[13]AssetDetails_UEM!$A$3:$AH$1849,6,FALSE)</f>
        <v>Electrosurgical Units, Monopolar/Bipolar</v>
      </c>
      <c r="UAQ115" s="196" t="s">
        <v>761</v>
      </c>
      <c r="UAR115" s="197" t="str">
        <f>VLOOKUP(UAQ115,[13]AssetDetails_UEM!$A$3:$AH$1849,6,FALSE)</f>
        <v>Electrosurgical Units, Monopolar/Bipolar</v>
      </c>
      <c r="UAS115" s="196" t="s">
        <v>761</v>
      </c>
      <c r="UAT115" s="197" t="str">
        <f>VLOOKUP(UAS115,[13]AssetDetails_UEM!$A$3:$AH$1849,6,FALSE)</f>
        <v>Electrosurgical Units, Monopolar/Bipolar</v>
      </c>
      <c r="UAU115" s="196" t="s">
        <v>761</v>
      </c>
      <c r="UAV115" s="197" t="str">
        <f>VLOOKUP(UAU115,[13]AssetDetails_UEM!$A$3:$AH$1849,6,FALSE)</f>
        <v>Electrosurgical Units, Monopolar/Bipolar</v>
      </c>
      <c r="UAW115" s="196" t="s">
        <v>761</v>
      </c>
      <c r="UAX115" s="197" t="str">
        <f>VLOOKUP(UAW115,[13]AssetDetails_UEM!$A$3:$AH$1849,6,FALSE)</f>
        <v>Electrosurgical Units, Monopolar/Bipolar</v>
      </c>
      <c r="UAY115" s="196" t="s">
        <v>761</v>
      </c>
      <c r="UAZ115" s="197" t="str">
        <f>VLOOKUP(UAY115,[13]AssetDetails_UEM!$A$3:$AH$1849,6,FALSE)</f>
        <v>Electrosurgical Units, Monopolar/Bipolar</v>
      </c>
      <c r="UBA115" s="196" t="s">
        <v>761</v>
      </c>
      <c r="UBB115" s="197" t="str">
        <f>VLOOKUP(UBA115,[13]AssetDetails_UEM!$A$3:$AH$1849,6,FALSE)</f>
        <v>Electrosurgical Units, Monopolar/Bipolar</v>
      </c>
      <c r="UBC115" s="196" t="s">
        <v>761</v>
      </c>
      <c r="UBD115" s="197" t="str">
        <f>VLOOKUP(UBC115,[13]AssetDetails_UEM!$A$3:$AH$1849,6,FALSE)</f>
        <v>Electrosurgical Units, Monopolar/Bipolar</v>
      </c>
      <c r="UBE115" s="196" t="s">
        <v>761</v>
      </c>
      <c r="UBF115" s="197" t="str">
        <f>VLOOKUP(UBE115,[13]AssetDetails_UEM!$A$3:$AH$1849,6,FALSE)</f>
        <v>Electrosurgical Units, Monopolar/Bipolar</v>
      </c>
      <c r="UBG115" s="196" t="s">
        <v>761</v>
      </c>
      <c r="UBH115" s="197" t="str">
        <f>VLOOKUP(UBG115,[13]AssetDetails_UEM!$A$3:$AH$1849,6,FALSE)</f>
        <v>Electrosurgical Units, Monopolar/Bipolar</v>
      </c>
      <c r="UBI115" s="196" t="s">
        <v>761</v>
      </c>
      <c r="UBJ115" s="197" t="str">
        <f>VLOOKUP(UBI115,[13]AssetDetails_UEM!$A$3:$AH$1849,6,FALSE)</f>
        <v>Electrosurgical Units, Monopolar/Bipolar</v>
      </c>
      <c r="UBK115" s="196" t="s">
        <v>761</v>
      </c>
      <c r="UBL115" s="197" t="str">
        <f>VLOOKUP(UBK115,[13]AssetDetails_UEM!$A$3:$AH$1849,6,FALSE)</f>
        <v>Electrosurgical Units, Monopolar/Bipolar</v>
      </c>
      <c r="UBM115" s="196" t="s">
        <v>761</v>
      </c>
      <c r="UBN115" s="197" t="str">
        <f>VLOOKUP(UBM115,[13]AssetDetails_UEM!$A$3:$AH$1849,6,FALSE)</f>
        <v>Electrosurgical Units, Monopolar/Bipolar</v>
      </c>
      <c r="UBO115" s="196" t="s">
        <v>761</v>
      </c>
      <c r="UBP115" s="197" t="str">
        <f>VLOOKUP(UBO115,[13]AssetDetails_UEM!$A$3:$AH$1849,6,FALSE)</f>
        <v>Electrosurgical Units, Monopolar/Bipolar</v>
      </c>
      <c r="UBQ115" s="196" t="s">
        <v>761</v>
      </c>
      <c r="UBR115" s="197" t="str">
        <f>VLOOKUP(UBQ115,[13]AssetDetails_UEM!$A$3:$AH$1849,6,FALSE)</f>
        <v>Electrosurgical Units, Monopolar/Bipolar</v>
      </c>
      <c r="UBS115" s="196" t="s">
        <v>761</v>
      </c>
      <c r="UBT115" s="197" t="str">
        <f>VLOOKUP(UBS115,[13]AssetDetails_UEM!$A$3:$AH$1849,6,FALSE)</f>
        <v>Electrosurgical Units, Monopolar/Bipolar</v>
      </c>
      <c r="UBU115" s="196" t="s">
        <v>761</v>
      </c>
      <c r="UBV115" s="197" t="str">
        <f>VLOOKUP(UBU115,[13]AssetDetails_UEM!$A$3:$AH$1849,6,FALSE)</f>
        <v>Electrosurgical Units, Monopolar/Bipolar</v>
      </c>
      <c r="UBW115" s="196" t="s">
        <v>761</v>
      </c>
      <c r="UBX115" s="197" t="str">
        <f>VLOOKUP(UBW115,[13]AssetDetails_UEM!$A$3:$AH$1849,6,FALSE)</f>
        <v>Electrosurgical Units, Monopolar/Bipolar</v>
      </c>
      <c r="UBY115" s="196" t="s">
        <v>761</v>
      </c>
      <c r="UBZ115" s="197" t="str">
        <f>VLOOKUP(UBY115,[13]AssetDetails_UEM!$A$3:$AH$1849,6,FALSE)</f>
        <v>Electrosurgical Units, Monopolar/Bipolar</v>
      </c>
      <c r="UCA115" s="196" t="s">
        <v>761</v>
      </c>
      <c r="UCB115" s="197" t="str">
        <f>VLOOKUP(UCA115,[13]AssetDetails_UEM!$A$3:$AH$1849,6,FALSE)</f>
        <v>Electrosurgical Units, Monopolar/Bipolar</v>
      </c>
      <c r="UCC115" s="196" t="s">
        <v>761</v>
      </c>
      <c r="UCD115" s="197" t="str">
        <f>VLOOKUP(UCC115,[13]AssetDetails_UEM!$A$3:$AH$1849,6,FALSE)</f>
        <v>Electrosurgical Units, Monopolar/Bipolar</v>
      </c>
      <c r="UCE115" s="196" t="s">
        <v>761</v>
      </c>
      <c r="UCF115" s="197" t="str">
        <f>VLOOKUP(UCE115,[13]AssetDetails_UEM!$A$3:$AH$1849,6,FALSE)</f>
        <v>Electrosurgical Units, Monopolar/Bipolar</v>
      </c>
      <c r="UCG115" s="196" t="s">
        <v>761</v>
      </c>
      <c r="UCH115" s="197" t="str">
        <f>VLOOKUP(UCG115,[13]AssetDetails_UEM!$A$3:$AH$1849,6,FALSE)</f>
        <v>Electrosurgical Units, Monopolar/Bipolar</v>
      </c>
      <c r="UCI115" s="196" t="s">
        <v>761</v>
      </c>
      <c r="UCJ115" s="197" t="str">
        <f>VLOOKUP(UCI115,[13]AssetDetails_UEM!$A$3:$AH$1849,6,FALSE)</f>
        <v>Electrosurgical Units, Monopolar/Bipolar</v>
      </c>
      <c r="UCK115" s="196" t="s">
        <v>761</v>
      </c>
      <c r="UCL115" s="197" t="str">
        <f>VLOOKUP(UCK115,[13]AssetDetails_UEM!$A$3:$AH$1849,6,FALSE)</f>
        <v>Electrosurgical Units, Monopolar/Bipolar</v>
      </c>
      <c r="UCM115" s="196" t="s">
        <v>761</v>
      </c>
      <c r="UCN115" s="197" t="str">
        <f>VLOOKUP(UCM115,[13]AssetDetails_UEM!$A$3:$AH$1849,6,FALSE)</f>
        <v>Electrosurgical Units, Monopolar/Bipolar</v>
      </c>
      <c r="UCO115" s="196" t="s">
        <v>761</v>
      </c>
      <c r="UCP115" s="197" t="str">
        <f>VLOOKUP(UCO115,[13]AssetDetails_UEM!$A$3:$AH$1849,6,FALSE)</f>
        <v>Electrosurgical Units, Monopolar/Bipolar</v>
      </c>
      <c r="UCQ115" s="196" t="s">
        <v>761</v>
      </c>
      <c r="UCR115" s="197" t="str">
        <f>VLOOKUP(UCQ115,[13]AssetDetails_UEM!$A$3:$AH$1849,6,FALSE)</f>
        <v>Electrosurgical Units, Monopolar/Bipolar</v>
      </c>
      <c r="UCS115" s="196" t="s">
        <v>761</v>
      </c>
      <c r="UCT115" s="197" t="str">
        <f>VLOOKUP(UCS115,[13]AssetDetails_UEM!$A$3:$AH$1849,6,FALSE)</f>
        <v>Electrosurgical Units, Monopolar/Bipolar</v>
      </c>
      <c r="UCU115" s="196" t="s">
        <v>761</v>
      </c>
      <c r="UCV115" s="197" t="str">
        <f>VLOOKUP(UCU115,[13]AssetDetails_UEM!$A$3:$AH$1849,6,FALSE)</f>
        <v>Electrosurgical Units, Monopolar/Bipolar</v>
      </c>
      <c r="UCW115" s="196" t="s">
        <v>761</v>
      </c>
      <c r="UCX115" s="197" t="str">
        <f>VLOOKUP(UCW115,[13]AssetDetails_UEM!$A$3:$AH$1849,6,FALSE)</f>
        <v>Electrosurgical Units, Monopolar/Bipolar</v>
      </c>
      <c r="UCY115" s="196" t="s">
        <v>761</v>
      </c>
      <c r="UCZ115" s="197" t="str">
        <f>VLOOKUP(UCY115,[13]AssetDetails_UEM!$A$3:$AH$1849,6,FALSE)</f>
        <v>Electrosurgical Units, Monopolar/Bipolar</v>
      </c>
      <c r="UDA115" s="196" t="s">
        <v>761</v>
      </c>
      <c r="UDB115" s="197" t="str">
        <f>VLOOKUP(UDA115,[13]AssetDetails_UEM!$A$3:$AH$1849,6,FALSE)</f>
        <v>Electrosurgical Units, Monopolar/Bipolar</v>
      </c>
      <c r="UDC115" s="196" t="s">
        <v>761</v>
      </c>
      <c r="UDD115" s="197" t="str">
        <f>VLOOKUP(UDC115,[13]AssetDetails_UEM!$A$3:$AH$1849,6,FALSE)</f>
        <v>Electrosurgical Units, Monopolar/Bipolar</v>
      </c>
      <c r="UDE115" s="196" t="s">
        <v>761</v>
      </c>
      <c r="UDF115" s="197" t="str">
        <f>VLOOKUP(UDE115,[13]AssetDetails_UEM!$A$3:$AH$1849,6,FALSE)</f>
        <v>Electrosurgical Units, Monopolar/Bipolar</v>
      </c>
      <c r="UDG115" s="196" t="s">
        <v>761</v>
      </c>
      <c r="UDH115" s="197" t="str">
        <f>VLOOKUP(UDG115,[13]AssetDetails_UEM!$A$3:$AH$1849,6,FALSE)</f>
        <v>Electrosurgical Units, Monopolar/Bipolar</v>
      </c>
      <c r="UDI115" s="196" t="s">
        <v>761</v>
      </c>
      <c r="UDJ115" s="197" t="str">
        <f>VLOOKUP(UDI115,[13]AssetDetails_UEM!$A$3:$AH$1849,6,FALSE)</f>
        <v>Electrosurgical Units, Monopolar/Bipolar</v>
      </c>
      <c r="UDK115" s="196" t="s">
        <v>761</v>
      </c>
      <c r="UDL115" s="197" t="str">
        <f>VLOOKUP(UDK115,[13]AssetDetails_UEM!$A$3:$AH$1849,6,FALSE)</f>
        <v>Electrosurgical Units, Monopolar/Bipolar</v>
      </c>
      <c r="UDM115" s="196" t="s">
        <v>761</v>
      </c>
      <c r="UDN115" s="197" t="str">
        <f>VLOOKUP(UDM115,[13]AssetDetails_UEM!$A$3:$AH$1849,6,FALSE)</f>
        <v>Electrosurgical Units, Monopolar/Bipolar</v>
      </c>
      <c r="UDO115" s="196" t="s">
        <v>761</v>
      </c>
      <c r="UDP115" s="197" t="str">
        <f>VLOOKUP(UDO115,[13]AssetDetails_UEM!$A$3:$AH$1849,6,FALSE)</f>
        <v>Electrosurgical Units, Monopolar/Bipolar</v>
      </c>
      <c r="UDQ115" s="196" t="s">
        <v>761</v>
      </c>
      <c r="UDR115" s="197" t="str">
        <f>VLOOKUP(UDQ115,[13]AssetDetails_UEM!$A$3:$AH$1849,6,FALSE)</f>
        <v>Electrosurgical Units, Monopolar/Bipolar</v>
      </c>
      <c r="UDS115" s="196" t="s">
        <v>761</v>
      </c>
      <c r="UDT115" s="197" t="str">
        <f>VLOOKUP(UDS115,[13]AssetDetails_UEM!$A$3:$AH$1849,6,FALSE)</f>
        <v>Electrosurgical Units, Monopolar/Bipolar</v>
      </c>
      <c r="UDU115" s="196" t="s">
        <v>761</v>
      </c>
      <c r="UDV115" s="197" t="str">
        <f>VLOOKUP(UDU115,[13]AssetDetails_UEM!$A$3:$AH$1849,6,FALSE)</f>
        <v>Electrosurgical Units, Monopolar/Bipolar</v>
      </c>
      <c r="UDW115" s="196" t="s">
        <v>761</v>
      </c>
      <c r="UDX115" s="197" t="str">
        <f>VLOOKUP(UDW115,[13]AssetDetails_UEM!$A$3:$AH$1849,6,FALSE)</f>
        <v>Electrosurgical Units, Monopolar/Bipolar</v>
      </c>
      <c r="UDY115" s="196" t="s">
        <v>761</v>
      </c>
      <c r="UDZ115" s="197" t="str">
        <f>VLOOKUP(UDY115,[13]AssetDetails_UEM!$A$3:$AH$1849,6,FALSE)</f>
        <v>Electrosurgical Units, Monopolar/Bipolar</v>
      </c>
      <c r="UEA115" s="196" t="s">
        <v>761</v>
      </c>
      <c r="UEB115" s="197" t="str">
        <f>VLOOKUP(UEA115,[13]AssetDetails_UEM!$A$3:$AH$1849,6,FALSE)</f>
        <v>Electrosurgical Units, Monopolar/Bipolar</v>
      </c>
      <c r="UEC115" s="196" t="s">
        <v>761</v>
      </c>
      <c r="UED115" s="197" t="str">
        <f>VLOOKUP(UEC115,[13]AssetDetails_UEM!$A$3:$AH$1849,6,FALSE)</f>
        <v>Electrosurgical Units, Monopolar/Bipolar</v>
      </c>
      <c r="UEE115" s="196" t="s">
        <v>761</v>
      </c>
      <c r="UEF115" s="197" t="str">
        <f>VLOOKUP(UEE115,[13]AssetDetails_UEM!$A$3:$AH$1849,6,FALSE)</f>
        <v>Electrosurgical Units, Monopolar/Bipolar</v>
      </c>
      <c r="UEG115" s="196" t="s">
        <v>761</v>
      </c>
      <c r="UEH115" s="197" t="str">
        <f>VLOOKUP(UEG115,[13]AssetDetails_UEM!$A$3:$AH$1849,6,FALSE)</f>
        <v>Electrosurgical Units, Monopolar/Bipolar</v>
      </c>
      <c r="UEI115" s="196" t="s">
        <v>761</v>
      </c>
      <c r="UEJ115" s="197" t="str">
        <f>VLOOKUP(UEI115,[13]AssetDetails_UEM!$A$3:$AH$1849,6,FALSE)</f>
        <v>Electrosurgical Units, Monopolar/Bipolar</v>
      </c>
      <c r="UEK115" s="196" t="s">
        <v>761</v>
      </c>
      <c r="UEL115" s="197" t="str">
        <f>VLOOKUP(UEK115,[13]AssetDetails_UEM!$A$3:$AH$1849,6,FALSE)</f>
        <v>Electrosurgical Units, Monopolar/Bipolar</v>
      </c>
      <c r="UEM115" s="196" t="s">
        <v>761</v>
      </c>
      <c r="UEN115" s="197" t="str">
        <f>VLOOKUP(UEM115,[13]AssetDetails_UEM!$A$3:$AH$1849,6,FALSE)</f>
        <v>Electrosurgical Units, Monopolar/Bipolar</v>
      </c>
      <c r="UEO115" s="196" t="s">
        <v>761</v>
      </c>
      <c r="UEP115" s="197" t="str">
        <f>VLOOKUP(UEO115,[13]AssetDetails_UEM!$A$3:$AH$1849,6,FALSE)</f>
        <v>Electrosurgical Units, Monopolar/Bipolar</v>
      </c>
      <c r="UEQ115" s="196" t="s">
        <v>761</v>
      </c>
      <c r="UER115" s="197" t="str">
        <f>VLOOKUP(UEQ115,[13]AssetDetails_UEM!$A$3:$AH$1849,6,FALSE)</f>
        <v>Electrosurgical Units, Monopolar/Bipolar</v>
      </c>
      <c r="UES115" s="196" t="s">
        <v>761</v>
      </c>
      <c r="UET115" s="197" t="str">
        <f>VLOOKUP(UES115,[13]AssetDetails_UEM!$A$3:$AH$1849,6,FALSE)</f>
        <v>Electrosurgical Units, Monopolar/Bipolar</v>
      </c>
      <c r="UEU115" s="196" t="s">
        <v>761</v>
      </c>
      <c r="UEV115" s="197" t="str">
        <f>VLOOKUP(UEU115,[13]AssetDetails_UEM!$A$3:$AH$1849,6,FALSE)</f>
        <v>Electrosurgical Units, Monopolar/Bipolar</v>
      </c>
      <c r="UEW115" s="196" t="s">
        <v>761</v>
      </c>
      <c r="UEX115" s="197" t="str">
        <f>VLOOKUP(UEW115,[13]AssetDetails_UEM!$A$3:$AH$1849,6,FALSE)</f>
        <v>Electrosurgical Units, Monopolar/Bipolar</v>
      </c>
      <c r="UEY115" s="196" t="s">
        <v>761</v>
      </c>
      <c r="UEZ115" s="197" t="str">
        <f>VLOOKUP(UEY115,[13]AssetDetails_UEM!$A$3:$AH$1849,6,FALSE)</f>
        <v>Electrosurgical Units, Monopolar/Bipolar</v>
      </c>
      <c r="UFA115" s="196" t="s">
        <v>761</v>
      </c>
      <c r="UFB115" s="197" t="str">
        <f>VLOOKUP(UFA115,[13]AssetDetails_UEM!$A$3:$AH$1849,6,FALSE)</f>
        <v>Electrosurgical Units, Monopolar/Bipolar</v>
      </c>
      <c r="UFC115" s="196" t="s">
        <v>761</v>
      </c>
      <c r="UFD115" s="197" t="str">
        <f>VLOOKUP(UFC115,[13]AssetDetails_UEM!$A$3:$AH$1849,6,FALSE)</f>
        <v>Electrosurgical Units, Monopolar/Bipolar</v>
      </c>
      <c r="UFE115" s="196" t="s">
        <v>761</v>
      </c>
      <c r="UFF115" s="197" t="str">
        <f>VLOOKUP(UFE115,[13]AssetDetails_UEM!$A$3:$AH$1849,6,FALSE)</f>
        <v>Electrosurgical Units, Monopolar/Bipolar</v>
      </c>
      <c r="UFG115" s="196" t="s">
        <v>761</v>
      </c>
      <c r="UFH115" s="197" t="str">
        <f>VLOOKUP(UFG115,[13]AssetDetails_UEM!$A$3:$AH$1849,6,FALSE)</f>
        <v>Electrosurgical Units, Monopolar/Bipolar</v>
      </c>
      <c r="UFI115" s="196" t="s">
        <v>761</v>
      </c>
      <c r="UFJ115" s="197" t="str">
        <f>VLOOKUP(UFI115,[13]AssetDetails_UEM!$A$3:$AH$1849,6,FALSE)</f>
        <v>Electrosurgical Units, Monopolar/Bipolar</v>
      </c>
      <c r="UFK115" s="196" t="s">
        <v>761</v>
      </c>
      <c r="UFL115" s="197" t="str">
        <f>VLOOKUP(UFK115,[13]AssetDetails_UEM!$A$3:$AH$1849,6,FALSE)</f>
        <v>Electrosurgical Units, Monopolar/Bipolar</v>
      </c>
      <c r="UFM115" s="196" t="s">
        <v>761</v>
      </c>
      <c r="UFN115" s="197" t="str">
        <f>VLOOKUP(UFM115,[13]AssetDetails_UEM!$A$3:$AH$1849,6,FALSE)</f>
        <v>Electrosurgical Units, Monopolar/Bipolar</v>
      </c>
      <c r="UFO115" s="196" t="s">
        <v>761</v>
      </c>
      <c r="UFP115" s="197" t="str">
        <f>VLOOKUP(UFO115,[13]AssetDetails_UEM!$A$3:$AH$1849,6,FALSE)</f>
        <v>Electrosurgical Units, Monopolar/Bipolar</v>
      </c>
      <c r="UFQ115" s="196" t="s">
        <v>761</v>
      </c>
      <c r="UFR115" s="197" t="str">
        <f>VLOOKUP(UFQ115,[13]AssetDetails_UEM!$A$3:$AH$1849,6,FALSE)</f>
        <v>Electrosurgical Units, Monopolar/Bipolar</v>
      </c>
      <c r="UFS115" s="196" t="s">
        <v>761</v>
      </c>
      <c r="UFT115" s="197" t="str">
        <f>VLOOKUP(UFS115,[13]AssetDetails_UEM!$A$3:$AH$1849,6,FALSE)</f>
        <v>Electrosurgical Units, Monopolar/Bipolar</v>
      </c>
      <c r="UFU115" s="196" t="s">
        <v>761</v>
      </c>
      <c r="UFV115" s="197" t="str">
        <f>VLOOKUP(UFU115,[13]AssetDetails_UEM!$A$3:$AH$1849,6,FALSE)</f>
        <v>Electrosurgical Units, Monopolar/Bipolar</v>
      </c>
      <c r="UFW115" s="196" t="s">
        <v>761</v>
      </c>
      <c r="UFX115" s="197" t="str">
        <f>VLOOKUP(UFW115,[13]AssetDetails_UEM!$A$3:$AH$1849,6,FALSE)</f>
        <v>Electrosurgical Units, Monopolar/Bipolar</v>
      </c>
      <c r="UFY115" s="196" t="s">
        <v>761</v>
      </c>
      <c r="UFZ115" s="197" t="str">
        <f>VLOOKUP(UFY115,[13]AssetDetails_UEM!$A$3:$AH$1849,6,FALSE)</f>
        <v>Electrosurgical Units, Monopolar/Bipolar</v>
      </c>
      <c r="UGA115" s="196" t="s">
        <v>761</v>
      </c>
      <c r="UGB115" s="197" t="str">
        <f>VLOOKUP(UGA115,[13]AssetDetails_UEM!$A$3:$AH$1849,6,FALSE)</f>
        <v>Electrosurgical Units, Monopolar/Bipolar</v>
      </c>
      <c r="UGC115" s="196" t="s">
        <v>761</v>
      </c>
      <c r="UGD115" s="197" t="str">
        <f>VLOOKUP(UGC115,[13]AssetDetails_UEM!$A$3:$AH$1849,6,FALSE)</f>
        <v>Electrosurgical Units, Monopolar/Bipolar</v>
      </c>
      <c r="UGE115" s="196" t="s">
        <v>761</v>
      </c>
      <c r="UGF115" s="197" t="str">
        <f>VLOOKUP(UGE115,[13]AssetDetails_UEM!$A$3:$AH$1849,6,FALSE)</f>
        <v>Electrosurgical Units, Monopolar/Bipolar</v>
      </c>
      <c r="UGG115" s="196" t="s">
        <v>761</v>
      </c>
      <c r="UGH115" s="197" t="str">
        <f>VLOOKUP(UGG115,[13]AssetDetails_UEM!$A$3:$AH$1849,6,FALSE)</f>
        <v>Electrosurgical Units, Monopolar/Bipolar</v>
      </c>
      <c r="UGI115" s="196" t="s">
        <v>761</v>
      </c>
      <c r="UGJ115" s="197" t="str">
        <f>VLOOKUP(UGI115,[13]AssetDetails_UEM!$A$3:$AH$1849,6,FALSE)</f>
        <v>Electrosurgical Units, Monopolar/Bipolar</v>
      </c>
      <c r="UGK115" s="196" t="s">
        <v>761</v>
      </c>
      <c r="UGL115" s="197" t="str">
        <f>VLOOKUP(UGK115,[13]AssetDetails_UEM!$A$3:$AH$1849,6,FALSE)</f>
        <v>Electrosurgical Units, Monopolar/Bipolar</v>
      </c>
      <c r="UGM115" s="196" t="s">
        <v>761</v>
      </c>
      <c r="UGN115" s="197" t="str">
        <f>VLOOKUP(UGM115,[13]AssetDetails_UEM!$A$3:$AH$1849,6,FALSE)</f>
        <v>Electrosurgical Units, Monopolar/Bipolar</v>
      </c>
      <c r="UGO115" s="196" t="s">
        <v>761</v>
      </c>
      <c r="UGP115" s="197" t="str">
        <f>VLOOKUP(UGO115,[13]AssetDetails_UEM!$A$3:$AH$1849,6,FALSE)</f>
        <v>Electrosurgical Units, Monopolar/Bipolar</v>
      </c>
      <c r="UGQ115" s="196" t="s">
        <v>761</v>
      </c>
      <c r="UGR115" s="197" t="str">
        <f>VLOOKUP(UGQ115,[13]AssetDetails_UEM!$A$3:$AH$1849,6,FALSE)</f>
        <v>Electrosurgical Units, Monopolar/Bipolar</v>
      </c>
      <c r="UGS115" s="196" t="s">
        <v>761</v>
      </c>
      <c r="UGT115" s="197" t="str">
        <f>VLOOKUP(UGS115,[13]AssetDetails_UEM!$A$3:$AH$1849,6,FALSE)</f>
        <v>Electrosurgical Units, Monopolar/Bipolar</v>
      </c>
      <c r="UGU115" s="196" t="s">
        <v>761</v>
      </c>
      <c r="UGV115" s="197" t="str">
        <f>VLOOKUP(UGU115,[13]AssetDetails_UEM!$A$3:$AH$1849,6,FALSE)</f>
        <v>Electrosurgical Units, Monopolar/Bipolar</v>
      </c>
      <c r="UGW115" s="196" t="s">
        <v>761</v>
      </c>
      <c r="UGX115" s="197" t="str">
        <f>VLOOKUP(UGW115,[13]AssetDetails_UEM!$A$3:$AH$1849,6,FALSE)</f>
        <v>Electrosurgical Units, Monopolar/Bipolar</v>
      </c>
      <c r="UGY115" s="196" t="s">
        <v>761</v>
      </c>
      <c r="UGZ115" s="197" t="str">
        <f>VLOOKUP(UGY115,[13]AssetDetails_UEM!$A$3:$AH$1849,6,FALSE)</f>
        <v>Electrosurgical Units, Monopolar/Bipolar</v>
      </c>
      <c r="UHA115" s="196" t="s">
        <v>761</v>
      </c>
      <c r="UHB115" s="197" t="str">
        <f>VLOOKUP(UHA115,[13]AssetDetails_UEM!$A$3:$AH$1849,6,FALSE)</f>
        <v>Electrosurgical Units, Monopolar/Bipolar</v>
      </c>
      <c r="UHC115" s="196" t="s">
        <v>761</v>
      </c>
      <c r="UHD115" s="197" t="str">
        <f>VLOOKUP(UHC115,[13]AssetDetails_UEM!$A$3:$AH$1849,6,FALSE)</f>
        <v>Electrosurgical Units, Monopolar/Bipolar</v>
      </c>
      <c r="UHE115" s="196" t="s">
        <v>761</v>
      </c>
      <c r="UHF115" s="197" t="str">
        <f>VLOOKUP(UHE115,[13]AssetDetails_UEM!$A$3:$AH$1849,6,FALSE)</f>
        <v>Electrosurgical Units, Monopolar/Bipolar</v>
      </c>
      <c r="UHG115" s="196" t="s">
        <v>761</v>
      </c>
      <c r="UHH115" s="197" t="str">
        <f>VLOOKUP(UHG115,[13]AssetDetails_UEM!$A$3:$AH$1849,6,FALSE)</f>
        <v>Electrosurgical Units, Monopolar/Bipolar</v>
      </c>
      <c r="UHI115" s="196" t="s">
        <v>761</v>
      </c>
      <c r="UHJ115" s="197" t="str">
        <f>VLOOKUP(UHI115,[13]AssetDetails_UEM!$A$3:$AH$1849,6,FALSE)</f>
        <v>Electrosurgical Units, Monopolar/Bipolar</v>
      </c>
      <c r="UHK115" s="196" t="s">
        <v>761</v>
      </c>
      <c r="UHL115" s="197" t="str">
        <f>VLOOKUP(UHK115,[13]AssetDetails_UEM!$A$3:$AH$1849,6,FALSE)</f>
        <v>Electrosurgical Units, Monopolar/Bipolar</v>
      </c>
      <c r="UHM115" s="196" t="s">
        <v>761</v>
      </c>
      <c r="UHN115" s="197" t="str">
        <f>VLOOKUP(UHM115,[13]AssetDetails_UEM!$A$3:$AH$1849,6,FALSE)</f>
        <v>Electrosurgical Units, Monopolar/Bipolar</v>
      </c>
      <c r="UHO115" s="196" t="s">
        <v>761</v>
      </c>
      <c r="UHP115" s="197" t="str">
        <f>VLOOKUP(UHO115,[13]AssetDetails_UEM!$A$3:$AH$1849,6,FALSE)</f>
        <v>Electrosurgical Units, Monopolar/Bipolar</v>
      </c>
      <c r="UHQ115" s="196" t="s">
        <v>761</v>
      </c>
      <c r="UHR115" s="197" t="str">
        <f>VLOOKUP(UHQ115,[13]AssetDetails_UEM!$A$3:$AH$1849,6,FALSE)</f>
        <v>Electrosurgical Units, Monopolar/Bipolar</v>
      </c>
      <c r="UHS115" s="196" t="s">
        <v>761</v>
      </c>
      <c r="UHT115" s="197" t="str">
        <f>VLOOKUP(UHS115,[13]AssetDetails_UEM!$A$3:$AH$1849,6,FALSE)</f>
        <v>Electrosurgical Units, Monopolar/Bipolar</v>
      </c>
      <c r="UHU115" s="196" t="s">
        <v>761</v>
      </c>
      <c r="UHV115" s="197" t="str">
        <f>VLOOKUP(UHU115,[13]AssetDetails_UEM!$A$3:$AH$1849,6,FALSE)</f>
        <v>Electrosurgical Units, Monopolar/Bipolar</v>
      </c>
      <c r="UHW115" s="196" t="s">
        <v>761</v>
      </c>
      <c r="UHX115" s="197" t="str">
        <f>VLOOKUP(UHW115,[13]AssetDetails_UEM!$A$3:$AH$1849,6,FALSE)</f>
        <v>Electrosurgical Units, Monopolar/Bipolar</v>
      </c>
      <c r="UHY115" s="196" t="s">
        <v>761</v>
      </c>
      <c r="UHZ115" s="197" t="str">
        <f>VLOOKUP(UHY115,[13]AssetDetails_UEM!$A$3:$AH$1849,6,FALSE)</f>
        <v>Electrosurgical Units, Monopolar/Bipolar</v>
      </c>
      <c r="UIA115" s="196" t="s">
        <v>761</v>
      </c>
      <c r="UIB115" s="197" t="str">
        <f>VLOOKUP(UIA115,[13]AssetDetails_UEM!$A$3:$AH$1849,6,FALSE)</f>
        <v>Electrosurgical Units, Monopolar/Bipolar</v>
      </c>
      <c r="UIC115" s="196" t="s">
        <v>761</v>
      </c>
      <c r="UID115" s="197" t="str">
        <f>VLOOKUP(UIC115,[13]AssetDetails_UEM!$A$3:$AH$1849,6,FALSE)</f>
        <v>Electrosurgical Units, Monopolar/Bipolar</v>
      </c>
      <c r="UIE115" s="196" t="s">
        <v>761</v>
      </c>
      <c r="UIF115" s="197" t="str">
        <f>VLOOKUP(UIE115,[13]AssetDetails_UEM!$A$3:$AH$1849,6,FALSE)</f>
        <v>Electrosurgical Units, Monopolar/Bipolar</v>
      </c>
      <c r="UIG115" s="196" t="s">
        <v>761</v>
      </c>
      <c r="UIH115" s="197" t="str">
        <f>VLOOKUP(UIG115,[13]AssetDetails_UEM!$A$3:$AH$1849,6,FALSE)</f>
        <v>Electrosurgical Units, Monopolar/Bipolar</v>
      </c>
      <c r="UII115" s="196" t="s">
        <v>761</v>
      </c>
      <c r="UIJ115" s="197" t="str">
        <f>VLOOKUP(UII115,[13]AssetDetails_UEM!$A$3:$AH$1849,6,FALSE)</f>
        <v>Electrosurgical Units, Monopolar/Bipolar</v>
      </c>
      <c r="UIK115" s="196" t="s">
        <v>761</v>
      </c>
      <c r="UIL115" s="197" t="str">
        <f>VLOOKUP(UIK115,[13]AssetDetails_UEM!$A$3:$AH$1849,6,FALSE)</f>
        <v>Electrosurgical Units, Monopolar/Bipolar</v>
      </c>
      <c r="UIM115" s="196" t="s">
        <v>761</v>
      </c>
      <c r="UIN115" s="197" t="str">
        <f>VLOOKUP(UIM115,[13]AssetDetails_UEM!$A$3:$AH$1849,6,FALSE)</f>
        <v>Electrosurgical Units, Monopolar/Bipolar</v>
      </c>
      <c r="UIO115" s="196" t="s">
        <v>761</v>
      </c>
      <c r="UIP115" s="197" t="str">
        <f>VLOOKUP(UIO115,[13]AssetDetails_UEM!$A$3:$AH$1849,6,FALSE)</f>
        <v>Electrosurgical Units, Monopolar/Bipolar</v>
      </c>
      <c r="UIQ115" s="196" t="s">
        <v>761</v>
      </c>
      <c r="UIR115" s="197" t="str">
        <f>VLOOKUP(UIQ115,[13]AssetDetails_UEM!$A$3:$AH$1849,6,FALSE)</f>
        <v>Electrosurgical Units, Monopolar/Bipolar</v>
      </c>
      <c r="UIS115" s="196" t="s">
        <v>761</v>
      </c>
      <c r="UIT115" s="197" t="str">
        <f>VLOOKUP(UIS115,[13]AssetDetails_UEM!$A$3:$AH$1849,6,FALSE)</f>
        <v>Electrosurgical Units, Monopolar/Bipolar</v>
      </c>
      <c r="UIU115" s="196" t="s">
        <v>761</v>
      </c>
      <c r="UIV115" s="197" t="str">
        <f>VLOOKUP(UIU115,[13]AssetDetails_UEM!$A$3:$AH$1849,6,FALSE)</f>
        <v>Electrosurgical Units, Monopolar/Bipolar</v>
      </c>
      <c r="UIW115" s="196" t="s">
        <v>761</v>
      </c>
      <c r="UIX115" s="197" t="str">
        <f>VLOOKUP(UIW115,[13]AssetDetails_UEM!$A$3:$AH$1849,6,FALSE)</f>
        <v>Electrosurgical Units, Monopolar/Bipolar</v>
      </c>
      <c r="UIY115" s="196" t="s">
        <v>761</v>
      </c>
      <c r="UIZ115" s="197" t="str">
        <f>VLOOKUP(UIY115,[13]AssetDetails_UEM!$A$3:$AH$1849,6,FALSE)</f>
        <v>Electrosurgical Units, Monopolar/Bipolar</v>
      </c>
      <c r="UJA115" s="196" t="s">
        <v>761</v>
      </c>
      <c r="UJB115" s="197" t="str">
        <f>VLOOKUP(UJA115,[13]AssetDetails_UEM!$A$3:$AH$1849,6,FALSE)</f>
        <v>Electrosurgical Units, Monopolar/Bipolar</v>
      </c>
      <c r="UJC115" s="196" t="s">
        <v>761</v>
      </c>
      <c r="UJD115" s="197" t="str">
        <f>VLOOKUP(UJC115,[13]AssetDetails_UEM!$A$3:$AH$1849,6,FALSE)</f>
        <v>Electrosurgical Units, Monopolar/Bipolar</v>
      </c>
      <c r="UJE115" s="196" t="s">
        <v>761</v>
      </c>
      <c r="UJF115" s="197" t="str">
        <f>VLOOKUP(UJE115,[13]AssetDetails_UEM!$A$3:$AH$1849,6,FALSE)</f>
        <v>Electrosurgical Units, Monopolar/Bipolar</v>
      </c>
      <c r="UJG115" s="196" t="s">
        <v>761</v>
      </c>
      <c r="UJH115" s="197" t="str">
        <f>VLOOKUP(UJG115,[13]AssetDetails_UEM!$A$3:$AH$1849,6,FALSE)</f>
        <v>Electrosurgical Units, Monopolar/Bipolar</v>
      </c>
      <c r="UJI115" s="196" t="s">
        <v>761</v>
      </c>
      <c r="UJJ115" s="197" t="str">
        <f>VLOOKUP(UJI115,[13]AssetDetails_UEM!$A$3:$AH$1849,6,FALSE)</f>
        <v>Electrosurgical Units, Monopolar/Bipolar</v>
      </c>
      <c r="UJK115" s="196" t="s">
        <v>761</v>
      </c>
      <c r="UJL115" s="197" t="str">
        <f>VLOOKUP(UJK115,[13]AssetDetails_UEM!$A$3:$AH$1849,6,FALSE)</f>
        <v>Electrosurgical Units, Monopolar/Bipolar</v>
      </c>
      <c r="UJM115" s="196" t="s">
        <v>761</v>
      </c>
      <c r="UJN115" s="197" t="str">
        <f>VLOOKUP(UJM115,[13]AssetDetails_UEM!$A$3:$AH$1849,6,FALSE)</f>
        <v>Electrosurgical Units, Monopolar/Bipolar</v>
      </c>
      <c r="UJO115" s="196" t="s">
        <v>761</v>
      </c>
      <c r="UJP115" s="197" t="str">
        <f>VLOOKUP(UJO115,[13]AssetDetails_UEM!$A$3:$AH$1849,6,FALSE)</f>
        <v>Electrosurgical Units, Monopolar/Bipolar</v>
      </c>
      <c r="UJQ115" s="196" t="s">
        <v>761</v>
      </c>
      <c r="UJR115" s="197" t="str">
        <f>VLOOKUP(UJQ115,[13]AssetDetails_UEM!$A$3:$AH$1849,6,FALSE)</f>
        <v>Electrosurgical Units, Monopolar/Bipolar</v>
      </c>
      <c r="UJS115" s="196" t="s">
        <v>761</v>
      </c>
      <c r="UJT115" s="197" t="str">
        <f>VLOOKUP(UJS115,[13]AssetDetails_UEM!$A$3:$AH$1849,6,FALSE)</f>
        <v>Electrosurgical Units, Monopolar/Bipolar</v>
      </c>
      <c r="UJU115" s="196" t="s">
        <v>761</v>
      </c>
      <c r="UJV115" s="197" t="str">
        <f>VLOOKUP(UJU115,[13]AssetDetails_UEM!$A$3:$AH$1849,6,FALSE)</f>
        <v>Electrosurgical Units, Monopolar/Bipolar</v>
      </c>
      <c r="UJW115" s="196" t="s">
        <v>761</v>
      </c>
      <c r="UJX115" s="197" t="str">
        <f>VLOOKUP(UJW115,[13]AssetDetails_UEM!$A$3:$AH$1849,6,FALSE)</f>
        <v>Electrosurgical Units, Monopolar/Bipolar</v>
      </c>
      <c r="UJY115" s="196" t="s">
        <v>761</v>
      </c>
      <c r="UJZ115" s="197" t="str">
        <f>VLOOKUP(UJY115,[13]AssetDetails_UEM!$A$3:$AH$1849,6,FALSE)</f>
        <v>Electrosurgical Units, Monopolar/Bipolar</v>
      </c>
      <c r="UKA115" s="196" t="s">
        <v>761</v>
      </c>
      <c r="UKB115" s="197" t="str">
        <f>VLOOKUP(UKA115,[13]AssetDetails_UEM!$A$3:$AH$1849,6,FALSE)</f>
        <v>Electrosurgical Units, Monopolar/Bipolar</v>
      </c>
      <c r="UKC115" s="196" t="s">
        <v>761</v>
      </c>
      <c r="UKD115" s="197" t="str">
        <f>VLOOKUP(UKC115,[13]AssetDetails_UEM!$A$3:$AH$1849,6,FALSE)</f>
        <v>Electrosurgical Units, Monopolar/Bipolar</v>
      </c>
      <c r="UKE115" s="196" t="s">
        <v>761</v>
      </c>
      <c r="UKF115" s="197" t="str">
        <f>VLOOKUP(UKE115,[13]AssetDetails_UEM!$A$3:$AH$1849,6,FALSE)</f>
        <v>Electrosurgical Units, Monopolar/Bipolar</v>
      </c>
      <c r="UKG115" s="196" t="s">
        <v>761</v>
      </c>
      <c r="UKH115" s="197" t="str">
        <f>VLOOKUP(UKG115,[13]AssetDetails_UEM!$A$3:$AH$1849,6,FALSE)</f>
        <v>Electrosurgical Units, Monopolar/Bipolar</v>
      </c>
      <c r="UKI115" s="196" t="s">
        <v>761</v>
      </c>
      <c r="UKJ115" s="197" t="str">
        <f>VLOOKUP(UKI115,[13]AssetDetails_UEM!$A$3:$AH$1849,6,FALSE)</f>
        <v>Electrosurgical Units, Monopolar/Bipolar</v>
      </c>
      <c r="UKK115" s="196" t="s">
        <v>761</v>
      </c>
      <c r="UKL115" s="197" t="str">
        <f>VLOOKUP(UKK115,[13]AssetDetails_UEM!$A$3:$AH$1849,6,FALSE)</f>
        <v>Electrosurgical Units, Monopolar/Bipolar</v>
      </c>
      <c r="UKM115" s="196" t="s">
        <v>761</v>
      </c>
      <c r="UKN115" s="197" t="str">
        <f>VLOOKUP(UKM115,[13]AssetDetails_UEM!$A$3:$AH$1849,6,FALSE)</f>
        <v>Electrosurgical Units, Monopolar/Bipolar</v>
      </c>
      <c r="UKO115" s="196" t="s">
        <v>761</v>
      </c>
      <c r="UKP115" s="197" t="str">
        <f>VLOOKUP(UKO115,[13]AssetDetails_UEM!$A$3:$AH$1849,6,FALSE)</f>
        <v>Electrosurgical Units, Monopolar/Bipolar</v>
      </c>
      <c r="UKQ115" s="196" t="s">
        <v>761</v>
      </c>
      <c r="UKR115" s="197" t="str">
        <f>VLOOKUP(UKQ115,[13]AssetDetails_UEM!$A$3:$AH$1849,6,FALSE)</f>
        <v>Electrosurgical Units, Monopolar/Bipolar</v>
      </c>
      <c r="UKS115" s="196" t="s">
        <v>761</v>
      </c>
      <c r="UKT115" s="197" t="str">
        <f>VLOOKUP(UKS115,[13]AssetDetails_UEM!$A$3:$AH$1849,6,FALSE)</f>
        <v>Electrosurgical Units, Monopolar/Bipolar</v>
      </c>
      <c r="UKU115" s="196" t="s">
        <v>761</v>
      </c>
      <c r="UKV115" s="197" t="str">
        <f>VLOOKUP(UKU115,[13]AssetDetails_UEM!$A$3:$AH$1849,6,FALSE)</f>
        <v>Electrosurgical Units, Monopolar/Bipolar</v>
      </c>
      <c r="UKW115" s="196" t="s">
        <v>761</v>
      </c>
      <c r="UKX115" s="197" t="str">
        <f>VLOOKUP(UKW115,[13]AssetDetails_UEM!$A$3:$AH$1849,6,FALSE)</f>
        <v>Electrosurgical Units, Monopolar/Bipolar</v>
      </c>
      <c r="UKY115" s="196" t="s">
        <v>761</v>
      </c>
      <c r="UKZ115" s="197" t="str">
        <f>VLOOKUP(UKY115,[13]AssetDetails_UEM!$A$3:$AH$1849,6,FALSE)</f>
        <v>Electrosurgical Units, Monopolar/Bipolar</v>
      </c>
      <c r="ULA115" s="196" t="s">
        <v>761</v>
      </c>
      <c r="ULB115" s="197" t="str">
        <f>VLOOKUP(ULA115,[13]AssetDetails_UEM!$A$3:$AH$1849,6,FALSE)</f>
        <v>Electrosurgical Units, Monopolar/Bipolar</v>
      </c>
      <c r="ULC115" s="196" t="s">
        <v>761</v>
      </c>
      <c r="ULD115" s="197" t="str">
        <f>VLOOKUP(ULC115,[13]AssetDetails_UEM!$A$3:$AH$1849,6,FALSE)</f>
        <v>Electrosurgical Units, Monopolar/Bipolar</v>
      </c>
      <c r="ULE115" s="196" t="s">
        <v>761</v>
      </c>
      <c r="ULF115" s="197" t="str">
        <f>VLOOKUP(ULE115,[13]AssetDetails_UEM!$A$3:$AH$1849,6,FALSE)</f>
        <v>Electrosurgical Units, Monopolar/Bipolar</v>
      </c>
      <c r="ULG115" s="196" t="s">
        <v>761</v>
      </c>
      <c r="ULH115" s="197" t="str">
        <f>VLOOKUP(ULG115,[13]AssetDetails_UEM!$A$3:$AH$1849,6,FALSE)</f>
        <v>Electrosurgical Units, Monopolar/Bipolar</v>
      </c>
      <c r="ULI115" s="196" t="s">
        <v>761</v>
      </c>
      <c r="ULJ115" s="197" t="str">
        <f>VLOOKUP(ULI115,[13]AssetDetails_UEM!$A$3:$AH$1849,6,FALSE)</f>
        <v>Electrosurgical Units, Monopolar/Bipolar</v>
      </c>
      <c r="ULK115" s="196" t="s">
        <v>761</v>
      </c>
      <c r="ULL115" s="197" t="str">
        <f>VLOOKUP(ULK115,[13]AssetDetails_UEM!$A$3:$AH$1849,6,FALSE)</f>
        <v>Electrosurgical Units, Monopolar/Bipolar</v>
      </c>
      <c r="ULM115" s="196" t="s">
        <v>761</v>
      </c>
      <c r="ULN115" s="197" t="str">
        <f>VLOOKUP(ULM115,[13]AssetDetails_UEM!$A$3:$AH$1849,6,FALSE)</f>
        <v>Electrosurgical Units, Monopolar/Bipolar</v>
      </c>
      <c r="ULO115" s="196" t="s">
        <v>761</v>
      </c>
      <c r="ULP115" s="197" t="str">
        <f>VLOOKUP(ULO115,[13]AssetDetails_UEM!$A$3:$AH$1849,6,FALSE)</f>
        <v>Electrosurgical Units, Monopolar/Bipolar</v>
      </c>
      <c r="ULQ115" s="196" t="s">
        <v>761</v>
      </c>
      <c r="ULR115" s="197" t="str">
        <f>VLOOKUP(ULQ115,[13]AssetDetails_UEM!$A$3:$AH$1849,6,FALSE)</f>
        <v>Electrosurgical Units, Monopolar/Bipolar</v>
      </c>
      <c r="ULS115" s="196" t="s">
        <v>761</v>
      </c>
      <c r="ULT115" s="197" t="str">
        <f>VLOOKUP(ULS115,[13]AssetDetails_UEM!$A$3:$AH$1849,6,FALSE)</f>
        <v>Electrosurgical Units, Monopolar/Bipolar</v>
      </c>
      <c r="ULU115" s="196" t="s">
        <v>761</v>
      </c>
      <c r="ULV115" s="197" t="str">
        <f>VLOOKUP(ULU115,[13]AssetDetails_UEM!$A$3:$AH$1849,6,FALSE)</f>
        <v>Electrosurgical Units, Monopolar/Bipolar</v>
      </c>
      <c r="ULW115" s="196" t="s">
        <v>761</v>
      </c>
      <c r="ULX115" s="197" t="str">
        <f>VLOOKUP(ULW115,[13]AssetDetails_UEM!$A$3:$AH$1849,6,FALSE)</f>
        <v>Electrosurgical Units, Monopolar/Bipolar</v>
      </c>
      <c r="ULY115" s="196" t="s">
        <v>761</v>
      </c>
      <c r="ULZ115" s="197" t="str">
        <f>VLOOKUP(ULY115,[13]AssetDetails_UEM!$A$3:$AH$1849,6,FALSE)</f>
        <v>Electrosurgical Units, Monopolar/Bipolar</v>
      </c>
      <c r="UMA115" s="196" t="s">
        <v>761</v>
      </c>
      <c r="UMB115" s="197" t="str">
        <f>VLOOKUP(UMA115,[13]AssetDetails_UEM!$A$3:$AH$1849,6,FALSE)</f>
        <v>Electrosurgical Units, Monopolar/Bipolar</v>
      </c>
      <c r="UMC115" s="196" t="s">
        <v>761</v>
      </c>
      <c r="UMD115" s="197" t="str">
        <f>VLOOKUP(UMC115,[13]AssetDetails_UEM!$A$3:$AH$1849,6,FALSE)</f>
        <v>Electrosurgical Units, Monopolar/Bipolar</v>
      </c>
      <c r="UME115" s="196" t="s">
        <v>761</v>
      </c>
      <c r="UMF115" s="197" t="str">
        <f>VLOOKUP(UME115,[13]AssetDetails_UEM!$A$3:$AH$1849,6,FALSE)</f>
        <v>Electrosurgical Units, Monopolar/Bipolar</v>
      </c>
      <c r="UMG115" s="196" t="s">
        <v>761</v>
      </c>
      <c r="UMH115" s="197" t="str">
        <f>VLOOKUP(UMG115,[13]AssetDetails_UEM!$A$3:$AH$1849,6,FALSE)</f>
        <v>Electrosurgical Units, Monopolar/Bipolar</v>
      </c>
      <c r="UMI115" s="196" t="s">
        <v>761</v>
      </c>
      <c r="UMJ115" s="197" t="str">
        <f>VLOOKUP(UMI115,[13]AssetDetails_UEM!$A$3:$AH$1849,6,FALSE)</f>
        <v>Electrosurgical Units, Monopolar/Bipolar</v>
      </c>
      <c r="UMK115" s="196" t="s">
        <v>761</v>
      </c>
      <c r="UML115" s="197" t="str">
        <f>VLOOKUP(UMK115,[13]AssetDetails_UEM!$A$3:$AH$1849,6,FALSE)</f>
        <v>Electrosurgical Units, Monopolar/Bipolar</v>
      </c>
      <c r="UMM115" s="196" t="s">
        <v>761</v>
      </c>
      <c r="UMN115" s="197" t="str">
        <f>VLOOKUP(UMM115,[13]AssetDetails_UEM!$A$3:$AH$1849,6,FALSE)</f>
        <v>Electrosurgical Units, Monopolar/Bipolar</v>
      </c>
      <c r="UMO115" s="196" t="s">
        <v>761</v>
      </c>
      <c r="UMP115" s="197" t="str">
        <f>VLOOKUP(UMO115,[13]AssetDetails_UEM!$A$3:$AH$1849,6,FALSE)</f>
        <v>Electrosurgical Units, Monopolar/Bipolar</v>
      </c>
      <c r="UMQ115" s="196" t="s">
        <v>761</v>
      </c>
      <c r="UMR115" s="197" t="str">
        <f>VLOOKUP(UMQ115,[13]AssetDetails_UEM!$A$3:$AH$1849,6,FALSE)</f>
        <v>Electrosurgical Units, Monopolar/Bipolar</v>
      </c>
      <c r="UMS115" s="196" t="s">
        <v>761</v>
      </c>
      <c r="UMT115" s="197" t="str">
        <f>VLOOKUP(UMS115,[13]AssetDetails_UEM!$A$3:$AH$1849,6,FALSE)</f>
        <v>Electrosurgical Units, Monopolar/Bipolar</v>
      </c>
      <c r="UMU115" s="196" t="s">
        <v>761</v>
      </c>
      <c r="UMV115" s="197" t="str">
        <f>VLOOKUP(UMU115,[13]AssetDetails_UEM!$A$3:$AH$1849,6,FALSE)</f>
        <v>Electrosurgical Units, Monopolar/Bipolar</v>
      </c>
      <c r="UMW115" s="196" t="s">
        <v>761</v>
      </c>
      <c r="UMX115" s="197" t="str">
        <f>VLOOKUP(UMW115,[13]AssetDetails_UEM!$A$3:$AH$1849,6,FALSE)</f>
        <v>Electrosurgical Units, Monopolar/Bipolar</v>
      </c>
      <c r="UMY115" s="196" t="s">
        <v>761</v>
      </c>
      <c r="UMZ115" s="197" t="str">
        <f>VLOOKUP(UMY115,[13]AssetDetails_UEM!$A$3:$AH$1849,6,FALSE)</f>
        <v>Electrosurgical Units, Monopolar/Bipolar</v>
      </c>
      <c r="UNA115" s="196" t="s">
        <v>761</v>
      </c>
      <c r="UNB115" s="197" t="str">
        <f>VLOOKUP(UNA115,[13]AssetDetails_UEM!$A$3:$AH$1849,6,FALSE)</f>
        <v>Electrosurgical Units, Monopolar/Bipolar</v>
      </c>
      <c r="UNC115" s="196" t="s">
        <v>761</v>
      </c>
      <c r="UND115" s="197" t="str">
        <f>VLOOKUP(UNC115,[13]AssetDetails_UEM!$A$3:$AH$1849,6,FALSE)</f>
        <v>Electrosurgical Units, Monopolar/Bipolar</v>
      </c>
      <c r="UNE115" s="196" t="s">
        <v>761</v>
      </c>
      <c r="UNF115" s="197" t="str">
        <f>VLOOKUP(UNE115,[13]AssetDetails_UEM!$A$3:$AH$1849,6,FALSE)</f>
        <v>Electrosurgical Units, Monopolar/Bipolar</v>
      </c>
      <c r="UNG115" s="196" t="s">
        <v>761</v>
      </c>
      <c r="UNH115" s="197" t="str">
        <f>VLOOKUP(UNG115,[13]AssetDetails_UEM!$A$3:$AH$1849,6,FALSE)</f>
        <v>Electrosurgical Units, Monopolar/Bipolar</v>
      </c>
      <c r="UNI115" s="196" t="s">
        <v>761</v>
      </c>
      <c r="UNJ115" s="197" t="str">
        <f>VLOOKUP(UNI115,[13]AssetDetails_UEM!$A$3:$AH$1849,6,FALSE)</f>
        <v>Electrosurgical Units, Monopolar/Bipolar</v>
      </c>
      <c r="UNK115" s="196" t="s">
        <v>761</v>
      </c>
      <c r="UNL115" s="197" t="str">
        <f>VLOOKUP(UNK115,[13]AssetDetails_UEM!$A$3:$AH$1849,6,FALSE)</f>
        <v>Electrosurgical Units, Monopolar/Bipolar</v>
      </c>
      <c r="UNM115" s="196" t="s">
        <v>761</v>
      </c>
      <c r="UNN115" s="197" t="str">
        <f>VLOOKUP(UNM115,[13]AssetDetails_UEM!$A$3:$AH$1849,6,FALSE)</f>
        <v>Electrosurgical Units, Monopolar/Bipolar</v>
      </c>
      <c r="UNO115" s="196" t="s">
        <v>761</v>
      </c>
      <c r="UNP115" s="197" t="str">
        <f>VLOOKUP(UNO115,[13]AssetDetails_UEM!$A$3:$AH$1849,6,FALSE)</f>
        <v>Electrosurgical Units, Monopolar/Bipolar</v>
      </c>
      <c r="UNQ115" s="196" t="s">
        <v>761</v>
      </c>
      <c r="UNR115" s="197" t="str">
        <f>VLOOKUP(UNQ115,[13]AssetDetails_UEM!$A$3:$AH$1849,6,FALSE)</f>
        <v>Electrosurgical Units, Monopolar/Bipolar</v>
      </c>
      <c r="UNS115" s="196" t="s">
        <v>761</v>
      </c>
      <c r="UNT115" s="197" t="str">
        <f>VLOOKUP(UNS115,[13]AssetDetails_UEM!$A$3:$AH$1849,6,FALSE)</f>
        <v>Electrosurgical Units, Monopolar/Bipolar</v>
      </c>
      <c r="UNU115" s="196" t="s">
        <v>761</v>
      </c>
      <c r="UNV115" s="197" t="str">
        <f>VLOOKUP(UNU115,[13]AssetDetails_UEM!$A$3:$AH$1849,6,FALSE)</f>
        <v>Electrosurgical Units, Monopolar/Bipolar</v>
      </c>
      <c r="UNW115" s="196" t="s">
        <v>761</v>
      </c>
      <c r="UNX115" s="197" t="str">
        <f>VLOOKUP(UNW115,[13]AssetDetails_UEM!$A$3:$AH$1849,6,FALSE)</f>
        <v>Electrosurgical Units, Monopolar/Bipolar</v>
      </c>
      <c r="UNY115" s="196" t="s">
        <v>761</v>
      </c>
      <c r="UNZ115" s="197" t="str">
        <f>VLOOKUP(UNY115,[13]AssetDetails_UEM!$A$3:$AH$1849,6,FALSE)</f>
        <v>Electrosurgical Units, Monopolar/Bipolar</v>
      </c>
      <c r="UOA115" s="196" t="s">
        <v>761</v>
      </c>
      <c r="UOB115" s="197" t="str">
        <f>VLOOKUP(UOA115,[13]AssetDetails_UEM!$A$3:$AH$1849,6,FALSE)</f>
        <v>Electrosurgical Units, Monopolar/Bipolar</v>
      </c>
      <c r="UOC115" s="196" t="s">
        <v>761</v>
      </c>
      <c r="UOD115" s="197" t="str">
        <f>VLOOKUP(UOC115,[13]AssetDetails_UEM!$A$3:$AH$1849,6,FALSE)</f>
        <v>Electrosurgical Units, Monopolar/Bipolar</v>
      </c>
      <c r="UOE115" s="196" t="s">
        <v>761</v>
      </c>
      <c r="UOF115" s="197" t="str">
        <f>VLOOKUP(UOE115,[13]AssetDetails_UEM!$A$3:$AH$1849,6,FALSE)</f>
        <v>Electrosurgical Units, Monopolar/Bipolar</v>
      </c>
      <c r="UOG115" s="196" t="s">
        <v>761</v>
      </c>
      <c r="UOH115" s="197" t="str">
        <f>VLOOKUP(UOG115,[13]AssetDetails_UEM!$A$3:$AH$1849,6,FALSE)</f>
        <v>Electrosurgical Units, Monopolar/Bipolar</v>
      </c>
      <c r="UOI115" s="196" t="s">
        <v>761</v>
      </c>
      <c r="UOJ115" s="197" t="str">
        <f>VLOOKUP(UOI115,[13]AssetDetails_UEM!$A$3:$AH$1849,6,FALSE)</f>
        <v>Electrosurgical Units, Monopolar/Bipolar</v>
      </c>
      <c r="UOK115" s="196" t="s">
        <v>761</v>
      </c>
      <c r="UOL115" s="197" t="str">
        <f>VLOOKUP(UOK115,[13]AssetDetails_UEM!$A$3:$AH$1849,6,FALSE)</f>
        <v>Electrosurgical Units, Monopolar/Bipolar</v>
      </c>
      <c r="UOM115" s="196" t="s">
        <v>761</v>
      </c>
      <c r="UON115" s="197" t="str">
        <f>VLOOKUP(UOM115,[13]AssetDetails_UEM!$A$3:$AH$1849,6,FALSE)</f>
        <v>Electrosurgical Units, Monopolar/Bipolar</v>
      </c>
      <c r="UOO115" s="196" t="s">
        <v>761</v>
      </c>
      <c r="UOP115" s="197" t="str">
        <f>VLOOKUP(UOO115,[13]AssetDetails_UEM!$A$3:$AH$1849,6,FALSE)</f>
        <v>Electrosurgical Units, Monopolar/Bipolar</v>
      </c>
      <c r="UOQ115" s="196" t="s">
        <v>761</v>
      </c>
      <c r="UOR115" s="197" t="str">
        <f>VLOOKUP(UOQ115,[13]AssetDetails_UEM!$A$3:$AH$1849,6,FALSE)</f>
        <v>Electrosurgical Units, Monopolar/Bipolar</v>
      </c>
      <c r="UOS115" s="196" t="s">
        <v>761</v>
      </c>
      <c r="UOT115" s="197" t="str">
        <f>VLOOKUP(UOS115,[13]AssetDetails_UEM!$A$3:$AH$1849,6,FALSE)</f>
        <v>Electrosurgical Units, Monopolar/Bipolar</v>
      </c>
      <c r="UOU115" s="196" t="s">
        <v>761</v>
      </c>
      <c r="UOV115" s="197" t="str">
        <f>VLOOKUP(UOU115,[13]AssetDetails_UEM!$A$3:$AH$1849,6,FALSE)</f>
        <v>Electrosurgical Units, Monopolar/Bipolar</v>
      </c>
      <c r="UOW115" s="196" t="s">
        <v>761</v>
      </c>
      <c r="UOX115" s="197" t="str">
        <f>VLOOKUP(UOW115,[13]AssetDetails_UEM!$A$3:$AH$1849,6,FALSE)</f>
        <v>Electrosurgical Units, Monopolar/Bipolar</v>
      </c>
      <c r="UOY115" s="196" t="s">
        <v>761</v>
      </c>
      <c r="UOZ115" s="197" t="str">
        <f>VLOOKUP(UOY115,[13]AssetDetails_UEM!$A$3:$AH$1849,6,FALSE)</f>
        <v>Electrosurgical Units, Monopolar/Bipolar</v>
      </c>
      <c r="UPA115" s="196" t="s">
        <v>761</v>
      </c>
      <c r="UPB115" s="197" t="str">
        <f>VLOOKUP(UPA115,[13]AssetDetails_UEM!$A$3:$AH$1849,6,FALSE)</f>
        <v>Electrosurgical Units, Monopolar/Bipolar</v>
      </c>
      <c r="UPC115" s="196" t="s">
        <v>761</v>
      </c>
      <c r="UPD115" s="197" t="str">
        <f>VLOOKUP(UPC115,[13]AssetDetails_UEM!$A$3:$AH$1849,6,FALSE)</f>
        <v>Electrosurgical Units, Monopolar/Bipolar</v>
      </c>
      <c r="UPE115" s="196" t="s">
        <v>761</v>
      </c>
      <c r="UPF115" s="197" t="str">
        <f>VLOOKUP(UPE115,[13]AssetDetails_UEM!$A$3:$AH$1849,6,FALSE)</f>
        <v>Electrosurgical Units, Monopolar/Bipolar</v>
      </c>
      <c r="UPG115" s="196" t="s">
        <v>761</v>
      </c>
      <c r="UPH115" s="197" t="str">
        <f>VLOOKUP(UPG115,[13]AssetDetails_UEM!$A$3:$AH$1849,6,FALSE)</f>
        <v>Electrosurgical Units, Monopolar/Bipolar</v>
      </c>
      <c r="UPI115" s="196" t="s">
        <v>761</v>
      </c>
      <c r="UPJ115" s="197" t="str">
        <f>VLOOKUP(UPI115,[13]AssetDetails_UEM!$A$3:$AH$1849,6,FALSE)</f>
        <v>Electrosurgical Units, Monopolar/Bipolar</v>
      </c>
      <c r="UPK115" s="196" t="s">
        <v>761</v>
      </c>
      <c r="UPL115" s="197" t="str">
        <f>VLOOKUP(UPK115,[13]AssetDetails_UEM!$A$3:$AH$1849,6,FALSE)</f>
        <v>Electrosurgical Units, Monopolar/Bipolar</v>
      </c>
      <c r="UPM115" s="196" t="s">
        <v>761</v>
      </c>
      <c r="UPN115" s="197" t="str">
        <f>VLOOKUP(UPM115,[13]AssetDetails_UEM!$A$3:$AH$1849,6,FALSE)</f>
        <v>Electrosurgical Units, Monopolar/Bipolar</v>
      </c>
      <c r="UPO115" s="196" t="s">
        <v>761</v>
      </c>
      <c r="UPP115" s="197" t="str">
        <f>VLOOKUP(UPO115,[13]AssetDetails_UEM!$A$3:$AH$1849,6,FALSE)</f>
        <v>Electrosurgical Units, Monopolar/Bipolar</v>
      </c>
      <c r="UPQ115" s="196" t="s">
        <v>761</v>
      </c>
      <c r="UPR115" s="197" t="str">
        <f>VLOOKUP(UPQ115,[13]AssetDetails_UEM!$A$3:$AH$1849,6,FALSE)</f>
        <v>Electrosurgical Units, Monopolar/Bipolar</v>
      </c>
      <c r="UPS115" s="196" t="s">
        <v>761</v>
      </c>
      <c r="UPT115" s="197" t="str">
        <f>VLOOKUP(UPS115,[13]AssetDetails_UEM!$A$3:$AH$1849,6,FALSE)</f>
        <v>Electrosurgical Units, Monopolar/Bipolar</v>
      </c>
      <c r="UPU115" s="196" t="s">
        <v>761</v>
      </c>
      <c r="UPV115" s="197" t="str">
        <f>VLOOKUP(UPU115,[13]AssetDetails_UEM!$A$3:$AH$1849,6,FALSE)</f>
        <v>Electrosurgical Units, Monopolar/Bipolar</v>
      </c>
      <c r="UPW115" s="196" t="s">
        <v>761</v>
      </c>
      <c r="UPX115" s="197" t="str">
        <f>VLOOKUP(UPW115,[13]AssetDetails_UEM!$A$3:$AH$1849,6,FALSE)</f>
        <v>Electrosurgical Units, Monopolar/Bipolar</v>
      </c>
      <c r="UPY115" s="196" t="s">
        <v>761</v>
      </c>
      <c r="UPZ115" s="197" t="str">
        <f>VLOOKUP(UPY115,[13]AssetDetails_UEM!$A$3:$AH$1849,6,FALSE)</f>
        <v>Electrosurgical Units, Monopolar/Bipolar</v>
      </c>
      <c r="UQA115" s="196" t="s">
        <v>761</v>
      </c>
      <c r="UQB115" s="197" t="str">
        <f>VLOOKUP(UQA115,[13]AssetDetails_UEM!$A$3:$AH$1849,6,FALSE)</f>
        <v>Electrosurgical Units, Monopolar/Bipolar</v>
      </c>
      <c r="UQC115" s="196" t="s">
        <v>761</v>
      </c>
      <c r="UQD115" s="197" t="str">
        <f>VLOOKUP(UQC115,[13]AssetDetails_UEM!$A$3:$AH$1849,6,FALSE)</f>
        <v>Electrosurgical Units, Monopolar/Bipolar</v>
      </c>
      <c r="UQE115" s="196" t="s">
        <v>761</v>
      </c>
      <c r="UQF115" s="197" t="str">
        <f>VLOOKUP(UQE115,[13]AssetDetails_UEM!$A$3:$AH$1849,6,FALSE)</f>
        <v>Electrosurgical Units, Monopolar/Bipolar</v>
      </c>
      <c r="UQG115" s="196" t="s">
        <v>761</v>
      </c>
      <c r="UQH115" s="197" t="str">
        <f>VLOOKUP(UQG115,[13]AssetDetails_UEM!$A$3:$AH$1849,6,FALSE)</f>
        <v>Electrosurgical Units, Monopolar/Bipolar</v>
      </c>
      <c r="UQI115" s="196" t="s">
        <v>761</v>
      </c>
      <c r="UQJ115" s="197" t="str">
        <f>VLOOKUP(UQI115,[13]AssetDetails_UEM!$A$3:$AH$1849,6,FALSE)</f>
        <v>Electrosurgical Units, Monopolar/Bipolar</v>
      </c>
      <c r="UQK115" s="196" t="s">
        <v>761</v>
      </c>
      <c r="UQL115" s="197" t="str">
        <f>VLOOKUP(UQK115,[13]AssetDetails_UEM!$A$3:$AH$1849,6,FALSE)</f>
        <v>Electrosurgical Units, Monopolar/Bipolar</v>
      </c>
      <c r="UQM115" s="196" t="s">
        <v>761</v>
      </c>
      <c r="UQN115" s="197" t="str">
        <f>VLOOKUP(UQM115,[13]AssetDetails_UEM!$A$3:$AH$1849,6,FALSE)</f>
        <v>Electrosurgical Units, Monopolar/Bipolar</v>
      </c>
      <c r="UQO115" s="196" t="s">
        <v>761</v>
      </c>
      <c r="UQP115" s="197" t="str">
        <f>VLOOKUP(UQO115,[13]AssetDetails_UEM!$A$3:$AH$1849,6,FALSE)</f>
        <v>Electrosurgical Units, Monopolar/Bipolar</v>
      </c>
      <c r="UQQ115" s="196" t="s">
        <v>761</v>
      </c>
      <c r="UQR115" s="197" t="str">
        <f>VLOOKUP(UQQ115,[13]AssetDetails_UEM!$A$3:$AH$1849,6,FALSE)</f>
        <v>Electrosurgical Units, Monopolar/Bipolar</v>
      </c>
      <c r="UQS115" s="196" t="s">
        <v>761</v>
      </c>
      <c r="UQT115" s="197" t="str">
        <f>VLOOKUP(UQS115,[13]AssetDetails_UEM!$A$3:$AH$1849,6,FALSE)</f>
        <v>Electrosurgical Units, Monopolar/Bipolar</v>
      </c>
      <c r="UQU115" s="196" t="s">
        <v>761</v>
      </c>
      <c r="UQV115" s="197" t="str">
        <f>VLOOKUP(UQU115,[13]AssetDetails_UEM!$A$3:$AH$1849,6,FALSE)</f>
        <v>Electrosurgical Units, Monopolar/Bipolar</v>
      </c>
      <c r="UQW115" s="196" t="s">
        <v>761</v>
      </c>
      <c r="UQX115" s="197" t="str">
        <f>VLOOKUP(UQW115,[13]AssetDetails_UEM!$A$3:$AH$1849,6,FALSE)</f>
        <v>Electrosurgical Units, Monopolar/Bipolar</v>
      </c>
      <c r="UQY115" s="196" t="s">
        <v>761</v>
      </c>
      <c r="UQZ115" s="197" t="str">
        <f>VLOOKUP(UQY115,[13]AssetDetails_UEM!$A$3:$AH$1849,6,FALSE)</f>
        <v>Electrosurgical Units, Monopolar/Bipolar</v>
      </c>
      <c r="URA115" s="196" t="s">
        <v>761</v>
      </c>
      <c r="URB115" s="197" t="str">
        <f>VLOOKUP(URA115,[13]AssetDetails_UEM!$A$3:$AH$1849,6,FALSE)</f>
        <v>Electrosurgical Units, Monopolar/Bipolar</v>
      </c>
      <c r="URC115" s="196" t="s">
        <v>761</v>
      </c>
      <c r="URD115" s="197" t="str">
        <f>VLOOKUP(URC115,[13]AssetDetails_UEM!$A$3:$AH$1849,6,FALSE)</f>
        <v>Electrosurgical Units, Monopolar/Bipolar</v>
      </c>
      <c r="URE115" s="196" t="s">
        <v>761</v>
      </c>
      <c r="URF115" s="197" t="str">
        <f>VLOOKUP(URE115,[13]AssetDetails_UEM!$A$3:$AH$1849,6,FALSE)</f>
        <v>Electrosurgical Units, Monopolar/Bipolar</v>
      </c>
      <c r="URG115" s="196" t="s">
        <v>761</v>
      </c>
      <c r="URH115" s="197" t="str">
        <f>VLOOKUP(URG115,[13]AssetDetails_UEM!$A$3:$AH$1849,6,FALSE)</f>
        <v>Electrosurgical Units, Monopolar/Bipolar</v>
      </c>
      <c r="URI115" s="196" t="s">
        <v>761</v>
      </c>
      <c r="URJ115" s="197" t="str">
        <f>VLOOKUP(URI115,[13]AssetDetails_UEM!$A$3:$AH$1849,6,FALSE)</f>
        <v>Electrosurgical Units, Monopolar/Bipolar</v>
      </c>
      <c r="URK115" s="196" t="s">
        <v>761</v>
      </c>
      <c r="URL115" s="197" t="str">
        <f>VLOOKUP(URK115,[13]AssetDetails_UEM!$A$3:$AH$1849,6,FALSE)</f>
        <v>Electrosurgical Units, Monopolar/Bipolar</v>
      </c>
      <c r="URM115" s="196" t="s">
        <v>761</v>
      </c>
      <c r="URN115" s="197" t="str">
        <f>VLOOKUP(URM115,[13]AssetDetails_UEM!$A$3:$AH$1849,6,FALSE)</f>
        <v>Electrosurgical Units, Monopolar/Bipolar</v>
      </c>
      <c r="URO115" s="196" t="s">
        <v>761</v>
      </c>
      <c r="URP115" s="197" t="str">
        <f>VLOOKUP(URO115,[13]AssetDetails_UEM!$A$3:$AH$1849,6,FALSE)</f>
        <v>Electrosurgical Units, Monopolar/Bipolar</v>
      </c>
      <c r="URQ115" s="196" t="s">
        <v>761</v>
      </c>
      <c r="URR115" s="197" t="str">
        <f>VLOOKUP(URQ115,[13]AssetDetails_UEM!$A$3:$AH$1849,6,FALSE)</f>
        <v>Electrosurgical Units, Monopolar/Bipolar</v>
      </c>
      <c r="URS115" s="196" t="s">
        <v>761</v>
      </c>
      <c r="URT115" s="197" t="str">
        <f>VLOOKUP(URS115,[13]AssetDetails_UEM!$A$3:$AH$1849,6,FALSE)</f>
        <v>Electrosurgical Units, Monopolar/Bipolar</v>
      </c>
      <c r="URU115" s="196" t="s">
        <v>761</v>
      </c>
      <c r="URV115" s="197" t="str">
        <f>VLOOKUP(URU115,[13]AssetDetails_UEM!$A$3:$AH$1849,6,FALSE)</f>
        <v>Electrosurgical Units, Monopolar/Bipolar</v>
      </c>
      <c r="URW115" s="196" t="s">
        <v>761</v>
      </c>
      <c r="URX115" s="197" t="str">
        <f>VLOOKUP(URW115,[13]AssetDetails_UEM!$A$3:$AH$1849,6,FALSE)</f>
        <v>Electrosurgical Units, Monopolar/Bipolar</v>
      </c>
      <c r="URY115" s="196" t="s">
        <v>761</v>
      </c>
      <c r="URZ115" s="197" t="str">
        <f>VLOOKUP(URY115,[13]AssetDetails_UEM!$A$3:$AH$1849,6,FALSE)</f>
        <v>Electrosurgical Units, Monopolar/Bipolar</v>
      </c>
      <c r="USA115" s="196" t="s">
        <v>761</v>
      </c>
      <c r="USB115" s="197" t="str">
        <f>VLOOKUP(USA115,[13]AssetDetails_UEM!$A$3:$AH$1849,6,FALSE)</f>
        <v>Electrosurgical Units, Monopolar/Bipolar</v>
      </c>
      <c r="USC115" s="196" t="s">
        <v>761</v>
      </c>
      <c r="USD115" s="197" t="str">
        <f>VLOOKUP(USC115,[13]AssetDetails_UEM!$A$3:$AH$1849,6,FALSE)</f>
        <v>Electrosurgical Units, Monopolar/Bipolar</v>
      </c>
      <c r="USE115" s="196" t="s">
        <v>761</v>
      </c>
      <c r="USF115" s="197" t="str">
        <f>VLOOKUP(USE115,[13]AssetDetails_UEM!$A$3:$AH$1849,6,FALSE)</f>
        <v>Electrosurgical Units, Monopolar/Bipolar</v>
      </c>
      <c r="USG115" s="196" t="s">
        <v>761</v>
      </c>
      <c r="USH115" s="197" t="str">
        <f>VLOOKUP(USG115,[13]AssetDetails_UEM!$A$3:$AH$1849,6,FALSE)</f>
        <v>Electrosurgical Units, Monopolar/Bipolar</v>
      </c>
      <c r="USI115" s="196" t="s">
        <v>761</v>
      </c>
      <c r="USJ115" s="197" t="str">
        <f>VLOOKUP(USI115,[13]AssetDetails_UEM!$A$3:$AH$1849,6,FALSE)</f>
        <v>Electrosurgical Units, Monopolar/Bipolar</v>
      </c>
      <c r="USK115" s="196" t="s">
        <v>761</v>
      </c>
      <c r="USL115" s="197" t="str">
        <f>VLOOKUP(USK115,[13]AssetDetails_UEM!$A$3:$AH$1849,6,FALSE)</f>
        <v>Electrosurgical Units, Monopolar/Bipolar</v>
      </c>
      <c r="USM115" s="196" t="s">
        <v>761</v>
      </c>
      <c r="USN115" s="197" t="str">
        <f>VLOOKUP(USM115,[13]AssetDetails_UEM!$A$3:$AH$1849,6,FALSE)</f>
        <v>Electrosurgical Units, Monopolar/Bipolar</v>
      </c>
      <c r="USO115" s="196" t="s">
        <v>761</v>
      </c>
      <c r="USP115" s="197" t="str">
        <f>VLOOKUP(USO115,[13]AssetDetails_UEM!$A$3:$AH$1849,6,FALSE)</f>
        <v>Electrosurgical Units, Monopolar/Bipolar</v>
      </c>
      <c r="USQ115" s="196" t="s">
        <v>761</v>
      </c>
      <c r="USR115" s="197" t="str">
        <f>VLOOKUP(USQ115,[13]AssetDetails_UEM!$A$3:$AH$1849,6,FALSE)</f>
        <v>Electrosurgical Units, Monopolar/Bipolar</v>
      </c>
      <c r="USS115" s="196" t="s">
        <v>761</v>
      </c>
      <c r="UST115" s="197" t="str">
        <f>VLOOKUP(USS115,[13]AssetDetails_UEM!$A$3:$AH$1849,6,FALSE)</f>
        <v>Electrosurgical Units, Monopolar/Bipolar</v>
      </c>
      <c r="USU115" s="196" t="s">
        <v>761</v>
      </c>
      <c r="USV115" s="197" t="str">
        <f>VLOOKUP(USU115,[13]AssetDetails_UEM!$A$3:$AH$1849,6,FALSE)</f>
        <v>Electrosurgical Units, Monopolar/Bipolar</v>
      </c>
      <c r="USW115" s="196" t="s">
        <v>761</v>
      </c>
      <c r="USX115" s="197" t="str">
        <f>VLOOKUP(USW115,[13]AssetDetails_UEM!$A$3:$AH$1849,6,FALSE)</f>
        <v>Electrosurgical Units, Monopolar/Bipolar</v>
      </c>
      <c r="USY115" s="196" t="s">
        <v>761</v>
      </c>
      <c r="USZ115" s="197" t="str">
        <f>VLOOKUP(USY115,[13]AssetDetails_UEM!$A$3:$AH$1849,6,FALSE)</f>
        <v>Electrosurgical Units, Monopolar/Bipolar</v>
      </c>
      <c r="UTA115" s="196" t="s">
        <v>761</v>
      </c>
      <c r="UTB115" s="197" t="str">
        <f>VLOOKUP(UTA115,[13]AssetDetails_UEM!$A$3:$AH$1849,6,FALSE)</f>
        <v>Electrosurgical Units, Monopolar/Bipolar</v>
      </c>
      <c r="UTC115" s="196" t="s">
        <v>761</v>
      </c>
      <c r="UTD115" s="197" t="str">
        <f>VLOOKUP(UTC115,[13]AssetDetails_UEM!$A$3:$AH$1849,6,FALSE)</f>
        <v>Electrosurgical Units, Monopolar/Bipolar</v>
      </c>
      <c r="UTE115" s="196" t="s">
        <v>761</v>
      </c>
      <c r="UTF115" s="197" t="str">
        <f>VLOOKUP(UTE115,[13]AssetDetails_UEM!$A$3:$AH$1849,6,FALSE)</f>
        <v>Electrosurgical Units, Monopolar/Bipolar</v>
      </c>
      <c r="UTG115" s="196" t="s">
        <v>761</v>
      </c>
      <c r="UTH115" s="197" t="str">
        <f>VLOOKUP(UTG115,[13]AssetDetails_UEM!$A$3:$AH$1849,6,FALSE)</f>
        <v>Electrosurgical Units, Monopolar/Bipolar</v>
      </c>
      <c r="UTI115" s="196" t="s">
        <v>761</v>
      </c>
      <c r="UTJ115" s="197" t="str">
        <f>VLOOKUP(UTI115,[13]AssetDetails_UEM!$A$3:$AH$1849,6,FALSE)</f>
        <v>Electrosurgical Units, Monopolar/Bipolar</v>
      </c>
      <c r="UTK115" s="196" t="s">
        <v>761</v>
      </c>
      <c r="UTL115" s="197" t="str">
        <f>VLOOKUP(UTK115,[13]AssetDetails_UEM!$A$3:$AH$1849,6,FALSE)</f>
        <v>Electrosurgical Units, Monopolar/Bipolar</v>
      </c>
      <c r="UTM115" s="196" t="s">
        <v>761</v>
      </c>
      <c r="UTN115" s="197" t="str">
        <f>VLOOKUP(UTM115,[13]AssetDetails_UEM!$A$3:$AH$1849,6,FALSE)</f>
        <v>Electrosurgical Units, Monopolar/Bipolar</v>
      </c>
      <c r="UTO115" s="196" t="s">
        <v>761</v>
      </c>
      <c r="UTP115" s="197" t="str">
        <f>VLOOKUP(UTO115,[13]AssetDetails_UEM!$A$3:$AH$1849,6,FALSE)</f>
        <v>Electrosurgical Units, Monopolar/Bipolar</v>
      </c>
      <c r="UTQ115" s="196" t="s">
        <v>761</v>
      </c>
      <c r="UTR115" s="197" t="str">
        <f>VLOOKUP(UTQ115,[13]AssetDetails_UEM!$A$3:$AH$1849,6,FALSE)</f>
        <v>Electrosurgical Units, Monopolar/Bipolar</v>
      </c>
      <c r="UTS115" s="196" t="s">
        <v>761</v>
      </c>
      <c r="UTT115" s="197" t="str">
        <f>VLOOKUP(UTS115,[13]AssetDetails_UEM!$A$3:$AH$1849,6,FALSE)</f>
        <v>Electrosurgical Units, Monopolar/Bipolar</v>
      </c>
      <c r="UTU115" s="196" t="s">
        <v>761</v>
      </c>
      <c r="UTV115" s="197" t="str">
        <f>VLOOKUP(UTU115,[13]AssetDetails_UEM!$A$3:$AH$1849,6,FALSE)</f>
        <v>Electrosurgical Units, Monopolar/Bipolar</v>
      </c>
      <c r="UTW115" s="196" t="s">
        <v>761</v>
      </c>
      <c r="UTX115" s="197" t="str">
        <f>VLOOKUP(UTW115,[13]AssetDetails_UEM!$A$3:$AH$1849,6,FALSE)</f>
        <v>Electrosurgical Units, Monopolar/Bipolar</v>
      </c>
      <c r="UTY115" s="196" t="s">
        <v>761</v>
      </c>
      <c r="UTZ115" s="197" t="str">
        <f>VLOOKUP(UTY115,[13]AssetDetails_UEM!$A$3:$AH$1849,6,FALSE)</f>
        <v>Electrosurgical Units, Monopolar/Bipolar</v>
      </c>
      <c r="UUA115" s="196" t="s">
        <v>761</v>
      </c>
      <c r="UUB115" s="197" t="str">
        <f>VLOOKUP(UUA115,[13]AssetDetails_UEM!$A$3:$AH$1849,6,FALSE)</f>
        <v>Electrosurgical Units, Monopolar/Bipolar</v>
      </c>
      <c r="UUC115" s="196" t="s">
        <v>761</v>
      </c>
      <c r="UUD115" s="197" t="str">
        <f>VLOOKUP(UUC115,[13]AssetDetails_UEM!$A$3:$AH$1849,6,FALSE)</f>
        <v>Electrosurgical Units, Monopolar/Bipolar</v>
      </c>
      <c r="UUE115" s="196" t="s">
        <v>761</v>
      </c>
      <c r="UUF115" s="197" t="str">
        <f>VLOOKUP(UUE115,[13]AssetDetails_UEM!$A$3:$AH$1849,6,FALSE)</f>
        <v>Electrosurgical Units, Monopolar/Bipolar</v>
      </c>
      <c r="UUG115" s="196" t="s">
        <v>761</v>
      </c>
      <c r="UUH115" s="197" t="str">
        <f>VLOOKUP(UUG115,[13]AssetDetails_UEM!$A$3:$AH$1849,6,FALSE)</f>
        <v>Electrosurgical Units, Monopolar/Bipolar</v>
      </c>
      <c r="UUI115" s="196" t="s">
        <v>761</v>
      </c>
      <c r="UUJ115" s="197" t="str">
        <f>VLOOKUP(UUI115,[13]AssetDetails_UEM!$A$3:$AH$1849,6,FALSE)</f>
        <v>Electrosurgical Units, Monopolar/Bipolar</v>
      </c>
      <c r="UUK115" s="196" t="s">
        <v>761</v>
      </c>
      <c r="UUL115" s="197" t="str">
        <f>VLOOKUP(UUK115,[13]AssetDetails_UEM!$A$3:$AH$1849,6,FALSE)</f>
        <v>Electrosurgical Units, Monopolar/Bipolar</v>
      </c>
      <c r="UUM115" s="196" t="s">
        <v>761</v>
      </c>
      <c r="UUN115" s="197" t="str">
        <f>VLOOKUP(UUM115,[13]AssetDetails_UEM!$A$3:$AH$1849,6,FALSE)</f>
        <v>Electrosurgical Units, Monopolar/Bipolar</v>
      </c>
      <c r="UUO115" s="196" t="s">
        <v>761</v>
      </c>
      <c r="UUP115" s="197" t="str">
        <f>VLOOKUP(UUO115,[13]AssetDetails_UEM!$A$3:$AH$1849,6,FALSE)</f>
        <v>Electrosurgical Units, Monopolar/Bipolar</v>
      </c>
      <c r="UUQ115" s="196" t="s">
        <v>761</v>
      </c>
      <c r="UUR115" s="197" t="str">
        <f>VLOOKUP(UUQ115,[13]AssetDetails_UEM!$A$3:$AH$1849,6,FALSE)</f>
        <v>Electrosurgical Units, Monopolar/Bipolar</v>
      </c>
      <c r="UUS115" s="196" t="s">
        <v>761</v>
      </c>
      <c r="UUT115" s="197" t="str">
        <f>VLOOKUP(UUS115,[13]AssetDetails_UEM!$A$3:$AH$1849,6,FALSE)</f>
        <v>Electrosurgical Units, Monopolar/Bipolar</v>
      </c>
      <c r="UUU115" s="196" t="s">
        <v>761</v>
      </c>
      <c r="UUV115" s="197" t="str">
        <f>VLOOKUP(UUU115,[13]AssetDetails_UEM!$A$3:$AH$1849,6,FALSE)</f>
        <v>Electrosurgical Units, Monopolar/Bipolar</v>
      </c>
      <c r="UUW115" s="196" t="s">
        <v>761</v>
      </c>
      <c r="UUX115" s="197" t="str">
        <f>VLOOKUP(UUW115,[13]AssetDetails_UEM!$A$3:$AH$1849,6,FALSE)</f>
        <v>Electrosurgical Units, Monopolar/Bipolar</v>
      </c>
      <c r="UUY115" s="196" t="s">
        <v>761</v>
      </c>
      <c r="UUZ115" s="197" t="str">
        <f>VLOOKUP(UUY115,[13]AssetDetails_UEM!$A$3:$AH$1849,6,FALSE)</f>
        <v>Electrosurgical Units, Monopolar/Bipolar</v>
      </c>
      <c r="UVA115" s="196" t="s">
        <v>761</v>
      </c>
      <c r="UVB115" s="197" t="str">
        <f>VLOOKUP(UVA115,[13]AssetDetails_UEM!$A$3:$AH$1849,6,FALSE)</f>
        <v>Electrosurgical Units, Monopolar/Bipolar</v>
      </c>
      <c r="UVC115" s="196" t="s">
        <v>761</v>
      </c>
      <c r="UVD115" s="197" t="str">
        <f>VLOOKUP(UVC115,[13]AssetDetails_UEM!$A$3:$AH$1849,6,FALSE)</f>
        <v>Electrosurgical Units, Monopolar/Bipolar</v>
      </c>
      <c r="UVE115" s="196" t="s">
        <v>761</v>
      </c>
      <c r="UVF115" s="197" t="str">
        <f>VLOOKUP(UVE115,[13]AssetDetails_UEM!$A$3:$AH$1849,6,FALSE)</f>
        <v>Electrosurgical Units, Monopolar/Bipolar</v>
      </c>
      <c r="UVG115" s="196" t="s">
        <v>761</v>
      </c>
      <c r="UVH115" s="197" t="str">
        <f>VLOOKUP(UVG115,[13]AssetDetails_UEM!$A$3:$AH$1849,6,FALSE)</f>
        <v>Electrosurgical Units, Monopolar/Bipolar</v>
      </c>
      <c r="UVI115" s="196" t="s">
        <v>761</v>
      </c>
      <c r="UVJ115" s="197" t="str">
        <f>VLOOKUP(UVI115,[13]AssetDetails_UEM!$A$3:$AH$1849,6,FALSE)</f>
        <v>Electrosurgical Units, Monopolar/Bipolar</v>
      </c>
      <c r="UVK115" s="196" t="s">
        <v>761</v>
      </c>
      <c r="UVL115" s="197" t="str">
        <f>VLOOKUP(UVK115,[13]AssetDetails_UEM!$A$3:$AH$1849,6,FALSE)</f>
        <v>Electrosurgical Units, Monopolar/Bipolar</v>
      </c>
      <c r="UVM115" s="196" t="s">
        <v>761</v>
      </c>
      <c r="UVN115" s="197" t="str">
        <f>VLOOKUP(UVM115,[13]AssetDetails_UEM!$A$3:$AH$1849,6,FALSE)</f>
        <v>Electrosurgical Units, Monopolar/Bipolar</v>
      </c>
      <c r="UVO115" s="196" t="s">
        <v>761</v>
      </c>
      <c r="UVP115" s="197" t="str">
        <f>VLOOKUP(UVO115,[13]AssetDetails_UEM!$A$3:$AH$1849,6,FALSE)</f>
        <v>Electrosurgical Units, Monopolar/Bipolar</v>
      </c>
      <c r="UVQ115" s="196" t="s">
        <v>761</v>
      </c>
      <c r="UVR115" s="197" t="str">
        <f>VLOOKUP(UVQ115,[13]AssetDetails_UEM!$A$3:$AH$1849,6,FALSE)</f>
        <v>Electrosurgical Units, Monopolar/Bipolar</v>
      </c>
      <c r="UVS115" s="196" t="s">
        <v>761</v>
      </c>
      <c r="UVT115" s="197" t="str">
        <f>VLOOKUP(UVS115,[13]AssetDetails_UEM!$A$3:$AH$1849,6,FALSE)</f>
        <v>Electrosurgical Units, Monopolar/Bipolar</v>
      </c>
      <c r="UVU115" s="196" t="s">
        <v>761</v>
      </c>
      <c r="UVV115" s="197" t="str">
        <f>VLOOKUP(UVU115,[13]AssetDetails_UEM!$A$3:$AH$1849,6,FALSE)</f>
        <v>Electrosurgical Units, Monopolar/Bipolar</v>
      </c>
      <c r="UVW115" s="196" t="s">
        <v>761</v>
      </c>
      <c r="UVX115" s="197" t="str">
        <f>VLOOKUP(UVW115,[13]AssetDetails_UEM!$A$3:$AH$1849,6,FALSE)</f>
        <v>Electrosurgical Units, Monopolar/Bipolar</v>
      </c>
      <c r="UVY115" s="196" t="s">
        <v>761</v>
      </c>
      <c r="UVZ115" s="197" t="str">
        <f>VLOOKUP(UVY115,[13]AssetDetails_UEM!$A$3:$AH$1849,6,FALSE)</f>
        <v>Electrosurgical Units, Monopolar/Bipolar</v>
      </c>
      <c r="UWA115" s="196" t="s">
        <v>761</v>
      </c>
      <c r="UWB115" s="197" t="str">
        <f>VLOOKUP(UWA115,[13]AssetDetails_UEM!$A$3:$AH$1849,6,FALSE)</f>
        <v>Electrosurgical Units, Monopolar/Bipolar</v>
      </c>
      <c r="UWC115" s="196" t="s">
        <v>761</v>
      </c>
      <c r="UWD115" s="197" t="str">
        <f>VLOOKUP(UWC115,[13]AssetDetails_UEM!$A$3:$AH$1849,6,FALSE)</f>
        <v>Electrosurgical Units, Monopolar/Bipolar</v>
      </c>
      <c r="UWE115" s="196" t="s">
        <v>761</v>
      </c>
      <c r="UWF115" s="197" t="str">
        <f>VLOOKUP(UWE115,[13]AssetDetails_UEM!$A$3:$AH$1849,6,FALSE)</f>
        <v>Electrosurgical Units, Monopolar/Bipolar</v>
      </c>
      <c r="UWG115" s="196" t="s">
        <v>761</v>
      </c>
      <c r="UWH115" s="197" t="str">
        <f>VLOOKUP(UWG115,[13]AssetDetails_UEM!$A$3:$AH$1849,6,FALSE)</f>
        <v>Electrosurgical Units, Monopolar/Bipolar</v>
      </c>
      <c r="UWI115" s="196" t="s">
        <v>761</v>
      </c>
      <c r="UWJ115" s="197" t="str">
        <f>VLOOKUP(UWI115,[13]AssetDetails_UEM!$A$3:$AH$1849,6,FALSE)</f>
        <v>Electrosurgical Units, Monopolar/Bipolar</v>
      </c>
      <c r="UWK115" s="196" t="s">
        <v>761</v>
      </c>
      <c r="UWL115" s="197" t="str">
        <f>VLOOKUP(UWK115,[13]AssetDetails_UEM!$A$3:$AH$1849,6,FALSE)</f>
        <v>Electrosurgical Units, Monopolar/Bipolar</v>
      </c>
      <c r="UWM115" s="196" t="s">
        <v>761</v>
      </c>
      <c r="UWN115" s="197" t="str">
        <f>VLOOKUP(UWM115,[13]AssetDetails_UEM!$A$3:$AH$1849,6,FALSE)</f>
        <v>Electrosurgical Units, Monopolar/Bipolar</v>
      </c>
      <c r="UWO115" s="196" t="s">
        <v>761</v>
      </c>
      <c r="UWP115" s="197" t="str">
        <f>VLOOKUP(UWO115,[13]AssetDetails_UEM!$A$3:$AH$1849,6,FALSE)</f>
        <v>Electrosurgical Units, Monopolar/Bipolar</v>
      </c>
      <c r="UWQ115" s="196" t="s">
        <v>761</v>
      </c>
      <c r="UWR115" s="197" t="str">
        <f>VLOOKUP(UWQ115,[13]AssetDetails_UEM!$A$3:$AH$1849,6,FALSE)</f>
        <v>Electrosurgical Units, Monopolar/Bipolar</v>
      </c>
      <c r="UWS115" s="196" t="s">
        <v>761</v>
      </c>
      <c r="UWT115" s="197" t="str">
        <f>VLOOKUP(UWS115,[13]AssetDetails_UEM!$A$3:$AH$1849,6,FALSE)</f>
        <v>Electrosurgical Units, Monopolar/Bipolar</v>
      </c>
      <c r="UWU115" s="196" t="s">
        <v>761</v>
      </c>
      <c r="UWV115" s="197" t="str">
        <f>VLOOKUP(UWU115,[13]AssetDetails_UEM!$A$3:$AH$1849,6,FALSE)</f>
        <v>Electrosurgical Units, Monopolar/Bipolar</v>
      </c>
      <c r="UWW115" s="196" t="s">
        <v>761</v>
      </c>
      <c r="UWX115" s="197" t="str">
        <f>VLOOKUP(UWW115,[13]AssetDetails_UEM!$A$3:$AH$1849,6,FALSE)</f>
        <v>Electrosurgical Units, Monopolar/Bipolar</v>
      </c>
      <c r="UWY115" s="196" t="s">
        <v>761</v>
      </c>
      <c r="UWZ115" s="197" t="str">
        <f>VLOOKUP(UWY115,[13]AssetDetails_UEM!$A$3:$AH$1849,6,FALSE)</f>
        <v>Electrosurgical Units, Monopolar/Bipolar</v>
      </c>
      <c r="UXA115" s="196" t="s">
        <v>761</v>
      </c>
      <c r="UXB115" s="197" t="str">
        <f>VLOOKUP(UXA115,[13]AssetDetails_UEM!$A$3:$AH$1849,6,FALSE)</f>
        <v>Electrosurgical Units, Monopolar/Bipolar</v>
      </c>
      <c r="UXC115" s="196" t="s">
        <v>761</v>
      </c>
      <c r="UXD115" s="197" t="str">
        <f>VLOOKUP(UXC115,[13]AssetDetails_UEM!$A$3:$AH$1849,6,FALSE)</f>
        <v>Electrosurgical Units, Monopolar/Bipolar</v>
      </c>
      <c r="UXE115" s="196" t="s">
        <v>761</v>
      </c>
      <c r="UXF115" s="197" t="str">
        <f>VLOOKUP(UXE115,[13]AssetDetails_UEM!$A$3:$AH$1849,6,FALSE)</f>
        <v>Electrosurgical Units, Monopolar/Bipolar</v>
      </c>
      <c r="UXG115" s="196" t="s">
        <v>761</v>
      </c>
      <c r="UXH115" s="197" t="str">
        <f>VLOOKUP(UXG115,[13]AssetDetails_UEM!$A$3:$AH$1849,6,FALSE)</f>
        <v>Electrosurgical Units, Monopolar/Bipolar</v>
      </c>
      <c r="UXI115" s="196" t="s">
        <v>761</v>
      </c>
      <c r="UXJ115" s="197" t="str">
        <f>VLOOKUP(UXI115,[13]AssetDetails_UEM!$A$3:$AH$1849,6,FALSE)</f>
        <v>Electrosurgical Units, Monopolar/Bipolar</v>
      </c>
      <c r="UXK115" s="196" t="s">
        <v>761</v>
      </c>
      <c r="UXL115" s="197" t="str">
        <f>VLOOKUP(UXK115,[13]AssetDetails_UEM!$A$3:$AH$1849,6,FALSE)</f>
        <v>Electrosurgical Units, Monopolar/Bipolar</v>
      </c>
      <c r="UXM115" s="196" t="s">
        <v>761</v>
      </c>
      <c r="UXN115" s="197" t="str">
        <f>VLOOKUP(UXM115,[13]AssetDetails_UEM!$A$3:$AH$1849,6,FALSE)</f>
        <v>Electrosurgical Units, Monopolar/Bipolar</v>
      </c>
      <c r="UXO115" s="196" t="s">
        <v>761</v>
      </c>
      <c r="UXP115" s="197" t="str">
        <f>VLOOKUP(UXO115,[13]AssetDetails_UEM!$A$3:$AH$1849,6,FALSE)</f>
        <v>Electrosurgical Units, Monopolar/Bipolar</v>
      </c>
      <c r="UXQ115" s="196" t="s">
        <v>761</v>
      </c>
      <c r="UXR115" s="197" t="str">
        <f>VLOOKUP(UXQ115,[13]AssetDetails_UEM!$A$3:$AH$1849,6,FALSE)</f>
        <v>Electrosurgical Units, Monopolar/Bipolar</v>
      </c>
      <c r="UXS115" s="196" t="s">
        <v>761</v>
      </c>
      <c r="UXT115" s="197" t="str">
        <f>VLOOKUP(UXS115,[13]AssetDetails_UEM!$A$3:$AH$1849,6,FALSE)</f>
        <v>Electrosurgical Units, Monopolar/Bipolar</v>
      </c>
      <c r="UXU115" s="196" t="s">
        <v>761</v>
      </c>
      <c r="UXV115" s="197" t="str">
        <f>VLOOKUP(UXU115,[13]AssetDetails_UEM!$A$3:$AH$1849,6,FALSE)</f>
        <v>Electrosurgical Units, Monopolar/Bipolar</v>
      </c>
      <c r="UXW115" s="196" t="s">
        <v>761</v>
      </c>
      <c r="UXX115" s="197" t="str">
        <f>VLOOKUP(UXW115,[13]AssetDetails_UEM!$A$3:$AH$1849,6,FALSE)</f>
        <v>Electrosurgical Units, Monopolar/Bipolar</v>
      </c>
      <c r="UXY115" s="196" t="s">
        <v>761</v>
      </c>
      <c r="UXZ115" s="197" t="str">
        <f>VLOOKUP(UXY115,[13]AssetDetails_UEM!$A$3:$AH$1849,6,FALSE)</f>
        <v>Electrosurgical Units, Monopolar/Bipolar</v>
      </c>
      <c r="UYA115" s="196" t="s">
        <v>761</v>
      </c>
      <c r="UYB115" s="197" t="str">
        <f>VLOOKUP(UYA115,[13]AssetDetails_UEM!$A$3:$AH$1849,6,FALSE)</f>
        <v>Electrosurgical Units, Monopolar/Bipolar</v>
      </c>
      <c r="UYC115" s="196" t="s">
        <v>761</v>
      </c>
      <c r="UYD115" s="197" t="str">
        <f>VLOOKUP(UYC115,[13]AssetDetails_UEM!$A$3:$AH$1849,6,FALSE)</f>
        <v>Electrosurgical Units, Monopolar/Bipolar</v>
      </c>
      <c r="UYE115" s="196" t="s">
        <v>761</v>
      </c>
      <c r="UYF115" s="197" t="str">
        <f>VLOOKUP(UYE115,[13]AssetDetails_UEM!$A$3:$AH$1849,6,FALSE)</f>
        <v>Electrosurgical Units, Monopolar/Bipolar</v>
      </c>
      <c r="UYG115" s="196" t="s">
        <v>761</v>
      </c>
      <c r="UYH115" s="197" t="str">
        <f>VLOOKUP(UYG115,[13]AssetDetails_UEM!$A$3:$AH$1849,6,FALSE)</f>
        <v>Electrosurgical Units, Monopolar/Bipolar</v>
      </c>
      <c r="UYI115" s="196" t="s">
        <v>761</v>
      </c>
      <c r="UYJ115" s="197" t="str">
        <f>VLOOKUP(UYI115,[13]AssetDetails_UEM!$A$3:$AH$1849,6,FALSE)</f>
        <v>Electrosurgical Units, Monopolar/Bipolar</v>
      </c>
      <c r="UYK115" s="196" t="s">
        <v>761</v>
      </c>
      <c r="UYL115" s="197" t="str">
        <f>VLOOKUP(UYK115,[13]AssetDetails_UEM!$A$3:$AH$1849,6,FALSE)</f>
        <v>Electrosurgical Units, Monopolar/Bipolar</v>
      </c>
      <c r="UYM115" s="196" t="s">
        <v>761</v>
      </c>
      <c r="UYN115" s="197" t="str">
        <f>VLOOKUP(UYM115,[13]AssetDetails_UEM!$A$3:$AH$1849,6,FALSE)</f>
        <v>Electrosurgical Units, Monopolar/Bipolar</v>
      </c>
      <c r="UYO115" s="196" t="s">
        <v>761</v>
      </c>
      <c r="UYP115" s="197" t="str">
        <f>VLOOKUP(UYO115,[13]AssetDetails_UEM!$A$3:$AH$1849,6,FALSE)</f>
        <v>Electrosurgical Units, Monopolar/Bipolar</v>
      </c>
      <c r="UYQ115" s="196" t="s">
        <v>761</v>
      </c>
      <c r="UYR115" s="197" t="str">
        <f>VLOOKUP(UYQ115,[13]AssetDetails_UEM!$A$3:$AH$1849,6,FALSE)</f>
        <v>Electrosurgical Units, Monopolar/Bipolar</v>
      </c>
      <c r="UYS115" s="196" t="s">
        <v>761</v>
      </c>
      <c r="UYT115" s="197" t="str">
        <f>VLOOKUP(UYS115,[13]AssetDetails_UEM!$A$3:$AH$1849,6,FALSE)</f>
        <v>Electrosurgical Units, Monopolar/Bipolar</v>
      </c>
      <c r="UYU115" s="196" t="s">
        <v>761</v>
      </c>
      <c r="UYV115" s="197" t="str">
        <f>VLOOKUP(UYU115,[13]AssetDetails_UEM!$A$3:$AH$1849,6,FALSE)</f>
        <v>Electrosurgical Units, Monopolar/Bipolar</v>
      </c>
      <c r="UYW115" s="196" t="s">
        <v>761</v>
      </c>
      <c r="UYX115" s="197" t="str">
        <f>VLOOKUP(UYW115,[13]AssetDetails_UEM!$A$3:$AH$1849,6,FALSE)</f>
        <v>Electrosurgical Units, Monopolar/Bipolar</v>
      </c>
      <c r="UYY115" s="196" t="s">
        <v>761</v>
      </c>
      <c r="UYZ115" s="197" t="str">
        <f>VLOOKUP(UYY115,[13]AssetDetails_UEM!$A$3:$AH$1849,6,FALSE)</f>
        <v>Electrosurgical Units, Monopolar/Bipolar</v>
      </c>
      <c r="UZA115" s="196" t="s">
        <v>761</v>
      </c>
      <c r="UZB115" s="197" t="str">
        <f>VLOOKUP(UZA115,[13]AssetDetails_UEM!$A$3:$AH$1849,6,FALSE)</f>
        <v>Electrosurgical Units, Monopolar/Bipolar</v>
      </c>
      <c r="UZC115" s="196" t="s">
        <v>761</v>
      </c>
      <c r="UZD115" s="197" t="str">
        <f>VLOOKUP(UZC115,[13]AssetDetails_UEM!$A$3:$AH$1849,6,FALSE)</f>
        <v>Electrosurgical Units, Monopolar/Bipolar</v>
      </c>
      <c r="UZE115" s="196" t="s">
        <v>761</v>
      </c>
      <c r="UZF115" s="197" t="str">
        <f>VLOOKUP(UZE115,[13]AssetDetails_UEM!$A$3:$AH$1849,6,FALSE)</f>
        <v>Electrosurgical Units, Monopolar/Bipolar</v>
      </c>
      <c r="UZG115" s="196" t="s">
        <v>761</v>
      </c>
      <c r="UZH115" s="197" t="str">
        <f>VLOOKUP(UZG115,[13]AssetDetails_UEM!$A$3:$AH$1849,6,FALSE)</f>
        <v>Electrosurgical Units, Monopolar/Bipolar</v>
      </c>
      <c r="UZI115" s="196" t="s">
        <v>761</v>
      </c>
      <c r="UZJ115" s="197" t="str">
        <f>VLOOKUP(UZI115,[13]AssetDetails_UEM!$A$3:$AH$1849,6,FALSE)</f>
        <v>Electrosurgical Units, Monopolar/Bipolar</v>
      </c>
      <c r="UZK115" s="196" t="s">
        <v>761</v>
      </c>
      <c r="UZL115" s="197" t="str">
        <f>VLOOKUP(UZK115,[13]AssetDetails_UEM!$A$3:$AH$1849,6,FALSE)</f>
        <v>Electrosurgical Units, Monopolar/Bipolar</v>
      </c>
      <c r="UZM115" s="196" t="s">
        <v>761</v>
      </c>
      <c r="UZN115" s="197" t="str">
        <f>VLOOKUP(UZM115,[13]AssetDetails_UEM!$A$3:$AH$1849,6,FALSE)</f>
        <v>Electrosurgical Units, Monopolar/Bipolar</v>
      </c>
      <c r="UZO115" s="196" t="s">
        <v>761</v>
      </c>
      <c r="UZP115" s="197" t="str">
        <f>VLOOKUP(UZO115,[13]AssetDetails_UEM!$A$3:$AH$1849,6,FALSE)</f>
        <v>Electrosurgical Units, Monopolar/Bipolar</v>
      </c>
      <c r="UZQ115" s="196" t="s">
        <v>761</v>
      </c>
      <c r="UZR115" s="197" t="str">
        <f>VLOOKUP(UZQ115,[13]AssetDetails_UEM!$A$3:$AH$1849,6,FALSE)</f>
        <v>Electrosurgical Units, Monopolar/Bipolar</v>
      </c>
      <c r="UZS115" s="196" t="s">
        <v>761</v>
      </c>
      <c r="UZT115" s="197" t="str">
        <f>VLOOKUP(UZS115,[13]AssetDetails_UEM!$A$3:$AH$1849,6,FALSE)</f>
        <v>Electrosurgical Units, Monopolar/Bipolar</v>
      </c>
      <c r="UZU115" s="196" t="s">
        <v>761</v>
      </c>
      <c r="UZV115" s="197" t="str">
        <f>VLOOKUP(UZU115,[13]AssetDetails_UEM!$A$3:$AH$1849,6,FALSE)</f>
        <v>Electrosurgical Units, Monopolar/Bipolar</v>
      </c>
      <c r="UZW115" s="196" t="s">
        <v>761</v>
      </c>
      <c r="UZX115" s="197" t="str">
        <f>VLOOKUP(UZW115,[13]AssetDetails_UEM!$A$3:$AH$1849,6,FALSE)</f>
        <v>Electrosurgical Units, Monopolar/Bipolar</v>
      </c>
      <c r="UZY115" s="196" t="s">
        <v>761</v>
      </c>
      <c r="UZZ115" s="197" t="str">
        <f>VLOOKUP(UZY115,[13]AssetDetails_UEM!$A$3:$AH$1849,6,FALSE)</f>
        <v>Electrosurgical Units, Monopolar/Bipolar</v>
      </c>
      <c r="VAA115" s="196" t="s">
        <v>761</v>
      </c>
      <c r="VAB115" s="197" t="str">
        <f>VLOOKUP(VAA115,[13]AssetDetails_UEM!$A$3:$AH$1849,6,FALSE)</f>
        <v>Electrosurgical Units, Monopolar/Bipolar</v>
      </c>
      <c r="VAC115" s="196" t="s">
        <v>761</v>
      </c>
      <c r="VAD115" s="197" t="str">
        <f>VLOOKUP(VAC115,[13]AssetDetails_UEM!$A$3:$AH$1849,6,FALSE)</f>
        <v>Electrosurgical Units, Monopolar/Bipolar</v>
      </c>
      <c r="VAE115" s="196" t="s">
        <v>761</v>
      </c>
      <c r="VAF115" s="197" t="str">
        <f>VLOOKUP(VAE115,[13]AssetDetails_UEM!$A$3:$AH$1849,6,FALSE)</f>
        <v>Electrosurgical Units, Monopolar/Bipolar</v>
      </c>
      <c r="VAG115" s="196" t="s">
        <v>761</v>
      </c>
      <c r="VAH115" s="197" t="str">
        <f>VLOOKUP(VAG115,[13]AssetDetails_UEM!$A$3:$AH$1849,6,FALSE)</f>
        <v>Electrosurgical Units, Monopolar/Bipolar</v>
      </c>
      <c r="VAI115" s="196" t="s">
        <v>761</v>
      </c>
      <c r="VAJ115" s="197" t="str">
        <f>VLOOKUP(VAI115,[13]AssetDetails_UEM!$A$3:$AH$1849,6,FALSE)</f>
        <v>Electrosurgical Units, Monopolar/Bipolar</v>
      </c>
      <c r="VAK115" s="196" t="s">
        <v>761</v>
      </c>
      <c r="VAL115" s="197" t="str">
        <f>VLOOKUP(VAK115,[13]AssetDetails_UEM!$A$3:$AH$1849,6,FALSE)</f>
        <v>Electrosurgical Units, Monopolar/Bipolar</v>
      </c>
      <c r="VAM115" s="196" t="s">
        <v>761</v>
      </c>
      <c r="VAN115" s="197" t="str">
        <f>VLOOKUP(VAM115,[13]AssetDetails_UEM!$A$3:$AH$1849,6,FALSE)</f>
        <v>Electrosurgical Units, Monopolar/Bipolar</v>
      </c>
      <c r="VAO115" s="196" t="s">
        <v>761</v>
      </c>
      <c r="VAP115" s="197" t="str">
        <f>VLOOKUP(VAO115,[13]AssetDetails_UEM!$A$3:$AH$1849,6,FALSE)</f>
        <v>Electrosurgical Units, Monopolar/Bipolar</v>
      </c>
      <c r="VAQ115" s="196" t="s">
        <v>761</v>
      </c>
      <c r="VAR115" s="197" t="str">
        <f>VLOOKUP(VAQ115,[13]AssetDetails_UEM!$A$3:$AH$1849,6,FALSE)</f>
        <v>Electrosurgical Units, Monopolar/Bipolar</v>
      </c>
      <c r="VAS115" s="196" t="s">
        <v>761</v>
      </c>
      <c r="VAT115" s="197" t="str">
        <f>VLOOKUP(VAS115,[13]AssetDetails_UEM!$A$3:$AH$1849,6,FALSE)</f>
        <v>Electrosurgical Units, Monopolar/Bipolar</v>
      </c>
      <c r="VAU115" s="196" t="s">
        <v>761</v>
      </c>
      <c r="VAV115" s="197" t="str">
        <f>VLOOKUP(VAU115,[13]AssetDetails_UEM!$A$3:$AH$1849,6,FALSE)</f>
        <v>Electrosurgical Units, Monopolar/Bipolar</v>
      </c>
      <c r="VAW115" s="196" t="s">
        <v>761</v>
      </c>
      <c r="VAX115" s="197" t="str">
        <f>VLOOKUP(VAW115,[13]AssetDetails_UEM!$A$3:$AH$1849,6,FALSE)</f>
        <v>Electrosurgical Units, Monopolar/Bipolar</v>
      </c>
      <c r="VAY115" s="196" t="s">
        <v>761</v>
      </c>
      <c r="VAZ115" s="197" t="str">
        <f>VLOOKUP(VAY115,[13]AssetDetails_UEM!$A$3:$AH$1849,6,FALSE)</f>
        <v>Electrosurgical Units, Monopolar/Bipolar</v>
      </c>
      <c r="VBA115" s="196" t="s">
        <v>761</v>
      </c>
      <c r="VBB115" s="197" t="str">
        <f>VLOOKUP(VBA115,[13]AssetDetails_UEM!$A$3:$AH$1849,6,FALSE)</f>
        <v>Electrosurgical Units, Monopolar/Bipolar</v>
      </c>
      <c r="VBC115" s="196" t="s">
        <v>761</v>
      </c>
      <c r="VBD115" s="197" t="str">
        <f>VLOOKUP(VBC115,[13]AssetDetails_UEM!$A$3:$AH$1849,6,FALSE)</f>
        <v>Electrosurgical Units, Monopolar/Bipolar</v>
      </c>
      <c r="VBE115" s="196" t="s">
        <v>761</v>
      </c>
      <c r="VBF115" s="197" t="str">
        <f>VLOOKUP(VBE115,[13]AssetDetails_UEM!$A$3:$AH$1849,6,FALSE)</f>
        <v>Electrosurgical Units, Monopolar/Bipolar</v>
      </c>
      <c r="VBG115" s="196" t="s">
        <v>761</v>
      </c>
      <c r="VBH115" s="197" t="str">
        <f>VLOOKUP(VBG115,[13]AssetDetails_UEM!$A$3:$AH$1849,6,FALSE)</f>
        <v>Electrosurgical Units, Monopolar/Bipolar</v>
      </c>
      <c r="VBI115" s="196" t="s">
        <v>761</v>
      </c>
      <c r="VBJ115" s="197" t="str">
        <f>VLOOKUP(VBI115,[13]AssetDetails_UEM!$A$3:$AH$1849,6,FALSE)</f>
        <v>Electrosurgical Units, Monopolar/Bipolar</v>
      </c>
      <c r="VBK115" s="196" t="s">
        <v>761</v>
      </c>
      <c r="VBL115" s="197" t="str">
        <f>VLOOKUP(VBK115,[13]AssetDetails_UEM!$A$3:$AH$1849,6,FALSE)</f>
        <v>Electrosurgical Units, Monopolar/Bipolar</v>
      </c>
      <c r="VBM115" s="196" t="s">
        <v>761</v>
      </c>
      <c r="VBN115" s="197" t="str">
        <f>VLOOKUP(VBM115,[13]AssetDetails_UEM!$A$3:$AH$1849,6,FALSE)</f>
        <v>Electrosurgical Units, Monopolar/Bipolar</v>
      </c>
      <c r="VBO115" s="196" t="s">
        <v>761</v>
      </c>
      <c r="VBP115" s="197" t="str">
        <f>VLOOKUP(VBO115,[13]AssetDetails_UEM!$A$3:$AH$1849,6,FALSE)</f>
        <v>Electrosurgical Units, Monopolar/Bipolar</v>
      </c>
      <c r="VBQ115" s="196" t="s">
        <v>761</v>
      </c>
      <c r="VBR115" s="197" t="str">
        <f>VLOOKUP(VBQ115,[13]AssetDetails_UEM!$A$3:$AH$1849,6,FALSE)</f>
        <v>Electrosurgical Units, Monopolar/Bipolar</v>
      </c>
      <c r="VBS115" s="196" t="s">
        <v>761</v>
      </c>
      <c r="VBT115" s="197" t="str">
        <f>VLOOKUP(VBS115,[13]AssetDetails_UEM!$A$3:$AH$1849,6,FALSE)</f>
        <v>Electrosurgical Units, Monopolar/Bipolar</v>
      </c>
      <c r="VBU115" s="196" t="s">
        <v>761</v>
      </c>
      <c r="VBV115" s="197" t="str">
        <f>VLOOKUP(VBU115,[13]AssetDetails_UEM!$A$3:$AH$1849,6,FALSE)</f>
        <v>Electrosurgical Units, Monopolar/Bipolar</v>
      </c>
      <c r="VBW115" s="196" t="s">
        <v>761</v>
      </c>
      <c r="VBX115" s="197" t="str">
        <f>VLOOKUP(VBW115,[13]AssetDetails_UEM!$A$3:$AH$1849,6,FALSE)</f>
        <v>Electrosurgical Units, Monopolar/Bipolar</v>
      </c>
      <c r="VBY115" s="196" t="s">
        <v>761</v>
      </c>
      <c r="VBZ115" s="197" t="str">
        <f>VLOOKUP(VBY115,[13]AssetDetails_UEM!$A$3:$AH$1849,6,FALSE)</f>
        <v>Electrosurgical Units, Monopolar/Bipolar</v>
      </c>
      <c r="VCA115" s="196" t="s">
        <v>761</v>
      </c>
      <c r="VCB115" s="197" t="str">
        <f>VLOOKUP(VCA115,[13]AssetDetails_UEM!$A$3:$AH$1849,6,FALSE)</f>
        <v>Electrosurgical Units, Monopolar/Bipolar</v>
      </c>
      <c r="VCC115" s="196" t="s">
        <v>761</v>
      </c>
      <c r="VCD115" s="197" t="str">
        <f>VLOOKUP(VCC115,[13]AssetDetails_UEM!$A$3:$AH$1849,6,FALSE)</f>
        <v>Electrosurgical Units, Monopolar/Bipolar</v>
      </c>
      <c r="VCE115" s="196" t="s">
        <v>761</v>
      </c>
      <c r="VCF115" s="197" t="str">
        <f>VLOOKUP(VCE115,[13]AssetDetails_UEM!$A$3:$AH$1849,6,FALSE)</f>
        <v>Electrosurgical Units, Monopolar/Bipolar</v>
      </c>
      <c r="VCG115" s="196" t="s">
        <v>761</v>
      </c>
      <c r="VCH115" s="197" t="str">
        <f>VLOOKUP(VCG115,[13]AssetDetails_UEM!$A$3:$AH$1849,6,FALSE)</f>
        <v>Electrosurgical Units, Monopolar/Bipolar</v>
      </c>
      <c r="VCI115" s="196" t="s">
        <v>761</v>
      </c>
      <c r="VCJ115" s="197" t="str">
        <f>VLOOKUP(VCI115,[13]AssetDetails_UEM!$A$3:$AH$1849,6,FALSE)</f>
        <v>Electrosurgical Units, Monopolar/Bipolar</v>
      </c>
      <c r="VCK115" s="196" t="s">
        <v>761</v>
      </c>
      <c r="VCL115" s="197" t="str">
        <f>VLOOKUP(VCK115,[13]AssetDetails_UEM!$A$3:$AH$1849,6,FALSE)</f>
        <v>Electrosurgical Units, Monopolar/Bipolar</v>
      </c>
      <c r="VCM115" s="196" t="s">
        <v>761</v>
      </c>
      <c r="VCN115" s="197" t="str">
        <f>VLOOKUP(VCM115,[13]AssetDetails_UEM!$A$3:$AH$1849,6,FALSE)</f>
        <v>Electrosurgical Units, Monopolar/Bipolar</v>
      </c>
      <c r="VCO115" s="196" t="s">
        <v>761</v>
      </c>
      <c r="VCP115" s="197" t="str">
        <f>VLOOKUP(VCO115,[13]AssetDetails_UEM!$A$3:$AH$1849,6,FALSE)</f>
        <v>Electrosurgical Units, Monopolar/Bipolar</v>
      </c>
      <c r="VCQ115" s="196" t="s">
        <v>761</v>
      </c>
      <c r="VCR115" s="197" t="str">
        <f>VLOOKUP(VCQ115,[13]AssetDetails_UEM!$A$3:$AH$1849,6,FALSE)</f>
        <v>Electrosurgical Units, Monopolar/Bipolar</v>
      </c>
      <c r="VCS115" s="196" t="s">
        <v>761</v>
      </c>
      <c r="VCT115" s="197" t="str">
        <f>VLOOKUP(VCS115,[13]AssetDetails_UEM!$A$3:$AH$1849,6,FALSE)</f>
        <v>Electrosurgical Units, Monopolar/Bipolar</v>
      </c>
      <c r="VCU115" s="196" t="s">
        <v>761</v>
      </c>
      <c r="VCV115" s="197" t="str">
        <f>VLOOKUP(VCU115,[13]AssetDetails_UEM!$A$3:$AH$1849,6,FALSE)</f>
        <v>Electrosurgical Units, Monopolar/Bipolar</v>
      </c>
      <c r="VCW115" s="196" t="s">
        <v>761</v>
      </c>
      <c r="VCX115" s="197" t="str">
        <f>VLOOKUP(VCW115,[13]AssetDetails_UEM!$A$3:$AH$1849,6,FALSE)</f>
        <v>Electrosurgical Units, Monopolar/Bipolar</v>
      </c>
      <c r="VCY115" s="196" t="s">
        <v>761</v>
      </c>
      <c r="VCZ115" s="197" t="str">
        <f>VLOOKUP(VCY115,[13]AssetDetails_UEM!$A$3:$AH$1849,6,FALSE)</f>
        <v>Electrosurgical Units, Monopolar/Bipolar</v>
      </c>
      <c r="VDA115" s="196" t="s">
        <v>761</v>
      </c>
      <c r="VDB115" s="197" t="str">
        <f>VLOOKUP(VDA115,[13]AssetDetails_UEM!$A$3:$AH$1849,6,FALSE)</f>
        <v>Electrosurgical Units, Monopolar/Bipolar</v>
      </c>
      <c r="VDC115" s="196" t="s">
        <v>761</v>
      </c>
      <c r="VDD115" s="197" t="str">
        <f>VLOOKUP(VDC115,[13]AssetDetails_UEM!$A$3:$AH$1849,6,FALSE)</f>
        <v>Electrosurgical Units, Monopolar/Bipolar</v>
      </c>
      <c r="VDE115" s="196" t="s">
        <v>761</v>
      </c>
      <c r="VDF115" s="197" t="str">
        <f>VLOOKUP(VDE115,[13]AssetDetails_UEM!$A$3:$AH$1849,6,FALSE)</f>
        <v>Electrosurgical Units, Monopolar/Bipolar</v>
      </c>
      <c r="VDG115" s="196" t="s">
        <v>761</v>
      </c>
      <c r="VDH115" s="197" t="str">
        <f>VLOOKUP(VDG115,[13]AssetDetails_UEM!$A$3:$AH$1849,6,FALSE)</f>
        <v>Electrosurgical Units, Monopolar/Bipolar</v>
      </c>
      <c r="VDI115" s="196" t="s">
        <v>761</v>
      </c>
      <c r="VDJ115" s="197" t="str">
        <f>VLOOKUP(VDI115,[13]AssetDetails_UEM!$A$3:$AH$1849,6,FALSE)</f>
        <v>Electrosurgical Units, Monopolar/Bipolar</v>
      </c>
      <c r="VDK115" s="196" t="s">
        <v>761</v>
      </c>
      <c r="VDL115" s="197" t="str">
        <f>VLOOKUP(VDK115,[13]AssetDetails_UEM!$A$3:$AH$1849,6,FALSE)</f>
        <v>Electrosurgical Units, Monopolar/Bipolar</v>
      </c>
      <c r="VDM115" s="196" t="s">
        <v>761</v>
      </c>
      <c r="VDN115" s="197" t="str">
        <f>VLOOKUP(VDM115,[13]AssetDetails_UEM!$A$3:$AH$1849,6,FALSE)</f>
        <v>Electrosurgical Units, Monopolar/Bipolar</v>
      </c>
      <c r="VDO115" s="196" t="s">
        <v>761</v>
      </c>
      <c r="VDP115" s="197" t="str">
        <f>VLOOKUP(VDO115,[13]AssetDetails_UEM!$A$3:$AH$1849,6,FALSE)</f>
        <v>Electrosurgical Units, Monopolar/Bipolar</v>
      </c>
      <c r="VDQ115" s="196" t="s">
        <v>761</v>
      </c>
      <c r="VDR115" s="197" t="str">
        <f>VLOOKUP(VDQ115,[13]AssetDetails_UEM!$A$3:$AH$1849,6,FALSE)</f>
        <v>Electrosurgical Units, Monopolar/Bipolar</v>
      </c>
      <c r="VDS115" s="196" t="s">
        <v>761</v>
      </c>
      <c r="VDT115" s="197" t="str">
        <f>VLOOKUP(VDS115,[13]AssetDetails_UEM!$A$3:$AH$1849,6,FALSE)</f>
        <v>Electrosurgical Units, Monopolar/Bipolar</v>
      </c>
      <c r="VDU115" s="196" t="s">
        <v>761</v>
      </c>
      <c r="VDV115" s="197" t="str">
        <f>VLOOKUP(VDU115,[13]AssetDetails_UEM!$A$3:$AH$1849,6,FALSE)</f>
        <v>Electrosurgical Units, Monopolar/Bipolar</v>
      </c>
      <c r="VDW115" s="196" t="s">
        <v>761</v>
      </c>
      <c r="VDX115" s="197" t="str">
        <f>VLOOKUP(VDW115,[13]AssetDetails_UEM!$A$3:$AH$1849,6,FALSE)</f>
        <v>Electrosurgical Units, Monopolar/Bipolar</v>
      </c>
      <c r="VDY115" s="196" t="s">
        <v>761</v>
      </c>
      <c r="VDZ115" s="197" t="str">
        <f>VLOOKUP(VDY115,[13]AssetDetails_UEM!$A$3:$AH$1849,6,FALSE)</f>
        <v>Electrosurgical Units, Monopolar/Bipolar</v>
      </c>
      <c r="VEA115" s="196" t="s">
        <v>761</v>
      </c>
      <c r="VEB115" s="197" t="str">
        <f>VLOOKUP(VEA115,[13]AssetDetails_UEM!$A$3:$AH$1849,6,FALSE)</f>
        <v>Electrosurgical Units, Monopolar/Bipolar</v>
      </c>
      <c r="VEC115" s="196" t="s">
        <v>761</v>
      </c>
      <c r="VED115" s="197" t="str">
        <f>VLOOKUP(VEC115,[13]AssetDetails_UEM!$A$3:$AH$1849,6,FALSE)</f>
        <v>Electrosurgical Units, Monopolar/Bipolar</v>
      </c>
      <c r="VEE115" s="196" t="s">
        <v>761</v>
      </c>
      <c r="VEF115" s="197" t="str">
        <f>VLOOKUP(VEE115,[13]AssetDetails_UEM!$A$3:$AH$1849,6,FALSE)</f>
        <v>Electrosurgical Units, Monopolar/Bipolar</v>
      </c>
      <c r="VEG115" s="196" t="s">
        <v>761</v>
      </c>
      <c r="VEH115" s="197" t="str">
        <f>VLOOKUP(VEG115,[13]AssetDetails_UEM!$A$3:$AH$1849,6,FALSE)</f>
        <v>Electrosurgical Units, Monopolar/Bipolar</v>
      </c>
      <c r="VEI115" s="196" t="s">
        <v>761</v>
      </c>
      <c r="VEJ115" s="197" t="str">
        <f>VLOOKUP(VEI115,[13]AssetDetails_UEM!$A$3:$AH$1849,6,FALSE)</f>
        <v>Electrosurgical Units, Monopolar/Bipolar</v>
      </c>
      <c r="VEK115" s="196" t="s">
        <v>761</v>
      </c>
      <c r="VEL115" s="197" t="str">
        <f>VLOOKUP(VEK115,[13]AssetDetails_UEM!$A$3:$AH$1849,6,FALSE)</f>
        <v>Electrosurgical Units, Monopolar/Bipolar</v>
      </c>
      <c r="VEM115" s="196" t="s">
        <v>761</v>
      </c>
      <c r="VEN115" s="197" t="str">
        <f>VLOOKUP(VEM115,[13]AssetDetails_UEM!$A$3:$AH$1849,6,FALSE)</f>
        <v>Electrosurgical Units, Monopolar/Bipolar</v>
      </c>
      <c r="VEO115" s="196" t="s">
        <v>761</v>
      </c>
      <c r="VEP115" s="197" t="str">
        <f>VLOOKUP(VEO115,[13]AssetDetails_UEM!$A$3:$AH$1849,6,FALSE)</f>
        <v>Electrosurgical Units, Monopolar/Bipolar</v>
      </c>
      <c r="VEQ115" s="196" t="s">
        <v>761</v>
      </c>
      <c r="VER115" s="197" t="str">
        <f>VLOOKUP(VEQ115,[13]AssetDetails_UEM!$A$3:$AH$1849,6,FALSE)</f>
        <v>Electrosurgical Units, Monopolar/Bipolar</v>
      </c>
      <c r="VES115" s="196" t="s">
        <v>761</v>
      </c>
      <c r="VET115" s="197" t="str">
        <f>VLOOKUP(VES115,[13]AssetDetails_UEM!$A$3:$AH$1849,6,FALSE)</f>
        <v>Electrosurgical Units, Monopolar/Bipolar</v>
      </c>
      <c r="VEU115" s="196" t="s">
        <v>761</v>
      </c>
      <c r="VEV115" s="197" t="str">
        <f>VLOOKUP(VEU115,[13]AssetDetails_UEM!$A$3:$AH$1849,6,FALSE)</f>
        <v>Electrosurgical Units, Monopolar/Bipolar</v>
      </c>
      <c r="VEW115" s="196" t="s">
        <v>761</v>
      </c>
      <c r="VEX115" s="197" t="str">
        <f>VLOOKUP(VEW115,[13]AssetDetails_UEM!$A$3:$AH$1849,6,FALSE)</f>
        <v>Electrosurgical Units, Monopolar/Bipolar</v>
      </c>
      <c r="VEY115" s="196" t="s">
        <v>761</v>
      </c>
      <c r="VEZ115" s="197" t="str">
        <f>VLOOKUP(VEY115,[13]AssetDetails_UEM!$A$3:$AH$1849,6,FALSE)</f>
        <v>Electrosurgical Units, Monopolar/Bipolar</v>
      </c>
      <c r="VFA115" s="196" t="s">
        <v>761</v>
      </c>
      <c r="VFB115" s="197" t="str">
        <f>VLOOKUP(VFA115,[13]AssetDetails_UEM!$A$3:$AH$1849,6,FALSE)</f>
        <v>Electrosurgical Units, Monopolar/Bipolar</v>
      </c>
      <c r="VFC115" s="196" t="s">
        <v>761</v>
      </c>
      <c r="VFD115" s="197" t="str">
        <f>VLOOKUP(VFC115,[13]AssetDetails_UEM!$A$3:$AH$1849,6,FALSE)</f>
        <v>Electrosurgical Units, Monopolar/Bipolar</v>
      </c>
      <c r="VFE115" s="196" t="s">
        <v>761</v>
      </c>
      <c r="VFF115" s="197" t="str">
        <f>VLOOKUP(VFE115,[13]AssetDetails_UEM!$A$3:$AH$1849,6,FALSE)</f>
        <v>Electrosurgical Units, Monopolar/Bipolar</v>
      </c>
      <c r="VFG115" s="196" t="s">
        <v>761</v>
      </c>
      <c r="VFH115" s="197" t="str">
        <f>VLOOKUP(VFG115,[13]AssetDetails_UEM!$A$3:$AH$1849,6,FALSE)</f>
        <v>Electrosurgical Units, Monopolar/Bipolar</v>
      </c>
      <c r="VFI115" s="196" t="s">
        <v>761</v>
      </c>
      <c r="VFJ115" s="197" t="str">
        <f>VLOOKUP(VFI115,[13]AssetDetails_UEM!$A$3:$AH$1849,6,FALSE)</f>
        <v>Electrosurgical Units, Monopolar/Bipolar</v>
      </c>
      <c r="VFK115" s="196" t="s">
        <v>761</v>
      </c>
      <c r="VFL115" s="197" t="str">
        <f>VLOOKUP(VFK115,[13]AssetDetails_UEM!$A$3:$AH$1849,6,FALSE)</f>
        <v>Electrosurgical Units, Monopolar/Bipolar</v>
      </c>
      <c r="VFM115" s="196" t="s">
        <v>761</v>
      </c>
      <c r="VFN115" s="197" t="str">
        <f>VLOOKUP(VFM115,[13]AssetDetails_UEM!$A$3:$AH$1849,6,FALSE)</f>
        <v>Electrosurgical Units, Monopolar/Bipolar</v>
      </c>
      <c r="VFO115" s="196" t="s">
        <v>761</v>
      </c>
      <c r="VFP115" s="197" t="str">
        <f>VLOOKUP(VFO115,[13]AssetDetails_UEM!$A$3:$AH$1849,6,FALSE)</f>
        <v>Electrosurgical Units, Monopolar/Bipolar</v>
      </c>
      <c r="VFQ115" s="196" t="s">
        <v>761</v>
      </c>
      <c r="VFR115" s="197" t="str">
        <f>VLOOKUP(VFQ115,[13]AssetDetails_UEM!$A$3:$AH$1849,6,FALSE)</f>
        <v>Electrosurgical Units, Monopolar/Bipolar</v>
      </c>
      <c r="VFS115" s="196" t="s">
        <v>761</v>
      </c>
      <c r="VFT115" s="197" t="str">
        <f>VLOOKUP(VFS115,[13]AssetDetails_UEM!$A$3:$AH$1849,6,FALSE)</f>
        <v>Electrosurgical Units, Monopolar/Bipolar</v>
      </c>
      <c r="VFU115" s="196" t="s">
        <v>761</v>
      </c>
      <c r="VFV115" s="197" t="str">
        <f>VLOOKUP(VFU115,[13]AssetDetails_UEM!$A$3:$AH$1849,6,FALSE)</f>
        <v>Electrosurgical Units, Monopolar/Bipolar</v>
      </c>
      <c r="VFW115" s="196" t="s">
        <v>761</v>
      </c>
      <c r="VFX115" s="197" t="str">
        <f>VLOOKUP(VFW115,[13]AssetDetails_UEM!$A$3:$AH$1849,6,FALSE)</f>
        <v>Electrosurgical Units, Monopolar/Bipolar</v>
      </c>
      <c r="VFY115" s="196" t="s">
        <v>761</v>
      </c>
      <c r="VFZ115" s="197" t="str">
        <f>VLOOKUP(VFY115,[13]AssetDetails_UEM!$A$3:$AH$1849,6,FALSE)</f>
        <v>Electrosurgical Units, Monopolar/Bipolar</v>
      </c>
      <c r="VGA115" s="196" t="s">
        <v>761</v>
      </c>
      <c r="VGB115" s="197" t="str">
        <f>VLOOKUP(VGA115,[13]AssetDetails_UEM!$A$3:$AH$1849,6,FALSE)</f>
        <v>Electrosurgical Units, Monopolar/Bipolar</v>
      </c>
      <c r="VGC115" s="196" t="s">
        <v>761</v>
      </c>
      <c r="VGD115" s="197" t="str">
        <f>VLOOKUP(VGC115,[13]AssetDetails_UEM!$A$3:$AH$1849,6,FALSE)</f>
        <v>Electrosurgical Units, Monopolar/Bipolar</v>
      </c>
      <c r="VGE115" s="196" t="s">
        <v>761</v>
      </c>
      <c r="VGF115" s="197" t="str">
        <f>VLOOKUP(VGE115,[13]AssetDetails_UEM!$A$3:$AH$1849,6,FALSE)</f>
        <v>Electrosurgical Units, Monopolar/Bipolar</v>
      </c>
      <c r="VGG115" s="196" t="s">
        <v>761</v>
      </c>
      <c r="VGH115" s="197" t="str">
        <f>VLOOKUP(VGG115,[13]AssetDetails_UEM!$A$3:$AH$1849,6,FALSE)</f>
        <v>Electrosurgical Units, Monopolar/Bipolar</v>
      </c>
      <c r="VGI115" s="196" t="s">
        <v>761</v>
      </c>
      <c r="VGJ115" s="197" t="str">
        <f>VLOOKUP(VGI115,[13]AssetDetails_UEM!$A$3:$AH$1849,6,FALSE)</f>
        <v>Electrosurgical Units, Monopolar/Bipolar</v>
      </c>
      <c r="VGK115" s="196" t="s">
        <v>761</v>
      </c>
      <c r="VGL115" s="197" t="str">
        <f>VLOOKUP(VGK115,[13]AssetDetails_UEM!$A$3:$AH$1849,6,FALSE)</f>
        <v>Electrosurgical Units, Monopolar/Bipolar</v>
      </c>
      <c r="VGM115" s="196" t="s">
        <v>761</v>
      </c>
      <c r="VGN115" s="197" t="str">
        <f>VLOOKUP(VGM115,[13]AssetDetails_UEM!$A$3:$AH$1849,6,FALSE)</f>
        <v>Electrosurgical Units, Monopolar/Bipolar</v>
      </c>
      <c r="VGO115" s="196" t="s">
        <v>761</v>
      </c>
      <c r="VGP115" s="197" t="str">
        <f>VLOOKUP(VGO115,[13]AssetDetails_UEM!$A$3:$AH$1849,6,FALSE)</f>
        <v>Electrosurgical Units, Monopolar/Bipolar</v>
      </c>
      <c r="VGQ115" s="196" t="s">
        <v>761</v>
      </c>
      <c r="VGR115" s="197" t="str">
        <f>VLOOKUP(VGQ115,[13]AssetDetails_UEM!$A$3:$AH$1849,6,FALSE)</f>
        <v>Electrosurgical Units, Monopolar/Bipolar</v>
      </c>
      <c r="VGS115" s="196" t="s">
        <v>761</v>
      </c>
      <c r="VGT115" s="197" t="str">
        <f>VLOOKUP(VGS115,[13]AssetDetails_UEM!$A$3:$AH$1849,6,FALSE)</f>
        <v>Electrosurgical Units, Monopolar/Bipolar</v>
      </c>
      <c r="VGU115" s="196" t="s">
        <v>761</v>
      </c>
      <c r="VGV115" s="197" t="str">
        <f>VLOOKUP(VGU115,[13]AssetDetails_UEM!$A$3:$AH$1849,6,FALSE)</f>
        <v>Electrosurgical Units, Monopolar/Bipolar</v>
      </c>
      <c r="VGW115" s="196" t="s">
        <v>761</v>
      </c>
      <c r="VGX115" s="197" t="str">
        <f>VLOOKUP(VGW115,[13]AssetDetails_UEM!$A$3:$AH$1849,6,FALSE)</f>
        <v>Electrosurgical Units, Monopolar/Bipolar</v>
      </c>
      <c r="VGY115" s="196" t="s">
        <v>761</v>
      </c>
      <c r="VGZ115" s="197" t="str">
        <f>VLOOKUP(VGY115,[13]AssetDetails_UEM!$A$3:$AH$1849,6,FALSE)</f>
        <v>Electrosurgical Units, Monopolar/Bipolar</v>
      </c>
      <c r="VHA115" s="196" t="s">
        <v>761</v>
      </c>
      <c r="VHB115" s="197" t="str">
        <f>VLOOKUP(VHA115,[13]AssetDetails_UEM!$A$3:$AH$1849,6,FALSE)</f>
        <v>Electrosurgical Units, Monopolar/Bipolar</v>
      </c>
      <c r="VHC115" s="196" t="s">
        <v>761</v>
      </c>
      <c r="VHD115" s="197" t="str">
        <f>VLOOKUP(VHC115,[13]AssetDetails_UEM!$A$3:$AH$1849,6,FALSE)</f>
        <v>Electrosurgical Units, Monopolar/Bipolar</v>
      </c>
      <c r="VHE115" s="196" t="s">
        <v>761</v>
      </c>
      <c r="VHF115" s="197" t="str">
        <f>VLOOKUP(VHE115,[13]AssetDetails_UEM!$A$3:$AH$1849,6,FALSE)</f>
        <v>Electrosurgical Units, Monopolar/Bipolar</v>
      </c>
      <c r="VHG115" s="196" t="s">
        <v>761</v>
      </c>
      <c r="VHH115" s="197" t="str">
        <f>VLOOKUP(VHG115,[13]AssetDetails_UEM!$A$3:$AH$1849,6,FALSE)</f>
        <v>Electrosurgical Units, Monopolar/Bipolar</v>
      </c>
      <c r="VHI115" s="196" t="s">
        <v>761</v>
      </c>
      <c r="VHJ115" s="197" t="str">
        <f>VLOOKUP(VHI115,[13]AssetDetails_UEM!$A$3:$AH$1849,6,FALSE)</f>
        <v>Electrosurgical Units, Monopolar/Bipolar</v>
      </c>
      <c r="VHK115" s="196" t="s">
        <v>761</v>
      </c>
      <c r="VHL115" s="197" t="str">
        <f>VLOOKUP(VHK115,[13]AssetDetails_UEM!$A$3:$AH$1849,6,FALSE)</f>
        <v>Electrosurgical Units, Monopolar/Bipolar</v>
      </c>
      <c r="VHM115" s="196" t="s">
        <v>761</v>
      </c>
      <c r="VHN115" s="197" t="str">
        <f>VLOOKUP(VHM115,[13]AssetDetails_UEM!$A$3:$AH$1849,6,FALSE)</f>
        <v>Electrosurgical Units, Monopolar/Bipolar</v>
      </c>
      <c r="VHO115" s="196" t="s">
        <v>761</v>
      </c>
      <c r="VHP115" s="197" t="str">
        <f>VLOOKUP(VHO115,[13]AssetDetails_UEM!$A$3:$AH$1849,6,FALSE)</f>
        <v>Electrosurgical Units, Monopolar/Bipolar</v>
      </c>
      <c r="VHQ115" s="196" t="s">
        <v>761</v>
      </c>
      <c r="VHR115" s="197" t="str">
        <f>VLOOKUP(VHQ115,[13]AssetDetails_UEM!$A$3:$AH$1849,6,FALSE)</f>
        <v>Electrosurgical Units, Monopolar/Bipolar</v>
      </c>
      <c r="VHS115" s="196" t="s">
        <v>761</v>
      </c>
      <c r="VHT115" s="197" t="str">
        <f>VLOOKUP(VHS115,[13]AssetDetails_UEM!$A$3:$AH$1849,6,FALSE)</f>
        <v>Electrosurgical Units, Monopolar/Bipolar</v>
      </c>
      <c r="VHU115" s="196" t="s">
        <v>761</v>
      </c>
      <c r="VHV115" s="197" t="str">
        <f>VLOOKUP(VHU115,[13]AssetDetails_UEM!$A$3:$AH$1849,6,FALSE)</f>
        <v>Electrosurgical Units, Monopolar/Bipolar</v>
      </c>
      <c r="VHW115" s="196" t="s">
        <v>761</v>
      </c>
      <c r="VHX115" s="197" t="str">
        <f>VLOOKUP(VHW115,[13]AssetDetails_UEM!$A$3:$AH$1849,6,FALSE)</f>
        <v>Electrosurgical Units, Monopolar/Bipolar</v>
      </c>
      <c r="VHY115" s="196" t="s">
        <v>761</v>
      </c>
      <c r="VHZ115" s="197" t="str">
        <f>VLOOKUP(VHY115,[13]AssetDetails_UEM!$A$3:$AH$1849,6,FALSE)</f>
        <v>Electrosurgical Units, Monopolar/Bipolar</v>
      </c>
      <c r="VIA115" s="196" t="s">
        <v>761</v>
      </c>
      <c r="VIB115" s="197" t="str">
        <f>VLOOKUP(VIA115,[13]AssetDetails_UEM!$A$3:$AH$1849,6,FALSE)</f>
        <v>Electrosurgical Units, Monopolar/Bipolar</v>
      </c>
      <c r="VIC115" s="196" t="s">
        <v>761</v>
      </c>
      <c r="VID115" s="197" t="str">
        <f>VLOOKUP(VIC115,[13]AssetDetails_UEM!$A$3:$AH$1849,6,FALSE)</f>
        <v>Electrosurgical Units, Monopolar/Bipolar</v>
      </c>
      <c r="VIE115" s="196" t="s">
        <v>761</v>
      </c>
      <c r="VIF115" s="197" t="str">
        <f>VLOOKUP(VIE115,[13]AssetDetails_UEM!$A$3:$AH$1849,6,FALSE)</f>
        <v>Electrosurgical Units, Monopolar/Bipolar</v>
      </c>
      <c r="VIG115" s="196" t="s">
        <v>761</v>
      </c>
      <c r="VIH115" s="197" t="str">
        <f>VLOOKUP(VIG115,[13]AssetDetails_UEM!$A$3:$AH$1849,6,FALSE)</f>
        <v>Electrosurgical Units, Monopolar/Bipolar</v>
      </c>
      <c r="VII115" s="196" t="s">
        <v>761</v>
      </c>
      <c r="VIJ115" s="197" t="str">
        <f>VLOOKUP(VII115,[13]AssetDetails_UEM!$A$3:$AH$1849,6,FALSE)</f>
        <v>Electrosurgical Units, Monopolar/Bipolar</v>
      </c>
      <c r="VIK115" s="196" t="s">
        <v>761</v>
      </c>
      <c r="VIL115" s="197" t="str">
        <f>VLOOKUP(VIK115,[13]AssetDetails_UEM!$A$3:$AH$1849,6,FALSE)</f>
        <v>Electrosurgical Units, Monopolar/Bipolar</v>
      </c>
      <c r="VIM115" s="196" t="s">
        <v>761</v>
      </c>
      <c r="VIN115" s="197" t="str">
        <f>VLOOKUP(VIM115,[13]AssetDetails_UEM!$A$3:$AH$1849,6,FALSE)</f>
        <v>Electrosurgical Units, Monopolar/Bipolar</v>
      </c>
      <c r="VIO115" s="196" t="s">
        <v>761</v>
      </c>
      <c r="VIP115" s="197" t="str">
        <f>VLOOKUP(VIO115,[13]AssetDetails_UEM!$A$3:$AH$1849,6,FALSE)</f>
        <v>Electrosurgical Units, Monopolar/Bipolar</v>
      </c>
      <c r="VIQ115" s="196" t="s">
        <v>761</v>
      </c>
      <c r="VIR115" s="197" t="str">
        <f>VLOOKUP(VIQ115,[13]AssetDetails_UEM!$A$3:$AH$1849,6,FALSE)</f>
        <v>Electrosurgical Units, Monopolar/Bipolar</v>
      </c>
      <c r="VIS115" s="196" t="s">
        <v>761</v>
      </c>
      <c r="VIT115" s="197" t="str">
        <f>VLOOKUP(VIS115,[13]AssetDetails_UEM!$A$3:$AH$1849,6,FALSE)</f>
        <v>Electrosurgical Units, Monopolar/Bipolar</v>
      </c>
      <c r="VIU115" s="196" t="s">
        <v>761</v>
      </c>
      <c r="VIV115" s="197" t="str">
        <f>VLOOKUP(VIU115,[13]AssetDetails_UEM!$A$3:$AH$1849,6,FALSE)</f>
        <v>Electrosurgical Units, Monopolar/Bipolar</v>
      </c>
      <c r="VIW115" s="196" t="s">
        <v>761</v>
      </c>
      <c r="VIX115" s="197" t="str">
        <f>VLOOKUP(VIW115,[13]AssetDetails_UEM!$A$3:$AH$1849,6,FALSE)</f>
        <v>Electrosurgical Units, Monopolar/Bipolar</v>
      </c>
      <c r="VIY115" s="196" t="s">
        <v>761</v>
      </c>
      <c r="VIZ115" s="197" t="str">
        <f>VLOOKUP(VIY115,[13]AssetDetails_UEM!$A$3:$AH$1849,6,FALSE)</f>
        <v>Electrosurgical Units, Monopolar/Bipolar</v>
      </c>
      <c r="VJA115" s="196" t="s">
        <v>761</v>
      </c>
      <c r="VJB115" s="197" t="str">
        <f>VLOOKUP(VJA115,[13]AssetDetails_UEM!$A$3:$AH$1849,6,FALSE)</f>
        <v>Electrosurgical Units, Monopolar/Bipolar</v>
      </c>
      <c r="VJC115" s="196" t="s">
        <v>761</v>
      </c>
      <c r="VJD115" s="197" t="str">
        <f>VLOOKUP(VJC115,[13]AssetDetails_UEM!$A$3:$AH$1849,6,FALSE)</f>
        <v>Electrosurgical Units, Monopolar/Bipolar</v>
      </c>
      <c r="VJE115" s="196" t="s">
        <v>761</v>
      </c>
      <c r="VJF115" s="197" t="str">
        <f>VLOOKUP(VJE115,[13]AssetDetails_UEM!$A$3:$AH$1849,6,FALSE)</f>
        <v>Electrosurgical Units, Monopolar/Bipolar</v>
      </c>
      <c r="VJG115" s="196" t="s">
        <v>761</v>
      </c>
      <c r="VJH115" s="197" t="str">
        <f>VLOOKUP(VJG115,[13]AssetDetails_UEM!$A$3:$AH$1849,6,FALSE)</f>
        <v>Electrosurgical Units, Monopolar/Bipolar</v>
      </c>
      <c r="VJI115" s="196" t="s">
        <v>761</v>
      </c>
      <c r="VJJ115" s="197" t="str">
        <f>VLOOKUP(VJI115,[13]AssetDetails_UEM!$A$3:$AH$1849,6,FALSE)</f>
        <v>Electrosurgical Units, Monopolar/Bipolar</v>
      </c>
      <c r="VJK115" s="196" t="s">
        <v>761</v>
      </c>
      <c r="VJL115" s="197" t="str">
        <f>VLOOKUP(VJK115,[13]AssetDetails_UEM!$A$3:$AH$1849,6,FALSE)</f>
        <v>Electrosurgical Units, Monopolar/Bipolar</v>
      </c>
      <c r="VJM115" s="196" t="s">
        <v>761</v>
      </c>
      <c r="VJN115" s="197" t="str">
        <f>VLOOKUP(VJM115,[13]AssetDetails_UEM!$A$3:$AH$1849,6,FALSE)</f>
        <v>Electrosurgical Units, Monopolar/Bipolar</v>
      </c>
      <c r="VJO115" s="196" t="s">
        <v>761</v>
      </c>
      <c r="VJP115" s="197" t="str">
        <f>VLOOKUP(VJO115,[13]AssetDetails_UEM!$A$3:$AH$1849,6,FALSE)</f>
        <v>Electrosurgical Units, Monopolar/Bipolar</v>
      </c>
      <c r="VJQ115" s="196" t="s">
        <v>761</v>
      </c>
      <c r="VJR115" s="197" t="str">
        <f>VLOOKUP(VJQ115,[13]AssetDetails_UEM!$A$3:$AH$1849,6,FALSE)</f>
        <v>Electrosurgical Units, Monopolar/Bipolar</v>
      </c>
      <c r="VJS115" s="196" t="s">
        <v>761</v>
      </c>
      <c r="VJT115" s="197" t="str">
        <f>VLOOKUP(VJS115,[13]AssetDetails_UEM!$A$3:$AH$1849,6,FALSE)</f>
        <v>Electrosurgical Units, Monopolar/Bipolar</v>
      </c>
      <c r="VJU115" s="196" t="s">
        <v>761</v>
      </c>
      <c r="VJV115" s="197" t="str">
        <f>VLOOKUP(VJU115,[13]AssetDetails_UEM!$A$3:$AH$1849,6,FALSE)</f>
        <v>Electrosurgical Units, Monopolar/Bipolar</v>
      </c>
      <c r="VJW115" s="196" t="s">
        <v>761</v>
      </c>
      <c r="VJX115" s="197" t="str">
        <f>VLOOKUP(VJW115,[13]AssetDetails_UEM!$A$3:$AH$1849,6,FALSE)</f>
        <v>Electrosurgical Units, Monopolar/Bipolar</v>
      </c>
      <c r="VJY115" s="196" t="s">
        <v>761</v>
      </c>
      <c r="VJZ115" s="197" t="str">
        <f>VLOOKUP(VJY115,[13]AssetDetails_UEM!$A$3:$AH$1849,6,FALSE)</f>
        <v>Electrosurgical Units, Monopolar/Bipolar</v>
      </c>
      <c r="VKA115" s="196" t="s">
        <v>761</v>
      </c>
      <c r="VKB115" s="197" t="str">
        <f>VLOOKUP(VKA115,[13]AssetDetails_UEM!$A$3:$AH$1849,6,FALSE)</f>
        <v>Electrosurgical Units, Monopolar/Bipolar</v>
      </c>
      <c r="VKC115" s="196" t="s">
        <v>761</v>
      </c>
      <c r="VKD115" s="197" t="str">
        <f>VLOOKUP(VKC115,[13]AssetDetails_UEM!$A$3:$AH$1849,6,FALSE)</f>
        <v>Electrosurgical Units, Monopolar/Bipolar</v>
      </c>
      <c r="VKE115" s="196" t="s">
        <v>761</v>
      </c>
      <c r="VKF115" s="197" t="str">
        <f>VLOOKUP(VKE115,[13]AssetDetails_UEM!$A$3:$AH$1849,6,FALSE)</f>
        <v>Electrosurgical Units, Monopolar/Bipolar</v>
      </c>
      <c r="VKG115" s="196" t="s">
        <v>761</v>
      </c>
      <c r="VKH115" s="197" t="str">
        <f>VLOOKUP(VKG115,[13]AssetDetails_UEM!$A$3:$AH$1849,6,FALSE)</f>
        <v>Electrosurgical Units, Monopolar/Bipolar</v>
      </c>
      <c r="VKI115" s="196" t="s">
        <v>761</v>
      </c>
      <c r="VKJ115" s="197" t="str">
        <f>VLOOKUP(VKI115,[13]AssetDetails_UEM!$A$3:$AH$1849,6,FALSE)</f>
        <v>Electrosurgical Units, Monopolar/Bipolar</v>
      </c>
      <c r="VKK115" s="196" t="s">
        <v>761</v>
      </c>
      <c r="VKL115" s="197" t="str">
        <f>VLOOKUP(VKK115,[13]AssetDetails_UEM!$A$3:$AH$1849,6,FALSE)</f>
        <v>Electrosurgical Units, Monopolar/Bipolar</v>
      </c>
      <c r="VKM115" s="196" t="s">
        <v>761</v>
      </c>
      <c r="VKN115" s="197" t="str">
        <f>VLOOKUP(VKM115,[13]AssetDetails_UEM!$A$3:$AH$1849,6,FALSE)</f>
        <v>Electrosurgical Units, Monopolar/Bipolar</v>
      </c>
      <c r="VKO115" s="196" t="s">
        <v>761</v>
      </c>
      <c r="VKP115" s="197" t="str">
        <f>VLOOKUP(VKO115,[13]AssetDetails_UEM!$A$3:$AH$1849,6,FALSE)</f>
        <v>Electrosurgical Units, Monopolar/Bipolar</v>
      </c>
      <c r="VKQ115" s="196" t="s">
        <v>761</v>
      </c>
      <c r="VKR115" s="197" t="str">
        <f>VLOOKUP(VKQ115,[13]AssetDetails_UEM!$A$3:$AH$1849,6,FALSE)</f>
        <v>Electrosurgical Units, Monopolar/Bipolar</v>
      </c>
      <c r="VKS115" s="196" t="s">
        <v>761</v>
      </c>
      <c r="VKT115" s="197" t="str">
        <f>VLOOKUP(VKS115,[13]AssetDetails_UEM!$A$3:$AH$1849,6,FALSE)</f>
        <v>Electrosurgical Units, Monopolar/Bipolar</v>
      </c>
      <c r="VKU115" s="196" t="s">
        <v>761</v>
      </c>
      <c r="VKV115" s="197" t="str">
        <f>VLOOKUP(VKU115,[13]AssetDetails_UEM!$A$3:$AH$1849,6,FALSE)</f>
        <v>Electrosurgical Units, Monopolar/Bipolar</v>
      </c>
      <c r="VKW115" s="196" t="s">
        <v>761</v>
      </c>
      <c r="VKX115" s="197" t="str">
        <f>VLOOKUP(VKW115,[13]AssetDetails_UEM!$A$3:$AH$1849,6,FALSE)</f>
        <v>Electrosurgical Units, Monopolar/Bipolar</v>
      </c>
      <c r="VKY115" s="196" t="s">
        <v>761</v>
      </c>
      <c r="VKZ115" s="197" t="str">
        <f>VLOOKUP(VKY115,[13]AssetDetails_UEM!$A$3:$AH$1849,6,FALSE)</f>
        <v>Electrosurgical Units, Monopolar/Bipolar</v>
      </c>
      <c r="VLA115" s="196" t="s">
        <v>761</v>
      </c>
      <c r="VLB115" s="197" t="str">
        <f>VLOOKUP(VLA115,[13]AssetDetails_UEM!$A$3:$AH$1849,6,FALSE)</f>
        <v>Electrosurgical Units, Monopolar/Bipolar</v>
      </c>
      <c r="VLC115" s="196" t="s">
        <v>761</v>
      </c>
      <c r="VLD115" s="197" t="str">
        <f>VLOOKUP(VLC115,[13]AssetDetails_UEM!$A$3:$AH$1849,6,FALSE)</f>
        <v>Electrosurgical Units, Monopolar/Bipolar</v>
      </c>
      <c r="VLE115" s="196" t="s">
        <v>761</v>
      </c>
      <c r="VLF115" s="197" t="str">
        <f>VLOOKUP(VLE115,[13]AssetDetails_UEM!$A$3:$AH$1849,6,FALSE)</f>
        <v>Electrosurgical Units, Monopolar/Bipolar</v>
      </c>
      <c r="VLG115" s="196" t="s">
        <v>761</v>
      </c>
      <c r="VLH115" s="197" t="str">
        <f>VLOOKUP(VLG115,[13]AssetDetails_UEM!$A$3:$AH$1849,6,FALSE)</f>
        <v>Electrosurgical Units, Monopolar/Bipolar</v>
      </c>
      <c r="VLI115" s="196" t="s">
        <v>761</v>
      </c>
      <c r="VLJ115" s="197" t="str">
        <f>VLOOKUP(VLI115,[13]AssetDetails_UEM!$A$3:$AH$1849,6,FALSE)</f>
        <v>Electrosurgical Units, Monopolar/Bipolar</v>
      </c>
      <c r="VLK115" s="196" t="s">
        <v>761</v>
      </c>
      <c r="VLL115" s="197" t="str">
        <f>VLOOKUP(VLK115,[13]AssetDetails_UEM!$A$3:$AH$1849,6,FALSE)</f>
        <v>Electrosurgical Units, Monopolar/Bipolar</v>
      </c>
      <c r="VLM115" s="196" t="s">
        <v>761</v>
      </c>
      <c r="VLN115" s="197" t="str">
        <f>VLOOKUP(VLM115,[13]AssetDetails_UEM!$A$3:$AH$1849,6,FALSE)</f>
        <v>Electrosurgical Units, Monopolar/Bipolar</v>
      </c>
      <c r="VLO115" s="196" t="s">
        <v>761</v>
      </c>
      <c r="VLP115" s="197" t="str">
        <f>VLOOKUP(VLO115,[13]AssetDetails_UEM!$A$3:$AH$1849,6,FALSE)</f>
        <v>Electrosurgical Units, Monopolar/Bipolar</v>
      </c>
      <c r="VLQ115" s="196" t="s">
        <v>761</v>
      </c>
      <c r="VLR115" s="197" t="str">
        <f>VLOOKUP(VLQ115,[13]AssetDetails_UEM!$A$3:$AH$1849,6,FALSE)</f>
        <v>Electrosurgical Units, Monopolar/Bipolar</v>
      </c>
      <c r="VLS115" s="196" t="s">
        <v>761</v>
      </c>
      <c r="VLT115" s="197" t="str">
        <f>VLOOKUP(VLS115,[13]AssetDetails_UEM!$A$3:$AH$1849,6,FALSE)</f>
        <v>Electrosurgical Units, Monopolar/Bipolar</v>
      </c>
      <c r="VLU115" s="196" t="s">
        <v>761</v>
      </c>
      <c r="VLV115" s="197" t="str">
        <f>VLOOKUP(VLU115,[13]AssetDetails_UEM!$A$3:$AH$1849,6,FALSE)</f>
        <v>Electrosurgical Units, Monopolar/Bipolar</v>
      </c>
      <c r="VLW115" s="196" t="s">
        <v>761</v>
      </c>
      <c r="VLX115" s="197" t="str">
        <f>VLOOKUP(VLW115,[13]AssetDetails_UEM!$A$3:$AH$1849,6,FALSE)</f>
        <v>Electrosurgical Units, Monopolar/Bipolar</v>
      </c>
      <c r="VLY115" s="196" t="s">
        <v>761</v>
      </c>
      <c r="VLZ115" s="197" t="str">
        <f>VLOOKUP(VLY115,[13]AssetDetails_UEM!$A$3:$AH$1849,6,FALSE)</f>
        <v>Electrosurgical Units, Monopolar/Bipolar</v>
      </c>
      <c r="VMA115" s="196" t="s">
        <v>761</v>
      </c>
      <c r="VMB115" s="197" t="str">
        <f>VLOOKUP(VMA115,[13]AssetDetails_UEM!$A$3:$AH$1849,6,FALSE)</f>
        <v>Electrosurgical Units, Monopolar/Bipolar</v>
      </c>
      <c r="VMC115" s="196" t="s">
        <v>761</v>
      </c>
      <c r="VMD115" s="197" t="str">
        <f>VLOOKUP(VMC115,[13]AssetDetails_UEM!$A$3:$AH$1849,6,FALSE)</f>
        <v>Electrosurgical Units, Monopolar/Bipolar</v>
      </c>
      <c r="VME115" s="196" t="s">
        <v>761</v>
      </c>
      <c r="VMF115" s="197" t="str">
        <f>VLOOKUP(VME115,[13]AssetDetails_UEM!$A$3:$AH$1849,6,FALSE)</f>
        <v>Electrosurgical Units, Monopolar/Bipolar</v>
      </c>
      <c r="VMG115" s="196" t="s">
        <v>761</v>
      </c>
      <c r="VMH115" s="197" t="str">
        <f>VLOOKUP(VMG115,[13]AssetDetails_UEM!$A$3:$AH$1849,6,FALSE)</f>
        <v>Electrosurgical Units, Monopolar/Bipolar</v>
      </c>
      <c r="VMI115" s="196" t="s">
        <v>761</v>
      </c>
      <c r="VMJ115" s="197" t="str">
        <f>VLOOKUP(VMI115,[13]AssetDetails_UEM!$A$3:$AH$1849,6,FALSE)</f>
        <v>Electrosurgical Units, Monopolar/Bipolar</v>
      </c>
      <c r="VMK115" s="196" t="s">
        <v>761</v>
      </c>
      <c r="VML115" s="197" t="str">
        <f>VLOOKUP(VMK115,[13]AssetDetails_UEM!$A$3:$AH$1849,6,FALSE)</f>
        <v>Electrosurgical Units, Monopolar/Bipolar</v>
      </c>
      <c r="VMM115" s="196" t="s">
        <v>761</v>
      </c>
      <c r="VMN115" s="197" t="str">
        <f>VLOOKUP(VMM115,[13]AssetDetails_UEM!$A$3:$AH$1849,6,FALSE)</f>
        <v>Electrosurgical Units, Monopolar/Bipolar</v>
      </c>
      <c r="VMO115" s="196" t="s">
        <v>761</v>
      </c>
      <c r="VMP115" s="197" t="str">
        <f>VLOOKUP(VMO115,[13]AssetDetails_UEM!$A$3:$AH$1849,6,FALSE)</f>
        <v>Electrosurgical Units, Monopolar/Bipolar</v>
      </c>
      <c r="VMQ115" s="196" t="s">
        <v>761</v>
      </c>
      <c r="VMR115" s="197" t="str">
        <f>VLOOKUP(VMQ115,[13]AssetDetails_UEM!$A$3:$AH$1849,6,FALSE)</f>
        <v>Electrosurgical Units, Monopolar/Bipolar</v>
      </c>
      <c r="VMS115" s="196" t="s">
        <v>761</v>
      </c>
      <c r="VMT115" s="197" t="str">
        <f>VLOOKUP(VMS115,[13]AssetDetails_UEM!$A$3:$AH$1849,6,FALSE)</f>
        <v>Electrosurgical Units, Monopolar/Bipolar</v>
      </c>
      <c r="VMU115" s="196" t="s">
        <v>761</v>
      </c>
      <c r="VMV115" s="197" t="str">
        <f>VLOOKUP(VMU115,[13]AssetDetails_UEM!$A$3:$AH$1849,6,FALSE)</f>
        <v>Electrosurgical Units, Monopolar/Bipolar</v>
      </c>
      <c r="VMW115" s="196" t="s">
        <v>761</v>
      </c>
      <c r="VMX115" s="197" t="str">
        <f>VLOOKUP(VMW115,[13]AssetDetails_UEM!$A$3:$AH$1849,6,FALSE)</f>
        <v>Electrosurgical Units, Monopolar/Bipolar</v>
      </c>
      <c r="VMY115" s="196" t="s">
        <v>761</v>
      </c>
      <c r="VMZ115" s="197" t="str">
        <f>VLOOKUP(VMY115,[13]AssetDetails_UEM!$A$3:$AH$1849,6,FALSE)</f>
        <v>Electrosurgical Units, Monopolar/Bipolar</v>
      </c>
      <c r="VNA115" s="196" t="s">
        <v>761</v>
      </c>
      <c r="VNB115" s="197" t="str">
        <f>VLOOKUP(VNA115,[13]AssetDetails_UEM!$A$3:$AH$1849,6,FALSE)</f>
        <v>Electrosurgical Units, Monopolar/Bipolar</v>
      </c>
      <c r="VNC115" s="196" t="s">
        <v>761</v>
      </c>
      <c r="VND115" s="197" t="str">
        <f>VLOOKUP(VNC115,[13]AssetDetails_UEM!$A$3:$AH$1849,6,FALSE)</f>
        <v>Electrosurgical Units, Monopolar/Bipolar</v>
      </c>
      <c r="VNE115" s="196" t="s">
        <v>761</v>
      </c>
      <c r="VNF115" s="197" t="str">
        <f>VLOOKUP(VNE115,[13]AssetDetails_UEM!$A$3:$AH$1849,6,FALSE)</f>
        <v>Electrosurgical Units, Monopolar/Bipolar</v>
      </c>
      <c r="VNG115" s="196" t="s">
        <v>761</v>
      </c>
      <c r="VNH115" s="197" t="str">
        <f>VLOOKUP(VNG115,[13]AssetDetails_UEM!$A$3:$AH$1849,6,FALSE)</f>
        <v>Electrosurgical Units, Monopolar/Bipolar</v>
      </c>
      <c r="VNI115" s="196" t="s">
        <v>761</v>
      </c>
      <c r="VNJ115" s="197" t="str">
        <f>VLOOKUP(VNI115,[13]AssetDetails_UEM!$A$3:$AH$1849,6,FALSE)</f>
        <v>Electrosurgical Units, Monopolar/Bipolar</v>
      </c>
      <c r="VNK115" s="196" t="s">
        <v>761</v>
      </c>
      <c r="VNL115" s="197" t="str">
        <f>VLOOKUP(VNK115,[13]AssetDetails_UEM!$A$3:$AH$1849,6,FALSE)</f>
        <v>Electrosurgical Units, Monopolar/Bipolar</v>
      </c>
      <c r="VNM115" s="196" t="s">
        <v>761</v>
      </c>
      <c r="VNN115" s="197" t="str">
        <f>VLOOKUP(VNM115,[13]AssetDetails_UEM!$A$3:$AH$1849,6,FALSE)</f>
        <v>Electrosurgical Units, Monopolar/Bipolar</v>
      </c>
      <c r="VNO115" s="196" t="s">
        <v>761</v>
      </c>
      <c r="VNP115" s="197" t="str">
        <f>VLOOKUP(VNO115,[13]AssetDetails_UEM!$A$3:$AH$1849,6,FALSE)</f>
        <v>Electrosurgical Units, Monopolar/Bipolar</v>
      </c>
      <c r="VNQ115" s="196" t="s">
        <v>761</v>
      </c>
      <c r="VNR115" s="197" t="str">
        <f>VLOOKUP(VNQ115,[13]AssetDetails_UEM!$A$3:$AH$1849,6,FALSE)</f>
        <v>Electrosurgical Units, Monopolar/Bipolar</v>
      </c>
      <c r="VNS115" s="196" t="s">
        <v>761</v>
      </c>
      <c r="VNT115" s="197" t="str">
        <f>VLOOKUP(VNS115,[13]AssetDetails_UEM!$A$3:$AH$1849,6,FALSE)</f>
        <v>Electrosurgical Units, Monopolar/Bipolar</v>
      </c>
      <c r="VNU115" s="196" t="s">
        <v>761</v>
      </c>
      <c r="VNV115" s="197" t="str">
        <f>VLOOKUP(VNU115,[13]AssetDetails_UEM!$A$3:$AH$1849,6,FALSE)</f>
        <v>Electrosurgical Units, Monopolar/Bipolar</v>
      </c>
      <c r="VNW115" s="196" t="s">
        <v>761</v>
      </c>
      <c r="VNX115" s="197" t="str">
        <f>VLOOKUP(VNW115,[13]AssetDetails_UEM!$A$3:$AH$1849,6,FALSE)</f>
        <v>Electrosurgical Units, Monopolar/Bipolar</v>
      </c>
      <c r="VNY115" s="196" t="s">
        <v>761</v>
      </c>
      <c r="VNZ115" s="197" t="str">
        <f>VLOOKUP(VNY115,[13]AssetDetails_UEM!$A$3:$AH$1849,6,FALSE)</f>
        <v>Electrosurgical Units, Monopolar/Bipolar</v>
      </c>
      <c r="VOA115" s="196" t="s">
        <v>761</v>
      </c>
      <c r="VOB115" s="197" t="str">
        <f>VLOOKUP(VOA115,[13]AssetDetails_UEM!$A$3:$AH$1849,6,FALSE)</f>
        <v>Electrosurgical Units, Monopolar/Bipolar</v>
      </c>
      <c r="VOC115" s="196" t="s">
        <v>761</v>
      </c>
      <c r="VOD115" s="197" t="str">
        <f>VLOOKUP(VOC115,[13]AssetDetails_UEM!$A$3:$AH$1849,6,FALSE)</f>
        <v>Electrosurgical Units, Monopolar/Bipolar</v>
      </c>
      <c r="VOE115" s="196" t="s">
        <v>761</v>
      </c>
      <c r="VOF115" s="197" t="str">
        <f>VLOOKUP(VOE115,[13]AssetDetails_UEM!$A$3:$AH$1849,6,FALSE)</f>
        <v>Electrosurgical Units, Monopolar/Bipolar</v>
      </c>
      <c r="VOG115" s="196" t="s">
        <v>761</v>
      </c>
      <c r="VOH115" s="197" t="str">
        <f>VLOOKUP(VOG115,[13]AssetDetails_UEM!$A$3:$AH$1849,6,FALSE)</f>
        <v>Electrosurgical Units, Monopolar/Bipolar</v>
      </c>
      <c r="VOI115" s="196" t="s">
        <v>761</v>
      </c>
      <c r="VOJ115" s="197" t="str">
        <f>VLOOKUP(VOI115,[13]AssetDetails_UEM!$A$3:$AH$1849,6,FALSE)</f>
        <v>Electrosurgical Units, Monopolar/Bipolar</v>
      </c>
      <c r="VOK115" s="196" t="s">
        <v>761</v>
      </c>
      <c r="VOL115" s="197" t="str">
        <f>VLOOKUP(VOK115,[13]AssetDetails_UEM!$A$3:$AH$1849,6,FALSE)</f>
        <v>Electrosurgical Units, Monopolar/Bipolar</v>
      </c>
      <c r="VOM115" s="196" t="s">
        <v>761</v>
      </c>
      <c r="VON115" s="197" t="str">
        <f>VLOOKUP(VOM115,[13]AssetDetails_UEM!$A$3:$AH$1849,6,FALSE)</f>
        <v>Electrosurgical Units, Monopolar/Bipolar</v>
      </c>
      <c r="VOO115" s="196" t="s">
        <v>761</v>
      </c>
      <c r="VOP115" s="197" t="str">
        <f>VLOOKUP(VOO115,[13]AssetDetails_UEM!$A$3:$AH$1849,6,FALSE)</f>
        <v>Electrosurgical Units, Monopolar/Bipolar</v>
      </c>
      <c r="VOQ115" s="196" t="s">
        <v>761</v>
      </c>
      <c r="VOR115" s="197" t="str">
        <f>VLOOKUP(VOQ115,[13]AssetDetails_UEM!$A$3:$AH$1849,6,FALSE)</f>
        <v>Electrosurgical Units, Monopolar/Bipolar</v>
      </c>
      <c r="VOS115" s="196" t="s">
        <v>761</v>
      </c>
      <c r="VOT115" s="197" t="str">
        <f>VLOOKUP(VOS115,[13]AssetDetails_UEM!$A$3:$AH$1849,6,FALSE)</f>
        <v>Electrosurgical Units, Monopolar/Bipolar</v>
      </c>
      <c r="VOU115" s="196" t="s">
        <v>761</v>
      </c>
      <c r="VOV115" s="197" t="str">
        <f>VLOOKUP(VOU115,[13]AssetDetails_UEM!$A$3:$AH$1849,6,FALSE)</f>
        <v>Electrosurgical Units, Monopolar/Bipolar</v>
      </c>
      <c r="VOW115" s="196" t="s">
        <v>761</v>
      </c>
      <c r="VOX115" s="197" t="str">
        <f>VLOOKUP(VOW115,[13]AssetDetails_UEM!$A$3:$AH$1849,6,FALSE)</f>
        <v>Electrosurgical Units, Monopolar/Bipolar</v>
      </c>
      <c r="VOY115" s="196" t="s">
        <v>761</v>
      </c>
      <c r="VOZ115" s="197" t="str">
        <f>VLOOKUP(VOY115,[13]AssetDetails_UEM!$A$3:$AH$1849,6,FALSE)</f>
        <v>Electrosurgical Units, Monopolar/Bipolar</v>
      </c>
      <c r="VPA115" s="196" t="s">
        <v>761</v>
      </c>
      <c r="VPB115" s="197" t="str">
        <f>VLOOKUP(VPA115,[13]AssetDetails_UEM!$A$3:$AH$1849,6,FALSE)</f>
        <v>Electrosurgical Units, Monopolar/Bipolar</v>
      </c>
      <c r="VPC115" s="196" t="s">
        <v>761</v>
      </c>
      <c r="VPD115" s="197" t="str">
        <f>VLOOKUP(VPC115,[13]AssetDetails_UEM!$A$3:$AH$1849,6,FALSE)</f>
        <v>Electrosurgical Units, Monopolar/Bipolar</v>
      </c>
      <c r="VPE115" s="196" t="s">
        <v>761</v>
      </c>
      <c r="VPF115" s="197" t="str">
        <f>VLOOKUP(VPE115,[13]AssetDetails_UEM!$A$3:$AH$1849,6,FALSE)</f>
        <v>Electrosurgical Units, Monopolar/Bipolar</v>
      </c>
      <c r="VPG115" s="196" t="s">
        <v>761</v>
      </c>
      <c r="VPH115" s="197" t="str">
        <f>VLOOKUP(VPG115,[13]AssetDetails_UEM!$A$3:$AH$1849,6,FALSE)</f>
        <v>Electrosurgical Units, Monopolar/Bipolar</v>
      </c>
      <c r="VPI115" s="196" t="s">
        <v>761</v>
      </c>
      <c r="VPJ115" s="197" t="str">
        <f>VLOOKUP(VPI115,[13]AssetDetails_UEM!$A$3:$AH$1849,6,FALSE)</f>
        <v>Electrosurgical Units, Monopolar/Bipolar</v>
      </c>
      <c r="VPK115" s="196" t="s">
        <v>761</v>
      </c>
      <c r="VPL115" s="197" t="str">
        <f>VLOOKUP(VPK115,[13]AssetDetails_UEM!$A$3:$AH$1849,6,FALSE)</f>
        <v>Electrosurgical Units, Monopolar/Bipolar</v>
      </c>
      <c r="VPM115" s="196" t="s">
        <v>761</v>
      </c>
      <c r="VPN115" s="197" t="str">
        <f>VLOOKUP(VPM115,[13]AssetDetails_UEM!$A$3:$AH$1849,6,FALSE)</f>
        <v>Electrosurgical Units, Monopolar/Bipolar</v>
      </c>
      <c r="VPO115" s="196" t="s">
        <v>761</v>
      </c>
      <c r="VPP115" s="197" t="str">
        <f>VLOOKUP(VPO115,[13]AssetDetails_UEM!$A$3:$AH$1849,6,FALSE)</f>
        <v>Electrosurgical Units, Monopolar/Bipolar</v>
      </c>
      <c r="VPQ115" s="196" t="s">
        <v>761</v>
      </c>
      <c r="VPR115" s="197" t="str">
        <f>VLOOKUP(VPQ115,[13]AssetDetails_UEM!$A$3:$AH$1849,6,FALSE)</f>
        <v>Electrosurgical Units, Monopolar/Bipolar</v>
      </c>
      <c r="VPS115" s="196" t="s">
        <v>761</v>
      </c>
      <c r="VPT115" s="197" t="str">
        <f>VLOOKUP(VPS115,[13]AssetDetails_UEM!$A$3:$AH$1849,6,FALSE)</f>
        <v>Electrosurgical Units, Monopolar/Bipolar</v>
      </c>
      <c r="VPU115" s="196" t="s">
        <v>761</v>
      </c>
      <c r="VPV115" s="197" t="str">
        <f>VLOOKUP(VPU115,[13]AssetDetails_UEM!$A$3:$AH$1849,6,FALSE)</f>
        <v>Electrosurgical Units, Monopolar/Bipolar</v>
      </c>
      <c r="VPW115" s="196" t="s">
        <v>761</v>
      </c>
      <c r="VPX115" s="197" t="str">
        <f>VLOOKUP(VPW115,[13]AssetDetails_UEM!$A$3:$AH$1849,6,FALSE)</f>
        <v>Electrosurgical Units, Monopolar/Bipolar</v>
      </c>
      <c r="VPY115" s="196" t="s">
        <v>761</v>
      </c>
      <c r="VPZ115" s="197" t="str">
        <f>VLOOKUP(VPY115,[13]AssetDetails_UEM!$A$3:$AH$1849,6,FALSE)</f>
        <v>Electrosurgical Units, Monopolar/Bipolar</v>
      </c>
      <c r="VQA115" s="196" t="s">
        <v>761</v>
      </c>
      <c r="VQB115" s="197" t="str">
        <f>VLOOKUP(VQA115,[13]AssetDetails_UEM!$A$3:$AH$1849,6,FALSE)</f>
        <v>Electrosurgical Units, Monopolar/Bipolar</v>
      </c>
      <c r="VQC115" s="196" t="s">
        <v>761</v>
      </c>
      <c r="VQD115" s="197" t="str">
        <f>VLOOKUP(VQC115,[13]AssetDetails_UEM!$A$3:$AH$1849,6,FALSE)</f>
        <v>Electrosurgical Units, Monopolar/Bipolar</v>
      </c>
      <c r="VQE115" s="196" t="s">
        <v>761</v>
      </c>
      <c r="VQF115" s="197" t="str">
        <f>VLOOKUP(VQE115,[13]AssetDetails_UEM!$A$3:$AH$1849,6,FALSE)</f>
        <v>Electrosurgical Units, Monopolar/Bipolar</v>
      </c>
      <c r="VQG115" s="196" t="s">
        <v>761</v>
      </c>
      <c r="VQH115" s="197" t="str">
        <f>VLOOKUP(VQG115,[13]AssetDetails_UEM!$A$3:$AH$1849,6,FALSE)</f>
        <v>Electrosurgical Units, Monopolar/Bipolar</v>
      </c>
      <c r="VQI115" s="196" t="s">
        <v>761</v>
      </c>
      <c r="VQJ115" s="197" t="str">
        <f>VLOOKUP(VQI115,[13]AssetDetails_UEM!$A$3:$AH$1849,6,FALSE)</f>
        <v>Electrosurgical Units, Monopolar/Bipolar</v>
      </c>
      <c r="VQK115" s="196" t="s">
        <v>761</v>
      </c>
      <c r="VQL115" s="197" t="str">
        <f>VLOOKUP(VQK115,[13]AssetDetails_UEM!$A$3:$AH$1849,6,FALSE)</f>
        <v>Electrosurgical Units, Monopolar/Bipolar</v>
      </c>
      <c r="VQM115" s="196" t="s">
        <v>761</v>
      </c>
      <c r="VQN115" s="197" t="str">
        <f>VLOOKUP(VQM115,[13]AssetDetails_UEM!$A$3:$AH$1849,6,FALSE)</f>
        <v>Electrosurgical Units, Monopolar/Bipolar</v>
      </c>
      <c r="VQO115" s="196" t="s">
        <v>761</v>
      </c>
      <c r="VQP115" s="197" t="str">
        <f>VLOOKUP(VQO115,[13]AssetDetails_UEM!$A$3:$AH$1849,6,FALSE)</f>
        <v>Electrosurgical Units, Monopolar/Bipolar</v>
      </c>
      <c r="VQQ115" s="196" t="s">
        <v>761</v>
      </c>
      <c r="VQR115" s="197" t="str">
        <f>VLOOKUP(VQQ115,[13]AssetDetails_UEM!$A$3:$AH$1849,6,FALSE)</f>
        <v>Electrosurgical Units, Monopolar/Bipolar</v>
      </c>
      <c r="VQS115" s="196" t="s">
        <v>761</v>
      </c>
      <c r="VQT115" s="197" t="str">
        <f>VLOOKUP(VQS115,[13]AssetDetails_UEM!$A$3:$AH$1849,6,FALSE)</f>
        <v>Electrosurgical Units, Monopolar/Bipolar</v>
      </c>
      <c r="VQU115" s="196" t="s">
        <v>761</v>
      </c>
      <c r="VQV115" s="197" t="str">
        <f>VLOOKUP(VQU115,[13]AssetDetails_UEM!$A$3:$AH$1849,6,FALSE)</f>
        <v>Electrosurgical Units, Monopolar/Bipolar</v>
      </c>
      <c r="VQW115" s="196" t="s">
        <v>761</v>
      </c>
      <c r="VQX115" s="197" t="str">
        <f>VLOOKUP(VQW115,[13]AssetDetails_UEM!$A$3:$AH$1849,6,FALSE)</f>
        <v>Electrosurgical Units, Monopolar/Bipolar</v>
      </c>
      <c r="VQY115" s="196" t="s">
        <v>761</v>
      </c>
      <c r="VQZ115" s="197" t="str">
        <f>VLOOKUP(VQY115,[13]AssetDetails_UEM!$A$3:$AH$1849,6,FALSE)</f>
        <v>Electrosurgical Units, Monopolar/Bipolar</v>
      </c>
      <c r="VRA115" s="196" t="s">
        <v>761</v>
      </c>
      <c r="VRB115" s="197" t="str">
        <f>VLOOKUP(VRA115,[13]AssetDetails_UEM!$A$3:$AH$1849,6,FALSE)</f>
        <v>Electrosurgical Units, Monopolar/Bipolar</v>
      </c>
      <c r="VRC115" s="196" t="s">
        <v>761</v>
      </c>
      <c r="VRD115" s="197" t="str">
        <f>VLOOKUP(VRC115,[13]AssetDetails_UEM!$A$3:$AH$1849,6,FALSE)</f>
        <v>Electrosurgical Units, Monopolar/Bipolar</v>
      </c>
      <c r="VRE115" s="196" t="s">
        <v>761</v>
      </c>
      <c r="VRF115" s="197" t="str">
        <f>VLOOKUP(VRE115,[13]AssetDetails_UEM!$A$3:$AH$1849,6,FALSE)</f>
        <v>Electrosurgical Units, Monopolar/Bipolar</v>
      </c>
      <c r="VRG115" s="196" t="s">
        <v>761</v>
      </c>
      <c r="VRH115" s="197" t="str">
        <f>VLOOKUP(VRG115,[13]AssetDetails_UEM!$A$3:$AH$1849,6,FALSE)</f>
        <v>Electrosurgical Units, Monopolar/Bipolar</v>
      </c>
      <c r="VRI115" s="196" t="s">
        <v>761</v>
      </c>
      <c r="VRJ115" s="197" t="str">
        <f>VLOOKUP(VRI115,[13]AssetDetails_UEM!$A$3:$AH$1849,6,FALSE)</f>
        <v>Electrosurgical Units, Monopolar/Bipolar</v>
      </c>
      <c r="VRK115" s="196" t="s">
        <v>761</v>
      </c>
      <c r="VRL115" s="197" t="str">
        <f>VLOOKUP(VRK115,[13]AssetDetails_UEM!$A$3:$AH$1849,6,FALSE)</f>
        <v>Electrosurgical Units, Monopolar/Bipolar</v>
      </c>
      <c r="VRM115" s="196" t="s">
        <v>761</v>
      </c>
      <c r="VRN115" s="197" t="str">
        <f>VLOOKUP(VRM115,[13]AssetDetails_UEM!$A$3:$AH$1849,6,FALSE)</f>
        <v>Electrosurgical Units, Monopolar/Bipolar</v>
      </c>
      <c r="VRO115" s="196" t="s">
        <v>761</v>
      </c>
      <c r="VRP115" s="197" t="str">
        <f>VLOOKUP(VRO115,[13]AssetDetails_UEM!$A$3:$AH$1849,6,FALSE)</f>
        <v>Electrosurgical Units, Monopolar/Bipolar</v>
      </c>
      <c r="VRQ115" s="196" t="s">
        <v>761</v>
      </c>
      <c r="VRR115" s="197" t="str">
        <f>VLOOKUP(VRQ115,[13]AssetDetails_UEM!$A$3:$AH$1849,6,FALSE)</f>
        <v>Electrosurgical Units, Monopolar/Bipolar</v>
      </c>
      <c r="VRS115" s="196" t="s">
        <v>761</v>
      </c>
      <c r="VRT115" s="197" t="str">
        <f>VLOOKUP(VRS115,[13]AssetDetails_UEM!$A$3:$AH$1849,6,FALSE)</f>
        <v>Electrosurgical Units, Monopolar/Bipolar</v>
      </c>
      <c r="VRU115" s="196" t="s">
        <v>761</v>
      </c>
      <c r="VRV115" s="197" t="str">
        <f>VLOOKUP(VRU115,[13]AssetDetails_UEM!$A$3:$AH$1849,6,FALSE)</f>
        <v>Electrosurgical Units, Monopolar/Bipolar</v>
      </c>
      <c r="VRW115" s="196" t="s">
        <v>761</v>
      </c>
      <c r="VRX115" s="197" t="str">
        <f>VLOOKUP(VRW115,[13]AssetDetails_UEM!$A$3:$AH$1849,6,FALSE)</f>
        <v>Electrosurgical Units, Monopolar/Bipolar</v>
      </c>
      <c r="VRY115" s="196" t="s">
        <v>761</v>
      </c>
      <c r="VRZ115" s="197" t="str">
        <f>VLOOKUP(VRY115,[13]AssetDetails_UEM!$A$3:$AH$1849,6,FALSE)</f>
        <v>Electrosurgical Units, Monopolar/Bipolar</v>
      </c>
      <c r="VSA115" s="196" t="s">
        <v>761</v>
      </c>
      <c r="VSB115" s="197" t="str">
        <f>VLOOKUP(VSA115,[13]AssetDetails_UEM!$A$3:$AH$1849,6,FALSE)</f>
        <v>Electrosurgical Units, Monopolar/Bipolar</v>
      </c>
      <c r="VSC115" s="196" t="s">
        <v>761</v>
      </c>
      <c r="VSD115" s="197" t="str">
        <f>VLOOKUP(VSC115,[13]AssetDetails_UEM!$A$3:$AH$1849,6,FALSE)</f>
        <v>Electrosurgical Units, Monopolar/Bipolar</v>
      </c>
      <c r="VSE115" s="196" t="s">
        <v>761</v>
      </c>
      <c r="VSF115" s="197" t="str">
        <f>VLOOKUP(VSE115,[13]AssetDetails_UEM!$A$3:$AH$1849,6,FALSE)</f>
        <v>Electrosurgical Units, Monopolar/Bipolar</v>
      </c>
      <c r="VSG115" s="196" t="s">
        <v>761</v>
      </c>
      <c r="VSH115" s="197" t="str">
        <f>VLOOKUP(VSG115,[13]AssetDetails_UEM!$A$3:$AH$1849,6,FALSE)</f>
        <v>Electrosurgical Units, Monopolar/Bipolar</v>
      </c>
      <c r="VSI115" s="196" t="s">
        <v>761</v>
      </c>
      <c r="VSJ115" s="197" t="str">
        <f>VLOOKUP(VSI115,[13]AssetDetails_UEM!$A$3:$AH$1849,6,FALSE)</f>
        <v>Electrosurgical Units, Monopolar/Bipolar</v>
      </c>
      <c r="VSK115" s="196" t="s">
        <v>761</v>
      </c>
      <c r="VSL115" s="197" t="str">
        <f>VLOOKUP(VSK115,[13]AssetDetails_UEM!$A$3:$AH$1849,6,FALSE)</f>
        <v>Electrosurgical Units, Monopolar/Bipolar</v>
      </c>
      <c r="VSM115" s="196" t="s">
        <v>761</v>
      </c>
      <c r="VSN115" s="197" t="str">
        <f>VLOOKUP(VSM115,[13]AssetDetails_UEM!$A$3:$AH$1849,6,FALSE)</f>
        <v>Electrosurgical Units, Monopolar/Bipolar</v>
      </c>
      <c r="VSO115" s="196" t="s">
        <v>761</v>
      </c>
      <c r="VSP115" s="197" t="str">
        <f>VLOOKUP(VSO115,[13]AssetDetails_UEM!$A$3:$AH$1849,6,FALSE)</f>
        <v>Electrosurgical Units, Monopolar/Bipolar</v>
      </c>
      <c r="VSQ115" s="196" t="s">
        <v>761</v>
      </c>
      <c r="VSR115" s="197" t="str">
        <f>VLOOKUP(VSQ115,[13]AssetDetails_UEM!$A$3:$AH$1849,6,FALSE)</f>
        <v>Electrosurgical Units, Monopolar/Bipolar</v>
      </c>
      <c r="VSS115" s="196" t="s">
        <v>761</v>
      </c>
      <c r="VST115" s="197" t="str">
        <f>VLOOKUP(VSS115,[13]AssetDetails_UEM!$A$3:$AH$1849,6,FALSE)</f>
        <v>Electrosurgical Units, Monopolar/Bipolar</v>
      </c>
      <c r="VSU115" s="196" t="s">
        <v>761</v>
      </c>
      <c r="VSV115" s="197" t="str">
        <f>VLOOKUP(VSU115,[13]AssetDetails_UEM!$A$3:$AH$1849,6,FALSE)</f>
        <v>Electrosurgical Units, Monopolar/Bipolar</v>
      </c>
      <c r="VSW115" s="196" t="s">
        <v>761</v>
      </c>
      <c r="VSX115" s="197" t="str">
        <f>VLOOKUP(VSW115,[13]AssetDetails_UEM!$A$3:$AH$1849,6,FALSE)</f>
        <v>Electrosurgical Units, Monopolar/Bipolar</v>
      </c>
      <c r="VSY115" s="196" t="s">
        <v>761</v>
      </c>
      <c r="VSZ115" s="197" t="str">
        <f>VLOOKUP(VSY115,[13]AssetDetails_UEM!$A$3:$AH$1849,6,FALSE)</f>
        <v>Electrosurgical Units, Monopolar/Bipolar</v>
      </c>
      <c r="VTA115" s="196" t="s">
        <v>761</v>
      </c>
      <c r="VTB115" s="197" t="str">
        <f>VLOOKUP(VTA115,[13]AssetDetails_UEM!$A$3:$AH$1849,6,FALSE)</f>
        <v>Electrosurgical Units, Monopolar/Bipolar</v>
      </c>
      <c r="VTC115" s="196" t="s">
        <v>761</v>
      </c>
      <c r="VTD115" s="197" t="str">
        <f>VLOOKUP(VTC115,[13]AssetDetails_UEM!$A$3:$AH$1849,6,FALSE)</f>
        <v>Electrosurgical Units, Monopolar/Bipolar</v>
      </c>
      <c r="VTE115" s="196" t="s">
        <v>761</v>
      </c>
      <c r="VTF115" s="197" t="str">
        <f>VLOOKUP(VTE115,[13]AssetDetails_UEM!$A$3:$AH$1849,6,FALSE)</f>
        <v>Electrosurgical Units, Monopolar/Bipolar</v>
      </c>
      <c r="VTG115" s="196" t="s">
        <v>761</v>
      </c>
      <c r="VTH115" s="197" t="str">
        <f>VLOOKUP(VTG115,[13]AssetDetails_UEM!$A$3:$AH$1849,6,FALSE)</f>
        <v>Electrosurgical Units, Monopolar/Bipolar</v>
      </c>
      <c r="VTI115" s="196" t="s">
        <v>761</v>
      </c>
      <c r="VTJ115" s="197" t="str">
        <f>VLOOKUP(VTI115,[13]AssetDetails_UEM!$A$3:$AH$1849,6,FALSE)</f>
        <v>Electrosurgical Units, Monopolar/Bipolar</v>
      </c>
      <c r="VTK115" s="196" t="s">
        <v>761</v>
      </c>
      <c r="VTL115" s="197" t="str">
        <f>VLOOKUP(VTK115,[13]AssetDetails_UEM!$A$3:$AH$1849,6,FALSE)</f>
        <v>Electrosurgical Units, Monopolar/Bipolar</v>
      </c>
      <c r="VTM115" s="196" t="s">
        <v>761</v>
      </c>
      <c r="VTN115" s="197" t="str">
        <f>VLOOKUP(VTM115,[13]AssetDetails_UEM!$A$3:$AH$1849,6,FALSE)</f>
        <v>Electrosurgical Units, Monopolar/Bipolar</v>
      </c>
      <c r="VTO115" s="196" t="s">
        <v>761</v>
      </c>
      <c r="VTP115" s="197" t="str">
        <f>VLOOKUP(VTO115,[13]AssetDetails_UEM!$A$3:$AH$1849,6,FALSE)</f>
        <v>Electrosurgical Units, Monopolar/Bipolar</v>
      </c>
      <c r="VTQ115" s="196" t="s">
        <v>761</v>
      </c>
      <c r="VTR115" s="197" t="str">
        <f>VLOOKUP(VTQ115,[13]AssetDetails_UEM!$A$3:$AH$1849,6,FALSE)</f>
        <v>Electrosurgical Units, Monopolar/Bipolar</v>
      </c>
      <c r="VTS115" s="196" t="s">
        <v>761</v>
      </c>
      <c r="VTT115" s="197" t="str">
        <f>VLOOKUP(VTS115,[13]AssetDetails_UEM!$A$3:$AH$1849,6,FALSE)</f>
        <v>Electrosurgical Units, Monopolar/Bipolar</v>
      </c>
      <c r="VTU115" s="196" t="s">
        <v>761</v>
      </c>
      <c r="VTV115" s="197" t="str">
        <f>VLOOKUP(VTU115,[13]AssetDetails_UEM!$A$3:$AH$1849,6,FALSE)</f>
        <v>Electrosurgical Units, Monopolar/Bipolar</v>
      </c>
      <c r="VTW115" s="196" t="s">
        <v>761</v>
      </c>
      <c r="VTX115" s="197" t="str">
        <f>VLOOKUP(VTW115,[13]AssetDetails_UEM!$A$3:$AH$1849,6,FALSE)</f>
        <v>Electrosurgical Units, Monopolar/Bipolar</v>
      </c>
      <c r="VTY115" s="196" t="s">
        <v>761</v>
      </c>
      <c r="VTZ115" s="197" t="str">
        <f>VLOOKUP(VTY115,[13]AssetDetails_UEM!$A$3:$AH$1849,6,FALSE)</f>
        <v>Electrosurgical Units, Monopolar/Bipolar</v>
      </c>
      <c r="VUA115" s="196" t="s">
        <v>761</v>
      </c>
      <c r="VUB115" s="197" t="str">
        <f>VLOOKUP(VUA115,[13]AssetDetails_UEM!$A$3:$AH$1849,6,FALSE)</f>
        <v>Electrosurgical Units, Monopolar/Bipolar</v>
      </c>
      <c r="VUC115" s="196" t="s">
        <v>761</v>
      </c>
      <c r="VUD115" s="197" t="str">
        <f>VLOOKUP(VUC115,[13]AssetDetails_UEM!$A$3:$AH$1849,6,FALSE)</f>
        <v>Electrosurgical Units, Monopolar/Bipolar</v>
      </c>
      <c r="VUE115" s="196" t="s">
        <v>761</v>
      </c>
      <c r="VUF115" s="197" t="str">
        <f>VLOOKUP(VUE115,[13]AssetDetails_UEM!$A$3:$AH$1849,6,FALSE)</f>
        <v>Electrosurgical Units, Monopolar/Bipolar</v>
      </c>
      <c r="VUG115" s="196" t="s">
        <v>761</v>
      </c>
      <c r="VUH115" s="197" t="str">
        <f>VLOOKUP(VUG115,[13]AssetDetails_UEM!$A$3:$AH$1849,6,FALSE)</f>
        <v>Electrosurgical Units, Monopolar/Bipolar</v>
      </c>
      <c r="VUI115" s="196" t="s">
        <v>761</v>
      </c>
      <c r="VUJ115" s="197" t="str">
        <f>VLOOKUP(VUI115,[13]AssetDetails_UEM!$A$3:$AH$1849,6,FALSE)</f>
        <v>Electrosurgical Units, Monopolar/Bipolar</v>
      </c>
      <c r="VUK115" s="196" t="s">
        <v>761</v>
      </c>
      <c r="VUL115" s="197" t="str">
        <f>VLOOKUP(VUK115,[13]AssetDetails_UEM!$A$3:$AH$1849,6,FALSE)</f>
        <v>Electrosurgical Units, Monopolar/Bipolar</v>
      </c>
      <c r="VUM115" s="196" t="s">
        <v>761</v>
      </c>
      <c r="VUN115" s="197" t="str">
        <f>VLOOKUP(VUM115,[13]AssetDetails_UEM!$A$3:$AH$1849,6,FALSE)</f>
        <v>Electrosurgical Units, Monopolar/Bipolar</v>
      </c>
      <c r="VUO115" s="196" t="s">
        <v>761</v>
      </c>
      <c r="VUP115" s="197" t="str">
        <f>VLOOKUP(VUO115,[13]AssetDetails_UEM!$A$3:$AH$1849,6,FALSE)</f>
        <v>Electrosurgical Units, Monopolar/Bipolar</v>
      </c>
      <c r="VUQ115" s="196" t="s">
        <v>761</v>
      </c>
      <c r="VUR115" s="197" t="str">
        <f>VLOOKUP(VUQ115,[13]AssetDetails_UEM!$A$3:$AH$1849,6,FALSE)</f>
        <v>Electrosurgical Units, Monopolar/Bipolar</v>
      </c>
      <c r="VUS115" s="196" t="s">
        <v>761</v>
      </c>
      <c r="VUT115" s="197" t="str">
        <f>VLOOKUP(VUS115,[13]AssetDetails_UEM!$A$3:$AH$1849,6,FALSE)</f>
        <v>Electrosurgical Units, Monopolar/Bipolar</v>
      </c>
      <c r="VUU115" s="196" t="s">
        <v>761</v>
      </c>
      <c r="VUV115" s="197" t="str">
        <f>VLOOKUP(VUU115,[13]AssetDetails_UEM!$A$3:$AH$1849,6,FALSE)</f>
        <v>Electrosurgical Units, Monopolar/Bipolar</v>
      </c>
      <c r="VUW115" s="196" t="s">
        <v>761</v>
      </c>
      <c r="VUX115" s="197" t="str">
        <f>VLOOKUP(VUW115,[13]AssetDetails_UEM!$A$3:$AH$1849,6,FALSE)</f>
        <v>Electrosurgical Units, Monopolar/Bipolar</v>
      </c>
      <c r="VUY115" s="196" t="s">
        <v>761</v>
      </c>
      <c r="VUZ115" s="197" t="str">
        <f>VLOOKUP(VUY115,[13]AssetDetails_UEM!$A$3:$AH$1849,6,FALSE)</f>
        <v>Electrosurgical Units, Monopolar/Bipolar</v>
      </c>
      <c r="VVA115" s="196" t="s">
        <v>761</v>
      </c>
      <c r="VVB115" s="197" t="str">
        <f>VLOOKUP(VVA115,[13]AssetDetails_UEM!$A$3:$AH$1849,6,FALSE)</f>
        <v>Electrosurgical Units, Monopolar/Bipolar</v>
      </c>
      <c r="VVC115" s="196" t="s">
        <v>761</v>
      </c>
      <c r="VVD115" s="197" t="str">
        <f>VLOOKUP(VVC115,[13]AssetDetails_UEM!$A$3:$AH$1849,6,FALSE)</f>
        <v>Electrosurgical Units, Monopolar/Bipolar</v>
      </c>
      <c r="VVE115" s="196" t="s">
        <v>761</v>
      </c>
      <c r="VVF115" s="197" t="str">
        <f>VLOOKUP(VVE115,[13]AssetDetails_UEM!$A$3:$AH$1849,6,FALSE)</f>
        <v>Electrosurgical Units, Monopolar/Bipolar</v>
      </c>
      <c r="VVG115" s="196" t="s">
        <v>761</v>
      </c>
      <c r="VVH115" s="197" t="str">
        <f>VLOOKUP(VVG115,[13]AssetDetails_UEM!$A$3:$AH$1849,6,FALSE)</f>
        <v>Electrosurgical Units, Monopolar/Bipolar</v>
      </c>
      <c r="VVI115" s="196" t="s">
        <v>761</v>
      </c>
      <c r="VVJ115" s="197" t="str">
        <f>VLOOKUP(VVI115,[13]AssetDetails_UEM!$A$3:$AH$1849,6,FALSE)</f>
        <v>Electrosurgical Units, Monopolar/Bipolar</v>
      </c>
      <c r="VVK115" s="196" t="s">
        <v>761</v>
      </c>
      <c r="VVL115" s="197" t="str">
        <f>VLOOKUP(VVK115,[13]AssetDetails_UEM!$A$3:$AH$1849,6,FALSE)</f>
        <v>Electrosurgical Units, Monopolar/Bipolar</v>
      </c>
      <c r="VVM115" s="196" t="s">
        <v>761</v>
      </c>
      <c r="VVN115" s="197" t="str">
        <f>VLOOKUP(VVM115,[13]AssetDetails_UEM!$A$3:$AH$1849,6,FALSE)</f>
        <v>Electrosurgical Units, Monopolar/Bipolar</v>
      </c>
      <c r="VVO115" s="196" t="s">
        <v>761</v>
      </c>
      <c r="VVP115" s="197" t="str">
        <f>VLOOKUP(VVO115,[13]AssetDetails_UEM!$A$3:$AH$1849,6,FALSE)</f>
        <v>Electrosurgical Units, Monopolar/Bipolar</v>
      </c>
      <c r="VVQ115" s="196" t="s">
        <v>761</v>
      </c>
      <c r="VVR115" s="197" t="str">
        <f>VLOOKUP(VVQ115,[13]AssetDetails_UEM!$A$3:$AH$1849,6,FALSE)</f>
        <v>Electrosurgical Units, Monopolar/Bipolar</v>
      </c>
      <c r="VVS115" s="196" t="s">
        <v>761</v>
      </c>
      <c r="VVT115" s="197" t="str">
        <f>VLOOKUP(VVS115,[13]AssetDetails_UEM!$A$3:$AH$1849,6,FALSE)</f>
        <v>Electrosurgical Units, Monopolar/Bipolar</v>
      </c>
      <c r="VVU115" s="196" t="s">
        <v>761</v>
      </c>
      <c r="VVV115" s="197" t="str">
        <f>VLOOKUP(VVU115,[13]AssetDetails_UEM!$A$3:$AH$1849,6,FALSE)</f>
        <v>Electrosurgical Units, Monopolar/Bipolar</v>
      </c>
      <c r="VVW115" s="196" t="s">
        <v>761</v>
      </c>
      <c r="VVX115" s="197" t="str">
        <f>VLOOKUP(VVW115,[13]AssetDetails_UEM!$A$3:$AH$1849,6,FALSE)</f>
        <v>Electrosurgical Units, Monopolar/Bipolar</v>
      </c>
      <c r="VVY115" s="196" t="s">
        <v>761</v>
      </c>
      <c r="VVZ115" s="197" t="str">
        <f>VLOOKUP(VVY115,[13]AssetDetails_UEM!$A$3:$AH$1849,6,FALSE)</f>
        <v>Electrosurgical Units, Monopolar/Bipolar</v>
      </c>
      <c r="VWA115" s="196" t="s">
        <v>761</v>
      </c>
      <c r="VWB115" s="197" t="str">
        <f>VLOOKUP(VWA115,[13]AssetDetails_UEM!$A$3:$AH$1849,6,FALSE)</f>
        <v>Electrosurgical Units, Monopolar/Bipolar</v>
      </c>
      <c r="VWC115" s="196" t="s">
        <v>761</v>
      </c>
      <c r="VWD115" s="197" t="str">
        <f>VLOOKUP(VWC115,[13]AssetDetails_UEM!$A$3:$AH$1849,6,FALSE)</f>
        <v>Electrosurgical Units, Monopolar/Bipolar</v>
      </c>
      <c r="VWE115" s="196" t="s">
        <v>761</v>
      </c>
      <c r="VWF115" s="197" t="str">
        <f>VLOOKUP(VWE115,[13]AssetDetails_UEM!$A$3:$AH$1849,6,FALSE)</f>
        <v>Electrosurgical Units, Monopolar/Bipolar</v>
      </c>
      <c r="VWG115" s="196" t="s">
        <v>761</v>
      </c>
      <c r="VWH115" s="197" t="str">
        <f>VLOOKUP(VWG115,[13]AssetDetails_UEM!$A$3:$AH$1849,6,FALSE)</f>
        <v>Electrosurgical Units, Monopolar/Bipolar</v>
      </c>
      <c r="VWI115" s="196" t="s">
        <v>761</v>
      </c>
      <c r="VWJ115" s="197" t="str">
        <f>VLOOKUP(VWI115,[13]AssetDetails_UEM!$A$3:$AH$1849,6,FALSE)</f>
        <v>Electrosurgical Units, Monopolar/Bipolar</v>
      </c>
      <c r="VWK115" s="196" t="s">
        <v>761</v>
      </c>
      <c r="VWL115" s="197" t="str">
        <f>VLOOKUP(VWK115,[13]AssetDetails_UEM!$A$3:$AH$1849,6,FALSE)</f>
        <v>Electrosurgical Units, Monopolar/Bipolar</v>
      </c>
      <c r="VWM115" s="196" t="s">
        <v>761</v>
      </c>
      <c r="VWN115" s="197" t="str">
        <f>VLOOKUP(VWM115,[13]AssetDetails_UEM!$A$3:$AH$1849,6,FALSE)</f>
        <v>Electrosurgical Units, Monopolar/Bipolar</v>
      </c>
      <c r="VWO115" s="196" t="s">
        <v>761</v>
      </c>
      <c r="VWP115" s="197" t="str">
        <f>VLOOKUP(VWO115,[13]AssetDetails_UEM!$A$3:$AH$1849,6,FALSE)</f>
        <v>Electrosurgical Units, Monopolar/Bipolar</v>
      </c>
      <c r="VWQ115" s="196" t="s">
        <v>761</v>
      </c>
      <c r="VWR115" s="197" t="str">
        <f>VLOOKUP(VWQ115,[13]AssetDetails_UEM!$A$3:$AH$1849,6,FALSE)</f>
        <v>Electrosurgical Units, Monopolar/Bipolar</v>
      </c>
      <c r="VWS115" s="196" t="s">
        <v>761</v>
      </c>
      <c r="VWT115" s="197" t="str">
        <f>VLOOKUP(VWS115,[13]AssetDetails_UEM!$A$3:$AH$1849,6,FALSE)</f>
        <v>Electrosurgical Units, Monopolar/Bipolar</v>
      </c>
      <c r="VWU115" s="196" t="s">
        <v>761</v>
      </c>
      <c r="VWV115" s="197" t="str">
        <f>VLOOKUP(VWU115,[13]AssetDetails_UEM!$A$3:$AH$1849,6,FALSE)</f>
        <v>Electrosurgical Units, Monopolar/Bipolar</v>
      </c>
      <c r="VWW115" s="196" t="s">
        <v>761</v>
      </c>
      <c r="VWX115" s="197" t="str">
        <f>VLOOKUP(VWW115,[13]AssetDetails_UEM!$A$3:$AH$1849,6,FALSE)</f>
        <v>Electrosurgical Units, Monopolar/Bipolar</v>
      </c>
      <c r="VWY115" s="196" t="s">
        <v>761</v>
      </c>
      <c r="VWZ115" s="197" t="str">
        <f>VLOOKUP(VWY115,[13]AssetDetails_UEM!$A$3:$AH$1849,6,FALSE)</f>
        <v>Electrosurgical Units, Monopolar/Bipolar</v>
      </c>
      <c r="VXA115" s="196" t="s">
        <v>761</v>
      </c>
      <c r="VXB115" s="197" t="str">
        <f>VLOOKUP(VXA115,[13]AssetDetails_UEM!$A$3:$AH$1849,6,FALSE)</f>
        <v>Electrosurgical Units, Monopolar/Bipolar</v>
      </c>
      <c r="VXC115" s="196" t="s">
        <v>761</v>
      </c>
      <c r="VXD115" s="197" t="str">
        <f>VLOOKUP(VXC115,[13]AssetDetails_UEM!$A$3:$AH$1849,6,FALSE)</f>
        <v>Electrosurgical Units, Monopolar/Bipolar</v>
      </c>
      <c r="VXE115" s="196" t="s">
        <v>761</v>
      </c>
      <c r="VXF115" s="197" t="str">
        <f>VLOOKUP(VXE115,[13]AssetDetails_UEM!$A$3:$AH$1849,6,FALSE)</f>
        <v>Electrosurgical Units, Monopolar/Bipolar</v>
      </c>
      <c r="VXG115" s="196" t="s">
        <v>761</v>
      </c>
      <c r="VXH115" s="197" t="str">
        <f>VLOOKUP(VXG115,[13]AssetDetails_UEM!$A$3:$AH$1849,6,FALSE)</f>
        <v>Electrosurgical Units, Monopolar/Bipolar</v>
      </c>
      <c r="VXI115" s="196" t="s">
        <v>761</v>
      </c>
      <c r="VXJ115" s="197" t="str">
        <f>VLOOKUP(VXI115,[13]AssetDetails_UEM!$A$3:$AH$1849,6,FALSE)</f>
        <v>Electrosurgical Units, Monopolar/Bipolar</v>
      </c>
      <c r="VXK115" s="196" t="s">
        <v>761</v>
      </c>
      <c r="VXL115" s="197" t="str">
        <f>VLOOKUP(VXK115,[13]AssetDetails_UEM!$A$3:$AH$1849,6,FALSE)</f>
        <v>Electrosurgical Units, Monopolar/Bipolar</v>
      </c>
      <c r="VXM115" s="196" t="s">
        <v>761</v>
      </c>
      <c r="VXN115" s="197" t="str">
        <f>VLOOKUP(VXM115,[13]AssetDetails_UEM!$A$3:$AH$1849,6,FALSE)</f>
        <v>Electrosurgical Units, Monopolar/Bipolar</v>
      </c>
      <c r="VXO115" s="196" t="s">
        <v>761</v>
      </c>
      <c r="VXP115" s="197" t="str">
        <f>VLOOKUP(VXO115,[13]AssetDetails_UEM!$A$3:$AH$1849,6,FALSE)</f>
        <v>Electrosurgical Units, Monopolar/Bipolar</v>
      </c>
      <c r="VXQ115" s="196" t="s">
        <v>761</v>
      </c>
      <c r="VXR115" s="197" t="str">
        <f>VLOOKUP(VXQ115,[13]AssetDetails_UEM!$A$3:$AH$1849,6,FALSE)</f>
        <v>Electrosurgical Units, Monopolar/Bipolar</v>
      </c>
      <c r="VXS115" s="196" t="s">
        <v>761</v>
      </c>
      <c r="VXT115" s="197" t="str">
        <f>VLOOKUP(VXS115,[13]AssetDetails_UEM!$A$3:$AH$1849,6,FALSE)</f>
        <v>Electrosurgical Units, Monopolar/Bipolar</v>
      </c>
      <c r="VXU115" s="196" t="s">
        <v>761</v>
      </c>
      <c r="VXV115" s="197" t="str">
        <f>VLOOKUP(VXU115,[13]AssetDetails_UEM!$A$3:$AH$1849,6,FALSE)</f>
        <v>Electrosurgical Units, Monopolar/Bipolar</v>
      </c>
      <c r="VXW115" s="196" t="s">
        <v>761</v>
      </c>
      <c r="VXX115" s="197" t="str">
        <f>VLOOKUP(VXW115,[13]AssetDetails_UEM!$A$3:$AH$1849,6,FALSE)</f>
        <v>Electrosurgical Units, Monopolar/Bipolar</v>
      </c>
      <c r="VXY115" s="196" t="s">
        <v>761</v>
      </c>
      <c r="VXZ115" s="197" t="str">
        <f>VLOOKUP(VXY115,[13]AssetDetails_UEM!$A$3:$AH$1849,6,FALSE)</f>
        <v>Electrosurgical Units, Monopolar/Bipolar</v>
      </c>
      <c r="VYA115" s="196" t="s">
        <v>761</v>
      </c>
      <c r="VYB115" s="197" t="str">
        <f>VLOOKUP(VYA115,[13]AssetDetails_UEM!$A$3:$AH$1849,6,FALSE)</f>
        <v>Electrosurgical Units, Monopolar/Bipolar</v>
      </c>
      <c r="VYC115" s="196" t="s">
        <v>761</v>
      </c>
      <c r="VYD115" s="197" t="str">
        <f>VLOOKUP(VYC115,[13]AssetDetails_UEM!$A$3:$AH$1849,6,FALSE)</f>
        <v>Electrosurgical Units, Monopolar/Bipolar</v>
      </c>
      <c r="VYE115" s="196" t="s">
        <v>761</v>
      </c>
      <c r="VYF115" s="197" t="str">
        <f>VLOOKUP(VYE115,[13]AssetDetails_UEM!$A$3:$AH$1849,6,FALSE)</f>
        <v>Electrosurgical Units, Monopolar/Bipolar</v>
      </c>
      <c r="VYG115" s="196" t="s">
        <v>761</v>
      </c>
      <c r="VYH115" s="197" t="str">
        <f>VLOOKUP(VYG115,[13]AssetDetails_UEM!$A$3:$AH$1849,6,FALSE)</f>
        <v>Electrosurgical Units, Monopolar/Bipolar</v>
      </c>
      <c r="VYI115" s="196" t="s">
        <v>761</v>
      </c>
      <c r="VYJ115" s="197" t="str">
        <f>VLOOKUP(VYI115,[13]AssetDetails_UEM!$A$3:$AH$1849,6,FALSE)</f>
        <v>Electrosurgical Units, Monopolar/Bipolar</v>
      </c>
      <c r="VYK115" s="196" t="s">
        <v>761</v>
      </c>
      <c r="VYL115" s="197" t="str">
        <f>VLOOKUP(VYK115,[13]AssetDetails_UEM!$A$3:$AH$1849,6,FALSE)</f>
        <v>Electrosurgical Units, Monopolar/Bipolar</v>
      </c>
      <c r="VYM115" s="196" t="s">
        <v>761</v>
      </c>
      <c r="VYN115" s="197" t="str">
        <f>VLOOKUP(VYM115,[13]AssetDetails_UEM!$A$3:$AH$1849,6,FALSE)</f>
        <v>Electrosurgical Units, Monopolar/Bipolar</v>
      </c>
      <c r="VYO115" s="196" t="s">
        <v>761</v>
      </c>
      <c r="VYP115" s="197" t="str">
        <f>VLOOKUP(VYO115,[13]AssetDetails_UEM!$A$3:$AH$1849,6,FALSE)</f>
        <v>Electrosurgical Units, Monopolar/Bipolar</v>
      </c>
      <c r="VYQ115" s="196" t="s">
        <v>761</v>
      </c>
      <c r="VYR115" s="197" t="str">
        <f>VLOOKUP(VYQ115,[13]AssetDetails_UEM!$A$3:$AH$1849,6,FALSE)</f>
        <v>Electrosurgical Units, Monopolar/Bipolar</v>
      </c>
      <c r="VYS115" s="196" t="s">
        <v>761</v>
      </c>
      <c r="VYT115" s="197" t="str">
        <f>VLOOKUP(VYS115,[13]AssetDetails_UEM!$A$3:$AH$1849,6,FALSE)</f>
        <v>Electrosurgical Units, Monopolar/Bipolar</v>
      </c>
      <c r="VYU115" s="196" t="s">
        <v>761</v>
      </c>
      <c r="VYV115" s="197" t="str">
        <f>VLOOKUP(VYU115,[13]AssetDetails_UEM!$A$3:$AH$1849,6,FALSE)</f>
        <v>Electrosurgical Units, Monopolar/Bipolar</v>
      </c>
      <c r="VYW115" s="196" t="s">
        <v>761</v>
      </c>
      <c r="VYX115" s="197" t="str">
        <f>VLOOKUP(VYW115,[13]AssetDetails_UEM!$A$3:$AH$1849,6,FALSE)</f>
        <v>Electrosurgical Units, Monopolar/Bipolar</v>
      </c>
      <c r="VYY115" s="196" t="s">
        <v>761</v>
      </c>
      <c r="VYZ115" s="197" t="str">
        <f>VLOOKUP(VYY115,[13]AssetDetails_UEM!$A$3:$AH$1849,6,FALSE)</f>
        <v>Electrosurgical Units, Monopolar/Bipolar</v>
      </c>
      <c r="VZA115" s="196" t="s">
        <v>761</v>
      </c>
      <c r="VZB115" s="197" t="str">
        <f>VLOOKUP(VZA115,[13]AssetDetails_UEM!$A$3:$AH$1849,6,FALSE)</f>
        <v>Electrosurgical Units, Monopolar/Bipolar</v>
      </c>
      <c r="VZC115" s="196" t="s">
        <v>761</v>
      </c>
      <c r="VZD115" s="197" t="str">
        <f>VLOOKUP(VZC115,[13]AssetDetails_UEM!$A$3:$AH$1849,6,FALSE)</f>
        <v>Electrosurgical Units, Monopolar/Bipolar</v>
      </c>
      <c r="VZE115" s="196" t="s">
        <v>761</v>
      </c>
      <c r="VZF115" s="197" t="str">
        <f>VLOOKUP(VZE115,[13]AssetDetails_UEM!$A$3:$AH$1849,6,FALSE)</f>
        <v>Electrosurgical Units, Monopolar/Bipolar</v>
      </c>
      <c r="VZG115" s="196" t="s">
        <v>761</v>
      </c>
      <c r="VZH115" s="197" t="str">
        <f>VLOOKUP(VZG115,[13]AssetDetails_UEM!$A$3:$AH$1849,6,FALSE)</f>
        <v>Electrosurgical Units, Monopolar/Bipolar</v>
      </c>
      <c r="VZI115" s="196" t="s">
        <v>761</v>
      </c>
      <c r="VZJ115" s="197" t="str">
        <f>VLOOKUP(VZI115,[13]AssetDetails_UEM!$A$3:$AH$1849,6,FALSE)</f>
        <v>Electrosurgical Units, Monopolar/Bipolar</v>
      </c>
      <c r="VZK115" s="196" t="s">
        <v>761</v>
      </c>
      <c r="VZL115" s="197" t="str">
        <f>VLOOKUP(VZK115,[13]AssetDetails_UEM!$A$3:$AH$1849,6,FALSE)</f>
        <v>Electrosurgical Units, Monopolar/Bipolar</v>
      </c>
      <c r="VZM115" s="196" t="s">
        <v>761</v>
      </c>
      <c r="VZN115" s="197" t="str">
        <f>VLOOKUP(VZM115,[13]AssetDetails_UEM!$A$3:$AH$1849,6,FALSE)</f>
        <v>Electrosurgical Units, Monopolar/Bipolar</v>
      </c>
      <c r="VZO115" s="196" t="s">
        <v>761</v>
      </c>
      <c r="VZP115" s="197" t="str">
        <f>VLOOKUP(VZO115,[13]AssetDetails_UEM!$A$3:$AH$1849,6,FALSE)</f>
        <v>Electrosurgical Units, Monopolar/Bipolar</v>
      </c>
      <c r="VZQ115" s="196" t="s">
        <v>761</v>
      </c>
      <c r="VZR115" s="197" t="str">
        <f>VLOOKUP(VZQ115,[13]AssetDetails_UEM!$A$3:$AH$1849,6,FALSE)</f>
        <v>Electrosurgical Units, Monopolar/Bipolar</v>
      </c>
      <c r="VZS115" s="196" t="s">
        <v>761</v>
      </c>
      <c r="VZT115" s="197" t="str">
        <f>VLOOKUP(VZS115,[13]AssetDetails_UEM!$A$3:$AH$1849,6,FALSE)</f>
        <v>Electrosurgical Units, Monopolar/Bipolar</v>
      </c>
      <c r="VZU115" s="196" t="s">
        <v>761</v>
      </c>
      <c r="VZV115" s="197" t="str">
        <f>VLOOKUP(VZU115,[13]AssetDetails_UEM!$A$3:$AH$1849,6,FALSE)</f>
        <v>Electrosurgical Units, Monopolar/Bipolar</v>
      </c>
      <c r="VZW115" s="196" t="s">
        <v>761</v>
      </c>
      <c r="VZX115" s="197" t="str">
        <f>VLOOKUP(VZW115,[13]AssetDetails_UEM!$A$3:$AH$1849,6,FALSE)</f>
        <v>Electrosurgical Units, Monopolar/Bipolar</v>
      </c>
      <c r="VZY115" s="196" t="s">
        <v>761</v>
      </c>
      <c r="VZZ115" s="197" t="str">
        <f>VLOOKUP(VZY115,[13]AssetDetails_UEM!$A$3:$AH$1849,6,FALSE)</f>
        <v>Electrosurgical Units, Monopolar/Bipolar</v>
      </c>
      <c r="WAA115" s="196" t="s">
        <v>761</v>
      </c>
      <c r="WAB115" s="197" t="str">
        <f>VLOOKUP(WAA115,[13]AssetDetails_UEM!$A$3:$AH$1849,6,FALSE)</f>
        <v>Electrosurgical Units, Monopolar/Bipolar</v>
      </c>
      <c r="WAC115" s="196" t="s">
        <v>761</v>
      </c>
      <c r="WAD115" s="197" t="str">
        <f>VLOOKUP(WAC115,[13]AssetDetails_UEM!$A$3:$AH$1849,6,FALSE)</f>
        <v>Electrosurgical Units, Monopolar/Bipolar</v>
      </c>
      <c r="WAE115" s="196" t="s">
        <v>761</v>
      </c>
      <c r="WAF115" s="197" t="str">
        <f>VLOOKUP(WAE115,[13]AssetDetails_UEM!$A$3:$AH$1849,6,FALSE)</f>
        <v>Electrosurgical Units, Monopolar/Bipolar</v>
      </c>
      <c r="WAG115" s="196" t="s">
        <v>761</v>
      </c>
      <c r="WAH115" s="197" t="str">
        <f>VLOOKUP(WAG115,[13]AssetDetails_UEM!$A$3:$AH$1849,6,FALSE)</f>
        <v>Electrosurgical Units, Monopolar/Bipolar</v>
      </c>
      <c r="WAI115" s="196" t="s">
        <v>761</v>
      </c>
      <c r="WAJ115" s="197" t="str">
        <f>VLOOKUP(WAI115,[13]AssetDetails_UEM!$A$3:$AH$1849,6,FALSE)</f>
        <v>Electrosurgical Units, Monopolar/Bipolar</v>
      </c>
      <c r="WAK115" s="196" t="s">
        <v>761</v>
      </c>
      <c r="WAL115" s="197" t="str">
        <f>VLOOKUP(WAK115,[13]AssetDetails_UEM!$A$3:$AH$1849,6,FALSE)</f>
        <v>Electrosurgical Units, Monopolar/Bipolar</v>
      </c>
      <c r="WAM115" s="196" t="s">
        <v>761</v>
      </c>
      <c r="WAN115" s="197" t="str">
        <f>VLOOKUP(WAM115,[13]AssetDetails_UEM!$A$3:$AH$1849,6,FALSE)</f>
        <v>Electrosurgical Units, Monopolar/Bipolar</v>
      </c>
      <c r="WAO115" s="196" t="s">
        <v>761</v>
      </c>
      <c r="WAP115" s="197" t="str">
        <f>VLOOKUP(WAO115,[13]AssetDetails_UEM!$A$3:$AH$1849,6,FALSE)</f>
        <v>Electrosurgical Units, Monopolar/Bipolar</v>
      </c>
      <c r="WAQ115" s="196" t="s">
        <v>761</v>
      </c>
      <c r="WAR115" s="197" t="str">
        <f>VLOOKUP(WAQ115,[13]AssetDetails_UEM!$A$3:$AH$1849,6,FALSE)</f>
        <v>Electrosurgical Units, Monopolar/Bipolar</v>
      </c>
      <c r="WAS115" s="196" t="s">
        <v>761</v>
      </c>
      <c r="WAT115" s="197" t="str">
        <f>VLOOKUP(WAS115,[13]AssetDetails_UEM!$A$3:$AH$1849,6,FALSE)</f>
        <v>Electrosurgical Units, Monopolar/Bipolar</v>
      </c>
      <c r="WAU115" s="196" t="s">
        <v>761</v>
      </c>
      <c r="WAV115" s="197" t="str">
        <f>VLOOKUP(WAU115,[13]AssetDetails_UEM!$A$3:$AH$1849,6,FALSE)</f>
        <v>Electrosurgical Units, Monopolar/Bipolar</v>
      </c>
      <c r="WAW115" s="196" t="s">
        <v>761</v>
      </c>
      <c r="WAX115" s="197" t="str">
        <f>VLOOKUP(WAW115,[13]AssetDetails_UEM!$A$3:$AH$1849,6,FALSE)</f>
        <v>Electrosurgical Units, Monopolar/Bipolar</v>
      </c>
      <c r="WAY115" s="196" t="s">
        <v>761</v>
      </c>
      <c r="WAZ115" s="197" t="str">
        <f>VLOOKUP(WAY115,[13]AssetDetails_UEM!$A$3:$AH$1849,6,FALSE)</f>
        <v>Electrosurgical Units, Monopolar/Bipolar</v>
      </c>
      <c r="WBA115" s="196" t="s">
        <v>761</v>
      </c>
      <c r="WBB115" s="197" t="str">
        <f>VLOOKUP(WBA115,[13]AssetDetails_UEM!$A$3:$AH$1849,6,FALSE)</f>
        <v>Electrosurgical Units, Monopolar/Bipolar</v>
      </c>
      <c r="WBC115" s="196" t="s">
        <v>761</v>
      </c>
      <c r="WBD115" s="197" t="str">
        <f>VLOOKUP(WBC115,[13]AssetDetails_UEM!$A$3:$AH$1849,6,FALSE)</f>
        <v>Electrosurgical Units, Monopolar/Bipolar</v>
      </c>
      <c r="WBE115" s="196" t="s">
        <v>761</v>
      </c>
      <c r="WBF115" s="197" t="str">
        <f>VLOOKUP(WBE115,[13]AssetDetails_UEM!$A$3:$AH$1849,6,FALSE)</f>
        <v>Electrosurgical Units, Monopolar/Bipolar</v>
      </c>
      <c r="WBG115" s="196" t="s">
        <v>761</v>
      </c>
      <c r="WBH115" s="197" t="str">
        <f>VLOOKUP(WBG115,[13]AssetDetails_UEM!$A$3:$AH$1849,6,FALSE)</f>
        <v>Electrosurgical Units, Monopolar/Bipolar</v>
      </c>
      <c r="WBI115" s="196" t="s">
        <v>761</v>
      </c>
      <c r="WBJ115" s="197" t="str">
        <f>VLOOKUP(WBI115,[13]AssetDetails_UEM!$A$3:$AH$1849,6,FALSE)</f>
        <v>Electrosurgical Units, Monopolar/Bipolar</v>
      </c>
      <c r="WBK115" s="196" t="s">
        <v>761</v>
      </c>
      <c r="WBL115" s="197" t="str">
        <f>VLOOKUP(WBK115,[13]AssetDetails_UEM!$A$3:$AH$1849,6,FALSE)</f>
        <v>Electrosurgical Units, Monopolar/Bipolar</v>
      </c>
      <c r="WBM115" s="196" t="s">
        <v>761</v>
      </c>
      <c r="WBN115" s="197" t="str">
        <f>VLOOKUP(WBM115,[13]AssetDetails_UEM!$A$3:$AH$1849,6,FALSE)</f>
        <v>Electrosurgical Units, Monopolar/Bipolar</v>
      </c>
      <c r="WBO115" s="196" t="s">
        <v>761</v>
      </c>
      <c r="WBP115" s="197" t="str">
        <f>VLOOKUP(WBO115,[13]AssetDetails_UEM!$A$3:$AH$1849,6,FALSE)</f>
        <v>Electrosurgical Units, Monopolar/Bipolar</v>
      </c>
      <c r="WBQ115" s="196" t="s">
        <v>761</v>
      </c>
      <c r="WBR115" s="197" t="str">
        <f>VLOOKUP(WBQ115,[13]AssetDetails_UEM!$A$3:$AH$1849,6,FALSE)</f>
        <v>Electrosurgical Units, Monopolar/Bipolar</v>
      </c>
      <c r="WBS115" s="196" t="s">
        <v>761</v>
      </c>
      <c r="WBT115" s="197" t="str">
        <f>VLOOKUP(WBS115,[13]AssetDetails_UEM!$A$3:$AH$1849,6,FALSE)</f>
        <v>Electrosurgical Units, Monopolar/Bipolar</v>
      </c>
      <c r="WBU115" s="196" t="s">
        <v>761</v>
      </c>
      <c r="WBV115" s="197" t="str">
        <f>VLOOKUP(WBU115,[13]AssetDetails_UEM!$A$3:$AH$1849,6,FALSE)</f>
        <v>Electrosurgical Units, Monopolar/Bipolar</v>
      </c>
      <c r="WBW115" s="196" t="s">
        <v>761</v>
      </c>
      <c r="WBX115" s="197" t="str">
        <f>VLOOKUP(WBW115,[13]AssetDetails_UEM!$A$3:$AH$1849,6,FALSE)</f>
        <v>Electrosurgical Units, Monopolar/Bipolar</v>
      </c>
      <c r="WBY115" s="196" t="s">
        <v>761</v>
      </c>
      <c r="WBZ115" s="197" t="str">
        <f>VLOOKUP(WBY115,[13]AssetDetails_UEM!$A$3:$AH$1849,6,FALSE)</f>
        <v>Electrosurgical Units, Monopolar/Bipolar</v>
      </c>
      <c r="WCA115" s="196" t="s">
        <v>761</v>
      </c>
      <c r="WCB115" s="197" t="str">
        <f>VLOOKUP(WCA115,[13]AssetDetails_UEM!$A$3:$AH$1849,6,FALSE)</f>
        <v>Electrosurgical Units, Monopolar/Bipolar</v>
      </c>
      <c r="WCC115" s="196" t="s">
        <v>761</v>
      </c>
      <c r="WCD115" s="197" t="str">
        <f>VLOOKUP(WCC115,[13]AssetDetails_UEM!$A$3:$AH$1849,6,FALSE)</f>
        <v>Electrosurgical Units, Monopolar/Bipolar</v>
      </c>
      <c r="WCE115" s="196" t="s">
        <v>761</v>
      </c>
      <c r="WCF115" s="197" t="str">
        <f>VLOOKUP(WCE115,[13]AssetDetails_UEM!$A$3:$AH$1849,6,FALSE)</f>
        <v>Electrosurgical Units, Monopolar/Bipolar</v>
      </c>
      <c r="WCG115" s="196" t="s">
        <v>761</v>
      </c>
      <c r="WCH115" s="197" t="str">
        <f>VLOOKUP(WCG115,[13]AssetDetails_UEM!$A$3:$AH$1849,6,FALSE)</f>
        <v>Electrosurgical Units, Monopolar/Bipolar</v>
      </c>
      <c r="WCI115" s="196" t="s">
        <v>761</v>
      </c>
      <c r="WCJ115" s="197" t="str">
        <f>VLOOKUP(WCI115,[13]AssetDetails_UEM!$A$3:$AH$1849,6,FALSE)</f>
        <v>Electrosurgical Units, Monopolar/Bipolar</v>
      </c>
      <c r="WCK115" s="196" t="s">
        <v>761</v>
      </c>
      <c r="WCL115" s="197" t="str">
        <f>VLOOKUP(WCK115,[13]AssetDetails_UEM!$A$3:$AH$1849,6,FALSE)</f>
        <v>Electrosurgical Units, Monopolar/Bipolar</v>
      </c>
      <c r="WCM115" s="196" t="s">
        <v>761</v>
      </c>
      <c r="WCN115" s="197" t="str">
        <f>VLOOKUP(WCM115,[13]AssetDetails_UEM!$A$3:$AH$1849,6,FALSE)</f>
        <v>Electrosurgical Units, Monopolar/Bipolar</v>
      </c>
      <c r="WCO115" s="196" t="s">
        <v>761</v>
      </c>
      <c r="WCP115" s="197" t="str">
        <f>VLOOKUP(WCO115,[13]AssetDetails_UEM!$A$3:$AH$1849,6,FALSE)</f>
        <v>Electrosurgical Units, Monopolar/Bipolar</v>
      </c>
      <c r="WCQ115" s="196" t="s">
        <v>761</v>
      </c>
      <c r="WCR115" s="197" t="str">
        <f>VLOOKUP(WCQ115,[13]AssetDetails_UEM!$A$3:$AH$1849,6,FALSE)</f>
        <v>Electrosurgical Units, Monopolar/Bipolar</v>
      </c>
      <c r="WCS115" s="196" t="s">
        <v>761</v>
      </c>
      <c r="WCT115" s="197" t="str">
        <f>VLOOKUP(WCS115,[13]AssetDetails_UEM!$A$3:$AH$1849,6,FALSE)</f>
        <v>Electrosurgical Units, Monopolar/Bipolar</v>
      </c>
      <c r="WCU115" s="196" t="s">
        <v>761</v>
      </c>
      <c r="WCV115" s="197" t="str">
        <f>VLOOKUP(WCU115,[13]AssetDetails_UEM!$A$3:$AH$1849,6,FALSE)</f>
        <v>Electrosurgical Units, Monopolar/Bipolar</v>
      </c>
      <c r="WCW115" s="196" t="s">
        <v>761</v>
      </c>
      <c r="WCX115" s="197" t="str">
        <f>VLOOKUP(WCW115,[13]AssetDetails_UEM!$A$3:$AH$1849,6,FALSE)</f>
        <v>Electrosurgical Units, Monopolar/Bipolar</v>
      </c>
      <c r="WCY115" s="196" t="s">
        <v>761</v>
      </c>
      <c r="WCZ115" s="197" t="str">
        <f>VLOOKUP(WCY115,[13]AssetDetails_UEM!$A$3:$AH$1849,6,FALSE)</f>
        <v>Electrosurgical Units, Monopolar/Bipolar</v>
      </c>
      <c r="WDA115" s="196" t="s">
        <v>761</v>
      </c>
      <c r="WDB115" s="197" t="str">
        <f>VLOOKUP(WDA115,[13]AssetDetails_UEM!$A$3:$AH$1849,6,FALSE)</f>
        <v>Electrosurgical Units, Monopolar/Bipolar</v>
      </c>
      <c r="WDC115" s="196" t="s">
        <v>761</v>
      </c>
      <c r="WDD115" s="197" t="str">
        <f>VLOOKUP(WDC115,[13]AssetDetails_UEM!$A$3:$AH$1849,6,FALSE)</f>
        <v>Electrosurgical Units, Monopolar/Bipolar</v>
      </c>
      <c r="WDE115" s="196" t="s">
        <v>761</v>
      </c>
      <c r="WDF115" s="197" t="str">
        <f>VLOOKUP(WDE115,[13]AssetDetails_UEM!$A$3:$AH$1849,6,FALSE)</f>
        <v>Electrosurgical Units, Monopolar/Bipolar</v>
      </c>
      <c r="WDG115" s="196" t="s">
        <v>761</v>
      </c>
      <c r="WDH115" s="197" t="str">
        <f>VLOOKUP(WDG115,[13]AssetDetails_UEM!$A$3:$AH$1849,6,FALSE)</f>
        <v>Electrosurgical Units, Monopolar/Bipolar</v>
      </c>
      <c r="WDI115" s="196" t="s">
        <v>761</v>
      </c>
      <c r="WDJ115" s="197" t="str">
        <f>VLOOKUP(WDI115,[13]AssetDetails_UEM!$A$3:$AH$1849,6,FALSE)</f>
        <v>Electrosurgical Units, Monopolar/Bipolar</v>
      </c>
      <c r="WDK115" s="196" t="s">
        <v>761</v>
      </c>
      <c r="WDL115" s="197" t="str">
        <f>VLOOKUP(WDK115,[13]AssetDetails_UEM!$A$3:$AH$1849,6,FALSE)</f>
        <v>Electrosurgical Units, Monopolar/Bipolar</v>
      </c>
      <c r="WDM115" s="196" t="s">
        <v>761</v>
      </c>
      <c r="WDN115" s="197" t="str">
        <f>VLOOKUP(WDM115,[13]AssetDetails_UEM!$A$3:$AH$1849,6,FALSE)</f>
        <v>Electrosurgical Units, Monopolar/Bipolar</v>
      </c>
      <c r="WDO115" s="196" t="s">
        <v>761</v>
      </c>
      <c r="WDP115" s="197" t="str">
        <f>VLOOKUP(WDO115,[13]AssetDetails_UEM!$A$3:$AH$1849,6,FALSE)</f>
        <v>Electrosurgical Units, Monopolar/Bipolar</v>
      </c>
      <c r="WDQ115" s="196" t="s">
        <v>761</v>
      </c>
      <c r="WDR115" s="197" t="str">
        <f>VLOOKUP(WDQ115,[13]AssetDetails_UEM!$A$3:$AH$1849,6,FALSE)</f>
        <v>Electrosurgical Units, Monopolar/Bipolar</v>
      </c>
      <c r="WDS115" s="196" t="s">
        <v>761</v>
      </c>
      <c r="WDT115" s="197" t="str">
        <f>VLOOKUP(WDS115,[13]AssetDetails_UEM!$A$3:$AH$1849,6,FALSE)</f>
        <v>Electrosurgical Units, Monopolar/Bipolar</v>
      </c>
      <c r="WDU115" s="196" t="s">
        <v>761</v>
      </c>
      <c r="WDV115" s="197" t="str">
        <f>VLOOKUP(WDU115,[13]AssetDetails_UEM!$A$3:$AH$1849,6,FALSE)</f>
        <v>Electrosurgical Units, Monopolar/Bipolar</v>
      </c>
      <c r="WDW115" s="196" t="s">
        <v>761</v>
      </c>
      <c r="WDX115" s="197" t="str">
        <f>VLOOKUP(WDW115,[13]AssetDetails_UEM!$A$3:$AH$1849,6,FALSE)</f>
        <v>Electrosurgical Units, Monopolar/Bipolar</v>
      </c>
      <c r="WDY115" s="196" t="s">
        <v>761</v>
      </c>
      <c r="WDZ115" s="197" t="str">
        <f>VLOOKUP(WDY115,[13]AssetDetails_UEM!$A$3:$AH$1849,6,FALSE)</f>
        <v>Electrosurgical Units, Monopolar/Bipolar</v>
      </c>
      <c r="WEA115" s="196" t="s">
        <v>761</v>
      </c>
      <c r="WEB115" s="197" t="str">
        <f>VLOOKUP(WEA115,[13]AssetDetails_UEM!$A$3:$AH$1849,6,FALSE)</f>
        <v>Electrosurgical Units, Monopolar/Bipolar</v>
      </c>
      <c r="WEC115" s="196" t="s">
        <v>761</v>
      </c>
      <c r="WED115" s="197" t="str">
        <f>VLOOKUP(WEC115,[13]AssetDetails_UEM!$A$3:$AH$1849,6,FALSE)</f>
        <v>Electrosurgical Units, Monopolar/Bipolar</v>
      </c>
      <c r="WEE115" s="196" t="s">
        <v>761</v>
      </c>
      <c r="WEF115" s="197" t="str">
        <f>VLOOKUP(WEE115,[13]AssetDetails_UEM!$A$3:$AH$1849,6,FALSE)</f>
        <v>Electrosurgical Units, Monopolar/Bipolar</v>
      </c>
      <c r="WEG115" s="196" t="s">
        <v>761</v>
      </c>
      <c r="WEH115" s="197" t="str">
        <f>VLOOKUP(WEG115,[13]AssetDetails_UEM!$A$3:$AH$1849,6,FALSE)</f>
        <v>Electrosurgical Units, Monopolar/Bipolar</v>
      </c>
      <c r="WEI115" s="196" t="s">
        <v>761</v>
      </c>
      <c r="WEJ115" s="197" t="str">
        <f>VLOOKUP(WEI115,[13]AssetDetails_UEM!$A$3:$AH$1849,6,FALSE)</f>
        <v>Electrosurgical Units, Monopolar/Bipolar</v>
      </c>
      <c r="WEK115" s="196" t="s">
        <v>761</v>
      </c>
      <c r="WEL115" s="197" t="str">
        <f>VLOOKUP(WEK115,[13]AssetDetails_UEM!$A$3:$AH$1849,6,FALSE)</f>
        <v>Electrosurgical Units, Monopolar/Bipolar</v>
      </c>
      <c r="WEM115" s="196" t="s">
        <v>761</v>
      </c>
      <c r="WEN115" s="197" t="str">
        <f>VLOOKUP(WEM115,[13]AssetDetails_UEM!$A$3:$AH$1849,6,FALSE)</f>
        <v>Electrosurgical Units, Monopolar/Bipolar</v>
      </c>
      <c r="WEO115" s="196" t="s">
        <v>761</v>
      </c>
      <c r="WEP115" s="197" t="str">
        <f>VLOOKUP(WEO115,[13]AssetDetails_UEM!$A$3:$AH$1849,6,FALSE)</f>
        <v>Electrosurgical Units, Monopolar/Bipolar</v>
      </c>
      <c r="WEQ115" s="196" t="s">
        <v>761</v>
      </c>
      <c r="WER115" s="197" t="str">
        <f>VLOOKUP(WEQ115,[13]AssetDetails_UEM!$A$3:$AH$1849,6,FALSE)</f>
        <v>Electrosurgical Units, Monopolar/Bipolar</v>
      </c>
      <c r="WES115" s="196" t="s">
        <v>761</v>
      </c>
      <c r="WET115" s="197" t="str">
        <f>VLOOKUP(WES115,[13]AssetDetails_UEM!$A$3:$AH$1849,6,FALSE)</f>
        <v>Electrosurgical Units, Monopolar/Bipolar</v>
      </c>
      <c r="WEU115" s="196" t="s">
        <v>761</v>
      </c>
      <c r="WEV115" s="197" t="str">
        <f>VLOOKUP(WEU115,[13]AssetDetails_UEM!$A$3:$AH$1849,6,FALSE)</f>
        <v>Electrosurgical Units, Monopolar/Bipolar</v>
      </c>
      <c r="WEW115" s="196" t="s">
        <v>761</v>
      </c>
      <c r="WEX115" s="197" t="str">
        <f>VLOOKUP(WEW115,[13]AssetDetails_UEM!$A$3:$AH$1849,6,FALSE)</f>
        <v>Electrosurgical Units, Monopolar/Bipolar</v>
      </c>
      <c r="WEY115" s="196" t="s">
        <v>761</v>
      </c>
      <c r="WEZ115" s="197" t="str">
        <f>VLOOKUP(WEY115,[13]AssetDetails_UEM!$A$3:$AH$1849,6,FALSE)</f>
        <v>Electrosurgical Units, Monopolar/Bipolar</v>
      </c>
      <c r="WFA115" s="196" t="s">
        <v>761</v>
      </c>
      <c r="WFB115" s="197" t="str">
        <f>VLOOKUP(WFA115,[13]AssetDetails_UEM!$A$3:$AH$1849,6,FALSE)</f>
        <v>Electrosurgical Units, Monopolar/Bipolar</v>
      </c>
      <c r="WFC115" s="196" t="s">
        <v>761</v>
      </c>
      <c r="WFD115" s="197" t="str">
        <f>VLOOKUP(WFC115,[13]AssetDetails_UEM!$A$3:$AH$1849,6,FALSE)</f>
        <v>Electrosurgical Units, Monopolar/Bipolar</v>
      </c>
      <c r="WFE115" s="196" t="s">
        <v>761</v>
      </c>
      <c r="WFF115" s="197" t="str">
        <f>VLOOKUP(WFE115,[13]AssetDetails_UEM!$A$3:$AH$1849,6,FALSE)</f>
        <v>Electrosurgical Units, Monopolar/Bipolar</v>
      </c>
      <c r="WFG115" s="196" t="s">
        <v>761</v>
      </c>
      <c r="WFH115" s="197" t="str">
        <f>VLOOKUP(WFG115,[13]AssetDetails_UEM!$A$3:$AH$1849,6,FALSE)</f>
        <v>Electrosurgical Units, Monopolar/Bipolar</v>
      </c>
      <c r="WFI115" s="196" t="s">
        <v>761</v>
      </c>
      <c r="WFJ115" s="197" t="str">
        <f>VLOOKUP(WFI115,[13]AssetDetails_UEM!$A$3:$AH$1849,6,FALSE)</f>
        <v>Electrosurgical Units, Monopolar/Bipolar</v>
      </c>
      <c r="WFK115" s="196" t="s">
        <v>761</v>
      </c>
      <c r="WFL115" s="197" t="str">
        <f>VLOOKUP(WFK115,[13]AssetDetails_UEM!$A$3:$AH$1849,6,FALSE)</f>
        <v>Electrosurgical Units, Monopolar/Bipolar</v>
      </c>
      <c r="WFM115" s="196" t="s">
        <v>761</v>
      </c>
      <c r="WFN115" s="197" t="str">
        <f>VLOOKUP(WFM115,[13]AssetDetails_UEM!$A$3:$AH$1849,6,FALSE)</f>
        <v>Electrosurgical Units, Monopolar/Bipolar</v>
      </c>
      <c r="WFO115" s="196" t="s">
        <v>761</v>
      </c>
      <c r="WFP115" s="197" t="str">
        <f>VLOOKUP(WFO115,[13]AssetDetails_UEM!$A$3:$AH$1849,6,FALSE)</f>
        <v>Electrosurgical Units, Monopolar/Bipolar</v>
      </c>
      <c r="WFQ115" s="196" t="s">
        <v>761</v>
      </c>
      <c r="WFR115" s="197" t="str">
        <f>VLOOKUP(WFQ115,[13]AssetDetails_UEM!$A$3:$AH$1849,6,FALSE)</f>
        <v>Electrosurgical Units, Monopolar/Bipolar</v>
      </c>
      <c r="WFS115" s="196" t="s">
        <v>761</v>
      </c>
      <c r="WFT115" s="197" t="str">
        <f>VLOOKUP(WFS115,[13]AssetDetails_UEM!$A$3:$AH$1849,6,FALSE)</f>
        <v>Electrosurgical Units, Monopolar/Bipolar</v>
      </c>
      <c r="WFU115" s="196" t="s">
        <v>761</v>
      </c>
      <c r="WFV115" s="197" t="str">
        <f>VLOOKUP(WFU115,[13]AssetDetails_UEM!$A$3:$AH$1849,6,FALSE)</f>
        <v>Electrosurgical Units, Monopolar/Bipolar</v>
      </c>
      <c r="WFW115" s="196" t="s">
        <v>761</v>
      </c>
      <c r="WFX115" s="197" t="str">
        <f>VLOOKUP(WFW115,[13]AssetDetails_UEM!$A$3:$AH$1849,6,FALSE)</f>
        <v>Electrosurgical Units, Monopolar/Bipolar</v>
      </c>
      <c r="WFY115" s="196" t="s">
        <v>761</v>
      </c>
      <c r="WFZ115" s="197" t="str">
        <f>VLOOKUP(WFY115,[13]AssetDetails_UEM!$A$3:$AH$1849,6,FALSE)</f>
        <v>Electrosurgical Units, Monopolar/Bipolar</v>
      </c>
      <c r="WGA115" s="196" t="s">
        <v>761</v>
      </c>
      <c r="WGB115" s="197" t="str">
        <f>VLOOKUP(WGA115,[13]AssetDetails_UEM!$A$3:$AH$1849,6,FALSE)</f>
        <v>Electrosurgical Units, Monopolar/Bipolar</v>
      </c>
      <c r="WGC115" s="196" t="s">
        <v>761</v>
      </c>
      <c r="WGD115" s="197" t="str">
        <f>VLOOKUP(WGC115,[13]AssetDetails_UEM!$A$3:$AH$1849,6,FALSE)</f>
        <v>Electrosurgical Units, Monopolar/Bipolar</v>
      </c>
      <c r="WGE115" s="196" t="s">
        <v>761</v>
      </c>
      <c r="WGF115" s="197" t="str">
        <f>VLOOKUP(WGE115,[13]AssetDetails_UEM!$A$3:$AH$1849,6,FALSE)</f>
        <v>Electrosurgical Units, Monopolar/Bipolar</v>
      </c>
      <c r="WGG115" s="196" t="s">
        <v>761</v>
      </c>
      <c r="WGH115" s="197" t="str">
        <f>VLOOKUP(WGG115,[13]AssetDetails_UEM!$A$3:$AH$1849,6,FALSE)</f>
        <v>Electrosurgical Units, Monopolar/Bipolar</v>
      </c>
      <c r="WGI115" s="196" t="s">
        <v>761</v>
      </c>
      <c r="WGJ115" s="197" t="str">
        <f>VLOOKUP(WGI115,[13]AssetDetails_UEM!$A$3:$AH$1849,6,FALSE)</f>
        <v>Electrosurgical Units, Monopolar/Bipolar</v>
      </c>
      <c r="WGK115" s="196" t="s">
        <v>761</v>
      </c>
      <c r="WGL115" s="197" t="str">
        <f>VLOOKUP(WGK115,[13]AssetDetails_UEM!$A$3:$AH$1849,6,FALSE)</f>
        <v>Electrosurgical Units, Monopolar/Bipolar</v>
      </c>
      <c r="WGM115" s="196" t="s">
        <v>761</v>
      </c>
      <c r="WGN115" s="197" t="str">
        <f>VLOOKUP(WGM115,[13]AssetDetails_UEM!$A$3:$AH$1849,6,FALSE)</f>
        <v>Electrosurgical Units, Monopolar/Bipolar</v>
      </c>
      <c r="WGO115" s="196" t="s">
        <v>761</v>
      </c>
      <c r="WGP115" s="197" t="str">
        <f>VLOOKUP(WGO115,[13]AssetDetails_UEM!$A$3:$AH$1849,6,FALSE)</f>
        <v>Electrosurgical Units, Monopolar/Bipolar</v>
      </c>
      <c r="WGQ115" s="196" t="s">
        <v>761</v>
      </c>
      <c r="WGR115" s="197" t="str">
        <f>VLOOKUP(WGQ115,[13]AssetDetails_UEM!$A$3:$AH$1849,6,FALSE)</f>
        <v>Electrosurgical Units, Monopolar/Bipolar</v>
      </c>
      <c r="WGS115" s="196" t="s">
        <v>761</v>
      </c>
      <c r="WGT115" s="197" t="str">
        <f>VLOOKUP(WGS115,[13]AssetDetails_UEM!$A$3:$AH$1849,6,FALSE)</f>
        <v>Electrosurgical Units, Monopolar/Bipolar</v>
      </c>
      <c r="WGU115" s="196" t="s">
        <v>761</v>
      </c>
      <c r="WGV115" s="197" t="str">
        <f>VLOOKUP(WGU115,[13]AssetDetails_UEM!$A$3:$AH$1849,6,FALSE)</f>
        <v>Electrosurgical Units, Monopolar/Bipolar</v>
      </c>
      <c r="WGW115" s="196" t="s">
        <v>761</v>
      </c>
      <c r="WGX115" s="197" t="str">
        <f>VLOOKUP(WGW115,[13]AssetDetails_UEM!$A$3:$AH$1849,6,FALSE)</f>
        <v>Electrosurgical Units, Monopolar/Bipolar</v>
      </c>
      <c r="WGY115" s="196" t="s">
        <v>761</v>
      </c>
      <c r="WGZ115" s="197" t="str">
        <f>VLOOKUP(WGY115,[13]AssetDetails_UEM!$A$3:$AH$1849,6,FALSE)</f>
        <v>Electrosurgical Units, Monopolar/Bipolar</v>
      </c>
      <c r="WHA115" s="196" t="s">
        <v>761</v>
      </c>
      <c r="WHB115" s="197" t="str">
        <f>VLOOKUP(WHA115,[13]AssetDetails_UEM!$A$3:$AH$1849,6,FALSE)</f>
        <v>Electrosurgical Units, Monopolar/Bipolar</v>
      </c>
      <c r="WHC115" s="196" t="s">
        <v>761</v>
      </c>
      <c r="WHD115" s="197" t="str">
        <f>VLOOKUP(WHC115,[13]AssetDetails_UEM!$A$3:$AH$1849,6,FALSE)</f>
        <v>Electrosurgical Units, Monopolar/Bipolar</v>
      </c>
      <c r="WHE115" s="196" t="s">
        <v>761</v>
      </c>
      <c r="WHF115" s="197" t="str">
        <f>VLOOKUP(WHE115,[13]AssetDetails_UEM!$A$3:$AH$1849,6,FALSE)</f>
        <v>Electrosurgical Units, Monopolar/Bipolar</v>
      </c>
      <c r="WHG115" s="196" t="s">
        <v>761</v>
      </c>
      <c r="WHH115" s="197" t="str">
        <f>VLOOKUP(WHG115,[13]AssetDetails_UEM!$A$3:$AH$1849,6,FALSE)</f>
        <v>Electrosurgical Units, Monopolar/Bipolar</v>
      </c>
      <c r="WHI115" s="196" t="s">
        <v>761</v>
      </c>
      <c r="WHJ115" s="197" t="str">
        <f>VLOOKUP(WHI115,[13]AssetDetails_UEM!$A$3:$AH$1849,6,FALSE)</f>
        <v>Electrosurgical Units, Monopolar/Bipolar</v>
      </c>
      <c r="WHK115" s="196" t="s">
        <v>761</v>
      </c>
      <c r="WHL115" s="197" t="str">
        <f>VLOOKUP(WHK115,[13]AssetDetails_UEM!$A$3:$AH$1849,6,FALSE)</f>
        <v>Electrosurgical Units, Monopolar/Bipolar</v>
      </c>
      <c r="WHM115" s="196" t="s">
        <v>761</v>
      </c>
      <c r="WHN115" s="197" t="str">
        <f>VLOOKUP(WHM115,[13]AssetDetails_UEM!$A$3:$AH$1849,6,FALSE)</f>
        <v>Electrosurgical Units, Monopolar/Bipolar</v>
      </c>
      <c r="WHO115" s="196" t="s">
        <v>761</v>
      </c>
      <c r="WHP115" s="197" t="str">
        <f>VLOOKUP(WHO115,[13]AssetDetails_UEM!$A$3:$AH$1849,6,FALSE)</f>
        <v>Electrosurgical Units, Monopolar/Bipolar</v>
      </c>
      <c r="WHQ115" s="196" t="s">
        <v>761</v>
      </c>
      <c r="WHR115" s="197" t="str">
        <f>VLOOKUP(WHQ115,[13]AssetDetails_UEM!$A$3:$AH$1849,6,FALSE)</f>
        <v>Electrosurgical Units, Monopolar/Bipolar</v>
      </c>
      <c r="WHS115" s="196" t="s">
        <v>761</v>
      </c>
      <c r="WHT115" s="197" t="str">
        <f>VLOOKUP(WHS115,[13]AssetDetails_UEM!$A$3:$AH$1849,6,FALSE)</f>
        <v>Electrosurgical Units, Monopolar/Bipolar</v>
      </c>
      <c r="WHU115" s="196" t="s">
        <v>761</v>
      </c>
      <c r="WHV115" s="197" t="str">
        <f>VLOOKUP(WHU115,[13]AssetDetails_UEM!$A$3:$AH$1849,6,FALSE)</f>
        <v>Electrosurgical Units, Monopolar/Bipolar</v>
      </c>
      <c r="WHW115" s="196" t="s">
        <v>761</v>
      </c>
      <c r="WHX115" s="197" t="str">
        <f>VLOOKUP(WHW115,[13]AssetDetails_UEM!$A$3:$AH$1849,6,FALSE)</f>
        <v>Electrosurgical Units, Monopolar/Bipolar</v>
      </c>
      <c r="WHY115" s="196" t="s">
        <v>761</v>
      </c>
      <c r="WHZ115" s="197" t="str">
        <f>VLOOKUP(WHY115,[13]AssetDetails_UEM!$A$3:$AH$1849,6,FALSE)</f>
        <v>Electrosurgical Units, Monopolar/Bipolar</v>
      </c>
      <c r="WIA115" s="196" t="s">
        <v>761</v>
      </c>
      <c r="WIB115" s="197" t="str">
        <f>VLOOKUP(WIA115,[13]AssetDetails_UEM!$A$3:$AH$1849,6,FALSE)</f>
        <v>Electrosurgical Units, Monopolar/Bipolar</v>
      </c>
      <c r="WIC115" s="196" t="s">
        <v>761</v>
      </c>
      <c r="WID115" s="197" t="str">
        <f>VLOOKUP(WIC115,[13]AssetDetails_UEM!$A$3:$AH$1849,6,FALSE)</f>
        <v>Electrosurgical Units, Monopolar/Bipolar</v>
      </c>
      <c r="WIE115" s="196" t="s">
        <v>761</v>
      </c>
      <c r="WIF115" s="197" t="str">
        <f>VLOOKUP(WIE115,[13]AssetDetails_UEM!$A$3:$AH$1849,6,FALSE)</f>
        <v>Electrosurgical Units, Monopolar/Bipolar</v>
      </c>
      <c r="WIG115" s="196" t="s">
        <v>761</v>
      </c>
      <c r="WIH115" s="197" t="str">
        <f>VLOOKUP(WIG115,[13]AssetDetails_UEM!$A$3:$AH$1849,6,FALSE)</f>
        <v>Electrosurgical Units, Monopolar/Bipolar</v>
      </c>
      <c r="WII115" s="196" t="s">
        <v>761</v>
      </c>
      <c r="WIJ115" s="197" t="str">
        <f>VLOOKUP(WII115,[13]AssetDetails_UEM!$A$3:$AH$1849,6,FALSE)</f>
        <v>Electrosurgical Units, Monopolar/Bipolar</v>
      </c>
      <c r="WIK115" s="196" t="s">
        <v>761</v>
      </c>
      <c r="WIL115" s="197" t="str">
        <f>VLOOKUP(WIK115,[13]AssetDetails_UEM!$A$3:$AH$1849,6,FALSE)</f>
        <v>Electrosurgical Units, Monopolar/Bipolar</v>
      </c>
      <c r="WIM115" s="196" t="s">
        <v>761</v>
      </c>
      <c r="WIN115" s="197" t="str">
        <f>VLOOKUP(WIM115,[13]AssetDetails_UEM!$A$3:$AH$1849,6,FALSE)</f>
        <v>Electrosurgical Units, Monopolar/Bipolar</v>
      </c>
      <c r="WIO115" s="196" t="s">
        <v>761</v>
      </c>
      <c r="WIP115" s="197" t="str">
        <f>VLOOKUP(WIO115,[13]AssetDetails_UEM!$A$3:$AH$1849,6,FALSE)</f>
        <v>Electrosurgical Units, Monopolar/Bipolar</v>
      </c>
      <c r="WIQ115" s="196" t="s">
        <v>761</v>
      </c>
      <c r="WIR115" s="197" t="str">
        <f>VLOOKUP(WIQ115,[13]AssetDetails_UEM!$A$3:$AH$1849,6,FALSE)</f>
        <v>Electrosurgical Units, Monopolar/Bipolar</v>
      </c>
      <c r="WIS115" s="196" t="s">
        <v>761</v>
      </c>
      <c r="WIT115" s="197" t="str">
        <f>VLOOKUP(WIS115,[13]AssetDetails_UEM!$A$3:$AH$1849,6,FALSE)</f>
        <v>Electrosurgical Units, Monopolar/Bipolar</v>
      </c>
      <c r="WIU115" s="196" t="s">
        <v>761</v>
      </c>
      <c r="WIV115" s="197" t="str">
        <f>VLOOKUP(WIU115,[13]AssetDetails_UEM!$A$3:$AH$1849,6,FALSE)</f>
        <v>Electrosurgical Units, Monopolar/Bipolar</v>
      </c>
      <c r="WIW115" s="196" t="s">
        <v>761</v>
      </c>
      <c r="WIX115" s="197" t="str">
        <f>VLOOKUP(WIW115,[13]AssetDetails_UEM!$A$3:$AH$1849,6,FALSE)</f>
        <v>Electrosurgical Units, Monopolar/Bipolar</v>
      </c>
      <c r="WIY115" s="196" t="s">
        <v>761</v>
      </c>
      <c r="WIZ115" s="197" t="str">
        <f>VLOOKUP(WIY115,[13]AssetDetails_UEM!$A$3:$AH$1849,6,FALSE)</f>
        <v>Electrosurgical Units, Monopolar/Bipolar</v>
      </c>
      <c r="WJA115" s="196" t="s">
        <v>761</v>
      </c>
      <c r="WJB115" s="197" t="str">
        <f>VLOOKUP(WJA115,[13]AssetDetails_UEM!$A$3:$AH$1849,6,FALSE)</f>
        <v>Electrosurgical Units, Monopolar/Bipolar</v>
      </c>
      <c r="WJC115" s="196" t="s">
        <v>761</v>
      </c>
      <c r="WJD115" s="197" t="str">
        <f>VLOOKUP(WJC115,[13]AssetDetails_UEM!$A$3:$AH$1849,6,FALSE)</f>
        <v>Electrosurgical Units, Monopolar/Bipolar</v>
      </c>
      <c r="WJE115" s="196" t="s">
        <v>761</v>
      </c>
      <c r="WJF115" s="197" t="str">
        <f>VLOOKUP(WJE115,[13]AssetDetails_UEM!$A$3:$AH$1849,6,FALSE)</f>
        <v>Electrosurgical Units, Monopolar/Bipolar</v>
      </c>
      <c r="WJG115" s="196" t="s">
        <v>761</v>
      </c>
      <c r="WJH115" s="197" t="str">
        <f>VLOOKUP(WJG115,[13]AssetDetails_UEM!$A$3:$AH$1849,6,FALSE)</f>
        <v>Electrosurgical Units, Monopolar/Bipolar</v>
      </c>
      <c r="WJI115" s="196" t="s">
        <v>761</v>
      </c>
      <c r="WJJ115" s="197" t="str">
        <f>VLOOKUP(WJI115,[13]AssetDetails_UEM!$A$3:$AH$1849,6,FALSE)</f>
        <v>Electrosurgical Units, Monopolar/Bipolar</v>
      </c>
      <c r="WJK115" s="196" t="s">
        <v>761</v>
      </c>
      <c r="WJL115" s="197" t="str">
        <f>VLOOKUP(WJK115,[13]AssetDetails_UEM!$A$3:$AH$1849,6,FALSE)</f>
        <v>Electrosurgical Units, Monopolar/Bipolar</v>
      </c>
      <c r="WJM115" s="196" t="s">
        <v>761</v>
      </c>
      <c r="WJN115" s="197" t="str">
        <f>VLOOKUP(WJM115,[13]AssetDetails_UEM!$A$3:$AH$1849,6,FALSE)</f>
        <v>Electrosurgical Units, Monopolar/Bipolar</v>
      </c>
      <c r="WJO115" s="196" t="s">
        <v>761</v>
      </c>
      <c r="WJP115" s="197" t="str">
        <f>VLOOKUP(WJO115,[13]AssetDetails_UEM!$A$3:$AH$1849,6,FALSE)</f>
        <v>Electrosurgical Units, Monopolar/Bipolar</v>
      </c>
      <c r="WJQ115" s="196" t="s">
        <v>761</v>
      </c>
      <c r="WJR115" s="197" t="str">
        <f>VLOOKUP(WJQ115,[13]AssetDetails_UEM!$A$3:$AH$1849,6,FALSE)</f>
        <v>Electrosurgical Units, Monopolar/Bipolar</v>
      </c>
      <c r="WJS115" s="196" t="s">
        <v>761</v>
      </c>
      <c r="WJT115" s="197" t="str">
        <f>VLOOKUP(WJS115,[13]AssetDetails_UEM!$A$3:$AH$1849,6,FALSE)</f>
        <v>Electrosurgical Units, Monopolar/Bipolar</v>
      </c>
      <c r="WJU115" s="196" t="s">
        <v>761</v>
      </c>
      <c r="WJV115" s="197" t="str">
        <f>VLOOKUP(WJU115,[13]AssetDetails_UEM!$A$3:$AH$1849,6,FALSE)</f>
        <v>Electrosurgical Units, Monopolar/Bipolar</v>
      </c>
      <c r="WJW115" s="196" t="s">
        <v>761</v>
      </c>
      <c r="WJX115" s="197" t="str">
        <f>VLOOKUP(WJW115,[13]AssetDetails_UEM!$A$3:$AH$1849,6,FALSE)</f>
        <v>Electrosurgical Units, Monopolar/Bipolar</v>
      </c>
      <c r="WJY115" s="196" t="s">
        <v>761</v>
      </c>
      <c r="WJZ115" s="197" t="str">
        <f>VLOOKUP(WJY115,[13]AssetDetails_UEM!$A$3:$AH$1849,6,FALSE)</f>
        <v>Electrosurgical Units, Monopolar/Bipolar</v>
      </c>
      <c r="WKA115" s="196" t="s">
        <v>761</v>
      </c>
      <c r="WKB115" s="197" t="str">
        <f>VLOOKUP(WKA115,[13]AssetDetails_UEM!$A$3:$AH$1849,6,FALSE)</f>
        <v>Electrosurgical Units, Monopolar/Bipolar</v>
      </c>
      <c r="WKC115" s="196" t="s">
        <v>761</v>
      </c>
      <c r="WKD115" s="197" t="str">
        <f>VLOOKUP(WKC115,[13]AssetDetails_UEM!$A$3:$AH$1849,6,FALSE)</f>
        <v>Electrosurgical Units, Monopolar/Bipolar</v>
      </c>
      <c r="WKE115" s="196" t="s">
        <v>761</v>
      </c>
      <c r="WKF115" s="197" t="str">
        <f>VLOOKUP(WKE115,[13]AssetDetails_UEM!$A$3:$AH$1849,6,FALSE)</f>
        <v>Electrosurgical Units, Monopolar/Bipolar</v>
      </c>
      <c r="WKG115" s="196" t="s">
        <v>761</v>
      </c>
      <c r="WKH115" s="197" t="str">
        <f>VLOOKUP(WKG115,[13]AssetDetails_UEM!$A$3:$AH$1849,6,FALSE)</f>
        <v>Electrosurgical Units, Monopolar/Bipolar</v>
      </c>
      <c r="WKI115" s="196" t="s">
        <v>761</v>
      </c>
      <c r="WKJ115" s="197" t="str">
        <f>VLOOKUP(WKI115,[13]AssetDetails_UEM!$A$3:$AH$1849,6,FALSE)</f>
        <v>Electrosurgical Units, Monopolar/Bipolar</v>
      </c>
      <c r="WKK115" s="196" t="s">
        <v>761</v>
      </c>
      <c r="WKL115" s="197" t="str">
        <f>VLOOKUP(WKK115,[13]AssetDetails_UEM!$A$3:$AH$1849,6,FALSE)</f>
        <v>Electrosurgical Units, Monopolar/Bipolar</v>
      </c>
      <c r="WKM115" s="196" t="s">
        <v>761</v>
      </c>
      <c r="WKN115" s="197" t="str">
        <f>VLOOKUP(WKM115,[13]AssetDetails_UEM!$A$3:$AH$1849,6,FALSE)</f>
        <v>Electrosurgical Units, Monopolar/Bipolar</v>
      </c>
      <c r="WKO115" s="196" t="s">
        <v>761</v>
      </c>
      <c r="WKP115" s="197" t="str">
        <f>VLOOKUP(WKO115,[13]AssetDetails_UEM!$A$3:$AH$1849,6,FALSE)</f>
        <v>Electrosurgical Units, Monopolar/Bipolar</v>
      </c>
      <c r="WKQ115" s="196" t="s">
        <v>761</v>
      </c>
      <c r="WKR115" s="197" t="str">
        <f>VLOOKUP(WKQ115,[13]AssetDetails_UEM!$A$3:$AH$1849,6,FALSE)</f>
        <v>Electrosurgical Units, Monopolar/Bipolar</v>
      </c>
      <c r="WKS115" s="196" t="s">
        <v>761</v>
      </c>
      <c r="WKT115" s="197" t="str">
        <f>VLOOKUP(WKS115,[13]AssetDetails_UEM!$A$3:$AH$1849,6,FALSE)</f>
        <v>Electrosurgical Units, Monopolar/Bipolar</v>
      </c>
      <c r="WKU115" s="196" t="s">
        <v>761</v>
      </c>
      <c r="WKV115" s="197" t="str">
        <f>VLOOKUP(WKU115,[13]AssetDetails_UEM!$A$3:$AH$1849,6,FALSE)</f>
        <v>Electrosurgical Units, Monopolar/Bipolar</v>
      </c>
      <c r="WKW115" s="196" t="s">
        <v>761</v>
      </c>
      <c r="WKX115" s="197" t="str">
        <f>VLOOKUP(WKW115,[13]AssetDetails_UEM!$A$3:$AH$1849,6,FALSE)</f>
        <v>Electrosurgical Units, Monopolar/Bipolar</v>
      </c>
      <c r="WKY115" s="196" t="s">
        <v>761</v>
      </c>
      <c r="WKZ115" s="197" t="str">
        <f>VLOOKUP(WKY115,[13]AssetDetails_UEM!$A$3:$AH$1849,6,FALSE)</f>
        <v>Electrosurgical Units, Monopolar/Bipolar</v>
      </c>
      <c r="WLA115" s="196" t="s">
        <v>761</v>
      </c>
      <c r="WLB115" s="197" t="str">
        <f>VLOOKUP(WLA115,[13]AssetDetails_UEM!$A$3:$AH$1849,6,FALSE)</f>
        <v>Electrosurgical Units, Monopolar/Bipolar</v>
      </c>
      <c r="WLC115" s="196" t="s">
        <v>761</v>
      </c>
      <c r="WLD115" s="197" t="str">
        <f>VLOOKUP(WLC115,[13]AssetDetails_UEM!$A$3:$AH$1849,6,FALSE)</f>
        <v>Electrosurgical Units, Monopolar/Bipolar</v>
      </c>
      <c r="WLE115" s="196" t="s">
        <v>761</v>
      </c>
      <c r="WLF115" s="197" t="str">
        <f>VLOOKUP(WLE115,[13]AssetDetails_UEM!$A$3:$AH$1849,6,FALSE)</f>
        <v>Electrosurgical Units, Monopolar/Bipolar</v>
      </c>
      <c r="WLG115" s="196" t="s">
        <v>761</v>
      </c>
      <c r="WLH115" s="197" t="str">
        <f>VLOOKUP(WLG115,[13]AssetDetails_UEM!$A$3:$AH$1849,6,FALSE)</f>
        <v>Electrosurgical Units, Monopolar/Bipolar</v>
      </c>
      <c r="WLI115" s="196" t="s">
        <v>761</v>
      </c>
      <c r="WLJ115" s="197" t="str">
        <f>VLOOKUP(WLI115,[13]AssetDetails_UEM!$A$3:$AH$1849,6,FALSE)</f>
        <v>Electrosurgical Units, Monopolar/Bipolar</v>
      </c>
      <c r="WLK115" s="196" t="s">
        <v>761</v>
      </c>
      <c r="WLL115" s="197" t="str">
        <f>VLOOKUP(WLK115,[13]AssetDetails_UEM!$A$3:$AH$1849,6,FALSE)</f>
        <v>Electrosurgical Units, Monopolar/Bipolar</v>
      </c>
      <c r="WLM115" s="196" t="s">
        <v>761</v>
      </c>
      <c r="WLN115" s="197" t="str">
        <f>VLOOKUP(WLM115,[13]AssetDetails_UEM!$A$3:$AH$1849,6,FALSE)</f>
        <v>Electrosurgical Units, Monopolar/Bipolar</v>
      </c>
      <c r="WLO115" s="196" t="s">
        <v>761</v>
      </c>
      <c r="WLP115" s="197" t="str">
        <f>VLOOKUP(WLO115,[13]AssetDetails_UEM!$A$3:$AH$1849,6,FALSE)</f>
        <v>Electrosurgical Units, Monopolar/Bipolar</v>
      </c>
      <c r="WLQ115" s="196" t="s">
        <v>761</v>
      </c>
      <c r="WLR115" s="197" t="str">
        <f>VLOOKUP(WLQ115,[13]AssetDetails_UEM!$A$3:$AH$1849,6,FALSE)</f>
        <v>Electrosurgical Units, Monopolar/Bipolar</v>
      </c>
      <c r="WLS115" s="196" t="s">
        <v>761</v>
      </c>
      <c r="WLT115" s="197" t="str">
        <f>VLOOKUP(WLS115,[13]AssetDetails_UEM!$A$3:$AH$1849,6,FALSE)</f>
        <v>Electrosurgical Units, Monopolar/Bipolar</v>
      </c>
      <c r="WLU115" s="196" t="s">
        <v>761</v>
      </c>
      <c r="WLV115" s="197" t="str">
        <f>VLOOKUP(WLU115,[13]AssetDetails_UEM!$A$3:$AH$1849,6,FALSE)</f>
        <v>Electrosurgical Units, Monopolar/Bipolar</v>
      </c>
      <c r="WLW115" s="196" t="s">
        <v>761</v>
      </c>
      <c r="WLX115" s="197" t="str">
        <f>VLOOKUP(WLW115,[13]AssetDetails_UEM!$A$3:$AH$1849,6,FALSE)</f>
        <v>Electrosurgical Units, Monopolar/Bipolar</v>
      </c>
      <c r="WLY115" s="196" t="s">
        <v>761</v>
      </c>
      <c r="WLZ115" s="197" t="str">
        <f>VLOOKUP(WLY115,[13]AssetDetails_UEM!$A$3:$AH$1849,6,FALSE)</f>
        <v>Electrosurgical Units, Monopolar/Bipolar</v>
      </c>
      <c r="WMA115" s="196" t="s">
        <v>761</v>
      </c>
      <c r="WMB115" s="197" t="str">
        <f>VLOOKUP(WMA115,[13]AssetDetails_UEM!$A$3:$AH$1849,6,FALSE)</f>
        <v>Electrosurgical Units, Monopolar/Bipolar</v>
      </c>
      <c r="WMC115" s="196" t="s">
        <v>761</v>
      </c>
      <c r="WMD115" s="197" t="str">
        <f>VLOOKUP(WMC115,[13]AssetDetails_UEM!$A$3:$AH$1849,6,FALSE)</f>
        <v>Electrosurgical Units, Monopolar/Bipolar</v>
      </c>
      <c r="WME115" s="196" t="s">
        <v>761</v>
      </c>
      <c r="WMF115" s="197" t="str">
        <f>VLOOKUP(WME115,[13]AssetDetails_UEM!$A$3:$AH$1849,6,FALSE)</f>
        <v>Electrosurgical Units, Monopolar/Bipolar</v>
      </c>
      <c r="WMG115" s="196" t="s">
        <v>761</v>
      </c>
      <c r="WMH115" s="197" t="str">
        <f>VLOOKUP(WMG115,[13]AssetDetails_UEM!$A$3:$AH$1849,6,FALSE)</f>
        <v>Electrosurgical Units, Monopolar/Bipolar</v>
      </c>
      <c r="WMI115" s="196" t="s">
        <v>761</v>
      </c>
      <c r="WMJ115" s="197" t="str">
        <f>VLOOKUP(WMI115,[13]AssetDetails_UEM!$A$3:$AH$1849,6,FALSE)</f>
        <v>Electrosurgical Units, Monopolar/Bipolar</v>
      </c>
      <c r="WMK115" s="196" t="s">
        <v>761</v>
      </c>
      <c r="WML115" s="197" t="str">
        <f>VLOOKUP(WMK115,[13]AssetDetails_UEM!$A$3:$AH$1849,6,FALSE)</f>
        <v>Electrosurgical Units, Monopolar/Bipolar</v>
      </c>
      <c r="WMM115" s="196" t="s">
        <v>761</v>
      </c>
      <c r="WMN115" s="197" t="str">
        <f>VLOOKUP(WMM115,[13]AssetDetails_UEM!$A$3:$AH$1849,6,FALSE)</f>
        <v>Electrosurgical Units, Monopolar/Bipolar</v>
      </c>
      <c r="WMO115" s="196" t="s">
        <v>761</v>
      </c>
      <c r="WMP115" s="197" t="str">
        <f>VLOOKUP(WMO115,[13]AssetDetails_UEM!$A$3:$AH$1849,6,FALSE)</f>
        <v>Electrosurgical Units, Monopolar/Bipolar</v>
      </c>
      <c r="WMQ115" s="196" t="s">
        <v>761</v>
      </c>
      <c r="WMR115" s="197" t="str">
        <f>VLOOKUP(WMQ115,[13]AssetDetails_UEM!$A$3:$AH$1849,6,FALSE)</f>
        <v>Electrosurgical Units, Monopolar/Bipolar</v>
      </c>
      <c r="WMS115" s="196" t="s">
        <v>761</v>
      </c>
      <c r="WMT115" s="197" t="str">
        <f>VLOOKUP(WMS115,[13]AssetDetails_UEM!$A$3:$AH$1849,6,FALSE)</f>
        <v>Electrosurgical Units, Monopolar/Bipolar</v>
      </c>
      <c r="WMU115" s="196" t="s">
        <v>761</v>
      </c>
      <c r="WMV115" s="197" t="str">
        <f>VLOOKUP(WMU115,[13]AssetDetails_UEM!$A$3:$AH$1849,6,FALSE)</f>
        <v>Electrosurgical Units, Monopolar/Bipolar</v>
      </c>
      <c r="WMW115" s="196" t="s">
        <v>761</v>
      </c>
      <c r="WMX115" s="197" t="str">
        <f>VLOOKUP(WMW115,[13]AssetDetails_UEM!$A$3:$AH$1849,6,FALSE)</f>
        <v>Electrosurgical Units, Monopolar/Bipolar</v>
      </c>
      <c r="WMY115" s="196" t="s">
        <v>761</v>
      </c>
      <c r="WMZ115" s="197" t="str">
        <f>VLOOKUP(WMY115,[13]AssetDetails_UEM!$A$3:$AH$1849,6,FALSE)</f>
        <v>Electrosurgical Units, Monopolar/Bipolar</v>
      </c>
      <c r="WNA115" s="196" t="s">
        <v>761</v>
      </c>
      <c r="WNB115" s="197" t="str">
        <f>VLOOKUP(WNA115,[13]AssetDetails_UEM!$A$3:$AH$1849,6,FALSE)</f>
        <v>Electrosurgical Units, Monopolar/Bipolar</v>
      </c>
      <c r="WNC115" s="196" t="s">
        <v>761</v>
      </c>
      <c r="WND115" s="197" t="str">
        <f>VLOOKUP(WNC115,[13]AssetDetails_UEM!$A$3:$AH$1849,6,FALSE)</f>
        <v>Electrosurgical Units, Monopolar/Bipolar</v>
      </c>
      <c r="WNE115" s="196" t="s">
        <v>761</v>
      </c>
      <c r="WNF115" s="197" t="str">
        <f>VLOOKUP(WNE115,[13]AssetDetails_UEM!$A$3:$AH$1849,6,FALSE)</f>
        <v>Electrosurgical Units, Monopolar/Bipolar</v>
      </c>
      <c r="WNG115" s="196" t="s">
        <v>761</v>
      </c>
      <c r="WNH115" s="197" t="str">
        <f>VLOOKUP(WNG115,[13]AssetDetails_UEM!$A$3:$AH$1849,6,FALSE)</f>
        <v>Electrosurgical Units, Monopolar/Bipolar</v>
      </c>
      <c r="WNI115" s="196" t="s">
        <v>761</v>
      </c>
      <c r="WNJ115" s="197" t="str">
        <f>VLOOKUP(WNI115,[13]AssetDetails_UEM!$A$3:$AH$1849,6,FALSE)</f>
        <v>Electrosurgical Units, Monopolar/Bipolar</v>
      </c>
      <c r="WNK115" s="196" t="s">
        <v>761</v>
      </c>
      <c r="WNL115" s="197" t="str">
        <f>VLOOKUP(WNK115,[13]AssetDetails_UEM!$A$3:$AH$1849,6,FALSE)</f>
        <v>Electrosurgical Units, Monopolar/Bipolar</v>
      </c>
      <c r="WNM115" s="196" t="s">
        <v>761</v>
      </c>
      <c r="WNN115" s="197" t="str">
        <f>VLOOKUP(WNM115,[13]AssetDetails_UEM!$A$3:$AH$1849,6,FALSE)</f>
        <v>Electrosurgical Units, Monopolar/Bipolar</v>
      </c>
      <c r="WNO115" s="196" t="s">
        <v>761</v>
      </c>
      <c r="WNP115" s="197" t="str">
        <f>VLOOKUP(WNO115,[13]AssetDetails_UEM!$A$3:$AH$1849,6,FALSE)</f>
        <v>Electrosurgical Units, Monopolar/Bipolar</v>
      </c>
      <c r="WNQ115" s="196" t="s">
        <v>761</v>
      </c>
      <c r="WNR115" s="197" t="str">
        <f>VLOOKUP(WNQ115,[13]AssetDetails_UEM!$A$3:$AH$1849,6,FALSE)</f>
        <v>Electrosurgical Units, Monopolar/Bipolar</v>
      </c>
      <c r="WNS115" s="196" t="s">
        <v>761</v>
      </c>
      <c r="WNT115" s="197" t="str">
        <f>VLOOKUP(WNS115,[13]AssetDetails_UEM!$A$3:$AH$1849,6,FALSE)</f>
        <v>Electrosurgical Units, Monopolar/Bipolar</v>
      </c>
      <c r="WNU115" s="196" t="s">
        <v>761</v>
      </c>
      <c r="WNV115" s="197" t="str">
        <f>VLOOKUP(WNU115,[13]AssetDetails_UEM!$A$3:$AH$1849,6,FALSE)</f>
        <v>Electrosurgical Units, Monopolar/Bipolar</v>
      </c>
      <c r="WNW115" s="196" t="s">
        <v>761</v>
      </c>
      <c r="WNX115" s="197" t="str">
        <f>VLOOKUP(WNW115,[13]AssetDetails_UEM!$A$3:$AH$1849,6,FALSE)</f>
        <v>Electrosurgical Units, Monopolar/Bipolar</v>
      </c>
      <c r="WNY115" s="196" t="s">
        <v>761</v>
      </c>
      <c r="WNZ115" s="197" t="str">
        <f>VLOOKUP(WNY115,[13]AssetDetails_UEM!$A$3:$AH$1849,6,FALSE)</f>
        <v>Electrosurgical Units, Monopolar/Bipolar</v>
      </c>
      <c r="WOA115" s="196" t="s">
        <v>761</v>
      </c>
      <c r="WOB115" s="197" t="str">
        <f>VLOOKUP(WOA115,[13]AssetDetails_UEM!$A$3:$AH$1849,6,FALSE)</f>
        <v>Electrosurgical Units, Monopolar/Bipolar</v>
      </c>
      <c r="WOC115" s="196" t="s">
        <v>761</v>
      </c>
      <c r="WOD115" s="197" t="str">
        <f>VLOOKUP(WOC115,[13]AssetDetails_UEM!$A$3:$AH$1849,6,FALSE)</f>
        <v>Electrosurgical Units, Monopolar/Bipolar</v>
      </c>
      <c r="WOE115" s="196" t="s">
        <v>761</v>
      </c>
      <c r="WOF115" s="197" t="str">
        <f>VLOOKUP(WOE115,[13]AssetDetails_UEM!$A$3:$AH$1849,6,FALSE)</f>
        <v>Electrosurgical Units, Monopolar/Bipolar</v>
      </c>
      <c r="WOG115" s="196" t="s">
        <v>761</v>
      </c>
      <c r="WOH115" s="197" t="str">
        <f>VLOOKUP(WOG115,[13]AssetDetails_UEM!$A$3:$AH$1849,6,FALSE)</f>
        <v>Electrosurgical Units, Monopolar/Bipolar</v>
      </c>
      <c r="WOI115" s="196" t="s">
        <v>761</v>
      </c>
      <c r="WOJ115" s="197" t="str">
        <f>VLOOKUP(WOI115,[13]AssetDetails_UEM!$A$3:$AH$1849,6,FALSE)</f>
        <v>Electrosurgical Units, Monopolar/Bipolar</v>
      </c>
      <c r="WOK115" s="196" t="s">
        <v>761</v>
      </c>
      <c r="WOL115" s="197" t="str">
        <f>VLOOKUP(WOK115,[13]AssetDetails_UEM!$A$3:$AH$1849,6,FALSE)</f>
        <v>Electrosurgical Units, Monopolar/Bipolar</v>
      </c>
      <c r="WOM115" s="196" t="s">
        <v>761</v>
      </c>
      <c r="WON115" s="197" t="str">
        <f>VLOOKUP(WOM115,[13]AssetDetails_UEM!$A$3:$AH$1849,6,FALSE)</f>
        <v>Electrosurgical Units, Monopolar/Bipolar</v>
      </c>
      <c r="WOO115" s="196" t="s">
        <v>761</v>
      </c>
      <c r="WOP115" s="197" t="str">
        <f>VLOOKUP(WOO115,[13]AssetDetails_UEM!$A$3:$AH$1849,6,FALSE)</f>
        <v>Electrosurgical Units, Monopolar/Bipolar</v>
      </c>
      <c r="WOQ115" s="196" t="s">
        <v>761</v>
      </c>
      <c r="WOR115" s="197" t="str">
        <f>VLOOKUP(WOQ115,[13]AssetDetails_UEM!$A$3:$AH$1849,6,FALSE)</f>
        <v>Electrosurgical Units, Monopolar/Bipolar</v>
      </c>
      <c r="WOS115" s="196" t="s">
        <v>761</v>
      </c>
      <c r="WOT115" s="197" t="str">
        <f>VLOOKUP(WOS115,[13]AssetDetails_UEM!$A$3:$AH$1849,6,FALSE)</f>
        <v>Electrosurgical Units, Monopolar/Bipolar</v>
      </c>
      <c r="WOU115" s="196" t="s">
        <v>761</v>
      </c>
      <c r="WOV115" s="197" t="str">
        <f>VLOOKUP(WOU115,[13]AssetDetails_UEM!$A$3:$AH$1849,6,FALSE)</f>
        <v>Electrosurgical Units, Monopolar/Bipolar</v>
      </c>
      <c r="WOW115" s="196" t="s">
        <v>761</v>
      </c>
      <c r="WOX115" s="197" t="str">
        <f>VLOOKUP(WOW115,[13]AssetDetails_UEM!$A$3:$AH$1849,6,FALSE)</f>
        <v>Electrosurgical Units, Monopolar/Bipolar</v>
      </c>
      <c r="WOY115" s="196" t="s">
        <v>761</v>
      </c>
      <c r="WOZ115" s="197" t="str">
        <f>VLOOKUP(WOY115,[13]AssetDetails_UEM!$A$3:$AH$1849,6,FALSE)</f>
        <v>Electrosurgical Units, Monopolar/Bipolar</v>
      </c>
      <c r="WPA115" s="196" t="s">
        <v>761</v>
      </c>
      <c r="WPB115" s="197" t="str">
        <f>VLOOKUP(WPA115,[13]AssetDetails_UEM!$A$3:$AH$1849,6,FALSE)</f>
        <v>Electrosurgical Units, Monopolar/Bipolar</v>
      </c>
      <c r="WPC115" s="196" t="s">
        <v>761</v>
      </c>
      <c r="WPD115" s="197" t="str">
        <f>VLOOKUP(WPC115,[13]AssetDetails_UEM!$A$3:$AH$1849,6,FALSE)</f>
        <v>Electrosurgical Units, Monopolar/Bipolar</v>
      </c>
      <c r="WPE115" s="196" t="s">
        <v>761</v>
      </c>
      <c r="WPF115" s="197" t="str">
        <f>VLOOKUP(WPE115,[13]AssetDetails_UEM!$A$3:$AH$1849,6,FALSE)</f>
        <v>Electrosurgical Units, Monopolar/Bipolar</v>
      </c>
      <c r="WPG115" s="196" t="s">
        <v>761</v>
      </c>
      <c r="WPH115" s="197" t="str">
        <f>VLOOKUP(WPG115,[13]AssetDetails_UEM!$A$3:$AH$1849,6,FALSE)</f>
        <v>Electrosurgical Units, Monopolar/Bipolar</v>
      </c>
      <c r="WPI115" s="196" t="s">
        <v>761</v>
      </c>
      <c r="WPJ115" s="197" t="str">
        <f>VLOOKUP(WPI115,[13]AssetDetails_UEM!$A$3:$AH$1849,6,FALSE)</f>
        <v>Electrosurgical Units, Monopolar/Bipolar</v>
      </c>
      <c r="WPK115" s="196" t="s">
        <v>761</v>
      </c>
      <c r="WPL115" s="197" t="str">
        <f>VLOOKUP(WPK115,[13]AssetDetails_UEM!$A$3:$AH$1849,6,FALSE)</f>
        <v>Electrosurgical Units, Monopolar/Bipolar</v>
      </c>
      <c r="WPM115" s="196" t="s">
        <v>761</v>
      </c>
      <c r="WPN115" s="197" t="str">
        <f>VLOOKUP(WPM115,[13]AssetDetails_UEM!$A$3:$AH$1849,6,FALSE)</f>
        <v>Electrosurgical Units, Monopolar/Bipolar</v>
      </c>
      <c r="WPO115" s="196" t="s">
        <v>761</v>
      </c>
      <c r="WPP115" s="197" t="str">
        <f>VLOOKUP(WPO115,[13]AssetDetails_UEM!$A$3:$AH$1849,6,FALSE)</f>
        <v>Electrosurgical Units, Monopolar/Bipolar</v>
      </c>
      <c r="WPQ115" s="196" t="s">
        <v>761</v>
      </c>
      <c r="WPR115" s="197" t="str">
        <f>VLOOKUP(WPQ115,[13]AssetDetails_UEM!$A$3:$AH$1849,6,FALSE)</f>
        <v>Electrosurgical Units, Monopolar/Bipolar</v>
      </c>
      <c r="WPS115" s="196" t="s">
        <v>761</v>
      </c>
      <c r="WPT115" s="197" t="str">
        <f>VLOOKUP(WPS115,[13]AssetDetails_UEM!$A$3:$AH$1849,6,FALSE)</f>
        <v>Electrosurgical Units, Monopolar/Bipolar</v>
      </c>
      <c r="WPU115" s="196" t="s">
        <v>761</v>
      </c>
      <c r="WPV115" s="197" t="str">
        <f>VLOOKUP(WPU115,[13]AssetDetails_UEM!$A$3:$AH$1849,6,FALSE)</f>
        <v>Electrosurgical Units, Monopolar/Bipolar</v>
      </c>
      <c r="WPW115" s="196" t="s">
        <v>761</v>
      </c>
      <c r="WPX115" s="197" t="str">
        <f>VLOOKUP(WPW115,[13]AssetDetails_UEM!$A$3:$AH$1849,6,FALSE)</f>
        <v>Electrosurgical Units, Monopolar/Bipolar</v>
      </c>
      <c r="WPY115" s="196" t="s">
        <v>761</v>
      </c>
      <c r="WPZ115" s="197" t="str">
        <f>VLOOKUP(WPY115,[13]AssetDetails_UEM!$A$3:$AH$1849,6,FALSE)</f>
        <v>Electrosurgical Units, Monopolar/Bipolar</v>
      </c>
      <c r="WQA115" s="196" t="s">
        <v>761</v>
      </c>
      <c r="WQB115" s="197" t="str">
        <f>VLOOKUP(WQA115,[13]AssetDetails_UEM!$A$3:$AH$1849,6,FALSE)</f>
        <v>Electrosurgical Units, Monopolar/Bipolar</v>
      </c>
      <c r="WQC115" s="196" t="s">
        <v>761</v>
      </c>
      <c r="WQD115" s="197" t="str">
        <f>VLOOKUP(WQC115,[13]AssetDetails_UEM!$A$3:$AH$1849,6,FALSE)</f>
        <v>Electrosurgical Units, Monopolar/Bipolar</v>
      </c>
      <c r="WQE115" s="196" t="s">
        <v>761</v>
      </c>
      <c r="WQF115" s="197" t="str">
        <f>VLOOKUP(WQE115,[13]AssetDetails_UEM!$A$3:$AH$1849,6,FALSE)</f>
        <v>Electrosurgical Units, Monopolar/Bipolar</v>
      </c>
      <c r="WQG115" s="196" t="s">
        <v>761</v>
      </c>
      <c r="WQH115" s="197" t="str">
        <f>VLOOKUP(WQG115,[13]AssetDetails_UEM!$A$3:$AH$1849,6,FALSE)</f>
        <v>Electrosurgical Units, Monopolar/Bipolar</v>
      </c>
      <c r="WQI115" s="196" t="s">
        <v>761</v>
      </c>
      <c r="WQJ115" s="197" t="str">
        <f>VLOOKUP(WQI115,[13]AssetDetails_UEM!$A$3:$AH$1849,6,FALSE)</f>
        <v>Electrosurgical Units, Monopolar/Bipolar</v>
      </c>
      <c r="WQK115" s="196" t="s">
        <v>761</v>
      </c>
      <c r="WQL115" s="197" t="str">
        <f>VLOOKUP(WQK115,[13]AssetDetails_UEM!$A$3:$AH$1849,6,FALSE)</f>
        <v>Electrosurgical Units, Monopolar/Bipolar</v>
      </c>
      <c r="WQM115" s="196" t="s">
        <v>761</v>
      </c>
      <c r="WQN115" s="197" t="str">
        <f>VLOOKUP(WQM115,[13]AssetDetails_UEM!$A$3:$AH$1849,6,FALSE)</f>
        <v>Electrosurgical Units, Monopolar/Bipolar</v>
      </c>
      <c r="WQO115" s="196" t="s">
        <v>761</v>
      </c>
      <c r="WQP115" s="197" t="str">
        <f>VLOOKUP(WQO115,[13]AssetDetails_UEM!$A$3:$AH$1849,6,FALSE)</f>
        <v>Electrosurgical Units, Monopolar/Bipolar</v>
      </c>
      <c r="WQQ115" s="196" t="s">
        <v>761</v>
      </c>
      <c r="WQR115" s="197" t="str">
        <f>VLOOKUP(WQQ115,[13]AssetDetails_UEM!$A$3:$AH$1849,6,FALSE)</f>
        <v>Electrosurgical Units, Monopolar/Bipolar</v>
      </c>
      <c r="WQS115" s="196" t="s">
        <v>761</v>
      </c>
      <c r="WQT115" s="197" t="str">
        <f>VLOOKUP(WQS115,[13]AssetDetails_UEM!$A$3:$AH$1849,6,FALSE)</f>
        <v>Electrosurgical Units, Monopolar/Bipolar</v>
      </c>
      <c r="WQU115" s="196" t="s">
        <v>761</v>
      </c>
      <c r="WQV115" s="197" t="str">
        <f>VLOOKUP(WQU115,[13]AssetDetails_UEM!$A$3:$AH$1849,6,FALSE)</f>
        <v>Electrosurgical Units, Monopolar/Bipolar</v>
      </c>
      <c r="WQW115" s="196" t="s">
        <v>761</v>
      </c>
      <c r="WQX115" s="197" t="str">
        <f>VLOOKUP(WQW115,[13]AssetDetails_UEM!$A$3:$AH$1849,6,FALSE)</f>
        <v>Electrosurgical Units, Monopolar/Bipolar</v>
      </c>
      <c r="WQY115" s="196" t="s">
        <v>761</v>
      </c>
      <c r="WQZ115" s="197" t="str">
        <f>VLOOKUP(WQY115,[13]AssetDetails_UEM!$A$3:$AH$1849,6,FALSE)</f>
        <v>Electrosurgical Units, Monopolar/Bipolar</v>
      </c>
      <c r="WRA115" s="196" t="s">
        <v>761</v>
      </c>
      <c r="WRB115" s="197" t="str">
        <f>VLOOKUP(WRA115,[13]AssetDetails_UEM!$A$3:$AH$1849,6,FALSE)</f>
        <v>Electrosurgical Units, Monopolar/Bipolar</v>
      </c>
      <c r="WRC115" s="196" t="s">
        <v>761</v>
      </c>
      <c r="WRD115" s="197" t="str">
        <f>VLOOKUP(WRC115,[13]AssetDetails_UEM!$A$3:$AH$1849,6,FALSE)</f>
        <v>Electrosurgical Units, Monopolar/Bipolar</v>
      </c>
      <c r="WRE115" s="196" t="s">
        <v>761</v>
      </c>
      <c r="WRF115" s="197" t="str">
        <f>VLOOKUP(WRE115,[13]AssetDetails_UEM!$A$3:$AH$1849,6,FALSE)</f>
        <v>Electrosurgical Units, Monopolar/Bipolar</v>
      </c>
      <c r="WRG115" s="196" t="s">
        <v>761</v>
      </c>
      <c r="WRH115" s="197" t="str">
        <f>VLOOKUP(WRG115,[13]AssetDetails_UEM!$A$3:$AH$1849,6,FALSE)</f>
        <v>Electrosurgical Units, Monopolar/Bipolar</v>
      </c>
      <c r="WRI115" s="196" t="s">
        <v>761</v>
      </c>
      <c r="WRJ115" s="197" t="str">
        <f>VLOOKUP(WRI115,[13]AssetDetails_UEM!$A$3:$AH$1849,6,FALSE)</f>
        <v>Electrosurgical Units, Monopolar/Bipolar</v>
      </c>
      <c r="WRK115" s="196" t="s">
        <v>761</v>
      </c>
      <c r="WRL115" s="197" t="str">
        <f>VLOOKUP(WRK115,[13]AssetDetails_UEM!$A$3:$AH$1849,6,FALSE)</f>
        <v>Electrosurgical Units, Monopolar/Bipolar</v>
      </c>
      <c r="WRM115" s="196" t="s">
        <v>761</v>
      </c>
      <c r="WRN115" s="197" t="str">
        <f>VLOOKUP(WRM115,[13]AssetDetails_UEM!$A$3:$AH$1849,6,FALSE)</f>
        <v>Electrosurgical Units, Monopolar/Bipolar</v>
      </c>
      <c r="WRO115" s="196" t="s">
        <v>761</v>
      </c>
      <c r="WRP115" s="197" t="str">
        <f>VLOOKUP(WRO115,[13]AssetDetails_UEM!$A$3:$AH$1849,6,FALSE)</f>
        <v>Electrosurgical Units, Monopolar/Bipolar</v>
      </c>
      <c r="WRQ115" s="196" t="s">
        <v>761</v>
      </c>
      <c r="WRR115" s="197" t="str">
        <f>VLOOKUP(WRQ115,[13]AssetDetails_UEM!$A$3:$AH$1849,6,FALSE)</f>
        <v>Electrosurgical Units, Monopolar/Bipolar</v>
      </c>
      <c r="WRS115" s="196" t="s">
        <v>761</v>
      </c>
      <c r="WRT115" s="197" t="str">
        <f>VLOOKUP(WRS115,[13]AssetDetails_UEM!$A$3:$AH$1849,6,FALSE)</f>
        <v>Electrosurgical Units, Monopolar/Bipolar</v>
      </c>
      <c r="WRU115" s="196" t="s">
        <v>761</v>
      </c>
      <c r="WRV115" s="197" t="str">
        <f>VLOOKUP(WRU115,[13]AssetDetails_UEM!$A$3:$AH$1849,6,FALSE)</f>
        <v>Electrosurgical Units, Monopolar/Bipolar</v>
      </c>
      <c r="WRW115" s="196" t="s">
        <v>761</v>
      </c>
      <c r="WRX115" s="197" t="str">
        <f>VLOOKUP(WRW115,[13]AssetDetails_UEM!$A$3:$AH$1849,6,FALSE)</f>
        <v>Electrosurgical Units, Monopolar/Bipolar</v>
      </c>
      <c r="WRY115" s="196" t="s">
        <v>761</v>
      </c>
      <c r="WRZ115" s="197" t="str">
        <f>VLOOKUP(WRY115,[13]AssetDetails_UEM!$A$3:$AH$1849,6,FALSE)</f>
        <v>Electrosurgical Units, Monopolar/Bipolar</v>
      </c>
      <c r="WSA115" s="196" t="s">
        <v>761</v>
      </c>
      <c r="WSB115" s="197" t="str">
        <f>VLOOKUP(WSA115,[13]AssetDetails_UEM!$A$3:$AH$1849,6,FALSE)</f>
        <v>Electrosurgical Units, Monopolar/Bipolar</v>
      </c>
      <c r="WSC115" s="196" t="s">
        <v>761</v>
      </c>
      <c r="WSD115" s="197" t="str">
        <f>VLOOKUP(WSC115,[13]AssetDetails_UEM!$A$3:$AH$1849,6,FALSE)</f>
        <v>Electrosurgical Units, Monopolar/Bipolar</v>
      </c>
      <c r="WSE115" s="196" t="s">
        <v>761</v>
      </c>
      <c r="WSF115" s="197" t="str">
        <f>VLOOKUP(WSE115,[13]AssetDetails_UEM!$A$3:$AH$1849,6,FALSE)</f>
        <v>Electrosurgical Units, Monopolar/Bipolar</v>
      </c>
      <c r="WSG115" s="196" t="s">
        <v>761</v>
      </c>
      <c r="WSH115" s="197" t="str">
        <f>VLOOKUP(WSG115,[13]AssetDetails_UEM!$A$3:$AH$1849,6,FALSE)</f>
        <v>Electrosurgical Units, Monopolar/Bipolar</v>
      </c>
      <c r="WSI115" s="196" t="s">
        <v>761</v>
      </c>
      <c r="WSJ115" s="197" t="str">
        <f>VLOOKUP(WSI115,[13]AssetDetails_UEM!$A$3:$AH$1849,6,FALSE)</f>
        <v>Electrosurgical Units, Monopolar/Bipolar</v>
      </c>
      <c r="WSK115" s="196" t="s">
        <v>761</v>
      </c>
      <c r="WSL115" s="197" t="str">
        <f>VLOOKUP(WSK115,[13]AssetDetails_UEM!$A$3:$AH$1849,6,FALSE)</f>
        <v>Electrosurgical Units, Monopolar/Bipolar</v>
      </c>
      <c r="WSM115" s="196" t="s">
        <v>761</v>
      </c>
      <c r="WSN115" s="197" t="str">
        <f>VLOOKUP(WSM115,[13]AssetDetails_UEM!$A$3:$AH$1849,6,FALSE)</f>
        <v>Electrosurgical Units, Monopolar/Bipolar</v>
      </c>
      <c r="WSO115" s="196" t="s">
        <v>761</v>
      </c>
      <c r="WSP115" s="197" t="str">
        <f>VLOOKUP(WSO115,[13]AssetDetails_UEM!$A$3:$AH$1849,6,FALSE)</f>
        <v>Electrosurgical Units, Monopolar/Bipolar</v>
      </c>
      <c r="WSQ115" s="196" t="s">
        <v>761</v>
      </c>
      <c r="WSR115" s="197" t="str">
        <f>VLOOKUP(WSQ115,[13]AssetDetails_UEM!$A$3:$AH$1849,6,FALSE)</f>
        <v>Electrosurgical Units, Monopolar/Bipolar</v>
      </c>
      <c r="WSS115" s="196" t="s">
        <v>761</v>
      </c>
      <c r="WST115" s="197" t="str">
        <f>VLOOKUP(WSS115,[13]AssetDetails_UEM!$A$3:$AH$1849,6,FALSE)</f>
        <v>Electrosurgical Units, Monopolar/Bipolar</v>
      </c>
      <c r="WSU115" s="196" t="s">
        <v>761</v>
      </c>
      <c r="WSV115" s="197" t="str">
        <f>VLOOKUP(WSU115,[13]AssetDetails_UEM!$A$3:$AH$1849,6,FALSE)</f>
        <v>Electrosurgical Units, Monopolar/Bipolar</v>
      </c>
      <c r="WSW115" s="196" t="s">
        <v>761</v>
      </c>
      <c r="WSX115" s="197" t="str">
        <f>VLOOKUP(WSW115,[13]AssetDetails_UEM!$A$3:$AH$1849,6,FALSE)</f>
        <v>Electrosurgical Units, Monopolar/Bipolar</v>
      </c>
      <c r="WSY115" s="196" t="s">
        <v>761</v>
      </c>
      <c r="WSZ115" s="197" t="str">
        <f>VLOOKUP(WSY115,[13]AssetDetails_UEM!$A$3:$AH$1849,6,FALSE)</f>
        <v>Electrosurgical Units, Monopolar/Bipolar</v>
      </c>
      <c r="WTA115" s="196" t="s">
        <v>761</v>
      </c>
      <c r="WTB115" s="197" t="str">
        <f>VLOOKUP(WTA115,[13]AssetDetails_UEM!$A$3:$AH$1849,6,FALSE)</f>
        <v>Electrosurgical Units, Monopolar/Bipolar</v>
      </c>
      <c r="WTC115" s="196" t="s">
        <v>761</v>
      </c>
      <c r="WTD115" s="197" t="str">
        <f>VLOOKUP(WTC115,[13]AssetDetails_UEM!$A$3:$AH$1849,6,FALSE)</f>
        <v>Electrosurgical Units, Monopolar/Bipolar</v>
      </c>
      <c r="WTE115" s="196" t="s">
        <v>761</v>
      </c>
      <c r="WTF115" s="197" t="str">
        <f>VLOOKUP(WTE115,[13]AssetDetails_UEM!$A$3:$AH$1849,6,FALSE)</f>
        <v>Electrosurgical Units, Monopolar/Bipolar</v>
      </c>
      <c r="WTG115" s="196" t="s">
        <v>761</v>
      </c>
      <c r="WTH115" s="197" t="str">
        <f>VLOOKUP(WTG115,[13]AssetDetails_UEM!$A$3:$AH$1849,6,FALSE)</f>
        <v>Electrosurgical Units, Monopolar/Bipolar</v>
      </c>
      <c r="WTI115" s="196" t="s">
        <v>761</v>
      </c>
      <c r="WTJ115" s="197" t="str">
        <f>VLOOKUP(WTI115,[13]AssetDetails_UEM!$A$3:$AH$1849,6,FALSE)</f>
        <v>Electrosurgical Units, Monopolar/Bipolar</v>
      </c>
      <c r="WTK115" s="196" t="s">
        <v>761</v>
      </c>
      <c r="WTL115" s="197" t="str">
        <f>VLOOKUP(WTK115,[13]AssetDetails_UEM!$A$3:$AH$1849,6,FALSE)</f>
        <v>Electrosurgical Units, Monopolar/Bipolar</v>
      </c>
      <c r="WTM115" s="196" t="s">
        <v>761</v>
      </c>
      <c r="WTN115" s="197" t="str">
        <f>VLOOKUP(WTM115,[13]AssetDetails_UEM!$A$3:$AH$1849,6,FALSE)</f>
        <v>Electrosurgical Units, Monopolar/Bipolar</v>
      </c>
      <c r="WTO115" s="196" t="s">
        <v>761</v>
      </c>
      <c r="WTP115" s="197" t="str">
        <f>VLOOKUP(WTO115,[13]AssetDetails_UEM!$A$3:$AH$1849,6,FALSE)</f>
        <v>Electrosurgical Units, Monopolar/Bipolar</v>
      </c>
      <c r="WTQ115" s="196" t="s">
        <v>761</v>
      </c>
      <c r="WTR115" s="197" t="str">
        <f>VLOOKUP(WTQ115,[13]AssetDetails_UEM!$A$3:$AH$1849,6,FALSE)</f>
        <v>Electrosurgical Units, Monopolar/Bipolar</v>
      </c>
      <c r="WTS115" s="196" t="s">
        <v>761</v>
      </c>
      <c r="WTT115" s="197" t="str">
        <f>VLOOKUP(WTS115,[13]AssetDetails_UEM!$A$3:$AH$1849,6,FALSE)</f>
        <v>Electrosurgical Units, Monopolar/Bipolar</v>
      </c>
      <c r="WTU115" s="196" t="s">
        <v>761</v>
      </c>
      <c r="WTV115" s="197" t="str">
        <f>VLOOKUP(WTU115,[13]AssetDetails_UEM!$A$3:$AH$1849,6,FALSE)</f>
        <v>Electrosurgical Units, Monopolar/Bipolar</v>
      </c>
      <c r="WTW115" s="196" t="s">
        <v>761</v>
      </c>
      <c r="WTX115" s="197" t="str">
        <f>VLOOKUP(WTW115,[13]AssetDetails_UEM!$A$3:$AH$1849,6,FALSE)</f>
        <v>Electrosurgical Units, Monopolar/Bipolar</v>
      </c>
      <c r="WTY115" s="196" t="s">
        <v>761</v>
      </c>
      <c r="WTZ115" s="197" t="str">
        <f>VLOOKUP(WTY115,[13]AssetDetails_UEM!$A$3:$AH$1849,6,FALSE)</f>
        <v>Electrosurgical Units, Monopolar/Bipolar</v>
      </c>
      <c r="WUA115" s="196" t="s">
        <v>761</v>
      </c>
      <c r="WUB115" s="197" t="str">
        <f>VLOOKUP(WUA115,[13]AssetDetails_UEM!$A$3:$AH$1849,6,FALSE)</f>
        <v>Electrosurgical Units, Monopolar/Bipolar</v>
      </c>
      <c r="WUC115" s="196" t="s">
        <v>761</v>
      </c>
      <c r="WUD115" s="197" t="str">
        <f>VLOOKUP(WUC115,[13]AssetDetails_UEM!$A$3:$AH$1849,6,FALSE)</f>
        <v>Electrosurgical Units, Monopolar/Bipolar</v>
      </c>
      <c r="WUE115" s="196" t="s">
        <v>761</v>
      </c>
      <c r="WUF115" s="197" t="str">
        <f>VLOOKUP(WUE115,[13]AssetDetails_UEM!$A$3:$AH$1849,6,FALSE)</f>
        <v>Electrosurgical Units, Monopolar/Bipolar</v>
      </c>
      <c r="WUG115" s="196" t="s">
        <v>761</v>
      </c>
      <c r="WUH115" s="197" t="str">
        <f>VLOOKUP(WUG115,[13]AssetDetails_UEM!$A$3:$AH$1849,6,FALSE)</f>
        <v>Electrosurgical Units, Monopolar/Bipolar</v>
      </c>
      <c r="WUI115" s="196" t="s">
        <v>761</v>
      </c>
      <c r="WUJ115" s="197" t="str">
        <f>VLOOKUP(WUI115,[13]AssetDetails_UEM!$A$3:$AH$1849,6,FALSE)</f>
        <v>Electrosurgical Units, Monopolar/Bipolar</v>
      </c>
      <c r="WUK115" s="196" t="s">
        <v>761</v>
      </c>
      <c r="WUL115" s="197" t="str">
        <f>VLOOKUP(WUK115,[13]AssetDetails_UEM!$A$3:$AH$1849,6,FALSE)</f>
        <v>Electrosurgical Units, Monopolar/Bipolar</v>
      </c>
      <c r="WUM115" s="196" t="s">
        <v>761</v>
      </c>
      <c r="WUN115" s="197" t="str">
        <f>VLOOKUP(WUM115,[13]AssetDetails_UEM!$A$3:$AH$1849,6,FALSE)</f>
        <v>Electrosurgical Units, Monopolar/Bipolar</v>
      </c>
      <c r="WUO115" s="196" t="s">
        <v>761</v>
      </c>
      <c r="WUP115" s="197" t="str">
        <f>VLOOKUP(WUO115,[13]AssetDetails_UEM!$A$3:$AH$1849,6,FALSE)</f>
        <v>Electrosurgical Units, Monopolar/Bipolar</v>
      </c>
      <c r="WUQ115" s="196" t="s">
        <v>761</v>
      </c>
      <c r="WUR115" s="197" t="str">
        <f>VLOOKUP(WUQ115,[13]AssetDetails_UEM!$A$3:$AH$1849,6,FALSE)</f>
        <v>Electrosurgical Units, Monopolar/Bipolar</v>
      </c>
      <c r="WUS115" s="196" t="s">
        <v>761</v>
      </c>
      <c r="WUT115" s="197" t="str">
        <f>VLOOKUP(WUS115,[13]AssetDetails_UEM!$A$3:$AH$1849,6,FALSE)</f>
        <v>Electrosurgical Units, Monopolar/Bipolar</v>
      </c>
      <c r="WUU115" s="196" t="s">
        <v>761</v>
      </c>
      <c r="WUV115" s="197" t="str">
        <f>VLOOKUP(WUU115,[13]AssetDetails_UEM!$A$3:$AH$1849,6,FALSE)</f>
        <v>Electrosurgical Units, Monopolar/Bipolar</v>
      </c>
      <c r="WUW115" s="196" t="s">
        <v>761</v>
      </c>
      <c r="WUX115" s="197" t="str">
        <f>VLOOKUP(WUW115,[13]AssetDetails_UEM!$A$3:$AH$1849,6,FALSE)</f>
        <v>Electrosurgical Units, Monopolar/Bipolar</v>
      </c>
      <c r="WUY115" s="196" t="s">
        <v>761</v>
      </c>
      <c r="WUZ115" s="197" t="str">
        <f>VLOOKUP(WUY115,[13]AssetDetails_UEM!$A$3:$AH$1849,6,FALSE)</f>
        <v>Electrosurgical Units, Monopolar/Bipolar</v>
      </c>
      <c r="WVA115" s="196" t="s">
        <v>761</v>
      </c>
      <c r="WVB115" s="197" t="str">
        <f>VLOOKUP(WVA115,[13]AssetDetails_UEM!$A$3:$AH$1849,6,FALSE)</f>
        <v>Electrosurgical Units, Monopolar/Bipolar</v>
      </c>
      <c r="WVC115" s="196" t="s">
        <v>761</v>
      </c>
      <c r="WVD115" s="197" t="str">
        <f>VLOOKUP(WVC115,[13]AssetDetails_UEM!$A$3:$AH$1849,6,FALSE)</f>
        <v>Electrosurgical Units, Monopolar/Bipolar</v>
      </c>
      <c r="WVE115" s="196" t="s">
        <v>761</v>
      </c>
      <c r="WVF115" s="197" t="str">
        <f>VLOOKUP(WVE115,[13]AssetDetails_UEM!$A$3:$AH$1849,6,FALSE)</f>
        <v>Electrosurgical Units, Monopolar/Bipolar</v>
      </c>
      <c r="WVG115" s="196" t="s">
        <v>761</v>
      </c>
      <c r="WVH115" s="197" t="str">
        <f>VLOOKUP(WVG115,[13]AssetDetails_UEM!$A$3:$AH$1849,6,FALSE)</f>
        <v>Electrosurgical Units, Monopolar/Bipolar</v>
      </c>
      <c r="WVI115" s="196" t="s">
        <v>761</v>
      </c>
      <c r="WVJ115" s="197" t="str">
        <f>VLOOKUP(WVI115,[13]AssetDetails_UEM!$A$3:$AH$1849,6,FALSE)</f>
        <v>Electrosurgical Units, Monopolar/Bipolar</v>
      </c>
      <c r="WVK115" s="196" t="s">
        <v>761</v>
      </c>
      <c r="WVL115" s="197" t="str">
        <f>VLOOKUP(WVK115,[13]AssetDetails_UEM!$A$3:$AH$1849,6,FALSE)</f>
        <v>Electrosurgical Units, Monopolar/Bipolar</v>
      </c>
      <c r="WVM115" s="196" t="s">
        <v>761</v>
      </c>
      <c r="WVN115" s="197" t="str">
        <f>VLOOKUP(WVM115,[13]AssetDetails_UEM!$A$3:$AH$1849,6,FALSE)</f>
        <v>Electrosurgical Units, Monopolar/Bipolar</v>
      </c>
      <c r="WVO115" s="196" t="s">
        <v>761</v>
      </c>
      <c r="WVP115" s="197" t="str">
        <f>VLOOKUP(WVO115,[13]AssetDetails_UEM!$A$3:$AH$1849,6,FALSE)</f>
        <v>Electrosurgical Units, Monopolar/Bipolar</v>
      </c>
      <c r="WVQ115" s="196" t="s">
        <v>761</v>
      </c>
      <c r="WVR115" s="197" t="str">
        <f>VLOOKUP(WVQ115,[13]AssetDetails_UEM!$A$3:$AH$1849,6,FALSE)</f>
        <v>Electrosurgical Units, Monopolar/Bipolar</v>
      </c>
      <c r="WVS115" s="196" t="s">
        <v>761</v>
      </c>
      <c r="WVT115" s="197" t="str">
        <f>VLOOKUP(WVS115,[13]AssetDetails_UEM!$A$3:$AH$1849,6,FALSE)</f>
        <v>Electrosurgical Units, Monopolar/Bipolar</v>
      </c>
      <c r="WVU115" s="196" t="s">
        <v>761</v>
      </c>
      <c r="WVV115" s="197" t="str">
        <f>VLOOKUP(WVU115,[13]AssetDetails_UEM!$A$3:$AH$1849,6,FALSE)</f>
        <v>Electrosurgical Units, Monopolar/Bipolar</v>
      </c>
      <c r="WVW115" s="196" t="s">
        <v>761</v>
      </c>
      <c r="WVX115" s="197" t="str">
        <f>VLOOKUP(WVW115,[13]AssetDetails_UEM!$A$3:$AH$1849,6,FALSE)</f>
        <v>Electrosurgical Units, Monopolar/Bipolar</v>
      </c>
      <c r="WVY115" s="196" t="s">
        <v>761</v>
      </c>
      <c r="WVZ115" s="197" t="str">
        <f>VLOOKUP(WVY115,[13]AssetDetails_UEM!$A$3:$AH$1849,6,FALSE)</f>
        <v>Electrosurgical Units, Monopolar/Bipolar</v>
      </c>
      <c r="WWA115" s="196" t="s">
        <v>761</v>
      </c>
      <c r="WWB115" s="197" t="str">
        <f>VLOOKUP(WWA115,[13]AssetDetails_UEM!$A$3:$AH$1849,6,FALSE)</f>
        <v>Electrosurgical Units, Monopolar/Bipolar</v>
      </c>
      <c r="WWC115" s="196" t="s">
        <v>761</v>
      </c>
      <c r="WWD115" s="197" t="str">
        <f>VLOOKUP(WWC115,[13]AssetDetails_UEM!$A$3:$AH$1849,6,FALSE)</f>
        <v>Electrosurgical Units, Monopolar/Bipolar</v>
      </c>
      <c r="WWE115" s="196" t="s">
        <v>761</v>
      </c>
      <c r="WWF115" s="197" t="str">
        <f>VLOOKUP(WWE115,[13]AssetDetails_UEM!$A$3:$AH$1849,6,FALSE)</f>
        <v>Electrosurgical Units, Monopolar/Bipolar</v>
      </c>
      <c r="WWG115" s="196" t="s">
        <v>761</v>
      </c>
      <c r="WWH115" s="197" t="str">
        <f>VLOOKUP(WWG115,[13]AssetDetails_UEM!$A$3:$AH$1849,6,FALSE)</f>
        <v>Electrosurgical Units, Monopolar/Bipolar</v>
      </c>
      <c r="WWI115" s="196" t="s">
        <v>761</v>
      </c>
      <c r="WWJ115" s="197" t="str">
        <f>VLOOKUP(WWI115,[13]AssetDetails_UEM!$A$3:$AH$1849,6,FALSE)</f>
        <v>Electrosurgical Units, Monopolar/Bipolar</v>
      </c>
      <c r="WWK115" s="196" t="s">
        <v>761</v>
      </c>
      <c r="WWL115" s="197" t="str">
        <f>VLOOKUP(WWK115,[13]AssetDetails_UEM!$A$3:$AH$1849,6,FALSE)</f>
        <v>Electrosurgical Units, Monopolar/Bipolar</v>
      </c>
      <c r="WWM115" s="196" t="s">
        <v>761</v>
      </c>
      <c r="WWN115" s="197" t="str">
        <f>VLOOKUP(WWM115,[13]AssetDetails_UEM!$A$3:$AH$1849,6,FALSE)</f>
        <v>Electrosurgical Units, Monopolar/Bipolar</v>
      </c>
      <c r="WWO115" s="196" t="s">
        <v>761</v>
      </c>
      <c r="WWP115" s="197" t="str">
        <f>VLOOKUP(WWO115,[13]AssetDetails_UEM!$A$3:$AH$1849,6,FALSE)</f>
        <v>Electrosurgical Units, Monopolar/Bipolar</v>
      </c>
      <c r="WWQ115" s="196" t="s">
        <v>761</v>
      </c>
      <c r="WWR115" s="197" t="str">
        <f>VLOOKUP(WWQ115,[13]AssetDetails_UEM!$A$3:$AH$1849,6,FALSE)</f>
        <v>Electrosurgical Units, Monopolar/Bipolar</v>
      </c>
      <c r="WWS115" s="196" t="s">
        <v>761</v>
      </c>
      <c r="WWT115" s="197" t="str">
        <f>VLOOKUP(WWS115,[13]AssetDetails_UEM!$A$3:$AH$1849,6,FALSE)</f>
        <v>Electrosurgical Units, Monopolar/Bipolar</v>
      </c>
      <c r="WWU115" s="196" t="s">
        <v>761</v>
      </c>
      <c r="WWV115" s="197" t="str">
        <f>VLOOKUP(WWU115,[13]AssetDetails_UEM!$A$3:$AH$1849,6,FALSE)</f>
        <v>Electrosurgical Units, Monopolar/Bipolar</v>
      </c>
      <c r="WWW115" s="196" t="s">
        <v>761</v>
      </c>
      <c r="WWX115" s="197" t="str">
        <f>VLOOKUP(WWW115,[13]AssetDetails_UEM!$A$3:$AH$1849,6,FALSE)</f>
        <v>Electrosurgical Units, Monopolar/Bipolar</v>
      </c>
      <c r="WWY115" s="196" t="s">
        <v>761</v>
      </c>
      <c r="WWZ115" s="197" t="str">
        <f>VLOOKUP(WWY115,[13]AssetDetails_UEM!$A$3:$AH$1849,6,FALSE)</f>
        <v>Electrosurgical Units, Monopolar/Bipolar</v>
      </c>
      <c r="WXA115" s="196" t="s">
        <v>761</v>
      </c>
      <c r="WXB115" s="197" t="str">
        <f>VLOOKUP(WXA115,[13]AssetDetails_UEM!$A$3:$AH$1849,6,FALSE)</f>
        <v>Electrosurgical Units, Monopolar/Bipolar</v>
      </c>
      <c r="WXC115" s="196" t="s">
        <v>761</v>
      </c>
      <c r="WXD115" s="197" t="str">
        <f>VLOOKUP(WXC115,[13]AssetDetails_UEM!$A$3:$AH$1849,6,FALSE)</f>
        <v>Electrosurgical Units, Monopolar/Bipolar</v>
      </c>
      <c r="WXE115" s="196" t="s">
        <v>761</v>
      </c>
      <c r="WXF115" s="197" t="str">
        <f>VLOOKUP(WXE115,[13]AssetDetails_UEM!$A$3:$AH$1849,6,FALSE)</f>
        <v>Electrosurgical Units, Monopolar/Bipolar</v>
      </c>
      <c r="WXG115" s="196" t="s">
        <v>761</v>
      </c>
      <c r="WXH115" s="197" t="str">
        <f>VLOOKUP(WXG115,[13]AssetDetails_UEM!$A$3:$AH$1849,6,FALSE)</f>
        <v>Electrosurgical Units, Monopolar/Bipolar</v>
      </c>
      <c r="WXI115" s="196" t="s">
        <v>761</v>
      </c>
      <c r="WXJ115" s="197" t="str">
        <f>VLOOKUP(WXI115,[13]AssetDetails_UEM!$A$3:$AH$1849,6,FALSE)</f>
        <v>Electrosurgical Units, Monopolar/Bipolar</v>
      </c>
      <c r="WXK115" s="196" t="s">
        <v>761</v>
      </c>
      <c r="WXL115" s="197" t="str">
        <f>VLOOKUP(WXK115,[13]AssetDetails_UEM!$A$3:$AH$1849,6,FALSE)</f>
        <v>Electrosurgical Units, Monopolar/Bipolar</v>
      </c>
      <c r="WXM115" s="196" t="s">
        <v>761</v>
      </c>
      <c r="WXN115" s="197" t="str">
        <f>VLOOKUP(WXM115,[13]AssetDetails_UEM!$A$3:$AH$1849,6,FALSE)</f>
        <v>Electrosurgical Units, Monopolar/Bipolar</v>
      </c>
      <c r="WXO115" s="196" t="s">
        <v>761</v>
      </c>
      <c r="WXP115" s="197" t="str">
        <f>VLOOKUP(WXO115,[13]AssetDetails_UEM!$A$3:$AH$1849,6,FALSE)</f>
        <v>Electrosurgical Units, Monopolar/Bipolar</v>
      </c>
      <c r="WXQ115" s="196" t="s">
        <v>761</v>
      </c>
      <c r="WXR115" s="197" t="str">
        <f>VLOOKUP(WXQ115,[13]AssetDetails_UEM!$A$3:$AH$1849,6,FALSE)</f>
        <v>Electrosurgical Units, Monopolar/Bipolar</v>
      </c>
      <c r="WXS115" s="196" t="s">
        <v>761</v>
      </c>
      <c r="WXT115" s="197" t="str">
        <f>VLOOKUP(WXS115,[13]AssetDetails_UEM!$A$3:$AH$1849,6,FALSE)</f>
        <v>Electrosurgical Units, Monopolar/Bipolar</v>
      </c>
      <c r="WXU115" s="196" t="s">
        <v>761</v>
      </c>
      <c r="WXV115" s="197" t="str">
        <f>VLOOKUP(WXU115,[13]AssetDetails_UEM!$A$3:$AH$1849,6,FALSE)</f>
        <v>Electrosurgical Units, Monopolar/Bipolar</v>
      </c>
      <c r="WXW115" s="196" t="s">
        <v>761</v>
      </c>
      <c r="WXX115" s="197" t="str">
        <f>VLOOKUP(WXW115,[13]AssetDetails_UEM!$A$3:$AH$1849,6,FALSE)</f>
        <v>Electrosurgical Units, Monopolar/Bipolar</v>
      </c>
      <c r="WXY115" s="196" t="s">
        <v>761</v>
      </c>
      <c r="WXZ115" s="197" t="str">
        <f>VLOOKUP(WXY115,[13]AssetDetails_UEM!$A$3:$AH$1849,6,FALSE)</f>
        <v>Electrosurgical Units, Monopolar/Bipolar</v>
      </c>
      <c r="WYA115" s="196" t="s">
        <v>761</v>
      </c>
      <c r="WYB115" s="197" t="str">
        <f>VLOOKUP(WYA115,[13]AssetDetails_UEM!$A$3:$AH$1849,6,FALSE)</f>
        <v>Electrosurgical Units, Monopolar/Bipolar</v>
      </c>
      <c r="WYC115" s="196" t="s">
        <v>761</v>
      </c>
      <c r="WYD115" s="197" t="str">
        <f>VLOOKUP(WYC115,[13]AssetDetails_UEM!$A$3:$AH$1849,6,FALSE)</f>
        <v>Electrosurgical Units, Monopolar/Bipolar</v>
      </c>
      <c r="WYE115" s="196" t="s">
        <v>761</v>
      </c>
      <c r="WYF115" s="197" t="str">
        <f>VLOOKUP(WYE115,[13]AssetDetails_UEM!$A$3:$AH$1849,6,FALSE)</f>
        <v>Electrosurgical Units, Monopolar/Bipolar</v>
      </c>
      <c r="WYG115" s="196" t="s">
        <v>761</v>
      </c>
      <c r="WYH115" s="197" t="str">
        <f>VLOOKUP(WYG115,[13]AssetDetails_UEM!$A$3:$AH$1849,6,FALSE)</f>
        <v>Electrosurgical Units, Monopolar/Bipolar</v>
      </c>
      <c r="WYI115" s="196" t="s">
        <v>761</v>
      </c>
      <c r="WYJ115" s="197" t="str">
        <f>VLOOKUP(WYI115,[13]AssetDetails_UEM!$A$3:$AH$1849,6,FALSE)</f>
        <v>Electrosurgical Units, Monopolar/Bipolar</v>
      </c>
      <c r="WYK115" s="196" t="s">
        <v>761</v>
      </c>
      <c r="WYL115" s="197" t="str">
        <f>VLOOKUP(WYK115,[13]AssetDetails_UEM!$A$3:$AH$1849,6,FALSE)</f>
        <v>Electrosurgical Units, Monopolar/Bipolar</v>
      </c>
      <c r="WYM115" s="196" t="s">
        <v>761</v>
      </c>
      <c r="WYN115" s="197" t="str">
        <f>VLOOKUP(WYM115,[13]AssetDetails_UEM!$A$3:$AH$1849,6,FALSE)</f>
        <v>Electrosurgical Units, Monopolar/Bipolar</v>
      </c>
      <c r="WYO115" s="196" t="s">
        <v>761</v>
      </c>
      <c r="WYP115" s="197" t="str">
        <f>VLOOKUP(WYO115,[13]AssetDetails_UEM!$A$3:$AH$1849,6,FALSE)</f>
        <v>Electrosurgical Units, Monopolar/Bipolar</v>
      </c>
      <c r="WYQ115" s="196" t="s">
        <v>761</v>
      </c>
      <c r="WYR115" s="197" t="str">
        <f>VLOOKUP(WYQ115,[13]AssetDetails_UEM!$A$3:$AH$1849,6,FALSE)</f>
        <v>Electrosurgical Units, Monopolar/Bipolar</v>
      </c>
      <c r="WYS115" s="196" t="s">
        <v>761</v>
      </c>
      <c r="WYT115" s="197" t="str">
        <f>VLOOKUP(WYS115,[13]AssetDetails_UEM!$A$3:$AH$1849,6,FALSE)</f>
        <v>Electrosurgical Units, Monopolar/Bipolar</v>
      </c>
      <c r="WYU115" s="196" t="s">
        <v>761</v>
      </c>
      <c r="WYV115" s="197" t="str">
        <f>VLOOKUP(WYU115,[13]AssetDetails_UEM!$A$3:$AH$1849,6,FALSE)</f>
        <v>Electrosurgical Units, Monopolar/Bipolar</v>
      </c>
      <c r="WYW115" s="196" t="s">
        <v>761</v>
      </c>
      <c r="WYX115" s="197" t="str">
        <f>VLOOKUP(WYW115,[13]AssetDetails_UEM!$A$3:$AH$1849,6,FALSE)</f>
        <v>Electrosurgical Units, Monopolar/Bipolar</v>
      </c>
      <c r="WYY115" s="196" t="s">
        <v>761</v>
      </c>
      <c r="WYZ115" s="197" t="str">
        <f>VLOOKUP(WYY115,[13]AssetDetails_UEM!$A$3:$AH$1849,6,FALSE)</f>
        <v>Electrosurgical Units, Monopolar/Bipolar</v>
      </c>
      <c r="WZA115" s="196" t="s">
        <v>761</v>
      </c>
      <c r="WZB115" s="197" t="str">
        <f>VLOOKUP(WZA115,[13]AssetDetails_UEM!$A$3:$AH$1849,6,FALSE)</f>
        <v>Electrosurgical Units, Monopolar/Bipolar</v>
      </c>
      <c r="WZC115" s="196" t="s">
        <v>761</v>
      </c>
      <c r="WZD115" s="197" t="str">
        <f>VLOOKUP(WZC115,[13]AssetDetails_UEM!$A$3:$AH$1849,6,FALSE)</f>
        <v>Electrosurgical Units, Monopolar/Bipolar</v>
      </c>
      <c r="WZE115" s="196" t="s">
        <v>761</v>
      </c>
      <c r="WZF115" s="197" t="str">
        <f>VLOOKUP(WZE115,[13]AssetDetails_UEM!$A$3:$AH$1849,6,FALSE)</f>
        <v>Electrosurgical Units, Monopolar/Bipolar</v>
      </c>
      <c r="WZG115" s="196" t="s">
        <v>761</v>
      </c>
      <c r="WZH115" s="197" t="str">
        <f>VLOOKUP(WZG115,[13]AssetDetails_UEM!$A$3:$AH$1849,6,FALSE)</f>
        <v>Electrosurgical Units, Monopolar/Bipolar</v>
      </c>
      <c r="WZI115" s="196" t="s">
        <v>761</v>
      </c>
      <c r="WZJ115" s="197" t="str">
        <f>VLOOKUP(WZI115,[13]AssetDetails_UEM!$A$3:$AH$1849,6,FALSE)</f>
        <v>Electrosurgical Units, Monopolar/Bipolar</v>
      </c>
      <c r="WZK115" s="196" t="s">
        <v>761</v>
      </c>
      <c r="WZL115" s="197" t="str">
        <f>VLOOKUP(WZK115,[13]AssetDetails_UEM!$A$3:$AH$1849,6,FALSE)</f>
        <v>Electrosurgical Units, Monopolar/Bipolar</v>
      </c>
      <c r="WZM115" s="196" t="s">
        <v>761</v>
      </c>
      <c r="WZN115" s="197" t="str">
        <f>VLOOKUP(WZM115,[13]AssetDetails_UEM!$A$3:$AH$1849,6,FALSE)</f>
        <v>Electrosurgical Units, Monopolar/Bipolar</v>
      </c>
      <c r="WZO115" s="196" t="s">
        <v>761</v>
      </c>
      <c r="WZP115" s="197" t="str">
        <f>VLOOKUP(WZO115,[13]AssetDetails_UEM!$A$3:$AH$1849,6,FALSE)</f>
        <v>Electrosurgical Units, Monopolar/Bipolar</v>
      </c>
      <c r="WZQ115" s="196" t="s">
        <v>761</v>
      </c>
      <c r="WZR115" s="197" t="str">
        <f>VLOOKUP(WZQ115,[13]AssetDetails_UEM!$A$3:$AH$1849,6,FALSE)</f>
        <v>Electrosurgical Units, Monopolar/Bipolar</v>
      </c>
      <c r="WZS115" s="196" t="s">
        <v>761</v>
      </c>
      <c r="WZT115" s="197" t="str">
        <f>VLOOKUP(WZS115,[13]AssetDetails_UEM!$A$3:$AH$1849,6,FALSE)</f>
        <v>Electrosurgical Units, Monopolar/Bipolar</v>
      </c>
      <c r="WZU115" s="196" t="s">
        <v>761</v>
      </c>
      <c r="WZV115" s="197" t="str">
        <f>VLOOKUP(WZU115,[13]AssetDetails_UEM!$A$3:$AH$1849,6,FALSE)</f>
        <v>Electrosurgical Units, Monopolar/Bipolar</v>
      </c>
      <c r="WZW115" s="196" t="s">
        <v>761</v>
      </c>
      <c r="WZX115" s="197" t="str">
        <f>VLOOKUP(WZW115,[13]AssetDetails_UEM!$A$3:$AH$1849,6,FALSE)</f>
        <v>Electrosurgical Units, Monopolar/Bipolar</v>
      </c>
    </row>
    <row r="116" spans="1:16384" s="112" customFormat="1" ht="65.099999999999994" customHeight="1">
      <c r="A116" s="115"/>
      <c r="B116" s="115"/>
      <c r="C116" s="116"/>
      <c r="D116" s="115"/>
      <c r="E116" s="116"/>
      <c r="F116" s="115"/>
      <c r="G116" s="116"/>
      <c r="H116" s="116"/>
      <c r="I116" s="117"/>
      <c r="J116" s="117"/>
      <c r="K116" s="116"/>
      <c r="L116" s="116"/>
      <c r="M116" s="116"/>
      <c r="N116" s="116"/>
      <c r="O116" s="116"/>
      <c r="P116" s="116"/>
      <c r="Q116" s="116"/>
      <c r="R116" s="116"/>
      <c r="S116" s="116"/>
      <c r="T116" s="116"/>
      <c r="U116" s="116"/>
      <c r="V116" s="116"/>
      <c r="W116" s="116"/>
      <c r="X116" s="116"/>
      <c r="Y116" s="116"/>
      <c r="Z116" s="116"/>
      <c r="AA116" s="118"/>
      <c r="AB116" s="115"/>
      <c r="AC116" s="198"/>
      <c r="AD116" s="199"/>
      <c r="AE116" s="198"/>
      <c r="AF116" s="199"/>
      <c r="AG116" s="198"/>
      <c r="AH116" s="199"/>
      <c r="AI116" s="198"/>
      <c r="AJ116" s="199"/>
      <c r="AK116" s="198"/>
      <c r="AL116" s="199"/>
      <c r="AM116" s="198"/>
      <c r="AN116" s="199"/>
      <c r="AO116" s="198"/>
      <c r="AP116" s="199"/>
      <c r="AQ116" s="198"/>
      <c r="AR116" s="199"/>
      <c r="AS116" s="198"/>
      <c r="AT116" s="199"/>
      <c r="AU116" s="198"/>
      <c r="AV116" s="199"/>
      <c r="AW116" s="198"/>
      <c r="AX116" s="199"/>
      <c r="AY116" s="198"/>
      <c r="AZ116" s="199"/>
      <c r="BA116" s="198"/>
      <c r="BB116" s="199"/>
      <c r="BC116" s="198"/>
      <c r="BD116" s="199"/>
      <c r="BE116" s="198"/>
      <c r="BF116" s="199"/>
      <c r="BG116" s="198"/>
      <c r="BH116" s="199"/>
      <c r="BI116" s="198"/>
      <c r="BJ116" s="199"/>
      <c r="BK116" s="198"/>
      <c r="BL116" s="199"/>
      <c r="BM116" s="198"/>
      <c r="BN116" s="199"/>
      <c r="BO116" s="198"/>
      <c r="BP116" s="199"/>
      <c r="BQ116" s="198"/>
      <c r="BR116" s="199"/>
      <c r="BS116" s="198"/>
      <c r="BT116" s="199"/>
      <c r="BU116" s="198"/>
      <c r="BV116" s="199"/>
      <c r="BW116" s="198"/>
      <c r="BX116" s="199"/>
      <c r="BY116" s="198"/>
      <c r="BZ116" s="199"/>
      <c r="CA116" s="198"/>
      <c r="CB116" s="199"/>
      <c r="CC116" s="198"/>
      <c r="CD116" s="199"/>
      <c r="CE116" s="198"/>
      <c r="CF116" s="199"/>
      <c r="CG116" s="198"/>
      <c r="CH116" s="199"/>
      <c r="CI116" s="198"/>
      <c r="CJ116" s="199"/>
      <c r="CK116" s="198"/>
      <c r="CL116" s="199"/>
      <c r="CM116" s="198"/>
      <c r="CN116" s="199"/>
      <c r="CO116" s="198"/>
      <c r="CP116" s="199"/>
      <c r="CQ116" s="198"/>
      <c r="CR116" s="199"/>
      <c r="CS116" s="198"/>
      <c r="CT116" s="199"/>
      <c r="CU116" s="198"/>
      <c r="CV116" s="199"/>
      <c r="CW116" s="198"/>
      <c r="CX116" s="199"/>
      <c r="CY116" s="198"/>
      <c r="CZ116" s="199"/>
      <c r="DA116" s="198"/>
      <c r="DB116" s="199"/>
      <c r="DC116" s="198"/>
      <c r="DD116" s="199"/>
      <c r="DE116" s="198"/>
      <c r="DF116" s="199"/>
      <c r="DG116" s="198"/>
      <c r="DH116" s="199"/>
      <c r="DI116" s="198"/>
      <c r="DJ116" s="199"/>
      <c r="DK116" s="198"/>
      <c r="DL116" s="199"/>
      <c r="DM116" s="198"/>
      <c r="DN116" s="199"/>
      <c r="DO116" s="198"/>
      <c r="DP116" s="199"/>
      <c r="DQ116" s="198"/>
      <c r="DR116" s="199"/>
      <c r="DS116" s="198"/>
      <c r="DT116" s="199"/>
      <c r="DU116" s="198"/>
      <c r="DV116" s="199"/>
      <c r="DW116" s="198"/>
      <c r="DX116" s="199"/>
      <c r="DY116" s="198"/>
      <c r="DZ116" s="199"/>
      <c r="EA116" s="198"/>
      <c r="EB116" s="199"/>
      <c r="EC116" s="198"/>
      <c r="ED116" s="199"/>
      <c r="EE116" s="198"/>
      <c r="EF116" s="199"/>
      <c r="EG116" s="198"/>
      <c r="EH116" s="199"/>
      <c r="EI116" s="198"/>
      <c r="EJ116" s="199"/>
      <c r="EK116" s="198"/>
      <c r="EL116" s="199"/>
      <c r="EM116" s="198"/>
      <c r="EN116" s="199"/>
      <c r="EO116" s="198"/>
      <c r="EP116" s="199"/>
      <c r="EQ116" s="198"/>
      <c r="ER116" s="199"/>
      <c r="ES116" s="198"/>
      <c r="ET116" s="199"/>
      <c r="EU116" s="198"/>
      <c r="EV116" s="199"/>
      <c r="EW116" s="198"/>
      <c r="EX116" s="199"/>
      <c r="EY116" s="198"/>
      <c r="EZ116" s="199"/>
      <c r="FA116" s="198"/>
      <c r="FB116" s="199"/>
      <c r="FC116" s="198"/>
      <c r="FD116" s="199"/>
      <c r="FE116" s="198"/>
      <c r="FF116" s="199"/>
      <c r="FG116" s="198"/>
      <c r="FH116" s="199"/>
      <c r="FI116" s="198"/>
      <c r="FJ116" s="199"/>
      <c r="FK116" s="198"/>
      <c r="FL116" s="199"/>
      <c r="FM116" s="198"/>
      <c r="FN116" s="199"/>
      <c r="FO116" s="198"/>
      <c r="FP116" s="199"/>
      <c r="FQ116" s="198"/>
      <c r="FR116" s="199"/>
      <c r="FS116" s="198"/>
      <c r="FT116" s="199"/>
      <c r="FU116" s="198"/>
      <c r="FV116" s="199"/>
      <c r="FW116" s="198"/>
      <c r="FX116" s="199"/>
      <c r="FY116" s="198"/>
      <c r="FZ116" s="199"/>
      <c r="GA116" s="198"/>
      <c r="GB116" s="199"/>
      <c r="GC116" s="198"/>
      <c r="GD116" s="199"/>
      <c r="GE116" s="198"/>
      <c r="GF116" s="199"/>
      <c r="GG116" s="198"/>
      <c r="GH116" s="199"/>
      <c r="GI116" s="198"/>
      <c r="GJ116" s="199"/>
      <c r="GK116" s="198"/>
      <c r="GL116" s="199"/>
      <c r="GM116" s="198"/>
      <c r="GN116" s="199"/>
      <c r="GO116" s="198"/>
      <c r="GP116" s="199"/>
      <c r="GQ116" s="198"/>
      <c r="GR116" s="199"/>
      <c r="GS116" s="198"/>
      <c r="GT116" s="199"/>
      <c r="GU116" s="198"/>
      <c r="GV116" s="199"/>
      <c r="GW116" s="198"/>
      <c r="GX116" s="199"/>
      <c r="GY116" s="198"/>
      <c r="GZ116" s="199"/>
      <c r="HA116" s="198"/>
      <c r="HB116" s="199"/>
      <c r="HC116" s="198"/>
      <c r="HD116" s="199"/>
      <c r="HE116" s="198"/>
      <c r="HF116" s="199"/>
      <c r="HG116" s="198"/>
      <c r="HH116" s="199"/>
      <c r="HI116" s="198"/>
      <c r="HJ116" s="199"/>
      <c r="HK116" s="198"/>
      <c r="HL116" s="199"/>
      <c r="HM116" s="198"/>
      <c r="HN116" s="199"/>
      <c r="HO116" s="198"/>
      <c r="HP116" s="199"/>
      <c r="HQ116" s="198"/>
      <c r="HR116" s="199"/>
      <c r="HS116" s="198"/>
      <c r="HT116" s="199"/>
      <c r="HU116" s="198"/>
      <c r="HV116" s="199"/>
      <c r="HW116" s="198"/>
      <c r="HX116" s="199"/>
      <c r="HY116" s="198"/>
      <c r="HZ116" s="199"/>
      <c r="IA116" s="198"/>
      <c r="IB116" s="199"/>
      <c r="IC116" s="198"/>
      <c r="ID116" s="199"/>
      <c r="IE116" s="198"/>
      <c r="IF116" s="199"/>
      <c r="IG116" s="198"/>
      <c r="IH116" s="199"/>
      <c r="II116" s="198"/>
      <c r="IJ116" s="199"/>
      <c r="IK116" s="198"/>
      <c r="IL116" s="199"/>
      <c r="IM116" s="198"/>
      <c r="IN116" s="199"/>
      <c r="IO116" s="198"/>
      <c r="IP116" s="199"/>
      <c r="IQ116" s="198"/>
      <c r="IR116" s="199"/>
      <c r="IS116" s="198"/>
      <c r="IT116" s="199"/>
      <c r="IU116" s="198"/>
      <c r="IV116" s="199"/>
      <c r="IW116" s="198"/>
      <c r="IX116" s="199"/>
      <c r="IY116" s="198"/>
      <c r="IZ116" s="199"/>
      <c r="JA116" s="198"/>
      <c r="JB116" s="199"/>
      <c r="JC116" s="198"/>
      <c r="JD116" s="199"/>
      <c r="JE116" s="198"/>
      <c r="JF116" s="199"/>
      <c r="JG116" s="198"/>
      <c r="JH116" s="199"/>
      <c r="JI116" s="198"/>
      <c r="JJ116" s="199"/>
      <c r="JK116" s="198"/>
      <c r="JL116" s="199"/>
      <c r="JM116" s="198"/>
      <c r="JN116" s="199"/>
      <c r="JO116" s="198"/>
      <c r="JP116" s="199"/>
      <c r="JQ116" s="198"/>
      <c r="JR116" s="199"/>
      <c r="JS116" s="198"/>
      <c r="JT116" s="199"/>
      <c r="JU116" s="198"/>
      <c r="JV116" s="199"/>
      <c r="JW116" s="198"/>
      <c r="JX116" s="199"/>
      <c r="JY116" s="198"/>
      <c r="JZ116" s="199"/>
      <c r="KA116" s="198"/>
      <c r="KB116" s="199"/>
      <c r="KC116" s="198"/>
      <c r="KD116" s="199"/>
      <c r="KE116" s="198"/>
      <c r="KF116" s="199"/>
      <c r="KG116" s="198"/>
      <c r="KH116" s="199"/>
      <c r="KI116" s="198"/>
      <c r="KJ116" s="199"/>
      <c r="KK116" s="198"/>
      <c r="KL116" s="199"/>
      <c r="KM116" s="198"/>
      <c r="KN116" s="199"/>
      <c r="KO116" s="198"/>
      <c r="KP116" s="199"/>
      <c r="KQ116" s="198"/>
      <c r="KR116" s="199"/>
      <c r="KS116" s="198"/>
      <c r="KT116" s="199"/>
      <c r="KU116" s="198"/>
      <c r="KV116" s="199"/>
      <c r="KW116" s="198"/>
      <c r="KX116" s="199"/>
      <c r="KY116" s="198"/>
      <c r="KZ116" s="199"/>
      <c r="LA116" s="198"/>
      <c r="LB116" s="199"/>
      <c r="LC116" s="198"/>
      <c r="LD116" s="199"/>
      <c r="LE116" s="198"/>
      <c r="LF116" s="199"/>
      <c r="LG116" s="198"/>
      <c r="LH116" s="199"/>
      <c r="LI116" s="198"/>
      <c r="LJ116" s="199"/>
      <c r="LK116" s="198"/>
      <c r="LL116" s="199"/>
      <c r="LM116" s="198"/>
      <c r="LN116" s="199"/>
      <c r="LO116" s="198"/>
      <c r="LP116" s="199"/>
      <c r="LQ116" s="198"/>
      <c r="LR116" s="199"/>
      <c r="LS116" s="198"/>
      <c r="LT116" s="199"/>
      <c r="LU116" s="198"/>
      <c r="LV116" s="199"/>
      <c r="LW116" s="198"/>
      <c r="LX116" s="199"/>
      <c r="LY116" s="198"/>
      <c r="LZ116" s="199"/>
      <c r="MA116" s="198"/>
      <c r="MB116" s="199"/>
      <c r="MC116" s="198"/>
      <c r="MD116" s="199"/>
      <c r="ME116" s="198"/>
      <c r="MF116" s="199"/>
      <c r="MG116" s="198"/>
      <c r="MH116" s="199"/>
      <c r="MI116" s="198"/>
      <c r="MJ116" s="199"/>
      <c r="MK116" s="198"/>
      <c r="ML116" s="199"/>
      <c r="MM116" s="198"/>
      <c r="MN116" s="199"/>
      <c r="MO116" s="198"/>
      <c r="MP116" s="199"/>
      <c r="MQ116" s="198"/>
      <c r="MR116" s="199"/>
      <c r="MS116" s="198"/>
      <c r="MT116" s="199"/>
      <c r="MU116" s="198"/>
      <c r="MV116" s="199"/>
      <c r="MW116" s="198"/>
      <c r="MX116" s="199"/>
      <c r="MY116" s="198"/>
      <c r="MZ116" s="199"/>
      <c r="NA116" s="198"/>
      <c r="NB116" s="199"/>
      <c r="NC116" s="198"/>
      <c r="ND116" s="199"/>
      <c r="NE116" s="198"/>
      <c r="NF116" s="199"/>
      <c r="NG116" s="198"/>
      <c r="NH116" s="199"/>
      <c r="NI116" s="198"/>
      <c r="NJ116" s="199"/>
      <c r="NK116" s="198"/>
      <c r="NL116" s="199"/>
      <c r="NM116" s="198"/>
      <c r="NN116" s="199"/>
      <c r="NO116" s="198"/>
      <c r="NP116" s="199"/>
      <c r="NQ116" s="198"/>
      <c r="NR116" s="199"/>
      <c r="NS116" s="198"/>
      <c r="NT116" s="199"/>
      <c r="NU116" s="198"/>
      <c r="NV116" s="199"/>
      <c r="NW116" s="198"/>
      <c r="NX116" s="199"/>
      <c r="NY116" s="198"/>
      <c r="NZ116" s="199"/>
      <c r="OA116" s="198"/>
      <c r="OB116" s="199"/>
      <c r="OC116" s="198"/>
      <c r="OD116" s="199"/>
      <c r="OE116" s="198"/>
      <c r="OF116" s="199"/>
      <c r="OG116" s="198"/>
      <c r="OH116" s="199"/>
      <c r="OI116" s="198"/>
      <c r="OJ116" s="199"/>
      <c r="OK116" s="198"/>
      <c r="OL116" s="199"/>
      <c r="OM116" s="198"/>
      <c r="ON116" s="199"/>
      <c r="OO116" s="198"/>
      <c r="OP116" s="199"/>
      <c r="OQ116" s="198"/>
      <c r="OR116" s="199"/>
      <c r="OS116" s="198"/>
      <c r="OT116" s="199"/>
      <c r="OU116" s="198"/>
      <c r="OV116" s="199"/>
      <c r="OW116" s="198"/>
      <c r="OX116" s="199"/>
      <c r="OY116" s="198"/>
      <c r="OZ116" s="199"/>
      <c r="PA116" s="198"/>
      <c r="PB116" s="199"/>
      <c r="PC116" s="198"/>
      <c r="PD116" s="199"/>
      <c r="PE116" s="198"/>
      <c r="PF116" s="199"/>
      <c r="PG116" s="198"/>
      <c r="PH116" s="199"/>
      <c r="PI116" s="198"/>
      <c r="PJ116" s="199"/>
      <c r="PK116" s="198"/>
      <c r="PL116" s="199"/>
      <c r="PM116" s="198"/>
      <c r="PN116" s="199"/>
      <c r="PO116" s="198"/>
      <c r="PP116" s="199"/>
      <c r="PQ116" s="198"/>
      <c r="PR116" s="199"/>
      <c r="PS116" s="198"/>
      <c r="PT116" s="199"/>
      <c r="PU116" s="198"/>
      <c r="PV116" s="199"/>
      <c r="PW116" s="198"/>
      <c r="PX116" s="199"/>
      <c r="PY116" s="198"/>
      <c r="PZ116" s="199"/>
      <c r="QA116" s="198"/>
      <c r="QB116" s="199"/>
      <c r="QC116" s="198"/>
      <c r="QD116" s="199"/>
      <c r="QE116" s="198"/>
      <c r="QF116" s="199"/>
      <c r="QG116" s="198"/>
      <c r="QH116" s="199"/>
      <c r="QI116" s="198"/>
      <c r="QJ116" s="199"/>
      <c r="QK116" s="198"/>
      <c r="QL116" s="199"/>
      <c r="QM116" s="198"/>
      <c r="QN116" s="199"/>
      <c r="QO116" s="198"/>
      <c r="QP116" s="199"/>
      <c r="QQ116" s="198"/>
      <c r="QR116" s="199"/>
      <c r="QS116" s="198"/>
      <c r="QT116" s="199"/>
      <c r="QU116" s="198"/>
      <c r="QV116" s="199"/>
      <c r="QW116" s="198"/>
      <c r="QX116" s="199"/>
      <c r="QY116" s="198"/>
      <c r="QZ116" s="199"/>
      <c r="RA116" s="198"/>
      <c r="RB116" s="199"/>
      <c r="RC116" s="198"/>
      <c r="RD116" s="199"/>
      <c r="RE116" s="198"/>
      <c r="RF116" s="199"/>
      <c r="RG116" s="198"/>
      <c r="RH116" s="199"/>
      <c r="RI116" s="198"/>
      <c r="RJ116" s="199"/>
      <c r="RK116" s="198"/>
      <c r="RL116" s="199"/>
      <c r="RM116" s="198"/>
      <c r="RN116" s="199"/>
      <c r="RO116" s="198"/>
      <c r="RP116" s="199"/>
      <c r="RQ116" s="198"/>
      <c r="RR116" s="199"/>
      <c r="RS116" s="198"/>
      <c r="RT116" s="199"/>
      <c r="RU116" s="198"/>
      <c r="RV116" s="199"/>
      <c r="RW116" s="198"/>
      <c r="RX116" s="199"/>
      <c r="RY116" s="198"/>
      <c r="RZ116" s="199"/>
      <c r="SA116" s="198"/>
      <c r="SB116" s="199"/>
      <c r="SC116" s="198"/>
      <c r="SD116" s="199"/>
      <c r="SE116" s="198"/>
      <c r="SF116" s="199"/>
      <c r="SG116" s="198"/>
      <c r="SH116" s="199"/>
      <c r="SI116" s="198"/>
      <c r="SJ116" s="199"/>
      <c r="SK116" s="198"/>
      <c r="SL116" s="199"/>
      <c r="SM116" s="198"/>
      <c r="SN116" s="199"/>
      <c r="SO116" s="198"/>
      <c r="SP116" s="199"/>
      <c r="SQ116" s="198"/>
      <c r="SR116" s="199"/>
      <c r="SS116" s="198"/>
      <c r="ST116" s="199"/>
      <c r="SU116" s="198"/>
      <c r="SV116" s="199"/>
      <c r="SW116" s="198"/>
      <c r="SX116" s="199"/>
      <c r="SY116" s="198"/>
      <c r="SZ116" s="199"/>
      <c r="TA116" s="198"/>
      <c r="TB116" s="199"/>
      <c r="TC116" s="198"/>
      <c r="TD116" s="199"/>
      <c r="TE116" s="198"/>
      <c r="TF116" s="199"/>
      <c r="TG116" s="198"/>
      <c r="TH116" s="199"/>
      <c r="TI116" s="198"/>
      <c r="TJ116" s="199"/>
      <c r="TK116" s="198"/>
      <c r="TL116" s="199"/>
      <c r="TM116" s="198"/>
      <c r="TN116" s="199"/>
      <c r="TO116" s="198"/>
      <c r="TP116" s="199"/>
      <c r="TQ116" s="198"/>
      <c r="TR116" s="199"/>
      <c r="TS116" s="198"/>
      <c r="TT116" s="199"/>
      <c r="TU116" s="198"/>
      <c r="TV116" s="199"/>
      <c r="TW116" s="198"/>
      <c r="TX116" s="199"/>
      <c r="TY116" s="198"/>
      <c r="TZ116" s="199"/>
      <c r="UA116" s="198"/>
      <c r="UB116" s="199"/>
      <c r="UC116" s="198"/>
      <c r="UD116" s="199"/>
      <c r="UE116" s="198"/>
      <c r="UF116" s="199"/>
      <c r="UG116" s="198"/>
      <c r="UH116" s="199"/>
      <c r="UI116" s="198"/>
      <c r="UJ116" s="199"/>
      <c r="UK116" s="198"/>
      <c r="UL116" s="199"/>
      <c r="UM116" s="198"/>
      <c r="UN116" s="199"/>
      <c r="UO116" s="198"/>
      <c r="UP116" s="199"/>
      <c r="UQ116" s="198"/>
      <c r="UR116" s="199"/>
      <c r="US116" s="198"/>
      <c r="UT116" s="199"/>
      <c r="UU116" s="198"/>
      <c r="UV116" s="199"/>
      <c r="UW116" s="198"/>
      <c r="UX116" s="199"/>
      <c r="UY116" s="198"/>
      <c r="UZ116" s="199"/>
      <c r="VA116" s="198"/>
      <c r="VB116" s="199"/>
      <c r="VC116" s="198"/>
      <c r="VD116" s="199"/>
      <c r="VE116" s="198"/>
      <c r="VF116" s="199"/>
      <c r="VG116" s="198"/>
      <c r="VH116" s="199"/>
      <c r="VI116" s="198"/>
      <c r="VJ116" s="199"/>
      <c r="VK116" s="198"/>
      <c r="VL116" s="199"/>
      <c r="VM116" s="198"/>
      <c r="VN116" s="199"/>
      <c r="VO116" s="198"/>
      <c r="VP116" s="199"/>
      <c r="VQ116" s="198"/>
      <c r="VR116" s="199"/>
      <c r="VS116" s="198"/>
      <c r="VT116" s="199"/>
      <c r="VU116" s="198"/>
      <c r="VV116" s="199"/>
      <c r="VW116" s="198"/>
      <c r="VX116" s="199"/>
      <c r="VY116" s="198"/>
      <c r="VZ116" s="199"/>
      <c r="WA116" s="198"/>
      <c r="WB116" s="199"/>
      <c r="WC116" s="198"/>
      <c r="WD116" s="199"/>
      <c r="WE116" s="198"/>
      <c r="WF116" s="199"/>
      <c r="WG116" s="198"/>
      <c r="WH116" s="199"/>
      <c r="WI116" s="198"/>
      <c r="WJ116" s="199"/>
      <c r="WK116" s="198"/>
      <c r="WL116" s="199"/>
      <c r="WM116" s="198"/>
      <c r="WN116" s="199"/>
      <c r="WO116" s="198"/>
      <c r="WP116" s="199"/>
      <c r="WQ116" s="198"/>
      <c r="WR116" s="199"/>
      <c r="WS116" s="198"/>
      <c r="WT116" s="199"/>
      <c r="WU116" s="198"/>
      <c r="WV116" s="199"/>
      <c r="WW116" s="198"/>
      <c r="WX116" s="199"/>
      <c r="WY116" s="198"/>
      <c r="WZ116" s="199"/>
      <c r="XA116" s="198"/>
      <c r="XB116" s="199"/>
      <c r="XC116" s="198"/>
      <c r="XD116" s="199"/>
      <c r="XE116" s="198"/>
      <c r="XF116" s="199"/>
      <c r="XG116" s="198"/>
      <c r="XH116" s="199"/>
      <c r="XI116" s="198"/>
      <c r="XJ116" s="199"/>
      <c r="XK116" s="198"/>
      <c r="XL116" s="199"/>
      <c r="XM116" s="198"/>
      <c r="XN116" s="199"/>
      <c r="XO116" s="198"/>
      <c r="XP116" s="199"/>
      <c r="XQ116" s="198"/>
      <c r="XR116" s="199"/>
      <c r="XS116" s="198"/>
      <c r="XT116" s="199"/>
      <c r="XU116" s="198"/>
      <c r="XV116" s="199"/>
      <c r="XW116" s="198"/>
      <c r="XX116" s="199"/>
      <c r="XY116" s="198"/>
      <c r="XZ116" s="199"/>
      <c r="YA116" s="198"/>
      <c r="YB116" s="199"/>
      <c r="YC116" s="198"/>
      <c r="YD116" s="199"/>
      <c r="YE116" s="198"/>
      <c r="YF116" s="199"/>
      <c r="YG116" s="198"/>
      <c r="YH116" s="199"/>
      <c r="YI116" s="198"/>
      <c r="YJ116" s="199"/>
      <c r="YK116" s="198"/>
      <c r="YL116" s="199"/>
      <c r="YM116" s="198"/>
      <c r="YN116" s="199"/>
      <c r="YO116" s="198"/>
      <c r="YP116" s="199"/>
      <c r="YQ116" s="198"/>
      <c r="YR116" s="199"/>
      <c r="YS116" s="198"/>
      <c r="YT116" s="199"/>
      <c r="YU116" s="198"/>
      <c r="YV116" s="199"/>
      <c r="YW116" s="198"/>
      <c r="YX116" s="199"/>
      <c r="YY116" s="198"/>
      <c r="YZ116" s="199"/>
      <c r="ZA116" s="198"/>
      <c r="ZB116" s="199"/>
      <c r="ZC116" s="198"/>
      <c r="ZD116" s="199"/>
      <c r="ZE116" s="198"/>
      <c r="ZF116" s="199"/>
      <c r="ZG116" s="198"/>
      <c r="ZH116" s="199"/>
      <c r="ZI116" s="198"/>
      <c r="ZJ116" s="199"/>
      <c r="ZK116" s="198"/>
      <c r="ZL116" s="199"/>
      <c r="ZM116" s="198"/>
      <c r="ZN116" s="199"/>
      <c r="ZO116" s="198"/>
      <c r="ZP116" s="199"/>
      <c r="ZQ116" s="198"/>
      <c r="ZR116" s="199"/>
      <c r="ZS116" s="198"/>
      <c r="ZT116" s="199"/>
      <c r="ZU116" s="198"/>
      <c r="ZV116" s="199"/>
      <c r="ZW116" s="198"/>
      <c r="ZX116" s="199"/>
      <c r="ZY116" s="198"/>
      <c r="ZZ116" s="199"/>
      <c r="AAA116" s="198"/>
      <c r="AAB116" s="199"/>
      <c r="AAC116" s="198"/>
      <c r="AAD116" s="199"/>
      <c r="AAE116" s="198"/>
      <c r="AAF116" s="199"/>
      <c r="AAG116" s="198"/>
      <c r="AAH116" s="199"/>
      <c r="AAI116" s="198"/>
      <c r="AAJ116" s="199"/>
      <c r="AAK116" s="198"/>
      <c r="AAL116" s="199"/>
      <c r="AAM116" s="198"/>
      <c r="AAN116" s="199"/>
      <c r="AAO116" s="198"/>
      <c r="AAP116" s="199"/>
      <c r="AAQ116" s="198"/>
      <c r="AAR116" s="199"/>
      <c r="AAS116" s="198"/>
      <c r="AAT116" s="199"/>
      <c r="AAU116" s="198"/>
      <c r="AAV116" s="199"/>
      <c r="AAW116" s="198"/>
      <c r="AAX116" s="199"/>
      <c r="AAY116" s="198"/>
      <c r="AAZ116" s="199"/>
      <c r="ABA116" s="198"/>
      <c r="ABB116" s="199"/>
      <c r="ABC116" s="198"/>
      <c r="ABD116" s="199"/>
      <c r="ABE116" s="198"/>
      <c r="ABF116" s="199"/>
      <c r="ABG116" s="198"/>
      <c r="ABH116" s="199"/>
      <c r="ABI116" s="198"/>
      <c r="ABJ116" s="199"/>
      <c r="ABK116" s="198"/>
      <c r="ABL116" s="199"/>
      <c r="ABM116" s="198"/>
      <c r="ABN116" s="199"/>
      <c r="ABO116" s="198"/>
      <c r="ABP116" s="199"/>
      <c r="ABQ116" s="198"/>
      <c r="ABR116" s="199"/>
      <c r="ABS116" s="198"/>
      <c r="ABT116" s="199"/>
      <c r="ABU116" s="198"/>
      <c r="ABV116" s="199"/>
      <c r="ABW116" s="198"/>
      <c r="ABX116" s="199"/>
      <c r="ABY116" s="198"/>
      <c r="ABZ116" s="199"/>
      <c r="ACA116" s="198"/>
      <c r="ACB116" s="199"/>
      <c r="ACC116" s="198"/>
      <c r="ACD116" s="199"/>
      <c r="ACE116" s="198"/>
      <c r="ACF116" s="199"/>
      <c r="ACG116" s="198"/>
      <c r="ACH116" s="199"/>
      <c r="ACI116" s="198"/>
      <c r="ACJ116" s="199"/>
      <c r="ACK116" s="198"/>
      <c r="ACL116" s="199"/>
      <c r="ACM116" s="198"/>
      <c r="ACN116" s="199"/>
      <c r="ACO116" s="198"/>
      <c r="ACP116" s="199"/>
      <c r="ACQ116" s="198"/>
      <c r="ACR116" s="199"/>
      <c r="ACS116" s="198"/>
      <c r="ACT116" s="199"/>
      <c r="ACU116" s="198"/>
      <c r="ACV116" s="199"/>
      <c r="ACW116" s="198"/>
      <c r="ACX116" s="199"/>
      <c r="ACY116" s="198"/>
      <c r="ACZ116" s="199"/>
      <c r="ADA116" s="198"/>
      <c r="ADB116" s="199"/>
      <c r="ADC116" s="198"/>
      <c r="ADD116" s="199"/>
      <c r="ADE116" s="198"/>
      <c r="ADF116" s="199"/>
      <c r="ADG116" s="198"/>
      <c r="ADH116" s="199"/>
      <c r="ADI116" s="198"/>
      <c r="ADJ116" s="199"/>
      <c r="ADK116" s="198"/>
      <c r="ADL116" s="199"/>
      <c r="ADM116" s="198"/>
      <c r="ADN116" s="199"/>
      <c r="ADO116" s="198"/>
      <c r="ADP116" s="199"/>
      <c r="ADQ116" s="198"/>
      <c r="ADR116" s="199"/>
      <c r="ADS116" s="198"/>
      <c r="ADT116" s="199"/>
      <c r="ADU116" s="198"/>
      <c r="ADV116" s="199"/>
      <c r="ADW116" s="198"/>
      <c r="ADX116" s="199"/>
      <c r="ADY116" s="198"/>
      <c r="ADZ116" s="199"/>
      <c r="AEA116" s="198"/>
      <c r="AEB116" s="199"/>
      <c r="AEC116" s="198"/>
      <c r="AED116" s="199"/>
      <c r="AEE116" s="198"/>
      <c r="AEF116" s="199"/>
      <c r="AEG116" s="198"/>
      <c r="AEH116" s="199"/>
      <c r="AEI116" s="198"/>
      <c r="AEJ116" s="199"/>
      <c r="AEK116" s="198"/>
      <c r="AEL116" s="199"/>
      <c r="AEM116" s="198"/>
      <c r="AEN116" s="199"/>
      <c r="AEO116" s="198"/>
      <c r="AEP116" s="199"/>
      <c r="AEQ116" s="198"/>
      <c r="AER116" s="199"/>
      <c r="AES116" s="198"/>
      <c r="AET116" s="199"/>
      <c r="AEU116" s="198"/>
      <c r="AEV116" s="199"/>
      <c r="AEW116" s="198"/>
      <c r="AEX116" s="199"/>
      <c r="AEY116" s="198"/>
      <c r="AEZ116" s="199"/>
      <c r="AFA116" s="198"/>
      <c r="AFB116" s="199"/>
      <c r="AFC116" s="198"/>
      <c r="AFD116" s="199"/>
      <c r="AFE116" s="198"/>
      <c r="AFF116" s="199"/>
      <c r="AFG116" s="198"/>
      <c r="AFH116" s="199"/>
      <c r="AFI116" s="198"/>
      <c r="AFJ116" s="199"/>
      <c r="AFK116" s="198"/>
      <c r="AFL116" s="199"/>
      <c r="AFM116" s="198"/>
      <c r="AFN116" s="199"/>
      <c r="AFO116" s="198"/>
      <c r="AFP116" s="199"/>
      <c r="AFQ116" s="198"/>
      <c r="AFR116" s="199"/>
      <c r="AFS116" s="198"/>
      <c r="AFT116" s="199"/>
      <c r="AFU116" s="198"/>
      <c r="AFV116" s="199"/>
      <c r="AFW116" s="198"/>
      <c r="AFX116" s="199"/>
      <c r="AFY116" s="198"/>
      <c r="AFZ116" s="199"/>
      <c r="AGA116" s="198"/>
      <c r="AGB116" s="199"/>
      <c r="AGC116" s="198"/>
      <c r="AGD116" s="199"/>
      <c r="AGE116" s="198"/>
      <c r="AGF116" s="199"/>
      <c r="AGG116" s="198"/>
      <c r="AGH116" s="199"/>
      <c r="AGI116" s="198"/>
      <c r="AGJ116" s="199"/>
      <c r="AGK116" s="198"/>
      <c r="AGL116" s="199"/>
      <c r="AGM116" s="198"/>
      <c r="AGN116" s="199"/>
      <c r="AGO116" s="198"/>
      <c r="AGP116" s="199"/>
      <c r="AGQ116" s="198"/>
      <c r="AGR116" s="199"/>
      <c r="AGS116" s="198"/>
      <c r="AGT116" s="199"/>
      <c r="AGU116" s="198"/>
      <c r="AGV116" s="199"/>
      <c r="AGW116" s="198"/>
      <c r="AGX116" s="199"/>
      <c r="AGY116" s="198"/>
      <c r="AGZ116" s="199"/>
      <c r="AHA116" s="198"/>
      <c r="AHB116" s="199"/>
      <c r="AHC116" s="198"/>
      <c r="AHD116" s="199"/>
      <c r="AHE116" s="198"/>
      <c r="AHF116" s="199"/>
      <c r="AHG116" s="198"/>
      <c r="AHH116" s="199"/>
      <c r="AHI116" s="198"/>
      <c r="AHJ116" s="199"/>
      <c r="AHK116" s="198"/>
      <c r="AHL116" s="199"/>
      <c r="AHM116" s="198"/>
      <c r="AHN116" s="199"/>
      <c r="AHO116" s="198"/>
      <c r="AHP116" s="199"/>
      <c r="AHQ116" s="198"/>
      <c r="AHR116" s="199"/>
      <c r="AHS116" s="198"/>
      <c r="AHT116" s="199"/>
      <c r="AHU116" s="198"/>
      <c r="AHV116" s="199"/>
      <c r="AHW116" s="198"/>
      <c r="AHX116" s="199"/>
      <c r="AHY116" s="198"/>
      <c r="AHZ116" s="199"/>
      <c r="AIA116" s="198"/>
      <c r="AIB116" s="199"/>
      <c r="AIC116" s="198"/>
      <c r="AID116" s="199"/>
      <c r="AIE116" s="198"/>
      <c r="AIF116" s="199"/>
      <c r="AIG116" s="198"/>
      <c r="AIH116" s="199"/>
      <c r="AII116" s="198"/>
      <c r="AIJ116" s="199"/>
      <c r="AIK116" s="198"/>
      <c r="AIL116" s="199"/>
      <c r="AIM116" s="198"/>
      <c r="AIN116" s="199"/>
      <c r="AIO116" s="198"/>
      <c r="AIP116" s="199"/>
      <c r="AIQ116" s="198"/>
      <c r="AIR116" s="199"/>
      <c r="AIS116" s="198"/>
      <c r="AIT116" s="199"/>
      <c r="AIU116" s="198"/>
      <c r="AIV116" s="199"/>
      <c r="AIW116" s="198"/>
      <c r="AIX116" s="199"/>
      <c r="AIY116" s="198"/>
      <c r="AIZ116" s="199"/>
      <c r="AJA116" s="198"/>
      <c r="AJB116" s="199"/>
      <c r="AJC116" s="198"/>
      <c r="AJD116" s="199"/>
      <c r="AJE116" s="198"/>
      <c r="AJF116" s="199"/>
      <c r="AJG116" s="198"/>
      <c r="AJH116" s="199"/>
      <c r="AJI116" s="198"/>
      <c r="AJJ116" s="199"/>
      <c r="AJK116" s="198"/>
      <c r="AJL116" s="199"/>
      <c r="AJM116" s="198"/>
      <c r="AJN116" s="199"/>
      <c r="AJO116" s="198"/>
      <c r="AJP116" s="199"/>
      <c r="AJQ116" s="198"/>
      <c r="AJR116" s="199"/>
      <c r="AJS116" s="198"/>
      <c r="AJT116" s="199"/>
      <c r="AJU116" s="198"/>
      <c r="AJV116" s="199"/>
      <c r="AJW116" s="198"/>
      <c r="AJX116" s="199"/>
      <c r="AJY116" s="198"/>
      <c r="AJZ116" s="199"/>
      <c r="AKA116" s="198"/>
      <c r="AKB116" s="199"/>
      <c r="AKC116" s="198"/>
      <c r="AKD116" s="199"/>
      <c r="AKE116" s="198"/>
      <c r="AKF116" s="199"/>
      <c r="AKG116" s="198"/>
      <c r="AKH116" s="199"/>
      <c r="AKI116" s="198"/>
      <c r="AKJ116" s="199"/>
      <c r="AKK116" s="198"/>
      <c r="AKL116" s="199"/>
      <c r="AKM116" s="198"/>
      <c r="AKN116" s="199"/>
      <c r="AKO116" s="198"/>
      <c r="AKP116" s="199"/>
      <c r="AKQ116" s="198"/>
      <c r="AKR116" s="199"/>
      <c r="AKS116" s="198"/>
      <c r="AKT116" s="199"/>
      <c r="AKU116" s="198"/>
      <c r="AKV116" s="199"/>
      <c r="AKW116" s="198"/>
      <c r="AKX116" s="199"/>
      <c r="AKY116" s="198"/>
      <c r="AKZ116" s="199"/>
      <c r="ALA116" s="198"/>
      <c r="ALB116" s="199"/>
      <c r="ALC116" s="198"/>
      <c r="ALD116" s="199"/>
      <c r="ALE116" s="198"/>
      <c r="ALF116" s="199"/>
      <c r="ALG116" s="198"/>
      <c r="ALH116" s="199"/>
      <c r="ALI116" s="198"/>
      <c r="ALJ116" s="199"/>
      <c r="ALK116" s="198"/>
      <c r="ALL116" s="199"/>
      <c r="ALM116" s="198"/>
      <c r="ALN116" s="199"/>
      <c r="ALO116" s="198"/>
      <c r="ALP116" s="199"/>
      <c r="ALQ116" s="198"/>
      <c r="ALR116" s="199"/>
      <c r="ALS116" s="198"/>
      <c r="ALT116" s="199"/>
      <c r="ALU116" s="198"/>
      <c r="ALV116" s="199"/>
      <c r="ALW116" s="198"/>
      <c r="ALX116" s="199"/>
      <c r="ALY116" s="198"/>
      <c r="ALZ116" s="199"/>
      <c r="AMA116" s="198"/>
      <c r="AMB116" s="199"/>
      <c r="AMC116" s="198"/>
      <c r="AMD116" s="199"/>
      <c r="AME116" s="198"/>
      <c r="AMF116" s="199"/>
      <c r="AMG116" s="198"/>
      <c r="AMH116" s="199"/>
      <c r="AMI116" s="198"/>
      <c r="AMJ116" s="199"/>
      <c r="AMK116" s="198"/>
      <c r="AML116" s="199"/>
      <c r="AMM116" s="198"/>
      <c r="AMN116" s="199"/>
      <c r="AMO116" s="198"/>
      <c r="AMP116" s="199"/>
      <c r="AMQ116" s="198"/>
      <c r="AMR116" s="199"/>
      <c r="AMS116" s="198"/>
      <c r="AMT116" s="199"/>
      <c r="AMU116" s="198"/>
      <c r="AMV116" s="199"/>
      <c r="AMW116" s="198"/>
      <c r="AMX116" s="199"/>
      <c r="AMY116" s="198"/>
      <c r="AMZ116" s="199"/>
      <c r="ANA116" s="198"/>
      <c r="ANB116" s="199"/>
      <c r="ANC116" s="198"/>
      <c r="AND116" s="199"/>
      <c r="ANE116" s="198"/>
      <c r="ANF116" s="199"/>
      <c r="ANG116" s="198"/>
      <c r="ANH116" s="199"/>
      <c r="ANI116" s="198"/>
      <c r="ANJ116" s="199"/>
      <c r="ANK116" s="198"/>
      <c r="ANL116" s="199"/>
      <c r="ANM116" s="198"/>
      <c r="ANN116" s="199"/>
      <c r="ANO116" s="198"/>
      <c r="ANP116" s="199"/>
      <c r="ANQ116" s="198"/>
      <c r="ANR116" s="199"/>
      <c r="ANS116" s="198"/>
      <c r="ANT116" s="199"/>
      <c r="ANU116" s="198"/>
      <c r="ANV116" s="199"/>
      <c r="ANW116" s="198"/>
      <c r="ANX116" s="199"/>
      <c r="ANY116" s="198"/>
      <c r="ANZ116" s="199"/>
      <c r="AOA116" s="198"/>
      <c r="AOB116" s="199"/>
      <c r="AOC116" s="198"/>
      <c r="AOD116" s="199"/>
      <c r="AOE116" s="198"/>
      <c r="AOF116" s="199"/>
      <c r="AOG116" s="198"/>
      <c r="AOH116" s="199"/>
      <c r="AOI116" s="198"/>
      <c r="AOJ116" s="199"/>
      <c r="AOK116" s="198"/>
      <c r="AOL116" s="199"/>
      <c r="AOM116" s="198"/>
      <c r="AON116" s="199"/>
      <c r="AOO116" s="198"/>
      <c r="AOP116" s="199"/>
      <c r="AOQ116" s="198"/>
      <c r="AOR116" s="199"/>
      <c r="AOS116" s="198"/>
      <c r="AOT116" s="199"/>
      <c r="AOU116" s="198"/>
      <c r="AOV116" s="199"/>
      <c r="AOW116" s="198"/>
      <c r="AOX116" s="199"/>
      <c r="AOY116" s="198"/>
      <c r="AOZ116" s="199"/>
      <c r="APA116" s="198"/>
      <c r="APB116" s="199"/>
      <c r="APC116" s="198"/>
      <c r="APD116" s="199"/>
      <c r="APE116" s="198"/>
      <c r="APF116" s="199"/>
      <c r="APG116" s="198"/>
      <c r="APH116" s="199"/>
      <c r="API116" s="198"/>
      <c r="APJ116" s="199"/>
      <c r="APK116" s="198"/>
      <c r="APL116" s="199"/>
      <c r="APM116" s="198"/>
      <c r="APN116" s="199"/>
      <c r="APO116" s="198"/>
      <c r="APP116" s="199"/>
      <c r="APQ116" s="198"/>
      <c r="APR116" s="199"/>
      <c r="APS116" s="198"/>
      <c r="APT116" s="199"/>
      <c r="APU116" s="198"/>
      <c r="APV116" s="199"/>
      <c r="APW116" s="198"/>
      <c r="APX116" s="199"/>
      <c r="APY116" s="198"/>
      <c r="APZ116" s="199"/>
      <c r="AQA116" s="198"/>
      <c r="AQB116" s="199"/>
      <c r="AQC116" s="198"/>
      <c r="AQD116" s="199"/>
      <c r="AQE116" s="198"/>
      <c r="AQF116" s="199"/>
      <c r="AQG116" s="198"/>
      <c r="AQH116" s="199"/>
      <c r="AQI116" s="198"/>
      <c r="AQJ116" s="199"/>
      <c r="AQK116" s="198"/>
      <c r="AQL116" s="199"/>
      <c r="AQM116" s="198"/>
      <c r="AQN116" s="199"/>
      <c r="AQO116" s="198"/>
      <c r="AQP116" s="199"/>
      <c r="AQQ116" s="198"/>
      <c r="AQR116" s="199"/>
      <c r="AQS116" s="198"/>
      <c r="AQT116" s="199"/>
      <c r="AQU116" s="198"/>
      <c r="AQV116" s="199"/>
      <c r="AQW116" s="198"/>
      <c r="AQX116" s="199"/>
      <c r="AQY116" s="198"/>
      <c r="AQZ116" s="199"/>
      <c r="ARA116" s="198"/>
      <c r="ARB116" s="199"/>
      <c r="ARC116" s="198"/>
      <c r="ARD116" s="199"/>
      <c r="ARE116" s="198"/>
      <c r="ARF116" s="199"/>
      <c r="ARG116" s="198"/>
      <c r="ARH116" s="199"/>
      <c r="ARI116" s="198"/>
      <c r="ARJ116" s="199"/>
      <c r="ARK116" s="198"/>
      <c r="ARL116" s="199"/>
      <c r="ARM116" s="198"/>
      <c r="ARN116" s="199"/>
      <c r="ARO116" s="198"/>
      <c r="ARP116" s="199"/>
      <c r="ARQ116" s="198"/>
      <c r="ARR116" s="199"/>
      <c r="ARS116" s="198"/>
      <c r="ART116" s="199"/>
      <c r="ARU116" s="198"/>
      <c r="ARV116" s="199"/>
      <c r="ARW116" s="198"/>
      <c r="ARX116" s="199"/>
      <c r="ARY116" s="198"/>
      <c r="ARZ116" s="199"/>
      <c r="ASA116" s="198"/>
      <c r="ASB116" s="199"/>
      <c r="ASC116" s="198"/>
      <c r="ASD116" s="199"/>
      <c r="ASE116" s="198"/>
      <c r="ASF116" s="199"/>
      <c r="ASG116" s="198"/>
      <c r="ASH116" s="199"/>
      <c r="ASI116" s="198"/>
      <c r="ASJ116" s="199"/>
      <c r="ASK116" s="198"/>
      <c r="ASL116" s="199"/>
      <c r="ASM116" s="198"/>
      <c r="ASN116" s="199"/>
      <c r="ASO116" s="198"/>
      <c r="ASP116" s="199"/>
      <c r="ASQ116" s="198"/>
      <c r="ASR116" s="199"/>
      <c r="ASS116" s="198"/>
      <c r="AST116" s="199"/>
      <c r="ASU116" s="198"/>
      <c r="ASV116" s="199"/>
      <c r="ASW116" s="198"/>
      <c r="ASX116" s="199"/>
      <c r="ASY116" s="198"/>
      <c r="ASZ116" s="199"/>
      <c r="ATA116" s="198"/>
      <c r="ATB116" s="199"/>
      <c r="ATC116" s="198"/>
      <c r="ATD116" s="199"/>
      <c r="ATE116" s="198"/>
      <c r="ATF116" s="199"/>
      <c r="ATG116" s="198"/>
      <c r="ATH116" s="199"/>
      <c r="ATI116" s="198"/>
      <c r="ATJ116" s="199"/>
      <c r="ATK116" s="198"/>
      <c r="ATL116" s="199"/>
      <c r="ATM116" s="198"/>
      <c r="ATN116" s="199"/>
      <c r="ATO116" s="198"/>
      <c r="ATP116" s="199"/>
      <c r="ATQ116" s="198"/>
      <c r="ATR116" s="199"/>
      <c r="ATS116" s="198"/>
      <c r="ATT116" s="199"/>
      <c r="ATU116" s="198"/>
      <c r="ATV116" s="199"/>
      <c r="ATW116" s="198"/>
      <c r="ATX116" s="199"/>
      <c r="ATY116" s="198"/>
      <c r="ATZ116" s="199"/>
      <c r="AUA116" s="198"/>
      <c r="AUB116" s="199"/>
      <c r="AUC116" s="198"/>
      <c r="AUD116" s="199"/>
      <c r="AUE116" s="198"/>
      <c r="AUF116" s="199"/>
      <c r="AUG116" s="198"/>
      <c r="AUH116" s="199"/>
      <c r="AUI116" s="198"/>
      <c r="AUJ116" s="199"/>
      <c r="AUK116" s="198"/>
      <c r="AUL116" s="199"/>
      <c r="AUM116" s="198"/>
      <c r="AUN116" s="199"/>
      <c r="AUO116" s="198"/>
      <c r="AUP116" s="199"/>
      <c r="AUQ116" s="198"/>
      <c r="AUR116" s="199"/>
      <c r="AUS116" s="198"/>
      <c r="AUT116" s="199"/>
      <c r="AUU116" s="198"/>
      <c r="AUV116" s="199"/>
      <c r="AUW116" s="198"/>
      <c r="AUX116" s="199"/>
      <c r="AUY116" s="198"/>
      <c r="AUZ116" s="199"/>
      <c r="AVA116" s="198"/>
      <c r="AVB116" s="199"/>
      <c r="AVC116" s="198"/>
      <c r="AVD116" s="199"/>
      <c r="AVE116" s="198"/>
      <c r="AVF116" s="199"/>
      <c r="AVG116" s="198"/>
      <c r="AVH116" s="199"/>
      <c r="AVI116" s="198"/>
      <c r="AVJ116" s="199"/>
      <c r="AVK116" s="198"/>
      <c r="AVL116" s="199"/>
      <c r="AVM116" s="198"/>
      <c r="AVN116" s="199"/>
      <c r="AVO116" s="198"/>
      <c r="AVP116" s="199"/>
      <c r="AVQ116" s="198"/>
      <c r="AVR116" s="199"/>
      <c r="AVS116" s="198"/>
      <c r="AVT116" s="199"/>
      <c r="AVU116" s="198"/>
      <c r="AVV116" s="199"/>
      <c r="AVW116" s="198"/>
      <c r="AVX116" s="199"/>
      <c r="AVY116" s="198"/>
      <c r="AVZ116" s="199"/>
      <c r="AWA116" s="198"/>
      <c r="AWB116" s="199"/>
      <c r="AWC116" s="198"/>
      <c r="AWD116" s="199"/>
      <c r="AWE116" s="198"/>
      <c r="AWF116" s="199"/>
      <c r="AWG116" s="198"/>
      <c r="AWH116" s="199"/>
      <c r="AWI116" s="198"/>
      <c r="AWJ116" s="199"/>
      <c r="AWK116" s="198"/>
      <c r="AWL116" s="199"/>
      <c r="AWM116" s="198"/>
      <c r="AWN116" s="199"/>
      <c r="AWO116" s="198"/>
      <c r="AWP116" s="199"/>
      <c r="AWQ116" s="198"/>
      <c r="AWR116" s="199"/>
      <c r="AWS116" s="198"/>
      <c r="AWT116" s="199"/>
      <c r="AWU116" s="198"/>
      <c r="AWV116" s="199"/>
      <c r="AWW116" s="198"/>
      <c r="AWX116" s="199"/>
      <c r="AWY116" s="198"/>
      <c r="AWZ116" s="199"/>
      <c r="AXA116" s="198"/>
      <c r="AXB116" s="199"/>
      <c r="AXC116" s="198"/>
      <c r="AXD116" s="199"/>
      <c r="AXE116" s="198"/>
      <c r="AXF116" s="199"/>
      <c r="AXG116" s="198"/>
      <c r="AXH116" s="199"/>
      <c r="AXI116" s="198"/>
      <c r="AXJ116" s="199"/>
      <c r="AXK116" s="198"/>
      <c r="AXL116" s="199"/>
      <c r="AXM116" s="198"/>
      <c r="AXN116" s="199"/>
      <c r="AXO116" s="198"/>
      <c r="AXP116" s="199"/>
      <c r="AXQ116" s="198"/>
      <c r="AXR116" s="199"/>
      <c r="AXS116" s="198"/>
      <c r="AXT116" s="199"/>
      <c r="AXU116" s="198"/>
      <c r="AXV116" s="199"/>
      <c r="AXW116" s="198"/>
      <c r="AXX116" s="199"/>
      <c r="AXY116" s="198"/>
      <c r="AXZ116" s="199"/>
      <c r="AYA116" s="198"/>
      <c r="AYB116" s="199"/>
      <c r="AYC116" s="198"/>
      <c r="AYD116" s="199"/>
      <c r="AYE116" s="198"/>
      <c r="AYF116" s="199"/>
      <c r="AYG116" s="198"/>
      <c r="AYH116" s="199"/>
      <c r="AYI116" s="198"/>
      <c r="AYJ116" s="199"/>
      <c r="AYK116" s="198"/>
      <c r="AYL116" s="199"/>
      <c r="AYM116" s="198"/>
      <c r="AYN116" s="199"/>
      <c r="AYO116" s="198"/>
      <c r="AYP116" s="199"/>
      <c r="AYQ116" s="198"/>
      <c r="AYR116" s="199"/>
      <c r="AYS116" s="198"/>
      <c r="AYT116" s="199"/>
      <c r="AYU116" s="198"/>
      <c r="AYV116" s="199"/>
      <c r="AYW116" s="198"/>
      <c r="AYX116" s="199"/>
      <c r="AYY116" s="198"/>
      <c r="AYZ116" s="199"/>
      <c r="AZA116" s="198"/>
      <c r="AZB116" s="199"/>
      <c r="AZC116" s="198"/>
      <c r="AZD116" s="199"/>
      <c r="AZE116" s="198"/>
      <c r="AZF116" s="199"/>
      <c r="AZG116" s="198"/>
      <c r="AZH116" s="199"/>
      <c r="AZI116" s="198"/>
      <c r="AZJ116" s="199"/>
      <c r="AZK116" s="198"/>
      <c r="AZL116" s="199"/>
      <c r="AZM116" s="198"/>
      <c r="AZN116" s="199"/>
      <c r="AZO116" s="198"/>
      <c r="AZP116" s="199"/>
      <c r="AZQ116" s="198"/>
      <c r="AZR116" s="199"/>
      <c r="AZS116" s="198"/>
      <c r="AZT116" s="199"/>
      <c r="AZU116" s="198"/>
      <c r="AZV116" s="199"/>
      <c r="AZW116" s="198"/>
      <c r="AZX116" s="199"/>
      <c r="AZY116" s="198"/>
      <c r="AZZ116" s="199"/>
      <c r="BAA116" s="198"/>
      <c r="BAB116" s="199"/>
      <c r="BAC116" s="198"/>
      <c r="BAD116" s="199"/>
      <c r="BAE116" s="198"/>
      <c r="BAF116" s="199"/>
      <c r="BAG116" s="198"/>
      <c r="BAH116" s="199"/>
      <c r="BAI116" s="198"/>
      <c r="BAJ116" s="199"/>
      <c r="BAK116" s="198"/>
      <c r="BAL116" s="199"/>
      <c r="BAM116" s="198"/>
      <c r="BAN116" s="199"/>
      <c r="BAO116" s="198"/>
      <c r="BAP116" s="199"/>
      <c r="BAQ116" s="198"/>
      <c r="BAR116" s="199"/>
      <c r="BAS116" s="198"/>
      <c r="BAT116" s="199"/>
      <c r="BAU116" s="198"/>
      <c r="BAV116" s="199"/>
      <c r="BAW116" s="198"/>
      <c r="BAX116" s="199"/>
      <c r="BAY116" s="198"/>
      <c r="BAZ116" s="199"/>
      <c r="BBA116" s="198"/>
      <c r="BBB116" s="199"/>
      <c r="BBC116" s="198"/>
      <c r="BBD116" s="199"/>
      <c r="BBE116" s="198"/>
      <c r="BBF116" s="199"/>
      <c r="BBG116" s="198"/>
      <c r="BBH116" s="199"/>
      <c r="BBI116" s="198"/>
      <c r="BBJ116" s="199"/>
      <c r="BBK116" s="198"/>
      <c r="BBL116" s="199"/>
      <c r="BBM116" s="198"/>
      <c r="BBN116" s="199"/>
      <c r="BBO116" s="198"/>
      <c r="BBP116" s="199"/>
      <c r="BBQ116" s="198"/>
      <c r="BBR116" s="199"/>
      <c r="BBS116" s="198"/>
      <c r="BBT116" s="199"/>
      <c r="BBU116" s="198"/>
      <c r="BBV116" s="199"/>
      <c r="BBW116" s="198"/>
      <c r="BBX116" s="199"/>
      <c r="BBY116" s="198"/>
      <c r="BBZ116" s="199"/>
      <c r="BCA116" s="198"/>
      <c r="BCB116" s="199"/>
      <c r="BCC116" s="198"/>
      <c r="BCD116" s="199"/>
      <c r="BCE116" s="198"/>
      <c r="BCF116" s="199"/>
      <c r="BCG116" s="198"/>
      <c r="BCH116" s="199"/>
      <c r="BCI116" s="198"/>
      <c r="BCJ116" s="199"/>
      <c r="BCK116" s="198"/>
      <c r="BCL116" s="199"/>
      <c r="BCM116" s="198"/>
      <c r="BCN116" s="199"/>
      <c r="BCO116" s="198"/>
      <c r="BCP116" s="199"/>
      <c r="BCQ116" s="198"/>
      <c r="BCR116" s="199"/>
      <c r="BCS116" s="198"/>
      <c r="BCT116" s="199"/>
      <c r="BCU116" s="198"/>
      <c r="BCV116" s="199"/>
      <c r="BCW116" s="198"/>
      <c r="BCX116" s="199"/>
      <c r="BCY116" s="198"/>
      <c r="BCZ116" s="199"/>
      <c r="BDA116" s="198"/>
      <c r="BDB116" s="199"/>
      <c r="BDC116" s="198"/>
      <c r="BDD116" s="199"/>
      <c r="BDE116" s="198"/>
      <c r="BDF116" s="199"/>
      <c r="BDG116" s="198"/>
      <c r="BDH116" s="199"/>
      <c r="BDI116" s="198"/>
      <c r="BDJ116" s="199"/>
      <c r="BDK116" s="198"/>
      <c r="BDL116" s="199"/>
      <c r="BDM116" s="198"/>
      <c r="BDN116" s="199"/>
      <c r="BDO116" s="198"/>
      <c r="BDP116" s="199"/>
      <c r="BDQ116" s="198"/>
      <c r="BDR116" s="199"/>
      <c r="BDS116" s="198"/>
      <c r="BDT116" s="199"/>
      <c r="BDU116" s="198"/>
      <c r="BDV116" s="199"/>
      <c r="BDW116" s="198"/>
      <c r="BDX116" s="199"/>
      <c r="BDY116" s="198"/>
      <c r="BDZ116" s="199"/>
      <c r="BEA116" s="198"/>
      <c r="BEB116" s="199"/>
      <c r="BEC116" s="198"/>
      <c r="BED116" s="199"/>
      <c r="BEE116" s="198"/>
      <c r="BEF116" s="199"/>
      <c r="BEG116" s="198"/>
      <c r="BEH116" s="199"/>
      <c r="BEI116" s="198"/>
      <c r="BEJ116" s="199"/>
      <c r="BEK116" s="198"/>
      <c r="BEL116" s="199"/>
      <c r="BEM116" s="198"/>
      <c r="BEN116" s="199"/>
      <c r="BEO116" s="198"/>
      <c r="BEP116" s="199"/>
      <c r="BEQ116" s="198"/>
      <c r="BER116" s="199"/>
      <c r="BES116" s="198"/>
      <c r="BET116" s="199"/>
      <c r="BEU116" s="198"/>
      <c r="BEV116" s="199"/>
      <c r="BEW116" s="198"/>
      <c r="BEX116" s="199"/>
      <c r="BEY116" s="198"/>
      <c r="BEZ116" s="199"/>
      <c r="BFA116" s="198"/>
      <c r="BFB116" s="199"/>
      <c r="BFC116" s="198"/>
      <c r="BFD116" s="199"/>
      <c r="BFE116" s="198"/>
      <c r="BFF116" s="199"/>
      <c r="BFG116" s="198"/>
      <c r="BFH116" s="199"/>
      <c r="BFI116" s="198"/>
      <c r="BFJ116" s="199"/>
      <c r="BFK116" s="198"/>
      <c r="BFL116" s="199"/>
      <c r="BFM116" s="198"/>
      <c r="BFN116" s="199"/>
      <c r="BFO116" s="198"/>
      <c r="BFP116" s="199"/>
      <c r="BFQ116" s="198"/>
      <c r="BFR116" s="199"/>
      <c r="BFS116" s="198"/>
      <c r="BFT116" s="199"/>
      <c r="BFU116" s="198"/>
      <c r="BFV116" s="199"/>
      <c r="BFW116" s="198"/>
      <c r="BFX116" s="199"/>
      <c r="BFY116" s="198"/>
      <c r="BFZ116" s="199"/>
      <c r="BGA116" s="198"/>
      <c r="BGB116" s="199"/>
      <c r="BGC116" s="198"/>
      <c r="BGD116" s="199"/>
      <c r="BGE116" s="198"/>
      <c r="BGF116" s="199"/>
      <c r="BGG116" s="198"/>
      <c r="BGH116" s="199"/>
      <c r="BGI116" s="198"/>
      <c r="BGJ116" s="199"/>
      <c r="BGK116" s="198"/>
      <c r="BGL116" s="199"/>
      <c r="BGM116" s="198"/>
      <c r="BGN116" s="199"/>
      <c r="BGO116" s="198"/>
      <c r="BGP116" s="199"/>
      <c r="BGQ116" s="198"/>
      <c r="BGR116" s="199"/>
      <c r="BGS116" s="198"/>
      <c r="BGT116" s="199"/>
      <c r="BGU116" s="198"/>
      <c r="BGV116" s="199"/>
      <c r="BGW116" s="198"/>
      <c r="BGX116" s="199"/>
      <c r="BGY116" s="198"/>
      <c r="BGZ116" s="199"/>
      <c r="BHA116" s="198"/>
      <c r="BHB116" s="199"/>
      <c r="BHC116" s="198"/>
      <c r="BHD116" s="199"/>
      <c r="BHE116" s="198"/>
      <c r="BHF116" s="199"/>
      <c r="BHG116" s="198"/>
      <c r="BHH116" s="199"/>
      <c r="BHI116" s="198"/>
      <c r="BHJ116" s="199"/>
      <c r="BHK116" s="198"/>
      <c r="BHL116" s="199"/>
      <c r="BHM116" s="198"/>
      <c r="BHN116" s="199"/>
      <c r="BHO116" s="198"/>
      <c r="BHP116" s="199"/>
      <c r="BHQ116" s="198"/>
      <c r="BHR116" s="199"/>
      <c r="BHS116" s="198"/>
      <c r="BHT116" s="199"/>
      <c r="BHU116" s="198"/>
      <c r="BHV116" s="199"/>
      <c r="BHW116" s="198"/>
      <c r="BHX116" s="199"/>
      <c r="BHY116" s="198"/>
      <c r="BHZ116" s="199"/>
      <c r="BIA116" s="198"/>
      <c r="BIB116" s="199"/>
      <c r="BIC116" s="198"/>
      <c r="BID116" s="199"/>
      <c r="BIE116" s="198"/>
      <c r="BIF116" s="199"/>
      <c r="BIG116" s="198"/>
      <c r="BIH116" s="199"/>
      <c r="BII116" s="198"/>
      <c r="BIJ116" s="199"/>
      <c r="BIK116" s="198"/>
      <c r="BIL116" s="199"/>
      <c r="BIM116" s="198"/>
      <c r="BIN116" s="199"/>
      <c r="BIO116" s="198"/>
      <c r="BIP116" s="199"/>
      <c r="BIQ116" s="198"/>
      <c r="BIR116" s="199"/>
      <c r="BIS116" s="198"/>
      <c r="BIT116" s="199"/>
      <c r="BIU116" s="198"/>
      <c r="BIV116" s="199"/>
      <c r="BIW116" s="198"/>
      <c r="BIX116" s="199"/>
      <c r="BIY116" s="198"/>
      <c r="BIZ116" s="199"/>
      <c r="BJA116" s="198"/>
      <c r="BJB116" s="199"/>
      <c r="BJC116" s="198"/>
      <c r="BJD116" s="199"/>
      <c r="BJE116" s="198"/>
      <c r="BJF116" s="199"/>
      <c r="BJG116" s="198"/>
      <c r="BJH116" s="199"/>
      <c r="BJI116" s="198"/>
      <c r="BJJ116" s="199"/>
      <c r="BJK116" s="198"/>
      <c r="BJL116" s="199"/>
      <c r="BJM116" s="198"/>
      <c r="BJN116" s="199"/>
      <c r="BJO116" s="198"/>
      <c r="BJP116" s="199"/>
      <c r="BJQ116" s="198"/>
      <c r="BJR116" s="199"/>
      <c r="BJS116" s="198"/>
      <c r="BJT116" s="199"/>
      <c r="BJU116" s="198"/>
      <c r="BJV116" s="199"/>
      <c r="BJW116" s="198"/>
      <c r="BJX116" s="199"/>
      <c r="BJY116" s="198"/>
      <c r="BJZ116" s="199"/>
      <c r="BKA116" s="198"/>
      <c r="BKB116" s="199"/>
      <c r="BKC116" s="198"/>
      <c r="BKD116" s="199"/>
      <c r="BKE116" s="198"/>
      <c r="BKF116" s="199"/>
      <c r="BKG116" s="198"/>
      <c r="BKH116" s="199"/>
      <c r="BKI116" s="198"/>
      <c r="BKJ116" s="199"/>
      <c r="BKK116" s="198"/>
      <c r="BKL116" s="199"/>
      <c r="BKM116" s="198"/>
      <c r="BKN116" s="199"/>
      <c r="BKO116" s="198"/>
      <c r="BKP116" s="199"/>
      <c r="BKQ116" s="198"/>
      <c r="BKR116" s="199"/>
      <c r="BKS116" s="198"/>
      <c r="BKT116" s="199"/>
      <c r="BKU116" s="198"/>
      <c r="BKV116" s="199"/>
      <c r="BKW116" s="198"/>
      <c r="BKX116" s="199"/>
      <c r="BKY116" s="198"/>
      <c r="BKZ116" s="199"/>
      <c r="BLA116" s="198"/>
      <c r="BLB116" s="199"/>
      <c r="BLC116" s="198"/>
      <c r="BLD116" s="199"/>
      <c r="BLE116" s="198"/>
      <c r="BLF116" s="199"/>
      <c r="BLG116" s="198"/>
      <c r="BLH116" s="199"/>
      <c r="BLI116" s="198"/>
      <c r="BLJ116" s="199"/>
      <c r="BLK116" s="198"/>
      <c r="BLL116" s="199"/>
      <c r="BLM116" s="198"/>
      <c r="BLN116" s="199"/>
      <c r="BLO116" s="198"/>
      <c r="BLP116" s="199"/>
      <c r="BLQ116" s="198"/>
      <c r="BLR116" s="199"/>
      <c r="BLS116" s="198"/>
      <c r="BLT116" s="199"/>
      <c r="BLU116" s="198"/>
      <c r="BLV116" s="199"/>
      <c r="BLW116" s="198"/>
      <c r="BLX116" s="199"/>
      <c r="BLY116" s="198"/>
      <c r="BLZ116" s="199"/>
      <c r="BMA116" s="198"/>
      <c r="BMB116" s="199"/>
      <c r="BMC116" s="198"/>
      <c r="BMD116" s="199"/>
      <c r="BME116" s="198"/>
      <c r="BMF116" s="199"/>
      <c r="BMG116" s="198"/>
      <c r="BMH116" s="199"/>
      <c r="BMI116" s="198"/>
      <c r="BMJ116" s="199"/>
      <c r="BMK116" s="198"/>
      <c r="BML116" s="199"/>
      <c r="BMM116" s="198"/>
      <c r="BMN116" s="199"/>
      <c r="BMO116" s="198"/>
      <c r="BMP116" s="199"/>
      <c r="BMQ116" s="198"/>
      <c r="BMR116" s="199"/>
      <c r="BMS116" s="198"/>
      <c r="BMT116" s="199"/>
      <c r="BMU116" s="198"/>
      <c r="BMV116" s="199"/>
      <c r="BMW116" s="198"/>
      <c r="BMX116" s="199"/>
      <c r="BMY116" s="198"/>
      <c r="BMZ116" s="199"/>
      <c r="BNA116" s="198"/>
      <c r="BNB116" s="199"/>
      <c r="BNC116" s="198"/>
      <c r="BND116" s="199"/>
      <c r="BNE116" s="198"/>
      <c r="BNF116" s="199"/>
      <c r="BNG116" s="198"/>
      <c r="BNH116" s="199"/>
      <c r="BNI116" s="198"/>
      <c r="BNJ116" s="199"/>
      <c r="BNK116" s="198"/>
      <c r="BNL116" s="199"/>
      <c r="BNM116" s="198"/>
      <c r="BNN116" s="199"/>
      <c r="BNO116" s="198"/>
      <c r="BNP116" s="199"/>
      <c r="BNQ116" s="198"/>
      <c r="BNR116" s="199"/>
      <c r="BNS116" s="198"/>
      <c r="BNT116" s="199"/>
      <c r="BNU116" s="198"/>
      <c r="BNV116" s="199"/>
      <c r="BNW116" s="198"/>
      <c r="BNX116" s="199"/>
      <c r="BNY116" s="198"/>
      <c r="BNZ116" s="199"/>
      <c r="BOA116" s="198"/>
      <c r="BOB116" s="199"/>
      <c r="BOC116" s="198"/>
      <c r="BOD116" s="199"/>
      <c r="BOE116" s="198"/>
      <c r="BOF116" s="199"/>
      <c r="BOG116" s="198"/>
      <c r="BOH116" s="199"/>
      <c r="BOI116" s="198"/>
      <c r="BOJ116" s="199"/>
      <c r="BOK116" s="198"/>
      <c r="BOL116" s="199"/>
      <c r="BOM116" s="198"/>
      <c r="BON116" s="199"/>
      <c r="BOO116" s="198"/>
      <c r="BOP116" s="199"/>
      <c r="BOQ116" s="198"/>
      <c r="BOR116" s="199"/>
      <c r="BOS116" s="198"/>
      <c r="BOT116" s="199"/>
      <c r="BOU116" s="198"/>
      <c r="BOV116" s="199"/>
      <c r="BOW116" s="198"/>
      <c r="BOX116" s="199"/>
      <c r="BOY116" s="198"/>
      <c r="BOZ116" s="199"/>
      <c r="BPA116" s="198"/>
      <c r="BPB116" s="199"/>
      <c r="BPC116" s="198"/>
      <c r="BPD116" s="199"/>
      <c r="BPE116" s="198"/>
      <c r="BPF116" s="199"/>
      <c r="BPG116" s="198"/>
      <c r="BPH116" s="199"/>
      <c r="BPI116" s="198"/>
      <c r="BPJ116" s="199"/>
      <c r="BPK116" s="198"/>
      <c r="BPL116" s="199"/>
      <c r="BPM116" s="198"/>
      <c r="BPN116" s="199"/>
      <c r="BPO116" s="198"/>
      <c r="BPP116" s="199"/>
      <c r="BPQ116" s="198"/>
      <c r="BPR116" s="199"/>
      <c r="BPS116" s="198"/>
      <c r="BPT116" s="199"/>
      <c r="BPU116" s="198"/>
      <c r="BPV116" s="199"/>
      <c r="BPW116" s="198"/>
      <c r="BPX116" s="199"/>
      <c r="BPY116" s="198"/>
      <c r="BPZ116" s="199"/>
      <c r="BQA116" s="198"/>
      <c r="BQB116" s="199"/>
      <c r="BQC116" s="198"/>
      <c r="BQD116" s="199"/>
      <c r="BQE116" s="198"/>
      <c r="BQF116" s="199"/>
      <c r="BQG116" s="198"/>
      <c r="BQH116" s="199"/>
      <c r="BQI116" s="198"/>
      <c r="BQJ116" s="199"/>
      <c r="BQK116" s="198"/>
      <c r="BQL116" s="199"/>
      <c r="BQM116" s="198"/>
      <c r="BQN116" s="199"/>
      <c r="BQO116" s="198"/>
      <c r="BQP116" s="199"/>
      <c r="BQQ116" s="198"/>
      <c r="BQR116" s="199"/>
      <c r="BQS116" s="198"/>
      <c r="BQT116" s="199"/>
      <c r="BQU116" s="198"/>
      <c r="BQV116" s="199"/>
      <c r="BQW116" s="198"/>
      <c r="BQX116" s="199"/>
      <c r="BQY116" s="198"/>
      <c r="BQZ116" s="199"/>
      <c r="BRA116" s="198"/>
      <c r="BRB116" s="199"/>
      <c r="BRC116" s="198"/>
      <c r="BRD116" s="199"/>
      <c r="BRE116" s="198"/>
      <c r="BRF116" s="199"/>
      <c r="BRG116" s="198"/>
      <c r="BRH116" s="199"/>
      <c r="BRI116" s="198"/>
      <c r="BRJ116" s="199"/>
      <c r="BRK116" s="198"/>
      <c r="BRL116" s="199"/>
      <c r="BRM116" s="198"/>
      <c r="BRN116" s="199"/>
      <c r="BRO116" s="198"/>
      <c r="BRP116" s="199"/>
      <c r="BRQ116" s="198"/>
      <c r="BRR116" s="199"/>
      <c r="BRS116" s="198"/>
      <c r="BRT116" s="199"/>
      <c r="BRU116" s="198"/>
      <c r="BRV116" s="199"/>
      <c r="BRW116" s="198"/>
      <c r="BRX116" s="199"/>
      <c r="BRY116" s="198"/>
      <c r="BRZ116" s="199"/>
      <c r="BSA116" s="198"/>
      <c r="BSB116" s="199"/>
      <c r="BSC116" s="198"/>
      <c r="BSD116" s="199"/>
      <c r="BSE116" s="198"/>
      <c r="BSF116" s="199"/>
      <c r="BSG116" s="198"/>
      <c r="BSH116" s="199"/>
      <c r="BSI116" s="198"/>
      <c r="BSJ116" s="199"/>
      <c r="BSK116" s="198"/>
      <c r="BSL116" s="199"/>
      <c r="BSM116" s="198"/>
      <c r="BSN116" s="199"/>
      <c r="BSO116" s="198"/>
      <c r="BSP116" s="199"/>
      <c r="BSQ116" s="198"/>
      <c r="BSR116" s="199"/>
      <c r="BSS116" s="198"/>
      <c r="BST116" s="199"/>
      <c r="BSU116" s="198"/>
      <c r="BSV116" s="199"/>
      <c r="BSW116" s="198"/>
      <c r="BSX116" s="199"/>
      <c r="BSY116" s="198"/>
      <c r="BSZ116" s="199"/>
      <c r="BTA116" s="198"/>
      <c r="BTB116" s="199"/>
      <c r="BTC116" s="198"/>
      <c r="BTD116" s="199"/>
      <c r="BTE116" s="198"/>
      <c r="BTF116" s="199"/>
      <c r="BTG116" s="198"/>
      <c r="BTH116" s="199"/>
      <c r="BTI116" s="198"/>
      <c r="BTJ116" s="199"/>
      <c r="BTK116" s="198"/>
      <c r="BTL116" s="199"/>
      <c r="BTM116" s="198"/>
      <c r="BTN116" s="199"/>
      <c r="BTO116" s="198"/>
      <c r="BTP116" s="199"/>
      <c r="BTQ116" s="198"/>
      <c r="BTR116" s="199"/>
      <c r="BTS116" s="198"/>
      <c r="BTT116" s="199"/>
      <c r="BTU116" s="198"/>
      <c r="BTV116" s="199"/>
      <c r="BTW116" s="198"/>
      <c r="BTX116" s="199"/>
      <c r="BTY116" s="198"/>
      <c r="BTZ116" s="199"/>
      <c r="BUA116" s="198"/>
      <c r="BUB116" s="199"/>
      <c r="BUC116" s="198"/>
      <c r="BUD116" s="199"/>
      <c r="BUE116" s="198"/>
      <c r="BUF116" s="199"/>
      <c r="BUG116" s="198"/>
      <c r="BUH116" s="199"/>
      <c r="BUI116" s="198"/>
      <c r="BUJ116" s="199"/>
      <c r="BUK116" s="198"/>
      <c r="BUL116" s="199"/>
      <c r="BUM116" s="198"/>
      <c r="BUN116" s="199"/>
      <c r="BUO116" s="198"/>
      <c r="BUP116" s="199"/>
      <c r="BUQ116" s="198"/>
      <c r="BUR116" s="199"/>
      <c r="BUS116" s="198"/>
      <c r="BUT116" s="199"/>
      <c r="BUU116" s="198"/>
      <c r="BUV116" s="199"/>
      <c r="BUW116" s="198"/>
      <c r="BUX116" s="199"/>
      <c r="BUY116" s="198"/>
      <c r="BUZ116" s="199"/>
      <c r="BVA116" s="198"/>
      <c r="BVB116" s="199"/>
      <c r="BVC116" s="198"/>
      <c r="BVD116" s="199"/>
      <c r="BVE116" s="198"/>
      <c r="BVF116" s="199"/>
      <c r="BVG116" s="198"/>
      <c r="BVH116" s="199"/>
      <c r="BVI116" s="198"/>
      <c r="BVJ116" s="199"/>
      <c r="BVK116" s="198"/>
      <c r="BVL116" s="199"/>
      <c r="BVM116" s="198"/>
      <c r="BVN116" s="199"/>
      <c r="BVO116" s="198"/>
      <c r="BVP116" s="199"/>
      <c r="BVQ116" s="198"/>
      <c r="BVR116" s="199"/>
      <c r="BVS116" s="198"/>
      <c r="BVT116" s="199"/>
      <c r="BVU116" s="198"/>
      <c r="BVV116" s="199"/>
      <c r="BVW116" s="198"/>
      <c r="BVX116" s="199"/>
      <c r="BVY116" s="198"/>
      <c r="BVZ116" s="199"/>
      <c r="BWA116" s="198"/>
      <c r="BWB116" s="199"/>
      <c r="BWC116" s="198"/>
      <c r="BWD116" s="199"/>
      <c r="BWE116" s="198"/>
      <c r="BWF116" s="199"/>
      <c r="BWG116" s="198"/>
      <c r="BWH116" s="199"/>
      <c r="BWI116" s="198"/>
      <c r="BWJ116" s="199"/>
      <c r="BWK116" s="198"/>
      <c r="BWL116" s="199"/>
      <c r="BWM116" s="198"/>
      <c r="BWN116" s="199"/>
      <c r="BWO116" s="198"/>
      <c r="BWP116" s="199"/>
      <c r="BWQ116" s="198"/>
      <c r="BWR116" s="199"/>
      <c r="BWS116" s="198"/>
      <c r="BWT116" s="199"/>
      <c r="BWU116" s="198"/>
      <c r="BWV116" s="199"/>
      <c r="BWW116" s="198"/>
      <c r="BWX116" s="199"/>
      <c r="BWY116" s="198"/>
      <c r="BWZ116" s="199"/>
      <c r="BXA116" s="198"/>
      <c r="BXB116" s="199"/>
      <c r="BXC116" s="198"/>
      <c r="BXD116" s="199"/>
      <c r="BXE116" s="198"/>
      <c r="BXF116" s="199"/>
      <c r="BXG116" s="198"/>
      <c r="BXH116" s="199"/>
      <c r="BXI116" s="198"/>
      <c r="BXJ116" s="199"/>
      <c r="BXK116" s="198"/>
      <c r="BXL116" s="199"/>
      <c r="BXM116" s="198"/>
      <c r="BXN116" s="199"/>
      <c r="BXO116" s="198"/>
      <c r="BXP116" s="199"/>
      <c r="BXQ116" s="198"/>
      <c r="BXR116" s="199"/>
      <c r="BXS116" s="198"/>
      <c r="BXT116" s="199"/>
      <c r="BXU116" s="198"/>
      <c r="BXV116" s="199"/>
      <c r="BXW116" s="198"/>
      <c r="BXX116" s="199"/>
      <c r="BXY116" s="198"/>
      <c r="BXZ116" s="199"/>
      <c r="BYA116" s="198"/>
      <c r="BYB116" s="199"/>
      <c r="BYC116" s="198"/>
      <c r="BYD116" s="199"/>
      <c r="BYE116" s="198"/>
      <c r="BYF116" s="199"/>
      <c r="BYG116" s="198"/>
      <c r="BYH116" s="199"/>
      <c r="BYI116" s="198"/>
      <c r="BYJ116" s="199"/>
      <c r="BYK116" s="198"/>
      <c r="BYL116" s="199"/>
      <c r="BYM116" s="198"/>
      <c r="BYN116" s="199"/>
      <c r="BYO116" s="198"/>
      <c r="BYP116" s="199"/>
      <c r="BYQ116" s="198"/>
      <c r="BYR116" s="199"/>
      <c r="BYS116" s="198"/>
      <c r="BYT116" s="199"/>
      <c r="BYU116" s="198"/>
      <c r="BYV116" s="199"/>
      <c r="BYW116" s="198"/>
      <c r="BYX116" s="199"/>
      <c r="BYY116" s="198"/>
      <c r="BYZ116" s="199"/>
      <c r="BZA116" s="198"/>
      <c r="BZB116" s="199"/>
      <c r="BZC116" s="198"/>
      <c r="BZD116" s="199"/>
      <c r="BZE116" s="198"/>
      <c r="BZF116" s="199"/>
      <c r="BZG116" s="198"/>
      <c r="BZH116" s="199"/>
      <c r="BZI116" s="198"/>
      <c r="BZJ116" s="199"/>
      <c r="BZK116" s="198"/>
      <c r="BZL116" s="199"/>
      <c r="BZM116" s="198"/>
      <c r="BZN116" s="199"/>
      <c r="BZO116" s="198"/>
      <c r="BZP116" s="199"/>
      <c r="BZQ116" s="198"/>
      <c r="BZR116" s="199"/>
      <c r="BZS116" s="198"/>
      <c r="BZT116" s="199"/>
      <c r="BZU116" s="198"/>
      <c r="BZV116" s="199"/>
      <c r="BZW116" s="198"/>
      <c r="BZX116" s="199"/>
      <c r="BZY116" s="198"/>
      <c r="BZZ116" s="199"/>
      <c r="CAA116" s="198"/>
      <c r="CAB116" s="199"/>
      <c r="CAC116" s="198"/>
      <c r="CAD116" s="199"/>
      <c r="CAE116" s="198"/>
      <c r="CAF116" s="199"/>
      <c r="CAG116" s="198"/>
      <c r="CAH116" s="199"/>
      <c r="CAI116" s="198"/>
      <c r="CAJ116" s="199"/>
      <c r="CAK116" s="198"/>
      <c r="CAL116" s="199"/>
      <c r="CAM116" s="198"/>
      <c r="CAN116" s="199"/>
      <c r="CAO116" s="198"/>
      <c r="CAP116" s="199"/>
      <c r="CAQ116" s="198"/>
      <c r="CAR116" s="199"/>
      <c r="CAS116" s="198"/>
      <c r="CAT116" s="199"/>
      <c r="CAU116" s="198"/>
      <c r="CAV116" s="199"/>
      <c r="CAW116" s="198"/>
      <c r="CAX116" s="199"/>
      <c r="CAY116" s="198"/>
      <c r="CAZ116" s="199"/>
      <c r="CBA116" s="198"/>
      <c r="CBB116" s="199"/>
      <c r="CBC116" s="198"/>
      <c r="CBD116" s="199"/>
      <c r="CBE116" s="198"/>
      <c r="CBF116" s="199"/>
      <c r="CBG116" s="198"/>
      <c r="CBH116" s="199"/>
      <c r="CBI116" s="198"/>
      <c r="CBJ116" s="199"/>
      <c r="CBK116" s="198"/>
      <c r="CBL116" s="199"/>
      <c r="CBM116" s="198"/>
      <c r="CBN116" s="199"/>
      <c r="CBO116" s="198"/>
      <c r="CBP116" s="199"/>
      <c r="CBQ116" s="198"/>
      <c r="CBR116" s="199"/>
      <c r="CBS116" s="198"/>
      <c r="CBT116" s="199"/>
      <c r="CBU116" s="198"/>
      <c r="CBV116" s="199"/>
      <c r="CBW116" s="198"/>
      <c r="CBX116" s="199"/>
      <c r="CBY116" s="198"/>
      <c r="CBZ116" s="199"/>
      <c r="CCA116" s="198"/>
      <c r="CCB116" s="199"/>
      <c r="CCC116" s="198"/>
      <c r="CCD116" s="199"/>
      <c r="CCE116" s="198"/>
      <c r="CCF116" s="199"/>
      <c r="CCG116" s="198"/>
      <c r="CCH116" s="199"/>
      <c r="CCI116" s="198"/>
      <c r="CCJ116" s="199"/>
      <c r="CCK116" s="198"/>
      <c r="CCL116" s="199"/>
      <c r="CCM116" s="198"/>
      <c r="CCN116" s="199"/>
      <c r="CCO116" s="198"/>
      <c r="CCP116" s="199"/>
      <c r="CCQ116" s="198"/>
      <c r="CCR116" s="199"/>
      <c r="CCS116" s="198"/>
      <c r="CCT116" s="199"/>
      <c r="CCU116" s="198"/>
      <c r="CCV116" s="199"/>
      <c r="CCW116" s="198"/>
      <c r="CCX116" s="199"/>
      <c r="CCY116" s="198"/>
      <c r="CCZ116" s="199"/>
      <c r="CDA116" s="198"/>
      <c r="CDB116" s="199"/>
      <c r="CDC116" s="198"/>
      <c r="CDD116" s="199"/>
      <c r="CDE116" s="198"/>
      <c r="CDF116" s="199"/>
      <c r="CDG116" s="198"/>
      <c r="CDH116" s="199"/>
      <c r="CDI116" s="198"/>
      <c r="CDJ116" s="199"/>
      <c r="CDK116" s="198"/>
      <c r="CDL116" s="199"/>
      <c r="CDM116" s="198"/>
      <c r="CDN116" s="199"/>
      <c r="CDO116" s="198"/>
      <c r="CDP116" s="199"/>
      <c r="CDQ116" s="198"/>
      <c r="CDR116" s="199"/>
      <c r="CDS116" s="198"/>
      <c r="CDT116" s="199"/>
      <c r="CDU116" s="198"/>
      <c r="CDV116" s="199"/>
      <c r="CDW116" s="198"/>
      <c r="CDX116" s="199"/>
      <c r="CDY116" s="198"/>
      <c r="CDZ116" s="199"/>
      <c r="CEA116" s="198"/>
      <c r="CEB116" s="199"/>
      <c r="CEC116" s="198"/>
      <c r="CED116" s="199"/>
      <c r="CEE116" s="198"/>
      <c r="CEF116" s="199"/>
      <c r="CEG116" s="198"/>
      <c r="CEH116" s="199"/>
      <c r="CEI116" s="198"/>
      <c r="CEJ116" s="199"/>
      <c r="CEK116" s="198"/>
      <c r="CEL116" s="199"/>
      <c r="CEM116" s="198"/>
      <c r="CEN116" s="199"/>
      <c r="CEO116" s="198"/>
      <c r="CEP116" s="199"/>
      <c r="CEQ116" s="198"/>
      <c r="CER116" s="199"/>
      <c r="CES116" s="198"/>
      <c r="CET116" s="199"/>
      <c r="CEU116" s="198"/>
      <c r="CEV116" s="199"/>
      <c r="CEW116" s="198"/>
      <c r="CEX116" s="199"/>
      <c r="CEY116" s="198"/>
      <c r="CEZ116" s="199"/>
      <c r="CFA116" s="198"/>
      <c r="CFB116" s="199"/>
      <c r="CFC116" s="198"/>
      <c r="CFD116" s="199"/>
      <c r="CFE116" s="198"/>
      <c r="CFF116" s="199"/>
      <c r="CFG116" s="198"/>
      <c r="CFH116" s="199"/>
      <c r="CFI116" s="198"/>
      <c r="CFJ116" s="199"/>
      <c r="CFK116" s="198"/>
      <c r="CFL116" s="199"/>
      <c r="CFM116" s="198"/>
      <c r="CFN116" s="199"/>
      <c r="CFO116" s="198"/>
      <c r="CFP116" s="199"/>
      <c r="CFQ116" s="198"/>
      <c r="CFR116" s="199"/>
      <c r="CFS116" s="198"/>
      <c r="CFT116" s="199"/>
      <c r="CFU116" s="198"/>
      <c r="CFV116" s="199"/>
      <c r="CFW116" s="198"/>
      <c r="CFX116" s="199"/>
      <c r="CFY116" s="198"/>
      <c r="CFZ116" s="199"/>
      <c r="CGA116" s="198"/>
      <c r="CGB116" s="199"/>
      <c r="CGC116" s="198"/>
      <c r="CGD116" s="199"/>
      <c r="CGE116" s="198"/>
      <c r="CGF116" s="199"/>
      <c r="CGG116" s="198"/>
      <c r="CGH116" s="199"/>
      <c r="CGI116" s="198"/>
      <c r="CGJ116" s="199"/>
      <c r="CGK116" s="198"/>
      <c r="CGL116" s="199"/>
      <c r="CGM116" s="198"/>
      <c r="CGN116" s="199"/>
      <c r="CGO116" s="198"/>
      <c r="CGP116" s="199"/>
      <c r="CGQ116" s="198"/>
      <c r="CGR116" s="199"/>
      <c r="CGS116" s="198"/>
      <c r="CGT116" s="199"/>
      <c r="CGU116" s="198"/>
      <c r="CGV116" s="199"/>
      <c r="CGW116" s="198"/>
      <c r="CGX116" s="199"/>
      <c r="CGY116" s="198"/>
      <c r="CGZ116" s="199"/>
      <c r="CHA116" s="198"/>
      <c r="CHB116" s="199"/>
      <c r="CHC116" s="198"/>
      <c r="CHD116" s="199"/>
      <c r="CHE116" s="198"/>
      <c r="CHF116" s="199"/>
      <c r="CHG116" s="198"/>
      <c r="CHH116" s="199"/>
      <c r="CHI116" s="198"/>
      <c r="CHJ116" s="199"/>
      <c r="CHK116" s="198"/>
      <c r="CHL116" s="199"/>
      <c r="CHM116" s="198"/>
      <c r="CHN116" s="199"/>
      <c r="CHO116" s="198"/>
      <c r="CHP116" s="199"/>
      <c r="CHQ116" s="198"/>
      <c r="CHR116" s="199"/>
      <c r="CHS116" s="198"/>
      <c r="CHT116" s="199"/>
      <c r="CHU116" s="198"/>
      <c r="CHV116" s="199"/>
      <c r="CHW116" s="198"/>
      <c r="CHX116" s="199"/>
      <c r="CHY116" s="198"/>
      <c r="CHZ116" s="199"/>
      <c r="CIA116" s="198"/>
      <c r="CIB116" s="199"/>
      <c r="CIC116" s="198"/>
      <c r="CID116" s="199"/>
      <c r="CIE116" s="198"/>
      <c r="CIF116" s="199"/>
      <c r="CIG116" s="198"/>
      <c r="CIH116" s="199"/>
      <c r="CII116" s="198"/>
      <c r="CIJ116" s="199"/>
      <c r="CIK116" s="198"/>
      <c r="CIL116" s="199"/>
      <c r="CIM116" s="198"/>
      <c r="CIN116" s="199"/>
      <c r="CIO116" s="198"/>
      <c r="CIP116" s="199"/>
      <c r="CIQ116" s="198"/>
      <c r="CIR116" s="199"/>
      <c r="CIS116" s="198"/>
      <c r="CIT116" s="199"/>
      <c r="CIU116" s="198"/>
      <c r="CIV116" s="199"/>
      <c r="CIW116" s="198"/>
      <c r="CIX116" s="199"/>
      <c r="CIY116" s="198"/>
      <c r="CIZ116" s="199"/>
      <c r="CJA116" s="198"/>
      <c r="CJB116" s="199"/>
      <c r="CJC116" s="198"/>
      <c r="CJD116" s="199"/>
      <c r="CJE116" s="198"/>
      <c r="CJF116" s="199"/>
      <c r="CJG116" s="198"/>
      <c r="CJH116" s="199"/>
      <c r="CJI116" s="198"/>
      <c r="CJJ116" s="199"/>
      <c r="CJK116" s="198"/>
      <c r="CJL116" s="199"/>
      <c r="CJM116" s="198"/>
      <c r="CJN116" s="199"/>
      <c r="CJO116" s="198"/>
      <c r="CJP116" s="199"/>
      <c r="CJQ116" s="198"/>
      <c r="CJR116" s="199"/>
      <c r="CJS116" s="198"/>
      <c r="CJT116" s="199"/>
      <c r="CJU116" s="198"/>
      <c r="CJV116" s="199"/>
      <c r="CJW116" s="198"/>
      <c r="CJX116" s="199"/>
      <c r="CJY116" s="198"/>
      <c r="CJZ116" s="199"/>
      <c r="CKA116" s="198"/>
      <c r="CKB116" s="199"/>
      <c r="CKC116" s="198"/>
      <c r="CKD116" s="199"/>
      <c r="CKE116" s="198"/>
      <c r="CKF116" s="199"/>
      <c r="CKG116" s="198"/>
      <c r="CKH116" s="199"/>
      <c r="CKI116" s="198"/>
      <c r="CKJ116" s="199"/>
      <c r="CKK116" s="198"/>
      <c r="CKL116" s="199"/>
      <c r="CKM116" s="198"/>
      <c r="CKN116" s="199"/>
      <c r="CKO116" s="198"/>
      <c r="CKP116" s="199"/>
      <c r="CKQ116" s="198"/>
      <c r="CKR116" s="199"/>
      <c r="CKS116" s="198"/>
      <c r="CKT116" s="199"/>
      <c r="CKU116" s="198"/>
      <c r="CKV116" s="199"/>
      <c r="CKW116" s="198"/>
      <c r="CKX116" s="199"/>
      <c r="CKY116" s="198"/>
      <c r="CKZ116" s="199"/>
      <c r="CLA116" s="198"/>
      <c r="CLB116" s="199"/>
      <c r="CLC116" s="198"/>
      <c r="CLD116" s="199"/>
      <c r="CLE116" s="198"/>
      <c r="CLF116" s="199"/>
      <c r="CLG116" s="198"/>
      <c r="CLH116" s="199"/>
      <c r="CLI116" s="198"/>
      <c r="CLJ116" s="199"/>
      <c r="CLK116" s="198"/>
      <c r="CLL116" s="199"/>
      <c r="CLM116" s="198"/>
      <c r="CLN116" s="199"/>
      <c r="CLO116" s="198"/>
      <c r="CLP116" s="199"/>
      <c r="CLQ116" s="198"/>
      <c r="CLR116" s="199"/>
      <c r="CLS116" s="198"/>
      <c r="CLT116" s="199"/>
      <c r="CLU116" s="198"/>
      <c r="CLV116" s="199"/>
      <c r="CLW116" s="198"/>
      <c r="CLX116" s="199"/>
      <c r="CLY116" s="198"/>
      <c r="CLZ116" s="199"/>
      <c r="CMA116" s="198"/>
      <c r="CMB116" s="199"/>
      <c r="CMC116" s="198"/>
      <c r="CMD116" s="199"/>
      <c r="CME116" s="198"/>
      <c r="CMF116" s="199"/>
      <c r="CMG116" s="198"/>
      <c r="CMH116" s="199"/>
      <c r="CMI116" s="198"/>
      <c r="CMJ116" s="199"/>
      <c r="CMK116" s="198"/>
      <c r="CML116" s="199"/>
      <c r="CMM116" s="198"/>
      <c r="CMN116" s="199"/>
      <c r="CMO116" s="198"/>
      <c r="CMP116" s="199"/>
      <c r="CMQ116" s="198"/>
      <c r="CMR116" s="199"/>
      <c r="CMS116" s="198"/>
      <c r="CMT116" s="199"/>
      <c r="CMU116" s="198"/>
      <c r="CMV116" s="199"/>
      <c r="CMW116" s="198"/>
      <c r="CMX116" s="199"/>
      <c r="CMY116" s="198"/>
      <c r="CMZ116" s="199"/>
      <c r="CNA116" s="198"/>
      <c r="CNB116" s="199"/>
      <c r="CNC116" s="198"/>
      <c r="CND116" s="199"/>
      <c r="CNE116" s="198"/>
      <c r="CNF116" s="199"/>
      <c r="CNG116" s="198"/>
      <c r="CNH116" s="199"/>
      <c r="CNI116" s="198"/>
      <c r="CNJ116" s="199"/>
      <c r="CNK116" s="198"/>
      <c r="CNL116" s="199"/>
      <c r="CNM116" s="198"/>
      <c r="CNN116" s="199"/>
      <c r="CNO116" s="198"/>
      <c r="CNP116" s="199"/>
      <c r="CNQ116" s="198"/>
      <c r="CNR116" s="199"/>
      <c r="CNS116" s="198"/>
      <c r="CNT116" s="199"/>
      <c r="CNU116" s="198"/>
      <c r="CNV116" s="199"/>
      <c r="CNW116" s="198"/>
      <c r="CNX116" s="199"/>
      <c r="CNY116" s="198"/>
      <c r="CNZ116" s="199"/>
      <c r="COA116" s="198"/>
      <c r="COB116" s="199"/>
      <c r="COC116" s="198"/>
      <c r="COD116" s="199"/>
      <c r="COE116" s="198"/>
      <c r="COF116" s="199"/>
      <c r="COG116" s="198"/>
      <c r="COH116" s="199"/>
      <c r="COI116" s="198"/>
      <c r="COJ116" s="199"/>
      <c r="COK116" s="198"/>
      <c r="COL116" s="199"/>
      <c r="COM116" s="198"/>
      <c r="CON116" s="199"/>
      <c r="COO116" s="198"/>
      <c r="COP116" s="199"/>
      <c r="COQ116" s="198"/>
      <c r="COR116" s="199"/>
      <c r="COS116" s="198"/>
      <c r="COT116" s="199"/>
      <c r="COU116" s="198"/>
      <c r="COV116" s="199"/>
      <c r="COW116" s="198"/>
      <c r="COX116" s="199"/>
      <c r="COY116" s="198"/>
      <c r="COZ116" s="199"/>
      <c r="CPA116" s="198"/>
      <c r="CPB116" s="199"/>
      <c r="CPC116" s="198"/>
      <c r="CPD116" s="199"/>
      <c r="CPE116" s="198"/>
      <c r="CPF116" s="199"/>
      <c r="CPG116" s="198"/>
      <c r="CPH116" s="199"/>
      <c r="CPI116" s="198"/>
      <c r="CPJ116" s="199"/>
      <c r="CPK116" s="198"/>
      <c r="CPL116" s="199"/>
      <c r="CPM116" s="198"/>
      <c r="CPN116" s="199"/>
      <c r="CPO116" s="198"/>
      <c r="CPP116" s="199"/>
      <c r="CPQ116" s="198"/>
      <c r="CPR116" s="199"/>
      <c r="CPS116" s="198"/>
      <c r="CPT116" s="199"/>
      <c r="CPU116" s="198"/>
      <c r="CPV116" s="199"/>
      <c r="CPW116" s="198"/>
      <c r="CPX116" s="199"/>
      <c r="CPY116" s="198"/>
      <c r="CPZ116" s="199"/>
      <c r="CQA116" s="198"/>
      <c r="CQB116" s="199"/>
      <c r="CQC116" s="198"/>
      <c r="CQD116" s="199"/>
      <c r="CQE116" s="198"/>
      <c r="CQF116" s="199"/>
      <c r="CQG116" s="198"/>
      <c r="CQH116" s="199"/>
      <c r="CQI116" s="198"/>
      <c r="CQJ116" s="199"/>
      <c r="CQK116" s="198"/>
      <c r="CQL116" s="199"/>
      <c r="CQM116" s="198"/>
      <c r="CQN116" s="199"/>
      <c r="CQO116" s="198"/>
      <c r="CQP116" s="199"/>
      <c r="CQQ116" s="198"/>
      <c r="CQR116" s="199"/>
      <c r="CQS116" s="198"/>
      <c r="CQT116" s="199"/>
      <c r="CQU116" s="198"/>
      <c r="CQV116" s="199"/>
      <c r="CQW116" s="198"/>
      <c r="CQX116" s="199"/>
      <c r="CQY116" s="198"/>
      <c r="CQZ116" s="199"/>
      <c r="CRA116" s="198"/>
      <c r="CRB116" s="199"/>
      <c r="CRC116" s="198"/>
      <c r="CRD116" s="199"/>
      <c r="CRE116" s="198"/>
      <c r="CRF116" s="199"/>
      <c r="CRG116" s="198"/>
      <c r="CRH116" s="199"/>
      <c r="CRI116" s="198"/>
      <c r="CRJ116" s="199"/>
      <c r="CRK116" s="198"/>
      <c r="CRL116" s="199"/>
      <c r="CRM116" s="198"/>
      <c r="CRN116" s="199"/>
      <c r="CRO116" s="198"/>
      <c r="CRP116" s="199"/>
      <c r="CRQ116" s="198"/>
      <c r="CRR116" s="199"/>
      <c r="CRS116" s="198"/>
      <c r="CRT116" s="199"/>
      <c r="CRU116" s="198"/>
      <c r="CRV116" s="199"/>
      <c r="CRW116" s="198"/>
      <c r="CRX116" s="199"/>
      <c r="CRY116" s="198"/>
      <c r="CRZ116" s="199"/>
      <c r="CSA116" s="198"/>
      <c r="CSB116" s="199"/>
      <c r="CSC116" s="198"/>
      <c r="CSD116" s="199"/>
      <c r="CSE116" s="198"/>
      <c r="CSF116" s="199"/>
      <c r="CSG116" s="198"/>
      <c r="CSH116" s="199"/>
      <c r="CSI116" s="198"/>
      <c r="CSJ116" s="199"/>
      <c r="CSK116" s="198"/>
      <c r="CSL116" s="199"/>
      <c r="CSM116" s="198"/>
      <c r="CSN116" s="199"/>
      <c r="CSO116" s="198"/>
      <c r="CSP116" s="199"/>
      <c r="CSQ116" s="198"/>
      <c r="CSR116" s="199"/>
      <c r="CSS116" s="198"/>
      <c r="CST116" s="199"/>
      <c r="CSU116" s="198"/>
      <c r="CSV116" s="199"/>
      <c r="CSW116" s="198"/>
      <c r="CSX116" s="199"/>
      <c r="CSY116" s="198"/>
      <c r="CSZ116" s="199"/>
      <c r="CTA116" s="198"/>
      <c r="CTB116" s="199"/>
      <c r="CTC116" s="198"/>
      <c r="CTD116" s="199"/>
      <c r="CTE116" s="198"/>
      <c r="CTF116" s="199"/>
      <c r="CTG116" s="198"/>
      <c r="CTH116" s="199"/>
      <c r="CTI116" s="198"/>
      <c r="CTJ116" s="199"/>
      <c r="CTK116" s="198"/>
      <c r="CTL116" s="199"/>
      <c r="CTM116" s="198"/>
      <c r="CTN116" s="199"/>
      <c r="CTO116" s="198"/>
      <c r="CTP116" s="199"/>
      <c r="CTQ116" s="198"/>
      <c r="CTR116" s="199"/>
      <c r="CTS116" s="198"/>
      <c r="CTT116" s="199"/>
      <c r="CTU116" s="198"/>
      <c r="CTV116" s="199"/>
      <c r="CTW116" s="198"/>
      <c r="CTX116" s="199"/>
      <c r="CTY116" s="198"/>
      <c r="CTZ116" s="199"/>
      <c r="CUA116" s="198"/>
      <c r="CUB116" s="199"/>
      <c r="CUC116" s="198"/>
      <c r="CUD116" s="199"/>
      <c r="CUE116" s="198"/>
      <c r="CUF116" s="199"/>
      <c r="CUG116" s="198"/>
      <c r="CUH116" s="199"/>
      <c r="CUI116" s="198"/>
      <c r="CUJ116" s="199"/>
      <c r="CUK116" s="198"/>
      <c r="CUL116" s="199"/>
      <c r="CUM116" s="198"/>
      <c r="CUN116" s="199"/>
      <c r="CUO116" s="198"/>
      <c r="CUP116" s="199"/>
      <c r="CUQ116" s="198"/>
      <c r="CUR116" s="199"/>
      <c r="CUS116" s="198"/>
      <c r="CUT116" s="199"/>
      <c r="CUU116" s="198"/>
      <c r="CUV116" s="199"/>
      <c r="CUW116" s="198"/>
      <c r="CUX116" s="199"/>
      <c r="CUY116" s="198"/>
      <c r="CUZ116" s="199"/>
      <c r="CVA116" s="198"/>
      <c r="CVB116" s="199"/>
      <c r="CVC116" s="198"/>
      <c r="CVD116" s="199"/>
      <c r="CVE116" s="198"/>
      <c r="CVF116" s="199"/>
      <c r="CVG116" s="198"/>
      <c r="CVH116" s="199"/>
      <c r="CVI116" s="198"/>
      <c r="CVJ116" s="199"/>
      <c r="CVK116" s="198"/>
      <c r="CVL116" s="199"/>
      <c r="CVM116" s="198"/>
      <c r="CVN116" s="199"/>
      <c r="CVO116" s="198"/>
      <c r="CVP116" s="199"/>
      <c r="CVQ116" s="198"/>
      <c r="CVR116" s="199"/>
      <c r="CVS116" s="198"/>
      <c r="CVT116" s="199"/>
      <c r="CVU116" s="198"/>
      <c r="CVV116" s="199"/>
      <c r="CVW116" s="198"/>
      <c r="CVX116" s="199"/>
      <c r="CVY116" s="198"/>
      <c r="CVZ116" s="199"/>
      <c r="CWA116" s="198"/>
      <c r="CWB116" s="199"/>
      <c r="CWC116" s="198"/>
      <c r="CWD116" s="199"/>
      <c r="CWE116" s="198"/>
      <c r="CWF116" s="199"/>
      <c r="CWG116" s="198"/>
      <c r="CWH116" s="199"/>
      <c r="CWI116" s="198"/>
      <c r="CWJ116" s="199"/>
      <c r="CWK116" s="198"/>
      <c r="CWL116" s="199"/>
      <c r="CWM116" s="198"/>
      <c r="CWN116" s="199"/>
      <c r="CWO116" s="198"/>
      <c r="CWP116" s="199"/>
      <c r="CWQ116" s="198"/>
      <c r="CWR116" s="199"/>
      <c r="CWS116" s="198"/>
      <c r="CWT116" s="199"/>
      <c r="CWU116" s="198"/>
      <c r="CWV116" s="199"/>
      <c r="CWW116" s="198"/>
      <c r="CWX116" s="199"/>
      <c r="CWY116" s="198"/>
      <c r="CWZ116" s="199"/>
      <c r="CXA116" s="198"/>
      <c r="CXB116" s="199"/>
      <c r="CXC116" s="198"/>
      <c r="CXD116" s="199"/>
      <c r="CXE116" s="198"/>
      <c r="CXF116" s="199"/>
      <c r="CXG116" s="198"/>
      <c r="CXH116" s="199"/>
      <c r="CXI116" s="198"/>
      <c r="CXJ116" s="199"/>
      <c r="CXK116" s="198"/>
      <c r="CXL116" s="199"/>
      <c r="CXM116" s="198"/>
      <c r="CXN116" s="199"/>
      <c r="CXO116" s="198"/>
      <c r="CXP116" s="199"/>
      <c r="CXQ116" s="198"/>
      <c r="CXR116" s="199"/>
      <c r="CXS116" s="198"/>
      <c r="CXT116" s="199"/>
      <c r="CXU116" s="198"/>
      <c r="CXV116" s="199"/>
      <c r="CXW116" s="198"/>
      <c r="CXX116" s="199"/>
      <c r="CXY116" s="198"/>
      <c r="CXZ116" s="199"/>
      <c r="CYA116" s="198"/>
      <c r="CYB116" s="199"/>
      <c r="CYC116" s="198"/>
      <c r="CYD116" s="199"/>
      <c r="CYE116" s="198"/>
      <c r="CYF116" s="199"/>
      <c r="CYG116" s="198"/>
      <c r="CYH116" s="199"/>
      <c r="CYI116" s="198"/>
      <c r="CYJ116" s="199"/>
      <c r="CYK116" s="198"/>
      <c r="CYL116" s="199"/>
      <c r="CYM116" s="198"/>
      <c r="CYN116" s="199"/>
      <c r="CYO116" s="198"/>
      <c r="CYP116" s="199"/>
      <c r="CYQ116" s="198"/>
      <c r="CYR116" s="199"/>
      <c r="CYS116" s="198"/>
      <c r="CYT116" s="199"/>
      <c r="CYU116" s="198"/>
      <c r="CYV116" s="199"/>
      <c r="CYW116" s="198"/>
      <c r="CYX116" s="199"/>
      <c r="CYY116" s="198"/>
      <c r="CYZ116" s="199"/>
      <c r="CZA116" s="198"/>
      <c r="CZB116" s="199"/>
      <c r="CZC116" s="198"/>
      <c r="CZD116" s="199"/>
      <c r="CZE116" s="198"/>
      <c r="CZF116" s="199"/>
      <c r="CZG116" s="198"/>
      <c r="CZH116" s="199"/>
      <c r="CZI116" s="198"/>
      <c r="CZJ116" s="199"/>
      <c r="CZK116" s="198"/>
      <c r="CZL116" s="199"/>
      <c r="CZM116" s="198"/>
      <c r="CZN116" s="199"/>
      <c r="CZO116" s="198"/>
      <c r="CZP116" s="199"/>
      <c r="CZQ116" s="198"/>
      <c r="CZR116" s="199"/>
      <c r="CZS116" s="198"/>
      <c r="CZT116" s="199"/>
      <c r="CZU116" s="198"/>
      <c r="CZV116" s="199"/>
      <c r="CZW116" s="198"/>
      <c r="CZX116" s="199"/>
      <c r="CZY116" s="198"/>
      <c r="CZZ116" s="199"/>
      <c r="DAA116" s="198"/>
      <c r="DAB116" s="199"/>
      <c r="DAC116" s="198"/>
      <c r="DAD116" s="199"/>
      <c r="DAE116" s="198"/>
      <c r="DAF116" s="199"/>
      <c r="DAG116" s="198"/>
      <c r="DAH116" s="199"/>
      <c r="DAI116" s="198"/>
      <c r="DAJ116" s="199"/>
      <c r="DAK116" s="198"/>
      <c r="DAL116" s="199"/>
      <c r="DAM116" s="198"/>
      <c r="DAN116" s="199"/>
      <c r="DAO116" s="198"/>
      <c r="DAP116" s="199"/>
      <c r="DAQ116" s="198"/>
      <c r="DAR116" s="199"/>
      <c r="DAS116" s="198"/>
      <c r="DAT116" s="199"/>
      <c r="DAU116" s="198"/>
      <c r="DAV116" s="199"/>
      <c r="DAW116" s="198"/>
      <c r="DAX116" s="199"/>
      <c r="DAY116" s="198"/>
      <c r="DAZ116" s="199"/>
      <c r="DBA116" s="198"/>
      <c r="DBB116" s="199"/>
      <c r="DBC116" s="198"/>
      <c r="DBD116" s="199"/>
      <c r="DBE116" s="198"/>
      <c r="DBF116" s="199"/>
      <c r="DBG116" s="198"/>
      <c r="DBH116" s="199"/>
      <c r="DBI116" s="198"/>
      <c r="DBJ116" s="199"/>
      <c r="DBK116" s="198"/>
      <c r="DBL116" s="199"/>
      <c r="DBM116" s="198"/>
      <c r="DBN116" s="199"/>
      <c r="DBO116" s="198"/>
      <c r="DBP116" s="199"/>
      <c r="DBQ116" s="198"/>
      <c r="DBR116" s="199"/>
      <c r="DBS116" s="198"/>
      <c r="DBT116" s="199"/>
      <c r="DBU116" s="198"/>
      <c r="DBV116" s="199"/>
      <c r="DBW116" s="198"/>
      <c r="DBX116" s="199"/>
      <c r="DBY116" s="198"/>
      <c r="DBZ116" s="199"/>
      <c r="DCA116" s="198"/>
      <c r="DCB116" s="199"/>
      <c r="DCC116" s="198"/>
      <c r="DCD116" s="199"/>
      <c r="DCE116" s="198"/>
      <c r="DCF116" s="199"/>
      <c r="DCG116" s="198"/>
      <c r="DCH116" s="199"/>
      <c r="DCI116" s="198"/>
      <c r="DCJ116" s="199"/>
      <c r="DCK116" s="198"/>
      <c r="DCL116" s="199"/>
      <c r="DCM116" s="198"/>
      <c r="DCN116" s="199"/>
      <c r="DCO116" s="198"/>
      <c r="DCP116" s="199"/>
      <c r="DCQ116" s="198"/>
      <c r="DCR116" s="199"/>
      <c r="DCS116" s="198"/>
      <c r="DCT116" s="199"/>
      <c r="DCU116" s="198"/>
      <c r="DCV116" s="199"/>
      <c r="DCW116" s="198"/>
      <c r="DCX116" s="199"/>
      <c r="DCY116" s="198"/>
      <c r="DCZ116" s="199"/>
      <c r="DDA116" s="198"/>
      <c r="DDB116" s="199"/>
      <c r="DDC116" s="198"/>
      <c r="DDD116" s="199"/>
      <c r="DDE116" s="198"/>
      <c r="DDF116" s="199"/>
      <c r="DDG116" s="198"/>
      <c r="DDH116" s="199"/>
      <c r="DDI116" s="198"/>
      <c r="DDJ116" s="199"/>
      <c r="DDK116" s="198"/>
      <c r="DDL116" s="199"/>
      <c r="DDM116" s="198"/>
      <c r="DDN116" s="199"/>
      <c r="DDO116" s="198"/>
      <c r="DDP116" s="199"/>
      <c r="DDQ116" s="198"/>
      <c r="DDR116" s="199"/>
      <c r="DDS116" s="198"/>
      <c r="DDT116" s="199"/>
      <c r="DDU116" s="198"/>
      <c r="DDV116" s="199"/>
      <c r="DDW116" s="198"/>
      <c r="DDX116" s="199"/>
      <c r="DDY116" s="198"/>
      <c r="DDZ116" s="199"/>
      <c r="DEA116" s="198"/>
      <c r="DEB116" s="199"/>
      <c r="DEC116" s="198"/>
      <c r="DED116" s="199"/>
      <c r="DEE116" s="198"/>
      <c r="DEF116" s="199"/>
      <c r="DEG116" s="198"/>
      <c r="DEH116" s="199"/>
      <c r="DEI116" s="198"/>
      <c r="DEJ116" s="199"/>
      <c r="DEK116" s="198"/>
      <c r="DEL116" s="199"/>
      <c r="DEM116" s="198"/>
      <c r="DEN116" s="199"/>
      <c r="DEO116" s="198"/>
      <c r="DEP116" s="199"/>
      <c r="DEQ116" s="198"/>
      <c r="DER116" s="199"/>
      <c r="DES116" s="198"/>
      <c r="DET116" s="199"/>
      <c r="DEU116" s="198"/>
      <c r="DEV116" s="199"/>
      <c r="DEW116" s="198"/>
      <c r="DEX116" s="199"/>
      <c r="DEY116" s="198"/>
      <c r="DEZ116" s="199"/>
      <c r="DFA116" s="198"/>
      <c r="DFB116" s="199"/>
      <c r="DFC116" s="198"/>
      <c r="DFD116" s="199"/>
      <c r="DFE116" s="198"/>
      <c r="DFF116" s="199"/>
      <c r="DFG116" s="198"/>
      <c r="DFH116" s="199"/>
      <c r="DFI116" s="198"/>
      <c r="DFJ116" s="199"/>
      <c r="DFK116" s="198"/>
      <c r="DFL116" s="199"/>
      <c r="DFM116" s="198"/>
      <c r="DFN116" s="199"/>
      <c r="DFO116" s="198"/>
      <c r="DFP116" s="199"/>
      <c r="DFQ116" s="198"/>
      <c r="DFR116" s="199"/>
      <c r="DFS116" s="198"/>
      <c r="DFT116" s="199"/>
      <c r="DFU116" s="198"/>
      <c r="DFV116" s="199"/>
      <c r="DFW116" s="198"/>
      <c r="DFX116" s="199"/>
      <c r="DFY116" s="198"/>
      <c r="DFZ116" s="199"/>
      <c r="DGA116" s="198"/>
      <c r="DGB116" s="199"/>
      <c r="DGC116" s="198"/>
      <c r="DGD116" s="199"/>
      <c r="DGE116" s="198"/>
      <c r="DGF116" s="199"/>
      <c r="DGG116" s="198"/>
      <c r="DGH116" s="199"/>
      <c r="DGI116" s="198"/>
      <c r="DGJ116" s="199"/>
      <c r="DGK116" s="198"/>
      <c r="DGL116" s="199"/>
      <c r="DGM116" s="198"/>
      <c r="DGN116" s="199"/>
      <c r="DGO116" s="198"/>
      <c r="DGP116" s="199"/>
      <c r="DGQ116" s="198"/>
      <c r="DGR116" s="199"/>
      <c r="DGS116" s="198"/>
      <c r="DGT116" s="199"/>
      <c r="DGU116" s="198"/>
      <c r="DGV116" s="199"/>
      <c r="DGW116" s="198"/>
      <c r="DGX116" s="199"/>
      <c r="DGY116" s="198"/>
      <c r="DGZ116" s="199"/>
      <c r="DHA116" s="198"/>
      <c r="DHB116" s="199"/>
      <c r="DHC116" s="198"/>
      <c r="DHD116" s="199"/>
      <c r="DHE116" s="198"/>
      <c r="DHF116" s="199"/>
      <c r="DHG116" s="198"/>
      <c r="DHH116" s="199"/>
      <c r="DHI116" s="198"/>
      <c r="DHJ116" s="199"/>
      <c r="DHK116" s="198"/>
      <c r="DHL116" s="199"/>
      <c r="DHM116" s="198"/>
      <c r="DHN116" s="199"/>
      <c r="DHO116" s="198"/>
      <c r="DHP116" s="199"/>
      <c r="DHQ116" s="198"/>
      <c r="DHR116" s="199"/>
      <c r="DHS116" s="198"/>
      <c r="DHT116" s="199"/>
      <c r="DHU116" s="198"/>
      <c r="DHV116" s="199"/>
      <c r="DHW116" s="198"/>
      <c r="DHX116" s="199"/>
      <c r="DHY116" s="198"/>
      <c r="DHZ116" s="199"/>
      <c r="DIA116" s="198"/>
      <c r="DIB116" s="199"/>
      <c r="DIC116" s="198"/>
      <c r="DID116" s="199"/>
      <c r="DIE116" s="198"/>
      <c r="DIF116" s="199"/>
      <c r="DIG116" s="198"/>
      <c r="DIH116" s="199"/>
      <c r="DII116" s="198"/>
      <c r="DIJ116" s="199"/>
      <c r="DIK116" s="198"/>
      <c r="DIL116" s="199"/>
      <c r="DIM116" s="198"/>
      <c r="DIN116" s="199"/>
      <c r="DIO116" s="198"/>
      <c r="DIP116" s="199"/>
      <c r="DIQ116" s="198"/>
      <c r="DIR116" s="199"/>
      <c r="DIS116" s="198"/>
      <c r="DIT116" s="199"/>
      <c r="DIU116" s="198"/>
      <c r="DIV116" s="199"/>
      <c r="DIW116" s="198"/>
      <c r="DIX116" s="199"/>
      <c r="DIY116" s="198"/>
      <c r="DIZ116" s="199"/>
      <c r="DJA116" s="198"/>
      <c r="DJB116" s="199"/>
      <c r="DJC116" s="198"/>
      <c r="DJD116" s="199"/>
      <c r="DJE116" s="198"/>
      <c r="DJF116" s="199"/>
      <c r="DJG116" s="198"/>
      <c r="DJH116" s="199"/>
      <c r="DJI116" s="198"/>
      <c r="DJJ116" s="199"/>
      <c r="DJK116" s="198"/>
      <c r="DJL116" s="199"/>
      <c r="DJM116" s="198"/>
      <c r="DJN116" s="199"/>
      <c r="DJO116" s="198"/>
      <c r="DJP116" s="199"/>
      <c r="DJQ116" s="198"/>
      <c r="DJR116" s="199"/>
      <c r="DJS116" s="198"/>
      <c r="DJT116" s="199"/>
      <c r="DJU116" s="198"/>
      <c r="DJV116" s="199"/>
      <c r="DJW116" s="198"/>
      <c r="DJX116" s="199"/>
      <c r="DJY116" s="198"/>
      <c r="DJZ116" s="199"/>
      <c r="DKA116" s="198"/>
      <c r="DKB116" s="199"/>
      <c r="DKC116" s="198"/>
      <c r="DKD116" s="199"/>
      <c r="DKE116" s="198"/>
      <c r="DKF116" s="199"/>
      <c r="DKG116" s="198"/>
      <c r="DKH116" s="199"/>
      <c r="DKI116" s="198"/>
      <c r="DKJ116" s="199"/>
      <c r="DKK116" s="198"/>
      <c r="DKL116" s="199"/>
      <c r="DKM116" s="198"/>
      <c r="DKN116" s="199"/>
      <c r="DKO116" s="198"/>
      <c r="DKP116" s="199"/>
      <c r="DKQ116" s="198"/>
      <c r="DKR116" s="199"/>
      <c r="DKS116" s="198"/>
      <c r="DKT116" s="199"/>
      <c r="DKU116" s="198"/>
      <c r="DKV116" s="199"/>
      <c r="DKW116" s="198"/>
      <c r="DKX116" s="199"/>
      <c r="DKY116" s="198"/>
      <c r="DKZ116" s="199"/>
      <c r="DLA116" s="198"/>
      <c r="DLB116" s="199"/>
      <c r="DLC116" s="198"/>
      <c r="DLD116" s="199"/>
      <c r="DLE116" s="198"/>
      <c r="DLF116" s="199"/>
      <c r="DLG116" s="198"/>
      <c r="DLH116" s="199"/>
      <c r="DLI116" s="198"/>
      <c r="DLJ116" s="199"/>
      <c r="DLK116" s="198"/>
      <c r="DLL116" s="199"/>
      <c r="DLM116" s="198"/>
      <c r="DLN116" s="199"/>
      <c r="DLO116" s="198"/>
      <c r="DLP116" s="199"/>
      <c r="DLQ116" s="198"/>
      <c r="DLR116" s="199"/>
      <c r="DLS116" s="198"/>
      <c r="DLT116" s="199"/>
      <c r="DLU116" s="198"/>
      <c r="DLV116" s="199"/>
      <c r="DLW116" s="198"/>
      <c r="DLX116" s="199"/>
      <c r="DLY116" s="198"/>
      <c r="DLZ116" s="199"/>
      <c r="DMA116" s="198"/>
      <c r="DMB116" s="199"/>
      <c r="DMC116" s="198"/>
      <c r="DMD116" s="199"/>
      <c r="DME116" s="198"/>
      <c r="DMF116" s="199"/>
      <c r="DMG116" s="198"/>
      <c r="DMH116" s="199"/>
      <c r="DMI116" s="198"/>
      <c r="DMJ116" s="199"/>
      <c r="DMK116" s="198"/>
      <c r="DML116" s="199"/>
      <c r="DMM116" s="198"/>
      <c r="DMN116" s="199"/>
      <c r="DMO116" s="198"/>
      <c r="DMP116" s="199"/>
      <c r="DMQ116" s="198"/>
      <c r="DMR116" s="199"/>
      <c r="DMS116" s="198"/>
      <c r="DMT116" s="199"/>
      <c r="DMU116" s="198"/>
      <c r="DMV116" s="199"/>
      <c r="DMW116" s="198"/>
      <c r="DMX116" s="199"/>
      <c r="DMY116" s="198"/>
      <c r="DMZ116" s="199"/>
      <c r="DNA116" s="198"/>
      <c r="DNB116" s="199"/>
      <c r="DNC116" s="198"/>
      <c r="DND116" s="199"/>
      <c r="DNE116" s="198"/>
      <c r="DNF116" s="199"/>
      <c r="DNG116" s="198"/>
      <c r="DNH116" s="199"/>
      <c r="DNI116" s="198"/>
      <c r="DNJ116" s="199"/>
      <c r="DNK116" s="198"/>
      <c r="DNL116" s="199"/>
      <c r="DNM116" s="198"/>
      <c r="DNN116" s="199"/>
      <c r="DNO116" s="198"/>
      <c r="DNP116" s="199"/>
      <c r="DNQ116" s="198"/>
      <c r="DNR116" s="199"/>
      <c r="DNS116" s="198"/>
      <c r="DNT116" s="199"/>
      <c r="DNU116" s="198"/>
      <c r="DNV116" s="199"/>
      <c r="DNW116" s="198"/>
      <c r="DNX116" s="199"/>
      <c r="DNY116" s="198"/>
      <c r="DNZ116" s="199"/>
      <c r="DOA116" s="198"/>
      <c r="DOB116" s="199"/>
      <c r="DOC116" s="198"/>
      <c r="DOD116" s="199"/>
      <c r="DOE116" s="198"/>
      <c r="DOF116" s="199"/>
      <c r="DOG116" s="198"/>
      <c r="DOH116" s="199"/>
      <c r="DOI116" s="198"/>
      <c r="DOJ116" s="199"/>
      <c r="DOK116" s="198"/>
      <c r="DOL116" s="199"/>
      <c r="DOM116" s="198"/>
      <c r="DON116" s="199"/>
      <c r="DOO116" s="198"/>
      <c r="DOP116" s="199"/>
      <c r="DOQ116" s="198"/>
      <c r="DOR116" s="199"/>
      <c r="DOS116" s="198"/>
      <c r="DOT116" s="199"/>
      <c r="DOU116" s="198"/>
      <c r="DOV116" s="199"/>
      <c r="DOW116" s="198"/>
      <c r="DOX116" s="199"/>
      <c r="DOY116" s="198"/>
      <c r="DOZ116" s="199"/>
      <c r="DPA116" s="198"/>
      <c r="DPB116" s="199"/>
      <c r="DPC116" s="198"/>
      <c r="DPD116" s="199"/>
      <c r="DPE116" s="198"/>
      <c r="DPF116" s="199"/>
      <c r="DPG116" s="198"/>
      <c r="DPH116" s="199"/>
      <c r="DPI116" s="198"/>
      <c r="DPJ116" s="199"/>
      <c r="DPK116" s="198"/>
      <c r="DPL116" s="199"/>
      <c r="DPM116" s="198"/>
      <c r="DPN116" s="199"/>
      <c r="DPO116" s="198"/>
      <c r="DPP116" s="199"/>
      <c r="DPQ116" s="198"/>
      <c r="DPR116" s="199"/>
      <c r="DPS116" s="198"/>
      <c r="DPT116" s="199"/>
      <c r="DPU116" s="198"/>
      <c r="DPV116" s="199"/>
      <c r="DPW116" s="198"/>
      <c r="DPX116" s="199"/>
      <c r="DPY116" s="198"/>
      <c r="DPZ116" s="199"/>
      <c r="DQA116" s="198"/>
      <c r="DQB116" s="199"/>
      <c r="DQC116" s="198"/>
      <c r="DQD116" s="199"/>
      <c r="DQE116" s="198"/>
      <c r="DQF116" s="199"/>
      <c r="DQG116" s="198"/>
      <c r="DQH116" s="199"/>
      <c r="DQI116" s="198"/>
      <c r="DQJ116" s="199"/>
      <c r="DQK116" s="198"/>
      <c r="DQL116" s="199"/>
      <c r="DQM116" s="198"/>
      <c r="DQN116" s="199"/>
      <c r="DQO116" s="198"/>
      <c r="DQP116" s="199"/>
      <c r="DQQ116" s="198"/>
      <c r="DQR116" s="199"/>
      <c r="DQS116" s="198"/>
      <c r="DQT116" s="199"/>
      <c r="DQU116" s="198"/>
      <c r="DQV116" s="199"/>
      <c r="DQW116" s="198"/>
      <c r="DQX116" s="199"/>
      <c r="DQY116" s="198"/>
      <c r="DQZ116" s="199"/>
      <c r="DRA116" s="198"/>
      <c r="DRB116" s="199"/>
      <c r="DRC116" s="198"/>
      <c r="DRD116" s="199"/>
      <c r="DRE116" s="198"/>
      <c r="DRF116" s="199"/>
      <c r="DRG116" s="198"/>
      <c r="DRH116" s="199"/>
      <c r="DRI116" s="198"/>
      <c r="DRJ116" s="199"/>
      <c r="DRK116" s="198"/>
      <c r="DRL116" s="199"/>
      <c r="DRM116" s="198"/>
      <c r="DRN116" s="199"/>
      <c r="DRO116" s="198"/>
      <c r="DRP116" s="199"/>
      <c r="DRQ116" s="198"/>
      <c r="DRR116" s="199"/>
      <c r="DRS116" s="198"/>
      <c r="DRT116" s="199"/>
      <c r="DRU116" s="198"/>
      <c r="DRV116" s="199"/>
      <c r="DRW116" s="198"/>
      <c r="DRX116" s="199"/>
      <c r="DRY116" s="198"/>
      <c r="DRZ116" s="199"/>
      <c r="DSA116" s="198"/>
      <c r="DSB116" s="199"/>
      <c r="DSC116" s="198"/>
      <c r="DSD116" s="199"/>
      <c r="DSE116" s="198"/>
      <c r="DSF116" s="199"/>
      <c r="DSG116" s="198"/>
      <c r="DSH116" s="199"/>
      <c r="DSI116" s="198"/>
      <c r="DSJ116" s="199"/>
      <c r="DSK116" s="198"/>
      <c r="DSL116" s="199"/>
      <c r="DSM116" s="198"/>
      <c r="DSN116" s="199"/>
      <c r="DSO116" s="198"/>
      <c r="DSP116" s="199"/>
      <c r="DSQ116" s="198"/>
      <c r="DSR116" s="199"/>
      <c r="DSS116" s="198"/>
      <c r="DST116" s="199"/>
      <c r="DSU116" s="198"/>
      <c r="DSV116" s="199"/>
      <c r="DSW116" s="198"/>
      <c r="DSX116" s="199"/>
      <c r="DSY116" s="198"/>
      <c r="DSZ116" s="199"/>
      <c r="DTA116" s="198"/>
      <c r="DTB116" s="199"/>
      <c r="DTC116" s="198"/>
      <c r="DTD116" s="199"/>
      <c r="DTE116" s="198"/>
      <c r="DTF116" s="199"/>
      <c r="DTG116" s="198"/>
      <c r="DTH116" s="199"/>
      <c r="DTI116" s="198"/>
      <c r="DTJ116" s="199"/>
      <c r="DTK116" s="198"/>
      <c r="DTL116" s="199"/>
      <c r="DTM116" s="198"/>
      <c r="DTN116" s="199"/>
      <c r="DTO116" s="198"/>
      <c r="DTP116" s="199"/>
      <c r="DTQ116" s="198"/>
      <c r="DTR116" s="199"/>
      <c r="DTS116" s="198"/>
      <c r="DTT116" s="199"/>
      <c r="DTU116" s="198"/>
      <c r="DTV116" s="199"/>
      <c r="DTW116" s="198"/>
      <c r="DTX116" s="199"/>
      <c r="DTY116" s="198"/>
      <c r="DTZ116" s="199"/>
      <c r="DUA116" s="198"/>
      <c r="DUB116" s="199"/>
      <c r="DUC116" s="198"/>
      <c r="DUD116" s="199"/>
      <c r="DUE116" s="198"/>
      <c r="DUF116" s="199"/>
      <c r="DUG116" s="198"/>
      <c r="DUH116" s="199"/>
      <c r="DUI116" s="198"/>
      <c r="DUJ116" s="199"/>
      <c r="DUK116" s="198"/>
      <c r="DUL116" s="199"/>
      <c r="DUM116" s="198"/>
      <c r="DUN116" s="199"/>
      <c r="DUO116" s="198"/>
      <c r="DUP116" s="199"/>
      <c r="DUQ116" s="198"/>
      <c r="DUR116" s="199"/>
      <c r="DUS116" s="198"/>
      <c r="DUT116" s="199"/>
      <c r="DUU116" s="198"/>
      <c r="DUV116" s="199"/>
      <c r="DUW116" s="198"/>
      <c r="DUX116" s="199"/>
      <c r="DUY116" s="198"/>
      <c r="DUZ116" s="199"/>
      <c r="DVA116" s="198"/>
      <c r="DVB116" s="199"/>
      <c r="DVC116" s="198"/>
      <c r="DVD116" s="199"/>
      <c r="DVE116" s="198"/>
      <c r="DVF116" s="199"/>
      <c r="DVG116" s="198"/>
      <c r="DVH116" s="199"/>
      <c r="DVI116" s="198"/>
      <c r="DVJ116" s="199"/>
      <c r="DVK116" s="198"/>
      <c r="DVL116" s="199"/>
      <c r="DVM116" s="198"/>
      <c r="DVN116" s="199"/>
      <c r="DVO116" s="198"/>
      <c r="DVP116" s="199"/>
      <c r="DVQ116" s="198"/>
      <c r="DVR116" s="199"/>
      <c r="DVS116" s="198"/>
      <c r="DVT116" s="199"/>
      <c r="DVU116" s="198"/>
      <c r="DVV116" s="199"/>
      <c r="DVW116" s="198"/>
      <c r="DVX116" s="199"/>
      <c r="DVY116" s="198"/>
      <c r="DVZ116" s="199"/>
      <c r="DWA116" s="198"/>
      <c r="DWB116" s="199"/>
      <c r="DWC116" s="198"/>
      <c r="DWD116" s="199"/>
      <c r="DWE116" s="198"/>
      <c r="DWF116" s="199"/>
      <c r="DWG116" s="198"/>
      <c r="DWH116" s="199"/>
      <c r="DWI116" s="198"/>
      <c r="DWJ116" s="199"/>
      <c r="DWK116" s="198"/>
      <c r="DWL116" s="199"/>
      <c r="DWM116" s="198"/>
      <c r="DWN116" s="199"/>
      <c r="DWO116" s="198"/>
      <c r="DWP116" s="199"/>
      <c r="DWQ116" s="198"/>
      <c r="DWR116" s="199"/>
      <c r="DWS116" s="198"/>
      <c r="DWT116" s="199"/>
      <c r="DWU116" s="198"/>
      <c r="DWV116" s="199"/>
      <c r="DWW116" s="198"/>
      <c r="DWX116" s="199"/>
      <c r="DWY116" s="198"/>
      <c r="DWZ116" s="199"/>
      <c r="DXA116" s="198"/>
      <c r="DXB116" s="199"/>
      <c r="DXC116" s="198"/>
      <c r="DXD116" s="199"/>
      <c r="DXE116" s="198"/>
      <c r="DXF116" s="199"/>
      <c r="DXG116" s="198"/>
      <c r="DXH116" s="199"/>
      <c r="DXI116" s="198"/>
      <c r="DXJ116" s="199"/>
      <c r="DXK116" s="198"/>
      <c r="DXL116" s="199"/>
      <c r="DXM116" s="198"/>
      <c r="DXN116" s="199"/>
      <c r="DXO116" s="198"/>
      <c r="DXP116" s="199"/>
      <c r="DXQ116" s="198"/>
      <c r="DXR116" s="199"/>
      <c r="DXS116" s="198"/>
      <c r="DXT116" s="199"/>
      <c r="DXU116" s="198"/>
      <c r="DXV116" s="199"/>
      <c r="DXW116" s="198"/>
      <c r="DXX116" s="199"/>
      <c r="DXY116" s="198"/>
      <c r="DXZ116" s="199"/>
      <c r="DYA116" s="198"/>
      <c r="DYB116" s="199"/>
      <c r="DYC116" s="198"/>
      <c r="DYD116" s="199"/>
      <c r="DYE116" s="198"/>
      <c r="DYF116" s="199"/>
      <c r="DYG116" s="198"/>
      <c r="DYH116" s="199"/>
      <c r="DYI116" s="198"/>
      <c r="DYJ116" s="199"/>
      <c r="DYK116" s="198"/>
      <c r="DYL116" s="199"/>
      <c r="DYM116" s="198"/>
      <c r="DYN116" s="199"/>
      <c r="DYO116" s="198"/>
      <c r="DYP116" s="199"/>
      <c r="DYQ116" s="198"/>
      <c r="DYR116" s="199"/>
      <c r="DYS116" s="198"/>
      <c r="DYT116" s="199"/>
      <c r="DYU116" s="198"/>
      <c r="DYV116" s="199"/>
      <c r="DYW116" s="198"/>
      <c r="DYX116" s="199"/>
      <c r="DYY116" s="198"/>
      <c r="DYZ116" s="199"/>
      <c r="DZA116" s="198"/>
      <c r="DZB116" s="199"/>
      <c r="DZC116" s="198"/>
      <c r="DZD116" s="199"/>
      <c r="DZE116" s="198"/>
      <c r="DZF116" s="199"/>
      <c r="DZG116" s="198"/>
      <c r="DZH116" s="199"/>
      <c r="DZI116" s="198"/>
      <c r="DZJ116" s="199"/>
      <c r="DZK116" s="198"/>
      <c r="DZL116" s="199"/>
      <c r="DZM116" s="198"/>
      <c r="DZN116" s="199"/>
      <c r="DZO116" s="198"/>
      <c r="DZP116" s="199"/>
      <c r="DZQ116" s="198"/>
      <c r="DZR116" s="199"/>
      <c r="DZS116" s="198"/>
      <c r="DZT116" s="199"/>
      <c r="DZU116" s="198"/>
      <c r="DZV116" s="199"/>
      <c r="DZW116" s="198"/>
      <c r="DZX116" s="199"/>
      <c r="DZY116" s="198"/>
      <c r="DZZ116" s="199"/>
      <c r="EAA116" s="198"/>
      <c r="EAB116" s="199"/>
      <c r="EAC116" s="198"/>
      <c r="EAD116" s="199"/>
      <c r="EAE116" s="198"/>
      <c r="EAF116" s="199"/>
      <c r="EAG116" s="198"/>
      <c r="EAH116" s="199"/>
      <c r="EAI116" s="198"/>
      <c r="EAJ116" s="199"/>
      <c r="EAK116" s="198"/>
      <c r="EAL116" s="199"/>
      <c r="EAM116" s="198"/>
      <c r="EAN116" s="199"/>
      <c r="EAO116" s="198"/>
      <c r="EAP116" s="199"/>
      <c r="EAQ116" s="198"/>
      <c r="EAR116" s="199"/>
      <c r="EAS116" s="198"/>
      <c r="EAT116" s="199"/>
      <c r="EAU116" s="198"/>
      <c r="EAV116" s="199"/>
      <c r="EAW116" s="198"/>
      <c r="EAX116" s="199"/>
      <c r="EAY116" s="198"/>
      <c r="EAZ116" s="199"/>
      <c r="EBA116" s="198"/>
      <c r="EBB116" s="199"/>
      <c r="EBC116" s="198"/>
      <c r="EBD116" s="199"/>
      <c r="EBE116" s="198"/>
      <c r="EBF116" s="199"/>
      <c r="EBG116" s="198"/>
      <c r="EBH116" s="199"/>
      <c r="EBI116" s="198"/>
      <c r="EBJ116" s="199"/>
      <c r="EBK116" s="198"/>
      <c r="EBL116" s="199"/>
      <c r="EBM116" s="198"/>
      <c r="EBN116" s="199"/>
      <c r="EBO116" s="198"/>
      <c r="EBP116" s="199"/>
      <c r="EBQ116" s="198"/>
      <c r="EBR116" s="199"/>
      <c r="EBS116" s="198"/>
      <c r="EBT116" s="199"/>
      <c r="EBU116" s="198"/>
      <c r="EBV116" s="199"/>
      <c r="EBW116" s="198"/>
      <c r="EBX116" s="199"/>
      <c r="EBY116" s="198"/>
      <c r="EBZ116" s="199"/>
      <c r="ECA116" s="198"/>
      <c r="ECB116" s="199"/>
      <c r="ECC116" s="198"/>
      <c r="ECD116" s="199"/>
      <c r="ECE116" s="198"/>
      <c r="ECF116" s="199"/>
      <c r="ECG116" s="198"/>
      <c r="ECH116" s="199"/>
      <c r="ECI116" s="198"/>
      <c r="ECJ116" s="199"/>
      <c r="ECK116" s="198"/>
      <c r="ECL116" s="199"/>
      <c r="ECM116" s="198"/>
      <c r="ECN116" s="199"/>
      <c r="ECO116" s="198"/>
      <c r="ECP116" s="199"/>
      <c r="ECQ116" s="198"/>
      <c r="ECR116" s="199"/>
      <c r="ECS116" s="198"/>
      <c r="ECT116" s="199"/>
      <c r="ECU116" s="198"/>
      <c r="ECV116" s="199"/>
      <c r="ECW116" s="198"/>
      <c r="ECX116" s="199"/>
      <c r="ECY116" s="198"/>
      <c r="ECZ116" s="199"/>
      <c r="EDA116" s="198"/>
      <c r="EDB116" s="199"/>
      <c r="EDC116" s="198"/>
      <c r="EDD116" s="199"/>
      <c r="EDE116" s="198"/>
      <c r="EDF116" s="199"/>
      <c r="EDG116" s="198"/>
      <c r="EDH116" s="199"/>
      <c r="EDI116" s="198"/>
      <c r="EDJ116" s="199"/>
      <c r="EDK116" s="198"/>
      <c r="EDL116" s="199"/>
      <c r="EDM116" s="198"/>
      <c r="EDN116" s="199"/>
      <c r="EDO116" s="198"/>
      <c r="EDP116" s="199"/>
      <c r="EDQ116" s="198"/>
      <c r="EDR116" s="199"/>
      <c r="EDS116" s="198"/>
      <c r="EDT116" s="199"/>
      <c r="EDU116" s="198"/>
      <c r="EDV116" s="199"/>
      <c r="EDW116" s="198"/>
      <c r="EDX116" s="199"/>
      <c r="EDY116" s="198"/>
      <c r="EDZ116" s="199"/>
      <c r="EEA116" s="198"/>
      <c r="EEB116" s="199"/>
      <c r="EEC116" s="198"/>
      <c r="EED116" s="199"/>
      <c r="EEE116" s="198"/>
      <c r="EEF116" s="199"/>
      <c r="EEG116" s="198"/>
      <c r="EEH116" s="199"/>
      <c r="EEI116" s="198"/>
      <c r="EEJ116" s="199"/>
      <c r="EEK116" s="198"/>
      <c r="EEL116" s="199"/>
      <c r="EEM116" s="198"/>
      <c r="EEN116" s="199"/>
      <c r="EEO116" s="198"/>
      <c r="EEP116" s="199"/>
      <c r="EEQ116" s="198"/>
      <c r="EER116" s="199"/>
      <c r="EES116" s="198"/>
      <c r="EET116" s="199"/>
      <c r="EEU116" s="198"/>
      <c r="EEV116" s="199"/>
      <c r="EEW116" s="198"/>
      <c r="EEX116" s="199"/>
      <c r="EEY116" s="198"/>
      <c r="EEZ116" s="199"/>
      <c r="EFA116" s="198"/>
      <c r="EFB116" s="199"/>
      <c r="EFC116" s="198"/>
      <c r="EFD116" s="199"/>
      <c r="EFE116" s="198"/>
      <c r="EFF116" s="199"/>
      <c r="EFG116" s="198"/>
      <c r="EFH116" s="199"/>
      <c r="EFI116" s="198"/>
      <c r="EFJ116" s="199"/>
      <c r="EFK116" s="198"/>
      <c r="EFL116" s="199"/>
      <c r="EFM116" s="198"/>
      <c r="EFN116" s="199"/>
      <c r="EFO116" s="198"/>
      <c r="EFP116" s="199"/>
      <c r="EFQ116" s="198"/>
      <c r="EFR116" s="199"/>
      <c r="EFS116" s="198"/>
      <c r="EFT116" s="199"/>
      <c r="EFU116" s="198"/>
      <c r="EFV116" s="199"/>
      <c r="EFW116" s="198"/>
      <c r="EFX116" s="199"/>
      <c r="EFY116" s="198"/>
      <c r="EFZ116" s="199"/>
      <c r="EGA116" s="198"/>
      <c r="EGB116" s="199"/>
      <c r="EGC116" s="198"/>
      <c r="EGD116" s="199"/>
      <c r="EGE116" s="198"/>
      <c r="EGF116" s="199"/>
      <c r="EGG116" s="198"/>
      <c r="EGH116" s="199"/>
      <c r="EGI116" s="198"/>
      <c r="EGJ116" s="199"/>
      <c r="EGK116" s="198"/>
      <c r="EGL116" s="199"/>
      <c r="EGM116" s="198"/>
      <c r="EGN116" s="199"/>
      <c r="EGO116" s="198"/>
      <c r="EGP116" s="199"/>
      <c r="EGQ116" s="198"/>
      <c r="EGR116" s="199"/>
      <c r="EGS116" s="198"/>
      <c r="EGT116" s="199"/>
      <c r="EGU116" s="198"/>
      <c r="EGV116" s="199"/>
      <c r="EGW116" s="198"/>
      <c r="EGX116" s="199"/>
      <c r="EGY116" s="198"/>
      <c r="EGZ116" s="199"/>
      <c r="EHA116" s="198"/>
      <c r="EHB116" s="199"/>
      <c r="EHC116" s="198"/>
      <c r="EHD116" s="199"/>
      <c r="EHE116" s="198"/>
      <c r="EHF116" s="199"/>
      <c r="EHG116" s="198"/>
      <c r="EHH116" s="199"/>
      <c r="EHI116" s="198"/>
      <c r="EHJ116" s="199"/>
      <c r="EHK116" s="198"/>
      <c r="EHL116" s="199"/>
      <c r="EHM116" s="198"/>
      <c r="EHN116" s="199"/>
      <c r="EHO116" s="198"/>
      <c r="EHP116" s="199"/>
      <c r="EHQ116" s="198"/>
      <c r="EHR116" s="199"/>
      <c r="EHS116" s="198"/>
      <c r="EHT116" s="199"/>
      <c r="EHU116" s="198"/>
      <c r="EHV116" s="199"/>
      <c r="EHW116" s="198"/>
      <c r="EHX116" s="199"/>
      <c r="EHY116" s="198"/>
      <c r="EHZ116" s="199"/>
      <c r="EIA116" s="198"/>
      <c r="EIB116" s="199"/>
      <c r="EIC116" s="198"/>
      <c r="EID116" s="199"/>
      <c r="EIE116" s="198"/>
      <c r="EIF116" s="199"/>
      <c r="EIG116" s="198"/>
      <c r="EIH116" s="199"/>
      <c r="EII116" s="198"/>
      <c r="EIJ116" s="199"/>
      <c r="EIK116" s="198"/>
      <c r="EIL116" s="199"/>
      <c r="EIM116" s="198"/>
      <c r="EIN116" s="199"/>
      <c r="EIO116" s="198"/>
      <c r="EIP116" s="199"/>
      <c r="EIQ116" s="198"/>
      <c r="EIR116" s="199"/>
      <c r="EIS116" s="198"/>
      <c r="EIT116" s="199"/>
      <c r="EIU116" s="198"/>
      <c r="EIV116" s="199"/>
      <c r="EIW116" s="198"/>
      <c r="EIX116" s="199"/>
      <c r="EIY116" s="198"/>
      <c r="EIZ116" s="199"/>
      <c r="EJA116" s="198"/>
      <c r="EJB116" s="199"/>
      <c r="EJC116" s="198"/>
      <c r="EJD116" s="199"/>
      <c r="EJE116" s="198"/>
      <c r="EJF116" s="199"/>
      <c r="EJG116" s="198"/>
      <c r="EJH116" s="199"/>
      <c r="EJI116" s="198"/>
      <c r="EJJ116" s="199"/>
      <c r="EJK116" s="198"/>
      <c r="EJL116" s="199"/>
      <c r="EJM116" s="198"/>
      <c r="EJN116" s="199"/>
      <c r="EJO116" s="198"/>
      <c r="EJP116" s="199"/>
      <c r="EJQ116" s="198"/>
      <c r="EJR116" s="199"/>
      <c r="EJS116" s="198"/>
      <c r="EJT116" s="199"/>
      <c r="EJU116" s="198"/>
      <c r="EJV116" s="199"/>
      <c r="EJW116" s="198"/>
      <c r="EJX116" s="199"/>
      <c r="EJY116" s="198"/>
      <c r="EJZ116" s="199"/>
      <c r="EKA116" s="198"/>
      <c r="EKB116" s="199"/>
      <c r="EKC116" s="198"/>
      <c r="EKD116" s="199"/>
      <c r="EKE116" s="198"/>
      <c r="EKF116" s="199"/>
      <c r="EKG116" s="198"/>
      <c r="EKH116" s="199"/>
      <c r="EKI116" s="198"/>
      <c r="EKJ116" s="199"/>
      <c r="EKK116" s="198"/>
      <c r="EKL116" s="199"/>
      <c r="EKM116" s="198"/>
      <c r="EKN116" s="199"/>
      <c r="EKO116" s="198"/>
      <c r="EKP116" s="199"/>
      <c r="EKQ116" s="198"/>
      <c r="EKR116" s="199"/>
      <c r="EKS116" s="198"/>
      <c r="EKT116" s="199"/>
      <c r="EKU116" s="198"/>
      <c r="EKV116" s="199"/>
      <c r="EKW116" s="198"/>
      <c r="EKX116" s="199"/>
      <c r="EKY116" s="198"/>
      <c r="EKZ116" s="199"/>
      <c r="ELA116" s="198"/>
      <c r="ELB116" s="199"/>
      <c r="ELC116" s="198"/>
      <c r="ELD116" s="199"/>
      <c r="ELE116" s="198"/>
      <c r="ELF116" s="199"/>
      <c r="ELG116" s="198"/>
      <c r="ELH116" s="199"/>
      <c r="ELI116" s="198"/>
      <c r="ELJ116" s="199"/>
      <c r="ELK116" s="198"/>
      <c r="ELL116" s="199"/>
      <c r="ELM116" s="198"/>
      <c r="ELN116" s="199"/>
      <c r="ELO116" s="198"/>
      <c r="ELP116" s="199"/>
      <c r="ELQ116" s="198"/>
      <c r="ELR116" s="199"/>
      <c r="ELS116" s="198"/>
      <c r="ELT116" s="199"/>
      <c r="ELU116" s="198"/>
      <c r="ELV116" s="199"/>
      <c r="ELW116" s="198"/>
      <c r="ELX116" s="199"/>
      <c r="ELY116" s="198"/>
      <c r="ELZ116" s="199"/>
      <c r="EMA116" s="198"/>
      <c r="EMB116" s="199"/>
      <c r="EMC116" s="198"/>
      <c r="EMD116" s="199"/>
      <c r="EME116" s="198"/>
      <c r="EMF116" s="199"/>
      <c r="EMG116" s="198"/>
      <c r="EMH116" s="199"/>
      <c r="EMI116" s="198"/>
      <c r="EMJ116" s="199"/>
      <c r="EMK116" s="198"/>
      <c r="EML116" s="199"/>
      <c r="EMM116" s="198"/>
      <c r="EMN116" s="199"/>
      <c r="EMO116" s="198"/>
      <c r="EMP116" s="199"/>
      <c r="EMQ116" s="198"/>
      <c r="EMR116" s="199"/>
      <c r="EMS116" s="198"/>
      <c r="EMT116" s="199"/>
      <c r="EMU116" s="198"/>
      <c r="EMV116" s="199"/>
      <c r="EMW116" s="198"/>
      <c r="EMX116" s="199"/>
      <c r="EMY116" s="198"/>
      <c r="EMZ116" s="199"/>
      <c r="ENA116" s="198"/>
      <c r="ENB116" s="199"/>
      <c r="ENC116" s="198"/>
      <c r="END116" s="199"/>
      <c r="ENE116" s="198"/>
      <c r="ENF116" s="199"/>
      <c r="ENG116" s="198"/>
      <c r="ENH116" s="199"/>
      <c r="ENI116" s="198"/>
      <c r="ENJ116" s="199"/>
      <c r="ENK116" s="198"/>
      <c r="ENL116" s="199"/>
      <c r="ENM116" s="198"/>
      <c r="ENN116" s="199"/>
      <c r="ENO116" s="198"/>
      <c r="ENP116" s="199"/>
      <c r="ENQ116" s="198"/>
      <c r="ENR116" s="199"/>
      <c r="ENS116" s="198"/>
      <c r="ENT116" s="199"/>
      <c r="ENU116" s="198"/>
      <c r="ENV116" s="199"/>
      <c r="ENW116" s="198"/>
      <c r="ENX116" s="199"/>
      <c r="ENY116" s="198"/>
      <c r="ENZ116" s="199"/>
      <c r="EOA116" s="198"/>
      <c r="EOB116" s="199"/>
      <c r="EOC116" s="198"/>
      <c r="EOD116" s="199"/>
      <c r="EOE116" s="198"/>
      <c r="EOF116" s="199"/>
      <c r="EOG116" s="198"/>
      <c r="EOH116" s="199"/>
      <c r="EOI116" s="198"/>
      <c r="EOJ116" s="199"/>
      <c r="EOK116" s="198"/>
      <c r="EOL116" s="199"/>
      <c r="EOM116" s="198"/>
      <c r="EON116" s="199"/>
      <c r="EOO116" s="198"/>
      <c r="EOP116" s="199"/>
      <c r="EOQ116" s="198"/>
      <c r="EOR116" s="199"/>
      <c r="EOS116" s="198"/>
      <c r="EOT116" s="199"/>
      <c r="EOU116" s="198"/>
      <c r="EOV116" s="199"/>
      <c r="EOW116" s="198"/>
      <c r="EOX116" s="199"/>
      <c r="EOY116" s="198"/>
      <c r="EOZ116" s="199"/>
      <c r="EPA116" s="198"/>
      <c r="EPB116" s="199"/>
      <c r="EPC116" s="198"/>
      <c r="EPD116" s="199"/>
      <c r="EPE116" s="198"/>
      <c r="EPF116" s="199"/>
      <c r="EPG116" s="198"/>
      <c r="EPH116" s="199"/>
      <c r="EPI116" s="198"/>
      <c r="EPJ116" s="199"/>
      <c r="EPK116" s="198"/>
      <c r="EPL116" s="199"/>
      <c r="EPM116" s="198"/>
      <c r="EPN116" s="199"/>
      <c r="EPO116" s="198"/>
      <c r="EPP116" s="199"/>
      <c r="EPQ116" s="198"/>
      <c r="EPR116" s="199"/>
      <c r="EPS116" s="198"/>
      <c r="EPT116" s="199"/>
      <c r="EPU116" s="198"/>
      <c r="EPV116" s="199"/>
      <c r="EPW116" s="198"/>
      <c r="EPX116" s="199"/>
      <c r="EPY116" s="198"/>
      <c r="EPZ116" s="199"/>
      <c r="EQA116" s="198"/>
      <c r="EQB116" s="199"/>
      <c r="EQC116" s="198"/>
      <c r="EQD116" s="199"/>
      <c r="EQE116" s="198"/>
      <c r="EQF116" s="199"/>
      <c r="EQG116" s="198"/>
      <c r="EQH116" s="199"/>
      <c r="EQI116" s="198"/>
      <c r="EQJ116" s="199"/>
      <c r="EQK116" s="198"/>
      <c r="EQL116" s="199"/>
      <c r="EQM116" s="198"/>
      <c r="EQN116" s="199"/>
      <c r="EQO116" s="198"/>
      <c r="EQP116" s="199"/>
      <c r="EQQ116" s="198"/>
      <c r="EQR116" s="199"/>
      <c r="EQS116" s="198"/>
      <c r="EQT116" s="199"/>
      <c r="EQU116" s="198"/>
      <c r="EQV116" s="199"/>
      <c r="EQW116" s="198"/>
      <c r="EQX116" s="199"/>
      <c r="EQY116" s="198"/>
      <c r="EQZ116" s="199"/>
      <c r="ERA116" s="198"/>
      <c r="ERB116" s="199"/>
      <c r="ERC116" s="198"/>
      <c r="ERD116" s="199"/>
      <c r="ERE116" s="198"/>
      <c r="ERF116" s="199"/>
      <c r="ERG116" s="198"/>
      <c r="ERH116" s="199"/>
      <c r="ERI116" s="198"/>
      <c r="ERJ116" s="199"/>
      <c r="ERK116" s="198"/>
      <c r="ERL116" s="199"/>
      <c r="ERM116" s="198"/>
      <c r="ERN116" s="199"/>
      <c r="ERO116" s="198"/>
      <c r="ERP116" s="199"/>
      <c r="ERQ116" s="198"/>
      <c r="ERR116" s="199"/>
      <c r="ERS116" s="198"/>
      <c r="ERT116" s="199"/>
      <c r="ERU116" s="198"/>
      <c r="ERV116" s="199"/>
      <c r="ERW116" s="198"/>
      <c r="ERX116" s="199"/>
      <c r="ERY116" s="198"/>
      <c r="ERZ116" s="199"/>
      <c r="ESA116" s="198"/>
      <c r="ESB116" s="199"/>
      <c r="ESC116" s="198"/>
      <c r="ESD116" s="199"/>
      <c r="ESE116" s="198"/>
      <c r="ESF116" s="199"/>
      <c r="ESG116" s="198"/>
      <c r="ESH116" s="199"/>
      <c r="ESI116" s="198"/>
      <c r="ESJ116" s="199"/>
      <c r="ESK116" s="198"/>
      <c r="ESL116" s="199"/>
      <c r="ESM116" s="198"/>
      <c r="ESN116" s="199"/>
      <c r="ESO116" s="198"/>
      <c r="ESP116" s="199"/>
      <c r="ESQ116" s="198"/>
      <c r="ESR116" s="199"/>
      <c r="ESS116" s="198"/>
      <c r="EST116" s="199"/>
      <c r="ESU116" s="198"/>
      <c r="ESV116" s="199"/>
      <c r="ESW116" s="198"/>
      <c r="ESX116" s="199"/>
      <c r="ESY116" s="198"/>
      <c r="ESZ116" s="199"/>
      <c r="ETA116" s="198"/>
      <c r="ETB116" s="199"/>
      <c r="ETC116" s="198"/>
      <c r="ETD116" s="199"/>
      <c r="ETE116" s="198"/>
      <c r="ETF116" s="199"/>
      <c r="ETG116" s="198"/>
      <c r="ETH116" s="199"/>
      <c r="ETI116" s="198"/>
      <c r="ETJ116" s="199"/>
      <c r="ETK116" s="198"/>
      <c r="ETL116" s="199"/>
      <c r="ETM116" s="198"/>
      <c r="ETN116" s="199"/>
      <c r="ETO116" s="198"/>
      <c r="ETP116" s="199"/>
      <c r="ETQ116" s="198"/>
      <c r="ETR116" s="199"/>
      <c r="ETS116" s="198"/>
      <c r="ETT116" s="199"/>
      <c r="ETU116" s="198"/>
      <c r="ETV116" s="199"/>
      <c r="ETW116" s="198"/>
      <c r="ETX116" s="199"/>
      <c r="ETY116" s="198"/>
      <c r="ETZ116" s="199"/>
      <c r="EUA116" s="198"/>
      <c r="EUB116" s="199"/>
      <c r="EUC116" s="198"/>
      <c r="EUD116" s="199"/>
      <c r="EUE116" s="198"/>
      <c r="EUF116" s="199"/>
      <c r="EUG116" s="198"/>
      <c r="EUH116" s="199"/>
      <c r="EUI116" s="198"/>
      <c r="EUJ116" s="199"/>
      <c r="EUK116" s="198"/>
      <c r="EUL116" s="199"/>
      <c r="EUM116" s="198"/>
      <c r="EUN116" s="199"/>
      <c r="EUO116" s="198"/>
      <c r="EUP116" s="199"/>
      <c r="EUQ116" s="198"/>
      <c r="EUR116" s="199"/>
      <c r="EUS116" s="198"/>
      <c r="EUT116" s="199"/>
      <c r="EUU116" s="198"/>
      <c r="EUV116" s="199"/>
      <c r="EUW116" s="198"/>
      <c r="EUX116" s="199"/>
      <c r="EUY116" s="198"/>
      <c r="EUZ116" s="199"/>
      <c r="EVA116" s="198"/>
      <c r="EVB116" s="199"/>
      <c r="EVC116" s="198"/>
      <c r="EVD116" s="199"/>
      <c r="EVE116" s="198"/>
      <c r="EVF116" s="199"/>
      <c r="EVG116" s="198"/>
      <c r="EVH116" s="199"/>
      <c r="EVI116" s="198"/>
      <c r="EVJ116" s="199"/>
      <c r="EVK116" s="198"/>
      <c r="EVL116" s="199"/>
      <c r="EVM116" s="198"/>
      <c r="EVN116" s="199"/>
      <c r="EVO116" s="198"/>
      <c r="EVP116" s="199"/>
      <c r="EVQ116" s="198"/>
      <c r="EVR116" s="199"/>
      <c r="EVS116" s="198"/>
      <c r="EVT116" s="199"/>
      <c r="EVU116" s="198"/>
      <c r="EVV116" s="199"/>
      <c r="EVW116" s="198"/>
      <c r="EVX116" s="199"/>
      <c r="EVY116" s="198"/>
      <c r="EVZ116" s="199"/>
      <c r="EWA116" s="198"/>
      <c r="EWB116" s="199"/>
      <c r="EWC116" s="198"/>
      <c r="EWD116" s="199"/>
      <c r="EWE116" s="198"/>
      <c r="EWF116" s="199"/>
      <c r="EWG116" s="198"/>
      <c r="EWH116" s="199"/>
      <c r="EWI116" s="198"/>
      <c r="EWJ116" s="199"/>
      <c r="EWK116" s="198"/>
      <c r="EWL116" s="199"/>
      <c r="EWM116" s="198"/>
      <c r="EWN116" s="199"/>
      <c r="EWO116" s="198"/>
      <c r="EWP116" s="199"/>
      <c r="EWQ116" s="198"/>
      <c r="EWR116" s="199"/>
      <c r="EWS116" s="198"/>
      <c r="EWT116" s="199"/>
      <c r="EWU116" s="198"/>
      <c r="EWV116" s="199"/>
      <c r="EWW116" s="198"/>
      <c r="EWX116" s="199"/>
      <c r="EWY116" s="198"/>
      <c r="EWZ116" s="199"/>
      <c r="EXA116" s="198"/>
      <c r="EXB116" s="199"/>
      <c r="EXC116" s="198"/>
      <c r="EXD116" s="199"/>
      <c r="EXE116" s="198"/>
      <c r="EXF116" s="199"/>
      <c r="EXG116" s="198"/>
      <c r="EXH116" s="199"/>
      <c r="EXI116" s="198"/>
      <c r="EXJ116" s="199"/>
      <c r="EXK116" s="198"/>
      <c r="EXL116" s="199"/>
      <c r="EXM116" s="198"/>
      <c r="EXN116" s="199"/>
      <c r="EXO116" s="198"/>
      <c r="EXP116" s="199"/>
      <c r="EXQ116" s="198"/>
      <c r="EXR116" s="199"/>
      <c r="EXS116" s="198"/>
      <c r="EXT116" s="199"/>
      <c r="EXU116" s="198"/>
      <c r="EXV116" s="199"/>
      <c r="EXW116" s="198"/>
      <c r="EXX116" s="199"/>
      <c r="EXY116" s="198"/>
      <c r="EXZ116" s="199"/>
      <c r="EYA116" s="198"/>
      <c r="EYB116" s="199"/>
      <c r="EYC116" s="198"/>
      <c r="EYD116" s="199"/>
      <c r="EYE116" s="198"/>
      <c r="EYF116" s="199"/>
      <c r="EYG116" s="198"/>
      <c r="EYH116" s="199"/>
      <c r="EYI116" s="198"/>
      <c r="EYJ116" s="199"/>
      <c r="EYK116" s="198"/>
      <c r="EYL116" s="199"/>
      <c r="EYM116" s="198"/>
      <c r="EYN116" s="199"/>
      <c r="EYO116" s="198"/>
      <c r="EYP116" s="199"/>
      <c r="EYQ116" s="198"/>
      <c r="EYR116" s="199"/>
      <c r="EYS116" s="198"/>
      <c r="EYT116" s="199"/>
      <c r="EYU116" s="198"/>
      <c r="EYV116" s="199"/>
      <c r="EYW116" s="198"/>
      <c r="EYX116" s="199"/>
      <c r="EYY116" s="198"/>
      <c r="EYZ116" s="199"/>
      <c r="EZA116" s="198"/>
      <c r="EZB116" s="199"/>
      <c r="EZC116" s="198"/>
      <c r="EZD116" s="199"/>
      <c r="EZE116" s="198"/>
      <c r="EZF116" s="199"/>
      <c r="EZG116" s="198"/>
      <c r="EZH116" s="199"/>
      <c r="EZI116" s="198"/>
      <c r="EZJ116" s="199"/>
      <c r="EZK116" s="198"/>
      <c r="EZL116" s="199"/>
      <c r="EZM116" s="198"/>
      <c r="EZN116" s="199"/>
      <c r="EZO116" s="198"/>
      <c r="EZP116" s="199"/>
      <c r="EZQ116" s="198"/>
      <c r="EZR116" s="199"/>
      <c r="EZS116" s="198"/>
      <c r="EZT116" s="199"/>
      <c r="EZU116" s="198"/>
      <c r="EZV116" s="199"/>
      <c r="EZW116" s="198"/>
      <c r="EZX116" s="199"/>
      <c r="EZY116" s="198"/>
      <c r="EZZ116" s="199"/>
      <c r="FAA116" s="198"/>
      <c r="FAB116" s="199"/>
      <c r="FAC116" s="198"/>
      <c r="FAD116" s="199"/>
      <c r="FAE116" s="198"/>
      <c r="FAF116" s="199"/>
      <c r="FAG116" s="198"/>
      <c r="FAH116" s="199"/>
      <c r="FAI116" s="198"/>
      <c r="FAJ116" s="199"/>
      <c r="FAK116" s="198"/>
      <c r="FAL116" s="199"/>
      <c r="FAM116" s="198"/>
      <c r="FAN116" s="199"/>
      <c r="FAO116" s="198"/>
      <c r="FAP116" s="199"/>
      <c r="FAQ116" s="198"/>
      <c r="FAR116" s="199"/>
      <c r="FAS116" s="198"/>
      <c r="FAT116" s="199"/>
      <c r="FAU116" s="198"/>
      <c r="FAV116" s="199"/>
      <c r="FAW116" s="198"/>
      <c r="FAX116" s="199"/>
      <c r="FAY116" s="198"/>
      <c r="FAZ116" s="199"/>
      <c r="FBA116" s="198"/>
      <c r="FBB116" s="199"/>
      <c r="FBC116" s="198"/>
      <c r="FBD116" s="199"/>
      <c r="FBE116" s="198"/>
      <c r="FBF116" s="199"/>
      <c r="FBG116" s="198"/>
      <c r="FBH116" s="199"/>
      <c r="FBI116" s="198"/>
      <c r="FBJ116" s="199"/>
      <c r="FBK116" s="198"/>
      <c r="FBL116" s="199"/>
      <c r="FBM116" s="198"/>
      <c r="FBN116" s="199"/>
      <c r="FBO116" s="198"/>
      <c r="FBP116" s="199"/>
      <c r="FBQ116" s="198"/>
      <c r="FBR116" s="199"/>
      <c r="FBS116" s="198"/>
      <c r="FBT116" s="199"/>
      <c r="FBU116" s="198"/>
      <c r="FBV116" s="199"/>
      <c r="FBW116" s="198"/>
      <c r="FBX116" s="199"/>
      <c r="FBY116" s="198"/>
      <c r="FBZ116" s="199"/>
      <c r="FCA116" s="198"/>
      <c r="FCB116" s="199"/>
      <c r="FCC116" s="198"/>
      <c r="FCD116" s="199"/>
      <c r="FCE116" s="198"/>
      <c r="FCF116" s="199"/>
      <c r="FCG116" s="198"/>
      <c r="FCH116" s="199"/>
      <c r="FCI116" s="198"/>
      <c r="FCJ116" s="199"/>
      <c r="FCK116" s="198"/>
      <c r="FCL116" s="199"/>
      <c r="FCM116" s="198"/>
      <c r="FCN116" s="199"/>
      <c r="FCO116" s="198"/>
      <c r="FCP116" s="199"/>
      <c r="FCQ116" s="198"/>
      <c r="FCR116" s="199"/>
      <c r="FCS116" s="198"/>
      <c r="FCT116" s="199"/>
      <c r="FCU116" s="198"/>
      <c r="FCV116" s="199"/>
      <c r="FCW116" s="198"/>
      <c r="FCX116" s="199"/>
      <c r="FCY116" s="198"/>
      <c r="FCZ116" s="199"/>
      <c r="FDA116" s="198"/>
      <c r="FDB116" s="199"/>
      <c r="FDC116" s="198"/>
      <c r="FDD116" s="199"/>
      <c r="FDE116" s="198"/>
      <c r="FDF116" s="199"/>
      <c r="FDG116" s="198"/>
      <c r="FDH116" s="199"/>
      <c r="FDI116" s="198"/>
      <c r="FDJ116" s="199"/>
      <c r="FDK116" s="198"/>
      <c r="FDL116" s="199"/>
      <c r="FDM116" s="198"/>
      <c r="FDN116" s="199"/>
      <c r="FDO116" s="198"/>
      <c r="FDP116" s="199"/>
      <c r="FDQ116" s="198"/>
      <c r="FDR116" s="199"/>
      <c r="FDS116" s="198"/>
      <c r="FDT116" s="199"/>
      <c r="FDU116" s="198"/>
      <c r="FDV116" s="199"/>
      <c r="FDW116" s="198"/>
      <c r="FDX116" s="199"/>
      <c r="FDY116" s="198"/>
      <c r="FDZ116" s="199"/>
      <c r="FEA116" s="198"/>
      <c r="FEB116" s="199"/>
      <c r="FEC116" s="198"/>
      <c r="FED116" s="199"/>
      <c r="FEE116" s="198"/>
      <c r="FEF116" s="199"/>
      <c r="FEG116" s="198"/>
      <c r="FEH116" s="199"/>
      <c r="FEI116" s="198"/>
      <c r="FEJ116" s="199"/>
      <c r="FEK116" s="198"/>
      <c r="FEL116" s="199"/>
      <c r="FEM116" s="198"/>
      <c r="FEN116" s="199"/>
      <c r="FEO116" s="198"/>
      <c r="FEP116" s="199"/>
      <c r="FEQ116" s="198"/>
      <c r="FER116" s="199"/>
      <c r="FES116" s="198"/>
      <c r="FET116" s="199"/>
      <c r="FEU116" s="198"/>
      <c r="FEV116" s="199"/>
      <c r="FEW116" s="198"/>
      <c r="FEX116" s="199"/>
      <c r="FEY116" s="198"/>
      <c r="FEZ116" s="199"/>
      <c r="FFA116" s="198"/>
      <c r="FFB116" s="199"/>
      <c r="FFC116" s="198"/>
      <c r="FFD116" s="199"/>
      <c r="FFE116" s="198"/>
      <c r="FFF116" s="199"/>
      <c r="FFG116" s="198"/>
      <c r="FFH116" s="199"/>
      <c r="FFI116" s="198"/>
      <c r="FFJ116" s="199"/>
      <c r="FFK116" s="198"/>
      <c r="FFL116" s="199"/>
      <c r="FFM116" s="198"/>
      <c r="FFN116" s="199"/>
      <c r="FFO116" s="198"/>
      <c r="FFP116" s="199"/>
      <c r="FFQ116" s="198"/>
      <c r="FFR116" s="199"/>
      <c r="FFS116" s="198"/>
      <c r="FFT116" s="199"/>
      <c r="FFU116" s="198"/>
      <c r="FFV116" s="199"/>
      <c r="FFW116" s="198"/>
      <c r="FFX116" s="199"/>
      <c r="FFY116" s="198"/>
      <c r="FFZ116" s="199"/>
      <c r="FGA116" s="198"/>
      <c r="FGB116" s="199"/>
      <c r="FGC116" s="198"/>
      <c r="FGD116" s="199"/>
      <c r="FGE116" s="198"/>
      <c r="FGF116" s="199"/>
      <c r="FGG116" s="198"/>
      <c r="FGH116" s="199"/>
      <c r="FGI116" s="198"/>
      <c r="FGJ116" s="199"/>
      <c r="FGK116" s="198"/>
      <c r="FGL116" s="199"/>
      <c r="FGM116" s="198"/>
      <c r="FGN116" s="199"/>
      <c r="FGO116" s="198"/>
      <c r="FGP116" s="199"/>
      <c r="FGQ116" s="198"/>
      <c r="FGR116" s="199"/>
      <c r="FGS116" s="198"/>
      <c r="FGT116" s="199"/>
      <c r="FGU116" s="198"/>
      <c r="FGV116" s="199"/>
      <c r="FGW116" s="198"/>
      <c r="FGX116" s="199"/>
      <c r="FGY116" s="198"/>
      <c r="FGZ116" s="199"/>
      <c r="FHA116" s="198"/>
      <c r="FHB116" s="199"/>
      <c r="FHC116" s="198"/>
      <c r="FHD116" s="199"/>
      <c r="FHE116" s="198"/>
      <c r="FHF116" s="199"/>
      <c r="FHG116" s="198"/>
      <c r="FHH116" s="199"/>
      <c r="FHI116" s="198"/>
      <c r="FHJ116" s="199"/>
      <c r="FHK116" s="198"/>
      <c r="FHL116" s="199"/>
      <c r="FHM116" s="198"/>
      <c r="FHN116" s="199"/>
      <c r="FHO116" s="198"/>
      <c r="FHP116" s="199"/>
      <c r="FHQ116" s="198"/>
      <c r="FHR116" s="199"/>
      <c r="FHS116" s="198"/>
      <c r="FHT116" s="199"/>
      <c r="FHU116" s="198"/>
      <c r="FHV116" s="199"/>
      <c r="FHW116" s="198"/>
      <c r="FHX116" s="199"/>
      <c r="FHY116" s="198"/>
      <c r="FHZ116" s="199"/>
      <c r="FIA116" s="198"/>
      <c r="FIB116" s="199"/>
      <c r="FIC116" s="198"/>
      <c r="FID116" s="199"/>
      <c r="FIE116" s="198"/>
      <c r="FIF116" s="199"/>
      <c r="FIG116" s="198"/>
      <c r="FIH116" s="199"/>
      <c r="FII116" s="198"/>
      <c r="FIJ116" s="199"/>
      <c r="FIK116" s="198"/>
      <c r="FIL116" s="199"/>
      <c r="FIM116" s="198"/>
      <c r="FIN116" s="199"/>
      <c r="FIO116" s="198"/>
      <c r="FIP116" s="199"/>
      <c r="FIQ116" s="198"/>
      <c r="FIR116" s="199"/>
      <c r="FIS116" s="198"/>
      <c r="FIT116" s="199"/>
      <c r="FIU116" s="198"/>
      <c r="FIV116" s="199"/>
      <c r="FIW116" s="198"/>
      <c r="FIX116" s="199"/>
      <c r="FIY116" s="198"/>
      <c r="FIZ116" s="199"/>
      <c r="FJA116" s="198"/>
      <c r="FJB116" s="199"/>
      <c r="FJC116" s="198"/>
      <c r="FJD116" s="199"/>
      <c r="FJE116" s="198"/>
      <c r="FJF116" s="199"/>
      <c r="FJG116" s="198"/>
      <c r="FJH116" s="199"/>
      <c r="FJI116" s="198"/>
      <c r="FJJ116" s="199"/>
      <c r="FJK116" s="198"/>
      <c r="FJL116" s="199"/>
      <c r="FJM116" s="198"/>
      <c r="FJN116" s="199"/>
      <c r="FJO116" s="198"/>
      <c r="FJP116" s="199"/>
      <c r="FJQ116" s="198"/>
      <c r="FJR116" s="199"/>
      <c r="FJS116" s="198"/>
      <c r="FJT116" s="199"/>
      <c r="FJU116" s="198"/>
      <c r="FJV116" s="199"/>
      <c r="FJW116" s="198"/>
      <c r="FJX116" s="199"/>
      <c r="FJY116" s="198"/>
      <c r="FJZ116" s="199"/>
      <c r="FKA116" s="198"/>
      <c r="FKB116" s="199"/>
      <c r="FKC116" s="198"/>
      <c r="FKD116" s="199"/>
      <c r="FKE116" s="198"/>
      <c r="FKF116" s="199"/>
      <c r="FKG116" s="198"/>
      <c r="FKH116" s="199"/>
      <c r="FKI116" s="198"/>
      <c r="FKJ116" s="199"/>
      <c r="FKK116" s="198"/>
      <c r="FKL116" s="199"/>
      <c r="FKM116" s="198"/>
      <c r="FKN116" s="199"/>
      <c r="FKO116" s="198"/>
      <c r="FKP116" s="199"/>
      <c r="FKQ116" s="198"/>
      <c r="FKR116" s="199"/>
      <c r="FKS116" s="198"/>
      <c r="FKT116" s="199"/>
      <c r="FKU116" s="198"/>
      <c r="FKV116" s="199"/>
      <c r="FKW116" s="198"/>
      <c r="FKX116" s="199"/>
      <c r="FKY116" s="198"/>
      <c r="FKZ116" s="199"/>
      <c r="FLA116" s="198"/>
      <c r="FLB116" s="199"/>
      <c r="FLC116" s="198"/>
      <c r="FLD116" s="199"/>
      <c r="FLE116" s="198"/>
      <c r="FLF116" s="199"/>
      <c r="FLG116" s="198"/>
      <c r="FLH116" s="199"/>
      <c r="FLI116" s="198"/>
      <c r="FLJ116" s="199"/>
      <c r="FLK116" s="198"/>
      <c r="FLL116" s="199"/>
      <c r="FLM116" s="198"/>
      <c r="FLN116" s="199"/>
      <c r="FLO116" s="198"/>
      <c r="FLP116" s="199"/>
      <c r="FLQ116" s="198"/>
      <c r="FLR116" s="199"/>
      <c r="FLS116" s="198"/>
      <c r="FLT116" s="199"/>
      <c r="FLU116" s="198"/>
      <c r="FLV116" s="199"/>
      <c r="FLW116" s="198"/>
      <c r="FLX116" s="199"/>
      <c r="FLY116" s="198"/>
      <c r="FLZ116" s="199"/>
      <c r="FMA116" s="198"/>
      <c r="FMB116" s="199"/>
      <c r="FMC116" s="198"/>
      <c r="FMD116" s="199"/>
      <c r="FME116" s="198"/>
      <c r="FMF116" s="199"/>
      <c r="FMG116" s="198"/>
      <c r="FMH116" s="199"/>
      <c r="FMI116" s="198"/>
      <c r="FMJ116" s="199"/>
      <c r="FMK116" s="198"/>
      <c r="FML116" s="199"/>
      <c r="FMM116" s="198"/>
      <c r="FMN116" s="199"/>
      <c r="FMO116" s="198"/>
      <c r="FMP116" s="199"/>
      <c r="FMQ116" s="198"/>
      <c r="FMR116" s="199"/>
      <c r="FMS116" s="198"/>
      <c r="FMT116" s="199"/>
      <c r="FMU116" s="198"/>
      <c r="FMV116" s="199"/>
      <c r="FMW116" s="198"/>
      <c r="FMX116" s="199"/>
      <c r="FMY116" s="198"/>
      <c r="FMZ116" s="199"/>
      <c r="FNA116" s="198"/>
      <c r="FNB116" s="199"/>
      <c r="FNC116" s="198"/>
      <c r="FND116" s="199"/>
      <c r="FNE116" s="198"/>
      <c r="FNF116" s="199"/>
      <c r="FNG116" s="198"/>
      <c r="FNH116" s="199"/>
      <c r="FNI116" s="198"/>
      <c r="FNJ116" s="199"/>
      <c r="FNK116" s="198"/>
      <c r="FNL116" s="199"/>
      <c r="FNM116" s="198"/>
      <c r="FNN116" s="199"/>
      <c r="FNO116" s="198"/>
      <c r="FNP116" s="199"/>
      <c r="FNQ116" s="198"/>
      <c r="FNR116" s="199"/>
      <c r="FNS116" s="198"/>
      <c r="FNT116" s="199"/>
      <c r="FNU116" s="198"/>
      <c r="FNV116" s="199"/>
      <c r="FNW116" s="198"/>
      <c r="FNX116" s="199"/>
      <c r="FNY116" s="198"/>
      <c r="FNZ116" s="199"/>
      <c r="FOA116" s="198"/>
      <c r="FOB116" s="199"/>
      <c r="FOC116" s="198"/>
      <c r="FOD116" s="199"/>
      <c r="FOE116" s="198"/>
      <c r="FOF116" s="199"/>
      <c r="FOG116" s="198"/>
      <c r="FOH116" s="199"/>
      <c r="FOI116" s="198"/>
      <c r="FOJ116" s="199"/>
      <c r="FOK116" s="198"/>
      <c r="FOL116" s="199"/>
      <c r="FOM116" s="198"/>
      <c r="FON116" s="199"/>
      <c r="FOO116" s="198"/>
      <c r="FOP116" s="199"/>
      <c r="FOQ116" s="198"/>
      <c r="FOR116" s="199"/>
      <c r="FOS116" s="198"/>
      <c r="FOT116" s="199"/>
      <c r="FOU116" s="198"/>
      <c r="FOV116" s="199"/>
      <c r="FOW116" s="198"/>
      <c r="FOX116" s="199"/>
      <c r="FOY116" s="198"/>
      <c r="FOZ116" s="199"/>
      <c r="FPA116" s="198"/>
      <c r="FPB116" s="199"/>
      <c r="FPC116" s="198"/>
      <c r="FPD116" s="199"/>
      <c r="FPE116" s="198"/>
      <c r="FPF116" s="199"/>
      <c r="FPG116" s="198"/>
      <c r="FPH116" s="199"/>
      <c r="FPI116" s="198"/>
      <c r="FPJ116" s="199"/>
      <c r="FPK116" s="198"/>
      <c r="FPL116" s="199"/>
      <c r="FPM116" s="198"/>
      <c r="FPN116" s="199"/>
      <c r="FPO116" s="198"/>
      <c r="FPP116" s="199"/>
      <c r="FPQ116" s="198"/>
      <c r="FPR116" s="199"/>
      <c r="FPS116" s="198"/>
      <c r="FPT116" s="199"/>
      <c r="FPU116" s="198"/>
      <c r="FPV116" s="199"/>
      <c r="FPW116" s="198"/>
      <c r="FPX116" s="199"/>
      <c r="FPY116" s="198"/>
      <c r="FPZ116" s="199"/>
      <c r="FQA116" s="198"/>
      <c r="FQB116" s="199"/>
      <c r="FQC116" s="198"/>
      <c r="FQD116" s="199"/>
      <c r="FQE116" s="198"/>
      <c r="FQF116" s="199"/>
      <c r="FQG116" s="198"/>
      <c r="FQH116" s="199"/>
      <c r="FQI116" s="198"/>
      <c r="FQJ116" s="199"/>
      <c r="FQK116" s="198"/>
      <c r="FQL116" s="199"/>
      <c r="FQM116" s="198"/>
      <c r="FQN116" s="199"/>
      <c r="FQO116" s="198"/>
      <c r="FQP116" s="199"/>
      <c r="FQQ116" s="198"/>
      <c r="FQR116" s="199"/>
      <c r="FQS116" s="198"/>
      <c r="FQT116" s="199"/>
      <c r="FQU116" s="198"/>
      <c r="FQV116" s="199"/>
      <c r="FQW116" s="198"/>
      <c r="FQX116" s="199"/>
      <c r="FQY116" s="198"/>
      <c r="FQZ116" s="199"/>
      <c r="FRA116" s="198"/>
      <c r="FRB116" s="199"/>
      <c r="FRC116" s="198"/>
      <c r="FRD116" s="199"/>
      <c r="FRE116" s="198"/>
      <c r="FRF116" s="199"/>
      <c r="FRG116" s="198"/>
      <c r="FRH116" s="199"/>
      <c r="FRI116" s="198"/>
      <c r="FRJ116" s="199"/>
      <c r="FRK116" s="198"/>
      <c r="FRL116" s="199"/>
      <c r="FRM116" s="198"/>
      <c r="FRN116" s="199"/>
      <c r="FRO116" s="198"/>
      <c r="FRP116" s="199"/>
      <c r="FRQ116" s="198"/>
      <c r="FRR116" s="199"/>
      <c r="FRS116" s="198"/>
      <c r="FRT116" s="199"/>
      <c r="FRU116" s="198"/>
      <c r="FRV116" s="199"/>
      <c r="FRW116" s="198"/>
      <c r="FRX116" s="199"/>
      <c r="FRY116" s="198"/>
      <c r="FRZ116" s="199"/>
      <c r="FSA116" s="198"/>
      <c r="FSB116" s="199"/>
      <c r="FSC116" s="198"/>
      <c r="FSD116" s="199"/>
      <c r="FSE116" s="198"/>
      <c r="FSF116" s="199"/>
      <c r="FSG116" s="198"/>
      <c r="FSH116" s="199"/>
      <c r="FSI116" s="198"/>
      <c r="FSJ116" s="199"/>
      <c r="FSK116" s="198"/>
      <c r="FSL116" s="199"/>
      <c r="FSM116" s="198"/>
      <c r="FSN116" s="199"/>
      <c r="FSO116" s="198"/>
      <c r="FSP116" s="199"/>
      <c r="FSQ116" s="198"/>
      <c r="FSR116" s="199"/>
      <c r="FSS116" s="198"/>
      <c r="FST116" s="199"/>
      <c r="FSU116" s="198"/>
      <c r="FSV116" s="199"/>
      <c r="FSW116" s="198"/>
      <c r="FSX116" s="199"/>
      <c r="FSY116" s="198"/>
      <c r="FSZ116" s="199"/>
      <c r="FTA116" s="198"/>
      <c r="FTB116" s="199"/>
      <c r="FTC116" s="198"/>
      <c r="FTD116" s="199"/>
      <c r="FTE116" s="198"/>
      <c r="FTF116" s="199"/>
      <c r="FTG116" s="198"/>
      <c r="FTH116" s="199"/>
      <c r="FTI116" s="198"/>
      <c r="FTJ116" s="199"/>
      <c r="FTK116" s="198"/>
      <c r="FTL116" s="199"/>
      <c r="FTM116" s="198"/>
      <c r="FTN116" s="199"/>
      <c r="FTO116" s="198"/>
      <c r="FTP116" s="199"/>
      <c r="FTQ116" s="198"/>
      <c r="FTR116" s="199"/>
      <c r="FTS116" s="198"/>
      <c r="FTT116" s="199"/>
      <c r="FTU116" s="198"/>
      <c r="FTV116" s="199"/>
      <c r="FTW116" s="198"/>
      <c r="FTX116" s="199"/>
      <c r="FTY116" s="198"/>
      <c r="FTZ116" s="199"/>
      <c r="FUA116" s="198"/>
      <c r="FUB116" s="199"/>
      <c r="FUC116" s="198"/>
      <c r="FUD116" s="199"/>
      <c r="FUE116" s="198"/>
      <c r="FUF116" s="199"/>
      <c r="FUG116" s="198"/>
      <c r="FUH116" s="199"/>
      <c r="FUI116" s="198"/>
      <c r="FUJ116" s="199"/>
      <c r="FUK116" s="198"/>
      <c r="FUL116" s="199"/>
      <c r="FUM116" s="198"/>
      <c r="FUN116" s="199"/>
      <c r="FUO116" s="198"/>
      <c r="FUP116" s="199"/>
      <c r="FUQ116" s="198"/>
      <c r="FUR116" s="199"/>
      <c r="FUS116" s="198"/>
      <c r="FUT116" s="199"/>
      <c r="FUU116" s="198"/>
      <c r="FUV116" s="199"/>
      <c r="FUW116" s="198"/>
      <c r="FUX116" s="199"/>
      <c r="FUY116" s="198"/>
      <c r="FUZ116" s="199"/>
      <c r="FVA116" s="198"/>
      <c r="FVB116" s="199"/>
      <c r="FVC116" s="198"/>
      <c r="FVD116" s="199"/>
      <c r="FVE116" s="198"/>
      <c r="FVF116" s="199"/>
      <c r="FVG116" s="198"/>
      <c r="FVH116" s="199"/>
      <c r="FVI116" s="198"/>
      <c r="FVJ116" s="199"/>
      <c r="FVK116" s="198"/>
      <c r="FVL116" s="199"/>
      <c r="FVM116" s="198"/>
      <c r="FVN116" s="199"/>
      <c r="FVO116" s="198"/>
      <c r="FVP116" s="199"/>
      <c r="FVQ116" s="198"/>
      <c r="FVR116" s="199"/>
      <c r="FVS116" s="198"/>
      <c r="FVT116" s="199"/>
      <c r="FVU116" s="198"/>
      <c r="FVV116" s="199"/>
      <c r="FVW116" s="198"/>
      <c r="FVX116" s="199"/>
      <c r="FVY116" s="198"/>
      <c r="FVZ116" s="199"/>
      <c r="FWA116" s="198"/>
      <c r="FWB116" s="199"/>
      <c r="FWC116" s="198"/>
      <c r="FWD116" s="199"/>
      <c r="FWE116" s="198"/>
      <c r="FWF116" s="199"/>
      <c r="FWG116" s="198"/>
      <c r="FWH116" s="199"/>
      <c r="FWI116" s="198"/>
      <c r="FWJ116" s="199"/>
      <c r="FWK116" s="198"/>
      <c r="FWL116" s="199"/>
      <c r="FWM116" s="198"/>
      <c r="FWN116" s="199"/>
      <c r="FWO116" s="198"/>
      <c r="FWP116" s="199"/>
      <c r="FWQ116" s="198"/>
      <c r="FWR116" s="199"/>
      <c r="FWS116" s="198"/>
      <c r="FWT116" s="199"/>
      <c r="FWU116" s="198"/>
      <c r="FWV116" s="199"/>
      <c r="FWW116" s="198"/>
      <c r="FWX116" s="199"/>
      <c r="FWY116" s="198"/>
      <c r="FWZ116" s="199"/>
      <c r="FXA116" s="198"/>
      <c r="FXB116" s="199"/>
      <c r="FXC116" s="198"/>
      <c r="FXD116" s="199"/>
      <c r="FXE116" s="198"/>
      <c r="FXF116" s="199"/>
      <c r="FXG116" s="198"/>
      <c r="FXH116" s="199"/>
      <c r="FXI116" s="198"/>
      <c r="FXJ116" s="199"/>
      <c r="FXK116" s="198"/>
      <c r="FXL116" s="199"/>
      <c r="FXM116" s="198"/>
      <c r="FXN116" s="199"/>
      <c r="FXO116" s="198"/>
      <c r="FXP116" s="199"/>
      <c r="FXQ116" s="198"/>
      <c r="FXR116" s="199"/>
      <c r="FXS116" s="198"/>
      <c r="FXT116" s="199"/>
      <c r="FXU116" s="198"/>
      <c r="FXV116" s="199"/>
      <c r="FXW116" s="198"/>
      <c r="FXX116" s="199"/>
      <c r="FXY116" s="198"/>
      <c r="FXZ116" s="199"/>
      <c r="FYA116" s="198"/>
      <c r="FYB116" s="199"/>
      <c r="FYC116" s="198"/>
      <c r="FYD116" s="199"/>
      <c r="FYE116" s="198"/>
      <c r="FYF116" s="199"/>
      <c r="FYG116" s="198"/>
      <c r="FYH116" s="199"/>
      <c r="FYI116" s="198"/>
      <c r="FYJ116" s="199"/>
      <c r="FYK116" s="198"/>
      <c r="FYL116" s="199"/>
      <c r="FYM116" s="198"/>
      <c r="FYN116" s="199"/>
      <c r="FYO116" s="198"/>
      <c r="FYP116" s="199"/>
      <c r="FYQ116" s="198"/>
      <c r="FYR116" s="199"/>
      <c r="FYS116" s="198"/>
      <c r="FYT116" s="199"/>
      <c r="FYU116" s="198"/>
      <c r="FYV116" s="199"/>
      <c r="FYW116" s="198"/>
      <c r="FYX116" s="199"/>
      <c r="FYY116" s="198"/>
      <c r="FYZ116" s="199"/>
      <c r="FZA116" s="198"/>
      <c r="FZB116" s="199"/>
      <c r="FZC116" s="198"/>
      <c r="FZD116" s="199"/>
      <c r="FZE116" s="198"/>
      <c r="FZF116" s="199"/>
      <c r="FZG116" s="198"/>
      <c r="FZH116" s="199"/>
      <c r="FZI116" s="198"/>
      <c r="FZJ116" s="199"/>
      <c r="FZK116" s="198"/>
      <c r="FZL116" s="199"/>
      <c r="FZM116" s="198"/>
      <c r="FZN116" s="199"/>
      <c r="FZO116" s="198"/>
      <c r="FZP116" s="199"/>
      <c r="FZQ116" s="198"/>
      <c r="FZR116" s="199"/>
      <c r="FZS116" s="198"/>
      <c r="FZT116" s="199"/>
      <c r="FZU116" s="198"/>
      <c r="FZV116" s="199"/>
      <c r="FZW116" s="198"/>
      <c r="FZX116" s="199"/>
      <c r="FZY116" s="198"/>
      <c r="FZZ116" s="199"/>
      <c r="GAA116" s="198"/>
      <c r="GAB116" s="199"/>
      <c r="GAC116" s="198"/>
      <c r="GAD116" s="199"/>
      <c r="GAE116" s="198"/>
      <c r="GAF116" s="199"/>
      <c r="GAG116" s="198"/>
      <c r="GAH116" s="199"/>
      <c r="GAI116" s="198"/>
      <c r="GAJ116" s="199"/>
      <c r="GAK116" s="198"/>
      <c r="GAL116" s="199"/>
      <c r="GAM116" s="198"/>
      <c r="GAN116" s="199"/>
      <c r="GAO116" s="198"/>
      <c r="GAP116" s="199"/>
      <c r="GAQ116" s="198"/>
      <c r="GAR116" s="199"/>
      <c r="GAS116" s="198"/>
      <c r="GAT116" s="199"/>
      <c r="GAU116" s="198"/>
      <c r="GAV116" s="199"/>
      <c r="GAW116" s="198"/>
      <c r="GAX116" s="199"/>
      <c r="GAY116" s="198"/>
      <c r="GAZ116" s="199"/>
      <c r="GBA116" s="198"/>
      <c r="GBB116" s="199"/>
      <c r="GBC116" s="198"/>
      <c r="GBD116" s="199"/>
      <c r="GBE116" s="198"/>
      <c r="GBF116" s="199"/>
      <c r="GBG116" s="198"/>
      <c r="GBH116" s="199"/>
      <c r="GBI116" s="198"/>
      <c r="GBJ116" s="199"/>
      <c r="GBK116" s="198"/>
      <c r="GBL116" s="199"/>
      <c r="GBM116" s="198"/>
      <c r="GBN116" s="199"/>
      <c r="GBO116" s="198"/>
      <c r="GBP116" s="199"/>
      <c r="GBQ116" s="198"/>
      <c r="GBR116" s="199"/>
      <c r="GBS116" s="198"/>
      <c r="GBT116" s="199"/>
      <c r="GBU116" s="198"/>
      <c r="GBV116" s="199"/>
      <c r="GBW116" s="198"/>
      <c r="GBX116" s="199"/>
      <c r="GBY116" s="198"/>
      <c r="GBZ116" s="199"/>
      <c r="GCA116" s="198"/>
      <c r="GCB116" s="199"/>
      <c r="GCC116" s="198"/>
      <c r="GCD116" s="199"/>
      <c r="GCE116" s="198"/>
      <c r="GCF116" s="199"/>
      <c r="GCG116" s="198"/>
      <c r="GCH116" s="199"/>
      <c r="GCI116" s="198"/>
      <c r="GCJ116" s="199"/>
      <c r="GCK116" s="198"/>
      <c r="GCL116" s="199"/>
      <c r="GCM116" s="198"/>
      <c r="GCN116" s="199"/>
      <c r="GCO116" s="198"/>
      <c r="GCP116" s="199"/>
      <c r="GCQ116" s="198"/>
      <c r="GCR116" s="199"/>
      <c r="GCS116" s="198"/>
      <c r="GCT116" s="199"/>
      <c r="GCU116" s="198"/>
      <c r="GCV116" s="199"/>
      <c r="GCW116" s="198"/>
      <c r="GCX116" s="199"/>
      <c r="GCY116" s="198"/>
      <c r="GCZ116" s="199"/>
      <c r="GDA116" s="198"/>
      <c r="GDB116" s="199"/>
      <c r="GDC116" s="198"/>
      <c r="GDD116" s="199"/>
      <c r="GDE116" s="198"/>
      <c r="GDF116" s="199"/>
      <c r="GDG116" s="198"/>
      <c r="GDH116" s="199"/>
      <c r="GDI116" s="198"/>
      <c r="GDJ116" s="199"/>
      <c r="GDK116" s="198"/>
      <c r="GDL116" s="199"/>
      <c r="GDM116" s="198"/>
      <c r="GDN116" s="199"/>
      <c r="GDO116" s="198"/>
      <c r="GDP116" s="199"/>
      <c r="GDQ116" s="198"/>
      <c r="GDR116" s="199"/>
      <c r="GDS116" s="198"/>
      <c r="GDT116" s="199"/>
      <c r="GDU116" s="198"/>
      <c r="GDV116" s="199"/>
      <c r="GDW116" s="198"/>
      <c r="GDX116" s="199"/>
      <c r="GDY116" s="198"/>
      <c r="GDZ116" s="199"/>
      <c r="GEA116" s="198"/>
      <c r="GEB116" s="199"/>
      <c r="GEC116" s="198"/>
      <c r="GED116" s="199"/>
      <c r="GEE116" s="198"/>
      <c r="GEF116" s="199"/>
      <c r="GEG116" s="198"/>
      <c r="GEH116" s="199"/>
      <c r="GEI116" s="198"/>
      <c r="GEJ116" s="199"/>
      <c r="GEK116" s="198"/>
      <c r="GEL116" s="199"/>
      <c r="GEM116" s="198"/>
      <c r="GEN116" s="199"/>
      <c r="GEO116" s="198"/>
      <c r="GEP116" s="199"/>
      <c r="GEQ116" s="198"/>
      <c r="GER116" s="199"/>
      <c r="GES116" s="198"/>
      <c r="GET116" s="199"/>
      <c r="GEU116" s="198"/>
      <c r="GEV116" s="199"/>
      <c r="GEW116" s="198"/>
      <c r="GEX116" s="199"/>
      <c r="GEY116" s="198"/>
      <c r="GEZ116" s="199"/>
      <c r="GFA116" s="198"/>
      <c r="GFB116" s="199"/>
      <c r="GFC116" s="198"/>
      <c r="GFD116" s="199"/>
      <c r="GFE116" s="198"/>
      <c r="GFF116" s="199"/>
      <c r="GFG116" s="198"/>
      <c r="GFH116" s="199"/>
      <c r="GFI116" s="198"/>
      <c r="GFJ116" s="199"/>
      <c r="GFK116" s="198"/>
      <c r="GFL116" s="199"/>
      <c r="GFM116" s="198"/>
      <c r="GFN116" s="199"/>
      <c r="GFO116" s="198"/>
      <c r="GFP116" s="199"/>
      <c r="GFQ116" s="198"/>
      <c r="GFR116" s="199"/>
      <c r="GFS116" s="198"/>
      <c r="GFT116" s="199"/>
      <c r="GFU116" s="198"/>
      <c r="GFV116" s="199"/>
      <c r="GFW116" s="198"/>
      <c r="GFX116" s="199"/>
      <c r="GFY116" s="198"/>
      <c r="GFZ116" s="199"/>
      <c r="GGA116" s="198"/>
      <c r="GGB116" s="199"/>
      <c r="GGC116" s="198"/>
      <c r="GGD116" s="199"/>
      <c r="GGE116" s="198"/>
      <c r="GGF116" s="199"/>
      <c r="GGG116" s="198"/>
      <c r="GGH116" s="199"/>
      <c r="GGI116" s="198"/>
      <c r="GGJ116" s="199"/>
      <c r="GGK116" s="198"/>
      <c r="GGL116" s="199"/>
      <c r="GGM116" s="198"/>
      <c r="GGN116" s="199"/>
      <c r="GGO116" s="198"/>
      <c r="GGP116" s="199"/>
      <c r="GGQ116" s="198"/>
      <c r="GGR116" s="199"/>
      <c r="GGS116" s="198"/>
      <c r="GGT116" s="199"/>
      <c r="GGU116" s="198"/>
      <c r="GGV116" s="199"/>
      <c r="GGW116" s="198"/>
      <c r="GGX116" s="199"/>
      <c r="GGY116" s="198"/>
      <c r="GGZ116" s="199"/>
      <c r="GHA116" s="198"/>
      <c r="GHB116" s="199"/>
      <c r="GHC116" s="198"/>
      <c r="GHD116" s="199"/>
      <c r="GHE116" s="198"/>
      <c r="GHF116" s="199"/>
      <c r="GHG116" s="198"/>
      <c r="GHH116" s="199"/>
      <c r="GHI116" s="198"/>
      <c r="GHJ116" s="199"/>
      <c r="GHK116" s="198"/>
      <c r="GHL116" s="199"/>
      <c r="GHM116" s="198"/>
      <c r="GHN116" s="199"/>
      <c r="GHO116" s="198"/>
      <c r="GHP116" s="199"/>
      <c r="GHQ116" s="198"/>
      <c r="GHR116" s="199"/>
      <c r="GHS116" s="198"/>
      <c r="GHT116" s="199"/>
      <c r="GHU116" s="198"/>
      <c r="GHV116" s="199"/>
      <c r="GHW116" s="198"/>
      <c r="GHX116" s="199"/>
      <c r="GHY116" s="198"/>
      <c r="GHZ116" s="199"/>
      <c r="GIA116" s="198"/>
      <c r="GIB116" s="199"/>
      <c r="GIC116" s="198"/>
      <c r="GID116" s="199"/>
      <c r="GIE116" s="198"/>
      <c r="GIF116" s="199"/>
      <c r="GIG116" s="198"/>
      <c r="GIH116" s="199"/>
      <c r="GII116" s="198"/>
      <c r="GIJ116" s="199"/>
      <c r="GIK116" s="198"/>
      <c r="GIL116" s="199"/>
      <c r="GIM116" s="198"/>
      <c r="GIN116" s="199"/>
      <c r="GIO116" s="198"/>
      <c r="GIP116" s="199"/>
      <c r="GIQ116" s="198"/>
      <c r="GIR116" s="199"/>
      <c r="GIS116" s="198"/>
      <c r="GIT116" s="199"/>
      <c r="GIU116" s="198"/>
      <c r="GIV116" s="199"/>
      <c r="GIW116" s="198"/>
      <c r="GIX116" s="199"/>
      <c r="GIY116" s="198"/>
      <c r="GIZ116" s="199"/>
      <c r="GJA116" s="198"/>
      <c r="GJB116" s="199"/>
      <c r="GJC116" s="198"/>
      <c r="GJD116" s="199"/>
      <c r="GJE116" s="198"/>
      <c r="GJF116" s="199"/>
      <c r="GJG116" s="198"/>
      <c r="GJH116" s="199"/>
      <c r="GJI116" s="198"/>
      <c r="GJJ116" s="199"/>
      <c r="GJK116" s="198"/>
      <c r="GJL116" s="199"/>
      <c r="GJM116" s="198"/>
      <c r="GJN116" s="199"/>
      <c r="GJO116" s="198"/>
      <c r="GJP116" s="199"/>
      <c r="GJQ116" s="198"/>
      <c r="GJR116" s="199"/>
      <c r="GJS116" s="198"/>
      <c r="GJT116" s="199"/>
      <c r="GJU116" s="198"/>
      <c r="GJV116" s="199"/>
      <c r="GJW116" s="198"/>
      <c r="GJX116" s="199"/>
      <c r="GJY116" s="198"/>
      <c r="GJZ116" s="199"/>
      <c r="GKA116" s="198"/>
      <c r="GKB116" s="199"/>
      <c r="GKC116" s="198"/>
      <c r="GKD116" s="199"/>
      <c r="GKE116" s="198"/>
      <c r="GKF116" s="199"/>
      <c r="GKG116" s="198"/>
      <c r="GKH116" s="199"/>
      <c r="GKI116" s="198"/>
      <c r="GKJ116" s="199"/>
      <c r="GKK116" s="198"/>
      <c r="GKL116" s="199"/>
      <c r="GKM116" s="198"/>
      <c r="GKN116" s="199"/>
      <c r="GKO116" s="198"/>
      <c r="GKP116" s="199"/>
      <c r="GKQ116" s="198"/>
      <c r="GKR116" s="199"/>
      <c r="GKS116" s="198"/>
      <c r="GKT116" s="199"/>
      <c r="GKU116" s="198"/>
      <c r="GKV116" s="199"/>
      <c r="GKW116" s="198"/>
      <c r="GKX116" s="199"/>
      <c r="GKY116" s="198"/>
      <c r="GKZ116" s="199"/>
      <c r="GLA116" s="198"/>
      <c r="GLB116" s="199"/>
      <c r="GLC116" s="198"/>
      <c r="GLD116" s="199"/>
      <c r="GLE116" s="198"/>
      <c r="GLF116" s="199"/>
      <c r="GLG116" s="198"/>
      <c r="GLH116" s="199"/>
      <c r="GLI116" s="198"/>
      <c r="GLJ116" s="199"/>
      <c r="GLK116" s="198"/>
      <c r="GLL116" s="199"/>
      <c r="GLM116" s="198"/>
      <c r="GLN116" s="199"/>
      <c r="GLO116" s="198"/>
      <c r="GLP116" s="199"/>
      <c r="GLQ116" s="198"/>
      <c r="GLR116" s="199"/>
      <c r="GLS116" s="198"/>
      <c r="GLT116" s="199"/>
      <c r="GLU116" s="198"/>
      <c r="GLV116" s="199"/>
      <c r="GLW116" s="198"/>
      <c r="GLX116" s="199"/>
      <c r="GLY116" s="198"/>
      <c r="GLZ116" s="199"/>
      <c r="GMA116" s="198"/>
      <c r="GMB116" s="199"/>
      <c r="GMC116" s="198"/>
      <c r="GMD116" s="199"/>
      <c r="GME116" s="198"/>
      <c r="GMF116" s="199"/>
      <c r="GMG116" s="198"/>
      <c r="GMH116" s="199"/>
      <c r="GMI116" s="198"/>
      <c r="GMJ116" s="199"/>
      <c r="GMK116" s="198"/>
      <c r="GML116" s="199"/>
      <c r="GMM116" s="198"/>
      <c r="GMN116" s="199"/>
      <c r="GMO116" s="198"/>
      <c r="GMP116" s="199"/>
      <c r="GMQ116" s="198"/>
      <c r="GMR116" s="199"/>
      <c r="GMS116" s="198"/>
      <c r="GMT116" s="199"/>
      <c r="GMU116" s="198"/>
      <c r="GMV116" s="199"/>
      <c r="GMW116" s="198"/>
      <c r="GMX116" s="199"/>
      <c r="GMY116" s="198"/>
      <c r="GMZ116" s="199"/>
      <c r="GNA116" s="198"/>
      <c r="GNB116" s="199"/>
      <c r="GNC116" s="198"/>
      <c r="GND116" s="199"/>
      <c r="GNE116" s="198"/>
      <c r="GNF116" s="199"/>
      <c r="GNG116" s="198"/>
      <c r="GNH116" s="199"/>
      <c r="GNI116" s="198"/>
      <c r="GNJ116" s="199"/>
      <c r="GNK116" s="198"/>
      <c r="GNL116" s="199"/>
      <c r="GNM116" s="198"/>
      <c r="GNN116" s="199"/>
      <c r="GNO116" s="198"/>
      <c r="GNP116" s="199"/>
      <c r="GNQ116" s="198"/>
      <c r="GNR116" s="199"/>
      <c r="GNS116" s="198"/>
      <c r="GNT116" s="199"/>
      <c r="GNU116" s="198"/>
      <c r="GNV116" s="199"/>
      <c r="GNW116" s="198"/>
      <c r="GNX116" s="199"/>
      <c r="GNY116" s="198"/>
      <c r="GNZ116" s="199"/>
      <c r="GOA116" s="198"/>
      <c r="GOB116" s="199"/>
      <c r="GOC116" s="198"/>
      <c r="GOD116" s="199"/>
      <c r="GOE116" s="198"/>
      <c r="GOF116" s="199"/>
      <c r="GOG116" s="198"/>
      <c r="GOH116" s="199"/>
      <c r="GOI116" s="198"/>
      <c r="GOJ116" s="199"/>
      <c r="GOK116" s="198"/>
      <c r="GOL116" s="199"/>
      <c r="GOM116" s="198"/>
      <c r="GON116" s="199"/>
      <c r="GOO116" s="198"/>
      <c r="GOP116" s="199"/>
      <c r="GOQ116" s="198"/>
      <c r="GOR116" s="199"/>
      <c r="GOS116" s="198"/>
      <c r="GOT116" s="199"/>
      <c r="GOU116" s="198"/>
      <c r="GOV116" s="199"/>
      <c r="GOW116" s="198"/>
      <c r="GOX116" s="199"/>
      <c r="GOY116" s="198"/>
      <c r="GOZ116" s="199"/>
      <c r="GPA116" s="198"/>
      <c r="GPB116" s="199"/>
      <c r="GPC116" s="198"/>
      <c r="GPD116" s="199"/>
      <c r="GPE116" s="198"/>
      <c r="GPF116" s="199"/>
      <c r="GPG116" s="198"/>
      <c r="GPH116" s="199"/>
      <c r="GPI116" s="198"/>
      <c r="GPJ116" s="199"/>
      <c r="GPK116" s="198"/>
      <c r="GPL116" s="199"/>
      <c r="GPM116" s="198"/>
      <c r="GPN116" s="199"/>
      <c r="GPO116" s="198"/>
      <c r="GPP116" s="199"/>
      <c r="GPQ116" s="198"/>
      <c r="GPR116" s="199"/>
      <c r="GPS116" s="198"/>
      <c r="GPT116" s="199"/>
      <c r="GPU116" s="198"/>
      <c r="GPV116" s="199"/>
      <c r="GPW116" s="198"/>
      <c r="GPX116" s="199"/>
      <c r="GPY116" s="198"/>
      <c r="GPZ116" s="199"/>
      <c r="GQA116" s="198"/>
      <c r="GQB116" s="199"/>
      <c r="GQC116" s="198"/>
      <c r="GQD116" s="199"/>
      <c r="GQE116" s="198"/>
      <c r="GQF116" s="199"/>
      <c r="GQG116" s="198"/>
      <c r="GQH116" s="199"/>
      <c r="GQI116" s="198"/>
      <c r="GQJ116" s="199"/>
      <c r="GQK116" s="198"/>
      <c r="GQL116" s="199"/>
      <c r="GQM116" s="198"/>
      <c r="GQN116" s="199"/>
      <c r="GQO116" s="198"/>
      <c r="GQP116" s="199"/>
      <c r="GQQ116" s="198"/>
      <c r="GQR116" s="199"/>
      <c r="GQS116" s="198"/>
      <c r="GQT116" s="199"/>
      <c r="GQU116" s="198"/>
      <c r="GQV116" s="199"/>
      <c r="GQW116" s="198"/>
      <c r="GQX116" s="199"/>
      <c r="GQY116" s="198"/>
      <c r="GQZ116" s="199"/>
      <c r="GRA116" s="198"/>
      <c r="GRB116" s="199"/>
      <c r="GRC116" s="198"/>
      <c r="GRD116" s="199"/>
      <c r="GRE116" s="198"/>
      <c r="GRF116" s="199"/>
      <c r="GRG116" s="198"/>
      <c r="GRH116" s="199"/>
      <c r="GRI116" s="198"/>
      <c r="GRJ116" s="199"/>
      <c r="GRK116" s="198"/>
      <c r="GRL116" s="199"/>
      <c r="GRM116" s="198"/>
      <c r="GRN116" s="199"/>
      <c r="GRO116" s="198"/>
      <c r="GRP116" s="199"/>
      <c r="GRQ116" s="198"/>
      <c r="GRR116" s="199"/>
      <c r="GRS116" s="198"/>
      <c r="GRT116" s="199"/>
      <c r="GRU116" s="198"/>
      <c r="GRV116" s="199"/>
      <c r="GRW116" s="198"/>
      <c r="GRX116" s="199"/>
      <c r="GRY116" s="198"/>
      <c r="GRZ116" s="199"/>
      <c r="GSA116" s="198"/>
      <c r="GSB116" s="199"/>
      <c r="GSC116" s="198"/>
      <c r="GSD116" s="199"/>
      <c r="GSE116" s="198"/>
      <c r="GSF116" s="199"/>
      <c r="GSG116" s="198"/>
      <c r="GSH116" s="199"/>
      <c r="GSI116" s="198"/>
      <c r="GSJ116" s="199"/>
      <c r="GSK116" s="198"/>
      <c r="GSL116" s="199"/>
      <c r="GSM116" s="198"/>
      <c r="GSN116" s="199"/>
      <c r="GSO116" s="198"/>
      <c r="GSP116" s="199"/>
      <c r="GSQ116" s="198"/>
      <c r="GSR116" s="199"/>
      <c r="GSS116" s="198"/>
      <c r="GST116" s="199"/>
      <c r="GSU116" s="198"/>
      <c r="GSV116" s="199"/>
      <c r="GSW116" s="198"/>
      <c r="GSX116" s="199"/>
      <c r="GSY116" s="198"/>
      <c r="GSZ116" s="199"/>
      <c r="GTA116" s="198"/>
      <c r="GTB116" s="199"/>
      <c r="GTC116" s="198"/>
      <c r="GTD116" s="199"/>
      <c r="GTE116" s="198"/>
      <c r="GTF116" s="199"/>
      <c r="GTG116" s="198"/>
      <c r="GTH116" s="199"/>
      <c r="GTI116" s="198"/>
      <c r="GTJ116" s="199"/>
      <c r="GTK116" s="198"/>
      <c r="GTL116" s="199"/>
      <c r="GTM116" s="198"/>
      <c r="GTN116" s="199"/>
      <c r="GTO116" s="198"/>
      <c r="GTP116" s="199"/>
      <c r="GTQ116" s="198"/>
      <c r="GTR116" s="199"/>
      <c r="GTS116" s="198"/>
      <c r="GTT116" s="199"/>
      <c r="GTU116" s="198"/>
      <c r="GTV116" s="199"/>
      <c r="GTW116" s="198"/>
      <c r="GTX116" s="199"/>
      <c r="GTY116" s="198"/>
      <c r="GTZ116" s="199"/>
      <c r="GUA116" s="198"/>
      <c r="GUB116" s="199"/>
      <c r="GUC116" s="198"/>
      <c r="GUD116" s="199"/>
      <c r="GUE116" s="198"/>
      <c r="GUF116" s="199"/>
      <c r="GUG116" s="198"/>
      <c r="GUH116" s="199"/>
      <c r="GUI116" s="198"/>
      <c r="GUJ116" s="199"/>
      <c r="GUK116" s="198"/>
      <c r="GUL116" s="199"/>
      <c r="GUM116" s="198"/>
      <c r="GUN116" s="199"/>
      <c r="GUO116" s="198"/>
      <c r="GUP116" s="199"/>
      <c r="GUQ116" s="198"/>
      <c r="GUR116" s="199"/>
      <c r="GUS116" s="198"/>
      <c r="GUT116" s="199"/>
      <c r="GUU116" s="198"/>
      <c r="GUV116" s="199"/>
      <c r="GUW116" s="198"/>
      <c r="GUX116" s="199"/>
      <c r="GUY116" s="198"/>
      <c r="GUZ116" s="199"/>
      <c r="GVA116" s="198"/>
      <c r="GVB116" s="199"/>
      <c r="GVC116" s="198"/>
      <c r="GVD116" s="199"/>
      <c r="GVE116" s="198"/>
      <c r="GVF116" s="199"/>
      <c r="GVG116" s="198"/>
      <c r="GVH116" s="199"/>
      <c r="GVI116" s="198"/>
      <c r="GVJ116" s="199"/>
      <c r="GVK116" s="198"/>
      <c r="GVL116" s="199"/>
      <c r="GVM116" s="198"/>
      <c r="GVN116" s="199"/>
      <c r="GVO116" s="198"/>
      <c r="GVP116" s="199"/>
      <c r="GVQ116" s="198"/>
      <c r="GVR116" s="199"/>
      <c r="GVS116" s="198"/>
      <c r="GVT116" s="199"/>
      <c r="GVU116" s="198"/>
      <c r="GVV116" s="199"/>
      <c r="GVW116" s="198"/>
      <c r="GVX116" s="199"/>
      <c r="GVY116" s="198"/>
      <c r="GVZ116" s="199"/>
      <c r="GWA116" s="198"/>
      <c r="GWB116" s="199"/>
      <c r="GWC116" s="198"/>
      <c r="GWD116" s="199"/>
      <c r="GWE116" s="198"/>
      <c r="GWF116" s="199"/>
      <c r="GWG116" s="198"/>
      <c r="GWH116" s="199"/>
      <c r="GWI116" s="198"/>
      <c r="GWJ116" s="199"/>
      <c r="GWK116" s="198"/>
      <c r="GWL116" s="199"/>
      <c r="GWM116" s="198"/>
      <c r="GWN116" s="199"/>
      <c r="GWO116" s="198"/>
      <c r="GWP116" s="199"/>
      <c r="GWQ116" s="198"/>
      <c r="GWR116" s="199"/>
      <c r="GWS116" s="198"/>
      <c r="GWT116" s="199"/>
      <c r="GWU116" s="198"/>
      <c r="GWV116" s="199"/>
      <c r="GWW116" s="198"/>
      <c r="GWX116" s="199"/>
      <c r="GWY116" s="198"/>
      <c r="GWZ116" s="199"/>
      <c r="GXA116" s="198"/>
      <c r="GXB116" s="199"/>
      <c r="GXC116" s="198"/>
      <c r="GXD116" s="199"/>
      <c r="GXE116" s="198"/>
      <c r="GXF116" s="199"/>
      <c r="GXG116" s="198"/>
      <c r="GXH116" s="199"/>
      <c r="GXI116" s="198"/>
      <c r="GXJ116" s="199"/>
      <c r="GXK116" s="198"/>
      <c r="GXL116" s="199"/>
      <c r="GXM116" s="198"/>
      <c r="GXN116" s="199"/>
      <c r="GXO116" s="198"/>
      <c r="GXP116" s="199"/>
      <c r="GXQ116" s="198"/>
      <c r="GXR116" s="199"/>
      <c r="GXS116" s="198"/>
      <c r="GXT116" s="199"/>
      <c r="GXU116" s="198"/>
      <c r="GXV116" s="199"/>
      <c r="GXW116" s="198"/>
      <c r="GXX116" s="199"/>
      <c r="GXY116" s="198"/>
      <c r="GXZ116" s="199"/>
      <c r="GYA116" s="198"/>
      <c r="GYB116" s="199"/>
      <c r="GYC116" s="198"/>
      <c r="GYD116" s="199"/>
      <c r="GYE116" s="198"/>
      <c r="GYF116" s="199"/>
      <c r="GYG116" s="198"/>
      <c r="GYH116" s="199"/>
      <c r="GYI116" s="198"/>
      <c r="GYJ116" s="199"/>
      <c r="GYK116" s="198"/>
      <c r="GYL116" s="199"/>
      <c r="GYM116" s="198"/>
      <c r="GYN116" s="199"/>
      <c r="GYO116" s="198"/>
      <c r="GYP116" s="199"/>
      <c r="GYQ116" s="198"/>
      <c r="GYR116" s="199"/>
      <c r="GYS116" s="198"/>
      <c r="GYT116" s="199"/>
      <c r="GYU116" s="198"/>
      <c r="GYV116" s="199"/>
      <c r="GYW116" s="198"/>
      <c r="GYX116" s="199"/>
      <c r="GYY116" s="198"/>
      <c r="GYZ116" s="199"/>
      <c r="GZA116" s="198"/>
      <c r="GZB116" s="199"/>
      <c r="GZC116" s="198"/>
      <c r="GZD116" s="199"/>
      <c r="GZE116" s="198"/>
      <c r="GZF116" s="199"/>
      <c r="GZG116" s="198"/>
      <c r="GZH116" s="199"/>
      <c r="GZI116" s="198"/>
      <c r="GZJ116" s="199"/>
      <c r="GZK116" s="198"/>
      <c r="GZL116" s="199"/>
      <c r="GZM116" s="198"/>
      <c r="GZN116" s="199"/>
      <c r="GZO116" s="198"/>
      <c r="GZP116" s="199"/>
      <c r="GZQ116" s="198"/>
      <c r="GZR116" s="199"/>
      <c r="GZS116" s="198"/>
      <c r="GZT116" s="199"/>
      <c r="GZU116" s="198"/>
      <c r="GZV116" s="199"/>
      <c r="GZW116" s="198"/>
      <c r="GZX116" s="199"/>
      <c r="GZY116" s="198"/>
      <c r="GZZ116" s="199"/>
      <c r="HAA116" s="198"/>
      <c r="HAB116" s="199"/>
      <c r="HAC116" s="198"/>
      <c r="HAD116" s="199"/>
      <c r="HAE116" s="198"/>
      <c r="HAF116" s="199"/>
      <c r="HAG116" s="198"/>
      <c r="HAH116" s="199"/>
      <c r="HAI116" s="198"/>
      <c r="HAJ116" s="199"/>
      <c r="HAK116" s="198"/>
      <c r="HAL116" s="199"/>
      <c r="HAM116" s="198"/>
      <c r="HAN116" s="199"/>
      <c r="HAO116" s="198"/>
      <c r="HAP116" s="199"/>
      <c r="HAQ116" s="198"/>
      <c r="HAR116" s="199"/>
      <c r="HAS116" s="198"/>
      <c r="HAT116" s="199"/>
      <c r="HAU116" s="198"/>
      <c r="HAV116" s="199"/>
      <c r="HAW116" s="198"/>
      <c r="HAX116" s="199"/>
      <c r="HAY116" s="198"/>
      <c r="HAZ116" s="199"/>
      <c r="HBA116" s="198"/>
      <c r="HBB116" s="199"/>
      <c r="HBC116" s="198"/>
      <c r="HBD116" s="199"/>
      <c r="HBE116" s="198"/>
      <c r="HBF116" s="199"/>
      <c r="HBG116" s="198"/>
      <c r="HBH116" s="199"/>
      <c r="HBI116" s="198"/>
      <c r="HBJ116" s="199"/>
      <c r="HBK116" s="198"/>
      <c r="HBL116" s="199"/>
      <c r="HBM116" s="198"/>
      <c r="HBN116" s="199"/>
      <c r="HBO116" s="198"/>
      <c r="HBP116" s="199"/>
      <c r="HBQ116" s="198"/>
      <c r="HBR116" s="199"/>
      <c r="HBS116" s="198"/>
      <c r="HBT116" s="199"/>
      <c r="HBU116" s="198"/>
      <c r="HBV116" s="199"/>
      <c r="HBW116" s="198"/>
      <c r="HBX116" s="199"/>
      <c r="HBY116" s="198"/>
      <c r="HBZ116" s="199"/>
      <c r="HCA116" s="198"/>
      <c r="HCB116" s="199"/>
      <c r="HCC116" s="198"/>
      <c r="HCD116" s="199"/>
      <c r="HCE116" s="198"/>
      <c r="HCF116" s="199"/>
      <c r="HCG116" s="198"/>
      <c r="HCH116" s="199"/>
      <c r="HCI116" s="198"/>
      <c r="HCJ116" s="199"/>
      <c r="HCK116" s="198"/>
      <c r="HCL116" s="199"/>
      <c r="HCM116" s="198"/>
      <c r="HCN116" s="199"/>
      <c r="HCO116" s="198"/>
      <c r="HCP116" s="199"/>
      <c r="HCQ116" s="198"/>
      <c r="HCR116" s="199"/>
      <c r="HCS116" s="198"/>
      <c r="HCT116" s="199"/>
      <c r="HCU116" s="198"/>
      <c r="HCV116" s="199"/>
      <c r="HCW116" s="198"/>
      <c r="HCX116" s="199"/>
      <c r="HCY116" s="198"/>
      <c r="HCZ116" s="199"/>
      <c r="HDA116" s="198"/>
      <c r="HDB116" s="199"/>
      <c r="HDC116" s="198"/>
      <c r="HDD116" s="199"/>
      <c r="HDE116" s="198"/>
      <c r="HDF116" s="199"/>
      <c r="HDG116" s="198"/>
      <c r="HDH116" s="199"/>
      <c r="HDI116" s="198"/>
      <c r="HDJ116" s="199"/>
      <c r="HDK116" s="198"/>
      <c r="HDL116" s="199"/>
      <c r="HDM116" s="198"/>
      <c r="HDN116" s="199"/>
      <c r="HDO116" s="198"/>
      <c r="HDP116" s="199"/>
      <c r="HDQ116" s="198"/>
      <c r="HDR116" s="199"/>
      <c r="HDS116" s="198"/>
      <c r="HDT116" s="199"/>
      <c r="HDU116" s="198"/>
      <c r="HDV116" s="199"/>
      <c r="HDW116" s="198"/>
      <c r="HDX116" s="199"/>
      <c r="HDY116" s="198"/>
      <c r="HDZ116" s="199"/>
      <c r="HEA116" s="198"/>
      <c r="HEB116" s="199"/>
      <c r="HEC116" s="198"/>
      <c r="HED116" s="199"/>
      <c r="HEE116" s="198"/>
      <c r="HEF116" s="199"/>
      <c r="HEG116" s="198"/>
      <c r="HEH116" s="199"/>
      <c r="HEI116" s="198"/>
      <c r="HEJ116" s="199"/>
      <c r="HEK116" s="198"/>
      <c r="HEL116" s="199"/>
      <c r="HEM116" s="198"/>
      <c r="HEN116" s="199"/>
      <c r="HEO116" s="198"/>
      <c r="HEP116" s="199"/>
      <c r="HEQ116" s="198"/>
      <c r="HER116" s="199"/>
      <c r="HES116" s="198"/>
      <c r="HET116" s="199"/>
      <c r="HEU116" s="198"/>
      <c r="HEV116" s="199"/>
      <c r="HEW116" s="198"/>
      <c r="HEX116" s="199"/>
      <c r="HEY116" s="198"/>
      <c r="HEZ116" s="199"/>
      <c r="HFA116" s="198"/>
      <c r="HFB116" s="199"/>
      <c r="HFC116" s="198"/>
      <c r="HFD116" s="199"/>
      <c r="HFE116" s="198"/>
      <c r="HFF116" s="199"/>
      <c r="HFG116" s="198"/>
      <c r="HFH116" s="199"/>
      <c r="HFI116" s="198"/>
      <c r="HFJ116" s="199"/>
      <c r="HFK116" s="198"/>
      <c r="HFL116" s="199"/>
      <c r="HFM116" s="198"/>
      <c r="HFN116" s="199"/>
      <c r="HFO116" s="198"/>
      <c r="HFP116" s="199"/>
      <c r="HFQ116" s="198"/>
      <c r="HFR116" s="199"/>
      <c r="HFS116" s="198"/>
      <c r="HFT116" s="199"/>
      <c r="HFU116" s="198"/>
      <c r="HFV116" s="199"/>
      <c r="HFW116" s="198"/>
      <c r="HFX116" s="199"/>
      <c r="HFY116" s="198"/>
      <c r="HFZ116" s="199"/>
      <c r="HGA116" s="198"/>
      <c r="HGB116" s="199"/>
      <c r="HGC116" s="198"/>
      <c r="HGD116" s="199"/>
      <c r="HGE116" s="198"/>
      <c r="HGF116" s="199"/>
      <c r="HGG116" s="198"/>
      <c r="HGH116" s="199"/>
      <c r="HGI116" s="198"/>
      <c r="HGJ116" s="199"/>
      <c r="HGK116" s="198"/>
      <c r="HGL116" s="199"/>
      <c r="HGM116" s="198"/>
      <c r="HGN116" s="199"/>
      <c r="HGO116" s="198"/>
      <c r="HGP116" s="199"/>
      <c r="HGQ116" s="198"/>
      <c r="HGR116" s="199"/>
      <c r="HGS116" s="198"/>
      <c r="HGT116" s="199"/>
      <c r="HGU116" s="198"/>
      <c r="HGV116" s="199"/>
      <c r="HGW116" s="198"/>
      <c r="HGX116" s="199"/>
      <c r="HGY116" s="198"/>
      <c r="HGZ116" s="199"/>
      <c r="HHA116" s="198"/>
      <c r="HHB116" s="199"/>
      <c r="HHC116" s="198"/>
      <c r="HHD116" s="199"/>
      <c r="HHE116" s="198"/>
      <c r="HHF116" s="199"/>
      <c r="HHG116" s="198"/>
      <c r="HHH116" s="199"/>
      <c r="HHI116" s="198"/>
      <c r="HHJ116" s="199"/>
      <c r="HHK116" s="198"/>
      <c r="HHL116" s="199"/>
      <c r="HHM116" s="198"/>
      <c r="HHN116" s="199"/>
      <c r="HHO116" s="198"/>
      <c r="HHP116" s="199"/>
      <c r="HHQ116" s="198"/>
      <c r="HHR116" s="199"/>
      <c r="HHS116" s="198"/>
      <c r="HHT116" s="199"/>
      <c r="HHU116" s="198"/>
      <c r="HHV116" s="199"/>
      <c r="HHW116" s="198"/>
      <c r="HHX116" s="199"/>
      <c r="HHY116" s="198"/>
      <c r="HHZ116" s="199"/>
      <c r="HIA116" s="198"/>
      <c r="HIB116" s="199"/>
      <c r="HIC116" s="198"/>
      <c r="HID116" s="199"/>
      <c r="HIE116" s="198"/>
      <c r="HIF116" s="199"/>
      <c r="HIG116" s="198"/>
      <c r="HIH116" s="199"/>
      <c r="HII116" s="198"/>
      <c r="HIJ116" s="199"/>
      <c r="HIK116" s="198"/>
      <c r="HIL116" s="199"/>
      <c r="HIM116" s="198"/>
      <c r="HIN116" s="199"/>
      <c r="HIO116" s="198"/>
      <c r="HIP116" s="199"/>
      <c r="HIQ116" s="198"/>
      <c r="HIR116" s="199"/>
      <c r="HIS116" s="198"/>
      <c r="HIT116" s="199"/>
      <c r="HIU116" s="198"/>
      <c r="HIV116" s="199"/>
      <c r="HIW116" s="198"/>
      <c r="HIX116" s="199"/>
      <c r="HIY116" s="198"/>
      <c r="HIZ116" s="199"/>
      <c r="HJA116" s="198"/>
      <c r="HJB116" s="199"/>
      <c r="HJC116" s="198"/>
      <c r="HJD116" s="199"/>
      <c r="HJE116" s="198"/>
      <c r="HJF116" s="199"/>
      <c r="HJG116" s="198"/>
      <c r="HJH116" s="199"/>
      <c r="HJI116" s="198"/>
      <c r="HJJ116" s="199"/>
      <c r="HJK116" s="198"/>
      <c r="HJL116" s="199"/>
      <c r="HJM116" s="198"/>
      <c r="HJN116" s="199"/>
      <c r="HJO116" s="198"/>
      <c r="HJP116" s="199"/>
      <c r="HJQ116" s="198"/>
      <c r="HJR116" s="199"/>
      <c r="HJS116" s="198"/>
      <c r="HJT116" s="199"/>
      <c r="HJU116" s="198"/>
      <c r="HJV116" s="199"/>
      <c r="HJW116" s="198"/>
      <c r="HJX116" s="199"/>
      <c r="HJY116" s="198"/>
      <c r="HJZ116" s="199"/>
      <c r="HKA116" s="198"/>
      <c r="HKB116" s="199"/>
      <c r="HKC116" s="198"/>
      <c r="HKD116" s="199"/>
      <c r="HKE116" s="198"/>
      <c r="HKF116" s="199"/>
      <c r="HKG116" s="198"/>
      <c r="HKH116" s="199"/>
      <c r="HKI116" s="198"/>
      <c r="HKJ116" s="199"/>
      <c r="HKK116" s="198"/>
      <c r="HKL116" s="199"/>
      <c r="HKM116" s="198"/>
      <c r="HKN116" s="199"/>
      <c r="HKO116" s="198"/>
      <c r="HKP116" s="199"/>
      <c r="HKQ116" s="198"/>
      <c r="HKR116" s="199"/>
      <c r="HKS116" s="198"/>
      <c r="HKT116" s="199"/>
      <c r="HKU116" s="198"/>
      <c r="HKV116" s="199"/>
      <c r="HKW116" s="198"/>
      <c r="HKX116" s="199"/>
      <c r="HKY116" s="198"/>
      <c r="HKZ116" s="199"/>
      <c r="HLA116" s="198"/>
      <c r="HLB116" s="199"/>
      <c r="HLC116" s="198"/>
      <c r="HLD116" s="199"/>
      <c r="HLE116" s="198"/>
      <c r="HLF116" s="199"/>
      <c r="HLG116" s="198"/>
      <c r="HLH116" s="199"/>
      <c r="HLI116" s="198"/>
      <c r="HLJ116" s="199"/>
      <c r="HLK116" s="198"/>
      <c r="HLL116" s="199"/>
      <c r="HLM116" s="198"/>
      <c r="HLN116" s="199"/>
      <c r="HLO116" s="198"/>
      <c r="HLP116" s="199"/>
      <c r="HLQ116" s="198"/>
      <c r="HLR116" s="199"/>
      <c r="HLS116" s="198"/>
      <c r="HLT116" s="199"/>
      <c r="HLU116" s="198"/>
      <c r="HLV116" s="199"/>
      <c r="HLW116" s="198"/>
      <c r="HLX116" s="199"/>
      <c r="HLY116" s="198"/>
      <c r="HLZ116" s="199"/>
      <c r="HMA116" s="198"/>
      <c r="HMB116" s="199"/>
      <c r="HMC116" s="198"/>
      <c r="HMD116" s="199"/>
      <c r="HME116" s="198"/>
      <c r="HMF116" s="199"/>
      <c r="HMG116" s="198"/>
      <c r="HMH116" s="199"/>
      <c r="HMI116" s="198"/>
      <c r="HMJ116" s="199"/>
      <c r="HMK116" s="198"/>
      <c r="HML116" s="199"/>
      <c r="HMM116" s="198"/>
      <c r="HMN116" s="199"/>
      <c r="HMO116" s="198"/>
      <c r="HMP116" s="199"/>
      <c r="HMQ116" s="198"/>
      <c r="HMR116" s="199"/>
      <c r="HMS116" s="198"/>
      <c r="HMT116" s="199"/>
      <c r="HMU116" s="198"/>
      <c r="HMV116" s="199"/>
      <c r="HMW116" s="198"/>
      <c r="HMX116" s="199"/>
      <c r="HMY116" s="198"/>
      <c r="HMZ116" s="199"/>
      <c r="HNA116" s="198"/>
      <c r="HNB116" s="199"/>
      <c r="HNC116" s="198"/>
      <c r="HND116" s="199"/>
      <c r="HNE116" s="198"/>
      <c r="HNF116" s="199"/>
      <c r="HNG116" s="198"/>
      <c r="HNH116" s="199"/>
      <c r="HNI116" s="198"/>
      <c r="HNJ116" s="199"/>
      <c r="HNK116" s="198"/>
      <c r="HNL116" s="199"/>
      <c r="HNM116" s="198"/>
      <c r="HNN116" s="199"/>
      <c r="HNO116" s="198"/>
      <c r="HNP116" s="199"/>
      <c r="HNQ116" s="198"/>
      <c r="HNR116" s="199"/>
      <c r="HNS116" s="198"/>
      <c r="HNT116" s="199"/>
      <c r="HNU116" s="198"/>
      <c r="HNV116" s="199"/>
      <c r="HNW116" s="198"/>
      <c r="HNX116" s="199"/>
      <c r="HNY116" s="198"/>
      <c r="HNZ116" s="199"/>
      <c r="HOA116" s="198"/>
      <c r="HOB116" s="199"/>
      <c r="HOC116" s="198"/>
      <c r="HOD116" s="199"/>
      <c r="HOE116" s="198"/>
      <c r="HOF116" s="199"/>
      <c r="HOG116" s="198"/>
      <c r="HOH116" s="199"/>
      <c r="HOI116" s="198"/>
      <c r="HOJ116" s="199"/>
      <c r="HOK116" s="198"/>
      <c r="HOL116" s="199"/>
      <c r="HOM116" s="198"/>
      <c r="HON116" s="199"/>
      <c r="HOO116" s="198"/>
      <c r="HOP116" s="199"/>
      <c r="HOQ116" s="198"/>
      <c r="HOR116" s="199"/>
      <c r="HOS116" s="198"/>
      <c r="HOT116" s="199"/>
      <c r="HOU116" s="198"/>
      <c r="HOV116" s="199"/>
      <c r="HOW116" s="198"/>
      <c r="HOX116" s="199"/>
      <c r="HOY116" s="198"/>
      <c r="HOZ116" s="199"/>
      <c r="HPA116" s="198"/>
      <c r="HPB116" s="199"/>
      <c r="HPC116" s="198"/>
      <c r="HPD116" s="199"/>
      <c r="HPE116" s="198"/>
      <c r="HPF116" s="199"/>
      <c r="HPG116" s="198"/>
      <c r="HPH116" s="199"/>
      <c r="HPI116" s="198"/>
      <c r="HPJ116" s="199"/>
      <c r="HPK116" s="198"/>
      <c r="HPL116" s="199"/>
      <c r="HPM116" s="198"/>
      <c r="HPN116" s="199"/>
      <c r="HPO116" s="198"/>
      <c r="HPP116" s="199"/>
      <c r="HPQ116" s="198"/>
      <c r="HPR116" s="199"/>
      <c r="HPS116" s="198"/>
      <c r="HPT116" s="199"/>
      <c r="HPU116" s="198"/>
      <c r="HPV116" s="199"/>
      <c r="HPW116" s="198"/>
      <c r="HPX116" s="199"/>
      <c r="HPY116" s="198"/>
      <c r="HPZ116" s="199"/>
      <c r="HQA116" s="198"/>
      <c r="HQB116" s="199"/>
      <c r="HQC116" s="198"/>
      <c r="HQD116" s="199"/>
      <c r="HQE116" s="198"/>
      <c r="HQF116" s="199"/>
      <c r="HQG116" s="198"/>
      <c r="HQH116" s="199"/>
      <c r="HQI116" s="198"/>
      <c r="HQJ116" s="199"/>
      <c r="HQK116" s="198"/>
      <c r="HQL116" s="199"/>
      <c r="HQM116" s="198"/>
      <c r="HQN116" s="199"/>
      <c r="HQO116" s="198"/>
      <c r="HQP116" s="199"/>
      <c r="HQQ116" s="198"/>
      <c r="HQR116" s="199"/>
      <c r="HQS116" s="198"/>
      <c r="HQT116" s="199"/>
      <c r="HQU116" s="198"/>
      <c r="HQV116" s="199"/>
      <c r="HQW116" s="198"/>
      <c r="HQX116" s="199"/>
      <c r="HQY116" s="198"/>
      <c r="HQZ116" s="199"/>
      <c r="HRA116" s="198"/>
      <c r="HRB116" s="199"/>
      <c r="HRC116" s="198"/>
      <c r="HRD116" s="199"/>
      <c r="HRE116" s="198"/>
      <c r="HRF116" s="199"/>
      <c r="HRG116" s="198"/>
      <c r="HRH116" s="199"/>
      <c r="HRI116" s="198"/>
      <c r="HRJ116" s="199"/>
      <c r="HRK116" s="198"/>
      <c r="HRL116" s="199"/>
      <c r="HRM116" s="198"/>
      <c r="HRN116" s="199"/>
      <c r="HRO116" s="198"/>
      <c r="HRP116" s="199"/>
      <c r="HRQ116" s="198"/>
      <c r="HRR116" s="199"/>
      <c r="HRS116" s="198"/>
      <c r="HRT116" s="199"/>
      <c r="HRU116" s="198"/>
      <c r="HRV116" s="199"/>
      <c r="HRW116" s="198"/>
      <c r="HRX116" s="199"/>
      <c r="HRY116" s="198"/>
      <c r="HRZ116" s="199"/>
      <c r="HSA116" s="198"/>
      <c r="HSB116" s="199"/>
      <c r="HSC116" s="198"/>
      <c r="HSD116" s="199"/>
      <c r="HSE116" s="198"/>
      <c r="HSF116" s="199"/>
      <c r="HSG116" s="198"/>
      <c r="HSH116" s="199"/>
      <c r="HSI116" s="198"/>
      <c r="HSJ116" s="199"/>
      <c r="HSK116" s="198"/>
      <c r="HSL116" s="199"/>
      <c r="HSM116" s="198"/>
      <c r="HSN116" s="199"/>
      <c r="HSO116" s="198"/>
      <c r="HSP116" s="199"/>
      <c r="HSQ116" s="198"/>
      <c r="HSR116" s="199"/>
      <c r="HSS116" s="198"/>
      <c r="HST116" s="199"/>
      <c r="HSU116" s="198"/>
      <c r="HSV116" s="199"/>
      <c r="HSW116" s="198"/>
      <c r="HSX116" s="199"/>
      <c r="HSY116" s="198"/>
      <c r="HSZ116" s="199"/>
      <c r="HTA116" s="198"/>
      <c r="HTB116" s="199"/>
      <c r="HTC116" s="198"/>
      <c r="HTD116" s="199"/>
      <c r="HTE116" s="198"/>
      <c r="HTF116" s="199"/>
      <c r="HTG116" s="198"/>
      <c r="HTH116" s="199"/>
      <c r="HTI116" s="198"/>
      <c r="HTJ116" s="199"/>
      <c r="HTK116" s="198"/>
      <c r="HTL116" s="199"/>
      <c r="HTM116" s="198"/>
      <c r="HTN116" s="199"/>
      <c r="HTO116" s="198"/>
      <c r="HTP116" s="199"/>
      <c r="HTQ116" s="198"/>
      <c r="HTR116" s="199"/>
      <c r="HTS116" s="198"/>
      <c r="HTT116" s="199"/>
      <c r="HTU116" s="198"/>
      <c r="HTV116" s="199"/>
      <c r="HTW116" s="198"/>
      <c r="HTX116" s="199"/>
      <c r="HTY116" s="198"/>
      <c r="HTZ116" s="199"/>
      <c r="HUA116" s="198"/>
      <c r="HUB116" s="199"/>
      <c r="HUC116" s="198"/>
      <c r="HUD116" s="199"/>
      <c r="HUE116" s="198"/>
      <c r="HUF116" s="199"/>
      <c r="HUG116" s="198"/>
      <c r="HUH116" s="199"/>
      <c r="HUI116" s="198"/>
      <c r="HUJ116" s="199"/>
      <c r="HUK116" s="198"/>
      <c r="HUL116" s="199"/>
      <c r="HUM116" s="198"/>
      <c r="HUN116" s="199"/>
      <c r="HUO116" s="198"/>
      <c r="HUP116" s="199"/>
      <c r="HUQ116" s="198"/>
      <c r="HUR116" s="199"/>
      <c r="HUS116" s="198"/>
      <c r="HUT116" s="199"/>
      <c r="HUU116" s="198"/>
      <c r="HUV116" s="199"/>
      <c r="HUW116" s="198"/>
      <c r="HUX116" s="199"/>
      <c r="HUY116" s="198"/>
      <c r="HUZ116" s="199"/>
      <c r="HVA116" s="198"/>
      <c r="HVB116" s="199"/>
      <c r="HVC116" s="198"/>
      <c r="HVD116" s="199"/>
      <c r="HVE116" s="198"/>
      <c r="HVF116" s="199"/>
      <c r="HVG116" s="198"/>
      <c r="HVH116" s="199"/>
      <c r="HVI116" s="198"/>
      <c r="HVJ116" s="199"/>
      <c r="HVK116" s="198"/>
      <c r="HVL116" s="199"/>
      <c r="HVM116" s="198"/>
      <c r="HVN116" s="199"/>
      <c r="HVO116" s="198"/>
      <c r="HVP116" s="199"/>
      <c r="HVQ116" s="198"/>
      <c r="HVR116" s="199"/>
      <c r="HVS116" s="198"/>
      <c r="HVT116" s="199"/>
      <c r="HVU116" s="198"/>
      <c r="HVV116" s="199"/>
      <c r="HVW116" s="198"/>
      <c r="HVX116" s="199"/>
      <c r="HVY116" s="198"/>
      <c r="HVZ116" s="199"/>
      <c r="HWA116" s="198"/>
      <c r="HWB116" s="199"/>
      <c r="HWC116" s="198"/>
      <c r="HWD116" s="199"/>
      <c r="HWE116" s="198"/>
      <c r="HWF116" s="199"/>
      <c r="HWG116" s="198"/>
      <c r="HWH116" s="199"/>
      <c r="HWI116" s="198"/>
      <c r="HWJ116" s="199"/>
      <c r="HWK116" s="198"/>
      <c r="HWL116" s="199"/>
      <c r="HWM116" s="198"/>
      <c r="HWN116" s="199"/>
      <c r="HWO116" s="198"/>
      <c r="HWP116" s="199"/>
      <c r="HWQ116" s="198"/>
      <c r="HWR116" s="199"/>
      <c r="HWS116" s="198"/>
      <c r="HWT116" s="199"/>
      <c r="HWU116" s="198"/>
      <c r="HWV116" s="199"/>
      <c r="HWW116" s="198"/>
      <c r="HWX116" s="199"/>
      <c r="HWY116" s="198"/>
      <c r="HWZ116" s="199"/>
      <c r="HXA116" s="198"/>
      <c r="HXB116" s="199"/>
      <c r="HXC116" s="198"/>
      <c r="HXD116" s="199"/>
      <c r="HXE116" s="198"/>
      <c r="HXF116" s="199"/>
      <c r="HXG116" s="198"/>
      <c r="HXH116" s="199"/>
      <c r="HXI116" s="198"/>
      <c r="HXJ116" s="199"/>
      <c r="HXK116" s="198"/>
      <c r="HXL116" s="199"/>
      <c r="HXM116" s="198"/>
      <c r="HXN116" s="199"/>
      <c r="HXO116" s="198"/>
      <c r="HXP116" s="199"/>
      <c r="HXQ116" s="198"/>
      <c r="HXR116" s="199"/>
      <c r="HXS116" s="198"/>
      <c r="HXT116" s="199"/>
      <c r="HXU116" s="198"/>
      <c r="HXV116" s="199"/>
      <c r="HXW116" s="198"/>
      <c r="HXX116" s="199"/>
      <c r="HXY116" s="198"/>
      <c r="HXZ116" s="199"/>
      <c r="HYA116" s="198"/>
      <c r="HYB116" s="199"/>
      <c r="HYC116" s="198"/>
      <c r="HYD116" s="199"/>
      <c r="HYE116" s="198"/>
      <c r="HYF116" s="199"/>
      <c r="HYG116" s="198"/>
      <c r="HYH116" s="199"/>
      <c r="HYI116" s="198"/>
      <c r="HYJ116" s="199"/>
      <c r="HYK116" s="198"/>
      <c r="HYL116" s="199"/>
      <c r="HYM116" s="198"/>
      <c r="HYN116" s="199"/>
      <c r="HYO116" s="198"/>
      <c r="HYP116" s="199"/>
      <c r="HYQ116" s="198"/>
      <c r="HYR116" s="199"/>
      <c r="HYS116" s="198"/>
      <c r="HYT116" s="199"/>
      <c r="HYU116" s="198"/>
      <c r="HYV116" s="199"/>
      <c r="HYW116" s="198"/>
      <c r="HYX116" s="199"/>
      <c r="HYY116" s="198"/>
      <c r="HYZ116" s="199"/>
      <c r="HZA116" s="198"/>
      <c r="HZB116" s="199"/>
      <c r="HZC116" s="198"/>
      <c r="HZD116" s="199"/>
      <c r="HZE116" s="198"/>
      <c r="HZF116" s="199"/>
      <c r="HZG116" s="198"/>
      <c r="HZH116" s="199"/>
      <c r="HZI116" s="198"/>
      <c r="HZJ116" s="199"/>
      <c r="HZK116" s="198"/>
      <c r="HZL116" s="199"/>
      <c r="HZM116" s="198"/>
      <c r="HZN116" s="199"/>
      <c r="HZO116" s="198"/>
      <c r="HZP116" s="199"/>
      <c r="HZQ116" s="198"/>
      <c r="HZR116" s="199"/>
      <c r="HZS116" s="198"/>
      <c r="HZT116" s="199"/>
      <c r="HZU116" s="198"/>
      <c r="HZV116" s="199"/>
      <c r="HZW116" s="198"/>
      <c r="HZX116" s="199"/>
      <c r="HZY116" s="198"/>
      <c r="HZZ116" s="199"/>
      <c r="IAA116" s="198"/>
      <c r="IAB116" s="199"/>
      <c r="IAC116" s="198"/>
      <c r="IAD116" s="199"/>
      <c r="IAE116" s="198"/>
      <c r="IAF116" s="199"/>
      <c r="IAG116" s="198"/>
      <c r="IAH116" s="199"/>
      <c r="IAI116" s="198"/>
      <c r="IAJ116" s="199"/>
      <c r="IAK116" s="198"/>
      <c r="IAL116" s="199"/>
      <c r="IAM116" s="198"/>
      <c r="IAN116" s="199"/>
      <c r="IAO116" s="198"/>
      <c r="IAP116" s="199"/>
      <c r="IAQ116" s="198"/>
      <c r="IAR116" s="199"/>
      <c r="IAS116" s="198"/>
      <c r="IAT116" s="199"/>
      <c r="IAU116" s="198"/>
      <c r="IAV116" s="199"/>
      <c r="IAW116" s="198"/>
      <c r="IAX116" s="199"/>
      <c r="IAY116" s="198"/>
      <c r="IAZ116" s="199"/>
      <c r="IBA116" s="198"/>
      <c r="IBB116" s="199"/>
      <c r="IBC116" s="198"/>
      <c r="IBD116" s="199"/>
      <c r="IBE116" s="198"/>
      <c r="IBF116" s="199"/>
      <c r="IBG116" s="198"/>
      <c r="IBH116" s="199"/>
      <c r="IBI116" s="198"/>
      <c r="IBJ116" s="199"/>
      <c r="IBK116" s="198"/>
      <c r="IBL116" s="199"/>
      <c r="IBM116" s="198"/>
      <c r="IBN116" s="199"/>
      <c r="IBO116" s="198"/>
      <c r="IBP116" s="199"/>
      <c r="IBQ116" s="198"/>
      <c r="IBR116" s="199"/>
      <c r="IBS116" s="198"/>
      <c r="IBT116" s="199"/>
      <c r="IBU116" s="198"/>
      <c r="IBV116" s="199"/>
      <c r="IBW116" s="198"/>
      <c r="IBX116" s="199"/>
      <c r="IBY116" s="198"/>
      <c r="IBZ116" s="199"/>
      <c r="ICA116" s="198"/>
      <c r="ICB116" s="199"/>
      <c r="ICC116" s="198"/>
      <c r="ICD116" s="199"/>
      <c r="ICE116" s="198"/>
      <c r="ICF116" s="199"/>
      <c r="ICG116" s="198"/>
      <c r="ICH116" s="199"/>
      <c r="ICI116" s="198"/>
      <c r="ICJ116" s="199"/>
      <c r="ICK116" s="198"/>
      <c r="ICL116" s="199"/>
      <c r="ICM116" s="198"/>
      <c r="ICN116" s="199"/>
      <c r="ICO116" s="198"/>
      <c r="ICP116" s="199"/>
      <c r="ICQ116" s="198"/>
      <c r="ICR116" s="199"/>
      <c r="ICS116" s="198"/>
      <c r="ICT116" s="199"/>
      <c r="ICU116" s="198"/>
      <c r="ICV116" s="199"/>
      <c r="ICW116" s="198"/>
      <c r="ICX116" s="199"/>
      <c r="ICY116" s="198"/>
      <c r="ICZ116" s="199"/>
      <c r="IDA116" s="198"/>
      <c r="IDB116" s="199"/>
      <c r="IDC116" s="198"/>
      <c r="IDD116" s="199"/>
      <c r="IDE116" s="198"/>
      <c r="IDF116" s="199"/>
      <c r="IDG116" s="198"/>
      <c r="IDH116" s="199"/>
      <c r="IDI116" s="198"/>
      <c r="IDJ116" s="199"/>
      <c r="IDK116" s="198"/>
      <c r="IDL116" s="199"/>
      <c r="IDM116" s="198"/>
      <c r="IDN116" s="199"/>
      <c r="IDO116" s="198"/>
      <c r="IDP116" s="199"/>
      <c r="IDQ116" s="198"/>
      <c r="IDR116" s="199"/>
      <c r="IDS116" s="198"/>
      <c r="IDT116" s="199"/>
      <c r="IDU116" s="198"/>
      <c r="IDV116" s="199"/>
      <c r="IDW116" s="198"/>
      <c r="IDX116" s="199"/>
      <c r="IDY116" s="198"/>
      <c r="IDZ116" s="199"/>
      <c r="IEA116" s="198"/>
      <c r="IEB116" s="199"/>
      <c r="IEC116" s="198"/>
      <c r="IED116" s="199"/>
      <c r="IEE116" s="198"/>
      <c r="IEF116" s="199"/>
      <c r="IEG116" s="198"/>
      <c r="IEH116" s="199"/>
      <c r="IEI116" s="198"/>
      <c r="IEJ116" s="199"/>
      <c r="IEK116" s="198"/>
      <c r="IEL116" s="199"/>
      <c r="IEM116" s="198"/>
      <c r="IEN116" s="199"/>
      <c r="IEO116" s="198"/>
      <c r="IEP116" s="199"/>
      <c r="IEQ116" s="198"/>
      <c r="IER116" s="199"/>
      <c r="IES116" s="198"/>
      <c r="IET116" s="199"/>
      <c r="IEU116" s="198"/>
      <c r="IEV116" s="199"/>
      <c r="IEW116" s="198"/>
      <c r="IEX116" s="199"/>
      <c r="IEY116" s="198"/>
      <c r="IEZ116" s="199"/>
      <c r="IFA116" s="198"/>
      <c r="IFB116" s="199"/>
      <c r="IFC116" s="198"/>
      <c r="IFD116" s="199"/>
      <c r="IFE116" s="198"/>
      <c r="IFF116" s="199"/>
      <c r="IFG116" s="198"/>
      <c r="IFH116" s="199"/>
      <c r="IFI116" s="198"/>
      <c r="IFJ116" s="199"/>
      <c r="IFK116" s="198"/>
      <c r="IFL116" s="199"/>
      <c r="IFM116" s="198"/>
      <c r="IFN116" s="199"/>
      <c r="IFO116" s="198"/>
      <c r="IFP116" s="199"/>
      <c r="IFQ116" s="198"/>
      <c r="IFR116" s="199"/>
      <c r="IFS116" s="198"/>
      <c r="IFT116" s="199"/>
      <c r="IFU116" s="198"/>
      <c r="IFV116" s="199"/>
      <c r="IFW116" s="198"/>
      <c r="IFX116" s="199"/>
      <c r="IFY116" s="198"/>
      <c r="IFZ116" s="199"/>
      <c r="IGA116" s="198"/>
      <c r="IGB116" s="199"/>
      <c r="IGC116" s="198"/>
      <c r="IGD116" s="199"/>
      <c r="IGE116" s="198"/>
      <c r="IGF116" s="199"/>
      <c r="IGG116" s="198"/>
      <c r="IGH116" s="199"/>
      <c r="IGI116" s="198"/>
      <c r="IGJ116" s="199"/>
      <c r="IGK116" s="198"/>
      <c r="IGL116" s="199"/>
      <c r="IGM116" s="198"/>
      <c r="IGN116" s="199"/>
      <c r="IGO116" s="198"/>
      <c r="IGP116" s="199"/>
      <c r="IGQ116" s="198"/>
      <c r="IGR116" s="199"/>
      <c r="IGS116" s="198"/>
      <c r="IGT116" s="199"/>
      <c r="IGU116" s="198"/>
      <c r="IGV116" s="199"/>
      <c r="IGW116" s="198"/>
      <c r="IGX116" s="199"/>
      <c r="IGY116" s="198"/>
      <c r="IGZ116" s="199"/>
      <c r="IHA116" s="198"/>
      <c r="IHB116" s="199"/>
      <c r="IHC116" s="198"/>
      <c r="IHD116" s="199"/>
      <c r="IHE116" s="198"/>
      <c r="IHF116" s="199"/>
      <c r="IHG116" s="198"/>
      <c r="IHH116" s="199"/>
      <c r="IHI116" s="198"/>
      <c r="IHJ116" s="199"/>
      <c r="IHK116" s="198"/>
      <c r="IHL116" s="199"/>
      <c r="IHM116" s="198"/>
      <c r="IHN116" s="199"/>
      <c r="IHO116" s="198"/>
      <c r="IHP116" s="199"/>
      <c r="IHQ116" s="198"/>
      <c r="IHR116" s="199"/>
      <c r="IHS116" s="198"/>
      <c r="IHT116" s="199"/>
      <c r="IHU116" s="198"/>
      <c r="IHV116" s="199"/>
      <c r="IHW116" s="198"/>
      <c r="IHX116" s="199"/>
      <c r="IHY116" s="198"/>
      <c r="IHZ116" s="199"/>
      <c r="IIA116" s="198"/>
      <c r="IIB116" s="199"/>
      <c r="IIC116" s="198"/>
      <c r="IID116" s="199"/>
      <c r="IIE116" s="198"/>
      <c r="IIF116" s="199"/>
      <c r="IIG116" s="198"/>
      <c r="IIH116" s="199"/>
      <c r="III116" s="198"/>
      <c r="IIJ116" s="199"/>
      <c r="IIK116" s="198"/>
      <c r="IIL116" s="199"/>
      <c r="IIM116" s="198"/>
      <c r="IIN116" s="199"/>
      <c r="IIO116" s="198"/>
      <c r="IIP116" s="199"/>
      <c r="IIQ116" s="198"/>
      <c r="IIR116" s="199"/>
      <c r="IIS116" s="198"/>
      <c r="IIT116" s="199"/>
      <c r="IIU116" s="198"/>
      <c r="IIV116" s="199"/>
      <c r="IIW116" s="198"/>
      <c r="IIX116" s="199"/>
      <c r="IIY116" s="198"/>
      <c r="IIZ116" s="199"/>
      <c r="IJA116" s="198"/>
      <c r="IJB116" s="199"/>
      <c r="IJC116" s="198"/>
      <c r="IJD116" s="199"/>
      <c r="IJE116" s="198"/>
      <c r="IJF116" s="199"/>
      <c r="IJG116" s="198"/>
      <c r="IJH116" s="199"/>
      <c r="IJI116" s="198"/>
      <c r="IJJ116" s="199"/>
      <c r="IJK116" s="198"/>
      <c r="IJL116" s="199"/>
      <c r="IJM116" s="198"/>
      <c r="IJN116" s="199"/>
      <c r="IJO116" s="198"/>
      <c r="IJP116" s="199"/>
      <c r="IJQ116" s="198"/>
      <c r="IJR116" s="199"/>
      <c r="IJS116" s="198"/>
      <c r="IJT116" s="199"/>
      <c r="IJU116" s="198"/>
      <c r="IJV116" s="199"/>
      <c r="IJW116" s="198"/>
      <c r="IJX116" s="199"/>
      <c r="IJY116" s="198"/>
      <c r="IJZ116" s="199"/>
      <c r="IKA116" s="198"/>
      <c r="IKB116" s="199"/>
      <c r="IKC116" s="198"/>
      <c r="IKD116" s="199"/>
      <c r="IKE116" s="198"/>
      <c r="IKF116" s="199"/>
      <c r="IKG116" s="198"/>
      <c r="IKH116" s="199"/>
      <c r="IKI116" s="198"/>
      <c r="IKJ116" s="199"/>
      <c r="IKK116" s="198"/>
      <c r="IKL116" s="199"/>
      <c r="IKM116" s="198"/>
      <c r="IKN116" s="199"/>
      <c r="IKO116" s="198"/>
      <c r="IKP116" s="199"/>
      <c r="IKQ116" s="198"/>
      <c r="IKR116" s="199"/>
      <c r="IKS116" s="198"/>
      <c r="IKT116" s="199"/>
      <c r="IKU116" s="198"/>
      <c r="IKV116" s="199"/>
      <c r="IKW116" s="198"/>
      <c r="IKX116" s="199"/>
      <c r="IKY116" s="198"/>
      <c r="IKZ116" s="199"/>
      <c r="ILA116" s="198"/>
      <c r="ILB116" s="199"/>
      <c r="ILC116" s="198"/>
      <c r="ILD116" s="199"/>
      <c r="ILE116" s="198"/>
      <c r="ILF116" s="199"/>
      <c r="ILG116" s="198"/>
      <c r="ILH116" s="199"/>
      <c r="ILI116" s="198"/>
      <c r="ILJ116" s="199"/>
      <c r="ILK116" s="198"/>
      <c r="ILL116" s="199"/>
      <c r="ILM116" s="198"/>
      <c r="ILN116" s="199"/>
      <c r="ILO116" s="198"/>
      <c r="ILP116" s="199"/>
      <c r="ILQ116" s="198"/>
      <c r="ILR116" s="199"/>
      <c r="ILS116" s="198"/>
      <c r="ILT116" s="199"/>
      <c r="ILU116" s="198"/>
      <c r="ILV116" s="199"/>
      <c r="ILW116" s="198"/>
      <c r="ILX116" s="199"/>
      <c r="ILY116" s="198"/>
      <c r="ILZ116" s="199"/>
      <c r="IMA116" s="198"/>
      <c r="IMB116" s="199"/>
      <c r="IMC116" s="198"/>
      <c r="IMD116" s="199"/>
      <c r="IME116" s="198"/>
      <c r="IMF116" s="199"/>
      <c r="IMG116" s="198"/>
      <c r="IMH116" s="199"/>
      <c r="IMI116" s="198"/>
      <c r="IMJ116" s="199"/>
      <c r="IMK116" s="198"/>
      <c r="IML116" s="199"/>
      <c r="IMM116" s="198"/>
      <c r="IMN116" s="199"/>
      <c r="IMO116" s="198"/>
      <c r="IMP116" s="199"/>
      <c r="IMQ116" s="198"/>
      <c r="IMR116" s="199"/>
      <c r="IMS116" s="198"/>
      <c r="IMT116" s="199"/>
      <c r="IMU116" s="198"/>
      <c r="IMV116" s="199"/>
      <c r="IMW116" s="198"/>
      <c r="IMX116" s="199"/>
      <c r="IMY116" s="198"/>
      <c r="IMZ116" s="199"/>
      <c r="INA116" s="198"/>
      <c r="INB116" s="199"/>
      <c r="INC116" s="198"/>
      <c r="IND116" s="199"/>
      <c r="INE116" s="198"/>
      <c r="INF116" s="199"/>
      <c r="ING116" s="198"/>
      <c r="INH116" s="199"/>
      <c r="INI116" s="198"/>
      <c r="INJ116" s="199"/>
      <c r="INK116" s="198"/>
      <c r="INL116" s="199"/>
      <c r="INM116" s="198"/>
      <c r="INN116" s="199"/>
      <c r="INO116" s="198"/>
      <c r="INP116" s="199"/>
      <c r="INQ116" s="198"/>
      <c r="INR116" s="199"/>
      <c r="INS116" s="198"/>
      <c r="INT116" s="199"/>
      <c r="INU116" s="198"/>
      <c r="INV116" s="199"/>
      <c r="INW116" s="198"/>
      <c r="INX116" s="199"/>
      <c r="INY116" s="198"/>
      <c r="INZ116" s="199"/>
      <c r="IOA116" s="198"/>
      <c r="IOB116" s="199"/>
      <c r="IOC116" s="198"/>
      <c r="IOD116" s="199"/>
      <c r="IOE116" s="198"/>
      <c r="IOF116" s="199"/>
      <c r="IOG116" s="198"/>
      <c r="IOH116" s="199"/>
      <c r="IOI116" s="198"/>
      <c r="IOJ116" s="199"/>
      <c r="IOK116" s="198"/>
      <c r="IOL116" s="199"/>
      <c r="IOM116" s="198"/>
      <c r="ION116" s="199"/>
      <c r="IOO116" s="198"/>
      <c r="IOP116" s="199"/>
      <c r="IOQ116" s="198"/>
      <c r="IOR116" s="199"/>
      <c r="IOS116" s="198"/>
      <c r="IOT116" s="199"/>
      <c r="IOU116" s="198"/>
      <c r="IOV116" s="199"/>
      <c r="IOW116" s="198"/>
      <c r="IOX116" s="199"/>
      <c r="IOY116" s="198"/>
      <c r="IOZ116" s="199"/>
      <c r="IPA116" s="198"/>
      <c r="IPB116" s="199"/>
      <c r="IPC116" s="198"/>
      <c r="IPD116" s="199"/>
      <c r="IPE116" s="198"/>
      <c r="IPF116" s="199"/>
      <c r="IPG116" s="198"/>
      <c r="IPH116" s="199"/>
      <c r="IPI116" s="198"/>
      <c r="IPJ116" s="199"/>
      <c r="IPK116" s="198"/>
      <c r="IPL116" s="199"/>
      <c r="IPM116" s="198"/>
      <c r="IPN116" s="199"/>
      <c r="IPO116" s="198"/>
      <c r="IPP116" s="199"/>
      <c r="IPQ116" s="198"/>
      <c r="IPR116" s="199"/>
      <c r="IPS116" s="198"/>
      <c r="IPT116" s="199"/>
      <c r="IPU116" s="198"/>
      <c r="IPV116" s="199"/>
      <c r="IPW116" s="198"/>
      <c r="IPX116" s="199"/>
      <c r="IPY116" s="198"/>
      <c r="IPZ116" s="199"/>
      <c r="IQA116" s="198"/>
      <c r="IQB116" s="199"/>
      <c r="IQC116" s="198"/>
      <c r="IQD116" s="199"/>
      <c r="IQE116" s="198"/>
      <c r="IQF116" s="199"/>
      <c r="IQG116" s="198"/>
      <c r="IQH116" s="199"/>
      <c r="IQI116" s="198"/>
      <c r="IQJ116" s="199"/>
      <c r="IQK116" s="198"/>
      <c r="IQL116" s="199"/>
      <c r="IQM116" s="198"/>
      <c r="IQN116" s="199"/>
      <c r="IQO116" s="198"/>
      <c r="IQP116" s="199"/>
      <c r="IQQ116" s="198"/>
      <c r="IQR116" s="199"/>
      <c r="IQS116" s="198"/>
      <c r="IQT116" s="199"/>
      <c r="IQU116" s="198"/>
      <c r="IQV116" s="199"/>
      <c r="IQW116" s="198"/>
      <c r="IQX116" s="199"/>
      <c r="IQY116" s="198"/>
      <c r="IQZ116" s="199"/>
      <c r="IRA116" s="198"/>
      <c r="IRB116" s="199"/>
      <c r="IRC116" s="198"/>
      <c r="IRD116" s="199"/>
      <c r="IRE116" s="198"/>
      <c r="IRF116" s="199"/>
      <c r="IRG116" s="198"/>
      <c r="IRH116" s="199"/>
      <c r="IRI116" s="198"/>
      <c r="IRJ116" s="199"/>
      <c r="IRK116" s="198"/>
      <c r="IRL116" s="199"/>
      <c r="IRM116" s="198"/>
      <c r="IRN116" s="199"/>
      <c r="IRO116" s="198"/>
      <c r="IRP116" s="199"/>
      <c r="IRQ116" s="198"/>
      <c r="IRR116" s="199"/>
      <c r="IRS116" s="198"/>
      <c r="IRT116" s="199"/>
      <c r="IRU116" s="198"/>
      <c r="IRV116" s="199"/>
      <c r="IRW116" s="198"/>
      <c r="IRX116" s="199"/>
      <c r="IRY116" s="198"/>
      <c r="IRZ116" s="199"/>
      <c r="ISA116" s="198"/>
      <c r="ISB116" s="199"/>
      <c r="ISC116" s="198"/>
      <c r="ISD116" s="199"/>
      <c r="ISE116" s="198"/>
      <c r="ISF116" s="199"/>
      <c r="ISG116" s="198"/>
      <c r="ISH116" s="199"/>
      <c r="ISI116" s="198"/>
      <c r="ISJ116" s="199"/>
      <c r="ISK116" s="198"/>
      <c r="ISL116" s="199"/>
      <c r="ISM116" s="198"/>
      <c r="ISN116" s="199"/>
      <c r="ISO116" s="198"/>
      <c r="ISP116" s="199"/>
      <c r="ISQ116" s="198"/>
      <c r="ISR116" s="199"/>
      <c r="ISS116" s="198"/>
      <c r="IST116" s="199"/>
      <c r="ISU116" s="198"/>
      <c r="ISV116" s="199"/>
      <c r="ISW116" s="198"/>
      <c r="ISX116" s="199"/>
      <c r="ISY116" s="198"/>
      <c r="ISZ116" s="199"/>
      <c r="ITA116" s="198"/>
      <c r="ITB116" s="199"/>
      <c r="ITC116" s="198"/>
      <c r="ITD116" s="199"/>
      <c r="ITE116" s="198"/>
      <c r="ITF116" s="199"/>
      <c r="ITG116" s="198"/>
      <c r="ITH116" s="199"/>
      <c r="ITI116" s="198"/>
      <c r="ITJ116" s="199"/>
      <c r="ITK116" s="198"/>
      <c r="ITL116" s="199"/>
      <c r="ITM116" s="198"/>
      <c r="ITN116" s="199"/>
      <c r="ITO116" s="198"/>
      <c r="ITP116" s="199"/>
      <c r="ITQ116" s="198"/>
      <c r="ITR116" s="199"/>
      <c r="ITS116" s="198"/>
      <c r="ITT116" s="199"/>
      <c r="ITU116" s="198"/>
      <c r="ITV116" s="199"/>
      <c r="ITW116" s="198"/>
      <c r="ITX116" s="199"/>
      <c r="ITY116" s="198"/>
      <c r="ITZ116" s="199"/>
      <c r="IUA116" s="198"/>
      <c r="IUB116" s="199"/>
      <c r="IUC116" s="198"/>
      <c r="IUD116" s="199"/>
      <c r="IUE116" s="198"/>
      <c r="IUF116" s="199"/>
      <c r="IUG116" s="198"/>
      <c r="IUH116" s="199"/>
      <c r="IUI116" s="198"/>
      <c r="IUJ116" s="199"/>
      <c r="IUK116" s="198"/>
      <c r="IUL116" s="199"/>
      <c r="IUM116" s="198"/>
      <c r="IUN116" s="199"/>
      <c r="IUO116" s="198"/>
      <c r="IUP116" s="199"/>
      <c r="IUQ116" s="198"/>
      <c r="IUR116" s="199"/>
      <c r="IUS116" s="198"/>
      <c r="IUT116" s="199"/>
      <c r="IUU116" s="198"/>
      <c r="IUV116" s="199"/>
      <c r="IUW116" s="198"/>
      <c r="IUX116" s="199"/>
      <c r="IUY116" s="198"/>
      <c r="IUZ116" s="199"/>
      <c r="IVA116" s="198"/>
      <c r="IVB116" s="199"/>
      <c r="IVC116" s="198"/>
      <c r="IVD116" s="199"/>
      <c r="IVE116" s="198"/>
      <c r="IVF116" s="199"/>
      <c r="IVG116" s="198"/>
      <c r="IVH116" s="199"/>
      <c r="IVI116" s="198"/>
      <c r="IVJ116" s="199"/>
      <c r="IVK116" s="198"/>
      <c r="IVL116" s="199"/>
      <c r="IVM116" s="198"/>
      <c r="IVN116" s="199"/>
      <c r="IVO116" s="198"/>
      <c r="IVP116" s="199"/>
      <c r="IVQ116" s="198"/>
      <c r="IVR116" s="199"/>
      <c r="IVS116" s="198"/>
      <c r="IVT116" s="199"/>
      <c r="IVU116" s="198"/>
      <c r="IVV116" s="199"/>
      <c r="IVW116" s="198"/>
      <c r="IVX116" s="199"/>
      <c r="IVY116" s="198"/>
      <c r="IVZ116" s="199"/>
      <c r="IWA116" s="198"/>
      <c r="IWB116" s="199"/>
      <c r="IWC116" s="198"/>
      <c r="IWD116" s="199"/>
      <c r="IWE116" s="198"/>
      <c r="IWF116" s="199"/>
      <c r="IWG116" s="198"/>
      <c r="IWH116" s="199"/>
      <c r="IWI116" s="198"/>
      <c r="IWJ116" s="199"/>
      <c r="IWK116" s="198"/>
      <c r="IWL116" s="199"/>
      <c r="IWM116" s="198"/>
      <c r="IWN116" s="199"/>
      <c r="IWO116" s="198"/>
      <c r="IWP116" s="199"/>
      <c r="IWQ116" s="198"/>
      <c r="IWR116" s="199"/>
      <c r="IWS116" s="198"/>
      <c r="IWT116" s="199"/>
      <c r="IWU116" s="198"/>
      <c r="IWV116" s="199"/>
      <c r="IWW116" s="198"/>
      <c r="IWX116" s="199"/>
      <c r="IWY116" s="198"/>
      <c r="IWZ116" s="199"/>
      <c r="IXA116" s="198"/>
      <c r="IXB116" s="199"/>
      <c r="IXC116" s="198"/>
      <c r="IXD116" s="199"/>
      <c r="IXE116" s="198"/>
      <c r="IXF116" s="199"/>
      <c r="IXG116" s="198"/>
      <c r="IXH116" s="199"/>
      <c r="IXI116" s="198"/>
      <c r="IXJ116" s="199"/>
      <c r="IXK116" s="198"/>
      <c r="IXL116" s="199"/>
      <c r="IXM116" s="198"/>
      <c r="IXN116" s="199"/>
      <c r="IXO116" s="198"/>
      <c r="IXP116" s="199"/>
      <c r="IXQ116" s="198"/>
      <c r="IXR116" s="199"/>
      <c r="IXS116" s="198"/>
      <c r="IXT116" s="199"/>
      <c r="IXU116" s="198"/>
      <c r="IXV116" s="199"/>
      <c r="IXW116" s="198"/>
      <c r="IXX116" s="199"/>
      <c r="IXY116" s="198"/>
      <c r="IXZ116" s="199"/>
      <c r="IYA116" s="198"/>
      <c r="IYB116" s="199"/>
      <c r="IYC116" s="198"/>
      <c r="IYD116" s="199"/>
      <c r="IYE116" s="198"/>
      <c r="IYF116" s="199"/>
      <c r="IYG116" s="198"/>
      <c r="IYH116" s="199"/>
      <c r="IYI116" s="198"/>
      <c r="IYJ116" s="199"/>
      <c r="IYK116" s="198"/>
      <c r="IYL116" s="199"/>
      <c r="IYM116" s="198"/>
      <c r="IYN116" s="199"/>
      <c r="IYO116" s="198"/>
      <c r="IYP116" s="199"/>
      <c r="IYQ116" s="198"/>
      <c r="IYR116" s="199"/>
      <c r="IYS116" s="198"/>
      <c r="IYT116" s="199"/>
      <c r="IYU116" s="198"/>
      <c r="IYV116" s="199"/>
      <c r="IYW116" s="198"/>
      <c r="IYX116" s="199"/>
      <c r="IYY116" s="198"/>
      <c r="IYZ116" s="199"/>
      <c r="IZA116" s="198"/>
      <c r="IZB116" s="199"/>
      <c r="IZC116" s="198"/>
      <c r="IZD116" s="199"/>
      <c r="IZE116" s="198"/>
      <c r="IZF116" s="199"/>
      <c r="IZG116" s="198"/>
      <c r="IZH116" s="199"/>
      <c r="IZI116" s="198"/>
      <c r="IZJ116" s="199"/>
      <c r="IZK116" s="198"/>
      <c r="IZL116" s="199"/>
      <c r="IZM116" s="198"/>
      <c r="IZN116" s="199"/>
      <c r="IZO116" s="198"/>
      <c r="IZP116" s="199"/>
      <c r="IZQ116" s="198"/>
      <c r="IZR116" s="199"/>
      <c r="IZS116" s="198"/>
      <c r="IZT116" s="199"/>
      <c r="IZU116" s="198"/>
      <c r="IZV116" s="199"/>
      <c r="IZW116" s="198"/>
      <c r="IZX116" s="199"/>
      <c r="IZY116" s="198"/>
      <c r="IZZ116" s="199"/>
      <c r="JAA116" s="198"/>
      <c r="JAB116" s="199"/>
      <c r="JAC116" s="198"/>
      <c r="JAD116" s="199"/>
      <c r="JAE116" s="198"/>
      <c r="JAF116" s="199"/>
      <c r="JAG116" s="198"/>
      <c r="JAH116" s="199"/>
      <c r="JAI116" s="198"/>
      <c r="JAJ116" s="199"/>
      <c r="JAK116" s="198"/>
      <c r="JAL116" s="199"/>
      <c r="JAM116" s="198"/>
      <c r="JAN116" s="199"/>
      <c r="JAO116" s="198"/>
      <c r="JAP116" s="199"/>
      <c r="JAQ116" s="198"/>
      <c r="JAR116" s="199"/>
      <c r="JAS116" s="198"/>
      <c r="JAT116" s="199"/>
      <c r="JAU116" s="198"/>
      <c r="JAV116" s="199"/>
      <c r="JAW116" s="198"/>
      <c r="JAX116" s="199"/>
      <c r="JAY116" s="198"/>
      <c r="JAZ116" s="199"/>
      <c r="JBA116" s="198"/>
      <c r="JBB116" s="199"/>
      <c r="JBC116" s="198"/>
      <c r="JBD116" s="199"/>
      <c r="JBE116" s="198"/>
      <c r="JBF116" s="199"/>
      <c r="JBG116" s="198"/>
      <c r="JBH116" s="199"/>
      <c r="JBI116" s="198"/>
      <c r="JBJ116" s="199"/>
      <c r="JBK116" s="198"/>
      <c r="JBL116" s="199"/>
      <c r="JBM116" s="198"/>
      <c r="JBN116" s="199"/>
      <c r="JBO116" s="198"/>
      <c r="JBP116" s="199"/>
      <c r="JBQ116" s="198"/>
      <c r="JBR116" s="199"/>
      <c r="JBS116" s="198"/>
      <c r="JBT116" s="199"/>
      <c r="JBU116" s="198"/>
      <c r="JBV116" s="199"/>
      <c r="JBW116" s="198"/>
      <c r="JBX116" s="199"/>
      <c r="JBY116" s="198"/>
      <c r="JBZ116" s="199"/>
      <c r="JCA116" s="198"/>
      <c r="JCB116" s="199"/>
      <c r="JCC116" s="198"/>
      <c r="JCD116" s="199"/>
      <c r="JCE116" s="198"/>
      <c r="JCF116" s="199"/>
      <c r="JCG116" s="198"/>
      <c r="JCH116" s="199"/>
      <c r="JCI116" s="198"/>
      <c r="JCJ116" s="199"/>
      <c r="JCK116" s="198"/>
      <c r="JCL116" s="199"/>
      <c r="JCM116" s="198"/>
      <c r="JCN116" s="199"/>
      <c r="JCO116" s="198"/>
      <c r="JCP116" s="199"/>
      <c r="JCQ116" s="198"/>
      <c r="JCR116" s="199"/>
      <c r="JCS116" s="198"/>
      <c r="JCT116" s="199"/>
      <c r="JCU116" s="198"/>
      <c r="JCV116" s="199"/>
      <c r="JCW116" s="198"/>
      <c r="JCX116" s="199"/>
      <c r="JCY116" s="198"/>
      <c r="JCZ116" s="199"/>
      <c r="JDA116" s="198"/>
      <c r="JDB116" s="199"/>
      <c r="JDC116" s="198"/>
      <c r="JDD116" s="199"/>
      <c r="JDE116" s="198"/>
      <c r="JDF116" s="199"/>
      <c r="JDG116" s="198"/>
      <c r="JDH116" s="199"/>
      <c r="JDI116" s="198"/>
      <c r="JDJ116" s="199"/>
      <c r="JDK116" s="198"/>
      <c r="JDL116" s="199"/>
      <c r="JDM116" s="198"/>
      <c r="JDN116" s="199"/>
      <c r="JDO116" s="198"/>
      <c r="JDP116" s="199"/>
      <c r="JDQ116" s="198"/>
      <c r="JDR116" s="199"/>
      <c r="JDS116" s="198"/>
      <c r="JDT116" s="199"/>
      <c r="JDU116" s="198"/>
      <c r="JDV116" s="199"/>
      <c r="JDW116" s="198"/>
      <c r="JDX116" s="199"/>
      <c r="JDY116" s="198"/>
      <c r="JDZ116" s="199"/>
      <c r="JEA116" s="198"/>
      <c r="JEB116" s="199"/>
      <c r="JEC116" s="198"/>
      <c r="JED116" s="199"/>
      <c r="JEE116" s="198"/>
      <c r="JEF116" s="199"/>
      <c r="JEG116" s="198"/>
      <c r="JEH116" s="199"/>
      <c r="JEI116" s="198"/>
      <c r="JEJ116" s="199"/>
      <c r="JEK116" s="198"/>
      <c r="JEL116" s="199"/>
      <c r="JEM116" s="198"/>
      <c r="JEN116" s="199"/>
      <c r="JEO116" s="198"/>
      <c r="JEP116" s="199"/>
      <c r="JEQ116" s="198"/>
      <c r="JER116" s="199"/>
      <c r="JES116" s="198"/>
      <c r="JET116" s="199"/>
      <c r="JEU116" s="198"/>
      <c r="JEV116" s="199"/>
      <c r="JEW116" s="198"/>
      <c r="JEX116" s="199"/>
      <c r="JEY116" s="198"/>
      <c r="JEZ116" s="199"/>
      <c r="JFA116" s="198"/>
      <c r="JFB116" s="199"/>
      <c r="JFC116" s="198"/>
      <c r="JFD116" s="199"/>
      <c r="JFE116" s="198"/>
      <c r="JFF116" s="199"/>
      <c r="JFG116" s="198"/>
      <c r="JFH116" s="199"/>
      <c r="JFI116" s="198"/>
      <c r="JFJ116" s="199"/>
      <c r="JFK116" s="198"/>
      <c r="JFL116" s="199"/>
      <c r="JFM116" s="198"/>
      <c r="JFN116" s="199"/>
      <c r="JFO116" s="198"/>
      <c r="JFP116" s="199"/>
      <c r="JFQ116" s="198"/>
      <c r="JFR116" s="199"/>
      <c r="JFS116" s="198"/>
      <c r="JFT116" s="199"/>
      <c r="JFU116" s="198"/>
      <c r="JFV116" s="199"/>
      <c r="JFW116" s="198"/>
      <c r="JFX116" s="199"/>
      <c r="JFY116" s="198"/>
      <c r="JFZ116" s="199"/>
      <c r="JGA116" s="198"/>
      <c r="JGB116" s="199"/>
      <c r="JGC116" s="198"/>
      <c r="JGD116" s="199"/>
      <c r="JGE116" s="198"/>
      <c r="JGF116" s="199"/>
      <c r="JGG116" s="198"/>
      <c r="JGH116" s="199"/>
      <c r="JGI116" s="198"/>
      <c r="JGJ116" s="199"/>
      <c r="JGK116" s="198"/>
      <c r="JGL116" s="199"/>
      <c r="JGM116" s="198"/>
      <c r="JGN116" s="199"/>
      <c r="JGO116" s="198"/>
      <c r="JGP116" s="199"/>
      <c r="JGQ116" s="198"/>
      <c r="JGR116" s="199"/>
      <c r="JGS116" s="198"/>
      <c r="JGT116" s="199"/>
      <c r="JGU116" s="198"/>
      <c r="JGV116" s="199"/>
      <c r="JGW116" s="198"/>
      <c r="JGX116" s="199"/>
      <c r="JGY116" s="198"/>
      <c r="JGZ116" s="199"/>
      <c r="JHA116" s="198"/>
      <c r="JHB116" s="199"/>
      <c r="JHC116" s="198"/>
      <c r="JHD116" s="199"/>
      <c r="JHE116" s="198"/>
      <c r="JHF116" s="199"/>
      <c r="JHG116" s="198"/>
      <c r="JHH116" s="199"/>
      <c r="JHI116" s="198"/>
      <c r="JHJ116" s="199"/>
      <c r="JHK116" s="198"/>
      <c r="JHL116" s="199"/>
      <c r="JHM116" s="198"/>
      <c r="JHN116" s="199"/>
      <c r="JHO116" s="198"/>
      <c r="JHP116" s="199"/>
      <c r="JHQ116" s="198"/>
      <c r="JHR116" s="199"/>
      <c r="JHS116" s="198"/>
      <c r="JHT116" s="199"/>
      <c r="JHU116" s="198"/>
      <c r="JHV116" s="199"/>
      <c r="JHW116" s="198"/>
      <c r="JHX116" s="199"/>
      <c r="JHY116" s="198"/>
      <c r="JHZ116" s="199"/>
      <c r="JIA116" s="198"/>
      <c r="JIB116" s="199"/>
      <c r="JIC116" s="198"/>
      <c r="JID116" s="199"/>
      <c r="JIE116" s="198"/>
      <c r="JIF116" s="199"/>
      <c r="JIG116" s="198"/>
      <c r="JIH116" s="199"/>
      <c r="JII116" s="198"/>
      <c r="JIJ116" s="199"/>
      <c r="JIK116" s="198"/>
      <c r="JIL116" s="199"/>
      <c r="JIM116" s="198"/>
      <c r="JIN116" s="199"/>
      <c r="JIO116" s="198"/>
      <c r="JIP116" s="199"/>
      <c r="JIQ116" s="198"/>
      <c r="JIR116" s="199"/>
      <c r="JIS116" s="198"/>
      <c r="JIT116" s="199"/>
      <c r="JIU116" s="198"/>
      <c r="JIV116" s="199"/>
      <c r="JIW116" s="198"/>
      <c r="JIX116" s="199"/>
      <c r="JIY116" s="198"/>
      <c r="JIZ116" s="199"/>
      <c r="JJA116" s="198"/>
      <c r="JJB116" s="199"/>
      <c r="JJC116" s="198"/>
      <c r="JJD116" s="199"/>
      <c r="JJE116" s="198"/>
      <c r="JJF116" s="199"/>
      <c r="JJG116" s="198"/>
      <c r="JJH116" s="199"/>
      <c r="JJI116" s="198"/>
      <c r="JJJ116" s="199"/>
      <c r="JJK116" s="198"/>
      <c r="JJL116" s="199"/>
      <c r="JJM116" s="198"/>
      <c r="JJN116" s="199"/>
      <c r="JJO116" s="198"/>
      <c r="JJP116" s="199"/>
      <c r="JJQ116" s="198"/>
      <c r="JJR116" s="199"/>
      <c r="JJS116" s="198"/>
      <c r="JJT116" s="199"/>
      <c r="JJU116" s="198"/>
      <c r="JJV116" s="199"/>
      <c r="JJW116" s="198"/>
      <c r="JJX116" s="199"/>
      <c r="JJY116" s="198"/>
      <c r="JJZ116" s="199"/>
      <c r="JKA116" s="198"/>
      <c r="JKB116" s="199"/>
      <c r="JKC116" s="198"/>
      <c r="JKD116" s="199"/>
      <c r="JKE116" s="198"/>
      <c r="JKF116" s="199"/>
      <c r="JKG116" s="198"/>
      <c r="JKH116" s="199"/>
      <c r="JKI116" s="198"/>
      <c r="JKJ116" s="199"/>
      <c r="JKK116" s="198"/>
      <c r="JKL116" s="199"/>
      <c r="JKM116" s="198"/>
      <c r="JKN116" s="199"/>
      <c r="JKO116" s="198"/>
      <c r="JKP116" s="199"/>
      <c r="JKQ116" s="198"/>
      <c r="JKR116" s="199"/>
      <c r="JKS116" s="198"/>
      <c r="JKT116" s="199"/>
      <c r="JKU116" s="198"/>
      <c r="JKV116" s="199"/>
      <c r="JKW116" s="198"/>
      <c r="JKX116" s="199"/>
      <c r="JKY116" s="198"/>
      <c r="JKZ116" s="199"/>
      <c r="JLA116" s="198"/>
      <c r="JLB116" s="199"/>
      <c r="JLC116" s="198"/>
      <c r="JLD116" s="199"/>
      <c r="JLE116" s="198"/>
      <c r="JLF116" s="199"/>
      <c r="JLG116" s="198"/>
      <c r="JLH116" s="199"/>
      <c r="JLI116" s="198"/>
      <c r="JLJ116" s="199"/>
      <c r="JLK116" s="198"/>
      <c r="JLL116" s="199"/>
      <c r="JLM116" s="198"/>
      <c r="JLN116" s="199"/>
      <c r="JLO116" s="198"/>
      <c r="JLP116" s="199"/>
      <c r="JLQ116" s="198"/>
      <c r="JLR116" s="199"/>
      <c r="JLS116" s="198"/>
      <c r="JLT116" s="199"/>
      <c r="JLU116" s="198"/>
      <c r="JLV116" s="199"/>
      <c r="JLW116" s="198"/>
      <c r="JLX116" s="199"/>
      <c r="JLY116" s="198"/>
      <c r="JLZ116" s="199"/>
      <c r="JMA116" s="198"/>
      <c r="JMB116" s="199"/>
      <c r="JMC116" s="198"/>
      <c r="JMD116" s="199"/>
      <c r="JME116" s="198"/>
      <c r="JMF116" s="199"/>
      <c r="JMG116" s="198"/>
      <c r="JMH116" s="199"/>
      <c r="JMI116" s="198"/>
      <c r="JMJ116" s="199"/>
      <c r="JMK116" s="198"/>
      <c r="JML116" s="199"/>
      <c r="JMM116" s="198"/>
      <c r="JMN116" s="199"/>
      <c r="JMO116" s="198"/>
      <c r="JMP116" s="199"/>
      <c r="JMQ116" s="198"/>
      <c r="JMR116" s="199"/>
      <c r="JMS116" s="198"/>
      <c r="JMT116" s="199"/>
      <c r="JMU116" s="198"/>
      <c r="JMV116" s="199"/>
      <c r="JMW116" s="198"/>
      <c r="JMX116" s="199"/>
      <c r="JMY116" s="198"/>
      <c r="JMZ116" s="199"/>
      <c r="JNA116" s="198"/>
      <c r="JNB116" s="199"/>
      <c r="JNC116" s="198"/>
      <c r="JND116" s="199"/>
      <c r="JNE116" s="198"/>
      <c r="JNF116" s="199"/>
      <c r="JNG116" s="198"/>
      <c r="JNH116" s="199"/>
      <c r="JNI116" s="198"/>
      <c r="JNJ116" s="199"/>
      <c r="JNK116" s="198"/>
      <c r="JNL116" s="199"/>
      <c r="JNM116" s="198"/>
      <c r="JNN116" s="199"/>
      <c r="JNO116" s="198"/>
      <c r="JNP116" s="199"/>
      <c r="JNQ116" s="198"/>
      <c r="JNR116" s="199"/>
      <c r="JNS116" s="198"/>
      <c r="JNT116" s="199"/>
      <c r="JNU116" s="198"/>
      <c r="JNV116" s="199"/>
      <c r="JNW116" s="198"/>
      <c r="JNX116" s="199"/>
      <c r="JNY116" s="198"/>
      <c r="JNZ116" s="199"/>
      <c r="JOA116" s="198"/>
      <c r="JOB116" s="199"/>
      <c r="JOC116" s="198"/>
      <c r="JOD116" s="199"/>
      <c r="JOE116" s="198"/>
      <c r="JOF116" s="199"/>
      <c r="JOG116" s="198"/>
      <c r="JOH116" s="199"/>
      <c r="JOI116" s="198"/>
      <c r="JOJ116" s="199"/>
      <c r="JOK116" s="198"/>
      <c r="JOL116" s="199"/>
      <c r="JOM116" s="198"/>
      <c r="JON116" s="199"/>
      <c r="JOO116" s="198"/>
      <c r="JOP116" s="199"/>
      <c r="JOQ116" s="198"/>
      <c r="JOR116" s="199"/>
      <c r="JOS116" s="198"/>
      <c r="JOT116" s="199"/>
      <c r="JOU116" s="198"/>
      <c r="JOV116" s="199"/>
      <c r="JOW116" s="198"/>
      <c r="JOX116" s="199"/>
      <c r="JOY116" s="198"/>
      <c r="JOZ116" s="199"/>
      <c r="JPA116" s="198"/>
      <c r="JPB116" s="199"/>
      <c r="JPC116" s="198"/>
      <c r="JPD116" s="199"/>
      <c r="JPE116" s="198"/>
      <c r="JPF116" s="199"/>
      <c r="JPG116" s="198"/>
      <c r="JPH116" s="199"/>
      <c r="JPI116" s="198"/>
      <c r="JPJ116" s="199"/>
      <c r="JPK116" s="198"/>
      <c r="JPL116" s="199"/>
      <c r="JPM116" s="198"/>
      <c r="JPN116" s="199"/>
      <c r="JPO116" s="198"/>
      <c r="JPP116" s="199"/>
      <c r="JPQ116" s="198"/>
      <c r="JPR116" s="199"/>
      <c r="JPS116" s="198"/>
      <c r="JPT116" s="199"/>
      <c r="JPU116" s="198"/>
      <c r="JPV116" s="199"/>
      <c r="JPW116" s="198"/>
      <c r="JPX116" s="199"/>
      <c r="JPY116" s="198"/>
      <c r="JPZ116" s="199"/>
      <c r="JQA116" s="198"/>
      <c r="JQB116" s="199"/>
      <c r="JQC116" s="198"/>
      <c r="JQD116" s="199"/>
      <c r="JQE116" s="198"/>
      <c r="JQF116" s="199"/>
      <c r="JQG116" s="198"/>
      <c r="JQH116" s="199"/>
      <c r="JQI116" s="198"/>
      <c r="JQJ116" s="199"/>
      <c r="JQK116" s="198"/>
      <c r="JQL116" s="199"/>
      <c r="JQM116" s="198"/>
      <c r="JQN116" s="199"/>
      <c r="JQO116" s="198"/>
      <c r="JQP116" s="199"/>
      <c r="JQQ116" s="198"/>
      <c r="JQR116" s="199"/>
      <c r="JQS116" s="198"/>
      <c r="JQT116" s="199"/>
      <c r="JQU116" s="198"/>
      <c r="JQV116" s="199"/>
      <c r="JQW116" s="198"/>
      <c r="JQX116" s="199"/>
      <c r="JQY116" s="198"/>
      <c r="JQZ116" s="199"/>
      <c r="JRA116" s="198"/>
      <c r="JRB116" s="199"/>
      <c r="JRC116" s="198"/>
      <c r="JRD116" s="199"/>
      <c r="JRE116" s="198"/>
      <c r="JRF116" s="199"/>
      <c r="JRG116" s="198"/>
      <c r="JRH116" s="199"/>
      <c r="JRI116" s="198"/>
      <c r="JRJ116" s="199"/>
      <c r="JRK116" s="198"/>
      <c r="JRL116" s="199"/>
      <c r="JRM116" s="198"/>
      <c r="JRN116" s="199"/>
      <c r="JRO116" s="198"/>
      <c r="JRP116" s="199"/>
      <c r="JRQ116" s="198"/>
      <c r="JRR116" s="199"/>
      <c r="JRS116" s="198"/>
      <c r="JRT116" s="199"/>
      <c r="JRU116" s="198"/>
      <c r="JRV116" s="199"/>
      <c r="JRW116" s="198"/>
      <c r="JRX116" s="199"/>
      <c r="JRY116" s="198"/>
      <c r="JRZ116" s="199"/>
      <c r="JSA116" s="198"/>
      <c r="JSB116" s="199"/>
      <c r="JSC116" s="198"/>
      <c r="JSD116" s="199"/>
      <c r="JSE116" s="198"/>
      <c r="JSF116" s="199"/>
      <c r="JSG116" s="198"/>
      <c r="JSH116" s="199"/>
      <c r="JSI116" s="198"/>
      <c r="JSJ116" s="199"/>
      <c r="JSK116" s="198"/>
      <c r="JSL116" s="199"/>
      <c r="JSM116" s="198"/>
      <c r="JSN116" s="199"/>
      <c r="JSO116" s="198"/>
      <c r="JSP116" s="199"/>
      <c r="JSQ116" s="198"/>
      <c r="JSR116" s="199"/>
      <c r="JSS116" s="198"/>
      <c r="JST116" s="199"/>
      <c r="JSU116" s="198"/>
      <c r="JSV116" s="199"/>
      <c r="JSW116" s="198"/>
      <c r="JSX116" s="199"/>
      <c r="JSY116" s="198"/>
      <c r="JSZ116" s="199"/>
      <c r="JTA116" s="198"/>
      <c r="JTB116" s="199"/>
      <c r="JTC116" s="198"/>
      <c r="JTD116" s="199"/>
      <c r="JTE116" s="198"/>
      <c r="JTF116" s="199"/>
      <c r="JTG116" s="198"/>
      <c r="JTH116" s="199"/>
      <c r="JTI116" s="198"/>
      <c r="JTJ116" s="199"/>
      <c r="JTK116" s="198"/>
      <c r="JTL116" s="199"/>
      <c r="JTM116" s="198"/>
      <c r="JTN116" s="199"/>
      <c r="JTO116" s="198"/>
      <c r="JTP116" s="199"/>
      <c r="JTQ116" s="198"/>
      <c r="JTR116" s="199"/>
      <c r="JTS116" s="198"/>
      <c r="JTT116" s="199"/>
      <c r="JTU116" s="198"/>
      <c r="JTV116" s="199"/>
      <c r="JTW116" s="198"/>
      <c r="JTX116" s="199"/>
      <c r="JTY116" s="198"/>
      <c r="JTZ116" s="199"/>
      <c r="JUA116" s="198"/>
      <c r="JUB116" s="199"/>
      <c r="JUC116" s="198"/>
      <c r="JUD116" s="199"/>
      <c r="JUE116" s="198"/>
      <c r="JUF116" s="199"/>
      <c r="JUG116" s="198"/>
      <c r="JUH116" s="199"/>
      <c r="JUI116" s="198"/>
      <c r="JUJ116" s="199"/>
      <c r="JUK116" s="198"/>
      <c r="JUL116" s="199"/>
      <c r="JUM116" s="198"/>
      <c r="JUN116" s="199"/>
      <c r="JUO116" s="198"/>
      <c r="JUP116" s="199"/>
      <c r="JUQ116" s="198"/>
      <c r="JUR116" s="199"/>
      <c r="JUS116" s="198"/>
      <c r="JUT116" s="199"/>
      <c r="JUU116" s="198"/>
      <c r="JUV116" s="199"/>
      <c r="JUW116" s="198"/>
      <c r="JUX116" s="199"/>
      <c r="JUY116" s="198"/>
      <c r="JUZ116" s="199"/>
      <c r="JVA116" s="198"/>
      <c r="JVB116" s="199"/>
      <c r="JVC116" s="198"/>
      <c r="JVD116" s="199"/>
      <c r="JVE116" s="198"/>
      <c r="JVF116" s="199"/>
      <c r="JVG116" s="198"/>
      <c r="JVH116" s="199"/>
      <c r="JVI116" s="198"/>
      <c r="JVJ116" s="199"/>
      <c r="JVK116" s="198"/>
      <c r="JVL116" s="199"/>
      <c r="JVM116" s="198"/>
      <c r="JVN116" s="199"/>
      <c r="JVO116" s="198"/>
      <c r="JVP116" s="199"/>
      <c r="JVQ116" s="198"/>
      <c r="JVR116" s="199"/>
      <c r="JVS116" s="198"/>
      <c r="JVT116" s="199"/>
      <c r="JVU116" s="198"/>
      <c r="JVV116" s="199"/>
      <c r="JVW116" s="198"/>
      <c r="JVX116" s="199"/>
      <c r="JVY116" s="198"/>
      <c r="JVZ116" s="199"/>
      <c r="JWA116" s="198"/>
      <c r="JWB116" s="199"/>
      <c r="JWC116" s="198"/>
      <c r="JWD116" s="199"/>
      <c r="JWE116" s="198"/>
      <c r="JWF116" s="199"/>
      <c r="JWG116" s="198"/>
      <c r="JWH116" s="199"/>
      <c r="JWI116" s="198"/>
      <c r="JWJ116" s="199"/>
      <c r="JWK116" s="198"/>
      <c r="JWL116" s="199"/>
      <c r="JWM116" s="198"/>
      <c r="JWN116" s="199"/>
      <c r="JWO116" s="198"/>
      <c r="JWP116" s="199"/>
      <c r="JWQ116" s="198"/>
      <c r="JWR116" s="199"/>
      <c r="JWS116" s="198"/>
      <c r="JWT116" s="199"/>
      <c r="JWU116" s="198"/>
      <c r="JWV116" s="199"/>
      <c r="JWW116" s="198"/>
      <c r="JWX116" s="199"/>
      <c r="JWY116" s="198"/>
      <c r="JWZ116" s="199"/>
      <c r="JXA116" s="198"/>
      <c r="JXB116" s="199"/>
      <c r="JXC116" s="198"/>
      <c r="JXD116" s="199"/>
      <c r="JXE116" s="198"/>
      <c r="JXF116" s="199"/>
      <c r="JXG116" s="198"/>
      <c r="JXH116" s="199"/>
      <c r="JXI116" s="198"/>
      <c r="JXJ116" s="199"/>
      <c r="JXK116" s="198"/>
      <c r="JXL116" s="199"/>
      <c r="JXM116" s="198"/>
      <c r="JXN116" s="199"/>
      <c r="JXO116" s="198"/>
      <c r="JXP116" s="199"/>
      <c r="JXQ116" s="198"/>
      <c r="JXR116" s="199"/>
      <c r="JXS116" s="198"/>
      <c r="JXT116" s="199"/>
      <c r="JXU116" s="198"/>
      <c r="JXV116" s="199"/>
      <c r="JXW116" s="198"/>
      <c r="JXX116" s="199"/>
      <c r="JXY116" s="198"/>
      <c r="JXZ116" s="199"/>
      <c r="JYA116" s="198"/>
      <c r="JYB116" s="199"/>
      <c r="JYC116" s="198"/>
      <c r="JYD116" s="199"/>
      <c r="JYE116" s="198"/>
      <c r="JYF116" s="199"/>
      <c r="JYG116" s="198"/>
      <c r="JYH116" s="199"/>
      <c r="JYI116" s="198"/>
      <c r="JYJ116" s="199"/>
      <c r="JYK116" s="198"/>
      <c r="JYL116" s="199"/>
      <c r="JYM116" s="198"/>
      <c r="JYN116" s="199"/>
      <c r="JYO116" s="198"/>
      <c r="JYP116" s="199"/>
      <c r="JYQ116" s="198"/>
      <c r="JYR116" s="199"/>
      <c r="JYS116" s="198"/>
      <c r="JYT116" s="199"/>
      <c r="JYU116" s="198"/>
      <c r="JYV116" s="199"/>
      <c r="JYW116" s="198"/>
      <c r="JYX116" s="199"/>
      <c r="JYY116" s="198"/>
      <c r="JYZ116" s="199"/>
      <c r="JZA116" s="198"/>
      <c r="JZB116" s="199"/>
      <c r="JZC116" s="198"/>
      <c r="JZD116" s="199"/>
      <c r="JZE116" s="198"/>
      <c r="JZF116" s="199"/>
      <c r="JZG116" s="198"/>
      <c r="JZH116" s="199"/>
      <c r="JZI116" s="198"/>
      <c r="JZJ116" s="199"/>
      <c r="JZK116" s="198"/>
      <c r="JZL116" s="199"/>
      <c r="JZM116" s="198"/>
      <c r="JZN116" s="199"/>
      <c r="JZO116" s="198"/>
      <c r="JZP116" s="199"/>
      <c r="JZQ116" s="198"/>
      <c r="JZR116" s="199"/>
      <c r="JZS116" s="198"/>
      <c r="JZT116" s="199"/>
      <c r="JZU116" s="198"/>
      <c r="JZV116" s="199"/>
      <c r="JZW116" s="198"/>
      <c r="JZX116" s="199"/>
      <c r="JZY116" s="198"/>
      <c r="JZZ116" s="199"/>
      <c r="KAA116" s="198"/>
      <c r="KAB116" s="199"/>
      <c r="KAC116" s="198"/>
      <c r="KAD116" s="199"/>
      <c r="KAE116" s="198"/>
      <c r="KAF116" s="199"/>
      <c r="KAG116" s="198"/>
      <c r="KAH116" s="199"/>
      <c r="KAI116" s="198"/>
      <c r="KAJ116" s="199"/>
      <c r="KAK116" s="198"/>
      <c r="KAL116" s="199"/>
      <c r="KAM116" s="198"/>
      <c r="KAN116" s="199"/>
      <c r="KAO116" s="198"/>
      <c r="KAP116" s="199"/>
      <c r="KAQ116" s="198"/>
      <c r="KAR116" s="199"/>
      <c r="KAS116" s="198"/>
      <c r="KAT116" s="199"/>
      <c r="KAU116" s="198"/>
      <c r="KAV116" s="199"/>
      <c r="KAW116" s="198"/>
      <c r="KAX116" s="199"/>
      <c r="KAY116" s="198"/>
      <c r="KAZ116" s="199"/>
      <c r="KBA116" s="198"/>
      <c r="KBB116" s="199"/>
      <c r="KBC116" s="198"/>
      <c r="KBD116" s="199"/>
      <c r="KBE116" s="198"/>
      <c r="KBF116" s="199"/>
      <c r="KBG116" s="198"/>
      <c r="KBH116" s="199"/>
      <c r="KBI116" s="198"/>
      <c r="KBJ116" s="199"/>
      <c r="KBK116" s="198"/>
      <c r="KBL116" s="199"/>
      <c r="KBM116" s="198"/>
      <c r="KBN116" s="199"/>
      <c r="KBO116" s="198"/>
      <c r="KBP116" s="199"/>
      <c r="KBQ116" s="198"/>
      <c r="KBR116" s="199"/>
      <c r="KBS116" s="198"/>
      <c r="KBT116" s="199"/>
      <c r="KBU116" s="198"/>
      <c r="KBV116" s="199"/>
      <c r="KBW116" s="198"/>
      <c r="KBX116" s="199"/>
      <c r="KBY116" s="198"/>
      <c r="KBZ116" s="199"/>
      <c r="KCA116" s="198"/>
      <c r="KCB116" s="199"/>
      <c r="KCC116" s="198"/>
      <c r="KCD116" s="199"/>
      <c r="KCE116" s="198"/>
      <c r="KCF116" s="199"/>
      <c r="KCG116" s="198"/>
      <c r="KCH116" s="199"/>
      <c r="KCI116" s="198"/>
      <c r="KCJ116" s="199"/>
      <c r="KCK116" s="198"/>
      <c r="KCL116" s="199"/>
      <c r="KCM116" s="198"/>
      <c r="KCN116" s="199"/>
      <c r="KCO116" s="198"/>
      <c r="KCP116" s="199"/>
      <c r="KCQ116" s="198"/>
      <c r="KCR116" s="199"/>
      <c r="KCS116" s="198"/>
      <c r="KCT116" s="199"/>
      <c r="KCU116" s="198"/>
      <c r="KCV116" s="199"/>
      <c r="KCW116" s="198"/>
      <c r="KCX116" s="199"/>
      <c r="KCY116" s="198"/>
      <c r="KCZ116" s="199"/>
      <c r="KDA116" s="198"/>
      <c r="KDB116" s="199"/>
      <c r="KDC116" s="198"/>
      <c r="KDD116" s="199"/>
      <c r="KDE116" s="198"/>
      <c r="KDF116" s="199"/>
      <c r="KDG116" s="198"/>
      <c r="KDH116" s="199"/>
      <c r="KDI116" s="198"/>
      <c r="KDJ116" s="199"/>
      <c r="KDK116" s="198"/>
      <c r="KDL116" s="199"/>
      <c r="KDM116" s="198"/>
      <c r="KDN116" s="199"/>
      <c r="KDO116" s="198"/>
      <c r="KDP116" s="199"/>
      <c r="KDQ116" s="198"/>
      <c r="KDR116" s="199"/>
      <c r="KDS116" s="198"/>
      <c r="KDT116" s="199"/>
      <c r="KDU116" s="198"/>
      <c r="KDV116" s="199"/>
      <c r="KDW116" s="198"/>
      <c r="KDX116" s="199"/>
      <c r="KDY116" s="198"/>
      <c r="KDZ116" s="199"/>
      <c r="KEA116" s="198"/>
      <c r="KEB116" s="199"/>
      <c r="KEC116" s="198"/>
      <c r="KED116" s="199"/>
      <c r="KEE116" s="198"/>
      <c r="KEF116" s="199"/>
      <c r="KEG116" s="198"/>
      <c r="KEH116" s="199"/>
      <c r="KEI116" s="198"/>
      <c r="KEJ116" s="199"/>
      <c r="KEK116" s="198"/>
      <c r="KEL116" s="199"/>
      <c r="KEM116" s="198"/>
      <c r="KEN116" s="199"/>
      <c r="KEO116" s="198"/>
      <c r="KEP116" s="199"/>
      <c r="KEQ116" s="198"/>
      <c r="KER116" s="199"/>
      <c r="KES116" s="198"/>
      <c r="KET116" s="199"/>
      <c r="KEU116" s="198"/>
      <c r="KEV116" s="199"/>
      <c r="KEW116" s="198"/>
      <c r="KEX116" s="199"/>
      <c r="KEY116" s="198"/>
      <c r="KEZ116" s="199"/>
      <c r="KFA116" s="198"/>
      <c r="KFB116" s="199"/>
      <c r="KFC116" s="198"/>
      <c r="KFD116" s="199"/>
      <c r="KFE116" s="198"/>
      <c r="KFF116" s="199"/>
      <c r="KFG116" s="198"/>
      <c r="KFH116" s="199"/>
      <c r="KFI116" s="198"/>
      <c r="KFJ116" s="199"/>
      <c r="KFK116" s="198"/>
      <c r="KFL116" s="199"/>
      <c r="KFM116" s="198"/>
      <c r="KFN116" s="199"/>
      <c r="KFO116" s="198"/>
      <c r="KFP116" s="199"/>
      <c r="KFQ116" s="198"/>
      <c r="KFR116" s="199"/>
      <c r="KFS116" s="198"/>
      <c r="KFT116" s="199"/>
      <c r="KFU116" s="198"/>
      <c r="KFV116" s="199"/>
      <c r="KFW116" s="198"/>
      <c r="KFX116" s="199"/>
      <c r="KFY116" s="198"/>
      <c r="KFZ116" s="199"/>
      <c r="KGA116" s="198"/>
      <c r="KGB116" s="199"/>
      <c r="KGC116" s="198"/>
      <c r="KGD116" s="199"/>
      <c r="KGE116" s="198"/>
      <c r="KGF116" s="199"/>
      <c r="KGG116" s="198"/>
      <c r="KGH116" s="199"/>
      <c r="KGI116" s="198"/>
      <c r="KGJ116" s="199"/>
      <c r="KGK116" s="198"/>
      <c r="KGL116" s="199"/>
      <c r="KGM116" s="198"/>
      <c r="KGN116" s="199"/>
      <c r="KGO116" s="198"/>
      <c r="KGP116" s="199"/>
      <c r="KGQ116" s="198"/>
      <c r="KGR116" s="199"/>
      <c r="KGS116" s="198"/>
      <c r="KGT116" s="199"/>
      <c r="KGU116" s="198"/>
      <c r="KGV116" s="199"/>
      <c r="KGW116" s="198"/>
      <c r="KGX116" s="199"/>
      <c r="KGY116" s="198"/>
      <c r="KGZ116" s="199"/>
      <c r="KHA116" s="198"/>
      <c r="KHB116" s="199"/>
      <c r="KHC116" s="198"/>
      <c r="KHD116" s="199"/>
      <c r="KHE116" s="198"/>
      <c r="KHF116" s="199"/>
      <c r="KHG116" s="198"/>
      <c r="KHH116" s="199"/>
      <c r="KHI116" s="198"/>
      <c r="KHJ116" s="199"/>
      <c r="KHK116" s="198"/>
      <c r="KHL116" s="199"/>
      <c r="KHM116" s="198"/>
      <c r="KHN116" s="199"/>
      <c r="KHO116" s="198"/>
      <c r="KHP116" s="199"/>
      <c r="KHQ116" s="198"/>
      <c r="KHR116" s="199"/>
      <c r="KHS116" s="198"/>
      <c r="KHT116" s="199"/>
      <c r="KHU116" s="198"/>
      <c r="KHV116" s="199"/>
      <c r="KHW116" s="198"/>
      <c r="KHX116" s="199"/>
      <c r="KHY116" s="198"/>
      <c r="KHZ116" s="199"/>
      <c r="KIA116" s="198"/>
      <c r="KIB116" s="199"/>
      <c r="KIC116" s="198"/>
      <c r="KID116" s="199"/>
      <c r="KIE116" s="198"/>
      <c r="KIF116" s="199"/>
      <c r="KIG116" s="198"/>
      <c r="KIH116" s="199"/>
      <c r="KII116" s="198"/>
      <c r="KIJ116" s="199"/>
      <c r="KIK116" s="198"/>
      <c r="KIL116" s="199"/>
      <c r="KIM116" s="198"/>
      <c r="KIN116" s="199"/>
      <c r="KIO116" s="198"/>
      <c r="KIP116" s="199"/>
      <c r="KIQ116" s="198"/>
      <c r="KIR116" s="199"/>
      <c r="KIS116" s="198"/>
      <c r="KIT116" s="199"/>
      <c r="KIU116" s="198"/>
      <c r="KIV116" s="199"/>
      <c r="KIW116" s="198"/>
      <c r="KIX116" s="199"/>
      <c r="KIY116" s="198"/>
      <c r="KIZ116" s="199"/>
      <c r="KJA116" s="198"/>
      <c r="KJB116" s="199"/>
      <c r="KJC116" s="198"/>
      <c r="KJD116" s="199"/>
      <c r="KJE116" s="198"/>
      <c r="KJF116" s="199"/>
      <c r="KJG116" s="198"/>
      <c r="KJH116" s="199"/>
      <c r="KJI116" s="198"/>
      <c r="KJJ116" s="199"/>
      <c r="KJK116" s="198"/>
      <c r="KJL116" s="199"/>
      <c r="KJM116" s="198"/>
      <c r="KJN116" s="199"/>
      <c r="KJO116" s="198"/>
      <c r="KJP116" s="199"/>
      <c r="KJQ116" s="198"/>
      <c r="KJR116" s="199"/>
      <c r="KJS116" s="198"/>
      <c r="KJT116" s="199"/>
      <c r="KJU116" s="198"/>
      <c r="KJV116" s="199"/>
      <c r="KJW116" s="198"/>
      <c r="KJX116" s="199"/>
      <c r="KJY116" s="198"/>
      <c r="KJZ116" s="199"/>
      <c r="KKA116" s="198"/>
      <c r="KKB116" s="199"/>
      <c r="KKC116" s="198"/>
      <c r="KKD116" s="199"/>
      <c r="KKE116" s="198"/>
      <c r="KKF116" s="199"/>
      <c r="KKG116" s="198"/>
      <c r="KKH116" s="199"/>
      <c r="KKI116" s="198"/>
      <c r="KKJ116" s="199"/>
      <c r="KKK116" s="198"/>
      <c r="KKL116" s="199"/>
      <c r="KKM116" s="198"/>
      <c r="KKN116" s="199"/>
      <c r="KKO116" s="198"/>
      <c r="KKP116" s="199"/>
      <c r="KKQ116" s="198"/>
      <c r="KKR116" s="199"/>
      <c r="KKS116" s="198"/>
      <c r="KKT116" s="199"/>
      <c r="KKU116" s="198"/>
      <c r="KKV116" s="199"/>
      <c r="KKW116" s="198"/>
      <c r="KKX116" s="199"/>
      <c r="KKY116" s="198"/>
      <c r="KKZ116" s="199"/>
      <c r="KLA116" s="198"/>
      <c r="KLB116" s="199"/>
      <c r="KLC116" s="198"/>
      <c r="KLD116" s="199"/>
      <c r="KLE116" s="198"/>
      <c r="KLF116" s="199"/>
      <c r="KLG116" s="198"/>
      <c r="KLH116" s="199"/>
      <c r="KLI116" s="198"/>
      <c r="KLJ116" s="199"/>
      <c r="KLK116" s="198"/>
      <c r="KLL116" s="199"/>
      <c r="KLM116" s="198"/>
      <c r="KLN116" s="199"/>
      <c r="KLO116" s="198"/>
      <c r="KLP116" s="199"/>
      <c r="KLQ116" s="198"/>
      <c r="KLR116" s="199"/>
      <c r="KLS116" s="198"/>
      <c r="KLT116" s="199"/>
      <c r="KLU116" s="198"/>
      <c r="KLV116" s="199"/>
      <c r="KLW116" s="198"/>
      <c r="KLX116" s="199"/>
      <c r="KLY116" s="198"/>
      <c r="KLZ116" s="199"/>
      <c r="KMA116" s="198"/>
      <c r="KMB116" s="199"/>
      <c r="KMC116" s="198"/>
      <c r="KMD116" s="199"/>
      <c r="KME116" s="198"/>
      <c r="KMF116" s="199"/>
      <c r="KMG116" s="198"/>
      <c r="KMH116" s="199"/>
      <c r="KMI116" s="198"/>
      <c r="KMJ116" s="199"/>
      <c r="KMK116" s="198"/>
      <c r="KML116" s="199"/>
      <c r="KMM116" s="198"/>
      <c r="KMN116" s="199"/>
      <c r="KMO116" s="198"/>
      <c r="KMP116" s="199"/>
      <c r="KMQ116" s="198"/>
      <c r="KMR116" s="199"/>
      <c r="KMS116" s="198"/>
      <c r="KMT116" s="199"/>
      <c r="KMU116" s="198"/>
      <c r="KMV116" s="199"/>
      <c r="KMW116" s="198"/>
      <c r="KMX116" s="199"/>
      <c r="KMY116" s="198"/>
      <c r="KMZ116" s="199"/>
      <c r="KNA116" s="198"/>
      <c r="KNB116" s="199"/>
      <c r="KNC116" s="198"/>
      <c r="KND116" s="199"/>
      <c r="KNE116" s="198"/>
      <c r="KNF116" s="199"/>
      <c r="KNG116" s="198"/>
      <c r="KNH116" s="199"/>
      <c r="KNI116" s="198"/>
      <c r="KNJ116" s="199"/>
      <c r="KNK116" s="198"/>
      <c r="KNL116" s="199"/>
      <c r="KNM116" s="198"/>
      <c r="KNN116" s="199"/>
      <c r="KNO116" s="198"/>
      <c r="KNP116" s="199"/>
      <c r="KNQ116" s="198"/>
      <c r="KNR116" s="199"/>
      <c r="KNS116" s="198"/>
      <c r="KNT116" s="199"/>
      <c r="KNU116" s="198"/>
      <c r="KNV116" s="199"/>
      <c r="KNW116" s="198"/>
      <c r="KNX116" s="199"/>
      <c r="KNY116" s="198"/>
      <c r="KNZ116" s="199"/>
      <c r="KOA116" s="198"/>
      <c r="KOB116" s="199"/>
      <c r="KOC116" s="198"/>
      <c r="KOD116" s="199"/>
      <c r="KOE116" s="198"/>
      <c r="KOF116" s="199"/>
      <c r="KOG116" s="198"/>
      <c r="KOH116" s="199"/>
      <c r="KOI116" s="198"/>
      <c r="KOJ116" s="199"/>
      <c r="KOK116" s="198"/>
      <c r="KOL116" s="199"/>
      <c r="KOM116" s="198"/>
      <c r="KON116" s="199"/>
      <c r="KOO116" s="198"/>
      <c r="KOP116" s="199"/>
      <c r="KOQ116" s="198"/>
      <c r="KOR116" s="199"/>
      <c r="KOS116" s="198"/>
      <c r="KOT116" s="199"/>
      <c r="KOU116" s="198"/>
      <c r="KOV116" s="199"/>
      <c r="KOW116" s="198"/>
      <c r="KOX116" s="199"/>
      <c r="KOY116" s="198"/>
      <c r="KOZ116" s="199"/>
      <c r="KPA116" s="198"/>
      <c r="KPB116" s="199"/>
      <c r="KPC116" s="198"/>
      <c r="KPD116" s="199"/>
      <c r="KPE116" s="198"/>
      <c r="KPF116" s="199"/>
      <c r="KPG116" s="198"/>
      <c r="KPH116" s="199"/>
      <c r="KPI116" s="198"/>
      <c r="KPJ116" s="199"/>
      <c r="KPK116" s="198"/>
      <c r="KPL116" s="199"/>
      <c r="KPM116" s="198"/>
      <c r="KPN116" s="199"/>
      <c r="KPO116" s="198"/>
      <c r="KPP116" s="199"/>
      <c r="KPQ116" s="198"/>
      <c r="KPR116" s="199"/>
      <c r="KPS116" s="198"/>
      <c r="KPT116" s="199"/>
      <c r="KPU116" s="198"/>
      <c r="KPV116" s="199"/>
      <c r="KPW116" s="198"/>
      <c r="KPX116" s="199"/>
      <c r="KPY116" s="198"/>
      <c r="KPZ116" s="199"/>
      <c r="KQA116" s="198"/>
      <c r="KQB116" s="199"/>
      <c r="KQC116" s="198"/>
      <c r="KQD116" s="199"/>
      <c r="KQE116" s="198"/>
      <c r="KQF116" s="199"/>
      <c r="KQG116" s="198"/>
      <c r="KQH116" s="199"/>
      <c r="KQI116" s="198"/>
      <c r="KQJ116" s="199"/>
      <c r="KQK116" s="198"/>
      <c r="KQL116" s="199"/>
      <c r="KQM116" s="198"/>
      <c r="KQN116" s="199"/>
      <c r="KQO116" s="198"/>
      <c r="KQP116" s="199"/>
      <c r="KQQ116" s="198"/>
      <c r="KQR116" s="199"/>
      <c r="KQS116" s="198"/>
      <c r="KQT116" s="199"/>
      <c r="KQU116" s="198"/>
      <c r="KQV116" s="199"/>
      <c r="KQW116" s="198"/>
      <c r="KQX116" s="199"/>
      <c r="KQY116" s="198"/>
      <c r="KQZ116" s="199"/>
      <c r="KRA116" s="198"/>
      <c r="KRB116" s="199"/>
      <c r="KRC116" s="198"/>
      <c r="KRD116" s="199"/>
      <c r="KRE116" s="198"/>
      <c r="KRF116" s="199"/>
      <c r="KRG116" s="198"/>
      <c r="KRH116" s="199"/>
      <c r="KRI116" s="198"/>
      <c r="KRJ116" s="199"/>
      <c r="KRK116" s="198"/>
      <c r="KRL116" s="199"/>
      <c r="KRM116" s="198"/>
      <c r="KRN116" s="199"/>
      <c r="KRO116" s="198"/>
      <c r="KRP116" s="199"/>
      <c r="KRQ116" s="198"/>
      <c r="KRR116" s="199"/>
      <c r="KRS116" s="198"/>
      <c r="KRT116" s="199"/>
      <c r="KRU116" s="198"/>
      <c r="KRV116" s="199"/>
      <c r="KRW116" s="198"/>
      <c r="KRX116" s="199"/>
      <c r="KRY116" s="198"/>
      <c r="KRZ116" s="199"/>
      <c r="KSA116" s="198"/>
      <c r="KSB116" s="199"/>
      <c r="KSC116" s="198"/>
      <c r="KSD116" s="199"/>
      <c r="KSE116" s="198"/>
      <c r="KSF116" s="199"/>
      <c r="KSG116" s="198"/>
      <c r="KSH116" s="199"/>
      <c r="KSI116" s="198"/>
      <c r="KSJ116" s="199"/>
      <c r="KSK116" s="198"/>
      <c r="KSL116" s="199"/>
      <c r="KSM116" s="198"/>
      <c r="KSN116" s="199"/>
      <c r="KSO116" s="198"/>
      <c r="KSP116" s="199"/>
      <c r="KSQ116" s="198"/>
      <c r="KSR116" s="199"/>
      <c r="KSS116" s="198"/>
      <c r="KST116" s="199"/>
      <c r="KSU116" s="198"/>
      <c r="KSV116" s="199"/>
      <c r="KSW116" s="198"/>
      <c r="KSX116" s="199"/>
      <c r="KSY116" s="198"/>
      <c r="KSZ116" s="199"/>
      <c r="KTA116" s="198"/>
      <c r="KTB116" s="199"/>
      <c r="KTC116" s="198"/>
      <c r="KTD116" s="199"/>
      <c r="KTE116" s="198"/>
      <c r="KTF116" s="199"/>
      <c r="KTG116" s="198"/>
      <c r="KTH116" s="199"/>
      <c r="KTI116" s="198"/>
      <c r="KTJ116" s="199"/>
      <c r="KTK116" s="198"/>
      <c r="KTL116" s="199"/>
      <c r="KTM116" s="198"/>
      <c r="KTN116" s="199"/>
      <c r="KTO116" s="198"/>
      <c r="KTP116" s="199"/>
      <c r="KTQ116" s="198"/>
      <c r="KTR116" s="199"/>
      <c r="KTS116" s="198"/>
      <c r="KTT116" s="199"/>
      <c r="KTU116" s="198"/>
      <c r="KTV116" s="199"/>
      <c r="KTW116" s="198"/>
      <c r="KTX116" s="199"/>
      <c r="KTY116" s="198"/>
      <c r="KTZ116" s="199"/>
      <c r="KUA116" s="198"/>
      <c r="KUB116" s="199"/>
      <c r="KUC116" s="198"/>
      <c r="KUD116" s="199"/>
      <c r="KUE116" s="198"/>
      <c r="KUF116" s="199"/>
      <c r="KUG116" s="198"/>
      <c r="KUH116" s="199"/>
      <c r="KUI116" s="198"/>
      <c r="KUJ116" s="199"/>
      <c r="KUK116" s="198"/>
      <c r="KUL116" s="199"/>
      <c r="KUM116" s="198"/>
      <c r="KUN116" s="199"/>
      <c r="KUO116" s="198"/>
      <c r="KUP116" s="199"/>
      <c r="KUQ116" s="198"/>
      <c r="KUR116" s="199"/>
      <c r="KUS116" s="198"/>
      <c r="KUT116" s="199"/>
      <c r="KUU116" s="198"/>
      <c r="KUV116" s="199"/>
      <c r="KUW116" s="198"/>
      <c r="KUX116" s="199"/>
      <c r="KUY116" s="198"/>
      <c r="KUZ116" s="199"/>
      <c r="KVA116" s="198"/>
      <c r="KVB116" s="199"/>
      <c r="KVC116" s="198"/>
      <c r="KVD116" s="199"/>
      <c r="KVE116" s="198"/>
      <c r="KVF116" s="199"/>
      <c r="KVG116" s="198"/>
      <c r="KVH116" s="199"/>
      <c r="KVI116" s="198"/>
      <c r="KVJ116" s="199"/>
      <c r="KVK116" s="198"/>
      <c r="KVL116" s="199"/>
      <c r="KVM116" s="198"/>
      <c r="KVN116" s="199"/>
      <c r="KVO116" s="198"/>
      <c r="KVP116" s="199"/>
      <c r="KVQ116" s="198"/>
      <c r="KVR116" s="199"/>
      <c r="KVS116" s="198"/>
      <c r="KVT116" s="199"/>
      <c r="KVU116" s="198"/>
      <c r="KVV116" s="199"/>
      <c r="KVW116" s="198"/>
      <c r="KVX116" s="199"/>
      <c r="KVY116" s="198"/>
      <c r="KVZ116" s="199"/>
      <c r="KWA116" s="198"/>
      <c r="KWB116" s="199"/>
      <c r="KWC116" s="198"/>
      <c r="KWD116" s="199"/>
      <c r="KWE116" s="198"/>
      <c r="KWF116" s="199"/>
      <c r="KWG116" s="198"/>
      <c r="KWH116" s="199"/>
      <c r="KWI116" s="198"/>
      <c r="KWJ116" s="199"/>
      <c r="KWK116" s="198"/>
      <c r="KWL116" s="199"/>
      <c r="KWM116" s="198"/>
      <c r="KWN116" s="199"/>
      <c r="KWO116" s="198"/>
      <c r="KWP116" s="199"/>
      <c r="KWQ116" s="198"/>
      <c r="KWR116" s="199"/>
      <c r="KWS116" s="198"/>
      <c r="KWT116" s="199"/>
      <c r="KWU116" s="198"/>
      <c r="KWV116" s="199"/>
      <c r="KWW116" s="198"/>
      <c r="KWX116" s="199"/>
      <c r="KWY116" s="198"/>
      <c r="KWZ116" s="199"/>
      <c r="KXA116" s="198"/>
      <c r="KXB116" s="199"/>
      <c r="KXC116" s="198"/>
      <c r="KXD116" s="199"/>
      <c r="KXE116" s="198"/>
      <c r="KXF116" s="199"/>
      <c r="KXG116" s="198"/>
      <c r="KXH116" s="199"/>
      <c r="KXI116" s="198"/>
      <c r="KXJ116" s="199"/>
      <c r="KXK116" s="198"/>
      <c r="KXL116" s="199"/>
      <c r="KXM116" s="198"/>
      <c r="KXN116" s="199"/>
      <c r="KXO116" s="198"/>
      <c r="KXP116" s="199"/>
      <c r="KXQ116" s="198"/>
      <c r="KXR116" s="199"/>
      <c r="KXS116" s="198"/>
      <c r="KXT116" s="199"/>
      <c r="KXU116" s="198"/>
      <c r="KXV116" s="199"/>
      <c r="KXW116" s="198"/>
      <c r="KXX116" s="199"/>
      <c r="KXY116" s="198"/>
      <c r="KXZ116" s="199"/>
      <c r="KYA116" s="198"/>
      <c r="KYB116" s="199"/>
      <c r="KYC116" s="198"/>
      <c r="KYD116" s="199"/>
      <c r="KYE116" s="198"/>
      <c r="KYF116" s="199"/>
      <c r="KYG116" s="198"/>
      <c r="KYH116" s="199"/>
      <c r="KYI116" s="198"/>
      <c r="KYJ116" s="199"/>
      <c r="KYK116" s="198"/>
      <c r="KYL116" s="199"/>
      <c r="KYM116" s="198"/>
      <c r="KYN116" s="199"/>
      <c r="KYO116" s="198"/>
      <c r="KYP116" s="199"/>
      <c r="KYQ116" s="198"/>
      <c r="KYR116" s="199"/>
      <c r="KYS116" s="198"/>
      <c r="KYT116" s="199"/>
      <c r="KYU116" s="198"/>
      <c r="KYV116" s="199"/>
      <c r="KYW116" s="198"/>
      <c r="KYX116" s="199"/>
      <c r="KYY116" s="198"/>
      <c r="KYZ116" s="199"/>
      <c r="KZA116" s="198"/>
      <c r="KZB116" s="199"/>
      <c r="KZC116" s="198"/>
      <c r="KZD116" s="199"/>
      <c r="KZE116" s="198"/>
      <c r="KZF116" s="199"/>
      <c r="KZG116" s="198"/>
      <c r="KZH116" s="199"/>
      <c r="KZI116" s="198"/>
      <c r="KZJ116" s="199"/>
      <c r="KZK116" s="198"/>
      <c r="KZL116" s="199"/>
      <c r="KZM116" s="198"/>
      <c r="KZN116" s="199"/>
      <c r="KZO116" s="198"/>
      <c r="KZP116" s="199"/>
      <c r="KZQ116" s="198"/>
      <c r="KZR116" s="199"/>
      <c r="KZS116" s="198"/>
      <c r="KZT116" s="199"/>
      <c r="KZU116" s="198"/>
      <c r="KZV116" s="199"/>
      <c r="KZW116" s="198"/>
      <c r="KZX116" s="199"/>
      <c r="KZY116" s="198"/>
      <c r="KZZ116" s="199"/>
      <c r="LAA116" s="198"/>
      <c r="LAB116" s="199"/>
      <c r="LAC116" s="198"/>
      <c r="LAD116" s="199"/>
      <c r="LAE116" s="198"/>
      <c r="LAF116" s="199"/>
      <c r="LAG116" s="198"/>
      <c r="LAH116" s="199"/>
      <c r="LAI116" s="198"/>
      <c r="LAJ116" s="199"/>
      <c r="LAK116" s="198"/>
      <c r="LAL116" s="199"/>
      <c r="LAM116" s="198"/>
      <c r="LAN116" s="199"/>
      <c r="LAO116" s="198"/>
      <c r="LAP116" s="199"/>
      <c r="LAQ116" s="198"/>
      <c r="LAR116" s="199"/>
      <c r="LAS116" s="198"/>
      <c r="LAT116" s="199"/>
      <c r="LAU116" s="198"/>
      <c r="LAV116" s="199"/>
      <c r="LAW116" s="198"/>
      <c r="LAX116" s="199"/>
      <c r="LAY116" s="198"/>
      <c r="LAZ116" s="199"/>
      <c r="LBA116" s="198"/>
      <c r="LBB116" s="199"/>
      <c r="LBC116" s="198"/>
      <c r="LBD116" s="199"/>
      <c r="LBE116" s="198"/>
      <c r="LBF116" s="199"/>
      <c r="LBG116" s="198"/>
      <c r="LBH116" s="199"/>
      <c r="LBI116" s="198"/>
      <c r="LBJ116" s="199"/>
      <c r="LBK116" s="198"/>
      <c r="LBL116" s="199"/>
      <c r="LBM116" s="198"/>
      <c r="LBN116" s="199"/>
      <c r="LBO116" s="198"/>
      <c r="LBP116" s="199"/>
      <c r="LBQ116" s="198"/>
      <c r="LBR116" s="199"/>
      <c r="LBS116" s="198"/>
      <c r="LBT116" s="199"/>
      <c r="LBU116" s="198"/>
      <c r="LBV116" s="199"/>
      <c r="LBW116" s="198"/>
      <c r="LBX116" s="199"/>
      <c r="LBY116" s="198"/>
      <c r="LBZ116" s="199"/>
      <c r="LCA116" s="198"/>
      <c r="LCB116" s="199"/>
      <c r="LCC116" s="198"/>
      <c r="LCD116" s="199"/>
      <c r="LCE116" s="198"/>
      <c r="LCF116" s="199"/>
      <c r="LCG116" s="198"/>
      <c r="LCH116" s="199"/>
      <c r="LCI116" s="198"/>
      <c r="LCJ116" s="199"/>
      <c r="LCK116" s="198"/>
      <c r="LCL116" s="199"/>
      <c r="LCM116" s="198"/>
      <c r="LCN116" s="199"/>
      <c r="LCO116" s="198"/>
      <c r="LCP116" s="199"/>
      <c r="LCQ116" s="198"/>
      <c r="LCR116" s="199"/>
      <c r="LCS116" s="198"/>
      <c r="LCT116" s="199"/>
      <c r="LCU116" s="198"/>
      <c r="LCV116" s="199"/>
      <c r="LCW116" s="198"/>
      <c r="LCX116" s="199"/>
      <c r="LCY116" s="198"/>
      <c r="LCZ116" s="199"/>
      <c r="LDA116" s="198"/>
      <c r="LDB116" s="199"/>
      <c r="LDC116" s="198"/>
      <c r="LDD116" s="199"/>
      <c r="LDE116" s="198"/>
      <c r="LDF116" s="199"/>
      <c r="LDG116" s="198"/>
      <c r="LDH116" s="199"/>
      <c r="LDI116" s="198"/>
      <c r="LDJ116" s="199"/>
      <c r="LDK116" s="198"/>
      <c r="LDL116" s="199"/>
      <c r="LDM116" s="198"/>
      <c r="LDN116" s="199"/>
      <c r="LDO116" s="198"/>
      <c r="LDP116" s="199"/>
      <c r="LDQ116" s="198"/>
      <c r="LDR116" s="199"/>
      <c r="LDS116" s="198"/>
      <c r="LDT116" s="199"/>
      <c r="LDU116" s="198"/>
      <c r="LDV116" s="199"/>
      <c r="LDW116" s="198"/>
      <c r="LDX116" s="199"/>
      <c r="LDY116" s="198"/>
      <c r="LDZ116" s="199"/>
      <c r="LEA116" s="198"/>
      <c r="LEB116" s="199"/>
      <c r="LEC116" s="198"/>
      <c r="LED116" s="199"/>
      <c r="LEE116" s="198"/>
      <c r="LEF116" s="199"/>
      <c r="LEG116" s="198"/>
      <c r="LEH116" s="199"/>
      <c r="LEI116" s="198"/>
      <c r="LEJ116" s="199"/>
      <c r="LEK116" s="198"/>
      <c r="LEL116" s="199"/>
      <c r="LEM116" s="198"/>
      <c r="LEN116" s="199"/>
      <c r="LEO116" s="198"/>
      <c r="LEP116" s="199"/>
      <c r="LEQ116" s="198"/>
      <c r="LER116" s="199"/>
      <c r="LES116" s="198"/>
      <c r="LET116" s="199"/>
      <c r="LEU116" s="198"/>
      <c r="LEV116" s="199"/>
      <c r="LEW116" s="198"/>
      <c r="LEX116" s="199"/>
      <c r="LEY116" s="198"/>
      <c r="LEZ116" s="199"/>
      <c r="LFA116" s="198"/>
      <c r="LFB116" s="199"/>
      <c r="LFC116" s="198"/>
      <c r="LFD116" s="199"/>
      <c r="LFE116" s="198"/>
      <c r="LFF116" s="199"/>
      <c r="LFG116" s="198"/>
      <c r="LFH116" s="199"/>
      <c r="LFI116" s="198"/>
      <c r="LFJ116" s="199"/>
      <c r="LFK116" s="198"/>
      <c r="LFL116" s="199"/>
      <c r="LFM116" s="198"/>
      <c r="LFN116" s="199"/>
      <c r="LFO116" s="198"/>
      <c r="LFP116" s="199"/>
      <c r="LFQ116" s="198"/>
      <c r="LFR116" s="199"/>
      <c r="LFS116" s="198"/>
      <c r="LFT116" s="199"/>
      <c r="LFU116" s="198"/>
      <c r="LFV116" s="199"/>
      <c r="LFW116" s="198"/>
      <c r="LFX116" s="199"/>
      <c r="LFY116" s="198"/>
      <c r="LFZ116" s="199"/>
      <c r="LGA116" s="198"/>
      <c r="LGB116" s="199"/>
      <c r="LGC116" s="198"/>
      <c r="LGD116" s="199"/>
      <c r="LGE116" s="198"/>
      <c r="LGF116" s="199"/>
      <c r="LGG116" s="198"/>
      <c r="LGH116" s="199"/>
      <c r="LGI116" s="198"/>
      <c r="LGJ116" s="199"/>
      <c r="LGK116" s="198"/>
      <c r="LGL116" s="199"/>
      <c r="LGM116" s="198"/>
      <c r="LGN116" s="199"/>
      <c r="LGO116" s="198"/>
      <c r="LGP116" s="199"/>
      <c r="LGQ116" s="198"/>
      <c r="LGR116" s="199"/>
      <c r="LGS116" s="198"/>
      <c r="LGT116" s="199"/>
      <c r="LGU116" s="198"/>
      <c r="LGV116" s="199"/>
      <c r="LGW116" s="198"/>
      <c r="LGX116" s="199"/>
      <c r="LGY116" s="198"/>
      <c r="LGZ116" s="199"/>
      <c r="LHA116" s="198"/>
      <c r="LHB116" s="199"/>
      <c r="LHC116" s="198"/>
      <c r="LHD116" s="199"/>
      <c r="LHE116" s="198"/>
      <c r="LHF116" s="199"/>
      <c r="LHG116" s="198"/>
      <c r="LHH116" s="199"/>
      <c r="LHI116" s="198"/>
      <c r="LHJ116" s="199"/>
      <c r="LHK116" s="198"/>
      <c r="LHL116" s="199"/>
      <c r="LHM116" s="198"/>
      <c r="LHN116" s="199"/>
      <c r="LHO116" s="198"/>
      <c r="LHP116" s="199"/>
      <c r="LHQ116" s="198"/>
      <c r="LHR116" s="199"/>
      <c r="LHS116" s="198"/>
      <c r="LHT116" s="199"/>
      <c r="LHU116" s="198"/>
      <c r="LHV116" s="199"/>
      <c r="LHW116" s="198"/>
      <c r="LHX116" s="199"/>
      <c r="LHY116" s="198"/>
      <c r="LHZ116" s="199"/>
      <c r="LIA116" s="198"/>
      <c r="LIB116" s="199"/>
      <c r="LIC116" s="198"/>
      <c r="LID116" s="199"/>
      <c r="LIE116" s="198"/>
      <c r="LIF116" s="199"/>
      <c r="LIG116" s="198"/>
      <c r="LIH116" s="199"/>
      <c r="LII116" s="198"/>
      <c r="LIJ116" s="199"/>
      <c r="LIK116" s="198"/>
      <c r="LIL116" s="199"/>
      <c r="LIM116" s="198"/>
      <c r="LIN116" s="199"/>
      <c r="LIO116" s="198"/>
      <c r="LIP116" s="199"/>
      <c r="LIQ116" s="198"/>
      <c r="LIR116" s="199"/>
      <c r="LIS116" s="198"/>
      <c r="LIT116" s="199"/>
      <c r="LIU116" s="198"/>
      <c r="LIV116" s="199"/>
      <c r="LIW116" s="198"/>
      <c r="LIX116" s="199"/>
      <c r="LIY116" s="198"/>
      <c r="LIZ116" s="199"/>
      <c r="LJA116" s="198"/>
      <c r="LJB116" s="199"/>
      <c r="LJC116" s="198"/>
      <c r="LJD116" s="199"/>
      <c r="LJE116" s="198"/>
      <c r="LJF116" s="199"/>
      <c r="LJG116" s="198"/>
      <c r="LJH116" s="199"/>
      <c r="LJI116" s="198"/>
      <c r="LJJ116" s="199"/>
      <c r="LJK116" s="198"/>
      <c r="LJL116" s="199"/>
      <c r="LJM116" s="198"/>
      <c r="LJN116" s="199"/>
      <c r="LJO116" s="198"/>
      <c r="LJP116" s="199"/>
      <c r="LJQ116" s="198"/>
      <c r="LJR116" s="199"/>
      <c r="LJS116" s="198"/>
      <c r="LJT116" s="199"/>
      <c r="LJU116" s="198"/>
      <c r="LJV116" s="199"/>
      <c r="LJW116" s="198"/>
      <c r="LJX116" s="199"/>
      <c r="LJY116" s="198"/>
      <c r="LJZ116" s="199"/>
      <c r="LKA116" s="198"/>
      <c r="LKB116" s="199"/>
      <c r="LKC116" s="198"/>
      <c r="LKD116" s="199"/>
      <c r="LKE116" s="198"/>
      <c r="LKF116" s="199"/>
      <c r="LKG116" s="198"/>
      <c r="LKH116" s="199"/>
      <c r="LKI116" s="198"/>
      <c r="LKJ116" s="199"/>
      <c r="LKK116" s="198"/>
      <c r="LKL116" s="199"/>
      <c r="LKM116" s="198"/>
      <c r="LKN116" s="199"/>
      <c r="LKO116" s="198"/>
      <c r="LKP116" s="199"/>
      <c r="LKQ116" s="198"/>
      <c r="LKR116" s="199"/>
      <c r="LKS116" s="198"/>
      <c r="LKT116" s="199"/>
      <c r="LKU116" s="198"/>
      <c r="LKV116" s="199"/>
      <c r="LKW116" s="198"/>
      <c r="LKX116" s="199"/>
      <c r="LKY116" s="198"/>
      <c r="LKZ116" s="199"/>
      <c r="LLA116" s="198"/>
      <c r="LLB116" s="199"/>
      <c r="LLC116" s="198"/>
      <c r="LLD116" s="199"/>
      <c r="LLE116" s="198"/>
      <c r="LLF116" s="199"/>
      <c r="LLG116" s="198"/>
      <c r="LLH116" s="199"/>
      <c r="LLI116" s="198"/>
      <c r="LLJ116" s="199"/>
      <c r="LLK116" s="198"/>
      <c r="LLL116" s="199"/>
      <c r="LLM116" s="198"/>
      <c r="LLN116" s="199"/>
      <c r="LLO116" s="198"/>
      <c r="LLP116" s="199"/>
      <c r="LLQ116" s="198"/>
      <c r="LLR116" s="199"/>
      <c r="LLS116" s="198"/>
      <c r="LLT116" s="199"/>
      <c r="LLU116" s="198"/>
      <c r="LLV116" s="199"/>
      <c r="LLW116" s="198"/>
      <c r="LLX116" s="199"/>
      <c r="LLY116" s="198"/>
      <c r="LLZ116" s="199"/>
      <c r="LMA116" s="198"/>
      <c r="LMB116" s="199"/>
      <c r="LMC116" s="198"/>
      <c r="LMD116" s="199"/>
      <c r="LME116" s="198"/>
      <c r="LMF116" s="199"/>
      <c r="LMG116" s="198"/>
      <c r="LMH116" s="199"/>
      <c r="LMI116" s="198"/>
      <c r="LMJ116" s="199"/>
      <c r="LMK116" s="198"/>
      <c r="LML116" s="199"/>
      <c r="LMM116" s="198"/>
      <c r="LMN116" s="199"/>
      <c r="LMO116" s="198"/>
      <c r="LMP116" s="199"/>
      <c r="LMQ116" s="198"/>
      <c r="LMR116" s="199"/>
      <c r="LMS116" s="198"/>
      <c r="LMT116" s="199"/>
      <c r="LMU116" s="198"/>
      <c r="LMV116" s="199"/>
      <c r="LMW116" s="198"/>
      <c r="LMX116" s="199"/>
      <c r="LMY116" s="198"/>
      <c r="LMZ116" s="199"/>
      <c r="LNA116" s="198"/>
      <c r="LNB116" s="199"/>
      <c r="LNC116" s="198"/>
      <c r="LND116" s="199"/>
      <c r="LNE116" s="198"/>
      <c r="LNF116" s="199"/>
      <c r="LNG116" s="198"/>
      <c r="LNH116" s="199"/>
      <c r="LNI116" s="198"/>
      <c r="LNJ116" s="199"/>
      <c r="LNK116" s="198"/>
      <c r="LNL116" s="199"/>
      <c r="LNM116" s="198"/>
      <c r="LNN116" s="199"/>
      <c r="LNO116" s="198"/>
      <c r="LNP116" s="199"/>
      <c r="LNQ116" s="198"/>
      <c r="LNR116" s="199"/>
      <c r="LNS116" s="198"/>
      <c r="LNT116" s="199"/>
      <c r="LNU116" s="198"/>
      <c r="LNV116" s="199"/>
      <c r="LNW116" s="198"/>
      <c r="LNX116" s="199"/>
      <c r="LNY116" s="198"/>
      <c r="LNZ116" s="199"/>
      <c r="LOA116" s="198"/>
      <c r="LOB116" s="199"/>
      <c r="LOC116" s="198"/>
      <c r="LOD116" s="199"/>
      <c r="LOE116" s="198"/>
      <c r="LOF116" s="199"/>
      <c r="LOG116" s="198"/>
      <c r="LOH116" s="199"/>
      <c r="LOI116" s="198"/>
      <c r="LOJ116" s="199"/>
      <c r="LOK116" s="198"/>
      <c r="LOL116" s="199"/>
      <c r="LOM116" s="198"/>
      <c r="LON116" s="199"/>
      <c r="LOO116" s="198"/>
      <c r="LOP116" s="199"/>
      <c r="LOQ116" s="198"/>
      <c r="LOR116" s="199"/>
      <c r="LOS116" s="198"/>
      <c r="LOT116" s="199"/>
      <c r="LOU116" s="198"/>
      <c r="LOV116" s="199"/>
      <c r="LOW116" s="198"/>
      <c r="LOX116" s="199"/>
      <c r="LOY116" s="198"/>
      <c r="LOZ116" s="199"/>
      <c r="LPA116" s="198"/>
      <c r="LPB116" s="199"/>
      <c r="LPC116" s="198"/>
      <c r="LPD116" s="199"/>
      <c r="LPE116" s="198"/>
      <c r="LPF116" s="199"/>
      <c r="LPG116" s="198"/>
      <c r="LPH116" s="199"/>
      <c r="LPI116" s="198"/>
      <c r="LPJ116" s="199"/>
      <c r="LPK116" s="198"/>
      <c r="LPL116" s="199"/>
      <c r="LPM116" s="198"/>
      <c r="LPN116" s="199"/>
      <c r="LPO116" s="198"/>
      <c r="LPP116" s="199"/>
      <c r="LPQ116" s="198"/>
      <c r="LPR116" s="199"/>
      <c r="LPS116" s="198"/>
      <c r="LPT116" s="199"/>
      <c r="LPU116" s="198"/>
      <c r="LPV116" s="199"/>
      <c r="LPW116" s="198"/>
      <c r="LPX116" s="199"/>
      <c r="LPY116" s="198"/>
      <c r="LPZ116" s="199"/>
      <c r="LQA116" s="198"/>
      <c r="LQB116" s="199"/>
      <c r="LQC116" s="198"/>
      <c r="LQD116" s="199"/>
      <c r="LQE116" s="198"/>
      <c r="LQF116" s="199"/>
      <c r="LQG116" s="198"/>
      <c r="LQH116" s="199"/>
      <c r="LQI116" s="198"/>
      <c r="LQJ116" s="199"/>
      <c r="LQK116" s="198"/>
      <c r="LQL116" s="199"/>
      <c r="LQM116" s="198"/>
      <c r="LQN116" s="199"/>
      <c r="LQO116" s="198"/>
      <c r="LQP116" s="199"/>
      <c r="LQQ116" s="198"/>
      <c r="LQR116" s="199"/>
      <c r="LQS116" s="198"/>
      <c r="LQT116" s="199"/>
      <c r="LQU116" s="198"/>
      <c r="LQV116" s="199"/>
      <c r="LQW116" s="198"/>
      <c r="LQX116" s="199"/>
      <c r="LQY116" s="198"/>
      <c r="LQZ116" s="199"/>
      <c r="LRA116" s="198"/>
      <c r="LRB116" s="199"/>
      <c r="LRC116" s="198"/>
      <c r="LRD116" s="199"/>
      <c r="LRE116" s="198"/>
      <c r="LRF116" s="199"/>
      <c r="LRG116" s="198"/>
      <c r="LRH116" s="199"/>
      <c r="LRI116" s="198"/>
      <c r="LRJ116" s="199"/>
      <c r="LRK116" s="198"/>
      <c r="LRL116" s="199"/>
      <c r="LRM116" s="198"/>
      <c r="LRN116" s="199"/>
      <c r="LRO116" s="198"/>
      <c r="LRP116" s="199"/>
      <c r="LRQ116" s="198"/>
      <c r="LRR116" s="199"/>
      <c r="LRS116" s="198"/>
      <c r="LRT116" s="199"/>
      <c r="LRU116" s="198"/>
      <c r="LRV116" s="199"/>
      <c r="LRW116" s="198"/>
      <c r="LRX116" s="199"/>
      <c r="LRY116" s="198"/>
      <c r="LRZ116" s="199"/>
      <c r="LSA116" s="198"/>
      <c r="LSB116" s="199"/>
      <c r="LSC116" s="198"/>
      <c r="LSD116" s="199"/>
      <c r="LSE116" s="198"/>
      <c r="LSF116" s="199"/>
      <c r="LSG116" s="198"/>
      <c r="LSH116" s="199"/>
      <c r="LSI116" s="198"/>
      <c r="LSJ116" s="199"/>
      <c r="LSK116" s="198"/>
      <c r="LSL116" s="199"/>
      <c r="LSM116" s="198"/>
      <c r="LSN116" s="199"/>
      <c r="LSO116" s="198"/>
      <c r="LSP116" s="199"/>
      <c r="LSQ116" s="198"/>
      <c r="LSR116" s="199"/>
      <c r="LSS116" s="198"/>
      <c r="LST116" s="199"/>
      <c r="LSU116" s="198"/>
      <c r="LSV116" s="199"/>
      <c r="LSW116" s="198"/>
      <c r="LSX116" s="199"/>
      <c r="LSY116" s="198"/>
      <c r="LSZ116" s="199"/>
      <c r="LTA116" s="198"/>
      <c r="LTB116" s="199"/>
      <c r="LTC116" s="198"/>
      <c r="LTD116" s="199"/>
      <c r="LTE116" s="198"/>
      <c r="LTF116" s="199"/>
      <c r="LTG116" s="198"/>
      <c r="LTH116" s="199"/>
      <c r="LTI116" s="198"/>
      <c r="LTJ116" s="199"/>
      <c r="LTK116" s="198"/>
      <c r="LTL116" s="199"/>
      <c r="LTM116" s="198"/>
      <c r="LTN116" s="199"/>
      <c r="LTO116" s="198"/>
      <c r="LTP116" s="199"/>
      <c r="LTQ116" s="198"/>
      <c r="LTR116" s="199"/>
      <c r="LTS116" s="198"/>
      <c r="LTT116" s="199"/>
      <c r="LTU116" s="198"/>
      <c r="LTV116" s="199"/>
      <c r="LTW116" s="198"/>
      <c r="LTX116" s="199"/>
      <c r="LTY116" s="198"/>
      <c r="LTZ116" s="199"/>
      <c r="LUA116" s="198"/>
      <c r="LUB116" s="199"/>
      <c r="LUC116" s="198"/>
      <c r="LUD116" s="199"/>
      <c r="LUE116" s="198"/>
      <c r="LUF116" s="199"/>
      <c r="LUG116" s="198"/>
      <c r="LUH116" s="199"/>
      <c r="LUI116" s="198"/>
      <c r="LUJ116" s="199"/>
      <c r="LUK116" s="198"/>
      <c r="LUL116" s="199"/>
      <c r="LUM116" s="198"/>
      <c r="LUN116" s="199"/>
      <c r="LUO116" s="198"/>
      <c r="LUP116" s="199"/>
      <c r="LUQ116" s="198"/>
      <c r="LUR116" s="199"/>
      <c r="LUS116" s="198"/>
      <c r="LUT116" s="199"/>
      <c r="LUU116" s="198"/>
      <c r="LUV116" s="199"/>
      <c r="LUW116" s="198"/>
      <c r="LUX116" s="199"/>
      <c r="LUY116" s="198"/>
      <c r="LUZ116" s="199"/>
      <c r="LVA116" s="198"/>
      <c r="LVB116" s="199"/>
      <c r="LVC116" s="198"/>
      <c r="LVD116" s="199"/>
      <c r="LVE116" s="198"/>
      <c r="LVF116" s="199"/>
      <c r="LVG116" s="198"/>
      <c r="LVH116" s="199"/>
      <c r="LVI116" s="198"/>
      <c r="LVJ116" s="199"/>
      <c r="LVK116" s="198"/>
      <c r="LVL116" s="199"/>
      <c r="LVM116" s="198"/>
      <c r="LVN116" s="199"/>
      <c r="LVO116" s="198"/>
      <c r="LVP116" s="199"/>
      <c r="LVQ116" s="198"/>
      <c r="LVR116" s="199"/>
      <c r="LVS116" s="198"/>
      <c r="LVT116" s="199"/>
      <c r="LVU116" s="198"/>
      <c r="LVV116" s="199"/>
      <c r="LVW116" s="198"/>
      <c r="LVX116" s="199"/>
      <c r="LVY116" s="198"/>
      <c r="LVZ116" s="199"/>
      <c r="LWA116" s="198"/>
      <c r="LWB116" s="199"/>
      <c r="LWC116" s="198"/>
      <c r="LWD116" s="199"/>
      <c r="LWE116" s="198"/>
      <c r="LWF116" s="199"/>
      <c r="LWG116" s="198"/>
      <c r="LWH116" s="199"/>
      <c r="LWI116" s="198"/>
      <c r="LWJ116" s="199"/>
      <c r="LWK116" s="198"/>
      <c r="LWL116" s="199"/>
      <c r="LWM116" s="198"/>
      <c r="LWN116" s="199"/>
      <c r="LWO116" s="198"/>
      <c r="LWP116" s="199"/>
      <c r="LWQ116" s="198"/>
      <c r="LWR116" s="199"/>
      <c r="LWS116" s="198"/>
      <c r="LWT116" s="199"/>
      <c r="LWU116" s="198"/>
      <c r="LWV116" s="199"/>
      <c r="LWW116" s="198"/>
      <c r="LWX116" s="199"/>
      <c r="LWY116" s="198"/>
      <c r="LWZ116" s="199"/>
      <c r="LXA116" s="198"/>
      <c r="LXB116" s="199"/>
      <c r="LXC116" s="198"/>
      <c r="LXD116" s="199"/>
      <c r="LXE116" s="198"/>
      <c r="LXF116" s="199"/>
      <c r="LXG116" s="198"/>
      <c r="LXH116" s="199"/>
      <c r="LXI116" s="198"/>
      <c r="LXJ116" s="199"/>
      <c r="LXK116" s="198"/>
      <c r="LXL116" s="199"/>
      <c r="LXM116" s="198"/>
      <c r="LXN116" s="199"/>
      <c r="LXO116" s="198"/>
      <c r="LXP116" s="199"/>
      <c r="LXQ116" s="198"/>
      <c r="LXR116" s="199"/>
      <c r="LXS116" s="198"/>
      <c r="LXT116" s="199"/>
      <c r="LXU116" s="198"/>
      <c r="LXV116" s="199"/>
      <c r="LXW116" s="198"/>
      <c r="LXX116" s="199"/>
      <c r="LXY116" s="198"/>
      <c r="LXZ116" s="199"/>
      <c r="LYA116" s="198"/>
      <c r="LYB116" s="199"/>
      <c r="LYC116" s="198"/>
      <c r="LYD116" s="199"/>
      <c r="LYE116" s="198"/>
      <c r="LYF116" s="199"/>
      <c r="LYG116" s="198"/>
      <c r="LYH116" s="199"/>
      <c r="LYI116" s="198"/>
      <c r="LYJ116" s="199"/>
      <c r="LYK116" s="198"/>
      <c r="LYL116" s="199"/>
      <c r="LYM116" s="198"/>
      <c r="LYN116" s="199"/>
      <c r="LYO116" s="198"/>
      <c r="LYP116" s="199"/>
      <c r="LYQ116" s="198"/>
      <c r="LYR116" s="199"/>
      <c r="LYS116" s="198"/>
      <c r="LYT116" s="199"/>
      <c r="LYU116" s="198"/>
      <c r="LYV116" s="199"/>
      <c r="LYW116" s="198"/>
      <c r="LYX116" s="199"/>
      <c r="LYY116" s="198"/>
      <c r="LYZ116" s="199"/>
      <c r="LZA116" s="198"/>
      <c r="LZB116" s="199"/>
      <c r="LZC116" s="198"/>
      <c r="LZD116" s="199"/>
      <c r="LZE116" s="198"/>
      <c r="LZF116" s="199"/>
      <c r="LZG116" s="198"/>
      <c r="LZH116" s="199"/>
      <c r="LZI116" s="198"/>
      <c r="LZJ116" s="199"/>
      <c r="LZK116" s="198"/>
      <c r="LZL116" s="199"/>
      <c r="LZM116" s="198"/>
      <c r="LZN116" s="199"/>
      <c r="LZO116" s="198"/>
      <c r="LZP116" s="199"/>
      <c r="LZQ116" s="198"/>
      <c r="LZR116" s="199"/>
      <c r="LZS116" s="198"/>
      <c r="LZT116" s="199"/>
      <c r="LZU116" s="198"/>
      <c r="LZV116" s="199"/>
      <c r="LZW116" s="198"/>
      <c r="LZX116" s="199"/>
      <c r="LZY116" s="198"/>
      <c r="LZZ116" s="199"/>
      <c r="MAA116" s="198"/>
      <c r="MAB116" s="199"/>
      <c r="MAC116" s="198"/>
      <c r="MAD116" s="199"/>
      <c r="MAE116" s="198"/>
      <c r="MAF116" s="199"/>
      <c r="MAG116" s="198"/>
      <c r="MAH116" s="199"/>
      <c r="MAI116" s="198"/>
      <c r="MAJ116" s="199"/>
      <c r="MAK116" s="198"/>
      <c r="MAL116" s="199"/>
      <c r="MAM116" s="198"/>
      <c r="MAN116" s="199"/>
      <c r="MAO116" s="198"/>
      <c r="MAP116" s="199"/>
      <c r="MAQ116" s="198"/>
      <c r="MAR116" s="199"/>
      <c r="MAS116" s="198"/>
      <c r="MAT116" s="199"/>
      <c r="MAU116" s="198"/>
      <c r="MAV116" s="199"/>
      <c r="MAW116" s="198"/>
      <c r="MAX116" s="199"/>
      <c r="MAY116" s="198"/>
      <c r="MAZ116" s="199"/>
      <c r="MBA116" s="198"/>
      <c r="MBB116" s="199"/>
      <c r="MBC116" s="198"/>
      <c r="MBD116" s="199"/>
      <c r="MBE116" s="198"/>
      <c r="MBF116" s="199"/>
      <c r="MBG116" s="198"/>
      <c r="MBH116" s="199"/>
      <c r="MBI116" s="198"/>
      <c r="MBJ116" s="199"/>
      <c r="MBK116" s="198"/>
      <c r="MBL116" s="199"/>
      <c r="MBM116" s="198"/>
      <c r="MBN116" s="199"/>
      <c r="MBO116" s="198"/>
      <c r="MBP116" s="199"/>
      <c r="MBQ116" s="198"/>
      <c r="MBR116" s="199"/>
      <c r="MBS116" s="198"/>
      <c r="MBT116" s="199"/>
      <c r="MBU116" s="198"/>
      <c r="MBV116" s="199"/>
      <c r="MBW116" s="198"/>
      <c r="MBX116" s="199"/>
      <c r="MBY116" s="198"/>
      <c r="MBZ116" s="199"/>
      <c r="MCA116" s="198"/>
      <c r="MCB116" s="199"/>
      <c r="MCC116" s="198"/>
      <c r="MCD116" s="199"/>
      <c r="MCE116" s="198"/>
      <c r="MCF116" s="199"/>
      <c r="MCG116" s="198"/>
      <c r="MCH116" s="199"/>
      <c r="MCI116" s="198"/>
      <c r="MCJ116" s="199"/>
      <c r="MCK116" s="198"/>
      <c r="MCL116" s="199"/>
      <c r="MCM116" s="198"/>
      <c r="MCN116" s="199"/>
      <c r="MCO116" s="198"/>
      <c r="MCP116" s="199"/>
      <c r="MCQ116" s="198"/>
      <c r="MCR116" s="199"/>
      <c r="MCS116" s="198"/>
      <c r="MCT116" s="199"/>
      <c r="MCU116" s="198"/>
      <c r="MCV116" s="199"/>
      <c r="MCW116" s="198"/>
      <c r="MCX116" s="199"/>
      <c r="MCY116" s="198"/>
      <c r="MCZ116" s="199"/>
      <c r="MDA116" s="198"/>
      <c r="MDB116" s="199"/>
      <c r="MDC116" s="198"/>
      <c r="MDD116" s="199"/>
      <c r="MDE116" s="198"/>
      <c r="MDF116" s="199"/>
      <c r="MDG116" s="198"/>
      <c r="MDH116" s="199"/>
      <c r="MDI116" s="198"/>
      <c r="MDJ116" s="199"/>
      <c r="MDK116" s="198"/>
      <c r="MDL116" s="199"/>
      <c r="MDM116" s="198"/>
      <c r="MDN116" s="199"/>
      <c r="MDO116" s="198"/>
      <c r="MDP116" s="199"/>
      <c r="MDQ116" s="198"/>
      <c r="MDR116" s="199"/>
      <c r="MDS116" s="198"/>
      <c r="MDT116" s="199"/>
      <c r="MDU116" s="198"/>
      <c r="MDV116" s="199"/>
      <c r="MDW116" s="198"/>
      <c r="MDX116" s="199"/>
      <c r="MDY116" s="198"/>
      <c r="MDZ116" s="199"/>
      <c r="MEA116" s="198"/>
      <c r="MEB116" s="199"/>
      <c r="MEC116" s="198"/>
      <c r="MED116" s="199"/>
      <c r="MEE116" s="198"/>
      <c r="MEF116" s="199"/>
      <c r="MEG116" s="198"/>
      <c r="MEH116" s="199"/>
      <c r="MEI116" s="198"/>
      <c r="MEJ116" s="199"/>
      <c r="MEK116" s="198"/>
      <c r="MEL116" s="199"/>
      <c r="MEM116" s="198"/>
      <c r="MEN116" s="199"/>
      <c r="MEO116" s="198"/>
      <c r="MEP116" s="199"/>
      <c r="MEQ116" s="198"/>
      <c r="MER116" s="199"/>
      <c r="MES116" s="198"/>
      <c r="MET116" s="199"/>
      <c r="MEU116" s="198"/>
      <c r="MEV116" s="199"/>
      <c r="MEW116" s="198"/>
      <c r="MEX116" s="199"/>
      <c r="MEY116" s="198"/>
      <c r="MEZ116" s="199"/>
      <c r="MFA116" s="198"/>
      <c r="MFB116" s="199"/>
      <c r="MFC116" s="198"/>
      <c r="MFD116" s="199"/>
      <c r="MFE116" s="198"/>
      <c r="MFF116" s="199"/>
      <c r="MFG116" s="198"/>
      <c r="MFH116" s="199"/>
      <c r="MFI116" s="198"/>
      <c r="MFJ116" s="199"/>
      <c r="MFK116" s="198"/>
      <c r="MFL116" s="199"/>
      <c r="MFM116" s="198"/>
      <c r="MFN116" s="199"/>
      <c r="MFO116" s="198"/>
      <c r="MFP116" s="199"/>
      <c r="MFQ116" s="198"/>
      <c r="MFR116" s="199"/>
      <c r="MFS116" s="198"/>
      <c r="MFT116" s="199"/>
      <c r="MFU116" s="198"/>
      <c r="MFV116" s="199"/>
      <c r="MFW116" s="198"/>
      <c r="MFX116" s="199"/>
      <c r="MFY116" s="198"/>
      <c r="MFZ116" s="199"/>
      <c r="MGA116" s="198"/>
      <c r="MGB116" s="199"/>
      <c r="MGC116" s="198"/>
      <c r="MGD116" s="199"/>
      <c r="MGE116" s="198"/>
      <c r="MGF116" s="199"/>
      <c r="MGG116" s="198"/>
      <c r="MGH116" s="199"/>
      <c r="MGI116" s="198"/>
      <c r="MGJ116" s="199"/>
      <c r="MGK116" s="198"/>
      <c r="MGL116" s="199"/>
      <c r="MGM116" s="198"/>
      <c r="MGN116" s="199"/>
      <c r="MGO116" s="198"/>
      <c r="MGP116" s="199"/>
      <c r="MGQ116" s="198"/>
      <c r="MGR116" s="199"/>
      <c r="MGS116" s="198"/>
      <c r="MGT116" s="199"/>
      <c r="MGU116" s="198"/>
      <c r="MGV116" s="199"/>
      <c r="MGW116" s="198"/>
      <c r="MGX116" s="199"/>
      <c r="MGY116" s="198"/>
      <c r="MGZ116" s="199"/>
      <c r="MHA116" s="198"/>
      <c r="MHB116" s="199"/>
      <c r="MHC116" s="198"/>
      <c r="MHD116" s="199"/>
      <c r="MHE116" s="198"/>
      <c r="MHF116" s="199"/>
      <c r="MHG116" s="198"/>
      <c r="MHH116" s="199"/>
      <c r="MHI116" s="198"/>
      <c r="MHJ116" s="199"/>
      <c r="MHK116" s="198"/>
      <c r="MHL116" s="199"/>
      <c r="MHM116" s="198"/>
      <c r="MHN116" s="199"/>
      <c r="MHO116" s="198"/>
      <c r="MHP116" s="199"/>
      <c r="MHQ116" s="198"/>
      <c r="MHR116" s="199"/>
      <c r="MHS116" s="198"/>
      <c r="MHT116" s="199"/>
      <c r="MHU116" s="198"/>
      <c r="MHV116" s="199"/>
      <c r="MHW116" s="198"/>
      <c r="MHX116" s="199"/>
      <c r="MHY116" s="198"/>
      <c r="MHZ116" s="199"/>
      <c r="MIA116" s="198"/>
      <c r="MIB116" s="199"/>
      <c r="MIC116" s="198"/>
      <c r="MID116" s="199"/>
      <c r="MIE116" s="198"/>
      <c r="MIF116" s="199"/>
      <c r="MIG116" s="198"/>
      <c r="MIH116" s="199"/>
      <c r="MII116" s="198"/>
      <c r="MIJ116" s="199"/>
      <c r="MIK116" s="198"/>
      <c r="MIL116" s="199"/>
      <c r="MIM116" s="198"/>
      <c r="MIN116" s="199"/>
      <c r="MIO116" s="198"/>
      <c r="MIP116" s="199"/>
      <c r="MIQ116" s="198"/>
      <c r="MIR116" s="199"/>
      <c r="MIS116" s="198"/>
      <c r="MIT116" s="199"/>
      <c r="MIU116" s="198"/>
      <c r="MIV116" s="199"/>
      <c r="MIW116" s="198"/>
      <c r="MIX116" s="199"/>
      <c r="MIY116" s="198"/>
      <c r="MIZ116" s="199"/>
      <c r="MJA116" s="198"/>
      <c r="MJB116" s="199"/>
      <c r="MJC116" s="198"/>
      <c r="MJD116" s="199"/>
      <c r="MJE116" s="198"/>
      <c r="MJF116" s="199"/>
      <c r="MJG116" s="198"/>
      <c r="MJH116" s="199"/>
      <c r="MJI116" s="198"/>
      <c r="MJJ116" s="199"/>
      <c r="MJK116" s="198"/>
      <c r="MJL116" s="199"/>
      <c r="MJM116" s="198"/>
      <c r="MJN116" s="199"/>
      <c r="MJO116" s="198"/>
      <c r="MJP116" s="199"/>
      <c r="MJQ116" s="198"/>
      <c r="MJR116" s="199"/>
      <c r="MJS116" s="198"/>
      <c r="MJT116" s="199"/>
      <c r="MJU116" s="198"/>
      <c r="MJV116" s="199"/>
      <c r="MJW116" s="198"/>
      <c r="MJX116" s="199"/>
      <c r="MJY116" s="198"/>
      <c r="MJZ116" s="199"/>
      <c r="MKA116" s="198"/>
      <c r="MKB116" s="199"/>
      <c r="MKC116" s="198"/>
      <c r="MKD116" s="199"/>
      <c r="MKE116" s="198"/>
      <c r="MKF116" s="199"/>
      <c r="MKG116" s="198"/>
      <c r="MKH116" s="199"/>
      <c r="MKI116" s="198"/>
      <c r="MKJ116" s="199"/>
      <c r="MKK116" s="198"/>
      <c r="MKL116" s="199"/>
      <c r="MKM116" s="198"/>
      <c r="MKN116" s="199"/>
      <c r="MKO116" s="198"/>
      <c r="MKP116" s="199"/>
      <c r="MKQ116" s="198"/>
      <c r="MKR116" s="199"/>
      <c r="MKS116" s="198"/>
      <c r="MKT116" s="199"/>
      <c r="MKU116" s="198"/>
      <c r="MKV116" s="199"/>
      <c r="MKW116" s="198"/>
      <c r="MKX116" s="199"/>
      <c r="MKY116" s="198"/>
      <c r="MKZ116" s="199"/>
      <c r="MLA116" s="198"/>
      <c r="MLB116" s="199"/>
      <c r="MLC116" s="198"/>
      <c r="MLD116" s="199"/>
      <c r="MLE116" s="198"/>
      <c r="MLF116" s="199"/>
      <c r="MLG116" s="198"/>
      <c r="MLH116" s="199"/>
      <c r="MLI116" s="198"/>
      <c r="MLJ116" s="199"/>
      <c r="MLK116" s="198"/>
      <c r="MLL116" s="199"/>
      <c r="MLM116" s="198"/>
      <c r="MLN116" s="199"/>
      <c r="MLO116" s="198"/>
      <c r="MLP116" s="199"/>
      <c r="MLQ116" s="198"/>
      <c r="MLR116" s="199"/>
      <c r="MLS116" s="198"/>
      <c r="MLT116" s="199"/>
      <c r="MLU116" s="198"/>
      <c r="MLV116" s="199"/>
      <c r="MLW116" s="198"/>
      <c r="MLX116" s="199"/>
      <c r="MLY116" s="198"/>
      <c r="MLZ116" s="199"/>
      <c r="MMA116" s="198"/>
      <c r="MMB116" s="199"/>
      <c r="MMC116" s="198"/>
      <c r="MMD116" s="199"/>
      <c r="MME116" s="198"/>
      <c r="MMF116" s="199"/>
      <c r="MMG116" s="198"/>
      <c r="MMH116" s="199"/>
      <c r="MMI116" s="198"/>
      <c r="MMJ116" s="199"/>
      <c r="MMK116" s="198"/>
      <c r="MML116" s="199"/>
      <c r="MMM116" s="198"/>
      <c r="MMN116" s="199"/>
      <c r="MMO116" s="198"/>
      <c r="MMP116" s="199"/>
      <c r="MMQ116" s="198"/>
      <c r="MMR116" s="199"/>
      <c r="MMS116" s="198"/>
      <c r="MMT116" s="199"/>
      <c r="MMU116" s="198"/>
      <c r="MMV116" s="199"/>
      <c r="MMW116" s="198"/>
      <c r="MMX116" s="199"/>
      <c r="MMY116" s="198"/>
      <c r="MMZ116" s="199"/>
      <c r="MNA116" s="198"/>
      <c r="MNB116" s="199"/>
      <c r="MNC116" s="198"/>
      <c r="MND116" s="199"/>
      <c r="MNE116" s="198"/>
      <c r="MNF116" s="199"/>
      <c r="MNG116" s="198"/>
      <c r="MNH116" s="199"/>
      <c r="MNI116" s="198"/>
      <c r="MNJ116" s="199"/>
      <c r="MNK116" s="198"/>
      <c r="MNL116" s="199"/>
      <c r="MNM116" s="198"/>
      <c r="MNN116" s="199"/>
      <c r="MNO116" s="198"/>
      <c r="MNP116" s="199"/>
      <c r="MNQ116" s="198"/>
      <c r="MNR116" s="199"/>
      <c r="MNS116" s="198"/>
      <c r="MNT116" s="199"/>
      <c r="MNU116" s="198"/>
      <c r="MNV116" s="199"/>
      <c r="MNW116" s="198"/>
      <c r="MNX116" s="199"/>
      <c r="MNY116" s="198"/>
      <c r="MNZ116" s="199"/>
      <c r="MOA116" s="198"/>
      <c r="MOB116" s="199"/>
      <c r="MOC116" s="198"/>
      <c r="MOD116" s="199"/>
      <c r="MOE116" s="198"/>
      <c r="MOF116" s="199"/>
      <c r="MOG116" s="198"/>
      <c r="MOH116" s="199"/>
      <c r="MOI116" s="198"/>
      <c r="MOJ116" s="199"/>
      <c r="MOK116" s="198"/>
      <c r="MOL116" s="199"/>
      <c r="MOM116" s="198"/>
      <c r="MON116" s="199"/>
      <c r="MOO116" s="198"/>
      <c r="MOP116" s="199"/>
      <c r="MOQ116" s="198"/>
      <c r="MOR116" s="199"/>
      <c r="MOS116" s="198"/>
      <c r="MOT116" s="199"/>
      <c r="MOU116" s="198"/>
      <c r="MOV116" s="199"/>
      <c r="MOW116" s="198"/>
      <c r="MOX116" s="199"/>
      <c r="MOY116" s="198"/>
      <c r="MOZ116" s="199"/>
      <c r="MPA116" s="198"/>
      <c r="MPB116" s="199"/>
      <c r="MPC116" s="198"/>
      <c r="MPD116" s="199"/>
      <c r="MPE116" s="198"/>
      <c r="MPF116" s="199"/>
      <c r="MPG116" s="198"/>
      <c r="MPH116" s="199"/>
      <c r="MPI116" s="198"/>
      <c r="MPJ116" s="199"/>
      <c r="MPK116" s="198"/>
      <c r="MPL116" s="199"/>
      <c r="MPM116" s="198"/>
      <c r="MPN116" s="199"/>
      <c r="MPO116" s="198"/>
      <c r="MPP116" s="199"/>
      <c r="MPQ116" s="198"/>
      <c r="MPR116" s="199"/>
      <c r="MPS116" s="198"/>
      <c r="MPT116" s="199"/>
      <c r="MPU116" s="198"/>
      <c r="MPV116" s="199"/>
      <c r="MPW116" s="198"/>
      <c r="MPX116" s="199"/>
      <c r="MPY116" s="198"/>
      <c r="MPZ116" s="199"/>
      <c r="MQA116" s="198"/>
      <c r="MQB116" s="199"/>
      <c r="MQC116" s="198"/>
      <c r="MQD116" s="199"/>
      <c r="MQE116" s="198"/>
      <c r="MQF116" s="199"/>
      <c r="MQG116" s="198"/>
      <c r="MQH116" s="199"/>
      <c r="MQI116" s="198"/>
      <c r="MQJ116" s="199"/>
      <c r="MQK116" s="198"/>
      <c r="MQL116" s="199"/>
      <c r="MQM116" s="198"/>
      <c r="MQN116" s="199"/>
      <c r="MQO116" s="198"/>
      <c r="MQP116" s="199"/>
      <c r="MQQ116" s="198"/>
      <c r="MQR116" s="199"/>
      <c r="MQS116" s="198"/>
      <c r="MQT116" s="199"/>
      <c r="MQU116" s="198"/>
      <c r="MQV116" s="199"/>
      <c r="MQW116" s="198"/>
      <c r="MQX116" s="199"/>
      <c r="MQY116" s="198"/>
      <c r="MQZ116" s="199"/>
      <c r="MRA116" s="198"/>
      <c r="MRB116" s="199"/>
      <c r="MRC116" s="198"/>
      <c r="MRD116" s="199"/>
      <c r="MRE116" s="198"/>
      <c r="MRF116" s="199"/>
      <c r="MRG116" s="198"/>
      <c r="MRH116" s="199"/>
      <c r="MRI116" s="198"/>
      <c r="MRJ116" s="199"/>
      <c r="MRK116" s="198"/>
      <c r="MRL116" s="199"/>
      <c r="MRM116" s="198"/>
      <c r="MRN116" s="199"/>
      <c r="MRO116" s="198"/>
      <c r="MRP116" s="199"/>
      <c r="MRQ116" s="198"/>
      <c r="MRR116" s="199"/>
      <c r="MRS116" s="198"/>
      <c r="MRT116" s="199"/>
      <c r="MRU116" s="198"/>
      <c r="MRV116" s="199"/>
      <c r="MRW116" s="198"/>
      <c r="MRX116" s="199"/>
      <c r="MRY116" s="198"/>
      <c r="MRZ116" s="199"/>
      <c r="MSA116" s="198"/>
      <c r="MSB116" s="199"/>
      <c r="MSC116" s="198"/>
      <c r="MSD116" s="199"/>
      <c r="MSE116" s="198"/>
      <c r="MSF116" s="199"/>
      <c r="MSG116" s="198"/>
      <c r="MSH116" s="199"/>
      <c r="MSI116" s="198"/>
      <c r="MSJ116" s="199"/>
      <c r="MSK116" s="198"/>
      <c r="MSL116" s="199"/>
      <c r="MSM116" s="198"/>
      <c r="MSN116" s="199"/>
      <c r="MSO116" s="198"/>
      <c r="MSP116" s="199"/>
      <c r="MSQ116" s="198"/>
      <c r="MSR116" s="199"/>
      <c r="MSS116" s="198"/>
      <c r="MST116" s="199"/>
      <c r="MSU116" s="198"/>
      <c r="MSV116" s="199"/>
      <c r="MSW116" s="198"/>
      <c r="MSX116" s="199"/>
      <c r="MSY116" s="198"/>
      <c r="MSZ116" s="199"/>
      <c r="MTA116" s="198"/>
      <c r="MTB116" s="199"/>
      <c r="MTC116" s="198"/>
      <c r="MTD116" s="199"/>
      <c r="MTE116" s="198"/>
      <c r="MTF116" s="199"/>
      <c r="MTG116" s="198"/>
      <c r="MTH116" s="199"/>
      <c r="MTI116" s="198"/>
      <c r="MTJ116" s="199"/>
      <c r="MTK116" s="198"/>
      <c r="MTL116" s="199"/>
      <c r="MTM116" s="198"/>
      <c r="MTN116" s="199"/>
      <c r="MTO116" s="198"/>
      <c r="MTP116" s="199"/>
      <c r="MTQ116" s="198"/>
      <c r="MTR116" s="199"/>
      <c r="MTS116" s="198"/>
      <c r="MTT116" s="199"/>
      <c r="MTU116" s="198"/>
      <c r="MTV116" s="199"/>
      <c r="MTW116" s="198"/>
      <c r="MTX116" s="199"/>
      <c r="MTY116" s="198"/>
      <c r="MTZ116" s="199"/>
      <c r="MUA116" s="198"/>
      <c r="MUB116" s="199"/>
      <c r="MUC116" s="198"/>
      <c r="MUD116" s="199"/>
      <c r="MUE116" s="198"/>
      <c r="MUF116" s="199"/>
      <c r="MUG116" s="198"/>
      <c r="MUH116" s="199"/>
      <c r="MUI116" s="198"/>
      <c r="MUJ116" s="199"/>
      <c r="MUK116" s="198"/>
      <c r="MUL116" s="199"/>
      <c r="MUM116" s="198"/>
      <c r="MUN116" s="199"/>
      <c r="MUO116" s="198"/>
      <c r="MUP116" s="199"/>
      <c r="MUQ116" s="198"/>
      <c r="MUR116" s="199"/>
      <c r="MUS116" s="198"/>
      <c r="MUT116" s="199"/>
      <c r="MUU116" s="198"/>
      <c r="MUV116" s="199"/>
      <c r="MUW116" s="198"/>
      <c r="MUX116" s="199"/>
      <c r="MUY116" s="198"/>
      <c r="MUZ116" s="199"/>
      <c r="MVA116" s="198"/>
      <c r="MVB116" s="199"/>
      <c r="MVC116" s="198"/>
      <c r="MVD116" s="199"/>
      <c r="MVE116" s="198"/>
      <c r="MVF116" s="199"/>
      <c r="MVG116" s="198"/>
      <c r="MVH116" s="199"/>
      <c r="MVI116" s="198"/>
      <c r="MVJ116" s="199"/>
      <c r="MVK116" s="198"/>
      <c r="MVL116" s="199"/>
      <c r="MVM116" s="198"/>
      <c r="MVN116" s="199"/>
      <c r="MVO116" s="198"/>
      <c r="MVP116" s="199"/>
      <c r="MVQ116" s="198"/>
      <c r="MVR116" s="199"/>
      <c r="MVS116" s="198"/>
      <c r="MVT116" s="199"/>
      <c r="MVU116" s="198"/>
      <c r="MVV116" s="199"/>
      <c r="MVW116" s="198"/>
      <c r="MVX116" s="199"/>
      <c r="MVY116" s="198"/>
      <c r="MVZ116" s="199"/>
      <c r="MWA116" s="198"/>
      <c r="MWB116" s="199"/>
      <c r="MWC116" s="198"/>
      <c r="MWD116" s="199"/>
      <c r="MWE116" s="198"/>
      <c r="MWF116" s="199"/>
      <c r="MWG116" s="198"/>
      <c r="MWH116" s="199"/>
      <c r="MWI116" s="198"/>
      <c r="MWJ116" s="199"/>
      <c r="MWK116" s="198"/>
      <c r="MWL116" s="199"/>
      <c r="MWM116" s="198"/>
      <c r="MWN116" s="199"/>
      <c r="MWO116" s="198"/>
      <c r="MWP116" s="199"/>
      <c r="MWQ116" s="198"/>
      <c r="MWR116" s="199"/>
      <c r="MWS116" s="198"/>
      <c r="MWT116" s="199"/>
      <c r="MWU116" s="198"/>
      <c r="MWV116" s="199"/>
      <c r="MWW116" s="198"/>
      <c r="MWX116" s="199"/>
      <c r="MWY116" s="198"/>
      <c r="MWZ116" s="199"/>
      <c r="MXA116" s="198"/>
      <c r="MXB116" s="199"/>
      <c r="MXC116" s="198"/>
      <c r="MXD116" s="199"/>
      <c r="MXE116" s="198"/>
      <c r="MXF116" s="199"/>
      <c r="MXG116" s="198"/>
      <c r="MXH116" s="199"/>
      <c r="MXI116" s="198"/>
      <c r="MXJ116" s="199"/>
      <c r="MXK116" s="198"/>
      <c r="MXL116" s="199"/>
      <c r="MXM116" s="198"/>
      <c r="MXN116" s="199"/>
      <c r="MXO116" s="198"/>
      <c r="MXP116" s="199"/>
      <c r="MXQ116" s="198"/>
      <c r="MXR116" s="199"/>
      <c r="MXS116" s="198"/>
      <c r="MXT116" s="199"/>
      <c r="MXU116" s="198"/>
      <c r="MXV116" s="199"/>
      <c r="MXW116" s="198"/>
      <c r="MXX116" s="199"/>
      <c r="MXY116" s="198"/>
      <c r="MXZ116" s="199"/>
      <c r="MYA116" s="198"/>
      <c r="MYB116" s="199"/>
      <c r="MYC116" s="198"/>
      <c r="MYD116" s="199"/>
      <c r="MYE116" s="198"/>
      <c r="MYF116" s="199"/>
      <c r="MYG116" s="198"/>
      <c r="MYH116" s="199"/>
      <c r="MYI116" s="198"/>
      <c r="MYJ116" s="199"/>
      <c r="MYK116" s="198"/>
      <c r="MYL116" s="199"/>
      <c r="MYM116" s="198"/>
      <c r="MYN116" s="199"/>
      <c r="MYO116" s="198"/>
      <c r="MYP116" s="199"/>
      <c r="MYQ116" s="198"/>
      <c r="MYR116" s="199"/>
      <c r="MYS116" s="198"/>
      <c r="MYT116" s="199"/>
      <c r="MYU116" s="198"/>
      <c r="MYV116" s="199"/>
      <c r="MYW116" s="198"/>
      <c r="MYX116" s="199"/>
      <c r="MYY116" s="198"/>
      <c r="MYZ116" s="199"/>
      <c r="MZA116" s="198"/>
      <c r="MZB116" s="199"/>
      <c r="MZC116" s="198"/>
      <c r="MZD116" s="199"/>
      <c r="MZE116" s="198"/>
      <c r="MZF116" s="199"/>
      <c r="MZG116" s="198"/>
      <c r="MZH116" s="199"/>
      <c r="MZI116" s="198"/>
      <c r="MZJ116" s="199"/>
      <c r="MZK116" s="198"/>
      <c r="MZL116" s="199"/>
      <c r="MZM116" s="198"/>
      <c r="MZN116" s="199"/>
      <c r="MZO116" s="198"/>
      <c r="MZP116" s="199"/>
      <c r="MZQ116" s="198"/>
      <c r="MZR116" s="199"/>
      <c r="MZS116" s="198"/>
      <c r="MZT116" s="199"/>
      <c r="MZU116" s="198"/>
      <c r="MZV116" s="199"/>
      <c r="MZW116" s="198"/>
      <c r="MZX116" s="199"/>
      <c r="MZY116" s="198"/>
      <c r="MZZ116" s="199"/>
      <c r="NAA116" s="198"/>
      <c r="NAB116" s="199"/>
      <c r="NAC116" s="198"/>
      <c r="NAD116" s="199"/>
      <c r="NAE116" s="198"/>
      <c r="NAF116" s="199"/>
      <c r="NAG116" s="198"/>
      <c r="NAH116" s="199"/>
      <c r="NAI116" s="198"/>
      <c r="NAJ116" s="199"/>
      <c r="NAK116" s="198"/>
      <c r="NAL116" s="199"/>
      <c r="NAM116" s="198"/>
      <c r="NAN116" s="199"/>
      <c r="NAO116" s="198"/>
      <c r="NAP116" s="199"/>
      <c r="NAQ116" s="198"/>
      <c r="NAR116" s="199"/>
      <c r="NAS116" s="198"/>
      <c r="NAT116" s="199"/>
      <c r="NAU116" s="198"/>
      <c r="NAV116" s="199"/>
      <c r="NAW116" s="198"/>
      <c r="NAX116" s="199"/>
      <c r="NAY116" s="198"/>
      <c r="NAZ116" s="199"/>
      <c r="NBA116" s="198"/>
      <c r="NBB116" s="199"/>
      <c r="NBC116" s="198"/>
      <c r="NBD116" s="199"/>
      <c r="NBE116" s="198"/>
      <c r="NBF116" s="199"/>
      <c r="NBG116" s="198"/>
      <c r="NBH116" s="199"/>
      <c r="NBI116" s="198"/>
      <c r="NBJ116" s="199"/>
      <c r="NBK116" s="198"/>
      <c r="NBL116" s="199"/>
      <c r="NBM116" s="198"/>
      <c r="NBN116" s="199"/>
      <c r="NBO116" s="198"/>
      <c r="NBP116" s="199"/>
      <c r="NBQ116" s="198"/>
      <c r="NBR116" s="199"/>
      <c r="NBS116" s="198"/>
      <c r="NBT116" s="199"/>
      <c r="NBU116" s="198"/>
      <c r="NBV116" s="199"/>
      <c r="NBW116" s="198"/>
      <c r="NBX116" s="199"/>
      <c r="NBY116" s="198"/>
      <c r="NBZ116" s="199"/>
      <c r="NCA116" s="198"/>
      <c r="NCB116" s="199"/>
      <c r="NCC116" s="198"/>
      <c r="NCD116" s="199"/>
      <c r="NCE116" s="198"/>
      <c r="NCF116" s="199"/>
      <c r="NCG116" s="198"/>
      <c r="NCH116" s="199"/>
      <c r="NCI116" s="198"/>
      <c r="NCJ116" s="199"/>
      <c r="NCK116" s="198"/>
      <c r="NCL116" s="199"/>
      <c r="NCM116" s="198"/>
      <c r="NCN116" s="199"/>
      <c r="NCO116" s="198"/>
      <c r="NCP116" s="199"/>
      <c r="NCQ116" s="198"/>
      <c r="NCR116" s="199"/>
      <c r="NCS116" s="198"/>
      <c r="NCT116" s="199"/>
      <c r="NCU116" s="198"/>
      <c r="NCV116" s="199"/>
      <c r="NCW116" s="198"/>
      <c r="NCX116" s="199"/>
      <c r="NCY116" s="198"/>
      <c r="NCZ116" s="199"/>
      <c r="NDA116" s="198"/>
      <c r="NDB116" s="199"/>
      <c r="NDC116" s="198"/>
      <c r="NDD116" s="199"/>
      <c r="NDE116" s="198"/>
      <c r="NDF116" s="199"/>
      <c r="NDG116" s="198"/>
      <c r="NDH116" s="199"/>
      <c r="NDI116" s="198"/>
      <c r="NDJ116" s="199"/>
      <c r="NDK116" s="198"/>
      <c r="NDL116" s="199"/>
      <c r="NDM116" s="198"/>
      <c r="NDN116" s="199"/>
      <c r="NDO116" s="198"/>
      <c r="NDP116" s="199"/>
      <c r="NDQ116" s="198"/>
      <c r="NDR116" s="199"/>
      <c r="NDS116" s="198"/>
      <c r="NDT116" s="199"/>
      <c r="NDU116" s="198"/>
      <c r="NDV116" s="199"/>
      <c r="NDW116" s="198"/>
      <c r="NDX116" s="199"/>
      <c r="NDY116" s="198"/>
      <c r="NDZ116" s="199"/>
      <c r="NEA116" s="198"/>
      <c r="NEB116" s="199"/>
      <c r="NEC116" s="198"/>
      <c r="NED116" s="199"/>
      <c r="NEE116" s="198"/>
      <c r="NEF116" s="199"/>
      <c r="NEG116" s="198"/>
      <c r="NEH116" s="199"/>
      <c r="NEI116" s="198"/>
      <c r="NEJ116" s="199"/>
      <c r="NEK116" s="198"/>
      <c r="NEL116" s="199"/>
      <c r="NEM116" s="198"/>
      <c r="NEN116" s="199"/>
      <c r="NEO116" s="198"/>
      <c r="NEP116" s="199"/>
      <c r="NEQ116" s="198"/>
      <c r="NER116" s="199"/>
      <c r="NES116" s="198"/>
      <c r="NET116" s="199"/>
      <c r="NEU116" s="198"/>
      <c r="NEV116" s="199"/>
      <c r="NEW116" s="198"/>
      <c r="NEX116" s="199"/>
      <c r="NEY116" s="198"/>
      <c r="NEZ116" s="199"/>
      <c r="NFA116" s="198"/>
      <c r="NFB116" s="199"/>
      <c r="NFC116" s="198"/>
      <c r="NFD116" s="199"/>
      <c r="NFE116" s="198"/>
      <c r="NFF116" s="199"/>
      <c r="NFG116" s="198"/>
      <c r="NFH116" s="199"/>
      <c r="NFI116" s="198"/>
      <c r="NFJ116" s="199"/>
      <c r="NFK116" s="198"/>
      <c r="NFL116" s="199"/>
      <c r="NFM116" s="198"/>
      <c r="NFN116" s="199"/>
      <c r="NFO116" s="198"/>
      <c r="NFP116" s="199"/>
      <c r="NFQ116" s="198"/>
      <c r="NFR116" s="199"/>
      <c r="NFS116" s="198"/>
      <c r="NFT116" s="199"/>
      <c r="NFU116" s="198"/>
      <c r="NFV116" s="199"/>
      <c r="NFW116" s="198"/>
      <c r="NFX116" s="199"/>
      <c r="NFY116" s="198"/>
      <c r="NFZ116" s="199"/>
      <c r="NGA116" s="198"/>
      <c r="NGB116" s="199"/>
      <c r="NGC116" s="198"/>
      <c r="NGD116" s="199"/>
      <c r="NGE116" s="198"/>
      <c r="NGF116" s="199"/>
      <c r="NGG116" s="198"/>
      <c r="NGH116" s="199"/>
      <c r="NGI116" s="198"/>
      <c r="NGJ116" s="199"/>
      <c r="NGK116" s="198"/>
      <c r="NGL116" s="199"/>
      <c r="NGM116" s="198"/>
      <c r="NGN116" s="199"/>
      <c r="NGO116" s="198"/>
      <c r="NGP116" s="199"/>
      <c r="NGQ116" s="198"/>
      <c r="NGR116" s="199"/>
      <c r="NGS116" s="198"/>
      <c r="NGT116" s="199"/>
      <c r="NGU116" s="198"/>
      <c r="NGV116" s="199"/>
      <c r="NGW116" s="198"/>
      <c r="NGX116" s="199"/>
      <c r="NGY116" s="198"/>
      <c r="NGZ116" s="199"/>
      <c r="NHA116" s="198"/>
      <c r="NHB116" s="199"/>
      <c r="NHC116" s="198"/>
      <c r="NHD116" s="199"/>
      <c r="NHE116" s="198"/>
      <c r="NHF116" s="199"/>
      <c r="NHG116" s="198"/>
      <c r="NHH116" s="199"/>
      <c r="NHI116" s="198"/>
      <c r="NHJ116" s="199"/>
      <c r="NHK116" s="198"/>
      <c r="NHL116" s="199"/>
      <c r="NHM116" s="198"/>
      <c r="NHN116" s="199"/>
      <c r="NHO116" s="198"/>
      <c r="NHP116" s="199"/>
      <c r="NHQ116" s="198"/>
      <c r="NHR116" s="199"/>
      <c r="NHS116" s="198"/>
      <c r="NHT116" s="199"/>
      <c r="NHU116" s="198"/>
      <c r="NHV116" s="199"/>
      <c r="NHW116" s="198"/>
      <c r="NHX116" s="199"/>
      <c r="NHY116" s="198"/>
      <c r="NHZ116" s="199"/>
      <c r="NIA116" s="198"/>
      <c r="NIB116" s="199"/>
      <c r="NIC116" s="198"/>
      <c r="NID116" s="199"/>
      <c r="NIE116" s="198"/>
      <c r="NIF116" s="199"/>
      <c r="NIG116" s="198"/>
      <c r="NIH116" s="199"/>
      <c r="NII116" s="198"/>
      <c r="NIJ116" s="199"/>
      <c r="NIK116" s="198"/>
      <c r="NIL116" s="199"/>
      <c r="NIM116" s="198"/>
      <c r="NIN116" s="199"/>
      <c r="NIO116" s="198"/>
      <c r="NIP116" s="199"/>
      <c r="NIQ116" s="198"/>
      <c r="NIR116" s="199"/>
      <c r="NIS116" s="198"/>
      <c r="NIT116" s="199"/>
      <c r="NIU116" s="198"/>
      <c r="NIV116" s="199"/>
      <c r="NIW116" s="198"/>
      <c r="NIX116" s="199"/>
      <c r="NIY116" s="198"/>
      <c r="NIZ116" s="199"/>
      <c r="NJA116" s="198"/>
      <c r="NJB116" s="199"/>
      <c r="NJC116" s="198"/>
      <c r="NJD116" s="199"/>
      <c r="NJE116" s="198"/>
      <c r="NJF116" s="199"/>
      <c r="NJG116" s="198"/>
      <c r="NJH116" s="199"/>
      <c r="NJI116" s="198"/>
      <c r="NJJ116" s="199"/>
      <c r="NJK116" s="198"/>
      <c r="NJL116" s="199"/>
      <c r="NJM116" s="198"/>
      <c r="NJN116" s="199"/>
      <c r="NJO116" s="198"/>
      <c r="NJP116" s="199"/>
      <c r="NJQ116" s="198"/>
      <c r="NJR116" s="199"/>
      <c r="NJS116" s="198"/>
      <c r="NJT116" s="199"/>
      <c r="NJU116" s="198"/>
      <c r="NJV116" s="199"/>
      <c r="NJW116" s="198"/>
      <c r="NJX116" s="199"/>
      <c r="NJY116" s="198"/>
      <c r="NJZ116" s="199"/>
      <c r="NKA116" s="198"/>
      <c r="NKB116" s="199"/>
      <c r="NKC116" s="198"/>
      <c r="NKD116" s="199"/>
      <c r="NKE116" s="198"/>
      <c r="NKF116" s="199"/>
      <c r="NKG116" s="198"/>
      <c r="NKH116" s="199"/>
      <c r="NKI116" s="198"/>
      <c r="NKJ116" s="199"/>
      <c r="NKK116" s="198"/>
      <c r="NKL116" s="199"/>
      <c r="NKM116" s="198"/>
      <c r="NKN116" s="199"/>
      <c r="NKO116" s="198"/>
      <c r="NKP116" s="199"/>
      <c r="NKQ116" s="198"/>
      <c r="NKR116" s="199"/>
      <c r="NKS116" s="198"/>
      <c r="NKT116" s="199"/>
      <c r="NKU116" s="198"/>
      <c r="NKV116" s="199"/>
      <c r="NKW116" s="198"/>
      <c r="NKX116" s="199"/>
      <c r="NKY116" s="198"/>
      <c r="NKZ116" s="199"/>
      <c r="NLA116" s="198"/>
      <c r="NLB116" s="199"/>
      <c r="NLC116" s="198"/>
      <c r="NLD116" s="199"/>
      <c r="NLE116" s="198"/>
      <c r="NLF116" s="199"/>
      <c r="NLG116" s="198"/>
      <c r="NLH116" s="199"/>
      <c r="NLI116" s="198"/>
      <c r="NLJ116" s="199"/>
      <c r="NLK116" s="198"/>
      <c r="NLL116" s="199"/>
      <c r="NLM116" s="198"/>
      <c r="NLN116" s="199"/>
      <c r="NLO116" s="198"/>
      <c r="NLP116" s="199"/>
      <c r="NLQ116" s="198"/>
      <c r="NLR116" s="199"/>
      <c r="NLS116" s="198"/>
      <c r="NLT116" s="199"/>
      <c r="NLU116" s="198"/>
      <c r="NLV116" s="199"/>
      <c r="NLW116" s="198"/>
      <c r="NLX116" s="199"/>
      <c r="NLY116" s="198"/>
      <c r="NLZ116" s="199"/>
      <c r="NMA116" s="198"/>
      <c r="NMB116" s="199"/>
      <c r="NMC116" s="198"/>
      <c r="NMD116" s="199"/>
      <c r="NME116" s="198"/>
      <c r="NMF116" s="199"/>
      <c r="NMG116" s="198"/>
      <c r="NMH116" s="199"/>
      <c r="NMI116" s="198"/>
      <c r="NMJ116" s="199"/>
      <c r="NMK116" s="198"/>
      <c r="NML116" s="199"/>
      <c r="NMM116" s="198"/>
      <c r="NMN116" s="199"/>
      <c r="NMO116" s="198"/>
      <c r="NMP116" s="199"/>
      <c r="NMQ116" s="198"/>
      <c r="NMR116" s="199"/>
      <c r="NMS116" s="198"/>
      <c r="NMT116" s="199"/>
      <c r="NMU116" s="198"/>
      <c r="NMV116" s="199"/>
      <c r="NMW116" s="198"/>
      <c r="NMX116" s="199"/>
      <c r="NMY116" s="198"/>
      <c r="NMZ116" s="199"/>
      <c r="NNA116" s="198"/>
      <c r="NNB116" s="199"/>
      <c r="NNC116" s="198"/>
      <c r="NND116" s="199"/>
      <c r="NNE116" s="198"/>
      <c r="NNF116" s="199"/>
      <c r="NNG116" s="198"/>
      <c r="NNH116" s="199"/>
      <c r="NNI116" s="198"/>
      <c r="NNJ116" s="199"/>
      <c r="NNK116" s="198"/>
      <c r="NNL116" s="199"/>
      <c r="NNM116" s="198"/>
      <c r="NNN116" s="199"/>
      <c r="NNO116" s="198"/>
      <c r="NNP116" s="199"/>
      <c r="NNQ116" s="198"/>
      <c r="NNR116" s="199"/>
      <c r="NNS116" s="198"/>
      <c r="NNT116" s="199"/>
      <c r="NNU116" s="198"/>
      <c r="NNV116" s="199"/>
      <c r="NNW116" s="198"/>
      <c r="NNX116" s="199"/>
      <c r="NNY116" s="198"/>
      <c r="NNZ116" s="199"/>
      <c r="NOA116" s="198"/>
      <c r="NOB116" s="199"/>
      <c r="NOC116" s="198"/>
      <c r="NOD116" s="199"/>
      <c r="NOE116" s="198"/>
      <c r="NOF116" s="199"/>
      <c r="NOG116" s="198"/>
      <c r="NOH116" s="199"/>
      <c r="NOI116" s="198"/>
      <c r="NOJ116" s="199"/>
      <c r="NOK116" s="198"/>
      <c r="NOL116" s="199"/>
      <c r="NOM116" s="198"/>
      <c r="NON116" s="199"/>
      <c r="NOO116" s="198"/>
      <c r="NOP116" s="199"/>
      <c r="NOQ116" s="198"/>
      <c r="NOR116" s="199"/>
      <c r="NOS116" s="198"/>
      <c r="NOT116" s="199"/>
      <c r="NOU116" s="198"/>
      <c r="NOV116" s="199"/>
      <c r="NOW116" s="198"/>
      <c r="NOX116" s="199"/>
      <c r="NOY116" s="198"/>
      <c r="NOZ116" s="199"/>
      <c r="NPA116" s="198"/>
      <c r="NPB116" s="199"/>
      <c r="NPC116" s="198"/>
      <c r="NPD116" s="199"/>
      <c r="NPE116" s="198"/>
      <c r="NPF116" s="199"/>
      <c r="NPG116" s="198"/>
      <c r="NPH116" s="199"/>
      <c r="NPI116" s="198"/>
      <c r="NPJ116" s="199"/>
      <c r="NPK116" s="198"/>
      <c r="NPL116" s="199"/>
      <c r="NPM116" s="198"/>
      <c r="NPN116" s="199"/>
      <c r="NPO116" s="198"/>
      <c r="NPP116" s="199"/>
      <c r="NPQ116" s="198"/>
      <c r="NPR116" s="199"/>
      <c r="NPS116" s="198"/>
      <c r="NPT116" s="199"/>
      <c r="NPU116" s="198"/>
      <c r="NPV116" s="199"/>
      <c r="NPW116" s="198"/>
      <c r="NPX116" s="199"/>
      <c r="NPY116" s="198"/>
      <c r="NPZ116" s="199"/>
      <c r="NQA116" s="198"/>
      <c r="NQB116" s="199"/>
      <c r="NQC116" s="198"/>
      <c r="NQD116" s="199"/>
      <c r="NQE116" s="198"/>
      <c r="NQF116" s="199"/>
      <c r="NQG116" s="198"/>
      <c r="NQH116" s="199"/>
      <c r="NQI116" s="198"/>
      <c r="NQJ116" s="199"/>
      <c r="NQK116" s="198"/>
      <c r="NQL116" s="199"/>
      <c r="NQM116" s="198"/>
      <c r="NQN116" s="199"/>
      <c r="NQO116" s="198"/>
      <c r="NQP116" s="199"/>
      <c r="NQQ116" s="198"/>
      <c r="NQR116" s="199"/>
      <c r="NQS116" s="198"/>
      <c r="NQT116" s="199"/>
      <c r="NQU116" s="198"/>
      <c r="NQV116" s="199"/>
      <c r="NQW116" s="198"/>
      <c r="NQX116" s="199"/>
      <c r="NQY116" s="198"/>
      <c r="NQZ116" s="199"/>
      <c r="NRA116" s="198"/>
      <c r="NRB116" s="199"/>
      <c r="NRC116" s="198"/>
      <c r="NRD116" s="199"/>
      <c r="NRE116" s="198"/>
      <c r="NRF116" s="199"/>
      <c r="NRG116" s="198"/>
      <c r="NRH116" s="199"/>
      <c r="NRI116" s="198"/>
      <c r="NRJ116" s="199"/>
      <c r="NRK116" s="198"/>
      <c r="NRL116" s="199"/>
      <c r="NRM116" s="198"/>
      <c r="NRN116" s="199"/>
      <c r="NRO116" s="198"/>
      <c r="NRP116" s="199"/>
      <c r="NRQ116" s="198"/>
      <c r="NRR116" s="199"/>
      <c r="NRS116" s="198"/>
      <c r="NRT116" s="199"/>
      <c r="NRU116" s="198"/>
      <c r="NRV116" s="199"/>
      <c r="NRW116" s="198"/>
      <c r="NRX116" s="199"/>
      <c r="NRY116" s="198"/>
      <c r="NRZ116" s="199"/>
      <c r="NSA116" s="198"/>
      <c r="NSB116" s="199"/>
      <c r="NSC116" s="198"/>
      <c r="NSD116" s="199"/>
      <c r="NSE116" s="198"/>
      <c r="NSF116" s="199"/>
      <c r="NSG116" s="198"/>
      <c r="NSH116" s="199"/>
      <c r="NSI116" s="198"/>
      <c r="NSJ116" s="199"/>
      <c r="NSK116" s="198"/>
      <c r="NSL116" s="199"/>
      <c r="NSM116" s="198"/>
      <c r="NSN116" s="199"/>
      <c r="NSO116" s="198"/>
      <c r="NSP116" s="199"/>
      <c r="NSQ116" s="198"/>
      <c r="NSR116" s="199"/>
      <c r="NSS116" s="198"/>
      <c r="NST116" s="199"/>
      <c r="NSU116" s="198"/>
      <c r="NSV116" s="199"/>
      <c r="NSW116" s="198"/>
      <c r="NSX116" s="199"/>
      <c r="NSY116" s="198"/>
      <c r="NSZ116" s="199"/>
      <c r="NTA116" s="198"/>
      <c r="NTB116" s="199"/>
      <c r="NTC116" s="198"/>
      <c r="NTD116" s="199"/>
      <c r="NTE116" s="198"/>
      <c r="NTF116" s="199"/>
      <c r="NTG116" s="198"/>
      <c r="NTH116" s="199"/>
      <c r="NTI116" s="198"/>
      <c r="NTJ116" s="199"/>
      <c r="NTK116" s="198"/>
      <c r="NTL116" s="199"/>
      <c r="NTM116" s="198"/>
      <c r="NTN116" s="199"/>
      <c r="NTO116" s="198"/>
      <c r="NTP116" s="199"/>
      <c r="NTQ116" s="198"/>
      <c r="NTR116" s="199"/>
      <c r="NTS116" s="198"/>
      <c r="NTT116" s="199"/>
      <c r="NTU116" s="198"/>
      <c r="NTV116" s="199"/>
      <c r="NTW116" s="198"/>
      <c r="NTX116" s="199"/>
      <c r="NTY116" s="198"/>
      <c r="NTZ116" s="199"/>
      <c r="NUA116" s="198"/>
      <c r="NUB116" s="199"/>
      <c r="NUC116" s="198"/>
      <c r="NUD116" s="199"/>
      <c r="NUE116" s="198"/>
      <c r="NUF116" s="199"/>
      <c r="NUG116" s="198"/>
      <c r="NUH116" s="199"/>
      <c r="NUI116" s="198"/>
      <c r="NUJ116" s="199"/>
      <c r="NUK116" s="198"/>
      <c r="NUL116" s="199"/>
      <c r="NUM116" s="198"/>
      <c r="NUN116" s="199"/>
      <c r="NUO116" s="198"/>
      <c r="NUP116" s="199"/>
      <c r="NUQ116" s="198"/>
      <c r="NUR116" s="199"/>
      <c r="NUS116" s="198"/>
      <c r="NUT116" s="199"/>
      <c r="NUU116" s="198"/>
      <c r="NUV116" s="199"/>
      <c r="NUW116" s="198"/>
      <c r="NUX116" s="199"/>
      <c r="NUY116" s="198"/>
      <c r="NUZ116" s="199"/>
      <c r="NVA116" s="198"/>
      <c r="NVB116" s="199"/>
      <c r="NVC116" s="198"/>
      <c r="NVD116" s="199"/>
      <c r="NVE116" s="198"/>
      <c r="NVF116" s="199"/>
      <c r="NVG116" s="198"/>
      <c r="NVH116" s="199"/>
      <c r="NVI116" s="198"/>
      <c r="NVJ116" s="199"/>
      <c r="NVK116" s="198"/>
      <c r="NVL116" s="199"/>
      <c r="NVM116" s="198"/>
      <c r="NVN116" s="199"/>
      <c r="NVO116" s="198"/>
      <c r="NVP116" s="199"/>
      <c r="NVQ116" s="198"/>
      <c r="NVR116" s="199"/>
      <c r="NVS116" s="198"/>
      <c r="NVT116" s="199"/>
      <c r="NVU116" s="198"/>
      <c r="NVV116" s="199"/>
      <c r="NVW116" s="198"/>
      <c r="NVX116" s="199"/>
      <c r="NVY116" s="198"/>
      <c r="NVZ116" s="199"/>
      <c r="NWA116" s="198"/>
      <c r="NWB116" s="199"/>
      <c r="NWC116" s="198"/>
      <c r="NWD116" s="199"/>
      <c r="NWE116" s="198"/>
      <c r="NWF116" s="199"/>
      <c r="NWG116" s="198"/>
      <c r="NWH116" s="199"/>
      <c r="NWI116" s="198"/>
      <c r="NWJ116" s="199"/>
      <c r="NWK116" s="198"/>
      <c r="NWL116" s="199"/>
      <c r="NWM116" s="198"/>
      <c r="NWN116" s="199"/>
      <c r="NWO116" s="198"/>
      <c r="NWP116" s="199"/>
      <c r="NWQ116" s="198"/>
      <c r="NWR116" s="199"/>
      <c r="NWS116" s="198"/>
      <c r="NWT116" s="199"/>
      <c r="NWU116" s="198"/>
      <c r="NWV116" s="199"/>
      <c r="NWW116" s="198"/>
      <c r="NWX116" s="199"/>
      <c r="NWY116" s="198"/>
      <c r="NWZ116" s="199"/>
      <c r="NXA116" s="198"/>
      <c r="NXB116" s="199"/>
      <c r="NXC116" s="198"/>
      <c r="NXD116" s="199"/>
      <c r="NXE116" s="198"/>
      <c r="NXF116" s="199"/>
      <c r="NXG116" s="198"/>
      <c r="NXH116" s="199"/>
      <c r="NXI116" s="198"/>
      <c r="NXJ116" s="199"/>
      <c r="NXK116" s="198"/>
      <c r="NXL116" s="199"/>
      <c r="NXM116" s="198"/>
      <c r="NXN116" s="199"/>
      <c r="NXO116" s="198"/>
      <c r="NXP116" s="199"/>
      <c r="NXQ116" s="198"/>
      <c r="NXR116" s="199"/>
      <c r="NXS116" s="198"/>
      <c r="NXT116" s="199"/>
      <c r="NXU116" s="198"/>
      <c r="NXV116" s="199"/>
      <c r="NXW116" s="198"/>
      <c r="NXX116" s="199"/>
      <c r="NXY116" s="198"/>
      <c r="NXZ116" s="199"/>
      <c r="NYA116" s="198"/>
      <c r="NYB116" s="199"/>
      <c r="NYC116" s="198"/>
      <c r="NYD116" s="199"/>
      <c r="NYE116" s="198"/>
      <c r="NYF116" s="199"/>
      <c r="NYG116" s="198"/>
      <c r="NYH116" s="199"/>
      <c r="NYI116" s="198"/>
      <c r="NYJ116" s="199"/>
      <c r="NYK116" s="198"/>
      <c r="NYL116" s="199"/>
      <c r="NYM116" s="198"/>
      <c r="NYN116" s="199"/>
      <c r="NYO116" s="198"/>
      <c r="NYP116" s="199"/>
      <c r="NYQ116" s="198"/>
      <c r="NYR116" s="199"/>
      <c r="NYS116" s="198"/>
      <c r="NYT116" s="199"/>
      <c r="NYU116" s="198"/>
      <c r="NYV116" s="199"/>
      <c r="NYW116" s="198"/>
      <c r="NYX116" s="199"/>
      <c r="NYY116" s="198"/>
      <c r="NYZ116" s="199"/>
      <c r="NZA116" s="198"/>
      <c r="NZB116" s="199"/>
      <c r="NZC116" s="198"/>
      <c r="NZD116" s="199"/>
      <c r="NZE116" s="198"/>
      <c r="NZF116" s="199"/>
      <c r="NZG116" s="198"/>
      <c r="NZH116" s="199"/>
      <c r="NZI116" s="198"/>
      <c r="NZJ116" s="199"/>
      <c r="NZK116" s="198"/>
      <c r="NZL116" s="199"/>
      <c r="NZM116" s="198"/>
      <c r="NZN116" s="199"/>
      <c r="NZO116" s="198"/>
      <c r="NZP116" s="199"/>
      <c r="NZQ116" s="198"/>
      <c r="NZR116" s="199"/>
      <c r="NZS116" s="198"/>
      <c r="NZT116" s="199"/>
      <c r="NZU116" s="198"/>
      <c r="NZV116" s="199"/>
      <c r="NZW116" s="198"/>
      <c r="NZX116" s="199"/>
      <c r="NZY116" s="198"/>
      <c r="NZZ116" s="199"/>
      <c r="OAA116" s="198"/>
      <c r="OAB116" s="199"/>
      <c r="OAC116" s="198"/>
      <c r="OAD116" s="199"/>
      <c r="OAE116" s="198"/>
      <c r="OAF116" s="199"/>
      <c r="OAG116" s="198"/>
      <c r="OAH116" s="199"/>
      <c r="OAI116" s="198"/>
      <c r="OAJ116" s="199"/>
      <c r="OAK116" s="198"/>
      <c r="OAL116" s="199"/>
      <c r="OAM116" s="198"/>
      <c r="OAN116" s="199"/>
      <c r="OAO116" s="198"/>
      <c r="OAP116" s="199"/>
      <c r="OAQ116" s="198"/>
      <c r="OAR116" s="199"/>
      <c r="OAS116" s="198"/>
      <c r="OAT116" s="199"/>
      <c r="OAU116" s="198"/>
      <c r="OAV116" s="199"/>
      <c r="OAW116" s="198"/>
      <c r="OAX116" s="199"/>
      <c r="OAY116" s="198"/>
      <c r="OAZ116" s="199"/>
      <c r="OBA116" s="198"/>
      <c r="OBB116" s="199"/>
      <c r="OBC116" s="198"/>
      <c r="OBD116" s="199"/>
      <c r="OBE116" s="198"/>
      <c r="OBF116" s="199"/>
      <c r="OBG116" s="198"/>
      <c r="OBH116" s="199"/>
      <c r="OBI116" s="198"/>
      <c r="OBJ116" s="199"/>
      <c r="OBK116" s="198"/>
      <c r="OBL116" s="199"/>
      <c r="OBM116" s="198"/>
      <c r="OBN116" s="199"/>
      <c r="OBO116" s="198"/>
      <c r="OBP116" s="199"/>
      <c r="OBQ116" s="198"/>
      <c r="OBR116" s="199"/>
      <c r="OBS116" s="198"/>
      <c r="OBT116" s="199"/>
      <c r="OBU116" s="198"/>
      <c r="OBV116" s="199"/>
      <c r="OBW116" s="198"/>
      <c r="OBX116" s="199"/>
      <c r="OBY116" s="198"/>
      <c r="OBZ116" s="199"/>
      <c r="OCA116" s="198"/>
      <c r="OCB116" s="199"/>
      <c r="OCC116" s="198"/>
      <c r="OCD116" s="199"/>
      <c r="OCE116" s="198"/>
      <c r="OCF116" s="199"/>
      <c r="OCG116" s="198"/>
      <c r="OCH116" s="199"/>
      <c r="OCI116" s="198"/>
      <c r="OCJ116" s="199"/>
      <c r="OCK116" s="198"/>
      <c r="OCL116" s="199"/>
      <c r="OCM116" s="198"/>
      <c r="OCN116" s="199"/>
      <c r="OCO116" s="198"/>
      <c r="OCP116" s="199"/>
      <c r="OCQ116" s="198"/>
      <c r="OCR116" s="199"/>
      <c r="OCS116" s="198"/>
      <c r="OCT116" s="199"/>
      <c r="OCU116" s="198"/>
      <c r="OCV116" s="199"/>
      <c r="OCW116" s="198"/>
      <c r="OCX116" s="199"/>
      <c r="OCY116" s="198"/>
      <c r="OCZ116" s="199"/>
      <c r="ODA116" s="198"/>
      <c r="ODB116" s="199"/>
      <c r="ODC116" s="198"/>
      <c r="ODD116" s="199"/>
      <c r="ODE116" s="198"/>
      <c r="ODF116" s="199"/>
      <c r="ODG116" s="198"/>
      <c r="ODH116" s="199"/>
      <c r="ODI116" s="198"/>
      <c r="ODJ116" s="199"/>
      <c r="ODK116" s="198"/>
      <c r="ODL116" s="199"/>
      <c r="ODM116" s="198"/>
      <c r="ODN116" s="199"/>
      <c r="ODO116" s="198"/>
      <c r="ODP116" s="199"/>
      <c r="ODQ116" s="198"/>
      <c r="ODR116" s="199"/>
      <c r="ODS116" s="198"/>
      <c r="ODT116" s="199"/>
      <c r="ODU116" s="198"/>
      <c r="ODV116" s="199"/>
      <c r="ODW116" s="198"/>
      <c r="ODX116" s="199"/>
      <c r="ODY116" s="198"/>
      <c r="ODZ116" s="199"/>
      <c r="OEA116" s="198"/>
      <c r="OEB116" s="199"/>
      <c r="OEC116" s="198"/>
      <c r="OED116" s="199"/>
      <c r="OEE116" s="198"/>
      <c r="OEF116" s="199"/>
      <c r="OEG116" s="198"/>
      <c r="OEH116" s="199"/>
      <c r="OEI116" s="198"/>
      <c r="OEJ116" s="199"/>
      <c r="OEK116" s="198"/>
      <c r="OEL116" s="199"/>
      <c r="OEM116" s="198"/>
      <c r="OEN116" s="199"/>
      <c r="OEO116" s="198"/>
      <c r="OEP116" s="199"/>
      <c r="OEQ116" s="198"/>
      <c r="OER116" s="199"/>
      <c r="OES116" s="198"/>
      <c r="OET116" s="199"/>
      <c r="OEU116" s="198"/>
      <c r="OEV116" s="199"/>
      <c r="OEW116" s="198"/>
      <c r="OEX116" s="199"/>
      <c r="OEY116" s="198"/>
      <c r="OEZ116" s="199"/>
      <c r="OFA116" s="198"/>
      <c r="OFB116" s="199"/>
      <c r="OFC116" s="198"/>
      <c r="OFD116" s="199"/>
      <c r="OFE116" s="198"/>
      <c r="OFF116" s="199"/>
      <c r="OFG116" s="198"/>
      <c r="OFH116" s="199"/>
      <c r="OFI116" s="198"/>
      <c r="OFJ116" s="199"/>
      <c r="OFK116" s="198"/>
      <c r="OFL116" s="199"/>
      <c r="OFM116" s="198"/>
      <c r="OFN116" s="199"/>
      <c r="OFO116" s="198"/>
      <c r="OFP116" s="199"/>
      <c r="OFQ116" s="198"/>
      <c r="OFR116" s="199"/>
      <c r="OFS116" s="198"/>
      <c r="OFT116" s="199"/>
      <c r="OFU116" s="198"/>
      <c r="OFV116" s="199"/>
      <c r="OFW116" s="198"/>
      <c r="OFX116" s="199"/>
      <c r="OFY116" s="198"/>
      <c r="OFZ116" s="199"/>
      <c r="OGA116" s="198"/>
      <c r="OGB116" s="199"/>
      <c r="OGC116" s="198"/>
      <c r="OGD116" s="199"/>
      <c r="OGE116" s="198"/>
      <c r="OGF116" s="199"/>
      <c r="OGG116" s="198"/>
      <c r="OGH116" s="199"/>
      <c r="OGI116" s="198"/>
      <c r="OGJ116" s="199"/>
      <c r="OGK116" s="198"/>
      <c r="OGL116" s="199"/>
      <c r="OGM116" s="198"/>
      <c r="OGN116" s="199"/>
      <c r="OGO116" s="198"/>
      <c r="OGP116" s="199"/>
      <c r="OGQ116" s="198"/>
      <c r="OGR116" s="199"/>
      <c r="OGS116" s="198"/>
      <c r="OGT116" s="199"/>
      <c r="OGU116" s="198"/>
      <c r="OGV116" s="199"/>
      <c r="OGW116" s="198"/>
      <c r="OGX116" s="199"/>
      <c r="OGY116" s="198"/>
      <c r="OGZ116" s="199"/>
      <c r="OHA116" s="198"/>
      <c r="OHB116" s="199"/>
      <c r="OHC116" s="198"/>
      <c r="OHD116" s="199"/>
      <c r="OHE116" s="198"/>
      <c r="OHF116" s="199"/>
      <c r="OHG116" s="198"/>
      <c r="OHH116" s="199"/>
      <c r="OHI116" s="198"/>
      <c r="OHJ116" s="199"/>
      <c r="OHK116" s="198"/>
      <c r="OHL116" s="199"/>
      <c r="OHM116" s="198"/>
      <c r="OHN116" s="199"/>
      <c r="OHO116" s="198"/>
      <c r="OHP116" s="199"/>
      <c r="OHQ116" s="198"/>
      <c r="OHR116" s="199"/>
      <c r="OHS116" s="198"/>
      <c r="OHT116" s="199"/>
      <c r="OHU116" s="198"/>
      <c r="OHV116" s="199"/>
      <c r="OHW116" s="198"/>
      <c r="OHX116" s="199"/>
      <c r="OHY116" s="198"/>
      <c r="OHZ116" s="199"/>
      <c r="OIA116" s="198"/>
      <c r="OIB116" s="199"/>
      <c r="OIC116" s="198"/>
      <c r="OID116" s="199"/>
      <c r="OIE116" s="198"/>
      <c r="OIF116" s="199"/>
      <c r="OIG116" s="198"/>
      <c r="OIH116" s="199"/>
      <c r="OII116" s="198"/>
      <c r="OIJ116" s="199"/>
      <c r="OIK116" s="198"/>
      <c r="OIL116" s="199"/>
      <c r="OIM116" s="198"/>
      <c r="OIN116" s="199"/>
      <c r="OIO116" s="198"/>
      <c r="OIP116" s="199"/>
      <c r="OIQ116" s="198"/>
      <c r="OIR116" s="199"/>
      <c r="OIS116" s="198"/>
      <c r="OIT116" s="199"/>
      <c r="OIU116" s="198"/>
      <c r="OIV116" s="199"/>
      <c r="OIW116" s="198"/>
      <c r="OIX116" s="199"/>
      <c r="OIY116" s="198"/>
      <c r="OIZ116" s="199"/>
      <c r="OJA116" s="198"/>
      <c r="OJB116" s="199"/>
      <c r="OJC116" s="198"/>
      <c r="OJD116" s="199"/>
      <c r="OJE116" s="198"/>
      <c r="OJF116" s="199"/>
      <c r="OJG116" s="198"/>
      <c r="OJH116" s="199"/>
      <c r="OJI116" s="198"/>
      <c r="OJJ116" s="199"/>
      <c r="OJK116" s="198"/>
      <c r="OJL116" s="199"/>
      <c r="OJM116" s="198"/>
      <c r="OJN116" s="199"/>
      <c r="OJO116" s="198"/>
      <c r="OJP116" s="199"/>
      <c r="OJQ116" s="198"/>
      <c r="OJR116" s="199"/>
      <c r="OJS116" s="198"/>
      <c r="OJT116" s="199"/>
      <c r="OJU116" s="198"/>
      <c r="OJV116" s="199"/>
      <c r="OJW116" s="198"/>
      <c r="OJX116" s="199"/>
      <c r="OJY116" s="198"/>
      <c r="OJZ116" s="199"/>
      <c r="OKA116" s="198"/>
      <c r="OKB116" s="199"/>
      <c r="OKC116" s="198"/>
      <c r="OKD116" s="199"/>
      <c r="OKE116" s="198"/>
      <c r="OKF116" s="199"/>
      <c r="OKG116" s="198"/>
      <c r="OKH116" s="199"/>
      <c r="OKI116" s="198"/>
      <c r="OKJ116" s="199"/>
      <c r="OKK116" s="198"/>
      <c r="OKL116" s="199"/>
      <c r="OKM116" s="198"/>
      <c r="OKN116" s="199"/>
      <c r="OKO116" s="198"/>
      <c r="OKP116" s="199"/>
      <c r="OKQ116" s="198"/>
      <c r="OKR116" s="199"/>
      <c r="OKS116" s="198"/>
      <c r="OKT116" s="199"/>
      <c r="OKU116" s="198"/>
      <c r="OKV116" s="199"/>
      <c r="OKW116" s="198"/>
      <c r="OKX116" s="199"/>
      <c r="OKY116" s="198"/>
      <c r="OKZ116" s="199"/>
      <c r="OLA116" s="198"/>
      <c r="OLB116" s="199"/>
      <c r="OLC116" s="198"/>
      <c r="OLD116" s="199"/>
      <c r="OLE116" s="198"/>
      <c r="OLF116" s="199"/>
      <c r="OLG116" s="198"/>
      <c r="OLH116" s="199"/>
      <c r="OLI116" s="198"/>
      <c r="OLJ116" s="199"/>
      <c r="OLK116" s="198"/>
      <c r="OLL116" s="199"/>
      <c r="OLM116" s="198"/>
      <c r="OLN116" s="199"/>
      <c r="OLO116" s="198"/>
      <c r="OLP116" s="199"/>
      <c r="OLQ116" s="198"/>
      <c r="OLR116" s="199"/>
      <c r="OLS116" s="198"/>
      <c r="OLT116" s="199"/>
      <c r="OLU116" s="198"/>
      <c r="OLV116" s="199"/>
      <c r="OLW116" s="198"/>
      <c r="OLX116" s="199"/>
      <c r="OLY116" s="198"/>
      <c r="OLZ116" s="199"/>
      <c r="OMA116" s="198"/>
      <c r="OMB116" s="199"/>
      <c r="OMC116" s="198"/>
      <c r="OMD116" s="199"/>
      <c r="OME116" s="198"/>
      <c r="OMF116" s="199"/>
      <c r="OMG116" s="198"/>
      <c r="OMH116" s="199"/>
      <c r="OMI116" s="198"/>
      <c r="OMJ116" s="199"/>
      <c r="OMK116" s="198"/>
      <c r="OML116" s="199"/>
      <c r="OMM116" s="198"/>
      <c r="OMN116" s="199"/>
      <c r="OMO116" s="198"/>
      <c r="OMP116" s="199"/>
      <c r="OMQ116" s="198"/>
      <c r="OMR116" s="199"/>
      <c r="OMS116" s="198"/>
      <c r="OMT116" s="199"/>
      <c r="OMU116" s="198"/>
      <c r="OMV116" s="199"/>
      <c r="OMW116" s="198"/>
      <c r="OMX116" s="199"/>
      <c r="OMY116" s="198"/>
      <c r="OMZ116" s="199"/>
      <c r="ONA116" s="198"/>
      <c r="ONB116" s="199"/>
      <c r="ONC116" s="198"/>
      <c r="OND116" s="199"/>
      <c r="ONE116" s="198"/>
      <c r="ONF116" s="199"/>
      <c r="ONG116" s="198"/>
      <c r="ONH116" s="199"/>
      <c r="ONI116" s="198"/>
      <c r="ONJ116" s="199"/>
      <c r="ONK116" s="198"/>
      <c r="ONL116" s="199"/>
      <c r="ONM116" s="198"/>
      <c r="ONN116" s="199"/>
      <c r="ONO116" s="198"/>
      <c r="ONP116" s="199"/>
      <c r="ONQ116" s="198"/>
      <c r="ONR116" s="199"/>
      <c r="ONS116" s="198"/>
      <c r="ONT116" s="199"/>
      <c r="ONU116" s="198"/>
      <c r="ONV116" s="199"/>
      <c r="ONW116" s="198"/>
      <c r="ONX116" s="199"/>
      <c r="ONY116" s="198"/>
      <c r="ONZ116" s="199"/>
      <c r="OOA116" s="198"/>
      <c r="OOB116" s="199"/>
      <c r="OOC116" s="198"/>
      <c r="OOD116" s="199"/>
      <c r="OOE116" s="198"/>
      <c r="OOF116" s="199"/>
      <c r="OOG116" s="198"/>
      <c r="OOH116" s="199"/>
      <c r="OOI116" s="198"/>
      <c r="OOJ116" s="199"/>
      <c r="OOK116" s="198"/>
      <c r="OOL116" s="199"/>
      <c r="OOM116" s="198"/>
      <c r="OON116" s="199"/>
      <c r="OOO116" s="198"/>
      <c r="OOP116" s="199"/>
      <c r="OOQ116" s="198"/>
      <c r="OOR116" s="199"/>
      <c r="OOS116" s="198"/>
      <c r="OOT116" s="199"/>
      <c r="OOU116" s="198"/>
      <c r="OOV116" s="199"/>
      <c r="OOW116" s="198"/>
      <c r="OOX116" s="199"/>
      <c r="OOY116" s="198"/>
      <c r="OOZ116" s="199"/>
      <c r="OPA116" s="198"/>
      <c r="OPB116" s="199"/>
      <c r="OPC116" s="198"/>
      <c r="OPD116" s="199"/>
      <c r="OPE116" s="198"/>
      <c r="OPF116" s="199"/>
      <c r="OPG116" s="198"/>
      <c r="OPH116" s="199"/>
      <c r="OPI116" s="198"/>
      <c r="OPJ116" s="199"/>
      <c r="OPK116" s="198"/>
      <c r="OPL116" s="199"/>
      <c r="OPM116" s="198"/>
      <c r="OPN116" s="199"/>
      <c r="OPO116" s="198"/>
      <c r="OPP116" s="199"/>
      <c r="OPQ116" s="198"/>
      <c r="OPR116" s="199"/>
      <c r="OPS116" s="198"/>
      <c r="OPT116" s="199"/>
      <c r="OPU116" s="198"/>
      <c r="OPV116" s="199"/>
      <c r="OPW116" s="198"/>
      <c r="OPX116" s="199"/>
      <c r="OPY116" s="198"/>
      <c r="OPZ116" s="199"/>
      <c r="OQA116" s="198"/>
      <c r="OQB116" s="199"/>
      <c r="OQC116" s="198"/>
      <c r="OQD116" s="199"/>
      <c r="OQE116" s="198"/>
      <c r="OQF116" s="199"/>
      <c r="OQG116" s="198"/>
      <c r="OQH116" s="199"/>
      <c r="OQI116" s="198"/>
      <c r="OQJ116" s="199"/>
      <c r="OQK116" s="198"/>
      <c r="OQL116" s="199"/>
      <c r="OQM116" s="198"/>
      <c r="OQN116" s="199"/>
      <c r="OQO116" s="198"/>
      <c r="OQP116" s="199"/>
      <c r="OQQ116" s="198"/>
      <c r="OQR116" s="199"/>
      <c r="OQS116" s="198"/>
      <c r="OQT116" s="199"/>
      <c r="OQU116" s="198"/>
      <c r="OQV116" s="199"/>
      <c r="OQW116" s="198"/>
      <c r="OQX116" s="199"/>
      <c r="OQY116" s="198"/>
      <c r="OQZ116" s="199"/>
      <c r="ORA116" s="198"/>
      <c r="ORB116" s="199"/>
      <c r="ORC116" s="198"/>
      <c r="ORD116" s="199"/>
      <c r="ORE116" s="198"/>
      <c r="ORF116" s="199"/>
      <c r="ORG116" s="198"/>
      <c r="ORH116" s="199"/>
      <c r="ORI116" s="198"/>
      <c r="ORJ116" s="199"/>
      <c r="ORK116" s="198"/>
      <c r="ORL116" s="199"/>
      <c r="ORM116" s="198"/>
      <c r="ORN116" s="199"/>
      <c r="ORO116" s="198"/>
      <c r="ORP116" s="199"/>
      <c r="ORQ116" s="198"/>
      <c r="ORR116" s="199"/>
      <c r="ORS116" s="198"/>
      <c r="ORT116" s="199"/>
      <c r="ORU116" s="198"/>
      <c r="ORV116" s="199"/>
      <c r="ORW116" s="198"/>
      <c r="ORX116" s="199"/>
      <c r="ORY116" s="198"/>
      <c r="ORZ116" s="199"/>
      <c r="OSA116" s="198"/>
      <c r="OSB116" s="199"/>
      <c r="OSC116" s="198"/>
      <c r="OSD116" s="199"/>
      <c r="OSE116" s="198"/>
      <c r="OSF116" s="199"/>
      <c r="OSG116" s="198"/>
      <c r="OSH116" s="199"/>
      <c r="OSI116" s="198"/>
      <c r="OSJ116" s="199"/>
      <c r="OSK116" s="198"/>
      <c r="OSL116" s="199"/>
      <c r="OSM116" s="198"/>
      <c r="OSN116" s="199"/>
      <c r="OSO116" s="198"/>
      <c r="OSP116" s="199"/>
      <c r="OSQ116" s="198"/>
      <c r="OSR116" s="199"/>
      <c r="OSS116" s="198"/>
      <c r="OST116" s="199"/>
      <c r="OSU116" s="198"/>
      <c r="OSV116" s="199"/>
      <c r="OSW116" s="198"/>
      <c r="OSX116" s="199"/>
      <c r="OSY116" s="198"/>
      <c r="OSZ116" s="199"/>
      <c r="OTA116" s="198"/>
      <c r="OTB116" s="199"/>
      <c r="OTC116" s="198"/>
      <c r="OTD116" s="199"/>
      <c r="OTE116" s="198"/>
      <c r="OTF116" s="199"/>
      <c r="OTG116" s="198"/>
      <c r="OTH116" s="199"/>
      <c r="OTI116" s="198"/>
      <c r="OTJ116" s="199"/>
      <c r="OTK116" s="198"/>
      <c r="OTL116" s="199"/>
      <c r="OTM116" s="198"/>
      <c r="OTN116" s="199"/>
      <c r="OTO116" s="198"/>
      <c r="OTP116" s="199"/>
      <c r="OTQ116" s="198"/>
      <c r="OTR116" s="199"/>
      <c r="OTS116" s="198"/>
      <c r="OTT116" s="199"/>
      <c r="OTU116" s="198"/>
      <c r="OTV116" s="199"/>
      <c r="OTW116" s="198"/>
      <c r="OTX116" s="199"/>
      <c r="OTY116" s="198"/>
      <c r="OTZ116" s="199"/>
      <c r="OUA116" s="198"/>
      <c r="OUB116" s="199"/>
      <c r="OUC116" s="198"/>
      <c r="OUD116" s="199"/>
      <c r="OUE116" s="198"/>
      <c r="OUF116" s="199"/>
      <c r="OUG116" s="198"/>
      <c r="OUH116" s="199"/>
      <c r="OUI116" s="198"/>
      <c r="OUJ116" s="199"/>
      <c r="OUK116" s="198"/>
      <c r="OUL116" s="199"/>
      <c r="OUM116" s="198"/>
      <c r="OUN116" s="199"/>
      <c r="OUO116" s="198"/>
      <c r="OUP116" s="199"/>
      <c r="OUQ116" s="198"/>
      <c r="OUR116" s="199"/>
      <c r="OUS116" s="198"/>
      <c r="OUT116" s="199"/>
      <c r="OUU116" s="198"/>
      <c r="OUV116" s="199"/>
      <c r="OUW116" s="198"/>
      <c r="OUX116" s="199"/>
      <c r="OUY116" s="198"/>
      <c r="OUZ116" s="199"/>
      <c r="OVA116" s="198"/>
      <c r="OVB116" s="199"/>
      <c r="OVC116" s="198"/>
      <c r="OVD116" s="199"/>
      <c r="OVE116" s="198"/>
      <c r="OVF116" s="199"/>
      <c r="OVG116" s="198"/>
      <c r="OVH116" s="199"/>
      <c r="OVI116" s="198"/>
      <c r="OVJ116" s="199"/>
      <c r="OVK116" s="198"/>
      <c r="OVL116" s="199"/>
      <c r="OVM116" s="198"/>
      <c r="OVN116" s="199"/>
      <c r="OVO116" s="198"/>
      <c r="OVP116" s="199"/>
      <c r="OVQ116" s="198"/>
      <c r="OVR116" s="199"/>
      <c r="OVS116" s="198"/>
      <c r="OVT116" s="199"/>
      <c r="OVU116" s="198"/>
      <c r="OVV116" s="199"/>
      <c r="OVW116" s="198"/>
      <c r="OVX116" s="199"/>
      <c r="OVY116" s="198"/>
      <c r="OVZ116" s="199"/>
      <c r="OWA116" s="198"/>
      <c r="OWB116" s="199"/>
      <c r="OWC116" s="198"/>
      <c r="OWD116" s="199"/>
      <c r="OWE116" s="198"/>
      <c r="OWF116" s="199"/>
      <c r="OWG116" s="198"/>
      <c r="OWH116" s="199"/>
      <c r="OWI116" s="198"/>
      <c r="OWJ116" s="199"/>
      <c r="OWK116" s="198"/>
      <c r="OWL116" s="199"/>
      <c r="OWM116" s="198"/>
      <c r="OWN116" s="199"/>
      <c r="OWO116" s="198"/>
      <c r="OWP116" s="199"/>
      <c r="OWQ116" s="198"/>
      <c r="OWR116" s="199"/>
      <c r="OWS116" s="198"/>
      <c r="OWT116" s="199"/>
      <c r="OWU116" s="198"/>
      <c r="OWV116" s="199"/>
      <c r="OWW116" s="198"/>
      <c r="OWX116" s="199"/>
      <c r="OWY116" s="198"/>
      <c r="OWZ116" s="199"/>
      <c r="OXA116" s="198"/>
      <c r="OXB116" s="199"/>
      <c r="OXC116" s="198"/>
      <c r="OXD116" s="199"/>
      <c r="OXE116" s="198"/>
      <c r="OXF116" s="199"/>
      <c r="OXG116" s="198"/>
      <c r="OXH116" s="199"/>
      <c r="OXI116" s="198"/>
      <c r="OXJ116" s="199"/>
      <c r="OXK116" s="198"/>
      <c r="OXL116" s="199"/>
      <c r="OXM116" s="198"/>
      <c r="OXN116" s="199"/>
      <c r="OXO116" s="198"/>
      <c r="OXP116" s="199"/>
      <c r="OXQ116" s="198"/>
      <c r="OXR116" s="199"/>
      <c r="OXS116" s="198"/>
      <c r="OXT116" s="199"/>
      <c r="OXU116" s="198"/>
      <c r="OXV116" s="199"/>
      <c r="OXW116" s="198"/>
      <c r="OXX116" s="199"/>
      <c r="OXY116" s="198"/>
      <c r="OXZ116" s="199"/>
      <c r="OYA116" s="198"/>
      <c r="OYB116" s="199"/>
      <c r="OYC116" s="198"/>
      <c r="OYD116" s="199"/>
      <c r="OYE116" s="198"/>
      <c r="OYF116" s="199"/>
      <c r="OYG116" s="198"/>
      <c r="OYH116" s="199"/>
      <c r="OYI116" s="198"/>
      <c r="OYJ116" s="199"/>
      <c r="OYK116" s="198"/>
      <c r="OYL116" s="199"/>
      <c r="OYM116" s="198"/>
      <c r="OYN116" s="199"/>
      <c r="OYO116" s="198"/>
      <c r="OYP116" s="199"/>
      <c r="OYQ116" s="198"/>
      <c r="OYR116" s="199"/>
      <c r="OYS116" s="198"/>
      <c r="OYT116" s="199"/>
      <c r="OYU116" s="198"/>
      <c r="OYV116" s="199"/>
      <c r="OYW116" s="198"/>
      <c r="OYX116" s="199"/>
      <c r="OYY116" s="198"/>
      <c r="OYZ116" s="199"/>
      <c r="OZA116" s="198"/>
      <c r="OZB116" s="199"/>
      <c r="OZC116" s="198"/>
      <c r="OZD116" s="199"/>
      <c r="OZE116" s="198"/>
      <c r="OZF116" s="199"/>
      <c r="OZG116" s="198"/>
      <c r="OZH116" s="199"/>
      <c r="OZI116" s="198"/>
      <c r="OZJ116" s="199"/>
      <c r="OZK116" s="198"/>
      <c r="OZL116" s="199"/>
      <c r="OZM116" s="198"/>
      <c r="OZN116" s="199"/>
      <c r="OZO116" s="198"/>
      <c r="OZP116" s="199"/>
      <c r="OZQ116" s="198"/>
      <c r="OZR116" s="199"/>
      <c r="OZS116" s="198"/>
      <c r="OZT116" s="199"/>
      <c r="OZU116" s="198"/>
      <c r="OZV116" s="199"/>
      <c r="OZW116" s="198"/>
      <c r="OZX116" s="199"/>
      <c r="OZY116" s="198"/>
      <c r="OZZ116" s="199"/>
      <c r="PAA116" s="198"/>
      <c r="PAB116" s="199"/>
      <c r="PAC116" s="198"/>
      <c r="PAD116" s="199"/>
      <c r="PAE116" s="198"/>
      <c r="PAF116" s="199"/>
      <c r="PAG116" s="198"/>
      <c r="PAH116" s="199"/>
      <c r="PAI116" s="198"/>
      <c r="PAJ116" s="199"/>
      <c r="PAK116" s="198"/>
      <c r="PAL116" s="199"/>
      <c r="PAM116" s="198"/>
      <c r="PAN116" s="199"/>
      <c r="PAO116" s="198"/>
      <c r="PAP116" s="199"/>
      <c r="PAQ116" s="198"/>
      <c r="PAR116" s="199"/>
      <c r="PAS116" s="198"/>
      <c r="PAT116" s="199"/>
      <c r="PAU116" s="198"/>
      <c r="PAV116" s="199"/>
      <c r="PAW116" s="198"/>
      <c r="PAX116" s="199"/>
      <c r="PAY116" s="198"/>
      <c r="PAZ116" s="199"/>
      <c r="PBA116" s="198"/>
      <c r="PBB116" s="199"/>
      <c r="PBC116" s="198"/>
      <c r="PBD116" s="199"/>
      <c r="PBE116" s="198"/>
      <c r="PBF116" s="199"/>
      <c r="PBG116" s="198"/>
      <c r="PBH116" s="199"/>
      <c r="PBI116" s="198"/>
      <c r="PBJ116" s="199"/>
      <c r="PBK116" s="198"/>
      <c r="PBL116" s="199"/>
      <c r="PBM116" s="198"/>
      <c r="PBN116" s="199"/>
      <c r="PBO116" s="198"/>
      <c r="PBP116" s="199"/>
      <c r="PBQ116" s="198"/>
      <c r="PBR116" s="199"/>
      <c r="PBS116" s="198"/>
      <c r="PBT116" s="199"/>
      <c r="PBU116" s="198"/>
      <c r="PBV116" s="199"/>
      <c r="PBW116" s="198"/>
      <c r="PBX116" s="199"/>
      <c r="PBY116" s="198"/>
      <c r="PBZ116" s="199"/>
      <c r="PCA116" s="198"/>
      <c r="PCB116" s="199"/>
      <c r="PCC116" s="198"/>
      <c r="PCD116" s="199"/>
      <c r="PCE116" s="198"/>
      <c r="PCF116" s="199"/>
      <c r="PCG116" s="198"/>
      <c r="PCH116" s="199"/>
      <c r="PCI116" s="198"/>
      <c r="PCJ116" s="199"/>
      <c r="PCK116" s="198"/>
      <c r="PCL116" s="199"/>
      <c r="PCM116" s="198"/>
      <c r="PCN116" s="199"/>
      <c r="PCO116" s="198"/>
      <c r="PCP116" s="199"/>
      <c r="PCQ116" s="198"/>
      <c r="PCR116" s="199"/>
      <c r="PCS116" s="198"/>
      <c r="PCT116" s="199"/>
      <c r="PCU116" s="198"/>
      <c r="PCV116" s="199"/>
      <c r="PCW116" s="198"/>
      <c r="PCX116" s="199"/>
      <c r="PCY116" s="198"/>
      <c r="PCZ116" s="199"/>
      <c r="PDA116" s="198"/>
      <c r="PDB116" s="199"/>
      <c r="PDC116" s="198"/>
      <c r="PDD116" s="199"/>
      <c r="PDE116" s="198"/>
      <c r="PDF116" s="199"/>
      <c r="PDG116" s="198"/>
      <c r="PDH116" s="199"/>
      <c r="PDI116" s="198"/>
      <c r="PDJ116" s="199"/>
      <c r="PDK116" s="198"/>
      <c r="PDL116" s="199"/>
      <c r="PDM116" s="198"/>
      <c r="PDN116" s="199"/>
      <c r="PDO116" s="198"/>
      <c r="PDP116" s="199"/>
      <c r="PDQ116" s="198"/>
      <c r="PDR116" s="199"/>
      <c r="PDS116" s="198"/>
      <c r="PDT116" s="199"/>
      <c r="PDU116" s="198"/>
      <c r="PDV116" s="199"/>
      <c r="PDW116" s="198"/>
      <c r="PDX116" s="199"/>
      <c r="PDY116" s="198"/>
      <c r="PDZ116" s="199"/>
      <c r="PEA116" s="198"/>
      <c r="PEB116" s="199"/>
      <c r="PEC116" s="198"/>
      <c r="PED116" s="199"/>
      <c r="PEE116" s="198"/>
      <c r="PEF116" s="199"/>
      <c r="PEG116" s="198"/>
      <c r="PEH116" s="199"/>
      <c r="PEI116" s="198"/>
      <c r="PEJ116" s="199"/>
      <c r="PEK116" s="198"/>
      <c r="PEL116" s="199"/>
      <c r="PEM116" s="198"/>
      <c r="PEN116" s="199"/>
      <c r="PEO116" s="198"/>
      <c r="PEP116" s="199"/>
      <c r="PEQ116" s="198"/>
      <c r="PER116" s="199"/>
      <c r="PES116" s="198"/>
      <c r="PET116" s="199"/>
      <c r="PEU116" s="198"/>
      <c r="PEV116" s="199"/>
      <c r="PEW116" s="198"/>
      <c r="PEX116" s="199"/>
      <c r="PEY116" s="198"/>
      <c r="PEZ116" s="199"/>
      <c r="PFA116" s="198"/>
      <c r="PFB116" s="199"/>
      <c r="PFC116" s="198"/>
      <c r="PFD116" s="199"/>
      <c r="PFE116" s="198"/>
      <c r="PFF116" s="199"/>
      <c r="PFG116" s="198"/>
      <c r="PFH116" s="199"/>
      <c r="PFI116" s="198"/>
      <c r="PFJ116" s="199"/>
      <c r="PFK116" s="198"/>
      <c r="PFL116" s="199"/>
      <c r="PFM116" s="198"/>
      <c r="PFN116" s="199"/>
      <c r="PFO116" s="198"/>
      <c r="PFP116" s="199"/>
      <c r="PFQ116" s="198"/>
      <c r="PFR116" s="199"/>
      <c r="PFS116" s="198"/>
      <c r="PFT116" s="199"/>
      <c r="PFU116" s="198"/>
      <c r="PFV116" s="199"/>
      <c r="PFW116" s="198"/>
      <c r="PFX116" s="199"/>
      <c r="PFY116" s="198"/>
      <c r="PFZ116" s="199"/>
      <c r="PGA116" s="198"/>
      <c r="PGB116" s="199"/>
      <c r="PGC116" s="198"/>
      <c r="PGD116" s="199"/>
      <c r="PGE116" s="198"/>
      <c r="PGF116" s="199"/>
      <c r="PGG116" s="198"/>
      <c r="PGH116" s="199"/>
      <c r="PGI116" s="198"/>
      <c r="PGJ116" s="199"/>
      <c r="PGK116" s="198"/>
      <c r="PGL116" s="199"/>
      <c r="PGM116" s="198"/>
      <c r="PGN116" s="199"/>
      <c r="PGO116" s="198"/>
      <c r="PGP116" s="199"/>
      <c r="PGQ116" s="198"/>
      <c r="PGR116" s="199"/>
      <c r="PGS116" s="198"/>
      <c r="PGT116" s="199"/>
      <c r="PGU116" s="198"/>
      <c r="PGV116" s="199"/>
      <c r="PGW116" s="198"/>
      <c r="PGX116" s="199"/>
      <c r="PGY116" s="198"/>
      <c r="PGZ116" s="199"/>
      <c r="PHA116" s="198"/>
      <c r="PHB116" s="199"/>
      <c r="PHC116" s="198"/>
      <c r="PHD116" s="199"/>
      <c r="PHE116" s="198"/>
      <c r="PHF116" s="199"/>
      <c r="PHG116" s="198"/>
      <c r="PHH116" s="199"/>
      <c r="PHI116" s="198"/>
      <c r="PHJ116" s="199"/>
      <c r="PHK116" s="198"/>
      <c r="PHL116" s="199"/>
      <c r="PHM116" s="198"/>
      <c r="PHN116" s="199"/>
      <c r="PHO116" s="198"/>
      <c r="PHP116" s="199"/>
      <c r="PHQ116" s="198"/>
      <c r="PHR116" s="199"/>
      <c r="PHS116" s="198"/>
      <c r="PHT116" s="199"/>
      <c r="PHU116" s="198"/>
      <c r="PHV116" s="199"/>
      <c r="PHW116" s="198"/>
      <c r="PHX116" s="199"/>
      <c r="PHY116" s="198"/>
      <c r="PHZ116" s="199"/>
      <c r="PIA116" s="198"/>
      <c r="PIB116" s="199"/>
      <c r="PIC116" s="198"/>
      <c r="PID116" s="199"/>
      <c r="PIE116" s="198"/>
      <c r="PIF116" s="199"/>
      <c r="PIG116" s="198"/>
      <c r="PIH116" s="199"/>
      <c r="PII116" s="198"/>
      <c r="PIJ116" s="199"/>
      <c r="PIK116" s="198"/>
      <c r="PIL116" s="199"/>
      <c r="PIM116" s="198"/>
      <c r="PIN116" s="199"/>
      <c r="PIO116" s="198"/>
      <c r="PIP116" s="199"/>
      <c r="PIQ116" s="198"/>
      <c r="PIR116" s="199"/>
      <c r="PIS116" s="198"/>
      <c r="PIT116" s="199"/>
      <c r="PIU116" s="198"/>
      <c r="PIV116" s="199"/>
      <c r="PIW116" s="198"/>
      <c r="PIX116" s="199"/>
      <c r="PIY116" s="198"/>
      <c r="PIZ116" s="199"/>
      <c r="PJA116" s="198"/>
      <c r="PJB116" s="199"/>
      <c r="PJC116" s="198"/>
      <c r="PJD116" s="199"/>
      <c r="PJE116" s="198"/>
      <c r="PJF116" s="199"/>
      <c r="PJG116" s="198"/>
      <c r="PJH116" s="199"/>
      <c r="PJI116" s="198"/>
      <c r="PJJ116" s="199"/>
      <c r="PJK116" s="198"/>
      <c r="PJL116" s="199"/>
      <c r="PJM116" s="198"/>
      <c r="PJN116" s="199"/>
      <c r="PJO116" s="198"/>
      <c r="PJP116" s="199"/>
      <c r="PJQ116" s="198"/>
      <c r="PJR116" s="199"/>
      <c r="PJS116" s="198"/>
      <c r="PJT116" s="199"/>
      <c r="PJU116" s="198"/>
      <c r="PJV116" s="199"/>
      <c r="PJW116" s="198"/>
      <c r="PJX116" s="199"/>
      <c r="PJY116" s="198"/>
      <c r="PJZ116" s="199"/>
      <c r="PKA116" s="198"/>
      <c r="PKB116" s="199"/>
      <c r="PKC116" s="198"/>
      <c r="PKD116" s="199"/>
      <c r="PKE116" s="198"/>
      <c r="PKF116" s="199"/>
      <c r="PKG116" s="198"/>
      <c r="PKH116" s="199"/>
      <c r="PKI116" s="198"/>
      <c r="PKJ116" s="199"/>
      <c r="PKK116" s="198"/>
      <c r="PKL116" s="199"/>
      <c r="PKM116" s="198"/>
      <c r="PKN116" s="199"/>
      <c r="PKO116" s="198"/>
      <c r="PKP116" s="199"/>
      <c r="PKQ116" s="198"/>
      <c r="PKR116" s="199"/>
      <c r="PKS116" s="198"/>
      <c r="PKT116" s="199"/>
      <c r="PKU116" s="198"/>
      <c r="PKV116" s="199"/>
      <c r="PKW116" s="198"/>
      <c r="PKX116" s="199"/>
      <c r="PKY116" s="198"/>
      <c r="PKZ116" s="199"/>
      <c r="PLA116" s="198"/>
      <c r="PLB116" s="199"/>
      <c r="PLC116" s="198"/>
      <c r="PLD116" s="199"/>
      <c r="PLE116" s="198"/>
      <c r="PLF116" s="199"/>
      <c r="PLG116" s="198"/>
      <c r="PLH116" s="199"/>
      <c r="PLI116" s="198"/>
      <c r="PLJ116" s="199"/>
      <c r="PLK116" s="198"/>
      <c r="PLL116" s="199"/>
      <c r="PLM116" s="198"/>
      <c r="PLN116" s="199"/>
      <c r="PLO116" s="198"/>
      <c r="PLP116" s="199"/>
      <c r="PLQ116" s="198"/>
      <c r="PLR116" s="199"/>
      <c r="PLS116" s="198"/>
      <c r="PLT116" s="199"/>
      <c r="PLU116" s="198"/>
      <c r="PLV116" s="199"/>
      <c r="PLW116" s="198"/>
      <c r="PLX116" s="199"/>
      <c r="PLY116" s="198"/>
      <c r="PLZ116" s="199"/>
      <c r="PMA116" s="198"/>
      <c r="PMB116" s="199"/>
      <c r="PMC116" s="198"/>
      <c r="PMD116" s="199"/>
      <c r="PME116" s="198"/>
      <c r="PMF116" s="199"/>
      <c r="PMG116" s="198"/>
      <c r="PMH116" s="199"/>
      <c r="PMI116" s="198"/>
      <c r="PMJ116" s="199"/>
      <c r="PMK116" s="198"/>
      <c r="PML116" s="199"/>
      <c r="PMM116" s="198"/>
      <c r="PMN116" s="199"/>
      <c r="PMO116" s="198"/>
      <c r="PMP116" s="199"/>
      <c r="PMQ116" s="198"/>
      <c r="PMR116" s="199"/>
      <c r="PMS116" s="198"/>
      <c r="PMT116" s="199"/>
      <c r="PMU116" s="198"/>
      <c r="PMV116" s="199"/>
      <c r="PMW116" s="198"/>
      <c r="PMX116" s="199"/>
      <c r="PMY116" s="198"/>
      <c r="PMZ116" s="199"/>
      <c r="PNA116" s="198"/>
      <c r="PNB116" s="199"/>
      <c r="PNC116" s="198"/>
      <c r="PND116" s="199"/>
      <c r="PNE116" s="198"/>
      <c r="PNF116" s="199"/>
      <c r="PNG116" s="198"/>
      <c r="PNH116" s="199"/>
      <c r="PNI116" s="198"/>
      <c r="PNJ116" s="199"/>
      <c r="PNK116" s="198"/>
      <c r="PNL116" s="199"/>
      <c r="PNM116" s="198"/>
      <c r="PNN116" s="199"/>
      <c r="PNO116" s="198"/>
      <c r="PNP116" s="199"/>
      <c r="PNQ116" s="198"/>
      <c r="PNR116" s="199"/>
      <c r="PNS116" s="198"/>
      <c r="PNT116" s="199"/>
      <c r="PNU116" s="198"/>
      <c r="PNV116" s="199"/>
      <c r="PNW116" s="198"/>
      <c r="PNX116" s="199"/>
      <c r="PNY116" s="198"/>
      <c r="PNZ116" s="199"/>
      <c r="POA116" s="198"/>
      <c r="POB116" s="199"/>
      <c r="POC116" s="198"/>
      <c r="POD116" s="199"/>
      <c r="POE116" s="198"/>
      <c r="POF116" s="199"/>
      <c r="POG116" s="198"/>
      <c r="POH116" s="199"/>
      <c r="POI116" s="198"/>
      <c r="POJ116" s="199"/>
      <c r="POK116" s="198"/>
      <c r="POL116" s="199"/>
      <c r="POM116" s="198"/>
      <c r="PON116" s="199"/>
      <c r="POO116" s="198"/>
      <c r="POP116" s="199"/>
      <c r="POQ116" s="198"/>
      <c r="POR116" s="199"/>
      <c r="POS116" s="198"/>
      <c r="POT116" s="199"/>
      <c r="POU116" s="198"/>
      <c r="POV116" s="199"/>
      <c r="POW116" s="198"/>
      <c r="POX116" s="199"/>
      <c r="POY116" s="198"/>
      <c r="POZ116" s="199"/>
      <c r="PPA116" s="198"/>
      <c r="PPB116" s="199"/>
      <c r="PPC116" s="198"/>
      <c r="PPD116" s="199"/>
      <c r="PPE116" s="198"/>
      <c r="PPF116" s="199"/>
      <c r="PPG116" s="198"/>
      <c r="PPH116" s="199"/>
      <c r="PPI116" s="198"/>
      <c r="PPJ116" s="199"/>
      <c r="PPK116" s="198"/>
      <c r="PPL116" s="199"/>
      <c r="PPM116" s="198"/>
      <c r="PPN116" s="199"/>
      <c r="PPO116" s="198"/>
      <c r="PPP116" s="199"/>
      <c r="PPQ116" s="198"/>
      <c r="PPR116" s="199"/>
      <c r="PPS116" s="198"/>
      <c r="PPT116" s="199"/>
      <c r="PPU116" s="198"/>
      <c r="PPV116" s="199"/>
      <c r="PPW116" s="198"/>
      <c r="PPX116" s="199"/>
      <c r="PPY116" s="198"/>
      <c r="PPZ116" s="199"/>
      <c r="PQA116" s="198"/>
      <c r="PQB116" s="199"/>
      <c r="PQC116" s="198"/>
      <c r="PQD116" s="199"/>
      <c r="PQE116" s="198"/>
      <c r="PQF116" s="199"/>
      <c r="PQG116" s="198"/>
      <c r="PQH116" s="199"/>
      <c r="PQI116" s="198"/>
      <c r="PQJ116" s="199"/>
      <c r="PQK116" s="198"/>
      <c r="PQL116" s="199"/>
      <c r="PQM116" s="198"/>
      <c r="PQN116" s="199"/>
      <c r="PQO116" s="198"/>
      <c r="PQP116" s="199"/>
      <c r="PQQ116" s="198"/>
      <c r="PQR116" s="199"/>
      <c r="PQS116" s="198"/>
      <c r="PQT116" s="199"/>
      <c r="PQU116" s="198"/>
      <c r="PQV116" s="199"/>
      <c r="PQW116" s="198"/>
      <c r="PQX116" s="199"/>
      <c r="PQY116" s="198"/>
      <c r="PQZ116" s="199"/>
      <c r="PRA116" s="198"/>
      <c r="PRB116" s="199"/>
      <c r="PRC116" s="198"/>
      <c r="PRD116" s="199"/>
      <c r="PRE116" s="198"/>
      <c r="PRF116" s="199"/>
      <c r="PRG116" s="198"/>
      <c r="PRH116" s="199"/>
      <c r="PRI116" s="198"/>
      <c r="PRJ116" s="199"/>
      <c r="PRK116" s="198"/>
      <c r="PRL116" s="199"/>
      <c r="PRM116" s="198"/>
      <c r="PRN116" s="199"/>
      <c r="PRO116" s="198"/>
      <c r="PRP116" s="199"/>
      <c r="PRQ116" s="198"/>
      <c r="PRR116" s="199"/>
      <c r="PRS116" s="198"/>
      <c r="PRT116" s="199"/>
      <c r="PRU116" s="198"/>
      <c r="PRV116" s="199"/>
      <c r="PRW116" s="198"/>
      <c r="PRX116" s="199"/>
      <c r="PRY116" s="198"/>
      <c r="PRZ116" s="199"/>
      <c r="PSA116" s="198"/>
      <c r="PSB116" s="199"/>
      <c r="PSC116" s="198"/>
      <c r="PSD116" s="199"/>
      <c r="PSE116" s="198"/>
      <c r="PSF116" s="199"/>
      <c r="PSG116" s="198"/>
      <c r="PSH116" s="199"/>
      <c r="PSI116" s="198"/>
      <c r="PSJ116" s="199"/>
      <c r="PSK116" s="198"/>
      <c r="PSL116" s="199"/>
      <c r="PSM116" s="198"/>
      <c r="PSN116" s="199"/>
      <c r="PSO116" s="198"/>
      <c r="PSP116" s="199"/>
      <c r="PSQ116" s="198"/>
      <c r="PSR116" s="199"/>
      <c r="PSS116" s="198"/>
      <c r="PST116" s="199"/>
      <c r="PSU116" s="198"/>
      <c r="PSV116" s="199"/>
      <c r="PSW116" s="198"/>
      <c r="PSX116" s="199"/>
      <c r="PSY116" s="198"/>
      <c r="PSZ116" s="199"/>
      <c r="PTA116" s="198"/>
      <c r="PTB116" s="199"/>
      <c r="PTC116" s="198"/>
      <c r="PTD116" s="199"/>
      <c r="PTE116" s="198"/>
      <c r="PTF116" s="199"/>
      <c r="PTG116" s="198"/>
      <c r="PTH116" s="199"/>
      <c r="PTI116" s="198"/>
      <c r="PTJ116" s="199"/>
      <c r="PTK116" s="198"/>
      <c r="PTL116" s="199"/>
      <c r="PTM116" s="198"/>
      <c r="PTN116" s="199"/>
      <c r="PTO116" s="198"/>
      <c r="PTP116" s="199"/>
      <c r="PTQ116" s="198"/>
      <c r="PTR116" s="199"/>
      <c r="PTS116" s="198"/>
      <c r="PTT116" s="199"/>
      <c r="PTU116" s="198"/>
      <c r="PTV116" s="199"/>
      <c r="PTW116" s="198"/>
      <c r="PTX116" s="199"/>
      <c r="PTY116" s="198"/>
      <c r="PTZ116" s="199"/>
      <c r="PUA116" s="198"/>
      <c r="PUB116" s="199"/>
      <c r="PUC116" s="198"/>
      <c r="PUD116" s="199"/>
      <c r="PUE116" s="198"/>
      <c r="PUF116" s="199"/>
      <c r="PUG116" s="198"/>
      <c r="PUH116" s="199"/>
      <c r="PUI116" s="198"/>
      <c r="PUJ116" s="199"/>
      <c r="PUK116" s="198"/>
      <c r="PUL116" s="199"/>
      <c r="PUM116" s="198"/>
      <c r="PUN116" s="199"/>
      <c r="PUO116" s="198"/>
      <c r="PUP116" s="199"/>
      <c r="PUQ116" s="198"/>
      <c r="PUR116" s="199"/>
      <c r="PUS116" s="198"/>
      <c r="PUT116" s="199"/>
      <c r="PUU116" s="198"/>
      <c r="PUV116" s="199"/>
      <c r="PUW116" s="198"/>
      <c r="PUX116" s="199"/>
      <c r="PUY116" s="198"/>
      <c r="PUZ116" s="199"/>
      <c r="PVA116" s="198"/>
      <c r="PVB116" s="199"/>
      <c r="PVC116" s="198"/>
      <c r="PVD116" s="199"/>
      <c r="PVE116" s="198"/>
      <c r="PVF116" s="199"/>
      <c r="PVG116" s="198"/>
      <c r="PVH116" s="199"/>
      <c r="PVI116" s="198"/>
      <c r="PVJ116" s="199"/>
      <c r="PVK116" s="198"/>
      <c r="PVL116" s="199"/>
      <c r="PVM116" s="198"/>
      <c r="PVN116" s="199"/>
      <c r="PVO116" s="198"/>
      <c r="PVP116" s="199"/>
      <c r="PVQ116" s="198"/>
      <c r="PVR116" s="199"/>
      <c r="PVS116" s="198"/>
      <c r="PVT116" s="199"/>
      <c r="PVU116" s="198"/>
      <c r="PVV116" s="199"/>
      <c r="PVW116" s="198"/>
      <c r="PVX116" s="199"/>
      <c r="PVY116" s="198"/>
      <c r="PVZ116" s="199"/>
      <c r="PWA116" s="198"/>
      <c r="PWB116" s="199"/>
      <c r="PWC116" s="198"/>
      <c r="PWD116" s="199"/>
      <c r="PWE116" s="198"/>
      <c r="PWF116" s="199"/>
      <c r="PWG116" s="198"/>
      <c r="PWH116" s="199"/>
      <c r="PWI116" s="198"/>
      <c r="PWJ116" s="199"/>
      <c r="PWK116" s="198"/>
      <c r="PWL116" s="199"/>
      <c r="PWM116" s="198"/>
      <c r="PWN116" s="199"/>
      <c r="PWO116" s="198"/>
      <c r="PWP116" s="199"/>
      <c r="PWQ116" s="198"/>
      <c r="PWR116" s="199"/>
      <c r="PWS116" s="198"/>
      <c r="PWT116" s="199"/>
      <c r="PWU116" s="198"/>
      <c r="PWV116" s="199"/>
      <c r="PWW116" s="198"/>
      <c r="PWX116" s="199"/>
      <c r="PWY116" s="198"/>
      <c r="PWZ116" s="199"/>
      <c r="PXA116" s="198"/>
      <c r="PXB116" s="199"/>
      <c r="PXC116" s="198"/>
      <c r="PXD116" s="199"/>
      <c r="PXE116" s="198"/>
      <c r="PXF116" s="199"/>
      <c r="PXG116" s="198"/>
      <c r="PXH116" s="199"/>
      <c r="PXI116" s="198"/>
      <c r="PXJ116" s="199"/>
      <c r="PXK116" s="198"/>
      <c r="PXL116" s="199"/>
      <c r="PXM116" s="198"/>
      <c r="PXN116" s="199"/>
      <c r="PXO116" s="198"/>
      <c r="PXP116" s="199"/>
      <c r="PXQ116" s="198"/>
      <c r="PXR116" s="199"/>
      <c r="PXS116" s="198"/>
      <c r="PXT116" s="199"/>
      <c r="PXU116" s="198"/>
      <c r="PXV116" s="199"/>
      <c r="PXW116" s="198"/>
      <c r="PXX116" s="199"/>
      <c r="PXY116" s="198"/>
      <c r="PXZ116" s="199"/>
      <c r="PYA116" s="198"/>
      <c r="PYB116" s="199"/>
      <c r="PYC116" s="198"/>
      <c r="PYD116" s="199"/>
      <c r="PYE116" s="198"/>
      <c r="PYF116" s="199"/>
      <c r="PYG116" s="198"/>
      <c r="PYH116" s="199"/>
      <c r="PYI116" s="198"/>
      <c r="PYJ116" s="199"/>
      <c r="PYK116" s="198"/>
      <c r="PYL116" s="199"/>
      <c r="PYM116" s="198"/>
      <c r="PYN116" s="199"/>
      <c r="PYO116" s="198"/>
      <c r="PYP116" s="199"/>
      <c r="PYQ116" s="198"/>
      <c r="PYR116" s="199"/>
      <c r="PYS116" s="198"/>
      <c r="PYT116" s="199"/>
      <c r="PYU116" s="198"/>
      <c r="PYV116" s="199"/>
      <c r="PYW116" s="198"/>
      <c r="PYX116" s="199"/>
      <c r="PYY116" s="198"/>
      <c r="PYZ116" s="199"/>
      <c r="PZA116" s="198"/>
      <c r="PZB116" s="199"/>
      <c r="PZC116" s="198"/>
      <c r="PZD116" s="199"/>
      <c r="PZE116" s="198"/>
      <c r="PZF116" s="199"/>
      <c r="PZG116" s="198"/>
      <c r="PZH116" s="199"/>
      <c r="PZI116" s="198"/>
      <c r="PZJ116" s="199"/>
      <c r="PZK116" s="198"/>
      <c r="PZL116" s="199"/>
      <c r="PZM116" s="198"/>
      <c r="PZN116" s="199"/>
      <c r="PZO116" s="198"/>
      <c r="PZP116" s="199"/>
      <c r="PZQ116" s="198"/>
      <c r="PZR116" s="199"/>
      <c r="PZS116" s="198"/>
      <c r="PZT116" s="199"/>
      <c r="PZU116" s="198"/>
      <c r="PZV116" s="199"/>
      <c r="PZW116" s="198"/>
      <c r="PZX116" s="199"/>
      <c r="PZY116" s="198"/>
      <c r="PZZ116" s="199"/>
      <c r="QAA116" s="198"/>
      <c r="QAB116" s="199"/>
      <c r="QAC116" s="198"/>
      <c r="QAD116" s="199"/>
      <c r="QAE116" s="198"/>
      <c r="QAF116" s="199"/>
      <c r="QAG116" s="198"/>
      <c r="QAH116" s="199"/>
      <c r="QAI116" s="198"/>
      <c r="QAJ116" s="199"/>
      <c r="QAK116" s="198"/>
      <c r="QAL116" s="199"/>
      <c r="QAM116" s="198"/>
      <c r="QAN116" s="199"/>
      <c r="QAO116" s="198"/>
      <c r="QAP116" s="199"/>
      <c r="QAQ116" s="198"/>
      <c r="QAR116" s="199"/>
      <c r="QAS116" s="198"/>
      <c r="QAT116" s="199"/>
      <c r="QAU116" s="198"/>
      <c r="QAV116" s="199"/>
      <c r="QAW116" s="198"/>
      <c r="QAX116" s="199"/>
      <c r="QAY116" s="198"/>
      <c r="QAZ116" s="199"/>
      <c r="QBA116" s="198"/>
      <c r="QBB116" s="199"/>
      <c r="QBC116" s="198"/>
      <c r="QBD116" s="199"/>
      <c r="QBE116" s="198"/>
      <c r="QBF116" s="199"/>
      <c r="QBG116" s="198"/>
      <c r="QBH116" s="199"/>
      <c r="QBI116" s="198"/>
      <c r="QBJ116" s="199"/>
      <c r="QBK116" s="198"/>
      <c r="QBL116" s="199"/>
      <c r="QBM116" s="198"/>
      <c r="QBN116" s="199"/>
      <c r="QBO116" s="198"/>
      <c r="QBP116" s="199"/>
      <c r="QBQ116" s="198"/>
      <c r="QBR116" s="199"/>
      <c r="QBS116" s="198"/>
      <c r="QBT116" s="199"/>
      <c r="QBU116" s="198"/>
      <c r="QBV116" s="199"/>
      <c r="QBW116" s="198"/>
      <c r="QBX116" s="199"/>
      <c r="QBY116" s="198"/>
      <c r="QBZ116" s="199"/>
      <c r="QCA116" s="198"/>
      <c r="QCB116" s="199"/>
      <c r="QCC116" s="198"/>
      <c r="QCD116" s="199"/>
      <c r="QCE116" s="198"/>
      <c r="QCF116" s="199"/>
      <c r="QCG116" s="198"/>
      <c r="QCH116" s="199"/>
      <c r="QCI116" s="198"/>
      <c r="QCJ116" s="199"/>
      <c r="QCK116" s="198"/>
      <c r="QCL116" s="199"/>
      <c r="QCM116" s="198"/>
      <c r="QCN116" s="199"/>
      <c r="QCO116" s="198"/>
      <c r="QCP116" s="199"/>
      <c r="QCQ116" s="198"/>
      <c r="QCR116" s="199"/>
      <c r="QCS116" s="198"/>
      <c r="QCT116" s="199"/>
      <c r="QCU116" s="198"/>
      <c r="QCV116" s="199"/>
      <c r="QCW116" s="198"/>
      <c r="QCX116" s="199"/>
      <c r="QCY116" s="198"/>
      <c r="QCZ116" s="199"/>
      <c r="QDA116" s="198"/>
      <c r="QDB116" s="199"/>
      <c r="QDC116" s="198"/>
      <c r="QDD116" s="199"/>
      <c r="QDE116" s="198"/>
      <c r="QDF116" s="199"/>
      <c r="QDG116" s="198"/>
      <c r="QDH116" s="199"/>
      <c r="QDI116" s="198"/>
      <c r="QDJ116" s="199"/>
      <c r="QDK116" s="198"/>
      <c r="QDL116" s="199"/>
      <c r="QDM116" s="198"/>
      <c r="QDN116" s="199"/>
      <c r="QDO116" s="198"/>
      <c r="QDP116" s="199"/>
      <c r="QDQ116" s="198"/>
      <c r="QDR116" s="199"/>
      <c r="QDS116" s="198"/>
      <c r="QDT116" s="199"/>
      <c r="QDU116" s="198"/>
      <c r="QDV116" s="199"/>
      <c r="QDW116" s="198"/>
      <c r="QDX116" s="199"/>
      <c r="QDY116" s="198"/>
      <c r="QDZ116" s="199"/>
      <c r="QEA116" s="198"/>
      <c r="QEB116" s="199"/>
      <c r="QEC116" s="198"/>
      <c r="QED116" s="199"/>
      <c r="QEE116" s="198"/>
      <c r="QEF116" s="199"/>
      <c r="QEG116" s="198"/>
      <c r="QEH116" s="199"/>
      <c r="QEI116" s="198"/>
      <c r="QEJ116" s="199"/>
      <c r="QEK116" s="198"/>
      <c r="QEL116" s="199"/>
      <c r="QEM116" s="198"/>
      <c r="QEN116" s="199"/>
      <c r="QEO116" s="198"/>
      <c r="QEP116" s="199"/>
      <c r="QEQ116" s="198"/>
      <c r="QER116" s="199"/>
      <c r="QES116" s="198"/>
      <c r="QET116" s="199"/>
      <c r="QEU116" s="198"/>
      <c r="QEV116" s="199"/>
      <c r="QEW116" s="198"/>
      <c r="QEX116" s="199"/>
      <c r="QEY116" s="198"/>
      <c r="QEZ116" s="199"/>
      <c r="QFA116" s="198"/>
      <c r="QFB116" s="199"/>
      <c r="QFC116" s="198"/>
      <c r="QFD116" s="199"/>
      <c r="QFE116" s="198"/>
      <c r="QFF116" s="199"/>
      <c r="QFG116" s="198"/>
      <c r="QFH116" s="199"/>
      <c r="QFI116" s="198"/>
      <c r="QFJ116" s="199"/>
      <c r="QFK116" s="198"/>
      <c r="QFL116" s="199"/>
      <c r="QFM116" s="198"/>
      <c r="QFN116" s="199"/>
      <c r="QFO116" s="198"/>
      <c r="QFP116" s="199"/>
      <c r="QFQ116" s="198"/>
      <c r="QFR116" s="199"/>
      <c r="QFS116" s="198"/>
      <c r="QFT116" s="199"/>
      <c r="QFU116" s="198"/>
      <c r="QFV116" s="199"/>
      <c r="QFW116" s="198"/>
      <c r="QFX116" s="199"/>
      <c r="QFY116" s="198"/>
      <c r="QFZ116" s="199"/>
      <c r="QGA116" s="198"/>
      <c r="QGB116" s="199"/>
      <c r="QGC116" s="198"/>
      <c r="QGD116" s="199"/>
      <c r="QGE116" s="198"/>
      <c r="QGF116" s="199"/>
      <c r="QGG116" s="198"/>
      <c r="QGH116" s="199"/>
      <c r="QGI116" s="198"/>
      <c r="QGJ116" s="199"/>
      <c r="QGK116" s="198"/>
      <c r="QGL116" s="199"/>
      <c r="QGM116" s="198"/>
      <c r="QGN116" s="199"/>
      <c r="QGO116" s="198"/>
      <c r="QGP116" s="199"/>
      <c r="QGQ116" s="198"/>
      <c r="QGR116" s="199"/>
      <c r="QGS116" s="198"/>
      <c r="QGT116" s="199"/>
      <c r="QGU116" s="198"/>
      <c r="QGV116" s="199"/>
      <c r="QGW116" s="198"/>
      <c r="QGX116" s="199"/>
      <c r="QGY116" s="198"/>
      <c r="QGZ116" s="199"/>
      <c r="QHA116" s="198"/>
      <c r="QHB116" s="199"/>
      <c r="QHC116" s="198"/>
      <c r="QHD116" s="199"/>
      <c r="QHE116" s="198"/>
      <c r="QHF116" s="199"/>
      <c r="QHG116" s="198"/>
      <c r="QHH116" s="199"/>
      <c r="QHI116" s="198"/>
      <c r="QHJ116" s="199"/>
      <c r="QHK116" s="198"/>
      <c r="QHL116" s="199"/>
      <c r="QHM116" s="198"/>
      <c r="QHN116" s="199"/>
      <c r="QHO116" s="198"/>
      <c r="QHP116" s="199"/>
      <c r="QHQ116" s="198"/>
      <c r="QHR116" s="199"/>
      <c r="QHS116" s="198"/>
      <c r="QHT116" s="199"/>
      <c r="QHU116" s="198"/>
      <c r="QHV116" s="199"/>
      <c r="QHW116" s="198"/>
      <c r="QHX116" s="199"/>
      <c r="QHY116" s="198"/>
      <c r="QHZ116" s="199"/>
      <c r="QIA116" s="198"/>
      <c r="QIB116" s="199"/>
      <c r="QIC116" s="198"/>
      <c r="QID116" s="199"/>
      <c r="QIE116" s="198"/>
      <c r="QIF116" s="199"/>
      <c r="QIG116" s="198"/>
      <c r="QIH116" s="199"/>
      <c r="QII116" s="198"/>
      <c r="QIJ116" s="199"/>
      <c r="QIK116" s="198"/>
      <c r="QIL116" s="199"/>
      <c r="QIM116" s="198"/>
      <c r="QIN116" s="199"/>
      <c r="QIO116" s="198"/>
      <c r="QIP116" s="199"/>
      <c r="QIQ116" s="198"/>
      <c r="QIR116" s="199"/>
      <c r="QIS116" s="198"/>
      <c r="QIT116" s="199"/>
      <c r="QIU116" s="198"/>
      <c r="QIV116" s="199"/>
      <c r="QIW116" s="198"/>
      <c r="QIX116" s="199"/>
      <c r="QIY116" s="198"/>
      <c r="QIZ116" s="199"/>
      <c r="QJA116" s="198"/>
      <c r="QJB116" s="199"/>
      <c r="QJC116" s="198"/>
      <c r="QJD116" s="199"/>
      <c r="QJE116" s="198"/>
      <c r="QJF116" s="199"/>
      <c r="QJG116" s="198"/>
      <c r="QJH116" s="199"/>
      <c r="QJI116" s="198"/>
      <c r="QJJ116" s="199"/>
      <c r="QJK116" s="198"/>
      <c r="QJL116" s="199"/>
      <c r="QJM116" s="198"/>
      <c r="QJN116" s="199"/>
      <c r="QJO116" s="198"/>
      <c r="QJP116" s="199"/>
      <c r="QJQ116" s="198"/>
      <c r="QJR116" s="199"/>
      <c r="QJS116" s="198"/>
      <c r="QJT116" s="199"/>
      <c r="QJU116" s="198"/>
      <c r="QJV116" s="199"/>
      <c r="QJW116" s="198"/>
      <c r="QJX116" s="199"/>
      <c r="QJY116" s="198"/>
      <c r="QJZ116" s="199"/>
      <c r="QKA116" s="198"/>
      <c r="QKB116" s="199"/>
      <c r="QKC116" s="198"/>
      <c r="QKD116" s="199"/>
      <c r="QKE116" s="198"/>
      <c r="QKF116" s="199"/>
      <c r="QKG116" s="198"/>
      <c r="QKH116" s="199"/>
      <c r="QKI116" s="198"/>
      <c r="QKJ116" s="199"/>
      <c r="QKK116" s="198"/>
      <c r="QKL116" s="199"/>
      <c r="QKM116" s="198"/>
      <c r="QKN116" s="199"/>
      <c r="QKO116" s="198"/>
      <c r="QKP116" s="199"/>
      <c r="QKQ116" s="198"/>
      <c r="QKR116" s="199"/>
      <c r="QKS116" s="198"/>
      <c r="QKT116" s="199"/>
      <c r="QKU116" s="198"/>
      <c r="QKV116" s="199"/>
      <c r="QKW116" s="198"/>
      <c r="QKX116" s="199"/>
      <c r="QKY116" s="198"/>
      <c r="QKZ116" s="199"/>
      <c r="QLA116" s="198"/>
      <c r="QLB116" s="199"/>
      <c r="QLC116" s="198"/>
      <c r="QLD116" s="199"/>
      <c r="QLE116" s="198"/>
      <c r="QLF116" s="199"/>
      <c r="QLG116" s="198"/>
      <c r="QLH116" s="199"/>
      <c r="QLI116" s="198"/>
      <c r="QLJ116" s="199"/>
      <c r="QLK116" s="198"/>
      <c r="QLL116" s="199"/>
      <c r="QLM116" s="198"/>
      <c r="QLN116" s="199"/>
      <c r="QLO116" s="198"/>
      <c r="QLP116" s="199"/>
      <c r="QLQ116" s="198"/>
      <c r="QLR116" s="199"/>
      <c r="QLS116" s="198"/>
      <c r="QLT116" s="199"/>
      <c r="QLU116" s="198"/>
      <c r="QLV116" s="199"/>
      <c r="QLW116" s="198"/>
      <c r="QLX116" s="199"/>
      <c r="QLY116" s="198"/>
      <c r="QLZ116" s="199"/>
      <c r="QMA116" s="198"/>
      <c r="QMB116" s="199"/>
      <c r="QMC116" s="198"/>
      <c r="QMD116" s="199"/>
      <c r="QME116" s="198"/>
      <c r="QMF116" s="199"/>
      <c r="QMG116" s="198"/>
      <c r="QMH116" s="199"/>
      <c r="QMI116" s="198"/>
      <c r="QMJ116" s="199"/>
      <c r="QMK116" s="198"/>
      <c r="QML116" s="199"/>
      <c r="QMM116" s="198"/>
      <c r="QMN116" s="199"/>
      <c r="QMO116" s="198"/>
      <c r="QMP116" s="199"/>
      <c r="QMQ116" s="198"/>
      <c r="QMR116" s="199"/>
      <c r="QMS116" s="198"/>
      <c r="QMT116" s="199"/>
      <c r="QMU116" s="198"/>
      <c r="QMV116" s="199"/>
      <c r="QMW116" s="198"/>
      <c r="QMX116" s="199"/>
      <c r="QMY116" s="198"/>
      <c r="QMZ116" s="199"/>
      <c r="QNA116" s="198"/>
      <c r="QNB116" s="199"/>
      <c r="QNC116" s="198"/>
      <c r="QND116" s="199"/>
      <c r="QNE116" s="198"/>
      <c r="QNF116" s="199"/>
      <c r="QNG116" s="198"/>
      <c r="QNH116" s="199"/>
      <c r="QNI116" s="198"/>
      <c r="QNJ116" s="199"/>
      <c r="QNK116" s="198"/>
      <c r="QNL116" s="199"/>
      <c r="QNM116" s="198"/>
      <c r="QNN116" s="199"/>
      <c r="QNO116" s="198"/>
      <c r="QNP116" s="199"/>
      <c r="QNQ116" s="198"/>
      <c r="QNR116" s="199"/>
      <c r="QNS116" s="198"/>
      <c r="QNT116" s="199"/>
      <c r="QNU116" s="198"/>
      <c r="QNV116" s="199"/>
      <c r="QNW116" s="198"/>
      <c r="QNX116" s="199"/>
      <c r="QNY116" s="198"/>
      <c r="QNZ116" s="199"/>
      <c r="QOA116" s="198"/>
      <c r="QOB116" s="199"/>
      <c r="QOC116" s="198"/>
      <c r="QOD116" s="199"/>
      <c r="QOE116" s="198"/>
      <c r="QOF116" s="199"/>
      <c r="QOG116" s="198"/>
      <c r="QOH116" s="199"/>
      <c r="QOI116" s="198"/>
      <c r="QOJ116" s="199"/>
      <c r="QOK116" s="198"/>
      <c r="QOL116" s="199"/>
      <c r="QOM116" s="198"/>
      <c r="QON116" s="199"/>
      <c r="QOO116" s="198"/>
      <c r="QOP116" s="199"/>
      <c r="QOQ116" s="198"/>
      <c r="QOR116" s="199"/>
      <c r="QOS116" s="198"/>
      <c r="QOT116" s="199"/>
      <c r="QOU116" s="198"/>
      <c r="QOV116" s="199"/>
      <c r="QOW116" s="198"/>
      <c r="QOX116" s="199"/>
      <c r="QOY116" s="198"/>
      <c r="QOZ116" s="199"/>
      <c r="QPA116" s="198"/>
      <c r="QPB116" s="199"/>
      <c r="QPC116" s="198"/>
      <c r="QPD116" s="199"/>
      <c r="QPE116" s="198"/>
      <c r="QPF116" s="199"/>
      <c r="QPG116" s="198"/>
      <c r="QPH116" s="199"/>
      <c r="QPI116" s="198"/>
      <c r="QPJ116" s="199"/>
      <c r="QPK116" s="198"/>
      <c r="QPL116" s="199"/>
      <c r="QPM116" s="198"/>
      <c r="QPN116" s="199"/>
      <c r="QPO116" s="198"/>
      <c r="QPP116" s="199"/>
      <c r="QPQ116" s="198"/>
      <c r="QPR116" s="199"/>
      <c r="QPS116" s="198"/>
      <c r="QPT116" s="199"/>
      <c r="QPU116" s="198"/>
      <c r="QPV116" s="199"/>
      <c r="QPW116" s="198"/>
      <c r="QPX116" s="199"/>
      <c r="QPY116" s="198"/>
      <c r="QPZ116" s="199"/>
      <c r="QQA116" s="198"/>
      <c r="QQB116" s="199"/>
      <c r="QQC116" s="198"/>
      <c r="QQD116" s="199"/>
      <c r="QQE116" s="198"/>
      <c r="QQF116" s="199"/>
      <c r="QQG116" s="198"/>
      <c r="QQH116" s="199"/>
      <c r="QQI116" s="198"/>
      <c r="QQJ116" s="199"/>
      <c r="QQK116" s="198"/>
      <c r="QQL116" s="199"/>
      <c r="QQM116" s="198"/>
      <c r="QQN116" s="199"/>
      <c r="QQO116" s="198"/>
      <c r="QQP116" s="199"/>
      <c r="QQQ116" s="198"/>
      <c r="QQR116" s="199"/>
      <c r="QQS116" s="198"/>
      <c r="QQT116" s="199"/>
      <c r="QQU116" s="198"/>
      <c r="QQV116" s="199"/>
      <c r="QQW116" s="198"/>
      <c r="QQX116" s="199"/>
      <c r="QQY116" s="198"/>
      <c r="QQZ116" s="199"/>
      <c r="QRA116" s="198"/>
      <c r="QRB116" s="199"/>
      <c r="QRC116" s="198"/>
      <c r="QRD116" s="199"/>
      <c r="QRE116" s="198"/>
      <c r="QRF116" s="199"/>
      <c r="QRG116" s="198"/>
      <c r="QRH116" s="199"/>
      <c r="QRI116" s="198"/>
      <c r="QRJ116" s="199"/>
      <c r="QRK116" s="198"/>
      <c r="QRL116" s="199"/>
      <c r="QRM116" s="198"/>
      <c r="QRN116" s="199"/>
      <c r="QRO116" s="198"/>
      <c r="QRP116" s="199"/>
      <c r="QRQ116" s="198"/>
      <c r="QRR116" s="199"/>
      <c r="QRS116" s="198"/>
      <c r="QRT116" s="199"/>
      <c r="QRU116" s="198"/>
      <c r="QRV116" s="199"/>
      <c r="QRW116" s="198"/>
      <c r="QRX116" s="199"/>
      <c r="QRY116" s="198"/>
      <c r="QRZ116" s="199"/>
      <c r="QSA116" s="198"/>
      <c r="QSB116" s="199"/>
      <c r="QSC116" s="198"/>
      <c r="QSD116" s="199"/>
      <c r="QSE116" s="198"/>
      <c r="QSF116" s="199"/>
      <c r="QSG116" s="198"/>
      <c r="QSH116" s="199"/>
      <c r="QSI116" s="198"/>
      <c r="QSJ116" s="199"/>
      <c r="QSK116" s="198"/>
      <c r="QSL116" s="199"/>
      <c r="QSM116" s="198"/>
      <c r="QSN116" s="199"/>
      <c r="QSO116" s="198"/>
      <c r="QSP116" s="199"/>
      <c r="QSQ116" s="198"/>
      <c r="QSR116" s="199"/>
      <c r="QSS116" s="198"/>
      <c r="QST116" s="199"/>
      <c r="QSU116" s="198"/>
      <c r="QSV116" s="199"/>
      <c r="QSW116" s="198"/>
      <c r="QSX116" s="199"/>
      <c r="QSY116" s="198"/>
      <c r="QSZ116" s="199"/>
      <c r="QTA116" s="198"/>
      <c r="QTB116" s="199"/>
      <c r="QTC116" s="198"/>
      <c r="QTD116" s="199"/>
      <c r="QTE116" s="198"/>
      <c r="QTF116" s="199"/>
      <c r="QTG116" s="198"/>
      <c r="QTH116" s="199"/>
      <c r="QTI116" s="198"/>
      <c r="QTJ116" s="199"/>
      <c r="QTK116" s="198"/>
      <c r="QTL116" s="199"/>
      <c r="QTM116" s="198"/>
      <c r="QTN116" s="199"/>
      <c r="QTO116" s="198"/>
      <c r="QTP116" s="199"/>
      <c r="QTQ116" s="198"/>
      <c r="QTR116" s="199"/>
      <c r="QTS116" s="198"/>
      <c r="QTT116" s="199"/>
      <c r="QTU116" s="198"/>
      <c r="QTV116" s="199"/>
      <c r="QTW116" s="198"/>
      <c r="QTX116" s="199"/>
      <c r="QTY116" s="198"/>
      <c r="QTZ116" s="199"/>
      <c r="QUA116" s="198"/>
      <c r="QUB116" s="199"/>
      <c r="QUC116" s="198"/>
      <c r="QUD116" s="199"/>
      <c r="QUE116" s="198"/>
      <c r="QUF116" s="199"/>
      <c r="QUG116" s="198"/>
      <c r="QUH116" s="199"/>
      <c r="QUI116" s="198"/>
      <c r="QUJ116" s="199"/>
      <c r="QUK116" s="198"/>
      <c r="QUL116" s="199"/>
      <c r="QUM116" s="198"/>
      <c r="QUN116" s="199"/>
      <c r="QUO116" s="198"/>
      <c r="QUP116" s="199"/>
      <c r="QUQ116" s="198"/>
      <c r="QUR116" s="199"/>
      <c r="QUS116" s="198"/>
      <c r="QUT116" s="199"/>
      <c r="QUU116" s="198"/>
      <c r="QUV116" s="199"/>
      <c r="QUW116" s="198"/>
      <c r="QUX116" s="199"/>
      <c r="QUY116" s="198"/>
      <c r="QUZ116" s="199"/>
      <c r="QVA116" s="198"/>
      <c r="QVB116" s="199"/>
      <c r="QVC116" s="198"/>
      <c r="QVD116" s="199"/>
      <c r="QVE116" s="198"/>
      <c r="QVF116" s="199"/>
      <c r="QVG116" s="198"/>
      <c r="QVH116" s="199"/>
      <c r="QVI116" s="198"/>
      <c r="QVJ116" s="199"/>
      <c r="QVK116" s="198"/>
      <c r="QVL116" s="199"/>
      <c r="QVM116" s="198"/>
      <c r="QVN116" s="199"/>
      <c r="QVO116" s="198"/>
      <c r="QVP116" s="199"/>
      <c r="QVQ116" s="198"/>
      <c r="QVR116" s="199"/>
      <c r="QVS116" s="198"/>
      <c r="QVT116" s="199"/>
      <c r="QVU116" s="198"/>
      <c r="QVV116" s="199"/>
      <c r="QVW116" s="198"/>
      <c r="QVX116" s="199"/>
      <c r="QVY116" s="198"/>
      <c r="QVZ116" s="199"/>
      <c r="QWA116" s="198"/>
      <c r="QWB116" s="199"/>
      <c r="QWC116" s="198"/>
      <c r="QWD116" s="199"/>
      <c r="QWE116" s="198"/>
      <c r="QWF116" s="199"/>
      <c r="QWG116" s="198"/>
      <c r="QWH116" s="199"/>
      <c r="QWI116" s="198"/>
      <c r="QWJ116" s="199"/>
      <c r="QWK116" s="198"/>
      <c r="QWL116" s="199"/>
      <c r="QWM116" s="198"/>
      <c r="QWN116" s="199"/>
      <c r="QWO116" s="198"/>
      <c r="QWP116" s="199"/>
      <c r="QWQ116" s="198"/>
      <c r="QWR116" s="199"/>
      <c r="QWS116" s="198"/>
      <c r="QWT116" s="199"/>
      <c r="QWU116" s="198"/>
      <c r="QWV116" s="199"/>
      <c r="QWW116" s="198"/>
      <c r="QWX116" s="199"/>
      <c r="QWY116" s="198"/>
      <c r="QWZ116" s="199"/>
      <c r="QXA116" s="198"/>
      <c r="QXB116" s="199"/>
      <c r="QXC116" s="198"/>
      <c r="QXD116" s="199"/>
      <c r="QXE116" s="198"/>
      <c r="QXF116" s="199"/>
      <c r="QXG116" s="198"/>
      <c r="QXH116" s="199"/>
      <c r="QXI116" s="198"/>
      <c r="QXJ116" s="199"/>
      <c r="QXK116" s="198"/>
      <c r="QXL116" s="199"/>
      <c r="QXM116" s="198"/>
      <c r="QXN116" s="199"/>
      <c r="QXO116" s="198"/>
      <c r="QXP116" s="199"/>
      <c r="QXQ116" s="198"/>
      <c r="QXR116" s="199"/>
      <c r="QXS116" s="198"/>
      <c r="QXT116" s="199"/>
      <c r="QXU116" s="198"/>
      <c r="QXV116" s="199"/>
      <c r="QXW116" s="198"/>
      <c r="QXX116" s="199"/>
      <c r="QXY116" s="198"/>
      <c r="QXZ116" s="199"/>
      <c r="QYA116" s="198"/>
      <c r="QYB116" s="199"/>
      <c r="QYC116" s="198"/>
      <c r="QYD116" s="199"/>
      <c r="QYE116" s="198"/>
      <c r="QYF116" s="199"/>
      <c r="QYG116" s="198"/>
      <c r="QYH116" s="199"/>
      <c r="QYI116" s="198"/>
      <c r="QYJ116" s="199"/>
      <c r="QYK116" s="198"/>
      <c r="QYL116" s="199"/>
      <c r="QYM116" s="198"/>
      <c r="QYN116" s="199"/>
      <c r="QYO116" s="198"/>
      <c r="QYP116" s="199"/>
      <c r="QYQ116" s="198"/>
      <c r="QYR116" s="199"/>
      <c r="QYS116" s="198"/>
      <c r="QYT116" s="199"/>
      <c r="QYU116" s="198"/>
      <c r="QYV116" s="199"/>
      <c r="QYW116" s="198"/>
      <c r="QYX116" s="199"/>
      <c r="QYY116" s="198"/>
      <c r="QYZ116" s="199"/>
      <c r="QZA116" s="198"/>
      <c r="QZB116" s="199"/>
      <c r="QZC116" s="198"/>
      <c r="QZD116" s="199"/>
      <c r="QZE116" s="198"/>
      <c r="QZF116" s="199"/>
      <c r="QZG116" s="198"/>
      <c r="QZH116" s="199"/>
      <c r="QZI116" s="198"/>
      <c r="QZJ116" s="199"/>
      <c r="QZK116" s="198"/>
      <c r="QZL116" s="199"/>
      <c r="QZM116" s="198"/>
      <c r="QZN116" s="199"/>
      <c r="QZO116" s="198"/>
      <c r="QZP116" s="199"/>
      <c r="QZQ116" s="198"/>
      <c r="QZR116" s="199"/>
      <c r="QZS116" s="198"/>
      <c r="QZT116" s="199"/>
      <c r="QZU116" s="198"/>
      <c r="QZV116" s="199"/>
      <c r="QZW116" s="198"/>
      <c r="QZX116" s="199"/>
      <c r="QZY116" s="198"/>
      <c r="QZZ116" s="199"/>
      <c r="RAA116" s="198"/>
      <c r="RAB116" s="199"/>
      <c r="RAC116" s="198"/>
      <c r="RAD116" s="199"/>
      <c r="RAE116" s="198"/>
      <c r="RAF116" s="199"/>
      <c r="RAG116" s="198"/>
      <c r="RAH116" s="199"/>
      <c r="RAI116" s="198"/>
      <c r="RAJ116" s="199"/>
      <c r="RAK116" s="198"/>
      <c r="RAL116" s="199"/>
      <c r="RAM116" s="198"/>
      <c r="RAN116" s="199"/>
      <c r="RAO116" s="198"/>
      <c r="RAP116" s="199"/>
      <c r="RAQ116" s="198"/>
      <c r="RAR116" s="199"/>
      <c r="RAS116" s="198"/>
      <c r="RAT116" s="199"/>
      <c r="RAU116" s="198"/>
      <c r="RAV116" s="199"/>
      <c r="RAW116" s="198"/>
      <c r="RAX116" s="199"/>
      <c r="RAY116" s="198"/>
      <c r="RAZ116" s="199"/>
      <c r="RBA116" s="198"/>
      <c r="RBB116" s="199"/>
      <c r="RBC116" s="198"/>
      <c r="RBD116" s="199"/>
      <c r="RBE116" s="198"/>
      <c r="RBF116" s="199"/>
      <c r="RBG116" s="198"/>
      <c r="RBH116" s="199"/>
      <c r="RBI116" s="198"/>
      <c r="RBJ116" s="199"/>
      <c r="RBK116" s="198"/>
      <c r="RBL116" s="199"/>
      <c r="RBM116" s="198"/>
      <c r="RBN116" s="199"/>
      <c r="RBO116" s="198"/>
      <c r="RBP116" s="199"/>
      <c r="RBQ116" s="198"/>
      <c r="RBR116" s="199"/>
      <c r="RBS116" s="198"/>
      <c r="RBT116" s="199"/>
      <c r="RBU116" s="198"/>
      <c r="RBV116" s="199"/>
      <c r="RBW116" s="198"/>
      <c r="RBX116" s="199"/>
      <c r="RBY116" s="198"/>
      <c r="RBZ116" s="199"/>
      <c r="RCA116" s="198"/>
      <c r="RCB116" s="199"/>
      <c r="RCC116" s="198"/>
      <c r="RCD116" s="199"/>
      <c r="RCE116" s="198"/>
      <c r="RCF116" s="199"/>
      <c r="RCG116" s="198"/>
      <c r="RCH116" s="199"/>
      <c r="RCI116" s="198"/>
      <c r="RCJ116" s="199"/>
      <c r="RCK116" s="198"/>
      <c r="RCL116" s="199"/>
      <c r="RCM116" s="198"/>
      <c r="RCN116" s="199"/>
      <c r="RCO116" s="198"/>
      <c r="RCP116" s="199"/>
      <c r="RCQ116" s="198"/>
      <c r="RCR116" s="199"/>
      <c r="RCS116" s="198"/>
      <c r="RCT116" s="199"/>
      <c r="RCU116" s="198"/>
      <c r="RCV116" s="199"/>
      <c r="RCW116" s="198"/>
      <c r="RCX116" s="199"/>
      <c r="RCY116" s="198"/>
      <c r="RCZ116" s="199"/>
      <c r="RDA116" s="198"/>
      <c r="RDB116" s="199"/>
      <c r="RDC116" s="198"/>
      <c r="RDD116" s="199"/>
      <c r="RDE116" s="198"/>
      <c r="RDF116" s="199"/>
      <c r="RDG116" s="198"/>
      <c r="RDH116" s="199"/>
      <c r="RDI116" s="198"/>
      <c r="RDJ116" s="199"/>
      <c r="RDK116" s="198"/>
      <c r="RDL116" s="199"/>
      <c r="RDM116" s="198"/>
      <c r="RDN116" s="199"/>
      <c r="RDO116" s="198"/>
      <c r="RDP116" s="199"/>
      <c r="RDQ116" s="198"/>
      <c r="RDR116" s="199"/>
      <c r="RDS116" s="198"/>
      <c r="RDT116" s="199"/>
      <c r="RDU116" s="198"/>
      <c r="RDV116" s="199"/>
      <c r="RDW116" s="198"/>
      <c r="RDX116" s="199"/>
      <c r="RDY116" s="198"/>
      <c r="RDZ116" s="199"/>
      <c r="REA116" s="198"/>
      <c r="REB116" s="199"/>
      <c r="REC116" s="198"/>
      <c r="RED116" s="199"/>
      <c r="REE116" s="198"/>
      <c r="REF116" s="199"/>
      <c r="REG116" s="198"/>
      <c r="REH116" s="199"/>
      <c r="REI116" s="198"/>
      <c r="REJ116" s="199"/>
      <c r="REK116" s="198"/>
      <c r="REL116" s="199"/>
      <c r="REM116" s="198"/>
      <c r="REN116" s="199"/>
      <c r="REO116" s="198"/>
      <c r="REP116" s="199"/>
      <c r="REQ116" s="198"/>
      <c r="RER116" s="199"/>
      <c r="RES116" s="198"/>
      <c r="RET116" s="199"/>
      <c r="REU116" s="198"/>
      <c r="REV116" s="199"/>
      <c r="REW116" s="198"/>
      <c r="REX116" s="199"/>
      <c r="REY116" s="198"/>
      <c r="REZ116" s="199"/>
      <c r="RFA116" s="198"/>
      <c r="RFB116" s="199"/>
      <c r="RFC116" s="198"/>
      <c r="RFD116" s="199"/>
      <c r="RFE116" s="198"/>
      <c r="RFF116" s="199"/>
      <c r="RFG116" s="198"/>
      <c r="RFH116" s="199"/>
      <c r="RFI116" s="198"/>
      <c r="RFJ116" s="199"/>
      <c r="RFK116" s="198"/>
      <c r="RFL116" s="199"/>
      <c r="RFM116" s="198"/>
      <c r="RFN116" s="199"/>
      <c r="RFO116" s="198"/>
      <c r="RFP116" s="199"/>
      <c r="RFQ116" s="198"/>
      <c r="RFR116" s="199"/>
      <c r="RFS116" s="198"/>
      <c r="RFT116" s="199"/>
      <c r="RFU116" s="198"/>
      <c r="RFV116" s="199"/>
      <c r="RFW116" s="198"/>
      <c r="RFX116" s="199"/>
      <c r="RFY116" s="198"/>
      <c r="RFZ116" s="199"/>
      <c r="RGA116" s="198"/>
      <c r="RGB116" s="199"/>
      <c r="RGC116" s="198"/>
      <c r="RGD116" s="199"/>
      <c r="RGE116" s="198"/>
      <c r="RGF116" s="199"/>
      <c r="RGG116" s="198"/>
      <c r="RGH116" s="199"/>
      <c r="RGI116" s="198"/>
      <c r="RGJ116" s="199"/>
      <c r="RGK116" s="198"/>
      <c r="RGL116" s="199"/>
      <c r="RGM116" s="198"/>
      <c r="RGN116" s="199"/>
      <c r="RGO116" s="198"/>
      <c r="RGP116" s="199"/>
      <c r="RGQ116" s="198"/>
      <c r="RGR116" s="199"/>
      <c r="RGS116" s="198"/>
      <c r="RGT116" s="199"/>
      <c r="RGU116" s="198"/>
      <c r="RGV116" s="199"/>
      <c r="RGW116" s="198"/>
      <c r="RGX116" s="199"/>
      <c r="RGY116" s="198"/>
      <c r="RGZ116" s="199"/>
      <c r="RHA116" s="198"/>
      <c r="RHB116" s="199"/>
      <c r="RHC116" s="198"/>
      <c r="RHD116" s="199"/>
      <c r="RHE116" s="198"/>
      <c r="RHF116" s="199"/>
      <c r="RHG116" s="198"/>
      <c r="RHH116" s="199"/>
      <c r="RHI116" s="198"/>
      <c r="RHJ116" s="199"/>
      <c r="RHK116" s="198"/>
      <c r="RHL116" s="199"/>
      <c r="RHM116" s="198"/>
      <c r="RHN116" s="199"/>
      <c r="RHO116" s="198"/>
      <c r="RHP116" s="199"/>
      <c r="RHQ116" s="198"/>
      <c r="RHR116" s="199"/>
      <c r="RHS116" s="198"/>
      <c r="RHT116" s="199"/>
      <c r="RHU116" s="198"/>
      <c r="RHV116" s="199"/>
      <c r="RHW116" s="198"/>
      <c r="RHX116" s="199"/>
      <c r="RHY116" s="198"/>
      <c r="RHZ116" s="199"/>
      <c r="RIA116" s="198"/>
      <c r="RIB116" s="199"/>
      <c r="RIC116" s="198"/>
      <c r="RID116" s="199"/>
      <c r="RIE116" s="198"/>
      <c r="RIF116" s="199"/>
      <c r="RIG116" s="198"/>
      <c r="RIH116" s="199"/>
      <c r="RII116" s="198"/>
      <c r="RIJ116" s="199"/>
      <c r="RIK116" s="198"/>
      <c r="RIL116" s="199"/>
      <c r="RIM116" s="198"/>
      <c r="RIN116" s="199"/>
      <c r="RIO116" s="198"/>
      <c r="RIP116" s="199"/>
      <c r="RIQ116" s="198"/>
      <c r="RIR116" s="199"/>
      <c r="RIS116" s="198"/>
      <c r="RIT116" s="199"/>
      <c r="RIU116" s="198"/>
      <c r="RIV116" s="199"/>
      <c r="RIW116" s="198"/>
      <c r="RIX116" s="199"/>
      <c r="RIY116" s="198"/>
      <c r="RIZ116" s="199"/>
      <c r="RJA116" s="198"/>
      <c r="RJB116" s="199"/>
      <c r="RJC116" s="198"/>
      <c r="RJD116" s="199"/>
      <c r="RJE116" s="198"/>
      <c r="RJF116" s="199"/>
      <c r="RJG116" s="198"/>
      <c r="RJH116" s="199"/>
      <c r="RJI116" s="198"/>
      <c r="RJJ116" s="199"/>
      <c r="RJK116" s="198"/>
      <c r="RJL116" s="199"/>
      <c r="RJM116" s="198"/>
      <c r="RJN116" s="199"/>
      <c r="RJO116" s="198"/>
      <c r="RJP116" s="199"/>
      <c r="RJQ116" s="198"/>
      <c r="RJR116" s="199"/>
      <c r="RJS116" s="198"/>
      <c r="RJT116" s="199"/>
      <c r="RJU116" s="198"/>
      <c r="RJV116" s="199"/>
      <c r="RJW116" s="198"/>
      <c r="RJX116" s="199"/>
      <c r="RJY116" s="198"/>
      <c r="RJZ116" s="199"/>
      <c r="RKA116" s="198"/>
      <c r="RKB116" s="199"/>
      <c r="RKC116" s="198"/>
      <c r="RKD116" s="199"/>
      <c r="RKE116" s="198"/>
      <c r="RKF116" s="199"/>
      <c r="RKG116" s="198"/>
      <c r="RKH116" s="199"/>
      <c r="RKI116" s="198"/>
      <c r="RKJ116" s="199"/>
      <c r="RKK116" s="198"/>
      <c r="RKL116" s="199"/>
      <c r="RKM116" s="198"/>
      <c r="RKN116" s="199"/>
      <c r="RKO116" s="198"/>
      <c r="RKP116" s="199"/>
      <c r="RKQ116" s="198"/>
      <c r="RKR116" s="199"/>
      <c r="RKS116" s="198"/>
      <c r="RKT116" s="199"/>
      <c r="RKU116" s="198"/>
      <c r="RKV116" s="199"/>
      <c r="RKW116" s="198"/>
      <c r="RKX116" s="199"/>
      <c r="RKY116" s="198"/>
      <c r="RKZ116" s="199"/>
      <c r="RLA116" s="198"/>
      <c r="RLB116" s="199"/>
      <c r="RLC116" s="198"/>
      <c r="RLD116" s="199"/>
      <c r="RLE116" s="198"/>
      <c r="RLF116" s="199"/>
      <c r="RLG116" s="198"/>
      <c r="RLH116" s="199"/>
      <c r="RLI116" s="198"/>
      <c r="RLJ116" s="199"/>
      <c r="RLK116" s="198"/>
      <c r="RLL116" s="199"/>
      <c r="RLM116" s="198"/>
      <c r="RLN116" s="199"/>
      <c r="RLO116" s="198"/>
      <c r="RLP116" s="199"/>
      <c r="RLQ116" s="198"/>
      <c r="RLR116" s="199"/>
      <c r="RLS116" s="198"/>
      <c r="RLT116" s="199"/>
      <c r="RLU116" s="198"/>
      <c r="RLV116" s="199"/>
      <c r="RLW116" s="198"/>
      <c r="RLX116" s="199"/>
      <c r="RLY116" s="198"/>
      <c r="RLZ116" s="199"/>
      <c r="RMA116" s="198"/>
      <c r="RMB116" s="199"/>
      <c r="RMC116" s="198"/>
      <c r="RMD116" s="199"/>
      <c r="RME116" s="198"/>
      <c r="RMF116" s="199"/>
      <c r="RMG116" s="198"/>
      <c r="RMH116" s="199"/>
      <c r="RMI116" s="198"/>
      <c r="RMJ116" s="199"/>
      <c r="RMK116" s="198"/>
      <c r="RML116" s="199"/>
      <c r="RMM116" s="198"/>
      <c r="RMN116" s="199"/>
      <c r="RMO116" s="198"/>
      <c r="RMP116" s="199"/>
      <c r="RMQ116" s="198"/>
      <c r="RMR116" s="199"/>
      <c r="RMS116" s="198"/>
      <c r="RMT116" s="199"/>
      <c r="RMU116" s="198"/>
      <c r="RMV116" s="199"/>
      <c r="RMW116" s="198"/>
      <c r="RMX116" s="199"/>
      <c r="RMY116" s="198"/>
      <c r="RMZ116" s="199"/>
      <c r="RNA116" s="198"/>
      <c r="RNB116" s="199"/>
      <c r="RNC116" s="198"/>
      <c r="RND116" s="199"/>
      <c r="RNE116" s="198"/>
      <c r="RNF116" s="199"/>
      <c r="RNG116" s="198"/>
      <c r="RNH116" s="199"/>
      <c r="RNI116" s="198"/>
      <c r="RNJ116" s="199"/>
      <c r="RNK116" s="198"/>
      <c r="RNL116" s="199"/>
      <c r="RNM116" s="198"/>
      <c r="RNN116" s="199"/>
      <c r="RNO116" s="198"/>
      <c r="RNP116" s="199"/>
      <c r="RNQ116" s="198"/>
      <c r="RNR116" s="199"/>
      <c r="RNS116" s="198"/>
      <c r="RNT116" s="199"/>
      <c r="RNU116" s="198"/>
      <c r="RNV116" s="199"/>
      <c r="RNW116" s="198"/>
      <c r="RNX116" s="199"/>
      <c r="RNY116" s="198"/>
      <c r="RNZ116" s="199"/>
      <c r="ROA116" s="198"/>
      <c r="ROB116" s="199"/>
      <c r="ROC116" s="198"/>
      <c r="ROD116" s="199"/>
      <c r="ROE116" s="198"/>
      <c r="ROF116" s="199"/>
      <c r="ROG116" s="198"/>
      <c r="ROH116" s="199"/>
      <c r="ROI116" s="198"/>
      <c r="ROJ116" s="199"/>
      <c r="ROK116" s="198"/>
      <c r="ROL116" s="199"/>
      <c r="ROM116" s="198"/>
      <c r="RON116" s="199"/>
      <c r="ROO116" s="198"/>
      <c r="ROP116" s="199"/>
      <c r="ROQ116" s="198"/>
      <c r="ROR116" s="199"/>
      <c r="ROS116" s="198"/>
      <c r="ROT116" s="199"/>
      <c r="ROU116" s="198"/>
      <c r="ROV116" s="199"/>
      <c r="ROW116" s="198"/>
      <c r="ROX116" s="199"/>
      <c r="ROY116" s="198"/>
      <c r="ROZ116" s="199"/>
      <c r="RPA116" s="198"/>
      <c r="RPB116" s="199"/>
      <c r="RPC116" s="198"/>
      <c r="RPD116" s="199"/>
      <c r="RPE116" s="198"/>
      <c r="RPF116" s="199"/>
      <c r="RPG116" s="198"/>
      <c r="RPH116" s="199"/>
      <c r="RPI116" s="198"/>
      <c r="RPJ116" s="199"/>
      <c r="RPK116" s="198"/>
      <c r="RPL116" s="199"/>
      <c r="RPM116" s="198"/>
      <c r="RPN116" s="199"/>
      <c r="RPO116" s="198"/>
      <c r="RPP116" s="199"/>
      <c r="RPQ116" s="198"/>
      <c r="RPR116" s="199"/>
      <c r="RPS116" s="198"/>
      <c r="RPT116" s="199"/>
      <c r="RPU116" s="198"/>
      <c r="RPV116" s="199"/>
      <c r="RPW116" s="198"/>
      <c r="RPX116" s="199"/>
      <c r="RPY116" s="198"/>
      <c r="RPZ116" s="199"/>
      <c r="RQA116" s="198"/>
      <c r="RQB116" s="199"/>
      <c r="RQC116" s="198"/>
      <c r="RQD116" s="199"/>
      <c r="RQE116" s="198"/>
      <c r="RQF116" s="199"/>
      <c r="RQG116" s="198"/>
      <c r="RQH116" s="199"/>
      <c r="RQI116" s="198"/>
      <c r="RQJ116" s="199"/>
      <c r="RQK116" s="198"/>
      <c r="RQL116" s="199"/>
      <c r="RQM116" s="198"/>
      <c r="RQN116" s="199"/>
      <c r="RQO116" s="198"/>
      <c r="RQP116" s="199"/>
      <c r="RQQ116" s="198"/>
      <c r="RQR116" s="199"/>
      <c r="RQS116" s="198"/>
      <c r="RQT116" s="199"/>
      <c r="RQU116" s="198"/>
      <c r="RQV116" s="199"/>
      <c r="RQW116" s="198"/>
      <c r="RQX116" s="199"/>
      <c r="RQY116" s="198"/>
      <c r="RQZ116" s="199"/>
      <c r="RRA116" s="198"/>
      <c r="RRB116" s="199"/>
      <c r="RRC116" s="198"/>
      <c r="RRD116" s="199"/>
      <c r="RRE116" s="198"/>
      <c r="RRF116" s="199"/>
      <c r="RRG116" s="198"/>
      <c r="RRH116" s="199"/>
      <c r="RRI116" s="198"/>
      <c r="RRJ116" s="199"/>
      <c r="RRK116" s="198"/>
      <c r="RRL116" s="199"/>
      <c r="RRM116" s="198"/>
      <c r="RRN116" s="199"/>
      <c r="RRO116" s="198"/>
      <c r="RRP116" s="199"/>
      <c r="RRQ116" s="198"/>
      <c r="RRR116" s="199"/>
      <c r="RRS116" s="198"/>
      <c r="RRT116" s="199"/>
      <c r="RRU116" s="198"/>
      <c r="RRV116" s="199"/>
      <c r="RRW116" s="198"/>
      <c r="RRX116" s="199"/>
      <c r="RRY116" s="198"/>
      <c r="RRZ116" s="199"/>
      <c r="RSA116" s="198"/>
      <c r="RSB116" s="199"/>
      <c r="RSC116" s="198"/>
      <c r="RSD116" s="199"/>
      <c r="RSE116" s="198"/>
      <c r="RSF116" s="199"/>
      <c r="RSG116" s="198"/>
      <c r="RSH116" s="199"/>
      <c r="RSI116" s="198"/>
      <c r="RSJ116" s="199"/>
      <c r="RSK116" s="198"/>
      <c r="RSL116" s="199"/>
      <c r="RSM116" s="198"/>
      <c r="RSN116" s="199"/>
      <c r="RSO116" s="198"/>
      <c r="RSP116" s="199"/>
      <c r="RSQ116" s="198"/>
      <c r="RSR116" s="199"/>
      <c r="RSS116" s="198"/>
      <c r="RST116" s="199"/>
      <c r="RSU116" s="198"/>
      <c r="RSV116" s="199"/>
      <c r="RSW116" s="198"/>
      <c r="RSX116" s="199"/>
      <c r="RSY116" s="198"/>
      <c r="RSZ116" s="199"/>
      <c r="RTA116" s="198"/>
      <c r="RTB116" s="199"/>
      <c r="RTC116" s="198"/>
      <c r="RTD116" s="199"/>
      <c r="RTE116" s="198"/>
      <c r="RTF116" s="199"/>
      <c r="RTG116" s="198"/>
      <c r="RTH116" s="199"/>
      <c r="RTI116" s="198"/>
      <c r="RTJ116" s="199"/>
      <c r="RTK116" s="198"/>
      <c r="RTL116" s="199"/>
      <c r="RTM116" s="198"/>
      <c r="RTN116" s="199"/>
      <c r="RTO116" s="198"/>
      <c r="RTP116" s="199"/>
      <c r="RTQ116" s="198"/>
      <c r="RTR116" s="199"/>
      <c r="RTS116" s="198"/>
      <c r="RTT116" s="199"/>
      <c r="RTU116" s="198"/>
      <c r="RTV116" s="199"/>
      <c r="RTW116" s="198"/>
      <c r="RTX116" s="199"/>
      <c r="RTY116" s="198"/>
      <c r="RTZ116" s="199"/>
      <c r="RUA116" s="198"/>
      <c r="RUB116" s="199"/>
      <c r="RUC116" s="198"/>
      <c r="RUD116" s="199"/>
      <c r="RUE116" s="198"/>
      <c r="RUF116" s="199"/>
      <c r="RUG116" s="198"/>
      <c r="RUH116" s="199"/>
      <c r="RUI116" s="198"/>
      <c r="RUJ116" s="199"/>
      <c r="RUK116" s="198"/>
      <c r="RUL116" s="199"/>
      <c r="RUM116" s="198"/>
      <c r="RUN116" s="199"/>
      <c r="RUO116" s="198"/>
      <c r="RUP116" s="199"/>
      <c r="RUQ116" s="198"/>
      <c r="RUR116" s="199"/>
      <c r="RUS116" s="198"/>
      <c r="RUT116" s="199"/>
      <c r="RUU116" s="198"/>
      <c r="RUV116" s="199"/>
      <c r="RUW116" s="198"/>
      <c r="RUX116" s="199"/>
      <c r="RUY116" s="198"/>
      <c r="RUZ116" s="199"/>
      <c r="RVA116" s="198"/>
      <c r="RVB116" s="199"/>
      <c r="RVC116" s="198"/>
      <c r="RVD116" s="199"/>
      <c r="RVE116" s="198"/>
      <c r="RVF116" s="199"/>
      <c r="RVG116" s="198"/>
      <c r="RVH116" s="199"/>
      <c r="RVI116" s="198"/>
      <c r="RVJ116" s="199"/>
      <c r="RVK116" s="198"/>
      <c r="RVL116" s="199"/>
      <c r="RVM116" s="198"/>
      <c r="RVN116" s="199"/>
      <c r="RVO116" s="198"/>
      <c r="RVP116" s="199"/>
      <c r="RVQ116" s="198"/>
      <c r="RVR116" s="199"/>
      <c r="RVS116" s="198"/>
      <c r="RVT116" s="199"/>
      <c r="RVU116" s="198"/>
      <c r="RVV116" s="199"/>
      <c r="RVW116" s="198"/>
      <c r="RVX116" s="199"/>
      <c r="RVY116" s="198"/>
      <c r="RVZ116" s="199"/>
      <c r="RWA116" s="198"/>
      <c r="RWB116" s="199"/>
      <c r="RWC116" s="198"/>
      <c r="RWD116" s="199"/>
      <c r="RWE116" s="198"/>
      <c r="RWF116" s="199"/>
      <c r="RWG116" s="198"/>
      <c r="RWH116" s="199"/>
      <c r="RWI116" s="198"/>
      <c r="RWJ116" s="199"/>
      <c r="RWK116" s="198"/>
      <c r="RWL116" s="199"/>
      <c r="RWM116" s="198"/>
      <c r="RWN116" s="199"/>
      <c r="RWO116" s="198"/>
      <c r="RWP116" s="199"/>
      <c r="RWQ116" s="198"/>
      <c r="RWR116" s="199"/>
      <c r="RWS116" s="198"/>
      <c r="RWT116" s="199"/>
      <c r="RWU116" s="198"/>
      <c r="RWV116" s="199"/>
      <c r="RWW116" s="198"/>
      <c r="RWX116" s="199"/>
      <c r="RWY116" s="198"/>
      <c r="RWZ116" s="199"/>
      <c r="RXA116" s="198"/>
      <c r="RXB116" s="199"/>
      <c r="RXC116" s="198"/>
      <c r="RXD116" s="199"/>
      <c r="RXE116" s="198"/>
      <c r="RXF116" s="199"/>
      <c r="RXG116" s="198"/>
      <c r="RXH116" s="199"/>
      <c r="RXI116" s="198"/>
      <c r="RXJ116" s="199"/>
      <c r="RXK116" s="198"/>
      <c r="RXL116" s="199"/>
      <c r="RXM116" s="198"/>
      <c r="RXN116" s="199"/>
      <c r="RXO116" s="198"/>
      <c r="RXP116" s="199"/>
      <c r="RXQ116" s="198"/>
      <c r="RXR116" s="199"/>
      <c r="RXS116" s="198"/>
      <c r="RXT116" s="199"/>
      <c r="RXU116" s="198"/>
      <c r="RXV116" s="199"/>
      <c r="RXW116" s="198"/>
      <c r="RXX116" s="199"/>
      <c r="RXY116" s="198"/>
      <c r="RXZ116" s="199"/>
      <c r="RYA116" s="198"/>
      <c r="RYB116" s="199"/>
      <c r="RYC116" s="198"/>
      <c r="RYD116" s="199"/>
      <c r="RYE116" s="198"/>
      <c r="RYF116" s="199"/>
      <c r="RYG116" s="198"/>
      <c r="RYH116" s="199"/>
      <c r="RYI116" s="198"/>
      <c r="RYJ116" s="199"/>
      <c r="RYK116" s="198"/>
      <c r="RYL116" s="199"/>
      <c r="RYM116" s="198"/>
      <c r="RYN116" s="199"/>
      <c r="RYO116" s="198"/>
      <c r="RYP116" s="199"/>
      <c r="RYQ116" s="198"/>
      <c r="RYR116" s="199"/>
      <c r="RYS116" s="198"/>
      <c r="RYT116" s="199"/>
      <c r="RYU116" s="198"/>
      <c r="RYV116" s="199"/>
      <c r="RYW116" s="198"/>
      <c r="RYX116" s="199"/>
      <c r="RYY116" s="198"/>
      <c r="RYZ116" s="199"/>
      <c r="RZA116" s="198"/>
      <c r="RZB116" s="199"/>
      <c r="RZC116" s="198"/>
      <c r="RZD116" s="199"/>
      <c r="RZE116" s="198"/>
      <c r="RZF116" s="199"/>
      <c r="RZG116" s="198"/>
      <c r="RZH116" s="199"/>
      <c r="RZI116" s="198"/>
      <c r="RZJ116" s="199"/>
      <c r="RZK116" s="198"/>
      <c r="RZL116" s="199"/>
      <c r="RZM116" s="198"/>
      <c r="RZN116" s="199"/>
      <c r="RZO116" s="198"/>
      <c r="RZP116" s="199"/>
      <c r="RZQ116" s="198"/>
      <c r="RZR116" s="199"/>
      <c r="RZS116" s="198"/>
      <c r="RZT116" s="199"/>
      <c r="RZU116" s="198"/>
      <c r="RZV116" s="199"/>
      <c r="RZW116" s="198"/>
      <c r="RZX116" s="199"/>
      <c r="RZY116" s="198"/>
      <c r="RZZ116" s="199"/>
      <c r="SAA116" s="198"/>
      <c r="SAB116" s="199"/>
      <c r="SAC116" s="198"/>
      <c r="SAD116" s="199"/>
      <c r="SAE116" s="198"/>
      <c r="SAF116" s="199"/>
      <c r="SAG116" s="198"/>
      <c r="SAH116" s="199"/>
      <c r="SAI116" s="198"/>
      <c r="SAJ116" s="199"/>
      <c r="SAK116" s="198"/>
      <c r="SAL116" s="199"/>
      <c r="SAM116" s="198"/>
      <c r="SAN116" s="199"/>
      <c r="SAO116" s="198"/>
      <c r="SAP116" s="199"/>
      <c r="SAQ116" s="198"/>
      <c r="SAR116" s="199"/>
      <c r="SAS116" s="198"/>
      <c r="SAT116" s="199"/>
      <c r="SAU116" s="198"/>
      <c r="SAV116" s="199"/>
      <c r="SAW116" s="198"/>
      <c r="SAX116" s="199"/>
      <c r="SAY116" s="198"/>
      <c r="SAZ116" s="199"/>
      <c r="SBA116" s="198"/>
      <c r="SBB116" s="199"/>
      <c r="SBC116" s="198"/>
      <c r="SBD116" s="199"/>
      <c r="SBE116" s="198"/>
      <c r="SBF116" s="199"/>
      <c r="SBG116" s="198"/>
      <c r="SBH116" s="199"/>
      <c r="SBI116" s="198"/>
      <c r="SBJ116" s="199"/>
      <c r="SBK116" s="198"/>
      <c r="SBL116" s="199"/>
      <c r="SBM116" s="198"/>
      <c r="SBN116" s="199"/>
      <c r="SBO116" s="198"/>
      <c r="SBP116" s="199"/>
      <c r="SBQ116" s="198"/>
      <c r="SBR116" s="199"/>
      <c r="SBS116" s="198"/>
      <c r="SBT116" s="199"/>
      <c r="SBU116" s="198"/>
      <c r="SBV116" s="199"/>
      <c r="SBW116" s="198"/>
      <c r="SBX116" s="199"/>
      <c r="SBY116" s="198"/>
      <c r="SBZ116" s="199"/>
      <c r="SCA116" s="198"/>
      <c r="SCB116" s="199"/>
      <c r="SCC116" s="198"/>
      <c r="SCD116" s="199"/>
      <c r="SCE116" s="198"/>
      <c r="SCF116" s="199"/>
      <c r="SCG116" s="198"/>
      <c r="SCH116" s="199"/>
      <c r="SCI116" s="198"/>
      <c r="SCJ116" s="199"/>
      <c r="SCK116" s="198"/>
      <c r="SCL116" s="199"/>
      <c r="SCM116" s="198"/>
      <c r="SCN116" s="199"/>
      <c r="SCO116" s="198"/>
      <c r="SCP116" s="199"/>
      <c r="SCQ116" s="198"/>
      <c r="SCR116" s="199"/>
      <c r="SCS116" s="198"/>
      <c r="SCT116" s="199"/>
      <c r="SCU116" s="198"/>
      <c r="SCV116" s="199"/>
      <c r="SCW116" s="198"/>
      <c r="SCX116" s="199"/>
      <c r="SCY116" s="198"/>
      <c r="SCZ116" s="199"/>
      <c r="SDA116" s="198"/>
      <c r="SDB116" s="199"/>
      <c r="SDC116" s="198"/>
      <c r="SDD116" s="199"/>
      <c r="SDE116" s="198"/>
      <c r="SDF116" s="199"/>
      <c r="SDG116" s="198"/>
      <c r="SDH116" s="199"/>
      <c r="SDI116" s="198"/>
      <c r="SDJ116" s="199"/>
      <c r="SDK116" s="198"/>
      <c r="SDL116" s="199"/>
      <c r="SDM116" s="198"/>
      <c r="SDN116" s="199"/>
      <c r="SDO116" s="198"/>
      <c r="SDP116" s="199"/>
      <c r="SDQ116" s="198"/>
      <c r="SDR116" s="199"/>
      <c r="SDS116" s="198"/>
      <c r="SDT116" s="199"/>
      <c r="SDU116" s="198"/>
      <c r="SDV116" s="199"/>
      <c r="SDW116" s="198"/>
      <c r="SDX116" s="199"/>
      <c r="SDY116" s="198"/>
      <c r="SDZ116" s="199"/>
      <c r="SEA116" s="198"/>
      <c r="SEB116" s="199"/>
      <c r="SEC116" s="198"/>
      <c r="SED116" s="199"/>
      <c r="SEE116" s="198"/>
      <c r="SEF116" s="199"/>
      <c r="SEG116" s="198"/>
      <c r="SEH116" s="199"/>
      <c r="SEI116" s="198"/>
      <c r="SEJ116" s="199"/>
      <c r="SEK116" s="198"/>
      <c r="SEL116" s="199"/>
      <c r="SEM116" s="198"/>
      <c r="SEN116" s="199"/>
      <c r="SEO116" s="198"/>
      <c r="SEP116" s="199"/>
      <c r="SEQ116" s="198"/>
      <c r="SER116" s="199"/>
      <c r="SES116" s="198"/>
      <c r="SET116" s="199"/>
      <c r="SEU116" s="198"/>
      <c r="SEV116" s="199"/>
      <c r="SEW116" s="198"/>
      <c r="SEX116" s="199"/>
      <c r="SEY116" s="198"/>
      <c r="SEZ116" s="199"/>
      <c r="SFA116" s="198"/>
      <c r="SFB116" s="199"/>
      <c r="SFC116" s="198"/>
      <c r="SFD116" s="199"/>
      <c r="SFE116" s="198"/>
      <c r="SFF116" s="199"/>
      <c r="SFG116" s="198"/>
      <c r="SFH116" s="199"/>
      <c r="SFI116" s="198"/>
      <c r="SFJ116" s="199"/>
      <c r="SFK116" s="198"/>
      <c r="SFL116" s="199"/>
      <c r="SFM116" s="198"/>
      <c r="SFN116" s="199"/>
      <c r="SFO116" s="198"/>
      <c r="SFP116" s="199"/>
      <c r="SFQ116" s="198"/>
      <c r="SFR116" s="199"/>
      <c r="SFS116" s="198"/>
      <c r="SFT116" s="199"/>
      <c r="SFU116" s="198"/>
      <c r="SFV116" s="199"/>
      <c r="SFW116" s="198"/>
      <c r="SFX116" s="199"/>
      <c r="SFY116" s="198"/>
      <c r="SFZ116" s="199"/>
      <c r="SGA116" s="198"/>
      <c r="SGB116" s="199"/>
      <c r="SGC116" s="198"/>
      <c r="SGD116" s="199"/>
      <c r="SGE116" s="198"/>
      <c r="SGF116" s="199"/>
      <c r="SGG116" s="198"/>
      <c r="SGH116" s="199"/>
      <c r="SGI116" s="198"/>
      <c r="SGJ116" s="199"/>
      <c r="SGK116" s="198"/>
      <c r="SGL116" s="199"/>
      <c r="SGM116" s="198"/>
      <c r="SGN116" s="199"/>
      <c r="SGO116" s="198"/>
      <c r="SGP116" s="199"/>
      <c r="SGQ116" s="198"/>
      <c r="SGR116" s="199"/>
      <c r="SGS116" s="198"/>
      <c r="SGT116" s="199"/>
      <c r="SGU116" s="198"/>
      <c r="SGV116" s="199"/>
      <c r="SGW116" s="198"/>
      <c r="SGX116" s="199"/>
      <c r="SGY116" s="198"/>
      <c r="SGZ116" s="199"/>
      <c r="SHA116" s="198"/>
      <c r="SHB116" s="199"/>
      <c r="SHC116" s="198"/>
      <c r="SHD116" s="199"/>
      <c r="SHE116" s="198"/>
      <c r="SHF116" s="199"/>
      <c r="SHG116" s="198"/>
      <c r="SHH116" s="199"/>
      <c r="SHI116" s="198"/>
      <c r="SHJ116" s="199"/>
      <c r="SHK116" s="198"/>
      <c r="SHL116" s="199"/>
      <c r="SHM116" s="198"/>
      <c r="SHN116" s="199"/>
      <c r="SHO116" s="198"/>
      <c r="SHP116" s="199"/>
      <c r="SHQ116" s="198"/>
      <c r="SHR116" s="199"/>
      <c r="SHS116" s="198"/>
      <c r="SHT116" s="199"/>
      <c r="SHU116" s="198"/>
      <c r="SHV116" s="199"/>
      <c r="SHW116" s="198"/>
      <c r="SHX116" s="199"/>
      <c r="SHY116" s="198"/>
      <c r="SHZ116" s="199"/>
      <c r="SIA116" s="198"/>
      <c r="SIB116" s="199"/>
      <c r="SIC116" s="198"/>
      <c r="SID116" s="199"/>
      <c r="SIE116" s="198"/>
      <c r="SIF116" s="199"/>
      <c r="SIG116" s="198"/>
      <c r="SIH116" s="199"/>
      <c r="SII116" s="198"/>
      <c r="SIJ116" s="199"/>
      <c r="SIK116" s="198"/>
      <c r="SIL116" s="199"/>
      <c r="SIM116" s="198"/>
      <c r="SIN116" s="199"/>
      <c r="SIO116" s="198"/>
      <c r="SIP116" s="199"/>
      <c r="SIQ116" s="198"/>
      <c r="SIR116" s="199"/>
      <c r="SIS116" s="198"/>
      <c r="SIT116" s="199"/>
      <c r="SIU116" s="198"/>
      <c r="SIV116" s="199"/>
      <c r="SIW116" s="198"/>
      <c r="SIX116" s="199"/>
      <c r="SIY116" s="198"/>
      <c r="SIZ116" s="199"/>
      <c r="SJA116" s="198"/>
      <c r="SJB116" s="199"/>
      <c r="SJC116" s="198"/>
      <c r="SJD116" s="199"/>
      <c r="SJE116" s="198"/>
      <c r="SJF116" s="199"/>
      <c r="SJG116" s="198"/>
      <c r="SJH116" s="199"/>
      <c r="SJI116" s="198"/>
      <c r="SJJ116" s="199"/>
      <c r="SJK116" s="198"/>
      <c r="SJL116" s="199"/>
      <c r="SJM116" s="198"/>
      <c r="SJN116" s="199"/>
      <c r="SJO116" s="198"/>
      <c r="SJP116" s="199"/>
      <c r="SJQ116" s="198"/>
      <c r="SJR116" s="199"/>
      <c r="SJS116" s="198"/>
      <c r="SJT116" s="199"/>
      <c r="SJU116" s="198"/>
      <c r="SJV116" s="199"/>
      <c r="SJW116" s="198"/>
      <c r="SJX116" s="199"/>
      <c r="SJY116" s="198"/>
      <c r="SJZ116" s="199"/>
      <c r="SKA116" s="198"/>
      <c r="SKB116" s="199"/>
      <c r="SKC116" s="198"/>
      <c r="SKD116" s="199"/>
      <c r="SKE116" s="198"/>
      <c r="SKF116" s="199"/>
      <c r="SKG116" s="198"/>
      <c r="SKH116" s="199"/>
      <c r="SKI116" s="198"/>
      <c r="SKJ116" s="199"/>
      <c r="SKK116" s="198"/>
      <c r="SKL116" s="199"/>
      <c r="SKM116" s="198"/>
      <c r="SKN116" s="199"/>
      <c r="SKO116" s="198"/>
      <c r="SKP116" s="199"/>
      <c r="SKQ116" s="198"/>
      <c r="SKR116" s="199"/>
      <c r="SKS116" s="198"/>
      <c r="SKT116" s="199"/>
      <c r="SKU116" s="198"/>
      <c r="SKV116" s="199"/>
      <c r="SKW116" s="198"/>
      <c r="SKX116" s="199"/>
      <c r="SKY116" s="198"/>
      <c r="SKZ116" s="199"/>
      <c r="SLA116" s="198"/>
      <c r="SLB116" s="199"/>
      <c r="SLC116" s="198"/>
      <c r="SLD116" s="199"/>
      <c r="SLE116" s="198"/>
      <c r="SLF116" s="199"/>
      <c r="SLG116" s="198"/>
      <c r="SLH116" s="199"/>
      <c r="SLI116" s="198"/>
      <c r="SLJ116" s="199"/>
      <c r="SLK116" s="198"/>
      <c r="SLL116" s="199"/>
      <c r="SLM116" s="198"/>
      <c r="SLN116" s="199"/>
      <c r="SLO116" s="198"/>
      <c r="SLP116" s="199"/>
      <c r="SLQ116" s="198"/>
      <c r="SLR116" s="199"/>
      <c r="SLS116" s="198"/>
      <c r="SLT116" s="199"/>
      <c r="SLU116" s="198"/>
      <c r="SLV116" s="199"/>
      <c r="SLW116" s="198"/>
      <c r="SLX116" s="199"/>
      <c r="SLY116" s="198"/>
      <c r="SLZ116" s="199"/>
      <c r="SMA116" s="198"/>
      <c r="SMB116" s="199"/>
      <c r="SMC116" s="198"/>
      <c r="SMD116" s="199"/>
      <c r="SME116" s="198"/>
      <c r="SMF116" s="199"/>
      <c r="SMG116" s="198"/>
      <c r="SMH116" s="199"/>
      <c r="SMI116" s="198"/>
      <c r="SMJ116" s="199"/>
      <c r="SMK116" s="198"/>
      <c r="SML116" s="199"/>
      <c r="SMM116" s="198"/>
      <c r="SMN116" s="199"/>
      <c r="SMO116" s="198"/>
      <c r="SMP116" s="199"/>
      <c r="SMQ116" s="198"/>
      <c r="SMR116" s="199"/>
      <c r="SMS116" s="198"/>
      <c r="SMT116" s="199"/>
      <c r="SMU116" s="198"/>
      <c r="SMV116" s="199"/>
      <c r="SMW116" s="198"/>
      <c r="SMX116" s="199"/>
      <c r="SMY116" s="198"/>
      <c r="SMZ116" s="199"/>
      <c r="SNA116" s="198"/>
      <c r="SNB116" s="199"/>
      <c r="SNC116" s="198"/>
      <c r="SND116" s="199"/>
      <c r="SNE116" s="198"/>
      <c r="SNF116" s="199"/>
      <c r="SNG116" s="198"/>
      <c r="SNH116" s="199"/>
      <c r="SNI116" s="198"/>
      <c r="SNJ116" s="199"/>
      <c r="SNK116" s="198"/>
      <c r="SNL116" s="199"/>
      <c r="SNM116" s="198"/>
      <c r="SNN116" s="199"/>
      <c r="SNO116" s="198"/>
      <c r="SNP116" s="199"/>
      <c r="SNQ116" s="198"/>
      <c r="SNR116" s="199"/>
      <c r="SNS116" s="198"/>
      <c r="SNT116" s="199"/>
      <c r="SNU116" s="198"/>
      <c r="SNV116" s="199"/>
      <c r="SNW116" s="198"/>
      <c r="SNX116" s="199"/>
      <c r="SNY116" s="198"/>
      <c r="SNZ116" s="199"/>
      <c r="SOA116" s="198"/>
      <c r="SOB116" s="199"/>
      <c r="SOC116" s="198"/>
      <c r="SOD116" s="199"/>
      <c r="SOE116" s="198"/>
      <c r="SOF116" s="199"/>
      <c r="SOG116" s="198"/>
      <c r="SOH116" s="199"/>
      <c r="SOI116" s="198"/>
      <c r="SOJ116" s="199"/>
      <c r="SOK116" s="198"/>
      <c r="SOL116" s="199"/>
      <c r="SOM116" s="198"/>
      <c r="SON116" s="199"/>
      <c r="SOO116" s="198"/>
      <c r="SOP116" s="199"/>
      <c r="SOQ116" s="198"/>
      <c r="SOR116" s="199"/>
      <c r="SOS116" s="198"/>
      <c r="SOT116" s="199"/>
      <c r="SOU116" s="198"/>
      <c r="SOV116" s="199"/>
      <c r="SOW116" s="198"/>
      <c r="SOX116" s="199"/>
      <c r="SOY116" s="198"/>
      <c r="SOZ116" s="199"/>
      <c r="SPA116" s="198"/>
      <c r="SPB116" s="199"/>
      <c r="SPC116" s="198"/>
      <c r="SPD116" s="199"/>
      <c r="SPE116" s="198"/>
      <c r="SPF116" s="199"/>
      <c r="SPG116" s="198"/>
      <c r="SPH116" s="199"/>
      <c r="SPI116" s="198"/>
      <c r="SPJ116" s="199"/>
      <c r="SPK116" s="198"/>
      <c r="SPL116" s="199"/>
      <c r="SPM116" s="198"/>
      <c r="SPN116" s="199"/>
      <c r="SPO116" s="198"/>
      <c r="SPP116" s="199"/>
      <c r="SPQ116" s="198"/>
      <c r="SPR116" s="199"/>
      <c r="SPS116" s="198"/>
      <c r="SPT116" s="199"/>
      <c r="SPU116" s="198"/>
      <c r="SPV116" s="199"/>
      <c r="SPW116" s="198"/>
      <c r="SPX116" s="199"/>
      <c r="SPY116" s="198"/>
      <c r="SPZ116" s="199"/>
      <c r="SQA116" s="198"/>
      <c r="SQB116" s="199"/>
      <c r="SQC116" s="198"/>
      <c r="SQD116" s="199"/>
      <c r="SQE116" s="198"/>
      <c r="SQF116" s="199"/>
      <c r="SQG116" s="198"/>
      <c r="SQH116" s="199"/>
      <c r="SQI116" s="198"/>
      <c r="SQJ116" s="199"/>
      <c r="SQK116" s="198"/>
      <c r="SQL116" s="199"/>
      <c r="SQM116" s="198"/>
      <c r="SQN116" s="199"/>
      <c r="SQO116" s="198"/>
      <c r="SQP116" s="199"/>
      <c r="SQQ116" s="198"/>
      <c r="SQR116" s="199"/>
      <c r="SQS116" s="198"/>
      <c r="SQT116" s="199"/>
      <c r="SQU116" s="198"/>
      <c r="SQV116" s="199"/>
      <c r="SQW116" s="198"/>
      <c r="SQX116" s="199"/>
      <c r="SQY116" s="198"/>
      <c r="SQZ116" s="199"/>
      <c r="SRA116" s="198"/>
      <c r="SRB116" s="199"/>
      <c r="SRC116" s="198"/>
      <c r="SRD116" s="199"/>
      <c r="SRE116" s="198"/>
      <c r="SRF116" s="199"/>
      <c r="SRG116" s="198"/>
      <c r="SRH116" s="199"/>
      <c r="SRI116" s="198"/>
      <c r="SRJ116" s="199"/>
      <c r="SRK116" s="198"/>
      <c r="SRL116" s="199"/>
      <c r="SRM116" s="198"/>
      <c r="SRN116" s="199"/>
      <c r="SRO116" s="198"/>
      <c r="SRP116" s="199"/>
      <c r="SRQ116" s="198"/>
      <c r="SRR116" s="199"/>
      <c r="SRS116" s="198"/>
      <c r="SRT116" s="199"/>
      <c r="SRU116" s="198"/>
      <c r="SRV116" s="199"/>
      <c r="SRW116" s="198"/>
      <c r="SRX116" s="199"/>
      <c r="SRY116" s="198"/>
      <c r="SRZ116" s="199"/>
      <c r="SSA116" s="198"/>
      <c r="SSB116" s="199"/>
      <c r="SSC116" s="198"/>
      <c r="SSD116" s="199"/>
      <c r="SSE116" s="198"/>
      <c r="SSF116" s="199"/>
      <c r="SSG116" s="198"/>
      <c r="SSH116" s="199"/>
      <c r="SSI116" s="198"/>
      <c r="SSJ116" s="199"/>
      <c r="SSK116" s="198"/>
      <c r="SSL116" s="199"/>
      <c r="SSM116" s="198"/>
      <c r="SSN116" s="199"/>
      <c r="SSO116" s="198"/>
      <c r="SSP116" s="199"/>
      <c r="SSQ116" s="198"/>
      <c r="SSR116" s="199"/>
      <c r="SSS116" s="198"/>
      <c r="SST116" s="199"/>
      <c r="SSU116" s="198"/>
      <c r="SSV116" s="199"/>
      <c r="SSW116" s="198"/>
      <c r="SSX116" s="199"/>
      <c r="SSY116" s="198"/>
      <c r="SSZ116" s="199"/>
      <c r="STA116" s="198"/>
      <c r="STB116" s="199"/>
      <c r="STC116" s="198"/>
      <c r="STD116" s="199"/>
      <c r="STE116" s="198"/>
      <c r="STF116" s="199"/>
      <c r="STG116" s="198"/>
      <c r="STH116" s="199"/>
      <c r="STI116" s="198"/>
      <c r="STJ116" s="199"/>
      <c r="STK116" s="198"/>
      <c r="STL116" s="199"/>
      <c r="STM116" s="198"/>
      <c r="STN116" s="199"/>
      <c r="STO116" s="198"/>
      <c r="STP116" s="199"/>
      <c r="STQ116" s="198"/>
      <c r="STR116" s="199"/>
      <c r="STS116" s="198"/>
      <c r="STT116" s="199"/>
      <c r="STU116" s="198"/>
      <c r="STV116" s="199"/>
      <c r="STW116" s="198"/>
      <c r="STX116" s="199"/>
      <c r="STY116" s="198"/>
      <c r="STZ116" s="199"/>
      <c r="SUA116" s="198"/>
      <c r="SUB116" s="199"/>
      <c r="SUC116" s="198"/>
      <c r="SUD116" s="199"/>
      <c r="SUE116" s="198"/>
      <c r="SUF116" s="199"/>
      <c r="SUG116" s="198"/>
      <c r="SUH116" s="199"/>
      <c r="SUI116" s="198"/>
      <c r="SUJ116" s="199"/>
      <c r="SUK116" s="198"/>
      <c r="SUL116" s="199"/>
      <c r="SUM116" s="198"/>
      <c r="SUN116" s="199"/>
      <c r="SUO116" s="198"/>
      <c r="SUP116" s="199"/>
      <c r="SUQ116" s="198"/>
      <c r="SUR116" s="199"/>
      <c r="SUS116" s="198"/>
      <c r="SUT116" s="199"/>
      <c r="SUU116" s="198"/>
      <c r="SUV116" s="199"/>
      <c r="SUW116" s="198"/>
      <c r="SUX116" s="199"/>
      <c r="SUY116" s="198"/>
      <c r="SUZ116" s="199"/>
      <c r="SVA116" s="198"/>
      <c r="SVB116" s="199"/>
      <c r="SVC116" s="198"/>
      <c r="SVD116" s="199"/>
      <c r="SVE116" s="198"/>
      <c r="SVF116" s="199"/>
      <c r="SVG116" s="198"/>
      <c r="SVH116" s="199"/>
      <c r="SVI116" s="198"/>
      <c r="SVJ116" s="199"/>
      <c r="SVK116" s="198"/>
      <c r="SVL116" s="199"/>
      <c r="SVM116" s="198"/>
      <c r="SVN116" s="199"/>
      <c r="SVO116" s="198"/>
      <c r="SVP116" s="199"/>
      <c r="SVQ116" s="198"/>
      <c r="SVR116" s="199"/>
      <c r="SVS116" s="198"/>
      <c r="SVT116" s="199"/>
      <c r="SVU116" s="198"/>
      <c r="SVV116" s="199"/>
      <c r="SVW116" s="198"/>
      <c r="SVX116" s="199"/>
      <c r="SVY116" s="198"/>
      <c r="SVZ116" s="199"/>
      <c r="SWA116" s="198"/>
      <c r="SWB116" s="199"/>
      <c r="SWC116" s="198"/>
      <c r="SWD116" s="199"/>
      <c r="SWE116" s="198"/>
      <c r="SWF116" s="199"/>
      <c r="SWG116" s="198"/>
      <c r="SWH116" s="199"/>
      <c r="SWI116" s="198"/>
      <c r="SWJ116" s="199"/>
      <c r="SWK116" s="198"/>
      <c r="SWL116" s="199"/>
      <c r="SWM116" s="198"/>
      <c r="SWN116" s="199"/>
      <c r="SWO116" s="198"/>
      <c r="SWP116" s="199"/>
      <c r="SWQ116" s="198"/>
      <c r="SWR116" s="199"/>
      <c r="SWS116" s="198"/>
      <c r="SWT116" s="199"/>
      <c r="SWU116" s="198"/>
      <c r="SWV116" s="199"/>
      <c r="SWW116" s="198"/>
      <c r="SWX116" s="199"/>
      <c r="SWY116" s="198"/>
      <c r="SWZ116" s="199"/>
      <c r="SXA116" s="198"/>
      <c r="SXB116" s="199"/>
      <c r="SXC116" s="198"/>
      <c r="SXD116" s="199"/>
      <c r="SXE116" s="198"/>
      <c r="SXF116" s="199"/>
      <c r="SXG116" s="198"/>
      <c r="SXH116" s="199"/>
      <c r="SXI116" s="198"/>
      <c r="SXJ116" s="199"/>
      <c r="SXK116" s="198"/>
      <c r="SXL116" s="199"/>
      <c r="SXM116" s="198"/>
      <c r="SXN116" s="199"/>
      <c r="SXO116" s="198"/>
      <c r="SXP116" s="199"/>
      <c r="SXQ116" s="198"/>
      <c r="SXR116" s="199"/>
      <c r="SXS116" s="198"/>
      <c r="SXT116" s="199"/>
      <c r="SXU116" s="198"/>
      <c r="SXV116" s="199"/>
      <c r="SXW116" s="198"/>
      <c r="SXX116" s="199"/>
      <c r="SXY116" s="198"/>
      <c r="SXZ116" s="199"/>
      <c r="SYA116" s="198"/>
      <c r="SYB116" s="199"/>
      <c r="SYC116" s="198"/>
      <c r="SYD116" s="199"/>
      <c r="SYE116" s="198"/>
      <c r="SYF116" s="199"/>
      <c r="SYG116" s="198"/>
      <c r="SYH116" s="199"/>
      <c r="SYI116" s="198"/>
      <c r="SYJ116" s="199"/>
      <c r="SYK116" s="198"/>
      <c r="SYL116" s="199"/>
      <c r="SYM116" s="198"/>
      <c r="SYN116" s="199"/>
      <c r="SYO116" s="198"/>
      <c r="SYP116" s="199"/>
      <c r="SYQ116" s="198"/>
      <c r="SYR116" s="199"/>
      <c r="SYS116" s="198"/>
      <c r="SYT116" s="199"/>
      <c r="SYU116" s="198"/>
      <c r="SYV116" s="199"/>
      <c r="SYW116" s="198"/>
      <c r="SYX116" s="199"/>
      <c r="SYY116" s="198"/>
      <c r="SYZ116" s="199"/>
      <c r="SZA116" s="198"/>
      <c r="SZB116" s="199"/>
      <c r="SZC116" s="198"/>
      <c r="SZD116" s="199"/>
      <c r="SZE116" s="198"/>
      <c r="SZF116" s="199"/>
      <c r="SZG116" s="198"/>
      <c r="SZH116" s="199"/>
      <c r="SZI116" s="198"/>
      <c r="SZJ116" s="199"/>
      <c r="SZK116" s="198"/>
      <c r="SZL116" s="199"/>
      <c r="SZM116" s="198"/>
      <c r="SZN116" s="199"/>
      <c r="SZO116" s="198"/>
      <c r="SZP116" s="199"/>
      <c r="SZQ116" s="198"/>
      <c r="SZR116" s="199"/>
      <c r="SZS116" s="198"/>
      <c r="SZT116" s="199"/>
      <c r="SZU116" s="198"/>
      <c r="SZV116" s="199"/>
      <c r="SZW116" s="198"/>
      <c r="SZX116" s="199"/>
      <c r="SZY116" s="198"/>
      <c r="SZZ116" s="199"/>
      <c r="TAA116" s="198"/>
      <c r="TAB116" s="199"/>
      <c r="TAC116" s="198"/>
      <c r="TAD116" s="199"/>
      <c r="TAE116" s="198"/>
      <c r="TAF116" s="199"/>
      <c r="TAG116" s="198"/>
      <c r="TAH116" s="199"/>
      <c r="TAI116" s="198"/>
      <c r="TAJ116" s="199"/>
      <c r="TAK116" s="198"/>
      <c r="TAL116" s="199"/>
      <c r="TAM116" s="198"/>
      <c r="TAN116" s="199"/>
      <c r="TAO116" s="198"/>
      <c r="TAP116" s="199"/>
      <c r="TAQ116" s="198"/>
      <c r="TAR116" s="199"/>
      <c r="TAS116" s="198"/>
      <c r="TAT116" s="199"/>
      <c r="TAU116" s="198"/>
      <c r="TAV116" s="199"/>
      <c r="TAW116" s="198"/>
      <c r="TAX116" s="199"/>
      <c r="TAY116" s="198"/>
      <c r="TAZ116" s="199"/>
      <c r="TBA116" s="198"/>
      <c r="TBB116" s="199"/>
      <c r="TBC116" s="198"/>
      <c r="TBD116" s="199"/>
      <c r="TBE116" s="198"/>
      <c r="TBF116" s="199"/>
      <c r="TBG116" s="198"/>
      <c r="TBH116" s="199"/>
      <c r="TBI116" s="198"/>
      <c r="TBJ116" s="199"/>
      <c r="TBK116" s="198"/>
      <c r="TBL116" s="199"/>
      <c r="TBM116" s="198"/>
      <c r="TBN116" s="199"/>
      <c r="TBO116" s="198"/>
      <c r="TBP116" s="199"/>
      <c r="TBQ116" s="198"/>
      <c r="TBR116" s="199"/>
      <c r="TBS116" s="198"/>
      <c r="TBT116" s="199"/>
      <c r="TBU116" s="198"/>
      <c r="TBV116" s="199"/>
      <c r="TBW116" s="198"/>
      <c r="TBX116" s="199"/>
      <c r="TBY116" s="198"/>
      <c r="TBZ116" s="199"/>
      <c r="TCA116" s="198"/>
      <c r="TCB116" s="199"/>
      <c r="TCC116" s="198"/>
      <c r="TCD116" s="199"/>
      <c r="TCE116" s="198"/>
      <c r="TCF116" s="199"/>
      <c r="TCG116" s="198"/>
      <c r="TCH116" s="199"/>
      <c r="TCI116" s="198"/>
      <c r="TCJ116" s="199"/>
      <c r="TCK116" s="198"/>
      <c r="TCL116" s="199"/>
      <c r="TCM116" s="198"/>
      <c r="TCN116" s="199"/>
      <c r="TCO116" s="198"/>
      <c r="TCP116" s="199"/>
      <c r="TCQ116" s="198"/>
      <c r="TCR116" s="199"/>
      <c r="TCS116" s="198"/>
      <c r="TCT116" s="199"/>
      <c r="TCU116" s="198"/>
      <c r="TCV116" s="199"/>
      <c r="TCW116" s="198"/>
      <c r="TCX116" s="199"/>
      <c r="TCY116" s="198"/>
      <c r="TCZ116" s="199"/>
      <c r="TDA116" s="198"/>
      <c r="TDB116" s="199"/>
      <c r="TDC116" s="198"/>
      <c r="TDD116" s="199"/>
      <c r="TDE116" s="198"/>
      <c r="TDF116" s="199"/>
      <c r="TDG116" s="198"/>
      <c r="TDH116" s="199"/>
      <c r="TDI116" s="198"/>
      <c r="TDJ116" s="199"/>
      <c r="TDK116" s="198"/>
      <c r="TDL116" s="199"/>
      <c r="TDM116" s="198"/>
      <c r="TDN116" s="199"/>
      <c r="TDO116" s="198"/>
      <c r="TDP116" s="199"/>
      <c r="TDQ116" s="198"/>
      <c r="TDR116" s="199"/>
      <c r="TDS116" s="198"/>
      <c r="TDT116" s="199"/>
      <c r="TDU116" s="198"/>
      <c r="TDV116" s="199"/>
      <c r="TDW116" s="198"/>
      <c r="TDX116" s="199"/>
      <c r="TDY116" s="198"/>
      <c r="TDZ116" s="199"/>
      <c r="TEA116" s="198"/>
      <c r="TEB116" s="199"/>
      <c r="TEC116" s="198"/>
      <c r="TED116" s="199"/>
      <c r="TEE116" s="198"/>
      <c r="TEF116" s="199"/>
      <c r="TEG116" s="198"/>
      <c r="TEH116" s="199"/>
      <c r="TEI116" s="198"/>
      <c r="TEJ116" s="199"/>
      <c r="TEK116" s="198"/>
      <c r="TEL116" s="199"/>
      <c r="TEM116" s="198"/>
      <c r="TEN116" s="199"/>
      <c r="TEO116" s="198"/>
      <c r="TEP116" s="199"/>
      <c r="TEQ116" s="198"/>
      <c r="TER116" s="199"/>
      <c r="TES116" s="198"/>
      <c r="TET116" s="199"/>
      <c r="TEU116" s="198"/>
      <c r="TEV116" s="199"/>
      <c r="TEW116" s="198"/>
      <c r="TEX116" s="199"/>
      <c r="TEY116" s="198"/>
      <c r="TEZ116" s="199"/>
      <c r="TFA116" s="198"/>
      <c r="TFB116" s="199"/>
      <c r="TFC116" s="198"/>
      <c r="TFD116" s="199"/>
      <c r="TFE116" s="198"/>
      <c r="TFF116" s="199"/>
      <c r="TFG116" s="198"/>
      <c r="TFH116" s="199"/>
      <c r="TFI116" s="198"/>
      <c r="TFJ116" s="199"/>
      <c r="TFK116" s="198"/>
      <c r="TFL116" s="199"/>
      <c r="TFM116" s="198"/>
      <c r="TFN116" s="199"/>
      <c r="TFO116" s="198"/>
      <c r="TFP116" s="199"/>
      <c r="TFQ116" s="198"/>
      <c r="TFR116" s="199"/>
      <c r="TFS116" s="198"/>
      <c r="TFT116" s="199"/>
      <c r="TFU116" s="198"/>
      <c r="TFV116" s="199"/>
      <c r="TFW116" s="198"/>
      <c r="TFX116" s="199"/>
      <c r="TFY116" s="198"/>
      <c r="TFZ116" s="199"/>
      <c r="TGA116" s="198"/>
      <c r="TGB116" s="199"/>
      <c r="TGC116" s="198"/>
      <c r="TGD116" s="199"/>
      <c r="TGE116" s="198"/>
      <c r="TGF116" s="199"/>
      <c r="TGG116" s="198"/>
      <c r="TGH116" s="199"/>
      <c r="TGI116" s="198"/>
      <c r="TGJ116" s="199"/>
      <c r="TGK116" s="198"/>
      <c r="TGL116" s="199"/>
      <c r="TGM116" s="198"/>
      <c r="TGN116" s="199"/>
      <c r="TGO116" s="198"/>
      <c r="TGP116" s="199"/>
      <c r="TGQ116" s="198"/>
      <c r="TGR116" s="199"/>
      <c r="TGS116" s="198"/>
      <c r="TGT116" s="199"/>
      <c r="TGU116" s="198"/>
      <c r="TGV116" s="199"/>
      <c r="TGW116" s="198"/>
      <c r="TGX116" s="199"/>
      <c r="TGY116" s="198"/>
      <c r="TGZ116" s="199"/>
      <c r="THA116" s="198"/>
      <c r="THB116" s="199"/>
      <c r="THC116" s="198"/>
      <c r="THD116" s="199"/>
      <c r="THE116" s="198"/>
      <c r="THF116" s="199"/>
      <c r="THG116" s="198"/>
      <c r="THH116" s="199"/>
      <c r="THI116" s="198"/>
      <c r="THJ116" s="199"/>
      <c r="THK116" s="198"/>
      <c r="THL116" s="199"/>
      <c r="THM116" s="198"/>
      <c r="THN116" s="199"/>
      <c r="THO116" s="198"/>
      <c r="THP116" s="199"/>
      <c r="THQ116" s="198"/>
      <c r="THR116" s="199"/>
      <c r="THS116" s="198"/>
      <c r="THT116" s="199"/>
      <c r="THU116" s="198"/>
      <c r="THV116" s="199"/>
      <c r="THW116" s="198"/>
      <c r="THX116" s="199"/>
      <c r="THY116" s="198"/>
      <c r="THZ116" s="199"/>
      <c r="TIA116" s="198"/>
      <c r="TIB116" s="199"/>
      <c r="TIC116" s="198"/>
      <c r="TID116" s="199"/>
      <c r="TIE116" s="198"/>
      <c r="TIF116" s="199"/>
      <c r="TIG116" s="198"/>
      <c r="TIH116" s="199"/>
      <c r="TII116" s="198"/>
      <c r="TIJ116" s="199"/>
      <c r="TIK116" s="198"/>
      <c r="TIL116" s="199"/>
      <c r="TIM116" s="198"/>
      <c r="TIN116" s="199"/>
      <c r="TIO116" s="198"/>
      <c r="TIP116" s="199"/>
      <c r="TIQ116" s="198"/>
      <c r="TIR116" s="199"/>
      <c r="TIS116" s="198"/>
      <c r="TIT116" s="199"/>
      <c r="TIU116" s="198"/>
      <c r="TIV116" s="199"/>
      <c r="TIW116" s="198"/>
      <c r="TIX116" s="199"/>
      <c r="TIY116" s="198"/>
      <c r="TIZ116" s="199"/>
      <c r="TJA116" s="198"/>
      <c r="TJB116" s="199"/>
      <c r="TJC116" s="198"/>
      <c r="TJD116" s="199"/>
      <c r="TJE116" s="198"/>
      <c r="TJF116" s="199"/>
      <c r="TJG116" s="198"/>
      <c r="TJH116" s="199"/>
      <c r="TJI116" s="198"/>
      <c r="TJJ116" s="199"/>
      <c r="TJK116" s="198"/>
      <c r="TJL116" s="199"/>
      <c r="TJM116" s="198"/>
      <c r="TJN116" s="199"/>
      <c r="TJO116" s="198"/>
      <c r="TJP116" s="199"/>
      <c r="TJQ116" s="198"/>
      <c r="TJR116" s="199"/>
      <c r="TJS116" s="198"/>
      <c r="TJT116" s="199"/>
      <c r="TJU116" s="198"/>
      <c r="TJV116" s="199"/>
      <c r="TJW116" s="198"/>
      <c r="TJX116" s="199"/>
      <c r="TJY116" s="198"/>
      <c r="TJZ116" s="199"/>
      <c r="TKA116" s="198"/>
      <c r="TKB116" s="199"/>
      <c r="TKC116" s="198"/>
      <c r="TKD116" s="199"/>
      <c r="TKE116" s="198"/>
      <c r="TKF116" s="199"/>
      <c r="TKG116" s="198"/>
      <c r="TKH116" s="199"/>
      <c r="TKI116" s="198"/>
      <c r="TKJ116" s="199"/>
      <c r="TKK116" s="198"/>
      <c r="TKL116" s="199"/>
      <c r="TKM116" s="198"/>
      <c r="TKN116" s="199"/>
      <c r="TKO116" s="198"/>
      <c r="TKP116" s="199"/>
      <c r="TKQ116" s="198"/>
      <c r="TKR116" s="199"/>
      <c r="TKS116" s="198"/>
      <c r="TKT116" s="199"/>
      <c r="TKU116" s="198"/>
      <c r="TKV116" s="199"/>
      <c r="TKW116" s="198"/>
      <c r="TKX116" s="199"/>
      <c r="TKY116" s="198"/>
      <c r="TKZ116" s="199"/>
      <c r="TLA116" s="198"/>
      <c r="TLB116" s="199"/>
      <c r="TLC116" s="198"/>
      <c r="TLD116" s="199"/>
      <c r="TLE116" s="198"/>
      <c r="TLF116" s="199"/>
      <c r="TLG116" s="198"/>
      <c r="TLH116" s="199"/>
      <c r="TLI116" s="198"/>
      <c r="TLJ116" s="199"/>
      <c r="TLK116" s="198"/>
      <c r="TLL116" s="199"/>
      <c r="TLM116" s="198"/>
      <c r="TLN116" s="199"/>
      <c r="TLO116" s="198"/>
      <c r="TLP116" s="199"/>
      <c r="TLQ116" s="198"/>
      <c r="TLR116" s="199"/>
      <c r="TLS116" s="198"/>
      <c r="TLT116" s="199"/>
      <c r="TLU116" s="198"/>
      <c r="TLV116" s="199"/>
      <c r="TLW116" s="198"/>
      <c r="TLX116" s="199"/>
      <c r="TLY116" s="198"/>
      <c r="TLZ116" s="199"/>
      <c r="TMA116" s="198"/>
      <c r="TMB116" s="199"/>
      <c r="TMC116" s="198"/>
      <c r="TMD116" s="199"/>
      <c r="TME116" s="198"/>
      <c r="TMF116" s="199"/>
      <c r="TMG116" s="198"/>
      <c r="TMH116" s="199"/>
      <c r="TMI116" s="198"/>
      <c r="TMJ116" s="199"/>
      <c r="TMK116" s="198"/>
      <c r="TML116" s="199"/>
      <c r="TMM116" s="198"/>
      <c r="TMN116" s="199"/>
      <c r="TMO116" s="198"/>
      <c r="TMP116" s="199"/>
      <c r="TMQ116" s="198"/>
      <c r="TMR116" s="199"/>
      <c r="TMS116" s="198"/>
      <c r="TMT116" s="199"/>
      <c r="TMU116" s="198"/>
      <c r="TMV116" s="199"/>
      <c r="TMW116" s="198"/>
      <c r="TMX116" s="199"/>
      <c r="TMY116" s="198"/>
      <c r="TMZ116" s="199"/>
      <c r="TNA116" s="198"/>
      <c r="TNB116" s="199"/>
      <c r="TNC116" s="198"/>
      <c r="TND116" s="199"/>
      <c r="TNE116" s="198"/>
      <c r="TNF116" s="199"/>
      <c r="TNG116" s="198"/>
      <c r="TNH116" s="199"/>
      <c r="TNI116" s="198"/>
      <c r="TNJ116" s="199"/>
      <c r="TNK116" s="198"/>
      <c r="TNL116" s="199"/>
      <c r="TNM116" s="198"/>
      <c r="TNN116" s="199"/>
      <c r="TNO116" s="198"/>
      <c r="TNP116" s="199"/>
      <c r="TNQ116" s="198"/>
      <c r="TNR116" s="199"/>
      <c r="TNS116" s="198"/>
      <c r="TNT116" s="199"/>
      <c r="TNU116" s="198"/>
      <c r="TNV116" s="199"/>
      <c r="TNW116" s="198"/>
      <c r="TNX116" s="199"/>
      <c r="TNY116" s="198"/>
      <c r="TNZ116" s="199"/>
      <c r="TOA116" s="198"/>
      <c r="TOB116" s="199"/>
      <c r="TOC116" s="198"/>
      <c r="TOD116" s="199"/>
      <c r="TOE116" s="198"/>
      <c r="TOF116" s="199"/>
      <c r="TOG116" s="198"/>
      <c r="TOH116" s="199"/>
      <c r="TOI116" s="198"/>
      <c r="TOJ116" s="199"/>
      <c r="TOK116" s="198"/>
      <c r="TOL116" s="199"/>
      <c r="TOM116" s="198"/>
      <c r="TON116" s="199"/>
      <c r="TOO116" s="198"/>
      <c r="TOP116" s="199"/>
      <c r="TOQ116" s="198"/>
      <c r="TOR116" s="199"/>
      <c r="TOS116" s="198"/>
      <c r="TOT116" s="199"/>
      <c r="TOU116" s="198"/>
      <c r="TOV116" s="199"/>
      <c r="TOW116" s="198"/>
      <c r="TOX116" s="199"/>
      <c r="TOY116" s="198"/>
      <c r="TOZ116" s="199"/>
      <c r="TPA116" s="198"/>
      <c r="TPB116" s="199"/>
      <c r="TPC116" s="198"/>
      <c r="TPD116" s="199"/>
      <c r="TPE116" s="198"/>
      <c r="TPF116" s="199"/>
      <c r="TPG116" s="198"/>
      <c r="TPH116" s="199"/>
      <c r="TPI116" s="198"/>
      <c r="TPJ116" s="199"/>
      <c r="TPK116" s="198"/>
      <c r="TPL116" s="199"/>
      <c r="TPM116" s="198"/>
      <c r="TPN116" s="199"/>
      <c r="TPO116" s="198"/>
      <c r="TPP116" s="199"/>
      <c r="TPQ116" s="198"/>
      <c r="TPR116" s="199"/>
      <c r="TPS116" s="198"/>
      <c r="TPT116" s="199"/>
      <c r="TPU116" s="198"/>
      <c r="TPV116" s="199"/>
      <c r="TPW116" s="198"/>
      <c r="TPX116" s="199"/>
      <c r="TPY116" s="198"/>
      <c r="TPZ116" s="199"/>
      <c r="TQA116" s="198"/>
      <c r="TQB116" s="199"/>
      <c r="TQC116" s="198"/>
      <c r="TQD116" s="199"/>
      <c r="TQE116" s="198"/>
      <c r="TQF116" s="199"/>
      <c r="TQG116" s="198"/>
      <c r="TQH116" s="199"/>
      <c r="TQI116" s="198"/>
      <c r="TQJ116" s="199"/>
      <c r="TQK116" s="198"/>
      <c r="TQL116" s="199"/>
      <c r="TQM116" s="198"/>
      <c r="TQN116" s="199"/>
      <c r="TQO116" s="198"/>
      <c r="TQP116" s="199"/>
      <c r="TQQ116" s="198"/>
      <c r="TQR116" s="199"/>
      <c r="TQS116" s="198"/>
      <c r="TQT116" s="199"/>
      <c r="TQU116" s="198"/>
      <c r="TQV116" s="199"/>
      <c r="TQW116" s="198"/>
      <c r="TQX116" s="199"/>
      <c r="TQY116" s="198"/>
      <c r="TQZ116" s="199"/>
      <c r="TRA116" s="198"/>
      <c r="TRB116" s="199"/>
      <c r="TRC116" s="198"/>
      <c r="TRD116" s="199"/>
      <c r="TRE116" s="198"/>
      <c r="TRF116" s="199"/>
      <c r="TRG116" s="198"/>
      <c r="TRH116" s="199"/>
      <c r="TRI116" s="198"/>
      <c r="TRJ116" s="199"/>
      <c r="TRK116" s="198"/>
      <c r="TRL116" s="199"/>
      <c r="TRM116" s="198"/>
      <c r="TRN116" s="199"/>
      <c r="TRO116" s="198"/>
      <c r="TRP116" s="199"/>
      <c r="TRQ116" s="198"/>
      <c r="TRR116" s="199"/>
      <c r="TRS116" s="198"/>
      <c r="TRT116" s="199"/>
      <c r="TRU116" s="198"/>
      <c r="TRV116" s="199"/>
      <c r="TRW116" s="198"/>
      <c r="TRX116" s="199"/>
      <c r="TRY116" s="198"/>
      <c r="TRZ116" s="199"/>
      <c r="TSA116" s="198"/>
      <c r="TSB116" s="199"/>
      <c r="TSC116" s="198"/>
      <c r="TSD116" s="199"/>
      <c r="TSE116" s="198"/>
      <c r="TSF116" s="199"/>
      <c r="TSG116" s="198"/>
      <c r="TSH116" s="199"/>
      <c r="TSI116" s="198"/>
      <c r="TSJ116" s="199"/>
      <c r="TSK116" s="198"/>
      <c r="TSL116" s="199"/>
      <c r="TSM116" s="198"/>
      <c r="TSN116" s="199"/>
      <c r="TSO116" s="198"/>
      <c r="TSP116" s="199"/>
      <c r="TSQ116" s="198"/>
      <c r="TSR116" s="199"/>
      <c r="TSS116" s="198"/>
      <c r="TST116" s="199"/>
      <c r="TSU116" s="198"/>
      <c r="TSV116" s="199"/>
      <c r="TSW116" s="198"/>
      <c r="TSX116" s="199"/>
      <c r="TSY116" s="198"/>
      <c r="TSZ116" s="199"/>
      <c r="TTA116" s="198"/>
      <c r="TTB116" s="199"/>
      <c r="TTC116" s="198"/>
      <c r="TTD116" s="199"/>
      <c r="TTE116" s="198"/>
      <c r="TTF116" s="199"/>
      <c r="TTG116" s="198"/>
      <c r="TTH116" s="199"/>
      <c r="TTI116" s="198"/>
      <c r="TTJ116" s="199"/>
      <c r="TTK116" s="198"/>
      <c r="TTL116" s="199"/>
      <c r="TTM116" s="198"/>
      <c r="TTN116" s="199"/>
      <c r="TTO116" s="198"/>
      <c r="TTP116" s="199"/>
      <c r="TTQ116" s="198"/>
      <c r="TTR116" s="199"/>
      <c r="TTS116" s="198"/>
      <c r="TTT116" s="199"/>
      <c r="TTU116" s="198"/>
      <c r="TTV116" s="199"/>
      <c r="TTW116" s="198"/>
      <c r="TTX116" s="199"/>
      <c r="TTY116" s="198"/>
      <c r="TTZ116" s="199"/>
      <c r="TUA116" s="198"/>
      <c r="TUB116" s="199"/>
      <c r="TUC116" s="198"/>
      <c r="TUD116" s="199"/>
      <c r="TUE116" s="198"/>
      <c r="TUF116" s="199"/>
      <c r="TUG116" s="198"/>
      <c r="TUH116" s="199"/>
      <c r="TUI116" s="198"/>
      <c r="TUJ116" s="199"/>
      <c r="TUK116" s="198"/>
      <c r="TUL116" s="199"/>
      <c r="TUM116" s="198"/>
      <c r="TUN116" s="199"/>
      <c r="TUO116" s="198"/>
      <c r="TUP116" s="199"/>
      <c r="TUQ116" s="198"/>
      <c r="TUR116" s="199"/>
      <c r="TUS116" s="198"/>
      <c r="TUT116" s="199"/>
      <c r="TUU116" s="198"/>
      <c r="TUV116" s="199"/>
      <c r="TUW116" s="198"/>
      <c r="TUX116" s="199"/>
      <c r="TUY116" s="198"/>
      <c r="TUZ116" s="199"/>
      <c r="TVA116" s="198"/>
      <c r="TVB116" s="199"/>
      <c r="TVC116" s="198"/>
      <c r="TVD116" s="199"/>
      <c r="TVE116" s="198"/>
      <c r="TVF116" s="199"/>
      <c r="TVG116" s="198"/>
      <c r="TVH116" s="199"/>
      <c r="TVI116" s="198"/>
      <c r="TVJ116" s="199"/>
      <c r="TVK116" s="198"/>
      <c r="TVL116" s="199"/>
      <c r="TVM116" s="198"/>
      <c r="TVN116" s="199"/>
      <c r="TVO116" s="198"/>
      <c r="TVP116" s="199"/>
      <c r="TVQ116" s="198"/>
      <c r="TVR116" s="199"/>
      <c r="TVS116" s="198"/>
      <c r="TVT116" s="199"/>
      <c r="TVU116" s="198"/>
      <c r="TVV116" s="199"/>
      <c r="TVW116" s="198"/>
      <c r="TVX116" s="199"/>
      <c r="TVY116" s="198"/>
      <c r="TVZ116" s="199"/>
      <c r="TWA116" s="198"/>
      <c r="TWB116" s="199"/>
      <c r="TWC116" s="198"/>
      <c r="TWD116" s="199"/>
      <c r="TWE116" s="198"/>
      <c r="TWF116" s="199"/>
      <c r="TWG116" s="198"/>
      <c r="TWH116" s="199"/>
      <c r="TWI116" s="198"/>
      <c r="TWJ116" s="199"/>
      <c r="TWK116" s="198"/>
      <c r="TWL116" s="199"/>
      <c r="TWM116" s="198"/>
      <c r="TWN116" s="199"/>
      <c r="TWO116" s="198"/>
      <c r="TWP116" s="199"/>
      <c r="TWQ116" s="198"/>
      <c r="TWR116" s="199"/>
      <c r="TWS116" s="198"/>
      <c r="TWT116" s="199"/>
      <c r="TWU116" s="198"/>
      <c r="TWV116" s="199"/>
      <c r="TWW116" s="198"/>
      <c r="TWX116" s="199"/>
      <c r="TWY116" s="198"/>
      <c r="TWZ116" s="199"/>
      <c r="TXA116" s="198"/>
      <c r="TXB116" s="199"/>
      <c r="TXC116" s="198"/>
      <c r="TXD116" s="199"/>
      <c r="TXE116" s="198"/>
      <c r="TXF116" s="199"/>
      <c r="TXG116" s="198"/>
      <c r="TXH116" s="199"/>
      <c r="TXI116" s="198"/>
      <c r="TXJ116" s="199"/>
      <c r="TXK116" s="198"/>
      <c r="TXL116" s="199"/>
      <c r="TXM116" s="198"/>
      <c r="TXN116" s="199"/>
      <c r="TXO116" s="198"/>
      <c r="TXP116" s="199"/>
      <c r="TXQ116" s="198"/>
      <c r="TXR116" s="199"/>
      <c r="TXS116" s="198"/>
      <c r="TXT116" s="199"/>
      <c r="TXU116" s="198"/>
      <c r="TXV116" s="199"/>
      <c r="TXW116" s="198"/>
      <c r="TXX116" s="199"/>
      <c r="TXY116" s="198"/>
      <c r="TXZ116" s="199"/>
      <c r="TYA116" s="198"/>
      <c r="TYB116" s="199"/>
      <c r="TYC116" s="198"/>
      <c r="TYD116" s="199"/>
      <c r="TYE116" s="198"/>
      <c r="TYF116" s="199"/>
      <c r="TYG116" s="198"/>
      <c r="TYH116" s="199"/>
      <c r="TYI116" s="198"/>
      <c r="TYJ116" s="199"/>
      <c r="TYK116" s="198"/>
      <c r="TYL116" s="199"/>
      <c r="TYM116" s="198"/>
      <c r="TYN116" s="199"/>
      <c r="TYO116" s="198"/>
      <c r="TYP116" s="199"/>
      <c r="TYQ116" s="198"/>
      <c r="TYR116" s="199"/>
      <c r="TYS116" s="198"/>
      <c r="TYT116" s="199"/>
      <c r="TYU116" s="198"/>
      <c r="TYV116" s="199"/>
      <c r="TYW116" s="198"/>
      <c r="TYX116" s="199"/>
      <c r="TYY116" s="198"/>
      <c r="TYZ116" s="199"/>
      <c r="TZA116" s="198"/>
      <c r="TZB116" s="199"/>
      <c r="TZC116" s="198"/>
      <c r="TZD116" s="199"/>
      <c r="TZE116" s="198"/>
      <c r="TZF116" s="199"/>
      <c r="TZG116" s="198"/>
      <c r="TZH116" s="199"/>
      <c r="TZI116" s="198"/>
      <c r="TZJ116" s="199"/>
      <c r="TZK116" s="198"/>
      <c r="TZL116" s="199"/>
      <c r="TZM116" s="198"/>
      <c r="TZN116" s="199"/>
      <c r="TZO116" s="198"/>
      <c r="TZP116" s="199"/>
      <c r="TZQ116" s="198"/>
      <c r="TZR116" s="199"/>
      <c r="TZS116" s="198"/>
      <c r="TZT116" s="199"/>
      <c r="TZU116" s="198"/>
      <c r="TZV116" s="199"/>
      <c r="TZW116" s="198"/>
      <c r="TZX116" s="199"/>
      <c r="TZY116" s="198"/>
      <c r="TZZ116" s="199"/>
      <c r="UAA116" s="198"/>
      <c r="UAB116" s="199"/>
      <c r="UAC116" s="198"/>
      <c r="UAD116" s="199"/>
      <c r="UAE116" s="198"/>
      <c r="UAF116" s="199"/>
      <c r="UAG116" s="198"/>
      <c r="UAH116" s="199"/>
      <c r="UAI116" s="198"/>
      <c r="UAJ116" s="199"/>
      <c r="UAK116" s="198"/>
      <c r="UAL116" s="199"/>
      <c r="UAM116" s="198"/>
      <c r="UAN116" s="199"/>
      <c r="UAO116" s="198"/>
      <c r="UAP116" s="199"/>
      <c r="UAQ116" s="198"/>
      <c r="UAR116" s="199"/>
      <c r="UAS116" s="198"/>
      <c r="UAT116" s="199"/>
      <c r="UAU116" s="198"/>
      <c r="UAV116" s="199"/>
      <c r="UAW116" s="198"/>
      <c r="UAX116" s="199"/>
      <c r="UAY116" s="198"/>
      <c r="UAZ116" s="199"/>
      <c r="UBA116" s="198"/>
      <c r="UBB116" s="199"/>
      <c r="UBC116" s="198"/>
      <c r="UBD116" s="199"/>
      <c r="UBE116" s="198"/>
      <c r="UBF116" s="199"/>
      <c r="UBG116" s="198"/>
      <c r="UBH116" s="199"/>
      <c r="UBI116" s="198"/>
      <c r="UBJ116" s="199"/>
      <c r="UBK116" s="198"/>
      <c r="UBL116" s="199"/>
      <c r="UBM116" s="198"/>
      <c r="UBN116" s="199"/>
      <c r="UBO116" s="198"/>
      <c r="UBP116" s="199"/>
      <c r="UBQ116" s="198"/>
      <c r="UBR116" s="199"/>
      <c r="UBS116" s="198"/>
      <c r="UBT116" s="199"/>
      <c r="UBU116" s="198"/>
      <c r="UBV116" s="199"/>
      <c r="UBW116" s="198"/>
      <c r="UBX116" s="199"/>
      <c r="UBY116" s="198"/>
      <c r="UBZ116" s="199"/>
      <c r="UCA116" s="198"/>
      <c r="UCB116" s="199"/>
      <c r="UCC116" s="198"/>
      <c r="UCD116" s="199"/>
      <c r="UCE116" s="198"/>
      <c r="UCF116" s="199"/>
      <c r="UCG116" s="198"/>
      <c r="UCH116" s="199"/>
      <c r="UCI116" s="198"/>
      <c r="UCJ116" s="199"/>
      <c r="UCK116" s="198"/>
      <c r="UCL116" s="199"/>
      <c r="UCM116" s="198"/>
      <c r="UCN116" s="199"/>
      <c r="UCO116" s="198"/>
      <c r="UCP116" s="199"/>
      <c r="UCQ116" s="198"/>
      <c r="UCR116" s="199"/>
      <c r="UCS116" s="198"/>
      <c r="UCT116" s="199"/>
      <c r="UCU116" s="198"/>
      <c r="UCV116" s="199"/>
      <c r="UCW116" s="198"/>
      <c r="UCX116" s="199"/>
      <c r="UCY116" s="198"/>
      <c r="UCZ116" s="199"/>
      <c r="UDA116" s="198"/>
      <c r="UDB116" s="199"/>
      <c r="UDC116" s="198"/>
      <c r="UDD116" s="199"/>
      <c r="UDE116" s="198"/>
      <c r="UDF116" s="199"/>
      <c r="UDG116" s="198"/>
      <c r="UDH116" s="199"/>
      <c r="UDI116" s="198"/>
      <c r="UDJ116" s="199"/>
      <c r="UDK116" s="198"/>
      <c r="UDL116" s="199"/>
      <c r="UDM116" s="198"/>
      <c r="UDN116" s="199"/>
      <c r="UDO116" s="198"/>
      <c r="UDP116" s="199"/>
      <c r="UDQ116" s="198"/>
      <c r="UDR116" s="199"/>
      <c r="UDS116" s="198"/>
      <c r="UDT116" s="199"/>
      <c r="UDU116" s="198"/>
      <c r="UDV116" s="199"/>
      <c r="UDW116" s="198"/>
      <c r="UDX116" s="199"/>
      <c r="UDY116" s="198"/>
      <c r="UDZ116" s="199"/>
      <c r="UEA116" s="198"/>
      <c r="UEB116" s="199"/>
      <c r="UEC116" s="198"/>
      <c r="UED116" s="199"/>
      <c r="UEE116" s="198"/>
      <c r="UEF116" s="199"/>
      <c r="UEG116" s="198"/>
      <c r="UEH116" s="199"/>
      <c r="UEI116" s="198"/>
      <c r="UEJ116" s="199"/>
      <c r="UEK116" s="198"/>
      <c r="UEL116" s="199"/>
      <c r="UEM116" s="198"/>
      <c r="UEN116" s="199"/>
      <c r="UEO116" s="198"/>
      <c r="UEP116" s="199"/>
      <c r="UEQ116" s="198"/>
      <c r="UER116" s="199"/>
      <c r="UES116" s="198"/>
      <c r="UET116" s="199"/>
      <c r="UEU116" s="198"/>
      <c r="UEV116" s="199"/>
      <c r="UEW116" s="198"/>
      <c r="UEX116" s="199"/>
      <c r="UEY116" s="198"/>
      <c r="UEZ116" s="199"/>
      <c r="UFA116" s="198"/>
      <c r="UFB116" s="199"/>
      <c r="UFC116" s="198"/>
      <c r="UFD116" s="199"/>
      <c r="UFE116" s="198"/>
      <c r="UFF116" s="199"/>
      <c r="UFG116" s="198"/>
      <c r="UFH116" s="199"/>
      <c r="UFI116" s="198"/>
      <c r="UFJ116" s="199"/>
      <c r="UFK116" s="198"/>
      <c r="UFL116" s="199"/>
      <c r="UFM116" s="198"/>
      <c r="UFN116" s="199"/>
      <c r="UFO116" s="198"/>
      <c r="UFP116" s="199"/>
      <c r="UFQ116" s="198"/>
      <c r="UFR116" s="199"/>
      <c r="UFS116" s="198"/>
      <c r="UFT116" s="199"/>
      <c r="UFU116" s="198"/>
      <c r="UFV116" s="199"/>
      <c r="UFW116" s="198"/>
      <c r="UFX116" s="199"/>
      <c r="UFY116" s="198"/>
      <c r="UFZ116" s="199"/>
      <c r="UGA116" s="198"/>
      <c r="UGB116" s="199"/>
      <c r="UGC116" s="198"/>
      <c r="UGD116" s="199"/>
      <c r="UGE116" s="198"/>
      <c r="UGF116" s="199"/>
      <c r="UGG116" s="198"/>
      <c r="UGH116" s="199"/>
      <c r="UGI116" s="198"/>
      <c r="UGJ116" s="199"/>
      <c r="UGK116" s="198"/>
      <c r="UGL116" s="199"/>
      <c r="UGM116" s="198"/>
      <c r="UGN116" s="199"/>
      <c r="UGO116" s="198"/>
      <c r="UGP116" s="199"/>
      <c r="UGQ116" s="198"/>
      <c r="UGR116" s="199"/>
      <c r="UGS116" s="198"/>
      <c r="UGT116" s="199"/>
      <c r="UGU116" s="198"/>
      <c r="UGV116" s="199"/>
      <c r="UGW116" s="198"/>
      <c r="UGX116" s="199"/>
      <c r="UGY116" s="198"/>
      <c r="UGZ116" s="199"/>
      <c r="UHA116" s="198"/>
      <c r="UHB116" s="199"/>
      <c r="UHC116" s="198"/>
      <c r="UHD116" s="199"/>
      <c r="UHE116" s="198"/>
      <c r="UHF116" s="199"/>
      <c r="UHG116" s="198"/>
      <c r="UHH116" s="199"/>
      <c r="UHI116" s="198"/>
      <c r="UHJ116" s="199"/>
      <c r="UHK116" s="198"/>
      <c r="UHL116" s="199"/>
      <c r="UHM116" s="198"/>
      <c r="UHN116" s="199"/>
      <c r="UHO116" s="198"/>
      <c r="UHP116" s="199"/>
      <c r="UHQ116" s="198"/>
      <c r="UHR116" s="199"/>
      <c r="UHS116" s="198"/>
      <c r="UHT116" s="199"/>
      <c r="UHU116" s="198"/>
      <c r="UHV116" s="199"/>
      <c r="UHW116" s="198"/>
      <c r="UHX116" s="199"/>
      <c r="UHY116" s="198"/>
      <c r="UHZ116" s="199"/>
      <c r="UIA116" s="198"/>
      <c r="UIB116" s="199"/>
      <c r="UIC116" s="198"/>
      <c r="UID116" s="199"/>
      <c r="UIE116" s="198"/>
      <c r="UIF116" s="199"/>
      <c r="UIG116" s="198"/>
      <c r="UIH116" s="199"/>
      <c r="UII116" s="198"/>
      <c r="UIJ116" s="199"/>
      <c r="UIK116" s="198"/>
      <c r="UIL116" s="199"/>
      <c r="UIM116" s="198"/>
      <c r="UIN116" s="199"/>
      <c r="UIO116" s="198"/>
      <c r="UIP116" s="199"/>
      <c r="UIQ116" s="198"/>
      <c r="UIR116" s="199"/>
      <c r="UIS116" s="198"/>
      <c r="UIT116" s="199"/>
      <c r="UIU116" s="198"/>
      <c r="UIV116" s="199"/>
      <c r="UIW116" s="198"/>
      <c r="UIX116" s="199"/>
      <c r="UIY116" s="198"/>
      <c r="UIZ116" s="199"/>
      <c r="UJA116" s="198"/>
      <c r="UJB116" s="199"/>
      <c r="UJC116" s="198"/>
      <c r="UJD116" s="199"/>
      <c r="UJE116" s="198"/>
      <c r="UJF116" s="199"/>
      <c r="UJG116" s="198"/>
      <c r="UJH116" s="199"/>
      <c r="UJI116" s="198"/>
      <c r="UJJ116" s="199"/>
      <c r="UJK116" s="198"/>
      <c r="UJL116" s="199"/>
      <c r="UJM116" s="198"/>
      <c r="UJN116" s="199"/>
      <c r="UJO116" s="198"/>
      <c r="UJP116" s="199"/>
      <c r="UJQ116" s="198"/>
      <c r="UJR116" s="199"/>
      <c r="UJS116" s="198"/>
      <c r="UJT116" s="199"/>
      <c r="UJU116" s="198"/>
      <c r="UJV116" s="199"/>
      <c r="UJW116" s="198"/>
      <c r="UJX116" s="199"/>
      <c r="UJY116" s="198"/>
      <c r="UJZ116" s="199"/>
      <c r="UKA116" s="198"/>
      <c r="UKB116" s="199"/>
      <c r="UKC116" s="198"/>
      <c r="UKD116" s="199"/>
      <c r="UKE116" s="198"/>
      <c r="UKF116" s="199"/>
      <c r="UKG116" s="198"/>
      <c r="UKH116" s="199"/>
      <c r="UKI116" s="198"/>
      <c r="UKJ116" s="199"/>
      <c r="UKK116" s="198"/>
      <c r="UKL116" s="199"/>
      <c r="UKM116" s="198"/>
      <c r="UKN116" s="199"/>
      <c r="UKO116" s="198"/>
      <c r="UKP116" s="199"/>
      <c r="UKQ116" s="198"/>
      <c r="UKR116" s="199"/>
      <c r="UKS116" s="198"/>
      <c r="UKT116" s="199"/>
      <c r="UKU116" s="198"/>
      <c r="UKV116" s="199"/>
      <c r="UKW116" s="198"/>
      <c r="UKX116" s="199"/>
      <c r="UKY116" s="198"/>
      <c r="UKZ116" s="199"/>
      <c r="ULA116" s="198"/>
      <c r="ULB116" s="199"/>
      <c r="ULC116" s="198"/>
      <c r="ULD116" s="199"/>
      <c r="ULE116" s="198"/>
      <c r="ULF116" s="199"/>
      <c r="ULG116" s="198"/>
      <c r="ULH116" s="199"/>
      <c r="ULI116" s="198"/>
      <c r="ULJ116" s="199"/>
      <c r="ULK116" s="198"/>
      <c r="ULL116" s="199"/>
      <c r="ULM116" s="198"/>
      <c r="ULN116" s="199"/>
      <c r="ULO116" s="198"/>
      <c r="ULP116" s="199"/>
      <c r="ULQ116" s="198"/>
      <c r="ULR116" s="199"/>
      <c r="ULS116" s="198"/>
      <c r="ULT116" s="199"/>
      <c r="ULU116" s="198"/>
      <c r="ULV116" s="199"/>
      <c r="ULW116" s="198"/>
      <c r="ULX116" s="199"/>
      <c r="ULY116" s="198"/>
      <c r="ULZ116" s="199"/>
      <c r="UMA116" s="198"/>
      <c r="UMB116" s="199"/>
      <c r="UMC116" s="198"/>
      <c r="UMD116" s="199"/>
      <c r="UME116" s="198"/>
      <c r="UMF116" s="199"/>
      <c r="UMG116" s="198"/>
      <c r="UMH116" s="199"/>
      <c r="UMI116" s="198"/>
      <c r="UMJ116" s="199"/>
      <c r="UMK116" s="198"/>
      <c r="UML116" s="199"/>
      <c r="UMM116" s="198"/>
      <c r="UMN116" s="199"/>
      <c r="UMO116" s="198"/>
      <c r="UMP116" s="199"/>
      <c r="UMQ116" s="198"/>
      <c r="UMR116" s="199"/>
      <c r="UMS116" s="198"/>
      <c r="UMT116" s="199"/>
      <c r="UMU116" s="198"/>
      <c r="UMV116" s="199"/>
      <c r="UMW116" s="198"/>
      <c r="UMX116" s="199"/>
      <c r="UMY116" s="198"/>
      <c r="UMZ116" s="199"/>
      <c r="UNA116" s="198"/>
      <c r="UNB116" s="199"/>
      <c r="UNC116" s="198"/>
      <c r="UND116" s="199"/>
      <c r="UNE116" s="198"/>
      <c r="UNF116" s="199"/>
      <c r="UNG116" s="198"/>
      <c r="UNH116" s="199"/>
      <c r="UNI116" s="198"/>
      <c r="UNJ116" s="199"/>
      <c r="UNK116" s="198"/>
      <c r="UNL116" s="199"/>
      <c r="UNM116" s="198"/>
      <c r="UNN116" s="199"/>
      <c r="UNO116" s="198"/>
      <c r="UNP116" s="199"/>
      <c r="UNQ116" s="198"/>
      <c r="UNR116" s="199"/>
      <c r="UNS116" s="198"/>
      <c r="UNT116" s="199"/>
      <c r="UNU116" s="198"/>
      <c r="UNV116" s="199"/>
      <c r="UNW116" s="198"/>
      <c r="UNX116" s="199"/>
      <c r="UNY116" s="198"/>
      <c r="UNZ116" s="199"/>
      <c r="UOA116" s="198"/>
      <c r="UOB116" s="199"/>
      <c r="UOC116" s="198"/>
      <c r="UOD116" s="199"/>
      <c r="UOE116" s="198"/>
      <c r="UOF116" s="199"/>
      <c r="UOG116" s="198"/>
      <c r="UOH116" s="199"/>
      <c r="UOI116" s="198"/>
      <c r="UOJ116" s="199"/>
      <c r="UOK116" s="198"/>
      <c r="UOL116" s="199"/>
      <c r="UOM116" s="198"/>
      <c r="UON116" s="199"/>
      <c r="UOO116" s="198"/>
      <c r="UOP116" s="199"/>
      <c r="UOQ116" s="198"/>
      <c r="UOR116" s="199"/>
      <c r="UOS116" s="198"/>
      <c r="UOT116" s="199"/>
      <c r="UOU116" s="198"/>
      <c r="UOV116" s="199"/>
      <c r="UOW116" s="198"/>
      <c r="UOX116" s="199"/>
      <c r="UOY116" s="198"/>
      <c r="UOZ116" s="199"/>
      <c r="UPA116" s="198"/>
      <c r="UPB116" s="199"/>
      <c r="UPC116" s="198"/>
      <c r="UPD116" s="199"/>
      <c r="UPE116" s="198"/>
      <c r="UPF116" s="199"/>
      <c r="UPG116" s="198"/>
      <c r="UPH116" s="199"/>
      <c r="UPI116" s="198"/>
      <c r="UPJ116" s="199"/>
      <c r="UPK116" s="198"/>
      <c r="UPL116" s="199"/>
      <c r="UPM116" s="198"/>
      <c r="UPN116" s="199"/>
      <c r="UPO116" s="198"/>
      <c r="UPP116" s="199"/>
      <c r="UPQ116" s="198"/>
      <c r="UPR116" s="199"/>
      <c r="UPS116" s="198"/>
      <c r="UPT116" s="199"/>
      <c r="UPU116" s="198"/>
      <c r="UPV116" s="199"/>
      <c r="UPW116" s="198"/>
      <c r="UPX116" s="199"/>
      <c r="UPY116" s="198"/>
      <c r="UPZ116" s="199"/>
      <c r="UQA116" s="198"/>
      <c r="UQB116" s="199"/>
      <c r="UQC116" s="198"/>
      <c r="UQD116" s="199"/>
      <c r="UQE116" s="198"/>
      <c r="UQF116" s="199"/>
      <c r="UQG116" s="198"/>
      <c r="UQH116" s="199"/>
      <c r="UQI116" s="198"/>
      <c r="UQJ116" s="199"/>
      <c r="UQK116" s="198"/>
      <c r="UQL116" s="199"/>
      <c r="UQM116" s="198"/>
      <c r="UQN116" s="199"/>
      <c r="UQO116" s="198"/>
      <c r="UQP116" s="199"/>
      <c r="UQQ116" s="198"/>
      <c r="UQR116" s="199"/>
      <c r="UQS116" s="198"/>
      <c r="UQT116" s="199"/>
      <c r="UQU116" s="198"/>
      <c r="UQV116" s="199"/>
      <c r="UQW116" s="198"/>
      <c r="UQX116" s="199"/>
      <c r="UQY116" s="198"/>
      <c r="UQZ116" s="199"/>
      <c r="URA116" s="198"/>
      <c r="URB116" s="199"/>
      <c r="URC116" s="198"/>
      <c r="URD116" s="199"/>
      <c r="URE116" s="198"/>
      <c r="URF116" s="199"/>
      <c r="URG116" s="198"/>
      <c r="URH116" s="199"/>
      <c r="URI116" s="198"/>
      <c r="URJ116" s="199"/>
      <c r="URK116" s="198"/>
      <c r="URL116" s="199"/>
      <c r="URM116" s="198"/>
      <c r="URN116" s="199"/>
      <c r="URO116" s="198"/>
      <c r="URP116" s="199"/>
      <c r="URQ116" s="198"/>
      <c r="URR116" s="199"/>
      <c r="URS116" s="198"/>
      <c r="URT116" s="199"/>
      <c r="URU116" s="198"/>
      <c r="URV116" s="199"/>
      <c r="URW116" s="198"/>
      <c r="URX116" s="199"/>
      <c r="URY116" s="198"/>
      <c r="URZ116" s="199"/>
      <c r="USA116" s="198"/>
      <c r="USB116" s="199"/>
      <c r="USC116" s="198"/>
      <c r="USD116" s="199"/>
      <c r="USE116" s="198"/>
      <c r="USF116" s="199"/>
      <c r="USG116" s="198"/>
      <c r="USH116" s="199"/>
      <c r="USI116" s="198"/>
      <c r="USJ116" s="199"/>
      <c r="USK116" s="198"/>
      <c r="USL116" s="199"/>
      <c r="USM116" s="198"/>
      <c r="USN116" s="199"/>
      <c r="USO116" s="198"/>
      <c r="USP116" s="199"/>
      <c r="USQ116" s="198"/>
      <c r="USR116" s="199"/>
      <c r="USS116" s="198"/>
      <c r="UST116" s="199"/>
      <c r="USU116" s="198"/>
      <c r="USV116" s="199"/>
      <c r="USW116" s="198"/>
      <c r="USX116" s="199"/>
      <c r="USY116" s="198"/>
      <c r="USZ116" s="199"/>
      <c r="UTA116" s="198"/>
      <c r="UTB116" s="199"/>
      <c r="UTC116" s="198"/>
      <c r="UTD116" s="199"/>
      <c r="UTE116" s="198"/>
      <c r="UTF116" s="199"/>
      <c r="UTG116" s="198"/>
      <c r="UTH116" s="199"/>
      <c r="UTI116" s="198"/>
      <c r="UTJ116" s="199"/>
      <c r="UTK116" s="198"/>
      <c r="UTL116" s="199"/>
      <c r="UTM116" s="198"/>
      <c r="UTN116" s="199"/>
      <c r="UTO116" s="198"/>
      <c r="UTP116" s="199"/>
      <c r="UTQ116" s="198"/>
      <c r="UTR116" s="199"/>
      <c r="UTS116" s="198"/>
      <c r="UTT116" s="199"/>
      <c r="UTU116" s="198"/>
      <c r="UTV116" s="199"/>
      <c r="UTW116" s="198"/>
      <c r="UTX116" s="199"/>
      <c r="UTY116" s="198"/>
      <c r="UTZ116" s="199"/>
      <c r="UUA116" s="198"/>
      <c r="UUB116" s="199"/>
      <c r="UUC116" s="198"/>
      <c r="UUD116" s="199"/>
      <c r="UUE116" s="198"/>
      <c r="UUF116" s="199"/>
      <c r="UUG116" s="198"/>
      <c r="UUH116" s="199"/>
      <c r="UUI116" s="198"/>
      <c r="UUJ116" s="199"/>
      <c r="UUK116" s="198"/>
      <c r="UUL116" s="199"/>
      <c r="UUM116" s="198"/>
      <c r="UUN116" s="199"/>
      <c r="UUO116" s="198"/>
      <c r="UUP116" s="199"/>
      <c r="UUQ116" s="198"/>
      <c r="UUR116" s="199"/>
      <c r="UUS116" s="198"/>
      <c r="UUT116" s="199"/>
      <c r="UUU116" s="198"/>
      <c r="UUV116" s="199"/>
      <c r="UUW116" s="198"/>
      <c r="UUX116" s="199"/>
      <c r="UUY116" s="198"/>
      <c r="UUZ116" s="199"/>
      <c r="UVA116" s="198"/>
      <c r="UVB116" s="199"/>
      <c r="UVC116" s="198"/>
      <c r="UVD116" s="199"/>
      <c r="UVE116" s="198"/>
      <c r="UVF116" s="199"/>
      <c r="UVG116" s="198"/>
      <c r="UVH116" s="199"/>
      <c r="UVI116" s="198"/>
      <c r="UVJ116" s="199"/>
      <c r="UVK116" s="198"/>
      <c r="UVL116" s="199"/>
      <c r="UVM116" s="198"/>
      <c r="UVN116" s="199"/>
      <c r="UVO116" s="198"/>
      <c r="UVP116" s="199"/>
      <c r="UVQ116" s="198"/>
      <c r="UVR116" s="199"/>
      <c r="UVS116" s="198"/>
      <c r="UVT116" s="199"/>
      <c r="UVU116" s="198"/>
      <c r="UVV116" s="199"/>
      <c r="UVW116" s="198"/>
      <c r="UVX116" s="199"/>
      <c r="UVY116" s="198"/>
      <c r="UVZ116" s="199"/>
      <c r="UWA116" s="198"/>
      <c r="UWB116" s="199"/>
      <c r="UWC116" s="198"/>
      <c r="UWD116" s="199"/>
      <c r="UWE116" s="198"/>
      <c r="UWF116" s="199"/>
      <c r="UWG116" s="198"/>
      <c r="UWH116" s="199"/>
      <c r="UWI116" s="198"/>
      <c r="UWJ116" s="199"/>
      <c r="UWK116" s="198"/>
      <c r="UWL116" s="199"/>
      <c r="UWM116" s="198"/>
      <c r="UWN116" s="199"/>
      <c r="UWO116" s="198"/>
      <c r="UWP116" s="199"/>
      <c r="UWQ116" s="198"/>
      <c r="UWR116" s="199"/>
      <c r="UWS116" s="198"/>
      <c r="UWT116" s="199"/>
      <c r="UWU116" s="198"/>
      <c r="UWV116" s="199"/>
      <c r="UWW116" s="198"/>
      <c r="UWX116" s="199"/>
      <c r="UWY116" s="198"/>
      <c r="UWZ116" s="199"/>
      <c r="UXA116" s="198"/>
      <c r="UXB116" s="199"/>
      <c r="UXC116" s="198"/>
      <c r="UXD116" s="199"/>
      <c r="UXE116" s="198"/>
      <c r="UXF116" s="199"/>
      <c r="UXG116" s="198"/>
      <c r="UXH116" s="199"/>
      <c r="UXI116" s="198"/>
      <c r="UXJ116" s="199"/>
      <c r="UXK116" s="198"/>
      <c r="UXL116" s="199"/>
      <c r="UXM116" s="198"/>
      <c r="UXN116" s="199"/>
      <c r="UXO116" s="198"/>
      <c r="UXP116" s="199"/>
      <c r="UXQ116" s="198"/>
      <c r="UXR116" s="199"/>
      <c r="UXS116" s="198"/>
      <c r="UXT116" s="199"/>
      <c r="UXU116" s="198"/>
      <c r="UXV116" s="199"/>
      <c r="UXW116" s="198"/>
      <c r="UXX116" s="199"/>
      <c r="UXY116" s="198"/>
      <c r="UXZ116" s="199"/>
      <c r="UYA116" s="198"/>
      <c r="UYB116" s="199"/>
      <c r="UYC116" s="198"/>
      <c r="UYD116" s="199"/>
      <c r="UYE116" s="198"/>
      <c r="UYF116" s="199"/>
      <c r="UYG116" s="198"/>
      <c r="UYH116" s="199"/>
      <c r="UYI116" s="198"/>
      <c r="UYJ116" s="199"/>
      <c r="UYK116" s="198"/>
      <c r="UYL116" s="199"/>
      <c r="UYM116" s="198"/>
      <c r="UYN116" s="199"/>
      <c r="UYO116" s="198"/>
      <c r="UYP116" s="199"/>
      <c r="UYQ116" s="198"/>
      <c r="UYR116" s="199"/>
      <c r="UYS116" s="198"/>
      <c r="UYT116" s="199"/>
      <c r="UYU116" s="198"/>
      <c r="UYV116" s="199"/>
      <c r="UYW116" s="198"/>
      <c r="UYX116" s="199"/>
      <c r="UYY116" s="198"/>
      <c r="UYZ116" s="199"/>
      <c r="UZA116" s="198"/>
      <c r="UZB116" s="199"/>
      <c r="UZC116" s="198"/>
      <c r="UZD116" s="199"/>
      <c r="UZE116" s="198"/>
      <c r="UZF116" s="199"/>
      <c r="UZG116" s="198"/>
      <c r="UZH116" s="199"/>
      <c r="UZI116" s="198"/>
      <c r="UZJ116" s="199"/>
      <c r="UZK116" s="198"/>
      <c r="UZL116" s="199"/>
      <c r="UZM116" s="198"/>
      <c r="UZN116" s="199"/>
      <c r="UZO116" s="198"/>
      <c r="UZP116" s="199"/>
      <c r="UZQ116" s="198"/>
      <c r="UZR116" s="199"/>
      <c r="UZS116" s="198"/>
      <c r="UZT116" s="199"/>
      <c r="UZU116" s="198"/>
      <c r="UZV116" s="199"/>
      <c r="UZW116" s="198"/>
      <c r="UZX116" s="199"/>
      <c r="UZY116" s="198"/>
      <c r="UZZ116" s="199"/>
      <c r="VAA116" s="198"/>
      <c r="VAB116" s="199"/>
      <c r="VAC116" s="198"/>
      <c r="VAD116" s="199"/>
      <c r="VAE116" s="198"/>
      <c r="VAF116" s="199"/>
      <c r="VAG116" s="198"/>
      <c r="VAH116" s="199"/>
      <c r="VAI116" s="198"/>
      <c r="VAJ116" s="199"/>
      <c r="VAK116" s="198"/>
      <c r="VAL116" s="199"/>
      <c r="VAM116" s="198"/>
      <c r="VAN116" s="199"/>
      <c r="VAO116" s="198"/>
      <c r="VAP116" s="199"/>
      <c r="VAQ116" s="198"/>
      <c r="VAR116" s="199"/>
      <c r="VAS116" s="198"/>
      <c r="VAT116" s="199"/>
      <c r="VAU116" s="198"/>
      <c r="VAV116" s="199"/>
      <c r="VAW116" s="198"/>
      <c r="VAX116" s="199"/>
      <c r="VAY116" s="198"/>
      <c r="VAZ116" s="199"/>
      <c r="VBA116" s="198"/>
      <c r="VBB116" s="199"/>
      <c r="VBC116" s="198"/>
      <c r="VBD116" s="199"/>
      <c r="VBE116" s="198"/>
      <c r="VBF116" s="199"/>
      <c r="VBG116" s="198"/>
      <c r="VBH116" s="199"/>
      <c r="VBI116" s="198"/>
      <c r="VBJ116" s="199"/>
      <c r="VBK116" s="198"/>
      <c r="VBL116" s="199"/>
      <c r="VBM116" s="198"/>
      <c r="VBN116" s="199"/>
      <c r="VBO116" s="198"/>
      <c r="VBP116" s="199"/>
      <c r="VBQ116" s="198"/>
      <c r="VBR116" s="199"/>
      <c r="VBS116" s="198"/>
      <c r="VBT116" s="199"/>
      <c r="VBU116" s="198"/>
      <c r="VBV116" s="199"/>
      <c r="VBW116" s="198"/>
      <c r="VBX116" s="199"/>
      <c r="VBY116" s="198"/>
      <c r="VBZ116" s="199"/>
      <c r="VCA116" s="198"/>
      <c r="VCB116" s="199"/>
      <c r="VCC116" s="198"/>
      <c r="VCD116" s="199"/>
      <c r="VCE116" s="198"/>
      <c r="VCF116" s="199"/>
      <c r="VCG116" s="198"/>
      <c r="VCH116" s="199"/>
      <c r="VCI116" s="198"/>
      <c r="VCJ116" s="199"/>
      <c r="VCK116" s="198"/>
      <c r="VCL116" s="199"/>
      <c r="VCM116" s="198"/>
      <c r="VCN116" s="199"/>
      <c r="VCO116" s="198"/>
      <c r="VCP116" s="199"/>
      <c r="VCQ116" s="198"/>
      <c r="VCR116" s="199"/>
      <c r="VCS116" s="198"/>
      <c r="VCT116" s="199"/>
      <c r="VCU116" s="198"/>
      <c r="VCV116" s="199"/>
      <c r="VCW116" s="198"/>
      <c r="VCX116" s="199"/>
      <c r="VCY116" s="198"/>
      <c r="VCZ116" s="199"/>
      <c r="VDA116" s="198"/>
      <c r="VDB116" s="199"/>
      <c r="VDC116" s="198"/>
      <c r="VDD116" s="199"/>
      <c r="VDE116" s="198"/>
      <c r="VDF116" s="199"/>
      <c r="VDG116" s="198"/>
      <c r="VDH116" s="199"/>
      <c r="VDI116" s="198"/>
      <c r="VDJ116" s="199"/>
      <c r="VDK116" s="198"/>
      <c r="VDL116" s="199"/>
      <c r="VDM116" s="198"/>
      <c r="VDN116" s="199"/>
      <c r="VDO116" s="198"/>
      <c r="VDP116" s="199"/>
      <c r="VDQ116" s="198"/>
      <c r="VDR116" s="199"/>
      <c r="VDS116" s="198"/>
      <c r="VDT116" s="199"/>
      <c r="VDU116" s="198"/>
      <c r="VDV116" s="199"/>
      <c r="VDW116" s="198"/>
      <c r="VDX116" s="199"/>
      <c r="VDY116" s="198"/>
      <c r="VDZ116" s="199"/>
      <c r="VEA116" s="198"/>
      <c r="VEB116" s="199"/>
      <c r="VEC116" s="198"/>
      <c r="VED116" s="199"/>
      <c r="VEE116" s="198"/>
      <c r="VEF116" s="199"/>
      <c r="VEG116" s="198"/>
      <c r="VEH116" s="199"/>
      <c r="VEI116" s="198"/>
      <c r="VEJ116" s="199"/>
      <c r="VEK116" s="198"/>
      <c r="VEL116" s="199"/>
      <c r="VEM116" s="198"/>
      <c r="VEN116" s="199"/>
      <c r="VEO116" s="198"/>
      <c r="VEP116" s="199"/>
      <c r="VEQ116" s="198"/>
      <c r="VER116" s="199"/>
      <c r="VES116" s="198"/>
      <c r="VET116" s="199"/>
      <c r="VEU116" s="198"/>
      <c r="VEV116" s="199"/>
      <c r="VEW116" s="198"/>
      <c r="VEX116" s="199"/>
      <c r="VEY116" s="198"/>
      <c r="VEZ116" s="199"/>
      <c r="VFA116" s="198"/>
      <c r="VFB116" s="199"/>
      <c r="VFC116" s="198"/>
      <c r="VFD116" s="199"/>
      <c r="VFE116" s="198"/>
      <c r="VFF116" s="199"/>
      <c r="VFG116" s="198"/>
      <c r="VFH116" s="199"/>
      <c r="VFI116" s="198"/>
      <c r="VFJ116" s="199"/>
      <c r="VFK116" s="198"/>
      <c r="VFL116" s="199"/>
      <c r="VFM116" s="198"/>
      <c r="VFN116" s="199"/>
      <c r="VFO116" s="198"/>
      <c r="VFP116" s="199"/>
      <c r="VFQ116" s="198"/>
      <c r="VFR116" s="199"/>
      <c r="VFS116" s="198"/>
      <c r="VFT116" s="199"/>
      <c r="VFU116" s="198"/>
      <c r="VFV116" s="199"/>
      <c r="VFW116" s="198"/>
      <c r="VFX116" s="199"/>
      <c r="VFY116" s="198"/>
      <c r="VFZ116" s="199"/>
      <c r="VGA116" s="198"/>
      <c r="VGB116" s="199"/>
      <c r="VGC116" s="198"/>
      <c r="VGD116" s="199"/>
      <c r="VGE116" s="198"/>
      <c r="VGF116" s="199"/>
      <c r="VGG116" s="198"/>
      <c r="VGH116" s="199"/>
      <c r="VGI116" s="198"/>
      <c r="VGJ116" s="199"/>
      <c r="VGK116" s="198"/>
      <c r="VGL116" s="199"/>
      <c r="VGM116" s="198"/>
      <c r="VGN116" s="199"/>
      <c r="VGO116" s="198"/>
      <c r="VGP116" s="199"/>
      <c r="VGQ116" s="198"/>
      <c r="VGR116" s="199"/>
      <c r="VGS116" s="198"/>
      <c r="VGT116" s="199"/>
      <c r="VGU116" s="198"/>
      <c r="VGV116" s="199"/>
      <c r="VGW116" s="198"/>
      <c r="VGX116" s="199"/>
      <c r="VGY116" s="198"/>
      <c r="VGZ116" s="199"/>
      <c r="VHA116" s="198"/>
      <c r="VHB116" s="199"/>
      <c r="VHC116" s="198"/>
      <c r="VHD116" s="199"/>
      <c r="VHE116" s="198"/>
      <c r="VHF116" s="199"/>
      <c r="VHG116" s="198"/>
      <c r="VHH116" s="199"/>
      <c r="VHI116" s="198"/>
      <c r="VHJ116" s="199"/>
      <c r="VHK116" s="198"/>
      <c r="VHL116" s="199"/>
      <c r="VHM116" s="198"/>
      <c r="VHN116" s="199"/>
      <c r="VHO116" s="198"/>
      <c r="VHP116" s="199"/>
      <c r="VHQ116" s="198"/>
      <c r="VHR116" s="199"/>
      <c r="VHS116" s="198"/>
      <c r="VHT116" s="199"/>
      <c r="VHU116" s="198"/>
      <c r="VHV116" s="199"/>
      <c r="VHW116" s="198"/>
      <c r="VHX116" s="199"/>
      <c r="VHY116" s="198"/>
      <c r="VHZ116" s="199"/>
      <c r="VIA116" s="198"/>
      <c r="VIB116" s="199"/>
      <c r="VIC116" s="198"/>
      <c r="VID116" s="199"/>
      <c r="VIE116" s="198"/>
      <c r="VIF116" s="199"/>
      <c r="VIG116" s="198"/>
      <c r="VIH116" s="199"/>
      <c r="VII116" s="198"/>
      <c r="VIJ116" s="199"/>
      <c r="VIK116" s="198"/>
      <c r="VIL116" s="199"/>
      <c r="VIM116" s="198"/>
      <c r="VIN116" s="199"/>
      <c r="VIO116" s="198"/>
      <c r="VIP116" s="199"/>
      <c r="VIQ116" s="198"/>
      <c r="VIR116" s="199"/>
      <c r="VIS116" s="198"/>
      <c r="VIT116" s="199"/>
      <c r="VIU116" s="198"/>
      <c r="VIV116" s="199"/>
      <c r="VIW116" s="198"/>
      <c r="VIX116" s="199"/>
      <c r="VIY116" s="198"/>
      <c r="VIZ116" s="199"/>
      <c r="VJA116" s="198"/>
      <c r="VJB116" s="199"/>
      <c r="VJC116" s="198"/>
      <c r="VJD116" s="199"/>
      <c r="VJE116" s="198"/>
      <c r="VJF116" s="199"/>
      <c r="VJG116" s="198"/>
      <c r="VJH116" s="199"/>
      <c r="VJI116" s="198"/>
      <c r="VJJ116" s="199"/>
      <c r="VJK116" s="198"/>
      <c r="VJL116" s="199"/>
      <c r="VJM116" s="198"/>
      <c r="VJN116" s="199"/>
      <c r="VJO116" s="198"/>
      <c r="VJP116" s="199"/>
      <c r="VJQ116" s="198"/>
      <c r="VJR116" s="199"/>
      <c r="VJS116" s="198"/>
      <c r="VJT116" s="199"/>
      <c r="VJU116" s="198"/>
      <c r="VJV116" s="199"/>
      <c r="VJW116" s="198"/>
      <c r="VJX116" s="199"/>
      <c r="VJY116" s="198"/>
      <c r="VJZ116" s="199"/>
      <c r="VKA116" s="198"/>
      <c r="VKB116" s="199"/>
      <c r="VKC116" s="198"/>
      <c r="VKD116" s="199"/>
      <c r="VKE116" s="198"/>
      <c r="VKF116" s="199"/>
      <c r="VKG116" s="198"/>
      <c r="VKH116" s="199"/>
      <c r="VKI116" s="198"/>
      <c r="VKJ116" s="199"/>
      <c r="VKK116" s="198"/>
      <c r="VKL116" s="199"/>
      <c r="VKM116" s="198"/>
      <c r="VKN116" s="199"/>
      <c r="VKO116" s="198"/>
      <c r="VKP116" s="199"/>
      <c r="VKQ116" s="198"/>
      <c r="VKR116" s="199"/>
      <c r="VKS116" s="198"/>
      <c r="VKT116" s="199"/>
      <c r="VKU116" s="198"/>
      <c r="VKV116" s="199"/>
      <c r="VKW116" s="198"/>
      <c r="VKX116" s="199"/>
      <c r="VKY116" s="198"/>
      <c r="VKZ116" s="199"/>
      <c r="VLA116" s="198"/>
      <c r="VLB116" s="199"/>
      <c r="VLC116" s="198"/>
      <c r="VLD116" s="199"/>
      <c r="VLE116" s="198"/>
      <c r="VLF116" s="199"/>
      <c r="VLG116" s="198"/>
      <c r="VLH116" s="199"/>
      <c r="VLI116" s="198"/>
      <c r="VLJ116" s="199"/>
      <c r="VLK116" s="198"/>
      <c r="VLL116" s="199"/>
      <c r="VLM116" s="198"/>
      <c r="VLN116" s="199"/>
      <c r="VLO116" s="198"/>
      <c r="VLP116" s="199"/>
      <c r="VLQ116" s="198"/>
      <c r="VLR116" s="199"/>
      <c r="VLS116" s="198"/>
      <c r="VLT116" s="199"/>
      <c r="VLU116" s="198"/>
      <c r="VLV116" s="199"/>
      <c r="VLW116" s="198"/>
      <c r="VLX116" s="199"/>
      <c r="VLY116" s="198"/>
      <c r="VLZ116" s="199"/>
      <c r="VMA116" s="198"/>
      <c r="VMB116" s="199"/>
      <c r="VMC116" s="198"/>
      <c r="VMD116" s="199"/>
      <c r="VME116" s="198"/>
      <c r="VMF116" s="199"/>
      <c r="VMG116" s="198"/>
      <c r="VMH116" s="199"/>
      <c r="VMI116" s="198"/>
      <c r="VMJ116" s="199"/>
      <c r="VMK116" s="198"/>
      <c r="VML116" s="199"/>
      <c r="VMM116" s="198"/>
      <c r="VMN116" s="199"/>
      <c r="VMO116" s="198"/>
      <c r="VMP116" s="199"/>
      <c r="VMQ116" s="198"/>
      <c r="VMR116" s="199"/>
      <c r="VMS116" s="198"/>
      <c r="VMT116" s="199"/>
      <c r="VMU116" s="198"/>
      <c r="VMV116" s="199"/>
      <c r="VMW116" s="198"/>
      <c r="VMX116" s="199"/>
      <c r="VMY116" s="198"/>
      <c r="VMZ116" s="199"/>
      <c r="VNA116" s="198"/>
      <c r="VNB116" s="199"/>
      <c r="VNC116" s="198"/>
      <c r="VND116" s="199"/>
      <c r="VNE116" s="198"/>
      <c r="VNF116" s="199"/>
      <c r="VNG116" s="198"/>
      <c r="VNH116" s="199"/>
      <c r="VNI116" s="198"/>
      <c r="VNJ116" s="199"/>
      <c r="VNK116" s="198"/>
      <c r="VNL116" s="199"/>
      <c r="VNM116" s="198"/>
      <c r="VNN116" s="199"/>
      <c r="VNO116" s="198"/>
      <c r="VNP116" s="199"/>
      <c r="VNQ116" s="198"/>
      <c r="VNR116" s="199"/>
      <c r="VNS116" s="198"/>
      <c r="VNT116" s="199"/>
      <c r="VNU116" s="198"/>
      <c r="VNV116" s="199"/>
      <c r="VNW116" s="198"/>
      <c r="VNX116" s="199"/>
      <c r="VNY116" s="198"/>
      <c r="VNZ116" s="199"/>
      <c r="VOA116" s="198"/>
      <c r="VOB116" s="199"/>
      <c r="VOC116" s="198"/>
      <c r="VOD116" s="199"/>
      <c r="VOE116" s="198"/>
      <c r="VOF116" s="199"/>
      <c r="VOG116" s="198"/>
      <c r="VOH116" s="199"/>
      <c r="VOI116" s="198"/>
      <c r="VOJ116" s="199"/>
      <c r="VOK116" s="198"/>
      <c r="VOL116" s="199"/>
      <c r="VOM116" s="198"/>
      <c r="VON116" s="199"/>
      <c r="VOO116" s="198"/>
      <c r="VOP116" s="199"/>
      <c r="VOQ116" s="198"/>
      <c r="VOR116" s="199"/>
      <c r="VOS116" s="198"/>
      <c r="VOT116" s="199"/>
      <c r="VOU116" s="198"/>
      <c r="VOV116" s="199"/>
      <c r="VOW116" s="198"/>
      <c r="VOX116" s="199"/>
      <c r="VOY116" s="198"/>
      <c r="VOZ116" s="199"/>
      <c r="VPA116" s="198"/>
      <c r="VPB116" s="199"/>
      <c r="VPC116" s="198"/>
      <c r="VPD116" s="199"/>
      <c r="VPE116" s="198"/>
      <c r="VPF116" s="199"/>
      <c r="VPG116" s="198"/>
      <c r="VPH116" s="199"/>
      <c r="VPI116" s="198"/>
      <c r="VPJ116" s="199"/>
      <c r="VPK116" s="198"/>
      <c r="VPL116" s="199"/>
      <c r="VPM116" s="198"/>
      <c r="VPN116" s="199"/>
      <c r="VPO116" s="198"/>
      <c r="VPP116" s="199"/>
      <c r="VPQ116" s="198"/>
      <c r="VPR116" s="199"/>
      <c r="VPS116" s="198"/>
      <c r="VPT116" s="199"/>
      <c r="VPU116" s="198"/>
      <c r="VPV116" s="199"/>
      <c r="VPW116" s="198"/>
      <c r="VPX116" s="199"/>
      <c r="VPY116" s="198"/>
      <c r="VPZ116" s="199"/>
      <c r="VQA116" s="198"/>
      <c r="VQB116" s="199"/>
      <c r="VQC116" s="198"/>
      <c r="VQD116" s="199"/>
      <c r="VQE116" s="198"/>
      <c r="VQF116" s="199"/>
      <c r="VQG116" s="198"/>
      <c r="VQH116" s="199"/>
      <c r="VQI116" s="198"/>
      <c r="VQJ116" s="199"/>
      <c r="VQK116" s="198"/>
      <c r="VQL116" s="199"/>
      <c r="VQM116" s="198"/>
      <c r="VQN116" s="199"/>
      <c r="VQO116" s="198"/>
      <c r="VQP116" s="199"/>
      <c r="VQQ116" s="198"/>
      <c r="VQR116" s="199"/>
      <c r="VQS116" s="198"/>
      <c r="VQT116" s="199"/>
      <c r="VQU116" s="198"/>
      <c r="VQV116" s="199"/>
      <c r="VQW116" s="198"/>
      <c r="VQX116" s="199"/>
      <c r="VQY116" s="198"/>
      <c r="VQZ116" s="199"/>
      <c r="VRA116" s="198"/>
      <c r="VRB116" s="199"/>
      <c r="VRC116" s="198"/>
      <c r="VRD116" s="199"/>
      <c r="VRE116" s="198"/>
      <c r="VRF116" s="199"/>
      <c r="VRG116" s="198"/>
      <c r="VRH116" s="199"/>
      <c r="VRI116" s="198"/>
      <c r="VRJ116" s="199"/>
      <c r="VRK116" s="198"/>
      <c r="VRL116" s="199"/>
      <c r="VRM116" s="198"/>
      <c r="VRN116" s="199"/>
      <c r="VRO116" s="198"/>
      <c r="VRP116" s="199"/>
      <c r="VRQ116" s="198"/>
      <c r="VRR116" s="199"/>
      <c r="VRS116" s="198"/>
      <c r="VRT116" s="199"/>
      <c r="VRU116" s="198"/>
      <c r="VRV116" s="199"/>
      <c r="VRW116" s="198"/>
      <c r="VRX116" s="199"/>
      <c r="VRY116" s="198"/>
      <c r="VRZ116" s="199"/>
      <c r="VSA116" s="198"/>
      <c r="VSB116" s="199"/>
      <c r="VSC116" s="198"/>
      <c r="VSD116" s="199"/>
      <c r="VSE116" s="198"/>
      <c r="VSF116" s="199"/>
      <c r="VSG116" s="198"/>
      <c r="VSH116" s="199"/>
      <c r="VSI116" s="198"/>
      <c r="VSJ116" s="199"/>
      <c r="VSK116" s="198"/>
      <c r="VSL116" s="199"/>
      <c r="VSM116" s="198"/>
      <c r="VSN116" s="199"/>
      <c r="VSO116" s="198"/>
      <c r="VSP116" s="199"/>
      <c r="VSQ116" s="198"/>
      <c r="VSR116" s="199"/>
      <c r="VSS116" s="198"/>
      <c r="VST116" s="199"/>
      <c r="VSU116" s="198"/>
      <c r="VSV116" s="199"/>
      <c r="VSW116" s="198"/>
      <c r="VSX116" s="199"/>
      <c r="VSY116" s="198"/>
      <c r="VSZ116" s="199"/>
      <c r="VTA116" s="198"/>
      <c r="VTB116" s="199"/>
      <c r="VTC116" s="198"/>
      <c r="VTD116" s="199"/>
      <c r="VTE116" s="198"/>
      <c r="VTF116" s="199"/>
      <c r="VTG116" s="198"/>
      <c r="VTH116" s="199"/>
      <c r="VTI116" s="198"/>
      <c r="VTJ116" s="199"/>
      <c r="VTK116" s="198"/>
      <c r="VTL116" s="199"/>
      <c r="VTM116" s="198"/>
      <c r="VTN116" s="199"/>
      <c r="VTO116" s="198"/>
      <c r="VTP116" s="199"/>
      <c r="VTQ116" s="198"/>
      <c r="VTR116" s="199"/>
      <c r="VTS116" s="198"/>
      <c r="VTT116" s="199"/>
      <c r="VTU116" s="198"/>
      <c r="VTV116" s="199"/>
      <c r="VTW116" s="198"/>
      <c r="VTX116" s="199"/>
      <c r="VTY116" s="198"/>
      <c r="VTZ116" s="199"/>
      <c r="VUA116" s="198"/>
      <c r="VUB116" s="199"/>
      <c r="VUC116" s="198"/>
      <c r="VUD116" s="199"/>
      <c r="VUE116" s="198"/>
      <c r="VUF116" s="199"/>
      <c r="VUG116" s="198"/>
      <c r="VUH116" s="199"/>
      <c r="VUI116" s="198"/>
      <c r="VUJ116" s="199"/>
      <c r="VUK116" s="198"/>
      <c r="VUL116" s="199"/>
      <c r="VUM116" s="198"/>
      <c r="VUN116" s="199"/>
      <c r="VUO116" s="198"/>
      <c r="VUP116" s="199"/>
      <c r="VUQ116" s="198"/>
      <c r="VUR116" s="199"/>
      <c r="VUS116" s="198"/>
      <c r="VUT116" s="199"/>
      <c r="VUU116" s="198"/>
      <c r="VUV116" s="199"/>
      <c r="VUW116" s="198"/>
      <c r="VUX116" s="199"/>
      <c r="VUY116" s="198"/>
      <c r="VUZ116" s="199"/>
      <c r="VVA116" s="198"/>
      <c r="VVB116" s="199"/>
      <c r="VVC116" s="198"/>
      <c r="VVD116" s="199"/>
      <c r="VVE116" s="198"/>
      <c r="VVF116" s="199"/>
      <c r="VVG116" s="198"/>
      <c r="VVH116" s="199"/>
      <c r="VVI116" s="198"/>
      <c r="VVJ116" s="199"/>
      <c r="VVK116" s="198"/>
      <c r="VVL116" s="199"/>
      <c r="VVM116" s="198"/>
      <c r="VVN116" s="199"/>
      <c r="VVO116" s="198"/>
      <c r="VVP116" s="199"/>
      <c r="VVQ116" s="198"/>
      <c r="VVR116" s="199"/>
      <c r="VVS116" s="198"/>
      <c r="VVT116" s="199"/>
      <c r="VVU116" s="198"/>
      <c r="VVV116" s="199"/>
      <c r="VVW116" s="198"/>
      <c r="VVX116" s="199"/>
      <c r="VVY116" s="198"/>
      <c r="VVZ116" s="199"/>
      <c r="VWA116" s="198"/>
      <c r="VWB116" s="199"/>
      <c r="VWC116" s="198"/>
      <c r="VWD116" s="199"/>
      <c r="VWE116" s="198"/>
      <c r="VWF116" s="199"/>
      <c r="VWG116" s="198"/>
      <c r="VWH116" s="199"/>
      <c r="VWI116" s="198"/>
      <c r="VWJ116" s="199"/>
      <c r="VWK116" s="198"/>
      <c r="VWL116" s="199"/>
      <c r="VWM116" s="198"/>
      <c r="VWN116" s="199"/>
      <c r="VWO116" s="198"/>
      <c r="VWP116" s="199"/>
      <c r="VWQ116" s="198"/>
      <c r="VWR116" s="199"/>
      <c r="VWS116" s="198"/>
      <c r="VWT116" s="199"/>
      <c r="VWU116" s="198"/>
      <c r="VWV116" s="199"/>
      <c r="VWW116" s="198"/>
      <c r="VWX116" s="199"/>
      <c r="VWY116" s="198"/>
      <c r="VWZ116" s="199"/>
      <c r="VXA116" s="198"/>
      <c r="VXB116" s="199"/>
      <c r="VXC116" s="198"/>
      <c r="VXD116" s="199"/>
      <c r="VXE116" s="198"/>
      <c r="VXF116" s="199"/>
      <c r="VXG116" s="198"/>
      <c r="VXH116" s="199"/>
      <c r="VXI116" s="198"/>
      <c r="VXJ116" s="199"/>
      <c r="VXK116" s="198"/>
      <c r="VXL116" s="199"/>
      <c r="VXM116" s="198"/>
      <c r="VXN116" s="199"/>
      <c r="VXO116" s="198"/>
      <c r="VXP116" s="199"/>
      <c r="VXQ116" s="198"/>
      <c r="VXR116" s="199"/>
      <c r="VXS116" s="198"/>
      <c r="VXT116" s="199"/>
      <c r="VXU116" s="198"/>
      <c r="VXV116" s="199"/>
      <c r="VXW116" s="198"/>
      <c r="VXX116" s="199"/>
      <c r="VXY116" s="198"/>
      <c r="VXZ116" s="199"/>
      <c r="VYA116" s="198"/>
      <c r="VYB116" s="199"/>
      <c r="VYC116" s="198"/>
      <c r="VYD116" s="199"/>
      <c r="VYE116" s="198"/>
      <c r="VYF116" s="199"/>
      <c r="VYG116" s="198"/>
      <c r="VYH116" s="199"/>
      <c r="VYI116" s="198"/>
      <c r="VYJ116" s="199"/>
      <c r="VYK116" s="198"/>
      <c r="VYL116" s="199"/>
      <c r="VYM116" s="198"/>
      <c r="VYN116" s="199"/>
      <c r="VYO116" s="198"/>
      <c r="VYP116" s="199"/>
      <c r="VYQ116" s="198"/>
      <c r="VYR116" s="199"/>
      <c r="VYS116" s="198"/>
      <c r="VYT116" s="199"/>
      <c r="VYU116" s="198"/>
      <c r="VYV116" s="199"/>
      <c r="VYW116" s="198"/>
      <c r="VYX116" s="199"/>
      <c r="VYY116" s="198"/>
      <c r="VYZ116" s="199"/>
      <c r="VZA116" s="198"/>
      <c r="VZB116" s="199"/>
      <c r="VZC116" s="198"/>
      <c r="VZD116" s="199"/>
      <c r="VZE116" s="198"/>
      <c r="VZF116" s="199"/>
      <c r="VZG116" s="198"/>
      <c r="VZH116" s="199"/>
      <c r="VZI116" s="198"/>
      <c r="VZJ116" s="199"/>
      <c r="VZK116" s="198"/>
      <c r="VZL116" s="199"/>
      <c r="VZM116" s="198"/>
      <c r="VZN116" s="199"/>
      <c r="VZO116" s="198"/>
      <c r="VZP116" s="199"/>
      <c r="VZQ116" s="198"/>
      <c r="VZR116" s="199"/>
      <c r="VZS116" s="198"/>
      <c r="VZT116" s="199"/>
      <c r="VZU116" s="198"/>
      <c r="VZV116" s="199"/>
      <c r="VZW116" s="198"/>
      <c r="VZX116" s="199"/>
      <c r="VZY116" s="198"/>
      <c r="VZZ116" s="199"/>
      <c r="WAA116" s="198"/>
      <c r="WAB116" s="199"/>
      <c r="WAC116" s="198"/>
      <c r="WAD116" s="199"/>
      <c r="WAE116" s="198"/>
      <c r="WAF116" s="199"/>
      <c r="WAG116" s="198"/>
      <c r="WAH116" s="199"/>
      <c r="WAI116" s="198"/>
      <c r="WAJ116" s="199"/>
      <c r="WAK116" s="198"/>
      <c r="WAL116" s="199"/>
      <c r="WAM116" s="198"/>
      <c r="WAN116" s="199"/>
      <c r="WAO116" s="198"/>
      <c r="WAP116" s="199"/>
      <c r="WAQ116" s="198"/>
      <c r="WAR116" s="199"/>
      <c r="WAS116" s="198"/>
      <c r="WAT116" s="199"/>
      <c r="WAU116" s="198"/>
      <c r="WAV116" s="199"/>
      <c r="WAW116" s="198"/>
      <c r="WAX116" s="199"/>
      <c r="WAY116" s="198"/>
      <c r="WAZ116" s="199"/>
      <c r="WBA116" s="198"/>
      <c r="WBB116" s="199"/>
      <c r="WBC116" s="198"/>
      <c r="WBD116" s="199"/>
      <c r="WBE116" s="198"/>
      <c r="WBF116" s="199"/>
      <c r="WBG116" s="198"/>
      <c r="WBH116" s="199"/>
      <c r="WBI116" s="198"/>
      <c r="WBJ116" s="199"/>
      <c r="WBK116" s="198"/>
      <c r="WBL116" s="199"/>
      <c r="WBM116" s="198"/>
      <c r="WBN116" s="199"/>
      <c r="WBO116" s="198"/>
      <c r="WBP116" s="199"/>
      <c r="WBQ116" s="198"/>
      <c r="WBR116" s="199"/>
      <c r="WBS116" s="198"/>
      <c r="WBT116" s="199"/>
      <c r="WBU116" s="198"/>
      <c r="WBV116" s="199"/>
      <c r="WBW116" s="198"/>
      <c r="WBX116" s="199"/>
      <c r="WBY116" s="198"/>
      <c r="WBZ116" s="199"/>
      <c r="WCA116" s="198"/>
      <c r="WCB116" s="199"/>
      <c r="WCC116" s="198"/>
      <c r="WCD116" s="199"/>
      <c r="WCE116" s="198"/>
      <c r="WCF116" s="199"/>
      <c r="WCG116" s="198"/>
      <c r="WCH116" s="199"/>
      <c r="WCI116" s="198"/>
      <c r="WCJ116" s="199"/>
      <c r="WCK116" s="198"/>
      <c r="WCL116" s="199"/>
      <c r="WCM116" s="198"/>
      <c r="WCN116" s="199"/>
      <c r="WCO116" s="198"/>
      <c r="WCP116" s="199"/>
      <c r="WCQ116" s="198"/>
      <c r="WCR116" s="199"/>
      <c r="WCS116" s="198"/>
      <c r="WCT116" s="199"/>
      <c r="WCU116" s="198"/>
      <c r="WCV116" s="199"/>
      <c r="WCW116" s="198"/>
      <c r="WCX116" s="199"/>
      <c r="WCY116" s="198"/>
      <c r="WCZ116" s="199"/>
      <c r="WDA116" s="198"/>
      <c r="WDB116" s="199"/>
      <c r="WDC116" s="198"/>
      <c r="WDD116" s="199"/>
      <c r="WDE116" s="198"/>
      <c r="WDF116" s="199"/>
      <c r="WDG116" s="198"/>
      <c r="WDH116" s="199"/>
      <c r="WDI116" s="198"/>
      <c r="WDJ116" s="199"/>
      <c r="WDK116" s="198"/>
      <c r="WDL116" s="199"/>
      <c r="WDM116" s="198"/>
      <c r="WDN116" s="199"/>
      <c r="WDO116" s="198"/>
      <c r="WDP116" s="199"/>
      <c r="WDQ116" s="198"/>
      <c r="WDR116" s="199"/>
      <c r="WDS116" s="198"/>
      <c r="WDT116" s="199"/>
      <c r="WDU116" s="198"/>
      <c r="WDV116" s="199"/>
      <c r="WDW116" s="198"/>
      <c r="WDX116" s="199"/>
      <c r="WDY116" s="198"/>
      <c r="WDZ116" s="199"/>
      <c r="WEA116" s="198"/>
      <c r="WEB116" s="199"/>
      <c r="WEC116" s="198"/>
      <c r="WED116" s="199"/>
      <c r="WEE116" s="198"/>
      <c r="WEF116" s="199"/>
      <c r="WEG116" s="198"/>
      <c r="WEH116" s="199"/>
      <c r="WEI116" s="198"/>
      <c r="WEJ116" s="199"/>
      <c r="WEK116" s="198"/>
      <c r="WEL116" s="199"/>
      <c r="WEM116" s="198"/>
      <c r="WEN116" s="199"/>
      <c r="WEO116" s="198"/>
      <c r="WEP116" s="199"/>
      <c r="WEQ116" s="198"/>
      <c r="WER116" s="199"/>
      <c r="WES116" s="198"/>
      <c r="WET116" s="199"/>
      <c r="WEU116" s="198"/>
      <c r="WEV116" s="199"/>
      <c r="WEW116" s="198"/>
      <c r="WEX116" s="199"/>
      <c r="WEY116" s="198"/>
      <c r="WEZ116" s="199"/>
      <c r="WFA116" s="198"/>
      <c r="WFB116" s="199"/>
      <c r="WFC116" s="198"/>
      <c r="WFD116" s="199"/>
      <c r="WFE116" s="198"/>
      <c r="WFF116" s="199"/>
      <c r="WFG116" s="198"/>
      <c r="WFH116" s="199"/>
      <c r="WFI116" s="198"/>
      <c r="WFJ116" s="199"/>
      <c r="WFK116" s="198"/>
      <c r="WFL116" s="199"/>
      <c r="WFM116" s="198"/>
      <c r="WFN116" s="199"/>
      <c r="WFO116" s="198"/>
      <c r="WFP116" s="199"/>
      <c r="WFQ116" s="198"/>
      <c r="WFR116" s="199"/>
      <c r="WFS116" s="198"/>
      <c r="WFT116" s="199"/>
      <c r="WFU116" s="198"/>
      <c r="WFV116" s="199"/>
      <c r="WFW116" s="198"/>
      <c r="WFX116" s="199"/>
      <c r="WFY116" s="198"/>
      <c r="WFZ116" s="199"/>
      <c r="WGA116" s="198"/>
      <c r="WGB116" s="199"/>
      <c r="WGC116" s="198"/>
      <c r="WGD116" s="199"/>
      <c r="WGE116" s="198"/>
      <c r="WGF116" s="199"/>
      <c r="WGG116" s="198"/>
      <c r="WGH116" s="199"/>
      <c r="WGI116" s="198"/>
      <c r="WGJ116" s="199"/>
      <c r="WGK116" s="198"/>
      <c r="WGL116" s="199"/>
      <c r="WGM116" s="198"/>
      <c r="WGN116" s="199"/>
      <c r="WGO116" s="198"/>
      <c r="WGP116" s="199"/>
      <c r="WGQ116" s="198"/>
      <c r="WGR116" s="199"/>
      <c r="WGS116" s="198"/>
      <c r="WGT116" s="199"/>
      <c r="WGU116" s="198"/>
      <c r="WGV116" s="199"/>
      <c r="WGW116" s="198"/>
      <c r="WGX116" s="199"/>
      <c r="WGY116" s="198"/>
      <c r="WGZ116" s="199"/>
      <c r="WHA116" s="198"/>
      <c r="WHB116" s="199"/>
      <c r="WHC116" s="198"/>
      <c r="WHD116" s="199"/>
      <c r="WHE116" s="198"/>
      <c r="WHF116" s="199"/>
      <c r="WHG116" s="198"/>
      <c r="WHH116" s="199"/>
      <c r="WHI116" s="198"/>
      <c r="WHJ116" s="199"/>
      <c r="WHK116" s="198"/>
      <c r="WHL116" s="199"/>
      <c r="WHM116" s="198"/>
      <c r="WHN116" s="199"/>
      <c r="WHO116" s="198"/>
      <c r="WHP116" s="199"/>
      <c r="WHQ116" s="198"/>
      <c r="WHR116" s="199"/>
      <c r="WHS116" s="198"/>
      <c r="WHT116" s="199"/>
      <c r="WHU116" s="198"/>
      <c r="WHV116" s="199"/>
      <c r="WHW116" s="198"/>
      <c r="WHX116" s="199"/>
      <c r="WHY116" s="198"/>
      <c r="WHZ116" s="199"/>
      <c r="WIA116" s="198"/>
      <c r="WIB116" s="199"/>
      <c r="WIC116" s="198"/>
      <c r="WID116" s="199"/>
      <c r="WIE116" s="198"/>
      <c r="WIF116" s="199"/>
      <c r="WIG116" s="198"/>
      <c r="WIH116" s="199"/>
      <c r="WII116" s="198"/>
      <c r="WIJ116" s="199"/>
      <c r="WIK116" s="198"/>
      <c r="WIL116" s="199"/>
      <c r="WIM116" s="198"/>
      <c r="WIN116" s="199"/>
      <c r="WIO116" s="198"/>
      <c r="WIP116" s="199"/>
      <c r="WIQ116" s="198"/>
      <c r="WIR116" s="199"/>
      <c r="WIS116" s="198"/>
      <c r="WIT116" s="199"/>
      <c r="WIU116" s="198"/>
      <c r="WIV116" s="199"/>
      <c r="WIW116" s="198"/>
      <c r="WIX116" s="199"/>
      <c r="WIY116" s="198"/>
      <c r="WIZ116" s="199"/>
      <c r="WJA116" s="198"/>
      <c r="WJB116" s="199"/>
      <c r="WJC116" s="198"/>
      <c r="WJD116" s="199"/>
      <c r="WJE116" s="198"/>
      <c r="WJF116" s="199"/>
      <c r="WJG116" s="198"/>
      <c r="WJH116" s="199"/>
      <c r="WJI116" s="198"/>
      <c r="WJJ116" s="199"/>
      <c r="WJK116" s="198"/>
      <c r="WJL116" s="199"/>
      <c r="WJM116" s="198"/>
      <c r="WJN116" s="199"/>
      <c r="WJO116" s="198"/>
      <c r="WJP116" s="199"/>
      <c r="WJQ116" s="198"/>
      <c r="WJR116" s="199"/>
      <c r="WJS116" s="198"/>
      <c r="WJT116" s="199"/>
      <c r="WJU116" s="198"/>
      <c r="WJV116" s="199"/>
      <c r="WJW116" s="198"/>
      <c r="WJX116" s="199"/>
      <c r="WJY116" s="198"/>
      <c r="WJZ116" s="199"/>
      <c r="WKA116" s="198"/>
      <c r="WKB116" s="199"/>
      <c r="WKC116" s="198"/>
      <c r="WKD116" s="199"/>
      <c r="WKE116" s="198"/>
      <c r="WKF116" s="199"/>
      <c r="WKG116" s="198"/>
      <c r="WKH116" s="199"/>
      <c r="WKI116" s="198"/>
      <c r="WKJ116" s="199"/>
      <c r="WKK116" s="198"/>
      <c r="WKL116" s="199"/>
      <c r="WKM116" s="198"/>
      <c r="WKN116" s="199"/>
      <c r="WKO116" s="198"/>
      <c r="WKP116" s="199"/>
      <c r="WKQ116" s="198"/>
      <c r="WKR116" s="199"/>
      <c r="WKS116" s="198"/>
      <c r="WKT116" s="199"/>
      <c r="WKU116" s="198"/>
      <c r="WKV116" s="199"/>
      <c r="WKW116" s="198"/>
      <c r="WKX116" s="199"/>
      <c r="WKY116" s="198"/>
      <c r="WKZ116" s="199"/>
      <c r="WLA116" s="198"/>
      <c r="WLB116" s="199"/>
      <c r="WLC116" s="198"/>
      <c r="WLD116" s="199"/>
      <c r="WLE116" s="198"/>
      <c r="WLF116" s="199"/>
      <c r="WLG116" s="198"/>
      <c r="WLH116" s="199"/>
      <c r="WLI116" s="198"/>
      <c r="WLJ116" s="199"/>
      <c r="WLK116" s="198"/>
      <c r="WLL116" s="199"/>
      <c r="WLM116" s="198"/>
      <c r="WLN116" s="199"/>
      <c r="WLO116" s="198"/>
      <c r="WLP116" s="199"/>
      <c r="WLQ116" s="198"/>
      <c r="WLR116" s="199"/>
      <c r="WLS116" s="198"/>
      <c r="WLT116" s="199"/>
      <c r="WLU116" s="198"/>
      <c r="WLV116" s="199"/>
      <c r="WLW116" s="198"/>
      <c r="WLX116" s="199"/>
      <c r="WLY116" s="198"/>
      <c r="WLZ116" s="199"/>
      <c r="WMA116" s="198"/>
      <c r="WMB116" s="199"/>
      <c r="WMC116" s="198"/>
      <c r="WMD116" s="199"/>
      <c r="WME116" s="198"/>
      <c r="WMF116" s="199"/>
      <c r="WMG116" s="198"/>
      <c r="WMH116" s="199"/>
      <c r="WMI116" s="198"/>
      <c r="WMJ116" s="199"/>
      <c r="WMK116" s="198"/>
      <c r="WML116" s="199"/>
      <c r="WMM116" s="198"/>
      <c r="WMN116" s="199"/>
      <c r="WMO116" s="198"/>
      <c r="WMP116" s="199"/>
      <c r="WMQ116" s="198"/>
      <c r="WMR116" s="199"/>
      <c r="WMS116" s="198"/>
      <c r="WMT116" s="199"/>
      <c r="WMU116" s="198"/>
      <c r="WMV116" s="199"/>
      <c r="WMW116" s="198"/>
      <c r="WMX116" s="199"/>
      <c r="WMY116" s="198"/>
      <c r="WMZ116" s="199"/>
      <c r="WNA116" s="198"/>
      <c r="WNB116" s="199"/>
      <c r="WNC116" s="198"/>
      <c r="WND116" s="199"/>
      <c r="WNE116" s="198"/>
      <c r="WNF116" s="199"/>
      <c r="WNG116" s="198"/>
      <c r="WNH116" s="199"/>
      <c r="WNI116" s="198"/>
      <c r="WNJ116" s="199"/>
      <c r="WNK116" s="198"/>
      <c r="WNL116" s="199"/>
      <c r="WNM116" s="198"/>
      <c r="WNN116" s="199"/>
      <c r="WNO116" s="198"/>
      <c r="WNP116" s="199"/>
      <c r="WNQ116" s="198"/>
      <c r="WNR116" s="199"/>
      <c r="WNS116" s="198"/>
      <c r="WNT116" s="199"/>
      <c r="WNU116" s="198"/>
      <c r="WNV116" s="199"/>
      <c r="WNW116" s="198"/>
      <c r="WNX116" s="199"/>
      <c r="WNY116" s="198"/>
      <c r="WNZ116" s="199"/>
      <c r="WOA116" s="198"/>
      <c r="WOB116" s="199"/>
      <c r="WOC116" s="198"/>
      <c r="WOD116" s="199"/>
      <c r="WOE116" s="198"/>
      <c r="WOF116" s="199"/>
      <c r="WOG116" s="198"/>
      <c r="WOH116" s="199"/>
      <c r="WOI116" s="198"/>
      <c r="WOJ116" s="199"/>
      <c r="WOK116" s="198"/>
      <c r="WOL116" s="199"/>
      <c r="WOM116" s="198"/>
      <c r="WON116" s="199"/>
      <c r="WOO116" s="198"/>
      <c r="WOP116" s="199"/>
      <c r="WOQ116" s="198"/>
      <c r="WOR116" s="199"/>
      <c r="WOS116" s="198"/>
      <c r="WOT116" s="199"/>
      <c r="WOU116" s="198"/>
      <c r="WOV116" s="199"/>
      <c r="WOW116" s="198"/>
      <c r="WOX116" s="199"/>
      <c r="WOY116" s="198"/>
      <c r="WOZ116" s="199"/>
      <c r="WPA116" s="198"/>
      <c r="WPB116" s="199"/>
      <c r="WPC116" s="198"/>
      <c r="WPD116" s="199"/>
      <c r="WPE116" s="198"/>
      <c r="WPF116" s="199"/>
      <c r="WPG116" s="198"/>
      <c r="WPH116" s="199"/>
      <c r="WPI116" s="198"/>
      <c r="WPJ116" s="199"/>
      <c r="WPK116" s="198"/>
      <c r="WPL116" s="199"/>
      <c r="WPM116" s="198"/>
      <c r="WPN116" s="199"/>
      <c r="WPO116" s="198"/>
      <c r="WPP116" s="199"/>
      <c r="WPQ116" s="198"/>
      <c r="WPR116" s="199"/>
      <c r="WPS116" s="198"/>
      <c r="WPT116" s="199"/>
      <c r="WPU116" s="198"/>
      <c r="WPV116" s="199"/>
      <c r="WPW116" s="198"/>
      <c r="WPX116" s="199"/>
      <c r="WPY116" s="198"/>
      <c r="WPZ116" s="199"/>
      <c r="WQA116" s="198"/>
      <c r="WQB116" s="199"/>
      <c r="WQC116" s="198"/>
      <c r="WQD116" s="199"/>
      <c r="WQE116" s="198"/>
      <c r="WQF116" s="199"/>
      <c r="WQG116" s="198"/>
      <c r="WQH116" s="199"/>
      <c r="WQI116" s="198"/>
      <c r="WQJ116" s="199"/>
      <c r="WQK116" s="198"/>
      <c r="WQL116" s="199"/>
      <c r="WQM116" s="198"/>
      <c r="WQN116" s="199"/>
      <c r="WQO116" s="198"/>
      <c r="WQP116" s="199"/>
      <c r="WQQ116" s="198"/>
      <c r="WQR116" s="199"/>
      <c r="WQS116" s="198"/>
      <c r="WQT116" s="199"/>
      <c r="WQU116" s="198"/>
      <c r="WQV116" s="199"/>
      <c r="WQW116" s="198"/>
      <c r="WQX116" s="199"/>
      <c r="WQY116" s="198"/>
      <c r="WQZ116" s="199"/>
      <c r="WRA116" s="198"/>
      <c r="WRB116" s="199"/>
      <c r="WRC116" s="198"/>
      <c r="WRD116" s="199"/>
      <c r="WRE116" s="198"/>
      <c r="WRF116" s="199"/>
      <c r="WRG116" s="198"/>
      <c r="WRH116" s="199"/>
      <c r="WRI116" s="198"/>
      <c r="WRJ116" s="199"/>
      <c r="WRK116" s="198"/>
      <c r="WRL116" s="199"/>
      <c r="WRM116" s="198"/>
      <c r="WRN116" s="199"/>
      <c r="WRO116" s="198"/>
      <c r="WRP116" s="199"/>
      <c r="WRQ116" s="198"/>
      <c r="WRR116" s="199"/>
      <c r="WRS116" s="198"/>
      <c r="WRT116" s="199"/>
      <c r="WRU116" s="198"/>
      <c r="WRV116" s="199"/>
      <c r="WRW116" s="198"/>
      <c r="WRX116" s="199"/>
      <c r="WRY116" s="198"/>
      <c r="WRZ116" s="199"/>
      <c r="WSA116" s="198"/>
      <c r="WSB116" s="199"/>
      <c r="WSC116" s="198"/>
      <c r="WSD116" s="199"/>
      <c r="WSE116" s="198"/>
      <c r="WSF116" s="199"/>
      <c r="WSG116" s="198"/>
      <c r="WSH116" s="199"/>
      <c r="WSI116" s="198"/>
      <c r="WSJ116" s="199"/>
      <c r="WSK116" s="198"/>
      <c r="WSL116" s="199"/>
      <c r="WSM116" s="198"/>
      <c r="WSN116" s="199"/>
      <c r="WSO116" s="198"/>
      <c r="WSP116" s="199"/>
      <c r="WSQ116" s="198"/>
      <c r="WSR116" s="199"/>
      <c r="WSS116" s="198"/>
      <c r="WST116" s="199"/>
      <c r="WSU116" s="198"/>
      <c r="WSV116" s="199"/>
      <c r="WSW116" s="198"/>
      <c r="WSX116" s="199"/>
      <c r="WSY116" s="198"/>
      <c r="WSZ116" s="199"/>
      <c r="WTA116" s="198"/>
      <c r="WTB116" s="199"/>
      <c r="WTC116" s="198"/>
      <c r="WTD116" s="199"/>
      <c r="WTE116" s="198"/>
      <c r="WTF116" s="199"/>
      <c r="WTG116" s="198"/>
      <c r="WTH116" s="199"/>
      <c r="WTI116" s="198"/>
      <c r="WTJ116" s="199"/>
      <c r="WTK116" s="198"/>
      <c r="WTL116" s="199"/>
      <c r="WTM116" s="198"/>
      <c r="WTN116" s="199"/>
      <c r="WTO116" s="198"/>
      <c r="WTP116" s="199"/>
      <c r="WTQ116" s="198"/>
      <c r="WTR116" s="199"/>
      <c r="WTS116" s="198"/>
      <c r="WTT116" s="199"/>
      <c r="WTU116" s="198"/>
      <c r="WTV116" s="199"/>
      <c r="WTW116" s="198"/>
      <c r="WTX116" s="199"/>
      <c r="WTY116" s="198"/>
      <c r="WTZ116" s="199"/>
      <c r="WUA116" s="198"/>
      <c r="WUB116" s="199"/>
      <c r="WUC116" s="198"/>
      <c r="WUD116" s="199"/>
      <c r="WUE116" s="198"/>
      <c r="WUF116" s="199"/>
      <c r="WUG116" s="198"/>
      <c r="WUH116" s="199"/>
      <c r="WUI116" s="198"/>
      <c r="WUJ116" s="199"/>
      <c r="WUK116" s="198"/>
      <c r="WUL116" s="199"/>
      <c r="WUM116" s="198"/>
      <c r="WUN116" s="199"/>
      <c r="WUO116" s="198"/>
      <c r="WUP116" s="199"/>
      <c r="WUQ116" s="198"/>
      <c r="WUR116" s="199"/>
      <c r="WUS116" s="198"/>
      <c r="WUT116" s="199"/>
      <c r="WUU116" s="198"/>
      <c r="WUV116" s="199"/>
      <c r="WUW116" s="198"/>
      <c r="WUX116" s="199"/>
      <c r="WUY116" s="198"/>
      <c r="WUZ116" s="199"/>
      <c r="WVA116" s="198"/>
      <c r="WVB116" s="199"/>
      <c r="WVC116" s="198"/>
      <c r="WVD116" s="199"/>
      <c r="WVE116" s="198"/>
      <c r="WVF116" s="199"/>
      <c r="WVG116" s="198"/>
      <c r="WVH116" s="199"/>
      <c r="WVI116" s="198"/>
      <c r="WVJ116" s="199"/>
      <c r="WVK116" s="198"/>
      <c r="WVL116" s="199"/>
      <c r="WVM116" s="198"/>
      <c r="WVN116" s="199"/>
      <c r="WVO116" s="198"/>
      <c r="WVP116" s="199"/>
      <c r="WVQ116" s="198"/>
      <c r="WVR116" s="199"/>
      <c r="WVS116" s="198"/>
      <c r="WVT116" s="199"/>
      <c r="WVU116" s="198"/>
      <c r="WVV116" s="199"/>
      <c r="WVW116" s="198"/>
      <c r="WVX116" s="199"/>
      <c r="WVY116" s="198"/>
      <c r="WVZ116" s="199"/>
      <c r="WWA116" s="198"/>
      <c r="WWB116" s="199"/>
      <c r="WWC116" s="198"/>
      <c r="WWD116" s="199"/>
      <c r="WWE116" s="198"/>
      <c r="WWF116" s="199"/>
      <c r="WWG116" s="198"/>
      <c r="WWH116" s="199"/>
      <c r="WWI116" s="198"/>
      <c r="WWJ116" s="199"/>
      <c r="WWK116" s="198"/>
      <c r="WWL116" s="199"/>
      <c r="WWM116" s="198"/>
      <c r="WWN116" s="199"/>
      <c r="WWO116" s="198"/>
      <c r="WWP116" s="199"/>
      <c r="WWQ116" s="198"/>
      <c r="WWR116" s="199"/>
      <c r="WWS116" s="198"/>
      <c r="WWT116" s="199"/>
      <c r="WWU116" s="198"/>
      <c r="WWV116" s="199"/>
      <c r="WWW116" s="198"/>
      <c r="WWX116" s="199"/>
      <c r="WWY116" s="198"/>
      <c r="WWZ116" s="199"/>
      <c r="WXA116" s="198"/>
      <c r="WXB116" s="199"/>
      <c r="WXC116" s="198"/>
      <c r="WXD116" s="199"/>
      <c r="WXE116" s="198"/>
      <c r="WXF116" s="199"/>
      <c r="WXG116" s="198"/>
      <c r="WXH116" s="199"/>
      <c r="WXI116" s="198"/>
      <c r="WXJ116" s="199"/>
      <c r="WXK116" s="198"/>
      <c r="WXL116" s="199"/>
      <c r="WXM116" s="198"/>
      <c r="WXN116" s="199"/>
      <c r="WXO116" s="198"/>
      <c r="WXP116" s="199"/>
      <c r="WXQ116" s="198"/>
      <c r="WXR116" s="199"/>
      <c r="WXS116" s="198"/>
      <c r="WXT116" s="199"/>
      <c r="WXU116" s="198"/>
      <c r="WXV116" s="199"/>
      <c r="WXW116" s="198"/>
      <c r="WXX116" s="199"/>
      <c r="WXY116" s="198"/>
      <c r="WXZ116" s="199"/>
      <c r="WYA116" s="198"/>
      <c r="WYB116" s="199"/>
      <c r="WYC116" s="198"/>
      <c r="WYD116" s="199"/>
      <c r="WYE116" s="198"/>
      <c r="WYF116" s="199"/>
      <c r="WYG116" s="198"/>
      <c r="WYH116" s="199"/>
      <c r="WYI116" s="198"/>
      <c r="WYJ116" s="199"/>
      <c r="WYK116" s="198"/>
      <c r="WYL116" s="199"/>
      <c r="WYM116" s="198"/>
      <c r="WYN116" s="199"/>
      <c r="WYO116" s="198"/>
      <c r="WYP116" s="199"/>
      <c r="WYQ116" s="198"/>
      <c r="WYR116" s="199"/>
      <c r="WYS116" s="198"/>
      <c r="WYT116" s="199"/>
      <c r="WYU116" s="198"/>
      <c r="WYV116" s="199"/>
      <c r="WYW116" s="198"/>
      <c r="WYX116" s="199"/>
      <c r="WYY116" s="198"/>
      <c r="WYZ116" s="199"/>
      <c r="WZA116" s="198"/>
      <c r="WZB116" s="199"/>
      <c r="WZC116" s="198"/>
      <c r="WZD116" s="199"/>
      <c r="WZE116" s="198"/>
      <c r="WZF116" s="199"/>
      <c r="WZG116" s="198"/>
      <c r="WZH116" s="199"/>
      <c r="WZI116" s="198"/>
      <c r="WZJ116" s="199"/>
      <c r="WZK116" s="198"/>
      <c r="WZL116" s="199"/>
      <c r="WZM116" s="198"/>
      <c r="WZN116" s="199"/>
      <c r="WZO116" s="198"/>
      <c r="WZP116" s="199"/>
      <c r="WZQ116" s="198"/>
      <c r="WZR116" s="199"/>
      <c r="WZS116" s="198"/>
      <c r="WZT116" s="199"/>
      <c r="WZU116" s="198"/>
      <c r="WZV116" s="199"/>
      <c r="WZW116" s="198"/>
      <c r="WZX116" s="199"/>
      <c r="WZY116" s="198"/>
      <c r="WZZ116" s="199"/>
      <c r="XAA116" s="198"/>
      <c r="XAB116" s="199"/>
      <c r="XAC116" s="198"/>
      <c r="XAD116" s="199"/>
      <c r="XAE116" s="198"/>
      <c r="XAF116" s="199"/>
      <c r="XAG116" s="198"/>
      <c r="XAH116" s="199"/>
      <c r="XAI116" s="198"/>
      <c r="XAJ116" s="199"/>
      <c r="XAK116" s="198"/>
      <c r="XAL116" s="199"/>
      <c r="XAM116" s="198"/>
      <c r="XAN116" s="199"/>
      <c r="XAO116" s="198"/>
      <c r="XAP116" s="199"/>
      <c r="XAQ116" s="198"/>
      <c r="XAR116" s="199"/>
      <c r="XAS116" s="198"/>
      <c r="XAT116" s="199"/>
      <c r="XAU116" s="198"/>
      <c r="XAV116" s="199"/>
      <c r="XAW116" s="198"/>
      <c r="XAX116" s="199"/>
      <c r="XAY116" s="198"/>
      <c r="XAZ116" s="199"/>
      <c r="XBA116" s="198"/>
      <c r="XBB116" s="199"/>
      <c r="XBC116" s="198"/>
      <c r="XBD116" s="199"/>
      <c r="XBE116" s="198"/>
      <c r="XBF116" s="199"/>
      <c r="XBG116" s="198"/>
      <c r="XBH116" s="199"/>
      <c r="XBI116" s="198"/>
      <c r="XBJ116" s="199"/>
      <c r="XBK116" s="198"/>
      <c r="XBL116" s="199"/>
      <c r="XBM116" s="198"/>
      <c r="XBN116" s="199"/>
      <c r="XBO116" s="198"/>
      <c r="XBP116" s="199"/>
      <c r="XBQ116" s="198"/>
      <c r="XBR116" s="199"/>
      <c r="XBS116" s="198"/>
      <c r="XBT116" s="199"/>
      <c r="XBU116" s="198"/>
      <c r="XBV116" s="199"/>
      <c r="XBW116" s="198"/>
      <c r="XBX116" s="199"/>
      <c r="XBY116" s="198"/>
      <c r="XBZ116" s="199"/>
      <c r="XCA116" s="198"/>
      <c r="XCB116" s="199"/>
      <c r="XCC116" s="198"/>
      <c r="XCD116" s="199"/>
      <c r="XCE116" s="198"/>
      <c r="XCF116" s="199"/>
      <c r="XCG116" s="198"/>
      <c r="XCH116" s="199"/>
      <c r="XCI116" s="198"/>
      <c r="XCJ116" s="199"/>
      <c r="XCK116" s="198"/>
      <c r="XCL116" s="199"/>
      <c r="XCM116" s="198"/>
      <c r="XCN116" s="199"/>
      <c r="XCO116" s="198"/>
      <c r="XCP116" s="199"/>
      <c r="XCQ116" s="198"/>
      <c r="XCR116" s="199"/>
      <c r="XCS116" s="198"/>
      <c r="XCT116" s="199"/>
      <c r="XCU116" s="198"/>
      <c r="XCV116" s="199"/>
      <c r="XCW116" s="198"/>
      <c r="XCX116" s="199"/>
      <c r="XCY116" s="198"/>
      <c r="XCZ116" s="199"/>
      <c r="XDA116" s="198"/>
      <c r="XDB116" s="199"/>
      <c r="XDC116" s="198"/>
      <c r="XDD116" s="199"/>
      <c r="XDE116" s="198"/>
      <c r="XDF116" s="199"/>
      <c r="XDG116" s="198"/>
      <c r="XDH116" s="199"/>
      <c r="XDI116" s="198"/>
      <c r="XDJ116" s="199"/>
      <c r="XDK116" s="198"/>
      <c r="XDL116" s="199"/>
      <c r="XDM116" s="198"/>
      <c r="XDN116" s="199"/>
      <c r="XDO116" s="198"/>
      <c r="XDP116" s="199"/>
      <c r="XDQ116" s="198"/>
      <c r="XDR116" s="199"/>
      <c r="XDS116" s="198"/>
      <c r="XDT116" s="199"/>
      <c r="XDU116" s="198"/>
      <c r="XDV116" s="199"/>
      <c r="XDW116" s="198"/>
      <c r="XDX116" s="199"/>
      <c r="XDY116" s="198"/>
      <c r="XDZ116" s="199"/>
      <c r="XEA116" s="198"/>
      <c r="XEB116" s="199"/>
      <c r="XEC116" s="198"/>
      <c r="XED116" s="199"/>
      <c r="XEE116" s="198"/>
      <c r="XEF116" s="199"/>
      <c r="XEG116" s="198"/>
      <c r="XEH116" s="199"/>
      <c r="XEI116" s="198"/>
      <c r="XEJ116" s="199"/>
      <c r="XEK116" s="198"/>
      <c r="XEL116" s="199"/>
      <c r="XEM116" s="198"/>
      <c r="XEN116" s="199"/>
      <c r="XEO116" s="198"/>
      <c r="XEP116" s="199"/>
      <c r="XEQ116" s="198"/>
      <c r="XER116" s="199"/>
      <c r="XES116" s="198"/>
      <c r="XET116" s="199"/>
      <c r="XEU116" s="198"/>
      <c r="XEV116" s="199"/>
      <c r="XEW116" s="198"/>
      <c r="XEX116" s="199"/>
      <c r="XEY116" s="198"/>
      <c r="XEZ116" s="199"/>
      <c r="XFA116" s="198"/>
      <c r="XFB116" s="199"/>
      <c r="XFC116" s="198"/>
      <c r="XFD116" s="199"/>
    </row>
    <row r="117" spans="1:16384" s="112" customFormat="1" ht="65.099999999999994" customHeight="1">
      <c r="A117" s="115"/>
      <c r="B117" s="115"/>
      <c r="C117" s="116"/>
      <c r="D117" s="115"/>
      <c r="E117" s="116"/>
      <c r="F117" s="115"/>
      <c r="G117" s="116"/>
      <c r="H117" s="116"/>
      <c r="I117" s="117"/>
      <c r="J117" s="117"/>
      <c r="K117" s="116"/>
      <c r="L117" s="116"/>
      <c r="M117" s="116"/>
      <c r="N117" s="116"/>
      <c r="O117" s="116"/>
      <c r="P117" s="116"/>
      <c r="Q117" s="116"/>
      <c r="R117" s="116"/>
      <c r="S117" s="116"/>
      <c r="T117" s="116"/>
      <c r="U117" s="116"/>
      <c r="V117" s="116"/>
      <c r="W117" s="116"/>
      <c r="X117" s="116"/>
      <c r="Y117" s="116"/>
      <c r="Z117" s="116"/>
      <c r="AA117" s="118"/>
      <c r="AB117" s="115"/>
      <c r="AC117" s="198"/>
      <c r="AD117" s="199"/>
      <c r="AE117" s="198"/>
      <c r="AF117" s="199"/>
      <c r="AG117" s="198"/>
      <c r="AH117" s="199"/>
      <c r="AI117" s="198"/>
      <c r="AJ117" s="199"/>
      <c r="AK117" s="198"/>
      <c r="AL117" s="199"/>
      <c r="AM117" s="198"/>
      <c r="AN117" s="199"/>
      <c r="AO117" s="198"/>
      <c r="AP117" s="199"/>
      <c r="AQ117" s="198"/>
      <c r="AR117" s="199"/>
      <c r="AS117" s="198"/>
      <c r="AT117" s="199"/>
      <c r="AU117" s="198"/>
      <c r="AV117" s="199"/>
      <c r="AW117" s="198"/>
      <c r="AX117" s="199"/>
      <c r="AY117" s="198"/>
      <c r="AZ117" s="199"/>
      <c r="BA117" s="198"/>
      <c r="BB117" s="199"/>
      <c r="BC117" s="198"/>
      <c r="BD117" s="199"/>
      <c r="BE117" s="198"/>
      <c r="BF117" s="199"/>
      <c r="BG117" s="198"/>
      <c r="BH117" s="199"/>
      <c r="BI117" s="198"/>
      <c r="BJ117" s="199"/>
      <c r="BK117" s="198"/>
      <c r="BL117" s="199"/>
      <c r="BM117" s="198"/>
      <c r="BN117" s="199"/>
      <c r="BO117" s="198"/>
      <c r="BP117" s="199"/>
      <c r="BQ117" s="198"/>
      <c r="BR117" s="199"/>
      <c r="BS117" s="198"/>
      <c r="BT117" s="199"/>
      <c r="BU117" s="198"/>
      <c r="BV117" s="199"/>
      <c r="BW117" s="198"/>
      <c r="BX117" s="199"/>
      <c r="BY117" s="198"/>
      <c r="BZ117" s="199"/>
      <c r="CA117" s="198"/>
      <c r="CB117" s="199"/>
      <c r="CC117" s="198"/>
      <c r="CD117" s="199"/>
      <c r="CE117" s="198"/>
      <c r="CF117" s="199"/>
      <c r="CG117" s="198"/>
      <c r="CH117" s="199"/>
      <c r="CI117" s="198"/>
      <c r="CJ117" s="199"/>
      <c r="CK117" s="198"/>
      <c r="CL117" s="199"/>
      <c r="CM117" s="198"/>
      <c r="CN117" s="199"/>
      <c r="CO117" s="198"/>
      <c r="CP117" s="199"/>
      <c r="CQ117" s="198"/>
      <c r="CR117" s="199"/>
      <c r="CS117" s="198"/>
      <c r="CT117" s="199"/>
      <c r="CU117" s="198"/>
      <c r="CV117" s="199"/>
      <c r="CW117" s="198"/>
      <c r="CX117" s="199"/>
      <c r="CY117" s="198"/>
      <c r="CZ117" s="199"/>
      <c r="DA117" s="198"/>
      <c r="DB117" s="199"/>
      <c r="DC117" s="198"/>
      <c r="DD117" s="199"/>
      <c r="DE117" s="198"/>
      <c r="DF117" s="199"/>
      <c r="DG117" s="198"/>
      <c r="DH117" s="199"/>
      <c r="DI117" s="198"/>
      <c r="DJ117" s="199"/>
      <c r="DK117" s="198"/>
      <c r="DL117" s="199"/>
      <c r="DM117" s="198"/>
      <c r="DN117" s="199"/>
      <c r="DO117" s="198"/>
      <c r="DP117" s="199"/>
      <c r="DQ117" s="198"/>
      <c r="DR117" s="199"/>
      <c r="DS117" s="198"/>
      <c r="DT117" s="199"/>
      <c r="DU117" s="198"/>
      <c r="DV117" s="199"/>
      <c r="DW117" s="198"/>
      <c r="DX117" s="199"/>
      <c r="DY117" s="198"/>
      <c r="DZ117" s="199"/>
      <c r="EA117" s="198"/>
      <c r="EB117" s="199"/>
      <c r="EC117" s="198"/>
      <c r="ED117" s="199"/>
      <c r="EE117" s="198"/>
      <c r="EF117" s="199"/>
      <c r="EG117" s="198"/>
      <c r="EH117" s="199"/>
      <c r="EI117" s="198"/>
      <c r="EJ117" s="199"/>
      <c r="EK117" s="198"/>
      <c r="EL117" s="199"/>
      <c r="EM117" s="198"/>
      <c r="EN117" s="199"/>
      <c r="EO117" s="198"/>
      <c r="EP117" s="199"/>
      <c r="EQ117" s="198"/>
      <c r="ER117" s="199"/>
      <c r="ES117" s="198"/>
      <c r="ET117" s="199"/>
      <c r="EU117" s="198"/>
      <c r="EV117" s="199"/>
      <c r="EW117" s="198"/>
      <c r="EX117" s="199"/>
      <c r="EY117" s="198"/>
      <c r="EZ117" s="199"/>
      <c r="FA117" s="198"/>
      <c r="FB117" s="199"/>
      <c r="FC117" s="198"/>
      <c r="FD117" s="199"/>
      <c r="FE117" s="198"/>
      <c r="FF117" s="199"/>
      <c r="FG117" s="198"/>
      <c r="FH117" s="199"/>
      <c r="FI117" s="198"/>
      <c r="FJ117" s="199"/>
      <c r="FK117" s="198"/>
      <c r="FL117" s="199"/>
      <c r="FM117" s="198"/>
      <c r="FN117" s="199"/>
      <c r="FO117" s="198"/>
      <c r="FP117" s="199"/>
      <c r="FQ117" s="198"/>
      <c r="FR117" s="199"/>
      <c r="FS117" s="198"/>
      <c r="FT117" s="199"/>
      <c r="FU117" s="198"/>
      <c r="FV117" s="199"/>
      <c r="FW117" s="198"/>
      <c r="FX117" s="199"/>
      <c r="FY117" s="198"/>
      <c r="FZ117" s="199"/>
      <c r="GA117" s="198"/>
      <c r="GB117" s="199"/>
      <c r="GC117" s="198"/>
      <c r="GD117" s="199"/>
      <c r="GE117" s="198"/>
      <c r="GF117" s="199"/>
      <c r="GG117" s="198"/>
      <c r="GH117" s="199"/>
      <c r="GI117" s="198"/>
      <c r="GJ117" s="199"/>
      <c r="GK117" s="198"/>
      <c r="GL117" s="199"/>
      <c r="GM117" s="198"/>
      <c r="GN117" s="199"/>
      <c r="GO117" s="198"/>
      <c r="GP117" s="199"/>
      <c r="GQ117" s="198"/>
      <c r="GR117" s="199"/>
      <c r="GS117" s="198"/>
      <c r="GT117" s="199"/>
      <c r="GU117" s="198"/>
      <c r="GV117" s="199"/>
      <c r="GW117" s="198"/>
      <c r="GX117" s="199"/>
      <c r="GY117" s="198"/>
      <c r="GZ117" s="199"/>
      <c r="HA117" s="198"/>
      <c r="HB117" s="199"/>
      <c r="HC117" s="198"/>
      <c r="HD117" s="199"/>
      <c r="HE117" s="198"/>
      <c r="HF117" s="199"/>
      <c r="HG117" s="198"/>
      <c r="HH117" s="199"/>
      <c r="HI117" s="198"/>
      <c r="HJ117" s="199"/>
      <c r="HK117" s="198"/>
      <c r="HL117" s="199"/>
      <c r="HM117" s="198"/>
      <c r="HN117" s="199"/>
      <c r="HO117" s="198"/>
      <c r="HP117" s="199"/>
      <c r="HQ117" s="198"/>
      <c r="HR117" s="199"/>
      <c r="HS117" s="198"/>
      <c r="HT117" s="199"/>
      <c r="HU117" s="198"/>
      <c r="HV117" s="199"/>
      <c r="HW117" s="198"/>
      <c r="HX117" s="199"/>
      <c r="HY117" s="198"/>
      <c r="HZ117" s="199"/>
      <c r="IA117" s="198"/>
      <c r="IB117" s="199"/>
      <c r="IC117" s="198"/>
      <c r="ID117" s="199"/>
      <c r="IE117" s="198"/>
      <c r="IF117" s="199"/>
      <c r="IG117" s="198"/>
      <c r="IH117" s="199"/>
      <c r="II117" s="198"/>
      <c r="IJ117" s="199"/>
      <c r="IK117" s="198"/>
      <c r="IL117" s="199"/>
      <c r="IM117" s="198"/>
      <c r="IN117" s="199"/>
      <c r="IO117" s="198"/>
      <c r="IP117" s="199"/>
      <c r="IQ117" s="198"/>
      <c r="IR117" s="199"/>
      <c r="IS117" s="198"/>
      <c r="IT117" s="199"/>
      <c r="IU117" s="198"/>
      <c r="IV117" s="199"/>
      <c r="IW117" s="198"/>
      <c r="IX117" s="199"/>
      <c r="IY117" s="198"/>
      <c r="IZ117" s="199"/>
      <c r="JA117" s="198"/>
      <c r="JB117" s="199"/>
      <c r="JC117" s="198"/>
      <c r="JD117" s="199"/>
      <c r="JE117" s="198"/>
      <c r="JF117" s="199"/>
      <c r="JG117" s="198"/>
      <c r="JH117" s="199"/>
      <c r="JI117" s="198"/>
      <c r="JJ117" s="199"/>
      <c r="JK117" s="198"/>
      <c r="JL117" s="199"/>
      <c r="JM117" s="198"/>
      <c r="JN117" s="199"/>
      <c r="JO117" s="198"/>
      <c r="JP117" s="199"/>
      <c r="JQ117" s="198"/>
      <c r="JR117" s="199"/>
      <c r="JS117" s="198"/>
      <c r="JT117" s="199"/>
      <c r="JU117" s="198"/>
      <c r="JV117" s="199"/>
      <c r="JW117" s="198"/>
      <c r="JX117" s="199"/>
      <c r="JY117" s="198"/>
      <c r="JZ117" s="199"/>
      <c r="KA117" s="198"/>
      <c r="KB117" s="199"/>
      <c r="KC117" s="198"/>
      <c r="KD117" s="199"/>
      <c r="KE117" s="198"/>
      <c r="KF117" s="199"/>
      <c r="KG117" s="198"/>
      <c r="KH117" s="199"/>
      <c r="KI117" s="198"/>
      <c r="KJ117" s="199"/>
      <c r="KK117" s="198"/>
      <c r="KL117" s="199"/>
      <c r="KM117" s="198"/>
      <c r="KN117" s="199"/>
      <c r="KO117" s="198"/>
      <c r="KP117" s="199"/>
      <c r="KQ117" s="198"/>
      <c r="KR117" s="199"/>
      <c r="KS117" s="198"/>
      <c r="KT117" s="199"/>
      <c r="KU117" s="198"/>
      <c r="KV117" s="199"/>
      <c r="KW117" s="198"/>
      <c r="KX117" s="199"/>
      <c r="KY117" s="198"/>
      <c r="KZ117" s="199"/>
      <c r="LA117" s="198"/>
      <c r="LB117" s="199"/>
      <c r="LC117" s="198"/>
      <c r="LD117" s="199"/>
      <c r="LE117" s="198"/>
      <c r="LF117" s="199"/>
      <c r="LG117" s="198"/>
      <c r="LH117" s="199"/>
      <c r="LI117" s="198"/>
      <c r="LJ117" s="199"/>
      <c r="LK117" s="198"/>
      <c r="LL117" s="199"/>
      <c r="LM117" s="198"/>
      <c r="LN117" s="199"/>
      <c r="LO117" s="198"/>
      <c r="LP117" s="199"/>
      <c r="LQ117" s="198"/>
      <c r="LR117" s="199"/>
      <c r="LS117" s="198"/>
      <c r="LT117" s="199"/>
      <c r="LU117" s="198"/>
      <c r="LV117" s="199"/>
      <c r="LW117" s="198"/>
      <c r="LX117" s="199"/>
      <c r="LY117" s="198"/>
      <c r="LZ117" s="199"/>
      <c r="MA117" s="198"/>
      <c r="MB117" s="199"/>
      <c r="MC117" s="198"/>
      <c r="MD117" s="199"/>
      <c r="ME117" s="198"/>
      <c r="MF117" s="199"/>
      <c r="MG117" s="198"/>
      <c r="MH117" s="199"/>
      <c r="MI117" s="198"/>
      <c r="MJ117" s="199"/>
      <c r="MK117" s="198"/>
      <c r="ML117" s="199"/>
      <c r="MM117" s="198"/>
      <c r="MN117" s="199"/>
      <c r="MO117" s="198"/>
      <c r="MP117" s="199"/>
      <c r="MQ117" s="198"/>
      <c r="MR117" s="199"/>
      <c r="MS117" s="198"/>
      <c r="MT117" s="199"/>
      <c r="MU117" s="198"/>
      <c r="MV117" s="199"/>
      <c r="MW117" s="198"/>
      <c r="MX117" s="199"/>
      <c r="MY117" s="198"/>
      <c r="MZ117" s="199"/>
      <c r="NA117" s="198"/>
      <c r="NB117" s="199"/>
      <c r="NC117" s="198"/>
      <c r="ND117" s="199"/>
      <c r="NE117" s="198"/>
      <c r="NF117" s="199"/>
      <c r="NG117" s="198"/>
      <c r="NH117" s="199"/>
      <c r="NI117" s="198"/>
      <c r="NJ117" s="199"/>
      <c r="NK117" s="198"/>
      <c r="NL117" s="199"/>
      <c r="NM117" s="198"/>
      <c r="NN117" s="199"/>
      <c r="NO117" s="198"/>
      <c r="NP117" s="199"/>
      <c r="NQ117" s="198"/>
      <c r="NR117" s="199"/>
      <c r="NS117" s="198"/>
      <c r="NT117" s="199"/>
      <c r="NU117" s="198"/>
      <c r="NV117" s="199"/>
      <c r="NW117" s="198"/>
      <c r="NX117" s="199"/>
      <c r="NY117" s="198"/>
      <c r="NZ117" s="199"/>
      <c r="OA117" s="198"/>
      <c r="OB117" s="199"/>
      <c r="OC117" s="198"/>
      <c r="OD117" s="199"/>
      <c r="OE117" s="198"/>
      <c r="OF117" s="199"/>
      <c r="OG117" s="198"/>
      <c r="OH117" s="199"/>
      <c r="OI117" s="198"/>
      <c r="OJ117" s="199"/>
      <c r="OK117" s="198"/>
      <c r="OL117" s="199"/>
      <c r="OM117" s="198"/>
      <c r="ON117" s="199"/>
      <c r="OO117" s="198"/>
      <c r="OP117" s="199"/>
      <c r="OQ117" s="198"/>
      <c r="OR117" s="199"/>
      <c r="OS117" s="198"/>
      <c r="OT117" s="199"/>
      <c r="OU117" s="198"/>
      <c r="OV117" s="199"/>
      <c r="OW117" s="198"/>
      <c r="OX117" s="199"/>
      <c r="OY117" s="198"/>
      <c r="OZ117" s="199"/>
      <c r="PA117" s="198"/>
      <c r="PB117" s="199"/>
      <c r="PC117" s="198"/>
      <c r="PD117" s="199"/>
      <c r="PE117" s="198"/>
      <c r="PF117" s="199"/>
      <c r="PG117" s="198"/>
      <c r="PH117" s="199"/>
      <c r="PI117" s="198"/>
      <c r="PJ117" s="199"/>
      <c r="PK117" s="198"/>
      <c r="PL117" s="199"/>
      <c r="PM117" s="198"/>
      <c r="PN117" s="199"/>
      <c r="PO117" s="198"/>
      <c r="PP117" s="199"/>
      <c r="PQ117" s="198"/>
      <c r="PR117" s="199"/>
      <c r="PS117" s="198"/>
      <c r="PT117" s="199"/>
      <c r="PU117" s="198"/>
      <c r="PV117" s="199"/>
      <c r="PW117" s="198"/>
      <c r="PX117" s="199"/>
      <c r="PY117" s="198"/>
      <c r="PZ117" s="199"/>
      <c r="QA117" s="198"/>
      <c r="QB117" s="199"/>
      <c r="QC117" s="198"/>
      <c r="QD117" s="199"/>
      <c r="QE117" s="198"/>
      <c r="QF117" s="199"/>
      <c r="QG117" s="198"/>
      <c r="QH117" s="199"/>
      <c r="QI117" s="198"/>
      <c r="QJ117" s="199"/>
      <c r="QK117" s="198"/>
      <c r="QL117" s="199"/>
      <c r="QM117" s="198"/>
      <c r="QN117" s="199"/>
      <c r="QO117" s="198"/>
      <c r="QP117" s="199"/>
      <c r="QQ117" s="198"/>
      <c r="QR117" s="199"/>
      <c r="QS117" s="198"/>
      <c r="QT117" s="199"/>
      <c r="QU117" s="198"/>
      <c r="QV117" s="199"/>
      <c r="QW117" s="198"/>
      <c r="QX117" s="199"/>
      <c r="QY117" s="198"/>
      <c r="QZ117" s="199"/>
      <c r="RA117" s="198"/>
      <c r="RB117" s="199"/>
      <c r="RC117" s="198"/>
      <c r="RD117" s="199"/>
      <c r="RE117" s="198"/>
      <c r="RF117" s="199"/>
      <c r="RG117" s="198"/>
      <c r="RH117" s="199"/>
      <c r="RI117" s="198"/>
      <c r="RJ117" s="199"/>
      <c r="RK117" s="198"/>
      <c r="RL117" s="199"/>
      <c r="RM117" s="198"/>
      <c r="RN117" s="199"/>
      <c r="RO117" s="198"/>
      <c r="RP117" s="199"/>
      <c r="RQ117" s="198"/>
      <c r="RR117" s="199"/>
      <c r="RS117" s="198"/>
      <c r="RT117" s="199"/>
      <c r="RU117" s="198"/>
      <c r="RV117" s="199"/>
      <c r="RW117" s="198"/>
      <c r="RX117" s="199"/>
      <c r="RY117" s="198"/>
      <c r="RZ117" s="199"/>
      <c r="SA117" s="198"/>
      <c r="SB117" s="199"/>
      <c r="SC117" s="198"/>
      <c r="SD117" s="199"/>
      <c r="SE117" s="198"/>
      <c r="SF117" s="199"/>
      <c r="SG117" s="198"/>
      <c r="SH117" s="199"/>
      <c r="SI117" s="198"/>
      <c r="SJ117" s="199"/>
      <c r="SK117" s="198"/>
      <c r="SL117" s="199"/>
      <c r="SM117" s="198"/>
      <c r="SN117" s="199"/>
      <c r="SO117" s="198"/>
      <c r="SP117" s="199"/>
      <c r="SQ117" s="198"/>
      <c r="SR117" s="199"/>
      <c r="SS117" s="198"/>
      <c r="ST117" s="199"/>
      <c r="SU117" s="198"/>
      <c r="SV117" s="199"/>
      <c r="SW117" s="198"/>
      <c r="SX117" s="199"/>
      <c r="SY117" s="198"/>
      <c r="SZ117" s="199"/>
      <c r="TA117" s="198"/>
      <c r="TB117" s="199"/>
      <c r="TC117" s="198"/>
      <c r="TD117" s="199"/>
      <c r="TE117" s="198"/>
      <c r="TF117" s="199"/>
      <c r="TG117" s="198"/>
      <c r="TH117" s="199"/>
      <c r="TI117" s="198"/>
      <c r="TJ117" s="199"/>
      <c r="TK117" s="198"/>
      <c r="TL117" s="199"/>
      <c r="TM117" s="198"/>
      <c r="TN117" s="199"/>
      <c r="TO117" s="198"/>
      <c r="TP117" s="199"/>
      <c r="TQ117" s="198"/>
      <c r="TR117" s="199"/>
      <c r="TS117" s="198"/>
      <c r="TT117" s="199"/>
      <c r="TU117" s="198"/>
      <c r="TV117" s="199"/>
      <c r="TW117" s="198"/>
      <c r="TX117" s="199"/>
      <c r="TY117" s="198"/>
      <c r="TZ117" s="199"/>
      <c r="UA117" s="198"/>
      <c r="UB117" s="199"/>
      <c r="UC117" s="198"/>
      <c r="UD117" s="199"/>
      <c r="UE117" s="198"/>
      <c r="UF117" s="199"/>
      <c r="UG117" s="198"/>
      <c r="UH117" s="199"/>
      <c r="UI117" s="198"/>
      <c r="UJ117" s="199"/>
      <c r="UK117" s="198"/>
      <c r="UL117" s="199"/>
      <c r="UM117" s="198"/>
      <c r="UN117" s="199"/>
      <c r="UO117" s="198"/>
      <c r="UP117" s="199"/>
      <c r="UQ117" s="198"/>
      <c r="UR117" s="199"/>
      <c r="US117" s="198"/>
      <c r="UT117" s="199"/>
      <c r="UU117" s="198"/>
      <c r="UV117" s="199"/>
      <c r="UW117" s="198"/>
      <c r="UX117" s="199"/>
      <c r="UY117" s="198"/>
      <c r="UZ117" s="199"/>
      <c r="VA117" s="198"/>
      <c r="VB117" s="199"/>
      <c r="VC117" s="198"/>
      <c r="VD117" s="199"/>
      <c r="VE117" s="198"/>
      <c r="VF117" s="199"/>
      <c r="VG117" s="198"/>
      <c r="VH117" s="199"/>
      <c r="VI117" s="198"/>
      <c r="VJ117" s="199"/>
      <c r="VK117" s="198"/>
      <c r="VL117" s="199"/>
      <c r="VM117" s="198"/>
      <c r="VN117" s="199"/>
      <c r="VO117" s="198"/>
      <c r="VP117" s="199"/>
      <c r="VQ117" s="198"/>
      <c r="VR117" s="199"/>
      <c r="VS117" s="198"/>
      <c r="VT117" s="199"/>
      <c r="VU117" s="198"/>
      <c r="VV117" s="199"/>
      <c r="VW117" s="198"/>
      <c r="VX117" s="199"/>
      <c r="VY117" s="198"/>
      <c r="VZ117" s="199"/>
      <c r="WA117" s="198"/>
      <c r="WB117" s="199"/>
      <c r="WC117" s="198"/>
      <c r="WD117" s="199"/>
      <c r="WE117" s="198"/>
      <c r="WF117" s="199"/>
      <c r="WG117" s="198"/>
      <c r="WH117" s="199"/>
      <c r="WI117" s="198"/>
      <c r="WJ117" s="199"/>
      <c r="WK117" s="198"/>
      <c r="WL117" s="199"/>
      <c r="WM117" s="198"/>
      <c r="WN117" s="199"/>
      <c r="WO117" s="198"/>
      <c r="WP117" s="199"/>
      <c r="WQ117" s="198"/>
      <c r="WR117" s="199"/>
      <c r="WS117" s="198"/>
      <c r="WT117" s="199"/>
      <c r="WU117" s="198"/>
      <c r="WV117" s="199"/>
      <c r="WW117" s="198"/>
      <c r="WX117" s="199"/>
      <c r="WY117" s="198"/>
      <c r="WZ117" s="199"/>
      <c r="XA117" s="198"/>
      <c r="XB117" s="199"/>
      <c r="XC117" s="198"/>
      <c r="XD117" s="199"/>
      <c r="XE117" s="198"/>
      <c r="XF117" s="199"/>
      <c r="XG117" s="198"/>
      <c r="XH117" s="199"/>
      <c r="XI117" s="198"/>
      <c r="XJ117" s="199"/>
      <c r="XK117" s="198"/>
      <c r="XL117" s="199"/>
      <c r="XM117" s="198"/>
      <c r="XN117" s="199"/>
      <c r="XO117" s="198"/>
      <c r="XP117" s="199"/>
      <c r="XQ117" s="198"/>
      <c r="XR117" s="199"/>
      <c r="XS117" s="198"/>
      <c r="XT117" s="199"/>
      <c r="XU117" s="198"/>
      <c r="XV117" s="199"/>
      <c r="XW117" s="198"/>
      <c r="XX117" s="199"/>
      <c r="XY117" s="198"/>
      <c r="XZ117" s="199"/>
      <c r="YA117" s="198"/>
      <c r="YB117" s="199"/>
      <c r="YC117" s="198"/>
      <c r="YD117" s="199"/>
      <c r="YE117" s="198"/>
      <c r="YF117" s="199"/>
      <c r="YG117" s="198"/>
      <c r="YH117" s="199"/>
      <c r="YI117" s="198"/>
      <c r="YJ117" s="199"/>
      <c r="YK117" s="198"/>
      <c r="YL117" s="199"/>
      <c r="YM117" s="198"/>
      <c r="YN117" s="199"/>
      <c r="YO117" s="198"/>
      <c r="YP117" s="199"/>
      <c r="YQ117" s="198"/>
      <c r="YR117" s="199"/>
      <c r="YS117" s="198"/>
      <c r="YT117" s="199"/>
      <c r="YU117" s="198"/>
      <c r="YV117" s="199"/>
      <c r="YW117" s="198"/>
      <c r="YX117" s="199"/>
      <c r="YY117" s="198"/>
      <c r="YZ117" s="199"/>
      <c r="ZA117" s="198"/>
      <c r="ZB117" s="199"/>
      <c r="ZC117" s="198"/>
      <c r="ZD117" s="199"/>
      <c r="ZE117" s="198"/>
      <c r="ZF117" s="199"/>
      <c r="ZG117" s="198"/>
      <c r="ZH117" s="199"/>
      <c r="ZI117" s="198"/>
      <c r="ZJ117" s="199"/>
      <c r="ZK117" s="198"/>
      <c r="ZL117" s="199"/>
      <c r="ZM117" s="198"/>
      <c r="ZN117" s="199"/>
      <c r="ZO117" s="198"/>
      <c r="ZP117" s="199"/>
      <c r="ZQ117" s="198"/>
      <c r="ZR117" s="199"/>
      <c r="ZS117" s="198"/>
      <c r="ZT117" s="199"/>
      <c r="ZU117" s="198"/>
      <c r="ZV117" s="199"/>
      <c r="ZW117" s="198"/>
      <c r="ZX117" s="199"/>
      <c r="ZY117" s="198"/>
      <c r="ZZ117" s="199"/>
      <c r="AAA117" s="198"/>
      <c r="AAB117" s="199"/>
      <c r="AAC117" s="198"/>
      <c r="AAD117" s="199"/>
      <c r="AAE117" s="198"/>
      <c r="AAF117" s="199"/>
      <c r="AAG117" s="198"/>
      <c r="AAH117" s="199"/>
      <c r="AAI117" s="198"/>
      <c r="AAJ117" s="199"/>
      <c r="AAK117" s="198"/>
      <c r="AAL117" s="199"/>
      <c r="AAM117" s="198"/>
      <c r="AAN117" s="199"/>
      <c r="AAO117" s="198"/>
      <c r="AAP117" s="199"/>
      <c r="AAQ117" s="198"/>
      <c r="AAR117" s="199"/>
      <c r="AAS117" s="198"/>
      <c r="AAT117" s="199"/>
      <c r="AAU117" s="198"/>
      <c r="AAV117" s="199"/>
      <c r="AAW117" s="198"/>
      <c r="AAX117" s="199"/>
      <c r="AAY117" s="198"/>
      <c r="AAZ117" s="199"/>
      <c r="ABA117" s="198"/>
      <c r="ABB117" s="199"/>
      <c r="ABC117" s="198"/>
      <c r="ABD117" s="199"/>
      <c r="ABE117" s="198"/>
      <c r="ABF117" s="199"/>
      <c r="ABG117" s="198"/>
      <c r="ABH117" s="199"/>
      <c r="ABI117" s="198"/>
      <c r="ABJ117" s="199"/>
      <c r="ABK117" s="198"/>
      <c r="ABL117" s="199"/>
      <c r="ABM117" s="198"/>
      <c r="ABN117" s="199"/>
      <c r="ABO117" s="198"/>
      <c r="ABP117" s="199"/>
      <c r="ABQ117" s="198"/>
      <c r="ABR117" s="199"/>
      <c r="ABS117" s="198"/>
      <c r="ABT117" s="199"/>
      <c r="ABU117" s="198"/>
      <c r="ABV117" s="199"/>
      <c r="ABW117" s="198"/>
      <c r="ABX117" s="199"/>
      <c r="ABY117" s="198"/>
      <c r="ABZ117" s="199"/>
      <c r="ACA117" s="198"/>
      <c r="ACB117" s="199"/>
      <c r="ACC117" s="198"/>
      <c r="ACD117" s="199"/>
      <c r="ACE117" s="198"/>
      <c r="ACF117" s="199"/>
      <c r="ACG117" s="198"/>
      <c r="ACH117" s="199"/>
      <c r="ACI117" s="198"/>
      <c r="ACJ117" s="199"/>
      <c r="ACK117" s="198"/>
      <c r="ACL117" s="199"/>
      <c r="ACM117" s="198"/>
      <c r="ACN117" s="199"/>
      <c r="ACO117" s="198"/>
      <c r="ACP117" s="199"/>
      <c r="ACQ117" s="198"/>
      <c r="ACR117" s="199"/>
      <c r="ACS117" s="198"/>
      <c r="ACT117" s="199"/>
      <c r="ACU117" s="198"/>
      <c r="ACV117" s="199"/>
      <c r="ACW117" s="198"/>
      <c r="ACX117" s="199"/>
      <c r="ACY117" s="198"/>
      <c r="ACZ117" s="199"/>
      <c r="ADA117" s="198"/>
      <c r="ADB117" s="199"/>
      <c r="ADC117" s="198"/>
      <c r="ADD117" s="199"/>
      <c r="ADE117" s="198"/>
      <c r="ADF117" s="199"/>
      <c r="ADG117" s="198"/>
      <c r="ADH117" s="199"/>
      <c r="ADI117" s="198"/>
      <c r="ADJ117" s="199"/>
      <c r="ADK117" s="198"/>
      <c r="ADL117" s="199"/>
      <c r="ADM117" s="198"/>
      <c r="ADN117" s="199"/>
      <c r="ADO117" s="198"/>
      <c r="ADP117" s="199"/>
      <c r="ADQ117" s="198"/>
      <c r="ADR117" s="199"/>
      <c r="ADS117" s="198"/>
      <c r="ADT117" s="199"/>
      <c r="ADU117" s="198"/>
      <c r="ADV117" s="199"/>
      <c r="ADW117" s="198"/>
      <c r="ADX117" s="199"/>
      <c r="ADY117" s="198"/>
      <c r="ADZ117" s="199"/>
      <c r="AEA117" s="198"/>
      <c r="AEB117" s="199"/>
      <c r="AEC117" s="198"/>
      <c r="AED117" s="199"/>
      <c r="AEE117" s="198"/>
      <c r="AEF117" s="199"/>
      <c r="AEG117" s="198"/>
      <c r="AEH117" s="199"/>
      <c r="AEI117" s="198"/>
      <c r="AEJ117" s="199"/>
      <c r="AEK117" s="198"/>
      <c r="AEL117" s="199"/>
      <c r="AEM117" s="198"/>
      <c r="AEN117" s="199"/>
      <c r="AEO117" s="198"/>
      <c r="AEP117" s="199"/>
      <c r="AEQ117" s="198"/>
      <c r="AER117" s="199"/>
      <c r="AES117" s="198"/>
      <c r="AET117" s="199"/>
      <c r="AEU117" s="198"/>
      <c r="AEV117" s="199"/>
      <c r="AEW117" s="198"/>
      <c r="AEX117" s="199"/>
      <c r="AEY117" s="198"/>
      <c r="AEZ117" s="199"/>
      <c r="AFA117" s="198"/>
      <c r="AFB117" s="199"/>
      <c r="AFC117" s="198"/>
      <c r="AFD117" s="199"/>
      <c r="AFE117" s="198"/>
      <c r="AFF117" s="199"/>
      <c r="AFG117" s="198"/>
      <c r="AFH117" s="199"/>
      <c r="AFI117" s="198"/>
      <c r="AFJ117" s="199"/>
      <c r="AFK117" s="198"/>
      <c r="AFL117" s="199"/>
      <c r="AFM117" s="198"/>
      <c r="AFN117" s="199"/>
      <c r="AFO117" s="198"/>
      <c r="AFP117" s="199"/>
      <c r="AFQ117" s="198"/>
      <c r="AFR117" s="199"/>
      <c r="AFS117" s="198"/>
      <c r="AFT117" s="199"/>
      <c r="AFU117" s="198"/>
      <c r="AFV117" s="199"/>
      <c r="AFW117" s="198"/>
      <c r="AFX117" s="199"/>
      <c r="AFY117" s="198"/>
      <c r="AFZ117" s="199"/>
      <c r="AGA117" s="198"/>
      <c r="AGB117" s="199"/>
      <c r="AGC117" s="198"/>
      <c r="AGD117" s="199"/>
      <c r="AGE117" s="198"/>
      <c r="AGF117" s="199"/>
      <c r="AGG117" s="198"/>
      <c r="AGH117" s="199"/>
      <c r="AGI117" s="198"/>
      <c r="AGJ117" s="199"/>
      <c r="AGK117" s="198"/>
      <c r="AGL117" s="199"/>
      <c r="AGM117" s="198"/>
      <c r="AGN117" s="199"/>
      <c r="AGO117" s="198"/>
      <c r="AGP117" s="199"/>
      <c r="AGQ117" s="198"/>
      <c r="AGR117" s="199"/>
      <c r="AGS117" s="198"/>
      <c r="AGT117" s="199"/>
      <c r="AGU117" s="198"/>
      <c r="AGV117" s="199"/>
      <c r="AGW117" s="198"/>
      <c r="AGX117" s="199"/>
      <c r="AGY117" s="198"/>
      <c r="AGZ117" s="199"/>
      <c r="AHA117" s="198"/>
      <c r="AHB117" s="199"/>
      <c r="AHC117" s="198"/>
      <c r="AHD117" s="199"/>
      <c r="AHE117" s="198"/>
      <c r="AHF117" s="199"/>
      <c r="AHG117" s="198"/>
      <c r="AHH117" s="199"/>
      <c r="AHI117" s="198"/>
      <c r="AHJ117" s="199"/>
      <c r="AHK117" s="198"/>
      <c r="AHL117" s="199"/>
      <c r="AHM117" s="198"/>
      <c r="AHN117" s="199"/>
      <c r="AHO117" s="198"/>
      <c r="AHP117" s="199"/>
      <c r="AHQ117" s="198"/>
      <c r="AHR117" s="199"/>
      <c r="AHS117" s="198"/>
      <c r="AHT117" s="199"/>
      <c r="AHU117" s="198"/>
      <c r="AHV117" s="199"/>
      <c r="AHW117" s="198"/>
      <c r="AHX117" s="199"/>
      <c r="AHY117" s="198"/>
      <c r="AHZ117" s="199"/>
      <c r="AIA117" s="198"/>
      <c r="AIB117" s="199"/>
      <c r="AIC117" s="198"/>
      <c r="AID117" s="199"/>
      <c r="AIE117" s="198"/>
      <c r="AIF117" s="199"/>
      <c r="AIG117" s="198"/>
      <c r="AIH117" s="199"/>
      <c r="AII117" s="198"/>
      <c r="AIJ117" s="199"/>
      <c r="AIK117" s="198"/>
      <c r="AIL117" s="199"/>
      <c r="AIM117" s="198"/>
      <c r="AIN117" s="199"/>
      <c r="AIO117" s="198"/>
      <c r="AIP117" s="199"/>
      <c r="AIQ117" s="198"/>
      <c r="AIR117" s="199"/>
      <c r="AIS117" s="198"/>
      <c r="AIT117" s="199"/>
      <c r="AIU117" s="198"/>
      <c r="AIV117" s="199"/>
      <c r="AIW117" s="198"/>
      <c r="AIX117" s="199"/>
      <c r="AIY117" s="198"/>
      <c r="AIZ117" s="199"/>
      <c r="AJA117" s="198"/>
      <c r="AJB117" s="199"/>
      <c r="AJC117" s="198"/>
      <c r="AJD117" s="199"/>
      <c r="AJE117" s="198"/>
      <c r="AJF117" s="199"/>
      <c r="AJG117" s="198"/>
      <c r="AJH117" s="199"/>
      <c r="AJI117" s="198"/>
      <c r="AJJ117" s="199"/>
      <c r="AJK117" s="198"/>
      <c r="AJL117" s="199"/>
      <c r="AJM117" s="198"/>
      <c r="AJN117" s="199"/>
      <c r="AJO117" s="198"/>
      <c r="AJP117" s="199"/>
      <c r="AJQ117" s="198"/>
      <c r="AJR117" s="199"/>
      <c r="AJS117" s="198"/>
      <c r="AJT117" s="199"/>
      <c r="AJU117" s="198"/>
      <c r="AJV117" s="199"/>
      <c r="AJW117" s="198"/>
      <c r="AJX117" s="199"/>
      <c r="AJY117" s="198"/>
      <c r="AJZ117" s="199"/>
      <c r="AKA117" s="198"/>
      <c r="AKB117" s="199"/>
      <c r="AKC117" s="198"/>
      <c r="AKD117" s="199"/>
      <c r="AKE117" s="198"/>
      <c r="AKF117" s="199"/>
      <c r="AKG117" s="198"/>
      <c r="AKH117" s="199"/>
      <c r="AKI117" s="198"/>
      <c r="AKJ117" s="199"/>
      <c r="AKK117" s="198"/>
      <c r="AKL117" s="199"/>
      <c r="AKM117" s="198"/>
      <c r="AKN117" s="199"/>
      <c r="AKO117" s="198"/>
      <c r="AKP117" s="199"/>
      <c r="AKQ117" s="198"/>
      <c r="AKR117" s="199"/>
      <c r="AKS117" s="198"/>
      <c r="AKT117" s="199"/>
      <c r="AKU117" s="198"/>
      <c r="AKV117" s="199"/>
      <c r="AKW117" s="198"/>
      <c r="AKX117" s="199"/>
      <c r="AKY117" s="198"/>
      <c r="AKZ117" s="199"/>
      <c r="ALA117" s="198"/>
      <c r="ALB117" s="199"/>
      <c r="ALC117" s="198"/>
      <c r="ALD117" s="199"/>
      <c r="ALE117" s="198"/>
      <c r="ALF117" s="199"/>
      <c r="ALG117" s="198"/>
      <c r="ALH117" s="199"/>
      <c r="ALI117" s="198"/>
      <c r="ALJ117" s="199"/>
      <c r="ALK117" s="198"/>
      <c r="ALL117" s="199"/>
      <c r="ALM117" s="198"/>
      <c r="ALN117" s="199"/>
      <c r="ALO117" s="198"/>
      <c r="ALP117" s="199"/>
      <c r="ALQ117" s="198"/>
      <c r="ALR117" s="199"/>
      <c r="ALS117" s="198"/>
      <c r="ALT117" s="199"/>
      <c r="ALU117" s="198"/>
      <c r="ALV117" s="199"/>
      <c r="ALW117" s="198"/>
      <c r="ALX117" s="199"/>
      <c r="ALY117" s="198"/>
      <c r="ALZ117" s="199"/>
      <c r="AMA117" s="198"/>
      <c r="AMB117" s="199"/>
      <c r="AMC117" s="198"/>
      <c r="AMD117" s="199"/>
      <c r="AME117" s="198"/>
      <c r="AMF117" s="199"/>
      <c r="AMG117" s="198"/>
      <c r="AMH117" s="199"/>
      <c r="AMI117" s="198"/>
      <c r="AMJ117" s="199"/>
      <c r="AMK117" s="198"/>
      <c r="AML117" s="199"/>
      <c r="AMM117" s="198"/>
      <c r="AMN117" s="199"/>
      <c r="AMO117" s="198"/>
      <c r="AMP117" s="199"/>
      <c r="AMQ117" s="198"/>
      <c r="AMR117" s="199"/>
      <c r="AMS117" s="198"/>
      <c r="AMT117" s="199"/>
      <c r="AMU117" s="198"/>
      <c r="AMV117" s="199"/>
      <c r="AMW117" s="198"/>
      <c r="AMX117" s="199"/>
      <c r="AMY117" s="198"/>
      <c r="AMZ117" s="199"/>
      <c r="ANA117" s="198"/>
      <c r="ANB117" s="199"/>
      <c r="ANC117" s="198"/>
      <c r="AND117" s="199"/>
      <c r="ANE117" s="198"/>
      <c r="ANF117" s="199"/>
      <c r="ANG117" s="198"/>
      <c r="ANH117" s="199"/>
      <c r="ANI117" s="198"/>
      <c r="ANJ117" s="199"/>
      <c r="ANK117" s="198"/>
      <c r="ANL117" s="199"/>
      <c r="ANM117" s="198"/>
      <c r="ANN117" s="199"/>
      <c r="ANO117" s="198"/>
      <c r="ANP117" s="199"/>
      <c r="ANQ117" s="198"/>
      <c r="ANR117" s="199"/>
      <c r="ANS117" s="198"/>
      <c r="ANT117" s="199"/>
      <c r="ANU117" s="198"/>
      <c r="ANV117" s="199"/>
      <c r="ANW117" s="198"/>
      <c r="ANX117" s="199"/>
      <c r="ANY117" s="198"/>
      <c r="ANZ117" s="199"/>
      <c r="AOA117" s="198"/>
      <c r="AOB117" s="199"/>
      <c r="AOC117" s="198"/>
      <c r="AOD117" s="199"/>
      <c r="AOE117" s="198"/>
      <c r="AOF117" s="199"/>
      <c r="AOG117" s="198"/>
      <c r="AOH117" s="199"/>
      <c r="AOI117" s="198"/>
      <c r="AOJ117" s="199"/>
      <c r="AOK117" s="198"/>
      <c r="AOL117" s="199"/>
      <c r="AOM117" s="198"/>
      <c r="AON117" s="199"/>
      <c r="AOO117" s="198"/>
      <c r="AOP117" s="199"/>
      <c r="AOQ117" s="198"/>
      <c r="AOR117" s="199"/>
      <c r="AOS117" s="198"/>
      <c r="AOT117" s="199"/>
      <c r="AOU117" s="198"/>
      <c r="AOV117" s="199"/>
      <c r="AOW117" s="198"/>
      <c r="AOX117" s="199"/>
      <c r="AOY117" s="198"/>
      <c r="AOZ117" s="199"/>
      <c r="APA117" s="198"/>
      <c r="APB117" s="199"/>
      <c r="APC117" s="198"/>
      <c r="APD117" s="199"/>
      <c r="APE117" s="198"/>
      <c r="APF117" s="199"/>
      <c r="APG117" s="198"/>
      <c r="APH117" s="199"/>
      <c r="API117" s="198"/>
      <c r="APJ117" s="199"/>
      <c r="APK117" s="198"/>
      <c r="APL117" s="199"/>
      <c r="APM117" s="198"/>
      <c r="APN117" s="199"/>
      <c r="APO117" s="198"/>
      <c r="APP117" s="199"/>
      <c r="APQ117" s="198"/>
      <c r="APR117" s="199"/>
      <c r="APS117" s="198"/>
      <c r="APT117" s="199"/>
      <c r="APU117" s="198"/>
      <c r="APV117" s="199"/>
      <c r="APW117" s="198"/>
      <c r="APX117" s="199"/>
      <c r="APY117" s="198"/>
      <c r="APZ117" s="199"/>
      <c r="AQA117" s="198"/>
      <c r="AQB117" s="199"/>
      <c r="AQC117" s="198"/>
      <c r="AQD117" s="199"/>
      <c r="AQE117" s="198"/>
      <c r="AQF117" s="199"/>
      <c r="AQG117" s="198"/>
      <c r="AQH117" s="199"/>
      <c r="AQI117" s="198"/>
      <c r="AQJ117" s="199"/>
      <c r="AQK117" s="198"/>
      <c r="AQL117" s="199"/>
      <c r="AQM117" s="198"/>
      <c r="AQN117" s="199"/>
      <c r="AQO117" s="198"/>
      <c r="AQP117" s="199"/>
      <c r="AQQ117" s="198"/>
      <c r="AQR117" s="199"/>
      <c r="AQS117" s="198"/>
      <c r="AQT117" s="199"/>
      <c r="AQU117" s="198"/>
      <c r="AQV117" s="199"/>
      <c r="AQW117" s="198"/>
      <c r="AQX117" s="199"/>
      <c r="AQY117" s="198"/>
      <c r="AQZ117" s="199"/>
      <c r="ARA117" s="198"/>
      <c r="ARB117" s="199"/>
      <c r="ARC117" s="198"/>
      <c r="ARD117" s="199"/>
      <c r="ARE117" s="198"/>
      <c r="ARF117" s="199"/>
      <c r="ARG117" s="198"/>
      <c r="ARH117" s="199"/>
      <c r="ARI117" s="198"/>
      <c r="ARJ117" s="199"/>
      <c r="ARK117" s="198"/>
      <c r="ARL117" s="199"/>
      <c r="ARM117" s="198"/>
      <c r="ARN117" s="199"/>
      <c r="ARO117" s="198"/>
      <c r="ARP117" s="199"/>
      <c r="ARQ117" s="198"/>
      <c r="ARR117" s="199"/>
      <c r="ARS117" s="198"/>
      <c r="ART117" s="199"/>
      <c r="ARU117" s="198"/>
      <c r="ARV117" s="199"/>
      <c r="ARW117" s="198"/>
      <c r="ARX117" s="199"/>
      <c r="ARY117" s="198"/>
      <c r="ARZ117" s="199"/>
      <c r="ASA117" s="198"/>
      <c r="ASB117" s="199"/>
      <c r="ASC117" s="198"/>
      <c r="ASD117" s="199"/>
      <c r="ASE117" s="198"/>
      <c r="ASF117" s="199"/>
      <c r="ASG117" s="198"/>
      <c r="ASH117" s="199"/>
      <c r="ASI117" s="198"/>
      <c r="ASJ117" s="199"/>
      <c r="ASK117" s="198"/>
      <c r="ASL117" s="199"/>
      <c r="ASM117" s="198"/>
      <c r="ASN117" s="199"/>
      <c r="ASO117" s="198"/>
      <c r="ASP117" s="199"/>
      <c r="ASQ117" s="198"/>
      <c r="ASR117" s="199"/>
      <c r="ASS117" s="198"/>
      <c r="AST117" s="199"/>
      <c r="ASU117" s="198"/>
      <c r="ASV117" s="199"/>
      <c r="ASW117" s="198"/>
      <c r="ASX117" s="199"/>
      <c r="ASY117" s="198"/>
      <c r="ASZ117" s="199"/>
      <c r="ATA117" s="198"/>
      <c r="ATB117" s="199"/>
      <c r="ATC117" s="198"/>
      <c r="ATD117" s="199"/>
      <c r="ATE117" s="198"/>
      <c r="ATF117" s="199"/>
      <c r="ATG117" s="198"/>
      <c r="ATH117" s="199"/>
      <c r="ATI117" s="198"/>
      <c r="ATJ117" s="199"/>
      <c r="ATK117" s="198"/>
      <c r="ATL117" s="199"/>
      <c r="ATM117" s="198"/>
      <c r="ATN117" s="199"/>
      <c r="ATO117" s="198"/>
      <c r="ATP117" s="199"/>
      <c r="ATQ117" s="198"/>
      <c r="ATR117" s="199"/>
      <c r="ATS117" s="198"/>
      <c r="ATT117" s="199"/>
      <c r="ATU117" s="198"/>
      <c r="ATV117" s="199"/>
      <c r="ATW117" s="198"/>
      <c r="ATX117" s="199"/>
      <c r="ATY117" s="198"/>
      <c r="ATZ117" s="199"/>
      <c r="AUA117" s="198"/>
      <c r="AUB117" s="199"/>
      <c r="AUC117" s="198"/>
      <c r="AUD117" s="199"/>
      <c r="AUE117" s="198"/>
      <c r="AUF117" s="199"/>
      <c r="AUG117" s="198"/>
      <c r="AUH117" s="199"/>
      <c r="AUI117" s="198"/>
      <c r="AUJ117" s="199"/>
      <c r="AUK117" s="198"/>
      <c r="AUL117" s="199"/>
      <c r="AUM117" s="198"/>
      <c r="AUN117" s="199"/>
      <c r="AUO117" s="198"/>
      <c r="AUP117" s="199"/>
      <c r="AUQ117" s="198"/>
      <c r="AUR117" s="199"/>
      <c r="AUS117" s="198"/>
      <c r="AUT117" s="199"/>
      <c r="AUU117" s="198"/>
      <c r="AUV117" s="199"/>
      <c r="AUW117" s="198"/>
      <c r="AUX117" s="199"/>
      <c r="AUY117" s="198"/>
      <c r="AUZ117" s="199"/>
      <c r="AVA117" s="198"/>
      <c r="AVB117" s="199"/>
      <c r="AVC117" s="198"/>
      <c r="AVD117" s="199"/>
      <c r="AVE117" s="198"/>
      <c r="AVF117" s="199"/>
      <c r="AVG117" s="198"/>
      <c r="AVH117" s="199"/>
      <c r="AVI117" s="198"/>
      <c r="AVJ117" s="199"/>
      <c r="AVK117" s="198"/>
      <c r="AVL117" s="199"/>
      <c r="AVM117" s="198"/>
      <c r="AVN117" s="199"/>
      <c r="AVO117" s="198"/>
      <c r="AVP117" s="199"/>
      <c r="AVQ117" s="198"/>
      <c r="AVR117" s="199"/>
      <c r="AVS117" s="198"/>
      <c r="AVT117" s="199"/>
      <c r="AVU117" s="198"/>
      <c r="AVV117" s="199"/>
      <c r="AVW117" s="198"/>
      <c r="AVX117" s="199"/>
      <c r="AVY117" s="198"/>
      <c r="AVZ117" s="199"/>
      <c r="AWA117" s="198"/>
      <c r="AWB117" s="199"/>
      <c r="AWC117" s="198"/>
      <c r="AWD117" s="199"/>
      <c r="AWE117" s="198"/>
      <c r="AWF117" s="199"/>
      <c r="AWG117" s="198"/>
      <c r="AWH117" s="199"/>
      <c r="AWI117" s="198"/>
      <c r="AWJ117" s="199"/>
      <c r="AWK117" s="198"/>
      <c r="AWL117" s="199"/>
      <c r="AWM117" s="198"/>
      <c r="AWN117" s="199"/>
      <c r="AWO117" s="198"/>
      <c r="AWP117" s="199"/>
      <c r="AWQ117" s="198"/>
      <c r="AWR117" s="199"/>
      <c r="AWS117" s="198"/>
      <c r="AWT117" s="199"/>
      <c r="AWU117" s="198"/>
      <c r="AWV117" s="199"/>
      <c r="AWW117" s="198"/>
      <c r="AWX117" s="199"/>
      <c r="AWY117" s="198"/>
      <c r="AWZ117" s="199"/>
      <c r="AXA117" s="198"/>
      <c r="AXB117" s="199"/>
      <c r="AXC117" s="198"/>
      <c r="AXD117" s="199"/>
      <c r="AXE117" s="198"/>
      <c r="AXF117" s="199"/>
      <c r="AXG117" s="198"/>
      <c r="AXH117" s="199"/>
      <c r="AXI117" s="198"/>
      <c r="AXJ117" s="199"/>
      <c r="AXK117" s="198"/>
      <c r="AXL117" s="199"/>
      <c r="AXM117" s="198"/>
      <c r="AXN117" s="199"/>
      <c r="AXO117" s="198"/>
      <c r="AXP117" s="199"/>
      <c r="AXQ117" s="198"/>
      <c r="AXR117" s="199"/>
      <c r="AXS117" s="198"/>
      <c r="AXT117" s="199"/>
      <c r="AXU117" s="198"/>
      <c r="AXV117" s="199"/>
      <c r="AXW117" s="198"/>
      <c r="AXX117" s="199"/>
      <c r="AXY117" s="198"/>
      <c r="AXZ117" s="199"/>
      <c r="AYA117" s="198"/>
      <c r="AYB117" s="199"/>
      <c r="AYC117" s="198"/>
      <c r="AYD117" s="199"/>
      <c r="AYE117" s="198"/>
      <c r="AYF117" s="199"/>
      <c r="AYG117" s="198"/>
      <c r="AYH117" s="199"/>
      <c r="AYI117" s="198"/>
      <c r="AYJ117" s="199"/>
      <c r="AYK117" s="198"/>
      <c r="AYL117" s="199"/>
      <c r="AYM117" s="198"/>
      <c r="AYN117" s="199"/>
      <c r="AYO117" s="198"/>
      <c r="AYP117" s="199"/>
      <c r="AYQ117" s="198"/>
      <c r="AYR117" s="199"/>
      <c r="AYS117" s="198"/>
      <c r="AYT117" s="199"/>
      <c r="AYU117" s="198"/>
      <c r="AYV117" s="199"/>
      <c r="AYW117" s="198"/>
      <c r="AYX117" s="199"/>
      <c r="AYY117" s="198"/>
      <c r="AYZ117" s="199"/>
      <c r="AZA117" s="198"/>
      <c r="AZB117" s="199"/>
      <c r="AZC117" s="198"/>
      <c r="AZD117" s="199"/>
      <c r="AZE117" s="198"/>
      <c r="AZF117" s="199"/>
      <c r="AZG117" s="198"/>
      <c r="AZH117" s="199"/>
      <c r="AZI117" s="198"/>
      <c r="AZJ117" s="199"/>
      <c r="AZK117" s="198"/>
      <c r="AZL117" s="199"/>
      <c r="AZM117" s="198"/>
      <c r="AZN117" s="199"/>
      <c r="AZO117" s="198"/>
      <c r="AZP117" s="199"/>
      <c r="AZQ117" s="198"/>
      <c r="AZR117" s="199"/>
      <c r="AZS117" s="198"/>
      <c r="AZT117" s="199"/>
      <c r="AZU117" s="198"/>
      <c r="AZV117" s="199"/>
      <c r="AZW117" s="198"/>
      <c r="AZX117" s="199"/>
      <c r="AZY117" s="198"/>
      <c r="AZZ117" s="199"/>
      <c r="BAA117" s="198"/>
      <c r="BAB117" s="199"/>
      <c r="BAC117" s="198"/>
      <c r="BAD117" s="199"/>
      <c r="BAE117" s="198"/>
      <c r="BAF117" s="199"/>
      <c r="BAG117" s="198"/>
      <c r="BAH117" s="199"/>
      <c r="BAI117" s="198"/>
      <c r="BAJ117" s="199"/>
      <c r="BAK117" s="198"/>
      <c r="BAL117" s="199"/>
      <c r="BAM117" s="198"/>
      <c r="BAN117" s="199"/>
      <c r="BAO117" s="198"/>
      <c r="BAP117" s="199"/>
      <c r="BAQ117" s="198"/>
      <c r="BAR117" s="199"/>
      <c r="BAS117" s="198"/>
      <c r="BAT117" s="199"/>
      <c r="BAU117" s="198"/>
      <c r="BAV117" s="199"/>
      <c r="BAW117" s="198"/>
      <c r="BAX117" s="199"/>
      <c r="BAY117" s="198"/>
      <c r="BAZ117" s="199"/>
      <c r="BBA117" s="198"/>
      <c r="BBB117" s="199"/>
      <c r="BBC117" s="198"/>
      <c r="BBD117" s="199"/>
      <c r="BBE117" s="198"/>
      <c r="BBF117" s="199"/>
      <c r="BBG117" s="198"/>
      <c r="BBH117" s="199"/>
      <c r="BBI117" s="198"/>
      <c r="BBJ117" s="199"/>
      <c r="BBK117" s="198"/>
      <c r="BBL117" s="199"/>
      <c r="BBM117" s="198"/>
      <c r="BBN117" s="199"/>
      <c r="BBO117" s="198"/>
      <c r="BBP117" s="199"/>
      <c r="BBQ117" s="198"/>
      <c r="BBR117" s="199"/>
      <c r="BBS117" s="198"/>
      <c r="BBT117" s="199"/>
      <c r="BBU117" s="198"/>
      <c r="BBV117" s="199"/>
      <c r="BBW117" s="198"/>
      <c r="BBX117" s="199"/>
      <c r="BBY117" s="198"/>
      <c r="BBZ117" s="199"/>
      <c r="BCA117" s="198"/>
      <c r="BCB117" s="199"/>
      <c r="BCC117" s="198"/>
      <c r="BCD117" s="199"/>
      <c r="BCE117" s="198"/>
      <c r="BCF117" s="199"/>
      <c r="BCG117" s="198"/>
      <c r="BCH117" s="199"/>
      <c r="BCI117" s="198"/>
      <c r="BCJ117" s="199"/>
      <c r="BCK117" s="198"/>
      <c r="BCL117" s="199"/>
      <c r="BCM117" s="198"/>
      <c r="BCN117" s="199"/>
      <c r="BCO117" s="198"/>
      <c r="BCP117" s="199"/>
      <c r="BCQ117" s="198"/>
      <c r="BCR117" s="199"/>
      <c r="BCS117" s="198"/>
      <c r="BCT117" s="199"/>
      <c r="BCU117" s="198"/>
      <c r="BCV117" s="199"/>
      <c r="BCW117" s="198"/>
      <c r="BCX117" s="199"/>
      <c r="BCY117" s="198"/>
      <c r="BCZ117" s="199"/>
      <c r="BDA117" s="198"/>
      <c r="BDB117" s="199"/>
      <c r="BDC117" s="198"/>
      <c r="BDD117" s="199"/>
      <c r="BDE117" s="198"/>
      <c r="BDF117" s="199"/>
      <c r="BDG117" s="198"/>
      <c r="BDH117" s="199"/>
      <c r="BDI117" s="198"/>
      <c r="BDJ117" s="199"/>
      <c r="BDK117" s="198"/>
      <c r="BDL117" s="199"/>
      <c r="BDM117" s="198"/>
      <c r="BDN117" s="199"/>
      <c r="BDO117" s="198"/>
      <c r="BDP117" s="199"/>
      <c r="BDQ117" s="198"/>
      <c r="BDR117" s="199"/>
      <c r="BDS117" s="198"/>
      <c r="BDT117" s="199"/>
      <c r="BDU117" s="198"/>
      <c r="BDV117" s="199"/>
      <c r="BDW117" s="198"/>
      <c r="BDX117" s="199"/>
      <c r="BDY117" s="198"/>
      <c r="BDZ117" s="199"/>
      <c r="BEA117" s="198"/>
      <c r="BEB117" s="199"/>
      <c r="BEC117" s="198"/>
      <c r="BED117" s="199"/>
      <c r="BEE117" s="198"/>
      <c r="BEF117" s="199"/>
      <c r="BEG117" s="198"/>
      <c r="BEH117" s="199"/>
      <c r="BEI117" s="198"/>
      <c r="BEJ117" s="199"/>
      <c r="BEK117" s="198"/>
      <c r="BEL117" s="199"/>
      <c r="BEM117" s="198"/>
      <c r="BEN117" s="199"/>
      <c r="BEO117" s="198"/>
      <c r="BEP117" s="199"/>
      <c r="BEQ117" s="198"/>
      <c r="BER117" s="199"/>
      <c r="BES117" s="198"/>
      <c r="BET117" s="199"/>
      <c r="BEU117" s="198"/>
      <c r="BEV117" s="199"/>
      <c r="BEW117" s="198"/>
      <c r="BEX117" s="199"/>
      <c r="BEY117" s="198"/>
      <c r="BEZ117" s="199"/>
      <c r="BFA117" s="198"/>
      <c r="BFB117" s="199"/>
      <c r="BFC117" s="198"/>
      <c r="BFD117" s="199"/>
      <c r="BFE117" s="198"/>
      <c r="BFF117" s="199"/>
      <c r="BFG117" s="198"/>
      <c r="BFH117" s="199"/>
      <c r="BFI117" s="198"/>
      <c r="BFJ117" s="199"/>
      <c r="BFK117" s="198"/>
      <c r="BFL117" s="199"/>
      <c r="BFM117" s="198"/>
      <c r="BFN117" s="199"/>
      <c r="BFO117" s="198"/>
      <c r="BFP117" s="199"/>
      <c r="BFQ117" s="198"/>
      <c r="BFR117" s="199"/>
      <c r="BFS117" s="198"/>
      <c r="BFT117" s="199"/>
      <c r="BFU117" s="198"/>
      <c r="BFV117" s="199"/>
      <c r="BFW117" s="198"/>
      <c r="BFX117" s="199"/>
      <c r="BFY117" s="198"/>
      <c r="BFZ117" s="199"/>
      <c r="BGA117" s="198"/>
      <c r="BGB117" s="199"/>
      <c r="BGC117" s="198"/>
      <c r="BGD117" s="199"/>
      <c r="BGE117" s="198"/>
      <c r="BGF117" s="199"/>
      <c r="BGG117" s="198"/>
      <c r="BGH117" s="199"/>
      <c r="BGI117" s="198"/>
      <c r="BGJ117" s="199"/>
      <c r="BGK117" s="198"/>
      <c r="BGL117" s="199"/>
      <c r="BGM117" s="198"/>
      <c r="BGN117" s="199"/>
      <c r="BGO117" s="198"/>
      <c r="BGP117" s="199"/>
      <c r="BGQ117" s="198"/>
      <c r="BGR117" s="199"/>
      <c r="BGS117" s="198"/>
      <c r="BGT117" s="199"/>
      <c r="BGU117" s="198"/>
      <c r="BGV117" s="199"/>
      <c r="BGW117" s="198"/>
      <c r="BGX117" s="199"/>
      <c r="BGY117" s="198"/>
      <c r="BGZ117" s="199"/>
      <c r="BHA117" s="198"/>
      <c r="BHB117" s="199"/>
      <c r="BHC117" s="198"/>
      <c r="BHD117" s="199"/>
      <c r="BHE117" s="198"/>
      <c r="BHF117" s="199"/>
      <c r="BHG117" s="198"/>
      <c r="BHH117" s="199"/>
      <c r="BHI117" s="198"/>
      <c r="BHJ117" s="199"/>
      <c r="BHK117" s="198"/>
      <c r="BHL117" s="199"/>
      <c r="BHM117" s="198"/>
      <c r="BHN117" s="199"/>
      <c r="BHO117" s="198"/>
      <c r="BHP117" s="199"/>
      <c r="BHQ117" s="198"/>
      <c r="BHR117" s="199"/>
      <c r="BHS117" s="198"/>
      <c r="BHT117" s="199"/>
      <c r="BHU117" s="198"/>
      <c r="BHV117" s="199"/>
      <c r="BHW117" s="198"/>
      <c r="BHX117" s="199"/>
      <c r="BHY117" s="198"/>
      <c r="BHZ117" s="199"/>
      <c r="BIA117" s="198"/>
      <c r="BIB117" s="199"/>
      <c r="BIC117" s="198"/>
      <c r="BID117" s="199"/>
      <c r="BIE117" s="198"/>
      <c r="BIF117" s="199"/>
      <c r="BIG117" s="198"/>
      <c r="BIH117" s="199"/>
      <c r="BII117" s="198"/>
      <c r="BIJ117" s="199"/>
      <c r="BIK117" s="198"/>
      <c r="BIL117" s="199"/>
      <c r="BIM117" s="198"/>
      <c r="BIN117" s="199"/>
      <c r="BIO117" s="198"/>
      <c r="BIP117" s="199"/>
      <c r="BIQ117" s="198"/>
      <c r="BIR117" s="199"/>
      <c r="BIS117" s="198"/>
      <c r="BIT117" s="199"/>
      <c r="BIU117" s="198"/>
      <c r="BIV117" s="199"/>
      <c r="BIW117" s="198"/>
      <c r="BIX117" s="199"/>
      <c r="BIY117" s="198"/>
      <c r="BIZ117" s="199"/>
      <c r="BJA117" s="198"/>
      <c r="BJB117" s="199"/>
      <c r="BJC117" s="198"/>
      <c r="BJD117" s="199"/>
      <c r="BJE117" s="198"/>
      <c r="BJF117" s="199"/>
      <c r="BJG117" s="198"/>
      <c r="BJH117" s="199"/>
      <c r="BJI117" s="198"/>
      <c r="BJJ117" s="199"/>
      <c r="BJK117" s="198"/>
      <c r="BJL117" s="199"/>
      <c r="BJM117" s="198"/>
      <c r="BJN117" s="199"/>
      <c r="BJO117" s="198"/>
      <c r="BJP117" s="199"/>
      <c r="BJQ117" s="198"/>
      <c r="BJR117" s="199"/>
      <c r="BJS117" s="198"/>
      <c r="BJT117" s="199"/>
      <c r="BJU117" s="198"/>
      <c r="BJV117" s="199"/>
      <c r="BJW117" s="198"/>
      <c r="BJX117" s="199"/>
      <c r="BJY117" s="198"/>
      <c r="BJZ117" s="199"/>
      <c r="BKA117" s="198"/>
      <c r="BKB117" s="199"/>
      <c r="BKC117" s="198"/>
      <c r="BKD117" s="199"/>
      <c r="BKE117" s="198"/>
      <c r="BKF117" s="199"/>
      <c r="BKG117" s="198"/>
      <c r="BKH117" s="199"/>
      <c r="BKI117" s="198"/>
      <c r="BKJ117" s="199"/>
      <c r="BKK117" s="198"/>
      <c r="BKL117" s="199"/>
      <c r="BKM117" s="198"/>
      <c r="BKN117" s="199"/>
      <c r="BKO117" s="198"/>
      <c r="BKP117" s="199"/>
      <c r="BKQ117" s="198"/>
      <c r="BKR117" s="199"/>
      <c r="BKS117" s="198"/>
      <c r="BKT117" s="199"/>
      <c r="BKU117" s="198"/>
      <c r="BKV117" s="199"/>
      <c r="BKW117" s="198"/>
      <c r="BKX117" s="199"/>
      <c r="BKY117" s="198"/>
      <c r="BKZ117" s="199"/>
      <c r="BLA117" s="198"/>
      <c r="BLB117" s="199"/>
      <c r="BLC117" s="198"/>
      <c r="BLD117" s="199"/>
      <c r="BLE117" s="198"/>
      <c r="BLF117" s="199"/>
      <c r="BLG117" s="198"/>
      <c r="BLH117" s="199"/>
      <c r="BLI117" s="198"/>
      <c r="BLJ117" s="199"/>
      <c r="BLK117" s="198"/>
      <c r="BLL117" s="199"/>
      <c r="BLM117" s="198"/>
      <c r="BLN117" s="199"/>
      <c r="BLO117" s="198"/>
      <c r="BLP117" s="199"/>
      <c r="BLQ117" s="198"/>
      <c r="BLR117" s="199"/>
      <c r="BLS117" s="198"/>
      <c r="BLT117" s="199"/>
      <c r="BLU117" s="198"/>
      <c r="BLV117" s="199"/>
      <c r="BLW117" s="198"/>
      <c r="BLX117" s="199"/>
      <c r="BLY117" s="198"/>
      <c r="BLZ117" s="199"/>
      <c r="BMA117" s="198"/>
      <c r="BMB117" s="199"/>
      <c r="BMC117" s="198"/>
      <c r="BMD117" s="199"/>
      <c r="BME117" s="198"/>
      <c r="BMF117" s="199"/>
      <c r="BMG117" s="198"/>
      <c r="BMH117" s="199"/>
      <c r="BMI117" s="198"/>
      <c r="BMJ117" s="199"/>
      <c r="BMK117" s="198"/>
      <c r="BML117" s="199"/>
      <c r="BMM117" s="198"/>
      <c r="BMN117" s="199"/>
      <c r="BMO117" s="198"/>
      <c r="BMP117" s="199"/>
      <c r="BMQ117" s="198"/>
      <c r="BMR117" s="199"/>
      <c r="BMS117" s="198"/>
      <c r="BMT117" s="199"/>
      <c r="BMU117" s="198"/>
      <c r="BMV117" s="199"/>
      <c r="BMW117" s="198"/>
      <c r="BMX117" s="199"/>
      <c r="BMY117" s="198"/>
      <c r="BMZ117" s="199"/>
      <c r="BNA117" s="198"/>
      <c r="BNB117" s="199"/>
      <c r="BNC117" s="198"/>
      <c r="BND117" s="199"/>
      <c r="BNE117" s="198"/>
      <c r="BNF117" s="199"/>
      <c r="BNG117" s="198"/>
      <c r="BNH117" s="199"/>
      <c r="BNI117" s="198"/>
      <c r="BNJ117" s="199"/>
      <c r="BNK117" s="198"/>
      <c r="BNL117" s="199"/>
      <c r="BNM117" s="198"/>
      <c r="BNN117" s="199"/>
      <c r="BNO117" s="198"/>
      <c r="BNP117" s="199"/>
      <c r="BNQ117" s="198"/>
      <c r="BNR117" s="199"/>
      <c r="BNS117" s="198"/>
      <c r="BNT117" s="199"/>
      <c r="BNU117" s="198"/>
      <c r="BNV117" s="199"/>
      <c r="BNW117" s="198"/>
      <c r="BNX117" s="199"/>
      <c r="BNY117" s="198"/>
      <c r="BNZ117" s="199"/>
      <c r="BOA117" s="198"/>
      <c r="BOB117" s="199"/>
      <c r="BOC117" s="198"/>
      <c r="BOD117" s="199"/>
      <c r="BOE117" s="198"/>
      <c r="BOF117" s="199"/>
      <c r="BOG117" s="198"/>
      <c r="BOH117" s="199"/>
      <c r="BOI117" s="198"/>
      <c r="BOJ117" s="199"/>
      <c r="BOK117" s="198"/>
      <c r="BOL117" s="199"/>
      <c r="BOM117" s="198"/>
      <c r="BON117" s="199"/>
      <c r="BOO117" s="198"/>
      <c r="BOP117" s="199"/>
      <c r="BOQ117" s="198"/>
      <c r="BOR117" s="199"/>
      <c r="BOS117" s="198"/>
      <c r="BOT117" s="199"/>
      <c r="BOU117" s="198"/>
      <c r="BOV117" s="199"/>
      <c r="BOW117" s="198"/>
      <c r="BOX117" s="199"/>
      <c r="BOY117" s="198"/>
      <c r="BOZ117" s="199"/>
      <c r="BPA117" s="198"/>
      <c r="BPB117" s="199"/>
      <c r="BPC117" s="198"/>
      <c r="BPD117" s="199"/>
      <c r="BPE117" s="198"/>
      <c r="BPF117" s="199"/>
      <c r="BPG117" s="198"/>
      <c r="BPH117" s="199"/>
      <c r="BPI117" s="198"/>
      <c r="BPJ117" s="199"/>
      <c r="BPK117" s="198"/>
      <c r="BPL117" s="199"/>
      <c r="BPM117" s="198"/>
      <c r="BPN117" s="199"/>
      <c r="BPO117" s="198"/>
      <c r="BPP117" s="199"/>
      <c r="BPQ117" s="198"/>
      <c r="BPR117" s="199"/>
      <c r="BPS117" s="198"/>
      <c r="BPT117" s="199"/>
      <c r="BPU117" s="198"/>
      <c r="BPV117" s="199"/>
      <c r="BPW117" s="198"/>
      <c r="BPX117" s="199"/>
      <c r="BPY117" s="198"/>
      <c r="BPZ117" s="199"/>
      <c r="BQA117" s="198"/>
      <c r="BQB117" s="199"/>
      <c r="BQC117" s="198"/>
      <c r="BQD117" s="199"/>
      <c r="BQE117" s="198"/>
      <c r="BQF117" s="199"/>
      <c r="BQG117" s="198"/>
      <c r="BQH117" s="199"/>
      <c r="BQI117" s="198"/>
      <c r="BQJ117" s="199"/>
      <c r="BQK117" s="198"/>
      <c r="BQL117" s="199"/>
      <c r="BQM117" s="198"/>
      <c r="BQN117" s="199"/>
      <c r="BQO117" s="198"/>
      <c r="BQP117" s="199"/>
      <c r="BQQ117" s="198"/>
      <c r="BQR117" s="199"/>
      <c r="BQS117" s="198"/>
      <c r="BQT117" s="199"/>
      <c r="BQU117" s="198"/>
      <c r="BQV117" s="199"/>
      <c r="BQW117" s="198"/>
      <c r="BQX117" s="199"/>
      <c r="BQY117" s="198"/>
      <c r="BQZ117" s="199"/>
      <c r="BRA117" s="198"/>
      <c r="BRB117" s="199"/>
      <c r="BRC117" s="198"/>
      <c r="BRD117" s="199"/>
      <c r="BRE117" s="198"/>
      <c r="BRF117" s="199"/>
      <c r="BRG117" s="198"/>
      <c r="BRH117" s="199"/>
      <c r="BRI117" s="198"/>
      <c r="BRJ117" s="199"/>
      <c r="BRK117" s="198"/>
      <c r="BRL117" s="199"/>
      <c r="BRM117" s="198"/>
      <c r="BRN117" s="199"/>
      <c r="BRO117" s="198"/>
      <c r="BRP117" s="199"/>
      <c r="BRQ117" s="198"/>
      <c r="BRR117" s="199"/>
      <c r="BRS117" s="198"/>
      <c r="BRT117" s="199"/>
      <c r="BRU117" s="198"/>
      <c r="BRV117" s="199"/>
      <c r="BRW117" s="198"/>
      <c r="BRX117" s="199"/>
      <c r="BRY117" s="198"/>
      <c r="BRZ117" s="199"/>
      <c r="BSA117" s="198"/>
      <c r="BSB117" s="199"/>
      <c r="BSC117" s="198"/>
      <c r="BSD117" s="199"/>
      <c r="BSE117" s="198"/>
      <c r="BSF117" s="199"/>
      <c r="BSG117" s="198"/>
      <c r="BSH117" s="199"/>
      <c r="BSI117" s="198"/>
      <c r="BSJ117" s="199"/>
      <c r="BSK117" s="198"/>
      <c r="BSL117" s="199"/>
      <c r="BSM117" s="198"/>
      <c r="BSN117" s="199"/>
      <c r="BSO117" s="198"/>
      <c r="BSP117" s="199"/>
      <c r="BSQ117" s="198"/>
      <c r="BSR117" s="199"/>
      <c r="BSS117" s="198"/>
      <c r="BST117" s="199"/>
      <c r="BSU117" s="198"/>
      <c r="BSV117" s="199"/>
      <c r="BSW117" s="198"/>
      <c r="BSX117" s="199"/>
      <c r="BSY117" s="198"/>
      <c r="BSZ117" s="199"/>
      <c r="BTA117" s="198"/>
      <c r="BTB117" s="199"/>
      <c r="BTC117" s="198"/>
      <c r="BTD117" s="199"/>
      <c r="BTE117" s="198"/>
      <c r="BTF117" s="199"/>
      <c r="BTG117" s="198"/>
      <c r="BTH117" s="199"/>
      <c r="BTI117" s="198"/>
      <c r="BTJ117" s="199"/>
      <c r="BTK117" s="198"/>
      <c r="BTL117" s="199"/>
      <c r="BTM117" s="198"/>
      <c r="BTN117" s="199"/>
      <c r="BTO117" s="198"/>
      <c r="BTP117" s="199"/>
      <c r="BTQ117" s="198"/>
      <c r="BTR117" s="199"/>
      <c r="BTS117" s="198"/>
      <c r="BTT117" s="199"/>
      <c r="BTU117" s="198"/>
      <c r="BTV117" s="199"/>
      <c r="BTW117" s="198"/>
      <c r="BTX117" s="199"/>
      <c r="BTY117" s="198"/>
      <c r="BTZ117" s="199"/>
      <c r="BUA117" s="198"/>
      <c r="BUB117" s="199"/>
      <c r="BUC117" s="198"/>
      <c r="BUD117" s="199"/>
      <c r="BUE117" s="198"/>
      <c r="BUF117" s="199"/>
      <c r="BUG117" s="198"/>
      <c r="BUH117" s="199"/>
      <c r="BUI117" s="198"/>
      <c r="BUJ117" s="199"/>
      <c r="BUK117" s="198"/>
      <c r="BUL117" s="199"/>
      <c r="BUM117" s="198"/>
      <c r="BUN117" s="199"/>
      <c r="BUO117" s="198"/>
      <c r="BUP117" s="199"/>
      <c r="BUQ117" s="198"/>
      <c r="BUR117" s="199"/>
      <c r="BUS117" s="198"/>
      <c r="BUT117" s="199"/>
      <c r="BUU117" s="198"/>
      <c r="BUV117" s="199"/>
      <c r="BUW117" s="198"/>
      <c r="BUX117" s="199"/>
      <c r="BUY117" s="198"/>
      <c r="BUZ117" s="199"/>
      <c r="BVA117" s="198"/>
      <c r="BVB117" s="199"/>
      <c r="BVC117" s="198"/>
      <c r="BVD117" s="199"/>
      <c r="BVE117" s="198"/>
      <c r="BVF117" s="199"/>
      <c r="BVG117" s="198"/>
      <c r="BVH117" s="199"/>
      <c r="BVI117" s="198"/>
      <c r="BVJ117" s="199"/>
      <c r="BVK117" s="198"/>
      <c r="BVL117" s="199"/>
      <c r="BVM117" s="198"/>
      <c r="BVN117" s="199"/>
      <c r="BVO117" s="198"/>
      <c r="BVP117" s="199"/>
      <c r="BVQ117" s="198"/>
      <c r="BVR117" s="199"/>
      <c r="BVS117" s="198"/>
      <c r="BVT117" s="199"/>
      <c r="BVU117" s="198"/>
      <c r="BVV117" s="199"/>
      <c r="BVW117" s="198"/>
      <c r="BVX117" s="199"/>
      <c r="BVY117" s="198"/>
      <c r="BVZ117" s="199"/>
      <c r="BWA117" s="198"/>
      <c r="BWB117" s="199"/>
      <c r="BWC117" s="198"/>
      <c r="BWD117" s="199"/>
      <c r="BWE117" s="198"/>
      <c r="BWF117" s="199"/>
      <c r="BWG117" s="198"/>
      <c r="BWH117" s="199"/>
      <c r="BWI117" s="198"/>
      <c r="BWJ117" s="199"/>
      <c r="BWK117" s="198"/>
      <c r="BWL117" s="199"/>
      <c r="BWM117" s="198"/>
      <c r="BWN117" s="199"/>
      <c r="BWO117" s="198"/>
      <c r="BWP117" s="199"/>
      <c r="BWQ117" s="198"/>
      <c r="BWR117" s="199"/>
      <c r="BWS117" s="198"/>
      <c r="BWT117" s="199"/>
      <c r="BWU117" s="198"/>
      <c r="BWV117" s="199"/>
      <c r="BWW117" s="198"/>
      <c r="BWX117" s="199"/>
      <c r="BWY117" s="198"/>
      <c r="BWZ117" s="199"/>
      <c r="BXA117" s="198"/>
      <c r="BXB117" s="199"/>
      <c r="BXC117" s="198"/>
      <c r="BXD117" s="199"/>
      <c r="BXE117" s="198"/>
      <c r="BXF117" s="199"/>
      <c r="BXG117" s="198"/>
      <c r="BXH117" s="199"/>
      <c r="BXI117" s="198"/>
      <c r="BXJ117" s="199"/>
      <c r="BXK117" s="198"/>
      <c r="BXL117" s="199"/>
      <c r="BXM117" s="198"/>
      <c r="BXN117" s="199"/>
      <c r="BXO117" s="198"/>
      <c r="BXP117" s="199"/>
      <c r="BXQ117" s="198"/>
      <c r="BXR117" s="199"/>
      <c r="BXS117" s="198"/>
      <c r="BXT117" s="199"/>
      <c r="BXU117" s="198"/>
      <c r="BXV117" s="199"/>
      <c r="BXW117" s="198"/>
      <c r="BXX117" s="199"/>
      <c r="BXY117" s="198"/>
      <c r="BXZ117" s="199"/>
      <c r="BYA117" s="198"/>
      <c r="BYB117" s="199"/>
      <c r="BYC117" s="198"/>
      <c r="BYD117" s="199"/>
      <c r="BYE117" s="198"/>
      <c r="BYF117" s="199"/>
      <c r="BYG117" s="198"/>
      <c r="BYH117" s="199"/>
      <c r="BYI117" s="198"/>
      <c r="BYJ117" s="199"/>
      <c r="BYK117" s="198"/>
      <c r="BYL117" s="199"/>
      <c r="BYM117" s="198"/>
      <c r="BYN117" s="199"/>
      <c r="BYO117" s="198"/>
      <c r="BYP117" s="199"/>
      <c r="BYQ117" s="198"/>
      <c r="BYR117" s="199"/>
      <c r="BYS117" s="198"/>
      <c r="BYT117" s="199"/>
      <c r="BYU117" s="198"/>
      <c r="BYV117" s="199"/>
      <c r="BYW117" s="198"/>
      <c r="BYX117" s="199"/>
      <c r="BYY117" s="198"/>
      <c r="BYZ117" s="199"/>
      <c r="BZA117" s="198"/>
      <c r="BZB117" s="199"/>
      <c r="BZC117" s="198"/>
      <c r="BZD117" s="199"/>
      <c r="BZE117" s="198"/>
      <c r="BZF117" s="199"/>
      <c r="BZG117" s="198"/>
      <c r="BZH117" s="199"/>
      <c r="BZI117" s="198"/>
      <c r="BZJ117" s="199"/>
      <c r="BZK117" s="198"/>
      <c r="BZL117" s="199"/>
      <c r="BZM117" s="198"/>
      <c r="BZN117" s="199"/>
      <c r="BZO117" s="198"/>
      <c r="BZP117" s="199"/>
      <c r="BZQ117" s="198"/>
      <c r="BZR117" s="199"/>
      <c r="BZS117" s="198"/>
      <c r="BZT117" s="199"/>
      <c r="BZU117" s="198"/>
      <c r="BZV117" s="199"/>
      <c r="BZW117" s="198"/>
      <c r="BZX117" s="199"/>
      <c r="BZY117" s="198"/>
      <c r="BZZ117" s="199"/>
      <c r="CAA117" s="198"/>
      <c r="CAB117" s="199"/>
      <c r="CAC117" s="198"/>
      <c r="CAD117" s="199"/>
      <c r="CAE117" s="198"/>
      <c r="CAF117" s="199"/>
      <c r="CAG117" s="198"/>
      <c r="CAH117" s="199"/>
      <c r="CAI117" s="198"/>
      <c r="CAJ117" s="199"/>
      <c r="CAK117" s="198"/>
      <c r="CAL117" s="199"/>
      <c r="CAM117" s="198"/>
      <c r="CAN117" s="199"/>
      <c r="CAO117" s="198"/>
      <c r="CAP117" s="199"/>
      <c r="CAQ117" s="198"/>
      <c r="CAR117" s="199"/>
      <c r="CAS117" s="198"/>
      <c r="CAT117" s="199"/>
      <c r="CAU117" s="198"/>
      <c r="CAV117" s="199"/>
      <c r="CAW117" s="198"/>
      <c r="CAX117" s="199"/>
      <c r="CAY117" s="198"/>
      <c r="CAZ117" s="199"/>
      <c r="CBA117" s="198"/>
      <c r="CBB117" s="199"/>
      <c r="CBC117" s="198"/>
      <c r="CBD117" s="199"/>
      <c r="CBE117" s="198"/>
      <c r="CBF117" s="199"/>
      <c r="CBG117" s="198"/>
      <c r="CBH117" s="199"/>
      <c r="CBI117" s="198"/>
      <c r="CBJ117" s="199"/>
      <c r="CBK117" s="198"/>
      <c r="CBL117" s="199"/>
      <c r="CBM117" s="198"/>
      <c r="CBN117" s="199"/>
      <c r="CBO117" s="198"/>
      <c r="CBP117" s="199"/>
      <c r="CBQ117" s="198"/>
      <c r="CBR117" s="199"/>
      <c r="CBS117" s="198"/>
      <c r="CBT117" s="199"/>
      <c r="CBU117" s="198"/>
      <c r="CBV117" s="199"/>
      <c r="CBW117" s="198"/>
      <c r="CBX117" s="199"/>
      <c r="CBY117" s="198"/>
      <c r="CBZ117" s="199"/>
      <c r="CCA117" s="198"/>
      <c r="CCB117" s="199"/>
      <c r="CCC117" s="198"/>
      <c r="CCD117" s="199"/>
      <c r="CCE117" s="198"/>
      <c r="CCF117" s="199"/>
      <c r="CCG117" s="198"/>
      <c r="CCH117" s="199"/>
      <c r="CCI117" s="198"/>
      <c r="CCJ117" s="199"/>
      <c r="CCK117" s="198"/>
      <c r="CCL117" s="199"/>
      <c r="CCM117" s="198"/>
      <c r="CCN117" s="199"/>
      <c r="CCO117" s="198"/>
      <c r="CCP117" s="199"/>
      <c r="CCQ117" s="198"/>
      <c r="CCR117" s="199"/>
      <c r="CCS117" s="198"/>
      <c r="CCT117" s="199"/>
      <c r="CCU117" s="198"/>
      <c r="CCV117" s="199"/>
      <c r="CCW117" s="198"/>
      <c r="CCX117" s="199"/>
      <c r="CCY117" s="198"/>
      <c r="CCZ117" s="199"/>
      <c r="CDA117" s="198"/>
      <c r="CDB117" s="199"/>
      <c r="CDC117" s="198"/>
      <c r="CDD117" s="199"/>
      <c r="CDE117" s="198"/>
      <c r="CDF117" s="199"/>
      <c r="CDG117" s="198"/>
      <c r="CDH117" s="199"/>
      <c r="CDI117" s="198"/>
      <c r="CDJ117" s="199"/>
      <c r="CDK117" s="198"/>
      <c r="CDL117" s="199"/>
      <c r="CDM117" s="198"/>
      <c r="CDN117" s="199"/>
      <c r="CDO117" s="198"/>
      <c r="CDP117" s="199"/>
      <c r="CDQ117" s="198"/>
      <c r="CDR117" s="199"/>
      <c r="CDS117" s="198"/>
      <c r="CDT117" s="199"/>
      <c r="CDU117" s="198"/>
      <c r="CDV117" s="199"/>
      <c r="CDW117" s="198"/>
      <c r="CDX117" s="199"/>
      <c r="CDY117" s="198"/>
      <c r="CDZ117" s="199"/>
      <c r="CEA117" s="198"/>
      <c r="CEB117" s="199"/>
      <c r="CEC117" s="198"/>
      <c r="CED117" s="199"/>
      <c r="CEE117" s="198"/>
      <c r="CEF117" s="199"/>
      <c r="CEG117" s="198"/>
      <c r="CEH117" s="199"/>
      <c r="CEI117" s="198"/>
      <c r="CEJ117" s="199"/>
      <c r="CEK117" s="198"/>
      <c r="CEL117" s="199"/>
      <c r="CEM117" s="198"/>
      <c r="CEN117" s="199"/>
      <c r="CEO117" s="198"/>
      <c r="CEP117" s="199"/>
      <c r="CEQ117" s="198"/>
      <c r="CER117" s="199"/>
      <c r="CES117" s="198"/>
      <c r="CET117" s="199"/>
      <c r="CEU117" s="198"/>
      <c r="CEV117" s="199"/>
      <c r="CEW117" s="198"/>
      <c r="CEX117" s="199"/>
      <c r="CEY117" s="198"/>
      <c r="CEZ117" s="199"/>
      <c r="CFA117" s="198"/>
      <c r="CFB117" s="199"/>
      <c r="CFC117" s="198"/>
      <c r="CFD117" s="199"/>
      <c r="CFE117" s="198"/>
      <c r="CFF117" s="199"/>
      <c r="CFG117" s="198"/>
      <c r="CFH117" s="199"/>
      <c r="CFI117" s="198"/>
      <c r="CFJ117" s="199"/>
      <c r="CFK117" s="198"/>
      <c r="CFL117" s="199"/>
      <c r="CFM117" s="198"/>
      <c r="CFN117" s="199"/>
      <c r="CFO117" s="198"/>
      <c r="CFP117" s="199"/>
      <c r="CFQ117" s="198"/>
      <c r="CFR117" s="199"/>
      <c r="CFS117" s="198"/>
      <c r="CFT117" s="199"/>
      <c r="CFU117" s="198"/>
      <c r="CFV117" s="199"/>
      <c r="CFW117" s="198"/>
      <c r="CFX117" s="199"/>
      <c r="CFY117" s="198"/>
      <c r="CFZ117" s="199"/>
      <c r="CGA117" s="198"/>
      <c r="CGB117" s="199"/>
      <c r="CGC117" s="198"/>
      <c r="CGD117" s="199"/>
      <c r="CGE117" s="198"/>
      <c r="CGF117" s="199"/>
      <c r="CGG117" s="198"/>
      <c r="CGH117" s="199"/>
      <c r="CGI117" s="198"/>
      <c r="CGJ117" s="199"/>
      <c r="CGK117" s="198"/>
      <c r="CGL117" s="199"/>
      <c r="CGM117" s="198"/>
      <c r="CGN117" s="199"/>
      <c r="CGO117" s="198"/>
      <c r="CGP117" s="199"/>
      <c r="CGQ117" s="198"/>
      <c r="CGR117" s="199"/>
      <c r="CGS117" s="198"/>
      <c r="CGT117" s="199"/>
      <c r="CGU117" s="198"/>
      <c r="CGV117" s="199"/>
      <c r="CGW117" s="198"/>
      <c r="CGX117" s="199"/>
      <c r="CGY117" s="198"/>
      <c r="CGZ117" s="199"/>
      <c r="CHA117" s="198"/>
      <c r="CHB117" s="199"/>
      <c r="CHC117" s="198"/>
      <c r="CHD117" s="199"/>
      <c r="CHE117" s="198"/>
      <c r="CHF117" s="199"/>
      <c r="CHG117" s="198"/>
      <c r="CHH117" s="199"/>
      <c r="CHI117" s="198"/>
      <c r="CHJ117" s="199"/>
      <c r="CHK117" s="198"/>
      <c r="CHL117" s="199"/>
      <c r="CHM117" s="198"/>
      <c r="CHN117" s="199"/>
      <c r="CHO117" s="198"/>
      <c r="CHP117" s="199"/>
      <c r="CHQ117" s="198"/>
      <c r="CHR117" s="199"/>
      <c r="CHS117" s="198"/>
      <c r="CHT117" s="199"/>
      <c r="CHU117" s="198"/>
      <c r="CHV117" s="199"/>
      <c r="CHW117" s="198"/>
      <c r="CHX117" s="199"/>
      <c r="CHY117" s="198"/>
      <c r="CHZ117" s="199"/>
      <c r="CIA117" s="198"/>
      <c r="CIB117" s="199"/>
      <c r="CIC117" s="198"/>
      <c r="CID117" s="199"/>
      <c r="CIE117" s="198"/>
      <c r="CIF117" s="199"/>
      <c r="CIG117" s="198"/>
      <c r="CIH117" s="199"/>
      <c r="CII117" s="198"/>
      <c r="CIJ117" s="199"/>
      <c r="CIK117" s="198"/>
      <c r="CIL117" s="199"/>
      <c r="CIM117" s="198"/>
      <c r="CIN117" s="199"/>
      <c r="CIO117" s="198"/>
      <c r="CIP117" s="199"/>
      <c r="CIQ117" s="198"/>
      <c r="CIR117" s="199"/>
      <c r="CIS117" s="198"/>
      <c r="CIT117" s="199"/>
      <c r="CIU117" s="198"/>
      <c r="CIV117" s="199"/>
      <c r="CIW117" s="198"/>
      <c r="CIX117" s="199"/>
      <c r="CIY117" s="198"/>
      <c r="CIZ117" s="199"/>
      <c r="CJA117" s="198"/>
      <c r="CJB117" s="199"/>
      <c r="CJC117" s="198"/>
      <c r="CJD117" s="199"/>
      <c r="CJE117" s="198"/>
      <c r="CJF117" s="199"/>
      <c r="CJG117" s="198"/>
      <c r="CJH117" s="199"/>
      <c r="CJI117" s="198"/>
      <c r="CJJ117" s="199"/>
      <c r="CJK117" s="198"/>
      <c r="CJL117" s="199"/>
      <c r="CJM117" s="198"/>
      <c r="CJN117" s="199"/>
      <c r="CJO117" s="198"/>
      <c r="CJP117" s="199"/>
      <c r="CJQ117" s="198"/>
      <c r="CJR117" s="199"/>
      <c r="CJS117" s="198"/>
      <c r="CJT117" s="199"/>
      <c r="CJU117" s="198"/>
      <c r="CJV117" s="199"/>
      <c r="CJW117" s="198"/>
      <c r="CJX117" s="199"/>
      <c r="CJY117" s="198"/>
      <c r="CJZ117" s="199"/>
      <c r="CKA117" s="198"/>
      <c r="CKB117" s="199"/>
      <c r="CKC117" s="198"/>
      <c r="CKD117" s="199"/>
      <c r="CKE117" s="198"/>
      <c r="CKF117" s="199"/>
      <c r="CKG117" s="198"/>
      <c r="CKH117" s="199"/>
      <c r="CKI117" s="198"/>
      <c r="CKJ117" s="199"/>
      <c r="CKK117" s="198"/>
      <c r="CKL117" s="199"/>
      <c r="CKM117" s="198"/>
      <c r="CKN117" s="199"/>
      <c r="CKO117" s="198"/>
      <c r="CKP117" s="199"/>
      <c r="CKQ117" s="198"/>
      <c r="CKR117" s="199"/>
      <c r="CKS117" s="198"/>
      <c r="CKT117" s="199"/>
      <c r="CKU117" s="198"/>
      <c r="CKV117" s="199"/>
      <c r="CKW117" s="198"/>
      <c r="CKX117" s="199"/>
      <c r="CKY117" s="198"/>
      <c r="CKZ117" s="199"/>
      <c r="CLA117" s="198"/>
      <c r="CLB117" s="199"/>
      <c r="CLC117" s="198"/>
      <c r="CLD117" s="199"/>
      <c r="CLE117" s="198"/>
      <c r="CLF117" s="199"/>
      <c r="CLG117" s="198"/>
      <c r="CLH117" s="199"/>
      <c r="CLI117" s="198"/>
      <c r="CLJ117" s="199"/>
      <c r="CLK117" s="198"/>
      <c r="CLL117" s="199"/>
      <c r="CLM117" s="198"/>
      <c r="CLN117" s="199"/>
      <c r="CLO117" s="198"/>
      <c r="CLP117" s="199"/>
      <c r="CLQ117" s="198"/>
      <c r="CLR117" s="199"/>
      <c r="CLS117" s="198"/>
      <c r="CLT117" s="199"/>
      <c r="CLU117" s="198"/>
      <c r="CLV117" s="199"/>
      <c r="CLW117" s="198"/>
      <c r="CLX117" s="199"/>
      <c r="CLY117" s="198"/>
      <c r="CLZ117" s="199"/>
      <c r="CMA117" s="198"/>
      <c r="CMB117" s="199"/>
      <c r="CMC117" s="198"/>
      <c r="CMD117" s="199"/>
      <c r="CME117" s="198"/>
      <c r="CMF117" s="199"/>
      <c r="CMG117" s="198"/>
      <c r="CMH117" s="199"/>
      <c r="CMI117" s="198"/>
      <c r="CMJ117" s="199"/>
      <c r="CMK117" s="198"/>
      <c r="CML117" s="199"/>
      <c r="CMM117" s="198"/>
      <c r="CMN117" s="199"/>
      <c r="CMO117" s="198"/>
      <c r="CMP117" s="199"/>
      <c r="CMQ117" s="198"/>
      <c r="CMR117" s="199"/>
      <c r="CMS117" s="198"/>
      <c r="CMT117" s="199"/>
      <c r="CMU117" s="198"/>
      <c r="CMV117" s="199"/>
      <c r="CMW117" s="198"/>
      <c r="CMX117" s="199"/>
      <c r="CMY117" s="198"/>
      <c r="CMZ117" s="199"/>
      <c r="CNA117" s="198"/>
      <c r="CNB117" s="199"/>
      <c r="CNC117" s="198"/>
      <c r="CND117" s="199"/>
      <c r="CNE117" s="198"/>
      <c r="CNF117" s="199"/>
      <c r="CNG117" s="198"/>
      <c r="CNH117" s="199"/>
      <c r="CNI117" s="198"/>
      <c r="CNJ117" s="199"/>
      <c r="CNK117" s="198"/>
      <c r="CNL117" s="199"/>
      <c r="CNM117" s="198"/>
      <c r="CNN117" s="199"/>
      <c r="CNO117" s="198"/>
      <c r="CNP117" s="199"/>
      <c r="CNQ117" s="198"/>
      <c r="CNR117" s="199"/>
      <c r="CNS117" s="198"/>
      <c r="CNT117" s="199"/>
      <c r="CNU117" s="198"/>
      <c r="CNV117" s="199"/>
      <c r="CNW117" s="198"/>
      <c r="CNX117" s="199"/>
      <c r="CNY117" s="198"/>
      <c r="CNZ117" s="199"/>
      <c r="COA117" s="198"/>
      <c r="COB117" s="199"/>
      <c r="COC117" s="198"/>
      <c r="COD117" s="199"/>
      <c r="COE117" s="198"/>
      <c r="COF117" s="199"/>
      <c r="COG117" s="198"/>
      <c r="COH117" s="199"/>
      <c r="COI117" s="198"/>
      <c r="COJ117" s="199"/>
      <c r="COK117" s="198"/>
      <c r="COL117" s="199"/>
      <c r="COM117" s="198"/>
      <c r="CON117" s="199"/>
      <c r="COO117" s="198"/>
      <c r="COP117" s="199"/>
      <c r="COQ117" s="198"/>
      <c r="COR117" s="199"/>
      <c r="COS117" s="198"/>
      <c r="COT117" s="199"/>
      <c r="COU117" s="198"/>
      <c r="COV117" s="199"/>
      <c r="COW117" s="198"/>
      <c r="COX117" s="199"/>
      <c r="COY117" s="198"/>
      <c r="COZ117" s="199"/>
      <c r="CPA117" s="198"/>
      <c r="CPB117" s="199"/>
      <c r="CPC117" s="198"/>
      <c r="CPD117" s="199"/>
      <c r="CPE117" s="198"/>
      <c r="CPF117" s="199"/>
      <c r="CPG117" s="198"/>
      <c r="CPH117" s="199"/>
      <c r="CPI117" s="198"/>
      <c r="CPJ117" s="199"/>
      <c r="CPK117" s="198"/>
      <c r="CPL117" s="199"/>
      <c r="CPM117" s="198"/>
      <c r="CPN117" s="199"/>
      <c r="CPO117" s="198"/>
      <c r="CPP117" s="199"/>
      <c r="CPQ117" s="198"/>
      <c r="CPR117" s="199"/>
      <c r="CPS117" s="198"/>
      <c r="CPT117" s="199"/>
      <c r="CPU117" s="198"/>
      <c r="CPV117" s="199"/>
      <c r="CPW117" s="198"/>
      <c r="CPX117" s="199"/>
      <c r="CPY117" s="198"/>
      <c r="CPZ117" s="199"/>
      <c r="CQA117" s="198"/>
      <c r="CQB117" s="199"/>
      <c r="CQC117" s="198"/>
      <c r="CQD117" s="199"/>
      <c r="CQE117" s="198"/>
      <c r="CQF117" s="199"/>
      <c r="CQG117" s="198"/>
      <c r="CQH117" s="199"/>
      <c r="CQI117" s="198"/>
      <c r="CQJ117" s="199"/>
      <c r="CQK117" s="198"/>
      <c r="CQL117" s="199"/>
      <c r="CQM117" s="198"/>
      <c r="CQN117" s="199"/>
      <c r="CQO117" s="198"/>
      <c r="CQP117" s="199"/>
      <c r="CQQ117" s="198"/>
      <c r="CQR117" s="199"/>
      <c r="CQS117" s="198"/>
      <c r="CQT117" s="199"/>
      <c r="CQU117" s="198"/>
      <c r="CQV117" s="199"/>
      <c r="CQW117" s="198"/>
      <c r="CQX117" s="199"/>
      <c r="CQY117" s="198"/>
      <c r="CQZ117" s="199"/>
      <c r="CRA117" s="198"/>
      <c r="CRB117" s="199"/>
      <c r="CRC117" s="198"/>
      <c r="CRD117" s="199"/>
      <c r="CRE117" s="198"/>
      <c r="CRF117" s="199"/>
      <c r="CRG117" s="198"/>
      <c r="CRH117" s="199"/>
      <c r="CRI117" s="198"/>
      <c r="CRJ117" s="199"/>
      <c r="CRK117" s="198"/>
      <c r="CRL117" s="199"/>
      <c r="CRM117" s="198"/>
      <c r="CRN117" s="199"/>
      <c r="CRO117" s="198"/>
      <c r="CRP117" s="199"/>
      <c r="CRQ117" s="198"/>
      <c r="CRR117" s="199"/>
      <c r="CRS117" s="198"/>
      <c r="CRT117" s="199"/>
      <c r="CRU117" s="198"/>
      <c r="CRV117" s="199"/>
      <c r="CRW117" s="198"/>
      <c r="CRX117" s="199"/>
      <c r="CRY117" s="198"/>
      <c r="CRZ117" s="199"/>
      <c r="CSA117" s="198"/>
      <c r="CSB117" s="199"/>
      <c r="CSC117" s="198"/>
      <c r="CSD117" s="199"/>
      <c r="CSE117" s="198"/>
      <c r="CSF117" s="199"/>
      <c r="CSG117" s="198"/>
      <c r="CSH117" s="199"/>
      <c r="CSI117" s="198"/>
      <c r="CSJ117" s="199"/>
      <c r="CSK117" s="198"/>
      <c r="CSL117" s="199"/>
      <c r="CSM117" s="198"/>
      <c r="CSN117" s="199"/>
      <c r="CSO117" s="198"/>
      <c r="CSP117" s="199"/>
      <c r="CSQ117" s="198"/>
      <c r="CSR117" s="199"/>
      <c r="CSS117" s="198"/>
      <c r="CST117" s="199"/>
      <c r="CSU117" s="198"/>
      <c r="CSV117" s="199"/>
      <c r="CSW117" s="198"/>
      <c r="CSX117" s="199"/>
      <c r="CSY117" s="198"/>
      <c r="CSZ117" s="199"/>
      <c r="CTA117" s="198"/>
      <c r="CTB117" s="199"/>
      <c r="CTC117" s="198"/>
      <c r="CTD117" s="199"/>
      <c r="CTE117" s="198"/>
      <c r="CTF117" s="199"/>
      <c r="CTG117" s="198"/>
      <c r="CTH117" s="199"/>
      <c r="CTI117" s="198"/>
      <c r="CTJ117" s="199"/>
      <c r="CTK117" s="198"/>
      <c r="CTL117" s="199"/>
      <c r="CTM117" s="198"/>
      <c r="CTN117" s="199"/>
      <c r="CTO117" s="198"/>
      <c r="CTP117" s="199"/>
      <c r="CTQ117" s="198"/>
      <c r="CTR117" s="199"/>
      <c r="CTS117" s="198"/>
      <c r="CTT117" s="199"/>
      <c r="CTU117" s="198"/>
      <c r="CTV117" s="199"/>
      <c r="CTW117" s="198"/>
      <c r="CTX117" s="199"/>
      <c r="CTY117" s="198"/>
      <c r="CTZ117" s="199"/>
      <c r="CUA117" s="198"/>
      <c r="CUB117" s="199"/>
      <c r="CUC117" s="198"/>
      <c r="CUD117" s="199"/>
      <c r="CUE117" s="198"/>
      <c r="CUF117" s="199"/>
      <c r="CUG117" s="198"/>
      <c r="CUH117" s="199"/>
      <c r="CUI117" s="198"/>
      <c r="CUJ117" s="199"/>
      <c r="CUK117" s="198"/>
      <c r="CUL117" s="199"/>
      <c r="CUM117" s="198"/>
      <c r="CUN117" s="199"/>
      <c r="CUO117" s="198"/>
      <c r="CUP117" s="199"/>
      <c r="CUQ117" s="198"/>
      <c r="CUR117" s="199"/>
      <c r="CUS117" s="198"/>
      <c r="CUT117" s="199"/>
      <c r="CUU117" s="198"/>
      <c r="CUV117" s="199"/>
      <c r="CUW117" s="198"/>
      <c r="CUX117" s="199"/>
      <c r="CUY117" s="198"/>
      <c r="CUZ117" s="199"/>
      <c r="CVA117" s="198"/>
      <c r="CVB117" s="199"/>
      <c r="CVC117" s="198"/>
      <c r="CVD117" s="199"/>
      <c r="CVE117" s="198"/>
      <c r="CVF117" s="199"/>
      <c r="CVG117" s="198"/>
      <c r="CVH117" s="199"/>
      <c r="CVI117" s="198"/>
      <c r="CVJ117" s="199"/>
      <c r="CVK117" s="198"/>
      <c r="CVL117" s="199"/>
      <c r="CVM117" s="198"/>
      <c r="CVN117" s="199"/>
      <c r="CVO117" s="198"/>
      <c r="CVP117" s="199"/>
      <c r="CVQ117" s="198"/>
      <c r="CVR117" s="199"/>
      <c r="CVS117" s="198"/>
      <c r="CVT117" s="199"/>
      <c r="CVU117" s="198"/>
      <c r="CVV117" s="199"/>
      <c r="CVW117" s="198"/>
      <c r="CVX117" s="199"/>
      <c r="CVY117" s="198"/>
      <c r="CVZ117" s="199"/>
      <c r="CWA117" s="198"/>
      <c r="CWB117" s="199"/>
      <c r="CWC117" s="198"/>
      <c r="CWD117" s="199"/>
      <c r="CWE117" s="198"/>
      <c r="CWF117" s="199"/>
      <c r="CWG117" s="198"/>
      <c r="CWH117" s="199"/>
      <c r="CWI117" s="198"/>
      <c r="CWJ117" s="199"/>
      <c r="CWK117" s="198"/>
      <c r="CWL117" s="199"/>
      <c r="CWM117" s="198"/>
      <c r="CWN117" s="199"/>
      <c r="CWO117" s="198"/>
      <c r="CWP117" s="199"/>
      <c r="CWQ117" s="198"/>
      <c r="CWR117" s="199"/>
      <c r="CWS117" s="198"/>
      <c r="CWT117" s="199"/>
      <c r="CWU117" s="198"/>
      <c r="CWV117" s="199"/>
      <c r="CWW117" s="198"/>
      <c r="CWX117" s="199"/>
      <c r="CWY117" s="198"/>
      <c r="CWZ117" s="199"/>
      <c r="CXA117" s="198"/>
      <c r="CXB117" s="199"/>
      <c r="CXC117" s="198"/>
      <c r="CXD117" s="199"/>
      <c r="CXE117" s="198"/>
      <c r="CXF117" s="199"/>
      <c r="CXG117" s="198"/>
      <c r="CXH117" s="199"/>
      <c r="CXI117" s="198"/>
      <c r="CXJ117" s="199"/>
      <c r="CXK117" s="198"/>
      <c r="CXL117" s="199"/>
      <c r="CXM117" s="198"/>
      <c r="CXN117" s="199"/>
      <c r="CXO117" s="198"/>
      <c r="CXP117" s="199"/>
      <c r="CXQ117" s="198"/>
      <c r="CXR117" s="199"/>
      <c r="CXS117" s="198"/>
      <c r="CXT117" s="199"/>
      <c r="CXU117" s="198"/>
      <c r="CXV117" s="199"/>
      <c r="CXW117" s="198"/>
      <c r="CXX117" s="199"/>
      <c r="CXY117" s="198"/>
      <c r="CXZ117" s="199"/>
      <c r="CYA117" s="198"/>
      <c r="CYB117" s="199"/>
      <c r="CYC117" s="198"/>
      <c r="CYD117" s="199"/>
      <c r="CYE117" s="198"/>
      <c r="CYF117" s="199"/>
      <c r="CYG117" s="198"/>
      <c r="CYH117" s="199"/>
      <c r="CYI117" s="198"/>
      <c r="CYJ117" s="199"/>
      <c r="CYK117" s="198"/>
      <c r="CYL117" s="199"/>
      <c r="CYM117" s="198"/>
      <c r="CYN117" s="199"/>
      <c r="CYO117" s="198"/>
      <c r="CYP117" s="199"/>
      <c r="CYQ117" s="198"/>
      <c r="CYR117" s="199"/>
      <c r="CYS117" s="198"/>
      <c r="CYT117" s="199"/>
      <c r="CYU117" s="198"/>
      <c r="CYV117" s="199"/>
      <c r="CYW117" s="198"/>
      <c r="CYX117" s="199"/>
      <c r="CYY117" s="198"/>
      <c r="CYZ117" s="199"/>
      <c r="CZA117" s="198"/>
      <c r="CZB117" s="199"/>
      <c r="CZC117" s="198"/>
      <c r="CZD117" s="199"/>
      <c r="CZE117" s="198"/>
      <c r="CZF117" s="199"/>
      <c r="CZG117" s="198"/>
      <c r="CZH117" s="199"/>
      <c r="CZI117" s="198"/>
      <c r="CZJ117" s="199"/>
      <c r="CZK117" s="198"/>
      <c r="CZL117" s="199"/>
      <c r="CZM117" s="198"/>
      <c r="CZN117" s="199"/>
      <c r="CZO117" s="198"/>
      <c r="CZP117" s="199"/>
      <c r="CZQ117" s="198"/>
      <c r="CZR117" s="199"/>
      <c r="CZS117" s="198"/>
      <c r="CZT117" s="199"/>
      <c r="CZU117" s="198"/>
      <c r="CZV117" s="199"/>
      <c r="CZW117" s="198"/>
      <c r="CZX117" s="199"/>
      <c r="CZY117" s="198"/>
      <c r="CZZ117" s="199"/>
      <c r="DAA117" s="198"/>
      <c r="DAB117" s="199"/>
      <c r="DAC117" s="198"/>
      <c r="DAD117" s="199"/>
      <c r="DAE117" s="198"/>
      <c r="DAF117" s="199"/>
      <c r="DAG117" s="198"/>
      <c r="DAH117" s="199"/>
      <c r="DAI117" s="198"/>
      <c r="DAJ117" s="199"/>
      <c r="DAK117" s="198"/>
      <c r="DAL117" s="199"/>
      <c r="DAM117" s="198"/>
      <c r="DAN117" s="199"/>
      <c r="DAO117" s="198"/>
      <c r="DAP117" s="199"/>
      <c r="DAQ117" s="198"/>
      <c r="DAR117" s="199"/>
      <c r="DAS117" s="198"/>
      <c r="DAT117" s="199"/>
      <c r="DAU117" s="198"/>
      <c r="DAV117" s="199"/>
      <c r="DAW117" s="198"/>
      <c r="DAX117" s="199"/>
      <c r="DAY117" s="198"/>
      <c r="DAZ117" s="199"/>
      <c r="DBA117" s="198"/>
      <c r="DBB117" s="199"/>
      <c r="DBC117" s="198"/>
      <c r="DBD117" s="199"/>
      <c r="DBE117" s="198"/>
      <c r="DBF117" s="199"/>
      <c r="DBG117" s="198"/>
      <c r="DBH117" s="199"/>
      <c r="DBI117" s="198"/>
      <c r="DBJ117" s="199"/>
      <c r="DBK117" s="198"/>
      <c r="DBL117" s="199"/>
      <c r="DBM117" s="198"/>
      <c r="DBN117" s="199"/>
      <c r="DBO117" s="198"/>
      <c r="DBP117" s="199"/>
      <c r="DBQ117" s="198"/>
      <c r="DBR117" s="199"/>
      <c r="DBS117" s="198"/>
      <c r="DBT117" s="199"/>
      <c r="DBU117" s="198"/>
      <c r="DBV117" s="199"/>
      <c r="DBW117" s="198"/>
      <c r="DBX117" s="199"/>
      <c r="DBY117" s="198"/>
      <c r="DBZ117" s="199"/>
      <c r="DCA117" s="198"/>
      <c r="DCB117" s="199"/>
      <c r="DCC117" s="198"/>
      <c r="DCD117" s="199"/>
      <c r="DCE117" s="198"/>
      <c r="DCF117" s="199"/>
      <c r="DCG117" s="198"/>
      <c r="DCH117" s="199"/>
      <c r="DCI117" s="198"/>
      <c r="DCJ117" s="199"/>
      <c r="DCK117" s="198"/>
      <c r="DCL117" s="199"/>
      <c r="DCM117" s="198"/>
      <c r="DCN117" s="199"/>
      <c r="DCO117" s="198"/>
      <c r="DCP117" s="199"/>
      <c r="DCQ117" s="198"/>
      <c r="DCR117" s="199"/>
      <c r="DCS117" s="198"/>
      <c r="DCT117" s="199"/>
      <c r="DCU117" s="198"/>
      <c r="DCV117" s="199"/>
      <c r="DCW117" s="198"/>
      <c r="DCX117" s="199"/>
      <c r="DCY117" s="198"/>
      <c r="DCZ117" s="199"/>
      <c r="DDA117" s="198"/>
      <c r="DDB117" s="199"/>
      <c r="DDC117" s="198"/>
      <c r="DDD117" s="199"/>
      <c r="DDE117" s="198"/>
      <c r="DDF117" s="199"/>
      <c r="DDG117" s="198"/>
      <c r="DDH117" s="199"/>
      <c r="DDI117" s="198"/>
      <c r="DDJ117" s="199"/>
      <c r="DDK117" s="198"/>
      <c r="DDL117" s="199"/>
      <c r="DDM117" s="198"/>
      <c r="DDN117" s="199"/>
      <c r="DDO117" s="198"/>
      <c r="DDP117" s="199"/>
      <c r="DDQ117" s="198"/>
      <c r="DDR117" s="199"/>
      <c r="DDS117" s="198"/>
      <c r="DDT117" s="199"/>
      <c r="DDU117" s="198"/>
      <c r="DDV117" s="199"/>
      <c r="DDW117" s="198"/>
      <c r="DDX117" s="199"/>
      <c r="DDY117" s="198"/>
      <c r="DDZ117" s="199"/>
      <c r="DEA117" s="198"/>
      <c r="DEB117" s="199"/>
      <c r="DEC117" s="198"/>
      <c r="DED117" s="199"/>
      <c r="DEE117" s="198"/>
      <c r="DEF117" s="199"/>
      <c r="DEG117" s="198"/>
      <c r="DEH117" s="199"/>
      <c r="DEI117" s="198"/>
      <c r="DEJ117" s="199"/>
      <c r="DEK117" s="198"/>
      <c r="DEL117" s="199"/>
      <c r="DEM117" s="198"/>
      <c r="DEN117" s="199"/>
      <c r="DEO117" s="198"/>
      <c r="DEP117" s="199"/>
      <c r="DEQ117" s="198"/>
      <c r="DER117" s="199"/>
      <c r="DES117" s="198"/>
      <c r="DET117" s="199"/>
      <c r="DEU117" s="198"/>
      <c r="DEV117" s="199"/>
      <c r="DEW117" s="198"/>
      <c r="DEX117" s="199"/>
      <c r="DEY117" s="198"/>
      <c r="DEZ117" s="199"/>
      <c r="DFA117" s="198"/>
      <c r="DFB117" s="199"/>
      <c r="DFC117" s="198"/>
      <c r="DFD117" s="199"/>
      <c r="DFE117" s="198"/>
      <c r="DFF117" s="199"/>
      <c r="DFG117" s="198"/>
      <c r="DFH117" s="199"/>
      <c r="DFI117" s="198"/>
      <c r="DFJ117" s="199"/>
      <c r="DFK117" s="198"/>
      <c r="DFL117" s="199"/>
      <c r="DFM117" s="198"/>
      <c r="DFN117" s="199"/>
      <c r="DFO117" s="198"/>
      <c r="DFP117" s="199"/>
      <c r="DFQ117" s="198"/>
      <c r="DFR117" s="199"/>
      <c r="DFS117" s="198"/>
      <c r="DFT117" s="199"/>
      <c r="DFU117" s="198"/>
      <c r="DFV117" s="199"/>
      <c r="DFW117" s="198"/>
      <c r="DFX117" s="199"/>
      <c r="DFY117" s="198"/>
      <c r="DFZ117" s="199"/>
      <c r="DGA117" s="198"/>
      <c r="DGB117" s="199"/>
      <c r="DGC117" s="198"/>
      <c r="DGD117" s="199"/>
      <c r="DGE117" s="198"/>
      <c r="DGF117" s="199"/>
      <c r="DGG117" s="198"/>
      <c r="DGH117" s="199"/>
      <c r="DGI117" s="198"/>
      <c r="DGJ117" s="199"/>
      <c r="DGK117" s="198"/>
      <c r="DGL117" s="199"/>
      <c r="DGM117" s="198"/>
      <c r="DGN117" s="199"/>
      <c r="DGO117" s="198"/>
      <c r="DGP117" s="199"/>
      <c r="DGQ117" s="198"/>
      <c r="DGR117" s="199"/>
      <c r="DGS117" s="198"/>
      <c r="DGT117" s="199"/>
      <c r="DGU117" s="198"/>
      <c r="DGV117" s="199"/>
      <c r="DGW117" s="198"/>
      <c r="DGX117" s="199"/>
      <c r="DGY117" s="198"/>
      <c r="DGZ117" s="199"/>
      <c r="DHA117" s="198"/>
      <c r="DHB117" s="199"/>
      <c r="DHC117" s="198"/>
      <c r="DHD117" s="199"/>
      <c r="DHE117" s="198"/>
      <c r="DHF117" s="199"/>
      <c r="DHG117" s="198"/>
      <c r="DHH117" s="199"/>
      <c r="DHI117" s="198"/>
      <c r="DHJ117" s="199"/>
      <c r="DHK117" s="198"/>
      <c r="DHL117" s="199"/>
      <c r="DHM117" s="198"/>
      <c r="DHN117" s="199"/>
      <c r="DHO117" s="198"/>
      <c r="DHP117" s="199"/>
      <c r="DHQ117" s="198"/>
      <c r="DHR117" s="199"/>
      <c r="DHS117" s="198"/>
      <c r="DHT117" s="199"/>
      <c r="DHU117" s="198"/>
      <c r="DHV117" s="199"/>
      <c r="DHW117" s="198"/>
      <c r="DHX117" s="199"/>
      <c r="DHY117" s="198"/>
      <c r="DHZ117" s="199"/>
      <c r="DIA117" s="198"/>
      <c r="DIB117" s="199"/>
      <c r="DIC117" s="198"/>
      <c r="DID117" s="199"/>
      <c r="DIE117" s="198"/>
      <c r="DIF117" s="199"/>
      <c r="DIG117" s="198"/>
      <c r="DIH117" s="199"/>
      <c r="DII117" s="198"/>
      <c r="DIJ117" s="199"/>
      <c r="DIK117" s="198"/>
      <c r="DIL117" s="199"/>
      <c r="DIM117" s="198"/>
      <c r="DIN117" s="199"/>
      <c r="DIO117" s="198"/>
      <c r="DIP117" s="199"/>
      <c r="DIQ117" s="198"/>
      <c r="DIR117" s="199"/>
      <c r="DIS117" s="198"/>
      <c r="DIT117" s="199"/>
      <c r="DIU117" s="198"/>
      <c r="DIV117" s="199"/>
      <c r="DIW117" s="198"/>
      <c r="DIX117" s="199"/>
      <c r="DIY117" s="198"/>
      <c r="DIZ117" s="199"/>
      <c r="DJA117" s="198"/>
      <c r="DJB117" s="199"/>
      <c r="DJC117" s="198"/>
      <c r="DJD117" s="199"/>
      <c r="DJE117" s="198"/>
      <c r="DJF117" s="199"/>
      <c r="DJG117" s="198"/>
      <c r="DJH117" s="199"/>
      <c r="DJI117" s="198"/>
      <c r="DJJ117" s="199"/>
      <c r="DJK117" s="198"/>
      <c r="DJL117" s="199"/>
      <c r="DJM117" s="198"/>
      <c r="DJN117" s="199"/>
      <c r="DJO117" s="198"/>
      <c r="DJP117" s="199"/>
      <c r="DJQ117" s="198"/>
      <c r="DJR117" s="199"/>
      <c r="DJS117" s="198"/>
      <c r="DJT117" s="199"/>
      <c r="DJU117" s="198"/>
      <c r="DJV117" s="199"/>
      <c r="DJW117" s="198"/>
      <c r="DJX117" s="199"/>
      <c r="DJY117" s="198"/>
      <c r="DJZ117" s="199"/>
      <c r="DKA117" s="198"/>
      <c r="DKB117" s="199"/>
      <c r="DKC117" s="198"/>
      <c r="DKD117" s="199"/>
      <c r="DKE117" s="198"/>
      <c r="DKF117" s="199"/>
      <c r="DKG117" s="198"/>
      <c r="DKH117" s="199"/>
      <c r="DKI117" s="198"/>
      <c r="DKJ117" s="199"/>
      <c r="DKK117" s="198"/>
      <c r="DKL117" s="199"/>
      <c r="DKM117" s="198"/>
      <c r="DKN117" s="199"/>
      <c r="DKO117" s="198"/>
      <c r="DKP117" s="199"/>
      <c r="DKQ117" s="198"/>
      <c r="DKR117" s="199"/>
      <c r="DKS117" s="198"/>
      <c r="DKT117" s="199"/>
      <c r="DKU117" s="198"/>
      <c r="DKV117" s="199"/>
      <c r="DKW117" s="198"/>
      <c r="DKX117" s="199"/>
      <c r="DKY117" s="198"/>
      <c r="DKZ117" s="199"/>
      <c r="DLA117" s="198"/>
      <c r="DLB117" s="199"/>
      <c r="DLC117" s="198"/>
      <c r="DLD117" s="199"/>
      <c r="DLE117" s="198"/>
      <c r="DLF117" s="199"/>
      <c r="DLG117" s="198"/>
      <c r="DLH117" s="199"/>
      <c r="DLI117" s="198"/>
      <c r="DLJ117" s="199"/>
      <c r="DLK117" s="198"/>
      <c r="DLL117" s="199"/>
      <c r="DLM117" s="198"/>
      <c r="DLN117" s="199"/>
      <c r="DLO117" s="198"/>
      <c r="DLP117" s="199"/>
      <c r="DLQ117" s="198"/>
      <c r="DLR117" s="199"/>
      <c r="DLS117" s="198"/>
      <c r="DLT117" s="199"/>
      <c r="DLU117" s="198"/>
      <c r="DLV117" s="199"/>
      <c r="DLW117" s="198"/>
      <c r="DLX117" s="199"/>
      <c r="DLY117" s="198"/>
      <c r="DLZ117" s="199"/>
      <c r="DMA117" s="198"/>
      <c r="DMB117" s="199"/>
      <c r="DMC117" s="198"/>
      <c r="DMD117" s="199"/>
      <c r="DME117" s="198"/>
      <c r="DMF117" s="199"/>
      <c r="DMG117" s="198"/>
      <c r="DMH117" s="199"/>
      <c r="DMI117" s="198"/>
      <c r="DMJ117" s="199"/>
      <c r="DMK117" s="198"/>
      <c r="DML117" s="199"/>
      <c r="DMM117" s="198"/>
      <c r="DMN117" s="199"/>
      <c r="DMO117" s="198"/>
      <c r="DMP117" s="199"/>
      <c r="DMQ117" s="198"/>
      <c r="DMR117" s="199"/>
      <c r="DMS117" s="198"/>
      <c r="DMT117" s="199"/>
      <c r="DMU117" s="198"/>
      <c r="DMV117" s="199"/>
      <c r="DMW117" s="198"/>
      <c r="DMX117" s="199"/>
      <c r="DMY117" s="198"/>
      <c r="DMZ117" s="199"/>
      <c r="DNA117" s="198"/>
      <c r="DNB117" s="199"/>
      <c r="DNC117" s="198"/>
      <c r="DND117" s="199"/>
      <c r="DNE117" s="198"/>
      <c r="DNF117" s="199"/>
      <c r="DNG117" s="198"/>
      <c r="DNH117" s="199"/>
      <c r="DNI117" s="198"/>
      <c r="DNJ117" s="199"/>
      <c r="DNK117" s="198"/>
      <c r="DNL117" s="199"/>
      <c r="DNM117" s="198"/>
      <c r="DNN117" s="199"/>
      <c r="DNO117" s="198"/>
      <c r="DNP117" s="199"/>
      <c r="DNQ117" s="198"/>
      <c r="DNR117" s="199"/>
      <c r="DNS117" s="198"/>
      <c r="DNT117" s="199"/>
      <c r="DNU117" s="198"/>
      <c r="DNV117" s="199"/>
      <c r="DNW117" s="198"/>
      <c r="DNX117" s="199"/>
      <c r="DNY117" s="198"/>
      <c r="DNZ117" s="199"/>
      <c r="DOA117" s="198"/>
      <c r="DOB117" s="199"/>
      <c r="DOC117" s="198"/>
      <c r="DOD117" s="199"/>
      <c r="DOE117" s="198"/>
      <c r="DOF117" s="199"/>
      <c r="DOG117" s="198"/>
      <c r="DOH117" s="199"/>
      <c r="DOI117" s="198"/>
      <c r="DOJ117" s="199"/>
      <c r="DOK117" s="198"/>
      <c r="DOL117" s="199"/>
      <c r="DOM117" s="198"/>
      <c r="DON117" s="199"/>
      <c r="DOO117" s="198"/>
      <c r="DOP117" s="199"/>
      <c r="DOQ117" s="198"/>
      <c r="DOR117" s="199"/>
      <c r="DOS117" s="198"/>
      <c r="DOT117" s="199"/>
      <c r="DOU117" s="198"/>
      <c r="DOV117" s="199"/>
      <c r="DOW117" s="198"/>
      <c r="DOX117" s="199"/>
      <c r="DOY117" s="198"/>
      <c r="DOZ117" s="199"/>
      <c r="DPA117" s="198"/>
      <c r="DPB117" s="199"/>
      <c r="DPC117" s="198"/>
      <c r="DPD117" s="199"/>
      <c r="DPE117" s="198"/>
      <c r="DPF117" s="199"/>
      <c r="DPG117" s="198"/>
      <c r="DPH117" s="199"/>
      <c r="DPI117" s="198"/>
      <c r="DPJ117" s="199"/>
      <c r="DPK117" s="198"/>
      <c r="DPL117" s="199"/>
      <c r="DPM117" s="198"/>
      <c r="DPN117" s="199"/>
      <c r="DPO117" s="198"/>
      <c r="DPP117" s="199"/>
      <c r="DPQ117" s="198"/>
      <c r="DPR117" s="199"/>
      <c r="DPS117" s="198"/>
      <c r="DPT117" s="199"/>
      <c r="DPU117" s="198"/>
      <c r="DPV117" s="199"/>
      <c r="DPW117" s="198"/>
      <c r="DPX117" s="199"/>
      <c r="DPY117" s="198"/>
      <c r="DPZ117" s="199"/>
      <c r="DQA117" s="198"/>
      <c r="DQB117" s="199"/>
      <c r="DQC117" s="198"/>
      <c r="DQD117" s="199"/>
      <c r="DQE117" s="198"/>
      <c r="DQF117" s="199"/>
      <c r="DQG117" s="198"/>
      <c r="DQH117" s="199"/>
      <c r="DQI117" s="198"/>
      <c r="DQJ117" s="199"/>
      <c r="DQK117" s="198"/>
      <c r="DQL117" s="199"/>
      <c r="DQM117" s="198"/>
      <c r="DQN117" s="199"/>
      <c r="DQO117" s="198"/>
      <c r="DQP117" s="199"/>
      <c r="DQQ117" s="198"/>
      <c r="DQR117" s="199"/>
      <c r="DQS117" s="198"/>
      <c r="DQT117" s="199"/>
      <c r="DQU117" s="198"/>
      <c r="DQV117" s="199"/>
      <c r="DQW117" s="198"/>
      <c r="DQX117" s="199"/>
      <c r="DQY117" s="198"/>
      <c r="DQZ117" s="199"/>
      <c r="DRA117" s="198"/>
      <c r="DRB117" s="199"/>
      <c r="DRC117" s="198"/>
      <c r="DRD117" s="199"/>
      <c r="DRE117" s="198"/>
      <c r="DRF117" s="199"/>
      <c r="DRG117" s="198"/>
      <c r="DRH117" s="199"/>
      <c r="DRI117" s="198"/>
      <c r="DRJ117" s="199"/>
      <c r="DRK117" s="198"/>
      <c r="DRL117" s="199"/>
      <c r="DRM117" s="198"/>
      <c r="DRN117" s="199"/>
      <c r="DRO117" s="198"/>
      <c r="DRP117" s="199"/>
      <c r="DRQ117" s="198"/>
      <c r="DRR117" s="199"/>
      <c r="DRS117" s="198"/>
      <c r="DRT117" s="199"/>
      <c r="DRU117" s="198"/>
      <c r="DRV117" s="199"/>
      <c r="DRW117" s="198"/>
      <c r="DRX117" s="199"/>
      <c r="DRY117" s="198"/>
      <c r="DRZ117" s="199"/>
      <c r="DSA117" s="198"/>
      <c r="DSB117" s="199"/>
      <c r="DSC117" s="198"/>
      <c r="DSD117" s="199"/>
      <c r="DSE117" s="198"/>
      <c r="DSF117" s="199"/>
      <c r="DSG117" s="198"/>
      <c r="DSH117" s="199"/>
      <c r="DSI117" s="198"/>
      <c r="DSJ117" s="199"/>
      <c r="DSK117" s="198"/>
      <c r="DSL117" s="199"/>
      <c r="DSM117" s="198"/>
      <c r="DSN117" s="199"/>
      <c r="DSO117" s="198"/>
      <c r="DSP117" s="199"/>
      <c r="DSQ117" s="198"/>
      <c r="DSR117" s="199"/>
      <c r="DSS117" s="198"/>
      <c r="DST117" s="199"/>
      <c r="DSU117" s="198"/>
      <c r="DSV117" s="199"/>
      <c r="DSW117" s="198"/>
      <c r="DSX117" s="199"/>
      <c r="DSY117" s="198"/>
      <c r="DSZ117" s="199"/>
      <c r="DTA117" s="198"/>
      <c r="DTB117" s="199"/>
      <c r="DTC117" s="198"/>
      <c r="DTD117" s="199"/>
      <c r="DTE117" s="198"/>
      <c r="DTF117" s="199"/>
      <c r="DTG117" s="198"/>
      <c r="DTH117" s="199"/>
      <c r="DTI117" s="198"/>
      <c r="DTJ117" s="199"/>
      <c r="DTK117" s="198"/>
      <c r="DTL117" s="199"/>
      <c r="DTM117" s="198"/>
      <c r="DTN117" s="199"/>
      <c r="DTO117" s="198"/>
      <c r="DTP117" s="199"/>
      <c r="DTQ117" s="198"/>
      <c r="DTR117" s="199"/>
      <c r="DTS117" s="198"/>
      <c r="DTT117" s="199"/>
      <c r="DTU117" s="198"/>
      <c r="DTV117" s="199"/>
      <c r="DTW117" s="198"/>
      <c r="DTX117" s="199"/>
      <c r="DTY117" s="198"/>
      <c r="DTZ117" s="199"/>
      <c r="DUA117" s="198"/>
      <c r="DUB117" s="199"/>
      <c r="DUC117" s="198"/>
      <c r="DUD117" s="199"/>
      <c r="DUE117" s="198"/>
      <c r="DUF117" s="199"/>
      <c r="DUG117" s="198"/>
      <c r="DUH117" s="199"/>
      <c r="DUI117" s="198"/>
      <c r="DUJ117" s="199"/>
      <c r="DUK117" s="198"/>
      <c r="DUL117" s="199"/>
      <c r="DUM117" s="198"/>
      <c r="DUN117" s="199"/>
      <c r="DUO117" s="198"/>
      <c r="DUP117" s="199"/>
      <c r="DUQ117" s="198"/>
      <c r="DUR117" s="199"/>
      <c r="DUS117" s="198"/>
      <c r="DUT117" s="199"/>
      <c r="DUU117" s="198"/>
      <c r="DUV117" s="199"/>
      <c r="DUW117" s="198"/>
      <c r="DUX117" s="199"/>
      <c r="DUY117" s="198"/>
      <c r="DUZ117" s="199"/>
      <c r="DVA117" s="198"/>
      <c r="DVB117" s="199"/>
      <c r="DVC117" s="198"/>
      <c r="DVD117" s="199"/>
      <c r="DVE117" s="198"/>
      <c r="DVF117" s="199"/>
      <c r="DVG117" s="198"/>
      <c r="DVH117" s="199"/>
      <c r="DVI117" s="198"/>
      <c r="DVJ117" s="199"/>
      <c r="DVK117" s="198"/>
      <c r="DVL117" s="199"/>
      <c r="DVM117" s="198"/>
      <c r="DVN117" s="199"/>
      <c r="DVO117" s="198"/>
      <c r="DVP117" s="199"/>
      <c r="DVQ117" s="198"/>
      <c r="DVR117" s="199"/>
      <c r="DVS117" s="198"/>
      <c r="DVT117" s="199"/>
      <c r="DVU117" s="198"/>
      <c r="DVV117" s="199"/>
      <c r="DVW117" s="198"/>
      <c r="DVX117" s="199"/>
      <c r="DVY117" s="198"/>
      <c r="DVZ117" s="199"/>
      <c r="DWA117" s="198"/>
      <c r="DWB117" s="199"/>
      <c r="DWC117" s="198"/>
      <c r="DWD117" s="199"/>
      <c r="DWE117" s="198"/>
      <c r="DWF117" s="199"/>
      <c r="DWG117" s="198"/>
      <c r="DWH117" s="199"/>
      <c r="DWI117" s="198"/>
      <c r="DWJ117" s="199"/>
      <c r="DWK117" s="198"/>
      <c r="DWL117" s="199"/>
      <c r="DWM117" s="198"/>
      <c r="DWN117" s="199"/>
      <c r="DWO117" s="198"/>
      <c r="DWP117" s="199"/>
      <c r="DWQ117" s="198"/>
      <c r="DWR117" s="199"/>
      <c r="DWS117" s="198"/>
      <c r="DWT117" s="199"/>
      <c r="DWU117" s="198"/>
      <c r="DWV117" s="199"/>
      <c r="DWW117" s="198"/>
      <c r="DWX117" s="199"/>
      <c r="DWY117" s="198"/>
      <c r="DWZ117" s="199"/>
      <c r="DXA117" s="198"/>
      <c r="DXB117" s="199"/>
      <c r="DXC117" s="198"/>
      <c r="DXD117" s="199"/>
      <c r="DXE117" s="198"/>
      <c r="DXF117" s="199"/>
      <c r="DXG117" s="198"/>
      <c r="DXH117" s="199"/>
      <c r="DXI117" s="198"/>
      <c r="DXJ117" s="199"/>
      <c r="DXK117" s="198"/>
      <c r="DXL117" s="199"/>
      <c r="DXM117" s="198"/>
      <c r="DXN117" s="199"/>
      <c r="DXO117" s="198"/>
      <c r="DXP117" s="199"/>
      <c r="DXQ117" s="198"/>
      <c r="DXR117" s="199"/>
      <c r="DXS117" s="198"/>
      <c r="DXT117" s="199"/>
      <c r="DXU117" s="198"/>
      <c r="DXV117" s="199"/>
      <c r="DXW117" s="198"/>
      <c r="DXX117" s="199"/>
      <c r="DXY117" s="198"/>
      <c r="DXZ117" s="199"/>
      <c r="DYA117" s="198"/>
      <c r="DYB117" s="199"/>
      <c r="DYC117" s="198"/>
      <c r="DYD117" s="199"/>
      <c r="DYE117" s="198"/>
      <c r="DYF117" s="199"/>
      <c r="DYG117" s="198"/>
      <c r="DYH117" s="199"/>
      <c r="DYI117" s="198"/>
      <c r="DYJ117" s="199"/>
      <c r="DYK117" s="198"/>
      <c r="DYL117" s="199"/>
      <c r="DYM117" s="198"/>
      <c r="DYN117" s="199"/>
      <c r="DYO117" s="198"/>
      <c r="DYP117" s="199"/>
      <c r="DYQ117" s="198"/>
      <c r="DYR117" s="199"/>
      <c r="DYS117" s="198"/>
      <c r="DYT117" s="199"/>
      <c r="DYU117" s="198"/>
      <c r="DYV117" s="199"/>
      <c r="DYW117" s="198"/>
      <c r="DYX117" s="199"/>
      <c r="DYY117" s="198"/>
      <c r="DYZ117" s="199"/>
      <c r="DZA117" s="198"/>
      <c r="DZB117" s="199"/>
      <c r="DZC117" s="198"/>
      <c r="DZD117" s="199"/>
      <c r="DZE117" s="198"/>
      <c r="DZF117" s="199"/>
      <c r="DZG117" s="198"/>
      <c r="DZH117" s="199"/>
      <c r="DZI117" s="198"/>
      <c r="DZJ117" s="199"/>
      <c r="DZK117" s="198"/>
      <c r="DZL117" s="199"/>
      <c r="DZM117" s="198"/>
      <c r="DZN117" s="199"/>
      <c r="DZO117" s="198"/>
      <c r="DZP117" s="199"/>
      <c r="DZQ117" s="198"/>
      <c r="DZR117" s="199"/>
      <c r="DZS117" s="198"/>
      <c r="DZT117" s="199"/>
      <c r="DZU117" s="198"/>
      <c r="DZV117" s="199"/>
      <c r="DZW117" s="198"/>
      <c r="DZX117" s="199"/>
      <c r="DZY117" s="198"/>
      <c r="DZZ117" s="199"/>
      <c r="EAA117" s="198"/>
      <c r="EAB117" s="199"/>
      <c r="EAC117" s="198"/>
      <c r="EAD117" s="199"/>
      <c r="EAE117" s="198"/>
      <c r="EAF117" s="199"/>
      <c r="EAG117" s="198"/>
      <c r="EAH117" s="199"/>
      <c r="EAI117" s="198"/>
      <c r="EAJ117" s="199"/>
      <c r="EAK117" s="198"/>
      <c r="EAL117" s="199"/>
      <c r="EAM117" s="198"/>
      <c r="EAN117" s="199"/>
      <c r="EAO117" s="198"/>
      <c r="EAP117" s="199"/>
      <c r="EAQ117" s="198"/>
      <c r="EAR117" s="199"/>
      <c r="EAS117" s="198"/>
      <c r="EAT117" s="199"/>
      <c r="EAU117" s="198"/>
      <c r="EAV117" s="199"/>
      <c r="EAW117" s="198"/>
      <c r="EAX117" s="199"/>
      <c r="EAY117" s="198"/>
      <c r="EAZ117" s="199"/>
      <c r="EBA117" s="198"/>
      <c r="EBB117" s="199"/>
      <c r="EBC117" s="198"/>
      <c r="EBD117" s="199"/>
      <c r="EBE117" s="198"/>
      <c r="EBF117" s="199"/>
      <c r="EBG117" s="198"/>
      <c r="EBH117" s="199"/>
      <c r="EBI117" s="198"/>
      <c r="EBJ117" s="199"/>
      <c r="EBK117" s="198"/>
      <c r="EBL117" s="199"/>
      <c r="EBM117" s="198"/>
      <c r="EBN117" s="199"/>
      <c r="EBO117" s="198"/>
      <c r="EBP117" s="199"/>
      <c r="EBQ117" s="198"/>
      <c r="EBR117" s="199"/>
      <c r="EBS117" s="198"/>
      <c r="EBT117" s="199"/>
      <c r="EBU117" s="198"/>
      <c r="EBV117" s="199"/>
      <c r="EBW117" s="198"/>
      <c r="EBX117" s="199"/>
      <c r="EBY117" s="198"/>
      <c r="EBZ117" s="199"/>
      <c r="ECA117" s="198"/>
      <c r="ECB117" s="199"/>
      <c r="ECC117" s="198"/>
      <c r="ECD117" s="199"/>
      <c r="ECE117" s="198"/>
      <c r="ECF117" s="199"/>
      <c r="ECG117" s="198"/>
      <c r="ECH117" s="199"/>
      <c r="ECI117" s="198"/>
      <c r="ECJ117" s="199"/>
      <c r="ECK117" s="198"/>
      <c r="ECL117" s="199"/>
      <c r="ECM117" s="198"/>
      <c r="ECN117" s="199"/>
      <c r="ECO117" s="198"/>
      <c r="ECP117" s="199"/>
      <c r="ECQ117" s="198"/>
      <c r="ECR117" s="199"/>
      <c r="ECS117" s="198"/>
      <c r="ECT117" s="199"/>
      <c r="ECU117" s="198"/>
      <c r="ECV117" s="199"/>
      <c r="ECW117" s="198"/>
      <c r="ECX117" s="199"/>
      <c r="ECY117" s="198"/>
      <c r="ECZ117" s="199"/>
      <c r="EDA117" s="198"/>
      <c r="EDB117" s="199"/>
      <c r="EDC117" s="198"/>
      <c r="EDD117" s="199"/>
      <c r="EDE117" s="198"/>
      <c r="EDF117" s="199"/>
      <c r="EDG117" s="198"/>
      <c r="EDH117" s="199"/>
      <c r="EDI117" s="198"/>
      <c r="EDJ117" s="199"/>
      <c r="EDK117" s="198"/>
      <c r="EDL117" s="199"/>
      <c r="EDM117" s="198"/>
      <c r="EDN117" s="199"/>
      <c r="EDO117" s="198"/>
      <c r="EDP117" s="199"/>
      <c r="EDQ117" s="198"/>
      <c r="EDR117" s="199"/>
      <c r="EDS117" s="198"/>
      <c r="EDT117" s="199"/>
      <c r="EDU117" s="198"/>
      <c r="EDV117" s="199"/>
      <c r="EDW117" s="198"/>
      <c r="EDX117" s="199"/>
      <c r="EDY117" s="198"/>
      <c r="EDZ117" s="199"/>
      <c r="EEA117" s="198"/>
      <c r="EEB117" s="199"/>
      <c r="EEC117" s="198"/>
      <c r="EED117" s="199"/>
      <c r="EEE117" s="198"/>
      <c r="EEF117" s="199"/>
      <c r="EEG117" s="198"/>
      <c r="EEH117" s="199"/>
      <c r="EEI117" s="198"/>
      <c r="EEJ117" s="199"/>
      <c r="EEK117" s="198"/>
      <c r="EEL117" s="199"/>
      <c r="EEM117" s="198"/>
      <c r="EEN117" s="199"/>
      <c r="EEO117" s="198"/>
      <c r="EEP117" s="199"/>
      <c r="EEQ117" s="198"/>
      <c r="EER117" s="199"/>
      <c r="EES117" s="198"/>
      <c r="EET117" s="199"/>
      <c r="EEU117" s="198"/>
      <c r="EEV117" s="199"/>
      <c r="EEW117" s="198"/>
      <c r="EEX117" s="199"/>
      <c r="EEY117" s="198"/>
      <c r="EEZ117" s="199"/>
      <c r="EFA117" s="198"/>
      <c r="EFB117" s="199"/>
      <c r="EFC117" s="198"/>
      <c r="EFD117" s="199"/>
      <c r="EFE117" s="198"/>
      <c r="EFF117" s="199"/>
      <c r="EFG117" s="198"/>
      <c r="EFH117" s="199"/>
      <c r="EFI117" s="198"/>
      <c r="EFJ117" s="199"/>
      <c r="EFK117" s="198"/>
      <c r="EFL117" s="199"/>
      <c r="EFM117" s="198"/>
      <c r="EFN117" s="199"/>
      <c r="EFO117" s="198"/>
      <c r="EFP117" s="199"/>
      <c r="EFQ117" s="198"/>
      <c r="EFR117" s="199"/>
      <c r="EFS117" s="198"/>
      <c r="EFT117" s="199"/>
      <c r="EFU117" s="198"/>
      <c r="EFV117" s="199"/>
      <c r="EFW117" s="198"/>
      <c r="EFX117" s="199"/>
      <c r="EFY117" s="198"/>
      <c r="EFZ117" s="199"/>
      <c r="EGA117" s="198"/>
      <c r="EGB117" s="199"/>
      <c r="EGC117" s="198"/>
      <c r="EGD117" s="199"/>
      <c r="EGE117" s="198"/>
      <c r="EGF117" s="199"/>
      <c r="EGG117" s="198"/>
      <c r="EGH117" s="199"/>
      <c r="EGI117" s="198"/>
      <c r="EGJ117" s="199"/>
      <c r="EGK117" s="198"/>
      <c r="EGL117" s="199"/>
      <c r="EGM117" s="198"/>
      <c r="EGN117" s="199"/>
      <c r="EGO117" s="198"/>
      <c r="EGP117" s="199"/>
      <c r="EGQ117" s="198"/>
      <c r="EGR117" s="199"/>
      <c r="EGS117" s="198"/>
      <c r="EGT117" s="199"/>
      <c r="EGU117" s="198"/>
      <c r="EGV117" s="199"/>
      <c r="EGW117" s="198"/>
      <c r="EGX117" s="199"/>
      <c r="EGY117" s="198"/>
      <c r="EGZ117" s="199"/>
      <c r="EHA117" s="198"/>
      <c r="EHB117" s="199"/>
      <c r="EHC117" s="198"/>
      <c r="EHD117" s="199"/>
      <c r="EHE117" s="198"/>
      <c r="EHF117" s="199"/>
      <c r="EHG117" s="198"/>
      <c r="EHH117" s="199"/>
      <c r="EHI117" s="198"/>
      <c r="EHJ117" s="199"/>
      <c r="EHK117" s="198"/>
      <c r="EHL117" s="199"/>
      <c r="EHM117" s="198"/>
      <c r="EHN117" s="199"/>
      <c r="EHO117" s="198"/>
      <c r="EHP117" s="199"/>
      <c r="EHQ117" s="198"/>
      <c r="EHR117" s="199"/>
      <c r="EHS117" s="198"/>
      <c r="EHT117" s="199"/>
      <c r="EHU117" s="198"/>
      <c r="EHV117" s="199"/>
      <c r="EHW117" s="198"/>
      <c r="EHX117" s="199"/>
      <c r="EHY117" s="198"/>
      <c r="EHZ117" s="199"/>
      <c r="EIA117" s="198"/>
      <c r="EIB117" s="199"/>
      <c r="EIC117" s="198"/>
      <c r="EID117" s="199"/>
      <c r="EIE117" s="198"/>
      <c r="EIF117" s="199"/>
      <c r="EIG117" s="198"/>
      <c r="EIH117" s="199"/>
      <c r="EII117" s="198"/>
      <c r="EIJ117" s="199"/>
      <c r="EIK117" s="198"/>
      <c r="EIL117" s="199"/>
      <c r="EIM117" s="198"/>
      <c r="EIN117" s="199"/>
      <c r="EIO117" s="198"/>
      <c r="EIP117" s="199"/>
      <c r="EIQ117" s="198"/>
      <c r="EIR117" s="199"/>
      <c r="EIS117" s="198"/>
      <c r="EIT117" s="199"/>
      <c r="EIU117" s="198"/>
      <c r="EIV117" s="199"/>
      <c r="EIW117" s="198"/>
      <c r="EIX117" s="199"/>
      <c r="EIY117" s="198"/>
      <c r="EIZ117" s="199"/>
      <c r="EJA117" s="198"/>
      <c r="EJB117" s="199"/>
      <c r="EJC117" s="198"/>
      <c r="EJD117" s="199"/>
      <c r="EJE117" s="198"/>
      <c r="EJF117" s="199"/>
      <c r="EJG117" s="198"/>
      <c r="EJH117" s="199"/>
      <c r="EJI117" s="198"/>
      <c r="EJJ117" s="199"/>
      <c r="EJK117" s="198"/>
      <c r="EJL117" s="199"/>
      <c r="EJM117" s="198"/>
      <c r="EJN117" s="199"/>
      <c r="EJO117" s="198"/>
      <c r="EJP117" s="199"/>
      <c r="EJQ117" s="198"/>
      <c r="EJR117" s="199"/>
      <c r="EJS117" s="198"/>
      <c r="EJT117" s="199"/>
      <c r="EJU117" s="198"/>
      <c r="EJV117" s="199"/>
      <c r="EJW117" s="198"/>
      <c r="EJX117" s="199"/>
      <c r="EJY117" s="198"/>
      <c r="EJZ117" s="199"/>
      <c r="EKA117" s="198"/>
      <c r="EKB117" s="199"/>
      <c r="EKC117" s="198"/>
      <c r="EKD117" s="199"/>
      <c r="EKE117" s="198"/>
      <c r="EKF117" s="199"/>
      <c r="EKG117" s="198"/>
      <c r="EKH117" s="199"/>
      <c r="EKI117" s="198"/>
      <c r="EKJ117" s="199"/>
      <c r="EKK117" s="198"/>
      <c r="EKL117" s="199"/>
      <c r="EKM117" s="198"/>
      <c r="EKN117" s="199"/>
      <c r="EKO117" s="198"/>
      <c r="EKP117" s="199"/>
      <c r="EKQ117" s="198"/>
      <c r="EKR117" s="199"/>
      <c r="EKS117" s="198"/>
      <c r="EKT117" s="199"/>
      <c r="EKU117" s="198"/>
      <c r="EKV117" s="199"/>
      <c r="EKW117" s="198"/>
      <c r="EKX117" s="199"/>
      <c r="EKY117" s="198"/>
      <c r="EKZ117" s="199"/>
      <c r="ELA117" s="198"/>
      <c r="ELB117" s="199"/>
      <c r="ELC117" s="198"/>
      <c r="ELD117" s="199"/>
      <c r="ELE117" s="198"/>
      <c r="ELF117" s="199"/>
      <c r="ELG117" s="198"/>
      <c r="ELH117" s="199"/>
      <c r="ELI117" s="198"/>
      <c r="ELJ117" s="199"/>
      <c r="ELK117" s="198"/>
      <c r="ELL117" s="199"/>
      <c r="ELM117" s="198"/>
      <c r="ELN117" s="199"/>
      <c r="ELO117" s="198"/>
      <c r="ELP117" s="199"/>
      <c r="ELQ117" s="198"/>
      <c r="ELR117" s="199"/>
      <c r="ELS117" s="198"/>
      <c r="ELT117" s="199"/>
      <c r="ELU117" s="198"/>
      <c r="ELV117" s="199"/>
      <c r="ELW117" s="198"/>
      <c r="ELX117" s="199"/>
      <c r="ELY117" s="198"/>
      <c r="ELZ117" s="199"/>
      <c r="EMA117" s="198"/>
      <c r="EMB117" s="199"/>
      <c r="EMC117" s="198"/>
      <c r="EMD117" s="199"/>
      <c r="EME117" s="198"/>
      <c r="EMF117" s="199"/>
      <c r="EMG117" s="198"/>
      <c r="EMH117" s="199"/>
      <c r="EMI117" s="198"/>
      <c r="EMJ117" s="199"/>
      <c r="EMK117" s="198"/>
      <c r="EML117" s="199"/>
      <c r="EMM117" s="198"/>
      <c r="EMN117" s="199"/>
      <c r="EMO117" s="198"/>
      <c r="EMP117" s="199"/>
      <c r="EMQ117" s="198"/>
      <c r="EMR117" s="199"/>
      <c r="EMS117" s="198"/>
      <c r="EMT117" s="199"/>
      <c r="EMU117" s="198"/>
      <c r="EMV117" s="199"/>
      <c r="EMW117" s="198"/>
      <c r="EMX117" s="199"/>
      <c r="EMY117" s="198"/>
      <c r="EMZ117" s="199"/>
      <c r="ENA117" s="198"/>
      <c r="ENB117" s="199"/>
      <c r="ENC117" s="198"/>
      <c r="END117" s="199"/>
      <c r="ENE117" s="198"/>
      <c r="ENF117" s="199"/>
      <c r="ENG117" s="198"/>
      <c r="ENH117" s="199"/>
      <c r="ENI117" s="198"/>
      <c r="ENJ117" s="199"/>
      <c r="ENK117" s="198"/>
      <c r="ENL117" s="199"/>
      <c r="ENM117" s="198"/>
      <c r="ENN117" s="199"/>
      <c r="ENO117" s="198"/>
      <c r="ENP117" s="199"/>
      <c r="ENQ117" s="198"/>
      <c r="ENR117" s="199"/>
      <c r="ENS117" s="198"/>
      <c r="ENT117" s="199"/>
      <c r="ENU117" s="198"/>
      <c r="ENV117" s="199"/>
      <c r="ENW117" s="198"/>
      <c r="ENX117" s="199"/>
      <c r="ENY117" s="198"/>
      <c r="ENZ117" s="199"/>
      <c r="EOA117" s="198"/>
      <c r="EOB117" s="199"/>
      <c r="EOC117" s="198"/>
      <c r="EOD117" s="199"/>
      <c r="EOE117" s="198"/>
      <c r="EOF117" s="199"/>
      <c r="EOG117" s="198"/>
      <c r="EOH117" s="199"/>
      <c r="EOI117" s="198"/>
      <c r="EOJ117" s="199"/>
      <c r="EOK117" s="198"/>
      <c r="EOL117" s="199"/>
      <c r="EOM117" s="198"/>
      <c r="EON117" s="199"/>
      <c r="EOO117" s="198"/>
      <c r="EOP117" s="199"/>
      <c r="EOQ117" s="198"/>
      <c r="EOR117" s="199"/>
      <c r="EOS117" s="198"/>
      <c r="EOT117" s="199"/>
      <c r="EOU117" s="198"/>
      <c r="EOV117" s="199"/>
      <c r="EOW117" s="198"/>
      <c r="EOX117" s="199"/>
      <c r="EOY117" s="198"/>
      <c r="EOZ117" s="199"/>
      <c r="EPA117" s="198"/>
      <c r="EPB117" s="199"/>
      <c r="EPC117" s="198"/>
      <c r="EPD117" s="199"/>
      <c r="EPE117" s="198"/>
      <c r="EPF117" s="199"/>
      <c r="EPG117" s="198"/>
      <c r="EPH117" s="199"/>
      <c r="EPI117" s="198"/>
      <c r="EPJ117" s="199"/>
      <c r="EPK117" s="198"/>
      <c r="EPL117" s="199"/>
      <c r="EPM117" s="198"/>
      <c r="EPN117" s="199"/>
      <c r="EPO117" s="198"/>
      <c r="EPP117" s="199"/>
      <c r="EPQ117" s="198"/>
      <c r="EPR117" s="199"/>
      <c r="EPS117" s="198"/>
      <c r="EPT117" s="199"/>
      <c r="EPU117" s="198"/>
      <c r="EPV117" s="199"/>
      <c r="EPW117" s="198"/>
      <c r="EPX117" s="199"/>
      <c r="EPY117" s="198"/>
      <c r="EPZ117" s="199"/>
      <c r="EQA117" s="198"/>
      <c r="EQB117" s="199"/>
      <c r="EQC117" s="198"/>
      <c r="EQD117" s="199"/>
      <c r="EQE117" s="198"/>
      <c r="EQF117" s="199"/>
      <c r="EQG117" s="198"/>
      <c r="EQH117" s="199"/>
      <c r="EQI117" s="198"/>
      <c r="EQJ117" s="199"/>
      <c r="EQK117" s="198"/>
      <c r="EQL117" s="199"/>
      <c r="EQM117" s="198"/>
      <c r="EQN117" s="199"/>
      <c r="EQO117" s="198"/>
      <c r="EQP117" s="199"/>
      <c r="EQQ117" s="198"/>
      <c r="EQR117" s="199"/>
      <c r="EQS117" s="198"/>
      <c r="EQT117" s="199"/>
      <c r="EQU117" s="198"/>
      <c r="EQV117" s="199"/>
      <c r="EQW117" s="198"/>
      <c r="EQX117" s="199"/>
      <c r="EQY117" s="198"/>
      <c r="EQZ117" s="199"/>
      <c r="ERA117" s="198"/>
      <c r="ERB117" s="199"/>
      <c r="ERC117" s="198"/>
      <c r="ERD117" s="199"/>
      <c r="ERE117" s="198"/>
      <c r="ERF117" s="199"/>
      <c r="ERG117" s="198"/>
      <c r="ERH117" s="199"/>
      <c r="ERI117" s="198"/>
      <c r="ERJ117" s="199"/>
      <c r="ERK117" s="198"/>
      <c r="ERL117" s="199"/>
      <c r="ERM117" s="198"/>
      <c r="ERN117" s="199"/>
      <c r="ERO117" s="198"/>
      <c r="ERP117" s="199"/>
      <c r="ERQ117" s="198"/>
      <c r="ERR117" s="199"/>
      <c r="ERS117" s="198"/>
      <c r="ERT117" s="199"/>
      <c r="ERU117" s="198"/>
      <c r="ERV117" s="199"/>
      <c r="ERW117" s="198"/>
      <c r="ERX117" s="199"/>
      <c r="ERY117" s="198"/>
      <c r="ERZ117" s="199"/>
      <c r="ESA117" s="198"/>
      <c r="ESB117" s="199"/>
      <c r="ESC117" s="198"/>
      <c r="ESD117" s="199"/>
      <c r="ESE117" s="198"/>
      <c r="ESF117" s="199"/>
      <c r="ESG117" s="198"/>
      <c r="ESH117" s="199"/>
      <c r="ESI117" s="198"/>
      <c r="ESJ117" s="199"/>
      <c r="ESK117" s="198"/>
      <c r="ESL117" s="199"/>
      <c r="ESM117" s="198"/>
      <c r="ESN117" s="199"/>
      <c r="ESO117" s="198"/>
      <c r="ESP117" s="199"/>
      <c r="ESQ117" s="198"/>
      <c r="ESR117" s="199"/>
      <c r="ESS117" s="198"/>
      <c r="EST117" s="199"/>
      <c r="ESU117" s="198"/>
      <c r="ESV117" s="199"/>
      <c r="ESW117" s="198"/>
      <c r="ESX117" s="199"/>
      <c r="ESY117" s="198"/>
      <c r="ESZ117" s="199"/>
      <c r="ETA117" s="198"/>
      <c r="ETB117" s="199"/>
      <c r="ETC117" s="198"/>
      <c r="ETD117" s="199"/>
      <c r="ETE117" s="198"/>
      <c r="ETF117" s="199"/>
      <c r="ETG117" s="198"/>
      <c r="ETH117" s="199"/>
      <c r="ETI117" s="198"/>
      <c r="ETJ117" s="199"/>
      <c r="ETK117" s="198"/>
      <c r="ETL117" s="199"/>
      <c r="ETM117" s="198"/>
      <c r="ETN117" s="199"/>
      <c r="ETO117" s="198"/>
      <c r="ETP117" s="199"/>
      <c r="ETQ117" s="198"/>
      <c r="ETR117" s="199"/>
      <c r="ETS117" s="198"/>
      <c r="ETT117" s="199"/>
      <c r="ETU117" s="198"/>
      <c r="ETV117" s="199"/>
      <c r="ETW117" s="198"/>
      <c r="ETX117" s="199"/>
      <c r="ETY117" s="198"/>
      <c r="ETZ117" s="199"/>
      <c r="EUA117" s="198"/>
      <c r="EUB117" s="199"/>
      <c r="EUC117" s="198"/>
      <c r="EUD117" s="199"/>
      <c r="EUE117" s="198"/>
      <c r="EUF117" s="199"/>
      <c r="EUG117" s="198"/>
      <c r="EUH117" s="199"/>
      <c r="EUI117" s="198"/>
      <c r="EUJ117" s="199"/>
      <c r="EUK117" s="198"/>
      <c r="EUL117" s="199"/>
      <c r="EUM117" s="198"/>
      <c r="EUN117" s="199"/>
      <c r="EUO117" s="198"/>
      <c r="EUP117" s="199"/>
      <c r="EUQ117" s="198"/>
      <c r="EUR117" s="199"/>
      <c r="EUS117" s="198"/>
      <c r="EUT117" s="199"/>
      <c r="EUU117" s="198"/>
      <c r="EUV117" s="199"/>
      <c r="EUW117" s="198"/>
      <c r="EUX117" s="199"/>
      <c r="EUY117" s="198"/>
      <c r="EUZ117" s="199"/>
      <c r="EVA117" s="198"/>
      <c r="EVB117" s="199"/>
      <c r="EVC117" s="198"/>
      <c r="EVD117" s="199"/>
      <c r="EVE117" s="198"/>
      <c r="EVF117" s="199"/>
      <c r="EVG117" s="198"/>
      <c r="EVH117" s="199"/>
      <c r="EVI117" s="198"/>
      <c r="EVJ117" s="199"/>
      <c r="EVK117" s="198"/>
      <c r="EVL117" s="199"/>
      <c r="EVM117" s="198"/>
      <c r="EVN117" s="199"/>
      <c r="EVO117" s="198"/>
      <c r="EVP117" s="199"/>
      <c r="EVQ117" s="198"/>
      <c r="EVR117" s="199"/>
      <c r="EVS117" s="198"/>
      <c r="EVT117" s="199"/>
      <c r="EVU117" s="198"/>
      <c r="EVV117" s="199"/>
      <c r="EVW117" s="198"/>
      <c r="EVX117" s="199"/>
      <c r="EVY117" s="198"/>
      <c r="EVZ117" s="199"/>
      <c r="EWA117" s="198"/>
      <c r="EWB117" s="199"/>
      <c r="EWC117" s="198"/>
      <c r="EWD117" s="199"/>
      <c r="EWE117" s="198"/>
      <c r="EWF117" s="199"/>
      <c r="EWG117" s="198"/>
      <c r="EWH117" s="199"/>
      <c r="EWI117" s="198"/>
      <c r="EWJ117" s="199"/>
      <c r="EWK117" s="198"/>
      <c r="EWL117" s="199"/>
      <c r="EWM117" s="198"/>
      <c r="EWN117" s="199"/>
      <c r="EWO117" s="198"/>
      <c r="EWP117" s="199"/>
      <c r="EWQ117" s="198"/>
      <c r="EWR117" s="199"/>
      <c r="EWS117" s="198"/>
      <c r="EWT117" s="199"/>
      <c r="EWU117" s="198"/>
      <c r="EWV117" s="199"/>
      <c r="EWW117" s="198"/>
      <c r="EWX117" s="199"/>
      <c r="EWY117" s="198"/>
      <c r="EWZ117" s="199"/>
      <c r="EXA117" s="198"/>
      <c r="EXB117" s="199"/>
      <c r="EXC117" s="198"/>
      <c r="EXD117" s="199"/>
      <c r="EXE117" s="198"/>
      <c r="EXF117" s="199"/>
      <c r="EXG117" s="198"/>
      <c r="EXH117" s="199"/>
      <c r="EXI117" s="198"/>
      <c r="EXJ117" s="199"/>
      <c r="EXK117" s="198"/>
      <c r="EXL117" s="199"/>
      <c r="EXM117" s="198"/>
      <c r="EXN117" s="199"/>
      <c r="EXO117" s="198"/>
      <c r="EXP117" s="199"/>
      <c r="EXQ117" s="198"/>
      <c r="EXR117" s="199"/>
      <c r="EXS117" s="198"/>
      <c r="EXT117" s="199"/>
      <c r="EXU117" s="198"/>
      <c r="EXV117" s="199"/>
      <c r="EXW117" s="198"/>
      <c r="EXX117" s="199"/>
      <c r="EXY117" s="198"/>
      <c r="EXZ117" s="199"/>
      <c r="EYA117" s="198"/>
      <c r="EYB117" s="199"/>
      <c r="EYC117" s="198"/>
      <c r="EYD117" s="199"/>
      <c r="EYE117" s="198"/>
      <c r="EYF117" s="199"/>
      <c r="EYG117" s="198"/>
      <c r="EYH117" s="199"/>
      <c r="EYI117" s="198"/>
      <c r="EYJ117" s="199"/>
      <c r="EYK117" s="198"/>
      <c r="EYL117" s="199"/>
      <c r="EYM117" s="198"/>
      <c r="EYN117" s="199"/>
      <c r="EYO117" s="198"/>
      <c r="EYP117" s="199"/>
      <c r="EYQ117" s="198"/>
      <c r="EYR117" s="199"/>
      <c r="EYS117" s="198"/>
      <c r="EYT117" s="199"/>
      <c r="EYU117" s="198"/>
      <c r="EYV117" s="199"/>
      <c r="EYW117" s="198"/>
      <c r="EYX117" s="199"/>
      <c r="EYY117" s="198"/>
      <c r="EYZ117" s="199"/>
      <c r="EZA117" s="198"/>
      <c r="EZB117" s="199"/>
      <c r="EZC117" s="198"/>
      <c r="EZD117" s="199"/>
      <c r="EZE117" s="198"/>
      <c r="EZF117" s="199"/>
      <c r="EZG117" s="198"/>
      <c r="EZH117" s="199"/>
      <c r="EZI117" s="198"/>
      <c r="EZJ117" s="199"/>
      <c r="EZK117" s="198"/>
      <c r="EZL117" s="199"/>
      <c r="EZM117" s="198"/>
      <c r="EZN117" s="199"/>
      <c r="EZO117" s="198"/>
      <c r="EZP117" s="199"/>
      <c r="EZQ117" s="198"/>
      <c r="EZR117" s="199"/>
      <c r="EZS117" s="198"/>
      <c r="EZT117" s="199"/>
      <c r="EZU117" s="198"/>
      <c r="EZV117" s="199"/>
      <c r="EZW117" s="198"/>
      <c r="EZX117" s="199"/>
      <c r="EZY117" s="198"/>
      <c r="EZZ117" s="199"/>
      <c r="FAA117" s="198"/>
      <c r="FAB117" s="199"/>
      <c r="FAC117" s="198"/>
      <c r="FAD117" s="199"/>
      <c r="FAE117" s="198"/>
      <c r="FAF117" s="199"/>
      <c r="FAG117" s="198"/>
      <c r="FAH117" s="199"/>
      <c r="FAI117" s="198"/>
      <c r="FAJ117" s="199"/>
      <c r="FAK117" s="198"/>
      <c r="FAL117" s="199"/>
      <c r="FAM117" s="198"/>
      <c r="FAN117" s="199"/>
      <c r="FAO117" s="198"/>
      <c r="FAP117" s="199"/>
      <c r="FAQ117" s="198"/>
      <c r="FAR117" s="199"/>
      <c r="FAS117" s="198"/>
      <c r="FAT117" s="199"/>
      <c r="FAU117" s="198"/>
      <c r="FAV117" s="199"/>
      <c r="FAW117" s="198"/>
      <c r="FAX117" s="199"/>
      <c r="FAY117" s="198"/>
      <c r="FAZ117" s="199"/>
      <c r="FBA117" s="198"/>
      <c r="FBB117" s="199"/>
      <c r="FBC117" s="198"/>
      <c r="FBD117" s="199"/>
      <c r="FBE117" s="198"/>
      <c r="FBF117" s="199"/>
      <c r="FBG117" s="198"/>
      <c r="FBH117" s="199"/>
      <c r="FBI117" s="198"/>
      <c r="FBJ117" s="199"/>
      <c r="FBK117" s="198"/>
      <c r="FBL117" s="199"/>
      <c r="FBM117" s="198"/>
      <c r="FBN117" s="199"/>
      <c r="FBO117" s="198"/>
      <c r="FBP117" s="199"/>
      <c r="FBQ117" s="198"/>
      <c r="FBR117" s="199"/>
      <c r="FBS117" s="198"/>
      <c r="FBT117" s="199"/>
      <c r="FBU117" s="198"/>
      <c r="FBV117" s="199"/>
      <c r="FBW117" s="198"/>
      <c r="FBX117" s="199"/>
      <c r="FBY117" s="198"/>
      <c r="FBZ117" s="199"/>
      <c r="FCA117" s="198"/>
      <c r="FCB117" s="199"/>
      <c r="FCC117" s="198"/>
      <c r="FCD117" s="199"/>
      <c r="FCE117" s="198"/>
      <c r="FCF117" s="199"/>
      <c r="FCG117" s="198"/>
      <c r="FCH117" s="199"/>
      <c r="FCI117" s="198"/>
      <c r="FCJ117" s="199"/>
      <c r="FCK117" s="198"/>
      <c r="FCL117" s="199"/>
      <c r="FCM117" s="198"/>
      <c r="FCN117" s="199"/>
      <c r="FCO117" s="198"/>
      <c r="FCP117" s="199"/>
      <c r="FCQ117" s="198"/>
      <c r="FCR117" s="199"/>
      <c r="FCS117" s="198"/>
      <c r="FCT117" s="199"/>
      <c r="FCU117" s="198"/>
      <c r="FCV117" s="199"/>
      <c r="FCW117" s="198"/>
      <c r="FCX117" s="199"/>
      <c r="FCY117" s="198"/>
      <c r="FCZ117" s="199"/>
      <c r="FDA117" s="198"/>
      <c r="FDB117" s="199"/>
      <c r="FDC117" s="198"/>
      <c r="FDD117" s="199"/>
      <c r="FDE117" s="198"/>
      <c r="FDF117" s="199"/>
      <c r="FDG117" s="198"/>
      <c r="FDH117" s="199"/>
      <c r="FDI117" s="198"/>
      <c r="FDJ117" s="199"/>
      <c r="FDK117" s="198"/>
      <c r="FDL117" s="199"/>
      <c r="FDM117" s="198"/>
      <c r="FDN117" s="199"/>
      <c r="FDO117" s="198"/>
      <c r="FDP117" s="199"/>
      <c r="FDQ117" s="198"/>
      <c r="FDR117" s="199"/>
      <c r="FDS117" s="198"/>
      <c r="FDT117" s="199"/>
      <c r="FDU117" s="198"/>
      <c r="FDV117" s="199"/>
      <c r="FDW117" s="198"/>
      <c r="FDX117" s="199"/>
      <c r="FDY117" s="198"/>
      <c r="FDZ117" s="199"/>
      <c r="FEA117" s="198"/>
      <c r="FEB117" s="199"/>
      <c r="FEC117" s="198"/>
      <c r="FED117" s="199"/>
      <c r="FEE117" s="198"/>
      <c r="FEF117" s="199"/>
      <c r="FEG117" s="198"/>
      <c r="FEH117" s="199"/>
      <c r="FEI117" s="198"/>
      <c r="FEJ117" s="199"/>
      <c r="FEK117" s="198"/>
      <c r="FEL117" s="199"/>
      <c r="FEM117" s="198"/>
      <c r="FEN117" s="199"/>
      <c r="FEO117" s="198"/>
      <c r="FEP117" s="199"/>
      <c r="FEQ117" s="198"/>
      <c r="FER117" s="199"/>
      <c r="FES117" s="198"/>
      <c r="FET117" s="199"/>
      <c r="FEU117" s="198"/>
      <c r="FEV117" s="199"/>
      <c r="FEW117" s="198"/>
      <c r="FEX117" s="199"/>
      <c r="FEY117" s="198"/>
      <c r="FEZ117" s="199"/>
      <c r="FFA117" s="198"/>
      <c r="FFB117" s="199"/>
      <c r="FFC117" s="198"/>
      <c r="FFD117" s="199"/>
      <c r="FFE117" s="198"/>
      <c r="FFF117" s="199"/>
      <c r="FFG117" s="198"/>
      <c r="FFH117" s="199"/>
      <c r="FFI117" s="198"/>
      <c r="FFJ117" s="199"/>
      <c r="FFK117" s="198"/>
      <c r="FFL117" s="199"/>
      <c r="FFM117" s="198"/>
      <c r="FFN117" s="199"/>
      <c r="FFO117" s="198"/>
      <c r="FFP117" s="199"/>
      <c r="FFQ117" s="198"/>
      <c r="FFR117" s="199"/>
      <c r="FFS117" s="198"/>
      <c r="FFT117" s="199"/>
      <c r="FFU117" s="198"/>
      <c r="FFV117" s="199"/>
      <c r="FFW117" s="198"/>
      <c r="FFX117" s="199"/>
      <c r="FFY117" s="198"/>
      <c r="FFZ117" s="199"/>
      <c r="FGA117" s="198"/>
      <c r="FGB117" s="199"/>
      <c r="FGC117" s="198"/>
      <c r="FGD117" s="199"/>
      <c r="FGE117" s="198"/>
      <c r="FGF117" s="199"/>
      <c r="FGG117" s="198"/>
      <c r="FGH117" s="199"/>
      <c r="FGI117" s="198"/>
      <c r="FGJ117" s="199"/>
      <c r="FGK117" s="198"/>
      <c r="FGL117" s="199"/>
      <c r="FGM117" s="198"/>
      <c r="FGN117" s="199"/>
      <c r="FGO117" s="198"/>
      <c r="FGP117" s="199"/>
      <c r="FGQ117" s="198"/>
      <c r="FGR117" s="199"/>
      <c r="FGS117" s="198"/>
      <c r="FGT117" s="199"/>
      <c r="FGU117" s="198"/>
      <c r="FGV117" s="199"/>
      <c r="FGW117" s="198"/>
      <c r="FGX117" s="199"/>
      <c r="FGY117" s="198"/>
      <c r="FGZ117" s="199"/>
      <c r="FHA117" s="198"/>
      <c r="FHB117" s="199"/>
      <c r="FHC117" s="198"/>
      <c r="FHD117" s="199"/>
      <c r="FHE117" s="198"/>
      <c r="FHF117" s="199"/>
      <c r="FHG117" s="198"/>
      <c r="FHH117" s="199"/>
      <c r="FHI117" s="198"/>
      <c r="FHJ117" s="199"/>
      <c r="FHK117" s="198"/>
      <c r="FHL117" s="199"/>
      <c r="FHM117" s="198"/>
      <c r="FHN117" s="199"/>
      <c r="FHO117" s="198"/>
      <c r="FHP117" s="199"/>
      <c r="FHQ117" s="198"/>
      <c r="FHR117" s="199"/>
      <c r="FHS117" s="198"/>
      <c r="FHT117" s="199"/>
      <c r="FHU117" s="198"/>
      <c r="FHV117" s="199"/>
      <c r="FHW117" s="198"/>
      <c r="FHX117" s="199"/>
      <c r="FHY117" s="198"/>
      <c r="FHZ117" s="199"/>
      <c r="FIA117" s="198"/>
      <c r="FIB117" s="199"/>
      <c r="FIC117" s="198"/>
      <c r="FID117" s="199"/>
      <c r="FIE117" s="198"/>
      <c r="FIF117" s="199"/>
      <c r="FIG117" s="198"/>
      <c r="FIH117" s="199"/>
      <c r="FII117" s="198"/>
      <c r="FIJ117" s="199"/>
      <c r="FIK117" s="198"/>
      <c r="FIL117" s="199"/>
      <c r="FIM117" s="198"/>
      <c r="FIN117" s="199"/>
      <c r="FIO117" s="198"/>
      <c r="FIP117" s="199"/>
      <c r="FIQ117" s="198"/>
      <c r="FIR117" s="199"/>
      <c r="FIS117" s="198"/>
      <c r="FIT117" s="199"/>
      <c r="FIU117" s="198"/>
      <c r="FIV117" s="199"/>
      <c r="FIW117" s="198"/>
      <c r="FIX117" s="199"/>
      <c r="FIY117" s="198"/>
      <c r="FIZ117" s="199"/>
      <c r="FJA117" s="198"/>
      <c r="FJB117" s="199"/>
      <c r="FJC117" s="198"/>
      <c r="FJD117" s="199"/>
      <c r="FJE117" s="198"/>
      <c r="FJF117" s="199"/>
      <c r="FJG117" s="198"/>
      <c r="FJH117" s="199"/>
      <c r="FJI117" s="198"/>
      <c r="FJJ117" s="199"/>
      <c r="FJK117" s="198"/>
      <c r="FJL117" s="199"/>
      <c r="FJM117" s="198"/>
      <c r="FJN117" s="199"/>
      <c r="FJO117" s="198"/>
      <c r="FJP117" s="199"/>
      <c r="FJQ117" s="198"/>
      <c r="FJR117" s="199"/>
      <c r="FJS117" s="198"/>
      <c r="FJT117" s="199"/>
      <c r="FJU117" s="198"/>
      <c r="FJV117" s="199"/>
      <c r="FJW117" s="198"/>
      <c r="FJX117" s="199"/>
      <c r="FJY117" s="198"/>
      <c r="FJZ117" s="199"/>
      <c r="FKA117" s="198"/>
      <c r="FKB117" s="199"/>
      <c r="FKC117" s="198"/>
      <c r="FKD117" s="199"/>
      <c r="FKE117" s="198"/>
      <c r="FKF117" s="199"/>
      <c r="FKG117" s="198"/>
      <c r="FKH117" s="199"/>
      <c r="FKI117" s="198"/>
      <c r="FKJ117" s="199"/>
      <c r="FKK117" s="198"/>
      <c r="FKL117" s="199"/>
      <c r="FKM117" s="198"/>
      <c r="FKN117" s="199"/>
      <c r="FKO117" s="198"/>
      <c r="FKP117" s="199"/>
      <c r="FKQ117" s="198"/>
      <c r="FKR117" s="199"/>
      <c r="FKS117" s="198"/>
      <c r="FKT117" s="199"/>
      <c r="FKU117" s="198"/>
      <c r="FKV117" s="199"/>
      <c r="FKW117" s="198"/>
      <c r="FKX117" s="199"/>
      <c r="FKY117" s="198"/>
      <c r="FKZ117" s="199"/>
      <c r="FLA117" s="198"/>
      <c r="FLB117" s="199"/>
      <c r="FLC117" s="198"/>
      <c r="FLD117" s="199"/>
      <c r="FLE117" s="198"/>
      <c r="FLF117" s="199"/>
      <c r="FLG117" s="198"/>
      <c r="FLH117" s="199"/>
      <c r="FLI117" s="198"/>
      <c r="FLJ117" s="199"/>
      <c r="FLK117" s="198"/>
      <c r="FLL117" s="199"/>
      <c r="FLM117" s="198"/>
      <c r="FLN117" s="199"/>
      <c r="FLO117" s="198"/>
      <c r="FLP117" s="199"/>
      <c r="FLQ117" s="198"/>
      <c r="FLR117" s="199"/>
      <c r="FLS117" s="198"/>
      <c r="FLT117" s="199"/>
      <c r="FLU117" s="198"/>
      <c r="FLV117" s="199"/>
      <c r="FLW117" s="198"/>
      <c r="FLX117" s="199"/>
      <c r="FLY117" s="198"/>
      <c r="FLZ117" s="199"/>
      <c r="FMA117" s="198"/>
      <c r="FMB117" s="199"/>
      <c r="FMC117" s="198"/>
      <c r="FMD117" s="199"/>
      <c r="FME117" s="198"/>
      <c r="FMF117" s="199"/>
      <c r="FMG117" s="198"/>
      <c r="FMH117" s="199"/>
      <c r="FMI117" s="198"/>
      <c r="FMJ117" s="199"/>
      <c r="FMK117" s="198"/>
      <c r="FML117" s="199"/>
      <c r="FMM117" s="198"/>
      <c r="FMN117" s="199"/>
      <c r="FMO117" s="198"/>
      <c r="FMP117" s="199"/>
      <c r="FMQ117" s="198"/>
      <c r="FMR117" s="199"/>
      <c r="FMS117" s="198"/>
      <c r="FMT117" s="199"/>
      <c r="FMU117" s="198"/>
      <c r="FMV117" s="199"/>
      <c r="FMW117" s="198"/>
      <c r="FMX117" s="199"/>
      <c r="FMY117" s="198"/>
      <c r="FMZ117" s="199"/>
      <c r="FNA117" s="198"/>
      <c r="FNB117" s="199"/>
      <c r="FNC117" s="198"/>
      <c r="FND117" s="199"/>
      <c r="FNE117" s="198"/>
      <c r="FNF117" s="199"/>
      <c r="FNG117" s="198"/>
      <c r="FNH117" s="199"/>
      <c r="FNI117" s="198"/>
      <c r="FNJ117" s="199"/>
      <c r="FNK117" s="198"/>
      <c r="FNL117" s="199"/>
      <c r="FNM117" s="198"/>
      <c r="FNN117" s="199"/>
      <c r="FNO117" s="198"/>
      <c r="FNP117" s="199"/>
      <c r="FNQ117" s="198"/>
      <c r="FNR117" s="199"/>
      <c r="FNS117" s="198"/>
      <c r="FNT117" s="199"/>
      <c r="FNU117" s="198"/>
      <c r="FNV117" s="199"/>
      <c r="FNW117" s="198"/>
      <c r="FNX117" s="199"/>
      <c r="FNY117" s="198"/>
      <c r="FNZ117" s="199"/>
      <c r="FOA117" s="198"/>
      <c r="FOB117" s="199"/>
      <c r="FOC117" s="198"/>
      <c r="FOD117" s="199"/>
      <c r="FOE117" s="198"/>
      <c r="FOF117" s="199"/>
      <c r="FOG117" s="198"/>
      <c r="FOH117" s="199"/>
      <c r="FOI117" s="198"/>
      <c r="FOJ117" s="199"/>
      <c r="FOK117" s="198"/>
      <c r="FOL117" s="199"/>
      <c r="FOM117" s="198"/>
      <c r="FON117" s="199"/>
      <c r="FOO117" s="198"/>
      <c r="FOP117" s="199"/>
      <c r="FOQ117" s="198"/>
      <c r="FOR117" s="199"/>
      <c r="FOS117" s="198"/>
      <c r="FOT117" s="199"/>
      <c r="FOU117" s="198"/>
      <c r="FOV117" s="199"/>
      <c r="FOW117" s="198"/>
      <c r="FOX117" s="199"/>
      <c r="FOY117" s="198"/>
      <c r="FOZ117" s="199"/>
      <c r="FPA117" s="198"/>
      <c r="FPB117" s="199"/>
      <c r="FPC117" s="198"/>
      <c r="FPD117" s="199"/>
      <c r="FPE117" s="198"/>
      <c r="FPF117" s="199"/>
      <c r="FPG117" s="198"/>
      <c r="FPH117" s="199"/>
      <c r="FPI117" s="198"/>
      <c r="FPJ117" s="199"/>
      <c r="FPK117" s="198"/>
      <c r="FPL117" s="199"/>
      <c r="FPM117" s="198"/>
      <c r="FPN117" s="199"/>
      <c r="FPO117" s="198"/>
      <c r="FPP117" s="199"/>
      <c r="FPQ117" s="198"/>
      <c r="FPR117" s="199"/>
      <c r="FPS117" s="198"/>
      <c r="FPT117" s="199"/>
      <c r="FPU117" s="198"/>
      <c r="FPV117" s="199"/>
      <c r="FPW117" s="198"/>
      <c r="FPX117" s="199"/>
      <c r="FPY117" s="198"/>
      <c r="FPZ117" s="199"/>
      <c r="FQA117" s="198"/>
      <c r="FQB117" s="199"/>
      <c r="FQC117" s="198"/>
      <c r="FQD117" s="199"/>
      <c r="FQE117" s="198"/>
      <c r="FQF117" s="199"/>
      <c r="FQG117" s="198"/>
      <c r="FQH117" s="199"/>
      <c r="FQI117" s="198"/>
      <c r="FQJ117" s="199"/>
      <c r="FQK117" s="198"/>
      <c r="FQL117" s="199"/>
      <c r="FQM117" s="198"/>
      <c r="FQN117" s="199"/>
      <c r="FQO117" s="198"/>
      <c r="FQP117" s="199"/>
      <c r="FQQ117" s="198"/>
      <c r="FQR117" s="199"/>
      <c r="FQS117" s="198"/>
      <c r="FQT117" s="199"/>
      <c r="FQU117" s="198"/>
      <c r="FQV117" s="199"/>
      <c r="FQW117" s="198"/>
      <c r="FQX117" s="199"/>
      <c r="FQY117" s="198"/>
      <c r="FQZ117" s="199"/>
      <c r="FRA117" s="198"/>
      <c r="FRB117" s="199"/>
      <c r="FRC117" s="198"/>
      <c r="FRD117" s="199"/>
      <c r="FRE117" s="198"/>
      <c r="FRF117" s="199"/>
      <c r="FRG117" s="198"/>
      <c r="FRH117" s="199"/>
      <c r="FRI117" s="198"/>
      <c r="FRJ117" s="199"/>
      <c r="FRK117" s="198"/>
      <c r="FRL117" s="199"/>
      <c r="FRM117" s="198"/>
      <c r="FRN117" s="199"/>
      <c r="FRO117" s="198"/>
      <c r="FRP117" s="199"/>
      <c r="FRQ117" s="198"/>
      <c r="FRR117" s="199"/>
      <c r="FRS117" s="198"/>
      <c r="FRT117" s="199"/>
      <c r="FRU117" s="198"/>
      <c r="FRV117" s="199"/>
      <c r="FRW117" s="198"/>
      <c r="FRX117" s="199"/>
      <c r="FRY117" s="198"/>
      <c r="FRZ117" s="199"/>
      <c r="FSA117" s="198"/>
      <c r="FSB117" s="199"/>
      <c r="FSC117" s="198"/>
      <c r="FSD117" s="199"/>
      <c r="FSE117" s="198"/>
      <c r="FSF117" s="199"/>
      <c r="FSG117" s="198"/>
      <c r="FSH117" s="199"/>
      <c r="FSI117" s="198"/>
      <c r="FSJ117" s="199"/>
      <c r="FSK117" s="198"/>
      <c r="FSL117" s="199"/>
      <c r="FSM117" s="198"/>
      <c r="FSN117" s="199"/>
      <c r="FSO117" s="198"/>
      <c r="FSP117" s="199"/>
      <c r="FSQ117" s="198"/>
      <c r="FSR117" s="199"/>
      <c r="FSS117" s="198"/>
      <c r="FST117" s="199"/>
      <c r="FSU117" s="198"/>
      <c r="FSV117" s="199"/>
      <c r="FSW117" s="198"/>
      <c r="FSX117" s="199"/>
      <c r="FSY117" s="198"/>
      <c r="FSZ117" s="199"/>
      <c r="FTA117" s="198"/>
      <c r="FTB117" s="199"/>
      <c r="FTC117" s="198"/>
      <c r="FTD117" s="199"/>
      <c r="FTE117" s="198"/>
      <c r="FTF117" s="199"/>
      <c r="FTG117" s="198"/>
      <c r="FTH117" s="199"/>
      <c r="FTI117" s="198"/>
      <c r="FTJ117" s="199"/>
      <c r="FTK117" s="198"/>
      <c r="FTL117" s="199"/>
      <c r="FTM117" s="198"/>
      <c r="FTN117" s="199"/>
      <c r="FTO117" s="198"/>
      <c r="FTP117" s="199"/>
      <c r="FTQ117" s="198"/>
      <c r="FTR117" s="199"/>
      <c r="FTS117" s="198"/>
      <c r="FTT117" s="199"/>
      <c r="FTU117" s="198"/>
      <c r="FTV117" s="199"/>
      <c r="FTW117" s="198"/>
      <c r="FTX117" s="199"/>
      <c r="FTY117" s="198"/>
      <c r="FTZ117" s="199"/>
      <c r="FUA117" s="198"/>
      <c r="FUB117" s="199"/>
      <c r="FUC117" s="198"/>
      <c r="FUD117" s="199"/>
      <c r="FUE117" s="198"/>
      <c r="FUF117" s="199"/>
      <c r="FUG117" s="198"/>
      <c r="FUH117" s="199"/>
      <c r="FUI117" s="198"/>
      <c r="FUJ117" s="199"/>
      <c r="FUK117" s="198"/>
      <c r="FUL117" s="199"/>
      <c r="FUM117" s="198"/>
      <c r="FUN117" s="199"/>
      <c r="FUO117" s="198"/>
      <c r="FUP117" s="199"/>
      <c r="FUQ117" s="198"/>
      <c r="FUR117" s="199"/>
      <c r="FUS117" s="198"/>
      <c r="FUT117" s="199"/>
      <c r="FUU117" s="198"/>
      <c r="FUV117" s="199"/>
      <c r="FUW117" s="198"/>
      <c r="FUX117" s="199"/>
      <c r="FUY117" s="198"/>
      <c r="FUZ117" s="199"/>
      <c r="FVA117" s="198"/>
      <c r="FVB117" s="199"/>
      <c r="FVC117" s="198"/>
      <c r="FVD117" s="199"/>
      <c r="FVE117" s="198"/>
      <c r="FVF117" s="199"/>
      <c r="FVG117" s="198"/>
      <c r="FVH117" s="199"/>
      <c r="FVI117" s="198"/>
      <c r="FVJ117" s="199"/>
      <c r="FVK117" s="198"/>
      <c r="FVL117" s="199"/>
      <c r="FVM117" s="198"/>
      <c r="FVN117" s="199"/>
      <c r="FVO117" s="198"/>
      <c r="FVP117" s="199"/>
      <c r="FVQ117" s="198"/>
      <c r="FVR117" s="199"/>
      <c r="FVS117" s="198"/>
      <c r="FVT117" s="199"/>
      <c r="FVU117" s="198"/>
      <c r="FVV117" s="199"/>
      <c r="FVW117" s="198"/>
      <c r="FVX117" s="199"/>
      <c r="FVY117" s="198"/>
      <c r="FVZ117" s="199"/>
      <c r="FWA117" s="198"/>
      <c r="FWB117" s="199"/>
      <c r="FWC117" s="198"/>
      <c r="FWD117" s="199"/>
      <c r="FWE117" s="198"/>
      <c r="FWF117" s="199"/>
      <c r="FWG117" s="198"/>
      <c r="FWH117" s="199"/>
      <c r="FWI117" s="198"/>
      <c r="FWJ117" s="199"/>
      <c r="FWK117" s="198"/>
      <c r="FWL117" s="199"/>
      <c r="FWM117" s="198"/>
      <c r="FWN117" s="199"/>
      <c r="FWO117" s="198"/>
      <c r="FWP117" s="199"/>
      <c r="FWQ117" s="198"/>
      <c r="FWR117" s="199"/>
      <c r="FWS117" s="198"/>
      <c r="FWT117" s="199"/>
      <c r="FWU117" s="198"/>
      <c r="FWV117" s="199"/>
      <c r="FWW117" s="198"/>
      <c r="FWX117" s="199"/>
      <c r="FWY117" s="198"/>
      <c r="FWZ117" s="199"/>
      <c r="FXA117" s="198"/>
      <c r="FXB117" s="199"/>
      <c r="FXC117" s="198"/>
      <c r="FXD117" s="199"/>
      <c r="FXE117" s="198"/>
      <c r="FXF117" s="199"/>
      <c r="FXG117" s="198"/>
      <c r="FXH117" s="199"/>
      <c r="FXI117" s="198"/>
      <c r="FXJ117" s="199"/>
      <c r="FXK117" s="198"/>
      <c r="FXL117" s="199"/>
      <c r="FXM117" s="198"/>
      <c r="FXN117" s="199"/>
      <c r="FXO117" s="198"/>
      <c r="FXP117" s="199"/>
      <c r="FXQ117" s="198"/>
      <c r="FXR117" s="199"/>
      <c r="FXS117" s="198"/>
      <c r="FXT117" s="199"/>
      <c r="FXU117" s="198"/>
      <c r="FXV117" s="199"/>
      <c r="FXW117" s="198"/>
      <c r="FXX117" s="199"/>
      <c r="FXY117" s="198"/>
      <c r="FXZ117" s="199"/>
      <c r="FYA117" s="198"/>
      <c r="FYB117" s="199"/>
      <c r="FYC117" s="198"/>
      <c r="FYD117" s="199"/>
      <c r="FYE117" s="198"/>
      <c r="FYF117" s="199"/>
      <c r="FYG117" s="198"/>
      <c r="FYH117" s="199"/>
      <c r="FYI117" s="198"/>
      <c r="FYJ117" s="199"/>
      <c r="FYK117" s="198"/>
      <c r="FYL117" s="199"/>
      <c r="FYM117" s="198"/>
      <c r="FYN117" s="199"/>
      <c r="FYO117" s="198"/>
      <c r="FYP117" s="199"/>
      <c r="FYQ117" s="198"/>
      <c r="FYR117" s="199"/>
      <c r="FYS117" s="198"/>
      <c r="FYT117" s="199"/>
      <c r="FYU117" s="198"/>
      <c r="FYV117" s="199"/>
      <c r="FYW117" s="198"/>
      <c r="FYX117" s="199"/>
      <c r="FYY117" s="198"/>
      <c r="FYZ117" s="199"/>
      <c r="FZA117" s="198"/>
      <c r="FZB117" s="199"/>
      <c r="FZC117" s="198"/>
      <c r="FZD117" s="199"/>
      <c r="FZE117" s="198"/>
      <c r="FZF117" s="199"/>
      <c r="FZG117" s="198"/>
      <c r="FZH117" s="199"/>
      <c r="FZI117" s="198"/>
      <c r="FZJ117" s="199"/>
      <c r="FZK117" s="198"/>
      <c r="FZL117" s="199"/>
      <c r="FZM117" s="198"/>
      <c r="FZN117" s="199"/>
      <c r="FZO117" s="198"/>
      <c r="FZP117" s="199"/>
      <c r="FZQ117" s="198"/>
      <c r="FZR117" s="199"/>
      <c r="FZS117" s="198"/>
      <c r="FZT117" s="199"/>
      <c r="FZU117" s="198"/>
      <c r="FZV117" s="199"/>
      <c r="FZW117" s="198"/>
      <c r="FZX117" s="199"/>
      <c r="FZY117" s="198"/>
      <c r="FZZ117" s="199"/>
      <c r="GAA117" s="198"/>
      <c r="GAB117" s="199"/>
      <c r="GAC117" s="198"/>
      <c r="GAD117" s="199"/>
      <c r="GAE117" s="198"/>
      <c r="GAF117" s="199"/>
      <c r="GAG117" s="198"/>
      <c r="GAH117" s="199"/>
      <c r="GAI117" s="198"/>
      <c r="GAJ117" s="199"/>
      <c r="GAK117" s="198"/>
      <c r="GAL117" s="199"/>
      <c r="GAM117" s="198"/>
      <c r="GAN117" s="199"/>
      <c r="GAO117" s="198"/>
      <c r="GAP117" s="199"/>
      <c r="GAQ117" s="198"/>
      <c r="GAR117" s="199"/>
      <c r="GAS117" s="198"/>
      <c r="GAT117" s="199"/>
      <c r="GAU117" s="198"/>
      <c r="GAV117" s="199"/>
      <c r="GAW117" s="198"/>
      <c r="GAX117" s="199"/>
      <c r="GAY117" s="198"/>
      <c r="GAZ117" s="199"/>
      <c r="GBA117" s="198"/>
      <c r="GBB117" s="199"/>
      <c r="GBC117" s="198"/>
      <c r="GBD117" s="199"/>
      <c r="GBE117" s="198"/>
      <c r="GBF117" s="199"/>
      <c r="GBG117" s="198"/>
      <c r="GBH117" s="199"/>
      <c r="GBI117" s="198"/>
      <c r="GBJ117" s="199"/>
      <c r="GBK117" s="198"/>
      <c r="GBL117" s="199"/>
      <c r="GBM117" s="198"/>
      <c r="GBN117" s="199"/>
      <c r="GBO117" s="198"/>
      <c r="GBP117" s="199"/>
      <c r="GBQ117" s="198"/>
      <c r="GBR117" s="199"/>
      <c r="GBS117" s="198"/>
      <c r="GBT117" s="199"/>
      <c r="GBU117" s="198"/>
      <c r="GBV117" s="199"/>
      <c r="GBW117" s="198"/>
      <c r="GBX117" s="199"/>
      <c r="GBY117" s="198"/>
      <c r="GBZ117" s="199"/>
      <c r="GCA117" s="198"/>
      <c r="GCB117" s="199"/>
      <c r="GCC117" s="198"/>
      <c r="GCD117" s="199"/>
      <c r="GCE117" s="198"/>
      <c r="GCF117" s="199"/>
      <c r="GCG117" s="198"/>
      <c r="GCH117" s="199"/>
      <c r="GCI117" s="198"/>
      <c r="GCJ117" s="199"/>
      <c r="GCK117" s="198"/>
      <c r="GCL117" s="199"/>
      <c r="GCM117" s="198"/>
      <c r="GCN117" s="199"/>
      <c r="GCO117" s="198"/>
      <c r="GCP117" s="199"/>
      <c r="GCQ117" s="198"/>
      <c r="GCR117" s="199"/>
      <c r="GCS117" s="198"/>
      <c r="GCT117" s="199"/>
      <c r="GCU117" s="198"/>
      <c r="GCV117" s="199"/>
      <c r="GCW117" s="198"/>
      <c r="GCX117" s="199"/>
      <c r="GCY117" s="198"/>
      <c r="GCZ117" s="199"/>
      <c r="GDA117" s="198"/>
      <c r="GDB117" s="199"/>
      <c r="GDC117" s="198"/>
      <c r="GDD117" s="199"/>
      <c r="GDE117" s="198"/>
      <c r="GDF117" s="199"/>
      <c r="GDG117" s="198"/>
      <c r="GDH117" s="199"/>
      <c r="GDI117" s="198"/>
      <c r="GDJ117" s="199"/>
      <c r="GDK117" s="198"/>
      <c r="GDL117" s="199"/>
      <c r="GDM117" s="198"/>
      <c r="GDN117" s="199"/>
      <c r="GDO117" s="198"/>
      <c r="GDP117" s="199"/>
      <c r="GDQ117" s="198"/>
      <c r="GDR117" s="199"/>
      <c r="GDS117" s="198"/>
      <c r="GDT117" s="199"/>
      <c r="GDU117" s="198"/>
      <c r="GDV117" s="199"/>
      <c r="GDW117" s="198"/>
      <c r="GDX117" s="199"/>
      <c r="GDY117" s="198"/>
      <c r="GDZ117" s="199"/>
      <c r="GEA117" s="198"/>
      <c r="GEB117" s="199"/>
      <c r="GEC117" s="198"/>
      <c r="GED117" s="199"/>
      <c r="GEE117" s="198"/>
      <c r="GEF117" s="199"/>
      <c r="GEG117" s="198"/>
      <c r="GEH117" s="199"/>
      <c r="GEI117" s="198"/>
      <c r="GEJ117" s="199"/>
      <c r="GEK117" s="198"/>
      <c r="GEL117" s="199"/>
      <c r="GEM117" s="198"/>
      <c r="GEN117" s="199"/>
      <c r="GEO117" s="198"/>
      <c r="GEP117" s="199"/>
      <c r="GEQ117" s="198"/>
      <c r="GER117" s="199"/>
      <c r="GES117" s="198"/>
      <c r="GET117" s="199"/>
      <c r="GEU117" s="198"/>
      <c r="GEV117" s="199"/>
      <c r="GEW117" s="198"/>
      <c r="GEX117" s="199"/>
      <c r="GEY117" s="198"/>
      <c r="GEZ117" s="199"/>
      <c r="GFA117" s="198"/>
      <c r="GFB117" s="199"/>
      <c r="GFC117" s="198"/>
      <c r="GFD117" s="199"/>
      <c r="GFE117" s="198"/>
      <c r="GFF117" s="199"/>
      <c r="GFG117" s="198"/>
      <c r="GFH117" s="199"/>
      <c r="GFI117" s="198"/>
      <c r="GFJ117" s="199"/>
      <c r="GFK117" s="198"/>
      <c r="GFL117" s="199"/>
      <c r="GFM117" s="198"/>
      <c r="GFN117" s="199"/>
      <c r="GFO117" s="198"/>
      <c r="GFP117" s="199"/>
      <c r="GFQ117" s="198"/>
      <c r="GFR117" s="199"/>
      <c r="GFS117" s="198"/>
      <c r="GFT117" s="199"/>
      <c r="GFU117" s="198"/>
      <c r="GFV117" s="199"/>
      <c r="GFW117" s="198"/>
      <c r="GFX117" s="199"/>
      <c r="GFY117" s="198"/>
      <c r="GFZ117" s="199"/>
      <c r="GGA117" s="198"/>
      <c r="GGB117" s="199"/>
      <c r="GGC117" s="198"/>
      <c r="GGD117" s="199"/>
      <c r="GGE117" s="198"/>
      <c r="GGF117" s="199"/>
      <c r="GGG117" s="198"/>
      <c r="GGH117" s="199"/>
      <c r="GGI117" s="198"/>
      <c r="GGJ117" s="199"/>
      <c r="GGK117" s="198"/>
      <c r="GGL117" s="199"/>
      <c r="GGM117" s="198"/>
      <c r="GGN117" s="199"/>
      <c r="GGO117" s="198"/>
      <c r="GGP117" s="199"/>
      <c r="GGQ117" s="198"/>
      <c r="GGR117" s="199"/>
      <c r="GGS117" s="198"/>
      <c r="GGT117" s="199"/>
      <c r="GGU117" s="198"/>
      <c r="GGV117" s="199"/>
      <c r="GGW117" s="198"/>
      <c r="GGX117" s="199"/>
      <c r="GGY117" s="198"/>
      <c r="GGZ117" s="199"/>
      <c r="GHA117" s="198"/>
      <c r="GHB117" s="199"/>
      <c r="GHC117" s="198"/>
      <c r="GHD117" s="199"/>
      <c r="GHE117" s="198"/>
      <c r="GHF117" s="199"/>
      <c r="GHG117" s="198"/>
      <c r="GHH117" s="199"/>
      <c r="GHI117" s="198"/>
      <c r="GHJ117" s="199"/>
      <c r="GHK117" s="198"/>
      <c r="GHL117" s="199"/>
      <c r="GHM117" s="198"/>
      <c r="GHN117" s="199"/>
      <c r="GHO117" s="198"/>
      <c r="GHP117" s="199"/>
      <c r="GHQ117" s="198"/>
      <c r="GHR117" s="199"/>
      <c r="GHS117" s="198"/>
      <c r="GHT117" s="199"/>
      <c r="GHU117" s="198"/>
      <c r="GHV117" s="199"/>
      <c r="GHW117" s="198"/>
      <c r="GHX117" s="199"/>
      <c r="GHY117" s="198"/>
      <c r="GHZ117" s="199"/>
      <c r="GIA117" s="198"/>
      <c r="GIB117" s="199"/>
      <c r="GIC117" s="198"/>
      <c r="GID117" s="199"/>
      <c r="GIE117" s="198"/>
      <c r="GIF117" s="199"/>
      <c r="GIG117" s="198"/>
      <c r="GIH117" s="199"/>
      <c r="GII117" s="198"/>
      <c r="GIJ117" s="199"/>
      <c r="GIK117" s="198"/>
      <c r="GIL117" s="199"/>
      <c r="GIM117" s="198"/>
      <c r="GIN117" s="199"/>
      <c r="GIO117" s="198"/>
      <c r="GIP117" s="199"/>
      <c r="GIQ117" s="198"/>
      <c r="GIR117" s="199"/>
      <c r="GIS117" s="198"/>
      <c r="GIT117" s="199"/>
      <c r="GIU117" s="198"/>
      <c r="GIV117" s="199"/>
      <c r="GIW117" s="198"/>
      <c r="GIX117" s="199"/>
      <c r="GIY117" s="198"/>
      <c r="GIZ117" s="199"/>
      <c r="GJA117" s="198"/>
      <c r="GJB117" s="199"/>
      <c r="GJC117" s="198"/>
      <c r="GJD117" s="199"/>
      <c r="GJE117" s="198"/>
      <c r="GJF117" s="199"/>
      <c r="GJG117" s="198"/>
      <c r="GJH117" s="199"/>
      <c r="GJI117" s="198"/>
      <c r="GJJ117" s="199"/>
      <c r="GJK117" s="198"/>
      <c r="GJL117" s="199"/>
      <c r="GJM117" s="198"/>
      <c r="GJN117" s="199"/>
      <c r="GJO117" s="198"/>
      <c r="GJP117" s="199"/>
      <c r="GJQ117" s="198"/>
      <c r="GJR117" s="199"/>
      <c r="GJS117" s="198"/>
      <c r="GJT117" s="199"/>
      <c r="GJU117" s="198"/>
      <c r="GJV117" s="199"/>
      <c r="GJW117" s="198"/>
      <c r="GJX117" s="199"/>
      <c r="GJY117" s="198"/>
      <c r="GJZ117" s="199"/>
      <c r="GKA117" s="198"/>
      <c r="GKB117" s="199"/>
      <c r="GKC117" s="198"/>
      <c r="GKD117" s="199"/>
      <c r="GKE117" s="198"/>
      <c r="GKF117" s="199"/>
      <c r="GKG117" s="198"/>
      <c r="GKH117" s="199"/>
      <c r="GKI117" s="198"/>
      <c r="GKJ117" s="199"/>
      <c r="GKK117" s="198"/>
      <c r="GKL117" s="199"/>
      <c r="GKM117" s="198"/>
      <c r="GKN117" s="199"/>
      <c r="GKO117" s="198"/>
      <c r="GKP117" s="199"/>
      <c r="GKQ117" s="198"/>
      <c r="GKR117" s="199"/>
      <c r="GKS117" s="198"/>
      <c r="GKT117" s="199"/>
      <c r="GKU117" s="198"/>
      <c r="GKV117" s="199"/>
      <c r="GKW117" s="198"/>
      <c r="GKX117" s="199"/>
      <c r="GKY117" s="198"/>
      <c r="GKZ117" s="199"/>
      <c r="GLA117" s="198"/>
      <c r="GLB117" s="199"/>
      <c r="GLC117" s="198"/>
      <c r="GLD117" s="199"/>
      <c r="GLE117" s="198"/>
      <c r="GLF117" s="199"/>
      <c r="GLG117" s="198"/>
      <c r="GLH117" s="199"/>
      <c r="GLI117" s="198"/>
      <c r="GLJ117" s="199"/>
      <c r="GLK117" s="198"/>
      <c r="GLL117" s="199"/>
      <c r="GLM117" s="198"/>
      <c r="GLN117" s="199"/>
      <c r="GLO117" s="198"/>
      <c r="GLP117" s="199"/>
      <c r="GLQ117" s="198"/>
      <c r="GLR117" s="199"/>
      <c r="GLS117" s="198"/>
      <c r="GLT117" s="199"/>
      <c r="GLU117" s="198"/>
      <c r="GLV117" s="199"/>
      <c r="GLW117" s="198"/>
      <c r="GLX117" s="199"/>
      <c r="GLY117" s="198"/>
      <c r="GLZ117" s="199"/>
      <c r="GMA117" s="198"/>
      <c r="GMB117" s="199"/>
      <c r="GMC117" s="198"/>
      <c r="GMD117" s="199"/>
      <c r="GME117" s="198"/>
      <c r="GMF117" s="199"/>
      <c r="GMG117" s="198"/>
      <c r="GMH117" s="199"/>
      <c r="GMI117" s="198"/>
      <c r="GMJ117" s="199"/>
      <c r="GMK117" s="198"/>
      <c r="GML117" s="199"/>
      <c r="GMM117" s="198"/>
      <c r="GMN117" s="199"/>
      <c r="GMO117" s="198"/>
      <c r="GMP117" s="199"/>
      <c r="GMQ117" s="198"/>
      <c r="GMR117" s="199"/>
      <c r="GMS117" s="198"/>
      <c r="GMT117" s="199"/>
      <c r="GMU117" s="198"/>
      <c r="GMV117" s="199"/>
      <c r="GMW117" s="198"/>
      <c r="GMX117" s="199"/>
      <c r="GMY117" s="198"/>
      <c r="GMZ117" s="199"/>
      <c r="GNA117" s="198"/>
      <c r="GNB117" s="199"/>
      <c r="GNC117" s="198"/>
      <c r="GND117" s="199"/>
      <c r="GNE117" s="198"/>
      <c r="GNF117" s="199"/>
      <c r="GNG117" s="198"/>
      <c r="GNH117" s="199"/>
      <c r="GNI117" s="198"/>
      <c r="GNJ117" s="199"/>
      <c r="GNK117" s="198"/>
      <c r="GNL117" s="199"/>
      <c r="GNM117" s="198"/>
      <c r="GNN117" s="199"/>
      <c r="GNO117" s="198"/>
      <c r="GNP117" s="199"/>
      <c r="GNQ117" s="198"/>
      <c r="GNR117" s="199"/>
      <c r="GNS117" s="198"/>
      <c r="GNT117" s="199"/>
      <c r="GNU117" s="198"/>
      <c r="GNV117" s="199"/>
      <c r="GNW117" s="198"/>
      <c r="GNX117" s="199"/>
      <c r="GNY117" s="198"/>
      <c r="GNZ117" s="199"/>
      <c r="GOA117" s="198"/>
      <c r="GOB117" s="199"/>
      <c r="GOC117" s="198"/>
      <c r="GOD117" s="199"/>
      <c r="GOE117" s="198"/>
      <c r="GOF117" s="199"/>
      <c r="GOG117" s="198"/>
      <c r="GOH117" s="199"/>
      <c r="GOI117" s="198"/>
      <c r="GOJ117" s="199"/>
      <c r="GOK117" s="198"/>
      <c r="GOL117" s="199"/>
      <c r="GOM117" s="198"/>
      <c r="GON117" s="199"/>
      <c r="GOO117" s="198"/>
      <c r="GOP117" s="199"/>
      <c r="GOQ117" s="198"/>
      <c r="GOR117" s="199"/>
      <c r="GOS117" s="198"/>
      <c r="GOT117" s="199"/>
      <c r="GOU117" s="198"/>
      <c r="GOV117" s="199"/>
      <c r="GOW117" s="198"/>
      <c r="GOX117" s="199"/>
      <c r="GOY117" s="198"/>
      <c r="GOZ117" s="199"/>
      <c r="GPA117" s="198"/>
      <c r="GPB117" s="199"/>
      <c r="GPC117" s="198"/>
      <c r="GPD117" s="199"/>
      <c r="GPE117" s="198"/>
      <c r="GPF117" s="199"/>
      <c r="GPG117" s="198"/>
      <c r="GPH117" s="199"/>
      <c r="GPI117" s="198"/>
      <c r="GPJ117" s="199"/>
      <c r="GPK117" s="198"/>
      <c r="GPL117" s="199"/>
      <c r="GPM117" s="198"/>
      <c r="GPN117" s="199"/>
      <c r="GPO117" s="198"/>
      <c r="GPP117" s="199"/>
      <c r="GPQ117" s="198"/>
      <c r="GPR117" s="199"/>
      <c r="GPS117" s="198"/>
      <c r="GPT117" s="199"/>
      <c r="GPU117" s="198"/>
      <c r="GPV117" s="199"/>
      <c r="GPW117" s="198"/>
      <c r="GPX117" s="199"/>
      <c r="GPY117" s="198"/>
      <c r="GPZ117" s="199"/>
      <c r="GQA117" s="198"/>
      <c r="GQB117" s="199"/>
      <c r="GQC117" s="198"/>
      <c r="GQD117" s="199"/>
      <c r="GQE117" s="198"/>
      <c r="GQF117" s="199"/>
      <c r="GQG117" s="198"/>
      <c r="GQH117" s="199"/>
      <c r="GQI117" s="198"/>
      <c r="GQJ117" s="199"/>
      <c r="GQK117" s="198"/>
      <c r="GQL117" s="199"/>
      <c r="GQM117" s="198"/>
      <c r="GQN117" s="199"/>
      <c r="GQO117" s="198"/>
      <c r="GQP117" s="199"/>
      <c r="GQQ117" s="198"/>
      <c r="GQR117" s="199"/>
      <c r="GQS117" s="198"/>
      <c r="GQT117" s="199"/>
      <c r="GQU117" s="198"/>
      <c r="GQV117" s="199"/>
      <c r="GQW117" s="198"/>
      <c r="GQX117" s="199"/>
      <c r="GQY117" s="198"/>
      <c r="GQZ117" s="199"/>
      <c r="GRA117" s="198"/>
      <c r="GRB117" s="199"/>
      <c r="GRC117" s="198"/>
      <c r="GRD117" s="199"/>
      <c r="GRE117" s="198"/>
      <c r="GRF117" s="199"/>
      <c r="GRG117" s="198"/>
      <c r="GRH117" s="199"/>
      <c r="GRI117" s="198"/>
      <c r="GRJ117" s="199"/>
      <c r="GRK117" s="198"/>
      <c r="GRL117" s="199"/>
      <c r="GRM117" s="198"/>
      <c r="GRN117" s="199"/>
      <c r="GRO117" s="198"/>
      <c r="GRP117" s="199"/>
      <c r="GRQ117" s="198"/>
      <c r="GRR117" s="199"/>
      <c r="GRS117" s="198"/>
      <c r="GRT117" s="199"/>
      <c r="GRU117" s="198"/>
      <c r="GRV117" s="199"/>
      <c r="GRW117" s="198"/>
      <c r="GRX117" s="199"/>
      <c r="GRY117" s="198"/>
      <c r="GRZ117" s="199"/>
      <c r="GSA117" s="198"/>
      <c r="GSB117" s="199"/>
      <c r="GSC117" s="198"/>
      <c r="GSD117" s="199"/>
      <c r="GSE117" s="198"/>
      <c r="GSF117" s="199"/>
      <c r="GSG117" s="198"/>
      <c r="GSH117" s="199"/>
      <c r="GSI117" s="198"/>
      <c r="GSJ117" s="199"/>
      <c r="GSK117" s="198"/>
      <c r="GSL117" s="199"/>
      <c r="GSM117" s="198"/>
      <c r="GSN117" s="199"/>
      <c r="GSO117" s="198"/>
      <c r="GSP117" s="199"/>
      <c r="GSQ117" s="198"/>
      <c r="GSR117" s="199"/>
      <c r="GSS117" s="198"/>
      <c r="GST117" s="199"/>
      <c r="GSU117" s="198"/>
      <c r="GSV117" s="199"/>
      <c r="GSW117" s="198"/>
      <c r="GSX117" s="199"/>
      <c r="GSY117" s="198"/>
      <c r="GSZ117" s="199"/>
      <c r="GTA117" s="198"/>
      <c r="GTB117" s="199"/>
      <c r="GTC117" s="198"/>
      <c r="GTD117" s="199"/>
      <c r="GTE117" s="198"/>
      <c r="GTF117" s="199"/>
      <c r="GTG117" s="198"/>
      <c r="GTH117" s="199"/>
      <c r="GTI117" s="198"/>
      <c r="GTJ117" s="199"/>
      <c r="GTK117" s="198"/>
      <c r="GTL117" s="199"/>
      <c r="GTM117" s="198"/>
      <c r="GTN117" s="199"/>
      <c r="GTO117" s="198"/>
      <c r="GTP117" s="199"/>
      <c r="GTQ117" s="198"/>
      <c r="GTR117" s="199"/>
      <c r="GTS117" s="198"/>
      <c r="GTT117" s="199"/>
      <c r="GTU117" s="198"/>
      <c r="GTV117" s="199"/>
      <c r="GTW117" s="198"/>
      <c r="GTX117" s="199"/>
      <c r="GTY117" s="198"/>
      <c r="GTZ117" s="199"/>
      <c r="GUA117" s="198"/>
      <c r="GUB117" s="199"/>
      <c r="GUC117" s="198"/>
      <c r="GUD117" s="199"/>
      <c r="GUE117" s="198"/>
      <c r="GUF117" s="199"/>
      <c r="GUG117" s="198"/>
      <c r="GUH117" s="199"/>
      <c r="GUI117" s="198"/>
      <c r="GUJ117" s="199"/>
      <c r="GUK117" s="198"/>
      <c r="GUL117" s="199"/>
      <c r="GUM117" s="198"/>
      <c r="GUN117" s="199"/>
      <c r="GUO117" s="198"/>
      <c r="GUP117" s="199"/>
      <c r="GUQ117" s="198"/>
      <c r="GUR117" s="199"/>
      <c r="GUS117" s="198"/>
      <c r="GUT117" s="199"/>
      <c r="GUU117" s="198"/>
      <c r="GUV117" s="199"/>
      <c r="GUW117" s="198"/>
      <c r="GUX117" s="199"/>
      <c r="GUY117" s="198"/>
      <c r="GUZ117" s="199"/>
      <c r="GVA117" s="198"/>
      <c r="GVB117" s="199"/>
      <c r="GVC117" s="198"/>
      <c r="GVD117" s="199"/>
      <c r="GVE117" s="198"/>
      <c r="GVF117" s="199"/>
      <c r="GVG117" s="198"/>
      <c r="GVH117" s="199"/>
      <c r="GVI117" s="198"/>
      <c r="GVJ117" s="199"/>
      <c r="GVK117" s="198"/>
      <c r="GVL117" s="199"/>
      <c r="GVM117" s="198"/>
      <c r="GVN117" s="199"/>
      <c r="GVO117" s="198"/>
      <c r="GVP117" s="199"/>
      <c r="GVQ117" s="198"/>
      <c r="GVR117" s="199"/>
      <c r="GVS117" s="198"/>
      <c r="GVT117" s="199"/>
      <c r="GVU117" s="198"/>
      <c r="GVV117" s="199"/>
      <c r="GVW117" s="198"/>
      <c r="GVX117" s="199"/>
      <c r="GVY117" s="198"/>
      <c r="GVZ117" s="199"/>
      <c r="GWA117" s="198"/>
      <c r="GWB117" s="199"/>
      <c r="GWC117" s="198"/>
      <c r="GWD117" s="199"/>
      <c r="GWE117" s="198"/>
      <c r="GWF117" s="199"/>
      <c r="GWG117" s="198"/>
      <c r="GWH117" s="199"/>
      <c r="GWI117" s="198"/>
      <c r="GWJ117" s="199"/>
      <c r="GWK117" s="198"/>
      <c r="GWL117" s="199"/>
      <c r="GWM117" s="198"/>
      <c r="GWN117" s="199"/>
      <c r="GWO117" s="198"/>
      <c r="GWP117" s="199"/>
      <c r="GWQ117" s="198"/>
      <c r="GWR117" s="199"/>
      <c r="GWS117" s="198"/>
      <c r="GWT117" s="199"/>
      <c r="GWU117" s="198"/>
      <c r="GWV117" s="199"/>
      <c r="GWW117" s="198"/>
      <c r="GWX117" s="199"/>
      <c r="GWY117" s="198"/>
      <c r="GWZ117" s="199"/>
      <c r="GXA117" s="198"/>
      <c r="GXB117" s="199"/>
      <c r="GXC117" s="198"/>
      <c r="GXD117" s="199"/>
      <c r="GXE117" s="198"/>
      <c r="GXF117" s="199"/>
      <c r="GXG117" s="198"/>
      <c r="GXH117" s="199"/>
      <c r="GXI117" s="198"/>
      <c r="GXJ117" s="199"/>
      <c r="GXK117" s="198"/>
      <c r="GXL117" s="199"/>
      <c r="GXM117" s="198"/>
      <c r="GXN117" s="199"/>
      <c r="GXO117" s="198"/>
      <c r="GXP117" s="199"/>
      <c r="GXQ117" s="198"/>
      <c r="GXR117" s="199"/>
      <c r="GXS117" s="198"/>
      <c r="GXT117" s="199"/>
      <c r="GXU117" s="198"/>
      <c r="GXV117" s="199"/>
      <c r="GXW117" s="198"/>
      <c r="GXX117" s="199"/>
      <c r="GXY117" s="198"/>
      <c r="GXZ117" s="199"/>
      <c r="GYA117" s="198"/>
      <c r="GYB117" s="199"/>
      <c r="GYC117" s="198"/>
      <c r="GYD117" s="199"/>
      <c r="GYE117" s="198"/>
      <c r="GYF117" s="199"/>
      <c r="GYG117" s="198"/>
      <c r="GYH117" s="199"/>
      <c r="GYI117" s="198"/>
      <c r="GYJ117" s="199"/>
      <c r="GYK117" s="198"/>
      <c r="GYL117" s="199"/>
      <c r="GYM117" s="198"/>
      <c r="GYN117" s="199"/>
      <c r="GYO117" s="198"/>
      <c r="GYP117" s="199"/>
      <c r="GYQ117" s="198"/>
      <c r="GYR117" s="199"/>
      <c r="GYS117" s="198"/>
      <c r="GYT117" s="199"/>
      <c r="GYU117" s="198"/>
      <c r="GYV117" s="199"/>
      <c r="GYW117" s="198"/>
      <c r="GYX117" s="199"/>
      <c r="GYY117" s="198"/>
      <c r="GYZ117" s="199"/>
      <c r="GZA117" s="198"/>
      <c r="GZB117" s="199"/>
      <c r="GZC117" s="198"/>
      <c r="GZD117" s="199"/>
      <c r="GZE117" s="198"/>
      <c r="GZF117" s="199"/>
      <c r="GZG117" s="198"/>
      <c r="GZH117" s="199"/>
      <c r="GZI117" s="198"/>
      <c r="GZJ117" s="199"/>
      <c r="GZK117" s="198"/>
      <c r="GZL117" s="199"/>
      <c r="GZM117" s="198"/>
      <c r="GZN117" s="199"/>
      <c r="GZO117" s="198"/>
      <c r="GZP117" s="199"/>
      <c r="GZQ117" s="198"/>
      <c r="GZR117" s="199"/>
      <c r="GZS117" s="198"/>
      <c r="GZT117" s="199"/>
      <c r="GZU117" s="198"/>
      <c r="GZV117" s="199"/>
      <c r="GZW117" s="198"/>
      <c r="GZX117" s="199"/>
      <c r="GZY117" s="198"/>
      <c r="GZZ117" s="199"/>
      <c r="HAA117" s="198"/>
      <c r="HAB117" s="199"/>
      <c r="HAC117" s="198"/>
      <c r="HAD117" s="199"/>
      <c r="HAE117" s="198"/>
      <c r="HAF117" s="199"/>
      <c r="HAG117" s="198"/>
      <c r="HAH117" s="199"/>
      <c r="HAI117" s="198"/>
      <c r="HAJ117" s="199"/>
      <c r="HAK117" s="198"/>
      <c r="HAL117" s="199"/>
      <c r="HAM117" s="198"/>
      <c r="HAN117" s="199"/>
      <c r="HAO117" s="198"/>
      <c r="HAP117" s="199"/>
      <c r="HAQ117" s="198"/>
      <c r="HAR117" s="199"/>
      <c r="HAS117" s="198"/>
      <c r="HAT117" s="199"/>
      <c r="HAU117" s="198"/>
      <c r="HAV117" s="199"/>
      <c r="HAW117" s="198"/>
      <c r="HAX117" s="199"/>
      <c r="HAY117" s="198"/>
      <c r="HAZ117" s="199"/>
      <c r="HBA117" s="198"/>
      <c r="HBB117" s="199"/>
      <c r="HBC117" s="198"/>
      <c r="HBD117" s="199"/>
      <c r="HBE117" s="198"/>
      <c r="HBF117" s="199"/>
      <c r="HBG117" s="198"/>
      <c r="HBH117" s="199"/>
      <c r="HBI117" s="198"/>
      <c r="HBJ117" s="199"/>
      <c r="HBK117" s="198"/>
      <c r="HBL117" s="199"/>
      <c r="HBM117" s="198"/>
      <c r="HBN117" s="199"/>
      <c r="HBO117" s="198"/>
      <c r="HBP117" s="199"/>
      <c r="HBQ117" s="198"/>
      <c r="HBR117" s="199"/>
      <c r="HBS117" s="198"/>
      <c r="HBT117" s="199"/>
      <c r="HBU117" s="198"/>
      <c r="HBV117" s="199"/>
      <c r="HBW117" s="198"/>
      <c r="HBX117" s="199"/>
      <c r="HBY117" s="198"/>
      <c r="HBZ117" s="199"/>
      <c r="HCA117" s="198"/>
      <c r="HCB117" s="199"/>
      <c r="HCC117" s="198"/>
      <c r="HCD117" s="199"/>
      <c r="HCE117" s="198"/>
      <c r="HCF117" s="199"/>
      <c r="HCG117" s="198"/>
      <c r="HCH117" s="199"/>
      <c r="HCI117" s="198"/>
      <c r="HCJ117" s="199"/>
      <c r="HCK117" s="198"/>
      <c r="HCL117" s="199"/>
      <c r="HCM117" s="198"/>
      <c r="HCN117" s="199"/>
      <c r="HCO117" s="198"/>
      <c r="HCP117" s="199"/>
      <c r="HCQ117" s="198"/>
      <c r="HCR117" s="199"/>
      <c r="HCS117" s="198"/>
      <c r="HCT117" s="199"/>
      <c r="HCU117" s="198"/>
      <c r="HCV117" s="199"/>
      <c r="HCW117" s="198"/>
      <c r="HCX117" s="199"/>
      <c r="HCY117" s="198"/>
      <c r="HCZ117" s="199"/>
      <c r="HDA117" s="198"/>
      <c r="HDB117" s="199"/>
      <c r="HDC117" s="198"/>
      <c r="HDD117" s="199"/>
      <c r="HDE117" s="198"/>
      <c r="HDF117" s="199"/>
      <c r="HDG117" s="198"/>
      <c r="HDH117" s="199"/>
      <c r="HDI117" s="198"/>
      <c r="HDJ117" s="199"/>
      <c r="HDK117" s="198"/>
      <c r="HDL117" s="199"/>
      <c r="HDM117" s="198"/>
      <c r="HDN117" s="199"/>
      <c r="HDO117" s="198"/>
      <c r="HDP117" s="199"/>
      <c r="HDQ117" s="198"/>
      <c r="HDR117" s="199"/>
      <c r="HDS117" s="198"/>
      <c r="HDT117" s="199"/>
      <c r="HDU117" s="198"/>
      <c r="HDV117" s="199"/>
      <c r="HDW117" s="198"/>
      <c r="HDX117" s="199"/>
      <c r="HDY117" s="198"/>
      <c r="HDZ117" s="199"/>
      <c r="HEA117" s="198"/>
      <c r="HEB117" s="199"/>
      <c r="HEC117" s="198"/>
      <c r="HED117" s="199"/>
      <c r="HEE117" s="198"/>
      <c r="HEF117" s="199"/>
      <c r="HEG117" s="198"/>
      <c r="HEH117" s="199"/>
      <c r="HEI117" s="198"/>
      <c r="HEJ117" s="199"/>
      <c r="HEK117" s="198"/>
      <c r="HEL117" s="199"/>
      <c r="HEM117" s="198"/>
      <c r="HEN117" s="199"/>
      <c r="HEO117" s="198"/>
      <c r="HEP117" s="199"/>
      <c r="HEQ117" s="198"/>
      <c r="HER117" s="199"/>
      <c r="HES117" s="198"/>
      <c r="HET117" s="199"/>
      <c r="HEU117" s="198"/>
      <c r="HEV117" s="199"/>
      <c r="HEW117" s="198"/>
      <c r="HEX117" s="199"/>
      <c r="HEY117" s="198"/>
      <c r="HEZ117" s="199"/>
      <c r="HFA117" s="198"/>
      <c r="HFB117" s="199"/>
      <c r="HFC117" s="198"/>
      <c r="HFD117" s="199"/>
      <c r="HFE117" s="198"/>
      <c r="HFF117" s="199"/>
      <c r="HFG117" s="198"/>
      <c r="HFH117" s="199"/>
      <c r="HFI117" s="198"/>
      <c r="HFJ117" s="199"/>
      <c r="HFK117" s="198"/>
      <c r="HFL117" s="199"/>
      <c r="HFM117" s="198"/>
      <c r="HFN117" s="199"/>
      <c r="HFO117" s="198"/>
      <c r="HFP117" s="199"/>
      <c r="HFQ117" s="198"/>
      <c r="HFR117" s="199"/>
      <c r="HFS117" s="198"/>
      <c r="HFT117" s="199"/>
      <c r="HFU117" s="198"/>
      <c r="HFV117" s="199"/>
      <c r="HFW117" s="198"/>
      <c r="HFX117" s="199"/>
      <c r="HFY117" s="198"/>
      <c r="HFZ117" s="199"/>
      <c r="HGA117" s="198"/>
      <c r="HGB117" s="199"/>
      <c r="HGC117" s="198"/>
      <c r="HGD117" s="199"/>
      <c r="HGE117" s="198"/>
      <c r="HGF117" s="199"/>
      <c r="HGG117" s="198"/>
      <c r="HGH117" s="199"/>
      <c r="HGI117" s="198"/>
      <c r="HGJ117" s="199"/>
      <c r="HGK117" s="198"/>
      <c r="HGL117" s="199"/>
      <c r="HGM117" s="198"/>
      <c r="HGN117" s="199"/>
      <c r="HGO117" s="198"/>
      <c r="HGP117" s="199"/>
      <c r="HGQ117" s="198"/>
      <c r="HGR117" s="199"/>
      <c r="HGS117" s="198"/>
      <c r="HGT117" s="199"/>
      <c r="HGU117" s="198"/>
      <c r="HGV117" s="199"/>
      <c r="HGW117" s="198"/>
      <c r="HGX117" s="199"/>
      <c r="HGY117" s="198"/>
      <c r="HGZ117" s="199"/>
      <c r="HHA117" s="198"/>
      <c r="HHB117" s="199"/>
      <c r="HHC117" s="198"/>
      <c r="HHD117" s="199"/>
      <c r="HHE117" s="198"/>
      <c r="HHF117" s="199"/>
      <c r="HHG117" s="198"/>
      <c r="HHH117" s="199"/>
      <c r="HHI117" s="198"/>
      <c r="HHJ117" s="199"/>
      <c r="HHK117" s="198"/>
      <c r="HHL117" s="199"/>
      <c r="HHM117" s="198"/>
      <c r="HHN117" s="199"/>
      <c r="HHO117" s="198"/>
      <c r="HHP117" s="199"/>
      <c r="HHQ117" s="198"/>
      <c r="HHR117" s="199"/>
      <c r="HHS117" s="198"/>
      <c r="HHT117" s="199"/>
      <c r="HHU117" s="198"/>
      <c r="HHV117" s="199"/>
      <c r="HHW117" s="198"/>
      <c r="HHX117" s="199"/>
      <c r="HHY117" s="198"/>
      <c r="HHZ117" s="199"/>
      <c r="HIA117" s="198"/>
      <c r="HIB117" s="199"/>
      <c r="HIC117" s="198"/>
      <c r="HID117" s="199"/>
      <c r="HIE117" s="198"/>
      <c r="HIF117" s="199"/>
      <c r="HIG117" s="198"/>
      <c r="HIH117" s="199"/>
      <c r="HII117" s="198"/>
      <c r="HIJ117" s="199"/>
      <c r="HIK117" s="198"/>
      <c r="HIL117" s="199"/>
      <c r="HIM117" s="198"/>
      <c r="HIN117" s="199"/>
      <c r="HIO117" s="198"/>
      <c r="HIP117" s="199"/>
      <c r="HIQ117" s="198"/>
      <c r="HIR117" s="199"/>
      <c r="HIS117" s="198"/>
      <c r="HIT117" s="199"/>
      <c r="HIU117" s="198"/>
      <c r="HIV117" s="199"/>
      <c r="HIW117" s="198"/>
      <c r="HIX117" s="199"/>
      <c r="HIY117" s="198"/>
      <c r="HIZ117" s="199"/>
      <c r="HJA117" s="198"/>
      <c r="HJB117" s="199"/>
      <c r="HJC117" s="198"/>
      <c r="HJD117" s="199"/>
      <c r="HJE117" s="198"/>
      <c r="HJF117" s="199"/>
      <c r="HJG117" s="198"/>
      <c r="HJH117" s="199"/>
      <c r="HJI117" s="198"/>
      <c r="HJJ117" s="199"/>
      <c r="HJK117" s="198"/>
      <c r="HJL117" s="199"/>
      <c r="HJM117" s="198"/>
      <c r="HJN117" s="199"/>
      <c r="HJO117" s="198"/>
      <c r="HJP117" s="199"/>
      <c r="HJQ117" s="198"/>
      <c r="HJR117" s="199"/>
      <c r="HJS117" s="198"/>
      <c r="HJT117" s="199"/>
      <c r="HJU117" s="198"/>
      <c r="HJV117" s="199"/>
      <c r="HJW117" s="198"/>
      <c r="HJX117" s="199"/>
      <c r="HJY117" s="198"/>
      <c r="HJZ117" s="199"/>
      <c r="HKA117" s="198"/>
      <c r="HKB117" s="199"/>
      <c r="HKC117" s="198"/>
      <c r="HKD117" s="199"/>
      <c r="HKE117" s="198"/>
      <c r="HKF117" s="199"/>
      <c r="HKG117" s="198"/>
      <c r="HKH117" s="199"/>
      <c r="HKI117" s="198"/>
      <c r="HKJ117" s="199"/>
      <c r="HKK117" s="198"/>
      <c r="HKL117" s="199"/>
      <c r="HKM117" s="198"/>
      <c r="HKN117" s="199"/>
      <c r="HKO117" s="198"/>
      <c r="HKP117" s="199"/>
      <c r="HKQ117" s="198"/>
      <c r="HKR117" s="199"/>
      <c r="HKS117" s="198"/>
      <c r="HKT117" s="199"/>
      <c r="HKU117" s="198"/>
      <c r="HKV117" s="199"/>
      <c r="HKW117" s="198"/>
      <c r="HKX117" s="199"/>
      <c r="HKY117" s="198"/>
      <c r="HKZ117" s="199"/>
      <c r="HLA117" s="198"/>
      <c r="HLB117" s="199"/>
      <c r="HLC117" s="198"/>
      <c r="HLD117" s="199"/>
      <c r="HLE117" s="198"/>
      <c r="HLF117" s="199"/>
      <c r="HLG117" s="198"/>
      <c r="HLH117" s="199"/>
      <c r="HLI117" s="198"/>
      <c r="HLJ117" s="199"/>
      <c r="HLK117" s="198"/>
      <c r="HLL117" s="199"/>
      <c r="HLM117" s="198"/>
      <c r="HLN117" s="199"/>
      <c r="HLO117" s="198"/>
      <c r="HLP117" s="199"/>
      <c r="HLQ117" s="198"/>
      <c r="HLR117" s="199"/>
      <c r="HLS117" s="198"/>
      <c r="HLT117" s="199"/>
      <c r="HLU117" s="198"/>
      <c r="HLV117" s="199"/>
      <c r="HLW117" s="198"/>
      <c r="HLX117" s="199"/>
      <c r="HLY117" s="198"/>
      <c r="HLZ117" s="199"/>
      <c r="HMA117" s="198"/>
      <c r="HMB117" s="199"/>
      <c r="HMC117" s="198"/>
      <c r="HMD117" s="199"/>
      <c r="HME117" s="198"/>
      <c r="HMF117" s="199"/>
      <c r="HMG117" s="198"/>
      <c r="HMH117" s="199"/>
      <c r="HMI117" s="198"/>
      <c r="HMJ117" s="199"/>
      <c r="HMK117" s="198"/>
      <c r="HML117" s="199"/>
      <c r="HMM117" s="198"/>
      <c r="HMN117" s="199"/>
      <c r="HMO117" s="198"/>
      <c r="HMP117" s="199"/>
      <c r="HMQ117" s="198"/>
      <c r="HMR117" s="199"/>
      <c r="HMS117" s="198"/>
      <c r="HMT117" s="199"/>
      <c r="HMU117" s="198"/>
      <c r="HMV117" s="199"/>
      <c r="HMW117" s="198"/>
      <c r="HMX117" s="199"/>
      <c r="HMY117" s="198"/>
      <c r="HMZ117" s="199"/>
      <c r="HNA117" s="198"/>
      <c r="HNB117" s="199"/>
      <c r="HNC117" s="198"/>
      <c r="HND117" s="199"/>
      <c r="HNE117" s="198"/>
      <c r="HNF117" s="199"/>
      <c r="HNG117" s="198"/>
      <c r="HNH117" s="199"/>
      <c r="HNI117" s="198"/>
      <c r="HNJ117" s="199"/>
      <c r="HNK117" s="198"/>
      <c r="HNL117" s="199"/>
      <c r="HNM117" s="198"/>
      <c r="HNN117" s="199"/>
      <c r="HNO117" s="198"/>
      <c r="HNP117" s="199"/>
      <c r="HNQ117" s="198"/>
      <c r="HNR117" s="199"/>
      <c r="HNS117" s="198"/>
      <c r="HNT117" s="199"/>
      <c r="HNU117" s="198"/>
      <c r="HNV117" s="199"/>
      <c r="HNW117" s="198"/>
      <c r="HNX117" s="199"/>
      <c r="HNY117" s="198"/>
      <c r="HNZ117" s="199"/>
      <c r="HOA117" s="198"/>
      <c r="HOB117" s="199"/>
      <c r="HOC117" s="198"/>
      <c r="HOD117" s="199"/>
      <c r="HOE117" s="198"/>
      <c r="HOF117" s="199"/>
      <c r="HOG117" s="198"/>
      <c r="HOH117" s="199"/>
      <c r="HOI117" s="198"/>
      <c r="HOJ117" s="199"/>
      <c r="HOK117" s="198"/>
      <c r="HOL117" s="199"/>
      <c r="HOM117" s="198"/>
      <c r="HON117" s="199"/>
      <c r="HOO117" s="198"/>
      <c r="HOP117" s="199"/>
      <c r="HOQ117" s="198"/>
      <c r="HOR117" s="199"/>
      <c r="HOS117" s="198"/>
      <c r="HOT117" s="199"/>
      <c r="HOU117" s="198"/>
      <c r="HOV117" s="199"/>
      <c r="HOW117" s="198"/>
      <c r="HOX117" s="199"/>
      <c r="HOY117" s="198"/>
      <c r="HOZ117" s="199"/>
      <c r="HPA117" s="198"/>
      <c r="HPB117" s="199"/>
      <c r="HPC117" s="198"/>
      <c r="HPD117" s="199"/>
      <c r="HPE117" s="198"/>
      <c r="HPF117" s="199"/>
      <c r="HPG117" s="198"/>
      <c r="HPH117" s="199"/>
      <c r="HPI117" s="198"/>
      <c r="HPJ117" s="199"/>
      <c r="HPK117" s="198"/>
      <c r="HPL117" s="199"/>
      <c r="HPM117" s="198"/>
      <c r="HPN117" s="199"/>
      <c r="HPO117" s="198"/>
      <c r="HPP117" s="199"/>
      <c r="HPQ117" s="198"/>
      <c r="HPR117" s="199"/>
      <c r="HPS117" s="198"/>
      <c r="HPT117" s="199"/>
      <c r="HPU117" s="198"/>
      <c r="HPV117" s="199"/>
      <c r="HPW117" s="198"/>
      <c r="HPX117" s="199"/>
      <c r="HPY117" s="198"/>
      <c r="HPZ117" s="199"/>
      <c r="HQA117" s="198"/>
      <c r="HQB117" s="199"/>
      <c r="HQC117" s="198"/>
      <c r="HQD117" s="199"/>
      <c r="HQE117" s="198"/>
      <c r="HQF117" s="199"/>
      <c r="HQG117" s="198"/>
      <c r="HQH117" s="199"/>
      <c r="HQI117" s="198"/>
      <c r="HQJ117" s="199"/>
      <c r="HQK117" s="198"/>
      <c r="HQL117" s="199"/>
      <c r="HQM117" s="198"/>
      <c r="HQN117" s="199"/>
      <c r="HQO117" s="198"/>
      <c r="HQP117" s="199"/>
      <c r="HQQ117" s="198"/>
      <c r="HQR117" s="199"/>
      <c r="HQS117" s="198"/>
      <c r="HQT117" s="199"/>
      <c r="HQU117" s="198"/>
      <c r="HQV117" s="199"/>
      <c r="HQW117" s="198"/>
      <c r="HQX117" s="199"/>
      <c r="HQY117" s="198"/>
      <c r="HQZ117" s="199"/>
      <c r="HRA117" s="198"/>
      <c r="HRB117" s="199"/>
      <c r="HRC117" s="198"/>
      <c r="HRD117" s="199"/>
      <c r="HRE117" s="198"/>
      <c r="HRF117" s="199"/>
      <c r="HRG117" s="198"/>
      <c r="HRH117" s="199"/>
      <c r="HRI117" s="198"/>
      <c r="HRJ117" s="199"/>
      <c r="HRK117" s="198"/>
      <c r="HRL117" s="199"/>
      <c r="HRM117" s="198"/>
      <c r="HRN117" s="199"/>
      <c r="HRO117" s="198"/>
      <c r="HRP117" s="199"/>
      <c r="HRQ117" s="198"/>
      <c r="HRR117" s="199"/>
      <c r="HRS117" s="198"/>
      <c r="HRT117" s="199"/>
      <c r="HRU117" s="198"/>
      <c r="HRV117" s="199"/>
      <c r="HRW117" s="198"/>
      <c r="HRX117" s="199"/>
      <c r="HRY117" s="198"/>
      <c r="HRZ117" s="199"/>
      <c r="HSA117" s="198"/>
      <c r="HSB117" s="199"/>
      <c r="HSC117" s="198"/>
      <c r="HSD117" s="199"/>
      <c r="HSE117" s="198"/>
      <c r="HSF117" s="199"/>
      <c r="HSG117" s="198"/>
      <c r="HSH117" s="199"/>
      <c r="HSI117" s="198"/>
      <c r="HSJ117" s="199"/>
      <c r="HSK117" s="198"/>
      <c r="HSL117" s="199"/>
      <c r="HSM117" s="198"/>
      <c r="HSN117" s="199"/>
      <c r="HSO117" s="198"/>
      <c r="HSP117" s="199"/>
      <c r="HSQ117" s="198"/>
      <c r="HSR117" s="199"/>
      <c r="HSS117" s="198"/>
      <c r="HST117" s="199"/>
      <c r="HSU117" s="198"/>
      <c r="HSV117" s="199"/>
      <c r="HSW117" s="198"/>
      <c r="HSX117" s="199"/>
      <c r="HSY117" s="198"/>
      <c r="HSZ117" s="199"/>
      <c r="HTA117" s="198"/>
      <c r="HTB117" s="199"/>
      <c r="HTC117" s="198"/>
      <c r="HTD117" s="199"/>
      <c r="HTE117" s="198"/>
      <c r="HTF117" s="199"/>
      <c r="HTG117" s="198"/>
      <c r="HTH117" s="199"/>
      <c r="HTI117" s="198"/>
      <c r="HTJ117" s="199"/>
      <c r="HTK117" s="198"/>
      <c r="HTL117" s="199"/>
      <c r="HTM117" s="198"/>
      <c r="HTN117" s="199"/>
      <c r="HTO117" s="198"/>
      <c r="HTP117" s="199"/>
      <c r="HTQ117" s="198"/>
      <c r="HTR117" s="199"/>
      <c r="HTS117" s="198"/>
      <c r="HTT117" s="199"/>
      <c r="HTU117" s="198"/>
      <c r="HTV117" s="199"/>
      <c r="HTW117" s="198"/>
      <c r="HTX117" s="199"/>
      <c r="HTY117" s="198"/>
      <c r="HTZ117" s="199"/>
      <c r="HUA117" s="198"/>
      <c r="HUB117" s="199"/>
      <c r="HUC117" s="198"/>
      <c r="HUD117" s="199"/>
      <c r="HUE117" s="198"/>
      <c r="HUF117" s="199"/>
      <c r="HUG117" s="198"/>
      <c r="HUH117" s="199"/>
      <c r="HUI117" s="198"/>
      <c r="HUJ117" s="199"/>
      <c r="HUK117" s="198"/>
      <c r="HUL117" s="199"/>
      <c r="HUM117" s="198"/>
      <c r="HUN117" s="199"/>
      <c r="HUO117" s="198"/>
      <c r="HUP117" s="199"/>
      <c r="HUQ117" s="198"/>
      <c r="HUR117" s="199"/>
      <c r="HUS117" s="198"/>
      <c r="HUT117" s="199"/>
      <c r="HUU117" s="198"/>
      <c r="HUV117" s="199"/>
      <c r="HUW117" s="198"/>
      <c r="HUX117" s="199"/>
      <c r="HUY117" s="198"/>
      <c r="HUZ117" s="199"/>
      <c r="HVA117" s="198"/>
      <c r="HVB117" s="199"/>
      <c r="HVC117" s="198"/>
      <c r="HVD117" s="199"/>
      <c r="HVE117" s="198"/>
      <c r="HVF117" s="199"/>
      <c r="HVG117" s="198"/>
      <c r="HVH117" s="199"/>
      <c r="HVI117" s="198"/>
      <c r="HVJ117" s="199"/>
      <c r="HVK117" s="198"/>
      <c r="HVL117" s="199"/>
      <c r="HVM117" s="198"/>
      <c r="HVN117" s="199"/>
      <c r="HVO117" s="198"/>
      <c r="HVP117" s="199"/>
      <c r="HVQ117" s="198"/>
      <c r="HVR117" s="199"/>
      <c r="HVS117" s="198"/>
      <c r="HVT117" s="199"/>
      <c r="HVU117" s="198"/>
      <c r="HVV117" s="199"/>
      <c r="HVW117" s="198"/>
      <c r="HVX117" s="199"/>
      <c r="HVY117" s="198"/>
      <c r="HVZ117" s="199"/>
      <c r="HWA117" s="198"/>
      <c r="HWB117" s="199"/>
      <c r="HWC117" s="198"/>
      <c r="HWD117" s="199"/>
      <c r="HWE117" s="198"/>
      <c r="HWF117" s="199"/>
      <c r="HWG117" s="198"/>
      <c r="HWH117" s="199"/>
      <c r="HWI117" s="198"/>
      <c r="HWJ117" s="199"/>
      <c r="HWK117" s="198"/>
      <c r="HWL117" s="199"/>
      <c r="HWM117" s="198"/>
      <c r="HWN117" s="199"/>
      <c r="HWO117" s="198"/>
      <c r="HWP117" s="199"/>
      <c r="HWQ117" s="198"/>
      <c r="HWR117" s="199"/>
      <c r="HWS117" s="198"/>
      <c r="HWT117" s="199"/>
      <c r="HWU117" s="198"/>
      <c r="HWV117" s="199"/>
      <c r="HWW117" s="198"/>
      <c r="HWX117" s="199"/>
      <c r="HWY117" s="198"/>
      <c r="HWZ117" s="199"/>
      <c r="HXA117" s="198"/>
      <c r="HXB117" s="199"/>
      <c r="HXC117" s="198"/>
      <c r="HXD117" s="199"/>
      <c r="HXE117" s="198"/>
      <c r="HXF117" s="199"/>
      <c r="HXG117" s="198"/>
      <c r="HXH117" s="199"/>
      <c r="HXI117" s="198"/>
      <c r="HXJ117" s="199"/>
      <c r="HXK117" s="198"/>
      <c r="HXL117" s="199"/>
      <c r="HXM117" s="198"/>
      <c r="HXN117" s="199"/>
      <c r="HXO117" s="198"/>
      <c r="HXP117" s="199"/>
      <c r="HXQ117" s="198"/>
      <c r="HXR117" s="199"/>
      <c r="HXS117" s="198"/>
      <c r="HXT117" s="199"/>
      <c r="HXU117" s="198"/>
      <c r="HXV117" s="199"/>
      <c r="HXW117" s="198"/>
      <c r="HXX117" s="199"/>
      <c r="HXY117" s="198"/>
      <c r="HXZ117" s="199"/>
      <c r="HYA117" s="198"/>
      <c r="HYB117" s="199"/>
      <c r="HYC117" s="198"/>
      <c r="HYD117" s="199"/>
      <c r="HYE117" s="198"/>
      <c r="HYF117" s="199"/>
      <c r="HYG117" s="198"/>
      <c r="HYH117" s="199"/>
      <c r="HYI117" s="198"/>
      <c r="HYJ117" s="199"/>
      <c r="HYK117" s="198"/>
      <c r="HYL117" s="199"/>
      <c r="HYM117" s="198"/>
      <c r="HYN117" s="199"/>
      <c r="HYO117" s="198"/>
      <c r="HYP117" s="199"/>
      <c r="HYQ117" s="198"/>
      <c r="HYR117" s="199"/>
      <c r="HYS117" s="198"/>
      <c r="HYT117" s="199"/>
      <c r="HYU117" s="198"/>
      <c r="HYV117" s="199"/>
      <c r="HYW117" s="198"/>
      <c r="HYX117" s="199"/>
      <c r="HYY117" s="198"/>
      <c r="HYZ117" s="199"/>
      <c r="HZA117" s="198"/>
      <c r="HZB117" s="199"/>
      <c r="HZC117" s="198"/>
      <c r="HZD117" s="199"/>
      <c r="HZE117" s="198"/>
      <c r="HZF117" s="199"/>
      <c r="HZG117" s="198"/>
      <c r="HZH117" s="199"/>
      <c r="HZI117" s="198"/>
      <c r="HZJ117" s="199"/>
      <c r="HZK117" s="198"/>
      <c r="HZL117" s="199"/>
      <c r="HZM117" s="198"/>
      <c r="HZN117" s="199"/>
      <c r="HZO117" s="198"/>
      <c r="HZP117" s="199"/>
      <c r="HZQ117" s="198"/>
      <c r="HZR117" s="199"/>
      <c r="HZS117" s="198"/>
      <c r="HZT117" s="199"/>
      <c r="HZU117" s="198"/>
      <c r="HZV117" s="199"/>
      <c r="HZW117" s="198"/>
      <c r="HZX117" s="199"/>
      <c r="HZY117" s="198"/>
      <c r="HZZ117" s="199"/>
      <c r="IAA117" s="198"/>
      <c r="IAB117" s="199"/>
      <c r="IAC117" s="198"/>
      <c r="IAD117" s="199"/>
      <c r="IAE117" s="198"/>
      <c r="IAF117" s="199"/>
      <c r="IAG117" s="198"/>
      <c r="IAH117" s="199"/>
      <c r="IAI117" s="198"/>
      <c r="IAJ117" s="199"/>
      <c r="IAK117" s="198"/>
      <c r="IAL117" s="199"/>
      <c r="IAM117" s="198"/>
      <c r="IAN117" s="199"/>
      <c r="IAO117" s="198"/>
      <c r="IAP117" s="199"/>
      <c r="IAQ117" s="198"/>
      <c r="IAR117" s="199"/>
      <c r="IAS117" s="198"/>
      <c r="IAT117" s="199"/>
      <c r="IAU117" s="198"/>
      <c r="IAV117" s="199"/>
      <c r="IAW117" s="198"/>
      <c r="IAX117" s="199"/>
      <c r="IAY117" s="198"/>
      <c r="IAZ117" s="199"/>
      <c r="IBA117" s="198"/>
      <c r="IBB117" s="199"/>
      <c r="IBC117" s="198"/>
      <c r="IBD117" s="199"/>
      <c r="IBE117" s="198"/>
      <c r="IBF117" s="199"/>
      <c r="IBG117" s="198"/>
      <c r="IBH117" s="199"/>
      <c r="IBI117" s="198"/>
      <c r="IBJ117" s="199"/>
      <c r="IBK117" s="198"/>
      <c r="IBL117" s="199"/>
      <c r="IBM117" s="198"/>
      <c r="IBN117" s="199"/>
      <c r="IBO117" s="198"/>
      <c r="IBP117" s="199"/>
      <c r="IBQ117" s="198"/>
      <c r="IBR117" s="199"/>
      <c r="IBS117" s="198"/>
      <c r="IBT117" s="199"/>
      <c r="IBU117" s="198"/>
      <c r="IBV117" s="199"/>
      <c r="IBW117" s="198"/>
      <c r="IBX117" s="199"/>
      <c r="IBY117" s="198"/>
      <c r="IBZ117" s="199"/>
      <c r="ICA117" s="198"/>
      <c r="ICB117" s="199"/>
      <c r="ICC117" s="198"/>
      <c r="ICD117" s="199"/>
      <c r="ICE117" s="198"/>
      <c r="ICF117" s="199"/>
      <c r="ICG117" s="198"/>
      <c r="ICH117" s="199"/>
      <c r="ICI117" s="198"/>
      <c r="ICJ117" s="199"/>
      <c r="ICK117" s="198"/>
      <c r="ICL117" s="199"/>
      <c r="ICM117" s="198"/>
      <c r="ICN117" s="199"/>
      <c r="ICO117" s="198"/>
      <c r="ICP117" s="199"/>
      <c r="ICQ117" s="198"/>
      <c r="ICR117" s="199"/>
      <c r="ICS117" s="198"/>
      <c r="ICT117" s="199"/>
      <c r="ICU117" s="198"/>
      <c r="ICV117" s="199"/>
      <c r="ICW117" s="198"/>
      <c r="ICX117" s="199"/>
      <c r="ICY117" s="198"/>
      <c r="ICZ117" s="199"/>
      <c r="IDA117" s="198"/>
      <c r="IDB117" s="199"/>
      <c r="IDC117" s="198"/>
      <c r="IDD117" s="199"/>
      <c r="IDE117" s="198"/>
      <c r="IDF117" s="199"/>
      <c r="IDG117" s="198"/>
      <c r="IDH117" s="199"/>
      <c r="IDI117" s="198"/>
      <c r="IDJ117" s="199"/>
      <c r="IDK117" s="198"/>
      <c r="IDL117" s="199"/>
      <c r="IDM117" s="198"/>
      <c r="IDN117" s="199"/>
      <c r="IDO117" s="198"/>
      <c r="IDP117" s="199"/>
      <c r="IDQ117" s="198"/>
      <c r="IDR117" s="199"/>
      <c r="IDS117" s="198"/>
      <c r="IDT117" s="199"/>
      <c r="IDU117" s="198"/>
      <c r="IDV117" s="199"/>
      <c r="IDW117" s="198"/>
      <c r="IDX117" s="199"/>
      <c r="IDY117" s="198"/>
      <c r="IDZ117" s="199"/>
      <c r="IEA117" s="198"/>
      <c r="IEB117" s="199"/>
      <c r="IEC117" s="198"/>
      <c r="IED117" s="199"/>
      <c r="IEE117" s="198"/>
      <c r="IEF117" s="199"/>
      <c r="IEG117" s="198"/>
      <c r="IEH117" s="199"/>
      <c r="IEI117" s="198"/>
      <c r="IEJ117" s="199"/>
      <c r="IEK117" s="198"/>
      <c r="IEL117" s="199"/>
      <c r="IEM117" s="198"/>
      <c r="IEN117" s="199"/>
      <c r="IEO117" s="198"/>
      <c r="IEP117" s="199"/>
      <c r="IEQ117" s="198"/>
      <c r="IER117" s="199"/>
      <c r="IES117" s="198"/>
      <c r="IET117" s="199"/>
      <c r="IEU117" s="198"/>
      <c r="IEV117" s="199"/>
      <c r="IEW117" s="198"/>
      <c r="IEX117" s="199"/>
      <c r="IEY117" s="198"/>
      <c r="IEZ117" s="199"/>
      <c r="IFA117" s="198"/>
      <c r="IFB117" s="199"/>
      <c r="IFC117" s="198"/>
      <c r="IFD117" s="199"/>
      <c r="IFE117" s="198"/>
      <c r="IFF117" s="199"/>
      <c r="IFG117" s="198"/>
      <c r="IFH117" s="199"/>
      <c r="IFI117" s="198"/>
      <c r="IFJ117" s="199"/>
      <c r="IFK117" s="198"/>
      <c r="IFL117" s="199"/>
      <c r="IFM117" s="198"/>
      <c r="IFN117" s="199"/>
      <c r="IFO117" s="198"/>
      <c r="IFP117" s="199"/>
      <c r="IFQ117" s="198"/>
      <c r="IFR117" s="199"/>
      <c r="IFS117" s="198"/>
      <c r="IFT117" s="199"/>
      <c r="IFU117" s="198"/>
      <c r="IFV117" s="199"/>
      <c r="IFW117" s="198"/>
      <c r="IFX117" s="199"/>
      <c r="IFY117" s="198"/>
      <c r="IFZ117" s="199"/>
      <c r="IGA117" s="198"/>
      <c r="IGB117" s="199"/>
      <c r="IGC117" s="198"/>
      <c r="IGD117" s="199"/>
      <c r="IGE117" s="198"/>
      <c r="IGF117" s="199"/>
      <c r="IGG117" s="198"/>
      <c r="IGH117" s="199"/>
      <c r="IGI117" s="198"/>
      <c r="IGJ117" s="199"/>
      <c r="IGK117" s="198"/>
      <c r="IGL117" s="199"/>
      <c r="IGM117" s="198"/>
      <c r="IGN117" s="199"/>
      <c r="IGO117" s="198"/>
      <c r="IGP117" s="199"/>
      <c r="IGQ117" s="198"/>
      <c r="IGR117" s="199"/>
      <c r="IGS117" s="198"/>
      <c r="IGT117" s="199"/>
      <c r="IGU117" s="198"/>
      <c r="IGV117" s="199"/>
      <c r="IGW117" s="198"/>
      <c r="IGX117" s="199"/>
      <c r="IGY117" s="198"/>
      <c r="IGZ117" s="199"/>
      <c r="IHA117" s="198"/>
      <c r="IHB117" s="199"/>
      <c r="IHC117" s="198"/>
      <c r="IHD117" s="199"/>
      <c r="IHE117" s="198"/>
      <c r="IHF117" s="199"/>
      <c r="IHG117" s="198"/>
      <c r="IHH117" s="199"/>
      <c r="IHI117" s="198"/>
      <c r="IHJ117" s="199"/>
      <c r="IHK117" s="198"/>
      <c r="IHL117" s="199"/>
      <c r="IHM117" s="198"/>
      <c r="IHN117" s="199"/>
      <c r="IHO117" s="198"/>
      <c r="IHP117" s="199"/>
      <c r="IHQ117" s="198"/>
      <c r="IHR117" s="199"/>
      <c r="IHS117" s="198"/>
      <c r="IHT117" s="199"/>
      <c r="IHU117" s="198"/>
      <c r="IHV117" s="199"/>
      <c r="IHW117" s="198"/>
      <c r="IHX117" s="199"/>
      <c r="IHY117" s="198"/>
      <c r="IHZ117" s="199"/>
      <c r="IIA117" s="198"/>
      <c r="IIB117" s="199"/>
      <c r="IIC117" s="198"/>
      <c r="IID117" s="199"/>
      <c r="IIE117" s="198"/>
      <c r="IIF117" s="199"/>
      <c r="IIG117" s="198"/>
      <c r="IIH117" s="199"/>
      <c r="III117" s="198"/>
      <c r="IIJ117" s="199"/>
      <c r="IIK117" s="198"/>
      <c r="IIL117" s="199"/>
      <c r="IIM117" s="198"/>
      <c r="IIN117" s="199"/>
      <c r="IIO117" s="198"/>
      <c r="IIP117" s="199"/>
      <c r="IIQ117" s="198"/>
      <c r="IIR117" s="199"/>
      <c r="IIS117" s="198"/>
      <c r="IIT117" s="199"/>
      <c r="IIU117" s="198"/>
      <c r="IIV117" s="199"/>
      <c r="IIW117" s="198"/>
      <c r="IIX117" s="199"/>
      <c r="IIY117" s="198"/>
      <c r="IIZ117" s="199"/>
      <c r="IJA117" s="198"/>
      <c r="IJB117" s="199"/>
      <c r="IJC117" s="198"/>
      <c r="IJD117" s="199"/>
      <c r="IJE117" s="198"/>
      <c r="IJF117" s="199"/>
      <c r="IJG117" s="198"/>
      <c r="IJH117" s="199"/>
      <c r="IJI117" s="198"/>
      <c r="IJJ117" s="199"/>
      <c r="IJK117" s="198"/>
      <c r="IJL117" s="199"/>
      <c r="IJM117" s="198"/>
      <c r="IJN117" s="199"/>
      <c r="IJO117" s="198"/>
      <c r="IJP117" s="199"/>
      <c r="IJQ117" s="198"/>
      <c r="IJR117" s="199"/>
      <c r="IJS117" s="198"/>
      <c r="IJT117" s="199"/>
      <c r="IJU117" s="198"/>
      <c r="IJV117" s="199"/>
      <c r="IJW117" s="198"/>
      <c r="IJX117" s="199"/>
      <c r="IJY117" s="198"/>
      <c r="IJZ117" s="199"/>
      <c r="IKA117" s="198"/>
      <c r="IKB117" s="199"/>
      <c r="IKC117" s="198"/>
      <c r="IKD117" s="199"/>
      <c r="IKE117" s="198"/>
      <c r="IKF117" s="199"/>
      <c r="IKG117" s="198"/>
      <c r="IKH117" s="199"/>
      <c r="IKI117" s="198"/>
      <c r="IKJ117" s="199"/>
      <c r="IKK117" s="198"/>
      <c r="IKL117" s="199"/>
      <c r="IKM117" s="198"/>
      <c r="IKN117" s="199"/>
      <c r="IKO117" s="198"/>
      <c r="IKP117" s="199"/>
      <c r="IKQ117" s="198"/>
      <c r="IKR117" s="199"/>
      <c r="IKS117" s="198"/>
      <c r="IKT117" s="199"/>
      <c r="IKU117" s="198"/>
      <c r="IKV117" s="199"/>
      <c r="IKW117" s="198"/>
      <c r="IKX117" s="199"/>
      <c r="IKY117" s="198"/>
      <c r="IKZ117" s="199"/>
      <c r="ILA117" s="198"/>
      <c r="ILB117" s="199"/>
      <c r="ILC117" s="198"/>
      <c r="ILD117" s="199"/>
      <c r="ILE117" s="198"/>
      <c r="ILF117" s="199"/>
      <c r="ILG117" s="198"/>
      <c r="ILH117" s="199"/>
      <c r="ILI117" s="198"/>
      <c r="ILJ117" s="199"/>
      <c r="ILK117" s="198"/>
      <c r="ILL117" s="199"/>
      <c r="ILM117" s="198"/>
      <c r="ILN117" s="199"/>
      <c r="ILO117" s="198"/>
      <c r="ILP117" s="199"/>
      <c r="ILQ117" s="198"/>
      <c r="ILR117" s="199"/>
      <c r="ILS117" s="198"/>
      <c r="ILT117" s="199"/>
      <c r="ILU117" s="198"/>
      <c r="ILV117" s="199"/>
      <c r="ILW117" s="198"/>
      <c r="ILX117" s="199"/>
      <c r="ILY117" s="198"/>
      <c r="ILZ117" s="199"/>
      <c r="IMA117" s="198"/>
      <c r="IMB117" s="199"/>
      <c r="IMC117" s="198"/>
      <c r="IMD117" s="199"/>
      <c r="IME117" s="198"/>
      <c r="IMF117" s="199"/>
      <c r="IMG117" s="198"/>
      <c r="IMH117" s="199"/>
      <c r="IMI117" s="198"/>
      <c r="IMJ117" s="199"/>
      <c r="IMK117" s="198"/>
      <c r="IML117" s="199"/>
      <c r="IMM117" s="198"/>
      <c r="IMN117" s="199"/>
      <c r="IMO117" s="198"/>
      <c r="IMP117" s="199"/>
      <c r="IMQ117" s="198"/>
      <c r="IMR117" s="199"/>
      <c r="IMS117" s="198"/>
      <c r="IMT117" s="199"/>
      <c r="IMU117" s="198"/>
      <c r="IMV117" s="199"/>
      <c r="IMW117" s="198"/>
      <c r="IMX117" s="199"/>
      <c r="IMY117" s="198"/>
      <c r="IMZ117" s="199"/>
      <c r="INA117" s="198"/>
      <c r="INB117" s="199"/>
      <c r="INC117" s="198"/>
      <c r="IND117" s="199"/>
      <c r="INE117" s="198"/>
      <c r="INF117" s="199"/>
      <c r="ING117" s="198"/>
      <c r="INH117" s="199"/>
      <c r="INI117" s="198"/>
      <c r="INJ117" s="199"/>
      <c r="INK117" s="198"/>
      <c r="INL117" s="199"/>
      <c r="INM117" s="198"/>
      <c r="INN117" s="199"/>
      <c r="INO117" s="198"/>
      <c r="INP117" s="199"/>
      <c r="INQ117" s="198"/>
      <c r="INR117" s="199"/>
      <c r="INS117" s="198"/>
      <c r="INT117" s="199"/>
      <c r="INU117" s="198"/>
      <c r="INV117" s="199"/>
      <c r="INW117" s="198"/>
      <c r="INX117" s="199"/>
      <c r="INY117" s="198"/>
      <c r="INZ117" s="199"/>
      <c r="IOA117" s="198"/>
      <c r="IOB117" s="199"/>
      <c r="IOC117" s="198"/>
      <c r="IOD117" s="199"/>
      <c r="IOE117" s="198"/>
      <c r="IOF117" s="199"/>
      <c r="IOG117" s="198"/>
      <c r="IOH117" s="199"/>
      <c r="IOI117" s="198"/>
      <c r="IOJ117" s="199"/>
      <c r="IOK117" s="198"/>
      <c r="IOL117" s="199"/>
      <c r="IOM117" s="198"/>
      <c r="ION117" s="199"/>
      <c r="IOO117" s="198"/>
      <c r="IOP117" s="199"/>
      <c r="IOQ117" s="198"/>
      <c r="IOR117" s="199"/>
      <c r="IOS117" s="198"/>
      <c r="IOT117" s="199"/>
      <c r="IOU117" s="198"/>
      <c r="IOV117" s="199"/>
      <c r="IOW117" s="198"/>
      <c r="IOX117" s="199"/>
      <c r="IOY117" s="198"/>
      <c r="IOZ117" s="199"/>
      <c r="IPA117" s="198"/>
      <c r="IPB117" s="199"/>
      <c r="IPC117" s="198"/>
      <c r="IPD117" s="199"/>
      <c r="IPE117" s="198"/>
      <c r="IPF117" s="199"/>
      <c r="IPG117" s="198"/>
      <c r="IPH117" s="199"/>
      <c r="IPI117" s="198"/>
      <c r="IPJ117" s="199"/>
      <c r="IPK117" s="198"/>
      <c r="IPL117" s="199"/>
      <c r="IPM117" s="198"/>
      <c r="IPN117" s="199"/>
      <c r="IPO117" s="198"/>
      <c r="IPP117" s="199"/>
      <c r="IPQ117" s="198"/>
      <c r="IPR117" s="199"/>
      <c r="IPS117" s="198"/>
      <c r="IPT117" s="199"/>
      <c r="IPU117" s="198"/>
      <c r="IPV117" s="199"/>
      <c r="IPW117" s="198"/>
      <c r="IPX117" s="199"/>
      <c r="IPY117" s="198"/>
      <c r="IPZ117" s="199"/>
      <c r="IQA117" s="198"/>
      <c r="IQB117" s="199"/>
      <c r="IQC117" s="198"/>
      <c r="IQD117" s="199"/>
      <c r="IQE117" s="198"/>
      <c r="IQF117" s="199"/>
      <c r="IQG117" s="198"/>
      <c r="IQH117" s="199"/>
      <c r="IQI117" s="198"/>
      <c r="IQJ117" s="199"/>
      <c r="IQK117" s="198"/>
      <c r="IQL117" s="199"/>
      <c r="IQM117" s="198"/>
      <c r="IQN117" s="199"/>
      <c r="IQO117" s="198"/>
      <c r="IQP117" s="199"/>
      <c r="IQQ117" s="198"/>
      <c r="IQR117" s="199"/>
      <c r="IQS117" s="198"/>
      <c r="IQT117" s="199"/>
      <c r="IQU117" s="198"/>
      <c r="IQV117" s="199"/>
      <c r="IQW117" s="198"/>
      <c r="IQX117" s="199"/>
      <c r="IQY117" s="198"/>
      <c r="IQZ117" s="199"/>
      <c r="IRA117" s="198"/>
      <c r="IRB117" s="199"/>
      <c r="IRC117" s="198"/>
      <c r="IRD117" s="199"/>
      <c r="IRE117" s="198"/>
      <c r="IRF117" s="199"/>
      <c r="IRG117" s="198"/>
      <c r="IRH117" s="199"/>
      <c r="IRI117" s="198"/>
      <c r="IRJ117" s="199"/>
      <c r="IRK117" s="198"/>
      <c r="IRL117" s="199"/>
      <c r="IRM117" s="198"/>
      <c r="IRN117" s="199"/>
      <c r="IRO117" s="198"/>
      <c r="IRP117" s="199"/>
      <c r="IRQ117" s="198"/>
      <c r="IRR117" s="199"/>
      <c r="IRS117" s="198"/>
      <c r="IRT117" s="199"/>
      <c r="IRU117" s="198"/>
      <c r="IRV117" s="199"/>
      <c r="IRW117" s="198"/>
      <c r="IRX117" s="199"/>
      <c r="IRY117" s="198"/>
      <c r="IRZ117" s="199"/>
      <c r="ISA117" s="198"/>
      <c r="ISB117" s="199"/>
      <c r="ISC117" s="198"/>
      <c r="ISD117" s="199"/>
      <c r="ISE117" s="198"/>
      <c r="ISF117" s="199"/>
      <c r="ISG117" s="198"/>
      <c r="ISH117" s="199"/>
      <c r="ISI117" s="198"/>
      <c r="ISJ117" s="199"/>
      <c r="ISK117" s="198"/>
      <c r="ISL117" s="199"/>
      <c r="ISM117" s="198"/>
      <c r="ISN117" s="199"/>
      <c r="ISO117" s="198"/>
      <c r="ISP117" s="199"/>
      <c r="ISQ117" s="198"/>
      <c r="ISR117" s="199"/>
      <c r="ISS117" s="198"/>
      <c r="IST117" s="199"/>
      <c r="ISU117" s="198"/>
      <c r="ISV117" s="199"/>
      <c r="ISW117" s="198"/>
      <c r="ISX117" s="199"/>
      <c r="ISY117" s="198"/>
      <c r="ISZ117" s="199"/>
      <c r="ITA117" s="198"/>
      <c r="ITB117" s="199"/>
      <c r="ITC117" s="198"/>
      <c r="ITD117" s="199"/>
      <c r="ITE117" s="198"/>
      <c r="ITF117" s="199"/>
      <c r="ITG117" s="198"/>
      <c r="ITH117" s="199"/>
      <c r="ITI117" s="198"/>
      <c r="ITJ117" s="199"/>
      <c r="ITK117" s="198"/>
      <c r="ITL117" s="199"/>
      <c r="ITM117" s="198"/>
      <c r="ITN117" s="199"/>
      <c r="ITO117" s="198"/>
      <c r="ITP117" s="199"/>
      <c r="ITQ117" s="198"/>
      <c r="ITR117" s="199"/>
      <c r="ITS117" s="198"/>
      <c r="ITT117" s="199"/>
      <c r="ITU117" s="198"/>
      <c r="ITV117" s="199"/>
      <c r="ITW117" s="198"/>
      <c r="ITX117" s="199"/>
      <c r="ITY117" s="198"/>
      <c r="ITZ117" s="199"/>
      <c r="IUA117" s="198"/>
      <c r="IUB117" s="199"/>
      <c r="IUC117" s="198"/>
      <c r="IUD117" s="199"/>
      <c r="IUE117" s="198"/>
      <c r="IUF117" s="199"/>
      <c r="IUG117" s="198"/>
      <c r="IUH117" s="199"/>
      <c r="IUI117" s="198"/>
      <c r="IUJ117" s="199"/>
      <c r="IUK117" s="198"/>
      <c r="IUL117" s="199"/>
      <c r="IUM117" s="198"/>
      <c r="IUN117" s="199"/>
      <c r="IUO117" s="198"/>
      <c r="IUP117" s="199"/>
      <c r="IUQ117" s="198"/>
      <c r="IUR117" s="199"/>
      <c r="IUS117" s="198"/>
      <c r="IUT117" s="199"/>
      <c r="IUU117" s="198"/>
      <c r="IUV117" s="199"/>
      <c r="IUW117" s="198"/>
      <c r="IUX117" s="199"/>
      <c r="IUY117" s="198"/>
      <c r="IUZ117" s="199"/>
      <c r="IVA117" s="198"/>
      <c r="IVB117" s="199"/>
      <c r="IVC117" s="198"/>
      <c r="IVD117" s="199"/>
      <c r="IVE117" s="198"/>
      <c r="IVF117" s="199"/>
      <c r="IVG117" s="198"/>
      <c r="IVH117" s="199"/>
      <c r="IVI117" s="198"/>
      <c r="IVJ117" s="199"/>
      <c r="IVK117" s="198"/>
      <c r="IVL117" s="199"/>
      <c r="IVM117" s="198"/>
      <c r="IVN117" s="199"/>
      <c r="IVO117" s="198"/>
      <c r="IVP117" s="199"/>
      <c r="IVQ117" s="198"/>
      <c r="IVR117" s="199"/>
      <c r="IVS117" s="198"/>
      <c r="IVT117" s="199"/>
      <c r="IVU117" s="198"/>
      <c r="IVV117" s="199"/>
      <c r="IVW117" s="198"/>
      <c r="IVX117" s="199"/>
      <c r="IVY117" s="198"/>
      <c r="IVZ117" s="199"/>
      <c r="IWA117" s="198"/>
      <c r="IWB117" s="199"/>
      <c r="IWC117" s="198"/>
      <c r="IWD117" s="199"/>
      <c r="IWE117" s="198"/>
      <c r="IWF117" s="199"/>
      <c r="IWG117" s="198"/>
      <c r="IWH117" s="199"/>
      <c r="IWI117" s="198"/>
      <c r="IWJ117" s="199"/>
      <c r="IWK117" s="198"/>
      <c r="IWL117" s="199"/>
      <c r="IWM117" s="198"/>
      <c r="IWN117" s="199"/>
      <c r="IWO117" s="198"/>
      <c r="IWP117" s="199"/>
      <c r="IWQ117" s="198"/>
      <c r="IWR117" s="199"/>
      <c r="IWS117" s="198"/>
      <c r="IWT117" s="199"/>
      <c r="IWU117" s="198"/>
      <c r="IWV117" s="199"/>
      <c r="IWW117" s="198"/>
      <c r="IWX117" s="199"/>
      <c r="IWY117" s="198"/>
      <c r="IWZ117" s="199"/>
      <c r="IXA117" s="198"/>
      <c r="IXB117" s="199"/>
      <c r="IXC117" s="198"/>
      <c r="IXD117" s="199"/>
      <c r="IXE117" s="198"/>
      <c r="IXF117" s="199"/>
      <c r="IXG117" s="198"/>
      <c r="IXH117" s="199"/>
      <c r="IXI117" s="198"/>
      <c r="IXJ117" s="199"/>
      <c r="IXK117" s="198"/>
      <c r="IXL117" s="199"/>
      <c r="IXM117" s="198"/>
      <c r="IXN117" s="199"/>
      <c r="IXO117" s="198"/>
      <c r="IXP117" s="199"/>
      <c r="IXQ117" s="198"/>
      <c r="IXR117" s="199"/>
      <c r="IXS117" s="198"/>
      <c r="IXT117" s="199"/>
      <c r="IXU117" s="198"/>
      <c r="IXV117" s="199"/>
      <c r="IXW117" s="198"/>
      <c r="IXX117" s="199"/>
      <c r="IXY117" s="198"/>
      <c r="IXZ117" s="199"/>
      <c r="IYA117" s="198"/>
      <c r="IYB117" s="199"/>
      <c r="IYC117" s="198"/>
      <c r="IYD117" s="199"/>
      <c r="IYE117" s="198"/>
      <c r="IYF117" s="199"/>
      <c r="IYG117" s="198"/>
      <c r="IYH117" s="199"/>
      <c r="IYI117" s="198"/>
      <c r="IYJ117" s="199"/>
      <c r="IYK117" s="198"/>
      <c r="IYL117" s="199"/>
      <c r="IYM117" s="198"/>
      <c r="IYN117" s="199"/>
      <c r="IYO117" s="198"/>
      <c r="IYP117" s="199"/>
      <c r="IYQ117" s="198"/>
      <c r="IYR117" s="199"/>
      <c r="IYS117" s="198"/>
      <c r="IYT117" s="199"/>
      <c r="IYU117" s="198"/>
      <c r="IYV117" s="199"/>
      <c r="IYW117" s="198"/>
      <c r="IYX117" s="199"/>
      <c r="IYY117" s="198"/>
      <c r="IYZ117" s="199"/>
      <c r="IZA117" s="198"/>
      <c r="IZB117" s="199"/>
      <c r="IZC117" s="198"/>
      <c r="IZD117" s="199"/>
      <c r="IZE117" s="198"/>
      <c r="IZF117" s="199"/>
      <c r="IZG117" s="198"/>
      <c r="IZH117" s="199"/>
      <c r="IZI117" s="198"/>
      <c r="IZJ117" s="199"/>
      <c r="IZK117" s="198"/>
      <c r="IZL117" s="199"/>
      <c r="IZM117" s="198"/>
      <c r="IZN117" s="199"/>
      <c r="IZO117" s="198"/>
      <c r="IZP117" s="199"/>
      <c r="IZQ117" s="198"/>
      <c r="IZR117" s="199"/>
      <c r="IZS117" s="198"/>
      <c r="IZT117" s="199"/>
      <c r="IZU117" s="198"/>
      <c r="IZV117" s="199"/>
      <c r="IZW117" s="198"/>
      <c r="IZX117" s="199"/>
      <c r="IZY117" s="198"/>
      <c r="IZZ117" s="199"/>
      <c r="JAA117" s="198"/>
      <c r="JAB117" s="199"/>
      <c r="JAC117" s="198"/>
      <c r="JAD117" s="199"/>
      <c r="JAE117" s="198"/>
      <c r="JAF117" s="199"/>
      <c r="JAG117" s="198"/>
      <c r="JAH117" s="199"/>
      <c r="JAI117" s="198"/>
      <c r="JAJ117" s="199"/>
      <c r="JAK117" s="198"/>
      <c r="JAL117" s="199"/>
      <c r="JAM117" s="198"/>
      <c r="JAN117" s="199"/>
      <c r="JAO117" s="198"/>
      <c r="JAP117" s="199"/>
      <c r="JAQ117" s="198"/>
      <c r="JAR117" s="199"/>
      <c r="JAS117" s="198"/>
      <c r="JAT117" s="199"/>
      <c r="JAU117" s="198"/>
      <c r="JAV117" s="199"/>
      <c r="JAW117" s="198"/>
      <c r="JAX117" s="199"/>
      <c r="JAY117" s="198"/>
      <c r="JAZ117" s="199"/>
      <c r="JBA117" s="198"/>
      <c r="JBB117" s="199"/>
      <c r="JBC117" s="198"/>
      <c r="JBD117" s="199"/>
      <c r="JBE117" s="198"/>
      <c r="JBF117" s="199"/>
      <c r="JBG117" s="198"/>
      <c r="JBH117" s="199"/>
      <c r="JBI117" s="198"/>
      <c r="JBJ117" s="199"/>
      <c r="JBK117" s="198"/>
      <c r="JBL117" s="199"/>
      <c r="JBM117" s="198"/>
      <c r="JBN117" s="199"/>
      <c r="JBO117" s="198"/>
      <c r="JBP117" s="199"/>
      <c r="JBQ117" s="198"/>
      <c r="JBR117" s="199"/>
      <c r="JBS117" s="198"/>
      <c r="JBT117" s="199"/>
      <c r="JBU117" s="198"/>
      <c r="JBV117" s="199"/>
      <c r="JBW117" s="198"/>
      <c r="JBX117" s="199"/>
      <c r="JBY117" s="198"/>
      <c r="JBZ117" s="199"/>
      <c r="JCA117" s="198"/>
      <c r="JCB117" s="199"/>
      <c r="JCC117" s="198"/>
      <c r="JCD117" s="199"/>
      <c r="JCE117" s="198"/>
      <c r="JCF117" s="199"/>
      <c r="JCG117" s="198"/>
      <c r="JCH117" s="199"/>
      <c r="JCI117" s="198"/>
      <c r="JCJ117" s="199"/>
      <c r="JCK117" s="198"/>
      <c r="JCL117" s="199"/>
      <c r="JCM117" s="198"/>
      <c r="JCN117" s="199"/>
      <c r="JCO117" s="198"/>
      <c r="JCP117" s="199"/>
      <c r="JCQ117" s="198"/>
      <c r="JCR117" s="199"/>
      <c r="JCS117" s="198"/>
      <c r="JCT117" s="199"/>
      <c r="JCU117" s="198"/>
      <c r="JCV117" s="199"/>
      <c r="JCW117" s="198"/>
      <c r="JCX117" s="199"/>
      <c r="JCY117" s="198"/>
      <c r="JCZ117" s="199"/>
      <c r="JDA117" s="198"/>
      <c r="JDB117" s="199"/>
      <c r="JDC117" s="198"/>
      <c r="JDD117" s="199"/>
      <c r="JDE117" s="198"/>
      <c r="JDF117" s="199"/>
      <c r="JDG117" s="198"/>
      <c r="JDH117" s="199"/>
      <c r="JDI117" s="198"/>
      <c r="JDJ117" s="199"/>
      <c r="JDK117" s="198"/>
      <c r="JDL117" s="199"/>
      <c r="JDM117" s="198"/>
      <c r="JDN117" s="199"/>
      <c r="JDO117" s="198"/>
      <c r="JDP117" s="199"/>
      <c r="JDQ117" s="198"/>
      <c r="JDR117" s="199"/>
      <c r="JDS117" s="198"/>
      <c r="JDT117" s="199"/>
      <c r="JDU117" s="198"/>
      <c r="JDV117" s="199"/>
      <c r="JDW117" s="198"/>
      <c r="JDX117" s="199"/>
      <c r="JDY117" s="198"/>
      <c r="JDZ117" s="199"/>
      <c r="JEA117" s="198"/>
      <c r="JEB117" s="199"/>
      <c r="JEC117" s="198"/>
      <c r="JED117" s="199"/>
      <c r="JEE117" s="198"/>
      <c r="JEF117" s="199"/>
      <c r="JEG117" s="198"/>
      <c r="JEH117" s="199"/>
      <c r="JEI117" s="198"/>
      <c r="JEJ117" s="199"/>
      <c r="JEK117" s="198"/>
      <c r="JEL117" s="199"/>
      <c r="JEM117" s="198"/>
      <c r="JEN117" s="199"/>
      <c r="JEO117" s="198"/>
      <c r="JEP117" s="199"/>
      <c r="JEQ117" s="198"/>
      <c r="JER117" s="199"/>
      <c r="JES117" s="198"/>
      <c r="JET117" s="199"/>
      <c r="JEU117" s="198"/>
      <c r="JEV117" s="199"/>
      <c r="JEW117" s="198"/>
      <c r="JEX117" s="199"/>
      <c r="JEY117" s="198"/>
      <c r="JEZ117" s="199"/>
      <c r="JFA117" s="198"/>
      <c r="JFB117" s="199"/>
      <c r="JFC117" s="198"/>
      <c r="JFD117" s="199"/>
      <c r="JFE117" s="198"/>
      <c r="JFF117" s="199"/>
      <c r="JFG117" s="198"/>
      <c r="JFH117" s="199"/>
      <c r="JFI117" s="198"/>
      <c r="JFJ117" s="199"/>
      <c r="JFK117" s="198"/>
      <c r="JFL117" s="199"/>
      <c r="JFM117" s="198"/>
      <c r="JFN117" s="199"/>
      <c r="JFO117" s="198"/>
      <c r="JFP117" s="199"/>
      <c r="JFQ117" s="198"/>
      <c r="JFR117" s="199"/>
      <c r="JFS117" s="198"/>
      <c r="JFT117" s="199"/>
      <c r="JFU117" s="198"/>
      <c r="JFV117" s="199"/>
      <c r="JFW117" s="198"/>
      <c r="JFX117" s="199"/>
      <c r="JFY117" s="198"/>
      <c r="JFZ117" s="199"/>
      <c r="JGA117" s="198"/>
      <c r="JGB117" s="199"/>
      <c r="JGC117" s="198"/>
      <c r="JGD117" s="199"/>
      <c r="JGE117" s="198"/>
      <c r="JGF117" s="199"/>
      <c r="JGG117" s="198"/>
      <c r="JGH117" s="199"/>
      <c r="JGI117" s="198"/>
      <c r="JGJ117" s="199"/>
      <c r="JGK117" s="198"/>
      <c r="JGL117" s="199"/>
      <c r="JGM117" s="198"/>
      <c r="JGN117" s="199"/>
      <c r="JGO117" s="198"/>
      <c r="JGP117" s="199"/>
      <c r="JGQ117" s="198"/>
      <c r="JGR117" s="199"/>
      <c r="JGS117" s="198"/>
      <c r="JGT117" s="199"/>
      <c r="JGU117" s="198"/>
      <c r="JGV117" s="199"/>
      <c r="JGW117" s="198"/>
      <c r="JGX117" s="199"/>
      <c r="JGY117" s="198"/>
      <c r="JGZ117" s="199"/>
      <c r="JHA117" s="198"/>
      <c r="JHB117" s="199"/>
      <c r="JHC117" s="198"/>
      <c r="JHD117" s="199"/>
      <c r="JHE117" s="198"/>
      <c r="JHF117" s="199"/>
      <c r="JHG117" s="198"/>
      <c r="JHH117" s="199"/>
      <c r="JHI117" s="198"/>
      <c r="JHJ117" s="199"/>
      <c r="JHK117" s="198"/>
      <c r="JHL117" s="199"/>
      <c r="JHM117" s="198"/>
      <c r="JHN117" s="199"/>
      <c r="JHO117" s="198"/>
      <c r="JHP117" s="199"/>
      <c r="JHQ117" s="198"/>
      <c r="JHR117" s="199"/>
      <c r="JHS117" s="198"/>
      <c r="JHT117" s="199"/>
      <c r="JHU117" s="198"/>
      <c r="JHV117" s="199"/>
      <c r="JHW117" s="198"/>
      <c r="JHX117" s="199"/>
      <c r="JHY117" s="198"/>
      <c r="JHZ117" s="199"/>
      <c r="JIA117" s="198"/>
      <c r="JIB117" s="199"/>
      <c r="JIC117" s="198"/>
      <c r="JID117" s="199"/>
      <c r="JIE117" s="198"/>
      <c r="JIF117" s="199"/>
      <c r="JIG117" s="198"/>
      <c r="JIH117" s="199"/>
      <c r="JII117" s="198"/>
      <c r="JIJ117" s="199"/>
      <c r="JIK117" s="198"/>
      <c r="JIL117" s="199"/>
      <c r="JIM117" s="198"/>
      <c r="JIN117" s="199"/>
      <c r="JIO117" s="198"/>
      <c r="JIP117" s="199"/>
      <c r="JIQ117" s="198"/>
      <c r="JIR117" s="199"/>
      <c r="JIS117" s="198"/>
      <c r="JIT117" s="199"/>
      <c r="JIU117" s="198"/>
      <c r="JIV117" s="199"/>
      <c r="JIW117" s="198"/>
      <c r="JIX117" s="199"/>
      <c r="JIY117" s="198"/>
      <c r="JIZ117" s="199"/>
      <c r="JJA117" s="198"/>
      <c r="JJB117" s="199"/>
      <c r="JJC117" s="198"/>
      <c r="JJD117" s="199"/>
      <c r="JJE117" s="198"/>
      <c r="JJF117" s="199"/>
      <c r="JJG117" s="198"/>
      <c r="JJH117" s="199"/>
      <c r="JJI117" s="198"/>
      <c r="JJJ117" s="199"/>
      <c r="JJK117" s="198"/>
      <c r="JJL117" s="199"/>
      <c r="JJM117" s="198"/>
      <c r="JJN117" s="199"/>
      <c r="JJO117" s="198"/>
      <c r="JJP117" s="199"/>
      <c r="JJQ117" s="198"/>
      <c r="JJR117" s="199"/>
      <c r="JJS117" s="198"/>
      <c r="JJT117" s="199"/>
      <c r="JJU117" s="198"/>
      <c r="JJV117" s="199"/>
      <c r="JJW117" s="198"/>
      <c r="JJX117" s="199"/>
      <c r="JJY117" s="198"/>
      <c r="JJZ117" s="199"/>
      <c r="JKA117" s="198"/>
      <c r="JKB117" s="199"/>
      <c r="JKC117" s="198"/>
      <c r="JKD117" s="199"/>
      <c r="JKE117" s="198"/>
      <c r="JKF117" s="199"/>
      <c r="JKG117" s="198"/>
      <c r="JKH117" s="199"/>
      <c r="JKI117" s="198"/>
      <c r="JKJ117" s="199"/>
      <c r="JKK117" s="198"/>
      <c r="JKL117" s="199"/>
      <c r="JKM117" s="198"/>
      <c r="JKN117" s="199"/>
      <c r="JKO117" s="198"/>
      <c r="JKP117" s="199"/>
      <c r="JKQ117" s="198"/>
      <c r="JKR117" s="199"/>
      <c r="JKS117" s="198"/>
      <c r="JKT117" s="199"/>
      <c r="JKU117" s="198"/>
      <c r="JKV117" s="199"/>
      <c r="JKW117" s="198"/>
      <c r="JKX117" s="199"/>
      <c r="JKY117" s="198"/>
      <c r="JKZ117" s="199"/>
      <c r="JLA117" s="198"/>
      <c r="JLB117" s="199"/>
      <c r="JLC117" s="198"/>
      <c r="JLD117" s="199"/>
      <c r="JLE117" s="198"/>
      <c r="JLF117" s="199"/>
      <c r="JLG117" s="198"/>
      <c r="JLH117" s="199"/>
      <c r="JLI117" s="198"/>
      <c r="JLJ117" s="199"/>
      <c r="JLK117" s="198"/>
      <c r="JLL117" s="199"/>
      <c r="JLM117" s="198"/>
      <c r="JLN117" s="199"/>
      <c r="JLO117" s="198"/>
      <c r="JLP117" s="199"/>
      <c r="JLQ117" s="198"/>
      <c r="JLR117" s="199"/>
      <c r="JLS117" s="198"/>
      <c r="JLT117" s="199"/>
      <c r="JLU117" s="198"/>
      <c r="JLV117" s="199"/>
      <c r="JLW117" s="198"/>
      <c r="JLX117" s="199"/>
      <c r="JLY117" s="198"/>
      <c r="JLZ117" s="199"/>
      <c r="JMA117" s="198"/>
      <c r="JMB117" s="199"/>
      <c r="JMC117" s="198"/>
      <c r="JMD117" s="199"/>
      <c r="JME117" s="198"/>
      <c r="JMF117" s="199"/>
      <c r="JMG117" s="198"/>
      <c r="JMH117" s="199"/>
      <c r="JMI117" s="198"/>
      <c r="JMJ117" s="199"/>
      <c r="JMK117" s="198"/>
      <c r="JML117" s="199"/>
      <c r="JMM117" s="198"/>
      <c r="JMN117" s="199"/>
      <c r="JMO117" s="198"/>
      <c r="JMP117" s="199"/>
      <c r="JMQ117" s="198"/>
      <c r="JMR117" s="199"/>
      <c r="JMS117" s="198"/>
      <c r="JMT117" s="199"/>
      <c r="JMU117" s="198"/>
      <c r="JMV117" s="199"/>
      <c r="JMW117" s="198"/>
      <c r="JMX117" s="199"/>
      <c r="JMY117" s="198"/>
      <c r="JMZ117" s="199"/>
      <c r="JNA117" s="198"/>
      <c r="JNB117" s="199"/>
      <c r="JNC117" s="198"/>
      <c r="JND117" s="199"/>
      <c r="JNE117" s="198"/>
      <c r="JNF117" s="199"/>
      <c r="JNG117" s="198"/>
      <c r="JNH117" s="199"/>
      <c r="JNI117" s="198"/>
      <c r="JNJ117" s="199"/>
      <c r="JNK117" s="198"/>
      <c r="JNL117" s="199"/>
      <c r="JNM117" s="198"/>
      <c r="JNN117" s="199"/>
      <c r="JNO117" s="198"/>
      <c r="JNP117" s="199"/>
      <c r="JNQ117" s="198"/>
      <c r="JNR117" s="199"/>
      <c r="JNS117" s="198"/>
      <c r="JNT117" s="199"/>
      <c r="JNU117" s="198"/>
      <c r="JNV117" s="199"/>
      <c r="JNW117" s="198"/>
      <c r="JNX117" s="199"/>
      <c r="JNY117" s="198"/>
      <c r="JNZ117" s="199"/>
      <c r="JOA117" s="198"/>
      <c r="JOB117" s="199"/>
      <c r="JOC117" s="198"/>
      <c r="JOD117" s="199"/>
      <c r="JOE117" s="198"/>
      <c r="JOF117" s="199"/>
      <c r="JOG117" s="198"/>
      <c r="JOH117" s="199"/>
      <c r="JOI117" s="198"/>
      <c r="JOJ117" s="199"/>
      <c r="JOK117" s="198"/>
      <c r="JOL117" s="199"/>
      <c r="JOM117" s="198"/>
      <c r="JON117" s="199"/>
      <c r="JOO117" s="198"/>
      <c r="JOP117" s="199"/>
      <c r="JOQ117" s="198"/>
      <c r="JOR117" s="199"/>
      <c r="JOS117" s="198"/>
      <c r="JOT117" s="199"/>
      <c r="JOU117" s="198"/>
      <c r="JOV117" s="199"/>
      <c r="JOW117" s="198"/>
      <c r="JOX117" s="199"/>
      <c r="JOY117" s="198"/>
      <c r="JOZ117" s="199"/>
      <c r="JPA117" s="198"/>
      <c r="JPB117" s="199"/>
      <c r="JPC117" s="198"/>
      <c r="JPD117" s="199"/>
      <c r="JPE117" s="198"/>
      <c r="JPF117" s="199"/>
      <c r="JPG117" s="198"/>
      <c r="JPH117" s="199"/>
      <c r="JPI117" s="198"/>
      <c r="JPJ117" s="199"/>
      <c r="JPK117" s="198"/>
      <c r="JPL117" s="199"/>
      <c r="JPM117" s="198"/>
      <c r="JPN117" s="199"/>
      <c r="JPO117" s="198"/>
      <c r="JPP117" s="199"/>
      <c r="JPQ117" s="198"/>
      <c r="JPR117" s="199"/>
      <c r="JPS117" s="198"/>
      <c r="JPT117" s="199"/>
      <c r="JPU117" s="198"/>
      <c r="JPV117" s="199"/>
      <c r="JPW117" s="198"/>
      <c r="JPX117" s="199"/>
      <c r="JPY117" s="198"/>
      <c r="JPZ117" s="199"/>
      <c r="JQA117" s="198"/>
      <c r="JQB117" s="199"/>
      <c r="JQC117" s="198"/>
      <c r="JQD117" s="199"/>
      <c r="JQE117" s="198"/>
      <c r="JQF117" s="199"/>
      <c r="JQG117" s="198"/>
      <c r="JQH117" s="199"/>
      <c r="JQI117" s="198"/>
      <c r="JQJ117" s="199"/>
      <c r="JQK117" s="198"/>
      <c r="JQL117" s="199"/>
      <c r="JQM117" s="198"/>
      <c r="JQN117" s="199"/>
      <c r="JQO117" s="198"/>
      <c r="JQP117" s="199"/>
      <c r="JQQ117" s="198"/>
      <c r="JQR117" s="199"/>
      <c r="JQS117" s="198"/>
      <c r="JQT117" s="199"/>
      <c r="JQU117" s="198"/>
      <c r="JQV117" s="199"/>
      <c r="JQW117" s="198"/>
      <c r="JQX117" s="199"/>
      <c r="JQY117" s="198"/>
      <c r="JQZ117" s="199"/>
      <c r="JRA117" s="198"/>
      <c r="JRB117" s="199"/>
      <c r="JRC117" s="198"/>
      <c r="JRD117" s="199"/>
      <c r="JRE117" s="198"/>
      <c r="JRF117" s="199"/>
      <c r="JRG117" s="198"/>
      <c r="JRH117" s="199"/>
      <c r="JRI117" s="198"/>
      <c r="JRJ117" s="199"/>
      <c r="JRK117" s="198"/>
      <c r="JRL117" s="199"/>
      <c r="JRM117" s="198"/>
      <c r="JRN117" s="199"/>
      <c r="JRO117" s="198"/>
      <c r="JRP117" s="199"/>
      <c r="JRQ117" s="198"/>
      <c r="JRR117" s="199"/>
      <c r="JRS117" s="198"/>
      <c r="JRT117" s="199"/>
      <c r="JRU117" s="198"/>
      <c r="JRV117" s="199"/>
      <c r="JRW117" s="198"/>
      <c r="JRX117" s="199"/>
      <c r="JRY117" s="198"/>
      <c r="JRZ117" s="199"/>
      <c r="JSA117" s="198"/>
      <c r="JSB117" s="199"/>
      <c r="JSC117" s="198"/>
      <c r="JSD117" s="199"/>
      <c r="JSE117" s="198"/>
      <c r="JSF117" s="199"/>
      <c r="JSG117" s="198"/>
      <c r="JSH117" s="199"/>
      <c r="JSI117" s="198"/>
      <c r="JSJ117" s="199"/>
      <c r="JSK117" s="198"/>
      <c r="JSL117" s="199"/>
      <c r="JSM117" s="198"/>
      <c r="JSN117" s="199"/>
      <c r="JSO117" s="198"/>
      <c r="JSP117" s="199"/>
      <c r="JSQ117" s="198"/>
      <c r="JSR117" s="199"/>
      <c r="JSS117" s="198"/>
      <c r="JST117" s="199"/>
      <c r="JSU117" s="198"/>
      <c r="JSV117" s="199"/>
      <c r="JSW117" s="198"/>
      <c r="JSX117" s="199"/>
      <c r="JSY117" s="198"/>
      <c r="JSZ117" s="199"/>
      <c r="JTA117" s="198"/>
      <c r="JTB117" s="199"/>
      <c r="JTC117" s="198"/>
      <c r="JTD117" s="199"/>
      <c r="JTE117" s="198"/>
      <c r="JTF117" s="199"/>
      <c r="JTG117" s="198"/>
      <c r="JTH117" s="199"/>
      <c r="JTI117" s="198"/>
      <c r="JTJ117" s="199"/>
      <c r="JTK117" s="198"/>
      <c r="JTL117" s="199"/>
      <c r="JTM117" s="198"/>
      <c r="JTN117" s="199"/>
      <c r="JTO117" s="198"/>
      <c r="JTP117" s="199"/>
      <c r="JTQ117" s="198"/>
      <c r="JTR117" s="199"/>
      <c r="JTS117" s="198"/>
      <c r="JTT117" s="199"/>
      <c r="JTU117" s="198"/>
      <c r="JTV117" s="199"/>
      <c r="JTW117" s="198"/>
      <c r="JTX117" s="199"/>
      <c r="JTY117" s="198"/>
      <c r="JTZ117" s="199"/>
      <c r="JUA117" s="198"/>
      <c r="JUB117" s="199"/>
      <c r="JUC117" s="198"/>
      <c r="JUD117" s="199"/>
      <c r="JUE117" s="198"/>
      <c r="JUF117" s="199"/>
      <c r="JUG117" s="198"/>
      <c r="JUH117" s="199"/>
      <c r="JUI117" s="198"/>
      <c r="JUJ117" s="199"/>
      <c r="JUK117" s="198"/>
      <c r="JUL117" s="199"/>
      <c r="JUM117" s="198"/>
      <c r="JUN117" s="199"/>
      <c r="JUO117" s="198"/>
      <c r="JUP117" s="199"/>
      <c r="JUQ117" s="198"/>
      <c r="JUR117" s="199"/>
      <c r="JUS117" s="198"/>
      <c r="JUT117" s="199"/>
      <c r="JUU117" s="198"/>
      <c r="JUV117" s="199"/>
      <c r="JUW117" s="198"/>
      <c r="JUX117" s="199"/>
      <c r="JUY117" s="198"/>
      <c r="JUZ117" s="199"/>
      <c r="JVA117" s="198"/>
      <c r="JVB117" s="199"/>
      <c r="JVC117" s="198"/>
      <c r="JVD117" s="199"/>
      <c r="JVE117" s="198"/>
      <c r="JVF117" s="199"/>
      <c r="JVG117" s="198"/>
      <c r="JVH117" s="199"/>
      <c r="JVI117" s="198"/>
      <c r="JVJ117" s="199"/>
      <c r="JVK117" s="198"/>
      <c r="JVL117" s="199"/>
      <c r="JVM117" s="198"/>
      <c r="JVN117" s="199"/>
      <c r="JVO117" s="198"/>
      <c r="JVP117" s="199"/>
      <c r="JVQ117" s="198"/>
      <c r="JVR117" s="199"/>
      <c r="JVS117" s="198"/>
      <c r="JVT117" s="199"/>
      <c r="JVU117" s="198"/>
      <c r="JVV117" s="199"/>
      <c r="JVW117" s="198"/>
      <c r="JVX117" s="199"/>
      <c r="JVY117" s="198"/>
      <c r="JVZ117" s="199"/>
      <c r="JWA117" s="198"/>
      <c r="JWB117" s="199"/>
      <c r="JWC117" s="198"/>
      <c r="JWD117" s="199"/>
      <c r="JWE117" s="198"/>
      <c r="JWF117" s="199"/>
      <c r="JWG117" s="198"/>
      <c r="JWH117" s="199"/>
      <c r="JWI117" s="198"/>
      <c r="JWJ117" s="199"/>
      <c r="JWK117" s="198"/>
      <c r="JWL117" s="199"/>
      <c r="JWM117" s="198"/>
      <c r="JWN117" s="199"/>
      <c r="JWO117" s="198"/>
      <c r="JWP117" s="199"/>
      <c r="JWQ117" s="198"/>
      <c r="JWR117" s="199"/>
      <c r="JWS117" s="198"/>
      <c r="JWT117" s="199"/>
      <c r="JWU117" s="198"/>
      <c r="JWV117" s="199"/>
      <c r="JWW117" s="198"/>
      <c r="JWX117" s="199"/>
      <c r="JWY117" s="198"/>
      <c r="JWZ117" s="199"/>
      <c r="JXA117" s="198"/>
      <c r="JXB117" s="199"/>
      <c r="JXC117" s="198"/>
      <c r="JXD117" s="199"/>
      <c r="JXE117" s="198"/>
      <c r="JXF117" s="199"/>
      <c r="JXG117" s="198"/>
      <c r="JXH117" s="199"/>
      <c r="JXI117" s="198"/>
      <c r="JXJ117" s="199"/>
      <c r="JXK117" s="198"/>
      <c r="JXL117" s="199"/>
      <c r="JXM117" s="198"/>
      <c r="JXN117" s="199"/>
      <c r="JXO117" s="198"/>
      <c r="JXP117" s="199"/>
      <c r="JXQ117" s="198"/>
      <c r="JXR117" s="199"/>
      <c r="JXS117" s="198"/>
      <c r="JXT117" s="199"/>
      <c r="JXU117" s="198"/>
      <c r="JXV117" s="199"/>
      <c r="JXW117" s="198"/>
      <c r="JXX117" s="199"/>
      <c r="JXY117" s="198"/>
      <c r="JXZ117" s="199"/>
      <c r="JYA117" s="198"/>
      <c r="JYB117" s="199"/>
      <c r="JYC117" s="198"/>
      <c r="JYD117" s="199"/>
      <c r="JYE117" s="198"/>
      <c r="JYF117" s="199"/>
      <c r="JYG117" s="198"/>
      <c r="JYH117" s="199"/>
      <c r="JYI117" s="198"/>
      <c r="JYJ117" s="199"/>
      <c r="JYK117" s="198"/>
      <c r="JYL117" s="199"/>
      <c r="JYM117" s="198"/>
      <c r="JYN117" s="199"/>
      <c r="JYO117" s="198"/>
      <c r="JYP117" s="199"/>
      <c r="JYQ117" s="198"/>
      <c r="JYR117" s="199"/>
      <c r="JYS117" s="198"/>
      <c r="JYT117" s="199"/>
      <c r="JYU117" s="198"/>
      <c r="JYV117" s="199"/>
      <c r="JYW117" s="198"/>
      <c r="JYX117" s="199"/>
      <c r="JYY117" s="198"/>
      <c r="JYZ117" s="199"/>
      <c r="JZA117" s="198"/>
      <c r="JZB117" s="199"/>
      <c r="JZC117" s="198"/>
      <c r="JZD117" s="199"/>
      <c r="JZE117" s="198"/>
      <c r="JZF117" s="199"/>
      <c r="JZG117" s="198"/>
      <c r="JZH117" s="199"/>
      <c r="JZI117" s="198"/>
      <c r="JZJ117" s="199"/>
      <c r="JZK117" s="198"/>
      <c r="JZL117" s="199"/>
      <c r="JZM117" s="198"/>
      <c r="JZN117" s="199"/>
      <c r="JZO117" s="198"/>
      <c r="JZP117" s="199"/>
      <c r="JZQ117" s="198"/>
      <c r="JZR117" s="199"/>
      <c r="JZS117" s="198"/>
      <c r="JZT117" s="199"/>
      <c r="JZU117" s="198"/>
      <c r="JZV117" s="199"/>
      <c r="JZW117" s="198"/>
      <c r="JZX117" s="199"/>
      <c r="JZY117" s="198"/>
      <c r="JZZ117" s="199"/>
      <c r="KAA117" s="198"/>
      <c r="KAB117" s="199"/>
      <c r="KAC117" s="198"/>
      <c r="KAD117" s="199"/>
      <c r="KAE117" s="198"/>
      <c r="KAF117" s="199"/>
      <c r="KAG117" s="198"/>
      <c r="KAH117" s="199"/>
      <c r="KAI117" s="198"/>
      <c r="KAJ117" s="199"/>
      <c r="KAK117" s="198"/>
      <c r="KAL117" s="199"/>
      <c r="KAM117" s="198"/>
      <c r="KAN117" s="199"/>
      <c r="KAO117" s="198"/>
      <c r="KAP117" s="199"/>
      <c r="KAQ117" s="198"/>
      <c r="KAR117" s="199"/>
      <c r="KAS117" s="198"/>
      <c r="KAT117" s="199"/>
      <c r="KAU117" s="198"/>
      <c r="KAV117" s="199"/>
      <c r="KAW117" s="198"/>
      <c r="KAX117" s="199"/>
      <c r="KAY117" s="198"/>
      <c r="KAZ117" s="199"/>
      <c r="KBA117" s="198"/>
      <c r="KBB117" s="199"/>
      <c r="KBC117" s="198"/>
      <c r="KBD117" s="199"/>
      <c r="KBE117" s="198"/>
      <c r="KBF117" s="199"/>
      <c r="KBG117" s="198"/>
      <c r="KBH117" s="199"/>
      <c r="KBI117" s="198"/>
      <c r="KBJ117" s="199"/>
      <c r="KBK117" s="198"/>
      <c r="KBL117" s="199"/>
      <c r="KBM117" s="198"/>
      <c r="KBN117" s="199"/>
      <c r="KBO117" s="198"/>
      <c r="KBP117" s="199"/>
      <c r="KBQ117" s="198"/>
      <c r="KBR117" s="199"/>
      <c r="KBS117" s="198"/>
      <c r="KBT117" s="199"/>
      <c r="KBU117" s="198"/>
      <c r="KBV117" s="199"/>
      <c r="KBW117" s="198"/>
      <c r="KBX117" s="199"/>
      <c r="KBY117" s="198"/>
      <c r="KBZ117" s="199"/>
      <c r="KCA117" s="198"/>
      <c r="KCB117" s="199"/>
      <c r="KCC117" s="198"/>
      <c r="KCD117" s="199"/>
      <c r="KCE117" s="198"/>
      <c r="KCF117" s="199"/>
      <c r="KCG117" s="198"/>
      <c r="KCH117" s="199"/>
      <c r="KCI117" s="198"/>
      <c r="KCJ117" s="199"/>
      <c r="KCK117" s="198"/>
      <c r="KCL117" s="199"/>
      <c r="KCM117" s="198"/>
      <c r="KCN117" s="199"/>
      <c r="KCO117" s="198"/>
      <c r="KCP117" s="199"/>
      <c r="KCQ117" s="198"/>
      <c r="KCR117" s="199"/>
      <c r="KCS117" s="198"/>
      <c r="KCT117" s="199"/>
      <c r="KCU117" s="198"/>
      <c r="KCV117" s="199"/>
      <c r="KCW117" s="198"/>
      <c r="KCX117" s="199"/>
      <c r="KCY117" s="198"/>
      <c r="KCZ117" s="199"/>
      <c r="KDA117" s="198"/>
      <c r="KDB117" s="199"/>
      <c r="KDC117" s="198"/>
      <c r="KDD117" s="199"/>
      <c r="KDE117" s="198"/>
      <c r="KDF117" s="199"/>
      <c r="KDG117" s="198"/>
      <c r="KDH117" s="199"/>
      <c r="KDI117" s="198"/>
      <c r="KDJ117" s="199"/>
      <c r="KDK117" s="198"/>
      <c r="KDL117" s="199"/>
      <c r="KDM117" s="198"/>
      <c r="KDN117" s="199"/>
      <c r="KDO117" s="198"/>
      <c r="KDP117" s="199"/>
      <c r="KDQ117" s="198"/>
      <c r="KDR117" s="199"/>
      <c r="KDS117" s="198"/>
      <c r="KDT117" s="199"/>
      <c r="KDU117" s="198"/>
      <c r="KDV117" s="199"/>
      <c r="KDW117" s="198"/>
      <c r="KDX117" s="199"/>
      <c r="KDY117" s="198"/>
      <c r="KDZ117" s="199"/>
      <c r="KEA117" s="198"/>
      <c r="KEB117" s="199"/>
      <c r="KEC117" s="198"/>
      <c r="KED117" s="199"/>
      <c r="KEE117" s="198"/>
      <c r="KEF117" s="199"/>
      <c r="KEG117" s="198"/>
      <c r="KEH117" s="199"/>
      <c r="KEI117" s="198"/>
      <c r="KEJ117" s="199"/>
      <c r="KEK117" s="198"/>
      <c r="KEL117" s="199"/>
      <c r="KEM117" s="198"/>
      <c r="KEN117" s="199"/>
      <c r="KEO117" s="198"/>
      <c r="KEP117" s="199"/>
      <c r="KEQ117" s="198"/>
      <c r="KER117" s="199"/>
      <c r="KES117" s="198"/>
      <c r="KET117" s="199"/>
      <c r="KEU117" s="198"/>
      <c r="KEV117" s="199"/>
      <c r="KEW117" s="198"/>
      <c r="KEX117" s="199"/>
      <c r="KEY117" s="198"/>
      <c r="KEZ117" s="199"/>
      <c r="KFA117" s="198"/>
      <c r="KFB117" s="199"/>
      <c r="KFC117" s="198"/>
      <c r="KFD117" s="199"/>
      <c r="KFE117" s="198"/>
      <c r="KFF117" s="199"/>
      <c r="KFG117" s="198"/>
      <c r="KFH117" s="199"/>
      <c r="KFI117" s="198"/>
      <c r="KFJ117" s="199"/>
      <c r="KFK117" s="198"/>
      <c r="KFL117" s="199"/>
      <c r="KFM117" s="198"/>
      <c r="KFN117" s="199"/>
      <c r="KFO117" s="198"/>
      <c r="KFP117" s="199"/>
      <c r="KFQ117" s="198"/>
      <c r="KFR117" s="199"/>
      <c r="KFS117" s="198"/>
      <c r="KFT117" s="199"/>
      <c r="KFU117" s="198"/>
      <c r="KFV117" s="199"/>
      <c r="KFW117" s="198"/>
      <c r="KFX117" s="199"/>
      <c r="KFY117" s="198"/>
      <c r="KFZ117" s="199"/>
      <c r="KGA117" s="198"/>
      <c r="KGB117" s="199"/>
      <c r="KGC117" s="198"/>
      <c r="KGD117" s="199"/>
      <c r="KGE117" s="198"/>
      <c r="KGF117" s="199"/>
      <c r="KGG117" s="198"/>
      <c r="KGH117" s="199"/>
      <c r="KGI117" s="198"/>
      <c r="KGJ117" s="199"/>
      <c r="KGK117" s="198"/>
      <c r="KGL117" s="199"/>
      <c r="KGM117" s="198"/>
      <c r="KGN117" s="199"/>
      <c r="KGO117" s="198"/>
      <c r="KGP117" s="199"/>
      <c r="KGQ117" s="198"/>
      <c r="KGR117" s="199"/>
      <c r="KGS117" s="198"/>
      <c r="KGT117" s="199"/>
      <c r="KGU117" s="198"/>
      <c r="KGV117" s="199"/>
      <c r="KGW117" s="198"/>
      <c r="KGX117" s="199"/>
      <c r="KGY117" s="198"/>
      <c r="KGZ117" s="199"/>
      <c r="KHA117" s="198"/>
      <c r="KHB117" s="199"/>
      <c r="KHC117" s="198"/>
      <c r="KHD117" s="199"/>
      <c r="KHE117" s="198"/>
      <c r="KHF117" s="199"/>
      <c r="KHG117" s="198"/>
      <c r="KHH117" s="199"/>
      <c r="KHI117" s="198"/>
      <c r="KHJ117" s="199"/>
      <c r="KHK117" s="198"/>
      <c r="KHL117" s="199"/>
      <c r="KHM117" s="198"/>
      <c r="KHN117" s="199"/>
      <c r="KHO117" s="198"/>
      <c r="KHP117" s="199"/>
      <c r="KHQ117" s="198"/>
      <c r="KHR117" s="199"/>
      <c r="KHS117" s="198"/>
      <c r="KHT117" s="199"/>
      <c r="KHU117" s="198"/>
      <c r="KHV117" s="199"/>
      <c r="KHW117" s="198"/>
      <c r="KHX117" s="199"/>
      <c r="KHY117" s="198"/>
      <c r="KHZ117" s="199"/>
      <c r="KIA117" s="198"/>
      <c r="KIB117" s="199"/>
      <c r="KIC117" s="198"/>
      <c r="KID117" s="199"/>
      <c r="KIE117" s="198"/>
      <c r="KIF117" s="199"/>
      <c r="KIG117" s="198"/>
      <c r="KIH117" s="199"/>
      <c r="KII117" s="198"/>
      <c r="KIJ117" s="199"/>
      <c r="KIK117" s="198"/>
      <c r="KIL117" s="199"/>
      <c r="KIM117" s="198"/>
      <c r="KIN117" s="199"/>
      <c r="KIO117" s="198"/>
      <c r="KIP117" s="199"/>
      <c r="KIQ117" s="198"/>
      <c r="KIR117" s="199"/>
      <c r="KIS117" s="198"/>
      <c r="KIT117" s="199"/>
      <c r="KIU117" s="198"/>
      <c r="KIV117" s="199"/>
      <c r="KIW117" s="198"/>
      <c r="KIX117" s="199"/>
      <c r="KIY117" s="198"/>
      <c r="KIZ117" s="199"/>
      <c r="KJA117" s="198"/>
      <c r="KJB117" s="199"/>
      <c r="KJC117" s="198"/>
      <c r="KJD117" s="199"/>
      <c r="KJE117" s="198"/>
      <c r="KJF117" s="199"/>
      <c r="KJG117" s="198"/>
      <c r="KJH117" s="199"/>
      <c r="KJI117" s="198"/>
      <c r="KJJ117" s="199"/>
      <c r="KJK117" s="198"/>
      <c r="KJL117" s="199"/>
      <c r="KJM117" s="198"/>
      <c r="KJN117" s="199"/>
      <c r="KJO117" s="198"/>
      <c r="KJP117" s="199"/>
      <c r="KJQ117" s="198"/>
      <c r="KJR117" s="199"/>
      <c r="KJS117" s="198"/>
      <c r="KJT117" s="199"/>
      <c r="KJU117" s="198"/>
      <c r="KJV117" s="199"/>
      <c r="KJW117" s="198"/>
      <c r="KJX117" s="199"/>
      <c r="KJY117" s="198"/>
      <c r="KJZ117" s="199"/>
      <c r="KKA117" s="198"/>
      <c r="KKB117" s="199"/>
      <c r="KKC117" s="198"/>
      <c r="KKD117" s="199"/>
      <c r="KKE117" s="198"/>
      <c r="KKF117" s="199"/>
      <c r="KKG117" s="198"/>
      <c r="KKH117" s="199"/>
      <c r="KKI117" s="198"/>
      <c r="KKJ117" s="199"/>
      <c r="KKK117" s="198"/>
      <c r="KKL117" s="199"/>
      <c r="KKM117" s="198"/>
      <c r="KKN117" s="199"/>
      <c r="KKO117" s="198"/>
      <c r="KKP117" s="199"/>
      <c r="KKQ117" s="198"/>
      <c r="KKR117" s="199"/>
      <c r="KKS117" s="198"/>
      <c r="KKT117" s="199"/>
      <c r="KKU117" s="198"/>
      <c r="KKV117" s="199"/>
      <c r="KKW117" s="198"/>
      <c r="KKX117" s="199"/>
      <c r="KKY117" s="198"/>
      <c r="KKZ117" s="199"/>
      <c r="KLA117" s="198"/>
      <c r="KLB117" s="199"/>
      <c r="KLC117" s="198"/>
      <c r="KLD117" s="199"/>
      <c r="KLE117" s="198"/>
      <c r="KLF117" s="199"/>
      <c r="KLG117" s="198"/>
      <c r="KLH117" s="199"/>
      <c r="KLI117" s="198"/>
      <c r="KLJ117" s="199"/>
      <c r="KLK117" s="198"/>
      <c r="KLL117" s="199"/>
      <c r="KLM117" s="198"/>
      <c r="KLN117" s="199"/>
      <c r="KLO117" s="198"/>
      <c r="KLP117" s="199"/>
      <c r="KLQ117" s="198"/>
      <c r="KLR117" s="199"/>
      <c r="KLS117" s="198"/>
      <c r="KLT117" s="199"/>
      <c r="KLU117" s="198"/>
      <c r="KLV117" s="199"/>
      <c r="KLW117" s="198"/>
      <c r="KLX117" s="199"/>
      <c r="KLY117" s="198"/>
      <c r="KLZ117" s="199"/>
      <c r="KMA117" s="198"/>
      <c r="KMB117" s="199"/>
      <c r="KMC117" s="198"/>
      <c r="KMD117" s="199"/>
      <c r="KME117" s="198"/>
      <c r="KMF117" s="199"/>
      <c r="KMG117" s="198"/>
      <c r="KMH117" s="199"/>
      <c r="KMI117" s="198"/>
      <c r="KMJ117" s="199"/>
      <c r="KMK117" s="198"/>
      <c r="KML117" s="199"/>
      <c r="KMM117" s="198"/>
      <c r="KMN117" s="199"/>
      <c r="KMO117" s="198"/>
      <c r="KMP117" s="199"/>
      <c r="KMQ117" s="198"/>
      <c r="KMR117" s="199"/>
      <c r="KMS117" s="198"/>
      <c r="KMT117" s="199"/>
      <c r="KMU117" s="198"/>
      <c r="KMV117" s="199"/>
      <c r="KMW117" s="198"/>
      <c r="KMX117" s="199"/>
      <c r="KMY117" s="198"/>
      <c r="KMZ117" s="199"/>
      <c r="KNA117" s="198"/>
      <c r="KNB117" s="199"/>
      <c r="KNC117" s="198"/>
      <c r="KND117" s="199"/>
      <c r="KNE117" s="198"/>
      <c r="KNF117" s="199"/>
      <c r="KNG117" s="198"/>
      <c r="KNH117" s="199"/>
      <c r="KNI117" s="198"/>
      <c r="KNJ117" s="199"/>
      <c r="KNK117" s="198"/>
      <c r="KNL117" s="199"/>
      <c r="KNM117" s="198"/>
      <c r="KNN117" s="199"/>
      <c r="KNO117" s="198"/>
      <c r="KNP117" s="199"/>
      <c r="KNQ117" s="198"/>
      <c r="KNR117" s="199"/>
      <c r="KNS117" s="198"/>
      <c r="KNT117" s="199"/>
      <c r="KNU117" s="198"/>
      <c r="KNV117" s="199"/>
      <c r="KNW117" s="198"/>
      <c r="KNX117" s="199"/>
      <c r="KNY117" s="198"/>
      <c r="KNZ117" s="199"/>
      <c r="KOA117" s="198"/>
      <c r="KOB117" s="199"/>
      <c r="KOC117" s="198"/>
      <c r="KOD117" s="199"/>
      <c r="KOE117" s="198"/>
      <c r="KOF117" s="199"/>
      <c r="KOG117" s="198"/>
      <c r="KOH117" s="199"/>
      <c r="KOI117" s="198"/>
      <c r="KOJ117" s="199"/>
      <c r="KOK117" s="198"/>
      <c r="KOL117" s="199"/>
      <c r="KOM117" s="198"/>
      <c r="KON117" s="199"/>
      <c r="KOO117" s="198"/>
      <c r="KOP117" s="199"/>
      <c r="KOQ117" s="198"/>
      <c r="KOR117" s="199"/>
      <c r="KOS117" s="198"/>
      <c r="KOT117" s="199"/>
      <c r="KOU117" s="198"/>
      <c r="KOV117" s="199"/>
      <c r="KOW117" s="198"/>
      <c r="KOX117" s="199"/>
      <c r="KOY117" s="198"/>
      <c r="KOZ117" s="199"/>
      <c r="KPA117" s="198"/>
      <c r="KPB117" s="199"/>
      <c r="KPC117" s="198"/>
      <c r="KPD117" s="199"/>
      <c r="KPE117" s="198"/>
      <c r="KPF117" s="199"/>
      <c r="KPG117" s="198"/>
      <c r="KPH117" s="199"/>
      <c r="KPI117" s="198"/>
      <c r="KPJ117" s="199"/>
      <c r="KPK117" s="198"/>
      <c r="KPL117" s="199"/>
      <c r="KPM117" s="198"/>
      <c r="KPN117" s="199"/>
      <c r="KPO117" s="198"/>
      <c r="KPP117" s="199"/>
      <c r="KPQ117" s="198"/>
      <c r="KPR117" s="199"/>
      <c r="KPS117" s="198"/>
      <c r="KPT117" s="199"/>
      <c r="KPU117" s="198"/>
      <c r="KPV117" s="199"/>
      <c r="KPW117" s="198"/>
      <c r="KPX117" s="199"/>
      <c r="KPY117" s="198"/>
      <c r="KPZ117" s="199"/>
      <c r="KQA117" s="198"/>
      <c r="KQB117" s="199"/>
      <c r="KQC117" s="198"/>
      <c r="KQD117" s="199"/>
      <c r="KQE117" s="198"/>
      <c r="KQF117" s="199"/>
      <c r="KQG117" s="198"/>
      <c r="KQH117" s="199"/>
      <c r="KQI117" s="198"/>
      <c r="KQJ117" s="199"/>
      <c r="KQK117" s="198"/>
      <c r="KQL117" s="199"/>
      <c r="KQM117" s="198"/>
      <c r="KQN117" s="199"/>
      <c r="KQO117" s="198"/>
      <c r="KQP117" s="199"/>
      <c r="KQQ117" s="198"/>
      <c r="KQR117" s="199"/>
      <c r="KQS117" s="198"/>
      <c r="KQT117" s="199"/>
      <c r="KQU117" s="198"/>
      <c r="KQV117" s="199"/>
      <c r="KQW117" s="198"/>
      <c r="KQX117" s="199"/>
      <c r="KQY117" s="198"/>
      <c r="KQZ117" s="199"/>
      <c r="KRA117" s="198"/>
      <c r="KRB117" s="199"/>
      <c r="KRC117" s="198"/>
      <c r="KRD117" s="199"/>
      <c r="KRE117" s="198"/>
      <c r="KRF117" s="199"/>
      <c r="KRG117" s="198"/>
      <c r="KRH117" s="199"/>
      <c r="KRI117" s="198"/>
      <c r="KRJ117" s="199"/>
      <c r="KRK117" s="198"/>
      <c r="KRL117" s="199"/>
      <c r="KRM117" s="198"/>
      <c r="KRN117" s="199"/>
      <c r="KRO117" s="198"/>
      <c r="KRP117" s="199"/>
      <c r="KRQ117" s="198"/>
      <c r="KRR117" s="199"/>
      <c r="KRS117" s="198"/>
      <c r="KRT117" s="199"/>
      <c r="KRU117" s="198"/>
      <c r="KRV117" s="199"/>
      <c r="KRW117" s="198"/>
      <c r="KRX117" s="199"/>
      <c r="KRY117" s="198"/>
      <c r="KRZ117" s="199"/>
      <c r="KSA117" s="198"/>
      <c r="KSB117" s="199"/>
      <c r="KSC117" s="198"/>
      <c r="KSD117" s="199"/>
      <c r="KSE117" s="198"/>
      <c r="KSF117" s="199"/>
      <c r="KSG117" s="198"/>
      <c r="KSH117" s="199"/>
      <c r="KSI117" s="198"/>
      <c r="KSJ117" s="199"/>
      <c r="KSK117" s="198"/>
      <c r="KSL117" s="199"/>
      <c r="KSM117" s="198"/>
      <c r="KSN117" s="199"/>
      <c r="KSO117" s="198"/>
      <c r="KSP117" s="199"/>
      <c r="KSQ117" s="198"/>
      <c r="KSR117" s="199"/>
      <c r="KSS117" s="198"/>
      <c r="KST117" s="199"/>
      <c r="KSU117" s="198"/>
      <c r="KSV117" s="199"/>
      <c r="KSW117" s="198"/>
      <c r="KSX117" s="199"/>
      <c r="KSY117" s="198"/>
      <c r="KSZ117" s="199"/>
      <c r="KTA117" s="198"/>
      <c r="KTB117" s="199"/>
      <c r="KTC117" s="198"/>
      <c r="KTD117" s="199"/>
      <c r="KTE117" s="198"/>
      <c r="KTF117" s="199"/>
      <c r="KTG117" s="198"/>
      <c r="KTH117" s="199"/>
      <c r="KTI117" s="198"/>
      <c r="KTJ117" s="199"/>
      <c r="KTK117" s="198"/>
      <c r="KTL117" s="199"/>
      <c r="KTM117" s="198"/>
      <c r="KTN117" s="199"/>
      <c r="KTO117" s="198"/>
      <c r="KTP117" s="199"/>
      <c r="KTQ117" s="198"/>
      <c r="KTR117" s="199"/>
      <c r="KTS117" s="198"/>
      <c r="KTT117" s="199"/>
      <c r="KTU117" s="198"/>
      <c r="KTV117" s="199"/>
      <c r="KTW117" s="198"/>
      <c r="KTX117" s="199"/>
      <c r="KTY117" s="198"/>
      <c r="KTZ117" s="199"/>
      <c r="KUA117" s="198"/>
      <c r="KUB117" s="199"/>
      <c r="KUC117" s="198"/>
      <c r="KUD117" s="199"/>
      <c r="KUE117" s="198"/>
      <c r="KUF117" s="199"/>
      <c r="KUG117" s="198"/>
      <c r="KUH117" s="199"/>
      <c r="KUI117" s="198"/>
      <c r="KUJ117" s="199"/>
      <c r="KUK117" s="198"/>
      <c r="KUL117" s="199"/>
      <c r="KUM117" s="198"/>
      <c r="KUN117" s="199"/>
      <c r="KUO117" s="198"/>
      <c r="KUP117" s="199"/>
      <c r="KUQ117" s="198"/>
      <c r="KUR117" s="199"/>
      <c r="KUS117" s="198"/>
      <c r="KUT117" s="199"/>
      <c r="KUU117" s="198"/>
      <c r="KUV117" s="199"/>
      <c r="KUW117" s="198"/>
      <c r="KUX117" s="199"/>
      <c r="KUY117" s="198"/>
      <c r="KUZ117" s="199"/>
      <c r="KVA117" s="198"/>
      <c r="KVB117" s="199"/>
      <c r="KVC117" s="198"/>
      <c r="KVD117" s="199"/>
      <c r="KVE117" s="198"/>
      <c r="KVF117" s="199"/>
      <c r="KVG117" s="198"/>
      <c r="KVH117" s="199"/>
      <c r="KVI117" s="198"/>
      <c r="KVJ117" s="199"/>
      <c r="KVK117" s="198"/>
      <c r="KVL117" s="199"/>
      <c r="KVM117" s="198"/>
      <c r="KVN117" s="199"/>
      <c r="KVO117" s="198"/>
      <c r="KVP117" s="199"/>
      <c r="KVQ117" s="198"/>
      <c r="KVR117" s="199"/>
      <c r="KVS117" s="198"/>
      <c r="KVT117" s="199"/>
      <c r="KVU117" s="198"/>
      <c r="KVV117" s="199"/>
      <c r="KVW117" s="198"/>
      <c r="KVX117" s="199"/>
      <c r="KVY117" s="198"/>
      <c r="KVZ117" s="199"/>
      <c r="KWA117" s="198"/>
      <c r="KWB117" s="199"/>
      <c r="KWC117" s="198"/>
      <c r="KWD117" s="199"/>
      <c r="KWE117" s="198"/>
      <c r="KWF117" s="199"/>
      <c r="KWG117" s="198"/>
      <c r="KWH117" s="199"/>
      <c r="KWI117" s="198"/>
      <c r="KWJ117" s="199"/>
      <c r="KWK117" s="198"/>
      <c r="KWL117" s="199"/>
      <c r="KWM117" s="198"/>
      <c r="KWN117" s="199"/>
      <c r="KWO117" s="198"/>
      <c r="KWP117" s="199"/>
      <c r="KWQ117" s="198"/>
      <c r="KWR117" s="199"/>
      <c r="KWS117" s="198"/>
      <c r="KWT117" s="199"/>
      <c r="KWU117" s="198"/>
      <c r="KWV117" s="199"/>
      <c r="KWW117" s="198"/>
      <c r="KWX117" s="199"/>
      <c r="KWY117" s="198"/>
      <c r="KWZ117" s="199"/>
      <c r="KXA117" s="198"/>
      <c r="KXB117" s="199"/>
      <c r="KXC117" s="198"/>
      <c r="KXD117" s="199"/>
      <c r="KXE117" s="198"/>
      <c r="KXF117" s="199"/>
      <c r="KXG117" s="198"/>
      <c r="KXH117" s="199"/>
      <c r="KXI117" s="198"/>
      <c r="KXJ117" s="199"/>
      <c r="KXK117" s="198"/>
      <c r="KXL117" s="199"/>
      <c r="KXM117" s="198"/>
      <c r="KXN117" s="199"/>
      <c r="KXO117" s="198"/>
      <c r="KXP117" s="199"/>
      <c r="KXQ117" s="198"/>
      <c r="KXR117" s="199"/>
      <c r="KXS117" s="198"/>
      <c r="KXT117" s="199"/>
      <c r="KXU117" s="198"/>
      <c r="KXV117" s="199"/>
      <c r="KXW117" s="198"/>
      <c r="KXX117" s="199"/>
      <c r="KXY117" s="198"/>
      <c r="KXZ117" s="199"/>
      <c r="KYA117" s="198"/>
      <c r="KYB117" s="199"/>
      <c r="KYC117" s="198"/>
      <c r="KYD117" s="199"/>
      <c r="KYE117" s="198"/>
      <c r="KYF117" s="199"/>
      <c r="KYG117" s="198"/>
      <c r="KYH117" s="199"/>
      <c r="KYI117" s="198"/>
      <c r="KYJ117" s="199"/>
      <c r="KYK117" s="198"/>
      <c r="KYL117" s="199"/>
      <c r="KYM117" s="198"/>
      <c r="KYN117" s="199"/>
      <c r="KYO117" s="198"/>
      <c r="KYP117" s="199"/>
      <c r="KYQ117" s="198"/>
      <c r="KYR117" s="199"/>
      <c r="KYS117" s="198"/>
      <c r="KYT117" s="199"/>
      <c r="KYU117" s="198"/>
      <c r="KYV117" s="199"/>
      <c r="KYW117" s="198"/>
      <c r="KYX117" s="199"/>
      <c r="KYY117" s="198"/>
      <c r="KYZ117" s="199"/>
      <c r="KZA117" s="198"/>
      <c r="KZB117" s="199"/>
      <c r="KZC117" s="198"/>
      <c r="KZD117" s="199"/>
      <c r="KZE117" s="198"/>
      <c r="KZF117" s="199"/>
      <c r="KZG117" s="198"/>
      <c r="KZH117" s="199"/>
      <c r="KZI117" s="198"/>
      <c r="KZJ117" s="199"/>
      <c r="KZK117" s="198"/>
      <c r="KZL117" s="199"/>
      <c r="KZM117" s="198"/>
      <c r="KZN117" s="199"/>
      <c r="KZO117" s="198"/>
      <c r="KZP117" s="199"/>
      <c r="KZQ117" s="198"/>
      <c r="KZR117" s="199"/>
      <c r="KZS117" s="198"/>
      <c r="KZT117" s="199"/>
      <c r="KZU117" s="198"/>
      <c r="KZV117" s="199"/>
      <c r="KZW117" s="198"/>
      <c r="KZX117" s="199"/>
      <c r="KZY117" s="198"/>
      <c r="KZZ117" s="199"/>
      <c r="LAA117" s="198"/>
      <c r="LAB117" s="199"/>
      <c r="LAC117" s="198"/>
      <c r="LAD117" s="199"/>
      <c r="LAE117" s="198"/>
      <c r="LAF117" s="199"/>
      <c r="LAG117" s="198"/>
      <c r="LAH117" s="199"/>
      <c r="LAI117" s="198"/>
      <c r="LAJ117" s="199"/>
      <c r="LAK117" s="198"/>
      <c r="LAL117" s="199"/>
      <c r="LAM117" s="198"/>
      <c r="LAN117" s="199"/>
      <c r="LAO117" s="198"/>
      <c r="LAP117" s="199"/>
      <c r="LAQ117" s="198"/>
      <c r="LAR117" s="199"/>
      <c r="LAS117" s="198"/>
      <c r="LAT117" s="199"/>
      <c r="LAU117" s="198"/>
      <c r="LAV117" s="199"/>
      <c r="LAW117" s="198"/>
      <c r="LAX117" s="199"/>
      <c r="LAY117" s="198"/>
      <c r="LAZ117" s="199"/>
      <c r="LBA117" s="198"/>
      <c r="LBB117" s="199"/>
      <c r="LBC117" s="198"/>
      <c r="LBD117" s="199"/>
      <c r="LBE117" s="198"/>
      <c r="LBF117" s="199"/>
      <c r="LBG117" s="198"/>
      <c r="LBH117" s="199"/>
      <c r="LBI117" s="198"/>
      <c r="LBJ117" s="199"/>
      <c r="LBK117" s="198"/>
      <c r="LBL117" s="199"/>
      <c r="LBM117" s="198"/>
      <c r="LBN117" s="199"/>
      <c r="LBO117" s="198"/>
      <c r="LBP117" s="199"/>
      <c r="LBQ117" s="198"/>
      <c r="LBR117" s="199"/>
      <c r="LBS117" s="198"/>
      <c r="LBT117" s="199"/>
      <c r="LBU117" s="198"/>
      <c r="LBV117" s="199"/>
      <c r="LBW117" s="198"/>
      <c r="LBX117" s="199"/>
      <c r="LBY117" s="198"/>
      <c r="LBZ117" s="199"/>
      <c r="LCA117" s="198"/>
      <c r="LCB117" s="199"/>
      <c r="LCC117" s="198"/>
      <c r="LCD117" s="199"/>
      <c r="LCE117" s="198"/>
      <c r="LCF117" s="199"/>
      <c r="LCG117" s="198"/>
      <c r="LCH117" s="199"/>
      <c r="LCI117" s="198"/>
      <c r="LCJ117" s="199"/>
      <c r="LCK117" s="198"/>
      <c r="LCL117" s="199"/>
      <c r="LCM117" s="198"/>
      <c r="LCN117" s="199"/>
      <c r="LCO117" s="198"/>
      <c r="LCP117" s="199"/>
      <c r="LCQ117" s="198"/>
      <c r="LCR117" s="199"/>
      <c r="LCS117" s="198"/>
      <c r="LCT117" s="199"/>
      <c r="LCU117" s="198"/>
      <c r="LCV117" s="199"/>
      <c r="LCW117" s="198"/>
      <c r="LCX117" s="199"/>
      <c r="LCY117" s="198"/>
      <c r="LCZ117" s="199"/>
      <c r="LDA117" s="198"/>
      <c r="LDB117" s="199"/>
      <c r="LDC117" s="198"/>
      <c r="LDD117" s="199"/>
      <c r="LDE117" s="198"/>
      <c r="LDF117" s="199"/>
      <c r="LDG117" s="198"/>
      <c r="LDH117" s="199"/>
      <c r="LDI117" s="198"/>
      <c r="LDJ117" s="199"/>
      <c r="LDK117" s="198"/>
      <c r="LDL117" s="199"/>
      <c r="LDM117" s="198"/>
      <c r="LDN117" s="199"/>
      <c r="LDO117" s="198"/>
      <c r="LDP117" s="199"/>
      <c r="LDQ117" s="198"/>
      <c r="LDR117" s="199"/>
      <c r="LDS117" s="198"/>
      <c r="LDT117" s="199"/>
      <c r="LDU117" s="198"/>
      <c r="LDV117" s="199"/>
      <c r="LDW117" s="198"/>
      <c r="LDX117" s="199"/>
      <c r="LDY117" s="198"/>
      <c r="LDZ117" s="199"/>
      <c r="LEA117" s="198"/>
      <c r="LEB117" s="199"/>
      <c r="LEC117" s="198"/>
      <c r="LED117" s="199"/>
      <c r="LEE117" s="198"/>
      <c r="LEF117" s="199"/>
      <c r="LEG117" s="198"/>
      <c r="LEH117" s="199"/>
      <c r="LEI117" s="198"/>
      <c r="LEJ117" s="199"/>
      <c r="LEK117" s="198"/>
      <c r="LEL117" s="199"/>
      <c r="LEM117" s="198"/>
      <c r="LEN117" s="199"/>
      <c r="LEO117" s="198"/>
      <c r="LEP117" s="199"/>
      <c r="LEQ117" s="198"/>
      <c r="LER117" s="199"/>
      <c r="LES117" s="198"/>
      <c r="LET117" s="199"/>
      <c r="LEU117" s="198"/>
      <c r="LEV117" s="199"/>
      <c r="LEW117" s="198"/>
      <c r="LEX117" s="199"/>
      <c r="LEY117" s="198"/>
      <c r="LEZ117" s="199"/>
      <c r="LFA117" s="198"/>
      <c r="LFB117" s="199"/>
      <c r="LFC117" s="198"/>
      <c r="LFD117" s="199"/>
      <c r="LFE117" s="198"/>
      <c r="LFF117" s="199"/>
      <c r="LFG117" s="198"/>
      <c r="LFH117" s="199"/>
      <c r="LFI117" s="198"/>
      <c r="LFJ117" s="199"/>
      <c r="LFK117" s="198"/>
      <c r="LFL117" s="199"/>
      <c r="LFM117" s="198"/>
      <c r="LFN117" s="199"/>
      <c r="LFO117" s="198"/>
      <c r="LFP117" s="199"/>
      <c r="LFQ117" s="198"/>
      <c r="LFR117" s="199"/>
      <c r="LFS117" s="198"/>
      <c r="LFT117" s="199"/>
      <c r="LFU117" s="198"/>
      <c r="LFV117" s="199"/>
      <c r="LFW117" s="198"/>
      <c r="LFX117" s="199"/>
      <c r="LFY117" s="198"/>
      <c r="LFZ117" s="199"/>
      <c r="LGA117" s="198"/>
      <c r="LGB117" s="199"/>
      <c r="LGC117" s="198"/>
      <c r="LGD117" s="199"/>
      <c r="LGE117" s="198"/>
      <c r="LGF117" s="199"/>
      <c r="LGG117" s="198"/>
      <c r="LGH117" s="199"/>
      <c r="LGI117" s="198"/>
      <c r="LGJ117" s="199"/>
      <c r="LGK117" s="198"/>
      <c r="LGL117" s="199"/>
      <c r="LGM117" s="198"/>
      <c r="LGN117" s="199"/>
      <c r="LGO117" s="198"/>
      <c r="LGP117" s="199"/>
      <c r="LGQ117" s="198"/>
      <c r="LGR117" s="199"/>
      <c r="LGS117" s="198"/>
      <c r="LGT117" s="199"/>
      <c r="LGU117" s="198"/>
      <c r="LGV117" s="199"/>
      <c r="LGW117" s="198"/>
      <c r="LGX117" s="199"/>
      <c r="LGY117" s="198"/>
      <c r="LGZ117" s="199"/>
      <c r="LHA117" s="198"/>
      <c r="LHB117" s="199"/>
      <c r="LHC117" s="198"/>
      <c r="LHD117" s="199"/>
      <c r="LHE117" s="198"/>
      <c r="LHF117" s="199"/>
      <c r="LHG117" s="198"/>
      <c r="LHH117" s="199"/>
      <c r="LHI117" s="198"/>
      <c r="LHJ117" s="199"/>
      <c r="LHK117" s="198"/>
      <c r="LHL117" s="199"/>
      <c r="LHM117" s="198"/>
      <c r="LHN117" s="199"/>
      <c r="LHO117" s="198"/>
      <c r="LHP117" s="199"/>
      <c r="LHQ117" s="198"/>
      <c r="LHR117" s="199"/>
      <c r="LHS117" s="198"/>
      <c r="LHT117" s="199"/>
      <c r="LHU117" s="198"/>
      <c r="LHV117" s="199"/>
      <c r="LHW117" s="198"/>
      <c r="LHX117" s="199"/>
      <c r="LHY117" s="198"/>
      <c r="LHZ117" s="199"/>
      <c r="LIA117" s="198"/>
      <c r="LIB117" s="199"/>
      <c r="LIC117" s="198"/>
      <c r="LID117" s="199"/>
      <c r="LIE117" s="198"/>
      <c r="LIF117" s="199"/>
      <c r="LIG117" s="198"/>
      <c r="LIH117" s="199"/>
      <c r="LII117" s="198"/>
      <c r="LIJ117" s="199"/>
      <c r="LIK117" s="198"/>
      <c r="LIL117" s="199"/>
      <c r="LIM117" s="198"/>
      <c r="LIN117" s="199"/>
      <c r="LIO117" s="198"/>
      <c r="LIP117" s="199"/>
      <c r="LIQ117" s="198"/>
      <c r="LIR117" s="199"/>
      <c r="LIS117" s="198"/>
      <c r="LIT117" s="199"/>
      <c r="LIU117" s="198"/>
      <c r="LIV117" s="199"/>
      <c r="LIW117" s="198"/>
      <c r="LIX117" s="199"/>
      <c r="LIY117" s="198"/>
      <c r="LIZ117" s="199"/>
      <c r="LJA117" s="198"/>
      <c r="LJB117" s="199"/>
      <c r="LJC117" s="198"/>
      <c r="LJD117" s="199"/>
      <c r="LJE117" s="198"/>
      <c r="LJF117" s="199"/>
      <c r="LJG117" s="198"/>
      <c r="LJH117" s="199"/>
      <c r="LJI117" s="198"/>
      <c r="LJJ117" s="199"/>
      <c r="LJK117" s="198"/>
      <c r="LJL117" s="199"/>
      <c r="LJM117" s="198"/>
      <c r="LJN117" s="199"/>
      <c r="LJO117" s="198"/>
      <c r="LJP117" s="199"/>
      <c r="LJQ117" s="198"/>
      <c r="LJR117" s="199"/>
      <c r="LJS117" s="198"/>
      <c r="LJT117" s="199"/>
      <c r="LJU117" s="198"/>
      <c r="LJV117" s="199"/>
      <c r="LJW117" s="198"/>
      <c r="LJX117" s="199"/>
      <c r="LJY117" s="198"/>
      <c r="LJZ117" s="199"/>
      <c r="LKA117" s="198"/>
      <c r="LKB117" s="199"/>
      <c r="LKC117" s="198"/>
      <c r="LKD117" s="199"/>
      <c r="LKE117" s="198"/>
      <c r="LKF117" s="199"/>
      <c r="LKG117" s="198"/>
      <c r="LKH117" s="199"/>
      <c r="LKI117" s="198"/>
      <c r="LKJ117" s="199"/>
      <c r="LKK117" s="198"/>
      <c r="LKL117" s="199"/>
      <c r="LKM117" s="198"/>
      <c r="LKN117" s="199"/>
      <c r="LKO117" s="198"/>
      <c r="LKP117" s="199"/>
      <c r="LKQ117" s="198"/>
      <c r="LKR117" s="199"/>
      <c r="LKS117" s="198"/>
      <c r="LKT117" s="199"/>
      <c r="LKU117" s="198"/>
      <c r="LKV117" s="199"/>
      <c r="LKW117" s="198"/>
      <c r="LKX117" s="199"/>
      <c r="LKY117" s="198"/>
      <c r="LKZ117" s="199"/>
      <c r="LLA117" s="198"/>
      <c r="LLB117" s="199"/>
      <c r="LLC117" s="198"/>
      <c r="LLD117" s="199"/>
      <c r="LLE117" s="198"/>
      <c r="LLF117" s="199"/>
      <c r="LLG117" s="198"/>
      <c r="LLH117" s="199"/>
      <c r="LLI117" s="198"/>
      <c r="LLJ117" s="199"/>
      <c r="LLK117" s="198"/>
      <c r="LLL117" s="199"/>
      <c r="LLM117" s="198"/>
      <c r="LLN117" s="199"/>
      <c r="LLO117" s="198"/>
      <c r="LLP117" s="199"/>
      <c r="LLQ117" s="198"/>
      <c r="LLR117" s="199"/>
      <c r="LLS117" s="198"/>
      <c r="LLT117" s="199"/>
      <c r="LLU117" s="198"/>
      <c r="LLV117" s="199"/>
      <c r="LLW117" s="198"/>
      <c r="LLX117" s="199"/>
      <c r="LLY117" s="198"/>
      <c r="LLZ117" s="199"/>
      <c r="LMA117" s="198"/>
      <c r="LMB117" s="199"/>
      <c r="LMC117" s="198"/>
      <c r="LMD117" s="199"/>
      <c r="LME117" s="198"/>
      <c r="LMF117" s="199"/>
      <c r="LMG117" s="198"/>
      <c r="LMH117" s="199"/>
      <c r="LMI117" s="198"/>
      <c r="LMJ117" s="199"/>
      <c r="LMK117" s="198"/>
      <c r="LML117" s="199"/>
      <c r="LMM117" s="198"/>
      <c r="LMN117" s="199"/>
      <c r="LMO117" s="198"/>
      <c r="LMP117" s="199"/>
      <c r="LMQ117" s="198"/>
      <c r="LMR117" s="199"/>
      <c r="LMS117" s="198"/>
      <c r="LMT117" s="199"/>
      <c r="LMU117" s="198"/>
      <c r="LMV117" s="199"/>
      <c r="LMW117" s="198"/>
      <c r="LMX117" s="199"/>
      <c r="LMY117" s="198"/>
      <c r="LMZ117" s="199"/>
      <c r="LNA117" s="198"/>
      <c r="LNB117" s="199"/>
      <c r="LNC117" s="198"/>
      <c r="LND117" s="199"/>
      <c r="LNE117" s="198"/>
      <c r="LNF117" s="199"/>
      <c r="LNG117" s="198"/>
      <c r="LNH117" s="199"/>
      <c r="LNI117" s="198"/>
      <c r="LNJ117" s="199"/>
      <c r="LNK117" s="198"/>
      <c r="LNL117" s="199"/>
      <c r="LNM117" s="198"/>
      <c r="LNN117" s="199"/>
      <c r="LNO117" s="198"/>
      <c r="LNP117" s="199"/>
      <c r="LNQ117" s="198"/>
      <c r="LNR117" s="199"/>
      <c r="LNS117" s="198"/>
      <c r="LNT117" s="199"/>
      <c r="LNU117" s="198"/>
      <c r="LNV117" s="199"/>
      <c r="LNW117" s="198"/>
      <c r="LNX117" s="199"/>
      <c r="LNY117" s="198"/>
      <c r="LNZ117" s="199"/>
      <c r="LOA117" s="198"/>
      <c r="LOB117" s="199"/>
      <c r="LOC117" s="198"/>
      <c r="LOD117" s="199"/>
      <c r="LOE117" s="198"/>
      <c r="LOF117" s="199"/>
      <c r="LOG117" s="198"/>
      <c r="LOH117" s="199"/>
      <c r="LOI117" s="198"/>
      <c r="LOJ117" s="199"/>
      <c r="LOK117" s="198"/>
      <c r="LOL117" s="199"/>
      <c r="LOM117" s="198"/>
      <c r="LON117" s="199"/>
      <c r="LOO117" s="198"/>
      <c r="LOP117" s="199"/>
      <c r="LOQ117" s="198"/>
      <c r="LOR117" s="199"/>
      <c r="LOS117" s="198"/>
      <c r="LOT117" s="199"/>
      <c r="LOU117" s="198"/>
      <c r="LOV117" s="199"/>
      <c r="LOW117" s="198"/>
      <c r="LOX117" s="199"/>
      <c r="LOY117" s="198"/>
      <c r="LOZ117" s="199"/>
      <c r="LPA117" s="198"/>
      <c r="LPB117" s="199"/>
      <c r="LPC117" s="198"/>
      <c r="LPD117" s="199"/>
      <c r="LPE117" s="198"/>
      <c r="LPF117" s="199"/>
      <c r="LPG117" s="198"/>
      <c r="LPH117" s="199"/>
      <c r="LPI117" s="198"/>
      <c r="LPJ117" s="199"/>
      <c r="LPK117" s="198"/>
      <c r="LPL117" s="199"/>
      <c r="LPM117" s="198"/>
      <c r="LPN117" s="199"/>
      <c r="LPO117" s="198"/>
      <c r="LPP117" s="199"/>
      <c r="LPQ117" s="198"/>
      <c r="LPR117" s="199"/>
      <c r="LPS117" s="198"/>
      <c r="LPT117" s="199"/>
      <c r="LPU117" s="198"/>
      <c r="LPV117" s="199"/>
      <c r="LPW117" s="198"/>
      <c r="LPX117" s="199"/>
      <c r="LPY117" s="198"/>
      <c r="LPZ117" s="199"/>
      <c r="LQA117" s="198"/>
      <c r="LQB117" s="199"/>
      <c r="LQC117" s="198"/>
      <c r="LQD117" s="199"/>
      <c r="LQE117" s="198"/>
      <c r="LQF117" s="199"/>
      <c r="LQG117" s="198"/>
      <c r="LQH117" s="199"/>
      <c r="LQI117" s="198"/>
      <c r="LQJ117" s="199"/>
      <c r="LQK117" s="198"/>
      <c r="LQL117" s="199"/>
      <c r="LQM117" s="198"/>
      <c r="LQN117" s="199"/>
      <c r="LQO117" s="198"/>
      <c r="LQP117" s="199"/>
      <c r="LQQ117" s="198"/>
      <c r="LQR117" s="199"/>
      <c r="LQS117" s="198"/>
      <c r="LQT117" s="199"/>
      <c r="LQU117" s="198"/>
      <c r="LQV117" s="199"/>
      <c r="LQW117" s="198"/>
      <c r="LQX117" s="199"/>
      <c r="LQY117" s="198"/>
      <c r="LQZ117" s="199"/>
      <c r="LRA117" s="198"/>
      <c r="LRB117" s="199"/>
      <c r="LRC117" s="198"/>
      <c r="LRD117" s="199"/>
      <c r="LRE117" s="198"/>
      <c r="LRF117" s="199"/>
      <c r="LRG117" s="198"/>
      <c r="LRH117" s="199"/>
      <c r="LRI117" s="198"/>
      <c r="LRJ117" s="199"/>
      <c r="LRK117" s="198"/>
      <c r="LRL117" s="199"/>
      <c r="LRM117" s="198"/>
      <c r="LRN117" s="199"/>
      <c r="LRO117" s="198"/>
      <c r="LRP117" s="199"/>
      <c r="LRQ117" s="198"/>
      <c r="LRR117" s="199"/>
      <c r="LRS117" s="198"/>
      <c r="LRT117" s="199"/>
      <c r="LRU117" s="198"/>
      <c r="LRV117" s="199"/>
      <c r="LRW117" s="198"/>
      <c r="LRX117" s="199"/>
      <c r="LRY117" s="198"/>
      <c r="LRZ117" s="199"/>
      <c r="LSA117" s="198"/>
      <c r="LSB117" s="199"/>
      <c r="LSC117" s="198"/>
      <c r="LSD117" s="199"/>
      <c r="LSE117" s="198"/>
      <c r="LSF117" s="199"/>
      <c r="LSG117" s="198"/>
      <c r="LSH117" s="199"/>
      <c r="LSI117" s="198"/>
      <c r="LSJ117" s="199"/>
      <c r="LSK117" s="198"/>
      <c r="LSL117" s="199"/>
      <c r="LSM117" s="198"/>
      <c r="LSN117" s="199"/>
      <c r="LSO117" s="198"/>
      <c r="LSP117" s="199"/>
      <c r="LSQ117" s="198"/>
      <c r="LSR117" s="199"/>
      <c r="LSS117" s="198"/>
      <c r="LST117" s="199"/>
      <c r="LSU117" s="198"/>
      <c r="LSV117" s="199"/>
      <c r="LSW117" s="198"/>
      <c r="LSX117" s="199"/>
      <c r="LSY117" s="198"/>
      <c r="LSZ117" s="199"/>
      <c r="LTA117" s="198"/>
      <c r="LTB117" s="199"/>
      <c r="LTC117" s="198"/>
      <c r="LTD117" s="199"/>
      <c r="LTE117" s="198"/>
      <c r="LTF117" s="199"/>
      <c r="LTG117" s="198"/>
      <c r="LTH117" s="199"/>
      <c r="LTI117" s="198"/>
      <c r="LTJ117" s="199"/>
      <c r="LTK117" s="198"/>
      <c r="LTL117" s="199"/>
      <c r="LTM117" s="198"/>
      <c r="LTN117" s="199"/>
      <c r="LTO117" s="198"/>
      <c r="LTP117" s="199"/>
      <c r="LTQ117" s="198"/>
      <c r="LTR117" s="199"/>
      <c r="LTS117" s="198"/>
      <c r="LTT117" s="199"/>
      <c r="LTU117" s="198"/>
      <c r="LTV117" s="199"/>
      <c r="LTW117" s="198"/>
      <c r="LTX117" s="199"/>
      <c r="LTY117" s="198"/>
      <c r="LTZ117" s="199"/>
      <c r="LUA117" s="198"/>
      <c r="LUB117" s="199"/>
      <c r="LUC117" s="198"/>
      <c r="LUD117" s="199"/>
      <c r="LUE117" s="198"/>
      <c r="LUF117" s="199"/>
      <c r="LUG117" s="198"/>
      <c r="LUH117" s="199"/>
      <c r="LUI117" s="198"/>
      <c r="LUJ117" s="199"/>
      <c r="LUK117" s="198"/>
      <c r="LUL117" s="199"/>
      <c r="LUM117" s="198"/>
      <c r="LUN117" s="199"/>
      <c r="LUO117" s="198"/>
      <c r="LUP117" s="199"/>
      <c r="LUQ117" s="198"/>
      <c r="LUR117" s="199"/>
      <c r="LUS117" s="198"/>
      <c r="LUT117" s="199"/>
      <c r="LUU117" s="198"/>
      <c r="LUV117" s="199"/>
      <c r="LUW117" s="198"/>
      <c r="LUX117" s="199"/>
      <c r="LUY117" s="198"/>
      <c r="LUZ117" s="199"/>
      <c r="LVA117" s="198"/>
      <c r="LVB117" s="199"/>
      <c r="LVC117" s="198"/>
      <c r="LVD117" s="199"/>
      <c r="LVE117" s="198"/>
      <c r="LVF117" s="199"/>
      <c r="LVG117" s="198"/>
      <c r="LVH117" s="199"/>
      <c r="LVI117" s="198"/>
      <c r="LVJ117" s="199"/>
      <c r="LVK117" s="198"/>
      <c r="LVL117" s="199"/>
      <c r="LVM117" s="198"/>
      <c r="LVN117" s="199"/>
      <c r="LVO117" s="198"/>
      <c r="LVP117" s="199"/>
      <c r="LVQ117" s="198"/>
      <c r="LVR117" s="199"/>
      <c r="LVS117" s="198"/>
      <c r="LVT117" s="199"/>
      <c r="LVU117" s="198"/>
      <c r="LVV117" s="199"/>
      <c r="LVW117" s="198"/>
      <c r="LVX117" s="199"/>
      <c r="LVY117" s="198"/>
      <c r="LVZ117" s="199"/>
      <c r="LWA117" s="198"/>
      <c r="LWB117" s="199"/>
      <c r="LWC117" s="198"/>
      <c r="LWD117" s="199"/>
      <c r="LWE117" s="198"/>
      <c r="LWF117" s="199"/>
      <c r="LWG117" s="198"/>
      <c r="LWH117" s="199"/>
      <c r="LWI117" s="198"/>
      <c r="LWJ117" s="199"/>
      <c r="LWK117" s="198"/>
      <c r="LWL117" s="199"/>
      <c r="LWM117" s="198"/>
      <c r="LWN117" s="199"/>
      <c r="LWO117" s="198"/>
      <c r="LWP117" s="199"/>
      <c r="LWQ117" s="198"/>
      <c r="LWR117" s="199"/>
      <c r="LWS117" s="198"/>
      <c r="LWT117" s="199"/>
      <c r="LWU117" s="198"/>
      <c r="LWV117" s="199"/>
      <c r="LWW117" s="198"/>
      <c r="LWX117" s="199"/>
      <c r="LWY117" s="198"/>
      <c r="LWZ117" s="199"/>
      <c r="LXA117" s="198"/>
      <c r="LXB117" s="199"/>
      <c r="LXC117" s="198"/>
      <c r="LXD117" s="199"/>
      <c r="LXE117" s="198"/>
      <c r="LXF117" s="199"/>
      <c r="LXG117" s="198"/>
      <c r="LXH117" s="199"/>
      <c r="LXI117" s="198"/>
      <c r="LXJ117" s="199"/>
      <c r="LXK117" s="198"/>
      <c r="LXL117" s="199"/>
      <c r="LXM117" s="198"/>
      <c r="LXN117" s="199"/>
      <c r="LXO117" s="198"/>
      <c r="LXP117" s="199"/>
      <c r="LXQ117" s="198"/>
      <c r="LXR117" s="199"/>
      <c r="LXS117" s="198"/>
      <c r="LXT117" s="199"/>
      <c r="LXU117" s="198"/>
      <c r="LXV117" s="199"/>
      <c r="LXW117" s="198"/>
      <c r="LXX117" s="199"/>
      <c r="LXY117" s="198"/>
      <c r="LXZ117" s="199"/>
      <c r="LYA117" s="198"/>
      <c r="LYB117" s="199"/>
      <c r="LYC117" s="198"/>
      <c r="LYD117" s="199"/>
      <c r="LYE117" s="198"/>
      <c r="LYF117" s="199"/>
      <c r="LYG117" s="198"/>
      <c r="LYH117" s="199"/>
      <c r="LYI117" s="198"/>
      <c r="LYJ117" s="199"/>
      <c r="LYK117" s="198"/>
      <c r="LYL117" s="199"/>
      <c r="LYM117" s="198"/>
      <c r="LYN117" s="199"/>
      <c r="LYO117" s="198"/>
      <c r="LYP117" s="199"/>
      <c r="LYQ117" s="198"/>
      <c r="LYR117" s="199"/>
      <c r="LYS117" s="198"/>
      <c r="LYT117" s="199"/>
      <c r="LYU117" s="198"/>
      <c r="LYV117" s="199"/>
      <c r="LYW117" s="198"/>
      <c r="LYX117" s="199"/>
      <c r="LYY117" s="198"/>
      <c r="LYZ117" s="199"/>
      <c r="LZA117" s="198"/>
      <c r="LZB117" s="199"/>
      <c r="LZC117" s="198"/>
      <c r="LZD117" s="199"/>
      <c r="LZE117" s="198"/>
      <c r="LZF117" s="199"/>
      <c r="LZG117" s="198"/>
      <c r="LZH117" s="199"/>
      <c r="LZI117" s="198"/>
      <c r="LZJ117" s="199"/>
      <c r="LZK117" s="198"/>
      <c r="LZL117" s="199"/>
      <c r="LZM117" s="198"/>
      <c r="LZN117" s="199"/>
      <c r="LZO117" s="198"/>
      <c r="LZP117" s="199"/>
      <c r="LZQ117" s="198"/>
      <c r="LZR117" s="199"/>
      <c r="LZS117" s="198"/>
      <c r="LZT117" s="199"/>
      <c r="LZU117" s="198"/>
      <c r="LZV117" s="199"/>
      <c r="LZW117" s="198"/>
      <c r="LZX117" s="199"/>
      <c r="LZY117" s="198"/>
      <c r="LZZ117" s="199"/>
      <c r="MAA117" s="198"/>
      <c r="MAB117" s="199"/>
      <c r="MAC117" s="198"/>
      <c r="MAD117" s="199"/>
      <c r="MAE117" s="198"/>
      <c r="MAF117" s="199"/>
      <c r="MAG117" s="198"/>
      <c r="MAH117" s="199"/>
      <c r="MAI117" s="198"/>
      <c r="MAJ117" s="199"/>
      <c r="MAK117" s="198"/>
      <c r="MAL117" s="199"/>
      <c r="MAM117" s="198"/>
      <c r="MAN117" s="199"/>
      <c r="MAO117" s="198"/>
      <c r="MAP117" s="199"/>
      <c r="MAQ117" s="198"/>
      <c r="MAR117" s="199"/>
      <c r="MAS117" s="198"/>
      <c r="MAT117" s="199"/>
      <c r="MAU117" s="198"/>
      <c r="MAV117" s="199"/>
      <c r="MAW117" s="198"/>
      <c r="MAX117" s="199"/>
      <c r="MAY117" s="198"/>
      <c r="MAZ117" s="199"/>
      <c r="MBA117" s="198"/>
      <c r="MBB117" s="199"/>
      <c r="MBC117" s="198"/>
      <c r="MBD117" s="199"/>
      <c r="MBE117" s="198"/>
      <c r="MBF117" s="199"/>
      <c r="MBG117" s="198"/>
      <c r="MBH117" s="199"/>
      <c r="MBI117" s="198"/>
      <c r="MBJ117" s="199"/>
      <c r="MBK117" s="198"/>
      <c r="MBL117" s="199"/>
      <c r="MBM117" s="198"/>
      <c r="MBN117" s="199"/>
      <c r="MBO117" s="198"/>
      <c r="MBP117" s="199"/>
      <c r="MBQ117" s="198"/>
      <c r="MBR117" s="199"/>
      <c r="MBS117" s="198"/>
      <c r="MBT117" s="199"/>
      <c r="MBU117" s="198"/>
      <c r="MBV117" s="199"/>
      <c r="MBW117" s="198"/>
      <c r="MBX117" s="199"/>
      <c r="MBY117" s="198"/>
      <c r="MBZ117" s="199"/>
      <c r="MCA117" s="198"/>
      <c r="MCB117" s="199"/>
      <c r="MCC117" s="198"/>
      <c r="MCD117" s="199"/>
      <c r="MCE117" s="198"/>
      <c r="MCF117" s="199"/>
      <c r="MCG117" s="198"/>
      <c r="MCH117" s="199"/>
      <c r="MCI117" s="198"/>
      <c r="MCJ117" s="199"/>
      <c r="MCK117" s="198"/>
      <c r="MCL117" s="199"/>
      <c r="MCM117" s="198"/>
      <c r="MCN117" s="199"/>
      <c r="MCO117" s="198"/>
      <c r="MCP117" s="199"/>
      <c r="MCQ117" s="198"/>
      <c r="MCR117" s="199"/>
      <c r="MCS117" s="198"/>
      <c r="MCT117" s="199"/>
      <c r="MCU117" s="198"/>
      <c r="MCV117" s="199"/>
      <c r="MCW117" s="198"/>
      <c r="MCX117" s="199"/>
      <c r="MCY117" s="198"/>
      <c r="MCZ117" s="199"/>
      <c r="MDA117" s="198"/>
      <c r="MDB117" s="199"/>
      <c r="MDC117" s="198"/>
      <c r="MDD117" s="199"/>
      <c r="MDE117" s="198"/>
      <c r="MDF117" s="199"/>
      <c r="MDG117" s="198"/>
      <c r="MDH117" s="199"/>
      <c r="MDI117" s="198"/>
      <c r="MDJ117" s="199"/>
      <c r="MDK117" s="198"/>
      <c r="MDL117" s="199"/>
      <c r="MDM117" s="198"/>
      <c r="MDN117" s="199"/>
      <c r="MDO117" s="198"/>
      <c r="MDP117" s="199"/>
      <c r="MDQ117" s="198"/>
      <c r="MDR117" s="199"/>
      <c r="MDS117" s="198"/>
      <c r="MDT117" s="199"/>
      <c r="MDU117" s="198"/>
      <c r="MDV117" s="199"/>
      <c r="MDW117" s="198"/>
      <c r="MDX117" s="199"/>
      <c r="MDY117" s="198"/>
      <c r="MDZ117" s="199"/>
      <c r="MEA117" s="198"/>
      <c r="MEB117" s="199"/>
      <c r="MEC117" s="198"/>
      <c r="MED117" s="199"/>
      <c r="MEE117" s="198"/>
      <c r="MEF117" s="199"/>
      <c r="MEG117" s="198"/>
      <c r="MEH117" s="199"/>
      <c r="MEI117" s="198"/>
      <c r="MEJ117" s="199"/>
      <c r="MEK117" s="198"/>
      <c r="MEL117" s="199"/>
      <c r="MEM117" s="198"/>
      <c r="MEN117" s="199"/>
      <c r="MEO117" s="198"/>
      <c r="MEP117" s="199"/>
      <c r="MEQ117" s="198"/>
      <c r="MER117" s="199"/>
      <c r="MES117" s="198"/>
      <c r="MET117" s="199"/>
      <c r="MEU117" s="198"/>
      <c r="MEV117" s="199"/>
      <c r="MEW117" s="198"/>
      <c r="MEX117" s="199"/>
      <c r="MEY117" s="198"/>
      <c r="MEZ117" s="199"/>
      <c r="MFA117" s="198"/>
      <c r="MFB117" s="199"/>
      <c r="MFC117" s="198"/>
      <c r="MFD117" s="199"/>
      <c r="MFE117" s="198"/>
      <c r="MFF117" s="199"/>
      <c r="MFG117" s="198"/>
      <c r="MFH117" s="199"/>
      <c r="MFI117" s="198"/>
      <c r="MFJ117" s="199"/>
      <c r="MFK117" s="198"/>
      <c r="MFL117" s="199"/>
      <c r="MFM117" s="198"/>
      <c r="MFN117" s="199"/>
      <c r="MFO117" s="198"/>
      <c r="MFP117" s="199"/>
      <c r="MFQ117" s="198"/>
      <c r="MFR117" s="199"/>
      <c r="MFS117" s="198"/>
      <c r="MFT117" s="199"/>
      <c r="MFU117" s="198"/>
      <c r="MFV117" s="199"/>
      <c r="MFW117" s="198"/>
      <c r="MFX117" s="199"/>
      <c r="MFY117" s="198"/>
      <c r="MFZ117" s="199"/>
      <c r="MGA117" s="198"/>
      <c r="MGB117" s="199"/>
      <c r="MGC117" s="198"/>
      <c r="MGD117" s="199"/>
      <c r="MGE117" s="198"/>
      <c r="MGF117" s="199"/>
      <c r="MGG117" s="198"/>
      <c r="MGH117" s="199"/>
      <c r="MGI117" s="198"/>
      <c r="MGJ117" s="199"/>
      <c r="MGK117" s="198"/>
      <c r="MGL117" s="199"/>
      <c r="MGM117" s="198"/>
      <c r="MGN117" s="199"/>
      <c r="MGO117" s="198"/>
      <c r="MGP117" s="199"/>
      <c r="MGQ117" s="198"/>
      <c r="MGR117" s="199"/>
      <c r="MGS117" s="198"/>
      <c r="MGT117" s="199"/>
      <c r="MGU117" s="198"/>
      <c r="MGV117" s="199"/>
      <c r="MGW117" s="198"/>
      <c r="MGX117" s="199"/>
      <c r="MGY117" s="198"/>
      <c r="MGZ117" s="199"/>
      <c r="MHA117" s="198"/>
      <c r="MHB117" s="199"/>
      <c r="MHC117" s="198"/>
      <c r="MHD117" s="199"/>
      <c r="MHE117" s="198"/>
      <c r="MHF117" s="199"/>
      <c r="MHG117" s="198"/>
      <c r="MHH117" s="199"/>
      <c r="MHI117" s="198"/>
      <c r="MHJ117" s="199"/>
      <c r="MHK117" s="198"/>
      <c r="MHL117" s="199"/>
      <c r="MHM117" s="198"/>
      <c r="MHN117" s="199"/>
      <c r="MHO117" s="198"/>
      <c r="MHP117" s="199"/>
      <c r="MHQ117" s="198"/>
      <c r="MHR117" s="199"/>
      <c r="MHS117" s="198"/>
      <c r="MHT117" s="199"/>
      <c r="MHU117" s="198"/>
      <c r="MHV117" s="199"/>
      <c r="MHW117" s="198"/>
      <c r="MHX117" s="199"/>
      <c r="MHY117" s="198"/>
      <c r="MHZ117" s="199"/>
      <c r="MIA117" s="198"/>
      <c r="MIB117" s="199"/>
      <c r="MIC117" s="198"/>
      <c r="MID117" s="199"/>
      <c r="MIE117" s="198"/>
      <c r="MIF117" s="199"/>
      <c r="MIG117" s="198"/>
      <c r="MIH117" s="199"/>
      <c r="MII117" s="198"/>
      <c r="MIJ117" s="199"/>
      <c r="MIK117" s="198"/>
      <c r="MIL117" s="199"/>
      <c r="MIM117" s="198"/>
      <c r="MIN117" s="199"/>
      <c r="MIO117" s="198"/>
      <c r="MIP117" s="199"/>
      <c r="MIQ117" s="198"/>
      <c r="MIR117" s="199"/>
      <c r="MIS117" s="198"/>
      <c r="MIT117" s="199"/>
      <c r="MIU117" s="198"/>
      <c r="MIV117" s="199"/>
      <c r="MIW117" s="198"/>
      <c r="MIX117" s="199"/>
      <c r="MIY117" s="198"/>
      <c r="MIZ117" s="199"/>
      <c r="MJA117" s="198"/>
      <c r="MJB117" s="199"/>
      <c r="MJC117" s="198"/>
      <c r="MJD117" s="199"/>
      <c r="MJE117" s="198"/>
      <c r="MJF117" s="199"/>
      <c r="MJG117" s="198"/>
      <c r="MJH117" s="199"/>
      <c r="MJI117" s="198"/>
      <c r="MJJ117" s="199"/>
      <c r="MJK117" s="198"/>
      <c r="MJL117" s="199"/>
      <c r="MJM117" s="198"/>
      <c r="MJN117" s="199"/>
      <c r="MJO117" s="198"/>
      <c r="MJP117" s="199"/>
      <c r="MJQ117" s="198"/>
      <c r="MJR117" s="199"/>
      <c r="MJS117" s="198"/>
      <c r="MJT117" s="199"/>
      <c r="MJU117" s="198"/>
      <c r="MJV117" s="199"/>
      <c r="MJW117" s="198"/>
      <c r="MJX117" s="199"/>
      <c r="MJY117" s="198"/>
      <c r="MJZ117" s="199"/>
      <c r="MKA117" s="198"/>
      <c r="MKB117" s="199"/>
      <c r="MKC117" s="198"/>
      <c r="MKD117" s="199"/>
      <c r="MKE117" s="198"/>
      <c r="MKF117" s="199"/>
      <c r="MKG117" s="198"/>
      <c r="MKH117" s="199"/>
      <c r="MKI117" s="198"/>
      <c r="MKJ117" s="199"/>
      <c r="MKK117" s="198"/>
      <c r="MKL117" s="199"/>
      <c r="MKM117" s="198"/>
      <c r="MKN117" s="199"/>
      <c r="MKO117" s="198"/>
      <c r="MKP117" s="199"/>
      <c r="MKQ117" s="198"/>
      <c r="MKR117" s="199"/>
      <c r="MKS117" s="198"/>
      <c r="MKT117" s="199"/>
      <c r="MKU117" s="198"/>
      <c r="MKV117" s="199"/>
      <c r="MKW117" s="198"/>
      <c r="MKX117" s="199"/>
      <c r="MKY117" s="198"/>
      <c r="MKZ117" s="199"/>
      <c r="MLA117" s="198"/>
      <c r="MLB117" s="199"/>
      <c r="MLC117" s="198"/>
      <c r="MLD117" s="199"/>
      <c r="MLE117" s="198"/>
      <c r="MLF117" s="199"/>
      <c r="MLG117" s="198"/>
      <c r="MLH117" s="199"/>
      <c r="MLI117" s="198"/>
      <c r="MLJ117" s="199"/>
      <c r="MLK117" s="198"/>
      <c r="MLL117" s="199"/>
      <c r="MLM117" s="198"/>
      <c r="MLN117" s="199"/>
      <c r="MLO117" s="198"/>
      <c r="MLP117" s="199"/>
      <c r="MLQ117" s="198"/>
      <c r="MLR117" s="199"/>
      <c r="MLS117" s="198"/>
      <c r="MLT117" s="199"/>
      <c r="MLU117" s="198"/>
      <c r="MLV117" s="199"/>
      <c r="MLW117" s="198"/>
      <c r="MLX117" s="199"/>
      <c r="MLY117" s="198"/>
      <c r="MLZ117" s="199"/>
      <c r="MMA117" s="198"/>
      <c r="MMB117" s="199"/>
      <c r="MMC117" s="198"/>
      <c r="MMD117" s="199"/>
      <c r="MME117" s="198"/>
      <c r="MMF117" s="199"/>
      <c r="MMG117" s="198"/>
      <c r="MMH117" s="199"/>
      <c r="MMI117" s="198"/>
      <c r="MMJ117" s="199"/>
      <c r="MMK117" s="198"/>
      <c r="MML117" s="199"/>
      <c r="MMM117" s="198"/>
      <c r="MMN117" s="199"/>
      <c r="MMO117" s="198"/>
      <c r="MMP117" s="199"/>
      <c r="MMQ117" s="198"/>
      <c r="MMR117" s="199"/>
      <c r="MMS117" s="198"/>
      <c r="MMT117" s="199"/>
      <c r="MMU117" s="198"/>
      <c r="MMV117" s="199"/>
      <c r="MMW117" s="198"/>
      <c r="MMX117" s="199"/>
      <c r="MMY117" s="198"/>
      <c r="MMZ117" s="199"/>
      <c r="MNA117" s="198"/>
      <c r="MNB117" s="199"/>
      <c r="MNC117" s="198"/>
      <c r="MND117" s="199"/>
      <c r="MNE117" s="198"/>
      <c r="MNF117" s="199"/>
      <c r="MNG117" s="198"/>
      <c r="MNH117" s="199"/>
      <c r="MNI117" s="198"/>
      <c r="MNJ117" s="199"/>
      <c r="MNK117" s="198"/>
      <c r="MNL117" s="199"/>
      <c r="MNM117" s="198"/>
      <c r="MNN117" s="199"/>
      <c r="MNO117" s="198"/>
      <c r="MNP117" s="199"/>
      <c r="MNQ117" s="198"/>
      <c r="MNR117" s="199"/>
      <c r="MNS117" s="198"/>
      <c r="MNT117" s="199"/>
      <c r="MNU117" s="198"/>
      <c r="MNV117" s="199"/>
      <c r="MNW117" s="198"/>
      <c r="MNX117" s="199"/>
      <c r="MNY117" s="198"/>
      <c r="MNZ117" s="199"/>
      <c r="MOA117" s="198"/>
      <c r="MOB117" s="199"/>
      <c r="MOC117" s="198"/>
      <c r="MOD117" s="199"/>
      <c r="MOE117" s="198"/>
      <c r="MOF117" s="199"/>
      <c r="MOG117" s="198"/>
      <c r="MOH117" s="199"/>
      <c r="MOI117" s="198"/>
      <c r="MOJ117" s="199"/>
      <c r="MOK117" s="198"/>
      <c r="MOL117" s="199"/>
      <c r="MOM117" s="198"/>
      <c r="MON117" s="199"/>
      <c r="MOO117" s="198"/>
      <c r="MOP117" s="199"/>
      <c r="MOQ117" s="198"/>
      <c r="MOR117" s="199"/>
      <c r="MOS117" s="198"/>
      <c r="MOT117" s="199"/>
      <c r="MOU117" s="198"/>
      <c r="MOV117" s="199"/>
      <c r="MOW117" s="198"/>
      <c r="MOX117" s="199"/>
      <c r="MOY117" s="198"/>
      <c r="MOZ117" s="199"/>
      <c r="MPA117" s="198"/>
      <c r="MPB117" s="199"/>
      <c r="MPC117" s="198"/>
      <c r="MPD117" s="199"/>
      <c r="MPE117" s="198"/>
      <c r="MPF117" s="199"/>
      <c r="MPG117" s="198"/>
      <c r="MPH117" s="199"/>
      <c r="MPI117" s="198"/>
      <c r="MPJ117" s="199"/>
      <c r="MPK117" s="198"/>
      <c r="MPL117" s="199"/>
      <c r="MPM117" s="198"/>
      <c r="MPN117" s="199"/>
      <c r="MPO117" s="198"/>
      <c r="MPP117" s="199"/>
      <c r="MPQ117" s="198"/>
      <c r="MPR117" s="199"/>
      <c r="MPS117" s="198"/>
      <c r="MPT117" s="199"/>
      <c r="MPU117" s="198"/>
      <c r="MPV117" s="199"/>
      <c r="MPW117" s="198"/>
      <c r="MPX117" s="199"/>
      <c r="MPY117" s="198"/>
      <c r="MPZ117" s="199"/>
      <c r="MQA117" s="198"/>
      <c r="MQB117" s="199"/>
      <c r="MQC117" s="198"/>
      <c r="MQD117" s="199"/>
      <c r="MQE117" s="198"/>
      <c r="MQF117" s="199"/>
      <c r="MQG117" s="198"/>
      <c r="MQH117" s="199"/>
      <c r="MQI117" s="198"/>
      <c r="MQJ117" s="199"/>
      <c r="MQK117" s="198"/>
      <c r="MQL117" s="199"/>
      <c r="MQM117" s="198"/>
      <c r="MQN117" s="199"/>
      <c r="MQO117" s="198"/>
      <c r="MQP117" s="199"/>
      <c r="MQQ117" s="198"/>
      <c r="MQR117" s="199"/>
      <c r="MQS117" s="198"/>
      <c r="MQT117" s="199"/>
      <c r="MQU117" s="198"/>
      <c r="MQV117" s="199"/>
      <c r="MQW117" s="198"/>
      <c r="MQX117" s="199"/>
      <c r="MQY117" s="198"/>
      <c r="MQZ117" s="199"/>
      <c r="MRA117" s="198"/>
      <c r="MRB117" s="199"/>
      <c r="MRC117" s="198"/>
      <c r="MRD117" s="199"/>
      <c r="MRE117" s="198"/>
      <c r="MRF117" s="199"/>
      <c r="MRG117" s="198"/>
      <c r="MRH117" s="199"/>
      <c r="MRI117" s="198"/>
      <c r="MRJ117" s="199"/>
      <c r="MRK117" s="198"/>
      <c r="MRL117" s="199"/>
      <c r="MRM117" s="198"/>
      <c r="MRN117" s="199"/>
      <c r="MRO117" s="198"/>
      <c r="MRP117" s="199"/>
      <c r="MRQ117" s="198"/>
      <c r="MRR117" s="199"/>
      <c r="MRS117" s="198"/>
      <c r="MRT117" s="199"/>
      <c r="MRU117" s="198"/>
      <c r="MRV117" s="199"/>
      <c r="MRW117" s="198"/>
      <c r="MRX117" s="199"/>
      <c r="MRY117" s="198"/>
      <c r="MRZ117" s="199"/>
      <c r="MSA117" s="198"/>
      <c r="MSB117" s="199"/>
      <c r="MSC117" s="198"/>
      <c r="MSD117" s="199"/>
      <c r="MSE117" s="198"/>
      <c r="MSF117" s="199"/>
      <c r="MSG117" s="198"/>
      <c r="MSH117" s="199"/>
      <c r="MSI117" s="198"/>
      <c r="MSJ117" s="199"/>
      <c r="MSK117" s="198"/>
      <c r="MSL117" s="199"/>
      <c r="MSM117" s="198"/>
      <c r="MSN117" s="199"/>
      <c r="MSO117" s="198"/>
      <c r="MSP117" s="199"/>
      <c r="MSQ117" s="198"/>
      <c r="MSR117" s="199"/>
      <c r="MSS117" s="198"/>
      <c r="MST117" s="199"/>
      <c r="MSU117" s="198"/>
      <c r="MSV117" s="199"/>
      <c r="MSW117" s="198"/>
      <c r="MSX117" s="199"/>
      <c r="MSY117" s="198"/>
      <c r="MSZ117" s="199"/>
      <c r="MTA117" s="198"/>
      <c r="MTB117" s="199"/>
      <c r="MTC117" s="198"/>
      <c r="MTD117" s="199"/>
      <c r="MTE117" s="198"/>
      <c r="MTF117" s="199"/>
      <c r="MTG117" s="198"/>
      <c r="MTH117" s="199"/>
      <c r="MTI117" s="198"/>
      <c r="MTJ117" s="199"/>
      <c r="MTK117" s="198"/>
      <c r="MTL117" s="199"/>
      <c r="MTM117" s="198"/>
      <c r="MTN117" s="199"/>
      <c r="MTO117" s="198"/>
      <c r="MTP117" s="199"/>
      <c r="MTQ117" s="198"/>
      <c r="MTR117" s="199"/>
      <c r="MTS117" s="198"/>
      <c r="MTT117" s="199"/>
      <c r="MTU117" s="198"/>
      <c r="MTV117" s="199"/>
      <c r="MTW117" s="198"/>
      <c r="MTX117" s="199"/>
      <c r="MTY117" s="198"/>
      <c r="MTZ117" s="199"/>
      <c r="MUA117" s="198"/>
      <c r="MUB117" s="199"/>
      <c r="MUC117" s="198"/>
      <c r="MUD117" s="199"/>
      <c r="MUE117" s="198"/>
      <c r="MUF117" s="199"/>
      <c r="MUG117" s="198"/>
      <c r="MUH117" s="199"/>
      <c r="MUI117" s="198"/>
      <c r="MUJ117" s="199"/>
      <c r="MUK117" s="198"/>
      <c r="MUL117" s="199"/>
      <c r="MUM117" s="198"/>
      <c r="MUN117" s="199"/>
      <c r="MUO117" s="198"/>
      <c r="MUP117" s="199"/>
      <c r="MUQ117" s="198"/>
      <c r="MUR117" s="199"/>
      <c r="MUS117" s="198"/>
      <c r="MUT117" s="199"/>
      <c r="MUU117" s="198"/>
      <c r="MUV117" s="199"/>
      <c r="MUW117" s="198"/>
      <c r="MUX117" s="199"/>
      <c r="MUY117" s="198"/>
      <c r="MUZ117" s="199"/>
      <c r="MVA117" s="198"/>
      <c r="MVB117" s="199"/>
      <c r="MVC117" s="198"/>
      <c r="MVD117" s="199"/>
      <c r="MVE117" s="198"/>
      <c r="MVF117" s="199"/>
      <c r="MVG117" s="198"/>
      <c r="MVH117" s="199"/>
      <c r="MVI117" s="198"/>
      <c r="MVJ117" s="199"/>
      <c r="MVK117" s="198"/>
      <c r="MVL117" s="199"/>
      <c r="MVM117" s="198"/>
      <c r="MVN117" s="199"/>
      <c r="MVO117" s="198"/>
      <c r="MVP117" s="199"/>
      <c r="MVQ117" s="198"/>
      <c r="MVR117" s="199"/>
      <c r="MVS117" s="198"/>
      <c r="MVT117" s="199"/>
      <c r="MVU117" s="198"/>
      <c r="MVV117" s="199"/>
      <c r="MVW117" s="198"/>
      <c r="MVX117" s="199"/>
      <c r="MVY117" s="198"/>
      <c r="MVZ117" s="199"/>
      <c r="MWA117" s="198"/>
      <c r="MWB117" s="199"/>
      <c r="MWC117" s="198"/>
      <c r="MWD117" s="199"/>
      <c r="MWE117" s="198"/>
      <c r="MWF117" s="199"/>
      <c r="MWG117" s="198"/>
      <c r="MWH117" s="199"/>
      <c r="MWI117" s="198"/>
      <c r="MWJ117" s="199"/>
      <c r="MWK117" s="198"/>
      <c r="MWL117" s="199"/>
      <c r="MWM117" s="198"/>
      <c r="MWN117" s="199"/>
      <c r="MWO117" s="198"/>
      <c r="MWP117" s="199"/>
      <c r="MWQ117" s="198"/>
      <c r="MWR117" s="199"/>
      <c r="MWS117" s="198"/>
      <c r="MWT117" s="199"/>
      <c r="MWU117" s="198"/>
      <c r="MWV117" s="199"/>
      <c r="MWW117" s="198"/>
      <c r="MWX117" s="199"/>
      <c r="MWY117" s="198"/>
      <c r="MWZ117" s="199"/>
      <c r="MXA117" s="198"/>
      <c r="MXB117" s="199"/>
      <c r="MXC117" s="198"/>
      <c r="MXD117" s="199"/>
      <c r="MXE117" s="198"/>
      <c r="MXF117" s="199"/>
      <c r="MXG117" s="198"/>
      <c r="MXH117" s="199"/>
      <c r="MXI117" s="198"/>
      <c r="MXJ117" s="199"/>
      <c r="MXK117" s="198"/>
      <c r="MXL117" s="199"/>
      <c r="MXM117" s="198"/>
      <c r="MXN117" s="199"/>
      <c r="MXO117" s="198"/>
      <c r="MXP117" s="199"/>
      <c r="MXQ117" s="198"/>
      <c r="MXR117" s="199"/>
      <c r="MXS117" s="198"/>
      <c r="MXT117" s="199"/>
      <c r="MXU117" s="198"/>
      <c r="MXV117" s="199"/>
      <c r="MXW117" s="198"/>
      <c r="MXX117" s="199"/>
      <c r="MXY117" s="198"/>
      <c r="MXZ117" s="199"/>
      <c r="MYA117" s="198"/>
      <c r="MYB117" s="199"/>
      <c r="MYC117" s="198"/>
      <c r="MYD117" s="199"/>
      <c r="MYE117" s="198"/>
      <c r="MYF117" s="199"/>
      <c r="MYG117" s="198"/>
      <c r="MYH117" s="199"/>
      <c r="MYI117" s="198"/>
      <c r="MYJ117" s="199"/>
      <c r="MYK117" s="198"/>
      <c r="MYL117" s="199"/>
      <c r="MYM117" s="198"/>
      <c r="MYN117" s="199"/>
      <c r="MYO117" s="198"/>
      <c r="MYP117" s="199"/>
      <c r="MYQ117" s="198"/>
      <c r="MYR117" s="199"/>
      <c r="MYS117" s="198"/>
      <c r="MYT117" s="199"/>
      <c r="MYU117" s="198"/>
      <c r="MYV117" s="199"/>
      <c r="MYW117" s="198"/>
      <c r="MYX117" s="199"/>
      <c r="MYY117" s="198"/>
      <c r="MYZ117" s="199"/>
      <c r="MZA117" s="198"/>
      <c r="MZB117" s="199"/>
      <c r="MZC117" s="198"/>
      <c r="MZD117" s="199"/>
      <c r="MZE117" s="198"/>
      <c r="MZF117" s="199"/>
      <c r="MZG117" s="198"/>
      <c r="MZH117" s="199"/>
      <c r="MZI117" s="198"/>
      <c r="MZJ117" s="199"/>
      <c r="MZK117" s="198"/>
      <c r="MZL117" s="199"/>
      <c r="MZM117" s="198"/>
      <c r="MZN117" s="199"/>
      <c r="MZO117" s="198"/>
      <c r="MZP117" s="199"/>
      <c r="MZQ117" s="198"/>
      <c r="MZR117" s="199"/>
      <c r="MZS117" s="198"/>
      <c r="MZT117" s="199"/>
      <c r="MZU117" s="198"/>
      <c r="MZV117" s="199"/>
      <c r="MZW117" s="198"/>
      <c r="MZX117" s="199"/>
      <c r="MZY117" s="198"/>
      <c r="MZZ117" s="199"/>
      <c r="NAA117" s="198"/>
      <c r="NAB117" s="199"/>
      <c r="NAC117" s="198"/>
      <c r="NAD117" s="199"/>
      <c r="NAE117" s="198"/>
      <c r="NAF117" s="199"/>
      <c r="NAG117" s="198"/>
      <c r="NAH117" s="199"/>
      <c r="NAI117" s="198"/>
      <c r="NAJ117" s="199"/>
      <c r="NAK117" s="198"/>
      <c r="NAL117" s="199"/>
      <c r="NAM117" s="198"/>
      <c r="NAN117" s="199"/>
      <c r="NAO117" s="198"/>
      <c r="NAP117" s="199"/>
      <c r="NAQ117" s="198"/>
      <c r="NAR117" s="199"/>
      <c r="NAS117" s="198"/>
      <c r="NAT117" s="199"/>
      <c r="NAU117" s="198"/>
      <c r="NAV117" s="199"/>
      <c r="NAW117" s="198"/>
      <c r="NAX117" s="199"/>
      <c r="NAY117" s="198"/>
      <c r="NAZ117" s="199"/>
      <c r="NBA117" s="198"/>
      <c r="NBB117" s="199"/>
      <c r="NBC117" s="198"/>
      <c r="NBD117" s="199"/>
      <c r="NBE117" s="198"/>
      <c r="NBF117" s="199"/>
      <c r="NBG117" s="198"/>
      <c r="NBH117" s="199"/>
      <c r="NBI117" s="198"/>
      <c r="NBJ117" s="199"/>
      <c r="NBK117" s="198"/>
      <c r="NBL117" s="199"/>
      <c r="NBM117" s="198"/>
      <c r="NBN117" s="199"/>
      <c r="NBO117" s="198"/>
      <c r="NBP117" s="199"/>
      <c r="NBQ117" s="198"/>
      <c r="NBR117" s="199"/>
      <c r="NBS117" s="198"/>
      <c r="NBT117" s="199"/>
      <c r="NBU117" s="198"/>
      <c r="NBV117" s="199"/>
      <c r="NBW117" s="198"/>
      <c r="NBX117" s="199"/>
      <c r="NBY117" s="198"/>
      <c r="NBZ117" s="199"/>
      <c r="NCA117" s="198"/>
      <c r="NCB117" s="199"/>
      <c r="NCC117" s="198"/>
      <c r="NCD117" s="199"/>
      <c r="NCE117" s="198"/>
      <c r="NCF117" s="199"/>
      <c r="NCG117" s="198"/>
      <c r="NCH117" s="199"/>
      <c r="NCI117" s="198"/>
      <c r="NCJ117" s="199"/>
      <c r="NCK117" s="198"/>
      <c r="NCL117" s="199"/>
      <c r="NCM117" s="198"/>
      <c r="NCN117" s="199"/>
      <c r="NCO117" s="198"/>
      <c r="NCP117" s="199"/>
      <c r="NCQ117" s="198"/>
      <c r="NCR117" s="199"/>
      <c r="NCS117" s="198"/>
      <c r="NCT117" s="199"/>
      <c r="NCU117" s="198"/>
      <c r="NCV117" s="199"/>
      <c r="NCW117" s="198"/>
      <c r="NCX117" s="199"/>
      <c r="NCY117" s="198"/>
      <c r="NCZ117" s="199"/>
      <c r="NDA117" s="198"/>
      <c r="NDB117" s="199"/>
      <c r="NDC117" s="198"/>
      <c r="NDD117" s="199"/>
      <c r="NDE117" s="198"/>
      <c r="NDF117" s="199"/>
      <c r="NDG117" s="198"/>
      <c r="NDH117" s="199"/>
      <c r="NDI117" s="198"/>
      <c r="NDJ117" s="199"/>
      <c r="NDK117" s="198"/>
      <c r="NDL117" s="199"/>
      <c r="NDM117" s="198"/>
      <c r="NDN117" s="199"/>
      <c r="NDO117" s="198"/>
      <c r="NDP117" s="199"/>
      <c r="NDQ117" s="198"/>
      <c r="NDR117" s="199"/>
      <c r="NDS117" s="198"/>
      <c r="NDT117" s="199"/>
      <c r="NDU117" s="198"/>
      <c r="NDV117" s="199"/>
      <c r="NDW117" s="198"/>
      <c r="NDX117" s="199"/>
      <c r="NDY117" s="198"/>
      <c r="NDZ117" s="199"/>
      <c r="NEA117" s="198"/>
      <c r="NEB117" s="199"/>
      <c r="NEC117" s="198"/>
      <c r="NED117" s="199"/>
      <c r="NEE117" s="198"/>
      <c r="NEF117" s="199"/>
      <c r="NEG117" s="198"/>
      <c r="NEH117" s="199"/>
      <c r="NEI117" s="198"/>
      <c r="NEJ117" s="199"/>
      <c r="NEK117" s="198"/>
      <c r="NEL117" s="199"/>
      <c r="NEM117" s="198"/>
      <c r="NEN117" s="199"/>
      <c r="NEO117" s="198"/>
      <c r="NEP117" s="199"/>
      <c r="NEQ117" s="198"/>
      <c r="NER117" s="199"/>
      <c r="NES117" s="198"/>
      <c r="NET117" s="199"/>
      <c r="NEU117" s="198"/>
      <c r="NEV117" s="199"/>
      <c r="NEW117" s="198"/>
      <c r="NEX117" s="199"/>
      <c r="NEY117" s="198"/>
      <c r="NEZ117" s="199"/>
      <c r="NFA117" s="198"/>
      <c r="NFB117" s="199"/>
      <c r="NFC117" s="198"/>
      <c r="NFD117" s="199"/>
      <c r="NFE117" s="198"/>
      <c r="NFF117" s="199"/>
      <c r="NFG117" s="198"/>
      <c r="NFH117" s="199"/>
      <c r="NFI117" s="198"/>
      <c r="NFJ117" s="199"/>
      <c r="NFK117" s="198"/>
      <c r="NFL117" s="199"/>
      <c r="NFM117" s="198"/>
      <c r="NFN117" s="199"/>
      <c r="NFO117" s="198"/>
      <c r="NFP117" s="199"/>
      <c r="NFQ117" s="198"/>
      <c r="NFR117" s="199"/>
      <c r="NFS117" s="198"/>
      <c r="NFT117" s="199"/>
      <c r="NFU117" s="198"/>
      <c r="NFV117" s="199"/>
      <c r="NFW117" s="198"/>
      <c r="NFX117" s="199"/>
      <c r="NFY117" s="198"/>
      <c r="NFZ117" s="199"/>
      <c r="NGA117" s="198"/>
      <c r="NGB117" s="199"/>
      <c r="NGC117" s="198"/>
      <c r="NGD117" s="199"/>
      <c r="NGE117" s="198"/>
      <c r="NGF117" s="199"/>
      <c r="NGG117" s="198"/>
      <c r="NGH117" s="199"/>
      <c r="NGI117" s="198"/>
      <c r="NGJ117" s="199"/>
      <c r="NGK117" s="198"/>
      <c r="NGL117" s="199"/>
      <c r="NGM117" s="198"/>
      <c r="NGN117" s="199"/>
      <c r="NGO117" s="198"/>
      <c r="NGP117" s="199"/>
      <c r="NGQ117" s="198"/>
      <c r="NGR117" s="199"/>
      <c r="NGS117" s="198"/>
      <c r="NGT117" s="199"/>
      <c r="NGU117" s="198"/>
      <c r="NGV117" s="199"/>
      <c r="NGW117" s="198"/>
      <c r="NGX117" s="199"/>
      <c r="NGY117" s="198"/>
      <c r="NGZ117" s="199"/>
      <c r="NHA117" s="198"/>
      <c r="NHB117" s="199"/>
      <c r="NHC117" s="198"/>
      <c r="NHD117" s="199"/>
      <c r="NHE117" s="198"/>
      <c r="NHF117" s="199"/>
      <c r="NHG117" s="198"/>
      <c r="NHH117" s="199"/>
      <c r="NHI117" s="198"/>
      <c r="NHJ117" s="199"/>
      <c r="NHK117" s="198"/>
      <c r="NHL117" s="199"/>
      <c r="NHM117" s="198"/>
      <c r="NHN117" s="199"/>
      <c r="NHO117" s="198"/>
      <c r="NHP117" s="199"/>
      <c r="NHQ117" s="198"/>
      <c r="NHR117" s="199"/>
      <c r="NHS117" s="198"/>
      <c r="NHT117" s="199"/>
      <c r="NHU117" s="198"/>
      <c r="NHV117" s="199"/>
      <c r="NHW117" s="198"/>
      <c r="NHX117" s="199"/>
      <c r="NHY117" s="198"/>
      <c r="NHZ117" s="199"/>
      <c r="NIA117" s="198"/>
      <c r="NIB117" s="199"/>
      <c r="NIC117" s="198"/>
      <c r="NID117" s="199"/>
      <c r="NIE117" s="198"/>
      <c r="NIF117" s="199"/>
      <c r="NIG117" s="198"/>
      <c r="NIH117" s="199"/>
      <c r="NII117" s="198"/>
      <c r="NIJ117" s="199"/>
      <c r="NIK117" s="198"/>
      <c r="NIL117" s="199"/>
      <c r="NIM117" s="198"/>
      <c r="NIN117" s="199"/>
      <c r="NIO117" s="198"/>
      <c r="NIP117" s="199"/>
      <c r="NIQ117" s="198"/>
      <c r="NIR117" s="199"/>
      <c r="NIS117" s="198"/>
      <c r="NIT117" s="199"/>
      <c r="NIU117" s="198"/>
      <c r="NIV117" s="199"/>
      <c r="NIW117" s="198"/>
      <c r="NIX117" s="199"/>
      <c r="NIY117" s="198"/>
      <c r="NIZ117" s="199"/>
      <c r="NJA117" s="198"/>
      <c r="NJB117" s="199"/>
      <c r="NJC117" s="198"/>
      <c r="NJD117" s="199"/>
      <c r="NJE117" s="198"/>
      <c r="NJF117" s="199"/>
      <c r="NJG117" s="198"/>
      <c r="NJH117" s="199"/>
      <c r="NJI117" s="198"/>
      <c r="NJJ117" s="199"/>
      <c r="NJK117" s="198"/>
      <c r="NJL117" s="199"/>
      <c r="NJM117" s="198"/>
      <c r="NJN117" s="199"/>
      <c r="NJO117" s="198"/>
      <c r="NJP117" s="199"/>
      <c r="NJQ117" s="198"/>
      <c r="NJR117" s="199"/>
      <c r="NJS117" s="198"/>
      <c r="NJT117" s="199"/>
      <c r="NJU117" s="198"/>
      <c r="NJV117" s="199"/>
      <c r="NJW117" s="198"/>
      <c r="NJX117" s="199"/>
      <c r="NJY117" s="198"/>
      <c r="NJZ117" s="199"/>
      <c r="NKA117" s="198"/>
      <c r="NKB117" s="199"/>
      <c r="NKC117" s="198"/>
      <c r="NKD117" s="199"/>
      <c r="NKE117" s="198"/>
      <c r="NKF117" s="199"/>
      <c r="NKG117" s="198"/>
      <c r="NKH117" s="199"/>
      <c r="NKI117" s="198"/>
      <c r="NKJ117" s="199"/>
      <c r="NKK117" s="198"/>
      <c r="NKL117" s="199"/>
      <c r="NKM117" s="198"/>
      <c r="NKN117" s="199"/>
      <c r="NKO117" s="198"/>
      <c r="NKP117" s="199"/>
      <c r="NKQ117" s="198"/>
      <c r="NKR117" s="199"/>
      <c r="NKS117" s="198"/>
      <c r="NKT117" s="199"/>
      <c r="NKU117" s="198"/>
      <c r="NKV117" s="199"/>
      <c r="NKW117" s="198"/>
      <c r="NKX117" s="199"/>
      <c r="NKY117" s="198"/>
      <c r="NKZ117" s="199"/>
      <c r="NLA117" s="198"/>
      <c r="NLB117" s="199"/>
      <c r="NLC117" s="198"/>
      <c r="NLD117" s="199"/>
      <c r="NLE117" s="198"/>
      <c r="NLF117" s="199"/>
      <c r="NLG117" s="198"/>
      <c r="NLH117" s="199"/>
      <c r="NLI117" s="198"/>
      <c r="NLJ117" s="199"/>
      <c r="NLK117" s="198"/>
      <c r="NLL117" s="199"/>
      <c r="NLM117" s="198"/>
      <c r="NLN117" s="199"/>
      <c r="NLO117" s="198"/>
      <c r="NLP117" s="199"/>
      <c r="NLQ117" s="198"/>
      <c r="NLR117" s="199"/>
      <c r="NLS117" s="198"/>
      <c r="NLT117" s="199"/>
      <c r="NLU117" s="198"/>
      <c r="NLV117" s="199"/>
      <c r="NLW117" s="198"/>
      <c r="NLX117" s="199"/>
      <c r="NLY117" s="198"/>
      <c r="NLZ117" s="199"/>
      <c r="NMA117" s="198"/>
      <c r="NMB117" s="199"/>
      <c r="NMC117" s="198"/>
      <c r="NMD117" s="199"/>
      <c r="NME117" s="198"/>
      <c r="NMF117" s="199"/>
      <c r="NMG117" s="198"/>
      <c r="NMH117" s="199"/>
      <c r="NMI117" s="198"/>
      <c r="NMJ117" s="199"/>
      <c r="NMK117" s="198"/>
      <c r="NML117" s="199"/>
      <c r="NMM117" s="198"/>
      <c r="NMN117" s="199"/>
      <c r="NMO117" s="198"/>
      <c r="NMP117" s="199"/>
      <c r="NMQ117" s="198"/>
      <c r="NMR117" s="199"/>
      <c r="NMS117" s="198"/>
      <c r="NMT117" s="199"/>
      <c r="NMU117" s="198"/>
      <c r="NMV117" s="199"/>
      <c r="NMW117" s="198"/>
      <c r="NMX117" s="199"/>
      <c r="NMY117" s="198"/>
      <c r="NMZ117" s="199"/>
      <c r="NNA117" s="198"/>
      <c r="NNB117" s="199"/>
      <c r="NNC117" s="198"/>
      <c r="NND117" s="199"/>
      <c r="NNE117" s="198"/>
      <c r="NNF117" s="199"/>
      <c r="NNG117" s="198"/>
      <c r="NNH117" s="199"/>
      <c r="NNI117" s="198"/>
      <c r="NNJ117" s="199"/>
      <c r="NNK117" s="198"/>
      <c r="NNL117" s="199"/>
      <c r="NNM117" s="198"/>
      <c r="NNN117" s="199"/>
      <c r="NNO117" s="198"/>
      <c r="NNP117" s="199"/>
      <c r="NNQ117" s="198"/>
      <c r="NNR117" s="199"/>
      <c r="NNS117" s="198"/>
      <c r="NNT117" s="199"/>
      <c r="NNU117" s="198"/>
      <c r="NNV117" s="199"/>
      <c r="NNW117" s="198"/>
      <c r="NNX117" s="199"/>
      <c r="NNY117" s="198"/>
      <c r="NNZ117" s="199"/>
      <c r="NOA117" s="198"/>
      <c r="NOB117" s="199"/>
      <c r="NOC117" s="198"/>
      <c r="NOD117" s="199"/>
      <c r="NOE117" s="198"/>
      <c r="NOF117" s="199"/>
      <c r="NOG117" s="198"/>
      <c r="NOH117" s="199"/>
      <c r="NOI117" s="198"/>
      <c r="NOJ117" s="199"/>
      <c r="NOK117" s="198"/>
      <c r="NOL117" s="199"/>
      <c r="NOM117" s="198"/>
      <c r="NON117" s="199"/>
      <c r="NOO117" s="198"/>
      <c r="NOP117" s="199"/>
      <c r="NOQ117" s="198"/>
      <c r="NOR117" s="199"/>
      <c r="NOS117" s="198"/>
      <c r="NOT117" s="199"/>
      <c r="NOU117" s="198"/>
      <c r="NOV117" s="199"/>
      <c r="NOW117" s="198"/>
      <c r="NOX117" s="199"/>
      <c r="NOY117" s="198"/>
      <c r="NOZ117" s="199"/>
      <c r="NPA117" s="198"/>
      <c r="NPB117" s="199"/>
      <c r="NPC117" s="198"/>
      <c r="NPD117" s="199"/>
      <c r="NPE117" s="198"/>
      <c r="NPF117" s="199"/>
      <c r="NPG117" s="198"/>
      <c r="NPH117" s="199"/>
      <c r="NPI117" s="198"/>
      <c r="NPJ117" s="199"/>
      <c r="NPK117" s="198"/>
      <c r="NPL117" s="199"/>
      <c r="NPM117" s="198"/>
      <c r="NPN117" s="199"/>
      <c r="NPO117" s="198"/>
      <c r="NPP117" s="199"/>
      <c r="NPQ117" s="198"/>
      <c r="NPR117" s="199"/>
      <c r="NPS117" s="198"/>
      <c r="NPT117" s="199"/>
      <c r="NPU117" s="198"/>
      <c r="NPV117" s="199"/>
      <c r="NPW117" s="198"/>
      <c r="NPX117" s="199"/>
      <c r="NPY117" s="198"/>
      <c r="NPZ117" s="199"/>
      <c r="NQA117" s="198"/>
      <c r="NQB117" s="199"/>
      <c r="NQC117" s="198"/>
      <c r="NQD117" s="199"/>
      <c r="NQE117" s="198"/>
      <c r="NQF117" s="199"/>
      <c r="NQG117" s="198"/>
      <c r="NQH117" s="199"/>
      <c r="NQI117" s="198"/>
      <c r="NQJ117" s="199"/>
      <c r="NQK117" s="198"/>
      <c r="NQL117" s="199"/>
      <c r="NQM117" s="198"/>
      <c r="NQN117" s="199"/>
      <c r="NQO117" s="198"/>
      <c r="NQP117" s="199"/>
      <c r="NQQ117" s="198"/>
      <c r="NQR117" s="199"/>
      <c r="NQS117" s="198"/>
      <c r="NQT117" s="199"/>
      <c r="NQU117" s="198"/>
      <c r="NQV117" s="199"/>
      <c r="NQW117" s="198"/>
      <c r="NQX117" s="199"/>
      <c r="NQY117" s="198"/>
      <c r="NQZ117" s="199"/>
      <c r="NRA117" s="198"/>
      <c r="NRB117" s="199"/>
      <c r="NRC117" s="198"/>
      <c r="NRD117" s="199"/>
      <c r="NRE117" s="198"/>
      <c r="NRF117" s="199"/>
      <c r="NRG117" s="198"/>
      <c r="NRH117" s="199"/>
      <c r="NRI117" s="198"/>
      <c r="NRJ117" s="199"/>
      <c r="NRK117" s="198"/>
      <c r="NRL117" s="199"/>
      <c r="NRM117" s="198"/>
      <c r="NRN117" s="199"/>
      <c r="NRO117" s="198"/>
      <c r="NRP117" s="199"/>
      <c r="NRQ117" s="198"/>
      <c r="NRR117" s="199"/>
      <c r="NRS117" s="198"/>
      <c r="NRT117" s="199"/>
      <c r="NRU117" s="198"/>
      <c r="NRV117" s="199"/>
      <c r="NRW117" s="198"/>
      <c r="NRX117" s="199"/>
      <c r="NRY117" s="198"/>
      <c r="NRZ117" s="199"/>
      <c r="NSA117" s="198"/>
      <c r="NSB117" s="199"/>
      <c r="NSC117" s="198"/>
      <c r="NSD117" s="199"/>
      <c r="NSE117" s="198"/>
      <c r="NSF117" s="199"/>
      <c r="NSG117" s="198"/>
      <c r="NSH117" s="199"/>
      <c r="NSI117" s="198"/>
      <c r="NSJ117" s="199"/>
      <c r="NSK117" s="198"/>
      <c r="NSL117" s="199"/>
      <c r="NSM117" s="198"/>
      <c r="NSN117" s="199"/>
      <c r="NSO117" s="198"/>
      <c r="NSP117" s="199"/>
      <c r="NSQ117" s="198"/>
      <c r="NSR117" s="199"/>
      <c r="NSS117" s="198"/>
      <c r="NST117" s="199"/>
      <c r="NSU117" s="198"/>
      <c r="NSV117" s="199"/>
      <c r="NSW117" s="198"/>
      <c r="NSX117" s="199"/>
      <c r="NSY117" s="198"/>
      <c r="NSZ117" s="199"/>
      <c r="NTA117" s="198"/>
      <c r="NTB117" s="199"/>
      <c r="NTC117" s="198"/>
      <c r="NTD117" s="199"/>
      <c r="NTE117" s="198"/>
      <c r="NTF117" s="199"/>
      <c r="NTG117" s="198"/>
      <c r="NTH117" s="199"/>
      <c r="NTI117" s="198"/>
      <c r="NTJ117" s="199"/>
      <c r="NTK117" s="198"/>
      <c r="NTL117" s="199"/>
      <c r="NTM117" s="198"/>
      <c r="NTN117" s="199"/>
      <c r="NTO117" s="198"/>
      <c r="NTP117" s="199"/>
      <c r="NTQ117" s="198"/>
      <c r="NTR117" s="199"/>
      <c r="NTS117" s="198"/>
      <c r="NTT117" s="199"/>
      <c r="NTU117" s="198"/>
      <c r="NTV117" s="199"/>
      <c r="NTW117" s="198"/>
      <c r="NTX117" s="199"/>
      <c r="NTY117" s="198"/>
      <c r="NTZ117" s="199"/>
      <c r="NUA117" s="198"/>
      <c r="NUB117" s="199"/>
      <c r="NUC117" s="198"/>
      <c r="NUD117" s="199"/>
      <c r="NUE117" s="198"/>
      <c r="NUF117" s="199"/>
      <c r="NUG117" s="198"/>
      <c r="NUH117" s="199"/>
      <c r="NUI117" s="198"/>
      <c r="NUJ117" s="199"/>
      <c r="NUK117" s="198"/>
      <c r="NUL117" s="199"/>
      <c r="NUM117" s="198"/>
      <c r="NUN117" s="199"/>
      <c r="NUO117" s="198"/>
      <c r="NUP117" s="199"/>
      <c r="NUQ117" s="198"/>
      <c r="NUR117" s="199"/>
      <c r="NUS117" s="198"/>
      <c r="NUT117" s="199"/>
      <c r="NUU117" s="198"/>
      <c r="NUV117" s="199"/>
      <c r="NUW117" s="198"/>
      <c r="NUX117" s="199"/>
      <c r="NUY117" s="198"/>
      <c r="NUZ117" s="199"/>
      <c r="NVA117" s="198"/>
      <c r="NVB117" s="199"/>
      <c r="NVC117" s="198"/>
      <c r="NVD117" s="199"/>
      <c r="NVE117" s="198"/>
      <c r="NVF117" s="199"/>
      <c r="NVG117" s="198"/>
      <c r="NVH117" s="199"/>
      <c r="NVI117" s="198"/>
      <c r="NVJ117" s="199"/>
      <c r="NVK117" s="198"/>
      <c r="NVL117" s="199"/>
      <c r="NVM117" s="198"/>
      <c r="NVN117" s="199"/>
      <c r="NVO117" s="198"/>
      <c r="NVP117" s="199"/>
      <c r="NVQ117" s="198"/>
      <c r="NVR117" s="199"/>
      <c r="NVS117" s="198"/>
      <c r="NVT117" s="199"/>
      <c r="NVU117" s="198"/>
      <c r="NVV117" s="199"/>
      <c r="NVW117" s="198"/>
      <c r="NVX117" s="199"/>
      <c r="NVY117" s="198"/>
      <c r="NVZ117" s="199"/>
      <c r="NWA117" s="198"/>
      <c r="NWB117" s="199"/>
      <c r="NWC117" s="198"/>
      <c r="NWD117" s="199"/>
      <c r="NWE117" s="198"/>
      <c r="NWF117" s="199"/>
      <c r="NWG117" s="198"/>
      <c r="NWH117" s="199"/>
      <c r="NWI117" s="198"/>
      <c r="NWJ117" s="199"/>
      <c r="NWK117" s="198"/>
      <c r="NWL117" s="199"/>
      <c r="NWM117" s="198"/>
      <c r="NWN117" s="199"/>
      <c r="NWO117" s="198"/>
      <c r="NWP117" s="199"/>
      <c r="NWQ117" s="198"/>
      <c r="NWR117" s="199"/>
      <c r="NWS117" s="198"/>
      <c r="NWT117" s="199"/>
      <c r="NWU117" s="198"/>
      <c r="NWV117" s="199"/>
      <c r="NWW117" s="198"/>
      <c r="NWX117" s="199"/>
      <c r="NWY117" s="198"/>
      <c r="NWZ117" s="199"/>
      <c r="NXA117" s="198"/>
      <c r="NXB117" s="199"/>
      <c r="NXC117" s="198"/>
      <c r="NXD117" s="199"/>
      <c r="NXE117" s="198"/>
      <c r="NXF117" s="199"/>
      <c r="NXG117" s="198"/>
      <c r="NXH117" s="199"/>
      <c r="NXI117" s="198"/>
      <c r="NXJ117" s="199"/>
      <c r="NXK117" s="198"/>
      <c r="NXL117" s="199"/>
      <c r="NXM117" s="198"/>
      <c r="NXN117" s="199"/>
      <c r="NXO117" s="198"/>
      <c r="NXP117" s="199"/>
      <c r="NXQ117" s="198"/>
      <c r="NXR117" s="199"/>
      <c r="NXS117" s="198"/>
      <c r="NXT117" s="199"/>
      <c r="NXU117" s="198"/>
      <c r="NXV117" s="199"/>
      <c r="NXW117" s="198"/>
      <c r="NXX117" s="199"/>
      <c r="NXY117" s="198"/>
      <c r="NXZ117" s="199"/>
      <c r="NYA117" s="198"/>
      <c r="NYB117" s="199"/>
      <c r="NYC117" s="198"/>
      <c r="NYD117" s="199"/>
      <c r="NYE117" s="198"/>
      <c r="NYF117" s="199"/>
      <c r="NYG117" s="198"/>
      <c r="NYH117" s="199"/>
      <c r="NYI117" s="198"/>
      <c r="NYJ117" s="199"/>
      <c r="NYK117" s="198"/>
      <c r="NYL117" s="199"/>
      <c r="NYM117" s="198"/>
      <c r="NYN117" s="199"/>
      <c r="NYO117" s="198"/>
      <c r="NYP117" s="199"/>
      <c r="NYQ117" s="198"/>
      <c r="NYR117" s="199"/>
      <c r="NYS117" s="198"/>
      <c r="NYT117" s="199"/>
      <c r="NYU117" s="198"/>
      <c r="NYV117" s="199"/>
      <c r="NYW117" s="198"/>
      <c r="NYX117" s="199"/>
      <c r="NYY117" s="198"/>
      <c r="NYZ117" s="199"/>
      <c r="NZA117" s="198"/>
      <c r="NZB117" s="199"/>
      <c r="NZC117" s="198"/>
      <c r="NZD117" s="199"/>
      <c r="NZE117" s="198"/>
      <c r="NZF117" s="199"/>
      <c r="NZG117" s="198"/>
      <c r="NZH117" s="199"/>
      <c r="NZI117" s="198"/>
      <c r="NZJ117" s="199"/>
      <c r="NZK117" s="198"/>
      <c r="NZL117" s="199"/>
      <c r="NZM117" s="198"/>
      <c r="NZN117" s="199"/>
      <c r="NZO117" s="198"/>
      <c r="NZP117" s="199"/>
      <c r="NZQ117" s="198"/>
      <c r="NZR117" s="199"/>
      <c r="NZS117" s="198"/>
      <c r="NZT117" s="199"/>
      <c r="NZU117" s="198"/>
      <c r="NZV117" s="199"/>
      <c r="NZW117" s="198"/>
      <c r="NZX117" s="199"/>
      <c r="NZY117" s="198"/>
      <c r="NZZ117" s="199"/>
      <c r="OAA117" s="198"/>
      <c r="OAB117" s="199"/>
      <c r="OAC117" s="198"/>
      <c r="OAD117" s="199"/>
      <c r="OAE117" s="198"/>
      <c r="OAF117" s="199"/>
      <c r="OAG117" s="198"/>
      <c r="OAH117" s="199"/>
      <c r="OAI117" s="198"/>
      <c r="OAJ117" s="199"/>
      <c r="OAK117" s="198"/>
      <c r="OAL117" s="199"/>
      <c r="OAM117" s="198"/>
      <c r="OAN117" s="199"/>
      <c r="OAO117" s="198"/>
      <c r="OAP117" s="199"/>
      <c r="OAQ117" s="198"/>
      <c r="OAR117" s="199"/>
      <c r="OAS117" s="198"/>
      <c r="OAT117" s="199"/>
      <c r="OAU117" s="198"/>
      <c r="OAV117" s="199"/>
      <c r="OAW117" s="198"/>
      <c r="OAX117" s="199"/>
      <c r="OAY117" s="198"/>
      <c r="OAZ117" s="199"/>
      <c r="OBA117" s="198"/>
      <c r="OBB117" s="199"/>
      <c r="OBC117" s="198"/>
      <c r="OBD117" s="199"/>
      <c r="OBE117" s="198"/>
      <c r="OBF117" s="199"/>
      <c r="OBG117" s="198"/>
      <c r="OBH117" s="199"/>
      <c r="OBI117" s="198"/>
      <c r="OBJ117" s="199"/>
      <c r="OBK117" s="198"/>
      <c r="OBL117" s="199"/>
      <c r="OBM117" s="198"/>
      <c r="OBN117" s="199"/>
      <c r="OBO117" s="198"/>
      <c r="OBP117" s="199"/>
      <c r="OBQ117" s="198"/>
      <c r="OBR117" s="199"/>
      <c r="OBS117" s="198"/>
      <c r="OBT117" s="199"/>
      <c r="OBU117" s="198"/>
      <c r="OBV117" s="199"/>
      <c r="OBW117" s="198"/>
      <c r="OBX117" s="199"/>
      <c r="OBY117" s="198"/>
      <c r="OBZ117" s="199"/>
      <c r="OCA117" s="198"/>
      <c r="OCB117" s="199"/>
      <c r="OCC117" s="198"/>
      <c r="OCD117" s="199"/>
      <c r="OCE117" s="198"/>
      <c r="OCF117" s="199"/>
      <c r="OCG117" s="198"/>
      <c r="OCH117" s="199"/>
      <c r="OCI117" s="198"/>
      <c r="OCJ117" s="199"/>
      <c r="OCK117" s="198"/>
      <c r="OCL117" s="199"/>
      <c r="OCM117" s="198"/>
      <c r="OCN117" s="199"/>
      <c r="OCO117" s="198"/>
      <c r="OCP117" s="199"/>
      <c r="OCQ117" s="198"/>
      <c r="OCR117" s="199"/>
      <c r="OCS117" s="198"/>
      <c r="OCT117" s="199"/>
      <c r="OCU117" s="198"/>
      <c r="OCV117" s="199"/>
      <c r="OCW117" s="198"/>
      <c r="OCX117" s="199"/>
      <c r="OCY117" s="198"/>
      <c r="OCZ117" s="199"/>
      <c r="ODA117" s="198"/>
      <c r="ODB117" s="199"/>
      <c r="ODC117" s="198"/>
      <c r="ODD117" s="199"/>
      <c r="ODE117" s="198"/>
      <c r="ODF117" s="199"/>
      <c r="ODG117" s="198"/>
      <c r="ODH117" s="199"/>
      <c r="ODI117" s="198"/>
      <c r="ODJ117" s="199"/>
      <c r="ODK117" s="198"/>
      <c r="ODL117" s="199"/>
      <c r="ODM117" s="198"/>
      <c r="ODN117" s="199"/>
      <c r="ODO117" s="198"/>
      <c r="ODP117" s="199"/>
      <c r="ODQ117" s="198"/>
      <c r="ODR117" s="199"/>
      <c r="ODS117" s="198"/>
      <c r="ODT117" s="199"/>
      <c r="ODU117" s="198"/>
      <c r="ODV117" s="199"/>
      <c r="ODW117" s="198"/>
      <c r="ODX117" s="199"/>
      <c r="ODY117" s="198"/>
      <c r="ODZ117" s="199"/>
      <c r="OEA117" s="198"/>
      <c r="OEB117" s="199"/>
      <c r="OEC117" s="198"/>
      <c r="OED117" s="199"/>
      <c r="OEE117" s="198"/>
      <c r="OEF117" s="199"/>
      <c r="OEG117" s="198"/>
      <c r="OEH117" s="199"/>
      <c r="OEI117" s="198"/>
      <c r="OEJ117" s="199"/>
      <c r="OEK117" s="198"/>
      <c r="OEL117" s="199"/>
      <c r="OEM117" s="198"/>
      <c r="OEN117" s="199"/>
      <c r="OEO117" s="198"/>
      <c r="OEP117" s="199"/>
      <c r="OEQ117" s="198"/>
      <c r="OER117" s="199"/>
      <c r="OES117" s="198"/>
      <c r="OET117" s="199"/>
      <c r="OEU117" s="198"/>
      <c r="OEV117" s="199"/>
      <c r="OEW117" s="198"/>
      <c r="OEX117" s="199"/>
      <c r="OEY117" s="198"/>
      <c r="OEZ117" s="199"/>
      <c r="OFA117" s="198"/>
      <c r="OFB117" s="199"/>
      <c r="OFC117" s="198"/>
      <c r="OFD117" s="199"/>
      <c r="OFE117" s="198"/>
      <c r="OFF117" s="199"/>
      <c r="OFG117" s="198"/>
      <c r="OFH117" s="199"/>
      <c r="OFI117" s="198"/>
      <c r="OFJ117" s="199"/>
      <c r="OFK117" s="198"/>
      <c r="OFL117" s="199"/>
      <c r="OFM117" s="198"/>
      <c r="OFN117" s="199"/>
      <c r="OFO117" s="198"/>
      <c r="OFP117" s="199"/>
      <c r="OFQ117" s="198"/>
      <c r="OFR117" s="199"/>
      <c r="OFS117" s="198"/>
      <c r="OFT117" s="199"/>
      <c r="OFU117" s="198"/>
      <c r="OFV117" s="199"/>
      <c r="OFW117" s="198"/>
      <c r="OFX117" s="199"/>
      <c r="OFY117" s="198"/>
      <c r="OFZ117" s="199"/>
      <c r="OGA117" s="198"/>
      <c r="OGB117" s="199"/>
      <c r="OGC117" s="198"/>
      <c r="OGD117" s="199"/>
      <c r="OGE117" s="198"/>
      <c r="OGF117" s="199"/>
      <c r="OGG117" s="198"/>
      <c r="OGH117" s="199"/>
      <c r="OGI117" s="198"/>
      <c r="OGJ117" s="199"/>
      <c r="OGK117" s="198"/>
      <c r="OGL117" s="199"/>
      <c r="OGM117" s="198"/>
      <c r="OGN117" s="199"/>
      <c r="OGO117" s="198"/>
      <c r="OGP117" s="199"/>
      <c r="OGQ117" s="198"/>
      <c r="OGR117" s="199"/>
      <c r="OGS117" s="198"/>
      <c r="OGT117" s="199"/>
      <c r="OGU117" s="198"/>
      <c r="OGV117" s="199"/>
      <c r="OGW117" s="198"/>
      <c r="OGX117" s="199"/>
      <c r="OGY117" s="198"/>
      <c r="OGZ117" s="199"/>
      <c r="OHA117" s="198"/>
      <c r="OHB117" s="199"/>
      <c r="OHC117" s="198"/>
      <c r="OHD117" s="199"/>
      <c r="OHE117" s="198"/>
      <c r="OHF117" s="199"/>
      <c r="OHG117" s="198"/>
      <c r="OHH117" s="199"/>
      <c r="OHI117" s="198"/>
      <c r="OHJ117" s="199"/>
      <c r="OHK117" s="198"/>
      <c r="OHL117" s="199"/>
      <c r="OHM117" s="198"/>
      <c r="OHN117" s="199"/>
      <c r="OHO117" s="198"/>
      <c r="OHP117" s="199"/>
      <c r="OHQ117" s="198"/>
      <c r="OHR117" s="199"/>
      <c r="OHS117" s="198"/>
      <c r="OHT117" s="199"/>
      <c r="OHU117" s="198"/>
      <c r="OHV117" s="199"/>
      <c r="OHW117" s="198"/>
      <c r="OHX117" s="199"/>
      <c r="OHY117" s="198"/>
      <c r="OHZ117" s="199"/>
      <c r="OIA117" s="198"/>
      <c r="OIB117" s="199"/>
      <c r="OIC117" s="198"/>
      <c r="OID117" s="199"/>
      <c r="OIE117" s="198"/>
      <c r="OIF117" s="199"/>
      <c r="OIG117" s="198"/>
      <c r="OIH117" s="199"/>
      <c r="OII117" s="198"/>
      <c r="OIJ117" s="199"/>
      <c r="OIK117" s="198"/>
      <c r="OIL117" s="199"/>
      <c r="OIM117" s="198"/>
      <c r="OIN117" s="199"/>
      <c r="OIO117" s="198"/>
      <c r="OIP117" s="199"/>
      <c r="OIQ117" s="198"/>
      <c r="OIR117" s="199"/>
      <c r="OIS117" s="198"/>
      <c r="OIT117" s="199"/>
      <c r="OIU117" s="198"/>
      <c r="OIV117" s="199"/>
      <c r="OIW117" s="198"/>
      <c r="OIX117" s="199"/>
      <c r="OIY117" s="198"/>
      <c r="OIZ117" s="199"/>
      <c r="OJA117" s="198"/>
      <c r="OJB117" s="199"/>
      <c r="OJC117" s="198"/>
      <c r="OJD117" s="199"/>
      <c r="OJE117" s="198"/>
      <c r="OJF117" s="199"/>
      <c r="OJG117" s="198"/>
      <c r="OJH117" s="199"/>
      <c r="OJI117" s="198"/>
      <c r="OJJ117" s="199"/>
      <c r="OJK117" s="198"/>
      <c r="OJL117" s="199"/>
      <c r="OJM117" s="198"/>
      <c r="OJN117" s="199"/>
      <c r="OJO117" s="198"/>
      <c r="OJP117" s="199"/>
      <c r="OJQ117" s="198"/>
      <c r="OJR117" s="199"/>
      <c r="OJS117" s="198"/>
      <c r="OJT117" s="199"/>
      <c r="OJU117" s="198"/>
      <c r="OJV117" s="199"/>
      <c r="OJW117" s="198"/>
      <c r="OJX117" s="199"/>
      <c r="OJY117" s="198"/>
      <c r="OJZ117" s="199"/>
      <c r="OKA117" s="198"/>
      <c r="OKB117" s="199"/>
      <c r="OKC117" s="198"/>
      <c r="OKD117" s="199"/>
      <c r="OKE117" s="198"/>
      <c r="OKF117" s="199"/>
      <c r="OKG117" s="198"/>
      <c r="OKH117" s="199"/>
      <c r="OKI117" s="198"/>
      <c r="OKJ117" s="199"/>
      <c r="OKK117" s="198"/>
      <c r="OKL117" s="199"/>
      <c r="OKM117" s="198"/>
      <c r="OKN117" s="199"/>
      <c r="OKO117" s="198"/>
      <c r="OKP117" s="199"/>
      <c r="OKQ117" s="198"/>
      <c r="OKR117" s="199"/>
      <c r="OKS117" s="198"/>
      <c r="OKT117" s="199"/>
      <c r="OKU117" s="198"/>
      <c r="OKV117" s="199"/>
      <c r="OKW117" s="198"/>
      <c r="OKX117" s="199"/>
      <c r="OKY117" s="198"/>
      <c r="OKZ117" s="199"/>
      <c r="OLA117" s="198"/>
      <c r="OLB117" s="199"/>
      <c r="OLC117" s="198"/>
      <c r="OLD117" s="199"/>
      <c r="OLE117" s="198"/>
      <c r="OLF117" s="199"/>
      <c r="OLG117" s="198"/>
      <c r="OLH117" s="199"/>
      <c r="OLI117" s="198"/>
      <c r="OLJ117" s="199"/>
      <c r="OLK117" s="198"/>
      <c r="OLL117" s="199"/>
      <c r="OLM117" s="198"/>
      <c r="OLN117" s="199"/>
      <c r="OLO117" s="198"/>
      <c r="OLP117" s="199"/>
      <c r="OLQ117" s="198"/>
      <c r="OLR117" s="199"/>
      <c r="OLS117" s="198"/>
      <c r="OLT117" s="199"/>
      <c r="OLU117" s="198"/>
      <c r="OLV117" s="199"/>
      <c r="OLW117" s="198"/>
      <c r="OLX117" s="199"/>
      <c r="OLY117" s="198"/>
      <c r="OLZ117" s="199"/>
      <c r="OMA117" s="198"/>
      <c r="OMB117" s="199"/>
      <c r="OMC117" s="198"/>
      <c r="OMD117" s="199"/>
      <c r="OME117" s="198"/>
      <c r="OMF117" s="199"/>
      <c r="OMG117" s="198"/>
      <c r="OMH117" s="199"/>
      <c r="OMI117" s="198"/>
      <c r="OMJ117" s="199"/>
      <c r="OMK117" s="198"/>
      <c r="OML117" s="199"/>
      <c r="OMM117" s="198"/>
      <c r="OMN117" s="199"/>
      <c r="OMO117" s="198"/>
      <c r="OMP117" s="199"/>
      <c r="OMQ117" s="198"/>
      <c r="OMR117" s="199"/>
      <c r="OMS117" s="198"/>
      <c r="OMT117" s="199"/>
      <c r="OMU117" s="198"/>
      <c r="OMV117" s="199"/>
      <c r="OMW117" s="198"/>
      <c r="OMX117" s="199"/>
      <c r="OMY117" s="198"/>
      <c r="OMZ117" s="199"/>
      <c r="ONA117" s="198"/>
      <c r="ONB117" s="199"/>
      <c r="ONC117" s="198"/>
      <c r="OND117" s="199"/>
      <c r="ONE117" s="198"/>
      <c r="ONF117" s="199"/>
      <c r="ONG117" s="198"/>
      <c r="ONH117" s="199"/>
      <c r="ONI117" s="198"/>
      <c r="ONJ117" s="199"/>
      <c r="ONK117" s="198"/>
      <c r="ONL117" s="199"/>
      <c r="ONM117" s="198"/>
      <c r="ONN117" s="199"/>
      <c r="ONO117" s="198"/>
      <c r="ONP117" s="199"/>
      <c r="ONQ117" s="198"/>
      <c r="ONR117" s="199"/>
      <c r="ONS117" s="198"/>
      <c r="ONT117" s="199"/>
      <c r="ONU117" s="198"/>
      <c r="ONV117" s="199"/>
      <c r="ONW117" s="198"/>
      <c r="ONX117" s="199"/>
      <c r="ONY117" s="198"/>
      <c r="ONZ117" s="199"/>
      <c r="OOA117" s="198"/>
      <c r="OOB117" s="199"/>
      <c r="OOC117" s="198"/>
      <c r="OOD117" s="199"/>
      <c r="OOE117" s="198"/>
      <c r="OOF117" s="199"/>
      <c r="OOG117" s="198"/>
      <c r="OOH117" s="199"/>
      <c r="OOI117" s="198"/>
      <c r="OOJ117" s="199"/>
      <c r="OOK117" s="198"/>
      <c r="OOL117" s="199"/>
      <c r="OOM117" s="198"/>
      <c r="OON117" s="199"/>
      <c r="OOO117" s="198"/>
      <c r="OOP117" s="199"/>
      <c r="OOQ117" s="198"/>
      <c r="OOR117" s="199"/>
      <c r="OOS117" s="198"/>
      <c r="OOT117" s="199"/>
      <c r="OOU117" s="198"/>
      <c r="OOV117" s="199"/>
      <c r="OOW117" s="198"/>
      <c r="OOX117" s="199"/>
      <c r="OOY117" s="198"/>
      <c r="OOZ117" s="199"/>
      <c r="OPA117" s="198"/>
      <c r="OPB117" s="199"/>
      <c r="OPC117" s="198"/>
      <c r="OPD117" s="199"/>
      <c r="OPE117" s="198"/>
      <c r="OPF117" s="199"/>
      <c r="OPG117" s="198"/>
      <c r="OPH117" s="199"/>
      <c r="OPI117" s="198"/>
      <c r="OPJ117" s="199"/>
      <c r="OPK117" s="198"/>
      <c r="OPL117" s="199"/>
      <c r="OPM117" s="198"/>
      <c r="OPN117" s="199"/>
      <c r="OPO117" s="198"/>
      <c r="OPP117" s="199"/>
      <c r="OPQ117" s="198"/>
      <c r="OPR117" s="199"/>
      <c r="OPS117" s="198"/>
      <c r="OPT117" s="199"/>
      <c r="OPU117" s="198"/>
      <c r="OPV117" s="199"/>
      <c r="OPW117" s="198"/>
      <c r="OPX117" s="199"/>
      <c r="OPY117" s="198"/>
      <c r="OPZ117" s="199"/>
      <c r="OQA117" s="198"/>
      <c r="OQB117" s="199"/>
      <c r="OQC117" s="198"/>
      <c r="OQD117" s="199"/>
      <c r="OQE117" s="198"/>
      <c r="OQF117" s="199"/>
      <c r="OQG117" s="198"/>
      <c r="OQH117" s="199"/>
      <c r="OQI117" s="198"/>
      <c r="OQJ117" s="199"/>
      <c r="OQK117" s="198"/>
      <c r="OQL117" s="199"/>
      <c r="OQM117" s="198"/>
      <c r="OQN117" s="199"/>
      <c r="OQO117" s="198"/>
      <c r="OQP117" s="199"/>
      <c r="OQQ117" s="198"/>
      <c r="OQR117" s="199"/>
      <c r="OQS117" s="198"/>
      <c r="OQT117" s="199"/>
      <c r="OQU117" s="198"/>
      <c r="OQV117" s="199"/>
      <c r="OQW117" s="198"/>
      <c r="OQX117" s="199"/>
      <c r="OQY117" s="198"/>
      <c r="OQZ117" s="199"/>
      <c r="ORA117" s="198"/>
      <c r="ORB117" s="199"/>
      <c r="ORC117" s="198"/>
      <c r="ORD117" s="199"/>
      <c r="ORE117" s="198"/>
      <c r="ORF117" s="199"/>
      <c r="ORG117" s="198"/>
      <c r="ORH117" s="199"/>
      <c r="ORI117" s="198"/>
      <c r="ORJ117" s="199"/>
      <c r="ORK117" s="198"/>
      <c r="ORL117" s="199"/>
      <c r="ORM117" s="198"/>
      <c r="ORN117" s="199"/>
      <c r="ORO117" s="198"/>
      <c r="ORP117" s="199"/>
      <c r="ORQ117" s="198"/>
      <c r="ORR117" s="199"/>
      <c r="ORS117" s="198"/>
      <c r="ORT117" s="199"/>
      <c r="ORU117" s="198"/>
      <c r="ORV117" s="199"/>
      <c r="ORW117" s="198"/>
      <c r="ORX117" s="199"/>
      <c r="ORY117" s="198"/>
      <c r="ORZ117" s="199"/>
      <c r="OSA117" s="198"/>
      <c r="OSB117" s="199"/>
      <c r="OSC117" s="198"/>
      <c r="OSD117" s="199"/>
      <c r="OSE117" s="198"/>
      <c r="OSF117" s="199"/>
      <c r="OSG117" s="198"/>
      <c r="OSH117" s="199"/>
      <c r="OSI117" s="198"/>
      <c r="OSJ117" s="199"/>
      <c r="OSK117" s="198"/>
      <c r="OSL117" s="199"/>
      <c r="OSM117" s="198"/>
      <c r="OSN117" s="199"/>
      <c r="OSO117" s="198"/>
      <c r="OSP117" s="199"/>
      <c r="OSQ117" s="198"/>
      <c r="OSR117" s="199"/>
      <c r="OSS117" s="198"/>
      <c r="OST117" s="199"/>
      <c r="OSU117" s="198"/>
      <c r="OSV117" s="199"/>
      <c r="OSW117" s="198"/>
      <c r="OSX117" s="199"/>
      <c r="OSY117" s="198"/>
      <c r="OSZ117" s="199"/>
      <c r="OTA117" s="198"/>
      <c r="OTB117" s="199"/>
      <c r="OTC117" s="198"/>
      <c r="OTD117" s="199"/>
      <c r="OTE117" s="198"/>
      <c r="OTF117" s="199"/>
      <c r="OTG117" s="198"/>
      <c r="OTH117" s="199"/>
      <c r="OTI117" s="198"/>
      <c r="OTJ117" s="199"/>
      <c r="OTK117" s="198"/>
      <c r="OTL117" s="199"/>
      <c r="OTM117" s="198"/>
      <c r="OTN117" s="199"/>
      <c r="OTO117" s="198"/>
      <c r="OTP117" s="199"/>
      <c r="OTQ117" s="198"/>
      <c r="OTR117" s="199"/>
      <c r="OTS117" s="198"/>
      <c r="OTT117" s="199"/>
      <c r="OTU117" s="198"/>
      <c r="OTV117" s="199"/>
      <c r="OTW117" s="198"/>
      <c r="OTX117" s="199"/>
      <c r="OTY117" s="198"/>
      <c r="OTZ117" s="199"/>
      <c r="OUA117" s="198"/>
      <c r="OUB117" s="199"/>
      <c r="OUC117" s="198"/>
      <c r="OUD117" s="199"/>
      <c r="OUE117" s="198"/>
      <c r="OUF117" s="199"/>
      <c r="OUG117" s="198"/>
      <c r="OUH117" s="199"/>
      <c r="OUI117" s="198"/>
      <c r="OUJ117" s="199"/>
      <c r="OUK117" s="198"/>
      <c r="OUL117" s="199"/>
      <c r="OUM117" s="198"/>
      <c r="OUN117" s="199"/>
      <c r="OUO117" s="198"/>
      <c r="OUP117" s="199"/>
      <c r="OUQ117" s="198"/>
      <c r="OUR117" s="199"/>
      <c r="OUS117" s="198"/>
      <c r="OUT117" s="199"/>
      <c r="OUU117" s="198"/>
      <c r="OUV117" s="199"/>
      <c r="OUW117" s="198"/>
      <c r="OUX117" s="199"/>
      <c r="OUY117" s="198"/>
      <c r="OUZ117" s="199"/>
      <c r="OVA117" s="198"/>
      <c r="OVB117" s="199"/>
      <c r="OVC117" s="198"/>
      <c r="OVD117" s="199"/>
      <c r="OVE117" s="198"/>
      <c r="OVF117" s="199"/>
      <c r="OVG117" s="198"/>
      <c r="OVH117" s="199"/>
      <c r="OVI117" s="198"/>
      <c r="OVJ117" s="199"/>
      <c r="OVK117" s="198"/>
      <c r="OVL117" s="199"/>
      <c r="OVM117" s="198"/>
      <c r="OVN117" s="199"/>
      <c r="OVO117" s="198"/>
      <c r="OVP117" s="199"/>
      <c r="OVQ117" s="198"/>
      <c r="OVR117" s="199"/>
      <c r="OVS117" s="198"/>
      <c r="OVT117" s="199"/>
      <c r="OVU117" s="198"/>
      <c r="OVV117" s="199"/>
      <c r="OVW117" s="198"/>
      <c r="OVX117" s="199"/>
      <c r="OVY117" s="198"/>
      <c r="OVZ117" s="199"/>
      <c r="OWA117" s="198"/>
      <c r="OWB117" s="199"/>
      <c r="OWC117" s="198"/>
      <c r="OWD117" s="199"/>
      <c r="OWE117" s="198"/>
      <c r="OWF117" s="199"/>
      <c r="OWG117" s="198"/>
      <c r="OWH117" s="199"/>
      <c r="OWI117" s="198"/>
      <c r="OWJ117" s="199"/>
      <c r="OWK117" s="198"/>
      <c r="OWL117" s="199"/>
      <c r="OWM117" s="198"/>
      <c r="OWN117" s="199"/>
      <c r="OWO117" s="198"/>
      <c r="OWP117" s="199"/>
      <c r="OWQ117" s="198"/>
      <c r="OWR117" s="199"/>
      <c r="OWS117" s="198"/>
      <c r="OWT117" s="199"/>
      <c r="OWU117" s="198"/>
      <c r="OWV117" s="199"/>
      <c r="OWW117" s="198"/>
      <c r="OWX117" s="199"/>
      <c r="OWY117" s="198"/>
      <c r="OWZ117" s="199"/>
      <c r="OXA117" s="198"/>
      <c r="OXB117" s="199"/>
      <c r="OXC117" s="198"/>
      <c r="OXD117" s="199"/>
      <c r="OXE117" s="198"/>
      <c r="OXF117" s="199"/>
      <c r="OXG117" s="198"/>
      <c r="OXH117" s="199"/>
      <c r="OXI117" s="198"/>
      <c r="OXJ117" s="199"/>
      <c r="OXK117" s="198"/>
      <c r="OXL117" s="199"/>
      <c r="OXM117" s="198"/>
      <c r="OXN117" s="199"/>
      <c r="OXO117" s="198"/>
      <c r="OXP117" s="199"/>
      <c r="OXQ117" s="198"/>
      <c r="OXR117" s="199"/>
      <c r="OXS117" s="198"/>
      <c r="OXT117" s="199"/>
      <c r="OXU117" s="198"/>
      <c r="OXV117" s="199"/>
      <c r="OXW117" s="198"/>
      <c r="OXX117" s="199"/>
      <c r="OXY117" s="198"/>
      <c r="OXZ117" s="199"/>
      <c r="OYA117" s="198"/>
      <c r="OYB117" s="199"/>
      <c r="OYC117" s="198"/>
      <c r="OYD117" s="199"/>
      <c r="OYE117" s="198"/>
      <c r="OYF117" s="199"/>
      <c r="OYG117" s="198"/>
      <c r="OYH117" s="199"/>
      <c r="OYI117" s="198"/>
      <c r="OYJ117" s="199"/>
      <c r="OYK117" s="198"/>
      <c r="OYL117" s="199"/>
      <c r="OYM117" s="198"/>
      <c r="OYN117" s="199"/>
      <c r="OYO117" s="198"/>
      <c r="OYP117" s="199"/>
      <c r="OYQ117" s="198"/>
      <c r="OYR117" s="199"/>
      <c r="OYS117" s="198"/>
      <c r="OYT117" s="199"/>
      <c r="OYU117" s="198"/>
      <c r="OYV117" s="199"/>
      <c r="OYW117" s="198"/>
      <c r="OYX117" s="199"/>
      <c r="OYY117" s="198"/>
      <c r="OYZ117" s="199"/>
      <c r="OZA117" s="198"/>
      <c r="OZB117" s="199"/>
      <c r="OZC117" s="198"/>
      <c r="OZD117" s="199"/>
      <c r="OZE117" s="198"/>
      <c r="OZF117" s="199"/>
      <c r="OZG117" s="198"/>
      <c r="OZH117" s="199"/>
      <c r="OZI117" s="198"/>
      <c r="OZJ117" s="199"/>
      <c r="OZK117" s="198"/>
      <c r="OZL117" s="199"/>
      <c r="OZM117" s="198"/>
      <c r="OZN117" s="199"/>
      <c r="OZO117" s="198"/>
      <c r="OZP117" s="199"/>
      <c r="OZQ117" s="198"/>
      <c r="OZR117" s="199"/>
      <c r="OZS117" s="198"/>
      <c r="OZT117" s="199"/>
      <c r="OZU117" s="198"/>
      <c r="OZV117" s="199"/>
      <c r="OZW117" s="198"/>
      <c r="OZX117" s="199"/>
      <c r="OZY117" s="198"/>
      <c r="OZZ117" s="199"/>
      <c r="PAA117" s="198"/>
      <c r="PAB117" s="199"/>
      <c r="PAC117" s="198"/>
      <c r="PAD117" s="199"/>
      <c r="PAE117" s="198"/>
      <c r="PAF117" s="199"/>
      <c r="PAG117" s="198"/>
      <c r="PAH117" s="199"/>
      <c r="PAI117" s="198"/>
      <c r="PAJ117" s="199"/>
      <c r="PAK117" s="198"/>
      <c r="PAL117" s="199"/>
      <c r="PAM117" s="198"/>
      <c r="PAN117" s="199"/>
      <c r="PAO117" s="198"/>
      <c r="PAP117" s="199"/>
      <c r="PAQ117" s="198"/>
      <c r="PAR117" s="199"/>
      <c r="PAS117" s="198"/>
      <c r="PAT117" s="199"/>
      <c r="PAU117" s="198"/>
      <c r="PAV117" s="199"/>
      <c r="PAW117" s="198"/>
      <c r="PAX117" s="199"/>
      <c r="PAY117" s="198"/>
      <c r="PAZ117" s="199"/>
      <c r="PBA117" s="198"/>
      <c r="PBB117" s="199"/>
      <c r="PBC117" s="198"/>
      <c r="PBD117" s="199"/>
      <c r="PBE117" s="198"/>
      <c r="PBF117" s="199"/>
      <c r="PBG117" s="198"/>
      <c r="PBH117" s="199"/>
      <c r="PBI117" s="198"/>
      <c r="PBJ117" s="199"/>
      <c r="PBK117" s="198"/>
      <c r="PBL117" s="199"/>
      <c r="PBM117" s="198"/>
      <c r="PBN117" s="199"/>
      <c r="PBO117" s="198"/>
      <c r="PBP117" s="199"/>
      <c r="PBQ117" s="198"/>
      <c r="PBR117" s="199"/>
      <c r="PBS117" s="198"/>
      <c r="PBT117" s="199"/>
      <c r="PBU117" s="198"/>
      <c r="PBV117" s="199"/>
      <c r="PBW117" s="198"/>
      <c r="PBX117" s="199"/>
      <c r="PBY117" s="198"/>
      <c r="PBZ117" s="199"/>
      <c r="PCA117" s="198"/>
      <c r="PCB117" s="199"/>
      <c r="PCC117" s="198"/>
      <c r="PCD117" s="199"/>
      <c r="PCE117" s="198"/>
      <c r="PCF117" s="199"/>
      <c r="PCG117" s="198"/>
      <c r="PCH117" s="199"/>
      <c r="PCI117" s="198"/>
      <c r="PCJ117" s="199"/>
      <c r="PCK117" s="198"/>
      <c r="PCL117" s="199"/>
      <c r="PCM117" s="198"/>
      <c r="PCN117" s="199"/>
      <c r="PCO117" s="198"/>
      <c r="PCP117" s="199"/>
      <c r="PCQ117" s="198"/>
      <c r="PCR117" s="199"/>
      <c r="PCS117" s="198"/>
      <c r="PCT117" s="199"/>
      <c r="PCU117" s="198"/>
      <c r="PCV117" s="199"/>
      <c r="PCW117" s="198"/>
      <c r="PCX117" s="199"/>
      <c r="PCY117" s="198"/>
      <c r="PCZ117" s="199"/>
      <c r="PDA117" s="198"/>
      <c r="PDB117" s="199"/>
      <c r="PDC117" s="198"/>
      <c r="PDD117" s="199"/>
      <c r="PDE117" s="198"/>
      <c r="PDF117" s="199"/>
      <c r="PDG117" s="198"/>
      <c r="PDH117" s="199"/>
      <c r="PDI117" s="198"/>
      <c r="PDJ117" s="199"/>
      <c r="PDK117" s="198"/>
      <c r="PDL117" s="199"/>
      <c r="PDM117" s="198"/>
      <c r="PDN117" s="199"/>
      <c r="PDO117" s="198"/>
      <c r="PDP117" s="199"/>
      <c r="PDQ117" s="198"/>
      <c r="PDR117" s="199"/>
      <c r="PDS117" s="198"/>
      <c r="PDT117" s="199"/>
      <c r="PDU117" s="198"/>
      <c r="PDV117" s="199"/>
      <c r="PDW117" s="198"/>
      <c r="PDX117" s="199"/>
      <c r="PDY117" s="198"/>
      <c r="PDZ117" s="199"/>
      <c r="PEA117" s="198"/>
      <c r="PEB117" s="199"/>
      <c r="PEC117" s="198"/>
      <c r="PED117" s="199"/>
      <c r="PEE117" s="198"/>
      <c r="PEF117" s="199"/>
      <c r="PEG117" s="198"/>
      <c r="PEH117" s="199"/>
      <c r="PEI117" s="198"/>
      <c r="PEJ117" s="199"/>
      <c r="PEK117" s="198"/>
      <c r="PEL117" s="199"/>
      <c r="PEM117" s="198"/>
      <c r="PEN117" s="199"/>
      <c r="PEO117" s="198"/>
      <c r="PEP117" s="199"/>
      <c r="PEQ117" s="198"/>
      <c r="PER117" s="199"/>
      <c r="PES117" s="198"/>
      <c r="PET117" s="199"/>
      <c r="PEU117" s="198"/>
      <c r="PEV117" s="199"/>
      <c r="PEW117" s="198"/>
      <c r="PEX117" s="199"/>
      <c r="PEY117" s="198"/>
      <c r="PEZ117" s="199"/>
      <c r="PFA117" s="198"/>
      <c r="PFB117" s="199"/>
      <c r="PFC117" s="198"/>
      <c r="PFD117" s="199"/>
      <c r="PFE117" s="198"/>
      <c r="PFF117" s="199"/>
      <c r="PFG117" s="198"/>
      <c r="PFH117" s="199"/>
      <c r="PFI117" s="198"/>
      <c r="PFJ117" s="199"/>
      <c r="PFK117" s="198"/>
      <c r="PFL117" s="199"/>
      <c r="PFM117" s="198"/>
      <c r="PFN117" s="199"/>
      <c r="PFO117" s="198"/>
      <c r="PFP117" s="199"/>
      <c r="PFQ117" s="198"/>
      <c r="PFR117" s="199"/>
      <c r="PFS117" s="198"/>
      <c r="PFT117" s="199"/>
      <c r="PFU117" s="198"/>
      <c r="PFV117" s="199"/>
      <c r="PFW117" s="198"/>
      <c r="PFX117" s="199"/>
      <c r="PFY117" s="198"/>
      <c r="PFZ117" s="199"/>
      <c r="PGA117" s="198"/>
      <c r="PGB117" s="199"/>
      <c r="PGC117" s="198"/>
      <c r="PGD117" s="199"/>
      <c r="PGE117" s="198"/>
      <c r="PGF117" s="199"/>
      <c r="PGG117" s="198"/>
      <c r="PGH117" s="199"/>
      <c r="PGI117" s="198"/>
      <c r="PGJ117" s="199"/>
      <c r="PGK117" s="198"/>
      <c r="PGL117" s="199"/>
      <c r="PGM117" s="198"/>
      <c r="PGN117" s="199"/>
      <c r="PGO117" s="198"/>
      <c r="PGP117" s="199"/>
      <c r="PGQ117" s="198"/>
      <c r="PGR117" s="199"/>
      <c r="PGS117" s="198"/>
      <c r="PGT117" s="199"/>
      <c r="PGU117" s="198"/>
      <c r="PGV117" s="199"/>
      <c r="PGW117" s="198"/>
      <c r="PGX117" s="199"/>
      <c r="PGY117" s="198"/>
      <c r="PGZ117" s="199"/>
      <c r="PHA117" s="198"/>
      <c r="PHB117" s="199"/>
      <c r="PHC117" s="198"/>
      <c r="PHD117" s="199"/>
      <c r="PHE117" s="198"/>
      <c r="PHF117" s="199"/>
      <c r="PHG117" s="198"/>
      <c r="PHH117" s="199"/>
      <c r="PHI117" s="198"/>
      <c r="PHJ117" s="199"/>
      <c r="PHK117" s="198"/>
      <c r="PHL117" s="199"/>
      <c r="PHM117" s="198"/>
      <c r="PHN117" s="199"/>
      <c r="PHO117" s="198"/>
      <c r="PHP117" s="199"/>
      <c r="PHQ117" s="198"/>
      <c r="PHR117" s="199"/>
      <c r="PHS117" s="198"/>
      <c r="PHT117" s="199"/>
      <c r="PHU117" s="198"/>
      <c r="PHV117" s="199"/>
      <c r="PHW117" s="198"/>
      <c r="PHX117" s="199"/>
      <c r="PHY117" s="198"/>
      <c r="PHZ117" s="199"/>
      <c r="PIA117" s="198"/>
      <c r="PIB117" s="199"/>
      <c r="PIC117" s="198"/>
      <c r="PID117" s="199"/>
      <c r="PIE117" s="198"/>
      <c r="PIF117" s="199"/>
      <c r="PIG117" s="198"/>
      <c r="PIH117" s="199"/>
      <c r="PII117" s="198"/>
      <c r="PIJ117" s="199"/>
      <c r="PIK117" s="198"/>
      <c r="PIL117" s="199"/>
      <c r="PIM117" s="198"/>
      <c r="PIN117" s="199"/>
      <c r="PIO117" s="198"/>
      <c r="PIP117" s="199"/>
      <c r="PIQ117" s="198"/>
      <c r="PIR117" s="199"/>
      <c r="PIS117" s="198"/>
      <c r="PIT117" s="199"/>
      <c r="PIU117" s="198"/>
      <c r="PIV117" s="199"/>
      <c r="PIW117" s="198"/>
      <c r="PIX117" s="199"/>
      <c r="PIY117" s="198"/>
      <c r="PIZ117" s="199"/>
      <c r="PJA117" s="198"/>
      <c r="PJB117" s="199"/>
      <c r="PJC117" s="198"/>
      <c r="PJD117" s="199"/>
      <c r="PJE117" s="198"/>
      <c r="PJF117" s="199"/>
      <c r="PJG117" s="198"/>
      <c r="PJH117" s="199"/>
      <c r="PJI117" s="198"/>
      <c r="PJJ117" s="199"/>
      <c r="PJK117" s="198"/>
      <c r="PJL117" s="199"/>
      <c r="PJM117" s="198"/>
      <c r="PJN117" s="199"/>
      <c r="PJO117" s="198"/>
      <c r="PJP117" s="199"/>
      <c r="PJQ117" s="198"/>
      <c r="PJR117" s="199"/>
      <c r="PJS117" s="198"/>
      <c r="PJT117" s="199"/>
      <c r="PJU117" s="198"/>
      <c r="PJV117" s="199"/>
      <c r="PJW117" s="198"/>
      <c r="PJX117" s="199"/>
      <c r="PJY117" s="198"/>
      <c r="PJZ117" s="199"/>
      <c r="PKA117" s="198"/>
      <c r="PKB117" s="199"/>
      <c r="PKC117" s="198"/>
      <c r="PKD117" s="199"/>
      <c r="PKE117" s="198"/>
      <c r="PKF117" s="199"/>
      <c r="PKG117" s="198"/>
      <c r="PKH117" s="199"/>
      <c r="PKI117" s="198"/>
      <c r="PKJ117" s="199"/>
      <c r="PKK117" s="198"/>
      <c r="PKL117" s="199"/>
      <c r="PKM117" s="198"/>
      <c r="PKN117" s="199"/>
      <c r="PKO117" s="198"/>
      <c r="PKP117" s="199"/>
      <c r="PKQ117" s="198"/>
      <c r="PKR117" s="199"/>
      <c r="PKS117" s="198"/>
      <c r="PKT117" s="199"/>
      <c r="PKU117" s="198"/>
      <c r="PKV117" s="199"/>
      <c r="PKW117" s="198"/>
      <c r="PKX117" s="199"/>
      <c r="PKY117" s="198"/>
      <c r="PKZ117" s="199"/>
      <c r="PLA117" s="198"/>
      <c r="PLB117" s="199"/>
      <c r="PLC117" s="198"/>
      <c r="PLD117" s="199"/>
      <c r="PLE117" s="198"/>
      <c r="PLF117" s="199"/>
      <c r="PLG117" s="198"/>
      <c r="PLH117" s="199"/>
      <c r="PLI117" s="198"/>
      <c r="PLJ117" s="199"/>
      <c r="PLK117" s="198"/>
      <c r="PLL117" s="199"/>
      <c r="PLM117" s="198"/>
      <c r="PLN117" s="199"/>
      <c r="PLO117" s="198"/>
      <c r="PLP117" s="199"/>
      <c r="PLQ117" s="198"/>
      <c r="PLR117" s="199"/>
      <c r="PLS117" s="198"/>
      <c r="PLT117" s="199"/>
      <c r="PLU117" s="198"/>
      <c r="PLV117" s="199"/>
      <c r="PLW117" s="198"/>
      <c r="PLX117" s="199"/>
      <c r="PLY117" s="198"/>
      <c r="PLZ117" s="199"/>
      <c r="PMA117" s="198"/>
      <c r="PMB117" s="199"/>
      <c r="PMC117" s="198"/>
      <c r="PMD117" s="199"/>
      <c r="PME117" s="198"/>
      <c r="PMF117" s="199"/>
      <c r="PMG117" s="198"/>
      <c r="PMH117" s="199"/>
      <c r="PMI117" s="198"/>
      <c r="PMJ117" s="199"/>
      <c r="PMK117" s="198"/>
      <c r="PML117" s="199"/>
      <c r="PMM117" s="198"/>
      <c r="PMN117" s="199"/>
      <c r="PMO117" s="198"/>
      <c r="PMP117" s="199"/>
      <c r="PMQ117" s="198"/>
      <c r="PMR117" s="199"/>
      <c r="PMS117" s="198"/>
      <c r="PMT117" s="199"/>
      <c r="PMU117" s="198"/>
      <c r="PMV117" s="199"/>
      <c r="PMW117" s="198"/>
      <c r="PMX117" s="199"/>
      <c r="PMY117" s="198"/>
      <c r="PMZ117" s="199"/>
      <c r="PNA117" s="198"/>
      <c r="PNB117" s="199"/>
      <c r="PNC117" s="198"/>
      <c r="PND117" s="199"/>
      <c r="PNE117" s="198"/>
      <c r="PNF117" s="199"/>
      <c r="PNG117" s="198"/>
      <c r="PNH117" s="199"/>
      <c r="PNI117" s="198"/>
      <c r="PNJ117" s="199"/>
      <c r="PNK117" s="198"/>
      <c r="PNL117" s="199"/>
      <c r="PNM117" s="198"/>
      <c r="PNN117" s="199"/>
      <c r="PNO117" s="198"/>
      <c r="PNP117" s="199"/>
      <c r="PNQ117" s="198"/>
      <c r="PNR117" s="199"/>
      <c r="PNS117" s="198"/>
      <c r="PNT117" s="199"/>
      <c r="PNU117" s="198"/>
      <c r="PNV117" s="199"/>
      <c r="PNW117" s="198"/>
      <c r="PNX117" s="199"/>
      <c r="PNY117" s="198"/>
      <c r="PNZ117" s="199"/>
      <c r="POA117" s="198"/>
      <c r="POB117" s="199"/>
      <c r="POC117" s="198"/>
      <c r="POD117" s="199"/>
      <c r="POE117" s="198"/>
      <c r="POF117" s="199"/>
      <c r="POG117" s="198"/>
      <c r="POH117" s="199"/>
      <c r="POI117" s="198"/>
      <c r="POJ117" s="199"/>
      <c r="POK117" s="198"/>
      <c r="POL117" s="199"/>
      <c r="POM117" s="198"/>
      <c r="PON117" s="199"/>
      <c r="POO117" s="198"/>
      <c r="POP117" s="199"/>
      <c r="POQ117" s="198"/>
      <c r="POR117" s="199"/>
      <c r="POS117" s="198"/>
      <c r="POT117" s="199"/>
      <c r="POU117" s="198"/>
      <c r="POV117" s="199"/>
      <c r="POW117" s="198"/>
      <c r="POX117" s="199"/>
      <c r="POY117" s="198"/>
      <c r="POZ117" s="199"/>
      <c r="PPA117" s="198"/>
      <c r="PPB117" s="199"/>
      <c r="PPC117" s="198"/>
      <c r="PPD117" s="199"/>
      <c r="PPE117" s="198"/>
      <c r="PPF117" s="199"/>
      <c r="PPG117" s="198"/>
      <c r="PPH117" s="199"/>
      <c r="PPI117" s="198"/>
      <c r="PPJ117" s="199"/>
      <c r="PPK117" s="198"/>
      <c r="PPL117" s="199"/>
      <c r="PPM117" s="198"/>
      <c r="PPN117" s="199"/>
      <c r="PPO117" s="198"/>
      <c r="PPP117" s="199"/>
      <c r="PPQ117" s="198"/>
      <c r="PPR117" s="199"/>
      <c r="PPS117" s="198"/>
      <c r="PPT117" s="199"/>
      <c r="PPU117" s="198"/>
      <c r="PPV117" s="199"/>
      <c r="PPW117" s="198"/>
      <c r="PPX117" s="199"/>
      <c r="PPY117" s="198"/>
      <c r="PPZ117" s="199"/>
      <c r="PQA117" s="198"/>
      <c r="PQB117" s="199"/>
      <c r="PQC117" s="198"/>
      <c r="PQD117" s="199"/>
      <c r="PQE117" s="198"/>
      <c r="PQF117" s="199"/>
      <c r="PQG117" s="198"/>
      <c r="PQH117" s="199"/>
      <c r="PQI117" s="198"/>
      <c r="PQJ117" s="199"/>
      <c r="PQK117" s="198"/>
      <c r="PQL117" s="199"/>
      <c r="PQM117" s="198"/>
      <c r="PQN117" s="199"/>
      <c r="PQO117" s="198"/>
      <c r="PQP117" s="199"/>
      <c r="PQQ117" s="198"/>
      <c r="PQR117" s="199"/>
      <c r="PQS117" s="198"/>
      <c r="PQT117" s="199"/>
      <c r="PQU117" s="198"/>
      <c r="PQV117" s="199"/>
      <c r="PQW117" s="198"/>
      <c r="PQX117" s="199"/>
      <c r="PQY117" s="198"/>
      <c r="PQZ117" s="199"/>
      <c r="PRA117" s="198"/>
      <c r="PRB117" s="199"/>
      <c r="PRC117" s="198"/>
      <c r="PRD117" s="199"/>
      <c r="PRE117" s="198"/>
      <c r="PRF117" s="199"/>
      <c r="PRG117" s="198"/>
      <c r="PRH117" s="199"/>
      <c r="PRI117" s="198"/>
      <c r="PRJ117" s="199"/>
      <c r="PRK117" s="198"/>
      <c r="PRL117" s="199"/>
      <c r="PRM117" s="198"/>
      <c r="PRN117" s="199"/>
      <c r="PRO117" s="198"/>
      <c r="PRP117" s="199"/>
      <c r="PRQ117" s="198"/>
      <c r="PRR117" s="199"/>
      <c r="PRS117" s="198"/>
      <c r="PRT117" s="199"/>
      <c r="PRU117" s="198"/>
      <c r="PRV117" s="199"/>
      <c r="PRW117" s="198"/>
      <c r="PRX117" s="199"/>
      <c r="PRY117" s="198"/>
      <c r="PRZ117" s="199"/>
      <c r="PSA117" s="198"/>
      <c r="PSB117" s="199"/>
      <c r="PSC117" s="198"/>
      <c r="PSD117" s="199"/>
      <c r="PSE117" s="198"/>
      <c r="PSF117" s="199"/>
      <c r="PSG117" s="198"/>
      <c r="PSH117" s="199"/>
      <c r="PSI117" s="198"/>
      <c r="PSJ117" s="199"/>
      <c r="PSK117" s="198"/>
      <c r="PSL117" s="199"/>
      <c r="PSM117" s="198"/>
      <c r="PSN117" s="199"/>
      <c r="PSO117" s="198"/>
      <c r="PSP117" s="199"/>
      <c r="PSQ117" s="198"/>
      <c r="PSR117" s="199"/>
      <c r="PSS117" s="198"/>
      <c r="PST117" s="199"/>
      <c r="PSU117" s="198"/>
      <c r="PSV117" s="199"/>
      <c r="PSW117" s="198"/>
      <c r="PSX117" s="199"/>
      <c r="PSY117" s="198"/>
      <c r="PSZ117" s="199"/>
      <c r="PTA117" s="198"/>
      <c r="PTB117" s="199"/>
      <c r="PTC117" s="198"/>
      <c r="PTD117" s="199"/>
      <c r="PTE117" s="198"/>
      <c r="PTF117" s="199"/>
      <c r="PTG117" s="198"/>
      <c r="PTH117" s="199"/>
      <c r="PTI117" s="198"/>
      <c r="PTJ117" s="199"/>
      <c r="PTK117" s="198"/>
      <c r="PTL117" s="199"/>
      <c r="PTM117" s="198"/>
      <c r="PTN117" s="199"/>
      <c r="PTO117" s="198"/>
      <c r="PTP117" s="199"/>
      <c r="PTQ117" s="198"/>
      <c r="PTR117" s="199"/>
      <c r="PTS117" s="198"/>
      <c r="PTT117" s="199"/>
      <c r="PTU117" s="198"/>
      <c r="PTV117" s="199"/>
      <c r="PTW117" s="198"/>
      <c r="PTX117" s="199"/>
      <c r="PTY117" s="198"/>
      <c r="PTZ117" s="199"/>
      <c r="PUA117" s="198"/>
      <c r="PUB117" s="199"/>
      <c r="PUC117" s="198"/>
      <c r="PUD117" s="199"/>
      <c r="PUE117" s="198"/>
      <c r="PUF117" s="199"/>
      <c r="PUG117" s="198"/>
      <c r="PUH117" s="199"/>
      <c r="PUI117" s="198"/>
      <c r="PUJ117" s="199"/>
      <c r="PUK117" s="198"/>
      <c r="PUL117" s="199"/>
      <c r="PUM117" s="198"/>
      <c r="PUN117" s="199"/>
      <c r="PUO117" s="198"/>
      <c r="PUP117" s="199"/>
      <c r="PUQ117" s="198"/>
      <c r="PUR117" s="199"/>
      <c r="PUS117" s="198"/>
      <c r="PUT117" s="199"/>
      <c r="PUU117" s="198"/>
      <c r="PUV117" s="199"/>
      <c r="PUW117" s="198"/>
      <c r="PUX117" s="199"/>
      <c r="PUY117" s="198"/>
      <c r="PUZ117" s="199"/>
      <c r="PVA117" s="198"/>
      <c r="PVB117" s="199"/>
      <c r="PVC117" s="198"/>
      <c r="PVD117" s="199"/>
      <c r="PVE117" s="198"/>
      <c r="PVF117" s="199"/>
      <c r="PVG117" s="198"/>
      <c r="PVH117" s="199"/>
      <c r="PVI117" s="198"/>
      <c r="PVJ117" s="199"/>
      <c r="PVK117" s="198"/>
      <c r="PVL117" s="199"/>
      <c r="PVM117" s="198"/>
      <c r="PVN117" s="199"/>
      <c r="PVO117" s="198"/>
      <c r="PVP117" s="199"/>
      <c r="PVQ117" s="198"/>
      <c r="PVR117" s="199"/>
      <c r="PVS117" s="198"/>
      <c r="PVT117" s="199"/>
      <c r="PVU117" s="198"/>
      <c r="PVV117" s="199"/>
      <c r="PVW117" s="198"/>
      <c r="PVX117" s="199"/>
      <c r="PVY117" s="198"/>
      <c r="PVZ117" s="199"/>
      <c r="PWA117" s="198"/>
      <c r="PWB117" s="199"/>
      <c r="PWC117" s="198"/>
      <c r="PWD117" s="199"/>
      <c r="PWE117" s="198"/>
      <c r="PWF117" s="199"/>
      <c r="PWG117" s="198"/>
      <c r="PWH117" s="199"/>
      <c r="PWI117" s="198"/>
      <c r="PWJ117" s="199"/>
      <c r="PWK117" s="198"/>
      <c r="PWL117" s="199"/>
      <c r="PWM117" s="198"/>
      <c r="PWN117" s="199"/>
      <c r="PWO117" s="198"/>
      <c r="PWP117" s="199"/>
      <c r="PWQ117" s="198"/>
      <c r="PWR117" s="199"/>
      <c r="PWS117" s="198"/>
      <c r="PWT117" s="199"/>
      <c r="PWU117" s="198"/>
      <c r="PWV117" s="199"/>
      <c r="PWW117" s="198"/>
      <c r="PWX117" s="199"/>
      <c r="PWY117" s="198"/>
      <c r="PWZ117" s="199"/>
      <c r="PXA117" s="198"/>
      <c r="PXB117" s="199"/>
      <c r="PXC117" s="198"/>
      <c r="PXD117" s="199"/>
      <c r="PXE117" s="198"/>
      <c r="PXF117" s="199"/>
      <c r="PXG117" s="198"/>
      <c r="PXH117" s="199"/>
      <c r="PXI117" s="198"/>
      <c r="PXJ117" s="199"/>
      <c r="PXK117" s="198"/>
      <c r="PXL117" s="199"/>
      <c r="PXM117" s="198"/>
      <c r="PXN117" s="199"/>
      <c r="PXO117" s="198"/>
      <c r="PXP117" s="199"/>
      <c r="PXQ117" s="198"/>
      <c r="PXR117" s="199"/>
      <c r="PXS117" s="198"/>
      <c r="PXT117" s="199"/>
      <c r="PXU117" s="198"/>
      <c r="PXV117" s="199"/>
      <c r="PXW117" s="198"/>
      <c r="PXX117" s="199"/>
      <c r="PXY117" s="198"/>
      <c r="PXZ117" s="199"/>
      <c r="PYA117" s="198"/>
      <c r="PYB117" s="199"/>
      <c r="PYC117" s="198"/>
      <c r="PYD117" s="199"/>
      <c r="PYE117" s="198"/>
      <c r="PYF117" s="199"/>
      <c r="PYG117" s="198"/>
      <c r="PYH117" s="199"/>
      <c r="PYI117" s="198"/>
      <c r="PYJ117" s="199"/>
      <c r="PYK117" s="198"/>
      <c r="PYL117" s="199"/>
      <c r="PYM117" s="198"/>
      <c r="PYN117" s="199"/>
      <c r="PYO117" s="198"/>
      <c r="PYP117" s="199"/>
      <c r="PYQ117" s="198"/>
      <c r="PYR117" s="199"/>
      <c r="PYS117" s="198"/>
      <c r="PYT117" s="199"/>
      <c r="PYU117" s="198"/>
      <c r="PYV117" s="199"/>
      <c r="PYW117" s="198"/>
      <c r="PYX117" s="199"/>
      <c r="PYY117" s="198"/>
      <c r="PYZ117" s="199"/>
      <c r="PZA117" s="198"/>
      <c r="PZB117" s="199"/>
      <c r="PZC117" s="198"/>
      <c r="PZD117" s="199"/>
      <c r="PZE117" s="198"/>
      <c r="PZF117" s="199"/>
      <c r="PZG117" s="198"/>
      <c r="PZH117" s="199"/>
      <c r="PZI117" s="198"/>
      <c r="PZJ117" s="199"/>
      <c r="PZK117" s="198"/>
      <c r="PZL117" s="199"/>
      <c r="PZM117" s="198"/>
      <c r="PZN117" s="199"/>
      <c r="PZO117" s="198"/>
      <c r="PZP117" s="199"/>
      <c r="PZQ117" s="198"/>
      <c r="PZR117" s="199"/>
      <c r="PZS117" s="198"/>
      <c r="PZT117" s="199"/>
      <c r="PZU117" s="198"/>
      <c r="PZV117" s="199"/>
      <c r="PZW117" s="198"/>
      <c r="PZX117" s="199"/>
      <c r="PZY117" s="198"/>
      <c r="PZZ117" s="199"/>
      <c r="QAA117" s="198"/>
      <c r="QAB117" s="199"/>
      <c r="QAC117" s="198"/>
      <c r="QAD117" s="199"/>
      <c r="QAE117" s="198"/>
      <c r="QAF117" s="199"/>
      <c r="QAG117" s="198"/>
      <c r="QAH117" s="199"/>
      <c r="QAI117" s="198"/>
      <c r="QAJ117" s="199"/>
      <c r="QAK117" s="198"/>
      <c r="QAL117" s="199"/>
      <c r="QAM117" s="198"/>
      <c r="QAN117" s="199"/>
      <c r="QAO117" s="198"/>
      <c r="QAP117" s="199"/>
      <c r="QAQ117" s="198"/>
      <c r="QAR117" s="199"/>
      <c r="QAS117" s="198"/>
      <c r="QAT117" s="199"/>
      <c r="QAU117" s="198"/>
      <c r="QAV117" s="199"/>
      <c r="QAW117" s="198"/>
      <c r="QAX117" s="199"/>
      <c r="QAY117" s="198"/>
      <c r="QAZ117" s="199"/>
      <c r="QBA117" s="198"/>
      <c r="QBB117" s="199"/>
      <c r="QBC117" s="198"/>
      <c r="QBD117" s="199"/>
      <c r="QBE117" s="198"/>
      <c r="QBF117" s="199"/>
      <c r="QBG117" s="198"/>
      <c r="QBH117" s="199"/>
      <c r="QBI117" s="198"/>
      <c r="QBJ117" s="199"/>
      <c r="QBK117" s="198"/>
      <c r="QBL117" s="199"/>
      <c r="QBM117" s="198"/>
      <c r="QBN117" s="199"/>
      <c r="QBO117" s="198"/>
      <c r="QBP117" s="199"/>
      <c r="QBQ117" s="198"/>
      <c r="QBR117" s="199"/>
      <c r="QBS117" s="198"/>
      <c r="QBT117" s="199"/>
      <c r="QBU117" s="198"/>
      <c r="QBV117" s="199"/>
      <c r="QBW117" s="198"/>
      <c r="QBX117" s="199"/>
      <c r="QBY117" s="198"/>
      <c r="QBZ117" s="199"/>
      <c r="QCA117" s="198"/>
      <c r="QCB117" s="199"/>
      <c r="QCC117" s="198"/>
      <c r="QCD117" s="199"/>
      <c r="QCE117" s="198"/>
      <c r="QCF117" s="199"/>
      <c r="QCG117" s="198"/>
      <c r="QCH117" s="199"/>
      <c r="QCI117" s="198"/>
      <c r="QCJ117" s="199"/>
      <c r="QCK117" s="198"/>
      <c r="QCL117" s="199"/>
      <c r="QCM117" s="198"/>
      <c r="QCN117" s="199"/>
      <c r="QCO117" s="198"/>
      <c r="QCP117" s="199"/>
      <c r="QCQ117" s="198"/>
      <c r="QCR117" s="199"/>
      <c r="QCS117" s="198"/>
      <c r="QCT117" s="199"/>
      <c r="QCU117" s="198"/>
      <c r="QCV117" s="199"/>
      <c r="QCW117" s="198"/>
      <c r="QCX117" s="199"/>
      <c r="QCY117" s="198"/>
      <c r="QCZ117" s="199"/>
      <c r="QDA117" s="198"/>
      <c r="QDB117" s="199"/>
      <c r="QDC117" s="198"/>
      <c r="QDD117" s="199"/>
      <c r="QDE117" s="198"/>
      <c r="QDF117" s="199"/>
      <c r="QDG117" s="198"/>
      <c r="QDH117" s="199"/>
      <c r="QDI117" s="198"/>
      <c r="QDJ117" s="199"/>
      <c r="QDK117" s="198"/>
      <c r="QDL117" s="199"/>
      <c r="QDM117" s="198"/>
      <c r="QDN117" s="199"/>
      <c r="QDO117" s="198"/>
      <c r="QDP117" s="199"/>
      <c r="QDQ117" s="198"/>
      <c r="QDR117" s="199"/>
      <c r="QDS117" s="198"/>
      <c r="QDT117" s="199"/>
      <c r="QDU117" s="198"/>
      <c r="QDV117" s="199"/>
      <c r="QDW117" s="198"/>
      <c r="QDX117" s="199"/>
      <c r="QDY117" s="198"/>
      <c r="QDZ117" s="199"/>
      <c r="QEA117" s="198"/>
      <c r="QEB117" s="199"/>
      <c r="QEC117" s="198"/>
      <c r="QED117" s="199"/>
      <c r="QEE117" s="198"/>
      <c r="QEF117" s="199"/>
      <c r="QEG117" s="198"/>
      <c r="QEH117" s="199"/>
      <c r="QEI117" s="198"/>
      <c r="QEJ117" s="199"/>
      <c r="QEK117" s="198"/>
      <c r="QEL117" s="199"/>
      <c r="QEM117" s="198"/>
      <c r="QEN117" s="199"/>
      <c r="QEO117" s="198"/>
      <c r="QEP117" s="199"/>
      <c r="QEQ117" s="198"/>
      <c r="QER117" s="199"/>
      <c r="QES117" s="198"/>
      <c r="QET117" s="199"/>
      <c r="QEU117" s="198"/>
      <c r="QEV117" s="199"/>
      <c r="QEW117" s="198"/>
      <c r="QEX117" s="199"/>
      <c r="QEY117" s="198"/>
      <c r="QEZ117" s="199"/>
      <c r="QFA117" s="198"/>
      <c r="QFB117" s="199"/>
      <c r="QFC117" s="198"/>
      <c r="QFD117" s="199"/>
      <c r="QFE117" s="198"/>
      <c r="QFF117" s="199"/>
      <c r="QFG117" s="198"/>
      <c r="QFH117" s="199"/>
      <c r="QFI117" s="198"/>
      <c r="QFJ117" s="199"/>
      <c r="QFK117" s="198"/>
      <c r="QFL117" s="199"/>
      <c r="QFM117" s="198"/>
      <c r="QFN117" s="199"/>
      <c r="QFO117" s="198"/>
      <c r="QFP117" s="199"/>
      <c r="QFQ117" s="198"/>
      <c r="QFR117" s="199"/>
      <c r="QFS117" s="198"/>
      <c r="QFT117" s="199"/>
      <c r="QFU117" s="198"/>
      <c r="QFV117" s="199"/>
      <c r="QFW117" s="198"/>
      <c r="QFX117" s="199"/>
      <c r="QFY117" s="198"/>
      <c r="QFZ117" s="199"/>
      <c r="QGA117" s="198"/>
      <c r="QGB117" s="199"/>
      <c r="QGC117" s="198"/>
      <c r="QGD117" s="199"/>
      <c r="QGE117" s="198"/>
      <c r="QGF117" s="199"/>
      <c r="QGG117" s="198"/>
      <c r="QGH117" s="199"/>
      <c r="QGI117" s="198"/>
      <c r="QGJ117" s="199"/>
      <c r="QGK117" s="198"/>
      <c r="QGL117" s="199"/>
      <c r="QGM117" s="198"/>
      <c r="QGN117" s="199"/>
      <c r="QGO117" s="198"/>
      <c r="QGP117" s="199"/>
      <c r="QGQ117" s="198"/>
      <c r="QGR117" s="199"/>
      <c r="QGS117" s="198"/>
      <c r="QGT117" s="199"/>
      <c r="QGU117" s="198"/>
      <c r="QGV117" s="199"/>
      <c r="QGW117" s="198"/>
      <c r="QGX117" s="199"/>
      <c r="QGY117" s="198"/>
      <c r="QGZ117" s="199"/>
      <c r="QHA117" s="198"/>
      <c r="QHB117" s="199"/>
      <c r="QHC117" s="198"/>
      <c r="QHD117" s="199"/>
      <c r="QHE117" s="198"/>
      <c r="QHF117" s="199"/>
      <c r="QHG117" s="198"/>
      <c r="QHH117" s="199"/>
      <c r="QHI117" s="198"/>
      <c r="QHJ117" s="199"/>
      <c r="QHK117" s="198"/>
      <c r="QHL117" s="199"/>
      <c r="QHM117" s="198"/>
      <c r="QHN117" s="199"/>
      <c r="QHO117" s="198"/>
      <c r="QHP117" s="199"/>
      <c r="QHQ117" s="198"/>
      <c r="QHR117" s="199"/>
      <c r="QHS117" s="198"/>
      <c r="QHT117" s="199"/>
      <c r="QHU117" s="198"/>
      <c r="QHV117" s="199"/>
      <c r="QHW117" s="198"/>
      <c r="QHX117" s="199"/>
      <c r="QHY117" s="198"/>
      <c r="QHZ117" s="199"/>
      <c r="QIA117" s="198"/>
      <c r="QIB117" s="199"/>
      <c r="QIC117" s="198"/>
      <c r="QID117" s="199"/>
      <c r="QIE117" s="198"/>
      <c r="QIF117" s="199"/>
      <c r="QIG117" s="198"/>
      <c r="QIH117" s="199"/>
      <c r="QII117" s="198"/>
      <c r="QIJ117" s="199"/>
      <c r="QIK117" s="198"/>
      <c r="QIL117" s="199"/>
      <c r="QIM117" s="198"/>
      <c r="QIN117" s="199"/>
      <c r="QIO117" s="198"/>
      <c r="QIP117" s="199"/>
      <c r="QIQ117" s="198"/>
      <c r="QIR117" s="199"/>
      <c r="QIS117" s="198"/>
      <c r="QIT117" s="199"/>
      <c r="QIU117" s="198"/>
      <c r="QIV117" s="199"/>
      <c r="QIW117" s="198"/>
      <c r="QIX117" s="199"/>
      <c r="QIY117" s="198"/>
      <c r="QIZ117" s="199"/>
      <c r="QJA117" s="198"/>
      <c r="QJB117" s="199"/>
      <c r="QJC117" s="198"/>
      <c r="QJD117" s="199"/>
      <c r="QJE117" s="198"/>
      <c r="QJF117" s="199"/>
      <c r="QJG117" s="198"/>
      <c r="QJH117" s="199"/>
      <c r="QJI117" s="198"/>
      <c r="QJJ117" s="199"/>
      <c r="QJK117" s="198"/>
      <c r="QJL117" s="199"/>
      <c r="QJM117" s="198"/>
      <c r="QJN117" s="199"/>
      <c r="QJO117" s="198"/>
      <c r="QJP117" s="199"/>
      <c r="QJQ117" s="198"/>
      <c r="QJR117" s="199"/>
      <c r="QJS117" s="198"/>
      <c r="QJT117" s="199"/>
      <c r="QJU117" s="198"/>
      <c r="QJV117" s="199"/>
      <c r="QJW117" s="198"/>
      <c r="QJX117" s="199"/>
      <c r="QJY117" s="198"/>
      <c r="QJZ117" s="199"/>
      <c r="QKA117" s="198"/>
      <c r="QKB117" s="199"/>
      <c r="QKC117" s="198"/>
      <c r="QKD117" s="199"/>
      <c r="QKE117" s="198"/>
      <c r="QKF117" s="199"/>
      <c r="QKG117" s="198"/>
      <c r="QKH117" s="199"/>
      <c r="QKI117" s="198"/>
      <c r="QKJ117" s="199"/>
      <c r="QKK117" s="198"/>
      <c r="QKL117" s="199"/>
      <c r="QKM117" s="198"/>
      <c r="QKN117" s="199"/>
      <c r="QKO117" s="198"/>
      <c r="QKP117" s="199"/>
      <c r="QKQ117" s="198"/>
      <c r="QKR117" s="199"/>
      <c r="QKS117" s="198"/>
      <c r="QKT117" s="199"/>
      <c r="QKU117" s="198"/>
      <c r="QKV117" s="199"/>
      <c r="QKW117" s="198"/>
      <c r="QKX117" s="199"/>
      <c r="QKY117" s="198"/>
      <c r="QKZ117" s="199"/>
      <c r="QLA117" s="198"/>
      <c r="QLB117" s="199"/>
      <c r="QLC117" s="198"/>
      <c r="QLD117" s="199"/>
      <c r="QLE117" s="198"/>
      <c r="QLF117" s="199"/>
      <c r="QLG117" s="198"/>
      <c r="QLH117" s="199"/>
      <c r="QLI117" s="198"/>
      <c r="QLJ117" s="199"/>
      <c r="QLK117" s="198"/>
      <c r="QLL117" s="199"/>
      <c r="QLM117" s="198"/>
      <c r="QLN117" s="199"/>
      <c r="QLO117" s="198"/>
      <c r="QLP117" s="199"/>
      <c r="QLQ117" s="198"/>
      <c r="QLR117" s="199"/>
      <c r="QLS117" s="198"/>
      <c r="QLT117" s="199"/>
      <c r="QLU117" s="198"/>
      <c r="QLV117" s="199"/>
      <c r="QLW117" s="198"/>
      <c r="QLX117" s="199"/>
      <c r="QLY117" s="198"/>
      <c r="QLZ117" s="199"/>
      <c r="QMA117" s="198"/>
      <c r="QMB117" s="199"/>
      <c r="QMC117" s="198"/>
      <c r="QMD117" s="199"/>
      <c r="QME117" s="198"/>
      <c r="QMF117" s="199"/>
      <c r="QMG117" s="198"/>
      <c r="QMH117" s="199"/>
      <c r="QMI117" s="198"/>
      <c r="QMJ117" s="199"/>
      <c r="QMK117" s="198"/>
      <c r="QML117" s="199"/>
      <c r="QMM117" s="198"/>
      <c r="QMN117" s="199"/>
      <c r="QMO117" s="198"/>
      <c r="QMP117" s="199"/>
      <c r="QMQ117" s="198"/>
      <c r="QMR117" s="199"/>
      <c r="QMS117" s="198"/>
      <c r="QMT117" s="199"/>
      <c r="QMU117" s="198"/>
      <c r="QMV117" s="199"/>
      <c r="QMW117" s="198"/>
      <c r="QMX117" s="199"/>
      <c r="QMY117" s="198"/>
      <c r="QMZ117" s="199"/>
      <c r="QNA117" s="198"/>
      <c r="QNB117" s="199"/>
      <c r="QNC117" s="198"/>
      <c r="QND117" s="199"/>
      <c r="QNE117" s="198"/>
      <c r="QNF117" s="199"/>
      <c r="QNG117" s="198"/>
      <c r="QNH117" s="199"/>
      <c r="QNI117" s="198"/>
      <c r="QNJ117" s="199"/>
      <c r="QNK117" s="198"/>
      <c r="QNL117" s="199"/>
      <c r="QNM117" s="198"/>
      <c r="QNN117" s="199"/>
      <c r="QNO117" s="198"/>
      <c r="QNP117" s="199"/>
      <c r="QNQ117" s="198"/>
      <c r="QNR117" s="199"/>
      <c r="QNS117" s="198"/>
      <c r="QNT117" s="199"/>
      <c r="QNU117" s="198"/>
      <c r="QNV117" s="199"/>
      <c r="QNW117" s="198"/>
      <c r="QNX117" s="199"/>
      <c r="QNY117" s="198"/>
      <c r="QNZ117" s="199"/>
      <c r="QOA117" s="198"/>
      <c r="QOB117" s="199"/>
      <c r="QOC117" s="198"/>
      <c r="QOD117" s="199"/>
      <c r="QOE117" s="198"/>
      <c r="QOF117" s="199"/>
      <c r="QOG117" s="198"/>
      <c r="QOH117" s="199"/>
      <c r="QOI117" s="198"/>
      <c r="QOJ117" s="199"/>
      <c r="QOK117" s="198"/>
      <c r="QOL117" s="199"/>
      <c r="QOM117" s="198"/>
      <c r="QON117" s="199"/>
      <c r="QOO117" s="198"/>
      <c r="QOP117" s="199"/>
      <c r="QOQ117" s="198"/>
      <c r="QOR117" s="199"/>
      <c r="QOS117" s="198"/>
      <c r="QOT117" s="199"/>
      <c r="QOU117" s="198"/>
      <c r="QOV117" s="199"/>
      <c r="QOW117" s="198"/>
      <c r="QOX117" s="199"/>
      <c r="QOY117" s="198"/>
      <c r="QOZ117" s="199"/>
      <c r="QPA117" s="198"/>
      <c r="QPB117" s="199"/>
      <c r="QPC117" s="198"/>
      <c r="QPD117" s="199"/>
      <c r="QPE117" s="198"/>
      <c r="QPF117" s="199"/>
      <c r="QPG117" s="198"/>
      <c r="QPH117" s="199"/>
      <c r="QPI117" s="198"/>
      <c r="QPJ117" s="199"/>
      <c r="QPK117" s="198"/>
      <c r="QPL117" s="199"/>
      <c r="QPM117" s="198"/>
      <c r="QPN117" s="199"/>
      <c r="QPO117" s="198"/>
      <c r="QPP117" s="199"/>
      <c r="QPQ117" s="198"/>
      <c r="QPR117" s="199"/>
      <c r="QPS117" s="198"/>
      <c r="QPT117" s="199"/>
      <c r="QPU117" s="198"/>
      <c r="QPV117" s="199"/>
      <c r="QPW117" s="198"/>
      <c r="QPX117" s="199"/>
      <c r="QPY117" s="198"/>
      <c r="QPZ117" s="199"/>
      <c r="QQA117" s="198"/>
      <c r="QQB117" s="199"/>
      <c r="QQC117" s="198"/>
      <c r="QQD117" s="199"/>
      <c r="QQE117" s="198"/>
      <c r="QQF117" s="199"/>
      <c r="QQG117" s="198"/>
      <c r="QQH117" s="199"/>
      <c r="QQI117" s="198"/>
      <c r="QQJ117" s="199"/>
      <c r="QQK117" s="198"/>
      <c r="QQL117" s="199"/>
      <c r="QQM117" s="198"/>
      <c r="QQN117" s="199"/>
      <c r="QQO117" s="198"/>
      <c r="QQP117" s="199"/>
      <c r="QQQ117" s="198"/>
      <c r="QQR117" s="199"/>
      <c r="QQS117" s="198"/>
      <c r="QQT117" s="199"/>
      <c r="QQU117" s="198"/>
      <c r="QQV117" s="199"/>
      <c r="QQW117" s="198"/>
      <c r="QQX117" s="199"/>
      <c r="QQY117" s="198"/>
      <c r="QQZ117" s="199"/>
      <c r="QRA117" s="198"/>
      <c r="QRB117" s="199"/>
      <c r="QRC117" s="198"/>
      <c r="QRD117" s="199"/>
      <c r="QRE117" s="198"/>
      <c r="QRF117" s="199"/>
      <c r="QRG117" s="198"/>
      <c r="QRH117" s="199"/>
      <c r="QRI117" s="198"/>
      <c r="QRJ117" s="199"/>
      <c r="QRK117" s="198"/>
      <c r="QRL117" s="199"/>
      <c r="QRM117" s="198"/>
      <c r="QRN117" s="199"/>
      <c r="QRO117" s="198"/>
      <c r="QRP117" s="199"/>
      <c r="QRQ117" s="198"/>
      <c r="QRR117" s="199"/>
      <c r="QRS117" s="198"/>
      <c r="QRT117" s="199"/>
      <c r="QRU117" s="198"/>
      <c r="QRV117" s="199"/>
      <c r="QRW117" s="198"/>
      <c r="QRX117" s="199"/>
      <c r="QRY117" s="198"/>
      <c r="QRZ117" s="199"/>
      <c r="QSA117" s="198"/>
      <c r="QSB117" s="199"/>
      <c r="QSC117" s="198"/>
      <c r="QSD117" s="199"/>
      <c r="QSE117" s="198"/>
      <c r="QSF117" s="199"/>
      <c r="QSG117" s="198"/>
      <c r="QSH117" s="199"/>
      <c r="QSI117" s="198"/>
      <c r="QSJ117" s="199"/>
      <c r="QSK117" s="198"/>
      <c r="QSL117" s="199"/>
      <c r="QSM117" s="198"/>
      <c r="QSN117" s="199"/>
      <c r="QSO117" s="198"/>
      <c r="QSP117" s="199"/>
      <c r="QSQ117" s="198"/>
      <c r="QSR117" s="199"/>
      <c r="QSS117" s="198"/>
      <c r="QST117" s="199"/>
      <c r="QSU117" s="198"/>
      <c r="QSV117" s="199"/>
      <c r="QSW117" s="198"/>
      <c r="QSX117" s="199"/>
      <c r="QSY117" s="198"/>
      <c r="QSZ117" s="199"/>
      <c r="QTA117" s="198"/>
      <c r="QTB117" s="199"/>
      <c r="QTC117" s="198"/>
      <c r="QTD117" s="199"/>
      <c r="QTE117" s="198"/>
      <c r="QTF117" s="199"/>
      <c r="QTG117" s="198"/>
      <c r="QTH117" s="199"/>
      <c r="QTI117" s="198"/>
      <c r="QTJ117" s="199"/>
      <c r="QTK117" s="198"/>
      <c r="QTL117" s="199"/>
      <c r="QTM117" s="198"/>
      <c r="QTN117" s="199"/>
      <c r="QTO117" s="198"/>
      <c r="QTP117" s="199"/>
      <c r="QTQ117" s="198"/>
      <c r="QTR117" s="199"/>
      <c r="QTS117" s="198"/>
      <c r="QTT117" s="199"/>
      <c r="QTU117" s="198"/>
      <c r="QTV117" s="199"/>
      <c r="QTW117" s="198"/>
      <c r="QTX117" s="199"/>
      <c r="QTY117" s="198"/>
      <c r="QTZ117" s="199"/>
      <c r="QUA117" s="198"/>
      <c r="QUB117" s="199"/>
      <c r="QUC117" s="198"/>
      <c r="QUD117" s="199"/>
      <c r="QUE117" s="198"/>
      <c r="QUF117" s="199"/>
      <c r="QUG117" s="198"/>
      <c r="QUH117" s="199"/>
      <c r="QUI117" s="198"/>
      <c r="QUJ117" s="199"/>
      <c r="QUK117" s="198"/>
      <c r="QUL117" s="199"/>
      <c r="QUM117" s="198"/>
      <c r="QUN117" s="199"/>
      <c r="QUO117" s="198"/>
      <c r="QUP117" s="199"/>
      <c r="QUQ117" s="198"/>
      <c r="QUR117" s="199"/>
      <c r="QUS117" s="198"/>
      <c r="QUT117" s="199"/>
      <c r="QUU117" s="198"/>
      <c r="QUV117" s="199"/>
      <c r="QUW117" s="198"/>
      <c r="QUX117" s="199"/>
      <c r="QUY117" s="198"/>
      <c r="QUZ117" s="199"/>
      <c r="QVA117" s="198"/>
      <c r="QVB117" s="199"/>
      <c r="QVC117" s="198"/>
      <c r="QVD117" s="199"/>
      <c r="QVE117" s="198"/>
      <c r="QVF117" s="199"/>
      <c r="QVG117" s="198"/>
      <c r="QVH117" s="199"/>
      <c r="QVI117" s="198"/>
      <c r="QVJ117" s="199"/>
      <c r="QVK117" s="198"/>
      <c r="QVL117" s="199"/>
      <c r="QVM117" s="198"/>
      <c r="QVN117" s="199"/>
      <c r="QVO117" s="198"/>
      <c r="QVP117" s="199"/>
      <c r="QVQ117" s="198"/>
      <c r="QVR117" s="199"/>
      <c r="QVS117" s="198"/>
      <c r="QVT117" s="199"/>
      <c r="QVU117" s="198"/>
      <c r="QVV117" s="199"/>
      <c r="QVW117" s="198"/>
      <c r="QVX117" s="199"/>
      <c r="QVY117" s="198"/>
      <c r="QVZ117" s="199"/>
      <c r="QWA117" s="198"/>
      <c r="QWB117" s="199"/>
      <c r="QWC117" s="198"/>
      <c r="QWD117" s="199"/>
      <c r="QWE117" s="198"/>
      <c r="QWF117" s="199"/>
      <c r="QWG117" s="198"/>
      <c r="QWH117" s="199"/>
      <c r="QWI117" s="198"/>
      <c r="QWJ117" s="199"/>
      <c r="QWK117" s="198"/>
      <c r="QWL117" s="199"/>
      <c r="QWM117" s="198"/>
      <c r="QWN117" s="199"/>
      <c r="QWO117" s="198"/>
      <c r="QWP117" s="199"/>
      <c r="QWQ117" s="198"/>
      <c r="QWR117" s="199"/>
      <c r="QWS117" s="198"/>
      <c r="QWT117" s="199"/>
      <c r="QWU117" s="198"/>
      <c r="QWV117" s="199"/>
      <c r="QWW117" s="198"/>
      <c r="QWX117" s="199"/>
      <c r="QWY117" s="198"/>
      <c r="QWZ117" s="199"/>
      <c r="QXA117" s="198"/>
      <c r="QXB117" s="199"/>
      <c r="QXC117" s="198"/>
      <c r="QXD117" s="199"/>
      <c r="QXE117" s="198"/>
      <c r="QXF117" s="199"/>
      <c r="QXG117" s="198"/>
      <c r="QXH117" s="199"/>
      <c r="QXI117" s="198"/>
      <c r="QXJ117" s="199"/>
      <c r="QXK117" s="198"/>
      <c r="QXL117" s="199"/>
      <c r="QXM117" s="198"/>
      <c r="QXN117" s="199"/>
      <c r="QXO117" s="198"/>
      <c r="QXP117" s="199"/>
      <c r="QXQ117" s="198"/>
      <c r="QXR117" s="199"/>
      <c r="QXS117" s="198"/>
      <c r="QXT117" s="199"/>
      <c r="QXU117" s="198"/>
      <c r="QXV117" s="199"/>
      <c r="QXW117" s="198"/>
      <c r="QXX117" s="199"/>
      <c r="QXY117" s="198"/>
      <c r="QXZ117" s="199"/>
      <c r="QYA117" s="198"/>
      <c r="QYB117" s="199"/>
      <c r="QYC117" s="198"/>
      <c r="QYD117" s="199"/>
      <c r="QYE117" s="198"/>
      <c r="QYF117" s="199"/>
      <c r="QYG117" s="198"/>
      <c r="QYH117" s="199"/>
      <c r="QYI117" s="198"/>
      <c r="QYJ117" s="199"/>
      <c r="QYK117" s="198"/>
      <c r="QYL117" s="199"/>
      <c r="QYM117" s="198"/>
      <c r="QYN117" s="199"/>
      <c r="QYO117" s="198"/>
      <c r="QYP117" s="199"/>
      <c r="QYQ117" s="198"/>
      <c r="QYR117" s="199"/>
      <c r="QYS117" s="198"/>
      <c r="QYT117" s="199"/>
      <c r="QYU117" s="198"/>
      <c r="QYV117" s="199"/>
      <c r="QYW117" s="198"/>
      <c r="QYX117" s="199"/>
      <c r="QYY117" s="198"/>
      <c r="QYZ117" s="199"/>
      <c r="QZA117" s="198"/>
      <c r="QZB117" s="199"/>
      <c r="QZC117" s="198"/>
      <c r="QZD117" s="199"/>
      <c r="QZE117" s="198"/>
      <c r="QZF117" s="199"/>
      <c r="QZG117" s="198"/>
      <c r="QZH117" s="199"/>
      <c r="QZI117" s="198"/>
      <c r="QZJ117" s="199"/>
      <c r="QZK117" s="198"/>
      <c r="QZL117" s="199"/>
      <c r="QZM117" s="198"/>
      <c r="QZN117" s="199"/>
      <c r="QZO117" s="198"/>
      <c r="QZP117" s="199"/>
      <c r="QZQ117" s="198"/>
      <c r="QZR117" s="199"/>
      <c r="QZS117" s="198"/>
      <c r="QZT117" s="199"/>
      <c r="QZU117" s="198"/>
      <c r="QZV117" s="199"/>
      <c r="QZW117" s="198"/>
      <c r="QZX117" s="199"/>
      <c r="QZY117" s="198"/>
      <c r="QZZ117" s="199"/>
      <c r="RAA117" s="198"/>
      <c r="RAB117" s="199"/>
      <c r="RAC117" s="198"/>
      <c r="RAD117" s="199"/>
      <c r="RAE117" s="198"/>
      <c r="RAF117" s="199"/>
      <c r="RAG117" s="198"/>
      <c r="RAH117" s="199"/>
      <c r="RAI117" s="198"/>
      <c r="RAJ117" s="199"/>
      <c r="RAK117" s="198"/>
      <c r="RAL117" s="199"/>
      <c r="RAM117" s="198"/>
      <c r="RAN117" s="199"/>
      <c r="RAO117" s="198"/>
      <c r="RAP117" s="199"/>
      <c r="RAQ117" s="198"/>
      <c r="RAR117" s="199"/>
      <c r="RAS117" s="198"/>
      <c r="RAT117" s="199"/>
      <c r="RAU117" s="198"/>
      <c r="RAV117" s="199"/>
      <c r="RAW117" s="198"/>
      <c r="RAX117" s="199"/>
      <c r="RAY117" s="198"/>
      <c r="RAZ117" s="199"/>
      <c r="RBA117" s="198"/>
      <c r="RBB117" s="199"/>
      <c r="RBC117" s="198"/>
      <c r="RBD117" s="199"/>
      <c r="RBE117" s="198"/>
      <c r="RBF117" s="199"/>
      <c r="RBG117" s="198"/>
      <c r="RBH117" s="199"/>
      <c r="RBI117" s="198"/>
      <c r="RBJ117" s="199"/>
      <c r="RBK117" s="198"/>
      <c r="RBL117" s="199"/>
      <c r="RBM117" s="198"/>
      <c r="RBN117" s="199"/>
      <c r="RBO117" s="198"/>
      <c r="RBP117" s="199"/>
      <c r="RBQ117" s="198"/>
      <c r="RBR117" s="199"/>
      <c r="RBS117" s="198"/>
      <c r="RBT117" s="199"/>
      <c r="RBU117" s="198"/>
      <c r="RBV117" s="199"/>
      <c r="RBW117" s="198"/>
      <c r="RBX117" s="199"/>
      <c r="RBY117" s="198"/>
      <c r="RBZ117" s="199"/>
      <c r="RCA117" s="198"/>
      <c r="RCB117" s="199"/>
      <c r="RCC117" s="198"/>
      <c r="RCD117" s="199"/>
      <c r="RCE117" s="198"/>
      <c r="RCF117" s="199"/>
      <c r="RCG117" s="198"/>
      <c r="RCH117" s="199"/>
      <c r="RCI117" s="198"/>
      <c r="RCJ117" s="199"/>
      <c r="RCK117" s="198"/>
      <c r="RCL117" s="199"/>
      <c r="RCM117" s="198"/>
      <c r="RCN117" s="199"/>
      <c r="RCO117" s="198"/>
      <c r="RCP117" s="199"/>
      <c r="RCQ117" s="198"/>
      <c r="RCR117" s="199"/>
      <c r="RCS117" s="198"/>
      <c r="RCT117" s="199"/>
      <c r="RCU117" s="198"/>
      <c r="RCV117" s="199"/>
      <c r="RCW117" s="198"/>
      <c r="RCX117" s="199"/>
      <c r="RCY117" s="198"/>
      <c r="RCZ117" s="199"/>
      <c r="RDA117" s="198"/>
      <c r="RDB117" s="199"/>
      <c r="RDC117" s="198"/>
      <c r="RDD117" s="199"/>
      <c r="RDE117" s="198"/>
      <c r="RDF117" s="199"/>
      <c r="RDG117" s="198"/>
      <c r="RDH117" s="199"/>
      <c r="RDI117" s="198"/>
      <c r="RDJ117" s="199"/>
      <c r="RDK117" s="198"/>
      <c r="RDL117" s="199"/>
      <c r="RDM117" s="198"/>
      <c r="RDN117" s="199"/>
      <c r="RDO117" s="198"/>
      <c r="RDP117" s="199"/>
      <c r="RDQ117" s="198"/>
      <c r="RDR117" s="199"/>
      <c r="RDS117" s="198"/>
      <c r="RDT117" s="199"/>
      <c r="RDU117" s="198"/>
      <c r="RDV117" s="199"/>
      <c r="RDW117" s="198"/>
      <c r="RDX117" s="199"/>
      <c r="RDY117" s="198"/>
      <c r="RDZ117" s="199"/>
      <c r="REA117" s="198"/>
      <c r="REB117" s="199"/>
      <c r="REC117" s="198"/>
      <c r="RED117" s="199"/>
      <c r="REE117" s="198"/>
      <c r="REF117" s="199"/>
      <c r="REG117" s="198"/>
      <c r="REH117" s="199"/>
      <c r="REI117" s="198"/>
      <c r="REJ117" s="199"/>
      <c r="REK117" s="198"/>
      <c r="REL117" s="199"/>
      <c r="REM117" s="198"/>
      <c r="REN117" s="199"/>
      <c r="REO117" s="198"/>
      <c r="REP117" s="199"/>
      <c r="REQ117" s="198"/>
      <c r="RER117" s="199"/>
      <c r="RES117" s="198"/>
      <c r="RET117" s="199"/>
      <c r="REU117" s="198"/>
      <c r="REV117" s="199"/>
      <c r="REW117" s="198"/>
      <c r="REX117" s="199"/>
      <c r="REY117" s="198"/>
      <c r="REZ117" s="199"/>
      <c r="RFA117" s="198"/>
      <c r="RFB117" s="199"/>
      <c r="RFC117" s="198"/>
      <c r="RFD117" s="199"/>
      <c r="RFE117" s="198"/>
      <c r="RFF117" s="199"/>
      <c r="RFG117" s="198"/>
      <c r="RFH117" s="199"/>
      <c r="RFI117" s="198"/>
      <c r="RFJ117" s="199"/>
      <c r="RFK117" s="198"/>
      <c r="RFL117" s="199"/>
      <c r="RFM117" s="198"/>
      <c r="RFN117" s="199"/>
      <c r="RFO117" s="198"/>
      <c r="RFP117" s="199"/>
      <c r="RFQ117" s="198"/>
      <c r="RFR117" s="199"/>
      <c r="RFS117" s="198"/>
      <c r="RFT117" s="199"/>
      <c r="RFU117" s="198"/>
      <c r="RFV117" s="199"/>
      <c r="RFW117" s="198"/>
      <c r="RFX117" s="199"/>
      <c r="RFY117" s="198"/>
      <c r="RFZ117" s="199"/>
      <c r="RGA117" s="198"/>
      <c r="RGB117" s="199"/>
      <c r="RGC117" s="198"/>
      <c r="RGD117" s="199"/>
      <c r="RGE117" s="198"/>
      <c r="RGF117" s="199"/>
      <c r="RGG117" s="198"/>
      <c r="RGH117" s="199"/>
      <c r="RGI117" s="198"/>
      <c r="RGJ117" s="199"/>
      <c r="RGK117" s="198"/>
      <c r="RGL117" s="199"/>
      <c r="RGM117" s="198"/>
      <c r="RGN117" s="199"/>
      <c r="RGO117" s="198"/>
      <c r="RGP117" s="199"/>
      <c r="RGQ117" s="198"/>
      <c r="RGR117" s="199"/>
      <c r="RGS117" s="198"/>
      <c r="RGT117" s="199"/>
      <c r="RGU117" s="198"/>
      <c r="RGV117" s="199"/>
      <c r="RGW117" s="198"/>
      <c r="RGX117" s="199"/>
      <c r="RGY117" s="198"/>
      <c r="RGZ117" s="199"/>
      <c r="RHA117" s="198"/>
      <c r="RHB117" s="199"/>
      <c r="RHC117" s="198"/>
      <c r="RHD117" s="199"/>
      <c r="RHE117" s="198"/>
      <c r="RHF117" s="199"/>
      <c r="RHG117" s="198"/>
      <c r="RHH117" s="199"/>
      <c r="RHI117" s="198"/>
      <c r="RHJ117" s="199"/>
      <c r="RHK117" s="198"/>
      <c r="RHL117" s="199"/>
      <c r="RHM117" s="198"/>
      <c r="RHN117" s="199"/>
      <c r="RHO117" s="198"/>
      <c r="RHP117" s="199"/>
      <c r="RHQ117" s="198"/>
      <c r="RHR117" s="199"/>
      <c r="RHS117" s="198"/>
      <c r="RHT117" s="199"/>
      <c r="RHU117" s="198"/>
      <c r="RHV117" s="199"/>
      <c r="RHW117" s="198"/>
      <c r="RHX117" s="199"/>
      <c r="RHY117" s="198"/>
      <c r="RHZ117" s="199"/>
      <c r="RIA117" s="198"/>
      <c r="RIB117" s="199"/>
      <c r="RIC117" s="198"/>
      <c r="RID117" s="199"/>
      <c r="RIE117" s="198"/>
      <c r="RIF117" s="199"/>
      <c r="RIG117" s="198"/>
      <c r="RIH117" s="199"/>
      <c r="RII117" s="198"/>
      <c r="RIJ117" s="199"/>
      <c r="RIK117" s="198"/>
      <c r="RIL117" s="199"/>
      <c r="RIM117" s="198"/>
      <c r="RIN117" s="199"/>
      <c r="RIO117" s="198"/>
      <c r="RIP117" s="199"/>
      <c r="RIQ117" s="198"/>
      <c r="RIR117" s="199"/>
      <c r="RIS117" s="198"/>
      <c r="RIT117" s="199"/>
      <c r="RIU117" s="198"/>
      <c r="RIV117" s="199"/>
      <c r="RIW117" s="198"/>
      <c r="RIX117" s="199"/>
      <c r="RIY117" s="198"/>
      <c r="RIZ117" s="199"/>
      <c r="RJA117" s="198"/>
      <c r="RJB117" s="199"/>
      <c r="RJC117" s="198"/>
      <c r="RJD117" s="199"/>
      <c r="RJE117" s="198"/>
      <c r="RJF117" s="199"/>
      <c r="RJG117" s="198"/>
      <c r="RJH117" s="199"/>
      <c r="RJI117" s="198"/>
      <c r="RJJ117" s="199"/>
      <c r="RJK117" s="198"/>
      <c r="RJL117" s="199"/>
      <c r="RJM117" s="198"/>
      <c r="RJN117" s="199"/>
      <c r="RJO117" s="198"/>
      <c r="RJP117" s="199"/>
      <c r="RJQ117" s="198"/>
      <c r="RJR117" s="199"/>
      <c r="RJS117" s="198"/>
      <c r="RJT117" s="199"/>
      <c r="RJU117" s="198"/>
      <c r="RJV117" s="199"/>
      <c r="RJW117" s="198"/>
      <c r="RJX117" s="199"/>
      <c r="RJY117" s="198"/>
      <c r="RJZ117" s="199"/>
      <c r="RKA117" s="198"/>
      <c r="RKB117" s="199"/>
      <c r="RKC117" s="198"/>
      <c r="RKD117" s="199"/>
      <c r="RKE117" s="198"/>
      <c r="RKF117" s="199"/>
      <c r="RKG117" s="198"/>
      <c r="RKH117" s="199"/>
      <c r="RKI117" s="198"/>
      <c r="RKJ117" s="199"/>
      <c r="RKK117" s="198"/>
      <c r="RKL117" s="199"/>
      <c r="RKM117" s="198"/>
      <c r="RKN117" s="199"/>
      <c r="RKO117" s="198"/>
      <c r="RKP117" s="199"/>
      <c r="RKQ117" s="198"/>
      <c r="RKR117" s="199"/>
      <c r="RKS117" s="198"/>
      <c r="RKT117" s="199"/>
      <c r="RKU117" s="198"/>
      <c r="RKV117" s="199"/>
      <c r="RKW117" s="198"/>
      <c r="RKX117" s="199"/>
      <c r="RKY117" s="198"/>
      <c r="RKZ117" s="199"/>
      <c r="RLA117" s="198"/>
      <c r="RLB117" s="199"/>
      <c r="RLC117" s="198"/>
      <c r="RLD117" s="199"/>
      <c r="RLE117" s="198"/>
      <c r="RLF117" s="199"/>
      <c r="RLG117" s="198"/>
      <c r="RLH117" s="199"/>
      <c r="RLI117" s="198"/>
      <c r="RLJ117" s="199"/>
      <c r="RLK117" s="198"/>
      <c r="RLL117" s="199"/>
      <c r="RLM117" s="198"/>
      <c r="RLN117" s="199"/>
      <c r="RLO117" s="198"/>
      <c r="RLP117" s="199"/>
      <c r="RLQ117" s="198"/>
      <c r="RLR117" s="199"/>
      <c r="RLS117" s="198"/>
      <c r="RLT117" s="199"/>
      <c r="RLU117" s="198"/>
      <c r="RLV117" s="199"/>
      <c r="RLW117" s="198"/>
      <c r="RLX117" s="199"/>
      <c r="RLY117" s="198"/>
      <c r="RLZ117" s="199"/>
      <c r="RMA117" s="198"/>
      <c r="RMB117" s="199"/>
      <c r="RMC117" s="198"/>
      <c r="RMD117" s="199"/>
      <c r="RME117" s="198"/>
      <c r="RMF117" s="199"/>
      <c r="RMG117" s="198"/>
      <c r="RMH117" s="199"/>
      <c r="RMI117" s="198"/>
      <c r="RMJ117" s="199"/>
      <c r="RMK117" s="198"/>
      <c r="RML117" s="199"/>
      <c r="RMM117" s="198"/>
      <c r="RMN117" s="199"/>
      <c r="RMO117" s="198"/>
      <c r="RMP117" s="199"/>
      <c r="RMQ117" s="198"/>
      <c r="RMR117" s="199"/>
      <c r="RMS117" s="198"/>
      <c r="RMT117" s="199"/>
      <c r="RMU117" s="198"/>
      <c r="RMV117" s="199"/>
      <c r="RMW117" s="198"/>
      <c r="RMX117" s="199"/>
      <c r="RMY117" s="198"/>
      <c r="RMZ117" s="199"/>
      <c r="RNA117" s="198"/>
      <c r="RNB117" s="199"/>
      <c r="RNC117" s="198"/>
      <c r="RND117" s="199"/>
      <c r="RNE117" s="198"/>
      <c r="RNF117" s="199"/>
      <c r="RNG117" s="198"/>
      <c r="RNH117" s="199"/>
      <c r="RNI117" s="198"/>
      <c r="RNJ117" s="199"/>
      <c r="RNK117" s="198"/>
      <c r="RNL117" s="199"/>
      <c r="RNM117" s="198"/>
      <c r="RNN117" s="199"/>
      <c r="RNO117" s="198"/>
      <c r="RNP117" s="199"/>
      <c r="RNQ117" s="198"/>
      <c r="RNR117" s="199"/>
      <c r="RNS117" s="198"/>
      <c r="RNT117" s="199"/>
      <c r="RNU117" s="198"/>
      <c r="RNV117" s="199"/>
      <c r="RNW117" s="198"/>
      <c r="RNX117" s="199"/>
      <c r="RNY117" s="198"/>
      <c r="RNZ117" s="199"/>
      <c r="ROA117" s="198"/>
      <c r="ROB117" s="199"/>
      <c r="ROC117" s="198"/>
      <c r="ROD117" s="199"/>
      <c r="ROE117" s="198"/>
      <c r="ROF117" s="199"/>
      <c r="ROG117" s="198"/>
      <c r="ROH117" s="199"/>
      <c r="ROI117" s="198"/>
      <c r="ROJ117" s="199"/>
      <c r="ROK117" s="198"/>
      <c r="ROL117" s="199"/>
      <c r="ROM117" s="198"/>
      <c r="RON117" s="199"/>
      <c r="ROO117" s="198"/>
      <c r="ROP117" s="199"/>
      <c r="ROQ117" s="198"/>
      <c r="ROR117" s="199"/>
      <c r="ROS117" s="198"/>
      <c r="ROT117" s="199"/>
      <c r="ROU117" s="198"/>
      <c r="ROV117" s="199"/>
      <c r="ROW117" s="198"/>
      <c r="ROX117" s="199"/>
      <c r="ROY117" s="198"/>
      <c r="ROZ117" s="199"/>
      <c r="RPA117" s="198"/>
      <c r="RPB117" s="199"/>
      <c r="RPC117" s="198"/>
      <c r="RPD117" s="199"/>
      <c r="RPE117" s="198"/>
      <c r="RPF117" s="199"/>
      <c r="RPG117" s="198"/>
      <c r="RPH117" s="199"/>
      <c r="RPI117" s="198"/>
      <c r="RPJ117" s="199"/>
      <c r="RPK117" s="198"/>
      <c r="RPL117" s="199"/>
      <c r="RPM117" s="198"/>
      <c r="RPN117" s="199"/>
      <c r="RPO117" s="198"/>
      <c r="RPP117" s="199"/>
      <c r="RPQ117" s="198"/>
      <c r="RPR117" s="199"/>
      <c r="RPS117" s="198"/>
      <c r="RPT117" s="199"/>
      <c r="RPU117" s="198"/>
      <c r="RPV117" s="199"/>
      <c r="RPW117" s="198"/>
      <c r="RPX117" s="199"/>
      <c r="RPY117" s="198"/>
      <c r="RPZ117" s="199"/>
      <c r="RQA117" s="198"/>
      <c r="RQB117" s="199"/>
      <c r="RQC117" s="198"/>
      <c r="RQD117" s="199"/>
      <c r="RQE117" s="198"/>
      <c r="RQF117" s="199"/>
      <c r="RQG117" s="198"/>
      <c r="RQH117" s="199"/>
      <c r="RQI117" s="198"/>
      <c r="RQJ117" s="199"/>
      <c r="RQK117" s="198"/>
      <c r="RQL117" s="199"/>
      <c r="RQM117" s="198"/>
      <c r="RQN117" s="199"/>
      <c r="RQO117" s="198"/>
      <c r="RQP117" s="199"/>
      <c r="RQQ117" s="198"/>
      <c r="RQR117" s="199"/>
      <c r="RQS117" s="198"/>
      <c r="RQT117" s="199"/>
      <c r="RQU117" s="198"/>
      <c r="RQV117" s="199"/>
      <c r="RQW117" s="198"/>
      <c r="RQX117" s="199"/>
      <c r="RQY117" s="198"/>
      <c r="RQZ117" s="199"/>
      <c r="RRA117" s="198"/>
      <c r="RRB117" s="199"/>
      <c r="RRC117" s="198"/>
      <c r="RRD117" s="199"/>
      <c r="RRE117" s="198"/>
      <c r="RRF117" s="199"/>
      <c r="RRG117" s="198"/>
      <c r="RRH117" s="199"/>
      <c r="RRI117" s="198"/>
      <c r="RRJ117" s="199"/>
      <c r="RRK117" s="198"/>
      <c r="RRL117" s="199"/>
      <c r="RRM117" s="198"/>
      <c r="RRN117" s="199"/>
      <c r="RRO117" s="198"/>
      <c r="RRP117" s="199"/>
      <c r="RRQ117" s="198"/>
      <c r="RRR117" s="199"/>
      <c r="RRS117" s="198"/>
      <c r="RRT117" s="199"/>
      <c r="RRU117" s="198"/>
      <c r="RRV117" s="199"/>
      <c r="RRW117" s="198"/>
      <c r="RRX117" s="199"/>
      <c r="RRY117" s="198"/>
      <c r="RRZ117" s="199"/>
      <c r="RSA117" s="198"/>
      <c r="RSB117" s="199"/>
      <c r="RSC117" s="198"/>
      <c r="RSD117" s="199"/>
      <c r="RSE117" s="198"/>
      <c r="RSF117" s="199"/>
      <c r="RSG117" s="198"/>
      <c r="RSH117" s="199"/>
      <c r="RSI117" s="198"/>
      <c r="RSJ117" s="199"/>
      <c r="RSK117" s="198"/>
      <c r="RSL117" s="199"/>
      <c r="RSM117" s="198"/>
      <c r="RSN117" s="199"/>
      <c r="RSO117" s="198"/>
      <c r="RSP117" s="199"/>
      <c r="RSQ117" s="198"/>
      <c r="RSR117" s="199"/>
      <c r="RSS117" s="198"/>
      <c r="RST117" s="199"/>
      <c r="RSU117" s="198"/>
      <c r="RSV117" s="199"/>
      <c r="RSW117" s="198"/>
      <c r="RSX117" s="199"/>
      <c r="RSY117" s="198"/>
      <c r="RSZ117" s="199"/>
      <c r="RTA117" s="198"/>
      <c r="RTB117" s="199"/>
      <c r="RTC117" s="198"/>
      <c r="RTD117" s="199"/>
      <c r="RTE117" s="198"/>
      <c r="RTF117" s="199"/>
      <c r="RTG117" s="198"/>
      <c r="RTH117" s="199"/>
      <c r="RTI117" s="198"/>
      <c r="RTJ117" s="199"/>
      <c r="RTK117" s="198"/>
      <c r="RTL117" s="199"/>
      <c r="RTM117" s="198"/>
      <c r="RTN117" s="199"/>
      <c r="RTO117" s="198"/>
      <c r="RTP117" s="199"/>
      <c r="RTQ117" s="198"/>
      <c r="RTR117" s="199"/>
      <c r="RTS117" s="198"/>
      <c r="RTT117" s="199"/>
      <c r="RTU117" s="198"/>
      <c r="RTV117" s="199"/>
      <c r="RTW117" s="198"/>
      <c r="RTX117" s="199"/>
      <c r="RTY117" s="198"/>
      <c r="RTZ117" s="199"/>
      <c r="RUA117" s="198"/>
      <c r="RUB117" s="199"/>
      <c r="RUC117" s="198"/>
      <c r="RUD117" s="199"/>
      <c r="RUE117" s="198"/>
      <c r="RUF117" s="199"/>
      <c r="RUG117" s="198"/>
      <c r="RUH117" s="199"/>
      <c r="RUI117" s="198"/>
      <c r="RUJ117" s="199"/>
      <c r="RUK117" s="198"/>
      <c r="RUL117" s="199"/>
      <c r="RUM117" s="198"/>
      <c r="RUN117" s="199"/>
      <c r="RUO117" s="198"/>
      <c r="RUP117" s="199"/>
      <c r="RUQ117" s="198"/>
      <c r="RUR117" s="199"/>
      <c r="RUS117" s="198"/>
      <c r="RUT117" s="199"/>
      <c r="RUU117" s="198"/>
      <c r="RUV117" s="199"/>
      <c r="RUW117" s="198"/>
      <c r="RUX117" s="199"/>
      <c r="RUY117" s="198"/>
      <c r="RUZ117" s="199"/>
      <c r="RVA117" s="198"/>
      <c r="RVB117" s="199"/>
      <c r="RVC117" s="198"/>
      <c r="RVD117" s="199"/>
      <c r="RVE117" s="198"/>
      <c r="RVF117" s="199"/>
      <c r="RVG117" s="198"/>
      <c r="RVH117" s="199"/>
      <c r="RVI117" s="198"/>
      <c r="RVJ117" s="199"/>
      <c r="RVK117" s="198"/>
      <c r="RVL117" s="199"/>
      <c r="RVM117" s="198"/>
      <c r="RVN117" s="199"/>
      <c r="RVO117" s="198"/>
      <c r="RVP117" s="199"/>
      <c r="RVQ117" s="198"/>
      <c r="RVR117" s="199"/>
      <c r="RVS117" s="198"/>
      <c r="RVT117" s="199"/>
      <c r="RVU117" s="198"/>
      <c r="RVV117" s="199"/>
      <c r="RVW117" s="198"/>
      <c r="RVX117" s="199"/>
      <c r="RVY117" s="198"/>
      <c r="RVZ117" s="199"/>
      <c r="RWA117" s="198"/>
      <c r="RWB117" s="199"/>
      <c r="RWC117" s="198"/>
      <c r="RWD117" s="199"/>
      <c r="RWE117" s="198"/>
      <c r="RWF117" s="199"/>
      <c r="RWG117" s="198"/>
      <c r="RWH117" s="199"/>
      <c r="RWI117" s="198"/>
      <c r="RWJ117" s="199"/>
      <c r="RWK117" s="198"/>
      <c r="RWL117" s="199"/>
      <c r="RWM117" s="198"/>
      <c r="RWN117" s="199"/>
      <c r="RWO117" s="198"/>
      <c r="RWP117" s="199"/>
      <c r="RWQ117" s="198"/>
      <c r="RWR117" s="199"/>
      <c r="RWS117" s="198"/>
      <c r="RWT117" s="199"/>
      <c r="RWU117" s="198"/>
      <c r="RWV117" s="199"/>
      <c r="RWW117" s="198"/>
      <c r="RWX117" s="199"/>
      <c r="RWY117" s="198"/>
      <c r="RWZ117" s="199"/>
      <c r="RXA117" s="198"/>
      <c r="RXB117" s="199"/>
      <c r="RXC117" s="198"/>
      <c r="RXD117" s="199"/>
      <c r="RXE117" s="198"/>
      <c r="RXF117" s="199"/>
      <c r="RXG117" s="198"/>
      <c r="RXH117" s="199"/>
      <c r="RXI117" s="198"/>
      <c r="RXJ117" s="199"/>
      <c r="RXK117" s="198"/>
      <c r="RXL117" s="199"/>
      <c r="RXM117" s="198"/>
      <c r="RXN117" s="199"/>
      <c r="RXO117" s="198"/>
      <c r="RXP117" s="199"/>
      <c r="RXQ117" s="198"/>
      <c r="RXR117" s="199"/>
      <c r="RXS117" s="198"/>
      <c r="RXT117" s="199"/>
      <c r="RXU117" s="198"/>
      <c r="RXV117" s="199"/>
      <c r="RXW117" s="198"/>
      <c r="RXX117" s="199"/>
      <c r="RXY117" s="198"/>
      <c r="RXZ117" s="199"/>
      <c r="RYA117" s="198"/>
      <c r="RYB117" s="199"/>
      <c r="RYC117" s="198"/>
      <c r="RYD117" s="199"/>
      <c r="RYE117" s="198"/>
      <c r="RYF117" s="199"/>
      <c r="RYG117" s="198"/>
      <c r="RYH117" s="199"/>
      <c r="RYI117" s="198"/>
      <c r="RYJ117" s="199"/>
      <c r="RYK117" s="198"/>
      <c r="RYL117" s="199"/>
      <c r="RYM117" s="198"/>
      <c r="RYN117" s="199"/>
      <c r="RYO117" s="198"/>
      <c r="RYP117" s="199"/>
      <c r="RYQ117" s="198"/>
      <c r="RYR117" s="199"/>
      <c r="RYS117" s="198"/>
      <c r="RYT117" s="199"/>
      <c r="RYU117" s="198"/>
      <c r="RYV117" s="199"/>
      <c r="RYW117" s="198"/>
      <c r="RYX117" s="199"/>
      <c r="RYY117" s="198"/>
      <c r="RYZ117" s="199"/>
      <c r="RZA117" s="198"/>
      <c r="RZB117" s="199"/>
      <c r="RZC117" s="198"/>
      <c r="RZD117" s="199"/>
      <c r="RZE117" s="198"/>
      <c r="RZF117" s="199"/>
      <c r="RZG117" s="198"/>
      <c r="RZH117" s="199"/>
      <c r="RZI117" s="198"/>
      <c r="RZJ117" s="199"/>
      <c r="RZK117" s="198"/>
      <c r="RZL117" s="199"/>
      <c r="RZM117" s="198"/>
      <c r="RZN117" s="199"/>
      <c r="RZO117" s="198"/>
      <c r="RZP117" s="199"/>
      <c r="RZQ117" s="198"/>
      <c r="RZR117" s="199"/>
      <c r="RZS117" s="198"/>
      <c r="RZT117" s="199"/>
      <c r="RZU117" s="198"/>
      <c r="RZV117" s="199"/>
      <c r="RZW117" s="198"/>
      <c r="RZX117" s="199"/>
      <c r="RZY117" s="198"/>
      <c r="RZZ117" s="199"/>
      <c r="SAA117" s="198"/>
      <c r="SAB117" s="199"/>
      <c r="SAC117" s="198"/>
      <c r="SAD117" s="199"/>
      <c r="SAE117" s="198"/>
      <c r="SAF117" s="199"/>
      <c r="SAG117" s="198"/>
      <c r="SAH117" s="199"/>
      <c r="SAI117" s="198"/>
      <c r="SAJ117" s="199"/>
      <c r="SAK117" s="198"/>
      <c r="SAL117" s="199"/>
      <c r="SAM117" s="198"/>
      <c r="SAN117" s="199"/>
      <c r="SAO117" s="198"/>
      <c r="SAP117" s="199"/>
      <c r="SAQ117" s="198"/>
      <c r="SAR117" s="199"/>
      <c r="SAS117" s="198"/>
      <c r="SAT117" s="199"/>
      <c r="SAU117" s="198"/>
      <c r="SAV117" s="199"/>
      <c r="SAW117" s="198"/>
      <c r="SAX117" s="199"/>
      <c r="SAY117" s="198"/>
      <c r="SAZ117" s="199"/>
      <c r="SBA117" s="198"/>
      <c r="SBB117" s="199"/>
      <c r="SBC117" s="198"/>
      <c r="SBD117" s="199"/>
      <c r="SBE117" s="198"/>
      <c r="SBF117" s="199"/>
      <c r="SBG117" s="198"/>
      <c r="SBH117" s="199"/>
      <c r="SBI117" s="198"/>
      <c r="SBJ117" s="199"/>
      <c r="SBK117" s="198"/>
      <c r="SBL117" s="199"/>
      <c r="SBM117" s="198"/>
      <c r="SBN117" s="199"/>
      <c r="SBO117" s="198"/>
      <c r="SBP117" s="199"/>
      <c r="SBQ117" s="198"/>
      <c r="SBR117" s="199"/>
      <c r="SBS117" s="198"/>
      <c r="SBT117" s="199"/>
      <c r="SBU117" s="198"/>
      <c r="SBV117" s="199"/>
      <c r="SBW117" s="198"/>
      <c r="SBX117" s="199"/>
      <c r="SBY117" s="198"/>
      <c r="SBZ117" s="199"/>
      <c r="SCA117" s="198"/>
      <c r="SCB117" s="199"/>
      <c r="SCC117" s="198"/>
      <c r="SCD117" s="199"/>
      <c r="SCE117" s="198"/>
      <c r="SCF117" s="199"/>
      <c r="SCG117" s="198"/>
      <c r="SCH117" s="199"/>
      <c r="SCI117" s="198"/>
      <c r="SCJ117" s="199"/>
      <c r="SCK117" s="198"/>
      <c r="SCL117" s="199"/>
      <c r="SCM117" s="198"/>
      <c r="SCN117" s="199"/>
      <c r="SCO117" s="198"/>
      <c r="SCP117" s="199"/>
      <c r="SCQ117" s="198"/>
      <c r="SCR117" s="199"/>
      <c r="SCS117" s="198"/>
      <c r="SCT117" s="199"/>
      <c r="SCU117" s="198"/>
      <c r="SCV117" s="199"/>
      <c r="SCW117" s="198"/>
      <c r="SCX117" s="199"/>
      <c r="SCY117" s="198"/>
      <c r="SCZ117" s="199"/>
      <c r="SDA117" s="198"/>
      <c r="SDB117" s="199"/>
      <c r="SDC117" s="198"/>
      <c r="SDD117" s="199"/>
      <c r="SDE117" s="198"/>
      <c r="SDF117" s="199"/>
      <c r="SDG117" s="198"/>
      <c r="SDH117" s="199"/>
      <c r="SDI117" s="198"/>
      <c r="SDJ117" s="199"/>
      <c r="SDK117" s="198"/>
      <c r="SDL117" s="199"/>
      <c r="SDM117" s="198"/>
      <c r="SDN117" s="199"/>
      <c r="SDO117" s="198"/>
      <c r="SDP117" s="199"/>
      <c r="SDQ117" s="198"/>
      <c r="SDR117" s="199"/>
      <c r="SDS117" s="198"/>
      <c r="SDT117" s="199"/>
      <c r="SDU117" s="198"/>
      <c r="SDV117" s="199"/>
      <c r="SDW117" s="198"/>
      <c r="SDX117" s="199"/>
      <c r="SDY117" s="198"/>
      <c r="SDZ117" s="199"/>
      <c r="SEA117" s="198"/>
      <c r="SEB117" s="199"/>
      <c r="SEC117" s="198"/>
      <c r="SED117" s="199"/>
      <c r="SEE117" s="198"/>
      <c r="SEF117" s="199"/>
      <c r="SEG117" s="198"/>
      <c r="SEH117" s="199"/>
      <c r="SEI117" s="198"/>
      <c r="SEJ117" s="199"/>
      <c r="SEK117" s="198"/>
      <c r="SEL117" s="199"/>
      <c r="SEM117" s="198"/>
      <c r="SEN117" s="199"/>
      <c r="SEO117" s="198"/>
      <c r="SEP117" s="199"/>
      <c r="SEQ117" s="198"/>
      <c r="SER117" s="199"/>
      <c r="SES117" s="198"/>
      <c r="SET117" s="199"/>
      <c r="SEU117" s="198"/>
      <c r="SEV117" s="199"/>
      <c r="SEW117" s="198"/>
      <c r="SEX117" s="199"/>
      <c r="SEY117" s="198"/>
      <c r="SEZ117" s="199"/>
      <c r="SFA117" s="198"/>
      <c r="SFB117" s="199"/>
      <c r="SFC117" s="198"/>
      <c r="SFD117" s="199"/>
      <c r="SFE117" s="198"/>
      <c r="SFF117" s="199"/>
      <c r="SFG117" s="198"/>
      <c r="SFH117" s="199"/>
      <c r="SFI117" s="198"/>
      <c r="SFJ117" s="199"/>
      <c r="SFK117" s="198"/>
      <c r="SFL117" s="199"/>
      <c r="SFM117" s="198"/>
      <c r="SFN117" s="199"/>
      <c r="SFO117" s="198"/>
      <c r="SFP117" s="199"/>
      <c r="SFQ117" s="198"/>
      <c r="SFR117" s="199"/>
      <c r="SFS117" s="198"/>
      <c r="SFT117" s="199"/>
      <c r="SFU117" s="198"/>
      <c r="SFV117" s="199"/>
      <c r="SFW117" s="198"/>
      <c r="SFX117" s="199"/>
      <c r="SFY117" s="198"/>
      <c r="SFZ117" s="199"/>
      <c r="SGA117" s="198"/>
      <c r="SGB117" s="199"/>
      <c r="SGC117" s="198"/>
      <c r="SGD117" s="199"/>
      <c r="SGE117" s="198"/>
      <c r="SGF117" s="199"/>
      <c r="SGG117" s="198"/>
      <c r="SGH117" s="199"/>
      <c r="SGI117" s="198"/>
      <c r="SGJ117" s="199"/>
      <c r="SGK117" s="198"/>
      <c r="SGL117" s="199"/>
      <c r="SGM117" s="198"/>
      <c r="SGN117" s="199"/>
      <c r="SGO117" s="198"/>
      <c r="SGP117" s="199"/>
      <c r="SGQ117" s="198"/>
      <c r="SGR117" s="199"/>
      <c r="SGS117" s="198"/>
      <c r="SGT117" s="199"/>
      <c r="SGU117" s="198"/>
      <c r="SGV117" s="199"/>
      <c r="SGW117" s="198"/>
      <c r="SGX117" s="199"/>
      <c r="SGY117" s="198"/>
      <c r="SGZ117" s="199"/>
      <c r="SHA117" s="198"/>
      <c r="SHB117" s="199"/>
      <c r="SHC117" s="198"/>
      <c r="SHD117" s="199"/>
      <c r="SHE117" s="198"/>
      <c r="SHF117" s="199"/>
      <c r="SHG117" s="198"/>
      <c r="SHH117" s="199"/>
      <c r="SHI117" s="198"/>
      <c r="SHJ117" s="199"/>
      <c r="SHK117" s="198"/>
      <c r="SHL117" s="199"/>
      <c r="SHM117" s="198"/>
      <c r="SHN117" s="199"/>
      <c r="SHO117" s="198"/>
      <c r="SHP117" s="199"/>
      <c r="SHQ117" s="198"/>
      <c r="SHR117" s="199"/>
      <c r="SHS117" s="198"/>
      <c r="SHT117" s="199"/>
      <c r="SHU117" s="198"/>
      <c r="SHV117" s="199"/>
      <c r="SHW117" s="198"/>
      <c r="SHX117" s="199"/>
      <c r="SHY117" s="198"/>
      <c r="SHZ117" s="199"/>
      <c r="SIA117" s="198"/>
      <c r="SIB117" s="199"/>
      <c r="SIC117" s="198"/>
      <c r="SID117" s="199"/>
      <c r="SIE117" s="198"/>
      <c r="SIF117" s="199"/>
      <c r="SIG117" s="198"/>
      <c r="SIH117" s="199"/>
      <c r="SII117" s="198"/>
      <c r="SIJ117" s="199"/>
      <c r="SIK117" s="198"/>
      <c r="SIL117" s="199"/>
      <c r="SIM117" s="198"/>
      <c r="SIN117" s="199"/>
      <c r="SIO117" s="198"/>
      <c r="SIP117" s="199"/>
      <c r="SIQ117" s="198"/>
      <c r="SIR117" s="199"/>
      <c r="SIS117" s="198"/>
      <c r="SIT117" s="199"/>
      <c r="SIU117" s="198"/>
      <c r="SIV117" s="199"/>
      <c r="SIW117" s="198"/>
      <c r="SIX117" s="199"/>
      <c r="SIY117" s="198"/>
      <c r="SIZ117" s="199"/>
      <c r="SJA117" s="198"/>
      <c r="SJB117" s="199"/>
      <c r="SJC117" s="198"/>
      <c r="SJD117" s="199"/>
      <c r="SJE117" s="198"/>
      <c r="SJF117" s="199"/>
      <c r="SJG117" s="198"/>
      <c r="SJH117" s="199"/>
      <c r="SJI117" s="198"/>
      <c r="SJJ117" s="199"/>
      <c r="SJK117" s="198"/>
      <c r="SJL117" s="199"/>
      <c r="SJM117" s="198"/>
      <c r="SJN117" s="199"/>
      <c r="SJO117" s="198"/>
      <c r="SJP117" s="199"/>
      <c r="SJQ117" s="198"/>
      <c r="SJR117" s="199"/>
      <c r="SJS117" s="198"/>
      <c r="SJT117" s="199"/>
      <c r="SJU117" s="198"/>
      <c r="SJV117" s="199"/>
      <c r="SJW117" s="198"/>
      <c r="SJX117" s="199"/>
      <c r="SJY117" s="198"/>
      <c r="SJZ117" s="199"/>
      <c r="SKA117" s="198"/>
      <c r="SKB117" s="199"/>
      <c r="SKC117" s="198"/>
      <c r="SKD117" s="199"/>
      <c r="SKE117" s="198"/>
      <c r="SKF117" s="199"/>
      <c r="SKG117" s="198"/>
      <c r="SKH117" s="199"/>
      <c r="SKI117" s="198"/>
      <c r="SKJ117" s="199"/>
      <c r="SKK117" s="198"/>
      <c r="SKL117" s="199"/>
      <c r="SKM117" s="198"/>
      <c r="SKN117" s="199"/>
      <c r="SKO117" s="198"/>
      <c r="SKP117" s="199"/>
      <c r="SKQ117" s="198"/>
      <c r="SKR117" s="199"/>
      <c r="SKS117" s="198"/>
      <c r="SKT117" s="199"/>
      <c r="SKU117" s="198"/>
      <c r="SKV117" s="199"/>
      <c r="SKW117" s="198"/>
      <c r="SKX117" s="199"/>
      <c r="SKY117" s="198"/>
      <c r="SKZ117" s="199"/>
      <c r="SLA117" s="198"/>
      <c r="SLB117" s="199"/>
      <c r="SLC117" s="198"/>
      <c r="SLD117" s="199"/>
      <c r="SLE117" s="198"/>
      <c r="SLF117" s="199"/>
      <c r="SLG117" s="198"/>
      <c r="SLH117" s="199"/>
      <c r="SLI117" s="198"/>
      <c r="SLJ117" s="199"/>
      <c r="SLK117" s="198"/>
      <c r="SLL117" s="199"/>
      <c r="SLM117" s="198"/>
      <c r="SLN117" s="199"/>
      <c r="SLO117" s="198"/>
      <c r="SLP117" s="199"/>
      <c r="SLQ117" s="198"/>
      <c r="SLR117" s="199"/>
      <c r="SLS117" s="198"/>
      <c r="SLT117" s="199"/>
      <c r="SLU117" s="198"/>
      <c r="SLV117" s="199"/>
      <c r="SLW117" s="198"/>
      <c r="SLX117" s="199"/>
      <c r="SLY117" s="198"/>
      <c r="SLZ117" s="199"/>
      <c r="SMA117" s="198"/>
      <c r="SMB117" s="199"/>
      <c r="SMC117" s="198"/>
      <c r="SMD117" s="199"/>
      <c r="SME117" s="198"/>
      <c r="SMF117" s="199"/>
      <c r="SMG117" s="198"/>
      <c r="SMH117" s="199"/>
      <c r="SMI117" s="198"/>
      <c r="SMJ117" s="199"/>
      <c r="SMK117" s="198"/>
      <c r="SML117" s="199"/>
      <c r="SMM117" s="198"/>
      <c r="SMN117" s="199"/>
      <c r="SMO117" s="198"/>
      <c r="SMP117" s="199"/>
      <c r="SMQ117" s="198"/>
      <c r="SMR117" s="199"/>
      <c r="SMS117" s="198"/>
      <c r="SMT117" s="199"/>
      <c r="SMU117" s="198"/>
      <c r="SMV117" s="199"/>
      <c r="SMW117" s="198"/>
      <c r="SMX117" s="199"/>
      <c r="SMY117" s="198"/>
      <c r="SMZ117" s="199"/>
      <c r="SNA117" s="198"/>
      <c r="SNB117" s="199"/>
      <c r="SNC117" s="198"/>
      <c r="SND117" s="199"/>
      <c r="SNE117" s="198"/>
      <c r="SNF117" s="199"/>
      <c r="SNG117" s="198"/>
      <c r="SNH117" s="199"/>
      <c r="SNI117" s="198"/>
      <c r="SNJ117" s="199"/>
      <c r="SNK117" s="198"/>
      <c r="SNL117" s="199"/>
      <c r="SNM117" s="198"/>
      <c r="SNN117" s="199"/>
      <c r="SNO117" s="198"/>
      <c r="SNP117" s="199"/>
      <c r="SNQ117" s="198"/>
      <c r="SNR117" s="199"/>
      <c r="SNS117" s="198"/>
      <c r="SNT117" s="199"/>
      <c r="SNU117" s="198"/>
      <c r="SNV117" s="199"/>
      <c r="SNW117" s="198"/>
      <c r="SNX117" s="199"/>
      <c r="SNY117" s="198"/>
      <c r="SNZ117" s="199"/>
      <c r="SOA117" s="198"/>
      <c r="SOB117" s="199"/>
      <c r="SOC117" s="198"/>
      <c r="SOD117" s="199"/>
      <c r="SOE117" s="198"/>
      <c r="SOF117" s="199"/>
      <c r="SOG117" s="198"/>
      <c r="SOH117" s="199"/>
      <c r="SOI117" s="198"/>
      <c r="SOJ117" s="199"/>
      <c r="SOK117" s="198"/>
      <c r="SOL117" s="199"/>
      <c r="SOM117" s="198"/>
      <c r="SON117" s="199"/>
      <c r="SOO117" s="198"/>
      <c r="SOP117" s="199"/>
      <c r="SOQ117" s="198"/>
      <c r="SOR117" s="199"/>
      <c r="SOS117" s="198"/>
      <c r="SOT117" s="199"/>
      <c r="SOU117" s="198"/>
      <c r="SOV117" s="199"/>
      <c r="SOW117" s="198"/>
      <c r="SOX117" s="199"/>
      <c r="SOY117" s="198"/>
      <c r="SOZ117" s="199"/>
      <c r="SPA117" s="198"/>
      <c r="SPB117" s="199"/>
      <c r="SPC117" s="198"/>
      <c r="SPD117" s="199"/>
      <c r="SPE117" s="198"/>
      <c r="SPF117" s="199"/>
      <c r="SPG117" s="198"/>
      <c r="SPH117" s="199"/>
      <c r="SPI117" s="198"/>
      <c r="SPJ117" s="199"/>
      <c r="SPK117" s="198"/>
      <c r="SPL117" s="199"/>
      <c r="SPM117" s="198"/>
      <c r="SPN117" s="199"/>
      <c r="SPO117" s="198"/>
      <c r="SPP117" s="199"/>
      <c r="SPQ117" s="198"/>
      <c r="SPR117" s="199"/>
      <c r="SPS117" s="198"/>
      <c r="SPT117" s="199"/>
      <c r="SPU117" s="198"/>
      <c r="SPV117" s="199"/>
      <c r="SPW117" s="198"/>
      <c r="SPX117" s="199"/>
      <c r="SPY117" s="198"/>
      <c r="SPZ117" s="199"/>
      <c r="SQA117" s="198"/>
      <c r="SQB117" s="199"/>
      <c r="SQC117" s="198"/>
      <c r="SQD117" s="199"/>
      <c r="SQE117" s="198"/>
      <c r="SQF117" s="199"/>
      <c r="SQG117" s="198"/>
      <c r="SQH117" s="199"/>
      <c r="SQI117" s="198"/>
      <c r="SQJ117" s="199"/>
      <c r="SQK117" s="198"/>
      <c r="SQL117" s="199"/>
      <c r="SQM117" s="198"/>
      <c r="SQN117" s="199"/>
      <c r="SQO117" s="198"/>
      <c r="SQP117" s="199"/>
      <c r="SQQ117" s="198"/>
      <c r="SQR117" s="199"/>
      <c r="SQS117" s="198"/>
      <c r="SQT117" s="199"/>
      <c r="SQU117" s="198"/>
      <c r="SQV117" s="199"/>
      <c r="SQW117" s="198"/>
      <c r="SQX117" s="199"/>
      <c r="SQY117" s="198"/>
      <c r="SQZ117" s="199"/>
      <c r="SRA117" s="198"/>
      <c r="SRB117" s="199"/>
      <c r="SRC117" s="198"/>
      <c r="SRD117" s="199"/>
      <c r="SRE117" s="198"/>
      <c r="SRF117" s="199"/>
      <c r="SRG117" s="198"/>
      <c r="SRH117" s="199"/>
      <c r="SRI117" s="198"/>
      <c r="SRJ117" s="199"/>
      <c r="SRK117" s="198"/>
      <c r="SRL117" s="199"/>
      <c r="SRM117" s="198"/>
      <c r="SRN117" s="199"/>
      <c r="SRO117" s="198"/>
      <c r="SRP117" s="199"/>
      <c r="SRQ117" s="198"/>
      <c r="SRR117" s="199"/>
      <c r="SRS117" s="198"/>
      <c r="SRT117" s="199"/>
      <c r="SRU117" s="198"/>
      <c r="SRV117" s="199"/>
      <c r="SRW117" s="198"/>
      <c r="SRX117" s="199"/>
      <c r="SRY117" s="198"/>
      <c r="SRZ117" s="199"/>
      <c r="SSA117" s="198"/>
      <c r="SSB117" s="199"/>
      <c r="SSC117" s="198"/>
      <c r="SSD117" s="199"/>
      <c r="SSE117" s="198"/>
      <c r="SSF117" s="199"/>
      <c r="SSG117" s="198"/>
      <c r="SSH117" s="199"/>
      <c r="SSI117" s="198"/>
      <c r="SSJ117" s="199"/>
      <c r="SSK117" s="198"/>
      <c r="SSL117" s="199"/>
      <c r="SSM117" s="198"/>
      <c r="SSN117" s="199"/>
      <c r="SSO117" s="198"/>
      <c r="SSP117" s="199"/>
      <c r="SSQ117" s="198"/>
      <c r="SSR117" s="199"/>
      <c r="SSS117" s="198"/>
      <c r="SST117" s="199"/>
      <c r="SSU117" s="198"/>
      <c r="SSV117" s="199"/>
      <c r="SSW117" s="198"/>
      <c r="SSX117" s="199"/>
      <c r="SSY117" s="198"/>
      <c r="SSZ117" s="199"/>
      <c r="STA117" s="198"/>
      <c r="STB117" s="199"/>
      <c r="STC117" s="198"/>
      <c r="STD117" s="199"/>
      <c r="STE117" s="198"/>
      <c r="STF117" s="199"/>
      <c r="STG117" s="198"/>
      <c r="STH117" s="199"/>
      <c r="STI117" s="198"/>
      <c r="STJ117" s="199"/>
      <c r="STK117" s="198"/>
      <c r="STL117" s="199"/>
      <c r="STM117" s="198"/>
      <c r="STN117" s="199"/>
      <c r="STO117" s="198"/>
      <c r="STP117" s="199"/>
      <c r="STQ117" s="198"/>
      <c r="STR117" s="199"/>
      <c r="STS117" s="198"/>
      <c r="STT117" s="199"/>
      <c r="STU117" s="198"/>
      <c r="STV117" s="199"/>
      <c r="STW117" s="198"/>
      <c r="STX117" s="199"/>
      <c r="STY117" s="198"/>
      <c r="STZ117" s="199"/>
      <c r="SUA117" s="198"/>
      <c r="SUB117" s="199"/>
      <c r="SUC117" s="198"/>
      <c r="SUD117" s="199"/>
      <c r="SUE117" s="198"/>
      <c r="SUF117" s="199"/>
      <c r="SUG117" s="198"/>
      <c r="SUH117" s="199"/>
      <c r="SUI117" s="198"/>
      <c r="SUJ117" s="199"/>
      <c r="SUK117" s="198"/>
      <c r="SUL117" s="199"/>
      <c r="SUM117" s="198"/>
      <c r="SUN117" s="199"/>
      <c r="SUO117" s="198"/>
      <c r="SUP117" s="199"/>
      <c r="SUQ117" s="198"/>
      <c r="SUR117" s="199"/>
      <c r="SUS117" s="198"/>
      <c r="SUT117" s="199"/>
      <c r="SUU117" s="198"/>
      <c r="SUV117" s="199"/>
      <c r="SUW117" s="198"/>
      <c r="SUX117" s="199"/>
      <c r="SUY117" s="198"/>
      <c r="SUZ117" s="199"/>
      <c r="SVA117" s="198"/>
      <c r="SVB117" s="199"/>
      <c r="SVC117" s="198"/>
      <c r="SVD117" s="199"/>
      <c r="SVE117" s="198"/>
      <c r="SVF117" s="199"/>
      <c r="SVG117" s="198"/>
      <c r="SVH117" s="199"/>
      <c r="SVI117" s="198"/>
      <c r="SVJ117" s="199"/>
      <c r="SVK117" s="198"/>
      <c r="SVL117" s="199"/>
      <c r="SVM117" s="198"/>
      <c r="SVN117" s="199"/>
      <c r="SVO117" s="198"/>
      <c r="SVP117" s="199"/>
      <c r="SVQ117" s="198"/>
      <c r="SVR117" s="199"/>
      <c r="SVS117" s="198"/>
      <c r="SVT117" s="199"/>
      <c r="SVU117" s="198"/>
      <c r="SVV117" s="199"/>
      <c r="SVW117" s="198"/>
      <c r="SVX117" s="199"/>
      <c r="SVY117" s="198"/>
      <c r="SVZ117" s="199"/>
      <c r="SWA117" s="198"/>
      <c r="SWB117" s="199"/>
      <c r="SWC117" s="198"/>
      <c r="SWD117" s="199"/>
      <c r="SWE117" s="198"/>
      <c r="SWF117" s="199"/>
      <c r="SWG117" s="198"/>
      <c r="SWH117" s="199"/>
      <c r="SWI117" s="198"/>
      <c r="SWJ117" s="199"/>
      <c r="SWK117" s="198"/>
      <c r="SWL117" s="199"/>
      <c r="SWM117" s="198"/>
      <c r="SWN117" s="199"/>
      <c r="SWO117" s="198"/>
      <c r="SWP117" s="199"/>
      <c r="SWQ117" s="198"/>
      <c r="SWR117" s="199"/>
      <c r="SWS117" s="198"/>
      <c r="SWT117" s="199"/>
      <c r="SWU117" s="198"/>
      <c r="SWV117" s="199"/>
      <c r="SWW117" s="198"/>
      <c r="SWX117" s="199"/>
      <c r="SWY117" s="198"/>
      <c r="SWZ117" s="199"/>
      <c r="SXA117" s="198"/>
      <c r="SXB117" s="199"/>
      <c r="SXC117" s="198"/>
      <c r="SXD117" s="199"/>
      <c r="SXE117" s="198"/>
      <c r="SXF117" s="199"/>
      <c r="SXG117" s="198"/>
      <c r="SXH117" s="199"/>
      <c r="SXI117" s="198"/>
      <c r="SXJ117" s="199"/>
      <c r="SXK117" s="198"/>
      <c r="SXL117" s="199"/>
      <c r="SXM117" s="198"/>
      <c r="SXN117" s="199"/>
      <c r="SXO117" s="198"/>
      <c r="SXP117" s="199"/>
      <c r="SXQ117" s="198"/>
      <c r="SXR117" s="199"/>
      <c r="SXS117" s="198"/>
      <c r="SXT117" s="199"/>
      <c r="SXU117" s="198"/>
      <c r="SXV117" s="199"/>
      <c r="SXW117" s="198"/>
      <c r="SXX117" s="199"/>
      <c r="SXY117" s="198"/>
      <c r="SXZ117" s="199"/>
      <c r="SYA117" s="198"/>
      <c r="SYB117" s="199"/>
      <c r="SYC117" s="198"/>
      <c r="SYD117" s="199"/>
      <c r="SYE117" s="198"/>
      <c r="SYF117" s="199"/>
      <c r="SYG117" s="198"/>
      <c r="SYH117" s="199"/>
      <c r="SYI117" s="198"/>
      <c r="SYJ117" s="199"/>
      <c r="SYK117" s="198"/>
      <c r="SYL117" s="199"/>
      <c r="SYM117" s="198"/>
      <c r="SYN117" s="199"/>
      <c r="SYO117" s="198"/>
      <c r="SYP117" s="199"/>
      <c r="SYQ117" s="198"/>
      <c r="SYR117" s="199"/>
      <c r="SYS117" s="198"/>
      <c r="SYT117" s="199"/>
      <c r="SYU117" s="198"/>
      <c r="SYV117" s="199"/>
      <c r="SYW117" s="198"/>
      <c r="SYX117" s="199"/>
      <c r="SYY117" s="198"/>
      <c r="SYZ117" s="199"/>
      <c r="SZA117" s="198"/>
      <c r="SZB117" s="199"/>
      <c r="SZC117" s="198"/>
      <c r="SZD117" s="199"/>
      <c r="SZE117" s="198"/>
      <c r="SZF117" s="199"/>
      <c r="SZG117" s="198"/>
      <c r="SZH117" s="199"/>
      <c r="SZI117" s="198"/>
      <c r="SZJ117" s="199"/>
      <c r="SZK117" s="198"/>
      <c r="SZL117" s="199"/>
      <c r="SZM117" s="198"/>
      <c r="SZN117" s="199"/>
      <c r="SZO117" s="198"/>
      <c r="SZP117" s="199"/>
      <c r="SZQ117" s="198"/>
      <c r="SZR117" s="199"/>
      <c r="SZS117" s="198"/>
      <c r="SZT117" s="199"/>
      <c r="SZU117" s="198"/>
      <c r="SZV117" s="199"/>
      <c r="SZW117" s="198"/>
      <c r="SZX117" s="199"/>
      <c r="SZY117" s="198"/>
      <c r="SZZ117" s="199"/>
      <c r="TAA117" s="198"/>
      <c r="TAB117" s="199"/>
      <c r="TAC117" s="198"/>
      <c r="TAD117" s="199"/>
      <c r="TAE117" s="198"/>
      <c r="TAF117" s="199"/>
      <c r="TAG117" s="198"/>
      <c r="TAH117" s="199"/>
      <c r="TAI117" s="198"/>
      <c r="TAJ117" s="199"/>
      <c r="TAK117" s="198"/>
      <c r="TAL117" s="199"/>
      <c r="TAM117" s="198"/>
      <c r="TAN117" s="199"/>
      <c r="TAO117" s="198"/>
      <c r="TAP117" s="199"/>
      <c r="TAQ117" s="198"/>
      <c r="TAR117" s="199"/>
      <c r="TAS117" s="198"/>
      <c r="TAT117" s="199"/>
      <c r="TAU117" s="198"/>
      <c r="TAV117" s="199"/>
      <c r="TAW117" s="198"/>
      <c r="TAX117" s="199"/>
      <c r="TAY117" s="198"/>
      <c r="TAZ117" s="199"/>
      <c r="TBA117" s="198"/>
      <c r="TBB117" s="199"/>
      <c r="TBC117" s="198"/>
      <c r="TBD117" s="199"/>
      <c r="TBE117" s="198"/>
      <c r="TBF117" s="199"/>
      <c r="TBG117" s="198"/>
      <c r="TBH117" s="199"/>
      <c r="TBI117" s="198"/>
      <c r="TBJ117" s="199"/>
      <c r="TBK117" s="198"/>
      <c r="TBL117" s="199"/>
      <c r="TBM117" s="198"/>
      <c r="TBN117" s="199"/>
      <c r="TBO117" s="198"/>
      <c r="TBP117" s="199"/>
      <c r="TBQ117" s="198"/>
      <c r="TBR117" s="199"/>
      <c r="TBS117" s="198"/>
      <c r="TBT117" s="199"/>
      <c r="TBU117" s="198"/>
      <c r="TBV117" s="199"/>
      <c r="TBW117" s="198"/>
      <c r="TBX117" s="199"/>
      <c r="TBY117" s="198"/>
      <c r="TBZ117" s="199"/>
      <c r="TCA117" s="198"/>
      <c r="TCB117" s="199"/>
      <c r="TCC117" s="198"/>
      <c r="TCD117" s="199"/>
      <c r="TCE117" s="198"/>
      <c r="TCF117" s="199"/>
      <c r="TCG117" s="198"/>
      <c r="TCH117" s="199"/>
      <c r="TCI117" s="198"/>
      <c r="TCJ117" s="199"/>
      <c r="TCK117" s="198"/>
      <c r="TCL117" s="199"/>
      <c r="TCM117" s="198"/>
      <c r="TCN117" s="199"/>
      <c r="TCO117" s="198"/>
      <c r="TCP117" s="199"/>
      <c r="TCQ117" s="198"/>
      <c r="TCR117" s="199"/>
      <c r="TCS117" s="198"/>
      <c r="TCT117" s="199"/>
      <c r="TCU117" s="198"/>
      <c r="TCV117" s="199"/>
      <c r="TCW117" s="198"/>
      <c r="TCX117" s="199"/>
      <c r="TCY117" s="198"/>
      <c r="TCZ117" s="199"/>
      <c r="TDA117" s="198"/>
      <c r="TDB117" s="199"/>
      <c r="TDC117" s="198"/>
      <c r="TDD117" s="199"/>
      <c r="TDE117" s="198"/>
      <c r="TDF117" s="199"/>
      <c r="TDG117" s="198"/>
      <c r="TDH117" s="199"/>
      <c r="TDI117" s="198"/>
      <c r="TDJ117" s="199"/>
      <c r="TDK117" s="198"/>
      <c r="TDL117" s="199"/>
      <c r="TDM117" s="198"/>
      <c r="TDN117" s="199"/>
      <c r="TDO117" s="198"/>
      <c r="TDP117" s="199"/>
      <c r="TDQ117" s="198"/>
      <c r="TDR117" s="199"/>
      <c r="TDS117" s="198"/>
      <c r="TDT117" s="199"/>
      <c r="TDU117" s="198"/>
      <c r="TDV117" s="199"/>
      <c r="TDW117" s="198"/>
      <c r="TDX117" s="199"/>
      <c r="TDY117" s="198"/>
      <c r="TDZ117" s="199"/>
      <c r="TEA117" s="198"/>
      <c r="TEB117" s="199"/>
      <c r="TEC117" s="198"/>
      <c r="TED117" s="199"/>
      <c r="TEE117" s="198"/>
      <c r="TEF117" s="199"/>
      <c r="TEG117" s="198"/>
      <c r="TEH117" s="199"/>
      <c r="TEI117" s="198"/>
      <c r="TEJ117" s="199"/>
      <c r="TEK117" s="198"/>
      <c r="TEL117" s="199"/>
      <c r="TEM117" s="198"/>
      <c r="TEN117" s="199"/>
      <c r="TEO117" s="198"/>
      <c r="TEP117" s="199"/>
      <c r="TEQ117" s="198"/>
      <c r="TER117" s="199"/>
      <c r="TES117" s="198"/>
      <c r="TET117" s="199"/>
      <c r="TEU117" s="198"/>
      <c r="TEV117" s="199"/>
      <c r="TEW117" s="198"/>
      <c r="TEX117" s="199"/>
      <c r="TEY117" s="198"/>
      <c r="TEZ117" s="199"/>
      <c r="TFA117" s="198"/>
      <c r="TFB117" s="199"/>
      <c r="TFC117" s="198"/>
      <c r="TFD117" s="199"/>
      <c r="TFE117" s="198"/>
      <c r="TFF117" s="199"/>
      <c r="TFG117" s="198"/>
      <c r="TFH117" s="199"/>
      <c r="TFI117" s="198"/>
      <c r="TFJ117" s="199"/>
      <c r="TFK117" s="198"/>
      <c r="TFL117" s="199"/>
      <c r="TFM117" s="198"/>
      <c r="TFN117" s="199"/>
      <c r="TFO117" s="198"/>
      <c r="TFP117" s="199"/>
      <c r="TFQ117" s="198"/>
      <c r="TFR117" s="199"/>
      <c r="TFS117" s="198"/>
      <c r="TFT117" s="199"/>
      <c r="TFU117" s="198"/>
      <c r="TFV117" s="199"/>
      <c r="TFW117" s="198"/>
      <c r="TFX117" s="199"/>
      <c r="TFY117" s="198"/>
      <c r="TFZ117" s="199"/>
      <c r="TGA117" s="198"/>
      <c r="TGB117" s="199"/>
      <c r="TGC117" s="198"/>
      <c r="TGD117" s="199"/>
      <c r="TGE117" s="198"/>
      <c r="TGF117" s="199"/>
      <c r="TGG117" s="198"/>
      <c r="TGH117" s="199"/>
      <c r="TGI117" s="198"/>
      <c r="TGJ117" s="199"/>
      <c r="TGK117" s="198"/>
      <c r="TGL117" s="199"/>
      <c r="TGM117" s="198"/>
      <c r="TGN117" s="199"/>
      <c r="TGO117" s="198"/>
      <c r="TGP117" s="199"/>
      <c r="TGQ117" s="198"/>
      <c r="TGR117" s="199"/>
      <c r="TGS117" s="198"/>
      <c r="TGT117" s="199"/>
      <c r="TGU117" s="198"/>
      <c r="TGV117" s="199"/>
      <c r="TGW117" s="198"/>
      <c r="TGX117" s="199"/>
      <c r="TGY117" s="198"/>
      <c r="TGZ117" s="199"/>
      <c r="THA117" s="198"/>
      <c r="THB117" s="199"/>
      <c r="THC117" s="198"/>
      <c r="THD117" s="199"/>
      <c r="THE117" s="198"/>
      <c r="THF117" s="199"/>
      <c r="THG117" s="198"/>
      <c r="THH117" s="199"/>
      <c r="THI117" s="198"/>
      <c r="THJ117" s="199"/>
      <c r="THK117" s="198"/>
      <c r="THL117" s="199"/>
      <c r="THM117" s="198"/>
      <c r="THN117" s="199"/>
      <c r="THO117" s="198"/>
      <c r="THP117" s="199"/>
      <c r="THQ117" s="198"/>
      <c r="THR117" s="199"/>
      <c r="THS117" s="198"/>
      <c r="THT117" s="199"/>
      <c r="THU117" s="198"/>
      <c r="THV117" s="199"/>
      <c r="THW117" s="198"/>
      <c r="THX117" s="199"/>
      <c r="THY117" s="198"/>
      <c r="THZ117" s="199"/>
      <c r="TIA117" s="198"/>
      <c r="TIB117" s="199"/>
      <c r="TIC117" s="198"/>
      <c r="TID117" s="199"/>
      <c r="TIE117" s="198"/>
      <c r="TIF117" s="199"/>
      <c r="TIG117" s="198"/>
      <c r="TIH117" s="199"/>
      <c r="TII117" s="198"/>
      <c r="TIJ117" s="199"/>
      <c r="TIK117" s="198"/>
      <c r="TIL117" s="199"/>
      <c r="TIM117" s="198"/>
      <c r="TIN117" s="199"/>
      <c r="TIO117" s="198"/>
      <c r="TIP117" s="199"/>
      <c r="TIQ117" s="198"/>
      <c r="TIR117" s="199"/>
      <c r="TIS117" s="198"/>
      <c r="TIT117" s="199"/>
      <c r="TIU117" s="198"/>
      <c r="TIV117" s="199"/>
      <c r="TIW117" s="198"/>
      <c r="TIX117" s="199"/>
      <c r="TIY117" s="198"/>
      <c r="TIZ117" s="199"/>
      <c r="TJA117" s="198"/>
      <c r="TJB117" s="199"/>
      <c r="TJC117" s="198"/>
      <c r="TJD117" s="199"/>
      <c r="TJE117" s="198"/>
      <c r="TJF117" s="199"/>
      <c r="TJG117" s="198"/>
      <c r="TJH117" s="199"/>
      <c r="TJI117" s="198"/>
      <c r="TJJ117" s="199"/>
      <c r="TJK117" s="198"/>
      <c r="TJL117" s="199"/>
      <c r="TJM117" s="198"/>
      <c r="TJN117" s="199"/>
      <c r="TJO117" s="198"/>
      <c r="TJP117" s="199"/>
      <c r="TJQ117" s="198"/>
      <c r="TJR117" s="199"/>
      <c r="TJS117" s="198"/>
      <c r="TJT117" s="199"/>
      <c r="TJU117" s="198"/>
      <c r="TJV117" s="199"/>
      <c r="TJW117" s="198"/>
      <c r="TJX117" s="199"/>
      <c r="TJY117" s="198"/>
      <c r="TJZ117" s="199"/>
      <c r="TKA117" s="198"/>
      <c r="TKB117" s="199"/>
      <c r="TKC117" s="198"/>
      <c r="TKD117" s="199"/>
      <c r="TKE117" s="198"/>
      <c r="TKF117" s="199"/>
      <c r="TKG117" s="198"/>
      <c r="TKH117" s="199"/>
      <c r="TKI117" s="198"/>
      <c r="TKJ117" s="199"/>
      <c r="TKK117" s="198"/>
      <c r="TKL117" s="199"/>
      <c r="TKM117" s="198"/>
      <c r="TKN117" s="199"/>
      <c r="TKO117" s="198"/>
      <c r="TKP117" s="199"/>
      <c r="TKQ117" s="198"/>
      <c r="TKR117" s="199"/>
      <c r="TKS117" s="198"/>
      <c r="TKT117" s="199"/>
      <c r="TKU117" s="198"/>
      <c r="TKV117" s="199"/>
      <c r="TKW117" s="198"/>
      <c r="TKX117" s="199"/>
      <c r="TKY117" s="198"/>
      <c r="TKZ117" s="199"/>
      <c r="TLA117" s="198"/>
      <c r="TLB117" s="199"/>
      <c r="TLC117" s="198"/>
      <c r="TLD117" s="199"/>
      <c r="TLE117" s="198"/>
      <c r="TLF117" s="199"/>
      <c r="TLG117" s="198"/>
      <c r="TLH117" s="199"/>
      <c r="TLI117" s="198"/>
      <c r="TLJ117" s="199"/>
      <c r="TLK117" s="198"/>
      <c r="TLL117" s="199"/>
      <c r="TLM117" s="198"/>
      <c r="TLN117" s="199"/>
      <c r="TLO117" s="198"/>
      <c r="TLP117" s="199"/>
      <c r="TLQ117" s="198"/>
      <c r="TLR117" s="199"/>
      <c r="TLS117" s="198"/>
      <c r="TLT117" s="199"/>
      <c r="TLU117" s="198"/>
      <c r="TLV117" s="199"/>
      <c r="TLW117" s="198"/>
      <c r="TLX117" s="199"/>
      <c r="TLY117" s="198"/>
      <c r="TLZ117" s="199"/>
      <c r="TMA117" s="198"/>
      <c r="TMB117" s="199"/>
      <c r="TMC117" s="198"/>
      <c r="TMD117" s="199"/>
      <c r="TME117" s="198"/>
      <c r="TMF117" s="199"/>
      <c r="TMG117" s="198"/>
      <c r="TMH117" s="199"/>
      <c r="TMI117" s="198"/>
      <c r="TMJ117" s="199"/>
      <c r="TMK117" s="198"/>
      <c r="TML117" s="199"/>
      <c r="TMM117" s="198"/>
      <c r="TMN117" s="199"/>
      <c r="TMO117" s="198"/>
      <c r="TMP117" s="199"/>
      <c r="TMQ117" s="198"/>
      <c r="TMR117" s="199"/>
      <c r="TMS117" s="198"/>
      <c r="TMT117" s="199"/>
      <c r="TMU117" s="198"/>
      <c r="TMV117" s="199"/>
      <c r="TMW117" s="198"/>
      <c r="TMX117" s="199"/>
      <c r="TMY117" s="198"/>
      <c r="TMZ117" s="199"/>
      <c r="TNA117" s="198"/>
      <c r="TNB117" s="199"/>
      <c r="TNC117" s="198"/>
      <c r="TND117" s="199"/>
      <c r="TNE117" s="198"/>
      <c r="TNF117" s="199"/>
      <c r="TNG117" s="198"/>
      <c r="TNH117" s="199"/>
      <c r="TNI117" s="198"/>
      <c r="TNJ117" s="199"/>
      <c r="TNK117" s="198"/>
      <c r="TNL117" s="199"/>
      <c r="TNM117" s="198"/>
      <c r="TNN117" s="199"/>
      <c r="TNO117" s="198"/>
      <c r="TNP117" s="199"/>
      <c r="TNQ117" s="198"/>
      <c r="TNR117" s="199"/>
      <c r="TNS117" s="198"/>
      <c r="TNT117" s="199"/>
      <c r="TNU117" s="198"/>
      <c r="TNV117" s="199"/>
      <c r="TNW117" s="198"/>
      <c r="TNX117" s="199"/>
      <c r="TNY117" s="198"/>
      <c r="TNZ117" s="199"/>
      <c r="TOA117" s="198"/>
      <c r="TOB117" s="199"/>
      <c r="TOC117" s="198"/>
      <c r="TOD117" s="199"/>
      <c r="TOE117" s="198"/>
      <c r="TOF117" s="199"/>
      <c r="TOG117" s="198"/>
      <c r="TOH117" s="199"/>
      <c r="TOI117" s="198"/>
      <c r="TOJ117" s="199"/>
      <c r="TOK117" s="198"/>
      <c r="TOL117" s="199"/>
      <c r="TOM117" s="198"/>
      <c r="TON117" s="199"/>
      <c r="TOO117" s="198"/>
      <c r="TOP117" s="199"/>
      <c r="TOQ117" s="198"/>
      <c r="TOR117" s="199"/>
      <c r="TOS117" s="198"/>
      <c r="TOT117" s="199"/>
      <c r="TOU117" s="198"/>
      <c r="TOV117" s="199"/>
      <c r="TOW117" s="198"/>
      <c r="TOX117" s="199"/>
      <c r="TOY117" s="198"/>
      <c r="TOZ117" s="199"/>
      <c r="TPA117" s="198"/>
      <c r="TPB117" s="199"/>
      <c r="TPC117" s="198"/>
      <c r="TPD117" s="199"/>
      <c r="TPE117" s="198"/>
      <c r="TPF117" s="199"/>
      <c r="TPG117" s="198"/>
      <c r="TPH117" s="199"/>
      <c r="TPI117" s="198"/>
      <c r="TPJ117" s="199"/>
      <c r="TPK117" s="198"/>
      <c r="TPL117" s="199"/>
      <c r="TPM117" s="198"/>
      <c r="TPN117" s="199"/>
      <c r="TPO117" s="198"/>
      <c r="TPP117" s="199"/>
      <c r="TPQ117" s="198"/>
      <c r="TPR117" s="199"/>
      <c r="TPS117" s="198"/>
      <c r="TPT117" s="199"/>
      <c r="TPU117" s="198"/>
      <c r="TPV117" s="199"/>
      <c r="TPW117" s="198"/>
      <c r="TPX117" s="199"/>
      <c r="TPY117" s="198"/>
      <c r="TPZ117" s="199"/>
      <c r="TQA117" s="198"/>
      <c r="TQB117" s="199"/>
      <c r="TQC117" s="198"/>
      <c r="TQD117" s="199"/>
      <c r="TQE117" s="198"/>
      <c r="TQF117" s="199"/>
      <c r="TQG117" s="198"/>
      <c r="TQH117" s="199"/>
      <c r="TQI117" s="198"/>
      <c r="TQJ117" s="199"/>
      <c r="TQK117" s="198"/>
      <c r="TQL117" s="199"/>
      <c r="TQM117" s="198"/>
      <c r="TQN117" s="199"/>
      <c r="TQO117" s="198"/>
      <c r="TQP117" s="199"/>
      <c r="TQQ117" s="198"/>
      <c r="TQR117" s="199"/>
      <c r="TQS117" s="198"/>
      <c r="TQT117" s="199"/>
      <c r="TQU117" s="198"/>
      <c r="TQV117" s="199"/>
      <c r="TQW117" s="198"/>
      <c r="TQX117" s="199"/>
      <c r="TQY117" s="198"/>
      <c r="TQZ117" s="199"/>
      <c r="TRA117" s="198"/>
      <c r="TRB117" s="199"/>
      <c r="TRC117" s="198"/>
      <c r="TRD117" s="199"/>
      <c r="TRE117" s="198"/>
      <c r="TRF117" s="199"/>
      <c r="TRG117" s="198"/>
      <c r="TRH117" s="199"/>
      <c r="TRI117" s="198"/>
      <c r="TRJ117" s="199"/>
      <c r="TRK117" s="198"/>
      <c r="TRL117" s="199"/>
      <c r="TRM117" s="198"/>
      <c r="TRN117" s="199"/>
      <c r="TRO117" s="198"/>
      <c r="TRP117" s="199"/>
      <c r="TRQ117" s="198"/>
      <c r="TRR117" s="199"/>
      <c r="TRS117" s="198"/>
      <c r="TRT117" s="199"/>
      <c r="TRU117" s="198"/>
      <c r="TRV117" s="199"/>
      <c r="TRW117" s="198"/>
      <c r="TRX117" s="199"/>
      <c r="TRY117" s="198"/>
      <c r="TRZ117" s="199"/>
      <c r="TSA117" s="198"/>
      <c r="TSB117" s="199"/>
      <c r="TSC117" s="198"/>
      <c r="TSD117" s="199"/>
      <c r="TSE117" s="198"/>
      <c r="TSF117" s="199"/>
      <c r="TSG117" s="198"/>
      <c r="TSH117" s="199"/>
      <c r="TSI117" s="198"/>
      <c r="TSJ117" s="199"/>
      <c r="TSK117" s="198"/>
      <c r="TSL117" s="199"/>
      <c r="TSM117" s="198"/>
      <c r="TSN117" s="199"/>
      <c r="TSO117" s="198"/>
      <c r="TSP117" s="199"/>
      <c r="TSQ117" s="198"/>
      <c r="TSR117" s="199"/>
      <c r="TSS117" s="198"/>
      <c r="TST117" s="199"/>
      <c r="TSU117" s="198"/>
      <c r="TSV117" s="199"/>
      <c r="TSW117" s="198"/>
      <c r="TSX117" s="199"/>
      <c r="TSY117" s="198"/>
      <c r="TSZ117" s="199"/>
      <c r="TTA117" s="198"/>
      <c r="TTB117" s="199"/>
      <c r="TTC117" s="198"/>
      <c r="TTD117" s="199"/>
      <c r="TTE117" s="198"/>
      <c r="TTF117" s="199"/>
      <c r="TTG117" s="198"/>
      <c r="TTH117" s="199"/>
      <c r="TTI117" s="198"/>
      <c r="TTJ117" s="199"/>
      <c r="TTK117" s="198"/>
      <c r="TTL117" s="199"/>
      <c r="TTM117" s="198"/>
      <c r="TTN117" s="199"/>
      <c r="TTO117" s="198"/>
      <c r="TTP117" s="199"/>
      <c r="TTQ117" s="198"/>
      <c r="TTR117" s="199"/>
      <c r="TTS117" s="198"/>
      <c r="TTT117" s="199"/>
      <c r="TTU117" s="198"/>
      <c r="TTV117" s="199"/>
      <c r="TTW117" s="198"/>
      <c r="TTX117" s="199"/>
      <c r="TTY117" s="198"/>
      <c r="TTZ117" s="199"/>
      <c r="TUA117" s="198"/>
      <c r="TUB117" s="199"/>
      <c r="TUC117" s="198"/>
      <c r="TUD117" s="199"/>
      <c r="TUE117" s="198"/>
      <c r="TUF117" s="199"/>
      <c r="TUG117" s="198"/>
      <c r="TUH117" s="199"/>
      <c r="TUI117" s="198"/>
      <c r="TUJ117" s="199"/>
      <c r="TUK117" s="198"/>
      <c r="TUL117" s="199"/>
      <c r="TUM117" s="198"/>
      <c r="TUN117" s="199"/>
      <c r="TUO117" s="198"/>
      <c r="TUP117" s="199"/>
      <c r="TUQ117" s="198"/>
      <c r="TUR117" s="199"/>
      <c r="TUS117" s="198"/>
      <c r="TUT117" s="199"/>
      <c r="TUU117" s="198"/>
      <c r="TUV117" s="199"/>
      <c r="TUW117" s="198"/>
      <c r="TUX117" s="199"/>
      <c r="TUY117" s="198"/>
      <c r="TUZ117" s="199"/>
      <c r="TVA117" s="198"/>
      <c r="TVB117" s="199"/>
      <c r="TVC117" s="198"/>
      <c r="TVD117" s="199"/>
      <c r="TVE117" s="198"/>
      <c r="TVF117" s="199"/>
      <c r="TVG117" s="198"/>
      <c r="TVH117" s="199"/>
      <c r="TVI117" s="198"/>
      <c r="TVJ117" s="199"/>
      <c r="TVK117" s="198"/>
      <c r="TVL117" s="199"/>
      <c r="TVM117" s="198"/>
      <c r="TVN117" s="199"/>
      <c r="TVO117" s="198"/>
      <c r="TVP117" s="199"/>
      <c r="TVQ117" s="198"/>
      <c r="TVR117" s="199"/>
      <c r="TVS117" s="198"/>
      <c r="TVT117" s="199"/>
      <c r="TVU117" s="198"/>
      <c r="TVV117" s="199"/>
      <c r="TVW117" s="198"/>
      <c r="TVX117" s="199"/>
      <c r="TVY117" s="198"/>
      <c r="TVZ117" s="199"/>
      <c r="TWA117" s="198"/>
      <c r="TWB117" s="199"/>
      <c r="TWC117" s="198"/>
      <c r="TWD117" s="199"/>
      <c r="TWE117" s="198"/>
      <c r="TWF117" s="199"/>
      <c r="TWG117" s="198"/>
      <c r="TWH117" s="199"/>
      <c r="TWI117" s="198"/>
      <c r="TWJ117" s="199"/>
      <c r="TWK117" s="198"/>
      <c r="TWL117" s="199"/>
      <c r="TWM117" s="198"/>
      <c r="TWN117" s="199"/>
      <c r="TWO117" s="198"/>
      <c r="TWP117" s="199"/>
      <c r="TWQ117" s="198"/>
      <c r="TWR117" s="199"/>
      <c r="TWS117" s="198"/>
      <c r="TWT117" s="199"/>
      <c r="TWU117" s="198"/>
      <c r="TWV117" s="199"/>
      <c r="TWW117" s="198"/>
      <c r="TWX117" s="199"/>
      <c r="TWY117" s="198"/>
      <c r="TWZ117" s="199"/>
      <c r="TXA117" s="198"/>
      <c r="TXB117" s="199"/>
      <c r="TXC117" s="198"/>
      <c r="TXD117" s="199"/>
      <c r="TXE117" s="198"/>
      <c r="TXF117" s="199"/>
      <c r="TXG117" s="198"/>
      <c r="TXH117" s="199"/>
      <c r="TXI117" s="198"/>
      <c r="TXJ117" s="199"/>
      <c r="TXK117" s="198"/>
      <c r="TXL117" s="199"/>
      <c r="TXM117" s="198"/>
      <c r="TXN117" s="199"/>
      <c r="TXO117" s="198"/>
      <c r="TXP117" s="199"/>
      <c r="TXQ117" s="198"/>
      <c r="TXR117" s="199"/>
      <c r="TXS117" s="198"/>
      <c r="TXT117" s="199"/>
      <c r="TXU117" s="198"/>
      <c r="TXV117" s="199"/>
      <c r="TXW117" s="198"/>
      <c r="TXX117" s="199"/>
      <c r="TXY117" s="198"/>
      <c r="TXZ117" s="199"/>
      <c r="TYA117" s="198"/>
      <c r="TYB117" s="199"/>
      <c r="TYC117" s="198"/>
      <c r="TYD117" s="199"/>
      <c r="TYE117" s="198"/>
      <c r="TYF117" s="199"/>
      <c r="TYG117" s="198"/>
      <c r="TYH117" s="199"/>
      <c r="TYI117" s="198"/>
      <c r="TYJ117" s="199"/>
      <c r="TYK117" s="198"/>
      <c r="TYL117" s="199"/>
      <c r="TYM117" s="198"/>
      <c r="TYN117" s="199"/>
      <c r="TYO117" s="198"/>
      <c r="TYP117" s="199"/>
      <c r="TYQ117" s="198"/>
      <c r="TYR117" s="199"/>
      <c r="TYS117" s="198"/>
      <c r="TYT117" s="199"/>
      <c r="TYU117" s="198"/>
      <c r="TYV117" s="199"/>
      <c r="TYW117" s="198"/>
      <c r="TYX117" s="199"/>
      <c r="TYY117" s="198"/>
      <c r="TYZ117" s="199"/>
      <c r="TZA117" s="198"/>
      <c r="TZB117" s="199"/>
      <c r="TZC117" s="198"/>
      <c r="TZD117" s="199"/>
      <c r="TZE117" s="198"/>
      <c r="TZF117" s="199"/>
      <c r="TZG117" s="198"/>
      <c r="TZH117" s="199"/>
      <c r="TZI117" s="198"/>
      <c r="TZJ117" s="199"/>
      <c r="TZK117" s="198"/>
      <c r="TZL117" s="199"/>
      <c r="TZM117" s="198"/>
      <c r="TZN117" s="199"/>
      <c r="TZO117" s="198"/>
      <c r="TZP117" s="199"/>
      <c r="TZQ117" s="198"/>
      <c r="TZR117" s="199"/>
      <c r="TZS117" s="198"/>
      <c r="TZT117" s="199"/>
      <c r="TZU117" s="198"/>
      <c r="TZV117" s="199"/>
      <c r="TZW117" s="198"/>
      <c r="TZX117" s="199"/>
      <c r="TZY117" s="198"/>
      <c r="TZZ117" s="199"/>
      <c r="UAA117" s="198"/>
      <c r="UAB117" s="199"/>
      <c r="UAC117" s="198"/>
      <c r="UAD117" s="199"/>
      <c r="UAE117" s="198"/>
      <c r="UAF117" s="199"/>
      <c r="UAG117" s="198"/>
      <c r="UAH117" s="199"/>
      <c r="UAI117" s="198"/>
      <c r="UAJ117" s="199"/>
      <c r="UAK117" s="198"/>
      <c r="UAL117" s="199"/>
      <c r="UAM117" s="198"/>
      <c r="UAN117" s="199"/>
      <c r="UAO117" s="198"/>
      <c r="UAP117" s="199"/>
      <c r="UAQ117" s="198"/>
      <c r="UAR117" s="199"/>
      <c r="UAS117" s="198"/>
      <c r="UAT117" s="199"/>
      <c r="UAU117" s="198"/>
      <c r="UAV117" s="199"/>
      <c r="UAW117" s="198"/>
      <c r="UAX117" s="199"/>
      <c r="UAY117" s="198"/>
      <c r="UAZ117" s="199"/>
      <c r="UBA117" s="198"/>
      <c r="UBB117" s="199"/>
      <c r="UBC117" s="198"/>
      <c r="UBD117" s="199"/>
      <c r="UBE117" s="198"/>
      <c r="UBF117" s="199"/>
      <c r="UBG117" s="198"/>
      <c r="UBH117" s="199"/>
      <c r="UBI117" s="198"/>
      <c r="UBJ117" s="199"/>
      <c r="UBK117" s="198"/>
      <c r="UBL117" s="199"/>
      <c r="UBM117" s="198"/>
      <c r="UBN117" s="199"/>
      <c r="UBO117" s="198"/>
      <c r="UBP117" s="199"/>
      <c r="UBQ117" s="198"/>
      <c r="UBR117" s="199"/>
      <c r="UBS117" s="198"/>
      <c r="UBT117" s="199"/>
      <c r="UBU117" s="198"/>
      <c r="UBV117" s="199"/>
      <c r="UBW117" s="198"/>
      <c r="UBX117" s="199"/>
      <c r="UBY117" s="198"/>
      <c r="UBZ117" s="199"/>
      <c r="UCA117" s="198"/>
      <c r="UCB117" s="199"/>
      <c r="UCC117" s="198"/>
      <c r="UCD117" s="199"/>
      <c r="UCE117" s="198"/>
      <c r="UCF117" s="199"/>
      <c r="UCG117" s="198"/>
      <c r="UCH117" s="199"/>
      <c r="UCI117" s="198"/>
      <c r="UCJ117" s="199"/>
      <c r="UCK117" s="198"/>
      <c r="UCL117" s="199"/>
      <c r="UCM117" s="198"/>
      <c r="UCN117" s="199"/>
      <c r="UCO117" s="198"/>
      <c r="UCP117" s="199"/>
      <c r="UCQ117" s="198"/>
      <c r="UCR117" s="199"/>
      <c r="UCS117" s="198"/>
      <c r="UCT117" s="199"/>
      <c r="UCU117" s="198"/>
      <c r="UCV117" s="199"/>
      <c r="UCW117" s="198"/>
      <c r="UCX117" s="199"/>
      <c r="UCY117" s="198"/>
      <c r="UCZ117" s="199"/>
      <c r="UDA117" s="198"/>
      <c r="UDB117" s="199"/>
      <c r="UDC117" s="198"/>
      <c r="UDD117" s="199"/>
      <c r="UDE117" s="198"/>
      <c r="UDF117" s="199"/>
      <c r="UDG117" s="198"/>
      <c r="UDH117" s="199"/>
      <c r="UDI117" s="198"/>
      <c r="UDJ117" s="199"/>
      <c r="UDK117" s="198"/>
      <c r="UDL117" s="199"/>
      <c r="UDM117" s="198"/>
      <c r="UDN117" s="199"/>
      <c r="UDO117" s="198"/>
      <c r="UDP117" s="199"/>
      <c r="UDQ117" s="198"/>
      <c r="UDR117" s="199"/>
      <c r="UDS117" s="198"/>
      <c r="UDT117" s="199"/>
      <c r="UDU117" s="198"/>
      <c r="UDV117" s="199"/>
      <c r="UDW117" s="198"/>
      <c r="UDX117" s="199"/>
      <c r="UDY117" s="198"/>
      <c r="UDZ117" s="199"/>
      <c r="UEA117" s="198"/>
      <c r="UEB117" s="199"/>
      <c r="UEC117" s="198"/>
      <c r="UED117" s="199"/>
      <c r="UEE117" s="198"/>
      <c r="UEF117" s="199"/>
      <c r="UEG117" s="198"/>
      <c r="UEH117" s="199"/>
      <c r="UEI117" s="198"/>
      <c r="UEJ117" s="199"/>
      <c r="UEK117" s="198"/>
      <c r="UEL117" s="199"/>
      <c r="UEM117" s="198"/>
      <c r="UEN117" s="199"/>
      <c r="UEO117" s="198"/>
      <c r="UEP117" s="199"/>
      <c r="UEQ117" s="198"/>
      <c r="UER117" s="199"/>
      <c r="UES117" s="198"/>
      <c r="UET117" s="199"/>
      <c r="UEU117" s="198"/>
      <c r="UEV117" s="199"/>
      <c r="UEW117" s="198"/>
      <c r="UEX117" s="199"/>
      <c r="UEY117" s="198"/>
      <c r="UEZ117" s="199"/>
      <c r="UFA117" s="198"/>
      <c r="UFB117" s="199"/>
      <c r="UFC117" s="198"/>
      <c r="UFD117" s="199"/>
      <c r="UFE117" s="198"/>
      <c r="UFF117" s="199"/>
      <c r="UFG117" s="198"/>
      <c r="UFH117" s="199"/>
      <c r="UFI117" s="198"/>
      <c r="UFJ117" s="199"/>
      <c r="UFK117" s="198"/>
      <c r="UFL117" s="199"/>
      <c r="UFM117" s="198"/>
      <c r="UFN117" s="199"/>
      <c r="UFO117" s="198"/>
      <c r="UFP117" s="199"/>
      <c r="UFQ117" s="198"/>
      <c r="UFR117" s="199"/>
      <c r="UFS117" s="198"/>
      <c r="UFT117" s="199"/>
      <c r="UFU117" s="198"/>
      <c r="UFV117" s="199"/>
      <c r="UFW117" s="198"/>
      <c r="UFX117" s="199"/>
      <c r="UFY117" s="198"/>
      <c r="UFZ117" s="199"/>
      <c r="UGA117" s="198"/>
      <c r="UGB117" s="199"/>
      <c r="UGC117" s="198"/>
      <c r="UGD117" s="199"/>
      <c r="UGE117" s="198"/>
      <c r="UGF117" s="199"/>
      <c r="UGG117" s="198"/>
      <c r="UGH117" s="199"/>
      <c r="UGI117" s="198"/>
      <c r="UGJ117" s="199"/>
      <c r="UGK117" s="198"/>
      <c r="UGL117" s="199"/>
      <c r="UGM117" s="198"/>
      <c r="UGN117" s="199"/>
      <c r="UGO117" s="198"/>
      <c r="UGP117" s="199"/>
      <c r="UGQ117" s="198"/>
      <c r="UGR117" s="199"/>
      <c r="UGS117" s="198"/>
      <c r="UGT117" s="199"/>
      <c r="UGU117" s="198"/>
      <c r="UGV117" s="199"/>
      <c r="UGW117" s="198"/>
      <c r="UGX117" s="199"/>
      <c r="UGY117" s="198"/>
      <c r="UGZ117" s="199"/>
      <c r="UHA117" s="198"/>
      <c r="UHB117" s="199"/>
      <c r="UHC117" s="198"/>
      <c r="UHD117" s="199"/>
      <c r="UHE117" s="198"/>
      <c r="UHF117" s="199"/>
      <c r="UHG117" s="198"/>
      <c r="UHH117" s="199"/>
      <c r="UHI117" s="198"/>
      <c r="UHJ117" s="199"/>
      <c r="UHK117" s="198"/>
      <c r="UHL117" s="199"/>
      <c r="UHM117" s="198"/>
      <c r="UHN117" s="199"/>
      <c r="UHO117" s="198"/>
      <c r="UHP117" s="199"/>
      <c r="UHQ117" s="198"/>
      <c r="UHR117" s="199"/>
      <c r="UHS117" s="198"/>
      <c r="UHT117" s="199"/>
      <c r="UHU117" s="198"/>
      <c r="UHV117" s="199"/>
      <c r="UHW117" s="198"/>
      <c r="UHX117" s="199"/>
      <c r="UHY117" s="198"/>
      <c r="UHZ117" s="199"/>
      <c r="UIA117" s="198"/>
      <c r="UIB117" s="199"/>
      <c r="UIC117" s="198"/>
      <c r="UID117" s="199"/>
      <c r="UIE117" s="198"/>
      <c r="UIF117" s="199"/>
      <c r="UIG117" s="198"/>
      <c r="UIH117" s="199"/>
      <c r="UII117" s="198"/>
      <c r="UIJ117" s="199"/>
      <c r="UIK117" s="198"/>
      <c r="UIL117" s="199"/>
      <c r="UIM117" s="198"/>
      <c r="UIN117" s="199"/>
      <c r="UIO117" s="198"/>
      <c r="UIP117" s="199"/>
      <c r="UIQ117" s="198"/>
      <c r="UIR117" s="199"/>
      <c r="UIS117" s="198"/>
      <c r="UIT117" s="199"/>
      <c r="UIU117" s="198"/>
      <c r="UIV117" s="199"/>
      <c r="UIW117" s="198"/>
      <c r="UIX117" s="199"/>
      <c r="UIY117" s="198"/>
      <c r="UIZ117" s="199"/>
      <c r="UJA117" s="198"/>
      <c r="UJB117" s="199"/>
      <c r="UJC117" s="198"/>
      <c r="UJD117" s="199"/>
      <c r="UJE117" s="198"/>
      <c r="UJF117" s="199"/>
      <c r="UJG117" s="198"/>
      <c r="UJH117" s="199"/>
      <c r="UJI117" s="198"/>
      <c r="UJJ117" s="199"/>
      <c r="UJK117" s="198"/>
      <c r="UJL117" s="199"/>
      <c r="UJM117" s="198"/>
      <c r="UJN117" s="199"/>
      <c r="UJO117" s="198"/>
      <c r="UJP117" s="199"/>
      <c r="UJQ117" s="198"/>
      <c r="UJR117" s="199"/>
      <c r="UJS117" s="198"/>
      <c r="UJT117" s="199"/>
      <c r="UJU117" s="198"/>
      <c r="UJV117" s="199"/>
      <c r="UJW117" s="198"/>
      <c r="UJX117" s="199"/>
      <c r="UJY117" s="198"/>
      <c r="UJZ117" s="199"/>
      <c r="UKA117" s="198"/>
      <c r="UKB117" s="199"/>
      <c r="UKC117" s="198"/>
      <c r="UKD117" s="199"/>
      <c r="UKE117" s="198"/>
      <c r="UKF117" s="199"/>
      <c r="UKG117" s="198"/>
      <c r="UKH117" s="199"/>
      <c r="UKI117" s="198"/>
      <c r="UKJ117" s="199"/>
      <c r="UKK117" s="198"/>
      <c r="UKL117" s="199"/>
      <c r="UKM117" s="198"/>
      <c r="UKN117" s="199"/>
      <c r="UKO117" s="198"/>
      <c r="UKP117" s="199"/>
      <c r="UKQ117" s="198"/>
      <c r="UKR117" s="199"/>
      <c r="UKS117" s="198"/>
      <c r="UKT117" s="199"/>
      <c r="UKU117" s="198"/>
      <c r="UKV117" s="199"/>
      <c r="UKW117" s="198"/>
      <c r="UKX117" s="199"/>
      <c r="UKY117" s="198"/>
      <c r="UKZ117" s="199"/>
      <c r="ULA117" s="198"/>
      <c r="ULB117" s="199"/>
      <c r="ULC117" s="198"/>
      <c r="ULD117" s="199"/>
      <c r="ULE117" s="198"/>
      <c r="ULF117" s="199"/>
      <c r="ULG117" s="198"/>
      <c r="ULH117" s="199"/>
      <c r="ULI117" s="198"/>
      <c r="ULJ117" s="199"/>
      <c r="ULK117" s="198"/>
      <c r="ULL117" s="199"/>
      <c r="ULM117" s="198"/>
      <c r="ULN117" s="199"/>
      <c r="ULO117" s="198"/>
      <c r="ULP117" s="199"/>
      <c r="ULQ117" s="198"/>
      <c r="ULR117" s="199"/>
      <c r="ULS117" s="198"/>
      <c r="ULT117" s="199"/>
      <c r="ULU117" s="198"/>
      <c r="ULV117" s="199"/>
      <c r="ULW117" s="198"/>
      <c r="ULX117" s="199"/>
      <c r="ULY117" s="198"/>
      <c r="ULZ117" s="199"/>
      <c r="UMA117" s="198"/>
      <c r="UMB117" s="199"/>
      <c r="UMC117" s="198"/>
      <c r="UMD117" s="199"/>
      <c r="UME117" s="198"/>
      <c r="UMF117" s="199"/>
      <c r="UMG117" s="198"/>
      <c r="UMH117" s="199"/>
      <c r="UMI117" s="198"/>
      <c r="UMJ117" s="199"/>
      <c r="UMK117" s="198"/>
      <c r="UML117" s="199"/>
      <c r="UMM117" s="198"/>
      <c r="UMN117" s="199"/>
      <c r="UMO117" s="198"/>
      <c r="UMP117" s="199"/>
      <c r="UMQ117" s="198"/>
      <c r="UMR117" s="199"/>
      <c r="UMS117" s="198"/>
      <c r="UMT117" s="199"/>
      <c r="UMU117" s="198"/>
      <c r="UMV117" s="199"/>
      <c r="UMW117" s="198"/>
      <c r="UMX117" s="199"/>
      <c r="UMY117" s="198"/>
      <c r="UMZ117" s="199"/>
      <c r="UNA117" s="198"/>
      <c r="UNB117" s="199"/>
      <c r="UNC117" s="198"/>
      <c r="UND117" s="199"/>
      <c r="UNE117" s="198"/>
      <c r="UNF117" s="199"/>
      <c r="UNG117" s="198"/>
      <c r="UNH117" s="199"/>
      <c r="UNI117" s="198"/>
      <c r="UNJ117" s="199"/>
      <c r="UNK117" s="198"/>
      <c r="UNL117" s="199"/>
      <c r="UNM117" s="198"/>
      <c r="UNN117" s="199"/>
      <c r="UNO117" s="198"/>
      <c r="UNP117" s="199"/>
      <c r="UNQ117" s="198"/>
      <c r="UNR117" s="199"/>
      <c r="UNS117" s="198"/>
      <c r="UNT117" s="199"/>
      <c r="UNU117" s="198"/>
      <c r="UNV117" s="199"/>
      <c r="UNW117" s="198"/>
      <c r="UNX117" s="199"/>
      <c r="UNY117" s="198"/>
      <c r="UNZ117" s="199"/>
      <c r="UOA117" s="198"/>
      <c r="UOB117" s="199"/>
      <c r="UOC117" s="198"/>
      <c r="UOD117" s="199"/>
      <c r="UOE117" s="198"/>
      <c r="UOF117" s="199"/>
      <c r="UOG117" s="198"/>
      <c r="UOH117" s="199"/>
      <c r="UOI117" s="198"/>
      <c r="UOJ117" s="199"/>
      <c r="UOK117" s="198"/>
      <c r="UOL117" s="199"/>
      <c r="UOM117" s="198"/>
      <c r="UON117" s="199"/>
      <c r="UOO117" s="198"/>
      <c r="UOP117" s="199"/>
      <c r="UOQ117" s="198"/>
      <c r="UOR117" s="199"/>
      <c r="UOS117" s="198"/>
      <c r="UOT117" s="199"/>
      <c r="UOU117" s="198"/>
      <c r="UOV117" s="199"/>
      <c r="UOW117" s="198"/>
      <c r="UOX117" s="199"/>
      <c r="UOY117" s="198"/>
      <c r="UOZ117" s="199"/>
      <c r="UPA117" s="198"/>
      <c r="UPB117" s="199"/>
      <c r="UPC117" s="198"/>
      <c r="UPD117" s="199"/>
      <c r="UPE117" s="198"/>
      <c r="UPF117" s="199"/>
      <c r="UPG117" s="198"/>
      <c r="UPH117" s="199"/>
      <c r="UPI117" s="198"/>
      <c r="UPJ117" s="199"/>
      <c r="UPK117" s="198"/>
      <c r="UPL117" s="199"/>
      <c r="UPM117" s="198"/>
      <c r="UPN117" s="199"/>
      <c r="UPO117" s="198"/>
      <c r="UPP117" s="199"/>
      <c r="UPQ117" s="198"/>
      <c r="UPR117" s="199"/>
      <c r="UPS117" s="198"/>
      <c r="UPT117" s="199"/>
      <c r="UPU117" s="198"/>
      <c r="UPV117" s="199"/>
      <c r="UPW117" s="198"/>
      <c r="UPX117" s="199"/>
      <c r="UPY117" s="198"/>
      <c r="UPZ117" s="199"/>
      <c r="UQA117" s="198"/>
      <c r="UQB117" s="199"/>
      <c r="UQC117" s="198"/>
      <c r="UQD117" s="199"/>
      <c r="UQE117" s="198"/>
      <c r="UQF117" s="199"/>
      <c r="UQG117" s="198"/>
      <c r="UQH117" s="199"/>
      <c r="UQI117" s="198"/>
      <c r="UQJ117" s="199"/>
      <c r="UQK117" s="198"/>
      <c r="UQL117" s="199"/>
      <c r="UQM117" s="198"/>
      <c r="UQN117" s="199"/>
      <c r="UQO117" s="198"/>
      <c r="UQP117" s="199"/>
      <c r="UQQ117" s="198"/>
      <c r="UQR117" s="199"/>
      <c r="UQS117" s="198"/>
      <c r="UQT117" s="199"/>
      <c r="UQU117" s="198"/>
      <c r="UQV117" s="199"/>
      <c r="UQW117" s="198"/>
      <c r="UQX117" s="199"/>
      <c r="UQY117" s="198"/>
      <c r="UQZ117" s="199"/>
      <c r="URA117" s="198"/>
      <c r="URB117" s="199"/>
      <c r="URC117" s="198"/>
      <c r="URD117" s="199"/>
      <c r="URE117" s="198"/>
      <c r="URF117" s="199"/>
      <c r="URG117" s="198"/>
      <c r="URH117" s="199"/>
      <c r="URI117" s="198"/>
      <c r="URJ117" s="199"/>
      <c r="URK117" s="198"/>
      <c r="URL117" s="199"/>
      <c r="URM117" s="198"/>
      <c r="URN117" s="199"/>
      <c r="URO117" s="198"/>
      <c r="URP117" s="199"/>
      <c r="URQ117" s="198"/>
      <c r="URR117" s="199"/>
      <c r="URS117" s="198"/>
      <c r="URT117" s="199"/>
      <c r="URU117" s="198"/>
      <c r="URV117" s="199"/>
      <c r="URW117" s="198"/>
      <c r="URX117" s="199"/>
      <c r="URY117" s="198"/>
      <c r="URZ117" s="199"/>
      <c r="USA117" s="198"/>
      <c r="USB117" s="199"/>
      <c r="USC117" s="198"/>
      <c r="USD117" s="199"/>
      <c r="USE117" s="198"/>
      <c r="USF117" s="199"/>
      <c r="USG117" s="198"/>
      <c r="USH117" s="199"/>
      <c r="USI117" s="198"/>
      <c r="USJ117" s="199"/>
      <c r="USK117" s="198"/>
      <c r="USL117" s="199"/>
      <c r="USM117" s="198"/>
      <c r="USN117" s="199"/>
      <c r="USO117" s="198"/>
      <c r="USP117" s="199"/>
      <c r="USQ117" s="198"/>
      <c r="USR117" s="199"/>
      <c r="USS117" s="198"/>
      <c r="UST117" s="199"/>
      <c r="USU117" s="198"/>
      <c r="USV117" s="199"/>
      <c r="USW117" s="198"/>
      <c r="USX117" s="199"/>
      <c r="USY117" s="198"/>
      <c r="USZ117" s="199"/>
      <c r="UTA117" s="198"/>
      <c r="UTB117" s="199"/>
      <c r="UTC117" s="198"/>
      <c r="UTD117" s="199"/>
      <c r="UTE117" s="198"/>
      <c r="UTF117" s="199"/>
      <c r="UTG117" s="198"/>
      <c r="UTH117" s="199"/>
      <c r="UTI117" s="198"/>
      <c r="UTJ117" s="199"/>
      <c r="UTK117" s="198"/>
      <c r="UTL117" s="199"/>
      <c r="UTM117" s="198"/>
      <c r="UTN117" s="199"/>
      <c r="UTO117" s="198"/>
      <c r="UTP117" s="199"/>
      <c r="UTQ117" s="198"/>
      <c r="UTR117" s="199"/>
      <c r="UTS117" s="198"/>
      <c r="UTT117" s="199"/>
      <c r="UTU117" s="198"/>
      <c r="UTV117" s="199"/>
      <c r="UTW117" s="198"/>
      <c r="UTX117" s="199"/>
      <c r="UTY117" s="198"/>
      <c r="UTZ117" s="199"/>
      <c r="UUA117" s="198"/>
      <c r="UUB117" s="199"/>
      <c r="UUC117" s="198"/>
      <c r="UUD117" s="199"/>
      <c r="UUE117" s="198"/>
      <c r="UUF117" s="199"/>
      <c r="UUG117" s="198"/>
      <c r="UUH117" s="199"/>
      <c r="UUI117" s="198"/>
      <c r="UUJ117" s="199"/>
      <c r="UUK117" s="198"/>
      <c r="UUL117" s="199"/>
      <c r="UUM117" s="198"/>
      <c r="UUN117" s="199"/>
      <c r="UUO117" s="198"/>
      <c r="UUP117" s="199"/>
      <c r="UUQ117" s="198"/>
      <c r="UUR117" s="199"/>
      <c r="UUS117" s="198"/>
      <c r="UUT117" s="199"/>
      <c r="UUU117" s="198"/>
      <c r="UUV117" s="199"/>
      <c r="UUW117" s="198"/>
      <c r="UUX117" s="199"/>
      <c r="UUY117" s="198"/>
      <c r="UUZ117" s="199"/>
      <c r="UVA117" s="198"/>
      <c r="UVB117" s="199"/>
      <c r="UVC117" s="198"/>
      <c r="UVD117" s="199"/>
      <c r="UVE117" s="198"/>
      <c r="UVF117" s="199"/>
      <c r="UVG117" s="198"/>
      <c r="UVH117" s="199"/>
      <c r="UVI117" s="198"/>
      <c r="UVJ117" s="199"/>
      <c r="UVK117" s="198"/>
      <c r="UVL117" s="199"/>
      <c r="UVM117" s="198"/>
      <c r="UVN117" s="199"/>
      <c r="UVO117" s="198"/>
      <c r="UVP117" s="199"/>
      <c r="UVQ117" s="198"/>
      <c r="UVR117" s="199"/>
      <c r="UVS117" s="198"/>
      <c r="UVT117" s="199"/>
      <c r="UVU117" s="198"/>
      <c r="UVV117" s="199"/>
      <c r="UVW117" s="198"/>
      <c r="UVX117" s="199"/>
      <c r="UVY117" s="198"/>
      <c r="UVZ117" s="199"/>
      <c r="UWA117" s="198"/>
      <c r="UWB117" s="199"/>
      <c r="UWC117" s="198"/>
      <c r="UWD117" s="199"/>
      <c r="UWE117" s="198"/>
      <c r="UWF117" s="199"/>
      <c r="UWG117" s="198"/>
      <c r="UWH117" s="199"/>
      <c r="UWI117" s="198"/>
      <c r="UWJ117" s="199"/>
      <c r="UWK117" s="198"/>
      <c r="UWL117" s="199"/>
      <c r="UWM117" s="198"/>
      <c r="UWN117" s="199"/>
      <c r="UWO117" s="198"/>
      <c r="UWP117" s="199"/>
      <c r="UWQ117" s="198"/>
      <c r="UWR117" s="199"/>
      <c r="UWS117" s="198"/>
      <c r="UWT117" s="199"/>
      <c r="UWU117" s="198"/>
      <c r="UWV117" s="199"/>
      <c r="UWW117" s="198"/>
      <c r="UWX117" s="199"/>
      <c r="UWY117" s="198"/>
      <c r="UWZ117" s="199"/>
      <c r="UXA117" s="198"/>
      <c r="UXB117" s="199"/>
      <c r="UXC117" s="198"/>
      <c r="UXD117" s="199"/>
      <c r="UXE117" s="198"/>
      <c r="UXF117" s="199"/>
      <c r="UXG117" s="198"/>
      <c r="UXH117" s="199"/>
      <c r="UXI117" s="198"/>
      <c r="UXJ117" s="199"/>
      <c r="UXK117" s="198"/>
      <c r="UXL117" s="199"/>
      <c r="UXM117" s="198"/>
      <c r="UXN117" s="199"/>
      <c r="UXO117" s="198"/>
      <c r="UXP117" s="199"/>
      <c r="UXQ117" s="198"/>
      <c r="UXR117" s="199"/>
      <c r="UXS117" s="198"/>
      <c r="UXT117" s="199"/>
      <c r="UXU117" s="198"/>
      <c r="UXV117" s="199"/>
      <c r="UXW117" s="198"/>
      <c r="UXX117" s="199"/>
      <c r="UXY117" s="198"/>
      <c r="UXZ117" s="199"/>
      <c r="UYA117" s="198"/>
      <c r="UYB117" s="199"/>
      <c r="UYC117" s="198"/>
      <c r="UYD117" s="199"/>
      <c r="UYE117" s="198"/>
      <c r="UYF117" s="199"/>
      <c r="UYG117" s="198"/>
      <c r="UYH117" s="199"/>
      <c r="UYI117" s="198"/>
      <c r="UYJ117" s="199"/>
      <c r="UYK117" s="198"/>
      <c r="UYL117" s="199"/>
      <c r="UYM117" s="198"/>
      <c r="UYN117" s="199"/>
      <c r="UYO117" s="198"/>
      <c r="UYP117" s="199"/>
      <c r="UYQ117" s="198"/>
      <c r="UYR117" s="199"/>
      <c r="UYS117" s="198"/>
      <c r="UYT117" s="199"/>
      <c r="UYU117" s="198"/>
      <c r="UYV117" s="199"/>
      <c r="UYW117" s="198"/>
      <c r="UYX117" s="199"/>
      <c r="UYY117" s="198"/>
      <c r="UYZ117" s="199"/>
      <c r="UZA117" s="198"/>
      <c r="UZB117" s="199"/>
      <c r="UZC117" s="198"/>
      <c r="UZD117" s="199"/>
      <c r="UZE117" s="198"/>
      <c r="UZF117" s="199"/>
      <c r="UZG117" s="198"/>
      <c r="UZH117" s="199"/>
      <c r="UZI117" s="198"/>
      <c r="UZJ117" s="199"/>
      <c r="UZK117" s="198"/>
      <c r="UZL117" s="199"/>
      <c r="UZM117" s="198"/>
      <c r="UZN117" s="199"/>
      <c r="UZO117" s="198"/>
      <c r="UZP117" s="199"/>
      <c r="UZQ117" s="198"/>
      <c r="UZR117" s="199"/>
      <c r="UZS117" s="198"/>
      <c r="UZT117" s="199"/>
      <c r="UZU117" s="198"/>
      <c r="UZV117" s="199"/>
      <c r="UZW117" s="198"/>
      <c r="UZX117" s="199"/>
      <c r="UZY117" s="198"/>
      <c r="UZZ117" s="199"/>
      <c r="VAA117" s="198"/>
      <c r="VAB117" s="199"/>
      <c r="VAC117" s="198"/>
      <c r="VAD117" s="199"/>
      <c r="VAE117" s="198"/>
      <c r="VAF117" s="199"/>
      <c r="VAG117" s="198"/>
      <c r="VAH117" s="199"/>
      <c r="VAI117" s="198"/>
      <c r="VAJ117" s="199"/>
      <c r="VAK117" s="198"/>
      <c r="VAL117" s="199"/>
      <c r="VAM117" s="198"/>
      <c r="VAN117" s="199"/>
      <c r="VAO117" s="198"/>
      <c r="VAP117" s="199"/>
      <c r="VAQ117" s="198"/>
      <c r="VAR117" s="199"/>
      <c r="VAS117" s="198"/>
      <c r="VAT117" s="199"/>
      <c r="VAU117" s="198"/>
      <c r="VAV117" s="199"/>
      <c r="VAW117" s="198"/>
      <c r="VAX117" s="199"/>
      <c r="VAY117" s="198"/>
      <c r="VAZ117" s="199"/>
      <c r="VBA117" s="198"/>
      <c r="VBB117" s="199"/>
      <c r="VBC117" s="198"/>
      <c r="VBD117" s="199"/>
      <c r="VBE117" s="198"/>
      <c r="VBF117" s="199"/>
      <c r="VBG117" s="198"/>
      <c r="VBH117" s="199"/>
      <c r="VBI117" s="198"/>
      <c r="VBJ117" s="199"/>
      <c r="VBK117" s="198"/>
      <c r="VBL117" s="199"/>
      <c r="VBM117" s="198"/>
      <c r="VBN117" s="199"/>
      <c r="VBO117" s="198"/>
      <c r="VBP117" s="199"/>
      <c r="VBQ117" s="198"/>
      <c r="VBR117" s="199"/>
      <c r="VBS117" s="198"/>
      <c r="VBT117" s="199"/>
      <c r="VBU117" s="198"/>
      <c r="VBV117" s="199"/>
      <c r="VBW117" s="198"/>
      <c r="VBX117" s="199"/>
      <c r="VBY117" s="198"/>
      <c r="VBZ117" s="199"/>
      <c r="VCA117" s="198"/>
      <c r="VCB117" s="199"/>
      <c r="VCC117" s="198"/>
      <c r="VCD117" s="199"/>
      <c r="VCE117" s="198"/>
      <c r="VCF117" s="199"/>
      <c r="VCG117" s="198"/>
      <c r="VCH117" s="199"/>
      <c r="VCI117" s="198"/>
      <c r="VCJ117" s="199"/>
      <c r="VCK117" s="198"/>
      <c r="VCL117" s="199"/>
      <c r="VCM117" s="198"/>
      <c r="VCN117" s="199"/>
      <c r="VCO117" s="198"/>
      <c r="VCP117" s="199"/>
      <c r="VCQ117" s="198"/>
      <c r="VCR117" s="199"/>
      <c r="VCS117" s="198"/>
      <c r="VCT117" s="199"/>
      <c r="VCU117" s="198"/>
      <c r="VCV117" s="199"/>
      <c r="VCW117" s="198"/>
      <c r="VCX117" s="199"/>
      <c r="VCY117" s="198"/>
      <c r="VCZ117" s="199"/>
      <c r="VDA117" s="198"/>
      <c r="VDB117" s="199"/>
      <c r="VDC117" s="198"/>
      <c r="VDD117" s="199"/>
      <c r="VDE117" s="198"/>
      <c r="VDF117" s="199"/>
      <c r="VDG117" s="198"/>
      <c r="VDH117" s="199"/>
      <c r="VDI117" s="198"/>
      <c r="VDJ117" s="199"/>
      <c r="VDK117" s="198"/>
      <c r="VDL117" s="199"/>
      <c r="VDM117" s="198"/>
      <c r="VDN117" s="199"/>
      <c r="VDO117" s="198"/>
      <c r="VDP117" s="199"/>
      <c r="VDQ117" s="198"/>
      <c r="VDR117" s="199"/>
      <c r="VDS117" s="198"/>
      <c r="VDT117" s="199"/>
      <c r="VDU117" s="198"/>
      <c r="VDV117" s="199"/>
      <c r="VDW117" s="198"/>
      <c r="VDX117" s="199"/>
      <c r="VDY117" s="198"/>
      <c r="VDZ117" s="199"/>
      <c r="VEA117" s="198"/>
      <c r="VEB117" s="199"/>
      <c r="VEC117" s="198"/>
      <c r="VED117" s="199"/>
      <c r="VEE117" s="198"/>
      <c r="VEF117" s="199"/>
      <c r="VEG117" s="198"/>
      <c r="VEH117" s="199"/>
      <c r="VEI117" s="198"/>
      <c r="VEJ117" s="199"/>
      <c r="VEK117" s="198"/>
      <c r="VEL117" s="199"/>
      <c r="VEM117" s="198"/>
      <c r="VEN117" s="199"/>
      <c r="VEO117" s="198"/>
      <c r="VEP117" s="199"/>
      <c r="VEQ117" s="198"/>
      <c r="VER117" s="199"/>
      <c r="VES117" s="198"/>
      <c r="VET117" s="199"/>
      <c r="VEU117" s="198"/>
      <c r="VEV117" s="199"/>
      <c r="VEW117" s="198"/>
      <c r="VEX117" s="199"/>
      <c r="VEY117" s="198"/>
      <c r="VEZ117" s="199"/>
      <c r="VFA117" s="198"/>
      <c r="VFB117" s="199"/>
      <c r="VFC117" s="198"/>
      <c r="VFD117" s="199"/>
      <c r="VFE117" s="198"/>
      <c r="VFF117" s="199"/>
      <c r="VFG117" s="198"/>
      <c r="VFH117" s="199"/>
      <c r="VFI117" s="198"/>
      <c r="VFJ117" s="199"/>
      <c r="VFK117" s="198"/>
      <c r="VFL117" s="199"/>
      <c r="VFM117" s="198"/>
      <c r="VFN117" s="199"/>
      <c r="VFO117" s="198"/>
      <c r="VFP117" s="199"/>
      <c r="VFQ117" s="198"/>
      <c r="VFR117" s="199"/>
      <c r="VFS117" s="198"/>
      <c r="VFT117" s="199"/>
      <c r="VFU117" s="198"/>
      <c r="VFV117" s="199"/>
      <c r="VFW117" s="198"/>
      <c r="VFX117" s="199"/>
      <c r="VFY117" s="198"/>
      <c r="VFZ117" s="199"/>
      <c r="VGA117" s="198"/>
      <c r="VGB117" s="199"/>
      <c r="VGC117" s="198"/>
      <c r="VGD117" s="199"/>
      <c r="VGE117" s="198"/>
      <c r="VGF117" s="199"/>
      <c r="VGG117" s="198"/>
      <c r="VGH117" s="199"/>
      <c r="VGI117" s="198"/>
      <c r="VGJ117" s="199"/>
      <c r="VGK117" s="198"/>
      <c r="VGL117" s="199"/>
      <c r="VGM117" s="198"/>
      <c r="VGN117" s="199"/>
      <c r="VGO117" s="198"/>
      <c r="VGP117" s="199"/>
      <c r="VGQ117" s="198"/>
      <c r="VGR117" s="199"/>
      <c r="VGS117" s="198"/>
      <c r="VGT117" s="199"/>
      <c r="VGU117" s="198"/>
      <c r="VGV117" s="199"/>
      <c r="VGW117" s="198"/>
      <c r="VGX117" s="199"/>
      <c r="VGY117" s="198"/>
      <c r="VGZ117" s="199"/>
      <c r="VHA117" s="198"/>
      <c r="VHB117" s="199"/>
      <c r="VHC117" s="198"/>
      <c r="VHD117" s="199"/>
      <c r="VHE117" s="198"/>
      <c r="VHF117" s="199"/>
      <c r="VHG117" s="198"/>
      <c r="VHH117" s="199"/>
      <c r="VHI117" s="198"/>
      <c r="VHJ117" s="199"/>
      <c r="VHK117" s="198"/>
      <c r="VHL117" s="199"/>
      <c r="VHM117" s="198"/>
      <c r="VHN117" s="199"/>
      <c r="VHO117" s="198"/>
      <c r="VHP117" s="199"/>
      <c r="VHQ117" s="198"/>
      <c r="VHR117" s="199"/>
      <c r="VHS117" s="198"/>
      <c r="VHT117" s="199"/>
      <c r="VHU117" s="198"/>
      <c r="VHV117" s="199"/>
      <c r="VHW117" s="198"/>
      <c r="VHX117" s="199"/>
      <c r="VHY117" s="198"/>
      <c r="VHZ117" s="199"/>
      <c r="VIA117" s="198"/>
      <c r="VIB117" s="199"/>
      <c r="VIC117" s="198"/>
      <c r="VID117" s="199"/>
      <c r="VIE117" s="198"/>
      <c r="VIF117" s="199"/>
      <c r="VIG117" s="198"/>
      <c r="VIH117" s="199"/>
      <c r="VII117" s="198"/>
      <c r="VIJ117" s="199"/>
      <c r="VIK117" s="198"/>
      <c r="VIL117" s="199"/>
      <c r="VIM117" s="198"/>
      <c r="VIN117" s="199"/>
      <c r="VIO117" s="198"/>
      <c r="VIP117" s="199"/>
      <c r="VIQ117" s="198"/>
      <c r="VIR117" s="199"/>
      <c r="VIS117" s="198"/>
      <c r="VIT117" s="199"/>
      <c r="VIU117" s="198"/>
      <c r="VIV117" s="199"/>
      <c r="VIW117" s="198"/>
      <c r="VIX117" s="199"/>
      <c r="VIY117" s="198"/>
      <c r="VIZ117" s="199"/>
      <c r="VJA117" s="198"/>
      <c r="VJB117" s="199"/>
      <c r="VJC117" s="198"/>
      <c r="VJD117" s="199"/>
      <c r="VJE117" s="198"/>
      <c r="VJF117" s="199"/>
      <c r="VJG117" s="198"/>
      <c r="VJH117" s="199"/>
      <c r="VJI117" s="198"/>
      <c r="VJJ117" s="199"/>
      <c r="VJK117" s="198"/>
      <c r="VJL117" s="199"/>
      <c r="VJM117" s="198"/>
      <c r="VJN117" s="199"/>
      <c r="VJO117" s="198"/>
      <c r="VJP117" s="199"/>
      <c r="VJQ117" s="198"/>
      <c r="VJR117" s="199"/>
      <c r="VJS117" s="198"/>
      <c r="VJT117" s="199"/>
      <c r="VJU117" s="198"/>
      <c r="VJV117" s="199"/>
      <c r="VJW117" s="198"/>
      <c r="VJX117" s="199"/>
      <c r="VJY117" s="198"/>
      <c r="VJZ117" s="199"/>
      <c r="VKA117" s="198"/>
      <c r="VKB117" s="199"/>
      <c r="VKC117" s="198"/>
      <c r="VKD117" s="199"/>
      <c r="VKE117" s="198"/>
      <c r="VKF117" s="199"/>
      <c r="VKG117" s="198"/>
      <c r="VKH117" s="199"/>
      <c r="VKI117" s="198"/>
      <c r="VKJ117" s="199"/>
      <c r="VKK117" s="198"/>
      <c r="VKL117" s="199"/>
      <c r="VKM117" s="198"/>
      <c r="VKN117" s="199"/>
      <c r="VKO117" s="198"/>
      <c r="VKP117" s="199"/>
      <c r="VKQ117" s="198"/>
      <c r="VKR117" s="199"/>
      <c r="VKS117" s="198"/>
      <c r="VKT117" s="199"/>
      <c r="VKU117" s="198"/>
      <c r="VKV117" s="199"/>
      <c r="VKW117" s="198"/>
      <c r="VKX117" s="199"/>
      <c r="VKY117" s="198"/>
      <c r="VKZ117" s="199"/>
      <c r="VLA117" s="198"/>
      <c r="VLB117" s="199"/>
      <c r="VLC117" s="198"/>
      <c r="VLD117" s="199"/>
      <c r="VLE117" s="198"/>
      <c r="VLF117" s="199"/>
      <c r="VLG117" s="198"/>
      <c r="VLH117" s="199"/>
      <c r="VLI117" s="198"/>
      <c r="VLJ117" s="199"/>
      <c r="VLK117" s="198"/>
      <c r="VLL117" s="199"/>
      <c r="VLM117" s="198"/>
      <c r="VLN117" s="199"/>
      <c r="VLO117" s="198"/>
      <c r="VLP117" s="199"/>
      <c r="VLQ117" s="198"/>
      <c r="VLR117" s="199"/>
      <c r="VLS117" s="198"/>
      <c r="VLT117" s="199"/>
      <c r="VLU117" s="198"/>
      <c r="VLV117" s="199"/>
      <c r="VLW117" s="198"/>
      <c r="VLX117" s="199"/>
      <c r="VLY117" s="198"/>
      <c r="VLZ117" s="199"/>
      <c r="VMA117" s="198"/>
      <c r="VMB117" s="199"/>
      <c r="VMC117" s="198"/>
      <c r="VMD117" s="199"/>
      <c r="VME117" s="198"/>
      <c r="VMF117" s="199"/>
      <c r="VMG117" s="198"/>
      <c r="VMH117" s="199"/>
      <c r="VMI117" s="198"/>
      <c r="VMJ117" s="199"/>
      <c r="VMK117" s="198"/>
      <c r="VML117" s="199"/>
      <c r="VMM117" s="198"/>
      <c r="VMN117" s="199"/>
      <c r="VMO117" s="198"/>
      <c r="VMP117" s="199"/>
      <c r="VMQ117" s="198"/>
      <c r="VMR117" s="199"/>
      <c r="VMS117" s="198"/>
      <c r="VMT117" s="199"/>
      <c r="VMU117" s="198"/>
      <c r="VMV117" s="199"/>
      <c r="VMW117" s="198"/>
      <c r="VMX117" s="199"/>
      <c r="VMY117" s="198"/>
      <c r="VMZ117" s="199"/>
      <c r="VNA117" s="198"/>
      <c r="VNB117" s="199"/>
      <c r="VNC117" s="198"/>
      <c r="VND117" s="199"/>
      <c r="VNE117" s="198"/>
      <c r="VNF117" s="199"/>
      <c r="VNG117" s="198"/>
      <c r="VNH117" s="199"/>
      <c r="VNI117" s="198"/>
      <c r="VNJ117" s="199"/>
      <c r="VNK117" s="198"/>
      <c r="VNL117" s="199"/>
      <c r="VNM117" s="198"/>
      <c r="VNN117" s="199"/>
      <c r="VNO117" s="198"/>
      <c r="VNP117" s="199"/>
      <c r="VNQ117" s="198"/>
      <c r="VNR117" s="199"/>
      <c r="VNS117" s="198"/>
      <c r="VNT117" s="199"/>
      <c r="VNU117" s="198"/>
      <c r="VNV117" s="199"/>
      <c r="VNW117" s="198"/>
      <c r="VNX117" s="199"/>
      <c r="VNY117" s="198"/>
      <c r="VNZ117" s="199"/>
      <c r="VOA117" s="198"/>
      <c r="VOB117" s="199"/>
      <c r="VOC117" s="198"/>
      <c r="VOD117" s="199"/>
      <c r="VOE117" s="198"/>
      <c r="VOF117" s="199"/>
      <c r="VOG117" s="198"/>
      <c r="VOH117" s="199"/>
      <c r="VOI117" s="198"/>
      <c r="VOJ117" s="199"/>
      <c r="VOK117" s="198"/>
      <c r="VOL117" s="199"/>
      <c r="VOM117" s="198"/>
      <c r="VON117" s="199"/>
      <c r="VOO117" s="198"/>
      <c r="VOP117" s="199"/>
      <c r="VOQ117" s="198"/>
      <c r="VOR117" s="199"/>
      <c r="VOS117" s="198"/>
      <c r="VOT117" s="199"/>
      <c r="VOU117" s="198"/>
      <c r="VOV117" s="199"/>
      <c r="VOW117" s="198"/>
      <c r="VOX117" s="199"/>
      <c r="VOY117" s="198"/>
      <c r="VOZ117" s="199"/>
      <c r="VPA117" s="198"/>
      <c r="VPB117" s="199"/>
      <c r="VPC117" s="198"/>
      <c r="VPD117" s="199"/>
      <c r="VPE117" s="198"/>
      <c r="VPF117" s="199"/>
      <c r="VPG117" s="198"/>
      <c r="VPH117" s="199"/>
      <c r="VPI117" s="198"/>
      <c r="VPJ117" s="199"/>
      <c r="VPK117" s="198"/>
      <c r="VPL117" s="199"/>
      <c r="VPM117" s="198"/>
      <c r="VPN117" s="199"/>
      <c r="VPO117" s="198"/>
      <c r="VPP117" s="199"/>
      <c r="VPQ117" s="198"/>
      <c r="VPR117" s="199"/>
      <c r="VPS117" s="198"/>
      <c r="VPT117" s="199"/>
      <c r="VPU117" s="198"/>
      <c r="VPV117" s="199"/>
      <c r="VPW117" s="198"/>
      <c r="VPX117" s="199"/>
      <c r="VPY117" s="198"/>
      <c r="VPZ117" s="199"/>
      <c r="VQA117" s="198"/>
      <c r="VQB117" s="199"/>
      <c r="VQC117" s="198"/>
      <c r="VQD117" s="199"/>
      <c r="VQE117" s="198"/>
      <c r="VQF117" s="199"/>
      <c r="VQG117" s="198"/>
      <c r="VQH117" s="199"/>
      <c r="VQI117" s="198"/>
      <c r="VQJ117" s="199"/>
      <c r="VQK117" s="198"/>
      <c r="VQL117" s="199"/>
      <c r="VQM117" s="198"/>
      <c r="VQN117" s="199"/>
      <c r="VQO117" s="198"/>
      <c r="VQP117" s="199"/>
      <c r="VQQ117" s="198"/>
      <c r="VQR117" s="199"/>
      <c r="VQS117" s="198"/>
      <c r="VQT117" s="199"/>
      <c r="VQU117" s="198"/>
      <c r="VQV117" s="199"/>
      <c r="VQW117" s="198"/>
      <c r="VQX117" s="199"/>
      <c r="VQY117" s="198"/>
      <c r="VQZ117" s="199"/>
      <c r="VRA117" s="198"/>
      <c r="VRB117" s="199"/>
      <c r="VRC117" s="198"/>
      <c r="VRD117" s="199"/>
      <c r="VRE117" s="198"/>
      <c r="VRF117" s="199"/>
      <c r="VRG117" s="198"/>
      <c r="VRH117" s="199"/>
      <c r="VRI117" s="198"/>
      <c r="VRJ117" s="199"/>
      <c r="VRK117" s="198"/>
      <c r="VRL117" s="199"/>
      <c r="VRM117" s="198"/>
      <c r="VRN117" s="199"/>
      <c r="VRO117" s="198"/>
      <c r="VRP117" s="199"/>
      <c r="VRQ117" s="198"/>
      <c r="VRR117" s="199"/>
      <c r="VRS117" s="198"/>
      <c r="VRT117" s="199"/>
      <c r="VRU117" s="198"/>
      <c r="VRV117" s="199"/>
      <c r="VRW117" s="198"/>
      <c r="VRX117" s="199"/>
      <c r="VRY117" s="198"/>
      <c r="VRZ117" s="199"/>
      <c r="VSA117" s="198"/>
      <c r="VSB117" s="199"/>
      <c r="VSC117" s="198"/>
      <c r="VSD117" s="199"/>
      <c r="VSE117" s="198"/>
      <c r="VSF117" s="199"/>
      <c r="VSG117" s="198"/>
      <c r="VSH117" s="199"/>
      <c r="VSI117" s="198"/>
      <c r="VSJ117" s="199"/>
      <c r="VSK117" s="198"/>
      <c r="VSL117" s="199"/>
      <c r="VSM117" s="198"/>
      <c r="VSN117" s="199"/>
      <c r="VSO117" s="198"/>
      <c r="VSP117" s="199"/>
      <c r="VSQ117" s="198"/>
      <c r="VSR117" s="199"/>
      <c r="VSS117" s="198"/>
      <c r="VST117" s="199"/>
      <c r="VSU117" s="198"/>
      <c r="VSV117" s="199"/>
      <c r="VSW117" s="198"/>
      <c r="VSX117" s="199"/>
      <c r="VSY117" s="198"/>
      <c r="VSZ117" s="199"/>
      <c r="VTA117" s="198"/>
      <c r="VTB117" s="199"/>
      <c r="VTC117" s="198"/>
      <c r="VTD117" s="199"/>
      <c r="VTE117" s="198"/>
      <c r="VTF117" s="199"/>
      <c r="VTG117" s="198"/>
      <c r="VTH117" s="199"/>
      <c r="VTI117" s="198"/>
      <c r="VTJ117" s="199"/>
      <c r="VTK117" s="198"/>
      <c r="VTL117" s="199"/>
      <c r="VTM117" s="198"/>
      <c r="VTN117" s="199"/>
      <c r="VTO117" s="198"/>
      <c r="VTP117" s="199"/>
      <c r="VTQ117" s="198"/>
      <c r="VTR117" s="199"/>
      <c r="VTS117" s="198"/>
      <c r="VTT117" s="199"/>
      <c r="VTU117" s="198"/>
      <c r="VTV117" s="199"/>
      <c r="VTW117" s="198"/>
      <c r="VTX117" s="199"/>
      <c r="VTY117" s="198"/>
      <c r="VTZ117" s="199"/>
      <c r="VUA117" s="198"/>
      <c r="VUB117" s="199"/>
      <c r="VUC117" s="198"/>
      <c r="VUD117" s="199"/>
      <c r="VUE117" s="198"/>
      <c r="VUF117" s="199"/>
      <c r="VUG117" s="198"/>
      <c r="VUH117" s="199"/>
      <c r="VUI117" s="198"/>
      <c r="VUJ117" s="199"/>
      <c r="VUK117" s="198"/>
      <c r="VUL117" s="199"/>
      <c r="VUM117" s="198"/>
      <c r="VUN117" s="199"/>
      <c r="VUO117" s="198"/>
      <c r="VUP117" s="199"/>
      <c r="VUQ117" s="198"/>
      <c r="VUR117" s="199"/>
      <c r="VUS117" s="198"/>
      <c r="VUT117" s="199"/>
      <c r="VUU117" s="198"/>
      <c r="VUV117" s="199"/>
      <c r="VUW117" s="198"/>
      <c r="VUX117" s="199"/>
      <c r="VUY117" s="198"/>
      <c r="VUZ117" s="199"/>
      <c r="VVA117" s="198"/>
      <c r="VVB117" s="199"/>
      <c r="VVC117" s="198"/>
      <c r="VVD117" s="199"/>
      <c r="VVE117" s="198"/>
      <c r="VVF117" s="199"/>
      <c r="VVG117" s="198"/>
      <c r="VVH117" s="199"/>
      <c r="VVI117" s="198"/>
      <c r="VVJ117" s="199"/>
      <c r="VVK117" s="198"/>
      <c r="VVL117" s="199"/>
      <c r="VVM117" s="198"/>
      <c r="VVN117" s="199"/>
      <c r="VVO117" s="198"/>
      <c r="VVP117" s="199"/>
      <c r="VVQ117" s="198"/>
      <c r="VVR117" s="199"/>
      <c r="VVS117" s="198"/>
      <c r="VVT117" s="199"/>
      <c r="VVU117" s="198"/>
      <c r="VVV117" s="199"/>
      <c r="VVW117" s="198"/>
      <c r="VVX117" s="199"/>
      <c r="VVY117" s="198"/>
      <c r="VVZ117" s="199"/>
      <c r="VWA117" s="198"/>
      <c r="VWB117" s="199"/>
      <c r="VWC117" s="198"/>
      <c r="VWD117" s="199"/>
      <c r="VWE117" s="198"/>
      <c r="VWF117" s="199"/>
      <c r="VWG117" s="198"/>
      <c r="VWH117" s="199"/>
      <c r="VWI117" s="198"/>
      <c r="VWJ117" s="199"/>
      <c r="VWK117" s="198"/>
      <c r="VWL117" s="199"/>
      <c r="VWM117" s="198"/>
      <c r="VWN117" s="199"/>
      <c r="VWO117" s="198"/>
      <c r="VWP117" s="199"/>
      <c r="VWQ117" s="198"/>
      <c r="VWR117" s="199"/>
      <c r="VWS117" s="198"/>
      <c r="VWT117" s="199"/>
      <c r="VWU117" s="198"/>
      <c r="VWV117" s="199"/>
      <c r="VWW117" s="198"/>
      <c r="VWX117" s="199"/>
      <c r="VWY117" s="198"/>
      <c r="VWZ117" s="199"/>
      <c r="VXA117" s="198"/>
      <c r="VXB117" s="199"/>
      <c r="VXC117" s="198"/>
      <c r="VXD117" s="199"/>
      <c r="VXE117" s="198"/>
      <c r="VXF117" s="199"/>
      <c r="VXG117" s="198"/>
      <c r="VXH117" s="199"/>
      <c r="VXI117" s="198"/>
      <c r="VXJ117" s="199"/>
      <c r="VXK117" s="198"/>
      <c r="VXL117" s="199"/>
      <c r="VXM117" s="198"/>
      <c r="VXN117" s="199"/>
      <c r="VXO117" s="198"/>
      <c r="VXP117" s="199"/>
      <c r="VXQ117" s="198"/>
      <c r="VXR117" s="199"/>
      <c r="VXS117" s="198"/>
      <c r="VXT117" s="199"/>
      <c r="VXU117" s="198"/>
      <c r="VXV117" s="199"/>
      <c r="VXW117" s="198"/>
      <c r="VXX117" s="199"/>
      <c r="VXY117" s="198"/>
      <c r="VXZ117" s="199"/>
      <c r="VYA117" s="198"/>
      <c r="VYB117" s="199"/>
      <c r="VYC117" s="198"/>
      <c r="VYD117" s="199"/>
      <c r="VYE117" s="198"/>
      <c r="VYF117" s="199"/>
      <c r="VYG117" s="198"/>
      <c r="VYH117" s="199"/>
      <c r="VYI117" s="198"/>
      <c r="VYJ117" s="199"/>
      <c r="VYK117" s="198"/>
      <c r="VYL117" s="199"/>
      <c r="VYM117" s="198"/>
      <c r="VYN117" s="199"/>
      <c r="VYO117" s="198"/>
      <c r="VYP117" s="199"/>
      <c r="VYQ117" s="198"/>
      <c r="VYR117" s="199"/>
      <c r="VYS117" s="198"/>
      <c r="VYT117" s="199"/>
      <c r="VYU117" s="198"/>
      <c r="VYV117" s="199"/>
      <c r="VYW117" s="198"/>
      <c r="VYX117" s="199"/>
      <c r="VYY117" s="198"/>
      <c r="VYZ117" s="199"/>
      <c r="VZA117" s="198"/>
      <c r="VZB117" s="199"/>
      <c r="VZC117" s="198"/>
      <c r="VZD117" s="199"/>
      <c r="VZE117" s="198"/>
      <c r="VZF117" s="199"/>
      <c r="VZG117" s="198"/>
      <c r="VZH117" s="199"/>
      <c r="VZI117" s="198"/>
      <c r="VZJ117" s="199"/>
      <c r="VZK117" s="198"/>
      <c r="VZL117" s="199"/>
      <c r="VZM117" s="198"/>
      <c r="VZN117" s="199"/>
      <c r="VZO117" s="198"/>
      <c r="VZP117" s="199"/>
      <c r="VZQ117" s="198"/>
      <c r="VZR117" s="199"/>
      <c r="VZS117" s="198"/>
      <c r="VZT117" s="199"/>
      <c r="VZU117" s="198"/>
      <c r="VZV117" s="199"/>
      <c r="VZW117" s="198"/>
      <c r="VZX117" s="199"/>
      <c r="VZY117" s="198"/>
      <c r="VZZ117" s="199"/>
      <c r="WAA117" s="198"/>
      <c r="WAB117" s="199"/>
      <c r="WAC117" s="198"/>
      <c r="WAD117" s="199"/>
      <c r="WAE117" s="198"/>
      <c r="WAF117" s="199"/>
      <c r="WAG117" s="198"/>
      <c r="WAH117" s="199"/>
      <c r="WAI117" s="198"/>
      <c r="WAJ117" s="199"/>
      <c r="WAK117" s="198"/>
      <c r="WAL117" s="199"/>
      <c r="WAM117" s="198"/>
      <c r="WAN117" s="199"/>
      <c r="WAO117" s="198"/>
      <c r="WAP117" s="199"/>
      <c r="WAQ117" s="198"/>
      <c r="WAR117" s="199"/>
      <c r="WAS117" s="198"/>
      <c r="WAT117" s="199"/>
      <c r="WAU117" s="198"/>
      <c r="WAV117" s="199"/>
      <c r="WAW117" s="198"/>
      <c r="WAX117" s="199"/>
      <c r="WAY117" s="198"/>
      <c r="WAZ117" s="199"/>
      <c r="WBA117" s="198"/>
      <c r="WBB117" s="199"/>
      <c r="WBC117" s="198"/>
      <c r="WBD117" s="199"/>
      <c r="WBE117" s="198"/>
      <c r="WBF117" s="199"/>
      <c r="WBG117" s="198"/>
      <c r="WBH117" s="199"/>
      <c r="WBI117" s="198"/>
      <c r="WBJ117" s="199"/>
      <c r="WBK117" s="198"/>
      <c r="WBL117" s="199"/>
      <c r="WBM117" s="198"/>
      <c r="WBN117" s="199"/>
      <c r="WBO117" s="198"/>
      <c r="WBP117" s="199"/>
      <c r="WBQ117" s="198"/>
      <c r="WBR117" s="199"/>
      <c r="WBS117" s="198"/>
      <c r="WBT117" s="199"/>
      <c r="WBU117" s="198"/>
      <c r="WBV117" s="199"/>
      <c r="WBW117" s="198"/>
      <c r="WBX117" s="199"/>
      <c r="WBY117" s="198"/>
      <c r="WBZ117" s="199"/>
      <c r="WCA117" s="198"/>
      <c r="WCB117" s="199"/>
      <c r="WCC117" s="198"/>
      <c r="WCD117" s="199"/>
      <c r="WCE117" s="198"/>
      <c r="WCF117" s="199"/>
      <c r="WCG117" s="198"/>
      <c r="WCH117" s="199"/>
      <c r="WCI117" s="198"/>
      <c r="WCJ117" s="199"/>
      <c r="WCK117" s="198"/>
      <c r="WCL117" s="199"/>
      <c r="WCM117" s="198"/>
      <c r="WCN117" s="199"/>
      <c r="WCO117" s="198"/>
      <c r="WCP117" s="199"/>
      <c r="WCQ117" s="198"/>
      <c r="WCR117" s="199"/>
      <c r="WCS117" s="198"/>
      <c r="WCT117" s="199"/>
      <c r="WCU117" s="198"/>
      <c r="WCV117" s="199"/>
      <c r="WCW117" s="198"/>
      <c r="WCX117" s="199"/>
      <c r="WCY117" s="198"/>
      <c r="WCZ117" s="199"/>
      <c r="WDA117" s="198"/>
      <c r="WDB117" s="199"/>
      <c r="WDC117" s="198"/>
      <c r="WDD117" s="199"/>
      <c r="WDE117" s="198"/>
      <c r="WDF117" s="199"/>
      <c r="WDG117" s="198"/>
      <c r="WDH117" s="199"/>
      <c r="WDI117" s="198"/>
      <c r="WDJ117" s="199"/>
      <c r="WDK117" s="198"/>
      <c r="WDL117" s="199"/>
      <c r="WDM117" s="198"/>
      <c r="WDN117" s="199"/>
      <c r="WDO117" s="198"/>
      <c r="WDP117" s="199"/>
      <c r="WDQ117" s="198"/>
      <c r="WDR117" s="199"/>
      <c r="WDS117" s="198"/>
      <c r="WDT117" s="199"/>
      <c r="WDU117" s="198"/>
      <c r="WDV117" s="199"/>
      <c r="WDW117" s="198"/>
      <c r="WDX117" s="199"/>
      <c r="WDY117" s="198"/>
      <c r="WDZ117" s="199"/>
      <c r="WEA117" s="198"/>
      <c r="WEB117" s="199"/>
      <c r="WEC117" s="198"/>
      <c r="WED117" s="199"/>
      <c r="WEE117" s="198"/>
      <c r="WEF117" s="199"/>
      <c r="WEG117" s="198"/>
      <c r="WEH117" s="199"/>
      <c r="WEI117" s="198"/>
      <c r="WEJ117" s="199"/>
      <c r="WEK117" s="198"/>
      <c r="WEL117" s="199"/>
      <c r="WEM117" s="198"/>
      <c r="WEN117" s="199"/>
      <c r="WEO117" s="198"/>
      <c r="WEP117" s="199"/>
      <c r="WEQ117" s="198"/>
      <c r="WER117" s="199"/>
      <c r="WES117" s="198"/>
      <c r="WET117" s="199"/>
      <c r="WEU117" s="198"/>
      <c r="WEV117" s="199"/>
      <c r="WEW117" s="198"/>
      <c r="WEX117" s="199"/>
      <c r="WEY117" s="198"/>
      <c r="WEZ117" s="199"/>
      <c r="WFA117" s="198"/>
      <c r="WFB117" s="199"/>
      <c r="WFC117" s="198"/>
      <c r="WFD117" s="199"/>
      <c r="WFE117" s="198"/>
      <c r="WFF117" s="199"/>
      <c r="WFG117" s="198"/>
      <c r="WFH117" s="199"/>
      <c r="WFI117" s="198"/>
      <c r="WFJ117" s="199"/>
      <c r="WFK117" s="198"/>
      <c r="WFL117" s="199"/>
      <c r="WFM117" s="198"/>
      <c r="WFN117" s="199"/>
      <c r="WFO117" s="198"/>
      <c r="WFP117" s="199"/>
      <c r="WFQ117" s="198"/>
      <c r="WFR117" s="199"/>
      <c r="WFS117" s="198"/>
      <c r="WFT117" s="199"/>
      <c r="WFU117" s="198"/>
      <c r="WFV117" s="199"/>
      <c r="WFW117" s="198"/>
      <c r="WFX117" s="199"/>
      <c r="WFY117" s="198"/>
      <c r="WFZ117" s="199"/>
      <c r="WGA117" s="198"/>
      <c r="WGB117" s="199"/>
      <c r="WGC117" s="198"/>
      <c r="WGD117" s="199"/>
      <c r="WGE117" s="198"/>
      <c r="WGF117" s="199"/>
      <c r="WGG117" s="198"/>
      <c r="WGH117" s="199"/>
      <c r="WGI117" s="198"/>
      <c r="WGJ117" s="199"/>
      <c r="WGK117" s="198"/>
      <c r="WGL117" s="199"/>
      <c r="WGM117" s="198"/>
      <c r="WGN117" s="199"/>
      <c r="WGO117" s="198"/>
      <c r="WGP117" s="199"/>
      <c r="WGQ117" s="198"/>
      <c r="WGR117" s="199"/>
      <c r="WGS117" s="198"/>
      <c r="WGT117" s="199"/>
      <c r="WGU117" s="198"/>
      <c r="WGV117" s="199"/>
      <c r="WGW117" s="198"/>
      <c r="WGX117" s="199"/>
      <c r="WGY117" s="198"/>
      <c r="WGZ117" s="199"/>
      <c r="WHA117" s="198"/>
      <c r="WHB117" s="199"/>
      <c r="WHC117" s="198"/>
      <c r="WHD117" s="199"/>
      <c r="WHE117" s="198"/>
      <c r="WHF117" s="199"/>
      <c r="WHG117" s="198"/>
      <c r="WHH117" s="199"/>
      <c r="WHI117" s="198"/>
      <c r="WHJ117" s="199"/>
      <c r="WHK117" s="198"/>
      <c r="WHL117" s="199"/>
      <c r="WHM117" s="198"/>
      <c r="WHN117" s="199"/>
      <c r="WHO117" s="198"/>
      <c r="WHP117" s="199"/>
      <c r="WHQ117" s="198"/>
      <c r="WHR117" s="199"/>
      <c r="WHS117" s="198"/>
      <c r="WHT117" s="199"/>
      <c r="WHU117" s="198"/>
      <c r="WHV117" s="199"/>
      <c r="WHW117" s="198"/>
      <c r="WHX117" s="199"/>
      <c r="WHY117" s="198"/>
      <c r="WHZ117" s="199"/>
      <c r="WIA117" s="198"/>
      <c r="WIB117" s="199"/>
      <c r="WIC117" s="198"/>
      <c r="WID117" s="199"/>
      <c r="WIE117" s="198"/>
      <c r="WIF117" s="199"/>
      <c r="WIG117" s="198"/>
      <c r="WIH117" s="199"/>
      <c r="WII117" s="198"/>
      <c r="WIJ117" s="199"/>
      <c r="WIK117" s="198"/>
      <c r="WIL117" s="199"/>
      <c r="WIM117" s="198"/>
      <c r="WIN117" s="199"/>
      <c r="WIO117" s="198"/>
      <c r="WIP117" s="199"/>
      <c r="WIQ117" s="198"/>
      <c r="WIR117" s="199"/>
      <c r="WIS117" s="198"/>
      <c r="WIT117" s="199"/>
      <c r="WIU117" s="198"/>
      <c r="WIV117" s="199"/>
      <c r="WIW117" s="198"/>
      <c r="WIX117" s="199"/>
      <c r="WIY117" s="198"/>
      <c r="WIZ117" s="199"/>
      <c r="WJA117" s="198"/>
      <c r="WJB117" s="199"/>
      <c r="WJC117" s="198"/>
      <c r="WJD117" s="199"/>
      <c r="WJE117" s="198"/>
      <c r="WJF117" s="199"/>
      <c r="WJG117" s="198"/>
      <c r="WJH117" s="199"/>
      <c r="WJI117" s="198"/>
      <c r="WJJ117" s="199"/>
      <c r="WJK117" s="198"/>
      <c r="WJL117" s="199"/>
      <c r="WJM117" s="198"/>
      <c r="WJN117" s="199"/>
      <c r="WJO117" s="198"/>
      <c r="WJP117" s="199"/>
      <c r="WJQ117" s="198"/>
      <c r="WJR117" s="199"/>
      <c r="WJS117" s="198"/>
      <c r="WJT117" s="199"/>
      <c r="WJU117" s="198"/>
      <c r="WJV117" s="199"/>
      <c r="WJW117" s="198"/>
      <c r="WJX117" s="199"/>
      <c r="WJY117" s="198"/>
      <c r="WJZ117" s="199"/>
      <c r="WKA117" s="198"/>
      <c r="WKB117" s="199"/>
      <c r="WKC117" s="198"/>
      <c r="WKD117" s="199"/>
      <c r="WKE117" s="198"/>
      <c r="WKF117" s="199"/>
      <c r="WKG117" s="198"/>
      <c r="WKH117" s="199"/>
      <c r="WKI117" s="198"/>
      <c r="WKJ117" s="199"/>
      <c r="WKK117" s="198"/>
      <c r="WKL117" s="199"/>
      <c r="WKM117" s="198"/>
      <c r="WKN117" s="199"/>
      <c r="WKO117" s="198"/>
      <c r="WKP117" s="199"/>
      <c r="WKQ117" s="198"/>
      <c r="WKR117" s="199"/>
      <c r="WKS117" s="198"/>
      <c r="WKT117" s="199"/>
      <c r="WKU117" s="198"/>
      <c r="WKV117" s="199"/>
      <c r="WKW117" s="198"/>
      <c r="WKX117" s="199"/>
      <c r="WKY117" s="198"/>
      <c r="WKZ117" s="199"/>
      <c r="WLA117" s="198"/>
      <c r="WLB117" s="199"/>
      <c r="WLC117" s="198"/>
      <c r="WLD117" s="199"/>
      <c r="WLE117" s="198"/>
      <c r="WLF117" s="199"/>
      <c r="WLG117" s="198"/>
      <c r="WLH117" s="199"/>
      <c r="WLI117" s="198"/>
      <c r="WLJ117" s="199"/>
      <c r="WLK117" s="198"/>
      <c r="WLL117" s="199"/>
      <c r="WLM117" s="198"/>
      <c r="WLN117" s="199"/>
      <c r="WLO117" s="198"/>
      <c r="WLP117" s="199"/>
      <c r="WLQ117" s="198"/>
      <c r="WLR117" s="199"/>
      <c r="WLS117" s="198"/>
      <c r="WLT117" s="199"/>
      <c r="WLU117" s="198"/>
      <c r="WLV117" s="199"/>
      <c r="WLW117" s="198"/>
      <c r="WLX117" s="199"/>
      <c r="WLY117" s="198"/>
      <c r="WLZ117" s="199"/>
      <c r="WMA117" s="198"/>
      <c r="WMB117" s="199"/>
      <c r="WMC117" s="198"/>
      <c r="WMD117" s="199"/>
      <c r="WME117" s="198"/>
      <c r="WMF117" s="199"/>
      <c r="WMG117" s="198"/>
      <c r="WMH117" s="199"/>
      <c r="WMI117" s="198"/>
      <c r="WMJ117" s="199"/>
      <c r="WMK117" s="198"/>
      <c r="WML117" s="199"/>
      <c r="WMM117" s="198"/>
      <c r="WMN117" s="199"/>
      <c r="WMO117" s="198"/>
      <c r="WMP117" s="199"/>
      <c r="WMQ117" s="198"/>
      <c r="WMR117" s="199"/>
      <c r="WMS117" s="198"/>
      <c r="WMT117" s="199"/>
      <c r="WMU117" s="198"/>
      <c r="WMV117" s="199"/>
      <c r="WMW117" s="198"/>
      <c r="WMX117" s="199"/>
      <c r="WMY117" s="198"/>
      <c r="WMZ117" s="199"/>
      <c r="WNA117" s="198"/>
      <c r="WNB117" s="199"/>
      <c r="WNC117" s="198"/>
      <c r="WND117" s="199"/>
      <c r="WNE117" s="198"/>
      <c r="WNF117" s="199"/>
      <c r="WNG117" s="198"/>
      <c r="WNH117" s="199"/>
      <c r="WNI117" s="198"/>
      <c r="WNJ117" s="199"/>
      <c r="WNK117" s="198"/>
      <c r="WNL117" s="199"/>
      <c r="WNM117" s="198"/>
      <c r="WNN117" s="199"/>
      <c r="WNO117" s="198"/>
      <c r="WNP117" s="199"/>
      <c r="WNQ117" s="198"/>
      <c r="WNR117" s="199"/>
      <c r="WNS117" s="198"/>
      <c r="WNT117" s="199"/>
      <c r="WNU117" s="198"/>
      <c r="WNV117" s="199"/>
      <c r="WNW117" s="198"/>
      <c r="WNX117" s="199"/>
      <c r="WNY117" s="198"/>
      <c r="WNZ117" s="199"/>
      <c r="WOA117" s="198"/>
      <c r="WOB117" s="199"/>
      <c r="WOC117" s="198"/>
      <c r="WOD117" s="199"/>
      <c r="WOE117" s="198"/>
      <c r="WOF117" s="199"/>
      <c r="WOG117" s="198"/>
      <c r="WOH117" s="199"/>
      <c r="WOI117" s="198"/>
      <c r="WOJ117" s="199"/>
      <c r="WOK117" s="198"/>
      <c r="WOL117" s="199"/>
      <c r="WOM117" s="198"/>
      <c r="WON117" s="199"/>
      <c r="WOO117" s="198"/>
      <c r="WOP117" s="199"/>
      <c r="WOQ117" s="198"/>
      <c r="WOR117" s="199"/>
      <c r="WOS117" s="198"/>
      <c r="WOT117" s="199"/>
      <c r="WOU117" s="198"/>
      <c r="WOV117" s="199"/>
      <c r="WOW117" s="198"/>
      <c r="WOX117" s="199"/>
      <c r="WOY117" s="198"/>
      <c r="WOZ117" s="199"/>
      <c r="WPA117" s="198"/>
      <c r="WPB117" s="199"/>
      <c r="WPC117" s="198"/>
      <c r="WPD117" s="199"/>
      <c r="WPE117" s="198"/>
      <c r="WPF117" s="199"/>
      <c r="WPG117" s="198"/>
      <c r="WPH117" s="199"/>
      <c r="WPI117" s="198"/>
      <c r="WPJ117" s="199"/>
      <c r="WPK117" s="198"/>
      <c r="WPL117" s="199"/>
      <c r="WPM117" s="198"/>
      <c r="WPN117" s="199"/>
      <c r="WPO117" s="198"/>
      <c r="WPP117" s="199"/>
      <c r="WPQ117" s="198"/>
      <c r="WPR117" s="199"/>
      <c r="WPS117" s="198"/>
      <c r="WPT117" s="199"/>
      <c r="WPU117" s="198"/>
      <c r="WPV117" s="199"/>
      <c r="WPW117" s="198"/>
      <c r="WPX117" s="199"/>
      <c r="WPY117" s="198"/>
      <c r="WPZ117" s="199"/>
      <c r="WQA117" s="198"/>
      <c r="WQB117" s="199"/>
      <c r="WQC117" s="198"/>
      <c r="WQD117" s="199"/>
      <c r="WQE117" s="198"/>
      <c r="WQF117" s="199"/>
      <c r="WQG117" s="198"/>
      <c r="WQH117" s="199"/>
      <c r="WQI117" s="198"/>
      <c r="WQJ117" s="199"/>
      <c r="WQK117" s="198"/>
      <c r="WQL117" s="199"/>
      <c r="WQM117" s="198"/>
      <c r="WQN117" s="199"/>
      <c r="WQO117" s="198"/>
      <c r="WQP117" s="199"/>
      <c r="WQQ117" s="198"/>
      <c r="WQR117" s="199"/>
      <c r="WQS117" s="198"/>
      <c r="WQT117" s="199"/>
      <c r="WQU117" s="198"/>
      <c r="WQV117" s="199"/>
      <c r="WQW117" s="198"/>
      <c r="WQX117" s="199"/>
      <c r="WQY117" s="198"/>
      <c r="WQZ117" s="199"/>
      <c r="WRA117" s="198"/>
      <c r="WRB117" s="199"/>
      <c r="WRC117" s="198"/>
      <c r="WRD117" s="199"/>
      <c r="WRE117" s="198"/>
      <c r="WRF117" s="199"/>
      <c r="WRG117" s="198"/>
      <c r="WRH117" s="199"/>
      <c r="WRI117" s="198"/>
      <c r="WRJ117" s="199"/>
      <c r="WRK117" s="198"/>
      <c r="WRL117" s="199"/>
      <c r="WRM117" s="198"/>
      <c r="WRN117" s="199"/>
      <c r="WRO117" s="198"/>
      <c r="WRP117" s="199"/>
      <c r="WRQ117" s="198"/>
      <c r="WRR117" s="199"/>
      <c r="WRS117" s="198"/>
      <c r="WRT117" s="199"/>
      <c r="WRU117" s="198"/>
      <c r="WRV117" s="199"/>
      <c r="WRW117" s="198"/>
      <c r="WRX117" s="199"/>
      <c r="WRY117" s="198"/>
      <c r="WRZ117" s="199"/>
      <c r="WSA117" s="198"/>
      <c r="WSB117" s="199"/>
      <c r="WSC117" s="198"/>
      <c r="WSD117" s="199"/>
      <c r="WSE117" s="198"/>
      <c r="WSF117" s="199"/>
      <c r="WSG117" s="198"/>
      <c r="WSH117" s="199"/>
      <c r="WSI117" s="198"/>
      <c r="WSJ117" s="199"/>
      <c r="WSK117" s="198"/>
      <c r="WSL117" s="199"/>
      <c r="WSM117" s="198"/>
      <c r="WSN117" s="199"/>
      <c r="WSO117" s="198"/>
      <c r="WSP117" s="199"/>
      <c r="WSQ117" s="198"/>
      <c r="WSR117" s="199"/>
      <c r="WSS117" s="198"/>
      <c r="WST117" s="199"/>
      <c r="WSU117" s="198"/>
      <c r="WSV117" s="199"/>
      <c r="WSW117" s="198"/>
      <c r="WSX117" s="199"/>
      <c r="WSY117" s="198"/>
      <c r="WSZ117" s="199"/>
      <c r="WTA117" s="198"/>
      <c r="WTB117" s="199"/>
      <c r="WTC117" s="198"/>
      <c r="WTD117" s="199"/>
      <c r="WTE117" s="198"/>
      <c r="WTF117" s="199"/>
      <c r="WTG117" s="198"/>
      <c r="WTH117" s="199"/>
      <c r="WTI117" s="198"/>
      <c r="WTJ117" s="199"/>
      <c r="WTK117" s="198"/>
      <c r="WTL117" s="199"/>
      <c r="WTM117" s="198"/>
      <c r="WTN117" s="199"/>
      <c r="WTO117" s="198"/>
      <c r="WTP117" s="199"/>
      <c r="WTQ117" s="198"/>
      <c r="WTR117" s="199"/>
      <c r="WTS117" s="198"/>
      <c r="WTT117" s="199"/>
      <c r="WTU117" s="198"/>
      <c r="WTV117" s="199"/>
      <c r="WTW117" s="198"/>
      <c r="WTX117" s="199"/>
      <c r="WTY117" s="198"/>
      <c r="WTZ117" s="199"/>
      <c r="WUA117" s="198"/>
      <c r="WUB117" s="199"/>
      <c r="WUC117" s="198"/>
      <c r="WUD117" s="199"/>
      <c r="WUE117" s="198"/>
      <c r="WUF117" s="199"/>
      <c r="WUG117" s="198"/>
      <c r="WUH117" s="199"/>
      <c r="WUI117" s="198"/>
      <c r="WUJ117" s="199"/>
      <c r="WUK117" s="198"/>
      <c r="WUL117" s="199"/>
      <c r="WUM117" s="198"/>
      <c r="WUN117" s="199"/>
      <c r="WUO117" s="198"/>
      <c r="WUP117" s="199"/>
      <c r="WUQ117" s="198"/>
      <c r="WUR117" s="199"/>
      <c r="WUS117" s="198"/>
      <c r="WUT117" s="199"/>
      <c r="WUU117" s="198"/>
      <c r="WUV117" s="199"/>
      <c r="WUW117" s="198"/>
      <c r="WUX117" s="199"/>
      <c r="WUY117" s="198"/>
      <c r="WUZ117" s="199"/>
      <c r="WVA117" s="198"/>
      <c r="WVB117" s="199"/>
      <c r="WVC117" s="198"/>
      <c r="WVD117" s="199"/>
      <c r="WVE117" s="198"/>
      <c r="WVF117" s="199"/>
      <c r="WVG117" s="198"/>
      <c r="WVH117" s="199"/>
      <c r="WVI117" s="198"/>
      <c r="WVJ117" s="199"/>
      <c r="WVK117" s="198"/>
      <c r="WVL117" s="199"/>
      <c r="WVM117" s="198"/>
      <c r="WVN117" s="199"/>
      <c r="WVO117" s="198"/>
      <c r="WVP117" s="199"/>
      <c r="WVQ117" s="198"/>
      <c r="WVR117" s="199"/>
      <c r="WVS117" s="198"/>
      <c r="WVT117" s="199"/>
      <c r="WVU117" s="198"/>
      <c r="WVV117" s="199"/>
      <c r="WVW117" s="198"/>
      <c r="WVX117" s="199"/>
      <c r="WVY117" s="198"/>
      <c r="WVZ117" s="199"/>
      <c r="WWA117" s="198"/>
      <c r="WWB117" s="199"/>
      <c r="WWC117" s="198"/>
      <c r="WWD117" s="199"/>
      <c r="WWE117" s="198"/>
      <c r="WWF117" s="199"/>
      <c r="WWG117" s="198"/>
      <c r="WWH117" s="199"/>
      <c r="WWI117" s="198"/>
      <c r="WWJ117" s="199"/>
      <c r="WWK117" s="198"/>
      <c r="WWL117" s="199"/>
      <c r="WWM117" s="198"/>
      <c r="WWN117" s="199"/>
      <c r="WWO117" s="198"/>
      <c r="WWP117" s="199"/>
      <c r="WWQ117" s="198"/>
      <c r="WWR117" s="199"/>
      <c r="WWS117" s="198"/>
      <c r="WWT117" s="199"/>
      <c r="WWU117" s="198"/>
      <c r="WWV117" s="199"/>
      <c r="WWW117" s="198"/>
      <c r="WWX117" s="199"/>
      <c r="WWY117" s="198"/>
      <c r="WWZ117" s="199"/>
      <c r="WXA117" s="198"/>
      <c r="WXB117" s="199"/>
      <c r="WXC117" s="198"/>
      <c r="WXD117" s="199"/>
      <c r="WXE117" s="198"/>
      <c r="WXF117" s="199"/>
      <c r="WXG117" s="198"/>
      <c r="WXH117" s="199"/>
      <c r="WXI117" s="198"/>
      <c r="WXJ117" s="199"/>
      <c r="WXK117" s="198"/>
      <c r="WXL117" s="199"/>
      <c r="WXM117" s="198"/>
      <c r="WXN117" s="199"/>
      <c r="WXO117" s="198"/>
      <c r="WXP117" s="199"/>
      <c r="WXQ117" s="198"/>
      <c r="WXR117" s="199"/>
      <c r="WXS117" s="198"/>
      <c r="WXT117" s="199"/>
      <c r="WXU117" s="198"/>
      <c r="WXV117" s="199"/>
      <c r="WXW117" s="198"/>
      <c r="WXX117" s="199"/>
      <c r="WXY117" s="198"/>
      <c r="WXZ117" s="199"/>
      <c r="WYA117" s="198"/>
      <c r="WYB117" s="199"/>
      <c r="WYC117" s="198"/>
      <c r="WYD117" s="199"/>
      <c r="WYE117" s="198"/>
      <c r="WYF117" s="199"/>
      <c r="WYG117" s="198"/>
      <c r="WYH117" s="199"/>
      <c r="WYI117" s="198"/>
      <c r="WYJ117" s="199"/>
      <c r="WYK117" s="198"/>
      <c r="WYL117" s="199"/>
      <c r="WYM117" s="198"/>
      <c r="WYN117" s="199"/>
      <c r="WYO117" s="198"/>
      <c r="WYP117" s="199"/>
      <c r="WYQ117" s="198"/>
      <c r="WYR117" s="199"/>
      <c r="WYS117" s="198"/>
      <c r="WYT117" s="199"/>
      <c r="WYU117" s="198"/>
      <c r="WYV117" s="199"/>
      <c r="WYW117" s="198"/>
      <c r="WYX117" s="199"/>
      <c r="WYY117" s="198"/>
      <c r="WYZ117" s="199"/>
      <c r="WZA117" s="198"/>
      <c r="WZB117" s="199"/>
      <c r="WZC117" s="198"/>
      <c r="WZD117" s="199"/>
      <c r="WZE117" s="198"/>
      <c r="WZF117" s="199"/>
      <c r="WZG117" s="198"/>
      <c r="WZH117" s="199"/>
      <c r="WZI117" s="198"/>
      <c r="WZJ117" s="199"/>
      <c r="WZK117" s="198"/>
      <c r="WZL117" s="199"/>
      <c r="WZM117" s="198"/>
      <c r="WZN117" s="199"/>
      <c r="WZO117" s="198"/>
      <c r="WZP117" s="199"/>
      <c r="WZQ117" s="198"/>
      <c r="WZR117" s="199"/>
      <c r="WZS117" s="198"/>
      <c r="WZT117" s="199"/>
      <c r="WZU117" s="198"/>
      <c r="WZV117" s="199"/>
      <c r="WZW117" s="198"/>
      <c r="WZX117" s="199"/>
      <c r="WZY117" s="198"/>
      <c r="WZZ117" s="199"/>
      <c r="XAA117" s="198"/>
      <c r="XAB117" s="199"/>
      <c r="XAC117" s="198"/>
      <c r="XAD117" s="199"/>
      <c r="XAE117" s="198"/>
      <c r="XAF117" s="199"/>
      <c r="XAG117" s="198"/>
      <c r="XAH117" s="199"/>
      <c r="XAI117" s="198"/>
      <c r="XAJ117" s="199"/>
      <c r="XAK117" s="198"/>
      <c r="XAL117" s="199"/>
      <c r="XAM117" s="198"/>
      <c r="XAN117" s="199"/>
      <c r="XAO117" s="198"/>
      <c r="XAP117" s="199"/>
      <c r="XAQ117" s="198"/>
      <c r="XAR117" s="199"/>
      <c r="XAS117" s="198"/>
      <c r="XAT117" s="199"/>
      <c r="XAU117" s="198"/>
      <c r="XAV117" s="199"/>
      <c r="XAW117" s="198"/>
      <c r="XAX117" s="199"/>
      <c r="XAY117" s="198"/>
      <c r="XAZ117" s="199"/>
      <c r="XBA117" s="198"/>
      <c r="XBB117" s="199"/>
      <c r="XBC117" s="198"/>
      <c r="XBD117" s="199"/>
      <c r="XBE117" s="198"/>
      <c r="XBF117" s="199"/>
      <c r="XBG117" s="198"/>
      <c r="XBH117" s="199"/>
      <c r="XBI117" s="198"/>
      <c r="XBJ117" s="199"/>
      <c r="XBK117" s="198"/>
      <c r="XBL117" s="199"/>
      <c r="XBM117" s="198"/>
      <c r="XBN117" s="199"/>
      <c r="XBO117" s="198"/>
      <c r="XBP117" s="199"/>
      <c r="XBQ117" s="198"/>
      <c r="XBR117" s="199"/>
      <c r="XBS117" s="198"/>
      <c r="XBT117" s="199"/>
      <c r="XBU117" s="198"/>
      <c r="XBV117" s="199"/>
      <c r="XBW117" s="198"/>
      <c r="XBX117" s="199"/>
      <c r="XBY117" s="198"/>
      <c r="XBZ117" s="199"/>
      <c r="XCA117" s="198"/>
      <c r="XCB117" s="199"/>
      <c r="XCC117" s="198"/>
      <c r="XCD117" s="199"/>
      <c r="XCE117" s="198"/>
      <c r="XCF117" s="199"/>
      <c r="XCG117" s="198"/>
      <c r="XCH117" s="199"/>
      <c r="XCI117" s="198"/>
      <c r="XCJ117" s="199"/>
      <c r="XCK117" s="198"/>
      <c r="XCL117" s="199"/>
      <c r="XCM117" s="198"/>
      <c r="XCN117" s="199"/>
      <c r="XCO117" s="198"/>
      <c r="XCP117" s="199"/>
      <c r="XCQ117" s="198"/>
      <c r="XCR117" s="199"/>
      <c r="XCS117" s="198"/>
      <c r="XCT117" s="199"/>
      <c r="XCU117" s="198"/>
      <c r="XCV117" s="199"/>
      <c r="XCW117" s="198"/>
      <c r="XCX117" s="199"/>
      <c r="XCY117" s="198"/>
      <c r="XCZ117" s="199"/>
      <c r="XDA117" s="198"/>
      <c r="XDB117" s="199"/>
      <c r="XDC117" s="198"/>
      <c r="XDD117" s="199"/>
      <c r="XDE117" s="198"/>
      <c r="XDF117" s="199"/>
      <c r="XDG117" s="198"/>
      <c r="XDH117" s="199"/>
      <c r="XDI117" s="198"/>
      <c r="XDJ117" s="199"/>
      <c r="XDK117" s="198"/>
      <c r="XDL117" s="199"/>
      <c r="XDM117" s="198"/>
      <c r="XDN117" s="199"/>
      <c r="XDO117" s="198"/>
      <c r="XDP117" s="199"/>
      <c r="XDQ117" s="198"/>
      <c r="XDR117" s="199"/>
      <c r="XDS117" s="198"/>
      <c r="XDT117" s="199"/>
      <c r="XDU117" s="198"/>
      <c r="XDV117" s="199"/>
      <c r="XDW117" s="198"/>
      <c r="XDX117" s="199"/>
      <c r="XDY117" s="198"/>
      <c r="XDZ117" s="199"/>
      <c r="XEA117" s="198"/>
      <c r="XEB117" s="199"/>
      <c r="XEC117" s="198"/>
      <c r="XED117" s="199"/>
      <c r="XEE117" s="198"/>
      <c r="XEF117" s="199"/>
      <c r="XEG117" s="198"/>
      <c r="XEH117" s="199"/>
      <c r="XEI117" s="198"/>
      <c r="XEJ117" s="199"/>
      <c r="XEK117" s="198"/>
      <c r="XEL117" s="199"/>
      <c r="XEM117" s="198"/>
      <c r="XEN117" s="199"/>
      <c r="XEO117" s="198"/>
      <c r="XEP117" s="199"/>
      <c r="XEQ117" s="198"/>
      <c r="XER117" s="199"/>
      <c r="XES117" s="198"/>
      <c r="XET117" s="199"/>
      <c r="XEU117" s="198"/>
      <c r="XEV117" s="199"/>
      <c r="XEW117" s="198"/>
      <c r="XEX117" s="199"/>
      <c r="XEY117" s="198"/>
      <c r="XEZ117" s="199"/>
      <c r="XFA117" s="198"/>
      <c r="XFB117" s="199"/>
      <c r="XFC117" s="198"/>
      <c r="XFD117" s="199"/>
    </row>
    <row r="118" spans="1:16384" s="112" customFormat="1" ht="65.099999999999994" customHeight="1">
      <c r="A118" s="115"/>
      <c r="B118" s="115"/>
      <c r="C118" s="116"/>
      <c r="D118" s="115"/>
      <c r="E118" s="116"/>
      <c r="F118" s="115"/>
      <c r="G118" s="116"/>
      <c r="H118" s="116"/>
      <c r="I118" s="117"/>
      <c r="J118" s="117"/>
      <c r="K118" s="116"/>
      <c r="L118" s="116"/>
      <c r="M118" s="116"/>
      <c r="N118" s="116"/>
      <c r="O118" s="116"/>
      <c r="P118" s="116"/>
      <c r="Q118" s="116"/>
      <c r="R118" s="116"/>
      <c r="S118" s="116"/>
      <c r="T118" s="116"/>
      <c r="U118" s="116"/>
      <c r="V118" s="116"/>
      <c r="W118" s="116"/>
      <c r="X118" s="116"/>
      <c r="Y118" s="116"/>
      <c r="Z118" s="116"/>
      <c r="AA118" s="118"/>
      <c r="AB118" s="115"/>
      <c r="AC118" s="198"/>
      <c r="AD118" s="199"/>
      <c r="AE118" s="198"/>
      <c r="AF118" s="199"/>
      <c r="AG118" s="198"/>
      <c r="AH118" s="199"/>
      <c r="AI118" s="198"/>
      <c r="AJ118" s="199"/>
      <c r="AK118" s="198"/>
      <c r="AL118" s="199"/>
      <c r="AM118" s="198"/>
      <c r="AN118" s="199"/>
      <c r="AO118" s="198"/>
      <c r="AP118" s="199"/>
      <c r="AQ118" s="198"/>
      <c r="AR118" s="199"/>
      <c r="AS118" s="198"/>
      <c r="AT118" s="199"/>
      <c r="AU118" s="198"/>
      <c r="AV118" s="199"/>
      <c r="AW118" s="198"/>
      <c r="AX118" s="199"/>
      <c r="AY118" s="198"/>
      <c r="AZ118" s="199"/>
      <c r="BA118" s="198"/>
      <c r="BB118" s="199"/>
      <c r="BC118" s="198"/>
      <c r="BD118" s="199"/>
      <c r="BE118" s="198"/>
      <c r="BF118" s="199"/>
      <c r="BG118" s="198"/>
      <c r="BH118" s="199"/>
      <c r="BI118" s="198"/>
      <c r="BJ118" s="199"/>
      <c r="BK118" s="198"/>
      <c r="BL118" s="199"/>
      <c r="BM118" s="198"/>
      <c r="BN118" s="199"/>
      <c r="BO118" s="198"/>
      <c r="BP118" s="199"/>
      <c r="BQ118" s="198"/>
      <c r="BR118" s="199"/>
      <c r="BS118" s="198"/>
      <c r="BT118" s="199"/>
      <c r="BU118" s="198"/>
      <c r="BV118" s="199"/>
      <c r="BW118" s="198"/>
      <c r="BX118" s="199"/>
      <c r="BY118" s="198"/>
      <c r="BZ118" s="199"/>
      <c r="CA118" s="198"/>
      <c r="CB118" s="199"/>
      <c r="CC118" s="198"/>
      <c r="CD118" s="199"/>
      <c r="CE118" s="198"/>
      <c r="CF118" s="199"/>
      <c r="CG118" s="198"/>
      <c r="CH118" s="199"/>
      <c r="CI118" s="198"/>
      <c r="CJ118" s="199"/>
      <c r="CK118" s="198"/>
      <c r="CL118" s="199"/>
      <c r="CM118" s="198"/>
      <c r="CN118" s="199"/>
      <c r="CO118" s="198"/>
      <c r="CP118" s="199"/>
      <c r="CQ118" s="198"/>
      <c r="CR118" s="199"/>
      <c r="CS118" s="198"/>
      <c r="CT118" s="199"/>
      <c r="CU118" s="198"/>
      <c r="CV118" s="199"/>
      <c r="CW118" s="198"/>
      <c r="CX118" s="199"/>
      <c r="CY118" s="198"/>
      <c r="CZ118" s="199"/>
      <c r="DA118" s="198"/>
      <c r="DB118" s="199"/>
      <c r="DC118" s="198"/>
      <c r="DD118" s="199"/>
      <c r="DE118" s="198"/>
      <c r="DF118" s="199"/>
      <c r="DG118" s="198"/>
      <c r="DH118" s="199"/>
      <c r="DI118" s="198"/>
      <c r="DJ118" s="199"/>
      <c r="DK118" s="198"/>
      <c r="DL118" s="199"/>
      <c r="DM118" s="198"/>
      <c r="DN118" s="199"/>
      <c r="DO118" s="198"/>
      <c r="DP118" s="199"/>
      <c r="DQ118" s="198"/>
      <c r="DR118" s="199"/>
      <c r="DS118" s="198"/>
      <c r="DT118" s="199"/>
      <c r="DU118" s="198"/>
      <c r="DV118" s="199"/>
      <c r="DW118" s="198"/>
      <c r="DX118" s="199"/>
      <c r="DY118" s="198"/>
      <c r="DZ118" s="199"/>
      <c r="EA118" s="198"/>
      <c r="EB118" s="199"/>
      <c r="EC118" s="198"/>
      <c r="ED118" s="199"/>
      <c r="EE118" s="198"/>
      <c r="EF118" s="199"/>
      <c r="EG118" s="198"/>
      <c r="EH118" s="199"/>
      <c r="EI118" s="198"/>
      <c r="EJ118" s="199"/>
      <c r="EK118" s="198"/>
      <c r="EL118" s="199"/>
      <c r="EM118" s="198"/>
      <c r="EN118" s="199"/>
      <c r="EO118" s="198"/>
      <c r="EP118" s="199"/>
      <c r="EQ118" s="198"/>
      <c r="ER118" s="199"/>
      <c r="ES118" s="198"/>
      <c r="ET118" s="199"/>
      <c r="EU118" s="198"/>
      <c r="EV118" s="199"/>
      <c r="EW118" s="198"/>
      <c r="EX118" s="199"/>
      <c r="EY118" s="198"/>
      <c r="EZ118" s="199"/>
      <c r="FA118" s="198"/>
      <c r="FB118" s="199"/>
      <c r="FC118" s="198"/>
      <c r="FD118" s="199"/>
      <c r="FE118" s="198"/>
      <c r="FF118" s="199"/>
      <c r="FG118" s="198"/>
      <c r="FH118" s="199"/>
      <c r="FI118" s="198"/>
      <c r="FJ118" s="199"/>
      <c r="FK118" s="198"/>
      <c r="FL118" s="199"/>
      <c r="FM118" s="198"/>
      <c r="FN118" s="199"/>
      <c r="FO118" s="198"/>
      <c r="FP118" s="199"/>
      <c r="FQ118" s="198"/>
      <c r="FR118" s="199"/>
      <c r="FS118" s="198"/>
      <c r="FT118" s="199"/>
      <c r="FU118" s="198"/>
      <c r="FV118" s="199"/>
      <c r="FW118" s="198"/>
      <c r="FX118" s="199"/>
      <c r="FY118" s="198"/>
      <c r="FZ118" s="199"/>
      <c r="GA118" s="198"/>
      <c r="GB118" s="199"/>
      <c r="GC118" s="198"/>
      <c r="GD118" s="199"/>
      <c r="GE118" s="198"/>
      <c r="GF118" s="199"/>
      <c r="GG118" s="198"/>
      <c r="GH118" s="199"/>
      <c r="GI118" s="198"/>
      <c r="GJ118" s="199"/>
      <c r="GK118" s="198"/>
      <c r="GL118" s="199"/>
      <c r="GM118" s="198"/>
      <c r="GN118" s="199"/>
      <c r="GO118" s="198"/>
      <c r="GP118" s="199"/>
      <c r="GQ118" s="198"/>
      <c r="GR118" s="199"/>
      <c r="GS118" s="198"/>
      <c r="GT118" s="199"/>
      <c r="GU118" s="198"/>
      <c r="GV118" s="199"/>
      <c r="GW118" s="198"/>
      <c r="GX118" s="199"/>
      <c r="GY118" s="198"/>
      <c r="GZ118" s="199"/>
      <c r="HA118" s="198"/>
      <c r="HB118" s="199"/>
      <c r="HC118" s="198"/>
      <c r="HD118" s="199"/>
      <c r="HE118" s="198"/>
      <c r="HF118" s="199"/>
      <c r="HG118" s="198"/>
      <c r="HH118" s="199"/>
      <c r="HI118" s="198"/>
      <c r="HJ118" s="199"/>
      <c r="HK118" s="198"/>
      <c r="HL118" s="199"/>
      <c r="HM118" s="198"/>
      <c r="HN118" s="199"/>
      <c r="HO118" s="198"/>
      <c r="HP118" s="199"/>
      <c r="HQ118" s="198"/>
      <c r="HR118" s="199"/>
      <c r="HS118" s="198"/>
      <c r="HT118" s="199"/>
      <c r="HU118" s="198"/>
      <c r="HV118" s="199"/>
      <c r="HW118" s="198"/>
      <c r="HX118" s="199"/>
      <c r="HY118" s="198"/>
      <c r="HZ118" s="199"/>
      <c r="IA118" s="198"/>
      <c r="IB118" s="199"/>
      <c r="IC118" s="198"/>
      <c r="ID118" s="199"/>
      <c r="IE118" s="198"/>
      <c r="IF118" s="199"/>
      <c r="IG118" s="198"/>
      <c r="IH118" s="199"/>
      <c r="II118" s="198"/>
      <c r="IJ118" s="199"/>
      <c r="IK118" s="198"/>
      <c r="IL118" s="199"/>
      <c r="IM118" s="198"/>
      <c r="IN118" s="199"/>
      <c r="IO118" s="198"/>
      <c r="IP118" s="199"/>
      <c r="IQ118" s="198"/>
      <c r="IR118" s="199"/>
      <c r="IS118" s="198"/>
      <c r="IT118" s="199"/>
      <c r="IU118" s="198"/>
      <c r="IV118" s="199"/>
      <c r="IW118" s="198"/>
      <c r="IX118" s="199"/>
      <c r="IY118" s="198"/>
      <c r="IZ118" s="199"/>
      <c r="JA118" s="198"/>
      <c r="JB118" s="199"/>
      <c r="JC118" s="198"/>
      <c r="JD118" s="199"/>
      <c r="JE118" s="198"/>
      <c r="JF118" s="199"/>
      <c r="JG118" s="198"/>
      <c r="JH118" s="199"/>
      <c r="JI118" s="198"/>
      <c r="JJ118" s="199"/>
      <c r="JK118" s="198"/>
      <c r="JL118" s="199"/>
      <c r="JM118" s="198"/>
      <c r="JN118" s="199"/>
      <c r="JO118" s="198"/>
      <c r="JP118" s="199"/>
      <c r="JQ118" s="198"/>
      <c r="JR118" s="199"/>
      <c r="JS118" s="198"/>
      <c r="JT118" s="199"/>
      <c r="JU118" s="198"/>
      <c r="JV118" s="199"/>
      <c r="JW118" s="198"/>
      <c r="JX118" s="199"/>
      <c r="JY118" s="198"/>
      <c r="JZ118" s="199"/>
      <c r="KA118" s="198"/>
      <c r="KB118" s="199"/>
      <c r="KC118" s="198"/>
      <c r="KD118" s="199"/>
      <c r="KE118" s="198"/>
      <c r="KF118" s="199"/>
      <c r="KG118" s="198"/>
      <c r="KH118" s="199"/>
      <c r="KI118" s="198"/>
      <c r="KJ118" s="199"/>
      <c r="KK118" s="198"/>
      <c r="KL118" s="199"/>
      <c r="KM118" s="198"/>
      <c r="KN118" s="199"/>
      <c r="KO118" s="198"/>
      <c r="KP118" s="199"/>
      <c r="KQ118" s="198"/>
      <c r="KR118" s="199"/>
      <c r="KS118" s="198"/>
      <c r="KT118" s="199"/>
      <c r="KU118" s="198"/>
      <c r="KV118" s="199"/>
      <c r="KW118" s="198"/>
      <c r="KX118" s="199"/>
      <c r="KY118" s="198"/>
      <c r="KZ118" s="199"/>
      <c r="LA118" s="198"/>
      <c r="LB118" s="199"/>
      <c r="LC118" s="198"/>
      <c r="LD118" s="199"/>
      <c r="LE118" s="198"/>
      <c r="LF118" s="199"/>
      <c r="LG118" s="198"/>
      <c r="LH118" s="199"/>
      <c r="LI118" s="198"/>
      <c r="LJ118" s="199"/>
      <c r="LK118" s="198"/>
      <c r="LL118" s="199"/>
      <c r="LM118" s="198"/>
      <c r="LN118" s="199"/>
      <c r="LO118" s="198"/>
      <c r="LP118" s="199"/>
      <c r="LQ118" s="198"/>
      <c r="LR118" s="199"/>
      <c r="LS118" s="198"/>
      <c r="LT118" s="199"/>
      <c r="LU118" s="198"/>
      <c r="LV118" s="199"/>
      <c r="LW118" s="198"/>
      <c r="LX118" s="199"/>
      <c r="LY118" s="198"/>
      <c r="LZ118" s="199"/>
      <c r="MA118" s="198"/>
      <c r="MB118" s="199"/>
      <c r="MC118" s="198"/>
      <c r="MD118" s="199"/>
      <c r="ME118" s="198"/>
      <c r="MF118" s="199"/>
      <c r="MG118" s="198"/>
      <c r="MH118" s="199"/>
      <c r="MI118" s="198"/>
      <c r="MJ118" s="199"/>
      <c r="MK118" s="198"/>
      <c r="ML118" s="199"/>
      <c r="MM118" s="198"/>
      <c r="MN118" s="199"/>
      <c r="MO118" s="198"/>
      <c r="MP118" s="199"/>
      <c r="MQ118" s="198"/>
      <c r="MR118" s="199"/>
      <c r="MS118" s="198"/>
      <c r="MT118" s="199"/>
      <c r="MU118" s="198"/>
      <c r="MV118" s="199"/>
      <c r="MW118" s="198"/>
      <c r="MX118" s="199"/>
      <c r="MY118" s="198"/>
      <c r="MZ118" s="199"/>
      <c r="NA118" s="198"/>
      <c r="NB118" s="199"/>
      <c r="NC118" s="198"/>
      <c r="ND118" s="199"/>
      <c r="NE118" s="198"/>
      <c r="NF118" s="199"/>
      <c r="NG118" s="198"/>
      <c r="NH118" s="199"/>
      <c r="NI118" s="198"/>
      <c r="NJ118" s="199"/>
      <c r="NK118" s="198"/>
      <c r="NL118" s="199"/>
      <c r="NM118" s="198"/>
      <c r="NN118" s="199"/>
      <c r="NO118" s="198"/>
      <c r="NP118" s="199"/>
      <c r="NQ118" s="198"/>
      <c r="NR118" s="199"/>
      <c r="NS118" s="198"/>
      <c r="NT118" s="199"/>
      <c r="NU118" s="198"/>
      <c r="NV118" s="199"/>
      <c r="NW118" s="198"/>
      <c r="NX118" s="199"/>
      <c r="NY118" s="198"/>
      <c r="NZ118" s="199"/>
      <c r="OA118" s="198"/>
      <c r="OB118" s="199"/>
      <c r="OC118" s="198"/>
      <c r="OD118" s="199"/>
      <c r="OE118" s="198"/>
      <c r="OF118" s="199"/>
      <c r="OG118" s="198"/>
      <c r="OH118" s="199"/>
      <c r="OI118" s="198"/>
      <c r="OJ118" s="199"/>
      <c r="OK118" s="198"/>
      <c r="OL118" s="199"/>
      <c r="OM118" s="198"/>
      <c r="ON118" s="199"/>
      <c r="OO118" s="198"/>
      <c r="OP118" s="199"/>
      <c r="OQ118" s="198"/>
      <c r="OR118" s="199"/>
      <c r="OS118" s="198"/>
      <c r="OT118" s="199"/>
      <c r="OU118" s="198"/>
      <c r="OV118" s="199"/>
      <c r="OW118" s="198"/>
      <c r="OX118" s="199"/>
      <c r="OY118" s="198"/>
      <c r="OZ118" s="199"/>
      <c r="PA118" s="198"/>
      <c r="PB118" s="199"/>
      <c r="PC118" s="198"/>
      <c r="PD118" s="199"/>
      <c r="PE118" s="198"/>
      <c r="PF118" s="199"/>
      <c r="PG118" s="198"/>
      <c r="PH118" s="199"/>
      <c r="PI118" s="198"/>
      <c r="PJ118" s="199"/>
      <c r="PK118" s="198"/>
      <c r="PL118" s="199"/>
      <c r="PM118" s="198"/>
      <c r="PN118" s="199"/>
      <c r="PO118" s="198"/>
      <c r="PP118" s="199"/>
      <c r="PQ118" s="198"/>
      <c r="PR118" s="199"/>
      <c r="PS118" s="198"/>
      <c r="PT118" s="199"/>
      <c r="PU118" s="198"/>
      <c r="PV118" s="199"/>
      <c r="PW118" s="198"/>
      <c r="PX118" s="199"/>
      <c r="PY118" s="198"/>
      <c r="PZ118" s="199"/>
      <c r="QA118" s="198"/>
      <c r="QB118" s="199"/>
      <c r="QC118" s="198"/>
      <c r="QD118" s="199"/>
      <c r="QE118" s="198"/>
      <c r="QF118" s="199"/>
      <c r="QG118" s="198"/>
      <c r="QH118" s="199"/>
      <c r="QI118" s="198"/>
      <c r="QJ118" s="199"/>
      <c r="QK118" s="198"/>
      <c r="QL118" s="199"/>
      <c r="QM118" s="198"/>
      <c r="QN118" s="199"/>
      <c r="QO118" s="198"/>
      <c r="QP118" s="199"/>
      <c r="QQ118" s="198"/>
      <c r="QR118" s="199"/>
      <c r="QS118" s="198"/>
      <c r="QT118" s="199"/>
      <c r="QU118" s="198"/>
      <c r="QV118" s="199"/>
      <c r="QW118" s="198"/>
      <c r="QX118" s="199"/>
      <c r="QY118" s="198"/>
      <c r="QZ118" s="199"/>
      <c r="RA118" s="198"/>
      <c r="RB118" s="199"/>
      <c r="RC118" s="198"/>
      <c r="RD118" s="199"/>
      <c r="RE118" s="198"/>
      <c r="RF118" s="199"/>
      <c r="RG118" s="198"/>
      <c r="RH118" s="199"/>
      <c r="RI118" s="198"/>
      <c r="RJ118" s="199"/>
      <c r="RK118" s="198"/>
      <c r="RL118" s="199"/>
      <c r="RM118" s="198"/>
      <c r="RN118" s="199"/>
      <c r="RO118" s="198"/>
      <c r="RP118" s="199"/>
      <c r="RQ118" s="198"/>
      <c r="RR118" s="199"/>
      <c r="RS118" s="198"/>
      <c r="RT118" s="199"/>
      <c r="RU118" s="198"/>
      <c r="RV118" s="199"/>
      <c r="RW118" s="198"/>
      <c r="RX118" s="199"/>
      <c r="RY118" s="198"/>
      <c r="RZ118" s="199"/>
      <c r="SA118" s="198"/>
      <c r="SB118" s="199"/>
      <c r="SC118" s="198"/>
      <c r="SD118" s="199"/>
      <c r="SE118" s="198"/>
      <c r="SF118" s="199"/>
      <c r="SG118" s="198"/>
      <c r="SH118" s="199"/>
      <c r="SI118" s="198"/>
      <c r="SJ118" s="199"/>
      <c r="SK118" s="198"/>
      <c r="SL118" s="199"/>
      <c r="SM118" s="198"/>
      <c r="SN118" s="199"/>
      <c r="SO118" s="198"/>
      <c r="SP118" s="199"/>
      <c r="SQ118" s="198"/>
      <c r="SR118" s="199"/>
      <c r="SS118" s="198"/>
      <c r="ST118" s="199"/>
      <c r="SU118" s="198"/>
      <c r="SV118" s="199"/>
      <c r="SW118" s="198"/>
      <c r="SX118" s="199"/>
      <c r="SY118" s="198"/>
      <c r="SZ118" s="199"/>
      <c r="TA118" s="198"/>
      <c r="TB118" s="199"/>
      <c r="TC118" s="198"/>
      <c r="TD118" s="199"/>
      <c r="TE118" s="198"/>
      <c r="TF118" s="199"/>
      <c r="TG118" s="198"/>
      <c r="TH118" s="199"/>
      <c r="TI118" s="198"/>
      <c r="TJ118" s="199"/>
      <c r="TK118" s="198"/>
      <c r="TL118" s="199"/>
      <c r="TM118" s="198"/>
      <c r="TN118" s="199"/>
      <c r="TO118" s="198"/>
      <c r="TP118" s="199"/>
      <c r="TQ118" s="198"/>
      <c r="TR118" s="199"/>
      <c r="TS118" s="198"/>
      <c r="TT118" s="199"/>
      <c r="TU118" s="198"/>
      <c r="TV118" s="199"/>
      <c r="TW118" s="198"/>
      <c r="TX118" s="199"/>
      <c r="TY118" s="198"/>
      <c r="TZ118" s="199"/>
      <c r="UA118" s="198"/>
      <c r="UB118" s="199"/>
      <c r="UC118" s="198"/>
      <c r="UD118" s="199"/>
      <c r="UE118" s="198"/>
      <c r="UF118" s="199"/>
      <c r="UG118" s="198"/>
      <c r="UH118" s="199"/>
      <c r="UI118" s="198"/>
      <c r="UJ118" s="199"/>
      <c r="UK118" s="198"/>
      <c r="UL118" s="199"/>
      <c r="UM118" s="198"/>
      <c r="UN118" s="199"/>
      <c r="UO118" s="198"/>
      <c r="UP118" s="199"/>
      <c r="UQ118" s="198"/>
      <c r="UR118" s="199"/>
      <c r="US118" s="198"/>
      <c r="UT118" s="199"/>
      <c r="UU118" s="198"/>
      <c r="UV118" s="199"/>
      <c r="UW118" s="198"/>
      <c r="UX118" s="199"/>
      <c r="UY118" s="198"/>
      <c r="UZ118" s="199"/>
      <c r="VA118" s="198"/>
      <c r="VB118" s="199"/>
      <c r="VC118" s="198"/>
      <c r="VD118" s="199"/>
      <c r="VE118" s="198"/>
      <c r="VF118" s="199"/>
      <c r="VG118" s="198"/>
      <c r="VH118" s="199"/>
      <c r="VI118" s="198"/>
      <c r="VJ118" s="199"/>
      <c r="VK118" s="198"/>
      <c r="VL118" s="199"/>
      <c r="VM118" s="198"/>
      <c r="VN118" s="199"/>
      <c r="VO118" s="198"/>
      <c r="VP118" s="199"/>
      <c r="VQ118" s="198"/>
      <c r="VR118" s="199"/>
      <c r="VS118" s="198"/>
      <c r="VT118" s="199"/>
      <c r="VU118" s="198"/>
      <c r="VV118" s="199"/>
      <c r="VW118" s="198"/>
      <c r="VX118" s="199"/>
      <c r="VY118" s="198"/>
      <c r="VZ118" s="199"/>
      <c r="WA118" s="198"/>
      <c r="WB118" s="199"/>
      <c r="WC118" s="198"/>
      <c r="WD118" s="199"/>
      <c r="WE118" s="198"/>
      <c r="WF118" s="199"/>
      <c r="WG118" s="198"/>
      <c r="WH118" s="199"/>
      <c r="WI118" s="198"/>
      <c r="WJ118" s="199"/>
      <c r="WK118" s="198"/>
      <c r="WL118" s="199"/>
      <c r="WM118" s="198"/>
      <c r="WN118" s="199"/>
      <c r="WO118" s="198"/>
      <c r="WP118" s="199"/>
      <c r="WQ118" s="198"/>
      <c r="WR118" s="199"/>
      <c r="WS118" s="198"/>
      <c r="WT118" s="199"/>
      <c r="WU118" s="198"/>
      <c r="WV118" s="199"/>
      <c r="WW118" s="198"/>
      <c r="WX118" s="199"/>
      <c r="WY118" s="198"/>
      <c r="WZ118" s="199"/>
      <c r="XA118" s="198"/>
      <c r="XB118" s="199"/>
      <c r="XC118" s="198"/>
      <c r="XD118" s="199"/>
      <c r="XE118" s="198"/>
      <c r="XF118" s="199"/>
      <c r="XG118" s="198"/>
      <c r="XH118" s="199"/>
      <c r="XI118" s="198"/>
      <c r="XJ118" s="199"/>
      <c r="XK118" s="198"/>
      <c r="XL118" s="199"/>
      <c r="XM118" s="198"/>
      <c r="XN118" s="199"/>
      <c r="XO118" s="198"/>
      <c r="XP118" s="199"/>
      <c r="XQ118" s="198"/>
      <c r="XR118" s="199"/>
      <c r="XS118" s="198"/>
      <c r="XT118" s="199"/>
      <c r="XU118" s="198"/>
      <c r="XV118" s="199"/>
      <c r="XW118" s="198"/>
      <c r="XX118" s="199"/>
      <c r="XY118" s="198"/>
      <c r="XZ118" s="199"/>
      <c r="YA118" s="198"/>
      <c r="YB118" s="199"/>
      <c r="YC118" s="198"/>
      <c r="YD118" s="199"/>
      <c r="YE118" s="198"/>
      <c r="YF118" s="199"/>
      <c r="YG118" s="198"/>
      <c r="YH118" s="199"/>
      <c r="YI118" s="198"/>
      <c r="YJ118" s="199"/>
      <c r="YK118" s="198"/>
      <c r="YL118" s="199"/>
      <c r="YM118" s="198"/>
      <c r="YN118" s="199"/>
      <c r="YO118" s="198"/>
      <c r="YP118" s="199"/>
      <c r="YQ118" s="198"/>
      <c r="YR118" s="199"/>
      <c r="YS118" s="198"/>
      <c r="YT118" s="199"/>
      <c r="YU118" s="198"/>
      <c r="YV118" s="199"/>
      <c r="YW118" s="198"/>
      <c r="YX118" s="199"/>
      <c r="YY118" s="198"/>
      <c r="YZ118" s="199"/>
      <c r="ZA118" s="198"/>
      <c r="ZB118" s="199"/>
      <c r="ZC118" s="198"/>
      <c r="ZD118" s="199"/>
      <c r="ZE118" s="198"/>
      <c r="ZF118" s="199"/>
      <c r="ZG118" s="198"/>
      <c r="ZH118" s="199"/>
      <c r="ZI118" s="198"/>
      <c r="ZJ118" s="199"/>
      <c r="ZK118" s="198"/>
      <c r="ZL118" s="199"/>
      <c r="ZM118" s="198"/>
      <c r="ZN118" s="199"/>
      <c r="ZO118" s="198"/>
      <c r="ZP118" s="199"/>
      <c r="ZQ118" s="198"/>
      <c r="ZR118" s="199"/>
      <c r="ZS118" s="198"/>
      <c r="ZT118" s="199"/>
      <c r="ZU118" s="198"/>
      <c r="ZV118" s="199"/>
      <c r="ZW118" s="198"/>
      <c r="ZX118" s="199"/>
      <c r="ZY118" s="198"/>
      <c r="ZZ118" s="199"/>
      <c r="AAA118" s="198"/>
      <c r="AAB118" s="199"/>
      <c r="AAC118" s="198"/>
      <c r="AAD118" s="199"/>
      <c r="AAE118" s="198"/>
      <c r="AAF118" s="199"/>
      <c r="AAG118" s="198"/>
      <c r="AAH118" s="199"/>
      <c r="AAI118" s="198"/>
      <c r="AAJ118" s="199"/>
      <c r="AAK118" s="198"/>
      <c r="AAL118" s="199"/>
      <c r="AAM118" s="198"/>
      <c r="AAN118" s="199"/>
      <c r="AAO118" s="198"/>
      <c r="AAP118" s="199"/>
      <c r="AAQ118" s="198"/>
      <c r="AAR118" s="199"/>
      <c r="AAS118" s="198"/>
      <c r="AAT118" s="199"/>
      <c r="AAU118" s="198"/>
      <c r="AAV118" s="199"/>
      <c r="AAW118" s="198"/>
      <c r="AAX118" s="199"/>
      <c r="AAY118" s="198"/>
      <c r="AAZ118" s="199"/>
      <c r="ABA118" s="198"/>
      <c r="ABB118" s="199"/>
      <c r="ABC118" s="198"/>
      <c r="ABD118" s="199"/>
      <c r="ABE118" s="198"/>
      <c r="ABF118" s="199"/>
      <c r="ABG118" s="198"/>
      <c r="ABH118" s="199"/>
      <c r="ABI118" s="198"/>
      <c r="ABJ118" s="199"/>
      <c r="ABK118" s="198"/>
      <c r="ABL118" s="199"/>
      <c r="ABM118" s="198"/>
      <c r="ABN118" s="199"/>
      <c r="ABO118" s="198"/>
      <c r="ABP118" s="199"/>
      <c r="ABQ118" s="198"/>
      <c r="ABR118" s="199"/>
      <c r="ABS118" s="198"/>
      <c r="ABT118" s="199"/>
      <c r="ABU118" s="198"/>
      <c r="ABV118" s="199"/>
      <c r="ABW118" s="198"/>
      <c r="ABX118" s="199"/>
      <c r="ABY118" s="198"/>
      <c r="ABZ118" s="199"/>
      <c r="ACA118" s="198"/>
      <c r="ACB118" s="199"/>
      <c r="ACC118" s="198"/>
      <c r="ACD118" s="199"/>
      <c r="ACE118" s="198"/>
      <c r="ACF118" s="199"/>
      <c r="ACG118" s="198"/>
      <c r="ACH118" s="199"/>
      <c r="ACI118" s="198"/>
      <c r="ACJ118" s="199"/>
      <c r="ACK118" s="198"/>
      <c r="ACL118" s="199"/>
      <c r="ACM118" s="198"/>
      <c r="ACN118" s="199"/>
      <c r="ACO118" s="198"/>
      <c r="ACP118" s="199"/>
      <c r="ACQ118" s="198"/>
      <c r="ACR118" s="199"/>
      <c r="ACS118" s="198"/>
      <c r="ACT118" s="199"/>
      <c r="ACU118" s="198"/>
      <c r="ACV118" s="199"/>
      <c r="ACW118" s="198"/>
      <c r="ACX118" s="199"/>
      <c r="ACY118" s="198"/>
      <c r="ACZ118" s="199"/>
      <c r="ADA118" s="198"/>
      <c r="ADB118" s="199"/>
      <c r="ADC118" s="198"/>
      <c r="ADD118" s="199"/>
      <c r="ADE118" s="198"/>
      <c r="ADF118" s="199"/>
      <c r="ADG118" s="198"/>
      <c r="ADH118" s="199"/>
      <c r="ADI118" s="198"/>
      <c r="ADJ118" s="199"/>
      <c r="ADK118" s="198"/>
      <c r="ADL118" s="199"/>
      <c r="ADM118" s="198"/>
      <c r="ADN118" s="199"/>
      <c r="ADO118" s="198"/>
      <c r="ADP118" s="199"/>
      <c r="ADQ118" s="198"/>
      <c r="ADR118" s="199"/>
      <c r="ADS118" s="198"/>
      <c r="ADT118" s="199"/>
      <c r="ADU118" s="198"/>
      <c r="ADV118" s="199"/>
      <c r="ADW118" s="198"/>
      <c r="ADX118" s="199"/>
      <c r="ADY118" s="198"/>
      <c r="ADZ118" s="199"/>
      <c r="AEA118" s="198"/>
      <c r="AEB118" s="199"/>
      <c r="AEC118" s="198"/>
      <c r="AED118" s="199"/>
      <c r="AEE118" s="198"/>
      <c r="AEF118" s="199"/>
      <c r="AEG118" s="198"/>
      <c r="AEH118" s="199"/>
      <c r="AEI118" s="198"/>
      <c r="AEJ118" s="199"/>
      <c r="AEK118" s="198"/>
      <c r="AEL118" s="199"/>
      <c r="AEM118" s="198"/>
      <c r="AEN118" s="199"/>
      <c r="AEO118" s="198"/>
      <c r="AEP118" s="199"/>
      <c r="AEQ118" s="198"/>
      <c r="AER118" s="199"/>
      <c r="AES118" s="198"/>
      <c r="AET118" s="199"/>
      <c r="AEU118" s="198"/>
      <c r="AEV118" s="199"/>
      <c r="AEW118" s="198"/>
      <c r="AEX118" s="199"/>
      <c r="AEY118" s="198"/>
      <c r="AEZ118" s="199"/>
      <c r="AFA118" s="198"/>
      <c r="AFB118" s="199"/>
      <c r="AFC118" s="198"/>
      <c r="AFD118" s="199"/>
      <c r="AFE118" s="198"/>
      <c r="AFF118" s="199"/>
      <c r="AFG118" s="198"/>
      <c r="AFH118" s="199"/>
      <c r="AFI118" s="198"/>
      <c r="AFJ118" s="199"/>
      <c r="AFK118" s="198"/>
      <c r="AFL118" s="199"/>
      <c r="AFM118" s="198"/>
      <c r="AFN118" s="199"/>
      <c r="AFO118" s="198"/>
      <c r="AFP118" s="199"/>
      <c r="AFQ118" s="198"/>
      <c r="AFR118" s="199"/>
      <c r="AFS118" s="198"/>
      <c r="AFT118" s="199"/>
      <c r="AFU118" s="198"/>
      <c r="AFV118" s="199"/>
      <c r="AFW118" s="198"/>
      <c r="AFX118" s="199"/>
      <c r="AFY118" s="198"/>
      <c r="AFZ118" s="199"/>
      <c r="AGA118" s="198"/>
      <c r="AGB118" s="199"/>
      <c r="AGC118" s="198"/>
      <c r="AGD118" s="199"/>
      <c r="AGE118" s="198"/>
      <c r="AGF118" s="199"/>
      <c r="AGG118" s="198"/>
      <c r="AGH118" s="199"/>
      <c r="AGI118" s="198"/>
      <c r="AGJ118" s="199"/>
      <c r="AGK118" s="198"/>
      <c r="AGL118" s="199"/>
      <c r="AGM118" s="198"/>
      <c r="AGN118" s="199"/>
      <c r="AGO118" s="198"/>
      <c r="AGP118" s="199"/>
      <c r="AGQ118" s="198"/>
      <c r="AGR118" s="199"/>
      <c r="AGS118" s="198"/>
      <c r="AGT118" s="199"/>
      <c r="AGU118" s="198"/>
      <c r="AGV118" s="199"/>
      <c r="AGW118" s="198"/>
      <c r="AGX118" s="199"/>
      <c r="AGY118" s="198"/>
      <c r="AGZ118" s="199"/>
      <c r="AHA118" s="198"/>
      <c r="AHB118" s="199"/>
      <c r="AHC118" s="198"/>
      <c r="AHD118" s="199"/>
      <c r="AHE118" s="198"/>
      <c r="AHF118" s="199"/>
      <c r="AHG118" s="198"/>
      <c r="AHH118" s="199"/>
      <c r="AHI118" s="198"/>
      <c r="AHJ118" s="199"/>
      <c r="AHK118" s="198"/>
      <c r="AHL118" s="199"/>
      <c r="AHM118" s="198"/>
      <c r="AHN118" s="199"/>
      <c r="AHO118" s="198"/>
      <c r="AHP118" s="199"/>
      <c r="AHQ118" s="198"/>
      <c r="AHR118" s="199"/>
      <c r="AHS118" s="198"/>
      <c r="AHT118" s="199"/>
      <c r="AHU118" s="198"/>
      <c r="AHV118" s="199"/>
      <c r="AHW118" s="198"/>
      <c r="AHX118" s="199"/>
      <c r="AHY118" s="198"/>
      <c r="AHZ118" s="199"/>
      <c r="AIA118" s="198"/>
      <c r="AIB118" s="199"/>
      <c r="AIC118" s="198"/>
      <c r="AID118" s="199"/>
      <c r="AIE118" s="198"/>
      <c r="AIF118" s="199"/>
      <c r="AIG118" s="198"/>
      <c r="AIH118" s="199"/>
      <c r="AII118" s="198"/>
      <c r="AIJ118" s="199"/>
      <c r="AIK118" s="198"/>
      <c r="AIL118" s="199"/>
      <c r="AIM118" s="198"/>
      <c r="AIN118" s="199"/>
      <c r="AIO118" s="198"/>
      <c r="AIP118" s="199"/>
      <c r="AIQ118" s="198"/>
      <c r="AIR118" s="199"/>
      <c r="AIS118" s="198"/>
      <c r="AIT118" s="199"/>
      <c r="AIU118" s="198"/>
      <c r="AIV118" s="199"/>
      <c r="AIW118" s="198"/>
      <c r="AIX118" s="199"/>
      <c r="AIY118" s="198"/>
      <c r="AIZ118" s="199"/>
      <c r="AJA118" s="198"/>
      <c r="AJB118" s="199"/>
      <c r="AJC118" s="198"/>
      <c r="AJD118" s="199"/>
      <c r="AJE118" s="198"/>
      <c r="AJF118" s="199"/>
      <c r="AJG118" s="198"/>
      <c r="AJH118" s="199"/>
      <c r="AJI118" s="198"/>
      <c r="AJJ118" s="199"/>
      <c r="AJK118" s="198"/>
      <c r="AJL118" s="199"/>
      <c r="AJM118" s="198"/>
      <c r="AJN118" s="199"/>
      <c r="AJO118" s="198"/>
      <c r="AJP118" s="199"/>
      <c r="AJQ118" s="198"/>
      <c r="AJR118" s="199"/>
      <c r="AJS118" s="198"/>
      <c r="AJT118" s="199"/>
      <c r="AJU118" s="198"/>
      <c r="AJV118" s="199"/>
      <c r="AJW118" s="198"/>
      <c r="AJX118" s="199"/>
      <c r="AJY118" s="198"/>
      <c r="AJZ118" s="199"/>
      <c r="AKA118" s="198"/>
      <c r="AKB118" s="199"/>
      <c r="AKC118" s="198"/>
      <c r="AKD118" s="199"/>
      <c r="AKE118" s="198"/>
      <c r="AKF118" s="199"/>
      <c r="AKG118" s="198"/>
      <c r="AKH118" s="199"/>
      <c r="AKI118" s="198"/>
      <c r="AKJ118" s="199"/>
      <c r="AKK118" s="198"/>
      <c r="AKL118" s="199"/>
      <c r="AKM118" s="198"/>
      <c r="AKN118" s="199"/>
      <c r="AKO118" s="198"/>
      <c r="AKP118" s="199"/>
      <c r="AKQ118" s="198"/>
      <c r="AKR118" s="199"/>
      <c r="AKS118" s="198"/>
      <c r="AKT118" s="199"/>
      <c r="AKU118" s="198"/>
      <c r="AKV118" s="199"/>
      <c r="AKW118" s="198"/>
      <c r="AKX118" s="199"/>
      <c r="AKY118" s="198"/>
      <c r="AKZ118" s="199"/>
      <c r="ALA118" s="198"/>
      <c r="ALB118" s="199"/>
      <c r="ALC118" s="198"/>
      <c r="ALD118" s="199"/>
      <c r="ALE118" s="198"/>
      <c r="ALF118" s="199"/>
      <c r="ALG118" s="198"/>
      <c r="ALH118" s="199"/>
      <c r="ALI118" s="198"/>
      <c r="ALJ118" s="199"/>
      <c r="ALK118" s="198"/>
      <c r="ALL118" s="199"/>
      <c r="ALM118" s="198"/>
      <c r="ALN118" s="199"/>
      <c r="ALO118" s="198"/>
      <c r="ALP118" s="199"/>
      <c r="ALQ118" s="198"/>
      <c r="ALR118" s="199"/>
      <c r="ALS118" s="198"/>
      <c r="ALT118" s="199"/>
      <c r="ALU118" s="198"/>
      <c r="ALV118" s="199"/>
      <c r="ALW118" s="198"/>
      <c r="ALX118" s="199"/>
      <c r="ALY118" s="198"/>
      <c r="ALZ118" s="199"/>
      <c r="AMA118" s="198"/>
      <c r="AMB118" s="199"/>
      <c r="AMC118" s="198"/>
      <c r="AMD118" s="199"/>
      <c r="AME118" s="198"/>
      <c r="AMF118" s="199"/>
      <c r="AMG118" s="198"/>
      <c r="AMH118" s="199"/>
      <c r="AMI118" s="198"/>
      <c r="AMJ118" s="199"/>
      <c r="AMK118" s="198"/>
      <c r="AML118" s="199"/>
      <c r="AMM118" s="198"/>
      <c r="AMN118" s="199"/>
      <c r="AMO118" s="198"/>
      <c r="AMP118" s="199"/>
      <c r="AMQ118" s="198"/>
      <c r="AMR118" s="199"/>
      <c r="AMS118" s="198"/>
      <c r="AMT118" s="199"/>
      <c r="AMU118" s="198"/>
      <c r="AMV118" s="199"/>
      <c r="AMW118" s="198"/>
      <c r="AMX118" s="199"/>
      <c r="AMY118" s="198"/>
      <c r="AMZ118" s="199"/>
      <c r="ANA118" s="198"/>
      <c r="ANB118" s="199"/>
      <c r="ANC118" s="198"/>
      <c r="AND118" s="199"/>
      <c r="ANE118" s="198"/>
      <c r="ANF118" s="199"/>
      <c r="ANG118" s="198"/>
      <c r="ANH118" s="199"/>
      <c r="ANI118" s="198"/>
      <c r="ANJ118" s="199"/>
      <c r="ANK118" s="198"/>
      <c r="ANL118" s="199"/>
      <c r="ANM118" s="198"/>
      <c r="ANN118" s="199"/>
      <c r="ANO118" s="198"/>
      <c r="ANP118" s="199"/>
      <c r="ANQ118" s="198"/>
      <c r="ANR118" s="199"/>
      <c r="ANS118" s="198"/>
      <c r="ANT118" s="199"/>
      <c r="ANU118" s="198"/>
      <c r="ANV118" s="199"/>
      <c r="ANW118" s="198"/>
      <c r="ANX118" s="199"/>
      <c r="ANY118" s="198"/>
      <c r="ANZ118" s="199"/>
      <c r="AOA118" s="198"/>
      <c r="AOB118" s="199"/>
      <c r="AOC118" s="198"/>
      <c r="AOD118" s="199"/>
      <c r="AOE118" s="198"/>
      <c r="AOF118" s="199"/>
      <c r="AOG118" s="198"/>
      <c r="AOH118" s="199"/>
      <c r="AOI118" s="198"/>
      <c r="AOJ118" s="199"/>
      <c r="AOK118" s="198"/>
      <c r="AOL118" s="199"/>
      <c r="AOM118" s="198"/>
      <c r="AON118" s="199"/>
      <c r="AOO118" s="198"/>
      <c r="AOP118" s="199"/>
      <c r="AOQ118" s="198"/>
      <c r="AOR118" s="199"/>
      <c r="AOS118" s="198"/>
      <c r="AOT118" s="199"/>
      <c r="AOU118" s="198"/>
      <c r="AOV118" s="199"/>
      <c r="AOW118" s="198"/>
      <c r="AOX118" s="199"/>
      <c r="AOY118" s="198"/>
      <c r="AOZ118" s="199"/>
      <c r="APA118" s="198"/>
      <c r="APB118" s="199"/>
      <c r="APC118" s="198"/>
      <c r="APD118" s="199"/>
      <c r="APE118" s="198"/>
      <c r="APF118" s="199"/>
      <c r="APG118" s="198"/>
      <c r="APH118" s="199"/>
      <c r="API118" s="198"/>
      <c r="APJ118" s="199"/>
      <c r="APK118" s="198"/>
      <c r="APL118" s="199"/>
      <c r="APM118" s="198"/>
      <c r="APN118" s="199"/>
      <c r="APO118" s="198"/>
      <c r="APP118" s="199"/>
      <c r="APQ118" s="198"/>
      <c r="APR118" s="199"/>
      <c r="APS118" s="198"/>
      <c r="APT118" s="199"/>
      <c r="APU118" s="198"/>
      <c r="APV118" s="199"/>
      <c r="APW118" s="198"/>
      <c r="APX118" s="199"/>
      <c r="APY118" s="198"/>
      <c r="APZ118" s="199"/>
      <c r="AQA118" s="198"/>
      <c r="AQB118" s="199"/>
      <c r="AQC118" s="198"/>
      <c r="AQD118" s="199"/>
      <c r="AQE118" s="198"/>
      <c r="AQF118" s="199"/>
      <c r="AQG118" s="198"/>
      <c r="AQH118" s="199"/>
      <c r="AQI118" s="198"/>
      <c r="AQJ118" s="199"/>
      <c r="AQK118" s="198"/>
      <c r="AQL118" s="199"/>
      <c r="AQM118" s="198"/>
      <c r="AQN118" s="199"/>
      <c r="AQO118" s="198"/>
      <c r="AQP118" s="199"/>
      <c r="AQQ118" s="198"/>
      <c r="AQR118" s="199"/>
      <c r="AQS118" s="198"/>
      <c r="AQT118" s="199"/>
      <c r="AQU118" s="198"/>
      <c r="AQV118" s="199"/>
      <c r="AQW118" s="198"/>
      <c r="AQX118" s="199"/>
      <c r="AQY118" s="198"/>
      <c r="AQZ118" s="199"/>
      <c r="ARA118" s="198"/>
      <c r="ARB118" s="199"/>
      <c r="ARC118" s="198"/>
      <c r="ARD118" s="199"/>
      <c r="ARE118" s="198"/>
      <c r="ARF118" s="199"/>
      <c r="ARG118" s="198"/>
      <c r="ARH118" s="199"/>
      <c r="ARI118" s="198"/>
      <c r="ARJ118" s="199"/>
      <c r="ARK118" s="198"/>
      <c r="ARL118" s="199"/>
      <c r="ARM118" s="198"/>
      <c r="ARN118" s="199"/>
      <c r="ARO118" s="198"/>
      <c r="ARP118" s="199"/>
      <c r="ARQ118" s="198"/>
      <c r="ARR118" s="199"/>
      <c r="ARS118" s="198"/>
      <c r="ART118" s="199"/>
      <c r="ARU118" s="198"/>
      <c r="ARV118" s="199"/>
      <c r="ARW118" s="198"/>
      <c r="ARX118" s="199"/>
      <c r="ARY118" s="198"/>
      <c r="ARZ118" s="199"/>
      <c r="ASA118" s="198"/>
      <c r="ASB118" s="199"/>
      <c r="ASC118" s="198"/>
      <c r="ASD118" s="199"/>
      <c r="ASE118" s="198"/>
      <c r="ASF118" s="199"/>
      <c r="ASG118" s="198"/>
      <c r="ASH118" s="199"/>
      <c r="ASI118" s="198"/>
      <c r="ASJ118" s="199"/>
      <c r="ASK118" s="198"/>
      <c r="ASL118" s="199"/>
      <c r="ASM118" s="198"/>
      <c r="ASN118" s="199"/>
      <c r="ASO118" s="198"/>
      <c r="ASP118" s="199"/>
      <c r="ASQ118" s="198"/>
      <c r="ASR118" s="199"/>
      <c r="ASS118" s="198"/>
      <c r="AST118" s="199"/>
      <c r="ASU118" s="198"/>
      <c r="ASV118" s="199"/>
      <c r="ASW118" s="198"/>
      <c r="ASX118" s="199"/>
      <c r="ASY118" s="198"/>
      <c r="ASZ118" s="199"/>
      <c r="ATA118" s="198"/>
      <c r="ATB118" s="199"/>
      <c r="ATC118" s="198"/>
      <c r="ATD118" s="199"/>
      <c r="ATE118" s="198"/>
      <c r="ATF118" s="199"/>
      <c r="ATG118" s="198"/>
      <c r="ATH118" s="199"/>
      <c r="ATI118" s="198"/>
      <c r="ATJ118" s="199"/>
      <c r="ATK118" s="198"/>
      <c r="ATL118" s="199"/>
      <c r="ATM118" s="198"/>
      <c r="ATN118" s="199"/>
      <c r="ATO118" s="198"/>
      <c r="ATP118" s="199"/>
      <c r="ATQ118" s="198"/>
      <c r="ATR118" s="199"/>
      <c r="ATS118" s="198"/>
      <c r="ATT118" s="199"/>
      <c r="ATU118" s="198"/>
      <c r="ATV118" s="199"/>
      <c r="ATW118" s="198"/>
      <c r="ATX118" s="199"/>
      <c r="ATY118" s="198"/>
      <c r="ATZ118" s="199"/>
      <c r="AUA118" s="198"/>
      <c r="AUB118" s="199"/>
      <c r="AUC118" s="198"/>
      <c r="AUD118" s="199"/>
      <c r="AUE118" s="198"/>
      <c r="AUF118" s="199"/>
      <c r="AUG118" s="198"/>
      <c r="AUH118" s="199"/>
      <c r="AUI118" s="198"/>
      <c r="AUJ118" s="199"/>
      <c r="AUK118" s="198"/>
      <c r="AUL118" s="199"/>
      <c r="AUM118" s="198"/>
      <c r="AUN118" s="199"/>
      <c r="AUO118" s="198"/>
      <c r="AUP118" s="199"/>
      <c r="AUQ118" s="198"/>
      <c r="AUR118" s="199"/>
      <c r="AUS118" s="198"/>
      <c r="AUT118" s="199"/>
      <c r="AUU118" s="198"/>
      <c r="AUV118" s="199"/>
      <c r="AUW118" s="198"/>
      <c r="AUX118" s="199"/>
      <c r="AUY118" s="198"/>
      <c r="AUZ118" s="199"/>
      <c r="AVA118" s="198"/>
      <c r="AVB118" s="199"/>
      <c r="AVC118" s="198"/>
      <c r="AVD118" s="199"/>
      <c r="AVE118" s="198"/>
      <c r="AVF118" s="199"/>
      <c r="AVG118" s="198"/>
      <c r="AVH118" s="199"/>
      <c r="AVI118" s="198"/>
      <c r="AVJ118" s="199"/>
      <c r="AVK118" s="198"/>
      <c r="AVL118" s="199"/>
      <c r="AVM118" s="198"/>
      <c r="AVN118" s="199"/>
      <c r="AVO118" s="198"/>
      <c r="AVP118" s="199"/>
      <c r="AVQ118" s="198"/>
      <c r="AVR118" s="199"/>
      <c r="AVS118" s="198"/>
      <c r="AVT118" s="199"/>
      <c r="AVU118" s="198"/>
      <c r="AVV118" s="199"/>
      <c r="AVW118" s="198"/>
      <c r="AVX118" s="199"/>
      <c r="AVY118" s="198"/>
      <c r="AVZ118" s="199"/>
      <c r="AWA118" s="198"/>
      <c r="AWB118" s="199"/>
      <c r="AWC118" s="198"/>
      <c r="AWD118" s="199"/>
      <c r="AWE118" s="198"/>
      <c r="AWF118" s="199"/>
      <c r="AWG118" s="198"/>
      <c r="AWH118" s="199"/>
      <c r="AWI118" s="198"/>
      <c r="AWJ118" s="199"/>
      <c r="AWK118" s="198"/>
      <c r="AWL118" s="199"/>
      <c r="AWM118" s="198"/>
      <c r="AWN118" s="199"/>
      <c r="AWO118" s="198"/>
      <c r="AWP118" s="199"/>
      <c r="AWQ118" s="198"/>
      <c r="AWR118" s="199"/>
      <c r="AWS118" s="198"/>
      <c r="AWT118" s="199"/>
      <c r="AWU118" s="198"/>
      <c r="AWV118" s="199"/>
      <c r="AWW118" s="198"/>
      <c r="AWX118" s="199"/>
      <c r="AWY118" s="198"/>
      <c r="AWZ118" s="199"/>
      <c r="AXA118" s="198"/>
      <c r="AXB118" s="199"/>
      <c r="AXC118" s="198"/>
      <c r="AXD118" s="199"/>
      <c r="AXE118" s="198"/>
      <c r="AXF118" s="199"/>
      <c r="AXG118" s="198"/>
      <c r="AXH118" s="199"/>
      <c r="AXI118" s="198"/>
      <c r="AXJ118" s="199"/>
      <c r="AXK118" s="198"/>
      <c r="AXL118" s="199"/>
      <c r="AXM118" s="198"/>
      <c r="AXN118" s="199"/>
      <c r="AXO118" s="198"/>
      <c r="AXP118" s="199"/>
      <c r="AXQ118" s="198"/>
      <c r="AXR118" s="199"/>
      <c r="AXS118" s="198"/>
      <c r="AXT118" s="199"/>
      <c r="AXU118" s="198"/>
      <c r="AXV118" s="199"/>
      <c r="AXW118" s="198"/>
      <c r="AXX118" s="199"/>
      <c r="AXY118" s="198"/>
      <c r="AXZ118" s="199"/>
      <c r="AYA118" s="198"/>
      <c r="AYB118" s="199"/>
      <c r="AYC118" s="198"/>
      <c r="AYD118" s="199"/>
      <c r="AYE118" s="198"/>
      <c r="AYF118" s="199"/>
      <c r="AYG118" s="198"/>
      <c r="AYH118" s="199"/>
      <c r="AYI118" s="198"/>
      <c r="AYJ118" s="199"/>
      <c r="AYK118" s="198"/>
      <c r="AYL118" s="199"/>
      <c r="AYM118" s="198"/>
      <c r="AYN118" s="199"/>
      <c r="AYO118" s="198"/>
      <c r="AYP118" s="199"/>
      <c r="AYQ118" s="198"/>
      <c r="AYR118" s="199"/>
      <c r="AYS118" s="198"/>
      <c r="AYT118" s="199"/>
      <c r="AYU118" s="198"/>
      <c r="AYV118" s="199"/>
      <c r="AYW118" s="198"/>
      <c r="AYX118" s="199"/>
      <c r="AYY118" s="198"/>
      <c r="AYZ118" s="199"/>
      <c r="AZA118" s="198"/>
      <c r="AZB118" s="199"/>
      <c r="AZC118" s="198"/>
      <c r="AZD118" s="199"/>
      <c r="AZE118" s="198"/>
      <c r="AZF118" s="199"/>
      <c r="AZG118" s="198"/>
      <c r="AZH118" s="199"/>
      <c r="AZI118" s="198"/>
      <c r="AZJ118" s="199"/>
      <c r="AZK118" s="198"/>
      <c r="AZL118" s="199"/>
      <c r="AZM118" s="198"/>
      <c r="AZN118" s="199"/>
      <c r="AZO118" s="198"/>
      <c r="AZP118" s="199"/>
      <c r="AZQ118" s="198"/>
      <c r="AZR118" s="199"/>
      <c r="AZS118" s="198"/>
      <c r="AZT118" s="199"/>
      <c r="AZU118" s="198"/>
      <c r="AZV118" s="199"/>
      <c r="AZW118" s="198"/>
      <c r="AZX118" s="199"/>
      <c r="AZY118" s="198"/>
      <c r="AZZ118" s="199"/>
      <c r="BAA118" s="198"/>
      <c r="BAB118" s="199"/>
      <c r="BAC118" s="198"/>
      <c r="BAD118" s="199"/>
      <c r="BAE118" s="198"/>
      <c r="BAF118" s="199"/>
      <c r="BAG118" s="198"/>
      <c r="BAH118" s="199"/>
      <c r="BAI118" s="198"/>
      <c r="BAJ118" s="199"/>
      <c r="BAK118" s="198"/>
      <c r="BAL118" s="199"/>
      <c r="BAM118" s="198"/>
      <c r="BAN118" s="199"/>
      <c r="BAO118" s="198"/>
      <c r="BAP118" s="199"/>
      <c r="BAQ118" s="198"/>
      <c r="BAR118" s="199"/>
      <c r="BAS118" s="198"/>
      <c r="BAT118" s="199"/>
      <c r="BAU118" s="198"/>
      <c r="BAV118" s="199"/>
      <c r="BAW118" s="198"/>
      <c r="BAX118" s="199"/>
      <c r="BAY118" s="198"/>
      <c r="BAZ118" s="199"/>
      <c r="BBA118" s="198"/>
      <c r="BBB118" s="199"/>
      <c r="BBC118" s="198"/>
      <c r="BBD118" s="199"/>
      <c r="BBE118" s="198"/>
      <c r="BBF118" s="199"/>
      <c r="BBG118" s="198"/>
      <c r="BBH118" s="199"/>
      <c r="BBI118" s="198"/>
      <c r="BBJ118" s="199"/>
      <c r="BBK118" s="198"/>
      <c r="BBL118" s="199"/>
      <c r="BBM118" s="198"/>
      <c r="BBN118" s="199"/>
      <c r="BBO118" s="198"/>
      <c r="BBP118" s="199"/>
      <c r="BBQ118" s="198"/>
      <c r="BBR118" s="199"/>
      <c r="BBS118" s="198"/>
      <c r="BBT118" s="199"/>
      <c r="BBU118" s="198"/>
      <c r="BBV118" s="199"/>
      <c r="BBW118" s="198"/>
      <c r="BBX118" s="199"/>
      <c r="BBY118" s="198"/>
      <c r="BBZ118" s="199"/>
      <c r="BCA118" s="198"/>
      <c r="BCB118" s="199"/>
      <c r="BCC118" s="198"/>
      <c r="BCD118" s="199"/>
      <c r="BCE118" s="198"/>
      <c r="BCF118" s="199"/>
      <c r="BCG118" s="198"/>
      <c r="BCH118" s="199"/>
      <c r="BCI118" s="198"/>
      <c r="BCJ118" s="199"/>
      <c r="BCK118" s="198"/>
      <c r="BCL118" s="199"/>
      <c r="BCM118" s="198"/>
      <c r="BCN118" s="199"/>
      <c r="BCO118" s="198"/>
      <c r="BCP118" s="199"/>
      <c r="BCQ118" s="198"/>
      <c r="BCR118" s="199"/>
      <c r="BCS118" s="198"/>
      <c r="BCT118" s="199"/>
      <c r="BCU118" s="198"/>
      <c r="BCV118" s="199"/>
      <c r="BCW118" s="198"/>
      <c r="BCX118" s="199"/>
      <c r="BCY118" s="198"/>
      <c r="BCZ118" s="199"/>
      <c r="BDA118" s="198"/>
      <c r="BDB118" s="199"/>
      <c r="BDC118" s="198"/>
      <c r="BDD118" s="199"/>
      <c r="BDE118" s="198"/>
      <c r="BDF118" s="199"/>
      <c r="BDG118" s="198"/>
      <c r="BDH118" s="199"/>
      <c r="BDI118" s="198"/>
      <c r="BDJ118" s="199"/>
      <c r="BDK118" s="198"/>
      <c r="BDL118" s="199"/>
      <c r="BDM118" s="198"/>
      <c r="BDN118" s="199"/>
      <c r="BDO118" s="198"/>
      <c r="BDP118" s="199"/>
      <c r="BDQ118" s="198"/>
      <c r="BDR118" s="199"/>
      <c r="BDS118" s="198"/>
      <c r="BDT118" s="199"/>
      <c r="BDU118" s="198"/>
      <c r="BDV118" s="199"/>
      <c r="BDW118" s="198"/>
      <c r="BDX118" s="199"/>
      <c r="BDY118" s="198"/>
      <c r="BDZ118" s="199"/>
      <c r="BEA118" s="198"/>
      <c r="BEB118" s="199"/>
      <c r="BEC118" s="198"/>
      <c r="BED118" s="199"/>
      <c r="BEE118" s="198"/>
      <c r="BEF118" s="199"/>
      <c r="BEG118" s="198"/>
      <c r="BEH118" s="199"/>
      <c r="BEI118" s="198"/>
      <c r="BEJ118" s="199"/>
      <c r="BEK118" s="198"/>
      <c r="BEL118" s="199"/>
      <c r="BEM118" s="198"/>
      <c r="BEN118" s="199"/>
      <c r="BEO118" s="198"/>
      <c r="BEP118" s="199"/>
      <c r="BEQ118" s="198"/>
      <c r="BER118" s="199"/>
      <c r="BES118" s="198"/>
      <c r="BET118" s="199"/>
      <c r="BEU118" s="198"/>
      <c r="BEV118" s="199"/>
      <c r="BEW118" s="198"/>
      <c r="BEX118" s="199"/>
      <c r="BEY118" s="198"/>
      <c r="BEZ118" s="199"/>
      <c r="BFA118" s="198"/>
      <c r="BFB118" s="199"/>
      <c r="BFC118" s="198"/>
      <c r="BFD118" s="199"/>
      <c r="BFE118" s="198"/>
      <c r="BFF118" s="199"/>
      <c r="BFG118" s="198"/>
      <c r="BFH118" s="199"/>
      <c r="BFI118" s="198"/>
      <c r="BFJ118" s="199"/>
      <c r="BFK118" s="198"/>
      <c r="BFL118" s="199"/>
      <c r="BFM118" s="198"/>
      <c r="BFN118" s="199"/>
      <c r="BFO118" s="198"/>
      <c r="BFP118" s="199"/>
      <c r="BFQ118" s="198"/>
      <c r="BFR118" s="199"/>
      <c r="BFS118" s="198"/>
      <c r="BFT118" s="199"/>
      <c r="BFU118" s="198"/>
      <c r="BFV118" s="199"/>
      <c r="BFW118" s="198"/>
      <c r="BFX118" s="199"/>
      <c r="BFY118" s="198"/>
      <c r="BFZ118" s="199"/>
      <c r="BGA118" s="198"/>
      <c r="BGB118" s="199"/>
      <c r="BGC118" s="198"/>
      <c r="BGD118" s="199"/>
      <c r="BGE118" s="198"/>
      <c r="BGF118" s="199"/>
      <c r="BGG118" s="198"/>
      <c r="BGH118" s="199"/>
      <c r="BGI118" s="198"/>
      <c r="BGJ118" s="199"/>
      <c r="BGK118" s="198"/>
      <c r="BGL118" s="199"/>
      <c r="BGM118" s="198"/>
      <c r="BGN118" s="199"/>
      <c r="BGO118" s="198"/>
      <c r="BGP118" s="199"/>
      <c r="BGQ118" s="198"/>
      <c r="BGR118" s="199"/>
      <c r="BGS118" s="198"/>
      <c r="BGT118" s="199"/>
      <c r="BGU118" s="198"/>
      <c r="BGV118" s="199"/>
      <c r="BGW118" s="198"/>
      <c r="BGX118" s="199"/>
      <c r="BGY118" s="198"/>
      <c r="BGZ118" s="199"/>
      <c r="BHA118" s="198"/>
      <c r="BHB118" s="199"/>
      <c r="BHC118" s="198"/>
      <c r="BHD118" s="199"/>
      <c r="BHE118" s="198"/>
      <c r="BHF118" s="199"/>
      <c r="BHG118" s="198"/>
      <c r="BHH118" s="199"/>
      <c r="BHI118" s="198"/>
      <c r="BHJ118" s="199"/>
      <c r="BHK118" s="198"/>
      <c r="BHL118" s="199"/>
      <c r="BHM118" s="198"/>
      <c r="BHN118" s="199"/>
      <c r="BHO118" s="198"/>
      <c r="BHP118" s="199"/>
      <c r="BHQ118" s="198"/>
      <c r="BHR118" s="199"/>
      <c r="BHS118" s="198"/>
      <c r="BHT118" s="199"/>
      <c r="BHU118" s="198"/>
      <c r="BHV118" s="199"/>
      <c r="BHW118" s="198"/>
      <c r="BHX118" s="199"/>
      <c r="BHY118" s="198"/>
      <c r="BHZ118" s="199"/>
      <c r="BIA118" s="198"/>
      <c r="BIB118" s="199"/>
      <c r="BIC118" s="198"/>
      <c r="BID118" s="199"/>
      <c r="BIE118" s="198"/>
      <c r="BIF118" s="199"/>
      <c r="BIG118" s="198"/>
      <c r="BIH118" s="199"/>
      <c r="BII118" s="198"/>
      <c r="BIJ118" s="199"/>
      <c r="BIK118" s="198"/>
      <c r="BIL118" s="199"/>
      <c r="BIM118" s="198"/>
      <c r="BIN118" s="199"/>
      <c r="BIO118" s="198"/>
      <c r="BIP118" s="199"/>
      <c r="BIQ118" s="198"/>
      <c r="BIR118" s="199"/>
      <c r="BIS118" s="198"/>
      <c r="BIT118" s="199"/>
      <c r="BIU118" s="198"/>
      <c r="BIV118" s="199"/>
      <c r="BIW118" s="198"/>
      <c r="BIX118" s="199"/>
      <c r="BIY118" s="198"/>
      <c r="BIZ118" s="199"/>
      <c r="BJA118" s="198"/>
      <c r="BJB118" s="199"/>
      <c r="BJC118" s="198"/>
      <c r="BJD118" s="199"/>
      <c r="BJE118" s="198"/>
      <c r="BJF118" s="199"/>
      <c r="BJG118" s="198"/>
      <c r="BJH118" s="199"/>
      <c r="BJI118" s="198"/>
      <c r="BJJ118" s="199"/>
      <c r="BJK118" s="198"/>
      <c r="BJL118" s="199"/>
      <c r="BJM118" s="198"/>
      <c r="BJN118" s="199"/>
      <c r="BJO118" s="198"/>
      <c r="BJP118" s="199"/>
      <c r="BJQ118" s="198"/>
      <c r="BJR118" s="199"/>
      <c r="BJS118" s="198"/>
      <c r="BJT118" s="199"/>
      <c r="BJU118" s="198"/>
      <c r="BJV118" s="199"/>
      <c r="BJW118" s="198"/>
      <c r="BJX118" s="199"/>
      <c r="BJY118" s="198"/>
      <c r="BJZ118" s="199"/>
      <c r="BKA118" s="198"/>
      <c r="BKB118" s="199"/>
      <c r="BKC118" s="198"/>
      <c r="BKD118" s="199"/>
      <c r="BKE118" s="198"/>
      <c r="BKF118" s="199"/>
      <c r="BKG118" s="198"/>
      <c r="BKH118" s="199"/>
      <c r="BKI118" s="198"/>
      <c r="BKJ118" s="199"/>
      <c r="BKK118" s="198"/>
      <c r="BKL118" s="199"/>
      <c r="BKM118" s="198"/>
      <c r="BKN118" s="199"/>
      <c r="BKO118" s="198"/>
      <c r="BKP118" s="199"/>
      <c r="BKQ118" s="198"/>
      <c r="BKR118" s="199"/>
      <c r="BKS118" s="198"/>
      <c r="BKT118" s="199"/>
      <c r="BKU118" s="198"/>
      <c r="BKV118" s="199"/>
      <c r="BKW118" s="198"/>
      <c r="BKX118" s="199"/>
      <c r="BKY118" s="198"/>
      <c r="BKZ118" s="199"/>
      <c r="BLA118" s="198"/>
      <c r="BLB118" s="199"/>
      <c r="BLC118" s="198"/>
      <c r="BLD118" s="199"/>
      <c r="BLE118" s="198"/>
      <c r="BLF118" s="199"/>
      <c r="BLG118" s="198"/>
      <c r="BLH118" s="199"/>
      <c r="BLI118" s="198"/>
      <c r="BLJ118" s="199"/>
      <c r="BLK118" s="198"/>
      <c r="BLL118" s="199"/>
      <c r="BLM118" s="198"/>
      <c r="BLN118" s="199"/>
      <c r="BLO118" s="198"/>
      <c r="BLP118" s="199"/>
      <c r="BLQ118" s="198"/>
      <c r="BLR118" s="199"/>
      <c r="BLS118" s="198"/>
      <c r="BLT118" s="199"/>
      <c r="BLU118" s="198"/>
      <c r="BLV118" s="199"/>
      <c r="BLW118" s="198"/>
      <c r="BLX118" s="199"/>
      <c r="BLY118" s="198"/>
      <c r="BLZ118" s="199"/>
      <c r="BMA118" s="198"/>
      <c r="BMB118" s="199"/>
      <c r="BMC118" s="198"/>
      <c r="BMD118" s="199"/>
      <c r="BME118" s="198"/>
      <c r="BMF118" s="199"/>
      <c r="BMG118" s="198"/>
      <c r="BMH118" s="199"/>
      <c r="BMI118" s="198"/>
      <c r="BMJ118" s="199"/>
      <c r="BMK118" s="198"/>
      <c r="BML118" s="199"/>
      <c r="BMM118" s="198"/>
      <c r="BMN118" s="199"/>
      <c r="BMO118" s="198"/>
      <c r="BMP118" s="199"/>
      <c r="BMQ118" s="198"/>
      <c r="BMR118" s="199"/>
      <c r="BMS118" s="198"/>
      <c r="BMT118" s="199"/>
      <c r="BMU118" s="198"/>
      <c r="BMV118" s="199"/>
      <c r="BMW118" s="198"/>
      <c r="BMX118" s="199"/>
      <c r="BMY118" s="198"/>
      <c r="BMZ118" s="199"/>
      <c r="BNA118" s="198"/>
      <c r="BNB118" s="199"/>
      <c r="BNC118" s="198"/>
      <c r="BND118" s="199"/>
      <c r="BNE118" s="198"/>
      <c r="BNF118" s="199"/>
      <c r="BNG118" s="198"/>
      <c r="BNH118" s="199"/>
      <c r="BNI118" s="198"/>
      <c r="BNJ118" s="199"/>
      <c r="BNK118" s="198"/>
      <c r="BNL118" s="199"/>
      <c r="BNM118" s="198"/>
      <c r="BNN118" s="199"/>
      <c r="BNO118" s="198"/>
      <c r="BNP118" s="199"/>
      <c r="BNQ118" s="198"/>
      <c r="BNR118" s="199"/>
      <c r="BNS118" s="198"/>
      <c r="BNT118" s="199"/>
      <c r="BNU118" s="198"/>
      <c r="BNV118" s="199"/>
      <c r="BNW118" s="198"/>
      <c r="BNX118" s="199"/>
      <c r="BNY118" s="198"/>
      <c r="BNZ118" s="199"/>
      <c r="BOA118" s="198"/>
      <c r="BOB118" s="199"/>
      <c r="BOC118" s="198"/>
      <c r="BOD118" s="199"/>
      <c r="BOE118" s="198"/>
      <c r="BOF118" s="199"/>
      <c r="BOG118" s="198"/>
      <c r="BOH118" s="199"/>
      <c r="BOI118" s="198"/>
      <c r="BOJ118" s="199"/>
      <c r="BOK118" s="198"/>
      <c r="BOL118" s="199"/>
      <c r="BOM118" s="198"/>
      <c r="BON118" s="199"/>
      <c r="BOO118" s="198"/>
      <c r="BOP118" s="199"/>
      <c r="BOQ118" s="198"/>
      <c r="BOR118" s="199"/>
      <c r="BOS118" s="198"/>
      <c r="BOT118" s="199"/>
      <c r="BOU118" s="198"/>
      <c r="BOV118" s="199"/>
      <c r="BOW118" s="198"/>
      <c r="BOX118" s="199"/>
      <c r="BOY118" s="198"/>
      <c r="BOZ118" s="199"/>
      <c r="BPA118" s="198"/>
      <c r="BPB118" s="199"/>
      <c r="BPC118" s="198"/>
      <c r="BPD118" s="199"/>
      <c r="BPE118" s="198"/>
      <c r="BPF118" s="199"/>
      <c r="BPG118" s="198"/>
      <c r="BPH118" s="199"/>
      <c r="BPI118" s="198"/>
      <c r="BPJ118" s="199"/>
      <c r="BPK118" s="198"/>
      <c r="BPL118" s="199"/>
      <c r="BPM118" s="198"/>
      <c r="BPN118" s="199"/>
      <c r="BPO118" s="198"/>
      <c r="BPP118" s="199"/>
      <c r="BPQ118" s="198"/>
      <c r="BPR118" s="199"/>
      <c r="BPS118" s="198"/>
      <c r="BPT118" s="199"/>
      <c r="BPU118" s="198"/>
      <c r="BPV118" s="199"/>
      <c r="BPW118" s="198"/>
      <c r="BPX118" s="199"/>
      <c r="BPY118" s="198"/>
      <c r="BPZ118" s="199"/>
      <c r="BQA118" s="198"/>
      <c r="BQB118" s="199"/>
      <c r="BQC118" s="198"/>
      <c r="BQD118" s="199"/>
      <c r="BQE118" s="198"/>
      <c r="BQF118" s="199"/>
      <c r="BQG118" s="198"/>
      <c r="BQH118" s="199"/>
      <c r="BQI118" s="198"/>
      <c r="BQJ118" s="199"/>
      <c r="BQK118" s="198"/>
      <c r="BQL118" s="199"/>
      <c r="BQM118" s="198"/>
      <c r="BQN118" s="199"/>
      <c r="BQO118" s="198"/>
      <c r="BQP118" s="199"/>
      <c r="BQQ118" s="198"/>
      <c r="BQR118" s="199"/>
      <c r="BQS118" s="198"/>
      <c r="BQT118" s="199"/>
      <c r="BQU118" s="198"/>
      <c r="BQV118" s="199"/>
      <c r="BQW118" s="198"/>
      <c r="BQX118" s="199"/>
      <c r="BQY118" s="198"/>
      <c r="BQZ118" s="199"/>
      <c r="BRA118" s="198"/>
      <c r="BRB118" s="199"/>
      <c r="BRC118" s="198"/>
      <c r="BRD118" s="199"/>
      <c r="BRE118" s="198"/>
      <c r="BRF118" s="199"/>
      <c r="BRG118" s="198"/>
      <c r="BRH118" s="199"/>
      <c r="BRI118" s="198"/>
      <c r="BRJ118" s="199"/>
      <c r="BRK118" s="198"/>
      <c r="BRL118" s="199"/>
      <c r="BRM118" s="198"/>
      <c r="BRN118" s="199"/>
      <c r="BRO118" s="198"/>
      <c r="BRP118" s="199"/>
      <c r="BRQ118" s="198"/>
      <c r="BRR118" s="199"/>
      <c r="BRS118" s="198"/>
      <c r="BRT118" s="199"/>
      <c r="BRU118" s="198"/>
      <c r="BRV118" s="199"/>
      <c r="BRW118" s="198"/>
      <c r="BRX118" s="199"/>
      <c r="BRY118" s="198"/>
      <c r="BRZ118" s="199"/>
      <c r="BSA118" s="198"/>
      <c r="BSB118" s="199"/>
      <c r="BSC118" s="198"/>
      <c r="BSD118" s="199"/>
      <c r="BSE118" s="198"/>
      <c r="BSF118" s="199"/>
      <c r="BSG118" s="198"/>
      <c r="BSH118" s="199"/>
      <c r="BSI118" s="198"/>
      <c r="BSJ118" s="199"/>
      <c r="BSK118" s="198"/>
      <c r="BSL118" s="199"/>
      <c r="BSM118" s="198"/>
      <c r="BSN118" s="199"/>
      <c r="BSO118" s="198"/>
      <c r="BSP118" s="199"/>
      <c r="BSQ118" s="198"/>
      <c r="BSR118" s="199"/>
      <c r="BSS118" s="198"/>
      <c r="BST118" s="199"/>
      <c r="BSU118" s="198"/>
      <c r="BSV118" s="199"/>
      <c r="BSW118" s="198"/>
      <c r="BSX118" s="199"/>
      <c r="BSY118" s="198"/>
      <c r="BSZ118" s="199"/>
      <c r="BTA118" s="198"/>
      <c r="BTB118" s="199"/>
      <c r="BTC118" s="198"/>
      <c r="BTD118" s="199"/>
      <c r="BTE118" s="198"/>
      <c r="BTF118" s="199"/>
      <c r="BTG118" s="198"/>
      <c r="BTH118" s="199"/>
      <c r="BTI118" s="198"/>
      <c r="BTJ118" s="199"/>
      <c r="BTK118" s="198"/>
      <c r="BTL118" s="199"/>
      <c r="BTM118" s="198"/>
      <c r="BTN118" s="199"/>
      <c r="BTO118" s="198"/>
      <c r="BTP118" s="199"/>
      <c r="BTQ118" s="198"/>
      <c r="BTR118" s="199"/>
      <c r="BTS118" s="198"/>
      <c r="BTT118" s="199"/>
      <c r="BTU118" s="198"/>
      <c r="BTV118" s="199"/>
      <c r="BTW118" s="198"/>
      <c r="BTX118" s="199"/>
      <c r="BTY118" s="198"/>
      <c r="BTZ118" s="199"/>
      <c r="BUA118" s="198"/>
      <c r="BUB118" s="199"/>
      <c r="BUC118" s="198"/>
      <c r="BUD118" s="199"/>
      <c r="BUE118" s="198"/>
      <c r="BUF118" s="199"/>
      <c r="BUG118" s="198"/>
      <c r="BUH118" s="199"/>
      <c r="BUI118" s="198"/>
      <c r="BUJ118" s="199"/>
      <c r="BUK118" s="198"/>
      <c r="BUL118" s="199"/>
      <c r="BUM118" s="198"/>
      <c r="BUN118" s="199"/>
      <c r="BUO118" s="198"/>
      <c r="BUP118" s="199"/>
      <c r="BUQ118" s="198"/>
      <c r="BUR118" s="199"/>
      <c r="BUS118" s="198"/>
      <c r="BUT118" s="199"/>
      <c r="BUU118" s="198"/>
      <c r="BUV118" s="199"/>
      <c r="BUW118" s="198"/>
      <c r="BUX118" s="199"/>
      <c r="BUY118" s="198"/>
      <c r="BUZ118" s="199"/>
      <c r="BVA118" s="198"/>
      <c r="BVB118" s="199"/>
      <c r="BVC118" s="198"/>
      <c r="BVD118" s="199"/>
      <c r="BVE118" s="198"/>
      <c r="BVF118" s="199"/>
      <c r="BVG118" s="198"/>
      <c r="BVH118" s="199"/>
      <c r="BVI118" s="198"/>
      <c r="BVJ118" s="199"/>
      <c r="BVK118" s="198"/>
      <c r="BVL118" s="199"/>
      <c r="BVM118" s="198"/>
      <c r="BVN118" s="199"/>
      <c r="BVO118" s="198"/>
      <c r="BVP118" s="199"/>
      <c r="BVQ118" s="198"/>
      <c r="BVR118" s="199"/>
      <c r="BVS118" s="198"/>
      <c r="BVT118" s="199"/>
      <c r="BVU118" s="198"/>
      <c r="BVV118" s="199"/>
      <c r="BVW118" s="198"/>
      <c r="BVX118" s="199"/>
      <c r="BVY118" s="198"/>
      <c r="BVZ118" s="199"/>
      <c r="BWA118" s="198"/>
      <c r="BWB118" s="199"/>
      <c r="BWC118" s="198"/>
      <c r="BWD118" s="199"/>
      <c r="BWE118" s="198"/>
      <c r="BWF118" s="199"/>
      <c r="BWG118" s="198"/>
      <c r="BWH118" s="199"/>
      <c r="BWI118" s="198"/>
      <c r="BWJ118" s="199"/>
      <c r="BWK118" s="198"/>
      <c r="BWL118" s="199"/>
      <c r="BWM118" s="198"/>
      <c r="BWN118" s="199"/>
      <c r="BWO118" s="198"/>
      <c r="BWP118" s="199"/>
      <c r="BWQ118" s="198"/>
      <c r="BWR118" s="199"/>
      <c r="BWS118" s="198"/>
      <c r="BWT118" s="199"/>
      <c r="BWU118" s="198"/>
      <c r="BWV118" s="199"/>
      <c r="BWW118" s="198"/>
      <c r="BWX118" s="199"/>
      <c r="BWY118" s="198"/>
      <c r="BWZ118" s="199"/>
      <c r="BXA118" s="198"/>
      <c r="BXB118" s="199"/>
      <c r="BXC118" s="198"/>
      <c r="BXD118" s="199"/>
      <c r="BXE118" s="198"/>
      <c r="BXF118" s="199"/>
      <c r="BXG118" s="198"/>
      <c r="BXH118" s="199"/>
      <c r="BXI118" s="198"/>
      <c r="BXJ118" s="199"/>
      <c r="BXK118" s="198"/>
      <c r="BXL118" s="199"/>
      <c r="BXM118" s="198"/>
      <c r="BXN118" s="199"/>
      <c r="BXO118" s="198"/>
      <c r="BXP118" s="199"/>
      <c r="BXQ118" s="198"/>
      <c r="BXR118" s="199"/>
      <c r="BXS118" s="198"/>
      <c r="BXT118" s="199"/>
      <c r="BXU118" s="198"/>
      <c r="BXV118" s="199"/>
      <c r="BXW118" s="198"/>
      <c r="BXX118" s="199"/>
      <c r="BXY118" s="198"/>
      <c r="BXZ118" s="199"/>
      <c r="BYA118" s="198"/>
      <c r="BYB118" s="199"/>
      <c r="BYC118" s="198"/>
      <c r="BYD118" s="199"/>
      <c r="BYE118" s="198"/>
      <c r="BYF118" s="199"/>
      <c r="BYG118" s="198"/>
      <c r="BYH118" s="199"/>
      <c r="BYI118" s="198"/>
      <c r="BYJ118" s="199"/>
      <c r="BYK118" s="198"/>
      <c r="BYL118" s="199"/>
      <c r="BYM118" s="198"/>
      <c r="BYN118" s="199"/>
      <c r="BYO118" s="198"/>
      <c r="BYP118" s="199"/>
      <c r="BYQ118" s="198"/>
      <c r="BYR118" s="199"/>
      <c r="BYS118" s="198"/>
      <c r="BYT118" s="199"/>
      <c r="BYU118" s="198"/>
      <c r="BYV118" s="199"/>
      <c r="BYW118" s="198"/>
      <c r="BYX118" s="199"/>
      <c r="BYY118" s="198"/>
      <c r="BYZ118" s="199"/>
      <c r="BZA118" s="198"/>
      <c r="BZB118" s="199"/>
      <c r="BZC118" s="198"/>
      <c r="BZD118" s="199"/>
      <c r="BZE118" s="198"/>
      <c r="BZF118" s="199"/>
      <c r="BZG118" s="198"/>
      <c r="BZH118" s="199"/>
      <c r="BZI118" s="198"/>
      <c r="BZJ118" s="199"/>
      <c r="BZK118" s="198"/>
      <c r="BZL118" s="199"/>
      <c r="BZM118" s="198"/>
      <c r="BZN118" s="199"/>
      <c r="BZO118" s="198"/>
      <c r="BZP118" s="199"/>
      <c r="BZQ118" s="198"/>
      <c r="BZR118" s="199"/>
      <c r="BZS118" s="198"/>
      <c r="BZT118" s="199"/>
      <c r="BZU118" s="198"/>
      <c r="BZV118" s="199"/>
      <c r="BZW118" s="198"/>
      <c r="BZX118" s="199"/>
      <c r="BZY118" s="198"/>
      <c r="BZZ118" s="199"/>
      <c r="CAA118" s="198"/>
      <c r="CAB118" s="199"/>
      <c r="CAC118" s="198"/>
      <c r="CAD118" s="199"/>
      <c r="CAE118" s="198"/>
      <c r="CAF118" s="199"/>
      <c r="CAG118" s="198"/>
      <c r="CAH118" s="199"/>
      <c r="CAI118" s="198"/>
      <c r="CAJ118" s="199"/>
      <c r="CAK118" s="198"/>
      <c r="CAL118" s="199"/>
      <c r="CAM118" s="198"/>
      <c r="CAN118" s="199"/>
      <c r="CAO118" s="198"/>
      <c r="CAP118" s="199"/>
      <c r="CAQ118" s="198"/>
      <c r="CAR118" s="199"/>
      <c r="CAS118" s="198"/>
      <c r="CAT118" s="199"/>
      <c r="CAU118" s="198"/>
      <c r="CAV118" s="199"/>
      <c r="CAW118" s="198"/>
      <c r="CAX118" s="199"/>
      <c r="CAY118" s="198"/>
      <c r="CAZ118" s="199"/>
      <c r="CBA118" s="198"/>
      <c r="CBB118" s="199"/>
      <c r="CBC118" s="198"/>
      <c r="CBD118" s="199"/>
      <c r="CBE118" s="198"/>
      <c r="CBF118" s="199"/>
      <c r="CBG118" s="198"/>
      <c r="CBH118" s="199"/>
      <c r="CBI118" s="198"/>
      <c r="CBJ118" s="199"/>
      <c r="CBK118" s="198"/>
      <c r="CBL118" s="199"/>
      <c r="CBM118" s="198"/>
      <c r="CBN118" s="199"/>
      <c r="CBO118" s="198"/>
      <c r="CBP118" s="199"/>
      <c r="CBQ118" s="198"/>
      <c r="CBR118" s="199"/>
      <c r="CBS118" s="198"/>
      <c r="CBT118" s="199"/>
      <c r="CBU118" s="198"/>
      <c r="CBV118" s="199"/>
      <c r="CBW118" s="198"/>
      <c r="CBX118" s="199"/>
      <c r="CBY118" s="198"/>
      <c r="CBZ118" s="199"/>
      <c r="CCA118" s="198"/>
      <c r="CCB118" s="199"/>
      <c r="CCC118" s="198"/>
      <c r="CCD118" s="199"/>
      <c r="CCE118" s="198"/>
      <c r="CCF118" s="199"/>
      <c r="CCG118" s="198"/>
      <c r="CCH118" s="199"/>
      <c r="CCI118" s="198"/>
      <c r="CCJ118" s="199"/>
      <c r="CCK118" s="198"/>
      <c r="CCL118" s="199"/>
      <c r="CCM118" s="198"/>
      <c r="CCN118" s="199"/>
      <c r="CCO118" s="198"/>
      <c r="CCP118" s="199"/>
      <c r="CCQ118" s="198"/>
      <c r="CCR118" s="199"/>
      <c r="CCS118" s="198"/>
      <c r="CCT118" s="199"/>
      <c r="CCU118" s="198"/>
      <c r="CCV118" s="199"/>
      <c r="CCW118" s="198"/>
      <c r="CCX118" s="199"/>
      <c r="CCY118" s="198"/>
      <c r="CCZ118" s="199"/>
      <c r="CDA118" s="198"/>
      <c r="CDB118" s="199"/>
      <c r="CDC118" s="198"/>
      <c r="CDD118" s="199"/>
      <c r="CDE118" s="198"/>
      <c r="CDF118" s="199"/>
      <c r="CDG118" s="198"/>
      <c r="CDH118" s="199"/>
      <c r="CDI118" s="198"/>
      <c r="CDJ118" s="199"/>
      <c r="CDK118" s="198"/>
      <c r="CDL118" s="199"/>
      <c r="CDM118" s="198"/>
      <c r="CDN118" s="199"/>
      <c r="CDO118" s="198"/>
      <c r="CDP118" s="199"/>
      <c r="CDQ118" s="198"/>
      <c r="CDR118" s="199"/>
      <c r="CDS118" s="198"/>
      <c r="CDT118" s="199"/>
      <c r="CDU118" s="198"/>
      <c r="CDV118" s="199"/>
      <c r="CDW118" s="198"/>
      <c r="CDX118" s="199"/>
      <c r="CDY118" s="198"/>
      <c r="CDZ118" s="199"/>
      <c r="CEA118" s="198"/>
      <c r="CEB118" s="199"/>
      <c r="CEC118" s="198"/>
      <c r="CED118" s="199"/>
      <c r="CEE118" s="198"/>
      <c r="CEF118" s="199"/>
      <c r="CEG118" s="198"/>
      <c r="CEH118" s="199"/>
      <c r="CEI118" s="198"/>
      <c r="CEJ118" s="199"/>
      <c r="CEK118" s="198"/>
      <c r="CEL118" s="199"/>
      <c r="CEM118" s="198"/>
      <c r="CEN118" s="199"/>
      <c r="CEO118" s="198"/>
      <c r="CEP118" s="199"/>
      <c r="CEQ118" s="198"/>
      <c r="CER118" s="199"/>
      <c r="CES118" s="198"/>
      <c r="CET118" s="199"/>
      <c r="CEU118" s="198"/>
      <c r="CEV118" s="199"/>
      <c r="CEW118" s="198"/>
      <c r="CEX118" s="199"/>
      <c r="CEY118" s="198"/>
      <c r="CEZ118" s="199"/>
      <c r="CFA118" s="198"/>
      <c r="CFB118" s="199"/>
      <c r="CFC118" s="198"/>
      <c r="CFD118" s="199"/>
      <c r="CFE118" s="198"/>
      <c r="CFF118" s="199"/>
      <c r="CFG118" s="198"/>
      <c r="CFH118" s="199"/>
      <c r="CFI118" s="198"/>
      <c r="CFJ118" s="199"/>
      <c r="CFK118" s="198"/>
      <c r="CFL118" s="199"/>
      <c r="CFM118" s="198"/>
      <c r="CFN118" s="199"/>
      <c r="CFO118" s="198"/>
      <c r="CFP118" s="199"/>
      <c r="CFQ118" s="198"/>
      <c r="CFR118" s="199"/>
      <c r="CFS118" s="198"/>
      <c r="CFT118" s="199"/>
      <c r="CFU118" s="198"/>
      <c r="CFV118" s="199"/>
      <c r="CFW118" s="198"/>
      <c r="CFX118" s="199"/>
      <c r="CFY118" s="198"/>
      <c r="CFZ118" s="199"/>
      <c r="CGA118" s="198"/>
      <c r="CGB118" s="199"/>
      <c r="CGC118" s="198"/>
      <c r="CGD118" s="199"/>
      <c r="CGE118" s="198"/>
      <c r="CGF118" s="199"/>
      <c r="CGG118" s="198"/>
      <c r="CGH118" s="199"/>
      <c r="CGI118" s="198"/>
      <c r="CGJ118" s="199"/>
      <c r="CGK118" s="198"/>
      <c r="CGL118" s="199"/>
      <c r="CGM118" s="198"/>
      <c r="CGN118" s="199"/>
      <c r="CGO118" s="198"/>
      <c r="CGP118" s="199"/>
      <c r="CGQ118" s="198"/>
      <c r="CGR118" s="199"/>
      <c r="CGS118" s="198"/>
      <c r="CGT118" s="199"/>
      <c r="CGU118" s="198"/>
      <c r="CGV118" s="199"/>
      <c r="CGW118" s="198"/>
      <c r="CGX118" s="199"/>
      <c r="CGY118" s="198"/>
      <c r="CGZ118" s="199"/>
      <c r="CHA118" s="198"/>
      <c r="CHB118" s="199"/>
      <c r="CHC118" s="198"/>
      <c r="CHD118" s="199"/>
      <c r="CHE118" s="198"/>
      <c r="CHF118" s="199"/>
      <c r="CHG118" s="198"/>
      <c r="CHH118" s="199"/>
      <c r="CHI118" s="198"/>
      <c r="CHJ118" s="199"/>
      <c r="CHK118" s="198"/>
      <c r="CHL118" s="199"/>
      <c r="CHM118" s="198"/>
      <c r="CHN118" s="199"/>
      <c r="CHO118" s="198"/>
      <c r="CHP118" s="199"/>
      <c r="CHQ118" s="198"/>
      <c r="CHR118" s="199"/>
      <c r="CHS118" s="198"/>
      <c r="CHT118" s="199"/>
      <c r="CHU118" s="198"/>
      <c r="CHV118" s="199"/>
      <c r="CHW118" s="198"/>
      <c r="CHX118" s="199"/>
      <c r="CHY118" s="198"/>
      <c r="CHZ118" s="199"/>
      <c r="CIA118" s="198"/>
      <c r="CIB118" s="199"/>
      <c r="CIC118" s="198"/>
      <c r="CID118" s="199"/>
      <c r="CIE118" s="198"/>
      <c r="CIF118" s="199"/>
      <c r="CIG118" s="198"/>
      <c r="CIH118" s="199"/>
      <c r="CII118" s="198"/>
      <c r="CIJ118" s="199"/>
      <c r="CIK118" s="198"/>
      <c r="CIL118" s="199"/>
      <c r="CIM118" s="198"/>
      <c r="CIN118" s="199"/>
      <c r="CIO118" s="198"/>
      <c r="CIP118" s="199"/>
      <c r="CIQ118" s="198"/>
      <c r="CIR118" s="199"/>
      <c r="CIS118" s="198"/>
      <c r="CIT118" s="199"/>
      <c r="CIU118" s="198"/>
      <c r="CIV118" s="199"/>
      <c r="CIW118" s="198"/>
      <c r="CIX118" s="199"/>
      <c r="CIY118" s="198"/>
      <c r="CIZ118" s="199"/>
      <c r="CJA118" s="198"/>
      <c r="CJB118" s="199"/>
      <c r="CJC118" s="198"/>
      <c r="CJD118" s="199"/>
      <c r="CJE118" s="198"/>
      <c r="CJF118" s="199"/>
      <c r="CJG118" s="198"/>
      <c r="CJH118" s="199"/>
      <c r="CJI118" s="198"/>
      <c r="CJJ118" s="199"/>
      <c r="CJK118" s="198"/>
      <c r="CJL118" s="199"/>
      <c r="CJM118" s="198"/>
      <c r="CJN118" s="199"/>
      <c r="CJO118" s="198"/>
      <c r="CJP118" s="199"/>
      <c r="CJQ118" s="198"/>
      <c r="CJR118" s="199"/>
      <c r="CJS118" s="198"/>
      <c r="CJT118" s="199"/>
      <c r="CJU118" s="198"/>
      <c r="CJV118" s="199"/>
      <c r="CJW118" s="198"/>
      <c r="CJX118" s="199"/>
      <c r="CJY118" s="198"/>
      <c r="CJZ118" s="199"/>
      <c r="CKA118" s="198"/>
      <c r="CKB118" s="199"/>
      <c r="CKC118" s="198"/>
      <c r="CKD118" s="199"/>
      <c r="CKE118" s="198"/>
      <c r="CKF118" s="199"/>
      <c r="CKG118" s="198"/>
      <c r="CKH118" s="199"/>
      <c r="CKI118" s="198"/>
      <c r="CKJ118" s="199"/>
      <c r="CKK118" s="198"/>
      <c r="CKL118" s="199"/>
      <c r="CKM118" s="198"/>
      <c r="CKN118" s="199"/>
      <c r="CKO118" s="198"/>
      <c r="CKP118" s="199"/>
      <c r="CKQ118" s="198"/>
      <c r="CKR118" s="199"/>
      <c r="CKS118" s="198"/>
      <c r="CKT118" s="199"/>
      <c r="CKU118" s="198"/>
      <c r="CKV118" s="199"/>
      <c r="CKW118" s="198"/>
      <c r="CKX118" s="199"/>
      <c r="CKY118" s="198"/>
      <c r="CKZ118" s="199"/>
      <c r="CLA118" s="198"/>
      <c r="CLB118" s="199"/>
      <c r="CLC118" s="198"/>
      <c r="CLD118" s="199"/>
      <c r="CLE118" s="198"/>
      <c r="CLF118" s="199"/>
      <c r="CLG118" s="198"/>
      <c r="CLH118" s="199"/>
      <c r="CLI118" s="198"/>
      <c r="CLJ118" s="199"/>
      <c r="CLK118" s="198"/>
      <c r="CLL118" s="199"/>
      <c r="CLM118" s="198"/>
      <c r="CLN118" s="199"/>
      <c r="CLO118" s="198"/>
      <c r="CLP118" s="199"/>
      <c r="CLQ118" s="198"/>
      <c r="CLR118" s="199"/>
      <c r="CLS118" s="198"/>
      <c r="CLT118" s="199"/>
      <c r="CLU118" s="198"/>
      <c r="CLV118" s="199"/>
      <c r="CLW118" s="198"/>
      <c r="CLX118" s="199"/>
      <c r="CLY118" s="198"/>
      <c r="CLZ118" s="199"/>
      <c r="CMA118" s="198"/>
      <c r="CMB118" s="199"/>
      <c r="CMC118" s="198"/>
      <c r="CMD118" s="199"/>
      <c r="CME118" s="198"/>
      <c r="CMF118" s="199"/>
      <c r="CMG118" s="198"/>
      <c r="CMH118" s="199"/>
      <c r="CMI118" s="198"/>
      <c r="CMJ118" s="199"/>
      <c r="CMK118" s="198"/>
      <c r="CML118" s="199"/>
      <c r="CMM118" s="198"/>
      <c r="CMN118" s="199"/>
      <c r="CMO118" s="198"/>
      <c r="CMP118" s="199"/>
      <c r="CMQ118" s="198"/>
      <c r="CMR118" s="199"/>
      <c r="CMS118" s="198"/>
      <c r="CMT118" s="199"/>
      <c r="CMU118" s="198"/>
      <c r="CMV118" s="199"/>
      <c r="CMW118" s="198"/>
      <c r="CMX118" s="199"/>
      <c r="CMY118" s="198"/>
      <c r="CMZ118" s="199"/>
      <c r="CNA118" s="198"/>
      <c r="CNB118" s="199"/>
      <c r="CNC118" s="198"/>
      <c r="CND118" s="199"/>
      <c r="CNE118" s="198"/>
      <c r="CNF118" s="199"/>
      <c r="CNG118" s="198"/>
      <c r="CNH118" s="199"/>
      <c r="CNI118" s="198"/>
      <c r="CNJ118" s="199"/>
      <c r="CNK118" s="198"/>
      <c r="CNL118" s="199"/>
      <c r="CNM118" s="198"/>
      <c r="CNN118" s="199"/>
      <c r="CNO118" s="198"/>
      <c r="CNP118" s="199"/>
      <c r="CNQ118" s="198"/>
      <c r="CNR118" s="199"/>
      <c r="CNS118" s="198"/>
      <c r="CNT118" s="199"/>
      <c r="CNU118" s="198"/>
      <c r="CNV118" s="199"/>
      <c r="CNW118" s="198"/>
      <c r="CNX118" s="199"/>
      <c r="CNY118" s="198"/>
      <c r="CNZ118" s="199"/>
      <c r="COA118" s="198"/>
      <c r="COB118" s="199"/>
      <c r="COC118" s="198"/>
      <c r="COD118" s="199"/>
      <c r="COE118" s="198"/>
      <c r="COF118" s="199"/>
      <c r="COG118" s="198"/>
      <c r="COH118" s="199"/>
      <c r="COI118" s="198"/>
      <c r="COJ118" s="199"/>
      <c r="COK118" s="198"/>
      <c r="COL118" s="199"/>
      <c r="COM118" s="198"/>
      <c r="CON118" s="199"/>
      <c r="COO118" s="198"/>
      <c r="COP118" s="199"/>
      <c r="COQ118" s="198"/>
      <c r="COR118" s="199"/>
      <c r="COS118" s="198"/>
      <c r="COT118" s="199"/>
      <c r="COU118" s="198"/>
      <c r="COV118" s="199"/>
      <c r="COW118" s="198"/>
      <c r="COX118" s="199"/>
      <c r="COY118" s="198"/>
      <c r="COZ118" s="199"/>
      <c r="CPA118" s="198"/>
      <c r="CPB118" s="199"/>
      <c r="CPC118" s="198"/>
      <c r="CPD118" s="199"/>
      <c r="CPE118" s="198"/>
      <c r="CPF118" s="199"/>
      <c r="CPG118" s="198"/>
      <c r="CPH118" s="199"/>
      <c r="CPI118" s="198"/>
      <c r="CPJ118" s="199"/>
      <c r="CPK118" s="198"/>
      <c r="CPL118" s="199"/>
      <c r="CPM118" s="198"/>
      <c r="CPN118" s="199"/>
      <c r="CPO118" s="198"/>
      <c r="CPP118" s="199"/>
      <c r="CPQ118" s="198"/>
      <c r="CPR118" s="199"/>
      <c r="CPS118" s="198"/>
      <c r="CPT118" s="199"/>
      <c r="CPU118" s="198"/>
      <c r="CPV118" s="199"/>
      <c r="CPW118" s="198"/>
      <c r="CPX118" s="199"/>
      <c r="CPY118" s="198"/>
      <c r="CPZ118" s="199"/>
      <c r="CQA118" s="198"/>
      <c r="CQB118" s="199"/>
      <c r="CQC118" s="198"/>
      <c r="CQD118" s="199"/>
      <c r="CQE118" s="198"/>
      <c r="CQF118" s="199"/>
      <c r="CQG118" s="198"/>
      <c r="CQH118" s="199"/>
      <c r="CQI118" s="198"/>
      <c r="CQJ118" s="199"/>
      <c r="CQK118" s="198"/>
      <c r="CQL118" s="199"/>
      <c r="CQM118" s="198"/>
      <c r="CQN118" s="199"/>
      <c r="CQO118" s="198"/>
      <c r="CQP118" s="199"/>
      <c r="CQQ118" s="198"/>
      <c r="CQR118" s="199"/>
      <c r="CQS118" s="198"/>
      <c r="CQT118" s="199"/>
      <c r="CQU118" s="198"/>
      <c r="CQV118" s="199"/>
      <c r="CQW118" s="198"/>
      <c r="CQX118" s="199"/>
      <c r="CQY118" s="198"/>
      <c r="CQZ118" s="199"/>
      <c r="CRA118" s="198"/>
      <c r="CRB118" s="199"/>
      <c r="CRC118" s="198"/>
      <c r="CRD118" s="199"/>
      <c r="CRE118" s="198"/>
      <c r="CRF118" s="199"/>
      <c r="CRG118" s="198"/>
      <c r="CRH118" s="199"/>
      <c r="CRI118" s="198"/>
      <c r="CRJ118" s="199"/>
      <c r="CRK118" s="198"/>
      <c r="CRL118" s="199"/>
      <c r="CRM118" s="198"/>
      <c r="CRN118" s="199"/>
      <c r="CRO118" s="198"/>
      <c r="CRP118" s="199"/>
      <c r="CRQ118" s="198"/>
      <c r="CRR118" s="199"/>
      <c r="CRS118" s="198"/>
      <c r="CRT118" s="199"/>
      <c r="CRU118" s="198"/>
      <c r="CRV118" s="199"/>
      <c r="CRW118" s="198"/>
      <c r="CRX118" s="199"/>
      <c r="CRY118" s="198"/>
      <c r="CRZ118" s="199"/>
      <c r="CSA118" s="198"/>
      <c r="CSB118" s="199"/>
      <c r="CSC118" s="198"/>
      <c r="CSD118" s="199"/>
      <c r="CSE118" s="198"/>
      <c r="CSF118" s="199"/>
      <c r="CSG118" s="198"/>
      <c r="CSH118" s="199"/>
      <c r="CSI118" s="198"/>
      <c r="CSJ118" s="199"/>
      <c r="CSK118" s="198"/>
      <c r="CSL118" s="199"/>
      <c r="CSM118" s="198"/>
      <c r="CSN118" s="199"/>
      <c r="CSO118" s="198"/>
      <c r="CSP118" s="199"/>
      <c r="CSQ118" s="198"/>
      <c r="CSR118" s="199"/>
      <c r="CSS118" s="198"/>
      <c r="CST118" s="199"/>
      <c r="CSU118" s="198"/>
      <c r="CSV118" s="199"/>
      <c r="CSW118" s="198"/>
      <c r="CSX118" s="199"/>
      <c r="CSY118" s="198"/>
      <c r="CSZ118" s="199"/>
      <c r="CTA118" s="198"/>
      <c r="CTB118" s="199"/>
      <c r="CTC118" s="198"/>
      <c r="CTD118" s="199"/>
      <c r="CTE118" s="198"/>
      <c r="CTF118" s="199"/>
      <c r="CTG118" s="198"/>
      <c r="CTH118" s="199"/>
      <c r="CTI118" s="198"/>
      <c r="CTJ118" s="199"/>
      <c r="CTK118" s="198"/>
      <c r="CTL118" s="199"/>
      <c r="CTM118" s="198"/>
      <c r="CTN118" s="199"/>
      <c r="CTO118" s="198"/>
      <c r="CTP118" s="199"/>
      <c r="CTQ118" s="198"/>
      <c r="CTR118" s="199"/>
      <c r="CTS118" s="198"/>
      <c r="CTT118" s="199"/>
      <c r="CTU118" s="198"/>
      <c r="CTV118" s="199"/>
      <c r="CTW118" s="198"/>
      <c r="CTX118" s="199"/>
      <c r="CTY118" s="198"/>
      <c r="CTZ118" s="199"/>
      <c r="CUA118" s="198"/>
      <c r="CUB118" s="199"/>
      <c r="CUC118" s="198"/>
      <c r="CUD118" s="199"/>
      <c r="CUE118" s="198"/>
      <c r="CUF118" s="199"/>
      <c r="CUG118" s="198"/>
      <c r="CUH118" s="199"/>
      <c r="CUI118" s="198"/>
      <c r="CUJ118" s="199"/>
      <c r="CUK118" s="198"/>
      <c r="CUL118" s="199"/>
      <c r="CUM118" s="198"/>
      <c r="CUN118" s="199"/>
      <c r="CUO118" s="198"/>
      <c r="CUP118" s="199"/>
      <c r="CUQ118" s="198"/>
      <c r="CUR118" s="199"/>
      <c r="CUS118" s="198"/>
      <c r="CUT118" s="199"/>
      <c r="CUU118" s="198"/>
      <c r="CUV118" s="199"/>
      <c r="CUW118" s="198"/>
      <c r="CUX118" s="199"/>
      <c r="CUY118" s="198"/>
      <c r="CUZ118" s="199"/>
      <c r="CVA118" s="198"/>
      <c r="CVB118" s="199"/>
      <c r="CVC118" s="198"/>
      <c r="CVD118" s="199"/>
      <c r="CVE118" s="198"/>
      <c r="CVF118" s="199"/>
      <c r="CVG118" s="198"/>
      <c r="CVH118" s="199"/>
      <c r="CVI118" s="198"/>
      <c r="CVJ118" s="199"/>
      <c r="CVK118" s="198"/>
      <c r="CVL118" s="199"/>
      <c r="CVM118" s="198"/>
      <c r="CVN118" s="199"/>
      <c r="CVO118" s="198"/>
      <c r="CVP118" s="199"/>
      <c r="CVQ118" s="198"/>
      <c r="CVR118" s="199"/>
      <c r="CVS118" s="198"/>
      <c r="CVT118" s="199"/>
      <c r="CVU118" s="198"/>
      <c r="CVV118" s="199"/>
      <c r="CVW118" s="198"/>
      <c r="CVX118" s="199"/>
      <c r="CVY118" s="198"/>
      <c r="CVZ118" s="199"/>
      <c r="CWA118" s="198"/>
      <c r="CWB118" s="199"/>
      <c r="CWC118" s="198"/>
      <c r="CWD118" s="199"/>
      <c r="CWE118" s="198"/>
      <c r="CWF118" s="199"/>
      <c r="CWG118" s="198"/>
      <c r="CWH118" s="199"/>
      <c r="CWI118" s="198"/>
      <c r="CWJ118" s="199"/>
      <c r="CWK118" s="198"/>
      <c r="CWL118" s="199"/>
      <c r="CWM118" s="198"/>
      <c r="CWN118" s="199"/>
      <c r="CWO118" s="198"/>
      <c r="CWP118" s="199"/>
      <c r="CWQ118" s="198"/>
      <c r="CWR118" s="199"/>
      <c r="CWS118" s="198"/>
      <c r="CWT118" s="199"/>
      <c r="CWU118" s="198"/>
      <c r="CWV118" s="199"/>
      <c r="CWW118" s="198"/>
      <c r="CWX118" s="199"/>
      <c r="CWY118" s="198"/>
      <c r="CWZ118" s="199"/>
      <c r="CXA118" s="198"/>
      <c r="CXB118" s="199"/>
      <c r="CXC118" s="198"/>
      <c r="CXD118" s="199"/>
      <c r="CXE118" s="198"/>
      <c r="CXF118" s="199"/>
      <c r="CXG118" s="198"/>
      <c r="CXH118" s="199"/>
      <c r="CXI118" s="198"/>
      <c r="CXJ118" s="199"/>
      <c r="CXK118" s="198"/>
      <c r="CXL118" s="199"/>
      <c r="CXM118" s="198"/>
      <c r="CXN118" s="199"/>
      <c r="CXO118" s="198"/>
      <c r="CXP118" s="199"/>
      <c r="CXQ118" s="198"/>
      <c r="CXR118" s="199"/>
      <c r="CXS118" s="198"/>
      <c r="CXT118" s="199"/>
      <c r="CXU118" s="198"/>
      <c r="CXV118" s="199"/>
      <c r="CXW118" s="198"/>
      <c r="CXX118" s="199"/>
      <c r="CXY118" s="198"/>
      <c r="CXZ118" s="199"/>
      <c r="CYA118" s="198"/>
      <c r="CYB118" s="199"/>
      <c r="CYC118" s="198"/>
      <c r="CYD118" s="199"/>
      <c r="CYE118" s="198"/>
      <c r="CYF118" s="199"/>
      <c r="CYG118" s="198"/>
      <c r="CYH118" s="199"/>
      <c r="CYI118" s="198"/>
      <c r="CYJ118" s="199"/>
      <c r="CYK118" s="198"/>
      <c r="CYL118" s="199"/>
      <c r="CYM118" s="198"/>
      <c r="CYN118" s="199"/>
      <c r="CYO118" s="198"/>
      <c r="CYP118" s="199"/>
      <c r="CYQ118" s="198"/>
      <c r="CYR118" s="199"/>
      <c r="CYS118" s="198"/>
      <c r="CYT118" s="199"/>
      <c r="CYU118" s="198"/>
      <c r="CYV118" s="199"/>
      <c r="CYW118" s="198"/>
      <c r="CYX118" s="199"/>
      <c r="CYY118" s="198"/>
      <c r="CYZ118" s="199"/>
      <c r="CZA118" s="198"/>
      <c r="CZB118" s="199"/>
      <c r="CZC118" s="198"/>
      <c r="CZD118" s="199"/>
      <c r="CZE118" s="198"/>
      <c r="CZF118" s="199"/>
      <c r="CZG118" s="198"/>
      <c r="CZH118" s="199"/>
      <c r="CZI118" s="198"/>
      <c r="CZJ118" s="199"/>
      <c r="CZK118" s="198"/>
      <c r="CZL118" s="199"/>
      <c r="CZM118" s="198"/>
      <c r="CZN118" s="199"/>
      <c r="CZO118" s="198"/>
      <c r="CZP118" s="199"/>
      <c r="CZQ118" s="198"/>
      <c r="CZR118" s="199"/>
      <c r="CZS118" s="198"/>
      <c r="CZT118" s="199"/>
      <c r="CZU118" s="198"/>
      <c r="CZV118" s="199"/>
      <c r="CZW118" s="198"/>
      <c r="CZX118" s="199"/>
      <c r="CZY118" s="198"/>
      <c r="CZZ118" s="199"/>
      <c r="DAA118" s="198"/>
      <c r="DAB118" s="199"/>
      <c r="DAC118" s="198"/>
      <c r="DAD118" s="199"/>
      <c r="DAE118" s="198"/>
      <c r="DAF118" s="199"/>
      <c r="DAG118" s="198"/>
      <c r="DAH118" s="199"/>
      <c r="DAI118" s="198"/>
      <c r="DAJ118" s="199"/>
      <c r="DAK118" s="198"/>
      <c r="DAL118" s="199"/>
      <c r="DAM118" s="198"/>
      <c r="DAN118" s="199"/>
      <c r="DAO118" s="198"/>
      <c r="DAP118" s="199"/>
      <c r="DAQ118" s="198"/>
      <c r="DAR118" s="199"/>
      <c r="DAS118" s="198"/>
      <c r="DAT118" s="199"/>
      <c r="DAU118" s="198"/>
      <c r="DAV118" s="199"/>
      <c r="DAW118" s="198"/>
      <c r="DAX118" s="199"/>
      <c r="DAY118" s="198"/>
      <c r="DAZ118" s="199"/>
      <c r="DBA118" s="198"/>
      <c r="DBB118" s="199"/>
      <c r="DBC118" s="198"/>
      <c r="DBD118" s="199"/>
      <c r="DBE118" s="198"/>
      <c r="DBF118" s="199"/>
      <c r="DBG118" s="198"/>
      <c r="DBH118" s="199"/>
      <c r="DBI118" s="198"/>
      <c r="DBJ118" s="199"/>
      <c r="DBK118" s="198"/>
      <c r="DBL118" s="199"/>
      <c r="DBM118" s="198"/>
      <c r="DBN118" s="199"/>
      <c r="DBO118" s="198"/>
      <c r="DBP118" s="199"/>
      <c r="DBQ118" s="198"/>
      <c r="DBR118" s="199"/>
      <c r="DBS118" s="198"/>
      <c r="DBT118" s="199"/>
      <c r="DBU118" s="198"/>
      <c r="DBV118" s="199"/>
      <c r="DBW118" s="198"/>
      <c r="DBX118" s="199"/>
      <c r="DBY118" s="198"/>
      <c r="DBZ118" s="199"/>
      <c r="DCA118" s="198"/>
      <c r="DCB118" s="199"/>
      <c r="DCC118" s="198"/>
      <c r="DCD118" s="199"/>
      <c r="DCE118" s="198"/>
      <c r="DCF118" s="199"/>
      <c r="DCG118" s="198"/>
      <c r="DCH118" s="199"/>
      <c r="DCI118" s="198"/>
      <c r="DCJ118" s="199"/>
      <c r="DCK118" s="198"/>
      <c r="DCL118" s="199"/>
      <c r="DCM118" s="198"/>
      <c r="DCN118" s="199"/>
      <c r="DCO118" s="198"/>
      <c r="DCP118" s="199"/>
      <c r="DCQ118" s="198"/>
      <c r="DCR118" s="199"/>
      <c r="DCS118" s="198"/>
      <c r="DCT118" s="199"/>
      <c r="DCU118" s="198"/>
      <c r="DCV118" s="199"/>
      <c r="DCW118" s="198"/>
      <c r="DCX118" s="199"/>
      <c r="DCY118" s="198"/>
      <c r="DCZ118" s="199"/>
      <c r="DDA118" s="198"/>
      <c r="DDB118" s="199"/>
      <c r="DDC118" s="198"/>
      <c r="DDD118" s="199"/>
      <c r="DDE118" s="198"/>
      <c r="DDF118" s="199"/>
      <c r="DDG118" s="198"/>
      <c r="DDH118" s="199"/>
      <c r="DDI118" s="198"/>
      <c r="DDJ118" s="199"/>
      <c r="DDK118" s="198"/>
      <c r="DDL118" s="199"/>
      <c r="DDM118" s="198"/>
      <c r="DDN118" s="199"/>
      <c r="DDO118" s="198"/>
      <c r="DDP118" s="199"/>
      <c r="DDQ118" s="198"/>
      <c r="DDR118" s="199"/>
      <c r="DDS118" s="198"/>
      <c r="DDT118" s="199"/>
      <c r="DDU118" s="198"/>
      <c r="DDV118" s="199"/>
      <c r="DDW118" s="198"/>
      <c r="DDX118" s="199"/>
      <c r="DDY118" s="198"/>
      <c r="DDZ118" s="199"/>
      <c r="DEA118" s="198"/>
      <c r="DEB118" s="199"/>
      <c r="DEC118" s="198"/>
      <c r="DED118" s="199"/>
      <c r="DEE118" s="198"/>
      <c r="DEF118" s="199"/>
      <c r="DEG118" s="198"/>
      <c r="DEH118" s="199"/>
      <c r="DEI118" s="198"/>
      <c r="DEJ118" s="199"/>
      <c r="DEK118" s="198"/>
      <c r="DEL118" s="199"/>
      <c r="DEM118" s="198"/>
      <c r="DEN118" s="199"/>
      <c r="DEO118" s="198"/>
      <c r="DEP118" s="199"/>
      <c r="DEQ118" s="198"/>
      <c r="DER118" s="199"/>
      <c r="DES118" s="198"/>
      <c r="DET118" s="199"/>
      <c r="DEU118" s="198"/>
      <c r="DEV118" s="199"/>
      <c r="DEW118" s="198"/>
      <c r="DEX118" s="199"/>
      <c r="DEY118" s="198"/>
      <c r="DEZ118" s="199"/>
      <c r="DFA118" s="198"/>
      <c r="DFB118" s="199"/>
      <c r="DFC118" s="198"/>
      <c r="DFD118" s="199"/>
      <c r="DFE118" s="198"/>
      <c r="DFF118" s="199"/>
      <c r="DFG118" s="198"/>
      <c r="DFH118" s="199"/>
      <c r="DFI118" s="198"/>
      <c r="DFJ118" s="199"/>
      <c r="DFK118" s="198"/>
      <c r="DFL118" s="199"/>
      <c r="DFM118" s="198"/>
      <c r="DFN118" s="199"/>
      <c r="DFO118" s="198"/>
      <c r="DFP118" s="199"/>
      <c r="DFQ118" s="198"/>
      <c r="DFR118" s="199"/>
      <c r="DFS118" s="198"/>
      <c r="DFT118" s="199"/>
      <c r="DFU118" s="198"/>
      <c r="DFV118" s="199"/>
      <c r="DFW118" s="198"/>
      <c r="DFX118" s="199"/>
      <c r="DFY118" s="198"/>
      <c r="DFZ118" s="199"/>
      <c r="DGA118" s="198"/>
      <c r="DGB118" s="199"/>
      <c r="DGC118" s="198"/>
      <c r="DGD118" s="199"/>
      <c r="DGE118" s="198"/>
      <c r="DGF118" s="199"/>
      <c r="DGG118" s="198"/>
      <c r="DGH118" s="199"/>
      <c r="DGI118" s="198"/>
      <c r="DGJ118" s="199"/>
      <c r="DGK118" s="198"/>
      <c r="DGL118" s="199"/>
      <c r="DGM118" s="198"/>
      <c r="DGN118" s="199"/>
      <c r="DGO118" s="198"/>
      <c r="DGP118" s="199"/>
      <c r="DGQ118" s="198"/>
      <c r="DGR118" s="199"/>
      <c r="DGS118" s="198"/>
      <c r="DGT118" s="199"/>
      <c r="DGU118" s="198"/>
      <c r="DGV118" s="199"/>
      <c r="DGW118" s="198"/>
      <c r="DGX118" s="199"/>
      <c r="DGY118" s="198"/>
      <c r="DGZ118" s="199"/>
      <c r="DHA118" s="198"/>
      <c r="DHB118" s="199"/>
      <c r="DHC118" s="198"/>
      <c r="DHD118" s="199"/>
      <c r="DHE118" s="198"/>
      <c r="DHF118" s="199"/>
      <c r="DHG118" s="198"/>
      <c r="DHH118" s="199"/>
      <c r="DHI118" s="198"/>
      <c r="DHJ118" s="199"/>
      <c r="DHK118" s="198"/>
      <c r="DHL118" s="199"/>
      <c r="DHM118" s="198"/>
      <c r="DHN118" s="199"/>
      <c r="DHO118" s="198"/>
      <c r="DHP118" s="199"/>
      <c r="DHQ118" s="198"/>
      <c r="DHR118" s="199"/>
      <c r="DHS118" s="198"/>
      <c r="DHT118" s="199"/>
      <c r="DHU118" s="198"/>
      <c r="DHV118" s="199"/>
      <c r="DHW118" s="198"/>
      <c r="DHX118" s="199"/>
      <c r="DHY118" s="198"/>
      <c r="DHZ118" s="199"/>
      <c r="DIA118" s="198"/>
      <c r="DIB118" s="199"/>
      <c r="DIC118" s="198"/>
      <c r="DID118" s="199"/>
      <c r="DIE118" s="198"/>
      <c r="DIF118" s="199"/>
      <c r="DIG118" s="198"/>
      <c r="DIH118" s="199"/>
      <c r="DII118" s="198"/>
      <c r="DIJ118" s="199"/>
      <c r="DIK118" s="198"/>
      <c r="DIL118" s="199"/>
      <c r="DIM118" s="198"/>
      <c r="DIN118" s="199"/>
      <c r="DIO118" s="198"/>
      <c r="DIP118" s="199"/>
      <c r="DIQ118" s="198"/>
      <c r="DIR118" s="199"/>
      <c r="DIS118" s="198"/>
      <c r="DIT118" s="199"/>
      <c r="DIU118" s="198"/>
      <c r="DIV118" s="199"/>
      <c r="DIW118" s="198"/>
      <c r="DIX118" s="199"/>
      <c r="DIY118" s="198"/>
      <c r="DIZ118" s="199"/>
      <c r="DJA118" s="198"/>
      <c r="DJB118" s="199"/>
      <c r="DJC118" s="198"/>
      <c r="DJD118" s="199"/>
      <c r="DJE118" s="198"/>
      <c r="DJF118" s="199"/>
      <c r="DJG118" s="198"/>
      <c r="DJH118" s="199"/>
      <c r="DJI118" s="198"/>
      <c r="DJJ118" s="199"/>
      <c r="DJK118" s="198"/>
      <c r="DJL118" s="199"/>
      <c r="DJM118" s="198"/>
      <c r="DJN118" s="199"/>
      <c r="DJO118" s="198"/>
      <c r="DJP118" s="199"/>
      <c r="DJQ118" s="198"/>
      <c r="DJR118" s="199"/>
      <c r="DJS118" s="198"/>
      <c r="DJT118" s="199"/>
      <c r="DJU118" s="198"/>
      <c r="DJV118" s="199"/>
      <c r="DJW118" s="198"/>
      <c r="DJX118" s="199"/>
      <c r="DJY118" s="198"/>
      <c r="DJZ118" s="199"/>
      <c r="DKA118" s="198"/>
      <c r="DKB118" s="199"/>
      <c r="DKC118" s="198"/>
      <c r="DKD118" s="199"/>
      <c r="DKE118" s="198"/>
      <c r="DKF118" s="199"/>
      <c r="DKG118" s="198"/>
      <c r="DKH118" s="199"/>
      <c r="DKI118" s="198"/>
      <c r="DKJ118" s="199"/>
      <c r="DKK118" s="198"/>
      <c r="DKL118" s="199"/>
      <c r="DKM118" s="198"/>
      <c r="DKN118" s="199"/>
      <c r="DKO118" s="198"/>
      <c r="DKP118" s="199"/>
      <c r="DKQ118" s="198"/>
      <c r="DKR118" s="199"/>
      <c r="DKS118" s="198"/>
      <c r="DKT118" s="199"/>
      <c r="DKU118" s="198"/>
      <c r="DKV118" s="199"/>
      <c r="DKW118" s="198"/>
      <c r="DKX118" s="199"/>
      <c r="DKY118" s="198"/>
      <c r="DKZ118" s="199"/>
      <c r="DLA118" s="198"/>
      <c r="DLB118" s="199"/>
      <c r="DLC118" s="198"/>
      <c r="DLD118" s="199"/>
      <c r="DLE118" s="198"/>
      <c r="DLF118" s="199"/>
      <c r="DLG118" s="198"/>
      <c r="DLH118" s="199"/>
      <c r="DLI118" s="198"/>
      <c r="DLJ118" s="199"/>
      <c r="DLK118" s="198"/>
      <c r="DLL118" s="199"/>
      <c r="DLM118" s="198"/>
      <c r="DLN118" s="199"/>
      <c r="DLO118" s="198"/>
      <c r="DLP118" s="199"/>
      <c r="DLQ118" s="198"/>
      <c r="DLR118" s="199"/>
      <c r="DLS118" s="198"/>
      <c r="DLT118" s="199"/>
      <c r="DLU118" s="198"/>
      <c r="DLV118" s="199"/>
      <c r="DLW118" s="198"/>
      <c r="DLX118" s="199"/>
      <c r="DLY118" s="198"/>
      <c r="DLZ118" s="199"/>
      <c r="DMA118" s="198"/>
      <c r="DMB118" s="199"/>
      <c r="DMC118" s="198"/>
      <c r="DMD118" s="199"/>
      <c r="DME118" s="198"/>
      <c r="DMF118" s="199"/>
      <c r="DMG118" s="198"/>
      <c r="DMH118" s="199"/>
      <c r="DMI118" s="198"/>
      <c r="DMJ118" s="199"/>
      <c r="DMK118" s="198"/>
      <c r="DML118" s="199"/>
      <c r="DMM118" s="198"/>
      <c r="DMN118" s="199"/>
      <c r="DMO118" s="198"/>
      <c r="DMP118" s="199"/>
      <c r="DMQ118" s="198"/>
      <c r="DMR118" s="199"/>
      <c r="DMS118" s="198"/>
      <c r="DMT118" s="199"/>
      <c r="DMU118" s="198"/>
      <c r="DMV118" s="199"/>
      <c r="DMW118" s="198"/>
      <c r="DMX118" s="199"/>
      <c r="DMY118" s="198"/>
      <c r="DMZ118" s="199"/>
      <c r="DNA118" s="198"/>
      <c r="DNB118" s="199"/>
      <c r="DNC118" s="198"/>
      <c r="DND118" s="199"/>
      <c r="DNE118" s="198"/>
      <c r="DNF118" s="199"/>
      <c r="DNG118" s="198"/>
      <c r="DNH118" s="199"/>
      <c r="DNI118" s="198"/>
      <c r="DNJ118" s="199"/>
      <c r="DNK118" s="198"/>
      <c r="DNL118" s="199"/>
      <c r="DNM118" s="198"/>
      <c r="DNN118" s="199"/>
      <c r="DNO118" s="198"/>
      <c r="DNP118" s="199"/>
      <c r="DNQ118" s="198"/>
      <c r="DNR118" s="199"/>
      <c r="DNS118" s="198"/>
      <c r="DNT118" s="199"/>
      <c r="DNU118" s="198"/>
      <c r="DNV118" s="199"/>
      <c r="DNW118" s="198"/>
      <c r="DNX118" s="199"/>
      <c r="DNY118" s="198"/>
      <c r="DNZ118" s="199"/>
      <c r="DOA118" s="198"/>
      <c r="DOB118" s="199"/>
      <c r="DOC118" s="198"/>
      <c r="DOD118" s="199"/>
      <c r="DOE118" s="198"/>
      <c r="DOF118" s="199"/>
      <c r="DOG118" s="198"/>
      <c r="DOH118" s="199"/>
      <c r="DOI118" s="198"/>
      <c r="DOJ118" s="199"/>
      <c r="DOK118" s="198"/>
      <c r="DOL118" s="199"/>
      <c r="DOM118" s="198"/>
      <c r="DON118" s="199"/>
      <c r="DOO118" s="198"/>
      <c r="DOP118" s="199"/>
      <c r="DOQ118" s="198"/>
      <c r="DOR118" s="199"/>
      <c r="DOS118" s="198"/>
      <c r="DOT118" s="199"/>
      <c r="DOU118" s="198"/>
      <c r="DOV118" s="199"/>
      <c r="DOW118" s="198"/>
      <c r="DOX118" s="199"/>
      <c r="DOY118" s="198"/>
      <c r="DOZ118" s="199"/>
      <c r="DPA118" s="198"/>
      <c r="DPB118" s="199"/>
      <c r="DPC118" s="198"/>
      <c r="DPD118" s="199"/>
      <c r="DPE118" s="198"/>
      <c r="DPF118" s="199"/>
      <c r="DPG118" s="198"/>
      <c r="DPH118" s="199"/>
      <c r="DPI118" s="198"/>
      <c r="DPJ118" s="199"/>
      <c r="DPK118" s="198"/>
      <c r="DPL118" s="199"/>
      <c r="DPM118" s="198"/>
      <c r="DPN118" s="199"/>
      <c r="DPO118" s="198"/>
      <c r="DPP118" s="199"/>
      <c r="DPQ118" s="198"/>
      <c r="DPR118" s="199"/>
      <c r="DPS118" s="198"/>
      <c r="DPT118" s="199"/>
      <c r="DPU118" s="198"/>
      <c r="DPV118" s="199"/>
      <c r="DPW118" s="198"/>
      <c r="DPX118" s="199"/>
      <c r="DPY118" s="198"/>
      <c r="DPZ118" s="199"/>
      <c r="DQA118" s="198"/>
      <c r="DQB118" s="199"/>
      <c r="DQC118" s="198"/>
      <c r="DQD118" s="199"/>
      <c r="DQE118" s="198"/>
      <c r="DQF118" s="199"/>
      <c r="DQG118" s="198"/>
      <c r="DQH118" s="199"/>
      <c r="DQI118" s="198"/>
      <c r="DQJ118" s="199"/>
      <c r="DQK118" s="198"/>
      <c r="DQL118" s="199"/>
      <c r="DQM118" s="198"/>
      <c r="DQN118" s="199"/>
      <c r="DQO118" s="198"/>
      <c r="DQP118" s="199"/>
      <c r="DQQ118" s="198"/>
      <c r="DQR118" s="199"/>
      <c r="DQS118" s="198"/>
      <c r="DQT118" s="199"/>
      <c r="DQU118" s="198"/>
      <c r="DQV118" s="199"/>
      <c r="DQW118" s="198"/>
      <c r="DQX118" s="199"/>
      <c r="DQY118" s="198"/>
      <c r="DQZ118" s="199"/>
      <c r="DRA118" s="198"/>
      <c r="DRB118" s="199"/>
      <c r="DRC118" s="198"/>
      <c r="DRD118" s="199"/>
      <c r="DRE118" s="198"/>
      <c r="DRF118" s="199"/>
      <c r="DRG118" s="198"/>
      <c r="DRH118" s="199"/>
      <c r="DRI118" s="198"/>
      <c r="DRJ118" s="199"/>
      <c r="DRK118" s="198"/>
      <c r="DRL118" s="199"/>
      <c r="DRM118" s="198"/>
      <c r="DRN118" s="199"/>
      <c r="DRO118" s="198"/>
      <c r="DRP118" s="199"/>
      <c r="DRQ118" s="198"/>
      <c r="DRR118" s="199"/>
      <c r="DRS118" s="198"/>
      <c r="DRT118" s="199"/>
      <c r="DRU118" s="198"/>
      <c r="DRV118" s="199"/>
      <c r="DRW118" s="198"/>
      <c r="DRX118" s="199"/>
      <c r="DRY118" s="198"/>
      <c r="DRZ118" s="199"/>
      <c r="DSA118" s="198"/>
      <c r="DSB118" s="199"/>
      <c r="DSC118" s="198"/>
      <c r="DSD118" s="199"/>
      <c r="DSE118" s="198"/>
      <c r="DSF118" s="199"/>
      <c r="DSG118" s="198"/>
      <c r="DSH118" s="199"/>
      <c r="DSI118" s="198"/>
      <c r="DSJ118" s="199"/>
      <c r="DSK118" s="198"/>
      <c r="DSL118" s="199"/>
      <c r="DSM118" s="198"/>
      <c r="DSN118" s="199"/>
      <c r="DSO118" s="198"/>
      <c r="DSP118" s="199"/>
      <c r="DSQ118" s="198"/>
      <c r="DSR118" s="199"/>
      <c r="DSS118" s="198"/>
      <c r="DST118" s="199"/>
      <c r="DSU118" s="198"/>
      <c r="DSV118" s="199"/>
      <c r="DSW118" s="198"/>
      <c r="DSX118" s="199"/>
      <c r="DSY118" s="198"/>
      <c r="DSZ118" s="199"/>
      <c r="DTA118" s="198"/>
      <c r="DTB118" s="199"/>
      <c r="DTC118" s="198"/>
      <c r="DTD118" s="199"/>
      <c r="DTE118" s="198"/>
      <c r="DTF118" s="199"/>
      <c r="DTG118" s="198"/>
      <c r="DTH118" s="199"/>
      <c r="DTI118" s="198"/>
      <c r="DTJ118" s="199"/>
      <c r="DTK118" s="198"/>
      <c r="DTL118" s="199"/>
      <c r="DTM118" s="198"/>
      <c r="DTN118" s="199"/>
      <c r="DTO118" s="198"/>
      <c r="DTP118" s="199"/>
      <c r="DTQ118" s="198"/>
      <c r="DTR118" s="199"/>
      <c r="DTS118" s="198"/>
      <c r="DTT118" s="199"/>
      <c r="DTU118" s="198"/>
      <c r="DTV118" s="199"/>
      <c r="DTW118" s="198"/>
      <c r="DTX118" s="199"/>
      <c r="DTY118" s="198"/>
      <c r="DTZ118" s="199"/>
      <c r="DUA118" s="198"/>
      <c r="DUB118" s="199"/>
      <c r="DUC118" s="198"/>
      <c r="DUD118" s="199"/>
      <c r="DUE118" s="198"/>
      <c r="DUF118" s="199"/>
      <c r="DUG118" s="198"/>
      <c r="DUH118" s="199"/>
      <c r="DUI118" s="198"/>
      <c r="DUJ118" s="199"/>
      <c r="DUK118" s="198"/>
      <c r="DUL118" s="199"/>
      <c r="DUM118" s="198"/>
      <c r="DUN118" s="199"/>
      <c r="DUO118" s="198"/>
      <c r="DUP118" s="199"/>
      <c r="DUQ118" s="198"/>
      <c r="DUR118" s="199"/>
      <c r="DUS118" s="198"/>
      <c r="DUT118" s="199"/>
      <c r="DUU118" s="198"/>
      <c r="DUV118" s="199"/>
      <c r="DUW118" s="198"/>
      <c r="DUX118" s="199"/>
      <c r="DUY118" s="198"/>
      <c r="DUZ118" s="199"/>
      <c r="DVA118" s="198"/>
      <c r="DVB118" s="199"/>
      <c r="DVC118" s="198"/>
      <c r="DVD118" s="199"/>
      <c r="DVE118" s="198"/>
      <c r="DVF118" s="199"/>
      <c r="DVG118" s="198"/>
      <c r="DVH118" s="199"/>
      <c r="DVI118" s="198"/>
      <c r="DVJ118" s="199"/>
      <c r="DVK118" s="198"/>
      <c r="DVL118" s="199"/>
      <c r="DVM118" s="198"/>
      <c r="DVN118" s="199"/>
      <c r="DVO118" s="198"/>
      <c r="DVP118" s="199"/>
      <c r="DVQ118" s="198"/>
      <c r="DVR118" s="199"/>
      <c r="DVS118" s="198"/>
      <c r="DVT118" s="199"/>
      <c r="DVU118" s="198"/>
      <c r="DVV118" s="199"/>
      <c r="DVW118" s="198"/>
      <c r="DVX118" s="199"/>
      <c r="DVY118" s="198"/>
      <c r="DVZ118" s="199"/>
      <c r="DWA118" s="198"/>
      <c r="DWB118" s="199"/>
      <c r="DWC118" s="198"/>
      <c r="DWD118" s="199"/>
      <c r="DWE118" s="198"/>
      <c r="DWF118" s="199"/>
      <c r="DWG118" s="198"/>
      <c r="DWH118" s="199"/>
      <c r="DWI118" s="198"/>
      <c r="DWJ118" s="199"/>
      <c r="DWK118" s="198"/>
      <c r="DWL118" s="199"/>
      <c r="DWM118" s="198"/>
      <c r="DWN118" s="199"/>
      <c r="DWO118" s="198"/>
      <c r="DWP118" s="199"/>
      <c r="DWQ118" s="198"/>
      <c r="DWR118" s="199"/>
      <c r="DWS118" s="198"/>
      <c r="DWT118" s="199"/>
      <c r="DWU118" s="198"/>
      <c r="DWV118" s="199"/>
      <c r="DWW118" s="198"/>
      <c r="DWX118" s="199"/>
      <c r="DWY118" s="198"/>
      <c r="DWZ118" s="199"/>
      <c r="DXA118" s="198"/>
      <c r="DXB118" s="199"/>
      <c r="DXC118" s="198"/>
      <c r="DXD118" s="199"/>
      <c r="DXE118" s="198"/>
      <c r="DXF118" s="199"/>
      <c r="DXG118" s="198"/>
      <c r="DXH118" s="199"/>
      <c r="DXI118" s="198"/>
      <c r="DXJ118" s="199"/>
      <c r="DXK118" s="198"/>
      <c r="DXL118" s="199"/>
      <c r="DXM118" s="198"/>
      <c r="DXN118" s="199"/>
      <c r="DXO118" s="198"/>
      <c r="DXP118" s="199"/>
      <c r="DXQ118" s="198"/>
      <c r="DXR118" s="199"/>
      <c r="DXS118" s="198"/>
      <c r="DXT118" s="199"/>
      <c r="DXU118" s="198"/>
      <c r="DXV118" s="199"/>
      <c r="DXW118" s="198"/>
      <c r="DXX118" s="199"/>
      <c r="DXY118" s="198"/>
      <c r="DXZ118" s="199"/>
      <c r="DYA118" s="198"/>
      <c r="DYB118" s="199"/>
      <c r="DYC118" s="198"/>
      <c r="DYD118" s="199"/>
      <c r="DYE118" s="198"/>
      <c r="DYF118" s="199"/>
      <c r="DYG118" s="198"/>
      <c r="DYH118" s="199"/>
      <c r="DYI118" s="198"/>
      <c r="DYJ118" s="199"/>
      <c r="DYK118" s="198"/>
      <c r="DYL118" s="199"/>
      <c r="DYM118" s="198"/>
      <c r="DYN118" s="199"/>
      <c r="DYO118" s="198"/>
      <c r="DYP118" s="199"/>
      <c r="DYQ118" s="198"/>
      <c r="DYR118" s="199"/>
      <c r="DYS118" s="198"/>
      <c r="DYT118" s="199"/>
      <c r="DYU118" s="198"/>
      <c r="DYV118" s="199"/>
      <c r="DYW118" s="198"/>
      <c r="DYX118" s="199"/>
      <c r="DYY118" s="198"/>
      <c r="DYZ118" s="199"/>
      <c r="DZA118" s="198"/>
      <c r="DZB118" s="199"/>
      <c r="DZC118" s="198"/>
      <c r="DZD118" s="199"/>
      <c r="DZE118" s="198"/>
      <c r="DZF118" s="199"/>
      <c r="DZG118" s="198"/>
      <c r="DZH118" s="199"/>
      <c r="DZI118" s="198"/>
      <c r="DZJ118" s="199"/>
      <c r="DZK118" s="198"/>
      <c r="DZL118" s="199"/>
      <c r="DZM118" s="198"/>
      <c r="DZN118" s="199"/>
      <c r="DZO118" s="198"/>
      <c r="DZP118" s="199"/>
      <c r="DZQ118" s="198"/>
      <c r="DZR118" s="199"/>
      <c r="DZS118" s="198"/>
      <c r="DZT118" s="199"/>
      <c r="DZU118" s="198"/>
      <c r="DZV118" s="199"/>
      <c r="DZW118" s="198"/>
      <c r="DZX118" s="199"/>
      <c r="DZY118" s="198"/>
      <c r="DZZ118" s="199"/>
      <c r="EAA118" s="198"/>
      <c r="EAB118" s="199"/>
      <c r="EAC118" s="198"/>
      <c r="EAD118" s="199"/>
      <c r="EAE118" s="198"/>
      <c r="EAF118" s="199"/>
      <c r="EAG118" s="198"/>
      <c r="EAH118" s="199"/>
      <c r="EAI118" s="198"/>
      <c r="EAJ118" s="199"/>
      <c r="EAK118" s="198"/>
      <c r="EAL118" s="199"/>
      <c r="EAM118" s="198"/>
      <c r="EAN118" s="199"/>
      <c r="EAO118" s="198"/>
      <c r="EAP118" s="199"/>
      <c r="EAQ118" s="198"/>
      <c r="EAR118" s="199"/>
      <c r="EAS118" s="198"/>
      <c r="EAT118" s="199"/>
      <c r="EAU118" s="198"/>
      <c r="EAV118" s="199"/>
      <c r="EAW118" s="198"/>
      <c r="EAX118" s="199"/>
      <c r="EAY118" s="198"/>
      <c r="EAZ118" s="199"/>
      <c r="EBA118" s="198"/>
      <c r="EBB118" s="199"/>
      <c r="EBC118" s="198"/>
      <c r="EBD118" s="199"/>
      <c r="EBE118" s="198"/>
      <c r="EBF118" s="199"/>
      <c r="EBG118" s="198"/>
      <c r="EBH118" s="199"/>
      <c r="EBI118" s="198"/>
      <c r="EBJ118" s="199"/>
      <c r="EBK118" s="198"/>
      <c r="EBL118" s="199"/>
      <c r="EBM118" s="198"/>
      <c r="EBN118" s="199"/>
      <c r="EBO118" s="198"/>
      <c r="EBP118" s="199"/>
      <c r="EBQ118" s="198"/>
      <c r="EBR118" s="199"/>
      <c r="EBS118" s="198"/>
      <c r="EBT118" s="199"/>
      <c r="EBU118" s="198"/>
      <c r="EBV118" s="199"/>
      <c r="EBW118" s="198"/>
      <c r="EBX118" s="199"/>
      <c r="EBY118" s="198"/>
      <c r="EBZ118" s="199"/>
      <c r="ECA118" s="198"/>
      <c r="ECB118" s="199"/>
      <c r="ECC118" s="198"/>
      <c r="ECD118" s="199"/>
      <c r="ECE118" s="198"/>
      <c r="ECF118" s="199"/>
      <c r="ECG118" s="198"/>
      <c r="ECH118" s="199"/>
      <c r="ECI118" s="198"/>
      <c r="ECJ118" s="199"/>
      <c r="ECK118" s="198"/>
      <c r="ECL118" s="199"/>
      <c r="ECM118" s="198"/>
      <c r="ECN118" s="199"/>
      <c r="ECO118" s="198"/>
      <c r="ECP118" s="199"/>
      <c r="ECQ118" s="198"/>
      <c r="ECR118" s="199"/>
      <c r="ECS118" s="198"/>
      <c r="ECT118" s="199"/>
      <c r="ECU118" s="198"/>
      <c r="ECV118" s="199"/>
      <c r="ECW118" s="198"/>
      <c r="ECX118" s="199"/>
      <c r="ECY118" s="198"/>
      <c r="ECZ118" s="199"/>
      <c r="EDA118" s="198"/>
      <c r="EDB118" s="199"/>
      <c r="EDC118" s="198"/>
      <c r="EDD118" s="199"/>
      <c r="EDE118" s="198"/>
      <c r="EDF118" s="199"/>
      <c r="EDG118" s="198"/>
      <c r="EDH118" s="199"/>
      <c r="EDI118" s="198"/>
      <c r="EDJ118" s="199"/>
      <c r="EDK118" s="198"/>
      <c r="EDL118" s="199"/>
      <c r="EDM118" s="198"/>
      <c r="EDN118" s="199"/>
      <c r="EDO118" s="198"/>
      <c r="EDP118" s="199"/>
      <c r="EDQ118" s="198"/>
      <c r="EDR118" s="199"/>
      <c r="EDS118" s="198"/>
      <c r="EDT118" s="199"/>
      <c r="EDU118" s="198"/>
      <c r="EDV118" s="199"/>
      <c r="EDW118" s="198"/>
      <c r="EDX118" s="199"/>
      <c r="EDY118" s="198"/>
      <c r="EDZ118" s="199"/>
      <c r="EEA118" s="198"/>
      <c r="EEB118" s="199"/>
      <c r="EEC118" s="198"/>
      <c r="EED118" s="199"/>
      <c r="EEE118" s="198"/>
      <c r="EEF118" s="199"/>
      <c r="EEG118" s="198"/>
      <c r="EEH118" s="199"/>
      <c r="EEI118" s="198"/>
      <c r="EEJ118" s="199"/>
      <c r="EEK118" s="198"/>
      <c r="EEL118" s="199"/>
      <c r="EEM118" s="198"/>
      <c r="EEN118" s="199"/>
      <c r="EEO118" s="198"/>
      <c r="EEP118" s="199"/>
      <c r="EEQ118" s="198"/>
      <c r="EER118" s="199"/>
      <c r="EES118" s="198"/>
      <c r="EET118" s="199"/>
      <c r="EEU118" s="198"/>
      <c r="EEV118" s="199"/>
      <c r="EEW118" s="198"/>
      <c r="EEX118" s="199"/>
      <c r="EEY118" s="198"/>
      <c r="EEZ118" s="199"/>
      <c r="EFA118" s="198"/>
      <c r="EFB118" s="199"/>
      <c r="EFC118" s="198"/>
      <c r="EFD118" s="199"/>
      <c r="EFE118" s="198"/>
      <c r="EFF118" s="199"/>
      <c r="EFG118" s="198"/>
      <c r="EFH118" s="199"/>
      <c r="EFI118" s="198"/>
      <c r="EFJ118" s="199"/>
      <c r="EFK118" s="198"/>
      <c r="EFL118" s="199"/>
      <c r="EFM118" s="198"/>
      <c r="EFN118" s="199"/>
      <c r="EFO118" s="198"/>
      <c r="EFP118" s="199"/>
      <c r="EFQ118" s="198"/>
      <c r="EFR118" s="199"/>
      <c r="EFS118" s="198"/>
      <c r="EFT118" s="199"/>
      <c r="EFU118" s="198"/>
      <c r="EFV118" s="199"/>
      <c r="EFW118" s="198"/>
      <c r="EFX118" s="199"/>
      <c r="EFY118" s="198"/>
      <c r="EFZ118" s="199"/>
      <c r="EGA118" s="198"/>
      <c r="EGB118" s="199"/>
      <c r="EGC118" s="198"/>
      <c r="EGD118" s="199"/>
      <c r="EGE118" s="198"/>
      <c r="EGF118" s="199"/>
      <c r="EGG118" s="198"/>
      <c r="EGH118" s="199"/>
      <c r="EGI118" s="198"/>
      <c r="EGJ118" s="199"/>
      <c r="EGK118" s="198"/>
      <c r="EGL118" s="199"/>
      <c r="EGM118" s="198"/>
      <c r="EGN118" s="199"/>
      <c r="EGO118" s="198"/>
      <c r="EGP118" s="199"/>
      <c r="EGQ118" s="198"/>
      <c r="EGR118" s="199"/>
      <c r="EGS118" s="198"/>
      <c r="EGT118" s="199"/>
      <c r="EGU118" s="198"/>
      <c r="EGV118" s="199"/>
      <c r="EGW118" s="198"/>
      <c r="EGX118" s="199"/>
      <c r="EGY118" s="198"/>
      <c r="EGZ118" s="199"/>
      <c r="EHA118" s="198"/>
      <c r="EHB118" s="199"/>
      <c r="EHC118" s="198"/>
      <c r="EHD118" s="199"/>
      <c r="EHE118" s="198"/>
      <c r="EHF118" s="199"/>
      <c r="EHG118" s="198"/>
      <c r="EHH118" s="199"/>
      <c r="EHI118" s="198"/>
      <c r="EHJ118" s="199"/>
      <c r="EHK118" s="198"/>
      <c r="EHL118" s="199"/>
      <c r="EHM118" s="198"/>
      <c r="EHN118" s="199"/>
      <c r="EHO118" s="198"/>
      <c r="EHP118" s="199"/>
      <c r="EHQ118" s="198"/>
      <c r="EHR118" s="199"/>
      <c r="EHS118" s="198"/>
      <c r="EHT118" s="199"/>
      <c r="EHU118" s="198"/>
      <c r="EHV118" s="199"/>
      <c r="EHW118" s="198"/>
      <c r="EHX118" s="199"/>
      <c r="EHY118" s="198"/>
      <c r="EHZ118" s="199"/>
      <c r="EIA118" s="198"/>
      <c r="EIB118" s="199"/>
      <c r="EIC118" s="198"/>
      <c r="EID118" s="199"/>
      <c r="EIE118" s="198"/>
      <c r="EIF118" s="199"/>
      <c r="EIG118" s="198"/>
      <c r="EIH118" s="199"/>
      <c r="EII118" s="198"/>
      <c r="EIJ118" s="199"/>
      <c r="EIK118" s="198"/>
      <c r="EIL118" s="199"/>
      <c r="EIM118" s="198"/>
      <c r="EIN118" s="199"/>
      <c r="EIO118" s="198"/>
      <c r="EIP118" s="199"/>
      <c r="EIQ118" s="198"/>
      <c r="EIR118" s="199"/>
      <c r="EIS118" s="198"/>
      <c r="EIT118" s="199"/>
      <c r="EIU118" s="198"/>
      <c r="EIV118" s="199"/>
      <c r="EIW118" s="198"/>
      <c r="EIX118" s="199"/>
      <c r="EIY118" s="198"/>
      <c r="EIZ118" s="199"/>
      <c r="EJA118" s="198"/>
      <c r="EJB118" s="199"/>
      <c r="EJC118" s="198"/>
      <c r="EJD118" s="199"/>
      <c r="EJE118" s="198"/>
      <c r="EJF118" s="199"/>
      <c r="EJG118" s="198"/>
      <c r="EJH118" s="199"/>
      <c r="EJI118" s="198"/>
      <c r="EJJ118" s="199"/>
      <c r="EJK118" s="198"/>
      <c r="EJL118" s="199"/>
      <c r="EJM118" s="198"/>
      <c r="EJN118" s="199"/>
      <c r="EJO118" s="198"/>
      <c r="EJP118" s="199"/>
      <c r="EJQ118" s="198"/>
      <c r="EJR118" s="199"/>
      <c r="EJS118" s="198"/>
      <c r="EJT118" s="199"/>
      <c r="EJU118" s="198"/>
      <c r="EJV118" s="199"/>
      <c r="EJW118" s="198"/>
      <c r="EJX118" s="199"/>
      <c r="EJY118" s="198"/>
      <c r="EJZ118" s="199"/>
      <c r="EKA118" s="198"/>
      <c r="EKB118" s="199"/>
      <c r="EKC118" s="198"/>
      <c r="EKD118" s="199"/>
      <c r="EKE118" s="198"/>
      <c r="EKF118" s="199"/>
      <c r="EKG118" s="198"/>
      <c r="EKH118" s="199"/>
      <c r="EKI118" s="198"/>
      <c r="EKJ118" s="199"/>
      <c r="EKK118" s="198"/>
      <c r="EKL118" s="199"/>
      <c r="EKM118" s="198"/>
      <c r="EKN118" s="199"/>
      <c r="EKO118" s="198"/>
      <c r="EKP118" s="199"/>
      <c r="EKQ118" s="198"/>
      <c r="EKR118" s="199"/>
      <c r="EKS118" s="198"/>
      <c r="EKT118" s="199"/>
      <c r="EKU118" s="198"/>
      <c r="EKV118" s="199"/>
      <c r="EKW118" s="198"/>
      <c r="EKX118" s="199"/>
      <c r="EKY118" s="198"/>
      <c r="EKZ118" s="199"/>
      <c r="ELA118" s="198"/>
      <c r="ELB118" s="199"/>
      <c r="ELC118" s="198"/>
      <c r="ELD118" s="199"/>
      <c r="ELE118" s="198"/>
      <c r="ELF118" s="199"/>
      <c r="ELG118" s="198"/>
      <c r="ELH118" s="199"/>
      <c r="ELI118" s="198"/>
      <c r="ELJ118" s="199"/>
      <c r="ELK118" s="198"/>
      <c r="ELL118" s="199"/>
      <c r="ELM118" s="198"/>
      <c r="ELN118" s="199"/>
      <c r="ELO118" s="198"/>
      <c r="ELP118" s="199"/>
      <c r="ELQ118" s="198"/>
      <c r="ELR118" s="199"/>
      <c r="ELS118" s="198"/>
      <c r="ELT118" s="199"/>
      <c r="ELU118" s="198"/>
      <c r="ELV118" s="199"/>
      <c r="ELW118" s="198"/>
      <c r="ELX118" s="199"/>
      <c r="ELY118" s="198"/>
      <c r="ELZ118" s="199"/>
      <c r="EMA118" s="198"/>
      <c r="EMB118" s="199"/>
      <c r="EMC118" s="198"/>
      <c r="EMD118" s="199"/>
      <c r="EME118" s="198"/>
      <c r="EMF118" s="199"/>
      <c r="EMG118" s="198"/>
      <c r="EMH118" s="199"/>
      <c r="EMI118" s="198"/>
      <c r="EMJ118" s="199"/>
      <c r="EMK118" s="198"/>
      <c r="EML118" s="199"/>
      <c r="EMM118" s="198"/>
      <c r="EMN118" s="199"/>
      <c r="EMO118" s="198"/>
      <c r="EMP118" s="199"/>
      <c r="EMQ118" s="198"/>
      <c r="EMR118" s="199"/>
      <c r="EMS118" s="198"/>
      <c r="EMT118" s="199"/>
      <c r="EMU118" s="198"/>
      <c r="EMV118" s="199"/>
      <c r="EMW118" s="198"/>
      <c r="EMX118" s="199"/>
      <c r="EMY118" s="198"/>
      <c r="EMZ118" s="199"/>
      <c r="ENA118" s="198"/>
      <c r="ENB118" s="199"/>
      <c r="ENC118" s="198"/>
      <c r="END118" s="199"/>
      <c r="ENE118" s="198"/>
      <c r="ENF118" s="199"/>
      <c r="ENG118" s="198"/>
      <c r="ENH118" s="199"/>
      <c r="ENI118" s="198"/>
      <c r="ENJ118" s="199"/>
      <c r="ENK118" s="198"/>
      <c r="ENL118" s="199"/>
      <c r="ENM118" s="198"/>
      <c r="ENN118" s="199"/>
      <c r="ENO118" s="198"/>
      <c r="ENP118" s="199"/>
      <c r="ENQ118" s="198"/>
      <c r="ENR118" s="199"/>
      <c r="ENS118" s="198"/>
      <c r="ENT118" s="199"/>
      <c r="ENU118" s="198"/>
      <c r="ENV118" s="199"/>
      <c r="ENW118" s="198"/>
      <c r="ENX118" s="199"/>
      <c r="ENY118" s="198"/>
      <c r="ENZ118" s="199"/>
      <c r="EOA118" s="198"/>
      <c r="EOB118" s="199"/>
      <c r="EOC118" s="198"/>
      <c r="EOD118" s="199"/>
      <c r="EOE118" s="198"/>
      <c r="EOF118" s="199"/>
      <c r="EOG118" s="198"/>
      <c r="EOH118" s="199"/>
      <c r="EOI118" s="198"/>
      <c r="EOJ118" s="199"/>
      <c r="EOK118" s="198"/>
      <c r="EOL118" s="199"/>
      <c r="EOM118" s="198"/>
      <c r="EON118" s="199"/>
      <c r="EOO118" s="198"/>
      <c r="EOP118" s="199"/>
      <c r="EOQ118" s="198"/>
      <c r="EOR118" s="199"/>
      <c r="EOS118" s="198"/>
      <c r="EOT118" s="199"/>
      <c r="EOU118" s="198"/>
      <c r="EOV118" s="199"/>
      <c r="EOW118" s="198"/>
      <c r="EOX118" s="199"/>
      <c r="EOY118" s="198"/>
      <c r="EOZ118" s="199"/>
      <c r="EPA118" s="198"/>
      <c r="EPB118" s="199"/>
      <c r="EPC118" s="198"/>
      <c r="EPD118" s="199"/>
      <c r="EPE118" s="198"/>
      <c r="EPF118" s="199"/>
      <c r="EPG118" s="198"/>
      <c r="EPH118" s="199"/>
      <c r="EPI118" s="198"/>
      <c r="EPJ118" s="199"/>
      <c r="EPK118" s="198"/>
      <c r="EPL118" s="199"/>
      <c r="EPM118" s="198"/>
      <c r="EPN118" s="199"/>
      <c r="EPO118" s="198"/>
      <c r="EPP118" s="199"/>
      <c r="EPQ118" s="198"/>
      <c r="EPR118" s="199"/>
      <c r="EPS118" s="198"/>
      <c r="EPT118" s="199"/>
      <c r="EPU118" s="198"/>
      <c r="EPV118" s="199"/>
      <c r="EPW118" s="198"/>
      <c r="EPX118" s="199"/>
      <c r="EPY118" s="198"/>
      <c r="EPZ118" s="199"/>
      <c r="EQA118" s="198"/>
      <c r="EQB118" s="199"/>
      <c r="EQC118" s="198"/>
      <c r="EQD118" s="199"/>
      <c r="EQE118" s="198"/>
      <c r="EQF118" s="199"/>
      <c r="EQG118" s="198"/>
      <c r="EQH118" s="199"/>
      <c r="EQI118" s="198"/>
      <c r="EQJ118" s="199"/>
      <c r="EQK118" s="198"/>
      <c r="EQL118" s="199"/>
      <c r="EQM118" s="198"/>
      <c r="EQN118" s="199"/>
      <c r="EQO118" s="198"/>
      <c r="EQP118" s="199"/>
      <c r="EQQ118" s="198"/>
      <c r="EQR118" s="199"/>
      <c r="EQS118" s="198"/>
      <c r="EQT118" s="199"/>
      <c r="EQU118" s="198"/>
      <c r="EQV118" s="199"/>
      <c r="EQW118" s="198"/>
      <c r="EQX118" s="199"/>
      <c r="EQY118" s="198"/>
      <c r="EQZ118" s="199"/>
      <c r="ERA118" s="198"/>
      <c r="ERB118" s="199"/>
      <c r="ERC118" s="198"/>
      <c r="ERD118" s="199"/>
      <c r="ERE118" s="198"/>
      <c r="ERF118" s="199"/>
      <c r="ERG118" s="198"/>
      <c r="ERH118" s="199"/>
      <c r="ERI118" s="198"/>
      <c r="ERJ118" s="199"/>
      <c r="ERK118" s="198"/>
      <c r="ERL118" s="199"/>
      <c r="ERM118" s="198"/>
      <c r="ERN118" s="199"/>
      <c r="ERO118" s="198"/>
      <c r="ERP118" s="199"/>
      <c r="ERQ118" s="198"/>
      <c r="ERR118" s="199"/>
      <c r="ERS118" s="198"/>
      <c r="ERT118" s="199"/>
      <c r="ERU118" s="198"/>
      <c r="ERV118" s="199"/>
      <c r="ERW118" s="198"/>
      <c r="ERX118" s="199"/>
      <c r="ERY118" s="198"/>
      <c r="ERZ118" s="199"/>
      <c r="ESA118" s="198"/>
      <c r="ESB118" s="199"/>
      <c r="ESC118" s="198"/>
      <c r="ESD118" s="199"/>
      <c r="ESE118" s="198"/>
      <c r="ESF118" s="199"/>
      <c r="ESG118" s="198"/>
      <c r="ESH118" s="199"/>
      <c r="ESI118" s="198"/>
      <c r="ESJ118" s="199"/>
      <c r="ESK118" s="198"/>
      <c r="ESL118" s="199"/>
      <c r="ESM118" s="198"/>
      <c r="ESN118" s="199"/>
      <c r="ESO118" s="198"/>
      <c r="ESP118" s="199"/>
      <c r="ESQ118" s="198"/>
      <c r="ESR118" s="199"/>
      <c r="ESS118" s="198"/>
      <c r="EST118" s="199"/>
      <c r="ESU118" s="198"/>
      <c r="ESV118" s="199"/>
      <c r="ESW118" s="198"/>
      <c r="ESX118" s="199"/>
      <c r="ESY118" s="198"/>
      <c r="ESZ118" s="199"/>
      <c r="ETA118" s="198"/>
      <c r="ETB118" s="199"/>
      <c r="ETC118" s="198"/>
      <c r="ETD118" s="199"/>
      <c r="ETE118" s="198"/>
      <c r="ETF118" s="199"/>
      <c r="ETG118" s="198"/>
      <c r="ETH118" s="199"/>
      <c r="ETI118" s="198"/>
      <c r="ETJ118" s="199"/>
      <c r="ETK118" s="198"/>
      <c r="ETL118" s="199"/>
      <c r="ETM118" s="198"/>
      <c r="ETN118" s="199"/>
      <c r="ETO118" s="198"/>
      <c r="ETP118" s="199"/>
      <c r="ETQ118" s="198"/>
      <c r="ETR118" s="199"/>
      <c r="ETS118" s="198"/>
      <c r="ETT118" s="199"/>
      <c r="ETU118" s="198"/>
      <c r="ETV118" s="199"/>
      <c r="ETW118" s="198"/>
      <c r="ETX118" s="199"/>
      <c r="ETY118" s="198"/>
      <c r="ETZ118" s="199"/>
      <c r="EUA118" s="198"/>
      <c r="EUB118" s="199"/>
      <c r="EUC118" s="198"/>
      <c r="EUD118" s="199"/>
      <c r="EUE118" s="198"/>
      <c r="EUF118" s="199"/>
      <c r="EUG118" s="198"/>
      <c r="EUH118" s="199"/>
      <c r="EUI118" s="198"/>
      <c r="EUJ118" s="199"/>
      <c r="EUK118" s="198"/>
      <c r="EUL118" s="199"/>
      <c r="EUM118" s="198"/>
      <c r="EUN118" s="199"/>
      <c r="EUO118" s="198"/>
      <c r="EUP118" s="199"/>
      <c r="EUQ118" s="198"/>
      <c r="EUR118" s="199"/>
      <c r="EUS118" s="198"/>
      <c r="EUT118" s="199"/>
      <c r="EUU118" s="198"/>
      <c r="EUV118" s="199"/>
      <c r="EUW118" s="198"/>
      <c r="EUX118" s="199"/>
      <c r="EUY118" s="198"/>
      <c r="EUZ118" s="199"/>
      <c r="EVA118" s="198"/>
      <c r="EVB118" s="199"/>
      <c r="EVC118" s="198"/>
      <c r="EVD118" s="199"/>
      <c r="EVE118" s="198"/>
      <c r="EVF118" s="199"/>
      <c r="EVG118" s="198"/>
      <c r="EVH118" s="199"/>
      <c r="EVI118" s="198"/>
      <c r="EVJ118" s="199"/>
      <c r="EVK118" s="198"/>
      <c r="EVL118" s="199"/>
      <c r="EVM118" s="198"/>
      <c r="EVN118" s="199"/>
      <c r="EVO118" s="198"/>
      <c r="EVP118" s="199"/>
      <c r="EVQ118" s="198"/>
      <c r="EVR118" s="199"/>
      <c r="EVS118" s="198"/>
      <c r="EVT118" s="199"/>
      <c r="EVU118" s="198"/>
      <c r="EVV118" s="199"/>
      <c r="EVW118" s="198"/>
      <c r="EVX118" s="199"/>
      <c r="EVY118" s="198"/>
      <c r="EVZ118" s="199"/>
      <c r="EWA118" s="198"/>
      <c r="EWB118" s="199"/>
      <c r="EWC118" s="198"/>
      <c r="EWD118" s="199"/>
      <c r="EWE118" s="198"/>
      <c r="EWF118" s="199"/>
      <c r="EWG118" s="198"/>
      <c r="EWH118" s="199"/>
      <c r="EWI118" s="198"/>
      <c r="EWJ118" s="199"/>
      <c r="EWK118" s="198"/>
      <c r="EWL118" s="199"/>
      <c r="EWM118" s="198"/>
      <c r="EWN118" s="199"/>
      <c r="EWO118" s="198"/>
      <c r="EWP118" s="199"/>
      <c r="EWQ118" s="198"/>
      <c r="EWR118" s="199"/>
      <c r="EWS118" s="198"/>
      <c r="EWT118" s="199"/>
      <c r="EWU118" s="198"/>
      <c r="EWV118" s="199"/>
      <c r="EWW118" s="198"/>
      <c r="EWX118" s="199"/>
      <c r="EWY118" s="198"/>
      <c r="EWZ118" s="199"/>
      <c r="EXA118" s="198"/>
      <c r="EXB118" s="199"/>
      <c r="EXC118" s="198"/>
      <c r="EXD118" s="199"/>
      <c r="EXE118" s="198"/>
      <c r="EXF118" s="199"/>
      <c r="EXG118" s="198"/>
      <c r="EXH118" s="199"/>
      <c r="EXI118" s="198"/>
      <c r="EXJ118" s="199"/>
      <c r="EXK118" s="198"/>
      <c r="EXL118" s="199"/>
      <c r="EXM118" s="198"/>
      <c r="EXN118" s="199"/>
      <c r="EXO118" s="198"/>
      <c r="EXP118" s="199"/>
      <c r="EXQ118" s="198"/>
      <c r="EXR118" s="199"/>
      <c r="EXS118" s="198"/>
      <c r="EXT118" s="199"/>
      <c r="EXU118" s="198"/>
      <c r="EXV118" s="199"/>
      <c r="EXW118" s="198"/>
      <c r="EXX118" s="199"/>
      <c r="EXY118" s="198"/>
      <c r="EXZ118" s="199"/>
      <c r="EYA118" s="198"/>
      <c r="EYB118" s="199"/>
      <c r="EYC118" s="198"/>
      <c r="EYD118" s="199"/>
      <c r="EYE118" s="198"/>
      <c r="EYF118" s="199"/>
      <c r="EYG118" s="198"/>
      <c r="EYH118" s="199"/>
      <c r="EYI118" s="198"/>
      <c r="EYJ118" s="199"/>
      <c r="EYK118" s="198"/>
      <c r="EYL118" s="199"/>
      <c r="EYM118" s="198"/>
      <c r="EYN118" s="199"/>
      <c r="EYO118" s="198"/>
      <c r="EYP118" s="199"/>
      <c r="EYQ118" s="198"/>
      <c r="EYR118" s="199"/>
      <c r="EYS118" s="198"/>
      <c r="EYT118" s="199"/>
      <c r="EYU118" s="198"/>
      <c r="EYV118" s="199"/>
      <c r="EYW118" s="198"/>
      <c r="EYX118" s="199"/>
      <c r="EYY118" s="198"/>
      <c r="EYZ118" s="199"/>
      <c r="EZA118" s="198"/>
      <c r="EZB118" s="199"/>
      <c r="EZC118" s="198"/>
      <c r="EZD118" s="199"/>
      <c r="EZE118" s="198"/>
      <c r="EZF118" s="199"/>
      <c r="EZG118" s="198"/>
      <c r="EZH118" s="199"/>
      <c r="EZI118" s="198"/>
      <c r="EZJ118" s="199"/>
      <c r="EZK118" s="198"/>
      <c r="EZL118" s="199"/>
      <c r="EZM118" s="198"/>
      <c r="EZN118" s="199"/>
      <c r="EZO118" s="198"/>
      <c r="EZP118" s="199"/>
      <c r="EZQ118" s="198"/>
      <c r="EZR118" s="199"/>
      <c r="EZS118" s="198"/>
      <c r="EZT118" s="199"/>
      <c r="EZU118" s="198"/>
      <c r="EZV118" s="199"/>
      <c r="EZW118" s="198"/>
      <c r="EZX118" s="199"/>
      <c r="EZY118" s="198"/>
      <c r="EZZ118" s="199"/>
      <c r="FAA118" s="198"/>
      <c r="FAB118" s="199"/>
      <c r="FAC118" s="198"/>
      <c r="FAD118" s="199"/>
      <c r="FAE118" s="198"/>
      <c r="FAF118" s="199"/>
      <c r="FAG118" s="198"/>
      <c r="FAH118" s="199"/>
      <c r="FAI118" s="198"/>
      <c r="FAJ118" s="199"/>
      <c r="FAK118" s="198"/>
      <c r="FAL118" s="199"/>
      <c r="FAM118" s="198"/>
      <c r="FAN118" s="199"/>
      <c r="FAO118" s="198"/>
      <c r="FAP118" s="199"/>
      <c r="FAQ118" s="198"/>
      <c r="FAR118" s="199"/>
      <c r="FAS118" s="198"/>
      <c r="FAT118" s="199"/>
      <c r="FAU118" s="198"/>
      <c r="FAV118" s="199"/>
      <c r="FAW118" s="198"/>
      <c r="FAX118" s="199"/>
      <c r="FAY118" s="198"/>
      <c r="FAZ118" s="199"/>
      <c r="FBA118" s="198"/>
      <c r="FBB118" s="199"/>
      <c r="FBC118" s="198"/>
      <c r="FBD118" s="199"/>
      <c r="FBE118" s="198"/>
      <c r="FBF118" s="199"/>
      <c r="FBG118" s="198"/>
      <c r="FBH118" s="199"/>
      <c r="FBI118" s="198"/>
      <c r="FBJ118" s="199"/>
      <c r="FBK118" s="198"/>
      <c r="FBL118" s="199"/>
      <c r="FBM118" s="198"/>
      <c r="FBN118" s="199"/>
      <c r="FBO118" s="198"/>
      <c r="FBP118" s="199"/>
      <c r="FBQ118" s="198"/>
      <c r="FBR118" s="199"/>
      <c r="FBS118" s="198"/>
      <c r="FBT118" s="199"/>
      <c r="FBU118" s="198"/>
      <c r="FBV118" s="199"/>
      <c r="FBW118" s="198"/>
      <c r="FBX118" s="199"/>
      <c r="FBY118" s="198"/>
      <c r="FBZ118" s="199"/>
      <c r="FCA118" s="198"/>
      <c r="FCB118" s="199"/>
      <c r="FCC118" s="198"/>
      <c r="FCD118" s="199"/>
      <c r="FCE118" s="198"/>
      <c r="FCF118" s="199"/>
      <c r="FCG118" s="198"/>
      <c r="FCH118" s="199"/>
      <c r="FCI118" s="198"/>
      <c r="FCJ118" s="199"/>
      <c r="FCK118" s="198"/>
      <c r="FCL118" s="199"/>
      <c r="FCM118" s="198"/>
      <c r="FCN118" s="199"/>
      <c r="FCO118" s="198"/>
      <c r="FCP118" s="199"/>
      <c r="FCQ118" s="198"/>
      <c r="FCR118" s="199"/>
      <c r="FCS118" s="198"/>
      <c r="FCT118" s="199"/>
      <c r="FCU118" s="198"/>
      <c r="FCV118" s="199"/>
      <c r="FCW118" s="198"/>
      <c r="FCX118" s="199"/>
      <c r="FCY118" s="198"/>
      <c r="FCZ118" s="199"/>
      <c r="FDA118" s="198"/>
      <c r="FDB118" s="199"/>
      <c r="FDC118" s="198"/>
      <c r="FDD118" s="199"/>
      <c r="FDE118" s="198"/>
      <c r="FDF118" s="199"/>
      <c r="FDG118" s="198"/>
      <c r="FDH118" s="199"/>
      <c r="FDI118" s="198"/>
      <c r="FDJ118" s="199"/>
      <c r="FDK118" s="198"/>
      <c r="FDL118" s="199"/>
      <c r="FDM118" s="198"/>
      <c r="FDN118" s="199"/>
      <c r="FDO118" s="198"/>
      <c r="FDP118" s="199"/>
      <c r="FDQ118" s="198"/>
      <c r="FDR118" s="199"/>
      <c r="FDS118" s="198"/>
      <c r="FDT118" s="199"/>
      <c r="FDU118" s="198"/>
      <c r="FDV118" s="199"/>
      <c r="FDW118" s="198"/>
      <c r="FDX118" s="199"/>
      <c r="FDY118" s="198"/>
      <c r="FDZ118" s="199"/>
      <c r="FEA118" s="198"/>
      <c r="FEB118" s="199"/>
      <c r="FEC118" s="198"/>
      <c r="FED118" s="199"/>
      <c r="FEE118" s="198"/>
      <c r="FEF118" s="199"/>
      <c r="FEG118" s="198"/>
      <c r="FEH118" s="199"/>
      <c r="FEI118" s="198"/>
      <c r="FEJ118" s="199"/>
      <c r="FEK118" s="198"/>
      <c r="FEL118" s="199"/>
      <c r="FEM118" s="198"/>
      <c r="FEN118" s="199"/>
      <c r="FEO118" s="198"/>
      <c r="FEP118" s="199"/>
      <c r="FEQ118" s="198"/>
      <c r="FER118" s="199"/>
      <c r="FES118" s="198"/>
      <c r="FET118" s="199"/>
      <c r="FEU118" s="198"/>
      <c r="FEV118" s="199"/>
      <c r="FEW118" s="198"/>
      <c r="FEX118" s="199"/>
      <c r="FEY118" s="198"/>
      <c r="FEZ118" s="199"/>
      <c r="FFA118" s="198"/>
      <c r="FFB118" s="199"/>
      <c r="FFC118" s="198"/>
      <c r="FFD118" s="199"/>
      <c r="FFE118" s="198"/>
      <c r="FFF118" s="199"/>
      <c r="FFG118" s="198"/>
      <c r="FFH118" s="199"/>
      <c r="FFI118" s="198"/>
      <c r="FFJ118" s="199"/>
      <c r="FFK118" s="198"/>
      <c r="FFL118" s="199"/>
      <c r="FFM118" s="198"/>
      <c r="FFN118" s="199"/>
      <c r="FFO118" s="198"/>
      <c r="FFP118" s="199"/>
      <c r="FFQ118" s="198"/>
      <c r="FFR118" s="199"/>
      <c r="FFS118" s="198"/>
      <c r="FFT118" s="199"/>
      <c r="FFU118" s="198"/>
      <c r="FFV118" s="199"/>
      <c r="FFW118" s="198"/>
      <c r="FFX118" s="199"/>
      <c r="FFY118" s="198"/>
      <c r="FFZ118" s="199"/>
      <c r="FGA118" s="198"/>
      <c r="FGB118" s="199"/>
      <c r="FGC118" s="198"/>
      <c r="FGD118" s="199"/>
      <c r="FGE118" s="198"/>
      <c r="FGF118" s="199"/>
      <c r="FGG118" s="198"/>
      <c r="FGH118" s="199"/>
      <c r="FGI118" s="198"/>
      <c r="FGJ118" s="199"/>
      <c r="FGK118" s="198"/>
      <c r="FGL118" s="199"/>
      <c r="FGM118" s="198"/>
      <c r="FGN118" s="199"/>
      <c r="FGO118" s="198"/>
      <c r="FGP118" s="199"/>
      <c r="FGQ118" s="198"/>
      <c r="FGR118" s="199"/>
      <c r="FGS118" s="198"/>
      <c r="FGT118" s="199"/>
      <c r="FGU118" s="198"/>
      <c r="FGV118" s="199"/>
      <c r="FGW118" s="198"/>
      <c r="FGX118" s="199"/>
      <c r="FGY118" s="198"/>
      <c r="FGZ118" s="199"/>
      <c r="FHA118" s="198"/>
      <c r="FHB118" s="199"/>
      <c r="FHC118" s="198"/>
      <c r="FHD118" s="199"/>
      <c r="FHE118" s="198"/>
      <c r="FHF118" s="199"/>
      <c r="FHG118" s="198"/>
      <c r="FHH118" s="199"/>
      <c r="FHI118" s="198"/>
      <c r="FHJ118" s="199"/>
      <c r="FHK118" s="198"/>
      <c r="FHL118" s="199"/>
      <c r="FHM118" s="198"/>
      <c r="FHN118" s="199"/>
      <c r="FHO118" s="198"/>
      <c r="FHP118" s="199"/>
      <c r="FHQ118" s="198"/>
      <c r="FHR118" s="199"/>
      <c r="FHS118" s="198"/>
      <c r="FHT118" s="199"/>
      <c r="FHU118" s="198"/>
      <c r="FHV118" s="199"/>
      <c r="FHW118" s="198"/>
      <c r="FHX118" s="199"/>
      <c r="FHY118" s="198"/>
      <c r="FHZ118" s="199"/>
      <c r="FIA118" s="198"/>
      <c r="FIB118" s="199"/>
      <c r="FIC118" s="198"/>
      <c r="FID118" s="199"/>
      <c r="FIE118" s="198"/>
      <c r="FIF118" s="199"/>
      <c r="FIG118" s="198"/>
      <c r="FIH118" s="199"/>
      <c r="FII118" s="198"/>
      <c r="FIJ118" s="199"/>
      <c r="FIK118" s="198"/>
      <c r="FIL118" s="199"/>
      <c r="FIM118" s="198"/>
      <c r="FIN118" s="199"/>
      <c r="FIO118" s="198"/>
      <c r="FIP118" s="199"/>
      <c r="FIQ118" s="198"/>
      <c r="FIR118" s="199"/>
      <c r="FIS118" s="198"/>
      <c r="FIT118" s="199"/>
      <c r="FIU118" s="198"/>
      <c r="FIV118" s="199"/>
      <c r="FIW118" s="198"/>
      <c r="FIX118" s="199"/>
      <c r="FIY118" s="198"/>
      <c r="FIZ118" s="199"/>
      <c r="FJA118" s="198"/>
      <c r="FJB118" s="199"/>
      <c r="FJC118" s="198"/>
      <c r="FJD118" s="199"/>
      <c r="FJE118" s="198"/>
      <c r="FJF118" s="199"/>
      <c r="FJG118" s="198"/>
      <c r="FJH118" s="199"/>
      <c r="FJI118" s="198"/>
      <c r="FJJ118" s="199"/>
      <c r="FJK118" s="198"/>
      <c r="FJL118" s="199"/>
      <c r="FJM118" s="198"/>
      <c r="FJN118" s="199"/>
      <c r="FJO118" s="198"/>
      <c r="FJP118" s="199"/>
      <c r="FJQ118" s="198"/>
      <c r="FJR118" s="199"/>
      <c r="FJS118" s="198"/>
      <c r="FJT118" s="199"/>
      <c r="FJU118" s="198"/>
      <c r="FJV118" s="199"/>
      <c r="FJW118" s="198"/>
      <c r="FJX118" s="199"/>
      <c r="FJY118" s="198"/>
      <c r="FJZ118" s="199"/>
      <c r="FKA118" s="198"/>
      <c r="FKB118" s="199"/>
      <c r="FKC118" s="198"/>
      <c r="FKD118" s="199"/>
      <c r="FKE118" s="198"/>
      <c r="FKF118" s="199"/>
      <c r="FKG118" s="198"/>
      <c r="FKH118" s="199"/>
      <c r="FKI118" s="198"/>
      <c r="FKJ118" s="199"/>
      <c r="FKK118" s="198"/>
      <c r="FKL118" s="199"/>
      <c r="FKM118" s="198"/>
      <c r="FKN118" s="199"/>
      <c r="FKO118" s="198"/>
      <c r="FKP118" s="199"/>
      <c r="FKQ118" s="198"/>
      <c r="FKR118" s="199"/>
      <c r="FKS118" s="198"/>
      <c r="FKT118" s="199"/>
      <c r="FKU118" s="198"/>
      <c r="FKV118" s="199"/>
      <c r="FKW118" s="198"/>
      <c r="FKX118" s="199"/>
      <c r="FKY118" s="198"/>
      <c r="FKZ118" s="199"/>
      <c r="FLA118" s="198"/>
      <c r="FLB118" s="199"/>
      <c r="FLC118" s="198"/>
      <c r="FLD118" s="199"/>
      <c r="FLE118" s="198"/>
      <c r="FLF118" s="199"/>
      <c r="FLG118" s="198"/>
      <c r="FLH118" s="199"/>
      <c r="FLI118" s="198"/>
      <c r="FLJ118" s="199"/>
      <c r="FLK118" s="198"/>
      <c r="FLL118" s="199"/>
      <c r="FLM118" s="198"/>
      <c r="FLN118" s="199"/>
      <c r="FLO118" s="198"/>
      <c r="FLP118" s="199"/>
      <c r="FLQ118" s="198"/>
      <c r="FLR118" s="199"/>
      <c r="FLS118" s="198"/>
      <c r="FLT118" s="199"/>
      <c r="FLU118" s="198"/>
      <c r="FLV118" s="199"/>
      <c r="FLW118" s="198"/>
      <c r="FLX118" s="199"/>
      <c r="FLY118" s="198"/>
      <c r="FLZ118" s="199"/>
      <c r="FMA118" s="198"/>
      <c r="FMB118" s="199"/>
      <c r="FMC118" s="198"/>
      <c r="FMD118" s="199"/>
      <c r="FME118" s="198"/>
      <c r="FMF118" s="199"/>
      <c r="FMG118" s="198"/>
      <c r="FMH118" s="199"/>
      <c r="FMI118" s="198"/>
      <c r="FMJ118" s="199"/>
      <c r="FMK118" s="198"/>
      <c r="FML118" s="199"/>
      <c r="FMM118" s="198"/>
      <c r="FMN118" s="199"/>
      <c r="FMO118" s="198"/>
      <c r="FMP118" s="199"/>
      <c r="FMQ118" s="198"/>
      <c r="FMR118" s="199"/>
      <c r="FMS118" s="198"/>
      <c r="FMT118" s="199"/>
      <c r="FMU118" s="198"/>
      <c r="FMV118" s="199"/>
      <c r="FMW118" s="198"/>
      <c r="FMX118" s="199"/>
      <c r="FMY118" s="198"/>
      <c r="FMZ118" s="199"/>
      <c r="FNA118" s="198"/>
      <c r="FNB118" s="199"/>
      <c r="FNC118" s="198"/>
      <c r="FND118" s="199"/>
      <c r="FNE118" s="198"/>
      <c r="FNF118" s="199"/>
      <c r="FNG118" s="198"/>
      <c r="FNH118" s="199"/>
      <c r="FNI118" s="198"/>
      <c r="FNJ118" s="199"/>
      <c r="FNK118" s="198"/>
      <c r="FNL118" s="199"/>
      <c r="FNM118" s="198"/>
      <c r="FNN118" s="199"/>
      <c r="FNO118" s="198"/>
      <c r="FNP118" s="199"/>
      <c r="FNQ118" s="198"/>
      <c r="FNR118" s="199"/>
      <c r="FNS118" s="198"/>
      <c r="FNT118" s="199"/>
      <c r="FNU118" s="198"/>
      <c r="FNV118" s="199"/>
      <c r="FNW118" s="198"/>
      <c r="FNX118" s="199"/>
      <c r="FNY118" s="198"/>
      <c r="FNZ118" s="199"/>
      <c r="FOA118" s="198"/>
      <c r="FOB118" s="199"/>
      <c r="FOC118" s="198"/>
      <c r="FOD118" s="199"/>
      <c r="FOE118" s="198"/>
      <c r="FOF118" s="199"/>
      <c r="FOG118" s="198"/>
      <c r="FOH118" s="199"/>
      <c r="FOI118" s="198"/>
      <c r="FOJ118" s="199"/>
      <c r="FOK118" s="198"/>
      <c r="FOL118" s="199"/>
      <c r="FOM118" s="198"/>
      <c r="FON118" s="199"/>
      <c r="FOO118" s="198"/>
      <c r="FOP118" s="199"/>
      <c r="FOQ118" s="198"/>
      <c r="FOR118" s="199"/>
      <c r="FOS118" s="198"/>
      <c r="FOT118" s="199"/>
      <c r="FOU118" s="198"/>
      <c r="FOV118" s="199"/>
      <c r="FOW118" s="198"/>
      <c r="FOX118" s="199"/>
      <c r="FOY118" s="198"/>
      <c r="FOZ118" s="199"/>
      <c r="FPA118" s="198"/>
      <c r="FPB118" s="199"/>
      <c r="FPC118" s="198"/>
      <c r="FPD118" s="199"/>
      <c r="FPE118" s="198"/>
      <c r="FPF118" s="199"/>
      <c r="FPG118" s="198"/>
      <c r="FPH118" s="199"/>
      <c r="FPI118" s="198"/>
      <c r="FPJ118" s="199"/>
      <c r="FPK118" s="198"/>
      <c r="FPL118" s="199"/>
      <c r="FPM118" s="198"/>
      <c r="FPN118" s="199"/>
      <c r="FPO118" s="198"/>
      <c r="FPP118" s="199"/>
      <c r="FPQ118" s="198"/>
      <c r="FPR118" s="199"/>
      <c r="FPS118" s="198"/>
      <c r="FPT118" s="199"/>
      <c r="FPU118" s="198"/>
      <c r="FPV118" s="199"/>
      <c r="FPW118" s="198"/>
      <c r="FPX118" s="199"/>
      <c r="FPY118" s="198"/>
      <c r="FPZ118" s="199"/>
      <c r="FQA118" s="198"/>
      <c r="FQB118" s="199"/>
      <c r="FQC118" s="198"/>
      <c r="FQD118" s="199"/>
      <c r="FQE118" s="198"/>
      <c r="FQF118" s="199"/>
      <c r="FQG118" s="198"/>
      <c r="FQH118" s="199"/>
      <c r="FQI118" s="198"/>
      <c r="FQJ118" s="199"/>
      <c r="FQK118" s="198"/>
      <c r="FQL118" s="199"/>
      <c r="FQM118" s="198"/>
      <c r="FQN118" s="199"/>
      <c r="FQO118" s="198"/>
      <c r="FQP118" s="199"/>
      <c r="FQQ118" s="198"/>
      <c r="FQR118" s="199"/>
      <c r="FQS118" s="198"/>
      <c r="FQT118" s="199"/>
      <c r="FQU118" s="198"/>
      <c r="FQV118" s="199"/>
      <c r="FQW118" s="198"/>
      <c r="FQX118" s="199"/>
      <c r="FQY118" s="198"/>
      <c r="FQZ118" s="199"/>
      <c r="FRA118" s="198"/>
      <c r="FRB118" s="199"/>
      <c r="FRC118" s="198"/>
      <c r="FRD118" s="199"/>
      <c r="FRE118" s="198"/>
      <c r="FRF118" s="199"/>
      <c r="FRG118" s="198"/>
      <c r="FRH118" s="199"/>
      <c r="FRI118" s="198"/>
      <c r="FRJ118" s="199"/>
      <c r="FRK118" s="198"/>
      <c r="FRL118" s="199"/>
      <c r="FRM118" s="198"/>
      <c r="FRN118" s="199"/>
      <c r="FRO118" s="198"/>
      <c r="FRP118" s="199"/>
      <c r="FRQ118" s="198"/>
      <c r="FRR118" s="199"/>
      <c r="FRS118" s="198"/>
      <c r="FRT118" s="199"/>
      <c r="FRU118" s="198"/>
      <c r="FRV118" s="199"/>
      <c r="FRW118" s="198"/>
      <c r="FRX118" s="199"/>
      <c r="FRY118" s="198"/>
      <c r="FRZ118" s="199"/>
      <c r="FSA118" s="198"/>
      <c r="FSB118" s="199"/>
      <c r="FSC118" s="198"/>
      <c r="FSD118" s="199"/>
      <c r="FSE118" s="198"/>
      <c r="FSF118" s="199"/>
      <c r="FSG118" s="198"/>
      <c r="FSH118" s="199"/>
      <c r="FSI118" s="198"/>
      <c r="FSJ118" s="199"/>
      <c r="FSK118" s="198"/>
      <c r="FSL118" s="199"/>
      <c r="FSM118" s="198"/>
      <c r="FSN118" s="199"/>
      <c r="FSO118" s="198"/>
      <c r="FSP118" s="199"/>
      <c r="FSQ118" s="198"/>
      <c r="FSR118" s="199"/>
      <c r="FSS118" s="198"/>
      <c r="FST118" s="199"/>
      <c r="FSU118" s="198"/>
      <c r="FSV118" s="199"/>
      <c r="FSW118" s="198"/>
      <c r="FSX118" s="199"/>
      <c r="FSY118" s="198"/>
      <c r="FSZ118" s="199"/>
      <c r="FTA118" s="198"/>
      <c r="FTB118" s="199"/>
      <c r="FTC118" s="198"/>
      <c r="FTD118" s="199"/>
      <c r="FTE118" s="198"/>
      <c r="FTF118" s="199"/>
      <c r="FTG118" s="198"/>
      <c r="FTH118" s="199"/>
      <c r="FTI118" s="198"/>
      <c r="FTJ118" s="199"/>
      <c r="FTK118" s="198"/>
      <c r="FTL118" s="199"/>
      <c r="FTM118" s="198"/>
      <c r="FTN118" s="199"/>
      <c r="FTO118" s="198"/>
      <c r="FTP118" s="199"/>
      <c r="FTQ118" s="198"/>
      <c r="FTR118" s="199"/>
      <c r="FTS118" s="198"/>
      <c r="FTT118" s="199"/>
      <c r="FTU118" s="198"/>
      <c r="FTV118" s="199"/>
      <c r="FTW118" s="198"/>
      <c r="FTX118" s="199"/>
      <c r="FTY118" s="198"/>
      <c r="FTZ118" s="199"/>
      <c r="FUA118" s="198"/>
      <c r="FUB118" s="199"/>
      <c r="FUC118" s="198"/>
      <c r="FUD118" s="199"/>
      <c r="FUE118" s="198"/>
      <c r="FUF118" s="199"/>
      <c r="FUG118" s="198"/>
      <c r="FUH118" s="199"/>
      <c r="FUI118" s="198"/>
      <c r="FUJ118" s="199"/>
      <c r="FUK118" s="198"/>
      <c r="FUL118" s="199"/>
      <c r="FUM118" s="198"/>
      <c r="FUN118" s="199"/>
      <c r="FUO118" s="198"/>
      <c r="FUP118" s="199"/>
      <c r="FUQ118" s="198"/>
      <c r="FUR118" s="199"/>
      <c r="FUS118" s="198"/>
      <c r="FUT118" s="199"/>
      <c r="FUU118" s="198"/>
      <c r="FUV118" s="199"/>
      <c r="FUW118" s="198"/>
      <c r="FUX118" s="199"/>
      <c r="FUY118" s="198"/>
      <c r="FUZ118" s="199"/>
      <c r="FVA118" s="198"/>
      <c r="FVB118" s="199"/>
      <c r="FVC118" s="198"/>
      <c r="FVD118" s="199"/>
      <c r="FVE118" s="198"/>
      <c r="FVF118" s="199"/>
      <c r="FVG118" s="198"/>
      <c r="FVH118" s="199"/>
      <c r="FVI118" s="198"/>
      <c r="FVJ118" s="199"/>
      <c r="FVK118" s="198"/>
      <c r="FVL118" s="199"/>
      <c r="FVM118" s="198"/>
      <c r="FVN118" s="199"/>
      <c r="FVO118" s="198"/>
      <c r="FVP118" s="199"/>
      <c r="FVQ118" s="198"/>
      <c r="FVR118" s="199"/>
      <c r="FVS118" s="198"/>
      <c r="FVT118" s="199"/>
      <c r="FVU118" s="198"/>
      <c r="FVV118" s="199"/>
      <c r="FVW118" s="198"/>
      <c r="FVX118" s="199"/>
      <c r="FVY118" s="198"/>
      <c r="FVZ118" s="199"/>
      <c r="FWA118" s="198"/>
      <c r="FWB118" s="199"/>
      <c r="FWC118" s="198"/>
      <c r="FWD118" s="199"/>
      <c r="FWE118" s="198"/>
      <c r="FWF118" s="199"/>
      <c r="FWG118" s="198"/>
      <c r="FWH118" s="199"/>
      <c r="FWI118" s="198"/>
      <c r="FWJ118" s="199"/>
      <c r="FWK118" s="198"/>
      <c r="FWL118" s="199"/>
      <c r="FWM118" s="198"/>
      <c r="FWN118" s="199"/>
      <c r="FWO118" s="198"/>
      <c r="FWP118" s="199"/>
      <c r="FWQ118" s="198"/>
      <c r="FWR118" s="199"/>
      <c r="FWS118" s="198"/>
      <c r="FWT118" s="199"/>
      <c r="FWU118" s="198"/>
      <c r="FWV118" s="199"/>
      <c r="FWW118" s="198"/>
      <c r="FWX118" s="199"/>
      <c r="FWY118" s="198"/>
      <c r="FWZ118" s="199"/>
      <c r="FXA118" s="198"/>
      <c r="FXB118" s="199"/>
      <c r="FXC118" s="198"/>
      <c r="FXD118" s="199"/>
      <c r="FXE118" s="198"/>
      <c r="FXF118" s="199"/>
      <c r="FXG118" s="198"/>
      <c r="FXH118" s="199"/>
      <c r="FXI118" s="198"/>
      <c r="FXJ118" s="199"/>
      <c r="FXK118" s="198"/>
      <c r="FXL118" s="199"/>
      <c r="FXM118" s="198"/>
      <c r="FXN118" s="199"/>
      <c r="FXO118" s="198"/>
      <c r="FXP118" s="199"/>
      <c r="FXQ118" s="198"/>
      <c r="FXR118" s="199"/>
      <c r="FXS118" s="198"/>
      <c r="FXT118" s="199"/>
      <c r="FXU118" s="198"/>
      <c r="FXV118" s="199"/>
      <c r="FXW118" s="198"/>
      <c r="FXX118" s="199"/>
      <c r="FXY118" s="198"/>
      <c r="FXZ118" s="199"/>
      <c r="FYA118" s="198"/>
      <c r="FYB118" s="199"/>
      <c r="FYC118" s="198"/>
      <c r="FYD118" s="199"/>
      <c r="FYE118" s="198"/>
      <c r="FYF118" s="199"/>
      <c r="FYG118" s="198"/>
      <c r="FYH118" s="199"/>
      <c r="FYI118" s="198"/>
      <c r="FYJ118" s="199"/>
      <c r="FYK118" s="198"/>
      <c r="FYL118" s="199"/>
      <c r="FYM118" s="198"/>
      <c r="FYN118" s="199"/>
      <c r="FYO118" s="198"/>
      <c r="FYP118" s="199"/>
      <c r="FYQ118" s="198"/>
      <c r="FYR118" s="199"/>
      <c r="FYS118" s="198"/>
      <c r="FYT118" s="199"/>
      <c r="FYU118" s="198"/>
      <c r="FYV118" s="199"/>
      <c r="FYW118" s="198"/>
      <c r="FYX118" s="199"/>
      <c r="FYY118" s="198"/>
      <c r="FYZ118" s="199"/>
      <c r="FZA118" s="198"/>
      <c r="FZB118" s="199"/>
      <c r="FZC118" s="198"/>
      <c r="FZD118" s="199"/>
      <c r="FZE118" s="198"/>
      <c r="FZF118" s="199"/>
      <c r="FZG118" s="198"/>
      <c r="FZH118" s="199"/>
      <c r="FZI118" s="198"/>
      <c r="FZJ118" s="199"/>
      <c r="FZK118" s="198"/>
      <c r="FZL118" s="199"/>
      <c r="FZM118" s="198"/>
      <c r="FZN118" s="199"/>
      <c r="FZO118" s="198"/>
      <c r="FZP118" s="199"/>
      <c r="FZQ118" s="198"/>
      <c r="FZR118" s="199"/>
      <c r="FZS118" s="198"/>
      <c r="FZT118" s="199"/>
      <c r="FZU118" s="198"/>
      <c r="FZV118" s="199"/>
      <c r="FZW118" s="198"/>
      <c r="FZX118" s="199"/>
      <c r="FZY118" s="198"/>
      <c r="FZZ118" s="199"/>
      <c r="GAA118" s="198"/>
      <c r="GAB118" s="199"/>
      <c r="GAC118" s="198"/>
      <c r="GAD118" s="199"/>
      <c r="GAE118" s="198"/>
      <c r="GAF118" s="199"/>
      <c r="GAG118" s="198"/>
      <c r="GAH118" s="199"/>
      <c r="GAI118" s="198"/>
      <c r="GAJ118" s="199"/>
      <c r="GAK118" s="198"/>
      <c r="GAL118" s="199"/>
      <c r="GAM118" s="198"/>
      <c r="GAN118" s="199"/>
      <c r="GAO118" s="198"/>
      <c r="GAP118" s="199"/>
      <c r="GAQ118" s="198"/>
      <c r="GAR118" s="199"/>
      <c r="GAS118" s="198"/>
      <c r="GAT118" s="199"/>
      <c r="GAU118" s="198"/>
      <c r="GAV118" s="199"/>
      <c r="GAW118" s="198"/>
      <c r="GAX118" s="199"/>
      <c r="GAY118" s="198"/>
      <c r="GAZ118" s="199"/>
      <c r="GBA118" s="198"/>
      <c r="GBB118" s="199"/>
      <c r="GBC118" s="198"/>
      <c r="GBD118" s="199"/>
      <c r="GBE118" s="198"/>
      <c r="GBF118" s="199"/>
      <c r="GBG118" s="198"/>
      <c r="GBH118" s="199"/>
      <c r="GBI118" s="198"/>
      <c r="GBJ118" s="199"/>
      <c r="GBK118" s="198"/>
      <c r="GBL118" s="199"/>
      <c r="GBM118" s="198"/>
      <c r="GBN118" s="199"/>
      <c r="GBO118" s="198"/>
      <c r="GBP118" s="199"/>
      <c r="GBQ118" s="198"/>
      <c r="GBR118" s="199"/>
      <c r="GBS118" s="198"/>
      <c r="GBT118" s="199"/>
      <c r="GBU118" s="198"/>
      <c r="GBV118" s="199"/>
      <c r="GBW118" s="198"/>
      <c r="GBX118" s="199"/>
      <c r="GBY118" s="198"/>
      <c r="GBZ118" s="199"/>
      <c r="GCA118" s="198"/>
      <c r="GCB118" s="199"/>
      <c r="GCC118" s="198"/>
      <c r="GCD118" s="199"/>
      <c r="GCE118" s="198"/>
      <c r="GCF118" s="199"/>
      <c r="GCG118" s="198"/>
      <c r="GCH118" s="199"/>
      <c r="GCI118" s="198"/>
      <c r="GCJ118" s="199"/>
      <c r="GCK118" s="198"/>
      <c r="GCL118" s="199"/>
      <c r="GCM118" s="198"/>
      <c r="GCN118" s="199"/>
      <c r="GCO118" s="198"/>
      <c r="GCP118" s="199"/>
      <c r="GCQ118" s="198"/>
      <c r="GCR118" s="199"/>
      <c r="GCS118" s="198"/>
      <c r="GCT118" s="199"/>
      <c r="GCU118" s="198"/>
      <c r="GCV118" s="199"/>
      <c r="GCW118" s="198"/>
      <c r="GCX118" s="199"/>
      <c r="GCY118" s="198"/>
      <c r="GCZ118" s="199"/>
      <c r="GDA118" s="198"/>
      <c r="GDB118" s="199"/>
      <c r="GDC118" s="198"/>
      <c r="GDD118" s="199"/>
      <c r="GDE118" s="198"/>
      <c r="GDF118" s="199"/>
      <c r="GDG118" s="198"/>
      <c r="GDH118" s="199"/>
      <c r="GDI118" s="198"/>
      <c r="GDJ118" s="199"/>
      <c r="GDK118" s="198"/>
      <c r="GDL118" s="199"/>
      <c r="GDM118" s="198"/>
      <c r="GDN118" s="199"/>
      <c r="GDO118" s="198"/>
      <c r="GDP118" s="199"/>
      <c r="GDQ118" s="198"/>
      <c r="GDR118" s="199"/>
      <c r="GDS118" s="198"/>
      <c r="GDT118" s="199"/>
      <c r="GDU118" s="198"/>
      <c r="GDV118" s="199"/>
      <c r="GDW118" s="198"/>
      <c r="GDX118" s="199"/>
      <c r="GDY118" s="198"/>
      <c r="GDZ118" s="199"/>
      <c r="GEA118" s="198"/>
      <c r="GEB118" s="199"/>
      <c r="GEC118" s="198"/>
      <c r="GED118" s="199"/>
      <c r="GEE118" s="198"/>
      <c r="GEF118" s="199"/>
      <c r="GEG118" s="198"/>
      <c r="GEH118" s="199"/>
      <c r="GEI118" s="198"/>
      <c r="GEJ118" s="199"/>
      <c r="GEK118" s="198"/>
      <c r="GEL118" s="199"/>
      <c r="GEM118" s="198"/>
      <c r="GEN118" s="199"/>
      <c r="GEO118" s="198"/>
      <c r="GEP118" s="199"/>
      <c r="GEQ118" s="198"/>
      <c r="GER118" s="199"/>
      <c r="GES118" s="198"/>
      <c r="GET118" s="199"/>
      <c r="GEU118" s="198"/>
      <c r="GEV118" s="199"/>
      <c r="GEW118" s="198"/>
      <c r="GEX118" s="199"/>
      <c r="GEY118" s="198"/>
      <c r="GEZ118" s="199"/>
      <c r="GFA118" s="198"/>
      <c r="GFB118" s="199"/>
      <c r="GFC118" s="198"/>
      <c r="GFD118" s="199"/>
      <c r="GFE118" s="198"/>
      <c r="GFF118" s="199"/>
      <c r="GFG118" s="198"/>
      <c r="GFH118" s="199"/>
      <c r="GFI118" s="198"/>
      <c r="GFJ118" s="199"/>
      <c r="GFK118" s="198"/>
      <c r="GFL118" s="199"/>
      <c r="GFM118" s="198"/>
      <c r="GFN118" s="199"/>
      <c r="GFO118" s="198"/>
      <c r="GFP118" s="199"/>
      <c r="GFQ118" s="198"/>
      <c r="GFR118" s="199"/>
      <c r="GFS118" s="198"/>
      <c r="GFT118" s="199"/>
      <c r="GFU118" s="198"/>
      <c r="GFV118" s="199"/>
      <c r="GFW118" s="198"/>
      <c r="GFX118" s="199"/>
      <c r="GFY118" s="198"/>
      <c r="GFZ118" s="199"/>
      <c r="GGA118" s="198"/>
      <c r="GGB118" s="199"/>
      <c r="GGC118" s="198"/>
      <c r="GGD118" s="199"/>
      <c r="GGE118" s="198"/>
      <c r="GGF118" s="199"/>
      <c r="GGG118" s="198"/>
      <c r="GGH118" s="199"/>
      <c r="GGI118" s="198"/>
      <c r="GGJ118" s="199"/>
      <c r="GGK118" s="198"/>
      <c r="GGL118" s="199"/>
      <c r="GGM118" s="198"/>
      <c r="GGN118" s="199"/>
      <c r="GGO118" s="198"/>
      <c r="GGP118" s="199"/>
      <c r="GGQ118" s="198"/>
      <c r="GGR118" s="199"/>
      <c r="GGS118" s="198"/>
      <c r="GGT118" s="199"/>
      <c r="GGU118" s="198"/>
      <c r="GGV118" s="199"/>
      <c r="GGW118" s="198"/>
      <c r="GGX118" s="199"/>
      <c r="GGY118" s="198"/>
      <c r="GGZ118" s="199"/>
      <c r="GHA118" s="198"/>
      <c r="GHB118" s="199"/>
      <c r="GHC118" s="198"/>
      <c r="GHD118" s="199"/>
      <c r="GHE118" s="198"/>
      <c r="GHF118" s="199"/>
      <c r="GHG118" s="198"/>
      <c r="GHH118" s="199"/>
      <c r="GHI118" s="198"/>
      <c r="GHJ118" s="199"/>
      <c r="GHK118" s="198"/>
      <c r="GHL118" s="199"/>
      <c r="GHM118" s="198"/>
      <c r="GHN118" s="199"/>
      <c r="GHO118" s="198"/>
      <c r="GHP118" s="199"/>
      <c r="GHQ118" s="198"/>
      <c r="GHR118" s="199"/>
      <c r="GHS118" s="198"/>
      <c r="GHT118" s="199"/>
      <c r="GHU118" s="198"/>
      <c r="GHV118" s="199"/>
      <c r="GHW118" s="198"/>
      <c r="GHX118" s="199"/>
      <c r="GHY118" s="198"/>
      <c r="GHZ118" s="199"/>
      <c r="GIA118" s="198"/>
      <c r="GIB118" s="199"/>
      <c r="GIC118" s="198"/>
      <c r="GID118" s="199"/>
      <c r="GIE118" s="198"/>
      <c r="GIF118" s="199"/>
      <c r="GIG118" s="198"/>
      <c r="GIH118" s="199"/>
      <c r="GII118" s="198"/>
      <c r="GIJ118" s="199"/>
      <c r="GIK118" s="198"/>
      <c r="GIL118" s="199"/>
      <c r="GIM118" s="198"/>
      <c r="GIN118" s="199"/>
      <c r="GIO118" s="198"/>
      <c r="GIP118" s="199"/>
      <c r="GIQ118" s="198"/>
      <c r="GIR118" s="199"/>
      <c r="GIS118" s="198"/>
      <c r="GIT118" s="199"/>
      <c r="GIU118" s="198"/>
      <c r="GIV118" s="199"/>
      <c r="GIW118" s="198"/>
      <c r="GIX118" s="199"/>
      <c r="GIY118" s="198"/>
      <c r="GIZ118" s="199"/>
      <c r="GJA118" s="198"/>
      <c r="GJB118" s="199"/>
      <c r="GJC118" s="198"/>
      <c r="GJD118" s="199"/>
      <c r="GJE118" s="198"/>
      <c r="GJF118" s="199"/>
      <c r="GJG118" s="198"/>
      <c r="GJH118" s="199"/>
      <c r="GJI118" s="198"/>
      <c r="GJJ118" s="199"/>
      <c r="GJK118" s="198"/>
      <c r="GJL118" s="199"/>
      <c r="GJM118" s="198"/>
      <c r="GJN118" s="199"/>
      <c r="GJO118" s="198"/>
      <c r="GJP118" s="199"/>
      <c r="GJQ118" s="198"/>
      <c r="GJR118" s="199"/>
      <c r="GJS118" s="198"/>
      <c r="GJT118" s="199"/>
      <c r="GJU118" s="198"/>
      <c r="GJV118" s="199"/>
      <c r="GJW118" s="198"/>
      <c r="GJX118" s="199"/>
      <c r="GJY118" s="198"/>
      <c r="GJZ118" s="199"/>
      <c r="GKA118" s="198"/>
      <c r="GKB118" s="199"/>
      <c r="GKC118" s="198"/>
      <c r="GKD118" s="199"/>
      <c r="GKE118" s="198"/>
      <c r="GKF118" s="199"/>
      <c r="GKG118" s="198"/>
      <c r="GKH118" s="199"/>
      <c r="GKI118" s="198"/>
      <c r="GKJ118" s="199"/>
      <c r="GKK118" s="198"/>
      <c r="GKL118" s="199"/>
      <c r="GKM118" s="198"/>
      <c r="GKN118" s="199"/>
      <c r="GKO118" s="198"/>
      <c r="GKP118" s="199"/>
      <c r="GKQ118" s="198"/>
      <c r="GKR118" s="199"/>
      <c r="GKS118" s="198"/>
      <c r="GKT118" s="199"/>
      <c r="GKU118" s="198"/>
      <c r="GKV118" s="199"/>
      <c r="GKW118" s="198"/>
      <c r="GKX118" s="199"/>
      <c r="GKY118" s="198"/>
      <c r="GKZ118" s="199"/>
      <c r="GLA118" s="198"/>
      <c r="GLB118" s="199"/>
      <c r="GLC118" s="198"/>
      <c r="GLD118" s="199"/>
      <c r="GLE118" s="198"/>
      <c r="GLF118" s="199"/>
      <c r="GLG118" s="198"/>
      <c r="GLH118" s="199"/>
      <c r="GLI118" s="198"/>
      <c r="GLJ118" s="199"/>
      <c r="GLK118" s="198"/>
      <c r="GLL118" s="199"/>
      <c r="GLM118" s="198"/>
      <c r="GLN118" s="199"/>
      <c r="GLO118" s="198"/>
      <c r="GLP118" s="199"/>
      <c r="GLQ118" s="198"/>
      <c r="GLR118" s="199"/>
      <c r="GLS118" s="198"/>
      <c r="GLT118" s="199"/>
      <c r="GLU118" s="198"/>
      <c r="GLV118" s="199"/>
      <c r="GLW118" s="198"/>
      <c r="GLX118" s="199"/>
      <c r="GLY118" s="198"/>
      <c r="GLZ118" s="199"/>
      <c r="GMA118" s="198"/>
      <c r="GMB118" s="199"/>
      <c r="GMC118" s="198"/>
      <c r="GMD118" s="199"/>
      <c r="GME118" s="198"/>
      <c r="GMF118" s="199"/>
      <c r="GMG118" s="198"/>
      <c r="GMH118" s="199"/>
      <c r="GMI118" s="198"/>
      <c r="GMJ118" s="199"/>
      <c r="GMK118" s="198"/>
      <c r="GML118" s="199"/>
      <c r="GMM118" s="198"/>
      <c r="GMN118" s="199"/>
      <c r="GMO118" s="198"/>
      <c r="GMP118" s="199"/>
      <c r="GMQ118" s="198"/>
      <c r="GMR118" s="199"/>
      <c r="GMS118" s="198"/>
      <c r="GMT118" s="199"/>
      <c r="GMU118" s="198"/>
      <c r="GMV118" s="199"/>
      <c r="GMW118" s="198"/>
      <c r="GMX118" s="199"/>
      <c r="GMY118" s="198"/>
      <c r="GMZ118" s="199"/>
      <c r="GNA118" s="198"/>
      <c r="GNB118" s="199"/>
      <c r="GNC118" s="198"/>
      <c r="GND118" s="199"/>
      <c r="GNE118" s="198"/>
      <c r="GNF118" s="199"/>
      <c r="GNG118" s="198"/>
      <c r="GNH118" s="199"/>
      <c r="GNI118" s="198"/>
      <c r="GNJ118" s="199"/>
      <c r="GNK118" s="198"/>
      <c r="GNL118" s="199"/>
      <c r="GNM118" s="198"/>
      <c r="GNN118" s="199"/>
      <c r="GNO118" s="198"/>
      <c r="GNP118" s="199"/>
      <c r="GNQ118" s="198"/>
      <c r="GNR118" s="199"/>
      <c r="GNS118" s="198"/>
      <c r="GNT118" s="199"/>
      <c r="GNU118" s="198"/>
      <c r="GNV118" s="199"/>
      <c r="GNW118" s="198"/>
      <c r="GNX118" s="199"/>
      <c r="GNY118" s="198"/>
      <c r="GNZ118" s="199"/>
      <c r="GOA118" s="198"/>
      <c r="GOB118" s="199"/>
      <c r="GOC118" s="198"/>
      <c r="GOD118" s="199"/>
      <c r="GOE118" s="198"/>
      <c r="GOF118" s="199"/>
      <c r="GOG118" s="198"/>
      <c r="GOH118" s="199"/>
      <c r="GOI118" s="198"/>
      <c r="GOJ118" s="199"/>
      <c r="GOK118" s="198"/>
      <c r="GOL118" s="199"/>
      <c r="GOM118" s="198"/>
      <c r="GON118" s="199"/>
      <c r="GOO118" s="198"/>
      <c r="GOP118" s="199"/>
      <c r="GOQ118" s="198"/>
      <c r="GOR118" s="199"/>
      <c r="GOS118" s="198"/>
      <c r="GOT118" s="199"/>
      <c r="GOU118" s="198"/>
      <c r="GOV118" s="199"/>
      <c r="GOW118" s="198"/>
      <c r="GOX118" s="199"/>
      <c r="GOY118" s="198"/>
      <c r="GOZ118" s="199"/>
      <c r="GPA118" s="198"/>
      <c r="GPB118" s="199"/>
      <c r="GPC118" s="198"/>
      <c r="GPD118" s="199"/>
      <c r="GPE118" s="198"/>
      <c r="GPF118" s="199"/>
      <c r="GPG118" s="198"/>
      <c r="GPH118" s="199"/>
      <c r="GPI118" s="198"/>
      <c r="GPJ118" s="199"/>
      <c r="GPK118" s="198"/>
      <c r="GPL118" s="199"/>
      <c r="GPM118" s="198"/>
      <c r="GPN118" s="199"/>
      <c r="GPO118" s="198"/>
      <c r="GPP118" s="199"/>
      <c r="GPQ118" s="198"/>
      <c r="GPR118" s="199"/>
      <c r="GPS118" s="198"/>
      <c r="GPT118" s="199"/>
      <c r="GPU118" s="198"/>
      <c r="GPV118" s="199"/>
      <c r="GPW118" s="198"/>
      <c r="GPX118" s="199"/>
      <c r="GPY118" s="198"/>
      <c r="GPZ118" s="199"/>
      <c r="GQA118" s="198"/>
      <c r="GQB118" s="199"/>
      <c r="GQC118" s="198"/>
      <c r="GQD118" s="199"/>
      <c r="GQE118" s="198"/>
      <c r="GQF118" s="199"/>
      <c r="GQG118" s="198"/>
      <c r="GQH118" s="199"/>
      <c r="GQI118" s="198"/>
      <c r="GQJ118" s="199"/>
      <c r="GQK118" s="198"/>
      <c r="GQL118" s="199"/>
      <c r="GQM118" s="198"/>
      <c r="GQN118" s="199"/>
      <c r="GQO118" s="198"/>
      <c r="GQP118" s="199"/>
      <c r="GQQ118" s="198"/>
      <c r="GQR118" s="199"/>
      <c r="GQS118" s="198"/>
      <c r="GQT118" s="199"/>
      <c r="GQU118" s="198"/>
      <c r="GQV118" s="199"/>
      <c r="GQW118" s="198"/>
      <c r="GQX118" s="199"/>
      <c r="GQY118" s="198"/>
      <c r="GQZ118" s="199"/>
      <c r="GRA118" s="198"/>
      <c r="GRB118" s="199"/>
      <c r="GRC118" s="198"/>
      <c r="GRD118" s="199"/>
      <c r="GRE118" s="198"/>
      <c r="GRF118" s="199"/>
      <c r="GRG118" s="198"/>
      <c r="GRH118" s="199"/>
      <c r="GRI118" s="198"/>
      <c r="GRJ118" s="199"/>
      <c r="GRK118" s="198"/>
      <c r="GRL118" s="199"/>
      <c r="GRM118" s="198"/>
      <c r="GRN118" s="199"/>
      <c r="GRO118" s="198"/>
      <c r="GRP118" s="199"/>
      <c r="GRQ118" s="198"/>
      <c r="GRR118" s="199"/>
      <c r="GRS118" s="198"/>
      <c r="GRT118" s="199"/>
      <c r="GRU118" s="198"/>
      <c r="GRV118" s="199"/>
      <c r="GRW118" s="198"/>
      <c r="GRX118" s="199"/>
      <c r="GRY118" s="198"/>
      <c r="GRZ118" s="199"/>
      <c r="GSA118" s="198"/>
      <c r="GSB118" s="199"/>
      <c r="GSC118" s="198"/>
      <c r="GSD118" s="199"/>
      <c r="GSE118" s="198"/>
      <c r="GSF118" s="199"/>
      <c r="GSG118" s="198"/>
      <c r="GSH118" s="199"/>
      <c r="GSI118" s="198"/>
      <c r="GSJ118" s="199"/>
      <c r="GSK118" s="198"/>
      <c r="GSL118" s="199"/>
      <c r="GSM118" s="198"/>
      <c r="GSN118" s="199"/>
      <c r="GSO118" s="198"/>
      <c r="GSP118" s="199"/>
      <c r="GSQ118" s="198"/>
      <c r="GSR118" s="199"/>
      <c r="GSS118" s="198"/>
      <c r="GST118" s="199"/>
      <c r="GSU118" s="198"/>
      <c r="GSV118" s="199"/>
      <c r="GSW118" s="198"/>
      <c r="GSX118" s="199"/>
      <c r="GSY118" s="198"/>
      <c r="GSZ118" s="199"/>
      <c r="GTA118" s="198"/>
      <c r="GTB118" s="199"/>
      <c r="GTC118" s="198"/>
      <c r="GTD118" s="199"/>
      <c r="GTE118" s="198"/>
      <c r="GTF118" s="199"/>
      <c r="GTG118" s="198"/>
      <c r="GTH118" s="199"/>
      <c r="GTI118" s="198"/>
      <c r="GTJ118" s="199"/>
      <c r="GTK118" s="198"/>
      <c r="GTL118" s="199"/>
      <c r="GTM118" s="198"/>
      <c r="GTN118" s="199"/>
      <c r="GTO118" s="198"/>
      <c r="GTP118" s="199"/>
      <c r="GTQ118" s="198"/>
      <c r="GTR118" s="199"/>
      <c r="GTS118" s="198"/>
      <c r="GTT118" s="199"/>
      <c r="GTU118" s="198"/>
      <c r="GTV118" s="199"/>
      <c r="GTW118" s="198"/>
      <c r="GTX118" s="199"/>
      <c r="GTY118" s="198"/>
      <c r="GTZ118" s="199"/>
      <c r="GUA118" s="198"/>
      <c r="GUB118" s="199"/>
      <c r="GUC118" s="198"/>
      <c r="GUD118" s="199"/>
      <c r="GUE118" s="198"/>
      <c r="GUF118" s="199"/>
      <c r="GUG118" s="198"/>
      <c r="GUH118" s="199"/>
      <c r="GUI118" s="198"/>
      <c r="GUJ118" s="199"/>
      <c r="GUK118" s="198"/>
      <c r="GUL118" s="199"/>
      <c r="GUM118" s="198"/>
      <c r="GUN118" s="199"/>
      <c r="GUO118" s="198"/>
      <c r="GUP118" s="199"/>
      <c r="GUQ118" s="198"/>
      <c r="GUR118" s="199"/>
      <c r="GUS118" s="198"/>
      <c r="GUT118" s="199"/>
      <c r="GUU118" s="198"/>
      <c r="GUV118" s="199"/>
      <c r="GUW118" s="198"/>
      <c r="GUX118" s="199"/>
      <c r="GUY118" s="198"/>
      <c r="GUZ118" s="199"/>
      <c r="GVA118" s="198"/>
      <c r="GVB118" s="199"/>
      <c r="GVC118" s="198"/>
      <c r="GVD118" s="199"/>
      <c r="GVE118" s="198"/>
      <c r="GVF118" s="199"/>
      <c r="GVG118" s="198"/>
      <c r="GVH118" s="199"/>
      <c r="GVI118" s="198"/>
      <c r="GVJ118" s="199"/>
      <c r="GVK118" s="198"/>
      <c r="GVL118" s="199"/>
      <c r="GVM118" s="198"/>
      <c r="GVN118" s="199"/>
      <c r="GVO118" s="198"/>
      <c r="GVP118" s="199"/>
      <c r="GVQ118" s="198"/>
      <c r="GVR118" s="199"/>
      <c r="GVS118" s="198"/>
      <c r="GVT118" s="199"/>
      <c r="GVU118" s="198"/>
      <c r="GVV118" s="199"/>
      <c r="GVW118" s="198"/>
      <c r="GVX118" s="199"/>
      <c r="GVY118" s="198"/>
      <c r="GVZ118" s="199"/>
      <c r="GWA118" s="198"/>
      <c r="GWB118" s="199"/>
      <c r="GWC118" s="198"/>
      <c r="GWD118" s="199"/>
      <c r="GWE118" s="198"/>
      <c r="GWF118" s="199"/>
      <c r="GWG118" s="198"/>
      <c r="GWH118" s="199"/>
      <c r="GWI118" s="198"/>
      <c r="GWJ118" s="199"/>
      <c r="GWK118" s="198"/>
      <c r="GWL118" s="199"/>
      <c r="GWM118" s="198"/>
      <c r="GWN118" s="199"/>
      <c r="GWO118" s="198"/>
      <c r="GWP118" s="199"/>
      <c r="GWQ118" s="198"/>
      <c r="GWR118" s="199"/>
      <c r="GWS118" s="198"/>
      <c r="GWT118" s="199"/>
      <c r="GWU118" s="198"/>
      <c r="GWV118" s="199"/>
      <c r="GWW118" s="198"/>
      <c r="GWX118" s="199"/>
      <c r="GWY118" s="198"/>
      <c r="GWZ118" s="199"/>
      <c r="GXA118" s="198"/>
      <c r="GXB118" s="199"/>
      <c r="GXC118" s="198"/>
      <c r="GXD118" s="199"/>
      <c r="GXE118" s="198"/>
      <c r="GXF118" s="199"/>
      <c r="GXG118" s="198"/>
      <c r="GXH118" s="199"/>
      <c r="GXI118" s="198"/>
      <c r="GXJ118" s="199"/>
      <c r="GXK118" s="198"/>
      <c r="GXL118" s="199"/>
      <c r="GXM118" s="198"/>
      <c r="GXN118" s="199"/>
      <c r="GXO118" s="198"/>
      <c r="GXP118" s="199"/>
      <c r="GXQ118" s="198"/>
      <c r="GXR118" s="199"/>
      <c r="GXS118" s="198"/>
      <c r="GXT118" s="199"/>
      <c r="GXU118" s="198"/>
      <c r="GXV118" s="199"/>
      <c r="GXW118" s="198"/>
      <c r="GXX118" s="199"/>
      <c r="GXY118" s="198"/>
      <c r="GXZ118" s="199"/>
      <c r="GYA118" s="198"/>
      <c r="GYB118" s="199"/>
      <c r="GYC118" s="198"/>
      <c r="GYD118" s="199"/>
      <c r="GYE118" s="198"/>
      <c r="GYF118" s="199"/>
      <c r="GYG118" s="198"/>
      <c r="GYH118" s="199"/>
      <c r="GYI118" s="198"/>
      <c r="GYJ118" s="199"/>
      <c r="GYK118" s="198"/>
      <c r="GYL118" s="199"/>
      <c r="GYM118" s="198"/>
      <c r="GYN118" s="199"/>
      <c r="GYO118" s="198"/>
      <c r="GYP118" s="199"/>
      <c r="GYQ118" s="198"/>
      <c r="GYR118" s="199"/>
      <c r="GYS118" s="198"/>
      <c r="GYT118" s="199"/>
      <c r="GYU118" s="198"/>
      <c r="GYV118" s="199"/>
      <c r="GYW118" s="198"/>
      <c r="GYX118" s="199"/>
      <c r="GYY118" s="198"/>
      <c r="GYZ118" s="199"/>
      <c r="GZA118" s="198"/>
      <c r="GZB118" s="199"/>
      <c r="GZC118" s="198"/>
      <c r="GZD118" s="199"/>
      <c r="GZE118" s="198"/>
      <c r="GZF118" s="199"/>
      <c r="GZG118" s="198"/>
      <c r="GZH118" s="199"/>
      <c r="GZI118" s="198"/>
      <c r="GZJ118" s="199"/>
      <c r="GZK118" s="198"/>
      <c r="GZL118" s="199"/>
      <c r="GZM118" s="198"/>
      <c r="GZN118" s="199"/>
      <c r="GZO118" s="198"/>
      <c r="GZP118" s="199"/>
      <c r="GZQ118" s="198"/>
      <c r="GZR118" s="199"/>
      <c r="GZS118" s="198"/>
      <c r="GZT118" s="199"/>
      <c r="GZU118" s="198"/>
      <c r="GZV118" s="199"/>
      <c r="GZW118" s="198"/>
      <c r="GZX118" s="199"/>
      <c r="GZY118" s="198"/>
      <c r="GZZ118" s="199"/>
      <c r="HAA118" s="198"/>
      <c r="HAB118" s="199"/>
      <c r="HAC118" s="198"/>
      <c r="HAD118" s="199"/>
      <c r="HAE118" s="198"/>
      <c r="HAF118" s="199"/>
      <c r="HAG118" s="198"/>
      <c r="HAH118" s="199"/>
      <c r="HAI118" s="198"/>
      <c r="HAJ118" s="199"/>
      <c r="HAK118" s="198"/>
      <c r="HAL118" s="199"/>
      <c r="HAM118" s="198"/>
      <c r="HAN118" s="199"/>
      <c r="HAO118" s="198"/>
      <c r="HAP118" s="199"/>
      <c r="HAQ118" s="198"/>
      <c r="HAR118" s="199"/>
      <c r="HAS118" s="198"/>
      <c r="HAT118" s="199"/>
      <c r="HAU118" s="198"/>
      <c r="HAV118" s="199"/>
      <c r="HAW118" s="198"/>
      <c r="HAX118" s="199"/>
      <c r="HAY118" s="198"/>
      <c r="HAZ118" s="199"/>
      <c r="HBA118" s="198"/>
      <c r="HBB118" s="199"/>
      <c r="HBC118" s="198"/>
      <c r="HBD118" s="199"/>
      <c r="HBE118" s="198"/>
      <c r="HBF118" s="199"/>
      <c r="HBG118" s="198"/>
      <c r="HBH118" s="199"/>
      <c r="HBI118" s="198"/>
      <c r="HBJ118" s="199"/>
      <c r="HBK118" s="198"/>
      <c r="HBL118" s="199"/>
      <c r="HBM118" s="198"/>
      <c r="HBN118" s="199"/>
      <c r="HBO118" s="198"/>
      <c r="HBP118" s="199"/>
      <c r="HBQ118" s="198"/>
      <c r="HBR118" s="199"/>
      <c r="HBS118" s="198"/>
      <c r="HBT118" s="199"/>
      <c r="HBU118" s="198"/>
      <c r="HBV118" s="199"/>
      <c r="HBW118" s="198"/>
      <c r="HBX118" s="199"/>
      <c r="HBY118" s="198"/>
      <c r="HBZ118" s="199"/>
      <c r="HCA118" s="198"/>
      <c r="HCB118" s="199"/>
      <c r="HCC118" s="198"/>
      <c r="HCD118" s="199"/>
      <c r="HCE118" s="198"/>
      <c r="HCF118" s="199"/>
      <c r="HCG118" s="198"/>
      <c r="HCH118" s="199"/>
      <c r="HCI118" s="198"/>
      <c r="HCJ118" s="199"/>
      <c r="HCK118" s="198"/>
      <c r="HCL118" s="199"/>
      <c r="HCM118" s="198"/>
      <c r="HCN118" s="199"/>
      <c r="HCO118" s="198"/>
      <c r="HCP118" s="199"/>
      <c r="HCQ118" s="198"/>
      <c r="HCR118" s="199"/>
      <c r="HCS118" s="198"/>
      <c r="HCT118" s="199"/>
      <c r="HCU118" s="198"/>
      <c r="HCV118" s="199"/>
      <c r="HCW118" s="198"/>
      <c r="HCX118" s="199"/>
      <c r="HCY118" s="198"/>
      <c r="HCZ118" s="199"/>
      <c r="HDA118" s="198"/>
      <c r="HDB118" s="199"/>
      <c r="HDC118" s="198"/>
      <c r="HDD118" s="199"/>
      <c r="HDE118" s="198"/>
      <c r="HDF118" s="199"/>
      <c r="HDG118" s="198"/>
      <c r="HDH118" s="199"/>
      <c r="HDI118" s="198"/>
      <c r="HDJ118" s="199"/>
      <c r="HDK118" s="198"/>
      <c r="HDL118" s="199"/>
      <c r="HDM118" s="198"/>
      <c r="HDN118" s="199"/>
      <c r="HDO118" s="198"/>
      <c r="HDP118" s="199"/>
      <c r="HDQ118" s="198"/>
      <c r="HDR118" s="199"/>
      <c r="HDS118" s="198"/>
      <c r="HDT118" s="199"/>
      <c r="HDU118" s="198"/>
      <c r="HDV118" s="199"/>
      <c r="HDW118" s="198"/>
      <c r="HDX118" s="199"/>
      <c r="HDY118" s="198"/>
      <c r="HDZ118" s="199"/>
      <c r="HEA118" s="198"/>
      <c r="HEB118" s="199"/>
      <c r="HEC118" s="198"/>
      <c r="HED118" s="199"/>
      <c r="HEE118" s="198"/>
      <c r="HEF118" s="199"/>
      <c r="HEG118" s="198"/>
      <c r="HEH118" s="199"/>
      <c r="HEI118" s="198"/>
      <c r="HEJ118" s="199"/>
      <c r="HEK118" s="198"/>
      <c r="HEL118" s="199"/>
      <c r="HEM118" s="198"/>
      <c r="HEN118" s="199"/>
      <c r="HEO118" s="198"/>
      <c r="HEP118" s="199"/>
      <c r="HEQ118" s="198"/>
      <c r="HER118" s="199"/>
      <c r="HES118" s="198"/>
      <c r="HET118" s="199"/>
      <c r="HEU118" s="198"/>
      <c r="HEV118" s="199"/>
      <c r="HEW118" s="198"/>
      <c r="HEX118" s="199"/>
      <c r="HEY118" s="198"/>
      <c r="HEZ118" s="199"/>
      <c r="HFA118" s="198"/>
      <c r="HFB118" s="199"/>
      <c r="HFC118" s="198"/>
      <c r="HFD118" s="199"/>
      <c r="HFE118" s="198"/>
      <c r="HFF118" s="199"/>
      <c r="HFG118" s="198"/>
      <c r="HFH118" s="199"/>
      <c r="HFI118" s="198"/>
      <c r="HFJ118" s="199"/>
      <c r="HFK118" s="198"/>
      <c r="HFL118" s="199"/>
      <c r="HFM118" s="198"/>
      <c r="HFN118" s="199"/>
      <c r="HFO118" s="198"/>
      <c r="HFP118" s="199"/>
      <c r="HFQ118" s="198"/>
      <c r="HFR118" s="199"/>
      <c r="HFS118" s="198"/>
      <c r="HFT118" s="199"/>
      <c r="HFU118" s="198"/>
      <c r="HFV118" s="199"/>
      <c r="HFW118" s="198"/>
      <c r="HFX118" s="199"/>
      <c r="HFY118" s="198"/>
      <c r="HFZ118" s="199"/>
      <c r="HGA118" s="198"/>
      <c r="HGB118" s="199"/>
      <c r="HGC118" s="198"/>
      <c r="HGD118" s="199"/>
      <c r="HGE118" s="198"/>
      <c r="HGF118" s="199"/>
      <c r="HGG118" s="198"/>
      <c r="HGH118" s="199"/>
      <c r="HGI118" s="198"/>
      <c r="HGJ118" s="199"/>
      <c r="HGK118" s="198"/>
      <c r="HGL118" s="199"/>
      <c r="HGM118" s="198"/>
      <c r="HGN118" s="199"/>
      <c r="HGO118" s="198"/>
      <c r="HGP118" s="199"/>
      <c r="HGQ118" s="198"/>
      <c r="HGR118" s="199"/>
      <c r="HGS118" s="198"/>
      <c r="HGT118" s="199"/>
      <c r="HGU118" s="198"/>
      <c r="HGV118" s="199"/>
      <c r="HGW118" s="198"/>
      <c r="HGX118" s="199"/>
      <c r="HGY118" s="198"/>
      <c r="HGZ118" s="199"/>
      <c r="HHA118" s="198"/>
      <c r="HHB118" s="199"/>
      <c r="HHC118" s="198"/>
      <c r="HHD118" s="199"/>
      <c r="HHE118" s="198"/>
      <c r="HHF118" s="199"/>
      <c r="HHG118" s="198"/>
      <c r="HHH118" s="199"/>
      <c r="HHI118" s="198"/>
      <c r="HHJ118" s="199"/>
      <c r="HHK118" s="198"/>
      <c r="HHL118" s="199"/>
      <c r="HHM118" s="198"/>
      <c r="HHN118" s="199"/>
      <c r="HHO118" s="198"/>
      <c r="HHP118" s="199"/>
      <c r="HHQ118" s="198"/>
      <c r="HHR118" s="199"/>
      <c r="HHS118" s="198"/>
      <c r="HHT118" s="199"/>
      <c r="HHU118" s="198"/>
      <c r="HHV118" s="199"/>
      <c r="HHW118" s="198"/>
      <c r="HHX118" s="199"/>
      <c r="HHY118" s="198"/>
      <c r="HHZ118" s="199"/>
      <c r="HIA118" s="198"/>
      <c r="HIB118" s="199"/>
      <c r="HIC118" s="198"/>
      <c r="HID118" s="199"/>
      <c r="HIE118" s="198"/>
      <c r="HIF118" s="199"/>
      <c r="HIG118" s="198"/>
      <c r="HIH118" s="199"/>
      <c r="HII118" s="198"/>
      <c r="HIJ118" s="199"/>
      <c r="HIK118" s="198"/>
      <c r="HIL118" s="199"/>
      <c r="HIM118" s="198"/>
      <c r="HIN118" s="199"/>
      <c r="HIO118" s="198"/>
      <c r="HIP118" s="199"/>
      <c r="HIQ118" s="198"/>
      <c r="HIR118" s="199"/>
      <c r="HIS118" s="198"/>
      <c r="HIT118" s="199"/>
      <c r="HIU118" s="198"/>
      <c r="HIV118" s="199"/>
      <c r="HIW118" s="198"/>
      <c r="HIX118" s="199"/>
      <c r="HIY118" s="198"/>
      <c r="HIZ118" s="199"/>
      <c r="HJA118" s="198"/>
      <c r="HJB118" s="199"/>
      <c r="HJC118" s="198"/>
      <c r="HJD118" s="199"/>
      <c r="HJE118" s="198"/>
      <c r="HJF118" s="199"/>
      <c r="HJG118" s="198"/>
      <c r="HJH118" s="199"/>
      <c r="HJI118" s="198"/>
      <c r="HJJ118" s="199"/>
      <c r="HJK118" s="198"/>
      <c r="HJL118" s="199"/>
      <c r="HJM118" s="198"/>
      <c r="HJN118" s="199"/>
      <c r="HJO118" s="198"/>
      <c r="HJP118" s="199"/>
      <c r="HJQ118" s="198"/>
      <c r="HJR118" s="199"/>
      <c r="HJS118" s="198"/>
      <c r="HJT118" s="199"/>
      <c r="HJU118" s="198"/>
      <c r="HJV118" s="199"/>
      <c r="HJW118" s="198"/>
      <c r="HJX118" s="199"/>
      <c r="HJY118" s="198"/>
      <c r="HJZ118" s="199"/>
      <c r="HKA118" s="198"/>
      <c r="HKB118" s="199"/>
      <c r="HKC118" s="198"/>
      <c r="HKD118" s="199"/>
      <c r="HKE118" s="198"/>
      <c r="HKF118" s="199"/>
      <c r="HKG118" s="198"/>
      <c r="HKH118" s="199"/>
      <c r="HKI118" s="198"/>
      <c r="HKJ118" s="199"/>
      <c r="HKK118" s="198"/>
      <c r="HKL118" s="199"/>
      <c r="HKM118" s="198"/>
      <c r="HKN118" s="199"/>
      <c r="HKO118" s="198"/>
      <c r="HKP118" s="199"/>
      <c r="HKQ118" s="198"/>
      <c r="HKR118" s="199"/>
      <c r="HKS118" s="198"/>
      <c r="HKT118" s="199"/>
      <c r="HKU118" s="198"/>
      <c r="HKV118" s="199"/>
      <c r="HKW118" s="198"/>
      <c r="HKX118" s="199"/>
      <c r="HKY118" s="198"/>
      <c r="HKZ118" s="199"/>
      <c r="HLA118" s="198"/>
      <c r="HLB118" s="199"/>
      <c r="HLC118" s="198"/>
      <c r="HLD118" s="199"/>
      <c r="HLE118" s="198"/>
      <c r="HLF118" s="199"/>
      <c r="HLG118" s="198"/>
      <c r="HLH118" s="199"/>
      <c r="HLI118" s="198"/>
      <c r="HLJ118" s="199"/>
      <c r="HLK118" s="198"/>
      <c r="HLL118" s="199"/>
      <c r="HLM118" s="198"/>
      <c r="HLN118" s="199"/>
      <c r="HLO118" s="198"/>
      <c r="HLP118" s="199"/>
      <c r="HLQ118" s="198"/>
      <c r="HLR118" s="199"/>
      <c r="HLS118" s="198"/>
      <c r="HLT118" s="199"/>
      <c r="HLU118" s="198"/>
      <c r="HLV118" s="199"/>
      <c r="HLW118" s="198"/>
      <c r="HLX118" s="199"/>
      <c r="HLY118" s="198"/>
      <c r="HLZ118" s="199"/>
      <c r="HMA118" s="198"/>
      <c r="HMB118" s="199"/>
      <c r="HMC118" s="198"/>
      <c r="HMD118" s="199"/>
      <c r="HME118" s="198"/>
      <c r="HMF118" s="199"/>
      <c r="HMG118" s="198"/>
      <c r="HMH118" s="199"/>
      <c r="HMI118" s="198"/>
      <c r="HMJ118" s="199"/>
      <c r="HMK118" s="198"/>
      <c r="HML118" s="199"/>
      <c r="HMM118" s="198"/>
      <c r="HMN118" s="199"/>
      <c r="HMO118" s="198"/>
      <c r="HMP118" s="199"/>
      <c r="HMQ118" s="198"/>
      <c r="HMR118" s="199"/>
      <c r="HMS118" s="198"/>
      <c r="HMT118" s="199"/>
      <c r="HMU118" s="198"/>
      <c r="HMV118" s="199"/>
      <c r="HMW118" s="198"/>
      <c r="HMX118" s="199"/>
      <c r="HMY118" s="198"/>
      <c r="HMZ118" s="199"/>
      <c r="HNA118" s="198"/>
      <c r="HNB118" s="199"/>
      <c r="HNC118" s="198"/>
      <c r="HND118" s="199"/>
      <c r="HNE118" s="198"/>
      <c r="HNF118" s="199"/>
      <c r="HNG118" s="198"/>
      <c r="HNH118" s="199"/>
      <c r="HNI118" s="198"/>
      <c r="HNJ118" s="199"/>
      <c r="HNK118" s="198"/>
      <c r="HNL118" s="199"/>
      <c r="HNM118" s="198"/>
      <c r="HNN118" s="199"/>
      <c r="HNO118" s="198"/>
      <c r="HNP118" s="199"/>
      <c r="HNQ118" s="198"/>
      <c r="HNR118" s="199"/>
      <c r="HNS118" s="198"/>
      <c r="HNT118" s="199"/>
      <c r="HNU118" s="198"/>
      <c r="HNV118" s="199"/>
      <c r="HNW118" s="198"/>
      <c r="HNX118" s="199"/>
      <c r="HNY118" s="198"/>
      <c r="HNZ118" s="199"/>
      <c r="HOA118" s="198"/>
      <c r="HOB118" s="199"/>
      <c r="HOC118" s="198"/>
      <c r="HOD118" s="199"/>
      <c r="HOE118" s="198"/>
      <c r="HOF118" s="199"/>
      <c r="HOG118" s="198"/>
      <c r="HOH118" s="199"/>
      <c r="HOI118" s="198"/>
      <c r="HOJ118" s="199"/>
      <c r="HOK118" s="198"/>
      <c r="HOL118" s="199"/>
      <c r="HOM118" s="198"/>
      <c r="HON118" s="199"/>
      <c r="HOO118" s="198"/>
      <c r="HOP118" s="199"/>
      <c r="HOQ118" s="198"/>
      <c r="HOR118" s="199"/>
      <c r="HOS118" s="198"/>
      <c r="HOT118" s="199"/>
      <c r="HOU118" s="198"/>
      <c r="HOV118" s="199"/>
      <c r="HOW118" s="198"/>
      <c r="HOX118" s="199"/>
      <c r="HOY118" s="198"/>
      <c r="HOZ118" s="199"/>
      <c r="HPA118" s="198"/>
      <c r="HPB118" s="199"/>
      <c r="HPC118" s="198"/>
      <c r="HPD118" s="199"/>
      <c r="HPE118" s="198"/>
      <c r="HPF118" s="199"/>
      <c r="HPG118" s="198"/>
      <c r="HPH118" s="199"/>
      <c r="HPI118" s="198"/>
      <c r="HPJ118" s="199"/>
      <c r="HPK118" s="198"/>
      <c r="HPL118" s="199"/>
      <c r="HPM118" s="198"/>
      <c r="HPN118" s="199"/>
      <c r="HPO118" s="198"/>
      <c r="HPP118" s="199"/>
      <c r="HPQ118" s="198"/>
      <c r="HPR118" s="199"/>
      <c r="HPS118" s="198"/>
      <c r="HPT118" s="199"/>
      <c r="HPU118" s="198"/>
      <c r="HPV118" s="199"/>
      <c r="HPW118" s="198"/>
      <c r="HPX118" s="199"/>
      <c r="HPY118" s="198"/>
      <c r="HPZ118" s="199"/>
      <c r="HQA118" s="198"/>
      <c r="HQB118" s="199"/>
      <c r="HQC118" s="198"/>
      <c r="HQD118" s="199"/>
      <c r="HQE118" s="198"/>
      <c r="HQF118" s="199"/>
      <c r="HQG118" s="198"/>
      <c r="HQH118" s="199"/>
      <c r="HQI118" s="198"/>
      <c r="HQJ118" s="199"/>
      <c r="HQK118" s="198"/>
      <c r="HQL118" s="199"/>
      <c r="HQM118" s="198"/>
      <c r="HQN118" s="199"/>
      <c r="HQO118" s="198"/>
      <c r="HQP118" s="199"/>
      <c r="HQQ118" s="198"/>
      <c r="HQR118" s="199"/>
      <c r="HQS118" s="198"/>
      <c r="HQT118" s="199"/>
      <c r="HQU118" s="198"/>
      <c r="HQV118" s="199"/>
      <c r="HQW118" s="198"/>
      <c r="HQX118" s="199"/>
      <c r="HQY118" s="198"/>
      <c r="HQZ118" s="199"/>
      <c r="HRA118" s="198"/>
      <c r="HRB118" s="199"/>
      <c r="HRC118" s="198"/>
      <c r="HRD118" s="199"/>
      <c r="HRE118" s="198"/>
      <c r="HRF118" s="199"/>
      <c r="HRG118" s="198"/>
      <c r="HRH118" s="199"/>
      <c r="HRI118" s="198"/>
      <c r="HRJ118" s="199"/>
      <c r="HRK118" s="198"/>
      <c r="HRL118" s="199"/>
      <c r="HRM118" s="198"/>
      <c r="HRN118" s="199"/>
      <c r="HRO118" s="198"/>
      <c r="HRP118" s="199"/>
      <c r="HRQ118" s="198"/>
      <c r="HRR118" s="199"/>
      <c r="HRS118" s="198"/>
      <c r="HRT118" s="199"/>
      <c r="HRU118" s="198"/>
      <c r="HRV118" s="199"/>
      <c r="HRW118" s="198"/>
      <c r="HRX118" s="199"/>
      <c r="HRY118" s="198"/>
      <c r="HRZ118" s="199"/>
      <c r="HSA118" s="198"/>
      <c r="HSB118" s="199"/>
      <c r="HSC118" s="198"/>
      <c r="HSD118" s="199"/>
      <c r="HSE118" s="198"/>
      <c r="HSF118" s="199"/>
      <c r="HSG118" s="198"/>
      <c r="HSH118" s="199"/>
      <c r="HSI118" s="198"/>
      <c r="HSJ118" s="199"/>
      <c r="HSK118" s="198"/>
      <c r="HSL118" s="199"/>
      <c r="HSM118" s="198"/>
      <c r="HSN118" s="199"/>
      <c r="HSO118" s="198"/>
      <c r="HSP118" s="199"/>
      <c r="HSQ118" s="198"/>
      <c r="HSR118" s="199"/>
      <c r="HSS118" s="198"/>
      <c r="HST118" s="199"/>
      <c r="HSU118" s="198"/>
      <c r="HSV118" s="199"/>
      <c r="HSW118" s="198"/>
      <c r="HSX118" s="199"/>
      <c r="HSY118" s="198"/>
      <c r="HSZ118" s="199"/>
      <c r="HTA118" s="198"/>
      <c r="HTB118" s="199"/>
      <c r="HTC118" s="198"/>
      <c r="HTD118" s="199"/>
      <c r="HTE118" s="198"/>
      <c r="HTF118" s="199"/>
      <c r="HTG118" s="198"/>
      <c r="HTH118" s="199"/>
      <c r="HTI118" s="198"/>
      <c r="HTJ118" s="199"/>
      <c r="HTK118" s="198"/>
      <c r="HTL118" s="199"/>
      <c r="HTM118" s="198"/>
      <c r="HTN118" s="199"/>
      <c r="HTO118" s="198"/>
      <c r="HTP118" s="199"/>
      <c r="HTQ118" s="198"/>
      <c r="HTR118" s="199"/>
      <c r="HTS118" s="198"/>
      <c r="HTT118" s="199"/>
      <c r="HTU118" s="198"/>
      <c r="HTV118" s="199"/>
      <c r="HTW118" s="198"/>
      <c r="HTX118" s="199"/>
      <c r="HTY118" s="198"/>
      <c r="HTZ118" s="199"/>
      <c r="HUA118" s="198"/>
      <c r="HUB118" s="199"/>
      <c r="HUC118" s="198"/>
      <c r="HUD118" s="199"/>
      <c r="HUE118" s="198"/>
      <c r="HUF118" s="199"/>
      <c r="HUG118" s="198"/>
      <c r="HUH118" s="199"/>
      <c r="HUI118" s="198"/>
      <c r="HUJ118" s="199"/>
      <c r="HUK118" s="198"/>
      <c r="HUL118" s="199"/>
      <c r="HUM118" s="198"/>
      <c r="HUN118" s="199"/>
      <c r="HUO118" s="198"/>
      <c r="HUP118" s="199"/>
      <c r="HUQ118" s="198"/>
      <c r="HUR118" s="199"/>
      <c r="HUS118" s="198"/>
      <c r="HUT118" s="199"/>
      <c r="HUU118" s="198"/>
      <c r="HUV118" s="199"/>
      <c r="HUW118" s="198"/>
      <c r="HUX118" s="199"/>
      <c r="HUY118" s="198"/>
      <c r="HUZ118" s="199"/>
      <c r="HVA118" s="198"/>
      <c r="HVB118" s="199"/>
      <c r="HVC118" s="198"/>
      <c r="HVD118" s="199"/>
      <c r="HVE118" s="198"/>
      <c r="HVF118" s="199"/>
      <c r="HVG118" s="198"/>
      <c r="HVH118" s="199"/>
      <c r="HVI118" s="198"/>
      <c r="HVJ118" s="199"/>
      <c r="HVK118" s="198"/>
      <c r="HVL118" s="199"/>
      <c r="HVM118" s="198"/>
      <c r="HVN118" s="199"/>
      <c r="HVO118" s="198"/>
      <c r="HVP118" s="199"/>
      <c r="HVQ118" s="198"/>
      <c r="HVR118" s="199"/>
      <c r="HVS118" s="198"/>
      <c r="HVT118" s="199"/>
      <c r="HVU118" s="198"/>
      <c r="HVV118" s="199"/>
      <c r="HVW118" s="198"/>
      <c r="HVX118" s="199"/>
      <c r="HVY118" s="198"/>
      <c r="HVZ118" s="199"/>
      <c r="HWA118" s="198"/>
      <c r="HWB118" s="199"/>
      <c r="HWC118" s="198"/>
      <c r="HWD118" s="199"/>
      <c r="HWE118" s="198"/>
      <c r="HWF118" s="199"/>
      <c r="HWG118" s="198"/>
      <c r="HWH118" s="199"/>
      <c r="HWI118" s="198"/>
      <c r="HWJ118" s="199"/>
      <c r="HWK118" s="198"/>
      <c r="HWL118" s="199"/>
      <c r="HWM118" s="198"/>
      <c r="HWN118" s="199"/>
      <c r="HWO118" s="198"/>
      <c r="HWP118" s="199"/>
      <c r="HWQ118" s="198"/>
      <c r="HWR118" s="199"/>
      <c r="HWS118" s="198"/>
      <c r="HWT118" s="199"/>
      <c r="HWU118" s="198"/>
      <c r="HWV118" s="199"/>
      <c r="HWW118" s="198"/>
      <c r="HWX118" s="199"/>
      <c r="HWY118" s="198"/>
      <c r="HWZ118" s="199"/>
      <c r="HXA118" s="198"/>
      <c r="HXB118" s="199"/>
      <c r="HXC118" s="198"/>
      <c r="HXD118" s="199"/>
      <c r="HXE118" s="198"/>
      <c r="HXF118" s="199"/>
      <c r="HXG118" s="198"/>
      <c r="HXH118" s="199"/>
      <c r="HXI118" s="198"/>
      <c r="HXJ118" s="199"/>
      <c r="HXK118" s="198"/>
      <c r="HXL118" s="199"/>
      <c r="HXM118" s="198"/>
      <c r="HXN118" s="199"/>
      <c r="HXO118" s="198"/>
      <c r="HXP118" s="199"/>
      <c r="HXQ118" s="198"/>
      <c r="HXR118" s="199"/>
      <c r="HXS118" s="198"/>
      <c r="HXT118" s="199"/>
      <c r="HXU118" s="198"/>
      <c r="HXV118" s="199"/>
      <c r="HXW118" s="198"/>
      <c r="HXX118" s="199"/>
      <c r="HXY118" s="198"/>
      <c r="HXZ118" s="199"/>
      <c r="HYA118" s="198"/>
      <c r="HYB118" s="199"/>
      <c r="HYC118" s="198"/>
      <c r="HYD118" s="199"/>
      <c r="HYE118" s="198"/>
      <c r="HYF118" s="199"/>
      <c r="HYG118" s="198"/>
      <c r="HYH118" s="199"/>
      <c r="HYI118" s="198"/>
      <c r="HYJ118" s="199"/>
      <c r="HYK118" s="198"/>
      <c r="HYL118" s="199"/>
      <c r="HYM118" s="198"/>
      <c r="HYN118" s="199"/>
      <c r="HYO118" s="198"/>
      <c r="HYP118" s="199"/>
      <c r="HYQ118" s="198"/>
      <c r="HYR118" s="199"/>
      <c r="HYS118" s="198"/>
      <c r="HYT118" s="199"/>
      <c r="HYU118" s="198"/>
      <c r="HYV118" s="199"/>
      <c r="HYW118" s="198"/>
      <c r="HYX118" s="199"/>
      <c r="HYY118" s="198"/>
      <c r="HYZ118" s="199"/>
      <c r="HZA118" s="198"/>
      <c r="HZB118" s="199"/>
      <c r="HZC118" s="198"/>
      <c r="HZD118" s="199"/>
      <c r="HZE118" s="198"/>
      <c r="HZF118" s="199"/>
      <c r="HZG118" s="198"/>
      <c r="HZH118" s="199"/>
      <c r="HZI118" s="198"/>
      <c r="HZJ118" s="199"/>
      <c r="HZK118" s="198"/>
      <c r="HZL118" s="199"/>
      <c r="HZM118" s="198"/>
      <c r="HZN118" s="199"/>
      <c r="HZO118" s="198"/>
      <c r="HZP118" s="199"/>
      <c r="HZQ118" s="198"/>
      <c r="HZR118" s="199"/>
      <c r="HZS118" s="198"/>
      <c r="HZT118" s="199"/>
      <c r="HZU118" s="198"/>
      <c r="HZV118" s="199"/>
      <c r="HZW118" s="198"/>
      <c r="HZX118" s="199"/>
      <c r="HZY118" s="198"/>
      <c r="HZZ118" s="199"/>
      <c r="IAA118" s="198"/>
      <c r="IAB118" s="199"/>
      <c r="IAC118" s="198"/>
      <c r="IAD118" s="199"/>
      <c r="IAE118" s="198"/>
      <c r="IAF118" s="199"/>
      <c r="IAG118" s="198"/>
      <c r="IAH118" s="199"/>
      <c r="IAI118" s="198"/>
      <c r="IAJ118" s="199"/>
      <c r="IAK118" s="198"/>
      <c r="IAL118" s="199"/>
      <c r="IAM118" s="198"/>
      <c r="IAN118" s="199"/>
      <c r="IAO118" s="198"/>
      <c r="IAP118" s="199"/>
      <c r="IAQ118" s="198"/>
      <c r="IAR118" s="199"/>
      <c r="IAS118" s="198"/>
      <c r="IAT118" s="199"/>
      <c r="IAU118" s="198"/>
      <c r="IAV118" s="199"/>
      <c r="IAW118" s="198"/>
      <c r="IAX118" s="199"/>
      <c r="IAY118" s="198"/>
      <c r="IAZ118" s="199"/>
      <c r="IBA118" s="198"/>
      <c r="IBB118" s="199"/>
      <c r="IBC118" s="198"/>
      <c r="IBD118" s="199"/>
      <c r="IBE118" s="198"/>
      <c r="IBF118" s="199"/>
      <c r="IBG118" s="198"/>
      <c r="IBH118" s="199"/>
      <c r="IBI118" s="198"/>
      <c r="IBJ118" s="199"/>
      <c r="IBK118" s="198"/>
      <c r="IBL118" s="199"/>
      <c r="IBM118" s="198"/>
      <c r="IBN118" s="199"/>
      <c r="IBO118" s="198"/>
      <c r="IBP118" s="199"/>
      <c r="IBQ118" s="198"/>
      <c r="IBR118" s="199"/>
      <c r="IBS118" s="198"/>
      <c r="IBT118" s="199"/>
      <c r="IBU118" s="198"/>
      <c r="IBV118" s="199"/>
      <c r="IBW118" s="198"/>
      <c r="IBX118" s="199"/>
      <c r="IBY118" s="198"/>
      <c r="IBZ118" s="199"/>
      <c r="ICA118" s="198"/>
      <c r="ICB118" s="199"/>
      <c r="ICC118" s="198"/>
      <c r="ICD118" s="199"/>
      <c r="ICE118" s="198"/>
      <c r="ICF118" s="199"/>
      <c r="ICG118" s="198"/>
      <c r="ICH118" s="199"/>
      <c r="ICI118" s="198"/>
      <c r="ICJ118" s="199"/>
      <c r="ICK118" s="198"/>
      <c r="ICL118" s="199"/>
      <c r="ICM118" s="198"/>
      <c r="ICN118" s="199"/>
      <c r="ICO118" s="198"/>
      <c r="ICP118" s="199"/>
      <c r="ICQ118" s="198"/>
      <c r="ICR118" s="199"/>
      <c r="ICS118" s="198"/>
      <c r="ICT118" s="199"/>
      <c r="ICU118" s="198"/>
      <c r="ICV118" s="199"/>
      <c r="ICW118" s="198"/>
      <c r="ICX118" s="199"/>
      <c r="ICY118" s="198"/>
      <c r="ICZ118" s="199"/>
      <c r="IDA118" s="198"/>
      <c r="IDB118" s="199"/>
      <c r="IDC118" s="198"/>
      <c r="IDD118" s="199"/>
      <c r="IDE118" s="198"/>
      <c r="IDF118" s="199"/>
      <c r="IDG118" s="198"/>
      <c r="IDH118" s="199"/>
      <c r="IDI118" s="198"/>
      <c r="IDJ118" s="199"/>
      <c r="IDK118" s="198"/>
      <c r="IDL118" s="199"/>
      <c r="IDM118" s="198"/>
      <c r="IDN118" s="199"/>
      <c r="IDO118" s="198"/>
      <c r="IDP118" s="199"/>
      <c r="IDQ118" s="198"/>
      <c r="IDR118" s="199"/>
      <c r="IDS118" s="198"/>
      <c r="IDT118" s="199"/>
      <c r="IDU118" s="198"/>
      <c r="IDV118" s="199"/>
      <c r="IDW118" s="198"/>
      <c r="IDX118" s="199"/>
      <c r="IDY118" s="198"/>
      <c r="IDZ118" s="199"/>
      <c r="IEA118" s="198"/>
      <c r="IEB118" s="199"/>
      <c r="IEC118" s="198"/>
      <c r="IED118" s="199"/>
      <c r="IEE118" s="198"/>
      <c r="IEF118" s="199"/>
      <c r="IEG118" s="198"/>
      <c r="IEH118" s="199"/>
      <c r="IEI118" s="198"/>
      <c r="IEJ118" s="199"/>
      <c r="IEK118" s="198"/>
      <c r="IEL118" s="199"/>
      <c r="IEM118" s="198"/>
      <c r="IEN118" s="199"/>
      <c r="IEO118" s="198"/>
      <c r="IEP118" s="199"/>
      <c r="IEQ118" s="198"/>
      <c r="IER118" s="199"/>
      <c r="IES118" s="198"/>
      <c r="IET118" s="199"/>
      <c r="IEU118" s="198"/>
      <c r="IEV118" s="199"/>
      <c r="IEW118" s="198"/>
      <c r="IEX118" s="199"/>
      <c r="IEY118" s="198"/>
      <c r="IEZ118" s="199"/>
      <c r="IFA118" s="198"/>
      <c r="IFB118" s="199"/>
      <c r="IFC118" s="198"/>
      <c r="IFD118" s="199"/>
      <c r="IFE118" s="198"/>
      <c r="IFF118" s="199"/>
      <c r="IFG118" s="198"/>
      <c r="IFH118" s="199"/>
      <c r="IFI118" s="198"/>
      <c r="IFJ118" s="199"/>
      <c r="IFK118" s="198"/>
      <c r="IFL118" s="199"/>
      <c r="IFM118" s="198"/>
      <c r="IFN118" s="199"/>
      <c r="IFO118" s="198"/>
      <c r="IFP118" s="199"/>
      <c r="IFQ118" s="198"/>
      <c r="IFR118" s="199"/>
      <c r="IFS118" s="198"/>
      <c r="IFT118" s="199"/>
      <c r="IFU118" s="198"/>
      <c r="IFV118" s="199"/>
      <c r="IFW118" s="198"/>
      <c r="IFX118" s="199"/>
      <c r="IFY118" s="198"/>
      <c r="IFZ118" s="199"/>
      <c r="IGA118" s="198"/>
      <c r="IGB118" s="199"/>
      <c r="IGC118" s="198"/>
      <c r="IGD118" s="199"/>
      <c r="IGE118" s="198"/>
      <c r="IGF118" s="199"/>
      <c r="IGG118" s="198"/>
      <c r="IGH118" s="199"/>
      <c r="IGI118" s="198"/>
      <c r="IGJ118" s="199"/>
      <c r="IGK118" s="198"/>
      <c r="IGL118" s="199"/>
      <c r="IGM118" s="198"/>
      <c r="IGN118" s="199"/>
      <c r="IGO118" s="198"/>
      <c r="IGP118" s="199"/>
      <c r="IGQ118" s="198"/>
      <c r="IGR118" s="199"/>
      <c r="IGS118" s="198"/>
      <c r="IGT118" s="199"/>
      <c r="IGU118" s="198"/>
      <c r="IGV118" s="199"/>
      <c r="IGW118" s="198"/>
      <c r="IGX118" s="199"/>
      <c r="IGY118" s="198"/>
      <c r="IGZ118" s="199"/>
      <c r="IHA118" s="198"/>
      <c r="IHB118" s="199"/>
      <c r="IHC118" s="198"/>
      <c r="IHD118" s="199"/>
      <c r="IHE118" s="198"/>
      <c r="IHF118" s="199"/>
      <c r="IHG118" s="198"/>
      <c r="IHH118" s="199"/>
      <c r="IHI118" s="198"/>
      <c r="IHJ118" s="199"/>
      <c r="IHK118" s="198"/>
      <c r="IHL118" s="199"/>
      <c r="IHM118" s="198"/>
      <c r="IHN118" s="199"/>
      <c r="IHO118" s="198"/>
      <c r="IHP118" s="199"/>
      <c r="IHQ118" s="198"/>
      <c r="IHR118" s="199"/>
      <c r="IHS118" s="198"/>
      <c r="IHT118" s="199"/>
      <c r="IHU118" s="198"/>
      <c r="IHV118" s="199"/>
      <c r="IHW118" s="198"/>
      <c r="IHX118" s="199"/>
      <c r="IHY118" s="198"/>
      <c r="IHZ118" s="199"/>
      <c r="IIA118" s="198"/>
      <c r="IIB118" s="199"/>
      <c r="IIC118" s="198"/>
      <c r="IID118" s="199"/>
      <c r="IIE118" s="198"/>
      <c r="IIF118" s="199"/>
      <c r="IIG118" s="198"/>
      <c r="IIH118" s="199"/>
      <c r="III118" s="198"/>
      <c r="IIJ118" s="199"/>
      <c r="IIK118" s="198"/>
      <c r="IIL118" s="199"/>
      <c r="IIM118" s="198"/>
      <c r="IIN118" s="199"/>
      <c r="IIO118" s="198"/>
      <c r="IIP118" s="199"/>
      <c r="IIQ118" s="198"/>
      <c r="IIR118" s="199"/>
      <c r="IIS118" s="198"/>
      <c r="IIT118" s="199"/>
      <c r="IIU118" s="198"/>
      <c r="IIV118" s="199"/>
      <c r="IIW118" s="198"/>
      <c r="IIX118" s="199"/>
      <c r="IIY118" s="198"/>
      <c r="IIZ118" s="199"/>
      <c r="IJA118" s="198"/>
      <c r="IJB118" s="199"/>
      <c r="IJC118" s="198"/>
      <c r="IJD118" s="199"/>
      <c r="IJE118" s="198"/>
      <c r="IJF118" s="199"/>
      <c r="IJG118" s="198"/>
      <c r="IJH118" s="199"/>
      <c r="IJI118" s="198"/>
      <c r="IJJ118" s="199"/>
      <c r="IJK118" s="198"/>
      <c r="IJL118" s="199"/>
      <c r="IJM118" s="198"/>
      <c r="IJN118" s="199"/>
      <c r="IJO118" s="198"/>
      <c r="IJP118" s="199"/>
      <c r="IJQ118" s="198"/>
      <c r="IJR118" s="199"/>
      <c r="IJS118" s="198"/>
      <c r="IJT118" s="199"/>
      <c r="IJU118" s="198"/>
      <c r="IJV118" s="199"/>
      <c r="IJW118" s="198"/>
      <c r="IJX118" s="199"/>
      <c r="IJY118" s="198"/>
      <c r="IJZ118" s="199"/>
      <c r="IKA118" s="198"/>
      <c r="IKB118" s="199"/>
      <c r="IKC118" s="198"/>
      <c r="IKD118" s="199"/>
      <c r="IKE118" s="198"/>
      <c r="IKF118" s="199"/>
      <c r="IKG118" s="198"/>
      <c r="IKH118" s="199"/>
      <c r="IKI118" s="198"/>
      <c r="IKJ118" s="199"/>
      <c r="IKK118" s="198"/>
      <c r="IKL118" s="199"/>
      <c r="IKM118" s="198"/>
      <c r="IKN118" s="199"/>
      <c r="IKO118" s="198"/>
      <c r="IKP118" s="199"/>
      <c r="IKQ118" s="198"/>
      <c r="IKR118" s="199"/>
      <c r="IKS118" s="198"/>
      <c r="IKT118" s="199"/>
      <c r="IKU118" s="198"/>
      <c r="IKV118" s="199"/>
      <c r="IKW118" s="198"/>
      <c r="IKX118" s="199"/>
      <c r="IKY118" s="198"/>
      <c r="IKZ118" s="199"/>
      <c r="ILA118" s="198"/>
      <c r="ILB118" s="199"/>
      <c r="ILC118" s="198"/>
      <c r="ILD118" s="199"/>
      <c r="ILE118" s="198"/>
      <c r="ILF118" s="199"/>
      <c r="ILG118" s="198"/>
      <c r="ILH118" s="199"/>
      <c r="ILI118" s="198"/>
      <c r="ILJ118" s="199"/>
      <c r="ILK118" s="198"/>
      <c r="ILL118" s="199"/>
      <c r="ILM118" s="198"/>
      <c r="ILN118" s="199"/>
      <c r="ILO118" s="198"/>
      <c r="ILP118" s="199"/>
      <c r="ILQ118" s="198"/>
      <c r="ILR118" s="199"/>
      <c r="ILS118" s="198"/>
      <c r="ILT118" s="199"/>
      <c r="ILU118" s="198"/>
      <c r="ILV118" s="199"/>
      <c r="ILW118" s="198"/>
      <c r="ILX118" s="199"/>
      <c r="ILY118" s="198"/>
      <c r="ILZ118" s="199"/>
      <c r="IMA118" s="198"/>
      <c r="IMB118" s="199"/>
      <c r="IMC118" s="198"/>
      <c r="IMD118" s="199"/>
      <c r="IME118" s="198"/>
      <c r="IMF118" s="199"/>
      <c r="IMG118" s="198"/>
      <c r="IMH118" s="199"/>
      <c r="IMI118" s="198"/>
      <c r="IMJ118" s="199"/>
      <c r="IMK118" s="198"/>
      <c r="IML118" s="199"/>
      <c r="IMM118" s="198"/>
      <c r="IMN118" s="199"/>
      <c r="IMO118" s="198"/>
      <c r="IMP118" s="199"/>
      <c r="IMQ118" s="198"/>
      <c r="IMR118" s="199"/>
      <c r="IMS118" s="198"/>
      <c r="IMT118" s="199"/>
      <c r="IMU118" s="198"/>
      <c r="IMV118" s="199"/>
      <c r="IMW118" s="198"/>
      <c r="IMX118" s="199"/>
      <c r="IMY118" s="198"/>
      <c r="IMZ118" s="199"/>
      <c r="INA118" s="198"/>
      <c r="INB118" s="199"/>
      <c r="INC118" s="198"/>
      <c r="IND118" s="199"/>
      <c r="INE118" s="198"/>
      <c r="INF118" s="199"/>
      <c r="ING118" s="198"/>
      <c r="INH118" s="199"/>
      <c r="INI118" s="198"/>
      <c r="INJ118" s="199"/>
      <c r="INK118" s="198"/>
      <c r="INL118" s="199"/>
      <c r="INM118" s="198"/>
      <c r="INN118" s="199"/>
      <c r="INO118" s="198"/>
      <c r="INP118" s="199"/>
      <c r="INQ118" s="198"/>
      <c r="INR118" s="199"/>
      <c r="INS118" s="198"/>
      <c r="INT118" s="199"/>
      <c r="INU118" s="198"/>
      <c r="INV118" s="199"/>
      <c r="INW118" s="198"/>
      <c r="INX118" s="199"/>
      <c r="INY118" s="198"/>
      <c r="INZ118" s="199"/>
      <c r="IOA118" s="198"/>
      <c r="IOB118" s="199"/>
      <c r="IOC118" s="198"/>
      <c r="IOD118" s="199"/>
      <c r="IOE118" s="198"/>
      <c r="IOF118" s="199"/>
      <c r="IOG118" s="198"/>
      <c r="IOH118" s="199"/>
      <c r="IOI118" s="198"/>
      <c r="IOJ118" s="199"/>
      <c r="IOK118" s="198"/>
      <c r="IOL118" s="199"/>
      <c r="IOM118" s="198"/>
      <c r="ION118" s="199"/>
      <c r="IOO118" s="198"/>
      <c r="IOP118" s="199"/>
      <c r="IOQ118" s="198"/>
      <c r="IOR118" s="199"/>
      <c r="IOS118" s="198"/>
      <c r="IOT118" s="199"/>
      <c r="IOU118" s="198"/>
      <c r="IOV118" s="199"/>
      <c r="IOW118" s="198"/>
      <c r="IOX118" s="199"/>
      <c r="IOY118" s="198"/>
      <c r="IOZ118" s="199"/>
      <c r="IPA118" s="198"/>
      <c r="IPB118" s="199"/>
      <c r="IPC118" s="198"/>
      <c r="IPD118" s="199"/>
      <c r="IPE118" s="198"/>
      <c r="IPF118" s="199"/>
      <c r="IPG118" s="198"/>
      <c r="IPH118" s="199"/>
      <c r="IPI118" s="198"/>
      <c r="IPJ118" s="199"/>
      <c r="IPK118" s="198"/>
      <c r="IPL118" s="199"/>
      <c r="IPM118" s="198"/>
      <c r="IPN118" s="199"/>
      <c r="IPO118" s="198"/>
      <c r="IPP118" s="199"/>
      <c r="IPQ118" s="198"/>
      <c r="IPR118" s="199"/>
      <c r="IPS118" s="198"/>
      <c r="IPT118" s="199"/>
      <c r="IPU118" s="198"/>
      <c r="IPV118" s="199"/>
      <c r="IPW118" s="198"/>
      <c r="IPX118" s="199"/>
      <c r="IPY118" s="198"/>
      <c r="IPZ118" s="199"/>
      <c r="IQA118" s="198"/>
      <c r="IQB118" s="199"/>
      <c r="IQC118" s="198"/>
      <c r="IQD118" s="199"/>
      <c r="IQE118" s="198"/>
      <c r="IQF118" s="199"/>
      <c r="IQG118" s="198"/>
      <c r="IQH118" s="199"/>
      <c r="IQI118" s="198"/>
      <c r="IQJ118" s="199"/>
      <c r="IQK118" s="198"/>
      <c r="IQL118" s="199"/>
      <c r="IQM118" s="198"/>
      <c r="IQN118" s="199"/>
      <c r="IQO118" s="198"/>
      <c r="IQP118" s="199"/>
      <c r="IQQ118" s="198"/>
      <c r="IQR118" s="199"/>
      <c r="IQS118" s="198"/>
      <c r="IQT118" s="199"/>
      <c r="IQU118" s="198"/>
      <c r="IQV118" s="199"/>
      <c r="IQW118" s="198"/>
      <c r="IQX118" s="199"/>
      <c r="IQY118" s="198"/>
      <c r="IQZ118" s="199"/>
      <c r="IRA118" s="198"/>
      <c r="IRB118" s="199"/>
      <c r="IRC118" s="198"/>
      <c r="IRD118" s="199"/>
      <c r="IRE118" s="198"/>
      <c r="IRF118" s="199"/>
      <c r="IRG118" s="198"/>
      <c r="IRH118" s="199"/>
      <c r="IRI118" s="198"/>
      <c r="IRJ118" s="199"/>
      <c r="IRK118" s="198"/>
      <c r="IRL118" s="199"/>
      <c r="IRM118" s="198"/>
      <c r="IRN118" s="199"/>
      <c r="IRO118" s="198"/>
      <c r="IRP118" s="199"/>
      <c r="IRQ118" s="198"/>
      <c r="IRR118" s="199"/>
      <c r="IRS118" s="198"/>
      <c r="IRT118" s="199"/>
      <c r="IRU118" s="198"/>
      <c r="IRV118" s="199"/>
      <c r="IRW118" s="198"/>
      <c r="IRX118" s="199"/>
      <c r="IRY118" s="198"/>
      <c r="IRZ118" s="199"/>
      <c r="ISA118" s="198"/>
      <c r="ISB118" s="199"/>
      <c r="ISC118" s="198"/>
      <c r="ISD118" s="199"/>
      <c r="ISE118" s="198"/>
      <c r="ISF118" s="199"/>
      <c r="ISG118" s="198"/>
      <c r="ISH118" s="199"/>
      <c r="ISI118" s="198"/>
      <c r="ISJ118" s="199"/>
      <c r="ISK118" s="198"/>
      <c r="ISL118" s="199"/>
      <c r="ISM118" s="198"/>
      <c r="ISN118" s="199"/>
      <c r="ISO118" s="198"/>
      <c r="ISP118" s="199"/>
      <c r="ISQ118" s="198"/>
      <c r="ISR118" s="199"/>
      <c r="ISS118" s="198"/>
      <c r="IST118" s="199"/>
      <c r="ISU118" s="198"/>
      <c r="ISV118" s="199"/>
      <c r="ISW118" s="198"/>
      <c r="ISX118" s="199"/>
      <c r="ISY118" s="198"/>
      <c r="ISZ118" s="199"/>
      <c r="ITA118" s="198"/>
      <c r="ITB118" s="199"/>
      <c r="ITC118" s="198"/>
      <c r="ITD118" s="199"/>
      <c r="ITE118" s="198"/>
      <c r="ITF118" s="199"/>
      <c r="ITG118" s="198"/>
      <c r="ITH118" s="199"/>
      <c r="ITI118" s="198"/>
      <c r="ITJ118" s="199"/>
      <c r="ITK118" s="198"/>
      <c r="ITL118" s="199"/>
      <c r="ITM118" s="198"/>
      <c r="ITN118" s="199"/>
      <c r="ITO118" s="198"/>
      <c r="ITP118" s="199"/>
      <c r="ITQ118" s="198"/>
      <c r="ITR118" s="199"/>
      <c r="ITS118" s="198"/>
      <c r="ITT118" s="199"/>
      <c r="ITU118" s="198"/>
      <c r="ITV118" s="199"/>
      <c r="ITW118" s="198"/>
      <c r="ITX118" s="199"/>
      <c r="ITY118" s="198"/>
      <c r="ITZ118" s="199"/>
      <c r="IUA118" s="198"/>
      <c r="IUB118" s="199"/>
      <c r="IUC118" s="198"/>
      <c r="IUD118" s="199"/>
      <c r="IUE118" s="198"/>
      <c r="IUF118" s="199"/>
      <c r="IUG118" s="198"/>
      <c r="IUH118" s="199"/>
      <c r="IUI118" s="198"/>
      <c r="IUJ118" s="199"/>
      <c r="IUK118" s="198"/>
      <c r="IUL118" s="199"/>
      <c r="IUM118" s="198"/>
      <c r="IUN118" s="199"/>
      <c r="IUO118" s="198"/>
      <c r="IUP118" s="199"/>
      <c r="IUQ118" s="198"/>
      <c r="IUR118" s="199"/>
      <c r="IUS118" s="198"/>
      <c r="IUT118" s="199"/>
      <c r="IUU118" s="198"/>
      <c r="IUV118" s="199"/>
      <c r="IUW118" s="198"/>
      <c r="IUX118" s="199"/>
      <c r="IUY118" s="198"/>
      <c r="IUZ118" s="199"/>
      <c r="IVA118" s="198"/>
      <c r="IVB118" s="199"/>
      <c r="IVC118" s="198"/>
      <c r="IVD118" s="199"/>
      <c r="IVE118" s="198"/>
      <c r="IVF118" s="199"/>
      <c r="IVG118" s="198"/>
      <c r="IVH118" s="199"/>
      <c r="IVI118" s="198"/>
      <c r="IVJ118" s="199"/>
      <c r="IVK118" s="198"/>
      <c r="IVL118" s="199"/>
      <c r="IVM118" s="198"/>
      <c r="IVN118" s="199"/>
      <c r="IVO118" s="198"/>
      <c r="IVP118" s="199"/>
      <c r="IVQ118" s="198"/>
      <c r="IVR118" s="199"/>
      <c r="IVS118" s="198"/>
      <c r="IVT118" s="199"/>
      <c r="IVU118" s="198"/>
      <c r="IVV118" s="199"/>
      <c r="IVW118" s="198"/>
      <c r="IVX118" s="199"/>
      <c r="IVY118" s="198"/>
      <c r="IVZ118" s="199"/>
      <c r="IWA118" s="198"/>
      <c r="IWB118" s="199"/>
      <c r="IWC118" s="198"/>
      <c r="IWD118" s="199"/>
      <c r="IWE118" s="198"/>
      <c r="IWF118" s="199"/>
      <c r="IWG118" s="198"/>
      <c r="IWH118" s="199"/>
      <c r="IWI118" s="198"/>
      <c r="IWJ118" s="199"/>
      <c r="IWK118" s="198"/>
      <c r="IWL118" s="199"/>
      <c r="IWM118" s="198"/>
      <c r="IWN118" s="199"/>
      <c r="IWO118" s="198"/>
      <c r="IWP118" s="199"/>
      <c r="IWQ118" s="198"/>
      <c r="IWR118" s="199"/>
      <c r="IWS118" s="198"/>
      <c r="IWT118" s="199"/>
      <c r="IWU118" s="198"/>
      <c r="IWV118" s="199"/>
      <c r="IWW118" s="198"/>
      <c r="IWX118" s="199"/>
      <c r="IWY118" s="198"/>
      <c r="IWZ118" s="199"/>
      <c r="IXA118" s="198"/>
      <c r="IXB118" s="199"/>
      <c r="IXC118" s="198"/>
      <c r="IXD118" s="199"/>
      <c r="IXE118" s="198"/>
      <c r="IXF118" s="199"/>
      <c r="IXG118" s="198"/>
      <c r="IXH118" s="199"/>
      <c r="IXI118" s="198"/>
      <c r="IXJ118" s="199"/>
      <c r="IXK118" s="198"/>
      <c r="IXL118" s="199"/>
      <c r="IXM118" s="198"/>
      <c r="IXN118" s="199"/>
      <c r="IXO118" s="198"/>
      <c r="IXP118" s="199"/>
      <c r="IXQ118" s="198"/>
      <c r="IXR118" s="199"/>
      <c r="IXS118" s="198"/>
      <c r="IXT118" s="199"/>
      <c r="IXU118" s="198"/>
      <c r="IXV118" s="199"/>
      <c r="IXW118" s="198"/>
      <c r="IXX118" s="199"/>
      <c r="IXY118" s="198"/>
      <c r="IXZ118" s="199"/>
      <c r="IYA118" s="198"/>
      <c r="IYB118" s="199"/>
      <c r="IYC118" s="198"/>
      <c r="IYD118" s="199"/>
      <c r="IYE118" s="198"/>
      <c r="IYF118" s="199"/>
      <c r="IYG118" s="198"/>
      <c r="IYH118" s="199"/>
      <c r="IYI118" s="198"/>
      <c r="IYJ118" s="199"/>
      <c r="IYK118" s="198"/>
      <c r="IYL118" s="199"/>
      <c r="IYM118" s="198"/>
      <c r="IYN118" s="199"/>
      <c r="IYO118" s="198"/>
      <c r="IYP118" s="199"/>
      <c r="IYQ118" s="198"/>
      <c r="IYR118" s="199"/>
      <c r="IYS118" s="198"/>
      <c r="IYT118" s="199"/>
      <c r="IYU118" s="198"/>
      <c r="IYV118" s="199"/>
      <c r="IYW118" s="198"/>
      <c r="IYX118" s="199"/>
      <c r="IYY118" s="198"/>
      <c r="IYZ118" s="199"/>
      <c r="IZA118" s="198"/>
      <c r="IZB118" s="199"/>
      <c r="IZC118" s="198"/>
      <c r="IZD118" s="199"/>
      <c r="IZE118" s="198"/>
      <c r="IZF118" s="199"/>
      <c r="IZG118" s="198"/>
      <c r="IZH118" s="199"/>
      <c r="IZI118" s="198"/>
      <c r="IZJ118" s="199"/>
      <c r="IZK118" s="198"/>
      <c r="IZL118" s="199"/>
      <c r="IZM118" s="198"/>
      <c r="IZN118" s="199"/>
      <c r="IZO118" s="198"/>
      <c r="IZP118" s="199"/>
      <c r="IZQ118" s="198"/>
      <c r="IZR118" s="199"/>
      <c r="IZS118" s="198"/>
      <c r="IZT118" s="199"/>
      <c r="IZU118" s="198"/>
      <c r="IZV118" s="199"/>
      <c r="IZW118" s="198"/>
      <c r="IZX118" s="199"/>
      <c r="IZY118" s="198"/>
      <c r="IZZ118" s="199"/>
      <c r="JAA118" s="198"/>
      <c r="JAB118" s="199"/>
      <c r="JAC118" s="198"/>
      <c r="JAD118" s="199"/>
      <c r="JAE118" s="198"/>
      <c r="JAF118" s="199"/>
      <c r="JAG118" s="198"/>
      <c r="JAH118" s="199"/>
      <c r="JAI118" s="198"/>
      <c r="JAJ118" s="199"/>
      <c r="JAK118" s="198"/>
      <c r="JAL118" s="199"/>
      <c r="JAM118" s="198"/>
      <c r="JAN118" s="199"/>
      <c r="JAO118" s="198"/>
      <c r="JAP118" s="199"/>
      <c r="JAQ118" s="198"/>
      <c r="JAR118" s="199"/>
      <c r="JAS118" s="198"/>
      <c r="JAT118" s="199"/>
      <c r="JAU118" s="198"/>
      <c r="JAV118" s="199"/>
      <c r="JAW118" s="198"/>
      <c r="JAX118" s="199"/>
      <c r="JAY118" s="198"/>
      <c r="JAZ118" s="199"/>
      <c r="JBA118" s="198"/>
      <c r="JBB118" s="199"/>
      <c r="JBC118" s="198"/>
      <c r="JBD118" s="199"/>
      <c r="JBE118" s="198"/>
      <c r="JBF118" s="199"/>
      <c r="JBG118" s="198"/>
      <c r="JBH118" s="199"/>
      <c r="JBI118" s="198"/>
      <c r="JBJ118" s="199"/>
      <c r="JBK118" s="198"/>
      <c r="JBL118" s="199"/>
      <c r="JBM118" s="198"/>
      <c r="JBN118" s="199"/>
      <c r="JBO118" s="198"/>
      <c r="JBP118" s="199"/>
      <c r="JBQ118" s="198"/>
      <c r="JBR118" s="199"/>
      <c r="JBS118" s="198"/>
      <c r="JBT118" s="199"/>
      <c r="JBU118" s="198"/>
      <c r="JBV118" s="199"/>
      <c r="JBW118" s="198"/>
      <c r="JBX118" s="199"/>
      <c r="JBY118" s="198"/>
      <c r="JBZ118" s="199"/>
      <c r="JCA118" s="198"/>
      <c r="JCB118" s="199"/>
      <c r="JCC118" s="198"/>
      <c r="JCD118" s="199"/>
      <c r="JCE118" s="198"/>
      <c r="JCF118" s="199"/>
      <c r="JCG118" s="198"/>
      <c r="JCH118" s="199"/>
      <c r="JCI118" s="198"/>
      <c r="JCJ118" s="199"/>
      <c r="JCK118" s="198"/>
      <c r="JCL118" s="199"/>
      <c r="JCM118" s="198"/>
      <c r="JCN118" s="199"/>
      <c r="JCO118" s="198"/>
      <c r="JCP118" s="199"/>
      <c r="JCQ118" s="198"/>
      <c r="JCR118" s="199"/>
      <c r="JCS118" s="198"/>
      <c r="JCT118" s="199"/>
      <c r="JCU118" s="198"/>
      <c r="JCV118" s="199"/>
      <c r="JCW118" s="198"/>
      <c r="JCX118" s="199"/>
      <c r="JCY118" s="198"/>
      <c r="JCZ118" s="199"/>
      <c r="JDA118" s="198"/>
      <c r="JDB118" s="199"/>
      <c r="JDC118" s="198"/>
      <c r="JDD118" s="199"/>
      <c r="JDE118" s="198"/>
      <c r="JDF118" s="199"/>
      <c r="JDG118" s="198"/>
      <c r="JDH118" s="199"/>
      <c r="JDI118" s="198"/>
      <c r="JDJ118" s="199"/>
      <c r="JDK118" s="198"/>
      <c r="JDL118" s="199"/>
      <c r="JDM118" s="198"/>
      <c r="JDN118" s="199"/>
      <c r="JDO118" s="198"/>
      <c r="JDP118" s="199"/>
      <c r="JDQ118" s="198"/>
      <c r="JDR118" s="199"/>
      <c r="JDS118" s="198"/>
      <c r="JDT118" s="199"/>
      <c r="JDU118" s="198"/>
      <c r="JDV118" s="199"/>
      <c r="JDW118" s="198"/>
      <c r="JDX118" s="199"/>
      <c r="JDY118" s="198"/>
      <c r="JDZ118" s="199"/>
      <c r="JEA118" s="198"/>
      <c r="JEB118" s="199"/>
      <c r="JEC118" s="198"/>
      <c r="JED118" s="199"/>
      <c r="JEE118" s="198"/>
      <c r="JEF118" s="199"/>
      <c r="JEG118" s="198"/>
      <c r="JEH118" s="199"/>
      <c r="JEI118" s="198"/>
      <c r="JEJ118" s="199"/>
      <c r="JEK118" s="198"/>
      <c r="JEL118" s="199"/>
      <c r="JEM118" s="198"/>
      <c r="JEN118" s="199"/>
      <c r="JEO118" s="198"/>
      <c r="JEP118" s="199"/>
      <c r="JEQ118" s="198"/>
      <c r="JER118" s="199"/>
      <c r="JES118" s="198"/>
      <c r="JET118" s="199"/>
      <c r="JEU118" s="198"/>
      <c r="JEV118" s="199"/>
      <c r="JEW118" s="198"/>
      <c r="JEX118" s="199"/>
      <c r="JEY118" s="198"/>
      <c r="JEZ118" s="199"/>
      <c r="JFA118" s="198"/>
      <c r="JFB118" s="199"/>
      <c r="JFC118" s="198"/>
      <c r="JFD118" s="199"/>
      <c r="JFE118" s="198"/>
      <c r="JFF118" s="199"/>
      <c r="JFG118" s="198"/>
      <c r="JFH118" s="199"/>
      <c r="JFI118" s="198"/>
      <c r="JFJ118" s="199"/>
      <c r="JFK118" s="198"/>
      <c r="JFL118" s="199"/>
      <c r="JFM118" s="198"/>
      <c r="JFN118" s="199"/>
      <c r="JFO118" s="198"/>
      <c r="JFP118" s="199"/>
      <c r="JFQ118" s="198"/>
      <c r="JFR118" s="199"/>
      <c r="JFS118" s="198"/>
      <c r="JFT118" s="199"/>
      <c r="JFU118" s="198"/>
      <c r="JFV118" s="199"/>
      <c r="JFW118" s="198"/>
      <c r="JFX118" s="199"/>
      <c r="JFY118" s="198"/>
      <c r="JFZ118" s="199"/>
      <c r="JGA118" s="198"/>
      <c r="JGB118" s="199"/>
      <c r="JGC118" s="198"/>
      <c r="JGD118" s="199"/>
      <c r="JGE118" s="198"/>
      <c r="JGF118" s="199"/>
      <c r="JGG118" s="198"/>
      <c r="JGH118" s="199"/>
      <c r="JGI118" s="198"/>
      <c r="JGJ118" s="199"/>
      <c r="JGK118" s="198"/>
      <c r="JGL118" s="199"/>
      <c r="JGM118" s="198"/>
      <c r="JGN118" s="199"/>
      <c r="JGO118" s="198"/>
      <c r="JGP118" s="199"/>
      <c r="JGQ118" s="198"/>
      <c r="JGR118" s="199"/>
      <c r="JGS118" s="198"/>
      <c r="JGT118" s="199"/>
      <c r="JGU118" s="198"/>
      <c r="JGV118" s="199"/>
      <c r="JGW118" s="198"/>
      <c r="JGX118" s="199"/>
      <c r="JGY118" s="198"/>
      <c r="JGZ118" s="199"/>
      <c r="JHA118" s="198"/>
      <c r="JHB118" s="199"/>
      <c r="JHC118" s="198"/>
      <c r="JHD118" s="199"/>
      <c r="JHE118" s="198"/>
      <c r="JHF118" s="199"/>
      <c r="JHG118" s="198"/>
      <c r="JHH118" s="199"/>
      <c r="JHI118" s="198"/>
      <c r="JHJ118" s="199"/>
      <c r="JHK118" s="198"/>
      <c r="JHL118" s="199"/>
      <c r="JHM118" s="198"/>
      <c r="JHN118" s="199"/>
      <c r="JHO118" s="198"/>
      <c r="JHP118" s="199"/>
      <c r="JHQ118" s="198"/>
      <c r="JHR118" s="199"/>
      <c r="JHS118" s="198"/>
      <c r="JHT118" s="199"/>
      <c r="JHU118" s="198"/>
      <c r="JHV118" s="199"/>
      <c r="JHW118" s="198"/>
      <c r="JHX118" s="199"/>
      <c r="JHY118" s="198"/>
      <c r="JHZ118" s="199"/>
      <c r="JIA118" s="198"/>
      <c r="JIB118" s="199"/>
      <c r="JIC118" s="198"/>
      <c r="JID118" s="199"/>
      <c r="JIE118" s="198"/>
      <c r="JIF118" s="199"/>
      <c r="JIG118" s="198"/>
      <c r="JIH118" s="199"/>
      <c r="JII118" s="198"/>
      <c r="JIJ118" s="199"/>
      <c r="JIK118" s="198"/>
      <c r="JIL118" s="199"/>
      <c r="JIM118" s="198"/>
      <c r="JIN118" s="199"/>
      <c r="JIO118" s="198"/>
      <c r="JIP118" s="199"/>
      <c r="JIQ118" s="198"/>
      <c r="JIR118" s="199"/>
      <c r="JIS118" s="198"/>
      <c r="JIT118" s="199"/>
      <c r="JIU118" s="198"/>
      <c r="JIV118" s="199"/>
      <c r="JIW118" s="198"/>
      <c r="JIX118" s="199"/>
      <c r="JIY118" s="198"/>
      <c r="JIZ118" s="199"/>
      <c r="JJA118" s="198"/>
      <c r="JJB118" s="199"/>
      <c r="JJC118" s="198"/>
      <c r="JJD118" s="199"/>
      <c r="JJE118" s="198"/>
      <c r="JJF118" s="199"/>
      <c r="JJG118" s="198"/>
      <c r="JJH118" s="199"/>
      <c r="JJI118" s="198"/>
      <c r="JJJ118" s="199"/>
      <c r="JJK118" s="198"/>
      <c r="JJL118" s="199"/>
      <c r="JJM118" s="198"/>
      <c r="JJN118" s="199"/>
      <c r="JJO118" s="198"/>
      <c r="JJP118" s="199"/>
      <c r="JJQ118" s="198"/>
      <c r="JJR118" s="199"/>
      <c r="JJS118" s="198"/>
      <c r="JJT118" s="199"/>
      <c r="JJU118" s="198"/>
      <c r="JJV118" s="199"/>
      <c r="JJW118" s="198"/>
      <c r="JJX118" s="199"/>
      <c r="JJY118" s="198"/>
      <c r="JJZ118" s="199"/>
      <c r="JKA118" s="198"/>
      <c r="JKB118" s="199"/>
      <c r="JKC118" s="198"/>
      <c r="JKD118" s="199"/>
      <c r="JKE118" s="198"/>
      <c r="JKF118" s="199"/>
      <c r="JKG118" s="198"/>
      <c r="JKH118" s="199"/>
      <c r="JKI118" s="198"/>
      <c r="JKJ118" s="199"/>
      <c r="JKK118" s="198"/>
      <c r="JKL118" s="199"/>
      <c r="JKM118" s="198"/>
      <c r="JKN118" s="199"/>
      <c r="JKO118" s="198"/>
      <c r="JKP118" s="199"/>
      <c r="JKQ118" s="198"/>
      <c r="JKR118" s="199"/>
      <c r="JKS118" s="198"/>
      <c r="JKT118" s="199"/>
      <c r="JKU118" s="198"/>
      <c r="JKV118" s="199"/>
      <c r="JKW118" s="198"/>
      <c r="JKX118" s="199"/>
      <c r="JKY118" s="198"/>
      <c r="JKZ118" s="199"/>
      <c r="JLA118" s="198"/>
      <c r="JLB118" s="199"/>
      <c r="JLC118" s="198"/>
      <c r="JLD118" s="199"/>
      <c r="JLE118" s="198"/>
      <c r="JLF118" s="199"/>
      <c r="JLG118" s="198"/>
      <c r="JLH118" s="199"/>
      <c r="JLI118" s="198"/>
      <c r="JLJ118" s="199"/>
      <c r="JLK118" s="198"/>
      <c r="JLL118" s="199"/>
      <c r="JLM118" s="198"/>
      <c r="JLN118" s="199"/>
      <c r="JLO118" s="198"/>
      <c r="JLP118" s="199"/>
      <c r="JLQ118" s="198"/>
      <c r="JLR118" s="199"/>
      <c r="JLS118" s="198"/>
      <c r="JLT118" s="199"/>
      <c r="JLU118" s="198"/>
      <c r="JLV118" s="199"/>
      <c r="JLW118" s="198"/>
      <c r="JLX118" s="199"/>
      <c r="JLY118" s="198"/>
      <c r="JLZ118" s="199"/>
      <c r="JMA118" s="198"/>
      <c r="JMB118" s="199"/>
      <c r="JMC118" s="198"/>
      <c r="JMD118" s="199"/>
      <c r="JME118" s="198"/>
      <c r="JMF118" s="199"/>
      <c r="JMG118" s="198"/>
      <c r="JMH118" s="199"/>
      <c r="JMI118" s="198"/>
      <c r="JMJ118" s="199"/>
      <c r="JMK118" s="198"/>
      <c r="JML118" s="199"/>
      <c r="JMM118" s="198"/>
      <c r="JMN118" s="199"/>
      <c r="JMO118" s="198"/>
      <c r="JMP118" s="199"/>
      <c r="JMQ118" s="198"/>
      <c r="JMR118" s="199"/>
      <c r="JMS118" s="198"/>
      <c r="JMT118" s="199"/>
      <c r="JMU118" s="198"/>
      <c r="JMV118" s="199"/>
      <c r="JMW118" s="198"/>
      <c r="JMX118" s="199"/>
      <c r="JMY118" s="198"/>
      <c r="JMZ118" s="199"/>
      <c r="JNA118" s="198"/>
      <c r="JNB118" s="199"/>
      <c r="JNC118" s="198"/>
      <c r="JND118" s="199"/>
      <c r="JNE118" s="198"/>
      <c r="JNF118" s="199"/>
      <c r="JNG118" s="198"/>
      <c r="JNH118" s="199"/>
      <c r="JNI118" s="198"/>
      <c r="JNJ118" s="199"/>
      <c r="JNK118" s="198"/>
      <c r="JNL118" s="199"/>
      <c r="JNM118" s="198"/>
      <c r="JNN118" s="199"/>
      <c r="JNO118" s="198"/>
      <c r="JNP118" s="199"/>
      <c r="JNQ118" s="198"/>
      <c r="JNR118" s="199"/>
      <c r="JNS118" s="198"/>
      <c r="JNT118" s="199"/>
      <c r="JNU118" s="198"/>
      <c r="JNV118" s="199"/>
      <c r="JNW118" s="198"/>
      <c r="JNX118" s="199"/>
      <c r="JNY118" s="198"/>
      <c r="JNZ118" s="199"/>
      <c r="JOA118" s="198"/>
      <c r="JOB118" s="199"/>
      <c r="JOC118" s="198"/>
      <c r="JOD118" s="199"/>
      <c r="JOE118" s="198"/>
      <c r="JOF118" s="199"/>
      <c r="JOG118" s="198"/>
      <c r="JOH118" s="199"/>
      <c r="JOI118" s="198"/>
      <c r="JOJ118" s="199"/>
      <c r="JOK118" s="198"/>
      <c r="JOL118" s="199"/>
      <c r="JOM118" s="198"/>
      <c r="JON118" s="199"/>
      <c r="JOO118" s="198"/>
      <c r="JOP118" s="199"/>
      <c r="JOQ118" s="198"/>
      <c r="JOR118" s="199"/>
      <c r="JOS118" s="198"/>
      <c r="JOT118" s="199"/>
      <c r="JOU118" s="198"/>
      <c r="JOV118" s="199"/>
      <c r="JOW118" s="198"/>
      <c r="JOX118" s="199"/>
      <c r="JOY118" s="198"/>
      <c r="JOZ118" s="199"/>
      <c r="JPA118" s="198"/>
      <c r="JPB118" s="199"/>
      <c r="JPC118" s="198"/>
      <c r="JPD118" s="199"/>
      <c r="JPE118" s="198"/>
      <c r="JPF118" s="199"/>
      <c r="JPG118" s="198"/>
      <c r="JPH118" s="199"/>
      <c r="JPI118" s="198"/>
      <c r="JPJ118" s="199"/>
      <c r="JPK118" s="198"/>
      <c r="JPL118" s="199"/>
      <c r="JPM118" s="198"/>
      <c r="JPN118" s="199"/>
      <c r="JPO118" s="198"/>
      <c r="JPP118" s="199"/>
      <c r="JPQ118" s="198"/>
      <c r="JPR118" s="199"/>
      <c r="JPS118" s="198"/>
      <c r="JPT118" s="199"/>
      <c r="JPU118" s="198"/>
      <c r="JPV118" s="199"/>
      <c r="JPW118" s="198"/>
      <c r="JPX118" s="199"/>
      <c r="JPY118" s="198"/>
      <c r="JPZ118" s="199"/>
      <c r="JQA118" s="198"/>
      <c r="JQB118" s="199"/>
      <c r="JQC118" s="198"/>
      <c r="JQD118" s="199"/>
      <c r="JQE118" s="198"/>
      <c r="JQF118" s="199"/>
      <c r="JQG118" s="198"/>
      <c r="JQH118" s="199"/>
      <c r="JQI118" s="198"/>
      <c r="JQJ118" s="199"/>
      <c r="JQK118" s="198"/>
      <c r="JQL118" s="199"/>
      <c r="JQM118" s="198"/>
      <c r="JQN118" s="199"/>
      <c r="JQO118" s="198"/>
      <c r="JQP118" s="199"/>
      <c r="JQQ118" s="198"/>
      <c r="JQR118" s="199"/>
      <c r="JQS118" s="198"/>
      <c r="JQT118" s="199"/>
      <c r="JQU118" s="198"/>
      <c r="JQV118" s="199"/>
      <c r="JQW118" s="198"/>
      <c r="JQX118" s="199"/>
      <c r="JQY118" s="198"/>
      <c r="JQZ118" s="199"/>
      <c r="JRA118" s="198"/>
      <c r="JRB118" s="199"/>
      <c r="JRC118" s="198"/>
      <c r="JRD118" s="199"/>
      <c r="JRE118" s="198"/>
      <c r="JRF118" s="199"/>
      <c r="JRG118" s="198"/>
      <c r="JRH118" s="199"/>
      <c r="JRI118" s="198"/>
      <c r="JRJ118" s="199"/>
      <c r="JRK118" s="198"/>
      <c r="JRL118" s="199"/>
      <c r="JRM118" s="198"/>
      <c r="JRN118" s="199"/>
      <c r="JRO118" s="198"/>
      <c r="JRP118" s="199"/>
      <c r="JRQ118" s="198"/>
      <c r="JRR118" s="199"/>
      <c r="JRS118" s="198"/>
      <c r="JRT118" s="199"/>
      <c r="JRU118" s="198"/>
      <c r="JRV118" s="199"/>
      <c r="JRW118" s="198"/>
      <c r="JRX118" s="199"/>
      <c r="JRY118" s="198"/>
      <c r="JRZ118" s="199"/>
      <c r="JSA118" s="198"/>
      <c r="JSB118" s="199"/>
      <c r="JSC118" s="198"/>
      <c r="JSD118" s="199"/>
      <c r="JSE118" s="198"/>
      <c r="JSF118" s="199"/>
      <c r="JSG118" s="198"/>
      <c r="JSH118" s="199"/>
      <c r="JSI118" s="198"/>
      <c r="JSJ118" s="199"/>
      <c r="JSK118" s="198"/>
      <c r="JSL118" s="199"/>
      <c r="JSM118" s="198"/>
      <c r="JSN118" s="199"/>
      <c r="JSO118" s="198"/>
      <c r="JSP118" s="199"/>
      <c r="JSQ118" s="198"/>
      <c r="JSR118" s="199"/>
      <c r="JSS118" s="198"/>
      <c r="JST118" s="199"/>
      <c r="JSU118" s="198"/>
      <c r="JSV118" s="199"/>
      <c r="JSW118" s="198"/>
      <c r="JSX118" s="199"/>
      <c r="JSY118" s="198"/>
      <c r="JSZ118" s="199"/>
      <c r="JTA118" s="198"/>
      <c r="JTB118" s="199"/>
      <c r="JTC118" s="198"/>
      <c r="JTD118" s="199"/>
      <c r="JTE118" s="198"/>
      <c r="JTF118" s="199"/>
      <c r="JTG118" s="198"/>
      <c r="JTH118" s="199"/>
      <c r="JTI118" s="198"/>
      <c r="JTJ118" s="199"/>
      <c r="JTK118" s="198"/>
      <c r="JTL118" s="199"/>
      <c r="JTM118" s="198"/>
      <c r="JTN118" s="199"/>
      <c r="JTO118" s="198"/>
      <c r="JTP118" s="199"/>
      <c r="JTQ118" s="198"/>
      <c r="JTR118" s="199"/>
      <c r="JTS118" s="198"/>
      <c r="JTT118" s="199"/>
      <c r="JTU118" s="198"/>
      <c r="JTV118" s="199"/>
      <c r="JTW118" s="198"/>
      <c r="JTX118" s="199"/>
      <c r="JTY118" s="198"/>
      <c r="JTZ118" s="199"/>
      <c r="JUA118" s="198"/>
      <c r="JUB118" s="199"/>
      <c r="JUC118" s="198"/>
      <c r="JUD118" s="199"/>
      <c r="JUE118" s="198"/>
      <c r="JUF118" s="199"/>
      <c r="JUG118" s="198"/>
      <c r="JUH118" s="199"/>
      <c r="JUI118" s="198"/>
      <c r="JUJ118" s="199"/>
      <c r="JUK118" s="198"/>
      <c r="JUL118" s="199"/>
      <c r="JUM118" s="198"/>
      <c r="JUN118" s="199"/>
      <c r="JUO118" s="198"/>
      <c r="JUP118" s="199"/>
      <c r="JUQ118" s="198"/>
      <c r="JUR118" s="199"/>
      <c r="JUS118" s="198"/>
      <c r="JUT118" s="199"/>
      <c r="JUU118" s="198"/>
      <c r="JUV118" s="199"/>
      <c r="JUW118" s="198"/>
      <c r="JUX118" s="199"/>
      <c r="JUY118" s="198"/>
      <c r="JUZ118" s="199"/>
      <c r="JVA118" s="198"/>
      <c r="JVB118" s="199"/>
      <c r="JVC118" s="198"/>
      <c r="JVD118" s="199"/>
      <c r="JVE118" s="198"/>
      <c r="JVF118" s="199"/>
      <c r="JVG118" s="198"/>
      <c r="JVH118" s="199"/>
      <c r="JVI118" s="198"/>
      <c r="JVJ118" s="199"/>
      <c r="JVK118" s="198"/>
      <c r="JVL118" s="199"/>
      <c r="JVM118" s="198"/>
      <c r="JVN118" s="199"/>
      <c r="JVO118" s="198"/>
      <c r="JVP118" s="199"/>
      <c r="JVQ118" s="198"/>
      <c r="JVR118" s="199"/>
      <c r="JVS118" s="198"/>
      <c r="JVT118" s="199"/>
      <c r="JVU118" s="198"/>
      <c r="JVV118" s="199"/>
      <c r="JVW118" s="198"/>
      <c r="JVX118" s="199"/>
      <c r="JVY118" s="198"/>
      <c r="JVZ118" s="199"/>
      <c r="JWA118" s="198"/>
      <c r="JWB118" s="199"/>
      <c r="JWC118" s="198"/>
      <c r="JWD118" s="199"/>
      <c r="JWE118" s="198"/>
      <c r="JWF118" s="199"/>
      <c r="JWG118" s="198"/>
      <c r="JWH118" s="199"/>
      <c r="JWI118" s="198"/>
      <c r="JWJ118" s="199"/>
      <c r="JWK118" s="198"/>
      <c r="JWL118" s="199"/>
      <c r="JWM118" s="198"/>
      <c r="JWN118" s="199"/>
      <c r="JWO118" s="198"/>
      <c r="JWP118" s="199"/>
      <c r="JWQ118" s="198"/>
      <c r="JWR118" s="199"/>
      <c r="JWS118" s="198"/>
      <c r="JWT118" s="199"/>
      <c r="JWU118" s="198"/>
      <c r="JWV118" s="199"/>
      <c r="JWW118" s="198"/>
      <c r="JWX118" s="199"/>
      <c r="JWY118" s="198"/>
      <c r="JWZ118" s="199"/>
      <c r="JXA118" s="198"/>
      <c r="JXB118" s="199"/>
      <c r="JXC118" s="198"/>
      <c r="JXD118" s="199"/>
      <c r="JXE118" s="198"/>
      <c r="JXF118" s="199"/>
      <c r="JXG118" s="198"/>
      <c r="JXH118" s="199"/>
      <c r="JXI118" s="198"/>
      <c r="JXJ118" s="199"/>
      <c r="JXK118" s="198"/>
      <c r="JXL118" s="199"/>
      <c r="JXM118" s="198"/>
      <c r="JXN118" s="199"/>
      <c r="JXO118" s="198"/>
      <c r="JXP118" s="199"/>
      <c r="JXQ118" s="198"/>
      <c r="JXR118" s="199"/>
      <c r="JXS118" s="198"/>
      <c r="JXT118" s="199"/>
      <c r="JXU118" s="198"/>
      <c r="JXV118" s="199"/>
      <c r="JXW118" s="198"/>
      <c r="JXX118" s="199"/>
      <c r="JXY118" s="198"/>
      <c r="JXZ118" s="199"/>
      <c r="JYA118" s="198"/>
      <c r="JYB118" s="199"/>
      <c r="JYC118" s="198"/>
      <c r="JYD118" s="199"/>
      <c r="JYE118" s="198"/>
      <c r="JYF118" s="199"/>
      <c r="JYG118" s="198"/>
      <c r="JYH118" s="199"/>
      <c r="JYI118" s="198"/>
      <c r="JYJ118" s="199"/>
      <c r="JYK118" s="198"/>
      <c r="JYL118" s="199"/>
      <c r="JYM118" s="198"/>
      <c r="JYN118" s="199"/>
      <c r="JYO118" s="198"/>
      <c r="JYP118" s="199"/>
      <c r="JYQ118" s="198"/>
      <c r="JYR118" s="199"/>
      <c r="JYS118" s="198"/>
      <c r="JYT118" s="199"/>
      <c r="JYU118" s="198"/>
      <c r="JYV118" s="199"/>
      <c r="JYW118" s="198"/>
      <c r="JYX118" s="199"/>
      <c r="JYY118" s="198"/>
      <c r="JYZ118" s="199"/>
      <c r="JZA118" s="198"/>
      <c r="JZB118" s="199"/>
      <c r="JZC118" s="198"/>
      <c r="JZD118" s="199"/>
      <c r="JZE118" s="198"/>
      <c r="JZF118" s="199"/>
      <c r="JZG118" s="198"/>
      <c r="JZH118" s="199"/>
      <c r="JZI118" s="198"/>
      <c r="JZJ118" s="199"/>
      <c r="JZK118" s="198"/>
      <c r="JZL118" s="199"/>
      <c r="JZM118" s="198"/>
      <c r="JZN118" s="199"/>
      <c r="JZO118" s="198"/>
      <c r="JZP118" s="199"/>
      <c r="JZQ118" s="198"/>
      <c r="JZR118" s="199"/>
      <c r="JZS118" s="198"/>
      <c r="JZT118" s="199"/>
      <c r="JZU118" s="198"/>
      <c r="JZV118" s="199"/>
      <c r="JZW118" s="198"/>
      <c r="JZX118" s="199"/>
      <c r="JZY118" s="198"/>
      <c r="JZZ118" s="199"/>
      <c r="KAA118" s="198"/>
      <c r="KAB118" s="199"/>
      <c r="KAC118" s="198"/>
      <c r="KAD118" s="199"/>
      <c r="KAE118" s="198"/>
      <c r="KAF118" s="199"/>
      <c r="KAG118" s="198"/>
      <c r="KAH118" s="199"/>
      <c r="KAI118" s="198"/>
      <c r="KAJ118" s="199"/>
      <c r="KAK118" s="198"/>
      <c r="KAL118" s="199"/>
      <c r="KAM118" s="198"/>
      <c r="KAN118" s="199"/>
      <c r="KAO118" s="198"/>
      <c r="KAP118" s="199"/>
      <c r="KAQ118" s="198"/>
      <c r="KAR118" s="199"/>
      <c r="KAS118" s="198"/>
      <c r="KAT118" s="199"/>
      <c r="KAU118" s="198"/>
      <c r="KAV118" s="199"/>
      <c r="KAW118" s="198"/>
      <c r="KAX118" s="199"/>
      <c r="KAY118" s="198"/>
      <c r="KAZ118" s="199"/>
      <c r="KBA118" s="198"/>
      <c r="KBB118" s="199"/>
      <c r="KBC118" s="198"/>
      <c r="KBD118" s="199"/>
      <c r="KBE118" s="198"/>
      <c r="KBF118" s="199"/>
      <c r="KBG118" s="198"/>
      <c r="KBH118" s="199"/>
      <c r="KBI118" s="198"/>
      <c r="KBJ118" s="199"/>
      <c r="KBK118" s="198"/>
      <c r="KBL118" s="199"/>
      <c r="KBM118" s="198"/>
      <c r="KBN118" s="199"/>
      <c r="KBO118" s="198"/>
      <c r="KBP118" s="199"/>
      <c r="KBQ118" s="198"/>
      <c r="KBR118" s="199"/>
      <c r="KBS118" s="198"/>
      <c r="KBT118" s="199"/>
      <c r="KBU118" s="198"/>
      <c r="KBV118" s="199"/>
      <c r="KBW118" s="198"/>
      <c r="KBX118" s="199"/>
      <c r="KBY118" s="198"/>
      <c r="KBZ118" s="199"/>
      <c r="KCA118" s="198"/>
      <c r="KCB118" s="199"/>
      <c r="KCC118" s="198"/>
      <c r="KCD118" s="199"/>
      <c r="KCE118" s="198"/>
      <c r="KCF118" s="199"/>
      <c r="KCG118" s="198"/>
      <c r="KCH118" s="199"/>
      <c r="KCI118" s="198"/>
      <c r="KCJ118" s="199"/>
      <c r="KCK118" s="198"/>
      <c r="KCL118" s="199"/>
      <c r="KCM118" s="198"/>
      <c r="KCN118" s="199"/>
      <c r="KCO118" s="198"/>
      <c r="KCP118" s="199"/>
      <c r="KCQ118" s="198"/>
      <c r="KCR118" s="199"/>
      <c r="KCS118" s="198"/>
      <c r="KCT118" s="199"/>
      <c r="KCU118" s="198"/>
      <c r="KCV118" s="199"/>
      <c r="KCW118" s="198"/>
      <c r="KCX118" s="199"/>
      <c r="KCY118" s="198"/>
      <c r="KCZ118" s="199"/>
      <c r="KDA118" s="198"/>
      <c r="KDB118" s="199"/>
      <c r="KDC118" s="198"/>
      <c r="KDD118" s="199"/>
      <c r="KDE118" s="198"/>
      <c r="KDF118" s="199"/>
      <c r="KDG118" s="198"/>
      <c r="KDH118" s="199"/>
      <c r="KDI118" s="198"/>
      <c r="KDJ118" s="199"/>
      <c r="KDK118" s="198"/>
      <c r="KDL118" s="199"/>
      <c r="KDM118" s="198"/>
      <c r="KDN118" s="199"/>
      <c r="KDO118" s="198"/>
      <c r="KDP118" s="199"/>
      <c r="KDQ118" s="198"/>
      <c r="KDR118" s="199"/>
      <c r="KDS118" s="198"/>
      <c r="KDT118" s="199"/>
      <c r="KDU118" s="198"/>
      <c r="KDV118" s="199"/>
      <c r="KDW118" s="198"/>
      <c r="KDX118" s="199"/>
      <c r="KDY118" s="198"/>
      <c r="KDZ118" s="199"/>
      <c r="KEA118" s="198"/>
      <c r="KEB118" s="199"/>
      <c r="KEC118" s="198"/>
      <c r="KED118" s="199"/>
      <c r="KEE118" s="198"/>
      <c r="KEF118" s="199"/>
      <c r="KEG118" s="198"/>
      <c r="KEH118" s="199"/>
      <c r="KEI118" s="198"/>
      <c r="KEJ118" s="199"/>
      <c r="KEK118" s="198"/>
      <c r="KEL118" s="199"/>
      <c r="KEM118" s="198"/>
      <c r="KEN118" s="199"/>
      <c r="KEO118" s="198"/>
      <c r="KEP118" s="199"/>
      <c r="KEQ118" s="198"/>
      <c r="KER118" s="199"/>
      <c r="KES118" s="198"/>
      <c r="KET118" s="199"/>
      <c r="KEU118" s="198"/>
      <c r="KEV118" s="199"/>
      <c r="KEW118" s="198"/>
      <c r="KEX118" s="199"/>
      <c r="KEY118" s="198"/>
      <c r="KEZ118" s="199"/>
      <c r="KFA118" s="198"/>
      <c r="KFB118" s="199"/>
      <c r="KFC118" s="198"/>
      <c r="KFD118" s="199"/>
      <c r="KFE118" s="198"/>
      <c r="KFF118" s="199"/>
      <c r="KFG118" s="198"/>
      <c r="KFH118" s="199"/>
      <c r="KFI118" s="198"/>
      <c r="KFJ118" s="199"/>
      <c r="KFK118" s="198"/>
      <c r="KFL118" s="199"/>
      <c r="KFM118" s="198"/>
      <c r="KFN118" s="199"/>
      <c r="KFO118" s="198"/>
      <c r="KFP118" s="199"/>
      <c r="KFQ118" s="198"/>
      <c r="KFR118" s="199"/>
      <c r="KFS118" s="198"/>
      <c r="KFT118" s="199"/>
      <c r="KFU118" s="198"/>
      <c r="KFV118" s="199"/>
      <c r="KFW118" s="198"/>
      <c r="KFX118" s="199"/>
      <c r="KFY118" s="198"/>
      <c r="KFZ118" s="199"/>
      <c r="KGA118" s="198"/>
      <c r="KGB118" s="199"/>
      <c r="KGC118" s="198"/>
      <c r="KGD118" s="199"/>
      <c r="KGE118" s="198"/>
      <c r="KGF118" s="199"/>
      <c r="KGG118" s="198"/>
      <c r="KGH118" s="199"/>
      <c r="KGI118" s="198"/>
      <c r="KGJ118" s="199"/>
      <c r="KGK118" s="198"/>
      <c r="KGL118" s="199"/>
      <c r="KGM118" s="198"/>
      <c r="KGN118" s="199"/>
      <c r="KGO118" s="198"/>
      <c r="KGP118" s="199"/>
      <c r="KGQ118" s="198"/>
      <c r="KGR118" s="199"/>
      <c r="KGS118" s="198"/>
      <c r="KGT118" s="199"/>
      <c r="KGU118" s="198"/>
      <c r="KGV118" s="199"/>
      <c r="KGW118" s="198"/>
      <c r="KGX118" s="199"/>
      <c r="KGY118" s="198"/>
      <c r="KGZ118" s="199"/>
      <c r="KHA118" s="198"/>
      <c r="KHB118" s="199"/>
      <c r="KHC118" s="198"/>
      <c r="KHD118" s="199"/>
      <c r="KHE118" s="198"/>
      <c r="KHF118" s="199"/>
      <c r="KHG118" s="198"/>
      <c r="KHH118" s="199"/>
      <c r="KHI118" s="198"/>
      <c r="KHJ118" s="199"/>
      <c r="KHK118" s="198"/>
      <c r="KHL118" s="199"/>
      <c r="KHM118" s="198"/>
      <c r="KHN118" s="199"/>
      <c r="KHO118" s="198"/>
      <c r="KHP118" s="199"/>
      <c r="KHQ118" s="198"/>
      <c r="KHR118" s="199"/>
      <c r="KHS118" s="198"/>
      <c r="KHT118" s="199"/>
      <c r="KHU118" s="198"/>
      <c r="KHV118" s="199"/>
      <c r="KHW118" s="198"/>
      <c r="KHX118" s="199"/>
      <c r="KHY118" s="198"/>
      <c r="KHZ118" s="199"/>
      <c r="KIA118" s="198"/>
      <c r="KIB118" s="199"/>
      <c r="KIC118" s="198"/>
      <c r="KID118" s="199"/>
      <c r="KIE118" s="198"/>
      <c r="KIF118" s="199"/>
      <c r="KIG118" s="198"/>
      <c r="KIH118" s="199"/>
      <c r="KII118" s="198"/>
      <c r="KIJ118" s="199"/>
      <c r="KIK118" s="198"/>
      <c r="KIL118" s="199"/>
      <c r="KIM118" s="198"/>
      <c r="KIN118" s="199"/>
      <c r="KIO118" s="198"/>
      <c r="KIP118" s="199"/>
      <c r="KIQ118" s="198"/>
      <c r="KIR118" s="199"/>
      <c r="KIS118" s="198"/>
      <c r="KIT118" s="199"/>
      <c r="KIU118" s="198"/>
      <c r="KIV118" s="199"/>
      <c r="KIW118" s="198"/>
      <c r="KIX118" s="199"/>
      <c r="KIY118" s="198"/>
      <c r="KIZ118" s="199"/>
      <c r="KJA118" s="198"/>
      <c r="KJB118" s="199"/>
      <c r="KJC118" s="198"/>
      <c r="KJD118" s="199"/>
      <c r="KJE118" s="198"/>
      <c r="KJF118" s="199"/>
      <c r="KJG118" s="198"/>
      <c r="KJH118" s="199"/>
      <c r="KJI118" s="198"/>
      <c r="KJJ118" s="199"/>
      <c r="KJK118" s="198"/>
      <c r="KJL118" s="199"/>
      <c r="KJM118" s="198"/>
      <c r="KJN118" s="199"/>
      <c r="KJO118" s="198"/>
      <c r="KJP118" s="199"/>
      <c r="KJQ118" s="198"/>
      <c r="KJR118" s="199"/>
      <c r="KJS118" s="198"/>
      <c r="KJT118" s="199"/>
      <c r="KJU118" s="198"/>
      <c r="KJV118" s="199"/>
      <c r="KJW118" s="198"/>
      <c r="KJX118" s="199"/>
      <c r="KJY118" s="198"/>
      <c r="KJZ118" s="199"/>
      <c r="KKA118" s="198"/>
      <c r="KKB118" s="199"/>
      <c r="KKC118" s="198"/>
      <c r="KKD118" s="199"/>
      <c r="KKE118" s="198"/>
      <c r="KKF118" s="199"/>
      <c r="KKG118" s="198"/>
      <c r="KKH118" s="199"/>
      <c r="KKI118" s="198"/>
      <c r="KKJ118" s="199"/>
      <c r="KKK118" s="198"/>
      <c r="KKL118" s="199"/>
      <c r="KKM118" s="198"/>
      <c r="KKN118" s="199"/>
      <c r="KKO118" s="198"/>
      <c r="KKP118" s="199"/>
      <c r="KKQ118" s="198"/>
      <c r="KKR118" s="199"/>
      <c r="KKS118" s="198"/>
      <c r="KKT118" s="199"/>
      <c r="KKU118" s="198"/>
      <c r="KKV118" s="199"/>
      <c r="KKW118" s="198"/>
      <c r="KKX118" s="199"/>
      <c r="KKY118" s="198"/>
      <c r="KKZ118" s="199"/>
      <c r="KLA118" s="198"/>
      <c r="KLB118" s="199"/>
      <c r="KLC118" s="198"/>
      <c r="KLD118" s="199"/>
      <c r="KLE118" s="198"/>
      <c r="KLF118" s="199"/>
      <c r="KLG118" s="198"/>
      <c r="KLH118" s="199"/>
      <c r="KLI118" s="198"/>
      <c r="KLJ118" s="199"/>
      <c r="KLK118" s="198"/>
      <c r="KLL118" s="199"/>
      <c r="KLM118" s="198"/>
      <c r="KLN118" s="199"/>
      <c r="KLO118" s="198"/>
      <c r="KLP118" s="199"/>
      <c r="KLQ118" s="198"/>
      <c r="KLR118" s="199"/>
      <c r="KLS118" s="198"/>
      <c r="KLT118" s="199"/>
      <c r="KLU118" s="198"/>
      <c r="KLV118" s="199"/>
      <c r="KLW118" s="198"/>
      <c r="KLX118" s="199"/>
      <c r="KLY118" s="198"/>
      <c r="KLZ118" s="199"/>
      <c r="KMA118" s="198"/>
      <c r="KMB118" s="199"/>
      <c r="KMC118" s="198"/>
      <c r="KMD118" s="199"/>
      <c r="KME118" s="198"/>
      <c r="KMF118" s="199"/>
      <c r="KMG118" s="198"/>
      <c r="KMH118" s="199"/>
      <c r="KMI118" s="198"/>
      <c r="KMJ118" s="199"/>
      <c r="KMK118" s="198"/>
      <c r="KML118" s="199"/>
      <c r="KMM118" s="198"/>
      <c r="KMN118" s="199"/>
      <c r="KMO118" s="198"/>
      <c r="KMP118" s="199"/>
      <c r="KMQ118" s="198"/>
      <c r="KMR118" s="199"/>
      <c r="KMS118" s="198"/>
      <c r="KMT118" s="199"/>
      <c r="KMU118" s="198"/>
      <c r="KMV118" s="199"/>
      <c r="KMW118" s="198"/>
      <c r="KMX118" s="199"/>
      <c r="KMY118" s="198"/>
      <c r="KMZ118" s="199"/>
      <c r="KNA118" s="198"/>
      <c r="KNB118" s="199"/>
      <c r="KNC118" s="198"/>
      <c r="KND118" s="199"/>
      <c r="KNE118" s="198"/>
      <c r="KNF118" s="199"/>
      <c r="KNG118" s="198"/>
      <c r="KNH118" s="199"/>
      <c r="KNI118" s="198"/>
      <c r="KNJ118" s="199"/>
      <c r="KNK118" s="198"/>
      <c r="KNL118" s="199"/>
      <c r="KNM118" s="198"/>
      <c r="KNN118" s="199"/>
      <c r="KNO118" s="198"/>
      <c r="KNP118" s="199"/>
      <c r="KNQ118" s="198"/>
      <c r="KNR118" s="199"/>
      <c r="KNS118" s="198"/>
      <c r="KNT118" s="199"/>
      <c r="KNU118" s="198"/>
      <c r="KNV118" s="199"/>
      <c r="KNW118" s="198"/>
      <c r="KNX118" s="199"/>
      <c r="KNY118" s="198"/>
      <c r="KNZ118" s="199"/>
      <c r="KOA118" s="198"/>
      <c r="KOB118" s="199"/>
      <c r="KOC118" s="198"/>
      <c r="KOD118" s="199"/>
      <c r="KOE118" s="198"/>
      <c r="KOF118" s="199"/>
      <c r="KOG118" s="198"/>
      <c r="KOH118" s="199"/>
      <c r="KOI118" s="198"/>
      <c r="KOJ118" s="199"/>
      <c r="KOK118" s="198"/>
      <c r="KOL118" s="199"/>
      <c r="KOM118" s="198"/>
      <c r="KON118" s="199"/>
      <c r="KOO118" s="198"/>
      <c r="KOP118" s="199"/>
      <c r="KOQ118" s="198"/>
      <c r="KOR118" s="199"/>
      <c r="KOS118" s="198"/>
      <c r="KOT118" s="199"/>
      <c r="KOU118" s="198"/>
      <c r="KOV118" s="199"/>
      <c r="KOW118" s="198"/>
      <c r="KOX118" s="199"/>
      <c r="KOY118" s="198"/>
      <c r="KOZ118" s="199"/>
      <c r="KPA118" s="198"/>
      <c r="KPB118" s="199"/>
      <c r="KPC118" s="198"/>
      <c r="KPD118" s="199"/>
      <c r="KPE118" s="198"/>
      <c r="KPF118" s="199"/>
      <c r="KPG118" s="198"/>
      <c r="KPH118" s="199"/>
      <c r="KPI118" s="198"/>
      <c r="KPJ118" s="199"/>
      <c r="KPK118" s="198"/>
      <c r="KPL118" s="199"/>
      <c r="KPM118" s="198"/>
      <c r="KPN118" s="199"/>
      <c r="KPO118" s="198"/>
      <c r="KPP118" s="199"/>
      <c r="KPQ118" s="198"/>
      <c r="KPR118" s="199"/>
      <c r="KPS118" s="198"/>
      <c r="KPT118" s="199"/>
      <c r="KPU118" s="198"/>
      <c r="KPV118" s="199"/>
      <c r="KPW118" s="198"/>
      <c r="KPX118" s="199"/>
      <c r="KPY118" s="198"/>
      <c r="KPZ118" s="199"/>
      <c r="KQA118" s="198"/>
      <c r="KQB118" s="199"/>
      <c r="KQC118" s="198"/>
      <c r="KQD118" s="199"/>
      <c r="KQE118" s="198"/>
      <c r="KQF118" s="199"/>
      <c r="KQG118" s="198"/>
      <c r="KQH118" s="199"/>
      <c r="KQI118" s="198"/>
      <c r="KQJ118" s="199"/>
      <c r="KQK118" s="198"/>
      <c r="KQL118" s="199"/>
      <c r="KQM118" s="198"/>
      <c r="KQN118" s="199"/>
      <c r="KQO118" s="198"/>
      <c r="KQP118" s="199"/>
      <c r="KQQ118" s="198"/>
      <c r="KQR118" s="199"/>
      <c r="KQS118" s="198"/>
      <c r="KQT118" s="199"/>
      <c r="KQU118" s="198"/>
      <c r="KQV118" s="199"/>
      <c r="KQW118" s="198"/>
      <c r="KQX118" s="199"/>
      <c r="KQY118" s="198"/>
      <c r="KQZ118" s="199"/>
      <c r="KRA118" s="198"/>
      <c r="KRB118" s="199"/>
      <c r="KRC118" s="198"/>
      <c r="KRD118" s="199"/>
      <c r="KRE118" s="198"/>
      <c r="KRF118" s="199"/>
      <c r="KRG118" s="198"/>
      <c r="KRH118" s="199"/>
      <c r="KRI118" s="198"/>
      <c r="KRJ118" s="199"/>
      <c r="KRK118" s="198"/>
      <c r="KRL118" s="199"/>
      <c r="KRM118" s="198"/>
      <c r="KRN118" s="199"/>
      <c r="KRO118" s="198"/>
      <c r="KRP118" s="199"/>
      <c r="KRQ118" s="198"/>
      <c r="KRR118" s="199"/>
      <c r="KRS118" s="198"/>
      <c r="KRT118" s="199"/>
      <c r="KRU118" s="198"/>
      <c r="KRV118" s="199"/>
      <c r="KRW118" s="198"/>
      <c r="KRX118" s="199"/>
      <c r="KRY118" s="198"/>
      <c r="KRZ118" s="199"/>
      <c r="KSA118" s="198"/>
      <c r="KSB118" s="199"/>
      <c r="KSC118" s="198"/>
      <c r="KSD118" s="199"/>
      <c r="KSE118" s="198"/>
      <c r="KSF118" s="199"/>
      <c r="KSG118" s="198"/>
      <c r="KSH118" s="199"/>
      <c r="KSI118" s="198"/>
      <c r="KSJ118" s="199"/>
      <c r="KSK118" s="198"/>
      <c r="KSL118" s="199"/>
      <c r="KSM118" s="198"/>
      <c r="KSN118" s="199"/>
      <c r="KSO118" s="198"/>
      <c r="KSP118" s="199"/>
      <c r="KSQ118" s="198"/>
      <c r="KSR118" s="199"/>
      <c r="KSS118" s="198"/>
      <c r="KST118" s="199"/>
      <c r="KSU118" s="198"/>
      <c r="KSV118" s="199"/>
      <c r="KSW118" s="198"/>
      <c r="KSX118" s="199"/>
      <c r="KSY118" s="198"/>
      <c r="KSZ118" s="199"/>
      <c r="KTA118" s="198"/>
      <c r="KTB118" s="199"/>
      <c r="KTC118" s="198"/>
      <c r="KTD118" s="199"/>
      <c r="KTE118" s="198"/>
      <c r="KTF118" s="199"/>
      <c r="KTG118" s="198"/>
      <c r="KTH118" s="199"/>
      <c r="KTI118" s="198"/>
      <c r="KTJ118" s="199"/>
      <c r="KTK118" s="198"/>
      <c r="KTL118" s="199"/>
      <c r="KTM118" s="198"/>
      <c r="KTN118" s="199"/>
      <c r="KTO118" s="198"/>
      <c r="KTP118" s="199"/>
      <c r="KTQ118" s="198"/>
      <c r="KTR118" s="199"/>
      <c r="KTS118" s="198"/>
      <c r="KTT118" s="199"/>
      <c r="KTU118" s="198"/>
      <c r="KTV118" s="199"/>
      <c r="KTW118" s="198"/>
      <c r="KTX118" s="199"/>
      <c r="KTY118" s="198"/>
      <c r="KTZ118" s="199"/>
      <c r="KUA118" s="198"/>
      <c r="KUB118" s="199"/>
      <c r="KUC118" s="198"/>
      <c r="KUD118" s="199"/>
      <c r="KUE118" s="198"/>
      <c r="KUF118" s="199"/>
      <c r="KUG118" s="198"/>
      <c r="KUH118" s="199"/>
      <c r="KUI118" s="198"/>
      <c r="KUJ118" s="199"/>
      <c r="KUK118" s="198"/>
      <c r="KUL118" s="199"/>
      <c r="KUM118" s="198"/>
      <c r="KUN118" s="199"/>
      <c r="KUO118" s="198"/>
      <c r="KUP118" s="199"/>
      <c r="KUQ118" s="198"/>
      <c r="KUR118" s="199"/>
      <c r="KUS118" s="198"/>
      <c r="KUT118" s="199"/>
      <c r="KUU118" s="198"/>
      <c r="KUV118" s="199"/>
      <c r="KUW118" s="198"/>
      <c r="KUX118" s="199"/>
      <c r="KUY118" s="198"/>
      <c r="KUZ118" s="199"/>
      <c r="KVA118" s="198"/>
      <c r="KVB118" s="199"/>
      <c r="KVC118" s="198"/>
      <c r="KVD118" s="199"/>
      <c r="KVE118" s="198"/>
      <c r="KVF118" s="199"/>
      <c r="KVG118" s="198"/>
      <c r="KVH118" s="199"/>
      <c r="KVI118" s="198"/>
      <c r="KVJ118" s="199"/>
      <c r="KVK118" s="198"/>
      <c r="KVL118" s="199"/>
      <c r="KVM118" s="198"/>
      <c r="KVN118" s="199"/>
      <c r="KVO118" s="198"/>
      <c r="KVP118" s="199"/>
      <c r="KVQ118" s="198"/>
      <c r="KVR118" s="199"/>
      <c r="KVS118" s="198"/>
      <c r="KVT118" s="199"/>
      <c r="KVU118" s="198"/>
      <c r="KVV118" s="199"/>
      <c r="KVW118" s="198"/>
      <c r="KVX118" s="199"/>
      <c r="KVY118" s="198"/>
      <c r="KVZ118" s="199"/>
      <c r="KWA118" s="198"/>
      <c r="KWB118" s="199"/>
      <c r="KWC118" s="198"/>
      <c r="KWD118" s="199"/>
      <c r="KWE118" s="198"/>
      <c r="KWF118" s="199"/>
      <c r="KWG118" s="198"/>
      <c r="KWH118" s="199"/>
      <c r="KWI118" s="198"/>
      <c r="KWJ118" s="199"/>
      <c r="KWK118" s="198"/>
      <c r="KWL118" s="199"/>
      <c r="KWM118" s="198"/>
      <c r="KWN118" s="199"/>
      <c r="KWO118" s="198"/>
      <c r="KWP118" s="199"/>
      <c r="KWQ118" s="198"/>
      <c r="KWR118" s="199"/>
      <c r="KWS118" s="198"/>
      <c r="KWT118" s="199"/>
      <c r="KWU118" s="198"/>
      <c r="KWV118" s="199"/>
      <c r="KWW118" s="198"/>
      <c r="KWX118" s="199"/>
      <c r="KWY118" s="198"/>
      <c r="KWZ118" s="199"/>
      <c r="KXA118" s="198"/>
      <c r="KXB118" s="199"/>
      <c r="KXC118" s="198"/>
      <c r="KXD118" s="199"/>
      <c r="KXE118" s="198"/>
      <c r="KXF118" s="199"/>
      <c r="KXG118" s="198"/>
      <c r="KXH118" s="199"/>
      <c r="KXI118" s="198"/>
      <c r="KXJ118" s="199"/>
      <c r="KXK118" s="198"/>
      <c r="KXL118" s="199"/>
      <c r="KXM118" s="198"/>
      <c r="KXN118" s="199"/>
      <c r="KXO118" s="198"/>
      <c r="KXP118" s="199"/>
      <c r="KXQ118" s="198"/>
      <c r="KXR118" s="199"/>
      <c r="KXS118" s="198"/>
      <c r="KXT118" s="199"/>
      <c r="KXU118" s="198"/>
      <c r="KXV118" s="199"/>
      <c r="KXW118" s="198"/>
      <c r="KXX118" s="199"/>
      <c r="KXY118" s="198"/>
      <c r="KXZ118" s="199"/>
      <c r="KYA118" s="198"/>
      <c r="KYB118" s="199"/>
      <c r="KYC118" s="198"/>
      <c r="KYD118" s="199"/>
      <c r="KYE118" s="198"/>
      <c r="KYF118" s="199"/>
      <c r="KYG118" s="198"/>
      <c r="KYH118" s="199"/>
      <c r="KYI118" s="198"/>
      <c r="KYJ118" s="199"/>
      <c r="KYK118" s="198"/>
      <c r="KYL118" s="199"/>
      <c r="KYM118" s="198"/>
      <c r="KYN118" s="199"/>
      <c r="KYO118" s="198"/>
      <c r="KYP118" s="199"/>
      <c r="KYQ118" s="198"/>
      <c r="KYR118" s="199"/>
      <c r="KYS118" s="198"/>
      <c r="KYT118" s="199"/>
      <c r="KYU118" s="198"/>
      <c r="KYV118" s="199"/>
      <c r="KYW118" s="198"/>
      <c r="KYX118" s="199"/>
      <c r="KYY118" s="198"/>
      <c r="KYZ118" s="199"/>
      <c r="KZA118" s="198"/>
      <c r="KZB118" s="199"/>
      <c r="KZC118" s="198"/>
      <c r="KZD118" s="199"/>
      <c r="KZE118" s="198"/>
      <c r="KZF118" s="199"/>
      <c r="KZG118" s="198"/>
      <c r="KZH118" s="199"/>
      <c r="KZI118" s="198"/>
      <c r="KZJ118" s="199"/>
      <c r="KZK118" s="198"/>
      <c r="KZL118" s="199"/>
      <c r="KZM118" s="198"/>
      <c r="KZN118" s="199"/>
      <c r="KZO118" s="198"/>
      <c r="KZP118" s="199"/>
      <c r="KZQ118" s="198"/>
      <c r="KZR118" s="199"/>
      <c r="KZS118" s="198"/>
      <c r="KZT118" s="199"/>
      <c r="KZU118" s="198"/>
      <c r="KZV118" s="199"/>
      <c r="KZW118" s="198"/>
      <c r="KZX118" s="199"/>
      <c r="KZY118" s="198"/>
      <c r="KZZ118" s="199"/>
      <c r="LAA118" s="198"/>
      <c r="LAB118" s="199"/>
      <c r="LAC118" s="198"/>
      <c r="LAD118" s="199"/>
      <c r="LAE118" s="198"/>
      <c r="LAF118" s="199"/>
      <c r="LAG118" s="198"/>
      <c r="LAH118" s="199"/>
      <c r="LAI118" s="198"/>
      <c r="LAJ118" s="199"/>
      <c r="LAK118" s="198"/>
      <c r="LAL118" s="199"/>
      <c r="LAM118" s="198"/>
      <c r="LAN118" s="199"/>
      <c r="LAO118" s="198"/>
      <c r="LAP118" s="199"/>
      <c r="LAQ118" s="198"/>
      <c r="LAR118" s="199"/>
      <c r="LAS118" s="198"/>
      <c r="LAT118" s="199"/>
      <c r="LAU118" s="198"/>
      <c r="LAV118" s="199"/>
      <c r="LAW118" s="198"/>
      <c r="LAX118" s="199"/>
      <c r="LAY118" s="198"/>
      <c r="LAZ118" s="199"/>
      <c r="LBA118" s="198"/>
      <c r="LBB118" s="199"/>
      <c r="LBC118" s="198"/>
      <c r="LBD118" s="199"/>
      <c r="LBE118" s="198"/>
      <c r="LBF118" s="199"/>
      <c r="LBG118" s="198"/>
      <c r="LBH118" s="199"/>
      <c r="LBI118" s="198"/>
      <c r="LBJ118" s="199"/>
      <c r="LBK118" s="198"/>
      <c r="LBL118" s="199"/>
      <c r="LBM118" s="198"/>
      <c r="LBN118" s="199"/>
      <c r="LBO118" s="198"/>
      <c r="LBP118" s="199"/>
      <c r="LBQ118" s="198"/>
      <c r="LBR118" s="199"/>
      <c r="LBS118" s="198"/>
      <c r="LBT118" s="199"/>
      <c r="LBU118" s="198"/>
      <c r="LBV118" s="199"/>
      <c r="LBW118" s="198"/>
      <c r="LBX118" s="199"/>
      <c r="LBY118" s="198"/>
      <c r="LBZ118" s="199"/>
      <c r="LCA118" s="198"/>
      <c r="LCB118" s="199"/>
      <c r="LCC118" s="198"/>
      <c r="LCD118" s="199"/>
      <c r="LCE118" s="198"/>
      <c r="LCF118" s="199"/>
      <c r="LCG118" s="198"/>
      <c r="LCH118" s="199"/>
      <c r="LCI118" s="198"/>
      <c r="LCJ118" s="199"/>
      <c r="LCK118" s="198"/>
      <c r="LCL118" s="199"/>
      <c r="LCM118" s="198"/>
      <c r="LCN118" s="199"/>
      <c r="LCO118" s="198"/>
      <c r="LCP118" s="199"/>
      <c r="LCQ118" s="198"/>
      <c r="LCR118" s="199"/>
      <c r="LCS118" s="198"/>
      <c r="LCT118" s="199"/>
      <c r="LCU118" s="198"/>
      <c r="LCV118" s="199"/>
      <c r="LCW118" s="198"/>
      <c r="LCX118" s="199"/>
      <c r="LCY118" s="198"/>
      <c r="LCZ118" s="199"/>
      <c r="LDA118" s="198"/>
      <c r="LDB118" s="199"/>
      <c r="LDC118" s="198"/>
      <c r="LDD118" s="199"/>
      <c r="LDE118" s="198"/>
      <c r="LDF118" s="199"/>
      <c r="LDG118" s="198"/>
      <c r="LDH118" s="199"/>
      <c r="LDI118" s="198"/>
      <c r="LDJ118" s="199"/>
      <c r="LDK118" s="198"/>
      <c r="LDL118" s="199"/>
      <c r="LDM118" s="198"/>
      <c r="LDN118" s="199"/>
      <c r="LDO118" s="198"/>
      <c r="LDP118" s="199"/>
      <c r="LDQ118" s="198"/>
      <c r="LDR118" s="199"/>
      <c r="LDS118" s="198"/>
      <c r="LDT118" s="199"/>
      <c r="LDU118" s="198"/>
      <c r="LDV118" s="199"/>
      <c r="LDW118" s="198"/>
      <c r="LDX118" s="199"/>
      <c r="LDY118" s="198"/>
      <c r="LDZ118" s="199"/>
      <c r="LEA118" s="198"/>
      <c r="LEB118" s="199"/>
      <c r="LEC118" s="198"/>
      <c r="LED118" s="199"/>
      <c r="LEE118" s="198"/>
      <c r="LEF118" s="199"/>
      <c r="LEG118" s="198"/>
      <c r="LEH118" s="199"/>
      <c r="LEI118" s="198"/>
      <c r="LEJ118" s="199"/>
      <c r="LEK118" s="198"/>
      <c r="LEL118" s="199"/>
      <c r="LEM118" s="198"/>
      <c r="LEN118" s="199"/>
      <c r="LEO118" s="198"/>
      <c r="LEP118" s="199"/>
      <c r="LEQ118" s="198"/>
      <c r="LER118" s="199"/>
      <c r="LES118" s="198"/>
      <c r="LET118" s="199"/>
      <c r="LEU118" s="198"/>
      <c r="LEV118" s="199"/>
      <c r="LEW118" s="198"/>
      <c r="LEX118" s="199"/>
      <c r="LEY118" s="198"/>
      <c r="LEZ118" s="199"/>
      <c r="LFA118" s="198"/>
      <c r="LFB118" s="199"/>
      <c r="LFC118" s="198"/>
      <c r="LFD118" s="199"/>
      <c r="LFE118" s="198"/>
      <c r="LFF118" s="199"/>
      <c r="LFG118" s="198"/>
      <c r="LFH118" s="199"/>
      <c r="LFI118" s="198"/>
      <c r="LFJ118" s="199"/>
      <c r="LFK118" s="198"/>
      <c r="LFL118" s="199"/>
      <c r="LFM118" s="198"/>
      <c r="LFN118" s="199"/>
      <c r="LFO118" s="198"/>
      <c r="LFP118" s="199"/>
      <c r="LFQ118" s="198"/>
      <c r="LFR118" s="199"/>
      <c r="LFS118" s="198"/>
      <c r="LFT118" s="199"/>
      <c r="LFU118" s="198"/>
      <c r="LFV118" s="199"/>
      <c r="LFW118" s="198"/>
      <c r="LFX118" s="199"/>
      <c r="LFY118" s="198"/>
      <c r="LFZ118" s="199"/>
      <c r="LGA118" s="198"/>
      <c r="LGB118" s="199"/>
      <c r="LGC118" s="198"/>
      <c r="LGD118" s="199"/>
      <c r="LGE118" s="198"/>
      <c r="LGF118" s="199"/>
      <c r="LGG118" s="198"/>
      <c r="LGH118" s="199"/>
      <c r="LGI118" s="198"/>
      <c r="LGJ118" s="199"/>
      <c r="LGK118" s="198"/>
      <c r="LGL118" s="199"/>
      <c r="LGM118" s="198"/>
      <c r="LGN118" s="199"/>
      <c r="LGO118" s="198"/>
      <c r="LGP118" s="199"/>
      <c r="LGQ118" s="198"/>
      <c r="LGR118" s="199"/>
      <c r="LGS118" s="198"/>
      <c r="LGT118" s="199"/>
      <c r="LGU118" s="198"/>
      <c r="LGV118" s="199"/>
      <c r="LGW118" s="198"/>
      <c r="LGX118" s="199"/>
      <c r="LGY118" s="198"/>
      <c r="LGZ118" s="199"/>
      <c r="LHA118" s="198"/>
      <c r="LHB118" s="199"/>
      <c r="LHC118" s="198"/>
      <c r="LHD118" s="199"/>
      <c r="LHE118" s="198"/>
      <c r="LHF118" s="199"/>
      <c r="LHG118" s="198"/>
      <c r="LHH118" s="199"/>
      <c r="LHI118" s="198"/>
      <c r="LHJ118" s="199"/>
      <c r="LHK118" s="198"/>
      <c r="LHL118" s="199"/>
      <c r="LHM118" s="198"/>
      <c r="LHN118" s="199"/>
      <c r="LHO118" s="198"/>
      <c r="LHP118" s="199"/>
      <c r="LHQ118" s="198"/>
      <c r="LHR118" s="199"/>
      <c r="LHS118" s="198"/>
      <c r="LHT118" s="199"/>
      <c r="LHU118" s="198"/>
      <c r="LHV118" s="199"/>
      <c r="LHW118" s="198"/>
      <c r="LHX118" s="199"/>
      <c r="LHY118" s="198"/>
      <c r="LHZ118" s="199"/>
      <c r="LIA118" s="198"/>
      <c r="LIB118" s="199"/>
      <c r="LIC118" s="198"/>
      <c r="LID118" s="199"/>
      <c r="LIE118" s="198"/>
      <c r="LIF118" s="199"/>
      <c r="LIG118" s="198"/>
      <c r="LIH118" s="199"/>
      <c r="LII118" s="198"/>
      <c r="LIJ118" s="199"/>
      <c r="LIK118" s="198"/>
      <c r="LIL118" s="199"/>
      <c r="LIM118" s="198"/>
      <c r="LIN118" s="199"/>
      <c r="LIO118" s="198"/>
      <c r="LIP118" s="199"/>
      <c r="LIQ118" s="198"/>
      <c r="LIR118" s="199"/>
      <c r="LIS118" s="198"/>
      <c r="LIT118" s="199"/>
      <c r="LIU118" s="198"/>
      <c r="LIV118" s="199"/>
      <c r="LIW118" s="198"/>
      <c r="LIX118" s="199"/>
      <c r="LIY118" s="198"/>
      <c r="LIZ118" s="199"/>
      <c r="LJA118" s="198"/>
      <c r="LJB118" s="199"/>
      <c r="LJC118" s="198"/>
      <c r="LJD118" s="199"/>
      <c r="LJE118" s="198"/>
      <c r="LJF118" s="199"/>
      <c r="LJG118" s="198"/>
      <c r="LJH118" s="199"/>
      <c r="LJI118" s="198"/>
      <c r="LJJ118" s="199"/>
      <c r="LJK118" s="198"/>
      <c r="LJL118" s="199"/>
      <c r="LJM118" s="198"/>
      <c r="LJN118" s="199"/>
      <c r="LJO118" s="198"/>
      <c r="LJP118" s="199"/>
      <c r="LJQ118" s="198"/>
      <c r="LJR118" s="199"/>
      <c r="LJS118" s="198"/>
      <c r="LJT118" s="199"/>
      <c r="LJU118" s="198"/>
      <c r="LJV118" s="199"/>
      <c r="LJW118" s="198"/>
      <c r="LJX118" s="199"/>
      <c r="LJY118" s="198"/>
      <c r="LJZ118" s="199"/>
      <c r="LKA118" s="198"/>
      <c r="LKB118" s="199"/>
      <c r="LKC118" s="198"/>
      <c r="LKD118" s="199"/>
      <c r="LKE118" s="198"/>
      <c r="LKF118" s="199"/>
      <c r="LKG118" s="198"/>
      <c r="LKH118" s="199"/>
      <c r="LKI118" s="198"/>
      <c r="LKJ118" s="199"/>
      <c r="LKK118" s="198"/>
      <c r="LKL118" s="199"/>
      <c r="LKM118" s="198"/>
      <c r="LKN118" s="199"/>
      <c r="LKO118" s="198"/>
      <c r="LKP118" s="199"/>
      <c r="LKQ118" s="198"/>
      <c r="LKR118" s="199"/>
      <c r="LKS118" s="198"/>
      <c r="LKT118" s="199"/>
      <c r="LKU118" s="198"/>
      <c r="LKV118" s="199"/>
      <c r="LKW118" s="198"/>
      <c r="LKX118" s="199"/>
      <c r="LKY118" s="198"/>
      <c r="LKZ118" s="199"/>
      <c r="LLA118" s="198"/>
      <c r="LLB118" s="199"/>
      <c r="LLC118" s="198"/>
      <c r="LLD118" s="199"/>
      <c r="LLE118" s="198"/>
      <c r="LLF118" s="199"/>
      <c r="LLG118" s="198"/>
      <c r="LLH118" s="199"/>
      <c r="LLI118" s="198"/>
      <c r="LLJ118" s="199"/>
      <c r="LLK118" s="198"/>
      <c r="LLL118" s="199"/>
      <c r="LLM118" s="198"/>
      <c r="LLN118" s="199"/>
      <c r="LLO118" s="198"/>
      <c r="LLP118" s="199"/>
      <c r="LLQ118" s="198"/>
      <c r="LLR118" s="199"/>
      <c r="LLS118" s="198"/>
      <c r="LLT118" s="199"/>
      <c r="LLU118" s="198"/>
      <c r="LLV118" s="199"/>
      <c r="LLW118" s="198"/>
      <c r="LLX118" s="199"/>
      <c r="LLY118" s="198"/>
      <c r="LLZ118" s="199"/>
      <c r="LMA118" s="198"/>
      <c r="LMB118" s="199"/>
      <c r="LMC118" s="198"/>
      <c r="LMD118" s="199"/>
      <c r="LME118" s="198"/>
      <c r="LMF118" s="199"/>
      <c r="LMG118" s="198"/>
      <c r="LMH118" s="199"/>
      <c r="LMI118" s="198"/>
      <c r="LMJ118" s="199"/>
      <c r="LMK118" s="198"/>
      <c r="LML118" s="199"/>
      <c r="LMM118" s="198"/>
      <c r="LMN118" s="199"/>
      <c r="LMO118" s="198"/>
      <c r="LMP118" s="199"/>
      <c r="LMQ118" s="198"/>
      <c r="LMR118" s="199"/>
      <c r="LMS118" s="198"/>
      <c r="LMT118" s="199"/>
      <c r="LMU118" s="198"/>
      <c r="LMV118" s="199"/>
      <c r="LMW118" s="198"/>
      <c r="LMX118" s="199"/>
      <c r="LMY118" s="198"/>
      <c r="LMZ118" s="199"/>
      <c r="LNA118" s="198"/>
      <c r="LNB118" s="199"/>
      <c r="LNC118" s="198"/>
      <c r="LND118" s="199"/>
      <c r="LNE118" s="198"/>
      <c r="LNF118" s="199"/>
      <c r="LNG118" s="198"/>
      <c r="LNH118" s="199"/>
      <c r="LNI118" s="198"/>
      <c r="LNJ118" s="199"/>
      <c r="LNK118" s="198"/>
      <c r="LNL118" s="199"/>
      <c r="LNM118" s="198"/>
      <c r="LNN118" s="199"/>
      <c r="LNO118" s="198"/>
      <c r="LNP118" s="199"/>
      <c r="LNQ118" s="198"/>
      <c r="LNR118" s="199"/>
      <c r="LNS118" s="198"/>
      <c r="LNT118" s="199"/>
      <c r="LNU118" s="198"/>
      <c r="LNV118" s="199"/>
      <c r="LNW118" s="198"/>
      <c r="LNX118" s="199"/>
      <c r="LNY118" s="198"/>
      <c r="LNZ118" s="199"/>
      <c r="LOA118" s="198"/>
      <c r="LOB118" s="199"/>
      <c r="LOC118" s="198"/>
      <c r="LOD118" s="199"/>
      <c r="LOE118" s="198"/>
      <c r="LOF118" s="199"/>
      <c r="LOG118" s="198"/>
      <c r="LOH118" s="199"/>
      <c r="LOI118" s="198"/>
      <c r="LOJ118" s="199"/>
      <c r="LOK118" s="198"/>
      <c r="LOL118" s="199"/>
      <c r="LOM118" s="198"/>
      <c r="LON118" s="199"/>
      <c r="LOO118" s="198"/>
      <c r="LOP118" s="199"/>
      <c r="LOQ118" s="198"/>
      <c r="LOR118" s="199"/>
      <c r="LOS118" s="198"/>
      <c r="LOT118" s="199"/>
      <c r="LOU118" s="198"/>
      <c r="LOV118" s="199"/>
      <c r="LOW118" s="198"/>
      <c r="LOX118" s="199"/>
      <c r="LOY118" s="198"/>
      <c r="LOZ118" s="199"/>
      <c r="LPA118" s="198"/>
      <c r="LPB118" s="199"/>
      <c r="LPC118" s="198"/>
      <c r="LPD118" s="199"/>
      <c r="LPE118" s="198"/>
      <c r="LPF118" s="199"/>
      <c r="LPG118" s="198"/>
      <c r="LPH118" s="199"/>
      <c r="LPI118" s="198"/>
      <c r="LPJ118" s="199"/>
      <c r="LPK118" s="198"/>
      <c r="LPL118" s="199"/>
      <c r="LPM118" s="198"/>
      <c r="LPN118" s="199"/>
      <c r="LPO118" s="198"/>
      <c r="LPP118" s="199"/>
      <c r="LPQ118" s="198"/>
      <c r="LPR118" s="199"/>
      <c r="LPS118" s="198"/>
      <c r="LPT118" s="199"/>
      <c r="LPU118" s="198"/>
      <c r="LPV118" s="199"/>
      <c r="LPW118" s="198"/>
      <c r="LPX118" s="199"/>
      <c r="LPY118" s="198"/>
      <c r="LPZ118" s="199"/>
      <c r="LQA118" s="198"/>
      <c r="LQB118" s="199"/>
      <c r="LQC118" s="198"/>
      <c r="LQD118" s="199"/>
      <c r="LQE118" s="198"/>
      <c r="LQF118" s="199"/>
      <c r="LQG118" s="198"/>
      <c r="LQH118" s="199"/>
      <c r="LQI118" s="198"/>
      <c r="LQJ118" s="199"/>
      <c r="LQK118" s="198"/>
      <c r="LQL118" s="199"/>
      <c r="LQM118" s="198"/>
      <c r="LQN118" s="199"/>
      <c r="LQO118" s="198"/>
      <c r="LQP118" s="199"/>
      <c r="LQQ118" s="198"/>
      <c r="LQR118" s="199"/>
      <c r="LQS118" s="198"/>
      <c r="LQT118" s="199"/>
      <c r="LQU118" s="198"/>
      <c r="LQV118" s="199"/>
      <c r="LQW118" s="198"/>
      <c r="LQX118" s="199"/>
      <c r="LQY118" s="198"/>
      <c r="LQZ118" s="199"/>
      <c r="LRA118" s="198"/>
      <c r="LRB118" s="199"/>
      <c r="LRC118" s="198"/>
      <c r="LRD118" s="199"/>
      <c r="LRE118" s="198"/>
      <c r="LRF118" s="199"/>
      <c r="LRG118" s="198"/>
      <c r="LRH118" s="199"/>
      <c r="LRI118" s="198"/>
      <c r="LRJ118" s="199"/>
      <c r="LRK118" s="198"/>
      <c r="LRL118" s="199"/>
      <c r="LRM118" s="198"/>
      <c r="LRN118" s="199"/>
      <c r="LRO118" s="198"/>
      <c r="LRP118" s="199"/>
      <c r="LRQ118" s="198"/>
      <c r="LRR118" s="199"/>
      <c r="LRS118" s="198"/>
      <c r="LRT118" s="199"/>
      <c r="LRU118" s="198"/>
      <c r="LRV118" s="199"/>
      <c r="LRW118" s="198"/>
      <c r="LRX118" s="199"/>
      <c r="LRY118" s="198"/>
      <c r="LRZ118" s="199"/>
      <c r="LSA118" s="198"/>
      <c r="LSB118" s="199"/>
      <c r="LSC118" s="198"/>
      <c r="LSD118" s="199"/>
      <c r="LSE118" s="198"/>
      <c r="LSF118" s="199"/>
      <c r="LSG118" s="198"/>
      <c r="LSH118" s="199"/>
      <c r="LSI118" s="198"/>
      <c r="LSJ118" s="199"/>
      <c r="LSK118" s="198"/>
      <c r="LSL118" s="199"/>
      <c r="LSM118" s="198"/>
      <c r="LSN118" s="199"/>
      <c r="LSO118" s="198"/>
      <c r="LSP118" s="199"/>
      <c r="LSQ118" s="198"/>
      <c r="LSR118" s="199"/>
      <c r="LSS118" s="198"/>
      <c r="LST118" s="199"/>
      <c r="LSU118" s="198"/>
      <c r="LSV118" s="199"/>
      <c r="LSW118" s="198"/>
      <c r="LSX118" s="199"/>
      <c r="LSY118" s="198"/>
      <c r="LSZ118" s="199"/>
      <c r="LTA118" s="198"/>
      <c r="LTB118" s="199"/>
      <c r="LTC118" s="198"/>
      <c r="LTD118" s="199"/>
      <c r="LTE118" s="198"/>
      <c r="LTF118" s="199"/>
      <c r="LTG118" s="198"/>
      <c r="LTH118" s="199"/>
      <c r="LTI118" s="198"/>
      <c r="LTJ118" s="199"/>
      <c r="LTK118" s="198"/>
      <c r="LTL118" s="199"/>
      <c r="LTM118" s="198"/>
      <c r="LTN118" s="199"/>
      <c r="LTO118" s="198"/>
      <c r="LTP118" s="199"/>
      <c r="LTQ118" s="198"/>
      <c r="LTR118" s="199"/>
      <c r="LTS118" s="198"/>
      <c r="LTT118" s="199"/>
      <c r="LTU118" s="198"/>
      <c r="LTV118" s="199"/>
      <c r="LTW118" s="198"/>
      <c r="LTX118" s="199"/>
      <c r="LTY118" s="198"/>
      <c r="LTZ118" s="199"/>
      <c r="LUA118" s="198"/>
      <c r="LUB118" s="199"/>
      <c r="LUC118" s="198"/>
      <c r="LUD118" s="199"/>
      <c r="LUE118" s="198"/>
      <c r="LUF118" s="199"/>
      <c r="LUG118" s="198"/>
      <c r="LUH118" s="199"/>
      <c r="LUI118" s="198"/>
      <c r="LUJ118" s="199"/>
      <c r="LUK118" s="198"/>
      <c r="LUL118" s="199"/>
      <c r="LUM118" s="198"/>
      <c r="LUN118" s="199"/>
      <c r="LUO118" s="198"/>
      <c r="LUP118" s="199"/>
      <c r="LUQ118" s="198"/>
      <c r="LUR118" s="199"/>
      <c r="LUS118" s="198"/>
      <c r="LUT118" s="199"/>
      <c r="LUU118" s="198"/>
      <c r="LUV118" s="199"/>
      <c r="LUW118" s="198"/>
      <c r="LUX118" s="199"/>
      <c r="LUY118" s="198"/>
      <c r="LUZ118" s="199"/>
      <c r="LVA118" s="198"/>
      <c r="LVB118" s="199"/>
      <c r="LVC118" s="198"/>
      <c r="LVD118" s="199"/>
      <c r="LVE118" s="198"/>
      <c r="LVF118" s="199"/>
      <c r="LVG118" s="198"/>
      <c r="LVH118" s="199"/>
      <c r="LVI118" s="198"/>
      <c r="LVJ118" s="199"/>
      <c r="LVK118" s="198"/>
      <c r="LVL118" s="199"/>
      <c r="LVM118" s="198"/>
      <c r="LVN118" s="199"/>
      <c r="LVO118" s="198"/>
      <c r="LVP118" s="199"/>
      <c r="LVQ118" s="198"/>
      <c r="LVR118" s="199"/>
      <c r="LVS118" s="198"/>
      <c r="LVT118" s="199"/>
      <c r="LVU118" s="198"/>
      <c r="LVV118" s="199"/>
      <c r="LVW118" s="198"/>
      <c r="LVX118" s="199"/>
      <c r="LVY118" s="198"/>
      <c r="LVZ118" s="199"/>
      <c r="LWA118" s="198"/>
      <c r="LWB118" s="199"/>
      <c r="LWC118" s="198"/>
      <c r="LWD118" s="199"/>
      <c r="LWE118" s="198"/>
      <c r="LWF118" s="199"/>
      <c r="LWG118" s="198"/>
      <c r="LWH118" s="199"/>
      <c r="LWI118" s="198"/>
      <c r="LWJ118" s="199"/>
      <c r="LWK118" s="198"/>
      <c r="LWL118" s="199"/>
      <c r="LWM118" s="198"/>
      <c r="LWN118" s="199"/>
      <c r="LWO118" s="198"/>
      <c r="LWP118" s="199"/>
      <c r="LWQ118" s="198"/>
      <c r="LWR118" s="199"/>
      <c r="LWS118" s="198"/>
      <c r="LWT118" s="199"/>
      <c r="LWU118" s="198"/>
      <c r="LWV118" s="199"/>
      <c r="LWW118" s="198"/>
      <c r="LWX118" s="199"/>
      <c r="LWY118" s="198"/>
      <c r="LWZ118" s="199"/>
      <c r="LXA118" s="198"/>
      <c r="LXB118" s="199"/>
      <c r="LXC118" s="198"/>
      <c r="LXD118" s="199"/>
      <c r="LXE118" s="198"/>
      <c r="LXF118" s="199"/>
      <c r="LXG118" s="198"/>
      <c r="LXH118" s="199"/>
      <c r="LXI118" s="198"/>
      <c r="LXJ118" s="199"/>
      <c r="LXK118" s="198"/>
      <c r="LXL118" s="199"/>
      <c r="LXM118" s="198"/>
      <c r="LXN118" s="199"/>
      <c r="LXO118" s="198"/>
      <c r="LXP118" s="199"/>
      <c r="LXQ118" s="198"/>
      <c r="LXR118" s="199"/>
      <c r="LXS118" s="198"/>
      <c r="LXT118" s="199"/>
      <c r="LXU118" s="198"/>
      <c r="LXV118" s="199"/>
      <c r="LXW118" s="198"/>
      <c r="LXX118" s="199"/>
      <c r="LXY118" s="198"/>
      <c r="LXZ118" s="199"/>
      <c r="LYA118" s="198"/>
      <c r="LYB118" s="199"/>
      <c r="LYC118" s="198"/>
      <c r="LYD118" s="199"/>
      <c r="LYE118" s="198"/>
      <c r="LYF118" s="199"/>
      <c r="LYG118" s="198"/>
      <c r="LYH118" s="199"/>
      <c r="LYI118" s="198"/>
      <c r="LYJ118" s="199"/>
      <c r="LYK118" s="198"/>
      <c r="LYL118" s="199"/>
      <c r="LYM118" s="198"/>
      <c r="LYN118" s="199"/>
      <c r="LYO118" s="198"/>
      <c r="LYP118" s="199"/>
      <c r="LYQ118" s="198"/>
      <c r="LYR118" s="199"/>
      <c r="LYS118" s="198"/>
      <c r="LYT118" s="199"/>
      <c r="LYU118" s="198"/>
      <c r="LYV118" s="199"/>
      <c r="LYW118" s="198"/>
      <c r="LYX118" s="199"/>
      <c r="LYY118" s="198"/>
      <c r="LYZ118" s="199"/>
      <c r="LZA118" s="198"/>
      <c r="LZB118" s="199"/>
      <c r="LZC118" s="198"/>
      <c r="LZD118" s="199"/>
      <c r="LZE118" s="198"/>
      <c r="LZF118" s="199"/>
      <c r="LZG118" s="198"/>
      <c r="LZH118" s="199"/>
      <c r="LZI118" s="198"/>
      <c r="LZJ118" s="199"/>
      <c r="LZK118" s="198"/>
      <c r="LZL118" s="199"/>
      <c r="LZM118" s="198"/>
      <c r="LZN118" s="199"/>
      <c r="LZO118" s="198"/>
      <c r="LZP118" s="199"/>
      <c r="LZQ118" s="198"/>
      <c r="LZR118" s="199"/>
      <c r="LZS118" s="198"/>
      <c r="LZT118" s="199"/>
      <c r="LZU118" s="198"/>
      <c r="LZV118" s="199"/>
      <c r="LZW118" s="198"/>
      <c r="LZX118" s="199"/>
      <c r="LZY118" s="198"/>
      <c r="LZZ118" s="199"/>
      <c r="MAA118" s="198"/>
      <c r="MAB118" s="199"/>
      <c r="MAC118" s="198"/>
      <c r="MAD118" s="199"/>
      <c r="MAE118" s="198"/>
      <c r="MAF118" s="199"/>
      <c r="MAG118" s="198"/>
      <c r="MAH118" s="199"/>
      <c r="MAI118" s="198"/>
      <c r="MAJ118" s="199"/>
      <c r="MAK118" s="198"/>
      <c r="MAL118" s="199"/>
      <c r="MAM118" s="198"/>
      <c r="MAN118" s="199"/>
      <c r="MAO118" s="198"/>
      <c r="MAP118" s="199"/>
      <c r="MAQ118" s="198"/>
      <c r="MAR118" s="199"/>
      <c r="MAS118" s="198"/>
      <c r="MAT118" s="199"/>
      <c r="MAU118" s="198"/>
      <c r="MAV118" s="199"/>
      <c r="MAW118" s="198"/>
      <c r="MAX118" s="199"/>
      <c r="MAY118" s="198"/>
      <c r="MAZ118" s="199"/>
      <c r="MBA118" s="198"/>
      <c r="MBB118" s="199"/>
      <c r="MBC118" s="198"/>
      <c r="MBD118" s="199"/>
      <c r="MBE118" s="198"/>
      <c r="MBF118" s="199"/>
      <c r="MBG118" s="198"/>
      <c r="MBH118" s="199"/>
      <c r="MBI118" s="198"/>
      <c r="MBJ118" s="199"/>
      <c r="MBK118" s="198"/>
      <c r="MBL118" s="199"/>
      <c r="MBM118" s="198"/>
      <c r="MBN118" s="199"/>
      <c r="MBO118" s="198"/>
      <c r="MBP118" s="199"/>
      <c r="MBQ118" s="198"/>
      <c r="MBR118" s="199"/>
      <c r="MBS118" s="198"/>
      <c r="MBT118" s="199"/>
      <c r="MBU118" s="198"/>
      <c r="MBV118" s="199"/>
      <c r="MBW118" s="198"/>
      <c r="MBX118" s="199"/>
      <c r="MBY118" s="198"/>
      <c r="MBZ118" s="199"/>
      <c r="MCA118" s="198"/>
      <c r="MCB118" s="199"/>
      <c r="MCC118" s="198"/>
      <c r="MCD118" s="199"/>
      <c r="MCE118" s="198"/>
      <c r="MCF118" s="199"/>
      <c r="MCG118" s="198"/>
      <c r="MCH118" s="199"/>
      <c r="MCI118" s="198"/>
      <c r="MCJ118" s="199"/>
      <c r="MCK118" s="198"/>
      <c r="MCL118" s="199"/>
      <c r="MCM118" s="198"/>
      <c r="MCN118" s="199"/>
      <c r="MCO118" s="198"/>
      <c r="MCP118" s="199"/>
      <c r="MCQ118" s="198"/>
      <c r="MCR118" s="199"/>
      <c r="MCS118" s="198"/>
      <c r="MCT118" s="199"/>
      <c r="MCU118" s="198"/>
      <c r="MCV118" s="199"/>
      <c r="MCW118" s="198"/>
      <c r="MCX118" s="199"/>
      <c r="MCY118" s="198"/>
      <c r="MCZ118" s="199"/>
      <c r="MDA118" s="198"/>
      <c r="MDB118" s="199"/>
      <c r="MDC118" s="198"/>
      <c r="MDD118" s="199"/>
      <c r="MDE118" s="198"/>
      <c r="MDF118" s="199"/>
      <c r="MDG118" s="198"/>
      <c r="MDH118" s="199"/>
      <c r="MDI118" s="198"/>
      <c r="MDJ118" s="199"/>
      <c r="MDK118" s="198"/>
      <c r="MDL118" s="199"/>
      <c r="MDM118" s="198"/>
      <c r="MDN118" s="199"/>
      <c r="MDO118" s="198"/>
      <c r="MDP118" s="199"/>
      <c r="MDQ118" s="198"/>
      <c r="MDR118" s="199"/>
      <c r="MDS118" s="198"/>
      <c r="MDT118" s="199"/>
      <c r="MDU118" s="198"/>
      <c r="MDV118" s="199"/>
      <c r="MDW118" s="198"/>
      <c r="MDX118" s="199"/>
      <c r="MDY118" s="198"/>
      <c r="MDZ118" s="199"/>
      <c r="MEA118" s="198"/>
      <c r="MEB118" s="199"/>
      <c r="MEC118" s="198"/>
      <c r="MED118" s="199"/>
      <c r="MEE118" s="198"/>
      <c r="MEF118" s="199"/>
      <c r="MEG118" s="198"/>
      <c r="MEH118" s="199"/>
      <c r="MEI118" s="198"/>
      <c r="MEJ118" s="199"/>
      <c r="MEK118" s="198"/>
      <c r="MEL118" s="199"/>
      <c r="MEM118" s="198"/>
      <c r="MEN118" s="199"/>
      <c r="MEO118" s="198"/>
      <c r="MEP118" s="199"/>
      <c r="MEQ118" s="198"/>
      <c r="MER118" s="199"/>
      <c r="MES118" s="198"/>
      <c r="MET118" s="199"/>
      <c r="MEU118" s="198"/>
      <c r="MEV118" s="199"/>
      <c r="MEW118" s="198"/>
      <c r="MEX118" s="199"/>
      <c r="MEY118" s="198"/>
      <c r="MEZ118" s="199"/>
      <c r="MFA118" s="198"/>
      <c r="MFB118" s="199"/>
      <c r="MFC118" s="198"/>
      <c r="MFD118" s="199"/>
      <c r="MFE118" s="198"/>
      <c r="MFF118" s="199"/>
      <c r="MFG118" s="198"/>
      <c r="MFH118" s="199"/>
      <c r="MFI118" s="198"/>
      <c r="MFJ118" s="199"/>
      <c r="MFK118" s="198"/>
      <c r="MFL118" s="199"/>
      <c r="MFM118" s="198"/>
      <c r="MFN118" s="199"/>
      <c r="MFO118" s="198"/>
      <c r="MFP118" s="199"/>
      <c r="MFQ118" s="198"/>
      <c r="MFR118" s="199"/>
      <c r="MFS118" s="198"/>
      <c r="MFT118" s="199"/>
      <c r="MFU118" s="198"/>
      <c r="MFV118" s="199"/>
      <c r="MFW118" s="198"/>
      <c r="MFX118" s="199"/>
      <c r="MFY118" s="198"/>
      <c r="MFZ118" s="199"/>
      <c r="MGA118" s="198"/>
      <c r="MGB118" s="199"/>
      <c r="MGC118" s="198"/>
      <c r="MGD118" s="199"/>
      <c r="MGE118" s="198"/>
      <c r="MGF118" s="199"/>
      <c r="MGG118" s="198"/>
      <c r="MGH118" s="199"/>
      <c r="MGI118" s="198"/>
      <c r="MGJ118" s="199"/>
      <c r="MGK118" s="198"/>
      <c r="MGL118" s="199"/>
      <c r="MGM118" s="198"/>
      <c r="MGN118" s="199"/>
      <c r="MGO118" s="198"/>
      <c r="MGP118" s="199"/>
      <c r="MGQ118" s="198"/>
      <c r="MGR118" s="199"/>
      <c r="MGS118" s="198"/>
      <c r="MGT118" s="199"/>
      <c r="MGU118" s="198"/>
      <c r="MGV118" s="199"/>
      <c r="MGW118" s="198"/>
      <c r="MGX118" s="199"/>
      <c r="MGY118" s="198"/>
      <c r="MGZ118" s="199"/>
      <c r="MHA118" s="198"/>
      <c r="MHB118" s="199"/>
      <c r="MHC118" s="198"/>
      <c r="MHD118" s="199"/>
      <c r="MHE118" s="198"/>
      <c r="MHF118" s="199"/>
      <c r="MHG118" s="198"/>
      <c r="MHH118" s="199"/>
      <c r="MHI118" s="198"/>
      <c r="MHJ118" s="199"/>
      <c r="MHK118" s="198"/>
      <c r="MHL118" s="199"/>
      <c r="MHM118" s="198"/>
      <c r="MHN118" s="199"/>
      <c r="MHO118" s="198"/>
      <c r="MHP118" s="199"/>
      <c r="MHQ118" s="198"/>
      <c r="MHR118" s="199"/>
      <c r="MHS118" s="198"/>
      <c r="MHT118" s="199"/>
      <c r="MHU118" s="198"/>
      <c r="MHV118" s="199"/>
      <c r="MHW118" s="198"/>
      <c r="MHX118" s="199"/>
      <c r="MHY118" s="198"/>
      <c r="MHZ118" s="199"/>
      <c r="MIA118" s="198"/>
      <c r="MIB118" s="199"/>
      <c r="MIC118" s="198"/>
      <c r="MID118" s="199"/>
      <c r="MIE118" s="198"/>
      <c r="MIF118" s="199"/>
      <c r="MIG118" s="198"/>
      <c r="MIH118" s="199"/>
      <c r="MII118" s="198"/>
      <c r="MIJ118" s="199"/>
      <c r="MIK118" s="198"/>
      <c r="MIL118" s="199"/>
      <c r="MIM118" s="198"/>
      <c r="MIN118" s="199"/>
      <c r="MIO118" s="198"/>
      <c r="MIP118" s="199"/>
      <c r="MIQ118" s="198"/>
      <c r="MIR118" s="199"/>
      <c r="MIS118" s="198"/>
      <c r="MIT118" s="199"/>
      <c r="MIU118" s="198"/>
      <c r="MIV118" s="199"/>
      <c r="MIW118" s="198"/>
      <c r="MIX118" s="199"/>
      <c r="MIY118" s="198"/>
      <c r="MIZ118" s="199"/>
      <c r="MJA118" s="198"/>
      <c r="MJB118" s="199"/>
      <c r="MJC118" s="198"/>
      <c r="MJD118" s="199"/>
      <c r="MJE118" s="198"/>
      <c r="MJF118" s="199"/>
      <c r="MJG118" s="198"/>
      <c r="MJH118" s="199"/>
      <c r="MJI118" s="198"/>
      <c r="MJJ118" s="199"/>
      <c r="MJK118" s="198"/>
      <c r="MJL118" s="199"/>
      <c r="MJM118" s="198"/>
      <c r="MJN118" s="199"/>
      <c r="MJO118" s="198"/>
      <c r="MJP118" s="199"/>
      <c r="MJQ118" s="198"/>
      <c r="MJR118" s="199"/>
      <c r="MJS118" s="198"/>
      <c r="MJT118" s="199"/>
      <c r="MJU118" s="198"/>
      <c r="MJV118" s="199"/>
      <c r="MJW118" s="198"/>
      <c r="MJX118" s="199"/>
      <c r="MJY118" s="198"/>
      <c r="MJZ118" s="199"/>
      <c r="MKA118" s="198"/>
      <c r="MKB118" s="199"/>
      <c r="MKC118" s="198"/>
      <c r="MKD118" s="199"/>
      <c r="MKE118" s="198"/>
      <c r="MKF118" s="199"/>
      <c r="MKG118" s="198"/>
      <c r="MKH118" s="199"/>
      <c r="MKI118" s="198"/>
      <c r="MKJ118" s="199"/>
      <c r="MKK118" s="198"/>
      <c r="MKL118" s="199"/>
      <c r="MKM118" s="198"/>
      <c r="MKN118" s="199"/>
      <c r="MKO118" s="198"/>
      <c r="MKP118" s="199"/>
      <c r="MKQ118" s="198"/>
      <c r="MKR118" s="199"/>
      <c r="MKS118" s="198"/>
      <c r="MKT118" s="199"/>
      <c r="MKU118" s="198"/>
      <c r="MKV118" s="199"/>
      <c r="MKW118" s="198"/>
      <c r="MKX118" s="199"/>
      <c r="MKY118" s="198"/>
      <c r="MKZ118" s="199"/>
      <c r="MLA118" s="198"/>
      <c r="MLB118" s="199"/>
      <c r="MLC118" s="198"/>
      <c r="MLD118" s="199"/>
      <c r="MLE118" s="198"/>
      <c r="MLF118" s="199"/>
      <c r="MLG118" s="198"/>
      <c r="MLH118" s="199"/>
      <c r="MLI118" s="198"/>
      <c r="MLJ118" s="199"/>
      <c r="MLK118" s="198"/>
      <c r="MLL118" s="199"/>
      <c r="MLM118" s="198"/>
      <c r="MLN118" s="199"/>
      <c r="MLO118" s="198"/>
      <c r="MLP118" s="199"/>
      <c r="MLQ118" s="198"/>
      <c r="MLR118" s="199"/>
      <c r="MLS118" s="198"/>
      <c r="MLT118" s="199"/>
      <c r="MLU118" s="198"/>
      <c r="MLV118" s="199"/>
      <c r="MLW118" s="198"/>
      <c r="MLX118" s="199"/>
      <c r="MLY118" s="198"/>
      <c r="MLZ118" s="199"/>
      <c r="MMA118" s="198"/>
      <c r="MMB118" s="199"/>
      <c r="MMC118" s="198"/>
      <c r="MMD118" s="199"/>
      <c r="MME118" s="198"/>
      <c r="MMF118" s="199"/>
      <c r="MMG118" s="198"/>
      <c r="MMH118" s="199"/>
      <c r="MMI118" s="198"/>
      <c r="MMJ118" s="199"/>
      <c r="MMK118" s="198"/>
      <c r="MML118" s="199"/>
      <c r="MMM118" s="198"/>
      <c r="MMN118" s="199"/>
      <c r="MMO118" s="198"/>
      <c r="MMP118" s="199"/>
      <c r="MMQ118" s="198"/>
      <c r="MMR118" s="199"/>
      <c r="MMS118" s="198"/>
      <c r="MMT118" s="199"/>
      <c r="MMU118" s="198"/>
      <c r="MMV118" s="199"/>
      <c r="MMW118" s="198"/>
      <c r="MMX118" s="199"/>
      <c r="MMY118" s="198"/>
      <c r="MMZ118" s="199"/>
      <c r="MNA118" s="198"/>
      <c r="MNB118" s="199"/>
      <c r="MNC118" s="198"/>
      <c r="MND118" s="199"/>
      <c r="MNE118" s="198"/>
      <c r="MNF118" s="199"/>
      <c r="MNG118" s="198"/>
      <c r="MNH118" s="199"/>
      <c r="MNI118" s="198"/>
      <c r="MNJ118" s="199"/>
      <c r="MNK118" s="198"/>
      <c r="MNL118" s="199"/>
      <c r="MNM118" s="198"/>
      <c r="MNN118" s="199"/>
      <c r="MNO118" s="198"/>
      <c r="MNP118" s="199"/>
      <c r="MNQ118" s="198"/>
      <c r="MNR118" s="199"/>
      <c r="MNS118" s="198"/>
      <c r="MNT118" s="199"/>
      <c r="MNU118" s="198"/>
      <c r="MNV118" s="199"/>
      <c r="MNW118" s="198"/>
      <c r="MNX118" s="199"/>
      <c r="MNY118" s="198"/>
      <c r="MNZ118" s="199"/>
      <c r="MOA118" s="198"/>
      <c r="MOB118" s="199"/>
      <c r="MOC118" s="198"/>
      <c r="MOD118" s="199"/>
      <c r="MOE118" s="198"/>
      <c r="MOF118" s="199"/>
      <c r="MOG118" s="198"/>
      <c r="MOH118" s="199"/>
      <c r="MOI118" s="198"/>
      <c r="MOJ118" s="199"/>
      <c r="MOK118" s="198"/>
      <c r="MOL118" s="199"/>
      <c r="MOM118" s="198"/>
      <c r="MON118" s="199"/>
      <c r="MOO118" s="198"/>
      <c r="MOP118" s="199"/>
      <c r="MOQ118" s="198"/>
      <c r="MOR118" s="199"/>
      <c r="MOS118" s="198"/>
      <c r="MOT118" s="199"/>
      <c r="MOU118" s="198"/>
      <c r="MOV118" s="199"/>
      <c r="MOW118" s="198"/>
      <c r="MOX118" s="199"/>
      <c r="MOY118" s="198"/>
      <c r="MOZ118" s="199"/>
      <c r="MPA118" s="198"/>
      <c r="MPB118" s="199"/>
      <c r="MPC118" s="198"/>
      <c r="MPD118" s="199"/>
      <c r="MPE118" s="198"/>
      <c r="MPF118" s="199"/>
      <c r="MPG118" s="198"/>
      <c r="MPH118" s="199"/>
      <c r="MPI118" s="198"/>
      <c r="MPJ118" s="199"/>
      <c r="MPK118" s="198"/>
      <c r="MPL118" s="199"/>
      <c r="MPM118" s="198"/>
      <c r="MPN118" s="199"/>
      <c r="MPO118" s="198"/>
      <c r="MPP118" s="199"/>
      <c r="MPQ118" s="198"/>
      <c r="MPR118" s="199"/>
      <c r="MPS118" s="198"/>
      <c r="MPT118" s="199"/>
      <c r="MPU118" s="198"/>
      <c r="MPV118" s="199"/>
      <c r="MPW118" s="198"/>
      <c r="MPX118" s="199"/>
      <c r="MPY118" s="198"/>
      <c r="MPZ118" s="199"/>
      <c r="MQA118" s="198"/>
      <c r="MQB118" s="199"/>
      <c r="MQC118" s="198"/>
      <c r="MQD118" s="199"/>
      <c r="MQE118" s="198"/>
      <c r="MQF118" s="199"/>
      <c r="MQG118" s="198"/>
      <c r="MQH118" s="199"/>
      <c r="MQI118" s="198"/>
      <c r="MQJ118" s="199"/>
      <c r="MQK118" s="198"/>
      <c r="MQL118" s="199"/>
      <c r="MQM118" s="198"/>
      <c r="MQN118" s="199"/>
      <c r="MQO118" s="198"/>
      <c r="MQP118" s="199"/>
      <c r="MQQ118" s="198"/>
      <c r="MQR118" s="199"/>
      <c r="MQS118" s="198"/>
      <c r="MQT118" s="199"/>
      <c r="MQU118" s="198"/>
      <c r="MQV118" s="199"/>
      <c r="MQW118" s="198"/>
      <c r="MQX118" s="199"/>
      <c r="MQY118" s="198"/>
      <c r="MQZ118" s="199"/>
      <c r="MRA118" s="198"/>
      <c r="MRB118" s="199"/>
      <c r="MRC118" s="198"/>
      <c r="MRD118" s="199"/>
      <c r="MRE118" s="198"/>
      <c r="MRF118" s="199"/>
      <c r="MRG118" s="198"/>
      <c r="MRH118" s="199"/>
      <c r="MRI118" s="198"/>
      <c r="MRJ118" s="199"/>
      <c r="MRK118" s="198"/>
      <c r="MRL118" s="199"/>
      <c r="MRM118" s="198"/>
      <c r="MRN118" s="199"/>
      <c r="MRO118" s="198"/>
      <c r="MRP118" s="199"/>
      <c r="MRQ118" s="198"/>
      <c r="MRR118" s="199"/>
      <c r="MRS118" s="198"/>
      <c r="MRT118" s="199"/>
      <c r="MRU118" s="198"/>
      <c r="MRV118" s="199"/>
      <c r="MRW118" s="198"/>
      <c r="MRX118" s="199"/>
      <c r="MRY118" s="198"/>
      <c r="MRZ118" s="199"/>
      <c r="MSA118" s="198"/>
      <c r="MSB118" s="199"/>
      <c r="MSC118" s="198"/>
      <c r="MSD118" s="199"/>
      <c r="MSE118" s="198"/>
      <c r="MSF118" s="199"/>
      <c r="MSG118" s="198"/>
      <c r="MSH118" s="199"/>
      <c r="MSI118" s="198"/>
      <c r="MSJ118" s="199"/>
      <c r="MSK118" s="198"/>
      <c r="MSL118" s="199"/>
      <c r="MSM118" s="198"/>
      <c r="MSN118" s="199"/>
      <c r="MSO118" s="198"/>
      <c r="MSP118" s="199"/>
      <c r="MSQ118" s="198"/>
      <c r="MSR118" s="199"/>
      <c r="MSS118" s="198"/>
      <c r="MST118" s="199"/>
      <c r="MSU118" s="198"/>
      <c r="MSV118" s="199"/>
      <c r="MSW118" s="198"/>
      <c r="MSX118" s="199"/>
      <c r="MSY118" s="198"/>
      <c r="MSZ118" s="199"/>
      <c r="MTA118" s="198"/>
      <c r="MTB118" s="199"/>
      <c r="MTC118" s="198"/>
      <c r="MTD118" s="199"/>
      <c r="MTE118" s="198"/>
      <c r="MTF118" s="199"/>
      <c r="MTG118" s="198"/>
      <c r="MTH118" s="199"/>
      <c r="MTI118" s="198"/>
      <c r="MTJ118" s="199"/>
      <c r="MTK118" s="198"/>
      <c r="MTL118" s="199"/>
      <c r="MTM118" s="198"/>
      <c r="MTN118" s="199"/>
      <c r="MTO118" s="198"/>
      <c r="MTP118" s="199"/>
      <c r="MTQ118" s="198"/>
      <c r="MTR118" s="199"/>
      <c r="MTS118" s="198"/>
      <c r="MTT118" s="199"/>
      <c r="MTU118" s="198"/>
      <c r="MTV118" s="199"/>
      <c r="MTW118" s="198"/>
      <c r="MTX118" s="199"/>
      <c r="MTY118" s="198"/>
      <c r="MTZ118" s="199"/>
      <c r="MUA118" s="198"/>
      <c r="MUB118" s="199"/>
      <c r="MUC118" s="198"/>
      <c r="MUD118" s="199"/>
      <c r="MUE118" s="198"/>
      <c r="MUF118" s="199"/>
      <c r="MUG118" s="198"/>
      <c r="MUH118" s="199"/>
      <c r="MUI118" s="198"/>
      <c r="MUJ118" s="199"/>
      <c r="MUK118" s="198"/>
      <c r="MUL118" s="199"/>
      <c r="MUM118" s="198"/>
      <c r="MUN118" s="199"/>
      <c r="MUO118" s="198"/>
      <c r="MUP118" s="199"/>
      <c r="MUQ118" s="198"/>
      <c r="MUR118" s="199"/>
      <c r="MUS118" s="198"/>
      <c r="MUT118" s="199"/>
      <c r="MUU118" s="198"/>
      <c r="MUV118" s="199"/>
      <c r="MUW118" s="198"/>
      <c r="MUX118" s="199"/>
      <c r="MUY118" s="198"/>
      <c r="MUZ118" s="199"/>
      <c r="MVA118" s="198"/>
      <c r="MVB118" s="199"/>
      <c r="MVC118" s="198"/>
      <c r="MVD118" s="199"/>
      <c r="MVE118" s="198"/>
      <c r="MVF118" s="199"/>
      <c r="MVG118" s="198"/>
      <c r="MVH118" s="199"/>
      <c r="MVI118" s="198"/>
      <c r="MVJ118" s="199"/>
      <c r="MVK118" s="198"/>
      <c r="MVL118" s="199"/>
      <c r="MVM118" s="198"/>
      <c r="MVN118" s="199"/>
      <c r="MVO118" s="198"/>
      <c r="MVP118" s="199"/>
      <c r="MVQ118" s="198"/>
      <c r="MVR118" s="199"/>
      <c r="MVS118" s="198"/>
      <c r="MVT118" s="199"/>
      <c r="MVU118" s="198"/>
      <c r="MVV118" s="199"/>
      <c r="MVW118" s="198"/>
      <c r="MVX118" s="199"/>
      <c r="MVY118" s="198"/>
      <c r="MVZ118" s="199"/>
      <c r="MWA118" s="198"/>
      <c r="MWB118" s="199"/>
      <c r="MWC118" s="198"/>
      <c r="MWD118" s="199"/>
      <c r="MWE118" s="198"/>
      <c r="MWF118" s="199"/>
      <c r="MWG118" s="198"/>
      <c r="MWH118" s="199"/>
      <c r="MWI118" s="198"/>
      <c r="MWJ118" s="199"/>
      <c r="MWK118" s="198"/>
      <c r="MWL118" s="199"/>
      <c r="MWM118" s="198"/>
      <c r="MWN118" s="199"/>
      <c r="MWO118" s="198"/>
      <c r="MWP118" s="199"/>
      <c r="MWQ118" s="198"/>
      <c r="MWR118" s="199"/>
      <c r="MWS118" s="198"/>
      <c r="MWT118" s="199"/>
      <c r="MWU118" s="198"/>
      <c r="MWV118" s="199"/>
      <c r="MWW118" s="198"/>
      <c r="MWX118" s="199"/>
      <c r="MWY118" s="198"/>
      <c r="MWZ118" s="199"/>
      <c r="MXA118" s="198"/>
      <c r="MXB118" s="199"/>
      <c r="MXC118" s="198"/>
      <c r="MXD118" s="199"/>
      <c r="MXE118" s="198"/>
      <c r="MXF118" s="199"/>
      <c r="MXG118" s="198"/>
      <c r="MXH118" s="199"/>
      <c r="MXI118" s="198"/>
      <c r="MXJ118" s="199"/>
      <c r="MXK118" s="198"/>
      <c r="MXL118" s="199"/>
      <c r="MXM118" s="198"/>
      <c r="MXN118" s="199"/>
      <c r="MXO118" s="198"/>
      <c r="MXP118" s="199"/>
      <c r="MXQ118" s="198"/>
      <c r="MXR118" s="199"/>
      <c r="MXS118" s="198"/>
      <c r="MXT118" s="199"/>
      <c r="MXU118" s="198"/>
      <c r="MXV118" s="199"/>
      <c r="MXW118" s="198"/>
      <c r="MXX118" s="199"/>
      <c r="MXY118" s="198"/>
      <c r="MXZ118" s="199"/>
      <c r="MYA118" s="198"/>
      <c r="MYB118" s="199"/>
      <c r="MYC118" s="198"/>
      <c r="MYD118" s="199"/>
      <c r="MYE118" s="198"/>
      <c r="MYF118" s="199"/>
      <c r="MYG118" s="198"/>
      <c r="MYH118" s="199"/>
      <c r="MYI118" s="198"/>
      <c r="MYJ118" s="199"/>
      <c r="MYK118" s="198"/>
      <c r="MYL118" s="199"/>
      <c r="MYM118" s="198"/>
      <c r="MYN118" s="199"/>
      <c r="MYO118" s="198"/>
      <c r="MYP118" s="199"/>
      <c r="MYQ118" s="198"/>
      <c r="MYR118" s="199"/>
      <c r="MYS118" s="198"/>
      <c r="MYT118" s="199"/>
      <c r="MYU118" s="198"/>
      <c r="MYV118" s="199"/>
      <c r="MYW118" s="198"/>
      <c r="MYX118" s="199"/>
      <c r="MYY118" s="198"/>
      <c r="MYZ118" s="199"/>
      <c r="MZA118" s="198"/>
      <c r="MZB118" s="199"/>
      <c r="MZC118" s="198"/>
      <c r="MZD118" s="199"/>
      <c r="MZE118" s="198"/>
      <c r="MZF118" s="199"/>
      <c r="MZG118" s="198"/>
      <c r="MZH118" s="199"/>
      <c r="MZI118" s="198"/>
      <c r="MZJ118" s="199"/>
      <c r="MZK118" s="198"/>
      <c r="MZL118" s="199"/>
      <c r="MZM118" s="198"/>
      <c r="MZN118" s="199"/>
      <c r="MZO118" s="198"/>
      <c r="MZP118" s="199"/>
      <c r="MZQ118" s="198"/>
      <c r="MZR118" s="199"/>
      <c r="MZS118" s="198"/>
      <c r="MZT118" s="199"/>
      <c r="MZU118" s="198"/>
      <c r="MZV118" s="199"/>
      <c r="MZW118" s="198"/>
      <c r="MZX118" s="199"/>
      <c r="MZY118" s="198"/>
      <c r="MZZ118" s="199"/>
      <c r="NAA118" s="198"/>
      <c r="NAB118" s="199"/>
      <c r="NAC118" s="198"/>
      <c r="NAD118" s="199"/>
      <c r="NAE118" s="198"/>
      <c r="NAF118" s="199"/>
      <c r="NAG118" s="198"/>
      <c r="NAH118" s="199"/>
      <c r="NAI118" s="198"/>
      <c r="NAJ118" s="199"/>
      <c r="NAK118" s="198"/>
      <c r="NAL118" s="199"/>
      <c r="NAM118" s="198"/>
      <c r="NAN118" s="199"/>
      <c r="NAO118" s="198"/>
      <c r="NAP118" s="199"/>
      <c r="NAQ118" s="198"/>
      <c r="NAR118" s="199"/>
      <c r="NAS118" s="198"/>
      <c r="NAT118" s="199"/>
      <c r="NAU118" s="198"/>
      <c r="NAV118" s="199"/>
      <c r="NAW118" s="198"/>
      <c r="NAX118" s="199"/>
      <c r="NAY118" s="198"/>
      <c r="NAZ118" s="199"/>
      <c r="NBA118" s="198"/>
      <c r="NBB118" s="199"/>
      <c r="NBC118" s="198"/>
      <c r="NBD118" s="199"/>
      <c r="NBE118" s="198"/>
      <c r="NBF118" s="199"/>
      <c r="NBG118" s="198"/>
      <c r="NBH118" s="199"/>
      <c r="NBI118" s="198"/>
      <c r="NBJ118" s="199"/>
      <c r="NBK118" s="198"/>
      <c r="NBL118" s="199"/>
      <c r="NBM118" s="198"/>
      <c r="NBN118" s="199"/>
      <c r="NBO118" s="198"/>
      <c r="NBP118" s="199"/>
      <c r="NBQ118" s="198"/>
      <c r="NBR118" s="199"/>
      <c r="NBS118" s="198"/>
      <c r="NBT118" s="199"/>
      <c r="NBU118" s="198"/>
      <c r="NBV118" s="199"/>
      <c r="NBW118" s="198"/>
      <c r="NBX118" s="199"/>
      <c r="NBY118" s="198"/>
      <c r="NBZ118" s="199"/>
      <c r="NCA118" s="198"/>
      <c r="NCB118" s="199"/>
      <c r="NCC118" s="198"/>
      <c r="NCD118" s="199"/>
      <c r="NCE118" s="198"/>
      <c r="NCF118" s="199"/>
      <c r="NCG118" s="198"/>
      <c r="NCH118" s="199"/>
      <c r="NCI118" s="198"/>
      <c r="NCJ118" s="199"/>
      <c r="NCK118" s="198"/>
      <c r="NCL118" s="199"/>
      <c r="NCM118" s="198"/>
      <c r="NCN118" s="199"/>
      <c r="NCO118" s="198"/>
      <c r="NCP118" s="199"/>
      <c r="NCQ118" s="198"/>
      <c r="NCR118" s="199"/>
      <c r="NCS118" s="198"/>
      <c r="NCT118" s="199"/>
      <c r="NCU118" s="198"/>
      <c r="NCV118" s="199"/>
      <c r="NCW118" s="198"/>
      <c r="NCX118" s="199"/>
      <c r="NCY118" s="198"/>
      <c r="NCZ118" s="199"/>
      <c r="NDA118" s="198"/>
      <c r="NDB118" s="199"/>
      <c r="NDC118" s="198"/>
      <c r="NDD118" s="199"/>
      <c r="NDE118" s="198"/>
      <c r="NDF118" s="199"/>
      <c r="NDG118" s="198"/>
      <c r="NDH118" s="199"/>
      <c r="NDI118" s="198"/>
      <c r="NDJ118" s="199"/>
      <c r="NDK118" s="198"/>
      <c r="NDL118" s="199"/>
      <c r="NDM118" s="198"/>
      <c r="NDN118" s="199"/>
      <c r="NDO118" s="198"/>
      <c r="NDP118" s="199"/>
      <c r="NDQ118" s="198"/>
      <c r="NDR118" s="199"/>
      <c r="NDS118" s="198"/>
      <c r="NDT118" s="199"/>
      <c r="NDU118" s="198"/>
      <c r="NDV118" s="199"/>
      <c r="NDW118" s="198"/>
      <c r="NDX118" s="199"/>
      <c r="NDY118" s="198"/>
      <c r="NDZ118" s="199"/>
      <c r="NEA118" s="198"/>
      <c r="NEB118" s="199"/>
      <c r="NEC118" s="198"/>
      <c r="NED118" s="199"/>
      <c r="NEE118" s="198"/>
      <c r="NEF118" s="199"/>
      <c r="NEG118" s="198"/>
      <c r="NEH118" s="199"/>
      <c r="NEI118" s="198"/>
      <c r="NEJ118" s="199"/>
      <c r="NEK118" s="198"/>
      <c r="NEL118" s="199"/>
      <c r="NEM118" s="198"/>
      <c r="NEN118" s="199"/>
      <c r="NEO118" s="198"/>
      <c r="NEP118" s="199"/>
      <c r="NEQ118" s="198"/>
      <c r="NER118" s="199"/>
      <c r="NES118" s="198"/>
      <c r="NET118" s="199"/>
      <c r="NEU118" s="198"/>
      <c r="NEV118" s="199"/>
      <c r="NEW118" s="198"/>
      <c r="NEX118" s="199"/>
      <c r="NEY118" s="198"/>
      <c r="NEZ118" s="199"/>
      <c r="NFA118" s="198"/>
      <c r="NFB118" s="199"/>
      <c r="NFC118" s="198"/>
      <c r="NFD118" s="199"/>
      <c r="NFE118" s="198"/>
      <c r="NFF118" s="199"/>
      <c r="NFG118" s="198"/>
      <c r="NFH118" s="199"/>
      <c r="NFI118" s="198"/>
      <c r="NFJ118" s="199"/>
      <c r="NFK118" s="198"/>
      <c r="NFL118" s="199"/>
      <c r="NFM118" s="198"/>
      <c r="NFN118" s="199"/>
      <c r="NFO118" s="198"/>
      <c r="NFP118" s="199"/>
      <c r="NFQ118" s="198"/>
      <c r="NFR118" s="199"/>
      <c r="NFS118" s="198"/>
      <c r="NFT118" s="199"/>
      <c r="NFU118" s="198"/>
      <c r="NFV118" s="199"/>
      <c r="NFW118" s="198"/>
      <c r="NFX118" s="199"/>
      <c r="NFY118" s="198"/>
      <c r="NFZ118" s="199"/>
      <c r="NGA118" s="198"/>
      <c r="NGB118" s="199"/>
      <c r="NGC118" s="198"/>
      <c r="NGD118" s="199"/>
      <c r="NGE118" s="198"/>
      <c r="NGF118" s="199"/>
      <c r="NGG118" s="198"/>
      <c r="NGH118" s="199"/>
      <c r="NGI118" s="198"/>
      <c r="NGJ118" s="199"/>
      <c r="NGK118" s="198"/>
      <c r="NGL118" s="199"/>
      <c r="NGM118" s="198"/>
      <c r="NGN118" s="199"/>
      <c r="NGO118" s="198"/>
      <c r="NGP118" s="199"/>
      <c r="NGQ118" s="198"/>
      <c r="NGR118" s="199"/>
      <c r="NGS118" s="198"/>
      <c r="NGT118" s="199"/>
      <c r="NGU118" s="198"/>
      <c r="NGV118" s="199"/>
      <c r="NGW118" s="198"/>
      <c r="NGX118" s="199"/>
      <c r="NGY118" s="198"/>
      <c r="NGZ118" s="199"/>
      <c r="NHA118" s="198"/>
      <c r="NHB118" s="199"/>
      <c r="NHC118" s="198"/>
      <c r="NHD118" s="199"/>
      <c r="NHE118" s="198"/>
      <c r="NHF118" s="199"/>
      <c r="NHG118" s="198"/>
      <c r="NHH118" s="199"/>
      <c r="NHI118" s="198"/>
      <c r="NHJ118" s="199"/>
      <c r="NHK118" s="198"/>
      <c r="NHL118" s="199"/>
      <c r="NHM118" s="198"/>
      <c r="NHN118" s="199"/>
      <c r="NHO118" s="198"/>
      <c r="NHP118" s="199"/>
      <c r="NHQ118" s="198"/>
      <c r="NHR118" s="199"/>
      <c r="NHS118" s="198"/>
      <c r="NHT118" s="199"/>
      <c r="NHU118" s="198"/>
      <c r="NHV118" s="199"/>
      <c r="NHW118" s="198"/>
      <c r="NHX118" s="199"/>
      <c r="NHY118" s="198"/>
      <c r="NHZ118" s="199"/>
      <c r="NIA118" s="198"/>
      <c r="NIB118" s="199"/>
      <c r="NIC118" s="198"/>
      <c r="NID118" s="199"/>
      <c r="NIE118" s="198"/>
      <c r="NIF118" s="199"/>
      <c r="NIG118" s="198"/>
      <c r="NIH118" s="199"/>
      <c r="NII118" s="198"/>
      <c r="NIJ118" s="199"/>
      <c r="NIK118" s="198"/>
      <c r="NIL118" s="199"/>
      <c r="NIM118" s="198"/>
      <c r="NIN118" s="199"/>
      <c r="NIO118" s="198"/>
      <c r="NIP118" s="199"/>
      <c r="NIQ118" s="198"/>
      <c r="NIR118" s="199"/>
      <c r="NIS118" s="198"/>
      <c r="NIT118" s="199"/>
      <c r="NIU118" s="198"/>
      <c r="NIV118" s="199"/>
      <c r="NIW118" s="198"/>
      <c r="NIX118" s="199"/>
      <c r="NIY118" s="198"/>
      <c r="NIZ118" s="199"/>
      <c r="NJA118" s="198"/>
      <c r="NJB118" s="199"/>
      <c r="NJC118" s="198"/>
      <c r="NJD118" s="199"/>
      <c r="NJE118" s="198"/>
      <c r="NJF118" s="199"/>
      <c r="NJG118" s="198"/>
      <c r="NJH118" s="199"/>
      <c r="NJI118" s="198"/>
      <c r="NJJ118" s="199"/>
      <c r="NJK118" s="198"/>
      <c r="NJL118" s="199"/>
      <c r="NJM118" s="198"/>
      <c r="NJN118" s="199"/>
      <c r="NJO118" s="198"/>
      <c r="NJP118" s="199"/>
      <c r="NJQ118" s="198"/>
      <c r="NJR118" s="199"/>
      <c r="NJS118" s="198"/>
      <c r="NJT118" s="199"/>
      <c r="NJU118" s="198"/>
      <c r="NJV118" s="199"/>
      <c r="NJW118" s="198"/>
      <c r="NJX118" s="199"/>
      <c r="NJY118" s="198"/>
      <c r="NJZ118" s="199"/>
      <c r="NKA118" s="198"/>
      <c r="NKB118" s="199"/>
      <c r="NKC118" s="198"/>
      <c r="NKD118" s="199"/>
      <c r="NKE118" s="198"/>
      <c r="NKF118" s="199"/>
      <c r="NKG118" s="198"/>
      <c r="NKH118" s="199"/>
      <c r="NKI118" s="198"/>
      <c r="NKJ118" s="199"/>
      <c r="NKK118" s="198"/>
      <c r="NKL118" s="199"/>
      <c r="NKM118" s="198"/>
      <c r="NKN118" s="199"/>
      <c r="NKO118" s="198"/>
      <c r="NKP118" s="199"/>
      <c r="NKQ118" s="198"/>
      <c r="NKR118" s="199"/>
      <c r="NKS118" s="198"/>
      <c r="NKT118" s="199"/>
      <c r="NKU118" s="198"/>
      <c r="NKV118" s="199"/>
      <c r="NKW118" s="198"/>
      <c r="NKX118" s="199"/>
      <c r="NKY118" s="198"/>
      <c r="NKZ118" s="199"/>
      <c r="NLA118" s="198"/>
      <c r="NLB118" s="199"/>
      <c r="NLC118" s="198"/>
      <c r="NLD118" s="199"/>
      <c r="NLE118" s="198"/>
      <c r="NLF118" s="199"/>
      <c r="NLG118" s="198"/>
      <c r="NLH118" s="199"/>
      <c r="NLI118" s="198"/>
      <c r="NLJ118" s="199"/>
      <c r="NLK118" s="198"/>
      <c r="NLL118" s="199"/>
      <c r="NLM118" s="198"/>
      <c r="NLN118" s="199"/>
      <c r="NLO118" s="198"/>
      <c r="NLP118" s="199"/>
      <c r="NLQ118" s="198"/>
      <c r="NLR118" s="199"/>
      <c r="NLS118" s="198"/>
      <c r="NLT118" s="199"/>
      <c r="NLU118" s="198"/>
      <c r="NLV118" s="199"/>
      <c r="NLW118" s="198"/>
      <c r="NLX118" s="199"/>
      <c r="NLY118" s="198"/>
      <c r="NLZ118" s="199"/>
      <c r="NMA118" s="198"/>
      <c r="NMB118" s="199"/>
      <c r="NMC118" s="198"/>
      <c r="NMD118" s="199"/>
      <c r="NME118" s="198"/>
      <c r="NMF118" s="199"/>
      <c r="NMG118" s="198"/>
      <c r="NMH118" s="199"/>
      <c r="NMI118" s="198"/>
      <c r="NMJ118" s="199"/>
      <c r="NMK118" s="198"/>
      <c r="NML118" s="199"/>
      <c r="NMM118" s="198"/>
      <c r="NMN118" s="199"/>
      <c r="NMO118" s="198"/>
      <c r="NMP118" s="199"/>
      <c r="NMQ118" s="198"/>
      <c r="NMR118" s="199"/>
      <c r="NMS118" s="198"/>
      <c r="NMT118" s="199"/>
      <c r="NMU118" s="198"/>
      <c r="NMV118" s="199"/>
      <c r="NMW118" s="198"/>
      <c r="NMX118" s="199"/>
      <c r="NMY118" s="198"/>
      <c r="NMZ118" s="199"/>
      <c r="NNA118" s="198"/>
      <c r="NNB118" s="199"/>
      <c r="NNC118" s="198"/>
      <c r="NND118" s="199"/>
      <c r="NNE118" s="198"/>
      <c r="NNF118" s="199"/>
      <c r="NNG118" s="198"/>
      <c r="NNH118" s="199"/>
      <c r="NNI118" s="198"/>
      <c r="NNJ118" s="199"/>
      <c r="NNK118" s="198"/>
      <c r="NNL118" s="199"/>
      <c r="NNM118" s="198"/>
      <c r="NNN118" s="199"/>
      <c r="NNO118" s="198"/>
      <c r="NNP118" s="199"/>
      <c r="NNQ118" s="198"/>
      <c r="NNR118" s="199"/>
      <c r="NNS118" s="198"/>
      <c r="NNT118" s="199"/>
      <c r="NNU118" s="198"/>
      <c r="NNV118" s="199"/>
      <c r="NNW118" s="198"/>
      <c r="NNX118" s="199"/>
      <c r="NNY118" s="198"/>
      <c r="NNZ118" s="199"/>
      <c r="NOA118" s="198"/>
      <c r="NOB118" s="199"/>
      <c r="NOC118" s="198"/>
      <c r="NOD118" s="199"/>
      <c r="NOE118" s="198"/>
      <c r="NOF118" s="199"/>
      <c r="NOG118" s="198"/>
      <c r="NOH118" s="199"/>
      <c r="NOI118" s="198"/>
      <c r="NOJ118" s="199"/>
      <c r="NOK118" s="198"/>
      <c r="NOL118" s="199"/>
      <c r="NOM118" s="198"/>
      <c r="NON118" s="199"/>
      <c r="NOO118" s="198"/>
      <c r="NOP118" s="199"/>
      <c r="NOQ118" s="198"/>
      <c r="NOR118" s="199"/>
      <c r="NOS118" s="198"/>
      <c r="NOT118" s="199"/>
      <c r="NOU118" s="198"/>
      <c r="NOV118" s="199"/>
      <c r="NOW118" s="198"/>
      <c r="NOX118" s="199"/>
      <c r="NOY118" s="198"/>
      <c r="NOZ118" s="199"/>
      <c r="NPA118" s="198"/>
      <c r="NPB118" s="199"/>
      <c r="NPC118" s="198"/>
      <c r="NPD118" s="199"/>
      <c r="NPE118" s="198"/>
      <c r="NPF118" s="199"/>
      <c r="NPG118" s="198"/>
      <c r="NPH118" s="199"/>
      <c r="NPI118" s="198"/>
      <c r="NPJ118" s="199"/>
      <c r="NPK118" s="198"/>
      <c r="NPL118" s="199"/>
      <c r="NPM118" s="198"/>
      <c r="NPN118" s="199"/>
      <c r="NPO118" s="198"/>
      <c r="NPP118" s="199"/>
      <c r="NPQ118" s="198"/>
      <c r="NPR118" s="199"/>
      <c r="NPS118" s="198"/>
      <c r="NPT118" s="199"/>
      <c r="NPU118" s="198"/>
      <c r="NPV118" s="199"/>
      <c r="NPW118" s="198"/>
      <c r="NPX118" s="199"/>
      <c r="NPY118" s="198"/>
      <c r="NPZ118" s="199"/>
      <c r="NQA118" s="198"/>
      <c r="NQB118" s="199"/>
      <c r="NQC118" s="198"/>
      <c r="NQD118" s="199"/>
      <c r="NQE118" s="198"/>
      <c r="NQF118" s="199"/>
      <c r="NQG118" s="198"/>
      <c r="NQH118" s="199"/>
      <c r="NQI118" s="198"/>
      <c r="NQJ118" s="199"/>
      <c r="NQK118" s="198"/>
      <c r="NQL118" s="199"/>
      <c r="NQM118" s="198"/>
      <c r="NQN118" s="199"/>
      <c r="NQO118" s="198"/>
      <c r="NQP118" s="199"/>
      <c r="NQQ118" s="198"/>
      <c r="NQR118" s="199"/>
      <c r="NQS118" s="198"/>
      <c r="NQT118" s="199"/>
      <c r="NQU118" s="198"/>
      <c r="NQV118" s="199"/>
      <c r="NQW118" s="198"/>
      <c r="NQX118" s="199"/>
      <c r="NQY118" s="198"/>
      <c r="NQZ118" s="199"/>
      <c r="NRA118" s="198"/>
      <c r="NRB118" s="199"/>
      <c r="NRC118" s="198"/>
      <c r="NRD118" s="199"/>
      <c r="NRE118" s="198"/>
      <c r="NRF118" s="199"/>
      <c r="NRG118" s="198"/>
      <c r="NRH118" s="199"/>
      <c r="NRI118" s="198"/>
      <c r="NRJ118" s="199"/>
      <c r="NRK118" s="198"/>
      <c r="NRL118" s="199"/>
      <c r="NRM118" s="198"/>
      <c r="NRN118" s="199"/>
      <c r="NRO118" s="198"/>
      <c r="NRP118" s="199"/>
      <c r="NRQ118" s="198"/>
      <c r="NRR118" s="199"/>
      <c r="NRS118" s="198"/>
      <c r="NRT118" s="199"/>
      <c r="NRU118" s="198"/>
      <c r="NRV118" s="199"/>
      <c r="NRW118" s="198"/>
      <c r="NRX118" s="199"/>
      <c r="NRY118" s="198"/>
      <c r="NRZ118" s="199"/>
      <c r="NSA118" s="198"/>
      <c r="NSB118" s="199"/>
      <c r="NSC118" s="198"/>
      <c r="NSD118" s="199"/>
      <c r="NSE118" s="198"/>
      <c r="NSF118" s="199"/>
      <c r="NSG118" s="198"/>
      <c r="NSH118" s="199"/>
      <c r="NSI118" s="198"/>
      <c r="NSJ118" s="199"/>
      <c r="NSK118" s="198"/>
      <c r="NSL118" s="199"/>
      <c r="NSM118" s="198"/>
      <c r="NSN118" s="199"/>
      <c r="NSO118" s="198"/>
      <c r="NSP118" s="199"/>
      <c r="NSQ118" s="198"/>
      <c r="NSR118" s="199"/>
      <c r="NSS118" s="198"/>
      <c r="NST118" s="199"/>
      <c r="NSU118" s="198"/>
      <c r="NSV118" s="199"/>
      <c r="NSW118" s="198"/>
      <c r="NSX118" s="199"/>
      <c r="NSY118" s="198"/>
      <c r="NSZ118" s="199"/>
      <c r="NTA118" s="198"/>
      <c r="NTB118" s="199"/>
      <c r="NTC118" s="198"/>
      <c r="NTD118" s="199"/>
      <c r="NTE118" s="198"/>
      <c r="NTF118" s="199"/>
      <c r="NTG118" s="198"/>
      <c r="NTH118" s="199"/>
      <c r="NTI118" s="198"/>
      <c r="NTJ118" s="199"/>
      <c r="NTK118" s="198"/>
      <c r="NTL118" s="199"/>
      <c r="NTM118" s="198"/>
      <c r="NTN118" s="199"/>
      <c r="NTO118" s="198"/>
      <c r="NTP118" s="199"/>
      <c r="NTQ118" s="198"/>
      <c r="NTR118" s="199"/>
      <c r="NTS118" s="198"/>
      <c r="NTT118" s="199"/>
      <c r="NTU118" s="198"/>
      <c r="NTV118" s="199"/>
      <c r="NTW118" s="198"/>
      <c r="NTX118" s="199"/>
      <c r="NTY118" s="198"/>
      <c r="NTZ118" s="199"/>
      <c r="NUA118" s="198"/>
      <c r="NUB118" s="199"/>
      <c r="NUC118" s="198"/>
      <c r="NUD118" s="199"/>
      <c r="NUE118" s="198"/>
      <c r="NUF118" s="199"/>
      <c r="NUG118" s="198"/>
      <c r="NUH118" s="199"/>
      <c r="NUI118" s="198"/>
      <c r="NUJ118" s="199"/>
      <c r="NUK118" s="198"/>
      <c r="NUL118" s="199"/>
      <c r="NUM118" s="198"/>
      <c r="NUN118" s="199"/>
      <c r="NUO118" s="198"/>
      <c r="NUP118" s="199"/>
      <c r="NUQ118" s="198"/>
      <c r="NUR118" s="199"/>
      <c r="NUS118" s="198"/>
      <c r="NUT118" s="199"/>
      <c r="NUU118" s="198"/>
      <c r="NUV118" s="199"/>
      <c r="NUW118" s="198"/>
      <c r="NUX118" s="199"/>
      <c r="NUY118" s="198"/>
      <c r="NUZ118" s="199"/>
      <c r="NVA118" s="198"/>
      <c r="NVB118" s="199"/>
      <c r="NVC118" s="198"/>
      <c r="NVD118" s="199"/>
      <c r="NVE118" s="198"/>
      <c r="NVF118" s="199"/>
      <c r="NVG118" s="198"/>
      <c r="NVH118" s="199"/>
      <c r="NVI118" s="198"/>
      <c r="NVJ118" s="199"/>
      <c r="NVK118" s="198"/>
      <c r="NVL118" s="199"/>
      <c r="NVM118" s="198"/>
      <c r="NVN118" s="199"/>
      <c r="NVO118" s="198"/>
      <c r="NVP118" s="199"/>
      <c r="NVQ118" s="198"/>
      <c r="NVR118" s="199"/>
      <c r="NVS118" s="198"/>
      <c r="NVT118" s="199"/>
      <c r="NVU118" s="198"/>
      <c r="NVV118" s="199"/>
      <c r="NVW118" s="198"/>
      <c r="NVX118" s="199"/>
      <c r="NVY118" s="198"/>
      <c r="NVZ118" s="199"/>
      <c r="NWA118" s="198"/>
      <c r="NWB118" s="199"/>
      <c r="NWC118" s="198"/>
      <c r="NWD118" s="199"/>
      <c r="NWE118" s="198"/>
      <c r="NWF118" s="199"/>
      <c r="NWG118" s="198"/>
      <c r="NWH118" s="199"/>
      <c r="NWI118" s="198"/>
      <c r="NWJ118" s="199"/>
      <c r="NWK118" s="198"/>
      <c r="NWL118" s="199"/>
      <c r="NWM118" s="198"/>
      <c r="NWN118" s="199"/>
      <c r="NWO118" s="198"/>
      <c r="NWP118" s="199"/>
      <c r="NWQ118" s="198"/>
      <c r="NWR118" s="199"/>
      <c r="NWS118" s="198"/>
      <c r="NWT118" s="199"/>
      <c r="NWU118" s="198"/>
      <c r="NWV118" s="199"/>
      <c r="NWW118" s="198"/>
      <c r="NWX118" s="199"/>
      <c r="NWY118" s="198"/>
      <c r="NWZ118" s="199"/>
      <c r="NXA118" s="198"/>
      <c r="NXB118" s="199"/>
      <c r="NXC118" s="198"/>
      <c r="NXD118" s="199"/>
      <c r="NXE118" s="198"/>
      <c r="NXF118" s="199"/>
      <c r="NXG118" s="198"/>
      <c r="NXH118" s="199"/>
      <c r="NXI118" s="198"/>
      <c r="NXJ118" s="199"/>
      <c r="NXK118" s="198"/>
      <c r="NXL118" s="199"/>
      <c r="NXM118" s="198"/>
      <c r="NXN118" s="199"/>
      <c r="NXO118" s="198"/>
      <c r="NXP118" s="199"/>
      <c r="NXQ118" s="198"/>
      <c r="NXR118" s="199"/>
      <c r="NXS118" s="198"/>
      <c r="NXT118" s="199"/>
      <c r="NXU118" s="198"/>
      <c r="NXV118" s="199"/>
      <c r="NXW118" s="198"/>
      <c r="NXX118" s="199"/>
      <c r="NXY118" s="198"/>
      <c r="NXZ118" s="199"/>
      <c r="NYA118" s="198"/>
      <c r="NYB118" s="199"/>
      <c r="NYC118" s="198"/>
      <c r="NYD118" s="199"/>
      <c r="NYE118" s="198"/>
      <c r="NYF118" s="199"/>
      <c r="NYG118" s="198"/>
      <c r="NYH118" s="199"/>
      <c r="NYI118" s="198"/>
      <c r="NYJ118" s="199"/>
      <c r="NYK118" s="198"/>
      <c r="NYL118" s="199"/>
      <c r="NYM118" s="198"/>
      <c r="NYN118" s="199"/>
      <c r="NYO118" s="198"/>
      <c r="NYP118" s="199"/>
      <c r="NYQ118" s="198"/>
      <c r="NYR118" s="199"/>
      <c r="NYS118" s="198"/>
      <c r="NYT118" s="199"/>
      <c r="NYU118" s="198"/>
      <c r="NYV118" s="199"/>
      <c r="NYW118" s="198"/>
      <c r="NYX118" s="199"/>
      <c r="NYY118" s="198"/>
      <c r="NYZ118" s="199"/>
      <c r="NZA118" s="198"/>
      <c r="NZB118" s="199"/>
      <c r="NZC118" s="198"/>
      <c r="NZD118" s="199"/>
      <c r="NZE118" s="198"/>
      <c r="NZF118" s="199"/>
      <c r="NZG118" s="198"/>
      <c r="NZH118" s="199"/>
      <c r="NZI118" s="198"/>
      <c r="NZJ118" s="199"/>
      <c r="NZK118" s="198"/>
      <c r="NZL118" s="199"/>
      <c r="NZM118" s="198"/>
      <c r="NZN118" s="199"/>
      <c r="NZO118" s="198"/>
      <c r="NZP118" s="199"/>
      <c r="NZQ118" s="198"/>
      <c r="NZR118" s="199"/>
      <c r="NZS118" s="198"/>
      <c r="NZT118" s="199"/>
      <c r="NZU118" s="198"/>
      <c r="NZV118" s="199"/>
      <c r="NZW118" s="198"/>
      <c r="NZX118" s="199"/>
      <c r="NZY118" s="198"/>
      <c r="NZZ118" s="199"/>
      <c r="OAA118" s="198"/>
      <c r="OAB118" s="199"/>
      <c r="OAC118" s="198"/>
      <c r="OAD118" s="199"/>
      <c r="OAE118" s="198"/>
      <c r="OAF118" s="199"/>
      <c r="OAG118" s="198"/>
      <c r="OAH118" s="199"/>
      <c r="OAI118" s="198"/>
      <c r="OAJ118" s="199"/>
      <c r="OAK118" s="198"/>
      <c r="OAL118" s="199"/>
      <c r="OAM118" s="198"/>
      <c r="OAN118" s="199"/>
      <c r="OAO118" s="198"/>
      <c r="OAP118" s="199"/>
      <c r="OAQ118" s="198"/>
      <c r="OAR118" s="199"/>
      <c r="OAS118" s="198"/>
      <c r="OAT118" s="199"/>
      <c r="OAU118" s="198"/>
      <c r="OAV118" s="199"/>
      <c r="OAW118" s="198"/>
      <c r="OAX118" s="199"/>
      <c r="OAY118" s="198"/>
      <c r="OAZ118" s="199"/>
      <c r="OBA118" s="198"/>
      <c r="OBB118" s="199"/>
      <c r="OBC118" s="198"/>
      <c r="OBD118" s="199"/>
      <c r="OBE118" s="198"/>
      <c r="OBF118" s="199"/>
      <c r="OBG118" s="198"/>
      <c r="OBH118" s="199"/>
      <c r="OBI118" s="198"/>
      <c r="OBJ118" s="199"/>
      <c r="OBK118" s="198"/>
      <c r="OBL118" s="199"/>
      <c r="OBM118" s="198"/>
      <c r="OBN118" s="199"/>
      <c r="OBO118" s="198"/>
      <c r="OBP118" s="199"/>
      <c r="OBQ118" s="198"/>
      <c r="OBR118" s="199"/>
      <c r="OBS118" s="198"/>
      <c r="OBT118" s="199"/>
      <c r="OBU118" s="198"/>
      <c r="OBV118" s="199"/>
      <c r="OBW118" s="198"/>
      <c r="OBX118" s="199"/>
      <c r="OBY118" s="198"/>
      <c r="OBZ118" s="199"/>
      <c r="OCA118" s="198"/>
      <c r="OCB118" s="199"/>
      <c r="OCC118" s="198"/>
      <c r="OCD118" s="199"/>
      <c r="OCE118" s="198"/>
      <c r="OCF118" s="199"/>
      <c r="OCG118" s="198"/>
      <c r="OCH118" s="199"/>
      <c r="OCI118" s="198"/>
      <c r="OCJ118" s="199"/>
      <c r="OCK118" s="198"/>
      <c r="OCL118" s="199"/>
      <c r="OCM118" s="198"/>
      <c r="OCN118" s="199"/>
      <c r="OCO118" s="198"/>
      <c r="OCP118" s="199"/>
      <c r="OCQ118" s="198"/>
      <c r="OCR118" s="199"/>
      <c r="OCS118" s="198"/>
      <c r="OCT118" s="199"/>
      <c r="OCU118" s="198"/>
      <c r="OCV118" s="199"/>
      <c r="OCW118" s="198"/>
      <c r="OCX118" s="199"/>
      <c r="OCY118" s="198"/>
      <c r="OCZ118" s="199"/>
      <c r="ODA118" s="198"/>
      <c r="ODB118" s="199"/>
      <c r="ODC118" s="198"/>
      <c r="ODD118" s="199"/>
      <c r="ODE118" s="198"/>
      <c r="ODF118" s="199"/>
      <c r="ODG118" s="198"/>
      <c r="ODH118" s="199"/>
      <c r="ODI118" s="198"/>
      <c r="ODJ118" s="199"/>
      <c r="ODK118" s="198"/>
      <c r="ODL118" s="199"/>
      <c r="ODM118" s="198"/>
      <c r="ODN118" s="199"/>
      <c r="ODO118" s="198"/>
      <c r="ODP118" s="199"/>
      <c r="ODQ118" s="198"/>
      <c r="ODR118" s="199"/>
      <c r="ODS118" s="198"/>
      <c r="ODT118" s="199"/>
      <c r="ODU118" s="198"/>
      <c r="ODV118" s="199"/>
      <c r="ODW118" s="198"/>
      <c r="ODX118" s="199"/>
      <c r="ODY118" s="198"/>
      <c r="ODZ118" s="199"/>
      <c r="OEA118" s="198"/>
      <c r="OEB118" s="199"/>
      <c r="OEC118" s="198"/>
      <c r="OED118" s="199"/>
      <c r="OEE118" s="198"/>
      <c r="OEF118" s="199"/>
      <c r="OEG118" s="198"/>
      <c r="OEH118" s="199"/>
      <c r="OEI118" s="198"/>
      <c r="OEJ118" s="199"/>
      <c r="OEK118" s="198"/>
      <c r="OEL118" s="199"/>
      <c r="OEM118" s="198"/>
      <c r="OEN118" s="199"/>
      <c r="OEO118" s="198"/>
      <c r="OEP118" s="199"/>
      <c r="OEQ118" s="198"/>
      <c r="OER118" s="199"/>
      <c r="OES118" s="198"/>
      <c r="OET118" s="199"/>
      <c r="OEU118" s="198"/>
      <c r="OEV118" s="199"/>
      <c r="OEW118" s="198"/>
      <c r="OEX118" s="199"/>
      <c r="OEY118" s="198"/>
      <c r="OEZ118" s="199"/>
      <c r="OFA118" s="198"/>
      <c r="OFB118" s="199"/>
      <c r="OFC118" s="198"/>
      <c r="OFD118" s="199"/>
      <c r="OFE118" s="198"/>
      <c r="OFF118" s="199"/>
      <c r="OFG118" s="198"/>
      <c r="OFH118" s="199"/>
      <c r="OFI118" s="198"/>
      <c r="OFJ118" s="199"/>
      <c r="OFK118" s="198"/>
      <c r="OFL118" s="199"/>
      <c r="OFM118" s="198"/>
      <c r="OFN118" s="199"/>
      <c r="OFO118" s="198"/>
      <c r="OFP118" s="199"/>
      <c r="OFQ118" s="198"/>
      <c r="OFR118" s="199"/>
      <c r="OFS118" s="198"/>
      <c r="OFT118" s="199"/>
      <c r="OFU118" s="198"/>
      <c r="OFV118" s="199"/>
      <c r="OFW118" s="198"/>
      <c r="OFX118" s="199"/>
      <c r="OFY118" s="198"/>
      <c r="OFZ118" s="199"/>
      <c r="OGA118" s="198"/>
      <c r="OGB118" s="199"/>
      <c r="OGC118" s="198"/>
      <c r="OGD118" s="199"/>
      <c r="OGE118" s="198"/>
      <c r="OGF118" s="199"/>
      <c r="OGG118" s="198"/>
      <c r="OGH118" s="199"/>
      <c r="OGI118" s="198"/>
      <c r="OGJ118" s="199"/>
      <c r="OGK118" s="198"/>
      <c r="OGL118" s="199"/>
      <c r="OGM118" s="198"/>
      <c r="OGN118" s="199"/>
      <c r="OGO118" s="198"/>
      <c r="OGP118" s="199"/>
      <c r="OGQ118" s="198"/>
      <c r="OGR118" s="199"/>
      <c r="OGS118" s="198"/>
      <c r="OGT118" s="199"/>
      <c r="OGU118" s="198"/>
      <c r="OGV118" s="199"/>
      <c r="OGW118" s="198"/>
      <c r="OGX118" s="199"/>
      <c r="OGY118" s="198"/>
      <c r="OGZ118" s="199"/>
      <c r="OHA118" s="198"/>
      <c r="OHB118" s="199"/>
      <c r="OHC118" s="198"/>
      <c r="OHD118" s="199"/>
      <c r="OHE118" s="198"/>
      <c r="OHF118" s="199"/>
      <c r="OHG118" s="198"/>
      <c r="OHH118" s="199"/>
      <c r="OHI118" s="198"/>
      <c r="OHJ118" s="199"/>
      <c r="OHK118" s="198"/>
      <c r="OHL118" s="199"/>
      <c r="OHM118" s="198"/>
      <c r="OHN118" s="199"/>
      <c r="OHO118" s="198"/>
      <c r="OHP118" s="199"/>
      <c r="OHQ118" s="198"/>
      <c r="OHR118" s="199"/>
      <c r="OHS118" s="198"/>
      <c r="OHT118" s="199"/>
      <c r="OHU118" s="198"/>
      <c r="OHV118" s="199"/>
      <c r="OHW118" s="198"/>
      <c r="OHX118" s="199"/>
      <c r="OHY118" s="198"/>
      <c r="OHZ118" s="199"/>
      <c r="OIA118" s="198"/>
      <c r="OIB118" s="199"/>
      <c r="OIC118" s="198"/>
      <c r="OID118" s="199"/>
      <c r="OIE118" s="198"/>
      <c r="OIF118" s="199"/>
      <c r="OIG118" s="198"/>
      <c r="OIH118" s="199"/>
      <c r="OII118" s="198"/>
      <c r="OIJ118" s="199"/>
      <c r="OIK118" s="198"/>
      <c r="OIL118" s="199"/>
      <c r="OIM118" s="198"/>
      <c r="OIN118" s="199"/>
      <c r="OIO118" s="198"/>
      <c r="OIP118" s="199"/>
      <c r="OIQ118" s="198"/>
      <c r="OIR118" s="199"/>
      <c r="OIS118" s="198"/>
      <c r="OIT118" s="199"/>
      <c r="OIU118" s="198"/>
      <c r="OIV118" s="199"/>
      <c r="OIW118" s="198"/>
      <c r="OIX118" s="199"/>
      <c r="OIY118" s="198"/>
      <c r="OIZ118" s="199"/>
      <c r="OJA118" s="198"/>
      <c r="OJB118" s="199"/>
      <c r="OJC118" s="198"/>
      <c r="OJD118" s="199"/>
      <c r="OJE118" s="198"/>
      <c r="OJF118" s="199"/>
      <c r="OJG118" s="198"/>
      <c r="OJH118" s="199"/>
      <c r="OJI118" s="198"/>
      <c r="OJJ118" s="199"/>
      <c r="OJK118" s="198"/>
      <c r="OJL118" s="199"/>
      <c r="OJM118" s="198"/>
      <c r="OJN118" s="199"/>
      <c r="OJO118" s="198"/>
      <c r="OJP118" s="199"/>
      <c r="OJQ118" s="198"/>
      <c r="OJR118" s="199"/>
      <c r="OJS118" s="198"/>
      <c r="OJT118" s="199"/>
      <c r="OJU118" s="198"/>
      <c r="OJV118" s="199"/>
      <c r="OJW118" s="198"/>
      <c r="OJX118" s="199"/>
      <c r="OJY118" s="198"/>
      <c r="OJZ118" s="199"/>
      <c r="OKA118" s="198"/>
      <c r="OKB118" s="199"/>
      <c r="OKC118" s="198"/>
      <c r="OKD118" s="199"/>
      <c r="OKE118" s="198"/>
      <c r="OKF118" s="199"/>
      <c r="OKG118" s="198"/>
      <c r="OKH118" s="199"/>
      <c r="OKI118" s="198"/>
      <c r="OKJ118" s="199"/>
      <c r="OKK118" s="198"/>
      <c r="OKL118" s="199"/>
      <c r="OKM118" s="198"/>
      <c r="OKN118" s="199"/>
      <c r="OKO118" s="198"/>
      <c r="OKP118" s="199"/>
      <c r="OKQ118" s="198"/>
      <c r="OKR118" s="199"/>
      <c r="OKS118" s="198"/>
      <c r="OKT118" s="199"/>
      <c r="OKU118" s="198"/>
      <c r="OKV118" s="199"/>
      <c r="OKW118" s="198"/>
      <c r="OKX118" s="199"/>
      <c r="OKY118" s="198"/>
      <c r="OKZ118" s="199"/>
      <c r="OLA118" s="198"/>
      <c r="OLB118" s="199"/>
      <c r="OLC118" s="198"/>
      <c r="OLD118" s="199"/>
      <c r="OLE118" s="198"/>
      <c r="OLF118" s="199"/>
      <c r="OLG118" s="198"/>
      <c r="OLH118" s="199"/>
      <c r="OLI118" s="198"/>
      <c r="OLJ118" s="199"/>
      <c r="OLK118" s="198"/>
      <c r="OLL118" s="199"/>
      <c r="OLM118" s="198"/>
      <c r="OLN118" s="199"/>
      <c r="OLO118" s="198"/>
      <c r="OLP118" s="199"/>
      <c r="OLQ118" s="198"/>
      <c r="OLR118" s="199"/>
      <c r="OLS118" s="198"/>
      <c r="OLT118" s="199"/>
      <c r="OLU118" s="198"/>
      <c r="OLV118" s="199"/>
      <c r="OLW118" s="198"/>
      <c r="OLX118" s="199"/>
      <c r="OLY118" s="198"/>
      <c r="OLZ118" s="199"/>
      <c r="OMA118" s="198"/>
      <c r="OMB118" s="199"/>
      <c r="OMC118" s="198"/>
      <c r="OMD118" s="199"/>
      <c r="OME118" s="198"/>
      <c r="OMF118" s="199"/>
      <c r="OMG118" s="198"/>
      <c r="OMH118" s="199"/>
      <c r="OMI118" s="198"/>
      <c r="OMJ118" s="199"/>
      <c r="OMK118" s="198"/>
      <c r="OML118" s="199"/>
      <c r="OMM118" s="198"/>
      <c r="OMN118" s="199"/>
      <c r="OMO118" s="198"/>
      <c r="OMP118" s="199"/>
      <c r="OMQ118" s="198"/>
      <c r="OMR118" s="199"/>
      <c r="OMS118" s="198"/>
      <c r="OMT118" s="199"/>
      <c r="OMU118" s="198"/>
      <c r="OMV118" s="199"/>
      <c r="OMW118" s="198"/>
      <c r="OMX118" s="199"/>
      <c r="OMY118" s="198"/>
      <c r="OMZ118" s="199"/>
      <c r="ONA118" s="198"/>
      <c r="ONB118" s="199"/>
      <c r="ONC118" s="198"/>
      <c r="OND118" s="199"/>
      <c r="ONE118" s="198"/>
      <c r="ONF118" s="199"/>
      <c r="ONG118" s="198"/>
      <c r="ONH118" s="199"/>
      <c r="ONI118" s="198"/>
      <c r="ONJ118" s="199"/>
      <c r="ONK118" s="198"/>
      <c r="ONL118" s="199"/>
      <c r="ONM118" s="198"/>
      <c r="ONN118" s="199"/>
      <c r="ONO118" s="198"/>
      <c r="ONP118" s="199"/>
      <c r="ONQ118" s="198"/>
      <c r="ONR118" s="199"/>
      <c r="ONS118" s="198"/>
      <c r="ONT118" s="199"/>
      <c r="ONU118" s="198"/>
      <c r="ONV118" s="199"/>
      <c r="ONW118" s="198"/>
      <c r="ONX118" s="199"/>
      <c r="ONY118" s="198"/>
      <c r="ONZ118" s="199"/>
      <c r="OOA118" s="198"/>
      <c r="OOB118" s="199"/>
      <c r="OOC118" s="198"/>
      <c r="OOD118" s="199"/>
      <c r="OOE118" s="198"/>
      <c r="OOF118" s="199"/>
      <c r="OOG118" s="198"/>
      <c r="OOH118" s="199"/>
      <c r="OOI118" s="198"/>
      <c r="OOJ118" s="199"/>
      <c r="OOK118" s="198"/>
      <c r="OOL118" s="199"/>
      <c r="OOM118" s="198"/>
      <c r="OON118" s="199"/>
      <c r="OOO118" s="198"/>
      <c r="OOP118" s="199"/>
      <c r="OOQ118" s="198"/>
      <c r="OOR118" s="199"/>
      <c r="OOS118" s="198"/>
      <c r="OOT118" s="199"/>
      <c r="OOU118" s="198"/>
      <c r="OOV118" s="199"/>
      <c r="OOW118" s="198"/>
      <c r="OOX118" s="199"/>
      <c r="OOY118" s="198"/>
      <c r="OOZ118" s="199"/>
      <c r="OPA118" s="198"/>
      <c r="OPB118" s="199"/>
      <c r="OPC118" s="198"/>
      <c r="OPD118" s="199"/>
      <c r="OPE118" s="198"/>
      <c r="OPF118" s="199"/>
      <c r="OPG118" s="198"/>
      <c r="OPH118" s="199"/>
      <c r="OPI118" s="198"/>
      <c r="OPJ118" s="199"/>
      <c r="OPK118" s="198"/>
      <c r="OPL118" s="199"/>
      <c r="OPM118" s="198"/>
      <c r="OPN118" s="199"/>
      <c r="OPO118" s="198"/>
      <c r="OPP118" s="199"/>
      <c r="OPQ118" s="198"/>
      <c r="OPR118" s="199"/>
      <c r="OPS118" s="198"/>
      <c r="OPT118" s="199"/>
      <c r="OPU118" s="198"/>
      <c r="OPV118" s="199"/>
      <c r="OPW118" s="198"/>
      <c r="OPX118" s="199"/>
      <c r="OPY118" s="198"/>
      <c r="OPZ118" s="199"/>
      <c r="OQA118" s="198"/>
      <c r="OQB118" s="199"/>
      <c r="OQC118" s="198"/>
      <c r="OQD118" s="199"/>
      <c r="OQE118" s="198"/>
      <c r="OQF118" s="199"/>
      <c r="OQG118" s="198"/>
      <c r="OQH118" s="199"/>
      <c r="OQI118" s="198"/>
      <c r="OQJ118" s="199"/>
      <c r="OQK118" s="198"/>
      <c r="OQL118" s="199"/>
      <c r="OQM118" s="198"/>
      <c r="OQN118" s="199"/>
      <c r="OQO118" s="198"/>
      <c r="OQP118" s="199"/>
      <c r="OQQ118" s="198"/>
      <c r="OQR118" s="199"/>
      <c r="OQS118" s="198"/>
      <c r="OQT118" s="199"/>
      <c r="OQU118" s="198"/>
      <c r="OQV118" s="199"/>
      <c r="OQW118" s="198"/>
      <c r="OQX118" s="199"/>
      <c r="OQY118" s="198"/>
      <c r="OQZ118" s="199"/>
      <c r="ORA118" s="198"/>
      <c r="ORB118" s="199"/>
      <c r="ORC118" s="198"/>
      <c r="ORD118" s="199"/>
      <c r="ORE118" s="198"/>
      <c r="ORF118" s="199"/>
      <c r="ORG118" s="198"/>
      <c r="ORH118" s="199"/>
      <c r="ORI118" s="198"/>
      <c r="ORJ118" s="199"/>
      <c r="ORK118" s="198"/>
      <c r="ORL118" s="199"/>
      <c r="ORM118" s="198"/>
      <c r="ORN118" s="199"/>
      <c r="ORO118" s="198"/>
      <c r="ORP118" s="199"/>
      <c r="ORQ118" s="198"/>
      <c r="ORR118" s="199"/>
      <c r="ORS118" s="198"/>
      <c r="ORT118" s="199"/>
      <c r="ORU118" s="198"/>
      <c r="ORV118" s="199"/>
      <c r="ORW118" s="198"/>
      <c r="ORX118" s="199"/>
      <c r="ORY118" s="198"/>
      <c r="ORZ118" s="199"/>
      <c r="OSA118" s="198"/>
      <c r="OSB118" s="199"/>
      <c r="OSC118" s="198"/>
      <c r="OSD118" s="199"/>
      <c r="OSE118" s="198"/>
      <c r="OSF118" s="199"/>
      <c r="OSG118" s="198"/>
      <c r="OSH118" s="199"/>
      <c r="OSI118" s="198"/>
      <c r="OSJ118" s="199"/>
      <c r="OSK118" s="198"/>
      <c r="OSL118" s="199"/>
      <c r="OSM118" s="198"/>
      <c r="OSN118" s="199"/>
      <c r="OSO118" s="198"/>
      <c r="OSP118" s="199"/>
      <c r="OSQ118" s="198"/>
      <c r="OSR118" s="199"/>
      <c r="OSS118" s="198"/>
      <c r="OST118" s="199"/>
      <c r="OSU118" s="198"/>
      <c r="OSV118" s="199"/>
      <c r="OSW118" s="198"/>
      <c r="OSX118" s="199"/>
      <c r="OSY118" s="198"/>
      <c r="OSZ118" s="199"/>
      <c r="OTA118" s="198"/>
      <c r="OTB118" s="199"/>
      <c r="OTC118" s="198"/>
      <c r="OTD118" s="199"/>
      <c r="OTE118" s="198"/>
      <c r="OTF118" s="199"/>
      <c r="OTG118" s="198"/>
      <c r="OTH118" s="199"/>
      <c r="OTI118" s="198"/>
      <c r="OTJ118" s="199"/>
      <c r="OTK118" s="198"/>
      <c r="OTL118" s="199"/>
      <c r="OTM118" s="198"/>
      <c r="OTN118" s="199"/>
      <c r="OTO118" s="198"/>
      <c r="OTP118" s="199"/>
      <c r="OTQ118" s="198"/>
      <c r="OTR118" s="199"/>
      <c r="OTS118" s="198"/>
      <c r="OTT118" s="199"/>
      <c r="OTU118" s="198"/>
      <c r="OTV118" s="199"/>
      <c r="OTW118" s="198"/>
      <c r="OTX118" s="199"/>
      <c r="OTY118" s="198"/>
      <c r="OTZ118" s="199"/>
      <c r="OUA118" s="198"/>
      <c r="OUB118" s="199"/>
      <c r="OUC118" s="198"/>
      <c r="OUD118" s="199"/>
      <c r="OUE118" s="198"/>
      <c r="OUF118" s="199"/>
      <c r="OUG118" s="198"/>
      <c r="OUH118" s="199"/>
      <c r="OUI118" s="198"/>
      <c r="OUJ118" s="199"/>
      <c r="OUK118" s="198"/>
      <c r="OUL118" s="199"/>
      <c r="OUM118" s="198"/>
      <c r="OUN118" s="199"/>
      <c r="OUO118" s="198"/>
      <c r="OUP118" s="199"/>
      <c r="OUQ118" s="198"/>
      <c r="OUR118" s="199"/>
      <c r="OUS118" s="198"/>
      <c r="OUT118" s="199"/>
      <c r="OUU118" s="198"/>
      <c r="OUV118" s="199"/>
      <c r="OUW118" s="198"/>
      <c r="OUX118" s="199"/>
      <c r="OUY118" s="198"/>
      <c r="OUZ118" s="199"/>
      <c r="OVA118" s="198"/>
      <c r="OVB118" s="199"/>
      <c r="OVC118" s="198"/>
      <c r="OVD118" s="199"/>
      <c r="OVE118" s="198"/>
      <c r="OVF118" s="199"/>
      <c r="OVG118" s="198"/>
      <c r="OVH118" s="199"/>
      <c r="OVI118" s="198"/>
      <c r="OVJ118" s="199"/>
      <c r="OVK118" s="198"/>
      <c r="OVL118" s="199"/>
      <c r="OVM118" s="198"/>
      <c r="OVN118" s="199"/>
      <c r="OVO118" s="198"/>
      <c r="OVP118" s="199"/>
      <c r="OVQ118" s="198"/>
      <c r="OVR118" s="199"/>
      <c r="OVS118" s="198"/>
      <c r="OVT118" s="199"/>
      <c r="OVU118" s="198"/>
      <c r="OVV118" s="199"/>
      <c r="OVW118" s="198"/>
      <c r="OVX118" s="199"/>
      <c r="OVY118" s="198"/>
      <c r="OVZ118" s="199"/>
      <c r="OWA118" s="198"/>
      <c r="OWB118" s="199"/>
      <c r="OWC118" s="198"/>
      <c r="OWD118" s="199"/>
      <c r="OWE118" s="198"/>
      <c r="OWF118" s="199"/>
      <c r="OWG118" s="198"/>
      <c r="OWH118" s="199"/>
      <c r="OWI118" s="198"/>
      <c r="OWJ118" s="199"/>
      <c r="OWK118" s="198"/>
      <c r="OWL118" s="199"/>
      <c r="OWM118" s="198"/>
      <c r="OWN118" s="199"/>
      <c r="OWO118" s="198"/>
      <c r="OWP118" s="199"/>
      <c r="OWQ118" s="198"/>
      <c r="OWR118" s="199"/>
      <c r="OWS118" s="198"/>
      <c r="OWT118" s="199"/>
      <c r="OWU118" s="198"/>
      <c r="OWV118" s="199"/>
      <c r="OWW118" s="198"/>
      <c r="OWX118" s="199"/>
      <c r="OWY118" s="198"/>
      <c r="OWZ118" s="199"/>
      <c r="OXA118" s="198"/>
      <c r="OXB118" s="199"/>
      <c r="OXC118" s="198"/>
      <c r="OXD118" s="199"/>
      <c r="OXE118" s="198"/>
      <c r="OXF118" s="199"/>
      <c r="OXG118" s="198"/>
      <c r="OXH118" s="199"/>
      <c r="OXI118" s="198"/>
      <c r="OXJ118" s="199"/>
      <c r="OXK118" s="198"/>
      <c r="OXL118" s="199"/>
      <c r="OXM118" s="198"/>
      <c r="OXN118" s="199"/>
      <c r="OXO118" s="198"/>
      <c r="OXP118" s="199"/>
      <c r="OXQ118" s="198"/>
      <c r="OXR118" s="199"/>
      <c r="OXS118" s="198"/>
      <c r="OXT118" s="199"/>
      <c r="OXU118" s="198"/>
      <c r="OXV118" s="199"/>
      <c r="OXW118" s="198"/>
      <c r="OXX118" s="199"/>
      <c r="OXY118" s="198"/>
      <c r="OXZ118" s="199"/>
      <c r="OYA118" s="198"/>
      <c r="OYB118" s="199"/>
      <c r="OYC118" s="198"/>
      <c r="OYD118" s="199"/>
      <c r="OYE118" s="198"/>
      <c r="OYF118" s="199"/>
      <c r="OYG118" s="198"/>
      <c r="OYH118" s="199"/>
      <c r="OYI118" s="198"/>
      <c r="OYJ118" s="199"/>
      <c r="OYK118" s="198"/>
      <c r="OYL118" s="199"/>
      <c r="OYM118" s="198"/>
      <c r="OYN118" s="199"/>
      <c r="OYO118" s="198"/>
      <c r="OYP118" s="199"/>
      <c r="OYQ118" s="198"/>
      <c r="OYR118" s="199"/>
      <c r="OYS118" s="198"/>
      <c r="OYT118" s="199"/>
      <c r="OYU118" s="198"/>
      <c r="OYV118" s="199"/>
      <c r="OYW118" s="198"/>
      <c r="OYX118" s="199"/>
      <c r="OYY118" s="198"/>
      <c r="OYZ118" s="199"/>
      <c r="OZA118" s="198"/>
      <c r="OZB118" s="199"/>
      <c r="OZC118" s="198"/>
      <c r="OZD118" s="199"/>
      <c r="OZE118" s="198"/>
      <c r="OZF118" s="199"/>
      <c r="OZG118" s="198"/>
      <c r="OZH118" s="199"/>
      <c r="OZI118" s="198"/>
      <c r="OZJ118" s="199"/>
      <c r="OZK118" s="198"/>
      <c r="OZL118" s="199"/>
      <c r="OZM118" s="198"/>
      <c r="OZN118" s="199"/>
      <c r="OZO118" s="198"/>
      <c r="OZP118" s="199"/>
      <c r="OZQ118" s="198"/>
      <c r="OZR118" s="199"/>
      <c r="OZS118" s="198"/>
      <c r="OZT118" s="199"/>
      <c r="OZU118" s="198"/>
      <c r="OZV118" s="199"/>
      <c r="OZW118" s="198"/>
      <c r="OZX118" s="199"/>
      <c r="OZY118" s="198"/>
      <c r="OZZ118" s="199"/>
      <c r="PAA118" s="198"/>
      <c r="PAB118" s="199"/>
      <c r="PAC118" s="198"/>
      <c r="PAD118" s="199"/>
      <c r="PAE118" s="198"/>
      <c r="PAF118" s="199"/>
      <c r="PAG118" s="198"/>
      <c r="PAH118" s="199"/>
      <c r="PAI118" s="198"/>
      <c r="PAJ118" s="199"/>
      <c r="PAK118" s="198"/>
      <c r="PAL118" s="199"/>
      <c r="PAM118" s="198"/>
      <c r="PAN118" s="199"/>
      <c r="PAO118" s="198"/>
      <c r="PAP118" s="199"/>
      <c r="PAQ118" s="198"/>
      <c r="PAR118" s="199"/>
      <c r="PAS118" s="198"/>
      <c r="PAT118" s="199"/>
      <c r="PAU118" s="198"/>
      <c r="PAV118" s="199"/>
      <c r="PAW118" s="198"/>
      <c r="PAX118" s="199"/>
      <c r="PAY118" s="198"/>
      <c r="PAZ118" s="199"/>
      <c r="PBA118" s="198"/>
      <c r="PBB118" s="199"/>
      <c r="PBC118" s="198"/>
      <c r="PBD118" s="199"/>
      <c r="PBE118" s="198"/>
      <c r="PBF118" s="199"/>
      <c r="PBG118" s="198"/>
      <c r="PBH118" s="199"/>
      <c r="PBI118" s="198"/>
      <c r="PBJ118" s="199"/>
      <c r="PBK118" s="198"/>
      <c r="PBL118" s="199"/>
      <c r="PBM118" s="198"/>
      <c r="PBN118" s="199"/>
      <c r="PBO118" s="198"/>
      <c r="PBP118" s="199"/>
      <c r="PBQ118" s="198"/>
      <c r="PBR118" s="199"/>
      <c r="PBS118" s="198"/>
      <c r="PBT118" s="199"/>
      <c r="PBU118" s="198"/>
      <c r="PBV118" s="199"/>
      <c r="PBW118" s="198"/>
      <c r="PBX118" s="199"/>
      <c r="PBY118" s="198"/>
      <c r="PBZ118" s="199"/>
      <c r="PCA118" s="198"/>
      <c r="PCB118" s="199"/>
      <c r="PCC118" s="198"/>
      <c r="PCD118" s="199"/>
      <c r="PCE118" s="198"/>
      <c r="PCF118" s="199"/>
      <c r="PCG118" s="198"/>
      <c r="PCH118" s="199"/>
      <c r="PCI118" s="198"/>
      <c r="PCJ118" s="199"/>
      <c r="PCK118" s="198"/>
      <c r="PCL118" s="199"/>
      <c r="PCM118" s="198"/>
      <c r="PCN118" s="199"/>
      <c r="PCO118" s="198"/>
      <c r="PCP118" s="199"/>
      <c r="PCQ118" s="198"/>
      <c r="PCR118" s="199"/>
      <c r="PCS118" s="198"/>
      <c r="PCT118" s="199"/>
      <c r="PCU118" s="198"/>
      <c r="PCV118" s="199"/>
      <c r="PCW118" s="198"/>
      <c r="PCX118" s="199"/>
      <c r="PCY118" s="198"/>
      <c r="PCZ118" s="199"/>
      <c r="PDA118" s="198"/>
      <c r="PDB118" s="199"/>
      <c r="PDC118" s="198"/>
      <c r="PDD118" s="199"/>
      <c r="PDE118" s="198"/>
      <c r="PDF118" s="199"/>
      <c r="PDG118" s="198"/>
      <c r="PDH118" s="199"/>
      <c r="PDI118" s="198"/>
      <c r="PDJ118" s="199"/>
      <c r="PDK118" s="198"/>
      <c r="PDL118" s="199"/>
      <c r="PDM118" s="198"/>
      <c r="PDN118" s="199"/>
      <c r="PDO118" s="198"/>
      <c r="PDP118" s="199"/>
      <c r="PDQ118" s="198"/>
      <c r="PDR118" s="199"/>
      <c r="PDS118" s="198"/>
      <c r="PDT118" s="199"/>
      <c r="PDU118" s="198"/>
      <c r="PDV118" s="199"/>
      <c r="PDW118" s="198"/>
      <c r="PDX118" s="199"/>
      <c r="PDY118" s="198"/>
      <c r="PDZ118" s="199"/>
      <c r="PEA118" s="198"/>
      <c r="PEB118" s="199"/>
      <c r="PEC118" s="198"/>
      <c r="PED118" s="199"/>
      <c r="PEE118" s="198"/>
      <c r="PEF118" s="199"/>
      <c r="PEG118" s="198"/>
      <c r="PEH118" s="199"/>
      <c r="PEI118" s="198"/>
      <c r="PEJ118" s="199"/>
      <c r="PEK118" s="198"/>
      <c r="PEL118" s="199"/>
      <c r="PEM118" s="198"/>
      <c r="PEN118" s="199"/>
      <c r="PEO118" s="198"/>
      <c r="PEP118" s="199"/>
      <c r="PEQ118" s="198"/>
      <c r="PER118" s="199"/>
      <c r="PES118" s="198"/>
      <c r="PET118" s="199"/>
      <c r="PEU118" s="198"/>
      <c r="PEV118" s="199"/>
      <c r="PEW118" s="198"/>
      <c r="PEX118" s="199"/>
      <c r="PEY118" s="198"/>
      <c r="PEZ118" s="199"/>
      <c r="PFA118" s="198"/>
      <c r="PFB118" s="199"/>
      <c r="PFC118" s="198"/>
      <c r="PFD118" s="199"/>
      <c r="PFE118" s="198"/>
      <c r="PFF118" s="199"/>
      <c r="PFG118" s="198"/>
      <c r="PFH118" s="199"/>
      <c r="PFI118" s="198"/>
      <c r="PFJ118" s="199"/>
      <c r="PFK118" s="198"/>
      <c r="PFL118" s="199"/>
      <c r="PFM118" s="198"/>
      <c r="PFN118" s="199"/>
      <c r="PFO118" s="198"/>
      <c r="PFP118" s="199"/>
      <c r="PFQ118" s="198"/>
      <c r="PFR118" s="199"/>
      <c r="PFS118" s="198"/>
      <c r="PFT118" s="199"/>
      <c r="PFU118" s="198"/>
      <c r="PFV118" s="199"/>
      <c r="PFW118" s="198"/>
      <c r="PFX118" s="199"/>
      <c r="PFY118" s="198"/>
      <c r="PFZ118" s="199"/>
      <c r="PGA118" s="198"/>
      <c r="PGB118" s="199"/>
      <c r="PGC118" s="198"/>
      <c r="PGD118" s="199"/>
      <c r="PGE118" s="198"/>
      <c r="PGF118" s="199"/>
      <c r="PGG118" s="198"/>
      <c r="PGH118" s="199"/>
      <c r="PGI118" s="198"/>
      <c r="PGJ118" s="199"/>
      <c r="PGK118" s="198"/>
      <c r="PGL118" s="199"/>
      <c r="PGM118" s="198"/>
      <c r="PGN118" s="199"/>
      <c r="PGO118" s="198"/>
      <c r="PGP118" s="199"/>
      <c r="PGQ118" s="198"/>
      <c r="PGR118" s="199"/>
      <c r="PGS118" s="198"/>
      <c r="PGT118" s="199"/>
      <c r="PGU118" s="198"/>
      <c r="PGV118" s="199"/>
      <c r="PGW118" s="198"/>
      <c r="PGX118" s="199"/>
      <c r="PGY118" s="198"/>
      <c r="PGZ118" s="199"/>
      <c r="PHA118" s="198"/>
      <c r="PHB118" s="199"/>
      <c r="PHC118" s="198"/>
      <c r="PHD118" s="199"/>
      <c r="PHE118" s="198"/>
      <c r="PHF118" s="199"/>
      <c r="PHG118" s="198"/>
      <c r="PHH118" s="199"/>
      <c r="PHI118" s="198"/>
      <c r="PHJ118" s="199"/>
      <c r="PHK118" s="198"/>
      <c r="PHL118" s="199"/>
      <c r="PHM118" s="198"/>
      <c r="PHN118" s="199"/>
      <c r="PHO118" s="198"/>
      <c r="PHP118" s="199"/>
      <c r="PHQ118" s="198"/>
      <c r="PHR118" s="199"/>
      <c r="PHS118" s="198"/>
      <c r="PHT118" s="199"/>
      <c r="PHU118" s="198"/>
      <c r="PHV118" s="199"/>
      <c r="PHW118" s="198"/>
      <c r="PHX118" s="199"/>
      <c r="PHY118" s="198"/>
      <c r="PHZ118" s="199"/>
      <c r="PIA118" s="198"/>
      <c r="PIB118" s="199"/>
      <c r="PIC118" s="198"/>
      <c r="PID118" s="199"/>
      <c r="PIE118" s="198"/>
      <c r="PIF118" s="199"/>
      <c r="PIG118" s="198"/>
      <c r="PIH118" s="199"/>
      <c r="PII118" s="198"/>
      <c r="PIJ118" s="199"/>
      <c r="PIK118" s="198"/>
      <c r="PIL118" s="199"/>
      <c r="PIM118" s="198"/>
      <c r="PIN118" s="199"/>
      <c r="PIO118" s="198"/>
      <c r="PIP118" s="199"/>
      <c r="PIQ118" s="198"/>
      <c r="PIR118" s="199"/>
      <c r="PIS118" s="198"/>
      <c r="PIT118" s="199"/>
      <c r="PIU118" s="198"/>
      <c r="PIV118" s="199"/>
      <c r="PIW118" s="198"/>
      <c r="PIX118" s="199"/>
      <c r="PIY118" s="198"/>
      <c r="PIZ118" s="199"/>
      <c r="PJA118" s="198"/>
      <c r="PJB118" s="199"/>
      <c r="PJC118" s="198"/>
      <c r="PJD118" s="199"/>
      <c r="PJE118" s="198"/>
      <c r="PJF118" s="199"/>
      <c r="PJG118" s="198"/>
      <c r="PJH118" s="199"/>
      <c r="PJI118" s="198"/>
      <c r="PJJ118" s="199"/>
      <c r="PJK118" s="198"/>
      <c r="PJL118" s="199"/>
      <c r="PJM118" s="198"/>
      <c r="PJN118" s="199"/>
      <c r="PJO118" s="198"/>
      <c r="PJP118" s="199"/>
      <c r="PJQ118" s="198"/>
      <c r="PJR118" s="199"/>
      <c r="PJS118" s="198"/>
      <c r="PJT118" s="199"/>
      <c r="PJU118" s="198"/>
      <c r="PJV118" s="199"/>
      <c r="PJW118" s="198"/>
      <c r="PJX118" s="199"/>
      <c r="PJY118" s="198"/>
      <c r="PJZ118" s="199"/>
      <c r="PKA118" s="198"/>
      <c r="PKB118" s="199"/>
      <c r="PKC118" s="198"/>
      <c r="PKD118" s="199"/>
      <c r="PKE118" s="198"/>
      <c r="PKF118" s="199"/>
      <c r="PKG118" s="198"/>
      <c r="PKH118" s="199"/>
      <c r="PKI118" s="198"/>
      <c r="PKJ118" s="199"/>
      <c r="PKK118" s="198"/>
      <c r="PKL118" s="199"/>
      <c r="PKM118" s="198"/>
      <c r="PKN118" s="199"/>
      <c r="PKO118" s="198"/>
      <c r="PKP118" s="199"/>
      <c r="PKQ118" s="198"/>
      <c r="PKR118" s="199"/>
      <c r="PKS118" s="198"/>
      <c r="PKT118" s="199"/>
      <c r="PKU118" s="198"/>
      <c r="PKV118" s="199"/>
      <c r="PKW118" s="198"/>
      <c r="PKX118" s="199"/>
      <c r="PKY118" s="198"/>
      <c r="PKZ118" s="199"/>
      <c r="PLA118" s="198"/>
      <c r="PLB118" s="199"/>
      <c r="PLC118" s="198"/>
      <c r="PLD118" s="199"/>
      <c r="PLE118" s="198"/>
      <c r="PLF118" s="199"/>
      <c r="PLG118" s="198"/>
      <c r="PLH118" s="199"/>
      <c r="PLI118" s="198"/>
      <c r="PLJ118" s="199"/>
      <c r="PLK118" s="198"/>
      <c r="PLL118" s="199"/>
      <c r="PLM118" s="198"/>
      <c r="PLN118" s="199"/>
      <c r="PLO118" s="198"/>
      <c r="PLP118" s="199"/>
      <c r="PLQ118" s="198"/>
      <c r="PLR118" s="199"/>
      <c r="PLS118" s="198"/>
      <c r="PLT118" s="199"/>
      <c r="PLU118" s="198"/>
      <c r="PLV118" s="199"/>
      <c r="PLW118" s="198"/>
      <c r="PLX118" s="199"/>
      <c r="PLY118" s="198"/>
      <c r="PLZ118" s="199"/>
      <c r="PMA118" s="198"/>
      <c r="PMB118" s="199"/>
      <c r="PMC118" s="198"/>
      <c r="PMD118" s="199"/>
      <c r="PME118" s="198"/>
      <c r="PMF118" s="199"/>
      <c r="PMG118" s="198"/>
      <c r="PMH118" s="199"/>
      <c r="PMI118" s="198"/>
      <c r="PMJ118" s="199"/>
      <c r="PMK118" s="198"/>
      <c r="PML118" s="199"/>
      <c r="PMM118" s="198"/>
      <c r="PMN118" s="199"/>
      <c r="PMO118" s="198"/>
      <c r="PMP118" s="199"/>
      <c r="PMQ118" s="198"/>
      <c r="PMR118" s="199"/>
      <c r="PMS118" s="198"/>
      <c r="PMT118" s="199"/>
      <c r="PMU118" s="198"/>
      <c r="PMV118" s="199"/>
      <c r="PMW118" s="198"/>
      <c r="PMX118" s="199"/>
      <c r="PMY118" s="198"/>
      <c r="PMZ118" s="199"/>
      <c r="PNA118" s="198"/>
      <c r="PNB118" s="199"/>
      <c r="PNC118" s="198"/>
      <c r="PND118" s="199"/>
      <c r="PNE118" s="198"/>
      <c r="PNF118" s="199"/>
      <c r="PNG118" s="198"/>
      <c r="PNH118" s="199"/>
      <c r="PNI118" s="198"/>
      <c r="PNJ118" s="199"/>
      <c r="PNK118" s="198"/>
      <c r="PNL118" s="199"/>
      <c r="PNM118" s="198"/>
      <c r="PNN118" s="199"/>
      <c r="PNO118" s="198"/>
      <c r="PNP118" s="199"/>
      <c r="PNQ118" s="198"/>
      <c r="PNR118" s="199"/>
      <c r="PNS118" s="198"/>
      <c r="PNT118" s="199"/>
      <c r="PNU118" s="198"/>
      <c r="PNV118" s="199"/>
      <c r="PNW118" s="198"/>
      <c r="PNX118" s="199"/>
      <c r="PNY118" s="198"/>
      <c r="PNZ118" s="199"/>
      <c r="POA118" s="198"/>
      <c r="POB118" s="199"/>
      <c r="POC118" s="198"/>
      <c r="POD118" s="199"/>
      <c r="POE118" s="198"/>
      <c r="POF118" s="199"/>
      <c r="POG118" s="198"/>
      <c r="POH118" s="199"/>
      <c r="POI118" s="198"/>
      <c r="POJ118" s="199"/>
      <c r="POK118" s="198"/>
      <c r="POL118" s="199"/>
      <c r="POM118" s="198"/>
      <c r="PON118" s="199"/>
      <c r="POO118" s="198"/>
      <c r="POP118" s="199"/>
      <c r="POQ118" s="198"/>
      <c r="POR118" s="199"/>
      <c r="POS118" s="198"/>
      <c r="POT118" s="199"/>
      <c r="POU118" s="198"/>
      <c r="POV118" s="199"/>
      <c r="POW118" s="198"/>
      <c r="POX118" s="199"/>
      <c r="POY118" s="198"/>
      <c r="POZ118" s="199"/>
      <c r="PPA118" s="198"/>
      <c r="PPB118" s="199"/>
      <c r="PPC118" s="198"/>
      <c r="PPD118" s="199"/>
      <c r="PPE118" s="198"/>
      <c r="PPF118" s="199"/>
      <c r="PPG118" s="198"/>
      <c r="PPH118" s="199"/>
      <c r="PPI118" s="198"/>
      <c r="PPJ118" s="199"/>
      <c r="PPK118" s="198"/>
      <c r="PPL118" s="199"/>
      <c r="PPM118" s="198"/>
      <c r="PPN118" s="199"/>
      <c r="PPO118" s="198"/>
      <c r="PPP118" s="199"/>
      <c r="PPQ118" s="198"/>
      <c r="PPR118" s="199"/>
      <c r="PPS118" s="198"/>
      <c r="PPT118" s="199"/>
      <c r="PPU118" s="198"/>
      <c r="PPV118" s="199"/>
      <c r="PPW118" s="198"/>
      <c r="PPX118" s="199"/>
      <c r="PPY118" s="198"/>
      <c r="PPZ118" s="199"/>
      <c r="PQA118" s="198"/>
      <c r="PQB118" s="199"/>
      <c r="PQC118" s="198"/>
      <c r="PQD118" s="199"/>
      <c r="PQE118" s="198"/>
      <c r="PQF118" s="199"/>
      <c r="PQG118" s="198"/>
      <c r="PQH118" s="199"/>
      <c r="PQI118" s="198"/>
      <c r="PQJ118" s="199"/>
      <c r="PQK118" s="198"/>
      <c r="PQL118" s="199"/>
      <c r="PQM118" s="198"/>
      <c r="PQN118" s="199"/>
      <c r="PQO118" s="198"/>
      <c r="PQP118" s="199"/>
      <c r="PQQ118" s="198"/>
      <c r="PQR118" s="199"/>
      <c r="PQS118" s="198"/>
      <c r="PQT118" s="199"/>
      <c r="PQU118" s="198"/>
      <c r="PQV118" s="199"/>
      <c r="PQW118" s="198"/>
      <c r="PQX118" s="199"/>
      <c r="PQY118" s="198"/>
      <c r="PQZ118" s="199"/>
      <c r="PRA118" s="198"/>
      <c r="PRB118" s="199"/>
      <c r="PRC118" s="198"/>
      <c r="PRD118" s="199"/>
      <c r="PRE118" s="198"/>
      <c r="PRF118" s="199"/>
      <c r="PRG118" s="198"/>
      <c r="PRH118" s="199"/>
      <c r="PRI118" s="198"/>
      <c r="PRJ118" s="199"/>
      <c r="PRK118" s="198"/>
      <c r="PRL118" s="199"/>
      <c r="PRM118" s="198"/>
      <c r="PRN118" s="199"/>
      <c r="PRO118" s="198"/>
      <c r="PRP118" s="199"/>
      <c r="PRQ118" s="198"/>
      <c r="PRR118" s="199"/>
      <c r="PRS118" s="198"/>
      <c r="PRT118" s="199"/>
      <c r="PRU118" s="198"/>
      <c r="PRV118" s="199"/>
      <c r="PRW118" s="198"/>
      <c r="PRX118" s="199"/>
      <c r="PRY118" s="198"/>
      <c r="PRZ118" s="199"/>
      <c r="PSA118" s="198"/>
      <c r="PSB118" s="199"/>
      <c r="PSC118" s="198"/>
      <c r="PSD118" s="199"/>
      <c r="PSE118" s="198"/>
      <c r="PSF118" s="199"/>
      <c r="PSG118" s="198"/>
      <c r="PSH118" s="199"/>
      <c r="PSI118" s="198"/>
      <c r="PSJ118" s="199"/>
      <c r="PSK118" s="198"/>
      <c r="PSL118" s="199"/>
      <c r="PSM118" s="198"/>
      <c r="PSN118" s="199"/>
      <c r="PSO118" s="198"/>
      <c r="PSP118" s="199"/>
      <c r="PSQ118" s="198"/>
      <c r="PSR118" s="199"/>
      <c r="PSS118" s="198"/>
      <c r="PST118" s="199"/>
      <c r="PSU118" s="198"/>
      <c r="PSV118" s="199"/>
      <c r="PSW118" s="198"/>
      <c r="PSX118" s="199"/>
      <c r="PSY118" s="198"/>
      <c r="PSZ118" s="199"/>
      <c r="PTA118" s="198"/>
      <c r="PTB118" s="199"/>
      <c r="PTC118" s="198"/>
      <c r="PTD118" s="199"/>
      <c r="PTE118" s="198"/>
      <c r="PTF118" s="199"/>
      <c r="PTG118" s="198"/>
      <c r="PTH118" s="199"/>
      <c r="PTI118" s="198"/>
      <c r="PTJ118" s="199"/>
      <c r="PTK118" s="198"/>
      <c r="PTL118" s="199"/>
      <c r="PTM118" s="198"/>
      <c r="PTN118" s="199"/>
      <c r="PTO118" s="198"/>
      <c r="PTP118" s="199"/>
      <c r="PTQ118" s="198"/>
      <c r="PTR118" s="199"/>
      <c r="PTS118" s="198"/>
      <c r="PTT118" s="199"/>
      <c r="PTU118" s="198"/>
      <c r="PTV118" s="199"/>
      <c r="PTW118" s="198"/>
      <c r="PTX118" s="199"/>
      <c r="PTY118" s="198"/>
      <c r="PTZ118" s="199"/>
      <c r="PUA118" s="198"/>
      <c r="PUB118" s="199"/>
      <c r="PUC118" s="198"/>
      <c r="PUD118" s="199"/>
      <c r="PUE118" s="198"/>
      <c r="PUF118" s="199"/>
      <c r="PUG118" s="198"/>
      <c r="PUH118" s="199"/>
      <c r="PUI118" s="198"/>
      <c r="PUJ118" s="199"/>
      <c r="PUK118" s="198"/>
      <c r="PUL118" s="199"/>
      <c r="PUM118" s="198"/>
      <c r="PUN118" s="199"/>
      <c r="PUO118" s="198"/>
      <c r="PUP118" s="199"/>
      <c r="PUQ118" s="198"/>
      <c r="PUR118" s="199"/>
      <c r="PUS118" s="198"/>
      <c r="PUT118" s="199"/>
      <c r="PUU118" s="198"/>
      <c r="PUV118" s="199"/>
      <c r="PUW118" s="198"/>
      <c r="PUX118" s="199"/>
      <c r="PUY118" s="198"/>
      <c r="PUZ118" s="199"/>
      <c r="PVA118" s="198"/>
      <c r="PVB118" s="199"/>
      <c r="PVC118" s="198"/>
      <c r="PVD118" s="199"/>
      <c r="PVE118" s="198"/>
      <c r="PVF118" s="199"/>
      <c r="PVG118" s="198"/>
      <c r="PVH118" s="199"/>
      <c r="PVI118" s="198"/>
      <c r="PVJ118" s="199"/>
      <c r="PVK118" s="198"/>
      <c r="PVL118" s="199"/>
      <c r="PVM118" s="198"/>
      <c r="PVN118" s="199"/>
      <c r="PVO118" s="198"/>
      <c r="PVP118" s="199"/>
      <c r="PVQ118" s="198"/>
      <c r="PVR118" s="199"/>
      <c r="PVS118" s="198"/>
      <c r="PVT118" s="199"/>
      <c r="PVU118" s="198"/>
      <c r="PVV118" s="199"/>
      <c r="PVW118" s="198"/>
      <c r="PVX118" s="199"/>
      <c r="PVY118" s="198"/>
      <c r="PVZ118" s="199"/>
      <c r="PWA118" s="198"/>
      <c r="PWB118" s="199"/>
      <c r="PWC118" s="198"/>
      <c r="PWD118" s="199"/>
      <c r="PWE118" s="198"/>
      <c r="PWF118" s="199"/>
      <c r="PWG118" s="198"/>
      <c r="PWH118" s="199"/>
      <c r="PWI118" s="198"/>
      <c r="PWJ118" s="199"/>
      <c r="PWK118" s="198"/>
      <c r="PWL118" s="199"/>
      <c r="PWM118" s="198"/>
      <c r="PWN118" s="199"/>
      <c r="PWO118" s="198"/>
      <c r="PWP118" s="199"/>
      <c r="PWQ118" s="198"/>
      <c r="PWR118" s="199"/>
      <c r="PWS118" s="198"/>
      <c r="PWT118" s="199"/>
      <c r="PWU118" s="198"/>
      <c r="PWV118" s="199"/>
      <c r="PWW118" s="198"/>
      <c r="PWX118" s="199"/>
      <c r="PWY118" s="198"/>
      <c r="PWZ118" s="199"/>
      <c r="PXA118" s="198"/>
      <c r="PXB118" s="199"/>
      <c r="PXC118" s="198"/>
      <c r="PXD118" s="199"/>
      <c r="PXE118" s="198"/>
      <c r="PXF118" s="199"/>
      <c r="PXG118" s="198"/>
      <c r="PXH118" s="199"/>
      <c r="PXI118" s="198"/>
      <c r="PXJ118" s="199"/>
      <c r="PXK118" s="198"/>
      <c r="PXL118" s="199"/>
      <c r="PXM118" s="198"/>
      <c r="PXN118" s="199"/>
      <c r="PXO118" s="198"/>
      <c r="PXP118" s="199"/>
      <c r="PXQ118" s="198"/>
      <c r="PXR118" s="199"/>
      <c r="PXS118" s="198"/>
      <c r="PXT118" s="199"/>
      <c r="PXU118" s="198"/>
      <c r="PXV118" s="199"/>
      <c r="PXW118" s="198"/>
      <c r="PXX118" s="199"/>
      <c r="PXY118" s="198"/>
      <c r="PXZ118" s="199"/>
      <c r="PYA118" s="198"/>
      <c r="PYB118" s="199"/>
      <c r="PYC118" s="198"/>
      <c r="PYD118" s="199"/>
      <c r="PYE118" s="198"/>
      <c r="PYF118" s="199"/>
      <c r="PYG118" s="198"/>
      <c r="PYH118" s="199"/>
      <c r="PYI118" s="198"/>
      <c r="PYJ118" s="199"/>
      <c r="PYK118" s="198"/>
      <c r="PYL118" s="199"/>
      <c r="PYM118" s="198"/>
      <c r="PYN118" s="199"/>
      <c r="PYO118" s="198"/>
      <c r="PYP118" s="199"/>
      <c r="PYQ118" s="198"/>
      <c r="PYR118" s="199"/>
      <c r="PYS118" s="198"/>
      <c r="PYT118" s="199"/>
      <c r="PYU118" s="198"/>
      <c r="PYV118" s="199"/>
      <c r="PYW118" s="198"/>
      <c r="PYX118" s="199"/>
      <c r="PYY118" s="198"/>
      <c r="PYZ118" s="199"/>
      <c r="PZA118" s="198"/>
      <c r="PZB118" s="199"/>
      <c r="PZC118" s="198"/>
      <c r="PZD118" s="199"/>
      <c r="PZE118" s="198"/>
      <c r="PZF118" s="199"/>
      <c r="PZG118" s="198"/>
      <c r="PZH118" s="199"/>
      <c r="PZI118" s="198"/>
      <c r="PZJ118" s="199"/>
      <c r="PZK118" s="198"/>
      <c r="PZL118" s="199"/>
      <c r="PZM118" s="198"/>
      <c r="PZN118" s="199"/>
      <c r="PZO118" s="198"/>
      <c r="PZP118" s="199"/>
      <c r="PZQ118" s="198"/>
      <c r="PZR118" s="199"/>
      <c r="PZS118" s="198"/>
      <c r="PZT118" s="199"/>
      <c r="PZU118" s="198"/>
      <c r="PZV118" s="199"/>
      <c r="PZW118" s="198"/>
      <c r="PZX118" s="199"/>
      <c r="PZY118" s="198"/>
      <c r="PZZ118" s="199"/>
      <c r="QAA118" s="198"/>
      <c r="QAB118" s="199"/>
      <c r="QAC118" s="198"/>
      <c r="QAD118" s="199"/>
      <c r="QAE118" s="198"/>
      <c r="QAF118" s="199"/>
      <c r="QAG118" s="198"/>
      <c r="QAH118" s="199"/>
      <c r="QAI118" s="198"/>
      <c r="QAJ118" s="199"/>
      <c r="QAK118" s="198"/>
      <c r="QAL118" s="199"/>
      <c r="QAM118" s="198"/>
      <c r="QAN118" s="199"/>
      <c r="QAO118" s="198"/>
      <c r="QAP118" s="199"/>
      <c r="QAQ118" s="198"/>
      <c r="QAR118" s="199"/>
      <c r="QAS118" s="198"/>
      <c r="QAT118" s="199"/>
      <c r="QAU118" s="198"/>
      <c r="QAV118" s="199"/>
      <c r="QAW118" s="198"/>
      <c r="QAX118" s="199"/>
      <c r="QAY118" s="198"/>
      <c r="QAZ118" s="199"/>
      <c r="QBA118" s="198"/>
      <c r="QBB118" s="199"/>
      <c r="QBC118" s="198"/>
      <c r="QBD118" s="199"/>
      <c r="QBE118" s="198"/>
      <c r="QBF118" s="199"/>
      <c r="QBG118" s="198"/>
      <c r="QBH118" s="199"/>
      <c r="QBI118" s="198"/>
      <c r="QBJ118" s="199"/>
      <c r="QBK118" s="198"/>
      <c r="QBL118" s="199"/>
      <c r="QBM118" s="198"/>
      <c r="QBN118" s="199"/>
      <c r="QBO118" s="198"/>
      <c r="QBP118" s="199"/>
      <c r="QBQ118" s="198"/>
      <c r="QBR118" s="199"/>
      <c r="QBS118" s="198"/>
      <c r="QBT118" s="199"/>
      <c r="QBU118" s="198"/>
      <c r="QBV118" s="199"/>
      <c r="QBW118" s="198"/>
      <c r="QBX118" s="199"/>
      <c r="QBY118" s="198"/>
      <c r="QBZ118" s="199"/>
      <c r="QCA118" s="198"/>
      <c r="QCB118" s="199"/>
      <c r="QCC118" s="198"/>
      <c r="QCD118" s="199"/>
      <c r="QCE118" s="198"/>
      <c r="QCF118" s="199"/>
      <c r="QCG118" s="198"/>
      <c r="QCH118" s="199"/>
      <c r="QCI118" s="198"/>
      <c r="QCJ118" s="199"/>
      <c r="QCK118" s="198"/>
      <c r="QCL118" s="199"/>
      <c r="QCM118" s="198"/>
      <c r="QCN118" s="199"/>
      <c r="QCO118" s="198"/>
      <c r="QCP118" s="199"/>
      <c r="QCQ118" s="198"/>
      <c r="QCR118" s="199"/>
      <c r="QCS118" s="198"/>
      <c r="QCT118" s="199"/>
      <c r="QCU118" s="198"/>
      <c r="QCV118" s="199"/>
      <c r="QCW118" s="198"/>
      <c r="QCX118" s="199"/>
      <c r="QCY118" s="198"/>
      <c r="QCZ118" s="199"/>
      <c r="QDA118" s="198"/>
      <c r="QDB118" s="199"/>
      <c r="QDC118" s="198"/>
      <c r="QDD118" s="199"/>
      <c r="QDE118" s="198"/>
      <c r="QDF118" s="199"/>
      <c r="QDG118" s="198"/>
      <c r="QDH118" s="199"/>
      <c r="QDI118" s="198"/>
      <c r="QDJ118" s="199"/>
      <c r="QDK118" s="198"/>
      <c r="QDL118" s="199"/>
      <c r="QDM118" s="198"/>
      <c r="QDN118" s="199"/>
      <c r="QDO118" s="198"/>
      <c r="QDP118" s="199"/>
      <c r="QDQ118" s="198"/>
      <c r="QDR118" s="199"/>
      <c r="QDS118" s="198"/>
      <c r="QDT118" s="199"/>
      <c r="QDU118" s="198"/>
      <c r="QDV118" s="199"/>
      <c r="QDW118" s="198"/>
      <c r="QDX118" s="199"/>
      <c r="QDY118" s="198"/>
      <c r="QDZ118" s="199"/>
      <c r="QEA118" s="198"/>
      <c r="QEB118" s="199"/>
      <c r="QEC118" s="198"/>
      <c r="QED118" s="199"/>
      <c r="QEE118" s="198"/>
      <c r="QEF118" s="199"/>
      <c r="QEG118" s="198"/>
      <c r="QEH118" s="199"/>
      <c r="QEI118" s="198"/>
      <c r="QEJ118" s="199"/>
      <c r="QEK118" s="198"/>
      <c r="QEL118" s="199"/>
      <c r="QEM118" s="198"/>
      <c r="QEN118" s="199"/>
      <c r="QEO118" s="198"/>
      <c r="QEP118" s="199"/>
      <c r="QEQ118" s="198"/>
      <c r="QER118" s="199"/>
      <c r="QES118" s="198"/>
      <c r="QET118" s="199"/>
      <c r="QEU118" s="198"/>
      <c r="QEV118" s="199"/>
      <c r="QEW118" s="198"/>
      <c r="QEX118" s="199"/>
      <c r="QEY118" s="198"/>
      <c r="QEZ118" s="199"/>
      <c r="QFA118" s="198"/>
      <c r="QFB118" s="199"/>
      <c r="QFC118" s="198"/>
      <c r="QFD118" s="199"/>
      <c r="QFE118" s="198"/>
      <c r="QFF118" s="199"/>
      <c r="QFG118" s="198"/>
      <c r="QFH118" s="199"/>
      <c r="QFI118" s="198"/>
      <c r="QFJ118" s="199"/>
      <c r="QFK118" s="198"/>
      <c r="QFL118" s="199"/>
      <c r="QFM118" s="198"/>
      <c r="QFN118" s="199"/>
      <c r="QFO118" s="198"/>
      <c r="QFP118" s="199"/>
      <c r="QFQ118" s="198"/>
      <c r="QFR118" s="199"/>
      <c r="QFS118" s="198"/>
      <c r="QFT118" s="199"/>
      <c r="QFU118" s="198"/>
      <c r="QFV118" s="199"/>
      <c r="QFW118" s="198"/>
      <c r="QFX118" s="199"/>
      <c r="QFY118" s="198"/>
      <c r="QFZ118" s="199"/>
      <c r="QGA118" s="198"/>
      <c r="QGB118" s="199"/>
      <c r="QGC118" s="198"/>
      <c r="QGD118" s="199"/>
      <c r="QGE118" s="198"/>
      <c r="QGF118" s="199"/>
      <c r="QGG118" s="198"/>
      <c r="QGH118" s="199"/>
      <c r="QGI118" s="198"/>
      <c r="QGJ118" s="199"/>
      <c r="QGK118" s="198"/>
      <c r="QGL118" s="199"/>
      <c r="QGM118" s="198"/>
      <c r="QGN118" s="199"/>
      <c r="QGO118" s="198"/>
      <c r="QGP118" s="199"/>
      <c r="QGQ118" s="198"/>
      <c r="QGR118" s="199"/>
      <c r="QGS118" s="198"/>
      <c r="QGT118" s="199"/>
      <c r="QGU118" s="198"/>
      <c r="QGV118" s="199"/>
      <c r="QGW118" s="198"/>
      <c r="QGX118" s="199"/>
      <c r="QGY118" s="198"/>
      <c r="QGZ118" s="199"/>
      <c r="QHA118" s="198"/>
      <c r="QHB118" s="199"/>
      <c r="QHC118" s="198"/>
      <c r="QHD118" s="199"/>
      <c r="QHE118" s="198"/>
      <c r="QHF118" s="199"/>
      <c r="QHG118" s="198"/>
      <c r="QHH118" s="199"/>
      <c r="QHI118" s="198"/>
      <c r="QHJ118" s="199"/>
      <c r="QHK118" s="198"/>
      <c r="QHL118" s="199"/>
      <c r="QHM118" s="198"/>
      <c r="QHN118" s="199"/>
      <c r="QHO118" s="198"/>
      <c r="QHP118" s="199"/>
      <c r="QHQ118" s="198"/>
      <c r="QHR118" s="199"/>
      <c r="QHS118" s="198"/>
      <c r="QHT118" s="199"/>
      <c r="QHU118" s="198"/>
      <c r="QHV118" s="199"/>
      <c r="QHW118" s="198"/>
      <c r="QHX118" s="199"/>
      <c r="QHY118" s="198"/>
      <c r="QHZ118" s="199"/>
      <c r="QIA118" s="198"/>
      <c r="QIB118" s="199"/>
      <c r="QIC118" s="198"/>
      <c r="QID118" s="199"/>
      <c r="QIE118" s="198"/>
      <c r="QIF118" s="199"/>
      <c r="QIG118" s="198"/>
      <c r="QIH118" s="199"/>
      <c r="QII118" s="198"/>
      <c r="QIJ118" s="199"/>
      <c r="QIK118" s="198"/>
      <c r="QIL118" s="199"/>
      <c r="QIM118" s="198"/>
      <c r="QIN118" s="199"/>
      <c r="QIO118" s="198"/>
      <c r="QIP118" s="199"/>
      <c r="QIQ118" s="198"/>
      <c r="QIR118" s="199"/>
      <c r="QIS118" s="198"/>
      <c r="QIT118" s="199"/>
      <c r="QIU118" s="198"/>
      <c r="QIV118" s="199"/>
      <c r="QIW118" s="198"/>
      <c r="QIX118" s="199"/>
      <c r="QIY118" s="198"/>
      <c r="QIZ118" s="199"/>
      <c r="QJA118" s="198"/>
      <c r="QJB118" s="199"/>
      <c r="QJC118" s="198"/>
      <c r="QJD118" s="199"/>
      <c r="QJE118" s="198"/>
      <c r="QJF118" s="199"/>
      <c r="QJG118" s="198"/>
      <c r="QJH118" s="199"/>
      <c r="QJI118" s="198"/>
      <c r="QJJ118" s="199"/>
      <c r="QJK118" s="198"/>
      <c r="QJL118" s="199"/>
      <c r="QJM118" s="198"/>
      <c r="QJN118" s="199"/>
      <c r="QJO118" s="198"/>
      <c r="QJP118" s="199"/>
      <c r="QJQ118" s="198"/>
      <c r="QJR118" s="199"/>
      <c r="QJS118" s="198"/>
      <c r="QJT118" s="199"/>
      <c r="QJU118" s="198"/>
      <c r="QJV118" s="199"/>
      <c r="QJW118" s="198"/>
      <c r="QJX118" s="199"/>
      <c r="QJY118" s="198"/>
      <c r="QJZ118" s="199"/>
      <c r="QKA118" s="198"/>
      <c r="QKB118" s="199"/>
      <c r="QKC118" s="198"/>
      <c r="QKD118" s="199"/>
      <c r="QKE118" s="198"/>
      <c r="QKF118" s="199"/>
      <c r="QKG118" s="198"/>
      <c r="QKH118" s="199"/>
      <c r="QKI118" s="198"/>
      <c r="QKJ118" s="199"/>
      <c r="QKK118" s="198"/>
      <c r="QKL118" s="199"/>
      <c r="QKM118" s="198"/>
      <c r="QKN118" s="199"/>
      <c r="QKO118" s="198"/>
      <c r="QKP118" s="199"/>
      <c r="QKQ118" s="198"/>
      <c r="QKR118" s="199"/>
      <c r="QKS118" s="198"/>
      <c r="QKT118" s="199"/>
      <c r="QKU118" s="198"/>
      <c r="QKV118" s="199"/>
      <c r="QKW118" s="198"/>
      <c r="QKX118" s="199"/>
      <c r="QKY118" s="198"/>
      <c r="QKZ118" s="199"/>
      <c r="QLA118" s="198"/>
      <c r="QLB118" s="199"/>
      <c r="QLC118" s="198"/>
      <c r="QLD118" s="199"/>
      <c r="QLE118" s="198"/>
      <c r="QLF118" s="199"/>
      <c r="QLG118" s="198"/>
      <c r="QLH118" s="199"/>
      <c r="QLI118" s="198"/>
      <c r="QLJ118" s="199"/>
      <c r="QLK118" s="198"/>
      <c r="QLL118" s="199"/>
      <c r="QLM118" s="198"/>
      <c r="QLN118" s="199"/>
      <c r="QLO118" s="198"/>
      <c r="QLP118" s="199"/>
      <c r="QLQ118" s="198"/>
      <c r="QLR118" s="199"/>
      <c r="QLS118" s="198"/>
      <c r="QLT118" s="199"/>
      <c r="QLU118" s="198"/>
      <c r="QLV118" s="199"/>
      <c r="QLW118" s="198"/>
      <c r="QLX118" s="199"/>
      <c r="QLY118" s="198"/>
      <c r="QLZ118" s="199"/>
      <c r="QMA118" s="198"/>
      <c r="QMB118" s="199"/>
      <c r="QMC118" s="198"/>
      <c r="QMD118" s="199"/>
      <c r="QME118" s="198"/>
      <c r="QMF118" s="199"/>
      <c r="QMG118" s="198"/>
      <c r="QMH118" s="199"/>
      <c r="QMI118" s="198"/>
      <c r="QMJ118" s="199"/>
      <c r="QMK118" s="198"/>
      <c r="QML118" s="199"/>
      <c r="QMM118" s="198"/>
      <c r="QMN118" s="199"/>
      <c r="QMO118" s="198"/>
      <c r="QMP118" s="199"/>
      <c r="QMQ118" s="198"/>
      <c r="QMR118" s="199"/>
      <c r="QMS118" s="198"/>
      <c r="QMT118" s="199"/>
      <c r="QMU118" s="198"/>
      <c r="QMV118" s="199"/>
      <c r="QMW118" s="198"/>
      <c r="QMX118" s="199"/>
      <c r="QMY118" s="198"/>
      <c r="QMZ118" s="199"/>
      <c r="QNA118" s="198"/>
      <c r="QNB118" s="199"/>
      <c r="QNC118" s="198"/>
      <c r="QND118" s="199"/>
      <c r="QNE118" s="198"/>
      <c r="QNF118" s="199"/>
      <c r="QNG118" s="198"/>
      <c r="QNH118" s="199"/>
      <c r="QNI118" s="198"/>
      <c r="QNJ118" s="199"/>
      <c r="QNK118" s="198"/>
      <c r="QNL118" s="199"/>
      <c r="QNM118" s="198"/>
      <c r="QNN118" s="199"/>
      <c r="QNO118" s="198"/>
      <c r="QNP118" s="199"/>
      <c r="QNQ118" s="198"/>
      <c r="QNR118" s="199"/>
      <c r="QNS118" s="198"/>
      <c r="QNT118" s="199"/>
      <c r="QNU118" s="198"/>
      <c r="QNV118" s="199"/>
      <c r="QNW118" s="198"/>
      <c r="QNX118" s="199"/>
      <c r="QNY118" s="198"/>
      <c r="QNZ118" s="199"/>
      <c r="QOA118" s="198"/>
      <c r="QOB118" s="199"/>
      <c r="QOC118" s="198"/>
      <c r="QOD118" s="199"/>
      <c r="QOE118" s="198"/>
      <c r="QOF118" s="199"/>
      <c r="QOG118" s="198"/>
      <c r="QOH118" s="199"/>
      <c r="QOI118" s="198"/>
      <c r="QOJ118" s="199"/>
      <c r="QOK118" s="198"/>
      <c r="QOL118" s="199"/>
      <c r="QOM118" s="198"/>
      <c r="QON118" s="199"/>
      <c r="QOO118" s="198"/>
      <c r="QOP118" s="199"/>
      <c r="QOQ118" s="198"/>
      <c r="QOR118" s="199"/>
      <c r="QOS118" s="198"/>
      <c r="QOT118" s="199"/>
      <c r="QOU118" s="198"/>
      <c r="QOV118" s="199"/>
      <c r="QOW118" s="198"/>
      <c r="QOX118" s="199"/>
      <c r="QOY118" s="198"/>
      <c r="QOZ118" s="199"/>
      <c r="QPA118" s="198"/>
      <c r="QPB118" s="199"/>
      <c r="QPC118" s="198"/>
      <c r="QPD118" s="199"/>
      <c r="QPE118" s="198"/>
      <c r="QPF118" s="199"/>
      <c r="QPG118" s="198"/>
      <c r="QPH118" s="199"/>
      <c r="QPI118" s="198"/>
      <c r="QPJ118" s="199"/>
      <c r="QPK118" s="198"/>
      <c r="QPL118" s="199"/>
      <c r="QPM118" s="198"/>
      <c r="QPN118" s="199"/>
      <c r="QPO118" s="198"/>
      <c r="QPP118" s="199"/>
      <c r="QPQ118" s="198"/>
      <c r="QPR118" s="199"/>
      <c r="QPS118" s="198"/>
      <c r="QPT118" s="199"/>
      <c r="QPU118" s="198"/>
      <c r="QPV118" s="199"/>
      <c r="QPW118" s="198"/>
      <c r="QPX118" s="199"/>
      <c r="QPY118" s="198"/>
      <c r="QPZ118" s="199"/>
      <c r="QQA118" s="198"/>
      <c r="QQB118" s="199"/>
      <c r="QQC118" s="198"/>
      <c r="QQD118" s="199"/>
      <c r="QQE118" s="198"/>
      <c r="QQF118" s="199"/>
      <c r="QQG118" s="198"/>
      <c r="QQH118" s="199"/>
      <c r="QQI118" s="198"/>
      <c r="QQJ118" s="199"/>
      <c r="QQK118" s="198"/>
      <c r="QQL118" s="199"/>
      <c r="QQM118" s="198"/>
      <c r="QQN118" s="199"/>
      <c r="QQO118" s="198"/>
      <c r="QQP118" s="199"/>
      <c r="QQQ118" s="198"/>
      <c r="QQR118" s="199"/>
      <c r="QQS118" s="198"/>
      <c r="QQT118" s="199"/>
      <c r="QQU118" s="198"/>
      <c r="QQV118" s="199"/>
      <c r="QQW118" s="198"/>
      <c r="QQX118" s="199"/>
      <c r="QQY118" s="198"/>
      <c r="QQZ118" s="199"/>
      <c r="QRA118" s="198"/>
      <c r="QRB118" s="199"/>
      <c r="QRC118" s="198"/>
      <c r="QRD118" s="199"/>
      <c r="QRE118" s="198"/>
      <c r="QRF118" s="199"/>
      <c r="QRG118" s="198"/>
      <c r="QRH118" s="199"/>
      <c r="QRI118" s="198"/>
      <c r="QRJ118" s="199"/>
      <c r="QRK118" s="198"/>
      <c r="QRL118" s="199"/>
      <c r="QRM118" s="198"/>
      <c r="QRN118" s="199"/>
      <c r="QRO118" s="198"/>
      <c r="QRP118" s="199"/>
      <c r="QRQ118" s="198"/>
      <c r="QRR118" s="199"/>
      <c r="QRS118" s="198"/>
      <c r="QRT118" s="199"/>
      <c r="QRU118" s="198"/>
      <c r="QRV118" s="199"/>
      <c r="QRW118" s="198"/>
      <c r="QRX118" s="199"/>
      <c r="QRY118" s="198"/>
      <c r="QRZ118" s="199"/>
      <c r="QSA118" s="198"/>
      <c r="QSB118" s="199"/>
      <c r="QSC118" s="198"/>
      <c r="QSD118" s="199"/>
      <c r="QSE118" s="198"/>
      <c r="QSF118" s="199"/>
      <c r="QSG118" s="198"/>
      <c r="QSH118" s="199"/>
      <c r="QSI118" s="198"/>
      <c r="QSJ118" s="199"/>
      <c r="QSK118" s="198"/>
      <c r="QSL118" s="199"/>
      <c r="QSM118" s="198"/>
      <c r="QSN118" s="199"/>
      <c r="QSO118" s="198"/>
      <c r="QSP118" s="199"/>
      <c r="QSQ118" s="198"/>
      <c r="QSR118" s="199"/>
      <c r="QSS118" s="198"/>
      <c r="QST118" s="199"/>
      <c r="QSU118" s="198"/>
      <c r="QSV118" s="199"/>
      <c r="QSW118" s="198"/>
      <c r="QSX118" s="199"/>
      <c r="QSY118" s="198"/>
      <c r="QSZ118" s="199"/>
      <c r="QTA118" s="198"/>
      <c r="QTB118" s="199"/>
      <c r="QTC118" s="198"/>
      <c r="QTD118" s="199"/>
      <c r="QTE118" s="198"/>
      <c r="QTF118" s="199"/>
      <c r="QTG118" s="198"/>
      <c r="QTH118" s="199"/>
      <c r="QTI118" s="198"/>
      <c r="QTJ118" s="199"/>
      <c r="QTK118" s="198"/>
      <c r="QTL118" s="199"/>
      <c r="QTM118" s="198"/>
      <c r="QTN118" s="199"/>
      <c r="QTO118" s="198"/>
      <c r="QTP118" s="199"/>
      <c r="QTQ118" s="198"/>
      <c r="QTR118" s="199"/>
      <c r="QTS118" s="198"/>
      <c r="QTT118" s="199"/>
      <c r="QTU118" s="198"/>
      <c r="QTV118" s="199"/>
      <c r="QTW118" s="198"/>
      <c r="QTX118" s="199"/>
      <c r="QTY118" s="198"/>
      <c r="QTZ118" s="199"/>
      <c r="QUA118" s="198"/>
      <c r="QUB118" s="199"/>
      <c r="QUC118" s="198"/>
      <c r="QUD118" s="199"/>
      <c r="QUE118" s="198"/>
      <c r="QUF118" s="199"/>
      <c r="QUG118" s="198"/>
      <c r="QUH118" s="199"/>
      <c r="QUI118" s="198"/>
      <c r="QUJ118" s="199"/>
      <c r="QUK118" s="198"/>
      <c r="QUL118" s="199"/>
      <c r="QUM118" s="198"/>
      <c r="QUN118" s="199"/>
      <c r="QUO118" s="198"/>
      <c r="QUP118" s="199"/>
      <c r="QUQ118" s="198"/>
      <c r="QUR118" s="199"/>
      <c r="QUS118" s="198"/>
      <c r="QUT118" s="199"/>
      <c r="QUU118" s="198"/>
      <c r="QUV118" s="199"/>
      <c r="QUW118" s="198"/>
      <c r="QUX118" s="199"/>
      <c r="QUY118" s="198"/>
      <c r="QUZ118" s="199"/>
      <c r="QVA118" s="198"/>
      <c r="QVB118" s="199"/>
      <c r="QVC118" s="198"/>
      <c r="QVD118" s="199"/>
      <c r="QVE118" s="198"/>
      <c r="QVF118" s="199"/>
      <c r="QVG118" s="198"/>
      <c r="QVH118" s="199"/>
      <c r="QVI118" s="198"/>
      <c r="QVJ118" s="199"/>
      <c r="QVK118" s="198"/>
      <c r="QVL118" s="199"/>
      <c r="QVM118" s="198"/>
      <c r="QVN118" s="199"/>
      <c r="QVO118" s="198"/>
      <c r="QVP118" s="199"/>
      <c r="QVQ118" s="198"/>
      <c r="QVR118" s="199"/>
      <c r="QVS118" s="198"/>
      <c r="QVT118" s="199"/>
      <c r="QVU118" s="198"/>
      <c r="QVV118" s="199"/>
      <c r="QVW118" s="198"/>
      <c r="QVX118" s="199"/>
      <c r="QVY118" s="198"/>
      <c r="QVZ118" s="199"/>
      <c r="QWA118" s="198"/>
      <c r="QWB118" s="199"/>
      <c r="QWC118" s="198"/>
      <c r="QWD118" s="199"/>
      <c r="QWE118" s="198"/>
      <c r="QWF118" s="199"/>
      <c r="QWG118" s="198"/>
      <c r="QWH118" s="199"/>
      <c r="QWI118" s="198"/>
      <c r="QWJ118" s="199"/>
      <c r="QWK118" s="198"/>
      <c r="QWL118" s="199"/>
      <c r="QWM118" s="198"/>
      <c r="QWN118" s="199"/>
      <c r="QWO118" s="198"/>
      <c r="QWP118" s="199"/>
      <c r="QWQ118" s="198"/>
      <c r="QWR118" s="199"/>
      <c r="QWS118" s="198"/>
      <c r="QWT118" s="199"/>
      <c r="QWU118" s="198"/>
      <c r="QWV118" s="199"/>
      <c r="QWW118" s="198"/>
      <c r="QWX118" s="199"/>
      <c r="QWY118" s="198"/>
      <c r="QWZ118" s="199"/>
      <c r="QXA118" s="198"/>
      <c r="QXB118" s="199"/>
      <c r="QXC118" s="198"/>
      <c r="QXD118" s="199"/>
      <c r="QXE118" s="198"/>
      <c r="QXF118" s="199"/>
      <c r="QXG118" s="198"/>
      <c r="QXH118" s="199"/>
      <c r="QXI118" s="198"/>
      <c r="QXJ118" s="199"/>
      <c r="QXK118" s="198"/>
      <c r="QXL118" s="199"/>
      <c r="QXM118" s="198"/>
      <c r="QXN118" s="199"/>
      <c r="QXO118" s="198"/>
      <c r="QXP118" s="199"/>
      <c r="QXQ118" s="198"/>
      <c r="QXR118" s="199"/>
      <c r="QXS118" s="198"/>
      <c r="QXT118" s="199"/>
      <c r="QXU118" s="198"/>
      <c r="QXV118" s="199"/>
      <c r="QXW118" s="198"/>
      <c r="QXX118" s="199"/>
      <c r="QXY118" s="198"/>
      <c r="QXZ118" s="199"/>
      <c r="QYA118" s="198"/>
      <c r="QYB118" s="199"/>
      <c r="QYC118" s="198"/>
      <c r="QYD118" s="199"/>
      <c r="QYE118" s="198"/>
      <c r="QYF118" s="199"/>
      <c r="QYG118" s="198"/>
      <c r="QYH118" s="199"/>
      <c r="QYI118" s="198"/>
      <c r="QYJ118" s="199"/>
      <c r="QYK118" s="198"/>
      <c r="QYL118" s="199"/>
      <c r="QYM118" s="198"/>
      <c r="QYN118" s="199"/>
      <c r="QYO118" s="198"/>
      <c r="QYP118" s="199"/>
      <c r="QYQ118" s="198"/>
      <c r="QYR118" s="199"/>
      <c r="QYS118" s="198"/>
      <c r="QYT118" s="199"/>
      <c r="QYU118" s="198"/>
      <c r="QYV118" s="199"/>
      <c r="QYW118" s="198"/>
      <c r="QYX118" s="199"/>
      <c r="QYY118" s="198"/>
      <c r="QYZ118" s="199"/>
      <c r="QZA118" s="198"/>
      <c r="QZB118" s="199"/>
      <c r="QZC118" s="198"/>
      <c r="QZD118" s="199"/>
      <c r="QZE118" s="198"/>
      <c r="QZF118" s="199"/>
      <c r="QZG118" s="198"/>
      <c r="QZH118" s="199"/>
      <c r="QZI118" s="198"/>
      <c r="QZJ118" s="199"/>
      <c r="QZK118" s="198"/>
      <c r="QZL118" s="199"/>
      <c r="QZM118" s="198"/>
      <c r="QZN118" s="199"/>
      <c r="QZO118" s="198"/>
      <c r="QZP118" s="199"/>
      <c r="QZQ118" s="198"/>
      <c r="QZR118" s="199"/>
      <c r="QZS118" s="198"/>
      <c r="QZT118" s="199"/>
      <c r="QZU118" s="198"/>
      <c r="QZV118" s="199"/>
      <c r="QZW118" s="198"/>
      <c r="QZX118" s="199"/>
      <c r="QZY118" s="198"/>
      <c r="QZZ118" s="199"/>
      <c r="RAA118" s="198"/>
      <c r="RAB118" s="199"/>
      <c r="RAC118" s="198"/>
      <c r="RAD118" s="199"/>
      <c r="RAE118" s="198"/>
      <c r="RAF118" s="199"/>
      <c r="RAG118" s="198"/>
      <c r="RAH118" s="199"/>
      <c r="RAI118" s="198"/>
      <c r="RAJ118" s="199"/>
      <c r="RAK118" s="198"/>
      <c r="RAL118" s="199"/>
      <c r="RAM118" s="198"/>
      <c r="RAN118" s="199"/>
      <c r="RAO118" s="198"/>
      <c r="RAP118" s="199"/>
      <c r="RAQ118" s="198"/>
      <c r="RAR118" s="199"/>
      <c r="RAS118" s="198"/>
      <c r="RAT118" s="199"/>
      <c r="RAU118" s="198"/>
      <c r="RAV118" s="199"/>
      <c r="RAW118" s="198"/>
      <c r="RAX118" s="199"/>
      <c r="RAY118" s="198"/>
      <c r="RAZ118" s="199"/>
      <c r="RBA118" s="198"/>
      <c r="RBB118" s="199"/>
      <c r="RBC118" s="198"/>
      <c r="RBD118" s="199"/>
      <c r="RBE118" s="198"/>
      <c r="RBF118" s="199"/>
      <c r="RBG118" s="198"/>
      <c r="RBH118" s="199"/>
      <c r="RBI118" s="198"/>
      <c r="RBJ118" s="199"/>
      <c r="RBK118" s="198"/>
      <c r="RBL118" s="199"/>
      <c r="RBM118" s="198"/>
      <c r="RBN118" s="199"/>
      <c r="RBO118" s="198"/>
      <c r="RBP118" s="199"/>
      <c r="RBQ118" s="198"/>
      <c r="RBR118" s="199"/>
      <c r="RBS118" s="198"/>
      <c r="RBT118" s="199"/>
      <c r="RBU118" s="198"/>
      <c r="RBV118" s="199"/>
      <c r="RBW118" s="198"/>
      <c r="RBX118" s="199"/>
      <c r="RBY118" s="198"/>
      <c r="RBZ118" s="199"/>
      <c r="RCA118" s="198"/>
      <c r="RCB118" s="199"/>
      <c r="RCC118" s="198"/>
      <c r="RCD118" s="199"/>
      <c r="RCE118" s="198"/>
      <c r="RCF118" s="199"/>
      <c r="RCG118" s="198"/>
      <c r="RCH118" s="199"/>
      <c r="RCI118" s="198"/>
      <c r="RCJ118" s="199"/>
      <c r="RCK118" s="198"/>
      <c r="RCL118" s="199"/>
      <c r="RCM118" s="198"/>
      <c r="RCN118" s="199"/>
      <c r="RCO118" s="198"/>
      <c r="RCP118" s="199"/>
      <c r="RCQ118" s="198"/>
      <c r="RCR118" s="199"/>
      <c r="RCS118" s="198"/>
      <c r="RCT118" s="199"/>
      <c r="RCU118" s="198"/>
      <c r="RCV118" s="199"/>
      <c r="RCW118" s="198"/>
      <c r="RCX118" s="199"/>
      <c r="RCY118" s="198"/>
      <c r="RCZ118" s="199"/>
      <c r="RDA118" s="198"/>
      <c r="RDB118" s="199"/>
      <c r="RDC118" s="198"/>
      <c r="RDD118" s="199"/>
      <c r="RDE118" s="198"/>
      <c r="RDF118" s="199"/>
      <c r="RDG118" s="198"/>
      <c r="RDH118" s="199"/>
      <c r="RDI118" s="198"/>
      <c r="RDJ118" s="199"/>
      <c r="RDK118" s="198"/>
      <c r="RDL118" s="199"/>
      <c r="RDM118" s="198"/>
      <c r="RDN118" s="199"/>
      <c r="RDO118" s="198"/>
      <c r="RDP118" s="199"/>
      <c r="RDQ118" s="198"/>
      <c r="RDR118" s="199"/>
      <c r="RDS118" s="198"/>
      <c r="RDT118" s="199"/>
      <c r="RDU118" s="198"/>
      <c r="RDV118" s="199"/>
      <c r="RDW118" s="198"/>
      <c r="RDX118" s="199"/>
      <c r="RDY118" s="198"/>
      <c r="RDZ118" s="199"/>
      <c r="REA118" s="198"/>
      <c r="REB118" s="199"/>
      <c r="REC118" s="198"/>
      <c r="RED118" s="199"/>
      <c r="REE118" s="198"/>
      <c r="REF118" s="199"/>
      <c r="REG118" s="198"/>
      <c r="REH118" s="199"/>
      <c r="REI118" s="198"/>
      <c r="REJ118" s="199"/>
      <c r="REK118" s="198"/>
      <c r="REL118" s="199"/>
      <c r="REM118" s="198"/>
      <c r="REN118" s="199"/>
      <c r="REO118" s="198"/>
      <c r="REP118" s="199"/>
      <c r="REQ118" s="198"/>
      <c r="RER118" s="199"/>
      <c r="RES118" s="198"/>
      <c r="RET118" s="199"/>
      <c r="REU118" s="198"/>
      <c r="REV118" s="199"/>
      <c r="REW118" s="198"/>
      <c r="REX118" s="199"/>
      <c r="REY118" s="198"/>
      <c r="REZ118" s="199"/>
      <c r="RFA118" s="198"/>
      <c r="RFB118" s="199"/>
      <c r="RFC118" s="198"/>
      <c r="RFD118" s="199"/>
      <c r="RFE118" s="198"/>
      <c r="RFF118" s="199"/>
      <c r="RFG118" s="198"/>
      <c r="RFH118" s="199"/>
      <c r="RFI118" s="198"/>
      <c r="RFJ118" s="199"/>
      <c r="RFK118" s="198"/>
      <c r="RFL118" s="199"/>
      <c r="RFM118" s="198"/>
      <c r="RFN118" s="199"/>
      <c r="RFO118" s="198"/>
      <c r="RFP118" s="199"/>
      <c r="RFQ118" s="198"/>
      <c r="RFR118" s="199"/>
      <c r="RFS118" s="198"/>
      <c r="RFT118" s="199"/>
      <c r="RFU118" s="198"/>
      <c r="RFV118" s="199"/>
      <c r="RFW118" s="198"/>
      <c r="RFX118" s="199"/>
      <c r="RFY118" s="198"/>
      <c r="RFZ118" s="199"/>
      <c r="RGA118" s="198"/>
      <c r="RGB118" s="199"/>
      <c r="RGC118" s="198"/>
      <c r="RGD118" s="199"/>
      <c r="RGE118" s="198"/>
      <c r="RGF118" s="199"/>
      <c r="RGG118" s="198"/>
      <c r="RGH118" s="199"/>
      <c r="RGI118" s="198"/>
      <c r="RGJ118" s="199"/>
      <c r="RGK118" s="198"/>
      <c r="RGL118" s="199"/>
      <c r="RGM118" s="198"/>
      <c r="RGN118" s="199"/>
      <c r="RGO118" s="198"/>
      <c r="RGP118" s="199"/>
      <c r="RGQ118" s="198"/>
      <c r="RGR118" s="199"/>
      <c r="RGS118" s="198"/>
      <c r="RGT118" s="199"/>
      <c r="RGU118" s="198"/>
      <c r="RGV118" s="199"/>
      <c r="RGW118" s="198"/>
      <c r="RGX118" s="199"/>
      <c r="RGY118" s="198"/>
      <c r="RGZ118" s="199"/>
      <c r="RHA118" s="198"/>
      <c r="RHB118" s="199"/>
      <c r="RHC118" s="198"/>
      <c r="RHD118" s="199"/>
      <c r="RHE118" s="198"/>
      <c r="RHF118" s="199"/>
      <c r="RHG118" s="198"/>
      <c r="RHH118" s="199"/>
      <c r="RHI118" s="198"/>
      <c r="RHJ118" s="199"/>
      <c r="RHK118" s="198"/>
      <c r="RHL118" s="199"/>
      <c r="RHM118" s="198"/>
      <c r="RHN118" s="199"/>
      <c r="RHO118" s="198"/>
      <c r="RHP118" s="199"/>
      <c r="RHQ118" s="198"/>
      <c r="RHR118" s="199"/>
      <c r="RHS118" s="198"/>
      <c r="RHT118" s="199"/>
      <c r="RHU118" s="198"/>
      <c r="RHV118" s="199"/>
      <c r="RHW118" s="198"/>
      <c r="RHX118" s="199"/>
      <c r="RHY118" s="198"/>
      <c r="RHZ118" s="199"/>
      <c r="RIA118" s="198"/>
      <c r="RIB118" s="199"/>
      <c r="RIC118" s="198"/>
      <c r="RID118" s="199"/>
      <c r="RIE118" s="198"/>
      <c r="RIF118" s="199"/>
      <c r="RIG118" s="198"/>
      <c r="RIH118" s="199"/>
      <c r="RII118" s="198"/>
      <c r="RIJ118" s="199"/>
      <c r="RIK118" s="198"/>
      <c r="RIL118" s="199"/>
      <c r="RIM118" s="198"/>
      <c r="RIN118" s="199"/>
      <c r="RIO118" s="198"/>
      <c r="RIP118" s="199"/>
      <c r="RIQ118" s="198"/>
      <c r="RIR118" s="199"/>
      <c r="RIS118" s="198"/>
      <c r="RIT118" s="199"/>
      <c r="RIU118" s="198"/>
      <c r="RIV118" s="199"/>
      <c r="RIW118" s="198"/>
      <c r="RIX118" s="199"/>
      <c r="RIY118" s="198"/>
      <c r="RIZ118" s="199"/>
      <c r="RJA118" s="198"/>
      <c r="RJB118" s="199"/>
      <c r="RJC118" s="198"/>
      <c r="RJD118" s="199"/>
      <c r="RJE118" s="198"/>
      <c r="RJF118" s="199"/>
      <c r="RJG118" s="198"/>
      <c r="RJH118" s="199"/>
      <c r="RJI118" s="198"/>
      <c r="RJJ118" s="199"/>
      <c r="RJK118" s="198"/>
      <c r="RJL118" s="199"/>
      <c r="RJM118" s="198"/>
      <c r="RJN118" s="199"/>
      <c r="RJO118" s="198"/>
      <c r="RJP118" s="199"/>
      <c r="RJQ118" s="198"/>
      <c r="RJR118" s="199"/>
      <c r="RJS118" s="198"/>
      <c r="RJT118" s="199"/>
      <c r="RJU118" s="198"/>
      <c r="RJV118" s="199"/>
      <c r="RJW118" s="198"/>
      <c r="RJX118" s="199"/>
      <c r="RJY118" s="198"/>
      <c r="RJZ118" s="199"/>
      <c r="RKA118" s="198"/>
      <c r="RKB118" s="199"/>
      <c r="RKC118" s="198"/>
      <c r="RKD118" s="199"/>
      <c r="RKE118" s="198"/>
      <c r="RKF118" s="199"/>
      <c r="RKG118" s="198"/>
      <c r="RKH118" s="199"/>
      <c r="RKI118" s="198"/>
      <c r="RKJ118" s="199"/>
      <c r="RKK118" s="198"/>
      <c r="RKL118" s="199"/>
      <c r="RKM118" s="198"/>
      <c r="RKN118" s="199"/>
      <c r="RKO118" s="198"/>
      <c r="RKP118" s="199"/>
      <c r="RKQ118" s="198"/>
      <c r="RKR118" s="199"/>
      <c r="RKS118" s="198"/>
      <c r="RKT118" s="199"/>
      <c r="RKU118" s="198"/>
      <c r="RKV118" s="199"/>
      <c r="RKW118" s="198"/>
      <c r="RKX118" s="199"/>
      <c r="RKY118" s="198"/>
      <c r="RKZ118" s="199"/>
      <c r="RLA118" s="198"/>
      <c r="RLB118" s="199"/>
      <c r="RLC118" s="198"/>
      <c r="RLD118" s="199"/>
      <c r="RLE118" s="198"/>
      <c r="RLF118" s="199"/>
      <c r="RLG118" s="198"/>
      <c r="RLH118" s="199"/>
      <c r="RLI118" s="198"/>
      <c r="RLJ118" s="199"/>
      <c r="RLK118" s="198"/>
      <c r="RLL118" s="199"/>
      <c r="RLM118" s="198"/>
      <c r="RLN118" s="199"/>
      <c r="RLO118" s="198"/>
      <c r="RLP118" s="199"/>
      <c r="RLQ118" s="198"/>
      <c r="RLR118" s="199"/>
      <c r="RLS118" s="198"/>
      <c r="RLT118" s="199"/>
      <c r="RLU118" s="198"/>
      <c r="RLV118" s="199"/>
      <c r="RLW118" s="198"/>
      <c r="RLX118" s="199"/>
      <c r="RLY118" s="198"/>
      <c r="RLZ118" s="199"/>
      <c r="RMA118" s="198"/>
      <c r="RMB118" s="199"/>
      <c r="RMC118" s="198"/>
      <c r="RMD118" s="199"/>
      <c r="RME118" s="198"/>
      <c r="RMF118" s="199"/>
      <c r="RMG118" s="198"/>
      <c r="RMH118" s="199"/>
      <c r="RMI118" s="198"/>
      <c r="RMJ118" s="199"/>
      <c r="RMK118" s="198"/>
      <c r="RML118" s="199"/>
      <c r="RMM118" s="198"/>
      <c r="RMN118" s="199"/>
      <c r="RMO118" s="198"/>
      <c r="RMP118" s="199"/>
      <c r="RMQ118" s="198"/>
      <c r="RMR118" s="199"/>
      <c r="RMS118" s="198"/>
      <c r="RMT118" s="199"/>
      <c r="RMU118" s="198"/>
      <c r="RMV118" s="199"/>
      <c r="RMW118" s="198"/>
      <c r="RMX118" s="199"/>
      <c r="RMY118" s="198"/>
      <c r="RMZ118" s="199"/>
      <c r="RNA118" s="198"/>
      <c r="RNB118" s="199"/>
      <c r="RNC118" s="198"/>
      <c r="RND118" s="199"/>
      <c r="RNE118" s="198"/>
      <c r="RNF118" s="199"/>
      <c r="RNG118" s="198"/>
      <c r="RNH118" s="199"/>
      <c r="RNI118" s="198"/>
      <c r="RNJ118" s="199"/>
      <c r="RNK118" s="198"/>
      <c r="RNL118" s="199"/>
      <c r="RNM118" s="198"/>
      <c r="RNN118" s="199"/>
      <c r="RNO118" s="198"/>
      <c r="RNP118" s="199"/>
      <c r="RNQ118" s="198"/>
      <c r="RNR118" s="199"/>
      <c r="RNS118" s="198"/>
      <c r="RNT118" s="199"/>
      <c r="RNU118" s="198"/>
      <c r="RNV118" s="199"/>
      <c r="RNW118" s="198"/>
      <c r="RNX118" s="199"/>
      <c r="RNY118" s="198"/>
      <c r="RNZ118" s="199"/>
      <c r="ROA118" s="198"/>
      <c r="ROB118" s="199"/>
      <c r="ROC118" s="198"/>
      <c r="ROD118" s="199"/>
      <c r="ROE118" s="198"/>
      <c r="ROF118" s="199"/>
      <c r="ROG118" s="198"/>
      <c r="ROH118" s="199"/>
      <c r="ROI118" s="198"/>
      <c r="ROJ118" s="199"/>
      <c r="ROK118" s="198"/>
      <c r="ROL118" s="199"/>
      <c r="ROM118" s="198"/>
      <c r="RON118" s="199"/>
      <c r="ROO118" s="198"/>
      <c r="ROP118" s="199"/>
      <c r="ROQ118" s="198"/>
      <c r="ROR118" s="199"/>
      <c r="ROS118" s="198"/>
      <c r="ROT118" s="199"/>
      <c r="ROU118" s="198"/>
      <c r="ROV118" s="199"/>
      <c r="ROW118" s="198"/>
      <c r="ROX118" s="199"/>
      <c r="ROY118" s="198"/>
      <c r="ROZ118" s="199"/>
      <c r="RPA118" s="198"/>
      <c r="RPB118" s="199"/>
      <c r="RPC118" s="198"/>
      <c r="RPD118" s="199"/>
      <c r="RPE118" s="198"/>
      <c r="RPF118" s="199"/>
      <c r="RPG118" s="198"/>
      <c r="RPH118" s="199"/>
      <c r="RPI118" s="198"/>
      <c r="RPJ118" s="199"/>
      <c r="RPK118" s="198"/>
      <c r="RPL118" s="199"/>
      <c r="RPM118" s="198"/>
      <c r="RPN118" s="199"/>
      <c r="RPO118" s="198"/>
      <c r="RPP118" s="199"/>
      <c r="RPQ118" s="198"/>
      <c r="RPR118" s="199"/>
      <c r="RPS118" s="198"/>
      <c r="RPT118" s="199"/>
      <c r="RPU118" s="198"/>
      <c r="RPV118" s="199"/>
      <c r="RPW118" s="198"/>
      <c r="RPX118" s="199"/>
      <c r="RPY118" s="198"/>
      <c r="RPZ118" s="199"/>
      <c r="RQA118" s="198"/>
      <c r="RQB118" s="199"/>
      <c r="RQC118" s="198"/>
      <c r="RQD118" s="199"/>
      <c r="RQE118" s="198"/>
      <c r="RQF118" s="199"/>
      <c r="RQG118" s="198"/>
      <c r="RQH118" s="199"/>
      <c r="RQI118" s="198"/>
      <c r="RQJ118" s="199"/>
      <c r="RQK118" s="198"/>
      <c r="RQL118" s="199"/>
      <c r="RQM118" s="198"/>
      <c r="RQN118" s="199"/>
      <c r="RQO118" s="198"/>
      <c r="RQP118" s="199"/>
      <c r="RQQ118" s="198"/>
      <c r="RQR118" s="199"/>
      <c r="RQS118" s="198"/>
      <c r="RQT118" s="199"/>
      <c r="RQU118" s="198"/>
      <c r="RQV118" s="199"/>
      <c r="RQW118" s="198"/>
      <c r="RQX118" s="199"/>
      <c r="RQY118" s="198"/>
      <c r="RQZ118" s="199"/>
      <c r="RRA118" s="198"/>
      <c r="RRB118" s="199"/>
      <c r="RRC118" s="198"/>
      <c r="RRD118" s="199"/>
      <c r="RRE118" s="198"/>
      <c r="RRF118" s="199"/>
      <c r="RRG118" s="198"/>
      <c r="RRH118" s="199"/>
      <c r="RRI118" s="198"/>
      <c r="RRJ118" s="199"/>
      <c r="RRK118" s="198"/>
      <c r="RRL118" s="199"/>
      <c r="RRM118" s="198"/>
      <c r="RRN118" s="199"/>
      <c r="RRO118" s="198"/>
      <c r="RRP118" s="199"/>
      <c r="RRQ118" s="198"/>
      <c r="RRR118" s="199"/>
      <c r="RRS118" s="198"/>
      <c r="RRT118" s="199"/>
      <c r="RRU118" s="198"/>
      <c r="RRV118" s="199"/>
      <c r="RRW118" s="198"/>
      <c r="RRX118" s="199"/>
      <c r="RRY118" s="198"/>
      <c r="RRZ118" s="199"/>
      <c r="RSA118" s="198"/>
      <c r="RSB118" s="199"/>
      <c r="RSC118" s="198"/>
      <c r="RSD118" s="199"/>
      <c r="RSE118" s="198"/>
      <c r="RSF118" s="199"/>
      <c r="RSG118" s="198"/>
      <c r="RSH118" s="199"/>
      <c r="RSI118" s="198"/>
      <c r="RSJ118" s="199"/>
      <c r="RSK118" s="198"/>
      <c r="RSL118" s="199"/>
      <c r="RSM118" s="198"/>
      <c r="RSN118" s="199"/>
      <c r="RSO118" s="198"/>
      <c r="RSP118" s="199"/>
      <c r="RSQ118" s="198"/>
      <c r="RSR118" s="199"/>
      <c r="RSS118" s="198"/>
      <c r="RST118" s="199"/>
      <c r="RSU118" s="198"/>
      <c r="RSV118" s="199"/>
      <c r="RSW118" s="198"/>
      <c r="RSX118" s="199"/>
      <c r="RSY118" s="198"/>
      <c r="RSZ118" s="199"/>
      <c r="RTA118" s="198"/>
      <c r="RTB118" s="199"/>
      <c r="RTC118" s="198"/>
      <c r="RTD118" s="199"/>
      <c r="RTE118" s="198"/>
      <c r="RTF118" s="199"/>
      <c r="RTG118" s="198"/>
      <c r="RTH118" s="199"/>
      <c r="RTI118" s="198"/>
      <c r="RTJ118" s="199"/>
      <c r="RTK118" s="198"/>
      <c r="RTL118" s="199"/>
      <c r="RTM118" s="198"/>
      <c r="RTN118" s="199"/>
      <c r="RTO118" s="198"/>
      <c r="RTP118" s="199"/>
      <c r="RTQ118" s="198"/>
      <c r="RTR118" s="199"/>
      <c r="RTS118" s="198"/>
      <c r="RTT118" s="199"/>
      <c r="RTU118" s="198"/>
      <c r="RTV118" s="199"/>
      <c r="RTW118" s="198"/>
      <c r="RTX118" s="199"/>
      <c r="RTY118" s="198"/>
      <c r="RTZ118" s="199"/>
      <c r="RUA118" s="198"/>
      <c r="RUB118" s="199"/>
      <c r="RUC118" s="198"/>
      <c r="RUD118" s="199"/>
      <c r="RUE118" s="198"/>
      <c r="RUF118" s="199"/>
      <c r="RUG118" s="198"/>
      <c r="RUH118" s="199"/>
      <c r="RUI118" s="198"/>
      <c r="RUJ118" s="199"/>
      <c r="RUK118" s="198"/>
      <c r="RUL118" s="199"/>
      <c r="RUM118" s="198"/>
      <c r="RUN118" s="199"/>
      <c r="RUO118" s="198"/>
      <c r="RUP118" s="199"/>
      <c r="RUQ118" s="198"/>
      <c r="RUR118" s="199"/>
      <c r="RUS118" s="198"/>
      <c r="RUT118" s="199"/>
      <c r="RUU118" s="198"/>
      <c r="RUV118" s="199"/>
      <c r="RUW118" s="198"/>
      <c r="RUX118" s="199"/>
      <c r="RUY118" s="198"/>
      <c r="RUZ118" s="199"/>
      <c r="RVA118" s="198"/>
      <c r="RVB118" s="199"/>
      <c r="RVC118" s="198"/>
      <c r="RVD118" s="199"/>
      <c r="RVE118" s="198"/>
      <c r="RVF118" s="199"/>
      <c r="RVG118" s="198"/>
      <c r="RVH118" s="199"/>
      <c r="RVI118" s="198"/>
      <c r="RVJ118" s="199"/>
      <c r="RVK118" s="198"/>
      <c r="RVL118" s="199"/>
      <c r="RVM118" s="198"/>
      <c r="RVN118" s="199"/>
      <c r="RVO118" s="198"/>
      <c r="RVP118" s="199"/>
      <c r="RVQ118" s="198"/>
      <c r="RVR118" s="199"/>
      <c r="RVS118" s="198"/>
      <c r="RVT118" s="199"/>
      <c r="RVU118" s="198"/>
      <c r="RVV118" s="199"/>
      <c r="RVW118" s="198"/>
      <c r="RVX118" s="199"/>
      <c r="RVY118" s="198"/>
      <c r="RVZ118" s="199"/>
      <c r="RWA118" s="198"/>
      <c r="RWB118" s="199"/>
      <c r="RWC118" s="198"/>
      <c r="RWD118" s="199"/>
      <c r="RWE118" s="198"/>
      <c r="RWF118" s="199"/>
      <c r="RWG118" s="198"/>
      <c r="RWH118" s="199"/>
      <c r="RWI118" s="198"/>
      <c r="RWJ118" s="199"/>
      <c r="RWK118" s="198"/>
      <c r="RWL118" s="199"/>
      <c r="RWM118" s="198"/>
      <c r="RWN118" s="199"/>
      <c r="RWO118" s="198"/>
      <c r="RWP118" s="199"/>
      <c r="RWQ118" s="198"/>
      <c r="RWR118" s="199"/>
      <c r="RWS118" s="198"/>
      <c r="RWT118" s="199"/>
      <c r="RWU118" s="198"/>
      <c r="RWV118" s="199"/>
      <c r="RWW118" s="198"/>
      <c r="RWX118" s="199"/>
      <c r="RWY118" s="198"/>
      <c r="RWZ118" s="199"/>
      <c r="RXA118" s="198"/>
      <c r="RXB118" s="199"/>
      <c r="RXC118" s="198"/>
      <c r="RXD118" s="199"/>
      <c r="RXE118" s="198"/>
      <c r="RXF118" s="199"/>
      <c r="RXG118" s="198"/>
      <c r="RXH118" s="199"/>
      <c r="RXI118" s="198"/>
      <c r="RXJ118" s="199"/>
      <c r="RXK118" s="198"/>
      <c r="RXL118" s="199"/>
      <c r="RXM118" s="198"/>
      <c r="RXN118" s="199"/>
      <c r="RXO118" s="198"/>
      <c r="RXP118" s="199"/>
      <c r="RXQ118" s="198"/>
      <c r="RXR118" s="199"/>
      <c r="RXS118" s="198"/>
      <c r="RXT118" s="199"/>
      <c r="RXU118" s="198"/>
      <c r="RXV118" s="199"/>
      <c r="RXW118" s="198"/>
      <c r="RXX118" s="199"/>
      <c r="RXY118" s="198"/>
      <c r="RXZ118" s="199"/>
      <c r="RYA118" s="198"/>
      <c r="RYB118" s="199"/>
      <c r="RYC118" s="198"/>
      <c r="RYD118" s="199"/>
      <c r="RYE118" s="198"/>
      <c r="RYF118" s="199"/>
      <c r="RYG118" s="198"/>
      <c r="RYH118" s="199"/>
      <c r="RYI118" s="198"/>
      <c r="RYJ118" s="199"/>
      <c r="RYK118" s="198"/>
      <c r="RYL118" s="199"/>
      <c r="RYM118" s="198"/>
      <c r="RYN118" s="199"/>
      <c r="RYO118" s="198"/>
      <c r="RYP118" s="199"/>
      <c r="RYQ118" s="198"/>
      <c r="RYR118" s="199"/>
      <c r="RYS118" s="198"/>
      <c r="RYT118" s="199"/>
      <c r="RYU118" s="198"/>
      <c r="RYV118" s="199"/>
      <c r="RYW118" s="198"/>
      <c r="RYX118" s="199"/>
      <c r="RYY118" s="198"/>
      <c r="RYZ118" s="199"/>
      <c r="RZA118" s="198"/>
      <c r="RZB118" s="199"/>
      <c r="RZC118" s="198"/>
      <c r="RZD118" s="199"/>
      <c r="RZE118" s="198"/>
      <c r="RZF118" s="199"/>
      <c r="RZG118" s="198"/>
      <c r="RZH118" s="199"/>
      <c r="RZI118" s="198"/>
      <c r="RZJ118" s="199"/>
      <c r="RZK118" s="198"/>
      <c r="RZL118" s="199"/>
      <c r="RZM118" s="198"/>
      <c r="RZN118" s="199"/>
      <c r="RZO118" s="198"/>
      <c r="RZP118" s="199"/>
      <c r="RZQ118" s="198"/>
      <c r="RZR118" s="199"/>
      <c r="RZS118" s="198"/>
      <c r="RZT118" s="199"/>
      <c r="RZU118" s="198"/>
      <c r="RZV118" s="199"/>
      <c r="RZW118" s="198"/>
      <c r="RZX118" s="199"/>
      <c r="RZY118" s="198"/>
      <c r="RZZ118" s="199"/>
      <c r="SAA118" s="198"/>
      <c r="SAB118" s="199"/>
      <c r="SAC118" s="198"/>
      <c r="SAD118" s="199"/>
      <c r="SAE118" s="198"/>
      <c r="SAF118" s="199"/>
      <c r="SAG118" s="198"/>
      <c r="SAH118" s="199"/>
      <c r="SAI118" s="198"/>
      <c r="SAJ118" s="199"/>
      <c r="SAK118" s="198"/>
      <c r="SAL118" s="199"/>
      <c r="SAM118" s="198"/>
      <c r="SAN118" s="199"/>
      <c r="SAO118" s="198"/>
      <c r="SAP118" s="199"/>
      <c r="SAQ118" s="198"/>
      <c r="SAR118" s="199"/>
      <c r="SAS118" s="198"/>
      <c r="SAT118" s="199"/>
      <c r="SAU118" s="198"/>
      <c r="SAV118" s="199"/>
      <c r="SAW118" s="198"/>
      <c r="SAX118" s="199"/>
      <c r="SAY118" s="198"/>
      <c r="SAZ118" s="199"/>
      <c r="SBA118" s="198"/>
      <c r="SBB118" s="199"/>
      <c r="SBC118" s="198"/>
      <c r="SBD118" s="199"/>
      <c r="SBE118" s="198"/>
      <c r="SBF118" s="199"/>
      <c r="SBG118" s="198"/>
      <c r="SBH118" s="199"/>
      <c r="SBI118" s="198"/>
      <c r="SBJ118" s="199"/>
      <c r="SBK118" s="198"/>
      <c r="SBL118" s="199"/>
      <c r="SBM118" s="198"/>
      <c r="SBN118" s="199"/>
      <c r="SBO118" s="198"/>
      <c r="SBP118" s="199"/>
      <c r="SBQ118" s="198"/>
      <c r="SBR118" s="199"/>
      <c r="SBS118" s="198"/>
      <c r="SBT118" s="199"/>
      <c r="SBU118" s="198"/>
      <c r="SBV118" s="199"/>
      <c r="SBW118" s="198"/>
      <c r="SBX118" s="199"/>
      <c r="SBY118" s="198"/>
      <c r="SBZ118" s="199"/>
      <c r="SCA118" s="198"/>
      <c r="SCB118" s="199"/>
      <c r="SCC118" s="198"/>
      <c r="SCD118" s="199"/>
      <c r="SCE118" s="198"/>
      <c r="SCF118" s="199"/>
      <c r="SCG118" s="198"/>
      <c r="SCH118" s="199"/>
      <c r="SCI118" s="198"/>
      <c r="SCJ118" s="199"/>
      <c r="SCK118" s="198"/>
      <c r="SCL118" s="199"/>
      <c r="SCM118" s="198"/>
      <c r="SCN118" s="199"/>
      <c r="SCO118" s="198"/>
      <c r="SCP118" s="199"/>
      <c r="SCQ118" s="198"/>
      <c r="SCR118" s="199"/>
      <c r="SCS118" s="198"/>
      <c r="SCT118" s="199"/>
      <c r="SCU118" s="198"/>
      <c r="SCV118" s="199"/>
      <c r="SCW118" s="198"/>
      <c r="SCX118" s="199"/>
      <c r="SCY118" s="198"/>
      <c r="SCZ118" s="199"/>
      <c r="SDA118" s="198"/>
      <c r="SDB118" s="199"/>
      <c r="SDC118" s="198"/>
      <c r="SDD118" s="199"/>
      <c r="SDE118" s="198"/>
      <c r="SDF118" s="199"/>
      <c r="SDG118" s="198"/>
      <c r="SDH118" s="199"/>
      <c r="SDI118" s="198"/>
      <c r="SDJ118" s="199"/>
      <c r="SDK118" s="198"/>
      <c r="SDL118" s="199"/>
      <c r="SDM118" s="198"/>
      <c r="SDN118" s="199"/>
      <c r="SDO118" s="198"/>
      <c r="SDP118" s="199"/>
      <c r="SDQ118" s="198"/>
      <c r="SDR118" s="199"/>
      <c r="SDS118" s="198"/>
      <c r="SDT118" s="199"/>
      <c r="SDU118" s="198"/>
      <c r="SDV118" s="199"/>
      <c r="SDW118" s="198"/>
      <c r="SDX118" s="199"/>
      <c r="SDY118" s="198"/>
      <c r="SDZ118" s="199"/>
      <c r="SEA118" s="198"/>
      <c r="SEB118" s="199"/>
      <c r="SEC118" s="198"/>
      <c r="SED118" s="199"/>
      <c r="SEE118" s="198"/>
      <c r="SEF118" s="199"/>
      <c r="SEG118" s="198"/>
      <c r="SEH118" s="199"/>
      <c r="SEI118" s="198"/>
      <c r="SEJ118" s="199"/>
      <c r="SEK118" s="198"/>
      <c r="SEL118" s="199"/>
      <c r="SEM118" s="198"/>
      <c r="SEN118" s="199"/>
      <c r="SEO118" s="198"/>
      <c r="SEP118" s="199"/>
      <c r="SEQ118" s="198"/>
      <c r="SER118" s="199"/>
      <c r="SES118" s="198"/>
      <c r="SET118" s="199"/>
      <c r="SEU118" s="198"/>
      <c r="SEV118" s="199"/>
      <c r="SEW118" s="198"/>
      <c r="SEX118" s="199"/>
      <c r="SEY118" s="198"/>
      <c r="SEZ118" s="199"/>
      <c r="SFA118" s="198"/>
      <c r="SFB118" s="199"/>
      <c r="SFC118" s="198"/>
      <c r="SFD118" s="199"/>
      <c r="SFE118" s="198"/>
      <c r="SFF118" s="199"/>
      <c r="SFG118" s="198"/>
      <c r="SFH118" s="199"/>
      <c r="SFI118" s="198"/>
      <c r="SFJ118" s="199"/>
      <c r="SFK118" s="198"/>
      <c r="SFL118" s="199"/>
      <c r="SFM118" s="198"/>
      <c r="SFN118" s="199"/>
      <c r="SFO118" s="198"/>
      <c r="SFP118" s="199"/>
      <c r="SFQ118" s="198"/>
      <c r="SFR118" s="199"/>
      <c r="SFS118" s="198"/>
      <c r="SFT118" s="199"/>
      <c r="SFU118" s="198"/>
      <c r="SFV118" s="199"/>
      <c r="SFW118" s="198"/>
      <c r="SFX118" s="199"/>
      <c r="SFY118" s="198"/>
      <c r="SFZ118" s="199"/>
      <c r="SGA118" s="198"/>
      <c r="SGB118" s="199"/>
      <c r="SGC118" s="198"/>
      <c r="SGD118" s="199"/>
      <c r="SGE118" s="198"/>
      <c r="SGF118" s="199"/>
      <c r="SGG118" s="198"/>
      <c r="SGH118" s="199"/>
      <c r="SGI118" s="198"/>
      <c r="SGJ118" s="199"/>
      <c r="SGK118" s="198"/>
      <c r="SGL118" s="199"/>
      <c r="SGM118" s="198"/>
      <c r="SGN118" s="199"/>
      <c r="SGO118" s="198"/>
      <c r="SGP118" s="199"/>
      <c r="SGQ118" s="198"/>
      <c r="SGR118" s="199"/>
      <c r="SGS118" s="198"/>
      <c r="SGT118" s="199"/>
      <c r="SGU118" s="198"/>
      <c r="SGV118" s="199"/>
      <c r="SGW118" s="198"/>
      <c r="SGX118" s="199"/>
      <c r="SGY118" s="198"/>
      <c r="SGZ118" s="199"/>
      <c r="SHA118" s="198"/>
      <c r="SHB118" s="199"/>
      <c r="SHC118" s="198"/>
      <c r="SHD118" s="199"/>
      <c r="SHE118" s="198"/>
      <c r="SHF118" s="199"/>
      <c r="SHG118" s="198"/>
      <c r="SHH118" s="199"/>
      <c r="SHI118" s="198"/>
      <c r="SHJ118" s="199"/>
      <c r="SHK118" s="198"/>
      <c r="SHL118" s="199"/>
      <c r="SHM118" s="198"/>
      <c r="SHN118" s="199"/>
      <c r="SHO118" s="198"/>
      <c r="SHP118" s="199"/>
      <c r="SHQ118" s="198"/>
      <c r="SHR118" s="199"/>
      <c r="SHS118" s="198"/>
      <c r="SHT118" s="199"/>
      <c r="SHU118" s="198"/>
      <c r="SHV118" s="199"/>
      <c r="SHW118" s="198"/>
      <c r="SHX118" s="199"/>
      <c r="SHY118" s="198"/>
      <c r="SHZ118" s="199"/>
      <c r="SIA118" s="198"/>
      <c r="SIB118" s="199"/>
      <c r="SIC118" s="198"/>
      <c r="SID118" s="199"/>
      <c r="SIE118" s="198"/>
      <c r="SIF118" s="199"/>
      <c r="SIG118" s="198"/>
      <c r="SIH118" s="199"/>
      <c r="SII118" s="198"/>
      <c r="SIJ118" s="199"/>
      <c r="SIK118" s="198"/>
      <c r="SIL118" s="199"/>
      <c r="SIM118" s="198"/>
      <c r="SIN118" s="199"/>
      <c r="SIO118" s="198"/>
      <c r="SIP118" s="199"/>
      <c r="SIQ118" s="198"/>
      <c r="SIR118" s="199"/>
      <c r="SIS118" s="198"/>
      <c r="SIT118" s="199"/>
      <c r="SIU118" s="198"/>
      <c r="SIV118" s="199"/>
      <c r="SIW118" s="198"/>
      <c r="SIX118" s="199"/>
      <c r="SIY118" s="198"/>
      <c r="SIZ118" s="199"/>
      <c r="SJA118" s="198"/>
      <c r="SJB118" s="199"/>
      <c r="SJC118" s="198"/>
      <c r="SJD118" s="199"/>
      <c r="SJE118" s="198"/>
      <c r="SJF118" s="199"/>
      <c r="SJG118" s="198"/>
      <c r="SJH118" s="199"/>
      <c r="SJI118" s="198"/>
      <c r="SJJ118" s="199"/>
      <c r="SJK118" s="198"/>
      <c r="SJL118" s="199"/>
      <c r="SJM118" s="198"/>
      <c r="SJN118" s="199"/>
      <c r="SJO118" s="198"/>
      <c r="SJP118" s="199"/>
      <c r="SJQ118" s="198"/>
      <c r="SJR118" s="199"/>
      <c r="SJS118" s="198"/>
      <c r="SJT118" s="199"/>
      <c r="SJU118" s="198"/>
      <c r="SJV118" s="199"/>
      <c r="SJW118" s="198"/>
      <c r="SJX118" s="199"/>
      <c r="SJY118" s="198"/>
      <c r="SJZ118" s="199"/>
      <c r="SKA118" s="198"/>
      <c r="SKB118" s="199"/>
      <c r="SKC118" s="198"/>
      <c r="SKD118" s="199"/>
      <c r="SKE118" s="198"/>
      <c r="SKF118" s="199"/>
      <c r="SKG118" s="198"/>
      <c r="SKH118" s="199"/>
      <c r="SKI118" s="198"/>
      <c r="SKJ118" s="199"/>
      <c r="SKK118" s="198"/>
      <c r="SKL118" s="199"/>
      <c r="SKM118" s="198"/>
      <c r="SKN118" s="199"/>
      <c r="SKO118" s="198"/>
      <c r="SKP118" s="199"/>
      <c r="SKQ118" s="198"/>
      <c r="SKR118" s="199"/>
      <c r="SKS118" s="198"/>
      <c r="SKT118" s="199"/>
      <c r="SKU118" s="198"/>
      <c r="SKV118" s="199"/>
      <c r="SKW118" s="198"/>
      <c r="SKX118" s="199"/>
      <c r="SKY118" s="198"/>
      <c r="SKZ118" s="199"/>
      <c r="SLA118" s="198"/>
      <c r="SLB118" s="199"/>
      <c r="SLC118" s="198"/>
      <c r="SLD118" s="199"/>
      <c r="SLE118" s="198"/>
      <c r="SLF118" s="199"/>
      <c r="SLG118" s="198"/>
      <c r="SLH118" s="199"/>
      <c r="SLI118" s="198"/>
      <c r="SLJ118" s="199"/>
      <c r="SLK118" s="198"/>
      <c r="SLL118" s="199"/>
      <c r="SLM118" s="198"/>
      <c r="SLN118" s="199"/>
      <c r="SLO118" s="198"/>
      <c r="SLP118" s="199"/>
      <c r="SLQ118" s="198"/>
      <c r="SLR118" s="199"/>
      <c r="SLS118" s="198"/>
      <c r="SLT118" s="199"/>
      <c r="SLU118" s="198"/>
      <c r="SLV118" s="199"/>
      <c r="SLW118" s="198"/>
      <c r="SLX118" s="199"/>
      <c r="SLY118" s="198"/>
      <c r="SLZ118" s="199"/>
      <c r="SMA118" s="198"/>
      <c r="SMB118" s="199"/>
      <c r="SMC118" s="198"/>
      <c r="SMD118" s="199"/>
      <c r="SME118" s="198"/>
      <c r="SMF118" s="199"/>
      <c r="SMG118" s="198"/>
      <c r="SMH118" s="199"/>
      <c r="SMI118" s="198"/>
      <c r="SMJ118" s="199"/>
      <c r="SMK118" s="198"/>
      <c r="SML118" s="199"/>
      <c r="SMM118" s="198"/>
      <c r="SMN118" s="199"/>
      <c r="SMO118" s="198"/>
      <c r="SMP118" s="199"/>
      <c r="SMQ118" s="198"/>
      <c r="SMR118" s="199"/>
      <c r="SMS118" s="198"/>
      <c r="SMT118" s="199"/>
      <c r="SMU118" s="198"/>
      <c r="SMV118" s="199"/>
      <c r="SMW118" s="198"/>
      <c r="SMX118" s="199"/>
      <c r="SMY118" s="198"/>
      <c r="SMZ118" s="199"/>
      <c r="SNA118" s="198"/>
      <c r="SNB118" s="199"/>
      <c r="SNC118" s="198"/>
      <c r="SND118" s="199"/>
      <c r="SNE118" s="198"/>
      <c r="SNF118" s="199"/>
      <c r="SNG118" s="198"/>
      <c r="SNH118" s="199"/>
      <c r="SNI118" s="198"/>
      <c r="SNJ118" s="199"/>
      <c r="SNK118" s="198"/>
      <c r="SNL118" s="199"/>
      <c r="SNM118" s="198"/>
      <c r="SNN118" s="199"/>
      <c r="SNO118" s="198"/>
      <c r="SNP118" s="199"/>
      <c r="SNQ118" s="198"/>
      <c r="SNR118" s="199"/>
      <c r="SNS118" s="198"/>
      <c r="SNT118" s="199"/>
      <c r="SNU118" s="198"/>
      <c r="SNV118" s="199"/>
      <c r="SNW118" s="198"/>
      <c r="SNX118" s="199"/>
      <c r="SNY118" s="198"/>
      <c r="SNZ118" s="199"/>
      <c r="SOA118" s="198"/>
      <c r="SOB118" s="199"/>
      <c r="SOC118" s="198"/>
      <c r="SOD118" s="199"/>
      <c r="SOE118" s="198"/>
      <c r="SOF118" s="199"/>
      <c r="SOG118" s="198"/>
      <c r="SOH118" s="199"/>
      <c r="SOI118" s="198"/>
      <c r="SOJ118" s="199"/>
      <c r="SOK118" s="198"/>
      <c r="SOL118" s="199"/>
      <c r="SOM118" s="198"/>
      <c r="SON118" s="199"/>
      <c r="SOO118" s="198"/>
      <c r="SOP118" s="199"/>
      <c r="SOQ118" s="198"/>
      <c r="SOR118" s="199"/>
      <c r="SOS118" s="198"/>
      <c r="SOT118" s="199"/>
      <c r="SOU118" s="198"/>
      <c r="SOV118" s="199"/>
      <c r="SOW118" s="198"/>
      <c r="SOX118" s="199"/>
      <c r="SOY118" s="198"/>
      <c r="SOZ118" s="199"/>
      <c r="SPA118" s="198"/>
      <c r="SPB118" s="199"/>
      <c r="SPC118" s="198"/>
      <c r="SPD118" s="199"/>
      <c r="SPE118" s="198"/>
      <c r="SPF118" s="199"/>
      <c r="SPG118" s="198"/>
      <c r="SPH118" s="199"/>
      <c r="SPI118" s="198"/>
      <c r="SPJ118" s="199"/>
      <c r="SPK118" s="198"/>
      <c r="SPL118" s="199"/>
      <c r="SPM118" s="198"/>
      <c r="SPN118" s="199"/>
      <c r="SPO118" s="198"/>
      <c r="SPP118" s="199"/>
      <c r="SPQ118" s="198"/>
      <c r="SPR118" s="199"/>
      <c r="SPS118" s="198"/>
      <c r="SPT118" s="199"/>
      <c r="SPU118" s="198"/>
      <c r="SPV118" s="199"/>
      <c r="SPW118" s="198"/>
      <c r="SPX118" s="199"/>
      <c r="SPY118" s="198"/>
      <c r="SPZ118" s="199"/>
      <c r="SQA118" s="198"/>
      <c r="SQB118" s="199"/>
      <c r="SQC118" s="198"/>
      <c r="SQD118" s="199"/>
      <c r="SQE118" s="198"/>
      <c r="SQF118" s="199"/>
      <c r="SQG118" s="198"/>
      <c r="SQH118" s="199"/>
      <c r="SQI118" s="198"/>
      <c r="SQJ118" s="199"/>
      <c r="SQK118" s="198"/>
      <c r="SQL118" s="199"/>
      <c r="SQM118" s="198"/>
      <c r="SQN118" s="199"/>
      <c r="SQO118" s="198"/>
      <c r="SQP118" s="199"/>
      <c r="SQQ118" s="198"/>
      <c r="SQR118" s="199"/>
      <c r="SQS118" s="198"/>
      <c r="SQT118" s="199"/>
      <c r="SQU118" s="198"/>
      <c r="SQV118" s="199"/>
      <c r="SQW118" s="198"/>
      <c r="SQX118" s="199"/>
      <c r="SQY118" s="198"/>
      <c r="SQZ118" s="199"/>
      <c r="SRA118" s="198"/>
      <c r="SRB118" s="199"/>
      <c r="SRC118" s="198"/>
      <c r="SRD118" s="199"/>
      <c r="SRE118" s="198"/>
      <c r="SRF118" s="199"/>
      <c r="SRG118" s="198"/>
      <c r="SRH118" s="199"/>
      <c r="SRI118" s="198"/>
      <c r="SRJ118" s="199"/>
      <c r="SRK118" s="198"/>
      <c r="SRL118" s="199"/>
      <c r="SRM118" s="198"/>
      <c r="SRN118" s="199"/>
      <c r="SRO118" s="198"/>
      <c r="SRP118" s="199"/>
      <c r="SRQ118" s="198"/>
      <c r="SRR118" s="199"/>
      <c r="SRS118" s="198"/>
      <c r="SRT118" s="199"/>
      <c r="SRU118" s="198"/>
      <c r="SRV118" s="199"/>
      <c r="SRW118" s="198"/>
      <c r="SRX118" s="199"/>
      <c r="SRY118" s="198"/>
      <c r="SRZ118" s="199"/>
      <c r="SSA118" s="198"/>
      <c r="SSB118" s="199"/>
      <c r="SSC118" s="198"/>
      <c r="SSD118" s="199"/>
      <c r="SSE118" s="198"/>
      <c r="SSF118" s="199"/>
      <c r="SSG118" s="198"/>
      <c r="SSH118" s="199"/>
      <c r="SSI118" s="198"/>
      <c r="SSJ118" s="199"/>
      <c r="SSK118" s="198"/>
      <c r="SSL118" s="199"/>
      <c r="SSM118" s="198"/>
      <c r="SSN118" s="199"/>
      <c r="SSO118" s="198"/>
      <c r="SSP118" s="199"/>
      <c r="SSQ118" s="198"/>
      <c r="SSR118" s="199"/>
      <c r="SSS118" s="198"/>
      <c r="SST118" s="199"/>
      <c r="SSU118" s="198"/>
      <c r="SSV118" s="199"/>
      <c r="SSW118" s="198"/>
      <c r="SSX118" s="199"/>
      <c r="SSY118" s="198"/>
      <c r="SSZ118" s="199"/>
      <c r="STA118" s="198"/>
      <c r="STB118" s="199"/>
      <c r="STC118" s="198"/>
      <c r="STD118" s="199"/>
      <c r="STE118" s="198"/>
      <c r="STF118" s="199"/>
      <c r="STG118" s="198"/>
      <c r="STH118" s="199"/>
      <c r="STI118" s="198"/>
      <c r="STJ118" s="199"/>
      <c r="STK118" s="198"/>
      <c r="STL118" s="199"/>
      <c r="STM118" s="198"/>
      <c r="STN118" s="199"/>
      <c r="STO118" s="198"/>
      <c r="STP118" s="199"/>
      <c r="STQ118" s="198"/>
      <c r="STR118" s="199"/>
      <c r="STS118" s="198"/>
      <c r="STT118" s="199"/>
      <c r="STU118" s="198"/>
      <c r="STV118" s="199"/>
      <c r="STW118" s="198"/>
      <c r="STX118" s="199"/>
      <c r="STY118" s="198"/>
      <c r="STZ118" s="199"/>
      <c r="SUA118" s="198"/>
      <c r="SUB118" s="199"/>
      <c r="SUC118" s="198"/>
      <c r="SUD118" s="199"/>
      <c r="SUE118" s="198"/>
      <c r="SUF118" s="199"/>
      <c r="SUG118" s="198"/>
      <c r="SUH118" s="199"/>
      <c r="SUI118" s="198"/>
      <c r="SUJ118" s="199"/>
      <c r="SUK118" s="198"/>
      <c r="SUL118" s="199"/>
      <c r="SUM118" s="198"/>
      <c r="SUN118" s="199"/>
      <c r="SUO118" s="198"/>
      <c r="SUP118" s="199"/>
      <c r="SUQ118" s="198"/>
      <c r="SUR118" s="199"/>
      <c r="SUS118" s="198"/>
      <c r="SUT118" s="199"/>
      <c r="SUU118" s="198"/>
      <c r="SUV118" s="199"/>
      <c r="SUW118" s="198"/>
      <c r="SUX118" s="199"/>
      <c r="SUY118" s="198"/>
      <c r="SUZ118" s="199"/>
      <c r="SVA118" s="198"/>
      <c r="SVB118" s="199"/>
      <c r="SVC118" s="198"/>
      <c r="SVD118" s="199"/>
      <c r="SVE118" s="198"/>
      <c r="SVF118" s="199"/>
      <c r="SVG118" s="198"/>
      <c r="SVH118" s="199"/>
      <c r="SVI118" s="198"/>
      <c r="SVJ118" s="199"/>
      <c r="SVK118" s="198"/>
      <c r="SVL118" s="199"/>
      <c r="SVM118" s="198"/>
      <c r="SVN118" s="199"/>
      <c r="SVO118" s="198"/>
      <c r="SVP118" s="199"/>
      <c r="SVQ118" s="198"/>
      <c r="SVR118" s="199"/>
      <c r="SVS118" s="198"/>
      <c r="SVT118" s="199"/>
      <c r="SVU118" s="198"/>
      <c r="SVV118" s="199"/>
      <c r="SVW118" s="198"/>
      <c r="SVX118" s="199"/>
      <c r="SVY118" s="198"/>
      <c r="SVZ118" s="199"/>
      <c r="SWA118" s="198"/>
      <c r="SWB118" s="199"/>
      <c r="SWC118" s="198"/>
      <c r="SWD118" s="199"/>
      <c r="SWE118" s="198"/>
      <c r="SWF118" s="199"/>
      <c r="SWG118" s="198"/>
      <c r="SWH118" s="199"/>
      <c r="SWI118" s="198"/>
      <c r="SWJ118" s="199"/>
      <c r="SWK118" s="198"/>
      <c r="SWL118" s="199"/>
      <c r="SWM118" s="198"/>
      <c r="SWN118" s="199"/>
      <c r="SWO118" s="198"/>
      <c r="SWP118" s="199"/>
      <c r="SWQ118" s="198"/>
      <c r="SWR118" s="199"/>
      <c r="SWS118" s="198"/>
      <c r="SWT118" s="199"/>
      <c r="SWU118" s="198"/>
      <c r="SWV118" s="199"/>
      <c r="SWW118" s="198"/>
      <c r="SWX118" s="199"/>
      <c r="SWY118" s="198"/>
      <c r="SWZ118" s="199"/>
      <c r="SXA118" s="198"/>
      <c r="SXB118" s="199"/>
      <c r="SXC118" s="198"/>
      <c r="SXD118" s="199"/>
      <c r="SXE118" s="198"/>
      <c r="SXF118" s="199"/>
      <c r="SXG118" s="198"/>
      <c r="SXH118" s="199"/>
      <c r="SXI118" s="198"/>
      <c r="SXJ118" s="199"/>
      <c r="SXK118" s="198"/>
      <c r="SXL118" s="199"/>
      <c r="SXM118" s="198"/>
      <c r="SXN118" s="199"/>
      <c r="SXO118" s="198"/>
      <c r="SXP118" s="199"/>
      <c r="SXQ118" s="198"/>
      <c r="SXR118" s="199"/>
      <c r="SXS118" s="198"/>
      <c r="SXT118" s="199"/>
      <c r="SXU118" s="198"/>
      <c r="SXV118" s="199"/>
      <c r="SXW118" s="198"/>
      <c r="SXX118" s="199"/>
      <c r="SXY118" s="198"/>
      <c r="SXZ118" s="199"/>
      <c r="SYA118" s="198"/>
      <c r="SYB118" s="199"/>
      <c r="SYC118" s="198"/>
      <c r="SYD118" s="199"/>
      <c r="SYE118" s="198"/>
      <c r="SYF118" s="199"/>
      <c r="SYG118" s="198"/>
      <c r="SYH118" s="199"/>
      <c r="SYI118" s="198"/>
      <c r="SYJ118" s="199"/>
      <c r="SYK118" s="198"/>
      <c r="SYL118" s="199"/>
      <c r="SYM118" s="198"/>
      <c r="SYN118" s="199"/>
      <c r="SYO118" s="198"/>
      <c r="SYP118" s="199"/>
      <c r="SYQ118" s="198"/>
      <c r="SYR118" s="199"/>
      <c r="SYS118" s="198"/>
      <c r="SYT118" s="199"/>
      <c r="SYU118" s="198"/>
      <c r="SYV118" s="199"/>
      <c r="SYW118" s="198"/>
      <c r="SYX118" s="199"/>
      <c r="SYY118" s="198"/>
      <c r="SYZ118" s="199"/>
      <c r="SZA118" s="198"/>
      <c r="SZB118" s="199"/>
      <c r="SZC118" s="198"/>
      <c r="SZD118" s="199"/>
      <c r="SZE118" s="198"/>
      <c r="SZF118" s="199"/>
      <c r="SZG118" s="198"/>
      <c r="SZH118" s="199"/>
      <c r="SZI118" s="198"/>
      <c r="SZJ118" s="199"/>
      <c r="SZK118" s="198"/>
      <c r="SZL118" s="199"/>
      <c r="SZM118" s="198"/>
      <c r="SZN118" s="199"/>
      <c r="SZO118" s="198"/>
      <c r="SZP118" s="199"/>
      <c r="SZQ118" s="198"/>
      <c r="SZR118" s="199"/>
      <c r="SZS118" s="198"/>
      <c r="SZT118" s="199"/>
      <c r="SZU118" s="198"/>
      <c r="SZV118" s="199"/>
      <c r="SZW118" s="198"/>
      <c r="SZX118" s="199"/>
      <c r="SZY118" s="198"/>
      <c r="SZZ118" s="199"/>
      <c r="TAA118" s="198"/>
      <c r="TAB118" s="199"/>
      <c r="TAC118" s="198"/>
      <c r="TAD118" s="199"/>
      <c r="TAE118" s="198"/>
      <c r="TAF118" s="199"/>
      <c r="TAG118" s="198"/>
      <c r="TAH118" s="199"/>
      <c r="TAI118" s="198"/>
      <c r="TAJ118" s="199"/>
      <c r="TAK118" s="198"/>
      <c r="TAL118" s="199"/>
      <c r="TAM118" s="198"/>
      <c r="TAN118" s="199"/>
      <c r="TAO118" s="198"/>
      <c r="TAP118" s="199"/>
      <c r="TAQ118" s="198"/>
      <c r="TAR118" s="199"/>
      <c r="TAS118" s="198"/>
      <c r="TAT118" s="199"/>
      <c r="TAU118" s="198"/>
      <c r="TAV118" s="199"/>
      <c r="TAW118" s="198"/>
      <c r="TAX118" s="199"/>
      <c r="TAY118" s="198"/>
      <c r="TAZ118" s="199"/>
      <c r="TBA118" s="198"/>
      <c r="TBB118" s="199"/>
      <c r="TBC118" s="198"/>
      <c r="TBD118" s="199"/>
      <c r="TBE118" s="198"/>
      <c r="TBF118" s="199"/>
      <c r="TBG118" s="198"/>
      <c r="TBH118" s="199"/>
      <c r="TBI118" s="198"/>
      <c r="TBJ118" s="199"/>
      <c r="TBK118" s="198"/>
      <c r="TBL118" s="199"/>
      <c r="TBM118" s="198"/>
      <c r="TBN118" s="199"/>
      <c r="TBO118" s="198"/>
      <c r="TBP118" s="199"/>
      <c r="TBQ118" s="198"/>
      <c r="TBR118" s="199"/>
      <c r="TBS118" s="198"/>
      <c r="TBT118" s="199"/>
      <c r="TBU118" s="198"/>
      <c r="TBV118" s="199"/>
      <c r="TBW118" s="198"/>
      <c r="TBX118" s="199"/>
      <c r="TBY118" s="198"/>
      <c r="TBZ118" s="199"/>
      <c r="TCA118" s="198"/>
      <c r="TCB118" s="199"/>
      <c r="TCC118" s="198"/>
      <c r="TCD118" s="199"/>
      <c r="TCE118" s="198"/>
      <c r="TCF118" s="199"/>
      <c r="TCG118" s="198"/>
      <c r="TCH118" s="199"/>
      <c r="TCI118" s="198"/>
      <c r="TCJ118" s="199"/>
      <c r="TCK118" s="198"/>
      <c r="TCL118" s="199"/>
      <c r="TCM118" s="198"/>
      <c r="TCN118" s="199"/>
      <c r="TCO118" s="198"/>
      <c r="TCP118" s="199"/>
      <c r="TCQ118" s="198"/>
      <c r="TCR118" s="199"/>
      <c r="TCS118" s="198"/>
      <c r="TCT118" s="199"/>
      <c r="TCU118" s="198"/>
      <c r="TCV118" s="199"/>
      <c r="TCW118" s="198"/>
      <c r="TCX118" s="199"/>
      <c r="TCY118" s="198"/>
      <c r="TCZ118" s="199"/>
      <c r="TDA118" s="198"/>
      <c r="TDB118" s="199"/>
      <c r="TDC118" s="198"/>
      <c r="TDD118" s="199"/>
      <c r="TDE118" s="198"/>
      <c r="TDF118" s="199"/>
      <c r="TDG118" s="198"/>
      <c r="TDH118" s="199"/>
      <c r="TDI118" s="198"/>
      <c r="TDJ118" s="199"/>
      <c r="TDK118" s="198"/>
      <c r="TDL118" s="199"/>
      <c r="TDM118" s="198"/>
      <c r="TDN118" s="199"/>
      <c r="TDO118" s="198"/>
      <c r="TDP118" s="199"/>
      <c r="TDQ118" s="198"/>
      <c r="TDR118" s="199"/>
      <c r="TDS118" s="198"/>
      <c r="TDT118" s="199"/>
      <c r="TDU118" s="198"/>
      <c r="TDV118" s="199"/>
      <c r="TDW118" s="198"/>
      <c r="TDX118" s="199"/>
      <c r="TDY118" s="198"/>
      <c r="TDZ118" s="199"/>
      <c r="TEA118" s="198"/>
      <c r="TEB118" s="199"/>
      <c r="TEC118" s="198"/>
      <c r="TED118" s="199"/>
      <c r="TEE118" s="198"/>
      <c r="TEF118" s="199"/>
      <c r="TEG118" s="198"/>
      <c r="TEH118" s="199"/>
      <c r="TEI118" s="198"/>
      <c r="TEJ118" s="199"/>
      <c r="TEK118" s="198"/>
      <c r="TEL118" s="199"/>
      <c r="TEM118" s="198"/>
      <c r="TEN118" s="199"/>
      <c r="TEO118" s="198"/>
      <c r="TEP118" s="199"/>
      <c r="TEQ118" s="198"/>
      <c r="TER118" s="199"/>
      <c r="TES118" s="198"/>
      <c r="TET118" s="199"/>
      <c r="TEU118" s="198"/>
      <c r="TEV118" s="199"/>
      <c r="TEW118" s="198"/>
      <c r="TEX118" s="199"/>
      <c r="TEY118" s="198"/>
      <c r="TEZ118" s="199"/>
      <c r="TFA118" s="198"/>
      <c r="TFB118" s="199"/>
      <c r="TFC118" s="198"/>
      <c r="TFD118" s="199"/>
      <c r="TFE118" s="198"/>
      <c r="TFF118" s="199"/>
      <c r="TFG118" s="198"/>
      <c r="TFH118" s="199"/>
      <c r="TFI118" s="198"/>
      <c r="TFJ118" s="199"/>
      <c r="TFK118" s="198"/>
      <c r="TFL118" s="199"/>
      <c r="TFM118" s="198"/>
      <c r="TFN118" s="199"/>
      <c r="TFO118" s="198"/>
      <c r="TFP118" s="199"/>
      <c r="TFQ118" s="198"/>
      <c r="TFR118" s="199"/>
      <c r="TFS118" s="198"/>
      <c r="TFT118" s="199"/>
      <c r="TFU118" s="198"/>
      <c r="TFV118" s="199"/>
      <c r="TFW118" s="198"/>
      <c r="TFX118" s="199"/>
      <c r="TFY118" s="198"/>
      <c r="TFZ118" s="199"/>
      <c r="TGA118" s="198"/>
      <c r="TGB118" s="199"/>
      <c r="TGC118" s="198"/>
      <c r="TGD118" s="199"/>
      <c r="TGE118" s="198"/>
      <c r="TGF118" s="199"/>
      <c r="TGG118" s="198"/>
      <c r="TGH118" s="199"/>
      <c r="TGI118" s="198"/>
      <c r="TGJ118" s="199"/>
      <c r="TGK118" s="198"/>
      <c r="TGL118" s="199"/>
      <c r="TGM118" s="198"/>
      <c r="TGN118" s="199"/>
      <c r="TGO118" s="198"/>
      <c r="TGP118" s="199"/>
      <c r="TGQ118" s="198"/>
      <c r="TGR118" s="199"/>
      <c r="TGS118" s="198"/>
      <c r="TGT118" s="199"/>
      <c r="TGU118" s="198"/>
      <c r="TGV118" s="199"/>
      <c r="TGW118" s="198"/>
      <c r="TGX118" s="199"/>
      <c r="TGY118" s="198"/>
      <c r="TGZ118" s="199"/>
      <c r="THA118" s="198"/>
      <c r="THB118" s="199"/>
      <c r="THC118" s="198"/>
      <c r="THD118" s="199"/>
      <c r="THE118" s="198"/>
      <c r="THF118" s="199"/>
      <c r="THG118" s="198"/>
      <c r="THH118" s="199"/>
      <c r="THI118" s="198"/>
      <c r="THJ118" s="199"/>
      <c r="THK118" s="198"/>
      <c r="THL118" s="199"/>
      <c r="THM118" s="198"/>
      <c r="THN118" s="199"/>
      <c r="THO118" s="198"/>
      <c r="THP118" s="199"/>
      <c r="THQ118" s="198"/>
      <c r="THR118" s="199"/>
      <c r="THS118" s="198"/>
      <c r="THT118" s="199"/>
      <c r="THU118" s="198"/>
      <c r="THV118" s="199"/>
      <c r="THW118" s="198"/>
      <c r="THX118" s="199"/>
      <c r="THY118" s="198"/>
      <c r="THZ118" s="199"/>
      <c r="TIA118" s="198"/>
      <c r="TIB118" s="199"/>
      <c r="TIC118" s="198"/>
      <c r="TID118" s="199"/>
      <c r="TIE118" s="198"/>
      <c r="TIF118" s="199"/>
      <c r="TIG118" s="198"/>
      <c r="TIH118" s="199"/>
      <c r="TII118" s="198"/>
      <c r="TIJ118" s="199"/>
      <c r="TIK118" s="198"/>
      <c r="TIL118" s="199"/>
      <c r="TIM118" s="198"/>
      <c r="TIN118" s="199"/>
      <c r="TIO118" s="198"/>
      <c r="TIP118" s="199"/>
      <c r="TIQ118" s="198"/>
      <c r="TIR118" s="199"/>
      <c r="TIS118" s="198"/>
      <c r="TIT118" s="199"/>
      <c r="TIU118" s="198"/>
      <c r="TIV118" s="199"/>
      <c r="TIW118" s="198"/>
      <c r="TIX118" s="199"/>
      <c r="TIY118" s="198"/>
      <c r="TIZ118" s="199"/>
      <c r="TJA118" s="198"/>
      <c r="TJB118" s="199"/>
      <c r="TJC118" s="198"/>
      <c r="TJD118" s="199"/>
      <c r="TJE118" s="198"/>
      <c r="TJF118" s="199"/>
      <c r="TJG118" s="198"/>
      <c r="TJH118" s="199"/>
      <c r="TJI118" s="198"/>
      <c r="TJJ118" s="199"/>
      <c r="TJK118" s="198"/>
      <c r="TJL118" s="199"/>
      <c r="TJM118" s="198"/>
      <c r="TJN118" s="199"/>
      <c r="TJO118" s="198"/>
      <c r="TJP118" s="199"/>
      <c r="TJQ118" s="198"/>
      <c r="TJR118" s="199"/>
      <c r="TJS118" s="198"/>
      <c r="TJT118" s="199"/>
      <c r="TJU118" s="198"/>
      <c r="TJV118" s="199"/>
      <c r="TJW118" s="198"/>
      <c r="TJX118" s="199"/>
      <c r="TJY118" s="198"/>
      <c r="TJZ118" s="199"/>
      <c r="TKA118" s="198"/>
      <c r="TKB118" s="199"/>
      <c r="TKC118" s="198"/>
      <c r="TKD118" s="199"/>
      <c r="TKE118" s="198"/>
      <c r="TKF118" s="199"/>
      <c r="TKG118" s="198"/>
      <c r="TKH118" s="199"/>
      <c r="TKI118" s="198"/>
      <c r="TKJ118" s="199"/>
      <c r="TKK118" s="198"/>
      <c r="TKL118" s="199"/>
      <c r="TKM118" s="198"/>
      <c r="TKN118" s="199"/>
      <c r="TKO118" s="198"/>
      <c r="TKP118" s="199"/>
      <c r="TKQ118" s="198"/>
      <c r="TKR118" s="199"/>
      <c r="TKS118" s="198"/>
      <c r="TKT118" s="199"/>
      <c r="TKU118" s="198"/>
      <c r="TKV118" s="199"/>
      <c r="TKW118" s="198"/>
      <c r="TKX118" s="199"/>
      <c r="TKY118" s="198"/>
      <c r="TKZ118" s="199"/>
      <c r="TLA118" s="198"/>
      <c r="TLB118" s="199"/>
      <c r="TLC118" s="198"/>
      <c r="TLD118" s="199"/>
      <c r="TLE118" s="198"/>
      <c r="TLF118" s="199"/>
      <c r="TLG118" s="198"/>
      <c r="TLH118" s="199"/>
      <c r="TLI118" s="198"/>
      <c r="TLJ118" s="199"/>
      <c r="TLK118" s="198"/>
      <c r="TLL118" s="199"/>
      <c r="TLM118" s="198"/>
      <c r="TLN118" s="199"/>
      <c r="TLO118" s="198"/>
      <c r="TLP118" s="199"/>
      <c r="TLQ118" s="198"/>
      <c r="TLR118" s="199"/>
      <c r="TLS118" s="198"/>
      <c r="TLT118" s="199"/>
      <c r="TLU118" s="198"/>
      <c r="TLV118" s="199"/>
      <c r="TLW118" s="198"/>
      <c r="TLX118" s="199"/>
      <c r="TLY118" s="198"/>
      <c r="TLZ118" s="199"/>
      <c r="TMA118" s="198"/>
      <c r="TMB118" s="199"/>
      <c r="TMC118" s="198"/>
      <c r="TMD118" s="199"/>
      <c r="TME118" s="198"/>
      <c r="TMF118" s="199"/>
      <c r="TMG118" s="198"/>
      <c r="TMH118" s="199"/>
      <c r="TMI118" s="198"/>
      <c r="TMJ118" s="199"/>
      <c r="TMK118" s="198"/>
      <c r="TML118" s="199"/>
      <c r="TMM118" s="198"/>
      <c r="TMN118" s="199"/>
      <c r="TMO118" s="198"/>
      <c r="TMP118" s="199"/>
      <c r="TMQ118" s="198"/>
      <c r="TMR118" s="199"/>
      <c r="TMS118" s="198"/>
      <c r="TMT118" s="199"/>
      <c r="TMU118" s="198"/>
      <c r="TMV118" s="199"/>
      <c r="TMW118" s="198"/>
      <c r="TMX118" s="199"/>
      <c r="TMY118" s="198"/>
      <c r="TMZ118" s="199"/>
      <c r="TNA118" s="198"/>
      <c r="TNB118" s="199"/>
      <c r="TNC118" s="198"/>
      <c r="TND118" s="199"/>
      <c r="TNE118" s="198"/>
      <c r="TNF118" s="199"/>
      <c r="TNG118" s="198"/>
      <c r="TNH118" s="199"/>
      <c r="TNI118" s="198"/>
      <c r="TNJ118" s="199"/>
      <c r="TNK118" s="198"/>
      <c r="TNL118" s="199"/>
      <c r="TNM118" s="198"/>
      <c r="TNN118" s="199"/>
      <c r="TNO118" s="198"/>
      <c r="TNP118" s="199"/>
      <c r="TNQ118" s="198"/>
      <c r="TNR118" s="199"/>
      <c r="TNS118" s="198"/>
      <c r="TNT118" s="199"/>
      <c r="TNU118" s="198"/>
      <c r="TNV118" s="199"/>
      <c r="TNW118" s="198"/>
      <c r="TNX118" s="199"/>
      <c r="TNY118" s="198"/>
      <c r="TNZ118" s="199"/>
      <c r="TOA118" s="198"/>
      <c r="TOB118" s="199"/>
      <c r="TOC118" s="198"/>
      <c r="TOD118" s="199"/>
      <c r="TOE118" s="198"/>
      <c r="TOF118" s="199"/>
      <c r="TOG118" s="198"/>
      <c r="TOH118" s="199"/>
      <c r="TOI118" s="198"/>
      <c r="TOJ118" s="199"/>
      <c r="TOK118" s="198"/>
      <c r="TOL118" s="199"/>
      <c r="TOM118" s="198"/>
      <c r="TON118" s="199"/>
      <c r="TOO118" s="198"/>
      <c r="TOP118" s="199"/>
      <c r="TOQ118" s="198"/>
      <c r="TOR118" s="199"/>
      <c r="TOS118" s="198"/>
      <c r="TOT118" s="199"/>
      <c r="TOU118" s="198"/>
      <c r="TOV118" s="199"/>
      <c r="TOW118" s="198"/>
      <c r="TOX118" s="199"/>
      <c r="TOY118" s="198"/>
      <c r="TOZ118" s="199"/>
      <c r="TPA118" s="198"/>
      <c r="TPB118" s="199"/>
      <c r="TPC118" s="198"/>
      <c r="TPD118" s="199"/>
      <c r="TPE118" s="198"/>
      <c r="TPF118" s="199"/>
      <c r="TPG118" s="198"/>
      <c r="TPH118" s="199"/>
      <c r="TPI118" s="198"/>
      <c r="TPJ118" s="199"/>
      <c r="TPK118" s="198"/>
      <c r="TPL118" s="199"/>
      <c r="TPM118" s="198"/>
      <c r="TPN118" s="199"/>
      <c r="TPO118" s="198"/>
      <c r="TPP118" s="199"/>
      <c r="TPQ118" s="198"/>
      <c r="TPR118" s="199"/>
      <c r="TPS118" s="198"/>
      <c r="TPT118" s="199"/>
      <c r="TPU118" s="198"/>
      <c r="TPV118" s="199"/>
      <c r="TPW118" s="198"/>
      <c r="TPX118" s="199"/>
      <c r="TPY118" s="198"/>
      <c r="TPZ118" s="199"/>
      <c r="TQA118" s="198"/>
      <c r="TQB118" s="199"/>
      <c r="TQC118" s="198"/>
      <c r="TQD118" s="199"/>
      <c r="TQE118" s="198"/>
      <c r="TQF118" s="199"/>
      <c r="TQG118" s="198"/>
      <c r="TQH118" s="199"/>
      <c r="TQI118" s="198"/>
      <c r="TQJ118" s="199"/>
      <c r="TQK118" s="198"/>
      <c r="TQL118" s="199"/>
      <c r="TQM118" s="198"/>
      <c r="TQN118" s="199"/>
      <c r="TQO118" s="198"/>
      <c r="TQP118" s="199"/>
      <c r="TQQ118" s="198"/>
      <c r="TQR118" s="199"/>
      <c r="TQS118" s="198"/>
      <c r="TQT118" s="199"/>
      <c r="TQU118" s="198"/>
      <c r="TQV118" s="199"/>
      <c r="TQW118" s="198"/>
      <c r="TQX118" s="199"/>
      <c r="TQY118" s="198"/>
      <c r="TQZ118" s="199"/>
      <c r="TRA118" s="198"/>
      <c r="TRB118" s="199"/>
      <c r="TRC118" s="198"/>
      <c r="TRD118" s="199"/>
      <c r="TRE118" s="198"/>
      <c r="TRF118" s="199"/>
      <c r="TRG118" s="198"/>
      <c r="TRH118" s="199"/>
      <c r="TRI118" s="198"/>
      <c r="TRJ118" s="199"/>
      <c r="TRK118" s="198"/>
      <c r="TRL118" s="199"/>
      <c r="TRM118" s="198"/>
      <c r="TRN118" s="199"/>
      <c r="TRO118" s="198"/>
      <c r="TRP118" s="199"/>
      <c r="TRQ118" s="198"/>
      <c r="TRR118" s="199"/>
      <c r="TRS118" s="198"/>
      <c r="TRT118" s="199"/>
      <c r="TRU118" s="198"/>
      <c r="TRV118" s="199"/>
      <c r="TRW118" s="198"/>
      <c r="TRX118" s="199"/>
      <c r="TRY118" s="198"/>
      <c r="TRZ118" s="199"/>
      <c r="TSA118" s="198"/>
      <c r="TSB118" s="199"/>
      <c r="TSC118" s="198"/>
      <c r="TSD118" s="199"/>
      <c r="TSE118" s="198"/>
      <c r="TSF118" s="199"/>
      <c r="TSG118" s="198"/>
      <c r="TSH118" s="199"/>
      <c r="TSI118" s="198"/>
      <c r="TSJ118" s="199"/>
      <c r="TSK118" s="198"/>
      <c r="TSL118" s="199"/>
      <c r="TSM118" s="198"/>
      <c r="TSN118" s="199"/>
      <c r="TSO118" s="198"/>
      <c r="TSP118" s="199"/>
      <c r="TSQ118" s="198"/>
      <c r="TSR118" s="199"/>
      <c r="TSS118" s="198"/>
      <c r="TST118" s="199"/>
      <c r="TSU118" s="198"/>
      <c r="TSV118" s="199"/>
      <c r="TSW118" s="198"/>
      <c r="TSX118" s="199"/>
      <c r="TSY118" s="198"/>
      <c r="TSZ118" s="199"/>
      <c r="TTA118" s="198"/>
      <c r="TTB118" s="199"/>
      <c r="TTC118" s="198"/>
      <c r="TTD118" s="199"/>
      <c r="TTE118" s="198"/>
      <c r="TTF118" s="199"/>
      <c r="TTG118" s="198"/>
      <c r="TTH118" s="199"/>
      <c r="TTI118" s="198"/>
      <c r="TTJ118" s="199"/>
      <c r="TTK118" s="198"/>
      <c r="TTL118" s="199"/>
      <c r="TTM118" s="198"/>
      <c r="TTN118" s="199"/>
      <c r="TTO118" s="198"/>
      <c r="TTP118" s="199"/>
      <c r="TTQ118" s="198"/>
      <c r="TTR118" s="199"/>
      <c r="TTS118" s="198"/>
      <c r="TTT118" s="199"/>
      <c r="TTU118" s="198"/>
      <c r="TTV118" s="199"/>
      <c r="TTW118" s="198"/>
      <c r="TTX118" s="199"/>
      <c r="TTY118" s="198"/>
      <c r="TTZ118" s="199"/>
      <c r="TUA118" s="198"/>
      <c r="TUB118" s="199"/>
      <c r="TUC118" s="198"/>
      <c r="TUD118" s="199"/>
      <c r="TUE118" s="198"/>
      <c r="TUF118" s="199"/>
      <c r="TUG118" s="198"/>
      <c r="TUH118" s="199"/>
      <c r="TUI118" s="198"/>
      <c r="TUJ118" s="199"/>
      <c r="TUK118" s="198"/>
      <c r="TUL118" s="199"/>
      <c r="TUM118" s="198"/>
      <c r="TUN118" s="199"/>
      <c r="TUO118" s="198"/>
      <c r="TUP118" s="199"/>
      <c r="TUQ118" s="198"/>
      <c r="TUR118" s="199"/>
      <c r="TUS118" s="198"/>
      <c r="TUT118" s="199"/>
      <c r="TUU118" s="198"/>
      <c r="TUV118" s="199"/>
      <c r="TUW118" s="198"/>
      <c r="TUX118" s="199"/>
      <c r="TUY118" s="198"/>
      <c r="TUZ118" s="199"/>
      <c r="TVA118" s="198"/>
      <c r="TVB118" s="199"/>
      <c r="TVC118" s="198"/>
      <c r="TVD118" s="199"/>
      <c r="TVE118" s="198"/>
      <c r="TVF118" s="199"/>
      <c r="TVG118" s="198"/>
      <c r="TVH118" s="199"/>
      <c r="TVI118" s="198"/>
      <c r="TVJ118" s="199"/>
      <c r="TVK118" s="198"/>
      <c r="TVL118" s="199"/>
      <c r="TVM118" s="198"/>
      <c r="TVN118" s="199"/>
      <c r="TVO118" s="198"/>
      <c r="TVP118" s="199"/>
      <c r="TVQ118" s="198"/>
      <c r="TVR118" s="199"/>
      <c r="TVS118" s="198"/>
      <c r="TVT118" s="199"/>
      <c r="TVU118" s="198"/>
      <c r="TVV118" s="199"/>
      <c r="TVW118" s="198"/>
      <c r="TVX118" s="199"/>
      <c r="TVY118" s="198"/>
      <c r="TVZ118" s="199"/>
      <c r="TWA118" s="198"/>
      <c r="TWB118" s="199"/>
      <c r="TWC118" s="198"/>
      <c r="TWD118" s="199"/>
      <c r="TWE118" s="198"/>
      <c r="TWF118" s="199"/>
      <c r="TWG118" s="198"/>
      <c r="TWH118" s="199"/>
      <c r="TWI118" s="198"/>
      <c r="TWJ118" s="199"/>
      <c r="TWK118" s="198"/>
      <c r="TWL118" s="199"/>
      <c r="TWM118" s="198"/>
      <c r="TWN118" s="199"/>
      <c r="TWO118" s="198"/>
      <c r="TWP118" s="199"/>
      <c r="TWQ118" s="198"/>
      <c r="TWR118" s="199"/>
      <c r="TWS118" s="198"/>
      <c r="TWT118" s="199"/>
      <c r="TWU118" s="198"/>
      <c r="TWV118" s="199"/>
      <c r="TWW118" s="198"/>
      <c r="TWX118" s="199"/>
      <c r="TWY118" s="198"/>
      <c r="TWZ118" s="199"/>
      <c r="TXA118" s="198"/>
      <c r="TXB118" s="199"/>
      <c r="TXC118" s="198"/>
      <c r="TXD118" s="199"/>
      <c r="TXE118" s="198"/>
      <c r="TXF118" s="199"/>
      <c r="TXG118" s="198"/>
      <c r="TXH118" s="199"/>
      <c r="TXI118" s="198"/>
      <c r="TXJ118" s="199"/>
      <c r="TXK118" s="198"/>
      <c r="TXL118" s="199"/>
      <c r="TXM118" s="198"/>
      <c r="TXN118" s="199"/>
      <c r="TXO118" s="198"/>
      <c r="TXP118" s="199"/>
      <c r="TXQ118" s="198"/>
      <c r="TXR118" s="199"/>
      <c r="TXS118" s="198"/>
      <c r="TXT118" s="199"/>
      <c r="TXU118" s="198"/>
      <c r="TXV118" s="199"/>
      <c r="TXW118" s="198"/>
      <c r="TXX118" s="199"/>
      <c r="TXY118" s="198"/>
      <c r="TXZ118" s="199"/>
      <c r="TYA118" s="198"/>
      <c r="TYB118" s="199"/>
      <c r="TYC118" s="198"/>
      <c r="TYD118" s="199"/>
      <c r="TYE118" s="198"/>
      <c r="TYF118" s="199"/>
      <c r="TYG118" s="198"/>
      <c r="TYH118" s="199"/>
      <c r="TYI118" s="198"/>
      <c r="TYJ118" s="199"/>
      <c r="TYK118" s="198"/>
      <c r="TYL118" s="199"/>
      <c r="TYM118" s="198"/>
      <c r="TYN118" s="199"/>
      <c r="TYO118" s="198"/>
      <c r="TYP118" s="199"/>
      <c r="TYQ118" s="198"/>
      <c r="TYR118" s="199"/>
      <c r="TYS118" s="198"/>
      <c r="TYT118" s="199"/>
      <c r="TYU118" s="198"/>
      <c r="TYV118" s="199"/>
      <c r="TYW118" s="198"/>
      <c r="TYX118" s="199"/>
      <c r="TYY118" s="198"/>
      <c r="TYZ118" s="199"/>
      <c r="TZA118" s="198"/>
      <c r="TZB118" s="199"/>
      <c r="TZC118" s="198"/>
      <c r="TZD118" s="199"/>
      <c r="TZE118" s="198"/>
      <c r="TZF118" s="199"/>
      <c r="TZG118" s="198"/>
      <c r="TZH118" s="199"/>
      <c r="TZI118" s="198"/>
      <c r="TZJ118" s="199"/>
      <c r="TZK118" s="198"/>
      <c r="TZL118" s="199"/>
      <c r="TZM118" s="198"/>
      <c r="TZN118" s="199"/>
      <c r="TZO118" s="198"/>
      <c r="TZP118" s="199"/>
      <c r="TZQ118" s="198"/>
      <c r="TZR118" s="199"/>
      <c r="TZS118" s="198"/>
      <c r="TZT118" s="199"/>
      <c r="TZU118" s="198"/>
      <c r="TZV118" s="199"/>
      <c r="TZW118" s="198"/>
      <c r="TZX118" s="199"/>
      <c r="TZY118" s="198"/>
      <c r="TZZ118" s="199"/>
      <c r="UAA118" s="198"/>
      <c r="UAB118" s="199"/>
      <c r="UAC118" s="198"/>
      <c r="UAD118" s="199"/>
      <c r="UAE118" s="198"/>
      <c r="UAF118" s="199"/>
      <c r="UAG118" s="198"/>
      <c r="UAH118" s="199"/>
      <c r="UAI118" s="198"/>
      <c r="UAJ118" s="199"/>
      <c r="UAK118" s="198"/>
      <c r="UAL118" s="199"/>
      <c r="UAM118" s="198"/>
      <c r="UAN118" s="199"/>
      <c r="UAO118" s="198"/>
      <c r="UAP118" s="199"/>
      <c r="UAQ118" s="198"/>
      <c r="UAR118" s="199"/>
      <c r="UAS118" s="198"/>
      <c r="UAT118" s="199"/>
      <c r="UAU118" s="198"/>
      <c r="UAV118" s="199"/>
      <c r="UAW118" s="198"/>
      <c r="UAX118" s="199"/>
      <c r="UAY118" s="198"/>
      <c r="UAZ118" s="199"/>
      <c r="UBA118" s="198"/>
      <c r="UBB118" s="199"/>
      <c r="UBC118" s="198"/>
      <c r="UBD118" s="199"/>
      <c r="UBE118" s="198"/>
      <c r="UBF118" s="199"/>
      <c r="UBG118" s="198"/>
      <c r="UBH118" s="199"/>
      <c r="UBI118" s="198"/>
      <c r="UBJ118" s="199"/>
      <c r="UBK118" s="198"/>
      <c r="UBL118" s="199"/>
      <c r="UBM118" s="198"/>
      <c r="UBN118" s="199"/>
      <c r="UBO118" s="198"/>
      <c r="UBP118" s="199"/>
      <c r="UBQ118" s="198"/>
      <c r="UBR118" s="199"/>
      <c r="UBS118" s="198"/>
      <c r="UBT118" s="199"/>
      <c r="UBU118" s="198"/>
      <c r="UBV118" s="199"/>
      <c r="UBW118" s="198"/>
      <c r="UBX118" s="199"/>
      <c r="UBY118" s="198"/>
      <c r="UBZ118" s="199"/>
      <c r="UCA118" s="198"/>
      <c r="UCB118" s="199"/>
      <c r="UCC118" s="198"/>
      <c r="UCD118" s="199"/>
      <c r="UCE118" s="198"/>
      <c r="UCF118" s="199"/>
      <c r="UCG118" s="198"/>
      <c r="UCH118" s="199"/>
      <c r="UCI118" s="198"/>
      <c r="UCJ118" s="199"/>
      <c r="UCK118" s="198"/>
      <c r="UCL118" s="199"/>
      <c r="UCM118" s="198"/>
      <c r="UCN118" s="199"/>
      <c r="UCO118" s="198"/>
      <c r="UCP118" s="199"/>
      <c r="UCQ118" s="198"/>
      <c r="UCR118" s="199"/>
      <c r="UCS118" s="198"/>
      <c r="UCT118" s="199"/>
      <c r="UCU118" s="198"/>
      <c r="UCV118" s="199"/>
      <c r="UCW118" s="198"/>
      <c r="UCX118" s="199"/>
      <c r="UCY118" s="198"/>
      <c r="UCZ118" s="199"/>
      <c r="UDA118" s="198"/>
      <c r="UDB118" s="199"/>
      <c r="UDC118" s="198"/>
      <c r="UDD118" s="199"/>
      <c r="UDE118" s="198"/>
      <c r="UDF118" s="199"/>
      <c r="UDG118" s="198"/>
      <c r="UDH118" s="199"/>
      <c r="UDI118" s="198"/>
      <c r="UDJ118" s="199"/>
      <c r="UDK118" s="198"/>
      <c r="UDL118" s="199"/>
      <c r="UDM118" s="198"/>
      <c r="UDN118" s="199"/>
      <c r="UDO118" s="198"/>
      <c r="UDP118" s="199"/>
      <c r="UDQ118" s="198"/>
      <c r="UDR118" s="199"/>
      <c r="UDS118" s="198"/>
      <c r="UDT118" s="199"/>
      <c r="UDU118" s="198"/>
      <c r="UDV118" s="199"/>
      <c r="UDW118" s="198"/>
      <c r="UDX118" s="199"/>
      <c r="UDY118" s="198"/>
      <c r="UDZ118" s="199"/>
      <c r="UEA118" s="198"/>
      <c r="UEB118" s="199"/>
      <c r="UEC118" s="198"/>
      <c r="UED118" s="199"/>
      <c r="UEE118" s="198"/>
      <c r="UEF118" s="199"/>
      <c r="UEG118" s="198"/>
      <c r="UEH118" s="199"/>
      <c r="UEI118" s="198"/>
      <c r="UEJ118" s="199"/>
      <c r="UEK118" s="198"/>
      <c r="UEL118" s="199"/>
      <c r="UEM118" s="198"/>
      <c r="UEN118" s="199"/>
      <c r="UEO118" s="198"/>
      <c r="UEP118" s="199"/>
      <c r="UEQ118" s="198"/>
      <c r="UER118" s="199"/>
      <c r="UES118" s="198"/>
      <c r="UET118" s="199"/>
      <c r="UEU118" s="198"/>
      <c r="UEV118" s="199"/>
      <c r="UEW118" s="198"/>
      <c r="UEX118" s="199"/>
      <c r="UEY118" s="198"/>
      <c r="UEZ118" s="199"/>
      <c r="UFA118" s="198"/>
      <c r="UFB118" s="199"/>
      <c r="UFC118" s="198"/>
      <c r="UFD118" s="199"/>
      <c r="UFE118" s="198"/>
      <c r="UFF118" s="199"/>
      <c r="UFG118" s="198"/>
      <c r="UFH118" s="199"/>
      <c r="UFI118" s="198"/>
      <c r="UFJ118" s="199"/>
      <c r="UFK118" s="198"/>
      <c r="UFL118" s="199"/>
      <c r="UFM118" s="198"/>
      <c r="UFN118" s="199"/>
      <c r="UFO118" s="198"/>
      <c r="UFP118" s="199"/>
      <c r="UFQ118" s="198"/>
      <c r="UFR118" s="199"/>
      <c r="UFS118" s="198"/>
      <c r="UFT118" s="199"/>
      <c r="UFU118" s="198"/>
      <c r="UFV118" s="199"/>
      <c r="UFW118" s="198"/>
      <c r="UFX118" s="199"/>
      <c r="UFY118" s="198"/>
      <c r="UFZ118" s="199"/>
      <c r="UGA118" s="198"/>
      <c r="UGB118" s="199"/>
      <c r="UGC118" s="198"/>
      <c r="UGD118" s="199"/>
      <c r="UGE118" s="198"/>
      <c r="UGF118" s="199"/>
      <c r="UGG118" s="198"/>
      <c r="UGH118" s="199"/>
      <c r="UGI118" s="198"/>
      <c r="UGJ118" s="199"/>
      <c r="UGK118" s="198"/>
      <c r="UGL118" s="199"/>
      <c r="UGM118" s="198"/>
      <c r="UGN118" s="199"/>
      <c r="UGO118" s="198"/>
      <c r="UGP118" s="199"/>
      <c r="UGQ118" s="198"/>
      <c r="UGR118" s="199"/>
      <c r="UGS118" s="198"/>
      <c r="UGT118" s="199"/>
      <c r="UGU118" s="198"/>
      <c r="UGV118" s="199"/>
      <c r="UGW118" s="198"/>
      <c r="UGX118" s="199"/>
      <c r="UGY118" s="198"/>
      <c r="UGZ118" s="199"/>
      <c r="UHA118" s="198"/>
      <c r="UHB118" s="199"/>
      <c r="UHC118" s="198"/>
      <c r="UHD118" s="199"/>
      <c r="UHE118" s="198"/>
      <c r="UHF118" s="199"/>
      <c r="UHG118" s="198"/>
      <c r="UHH118" s="199"/>
      <c r="UHI118" s="198"/>
      <c r="UHJ118" s="199"/>
      <c r="UHK118" s="198"/>
      <c r="UHL118" s="199"/>
      <c r="UHM118" s="198"/>
      <c r="UHN118" s="199"/>
      <c r="UHO118" s="198"/>
      <c r="UHP118" s="199"/>
      <c r="UHQ118" s="198"/>
      <c r="UHR118" s="199"/>
      <c r="UHS118" s="198"/>
      <c r="UHT118" s="199"/>
      <c r="UHU118" s="198"/>
      <c r="UHV118" s="199"/>
      <c r="UHW118" s="198"/>
      <c r="UHX118" s="199"/>
      <c r="UHY118" s="198"/>
      <c r="UHZ118" s="199"/>
      <c r="UIA118" s="198"/>
      <c r="UIB118" s="199"/>
      <c r="UIC118" s="198"/>
      <c r="UID118" s="199"/>
      <c r="UIE118" s="198"/>
      <c r="UIF118" s="199"/>
      <c r="UIG118" s="198"/>
      <c r="UIH118" s="199"/>
      <c r="UII118" s="198"/>
      <c r="UIJ118" s="199"/>
      <c r="UIK118" s="198"/>
      <c r="UIL118" s="199"/>
      <c r="UIM118" s="198"/>
      <c r="UIN118" s="199"/>
      <c r="UIO118" s="198"/>
      <c r="UIP118" s="199"/>
      <c r="UIQ118" s="198"/>
      <c r="UIR118" s="199"/>
      <c r="UIS118" s="198"/>
      <c r="UIT118" s="199"/>
      <c r="UIU118" s="198"/>
      <c r="UIV118" s="199"/>
      <c r="UIW118" s="198"/>
      <c r="UIX118" s="199"/>
      <c r="UIY118" s="198"/>
      <c r="UIZ118" s="199"/>
      <c r="UJA118" s="198"/>
      <c r="UJB118" s="199"/>
      <c r="UJC118" s="198"/>
      <c r="UJD118" s="199"/>
      <c r="UJE118" s="198"/>
      <c r="UJF118" s="199"/>
      <c r="UJG118" s="198"/>
      <c r="UJH118" s="199"/>
      <c r="UJI118" s="198"/>
      <c r="UJJ118" s="199"/>
      <c r="UJK118" s="198"/>
      <c r="UJL118" s="199"/>
      <c r="UJM118" s="198"/>
      <c r="UJN118" s="199"/>
      <c r="UJO118" s="198"/>
      <c r="UJP118" s="199"/>
      <c r="UJQ118" s="198"/>
      <c r="UJR118" s="199"/>
      <c r="UJS118" s="198"/>
      <c r="UJT118" s="199"/>
      <c r="UJU118" s="198"/>
      <c r="UJV118" s="199"/>
      <c r="UJW118" s="198"/>
      <c r="UJX118" s="199"/>
      <c r="UJY118" s="198"/>
      <c r="UJZ118" s="199"/>
      <c r="UKA118" s="198"/>
      <c r="UKB118" s="199"/>
      <c r="UKC118" s="198"/>
      <c r="UKD118" s="199"/>
      <c r="UKE118" s="198"/>
      <c r="UKF118" s="199"/>
      <c r="UKG118" s="198"/>
      <c r="UKH118" s="199"/>
      <c r="UKI118" s="198"/>
      <c r="UKJ118" s="199"/>
      <c r="UKK118" s="198"/>
      <c r="UKL118" s="199"/>
      <c r="UKM118" s="198"/>
      <c r="UKN118" s="199"/>
      <c r="UKO118" s="198"/>
      <c r="UKP118" s="199"/>
      <c r="UKQ118" s="198"/>
      <c r="UKR118" s="199"/>
      <c r="UKS118" s="198"/>
      <c r="UKT118" s="199"/>
      <c r="UKU118" s="198"/>
      <c r="UKV118" s="199"/>
      <c r="UKW118" s="198"/>
      <c r="UKX118" s="199"/>
      <c r="UKY118" s="198"/>
      <c r="UKZ118" s="199"/>
      <c r="ULA118" s="198"/>
      <c r="ULB118" s="199"/>
      <c r="ULC118" s="198"/>
      <c r="ULD118" s="199"/>
      <c r="ULE118" s="198"/>
      <c r="ULF118" s="199"/>
      <c r="ULG118" s="198"/>
      <c r="ULH118" s="199"/>
      <c r="ULI118" s="198"/>
      <c r="ULJ118" s="199"/>
      <c r="ULK118" s="198"/>
      <c r="ULL118" s="199"/>
      <c r="ULM118" s="198"/>
      <c r="ULN118" s="199"/>
      <c r="ULO118" s="198"/>
      <c r="ULP118" s="199"/>
      <c r="ULQ118" s="198"/>
      <c r="ULR118" s="199"/>
      <c r="ULS118" s="198"/>
      <c r="ULT118" s="199"/>
      <c r="ULU118" s="198"/>
      <c r="ULV118" s="199"/>
      <c r="ULW118" s="198"/>
      <c r="ULX118" s="199"/>
      <c r="ULY118" s="198"/>
      <c r="ULZ118" s="199"/>
      <c r="UMA118" s="198"/>
      <c r="UMB118" s="199"/>
      <c r="UMC118" s="198"/>
      <c r="UMD118" s="199"/>
      <c r="UME118" s="198"/>
      <c r="UMF118" s="199"/>
      <c r="UMG118" s="198"/>
      <c r="UMH118" s="199"/>
      <c r="UMI118" s="198"/>
      <c r="UMJ118" s="199"/>
      <c r="UMK118" s="198"/>
      <c r="UML118" s="199"/>
      <c r="UMM118" s="198"/>
      <c r="UMN118" s="199"/>
      <c r="UMO118" s="198"/>
      <c r="UMP118" s="199"/>
      <c r="UMQ118" s="198"/>
      <c r="UMR118" s="199"/>
      <c r="UMS118" s="198"/>
      <c r="UMT118" s="199"/>
      <c r="UMU118" s="198"/>
      <c r="UMV118" s="199"/>
      <c r="UMW118" s="198"/>
      <c r="UMX118" s="199"/>
      <c r="UMY118" s="198"/>
      <c r="UMZ118" s="199"/>
      <c r="UNA118" s="198"/>
      <c r="UNB118" s="199"/>
      <c r="UNC118" s="198"/>
      <c r="UND118" s="199"/>
      <c r="UNE118" s="198"/>
      <c r="UNF118" s="199"/>
      <c r="UNG118" s="198"/>
      <c r="UNH118" s="199"/>
      <c r="UNI118" s="198"/>
      <c r="UNJ118" s="199"/>
      <c r="UNK118" s="198"/>
      <c r="UNL118" s="199"/>
      <c r="UNM118" s="198"/>
      <c r="UNN118" s="199"/>
      <c r="UNO118" s="198"/>
      <c r="UNP118" s="199"/>
      <c r="UNQ118" s="198"/>
      <c r="UNR118" s="199"/>
      <c r="UNS118" s="198"/>
      <c r="UNT118" s="199"/>
      <c r="UNU118" s="198"/>
      <c r="UNV118" s="199"/>
      <c r="UNW118" s="198"/>
      <c r="UNX118" s="199"/>
      <c r="UNY118" s="198"/>
      <c r="UNZ118" s="199"/>
      <c r="UOA118" s="198"/>
      <c r="UOB118" s="199"/>
      <c r="UOC118" s="198"/>
      <c r="UOD118" s="199"/>
      <c r="UOE118" s="198"/>
      <c r="UOF118" s="199"/>
      <c r="UOG118" s="198"/>
      <c r="UOH118" s="199"/>
      <c r="UOI118" s="198"/>
      <c r="UOJ118" s="199"/>
      <c r="UOK118" s="198"/>
      <c r="UOL118" s="199"/>
      <c r="UOM118" s="198"/>
      <c r="UON118" s="199"/>
      <c r="UOO118" s="198"/>
      <c r="UOP118" s="199"/>
      <c r="UOQ118" s="198"/>
      <c r="UOR118" s="199"/>
      <c r="UOS118" s="198"/>
      <c r="UOT118" s="199"/>
      <c r="UOU118" s="198"/>
      <c r="UOV118" s="199"/>
      <c r="UOW118" s="198"/>
      <c r="UOX118" s="199"/>
      <c r="UOY118" s="198"/>
      <c r="UOZ118" s="199"/>
      <c r="UPA118" s="198"/>
      <c r="UPB118" s="199"/>
      <c r="UPC118" s="198"/>
      <c r="UPD118" s="199"/>
      <c r="UPE118" s="198"/>
      <c r="UPF118" s="199"/>
      <c r="UPG118" s="198"/>
      <c r="UPH118" s="199"/>
      <c r="UPI118" s="198"/>
      <c r="UPJ118" s="199"/>
      <c r="UPK118" s="198"/>
      <c r="UPL118" s="199"/>
      <c r="UPM118" s="198"/>
      <c r="UPN118" s="199"/>
      <c r="UPO118" s="198"/>
      <c r="UPP118" s="199"/>
      <c r="UPQ118" s="198"/>
      <c r="UPR118" s="199"/>
      <c r="UPS118" s="198"/>
      <c r="UPT118" s="199"/>
      <c r="UPU118" s="198"/>
      <c r="UPV118" s="199"/>
      <c r="UPW118" s="198"/>
      <c r="UPX118" s="199"/>
      <c r="UPY118" s="198"/>
      <c r="UPZ118" s="199"/>
      <c r="UQA118" s="198"/>
      <c r="UQB118" s="199"/>
      <c r="UQC118" s="198"/>
      <c r="UQD118" s="199"/>
      <c r="UQE118" s="198"/>
      <c r="UQF118" s="199"/>
      <c r="UQG118" s="198"/>
      <c r="UQH118" s="199"/>
      <c r="UQI118" s="198"/>
      <c r="UQJ118" s="199"/>
      <c r="UQK118" s="198"/>
      <c r="UQL118" s="199"/>
      <c r="UQM118" s="198"/>
      <c r="UQN118" s="199"/>
      <c r="UQO118" s="198"/>
      <c r="UQP118" s="199"/>
      <c r="UQQ118" s="198"/>
      <c r="UQR118" s="199"/>
      <c r="UQS118" s="198"/>
      <c r="UQT118" s="199"/>
      <c r="UQU118" s="198"/>
      <c r="UQV118" s="199"/>
      <c r="UQW118" s="198"/>
      <c r="UQX118" s="199"/>
      <c r="UQY118" s="198"/>
      <c r="UQZ118" s="199"/>
      <c r="URA118" s="198"/>
      <c r="URB118" s="199"/>
      <c r="URC118" s="198"/>
      <c r="URD118" s="199"/>
      <c r="URE118" s="198"/>
      <c r="URF118" s="199"/>
      <c r="URG118" s="198"/>
      <c r="URH118" s="199"/>
      <c r="URI118" s="198"/>
      <c r="URJ118" s="199"/>
      <c r="URK118" s="198"/>
      <c r="URL118" s="199"/>
      <c r="URM118" s="198"/>
      <c r="URN118" s="199"/>
      <c r="URO118" s="198"/>
      <c r="URP118" s="199"/>
      <c r="URQ118" s="198"/>
      <c r="URR118" s="199"/>
      <c r="URS118" s="198"/>
      <c r="URT118" s="199"/>
      <c r="URU118" s="198"/>
      <c r="URV118" s="199"/>
      <c r="URW118" s="198"/>
      <c r="URX118" s="199"/>
      <c r="URY118" s="198"/>
      <c r="URZ118" s="199"/>
      <c r="USA118" s="198"/>
      <c r="USB118" s="199"/>
      <c r="USC118" s="198"/>
      <c r="USD118" s="199"/>
      <c r="USE118" s="198"/>
      <c r="USF118" s="199"/>
      <c r="USG118" s="198"/>
      <c r="USH118" s="199"/>
      <c r="USI118" s="198"/>
      <c r="USJ118" s="199"/>
      <c r="USK118" s="198"/>
      <c r="USL118" s="199"/>
      <c r="USM118" s="198"/>
      <c r="USN118" s="199"/>
      <c r="USO118" s="198"/>
      <c r="USP118" s="199"/>
      <c r="USQ118" s="198"/>
      <c r="USR118" s="199"/>
      <c r="USS118" s="198"/>
      <c r="UST118" s="199"/>
      <c r="USU118" s="198"/>
      <c r="USV118" s="199"/>
      <c r="USW118" s="198"/>
      <c r="USX118" s="199"/>
      <c r="USY118" s="198"/>
      <c r="USZ118" s="199"/>
      <c r="UTA118" s="198"/>
      <c r="UTB118" s="199"/>
      <c r="UTC118" s="198"/>
      <c r="UTD118" s="199"/>
      <c r="UTE118" s="198"/>
      <c r="UTF118" s="199"/>
      <c r="UTG118" s="198"/>
      <c r="UTH118" s="199"/>
      <c r="UTI118" s="198"/>
      <c r="UTJ118" s="199"/>
      <c r="UTK118" s="198"/>
      <c r="UTL118" s="199"/>
      <c r="UTM118" s="198"/>
      <c r="UTN118" s="199"/>
      <c r="UTO118" s="198"/>
      <c r="UTP118" s="199"/>
      <c r="UTQ118" s="198"/>
      <c r="UTR118" s="199"/>
      <c r="UTS118" s="198"/>
      <c r="UTT118" s="199"/>
      <c r="UTU118" s="198"/>
      <c r="UTV118" s="199"/>
      <c r="UTW118" s="198"/>
      <c r="UTX118" s="199"/>
      <c r="UTY118" s="198"/>
      <c r="UTZ118" s="199"/>
      <c r="UUA118" s="198"/>
      <c r="UUB118" s="199"/>
      <c r="UUC118" s="198"/>
      <c r="UUD118" s="199"/>
      <c r="UUE118" s="198"/>
      <c r="UUF118" s="199"/>
      <c r="UUG118" s="198"/>
      <c r="UUH118" s="199"/>
      <c r="UUI118" s="198"/>
      <c r="UUJ118" s="199"/>
      <c r="UUK118" s="198"/>
      <c r="UUL118" s="199"/>
      <c r="UUM118" s="198"/>
      <c r="UUN118" s="199"/>
      <c r="UUO118" s="198"/>
      <c r="UUP118" s="199"/>
      <c r="UUQ118" s="198"/>
      <c r="UUR118" s="199"/>
      <c r="UUS118" s="198"/>
      <c r="UUT118" s="199"/>
      <c r="UUU118" s="198"/>
      <c r="UUV118" s="199"/>
      <c r="UUW118" s="198"/>
      <c r="UUX118" s="199"/>
      <c r="UUY118" s="198"/>
      <c r="UUZ118" s="199"/>
      <c r="UVA118" s="198"/>
      <c r="UVB118" s="199"/>
      <c r="UVC118" s="198"/>
      <c r="UVD118" s="199"/>
      <c r="UVE118" s="198"/>
      <c r="UVF118" s="199"/>
      <c r="UVG118" s="198"/>
      <c r="UVH118" s="199"/>
      <c r="UVI118" s="198"/>
      <c r="UVJ118" s="199"/>
      <c r="UVK118" s="198"/>
      <c r="UVL118" s="199"/>
      <c r="UVM118" s="198"/>
      <c r="UVN118" s="199"/>
      <c r="UVO118" s="198"/>
      <c r="UVP118" s="199"/>
      <c r="UVQ118" s="198"/>
      <c r="UVR118" s="199"/>
      <c r="UVS118" s="198"/>
      <c r="UVT118" s="199"/>
      <c r="UVU118" s="198"/>
      <c r="UVV118" s="199"/>
      <c r="UVW118" s="198"/>
      <c r="UVX118" s="199"/>
      <c r="UVY118" s="198"/>
      <c r="UVZ118" s="199"/>
      <c r="UWA118" s="198"/>
      <c r="UWB118" s="199"/>
      <c r="UWC118" s="198"/>
      <c r="UWD118" s="199"/>
      <c r="UWE118" s="198"/>
      <c r="UWF118" s="199"/>
      <c r="UWG118" s="198"/>
      <c r="UWH118" s="199"/>
      <c r="UWI118" s="198"/>
      <c r="UWJ118" s="199"/>
      <c r="UWK118" s="198"/>
      <c r="UWL118" s="199"/>
      <c r="UWM118" s="198"/>
      <c r="UWN118" s="199"/>
      <c r="UWO118" s="198"/>
      <c r="UWP118" s="199"/>
      <c r="UWQ118" s="198"/>
      <c r="UWR118" s="199"/>
      <c r="UWS118" s="198"/>
      <c r="UWT118" s="199"/>
      <c r="UWU118" s="198"/>
      <c r="UWV118" s="199"/>
      <c r="UWW118" s="198"/>
      <c r="UWX118" s="199"/>
      <c r="UWY118" s="198"/>
      <c r="UWZ118" s="199"/>
      <c r="UXA118" s="198"/>
      <c r="UXB118" s="199"/>
      <c r="UXC118" s="198"/>
      <c r="UXD118" s="199"/>
      <c r="UXE118" s="198"/>
      <c r="UXF118" s="199"/>
      <c r="UXG118" s="198"/>
      <c r="UXH118" s="199"/>
      <c r="UXI118" s="198"/>
      <c r="UXJ118" s="199"/>
      <c r="UXK118" s="198"/>
      <c r="UXL118" s="199"/>
      <c r="UXM118" s="198"/>
      <c r="UXN118" s="199"/>
      <c r="UXO118" s="198"/>
      <c r="UXP118" s="199"/>
      <c r="UXQ118" s="198"/>
      <c r="UXR118" s="199"/>
      <c r="UXS118" s="198"/>
      <c r="UXT118" s="199"/>
      <c r="UXU118" s="198"/>
      <c r="UXV118" s="199"/>
      <c r="UXW118" s="198"/>
      <c r="UXX118" s="199"/>
      <c r="UXY118" s="198"/>
      <c r="UXZ118" s="199"/>
      <c r="UYA118" s="198"/>
      <c r="UYB118" s="199"/>
      <c r="UYC118" s="198"/>
      <c r="UYD118" s="199"/>
      <c r="UYE118" s="198"/>
      <c r="UYF118" s="199"/>
      <c r="UYG118" s="198"/>
      <c r="UYH118" s="199"/>
      <c r="UYI118" s="198"/>
      <c r="UYJ118" s="199"/>
      <c r="UYK118" s="198"/>
      <c r="UYL118" s="199"/>
      <c r="UYM118" s="198"/>
      <c r="UYN118" s="199"/>
      <c r="UYO118" s="198"/>
      <c r="UYP118" s="199"/>
      <c r="UYQ118" s="198"/>
      <c r="UYR118" s="199"/>
      <c r="UYS118" s="198"/>
      <c r="UYT118" s="199"/>
      <c r="UYU118" s="198"/>
      <c r="UYV118" s="199"/>
      <c r="UYW118" s="198"/>
      <c r="UYX118" s="199"/>
      <c r="UYY118" s="198"/>
      <c r="UYZ118" s="199"/>
      <c r="UZA118" s="198"/>
      <c r="UZB118" s="199"/>
      <c r="UZC118" s="198"/>
      <c r="UZD118" s="199"/>
      <c r="UZE118" s="198"/>
      <c r="UZF118" s="199"/>
      <c r="UZG118" s="198"/>
      <c r="UZH118" s="199"/>
      <c r="UZI118" s="198"/>
      <c r="UZJ118" s="199"/>
      <c r="UZK118" s="198"/>
      <c r="UZL118" s="199"/>
      <c r="UZM118" s="198"/>
      <c r="UZN118" s="199"/>
      <c r="UZO118" s="198"/>
      <c r="UZP118" s="199"/>
      <c r="UZQ118" s="198"/>
      <c r="UZR118" s="199"/>
      <c r="UZS118" s="198"/>
      <c r="UZT118" s="199"/>
      <c r="UZU118" s="198"/>
      <c r="UZV118" s="199"/>
      <c r="UZW118" s="198"/>
      <c r="UZX118" s="199"/>
      <c r="UZY118" s="198"/>
      <c r="UZZ118" s="199"/>
      <c r="VAA118" s="198"/>
      <c r="VAB118" s="199"/>
      <c r="VAC118" s="198"/>
      <c r="VAD118" s="199"/>
      <c r="VAE118" s="198"/>
      <c r="VAF118" s="199"/>
      <c r="VAG118" s="198"/>
      <c r="VAH118" s="199"/>
      <c r="VAI118" s="198"/>
      <c r="VAJ118" s="199"/>
      <c r="VAK118" s="198"/>
      <c r="VAL118" s="199"/>
      <c r="VAM118" s="198"/>
      <c r="VAN118" s="199"/>
      <c r="VAO118" s="198"/>
      <c r="VAP118" s="199"/>
      <c r="VAQ118" s="198"/>
      <c r="VAR118" s="199"/>
      <c r="VAS118" s="198"/>
      <c r="VAT118" s="199"/>
      <c r="VAU118" s="198"/>
      <c r="VAV118" s="199"/>
      <c r="VAW118" s="198"/>
      <c r="VAX118" s="199"/>
      <c r="VAY118" s="198"/>
      <c r="VAZ118" s="199"/>
      <c r="VBA118" s="198"/>
      <c r="VBB118" s="199"/>
      <c r="VBC118" s="198"/>
      <c r="VBD118" s="199"/>
      <c r="VBE118" s="198"/>
      <c r="VBF118" s="199"/>
      <c r="VBG118" s="198"/>
      <c r="VBH118" s="199"/>
      <c r="VBI118" s="198"/>
      <c r="VBJ118" s="199"/>
      <c r="VBK118" s="198"/>
      <c r="VBL118" s="199"/>
      <c r="VBM118" s="198"/>
      <c r="VBN118" s="199"/>
      <c r="VBO118" s="198"/>
      <c r="VBP118" s="199"/>
      <c r="VBQ118" s="198"/>
      <c r="VBR118" s="199"/>
      <c r="VBS118" s="198"/>
      <c r="VBT118" s="199"/>
      <c r="VBU118" s="198"/>
      <c r="VBV118" s="199"/>
      <c r="VBW118" s="198"/>
      <c r="VBX118" s="199"/>
      <c r="VBY118" s="198"/>
      <c r="VBZ118" s="199"/>
      <c r="VCA118" s="198"/>
      <c r="VCB118" s="199"/>
      <c r="VCC118" s="198"/>
      <c r="VCD118" s="199"/>
      <c r="VCE118" s="198"/>
      <c r="VCF118" s="199"/>
      <c r="VCG118" s="198"/>
      <c r="VCH118" s="199"/>
      <c r="VCI118" s="198"/>
      <c r="VCJ118" s="199"/>
      <c r="VCK118" s="198"/>
      <c r="VCL118" s="199"/>
      <c r="VCM118" s="198"/>
      <c r="VCN118" s="199"/>
      <c r="VCO118" s="198"/>
      <c r="VCP118" s="199"/>
      <c r="VCQ118" s="198"/>
      <c r="VCR118" s="199"/>
      <c r="VCS118" s="198"/>
      <c r="VCT118" s="199"/>
      <c r="VCU118" s="198"/>
      <c r="VCV118" s="199"/>
      <c r="VCW118" s="198"/>
      <c r="VCX118" s="199"/>
      <c r="VCY118" s="198"/>
      <c r="VCZ118" s="199"/>
      <c r="VDA118" s="198"/>
      <c r="VDB118" s="199"/>
      <c r="VDC118" s="198"/>
      <c r="VDD118" s="199"/>
      <c r="VDE118" s="198"/>
      <c r="VDF118" s="199"/>
      <c r="VDG118" s="198"/>
      <c r="VDH118" s="199"/>
      <c r="VDI118" s="198"/>
      <c r="VDJ118" s="199"/>
      <c r="VDK118" s="198"/>
      <c r="VDL118" s="199"/>
      <c r="VDM118" s="198"/>
      <c r="VDN118" s="199"/>
      <c r="VDO118" s="198"/>
      <c r="VDP118" s="199"/>
      <c r="VDQ118" s="198"/>
      <c r="VDR118" s="199"/>
      <c r="VDS118" s="198"/>
      <c r="VDT118" s="199"/>
      <c r="VDU118" s="198"/>
      <c r="VDV118" s="199"/>
      <c r="VDW118" s="198"/>
      <c r="VDX118" s="199"/>
      <c r="VDY118" s="198"/>
      <c r="VDZ118" s="199"/>
      <c r="VEA118" s="198"/>
      <c r="VEB118" s="199"/>
      <c r="VEC118" s="198"/>
      <c r="VED118" s="199"/>
      <c r="VEE118" s="198"/>
      <c r="VEF118" s="199"/>
      <c r="VEG118" s="198"/>
      <c r="VEH118" s="199"/>
      <c r="VEI118" s="198"/>
      <c r="VEJ118" s="199"/>
      <c r="VEK118" s="198"/>
      <c r="VEL118" s="199"/>
      <c r="VEM118" s="198"/>
      <c r="VEN118" s="199"/>
      <c r="VEO118" s="198"/>
      <c r="VEP118" s="199"/>
      <c r="VEQ118" s="198"/>
      <c r="VER118" s="199"/>
      <c r="VES118" s="198"/>
      <c r="VET118" s="199"/>
      <c r="VEU118" s="198"/>
      <c r="VEV118" s="199"/>
      <c r="VEW118" s="198"/>
      <c r="VEX118" s="199"/>
      <c r="VEY118" s="198"/>
      <c r="VEZ118" s="199"/>
      <c r="VFA118" s="198"/>
      <c r="VFB118" s="199"/>
      <c r="VFC118" s="198"/>
      <c r="VFD118" s="199"/>
      <c r="VFE118" s="198"/>
      <c r="VFF118" s="199"/>
      <c r="VFG118" s="198"/>
      <c r="VFH118" s="199"/>
      <c r="VFI118" s="198"/>
      <c r="VFJ118" s="199"/>
      <c r="VFK118" s="198"/>
      <c r="VFL118" s="199"/>
      <c r="VFM118" s="198"/>
      <c r="VFN118" s="199"/>
      <c r="VFO118" s="198"/>
      <c r="VFP118" s="199"/>
      <c r="VFQ118" s="198"/>
      <c r="VFR118" s="199"/>
      <c r="VFS118" s="198"/>
      <c r="VFT118" s="199"/>
      <c r="VFU118" s="198"/>
      <c r="VFV118" s="199"/>
      <c r="VFW118" s="198"/>
      <c r="VFX118" s="199"/>
      <c r="VFY118" s="198"/>
      <c r="VFZ118" s="199"/>
      <c r="VGA118" s="198"/>
      <c r="VGB118" s="199"/>
      <c r="VGC118" s="198"/>
      <c r="VGD118" s="199"/>
      <c r="VGE118" s="198"/>
      <c r="VGF118" s="199"/>
      <c r="VGG118" s="198"/>
      <c r="VGH118" s="199"/>
      <c r="VGI118" s="198"/>
      <c r="VGJ118" s="199"/>
      <c r="VGK118" s="198"/>
      <c r="VGL118" s="199"/>
      <c r="VGM118" s="198"/>
      <c r="VGN118" s="199"/>
      <c r="VGO118" s="198"/>
      <c r="VGP118" s="199"/>
      <c r="VGQ118" s="198"/>
      <c r="VGR118" s="199"/>
      <c r="VGS118" s="198"/>
      <c r="VGT118" s="199"/>
      <c r="VGU118" s="198"/>
      <c r="VGV118" s="199"/>
      <c r="VGW118" s="198"/>
      <c r="VGX118" s="199"/>
      <c r="VGY118" s="198"/>
      <c r="VGZ118" s="199"/>
      <c r="VHA118" s="198"/>
      <c r="VHB118" s="199"/>
      <c r="VHC118" s="198"/>
      <c r="VHD118" s="199"/>
      <c r="VHE118" s="198"/>
      <c r="VHF118" s="199"/>
      <c r="VHG118" s="198"/>
      <c r="VHH118" s="199"/>
      <c r="VHI118" s="198"/>
      <c r="VHJ118" s="199"/>
      <c r="VHK118" s="198"/>
      <c r="VHL118" s="199"/>
      <c r="VHM118" s="198"/>
      <c r="VHN118" s="199"/>
      <c r="VHO118" s="198"/>
      <c r="VHP118" s="199"/>
      <c r="VHQ118" s="198"/>
      <c r="VHR118" s="199"/>
      <c r="VHS118" s="198"/>
      <c r="VHT118" s="199"/>
      <c r="VHU118" s="198"/>
      <c r="VHV118" s="199"/>
      <c r="VHW118" s="198"/>
      <c r="VHX118" s="199"/>
      <c r="VHY118" s="198"/>
      <c r="VHZ118" s="199"/>
      <c r="VIA118" s="198"/>
      <c r="VIB118" s="199"/>
      <c r="VIC118" s="198"/>
      <c r="VID118" s="199"/>
      <c r="VIE118" s="198"/>
      <c r="VIF118" s="199"/>
      <c r="VIG118" s="198"/>
      <c r="VIH118" s="199"/>
      <c r="VII118" s="198"/>
      <c r="VIJ118" s="199"/>
      <c r="VIK118" s="198"/>
      <c r="VIL118" s="199"/>
      <c r="VIM118" s="198"/>
      <c r="VIN118" s="199"/>
      <c r="VIO118" s="198"/>
      <c r="VIP118" s="199"/>
      <c r="VIQ118" s="198"/>
      <c r="VIR118" s="199"/>
      <c r="VIS118" s="198"/>
      <c r="VIT118" s="199"/>
      <c r="VIU118" s="198"/>
      <c r="VIV118" s="199"/>
      <c r="VIW118" s="198"/>
      <c r="VIX118" s="199"/>
      <c r="VIY118" s="198"/>
      <c r="VIZ118" s="199"/>
      <c r="VJA118" s="198"/>
      <c r="VJB118" s="199"/>
      <c r="VJC118" s="198"/>
      <c r="VJD118" s="199"/>
      <c r="VJE118" s="198"/>
      <c r="VJF118" s="199"/>
      <c r="VJG118" s="198"/>
      <c r="VJH118" s="199"/>
      <c r="VJI118" s="198"/>
      <c r="VJJ118" s="199"/>
      <c r="VJK118" s="198"/>
      <c r="VJL118" s="199"/>
      <c r="VJM118" s="198"/>
      <c r="VJN118" s="199"/>
      <c r="VJO118" s="198"/>
      <c r="VJP118" s="199"/>
      <c r="VJQ118" s="198"/>
      <c r="VJR118" s="199"/>
      <c r="VJS118" s="198"/>
      <c r="VJT118" s="199"/>
      <c r="VJU118" s="198"/>
      <c r="VJV118" s="199"/>
      <c r="VJW118" s="198"/>
      <c r="VJX118" s="199"/>
      <c r="VJY118" s="198"/>
      <c r="VJZ118" s="199"/>
      <c r="VKA118" s="198"/>
      <c r="VKB118" s="199"/>
      <c r="VKC118" s="198"/>
      <c r="VKD118" s="199"/>
      <c r="VKE118" s="198"/>
      <c r="VKF118" s="199"/>
      <c r="VKG118" s="198"/>
      <c r="VKH118" s="199"/>
      <c r="VKI118" s="198"/>
      <c r="VKJ118" s="199"/>
      <c r="VKK118" s="198"/>
      <c r="VKL118" s="199"/>
      <c r="VKM118" s="198"/>
      <c r="VKN118" s="199"/>
      <c r="VKO118" s="198"/>
      <c r="VKP118" s="199"/>
      <c r="VKQ118" s="198"/>
      <c r="VKR118" s="199"/>
      <c r="VKS118" s="198"/>
      <c r="VKT118" s="199"/>
      <c r="VKU118" s="198"/>
      <c r="VKV118" s="199"/>
      <c r="VKW118" s="198"/>
      <c r="VKX118" s="199"/>
      <c r="VKY118" s="198"/>
      <c r="VKZ118" s="199"/>
      <c r="VLA118" s="198"/>
      <c r="VLB118" s="199"/>
      <c r="VLC118" s="198"/>
      <c r="VLD118" s="199"/>
      <c r="VLE118" s="198"/>
      <c r="VLF118" s="199"/>
      <c r="VLG118" s="198"/>
      <c r="VLH118" s="199"/>
      <c r="VLI118" s="198"/>
      <c r="VLJ118" s="199"/>
      <c r="VLK118" s="198"/>
      <c r="VLL118" s="199"/>
      <c r="VLM118" s="198"/>
      <c r="VLN118" s="199"/>
      <c r="VLO118" s="198"/>
      <c r="VLP118" s="199"/>
      <c r="VLQ118" s="198"/>
      <c r="VLR118" s="199"/>
      <c r="VLS118" s="198"/>
      <c r="VLT118" s="199"/>
      <c r="VLU118" s="198"/>
      <c r="VLV118" s="199"/>
      <c r="VLW118" s="198"/>
      <c r="VLX118" s="199"/>
      <c r="VLY118" s="198"/>
      <c r="VLZ118" s="199"/>
      <c r="VMA118" s="198"/>
      <c r="VMB118" s="199"/>
      <c r="VMC118" s="198"/>
      <c r="VMD118" s="199"/>
      <c r="VME118" s="198"/>
      <c r="VMF118" s="199"/>
      <c r="VMG118" s="198"/>
      <c r="VMH118" s="199"/>
      <c r="VMI118" s="198"/>
      <c r="VMJ118" s="199"/>
      <c r="VMK118" s="198"/>
      <c r="VML118" s="199"/>
      <c r="VMM118" s="198"/>
      <c r="VMN118" s="199"/>
      <c r="VMO118" s="198"/>
      <c r="VMP118" s="199"/>
      <c r="VMQ118" s="198"/>
      <c r="VMR118" s="199"/>
      <c r="VMS118" s="198"/>
      <c r="VMT118" s="199"/>
      <c r="VMU118" s="198"/>
      <c r="VMV118" s="199"/>
      <c r="VMW118" s="198"/>
      <c r="VMX118" s="199"/>
      <c r="VMY118" s="198"/>
      <c r="VMZ118" s="199"/>
      <c r="VNA118" s="198"/>
      <c r="VNB118" s="199"/>
      <c r="VNC118" s="198"/>
      <c r="VND118" s="199"/>
      <c r="VNE118" s="198"/>
      <c r="VNF118" s="199"/>
      <c r="VNG118" s="198"/>
      <c r="VNH118" s="199"/>
      <c r="VNI118" s="198"/>
      <c r="VNJ118" s="199"/>
      <c r="VNK118" s="198"/>
      <c r="VNL118" s="199"/>
      <c r="VNM118" s="198"/>
      <c r="VNN118" s="199"/>
      <c r="VNO118" s="198"/>
      <c r="VNP118" s="199"/>
      <c r="VNQ118" s="198"/>
      <c r="VNR118" s="199"/>
      <c r="VNS118" s="198"/>
      <c r="VNT118" s="199"/>
      <c r="VNU118" s="198"/>
      <c r="VNV118" s="199"/>
      <c r="VNW118" s="198"/>
      <c r="VNX118" s="199"/>
      <c r="VNY118" s="198"/>
      <c r="VNZ118" s="199"/>
      <c r="VOA118" s="198"/>
      <c r="VOB118" s="199"/>
      <c r="VOC118" s="198"/>
      <c r="VOD118" s="199"/>
      <c r="VOE118" s="198"/>
      <c r="VOF118" s="199"/>
      <c r="VOG118" s="198"/>
      <c r="VOH118" s="199"/>
      <c r="VOI118" s="198"/>
      <c r="VOJ118" s="199"/>
      <c r="VOK118" s="198"/>
      <c r="VOL118" s="199"/>
      <c r="VOM118" s="198"/>
      <c r="VON118" s="199"/>
      <c r="VOO118" s="198"/>
      <c r="VOP118" s="199"/>
      <c r="VOQ118" s="198"/>
      <c r="VOR118" s="199"/>
      <c r="VOS118" s="198"/>
      <c r="VOT118" s="199"/>
      <c r="VOU118" s="198"/>
      <c r="VOV118" s="199"/>
      <c r="VOW118" s="198"/>
      <c r="VOX118" s="199"/>
      <c r="VOY118" s="198"/>
      <c r="VOZ118" s="199"/>
      <c r="VPA118" s="198"/>
      <c r="VPB118" s="199"/>
      <c r="VPC118" s="198"/>
      <c r="VPD118" s="199"/>
      <c r="VPE118" s="198"/>
      <c r="VPF118" s="199"/>
      <c r="VPG118" s="198"/>
      <c r="VPH118" s="199"/>
      <c r="VPI118" s="198"/>
      <c r="VPJ118" s="199"/>
      <c r="VPK118" s="198"/>
      <c r="VPL118" s="199"/>
      <c r="VPM118" s="198"/>
      <c r="VPN118" s="199"/>
      <c r="VPO118" s="198"/>
      <c r="VPP118" s="199"/>
      <c r="VPQ118" s="198"/>
      <c r="VPR118" s="199"/>
      <c r="VPS118" s="198"/>
      <c r="VPT118" s="199"/>
      <c r="VPU118" s="198"/>
      <c r="VPV118" s="199"/>
      <c r="VPW118" s="198"/>
      <c r="VPX118" s="199"/>
      <c r="VPY118" s="198"/>
      <c r="VPZ118" s="199"/>
      <c r="VQA118" s="198"/>
      <c r="VQB118" s="199"/>
      <c r="VQC118" s="198"/>
      <c r="VQD118" s="199"/>
      <c r="VQE118" s="198"/>
      <c r="VQF118" s="199"/>
      <c r="VQG118" s="198"/>
      <c r="VQH118" s="199"/>
      <c r="VQI118" s="198"/>
      <c r="VQJ118" s="199"/>
      <c r="VQK118" s="198"/>
      <c r="VQL118" s="199"/>
      <c r="VQM118" s="198"/>
      <c r="VQN118" s="199"/>
      <c r="VQO118" s="198"/>
      <c r="VQP118" s="199"/>
      <c r="VQQ118" s="198"/>
      <c r="VQR118" s="199"/>
      <c r="VQS118" s="198"/>
      <c r="VQT118" s="199"/>
      <c r="VQU118" s="198"/>
      <c r="VQV118" s="199"/>
      <c r="VQW118" s="198"/>
      <c r="VQX118" s="199"/>
      <c r="VQY118" s="198"/>
      <c r="VQZ118" s="199"/>
      <c r="VRA118" s="198"/>
      <c r="VRB118" s="199"/>
      <c r="VRC118" s="198"/>
      <c r="VRD118" s="199"/>
      <c r="VRE118" s="198"/>
      <c r="VRF118" s="199"/>
      <c r="VRG118" s="198"/>
      <c r="VRH118" s="199"/>
      <c r="VRI118" s="198"/>
      <c r="VRJ118" s="199"/>
      <c r="VRK118" s="198"/>
      <c r="VRL118" s="199"/>
      <c r="VRM118" s="198"/>
      <c r="VRN118" s="199"/>
      <c r="VRO118" s="198"/>
      <c r="VRP118" s="199"/>
      <c r="VRQ118" s="198"/>
      <c r="VRR118" s="199"/>
      <c r="VRS118" s="198"/>
      <c r="VRT118" s="199"/>
      <c r="VRU118" s="198"/>
      <c r="VRV118" s="199"/>
      <c r="VRW118" s="198"/>
      <c r="VRX118" s="199"/>
      <c r="VRY118" s="198"/>
      <c r="VRZ118" s="199"/>
      <c r="VSA118" s="198"/>
      <c r="VSB118" s="199"/>
      <c r="VSC118" s="198"/>
      <c r="VSD118" s="199"/>
      <c r="VSE118" s="198"/>
      <c r="VSF118" s="199"/>
      <c r="VSG118" s="198"/>
      <c r="VSH118" s="199"/>
      <c r="VSI118" s="198"/>
      <c r="VSJ118" s="199"/>
      <c r="VSK118" s="198"/>
      <c r="VSL118" s="199"/>
      <c r="VSM118" s="198"/>
      <c r="VSN118" s="199"/>
      <c r="VSO118" s="198"/>
      <c r="VSP118" s="199"/>
      <c r="VSQ118" s="198"/>
      <c r="VSR118" s="199"/>
      <c r="VSS118" s="198"/>
      <c r="VST118" s="199"/>
      <c r="VSU118" s="198"/>
      <c r="VSV118" s="199"/>
      <c r="VSW118" s="198"/>
      <c r="VSX118" s="199"/>
      <c r="VSY118" s="198"/>
      <c r="VSZ118" s="199"/>
      <c r="VTA118" s="198"/>
      <c r="VTB118" s="199"/>
      <c r="VTC118" s="198"/>
      <c r="VTD118" s="199"/>
      <c r="VTE118" s="198"/>
      <c r="VTF118" s="199"/>
      <c r="VTG118" s="198"/>
      <c r="VTH118" s="199"/>
      <c r="VTI118" s="198"/>
      <c r="VTJ118" s="199"/>
      <c r="VTK118" s="198"/>
      <c r="VTL118" s="199"/>
      <c r="VTM118" s="198"/>
      <c r="VTN118" s="199"/>
      <c r="VTO118" s="198"/>
      <c r="VTP118" s="199"/>
      <c r="VTQ118" s="198"/>
      <c r="VTR118" s="199"/>
      <c r="VTS118" s="198"/>
      <c r="VTT118" s="199"/>
      <c r="VTU118" s="198"/>
      <c r="VTV118" s="199"/>
      <c r="VTW118" s="198"/>
      <c r="VTX118" s="199"/>
      <c r="VTY118" s="198"/>
      <c r="VTZ118" s="199"/>
      <c r="VUA118" s="198"/>
      <c r="VUB118" s="199"/>
      <c r="VUC118" s="198"/>
      <c r="VUD118" s="199"/>
      <c r="VUE118" s="198"/>
      <c r="VUF118" s="199"/>
      <c r="VUG118" s="198"/>
      <c r="VUH118" s="199"/>
      <c r="VUI118" s="198"/>
      <c r="VUJ118" s="199"/>
      <c r="VUK118" s="198"/>
      <c r="VUL118" s="199"/>
      <c r="VUM118" s="198"/>
      <c r="VUN118" s="199"/>
      <c r="VUO118" s="198"/>
      <c r="VUP118" s="199"/>
      <c r="VUQ118" s="198"/>
      <c r="VUR118" s="199"/>
      <c r="VUS118" s="198"/>
      <c r="VUT118" s="199"/>
      <c r="VUU118" s="198"/>
      <c r="VUV118" s="199"/>
      <c r="VUW118" s="198"/>
      <c r="VUX118" s="199"/>
      <c r="VUY118" s="198"/>
      <c r="VUZ118" s="199"/>
      <c r="VVA118" s="198"/>
      <c r="VVB118" s="199"/>
      <c r="VVC118" s="198"/>
      <c r="VVD118" s="199"/>
      <c r="VVE118" s="198"/>
      <c r="VVF118" s="199"/>
      <c r="VVG118" s="198"/>
      <c r="VVH118" s="199"/>
      <c r="VVI118" s="198"/>
      <c r="VVJ118" s="199"/>
      <c r="VVK118" s="198"/>
      <c r="VVL118" s="199"/>
      <c r="VVM118" s="198"/>
      <c r="VVN118" s="199"/>
      <c r="VVO118" s="198"/>
      <c r="VVP118" s="199"/>
      <c r="VVQ118" s="198"/>
      <c r="VVR118" s="199"/>
      <c r="VVS118" s="198"/>
      <c r="VVT118" s="199"/>
      <c r="VVU118" s="198"/>
      <c r="VVV118" s="199"/>
      <c r="VVW118" s="198"/>
      <c r="VVX118" s="199"/>
      <c r="VVY118" s="198"/>
      <c r="VVZ118" s="199"/>
      <c r="VWA118" s="198"/>
      <c r="VWB118" s="199"/>
      <c r="VWC118" s="198"/>
      <c r="VWD118" s="199"/>
      <c r="VWE118" s="198"/>
      <c r="VWF118" s="199"/>
      <c r="VWG118" s="198"/>
      <c r="VWH118" s="199"/>
      <c r="VWI118" s="198"/>
      <c r="VWJ118" s="199"/>
      <c r="VWK118" s="198"/>
      <c r="VWL118" s="199"/>
      <c r="VWM118" s="198"/>
      <c r="VWN118" s="199"/>
      <c r="VWO118" s="198"/>
      <c r="VWP118" s="199"/>
      <c r="VWQ118" s="198"/>
      <c r="VWR118" s="199"/>
      <c r="VWS118" s="198"/>
      <c r="VWT118" s="199"/>
      <c r="VWU118" s="198"/>
      <c r="VWV118" s="199"/>
      <c r="VWW118" s="198"/>
      <c r="VWX118" s="199"/>
      <c r="VWY118" s="198"/>
      <c r="VWZ118" s="199"/>
      <c r="VXA118" s="198"/>
      <c r="VXB118" s="199"/>
      <c r="VXC118" s="198"/>
      <c r="VXD118" s="199"/>
      <c r="VXE118" s="198"/>
      <c r="VXF118" s="199"/>
      <c r="VXG118" s="198"/>
      <c r="VXH118" s="199"/>
      <c r="VXI118" s="198"/>
      <c r="VXJ118" s="199"/>
      <c r="VXK118" s="198"/>
      <c r="VXL118" s="199"/>
      <c r="VXM118" s="198"/>
      <c r="VXN118" s="199"/>
      <c r="VXO118" s="198"/>
      <c r="VXP118" s="199"/>
      <c r="VXQ118" s="198"/>
      <c r="VXR118" s="199"/>
      <c r="VXS118" s="198"/>
      <c r="VXT118" s="199"/>
      <c r="VXU118" s="198"/>
      <c r="VXV118" s="199"/>
      <c r="VXW118" s="198"/>
      <c r="VXX118" s="199"/>
      <c r="VXY118" s="198"/>
      <c r="VXZ118" s="199"/>
      <c r="VYA118" s="198"/>
      <c r="VYB118" s="199"/>
      <c r="VYC118" s="198"/>
      <c r="VYD118" s="199"/>
      <c r="VYE118" s="198"/>
      <c r="VYF118" s="199"/>
      <c r="VYG118" s="198"/>
      <c r="VYH118" s="199"/>
      <c r="VYI118" s="198"/>
      <c r="VYJ118" s="199"/>
      <c r="VYK118" s="198"/>
      <c r="VYL118" s="199"/>
      <c r="VYM118" s="198"/>
      <c r="VYN118" s="199"/>
      <c r="VYO118" s="198"/>
      <c r="VYP118" s="199"/>
      <c r="VYQ118" s="198"/>
      <c r="VYR118" s="199"/>
      <c r="VYS118" s="198"/>
      <c r="VYT118" s="199"/>
      <c r="VYU118" s="198"/>
      <c r="VYV118" s="199"/>
      <c r="VYW118" s="198"/>
      <c r="VYX118" s="199"/>
      <c r="VYY118" s="198"/>
      <c r="VYZ118" s="199"/>
      <c r="VZA118" s="198"/>
      <c r="VZB118" s="199"/>
      <c r="VZC118" s="198"/>
      <c r="VZD118" s="199"/>
      <c r="VZE118" s="198"/>
      <c r="VZF118" s="199"/>
      <c r="VZG118" s="198"/>
      <c r="VZH118" s="199"/>
      <c r="VZI118" s="198"/>
      <c r="VZJ118" s="199"/>
      <c r="VZK118" s="198"/>
      <c r="VZL118" s="199"/>
      <c r="VZM118" s="198"/>
      <c r="VZN118" s="199"/>
      <c r="VZO118" s="198"/>
      <c r="VZP118" s="199"/>
      <c r="VZQ118" s="198"/>
      <c r="VZR118" s="199"/>
      <c r="VZS118" s="198"/>
      <c r="VZT118" s="199"/>
      <c r="VZU118" s="198"/>
      <c r="VZV118" s="199"/>
      <c r="VZW118" s="198"/>
      <c r="VZX118" s="199"/>
      <c r="VZY118" s="198"/>
      <c r="VZZ118" s="199"/>
      <c r="WAA118" s="198"/>
      <c r="WAB118" s="199"/>
      <c r="WAC118" s="198"/>
      <c r="WAD118" s="199"/>
      <c r="WAE118" s="198"/>
      <c r="WAF118" s="199"/>
      <c r="WAG118" s="198"/>
      <c r="WAH118" s="199"/>
      <c r="WAI118" s="198"/>
      <c r="WAJ118" s="199"/>
      <c r="WAK118" s="198"/>
      <c r="WAL118" s="199"/>
      <c r="WAM118" s="198"/>
      <c r="WAN118" s="199"/>
      <c r="WAO118" s="198"/>
      <c r="WAP118" s="199"/>
      <c r="WAQ118" s="198"/>
      <c r="WAR118" s="199"/>
      <c r="WAS118" s="198"/>
      <c r="WAT118" s="199"/>
      <c r="WAU118" s="198"/>
      <c r="WAV118" s="199"/>
      <c r="WAW118" s="198"/>
      <c r="WAX118" s="199"/>
      <c r="WAY118" s="198"/>
      <c r="WAZ118" s="199"/>
      <c r="WBA118" s="198"/>
      <c r="WBB118" s="199"/>
      <c r="WBC118" s="198"/>
      <c r="WBD118" s="199"/>
      <c r="WBE118" s="198"/>
      <c r="WBF118" s="199"/>
      <c r="WBG118" s="198"/>
      <c r="WBH118" s="199"/>
      <c r="WBI118" s="198"/>
      <c r="WBJ118" s="199"/>
      <c r="WBK118" s="198"/>
      <c r="WBL118" s="199"/>
      <c r="WBM118" s="198"/>
      <c r="WBN118" s="199"/>
      <c r="WBO118" s="198"/>
      <c r="WBP118" s="199"/>
      <c r="WBQ118" s="198"/>
      <c r="WBR118" s="199"/>
      <c r="WBS118" s="198"/>
      <c r="WBT118" s="199"/>
      <c r="WBU118" s="198"/>
      <c r="WBV118" s="199"/>
      <c r="WBW118" s="198"/>
      <c r="WBX118" s="199"/>
      <c r="WBY118" s="198"/>
      <c r="WBZ118" s="199"/>
      <c r="WCA118" s="198"/>
      <c r="WCB118" s="199"/>
      <c r="WCC118" s="198"/>
      <c r="WCD118" s="199"/>
      <c r="WCE118" s="198"/>
      <c r="WCF118" s="199"/>
      <c r="WCG118" s="198"/>
      <c r="WCH118" s="199"/>
      <c r="WCI118" s="198"/>
      <c r="WCJ118" s="199"/>
      <c r="WCK118" s="198"/>
      <c r="WCL118" s="199"/>
      <c r="WCM118" s="198"/>
      <c r="WCN118" s="199"/>
      <c r="WCO118" s="198"/>
      <c r="WCP118" s="199"/>
      <c r="WCQ118" s="198"/>
      <c r="WCR118" s="199"/>
      <c r="WCS118" s="198"/>
      <c r="WCT118" s="199"/>
      <c r="WCU118" s="198"/>
      <c r="WCV118" s="199"/>
      <c r="WCW118" s="198"/>
      <c r="WCX118" s="199"/>
      <c r="WCY118" s="198"/>
      <c r="WCZ118" s="199"/>
      <c r="WDA118" s="198"/>
      <c r="WDB118" s="199"/>
      <c r="WDC118" s="198"/>
      <c r="WDD118" s="199"/>
      <c r="WDE118" s="198"/>
      <c r="WDF118" s="199"/>
      <c r="WDG118" s="198"/>
      <c r="WDH118" s="199"/>
      <c r="WDI118" s="198"/>
      <c r="WDJ118" s="199"/>
      <c r="WDK118" s="198"/>
      <c r="WDL118" s="199"/>
      <c r="WDM118" s="198"/>
      <c r="WDN118" s="199"/>
      <c r="WDO118" s="198"/>
      <c r="WDP118" s="199"/>
      <c r="WDQ118" s="198"/>
      <c r="WDR118" s="199"/>
      <c r="WDS118" s="198"/>
      <c r="WDT118" s="199"/>
      <c r="WDU118" s="198"/>
      <c r="WDV118" s="199"/>
      <c r="WDW118" s="198"/>
      <c r="WDX118" s="199"/>
      <c r="WDY118" s="198"/>
      <c r="WDZ118" s="199"/>
      <c r="WEA118" s="198"/>
      <c r="WEB118" s="199"/>
      <c r="WEC118" s="198"/>
      <c r="WED118" s="199"/>
      <c r="WEE118" s="198"/>
      <c r="WEF118" s="199"/>
      <c r="WEG118" s="198"/>
      <c r="WEH118" s="199"/>
      <c r="WEI118" s="198"/>
      <c r="WEJ118" s="199"/>
      <c r="WEK118" s="198"/>
      <c r="WEL118" s="199"/>
      <c r="WEM118" s="198"/>
      <c r="WEN118" s="199"/>
      <c r="WEO118" s="198"/>
      <c r="WEP118" s="199"/>
      <c r="WEQ118" s="198"/>
      <c r="WER118" s="199"/>
      <c r="WES118" s="198"/>
      <c r="WET118" s="199"/>
      <c r="WEU118" s="198"/>
      <c r="WEV118" s="199"/>
      <c r="WEW118" s="198"/>
      <c r="WEX118" s="199"/>
      <c r="WEY118" s="198"/>
      <c r="WEZ118" s="199"/>
      <c r="WFA118" s="198"/>
      <c r="WFB118" s="199"/>
      <c r="WFC118" s="198"/>
      <c r="WFD118" s="199"/>
      <c r="WFE118" s="198"/>
      <c r="WFF118" s="199"/>
      <c r="WFG118" s="198"/>
      <c r="WFH118" s="199"/>
      <c r="WFI118" s="198"/>
      <c r="WFJ118" s="199"/>
      <c r="WFK118" s="198"/>
      <c r="WFL118" s="199"/>
      <c r="WFM118" s="198"/>
      <c r="WFN118" s="199"/>
      <c r="WFO118" s="198"/>
      <c r="WFP118" s="199"/>
      <c r="WFQ118" s="198"/>
      <c r="WFR118" s="199"/>
      <c r="WFS118" s="198"/>
      <c r="WFT118" s="199"/>
      <c r="WFU118" s="198"/>
      <c r="WFV118" s="199"/>
      <c r="WFW118" s="198"/>
      <c r="WFX118" s="199"/>
      <c r="WFY118" s="198"/>
      <c r="WFZ118" s="199"/>
      <c r="WGA118" s="198"/>
      <c r="WGB118" s="199"/>
      <c r="WGC118" s="198"/>
      <c r="WGD118" s="199"/>
      <c r="WGE118" s="198"/>
      <c r="WGF118" s="199"/>
      <c r="WGG118" s="198"/>
      <c r="WGH118" s="199"/>
      <c r="WGI118" s="198"/>
      <c r="WGJ118" s="199"/>
      <c r="WGK118" s="198"/>
      <c r="WGL118" s="199"/>
      <c r="WGM118" s="198"/>
      <c r="WGN118" s="199"/>
      <c r="WGO118" s="198"/>
      <c r="WGP118" s="199"/>
      <c r="WGQ118" s="198"/>
      <c r="WGR118" s="199"/>
      <c r="WGS118" s="198"/>
      <c r="WGT118" s="199"/>
      <c r="WGU118" s="198"/>
      <c r="WGV118" s="199"/>
      <c r="WGW118" s="198"/>
      <c r="WGX118" s="199"/>
      <c r="WGY118" s="198"/>
      <c r="WGZ118" s="199"/>
      <c r="WHA118" s="198"/>
      <c r="WHB118" s="199"/>
      <c r="WHC118" s="198"/>
      <c r="WHD118" s="199"/>
      <c r="WHE118" s="198"/>
      <c r="WHF118" s="199"/>
      <c r="WHG118" s="198"/>
      <c r="WHH118" s="199"/>
      <c r="WHI118" s="198"/>
      <c r="WHJ118" s="199"/>
      <c r="WHK118" s="198"/>
      <c r="WHL118" s="199"/>
      <c r="WHM118" s="198"/>
      <c r="WHN118" s="199"/>
      <c r="WHO118" s="198"/>
      <c r="WHP118" s="199"/>
      <c r="WHQ118" s="198"/>
      <c r="WHR118" s="199"/>
      <c r="WHS118" s="198"/>
      <c r="WHT118" s="199"/>
      <c r="WHU118" s="198"/>
      <c r="WHV118" s="199"/>
      <c r="WHW118" s="198"/>
      <c r="WHX118" s="199"/>
      <c r="WHY118" s="198"/>
      <c r="WHZ118" s="199"/>
      <c r="WIA118" s="198"/>
      <c r="WIB118" s="199"/>
      <c r="WIC118" s="198"/>
      <c r="WID118" s="199"/>
      <c r="WIE118" s="198"/>
      <c r="WIF118" s="199"/>
      <c r="WIG118" s="198"/>
      <c r="WIH118" s="199"/>
      <c r="WII118" s="198"/>
      <c r="WIJ118" s="199"/>
      <c r="WIK118" s="198"/>
      <c r="WIL118" s="199"/>
      <c r="WIM118" s="198"/>
      <c r="WIN118" s="199"/>
      <c r="WIO118" s="198"/>
      <c r="WIP118" s="199"/>
      <c r="WIQ118" s="198"/>
      <c r="WIR118" s="199"/>
      <c r="WIS118" s="198"/>
      <c r="WIT118" s="199"/>
      <c r="WIU118" s="198"/>
      <c r="WIV118" s="199"/>
      <c r="WIW118" s="198"/>
      <c r="WIX118" s="199"/>
      <c r="WIY118" s="198"/>
      <c r="WIZ118" s="199"/>
      <c r="WJA118" s="198"/>
      <c r="WJB118" s="199"/>
      <c r="WJC118" s="198"/>
      <c r="WJD118" s="199"/>
      <c r="WJE118" s="198"/>
      <c r="WJF118" s="199"/>
      <c r="WJG118" s="198"/>
      <c r="WJH118" s="199"/>
      <c r="WJI118" s="198"/>
      <c r="WJJ118" s="199"/>
      <c r="WJK118" s="198"/>
      <c r="WJL118" s="199"/>
      <c r="WJM118" s="198"/>
      <c r="WJN118" s="199"/>
      <c r="WJO118" s="198"/>
      <c r="WJP118" s="199"/>
      <c r="WJQ118" s="198"/>
      <c r="WJR118" s="199"/>
      <c r="WJS118" s="198"/>
      <c r="WJT118" s="199"/>
      <c r="WJU118" s="198"/>
      <c r="WJV118" s="199"/>
      <c r="WJW118" s="198"/>
      <c r="WJX118" s="199"/>
      <c r="WJY118" s="198"/>
      <c r="WJZ118" s="199"/>
      <c r="WKA118" s="198"/>
      <c r="WKB118" s="199"/>
      <c r="WKC118" s="198"/>
      <c r="WKD118" s="199"/>
      <c r="WKE118" s="198"/>
      <c r="WKF118" s="199"/>
      <c r="WKG118" s="198"/>
      <c r="WKH118" s="199"/>
      <c r="WKI118" s="198"/>
      <c r="WKJ118" s="199"/>
      <c r="WKK118" s="198"/>
      <c r="WKL118" s="199"/>
      <c r="WKM118" s="198"/>
      <c r="WKN118" s="199"/>
      <c r="WKO118" s="198"/>
      <c r="WKP118" s="199"/>
      <c r="WKQ118" s="198"/>
      <c r="WKR118" s="199"/>
      <c r="WKS118" s="198"/>
      <c r="WKT118" s="199"/>
      <c r="WKU118" s="198"/>
      <c r="WKV118" s="199"/>
      <c r="WKW118" s="198"/>
      <c r="WKX118" s="199"/>
      <c r="WKY118" s="198"/>
      <c r="WKZ118" s="199"/>
      <c r="WLA118" s="198"/>
      <c r="WLB118" s="199"/>
      <c r="WLC118" s="198"/>
      <c r="WLD118" s="199"/>
      <c r="WLE118" s="198"/>
      <c r="WLF118" s="199"/>
      <c r="WLG118" s="198"/>
      <c r="WLH118" s="199"/>
      <c r="WLI118" s="198"/>
      <c r="WLJ118" s="199"/>
      <c r="WLK118" s="198"/>
      <c r="WLL118" s="199"/>
      <c r="WLM118" s="198"/>
      <c r="WLN118" s="199"/>
      <c r="WLO118" s="198"/>
      <c r="WLP118" s="199"/>
      <c r="WLQ118" s="198"/>
      <c r="WLR118" s="199"/>
      <c r="WLS118" s="198"/>
      <c r="WLT118" s="199"/>
      <c r="WLU118" s="198"/>
      <c r="WLV118" s="199"/>
      <c r="WLW118" s="198"/>
      <c r="WLX118" s="199"/>
      <c r="WLY118" s="198"/>
      <c r="WLZ118" s="199"/>
      <c r="WMA118" s="198"/>
      <c r="WMB118" s="199"/>
      <c r="WMC118" s="198"/>
      <c r="WMD118" s="199"/>
      <c r="WME118" s="198"/>
      <c r="WMF118" s="199"/>
      <c r="WMG118" s="198"/>
      <c r="WMH118" s="199"/>
      <c r="WMI118" s="198"/>
      <c r="WMJ118" s="199"/>
      <c r="WMK118" s="198"/>
      <c r="WML118" s="199"/>
      <c r="WMM118" s="198"/>
      <c r="WMN118" s="199"/>
      <c r="WMO118" s="198"/>
      <c r="WMP118" s="199"/>
      <c r="WMQ118" s="198"/>
      <c r="WMR118" s="199"/>
      <c r="WMS118" s="198"/>
      <c r="WMT118" s="199"/>
      <c r="WMU118" s="198"/>
      <c r="WMV118" s="199"/>
      <c r="WMW118" s="198"/>
      <c r="WMX118" s="199"/>
      <c r="WMY118" s="198"/>
      <c r="WMZ118" s="199"/>
      <c r="WNA118" s="198"/>
      <c r="WNB118" s="199"/>
      <c r="WNC118" s="198"/>
      <c r="WND118" s="199"/>
      <c r="WNE118" s="198"/>
      <c r="WNF118" s="199"/>
      <c r="WNG118" s="198"/>
      <c r="WNH118" s="199"/>
      <c r="WNI118" s="198"/>
      <c r="WNJ118" s="199"/>
      <c r="WNK118" s="198"/>
      <c r="WNL118" s="199"/>
      <c r="WNM118" s="198"/>
      <c r="WNN118" s="199"/>
      <c r="WNO118" s="198"/>
      <c r="WNP118" s="199"/>
      <c r="WNQ118" s="198"/>
      <c r="WNR118" s="199"/>
      <c r="WNS118" s="198"/>
      <c r="WNT118" s="199"/>
      <c r="WNU118" s="198"/>
      <c r="WNV118" s="199"/>
      <c r="WNW118" s="198"/>
      <c r="WNX118" s="199"/>
      <c r="WNY118" s="198"/>
      <c r="WNZ118" s="199"/>
      <c r="WOA118" s="198"/>
      <c r="WOB118" s="199"/>
      <c r="WOC118" s="198"/>
      <c r="WOD118" s="199"/>
      <c r="WOE118" s="198"/>
      <c r="WOF118" s="199"/>
      <c r="WOG118" s="198"/>
      <c r="WOH118" s="199"/>
      <c r="WOI118" s="198"/>
      <c r="WOJ118" s="199"/>
      <c r="WOK118" s="198"/>
      <c r="WOL118" s="199"/>
      <c r="WOM118" s="198"/>
      <c r="WON118" s="199"/>
      <c r="WOO118" s="198"/>
      <c r="WOP118" s="199"/>
      <c r="WOQ118" s="198"/>
      <c r="WOR118" s="199"/>
      <c r="WOS118" s="198"/>
      <c r="WOT118" s="199"/>
      <c r="WOU118" s="198"/>
      <c r="WOV118" s="199"/>
      <c r="WOW118" s="198"/>
      <c r="WOX118" s="199"/>
      <c r="WOY118" s="198"/>
      <c r="WOZ118" s="199"/>
      <c r="WPA118" s="198"/>
      <c r="WPB118" s="199"/>
      <c r="WPC118" s="198"/>
      <c r="WPD118" s="199"/>
      <c r="WPE118" s="198"/>
      <c r="WPF118" s="199"/>
      <c r="WPG118" s="198"/>
      <c r="WPH118" s="199"/>
      <c r="WPI118" s="198"/>
      <c r="WPJ118" s="199"/>
      <c r="WPK118" s="198"/>
      <c r="WPL118" s="199"/>
      <c r="WPM118" s="198"/>
      <c r="WPN118" s="199"/>
      <c r="WPO118" s="198"/>
      <c r="WPP118" s="199"/>
      <c r="WPQ118" s="198"/>
      <c r="WPR118" s="199"/>
      <c r="WPS118" s="198"/>
      <c r="WPT118" s="199"/>
      <c r="WPU118" s="198"/>
      <c r="WPV118" s="199"/>
      <c r="WPW118" s="198"/>
      <c r="WPX118" s="199"/>
      <c r="WPY118" s="198"/>
      <c r="WPZ118" s="199"/>
      <c r="WQA118" s="198"/>
      <c r="WQB118" s="199"/>
      <c r="WQC118" s="198"/>
      <c r="WQD118" s="199"/>
      <c r="WQE118" s="198"/>
      <c r="WQF118" s="199"/>
      <c r="WQG118" s="198"/>
      <c r="WQH118" s="199"/>
      <c r="WQI118" s="198"/>
      <c r="WQJ118" s="199"/>
      <c r="WQK118" s="198"/>
      <c r="WQL118" s="199"/>
      <c r="WQM118" s="198"/>
      <c r="WQN118" s="199"/>
      <c r="WQO118" s="198"/>
      <c r="WQP118" s="199"/>
      <c r="WQQ118" s="198"/>
      <c r="WQR118" s="199"/>
      <c r="WQS118" s="198"/>
      <c r="WQT118" s="199"/>
      <c r="WQU118" s="198"/>
      <c r="WQV118" s="199"/>
      <c r="WQW118" s="198"/>
      <c r="WQX118" s="199"/>
      <c r="WQY118" s="198"/>
      <c r="WQZ118" s="199"/>
      <c r="WRA118" s="198"/>
      <c r="WRB118" s="199"/>
      <c r="WRC118" s="198"/>
      <c r="WRD118" s="199"/>
      <c r="WRE118" s="198"/>
      <c r="WRF118" s="199"/>
      <c r="WRG118" s="198"/>
      <c r="WRH118" s="199"/>
      <c r="WRI118" s="198"/>
      <c r="WRJ118" s="199"/>
      <c r="WRK118" s="198"/>
      <c r="WRL118" s="199"/>
      <c r="WRM118" s="198"/>
      <c r="WRN118" s="199"/>
      <c r="WRO118" s="198"/>
      <c r="WRP118" s="199"/>
      <c r="WRQ118" s="198"/>
      <c r="WRR118" s="199"/>
      <c r="WRS118" s="198"/>
      <c r="WRT118" s="199"/>
      <c r="WRU118" s="198"/>
      <c r="WRV118" s="199"/>
      <c r="WRW118" s="198"/>
      <c r="WRX118" s="199"/>
      <c r="WRY118" s="198"/>
      <c r="WRZ118" s="199"/>
      <c r="WSA118" s="198"/>
      <c r="WSB118" s="199"/>
      <c r="WSC118" s="198"/>
      <c r="WSD118" s="199"/>
      <c r="WSE118" s="198"/>
      <c r="WSF118" s="199"/>
      <c r="WSG118" s="198"/>
      <c r="WSH118" s="199"/>
      <c r="WSI118" s="198"/>
      <c r="WSJ118" s="199"/>
      <c r="WSK118" s="198"/>
      <c r="WSL118" s="199"/>
      <c r="WSM118" s="198"/>
      <c r="WSN118" s="199"/>
      <c r="WSO118" s="198"/>
      <c r="WSP118" s="199"/>
      <c r="WSQ118" s="198"/>
      <c r="WSR118" s="199"/>
      <c r="WSS118" s="198"/>
      <c r="WST118" s="199"/>
      <c r="WSU118" s="198"/>
      <c r="WSV118" s="199"/>
      <c r="WSW118" s="198"/>
      <c r="WSX118" s="199"/>
      <c r="WSY118" s="198"/>
      <c r="WSZ118" s="199"/>
      <c r="WTA118" s="198"/>
      <c r="WTB118" s="199"/>
      <c r="WTC118" s="198"/>
      <c r="WTD118" s="199"/>
      <c r="WTE118" s="198"/>
      <c r="WTF118" s="199"/>
      <c r="WTG118" s="198"/>
      <c r="WTH118" s="199"/>
      <c r="WTI118" s="198"/>
      <c r="WTJ118" s="199"/>
      <c r="WTK118" s="198"/>
      <c r="WTL118" s="199"/>
      <c r="WTM118" s="198"/>
      <c r="WTN118" s="199"/>
      <c r="WTO118" s="198"/>
      <c r="WTP118" s="199"/>
      <c r="WTQ118" s="198"/>
      <c r="WTR118" s="199"/>
      <c r="WTS118" s="198"/>
      <c r="WTT118" s="199"/>
      <c r="WTU118" s="198"/>
      <c r="WTV118" s="199"/>
      <c r="WTW118" s="198"/>
      <c r="WTX118" s="199"/>
      <c r="WTY118" s="198"/>
      <c r="WTZ118" s="199"/>
      <c r="WUA118" s="198"/>
      <c r="WUB118" s="199"/>
      <c r="WUC118" s="198"/>
      <c r="WUD118" s="199"/>
      <c r="WUE118" s="198"/>
      <c r="WUF118" s="199"/>
      <c r="WUG118" s="198"/>
      <c r="WUH118" s="199"/>
      <c r="WUI118" s="198"/>
      <c r="WUJ118" s="199"/>
      <c r="WUK118" s="198"/>
      <c r="WUL118" s="199"/>
      <c r="WUM118" s="198"/>
      <c r="WUN118" s="199"/>
      <c r="WUO118" s="198"/>
      <c r="WUP118" s="199"/>
      <c r="WUQ118" s="198"/>
      <c r="WUR118" s="199"/>
      <c r="WUS118" s="198"/>
      <c r="WUT118" s="199"/>
      <c r="WUU118" s="198"/>
      <c r="WUV118" s="199"/>
      <c r="WUW118" s="198"/>
      <c r="WUX118" s="199"/>
      <c r="WUY118" s="198"/>
      <c r="WUZ118" s="199"/>
      <c r="WVA118" s="198"/>
      <c r="WVB118" s="199"/>
      <c r="WVC118" s="198"/>
      <c r="WVD118" s="199"/>
      <c r="WVE118" s="198"/>
      <c r="WVF118" s="199"/>
      <c r="WVG118" s="198"/>
      <c r="WVH118" s="199"/>
      <c r="WVI118" s="198"/>
      <c r="WVJ118" s="199"/>
      <c r="WVK118" s="198"/>
      <c r="WVL118" s="199"/>
      <c r="WVM118" s="198"/>
      <c r="WVN118" s="199"/>
      <c r="WVO118" s="198"/>
      <c r="WVP118" s="199"/>
      <c r="WVQ118" s="198"/>
      <c r="WVR118" s="199"/>
      <c r="WVS118" s="198"/>
      <c r="WVT118" s="199"/>
      <c r="WVU118" s="198"/>
      <c r="WVV118" s="199"/>
      <c r="WVW118" s="198"/>
      <c r="WVX118" s="199"/>
      <c r="WVY118" s="198"/>
      <c r="WVZ118" s="199"/>
      <c r="WWA118" s="198"/>
      <c r="WWB118" s="199"/>
      <c r="WWC118" s="198"/>
      <c r="WWD118" s="199"/>
      <c r="WWE118" s="198"/>
      <c r="WWF118" s="199"/>
      <c r="WWG118" s="198"/>
      <c r="WWH118" s="199"/>
      <c r="WWI118" s="198"/>
      <c r="WWJ118" s="199"/>
      <c r="WWK118" s="198"/>
      <c r="WWL118" s="199"/>
      <c r="WWM118" s="198"/>
      <c r="WWN118" s="199"/>
      <c r="WWO118" s="198"/>
      <c r="WWP118" s="199"/>
      <c r="WWQ118" s="198"/>
      <c r="WWR118" s="199"/>
      <c r="WWS118" s="198"/>
      <c r="WWT118" s="199"/>
      <c r="WWU118" s="198"/>
      <c r="WWV118" s="199"/>
      <c r="WWW118" s="198"/>
      <c r="WWX118" s="199"/>
      <c r="WWY118" s="198"/>
      <c r="WWZ118" s="199"/>
      <c r="WXA118" s="198"/>
      <c r="WXB118" s="199"/>
      <c r="WXC118" s="198"/>
      <c r="WXD118" s="199"/>
      <c r="WXE118" s="198"/>
      <c r="WXF118" s="199"/>
      <c r="WXG118" s="198"/>
      <c r="WXH118" s="199"/>
      <c r="WXI118" s="198"/>
      <c r="WXJ118" s="199"/>
      <c r="WXK118" s="198"/>
      <c r="WXL118" s="199"/>
      <c r="WXM118" s="198"/>
      <c r="WXN118" s="199"/>
      <c r="WXO118" s="198"/>
      <c r="WXP118" s="199"/>
      <c r="WXQ118" s="198"/>
      <c r="WXR118" s="199"/>
      <c r="WXS118" s="198"/>
      <c r="WXT118" s="199"/>
      <c r="WXU118" s="198"/>
      <c r="WXV118" s="199"/>
      <c r="WXW118" s="198"/>
      <c r="WXX118" s="199"/>
      <c r="WXY118" s="198"/>
      <c r="WXZ118" s="199"/>
      <c r="WYA118" s="198"/>
      <c r="WYB118" s="199"/>
      <c r="WYC118" s="198"/>
      <c r="WYD118" s="199"/>
      <c r="WYE118" s="198"/>
      <c r="WYF118" s="199"/>
      <c r="WYG118" s="198"/>
      <c r="WYH118" s="199"/>
      <c r="WYI118" s="198"/>
      <c r="WYJ118" s="199"/>
      <c r="WYK118" s="198"/>
      <c r="WYL118" s="199"/>
      <c r="WYM118" s="198"/>
      <c r="WYN118" s="199"/>
      <c r="WYO118" s="198"/>
      <c r="WYP118" s="199"/>
      <c r="WYQ118" s="198"/>
      <c r="WYR118" s="199"/>
      <c r="WYS118" s="198"/>
      <c r="WYT118" s="199"/>
      <c r="WYU118" s="198"/>
      <c r="WYV118" s="199"/>
      <c r="WYW118" s="198"/>
      <c r="WYX118" s="199"/>
      <c r="WYY118" s="198"/>
      <c r="WYZ118" s="199"/>
      <c r="WZA118" s="198"/>
      <c r="WZB118" s="199"/>
      <c r="WZC118" s="198"/>
      <c r="WZD118" s="199"/>
      <c r="WZE118" s="198"/>
      <c r="WZF118" s="199"/>
      <c r="WZG118" s="198"/>
      <c r="WZH118" s="199"/>
      <c r="WZI118" s="198"/>
      <c r="WZJ118" s="199"/>
      <c r="WZK118" s="198"/>
      <c r="WZL118" s="199"/>
      <c r="WZM118" s="198"/>
      <c r="WZN118" s="199"/>
      <c r="WZO118" s="198"/>
      <c r="WZP118" s="199"/>
      <c r="WZQ118" s="198"/>
      <c r="WZR118" s="199"/>
      <c r="WZS118" s="198"/>
      <c r="WZT118" s="199"/>
      <c r="WZU118" s="198"/>
      <c r="WZV118" s="199"/>
      <c r="WZW118" s="198"/>
      <c r="WZX118" s="199"/>
      <c r="WZY118" s="198"/>
      <c r="WZZ118" s="199"/>
      <c r="XAA118" s="198"/>
      <c r="XAB118" s="199"/>
      <c r="XAC118" s="198"/>
      <c r="XAD118" s="199"/>
      <c r="XAE118" s="198"/>
      <c r="XAF118" s="199"/>
      <c r="XAG118" s="198"/>
      <c r="XAH118" s="199"/>
      <c r="XAI118" s="198"/>
      <c r="XAJ118" s="199"/>
      <c r="XAK118" s="198"/>
      <c r="XAL118" s="199"/>
      <c r="XAM118" s="198"/>
      <c r="XAN118" s="199"/>
      <c r="XAO118" s="198"/>
      <c r="XAP118" s="199"/>
      <c r="XAQ118" s="198"/>
      <c r="XAR118" s="199"/>
      <c r="XAS118" s="198"/>
      <c r="XAT118" s="199"/>
      <c r="XAU118" s="198"/>
      <c r="XAV118" s="199"/>
      <c r="XAW118" s="198"/>
      <c r="XAX118" s="199"/>
      <c r="XAY118" s="198"/>
      <c r="XAZ118" s="199"/>
      <c r="XBA118" s="198"/>
      <c r="XBB118" s="199"/>
      <c r="XBC118" s="198"/>
      <c r="XBD118" s="199"/>
      <c r="XBE118" s="198"/>
      <c r="XBF118" s="199"/>
      <c r="XBG118" s="198"/>
      <c r="XBH118" s="199"/>
      <c r="XBI118" s="198"/>
      <c r="XBJ118" s="199"/>
      <c r="XBK118" s="198"/>
      <c r="XBL118" s="199"/>
      <c r="XBM118" s="198"/>
      <c r="XBN118" s="199"/>
      <c r="XBO118" s="198"/>
      <c r="XBP118" s="199"/>
      <c r="XBQ118" s="198"/>
      <c r="XBR118" s="199"/>
      <c r="XBS118" s="198"/>
      <c r="XBT118" s="199"/>
      <c r="XBU118" s="198"/>
      <c r="XBV118" s="199"/>
      <c r="XBW118" s="198"/>
      <c r="XBX118" s="199"/>
      <c r="XBY118" s="198"/>
      <c r="XBZ118" s="199"/>
      <c r="XCA118" s="198"/>
      <c r="XCB118" s="199"/>
      <c r="XCC118" s="198"/>
      <c r="XCD118" s="199"/>
      <c r="XCE118" s="198"/>
      <c r="XCF118" s="199"/>
      <c r="XCG118" s="198"/>
      <c r="XCH118" s="199"/>
      <c r="XCI118" s="198"/>
      <c r="XCJ118" s="199"/>
      <c r="XCK118" s="198"/>
      <c r="XCL118" s="199"/>
      <c r="XCM118" s="198"/>
      <c r="XCN118" s="199"/>
      <c r="XCO118" s="198"/>
      <c r="XCP118" s="199"/>
      <c r="XCQ118" s="198"/>
      <c r="XCR118" s="199"/>
      <c r="XCS118" s="198"/>
      <c r="XCT118" s="199"/>
      <c r="XCU118" s="198"/>
      <c r="XCV118" s="199"/>
      <c r="XCW118" s="198"/>
      <c r="XCX118" s="199"/>
      <c r="XCY118" s="198"/>
      <c r="XCZ118" s="199"/>
      <c r="XDA118" s="198"/>
      <c r="XDB118" s="199"/>
      <c r="XDC118" s="198"/>
      <c r="XDD118" s="199"/>
      <c r="XDE118" s="198"/>
      <c r="XDF118" s="199"/>
      <c r="XDG118" s="198"/>
      <c r="XDH118" s="199"/>
      <c r="XDI118" s="198"/>
      <c r="XDJ118" s="199"/>
      <c r="XDK118" s="198"/>
      <c r="XDL118" s="199"/>
      <c r="XDM118" s="198"/>
      <c r="XDN118" s="199"/>
      <c r="XDO118" s="198"/>
      <c r="XDP118" s="199"/>
      <c r="XDQ118" s="198"/>
      <c r="XDR118" s="199"/>
      <c r="XDS118" s="198"/>
      <c r="XDT118" s="199"/>
      <c r="XDU118" s="198"/>
      <c r="XDV118" s="199"/>
      <c r="XDW118" s="198"/>
      <c r="XDX118" s="199"/>
      <c r="XDY118" s="198"/>
      <c r="XDZ118" s="199"/>
      <c r="XEA118" s="198"/>
      <c r="XEB118" s="199"/>
      <c r="XEC118" s="198"/>
      <c r="XED118" s="199"/>
      <c r="XEE118" s="198"/>
      <c r="XEF118" s="199"/>
      <c r="XEG118" s="198"/>
      <c r="XEH118" s="199"/>
      <c r="XEI118" s="198"/>
      <c r="XEJ118" s="199"/>
      <c r="XEK118" s="198"/>
      <c r="XEL118" s="199"/>
      <c r="XEM118" s="198"/>
      <c r="XEN118" s="199"/>
      <c r="XEO118" s="198"/>
      <c r="XEP118" s="199"/>
      <c r="XEQ118" s="198"/>
      <c r="XER118" s="199"/>
      <c r="XES118" s="198"/>
      <c r="XET118" s="199"/>
      <c r="XEU118" s="198"/>
      <c r="XEV118" s="199"/>
      <c r="XEW118" s="198"/>
      <c r="XEX118" s="199"/>
      <c r="XEY118" s="198"/>
      <c r="XEZ118" s="199"/>
      <c r="XFA118" s="198"/>
      <c r="XFB118" s="199"/>
      <c r="XFC118" s="198"/>
      <c r="XFD118" s="199"/>
    </row>
    <row r="119" spans="1:16384" s="112" customFormat="1" ht="65.099999999999994" customHeight="1">
      <c r="A119" s="115"/>
      <c r="B119" s="115"/>
      <c r="C119" s="116"/>
      <c r="D119" s="115"/>
      <c r="E119" s="116"/>
      <c r="F119" s="115"/>
      <c r="G119" s="116"/>
      <c r="H119" s="116"/>
      <c r="I119" s="117"/>
      <c r="J119" s="117"/>
      <c r="K119" s="116"/>
      <c r="L119" s="116"/>
      <c r="M119" s="116"/>
      <c r="N119" s="116"/>
      <c r="O119" s="116"/>
      <c r="P119" s="116"/>
      <c r="Q119" s="116"/>
      <c r="R119" s="116"/>
      <c r="S119" s="116"/>
      <c r="T119" s="116"/>
      <c r="U119" s="116"/>
      <c r="V119" s="116"/>
      <c r="W119" s="116"/>
      <c r="X119" s="116"/>
      <c r="Y119" s="116"/>
      <c r="Z119" s="116"/>
      <c r="AA119" s="118"/>
      <c r="AB119" s="115"/>
      <c r="AC119" s="198"/>
      <c r="AD119" s="199"/>
      <c r="AE119" s="198"/>
      <c r="AF119" s="199"/>
      <c r="AG119" s="198"/>
      <c r="AH119" s="199"/>
      <c r="AI119" s="198"/>
      <c r="AJ119" s="199"/>
      <c r="AK119" s="198"/>
      <c r="AL119" s="199"/>
      <c r="AM119" s="198"/>
      <c r="AN119" s="199"/>
      <c r="AO119" s="198"/>
      <c r="AP119" s="199"/>
      <c r="AQ119" s="198"/>
      <c r="AR119" s="199"/>
      <c r="AS119" s="198"/>
      <c r="AT119" s="199"/>
      <c r="AU119" s="198"/>
      <c r="AV119" s="199"/>
      <c r="AW119" s="198"/>
      <c r="AX119" s="199"/>
      <c r="AY119" s="198"/>
      <c r="AZ119" s="199"/>
      <c r="BA119" s="198"/>
      <c r="BB119" s="199"/>
      <c r="BC119" s="198"/>
      <c r="BD119" s="199"/>
      <c r="BE119" s="198"/>
      <c r="BF119" s="199"/>
      <c r="BG119" s="198"/>
      <c r="BH119" s="199"/>
      <c r="BI119" s="198"/>
      <c r="BJ119" s="199"/>
      <c r="BK119" s="198"/>
      <c r="BL119" s="199"/>
      <c r="BM119" s="198"/>
      <c r="BN119" s="199"/>
      <c r="BO119" s="198"/>
      <c r="BP119" s="199"/>
      <c r="BQ119" s="198"/>
      <c r="BR119" s="199"/>
      <c r="BS119" s="198"/>
      <c r="BT119" s="199"/>
      <c r="BU119" s="198"/>
      <c r="BV119" s="199"/>
      <c r="BW119" s="198"/>
      <c r="BX119" s="199"/>
      <c r="BY119" s="198"/>
      <c r="BZ119" s="199"/>
      <c r="CA119" s="198"/>
      <c r="CB119" s="199"/>
      <c r="CC119" s="198"/>
      <c r="CD119" s="199"/>
      <c r="CE119" s="198"/>
      <c r="CF119" s="199"/>
      <c r="CG119" s="198"/>
      <c r="CH119" s="199"/>
      <c r="CI119" s="198"/>
      <c r="CJ119" s="199"/>
      <c r="CK119" s="198"/>
      <c r="CL119" s="199"/>
      <c r="CM119" s="198"/>
      <c r="CN119" s="199"/>
      <c r="CO119" s="198"/>
      <c r="CP119" s="199"/>
      <c r="CQ119" s="198"/>
      <c r="CR119" s="199"/>
      <c r="CS119" s="198"/>
      <c r="CT119" s="199"/>
      <c r="CU119" s="198"/>
      <c r="CV119" s="199"/>
      <c r="CW119" s="198"/>
      <c r="CX119" s="199"/>
      <c r="CY119" s="198"/>
      <c r="CZ119" s="199"/>
      <c r="DA119" s="198"/>
      <c r="DB119" s="199"/>
      <c r="DC119" s="198"/>
      <c r="DD119" s="199"/>
      <c r="DE119" s="198"/>
      <c r="DF119" s="199"/>
      <c r="DG119" s="198"/>
      <c r="DH119" s="199"/>
      <c r="DI119" s="198"/>
      <c r="DJ119" s="199"/>
      <c r="DK119" s="198"/>
      <c r="DL119" s="199"/>
      <c r="DM119" s="198"/>
      <c r="DN119" s="199"/>
      <c r="DO119" s="198"/>
      <c r="DP119" s="199"/>
      <c r="DQ119" s="198"/>
      <c r="DR119" s="199"/>
      <c r="DS119" s="198"/>
      <c r="DT119" s="199"/>
      <c r="DU119" s="198"/>
      <c r="DV119" s="199"/>
      <c r="DW119" s="198"/>
      <c r="DX119" s="199"/>
      <c r="DY119" s="198"/>
      <c r="DZ119" s="199"/>
      <c r="EA119" s="198"/>
      <c r="EB119" s="199"/>
      <c r="EC119" s="198"/>
      <c r="ED119" s="199"/>
      <c r="EE119" s="198"/>
      <c r="EF119" s="199"/>
      <c r="EG119" s="198"/>
      <c r="EH119" s="199"/>
      <c r="EI119" s="198"/>
      <c r="EJ119" s="199"/>
      <c r="EK119" s="198"/>
      <c r="EL119" s="199"/>
      <c r="EM119" s="198"/>
      <c r="EN119" s="199"/>
      <c r="EO119" s="198"/>
      <c r="EP119" s="199"/>
      <c r="EQ119" s="198"/>
      <c r="ER119" s="199"/>
      <c r="ES119" s="198"/>
      <c r="ET119" s="199"/>
      <c r="EU119" s="198"/>
      <c r="EV119" s="199"/>
      <c r="EW119" s="198"/>
      <c r="EX119" s="199"/>
      <c r="EY119" s="198"/>
      <c r="EZ119" s="199"/>
      <c r="FA119" s="198"/>
      <c r="FB119" s="199"/>
      <c r="FC119" s="198"/>
      <c r="FD119" s="199"/>
      <c r="FE119" s="198"/>
      <c r="FF119" s="199"/>
      <c r="FG119" s="198"/>
      <c r="FH119" s="199"/>
      <c r="FI119" s="198"/>
      <c r="FJ119" s="199"/>
      <c r="FK119" s="198"/>
      <c r="FL119" s="199"/>
      <c r="FM119" s="198"/>
      <c r="FN119" s="199"/>
      <c r="FO119" s="198"/>
      <c r="FP119" s="199"/>
      <c r="FQ119" s="198"/>
      <c r="FR119" s="199"/>
      <c r="FS119" s="198"/>
      <c r="FT119" s="199"/>
      <c r="FU119" s="198"/>
      <c r="FV119" s="199"/>
      <c r="FW119" s="198"/>
      <c r="FX119" s="199"/>
      <c r="FY119" s="198"/>
      <c r="FZ119" s="199"/>
      <c r="GA119" s="198"/>
      <c r="GB119" s="199"/>
      <c r="GC119" s="198"/>
      <c r="GD119" s="199"/>
      <c r="GE119" s="198"/>
      <c r="GF119" s="199"/>
      <c r="GG119" s="198"/>
      <c r="GH119" s="199"/>
      <c r="GI119" s="198"/>
      <c r="GJ119" s="199"/>
      <c r="GK119" s="198"/>
      <c r="GL119" s="199"/>
      <c r="GM119" s="198"/>
      <c r="GN119" s="199"/>
      <c r="GO119" s="198"/>
      <c r="GP119" s="199"/>
      <c r="GQ119" s="198"/>
      <c r="GR119" s="199"/>
      <c r="GS119" s="198"/>
      <c r="GT119" s="199"/>
      <c r="GU119" s="198"/>
      <c r="GV119" s="199"/>
      <c r="GW119" s="198"/>
      <c r="GX119" s="199"/>
      <c r="GY119" s="198"/>
      <c r="GZ119" s="199"/>
      <c r="HA119" s="198"/>
      <c r="HB119" s="199"/>
      <c r="HC119" s="198"/>
      <c r="HD119" s="199"/>
      <c r="HE119" s="198"/>
      <c r="HF119" s="199"/>
      <c r="HG119" s="198"/>
      <c r="HH119" s="199"/>
      <c r="HI119" s="198"/>
      <c r="HJ119" s="199"/>
      <c r="HK119" s="198"/>
      <c r="HL119" s="199"/>
      <c r="HM119" s="198"/>
      <c r="HN119" s="199"/>
      <c r="HO119" s="198"/>
      <c r="HP119" s="199"/>
      <c r="HQ119" s="198"/>
      <c r="HR119" s="199"/>
      <c r="HS119" s="198"/>
      <c r="HT119" s="199"/>
      <c r="HU119" s="198"/>
      <c r="HV119" s="199"/>
      <c r="HW119" s="198"/>
      <c r="HX119" s="199"/>
      <c r="HY119" s="198"/>
      <c r="HZ119" s="199"/>
      <c r="IA119" s="198"/>
      <c r="IB119" s="199"/>
      <c r="IC119" s="198"/>
      <c r="ID119" s="199"/>
      <c r="IE119" s="198"/>
      <c r="IF119" s="199"/>
      <c r="IG119" s="198"/>
      <c r="IH119" s="199"/>
      <c r="II119" s="198"/>
      <c r="IJ119" s="199"/>
      <c r="IK119" s="198"/>
      <c r="IL119" s="199"/>
      <c r="IM119" s="198"/>
      <c r="IN119" s="199"/>
      <c r="IO119" s="198"/>
      <c r="IP119" s="199"/>
      <c r="IQ119" s="198"/>
      <c r="IR119" s="199"/>
      <c r="IS119" s="198"/>
      <c r="IT119" s="199"/>
      <c r="IU119" s="198"/>
      <c r="IV119" s="199"/>
      <c r="IW119" s="198"/>
      <c r="IX119" s="199"/>
      <c r="IY119" s="198"/>
      <c r="IZ119" s="199"/>
      <c r="JA119" s="198"/>
      <c r="JB119" s="199"/>
      <c r="JC119" s="198"/>
      <c r="JD119" s="199"/>
      <c r="JE119" s="198"/>
      <c r="JF119" s="199"/>
      <c r="JG119" s="198"/>
      <c r="JH119" s="199"/>
      <c r="JI119" s="198"/>
      <c r="JJ119" s="199"/>
      <c r="JK119" s="198"/>
      <c r="JL119" s="199"/>
      <c r="JM119" s="198"/>
      <c r="JN119" s="199"/>
      <c r="JO119" s="198"/>
      <c r="JP119" s="199"/>
      <c r="JQ119" s="198"/>
      <c r="JR119" s="199"/>
      <c r="JS119" s="198"/>
      <c r="JT119" s="199"/>
      <c r="JU119" s="198"/>
      <c r="JV119" s="199"/>
      <c r="JW119" s="198"/>
      <c r="JX119" s="199"/>
      <c r="JY119" s="198"/>
      <c r="JZ119" s="199"/>
      <c r="KA119" s="198"/>
      <c r="KB119" s="199"/>
      <c r="KC119" s="198"/>
      <c r="KD119" s="199"/>
      <c r="KE119" s="198"/>
      <c r="KF119" s="199"/>
      <c r="KG119" s="198"/>
      <c r="KH119" s="199"/>
      <c r="KI119" s="198"/>
      <c r="KJ119" s="199"/>
      <c r="KK119" s="198"/>
      <c r="KL119" s="199"/>
      <c r="KM119" s="198"/>
      <c r="KN119" s="199"/>
      <c r="KO119" s="198"/>
      <c r="KP119" s="199"/>
      <c r="KQ119" s="198"/>
      <c r="KR119" s="199"/>
      <c r="KS119" s="198"/>
      <c r="KT119" s="199"/>
      <c r="KU119" s="198"/>
      <c r="KV119" s="199"/>
      <c r="KW119" s="198"/>
      <c r="KX119" s="199"/>
      <c r="KY119" s="198"/>
      <c r="KZ119" s="199"/>
      <c r="LA119" s="198"/>
      <c r="LB119" s="199"/>
      <c r="LC119" s="198"/>
      <c r="LD119" s="199"/>
      <c r="LE119" s="198"/>
      <c r="LF119" s="199"/>
      <c r="LG119" s="198"/>
      <c r="LH119" s="199"/>
      <c r="LI119" s="198"/>
      <c r="LJ119" s="199"/>
      <c r="LK119" s="198"/>
      <c r="LL119" s="199"/>
      <c r="LM119" s="198"/>
      <c r="LN119" s="199"/>
      <c r="LO119" s="198"/>
      <c r="LP119" s="199"/>
      <c r="LQ119" s="198"/>
      <c r="LR119" s="199"/>
      <c r="LS119" s="198"/>
      <c r="LT119" s="199"/>
      <c r="LU119" s="198"/>
      <c r="LV119" s="199"/>
      <c r="LW119" s="198"/>
      <c r="LX119" s="199"/>
      <c r="LY119" s="198"/>
      <c r="LZ119" s="199"/>
      <c r="MA119" s="198"/>
      <c r="MB119" s="199"/>
      <c r="MC119" s="198"/>
      <c r="MD119" s="199"/>
      <c r="ME119" s="198"/>
      <c r="MF119" s="199"/>
      <c r="MG119" s="198"/>
      <c r="MH119" s="199"/>
      <c r="MI119" s="198"/>
      <c r="MJ119" s="199"/>
      <c r="MK119" s="198"/>
      <c r="ML119" s="199"/>
      <c r="MM119" s="198"/>
      <c r="MN119" s="199"/>
      <c r="MO119" s="198"/>
      <c r="MP119" s="199"/>
      <c r="MQ119" s="198"/>
      <c r="MR119" s="199"/>
      <c r="MS119" s="198"/>
      <c r="MT119" s="199"/>
      <c r="MU119" s="198"/>
      <c r="MV119" s="199"/>
      <c r="MW119" s="198"/>
      <c r="MX119" s="199"/>
      <c r="MY119" s="198"/>
      <c r="MZ119" s="199"/>
      <c r="NA119" s="198"/>
      <c r="NB119" s="199"/>
      <c r="NC119" s="198"/>
      <c r="ND119" s="199"/>
      <c r="NE119" s="198"/>
      <c r="NF119" s="199"/>
      <c r="NG119" s="198"/>
      <c r="NH119" s="199"/>
      <c r="NI119" s="198"/>
      <c r="NJ119" s="199"/>
      <c r="NK119" s="198"/>
      <c r="NL119" s="199"/>
      <c r="NM119" s="198"/>
      <c r="NN119" s="199"/>
      <c r="NO119" s="198"/>
      <c r="NP119" s="199"/>
      <c r="NQ119" s="198"/>
      <c r="NR119" s="199"/>
      <c r="NS119" s="198"/>
      <c r="NT119" s="199"/>
      <c r="NU119" s="198"/>
      <c r="NV119" s="199"/>
      <c r="NW119" s="198"/>
      <c r="NX119" s="199"/>
      <c r="NY119" s="198"/>
      <c r="NZ119" s="199"/>
      <c r="OA119" s="198"/>
      <c r="OB119" s="199"/>
      <c r="OC119" s="198"/>
      <c r="OD119" s="199"/>
      <c r="OE119" s="198"/>
      <c r="OF119" s="199"/>
      <c r="OG119" s="198"/>
      <c r="OH119" s="199"/>
      <c r="OI119" s="198"/>
      <c r="OJ119" s="199"/>
      <c r="OK119" s="198"/>
      <c r="OL119" s="199"/>
      <c r="OM119" s="198"/>
      <c r="ON119" s="199"/>
      <c r="OO119" s="198"/>
      <c r="OP119" s="199"/>
      <c r="OQ119" s="198"/>
      <c r="OR119" s="199"/>
      <c r="OS119" s="198"/>
      <c r="OT119" s="199"/>
      <c r="OU119" s="198"/>
      <c r="OV119" s="199"/>
      <c r="OW119" s="198"/>
      <c r="OX119" s="199"/>
      <c r="OY119" s="198"/>
      <c r="OZ119" s="199"/>
      <c r="PA119" s="198"/>
      <c r="PB119" s="199"/>
      <c r="PC119" s="198"/>
      <c r="PD119" s="199"/>
      <c r="PE119" s="198"/>
      <c r="PF119" s="199"/>
      <c r="PG119" s="198"/>
      <c r="PH119" s="199"/>
      <c r="PI119" s="198"/>
      <c r="PJ119" s="199"/>
      <c r="PK119" s="198"/>
      <c r="PL119" s="199"/>
      <c r="PM119" s="198"/>
      <c r="PN119" s="199"/>
      <c r="PO119" s="198"/>
      <c r="PP119" s="199"/>
      <c r="PQ119" s="198"/>
      <c r="PR119" s="199"/>
      <c r="PS119" s="198"/>
      <c r="PT119" s="199"/>
      <c r="PU119" s="198"/>
      <c r="PV119" s="199"/>
      <c r="PW119" s="198"/>
      <c r="PX119" s="199"/>
      <c r="PY119" s="198"/>
      <c r="PZ119" s="199"/>
      <c r="QA119" s="198"/>
      <c r="QB119" s="199"/>
      <c r="QC119" s="198"/>
      <c r="QD119" s="199"/>
      <c r="QE119" s="198"/>
      <c r="QF119" s="199"/>
      <c r="QG119" s="198"/>
      <c r="QH119" s="199"/>
      <c r="QI119" s="198"/>
      <c r="QJ119" s="199"/>
      <c r="QK119" s="198"/>
      <c r="QL119" s="199"/>
      <c r="QM119" s="198"/>
      <c r="QN119" s="199"/>
      <c r="QO119" s="198"/>
      <c r="QP119" s="199"/>
      <c r="QQ119" s="198"/>
      <c r="QR119" s="199"/>
      <c r="QS119" s="198"/>
      <c r="QT119" s="199"/>
      <c r="QU119" s="198"/>
      <c r="QV119" s="199"/>
      <c r="QW119" s="198"/>
      <c r="QX119" s="199"/>
      <c r="QY119" s="198"/>
      <c r="QZ119" s="199"/>
      <c r="RA119" s="198"/>
      <c r="RB119" s="199"/>
      <c r="RC119" s="198"/>
      <c r="RD119" s="199"/>
      <c r="RE119" s="198"/>
      <c r="RF119" s="199"/>
      <c r="RG119" s="198"/>
      <c r="RH119" s="199"/>
      <c r="RI119" s="198"/>
      <c r="RJ119" s="199"/>
      <c r="RK119" s="198"/>
      <c r="RL119" s="199"/>
      <c r="RM119" s="198"/>
      <c r="RN119" s="199"/>
      <c r="RO119" s="198"/>
      <c r="RP119" s="199"/>
      <c r="RQ119" s="198"/>
      <c r="RR119" s="199"/>
      <c r="RS119" s="198"/>
      <c r="RT119" s="199"/>
      <c r="RU119" s="198"/>
      <c r="RV119" s="199"/>
      <c r="RW119" s="198"/>
      <c r="RX119" s="199"/>
      <c r="RY119" s="198"/>
      <c r="RZ119" s="199"/>
      <c r="SA119" s="198"/>
      <c r="SB119" s="199"/>
      <c r="SC119" s="198"/>
      <c r="SD119" s="199"/>
      <c r="SE119" s="198"/>
      <c r="SF119" s="199"/>
      <c r="SG119" s="198"/>
      <c r="SH119" s="199"/>
      <c r="SI119" s="198"/>
      <c r="SJ119" s="199"/>
      <c r="SK119" s="198"/>
      <c r="SL119" s="199"/>
      <c r="SM119" s="198"/>
      <c r="SN119" s="199"/>
      <c r="SO119" s="198"/>
      <c r="SP119" s="199"/>
      <c r="SQ119" s="198"/>
      <c r="SR119" s="199"/>
      <c r="SS119" s="198"/>
      <c r="ST119" s="199"/>
      <c r="SU119" s="198"/>
      <c r="SV119" s="199"/>
      <c r="SW119" s="198"/>
      <c r="SX119" s="199"/>
      <c r="SY119" s="198"/>
      <c r="SZ119" s="199"/>
      <c r="TA119" s="198"/>
      <c r="TB119" s="199"/>
      <c r="TC119" s="198"/>
      <c r="TD119" s="199"/>
      <c r="TE119" s="198"/>
      <c r="TF119" s="199"/>
      <c r="TG119" s="198"/>
      <c r="TH119" s="199"/>
      <c r="TI119" s="198"/>
      <c r="TJ119" s="199"/>
      <c r="TK119" s="198"/>
      <c r="TL119" s="199"/>
      <c r="TM119" s="198"/>
      <c r="TN119" s="199"/>
      <c r="TO119" s="198"/>
      <c r="TP119" s="199"/>
      <c r="TQ119" s="198"/>
      <c r="TR119" s="199"/>
      <c r="TS119" s="198"/>
      <c r="TT119" s="199"/>
      <c r="TU119" s="198"/>
      <c r="TV119" s="199"/>
      <c r="TW119" s="198"/>
      <c r="TX119" s="199"/>
      <c r="TY119" s="198"/>
      <c r="TZ119" s="199"/>
      <c r="UA119" s="198"/>
      <c r="UB119" s="199"/>
      <c r="UC119" s="198"/>
      <c r="UD119" s="199"/>
      <c r="UE119" s="198"/>
      <c r="UF119" s="199"/>
      <c r="UG119" s="198"/>
      <c r="UH119" s="199"/>
      <c r="UI119" s="198"/>
      <c r="UJ119" s="199"/>
      <c r="UK119" s="198"/>
      <c r="UL119" s="199"/>
      <c r="UM119" s="198"/>
      <c r="UN119" s="199"/>
      <c r="UO119" s="198"/>
      <c r="UP119" s="199"/>
      <c r="UQ119" s="198"/>
      <c r="UR119" s="199"/>
      <c r="US119" s="198"/>
      <c r="UT119" s="199"/>
      <c r="UU119" s="198"/>
      <c r="UV119" s="199"/>
      <c r="UW119" s="198"/>
      <c r="UX119" s="199"/>
      <c r="UY119" s="198"/>
      <c r="UZ119" s="199"/>
      <c r="VA119" s="198"/>
      <c r="VB119" s="199"/>
      <c r="VC119" s="198"/>
      <c r="VD119" s="199"/>
      <c r="VE119" s="198"/>
      <c r="VF119" s="199"/>
      <c r="VG119" s="198"/>
      <c r="VH119" s="199"/>
      <c r="VI119" s="198"/>
      <c r="VJ119" s="199"/>
      <c r="VK119" s="198"/>
      <c r="VL119" s="199"/>
      <c r="VM119" s="198"/>
      <c r="VN119" s="199"/>
      <c r="VO119" s="198"/>
      <c r="VP119" s="199"/>
      <c r="VQ119" s="198"/>
      <c r="VR119" s="199"/>
      <c r="VS119" s="198"/>
      <c r="VT119" s="199"/>
      <c r="VU119" s="198"/>
      <c r="VV119" s="199"/>
      <c r="VW119" s="198"/>
      <c r="VX119" s="199"/>
      <c r="VY119" s="198"/>
      <c r="VZ119" s="199"/>
      <c r="WA119" s="198"/>
      <c r="WB119" s="199"/>
      <c r="WC119" s="198"/>
      <c r="WD119" s="199"/>
      <c r="WE119" s="198"/>
      <c r="WF119" s="199"/>
      <c r="WG119" s="198"/>
      <c r="WH119" s="199"/>
      <c r="WI119" s="198"/>
      <c r="WJ119" s="199"/>
      <c r="WK119" s="198"/>
      <c r="WL119" s="199"/>
      <c r="WM119" s="198"/>
      <c r="WN119" s="199"/>
      <c r="WO119" s="198"/>
      <c r="WP119" s="199"/>
      <c r="WQ119" s="198"/>
      <c r="WR119" s="199"/>
      <c r="WS119" s="198"/>
      <c r="WT119" s="199"/>
      <c r="WU119" s="198"/>
      <c r="WV119" s="199"/>
      <c r="WW119" s="198"/>
      <c r="WX119" s="199"/>
      <c r="WY119" s="198"/>
      <c r="WZ119" s="199"/>
      <c r="XA119" s="198"/>
      <c r="XB119" s="199"/>
      <c r="XC119" s="198"/>
      <c r="XD119" s="199"/>
      <c r="XE119" s="198"/>
      <c r="XF119" s="199"/>
      <c r="XG119" s="198"/>
      <c r="XH119" s="199"/>
      <c r="XI119" s="198"/>
      <c r="XJ119" s="199"/>
      <c r="XK119" s="198"/>
      <c r="XL119" s="199"/>
      <c r="XM119" s="198"/>
      <c r="XN119" s="199"/>
      <c r="XO119" s="198"/>
      <c r="XP119" s="199"/>
      <c r="XQ119" s="198"/>
      <c r="XR119" s="199"/>
      <c r="XS119" s="198"/>
      <c r="XT119" s="199"/>
      <c r="XU119" s="198"/>
      <c r="XV119" s="199"/>
      <c r="XW119" s="198"/>
      <c r="XX119" s="199"/>
      <c r="XY119" s="198"/>
      <c r="XZ119" s="199"/>
      <c r="YA119" s="198"/>
      <c r="YB119" s="199"/>
      <c r="YC119" s="198"/>
      <c r="YD119" s="199"/>
      <c r="YE119" s="198"/>
      <c r="YF119" s="199"/>
      <c r="YG119" s="198"/>
      <c r="YH119" s="199"/>
      <c r="YI119" s="198"/>
      <c r="YJ119" s="199"/>
      <c r="YK119" s="198"/>
      <c r="YL119" s="199"/>
      <c r="YM119" s="198"/>
      <c r="YN119" s="199"/>
      <c r="YO119" s="198"/>
      <c r="YP119" s="199"/>
      <c r="YQ119" s="198"/>
      <c r="YR119" s="199"/>
      <c r="YS119" s="198"/>
      <c r="YT119" s="199"/>
      <c r="YU119" s="198"/>
      <c r="YV119" s="199"/>
      <c r="YW119" s="198"/>
      <c r="YX119" s="199"/>
      <c r="YY119" s="198"/>
      <c r="YZ119" s="199"/>
      <c r="ZA119" s="198"/>
      <c r="ZB119" s="199"/>
      <c r="ZC119" s="198"/>
      <c r="ZD119" s="199"/>
      <c r="ZE119" s="198"/>
      <c r="ZF119" s="199"/>
      <c r="ZG119" s="198"/>
      <c r="ZH119" s="199"/>
      <c r="ZI119" s="198"/>
      <c r="ZJ119" s="199"/>
      <c r="ZK119" s="198"/>
      <c r="ZL119" s="199"/>
      <c r="ZM119" s="198"/>
      <c r="ZN119" s="199"/>
      <c r="ZO119" s="198"/>
      <c r="ZP119" s="199"/>
      <c r="ZQ119" s="198"/>
      <c r="ZR119" s="199"/>
      <c r="ZS119" s="198"/>
      <c r="ZT119" s="199"/>
      <c r="ZU119" s="198"/>
      <c r="ZV119" s="199"/>
      <c r="ZW119" s="198"/>
      <c r="ZX119" s="199"/>
      <c r="ZY119" s="198"/>
      <c r="ZZ119" s="199"/>
      <c r="AAA119" s="198"/>
      <c r="AAB119" s="199"/>
      <c r="AAC119" s="198"/>
      <c r="AAD119" s="199"/>
      <c r="AAE119" s="198"/>
      <c r="AAF119" s="199"/>
      <c r="AAG119" s="198"/>
      <c r="AAH119" s="199"/>
      <c r="AAI119" s="198"/>
      <c r="AAJ119" s="199"/>
      <c r="AAK119" s="198"/>
      <c r="AAL119" s="199"/>
      <c r="AAM119" s="198"/>
      <c r="AAN119" s="199"/>
      <c r="AAO119" s="198"/>
      <c r="AAP119" s="199"/>
      <c r="AAQ119" s="198"/>
      <c r="AAR119" s="199"/>
      <c r="AAS119" s="198"/>
      <c r="AAT119" s="199"/>
      <c r="AAU119" s="198"/>
      <c r="AAV119" s="199"/>
      <c r="AAW119" s="198"/>
      <c r="AAX119" s="199"/>
      <c r="AAY119" s="198"/>
      <c r="AAZ119" s="199"/>
      <c r="ABA119" s="198"/>
      <c r="ABB119" s="199"/>
      <c r="ABC119" s="198"/>
      <c r="ABD119" s="199"/>
      <c r="ABE119" s="198"/>
      <c r="ABF119" s="199"/>
      <c r="ABG119" s="198"/>
      <c r="ABH119" s="199"/>
      <c r="ABI119" s="198"/>
      <c r="ABJ119" s="199"/>
      <c r="ABK119" s="198"/>
      <c r="ABL119" s="199"/>
      <c r="ABM119" s="198"/>
      <c r="ABN119" s="199"/>
      <c r="ABO119" s="198"/>
      <c r="ABP119" s="199"/>
      <c r="ABQ119" s="198"/>
      <c r="ABR119" s="199"/>
      <c r="ABS119" s="198"/>
      <c r="ABT119" s="199"/>
      <c r="ABU119" s="198"/>
      <c r="ABV119" s="199"/>
      <c r="ABW119" s="198"/>
      <c r="ABX119" s="199"/>
      <c r="ABY119" s="198"/>
      <c r="ABZ119" s="199"/>
      <c r="ACA119" s="198"/>
      <c r="ACB119" s="199"/>
      <c r="ACC119" s="198"/>
      <c r="ACD119" s="199"/>
      <c r="ACE119" s="198"/>
      <c r="ACF119" s="199"/>
      <c r="ACG119" s="198"/>
      <c r="ACH119" s="199"/>
      <c r="ACI119" s="198"/>
      <c r="ACJ119" s="199"/>
      <c r="ACK119" s="198"/>
      <c r="ACL119" s="199"/>
      <c r="ACM119" s="198"/>
      <c r="ACN119" s="199"/>
      <c r="ACO119" s="198"/>
      <c r="ACP119" s="199"/>
      <c r="ACQ119" s="198"/>
      <c r="ACR119" s="199"/>
      <c r="ACS119" s="198"/>
      <c r="ACT119" s="199"/>
      <c r="ACU119" s="198"/>
      <c r="ACV119" s="199"/>
      <c r="ACW119" s="198"/>
      <c r="ACX119" s="199"/>
      <c r="ACY119" s="198"/>
      <c r="ACZ119" s="199"/>
      <c r="ADA119" s="198"/>
      <c r="ADB119" s="199"/>
      <c r="ADC119" s="198"/>
      <c r="ADD119" s="199"/>
      <c r="ADE119" s="198"/>
      <c r="ADF119" s="199"/>
      <c r="ADG119" s="198"/>
      <c r="ADH119" s="199"/>
      <c r="ADI119" s="198"/>
      <c r="ADJ119" s="199"/>
      <c r="ADK119" s="198"/>
      <c r="ADL119" s="199"/>
      <c r="ADM119" s="198"/>
      <c r="ADN119" s="199"/>
      <c r="ADO119" s="198"/>
      <c r="ADP119" s="199"/>
      <c r="ADQ119" s="198"/>
      <c r="ADR119" s="199"/>
      <c r="ADS119" s="198"/>
      <c r="ADT119" s="199"/>
      <c r="ADU119" s="198"/>
      <c r="ADV119" s="199"/>
      <c r="ADW119" s="198"/>
      <c r="ADX119" s="199"/>
      <c r="ADY119" s="198"/>
      <c r="ADZ119" s="199"/>
      <c r="AEA119" s="198"/>
      <c r="AEB119" s="199"/>
      <c r="AEC119" s="198"/>
      <c r="AED119" s="199"/>
      <c r="AEE119" s="198"/>
      <c r="AEF119" s="199"/>
      <c r="AEG119" s="198"/>
      <c r="AEH119" s="199"/>
      <c r="AEI119" s="198"/>
      <c r="AEJ119" s="199"/>
      <c r="AEK119" s="198"/>
      <c r="AEL119" s="199"/>
      <c r="AEM119" s="198"/>
      <c r="AEN119" s="199"/>
      <c r="AEO119" s="198"/>
      <c r="AEP119" s="199"/>
      <c r="AEQ119" s="198"/>
      <c r="AER119" s="199"/>
      <c r="AES119" s="198"/>
      <c r="AET119" s="199"/>
      <c r="AEU119" s="198"/>
      <c r="AEV119" s="199"/>
      <c r="AEW119" s="198"/>
      <c r="AEX119" s="199"/>
      <c r="AEY119" s="198"/>
      <c r="AEZ119" s="199"/>
      <c r="AFA119" s="198"/>
      <c r="AFB119" s="199"/>
      <c r="AFC119" s="198"/>
      <c r="AFD119" s="199"/>
      <c r="AFE119" s="198"/>
      <c r="AFF119" s="199"/>
      <c r="AFG119" s="198"/>
      <c r="AFH119" s="199"/>
      <c r="AFI119" s="198"/>
      <c r="AFJ119" s="199"/>
      <c r="AFK119" s="198"/>
      <c r="AFL119" s="199"/>
      <c r="AFM119" s="198"/>
      <c r="AFN119" s="199"/>
      <c r="AFO119" s="198"/>
      <c r="AFP119" s="199"/>
      <c r="AFQ119" s="198"/>
      <c r="AFR119" s="199"/>
      <c r="AFS119" s="198"/>
      <c r="AFT119" s="199"/>
      <c r="AFU119" s="198"/>
      <c r="AFV119" s="199"/>
      <c r="AFW119" s="198"/>
      <c r="AFX119" s="199"/>
      <c r="AFY119" s="198"/>
      <c r="AFZ119" s="199"/>
      <c r="AGA119" s="198"/>
      <c r="AGB119" s="199"/>
      <c r="AGC119" s="198"/>
      <c r="AGD119" s="199"/>
      <c r="AGE119" s="198"/>
      <c r="AGF119" s="199"/>
      <c r="AGG119" s="198"/>
      <c r="AGH119" s="199"/>
      <c r="AGI119" s="198"/>
      <c r="AGJ119" s="199"/>
      <c r="AGK119" s="198"/>
      <c r="AGL119" s="199"/>
      <c r="AGM119" s="198"/>
      <c r="AGN119" s="199"/>
      <c r="AGO119" s="198"/>
      <c r="AGP119" s="199"/>
      <c r="AGQ119" s="198"/>
      <c r="AGR119" s="199"/>
      <c r="AGS119" s="198"/>
      <c r="AGT119" s="199"/>
      <c r="AGU119" s="198"/>
      <c r="AGV119" s="199"/>
      <c r="AGW119" s="198"/>
      <c r="AGX119" s="199"/>
      <c r="AGY119" s="198"/>
      <c r="AGZ119" s="199"/>
      <c r="AHA119" s="198"/>
      <c r="AHB119" s="199"/>
      <c r="AHC119" s="198"/>
      <c r="AHD119" s="199"/>
      <c r="AHE119" s="198"/>
      <c r="AHF119" s="199"/>
      <c r="AHG119" s="198"/>
      <c r="AHH119" s="199"/>
      <c r="AHI119" s="198"/>
      <c r="AHJ119" s="199"/>
      <c r="AHK119" s="198"/>
      <c r="AHL119" s="199"/>
      <c r="AHM119" s="198"/>
      <c r="AHN119" s="199"/>
      <c r="AHO119" s="198"/>
      <c r="AHP119" s="199"/>
      <c r="AHQ119" s="198"/>
      <c r="AHR119" s="199"/>
      <c r="AHS119" s="198"/>
      <c r="AHT119" s="199"/>
      <c r="AHU119" s="198"/>
      <c r="AHV119" s="199"/>
      <c r="AHW119" s="198"/>
      <c r="AHX119" s="199"/>
      <c r="AHY119" s="198"/>
      <c r="AHZ119" s="199"/>
      <c r="AIA119" s="198"/>
      <c r="AIB119" s="199"/>
      <c r="AIC119" s="198"/>
      <c r="AID119" s="199"/>
      <c r="AIE119" s="198"/>
      <c r="AIF119" s="199"/>
      <c r="AIG119" s="198"/>
      <c r="AIH119" s="199"/>
      <c r="AII119" s="198"/>
      <c r="AIJ119" s="199"/>
      <c r="AIK119" s="198"/>
      <c r="AIL119" s="199"/>
      <c r="AIM119" s="198"/>
      <c r="AIN119" s="199"/>
      <c r="AIO119" s="198"/>
      <c r="AIP119" s="199"/>
      <c r="AIQ119" s="198"/>
      <c r="AIR119" s="199"/>
      <c r="AIS119" s="198"/>
      <c r="AIT119" s="199"/>
      <c r="AIU119" s="198"/>
      <c r="AIV119" s="199"/>
      <c r="AIW119" s="198"/>
      <c r="AIX119" s="199"/>
      <c r="AIY119" s="198"/>
      <c r="AIZ119" s="199"/>
      <c r="AJA119" s="198"/>
      <c r="AJB119" s="199"/>
      <c r="AJC119" s="198"/>
      <c r="AJD119" s="199"/>
      <c r="AJE119" s="198"/>
      <c r="AJF119" s="199"/>
      <c r="AJG119" s="198"/>
      <c r="AJH119" s="199"/>
      <c r="AJI119" s="198"/>
      <c r="AJJ119" s="199"/>
      <c r="AJK119" s="198"/>
      <c r="AJL119" s="199"/>
      <c r="AJM119" s="198"/>
      <c r="AJN119" s="199"/>
      <c r="AJO119" s="198"/>
      <c r="AJP119" s="199"/>
      <c r="AJQ119" s="198"/>
      <c r="AJR119" s="199"/>
      <c r="AJS119" s="198"/>
      <c r="AJT119" s="199"/>
      <c r="AJU119" s="198"/>
      <c r="AJV119" s="199"/>
      <c r="AJW119" s="198"/>
      <c r="AJX119" s="199"/>
      <c r="AJY119" s="198"/>
      <c r="AJZ119" s="199"/>
      <c r="AKA119" s="198"/>
      <c r="AKB119" s="199"/>
      <c r="AKC119" s="198"/>
      <c r="AKD119" s="199"/>
      <c r="AKE119" s="198"/>
      <c r="AKF119" s="199"/>
      <c r="AKG119" s="198"/>
      <c r="AKH119" s="199"/>
      <c r="AKI119" s="198"/>
      <c r="AKJ119" s="199"/>
      <c r="AKK119" s="198"/>
      <c r="AKL119" s="199"/>
      <c r="AKM119" s="198"/>
      <c r="AKN119" s="199"/>
      <c r="AKO119" s="198"/>
      <c r="AKP119" s="199"/>
      <c r="AKQ119" s="198"/>
      <c r="AKR119" s="199"/>
      <c r="AKS119" s="198"/>
      <c r="AKT119" s="199"/>
      <c r="AKU119" s="198"/>
      <c r="AKV119" s="199"/>
      <c r="AKW119" s="198"/>
      <c r="AKX119" s="199"/>
      <c r="AKY119" s="198"/>
      <c r="AKZ119" s="199"/>
      <c r="ALA119" s="198"/>
      <c r="ALB119" s="199"/>
      <c r="ALC119" s="198"/>
      <c r="ALD119" s="199"/>
      <c r="ALE119" s="198"/>
      <c r="ALF119" s="199"/>
      <c r="ALG119" s="198"/>
      <c r="ALH119" s="199"/>
      <c r="ALI119" s="198"/>
      <c r="ALJ119" s="199"/>
      <c r="ALK119" s="198"/>
      <c r="ALL119" s="199"/>
      <c r="ALM119" s="198"/>
      <c r="ALN119" s="199"/>
      <c r="ALO119" s="198"/>
      <c r="ALP119" s="199"/>
      <c r="ALQ119" s="198"/>
      <c r="ALR119" s="199"/>
      <c r="ALS119" s="198"/>
      <c r="ALT119" s="199"/>
      <c r="ALU119" s="198"/>
      <c r="ALV119" s="199"/>
      <c r="ALW119" s="198"/>
      <c r="ALX119" s="199"/>
      <c r="ALY119" s="198"/>
      <c r="ALZ119" s="199"/>
      <c r="AMA119" s="198"/>
      <c r="AMB119" s="199"/>
      <c r="AMC119" s="198"/>
      <c r="AMD119" s="199"/>
      <c r="AME119" s="198"/>
      <c r="AMF119" s="199"/>
      <c r="AMG119" s="198"/>
      <c r="AMH119" s="199"/>
      <c r="AMI119" s="198"/>
      <c r="AMJ119" s="199"/>
      <c r="AMK119" s="198"/>
      <c r="AML119" s="199"/>
      <c r="AMM119" s="198"/>
      <c r="AMN119" s="199"/>
      <c r="AMO119" s="198"/>
      <c r="AMP119" s="199"/>
      <c r="AMQ119" s="198"/>
      <c r="AMR119" s="199"/>
      <c r="AMS119" s="198"/>
      <c r="AMT119" s="199"/>
      <c r="AMU119" s="198"/>
      <c r="AMV119" s="199"/>
      <c r="AMW119" s="198"/>
      <c r="AMX119" s="199"/>
      <c r="AMY119" s="198"/>
      <c r="AMZ119" s="199"/>
      <c r="ANA119" s="198"/>
      <c r="ANB119" s="199"/>
      <c r="ANC119" s="198"/>
      <c r="AND119" s="199"/>
      <c r="ANE119" s="198"/>
      <c r="ANF119" s="199"/>
      <c r="ANG119" s="198"/>
      <c r="ANH119" s="199"/>
      <c r="ANI119" s="198"/>
      <c r="ANJ119" s="199"/>
      <c r="ANK119" s="198"/>
      <c r="ANL119" s="199"/>
      <c r="ANM119" s="198"/>
      <c r="ANN119" s="199"/>
      <c r="ANO119" s="198"/>
      <c r="ANP119" s="199"/>
      <c r="ANQ119" s="198"/>
      <c r="ANR119" s="199"/>
      <c r="ANS119" s="198"/>
      <c r="ANT119" s="199"/>
      <c r="ANU119" s="198"/>
      <c r="ANV119" s="199"/>
      <c r="ANW119" s="198"/>
      <c r="ANX119" s="199"/>
      <c r="ANY119" s="198"/>
      <c r="ANZ119" s="199"/>
      <c r="AOA119" s="198"/>
      <c r="AOB119" s="199"/>
      <c r="AOC119" s="198"/>
      <c r="AOD119" s="199"/>
      <c r="AOE119" s="198"/>
      <c r="AOF119" s="199"/>
      <c r="AOG119" s="198"/>
      <c r="AOH119" s="199"/>
      <c r="AOI119" s="198"/>
      <c r="AOJ119" s="199"/>
      <c r="AOK119" s="198"/>
      <c r="AOL119" s="199"/>
      <c r="AOM119" s="198"/>
      <c r="AON119" s="199"/>
      <c r="AOO119" s="198"/>
      <c r="AOP119" s="199"/>
      <c r="AOQ119" s="198"/>
      <c r="AOR119" s="199"/>
      <c r="AOS119" s="198"/>
      <c r="AOT119" s="199"/>
      <c r="AOU119" s="198"/>
      <c r="AOV119" s="199"/>
      <c r="AOW119" s="198"/>
      <c r="AOX119" s="199"/>
      <c r="AOY119" s="198"/>
      <c r="AOZ119" s="199"/>
      <c r="APA119" s="198"/>
      <c r="APB119" s="199"/>
      <c r="APC119" s="198"/>
      <c r="APD119" s="199"/>
      <c r="APE119" s="198"/>
      <c r="APF119" s="199"/>
      <c r="APG119" s="198"/>
      <c r="APH119" s="199"/>
      <c r="API119" s="198"/>
      <c r="APJ119" s="199"/>
      <c r="APK119" s="198"/>
      <c r="APL119" s="199"/>
      <c r="APM119" s="198"/>
      <c r="APN119" s="199"/>
      <c r="APO119" s="198"/>
      <c r="APP119" s="199"/>
      <c r="APQ119" s="198"/>
      <c r="APR119" s="199"/>
      <c r="APS119" s="198"/>
      <c r="APT119" s="199"/>
      <c r="APU119" s="198"/>
      <c r="APV119" s="199"/>
      <c r="APW119" s="198"/>
      <c r="APX119" s="199"/>
      <c r="APY119" s="198"/>
      <c r="APZ119" s="199"/>
      <c r="AQA119" s="198"/>
      <c r="AQB119" s="199"/>
      <c r="AQC119" s="198"/>
      <c r="AQD119" s="199"/>
      <c r="AQE119" s="198"/>
      <c r="AQF119" s="199"/>
      <c r="AQG119" s="198"/>
      <c r="AQH119" s="199"/>
      <c r="AQI119" s="198"/>
      <c r="AQJ119" s="199"/>
      <c r="AQK119" s="198"/>
      <c r="AQL119" s="199"/>
      <c r="AQM119" s="198"/>
      <c r="AQN119" s="199"/>
      <c r="AQO119" s="198"/>
      <c r="AQP119" s="199"/>
      <c r="AQQ119" s="198"/>
      <c r="AQR119" s="199"/>
      <c r="AQS119" s="198"/>
      <c r="AQT119" s="199"/>
      <c r="AQU119" s="198"/>
      <c r="AQV119" s="199"/>
      <c r="AQW119" s="198"/>
      <c r="AQX119" s="199"/>
      <c r="AQY119" s="198"/>
      <c r="AQZ119" s="199"/>
      <c r="ARA119" s="198"/>
      <c r="ARB119" s="199"/>
      <c r="ARC119" s="198"/>
      <c r="ARD119" s="199"/>
      <c r="ARE119" s="198"/>
      <c r="ARF119" s="199"/>
      <c r="ARG119" s="198"/>
      <c r="ARH119" s="199"/>
      <c r="ARI119" s="198"/>
      <c r="ARJ119" s="199"/>
      <c r="ARK119" s="198"/>
      <c r="ARL119" s="199"/>
      <c r="ARM119" s="198"/>
      <c r="ARN119" s="199"/>
      <c r="ARO119" s="198"/>
      <c r="ARP119" s="199"/>
      <c r="ARQ119" s="198"/>
      <c r="ARR119" s="199"/>
      <c r="ARS119" s="198"/>
      <c r="ART119" s="199"/>
      <c r="ARU119" s="198"/>
      <c r="ARV119" s="199"/>
      <c r="ARW119" s="198"/>
      <c r="ARX119" s="199"/>
      <c r="ARY119" s="198"/>
      <c r="ARZ119" s="199"/>
      <c r="ASA119" s="198"/>
      <c r="ASB119" s="199"/>
      <c r="ASC119" s="198"/>
      <c r="ASD119" s="199"/>
      <c r="ASE119" s="198"/>
      <c r="ASF119" s="199"/>
      <c r="ASG119" s="198"/>
      <c r="ASH119" s="199"/>
      <c r="ASI119" s="198"/>
      <c r="ASJ119" s="199"/>
      <c r="ASK119" s="198"/>
      <c r="ASL119" s="199"/>
      <c r="ASM119" s="198"/>
      <c r="ASN119" s="199"/>
      <c r="ASO119" s="198"/>
      <c r="ASP119" s="199"/>
      <c r="ASQ119" s="198"/>
      <c r="ASR119" s="199"/>
      <c r="ASS119" s="198"/>
      <c r="AST119" s="199"/>
      <c r="ASU119" s="198"/>
      <c r="ASV119" s="199"/>
      <c r="ASW119" s="198"/>
      <c r="ASX119" s="199"/>
      <c r="ASY119" s="198"/>
      <c r="ASZ119" s="199"/>
      <c r="ATA119" s="198"/>
      <c r="ATB119" s="199"/>
      <c r="ATC119" s="198"/>
      <c r="ATD119" s="199"/>
      <c r="ATE119" s="198"/>
      <c r="ATF119" s="199"/>
      <c r="ATG119" s="198"/>
      <c r="ATH119" s="199"/>
      <c r="ATI119" s="198"/>
      <c r="ATJ119" s="199"/>
      <c r="ATK119" s="198"/>
      <c r="ATL119" s="199"/>
      <c r="ATM119" s="198"/>
      <c r="ATN119" s="199"/>
      <c r="ATO119" s="198"/>
      <c r="ATP119" s="199"/>
      <c r="ATQ119" s="198"/>
      <c r="ATR119" s="199"/>
      <c r="ATS119" s="198"/>
      <c r="ATT119" s="199"/>
      <c r="ATU119" s="198"/>
      <c r="ATV119" s="199"/>
      <c r="ATW119" s="198"/>
      <c r="ATX119" s="199"/>
      <c r="ATY119" s="198"/>
      <c r="ATZ119" s="199"/>
      <c r="AUA119" s="198"/>
      <c r="AUB119" s="199"/>
      <c r="AUC119" s="198"/>
      <c r="AUD119" s="199"/>
      <c r="AUE119" s="198"/>
      <c r="AUF119" s="199"/>
      <c r="AUG119" s="198"/>
      <c r="AUH119" s="199"/>
      <c r="AUI119" s="198"/>
      <c r="AUJ119" s="199"/>
      <c r="AUK119" s="198"/>
      <c r="AUL119" s="199"/>
      <c r="AUM119" s="198"/>
      <c r="AUN119" s="199"/>
      <c r="AUO119" s="198"/>
      <c r="AUP119" s="199"/>
      <c r="AUQ119" s="198"/>
      <c r="AUR119" s="199"/>
      <c r="AUS119" s="198"/>
      <c r="AUT119" s="199"/>
      <c r="AUU119" s="198"/>
      <c r="AUV119" s="199"/>
      <c r="AUW119" s="198"/>
      <c r="AUX119" s="199"/>
      <c r="AUY119" s="198"/>
      <c r="AUZ119" s="199"/>
      <c r="AVA119" s="198"/>
      <c r="AVB119" s="199"/>
      <c r="AVC119" s="198"/>
      <c r="AVD119" s="199"/>
      <c r="AVE119" s="198"/>
      <c r="AVF119" s="199"/>
      <c r="AVG119" s="198"/>
      <c r="AVH119" s="199"/>
      <c r="AVI119" s="198"/>
      <c r="AVJ119" s="199"/>
      <c r="AVK119" s="198"/>
      <c r="AVL119" s="199"/>
      <c r="AVM119" s="198"/>
      <c r="AVN119" s="199"/>
      <c r="AVO119" s="198"/>
      <c r="AVP119" s="199"/>
      <c r="AVQ119" s="198"/>
      <c r="AVR119" s="199"/>
      <c r="AVS119" s="198"/>
      <c r="AVT119" s="199"/>
      <c r="AVU119" s="198"/>
      <c r="AVV119" s="199"/>
      <c r="AVW119" s="198"/>
      <c r="AVX119" s="199"/>
      <c r="AVY119" s="198"/>
      <c r="AVZ119" s="199"/>
      <c r="AWA119" s="198"/>
      <c r="AWB119" s="199"/>
      <c r="AWC119" s="198"/>
      <c r="AWD119" s="199"/>
      <c r="AWE119" s="198"/>
      <c r="AWF119" s="199"/>
      <c r="AWG119" s="198"/>
      <c r="AWH119" s="199"/>
      <c r="AWI119" s="198"/>
      <c r="AWJ119" s="199"/>
      <c r="AWK119" s="198"/>
      <c r="AWL119" s="199"/>
      <c r="AWM119" s="198"/>
      <c r="AWN119" s="199"/>
      <c r="AWO119" s="198"/>
      <c r="AWP119" s="199"/>
      <c r="AWQ119" s="198"/>
      <c r="AWR119" s="199"/>
      <c r="AWS119" s="198"/>
      <c r="AWT119" s="199"/>
      <c r="AWU119" s="198"/>
      <c r="AWV119" s="199"/>
      <c r="AWW119" s="198"/>
      <c r="AWX119" s="199"/>
      <c r="AWY119" s="198"/>
      <c r="AWZ119" s="199"/>
      <c r="AXA119" s="198"/>
      <c r="AXB119" s="199"/>
      <c r="AXC119" s="198"/>
      <c r="AXD119" s="199"/>
      <c r="AXE119" s="198"/>
      <c r="AXF119" s="199"/>
      <c r="AXG119" s="198"/>
      <c r="AXH119" s="199"/>
      <c r="AXI119" s="198"/>
      <c r="AXJ119" s="199"/>
      <c r="AXK119" s="198"/>
      <c r="AXL119" s="199"/>
      <c r="AXM119" s="198"/>
      <c r="AXN119" s="199"/>
      <c r="AXO119" s="198"/>
      <c r="AXP119" s="199"/>
      <c r="AXQ119" s="198"/>
      <c r="AXR119" s="199"/>
      <c r="AXS119" s="198"/>
      <c r="AXT119" s="199"/>
      <c r="AXU119" s="198"/>
      <c r="AXV119" s="199"/>
      <c r="AXW119" s="198"/>
      <c r="AXX119" s="199"/>
      <c r="AXY119" s="198"/>
      <c r="AXZ119" s="199"/>
      <c r="AYA119" s="198"/>
      <c r="AYB119" s="199"/>
      <c r="AYC119" s="198"/>
      <c r="AYD119" s="199"/>
      <c r="AYE119" s="198"/>
      <c r="AYF119" s="199"/>
      <c r="AYG119" s="198"/>
      <c r="AYH119" s="199"/>
      <c r="AYI119" s="198"/>
      <c r="AYJ119" s="199"/>
      <c r="AYK119" s="198"/>
      <c r="AYL119" s="199"/>
      <c r="AYM119" s="198"/>
      <c r="AYN119" s="199"/>
      <c r="AYO119" s="198"/>
      <c r="AYP119" s="199"/>
      <c r="AYQ119" s="198"/>
      <c r="AYR119" s="199"/>
      <c r="AYS119" s="198"/>
      <c r="AYT119" s="199"/>
      <c r="AYU119" s="198"/>
      <c r="AYV119" s="199"/>
      <c r="AYW119" s="198"/>
      <c r="AYX119" s="199"/>
      <c r="AYY119" s="198"/>
      <c r="AYZ119" s="199"/>
      <c r="AZA119" s="198"/>
      <c r="AZB119" s="199"/>
      <c r="AZC119" s="198"/>
      <c r="AZD119" s="199"/>
      <c r="AZE119" s="198"/>
      <c r="AZF119" s="199"/>
      <c r="AZG119" s="198"/>
      <c r="AZH119" s="199"/>
      <c r="AZI119" s="198"/>
      <c r="AZJ119" s="199"/>
      <c r="AZK119" s="198"/>
      <c r="AZL119" s="199"/>
      <c r="AZM119" s="198"/>
      <c r="AZN119" s="199"/>
      <c r="AZO119" s="198"/>
      <c r="AZP119" s="199"/>
      <c r="AZQ119" s="198"/>
      <c r="AZR119" s="199"/>
      <c r="AZS119" s="198"/>
      <c r="AZT119" s="199"/>
      <c r="AZU119" s="198"/>
      <c r="AZV119" s="199"/>
      <c r="AZW119" s="198"/>
      <c r="AZX119" s="199"/>
      <c r="AZY119" s="198"/>
      <c r="AZZ119" s="199"/>
      <c r="BAA119" s="198"/>
      <c r="BAB119" s="199"/>
      <c r="BAC119" s="198"/>
      <c r="BAD119" s="199"/>
      <c r="BAE119" s="198"/>
      <c r="BAF119" s="199"/>
      <c r="BAG119" s="198"/>
      <c r="BAH119" s="199"/>
      <c r="BAI119" s="198"/>
      <c r="BAJ119" s="199"/>
      <c r="BAK119" s="198"/>
      <c r="BAL119" s="199"/>
      <c r="BAM119" s="198"/>
      <c r="BAN119" s="199"/>
      <c r="BAO119" s="198"/>
      <c r="BAP119" s="199"/>
      <c r="BAQ119" s="198"/>
      <c r="BAR119" s="199"/>
      <c r="BAS119" s="198"/>
      <c r="BAT119" s="199"/>
      <c r="BAU119" s="198"/>
      <c r="BAV119" s="199"/>
      <c r="BAW119" s="198"/>
      <c r="BAX119" s="199"/>
      <c r="BAY119" s="198"/>
      <c r="BAZ119" s="199"/>
      <c r="BBA119" s="198"/>
      <c r="BBB119" s="199"/>
      <c r="BBC119" s="198"/>
      <c r="BBD119" s="199"/>
      <c r="BBE119" s="198"/>
      <c r="BBF119" s="199"/>
      <c r="BBG119" s="198"/>
      <c r="BBH119" s="199"/>
      <c r="BBI119" s="198"/>
      <c r="BBJ119" s="199"/>
      <c r="BBK119" s="198"/>
      <c r="BBL119" s="199"/>
      <c r="BBM119" s="198"/>
      <c r="BBN119" s="199"/>
      <c r="BBO119" s="198"/>
      <c r="BBP119" s="199"/>
      <c r="BBQ119" s="198"/>
      <c r="BBR119" s="199"/>
      <c r="BBS119" s="198"/>
      <c r="BBT119" s="199"/>
      <c r="BBU119" s="198"/>
      <c r="BBV119" s="199"/>
      <c r="BBW119" s="198"/>
      <c r="BBX119" s="199"/>
      <c r="BBY119" s="198"/>
      <c r="BBZ119" s="199"/>
      <c r="BCA119" s="198"/>
      <c r="BCB119" s="199"/>
      <c r="BCC119" s="198"/>
      <c r="BCD119" s="199"/>
      <c r="BCE119" s="198"/>
      <c r="BCF119" s="199"/>
      <c r="BCG119" s="198"/>
      <c r="BCH119" s="199"/>
      <c r="BCI119" s="198"/>
      <c r="BCJ119" s="199"/>
      <c r="BCK119" s="198"/>
      <c r="BCL119" s="199"/>
      <c r="BCM119" s="198"/>
      <c r="BCN119" s="199"/>
      <c r="BCO119" s="198"/>
      <c r="BCP119" s="199"/>
      <c r="BCQ119" s="198"/>
      <c r="BCR119" s="199"/>
      <c r="BCS119" s="198"/>
      <c r="BCT119" s="199"/>
      <c r="BCU119" s="198"/>
      <c r="BCV119" s="199"/>
      <c r="BCW119" s="198"/>
      <c r="BCX119" s="199"/>
      <c r="BCY119" s="198"/>
      <c r="BCZ119" s="199"/>
      <c r="BDA119" s="198"/>
      <c r="BDB119" s="199"/>
      <c r="BDC119" s="198"/>
      <c r="BDD119" s="199"/>
      <c r="BDE119" s="198"/>
      <c r="BDF119" s="199"/>
      <c r="BDG119" s="198"/>
      <c r="BDH119" s="199"/>
      <c r="BDI119" s="198"/>
      <c r="BDJ119" s="199"/>
      <c r="BDK119" s="198"/>
      <c r="BDL119" s="199"/>
      <c r="BDM119" s="198"/>
      <c r="BDN119" s="199"/>
      <c r="BDO119" s="198"/>
      <c r="BDP119" s="199"/>
      <c r="BDQ119" s="198"/>
      <c r="BDR119" s="199"/>
      <c r="BDS119" s="198"/>
      <c r="BDT119" s="199"/>
      <c r="BDU119" s="198"/>
      <c r="BDV119" s="199"/>
      <c r="BDW119" s="198"/>
      <c r="BDX119" s="199"/>
      <c r="BDY119" s="198"/>
      <c r="BDZ119" s="199"/>
      <c r="BEA119" s="198"/>
      <c r="BEB119" s="199"/>
      <c r="BEC119" s="198"/>
      <c r="BED119" s="199"/>
      <c r="BEE119" s="198"/>
      <c r="BEF119" s="199"/>
      <c r="BEG119" s="198"/>
      <c r="BEH119" s="199"/>
      <c r="BEI119" s="198"/>
      <c r="BEJ119" s="199"/>
      <c r="BEK119" s="198"/>
      <c r="BEL119" s="199"/>
      <c r="BEM119" s="198"/>
      <c r="BEN119" s="199"/>
      <c r="BEO119" s="198"/>
      <c r="BEP119" s="199"/>
      <c r="BEQ119" s="198"/>
      <c r="BER119" s="199"/>
      <c r="BES119" s="198"/>
      <c r="BET119" s="199"/>
      <c r="BEU119" s="198"/>
      <c r="BEV119" s="199"/>
      <c r="BEW119" s="198"/>
      <c r="BEX119" s="199"/>
      <c r="BEY119" s="198"/>
      <c r="BEZ119" s="199"/>
      <c r="BFA119" s="198"/>
      <c r="BFB119" s="199"/>
      <c r="BFC119" s="198"/>
      <c r="BFD119" s="199"/>
      <c r="BFE119" s="198"/>
      <c r="BFF119" s="199"/>
      <c r="BFG119" s="198"/>
      <c r="BFH119" s="199"/>
      <c r="BFI119" s="198"/>
      <c r="BFJ119" s="199"/>
      <c r="BFK119" s="198"/>
      <c r="BFL119" s="199"/>
      <c r="BFM119" s="198"/>
      <c r="BFN119" s="199"/>
      <c r="BFO119" s="198"/>
      <c r="BFP119" s="199"/>
      <c r="BFQ119" s="198"/>
      <c r="BFR119" s="199"/>
      <c r="BFS119" s="198"/>
      <c r="BFT119" s="199"/>
      <c r="BFU119" s="198"/>
      <c r="BFV119" s="199"/>
      <c r="BFW119" s="198"/>
      <c r="BFX119" s="199"/>
      <c r="BFY119" s="198"/>
      <c r="BFZ119" s="199"/>
      <c r="BGA119" s="198"/>
      <c r="BGB119" s="199"/>
      <c r="BGC119" s="198"/>
      <c r="BGD119" s="199"/>
      <c r="BGE119" s="198"/>
      <c r="BGF119" s="199"/>
      <c r="BGG119" s="198"/>
      <c r="BGH119" s="199"/>
      <c r="BGI119" s="198"/>
      <c r="BGJ119" s="199"/>
      <c r="BGK119" s="198"/>
      <c r="BGL119" s="199"/>
      <c r="BGM119" s="198"/>
      <c r="BGN119" s="199"/>
      <c r="BGO119" s="198"/>
      <c r="BGP119" s="199"/>
      <c r="BGQ119" s="198"/>
      <c r="BGR119" s="199"/>
      <c r="BGS119" s="198"/>
      <c r="BGT119" s="199"/>
      <c r="BGU119" s="198"/>
      <c r="BGV119" s="199"/>
      <c r="BGW119" s="198"/>
      <c r="BGX119" s="199"/>
      <c r="BGY119" s="198"/>
      <c r="BGZ119" s="199"/>
      <c r="BHA119" s="198"/>
      <c r="BHB119" s="199"/>
      <c r="BHC119" s="198"/>
      <c r="BHD119" s="199"/>
      <c r="BHE119" s="198"/>
      <c r="BHF119" s="199"/>
      <c r="BHG119" s="198"/>
      <c r="BHH119" s="199"/>
      <c r="BHI119" s="198"/>
      <c r="BHJ119" s="199"/>
      <c r="BHK119" s="198"/>
      <c r="BHL119" s="199"/>
      <c r="BHM119" s="198"/>
      <c r="BHN119" s="199"/>
      <c r="BHO119" s="198"/>
      <c r="BHP119" s="199"/>
      <c r="BHQ119" s="198"/>
      <c r="BHR119" s="199"/>
      <c r="BHS119" s="198"/>
      <c r="BHT119" s="199"/>
      <c r="BHU119" s="198"/>
      <c r="BHV119" s="199"/>
      <c r="BHW119" s="198"/>
      <c r="BHX119" s="199"/>
      <c r="BHY119" s="198"/>
      <c r="BHZ119" s="199"/>
      <c r="BIA119" s="198"/>
      <c r="BIB119" s="199"/>
      <c r="BIC119" s="198"/>
      <c r="BID119" s="199"/>
      <c r="BIE119" s="198"/>
      <c r="BIF119" s="199"/>
      <c r="BIG119" s="198"/>
      <c r="BIH119" s="199"/>
      <c r="BII119" s="198"/>
      <c r="BIJ119" s="199"/>
      <c r="BIK119" s="198"/>
      <c r="BIL119" s="199"/>
      <c r="BIM119" s="198"/>
      <c r="BIN119" s="199"/>
      <c r="BIO119" s="198"/>
      <c r="BIP119" s="199"/>
      <c r="BIQ119" s="198"/>
      <c r="BIR119" s="199"/>
      <c r="BIS119" s="198"/>
      <c r="BIT119" s="199"/>
      <c r="BIU119" s="198"/>
      <c r="BIV119" s="199"/>
      <c r="BIW119" s="198"/>
      <c r="BIX119" s="199"/>
      <c r="BIY119" s="198"/>
      <c r="BIZ119" s="199"/>
      <c r="BJA119" s="198"/>
      <c r="BJB119" s="199"/>
      <c r="BJC119" s="198"/>
      <c r="BJD119" s="199"/>
      <c r="BJE119" s="198"/>
      <c r="BJF119" s="199"/>
      <c r="BJG119" s="198"/>
      <c r="BJH119" s="199"/>
      <c r="BJI119" s="198"/>
      <c r="BJJ119" s="199"/>
      <c r="BJK119" s="198"/>
      <c r="BJL119" s="199"/>
      <c r="BJM119" s="198"/>
      <c r="BJN119" s="199"/>
      <c r="BJO119" s="198"/>
      <c r="BJP119" s="199"/>
      <c r="BJQ119" s="198"/>
      <c r="BJR119" s="199"/>
      <c r="BJS119" s="198"/>
      <c r="BJT119" s="199"/>
      <c r="BJU119" s="198"/>
      <c r="BJV119" s="199"/>
      <c r="BJW119" s="198"/>
      <c r="BJX119" s="199"/>
      <c r="BJY119" s="198"/>
      <c r="BJZ119" s="199"/>
      <c r="BKA119" s="198"/>
      <c r="BKB119" s="199"/>
      <c r="BKC119" s="198"/>
      <c r="BKD119" s="199"/>
      <c r="BKE119" s="198"/>
      <c r="BKF119" s="199"/>
      <c r="BKG119" s="198"/>
      <c r="BKH119" s="199"/>
      <c r="BKI119" s="198"/>
      <c r="BKJ119" s="199"/>
      <c r="BKK119" s="198"/>
      <c r="BKL119" s="199"/>
      <c r="BKM119" s="198"/>
      <c r="BKN119" s="199"/>
      <c r="BKO119" s="198"/>
      <c r="BKP119" s="199"/>
      <c r="BKQ119" s="198"/>
      <c r="BKR119" s="199"/>
      <c r="BKS119" s="198"/>
      <c r="BKT119" s="199"/>
      <c r="BKU119" s="198"/>
      <c r="BKV119" s="199"/>
      <c r="BKW119" s="198"/>
      <c r="BKX119" s="199"/>
      <c r="BKY119" s="198"/>
      <c r="BKZ119" s="199"/>
      <c r="BLA119" s="198"/>
      <c r="BLB119" s="199"/>
      <c r="BLC119" s="198"/>
      <c r="BLD119" s="199"/>
      <c r="BLE119" s="198"/>
      <c r="BLF119" s="199"/>
      <c r="BLG119" s="198"/>
      <c r="BLH119" s="199"/>
      <c r="BLI119" s="198"/>
      <c r="BLJ119" s="199"/>
      <c r="BLK119" s="198"/>
      <c r="BLL119" s="199"/>
      <c r="BLM119" s="198"/>
      <c r="BLN119" s="199"/>
      <c r="BLO119" s="198"/>
      <c r="BLP119" s="199"/>
      <c r="BLQ119" s="198"/>
      <c r="BLR119" s="199"/>
      <c r="BLS119" s="198"/>
      <c r="BLT119" s="199"/>
      <c r="BLU119" s="198"/>
      <c r="BLV119" s="199"/>
      <c r="BLW119" s="198"/>
      <c r="BLX119" s="199"/>
      <c r="BLY119" s="198"/>
      <c r="BLZ119" s="199"/>
      <c r="BMA119" s="198"/>
      <c r="BMB119" s="199"/>
      <c r="BMC119" s="198"/>
      <c r="BMD119" s="199"/>
      <c r="BME119" s="198"/>
      <c r="BMF119" s="199"/>
      <c r="BMG119" s="198"/>
      <c r="BMH119" s="199"/>
      <c r="BMI119" s="198"/>
      <c r="BMJ119" s="199"/>
      <c r="BMK119" s="198"/>
      <c r="BML119" s="199"/>
      <c r="BMM119" s="198"/>
      <c r="BMN119" s="199"/>
      <c r="BMO119" s="198"/>
      <c r="BMP119" s="199"/>
      <c r="BMQ119" s="198"/>
      <c r="BMR119" s="199"/>
      <c r="BMS119" s="198"/>
      <c r="BMT119" s="199"/>
      <c r="BMU119" s="198"/>
      <c r="BMV119" s="199"/>
      <c r="BMW119" s="198"/>
      <c r="BMX119" s="199"/>
      <c r="BMY119" s="198"/>
      <c r="BMZ119" s="199"/>
      <c r="BNA119" s="198"/>
      <c r="BNB119" s="199"/>
      <c r="BNC119" s="198"/>
      <c r="BND119" s="199"/>
      <c r="BNE119" s="198"/>
      <c r="BNF119" s="199"/>
      <c r="BNG119" s="198"/>
      <c r="BNH119" s="199"/>
      <c r="BNI119" s="198"/>
      <c r="BNJ119" s="199"/>
      <c r="BNK119" s="198"/>
      <c r="BNL119" s="199"/>
      <c r="BNM119" s="198"/>
      <c r="BNN119" s="199"/>
      <c r="BNO119" s="198"/>
      <c r="BNP119" s="199"/>
      <c r="BNQ119" s="198"/>
      <c r="BNR119" s="199"/>
      <c r="BNS119" s="198"/>
      <c r="BNT119" s="199"/>
      <c r="BNU119" s="198"/>
      <c r="BNV119" s="199"/>
      <c r="BNW119" s="198"/>
      <c r="BNX119" s="199"/>
      <c r="BNY119" s="198"/>
      <c r="BNZ119" s="199"/>
      <c r="BOA119" s="198"/>
      <c r="BOB119" s="199"/>
      <c r="BOC119" s="198"/>
      <c r="BOD119" s="199"/>
      <c r="BOE119" s="198"/>
      <c r="BOF119" s="199"/>
      <c r="BOG119" s="198"/>
      <c r="BOH119" s="199"/>
      <c r="BOI119" s="198"/>
      <c r="BOJ119" s="199"/>
      <c r="BOK119" s="198"/>
      <c r="BOL119" s="199"/>
      <c r="BOM119" s="198"/>
      <c r="BON119" s="199"/>
      <c r="BOO119" s="198"/>
      <c r="BOP119" s="199"/>
      <c r="BOQ119" s="198"/>
      <c r="BOR119" s="199"/>
      <c r="BOS119" s="198"/>
      <c r="BOT119" s="199"/>
      <c r="BOU119" s="198"/>
      <c r="BOV119" s="199"/>
      <c r="BOW119" s="198"/>
      <c r="BOX119" s="199"/>
      <c r="BOY119" s="198"/>
      <c r="BOZ119" s="199"/>
      <c r="BPA119" s="198"/>
      <c r="BPB119" s="199"/>
      <c r="BPC119" s="198"/>
      <c r="BPD119" s="199"/>
      <c r="BPE119" s="198"/>
      <c r="BPF119" s="199"/>
      <c r="BPG119" s="198"/>
      <c r="BPH119" s="199"/>
      <c r="BPI119" s="198"/>
      <c r="BPJ119" s="199"/>
      <c r="BPK119" s="198"/>
      <c r="BPL119" s="199"/>
      <c r="BPM119" s="198"/>
      <c r="BPN119" s="199"/>
      <c r="BPO119" s="198"/>
      <c r="BPP119" s="199"/>
      <c r="BPQ119" s="198"/>
      <c r="BPR119" s="199"/>
      <c r="BPS119" s="198"/>
      <c r="BPT119" s="199"/>
      <c r="BPU119" s="198"/>
      <c r="BPV119" s="199"/>
      <c r="BPW119" s="198"/>
      <c r="BPX119" s="199"/>
      <c r="BPY119" s="198"/>
      <c r="BPZ119" s="199"/>
      <c r="BQA119" s="198"/>
      <c r="BQB119" s="199"/>
      <c r="BQC119" s="198"/>
      <c r="BQD119" s="199"/>
      <c r="BQE119" s="198"/>
      <c r="BQF119" s="199"/>
      <c r="BQG119" s="198"/>
      <c r="BQH119" s="199"/>
      <c r="BQI119" s="198"/>
      <c r="BQJ119" s="199"/>
      <c r="BQK119" s="198"/>
      <c r="BQL119" s="199"/>
      <c r="BQM119" s="198"/>
      <c r="BQN119" s="199"/>
      <c r="BQO119" s="198"/>
      <c r="BQP119" s="199"/>
      <c r="BQQ119" s="198"/>
      <c r="BQR119" s="199"/>
      <c r="BQS119" s="198"/>
      <c r="BQT119" s="199"/>
      <c r="BQU119" s="198"/>
      <c r="BQV119" s="199"/>
      <c r="BQW119" s="198"/>
      <c r="BQX119" s="199"/>
      <c r="BQY119" s="198"/>
      <c r="BQZ119" s="199"/>
      <c r="BRA119" s="198"/>
      <c r="BRB119" s="199"/>
      <c r="BRC119" s="198"/>
      <c r="BRD119" s="199"/>
      <c r="BRE119" s="198"/>
      <c r="BRF119" s="199"/>
      <c r="BRG119" s="198"/>
      <c r="BRH119" s="199"/>
      <c r="BRI119" s="198"/>
      <c r="BRJ119" s="199"/>
      <c r="BRK119" s="198"/>
      <c r="BRL119" s="199"/>
      <c r="BRM119" s="198"/>
      <c r="BRN119" s="199"/>
      <c r="BRO119" s="198"/>
      <c r="BRP119" s="199"/>
      <c r="BRQ119" s="198"/>
      <c r="BRR119" s="199"/>
      <c r="BRS119" s="198"/>
      <c r="BRT119" s="199"/>
      <c r="BRU119" s="198"/>
      <c r="BRV119" s="199"/>
      <c r="BRW119" s="198"/>
      <c r="BRX119" s="199"/>
      <c r="BRY119" s="198"/>
      <c r="BRZ119" s="199"/>
      <c r="BSA119" s="198"/>
      <c r="BSB119" s="199"/>
      <c r="BSC119" s="198"/>
      <c r="BSD119" s="199"/>
      <c r="BSE119" s="198"/>
      <c r="BSF119" s="199"/>
      <c r="BSG119" s="198"/>
      <c r="BSH119" s="199"/>
      <c r="BSI119" s="198"/>
      <c r="BSJ119" s="199"/>
      <c r="BSK119" s="198"/>
      <c r="BSL119" s="199"/>
      <c r="BSM119" s="198"/>
      <c r="BSN119" s="199"/>
      <c r="BSO119" s="198"/>
      <c r="BSP119" s="199"/>
      <c r="BSQ119" s="198"/>
      <c r="BSR119" s="199"/>
      <c r="BSS119" s="198"/>
      <c r="BST119" s="199"/>
      <c r="BSU119" s="198"/>
      <c r="BSV119" s="199"/>
      <c r="BSW119" s="198"/>
      <c r="BSX119" s="199"/>
      <c r="BSY119" s="198"/>
      <c r="BSZ119" s="199"/>
      <c r="BTA119" s="198"/>
      <c r="BTB119" s="199"/>
      <c r="BTC119" s="198"/>
      <c r="BTD119" s="199"/>
      <c r="BTE119" s="198"/>
      <c r="BTF119" s="199"/>
      <c r="BTG119" s="198"/>
      <c r="BTH119" s="199"/>
      <c r="BTI119" s="198"/>
      <c r="BTJ119" s="199"/>
      <c r="BTK119" s="198"/>
      <c r="BTL119" s="199"/>
      <c r="BTM119" s="198"/>
      <c r="BTN119" s="199"/>
      <c r="BTO119" s="198"/>
      <c r="BTP119" s="199"/>
      <c r="BTQ119" s="198"/>
      <c r="BTR119" s="199"/>
      <c r="BTS119" s="198"/>
      <c r="BTT119" s="199"/>
      <c r="BTU119" s="198"/>
      <c r="BTV119" s="199"/>
      <c r="BTW119" s="198"/>
      <c r="BTX119" s="199"/>
      <c r="BTY119" s="198"/>
      <c r="BTZ119" s="199"/>
      <c r="BUA119" s="198"/>
      <c r="BUB119" s="199"/>
      <c r="BUC119" s="198"/>
      <c r="BUD119" s="199"/>
      <c r="BUE119" s="198"/>
      <c r="BUF119" s="199"/>
      <c r="BUG119" s="198"/>
      <c r="BUH119" s="199"/>
      <c r="BUI119" s="198"/>
      <c r="BUJ119" s="199"/>
      <c r="BUK119" s="198"/>
      <c r="BUL119" s="199"/>
      <c r="BUM119" s="198"/>
      <c r="BUN119" s="199"/>
      <c r="BUO119" s="198"/>
      <c r="BUP119" s="199"/>
      <c r="BUQ119" s="198"/>
      <c r="BUR119" s="199"/>
      <c r="BUS119" s="198"/>
      <c r="BUT119" s="199"/>
      <c r="BUU119" s="198"/>
      <c r="BUV119" s="199"/>
      <c r="BUW119" s="198"/>
      <c r="BUX119" s="199"/>
      <c r="BUY119" s="198"/>
      <c r="BUZ119" s="199"/>
      <c r="BVA119" s="198"/>
      <c r="BVB119" s="199"/>
      <c r="BVC119" s="198"/>
      <c r="BVD119" s="199"/>
      <c r="BVE119" s="198"/>
      <c r="BVF119" s="199"/>
      <c r="BVG119" s="198"/>
      <c r="BVH119" s="199"/>
      <c r="BVI119" s="198"/>
      <c r="BVJ119" s="199"/>
      <c r="BVK119" s="198"/>
      <c r="BVL119" s="199"/>
      <c r="BVM119" s="198"/>
      <c r="BVN119" s="199"/>
      <c r="BVO119" s="198"/>
      <c r="BVP119" s="199"/>
      <c r="BVQ119" s="198"/>
      <c r="BVR119" s="199"/>
      <c r="BVS119" s="198"/>
      <c r="BVT119" s="199"/>
      <c r="BVU119" s="198"/>
      <c r="BVV119" s="199"/>
      <c r="BVW119" s="198"/>
      <c r="BVX119" s="199"/>
      <c r="BVY119" s="198"/>
      <c r="BVZ119" s="199"/>
      <c r="BWA119" s="198"/>
      <c r="BWB119" s="199"/>
      <c r="BWC119" s="198"/>
      <c r="BWD119" s="199"/>
      <c r="BWE119" s="198"/>
      <c r="BWF119" s="199"/>
      <c r="BWG119" s="198"/>
      <c r="BWH119" s="199"/>
      <c r="BWI119" s="198"/>
      <c r="BWJ119" s="199"/>
      <c r="BWK119" s="198"/>
      <c r="BWL119" s="199"/>
      <c r="BWM119" s="198"/>
      <c r="BWN119" s="199"/>
      <c r="BWO119" s="198"/>
      <c r="BWP119" s="199"/>
      <c r="BWQ119" s="198"/>
      <c r="BWR119" s="199"/>
      <c r="BWS119" s="198"/>
      <c r="BWT119" s="199"/>
      <c r="BWU119" s="198"/>
      <c r="BWV119" s="199"/>
      <c r="BWW119" s="198"/>
      <c r="BWX119" s="199"/>
      <c r="BWY119" s="198"/>
      <c r="BWZ119" s="199"/>
      <c r="BXA119" s="198"/>
      <c r="BXB119" s="199"/>
      <c r="BXC119" s="198"/>
      <c r="BXD119" s="199"/>
      <c r="BXE119" s="198"/>
      <c r="BXF119" s="199"/>
      <c r="BXG119" s="198"/>
      <c r="BXH119" s="199"/>
      <c r="BXI119" s="198"/>
      <c r="BXJ119" s="199"/>
      <c r="BXK119" s="198"/>
      <c r="BXL119" s="199"/>
      <c r="BXM119" s="198"/>
      <c r="BXN119" s="199"/>
      <c r="BXO119" s="198"/>
      <c r="BXP119" s="199"/>
      <c r="BXQ119" s="198"/>
      <c r="BXR119" s="199"/>
      <c r="BXS119" s="198"/>
      <c r="BXT119" s="199"/>
      <c r="BXU119" s="198"/>
      <c r="BXV119" s="199"/>
      <c r="BXW119" s="198"/>
      <c r="BXX119" s="199"/>
      <c r="BXY119" s="198"/>
      <c r="BXZ119" s="199"/>
      <c r="BYA119" s="198"/>
      <c r="BYB119" s="199"/>
      <c r="BYC119" s="198"/>
      <c r="BYD119" s="199"/>
      <c r="BYE119" s="198"/>
      <c r="BYF119" s="199"/>
      <c r="BYG119" s="198"/>
      <c r="BYH119" s="199"/>
      <c r="BYI119" s="198"/>
      <c r="BYJ119" s="199"/>
      <c r="BYK119" s="198"/>
      <c r="BYL119" s="199"/>
      <c r="BYM119" s="198"/>
      <c r="BYN119" s="199"/>
      <c r="BYO119" s="198"/>
      <c r="BYP119" s="199"/>
      <c r="BYQ119" s="198"/>
      <c r="BYR119" s="199"/>
      <c r="BYS119" s="198"/>
      <c r="BYT119" s="199"/>
      <c r="BYU119" s="198"/>
      <c r="BYV119" s="199"/>
      <c r="BYW119" s="198"/>
      <c r="BYX119" s="199"/>
      <c r="BYY119" s="198"/>
      <c r="BYZ119" s="199"/>
      <c r="BZA119" s="198"/>
      <c r="BZB119" s="199"/>
      <c r="BZC119" s="198"/>
      <c r="BZD119" s="199"/>
      <c r="BZE119" s="198"/>
      <c r="BZF119" s="199"/>
      <c r="BZG119" s="198"/>
      <c r="BZH119" s="199"/>
      <c r="BZI119" s="198"/>
      <c r="BZJ119" s="199"/>
      <c r="BZK119" s="198"/>
      <c r="BZL119" s="199"/>
      <c r="BZM119" s="198"/>
      <c r="BZN119" s="199"/>
      <c r="BZO119" s="198"/>
      <c r="BZP119" s="199"/>
      <c r="BZQ119" s="198"/>
      <c r="BZR119" s="199"/>
      <c r="BZS119" s="198"/>
      <c r="BZT119" s="199"/>
      <c r="BZU119" s="198"/>
      <c r="BZV119" s="199"/>
      <c r="BZW119" s="198"/>
      <c r="BZX119" s="199"/>
      <c r="BZY119" s="198"/>
      <c r="BZZ119" s="199"/>
      <c r="CAA119" s="198"/>
      <c r="CAB119" s="199"/>
      <c r="CAC119" s="198"/>
      <c r="CAD119" s="199"/>
      <c r="CAE119" s="198"/>
      <c r="CAF119" s="199"/>
      <c r="CAG119" s="198"/>
      <c r="CAH119" s="199"/>
      <c r="CAI119" s="198"/>
      <c r="CAJ119" s="199"/>
      <c r="CAK119" s="198"/>
      <c r="CAL119" s="199"/>
      <c r="CAM119" s="198"/>
      <c r="CAN119" s="199"/>
      <c r="CAO119" s="198"/>
      <c r="CAP119" s="199"/>
      <c r="CAQ119" s="198"/>
      <c r="CAR119" s="199"/>
      <c r="CAS119" s="198"/>
      <c r="CAT119" s="199"/>
      <c r="CAU119" s="198"/>
      <c r="CAV119" s="199"/>
      <c r="CAW119" s="198"/>
      <c r="CAX119" s="199"/>
      <c r="CAY119" s="198"/>
      <c r="CAZ119" s="199"/>
      <c r="CBA119" s="198"/>
      <c r="CBB119" s="199"/>
      <c r="CBC119" s="198"/>
      <c r="CBD119" s="199"/>
      <c r="CBE119" s="198"/>
      <c r="CBF119" s="199"/>
      <c r="CBG119" s="198"/>
      <c r="CBH119" s="199"/>
      <c r="CBI119" s="198"/>
      <c r="CBJ119" s="199"/>
      <c r="CBK119" s="198"/>
      <c r="CBL119" s="199"/>
      <c r="CBM119" s="198"/>
      <c r="CBN119" s="199"/>
      <c r="CBO119" s="198"/>
      <c r="CBP119" s="199"/>
      <c r="CBQ119" s="198"/>
      <c r="CBR119" s="199"/>
      <c r="CBS119" s="198"/>
      <c r="CBT119" s="199"/>
      <c r="CBU119" s="198"/>
      <c r="CBV119" s="199"/>
      <c r="CBW119" s="198"/>
      <c r="CBX119" s="199"/>
      <c r="CBY119" s="198"/>
      <c r="CBZ119" s="199"/>
      <c r="CCA119" s="198"/>
      <c r="CCB119" s="199"/>
      <c r="CCC119" s="198"/>
      <c r="CCD119" s="199"/>
      <c r="CCE119" s="198"/>
      <c r="CCF119" s="199"/>
      <c r="CCG119" s="198"/>
      <c r="CCH119" s="199"/>
      <c r="CCI119" s="198"/>
      <c r="CCJ119" s="199"/>
      <c r="CCK119" s="198"/>
      <c r="CCL119" s="199"/>
      <c r="CCM119" s="198"/>
      <c r="CCN119" s="199"/>
      <c r="CCO119" s="198"/>
      <c r="CCP119" s="199"/>
      <c r="CCQ119" s="198"/>
      <c r="CCR119" s="199"/>
      <c r="CCS119" s="198"/>
      <c r="CCT119" s="199"/>
      <c r="CCU119" s="198"/>
      <c r="CCV119" s="199"/>
      <c r="CCW119" s="198"/>
      <c r="CCX119" s="199"/>
      <c r="CCY119" s="198"/>
      <c r="CCZ119" s="199"/>
      <c r="CDA119" s="198"/>
      <c r="CDB119" s="199"/>
      <c r="CDC119" s="198"/>
      <c r="CDD119" s="199"/>
      <c r="CDE119" s="198"/>
      <c r="CDF119" s="199"/>
      <c r="CDG119" s="198"/>
      <c r="CDH119" s="199"/>
      <c r="CDI119" s="198"/>
      <c r="CDJ119" s="199"/>
      <c r="CDK119" s="198"/>
      <c r="CDL119" s="199"/>
      <c r="CDM119" s="198"/>
      <c r="CDN119" s="199"/>
      <c r="CDO119" s="198"/>
      <c r="CDP119" s="199"/>
      <c r="CDQ119" s="198"/>
      <c r="CDR119" s="199"/>
      <c r="CDS119" s="198"/>
      <c r="CDT119" s="199"/>
      <c r="CDU119" s="198"/>
      <c r="CDV119" s="199"/>
      <c r="CDW119" s="198"/>
      <c r="CDX119" s="199"/>
      <c r="CDY119" s="198"/>
      <c r="CDZ119" s="199"/>
      <c r="CEA119" s="198"/>
      <c r="CEB119" s="199"/>
      <c r="CEC119" s="198"/>
      <c r="CED119" s="199"/>
      <c r="CEE119" s="198"/>
      <c r="CEF119" s="199"/>
      <c r="CEG119" s="198"/>
      <c r="CEH119" s="199"/>
      <c r="CEI119" s="198"/>
      <c r="CEJ119" s="199"/>
      <c r="CEK119" s="198"/>
      <c r="CEL119" s="199"/>
      <c r="CEM119" s="198"/>
      <c r="CEN119" s="199"/>
      <c r="CEO119" s="198"/>
      <c r="CEP119" s="199"/>
      <c r="CEQ119" s="198"/>
      <c r="CER119" s="199"/>
      <c r="CES119" s="198"/>
      <c r="CET119" s="199"/>
      <c r="CEU119" s="198"/>
      <c r="CEV119" s="199"/>
      <c r="CEW119" s="198"/>
      <c r="CEX119" s="199"/>
      <c r="CEY119" s="198"/>
      <c r="CEZ119" s="199"/>
      <c r="CFA119" s="198"/>
      <c r="CFB119" s="199"/>
      <c r="CFC119" s="198"/>
      <c r="CFD119" s="199"/>
      <c r="CFE119" s="198"/>
      <c r="CFF119" s="199"/>
      <c r="CFG119" s="198"/>
      <c r="CFH119" s="199"/>
      <c r="CFI119" s="198"/>
      <c r="CFJ119" s="199"/>
      <c r="CFK119" s="198"/>
      <c r="CFL119" s="199"/>
      <c r="CFM119" s="198"/>
      <c r="CFN119" s="199"/>
      <c r="CFO119" s="198"/>
      <c r="CFP119" s="199"/>
      <c r="CFQ119" s="198"/>
      <c r="CFR119" s="199"/>
      <c r="CFS119" s="198"/>
      <c r="CFT119" s="199"/>
      <c r="CFU119" s="198"/>
      <c r="CFV119" s="199"/>
      <c r="CFW119" s="198"/>
      <c r="CFX119" s="199"/>
      <c r="CFY119" s="198"/>
      <c r="CFZ119" s="199"/>
      <c r="CGA119" s="198"/>
      <c r="CGB119" s="199"/>
      <c r="CGC119" s="198"/>
      <c r="CGD119" s="199"/>
      <c r="CGE119" s="198"/>
      <c r="CGF119" s="199"/>
      <c r="CGG119" s="198"/>
      <c r="CGH119" s="199"/>
      <c r="CGI119" s="198"/>
      <c r="CGJ119" s="199"/>
      <c r="CGK119" s="198"/>
      <c r="CGL119" s="199"/>
      <c r="CGM119" s="198"/>
      <c r="CGN119" s="199"/>
      <c r="CGO119" s="198"/>
      <c r="CGP119" s="199"/>
      <c r="CGQ119" s="198"/>
      <c r="CGR119" s="199"/>
      <c r="CGS119" s="198"/>
      <c r="CGT119" s="199"/>
      <c r="CGU119" s="198"/>
      <c r="CGV119" s="199"/>
      <c r="CGW119" s="198"/>
      <c r="CGX119" s="199"/>
      <c r="CGY119" s="198"/>
      <c r="CGZ119" s="199"/>
      <c r="CHA119" s="198"/>
      <c r="CHB119" s="199"/>
      <c r="CHC119" s="198"/>
      <c r="CHD119" s="199"/>
      <c r="CHE119" s="198"/>
      <c r="CHF119" s="199"/>
      <c r="CHG119" s="198"/>
      <c r="CHH119" s="199"/>
      <c r="CHI119" s="198"/>
      <c r="CHJ119" s="199"/>
      <c r="CHK119" s="198"/>
      <c r="CHL119" s="199"/>
      <c r="CHM119" s="198"/>
      <c r="CHN119" s="199"/>
      <c r="CHO119" s="198"/>
      <c r="CHP119" s="199"/>
      <c r="CHQ119" s="198"/>
      <c r="CHR119" s="199"/>
      <c r="CHS119" s="198"/>
      <c r="CHT119" s="199"/>
      <c r="CHU119" s="198"/>
      <c r="CHV119" s="199"/>
      <c r="CHW119" s="198"/>
      <c r="CHX119" s="199"/>
      <c r="CHY119" s="198"/>
      <c r="CHZ119" s="199"/>
      <c r="CIA119" s="198"/>
      <c r="CIB119" s="199"/>
      <c r="CIC119" s="198"/>
      <c r="CID119" s="199"/>
      <c r="CIE119" s="198"/>
      <c r="CIF119" s="199"/>
      <c r="CIG119" s="198"/>
      <c r="CIH119" s="199"/>
      <c r="CII119" s="198"/>
      <c r="CIJ119" s="199"/>
      <c r="CIK119" s="198"/>
      <c r="CIL119" s="199"/>
      <c r="CIM119" s="198"/>
      <c r="CIN119" s="199"/>
      <c r="CIO119" s="198"/>
      <c r="CIP119" s="199"/>
      <c r="CIQ119" s="198"/>
      <c r="CIR119" s="199"/>
      <c r="CIS119" s="198"/>
      <c r="CIT119" s="199"/>
      <c r="CIU119" s="198"/>
      <c r="CIV119" s="199"/>
      <c r="CIW119" s="198"/>
      <c r="CIX119" s="199"/>
      <c r="CIY119" s="198"/>
      <c r="CIZ119" s="199"/>
      <c r="CJA119" s="198"/>
      <c r="CJB119" s="199"/>
      <c r="CJC119" s="198"/>
      <c r="CJD119" s="199"/>
      <c r="CJE119" s="198"/>
      <c r="CJF119" s="199"/>
      <c r="CJG119" s="198"/>
      <c r="CJH119" s="199"/>
      <c r="CJI119" s="198"/>
      <c r="CJJ119" s="199"/>
      <c r="CJK119" s="198"/>
      <c r="CJL119" s="199"/>
      <c r="CJM119" s="198"/>
      <c r="CJN119" s="199"/>
      <c r="CJO119" s="198"/>
      <c r="CJP119" s="199"/>
      <c r="CJQ119" s="198"/>
      <c r="CJR119" s="199"/>
      <c r="CJS119" s="198"/>
      <c r="CJT119" s="199"/>
      <c r="CJU119" s="198"/>
      <c r="CJV119" s="199"/>
      <c r="CJW119" s="198"/>
      <c r="CJX119" s="199"/>
      <c r="CJY119" s="198"/>
      <c r="CJZ119" s="199"/>
      <c r="CKA119" s="198"/>
      <c r="CKB119" s="199"/>
      <c r="CKC119" s="198"/>
      <c r="CKD119" s="199"/>
      <c r="CKE119" s="198"/>
      <c r="CKF119" s="199"/>
      <c r="CKG119" s="198"/>
      <c r="CKH119" s="199"/>
      <c r="CKI119" s="198"/>
      <c r="CKJ119" s="199"/>
      <c r="CKK119" s="198"/>
      <c r="CKL119" s="199"/>
      <c r="CKM119" s="198"/>
      <c r="CKN119" s="199"/>
      <c r="CKO119" s="198"/>
      <c r="CKP119" s="199"/>
      <c r="CKQ119" s="198"/>
      <c r="CKR119" s="199"/>
      <c r="CKS119" s="198"/>
      <c r="CKT119" s="199"/>
      <c r="CKU119" s="198"/>
      <c r="CKV119" s="199"/>
      <c r="CKW119" s="198"/>
      <c r="CKX119" s="199"/>
      <c r="CKY119" s="198"/>
      <c r="CKZ119" s="199"/>
      <c r="CLA119" s="198"/>
      <c r="CLB119" s="199"/>
      <c r="CLC119" s="198"/>
      <c r="CLD119" s="199"/>
      <c r="CLE119" s="198"/>
      <c r="CLF119" s="199"/>
      <c r="CLG119" s="198"/>
      <c r="CLH119" s="199"/>
      <c r="CLI119" s="198"/>
      <c r="CLJ119" s="199"/>
      <c r="CLK119" s="198"/>
      <c r="CLL119" s="199"/>
      <c r="CLM119" s="198"/>
      <c r="CLN119" s="199"/>
      <c r="CLO119" s="198"/>
      <c r="CLP119" s="199"/>
      <c r="CLQ119" s="198"/>
      <c r="CLR119" s="199"/>
      <c r="CLS119" s="198"/>
      <c r="CLT119" s="199"/>
      <c r="CLU119" s="198"/>
      <c r="CLV119" s="199"/>
      <c r="CLW119" s="198"/>
      <c r="CLX119" s="199"/>
      <c r="CLY119" s="198"/>
      <c r="CLZ119" s="199"/>
      <c r="CMA119" s="198"/>
      <c r="CMB119" s="199"/>
      <c r="CMC119" s="198"/>
      <c r="CMD119" s="199"/>
      <c r="CME119" s="198"/>
      <c r="CMF119" s="199"/>
      <c r="CMG119" s="198"/>
      <c r="CMH119" s="199"/>
      <c r="CMI119" s="198"/>
      <c r="CMJ119" s="199"/>
      <c r="CMK119" s="198"/>
      <c r="CML119" s="199"/>
      <c r="CMM119" s="198"/>
      <c r="CMN119" s="199"/>
      <c r="CMO119" s="198"/>
      <c r="CMP119" s="199"/>
      <c r="CMQ119" s="198"/>
      <c r="CMR119" s="199"/>
      <c r="CMS119" s="198"/>
      <c r="CMT119" s="199"/>
      <c r="CMU119" s="198"/>
      <c r="CMV119" s="199"/>
      <c r="CMW119" s="198"/>
      <c r="CMX119" s="199"/>
      <c r="CMY119" s="198"/>
      <c r="CMZ119" s="199"/>
      <c r="CNA119" s="198"/>
      <c r="CNB119" s="199"/>
      <c r="CNC119" s="198"/>
      <c r="CND119" s="199"/>
      <c r="CNE119" s="198"/>
      <c r="CNF119" s="199"/>
      <c r="CNG119" s="198"/>
      <c r="CNH119" s="199"/>
      <c r="CNI119" s="198"/>
      <c r="CNJ119" s="199"/>
      <c r="CNK119" s="198"/>
      <c r="CNL119" s="199"/>
      <c r="CNM119" s="198"/>
      <c r="CNN119" s="199"/>
      <c r="CNO119" s="198"/>
      <c r="CNP119" s="199"/>
      <c r="CNQ119" s="198"/>
      <c r="CNR119" s="199"/>
      <c r="CNS119" s="198"/>
      <c r="CNT119" s="199"/>
      <c r="CNU119" s="198"/>
      <c r="CNV119" s="199"/>
      <c r="CNW119" s="198"/>
      <c r="CNX119" s="199"/>
      <c r="CNY119" s="198"/>
      <c r="CNZ119" s="199"/>
      <c r="COA119" s="198"/>
      <c r="COB119" s="199"/>
      <c r="COC119" s="198"/>
      <c r="COD119" s="199"/>
      <c r="COE119" s="198"/>
      <c r="COF119" s="199"/>
      <c r="COG119" s="198"/>
      <c r="COH119" s="199"/>
      <c r="COI119" s="198"/>
      <c r="COJ119" s="199"/>
      <c r="COK119" s="198"/>
      <c r="COL119" s="199"/>
      <c r="COM119" s="198"/>
      <c r="CON119" s="199"/>
      <c r="COO119" s="198"/>
      <c r="COP119" s="199"/>
      <c r="COQ119" s="198"/>
      <c r="COR119" s="199"/>
      <c r="COS119" s="198"/>
      <c r="COT119" s="199"/>
      <c r="COU119" s="198"/>
      <c r="COV119" s="199"/>
      <c r="COW119" s="198"/>
      <c r="COX119" s="199"/>
      <c r="COY119" s="198"/>
      <c r="COZ119" s="199"/>
      <c r="CPA119" s="198"/>
      <c r="CPB119" s="199"/>
      <c r="CPC119" s="198"/>
      <c r="CPD119" s="199"/>
      <c r="CPE119" s="198"/>
      <c r="CPF119" s="199"/>
      <c r="CPG119" s="198"/>
      <c r="CPH119" s="199"/>
      <c r="CPI119" s="198"/>
      <c r="CPJ119" s="199"/>
      <c r="CPK119" s="198"/>
      <c r="CPL119" s="199"/>
      <c r="CPM119" s="198"/>
      <c r="CPN119" s="199"/>
      <c r="CPO119" s="198"/>
      <c r="CPP119" s="199"/>
      <c r="CPQ119" s="198"/>
      <c r="CPR119" s="199"/>
      <c r="CPS119" s="198"/>
      <c r="CPT119" s="199"/>
      <c r="CPU119" s="198"/>
      <c r="CPV119" s="199"/>
      <c r="CPW119" s="198"/>
      <c r="CPX119" s="199"/>
      <c r="CPY119" s="198"/>
      <c r="CPZ119" s="199"/>
      <c r="CQA119" s="198"/>
      <c r="CQB119" s="199"/>
      <c r="CQC119" s="198"/>
      <c r="CQD119" s="199"/>
      <c r="CQE119" s="198"/>
      <c r="CQF119" s="199"/>
      <c r="CQG119" s="198"/>
      <c r="CQH119" s="199"/>
      <c r="CQI119" s="198"/>
      <c r="CQJ119" s="199"/>
      <c r="CQK119" s="198"/>
      <c r="CQL119" s="199"/>
      <c r="CQM119" s="198"/>
      <c r="CQN119" s="199"/>
      <c r="CQO119" s="198"/>
      <c r="CQP119" s="199"/>
      <c r="CQQ119" s="198"/>
      <c r="CQR119" s="199"/>
      <c r="CQS119" s="198"/>
      <c r="CQT119" s="199"/>
      <c r="CQU119" s="198"/>
      <c r="CQV119" s="199"/>
      <c r="CQW119" s="198"/>
      <c r="CQX119" s="199"/>
      <c r="CQY119" s="198"/>
      <c r="CQZ119" s="199"/>
      <c r="CRA119" s="198"/>
      <c r="CRB119" s="199"/>
      <c r="CRC119" s="198"/>
      <c r="CRD119" s="199"/>
      <c r="CRE119" s="198"/>
      <c r="CRF119" s="199"/>
      <c r="CRG119" s="198"/>
      <c r="CRH119" s="199"/>
      <c r="CRI119" s="198"/>
      <c r="CRJ119" s="199"/>
      <c r="CRK119" s="198"/>
      <c r="CRL119" s="199"/>
      <c r="CRM119" s="198"/>
      <c r="CRN119" s="199"/>
      <c r="CRO119" s="198"/>
      <c r="CRP119" s="199"/>
      <c r="CRQ119" s="198"/>
      <c r="CRR119" s="199"/>
      <c r="CRS119" s="198"/>
      <c r="CRT119" s="199"/>
      <c r="CRU119" s="198"/>
      <c r="CRV119" s="199"/>
      <c r="CRW119" s="198"/>
      <c r="CRX119" s="199"/>
      <c r="CRY119" s="198"/>
      <c r="CRZ119" s="199"/>
      <c r="CSA119" s="198"/>
      <c r="CSB119" s="199"/>
      <c r="CSC119" s="198"/>
      <c r="CSD119" s="199"/>
      <c r="CSE119" s="198"/>
      <c r="CSF119" s="199"/>
      <c r="CSG119" s="198"/>
      <c r="CSH119" s="199"/>
      <c r="CSI119" s="198"/>
      <c r="CSJ119" s="199"/>
      <c r="CSK119" s="198"/>
      <c r="CSL119" s="199"/>
      <c r="CSM119" s="198"/>
      <c r="CSN119" s="199"/>
      <c r="CSO119" s="198"/>
      <c r="CSP119" s="199"/>
      <c r="CSQ119" s="198"/>
      <c r="CSR119" s="199"/>
      <c r="CSS119" s="198"/>
      <c r="CST119" s="199"/>
      <c r="CSU119" s="198"/>
      <c r="CSV119" s="199"/>
      <c r="CSW119" s="198"/>
      <c r="CSX119" s="199"/>
      <c r="CSY119" s="198"/>
      <c r="CSZ119" s="199"/>
      <c r="CTA119" s="198"/>
      <c r="CTB119" s="199"/>
      <c r="CTC119" s="198"/>
      <c r="CTD119" s="199"/>
      <c r="CTE119" s="198"/>
      <c r="CTF119" s="199"/>
      <c r="CTG119" s="198"/>
      <c r="CTH119" s="199"/>
      <c r="CTI119" s="198"/>
      <c r="CTJ119" s="199"/>
      <c r="CTK119" s="198"/>
      <c r="CTL119" s="199"/>
      <c r="CTM119" s="198"/>
      <c r="CTN119" s="199"/>
      <c r="CTO119" s="198"/>
      <c r="CTP119" s="199"/>
      <c r="CTQ119" s="198"/>
      <c r="CTR119" s="199"/>
      <c r="CTS119" s="198"/>
      <c r="CTT119" s="199"/>
      <c r="CTU119" s="198"/>
      <c r="CTV119" s="199"/>
      <c r="CTW119" s="198"/>
      <c r="CTX119" s="199"/>
      <c r="CTY119" s="198"/>
      <c r="CTZ119" s="199"/>
      <c r="CUA119" s="198"/>
      <c r="CUB119" s="199"/>
      <c r="CUC119" s="198"/>
      <c r="CUD119" s="199"/>
      <c r="CUE119" s="198"/>
      <c r="CUF119" s="199"/>
      <c r="CUG119" s="198"/>
      <c r="CUH119" s="199"/>
      <c r="CUI119" s="198"/>
      <c r="CUJ119" s="199"/>
      <c r="CUK119" s="198"/>
      <c r="CUL119" s="199"/>
      <c r="CUM119" s="198"/>
      <c r="CUN119" s="199"/>
      <c r="CUO119" s="198"/>
      <c r="CUP119" s="199"/>
      <c r="CUQ119" s="198"/>
      <c r="CUR119" s="199"/>
      <c r="CUS119" s="198"/>
      <c r="CUT119" s="199"/>
      <c r="CUU119" s="198"/>
      <c r="CUV119" s="199"/>
      <c r="CUW119" s="198"/>
      <c r="CUX119" s="199"/>
      <c r="CUY119" s="198"/>
      <c r="CUZ119" s="199"/>
      <c r="CVA119" s="198"/>
      <c r="CVB119" s="199"/>
      <c r="CVC119" s="198"/>
      <c r="CVD119" s="199"/>
      <c r="CVE119" s="198"/>
      <c r="CVF119" s="199"/>
      <c r="CVG119" s="198"/>
      <c r="CVH119" s="199"/>
      <c r="CVI119" s="198"/>
      <c r="CVJ119" s="199"/>
      <c r="CVK119" s="198"/>
      <c r="CVL119" s="199"/>
      <c r="CVM119" s="198"/>
      <c r="CVN119" s="199"/>
      <c r="CVO119" s="198"/>
      <c r="CVP119" s="199"/>
      <c r="CVQ119" s="198"/>
      <c r="CVR119" s="199"/>
      <c r="CVS119" s="198"/>
      <c r="CVT119" s="199"/>
      <c r="CVU119" s="198"/>
      <c r="CVV119" s="199"/>
      <c r="CVW119" s="198"/>
      <c r="CVX119" s="199"/>
      <c r="CVY119" s="198"/>
      <c r="CVZ119" s="199"/>
      <c r="CWA119" s="198"/>
      <c r="CWB119" s="199"/>
      <c r="CWC119" s="198"/>
      <c r="CWD119" s="199"/>
      <c r="CWE119" s="198"/>
      <c r="CWF119" s="199"/>
      <c r="CWG119" s="198"/>
      <c r="CWH119" s="199"/>
      <c r="CWI119" s="198"/>
      <c r="CWJ119" s="199"/>
      <c r="CWK119" s="198"/>
      <c r="CWL119" s="199"/>
      <c r="CWM119" s="198"/>
      <c r="CWN119" s="199"/>
      <c r="CWO119" s="198"/>
      <c r="CWP119" s="199"/>
      <c r="CWQ119" s="198"/>
      <c r="CWR119" s="199"/>
      <c r="CWS119" s="198"/>
      <c r="CWT119" s="199"/>
      <c r="CWU119" s="198"/>
      <c r="CWV119" s="199"/>
      <c r="CWW119" s="198"/>
      <c r="CWX119" s="199"/>
      <c r="CWY119" s="198"/>
      <c r="CWZ119" s="199"/>
      <c r="CXA119" s="198"/>
      <c r="CXB119" s="199"/>
      <c r="CXC119" s="198"/>
      <c r="CXD119" s="199"/>
      <c r="CXE119" s="198"/>
      <c r="CXF119" s="199"/>
      <c r="CXG119" s="198"/>
      <c r="CXH119" s="199"/>
      <c r="CXI119" s="198"/>
      <c r="CXJ119" s="199"/>
      <c r="CXK119" s="198"/>
      <c r="CXL119" s="199"/>
      <c r="CXM119" s="198"/>
      <c r="CXN119" s="199"/>
      <c r="CXO119" s="198"/>
      <c r="CXP119" s="199"/>
      <c r="CXQ119" s="198"/>
      <c r="CXR119" s="199"/>
      <c r="CXS119" s="198"/>
      <c r="CXT119" s="199"/>
      <c r="CXU119" s="198"/>
      <c r="CXV119" s="199"/>
      <c r="CXW119" s="198"/>
      <c r="CXX119" s="199"/>
      <c r="CXY119" s="198"/>
      <c r="CXZ119" s="199"/>
      <c r="CYA119" s="198"/>
      <c r="CYB119" s="199"/>
      <c r="CYC119" s="198"/>
      <c r="CYD119" s="199"/>
      <c r="CYE119" s="198"/>
      <c r="CYF119" s="199"/>
      <c r="CYG119" s="198"/>
      <c r="CYH119" s="199"/>
      <c r="CYI119" s="198"/>
      <c r="CYJ119" s="199"/>
      <c r="CYK119" s="198"/>
      <c r="CYL119" s="199"/>
      <c r="CYM119" s="198"/>
      <c r="CYN119" s="199"/>
      <c r="CYO119" s="198"/>
      <c r="CYP119" s="199"/>
      <c r="CYQ119" s="198"/>
      <c r="CYR119" s="199"/>
      <c r="CYS119" s="198"/>
      <c r="CYT119" s="199"/>
      <c r="CYU119" s="198"/>
      <c r="CYV119" s="199"/>
      <c r="CYW119" s="198"/>
      <c r="CYX119" s="199"/>
      <c r="CYY119" s="198"/>
      <c r="CYZ119" s="199"/>
      <c r="CZA119" s="198"/>
      <c r="CZB119" s="199"/>
      <c r="CZC119" s="198"/>
      <c r="CZD119" s="199"/>
      <c r="CZE119" s="198"/>
      <c r="CZF119" s="199"/>
      <c r="CZG119" s="198"/>
      <c r="CZH119" s="199"/>
      <c r="CZI119" s="198"/>
      <c r="CZJ119" s="199"/>
      <c r="CZK119" s="198"/>
      <c r="CZL119" s="199"/>
      <c r="CZM119" s="198"/>
      <c r="CZN119" s="199"/>
      <c r="CZO119" s="198"/>
      <c r="CZP119" s="199"/>
      <c r="CZQ119" s="198"/>
      <c r="CZR119" s="199"/>
      <c r="CZS119" s="198"/>
      <c r="CZT119" s="199"/>
      <c r="CZU119" s="198"/>
      <c r="CZV119" s="199"/>
      <c r="CZW119" s="198"/>
      <c r="CZX119" s="199"/>
      <c r="CZY119" s="198"/>
      <c r="CZZ119" s="199"/>
      <c r="DAA119" s="198"/>
      <c r="DAB119" s="199"/>
      <c r="DAC119" s="198"/>
      <c r="DAD119" s="199"/>
      <c r="DAE119" s="198"/>
      <c r="DAF119" s="199"/>
      <c r="DAG119" s="198"/>
      <c r="DAH119" s="199"/>
      <c r="DAI119" s="198"/>
      <c r="DAJ119" s="199"/>
      <c r="DAK119" s="198"/>
      <c r="DAL119" s="199"/>
      <c r="DAM119" s="198"/>
      <c r="DAN119" s="199"/>
      <c r="DAO119" s="198"/>
      <c r="DAP119" s="199"/>
      <c r="DAQ119" s="198"/>
      <c r="DAR119" s="199"/>
      <c r="DAS119" s="198"/>
      <c r="DAT119" s="199"/>
      <c r="DAU119" s="198"/>
      <c r="DAV119" s="199"/>
      <c r="DAW119" s="198"/>
      <c r="DAX119" s="199"/>
      <c r="DAY119" s="198"/>
      <c r="DAZ119" s="199"/>
      <c r="DBA119" s="198"/>
      <c r="DBB119" s="199"/>
      <c r="DBC119" s="198"/>
      <c r="DBD119" s="199"/>
      <c r="DBE119" s="198"/>
      <c r="DBF119" s="199"/>
      <c r="DBG119" s="198"/>
      <c r="DBH119" s="199"/>
      <c r="DBI119" s="198"/>
      <c r="DBJ119" s="199"/>
      <c r="DBK119" s="198"/>
      <c r="DBL119" s="199"/>
      <c r="DBM119" s="198"/>
      <c r="DBN119" s="199"/>
      <c r="DBO119" s="198"/>
      <c r="DBP119" s="199"/>
      <c r="DBQ119" s="198"/>
      <c r="DBR119" s="199"/>
      <c r="DBS119" s="198"/>
      <c r="DBT119" s="199"/>
      <c r="DBU119" s="198"/>
      <c r="DBV119" s="199"/>
      <c r="DBW119" s="198"/>
      <c r="DBX119" s="199"/>
      <c r="DBY119" s="198"/>
      <c r="DBZ119" s="199"/>
      <c r="DCA119" s="198"/>
      <c r="DCB119" s="199"/>
      <c r="DCC119" s="198"/>
      <c r="DCD119" s="199"/>
      <c r="DCE119" s="198"/>
      <c r="DCF119" s="199"/>
      <c r="DCG119" s="198"/>
      <c r="DCH119" s="199"/>
      <c r="DCI119" s="198"/>
      <c r="DCJ119" s="199"/>
      <c r="DCK119" s="198"/>
      <c r="DCL119" s="199"/>
      <c r="DCM119" s="198"/>
      <c r="DCN119" s="199"/>
      <c r="DCO119" s="198"/>
      <c r="DCP119" s="199"/>
      <c r="DCQ119" s="198"/>
      <c r="DCR119" s="199"/>
      <c r="DCS119" s="198"/>
      <c r="DCT119" s="199"/>
      <c r="DCU119" s="198"/>
      <c r="DCV119" s="199"/>
      <c r="DCW119" s="198"/>
      <c r="DCX119" s="199"/>
      <c r="DCY119" s="198"/>
      <c r="DCZ119" s="199"/>
      <c r="DDA119" s="198"/>
      <c r="DDB119" s="199"/>
      <c r="DDC119" s="198"/>
      <c r="DDD119" s="199"/>
      <c r="DDE119" s="198"/>
      <c r="DDF119" s="199"/>
      <c r="DDG119" s="198"/>
      <c r="DDH119" s="199"/>
      <c r="DDI119" s="198"/>
      <c r="DDJ119" s="199"/>
      <c r="DDK119" s="198"/>
      <c r="DDL119" s="199"/>
      <c r="DDM119" s="198"/>
      <c r="DDN119" s="199"/>
      <c r="DDO119" s="198"/>
      <c r="DDP119" s="199"/>
      <c r="DDQ119" s="198"/>
      <c r="DDR119" s="199"/>
      <c r="DDS119" s="198"/>
      <c r="DDT119" s="199"/>
      <c r="DDU119" s="198"/>
      <c r="DDV119" s="199"/>
      <c r="DDW119" s="198"/>
      <c r="DDX119" s="199"/>
      <c r="DDY119" s="198"/>
      <c r="DDZ119" s="199"/>
      <c r="DEA119" s="198"/>
      <c r="DEB119" s="199"/>
      <c r="DEC119" s="198"/>
      <c r="DED119" s="199"/>
      <c r="DEE119" s="198"/>
      <c r="DEF119" s="199"/>
      <c r="DEG119" s="198"/>
      <c r="DEH119" s="199"/>
      <c r="DEI119" s="198"/>
      <c r="DEJ119" s="199"/>
      <c r="DEK119" s="198"/>
      <c r="DEL119" s="199"/>
      <c r="DEM119" s="198"/>
      <c r="DEN119" s="199"/>
      <c r="DEO119" s="198"/>
      <c r="DEP119" s="199"/>
      <c r="DEQ119" s="198"/>
      <c r="DER119" s="199"/>
      <c r="DES119" s="198"/>
      <c r="DET119" s="199"/>
      <c r="DEU119" s="198"/>
      <c r="DEV119" s="199"/>
      <c r="DEW119" s="198"/>
      <c r="DEX119" s="199"/>
      <c r="DEY119" s="198"/>
      <c r="DEZ119" s="199"/>
      <c r="DFA119" s="198"/>
      <c r="DFB119" s="199"/>
      <c r="DFC119" s="198"/>
      <c r="DFD119" s="199"/>
      <c r="DFE119" s="198"/>
      <c r="DFF119" s="199"/>
      <c r="DFG119" s="198"/>
      <c r="DFH119" s="199"/>
      <c r="DFI119" s="198"/>
      <c r="DFJ119" s="199"/>
      <c r="DFK119" s="198"/>
      <c r="DFL119" s="199"/>
      <c r="DFM119" s="198"/>
      <c r="DFN119" s="199"/>
      <c r="DFO119" s="198"/>
      <c r="DFP119" s="199"/>
      <c r="DFQ119" s="198"/>
      <c r="DFR119" s="199"/>
      <c r="DFS119" s="198"/>
      <c r="DFT119" s="199"/>
      <c r="DFU119" s="198"/>
      <c r="DFV119" s="199"/>
      <c r="DFW119" s="198"/>
      <c r="DFX119" s="199"/>
      <c r="DFY119" s="198"/>
      <c r="DFZ119" s="199"/>
      <c r="DGA119" s="198"/>
      <c r="DGB119" s="199"/>
      <c r="DGC119" s="198"/>
      <c r="DGD119" s="199"/>
      <c r="DGE119" s="198"/>
      <c r="DGF119" s="199"/>
      <c r="DGG119" s="198"/>
      <c r="DGH119" s="199"/>
      <c r="DGI119" s="198"/>
      <c r="DGJ119" s="199"/>
      <c r="DGK119" s="198"/>
      <c r="DGL119" s="199"/>
      <c r="DGM119" s="198"/>
      <c r="DGN119" s="199"/>
      <c r="DGO119" s="198"/>
      <c r="DGP119" s="199"/>
      <c r="DGQ119" s="198"/>
      <c r="DGR119" s="199"/>
      <c r="DGS119" s="198"/>
      <c r="DGT119" s="199"/>
      <c r="DGU119" s="198"/>
      <c r="DGV119" s="199"/>
      <c r="DGW119" s="198"/>
      <c r="DGX119" s="199"/>
      <c r="DGY119" s="198"/>
      <c r="DGZ119" s="199"/>
      <c r="DHA119" s="198"/>
      <c r="DHB119" s="199"/>
      <c r="DHC119" s="198"/>
      <c r="DHD119" s="199"/>
      <c r="DHE119" s="198"/>
      <c r="DHF119" s="199"/>
      <c r="DHG119" s="198"/>
      <c r="DHH119" s="199"/>
      <c r="DHI119" s="198"/>
      <c r="DHJ119" s="199"/>
      <c r="DHK119" s="198"/>
      <c r="DHL119" s="199"/>
      <c r="DHM119" s="198"/>
      <c r="DHN119" s="199"/>
      <c r="DHO119" s="198"/>
      <c r="DHP119" s="199"/>
      <c r="DHQ119" s="198"/>
      <c r="DHR119" s="199"/>
      <c r="DHS119" s="198"/>
      <c r="DHT119" s="199"/>
      <c r="DHU119" s="198"/>
      <c r="DHV119" s="199"/>
      <c r="DHW119" s="198"/>
      <c r="DHX119" s="199"/>
      <c r="DHY119" s="198"/>
      <c r="DHZ119" s="199"/>
      <c r="DIA119" s="198"/>
      <c r="DIB119" s="199"/>
      <c r="DIC119" s="198"/>
      <c r="DID119" s="199"/>
      <c r="DIE119" s="198"/>
      <c r="DIF119" s="199"/>
      <c r="DIG119" s="198"/>
      <c r="DIH119" s="199"/>
      <c r="DII119" s="198"/>
      <c r="DIJ119" s="199"/>
      <c r="DIK119" s="198"/>
      <c r="DIL119" s="199"/>
      <c r="DIM119" s="198"/>
      <c r="DIN119" s="199"/>
      <c r="DIO119" s="198"/>
      <c r="DIP119" s="199"/>
      <c r="DIQ119" s="198"/>
      <c r="DIR119" s="199"/>
      <c r="DIS119" s="198"/>
      <c r="DIT119" s="199"/>
      <c r="DIU119" s="198"/>
      <c r="DIV119" s="199"/>
      <c r="DIW119" s="198"/>
      <c r="DIX119" s="199"/>
      <c r="DIY119" s="198"/>
      <c r="DIZ119" s="199"/>
      <c r="DJA119" s="198"/>
      <c r="DJB119" s="199"/>
      <c r="DJC119" s="198"/>
      <c r="DJD119" s="199"/>
      <c r="DJE119" s="198"/>
      <c r="DJF119" s="199"/>
      <c r="DJG119" s="198"/>
      <c r="DJH119" s="199"/>
      <c r="DJI119" s="198"/>
      <c r="DJJ119" s="199"/>
      <c r="DJK119" s="198"/>
      <c r="DJL119" s="199"/>
      <c r="DJM119" s="198"/>
      <c r="DJN119" s="199"/>
      <c r="DJO119" s="198"/>
      <c r="DJP119" s="199"/>
      <c r="DJQ119" s="198"/>
      <c r="DJR119" s="199"/>
      <c r="DJS119" s="198"/>
      <c r="DJT119" s="199"/>
      <c r="DJU119" s="198"/>
      <c r="DJV119" s="199"/>
      <c r="DJW119" s="198"/>
      <c r="DJX119" s="199"/>
      <c r="DJY119" s="198"/>
      <c r="DJZ119" s="199"/>
      <c r="DKA119" s="198"/>
      <c r="DKB119" s="199"/>
      <c r="DKC119" s="198"/>
      <c r="DKD119" s="199"/>
      <c r="DKE119" s="198"/>
      <c r="DKF119" s="199"/>
      <c r="DKG119" s="198"/>
      <c r="DKH119" s="199"/>
      <c r="DKI119" s="198"/>
      <c r="DKJ119" s="199"/>
      <c r="DKK119" s="198"/>
      <c r="DKL119" s="199"/>
      <c r="DKM119" s="198"/>
      <c r="DKN119" s="199"/>
      <c r="DKO119" s="198"/>
      <c r="DKP119" s="199"/>
      <c r="DKQ119" s="198"/>
      <c r="DKR119" s="199"/>
      <c r="DKS119" s="198"/>
      <c r="DKT119" s="199"/>
      <c r="DKU119" s="198"/>
      <c r="DKV119" s="199"/>
      <c r="DKW119" s="198"/>
      <c r="DKX119" s="199"/>
      <c r="DKY119" s="198"/>
      <c r="DKZ119" s="199"/>
      <c r="DLA119" s="198"/>
      <c r="DLB119" s="199"/>
      <c r="DLC119" s="198"/>
      <c r="DLD119" s="199"/>
      <c r="DLE119" s="198"/>
      <c r="DLF119" s="199"/>
      <c r="DLG119" s="198"/>
      <c r="DLH119" s="199"/>
      <c r="DLI119" s="198"/>
      <c r="DLJ119" s="199"/>
      <c r="DLK119" s="198"/>
      <c r="DLL119" s="199"/>
      <c r="DLM119" s="198"/>
      <c r="DLN119" s="199"/>
      <c r="DLO119" s="198"/>
      <c r="DLP119" s="199"/>
      <c r="DLQ119" s="198"/>
      <c r="DLR119" s="199"/>
      <c r="DLS119" s="198"/>
      <c r="DLT119" s="199"/>
      <c r="DLU119" s="198"/>
      <c r="DLV119" s="199"/>
      <c r="DLW119" s="198"/>
      <c r="DLX119" s="199"/>
      <c r="DLY119" s="198"/>
      <c r="DLZ119" s="199"/>
      <c r="DMA119" s="198"/>
      <c r="DMB119" s="199"/>
      <c r="DMC119" s="198"/>
      <c r="DMD119" s="199"/>
      <c r="DME119" s="198"/>
      <c r="DMF119" s="199"/>
      <c r="DMG119" s="198"/>
      <c r="DMH119" s="199"/>
      <c r="DMI119" s="198"/>
      <c r="DMJ119" s="199"/>
      <c r="DMK119" s="198"/>
      <c r="DML119" s="199"/>
      <c r="DMM119" s="198"/>
      <c r="DMN119" s="199"/>
      <c r="DMO119" s="198"/>
      <c r="DMP119" s="199"/>
      <c r="DMQ119" s="198"/>
      <c r="DMR119" s="199"/>
      <c r="DMS119" s="198"/>
      <c r="DMT119" s="199"/>
      <c r="DMU119" s="198"/>
      <c r="DMV119" s="199"/>
      <c r="DMW119" s="198"/>
      <c r="DMX119" s="199"/>
      <c r="DMY119" s="198"/>
      <c r="DMZ119" s="199"/>
      <c r="DNA119" s="198"/>
      <c r="DNB119" s="199"/>
      <c r="DNC119" s="198"/>
      <c r="DND119" s="199"/>
      <c r="DNE119" s="198"/>
      <c r="DNF119" s="199"/>
      <c r="DNG119" s="198"/>
      <c r="DNH119" s="199"/>
      <c r="DNI119" s="198"/>
      <c r="DNJ119" s="199"/>
      <c r="DNK119" s="198"/>
      <c r="DNL119" s="199"/>
      <c r="DNM119" s="198"/>
      <c r="DNN119" s="199"/>
      <c r="DNO119" s="198"/>
      <c r="DNP119" s="199"/>
      <c r="DNQ119" s="198"/>
      <c r="DNR119" s="199"/>
      <c r="DNS119" s="198"/>
      <c r="DNT119" s="199"/>
      <c r="DNU119" s="198"/>
      <c r="DNV119" s="199"/>
      <c r="DNW119" s="198"/>
      <c r="DNX119" s="199"/>
      <c r="DNY119" s="198"/>
      <c r="DNZ119" s="199"/>
      <c r="DOA119" s="198"/>
      <c r="DOB119" s="199"/>
      <c r="DOC119" s="198"/>
      <c r="DOD119" s="199"/>
      <c r="DOE119" s="198"/>
      <c r="DOF119" s="199"/>
      <c r="DOG119" s="198"/>
      <c r="DOH119" s="199"/>
      <c r="DOI119" s="198"/>
      <c r="DOJ119" s="199"/>
      <c r="DOK119" s="198"/>
      <c r="DOL119" s="199"/>
      <c r="DOM119" s="198"/>
      <c r="DON119" s="199"/>
      <c r="DOO119" s="198"/>
      <c r="DOP119" s="199"/>
      <c r="DOQ119" s="198"/>
      <c r="DOR119" s="199"/>
      <c r="DOS119" s="198"/>
      <c r="DOT119" s="199"/>
      <c r="DOU119" s="198"/>
      <c r="DOV119" s="199"/>
      <c r="DOW119" s="198"/>
      <c r="DOX119" s="199"/>
      <c r="DOY119" s="198"/>
      <c r="DOZ119" s="199"/>
      <c r="DPA119" s="198"/>
      <c r="DPB119" s="199"/>
      <c r="DPC119" s="198"/>
      <c r="DPD119" s="199"/>
      <c r="DPE119" s="198"/>
      <c r="DPF119" s="199"/>
      <c r="DPG119" s="198"/>
      <c r="DPH119" s="199"/>
      <c r="DPI119" s="198"/>
      <c r="DPJ119" s="199"/>
      <c r="DPK119" s="198"/>
      <c r="DPL119" s="199"/>
      <c r="DPM119" s="198"/>
      <c r="DPN119" s="199"/>
      <c r="DPO119" s="198"/>
      <c r="DPP119" s="199"/>
      <c r="DPQ119" s="198"/>
      <c r="DPR119" s="199"/>
      <c r="DPS119" s="198"/>
      <c r="DPT119" s="199"/>
      <c r="DPU119" s="198"/>
      <c r="DPV119" s="199"/>
      <c r="DPW119" s="198"/>
      <c r="DPX119" s="199"/>
      <c r="DPY119" s="198"/>
      <c r="DPZ119" s="199"/>
      <c r="DQA119" s="198"/>
      <c r="DQB119" s="199"/>
      <c r="DQC119" s="198"/>
      <c r="DQD119" s="199"/>
      <c r="DQE119" s="198"/>
      <c r="DQF119" s="199"/>
      <c r="DQG119" s="198"/>
      <c r="DQH119" s="199"/>
      <c r="DQI119" s="198"/>
      <c r="DQJ119" s="199"/>
      <c r="DQK119" s="198"/>
      <c r="DQL119" s="199"/>
      <c r="DQM119" s="198"/>
      <c r="DQN119" s="199"/>
      <c r="DQO119" s="198"/>
      <c r="DQP119" s="199"/>
      <c r="DQQ119" s="198"/>
      <c r="DQR119" s="199"/>
      <c r="DQS119" s="198"/>
      <c r="DQT119" s="199"/>
      <c r="DQU119" s="198"/>
      <c r="DQV119" s="199"/>
      <c r="DQW119" s="198"/>
      <c r="DQX119" s="199"/>
      <c r="DQY119" s="198"/>
      <c r="DQZ119" s="199"/>
      <c r="DRA119" s="198"/>
      <c r="DRB119" s="199"/>
      <c r="DRC119" s="198"/>
      <c r="DRD119" s="199"/>
      <c r="DRE119" s="198"/>
      <c r="DRF119" s="199"/>
      <c r="DRG119" s="198"/>
      <c r="DRH119" s="199"/>
      <c r="DRI119" s="198"/>
      <c r="DRJ119" s="199"/>
      <c r="DRK119" s="198"/>
      <c r="DRL119" s="199"/>
      <c r="DRM119" s="198"/>
      <c r="DRN119" s="199"/>
      <c r="DRO119" s="198"/>
      <c r="DRP119" s="199"/>
      <c r="DRQ119" s="198"/>
      <c r="DRR119" s="199"/>
      <c r="DRS119" s="198"/>
      <c r="DRT119" s="199"/>
      <c r="DRU119" s="198"/>
      <c r="DRV119" s="199"/>
      <c r="DRW119" s="198"/>
      <c r="DRX119" s="199"/>
      <c r="DRY119" s="198"/>
      <c r="DRZ119" s="199"/>
      <c r="DSA119" s="198"/>
      <c r="DSB119" s="199"/>
      <c r="DSC119" s="198"/>
      <c r="DSD119" s="199"/>
      <c r="DSE119" s="198"/>
      <c r="DSF119" s="199"/>
      <c r="DSG119" s="198"/>
      <c r="DSH119" s="199"/>
      <c r="DSI119" s="198"/>
      <c r="DSJ119" s="199"/>
      <c r="DSK119" s="198"/>
      <c r="DSL119" s="199"/>
      <c r="DSM119" s="198"/>
      <c r="DSN119" s="199"/>
      <c r="DSO119" s="198"/>
      <c r="DSP119" s="199"/>
      <c r="DSQ119" s="198"/>
      <c r="DSR119" s="199"/>
      <c r="DSS119" s="198"/>
      <c r="DST119" s="199"/>
      <c r="DSU119" s="198"/>
      <c r="DSV119" s="199"/>
      <c r="DSW119" s="198"/>
      <c r="DSX119" s="199"/>
      <c r="DSY119" s="198"/>
      <c r="DSZ119" s="199"/>
      <c r="DTA119" s="198"/>
      <c r="DTB119" s="199"/>
      <c r="DTC119" s="198"/>
      <c r="DTD119" s="199"/>
      <c r="DTE119" s="198"/>
      <c r="DTF119" s="199"/>
      <c r="DTG119" s="198"/>
      <c r="DTH119" s="199"/>
      <c r="DTI119" s="198"/>
      <c r="DTJ119" s="199"/>
      <c r="DTK119" s="198"/>
      <c r="DTL119" s="199"/>
      <c r="DTM119" s="198"/>
      <c r="DTN119" s="199"/>
      <c r="DTO119" s="198"/>
      <c r="DTP119" s="199"/>
      <c r="DTQ119" s="198"/>
      <c r="DTR119" s="199"/>
      <c r="DTS119" s="198"/>
      <c r="DTT119" s="199"/>
      <c r="DTU119" s="198"/>
      <c r="DTV119" s="199"/>
      <c r="DTW119" s="198"/>
      <c r="DTX119" s="199"/>
      <c r="DTY119" s="198"/>
      <c r="DTZ119" s="199"/>
      <c r="DUA119" s="198"/>
      <c r="DUB119" s="199"/>
      <c r="DUC119" s="198"/>
      <c r="DUD119" s="199"/>
      <c r="DUE119" s="198"/>
      <c r="DUF119" s="199"/>
      <c r="DUG119" s="198"/>
      <c r="DUH119" s="199"/>
      <c r="DUI119" s="198"/>
      <c r="DUJ119" s="199"/>
      <c r="DUK119" s="198"/>
      <c r="DUL119" s="199"/>
      <c r="DUM119" s="198"/>
      <c r="DUN119" s="199"/>
      <c r="DUO119" s="198"/>
      <c r="DUP119" s="199"/>
      <c r="DUQ119" s="198"/>
      <c r="DUR119" s="199"/>
      <c r="DUS119" s="198"/>
      <c r="DUT119" s="199"/>
      <c r="DUU119" s="198"/>
      <c r="DUV119" s="199"/>
      <c r="DUW119" s="198"/>
      <c r="DUX119" s="199"/>
      <c r="DUY119" s="198"/>
      <c r="DUZ119" s="199"/>
      <c r="DVA119" s="198"/>
      <c r="DVB119" s="199"/>
      <c r="DVC119" s="198"/>
      <c r="DVD119" s="199"/>
      <c r="DVE119" s="198"/>
      <c r="DVF119" s="199"/>
      <c r="DVG119" s="198"/>
      <c r="DVH119" s="199"/>
      <c r="DVI119" s="198"/>
      <c r="DVJ119" s="199"/>
      <c r="DVK119" s="198"/>
      <c r="DVL119" s="199"/>
      <c r="DVM119" s="198"/>
      <c r="DVN119" s="199"/>
      <c r="DVO119" s="198"/>
      <c r="DVP119" s="199"/>
      <c r="DVQ119" s="198"/>
      <c r="DVR119" s="199"/>
      <c r="DVS119" s="198"/>
      <c r="DVT119" s="199"/>
      <c r="DVU119" s="198"/>
      <c r="DVV119" s="199"/>
      <c r="DVW119" s="198"/>
      <c r="DVX119" s="199"/>
      <c r="DVY119" s="198"/>
      <c r="DVZ119" s="199"/>
      <c r="DWA119" s="198"/>
      <c r="DWB119" s="199"/>
      <c r="DWC119" s="198"/>
      <c r="DWD119" s="199"/>
      <c r="DWE119" s="198"/>
      <c r="DWF119" s="199"/>
      <c r="DWG119" s="198"/>
      <c r="DWH119" s="199"/>
      <c r="DWI119" s="198"/>
      <c r="DWJ119" s="199"/>
      <c r="DWK119" s="198"/>
      <c r="DWL119" s="199"/>
      <c r="DWM119" s="198"/>
      <c r="DWN119" s="199"/>
      <c r="DWO119" s="198"/>
      <c r="DWP119" s="199"/>
      <c r="DWQ119" s="198"/>
      <c r="DWR119" s="199"/>
      <c r="DWS119" s="198"/>
      <c r="DWT119" s="199"/>
      <c r="DWU119" s="198"/>
      <c r="DWV119" s="199"/>
      <c r="DWW119" s="198"/>
      <c r="DWX119" s="199"/>
      <c r="DWY119" s="198"/>
      <c r="DWZ119" s="199"/>
      <c r="DXA119" s="198"/>
      <c r="DXB119" s="199"/>
      <c r="DXC119" s="198"/>
      <c r="DXD119" s="199"/>
      <c r="DXE119" s="198"/>
      <c r="DXF119" s="199"/>
      <c r="DXG119" s="198"/>
      <c r="DXH119" s="199"/>
      <c r="DXI119" s="198"/>
      <c r="DXJ119" s="199"/>
      <c r="DXK119" s="198"/>
      <c r="DXL119" s="199"/>
      <c r="DXM119" s="198"/>
      <c r="DXN119" s="199"/>
      <c r="DXO119" s="198"/>
      <c r="DXP119" s="199"/>
      <c r="DXQ119" s="198"/>
      <c r="DXR119" s="199"/>
      <c r="DXS119" s="198"/>
      <c r="DXT119" s="199"/>
      <c r="DXU119" s="198"/>
      <c r="DXV119" s="199"/>
      <c r="DXW119" s="198"/>
      <c r="DXX119" s="199"/>
      <c r="DXY119" s="198"/>
      <c r="DXZ119" s="199"/>
      <c r="DYA119" s="198"/>
      <c r="DYB119" s="199"/>
      <c r="DYC119" s="198"/>
      <c r="DYD119" s="199"/>
      <c r="DYE119" s="198"/>
      <c r="DYF119" s="199"/>
      <c r="DYG119" s="198"/>
      <c r="DYH119" s="199"/>
      <c r="DYI119" s="198"/>
      <c r="DYJ119" s="199"/>
      <c r="DYK119" s="198"/>
      <c r="DYL119" s="199"/>
      <c r="DYM119" s="198"/>
      <c r="DYN119" s="199"/>
      <c r="DYO119" s="198"/>
      <c r="DYP119" s="199"/>
      <c r="DYQ119" s="198"/>
      <c r="DYR119" s="199"/>
      <c r="DYS119" s="198"/>
      <c r="DYT119" s="199"/>
      <c r="DYU119" s="198"/>
      <c r="DYV119" s="199"/>
      <c r="DYW119" s="198"/>
      <c r="DYX119" s="199"/>
      <c r="DYY119" s="198"/>
      <c r="DYZ119" s="199"/>
      <c r="DZA119" s="198"/>
      <c r="DZB119" s="199"/>
      <c r="DZC119" s="198"/>
      <c r="DZD119" s="199"/>
      <c r="DZE119" s="198"/>
      <c r="DZF119" s="199"/>
      <c r="DZG119" s="198"/>
      <c r="DZH119" s="199"/>
      <c r="DZI119" s="198"/>
      <c r="DZJ119" s="199"/>
      <c r="DZK119" s="198"/>
      <c r="DZL119" s="199"/>
      <c r="DZM119" s="198"/>
      <c r="DZN119" s="199"/>
      <c r="DZO119" s="198"/>
      <c r="DZP119" s="199"/>
      <c r="DZQ119" s="198"/>
      <c r="DZR119" s="199"/>
      <c r="DZS119" s="198"/>
      <c r="DZT119" s="199"/>
      <c r="DZU119" s="198"/>
      <c r="DZV119" s="199"/>
      <c r="DZW119" s="198"/>
      <c r="DZX119" s="199"/>
      <c r="DZY119" s="198"/>
      <c r="DZZ119" s="199"/>
      <c r="EAA119" s="198"/>
      <c r="EAB119" s="199"/>
      <c r="EAC119" s="198"/>
      <c r="EAD119" s="199"/>
      <c r="EAE119" s="198"/>
      <c r="EAF119" s="199"/>
      <c r="EAG119" s="198"/>
      <c r="EAH119" s="199"/>
      <c r="EAI119" s="198"/>
      <c r="EAJ119" s="199"/>
      <c r="EAK119" s="198"/>
      <c r="EAL119" s="199"/>
      <c r="EAM119" s="198"/>
      <c r="EAN119" s="199"/>
      <c r="EAO119" s="198"/>
      <c r="EAP119" s="199"/>
      <c r="EAQ119" s="198"/>
      <c r="EAR119" s="199"/>
      <c r="EAS119" s="198"/>
      <c r="EAT119" s="199"/>
      <c r="EAU119" s="198"/>
      <c r="EAV119" s="199"/>
      <c r="EAW119" s="198"/>
      <c r="EAX119" s="199"/>
      <c r="EAY119" s="198"/>
      <c r="EAZ119" s="199"/>
      <c r="EBA119" s="198"/>
      <c r="EBB119" s="199"/>
      <c r="EBC119" s="198"/>
      <c r="EBD119" s="199"/>
      <c r="EBE119" s="198"/>
      <c r="EBF119" s="199"/>
      <c r="EBG119" s="198"/>
      <c r="EBH119" s="199"/>
      <c r="EBI119" s="198"/>
      <c r="EBJ119" s="199"/>
      <c r="EBK119" s="198"/>
      <c r="EBL119" s="199"/>
      <c r="EBM119" s="198"/>
      <c r="EBN119" s="199"/>
      <c r="EBO119" s="198"/>
      <c r="EBP119" s="199"/>
      <c r="EBQ119" s="198"/>
      <c r="EBR119" s="199"/>
      <c r="EBS119" s="198"/>
      <c r="EBT119" s="199"/>
      <c r="EBU119" s="198"/>
      <c r="EBV119" s="199"/>
      <c r="EBW119" s="198"/>
      <c r="EBX119" s="199"/>
      <c r="EBY119" s="198"/>
      <c r="EBZ119" s="199"/>
      <c r="ECA119" s="198"/>
      <c r="ECB119" s="199"/>
      <c r="ECC119" s="198"/>
      <c r="ECD119" s="199"/>
      <c r="ECE119" s="198"/>
      <c r="ECF119" s="199"/>
      <c r="ECG119" s="198"/>
      <c r="ECH119" s="199"/>
      <c r="ECI119" s="198"/>
      <c r="ECJ119" s="199"/>
      <c r="ECK119" s="198"/>
      <c r="ECL119" s="199"/>
      <c r="ECM119" s="198"/>
      <c r="ECN119" s="199"/>
      <c r="ECO119" s="198"/>
      <c r="ECP119" s="199"/>
      <c r="ECQ119" s="198"/>
      <c r="ECR119" s="199"/>
      <c r="ECS119" s="198"/>
      <c r="ECT119" s="199"/>
      <c r="ECU119" s="198"/>
      <c r="ECV119" s="199"/>
      <c r="ECW119" s="198"/>
      <c r="ECX119" s="199"/>
      <c r="ECY119" s="198"/>
      <c r="ECZ119" s="199"/>
      <c r="EDA119" s="198"/>
      <c r="EDB119" s="199"/>
      <c r="EDC119" s="198"/>
      <c r="EDD119" s="199"/>
      <c r="EDE119" s="198"/>
      <c r="EDF119" s="199"/>
      <c r="EDG119" s="198"/>
      <c r="EDH119" s="199"/>
      <c r="EDI119" s="198"/>
      <c r="EDJ119" s="199"/>
      <c r="EDK119" s="198"/>
      <c r="EDL119" s="199"/>
      <c r="EDM119" s="198"/>
      <c r="EDN119" s="199"/>
      <c r="EDO119" s="198"/>
      <c r="EDP119" s="199"/>
      <c r="EDQ119" s="198"/>
      <c r="EDR119" s="199"/>
      <c r="EDS119" s="198"/>
      <c r="EDT119" s="199"/>
      <c r="EDU119" s="198"/>
      <c r="EDV119" s="199"/>
      <c r="EDW119" s="198"/>
      <c r="EDX119" s="199"/>
      <c r="EDY119" s="198"/>
      <c r="EDZ119" s="199"/>
      <c r="EEA119" s="198"/>
      <c r="EEB119" s="199"/>
      <c r="EEC119" s="198"/>
      <c r="EED119" s="199"/>
      <c r="EEE119" s="198"/>
      <c r="EEF119" s="199"/>
      <c r="EEG119" s="198"/>
      <c r="EEH119" s="199"/>
      <c r="EEI119" s="198"/>
      <c r="EEJ119" s="199"/>
      <c r="EEK119" s="198"/>
      <c r="EEL119" s="199"/>
      <c r="EEM119" s="198"/>
      <c r="EEN119" s="199"/>
      <c r="EEO119" s="198"/>
      <c r="EEP119" s="199"/>
      <c r="EEQ119" s="198"/>
      <c r="EER119" s="199"/>
      <c r="EES119" s="198"/>
      <c r="EET119" s="199"/>
      <c r="EEU119" s="198"/>
      <c r="EEV119" s="199"/>
      <c r="EEW119" s="198"/>
      <c r="EEX119" s="199"/>
      <c r="EEY119" s="198"/>
      <c r="EEZ119" s="199"/>
      <c r="EFA119" s="198"/>
      <c r="EFB119" s="199"/>
      <c r="EFC119" s="198"/>
      <c r="EFD119" s="199"/>
      <c r="EFE119" s="198"/>
      <c r="EFF119" s="199"/>
      <c r="EFG119" s="198"/>
      <c r="EFH119" s="199"/>
      <c r="EFI119" s="198"/>
      <c r="EFJ119" s="199"/>
      <c r="EFK119" s="198"/>
      <c r="EFL119" s="199"/>
      <c r="EFM119" s="198"/>
      <c r="EFN119" s="199"/>
      <c r="EFO119" s="198"/>
      <c r="EFP119" s="199"/>
      <c r="EFQ119" s="198"/>
      <c r="EFR119" s="199"/>
      <c r="EFS119" s="198"/>
      <c r="EFT119" s="199"/>
      <c r="EFU119" s="198"/>
      <c r="EFV119" s="199"/>
      <c r="EFW119" s="198"/>
      <c r="EFX119" s="199"/>
      <c r="EFY119" s="198"/>
      <c r="EFZ119" s="199"/>
      <c r="EGA119" s="198"/>
      <c r="EGB119" s="199"/>
      <c r="EGC119" s="198"/>
      <c r="EGD119" s="199"/>
      <c r="EGE119" s="198"/>
      <c r="EGF119" s="199"/>
      <c r="EGG119" s="198"/>
      <c r="EGH119" s="199"/>
      <c r="EGI119" s="198"/>
      <c r="EGJ119" s="199"/>
      <c r="EGK119" s="198"/>
      <c r="EGL119" s="199"/>
      <c r="EGM119" s="198"/>
      <c r="EGN119" s="199"/>
      <c r="EGO119" s="198"/>
      <c r="EGP119" s="199"/>
      <c r="EGQ119" s="198"/>
      <c r="EGR119" s="199"/>
      <c r="EGS119" s="198"/>
      <c r="EGT119" s="199"/>
      <c r="EGU119" s="198"/>
      <c r="EGV119" s="199"/>
      <c r="EGW119" s="198"/>
      <c r="EGX119" s="199"/>
      <c r="EGY119" s="198"/>
      <c r="EGZ119" s="199"/>
      <c r="EHA119" s="198"/>
      <c r="EHB119" s="199"/>
      <c r="EHC119" s="198"/>
      <c r="EHD119" s="199"/>
      <c r="EHE119" s="198"/>
      <c r="EHF119" s="199"/>
      <c r="EHG119" s="198"/>
      <c r="EHH119" s="199"/>
      <c r="EHI119" s="198"/>
      <c r="EHJ119" s="199"/>
      <c r="EHK119" s="198"/>
      <c r="EHL119" s="199"/>
      <c r="EHM119" s="198"/>
      <c r="EHN119" s="199"/>
      <c r="EHO119" s="198"/>
      <c r="EHP119" s="199"/>
      <c r="EHQ119" s="198"/>
      <c r="EHR119" s="199"/>
      <c r="EHS119" s="198"/>
      <c r="EHT119" s="199"/>
      <c r="EHU119" s="198"/>
      <c r="EHV119" s="199"/>
      <c r="EHW119" s="198"/>
      <c r="EHX119" s="199"/>
      <c r="EHY119" s="198"/>
      <c r="EHZ119" s="199"/>
      <c r="EIA119" s="198"/>
      <c r="EIB119" s="199"/>
      <c r="EIC119" s="198"/>
      <c r="EID119" s="199"/>
      <c r="EIE119" s="198"/>
      <c r="EIF119" s="199"/>
      <c r="EIG119" s="198"/>
      <c r="EIH119" s="199"/>
      <c r="EII119" s="198"/>
      <c r="EIJ119" s="199"/>
      <c r="EIK119" s="198"/>
      <c r="EIL119" s="199"/>
      <c r="EIM119" s="198"/>
      <c r="EIN119" s="199"/>
      <c r="EIO119" s="198"/>
      <c r="EIP119" s="199"/>
      <c r="EIQ119" s="198"/>
      <c r="EIR119" s="199"/>
      <c r="EIS119" s="198"/>
      <c r="EIT119" s="199"/>
      <c r="EIU119" s="198"/>
      <c r="EIV119" s="199"/>
      <c r="EIW119" s="198"/>
      <c r="EIX119" s="199"/>
      <c r="EIY119" s="198"/>
      <c r="EIZ119" s="199"/>
      <c r="EJA119" s="198"/>
      <c r="EJB119" s="199"/>
      <c r="EJC119" s="198"/>
      <c r="EJD119" s="199"/>
      <c r="EJE119" s="198"/>
      <c r="EJF119" s="199"/>
      <c r="EJG119" s="198"/>
      <c r="EJH119" s="199"/>
      <c r="EJI119" s="198"/>
      <c r="EJJ119" s="199"/>
      <c r="EJK119" s="198"/>
      <c r="EJL119" s="199"/>
      <c r="EJM119" s="198"/>
      <c r="EJN119" s="199"/>
      <c r="EJO119" s="198"/>
      <c r="EJP119" s="199"/>
      <c r="EJQ119" s="198"/>
      <c r="EJR119" s="199"/>
      <c r="EJS119" s="198"/>
      <c r="EJT119" s="199"/>
      <c r="EJU119" s="198"/>
      <c r="EJV119" s="199"/>
      <c r="EJW119" s="198"/>
      <c r="EJX119" s="199"/>
      <c r="EJY119" s="198"/>
      <c r="EJZ119" s="199"/>
      <c r="EKA119" s="198"/>
      <c r="EKB119" s="199"/>
      <c r="EKC119" s="198"/>
      <c r="EKD119" s="199"/>
      <c r="EKE119" s="198"/>
      <c r="EKF119" s="199"/>
      <c r="EKG119" s="198"/>
      <c r="EKH119" s="199"/>
      <c r="EKI119" s="198"/>
      <c r="EKJ119" s="199"/>
      <c r="EKK119" s="198"/>
      <c r="EKL119" s="199"/>
      <c r="EKM119" s="198"/>
      <c r="EKN119" s="199"/>
      <c r="EKO119" s="198"/>
      <c r="EKP119" s="199"/>
      <c r="EKQ119" s="198"/>
      <c r="EKR119" s="199"/>
      <c r="EKS119" s="198"/>
      <c r="EKT119" s="199"/>
      <c r="EKU119" s="198"/>
      <c r="EKV119" s="199"/>
      <c r="EKW119" s="198"/>
      <c r="EKX119" s="199"/>
      <c r="EKY119" s="198"/>
      <c r="EKZ119" s="199"/>
      <c r="ELA119" s="198"/>
      <c r="ELB119" s="199"/>
      <c r="ELC119" s="198"/>
      <c r="ELD119" s="199"/>
      <c r="ELE119" s="198"/>
      <c r="ELF119" s="199"/>
      <c r="ELG119" s="198"/>
      <c r="ELH119" s="199"/>
      <c r="ELI119" s="198"/>
      <c r="ELJ119" s="199"/>
      <c r="ELK119" s="198"/>
      <c r="ELL119" s="199"/>
      <c r="ELM119" s="198"/>
      <c r="ELN119" s="199"/>
      <c r="ELO119" s="198"/>
      <c r="ELP119" s="199"/>
      <c r="ELQ119" s="198"/>
      <c r="ELR119" s="199"/>
      <c r="ELS119" s="198"/>
      <c r="ELT119" s="199"/>
      <c r="ELU119" s="198"/>
      <c r="ELV119" s="199"/>
      <c r="ELW119" s="198"/>
      <c r="ELX119" s="199"/>
      <c r="ELY119" s="198"/>
      <c r="ELZ119" s="199"/>
      <c r="EMA119" s="198"/>
      <c r="EMB119" s="199"/>
      <c r="EMC119" s="198"/>
      <c r="EMD119" s="199"/>
      <c r="EME119" s="198"/>
      <c r="EMF119" s="199"/>
      <c r="EMG119" s="198"/>
      <c r="EMH119" s="199"/>
      <c r="EMI119" s="198"/>
      <c r="EMJ119" s="199"/>
      <c r="EMK119" s="198"/>
      <c r="EML119" s="199"/>
      <c r="EMM119" s="198"/>
      <c r="EMN119" s="199"/>
      <c r="EMO119" s="198"/>
      <c r="EMP119" s="199"/>
      <c r="EMQ119" s="198"/>
      <c r="EMR119" s="199"/>
      <c r="EMS119" s="198"/>
      <c r="EMT119" s="199"/>
      <c r="EMU119" s="198"/>
      <c r="EMV119" s="199"/>
      <c r="EMW119" s="198"/>
      <c r="EMX119" s="199"/>
      <c r="EMY119" s="198"/>
      <c r="EMZ119" s="199"/>
      <c r="ENA119" s="198"/>
      <c r="ENB119" s="199"/>
      <c r="ENC119" s="198"/>
      <c r="END119" s="199"/>
      <c r="ENE119" s="198"/>
      <c r="ENF119" s="199"/>
      <c r="ENG119" s="198"/>
      <c r="ENH119" s="199"/>
      <c r="ENI119" s="198"/>
      <c r="ENJ119" s="199"/>
      <c r="ENK119" s="198"/>
      <c r="ENL119" s="199"/>
      <c r="ENM119" s="198"/>
      <c r="ENN119" s="199"/>
      <c r="ENO119" s="198"/>
      <c r="ENP119" s="199"/>
      <c r="ENQ119" s="198"/>
      <c r="ENR119" s="199"/>
      <c r="ENS119" s="198"/>
      <c r="ENT119" s="199"/>
      <c r="ENU119" s="198"/>
      <c r="ENV119" s="199"/>
      <c r="ENW119" s="198"/>
      <c r="ENX119" s="199"/>
      <c r="ENY119" s="198"/>
      <c r="ENZ119" s="199"/>
      <c r="EOA119" s="198"/>
      <c r="EOB119" s="199"/>
      <c r="EOC119" s="198"/>
      <c r="EOD119" s="199"/>
      <c r="EOE119" s="198"/>
      <c r="EOF119" s="199"/>
      <c r="EOG119" s="198"/>
      <c r="EOH119" s="199"/>
      <c r="EOI119" s="198"/>
      <c r="EOJ119" s="199"/>
      <c r="EOK119" s="198"/>
      <c r="EOL119" s="199"/>
      <c r="EOM119" s="198"/>
      <c r="EON119" s="199"/>
      <c r="EOO119" s="198"/>
      <c r="EOP119" s="199"/>
      <c r="EOQ119" s="198"/>
      <c r="EOR119" s="199"/>
      <c r="EOS119" s="198"/>
      <c r="EOT119" s="199"/>
      <c r="EOU119" s="198"/>
      <c r="EOV119" s="199"/>
      <c r="EOW119" s="198"/>
      <c r="EOX119" s="199"/>
      <c r="EOY119" s="198"/>
      <c r="EOZ119" s="199"/>
      <c r="EPA119" s="198"/>
      <c r="EPB119" s="199"/>
      <c r="EPC119" s="198"/>
      <c r="EPD119" s="199"/>
      <c r="EPE119" s="198"/>
      <c r="EPF119" s="199"/>
      <c r="EPG119" s="198"/>
      <c r="EPH119" s="199"/>
      <c r="EPI119" s="198"/>
      <c r="EPJ119" s="199"/>
      <c r="EPK119" s="198"/>
      <c r="EPL119" s="199"/>
      <c r="EPM119" s="198"/>
      <c r="EPN119" s="199"/>
      <c r="EPO119" s="198"/>
      <c r="EPP119" s="199"/>
      <c r="EPQ119" s="198"/>
      <c r="EPR119" s="199"/>
      <c r="EPS119" s="198"/>
      <c r="EPT119" s="199"/>
      <c r="EPU119" s="198"/>
      <c r="EPV119" s="199"/>
      <c r="EPW119" s="198"/>
      <c r="EPX119" s="199"/>
      <c r="EPY119" s="198"/>
      <c r="EPZ119" s="199"/>
      <c r="EQA119" s="198"/>
      <c r="EQB119" s="199"/>
      <c r="EQC119" s="198"/>
      <c r="EQD119" s="199"/>
      <c r="EQE119" s="198"/>
      <c r="EQF119" s="199"/>
      <c r="EQG119" s="198"/>
      <c r="EQH119" s="199"/>
      <c r="EQI119" s="198"/>
      <c r="EQJ119" s="199"/>
      <c r="EQK119" s="198"/>
      <c r="EQL119" s="199"/>
      <c r="EQM119" s="198"/>
      <c r="EQN119" s="199"/>
      <c r="EQO119" s="198"/>
      <c r="EQP119" s="199"/>
      <c r="EQQ119" s="198"/>
      <c r="EQR119" s="199"/>
      <c r="EQS119" s="198"/>
      <c r="EQT119" s="199"/>
      <c r="EQU119" s="198"/>
      <c r="EQV119" s="199"/>
      <c r="EQW119" s="198"/>
      <c r="EQX119" s="199"/>
      <c r="EQY119" s="198"/>
      <c r="EQZ119" s="199"/>
      <c r="ERA119" s="198"/>
      <c r="ERB119" s="199"/>
      <c r="ERC119" s="198"/>
      <c r="ERD119" s="199"/>
      <c r="ERE119" s="198"/>
      <c r="ERF119" s="199"/>
      <c r="ERG119" s="198"/>
      <c r="ERH119" s="199"/>
      <c r="ERI119" s="198"/>
      <c r="ERJ119" s="199"/>
      <c r="ERK119" s="198"/>
      <c r="ERL119" s="199"/>
      <c r="ERM119" s="198"/>
      <c r="ERN119" s="199"/>
      <c r="ERO119" s="198"/>
      <c r="ERP119" s="199"/>
      <c r="ERQ119" s="198"/>
      <c r="ERR119" s="199"/>
      <c r="ERS119" s="198"/>
      <c r="ERT119" s="199"/>
      <c r="ERU119" s="198"/>
      <c r="ERV119" s="199"/>
      <c r="ERW119" s="198"/>
      <c r="ERX119" s="199"/>
      <c r="ERY119" s="198"/>
      <c r="ERZ119" s="199"/>
      <c r="ESA119" s="198"/>
      <c r="ESB119" s="199"/>
      <c r="ESC119" s="198"/>
      <c r="ESD119" s="199"/>
      <c r="ESE119" s="198"/>
      <c r="ESF119" s="199"/>
      <c r="ESG119" s="198"/>
      <c r="ESH119" s="199"/>
      <c r="ESI119" s="198"/>
      <c r="ESJ119" s="199"/>
      <c r="ESK119" s="198"/>
      <c r="ESL119" s="199"/>
      <c r="ESM119" s="198"/>
      <c r="ESN119" s="199"/>
      <c r="ESO119" s="198"/>
      <c r="ESP119" s="199"/>
      <c r="ESQ119" s="198"/>
      <c r="ESR119" s="199"/>
      <c r="ESS119" s="198"/>
      <c r="EST119" s="199"/>
      <c r="ESU119" s="198"/>
      <c r="ESV119" s="199"/>
      <c r="ESW119" s="198"/>
      <c r="ESX119" s="199"/>
      <c r="ESY119" s="198"/>
      <c r="ESZ119" s="199"/>
      <c r="ETA119" s="198"/>
      <c r="ETB119" s="199"/>
      <c r="ETC119" s="198"/>
      <c r="ETD119" s="199"/>
      <c r="ETE119" s="198"/>
      <c r="ETF119" s="199"/>
      <c r="ETG119" s="198"/>
      <c r="ETH119" s="199"/>
      <c r="ETI119" s="198"/>
      <c r="ETJ119" s="199"/>
      <c r="ETK119" s="198"/>
      <c r="ETL119" s="199"/>
      <c r="ETM119" s="198"/>
      <c r="ETN119" s="199"/>
      <c r="ETO119" s="198"/>
      <c r="ETP119" s="199"/>
      <c r="ETQ119" s="198"/>
      <c r="ETR119" s="199"/>
      <c r="ETS119" s="198"/>
      <c r="ETT119" s="199"/>
      <c r="ETU119" s="198"/>
      <c r="ETV119" s="199"/>
      <c r="ETW119" s="198"/>
      <c r="ETX119" s="199"/>
      <c r="ETY119" s="198"/>
      <c r="ETZ119" s="199"/>
      <c r="EUA119" s="198"/>
      <c r="EUB119" s="199"/>
      <c r="EUC119" s="198"/>
      <c r="EUD119" s="199"/>
      <c r="EUE119" s="198"/>
      <c r="EUF119" s="199"/>
      <c r="EUG119" s="198"/>
      <c r="EUH119" s="199"/>
      <c r="EUI119" s="198"/>
      <c r="EUJ119" s="199"/>
      <c r="EUK119" s="198"/>
      <c r="EUL119" s="199"/>
      <c r="EUM119" s="198"/>
      <c r="EUN119" s="199"/>
      <c r="EUO119" s="198"/>
      <c r="EUP119" s="199"/>
      <c r="EUQ119" s="198"/>
      <c r="EUR119" s="199"/>
      <c r="EUS119" s="198"/>
      <c r="EUT119" s="199"/>
      <c r="EUU119" s="198"/>
      <c r="EUV119" s="199"/>
      <c r="EUW119" s="198"/>
      <c r="EUX119" s="199"/>
      <c r="EUY119" s="198"/>
      <c r="EUZ119" s="199"/>
      <c r="EVA119" s="198"/>
      <c r="EVB119" s="199"/>
      <c r="EVC119" s="198"/>
      <c r="EVD119" s="199"/>
      <c r="EVE119" s="198"/>
      <c r="EVF119" s="199"/>
      <c r="EVG119" s="198"/>
      <c r="EVH119" s="199"/>
      <c r="EVI119" s="198"/>
      <c r="EVJ119" s="199"/>
      <c r="EVK119" s="198"/>
      <c r="EVL119" s="199"/>
      <c r="EVM119" s="198"/>
      <c r="EVN119" s="199"/>
      <c r="EVO119" s="198"/>
      <c r="EVP119" s="199"/>
      <c r="EVQ119" s="198"/>
      <c r="EVR119" s="199"/>
      <c r="EVS119" s="198"/>
      <c r="EVT119" s="199"/>
      <c r="EVU119" s="198"/>
      <c r="EVV119" s="199"/>
      <c r="EVW119" s="198"/>
      <c r="EVX119" s="199"/>
      <c r="EVY119" s="198"/>
      <c r="EVZ119" s="199"/>
      <c r="EWA119" s="198"/>
      <c r="EWB119" s="199"/>
      <c r="EWC119" s="198"/>
      <c r="EWD119" s="199"/>
      <c r="EWE119" s="198"/>
      <c r="EWF119" s="199"/>
      <c r="EWG119" s="198"/>
      <c r="EWH119" s="199"/>
      <c r="EWI119" s="198"/>
      <c r="EWJ119" s="199"/>
      <c r="EWK119" s="198"/>
      <c r="EWL119" s="199"/>
      <c r="EWM119" s="198"/>
      <c r="EWN119" s="199"/>
      <c r="EWO119" s="198"/>
      <c r="EWP119" s="199"/>
      <c r="EWQ119" s="198"/>
      <c r="EWR119" s="199"/>
      <c r="EWS119" s="198"/>
      <c r="EWT119" s="199"/>
      <c r="EWU119" s="198"/>
      <c r="EWV119" s="199"/>
      <c r="EWW119" s="198"/>
      <c r="EWX119" s="199"/>
      <c r="EWY119" s="198"/>
      <c r="EWZ119" s="199"/>
      <c r="EXA119" s="198"/>
      <c r="EXB119" s="199"/>
      <c r="EXC119" s="198"/>
      <c r="EXD119" s="199"/>
      <c r="EXE119" s="198"/>
      <c r="EXF119" s="199"/>
      <c r="EXG119" s="198"/>
      <c r="EXH119" s="199"/>
      <c r="EXI119" s="198"/>
      <c r="EXJ119" s="199"/>
      <c r="EXK119" s="198"/>
      <c r="EXL119" s="199"/>
      <c r="EXM119" s="198"/>
      <c r="EXN119" s="199"/>
      <c r="EXO119" s="198"/>
      <c r="EXP119" s="199"/>
      <c r="EXQ119" s="198"/>
      <c r="EXR119" s="199"/>
      <c r="EXS119" s="198"/>
      <c r="EXT119" s="199"/>
      <c r="EXU119" s="198"/>
      <c r="EXV119" s="199"/>
      <c r="EXW119" s="198"/>
      <c r="EXX119" s="199"/>
      <c r="EXY119" s="198"/>
      <c r="EXZ119" s="199"/>
      <c r="EYA119" s="198"/>
      <c r="EYB119" s="199"/>
      <c r="EYC119" s="198"/>
      <c r="EYD119" s="199"/>
      <c r="EYE119" s="198"/>
      <c r="EYF119" s="199"/>
      <c r="EYG119" s="198"/>
      <c r="EYH119" s="199"/>
      <c r="EYI119" s="198"/>
      <c r="EYJ119" s="199"/>
      <c r="EYK119" s="198"/>
      <c r="EYL119" s="199"/>
      <c r="EYM119" s="198"/>
      <c r="EYN119" s="199"/>
      <c r="EYO119" s="198"/>
      <c r="EYP119" s="199"/>
      <c r="EYQ119" s="198"/>
      <c r="EYR119" s="199"/>
      <c r="EYS119" s="198"/>
      <c r="EYT119" s="199"/>
      <c r="EYU119" s="198"/>
      <c r="EYV119" s="199"/>
      <c r="EYW119" s="198"/>
      <c r="EYX119" s="199"/>
      <c r="EYY119" s="198"/>
      <c r="EYZ119" s="199"/>
      <c r="EZA119" s="198"/>
      <c r="EZB119" s="199"/>
      <c r="EZC119" s="198"/>
      <c r="EZD119" s="199"/>
      <c r="EZE119" s="198"/>
      <c r="EZF119" s="199"/>
      <c r="EZG119" s="198"/>
      <c r="EZH119" s="199"/>
      <c r="EZI119" s="198"/>
      <c r="EZJ119" s="199"/>
      <c r="EZK119" s="198"/>
      <c r="EZL119" s="199"/>
      <c r="EZM119" s="198"/>
      <c r="EZN119" s="199"/>
      <c r="EZO119" s="198"/>
      <c r="EZP119" s="199"/>
      <c r="EZQ119" s="198"/>
      <c r="EZR119" s="199"/>
      <c r="EZS119" s="198"/>
      <c r="EZT119" s="199"/>
      <c r="EZU119" s="198"/>
      <c r="EZV119" s="199"/>
      <c r="EZW119" s="198"/>
      <c r="EZX119" s="199"/>
      <c r="EZY119" s="198"/>
      <c r="EZZ119" s="199"/>
      <c r="FAA119" s="198"/>
      <c r="FAB119" s="199"/>
      <c r="FAC119" s="198"/>
      <c r="FAD119" s="199"/>
      <c r="FAE119" s="198"/>
      <c r="FAF119" s="199"/>
      <c r="FAG119" s="198"/>
      <c r="FAH119" s="199"/>
      <c r="FAI119" s="198"/>
      <c r="FAJ119" s="199"/>
      <c r="FAK119" s="198"/>
      <c r="FAL119" s="199"/>
      <c r="FAM119" s="198"/>
      <c r="FAN119" s="199"/>
      <c r="FAO119" s="198"/>
      <c r="FAP119" s="199"/>
      <c r="FAQ119" s="198"/>
      <c r="FAR119" s="199"/>
      <c r="FAS119" s="198"/>
      <c r="FAT119" s="199"/>
      <c r="FAU119" s="198"/>
      <c r="FAV119" s="199"/>
      <c r="FAW119" s="198"/>
      <c r="FAX119" s="199"/>
      <c r="FAY119" s="198"/>
      <c r="FAZ119" s="199"/>
      <c r="FBA119" s="198"/>
      <c r="FBB119" s="199"/>
      <c r="FBC119" s="198"/>
      <c r="FBD119" s="199"/>
      <c r="FBE119" s="198"/>
      <c r="FBF119" s="199"/>
      <c r="FBG119" s="198"/>
      <c r="FBH119" s="199"/>
      <c r="FBI119" s="198"/>
      <c r="FBJ119" s="199"/>
      <c r="FBK119" s="198"/>
      <c r="FBL119" s="199"/>
      <c r="FBM119" s="198"/>
      <c r="FBN119" s="199"/>
      <c r="FBO119" s="198"/>
      <c r="FBP119" s="199"/>
      <c r="FBQ119" s="198"/>
      <c r="FBR119" s="199"/>
      <c r="FBS119" s="198"/>
      <c r="FBT119" s="199"/>
      <c r="FBU119" s="198"/>
      <c r="FBV119" s="199"/>
      <c r="FBW119" s="198"/>
      <c r="FBX119" s="199"/>
      <c r="FBY119" s="198"/>
      <c r="FBZ119" s="199"/>
      <c r="FCA119" s="198"/>
      <c r="FCB119" s="199"/>
      <c r="FCC119" s="198"/>
      <c r="FCD119" s="199"/>
      <c r="FCE119" s="198"/>
      <c r="FCF119" s="199"/>
      <c r="FCG119" s="198"/>
      <c r="FCH119" s="199"/>
      <c r="FCI119" s="198"/>
      <c r="FCJ119" s="199"/>
      <c r="FCK119" s="198"/>
      <c r="FCL119" s="199"/>
      <c r="FCM119" s="198"/>
      <c r="FCN119" s="199"/>
      <c r="FCO119" s="198"/>
      <c r="FCP119" s="199"/>
      <c r="FCQ119" s="198"/>
      <c r="FCR119" s="199"/>
      <c r="FCS119" s="198"/>
      <c r="FCT119" s="199"/>
      <c r="FCU119" s="198"/>
      <c r="FCV119" s="199"/>
      <c r="FCW119" s="198"/>
      <c r="FCX119" s="199"/>
      <c r="FCY119" s="198"/>
      <c r="FCZ119" s="199"/>
      <c r="FDA119" s="198"/>
      <c r="FDB119" s="199"/>
      <c r="FDC119" s="198"/>
      <c r="FDD119" s="199"/>
      <c r="FDE119" s="198"/>
      <c r="FDF119" s="199"/>
      <c r="FDG119" s="198"/>
      <c r="FDH119" s="199"/>
      <c r="FDI119" s="198"/>
      <c r="FDJ119" s="199"/>
      <c r="FDK119" s="198"/>
      <c r="FDL119" s="199"/>
      <c r="FDM119" s="198"/>
      <c r="FDN119" s="199"/>
      <c r="FDO119" s="198"/>
      <c r="FDP119" s="199"/>
      <c r="FDQ119" s="198"/>
      <c r="FDR119" s="199"/>
      <c r="FDS119" s="198"/>
      <c r="FDT119" s="199"/>
      <c r="FDU119" s="198"/>
      <c r="FDV119" s="199"/>
      <c r="FDW119" s="198"/>
      <c r="FDX119" s="199"/>
      <c r="FDY119" s="198"/>
      <c r="FDZ119" s="199"/>
      <c r="FEA119" s="198"/>
      <c r="FEB119" s="199"/>
      <c r="FEC119" s="198"/>
      <c r="FED119" s="199"/>
      <c r="FEE119" s="198"/>
      <c r="FEF119" s="199"/>
      <c r="FEG119" s="198"/>
      <c r="FEH119" s="199"/>
      <c r="FEI119" s="198"/>
      <c r="FEJ119" s="199"/>
      <c r="FEK119" s="198"/>
      <c r="FEL119" s="199"/>
      <c r="FEM119" s="198"/>
      <c r="FEN119" s="199"/>
      <c r="FEO119" s="198"/>
      <c r="FEP119" s="199"/>
      <c r="FEQ119" s="198"/>
      <c r="FER119" s="199"/>
      <c r="FES119" s="198"/>
      <c r="FET119" s="199"/>
      <c r="FEU119" s="198"/>
      <c r="FEV119" s="199"/>
      <c r="FEW119" s="198"/>
      <c r="FEX119" s="199"/>
      <c r="FEY119" s="198"/>
      <c r="FEZ119" s="199"/>
      <c r="FFA119" s="198"/>
      <c r="FFB119" s="199"/>
      <c r="FFC119" s="198"/>
      <c r="FFD119" s="199"/>
      <c r="FFE119" s="198"/>
      <c r="FFF119" s="199"/>
      <c r="FFG119" s="198"/>
      <c r="FFH119" s="199"/>
      <c r="FFI119" s="198"/>
      <c r="FFJ119" s="199"/>
      <c r="FFK119" s="198"/>
      <c r="FFL119" s="199"/>
      <c r="FFM119" s="198"/>
      <c r="FFN119" s="199"/>
      <c r="FFO119" s="198"/>
      <c r="FFP119" s="199"/>
      <c r="FFQ119" s="198"/>
      <c r="FFR119" s="199"/>
      <c r="FFS119" s="198"/>
      <c r="FFT119" s="199"/>
      <c r="FFU119" s="198"/>
      <c r="FFV119" s="199"/>
      <c r="FFW119" s="198"/>
      <c r="FFX119" s="199"/>
      <c r="FFY119" s="198"/>
      <c r="FFZ119" s="199"/>
      <c r="FGA119" s="198"/>
      <c r="FGB119" s="199"/>
      <c r="FGC119" s="198"/>
      <c r="FGD119" s="199"/>
      <c r="FGE119" s="198"/>
      <c r="FGF119" s="199"/>
      <c r="FGG119" s="198"/>
      <c r="FGH119" s="199"/>
      <c r="FGI119" s="198"/>
      <c r="FGJ119" s="199"/>
      <c r="FGK119" s="198"/>
      <c r="FGL119" s="199"/>
      <c r="FGM119" s="198"/>
      <c r="FGN119" s="199"/>
      <c r="FGO119" s="198"/>
      <c r="FGP119" s="199"/>
      <c r="FGQ119" s="198"/>
      <c r="FGR119" s="199"/>
      <c r="FGS119" s="198"/>
      <c r="FGT119" s="199"/>
      <c r="FGU119" s="198"/>
      <c r="FGV119" s="199"/>
      <c r="FGW119" s="198"/>
      <c r="FGX119" s="199"/>
      <c r="FGY119" s="198"/>
      <c r="FGZ119" s="199"/>
      <c r="FHA119" s="198"/>
      <c r="FHB119" s="199"/>
      <c r="FHC119" s="198"/>
      <c r="FHD119" s="199"/>
      <c r="FHE119" s="198"/>
      <c r="FHF119" s="199"/>
      <c r="FHG119" s="198"/>
      <c r="FHH119" s="199"/>
      <c r="FHI119" s="198"/>
      <c r="FHJ119" s="199"/>
      <c r="FHK119" s="198"/>
      <c r="FHL119" s="199"/>
      <c r="FHM119" s="198"/>
      <c r="FHN119" s="199"/>
      <c r="FHO119" s="198"/>
      <c r="FHP119" s="199"/>
      <c r="FHQ119" s="198"/>
      <c r="FHR119" s="199"/>
      <c r="FHS119" s="198"/>
      <c r="FHT119" s="199"/>
      <c r="FHU119" s="198"/>
      <c r="FHV119" s="199"/>
      <c r="FHW119" s="198"/>
      <c r="FHX119" s="199"/>
      <c r="FHY119" s="198"/>
      <c r="FHZ119" s="199"/>
      <c r="FIA119" s="198"/>
      <c r="FIB119" s="199"/>
      <c r="FIC119" s="198"/>
      <c r="FID119" s="199"/>
      <c r="FIE119" s="198"/>
      <c r="FIF119" s="199"/>
      <c r="FIG119" s="198"/>
      <c r="FIH119" s="199"/>
      <c r="FII119" s="198"/>
      <c r="FIJ119" s="199"/>
      <c r="FIK119" s="198"/>
      <c r="FIL119" s="199"/>
      <c r="FIM119" s="198"/>
      <c r="FIN119" s="199"/>
      <c r="FIO119" s="198"/>
      <c r="FIP119" s="199"/>
      <c r="FIQ119" s="198"/>
      <c r="FIR119" s="199"/>
      <c r="FIS119" s="198"/>
      <c r="FIT119" s="199"/>
      <c r="FIU119" s="198"/>
      <c r="FIV119" s="199"/>
      <c r="FIW119" s="198"/>
      <c r="FIX119" s="199"/>
      <c r="FIY119" s="198"/>
      <c r="FIZ119" s="199"/>
      <c r="FJA119" s="198"/>
      <c r="FJB119" s="199"/>
      <c r="FJC119" s="198"/>
      <c r="FJD119" s="199"/>
      <c r="FJE119" s="198"/>
      <c r="FJF119" s="199"/>
      <c r="FJG119" s="198"/>
      <c r="FJH119" s="199"/>
      <c r="FJI119" s="198"/>
      <c r="FJJ119" s="199"/>
      <c r="FJK119" s="198"/>
      <c r="FJL119" s="199"/>
      <c r="FJM119" s="198"/>
      <c r="FJN119" s="199"/>
      <c r="FJO119" s="198"/>
      <c r="FJP119" s="199"/>
      <c r="FJQ119" s="198"/>
      <c r="FJR119" s="199"/>
      <c r="FJS119" s="198"/>
      <c r="FJT119" s="199"/>
      <c r="FJU119" s="198"/>
      <c r="FJV119" s="199"/>
      <c r="FJW119" s="198"/>
      <c r="FJX119" s="199"/>
      <c r="FJY119" s="198"/>
      <c r="FJZ119" s="199"/>
      <c r="FKA119" s="198"/>
      <c r="FKB119" s="199"/>
      <c r="FKC119" s="198"/>
      <c r="FKD119" s="199"/>
      <c r="FKE119" s="198"/>
      <c r="FKF119" s="199"/>
      <c r="FKG119" s="198"/>
      <c r="FKH119" s="199"/>
      <c r="FKI119" s="198"/>
      <c r="FKJ119" s="199"/>
      <c r="FKK119" s="198"/>
      <c r="FKL119" s="199"/>
      <c r="FKM119" s="198"/>
      <c r="FKN119" s="199"/>
      <c r="FKO119" s="198"/>
      <c r="FKP119" s="199"/>
      <c r="FKQ119" s="198"/>
      <c r="FKR119" s="199"/>
      <c r="FKS119" s="198"/>
      <c r="FKT119" s="199"/>
      <c r="FKU119" s="198"/>
      <c r="FKV119" s="199"/>
      <c r="FKW119" s="198"/>
      <c r="FKX119" s="199"/>
      <c r="FKY119" s="198"/>
      <c r="FKZ119" s="199"/>
      <c r="FLA119" s="198"/>
      <c r="FLB119" s="199"/>
      <c r="FLC119" s="198"/>
      <c r="FLD119" s="199"/>
      <c r="FLE119" s="198"/>
      <c r="FLF119" s="199"/>
      <c r="FLG119" s="198"/>
      <c r="FLH119" s="199"/>
      <c r="FLI119" s="198"/>
      <c r="FLJ119" s="199"/>
      <c r="FLK119" s="198"/>
      <c r="FLL119" s="199"/>
      <c r="FLM119" s="198"/>
      <c r="FLN119" s="199"/>
      <c r="FLO119" s="198"/>
      <c r="FLP119" s="199"/>
      <c r="FLQ119" s="198"/>
      <c r="FLR119" s="199"/>
      <c r="FLS119" s="198"/>
      <c r="FLT119" s="199"/>
      <c r="FLU119" s="198"/>
      <c r="FLV119" s="199"/>
      <c r="FLW119" s="198"/>
      <c r="FLX119" s="199"/>
      <c r="FLY119" s="198"/>
      <c r="FLZ119" s="199"/>
      <c r="FMA119" s="198"/>
      <c r="FMB119" s="199"/>
      <c r="FMC119" s="198"/>
      <c r="FMD119" s="199"/>
      <c r="FME119" s="198"/>
      <c r="FMF119" s="199"/>
      <c r="FMG119" s="198"/>
      <c r="FMH119" s="199"/>
      <c r="FMI119" s="198"/>
      <c r="FMJ119" s="199"/>
      <c r="FMK119" s="198"/>
      <c r="FML119" s="199"/>
      <c r="FMM119" s="198"/>
      <c r="FMN119" s="199"/>
      <c r="FMO119" s="198"/>
      <c r="FMP119" s="199"/>
      <c r="FMQ119" s="198"/>
      <c r="FMR119" s="199"/>
      <c r="FMS119" s="198"/>
      <c r="FMT119" s="199"/>
      <c r="FMU119" s="198"/>
      <c r="FMV119" s="199"/>
      <c r="FMW119" s="198"/>
      <c r="FMX119" s="199"/>
      <c r="FMY119" s="198"/>
      <c r="FMZ119" s="199"/>
      <c r="FNA119" s="198"/>
      <c r="FNB119" s="199"/>
      <c r="FNC119" s="198"/>
      <c r="FND119" s="199"/>
      <c r="FNE119" s="198"/>
      <c r="FNF119" s="199"/>
      <c r="FNG119" s="198"/>
      <c r="FNH119" s="199"/>
      <c r="FNI119" s="198"/>
      <c r="FNJ119" s="199"/>
      <c r="FNK119" s="198"/>
      <c r="FNL119" s="199"/>
      <c r="FNM119" s="198"/>
      <c r="FNN119" s="199"/>
      <c r="FNO119" s="198"/>
      <c r="FNP119" s="199"/>
      <c r="FNQ119" s="198"/>
      <c r="FNR119" s="199"/>
      <c r="FNS119" s="198"/>
      <c r="FNT119" s="199"/>
      <c r="FNU119" s="198"/>
      <c r="FNV119" s="199"/>
      <c r="FNW119" s="198"/>
      <c r="FNX119" s="199"/>
      <c r="FNY119" s="198"/>
      <c r="FNZ119" s="199"/>
      <c r="FOA119" s="198"/>
      <c r="FOB119" s="199"/>
      <c r="FOC119" s="198"/>
      <c r="FOD119" s="199"/>
      <c r="FOE119" s="198"/>
      <c r="FOF119" s="199"/>
      <c r="FOG119" s="198"/>
      <c r="FOH119" s="199"/>
      <c r="FOI119" s="198"/>
      <c r="FOJ119" s="199"/>
      <c r="FOK119" s="198"/>
      <c r="FOL119" s="199"/>
      <c r="FOM119" s="198"/>
      <c r="FON119" s="199"/>
      <c r="FOO119" s="198"/>
      <c r="FOP119" s="199"/>
      <c r="FOQ119" s="198"/>
      <c r="FOR119" s="199"/>
      <c r="FOS119" s="198"/>
      <c r="FOT119" s="199"/>
      <c r="FOU119" s="198"/>
      <c r="FOV119" s="199"/>
      <c r="FOW119" s="198"/>
      <c r="FOX119" s="199"/>
      <c r="FOY119" s="198"/>
      <c r="FOZ119" s="199"/>
      <c r="FPA119" s="198"/>
      <c r="FPB119" s="199"/>
      <c r="FPC119" s="198"/>
      <c r="FPD119" s="199"/>
      <c r="FPE119" s="198"/>
      <c r="FPF119" s="199"/>
      <c r="FPG119" s="198"/>
      <c r="FPH119" s="199"/>
      <c r="FPI119" s="198"/>
      <c r="FPJ119" s="199"/>
      <c r="FPK119" s="198"/>
      <c r="FPL119" s="199"/>
      <c r="FPM119" s="198"/>
      <c r="FPN119" s="199"/>
      <c r="FPO119" s="198"/>
      <c r="FPP119" s="199"/>
      <c r="FPQ119" s="198"/>
      <c r="FPR119" s="199"/>
      <c r="FPS119" s="198"/>
      <c r="FPT119" s="199"/>
      <c r="FPU119" s="198"/>
      <c r="FPV119" s="199"/>
      <c r="FPW119" s="198"/>
      <c r="FPX119" s="199"/>
      <c r="FPY119" s="198"/>
      <c r="FPZ119" s="199"/>
      <c r="FQA119" s="198"/>
      <c r="FQB119" s="199"/>
      <c r="FQC119" s="198"/>
      <c r="FQD119" s="199"/>
      <c r="FQE119" s="198"/>
      <c r="FQF119" s="199"/>
      <c r="FQG119" s="198"/>
      <c r="FQH119" s="199"/>
      <c r="FQI119" s="198"/>
      <c r="FQJ119" s="199"/>
      <c r="FQK119" s="198"/>
      <c r="FQL119" s="199"/>
      <c r="FQM119" s="198"/>
      <c r="FQN119" s="199"/>
      <c r="FQO119" s="198"/>
      <c r="FQP119" s="199"/>
      <c r="FQQ119" s="198"/>
      <c r="FQR119" s="199"/>
      <c r="FQS119" s="198"/>
      <c r="FQT119" s="199"/>
      <c r="FQU119" s="198"/>
      <c r="FQV119" s="199"/>
      <c r="FQW119" s="198"/>
      <c r="FQX119" s="199"/>
      <c r="FQY119" s="198"/>
      <c r="FQZ119" s="199"/>
      <c r="FRA119" s="198"/>
      <c r="FRB119" s="199"/>
      <c r="FRC119" s="198"/>
      <c r="FRD119" s="199"/>
      <c r="FRE119" s="198"/>
      <c r="FRF119" s="199"/>
      <c r="FRG119" s="198"/>
      <c r="FRH119" s="199"/>
      <c r="FRI119" s="198"/>
      <c r="FRJ119" s="199"/>
      <c r="FRK119" s="198"/>
      <c r="FRL119" s="199"/>
      <c r="FRM119" s="198"/>
      <c r="FRN119" s="199"/>
      <c r="FRO119" s="198"/>
      <c r="FRP119" s="199"/>
      <c r="FRQ119" s="198"/>
      <c r="FRR119" s="199"/>
      <c r="FRS119" s="198"/>
      <c r="FRT119" s="199"/>
      <c r="FRU119" s="198"/>
      <c r="FRV119" s="199"/>
      <c r="FRW119" s="198"/>
      <c r="FRX119" s="199"/>
      <c r="FRY119" s="198"/>
      <c r="FRZ119" s="199"/>
      <c r="FSA119" s="198"/>
      <c r="FSB119" s="199"/>
      <c r="FSC119" s="198"/>
      <c r="FSD119" s="199"/>
      <c r="FSE119" s="198"/>
      <c r="FSF119" s="199"/>
      <c r="FSG119" s="198"/>
      <c r="FSH119" s="199"/>
      <c r="FSI119" s="198"/>
      <c r="FSJ119" s="199"/>
      <c r="FSK119" s="198"/>
      <c r="FSL119" s="199"/>
      <c r="FSM119" s="198"/>
      <c r="FSN119" s="199"/>
      <c r="FSO119" s="198"/>
      <c r="FSP119" s="199"/>
      <c r="FSQ119" s="198"/>
      <c r="FSR119" s="199"/>
      <c r="FSS119" s="198"/>
      <c r="FST119" s="199"/>
      <c r="FSU119" s="198"/>
      <c r="FSV119" s="199"/>
      <c r="FSW119" s="198"/>
      <c r="FSX119" s="199"/>
      <c r="FSY119" s="198"/>
      <c r="FSZ119" s="199"/>
      <c r="FTA119" s="198"/>
      <c r="FTB119" s="199"/>
      <c r="FTC119" s="198"/>
      <c r="FTD119" s="199"/>
      <c r="FTE119" s="198"/>
      <c r="FTF119" s="199"/>
      <c r="FTG119" s="198"/>
      <c r="FTH119" s="199"/>
      <c r="FTI119" s="198"/>
      <c r="FTJ119" s="199"/>
      <c r="FTK119" s="198"/>
      <c r="FTL119" s="199"/>
      <c r="FTM119" s="198"/>
      <c r="FTN119" s="199"/>
      <c r="FTO119" s="198"/>
      <c r="FTP119" s="199"/>
      <c r="FTQ119" s="198"/>
      <c r="FTR119" s="199"/>
      <c r="FTS119" s="198"/>
      <c r="FTT119" s="199"/>
      <c r="FTU119" s="198"/>
      <c r="FTV119" s="199"/>
      <c r="FTW119" s="198"/>
      <c r="FTX119" s="199"/>
      <c r="FTY119" s="198"/>
      <c r="FTZ119" s="199"/>
      <c r="FUA119" s="198"/>
      <c r="FUB119" s="199"/>
      <c r="FUC119" s="198"/>
      <c r="FUD119" s="199"/>
      <c r="FUE119" s="198"/>
      <c r="FUF119" s="199"/>
      <c r="FUG119" s="198"/>
      <c r="FUH119" s="199"/>
      <c r="FUI119" s="198"/>
      <c r="FUJ119" s="199"/>
      <c r="FUK119" s="198"/>
      <c r="FUL119" s="199"/>
      <c r="FUM119" s="198"/>
      <c r="FUN119" s="199"/>
      <c r="FUO119" s="198"/>
      <c r="FUP119" s="199"/>
      <c r="FUQ119" s="198"/>
      <c r="FUR119" s="199"/>
      <c r="FUS119" s="198"/>
      <c r="FUT119" s="199"/>
      <c r="FUU119" s="198"/>
      <c r="FUV119" s="199"/>
      <c r="FUW119" s="198"/>
      <c r="FUX119" s="199"/>
      <c r="FUY119" s="198"/>
      <c r="FUZ119" s="199"/>
      <c r="FVA119" s="198"/>
      <c r="FVB119" s="199"/>
      <c r="FVC119" s="198"/>
      <c r="FVD119" s="199"/>
      <c r="FVE119" s="198"/>
      <c r="FVF119" s="199"/>
      <c r="FVG119" s="198"/>
      <c r="FVH119" s="199"/>
      <c r="FVI119" s="198"/>
      <c r="FVJ119" s="199"/>
      <c r="FVK119" s="198"/>
      <c r="FVL119" s="199"/>
      <c r="FVM119" s="198"/>
      <c r="FVN119" s="199"/>
      <c r="FVO119" s="198"/>
      <c r="FVP119" s="199"/>
      <c r="FVQ119" s="198"/>
      <c r="FVR119" s="199"/>
      <c r="FVS119" s="198"/>
      <c r="FVT119" s="199"/>
      <c r="FVU119" s="198"/>
      <c r="FVV119" s="199"/>
      <c r="FVW119" s="198"/>
      <c r="FVX119" s="199"/>
      <c r="FVY119" s="198"/>
      <c r="FVZ119" s="199"/>
      <c r="FWA119" s="198"/>
      <c r="FWB119" s="199"/>
      <c r="FWC119" s="198"/>
      <c r="FWD119" s="199"/>
      <c r="FWE119" s="198"/>
      <c r="FWF119" s="199"/>
      <c r="FWG119" s="198"/>
      <c r="FWH119" s="199"/>
      <c r="FWI119" s="198"/>
      <c r="FWJ119" s="199"/>
      <c r="FWK119" s="198"/>
      <c r="FWL119" s="199"/>
      <c r="FWM119" s="198"/>
      <c r="FWN119" s="199"/>
      <c r="FWO119" s="198"/>
      <c r="FWP119" s="199"/>
      <c r="FWQ119" s="198"/>
      <c r="FWR119" s="199"/>
      <c r="FWS119" s="198"/>
      <c r="FWT119" s="199"/>
      <c r="FWU119" s="198"/>
      <c r="FWV119" s="199"/>
      <c r="FWW119" s="198"/>
      <c r="FWX119" s="199"/>
      <c r="FWY119" s="198"/>
      <c r="FWZ119" s="199"/>
      <c r="FXA119" s="198"/>
      <c r="FXB119" s="199"/>
      <c r="FXC119" s="198"/>
      <c r="FXD119" s="199"/>
      <c r="FXE119" s="198"/>
      <c r="FXF119" s="199"/>
      <c r="FXG119" s="198"/>
      <c r="FXH119" s="199"/>
      <c r="FXI119" s="198"/>
      <c r="FXJ119" s="199"/>
      <c r="FXK119" s="198"/>
      <c r="FXL119" s="199"/>
      <c r="FXM119" s="198"/>
      <c r="FXN119" s="199"/>
      <c r="FXO119" s="198"/>
      <c r="FXP119" s="199"/>
      <c r="FXQ119" s="198"/>
      <c r="FXR119" s="199"/>
      <c r="FXS119" s="198"/>
      <c r="FXT119" s="199"/>
      <c r="FXU119" s="198"/>
      <c r="FXV119" s="199"/>
      <c r="FXW119" s="198"/>
      <c r="FXX119" s="199"/>
      <c r="FXY119" s="198"/>
      <c r="FXZ119" s="199"/>
      <c r="FYA119" s="198"/>
      <c r="FYB119" s="199"/>
      <c r="FYC119" s="198"/>
      <c r="FYD119" s="199"/>
      <c r="FYE119" s="198"/>
      <c r="FYF119" s="199"/>
      <c r="FYG119" s="198"/>
      <c r="FYH119" s="199"/>
      <c r="FYI119" s="198"/>
      <c r="FYJ119" s="199"/>
      <c r="FYK119" s="198"/>
      <c r="FYL119" s="199"/>
      <c r="FYM119" s="198"/>
      <c r="FYN119" s="199"/>
      <c r="FYO119" s="198"/>
      <c r="FYP119" s="199"/>
      <c r="FYQ119" s="198"/>
      <c r="FYR119" s="199"/>
      <c r="FYS119" s="198"/>
      <c r="FYT119" s="199"/>
      <c r="FYU119" s="198"/>
      <c r="FYV119" s="199"/>
      <c r="FYW119" s="198"/>
      <c r="FYX119" s="199"/>
      <c r="FYY119" s="198"/>
      <c r="FYZ119" s="199"/>
      <c r="FZA119" s="198"/>
      <c r="FZB119" s="199"/>
      <c r="FZC119" s="198"/>
      <c r="FZD119" s="199"/>
      <c r="FZE119" s="198"/>
      <c r="FZF119" s="199"/>
      <c r="FZG119" s="198"/>
      <c r="FZH119" s="199"/>
      <c r="FZI119" s="198"/>
      <c r="FZJ119" s="199"/>
      <c r="FZK119" s="198"/>
      <c r="FZL119" s="199"/>
      <c r="FZM119" s="198"/>
      <c r="FZN119" s="199"/>
      <c r="FZO119" s="198"/>
      <c r="FZP119" s="199"/>
      <c r="FZQ119" s="198"/>
      <c r="FZR119" s="199"/>
      <c r="FZS119" s="198"/>
      <c r="FZT119" s="199"/>
      <c r="FZU119" s="198"/>
      <c r="FZV119" s="199"/>
      <c r="FZW119" s="198"/>
      <c r="FZX119" s="199"/>
      <c r="FZY119" s="198"/>
      <c r="FZZ119" s="199"/>
      <c r="GAA119" s="198"/>
      <c r="GAB119" s="199"/>
      <c r="GAC119" s="198"/>
      <c r="GAD119" s="199"/>
      <c r="GAE119" s="198"/>
      <c r="GAF119" s="199"/>
      <c r="GAG119" s="198"/>
      <c r="GAH119" s="199"/>
      <c r="GAI119" s="198"/>
      <c r="GAJ119" s="199"/>
      <c r="GAK119" s="198"/>
      <c r="GAL119" s="199"/>
      <c r="GAM119" s="198"/>
      <c r="GAN119" s="199"/>
      <c r="GAO119" s="198"/>
      <c r="GAP119" s="199"/>
      <c r="GAQ119" s="198"/>
      <c r="GAR119" s="199"/>
      <c r="GAS119" s="198"/>
      <c r="GAT119" s="199"/>
      <c r="GAU119" s="198"/>
      <c r="GAV119" s="199"/>
      <c r="GAW119" s="198"/>
      <c r="GAX119" s="199"/>
      <c r="GAY119" s="198"/>
      <c r="GAZ119" s="199"/>
      <c r="GBA119" s="198"/>
      <c r="GBB119" s="199"/>
      <c r="GBC119" s="198"/>
      <c r="GBD119" s="199"/>
      <c r="GBE119" s="198"/>
      <c r="GBF119" s="199"/>
      <c r="GBG119" s="198"/>
      <c r="GBH119" s="199"/>
      <c r="GBI119" s="198"/>
      <c r="GBJ119" s="199"/>
      <c r="GBK119" s="198"/>
      <c r="GBL119" s="199"/>
      <c r="GBM119" s="198"/>
      <c r="GBN119" s="199"/>
      <c r="GBO119" s="198"/>
      <c r="GBP119" s="199"/>
      <c r="GBQ119" s="198"/>
      <c r="GBR119" s="199"/>
      <c r="GBS119" s="198"/>
      <c r="GBT119" s="199"/>
      <c r="GBU119" s="198"/>
      <c r="GBV119" s="199"/>
      <c r="GBW119" s="198"/>
      <c r="GBX119" s="199"/>
      <c r="GBY119" s="198"/>
      <c r="GBZ119" s="199"/>
      <c r="GCA119" s="198"/>
      <c r="GCB119" s="199"/>
      <c r="GCC119" s="198"/>
      <c r="GCD119" s="199"/>
      <c r="GCE119" s="198"/>
      <c r="GCF119" s="199"/>
      <c r="GCG119" s="198"/>
      <c r="GCH119" s="199"/>
      <c r="GCI119" s="198"/>
      <c r="GCJ119" s="199"/>
      <c r="GCK119" s="198"/>
      <c r="GCL119" s="199"/>
      <c r="GCM119" s="198"/>
      <c r="GCN119" s="199"/>
      <c r="GCO119" s="198"/>
      <c r="GCP119" s="199"/>
      <c r="GCQ119" s="198"/>
      <c r="GCR119" s="199"/>
      <c r="GCS119" s="198"/>
      <c r="GCT119" s="199"/>
      <c r="GCU119" s="198"/>
      <c r="GCV119" s="199"/>
      <c r="GCW119" s="198"/>
      <c r="GCX119" s="199"/>
      <c r="GCY119" s="198"/>
      <c r="GCZ119" s="199"/>
      <c r="GDA119" s="198"/>
      <c r="GDB119" s="199"/>
      <c r="GDC119" s="198"/>
      <c r="GDD119" s="199"/>
      <c r="GDE119" s="198"/>
      <c r="GDF119" s="199"/>
      <c r="GDG119" s="198"/>
      <c r="GDH119" s="199"/>
      <c r="GDI119" s="198"/>
      <c r="GDJ119" s="199"/>
      <c r="GDK119" s="198"/>
      <c r="GDL119" s="199"/>
      <c r="GDM119" s="198"/>
      <c r="GDN119" s="199"/>
      <c r="GDO119" s="198"/>
      <c r="GDP119" s="199"/>
      <c r="GDQ119" s="198"/>
      <c r="GDR119" s="199"/>
      <c r="GDS119" s="198"/>
      <c r="GDT119" s="199"/>
      <c r="GDU119" s="198"/>
      <c r="GDV119" s="199"/>
      <c r="GDW119" s="198"/>
      <c r="GDX119" s="199"/>
      <c r="GDY119" s="198"/>
      <c r="GDZ119" s="199"/>
      <c r="GEA119" s="198"/>
      <c r="GEB119" s="199"/>
      <c r="GEC119" s="198"/>
      <c r="GED119" s="199"/>
      <c r="GEE119" s="198"/>
      <c r="GEF119" s="199"/>
      <c r="GEG119" s="198"/>
      <c r="GEH119" s="199"/>
      <c r="GEI119" s="198"/>
      <c r="GEJ119" s="199"/>
      <c r="GEK119" s="198"/>
      <c r="GEL119" s="199"/>
      <c r="GEM119" s="198"/>
      <c r="GEN119" s="199"/>
      <c r="GEO119" s="198"/>
      <c r="GEP119" s="199"/>
      <c r="GEQ119" s="198"/>
      <c r="GER119" s="199"/>
      <c r="GES119" s="198"/>
      <c r="GET119" s="199"/>
      <c r="GEU119" s="198"/>
      <c r="GEV119" s="199"/>
      <c r="GEW119" s="198"/>
      <c r="GEX119" s="199"/>
      <c r="GEY119" s="198"/>
      <c r="GEZ119" s="199"/>
      <c r="GFA119" s="198"/>
      <c r="GFB119" s="199"/>
      <c r="GFC119" s="198"/>
      <c r="GFD119" s="199"/>
      <c r="GFE119" s="198"/>
      <c r="GFF119" s="199"/>
      <c r="GFG119" s="198"/>
      <c r="GFH119" s="199"/>
      <c r="GFI119" s="198"/>
      <c r="GFJ119" s="199"/>
      <c r="GFK119" s="198"/>
      <c r="GFL119" s="199"/>
      <c r="GFM119" s="198"/>
      <c r="GFN119" s="199"/>
      <c r="GFO119" s="198"/>
      <c r="GFP119" s="199"/>
      <c r="GFQ119" s="198"/>
      <c r="GFR119" s="199"/>
      <c r="GFS119" s="198"/>
      <c r="GFT119" s="199"/>
      <c r="GFU119" s="198"/>
      <c r="GFV119" s="199"/>
      <c r="GFW119" s="198"/>
      <c r="GFX119" s="199"/>
      <c r="GFY119" s="198"/>
      <c r="GFZ119" s="199"/>
      <c r="GGA119" s="198"/>
      <c r="GGB119" s="199"/>
      <c r="GGC119" s="198"/>
      <c r="GGD119" s="199"/>
      <c r="GGE119" s="198"/>
      <c r="GGF119" s="199"/>
      <c r="GGG119" s="198"/>
      <c r="GGH119" s="199"/>
      <c r="GGI119" s="198"/>
      <c r="GGJ119" s="199"/>
      <c r="GGK119" s="198"/>
      <c r="GGL119" s="199"/>
      <c r="GGM119" s="198"/>
      <c r="GGN119" s="199"/>
      <c r="GGO119" s="198"/>
      <c r="GGP119" s="199"/>
      <c r="GGQ119" s="198"/>
      <c r="GGR119" s="199"/>
      <c r="GGS119" s="198"/>
      <c r="GGT119" s="199"/>
      <c r="GGU119" s="198"/>
      <c r="GGV119" s="199"/>
      <c r="GGW119" s="198"/>
      <c r="GGX119" s="199"/>
      <c r="GGY119" s="198"/>
      <c r="GGZ119" s="199"/>
      <c r="GHA119" s="198"/>
      <c r="GHB119" s="199"/>
      <c r="GHC119" s="198"/>
      <c r="GHD119" s="199"/>
      <c r="GHE119" s="198"/>
      <c r="GHF119" s="199"/>
      <c r="GHG119" s="198"/>
      <c r="GHH119" s="199"/>
      <c r="GHI119" s="198"/>
      <c r="GHJ119" s="199"/>
      <c r="GHK119" s="198"/>
      <c r="GHL119" s="199"/>
      <c r="GHM119" s="198"/>
      <c r="GHN119" s="199"/>
      <c r="GHO119" s="198"/>
      <c r="GHP119" s="199"/>
      <c r="GHQ119" s="198"/>
      <c r="GHR119" s="199"/>
      <c r="GHS119" s="198"/>
      <c r="GHT119" s="199"/>
      <c r="GHU119" s="198"/>
      <c r="GHV119" s="199"/>
      <c r="GHW119" s="198"/>
      <c r="GHX119" s="199"/>
      <c r="GHY119" s="198"/>
      <c r="GHZ119" s="199"/>
      <c r="GIA119" s="198"/>
      <c r="GIB119" s="199"/>
      <c r="GIC119" s="198"/>
      <c r="GID119" s="199"/>
      <c r="GIE119" s="198"/>
      <c r="GIF119" s="199"/>
      <c r="GIG119" s="198"/>
      <c r="GIH119" s="199"/>
      <c r="GII119" s="198"/>
      <c r="GIJ119" s="199"/>
      <c r="GIK119" s="198"/>
      <c r="GIL119" s="199"/>
      <c r="GIM119" s="198"/>
      <c r="GIN119" s="199"/>
      <c r="GIO119" s="198"/>
      <c r="GIP119" s="199"/>
      <c r="GIQ119" s="198"/>
      <c r="GIR119" s="199"/>
      <c r="GIS119" s="198"/>
      <c r="GIT119" s="199"/>
      <c r="GIU119" s="198"/>
      <c r="GIV119" s="199"/>
      <c r="GIW119" s="198"/>
      <c r="GIX119" s="199"/>
      <c r="GIY119" s="198"/>
      <c r="GIZ119" s="199"/>
      <c r="GJA119" s="198"/>
      <c r="GJB119" s="199"/>
      <c r="GJC119" s="198"/>
      <c r="GJD119" s="199"/>
      <c r="GJE119" s="198"/>
      <c r="GJF119" s="199"/>
      <c r="GJG119" s="198"/>
      <c r="GJH119" s="199"/>
      <c r="GJI119" s="198"/>
      <c r="GJJ119" s="199"/>
      <c r="GJK119" s="198"/>
      <c r="GJL119" s="199"/>
      <c r="GJM119" s="198"/>
      <c r="GJN119" s="199"/>
      <c r="GJO119" s="198"/>
      <c r="GJP119" s="199"/>
      <c r="GJQ119" s="198"/>
      <c r="GJR119" s="199"/>
      <c r="GJS119" s="198"/>
      <c r="GJT119" s="199"/>
      <c r="GJU119" s="198"/>
      <c r="GJV119" s="199"/>
      <c r="GJW119" s="198"/>
      <c r="GJX119" s="199"/>
      <c r="GJY119" s="198"/>
      <c r="GJZ119" s="199"/>
      <c r="GKA119" s="198"/>
      <c r="GKB119" s="199"/>
      <c r="GKC119" s="198"/>
      <c r="GKD119" s="199"/>
      <c r="GKE119" s="198"/>
      <c r="GKF119" s="199"/>
      <c r="GKG119" s="198"/>
      <c r="GKH119" s="199"/>
      <c r="GKI119" s="198"/>
      <c r="GKJ119" s="199"/>
      <c r="GKK119" s="198"/>
      <c r="GKL119" s="199"/>
      <c r="GKM119" s="198"/>
      <c r="GKN119" s="199"/>
      <c r="GKO119" s="198"/>
      <c r="GKP119" s="199"/>
      <c r="GKQ119" s="198"/>
      <c r="GKR119" s="199"/>
      <c r="GKS119" s="198"/>
      <c r="GKT119" s="199"/>
      <c r="GKU119" s="198"/>
      <c r="GKV119" s="199"/>
      <c r="GKW119" s="198"/>
      <c r="GKX119" s="199"/>
      <c r="GKY119" s="198"/>
      <c r="GKZ119" s="199"/>
      <c r="GLA119" s="198"/>
      <c r="GLB119" s="199"/>
      <c r="GLC119" s="198"/>
      <c r="GLD119" s="199"/>
      <c r="GLE119" s="198"/>
      <c r="GLF119" s="199"/>
      <c r="GLG119" s="198"/>
      <c r="GLH119" s="199"/>
      <c r="GLI119" s="198"/>
      <c r="GLJ119" s="199"/>
      <c r="GLK119" s="198"/>
      <c r="GLL119" s="199"/>
      <c r="GLM119" s="198"/>
      <c r="GLN119" s="199"/>
      <c r="GLO119" s="198"/>
      <c r="GLP119" s="199"/>
      <c r="GLQ119" s="198"/>
      <c r="GLR119" s="199"/>
      <c r="GLS119" s="198"/>
      <c r="GLT119" s="199"/>
      <c r="GLU119" s="198"/>
      <c r="GLV119" s="199"/>
      <c r="GLW119" s="198"/>
      <c r="GLX119" s="199"/>
      <c r="GLY119" s="198"/>
      <c r="GLZ119" s="199"/>
      <c r="GMA119" s="198"/>
      <c r="GMB119" s="199"/>
      <c r="GMC119" s="198"/>
      <c r="GMD119" s="199"/>
      <c r="GME119" s="198"/>
      <c r="GMF119" s="199"/>
      <c r="GMG119" s="198"/>
      <c r="GMH119" s="199"/>
      <c r="GMI119" s="198"/>
      <c r="GMJ119" s="199"/>
      <c r="GMK119" s="198"/>
      <c r="GML119" s="199"/>
      <c r="GMM119" s="198"/>
      <c r="GMN119" s="199"/>
      <c r="GMO119" s="198"/>
      <c r="GMP119" s="199"/>
      <c r="GMQ119" s="198"/>
      <c r="GMR119" s="199"/>
      <c r="GMS119" s="198"/>
      <c r="GMT119" s="199"/>
      <c r="GMU119" s="198"/>
      <c r="GMV119" s="199"/>
      <c r="GMW119" s="198"/>
      <c r="GMX119" s="199"/>
      <c r="GMY119" s="198"/>
      <c r="GMZ119" s="199"/>
      <c r="GNA119" s="198"/>
      <c r="GNB119" s="199"/>
      <c r="GNC119" s="198"/>
      <c r="GND119" s="199"/>
      <c r="GNE119" s="198"/>
      <c r="GNF119" s="199"/>
      <c r="GNG119" s="198"/>
      <c r="GNH119" s="199"/>
      <c r="GNI119" s="198"/>
      <c r="GNJ119" s="199"/>
      <c r="GNK119" s="198"/>
      <c r="GNL119" s="199"/>
      <c r="GNM119" s="198"/>
      <c r="GNN119" s="199"/>
      <c r="GNO119" s="198"/>
      <c r="GNP119" s="199"/>
      <c r="GNQ119" s="198"/>
      <c r="GNR119" s="199"/>
      <c r="GNS119" s="198"/>
      <c r="GNT119" s="199"/>
      <c r="GNU119" s="198"/>
      <c r="GNV119" s="199"/>
      <c r="GNW119" s="198"/>
      <c r="GNX119" s="199"/>
      <c r="GNY119" s="198"/>
      <c r="GNZ119" s="199"/>
      <c r="GOA119" s="198"/>
      <c r="GOB119" s="199"/>
      <c r="GOC119" s="198"/>
      <c r="GOD119" s="199"/>
      <c r="GOE119" s="198"/>
      <c r="GOF119" s="199"/>
      <c r="GOG119" s="198"/>
      <c r="GOH119" s="199"/>
      <c r="GOI119" s="198"/>
      <c r="GOJ119" s="199"/>
      <c r="GOK119" s="198"/>
      <c r="GOL119" s="199"/>
      <c r="GOM119" s="198"/>
      <c r="GON119" s="199"/>
      <c r="GOO119" s="198"/>
      <c r="GOP119" s="199"/>
      <c r="GOQ119" s="198"/>
      <c r="GOR119" s="199"/>
      <c r="GOS119" s="198"/>
      <c r="GOT119" s="199"/>
      <c r="GOU119" s="198"/>
      <c r="GOV119" s="199"/>
      <c r="GOW119" s="198"/>
      <c r="GOX119" s="199"/>
      <c r="GOY119" s="198"/>
      <c r="GOZ119" s="199"/>
      <c r="GPA119" s="198"/>
      <c r="GPB119" s="199"/>
      <c r="GPC119" s="198"/>
      <c r="GPD119" s="199"/>
      <c r="GPE119" s="198"/>
      <c r="GPF119" s="199"/>
      <c r="GPG119" s="198"/>
      <c r="GPH119" s="199"/>
      <c r="GPI119" s="198"/>
      <c r="GPJ119" s="199"/>
      <c r="GPK119" s="198"/>
      <c r="GPL119" s="199"/>
      <c r="GPM119" s="198"/>
      <c r="GPN119" s="199"/>
      <c r="GPO119" s="198"/>
      <c r="GPP119" s="199"/>
      <c r="GPQ119" s="198"/>
      <c r="GPR119" s="199"/>
      <c r="GPS119" s="198"/>
      <c r="GPT119" s="199"/>
      <c r="GPU119" s="198"/>
      <c r="GPV119" s="199"/>
      <c r="GPW119" s="198"/>
      <c r="GPX119" s="199"/>
      <c r="GPY119" s="198"/>
      <c r="GPZ119" s="199"/>
      <c r="GQA119" s="198"/>
      <c r="GQB119" s="199"/>
      <c r="GQC119" s="198"/>
      <c r="GQD119" s="199"/>
      <c r="GQE119" s="198"/>
      <c r="GQF119" s="199"/>
      <c r="GQG119" s="198"/>
      <c r="GQH119" s="199"/>
      <c r="GQI119" s="198"/>
      <c r="GQJ119" s="199"/>
      <c r="GQK119" s="198"/>
      <c r="GQL119" s="199"/>
      <c r="GQM119" s="198"/>
      <c r="GQN119" s="199"/>
      <c r="GQO119" s="198"/>
      <c r="GQP119" s="199"/>
      <c r="GQQ119" s="198"/>
      <c r="GQR119" s="199"/>
      <c r="GQS119" s="198"/>
      <c r="GQT119" s="199"/>
      <c r="GQU119" s="198"/>
      <c r="GQV119" s="199"/>
      <c r="GQW119" s="198"/>
      <c r="GQX119" s="199"/>
      <c r="GQY119" s="198"/>
      <c r="GQZ119" s="199"/>
      <c r="GRA119" s="198"/>
      <c r="GRB119" s="199"/>
      <c r="GRC119" s="198"/>
      <c r="GRD119" s="199"/>
      <c r="GRE119" s="198"/>
      <c r="GRF119" s="199"/>
      <c r="GRG119" s="198"/>
      <c r="GRH119" s="199"/>
      <c r="GRI119" s="198"/>
      <c r="GRJ119" s="199"/>
      <c r="GRK119" s="198"/>
      <c r="GRL119" s="199"/>
      <c r="GRM119" s="198"/>
      <c r="GRN119" s="199"/>
      <c r="GRO119" s="198"/>
      <c r="GRP119" s="199"/>
      <c r="GRQ119" s="198"/>
      <c r="GRR119" s="199"/>
      <c r="GRS119" s="198"/>
      <c r="GRT119" s="199"/>
      <c r="GRU119" s="198"/>
      <c r="GRV119" s="199"/>
      <c r="GRW119" s="198"/>
      <c r="GRX119" s="199"/>
      <c r="GRY119" s="198"/>
      <c r="GRZ119" s="199"/>
      <c r="GSA119" s="198"/>
      <c r="GSB119" s="199"/>
      <c r="GSC119" s="198"/>
      <c r="GSD119" s="199"/>
      <c r="GSE119" s="198"/>
      <c r="GSF119" s="199"/>
      <c r="GSG119" s="198"/>
      <c r="GSH119" s="199"/>
      <c r="GSI119" s="198"/>
      <c r="GSJ119" s="199"/>
      <c r="GSK119" s="198"/>
      <c r="GSL119" s="199"/>
      <c r="GSM119" s="198"/>
      <c r="GSN119" s="199"/>
      <c r="GSO119" s="198"/>
      <c r="GSP119" s="199"/>
      <c r="GSQ119" s="198"/>
      <c r="GSR119" s="199"/>
      <c r="GSS119" s="198"/>
      <c r="GST119" s="199"/>
      <c r="GSU119" s="198"/>
      <c r="GSV119" s="199"/>
      <c r="GSW119" s="198"/>
      <c r="GSX119" s="199"/>
      <c r="GSY119" s="198"/>
      <c r="GSZ119" s="199"/>
      <c r="GTA119" s="198"/>
      <c r="GTB119" s="199"/>
      <c r="GTC119" s="198"/>
      <c r="GTD119" s="199"/>
      <c r="GTE119" s="198"/>
      <c r="GTF119" s="199"/>
      <c r="GTG119" s="198"/>
      <c r="GTH119" s="199"/>
      <c r="GTI119" s="198"/>
      <c r="GTJ119" s="199"/>
      <c r="GTK119" s="198"/>
      <c r="GTL119" s="199"/>
      <c r="GTM119" s="198"/>
      <c r="GTN119" s="199"/>
      <c r="GTO119" s="198"/>
      <c r="GTP119" s="199"/>
      <c r="GTQ119" s="198"/>
      <c r="GTR119" s="199"/>
      <c r="GTS119" s="198"/>
      <c r="GTT119" s="199"/>
      <c r="GTU119" s="198"/>
      <c r="GTV119" s="199"/>
      <c r="GTW119" s="198"/>
      <c r="GTX119" s="199"/>
      <c r="GTY119" s="198"/>
      <c r="GTZ119" s="199"/>
      <c r="GUA119" s="198"/>
      <c r="GUB119" s="199"/>
      <c r="GUC119" s="198"/>
      <c r="GUD119" s="199"/>
      <c r="GUE119" s="198"/>
      <c r="GUF119" s="199"/>
      <c r="GUG119" s="198"/>
      <c r="GUH119" s="199"/>
      <c r="GUI119" s="198"/>
      <c r="GUJ119" s="199"/>
      <c r="GUK119" s="198"/>
      <c r="GUL119" s="199"/>
      <c r="GUM119" s="198"/>
      <c r="GUN119" s="199"/>
      <c r="GUO119" s="198"/>
      <c r="GUP119" s="199"/>
      <c r="GUQ119" s="198"/>
      <c r="GUR119" s="199"/>
      <c r="GUS119" s="198"/>
      <c r="GUT119" s="199"/>
      <c r="GUU119" s="198"/>
      <c r="GUV119" s="199"/>
      <c r="GUW119" s="198"/>
      <c r="GUX119" s="199"/>
      <c r="GUY119" s="198"/>
      <c r="GUZ119" s="199"/>
      <c r="GVA119" s="198"/>
      <c r="GVB119" s="199"/>
      <c r="GVC119" s="198"/>
      <c r="GVD119" s="199"/>
      <c r="GVE119" s="198"/>
      <c r="GVF119" s="199"/>
      <c r="GVG119" s="198"/>
      <c r="GVH119" s="199"/>
      <c r="GVI119" s="198"/>
      <c r="GVJ119" s="199"/>
      <c r="GVK119" s="198"/>
      <c r="GVL119" s="199"/>
      <c r="GVM119" s="198"/>
      <c r="GVN119" s="199"/>
      <c r="GVO119" s="198"/>
      <c r="GVP119" s="199"/>
      <c r="GVQ119" s="198"/>
      <c r="GVR119" s="199"/>
      <c r="GVS119" s="198"/>
      <c r="GVT119" s="199"/>
      <c r="GVU119" s="198"/>
      <c r="GVV119" s="199"/>
      <c r="GVW119" s="198"/>
      <c r="GVX119" s="199"/>
      <c r="GVY119" s="198"/>
      <c r="GVZ119" s="199"/>
      <c r="GWA119" s="198"/>
      <c r="GWB119" s="199"/>
      <c r="GWC119" s="198"/>
      <c r="GWD119" s="199"/>
      <c r="GWE119" s="198"/>
      <c r="GWF119" s="199"/>
      <c r="GWG119" s="198"/>
      <c r="GWH119" s="199"/>
      <c r="GWI119" s="198"/>
      <c r="GWJ119" s="199"/>
      <c r="GWK119" s="198"/>
      <c r="GWL119" s="199"/>
      <c r="GWM119" s="198"/>
      <c r="GWN119" s="199"/>
      <c r="GWO119" s="198"/>
      <c r="GWP119" s="199"/>
      <c r="GWQ119" s="198"/>
      <c r="GWR119" s="199"/>
      <c r="GWS119" s="198"/>
      <c r="GWT119" s="199"/>
      <c r="GWU119" s="198"/>
      <c r="GWV119" s="199"/>
      <c r="GWW119" s="198"/>
      <c r="GWX119" s="199"/>
      <c r="GWY119" s="198"/>
      <c r="GWZ119" s="199"/>
      <c r="GXA119" s="198"/>
      <c r="GXB119" s="199"/>
      <c r="GXC119" s="198"/>
      <c r="GXD119" s="199"/>
      <c r="GXE119" s="198"/>
      <c r="GXF119" s="199"/>
      <c r="GXG119" s="198"/>
      <c r="GXH119" s="199"/>
      <c r="GXI119" s="198"/>
      <c r="GXJ119" s="199"/>
      <c r="GXK119" s="198"/>
      <c r="GXL119" s="199"/>
      <c r="GXM119" s="198"/>
      <c r="GXN119" s="199"/>
      <c r="GXO119" s="198"/>
      <c r="GXP119" s="199"/>
      <c r="GXQ119" s="198"/>
      <c r="GXR119" s="199"/>
      <c r="GXS119" s="198"/>
      <c r="GXT119" s="199"/>
      <c r="GXU119" s="198"/>
      <c r="GXV119" s="199"/>
      <c r="GXW119" s="198"/>
      <c r="GXX119" s="199"/>
      <c r="GXY119" s="198"/>
      <c r="GXZ119" s="199"/>
      <c r="GYA119" s="198"/>
      <c r="GYB119" s="199"/>
      <c r="GYC119" s="198"/>
      <c r="GYD119" s="199"/>
      <c r="GYE119" s="198"/>
      <c r="GYF119" s="199"/>
      <c r="GYG119" s="198"/>
      <c r="GYH119" s="199"/>
      <c r="GYI119" s="198"/>
      <c r="GYJ119" s="199"/>
      <c r="GYK119" s="198"/>
      <c r="GYL119" s="199"/>
      <c r="GYM119" s="198"/>
      <c r="GYN119" s="199"/>
      <c r="GYO119" s="198"/>
      <c r="GYP119" s="199"/>
      <c r="GYQ119" s="198"/>
      <c r="GYR119" s="199"/>
      <c r="GYS119" s="198"/>
      <c r="GYT119" s="199"/>
      <c r="GYU119" s="198"/>
      <c r="GYV119" s="199"/>
      <c r="GYW119" s="198"/>
      <c r="GYX119" s="199"/>
      <c r="GYY119" s="198"/>
      <c r="GYZ119" s="199"/>
      <c r="GZA119" s="198"/>
      <c r="GZB119" s="199"/>
      <c r="GZC119" s="198"/>
      <c r="GZD119" s="199"/>
      <c r="GZE119" s="198"/>
      <c r="GZF119" s="199"/>
      <c r="GZG119" s="198"/>
      <c r="GZH119" s="199"/>
      <c r="GZI119" s="198"/>
      <c r="GZJ119" s="199"/>
      <c r="GZK119" s="198"/>
      <c r="GZL119" s="199"/>
      <c r="GZM119" s="198"/>
      <c r="GZN119" s="199"/>
      <c r="GZO119" s="198"/>
      <c r="GZP119" s="199"/>
      <c r="GZQ119" s="198"/>
      <c r="GZR119" s="199"/>
      <c r="GZS119" s="198"/>
      <c r="GZT119" s="199"/>
      <c r="GZU119" s="198"/>
      <c r="GZV119" s="199"/>
      <c r="GZW119" s="198"/>
      <c r="GZX119" s="199"/>
      <c r="GZY119" s="198"/>
      <c r="GZZ119" s="199"/>
      <c r="HAA119" s="198"/>
      <c r="HAB119" s="199"/>
      <c r="HAC119" s="198"/>
      <c r="HAD119" s="199"/>
      <c r="HAE119" s="198"/>
      <c r="HAF119" s="199"/>
      <c r="HAG119" s="198"/>
      <c r="HAH119" s="199"/>
      <c r="HAI119" s="198"/>
      <c r="HAJ119" s="199"/>
      <c r="HAK119" s="198"/>
      <c r="HAL119" s="199"/>
      <c r="HAM119" s="198"/>
      <c r="HAN119" s="199"/>
      <c r="HAO119" s="198"/>
      <c r="HAP119" s="199"/>
      <c r="HAQ119" s="198"/>
      <c r="HAR119" s="199"/>
      <c r="HAS119" s="198"/>
      <c r="HAT119" s="199"/>
      <c r="HAU119" s="198"/>
      <c r="HAV119" s="199"/>
      <c r="HAW119" s="198"/>
      <c r="HAX119" s="199"/>
      <c r="HAY119" s="198"/>
      <c r="HAZ119" s="199"/>
      <c r="HBA119" s="198"/>
      <c r="HBB119" s="199"/>
      <c r="HBC119" s="198"/>
      <c r="HBD119" s="199"/>
      <c r="HBE119" s="198"/>
      <c r="HBF119" s="199"/>
      <c r="HBG119" s="198"/>
      <c r="HBH119" s="199"/>
      <c r="HBI119" s="198"/>
      <c r="HBJ119" s="199"/>
      <c r="HBK119" s="198"/>
      <c r="HBL119" s="199"/>
      <c r="HBM119" s="198"/>
      <c r="HBN119" s="199"/>
      <c r="HBO119" s="198"/>
      <c r="HBP119" s="199"/>
      <c r="HBQ119" s="198"/>
      <c r="HBR119" s="199"/>
      <c r="HBS119" s="198"/>
      <c r="HBT119" s="199"/>
      <c r="HBU119" s="198"/>
      <c r="HBV119" s="199"/>
      <c r="HBW119" s="198"/>
      <c r="HBX119" s="199"/>
      <c r="HBY119" s="198"/>
      <c r="HBZ119" s="199"/>
      <c r="HCA119" s="198"/>
      <c r="HCB119" s="199"/>
      <c r="HCC119" s="198"/>
      <c r="HCD119" s="199"/>
      <c r="HCE119" s="198"/>
      <c r="HCF119" s="199"/>
      <c r="HCG119" s="198"/>
      <c r="HCH119" s="199"/>
      <c r="HCI119" s="198"/>
      <c r="HCJ119" s="199"/>
      <c r="HCK119" s="198"/>
      <c r="HCL119" s="199"/>
      <c r="HCM119" s="198"/>
      <c r="HCN119" s="199"/>
      <c r="HCO119" s="198"/>
      <c r="HCP119" s="199"/>
      <c r="HCQ119" s="198"/>
      <c r="HCR119" s="199"/>
      <c r="HCS119" s="198"/>
      <c r="HCT119" s="199"/>
      <c r="HCU119" s="198"/>
      <c r="HCV119" s="199"/>
      <c r="HCW119" s="198"/>
      <c r="HCX119" s="199"/>
      <c r="HCY119" s="198"/>
      <c r="HCZ119" s="199"/>
      <c r="HDA119" s="198"/>
      <c r="HDB119" s="199"/>
      <c r="HDC119" s="198"/>
      <c r="HDD119" s="199"/>
      <c r="HDE119" s="198"/>
      <c r="HDF119" s="199"/>
      <c r="HDG119" s="198"/>
      <c r="HDH119" s="199"/>
      <c r="HDI119" s="198"/>
      <c r="HDJ119" s="199"/>
      <c r="HDK119" s="198"/>
      <c r="HDL119" s="199"/>
      <c r="HDM119" s="198"/>
      <c r="HDN119" s="199"/>
      <c r="HDO119" s="198"/>
      <c r="HDP119" s="199"/>
      <c r="HDQ119" s="198"/>
      <c r="HDR119" s="199"/>
      <c r="HDS119" s="198"/>
      <c r="HDT119" s="199"/>
      <c r="HDU119" s="198"/>
      <c r="HDV119" s="199"/>
      <c r="HDW119" s="198"/>
      <c r="HDX119" s="199"/>
      <c r="HDY119" s="198"/>
      <c r="HDZ119" s="199"/>
      <c r="HEA119" s="198"/>
      <c r="HEB119" s="199"/>
      <c r="HEC119" s="198"/>
      <c r="HED119" s="199"/>
      <c r="HEE119" s="198"/>
      <c r="HEF119" s="199"/>
      <c r="HEG119" s="198"/>
      <c r="HEH119" s="199"/>
      <c r="HEI119" s="198"/>
      <c r="HEJ119" s="199"/>
      <c r="HEK119" s="198"/>
      <c r="HEL119" s="199"/>
      <c r="HEM119" s="198"/>
      <c r="HEN119" s="199"/>
      <c r="HEO119" s="198"/>
      <c r="HEP119" s="199"/>
      <c r="HEQ119" s="198"/>
      <c r="HER119" s="199"/>
      <c r="HES119" s="198"/>
      <c r="HET119" s="199"/>
      <c r="HEU119" s="198"/>
      <c r="HEV119" s="199"/>
      <c r="HEW119" s="198"/>
      <c r="HEX119" s="199"/>
      <c r="HEY119" s="198"/>
      <c r="HEZ119" s="199"/>
      <c r="HFA119" s="198"/>
      <c r="HFB119" s="199"/>
      <c r="HFC119" s="198"/>
      <c r="HFD119" s="199"/>
      <c r="HFE119" s="198"/>
      <c r="HFF119" s="199"/>
      <c r="HFG119" s="198"/>
      <c r="HFH119" s="199"/>
      <c r="HFI119" s="198"/>
      <c r="HFJ119" s="199"/>
      <c r="HFK119" s="198"/>
      <c r="HFL119" s="199"/>
      <c r="HFM119" s="198"/>
      <c r="HFN119" s="199"/>
      <c r="HFO119" s="198"/>
      <c r="HFP119" s="199"/>
      <c r="HFQ119" s="198"/>
      <c r="HFR119" s="199"/>
      <c r="HFS119" s="198"/>
      <c r="HFT119" s="199"/>
      <c r="HFU119" s="198"/>
      <c r="HFV119" s="199"/>
      <c r="HFW119" s="198"/>
      <c r="HFX119" s="199"/>
      <c r="HFY119" s="198"/>
      <c r="HFZ119" s="199"/>
      <c r="HGA119" s="198"/>
      <c r="HGB119" s="199"/>
      <c r="HGC119" s="198"/>
      <c r="HGD119" s="199"/>
      <c r="HGE119" s="198"/>
      <c r="HGF119" s="199"/>
      <c r="HGG119" s="198"/>
      <c r="HGH119" s="199"/>
      <c r="HGI119" s="198"/>
      <c r="HGJ119" s="199"/>
      <c r="HGK119" s="198"/>
      <c r="HGL119" s="199"/>
      <c r="HGM119" s="198"/>
      <c r="HGN119" s="199"/>
      <c r="HGO119" s="198"/>
      <c r="HGP119" s="199"/>
      <c r="HGQ119" s="198"/>
      <c r="HGR119" s="199"/>
      <c r="HGS119" s="198"/>
      <c r="HGT119" s="199"/>
      <c r="HGU119" s="198"/>
      <c r="HGV119" s="199"/>
      <c r="HGW119" s="198"/>
      <c r="HGX119" s="199"/>
      <c r="HGY119" s="198"/>
      <c r="HGZ119" s="199"/>
      <c r="HHA119" s="198"/>
      <c r="HHB119" s="199"/>
      <c r="HHC119" s="198"/>
      <c r="HHD119" s="199"/>
      <c r="HHE119" s="198"/>
      <c r="HHF119" s="199"/>
      <c r="HHG119" s="198"/>
      <c r="HHH119" s="199"/>
      <c r="HHI119" s="198"/>
      <c r="HHJ119" s="199"/>
      <c r="HHK119" s="198"/>
      <c r="HHL119" s="199"/>
      <c r="HHM119" s="198"/>
      <c r="HHN119" s="199"/>
      <c r="HHO119" s="198"/>
      <c r="HHP119" s="199"/>
      <c r="HHQ119" s="198"/>
      <c r="HHR119" s="199"/>
      <c r="HHS119" s="198"/>
      <c r="HHT119" s="199"/>
      <c r="HHU119" s="198"/>
      <c r="HHV119" s="199"/>
      <c r="HHW119" s="198"/>
      <c r="HHX119" s="199"/>
      <c r="HHY119" s="198"/>
      <c r="HHZ119" s="199"/>
      <c r="HIA119" s="198"/>
      <c r="HIB119" s="199"/>
      <c r="HIC119" s="198"/>
      <c r="HID119" s="199"/>
      <c r="HIE119" s="198"/>
      <c r="HIF119" s="199"/>
      <c r="HIG119" s="198"/>
      <c r="HIH119" s="199"/>
      <c r="HII119" s="198"/>
      <c r="HIJ119" s="199"/>
      <c r="HIK119" s="198"/>
      <c r="HIL119" s="199"/>
      <c r="HIM119" s="198"/>
      <c r="HIN119" s="199"/>
      <c r="HIO119" s="198"/>
      <c r="HIP119" s="199"/>
      <c r="HIQ119" s="198"/>
      <c r="HIR119" s="199"/>
      <c r="HIS119" s="198"/>
      <c r="HIT119" s="199"/>
      <c r="HIU119" s="198"/>
      <c r="HIV119" s="199"/>
      <c r="HIW119" s="198"/>
      <c r="HIX119" s="199"/>
      <c r="HIY119" s="198"/>
      <c r="HIZ119" s="199"/>
      <c r="HJA119" s="198"/>
      <c r="HJB119" s="199"/>
      <c r="HJC119" s="198"/>
      <c r="HJD119" s="199"/>
      <c r="HJE119" s="198"/>
      <c r="HJF119" s="199"/>
      <c r="HJG119" s="198"/>
      <c r="HJH119" s="199"/>
      <c r="HJI119" s="198"/>
      <c r="HJJ119" s="199"/>
      <c r="HJK119" s="198"/>
      <c r="HJL119" s="199"/>
      <c r="HJM119" s="198"/>
      <c r="HJN119" s="199"/>
      <c r="HJO119" s="198"/>
      <c r="HJP119" s="199"/>
      <c r="HJQ119" s="198"/>
      <c r="HJR119" s="199"/>
      <c r="HJS119" s="198"/>
      <c r="HJT119" s="199"/>
      <c r="HJU119" s="198"/>
      <c r="HJV119" s="199"/>
      <c r="HJW119" s="198"/>
      <c r="HJX119" s="199"/>
      <c r="HJY119" s="198"/>
      <c r="HJZ119" s="199"/>
      <c r="HKA119" s="198"/>
      <c r="HKB119" s="199"/>
      <c r="HKC119" s="198"/>
      <c r="HKD119" s="199"/>
      <c r="HKE119" s="198"/>
      <c r="HKF119" s="199"/>
      <c r="HKG119" s="198"/>
      <c r="HKH119" s="199"/>
      <c r="HKI119" s="198"/>
      <c r="HKJ119" s="199"/>
      <c r="HKK119" s="198"/>
      <c r="HKL119" s="199"/>
      <c r="HKM119" s="198"/>
      <c r="HKN119" s="199"/>
      <c r="HKO119" s="198"/>
      <c r="HKP119" s="199"/>
      <c r="HKQ119" s="198"/>
      <c r="HKR119" s="199"/>
      <c r="HKS119" s="198"/>
      <c r="HKT119" s="199"/>
      <c r="HKU119" s="198"/>
      <c r="HKV119" s="199"/>
      <c r="HKW119" s="198"/>
      <c r="HKX119" s="199"/>
      <c r="HKY119" s="198"/>
      <c r="HKZ119" s="199"/>
      <c r="HLA119" s="198"/>
      <c r="HLB119" s="199"/>
      <c r="HLC119" s="198"/>
      <c r="HLD119" s="199"/>
      <c r="HLE119" s="198"/>
      <c r="HLF119" s="199"/>
      <c r="HLG119" s="198"/>
      <c r="HLH119" s="199"/>
      <c r="HLI119" s="198"/>
      <c r="HLJ119" s="199"/>
      <c r="HLK119" s="198"/>
      <c r="HLL119" s="199"/>
      <c r="HLM119" s="198"/>
      <c r="HLN119" s="199"/>
      <c r="HLO119" s="198"/>
      <c r="HLP119" s="199"/>
      <c r="HLQ119" s="198"/>
      <c r="HLR119" s="199"/>
      <c r="HLS119" s="198"/>
      <c r="HLT119" s="199"/>
      <c r="HLU119" s="198"/>
      <c r="HLV119" s="199"/>
      <c r="HLW119" s="198"/>
      <c r="HLX119" s="199"/>
      <c r="HLY119" s="198"/>
      <c r="HLZ119" s="199"/>
      <c r="HMA119" s="198"/>
      <c r="HMB119" s="199"/>
      <c r="HMC119" s="198"/>
      <c r="HMD119" s="199"/>
      <c r="HME119" s="198"/>
      <c r="HMF119" s="199"/>
      <c r="HMG119" s="198"/>
      <c r="HMH119" s="199"/>
      <c r="HMI119" s="198"/>
      <c r="HMJ119" s="199"/>
      <c r="HMK119" s="198"/>
      <c r="HML119" s="199"/>
      <c r="HMM119" s="198"/>
      <c r="HMN119" s="199"/>
      <c r="HMO119" s="198"/>
      <c r="HMP119" s="199"/>
      <c r="HMQ119" s="198"/>
      <c r="HMR119" s="199"/>
      <c r="HMS119" s="198"/>
      <c r="HMT119" s="199"/>
      <c r="HMU119" s="198"/>
      <c r="HMV119" s="199"/>
      <c r="HMW119" s="198"/>
      <c r="HMX119" s="199"/>
      <c r="HMY119" s="198"/>
      <c r="HMZ119" s="199"/>
      <c r="HNA119" s="198"/>
      <c r="HNB119" s="199"/>
      <c r="HNC119" s="198"/>
      <c r="HND119" s="199"/>
      <c r="HNE119" s="198"/>
      <c r="HNF119" s="199"/>
      <c r="HNG119" s="198"/>
      <c r="HNH119" s="199"/>
      <c r="HNI119" s="198"/>
      <c r="HNJ119" s="199"/>
      <c r="HNK119" s="198"/>
      <c r="HNL119" s="199"/>
      <c r="HNM119" s="198"/>
      <c r="HNN119" s="199"/>
      <c r="HNO119" s="198"/>
      <c r="HNP119" s="199"/>
      <c r="HNQ119" s="198"/>
      <c r="HNR119" s="199"/>
      <c r="HNS119" s="198"/>
      <c r="HNT119" s="199"/>
      <c r="HNU119" s="198"/>
      <c r="HNV119" s="199"/>
      <c r="HNW119" s="198"/>
      <c r="HNX119" s="199"/>
      <c r="HNY119" s="198"/>
      <c r="HNZ119" s="199"/>
      <c r="HOA119" s="198"/>
      <c r="HOB119" s="199"/>
      <c r="HOC119" s="198"/>
      <c r="HOD119" s="199"/>
      <c r="HOE119" s="198"/>
      <c r="HOF119" s="199"/>
      <c r="HOG119" s="198"/>
      <c r="HOH119" s="199"/>
      <c r="HOI119" s="198"/>
      <c r="HOJ119" s="199"/>
      <c r="HOK119" s="198"/>
      <c r="HOL119" s="199"/>
      <c r="HOM119" s="198"/>
      <c r="HON119" s="199"/>
      <c r="HOO119" s="198"/>
      <c r="HOP119" s="199"/>
      <c r="HOQ119" s="198"/>
      <c r="HOR119" s="199"/>
      <c r="HOS119" s="198"/>
      <c r="HOT119" s="199"/>
      <c r="HOU119" s="198"/>
      <c r="HOV119" s="199"/>
      <c r="HOW119" s="198"/>
      <c r="HOX119" s="199"/>
      <c r="HOY119" s="198"/>
      <c r="HOZ119" s="199"/>
      <c r="HPA119" s="198"/>
      <c r="HPB119" s="199"/>
      <c r="HPC119" s="198"/>
      <c r="HPD119" s="199"/>
      <c r="HPE119" s="198"/>
      <c r="HPF119" s="199"/>
      <c r="HPG119" s="198"/>
      <c r="HPH119" s="199"/>
      <c r="HPI119" s="198"/>
      <c r="HPJ119" s="199"/>
      <c r="HPK119" s="198"/>
      <c r="HPL119" s="199"/>
      <c r="HPM119" s="198"/>
      <c r="HPN119" s="199"/>
      <c r="HPO119" s="198"/>
      <c r="HPP119" s="199"/>
      <c r="HPQ119" s="198"/>
      <c r="HPR119" s="199"/>
      <c r="HPS119" s="198"/>
      <c r="HPT119" s="199"/>
      <c r="HPU119" s="198"/>
      <c r="HPV119" s="199"/>
      <c r="HPW119" s="198"/>
      <c r="HPX119" s="199"/>
      <c r="HPY119" s="198"/>
      <c r="HPZ119" s="199"/>
      <c r="HQA119" s="198"/>
      <c r="HQB119" s="199"/>
      <c r="HQC119" s="198"/>
      <c r="HQD119" s="199"/>
      <c r="HQE119" s="198"/>
      <c r="HQF119" s="199"/>
      <c r="HQG119" s="198"/>
      <c r="HQH119" s="199"/>
      <c r="HQI119" s="198"/>
      <c r="HQJ119" s="199"/>
      <c r="HQK119" s="198"/>
      <c r="HQL119" s="199"/>
      <c r="HQM119" s="198"/>
      <c r="HQN119" s="199"/>
      <c r="HQO119" s="198"/>
      <c r="HQP119" s="199"/>
      <c r="HQQ119" s="198"/>
      <c r="HQR119" s="199"/>
      <c r="HQS119" s="198"/>
      <c r="HQT119" s="199"/>
      <c r="HQU119" s="198"/>
      <c r="HQV119" s="199"/>
      <c r="HQW119" s="198"/>
      <c r="HQX119" s="199"/>
      <c r="HQY119" s="198"/>
      <c r="HQZ119" s="199"/>
      <c r="HRA119" s="198"/>
      <c r="HRB119" s="199"/>
      <c r="HRC119" s="198"/>
      <c r="HRD119" s="199"/>
      <c r="HRE119" s="198"/>
      <c r="HRF119" s="199"/>
      <c r="HRG119" s="198"/>
      <c r="HRH119" s="199"/>
      <c r="HRI119" s="198"/>
      <c r="HRJ119" s="199"/>
      <c r="HRK119" s="198"/>
      <c r="HRL119" s="199"/>
      <c r="HRM119" s="198"/>
      <c r="HRN119" s="199"/>
      <c r="HRO119" s="198"/>
      <c r="HRP119" s="199"/>
      <c r="HRQ119" s="198"/>
      <c r="HRR119" s="199"/>
      <c r="HRS119" s="198"/>
      <c r="HRT119" s="199"/>
      <c r="HRU119" s="198"/>
      <c r="HRV119" s="199"/>
      <c r="HRW119" s="198"/>
      <c r="HRX119" s="199"/>
      <c r="HRY119" s="198"/>
      <c r="HRZ119" s="199"/>
      <c r="HSA119" s="198"/>
      <c r="HSB119" s="199"/>
      <c r="HSC119" s="198"/>
      <c r="HSD119" s="199"/>
      <c r="HSE119" s="198"/>
      <c r="HSF119" s="199"/>
      <c r="HSG119" s="198"/>
      <c r="HSH119" s="199"/>
      <c r="HSI119" s="198"/>
      <c r="HSJ119" s="199"/>
      <c r="HSK119" s="198"/>
      <c r="HSL119" s="199"/>
      <c r="HSM119" s="198"/>
      <c r="HSN119" s="199"/>
      <c r="HSO119" s="198"/>
      <c r="HSP119" s="199"/>
      <c r="HSQ119" s="198"/>
      <c r="HSR119" s="199"/>
      <c r="HSS119" s="198"/>
      <c r="HST119" s="199"/>
      <c r="HSU119" s="198"/>
      <c r="HSV119" s="199"/>
      <c r="HSW119" s="198"/>
      <c r="HSX119" s="199"/>
      <c r="HSY119" s="198"/>
      <c r="HSZ119" s="199"/>
      <c r="HTA119" s="198"/>
      <c r="HTB119" s="199"/>
      <c r="HTC119" s="198"/>
      <c r="HTD119" s="199"/>
      <c r="HTE119" s="198"/>
      <c r="HTF119" s="199"/>
      <c r="HTG119" s="198"/>
      <c r="HTH119" s="199"/>
      <c r="HTI119" s="198"/>
      <c r="HTJ119" s="199"/>
      <c r="HTK119" s="198"/>
      <c r="HTL119" s="199"/>
      <c r="HTM119" s="198"/>
      <c r="HTN119" s="199"/>
      <c r="HTO119" s="198"/>
      <c r="HTP119" s="199"/>
      <c r="HTQ119" s="198"/>
      <c r="HTR119" s="199"/>
      <c r="HTS119" s="198"/>
      <c r="HTT119" s="199"/>
      <c r="HTU119" s="198"/>
      <c r="HTV119" s="199"/>
      <c r="HTW119" s="198"/>
      <c r="HTX119" s="199"/>
      <c r="HTY119" s="198"/>
      <c r="HTZ119" s="199"/>
      <c r="HUA119" s="198"/>
      <c r="HUB119" s="199"/>
      <c r="HUC119" s="198"/>
      <c r="HUD119" s="199"/>
      <c r="HUE119" s="198"/>
      <c r="HUF119" s="199"/>
      <c r="HUG119" s="198"/>
      <c r="HUH119" s="199"/>
      <c r="HUI119" s="198"/>
      <c r="HUJ119" s="199"/>
      <c r="HUK119" s="198"/>
      <c r="HUL119" s="199"/>
      <c r="HUM119" s="198"/>
      <c r="HUN119" s="199"/>
      <c r="HUO119" s="198"/>
      <c r="HUP119" s="199"/>
      <c r="HUQ119" s="198"/>
      <c r="HUR119" s="199"/>
      <c r="HUS119" s="198"/>
      <c r="HUT119" s="199"/>
      <c r="HUU119" s="198"/>
      <c r="HUV119" s="199"/>
      <c r="HUW119" s="198"/>
      <c r="HUX119" s="199"/>
      <c r="HUY119" s="198"/>
      <c r="HUZ119" s="199"/>
      <c r="HVA119" s="198"/>
      <c r="HVB119" s="199"/>
      <c r="HVC119" s="198"/>
      <c r="HVD119" s="199"/>
      <c r="HVE119" s="198"/>
      <c r="HVF119" s="199"/>
      <c r="HVG119" s="198"/>
      <c r="HVH119" s="199"/>
      <c r="HVI119" s="198"/>
      <c r="HVJ119" s="199"/>
      <c r="HVK119" s="198"/>
      <c r="HVL119" s="199"/>
      <c r="HVM119" s="198"/>
      <c r="HVN119" s="199"/>
      <c r="HVO119" s="198"/>
      <c r="HVP119" s="199"/>
      <c r="HVQ119" s="198"/>
      <c r="HVR119" s="199"/>
      <c r="HVS119" s="198"/>
      <c r="HVT119" s="199"/>
      <c r="HVU119" s="198"/>
      <c r="HVV119" s="199"/>
      <c r="HVW119" s="198"/>
      <c r="HVX119" s="199"/>
      <c r="HVY119" s="198"/>
      <c r="HVZ119" s="199"/>
      <c r="HWA119" s="198"/>
      <c r="HWB119" s="199"/>
      <c r="HWC119" s="198"/>
      <c r="HWD119" s="199"/>
      <c r="HWE119" s="198"/>
      <c r="HWF119" s="199"/>
      <c r="HWG119" s="198"/>
      <c r="HWH119" s="199"/>
      <c r="HWI119" s="198"/>
      <c r="HWJ119" s="199"/>
      <c r="HWK119" s="198"/>
      <c r="HWL119" s="199"/>
      <c r="HWM119" s="198"/>
      <c r="HWN119" s="199"/>
      <c r="HWO119" s="198"/>
      <c r="HWP119" s="199"/>
      <c r="HWQ119" s="198"/>
      <c r="HWR119" s="199"/>
      <c r="HWS119" s="198"/>
      <c r="HWT119" s="199"/>
      <c r="HWU119" s="198"/>
      <c r="HWV119" s="199"/>
      <c r="HWW119" s="198"/>
      <c r="HWX119" s="199"/>
      <c r="HWY119" s="198"/>
      <c r="HWZ119" s="199"/>
      <c r="HXA119" s="198"/>
      <c r="HXB119" s="199"/>
      <c r="HXC119" s="198"/>
      <c r="HXD119" s="199"/>
      <c r="HXE119" s="198"/>
      <c r="HXF119" s="199"/>
      <c r="HXG119" s="198"/>
      <c r="HXH119" s="199"/>
      <c r="HXI119" s="198"/>
      <c r="HXJ119" s="199"/>
      <c r="HXK119" s="198"/>
      <c r="HXL119" s="199"/>
      <c r="HXM119" s="198"/>
      <c r="HXN119" s="199"/>
      <c r="HXO119" s="198"/>
      <c r="HXP119" s="199"/>
      <c r="HXQ119" s="198"/>
      <c r="HXR119" s="199"/>
      <c r="HXS119" s="198"/>
      <c r="HXT119" s="199"/>
      <c r="HXU119" s="198"/>
      <c r="HXV119" s="199"/>
      <c r="HXW119" s="198"/>
      <c r="HXX119" s="199"/>
      <c r="HXY119" s="198"/>
      <c r="HXZ119" s="199"/>
      <c r="HYA119" s="198"/>
      <c r="HYB119" s="199"/>
      <c r="HYC119" s="198"/>
      <c r="HYD119" s="199"/>
      <c r="HYE119" s="198"/>
      <c r="HYF119" s="199"/>
      <c r="HYG119" s="198"/>
      <c r="HYH119" s="199"/>
      <c r="HYI119" s="198"/>
      <c r="HYJ119" s="199"/>
      <c r="HYK119" s="198"/>
      <c r="HYL119" s="199"/>
      <c r="HYM119" s="198"/>
      <c r="HYN119" s="199"/>
      <c r="HYO119" s="198"/>
      <c r="HYP119" s="199"/>
      <c r="HYQ119" s="198"/>
      <c r="HYR119" s="199"/>
      <c r="HYS119" s="198"/>
      <c r="HYT119" s="199"/>
      <c r="HYU119" s="198"/>
      <c r="HYV119" s="199"/>
      <c r="HYW119" s="198"/>
      <c r="HYX119" s="199"/>
      <c r="HYY119" s="198"/>
      <c r="HYZ119" s="199"/>
      <c r="HZA119" s="198"/>
      <c r="HZB119" s="199"/>
      <c r="HZC119" s="198"/>
      <c r="HZD119" s="199"/>
      <c r="HZE119" s="198"/>
      <c r="HZF119" s="199"/>
      <c r="HZG119" s="198"/>
      <c r="HZH119" s="199"/>
      <c r="HZI119" s="198"/>
      <c r="HZJ119" s="199"/>
      <c r="HZK119" s="198"/>
      <c r="HZL119" s="199"/>
      <c r="HZM119" s="198"/>
      <c r="HZN119" s="199"/>
      <c r="HZO119" s="198"/>
      <c r="HZP119" s="199"/>
      <c r="HZQ119" s="198"/>
      <c r="HZR119" s="199"/>
      <c r="HZS119" s="198"/>
      <c r="HZT119" s="199"/>
      <c r="HZU119" s="198"/>
      <c r="HZV119" s="199"/>
      <c r="HZW119" s="198"/>
      <c r="HZX119" s="199"/>
      <c r="HZY119" s="198"/>
      <c r="HZZ119" s="199"/>
      <c r="IAA119" s="198"/>
      <c r="IAB119" s="199"/>
      <c r="IAC119" s="198"/>
      <c r="IAD119" s="199"/>
      <c r="IAE119" s="198"/>
      <c r="IAF119" s="199"/>
      <c r="IAG119" s="198"/>
      <c r="IAH119" s="199"/>
      <c r="IAI119" s="198"/>
      <c r="IAJ119" s="199"/>
      <c r="IAK119" s="198"/>
      <c r="IAL119" s="199"/>
      <c r="IAM119" s="198"/>
      <c r="IAN119" s="199"/>
      <c r="IAO119" s="198"/>
      <c r="IAP119" s="199"/>
      <c r="IAQ119" s="198"/>
      <c r="IAR119" s="199"/>
      <c r="IAS119" s="198"/>
      <c r="IAT119" s="199"/>
      <c r="IAU119" s="198"/>
      <c r="IAV119" s="199"/>
      <c r="IAW119" s="198"/>
      <c r="IAX119" s="199"/>
      <c r="IAY119" s="198"/>
      <c r="IAZ119" s="199"/>
      <c r="IBA119" s="198"/>
      <c r="IBB119" s="199"/>
      <c r="IBC119" s="198"/>
      <c r="IBD119" s="199"/>
      <c r="IBE119" s="198"/>
      <c r="IBF119" s="199"/>
      <c r="IBG119" s="198"/>
      <c r="IBH119" s="199"/>
      <c r="IBI119" s="198"/>
      <c r="IBJ119" s="199"/>
      <c r="IBK119" s="198"/>
      <c r="IBL119" s="199"/>
      <c r="IBM119" s="198"/>
      <c r="IBN119" s="199"/>
      <c r="IBO119" s="198"/>
      <c r="IBP119" s="199"/>
      <c r="IBQ119" s="198"/>
      <c r="IBR119" s="199"/>
      <c r="IBS119" s="198"/>
      <c r="IBT119" s="199"/>
      <c r="IBU119" s="198"/>
      <c r="IBV119" s="199"/>
      <c r="IBW119" s="198"/>
      <c r="IBX119" s="199"/>
      <c r="IBY119" s="198"/>
      <c r="IBZ119" s="199"/>
      <c r="ICA119" s="198"/>
      <c r="ICB119" s="199"/>
      <c r="ICC119" s="198"/>
      <c r="ICD119" s="199"/>
      <c r="ICE119" s="198"/>
      <c r="ICF119" s="199"/>
      <c r="ICG119" s="198"/>
      <c r="ICH119" s="199"/>
      <c r="ICI119" s="198"/>
      <c r="ICJ119" s="199"/>
      <c r="ICK119" s="198"/>
      <c r="ICL119" s="199"/>
      <c r="ICM119" s="198"/>
      <c r="ICN119" s="199"/>
      <c r="ICO119" s="198"/>
      <c r="ICP119" s="199"/>
      <c r="ICQ119" s="198"/>
      <c r="ICR119" s="199"/>
      <c r="ICS119" s="198"/>
      <c r="ICT119" s="199"/>
      <c r="ICU119" s="198"/>
      <c r="ICV119" s="199"/>
      <c r="ICW119" s="198"/>
      <c r="ICX119" s="199"/>
      <c r="ICY119" s="198"/>
      <c r="ICZ119" s="199"/>
      <c r="IDA119" s="198"/>
      <c r="IDB119" s="199"/>
      <c r="IDC119" s="198"/>
      <c r="IDD119" s="199"/>
      <c r="IDE119" s="198"/>
      <c r="IDF119" s="199"/>
      <c r="IDG119" s="198"/>
      <c r="IDH119" s="199"/>
      <c r="IDI119" s="198"/>
      <c r="IDJ119" s="199"/>
      <c r="IDK119" s="198"/>
      <c r="IDL119" s="199"/>
      <c r="IDM119" s="198"/>
      <c r="IDN119" s="199"/>
      <c r="IDO119" s="198"/>
      <c r="IDP119" s="199"/>
      <c r="IDQ119" s="198"/>
      <c r="IDR119" s="199"/>
      <c r="IDS119" s="198"/>
      <c r="IDT119" s="199"/>
      <c r="IDU119" s="198"/>
      <c r="IDV119" s="199"/>
      <c r="IDW119" s="198"/>
      <c r="IDX119" s="199"/>
      <c r="IDY119" s="198"/>
      <c r="IDZ119" s="199"/>
      <c r="IEA119" s="198"/>
      <c r="IEB119" s="199"/>
      <c r="IEC119" s="198"/>
      <c r="IED119" s="199"/>
      <c r="IEE119" s="198"/>
      <c r="IEF119" s="199"/>
      <c r="IEG119" s="198"/>
      <c r="IEH119" s="199"/>
      <c r="IEI119" s="198"/>
      <c r="IEJ119" s="199"/>
      <c r="IEK119" s="198"/>
      <c r="IEL119" s="199"/>
      <c r="IEM119" s="198"/>
      <c r="IEN119" s="199"/>
      <c r="IEO119" s="198"/>
      <c r="IEP119" s="199"/>
      <c r="IEQ119" s="198"/>
      <c r="IER119" s="199"/>
      <c r="IES119" s="198"/>
      <c r="IET119" s="199"/>
      <c r="IEU119" s="198"/>
      <c r="IEV119" s="199"/>
      <c r="IEW119" s="198"/>
      <c r="IEX119" s="199"/>
      <c r="IEY119" s="198"/>
      <c r="IEZ119" s="199"/>
      <c r="IFA119" s="198"/>
      <c r="IFB119" s="199"/>
      <c r="IFC119" s="198"/>
      <c r="IFD119" s="199"/>
      <c r="IFE119" s="198"/>
      <c r="IFF119" s="199"/>
      <c r="IFG119" s="198"/>
      <c r="IFH119" s="199"/>
      <c r="IFI119" s="198"/>
      <c r="IFJ119" s="199"/>
      <c r="IFK119" s="198"/>
      <c r="IFL119" s="199"/>
      <c r="IFM119" s="198"/>
      <c r="IFN119" s="199"/>
      <c r="IFO119" s="198"/>
      <c r="IFP119" s="199"/>
      <c r="IFQ119" s="198"/>
      <c r="IFR119" s="199"/>
      <c r="IFS119" s="198"/>
      <c r="IFT119" s="199"/>
      <c r="IFU119" s="198"/>
      <c r="IFV119" s="199"/>
      <c r="IFW119" s="198"/>
      <c r="IFX119" s="199"/>
      <c r="IFY119" s="198"/>
      <c r="IFZ119" s="199"/>
      <c r="IGA119" s="198"/>
      <c r="IGB119" s="199"/>
      <c r="IGC119" s="198"/>
      <c r="IGD119" s="199"/>
      <c r="IGE119" s="198"/>
      <c r="IGF119" s="199"/>
      <c r="IGG119" s="198"/>
      <c r="IGH119" s="199"/>
      <c r="IGI119" s="198"/>
      <c r="IGJ119" s="199"/>
      <c r="IGK119" s="198"/>
      <c r="IGL119" s="199"/>
      <c r="IGM119" s="198"/>
      <c r="IGN119" s="199"/>
      <c r="IGO119" s="198"/>
      <c r="IGP119" s="199"/>
      <c r="IGQ119" s="198"/>
      <c r="IGR119" s="199"/>
      <c r="IGS119" s="198"/>
      <c r="IGT119" s="199"/>
      <c r="IGU119" s="198"/>
      <c r="IGV119" s="199"/>
      <c r="IGW119" s="198"/>
      <c r="IGX119" s="199"/>
      <c r="IGY119" s="198"/>
      <c r="IGZ119" s="199"/>
      <c r="IHA119" s="198"/>
      <c r="IHB119" s="199"/>
      <c r="IHC119" s="198"/>
      <c r="IHD119" s="199"/>
      <c r="IHE119" s="198"/>
      <c r="IHF119" s="199"/>
      <c r="IHG119" s="198"/>
      <c r="IHH119" s="199"/>
      <c r="IHI119" s="198"/>
      <c r="IHJ119" s="199"/>
      <c r="IHK119" s="198"/>
      <c r="IHL119" s="199"/>
      <c r="IHM119" s="198"/>
      <c r="IHN119" s="199"/>
      <c r="IHO119" s="198"/>
      <c r="IHP119" s="199"/>
      <c r="IHQ119" s="198"/>
      <c r="IHR119" s="199"/>
      <c r="IHS119" s="198"/>
      <c r="IHT119" s="199"/>
      <c r="IHU119" s="198"/>
      <c r="IHV119" s="199"/>
      <c r="IHW119" s="198"/>
      <c r="IHX119" s="199"/>
      <c r="IHY119" s="198"/>
      <c r="IHZ119" s="199"/>
      <c r="IIA119" s="198"/>
      <c r="IIB119" s="199"/>
      <c r="IIC119" s="198"/>
      <c r="IID119" s="199"/>
      <c r="IIE119" s="198"/>
      <c r="IIF119" s="199"/>
      <c r="IIG119" s="198"/>
      <c r="IIH119" s="199"/>
      <c r="III119" s="198"/>
      <c r="IIJ119" s="199"/>
      <c r="IIK119" s="198"/>
      <c r="IIL119" s="199"/>
      <c r="IIM119" s="198"/>
      <c r="IIN119" s="199"/>
      <c r="IIO119" s="198"/>
      <c r="IIP119" s="199"/>
      <c r="IIQ119" s="198"/>
      <c r="IIR119" s="199"/>
      <c r="IIS119" s="198"/>
      <c r="IIT119" s="199"/>
      <c r="IIU119" s="198"/>
      <c r="IIV119" s="199"/>
      <c r="IIW119" s="198"/>
      <c r="IIX119" s="199"/>
      <c r="IIY119" s="198"/>
      <c r="IIZ119" s="199"/>
      <c r="IJA119" s="198"/>
      <c r="IJB119" s="199"/>
      <c r="IJC119" s="198"/>
      <c r="IJD119" s="199"/>
      <c r="IJE119" s="198"/>
      <c r="IJF119" s="199"/>
      <c r="IJG119" s="198"/>
      <c r="IJH119" s="199"/>
      <c r="IJI119" s="198"/>
      <c r="IJJ119" s="199"/>
      <c r="IJK119" s="198"/>
      <c r="IJL119" s="199"/>
      <c r="IJM119" s="198"/>
      <c r="IJN119" s="199"/>
      <c r="IJO119" s="198"/>
      <c r="IJP119" s="199"/>
      <c r="IJQ119" s="198"/>
      <c r="IJR119" s="199"/>
      <c r="IJS119" s="198"/>
      <c r="IJT119" s="199"/>
      <c r="IJU119" s="198"/>
      <c r="IJV119" s="199"/>
      <c r="IJW119" s="198"/>
      <c r="IJX119" s="199"/>
      <c r="IJY119" s="198"/>
      <c r="IJZ119" s="199"/>
      <c r="IKA119" s="198"/>
      <c r="IKB119" s="199"/>
      <c r="IKC119" s="198"/>
      <c r="IKD119" s="199"/>
      <c r="IKE119" s="198"/>
      <c r="IKF119" s="199"/>
      <c r="IKG119" s="198"/>
      <c r="IKH119" s="199"/>
      <c r="IKI119" s="198"/>
      <c r="IKJ119" s="199"/>
      <c r="IKK119" s="198"/>
      <c r="IKL119" s="199"/>
      <c r="IKM119" s="198"/>
      <c r="IKN119" s="199"/>
      <c r="IKO119" s="198"/>
      <c r="IKP119" s="199"/>
      <c r="IKQ119" s="198"/>
      <c r="IKR119" s="199"/>
      <c r="IKS119" s="198"/>
      <c r="IKT119" s="199"/>
      <c r="IKU119" s="198"/>
      <c r="IKV119" s="199"/>
      <c r="IKW119" s="198"/>
      <c r="IKX119" s="199"/>
      <c r="IKY119" s="198"/>
      <c r="IKZ119" s="199"/>
      <c r="ILA119" s="198"/>
      <c r="ILB119" s="199"/>
      <c r="ILC119" s="198"/>
      <c r="ILD119" s="199"/>
      <c r="ILE119" s="198"/>
      <c r="ILF119" s="199"/>
      <c r="ILG119" s="198"/>
      <c r="ILH119" s="199"/>
      <c r="ILI119" s="198"/>
      <c r="ILJ119" s="199"/>
      <c r="ILK119" s="198"/>
      <c r="ILL119" s="199"/>
      <c r="ILM119" s="198"/>
      <c r="ILN119" s="199"/>
      <c r="ILO119" s="198"/>
      <c r="ILP119" s="199"/>
      <c r="ILQ119" s="198"/>
      <c r="ILR119" s="199"/>
      <c r="ILS119" s="198"/>
      <c r="ILT119" s="199"/>
      <c r="ILU119" s="198"/>
      <c r="ILV119" s="199"/>
      <c r="ILW119" s="198"/>
      <c r="ILX119" s="199"/>
      <c r="ILY119" s="198"/>
      <c r="ILZ119" s="199"/>
      <c r="IMA119" s="198"/>
      <c r="IMB119" s="199"/>
      <c r="IMC119" s="198"/>
      <c r="IMD119" s="199"/>
      <c r="IME119" s="198"/>
      <c r="IMF119" s="199"/>
      <c r="IMG119" s="198"/>
      <c r="IMH119" s="199"/>
      <c r="IMI119" s="198"/>
      <c r="IMJ119" s="199"/>
      <c r="IMK119" s="198"/>
      <c r="IML119" s="199"/>
      <c r="IMM119" s="198"/>
      <c r="IMN119" s="199"/>
      <c r="IMO119" s="198"/>
      <c r="IMP119" s="199"/>
      <c r="IMQ119" s="198"/>
      <c r="IMR119" s="199"/>
      <c r="IMS119" s="198"/>
      <c r="IMT119" s="199"/>
      <c r="IMU119" s="198"/>
      <c r="IMV119" s="199"/>
      <c r="IMW119" s="198"/>
      <c r="IMX119" s="199"/>
      <c r="IMY119" s="198"/>
      <c r="IMZ119" s="199"/>
      <c r="INA119" s="198"/>
      <c r="INB119" s="199"/>
      <c r="INC119" s="198"/>
      <c r="IND119" s="199"/>
      <c r="INE119" s="198"/>
      <c r="INF119" s="199"/>
      <c r="ING119" s="198"/>
      <c r="INH119" s="199"/>
      <c r="INI119" s="198"/>
      <c r="INJ119" s="199"/>
      <c r="INK119" s="198"/>
      <c r="INL119" s="199"/>
      <c r="INM119" s="198"/>
      <c r="INN119" s="199"/>
      <c r="INO119" s="198"/>
      <c r="INP119" s="199"/>
      <c r="INQ119" s="198"/>
      <c r="INR119" s="199"/>
      <c r="INS119" s="198"/>
      <c r="INT119" s="199"/>
      <c r="INU119" s="198"/>
      <c r="INV119" s="199"/>
      <c r="INW119" s="198"/>
      <c r="INX119" s="199"/>
      <c r="INY119" s="198"/>
      <c r="INZ119" s="199"/>
      <c r="IOA119" s="198"/>
      <c r="IOB119" s="199"/>
      <c r="IOC119" s="198"/>
      <c r="IOD119" s="199"/>
      <c r="IOE119" s="198"/>
      <c r="IOF119" s="199"/>
      <c r="IOG119" s="198"/>
      <c r="IOH119" s="199"/>
      <c r="IOI119" s="198"/>
      <c r="IOJ119" s="199"/>
      <c r="IOK119" s="198"/>
      <c r="IOL119" s="199"/>
      <c r="IOM119" s="198"/>
      <c r="ION119" s="199"/>
      <c r="IOO119" s="198"/>
      <c r="IOP119" s="199"/>
      <c r="IOQ119" s="198"/>
      <c r="IOR119" s="199"/>
      <c r="IOS119" s="198"/>
      <c r="IOT119" s="199"/>
      <c r="IOU119" s="198"/>
      <c r="IOV119" s="199"/>
      <c r="IOW119" s="198"/>
      <c r="IOX119" s="199"/>
      <c r="IOY119" s="198"/>
      <c r="IOZ119" s="199"/>
      <c r="IPA119" s="198"/>
      <c r="IPB119" s="199"/>
      <c r="IPC119" s="198"/>
      <c r="IPD119" s="199"/>
      <c r="IPE119" s="198"/>
      <c r="IPF119" s="199"/>
      <c r="IPG119" s="198"/>
      <c r="IPH119" s="199"/>
      <c r="IPI119" s="198"/>
      <c r="IPJ119" s="199"/>
      <c r="IPK119" s="198"/>
      <c r="IPL119" s="199"/>
      <c r="IPM119" s="198"/>
      <c r="IPN119" s="199"/>
      <c r="IPO119" s="198"/>
      <c r="IPP119" s="199"/>
      <c r="IPQ119" s="198"/>
      <c r="IPR119" s="199"/>
      <c r="IPS119" s="198"/>
      <c r="IPT119" s="199"/>
      <c r="IPU119" s="198"/>
      <c r="IPV119" s="199"/>
      <c r="IPW119" s="198"/>
      <c r="IPX119" s="199"/>
      <c r="IPY119" s="198"/>
      <c r="IPZ119" s="199"/>
      <c r="IQA119" s="198"/>
      <c r="IQB119" s="199"/>
      <c r="IQC119" s="198"/>
      <c r="IQD119" s="199"/>
      <c r="IQE119" s="198"/>
      <c r="IQF119" s="199"/>
      <c r="IQG119" s="198"/>
      <c r="IQH119" s="199"/>
      <c r="IQI119" s="198"/>
      <c r="IQJ119" s="199"/>
      <c r="IQK119" s="198"/>
      <c r="IQL119" s="199"/>
      <c r="IQM119" s="198"/>
      <c r="IQN119" s="199"/>
      <c r="IQO119" s="198"/>
      <c r="IQP119" s="199"/>
      <c r="IQQ119" s="198"/>
      <c r="IQR119" s="199"/>
      <c r="IQS119" s="198"/>
      <c r="IQT119" s="199"/>
      <c r="IQU119" s="198"/>
      <c r="IQV119" s="199"/>
      <c r="IQW119" s="198"/>
      <c r="IQX119" s="199"/>
      <c r="IQY119" s="198"/>
      <c r="IQZ119" s="199"/>
      <c r="IRA119" s="198"/>
      <c r="IRB119" s="199"/>
      <c r="IRC119" s="198"/>
      <c r="IRD119" s="199"/>
      <c r="IRE119" s="198"/>
      <c r="IRF119" s="199"/>
      <c r="IRG119" s="198"/>
      <c r="IRH119" s="199"/>
      <c r="IRI119" s="198"/>
      <c r="IRJ119" s="199"/>
      <c r="IRK119" s="198"/>
      <c r="IRL119" s="199"/>
      <c r="IRM119" s="198"/>
      <c r="IRN119" s="199"/>
      <c r="IRO119" s="198"/>
      <c r="IRP119" s="199"/>
      <c r="IRQ119" s="198"/>
      <c r="IRR119" s="199"/>
      <c r="IRS119" s="198"/>
      <c r="IRT119" s="199"/>
      <c r="IRU119" s="198"/>
      <c r="IRV119" s="199"/>
      <c r="IRW119" s="198"/>
      <c r="IRX119" s="199"/>
      <c r="IRY119" s="198"/>
      <c r="IRZ119" s="199"/>
      <c r="ISA119" s="198"/>
      <c r="ISB119" s="199"/>
      <c r="ISC119" s="198"/>
      <c r="ISD119" s="199"/>
      <c r="ISE119" s="198"/>
      <c r="ISF119" s="199"/>
      <c r="ISG119" s="198"/>
      <c r="ISH119" s="199"/>
      <c r="ISI119" s="198"/>
      <c r="ISJ119" s="199"/>
      <c r="ISK119" s="198"/>
      <c r="ISL119" s="199"/>
      <c r="ISM119" s="198"/>
      <c r="ISN119" s="199"/>
      <c r="ISO119" s="198"/>
      <c r="ISP119" s="199"/>
      <c r="ISQ119" s="198"/>
      <c r="ISR119" s="199"/>
      <c r="ISS119" s="198"/>
      <c r="IST119" s="199"/>
      <c r="ISU119" s="198"/>
      <c r="ISV119" s="199"/>
      <c r="ISW119" s="198"/>
      <c r="ISX119" s="199"/>
      <c r="ISY119" s="198"/>
      <c r="ISZ119" s="199"/>
      <c r="ITA119" s="198"/>
      <c r="ITB119" s="199"/>
      <c r="ITC119" s="198"/>
      <c r="ITD119" s="199"/>
      <c r="ITE119" s="198"/>
      <c r="ITF119" s="199"/>
      <c r="ITG119" s="198"/>
      <c r="ITH119" s="199"/>
      <c r="ITI119" s="198"/>
      <c r="ITJ119" s="199"/>
      <c r="ITK119" s="198"/>
      <c r="ITL119" s="199"/>
      <c r="ITM119" s="198"/>
      <c r="ITN119" s="199"/>
      <c r="ITO119" s="198"/>
      <c r="ITP119" s="199"/>
      <c r="ITQ119" s="198"/>
      <c r="ITR119" s="199"/>
      <c r="ITS119" s="198"/>
      <c r="ITT119" s="199"/>
      <c r="ITU119" s="198"/>
      <c r="ITV119" s="199"/>
      <c r="ITW119" s="198"/>
      <c r="ITX119" s="199"/>
      <c r="ITY119" s="198"/>
      <c r="ITZ119" s="199"/>
      <c r="IUA119" s="198"/>
      <c r="IUB119" s="199"/>
      <c r="IUC119" s="198"/>
      <c r="IUD119" s="199"/>
      <c r="IUE119" s="198"/>
      <c r="IUF119" s="199"/>
      <c r="IUG119" s="198"/>
      <c r="IUH119" s="199"/>
      <c r="IUI119" s="198"/>
      <c r="IUJ119" s="199"/>
      <c r="IUK119" s="198"/>
      <c r="IUL119" s="199"/>
      <c r="IUM119" s="198"/>
      <c r="IUN119" s="199"/>
      <c r="IUO119" s="198"/>
      <c r="IUP119" s="199"/>
      <c r="IUQ119" s="198"/>
      <c r="IUR119" s="199"/>
      <c r="IUS119" s="198"/>
      <c r="IUT119" s="199"/>
      <c r="IUU119" s="198"/>
      <c r="IUV119" s="199"/>
      <c r="IUW119" s="198"/>
      <c r="IUX119" s="199"/>
      <c r="IUY119" s="198"/>
      <c r="IUZ119" s="199"/>
      <c r="IVA119" s="198"/>
      <c r="IVB119" s="199"/>
      <c r="IVC119" s="198"/>
      <c r="IVD119" s="199"/>
      <c r="IVE119" s="198"/>
      <c r="IVF119" s="199"/>
      <c r="IVG119" s="198"/>
      <c r="IVH119" s="199"/>
      <c r="IVI119" s="198"/>
      <c r="IVJ119" s="199"/>
      <c r="IVK119" s="198"/>
      <c r="IVL119" s="199"/>
      <c r="IVM119" s="198"/>
      <c r="IVN119" s="199"/>
      <c r="IVO119" s="198"/>
      <c r="IVP119" s="199"/>
      <c r="IVQ119" s="198"/>
      <c r="IVR119" s="199"/>
      <c r="IVS119" s="198"/>
      <c r="IVT119" s="199"/>
      <c r="IVU119" s="198"/>
      <c r="IVV119" s="199"/>
      <c r="IVW119" s="198"/>
      <c r="IVX119" s="199"/>
      <c r="IVY119" s="198"/>
      <c r="IVZ119" s="199"/>
      <c r="IWA119" s="198"/>
      <c r="IWB119" s="199"/>
      <c r="IWC119" s="198"/>
      <c r="IWD119" s="199"/>
      <c r="IWE119" s="198"/>
      <c r="IWF119" s="199"/>
      <c r="IWG119" s="198"/>
      <c r="IWH119" s="199"/>
      <c r="IWI119" s="198"/>
      <c r="IWJ119" s="199"/>
      <c r="IWK119" s="198"/>
      <c r="IWL119" s="199"/>
      <c r="IWM119" s="198"/>
      <c r="IWN119" s="199"/>
      <c r="IWO119" s="198"/>
      <c r="IWP119" s="199"/>
      <c r="IWQ119" s="198"/>
      <c r="IWR119" s="199"/>
      <c r="IWS119" s="198"/>
      <c r="IWT119" s="199"/>
      <c r="IWU119" s="198"/>
      <c r="IWV119" s="199"/>
      <c r="IWW119" s="198"/>
      <c r="IWX119" s="199"/>
      <c r="IWY119" s="198"/>
      <c r="IWZ119" s="199"/>
      <c r="IXA119" s="198"/>
      <c r="IXB119" s="199"/>
      <c r="IXC119" s="198"/>
      <c r="IXD119" s="199"/>
      <c r="IXE119" s="198"/>
      <c r="IXF119" s="199"/>
      <c r="IXG119" s="198"/>
      <c r="IXH119" s="199"/>
      <c r="IXI119" s="198"/>
      <c r="IXJ119" s="199"/>
      <c r="IXK119" s="198"/>
      <c r="IXL119" s="199"/>
      <c r="IXM119" s="198"/>
      <c r="IXN119" s="199"/>
      <c r="IXO119" s="198"/>
      <c r="IXP119" s="199"/>
      <c r="IXQ119" s="198"/>
      <c r="IXR119" s="199"/>
      <c r="IXS119" s="198"/>
      <c r="IXT119" s="199"/>
      <c r="IXU119" s="198"/>
      <c r="IXV119" s="199"/>
      <c r="IXW119" s="198"/>
      <c r="IXX119" s="199"/>
      <c r="IXY119" s="198"/>
      <c r="IXZ119" s="199"/>
      <c r="IYA119" s="198"/>
      <c r="IYB119" s="199"/>
      <c r="IYC119" s="198"/>
      <c r="IYD119" s="199"/>
      <c r="IYE119" s="198"/>
      <c r="IYF119" s="199"/>
      <c r="IYG119" s="198"/>
      <c r="IYH119" s="199"/>
      <c r="IYI119" s="198"/>
      <c r="IYJ119" s="199"/>
      <c r="IYK119" s="198"/>
      <c r="IYL119" s="199"/>
      <c r="IYM119" s="198"/>
      <c r="IYN119" s="199"/>
      <c r="IYO119" s="198"/>
      <c r="IYP119" s="199"/>
      <c r="IYQ119" s="198"/>
      <c r="IYR119" s="199"/>
      <c r="IYS119" s="198"/>
      <c r="IYT119" s="199"/>
      <c r="IYU119" s="198"/>
      <c r="IYV119" s="199"/>
      <c r="IYW119" s="198"/>
      <c r="IYX119" s="199"/>
      <c r="IYY119" s="198"/>
      <c r="IYZ119" s="199"/>
      <c r="IZA119" s="198"/>
      <c r="IZB119" s="199"/>
      <c r="IZC119" s="198"/>
      <c r="IZD119" s="199"/>
      <c r="IZE119" s="198"/>
      <c r="IZF119" s="199"/>
      <c r="IZG119" s="198"/>
      <c r="IZH119" s="199"/>
      <c r="IZI119" s="198"/>
      <c r="IZJ119" s="199"/>
      <c r="IZK119" s="198"/>
      <c r="IZL119" s="199"/>
      <c r="IZM119" s="198"/>
      <c r="IZN119" s="199"/>
      <c r="IZO119" s="198"/>
      <c r="IZP119" s="199"/>
      <c r="IZQ119" s="198"/>
      <c r="IZR119" s="199"/>
      <c r="IZS119" s="198"/>
      <c r="IZT119" s="199"/>
      <c r="IZU119" s="198"/>
      <c r="IZV119" s="199"/>
      <c r="IZW119" s="198"/>
      <c r="IZX119" s="199"/>
      <c r="IZY119" s="198"/>
      <c r="IZZ119" s="199"/>
      <c r="JAA119" s="198"/>
      <c r="JAB119" s="199"/>
      <c r="JAC119" s="198"/>
      <c r="JAD119" s="199"/>
      <c r="JAE119" s="198"/>
      <c r="JAF119" s="199"/>
      <c r="JAG119" s="198"/>
      <c r="JAH119" s="199"/>
      <c r="JAI119" s="198"/>
      <c r="JAJ119" s="199"/>
      <c r="JAK119" s="198"/>
      <c r="JAL119" s="199"/>
      <c r="JAM119" s="198"/>
      <c r="JAN119" s="199"/>
      <c r="JAO119" s="198"/>
      <c r="JAP119" s="199"/>
      <c r="JAQ119" s="198"/>
      <c r="JAR119" s="199"/>
      <c r="JAS119" s="198"/>
      <c r="JAT119" s="199"/>
      <c r="JAU119" s="198"/>
      <c r="JAV119" s="199"/>
      <c r="JAW119" s="198"/>
      <c r="JAX119" s="199"/>
      <c r="JAY119" s="198"/>
      <c r="JAZ119" s="199"/>
      <c r="JBA119" s="198"/>
      <c r="JBB119" s="199"/>
      <c r="JBC119" s="198"/>
      <c r="JBD119" s="199"/>
      <c r="JBE119" s="198"/>
      <c r="JBF119" s="199"/>
      <c r="JBG119" s="198"/>
      <c r="JBH119" s="199"/>
      <c r="JBI119" s="198"/>
      <c r="JBJ119" s="199"/>
      <c r="JBK119" s="198"/>
      <c r="JBL119" s="199"/>
      <c r="JBM119" s="198"/>
      <c r="JBN119" s="199"/>
      <c r="JBO119" s="198"/>
      <c r="JBP119" s="199"/>
      <c r="JBQ119" s="198"/>
      <c r="JBR119" s="199"/>
      <c r="JBS119" s="198"/>
      <c r="JBT119" s="199"/>
      <c r="JBU119" s="198"/>
      <c r="JBV119" s="199"/>
      <c r="JBW119" s="198"/>
      <c r="JBX119" s="199"/>
      <c r="JBY119" s="198"/>
      <c r="JBZ119" s="199"/>
      <c r="JCA119" s="198"/>
      <c r="JCB119" s="199"/>
      <c r="JCC119" s="198"/>
      <c r="JCD119" s="199"/>
      <c r="JCE119" s="198"/>
      <c r="JCF119" s="199"/>
      <c r="JCG119" s="198"/>
      <c r="JCH119" s="199"/>
      <c r="JCI119" s="198"/>
      <c r="JCJ119" s="199"/>
      <c r="JCK119" s="198"/>
      <c r="JCL119" s="199"/>
      <c r="JCM119" s="198"/>
      <c r="JCN119" s="199"/>
      <c r="JCO119" s="198"/>
      <c r="JCP119" s="199"/>
      <c r="JCQ119" s="198"/>
      <c r="JCR119" s="199"/>
      <c r="JCS119" s="198"/>
      <c r="JCT119" s="199"/>
      <c r="JCU119" s="198"/>
      <c r="JCV119" s="199"/>
      <c r="JCW119" s="198"/>
      <c r="JCX119" s="199"/>
      <c r="JCY119" s="198"/>
      <c r="JCZ119" s="199"/>
      <c r="JDA119" s="198"/>
      <c r="JDB119" s="199"/>
      <c r="JDC119" s="198"/>
      <c r="JDD119" s="199"/>
      <c r="JDE119" s="198"/>
      <c r="JDF119" s="199"/>
      <c r="JDG119" s="198"/>
      <c r="JDH119" s="199"/>
      <c r="JDI119" s="198"/>
      <c r="JDJ119" s="199"/>
      <c r="JDK119" s="198"/>
      <c r="JDL119" s="199"/>
      <c r="JDM119" s="198"/>
      <c r="JDN119" s="199"/>
      <c r="JDO119" s="198"/>
      <c r="JDP119" s="199"/>
      <c r="JDQ119" s="198"/>
      <c r="JDR119" s="199"/>
      <c r="JDS119" s="198"/>
      <c r="JDT119" s="199"/>
      <c r="JDU119" s="198"/>
      <c r="JDV119" s="199"/>
      <c r="JDW119" s="198"/>
      <c r="JDX119" s="199"/>
      <c r="JDY119" s="198"/>
      <c r="JDZ119" s="199"/>
      <c r="JEA119" s="198"/>
      <c r="JEB119" s="199"/>
      <c r="JEC119" s="198"/>
      <c r="JED119" s="199"/>
      <c r="JEE119" s="198"/>
      <c r="JEF119" s="199"/>
      <c r="JEG119" s="198"/>
      <c r="JEH119" s="199"/>
      <c r="JEI119" s="198"/>
      <c r="JEJ119" s="199"/>
      <c r="JEK119" s="198"/>
      <c r="JEL119" s="199"/>
      <c r="JEM119" s="198"/>
      <c r="JEN119" s="199"/>
      <c r="JEO119" s="198"/>
      <c r="JEP119" s="199"/>
      <c r="JEQ119" s="198"/>
      <c r="JER119" s="199"/>
      <c r="JES119" s="198"/>
      <c r="JET119" s="199"/>
      <c r="JEU119" s="198"/>
      <c r="JEV119" s="199"/>
      <c r="JEW119" s="198"/>
      <c r="JEX119" s="199"/>
      <c r="JEY119" s="198"/>
      <c r="JEZ119" s="199"/>
      <c r="JFA119" s="198"/>
      <c r="JFB119" s="199"/>
      <c r="JFC119" s="198"/>
      <c r="JFD119" s="199"/>
      <c r="JFE119" s="198"/>
      <c r="JFF119" s="199"/>
      <c r="JFG119" s="198"/>
      <c r="JFH119" s="199"/>
      <c r="JFI119" s="198"/>
      <c r="JFJ119" s="199"/>
      <c r="JFK119" s="198"/>
      <c r="JFL119" s="199"/>
      <c r="JFM119" s="198"/>
      <c r="JFN119" s="199"/>
      <c r="JFO119" s="198"/>
      <c r="JFP119" s="199"/>
      <c r="JFQ119" s="198"/>
      <c r="JFR119" s="199"/>
      <c r="JFS119" s="198"/>
      <c r="JFT119" s="199"/>
      <c r="JFU119" s="198"/>
      <c r="JFV119" s="199"/>
      <c r="JFW119" s="198"/>
      <c r="JFX119" s="199"/>
      <c r="JFY119" s="198"/>
      <c r="JFZ119" s="199"/>
      <c r="JGA119" s="198"/>
      <c r="JGB119" s="199"/>
      <c r="JGC119" s="198"/>
      <c r="JGD119" s="199"/>
      <c r="JGE119" s="198"/>
      <c r="JGF119" s="199"/>
      <c r="JGG119" s="198"/>
      <c r="JGH119" s="199"/>
      <c r="JGI119" s="198"/>
      <c r="JGJ119" s="199"/>
      <c r="JGK119" s="198"/>
      <c r="JGL119" s="199"/>
      <c r="JGM119" s="198"/>
      <c r="JGN119" s="199"/>
      <c r="JGO119" s="198"/>
      <c r="JGP119" s="199"/>
      <c r="JGQ119" s="198"/>
      <c r="JGR119" s="199"/>
      <c r="JGS119" s="198"/>
      <c r="JGT119" s="199"/>
      <c r="JGU119" s="198"/>
      <c r="JGV119" s="199"/>
      <c r="JGW119" s="198"/>
      <c r="JGX119" s="199"/>
      <c r="JGY119" s="198"/>
      <c r="JGZ119" s="199"/>
      <c r="JHA119" s="198"/>
      <c r="JHB119" s="199"/>
      <c r="JHC119" s="198"/>
      <c r="JHD119" s="199"/>
      <c r="JHE119" s="198"/>
      <c r="JHF119" s="199"/>
      <c r="JHG119" s="198"/>
      <c r="JHH119" s="199"/>
      <c r="JHI119" s="198"/>
      <c r="JHJ119" s="199"/>
      <c r="JHK119" s="198"/>
      <c r="JHL119" s="199"/>
      <c r="JHM119" s="198"/>
      <c r="JHN119" s="199"/>
      <c r="JHO119" s="198"/>
      <c r="JHP119" s="199"/>
      <c r="JHQ119" s="198"/>
      <c r="JHR119" s="199"/>
      <c r="JHS119" s="198"/>
      <c r="JHT119" s="199"/>
      <c r="JHU119" s="198"/>
      <c r="JHV119" s="199"/>
      <c r="JHW119" s="198"/>
      <c r="JHX119" s="199"/>
      <c r="JHY119" s="198"/>
      <c r="JHZ119" s="199"/>
      <c r="JIA119" s="198"/>
      <c r="JIB119" s="199"/>
      <c r="JIC119" s="198"/>
      <c r="JID119" s="199"/>
      <c r="JIE119" s="198"/>
      <c r="JIF119" s="199"/>
      <c r="JIG119" s="198"/>
      <c r="JIH119" s="199"/>
      <c r="JII119" s="198"/>
      <c r="JIJ119" s="199"/>
      <c r="JIK119" s="198"/>
      <c r="JIL119" s="199"/>
      <c r="JIM119" s="198"/>
      <c r="JIN119" s="199"/>
      <c r="JIO119" s="198"/>
      <c r="JIP119" s="199"/>
      <c r="JIQ119" s="198"/>
      <c r="JIR119" s="199"/>
      <c r="JIS119" s="198"/>
      <c r="JIT119" s="199"/>
      <c r="JIU119" s="198"/>
      <c r="JIV119" s="199"/>
      <c r="JIW119" s="198"/>
      <c r="JIX119" s="199"/>
      <c r="JIY119" s="198"/>
      <c r="JIZ119" s="199"/>
      <c r="JJA119" s="198"/>
      <c r="JJB119" s="199"/>
      <c r="JJC119" s="198"/>
      <c r="JJD119" s="199"/>
      <c r="JJE119" s="198"/>
      <c r="JJF119" s="199"/>
      <c r="JJG119" s="198"/>
      <c r="JJH119" s="199"/>
      <c r="JJI119" s="198"/>
      <c r="JJJ119" s="199"/>
      <c r="JJK119" s="198"/>
      <c r="JJL119" s="199"/>
      <c r="JJM119" s="198"/>
      <c r="JJN119" s="199"/>
      <c r="JJO119" s="198"/>
      <c r="JJP119" s="199"/>
      <c r="JJQ119" s="198"/>
      <c r="JJR119" s="199"/>
      <c r="JJS119" s="198"/>
      <c r="JJT119" s="199"/>
      <c r="JJU119" s="198"/>
      <c r="JJV119" s="199"/>
      <c r="JJW119" s="198"/>
      <c r="JJX119" s="199"/>
      <c r="JJY119" s="198"/>
      <c r="JJZ119" s="199"/>
      <c r="JKA119" s="198"/>
      <c r="JKB119" s="199"/>
      <c r="JKC119" s="198"/>
      <c r="JKD119" s="199"/>
      <c r="JKE119" s="198"/>
      <c r="JKF119" s="199"/>
      <c r="JKG119" s="198"/>
      <c r="JKH119" s="199"/>
      <c r="JKI119" s="198"/>
      <c r="JKJ119" s="199"/>
      <c r="JKK119" s="198"/>
      <c r="JKL119" s="199"/>
      <c r="JKM119" s="198"/>
      <c r="JKN119" s="199"/>
      <c r="JKO119" s="198"/>
      <c r="JKP119" s="199"/>
      <c r="JKQ119" s="198"/>
      <c r="JKR119" s="199"/>
      <c r="JKS119" s="198"/>
      <c r="JKT119" s="199"/>
      <c r="JKU119" s="198"/>
      <c r="JKV119" s="199"/>
      <c r="JKW119" s="198"/>
      <c r="JKX119" s="199"/>
      <c r="JKY119" s="198"/>
      <c r="JKZ119" s="199"/>
      <c r="JLA119" s="198"/>
      <c r="JLB119" s="199"/>
      <c r="JLC119" s="198"/>
      <c r="JLD119" s="199"/>
      <c r="JLE119" s="198"/>
      <c r="JLF119" s="199"/>
      <c r="JLG119" s="198"/>
      <c r="JLH119" s="199"/>
      <c r="JLI119" s="198"/>
      <c r="JLJ119" s="199"/>
      <c r="JLK119" s="198"/>
      <c r="JLL119" s="199"/>
      <c r="JLM119" s="198"/>
      <c r="JLN119" s="199"/>
      <c r="JLO119" s="198"/>
      <c r="JLP119" s="199"/>
      <c r="JLQ119" s="198"/>
      <c r="JLR119" s="199"/>
      <c r="JLS119" s="198"/>
      <c r="JLT119" s="199"/>
      <c r="JLU119" s="198"/>
      <c r="JLV119" s="199"/>
      <c r="JLW119" s="198"/>
      <c r="JLX119" s="199"/>
      <c r="JLY119" s="198"/>
      <c r="JLZ119" s="199"/>
      <c r="JMA119" s="198"/>
      <c r="JMB119" s="199"/>
      <c r="JMC119" s="198"/>
      <c r="JMD119" s="199"/>
      <c r="JME119" s="198"/>
      <c r="JMF119" s="199"/>
      <c r="JMG119" s="198"/>
      <c r="JMH119" s="199"/>
      <c r="JMI119" s="198"/>
      <c r="JMJ119" s="199"/>
      <c r="JMK119" s="198"/>
      <c r="JML119" s="199"/>
      <c r="JMM119" s="198"/>
      <c r="JMN119" s="199"/>
      <c r="JMO119" s="198"/>
      <c r="JMP119" s="199"/>
      <c r="JMQ119" s="198"/>
      <c r="JMR119" s="199"/>
      <c r="JMS119" s="198"/>
      <c r="JMT119" s="199"/>
      <c r="JMU119" s="198"/>
      <c r="JMV119" s="199"/>
      <c r="JMW119" s="198"/>
      <c r="JMX119" s="199"/>
      <c r="JMY119" s="198"/>
      <c r="JMZ119" s="199"/>
      <c r="JNA119" s="198"/>
      <c r="JNB119" s="199"/>
      <c r="JNC119" s="198"/>
      <c r="JND119" s="199"/>
      <c r="JNE119" s="198"/>
      <c r="JNF119" s="199"/>
      <c r="JNG119" s="198"/>
      <c r="JNH119" s="199"/>
      <c r="JNI119" s="198"/>
      <c r="JNJ119" s="199"/>
      <c r="JNK119" s="198"/>
      <c r="JNL119" s="199"/>
      <c r="JNM119" s="198"/>
      <c r="JNN119" s="199"/>
      <c r="JNO119" s="198"/>
      <c r="JNP119" s="199"/>
      <c r="JNQ119" s="198"/>
      <c r="JNR119" s="199"/>
      <c r="JNS119" s="198"/>
      <c r="JNT119" s="199"/>
      <c r="JNU119" s="198"/>
      <c r="JNV119" s="199"/>
      <c r="JNW119" s="198"/>
      <c r="JNX119" s="199"/>
      <c r="JNY119" s="198"/>
      <c r="JNZ119" s="199"/>
      <c r="JOA119" s="198"/>
      <c r="JOB119" s="199"/>
      <c r="JOC119" s="198"/>
      <c r="JOD119" s="199"/>
      <c r="JOE119" s="198"/>
      <c r="JOF119" s="199"/>
      <c r="JOG119" s="198"/>
      <c r="JOH119" s="199"/>
      <c r="JOI119" s="198"/>
      <c r="JOJ119" s="199"/>
      <c r="JOK119" s="198"/>
      <c r="JOL119" s="199"/>
      <c r="JOM119" s="198"/>
      <c r="JON119" s="199"/>
      <c r="JOO119" s="198"/>
      <c r="JOP119" s="199"/>
      <c r="JOQ119" s="198"/>
      <c r="JOR119" s="199"/>
      <c r="JOS119" s="198"/>
      <c r="JOT119" s="199"/>
      <c r="JOU119" s="198"/>
      <c r="JOV119" s="199"/>
      <c r="JOW119" s="198"/>
      <c r="JOX119" s="199"/>
      <c r="JOY119" s="198"/>
      <c r="JOZ119" s="199"/>
      <c r="JPA119" s="198"/>
      <c r="JPB119" s="199"/>
      <c r="JPC119" s="198"/>
      <c r="JPD119" s="199"/>
      <c r="JPE119" s="198"/>
      <c r="JPF119" s="199"/>
      <c r="JPG119" s="198"/>
      <c r="JPH119" s="199"/>
      <c r="JPI119" s="198"/>
      <c r="JPJ119" s="199"/>
      <c r="JPK119" s="198"/>
      <c r="JPL119" s="199"/>
      <c r="JPM119" s="198"/>
      <c r="JPN119" s="199"/>
      <c r="JPO119" s="198"/>
      <c r="JPP119" s="199"/>
      <c r="JPQ119" s="198"/>
      <c r="JPR119" s="199"/>
      <c r="JPS119" s="198"/>
      <c r="JPT119" s="199"/>
      <c r="JPU119" s="198"/>
      <c r="JPV119" s="199"/>
      <c r="JPW119" s="198"/>
      <c r="JPX119" s="199"/>
      <c r="JPY119" s="198"/>
      <c r="JPZ119" s="199"/>
      <c r="JQA119" s="198"/>
      <c r="JQB119" s="199"/>
      <c r="JQC119" s="198"/>
      <c r="JQD119" s="199"/>
      <c r="JQE119" s="198"/>
      <c r="JQF119" s="199"/>
      <c r="JQG119" s="198"/>
      <c r="JQH119" s="199"/>
      <c r="JQI119" s="198"/>
      <c r="JQJ119" s="199"/>
      <c r="JQK119" s="198"/>
      <c r="JQL119" s="199"/>
      <c r="JQM119" s="198"/>
      <c r="JQN119" s="199"/>
      <c r="JQO119" s="198"/>
      <c r="JQP119" s="199"/>
      <c r="JQQ119" s="198"/>
      <c r="JQR119" s="199"/>
      <c r="JQS119" s="198"/>
      <c r="JQT119" s="199"/>
      <c r="JQU119" s="198"/>
      <c r="JQV119" s="199"/>
      <c r="JQW119" s="198"/>
      <c r="JQX119" s="199"/>
      <c r="JQY119" s="198"/>
      <c r="JQZ119" s="199"/>
      <c r="JRA119" s="198"/>
      <c r="JRB119" s="199"/>
      <c r="JRC119" s="198"/>
      <c r="JRD119" s="199"/>
      <c r="JRE119" s="198"/>
      <c r="JRF119" s="199"/>
      <c r="JRG119" s="198"/>
      <c r="JRH119" s="199"/>
      <c r="JRI119" s="198"/>
      <c r="JRJ119" s="199"/>
      <c r="JRK119" s="198"/>
      <c r="JRL119" s="199"/>
      <c r="JRM119" s="198"/>
      <c r="JRN119" s="199"/>
      <c r="JRO119" s="198"/>
      <c r="JRP119" s="199"/>
      <c r="JRQ119" s="198"/>
      <c r="JRR119" s="199"/>
      <c r="JRS119" s="198"/>
      <c r="JRT119" s="199"/>
      <c r="JRU119" s="198"/>
      <c r="JRV119" s="199"/>
      <c r="JRW119" s="198"/>
      <c r="JRX119" s="199"/>
      <c r="JRY119" s="198"/>
      <c r="JRZ119" s="199"/>
      <c r="JSA119" s="198"/>
      <c r="JSB119" s="199"/>
      <c r="JSC119" s="198"/>
      <c r="JSD119" s="199"/>
      <c r="JSE119" s="198"/>
      <c r="JSF119" s="199"/>
      <c r="JSG119" s="198"/>
      <c r="JSH119" s="199"/>
      <c r="JSI119" s="198"/>
      <c r="JSJ119" s="199"/>
      <c r="JSK119" s="198"/>
      <c r="JSL119" s="199"/>
      <c r="JSM119" s="198"/>
      <c r="JSN119" s="199"/>
      <c r="JSO119" s="198"/>
      <c r="JSP119" s="199"/>
      <c r="JSQ119" s="198"/>
      <c r="JSR119" s="199"/>
      <c r="JSS119" s="198"/>
      <c r="JST119" s="199"/>
      <c r="JSU119" s="198"/>
      <c r="JSV119" s="199"/>
      <c r="JSW119" s="198"/>
      <c r="JSX119" s="199"/>
      <c r="JSY119" s="198"/>
      <c r="JSZ119" s="199"/>
      <c r="JTA119" s="198"/>
      <c r="JTB119" s="199"/>
      <c r="JTC119" s="198"/>
      <c r="JTD119" s="199"/>
      <c r="JTE119" s="198"/>
      <c r="JTF119" s="199"/>
      <c r="JTG119" s="198"/>
      <c r="JTH119" s="199"/>
      <c r="JTI119" s="198"/>
      <c r="JTJ119" s="199"/>
      <c r="JTK119" s="198"/>
      <c r="JTL119" s="199"/>
      <c r="JTM119" s="198"/>
      <c r="JTN119" s="199"/>
      <c r="JTO119" s="198"/>
      <c r="JTP119" s="199"/>
      <c r="JTQ119" s="198"/>
      <c r="JTR119" s="199"/>
      <c r="JTS119" s="198"/>
      <c r="JTT119" s="199"/>
      <c r="JTU119" s="198"/>
      <c r="JTV119" s="199"/>
      <c r="JTW119" s="198"/>
      <c r="JTX119" s="199"/>
      <c r="JTY119" s="198"/>
      <c r="JTZ119" s="199"/>
      <c r="JUA119" s="198"/>
      <c r="JUB119" s="199"/>
      <c r="JUC119" s="198"/>
      <c r="JUD119" s="199"/>
      <c r="JUE119" s="198"/>
      <c r="JUF119" s="199"/>
      <c r="JUG119" s="198"/>
      <c r="JUH119" s="199"/>
      <c r="JUI119" s="198"/>
      <c r="JUJ119" s="199"/>
      <c r="JUK119" s="198"/>
      <c r="JUL119" s="199"/>
      <c r="JUM119" s="198"/>
      <c r="JUN119" s="199"/>
      <c r="JUO119" s="198"/>
      <c r="JUP119" s="199"/>
      <c r="JUQ119" s="198"/>
      <c r="JUR119" s="199"/>
      <c r="JUS119" s="198"/>
      <c r="JUT119" s="199"/>
      <c r="JUU119" s="198"/>
      <c r="JUV119" s="199"/>
      <c r="JUW119" s="198"/>
      <c r="JUX119" s="199"/>
      <c r="JUY119" s="198"/>
      <c r="JUZ119" s="199"/>
      <c r="JVA119" s="198"/>
      <c r="JVB119" s="199"/>
      <c r="JVC119" s="198"/>
      <c r="JVD119" s="199"/>
      <c r="JVE119" s="198"/>
      <c r="JVF119" s="199"/>
      <c r="JVG119" s="198"/>
      <c r="JVH119" s="199"/>
      <c r="JVI119" s="198"/>
      <c r="JVJ119" s="199"/>
      <c r="JVK119" s="198"/>
      <c r="JVL119" s="199"/>
      <c r="JVM119" s="198"/>
      <c r="JVN119" s="199"/>
      <c r="JVO119" s="198"/>
      <c r="JVP119" s="199"/>
      <c r="JVQ119" s="198"/>
      <c r="JVR119" s="199"/>
      <c r="JVS119" s="198"/>
      <c r="JVT119" s="199"/>
      <c r="JVU119" s="198"/>
      <c r="JVV119" s="199"/>
      <c r="JVW119" s="198"/>
      <c r="JVX119" s="199"/>
      <c r="JVY119" s="198"/>
      <c r="JVZ119" s="199"/>
      <c r="JWA119" s="198"/>
      <c r="JWB119" s="199"/>
      <c r="JWC119" s="198"/>
      <c r="JWD119" s="199"/>
      <c r="JWE119" s="198"/>
      <c r="JWF119" s="199"/>
      <c r="JWG119" s="198"/>
      <c r="JWH119" s="199"/>
      <c r="JWI119" s="198"/>
      <c r="JWJ119" s="199"/>
      <c r="JWK119" s="198"/>
      <c r="JWL119" s="199"/>
      <c r="JWM119" s="198"/>
      <c r="JWN119" s="199"/>
      <c r="JWO119" s="198"/>
      <c r="JWP119" s="199"/>
      <c r="JWQ119" s="198"/>
      <c r="JWR119" s="199"/>
      <c r="JWS119" s="198"/>
      <c r="JWT119" s="199"/>
      <c r="JWU119" s="198"/>
      <c r="JWV119" s="199"/>
      <c r="JWW119" s="198"/>
      <c r="JWX119" s="199"/>
      <c r="JWY119" s="198"/>
      <c r="JWZ119" s="199"/>
      <c r="JXA119" s="198"/>
      <c r="JXB119" s="199"/>
      <c r="JXC119" s="198"/>
      <c r="JXD119" s="199"/>
      <c r="JXE119" s="198"/>
      <c r="JXF119" s="199"/>
      <c r="JXG119" s="198"/>
      <c r="JXH119" s="199"/>
      <c r="JXI119" s="198"/>
      <c r="JXJ119" s="199"/>
      <c r="JXK119" s="198"/>
      <c r="JXL119" s="199"/>
      <c r="JXM119" s="198"/>
      <c r="JXN119" s="199"/>
      <c r="JXO119" s="198"/>
      <c r="JXP119" s="199"/>
      <c r="JXQ119" s="198"/>
      <c r="JXR119" s="199"/>
      <c r="JXS119" s="198"/>
      <c r="JXT119" s="199"/>
      <c r="JXU119" s="198"/>
      <c r="JXV119" s="199"/>
      <c r="JXW119" s="198"/>
      <c r="JXX119" s="199"/>
      <c r="JXY119" s="198"/>
      <c r="JXZ119" s="199"/>
      <c r="JYA119" s="198"/>
      <c r="JYB119" s="199"/>
      <c r="JYC119" s="198"/>
      <c r="JYD119" s="199"/>
      <c r="JYE119" s="198"/>
      <c r="JYF119" s="199"/>
      <c r="JYG119" s="198"/>
      <c r="JYH119" s="199"/>
      <c r="JYI119" s="198"/>
      <c r="JYJ119" s="199"/>
      <c r="JYK119" s="198"/>
      <c r="JYL119" s="199"/>
      <c r="JYM119" s="198"/>
      <c r="JYN119" s="199"/>
      <c r="JYO119" s="198"/>
      <c r="JYP119" s="199"/>
      <c r="JYQ119" s="198"/>
      <c r="JYR119" s="199"/>
      <c r="JYS119" s="198"/>
      <c r="JYT119" s="199"/>
      <c r="JYU119" s="198"/>
      <c r="JYV119" s="199"/>
      <c r="JYW119" s="198"/>
      <c r="JYX119" s="199"/>
      <c r="JYY119" s="198"/>
      <c r="JYZ119" s="199"/>
      <c r="JZA119" s="198"/>
      <c r="JZB119" s="199"/>
      <c r="JZC119" s="198"/>
      <c r="JZD119" s="199"/>
      <c r="JZE119" s="198"/>
      <c r="JZF119" s="199"/>
      <c r="JZG119" s="198"/>
      <c r="JZH119" s="199"/>
      <c r="JZI119" s="198"/>
      <c r="JZJ119" s="199"/>
      <c r="JZK119" s="198"/>
      <c r="JZL119" s="199"/>
      <c r="JZM119" s="198"/>
      <c r="JZN119" s="199"/>
      <c r="JZO119" s="198"/>
      <c r="JZP119" s="199"/>
      <c r="JZQ119" s="198"/>
      <c r="JZR119" s="199"/>
      <c r="JZS119" s="198"/>
      <c r="JZT119" s="199"/>
      <c r="JZU119" s="198"/>
      <c r="JZV119" s="199"/>
      <c r="JZW119" s="198"/>
      <c r="JZX119" s="199"/>
      <c r="JZY119" s="198"/>
      <c r="JZZ119" s="199"/>
      <c r="KAA119" s="198"/>
      <c r="KAB119" s="199"/>
      <c r="KAC119" s="198"/>
      <c r="KAD119" s="199"/>
      <c r="KAE119" s="198"/>
      <c r="KAF119" s="199"/>
      <c r="KAG119" s="198"/>
      <c r="KAH119" s="199"/>
      <c r="KAI119" s="198"/>
      <c r="KAJ119" s="199"/>
      <c r="KAK119" s="198"/>
      <c r="KAL119" s="199"/>
      <c r="KAM119" s="198"/>
      <c r="KAN119" s="199"/>
      <c r="KAO119" s="198"/>
      <c r="KAP119" s="199"/>
      <c r="KAQ119" s="198"/>
      <c r="KAR119" s="199"/>
      <c r="KAS119" s="198"/>
      <c r="KAT119" s="199"/>
      <c r="KAU119" s="198"/>
      <c r="KAV119" s="199"/>
      <c r="KAW119" s="198"/>
      <c r="KAX119" s="199"/>
      <c r="KAY119" s="198"/>
      <c r="KAZ119" s="199"/>
      <c r="KBA119" s="198"/>
      <c r="KBB119" s="199"/>
      <c r="KBC119" s="198"/>
      <c r="KBD119" s="199"/>
      <c r="KBE119" s="198"/>
      <c r="KBF119" s="199"/>
      <c r="KBG119" s="198"/>
      <c r="KBH119" s="199"/>
      <c r="KBI119" s="198"/>
      <c r="KBJ119" s="199"/>
      <c r="KBK119" s="198"/>
      <c r="KBL119" s="199"/>
      <c r="KBM119" s="198"/>
      <c r="KBN119" s="199"/>
      <c r="KBO119" s="198"/>
      <c r="KBP119" s="199"/>
      <c r="KBQ119" s="198"/>
      <c r="KBR119" s="199"/>
      <c r="KBS119" s="198"/>
      <c r="KBT119" s="199"/>
      <c r="KBU119" s="198"/>
      <c r="KBV119" s="199"/>
      <c r="KBW119" s="198"/>
      <c r="KBX119" s="199"/>
      <c r="KBY119" s="198"/>
      <c r="KBZ119" s="199"/>
      <c r="KCA119" s="198"/>
      <c r="KCB119" s="199"/>
      <c r="KCC119" s="198"/>
      <c r="KCD119" s="199"/>
      <c r="KCE119" s="198"/>
      <c r="KCF119" s="199"/>
      <c r="KCG119" s="198"/>
      <c r="KCH119" s="199"/>
      <c r="KCI119" s="198"/>
      <c r="KCJ119" s="199"/>
      <c r="KCK119" s="198"/>
      <c r="KCL119" s="199"/>
      <c r="KCM119" s="198"/>
      <c r="KCN119" s="199"/>
      <c r="KCO119" s="198"/>
      <c r="KCP119" s="199"/>
      <c r="KCQ119" s="198"/>
      <c r="KCR119" s="199"/>
      <c r="KCS119" s="198"/>
      <c r="KCT119" s="199"/>
      <c r="KCU119" s="198"/>
      <c r="KCV119" s="199"/>
      <c r="KCW119" s="198"/>
      <c r="KCX119" s="199"/>
      <c r="KCY119" s="198"/>
      <c r="KCZ119" s="199"/>
      <c r="KDA119" s="198"/>
      <c r="KDB119" s="199"/>
      <c r="KDC119" s="198"/>
      <c r="KDD119" s="199"/>
      <c r="KDE119" s="198"/>
      <c r="KDF119" s="199"/>
      <c r="KDG119" s="198"/>
      <c r="KDH119" s="199"/>
      <c r="KDI119" s="198"/>
      <c r="KDJ119" s="199"/>
      <c r="KDK119" s="198"/>
      <c r="KDL119" s="199"/>
      <c r="KDM119" s="198"/>
      <c r="KDN119" s="199"/>
      <c r="KDO119" s="198"/>
      <c r="KDP119" s="199"/>
      <c r="KDQ119" s="198"/>
      <c r="KDR119" s="199"/>
      <c r="KDS119" s="198"/>
      <c r="KDT119" s="199"/>
      <c r="KDU119" s="198"/>
      <c r="KDV119" s="199"/>
      <c r="KDW119" s="198"/>
      <c r="KDX119" s="199"/>
      <c r="KDY119" s="198"/>
      <c r="KDZ119" s="199"/>
      <c r="KEA119" s="198"/>
      <c r="KEB119" s="199"/>
      <c r="KEC119" s="198"/>
      <c r="KED119" s="199"/>
      <c r="KEE119" s="198"/>
      <c r="KEF119" s="199"/>
      <c r="KEG119" s="198"/>
      <c r="KEH119" s="199"/>
      <c r="KEI119" s="198"/>
      <c r="KEJ119" s="199"/>
      <c r="KEK119" s="198"/>
      <c r="KEL119" s="199"/>
      <c r="KEM119" s="198"/>
      <c r="KEN119" s="199"/>
      <c r="KEO119" s="198"/>
      <c r="KEP119" s="199"/>
      <c r="KEQ119" s="198"/>
      <c r="KER119" s="199"/>
      <c r="KES119" s="198"/>
      <c r="KET119" s="199"/>
      <c r="KEU119" s="198"/>
      <c r="KEV119" s="199"/>
      <c r="KEW119" s="198"/>
      <c r="KEX119" s="199"/>
      <c r="KEY119" s="198"/>
      <c r="KEZ119" s="199"/>
      <c r="KFA119" s="198"/>
      <c r="KFB119" s="199"/>
      <c r="KFC119" s="198"/>
      <c r="KFD119" s="199"/>
      <c r="KFE119" s="198"/>
      <c r="KFF119" s="199"/>
      <c r="KFG119" s="198"/>
      <c r="KFH119" s="199"/>
      <c r="KFI119" s="198"/>
      <c r="KFJ119" s="199"/>
      <c r="KFK119" s="198"/>
      <c r="KFL119" s="199"/>
      <c r="KFM119" s="198"/>
      <c r="KFN119" s="199"/>
      <c r="KFO119" s="198"/>
      <c r="KFP119" s="199"/>
      <c r="KFQ119" s="198"/>
      <c r="KFR119" s="199"/>
      <c r="KFS119" s="198"/>
      <c r="KFT119" s="199"/>
      <c r="KFU119" s="198"/>
      <c r="KFV119" s="199"/>
      <c r="KFW119" s="198"/>
      <c r="KFX119" s="199"/>
      <c r="KFY119" s="198"/>
      <c r="KFZ119" s="199"/>
      <c r="KGA119" s="198"/>
      <c r="KGB119" s="199"/>
      <c r="KGC119" s="198"/>
      <c r="KGD119" s="199"/>
      <c r="KGE119" s="198"/>
      <c r="KGF119" s="199"/>
      <c r="KGG119" s="198"/>
      <c r="KGH119" s="199"/>
      <c r="KGI119" s="198"/>
      <c r="KGJ119" s="199"/>
      <c r="KGK119" s="198"/>
      <c r="KGL119" s="199"/>
      <c r="KGM119" s="198"/>
      <c r="KGN119" s="199"/>
      <c r="KGO119" s="198"/>
      <c r="KGP119" s="199"/>
      <c r="KGQ119" s="198"/>
      <c r="KGR119" s="199"/>
      <c r="KGS119" s="198"/>
      <c r="KGT119" s="199"/>
      <c r="KGU119" s="198"/>
      <c r="KGV119" s="199"/>
      <c r="KGW119" s="198"/>
      <c r="KGX119" s="199"/>
      <c r="KGY119" s="198"/>
      <c r="KGZ119" s="199"/>
      <c r="KHA119" s="198"/>
      <c r="KHB119" s="199"/>
      <c r="KHC119" s="198"/>
      <c r="KHD119" s="199"/>
      <c r="KHE119" s="198"/>
      <c r="KHF119" s="199"/>
      <c r="KHG119" s="198"/>
      <c r="KHH119" s="199"/>
      <c r="KHI119" s="198"/>
      <c r="KHJ119" s="199"/>
      <c r="KHK119" s="198"/>
      <c r="KHL119" s="199"/>
      <c r="KHM119" s="198"/>
      <c r="KHN119" s="199"/>
      <c r="KHO119" s="198"/>
      <c r="KHP119" s="199"/>
      <c r="KHQ119" s="198"/>
      <c r="KHR119" s="199"/>
      <c r="KHS119" s="198"/>
      <c r="KHT119" s="199"/>
      <c r="KHU119" s="198"/>
      <c r="KHV119" s="199"/>
      <c r="KHW119" s="198"/>
      <c r="KHX119" s="199"/>
      <c r="KHY119" s="198"/>
      <c r="KHZ119" s="199"/>
      <c r="KIA119" s="198"/>
      <c r="KIB119" s="199"/>
      <c r="KIC119" s="198"/>
      <c r="KID119" s="199"/>
      <c r="KIE119" s="198"/>
      <c r="KIF119" s="199"/>
      <c r="KIG119" s="198"/>
      <c r="KIH119" s="199"/>
      <c r="KII119" s="198"/>
      <c r="KIJ119" s="199"/>
      <c r="KIK119" s="198"/>
      <c r="KIL119" s="199"/>
      <c r="KIM119" s="198"/>
      <c r="KIN119" s="199"/>
      <c r="KIO119" s="198"/>
      <c r="KIP119" s="199"/>
      <c r="KIQ119" s="198"/>
      <c r="KIR119" s="199"/>
      <c r="KIS119" s="198"/>
      <c r="KIT119" s="199"/>
      <c r="KIU119" s="198"/>
      <c r="KIV119" s="199"/>
      <c r="KIW119" s="198"/>
      <c r="KIX119" s="199"/>
      <c r="KIY119" s="198"/>
      <c r="KIZ119" s="199"/>
      <c r="KJA119" s="198"/>
      <c r="KJB119" s="199"/>
      <c r="KJC119" s="198"/>
      <c r="KJD119" s="199"/>
      <c r="KJE119" s="198"/>
      <c r="KJF119" s="199"/>
      <c r="KJG119" s="198"/>
      <c r="KJH119" s="199"/>
      <c r="KJI119" s="198"/>
      <c r="KJJ119" s="199"/>
      <c r="KJK119" s="198"/>
      <c r="KJL119" s="199"/>
      <c r="KJM119" s="198"/>
      <c r="KJN119" s="199"/>
      <c r="KJO119" s="198"/>
      <c r="KJP119" s="199"/>
      <c r="KJQ119" s="198"/>
      <c r="KJR119" s="199"/>
      <c r="KJS119" s="198"/>
      <c r="KJT119" s="199"/>
      <c r="KJU119" s="198"/>
      <c r="KJV119" s="199"/>
      <c r="KJW119" s="198"/>
      <c r="KJX119" s="199"/>
      <c r="KJY119" s="198"/>
      <c r="KJZ119" s="199"/>
      <c r="KKA119" s="198"/>
      <c r="KKB119" s="199"/>
      <c r="KKC119" s="198"/>
      <c r="KKD119" s="199"/>
      <c r="KKE119" s="198"/>
      <c r="KKF119" s="199"/>
      <c r="KKG119" s="198"/>
      <c r="KKH119" s="199"/>
      <c r="KKI119" s="198"/>
      <c r="KKJ119" s="199"/>
      <c r="KKK119" s="198"/>
      <c r="KKL119" s="199"/>
      <c r="KKM119" s="198"/>
      <c r="KKN119" s="199"/>
      <c r="KKO119" s="198"/>
      <c r="KKP119" s="199"/>
      <c r="KKQ119" s="198"/>
      <c r="KKR119" s="199"/>
      <c r="KKS119" s="198"/>
      <c r="KKT119" s="199"/>
      <c r="KKU119" s="198"/>
      <c r="KKV119" s="199"/>
      <c r="KKW119" s="198"/>
      <c r="KKX119" s="199"/>
      <c r="KKY119" s="198"/>
      <c r="KKZ119" s="199"/>
      <c r="KLA119" s="198"/>
      <c r="KLB119" s="199"/>
      <c r="KLC119" s="198"/>
      <c r="KLD119" s="199"/>
      <c r="KLE119" s="198"/>
      <c r="KLF119" s="199"/>
      <c r="KLG119" s="198"/>
      <c r="KLH119" s="199"/>
      <c r="KLI119" s="198"/>
      <c r="KLJ119" s="199"/>
      <c r="KLK119" s="198"/>
      <c r="KLL119" s="199"/>
      <c r="KLM119" s="198"/>
      <c r="KLN119" s="199"/>
      <c r="KLO119" s="198"/>
      <c r="KLP119" s="199"/>
      <c r="KLQ119" s="198"/>
      <c r="KLR119" s="199"/>
      <c r="KLS119" s="198"/>
      <c r="KLT119" s="199"/>
      <c r="KLU119" s="198"/>
      <c r="KLV119" s="199"/>
      <c r="KLW119" s="198"/>
      <c r="KLX119" s="199"/>
      <c r="KLY119" s="198"/>
      <c r="KLZ119" s="199"/>
      <c r="KMA119" s="198"/>
      <c r="KMB119" s="199"/>
      <c r="KMC119" s="198"/>
      <c r="KMD119" s="199"/>
      <c r="KME119" s="198"/>
      <c r="KMF119" s="199"/>
      <c r="KMG119" s="198"/>
      <c r="KMH119" s="199"/>
      <c r="KMI119" s="198"/>
      <c r="KMJ119" s="199"/>
      <c r="KMK119" s="198"/>
      <c r="KML119" s="199"/>
      <c r="KMM119" s="198"/>
      <c r="KMN119" s="199"/>
      <c r="KMO119" s="198"/>
      <c r="KMP119" s="199"/>
      <c r="KMQ119" s="198"/>
      <c r="KMR119" s="199"/>
      <c r="KMS119" s="198"/>
      <c r="KMT119" s="199"/>
      <c r="KMU119" s="198"/>
      <c r="KMV119" s="199"/>
      <c r="KMW119" s="198"/>
      <c r="KMX119" s="199"/>
      <c r="KMY119" s="198"/>
      <c r="KMZ119" s="199"/>
      <c r="KNA119" s="198"/>
      <c r="KNB119" s="199"/>
      <c r="KNC119" s="198"/>
      <c r="KND119" s="199"/>
      <c r="KNE119" s="198"/>
      <c r="KNF119" s="199"/>
      <c r="KNG119" s="198"/>
      <c r="KNH119" s="199"/>
      <c r="KNI119" s="198"/>
      <c r="KNJ119" s="199"/>
      <c r="KNK119" s="198"/>
      <c r="KNL119" s="199"/>
      <c r="KNM119" s="198"/>
      <c r="KNN119" s="199"/>
      <c r="KNO119" s="198"/>
      <c r="KNP119" s="199"/>
      <c r="KNQ119" s="198"/>
      <c r="KNR119" s="199"/>
      <c r="KNS119" s="198"/>
      <c r="KNT119" s="199"/>
      <c r="KNU119" s="198"/>
      <c r="KNV119" s="199"/>
      <c r="KNW119" s="198"/>
      <c r="KNX119" s="199"/>
      <c r="KNY119" s="198"/>
      <c r="KNZ119" s="199"/>
      <c r="KOA119" s="198"/>
      <c r="KOB119" s="199"/>
      <c r="KOC119" s="198"/>
      <c r="KOD119" s="199"/>
      <c r="KOE119" s="198"/>
      <c r="KOF119" s="199"/>
      <c r="KOG119" s="198"/>
      <c r="KOH119" s="199"/>
      <c r="KOI119" s="198"/>
      <c r="KOJ119" s="199"/>
      <c r="KOK119" s="198"/>
      <c r="KOL119" s="199"/>
      <c r="KOM119" s="198"/>
      <c r="KON119" s="199"/>
      <c r="KOO119" s="198"/>
      <c r="KOP119" s="199"/>
      <c r="KOQ119" s="198"/>
      <c r="KOR119" s="199"/>
      <c r="KOS119" s="198"/>
      <c r="KOT119" s="199"/>
      <c r="KOU119" s="198"/>
      <c r="KOV119" s="199"/>
      <c r="KOW119" s="198"/>
      <c r="KOX119" s="199"/>
      <c r="KOY119" s="198"/>
      <c r="KOZ119" s="199"/>
      <c r="KPA119" s="198"/>
      <c r="KPB119" s="199"/>
      <c r="KPC119" s="198"/>
      <c r="KPD119" s="199"/>
      <c r="KPE119" s="198"/>
      <c r="KPF119" s="199"/>
      <c r="KPG119" s="198"/>
      <c r="KPH119" s="199"/>
      <c r="KPI119" s="198"/>
      <c r="KPJ119" s="199"/>
      <c r="KPK119" s="198"/>
      <c r="KPL119" s="199"/>
      <c r="KPM119" s="198"/>
      <c r="KPN119" s="199"/>
      <c r="KPO119" s="198"/>
      <c r="KPP119" s="199"/>
      <c r="KPQ119" s="198"/>
      <c r="KPR119" s="199"/>
      <c r="KPS119" s="198"/>
      <c r="KPT119" s="199"/>
      <c r="KPU119" s="198"/>
      <c r="KPV119" s="199"/>
      <c r="KPW119" s="198"/>
      <c r="KPX119" s="199"/>
      <c r="KPY119" s="198"/>
      <c r="KPZ119" s="199"/>
      <c r="KQA119" s="198"/>
      <c r="KQB119" s="199"/>
      <c r="KQC119" s="198"/>
      <c r="KQD119" s="199"/>
      <c r="KQE119" s="198"/>
      <c r="KQF119" s="199"/>
      <c r="KQG119" s="198"/>
      <c r="KQH119" s="199"/>
      <c r="KQI119" s="198"/>
      <c r="KQJ119" s="199"/>
      <c r="KQK119" s="198"/>
      <c r="KQL119" s="199"/>
      <c r="KQM119" s="198"/>
      <c r="KQN119" s="199"/>
      <c r="KQO119" s="198"/>
      <c r="KQP119" s="199"/>
      <c r="KQQ119" s="198"/>
      <c r="KQR119" s="199"/>
      <c r="KQS119" s="198"/>
      <c r="KQT119" s="199"/>
      <c r="KQU119" s="198"/>
      <c r="KQV119" s="199"/>
      <c r="KQW119" s="198"/>
      <c r="KQX119" s="199"/>
      <c r="KQY119" s="198"/>
      <c r="KQZ119" s="199"/>
      <c r="KRA119" s="198"/>
      <c r="KRB119" s="199"/>
      <c r="KRC119" s="198"/>
      <c r="KRD119" s="199"/>
      <c r="KRE119" s="198"/>
      <c r="KRF119" s="199"/>
      <c r="KRG119" s="198"/>
      <c r="KRH119" s="199"/>
      <c r="KRI119" s="198"/>
      <c r="KRJ119" s="199"/>
      <c r="KRK119" s="198"/>
      <c r="KRL119" s="199"/>
      <c r="KRM119" s="198"/>
      <c r="KRN119" s="199"/>
      <c r="KRO119" s="198"/>
      <c r="KRP119" s="199"/>
      <c r="KRQ119" s="198"/>
      <c r="KRR119" s="199"/>
      <c r="KRS119" s="198"/>
      <c r="KRT119" s="199"/>
      <c r="KRU119" s="198"/>
      <c r="KRV119" s="199"/>
      <c r="KRW119" s="198"/>
      <c r="KRX119" s="199"/>
      <c r="KRY119" s="198"/>
      <c r="KRZ119" s="199"/>
      <c r="KSA119" s="198"/>
      <c r="KSB119" s="199"/>
      <c r="KSC119" s="198"/>
      <c r="KSD119" s="199"/>
      <c r="KSE119" s="198"/>
      <c r="KSF119" s="199"/>
      <c r="KSG119" s="198"/>
      <c r="KSH119" s="199"/>
      <c r="KSI119" s="198"/>
      <c r="KSJ119" s="199"/>
      <c r="KSK119" s="198"/>
      <c r="KSL119" s="199"/>
      <c r="KSM119" s="198"/>
      <c r="KSN119" s="199"/>
      <c r="KSO119" s="198"/>
      <c r="KSP119" s="199"/>
      <c r="KSQ119" s="198"/>
      <c r="KSR119" s="199"/>
      <c r="KSS119" s="198"/>
      <c r="KST119" s="199"/>
      <c r="KSU119" s="198"/>
      <c r="KSV119" s="199"/>
      <c r="KSW119" s="198"/>
      <c r="KSX119" s="199"/>
      <c r="KSY119" s="198"/>
      <c r="KSZ119" s="199"/>
      <c r="KTA119" s="198"/>
      <c r="KTB119" s="199"/>
      <c r="KTC119" s="198"/>
      <c r="KTD119" s="199"/>
      <c r="KTE119" s="198"/>
      <c r="KTF119" s="199"/>
      <c r="KTG119" s="198"/>
      <c r="KTH119" s="199"/>
      <c r="KTI119" s="198"/>
      <c r="KTJ119" s="199"/>
      <c r="KTK119" s="198"/>
      <c r="KTL119" s="199"/>
      <c r="KTM119" s="198"/>
      <c r="KTN119" s="199"/>
      <c r="KTO119" s="198"/>
      <c r="KTP119" s="199"/>
      <c r="KTQ119" s="198"/>
      <c r="KTR119" s="199"/>
      <c r="KTS119" s="198"/>
      <c r="KTT119" s="199"/>
      <c r="KTU119" s="198"/>
      <c r="KTV119" s="199"/>
      <c r="KTW119" s="198"/>
      <c r="KTX119" s="199"/>
      <c r="KTY119" s="198"/>
      <c r="KTZ119" s="199"/>
      <c r="KUA119" s="198"/>
      <c r="KUB119" s="199"/>
      <c r="KUC119" s="198"/>
      <c r="KUD119" s="199"/>
      <c r="KUE119" s="198"/>
      <c r="KUF119" s="199"/>
      <c r="KUG119" s="198"/>
      <c r="KUH119" s="199"/>
      <c r="KUI119" s="198"/>
      <c r="KUJ119" s="199"/>
      <c r="KUK119" s="198"/>
      <c r="KUL119" s="199"/>
      <c r="KUM119" s="198"/>
      <c r="KUN119" s="199"/>
      <c r="KUO119" s="198"/>
      <c r="KUP119" s="199"/>
      <c r="KUQ119" s="198"/>
      <c r="KUR119" s="199"/>
      <c r="KUS119" s="198"/>
      <c r="KUT119" s="199"/>
      <c r="KUU119" s="198"/>
      <c r="KUV119" s="199"/>
      <c r="KUW119" s="198"/>
      <c r="KUX119" s="199"/>
      <c r="KUY119" s="198"/>
      <c r="KUZ119" s="199"/>
      <c r="KVA119" s="198"/>
      <c r="KVB119" s="199"/>
      <c r="KVC119" s="198"/>
      <c r="KVD119" s="199"/>
      <c r="KVE119" s="198"/>
      <c r="KVF119" s="199"/>
      <c r="KVG119" s="198"/>
      <c r="KVH119" s="199"/>
      <c r="KVI119" s="198"/>
      <c r="KVJ119" s="199"/>
      <c r="KVK119" s="198"/>
      <c r="KVL119" s="199"/>
      <c r="KVM119" s="198"/>
      <c r="KVN119" s="199"/>
      <c r="KVO119" s="198"/>
      <c r="KVP119" s="199"/>
      <c r="KVQ119" s="198"/>
      <c r="KVR119" s="199"/>
      <c r="KVS119" s="198"/>
      <c r="KVT119" s="199"/>
      <c r="KVU119" s="198"/>
      <c r="KVV119" s="199"/>
      <c r="KVW119" s="198"/>
      <c r="KVX119" s="199"/>
      <c r="KVY119" s="198"/>
      <c r="KVZ119" s="199"/>
      <c r="KWA119" s="198"/>
      <c r="KWB119" s="199"/>
      <c r="KWC119" s="198"/>
      <c r="KWD119" s="199"/>
      <c r="KWE119" s="198"/>
      <c r="KWF119" s="199"/>
      <c r="KWG119" s="198"/>
      <c r="KWH119" s="199"/>
      <c r="KWI119" s="198"/>
      <c r="KWJ119" s="199"/>
      <c r="KWK119" s="198"/>
      <c r="KWL119" s="199"/>
      <c r="KWM119" s="198"/>
      <c r="KWN119" s="199"/>
      <c r="KWO119" s="198"/>
      <c r="KWP119" s="199"/>
      <c r="KWQ119" s="198"/>
      <c r="KWR119" s="199"/>
      <c r="KWS119" s="198"/>
      <c r="KWT119" s="199"/>
      <c r="KWU119" s="198"/>
      <c r="KWV119" s="199"/>
      <c r="KWW119" s="198"/>
      <c r="KWX119" s="199"/>
      <c r="KWY119" s="198"/>
      <c r="KWZ119" s="199"/>
      <c r="KXA119" s="198"/>
      <c r="KXB119" s="199"/>
      <c r="KXC119" s="198"/>
      <c r="KXD119" s="199"/>
      <c r="KXE119" s="198"/>
      <c r="KXF119" s="199"/>
      <c r="KXG119" s="198"/>
      <c r="KXH119" s="199"/>
      <c r="KXI119" s="198"/>
      <c r="KXJ119" s="199"/>
      <c r="KXK119" s="198"/>
      <c r="KXL119" s="199"/>
      <c r="KXM119" s="198"/>
      <c r="KXN119" s="199"/>
      <c r="KXO119" s="198"/>
      <c r="KXP119" s="199"/>
      <c r="KXQ119" s="198"/>
      <c r="KXR119" s="199"/>
      <c r="KXS119" s="198"/>
      <c r="KXT119" s="199"/>
      <c r="KXU119" s="198"/>
      <c r="KXV119" s="199"/>
      <c r="KXW119" s="198"/>
      <c r="KXX119" s="199"/>
      <c r="KXY119" s="198"/>
      <c r="KXZ119" s="199"/>
      <c r="KYA119" s="198"/>
      <c r="KYB119" s="199"/>
      <c r="KYC119" s="198"/>
      <c r="KYD119" s="199"/>
      <c r="KYE119" s="198"/>
      <c r="KYF119" s="199"/>
      <c r="KYG119" s="198"/>
      <c r="KYH119" s="199"/>
      <c r="KYI119" s="198"/>
      <c r="KYJ119" s="199"/>
      <c r="KYK119" s="198"/>
      <c r="KYL119" s="199"/>
      <c r="KYM119" s="198"/>
      <c r="KYN119" s="199"/>
      <c r="KYO119" s="198"/>
      <c r="KYP119" s="199"/>
      <c r="KYQ119" s="198"/>
      <c r="KYR119" s="199"/>
      <c r="KYS119" s="198"/>
      <c r="KYT119" s="199"/>
      <c r="KYU119" s="198"/>
      <c r="KYV119" s="199"/>
      <c r="KYW119" s="198"/>
      <c r="KYX119" s="199"/>
      <c r="KYY119" s="198"/>
      <c r="KYZ119" s="199"/>
      <c r="KZA119" s="198"/>
      <c r="KZB119" s="199"/>
      <c r="KZC119" s="198"/>
      <c r="KZD119" s="199"/>
      <c r="KZE119" s="198"/>
      <c r="KZF119" s="199"/>
      <c r="KZG119" s="198"/>
      <c r="KZH119" s="199"/>
      <c r="KZI119" s="198"/>
      <c r="KZJ119" s="199"/>
      <c r="KZK119" s="198"/>
      <c r="KZL119" s="199"/>
      <c r="KZM119" s="198"/>
      <c r="KZN119" s="199"/>
      <c r="KZO119" s="198"/>
      <c r="KZP119" s="199"/>
      <c r="KZQ119" s="198"/>
      <c r="KZR119" s="199"/>
      <c r="KZS119" s="198"/>
      <c r="KZT119" s="199"/>
      <c r="KZU119" s="198"/>
      <c r="KZV119" s="199"/>
      <c r="KZW119" s="198"/>
      <c r="KZX119" s="199"/>
      <c r="KZY119" s="198"/>
      <c r="KZZ119" s="199"/>
      <c r="LAA119" s="198"/>
      <c r="LAB119" s="199"/>
      <c r="LAC119" s="198"/>
      <c r="LAD119" s="199"/>
      <c r="LAE119" s="198"/>
      <c r="LAF119" s="199"/>
      <c r="LAG119" s="198"/>
      <c r="LAH119" s="199"/>
      <c r="LAI119" s="198"/>
      <c r="LAJ119" s="199"/>
      <c r="LAK119" s="198"/>
      <c r="LAL119" s="199"/>
      <c r="LAM119" s="198"/>
      <c r="LAN119" s="199"/>
      <c r="LAO119" s="198"/>
      <c r="LAP119" s="199"/>
      <c r="LAQ119" s="198"/>
      <c r="LAR119" s="199"/>
      <c r="LAS119" s="198"/>
      <c r="LAT119" s="199"/>
      <c r="LAU119" s="198"/>
      <c r="LAV119" s="199"/>
      <c r="LAW119" s="198"/>
      <c r="LAX119" s="199"/>
      <c r="LAY119" s="198"/>
      <c r="LAZ119" s="199"/>
      <c r="LBA119" s="198"/>
      <c r="LBB119" s="199"/>
      <c r="LBC119" s="198"/>
      <c r="LBD119" s="199"/>
      <c r="LBE119" s="198"/>
      <c r="LBF119" s="199"/>
      <c r="LBG119" s="198"/>
      <c r="LBH119" s="199"/>
      <c r="LBI119" s="198"/>
      <c r="LBJ119" s="199"/>
      <c r="LBK119" s="198"/>
      <c r="LBL119" s="199"/>
      <c r="LBM119" s="198"/>
      <c r="LBN119" s="199"/>
      <c r="LBO119" s="198"/>
      <c r="LBP119" s="199"/>
      <c r="LBQ119" s="198"/>
      <c r="LBR119" s="199"/>
      <c r="LBS119" s="198"/>
      <c r="LBT119" s="199"/>
      <c r="LBU119" s="198"/>
      <c r="LBV119" s="199"/>
      <c r="LBW119" s="198"/>
      <c r="LBX119" s="199"/>
      <c r="LBY119" s="198"/>
      <c r="LBZ119" s="199"/>
      <c r="LCA119" s="198"/>
      <c r="LCB119" s="199"/>
      <c r="LCC119" s="198"/>
      <c r="LCD119" s="199"/>
      <c r="LCE119" s="198"/>
      <c r="LCF119" s="199"/>
      <c r="LCG119" s="198"/>
      <c r="LCH119" s="199"/>
      <c r="LCI119" s="198"/>
      <c r="LCJ119" s="199"/>
      <c r="LCK119" s="198"/>
      <c r="LCL119" s="199"/>
      <c r="LCM119" s="198"/>
      <c r="LCN119" s="199"/>
      <c r="LCO119" s="198"/>
      <c r="LCP119" s="199"/>
      <c r="LCQ119" s="198"/>
      <c r="LCR119" s="199"/>
      <c r="LCS119" s="198"/>
      <c r="LCT119" s="199"/>
      <c r="LCU119" s="198"/>
      <c r="LCV119" s="199"/>
      <c r="LCW119" s="198"/>
      <c r="LCX119" s="199"/>
      <c r="LCY119" s="198"/>
      <c r="LCZ119" s="199"/>
      <c r="LDA119" s="198"/>
      <c r="LDB119" s="199"/>
      <c r="LDC119" s="198"/>
      <c r="LDD119" s="199"/>
      <c r="LDE119" s="198"/>
      <c r="LDF119" s="199"/>
      <c r="LDG119" s="198"/>
      <c r="LDH119" s="199"/>
      <c r="LDI119" s="198"/>
      <c r="LDJ119" s="199"/>
      <c r="LDK119" s="198"/>
      <c r="LDL119" s="199"/>
      <c r="LDM119" s="198"/>
      <c r="LDN119" s="199"/>
      <c r="LDO119" s="198"/>
      <c r="LDP119" s="199"/>
      <c r="LDQ119" s="198"/>
      <c r="LDR119" s="199"/>
      <c r="LDS119" s="198"/>
      <c r="LDT119" s="199"/>
      <c r="LDU119" s="198"/>
      <c r="LDV119" s="199"/>
      <c r="LDW119" s="198"/>
      <c r="LDX119" s="199"/>
      <c r="LDY119" s="198"/>
      <c r="LDZ119" s="199"/>
      <c r="LEA119" s="198"/>
      <c r="LEB119" s="199"/>
      <c r="LEC119" s="198"/>
      <c r="LED119" s="199"/>
      <c r="LEE119" s="198"/>
      <c r="LEF119" s="199"/>
      <c r="LEG119" s="198"/>
      <c r="LEH119" s="199"/>
      <c r="LEI119" s="198"/>
      <c r="LEJ119" s="199"/>
      <c r="LEK119" s="198"/>
      <c r="LEL119" s="199"/>
      <c r="LEM119" s="198"/>
      <c r="LEN119" s="199"/>
      <c r="LEO119" s="198"/>
      <c r="LEP119" s="199"/>
      <c r="LEQ119" s="198"/>
      <c r="LER119" s="199"/>
      <c r="LES119" s="198"/>
      <c r="LET119" s="199"/>
      <c r="LEU119" s="198"/>
      <c r="LEV119" s="199"/>
      <c r="LEW119" s="198"/>
      <c r="LEX119" s="199"/>
      <c r="LEY119" s="198"/>
      <c r="LEZ119" s="199"/>
      <c r="LFA119" s="198"/>
      <c r="LFB119" s="199"/>
      <c r="LFC119" s="198"/>
      <c r="LFD119" s="199"/>
      <c r="LFE119" s="198"/>
      <c r="LFF119" s="199"/>
      <c r="LFG119" s="198"/>
      <c r="LFH119" s="199"/>
      <c r="LFI119" s="198"/>
      <c r="LFJ119" s="199"/>
      <c r="LFK119" s="198"/>
      <c r="LFL119" s="199"/>
      <c r="LFM119" s="198"/>
      <c r="LFN119" s="199"/>
      <c r="LFO119" s="198"/>
      <c r="LFP119" s="199"/>
      <c r="LFQ119" s="198"/>
      <c r="LFR119" s="199"/>
      <c r="LFS119" s="198"/>
      <c r="LFT119" s="199"/>
      <c r="LFU119" s="198"/>
      <c r="LFV119" s="199"/>
      <c r="LFW119" s="198"/>
      <c r="LFX119" s="199"/>
      <c r="LFY119" s="198"/>
      <c r="LFZ119" s="199"/>
      <c r="LGA119" s="198"/>
      <c r="LGB119" s="199"/>
      <c r="LGC119" s="198"/>
      <c r="LGD119" s="199"/>
      <c r="LGE119" s="198"/>
      <c r="LGF119" s="199"/>
      <c r="LGG119" s="198"/>
      <c r="LGH119" s="199"/>
      <c r="LGI119" s="198"/>
      <c r="LGJ119" s="199"/>
      <c r="LGK119" s="198"/>
      <c r="LGL119" s="199"/>
      <c r="LGM119" s="198"/>
      <c r="LGN119" s="199"/>
      <c r="LGO119" s="198"/>
      <c r="LGP119" s="199"/>
      <c r="LGQ119" s="198"/>
      <c r="LGR119" s="199"/>
      <c r="LGS119" s="198"/>
      <c r="LGT119" s="199"/>
      <c r="LGU119" s="198"/>
      <c r="LGV119" s="199"/>
      <c r="LGW119" s="198"/>
      <c r="LGX119" s="199"/>
      <c r="LGY119" s="198"/>
      <c r="LGZ119" s="199"/>
      <c r="LHA119" s="198"/>
      <c r="LHB119" s="199"/>
      <c r="LHC119" s="198"/>
      <c r="LHD119" s="199"/>
      <c r="LHE119" s="198"/>
      <c r="LHF119" s="199"/>
      <c r="LHG119" s="198"/>
      <c r="LHH119" s="199"/>
      <c r="LHI119" s="198"/>
      <c r="LHJ119" s="199"/>
      <c r="LHK119" s="198"/>
      <c r="LHL119" s="199"/>
      <c r="LHM119" s="198"/>
      <c r="LHN119" s="199"/>
      <c r="LHO119" s="198"/>
      <c r="LHP119" s="199"/>
      <c r="LHQ119" s="198"/>
      <c r="LHR119" s="199"/>
      <c r="LHS119" s="198"/>
      <c r="LHT119" s="199"/>
      <c r="LHU119" s="198"/>
      <c r="LHV119" s="199"/>
      <c r="LHW119" s="198"/>
      <c r="LHX119" s="199"/>
      <c r="LHY119" s="198"/>
      <c r="LHZ119" s="199"/>
      <c r="LIA119" s="198"/>
      <c r="LIB119" s="199"/>
      <c r="LIC119" s="198"/>
      <c r="LID119" s="199"/>
      <c r="LIE119" s="198"/>
      <c r="LIF119" s="199"/>
      <c r="LIG119" s="198"/>
      <c r="LIH119" s="199"/>
      <c r="LII119" s="198"/>
      <c r="LIJ119" s="199"/>
      <c r="LIK119" s="198"/>
      <c r="LIL119" s="199"/>
      <c r="LIM119" s="198"/>
      <c r="LIN119" s="199"/>
      <c r="LIO119" s="198"/>
      <c r="LIP119" s="199"/>
      <c r="LIQ119" s="198"/>
      <c r="LIR119" s="199"/>
      <c r="LIS119" s="198"/>
      <c r="LIT119" s="199"/>
      <c r="LIU119" s="198"/>
      <c r="LIV119" s="199"/>
      <c r="LIW119" s="198"/>
      <c r="LIX119" s="199"/>
      <c r="LIY119" s="198"/>
      <c r="LIZ119" s="199"/>
      <c r="LJA119" s="198"/>
      <c r="LJB119" s="199"/>
      <c r="LJC119" s="198"/>
      <c r="LJD119" s="199"/>
      <c r="LJE119" s="198"/>
      <c r="LJF119" s="199"/>
      <c r="LJG119" s="198"/>
      <c r="LJH119" s="199"/>
      <c r="LJI119" s="198"/>
      <c r="LJJ119" s="199"/>
      <c r="LJK119" s="198"/>
      <c r="LJL119" s="199"/>
      <c r="LJM119" s="198"/>
      <c r="LJN119" s="199"/>
      <c r="LJO119" s="198"/>
      <c r="LJP119" s="199"/>
      <c r="LJQ119" s="198"/>
      <c r="LJR119" s="199"/>
      <c r="LJS119" s="198"/>
      <c r="LJT119" s="199"/>
      <c r="LJU119" s="198"/>
      <c r="LJV119" s="199"/>
      <c r="LJW119" s="198"/>
      <c r="LJX119" s="199"/>
      <c r="LJY119" s="198"/>
      <c r="LJZ119" s="199"/>
      <c r="LKA119" s="198"/>
      <c r="LKB119" s="199"/>
      <c r="LKC119" s="198"/>
      <c r="LKD119" s="199"/>
      <c r="LKE119" s="198"/>
      <c r="LKF119" s="199"/>
      <c r="LKG119" s="198"/>
      <c r="LKH119" s="199"/>
      <c r="LKI119" s="198"/>
      <c r="LKJ119" s="199"/>
      <c r="LKK119" s="198"/>
      <c r="LKL119" s="199"/>
      <c r="LKM119" s="198"/>
      <c r="LKN119" s="199"/>
      <c r="LKO119" s="198"/>
      <c r="LKP119" s="199"/>
      <c r="LKQ119" s="198"/>
      <c r="LKR119" s="199"/>
      <c r="LKS119" s="198"/>
      <c r="LKT119" s="199"/>
      <c r="LKU119" s="198"/>
      <c r="LKV119" s="199"/>
      <c r="LKW119" s="198"/>
      <c r="LKX119" s="199"/>
      <c r="LKY119" s="198"/>
      <c r="LKZ119" s="199"/>
      <c r="LLA119" s="198"/>
      <c r="LLB119" s="199"/>
      <c r="LLC119" s="198"/>
      <c r="LLD119" s="199"/>
      <c r="LLE119" s="198"/>
      <c r="LLF119" s="199"/>
      <c r="LLG119" s="198"/>
      <c r="LLH119" s="199"/>
      <c r="LLI119" s="198"/>
      <c r="LLJ119" s="199"/>
      <c r="LLK119" s="198"/>
      <c r="LLL119" s="199"/>
      <c r="LLM119" s="198"/>
      <c r="LLN119" s="199"/>
      <c r="LLO119" s="198"/>
      <c r="LLP119" s="199"/>
      <c r="LLQ119" s="198"/>
      <c r="LLR119" s="199"/>
      <c r="LLS119" s="198"/>
      <c r="LLT119" s="199"/>
      <c r="LLU119" s="198"/>
      <c r="LLV119" s="199"/>
      <c r="LLW119" s="198"/>
      <c r="LLX119" s="199"/>
      <c r="LLY119" s="198"/>
      <c r="LLZ119" s="199"/>
      <c r="LMA119" s="198"/>
      <c r="LMB119" s="199"/>
      <c r="LMC119" s="198"/>
      <c r="LMD119" s="199"/>
      <c r="LME119" s="198"/>
      <c r="LMF119" s="199"/>
      <c r="LMG119" s="198"/>
      <c r="LMH119" s="199"/>
      <c r="LMI119" s="198"/>
      <c r="LMJ119" s="199"/>
      <c r="LMK119" s="198"/>
      <c r="LML119" s="199"/>
      <c r="LMM119" s="198"/>
      <c r="LMN119" s="199"/>
      <c r="LMO119" s="198"/>
      <c r="LMP119" s="199"/>
      <c r="LMQ119" s="198"/>
      <c r="LMR119" s="199"/>
      <c r="LMS119" s="198"/>
      <c r="LMT119" s="199"/>
      <c r="LMU119" s="198"/>
      <c r="LMV119" s="199"/>
      <c r="LMW119" s="198"/>
      <c r="LMX119" s="199"/>
      <c r="LMY119" s="198"/>
      <c r="LMZ119" s="199"/>
      <c r="LNA119" s="198"/>
      <c r="LNB119" s="199"/>
      <c r="LNC119" s="198"/>
      <c r="LND119" s="199"/>
      <c r="LNE119" s="198"/>
      <c r="LNF119" s="199"/>
      <c r="LNG119" s="198"/>
      <c r="LNH119" s="199"/>
      <c r="LNI119" s="198"/>
      <c r="LNJ119" s="199"/>
      <c r="LNK119" s="198"/>
      <c r="LNL119" s="199"/>
      <c r="LNM119" s="198"/>
      <c r="LNN119" s="199"/>
      <c r="LNO119" s="198"/>
      <c r="LNP119" s="199"/>
      <c r="LNQ119" s="198"/>
      <c r="LNR119" s="199"/>
      <c r="LNS119" s="198"/>
      <c r="LNT119" s="199"/>
      <c r="LNU119" s="198"/>
      <c r="LNV119" s="199"/>
      <c r="LNW119" s="198"/>
      <c r="LNX119" s="199"/>
      <c r="LNY119" s="198"/>
      <c r="LNZ119" s="199"/>
      <c r="LOA119" s="198"/>
      <c r="LOB119" s="199"/>
      <c r="LOC119" s="198"/>
      <c r="LOD119" s="199"/>
      <c r="LOE119" s="198"/>
      <c r="LOF119" s="199"/>
      <c r="LOG119" s="198"/>
      <c r="LOH119" s="199"/>
      <c r="LOI119" s="198"/>
      <c r="LOJ119" s="199"/>
      <c r="LOK119" s="198"/>
      <c r="LOL119" s="199"/>
      <c r="LOM119" s="198"/>
      <c r="LON119" s="199"/>
      <c r="LOO119" s="198"/>
      <c r="LOP119" s="199"/>
      <c r="LOQ119" s="198"/>
      <c r="LOR119" s="199"/>
      <c r="LOS119" s="198"/>
      <c r="LOT119" s="199"/>
      <c r="LOU119" s="198"/>
      <c r="LOV119" s="199"/>
      <c r="LOW119" s="198"/>
      <c r="LOX119" s="199"/>
      <c r="LOY119" s="198"/>
      <c r="LOZ119" s="199"/>
      <c r="LPA119" s="198"/>
      <c r="LPB119" s="199"/>
      <c r="LPC119" s="198"/>
      <c r="LPD119" s="199"/>
      <c r="LPE119" s="198"/>
      <c r="LPF119" s="199"/>
      <c r="LPG119" s="198"/>
      <c r="LPH119" s="199"/>
      <c r="LPI119" s="198"/>
      <c r="LPJ119" s="199"/>
      <c r="LPK119" s="198"/>
      <c r="LPL119" s="199"/>
      <c r="LPM119" s="198"/>
      <c r="LPN119" s="199"/>
      <c r="LPO119" s="198"/>
      <c r="LPP119" s="199"/>
      <c r="LPQ119" s="198"/>
      <c r="LPR119" s="199"/>
      <c r="LPS119" s="198"/>
      <c r="LPT119" s="199"/>
      <c r="LPU119" s="198"/>
      <c r="LPV119" s="199"/>
      <c r="LPW119" s="198"/>
      <c r="LPX119" s="199"/>
      <c r="LPY119" s="198"/>
      <c r="LPZ119" s="199"/>
      <c r="LQA119" s="198"/>
      <c r="LQB119" s="199"/>
      <c r="LQC119" s="198"/>
      <c r="LQD119" s="199"/>
      <c r="LQE119" s="198"/>
      <c r="LQF119" s="199"/>
      <c r="LQG119" s="198"/>
      <c r="LQH119" s="199"/>
      <c r="LQI119" s="198"/>
      <c r="LQJ119" s="199"/>
      <c r="LQK119" s="198"/>
      <c r="LQL119" s="199"/>
      <c r="LQM119" s="198"/>
      <c r="LQN119" s="199"/>
      <c r="LQO119" s="198"/>
      <c r="LQP119" s="199"/>
      <c r="LQQ119" s="198"/>
      <c r="LQR119" s="199"/>
      <c r="LQS119" s="198"/>
      <c r="LQT119" s="199"/>
      <c r="LQU119" s="198"/>
      <c r="LQV119" s="199"/>
      <c r="LQW119" s="198"/>
      <c r="LQX119" s="199"/>
      <c r="LQY119" s="198"/>
      <c r="LQZ119" s="199"/>
      <c r="LRA119" s="198"/>
      <c r="LRB119" s="199"/>
      <c r="LRC119" s="198"/>
      <c r="LRD119" s="199"/>
      <c r="LRE119" s="198"/>
      <c r="LRF119" s="199"/>
      <c r="LRG119" s="198"/>
      <c r="LRH119" s="199"/>
      <c r="LRI119" s="198"/>
      <c r="LRJ119" s="199"/>
      <c r="LRK119" s="198"/>
      <c r="LRL119" s="199"/>
      <c r="LRM119" s="198"/>
      <c r="LRN119" s="199"/>
      <c r="LRO119" s="198"/>
      <c r="LRP119" s="199"/>
      <c r="LRQ119" s="198"/>
      <c r="LRR119" s="199"/>
      <c r="LRS119" s="198"/>
      <c r="LRT119" s="199"/>
      <c r="LRU119" s="198"/>
      <c r="LRV119" s="199"/>
      <c r="LRW119" s="198"/>
      <c r="LRX119" s="199"/>
      <c r="LRY119" s="198"/>
      <c r="LRZ119" s="199"/>
      <c r="LSA119" s="198"/>
      <c r="LSB119" s="199"/>
      <c r="LSC119" s="198"/>
      <c r="LSD119" s="199"/>
      <c r="LSE119" s="198"/>
      <c r="LSF119" s="199"/>
      <c r="LSG119" s="198"/>
      <c r="LSH119" s="199"/>
      <c r="LSI119" s="198"/>
      <c r="LSJ119" s="199"/>
      <c r="LSK119" s="198"/>
      <c r="LSL119" s="199"/>
      <c r="LSM119" s="198"/>
      <c r="LSN119" s="199"/>
      <c r="LSO119" s="198"/>
      <c r="LSP119" s="199"/>
      <c r="LSQ119" s="198"/>
      <c r="LSR119" s="199"/>
      <c r="LSS119" s="198"/>
      <c r="LST119" s="199"/>
      <c r="LSU119" s="198"/>
      <c r="LSV119" s="199"/>
      <c r="LSW119" s="198"/>
      <c r="LSX119" s="199"/>
      <c r="LSY119" s="198"/>
      <c r="LSZ119" s="199"/>
      <c r="LTA119" s="198"/>
      <c r="LTB119" s="199"/>
      <c r="LTC119" s="198"/>
      <c r="LTD119" s="199"/>
      <c r="LTE119" s="198"/>
      <c r="LTF119" s="199"/>
      <c r="LTG119" s="198"/>
      <c r="LTH119" s="199"/>
      <c r="LTI119" s="198"/>
      <c r="LTJ119" s="199"/>
      <c r="LTK119" s="198"/>
      <c r="LTL119" s="199"/>
      <c r="LTM119" s="198"/>
      <c r="LTN119" s="199"/>
      <c r="LTO119" s="198"/>
      <c r="LTP119" s="199"/>
      <c r="LTQ119" s="198"/>
      <c r="LTR119" s="199"/>
      <c r="LTS119" s="198"/>
      <c r="LTT119" s="199"/>
      <c r="LTU119" s="198"/>
      <c r="LTV119" s="199"/>
      <c r="LTW119" s="198"/>
      <c r="LTX119" s="199"/>
      <c r="LTY119" s="198"/>
      <c r="LTZ119" s="199"/>
      <c r="LUA119" s="198"/>
      <c r="LUB119" s="199"/>
      <c r="LUC119" s="198"/>
      <c r="LUD119" s="199"/>
      <c r="LUE119" s="198"/>
      <c r="LUF119" s="199"/>
      <c r="LUG119" s="198"/>
      <c r="LUH119" s="199"/>
      <c r="LUI119" s="198"/>
      <c r="LUJ119" s="199"/>
      <c r="LUK119" s="198"/>
      <c r="LUL119" s="199"/>
      <c r="LUM119" s="198"/>
      <c r="LUN119" s="199"/>
      <c r="LUO119" s="198"/>
      <c r="LUP119" s="199"/>
      <c r="LUQ119" s="198"/>
      <c r="LUR119" s="199"/>
      <c r="LUS119" s="198"/>
      <c r="LUT119" s="199"/>
      <c r="LUU119" s="198"/>
      <c r="LUV119" s="199"/>
      <c r="LUW119" s="198"/>
      <c r="LUX119" s="199"/>
      <c r="LUY119" s="198"/>
      <c r="LUZ119" s="199"/>
      <c r="LVA119" s="198"/>
      <c r="LVB119" s="199"/>
      <c r="LVC119" s="198"/>
      <c r="LVD119" s="199"/>
      <c r="LVE119" s="198"/>
      <c r="LVF119" s="199"/>
      <c r="LVG119" s="198"/>
      <c r="LVH119" s="199"/>
      <c r="LVI119" s="198"/>
      <c r="LVJ119" s="199"/>
      <c r="LVK119" s="198"/>
      <c r="LVL119" s="199"/>
      <c r="LVM119" s="198"/>
      <c r="LVN119" s="199"/>
      <c r="LVO119" s="198"/>
      <c r="LVP119" s="199"/>
      <c r="LVQ119" s="198"/>
      <c r="LVR119" s="199"/>
      <c r="LVS119" s="198"/>
      <c r="LVT119" s="199"/>
      <c r="LVU119" s="198"/>
      <c r="LVV119" s="199"/>
      <c r="LVW119" s="198"/>
      <c r="LVX119" s="199"/>
      <c r="LVY119" s="198"/>
      <c r="LVZ119" s="199"/>
      <c r="LWA119" s="198"/>
      <c r="LWB119" s="199"/>
      <c r="LWC119" s="198"/>
      <c r="LWD119" s="199"/>
      <c r="LWE119" s="198"/>
      <c r="LWF119" s="199"/>
      <c r="LWG119" s="198"/>
      <c r="LWH119" s="199"/>
      <c r="LWI119" s="198"/>
      <c r="LWJ119" s="199"/>
      <c r="LWK119" s="198"/>
      <c r="LWL119" s="199"/>
      <c r="LWM119" s="198"/>
      <c r="LWN119" s="199"/>
      <c r="LWO119" s="198"/>
      <c r="LWP119" s="199"/>
      <c r="LWQ119" s="198"/>
      <c r="LWR119" s="199"/>
      <c r="LWS119" s="198"/>
      <c r="LWT119" s="199"/>
      <c r="LWU119" s="198"/>
      <c r="LWV119" s="199"/>
      <c r="LWW119" s="198"/>
      <c r="LWX119" s="199"/>
      <c r="LWY119" s="198"/>
      <c r="LWZ119" s="199"/>
      <c r="LXA119" s="198"/>
      <c r="LXB119" s="199"/>
      <c r="LXC119" s="198"/>
      <c r="LXD119" s="199"/>
      <c r="LXE119" s="198"/>
      <c r="LXF119" s="199"/>
      <c r="LXG119" s="198"/>
      <c r="LXH119" s="199"/>
      <c r="LXI119" s="198"/>
      <c r="LXJ119" s="199"/>
      <c r="LXK119" s="198"/>
      <c r="LXL119" s="199"/>
      <c r="LXM119" s="198"/>
      <c r="LXN119" s="199"/>
      <c r="LXO119" s="198"/>
      <c r="LXP119" s="199"/>
      <c r="LXQ119" s="198"/>
      <c r="LXR119" s="199"/>
      <c r="LXS119" s="198"/>
      <c r="LXT119" s="199"/>
      <c r="LXU119" s="198"/>
      <c r="LXV119" s="199"/>
      <c r="LXW119" s="198"/>
      <c r="LXX119" s="199"/>
      <c r="LXY119" s="198"/>
      <c r="LXZ119" s="199"/>
      <c r="LYA119" s="198"/>
      <c r="LYB119" s="199"/>
      <c r="LYC119" s="198"/>
      <c r="LYD119" s="199"/>
      <c r="LYE119" s="198"/>
      <c r="LYF119" s="199"/>
      <c r="LYG119" s="198"/>
      <c r="LYH119" s="199"/>
      <c r="LYI119" s="198"/>
      <c r="LYJ119" s="199"/>
      <c r="LYK119" s="198"/>
      <c r="LYL119" s="199"/>
      <c r="LYM119" s="198"/>
      <c r="LYN119" s="199"/>
      <c r="LYO119" s="198"/>
      <c r="LYP119" s="199"/>
      <c r="LYQ119" s="198"/>
      <c r="LYR119" s="199"/>
      <c r="LYS119" s="198"/>
      <c r="LYT119" s="199"/>
      <c r="LYU119" s="198"/>
      <c r="LYV119" s="199"/>
      <c r="LYW119" s="198"/>
      <c r="LYX119" s="199"/>
      <c r="LYY119" s="198"/>
      <c r="LYZ119" s="199"/>
      <c r="LZA119" s="198"/>
      <c r="LZB119" s="199"/>
      <c r="LZC119" s="198"/>
      <c r="LZD119" s="199"/>
      <c r="LZE119" s="198"/>
      <c r="LZF119" s="199"/>
      <c r="LZG119" s="198"/>
      <c r="LZH119" s="199"/>
      <c r="LZI119" s="198"/>
      <c r="LZJ119" s="199"/>
      <c r="LZK119" s="198"/>
      <c r="LZL119" s="199"/>
      <c r="LZM119" s="198"/>
      <c r="LZN119" s="199"/>
      <c r="LZO119" s="198"/>
      <c r="LZP119" s="199"/>
      <c r="LZQ119" s="198"/>
      <c r="LZR119" s="199"/>
      <c r="LZS119" s="198"/>
      <c r="LZT119" s="199"/>
      <c r="LZU119" s="198"/>
      <c r="LZV119" s="199"/>
      <c r="LZW119" s="198"/>
      <c r="LZX119" s="199"/>
      <c r="LZY119" s="198"/>
      <c r="LZZ119" s="199"/>
      <c r="MAA119" s="198"/>
      <c r="MAB119" s="199"/>
      <c r="MAC119" s="198"/>
      <c r="MAD119" s="199"/>
      <c r="MAE119" s="198"/>
      <c r="MAF119" s="199"/>
      <c r="MAG119" s="198"/>
      <c r="MAH119" s="199"/>
      <c r="MAI119" s="198"/>
      <c r="MAJ119" s="199"/>
      <c r="MAK119" s="198"/>
      <c r="MAL119" s="199"/>
      <c r="MAM119" s="198"/>
      <c r="MAN119" s="199"/>
      <c r="MAO119" s="198"/>
      <c r="MAP119" s="199"/>
      <c r="MAQ119" s="198"/>
      <c r="MAR119" s="199"/>
      <c r="MAS119" s="198"/>
      <c r="MAT119" s="199"/>
      <c r="MAU119" s="198"/>
      <c r="MAV119" s="199"/>
      <c r="MAW119" s="198"/>
      <c r="MAX119" s="199"/>
      <c r="MAY119" s="198"/>
      <c r="MAZ119" s="199"/>
      <c r="MBA119" s="198"/>
      <c r="MBB119" s="199"/>
      <c r="MBC119" s="198"/>
      <c r="MBD119" s="199"/>
      <c r="MBE119" s="198"/>
      <c r="MBF119" s="199"/>
      <c r="MBG119" s="198"/>
      <c r="MBH119" s="199"/>
      <c r="MBI119" s="198"/>
      <c r="MBJ119" s="199"/>
      <c r="MBK119" s="198"/>
      <c r="MBL119" s="199"/>
      <c r="MBM119" s="198"/>
      <c r="MBN119" s="199"/>
      <c r="MBO119" s="198"/>
      <c r="MBP119" s="199"/>
      <c r="MBQ119" s="198"/>
      <c r="MBR119" s="199"/>
      <c r="MBS119" s="198"/>
      <c r="MBT119" s="199"/>
      <c r="MBU119" s="198"/>
      <c r="MBV119" s="199"/>
      <c r="MBW119" s="198"/>
      <c r="MBX119" s="199"/>
      <c r="MBY119" s="198"/>
      <c r="MBZ119" s="199"/>
      <c r="MCA119" s="198"/>
      <c r="MCB119" s="199"/>
      <c r="MCC119" s="198"/>
      <c r="MCD119" s="199"/>
      <c r="MCE119" s="198"/>
      <c r="MCF119" s="199"/>
      <c r="MCG119" s="198"/>
      <c r="MCH119" s="199"/>
      <c r="MCI119" s="198"/>
      <c r="MCJ119" s="199"/>
      <c r="MCK119" s="198"/>
      <c r="MCL119" s="199"/>
      <c r="MCM119" s="198"/>
      <c r="MCN119" s="199"/>
      <c r="MCO119" s="198"/>
      <c r="MCP119" s="199"/>
      <c r="MCQ119" s="198"/>
      <c r="MCR119" s="199"/>
      <c r="MCS119" s="198"/>
      <c r="MCT119" s="199"/>
      <c r="MCU119" s="198"/>
      <c r="MCV119" s="199"/>
      <c r="MCW119" s="198"/>
      <c r="MCX119" s="199"/>
      <c r="MCY119" s="198"/>
      <c r="MCZ119" s="199"/>
      <c r="MDA119" s="198"/>
      <c r="MDB119" s="199"/>
      <c r="MDC119" s="198"/>
      <c r="MDD119" s="199"/>
      <c r="MDE119" s="198"/>
      <c r="MDF119" s="199"/>
      <c r="MDG119" s="198"/>
      <c r="MDH119" s="199"/>
      <c r="MDI119" s="198"/>
      <c r="MDJ119" s="199"/>
      <c r="MDK119" s="198"/>
      <c r="MDL119" s="199"/>
      <c r="MDM119" s="198"/>
      <c r="MDN119" s="199"/>
      <c r="MDO119" s="198"/>
      <c r="MDP119" s="199"/>
      <c r="MDQ119" s="198"/>
      <c r="MDR119" s="199"/>
      <c r="MDS119" s="198"/>
      <c r="MDT119" s="199"/>
      <c r="MDU119" s="198"/>
      <c r="MDV119" s="199"/>
      <c r="MDW119" s="198"/>
      <c r="MDX119" s="199"/>
      <c r="MDY119" s="198"/>
      <c r="MDZ119" s="199"/>
      <c r="MEA119" s="198"/>
      <c r="MEB119" s="199"/>
      <c r="MEC119" s="198"/>
      <c r="MED119" s="199"/>
      <c r="MEE119" s="198"/>
      <c r="MEF119" s="199"/>
      <c r="MEG119" s="198"/>
      <c r="MEH119" s="199"/>
      <c r="MEI119" s="198"/>
      <c r="MEJ119" s="199"/>
      <c r="MEK119" s="198"/>
      <c r="MEL119" s="199"/>
      <c r="MEM119" s="198"/>
      <c r="MEN119" s="199"/>
      <c r="MEO119" s="198"/>
      <c r="MEP119" s="199"/>
      <c r="MEQ119" s="198"/>
      <c r="MER119" s="199"/>
      <c r="MES119" s="198"/>
      <c r="MET119" s="199"/>
      <c r="MEU119" s="198"/>
      <c r="MEV119" s="199"/>
      <c r="MEW119" s="198"/>
      <c r="MEX119" s="199"/>
      <c r="MEY119" s="198"/>
      <c r="MEZ119" s="199"/>
      <c r="MFA119" s="198"/>
      <c r="MFB119" s="199"/>
      <c r="MFC119" s="198"/>
      <c r="MFD119" s="199"/>
      <c r="MFE119" s="198"/>
      <c r="MFF119" s="199"/>
      <c r="MFG119" s="198"/>
      <c r="MFH119" s="199"/>
      <c r="MFI119" s="198"/>
      <c r="MFJ119" s="199"/>
      <c r="MFK119" s="198"/>
      <c r="MFL119" s="199"/>
      <c r="MFM119" s="198"/>
      <c r="MFN119" s="199"/>
      <c r="MFO119" s="198"/>
      <c r="MFP119" s="199"/>
      <c r="MFQ119" s="198"/>
      <c r="MFR119" s="199"/>
      <c r="MFS119" s="198"/>
      <c r="MFT119" s="199"/>
      <c r="MFU119" s="198"/>
      <c r="MFV119" s="199"/>
      <c r="MFW119" s="198"/>
      <c r="MFX119" s="199"/>
      <c r="MFY119" s="198"/>
      <c r="MFZ119" s="199"/>
      <c r="MGA119" s="198"/>
      <c r="MGB119" s="199"/>
      <c r="MGC119" s="198"/>
      <c r="MGD119" s="199"/>
      <c r="MGE119" s="198"/>
      <c r="MGF119" s="199"/>
      <c r="MGG119" s="198"/>
      <c r="MGH119" s="199"/>
      <c r="MGI119" s="198"/>
      <c r="MGJ119" s="199"/>
      <c r="MGK119" s="198"/>
      <c r="MGL119" s="199"/>
      <c r="MGM119" s="198"/>
      <c r="MGN119" s="199"/>
      <c r="MGO119" s="198"/>
      <c r="MGP119" s="199"/>
      <c r="MGQ119" s="198"/>
      <c r="MGR119" s="199"/>
      <c r="MGS119" s="198"/>
      <c r="MGT119" s="199"/>
      <c r="MGU119" s="198"/>
      <c r="MGV119" s="199"/>
      <c r="MGW119" s="198"/>
      <c r="MGX119" s="199"/>
      <c r="MGY119" s="198"/>
      <c r="MGZ119" s="199"/>
      <c r="MHA119" s="198"/>
      <c r="MHB119" s="199"/>
      <c r="MHC119" s="198"/>
      <c r="MHD119" s="199"/>
      <c r="MHE119" s="198"/>
      <c r="MHF119" s="199"/>
      <c r="MHG119" s="198"/>
      <c r="MHH119" s="199"/>
      <c r="MHI119" s="198"/>
      <c r="MHJ119" s="199"/>
      <c r="MHK119" s="198"/>
      <c r="MHL119" s="199"/>
      <c r="MHM119" s="198"/>
      <c r="MHN119" s="199"/>
      <c r="MHO119" s="198"/>
      <c r="MHP119" s="199"/>
      <c r="MHQ119" s="198"/>
      <c r="MHR119" s="199"/>
      <c r="MHS119" s="198"/>
      <c r="MHT119" s="199"/>
      <c r="MHU119" s="198"/>
      <c r="MHV119" s="199"/>
      <c r="MHW119" s="198"/>
      <c r="MHX119" s="199"/>
      <c r="MHY119" s="198"/>
      <c r="MHZ119" s="199"/>
      <c r="MIA119" s="198"/>
      <c r="MIB119" s="199"/>
      <c r="MIC119" s="198"/>
      <c r="MID119" s="199"/>
      <c r="MIE119" s="198"/>
      <c r="MIF119" s="199"/>
      <c r="MIG119" s="198"/>
      <c r="MIH119" s="199"/>
      <c r="MII119" s="198"/>
      <c r="MIJ119" s="199"/>
      <c r="MIK119" s="198"/>
      <c r="MIL119" s="199"/>
      <c r="MIM119" s="198"/>
      <c r="MIN119" s="199"/>
      <c r="MIO119" s="198"/>
      <c r="MIP119" s="199"/>
      <c r="MIQ119" s="198"/>
      <c r="MIR119" s="199"/>
      <c r="MIS119" s="198"/>
      <c r="MIT119" s="199"/>
      <c r="MIU119" s="198"/>
      <c r="MIV119" s="199"/>
      <c r="MIW119" s="198"/>
      <c r="MIX119" s="199"/>
      <c r="MIY119" s="198"/>
      <c r="MIZ119" s="199"/>
      <c r="MJA119" s="198"/>
      <c r="MJB119" s="199"/>
      <c r="MJC119" s="198"/>
      <c r="MJD119" s="199"/>
      <c r="MJE119" s="198"/>
      <c r="MJF119" s="199"/>
      <c r="MJG119" s="198"/>
      <c r="MJH119" s="199"/>
      <c r="MJI119" s="198"/>
      <c r="MJJ119" s="199"/>
      <c r="MJK119" s="198"/>
      <c r="MJL119" s="199"/>
      <c r="MJM119" s="198"/>
      <c r="MJN119" s="199"/>
      <c r="MJO119" s="198"/>
      <c r="MJP119" s="199"/>
      <c r="MJQ119" s="198"/>
      <c r="MJR119" s="199"/>
      <c r="MJS119" s="198"/>
      <c r="MJT119" s="199"/>
      <c r="MJU119" s="198"/>
      <c r="MJV119" s="199"/>
      <c r="MJW119" s="198"/>
      <c r="MJX119" s="199"/>
      <c r="MJY119" s="198"/>
      <c r="MJZ119" s="199"/>
      <c r="MKA119" s="198"/>
      <c r="MKB119" s="199"/>
      <c r="MKC119" s="198"/>
      <c r="MKD119" s="199"/>
      <c r="MKE119" s="198"/>
      <c r="MKF119" s="199"/>
      <c r="MKG119" s="198"/>
      <c r="MKH119" s="199"/>
      <c r="MKI119" s="198"/>
      <c r="MKJ119" s="199"/>
      <c r="MKK119" s="198"/>
      <c r="MKL119" s="199"/>
      <c r="MKM119" s="198"/>
      <c r="MKN119" s="199"/>
      <c r="MKO119" s="198"/>
      <c r="MKP119" s="199"/>
      <c r="MKQ119" s="198"/>
      <c r="MKR119" s="199"/>
      <c r="MKS119" s="198"/>
      <c r="MKT119" s="199"/>
      <c r="MKU119" s="198"/>
      <c r="MKV119" s="199"/>
      <c r="MKW119" s="198"/>
      <c r="MKX119" s="199"/>
      <c r="MKY119" s="198"/>
      <c r="MKZ119" s="199"/>
      <c r="MLA119" s="198"/>
      <c r="MLB119" s="199"/>
      <c r="MLC119" s="198"/>
      <c r="MLD119" s="199"/>
      <c r="MLE119" s="198"/>
      <c r="MLF119" s="199"/>
      <c r="MLG119" s="198"/>
      <c r="MLH119" s="199"/>
      <c r="MLI119" s="198"/>
      <c r="MLJ119" s="199"/>
      <c r="MLK119" s="198"/>
      <c r="MLL119" s="199"/>
      <c r="MLM119" s="198"/>
      <c r="MLN119" s="199"/>
      <c r="MLO119" s="198"/>
      <c r="MLP119" s="199"/>
      <c r="MLQ119" s="198"/>
      <c r="MLR119" s="199"/>
      <c r="MLS119" s="198"/>
      <c r="MLT119" s="199"/>
      <c r="MLU119" s="198"/>
      <c r="MLV119" s="199"/>
      <c r="MLW119" s="198"/>
      <c r="MLX119" s="199"/>
      <c r="MLY119" s="198"/>
      <c r="MLZ119" s="199"/>
      <c r="MMA119" s="198"/>
      <c r="MMB119" s="199"/>
      <c r="MMC119" s="198"/>
      <c r="MMD119" s="199"/>
      <c r="MME119" s="198"/>
      <c r="MMF119" s="199"/>
      <c r="MMG119" s="198"/>
      <c r="MMH119" s="199"/>
      <c r="MMI119" s="198"/>
      <c r="MMJ119" s="199"/>
      <c r="MMK119" s="198"/>
      <c r="MML119" s="199"/>
      <c r="MMM119" s="198"/>
      <c r="MMN119" s="199"/>
      <c r="MMO119" s="198"/>
      <c r="MMP119" s="199"/>
      <c r="MMQ119" s="198"/>
      <c r="MMR119" s="199"/>
      <c r="MMS119" s="198"/>
      <c r="MMT119" s="199"/>
      <c r="MMU119" s="198"/>
      <c r="MMV119" s="199"/>
      <c r="MMW119" s="198"/>
      <c r="MMX119" s="199"/>
      <c r="MMY119" s="198"/>
      <c r="MMZ119" s="199"/>
      <c r="MNA119" s="198"/>
      <c r="MNB119" s="199"/>
      <c r="MNC119" s="198"/>
      <c r="MND119" s="199"/>
      <c r="MNE119" s="198"/>
      <c r="MNF119" s="199"/>
      <c r="MNG119" s="198"/>
      <c r="MNH119" s="199"/>
      <c r="MNI119" s="198"/>
      <c r="MNJ119" s="199"/>
      <c r="MNK119" s="198"/>
      <c r="MNL119" s="199"/>
      <c r="MNM119" s="198"/>
      <c r="MNN119" s="199"/>
      <c r="MNO119" s="198"/>
      <c r="MNP119" s="199"/>
      <c r="MNQ119" s="198"/>
      <c r="MNR119" s="199"/>
      <c r="MNS119" s="198"/>
      <c r="MNT119" s="199"/>
      <c r="MNU119" s="198"/>
      <c r="MNV119" s="199"/>
      <c r="MNW119" s="198"/>
      <c r="MNX119" s="199"/>
      <c r="MNY119" s="198"/>
      <c r="MNZ119" s="199"/>
      <c r="MOA119" s="198"/>
      <c r="MOB119" s="199"/>
      <c r="MOC119" s="198"/>
      <c r="MOD119" s="199"/>
      <c r="MOE119" s="198"/>
      <c r="MOF119" s="199"/>
      <c r="MOG119" s="198"/>
      <c r="MOH119" s="199"/>
      <c r="MOI119" s="198"/>
      <c r="MOJ119" s="199"/>
      <c r="MOK119" s="198"/>
      <c r="MOL119" s="199"/>
      <c r="MOM119" s="198"/>
      <c r="MON119" s="199"/>
      <c r="MOO119" s="198"/>
      <c r="MOP119" s="199"/>
      <c r="MOQ119" s="198"/>
      <c r="MOR119" s="199"/>
      <c r="MOS119" s="198"/>
      <c r="MOT119" s="199"/>
      <c r="MOU119" s="198"/>
      <c r="MOV119" s="199"/>
      <c r="MOW119" s="198"/>
      <c r="MOX119" s="199"/>
      <c r="MOY119" s="198"/>
      <c r="MOZ119" s="199"/>
      <c r="MPA119" s="198"/>
      <c r="MPB119" s="199"/>
      <c r="MPC119" s="198"/>
      <c r="MPD119" s="199"/>
      <c r="MPE119" s="198"/>
      <c r="MPF119" s="199"/>
      <c r="MPG119" s="198"/>
      <c r="MPH119" s="199"/>
      <c r="MPI119" s="198"/>
      <c r="MPJ119" s="199"/>
      <c r="MPK119" s="198"/>
      <c r="MPL119" s="199"/>
      <c r="MPM119" s="198"/>
      <c r="MPN119" s="199"/>
      <c r="MPO119" s="198"/>
      <c r="MPP119" s="199"/>
      <c r="MPQ119" s="198"/>
      <c r="MPR119" s="199"/>
      <c r="MPS119" s="198"/>
      <c r="MPT119" s="199"/>
      <c r="MPU119" s="198"/>
      <c r="MPV119" s="199"/>
      <c r="MPW119" s="198"/>
      <c r="MPX119" s="199"/>
      <c r="MPY119" s="198"/>
      <c r="MPZ119" s="199"/>
      <c r="MQA119" s="198"/>
      <c r="MQB119" s="199"/>
      <c r="MQC119" s="198"/>
      <c r="MQD119" s="199"/>
      <c r="MQE119" s="198"/>
      <c r="MQF119" s="199"/>
      <c r="MQG119" s="198"/>
      <c r="MQH119" s="199"/>
      <c r="MQI119" s="198"/>
      <c r="MQJ119" s="199"/>
      <c r="MQK119" s="198"/>
      <c r="MQL119" s="199"/>
      <c r="MQM119" s="198"/>
      <c r="MQN119" s="199"/>
      <c r="MQO119" s="198"/>
      <c r="MQP119" s="199"/>
      <c r="MQQ119" s="198"/>
      <c r="MQR119" s="199"/>
      <c r="MQS119" s="198"/>
      <c r="MQT119" s="199"/>
      <c r="MQU119" s="198"/>
      <c r="MQV119" s="199"/>
      <c r="MQW119" s="198"/>
      <c r="MQX119" s="199"/>
      <c r="MQY119" s="198"/>
      <c r="MQZ119" s="199"/>
      <c r="MRA119" s="198"/>
      <c r="MRB119" s="199"/>
      <c r="MRC119" s="198"/>
      <c r="MRD119" s="199"/>
      <c r="MRE119" s="198"/>
      <c r="MRF119" s="199"/>
      <c r="MRG119" s="198"/>
      <c r="MRH119" s="199"/>
      <c r="MRI119" s="198"/>
      <c r="MRJ119" s="199"/>
      <c r="MRK119" s="198"/>
      <c r="MRL119" s="199"/>
      <c r="MRM119" s="198"/>
      <c r="MRN119" s="199"/>
      <c r="MRO119" s="198"/>
      <c r="MRP119" s="199"/>
      <c r="MRQ119" s="198"/>
      <c r="MRR119" s="199"/>
      <c r="MRS119" s="198"/>
      <c r="MRT119" s="199"/>
      <c r="MRU119" s="198"/>
      <c r="MRV119" s="199"/>
      <c r="MRW119" s="198"/>
      <c r="MRX119" s="199"/>
      <c r="MRY119" s="198"/>
      <c r="MRZ119" s="199"/>
      <c r="MSA119" s="198"/>
      <c r="MSB119" s="199"/>
      <c r="MSC119" s="198"/>
      <c r="MSD119" s="199"/>
      <c r="MSE119" s="198"/>
      <c r="MSF119" s="199"/>
      <c r="MSG119" s="198"/>
      <c r="MSH119" s="199"/>
      <c r="MSI119" s="198"/>
      <c r="MSJ119" s="199"/>
      <c r="MSK119" s="198"/>
      <c r="MSL119" s="199"/>
      <c r="MSM119" s="198"/>
      <c r="MSN119" s="199"/>
      <c r="MSO119" s="198"/>
      <c r="MSP119" s="199"/>
      <c r="MSQ119" s="198"/>
      <c r="MSR119" s="199"/>
      <c r="MSS119" s="198"/>
      <c r="MST119" s="199"/>
      <c r="MSU119" s="198"/>
      <c r="MSV119" s="199"/>
      <c r="MSW119" s="198"/>
      <c r="MSX119" s="199"/>
      <c r="MSY119" s="198"/>
      <c r="MSZ119" s="199"/>
      <c r="MTA119" s="198"/>
      <c r="MTB119" s="199"/>
      <c r="MTC119" s="198"/>
      <c r="MTD119" s="199"/>
      <c r="MTE119" s="198"/>
      <c r="MTF119" s="199"/>
      <c r="MTG119" s="198"/>
      <c r="MTH119" s="199"/>
      <c r="MTI119" s="198"/>
      <c r="MTJ119" s="199"/>
      <c r="MTK119" s="198"/>
      <c r="MTL119" s="199"/>
      <c r="MTM119" s="198"/>
      <c r="MTN119" s="199"/>
      <c r="MTO119" s="198"/>
      <c r="MTP119" s="199"/>
      <c r="MTQ119" s="198"/>
      <c r="MTR119" s="199"/>
      <c r="MTS119" s="198"/>
      <c r="MTT119" s="199"/>
      <c r="MTU119" s="198"/>
      <c r="MTV119" s="199"/>
      <c r="MTW119" s="198"/>
      <c r="MTX119" s="199"/>
      <c r="MTY119" s="198"/>
      <c r="MTZ119" s="199"/>
      <c r="MUA119" s="198"/>
      <c r="MUB119" s="199"/>
      <c r="MUC119" s="198"/>
      <c r="MUD119" s="199"/>
      <c r="MUE119" s="198"/>
      <c r="MUF119" s="199"/>
      <c r="MUG119" s="198"/>
      <c r="MUH119" s="199"/>
      <c r="MUI119" s="198"/>
      <c r="MUJ119" s="199"/>
      <c r="MUK119" s="198"/>
      <c r="MUL119" s="199"/>
      <c r="MUM119" s="198"/>
      <c r="MUN119" s="199"/>
      <c r="MUO119" s="198"/>
      <c r="MUP119" s="199"/>
      <c r="MUQ119" s="198"/>
      <c r="MUR119" s="199"/>
      <c r="MUS119" s="198"/>
      <c r="MUT119" s="199"/>
      <c r="MUU119" s="198"/>
      <c r="MUV119" s="199"/>
      <c r="MUW119" s="198"/>
      <c r="MUX119" s="199"/>
      <c r="MUY119" s="198"/>
      <c r="MUZ119" s="199"/>
      <c r="MVA119" s="198"/>
      <c r="MVB119" s="199"/>
      <c r="MVC119" s="198"/>
      <c r="MVD119" s="199"/>
      <c r="MVE119" s="198"/>
      <c r="MVF119" s="199"/>
      <c r="MVG119" s="198"/>
      <c r="MVH119" s="199"/>
      <c r="MVI119" s="198"/>
      <c r="MVJ119" s="199"/>
      <c r="MVK119" s="198"/>
      <c r="MVL119" s="199"/>
      <c r="MVM119" s="198"/>
      <c r="MVN119" s="199"/>
      <c r="MVO119" s="198"/>
      <c r="MVP119" s="199"/>
      <c r="MVQ119" s="198"/>
      <c r="MVR119" s="199"/>
      <c r="MVS119" s="198"/>
      <c r="MVT119" s="199"/>
      <c r="MVU119" s="198"/>
      <c r="MVV119" s="199"/>
      <c r="MVW119" s="198"/>
      <c r="MVX119" s="199"/>
      <c r="MVY119" s="198"/>
      <c r="MVZ119" s="199"/>
      <c r="MWA119" s="198"/>
      <c r="MWB119" s="199"/>
      <c r="MWC119" s="198"/>
      <c r="MWD119" s="199"/>
      <c r="MWE119" s="198"/>
      <c r="MWF119" s="199"/>
      <c r="MWG119" s="198"/>
      <c r="MWH119" s="199"/>
      <c r="MWI119" s="198"/>
      <c r="MWJ119" s="199"/>
      <c r="MWK119" s="198"/>
      <c r="MWL119" s="199"/>
      <c r="MWM119" s="198"/>
      <c r="MWN119" s="199"/>
      <c r="MWO119" s="198"/>
      <c r="MWP119" s="199"/>
      <c r="MWQ119" s="198"/>
      <c r="MWR119" s="199"/>
      <c r="MWS119" s="198"/>
      <c r="MWT119" s="199"/>
      <c r="MWU119" s="198"/>
      <c r="MWV119" s="199"/>
      <c r="MWW119" s="198"/>
      <c r="MWX119" s="199"/>
      <c r="MWY119" s="198"/>
      <c r="MWZ119" s="199"/>
      <c r="MXA119" s="198"/>
      <c r="MXB119" s="199"/>
      <c r="MXC119" s="198"/>
      <c r="MXD119" s="199"/>
      <c r="MXE119" s="198"/>
      <c r="MXF119" s="199"/>
      <c r="MXG119" s="198"/>
      <c r="MXH119" s="199"/>
      <c r="MXI119" s="198"/>
      <c r="MXJ119" s="199"/>
      <c r="MXK119" s="198"/>
      <c r="MXL119" s="199"/>
      <c r="MXM119" s="198"/>
      <c r="MXN119" s="199"/>
      <c r="MXO119" s="198"/>
      <c r="MXP119" s="199"/>
      <c r="MXQ119" s="198"/>
      <c r="MXR119" s="199"/>
      <c r="MXS119" s="198"/>
      <c r="MXT119" s="199"/>
      <c r="MXU119" s="198"/>
      <c r="MXV119" s="199"/>
      <c r="MXW119" s="198"/>
      <c r="MXX119" s="199"/>
      <c r="MXY119" s="198"/>
      <c r="MXZ119" s="199"/>
      <c r="MYA119" s="198"/>
      <c r="MYB119" s="199"/>
      <c r="MYC119" s="198"/>
      <c r="MYD119" s="199"/>
      <c r="MYE119" s="198"/>
      <c r="MYF119" s="199"/>
      <c r="MYG119" s="198"/>
      <c r="MYH119" s="199"/>
      <c r="MYI119" s="198"/>
      <c r="MYJ119" s="199"/>
      <c r="MYK119" s="198"/>
      <c r="MYL119" s="199"/>
      <c r="MYM119" s="198"/>
      <c r="MYN119" s="199"/>
      <c r="MYO119" s="198"/>
      <c r="MYP119" s="199"/>
      <c r="MYQ119" s="198"/>
      <c r="MYR119" s="199"/>
      <c r="MYS119" s="198"/>
      <c r="MYT119" s="199"/>
      <c r="MYU119" s="198"/>
      <c r="MYV119" s="199"/>
      <c r="MYW119" s="198"/>
      <c r="MYX119" s="199"/>
      <c r="MYY119" s="198"/>
      <c r="MYZ119" s="199"/>
      <c r="MZA119" s="198"/>
      <c r="MZB119" s="199"/>
      <c r="MZC119" s="198"/>
      <c r="MZD119" s="199"/>
      <c r="MZE119" s="198"/>
      <c r="MZF119" s="199"/>
      <c r="MZG119" s="198"/>
      <c r="MZH119" s="199"/>
      <c r="MZI119" s="198"/>
      <c r="MZJ119" s="199"/>
      <c r="MZK119" s="198"/>
      <c r="MZL119" s="199"/>
      <c r="MZM119" s="198"/>
      <c r="MZN119" s="199"/>
      <c r="MZO119" s="198"/>
      <c r="MZP119" s="199"/>
      <c r="MZQ119" s="198"/>
      <c r="MZR119" s="199"/>
      <c r="MZS119" s="198"/>
      <c r="MZT119" s="199"/>
      <c r="MZU119" s="198"/>
      <c r="MZV119" s="199"/>
      <c r="MZW119" s="198"/>
      <c r="MZX119" s="199"/>
      <c r="MZY119" s="198"/>
      <c r="MZZ119" s="199"/>
      <c r="NAA119" s="198"/>
      <c r="NAB119" s="199"/>
      <c r="NAC119" s="198"/>
      <c r="NAD119" s="199"/>
      <c r="NAE119" s="198"/>
      <c r="NAF119" s="199"/>
      <c r="NAG119" s="198"/>
      <c r="NAH119" s="199"/>
      <c r="NAI119" s="198"/>
      <c r="NAJ119" s="199"/>
      <c r="NAK119" s="198"/>
      <c r="NAL119" s="199"/>
      <c r="NAM119" s="198"/>
      <c r="NAN119" s="199"/>
      <c r="NAO119" s="198"/>
      <c r="NAP119" s="199"/>
      <c r="NAQ119" s="198"/>
      <c r="NAR119" s="199"/>
      <c r="NAS119" s="198"/>
      <c r="NAT119" s="199"/>
      <c r="NAU119" s="198"/>
      <c r="NAV119" s="199"/>
      <c r="NAW119" s="198"/>
      <c r="NAX119" s="199"/>
      <c r="NAY119" s="198"/>
      <c r="NAZ119" s="199"/>
      <c r="NBA119" s="198"/>
      <c r="NBB119" s="199"/>
      <c r="NBC119" s="198"/>
      <c r="NBD119" s="199"/>
      <c r="NBE119" s="198"/>
      <c r="NBF119" s="199"/>
      <c r="NBG119" s="198"/>
      <c r="NBH119" s="199"/>
      <c r="NBI119" s="198"/>
      <c r="NBJ119" s="199"/>
      <c r="NBK119" s="198"/>
      <c r="NBL119" s="199"/>
      <c r="NBM119" s="198"/>
      <c r="NBN119" s="199"/>
      <c r="NBO119" s="198"/>
      <c r="NBP119" s="199"/>
      <c r="NBQ119" s="198"/>
      <c r="NBR119" s="199"/>
      <c r="NBS119" s="198"/>
      <c r="NBT119" s="199"/>
      <c r="NBU119" s="198"/>
      <c r="NBV119" s="199"/>
      <c r="NBW119" s="198"/>
      <c r="NBX119" s="199"/>
      <c r="NBY119" s="198"/>
      <c r="NBZ119" s="199"/>
      <c r="NCA119" s="198"/>
      <c r="NCB119" s="199"/>
      <c r="NCC119" s="198"/>
      <c r="NCD119" s="199"/>
      <c r="NCE119" s="198"/>
      <c r="NCF119" s="199"/>
      <c r="NCG119" s="198"/>
      <c r="NCH119" s="199"/>
      <c r="NCI119" s="198"/>
      <c r="NCJ119" s="199"/>
      <c r="NCK119" s="198"/>
      <c r="NCL119" s="199"/>
      <c r="NCM119" s="198"/>
      <c r="NCN119" s="199"/>
      <c r="NCO119" s="198"/>
      <c r="NCP119" s="199"/>
      <c r="NCQ119" s="198"/>
      <c r="NCR119" s="199"/>
      <c r="NCS119" s="198"/>
      <c r="NCT119" s="199"/>
      <c r="NCU119" s="198"/>
      <c r="NCV119" s="199"/>
      <c r="NCW119" s="198"/>
      <c r="NCX119" s="199"/>
      <c r="NCY119" s="198"/>
      <c r="NCZ119" s="199"/>
      <c r="NDA119" s="198"/>
      <c r="NDB119" s="199"/>
      <c r="NDC119" s="198"/>
      <c r="NDD119" s="199"/>
      <c r="NDE119" s="198"/>
      <c r="NDF119" s="199"/>
      <c r="NDG119" s="198"/>
      <c r="NDH119" s="199"/>
      <c r="NDI119" s="198"/>
      <c r="NDJ119" s="199"/>
      <c r="NDK119" s="198"/>
      <c r="NDL119" s="199"/>
      <c r="NDM119" s="198"/>
      <c r="NDN119" s="199"/>
      <c r="NDO119" s="198"/>
      <c r="NDP119" s="199"/>
      <c r="NDQ119" s="198"/>
      <c r="NDR119" s="199"/>
      <c r="NDS119" s="198"/>
      <c r="NDT119" s="199"/>
      <c r="NDU119" s="198"/>
      <c r="NDV119" s="199"/>
      <c r="NDW119" s="198"/>
      <c r="NDX119" s="199"/>
      <c r="NDY119" s="198"/>
      <c r="NDZ119" s="199"/>
      <c r="NEA119" s="198"/>
      <c r="NEB119" s="199"/>
      <c r="NEC119" s="198"/>
      <c r="NED119" s="199"/>
      <c r="NEE119" s="198"/>
      <c r="NEF119" s="199"/>
      <c r="NEG119" s="198"/>
      <c r="NEH119" s="199"/>
      <c r="NEI119" s="198"/>
      <c r="NEJ119" s="199"/>
      <c r="NEK119" s="198"/>
      <c r="NEL119" s="199"/>
      <c r="NEM119" s="198"/>
      <c r="NEN119" s="199"/>
      <c r="NEO119" s="198"/>
      <c r="NEP119" s="199"/>
      <c r="NEQ119" s="198"/>
      <c r="NER119" s="199"/>
      <c r="NES119" s="198"/>
      <c r="NET119" s="199"/>
      <c r="NEU119" s="198"/>
      <c r="NEV119" s="199"/>
      <c r="NEW119" s="198"/>
      <c r="NEX119" s="199"/>
      <c r="NEY119" s="198"/>
      <c r="NEZ119" s="199"/>
      <c r="NFA119" s="198"/>
      <c r="NFB119" s="199"/>
      <c r="NFC119" s="198"/>
      <c r="NFD119" s="199"/>
      <c r="NFE119" s="198"/>
      <c r="NFF119" s="199"/>
      <c r="NFG119" s="198"/>
      <c r="NFH119" s="199"/>
      <c r="NFI119" s="198"/>
      <c r="NFJ119" s="199"/>
      <c r="NFK119" s="198"/>
      <c r="NFL119" s="199"/>
      <c r="NFM119" s="198"/>
      <c r="NFN119" s="199"/>
      <c r="NFO119" s="198"/>
      <c r="NFP119" s="199"/>
      <c r="NFQ119" s="198"/>
      <c r="NFR119" s="199"/>
      <c r="NFS119" s="198"/>
      <c r="NFT119" s="199"/>
      <c r="NFU119" s="198"/>
      <c r="NFV119" s="199"/>
      <c r="NFW119" s="198"/>
      <c r="NFX119" s="199"/>
      <c r="NFY119" s="198"/>
      <c r="NFZ119" s="199"/>
      <c r="NGA119" s="198"/>
      <c r="NGB119" s="199"/>
      <c r="NGC119" s="198"/>
      <c r="NGD119" s="199"/>
      <c r="NGE119" s="198"/>
      <c r="NGF119" s="199"/>
      <c r="NGG119" s="198"/>
      <c r="NGH119" s="199"/>
      <c r="NGI119" s="198"/>
      <c r="NGJ119" s="199"/>
      <c r="NGK119" s="198"/>
      <c r="NGL119" s="199"/>
      <c r="NGM119" s="198"/>
      <c r="NGN119" s="199"/>
      <c r="NGO119" s="198"/>
      <c r="NGP119" s="199"/>
      <c r="NGQ119" s="198"/>
      <c r="NGR119" s="199"/>
      <c r="NGS119" s="198"/>
      <c r="NGT119" s="199"/>
      <c r="NGU119" s="198"/>
      <c r="NGV119" s="199"/>
      <c r="NGW119" s="198"/>
      <c r="NGX119" s="199"/>
      <c r="NGY119" s="198"/>
      <c r="NGZ119" s="199"/>
      <c r="NHA119" s="198"/>
      <c r="NHB119" s="199"/>
      <c r="NHC119" s="198"/>
      <c r="NHD119" s="199"/>
      <c r="NHE119" s="198"/>
      <c r="NHF119" s="199"/>
      <c r="NHG119" s="198"/>
      <c r="NHH119" s="199"/>
      <c r="NHI119" s="198"/>
      <c r="NHJ119" s="199"/>
      <c r="NHK119" s="198"/>
      <c r="NHL119" s="199"/>
      <c r="NHM119" s="198"/>
      <c r="NHN119" s="199"/>
      <c r="NHO119" s="198"/>
      <c r="NHP119" s="199"/>
      <c r="NHQ119" s="198"/>
      <c r="NHR119" s="199"/>
      <c r="NHS119" s="198"/>
      <c r="NHT119" s="199"/>
      <c r="NHU119" s="198"/>
      <c r="NHV119" s="199"/>
      <c r="NHW119" s="198"/>
      <c r="NHX119" s="199"/>
      <c r="NHY119" s="198"/>
      <c r="NHZ119" s="199"/>
      <c r="NIA119" s="198"/>
      <c r="NIB119" s="199"/>
      <c r="NIC119" s="198"/>
      <c r="NID119" s="199"/>
      <c r="NIE119" s="198"/>
      <c r="NIF119" s="199"/>
      <c r="NIG119" s="198"/>
      <c r="NIH119" s="199"/>
      <c r="NII119" s="198"/>
      <c r="NIJ119" s="199"/>
      <c r="NIK119" s="198"/>
      <c r="NIL119" s="199"/>
      <c r="NIM119" s="198"/>
      <c r="NIN119" s="199"/>
      <c r="NIO119" s="198"/>
      <c r="NIP119" s="199"/>
      <c r="NIQ119" s="198"/>
      <c r="NIR119" s="199"/>
      <c r="NIS119" s="198"/>
      <c r="NIT119" s="199"/>
      <c r="NIU119" s="198"/>
      <c r="NIV119" s="199"/>
      <c r="NIW119" s="198"/>
      <c r="NIX119" s="199"/>
      <c r="NIY119" s="198"/>
      <c r="NIZ119" s="199"/>
      <c r="NJA119" s="198"/>
      <c r="NJB119" s="199"/>
      <c r="NJC119" s="198"/>
      <c r="NJD119" s="199"/>
      <c r="NJE119" s="198"/>
      <c r="NJF119" s="199"/>
      <c r="NJG119" s="198"/>
      <c r="NJH119" s="199"/>
      <c r="NJI119" s="198"/>
      <c r="NJJ119" s="199"/>
      <c r="NJK119" s="198"/>
      <c r="NJL119" s="199"/>
      <c r="NJM119" s="198"/>
      <c r="NJN119" s="199"/>
      <c r="NJO119" s="198"/>
      <c r="NJP119" s="199"/>
      <c r="NJQ119" s="198"/>
      <c r="NJR119" s="199"/>
      <c r="NJS119" s="198"/>
      <c r="NJT119" s="199"/>
      <c r="NJU119" s="198"/>
      <c r="NJV119" s="199"/>
      <c r="NJW119" s="198"/>
      <c r="NJX119" s="199"/>
      <c r="NJY119" s="198"/>
      <c r="NJZ119" s="199"/>
      <c r="NKA119" s="198"/>
      <c r="NKB119" s="199"/>
      <c r="NKC119" s="198"/>
      <c r="NKD119" s="199"/>
      <c r="NKE119" s="198"/>
      <c r="NKF119" s="199"/>
      <c r="NKG119" s="198"/>
      <c r="NKH119" s="199"/>
      <c r="NKI119" s="198"/>
      <c r="NKJ119" s="199"/>
      <c r="NKK119" s="198"/>
      <c r="NKL119" s="199"/>
      <c r="NKM119" s="198"/>
      <c r="NKN119" s="199"/>
      <c r="NKO119" s="198"/>
      <c r="NKP119" s="199"/>
      <c r="NKQ119" s="198"/>
      <c r="NKR119" s="199"/>
      <c r="NKS119" s="198"/>
      <c r="NKT119" s="199"/>
      <c r="NKU119" s="198"/>
      <c r="NKV119" s="199"/>
      <c r="NKW119" s="198"/>
      <c r="NKX119" s="199"/>
      <c r="NKY119" s="198"/>
      <c r="NKZ119" s="199"/>
      <c r="NLA119" s="198"/>
      <c r="NLB119" s="199"/>
      <c r="NLC119" s="198"/>
      <c r="NLD119" s="199"/>
      <c r="NLE119" s="198"/>
      <c r="NLF119" s="199"/>
      <c r="NLG119" s="198"/>
      <c r="NLH119" s="199"/>
      <c r="NLI119" s="198"/>
      <c r="NLJ119" s="199"/>
      <c r="NLK119" s="198"/>
      <c r="NLL119" s="199"/>
      <c r="NLM119" s="198"/>
      <c r="NLN119" s="199"/>
      <c r="NLO119" s="198"/>
      <c r="NLP119" s="199"/>
      <c r="NLQ119" s="198"/>
      <c r="NLR119" s="199"/>
      <c r="NLS119" s="198"/>
      <c r="NLT119" s="199"/>
      <c r="NLU119" s="198"/>
      <c r="NLV119" s="199"/>
      <c r="NLW119" s="198"/>
      <c r="NLX119" s="199"/>
      <c r="NLY119" s="198"/>
      <c r="NLZ119" s="199"/>
      <c r="NMA119" s="198"/>
      <c r="NMB119" s="199"/>
      <c r="NMC119" s="198"/>
      <c r="NMD119" s="199"/>
      <c r="NME119" s="198"/>
      <c r="NMF119" s="199"/>
      <c r="NMG119" s="198"/>
      <c r="NMH119" s="199"/>
      <c r="NMI119" s="198"/>
      <c r="NMJ119" s="199"/>
      <c r="NMK119" s="198"/>
      <c r="NML119" s="199"/>
      <c r="NMM119" s="198"/>
      <c r="NMN119" s="199"/>
      <c r="NMO119" s="198"/>
      <c r="NMP119" s="199"/>
      <c r="NMQ119" s="198"/>
      <c r="NMR119" s="199"/>
      <c r="NMS119" s="198"/>
      <c r="NMT119" s="199"/>
      <c r="NMU119" s="198"/>
      <c r="NMV119" s="199"/>
      <c r="NMW119" s="198"/>
      <c r="NMX119" s="199"/>
      <c r="NMY119" s="198"/>
      <c r="NMZ119" s="199"/>
      <c r="NNA119" s="198"/>
      <c r="NNB119" s="199"/>
      <c r="NNC119" s="198"/>
      <c r="NND119" s="199"/>
      <c r="NNE119" s="198"/>
      <c r="NNF119" s="199"/>
      <c r="NNG119" s="198"/>
      <c r="NNH119" s="199"/>
      <c r="NNI119" s="198"/>
      <c r="NNJ119" s="199"/>
      <c r="NNK119" s="198"/>
      <c r="NNL119" s="199"/>
      <c r="NNM119" s="198"/>
      <c r="NNN119" s="199"/>
      <c r="NNO119" s="198"/>
      <c r="NNP119" s="199"/>
      <c r="NNQ119" s="198"/>
      <c r="NNR119" s="199"/>
      <c r="NNS119" s="198"/>
      <c r="NNT119" s="199"/>
      <c r="NNU119" s="198"/>
      <c r="NNV119" s="199"/>
      <c r="NNW119" s="198"/>
      <c r="NNX119" s="199"/>
      <c r="NNY119" s="198"/>
      <c r="NNZ119" s="199"/>
      <c r="NOA119" s="198"/>
      <c r="NOB119" s="199"/>
      <c r="NOC119" s="198"/>
      <c r="NOD119" s="199"/>
      <c r="NOE119" s="198"/>
      <c r="NOF119" s="199"/>
      <c r="NOG119" s="198"/>
      <c r="NOH119" s="199"/>
      <c r="NOI119" s="198"/>
      <c r="NOJ119" s="199"/>
      <c r="NOK119" s="198"/>
      <c r="NOL119" s="199"/>
      <c r="NOM119" s="198"/>
      <c r="NON119" s="199"/>
      <c r="NOO119" s="198"/>
      <c r="NOP119" s="199"/>
      <c r="NOQ119" s="198"/>
      <c r="NOR119" s="199"/>
      <c r="NOS119" s="198"/>
      <c r="NOT119" s="199"/>
      <c r="NOU119" s="198"/>
      <c r="NOV119" s="199"/>
      <c r="NOW119" s="198"/>
      <c r="NOX119" s="199"/>
      <c r="NOY119" s="198"/>
      <c r="NOZ119" s="199"/>
      <c r="NPA119" s="198"/>
      <c r="NPB119" s="199"/>
      <c r="NPC119" s="198"/>
      <c r="NPD119" s="199"/>
      <c r="NPE119" s="198"/>
      <c r="NPF119" s="199"/>
      <c r="NPG119" s="198"/>
      <c r="NPH119" s="199"/>
      <c r="NPI119" s="198"/>
      <c r="NPJ119" s="199"/>
      <c r="NPK119" s="198"/>
      <c r="NPL119" s="199"/>
      <c r="NPM119" s="198"/>
      <c r="NPN119" s="199"/>
      <c r="NPO119" s="198"/>
      <c r="NPP119" s="199"/>
      <c r="NPQ119" s="198"/>
      <c r="NPR119" s="199"/>
      <c r="NPS119" s="198"/>
      <c r="NPT119" s="199"/>
      <c r="NPU119" s="198"/>
      <c r="NPV119" s="199"/>
      <c r="NPW119" s="198"/>
      <c r="NPX119" s="199"/>
      <c r="NPY119" s="198"/>
      <c r="NPZ119" s="199"/>
      <c r="NQA119" s="198"/>
      <c r="NQB119" s="199"/>
      <c r="NQC119" s="198"/>
      <c r="NQD119" s="199"/>
      <c r="NQE119" s="198"/>
      <c r="NQF119" s="199"/>
      <c r="NQG119" s="198"/>
      <c r="NQH119" s="199"/>
      <c r="NQI119" s="198"/>
      <c r="NQJ119" s="199"/>
      <c r="NQK119" s="198"/>
      <c r="NQL119" s="199"/>
      <c r="NQM119" s="198"/>
      <c r="NQN119" s="199"/>
      <c r="NQO119" s="198"/>
      <c r="NQP119" s="199"/>
      <c r="NQQ119" s="198"/>
      <c r="NQR119" s="199"/>
      <c r="NQS119" s="198"/>
      <c r="NQT119" s="199"/>
      <c r="NQU119" s="198"/>
      <c r="NQV119" s="199"/>
      <c r="NQW119" s="198"/>
      <c r="NQX119" s="199"/>
      <c r="NQY119" s="198"/>
      <c r="NQZ119" s="199"/>
      <c r="NRA119" s="198"/>
      <c r="NRB119" s="199"/>
      <c r="NRC119" s="198"/>
      <c r="NRD119" s="199"/>
      <c r="NRE119" s="198"/>
      <c r="NRF119" s="199"/>
      <c r="NRG119" s="198"/>
      <c r="NRH119" s="199"/>
      <c r="NRI119" s="198"/>
      <c r="NRJ119" s="199"/>
      <c r="NRK119" s="198"/>
      <c r="NRL119" s="199"/>
      <c r="NRM119" s="198"/>
      <c r="NRN119" s="199"/>
      <c r="NRO119" s="198"/>
      <c r="NRP119" s="199"/>
      <c r="NRQ119" s="198"/>
      <c r="NRR119" s="199"/>
      <c r="NRS119" s="198"/>
      <c r="NRT119" s="199"/>
      <c r="NRU119" s="198"/>
      <c r="NRV119" s="199"/>
      <c r="NRW119" s="198"/>
      <c r="NRX119" s="199"/>
      <c r="NRY119" s="198"/>
      <c r="NRZ119" s="199"/>
      <c r="NSA119" s="198"/>
      <c r="NSB119" s="199"/>
      <c r="NSC119" s="198"/>
      <c r="NSD119" s="199"/>
      <c r="NSE119" s="198"/>
      <c r="NSF119" s="199"/>
      <c r="NSG119" s="198"/>
      <c r="NSH119" s="199"/>
      <c r="NSI119" s="198"/>
      <c r="NSJ119" s="199"/>
      <c r="NSK119" s="198"/>
      <c r="NSL119" s="199"/>
      <c r="NSM119" s="198"/>
      <c r="NSN119" s="199"/>
      <c r="NSO119" s="198"/>
      <c r="NSP119" s="199"/>
      <c r="NSQ119" s="198"/>
      <c r="NSR119" s="199"/>
      <c r="NSS119" s="198"/>
      <c r="NST119" s="199"/>
      <c r="NSU119" s="198"/>
      <c r="NSV119" s="199"/>
      <c r="NSW119" s="198"/>
      <c r="NSX119" s="199"/>
      <c r="NSY119" s="198"/>
      <c r="NSZ119" s="199"/>
      <c r="NTA119" s="198"/>
      <c r="NTB119" s="199"/>
      <c r="NTC119" s="198"/>
      <c r="NTD119" s="199"/>
      <c r="NTE119" s="198"/>
      <c r="NTF119" s="199"/>
      <c r="NTG119" s="198"/>
      <c r="NTH119" s="199"/>
      <c r="NTI119" s="198"/>
      <c r="NTJ119" s="199"/>
      <c r="NTK119" s="198"/>
      <c r="NTL119" s="199"/>
      <c r="NTM119" s="198"/>
      <c r="NTN119" s="199"/>
      <c r="NTO119" s="198"/>
      <c r="NTP119" s="199"/>
      <c r="NTQ119" s="198"/>
      <c r="NTR119" s="199"/>
      <c r="NTS119" s="198"/>
      <c r="NTT119" s="199"/>
      <c r="NTU119" s="198"/>
      <c r="NTV119" s="199"/>
      <c r="NTW119" s="198"/>
      <c r="NTX119" s="199"/>
      <c r="NTY119" s="198"/>
      <c r="NTZ119" s="199"/>
      <c r="NUA119" s="198"/>
      <c r="NUB119" s="199"/>
      <c r="NUC119" s="198"/>
      <c r="NUD119" s="199"/>
      <c r="NUE119" s="198"/>
      <c r="NUF119" s="199"/>
      <c r="NUG119" s="198"/>
      <c r="NUH119" s="199"/>
      <c r="NUI119" s="198"/>
      <c r="NUJ119" s="199"/>
      <c r="NUK119" s="198"/>
      <c r="NUL119" s="199"/>
      <c r="NUM119" s="198"/>
      <c r="NUN119" s="199"/>
      <c r="NUO119" s="198"/>
      <c r="NUP119" s="199"/>
      <c r="NUQ119" s="198"/>
      <c r="NUR119" s="199"/>
      <c r="NUS119" s="198"/>
      <c r="NUT119" s="199"/>
      <c r="NUU119" s="198"/>
      <c r="NUV119" s="199"/>
      <c r="NUW119" s="198"/>
      <c r="NUX119" s="199"/>
      <c r="NUY119" s="198"/>
      <c r="NUZ119" s="199"/>
      <c r="NVA119" s="198"/>
      <c r="NVB119" s="199"/>
      <c r="NVC119" s="198"/>
      <c r="NVD119" s="199"/>
      <c r="NVE119" s="198"/>
      <c r="NVF119" s="199"/>
      <c r="NVG119" s="198"/>
      <c r="NVH119" s="199"/>
      <c r="NVI119" s="198"/>
      <c r="NVJ119" s="199"/>
      <c r="NVK119" s="198"/>
      <c r="NVL119" s="199"/>
      <c r="NVM119" s="198"/>
      <c r="NVN119" s="199"/>
      <c r="NVO119" s="198"/>
      <c r="NVP119" s="199"/>
      <c r="NVQ119" s="198"/>
      <c r="NVR119" s="199"/>
      <c r="NVS119" s="198"/>
      <c r="NVT119" s="199"/>
      <c r="NVU119" s="198"/>
      <c r="NVV119" s="199"/>
      <c r="NVW119" s="198"/>
      <c r="NVX119" s="199"/>
      <c r="NVY119" s="198"/>
      <c r="NVZ119" s="199"/>
      <c r="NWA119" s="198"/>
      <c r="NWB119" s="199"/>
      <c r="NWC119" s="198"/>
      <c r="NWD119" s="199"/>
      <c r="NWE119" s="198"/>
      <c r="NWF119" s="199"/>
      <c r="NWG119" s="198"/>
      <c r="NWH119" s="199"/>
      <c r="NWI119" s="198"/>
      <c r="NWJ119" s="199"/>
      <c r="NWK119" s="198"/>
      <c r="NWL119" s="199"/>
      <c r="NWM119" s="198"/>
      <c r="NWN119" s="199"/>
      <c r="NWO119" s="198"/>
      <c r="NWP119" s="199"/>
      <c r="NWQ119" s="198"/>
      <c r="NWR119" s="199"/>
      <c r="NWS119" s="198"/>
      <c r="NWT119" s="199"/>
      <c r="NWU119" s="198"/>
      <c r="NWV119" s="199"/>
      <c r="NWW119" s="198"/>
      <c r="NWX119" s="199"/>
      <c r="NWY119" s="198"/>
      <c r="NWZ119" s="199"/>
      <c r="NXA119" s="198"/>
      <c r="NXB119" s="199"/>
      <c r="NXC119" s="198"/>
      <c r="NXD119" s="199"/>
      <c r="NXE119" s="198"/>
      <c r="NXF119" s="199"/>
      <c r="NXG119" s="198"/>
      <c r="NXH119" s="199"/>
      <c r="NXI119" s="198"/>
      <c r="NXJ119" s="199"/>
      <c r="NXK119" s="198"/>
      <c r="NXL119" s="199"/>
      <c r="NXM119" s="198"/>
      <c r="NXN119" s="199"/>
      <c r="NXO119" s="198"/>
      <c r="NXP119" s="199"/>
      <c r="NXQ119" s="198"/>
      <c r="NXR119" s="199"/>
      <c r="NXS119" s="198"/>
      <c r="NXT119" s="199"/>
      <c r="NXU119" s="198"/>
      <c r="NXV119" s="199"/>
      <c r="NXW119" s="198"/>
      <c r="NXX119" s="199"/>
      <c r="NXY119" s="198"/>
      <c r="NXZ119" s="199"/>
      <c r="NYA119" s="198"/>
      <c r="NYB119" s="199"/>
      <c r="NYC119" s="198"/>
      <c r="NYD119" s="199"/>
      <c r="NYE119" s="198"/>
      <c r="NYF119" s="199"/>
      <c r="NYG119" s="198"/>
      <c r="NYH119" s="199"/>
      <c r="NYI119" s="198"/>
      <c r="NYJ119" s="199"/>
      <c r="NYK119" s="198"/>
      <c r="NYL119" s="199"/>
      <c r="NYM119" s="198"/>
      <c r="NYN119" s="199"/>
      <c r="NYO119" s="198"/>
      <c r="NYP119" s="199"/>
      <c r="NYQ119" s="198"/>
      <c r="NYR119" s="199"/>
      <c r="NYS119" s="198"/>
      <c r="NYT119" s="199"/>
      <c r="NYU119" s="198"/>
      <c r="NYV119" s="199"/>
      <c r="NYW119" s="198"/>
      <c r="NYX119" s="199"/>
      <c r="NYY119" s="198"/>
      <c r="NYZ119" s="199"/>
      <c r="NZA119" s="198"/>
      <c r="NZB119" s="199"/>
      <c r="NZC119" s="198"/>
      <c r="NZD119" s="199"/>
      <c r="NZE119" s="198"/>
      <c r="NZF119" s="199"/>
      <c r="NZG119" s="198"/>
      <c r="NZH119" s="199"/>
      <c r="NZI119" s="198"/>
      <c r="NZJ119" s="199"/>
      <c r="NZK119" s="198"/>
      <c r="NZL119" s="199"/>
      <c r="NZM119" s="198"/>
      <c r="NZN119" s="199"/>
      <c r="NZO119" s="198"/>
      <c r="NZP119" s="199"/>
      <c r="NZQ119" s="198"/>
      <c r="NZR119" s="199"/>
      <c r="NZS119" s="198"/>
      <c r="NZT119" s="199"/>
      <c r="NZU119" s="198"/>
      <c r="NZV119" s="199"/>
      <c r="NZW119" s="198"/>
      <c r="NZX119" s="199"/>
      <c r="NZY119" s="198"/>
      <c r="NZZ119" s="199"/>
      <c r="OAA119" s="198"/>
      <c r="OAB119" s="199"/>
      <c r="OAC119" s="198"/>
      <c r="OAD119" s="199"/>
      <c r="OAE119" s="198"/>
      <c r="OAF119" s="199"/>
      <c r="OAG119" s="198"/>
      <c r="OAH119" s="199"/>
      <c r="OAI119" s="198"/>
      <c r="OAJ119" s="199"/>
      <c r="OAK119" s="198"/>
      <c r="OAL119" s="199"/>
      <c r="OAM119" s="198"/>
      <c r="OAN119" s="199"/>
      <c r="OAO119" s="198"/>
      <c r="OAP119" s="199"/>
      <c r="OAQ119" s="198"/>
      <c r="OAR119" s="199"/>
      <c r="OAS119" s="198"/>
      <c r="OAT119" s="199"/>
      <c r="OAU119" s="198"/>
      <c r="OAV119" s="199"/>
      <c r="OAW119" s="198"/>
      <c r="OAX119" s="199"/>
      <c r="OAY119" s="198"/>
      <c r="OAZ119" s="199"/>
      <c r="OBA119" s="198"/>
      <c r="OBB119" s="199"/>
      <c r="OBC119" s="198"/>
      <c r="OBD119" s="199"/>
      <c r="OBE119" s="198"/>
      <c r="OBF119" s="199"/>
      <c r="OBG119" s="198"/>
      <c r="OBH119" s="199"/>
      <c r="OBI119" s="198"/>
      <c r="OBJ119" s="199"/>
      <c r="OBK119" s="198"/>
      <c r="OBL119" s="199"/>
      <c r="OBM119" s="198"/>
      <c r="OBN119" s="199"/>
      <c r="OBO119" s="198"/>
      <c r="OBP119" s="199"/>
      <c r="OBQ119" s="198"/>
      <c r="OBR119" s="199"/>
      <c r="OBS119" s="198"/>
      <c r="OBT119" s="199"/>
      <c r="OBU119" s="198"/>
      <c r="OBV119" s="199"/>
      <c r="OBW119" s="198"/>
      <c r="OBX119" s="199"/>
      <c r="OBY119" s="198"/>
      <c r="OBZ119" s="199"/>
      <c r="OCA119" s="198"/>
      <c r="OCB119" s="199"/>
      <c r="OCC119" s="198"/>
      <c r="OCD119" s="199"/>
      <c r="OCE119" s="198"/>
      <c r="OCF119" s="199"/>
      <c r="OCG119" s="198"/>
      <c r="OCH119" s="199"/>
      <c r="OCI119" s="198"/>
      <c r="OCJ119" s="199"/>
      <c r="OCK119" s="198"/>
      <c r="OCL119" s="199"/>
      <c r="OCM119" s="198"/>
      <c r="OCN119" s="199"/>
      <c r="OCO119" s="198"/>
      <c r="OCP119" s="199"/>
      <c r="OCQ119" s="198"/>
      <c r="OCR119" s="199"/>
      <c r="OCS119" s="198"/>
      <c r="OCT119" s="199"/>
      <c r="OCU119" s="198"/>
      <c r="OCV119" s="199"/>
      <c r="OCW119" s="198"/>
      <c r="OCX119" s="199"/>
      <c r="OCY119" s="198"/>
      <c r="OCZ119" s="199"/>
      <c r="ODA119" s="198"/>
      <c r="ODB119" s="199"/>
      <c r="ODC119" s="198"/>
      <c r="ODD119" s="199"/>
      <c r="ODE119" s="198"/>
      <c r="ODF119" s="199"/>
      <c r="ODG119" s="198"/>
      <c r="ODH119" s="199"/>
      <c r="ODI119" s="198"/>
      <c r="ODJ119" s="199"/>
      <c r="ODK119" s="198"/>
      <c r="ODL119" s="199"/>
      <c r="ODM119" s="198"/>
      <c r="ODN119" s="199"/>
      <c r="ODO119" s="198"/>
      <c r="ODP119" s="199"/>
      <c r="ODQ119" s="198"/>
      <c r="ODR119" s="199"/>
      <c r="ODS119" s="198"/>
      <c r="ODT119" s="199"/>
      <c r="ODU119" s="198"/>
      <c r="ODV119" s="199"/>
      <c r="ODW119" s="198"/>
      <c r="ODX119" s="199"/>
      <c r="ODY119" s="198"/>
      <c r="ODZ119" s="199"/>
      <c r="OEA119" s="198"/>
      <c r="OEB119" s="199"/>
      <c r="OEC119" s="198"/>
      <c r="OED119" s="199"/>
      <c r="OEE119" s="198"/>
      <c r="OEF119" s="199"/>
      <c r="OEG119" s="198"/>
      <c r="OEH119" s="199"/>
      <c r="OEI119" s="198"/>
      <c r="OEJ119" s="199"/>
      <c r="OEK119" s="198"/>
      <c r="OEL119" s="199"/>
      <c r="OEM119" s="198"/>
      <c r="OEN119" s="199"/>
      <c r="OEO119" s="198"/>
      <c r="OEP119" s="199"/>
      <c r="OEQ119" s="198"/>
      <c r="OER119" s="199"/>
      <c r="OES119" s="198"/>
      <c r="OET119" s="199"/>
      <c r="OEU119" s="198"/>
      <c r="OEV119" s="199"/>
      <c r="OEW119" s="198"/>
      <c r="OEX119" s="199"/>
      <c r="OEY119" s="198"/>
      <c r="OEZ119" s="199"/>
      <c r="OFA119" s="198"/>
      <c r="OFB119" s="199"/>
      <c r="OFC119" s="198"/>
      <c r="OFD119" s="199"/>
      <c r="OFE119" s="198"/>
      <c r="OFF119" s="199"/>
      <c r="OFG119" s="198"/>
      <c r="OFH119" s="199"/>
      <c r="OFI119" s="198"/>
      <c r="OFJ119" s="199"/>
      <c r="OFK119" s="198"/>
      <c r="OFL119" s="199"/>
      <c r="OFM119" s="198"/>
      <c r="OFN119" s="199"/>
      <c r="OFO119" s="198"/>
      <c r="OFP119" s="199"/>
      <c r="OFQ119" s="198"/>
      <c r="OFR119" s="199"/>
      <c r="OFS119" s="198"/>
      <c r="OFT119" s="199"/>
      <c r="OFU119" s="198"/>
      <c r="OFV119" s="199"/>
      <c r="OFW119" s="198"/>
      <c r="OFX119" s="199"/>
      <c r="OFY119" s="198"/>
      <c r="OFZ119" s="199"/>
      <c r="OGA119" s="198"/>
      <c r="OGB119" s="199"/>
      <c r="OGC119" s="198"/>
      <c r="OGD119" s="199"/>
      <c r="OGE119" s="198"/>
      <c r="OGF119" s="199"/>
      <c r="OGG119" s="198"/>
      <c r="OGH119" s="199"/>
      <c r="OGI119" s="198"/>
      <c r="OGJ119" s="199"/>
      <c r="OGK119" s="198"/>
      <c r="OGL119" s="199"/>
      <c r="OGM119" s="198"/>
      <c r="OGN119" s="199"/>
      <c r="OGO119" s="198"/>
      <c r="OGP119" s="199"/>
      <c r="OGQ119" s="198"/>
      <c r="OGR119" s="199"/>
      <c r="OGS119" s="198"/>
      <c r="OGT119" s="199"/>
      <c r="OGU119" s="198"/>
      <c r="OGV119" s="199"/>
      <c r="OGW119" s="198"/>
      <c r="OGX119" s="199"/>
      <c r="OGY119" s="198"/>
      <c r="OGZ119" s="199"/>
      <c r="OHA119" s="198"/>
      <c r="OHB119" s="199"/>
      <c r="OHC119" s="198"/>
      <c r="OHD119" s="199"/>
      <c r="OHE119" s="198"/>
      <c r="OHF119" s="199"/>
      <c r="OHG119" s="198"/>
      <c r="OHH119" s="199"/>
      <c r="OHI119" s="198"/>
      <c r="OHJ119" s="199"/>
      <c r="OHK119" s="198"/>
      <c r="OHL119" s="199"/>
      <c r="OHM119" s="198"/>
      <c r="OHN119" s="199"/>
      <c r="OHO119" s="198"/>
      <c r="OHP119" s="199"/>
      <c r="OHQ119" s="198"/>
      <c r="OHR119" s="199"/>
      <c r="OHS119" s="198"/>
      <c r="OHT119" s="199"/>
      <c r="OHU119" s="198"/>
      <c r="OHV119" s="199"/>
      <c r="OHW119" s="198"/>
      <c r="OHX119" s="199"/>
      <c r="OHY119" s="198"/>
      <c r="OHZ119" s="199"/>
      <c r="OIA119" s="198"/>
      <c r="OIB119" s="199"/>
      <c r="OIC119" s="198"/>
      <c r="OID119" s="199"/>
      <c r="OIE119" s="198"/>
      <c r="OIF119" s="199"/>
      <c r="OIG119" s="198"/>
      <c r="OIH119" s="199"/>
      <c r="OII119" s="198"/>
      <c r="OIJ119" s="199"/>
      <c r="OIK119" s="198"/>
      <c r="OIL119" s="199"/>
      <c r="OIM119" s="198"/>
      <c r="OIN119" s="199"/>
      <c r="OIO119" s="198"/>
      <c r="OIP119" s="199"/>
      <c r="OIQ119" s="198"/>
      <c r="OIR119" s="199"/>
      <c r="OIS119" s="198"/>
      <c r="OIT119" s="199"/>
      <c r="OIU119" s="198"/>
      <c r="OIV119" s="199"/>
      <c r="OIW119" s="198"/>
      <c r="OIX119" s="199"/>
      <c r="OIY119" s="198"/>
      <c r="OIZ119" s="199"/>
      <c r="OJA119" s="198"/>
      <c r="OJB119" s="199"/>
      <c r="OJC119" s="198"/>
      <c r="OJD119" s="199"/>
      <c r="OJE119" s="198"/>
      <c r="OJF119" s="199"/>
      <c r="OJG119" s="198"/>
      <c r="OJH119" s="199"/>
      <c r="OJI119" s="198"/>
      <c r="OJJ119" s="199"/>
      <c r="OJK119" s="198"/>
      <c r="OJL119" s="199"/>
      <c r="OJM119" s="198"/>
      <c r="OJN119" s="199"/>
      <c r="OJO119" s="198"/>
      <c r="OJP119" s="199"/>
      <c r="OJQ119" s="198"/>
      <c r="OJR119" s="199"/>
      <c r="OJS119" s="198"/>
      <c r="OJT119" s="199"/>
      <c r="OJU119" s="198"/>
      <c r="OJV119" s="199"/>
      <c r="OJW119" s="198"/>
      <c r="OJX119" s="199"/>
      <c r="OJY119" s="198"/>
      <c r="OJZ119" s="199"/>
      <c r="OKA119" s="198"/>
      <c r="OKB119" s="199"/>
      <c r="OKC119" s="198"/>
      <c r="OKD119" s="199"/>
      <c r="OKE119" s="198"/>
      <c r="OKF119" s="199"/>
      <c r="OKG119" s="198"/>
      <c r="OKH119" s="199"/>
      <c r="OKI119" s="198"/>
      <c r="OKJ119" s="199"/>
      <c r="OKK119" s="198"/>
      <c r="OKL119" s="199"/>
      <c r="OKM119" s="198"/>
      <c r="OKN119" s="199"/>
      <c r="OKO119" s="198"/>
      <c r="OKP119" s="199"/>
      <c r="OKQ119" s="198"/>
      <c r="OKR119" s="199"/>
      <c r="OKS119" s="198"/>
      <c r="OKT119" s="199"/>
      <c r="OKU119" s="198"/>
      <c r="OKV119" s="199"/>
      <c r="OKW119" s="198"/>
      <c r="OKX119" s="199"/>
      <c r="OKY119" s="198"/>
      <c r="OKZ119" s="199"/>
      <c r="OLA119" s="198"/>
      <c r="OLB119" s="199"/>
      <c r="OLC119" s="198"/>
      <c r="OLD119" s="199"/>
      <c r="OLE119" s="198"/>
      <c r="OLF119" s="199"/>
      <c r="OLG119" s="198"/>
      <c r="OLH119" s="199"/>
      <c r="OLI119" s="198"/>
      <c r="OLJ119" s="199"/>
      <c r="OLK119" s="198"/>
      <c r="OLL119" s="199"/>
      <c r="OLM119" s="198"/>
      <c r="OLN119" s="199"/>
      <c r="OLO119" s="198"/>
      <c r="OLP119" s="199"/>
      <c r="OLQ119" s="198"/>
      <c r="OLR119" s="199"/>
      <c r="OLS119" s="198"/>
      <c r="OLT119" s="199"/>
      <c r="OLU119" s="198"/>
      <c r="OLV119" s="199"/>
      <c r="OLW119" s="198"/>
      <c r="OLX119" s="199"/>
      <c r="OLY119" s="198"/>
      <c r="OLZ119" s="199"/>
      <c r="OMA119" s="198"/>
      <c r="OMB119" s="199"/>
      <c r="OMC119" s="198"/>
      <c r="OMD119" s="199"/>
      <c r="OME119" s="198"/>
      <c r="OMF119" s="199"/>
      <c r="OMG119" s="198"/>
      <c r="OMH119" s="199"/>
      <c r="OMI119" s="198"/>
      <c r="OMJ119" s="199"/>
      <c r="OMK119" s="198"/>
      <c r="OML119" s="199"/>
      <c r="OMM119" s="198"/>
      <c r="OMN119" s="199"/>
      <c r="OMO119" s="198"/>
      <c r="OMP119" s="199"/>
      <c r="OMQ119" s="198"/>
      <c r="OMR119" s="199"/>
      <c r="OMS119" s="198"/>
      <c r="OMT119" s="199"/>
      <c r="OMU119" s="198"/>
      <c r="OMV119" s="199"/>
      <c r="OMW119" s="198"/>
      <c r="OMX119" s="199"/>
      <c r="OMY119" s="198"/>
      <c r="OMZ119" s="199"/>
      <c r="ONA119" s="198"/>
      <c r="ONB119" s="199"/>
      <c r="ONC119" s="198"/>
      <c r="OND119" s="199"/>
      <c r="ONE119" s="198"/>
      <c r="ONF119" s="199"/>
      <c r="ONG119" s="198"/>
      <c r="ONH119" s="199"/>
      <c r="ONI119" s="198"/>
      <c r="ONJ119" s="199"/>
      <c r="ONK119" s="198"/>
      <c r="ONL119" s="199"/>
      <c r="ONM119" s="198"/>
      <c r="ONN119" s="199"/>
      <c r="ONO119" s="198"/>
      <c r="ONP119" s="199"/>
      <c r="ONQ119" s="198"/>
      <c r="ONR119" s="199"/>
      <c r="ONS119" s="198"/>
      <c r="ONT119" s="199"/>
      <c r="ONU119" s="198"/>
      <c r="ONV119" s="199"/>
      <c r="ONW119" s="198"/>
      <c r="ONX119" s="199"/>
      <c r="ONY119" s="198"/>
      <c r="ONZ119" s="199"/>
      <c r="OOA119" s="198"/>
      <c r="OOB119" s="199"/>
      <c r="OOC119" s="198"/>
      <c r="OOD119" s="199"/>
      <c r="OOE119" s="198"/>
      <c r="OOF119" s="199"/>
      <c r="OOG119" s="198"/>
      <c r="OOH119" s="199"/>
      <c r="OOI119" s="198"/>
      <c r="OOJ119" s="199"/>
      <c r="OOK119" s="198"/>
      <c r="OOL119" s="199"/>
      <c r="OOM119" s="198"/>
      <c r="OON119" s="199"/>
      <c r="OOO119" s="198"/>
      <c r="OOP119" s="199"/>
      <c r="OOQ119" s="198"/>
      <c r="OOR119" s="199"/>
      <c r="OOS119" s="198"/>
      <c r="OOT119" s="199"/>
      <c r="OOU119" s="198"/>
      <c r="OOV119" s="199"/>
      <c r="OOW119" s="198"/>
      <c r="OOX119" s="199"/>
      <c r="OOY119" s="198"/>
      <c r="OOZ119" s="199"/>
      <c r="OPA119" s="198"/>
      <c r="OPB119" s="199"/>
      <c r="OPC119" s="198"/>
      <c r="OPD119" s="199"/>
      <c r="OPE119" s="198"/>
      <c r="OPF119" s="199"/>
      <c r="OPG119" s="198"/>
      <c r="OPH119" s="199"/>
      <c r="OPI119" s="198"/>
      <c r="OPJ119" s="199"/>
      <c r="OPK119" s="198"/>
      <c r="OPL119" s="199"/>
      <c r="OPM119" s="198"/>
      <c r="OPN119" s="199"/>
      <c r="OPO119" s="198"/>
      <c r="OPP119" s="199"/>
      <c r="OPQ119" s="198"/>
      <c r="OPR119" s="199"/>
      <c r="OPS119" s="198"/>
      <c r="OPT119" s="199"/>
      <c r="OPU119" s="198"/>
      <c r="OPV119" s="199"/>
      <c r="OPW119" s="198"/>
      <c r="OPX119" s="199"/>
      <c r="OPY119" s="198"/>
      <c r="OPZ119" s="199"/>
      <c r="OQA119" s="198"/>
      <c r="OQB119" s="199"/>
      <c r="OQC119" s="198"/>
      <c r="OQD119" s="199"/>
      <c r="OQE119" s="198"/>
      <c r="OQF119" s="199"/>
      <c r="OQG119" s="198"/>
      <c r="OQH119" s="199"/>
      <c r="OQI119" s="198"/>
      <c r="OQJ119" s="199"/>
      <c r="OQK119" s="198"/>
      <c r="OQL119" s="199"/>
      <c r="OQM119" s="198"/>
      <c r="OQN119" s="199"/>
      <c r="OQO119" s="198"/>
      <c r="OQP119" s="199"/>
      <c r="OQQ119" s="198"/>
      <c r="OQR119" s="199"/>
      <c r="OQS119" s="198"/>
      <c r="OQT119" s="199"/>
      <c r="OQU119" s="198"/>
      <c r="OQV119" s="199"/>
      <c r="OQW119" s="198"/>
      <c r="OQX119" s="199"/>
      <c r="OQY119" s="198"/>
      <c r="OQZ119" s="199"/>
      <c r="ORA119" s="198"/>
      <c r="ORB119" s="199"/>
      <c r="ORC119" s="198"/>
      <c r="ORD119" s="199"/>
      <c r="ORE119" s="198"/>
      <c r="ORF119" s="199"/>
      <c r="ORG119" s="198"/>
      <c r="ORH119" s="199"/>
      <c r="ORI119" s="198"/>
      <c r="ORJ119" s="199"/>
      <c r="ORK119" s="198"/>
      <c r="ORL119" s="199"/>
      <c r="ORM119" s="198"/>
      <c r="ORN119" s="199"/>
      <c r="ORO119" s="198"/>
      <c r="ORP119" s="199"/>
      <c r="ORQ119" s="198"/>
      <c r="ORR119" s="199"/>
      <c r="ORS119" s="198"/>
      <c r="ORT119" s="199"/>
      <c r="ORU119" s="198"/>
      <c r="ORV119" s="199"/>
      <c r="ORW119" s="198"/>
      <c r="ORX119" s="199"/>
      <c r="ORY119" s="198"/>
      <c r="ORZ119" s="199"/>
      <c r="OSA119" s="198"/>
      <c r="OSB119" s="199"/>
      <c r="OSC119" s="198"/>
      <c r="OSD119" s="199"/>
      <c r="OSE119" s="198"/>
      <c r="OSF119" s="199"/>
      <c r="OSG119" s="198"/>
      <c r="OSH119" s="199"/>
      <c r="OSI119" s="198"/>
      <c r="OSJ119" s="199"/>
      <c r="OSK119" s="198"/>
      <c r="OSL119" s="199"/>
      <c r="OSM119" s="198"/>
      <c r="OSN119" s="199"/>
      <c r="OSO119" s="198"/>
      <c r="OSP119" s="199"/>
      <c r="OSQ119" s="198"/>
      <c r="OSR119" s="199"/>
      <c r="OSS119" s="198"/>
      <c r="OST119" s="199"/>
      <c r="OSU119" s="198"/>
      <c r="OSV119" s="199"/>
      <c r="OSW119" s="198"/>
      <c r="OSX119" s="199"/>
      <c r="OSY119" s="198"/>
      <c r="OSZ119" s="199"/>
      <c r="OTA119" s="198"/>
      <c r="OTB119" s="199"/>
      <c r="OTC119" s="198"/>
      <c r="OTD119" s="199"/>
      <c r="OTE119" s="198"/>
      <c r="OTF119" s="199"/>
      <c r="OTG119" s="198"/>
      <c r="OTH119" s="199"/>
      <c r="OTI119" s="198"/>
      <c r="OTJ119" s="199"/>
      <c r="OTK119" s="198"/>
      <c r="OTL119" s="199"/>
      <c r="OTM119" s="198"/>
      <c r="OTN119" s="199"/>
      <c r="OTO119" s="198"/>
      <c r="OTP119" s="199"/>
      <c r="OTQ119" s="198"/>
      <c r="OTR119" s="199"/>
      <c r="OTS119" s="198"/>
      <c r="OTT119" s="199"/>
      <c r="OTU119" s="198"/>
      <c r="OTV119" s="199"/>
      <c r="OTW119" s="198"/>
      <c r="OTX119" s="199"/>
      <c r="OTY119" s="198"/>
      <c r="OTZ119" s="199"/>
      <c r="OUA119" s="198"/>
      <c r="OUB119" s="199"/>
      <c r="OUC119" s="198"/>
      <c r="OUD119" s="199"/>
      <c r="OUE119" s="198"/>
      <c r="OUF119" s="199"/>
      <c r="OUG119" s="198"/>
      <c r="OUH119" s="199"/>
      <c r="OUI119" s="198"/>
      <c r="OUJ119" s="199"/>
      <c r="OUK119" s="198"/>
      <c r="OUL119" s="199"/>
      <c r="OUM119" s="198"/>
      <c r="OUN119" s="199"/>
      <c r="OUO119" s="198"/>
      <c r="OUP119" s="199"/>
      <c r="OUQ119" s="198"/>
      <c r="OUR119" s="199"/>
      <c r="OUS119" s="198"/>
      <c r="OUT119" s="199"/>
      <c r="OUU119" s="198"/>
      <c r="OUV119" s="199"/>
      <c r="OUW119" s="198"/>
      <c r="OUX119" s="199"/>
      <c r="OUY119" s="198"/>
      <c r="OUZ119" s="199"/>
      <c r="OVA119" s="198"/>
      <c r="OVB119" s="199"/>
      <c r="OVC119" s="198"/>
      <c r="OVD119" s="199"/>
      <c r="OVE119" s="198"/>
      <c r="OVF119" s="199"/>
      <c r="OVG119" s="198"/>
      <c r="OVH119" s="199"/>
      <c r="OVI119" s="198"/>
      <c r="OVJ119" s="199"/>
      <c r="OVK119" s="198"/>
      <c r="OVL119" s="199"/>
      <c r="OVM119" s="198"/>
      <c r="OVN119" s="199"/>
      <c r="OVO119" s="198"/>
      <c r="OVP119" s="199"/>
      <c r="OVQ119" s="198"/>
      <c r="OVR119" s="199"/>
      <c r="OVS119" s="198"/>
      <c r="OVT119" s="199"/>
      <c r="OVU119" s="198"/>
      <c r="OVV119" s="199"/>
      <c r="OVW119" s="198"/>
      <c r="OVX119" s="199"/>
      <c r="OVY119" s="198"/>
      <c r="OVZ119" s="199"/>
      <c r="OWA119" s="198"/>
      <c r="OWB119" s="199"/>
      <c r="OWC119" s="198"/>
      <c r="OWD119" s="199"/>
      <c r="OWE119" s="198"/>
      <c r="OWF119" s="199"/>
      <c r="OWG119" s="198"/>
      <c r="OWH119" s="199"/>
      <c r="OWI119" s="198"/>
      <c r="OWJ119" s="199"/>
      <c r="OWK119" s="198"/>
      <c r="OWL119" s="199"/>
      <c r="OWM119" s="198"/>
      <c r="OWN119" s="199"/>
      <c r="OWO119" s="198"/>
      <c r="OWP119" s="199"/>
      <c r="OWQ119" s="198"/>
      <c r="OWR119" s="199"/>
      <c r="OWS119" s="198"/>
      <c r="OWT119" s="199"/>
      <c r="OWU119" s="198"/>
      <c r="OWV119" s="199"/>
      <c r="OWW119" s="198"/>
      <c r="OWX119" s="199"/>
      <c r="OWY119" s="198"/>
      <c r="OWZ119" s="199"/>
      <c r="OXA119" s="198"/>
      <c r="OXB119" s="199"/>
      <c r="OXC119" s="198"/>
      <c r="OXD119" s="199"/>
      <c r="OXE119" s="198"/>
      <c r="OXF119" s="199"/>
      <c r="OXG119" s="198"/>
      <c r="OXH119" s="199"/>
      <c r="OXI119" s="198"/>
      <c r="OXJ119" s="199"/>
      <c r="OXK119" s="198"/>
      <c r="OXL119" s="199"/>
      <c r="OXM119" s="198"/>
      <c r="OXN119" s="199"/>
      <c r="OXO119" s="198"/>
      <c r="OXP119" s="199"/>
      <c r="OXQ119" s="198"/>
      <c r="OXR119" s="199"/>
      <c r="OXS119" s="198"/>
      <c r="OXT119" s="199"/>
      <c r="OXU119" s="198"/>
      <c r="OXV119" s="199"/>
      <c r="OXW119" s="198"/>
      <c r="OXX119" s="199"/>
      <c r="OXY119" s="198"/>
      <c r="OXZ119" s="199"/>
      <c r="OYA119" s="198"/>
      <c r="OYB119" s="199"/>
      <c r="OYC119" s="198"/>
      <c r="OYD119" s="199"/>
      <c r="OYE119" s="198"/>
      <c r="OYF119" s="199"/>
      <c r="OYG119" s="198"/>
      <c r="OYH119" s="199"/>
      <c r="OYI119" s="198"/>
      <c r="OYJ119" s="199"/>
      <c r="OYK119" s="198"/>
      <c r="OYL119" s="199"/>
      <c r="OYM119" s="198"/>
      <c r="OYN119" s="199"/>
      <c r="OYO119" s="198"/>
      <c r="OYP119" s="199"/>
      <c r="OYQ119" s="198"/>
      <c r="OYR119" s="199"/>
      <c r="OYS119" s="198"/>
      <c r="OYT119" s="199"/>
      <c r="OYU119" s="198"/>
      <c r="OYV119" s="199"/>
      <c r="OYW119" s="198"/>
      <c r="OYX119" s="199"/>
      <c r="OYY119" s="198"/>
      <c r="OYZ119" s="199"/>
      <c r="OZA119" s="198"/>
      <c r="OZB119" s="199"/>
      <c r="OZC119" s="198"/>
      <c r="OZD119" s="199"/>
      <c r="OZE119" s="198"/>
      <c r="OZF119" s="199"/>
      <c r="OZG119" s="198"/>
      <c r="OZH119" s="199"/>
      <c r="OZI119" s="198"/>
      <c r="OZJ119" s="199"/>
      <c r="OZK119" s="198"/>
      <c r="OZL119" s="199"/>
      <c r="OZM119" s="198"/>
      <c r="OZN119" s="199"/>
      <c r="OZO119" s="198"/>
      <c r="OZP119" s="199"/>
      <c r="OZQ119" s="198"/>
      <c r="OZR119" s="199"/>
      <c r="OZS119" s="198"/>
      <c r="OZT119" s="199"/>
      <c r="OZU119" s="198"/>
      <c r="OZV119" s="199"/>
      <c r="OZW119" s="198"/>
      <c r="OZX119" s="199"/>
      <c r="OZY119" s="198"/>
      <c r="OZZ119" s="199"/>
      <c r="PAA119" s="198"/>
      <c r="PAB119" s="199"/>
      <c r="PAC119" s="198"/>
      <c r="PAD119" s="199"/>
      <c r="PAE119" s="198"/>
      <c r="PAF119" s="199"/>
      <c r="PAG119" s="198"/>
      <c r="PAH119" s="199"/>
      <c r="PAI119" s="198"/>
      <c r="PAJ119" s="199"/>
      <c r="PAK119" s="198"/>
      <c r="PAL119" s="199"/>
      <c r="PAM119" s="198"/>
      <c r="PAN119" s="199"/>
      <c r="PAO119" s="198"/>
      <c r="PAP119" s="199"/>
      <c r="PAQ119" s="198"/>
      <c r="PAR119" s="199"/>
      <c r="PAS119" s="198"/>
      <c r="PAT119" s="199"/>
      <c r="PAU119" s="198"/>
      <c r="PAV119" s="199"/>
      <c r="PAW119" s="198"/>
      <c r="PAX119" s="199"/>
      <c r="PAY119" s="198"/>
      <c r="PAZ119" s="199"/>
      <c r="PBA119" s="198"/>
      <c r="PBB119" s="199"/>
      <c r="PBC119" s="198"/>
      <c r="PBD119" s="199"/>
      <c r="PBE119" s="198"/>
      <c r="PBF119" s="199"/>
      <c r="PBG119" s="198"/>
      <c r="PBH119" s="199"/>
      <c r="PBI119" s="198"/>
      <c r="PBJ119" s="199"/>
      <c r="PBK119" s="198"/>
      <c r="PBL119" s="199"/>
      <c r="PBM119" s="198"/>
      <c r="PBN119" s="199"/>
      <c r="PBO119" s="198"/>
      <c r="PBP119" s="199"/>
      <c r="PBQ119" s="198"/>
      <c r="PBR119" s="199"/>
      <c r="PBS119" s="198"/>
      <c r="PBT119" s="199"/>
      <c r="PBU119" s="198"/>
      <c r="PBV119" s="199"/>
      <c r="PBW119" s="198"/>
      <c r="PBX119" s="199"/>
      <c r="PBY119" s="198"/>
      <c r="PBZ119" s="199"/>
      <c r="PCA119" s="198"/>
      <c r="PCB119" s="199"/>
      <c r="PCC119" s="198"/>
      <c r="PCD119" s="199"/>
      <c r="PCE119" s="198"/>
      <c r="PCF119" s="199"/>
      <c r="PCG119" s="198"/>
      <c r="PCH119" s="199"/>
      <c r="PCI119" s="198"/>
      <c r="PCJ119" s="199"/>
      <c r="PCK119" s="198"/>
      <c r="PCL119" s="199"/>
      <c r="PCM119" s="198"/>
      <c r="PCN119" s="199"/>
      <c r="PCO119" s="198"/>
      <c r="PCP119" s="199"/>
      <c r="PCQ119" s="198"/>
      <c r="PCR119" s="199"/>
      <c r="PCS119" s="198"/>
      <c r="PCT119" s="199"/>
      <c r="PCU119" s="198"/>
      <c r="PCV119" s="199"/>
      <c r="PCW119" s="198"/>
      <c r="PCX119" s="199"/>
      <c r="PCY119" s="198"/>
      <c r="PCZ119" s="199"/>
      <c r="PDA119" s="198"/>
      <c r="PDB119" s="199"/>
      <c r="PDC119" s="198"/>
      <c r="PDD119" s="199"/>
      <c r="PDE119" s="198"/>
      <c r="PDF119" s="199"/>
      <c r="PDG119" s="198"/>
      <c r="PDH119" s="199"/>
      <c r="PDI119" s="198"/>
      <c r="PDJ119" s="199"/>
      <c r="PDK119" s="198"/>
      <c r="PDL119" s="199"/>
      <c r="PDM119" s="198"/>
      <c r="PDN119" s="199"/>
      <c r="PDO119" s="198"/>
      <c r="PDP119" s="199"/>
      <c r="PDQ119" s="198"/>
      <c r="PDR119" s="199"/>
      <c r="PDS119" s="198"/>
      <c r="PDT119" s="199"/>
      <c r="PDU119" s="198"/>
      <c r="PDV119" s="199"/>
      <c r="PDW119" s="198"/>
      <c r="PDX119" s="199"/>
      <c r="PDY119" s="198"/>
      <c r="PDZ119" s="199"/>
      <c r="PEA119" s="198"/>
      <c r="PEB119" s="199"/>
      <c r="PEC119" s="198"/>
      <c r="PED119" s="199"/>
      <c r="PEE119" s="198"/>
      <c r="PEF119" s="199"/>
      <c r="PEG119" s="198"/>
      <c r="PEH119" s="199"/>
      <c r="PEI119" s="198"/>
      <c r="PEJ119" s="199"/>
      <c r="PEK119" s="198"/>
      <c r="PEL119" s="199"/>
      <c r="PEM119" s="198"/>
      <c r="PEN119" s="199"/>
      <c r="PEO119" s="198"/>
      <c r="PEP119" s="199"/>
      <c r="PEQ119" s="198"/>
      <c r="PER119" s="199"/>
      <c r="PES119" s="198"/>
      <c r="PET119" s="199"/>
      <c r="PEU119" s="198"/>
      <c r="PEV119" s="199"/>
      <c r="PEW119" s="198"/>
      <c r="PEX119" s="199"/>
      <c r="PEY119" s="198"/>
      <c r="PEZ119" s="199"/>
      <c r="PFA119" s="198"/>
      <c r="PFB119" s="199"/>
      <c r="PFC119" s="198"/>
      <c r="PFD119" s="199"/>
      <c r="PFE119" s="198"/>
      <c r="PFF119" s="199"/>
      <c r="PFG119" s="198"/>
      <c r="PFH119" s="199"/>
      <c r="PFI119" s="198"/>
      <c r="PFJ119" s="199"/>
      <c r="PFK119" s="198"/>
      <c r="PFL119" s="199"/>
      <c r="PFM119" s="198"/>
      <c r="PFN119" s="199"/>
      <c r="PFO119" s="198"/>
      <c r="PFP119" s="199"/>
      <c r="PFQ119" s="198"/>
      <c r="PFR119" s="199"/>
      <c r="PFS119" s="198"/>
      <c r="PFT119" s="199"/>
      <c r="PFU119" s="198"/>
      <c r="PFV119" s="199"/>
      <c r="PFW119" s="198"/>
      <c r="PFX119" s="199"/>
      <c r="PFY119" s="198"/>
      <c r="PFZ119" s="199"/>
      <c r="PGA119" s="198"/>
      <c r="PGB119" s="199"/>
      <c r="PGC119" s="198"/>
      <c r="PGD119" s="199"/>
      <c r="PGE119" s="198"/>
      <c r="PGF119" s="199"/>
      <c r="PGG119" s="198"/>
      <c r="PGH119" s="199"/>
      <c r="PGI119" s="198"/>
      <c r="PGJ119" s="199"/>
      <c r="PGK119" s="198"/>
      <c r="PGL119" s="199"/>
      <c r="PGM119" s="198"/>
      <c r="PGN119" s="199"/>
      <c r="PGO119" s="198"/>
      <c r="PGP119" s="199"/>
      <c r="PGQ119" s="198"/>
      <c r="PGR119" s="199"/>
      <c r="PGS119" s="198"/>
      <c r="PGT119" s="199"/>
      <c r="PGU119" s="198"/>
      <c r="PGV119" s="199"/>
      <c r="PGW119" s="198"/>
      <c r="PGX119" s="199"/>
      <c r="PGY119" s="198"/>
      <c r="PGZ119" s="199"/>
      <c r="PHA119" s="198"/>
      <c r="PHB119" s="199"/>
      <c r="PHC119" s="198"/>
      <c r="PHD119" s="199"/>
      <c r="PHE119" s="198"/>
      <c r="PHF119" s="199"/>
      <c r="PHG119" s="198"/>
      <c r="PHH119" s="199"/>
      <c r="PHI119" s="198"/>
      <c r="PHJ119" s="199"/>
      <c r="PHK119" s="198"/>
      <c r="PHL119" s="199"/>
      <c r="PHM119" s="198"/>
      <c r="PHN119" s="199"/>
      <c r="PHO119" s="198"/>
      <c r="PHP119" s="199"/>
      <c r="PHQ119" s="198"/>
      <c r="PHR119" s="199"/>
      <c r="PHS119" s="198"/>
      <c r="PHT119" s="199"/>
      <c r="PHU119" s="198"/>
      <c r="PHV119" s="199"/>
      <c r="PHW119" s="198"/>
      <c r="PHX119" s="199"/>
      <c r="PHY119" s="198"/>
      <c r="PHZ119" s="199"/>
      <c r="PIA119" s="198"/>
      <c r="PIB119" s="199"/>
      <c r="PIC119" s="198"/>
      <c r="PID119" s="199"/>
      <c r="PIE119" s="198"/>
      <c r="PIF119" s="199"/>
      <c r="PIG119" s="198"/>
      <c r="PIH119" s="199"/>
      <c r="PII119" s="198"/>
      <c r="PIJ119" s="199"/>
      <c r="PIK119" s="198"/>
      <c r="PIL119" s="199"/>
      <c r="PIM119" s="198"/>
      <c r="PIN119" s="199"/>
      <c r="PIO119" s="198"/>
      <c r="PIP119" s="199"/>
      <c r="PIQ119" s="198"/>
      <c r="PIR119" s="199"/>
      <c r="PIS119" s="198"/>
      <c r="PIT119" s="199"/>
      <c r="PIU119" s="198"/>
      <c r="PIV119" s="199"/>
      <c r="PIW119" s="198"/>
      <c r="PIX119" s="199"/>
      <c r="PIY119" s="198"/>
      <c r="PIZ119" s="199"/>
      <c r="PJA119" s="198"/>
      <c r="PJB119" s="199"/>
      <c r="PJC119" s="198"/>
      <c r="PJD119" s="199"/>
      <c r="PJE119" s="198"/>
      <c r="PJF119" s="199"/>
      <c r="PJG119" s="198"/>
      <c r="PJH119" s="199"/>
      <c r="PJI119" s="198"/>
      <c r="PJJ119" s="199"/>
      <c r="PJK119" s="198"/>
      <c r="PJL119" s="199"/>
      <c r="PJM119" s="198"/>
      <c r="PJN119" s="199"/>
      <c r="PJO119" s="198"/>
      <c r="PJP119" s="199"/>
      <c r="PJQ119" s="198"/>
      <c r="PJR119" s="199"/>
      <c r="PJS119" s="198"/>
      <c r="PJT119" s="199"/>
      <c r="PJU119" s="198"/>
      <c r="PJV119" s="199"/>
      <c r="PJW119" s="198"/>
      <c r="PJX119" s="199"/>
      <c r="PJY119" s="198"/>
      <c r="PJZ119" s="199"/>
      <c r="PKA119" s="198"/>
      <c r="PKB119" s="199"/>
      <c r="PKC119" s="198"/>
      <c r="PKD119" s="199"/>
      <c r="PKE119" s="198"/>
      <c r="PKF119" s="199"/>
      <c r="PKG119" s="198"/>
      <c r="PKH119" s="199"/>
      <c r="PKI119" s="198"/>
      <c r="PKJ119" s="199"/>
      <c r="PKK119" s="198"/>
      <c r="PKL119" s="199"/>
      <c r="PKM119" s="198"/>
      <c r="PKN119" s="199"/>
      <c r="PKO119" s="198"/>
      <c r="PKP119" s="199"/>
      <c r="PKQ119" s="198"/>
      <c r="PKR119" s="199"/>
      <c r="PKS119" s="198"/>
      <c r="PKT119" s="199"/>
      <c r="PKU119" s="198"/>
      <c r="PKV119" s="199"/>
      <c r="PKW119" s="198"/>
      <c r="PKX119" s="199"/>
      <c r="PKY119" s="198"/>
      <c r="PKZ119" s="199"/>
      <c r="PLA119" s="198"/>
      <c r="PLB119" s="199"/>
      <c r="PLC119" s="198"/>
      <c r="PLD119" s="199"/>
      <c r="PLE119" s="198"/>
      <c r="PLF119" s="199"/>
      <c r="PLG119" s="198"/>
      <c r="PLH119" s="199"/>
      <c r="PLI119" s="198"/>
      <c r="PLJ119" s="199"/>
      <c r="PLK119" s="198"/>
      <c r="PLL119" s="199"/>
      <c r="PLM119" s="198"/>
      <c r="PLN119" s="199"/>
      <c r="PLO119" s="198"/>
      <c r="PLP119" s="199"/>
      <c r="PLQ119" s="198"/>
      <c r="PLR119" s="199"/>
      <c r="PLS119" s="198"/>
      <c r="PLT119" s="199"/>
      <c r="PLU119" s="198"/>
      <c r="PLV119" s="199"/>
      <c r="PLW119" s="198"/>
      <c r="PLX119" s="199"/>
      <c r="PLY119" s="198"/>
      <c r="PLZ119" s="199"/>
      <c r="PMA119" s="198"/>
      <c r="PMB119" s="199"/>
      <c r="PMC119" s="198"/>
      <c r="PMD119" s="199"/>
      <c r="PME119" s="198"/>
      <c r="PMF119" s="199"/>
      <c r="PMG119" s="198"/>
      <c r="PMH119" s="199"/>
      <c r="PMI119" s="198"/>
      <c r="PMJ119" s="199"/>
      <c r="PMK119" s="198"/>
      <c r="PML119" s="199"/>
      <c r="PMM119" s="198"/>
      <c r="PMN119" s="199"/>
      <c r="PMO119" s="198"/>
      <c r="PMP119" s="199"/>
      <c r="PMQ119" s="198"/>
      <c r="PMR119" s="199"/>
      <c r="PMS119" s="198"/>
      <c r="PMT119" s="199"/>
      <c r="PMU119" s="198"/>
      <c r="PMV119" s="199"/>
      <c r="PMW119" s="198"/>
      <c r="PMX119" s="199"/>
      <c r="PMY119" s="198"/>
      <c r="PMZ119" s="199"/>
      <c r="PNA119" s="198"/>
      <c r="PNB119" s="199"/>
      <c r="PNC119" s="198"/>
      <c r="PND119" s="199"/>
      <c r="PNE119" s="198"/>
      <c r="PNF119" s="199"/>
      <c r="PNG119" s="198"/>
      <c r="PNH119" s="199"/>
      <c r="PNI119" s="198"/>
      <c r="PNJ119" s="199"/>
      <c r="PNK119" s="198"/>
      <c r="PNL119" s="199"/>
      <c r="PNM119" s="198"/>
      <c r="PNN119" s="199"/>
      <c r="PNO119" s="198"/>
      <c r="PNP119" s="199"/>
      <c r="PNQ119" s="198"/>
      <c r="PNR119" s="199"/>
      <c r="PNS119" s="198"/>
      <c r="PNT119" s="199"/>
      <c r="PNU119" s="198"/>
      <c r="PNV119" s="199"/>
      <c r="PNW119" s="198"/>
      <c r="PNX119" s="199"/>
      <c r="PNY119" s="198"/>
      <c r="PNZ119" s="199"/>
      <c r="POA119" s="198"/>
      <c r="POB119" s="199"/>
      <c r="POC119" s="198"/>
      <c r="POD119" s="199"/>
      <c r="POE119" s="198"/>
      <c r="POF119" s="199"/>
      <c r="POG119" s="198"/>
      <c r="POH119" s="199"/>
      <c r="POI119" s="198"/>
      <c r="POJ119" s="199"/>
      <c r="POK119" s="198"/>
      <c r="POL119" s="199"/>
      <c r="POM119" s="198"/>
      <c r="PON119" s="199"/>
      <c r="POO119" s="198"/>
      <c r="POP119" s="199"/>
      <c r="POQ119" s="198"/>
      <c r="POR119" s="199"/>
      <c r="POS119" s="198"/>
      <c r="POT119" s="199"/>
      <c r="POU119" s="198"/>
      <c r="POV119" s="199"/>
      <c r="POW119" s="198"/>
      <c r="POX119" s="199"/>
      <c r="POY119" s="198"/>
      <c r="POZ119" s="199"/>
      <c r="PPA119" s="198"/>
      <c r="PPB119" s="199"/>
      <c r="PPC119" s="198"/>
      <c r="PPD119" s="199"/>
      <c r="PPE119" s="198"/>
      <c r="PPF119" s="199"/>
      <c r="PPG119" s="198"/>
      <c r="PPH119" s="199"/>
      <c r="PPI119" s="198"/>
      <c r="PPJ119" s="199"/>
      <c r="PPK119" s="198"/>
      <c r="PPL119" s="199"/>
      <c r="PPM119" s="198"/>
      <c r="PPN119" s="199"/>
      <c r="PPO119" s="198"/>
      <c r="PPP119" s="199"/>
      <c r="PPQ119" s="198"/>
      <c r="PPR119" s="199"/>
      <c r="PPS119" s="198"/>
      <c r="PPT119" s="199"/>
      <c r="PPU119" s="198"/>
      <c r="PPV119" s="199"/>
      <c r="PPW119" s="198"/>
      <c r="PPX119" s="199"/>
      <c r="PPY119" s="198"/>
      <c r="PPZ119" s="199"/>
      <c r="PQA119" s="198"/>
      <c r="PQB119" s="199"/>
      <c r="PQC119" s="198"/>
      <c r="PQD119" s="199"/>
      <c r="PQE119" s="198"/>
      <c r="PQF119" s="199"/>
      <c r="PQG119" s="198"/>
      <c r="PQH119" s="199"/>
      <c r="PQI119" s="198"/>
      <c r="PQJ119" s="199"/>
      <c r="PQK119" s="198"/>
      <c r="PQL119" s="199"/>
      <c r="PQM119" s="198"/>
      <c r="PQN119" s="199"/>
      <c r="PQO119" s="198"/>
      <c r="PQP119" s="199"/>
      <c r="PQQ119" s="198"/>
      <c r="PQR119" s="199"/>
      <c r="PQS119" s="198"/>
      <c r="PQT119" s="199"/>
      <c r="PQU119" s="198"/>
      <c r="PQV119" s="199"/>
      <c r="PQW119" s="198"/>
      <c r="PQX119" s="199"/>
      <c r="PQY119" s="198"/>
      <c r="PQZ119" s="199"/>
      <c r="PRA119" s="198"/>
      <c r="PRB119" s="199"/>
      <c r="PRC119" s="198"/>
      <c r="PRD119" s="199"/>
      <c r="PRE119" s="198"/>
      <c r="PRF119" s="199"/>
      <c r="PRG119" s="198"/>
      <c r="PRH119" s="199"/>
      <c r="PRI119" s="198"/>
      <c r="PRJ119" s="199"/>
      <c r="PRK119" s="198"/>
      <c r="PRL119" s="199"/>
      <c r="PRM119" s="198"/>
      <c r="PRN119" s="199"/>
      <c r="PRO119" s="198"/>
      <c r="PRP119" s="199"/>
      <c r="PRQ119" s="198"/>
      <c r="PRR119" s="199"/>
      <c r="PRS119" s="198"/>
      <c r="PRT119" s="199"/>
      <c r="PRU119" s="198"/>
      <c r="PRV119" s="199"/>
      <c r="PRW119" s="198"/>
      <c r="PRX119" s="199"/>
      <c r="PRY119" s="198"/>
      <c r="PRZ119" s="199"/>
      <c r="PSA119" s="198"/>
      <c r="PSB119" s="199"/>
      <c r="PSC119" s="198"/>
      <c r="PSD119" s="199"/>
      <c r="PSE119" s="198"/>
      <c r="PSF119" s="199"/>
      <c r="PSG119" s="198"/>
      <c r="PSH119" s="199"/>
      <c r="PSI119" s="198"/>
      <c r="PSJ119" s="199"/>
      <c r="PSK119" s="198"/>
      <c r="PSL119" s="199"/>
      <c r="PSM119" s="198"/>
      <c r="PSN119" s="199"/>
      <c r="PSO119" s="198"/>
      <c r="PSP119" s="199"/>
      <c r="PSQ119" s="198"/>
      <c r="PSR119" s="199"/>
      <c r="PSS119" s="198"/>
      <c r="PST119" s="199"/>
      <c r="PSU119" s="198"/>
      <c r="PSV119" s="199"/>
      <c r="PSW119" s="198"/>
      <c r="PSX119" s="199"/>
      <c r="PSY119" s="198"/>
      <c r="PSZ119" s="199"/>
      <c r="PTA119" s="198"/>
      <c r="PTB119" s="199"/>
      <c r="PTC119" s="198"/>
      <c r="PTD119" s="199"/>
      <c r="PTE119" s="198"/>
      <c r="PTF119" s="199"/>
      <c r="PTG119" s="198"/>
      <c r="PTH119" s="199"/>
      <c r="PTI119" s="198"/>
      <c r="PTJ119" s="199"/>
      <c r="PTK119" s="198"/>
      <c r="PTL119" s="199"/>
      <c r="PTM119" s="198"/>
      <c r="PTN119" s="199"/>
      <c r="PTO119" s="198"/>
      <c r="PTP119" s="199"/>
      <c r="PTQ119" s="198"/>
      <c r="PTR119" s="199"/>
      <c r="PTS119" s="198"/>
      <c r="PTT119" s="199"/>
      <c r="PTU119" s="198"/>
      <c r="PTV119" s="199"/>
      <c r="PTW119" s="198"/>
      <c r="PTX119" s="199"/>
      <c r="PTY119" s="198"/>
      <c r="PTZ119" s="199"/>
      <c r="PUA119" s="198"/>
      <c r="PUB119" s="199"/>
      <c r="PUC119" s="198"/>
      <c r="PUD119" s="199"/>
      <c r="PUE119" s="198"/>
      <c r="PUF119" s="199"/>
      <c r="PUG119" s="198"/>
      <c r="PUH119" s="199"/>
      <c r="PUI119" s="198"/>
      <c r="PUJ119" s="199"/>
      <c r="PUK119" s="198"/>
      <c r="PUL119" s="199"/>
      <c r="PUM119" s="198"/>
      <c r="PUN119" s="199"/>
      <c r="PUO119" s="198"/>
      <c r="PUP119" s="199"/>
      <c r="PUQ119" s="198"/>
      <c r="PUR119" s="199"/>
      <c r="PUS119" s="198"/>
      <c r="PUT119" s="199"/>
      <c r="PUU119" s="198"/>
      <c r="PUV119" s="199"/>
      <c r="PUW119" s="198"/>
      <c r="PUX119" s="199"/>
      <c r="PUY119" s="198"/>
      <c r="PUZ119" s="199"/>
      <c r="PVA119" s="198"/>
      <c r="PVB119" s="199"/>
      <c r="PVC119" s="198"/>
      <c r="PVD119" s="199"/>
      <c r="PVE119" s="198"/>
      <c r="PVF119" s="199"/>
      <c r="PVG119" s="198"/>
      <c r="PVH119" s="199"/>
      <c r="PVI119" s="198"/>
      <c r="PVJ119" s="199"/>
      <c r="PVK119" s="198"/>
      <c r="PVL119" s="199"/>
      <c r="PVM119" s="198"/>
      <c r="PVN119" s="199"/>
      <c r="PVO119" s="198"/>
      <c r="PVP119" s="199"/>
      <c r="PVQ119" s="198"/>
      <c r="PVR119" s="199"/>
      <c r="PVS119" s="198"/>
      <c r="PVT119" s="199"/>
      <c r="PVU119" s="198"/>
      <c r="PVV119" s="199"/>
      <c r="PVW119" s="198"/>
      <c r="PVX119" s="199"/>
      <c r="PVY119" s="198"/>
      <c r="PVZ119" s="199"/>
      <c r="PWA119" s="198"/>
      <c r="PWB119" s="199"/>
      <c r="PWC119" s="198"/>
      <c r="PWD119" s="199"/>
      <c r="PWE119" s="198"/>
      <c r="PWF119" s="199"/>
      <c r="PWG119" s="198"/>
      <c r="PWH119" s="199"/>
      <c r="PWI119" s="198"/>
      <c r="PWJ119" s="199"/>
      <c r="PWK119" s="198"/>
      <c r="PWL119" s="199"/>
      <c r="PWM119" s="198"/>
      <c r="PWN119" s="199"/>
      <c r="PWO119" s="198"/>
      <c r="PWP119" s="199"/>
      <c r="PWQ119" s="198"/>
      <c r="PWR119" s="199"/>
      <c r="PWS119" s="198"/>
      <c r="PWT119" s="199"/>
      <c r="PWU119" s="198"/>
      <c r="PWV119" s="199"/>
      <c r="PWW119" s="198"/>
      <c r="PWX119" s="199"/>
      <c r="PWY119" s="198"/>
      <c r="PWZ119" s="199"/>
      <c r="PXA119" s="198"/>
      <c r="PXB119" s="199"/>
      <c r="PXC119" s="198"/>
      <c r="PXD119" s="199"/>
      <c r="PXE119" s="198"/>
      <c r="PXF119" s="199"/>
      <c r="PXG119" s="198"/>
      <c r="PXH119" s="199"/>
      <c r="PXI119" s="198"/>
      <c r="PXJ119" s="199"/>
      <c r="PXK119" s="198"/>
      <c r="PXL119" s="199"/>
      <c r="PXM119" s="198"/>
      <c r="PXN119" s="199"/>
      <c r="PXO119" s="198"/>
      <c r="PXP119" s="199"/>
      <c r="PXQ119" s="198"/>
      <c r="PXR119" s="199"/>
      <c r="PXS119" s="198"/>
      <c r="PXT119" s="199"/>
      <c r="PXU119" s="198"/>
      <c r="PXV119" s="199"/>
      <c r="PXW119" s="198"/>
      <c r="PXX119" s="199"/>
      <c r="PXY119" s="198"/>
      <c r="PXZ119" s="199"/>
      <c r="PYA119" s="198"/>
      <c r="PYB119" s="199"/>
      <c r="PYC119" s="198"/>
      <c r="PYD119" s="199"/>
      <c r="PYE119" s="198"/>
      <c r="PYF119" s="199"/>
      <c r="PYG119" s="198"/>
      <c r="PYH119" s="199"/>
      <c r="PYI119" s="198"/>
      <c r="PYJ119" s="199"/>
      <c r="PYK119" s="198"/>
      <c r="PYL119" s="199"/>
      <c r="PYM119" s="198"/>
      <c r="PYN119" s="199"/>
      <c r="PYO119" s="198"/>
      <c r="PYP119" s="199"/>
      <c r="PYQ119" s="198"/>
      <c r="PYR119" s="199"/>
      <c r="PYS119" s="198"/>
      <c r="PYT119" s="199"/>
      <c r="PYU119" s="198"/>
      <c r="PYV119" s="199"/>
      <c r="PYW119" s="198"/>
      <c r="PYX119" s="199"/>
      <c r="PYY119" s="198"/>
      <c r="PYZ119" s="199"/>
      <c r="PZA119" s="198"/>
      <c r="PZB119" s="199"/>
      <c r="PZC119" s="198"/>
      <c r="PZD119" s="199"/>
      <c r="PZE119" s="198"/>
      <c r="PZF119" s="199"/>
      <c r="PZG119" s="198"/>
      <c r="PZH119" s="199"/>
      <c r="PZI119" s="198"/>
      <c r="PZJ119" s="199"/>
      <c r="PZK119" s="198"/>
      <c r="PZL119" s="199"/>
      <c r="PZM119" s="198"/>
      <c r="PZN119" s="199"/>
      <c r="PZO119" s="198"/>
      <c r="PZP119" s="199"/>
      <c r="PZQ119" s="198"/>
      <c r="PZR119" s="199"/>
      <c r="PZS119" s="198"/>
      <c r="PZT119" s="199"/>
      <c r="PZU119" s="198"/>
      <c r="PZV119" s="199"/>
      <c r="PZW119" s="198"/>
      <c r="PZX119" s="199"/>
      <c r="PZY119" s="198"/>
      <c r="PZZ119" s="199"/>
      <c r="QAA119" s="198"/>
      <c r="QAB119" s="199"/>
      <c r="QAC119" s="198"/>
      <c r="QAD119" s="199"/>
      <c r="QAE119" s="198"/>
      <c r="QAF119" s="199"/>
      <c r="QAG119" s="198"/>
      <c r="QAH119" s="199"/>
      <c r="QAI119" s="198"/>
      <c r="QAJ119" s="199"/>
      <c r="QAK119" s="198"/>
      <c r="QAL119" s="199"/>
      <c r="QAM119" s="198"/>
      <c r="QAN119" s="199"/>
      <c r="QAO119" s="198"/>
      <c r="QAP119" s="199"/>
      <c r="QAQ119" s="198"/>
      <c r="QAR119" s="199"/>
      <c r="QAS119" s="198"/>
      <c r="QAT119" s="199"/>
      <c r="QAU119" s="198"/>
      <c r="QAV119" s="199"/>
      <c r="QAW119" s="198"/>
      <c r="QAX119" s="199"/>
      <c r="QAY119" s="198"/>
      <c r="QAZ119" s="199"/>
      <c r="QBA119" s="198"/>
      <c r="QBB119" s="199"/>
      <c r="QBC119" s="198"/>
      <c r="QBD119" s="199"/>
      <c r="QBE119" s="198"/>
      <c r="QBF119" s="199"/>
      <c r="QBG119" s="198"/>
      <c r="QBH119" s="199"/>
      <c r="QBI119" s="198"/>
      <c r="QBJ119" s="199"/>
      <c r="QBK119" s="198"/>
      <c r="QBL119" s="199"/>
      <c r="QBM119" s="198"/>
      <c r="QBN119" s="199"/>
      <c r="QBO119" s="198"/>
      <c r="QBP119" s="199"/>
      <c r="QBQ119" s="198"/>
      <c r="QBR119" s="199"/>
      <c r="QBS119" s="198"/>
      <c r="QBT119" s="199"/>
      <c r="QBU119" s="198"/>
      <c r="QBV119" s="199"/>
      <c r="QBW119" s="198"/>
      <c r="QBX119" s="199"/>
      <c r="QBY119" s="198"/>
      <c r="QBZ119" s="199"/>
      <c r="QCA119" s="198"/>
      <c r="QCB119" s="199"/>
      <c r="QCC119" s="198"/>
      <c r="QCD119" s="199"/>
      <c r="QCE119" s="198"/>
      <c r="QCF119" s="199"/>
      <c r="QCG119" s="198"/>
      <c r="QCH119" s="199"/>
      <c r="QCI119" s="198"/>
      <c r="QCJ119" s="199"/>
      <c r="QCK119" s="198"/>
      <c r="QCL119" s="199"/>
      <c r="QCM119" s="198"/>
      <c r="QCN119" s="199"/>
      <c r="QCO119" s="198"/>
      <c r="QCP119" s="199"/>
      <c r="QCQ119" s="198"/>
      <c r="QCR119" s="199"/>
      <c r="QCS119" s="198"/>
      <c r="QCT119" s="199"/>
      <c r="QCU119" s="198"/>
      <c r="QCV119" s="199"/>
      <c r="QCW119" s="198"/>
      <c r="QCX119" s="199"/>
      <c r="QCY119" s="198"/>
      <c r="QCZ119" s="199"/>
      <c r="QDA119" s="198"/>
      <c r="QDB119" s="199"/>
      <c r="QDC119" s="198"/>
      <c r="QDD119" s="199"/>
      <c r="QDE119" s="198"/>
      <c r="QDF119" s="199"/>
      <c r="QDG119" s="198"/>
      <c r="QDH119" s="199"/>
      <c r="QDI119" s="198"/>
      <c r="QDJ119" s="199"/>
      <c r="QDK119" s="198"/>
      <c r="QDL119" s="199"/>
      <c r="QDM119" s="198"/>
      <c r="QDN119" s="199"/>
      <c r="QDO119" s="198"/>
      <c r="QDP119" s="199"/>
      <c r="QDQ119" s="198"/>
      <c r="QDR119" s="199"/>
      <c r="QDS119" s="198"/>
      <c r="QDT119" s="199"/>
      <c r="QDU119" s="198"/>
      <c r="QDV119" s="199"/>
      <c r="QDW119" s="198"/>
      <c r="QDX119" s="199"/>
      <c r="QDY119" s="198"/>
      <c r="QDZ119" s="199"/>
      <c r="QEA119" s="198"/>
      <c r="QEB119" s="199"/>
      <c r="QEC119" s="198"/>
      <c r="QED119" s="199"/>
      <c r="QEE119" s="198"/>
      <c r="QEF119" s="199"/>
      <c r="QEG119" s="198"/>
      <c r="QEH119" s="199"/>
      <c r="QEI119" s="198"/>
      <c r="QEJ119" s="199"/>
      <c r="QEK119" s="198"/>
      <c r="QEL119" s="199"/>
      <c r="QEM119" s="198"/>
      <c r="QEN119" s="199"/>
      <c r="QEO119" s="198"/>
      <c r="QEP119" s="199"/>
      <c r="QEQ119" s="198"/>
      <c r="QER119" s="199"/>
      <c r="QES119" s="198"/>
      <c r="QET119" s="199"/>
      <c r="QEU119" s="198"/>
      <c r="QEV119" s="199"/>
      <c r="QEW119" s="198"/>
      <c r="QEX119" s="199"/>
      <c r="QEY119" s="198"/>
      <c r="QEZ119" s="199"/>
      <c r="QFA119" s="198"/>
      <c r="QFB119" s="199"/>
      <c r="QFC119" s="198"/>
      <c r="QFD119" s="199"/>
      <c r="QFE119" s="198"/>
      <c r="QFF119" s="199"/>
      <c r="QFG119" s="198"/>
      <c r="QFH119" s="199"/>
      <c r="QFI119" s="198"/>
      <c r="QFJ119" s="199"/>
      <c r="QFK119" s="198"/>
      <c r="QFL119" s="199"/>
      <c r="QFM119" s="198"/>
      <c r="QFN119" s="199"/>
      <c r="QFO119" s="198"/>
      <c r="QFP119" s="199"/>
      <c r="QFQ119" s="198"/>
      <c r="QFR119" s="199"/>
      <c r="QFS119" s="198"/>
      <c r="QFT119" s="199"/>
      <c r="QFU119" s="198"/>
      <c r="QFV119" s="199"/>
      <c r="QFW119" s="198"/>
      <c r="QFX119" s="199"/>
      <c r="QFY119" s="198"/>
      <c r="QFZ119" s="199"/>
      <c r="QGA119" s="198"/>
      <c r="QGB119" s="199"/>
      <c r="QGC119" s="198"/>
      <c r="QGD119" s="199"/>
      <c r="QGE119" s="198"/>
      <c r="QGF119" s="199"/>
      <c r="QGG119" s="198"/>
      <c r="QGH119" s="199"/>
      <c r="QGI119" s="198"/>
      <c r="QGJ119" s="199"/>
      <c r="QGK119" s="198"/>
      <c r="QGL119" s="199"/>
      <c r="QGM119" s="198"/>
      <c r="QGN119" s="199"/>
      <c r="QGO119" s="198"/>
      <c r="QGP119" s="199"/>
      <c r="QGQ119" s="198"/>
      <c r="QGR119" s="199"/>
      <c r="QGS119" s="198"/>
      <c r="QGT119" s="199"/>
      <c r="QGU119" s="198"/>
      <c r="QGV119" s="199"/>
      <c r="QGW119" s="198"/>
      <c r="QGX119" s="199"/>
      <c r="QGY119" s="198"/>
      <c r="QGZ119" s="199"/>
      <c r="QHA119" s="198"/>
      <c r="QHB119" s="199"/>
      <c r="QHC119" s="198"/>
      <c r="QHD119" s="199"/>
      <c r="QHE119" s="198"/>
      <c r="QHF119" s="199"/>
      <c r="QHG119" s="198"/>
      <c r="QHH119" s="199"/>
      <c r="QHI119" s="198"/>
      <c r="QHJ119" s="199"/>
      <c r="QHK119" s="198"/>
      <c r="QHL119" s="199"/>
      <c r="QHM119" s="198"/>
      <c r="QHN119" s="199"/>
      <c r="QHO119" s="198"/>
      <c r="QHP119" s="199"/>
      <c r="QHQ119" s="198"/>
      <c r="QHR119" s="199"/>
      <c r="QHS119" s="198"/>
      <c r="QHT119" s="199"/>
      <c r="QHU119" s="198"/>
      <c r="QHV119" s="199"/>
      <c r="QHW119" s="198"/>
      <c r="QHX119" s="199"/>
      <c r="QHY119" s="198"/>
      <c r="QHZ119" s="199"/>
      <c r="QIA119" s="198"/>
      <c r="QIB119" s="199"/>
      <c r="QIC119" s="198"/>
      <c r="QID119" s="199"/>
      <c r="QIE119" s="198"/>
      <c r="QIF119" s="199"/>
      <c r="QIG119" s="198"/>
      <c r="QIH119" s="199"/>
      <c r="QII119" s="198"/>
      <c r="QIJ119" s="199"/>
      <c r="QIK119" s="198"/>
      <c r="QIL119" s="199"/>
      <c r="QIM119" s="198"/>
      <c r="QIN119" s="199"/>
      <c r="QIO119" s="198"/>
      <c r="QIP119" s="199"/>
      <c r="QIQ119" s="198"/>
      <c r="QIR119" s="199"/>
      <c r="QIS119" s="198"/>
      <c r="QIT119" s="199"/>
      <c r="QIU119" s="198"/>
      <c r="QIV119" s="199"/>
      <c r="QIW119" s="198"/>
      <c r="QIX119" s="199"/>
      <c r="QIY119" s="198"/>
      <c r="QIZ119" s="199"/>
      <c r="QJA119" s="198"/>
      <c r="QJB119" s="199"/>
      <c r="QJC119" s="198"/>
      <c r="QJD119" s="199"/>
      <c r="QJE119" s="198"/>
      <c r="QJF119" s="199"/>
      <c r="QJG119" s="198"/>
      <c r="QJH119" s="199"/>
      <c r="QJI119" s="198"/>
      <c r="QJJ119" s="199"/>
      <c r="QJK119" s="198"/>
      <c r="QJL119" s="199"/>
      <c r="QJM119" s="198"/>
      <c r="QJN119" s="199"/>
      <c r="QJO119" s="198"/>
      <c r="QJP119" s="199"/>
      <c r="QJQ119" s="198"/>
      <c r="QJR119" s="199"/>
      <c r="QJS119" s="198"/>
      <c r="QJT119" s="199"/>
      <c r="QJU119" s="198"/>
      <c r="QJV119" s="199"/>
      <c r="QJW119" s="198"/>
      <c r="QJX119" s="199"/>
      <c r="QJY119" s="198"/>
      <c r="QJZ119" s="199"/>
      <c r="QKA119" s="198"/>
      <c r="QKB119" s="199"/>
      <c r="QKC119" s="198"/>
      <c r="QKD119" s="199"/>
      <c r="QKE119" s="198"/>
      <c r="QKF119" s="199"/>
      <c r="QKG119" s="198"/>
      <c r="QKH119" s="199"/>
      <c r="QKI119" s="198"/>
      <c r="QKJ119" s="199"/>
      <c r="QKK119" s="198"/>
      <c r="QKL119" s="199"/>
      <c r="QKM119" s="198"/>
      <c r="QKN119" s="199"/>
      <c r="QKO119" s="198"/>
      <c r="QKP119" s="199"/>
      <c r="QKQ119" s="198"/>
      <c r="QKR119" s="199"/>
      <c r="QKS119" s="198"/>
      <c r="QKT119" s="199"/>
      <c r="QKU119" s="198"/>
      <c r="QKV119" s="199"/>
      <c r="QKW119" s="198"/>
      <c r="QKX119" s="199"/>
      <c r="QKY119" s="198"/>
      <c r="QKZ119" s="199"/>
      <c r="QLA119" s="198"/>
      <c r="QLB119" s="199"/>
      <c r="QLC119" s="198"/>
      <c r="QLD119" s="199"/>
      <c r="QLE119" s="198"/>
      <c r="QLF119" s="199"/>
      <c r="QLG119" s="198"/>
      <c r="QLH119" s="199"/>
      <c r="QLI119" s="198"/>
      <c r="QLJ119" s="199"/>
      <c r="QLK119" s="198"/>
      <c r="QLL119" s="199"/>
      <c r="QLM119" s="198"/>
      <c r="QLN119" s="199"/>
      <c r="QLO119" s="198"/>
      <c r="QLP119" s="199"/>
      <c r="QLQ119" s="198"/>
      <c r="QLR119" s="199"/>
      <c r="QLS119" s="198"/>
      <c r="QLT119" s="199"/>
      <c r="QLU119" s="198"/>
      <c r="QLV119" s="199"/>
      <c r="QLW119" s="198"/>
      <c r="QLX119" s="199"/>
      <c r="QLY119" s="198"/>
      <c r="QLZ119" s="199"/>
      <c r="QMA119" s="198"/>
      <c r="QMB119" s="199"/>
      <c r="QMC119" s="198"/>
      <c r="QMD119" s="199"/>
      <c r="QME119" s="198"/>
      <c r="QMF119" s="199"/>
      <c r="QMG119" s="198"/>
      <c r="QMH119" s="199"/>
      <c r="QMI119" s="198"/>
      <c r="QMJ119" s="199"/>
      <c r="QMK119" s="198"/>
      <c r="QML119" s="199"/>
      <c r="QMM119" s="198"/>
      <c r="QMN119" s="199"/>
      <c r="QMO119" s="198"/>
      <c r="QMP119" s="199"/>
      <c r="QMQ119" s="198"/>
      <c r="QMR119" s="199"/>
      <c r="QMS119" s="198"/>
      <c r="QMT119" s="199"/>
      <c r="QMU119" s="198"/>
      <c r="QMV119" s="199"/>
      <c r="QMW119" s="198"/>
      <c r="QMX119" s="199"/>
      <c r="QMY119" s="198"/>
      <c r="QMZ119" s="199"/>
      <c r="QNA119" s="198"/>
      <c r="QNB119" s="199"/>
      <c r="QNC119" s="198"/>
      <c r="QND119" s="199"/>
      <c r="QNE119" s="198"/>
      <c r="QNF119" s="199"/>
      <c r="QNG119" s="198"/>
      <c r="QNH119" s="199"/>
      <c r="QNI119" s="198"/>
      <c r="QNJ119" s="199"/>
      <c r="QNK119" s="198"/>
      <c r="QNL119" s="199"/>
      <c r="QNM119" s="198"/>
      <c r="QNN119" s="199"/>
      <c r="QNO119" s="198"/>
      <c r="QNP119" s="199"/>
      <c r="QNQ119" s="198"/>
      <c r="QNR119" s="199"/>
      <c r="QNS119" s="198"/>
      <c r="QNT119" s="199"/>
      <c r="QNU119" s="198"/>
      <c r="QNV119" s="199"/>
      <c r="QNW119" s="198"/>
      <c r="QNX119" s="199"/>
      <c r="QNY119" s="198"/>
      <c r="QNZ119" s="199"/>
      <c r="QOA119" s="198"/>
      <c r="QOB119" s="199"/>
      <c r="QOC119" s="198"/>
      <c r="QOD119" s="199"/>
      <c r="QOE119" s="198"/>
      <c r="QOF119" s="199"/>
      <c r="QOG119" s="198"/>
      <c r="QOH119" s="199"/>
      <c r="QOI119" s="198"/>
      <c r="QOJ119" s="199"/>
      <c r="QOK119" s="198"/>
      <c r="QOL119" s="199"/>
      <c r="QOM119" s="198"/>
      <c r="QON119" s="199"/>
      <c r="QOO119" s="198"/>
      <c r="QOP119" s="199"/>
      <c r="QOQ119" s="198"/>
      <c r="QOR119" s="199"/>
      <c r="QOS119" s="198"/>
      <c r="QOT119" s="199"/>
      <c r="QOU119" s="198"/>
      <c r="QOV119" s="199"/>
      <c r="QOW119" s="198"/>
      <c r="QOX119" s="199"/>
      <c r="QOY119" s="198"/>
      <c r="QOZ119" s="199"/>
      <c r="QPA119" s="198"/>
      <c r="QPB119" s="199"/>
      <c r="QPC119" s="198"/>
      <c r="QPD119" s="199"/>
      <c r="QPE119" s="198"/>
      <c r="QPF119" s="199"/>
      <c r="QPG119" s="198"/>
      <c r="QPH119" s="199"/>
      <c r="QPI119" s="198"/>
      <c r="QPJ119" s="199"/>
      <c r="QPK119" s="198"/>
      <c r="QPL119" s="199"/>
      <c r="QPM119" s="198"/>
      <c r="QPN119" s="199"/>
      <c r="QPO119" s="198"/>
      <c r="QPP119" s="199"/>
      <c r="QPQ119" s="198"/>
      <c r="QPR119" s="199"/>
      <c r="QPS119" s="198"/>
      <c r="QPT119" s="199"/>
      <c r="QPU119" s="198"/>
      <c r="QPV119" s="199"/>
      <c r="QPW119" s="198"/>
      <c r="QPX119" s="199"/>
      <c r="QPY119" s="198"/>
      <c r="QPZ119" s="199"/>
      <c r="QQA119" s="198"/>
      <c r="QQB119" s="199"/>
      <c r="QQC119" s="198"/>
      <c r="QQD119" s="199"/>
      <c r="QQE119" s="198"/>
      <c r="QQF119" s="199"/>
      <c r="QQG119" s="198"/>
      <c r="QQH119" s="199"/>
      <c r="QQI119" s="198"/>
      <c r="QQJ119" s="199"/>
      <c r="QQK119" s="198"/>
      <c r="QQL119" s="199"/>
      <c r="QQM119" s="198"/>
      <c r="QQN119" s="199"/>
      <c r="QQO119" s="198"/>
      <c r="QQP119" s="199"/>
      <c r="QQQ119" s="198"/>
      <c r="QQR119" s="199"/>
      <c r="QQS119" s="198"/>
      <c r="QQT119" s="199"/>
      <c r="QQU119" s="198"/>
      <c r="QQV119" s="199"/>
      <c r="QQW119" s="198"/>
      <c r="QQX119" s="199"/>
      <c r="QQY119" s="198"/>
      <c r="QQZ119" s="199"/>
      <c r="QRA119" s="198"/>
      <c r="QRB119" s="199"/>
      <c r="QRC119" s="198"/>
      <c r="QRD119" s="199"/>
      <c r="QRE119" s="198"/>
      <c r="QRF119" s="199"/>
      <c r="QRG119" s="198"/>
      <c r="QRH119" s="199"/>
      <c r="QRI119" s="198"/>
      <c r="QRJ119" s="199"/>
      <c r="QRK119" s="198"/>
      <c r="QRL119" s="199"/>
      <c r="QRM119" s="198"/>
      <c r="QRN119" s="199"/>
      <c r="QRO119" s="198"/>
      <c r="QRP119" s="199"/>
      <c r="QRQ119" s="198"/>
      <c r="QRR119" s="199"/>
      <c r="QRS119" s="198"/>
      <c r="QRT119" s="199"/>
      <c r="QRU119" s="198"/>
      <c r="QRV119" s="199"/>
      <c r="QRW119" s="198"/>
      <c r="QRX119" s="199"/>
      <c r="QRY119" s="198"/>
      <c r="QRZ119" s="199"/>
      <c r="QSA119" s="198"/>
      <c r="QSB119" s="199"/>
      <c r="QSC119" s="198"/>
      <c r="QSD119" s="199"/>
      <c r="QSE119" s="198"/>
      <c r="QSF119" s="199"/>
      <c r="QSG119" s="198"/>
      <c r="QSH119" s="199"/>
      <c r="QSI119" s="198"/>
      <c r="QSJ119" s="199"/>
      <c r="QSK119" s="198"/>
      <c r="QSL119" s="199"/>
      <c r="QSM119" s="198"/>
      <c r="QSN119" s="199"/>
      <c r="QSO119" s="198"/>
      <c r="QSP119" s="199"/>
      <c r="QSQ119" s="198"/>
      <c r="QSR119" s="199"/>
      <c r="QSS119" s="198"/>
      <c r="QST119" s="199"/>
      <c r="QSU119" s="198"/>
      <c r="QSV119" s="199"/>
      <c r="QSW119" s="198"/>
      <c r="QSX119" s="199"/>
      <c r="QSY119" s="198"/>
      <c r="QSZ119" s="199"/>
      <c r="QTA119" s="198"/>
      <c r="QTB119" s="199"/>
      <c r="QTC119" s="198"/>
      <c r="QTD119" s="199"/>
      <c r="QTE119" s="198"/>
      <c r="QTF119" s="199"/>
      <c r="QTG119" s="198"/>
      <c r="QTH119" s="199"/>
      <c r="QTI119" s="198"/>
      <c r="QTJ119" s="199"/>
      <c r="QTK119" s="198"/>
      <c r="QTL119" s="199"/>
      <c r="QTM119" s="198"/>
      <c r="QTN119" s="199"/>
      <c r="QTO119" s="198"/>
      <c r="QTP119" s="199"/>
      <c r="QTQ119" s="198"/>
      <c r="QTR119" s="199"/>
      <c r="QTS119" s="198"/>
      <c r="QTT119" s="199"/>
      <c r="QTU119" s="198"/>
      <c r="QTV119" s="199"/>
      <c r="QTW119" s="198"/>
      <c r="QTX119" s="199"/>
      <c r="QTY119" s="198"/>
      <c r="QTZ119" s="199"/>
      <c r="QUA119" s="198"/>
      <c r="QUB119" s="199"/>
      <c r="QUC119" s="198"/>
      <c r="QUD119" s="199"/>
      <c r="QUE119" s="198"/>
      <c r="QUF119" s="199"/>
      <c r="QUG119" s="198"/>
      <c r="QUH119" s="199"/>
      <c r="QUI119" s="198"/>
      <c r="QUJ119" s="199"/>
      <c r="QUK119" s="198"/>
      <c r="QUL119" s="199"/>
      <c r="QUM119" s="198"/>
      <c r="QUN119" s="199"/>
      <c r="QUO119" s="198"/>
      <c r="QUP119" s="199"/>
      <c r="QUQ119" s="198"/>
      <c r="QUR119" s="199"/>
      <c r="QUS119" s="198"/>
      <c r="QUT119" s="199"/>
      <c r="QUU119" s="198"/>
      <c r="QUV119" s="199"/>
      <c r="QUW119" s="198"/>
      <c r="QUX119" s="199"/>
      <c r="QUY119" s="198"/>
      <c r="QUZ119" s="199"/>
      <c r="QVA119" s="198"/>
      <c r="QVB119" s="199"/>
      <c r="QVC119" s="198"/>
      <c r="QVD119" s="199"/>
      <c r="QVE119" s="198"/>
      <c r="QVF119" s="199"/>
      <c r="QVG119" s="198"/>
      <c r="QVH119" s="199"/>
      <c r="QVI119" s="198"/>
      <c r="QVJ119" s="199"/>
      <c r="QVK119" s="198"/>
      <c r="QVL119" s="199"/>
      <c r="QVM119" s="198"/>
      <c r="QVN119" s="199"/>
      <c r="QVO119" s="198"/>
      <c r="QVP119" s="199"/>
      <c r="QVQ119" s="198"/>
      <c r="QVR119" s="199"/>
      <c r="QVS119" s="198"/>
      <c r="QVT119" s="199"/>
      <c r="QVU119" s="198"/>
      <c r="QVV119" s="199"/>
      <c r="QVW119" s="198"/>
      <c r="QVX119" s="199"/>
      <c r="QVY119" s="198"/>
      <c r="QVZ119" s="199"/>
      <c r="QWA119" s="198"/>
      <c r="QWB119" s="199"/>
      <c r="QWC119" s="198"/>
      <c r="QWD119" s="199"/>
      <c r="QWE119" s="198"/>
      <c r="QWF119" s="199"/>
      <c r="QWG119" s="198"/>
      <c r="QWH119" s="199"/>
      <c r="QWI119" s="198"/>
      <c r="QWJ119" s="199"/>
      <c r="QWK119" s="198"/>
      <c r="QWL119" s="199"/>
      <c r="QWM119" s="198"/>
      <c r="QWN119" s="199"/>
      <c r="QWO119" s="198"/>
      <c r="QWP119" s="199"/>
      <c r="QWQ119" s="198"/>
      <c r="QWR119" s="199"/>
      <c r="QWS119" s="198"/>
      <c r="QWT119" s="199"/>
      <c r="QWU119" s="198"/>
      <c r="QWV119" s="199"/>
      <c r="QWW119" s="198"/>
      <c r="QWX119" s="199"/>
      <c r="QWY119" s="198"/>
      <c r="QWZ119" s="199"/>
      <c r="QXA119" s="198"/>
      <c r="QXB119" s="199"/>
      <c r="QXC119" s="198"/>
      <c r="QXD119" s="199"/>
      <c r="QXE119" s="198"/>
      <c r="QXF119" s="199"/>
      <c r="QXG119" s="198"/>
      <c r="QXH119" s="199"/>
      <c r="QXI119" s="198"/>
      <c r="QXJ119" s="199"/>
      <c r="QXK119" s="198"/>
      <c r="QXL119" s="199"/>
      <c r="QXM119" s="198"/>
      <c r="QXN119" s="199"/>
      <c r="QXO119" s="198"/>
      <c r="QXP119" s="199"/>
      <c r="QXQ119" s="198"/>
      <c r="QXR119" s="199"/>
      <c r="QXS119" s="198"/>
      <c r="QXT119" s="199"/>
      <c r="QXU119" s="198"/>
      <c r="QXV119" s="199"/>
      <c r="QXW119" s="198"/>
      <c r="QXX119" s="199"/>
      <c r="QXY119" s="198"/>
      <c r="QXZ119" s="199"/>
      <c r="QYA119" s="198"/>
      <c r="QYB119" s="199"/>
      <c r="QYC119" s="198"/>
      <c r="QYD119" s="199"/>
      <c r="QYE119" s="198"/>
      <c r="QYF119" s="199"/>
      <c r="QYG119" s="198"/>
      <c r="QYH119" s="199"/>
      <c r="QYI119" s="198"/>
      <c r="QYJ119" s="199"/>
      <c r="QYK119" s="198"/>
      <c r="QYL119" s="199"/>
      <c r="QYM119" s="198"/>
      <c r="QYN119" s="199"/>
      <c r="QYO119" s="198"/>
      <c r="QYP119" s="199"/>
      <c r="QYQ119" s="198"/>
      <c r="QYR119" s="199"/>
      <c r="QYS119" s="198"/>
      <c r="QYT119" s="199"/>
      <c r="QYU119" s="198"/>
      <c r="QYV119" s="199"/>
      <c r="QYW119" s="198"/>
      <c r="QYX119" s="199"/>
      <c r="QYY119" s="198"/>
      <c r="QYZ119" s="199"/>
      <c r="QZA119" s="198"/>
      <c r="QZB119" s="199"/>
      <c r="QZC119" s="198"/>
      <c r="QZD119" s="199"/>
      <c r="QZE119" s="198"/>
      <c r="QZF119" s="199"/>
      <c r="QZG119" s="198"/>
      <c r="QZH119" s="199"/>
      <c r="QZI119" s="198"/>
      <c r="QZJ119" s="199"/>
      <c r="QZK119" s="198"/>
      <c r="QZL119" s="199"/>
      <c r="QZM119" s="198"/>
      <c r="QZN119" s="199"/>
      <c r="QZO119" s="198"/>
      <c r="QZP119" s="199"/>
      <c r="QZQ119" s="198"/>
      <c r="QZR119" s="199"/>
      <c r="QZS119" s="198"/>
      <c r="QZT119" s="199"/>
      <c r="QZU119" s="198"/>
      <c r="QZV119" s="199"/>
      <c r="QZW119" s="198"/>
      <c r="QZX119" s="199"/>
      <c r="QZY119" s="198"/>
      <c r="QZZ119" s="199"/>
      <c r="RAA119" s="198"/>
      <c r="RAB119" s="199"/>
      <c r="RAC119" s="198"/>
      <c r="RAD119" s="199"/>
      <c r="RAE119" s="198"/>
      <c r="RAF119" s="199"/>
      <c r="RAG119" s="198"/>
      <c r="RAH119" s="199"/>
      <c r="RAI119" s="198"/>
      <c r="RAJ119" s="199"/>
      <c r="RAK119" s="198"/>
      <c r="RAL119" s="199"/>
      <c r="RAM119" s="198"/>
      <c r="RAN119" s="199"/>
      <c r="RAO119" s="198"/>
      <c r="RAP119" s="199"/>
      <c r="RAQ119" s="198"/>
      <c r="RAR119" s="199"/>
      <c r="RAS119" s="198"/>
      <c r="RAT119" s="199"/>
      <c r="RAU119" s="198"/>
      <c r="RAV119" s="199"/>
      <c r="RAW119" s="198"/>
      <c r="RAX119" s="199"/>
      <c r="RAY119" s="198"/>
      <c r="RAZ119" s="199"/>
      <c r="RBA119" s="198"/>
      <c r="RBB119" s="199"/>
      <c r="RBC119" s="198"/>
      <c r="RBD119" s="199"/>
      <c r="RBE119" s="198"/>
      <c r="RBF119" s="199"/>
      <c r="RBG119" s="198"/>
      <c r="RBH119" s="199"/>
      <c r="RBI119" s="198"/>
      <c r="RBJ119" s="199"/>
      <c r="RBK119" s="198"/>
      <c r="RBL119" s="199"/>
      <c r="RBM119" s="198"/>
      <c r="RBN119" s="199"/>
      <c r="RBO119" s="198"/>
      <c r="RBP119" s="199"/>
      <c r="RBQ119" s="198"/>
      <c r="RBR119" s="199"/>
      <c r="RBS119" s="198"/>
      <c r="RBT119" s="199"/>
      <c r="RBU119" s="198"/>
      <c r="RBV119" s="199"/>
      <c r="RBW119" s="198"/>
      <c r="RBX119" s="199"/>
      <c r="RBY119" s="198"/>
      <c r="RBZ119" s="199"/>
      <c r="RCA119" s="198"/>
      <c r="RCB119" s="199"/>
      <c r="RCC119" s="198"/>
      <c r="RCD119" s="199"/>
      <c r="RCE119" s="198"/>
      <c r="RCF119" s="199"/>
      <c r="RCG119" s="198"/>
      <c r="RCH119" s="199"/>
      <c r="RCI119" s="198"/>
      <c r="RCJ119" s="199"/>
      <c r="RCK119" s="198"/>
      <c r="RCL119" s="199"/>
      <c r="RCM119" s="198"/>
      <c r="RCN119" s="199"/>
      <c r="RCO119" s="198"/>
      <c r="RCP119" s="199"/>
      <c r="RCQ119" s="198"/>
      <c r="RCR119" s="199"/>
      <c r="RCS119" s="198"/>
      <c r="RCT119" s="199"/>
      <c r="RCU119" s="198"/>
      <c r="RCV119" s="199"/>
      <c r="RCW119" s="198"/>
      <c r="RCX119" s="199"/>
      <c r="RCY119" s="198"/>
      <c r="RCZ119" s="199"/>
      <c r="RDA119" s="198"/>
      <c r="RDB119" s="199"/>
      <c r="RDC119" s="198"/>
      <c r="RDD119" s="199"/>
      <c r="RDE119" s="198"/>
      <c r="RDF119" s="199"/>
      <c r="RDG119" s="198"/>
      <c r="RDH119" s="199"/>
      <c r="RDI119" s="198"/>
      <c r="RDJ119" s="199"/>
      <c r="RDK119" s="198"/>
      <c r="RDL119" s="199"/>
      <c r="RDM119" s="198"/>
      <c r="RDN119" s="199"/>
      <c r="RDO119" s="198"/>
      <c r="RDP119" s="199"/>
      <c r="RDQ119" s="198"/>
      <c r="RDR119" s="199"/>
      <c r="RDS119" s="198"/>
      <c r="RDT119" s="199"/>
      <c r="RDU119" s="198"/>
      <c r="RDV119" s="199"/>
      <c r="RDW119" s="198"/>
      <c r="RDX119" s="199"/>
      <c r="RDY119" s="198"/>
      <c r="RDZ119" s="199"/>
      <c r="REA119" s="198"/>
      <c r="REB119" s="199"/>
      <c r="REC119" s="198"/>
      <c r="RED119" s="199"/>
      <c r="REE119" s="198"/>
      <c r="REF119" s="199"/>
      <c r="REG119" s="198"/>
      <c r="REH119" s="199"/>
      <c r="REI119" s="198"/>
      <c r="REJ119" s="199"/>
      <c r="REK119" s="198"/>
      <c r="REL119" s="199"/>
      <c r="REM119" s="198"/>
      <c r="REN119" s="199"/>
      <c r="REO119" s="198"/>
      <c r="REP119" s="199"/>
      <c r="REQ119" s="198"/>
      <c r="RER119" s="199"/>
      <c r="RES119" s="198"/>
      <c r="RET119" s="199"/>
      <c r="REU119" s="198"/>
      <c r="REV119" s="199"/>
      <c r="REW119" s="198"/>
      <c r="REX119" s="199"/>
      <c r="REY119" s="198"/>
      <c r="REZ119" s="199"/>
      <c r="RFA119" s="198"/>
      <c r="RFB119" s="199"/>
      <c r="RFC119" s="198"/>
      <c r="RFD119" s="199"/>
      <c r="RFE119" s="198"/>
      <c r="RFF119" s="199"/>
      <c r="RFG119" s="198"/>
      <c r="RFH119" s="199"/>
      <c r="RFI119" s="198"/>
      <c r="RFJ119" s="199"/>
      <c r="RFK119" s="198"/>
      <c r="RFL119" s="199"/>
      <c r="RFM119" s="198"/>
      <c r="RFN119" s="199"/>
      <c r="RFO119" s="198"/>
      <c r="RFP119" s="199"/>
      <c r="RFQ119" s="198"/>
      <c r="RFR119" s="199"/>
      <c r="RFS119" s="198"/>
      <c r="RFT119" s="199"/>
      <c r="RFU119" s="198"/>
      <c r="RFV119" s="199"/>
      <c r="RFW119" s="198"/>
      <c r="RFX119" s="199"/>
      <c r="RFY119" s="198"/>
      <c r="RFZ119" s="199"/>
      <c r="RGA119" s="198"/>
      <c r="RGB119" s="199"/>
      <c r="RGC119" s="198"/>
      <c r="RGD119" s="199"/>
      <c r="RGE119" s="198"/>
      <c r="RGF119" s="199"/>
      <c r="RGG119" s="198"/>
      <c r="RGH119" s="199"/>
      <c r="RGI119" s="198"/>
      <c r="RGJ119" s="199"/>
      <c r="RGK119" s="198"/>
      <c r="RGL119" s="199"/>
      <c r="RGM119" s="198"/>
      <c r="RGN119" s="199"/>
      <c r="RGO119" s="198"/>
      <c r="RGP119" s="199"/>
      <c r="RGQ119" s="198"/>
      <c r="RGR119" s="199"/>
      <c r="RGS119" s="198"/>
      <c r="RGT119" s="199"/>
      <c r="RGU119" s="198"/>
      <c r="RGV119" s="199"/>
      <c r="RGW119" s="198"/>
      <c r="RGX119" s="199"/>
      <c r="RGY119" s="198"/>
      <c r="RGZ119" s="199"/>
      <c r="RHA119" s="198"/>
      <c r="RHB119" s="199"/>
      <c r="RHC119" s="198"/>
      <c r="RHD119" s="199"/>
      <c r="RHE119" s="198"/>
      <c r="RHF119" s="199"/>
      <c r="RHG119" s="198"/>
      <c r="RHH119" s="199"/>
      <c r="RHI119" s="198"/>
      <c r="RHJ119" s="199"/>
      <c r="RHK119" s="198"/>
      <c r="RHL119" s="199"/>
      <c r="RHM119" s="198"/>
      <c r="RHN119" s="199"/>
      <c r="RHO119" s="198"/>
      <c r="RHP119" s="199"/>
      <c r="RHQ119" s="198"/>
      <c r="RHR119" s="199"/>
      <c r="RHS119" s="198"/>
      <c r="RHT119" s="199"/>
      <c r="RHU119" s="198"/>
      <c r="RHV119" s="199"/>
      <c r="RHW119" s="198"/>
      <c r="RHX119" s="199"/>
      <c r="RHY119" s="198"/>
      <c r="RHZ119" s="199"/>
      <c r="RIA119" s="198"/>
      <c r="RIB119" s="199"/>
      <c r="RIC119" s="198"/>
      <c r="RID119" s="199"/>
      <c r="RIE119" s="198"/>
      <c r="RIF119" s="199"/>
      <c r="RIG119" s="198"/>
      <c r="RIH119" s="199"/>
      <c r="RII119" s="198"/>
      <c r="RIJ119" s="199"/>
      <c r="RIK119" s="198"/>
      <c r="RIL119" s="199"/>
      <c r="RIM119" s="198"/>
      <c r="RIN119" s="199"/>
      <c r="RIO119" s="198"/>
      <c r="RIP119" s="199"/>
      <c r="RIQ119" s="198"/>
      <c r="RIR119" s="199"/>
      <c r="RIS119" s="198"/>
      <c r="RIT119" s="199"/>
      <c r="RIU119" s="198"/>
      <c r="RIV119" s="199"/>
      <c r="RIW119" s="198"/>
      <c r="RIX119" s="199"/>
      <c r="RIY119" s="198"/>
      <c r="RIZ119" s="199"/>
      <c r="RJA119" s="198"/>
      <c r="RJB119" s="199"/>
      <c r="RJC119" s="198"/>
      <c r="RJD119" s="199"/>
      <c r="RJE119" s="198"/>
      <c r="RJF119" s="199"/>
      <c r="RJG119" s="198"/>
      <c r="RJH119" s="199"/>
      <c r="RJI119" s="198"/>
      <c r="RJJ119" s="199"/>
      <c r="RJK119" s="198"/>
      <c r="RJL119" s="199"/>
      <c r="RJM119" s="198"/>
      <c r="RJN119" s="199"/>
      <c r="RJO119" s="198"/>
      <c r="RJP119" s="199"/>
      <c r="RJQ119" s="198"/>
      <c r="RJR119" s="199"/>
      <c r="RJS119" s="198"/>
      <c r="RJT119" s="199"/>
      <c r="RJU119" s="198"/>
      <c r="RJV119" s="199"/>
      <c r="RJW119" s="198"/>
      <c r="RJX119" s="199"/>
      <c r="RJY119" s="198"/>
      <c r="RJZ119" s="199"/>
      <c r="RKA119" s="198"/>
      <c r="RKB119" s="199"/>
      <c r="RKC119" s="198"/>
      <c r="RKD119" s="199"/>
      <c r="RKE119" s="198"/>
      <c r="RKF119" s="199"/>
      <c r="RKG119" s="198"/>
      <c r="RKH119" s="199"/>
      <c r="RKI119" s="198"/>
      <c r="RKJ119" s="199"/>
      <c r="RKK119" s="198"/>
      <c r="RKL119" s="199"/>
      <c r="RKM119" s="198"/>
      <c r="RKN119" s="199"/>
      <c r="RKO119" s="198"/>
      <c r="RKP119" s="199"/>
      <c r="RKQ119" s="198"/>
      <c r="RKR119" s="199"/>
      <c r="RKS119" s="198"/>
      <c r="RKT119" s="199"/>
      <c r="RKU119" s="198"/>
      <c r="RKV119" s="199"/>
      <c r="RKW119" s="198"/>
      <c r="RKX119" s="199"/>
      <c r="RKY119" s="198"/>
      <c r="RKZ119" s="199"/>
      <c r="RLA119" s="198"/>
      <c r="RLB119" s="199"/>
      <c r="RLC119" s="198"/>
      <c r="RLD119" s="199"/>
      <c r="RLE119" s="198"/>
      <c r="RLF119" s="199"/>
      <c r="RLG119" s="198"/>
      <c r="RLH119" s="199"/>
      <c r="RLI119" s="198"/>
      <c r="RLJ119" s="199"/>
      <c r="RLK119" s="198"/>
      <c r="RLL119" s="199"/>
      <c r="RLM119" s="198"/>
      <c r="RLN119" s="199"/>
      <c r="RLO119" s="198"/>
      <c r="RLP119" s="199"/>
      <c r="RLQ119" s="198"/>
      <c r="RLR119" s="199"/>
      <c r="RLS119" s="198"/>
      <c r="RLT119" s="199"/>
      <c r="RLU119" s="198"/>
      <c r="RLV119" s="199"/>
      <c r="RLW119" s="198"/>
      <c r="RLX119" s="199"/>
      <c r="RLY119" s="198"/>
      <c r="RLZ119" s="199"/>
      <c r="RMA119" s="198"/>
      <c r="RMB119" s="199"/>
      <c r="RMC119" s="198"/>
      <c r="RMD119" s="199"/>
      <c r="RME119" s="198"/>
      <c r="RMF119" s="199"/>
      <c r="RMG119" s="198"/>
      <c r="RMH119" s="199"/>
      <c r="RMI119" s="198"/>
      <c r="RMJ119" s="199"/>
      <c r="RMK119" s="198"/>
      <c r="RML119" s="199"/>
      <c r="RMM119" s="198"/>
      <c r="RMN119" s="199"/>
      <c r="RMO119" s="198"/>
      <c r="RMP119" s="199"/>
      <c r="RMQ119" s="198"/>
      <c r="RMR119" s="199"/>
      <c r="RMS119" s="198"/>
      <c r="RMT119" s="199"/>
      <c r="RMU119" s="198"/>
      <c r="RMV119" s="199"/>
      <c r="RMW119" s="198"/>
      <c r="RMX119" s="199"/>
      <c r="RMY119" s="198"/>
      <c r="RMZ119" s="199"/>
      <c r="RNA119" s="198"/>
      <c r="RNB119" s="199"/>
      <c r="RNC119" s="198"/>
      <c r="RND119" s="199"/>
      <c r="RNE119" s="198"/>
      <c r="RNF119" s="199"/>
      <c r="RNG119" s="198"/>
      <c r="RNH119" s="199"/>
      <c r="RNI119" s="198"/>
      <c r="RNJ119" s="199"/>
      <c r="RNK119" s="198"/>
      <c r="RNL119" s="199"/>
      <c r="RNM119" s="198"/>
      <c r="RNN119" s="199"/>
      <c r="RNO119" s="198"/>
      <c r="RNP119" s="199"/>
      <c r="RNQ119" s="198"/>
      <c r="RNR119" s="199"/>
      <c r="RNS119" s="198"/>
      <c r="RNT119" s="199"/>
      <c r="RNU119" s="198"/>
      <c r="RNV119" s="199"/>
      <c r="RNW119" s="198"/>
      <c r="RNX119" s="199"/>
      <c r="RNY119" s="198"/>
      <c r="RNZ119" s="199"/>
      <c r="ROA119" s="198"/>
      <c r="ROB119" s="199"/>
      <c r="ROC119" s="198"/>
      <c r="ROD119" s="199"/>
      <c r="ROE119" s="198"/>
      <c r="ROF119" s="199"/>
      <c r="ROG119" s="198"/>
      <c r="ROH119" s="199"/>
      <c r="ROI119" s="198"/>
      <c r="ROJ119" s="199"/>
      <c r="ROK119" s="198"/>
      <c r="ROL119" s="199"/>
      <c r="ROM119" s="198"/>
      <c r="RON119" s="199"/>
      <c r="ROO119" s="198"/>
      <c r="ROP119" s="199"/>
      <c r="ROQ119" s="198"/>
      <c r="ROR119" s="199"/>
      <c r="ROS119" s="198"/>
      <c r="ROT119" s="199"/>
      <c r="ROU119" s="198"/>
      <c r="ROV119" s="199"/>
      <c r="ROW119" s="198"/>
      <c r="ROX119" s="199"/>
      <c r="ROY119" s="198"/>
      <c r="ROZ119" s="199"/>
      <c r="RPA119" s="198"/>
      <c r="RPB119" s="199"/>
      <c r="RPC119" s="198"/>
      <c r="RPD119" s="199"/>
      <c r="RPE119" s="198"/>
      <c r="RPF119" s="199"/>
      <c r="RPG119" s="198"/>
      <c r="RPH119" s="199"/>
      <c r="RPI119" s="198"/>
      <c r="RPJ119" s="199"/>
      <c r="RPK119" s="198"/>
      <c r="RPL119" s="199"/>
      <c r="RPM119" s="198"/>
      <c r="RPN119" s="199"/>
      <c r="RPO119" s="198"/>
      <c r="RPP119" s="199"/>
      <c r="RPQ119" s="198"/>
      <c r="RPR119" s="199"/>
      <c r="RPS119" s="198"/>
      <c r="RPT119" s="199"/>
      <c r="RPU119" s="198"/>
      <c r="RPV119" s="199"/>
      <c r="RPW119" s="198"/>
      <c r="RPX119" s="199"/>
      <c r="RPY119" s="198"/>
      <c r="RPZ119" s="199"/>
      <c r="RQA119" s="198"/>
      <c r="RQB119" s="199"/>
      <c r="RQC119" s="198"/>
      <c r="RQD119" s="199"/>
      <c r="RQE119" s="198"/>
      <c r="RQF119" s="199"/>
      <c r="RQG119" s="198"/>
      <c r="RQH119" s="199"/>
      <c r="RQI119" s="198"/>
      <c r="RQJ119" s="199"/>
      <c r="RQK119" s="198"/>
      <c r="RQL119" s="199"/>
      <c r="RQM119" s="198"/>
      <c r="RQN119" s="199"/>
      <c r="RQO119" s="198"/>
      <c r="RQP119" s="199"/>
      <c r="RQQ119" s="198"/>
      <c r="RQR119" s="199"/>
      <c r="RQS119" s="198"/>
      <c r="RQT119" s="199"/>
      <c r="RQU119" s="198"/>
      <c r="RQV119" s="199"/>
      <c r="RQW119" s="198"/>
      <c r="RQX119" s="199"/>
      <c r="RQY119" s="198"/>
      <c r="RQZ119" s="199"/>
      <c r="RRA119" s="198"/>
      <c r="RRB119" s="199"/>
      <c r="RRC119" s="198"/>
      <c r="RRD119" s="199"/>
      <c r="RRE119" s="198"/>
      <c r="RRF119" s="199"/>
      <c r="RRG119" s="198"/>
      <c r="RRH119" s="199"/>
      <c r="RRI119" s="198"/>
      <c r="RRJ119" s="199"/>
      <c r="RRK119" s="198"/>
      <c r="RRL119" s="199"/>
      <c r="RRM119" s="198"/>
      <c r="RRN119" s="199"/>
      <c r="RRO119" s="198"/>
      <c r="RRP119" s="199"/>
      <c r="RRQ119" s="198"/>
      <c r="RRR119" s="199"/>
      <c r="RRS119" s="198"/>
      <c r="RRT119" s="199"/>
      <c r="RRU119" s="198"/>
      <c r="RRV119" s="199"/>
      <c r="RRW119" s="198"/>
      <c r="RRX119" s="199"/>
      <c r="RRY119" s="198"/>
      <c r="RRZ119" s="199"/>
      <c r="RSA119" s="198"/>
      <c r="RSB119" s="199"/>
      <c r="RSC119" s="198"/>
      <c r="RSD119" s="199"/>
      <c r="RSE119" s="198"/>
      <c r="RSF119" s="199"/>
      <c r="RSG119" s="198"/>
      <c r="RSH119" s="199"/>
      <c r="RSI119" s="198"/>
      <c r="RSJ119" s="199"/>
      <c r="RSK119" s="198"/>
      <c r="RSL119" s="199"/>
      <c r="RSM119" s="198"/>
      <c r="RSN119" s="199"/>
      <c r="RSO119" s="198"/>
      <c r="RSP119" s="199"/>
      <c r="RSQ119" s="198"/>
      <c r="RSR119" s="199"/>
      <c r="RSS119" s="198"/>
      <c r="RST119" s="199"/>
      <c r="RSU119" s="198"/>
      <c r="RSV119" s="199"/>
      <c r="RSW119" s="198"/>
      <c r="RSX119" s="199"/>
      <c r="RSY119" s="198"/>
      <c r="RSZ119" s="199"/>
      <c r="RTA119" s="198"/>
      <c r="RTB119" s="199"/>
      <c r="RTC119" s="198"/>
      <c r="RTD119" s="199"/>
      <c r="RTE119" s="198"/>
      <c r="RTF119" s="199"/>
      <c r="RTG119" s="198"/>
      <c r="RTH119" s="199"/>
      <c r="RTI119" s="198"/>
      <c r="RTJ119" s="199"/>
      <c r="RTK119" s="198"/>
      <c r="RTL119" s="199"/>
      <c r="RTM119" s="198"/>
      <c r="RTN119" s="199"/>
      <c r="RTO119" s="198"/>
      <c r="RTP119" s="199"/>
      <c r="RTQ119" s="198"/>
      <c r="RTR119" s="199"/>
      <c r="RTS119" s="198"/>
      <c r="RTT119" s="199"/>
      <c r="RTU119" s="198"/>
      <c r="RTV119" s="199"/>
      <c r="RTW119" s="198"/>
      <c r="RTX119" s="199"/>
      <c r="RTY119" s="198"/>
      <c r="RTZ119" s="199"/>
      <c r="RUA119" s="198"/>
      <c r="RUB119" s="199"/>
      <c r="RUC119" s="198"/>
      <c r="RUD119" s="199"/>
      <c r="RUE119" s="198"/>
      <c r="RUF119" s="199"/>
      <c r="RUG119" s="198"/>
      <c r="RUH119" s="199"/>
      <c r="RUI119" s="198"/>
      <c r="RUJ119" s="199"/>
      <c r="RUK119" s="198"/>
      <c r="RUL119" s="199"/>
      <c r="RUM119" s="198"/>
      <c r="RUN119" s="199"/>
      <c r="RUO119" s="198"/>
      <c r="RUP119" s="199"/>
      <c r="RUQ119" s="198"/>
      <c r="RUR119" s="199"/>
      <c r="RUS119" s="198"/>
      <c r="RUT119" s="199"/>
      <c r="RUU119" s="198"/>
      <c r="RUV119" s="199"/>
      <c r="RUW119" s="198"/>
      <c r="RUX119" s="199"/>
      <c r="RUY119" s="198"/>
      <c r="RUZ119" s="199"/>
      <c r="RVA119" s="198"/>
      <c r="RVB119" s="199"/>
      <c r="RVC119" s="198"/>
      <c r="RVD119" s="199"/>
      <c r="RVE119" s="198"/>
      <c r="RVF119" s="199"/>
      <c r="RVG119" s="198"/>
      <c r="RVH119" s="199"/>
      <c r="RVI119" s="198"/>
      <c r="RVJ119" s="199"/>
      <c r="RVK119" s="198"/>
      <c r="RVL119" s="199"/>
      <c r="RVM119" s="198"/>
      <c r="RVN119" s="199"/>
      <c r="RVO119" s="198"/>
      <c r="RVP119" s="199"/>
      <c r="RVQ119" s="198"/>
      <c r="RVR119" s="199"/>
      <c r="RVS119" s="198"/>
      <c r="RVT119" s="199"/>
      <c r="RVU119" s="198"/>
      <c r="RVV119" s="199"/>
      <c r="RVW119" s="198"/>
      <c r="RVX119" s="199"/>
      <c r="RVY119" s="198"/>
      <c r="RVZ119" s="199"/>
      <c r="RWA119" s="198"/>
      <c r="RWB119" s="199"/>
      <c r="RWC119" s="198"/>
      <c r="RWD119" s="199"/>
      <c r="RWE119" s="198"/>
      <c r="RWF119" s="199"/>
      <c r="RWG119" s="198"/>
      <c r="RWH119" s="199"/>
      <c r="RWI119" s="198"/>
      <c r="RWJ119" s="199"/>
      <c r="RWK119" s="198"/>
      <c r="RWL119" s="199"/>
      <c r="RWM119" s="198"/>
      <c r="RWN119" s="199"/>
      <c r="RWO119" s="198"/>
      <c r="RWP119" s="199"/>
      <c r="RWQ119" s="198"/>
      <c r="RWR119" s="199"/>
      <c r="RWS119" s="198"/>
      <c r="RWT119" s="199"/>
      <c r="RWU119" s="198"/>
      <c r="RWV119" s="199"/>
      <c r="RWW119" s="198"/>
      <c r="RWX119" s="199"/>
      <c r="RWY119" s="198"/>
      <c r="RWZ119" s="199"/>
      <c r="RXA119" s="198"/>
      <c r="RXB119" s="199"/>
      <c r="RXC119" s="198"/>
      <c r="RXD119" s="199"/>
      <c r="RXE119" s="198"/>
      <c r="RXF119" s="199"/>
      <c r="RXG119" s="198"/>
      <c r="RXH119" s="199"/>
      <c r="RXI119" s="198"/>
      <c r="RXJ119" s="199"/>
      <c r="RXK119" s="198"/>
      <c r="RXL119" s="199"/>
      <c r="RXM119" s="198"/>
      <c r="RXN119" s="199"/>
      <c r="RXO119" s="198"/>
      <c r="RXP119" s="199"/>
      <c r="RXQ119" s="198"/>
      <c r="RXR119" s="199"/>
      <c r="RXS119" s="198"/>
      <c r="RXT119" s="199"/>
      <c r="RXU119" s="198"/>
      <c r="RXV119" s="199"/>
      <c r="RXW119" s="198"/>
      <c r="RXX119" s="199"/>
      <c r="RXY119" s="198"/>
      <c r="RXZ119" s="199"/>
      <c r="RYA119" s="198"/>
      <c r="RYB119" s="199"/>
      <c r="RYC119" s="198"/>
      <c r="RYD119" s="199"/>
      <c r="RYE119" s="198"/>
      <c r="RYF119" s="199"/>
      <c r="RYG119" s="198"/>
      <c r="RYH119" s="199"/>
      <c r="RYI119" s="198"/>
      <c r="RYJ119" s="199"/>
      <c r="RYK119" s="198"/>
      <c r="RYL119" s="199"/>
      <c r="RYM119" s="198"/>
      <c r="RYN119" s="199"/>
      <c r="RYO119" s="198"/>
      <c r="RYP119" s="199"/>
      <c r="RYQ119" s="198"/>
      <c r="RYR119" s="199"/>
      <c r="RYS119" s="198"/>
      <c r="RYT119" s="199"/>
      <c r="RYU119" s="198"/>
      <c r="RYV119" s="199"/>
      <c r="RYW119" s="198"/>
      <c r="RYX119" s="199"/>
      <c r="RYY119" s="198"/>
      <c r="RYZ119" s="199"/>
      <c r="RZA119" s="198"/>
      <c r="RZB119" s="199"/>
      <c r="RZC119" s="198"/>
      <c r="RZD119" s="199"/>
      <c r="RZE119" s="198"/>
      <c r="RZF119" s="199"/>
      <c r="RZG119" s="198"/>
      <c r="RZH119" s="199"/>
      <c r="RZI119" s="198"/>
      <c r="RZJ119" s="199"/>
      <c r="RZK119" s="198"/>
      <c r="RZL119" s="199"/>
      <c r="RZM119" s="198"/>
      <c r="RZN119" s="199"/>
      <c r="RZO119" s="198"/>
      <c r="RZP119" s="199"/>
      <c r="RZQ119" s="198"/>
      <c r="RZR119" s="199"/>
      <c r="RZS119" s="198"/>
      <c r="RZT119" s="199"/>
      <c r="RZU119" s="198"/>
      <c r="RZV119" s="199"/>
      <c r="RZW119" s="198"/>
      <c r="RZX119" s="199"/>
      <c r="RZY119" s="198"/>
      <c r="RZZ119" s="199"/>
      <c r="SAA119" s="198"/>
      <c r="SAB119" s="199"/>
      <c r="SAC119" s="198"/>
      <c r="SAD119" s="199"/>
      <c r="SAE119" s="198"/>
      <c r="SAF119" s="199"/>
      <c r="SAG119" s="198"/>
      <c r="SAH119" s="199"/>
      <c r="SAI119" s="198"/>
      <c r="SAJ119" s="199"/>
      <c r="SAK119" s="198"/>
      <c r="SAL119" s="199"/>
      <c r="SAM119" s="198"/>
      <c r="SAN119" s="199"/>
      <c r="SAO119" s="198"/>
      <c r="SAP119" s="199"/>
      <c r="SAQ119" s="198"/>
      <c r="SAR119" s="199"/>
      <c r="SAS119" s="198"/>
      <c r="SAT119" s="199"/>
      <c r="SAU119" s="198"/>
      <c r="SAV119" s="199"/>
      <c r="SAW119" s="198"/>
      <c r="SAX119" s="199"/>
      <c r="SAY119" s="198"/>
      <c r="SAZ119" s="199"/>
      <c r="SBA119" s="198"/>
      <c r="SBB119" s="199"/>
      <c r="SBC119" s="198"/>
      <c r="SBD119" s="199"/>
      <c r="SBE119" s="198"/>
      <c r="SBF119" s="199"/>
      <c r="SBG119" s="198"/>
      <c r="SBH119" s="199"/>
      <c r="SBI119" s="198"/>
      <c r="SBJ119" s="199"/>
      <c r="SBK119" s="198"/>
      <c r="SBL119" s="199"/>
      <c r="SBM119" s="198"/>
      <c r="SBN119" s="199"/>
      <c r="SBO119" s="198"/>
      <c r="SBP119" s="199"/>
      <c r="SBQ119" s="198"/>
      <c r="SBR119" s="199"/>
      <c r="SBS119" s="198"/>
      <c r="SBT119" s="199"/>
      <c r="SBU119" s="198"/>
      <c r="SBV119" s="199"/>
      <c r="SBW119" s="198"/>
      <c r="SBX119" s="199"/>
      <c r="SBY119" s="198"/>
      <c r="SBZ119" s="199"/>
      <c r="SCA119" s="198"/>
      <c r="SCB119" s="199"/>
      <c r="SCC119" s="198"/>
      <c r="SCD119" s="199"/>
      <c r="SCE119" s="198"/>
      <c r="SCF119" s="199"/>
      <c r="SCG119" s="198"/>
      <c r="SCH119" s="199"/>
      <c r="SCI119" s="198"/>
      <c r="SCJ119" s="199"/>
      <c r="SCK119" s="198"/>
      <c r="SCL119" s="199"/>
      <c r="SCM119" s="198"/>
      <c r="SCN119" s="199"/>
      <c r="SCO119" s="198"/>
      <c r="SCP119" s="199"/>
      <c r="SCQ119" s="198"/>
      <c r="SCR119" s="199"/>
      <c r="SCS119" s="198"/>
      <c r="SCT119" s="199"/>
      <c r="SCU119" s="198"/>
      <c r="SCV119" s="199"/>
      <c r="SCW119" s="198"/>
      <c r="SCX119" s="199"/>
      <c r="SCY119" s="198"/>
      <c r="SCZ119" s="199"/>
      <c r="SDA119" s="198"/>
      <c r="SDB119" s="199"/>
      <c r="SDC119" s="198"/>
      <c r="SDD119" s="199"/>
      <c r="SDE119" s="198"/>
      <c r="SDF119" s="199"/>
      <c r="SDG119" s="198"/>
      <c r="SDH119" s="199"/>
      <c r="SDI119" s="198"/>
      <c r="SDJ119" s="199"/>
      <c r="SDK119" s="198"/>
      <c r="SDL119" s="199"/>
      <c r="SDM119" s="198"/>
      <c r="SDN119" s="199"/>
      <c r="SDO119" s="198"/>
      <c r="SDP119" s="199"/>
      <c r="SDQ119" s="198"/>
      <c r="SDR119" s="199"/>
      <c r="SDS119" s="198"/>
      <c r="SDT119" s="199"/>
      <c r="SDU119" s="198"/>
      <c r="SDV119" s="199"/>
      <c r="SDW119" s="198"/>
      <c r="SDX119" s="199"/>
      <c r="SDY119" s="198"/>
      <c r="SDZ119" s="199"/>
      <c r="SEA119" s="198"/>
      <c r="SEB119" s="199"/>
      <c r="SEC119" s="198"/>
      <c r="SED119" s="199"/>
      <c r="SEE119" s="198"/>
      <c r="SEF119" s="199"/>
      <c r="SEG119" s="198"/>
      <c r="SEH119" s="199"/>
      <c r="SEI119" s="198"/>
      <c r="SEJ119" s="199"/>
      <c r="SEK119" s="198"/>
      <c r="SEL119" s="199"/>
      <c r="SEM119" s="198"/>
      <c r="SEN119" s="199"/>
      <c r="SEO119" s="198"/>
      <c r="SEP119" s="199"/>
      <c r="SEQ119" s="198"/>
      <c r="SER119" s="199"/>
      <c r="SES119" s="198"/>
      <c r="SET119" s="199"/>
      <c r="SEU119" s="198"/>
      <c r="SEV119" s="199"/>
      <c r="SEW119" s="198"/>
      <c r="SEX119" s="199"/>
      <c r="SEY119" s="198"/>
      <c r="SEZ119" s="199"/>
      <c r="SFA119" s="198"/>
      <c r="SFB119" s="199"/>
      <c r="SFC119" s="198"/>
      <c r="SFD119" s="199"/>
      <c r="SFE119" s="198"/>
      <c r="SFF119" s="199"/>
      <c r="SFG119" s="198"/>
      <c r="SFH119" s="199"/>
      <c r="SFI119" s="198"/>
      <c r="SFJ119" s="199"/>
      <c r="SFK119" s="198"/>
      <c r="SFL119" s="199"/>
      <c r="SFM119" s="198"/>
      <c r="SFN119" s="199"/>
      <c r="SFO119" s="198"/>
      <c r="SFP119" s="199"/>
      <c r="SFQ119" s="198"/>
      <c r="SFR119" s="199"/>
      <c r="SFS119" s="198"/>
      <c r="SFT119" s="199"/>
      <c r="SFU119" s="198"/>
      <c r="SFV119" s="199"/>
      <c r="SFW119" s="198"/>
      <c r="SFX119" s="199"/>
      <c r="SFY119" s="198"/>
      <c r="SFZ119" s="199"/>
      <c r="SGA119" s="198"/>
      <c r="SGB119" s="199"/>
      <c r="SGC119" s="198"/>
      <c r="SGD119" s="199"/>
      <c r="SGE119" s="198"/>
      <c r="SGF119" s="199"/>
      <c r="SGG119" s="198"/>
      <c r="SGH119" s="199"/>
      <c r="SGI119" s="198"/>
      <c r="SGJ119" s="199"/>
      <c r="SGK119" s="198"/>
      <c r="SGL119" s="199"/>
      <c r="SGM119" s="198"/>
      <c r="SGN119" s="199"/>
      <c r="SGO119" s="198"/>
      <c r="SGP119" s="199"/>
      <c r="SGQ119" s="198"/>
      <c r="SGR119" s="199"/>
      <c r="SGS119" s="198"/>
      <c r="SGT119" s="199"/>
      <c r="SGU119" s="198"/>
      <c r="SGV119" s="199"/>
      <c r="SGW119" s="198"/>
      <c r="SGX119" s="199"/>
      <c r="SGY119" s="198"/>
      <c r="SGZ119" s="199"/>
      <c r="SHA119" s="198"/>
      <c r="SHB119" s="199"/>
      <c r="SHC119" s="198"/>
      <c r="SHD119" s="199"/>
      <c r="SHE119" s="198"/>
      <c r="SHF119" s="199"/>
      <c r="SHG119" s="198"/>
      <c r="SHH119" s="199"/>
      <c r="SHI119" s="198"/>
      <c r="SHJ119" s="199"/>
      <c r="SHK119" s="198"/>
      <c r="SHL119" s="199"/>
      <c r="SHM119" s="198"/>
      <c r="SHN119" s="199"/>
      <c r="SHO119" s="198"/>
      <c r="SHP119" s="199"/>
      <c r="SHQ119" s="198"/>
      <c r="SHR119" s="199"/>
      <c r="SHS119" s="198"/>
      <c r="SHT119" s="199"/>
      <c r="SHU119" s="198"/>
      <c r="SHV119" s="199"/>
      <c r="SHW119" s="198"/>
      <c r="SHX119" s="199"/>
      <c r="SHY119" s="198"/>
      <c r="SHZ119" s="199"/>
      <c r="SIA119" s="198"/>
      <c r="SIB119" s="199"/>
      <c r="SIC119" s="198"/>
      <c r="SID119" s="199"/>
      <c r="SIE119" s="198"/>
      <c r="SIF119" s="199"/>
      <c r="SIG119" s="198"/>
      <c r="SIH119" s="199"/>
      <c r="SII119" s="198"/>
      <c r="SIJ119" s="199"/>
      <c r="SIK119" s="198"/>
      <c r="SIL119" s="199"/>
      <c r="SIM119" s="198"/>
      <c r="SIN119" s="199"/>
      <c r="SIO119" s="198"/>
      <c r="SIP119" s="199"/>
      <c r="SIQ119" s="198"/>
      <c r="SIR119" s="199"/>
      <c r="SIS119" s="198"/>
      <c r="SIT119" s="199"/>
      <c r="SIU119" s="198"/>
      <c r="SIV119" s="199"/>
      <c r="SIW119" s="198"/>
      <c r="SIX119" s="199"/>
      <c r="SIY119" s="198"/>
      <c r="SIZ119" s="199"/>
      <c r="SJA119" s="198"/>
      <c r="SJB119" s="199"/>
      <c r="SJC119" s="198"/>
      <c r="SJD119" s="199"/>
      <c r="SJE119" s="198"/>
      <c r="SJF119" s="199"/>
      <c r="SJG119" s="198"/>
      <c r="SJH119" s="199"/>
      <c r="SJI119" s="198"/>
      <c r="SJJ119" s="199"/>
      <c r="SJK119" s="198"/>
      <c r="SJL119" s="199"/>
      <c r="SJM119" s="198"/>
      <c r="SJN119" s="199"/>
      <c r="SJO119" s="198"/>
      <c r="SJP119" s="199"/>
      <c r="SJQ119" s="198"/>
      <c r="SJR119" s="199"/>
      <c r="SJS119" s="198"/>
      <c r="SJT119" s="199"/>
      <c r="SJU119" s="198"/>
      <c r="SJV119" s="199"/>
      <c r="SJW119" s="198"/>
      <c r="SJX119" s="199"/>
      <c r="SJY119" s="198"/>
      <c r="SJZ119" s="199"/>
      <c r="SKA119" s="198"/>
      <c r="SKB119" s="199"/>
      <c r="SKC119" s="198"/>
      <c r="SKD119" s="199"/>
      <c r="SKE119" s="198"/>
      <c r="SKF119" s="199"/>
      <c r="SKG119" s="198"/>
      <c r="SKH119" s="199"/>
      <c r="SKI119" s="198"/>
      <c r="SKJ119" s="199"/>
      <c r="SKK119" s="198"/>
      <c r="SKL119" s="199"/>
      <c r="SKM119" s="198"/>
      <c r="SKN119" s="199"/>
      <c r="SKO119" s="198"/>
      <c r="SKP119" s="199"/>
      <c r="SKQ119" s="198"/>
      <c r="SKR119" s="199"/>
      <c r="SKS119" s="198"/>
      <c r="SKT119" s="199"/>
      <c r="SKU119" s="198"/>
      <c r="SKV119" s="199"/>
      <c r="SKW119" s="198"/>
      <c r="SKX119" s="199"/>
      <c r="SKY119" s="198"/>
      <c r="SKZ119" s="199"/>
      <c r="SLA119" s="198"/>
      <c r="SLB119" s="199"/>
      <c r="SLC119" s="198"/>
      <c r="SLD119" s="199"/>
      <c r="SLE119" s="198"/>
      <c r="SLF119" s="199"/>
      <c r="SLG119" s="198"/>
      <c r="SLH119" s="199"/>
      <c r="SLI119" s="198"/>
      <c r="SLJ119" s="199"/>
      <c r="SLK119" s="198"/>
      <c r="SLL119" s="199"/>
      <c r="SLM119" s="198"/>
      <c r="SLN119" s="199"/>
      <c r="SLO119" s="198"/>
      <c r="SLP119" s="199"/>
      <c r="SLQ119" s="198"/>
      <c r="SLR119" s="199"/>
      <c r="SLS119" s="198"/>
      <c r="SLT119" s="199"/>
      <c r="SLU119" s="198"/>
      <c r="SLV119" s="199"/>
      <c r="SLW119" s="198"/>
      <c r="SLX119" s="199"/>
      <c r="SLY119" s="198"/>
      <c r="SLZ119" s="199"/>
      <c r="SMA119" s="198"/>
      <c r="SMB119" s="199"/>
      <c r="SMC119" s="198"/>
      <c r="SMD119" s="199"/>
      <c r="SME119" s="198"/>
      <c r="SMF119" s="199"/>
      <c r="SMG119" s="198"/>
      <c r="SMH119" s="199"/>
      <c r="SMI119" s="198"/>
      <c r="SMJ119" s="199"/>
      <c r="SMK119" s="198"/>
      <c r="SML119" s="199"/>
      <c r="SMM119" s="198"/>
      <c r="SMN119" s="199"/>
      <c r="SMO119" s="198"/>
      <c r="SMP119" s="199"/>
      <c r="SMQ119" s="198"/>
      <c r="SMR119" s="199"/>
      <c r="SMS119" s="198"/>
      <c r="SMT119" s="199"/>
      <c r="SMU119" s="198"/>
      <c r="SMV119" s="199"/>
      <c r="SMW119" s="198"/>
      <c r="SMX119" s="199"/>
      <c r="SMY119" s="198"/>
      <c r="SMZ119" s="199"/>
      <c r="SNA119" s="198"/>
      <c r="SNB119" s="199"/>
      <c r="SNC119" s="198"/>
      <c r="SND119" s="199"/>
      <c r="SNE119" s="198"/>
      <c r="SNF119" s="199"/>
      <c r="SNG119" s="198"/>
      <c r="SNH119" s="199"/>
      <c r="SNI119" s="198"/>
      <c r="SNJ119" s="199"/>
      <c r="SNK119" s="198"/>
      <c r="SNL119" s="199"/>
      <c r="SNM119" s="198"/>
      <c r="SNN119" s="199"/>
      <c r="SNO119" s="198"/>
      <c r="SNP119" s="199"/>
      <c r="SNQ119" s="198"/>
      <c r="SNR119" s="199"/>
      <c r="SNS119" s="198"/>
      <c r="SNT119" s="199"/>
      <c r="SNU119" s="198"/>
      <c r="SNV119" s="199"/>
      <c r="SNW119" s="198"/>
      <c r="SNX119" s="199"/>
      <c r="SNY119" s="198"/>
      <c r="SNZ119" s="199"/>
      <c r="SOA119" s="198"/>
      <c r="SOB119" s="199"/>
      <c r="SOC119" s="198"/>
      <c r="SOD119" s="199"/>
      <c r="SOE119" s="198"/>
      <c r="SOF119" s="199"/>
      <c r="SOG119" s="198"/>
      <c r="SOH119" s="199"/>
      <c r="SOI119" s="198"/>
      <c r="SOJ119" s="199"/>
      <c r="SOK119" s="198"/>
      <c r="SOL119" s="199"/>
      <c r="SOM119" s="198"/>
      <c r="SON119" s="199"/>
      <c r="SOO119" s="198"/>
      <c r="SOP119" s="199"/>
      <c r="SOQ119" s="198"/>
      <c r="SOR119" s="199"/>
      <c r="SOS119" s="198"/>
      <c r="SOT119" s="199"/>
      <c r="SOU119" s="198"/>
      <c r="SOV119" s="199"/>
      <c r="SOW119" s="198"/>
      <c r="SOX119" s="199"/>
      <c r="SOY119" s="198"/>
      <c r="SOZ119" s="199"/>
      <c r="SPA119" s="198"/>
      <c r="SPB119" s="199"/>
      <c r="SPC119" s="198"/>
      <c r="SPD119" s="199"/>
      <c r="SPE119" s="198"/>
      <c r="SPF119" s="199"/>
      <c r="SPG119" s="198"/>
      <c r="SPH119" s="199"/>
      <c r="SPI119" s="198"/>
      <c r="SPJ119" s="199"/>
      <c r="SPK119" s="198"/>
      <c r="SPL119" s="199"/>
      <c r="SPM119" s="198"/>
      <c r="SPN119" s="199"/>
      <c r="SPO119" s="198"/>
      <c r="SPP119" s="199"/>
      <c r="SPQ119" s="198"/>
      <c r="SPR119" s="199"/>
      <c r="SPS119" s="198"/>
      <c r="SPT119" s="199"/>
      <c r="SPU119" s="198"/>
      <c r="SPV119" s="199"/>
      <c r="SPW119" s="198"/>
      <c r="SPX119" s="199"/>
      <c r="SPY119" s="198"/>
      <c r="SPZ119" s="199"/>
      <c r="SQA119" s="198"/>
      <c r="SQB119" s="199"/>
      <c r="SQC119" s="198"/>
      <c r="SQD119" s="199"/>
      <c r="SQE119" s="198"/>
      <c r="SQF119" s="199"/>
      <c r="SQG119" s="198"/>
      <c r="SQH119" s="199"/>
      <c r="SQI119" s="198"/>
      <c r="SQJ119" s="199"/>
      <c r="SQK119" s="198"/>
      <c r="SQL119" s="199"/>
      <c r="SQM119" s="198"/>
      <c r="SQN119" s="199"/>
      <c r="SQO119" s="198"/>
      <c r="SQP119" s="199"/>
      <c r="SQQ119" s="198"/>
      <c r="SQR119" s="199"/>
      <c r="SQS119" s="198"/>
      <c r="SQT119" s="199"/>
      <c r="SQU119" s="198"/>
      <c r="SQV119" s="199"/>
      <c r="SQW119" s="198"/>
      <c r="SQX119" s="199"/>
      <c r="SQY119" s="198"/>
      <c r="SQZ119" s="199"/>
      <c r="SRA119" s="198"/>
      <c r="SRB119" s="199"/>
      <c r="SRC119" s="198"/>
      <c r="SRD119" s="199"/>
      <c r="SRE119" s="198"/>
      <c r="SRF119" s="199"/>
      <c r="SRG119" s="198"/>
      <c r="SRH119" s="199"/>
      <c r="SRI119" s="198"/>
      <c r="SRJ119" s="199"/>
      <c r="SRK119" s="198"/>
      <c r="SRL119" s="199"/>
      <c r="SRM119" s="198"/>
      <c r="SRN119" s="199"/>
      <c r="SRO119" s="198"/>
      <c r="SRP119" s="199"/>
      <c r="SRQ119" s="198"/>
      <c r="SRR119" s="199"/>
      <c r="SRS119" s="198"/>
      <c r="SRT119" s="199"/>
      <c r="SRU119" s="198"/>
      <c r="SRV119" s="199"/>
      <c r="SRW119" s="198"/>
      <c r="SRX119" s="199"/>
      <c r="SRY119" s="198"/>
      <c r="SRZ119" s="199"/>
      <c r="SSA119" s="198"/>
      <c r="SSB119" s="199"/>
      <c r="SSC119" s="198"/>
      <c r="SSD119" s="199"/>
      <c r="SSE119" s="198"/>
      <c r="SSF119" s="199"/>
      <c r="SSG119" s="198"/>
      <c r="SSH119" s="199"/>
      <c r="SSI119" s="198"/>
      <c r="SSJ119" s="199"/>
      <c r="SSK119" s="198"/>
      <c r="SSL119" s="199"/>
      <c r="SSM119" s="198"/>
      <c r="SSN119" s="199"/>
      <c r="SSO119" s="198"/>
      <c r="SSP119" s="199"/>
      <c r="SSQ119" s="198"/>
      <c r="SSR119" s="199"/>
      <c r="SSS119" s="198"/>
      <c r="SST119" s="199"/>
      <c r="SSU119" s="198"/>
      <c r="SSV119" s="199"/>
      <c r="SSW119" s="198"/>
      <c r="SSX119" s="199"/>
      <c r="SSY119" s="198"/>
      <c r="SSZ119" s="199"/>
      <c r="STA119" s="198"/>
      <c r="STB119" s="199"/>
      <c r="STC119" s="198"/>
      <c r="STD119" s="199"/>
      <c r="STE119" s="198"/>
      <c r="STF119" s="199"/>
      <c r="STG119" s="198"/>
      <c r="STH119" s="199"/>
      <c r="STI119" s="198"/>
      <c r="STJ119" s="199"/>
      <c r="STK119" s="198"/>
      <c r="STL119" s="199"/>
      <c r="STM119" s="198"/>
      <c r="STN119" s="199"/>
      <c r="STO119" s="198"/>
      <c r="STP119" s="199"/>
      <c r="STQ119" s="198"/>
      <c r="STR119" s="199"/>
      <c r="STS119" s="198"/>
      <c r="STT119" s="199"/>
      <c r="STU119" s="198"/>
      <c r="STV119" s="199"/>
      <c r="STW119" s="198"/>
      <c r="STX119" s="199"/>
      <c r="STY119" s="198"/>
      <c r="STZ119" s="199"/>
      <c r="SUA119" s="198"/>
      <c r="SUB119" s="199"/>
      <c r="SUC119" s="198"/>
      <c r="SUD119" s="199"/>
      <c r="SUE119" s="198"/>
      <c r="SUF119" s="199"/>
      <c r="SUG119" s="198"/>
      <c r="SUH119" s="199"/>
      <c r="SUI119" s="198"/>
      <c r="SUJ119" s="199"/>
      <c r="SUK119" s="198"/>
      <c r="SUL119" s="199"/>
      <c r="SUM119" s="198"/>
      <c r="SUN119" s="199"/>
      <c r="SUO119" s="198"/>
      <c r="SUP119" s="199"/>
      <c r="SUQ119" s="198"/>
      <c r="SUR119" s="199"/>
      <c r="SUS119" s="198"/>
      <c r="SUT119" s="199"/>
      <c r="SUU119" s="198"/>
      <c r="SUV119" s="199"/>
      <c r="SUW119" s="198"/>
      <c r="SUX119" s="199"/>
      <c r="SUY119" s="198"/>
      <c r="SUZ119" s="199"/>
      <c r="SVA119" s="198"/>
      <c r="SVB119" s="199"/>
      <c r="SVC119" s="198"/>
      <c r="SVD119" s="199"/>
      <c r="SVE119" s="198"/>
      <c r="SVF119" s="199"/>
      <c r="SVG119" s="198"/>
      <c r="SVH119" s="199"/>
      <c r="SVI119" s="198"/>
      <c r="SVJ119" s="199"/>
      <c r="SVK119" s="198"/>
      <c r="SVL119" s="199"/>
      <c r="SVM119" s="198"/>
      <c r="SVN119" s="199"/>
      <c r="SVO119" s="198"/>
      <c r="SVP119" s="199"/>
      <c r="SVQ119" s="198"/>
      <c r="SVR119" s="199"/>
      <c r="SVS119" s="198"/>
      <c r="SVT119" s="199"/>
      <c r="SVU119" s="198"/>
      <c r="SVV119" s="199"/>
      <c r="SVW119" s="198"/>
      <c r="SVX119" s="199"/>
      <c r="SVY119" s="198"/>
      <c r="SVZ119" s="199"/>
      <c r="SWA119" s="198"/>
      <c r="SWB119" s="199"/>
      <c r="SWC119" s="198"/>
      <c r="SWD119" s="199"/>
      <c r="SWE119" s="198"/>
      <c r="SWF119" s="199"/>
      <c r="SWG119" s="198"/>
      <c r="SWH119" s="199"/>
      <c r="SWI119" s="198"/>
      <c r="SWJ119" s="199"/>
      <c r="SWK119" s="198"/>
      <c r="SWL119" s="199"/>
      <c r="SWM119" s="198"/>
      <c r="SWN119" s="199"/>
      <c r="SWO119" s="198"/>
      <c r="SWP119" s="199"/>
      <c r="SWQ119" s="198"/>
      <c r="SWR119" s="199"/>
      <c r="SWS119" s="198"/>
      <c r="SWT119" s="199"/>
      <c r="SWU119" s="198"/>
      <c r="SWV119" s="199"/>
      <c r="SWW119" s="198"/>
      <c r="SWX119" s="199"/>
      <c r="SWY119" s="198"/>
      <c r="SWZ119" s="199"/>
      <c r="SXA119" s="198"/>
      <c r="SXB119" s="199"/>
      <c r="SXC119" s="198"/>
      <c r="SXD119" s="199"/>
      <c r="SXE119" s="198"/>
      <c r="SXF119" s="199"/>
      <c r="SXG119" s="198"/>
      <c r="SXH119" s="199"/>
      <c r="SXI119" s="198"/>
      <c r="SXJ119" s="199"/>
      <c r="SXK119" s="198"/>
      <c r="SXL119" s="199"/>
      <c r="SXM119" s="198"/>
      <c r="SXN119" s="199"/>
      <c r="SXO119" s="198"/>
      <c r="SXP119" s="199"/>
      <c r="SXQ119" s="198"/>
      <c r="SXR119" s="199"/>
      <c r="SXS119" s="198"/>
      <c r="SXT119" s="199"/>
      <c r="SXU119" s="198"/>
      <c r="SXV119" s="199"/>
      <c r="SXW119" s="198"/>
      <c r="SXX119" s="199"/>
      <c r="SXY119" s="198"/>
      <c r="SXZ119" s="199"/>
      <c r="SYA119" s="198"/>
      <c r="SYB119" s="199"/>
      <c r="SYC119" s="198"/>
      <c r="SYD119" s="199"/>
      <c r="SYE119" s="198"/>
      <c r="SYF119" s="199"/>
      <c r="SYG119" s="198"/>
      <c r="SYH119" s="199"/>
      <c r="SYI119" s="198"/>
      <c r="SYJ119" s="199"/>
      <c r="SYK119" s="198"/>
      <c r="SYL119" s="199"/>
      <c r="SYM119" s="198"/>
      <c r="SYN119" s="199"/>
      <c r="SYO119" s="198"/>
      <c r="SYP119" s="199"/>
      <c r="SYQ119" s="198"/>
      <c r="SYR119" s="199"/>
      <c r="SYS119" s="198"/>
      <c r="SYT119" s="199"/>
      <c r="SYU119" s="198"/>
      <c r="SYV119" s="199"/>
      <c r="SYW119" s="198"/>
      <c r="SYX119" s="199"/>
      <c r="SYY119" s="198"/>
      <c r="SYZ119" s="199"/>
      <c r="SZA119" s="198"/>
      <c r="SZB119" s="199"/>
      <c r="SZC119" s="198"/>
      <c r="SZD119" s="199"/>
      <c r="SZE119" s="198"/>
      <c r="SZF119" s="199"/>
      <c r="SZG119" s="198"/>
      <c r="SZH119" s="199"/>
      <c r="SZI119" s="198"/>
      <c r="SZJ119" s="199"/>
      <c r="SZK119" s="198"/>
      <c r="SZL119" s="199"/>
      <c r="SZM119" s="198"/>
      <c r="SZN119" s="199"/>
      <c r="SZO119" s="198"/>
      <c r="SZP119" s="199"/>
      <c r="SZQ119" s="198"/>
      <c r="SZR119" s="199"/>
      <c r="SZS119" s="198"/>
      <c r="SZT119" s="199"/>
      <c r="SZU119" s="198"/>
      <c r="SZV119" s="199"/>
      <c r="SZW119" s="198"/>
      <c r="SZX119" s="199"/>
      <c r="SZY119" s="198"/>
      <c r="SZZ119" s="199"/>
      <c r="TAA119" s="198"/>
      <c r="TAB119" s="199"/>
      <c r="TAC119" s="198"/>
      <c r="TAD119" s="199"/>
      <c r="TAE119" s="198"/>
      <c r="TAF119" s="199"/>
      <c r="TAG119" s="198"/>
      <c r="TAH119" s="199"/>
      <c r="TAI119" s="198"/>
      <c r="TAJ119" s="199"/>
      <c r="TAK119" s="198"/>
      <c r="TAL119" s="199"/>
      <c r="TAM119" s="198"/>
      <c r="TAN119" s="199"/>
      <c r="TAO119" s="198"/>
      <c r="TAP119" s="199"/>
      <c r="TAQ119" s="198"/>
      <c r="TAR119" s="199"/>
      <c r="TAS119" s="198"/>
      <c r="TAT119" s="199"/>
      <c r="TAU119" s="198"/>
      <c r="TAV119" s="199"/>
      <c r="TAW119" s="198"/>
      <c r="TAX119" s="199"/>
      <c r="TAY119" s="198"/>
      <c r="TAZ119" s="199"/>
      <c r="TBA119" s="198"/>
      <c r="TBB119" s="199"/>
      <c r="TBC119" s="198"/>
      <c r="TBD119" s="199"/>
      <c r="TBE119" s="198"/>
      <c r="TBF119" s="199"/>
      <c r="TBG119" s="198"/>
      <c r="TBH119" s="199"/>
      <c r="TBI119" s="198"/>
      <c r="TBJ119" s="199"/>
      <c r="TBK119" s="198"/>
      <c r="TBL119" s="199"/>
      <c r="TBM119" s="198"/>
      <c r="TBN119" s="199"/>
      <c r="TBO119" s="198"/>
      <c r="TBP119" s="199"/>
      <c r="TBQ119" s="198"/>
      <c r="TBR119" s="199"/>
      <c r="TBS119" s="198"/>
      <c r="TBT119" s="199"/>
      <c r="TBU119" s="198"/>
      <c r="TBV119" s="199"/>
      <c r="TBW119" s="198"/>
      <c r="TBX119" s="199"/>
      <c r="TBY119" s="198"/>
      <c r="TBZ119" s="199"/>
      <c r="TCA119" s="198"/>
      <c r="TCB119" s="199"/>
      <c r="TCC119" s="198"/>
      <c r="TCD119" s="199"/>
      <c r="TCE119" s="198"/>
      <c r="TCF119" s="199"/>
      <c r="TCG119" s="198"/>
      <c r="TCH119" s="199"/>
      <c r="TCI119" s="198"/>
      <c r="TCJ119" s="199"/>
      <c r="TCK119" s="198"/>
      <c r="TCL119" s="199"/>
      <c r="TCM119" s="198"/>
      <c r="TCN119" s="199"/>
      <c r="TCO119" s="198"/>
      <c r="TCP119" s="199"/>
      <c r="TCQ119" s="198"/>
      <c r="TCR119" s="199"/>
      <c r="TCS119" s="198"/>
      <c r="TCT119" s="199"/>
      <c r="TCU119" s="198"/>
      <c r="TCV119" s="199"/>
      <c r="TCW119" s="198"/>
      <c r="TCX119" s="199"/>
      <c r="TCY119" s="198"/>
      <c r="TCZ119" s="199"/>
      <c r="TDA119" s="198"/>
      <c r="TDB119" s="199"/>
      <c r="TDC119" s="198"/>
      <c r="TDD119" s="199"/>
      <c r="TDE119" s="198"/>
      <c r="TDF119" s="199"/>
      <c r="TDG119" s="198"/>
      <c r="TDH119" s="199"/>
      <c r="TDI119" s="198"/>
      <c r="TDJ119" s="199"/>
      <c r="TDK119" s="198"/>
      <c r="TDL119" s="199"/>
      <c r="TDM119" s="198"/>
      <c r="TDN119" s="199"/>
      <c r="TDO119" s="198"/>
      <c r="TDP119" s="199"/>
      <c r="TDQ119" s="198"/>
      <c r="TDR119" s="199"/>
      <c r="TDS119" s="198"/>
      <c r="TDT119" s="199"/>
      <c r="TDU119" s="198"/>
      <c r="TDV119" s="199"/>
      <c r="TDW119" s="198"/>
      <c r="TDX119" s="199"/>
      <c r="TDY119" s="198"/>
      <c r="TDZ119" s="199"/>
      <c r="TEA119" s="198"/>
      <c r="TEB119" s="199"/>
      <c r="TEC119" s="198"/>
      <c r="TED119" s="199"/>
      <c r="TEE119" s="198"/>
      <c r="TEF119" s="199"/>
      <c r="TEG119" s="198"/>
      <c r="TEH119" s="199"/>
      <c r="TEI119" s="198"/>
      <c r="TEJ119" s="199"/>
      <c r="TEK119" s="198"/>
      <c r="TEL119" s="199"/>
      <c r="TEM119" s="198"/>
      <c r="TEN119" s="199"/>
      <c r="TEO119" s="198"/>
      <c r="TEP119" s="199"/>
      <c r="TEQ119" s="198"/>
      <c r="TER119" s="199"/>
      <c r="TES119" s="198"/>
      <c r="TET119" s="199"/>
      <c r="TEU119" s="198"/>
      <c r="TEV119" s="199"/>
      <c r="TEW119" s="198"/>
      <c r="TEX119" s="199"/>
      <c r="TEY119" s="198"/>
      <c r="TEZ119" s="199"/>
      <c r="TFA119" s="198"/>
      <c r="TFB119" s="199"/>
      <c r="TFC119" s="198"/>
      <c r="TFD119" s="199"/>
      <c r="TFE119" s="198"/>
      <c r="TFF119" s="199"/>
      <c r="TFG119" s="198"/>
      <c r="TFH119" s="199"/>
      <c r="TFI119" s="198"/>
      <c r="TFJ119" s="199"/>
      <c r="TFK119" s="198"/>
      <c r="TFL119" s="199"/>
      <c r="TFM119" s="198"/>
      <c r="TFN119" s="199"/>
      <c r="TFO119" s="198"/>
      <c r="TFP119" s="199"/>
      <c r="TFQ119" s="198"/>
      <c r="TFR119" s="199"/>
      <c r="TFS119" s="198"/>
      <c r="TFT119" s="199"/>
      <c r="TFU119" s="198"/>
      <c r="TFV119" s="199"/>
      <c r="TFW119" s="198"/>
      <c r="TFX119" s="199"/>
      <c r="TFY119" s="198"/>
      <c r="TFZ119" s="199"/>
      <c r="TGA119" s="198"/>
      <c r="TGB119" s="199"/>
      <c r="TGC119" s="198"/>
      <c r="TGD119" s="199"/>
      <c r="TGE119" s="198"/>
      <c r="TGF119" s="199"/>
      <c r="TGG119" s="198"/>
      <c r="TGH119" s="199"/>
      <c r="TGI119" s="198"/>
      <c r="TGJ119" s="199"/>
      <c r="TGK119" s="198"/>
      <c r="TGL119" s="199"/>
      <c r="TGM119" s="198"/>
      <c r="TGN119" s="199"/>
      <c r="TGO119" s="198"/>
      <c r="TGP119" s="199"/>
      <c r="TGQ119" s="198"/>
      <c r="TGR119" s="199"/>
      <c r="TGS119" s="198"/>
      <c r="TGT119" s="199"/>
      <c r="TGU119" s="198"/>
      <c r="TGV119" s="199"/>
      <c r="TGW119" s="198"/>
      <c r="TGX119" s="199"/>
      <c r="TGY119" s="198"/>
      <c r="TGZ119" s="199"/>
      <c r="THA119" s="198"/>
      <c r="THB119" s="199"/>
      <c r="THC119" s="198"/>
      <c r="THD119" s="199"/>
      <c r="THE119" s="198"/>
      <c r="THF119" s="199"/>
      <c r="THG119" s="198"/>
      <c r="THH119" s="199"/>
      <c r="THI119" s="198"/>
      <c r="THJ119" s="199"/>
      <c r="THK119" s="198"/>
      <c r="THL119" s="199"/>
      <c r="THM119" s="198"/>
      <c r="THN119" s="199"/>
      <c r="THO119" s="198"/>
      <c r="THP119" s="199"/>
      <c r="THQ119" s="198"/>
      <c r="THR119" s="199"/>
      <c r="THS119" s="198"/>
      <c r="THT119" s="199"/>
      <c r="THU119" s="198"/>
      <c r="THV119" s="199"/>
      <c r="THW119" s="198"/>
      <c r="THX119" s="199"/>
      <c r="THY119" s="198"/>
      <c r="THZ119" s="199"/>
      <c r="TIA119" s="198"/>
      <c r="TIB119" s="199"/>
      <c r="TIC119" s="198"/>
      <c r="TID119" s="199"/>
      <c r="TIE119" s="198"/>
      <c r="TIF119" s="199"/>
      <c r="TIG119" s="198"/>
      <c r="TIH119" s="199"/>
      <c r="TII119" s="198"/>
      <c r="TIJ119" s="199"/>
      <c r="TIK119" s="198"/>
      <c r="TIL119" s="199"/>
      <c r="TIM119" s="198"/>
      <c r="TIN119" s="199"/>
      <c r="TIO119" s="198"/>
      <c r="TIP119" s="199"/>
      <c r="TIQ119" s="198"/>
      <c r="TIR119" s="199"/>
      <c r="TIS119" s="198"/>
      <c r="TIT119" s="199"/>
      <c r="TIU119" s="198"/>
      <c r="TIV119" s="199"/>
      <c r="TIW119" s="198"/>
      <c r="TIX119" s="199"/>
      <c r="TIY119" s="198"/>
      <c r="TIZ119" s="199"/>
      <c r="TJA119" s="198"/>
      <c r="TJB119" s="199"/>
      <c r="TJC119" s="198"/>
      <c r="TJD119" s="199"/>
      <c r="TJE119" s="198"/>
      <c r="TJF119" s="199"/>
      <c r="TJG119" s="198"/>
      <c r="TJH119" s="199"/>
      <c r="TJI119" s="198"/>
      <c r="TJJ119" s="199"/>
      <c r="TJK119" s="198"/>
      <c r="TJL119" s="199"/>
      <c r="TJM119" s="198"/>
      <c r="TJN119" s="199"/>
      <c r="TJO119" s="198"/>
      <c r="TJP119" s="199"/>
      <c r="TJQ119" s="198"/>
      <c r="TJR119" s="199"/>
      <c r="TJS119" s="198"/>
      <c r="TJT119" s="199"/>
      <c r="TJU119" s="198"/>
      <c r="TJV119" s="199"/>
      <c r="TJW119" s="198"/>
      <c r="TJX119" s="199"/>
      <c r="TJY119" s="198"/>
      <c r="TJZ119" s="199"/>
      <c r="TKA119" s="198"/>
      <c r="TKB119" s="199"/>
      <c r="TKC119" s="198"/>
      <c r="TKD119" s="199"/>
      <c r="TKE119" s="198"/>
      <c r="TKF119" s="199"/>
      <c r="TKG119" s="198"/>
      <c r="TKH119" s="199"/>
      <c r="TKI119" s="198"/>
      <c r="TKJ119" s="199"/>
      <c r="TKK119" s="198"/>
      <c r="TKL119" s="199"/>
      <c r="TKM119" s="198"/>
      <c r="TKN119" s="199"/>
      <c r="TKO119" s="198"/>
      <c r="TKP119" s="199"/>
      <c r="TKQ119" s="198"/>
      <c r="TKR119" s="199"/>
      <c r="TKS119" s="198"/>
      <c r="TKT119" s="199"/>
      <c r="TKU119" s="198"/>
      <c r="TKV119" s="199"/>
      <c r="TKW119" s="198"/>
      <c r="TKX119" s="199"/>
      <c r="TKY119" s="198"/>
      <c r="TKZ119" s="199"/>
      <c r="TLA119" s="198"/>
      <c r="TLB119" s="199"/>
      <c r="TLC119" s="198"/>
      <c r="TLD119" s="199"/>
      <c r="TLE119" s="198"/>
      <c r="TLF119" s="199"/>
      <c r="TLG119" s="198"/>
      <c r="TLH119" s="199"/>
      <c r="TLI119" s="198"/>
      <c r="TLJ119" s="199"/>
      <c r="TLK119" s="198"/>
      <c r="TLL119" s="199"/>
      <c r="TLM119" s="198"/>
      <c r="TLN119" s="199"/>
      <c r="TLO119" s="198"/>
      <c r="TLP119" s="199"/>
      <c r="TLQ119" s="198"/>
      <c r="TLR119" s="199"/>
      <c r="TLS119" s="198"/>
      <c r="TLT119" s="199"/>
      <c r="TLU119" s="198"/>
      <c r="TLV119" s="199"/>
      <c r="TLW119" s="198"/>
      <c r="TLX119" s="199"/>
      <c r="TLY119" s="198"/>
      <c r="TLZ119" s="199"/>
      <c r="TMA119" s="198"/>
      <c r="TMB119" s="199"/>
      <c r="TMC119" s="198"/>
      <c r="TMD119" s="199"/>
      <c r="TME119" s="198"/>
      <c r="TMF119" s="199"/>
      <c r="TMG119" s="198"/>
      <c r="TMH119" s="199"/>
      <c r="TMI119" s="198"/>
      <c r="TMJ119" s="199"/>
      <c r="TMK119" s="198"/>
      <c r="TML119" s="199"/>
      <c r="TMM119" s="198"/>
      <c r="TMN119" s="199"/>
      <c r="TMO119" s="198"/>
      <c r="TMP119" s="199"/>
      <c r="TMQ119" s="198"/>
      <c r="TMR119" s="199"/>
      <c r="TMS119" s="198"/>
      <c r="TMT119" s="199"/>
      <c r="TMU119" s="198"/>
      <c r="TMV119" s="199"/>
      <c r="TMW119" s="198"/>
      <c r="TMX119" s="199"/>
      <c r="TMY119" s="198"/>
      <c r="TMZ119" s="199"/>
      <c r="TNA119" s="198"/>
      <c r="TNB119" s="199"/>
      <c r="TNC119" s="198"/>
      <c r="TND119" s="199"/>
      <c r="TNE119" s="198"/>
      <c r="TNF119" s="199"/>
      <c r="TNG119" s="198"/>
      <c r="TNH119" s="199"/>
      <c r="TNI119" s="198"/>
      <c r="TNJ119" s="199"/>
      <c r="TNK119" s="198"/>
      <c r="TNL119" s="199"/>
      <c r="TNM119" s="198"/>
      <c r="TNN119" s="199"/>
      <c r="TNO119" s="198"/>
      <c r="TNP119" s="199"/>
      <c r="TNQ119" s="198"/>
      <c r="TNR119" s="199"/>
      <c r="TNS119" s="198"/>
      <c r="TNT119" s="199"/>
      <c r="TNU119" s="198"/>
      <c r="TNV119" s="199"/>
      <c r="TNW119" s="198"/>
      <c r="TNX119" s="199"/>
      <c r="TNY119" s="198"/>
      <c r="TNZ119" s="199"/>
      <c r="TOA119" s="198"/>
      <c r="TOB119" s="199"/>
      <c r="TOC119" s="198"/>
      <c r="TOD119" s="199"/>
      <c r="TOE119" s="198"/>
      <c r="TOF119" s="199"/>
      <c r="TOG119" s="198"/>
      <c r="TOH119" s="199"/>
      <c r="TOI119" s="198"/>
      <c r="TOJ119" s="199"/>
      <c r="TOK119" s="198"/>
      <c r="TOL119" s="199"/>
      <c r="TOM119" s="198"/>
      <c r="TON119" s="199"/>
      <c r="TOO119" s="198"/>
      <c r="TOP119" s="199"/>
      <c r="TOQ119" s="198"/>
      <c r="TOR119" s="199"/>
      <c r="TOS119" s="198"/>
      <c r="TOT119" s="199"/>
      <c r="TOU119" s="198"/>
      <c r="TOV119" s="199"/>
      <c r="TOW119" s="198"/>
      <c r="TOX119" s="199"/>
      <c r="TOY119" s="198"/>
      <c r="TOZ119" s="199"/>
      <c r="TPA119" s="198"/>
      <c r="TPB119" s="199"/>
      <c r="TPC119" s="198"/>
      <c r="TPD119" s="199"/>
      <c r="TPE119" s="198"/>
      <c r="TPF119" s="199"/>
      <c r="TPG119" s="198"/>
      <c r="TPH119" s="199"/>
      <c r="TPI119" s="198"/>
      <c r="TPJ119" s="199"/>
      <c r="TPK119" s="198"/>
      <c r="TPL119" s="199"/>
      <c r="TPM119" s="198"/>
      <c r="TPN119" s="199"/>
      <c r="TPO119" s="198"/>
      <c r="TPP119" s="199"/>
      <c r="TPQ119" s="198"/>
      <c r="TPR119" s="199"/>
      <c r="TPS119" s="198"/>
      <c r="TPT119" s="199"/>
      <c r="TPU119" s="198"/>
      <c r="TPV119" s="199"/>
      <c r="TPW119" s="198"/>
      <c r="TPX119" s="199"/>
      <c r="TPY119" s="198"/>
      <c r="TPZ119" s="199"/>
      <c r="TQA119" s="198"/>
      <c r="TQB119" s="199"/>
      <c r="TQC119" s="198"/>
      <c r="TQD119" s="199"/>
      <c r="TQE119" s="198"/>
      <c r="TQF119" s="199"/>
      <c r="TQG119" s="198"/>
      <c r="TQH119" s="199"/>
      <c r="TQI119" s="198"/>
      <c r="TQJ119" s="199"/>
      <c r="TQK119" s="198"/>
      <c r="TQL119" s="199"/>
      <c r="TQM119" s="198"/>
      <c r="TQN119" s="199"/>
      <c r="TQO119" s="198"/>
      <c r="TQP119" s="199"/>
      <c r="TQQ119" s="198"/>
      <c r="TQR119" s="199"/>
      <c r="TQS119" s="198"/>
      <c r="TQT119" s="199"/>
      <c r="TQU119" s="198"/>
      <c r="TQV119" s="199"/>
      <c r="TQW119" s="198"/>
      <c r="TQX119" s="199"/>
      <c r="TQY119" s="198"/>
      <c r="TQZ119" s="199"/>
      <c r="TRA119" s="198"/>
      <c r="TRB119" s="199"/>
      <c r="TRC119" s="198"/>
      <c r="TRD119" s="199"/>
      <c r="TRE119" s="198"/>
      <c r="TRF119" s="199"/>
      <c r="TRG119" s="198"/>
      <c r="TRH119" s="199"/>
      <c r="TRI119" s="198"/>
      <c r="TRJ119" s="199"/>
      <c r="TRK119" s="198"/>
      <c r="TRL119" s="199"/>
      <c r="TRM119" s="198"/>
      <c r="TRN119" s="199"/>
      <c r="TRO119" s="198"/>
      <c r="TRP119" s="199"/>
      <c r="TRQ119" s="198"/>
      <c r="TRR119" s="199"/>
      <c r="TRS119" s="198"/>
      <c r="TRT119" s="199"/>
      <c r="TRU119" s="198"/>
      <c r="TRV119" s="199"/>
      <c r="TRW119" s="198"/>
      <c r="TRX119" s="199"/>
      <c r="TRY119" s="198"/>
      <c r="TRZ119" s="199"/>
      <c r="TSA119" s="198"/>
      <c r="TSB119" s="199"/>
      <c r="TSC119" s="198"/>
      <c r="TSD119" s="199"/>
      <c r="TSE119" s="198"/>
      <c r="TSF119" s="199"/>
      <c r="TSG119" s="198"/>
      <c r="TSH119" s="199"/>
      <c r="TSI119" s="198"/>
      <c r="TSJ119" s="199"/>
      <c r="TSK119" s="198"/>
      <c r="TSL119" s="199"/>
      <c r="TSM119" s="198"/>
      <c r="TSN119" s="199"/>
      <c r="TSO119" s="198"/>
      <c r="TSP119" s="199"/>
      <c r="TSQ119" s="198"/>
      <c r="TSR119" s="199"/>
      <c r="TSS119" s="198"/>
      <c r="TST119" s="199"/>
      <c r="TSU119" s="198"/>
      <c r="TSV119" s="199"/>
      <c r="TSW119" s="198"/>
      <c r="TSX119" s="199"/>
      <c r="TSY119" s="198"/>
      <c r="TSZ119" s="199"/>
      <c r="TTA119" s="198"/>
      <c r="TTB119" s="199"/>
      <c r="TTC119" s="198"/>
      <c r="TTD119" s="199"/>
      <c r="TTE119" s="198"/>
      <c r="TTF119" s="199"/>
      <c r="TTG119" s="198"/>
      <c r="TTH119" s="199"/>
      <c r="TTI119" s="198"/>
      <c r="TTJ119" s="199"/>
      <c r="TTK119" s="198"/>
      <c r="TTL119" s="199"/>
      <c r="TTM119" s="198"/>
      <c r="TTN119" s="199"/>
      <c r="TTO119" s="198"/>
      <c r="TTP119" s="199"/>
      <c r="TTQ119" s="198"/>
      <c r="TTR119" s="199"/>
      <c r="TTS119" s="198"/>
      <c r="TTT119" s="199"/>
      <c r="TTU119" s="198"/>
      <c r="TTV119" s="199"/>
      <c r="TTW119" s="198"/>
      <c r="TTX119" s="199"/>
      <c r="TTY119" s="198"/>
      <c r="TTZ119" s="199"/>
      <c r="TUA119" s="198"/>
      <c r="TUB119" s="199"/>
      <c r="TUC119" s="198"/>
      <c r="TUD119" s="199"/>
      <c r="TUE119" s="198"/>
      <c r="TUF119" s="199"/>
      <c r="TUG119" s="198"/>
      <c r="TUH119" s="199"/>
      <c r="TUI119" s="198"/>
      <c r="TUJ119" s="199"/>
      <c r="TUK119" s="198"/>
      <c r="TUL119" s="199"/>
      <c r="TUM119" s="198"/>
      <c r="TUN119" s="199"/>
      <c r="TUO119" s="198"/>
      <c r="TUP119" s="199"/>
      <c r="TUQ119" s="198"/>
      <c r="TUR119" s="199"/>
      <c r="TUS119" s="198"/>
      <c r="TUT119" s="199"/>
      <c r="TUU119" s="198"/>
      <c r="TUV119" s="199"/>
      <c r="TUW119" s="198"/>
      <c r="TUX119" s="199"/>
      <c r="TUY119" s="198"/>
      <c r="TUZ119" s="199"/>
      <c r="TVA119" s="198"/>
      <c r="TVB119" s="199"/>
      <c r="TVC119" s="198"/>
      <c r="TVD119" s="199"/>
      <c r="TVE119" s="198"/>
      <c r="TVF119" s="199"/>
      <c r="TVG119" s="198"/>
      <c r="TVH119" s="199"/>
      <c r="TVI119" s="198"/>
      <c r="TVJ119" s="199"/>
      <c r="TVK119" s="198"/>
      <c r="TVL119" s="199"/>
      <c r="TVM119" s="198"/>
      <c r="TVN119" s="199"/>
      <c r="TVO119" s="198"/>
      <c r="TVP119" s="199"/>
      <c r="TVQ119" s="198"/>
      <c r="TVR119" s="199"/>
      <c r="TVS119" s="198"/>
      <c r="TVT119" s="199"/>
      <c r="TVU119" s="198"/>
      <c r="TVV119" s="199"/>
      <c r="TVW119" s="198"/>
      <c r="TVX119" s="199"/>
      <c r="TVY119" s="198"/>
      <c r="TVZ119" s="199"/>
      <c r="TWA119" s="198"/>
      <c r="TWB119" s="199"/>
      <c r="TWC119" s="198"/>
      <c r="TWD119" s="199"/>
      <c r="TWE119" s="198"/>
      <c r="TWF119" s="199"/>
      <c r="TWG119" s="198"/>
      <c r="TWH119" s="199"/>
      <c r="TWI119" s="198"/>
      <c r="TWJ119" s="199"/>
      <c r="TWK119" s="198"/>
      <c r="TWL119" s="199"/>
      <c r="TWM119" s="198"/>
      <c r="TWN119" s="199"/>
      <c r="TWO119" s="198"/>
      <c r="TWP119" s="199"/>
      <c r="TWQ119" s="198"/>
      <c r="TWR119" s="199"/>
      <c r="TWS119" s="198"/>
      <c r="TWT119" s="199"/>
      <c r="TWU119" s="198"/>
      <c r="TWV119" s="199"/>
      <c r="TWW119" s="198"/>
      <c r="TWX119" s="199"/>
      <c r="TWY119" s="198"/>
      <c r="TWZ119" s="199"/>
      <c r="TXA119" s="198"/>
      <c r="TXB119" s="199"/>
      <c r="TXC119" s="198"/>
      <c r="TXD119" s="199"/>
      <c r="TXE119" s="198"/>
      <c r="TXF119" s="199"/>
      <c r="TXG119" s="198"/>
      <c r="TXH119" s="199"/>
      <c r="TXI119" s="198"/>
      <c r="TXJ119" s="199"/>
      <c r="TXK119" s="198"/>
      <c r="TXL119" s="199"/>
      <c r="TXM119" s="198"/>
      <c r="TXN119" s="199"/>
      <c r="TXO119" s="198"/>
      <c r="TXP119" s="199"/>
      <c r="TXQ119" s="198"/>
      <c r="TXR119" s="199"/>
      <c r="TXS119" s="198"/>
      <c r="TXT119" s="199"/>
      <c r="TXU119" s="198"/>
      <c r="TXV119" s="199"/>
      <c r="TXW119" s="198"/>
      <c r="TXX119" s="199"/>
      <c r="TXY119" s="198"/>
      <c r="TXZ119" s="199"/>
      <c r="TYA119" s="198"/>
      <c r="TYB119" s="199"/>
      <c r="TYC119" s="198"/>
      <c r="TYD119" s="199"/>
      <c r="TYE119" s="198"/>
      <c r="TYF119" s="199"/>
      <c r="TYG119" s="198"/>
      <c r="TYH119" s="199"/>
      <c r="TYI119" s="198"/>
      <c r="TYJ119" s="199"/>
      <c r="TYK119" s="198"/>
      <c r="TYL119" s="199"/>
      <c r="TYM119" s="198"/>
      <c r="TYN119" s="199"/>
      <c r="TYO119" s="198"/>
      <c r="TYP119" s="199"/>
      <c r="TYQ119" s="198"/>
      <c r="TYR119" s="199"/>
      <c r="TYS119" s="198"/>
      <c r="TYT119" s="199"/>
      <c r="TYU119" s="198"/>
      <c r="TYV119" s="199"/>
      <c r="TYW119" s="198"/>
      <c r="TYX119" s="199"/>
      <c r="TYY119" s="198"/>
      <c r="TYZ119" s="199"/>
      <c r="TZA119" s="198"/>
      <c r="TZB119" s="199"/>
      <c r="TZC119" s="198"/>
      <c r="TZD119" s="199"/>
      <c r="TZE119" s="198"/>
      <c r="TZF119" s="199"/>
      <c r="TZG119" s="198"/>
      <c r="TZH119" s="199"/>
      <c r="TZI119" s="198"/>
      <c r="TZJ119" s="199"/>
      <c r="TZK119" s="198"/>
      <c r="TZL119" s="199"/>
      <c r="TZM119" s="198"/>
      <c r="TZN119" s="199"/>
      <c r="TZO119" s="198"/>
      <c r="TZP119" s="199"/>
      <c r="TZQ119" s="198"/>
      <c r="TZR119" s="199"/>
      <c r="TZS119" s="198"/>
      <c r="TZT119" s="199"/>
      <c r="TZU119" s="198"/>
      <c r="TZV119" s="199"/>
      <c r="TZW119" s="198"/>
      <c r="TZX119" s="199"/>
      <c r="TZY119" s="198"/>
      <c r="TZZ119" s="199"/>
      <c r="UAA119" s="198"/>
      <c r="UAB119" s="199"/>
      <c r="UAC119" s="198"/>
      <c r="UAD119" s="199"/>
      <c r="UAE119" s="198"/>
      <c r="UAF119" s="199"/>
      <c r="UAG119" s="198"/>
      <c r="UAH119" s="199"/>
      <c r="UAI119" s="198"/>
      <c r="UAJ119" s="199"/>
      <c r="UAK119" s="198"/>
      <c r="UAL119" s="199"/>
      <c r="UAM119" s="198"/>
      <c r="UAN119" s="199"/>
      <c r="UAO119" s="198"/>
      <c r="UAP119" s="199"/>
      <c r="UAQ119" s="198"/>
      <c r="UAR119" s="199"/>
      <c r="UAS119" s="198"/>
      <c r="UAT119" s="199"/>
      <c r="UAU119" s="198"/>
      <c r="UAV119" s="199"/>
      <c r="UAW119" s="198"/>
      <c r="UAX119" s="199"/>
      <c r="UAY119" s="198"/>
      <c r="UAZ119" s="199"/>
      <c r="UBA119" s="198"/>
      <c r="UBB119" s="199"/>
      <c r="UBC119" s="198"/>
      <c r="UBD119" s="199"/>
      <c r="UBE119" s="198"/>
      <c r="UBF119" s="199"/>
      <c r="UBG119" s="198"/>
      <c r="UBH119" s="199"/>
      <c r="UBI119" s="198"/>
      <c r="UBJ119" s="199"/>
      <c r="UBK119" s="198"/>
      <c r="UBL119" s="199"/>
      <c r="UBM119" s="198"/>
      <c r="UBN119" s="199"/>
      <c r="UBO119" s="198"/>
      <c r="UBP119" s="199"/>
      <c r="UBQ119" s="198"/>
      <c r="UBR119" s="199"/>
      <c r="UBS119" s="198"/>
      <c r="UBT119" s="199"/>
      <c r="UBU119" s="198"/>
      <c r="UBV119" s="199"/>
      <c r="UBW119" s="198"/>
      <c r="UBX119" s="199"/>
      <c r="UBY119" s="198"/>
      <c r="UBZ119" s="199"/>
      <c r="UCA119" s="198"/>
      <c r="UCB119" s="199"/>
      <c r="UCC119" s="198"/>
      <c r="UCD119" s="199"/>
      <c r="UCE119" s="198"/>
      <c r="UCF119" s="199"/>
      <c r="UCG119" s="198"/>
      <c r="UCH119" s="199"/>
      <c r="UCI119" s="198"/>
      <c r="UCJ119" s="199"/>
      <c r="UCK119" s="198"/>
      <c r="UCL119" s="199"/>
      <c r="UCM119" s="198"/>
      <c r="UCN119" s="199"/>
      <c r="UCO119" s="198"/>
      <c r="UCP119" s="199"/>
      <c r="UCQ119" s="198"/>
      <c r="UCR119" s="199"/>
      <c r="UCS119" s="198"/>
      <c r="UCT119" s="199"/>
      <c r="UCU119" s="198"/>
      <c r="UCV119" s="199"/>
      <c r="UCW119" s="198"/>
      <c r="UCX119" s="199"/>
      <c r="UCY119" s="198"/>
      <c r="UCZ119" s="199"/>
      <c r="UDA119" s="198"/>
      <c r="UDB119" s="199"/>
      <c r="UDC119" s="198"/>
      <c r="UDD119" s="199"/>
      <c r="UDE119" s="198"/>
      <c r="UDF119" s="199"/>
      <c r="UDG119" s="198"/>
      <c r="UDH119" s="199"/>
      <c r="UDI119" s="198"/>
      <c r="UDJ119" s="199"/>
      <c r="UDK119" s="198"/>
      <c r="UDL119" s="199"/>
      <c r="UDM119" s="198"/>
      <c r="UDN119" s="199"/>
      <c r="UDO119" s="198"/>
      <c r="UDP119" s="199"/>
      <c r="UDQ119" s="198"/>
      <c r="UDR119" s="199"/>
      <c r="UDS119" s="198"/>
      <c r="UDT119" s="199"/>
      <c r="UDU119" s="198"/>
      <c r="UDV119" s="199"/>
      <c r="UDW119" s="198"/>
      <c r="UDX119" s="199"/>
      <c r="UDY119" s="198"/>
      <c r="UDZ119" s="199"/>
      <c r="UEA119" s="198"/>
      <c r="UEB119" s="199"/>
      <c r="UEC119" s="198"/>
      <c r="UED119" s="199"/>
      <c r="UEE119" s="198"/>
      <c r="UEF119" s="199"/>
      <c r="UEG119" s="198"/>
      <c r="UEH119" s="199"/>
      <c r="UEI119" s="198"/>
      <c r="UEJ119" s="199"/>
      <c r="UEK119" s="198"/>
      <c r="UEL119" s="199"/>
      <c r="UEM119" s="198"/>
      <c r="UEN119" s="199"/>
      <c r="UEO119" s="198"/>
      <c r="UEP119" s="199"/>
      <c r="UEQ119" s="198"/>
      <c r="UER119" s="199"/>
      <c r="UES119" s="198"/>
      <c r="UET119" s="199"/>
      <c r="UEU119" s="198"/>
      <c r="UEV119" s="199"/>
      <c r="UEW119" s="198"/>
      <c r="UEX119" s="199"/>
      <c r="UEY119" s="198"/>
      <c r="UEZ119" s="199"/>
      <c r="UFA119" s="198"/>
      <c r="UFB119" s="199"/>
      <c r="UFC119" s="198"/>
      <c r="UFD119" s="199"/>
      <c r="UFE119" s="198"/>
      <c r="UFF119" s="199"/>
      <c r="UFG119" s="198"/>
      <c r="UFH119" s="199"/>
      <c r="UFI119" s="198"/>
      <c r="UFJ119" s="199"/>
      <c r="UFK119" s="198"/>
      <c r="UFL119" s="199"/>
      <c r="UFM119" s="198"/>
      <c r="UFN119" s="199"/>
      <c r="UFO119" s="198"/>
      <c r="UFP119" s="199"/>
      <c r="UFQ119" s="198"/>
      <c r="UFR119" s="199"/>
      <c r="UFS119" s="198"/>
      <c r="UFT119" s="199"/>
      <c r="UFU119" s="198"/>
      <c r="UFV119" s="199"/>
      <c r="UFW119" s="198"/>
      <c r="UFX119" s="199"/>
      <c r="UFY119" s="198"/>
      <c r="UFZ119" s="199"/>
      <c r="UGA119" s="198"/>
      <c r="UGB119" s="199"/>
      <c r="UGC119" s="198"/>
      <c r="UGD119" s="199"/>
      <c r="UGE119" s="198"/>
      <c r="UGF119" s="199"/>
      <c r="UGG119" s="198"/>
      <c r="UGH119" s="199"/>
      <c r="UGI119" s="198"/>
      <c r="UGJ119" s="199"/>
      <c r="UGK119" s="198"/>
      <c r="UGL119" s="199"/>
      <c r="UGM119" s="198"/>
      <c r="UGN119" s="199"/>
      <c r="UGO119" s="198"/>
      <c r="UGP119" s="199"/>
      <c r="UGQ119" s="198"/>
      <c r="UGR119" s="199"/>
      <c r="UGS119" s="198"/>
      <c r="UGT119" s="199"/>
      <c r="UGU119" s="198"/>
      <c r="UGV119" s="199"/>
      <c r="UGW119" s="198"/>
      <c r="UGX119" s="199"/>
      <c r="UGY119" s="198"/>
      <c r="UGZ119" s="199"/>
      <c r="UHA119" s="198"/>
      <c r="UHB119" s="199"/>
      <c r="UHC119" s="198"/>
      <c r="UHD119" s="199"/>
      <c r="UHE119" s="198"/>
      <c r="UHF119" s="199"/>
      <c r="UHG119" s="198"/>
      <c r="UHH119" s="199"/>
      <c r="UHI119" s="198"/>
      <c r="UHJ119" s="199"/>
      <c r="UHK119" s="198"/>
      <c r="UHL119" s="199"/>
      <c r="UHM119" s="198"/>
      <c r="UHN119" s="199"/>
      <c r="UHO119" s="198"/>
      <c r="UHP119" s="199"/>
      <c r="UHQ119" s="198"/>
      <c r="UHR119" s="199"/>
      <c r="UHS119" s="198"/>
      <c r="UHT119" s="199"/>
      <c r="UHU119" s="198"/>
      <c r="UHV119" s="199"/>
      <c r="UHW119" s="198"/>
      <c r="UHX119" s="199"/>
      <c r="UHY119" s="198"/>
      <c r="UHZ119" s="199"/>
      <c r="UIA119" s="198"/>
      <c r="UIB119" s="199"/>
      <c r="UIC119" s="198"/>
      <c r="UID119" s="199"/>
      <c r="UIE119" s="198"/>
      <c r="UIF119" s="199"/>
      <c r="UIG119" s="198"/>
      <c r="UIH119" s="199"/>
      <c r="UII119" s="198"/>
      <c r="UIJ119" s="199"/>
      <c r="UIK119" s="198"/>
      <c r="UIL119" s="199"/>
      <c r="UIM119" s="198"/>
      <c r="UIN119" s="199"/>
      <c r="UIO119" s="198"/>
      <c r="UIP119" s="199"/>
      <c r="UIQ119" s="198"/>
      <c r="UIR119" s="199"/>
      <c r="UIS119" s="198"/>
      <c r="UIT119" s="199"/>
      <c r="UIU119" s="198"/>
      <c r="UIV119" s="199"/>
      <c r="UIW119" s="198"/>
      <c r="UIX119" s="199"/>
      <c r="UIY119" s="198"/>
      <c r="UIZ119" s="199"/>
      <c r="UJA119" s="198"/>
      <c r="UJB119" s="199"/>
      <c r="UJC119" s="198"/>
      <c r="UJD119" s="199"/>
      <c r="UJE119" s="198"/>
      <c r="UJF119" s="199"/>
      <c r="UJG119" s="198"/>
      <c r="UJH119" s="199"/>
      <c r="UJI119" s="198"/>
      <c r="UJJ119" s="199"/>
      <c r="UJK119" s="198"/>
      <c r="UJL119" s="199"/>
      <c r="UJM119" s="198"/>
      <c r="UJN119" s="199"/>
      <c r="UJO119" s="198"/>
      <c r="UJP119" s="199"/>
      <c r="UJQ119" s="198"/>
      <c r="UJR119" s="199"/>
      <c r="UJS119" s="198"/>
      <c r="UJT119" s="199"/>
      <c r="UJU119" s="198"/>
      <c r="UJV119" s="199"/>
      <c r="UJW119" s="198"/>
      <c r="UJX119" s="199"/>
      <c r="UJY119" s="198"/>
      <c r="UJZ119" s="199"/>
      <c r="UKA119" s="198"/>
      <c r="UKB119" s="199"/>
      <c r="UKC119" s="198"/>
      <c r="UKD119" s="199"/>
      <c r="UKE119" s="198"/>
      <c r="UKF119" s="199"/>
      <c r="UKG119" s="198"/>
      <c r="UKH119" s="199"/>
      <c r="UKI119" s="198"/>
      <c r="UKJ119" s="199"/>
      <c r="UKK119" s="198"/>
      <c r="UKL119" s="199"/>
      <c r="UKM119" s="198"/>
      <c r="UKN119" s="199"/>
      <c r="UKO119" s="198"/>
      <c r="UKP119" s="199"/>
      <c r="UKQ119" s="198"/>
      <c r="UKR119" s="199"/>
      <c r="UKS119" s="198"/>
      <c r="UKT119" s="199"/>
      <c r="UKU119" s="198"/>
      <c r="UKV119" s="199"/>
      <c r="UKW119" s="198"/>
      <c r="UKX119" s="199"/>
      <c r="UKY119" s="198"/>
      <c r="UKZ119" s="199"/>
      <c r="ULA119" s="198"/>
      <c r="ULB119" s="199"/>
      <c r="ULC119" s="198"/>
      <c r="ULD119" s="199"/>
      <c r="ULE119" s="198"/>
      <c r="ULF119" s="199"/>
      <c r="ULG119" s="198"/>
      <c r="ULH119" s="199"/>
      <c r="ULI119" s="198"/>
      <c r="ULJ119" s="199"/>
      <c r="ULK119" s="198"/>
      <c r="ULL119" s="199"/>
      <c r="ULM119" s="198"/>
      <c r="ULN119" s="199"/>
      <c r="ULO119" s="198"/>
      <c r="ULP119" s="199"/>
      <c r="ULQ119" s="198"/>
      <c r="ULR119" s="199"/>
      <c r="ULS119" s="198"/>
      <c r="ULT119" s="199"/>
      <c r="ULU119" s="198"/>
      <c r="ULV119" s="199"/>
      <c r="ULW119" s="198"/>
      <c r="ULX119" s="199"/>
      <c r="ULY119" s="198"/>
      <c r="ULZ119" s="199"/>
      <c r="UMA119" s="198"/>
      <c r="UMB119" s="199"/>
      <c r="UMC119" s="198"/>
      <c r="UMD119" s="199"/>
      <c r="UME119" s="198"/>
      <c r="UMF119" s="199"/>
      <c r="UMG119" s="198"/>
      <c r="UMH119" s="199"/>
      <c r="UMI119" s="198"/>
      <c r="UMJ119" s="199"/>
      <c r="UMK119" s="198"/>
      <c r="UML119" s="199"/>
      <c r="UMM119" s="198"/>
      <c r="UMN119" s="199"/>
      <c r="UMO119" s="198"/>
      <c r="UMP119" s="199"/>
      <c r="UMQ119" s="198"/>
      <c r="UMR119" s="199"/>
      <c r="UMS119" s="198"/>
      <c r="UMT119" s="199"/>
      <c r="UMU119" s="198"/>
      <c r="UMV119" s="199"/>
      <c r="UMW119" s="198"/>
      <c r="UMX119" s="199"/>
      <c r="UMY119" s="198"/>
      <c r="UMZ119" s="199"/>
      <c r="UNA119" s="198"/>
      <c r="UNB119" s="199"/>
      <c r="UNC119" s="198"/>
      <c r="UND119" s="199"/>
      <c r="UNE119" s="198"/>
      <c r="UNF119" s="199"/>
      <c r="UNG119" s="198"/>
      <c r="UNH119" s="199"/>
      <c r="UNI119" s="198"/>
      <c r="UNJ119" s="199"/>
      <c r="UNK119" s="198"/>
      <c r="UNL119" s="199"/>
      <c r="UNM119" s="198"/>
      <c r="UNN119" s="199"/>
      <c r="UNO119" s="198"/>
      <c r="UNP119" s="199"/>
      <c r="UNQ119" s="198"/>
      <c r="UNR119" s="199"/>
      <c r="UNS119" s="198"/>
      <c r="UNT119" s="199"/>
      <c r="UNU119" s="198"/>
      <c r="UNV119" s="199"/>
      <c r="UNW119" s="198"/>
      <c r="UNX119" s="199"/>
      <c r="UNY119" s="198"/>
      <c r="UNZ119" s="199"/>
      <c r="UOA119" s="198"/>
      <c r="UOB119" s="199"/>
      <c r="UOC119" s="198"/>
      <c r="UOD119" s="199"/>
      <c r="UOE119" s="198"/>
      <c r="UOF119" s="199"/>
      <c r="UOG119" s="198"/>
      <c r="UOH119" s="199"/>
      <c r="UOI119" s="198"/>
      <c r="UOJ119" s="199"/>
      <c r="UOK119" s="198"/>
      <c r="UOL119" s="199"/>
      <c r="UOM119" s="198"/>
      <c r="UON119" s="199"/>
      <c r="UOO119" s="198"/>
      <c r="UOP119" s="199"/>
      <c r="UOQ119" s="198"/>
      <c r="UOR119" s="199"/>
      <c r="UOS119" s="198"/>
      <c r="UOT119" s="199"/>
      <c r="UOU119" s="198"/>
      <c r="UOV119" s="199"/>
      <c r="UOW119" s="198"/>
      <c r="UOX119" s="199"/>
      <c r="UOY119" s="198"/>
      <c r="UOZ119" s="199"/>
      <c r="UPA119" s="198"/>
      <c r="UPB119" s="199"/>
      <c r="UPC119" s="198"/>
      <c r="UPD119" s="199"/>
      <c r="UPE119" s="198"/>
      <c r="UPF119" s="199"/>
      <c r="UPG119" s="198"/>
      <c r="UPH119" s="199"/>
      <c r="UPI119" s="198"/>
      <c r="UPJ119" s="199"/>
      <c r="UPK119" s="198"/>
      <c r="UPL119" s="199"/>
      <c r="UPM119" s="198"/>
      <c r="UPN119" s="199"/>
      <c r="UPO119" s="198"/>
      <c r="UPP119" s="199"/>
      <c r="UPQ119" s="198"/>
      <c r="UPR119" s="199"/>
      <c r="UPS119" s="198"/>
      <c r="UPT119" s="199"/>
      <c r="UPU119" s="198"/>
      <c r="UPV119" s="199"/>
      <c r="UPW119" s="198"/>
      <c r="UPX119" s="199"/>
      <c r="UPY119" s="198"/>
      <c r="UPZ119" s="199"/>
      <c r="UQA119" s="198"/>
      <c r="UQB119" s="199"/>
      <c r="UQC119" s="198"/>
      <c r="UQD119" s="199"/>
      <c r="UQE119" s="198"/>
      <c r="UQF119" s="199"/>
      <c r="UQG119" s="198"/>
      <c r="UQH119" s="199"/>
      <c r="UQI119" s="198"/>
      <c r="UQJ119" s="199"/>
      <c r="UQK119" s="198"/>
      <c r="UQL119" s="199"/>
      <c r="UQM119" s="198"/>
      <c r="UQN119" s="199"/>
      <c r="UQO119" s="198"/>
      <c r="UQP119" s="199"/>
      <c r="UQQ119" s="198"/>
      <c r="UQR119" s="199"/>
      <c r="UQS119" s="198"/>
      <c r="UQT119" s="199"/>
      <c r="UQU119" s="198"/>
      <c r="UQV119" s="199"/>
      <c r="UQW119" s="198"/>
      <c r="UQX119" s="199"/>
      <c r="UQY119" s="198"/>
      <c r="UQZ119" s="199"/>
      <c r="URA119" s="198"/>
      <c r="URB119" s="199"/>
      <c r="URC119" s="198"/>
      <c r="URD119" s="199"/>
      <c r="URE119" s="198"/>
      <c r="URF119" s="199"/>
      <c r="URG119" s="198"/>
      <c r="URH119" s="199"/>
      <c r="URI119" s="198"/>
      <c r="URJ119" s="199"/>
      <c r="URK119" s="198"/>
      <c r="URL119" s="199"/>
      <c r="URM119" s="198"/>
      <c r="URN119" s="199"/>
      <c r="URO119" s="198"/>
      <c r="URP119" s="199"/>
      <c r="URQ119" s="198"/>
      <c r="URR119" s="199"/>
      <c r="URS119" s="198"/>
      <c r="URT119" s="199"/>
      <c r="URU119" s="198"/>
      <c r="URV119" s="199"/>
      <c r="URW119" s="198"/>
      <c r="URX119" s="199"/>
      <c r="URY119" s="198"/>
      <c r="URZ119" s="199"/>
      <c r="USA119" s="198"/>
      <c r="USB119" s="199"/>
      <c r="USC119" s="198"/>
      <c r="USD119" s="199"/>
      <c r="USE119" s="198"/>
      <c r="USF119" s="199"/>
      <c r="USG119" s="198"/>
      <c r="USH119" s="199"/>
      <c r="USI119" s="198"/>
      <c r="USJ119" s="199"/>
      <c r="USK119" s="198"/>
      <c r="USL119" s="199"/>
      <c r="USM119" s="198"/>
      <c r="USN119" s="199"/>
      <c r="USO119" s="198"/>
      <c r="USP119" s="199"/>
      <c r="USQ119" s="198"/>
      <c r="USR119" s="199"/>
      <c r="USS119" s="198"/>
      <c r="UST119" s="199"/>
      <c r="USU119" s="198"/>
      <c r="USV119" s="199"/>
      <c r="USW119" s="198"/>
      <c r="USX119" s="199"/>
      <c r="USY119" s="198"/>
      <c r="USZ119" s="199"/>
      <c r="UTA119" s="198"/>
      <c r="UTB119" s="199"/>
      <c r="UTC119" s="198"/>
      <c r="UTD119" s="199"/>
      <c r="UTE119" s="198"/>
      <c r="UTF119" s="199"/>
      <c r="UTG119" s="198"/>
      <c r="UTH119" s="199"/>
      <c r="UTI119" s="198"/>
      <c r="UTJ119" s="199"/>
      <c r="UTK119" s="198"/>
      <c r="UTL119" s="199"/>
      <c r="UTM119" s="198"/>
      <c r="UTN119" s="199"/>
      <c r="UTO119" s="198"/>
      <c r="UTP119" s="199"/>
      <c r="UTQ119" s="198"/>
      <c r="UTR119" s="199"/>
      <c r="UTS119" s="198"/>
      <c r="UTT119" s="199"/>
      <c r="UTU119" s="198"/>
      <c r="UTV119" s="199"/>
      <c r="UTW119" s="198"/>
      <c r="UTX119" s="199"/>
      <c r="UTY119" s="198"/>
      <c r="UTZ119" s="199"/>
      <c r="UUA119" s="198"/>
      <c r="UUB119" s="199"/>
      <c r="UUC119" s="198"/>
      <c r="UUD119" s="199"/>
      <c r="UUE119" s="198"/>
      <c r="UUF119" s="199"/>
      <c r="UUG119" s="198"/>
      <c r="UUH119" s="199"/>
      <c r="UUI119" s="198"/>
      <c r="UUJ119" s="199"/>
      <c r="UUK119" s="198"/>
      <c r="UUL119" s="199"/>
      <c r="UUM119" s="198"/>
      <c r="UUN119" s="199"/>
      <c r="UUO119" s="198"/>
      <c r="UUP119" s="199"/>
      <c r="UUQ119" s="198"/>
      <c r="UUR119" s="199"/>
      <c r="UUS119" s="198"/>
      <c r="UUT119" s="199"/>
      <c r="UUU119" s="198"/>
      <c r="UUV119" s="199"/>
      <c r="UUW119" s="198"/>
      <c r="UUX119" s="199"/>
      <c r="UUY119" s="198"/>
      <c r="UUZ119" s="199"/>
      <c r="UVA119" s="198"/>
      <c r="UVB119" s="199"/>
      <c r="UVC119" s="198"/>
      <c r="UVD119" s="199"/>
      <c r="UVE119" s="198"/>
      <c r="UVF119" s="199"/>
      <c r="UVG119" s="198"/>
      <c r="UVH119" s="199"/>
      <c r="UVI119" s="198"/>
      <c r="UVJ119" s="199"/>
      <c r="UVK119" s="198"/>
      <c r="UVL119" s="199"/>
      <c r="UVM119" s="198"/>
      <c r="UVN119" s="199"/>
      <c r="UVO119" s="198"/>
      <c r="UVP119" s="199"/>
      <c r="UVQ119" s="198"/>
      <c r="UVR119" s="199"/>
      <c r="UVS119" s="198"/>
      <c r="UVT119" s="199"/>
      <c r="UVU119" s="198"/>
      <c r="UVV119" s="199"/>
      <c r="UVW119" s="198"/>
      <c r="UVX119" s="199"/>
      <c r="UVY119" s="198"/>
      <c r="UVZ119" s="199"/>
      <c r="UWA119" s="198"/>
      <c r="UWB119" s="199"/>
      <c r="UWC119" s="198"/>
      <c r="UWD119" s="199"/>
      <c r="UWE119" s="198"/>
      <c r="UWF119" s="199"/>
      <c r="UWG119" s="198"/>
      <c r="UWH119" s="199"/>
      <c r="UWI119" s="198"/>
      <c r="UWJ119" s="199"/>
      <c r="UWK119" s="198"/>
      <c r="UWL119" s="199"/>
      <c r="UWM119" s="198"/>
      <c r="UWN119" s="199"/>
      <c r="UWO119" s="198"/>
      <c r="UWP119" s="199"/>
      <c r="UWQ119" s="198"/>
      <c r="UWR119" s="199"/>
      <c r="UWS119" s="198"/>
      <c r="UWT119" s="199"/>
      <c r="UWU119" s="198"/>
      <c r="UWV119" s="199"/>
      <c r="UWW119" s="198"/>
      <c r="UWX119" s="199"/>
      <c r="UWY119" s="198"/>
      <c r="UWZ119" s="199"/>
      <c r="UXA119" s="198"/>
      <c r="UXB119" s="199"/>
      <c r="UXC119" s="198"/>
      <c r="UXD119" s="199"/>
      <c r="UXE119" s="198"/>
      <c r="UXF119" s="199"/>
      <c r="UXG119" s="198"/>
      <c r="UXH119" s="199"/>
      <c r="UXI119" s="198"/>
      <c r="UXJ119" s="199"/>
      <c r="UXK119" s="198"/>
      <c r="UXL119" s="199"/>
      <c r="UXM119" s="198"/>
      <c r="UXN119" s="199"/>
      <c r="UXO119" s="198"/>
      <c r="UXP119" s="199"/>
      <c r="UXQ119" s="198"/>
      <c r="UXR119" s="199"/>
      <c r="UXS119" s="198"/>
      <c r="UXT119" s="199"/>
      <c r="UXU119" s="198"/>
      <c r="UXV119" s="199"/>
      <c r="UXW119" s="198"/>
      <c r="UXX119" s="199"/>
      <c r="UXY119" s="198"/>
      <c r="UXZ119" s="199"/>
      <c r="UYA119" s="198"/>
      <c r="UYB119" s="199"/>
      <c r="UYC119" s="198"/>
      <c r="UYD119" s="199"/>
      <c r="UYE119" s="198"/>
      <c r="UYF119" s="199"/>
      <c r="UYG119" s="198"/>
      <c r="UYH119" s="199"/>
      <c r="UYI119" s="198"/>
      <c r="UYJ119" s="199"/>
      <c r="UYK119" s="198"/>
      <c r="UYL119" s="199"/>
      <c r="UYM119" s="198"/>
      <c r="UYN119" s="199"/>
      <c r="UYO119" s="198"/>
      <c r="UYP119" s="199"/>
      <c r="UYQ119" s="198"/>
      <c r="UYR119" s="199"/>
      <c r="UYS119" s="198"/>
      <c r="UYT119" s="199"/>
      <c r="UYU119" s="198"/>
      <c r="UYV119" s="199"/>
      <c r="UYW119" s="198"/>
      <c r="UYX119" s="199"/>
      <c r="UYY119" s="198"/>
      <c r="UYZ119" s="199"/>
      <c r="UZA119" s="198"/>
      <c r="UZB119" s="199"/>
      <c r="UZC119" s="198"/>
      <c r="UZD119" s="199"/>
      <c r="UZE119" s="198"/>
      <c r="UZF119" s="199"/>
      <c r="UZG119" s="198"/>
      <c r="UZH119" s="199"/>
      <c r="UZI119" s="198"/>
      <c r="UZJ119" s="199"/>
      <c r="UZK119" s="198"/>
      <c r="UZL119" s="199"/>
      <c r="UZM119" s="198"/>
      <c r="UZN119" s="199"/>
      <c r="UZO119" s="198"/>
      <c r="UZP119" s="199"/>
      <c r="UZQ119" s="198"/>
      <c r="UZR119" s="199"/>
      <c r="UZS119" s="198"/>
      <c r="UZT119" s="199"/>
      <c r="UZU119" s="198"/>
      <c r="UZV119" s="199"/>
      <c r="UZW119" s="198"/>
      <c r="UZX119" s="199"/>
      <c r="UZY119" s="198"/>
      <c r="UZZ119" s="199"/>
      <c r="VAA119" s="198"/>
      <c r="VAB119" s="199"/>
      <c r="VAC119" s="198"/>
      <c r="VAD119" s="199"/>
      <c r="VAE119" s="198"/>
      <c r="VAF119" s="199"/>
      <c r="VAG119" s="198"/>
      <c r="VAH119" s="199"/>
      <c r="VAI119" s="198"/>
      <c r="VAJ119" s="199"/>
      <c r="VAK119" s="198"/>
      <c r="VAL119" s="199"/>
      <c r="VAM119" s="198"/>
      <c r="VAN119" s="199"/>
      <c r="VAO119" s="198"/>
      <c r="VAP119" s="199"/>
      <c r="VAQ119" s="198"/>
      <c r="VAR119" s="199"/>
      <c r="VAS119" s="198"/>
      <c r="VAT119" s="199"/>
      <c r="VAU119" s="198"/>
      <c r="VAV119" s="199"/>
      <c r="VAW119" s="198"/>
      <c r="VAX119" s="199"/>
      <c r="VAY119" s="198"/>
      <c r="VAZ119" s="199"/>
      <c r="VBA119" s="198"/>
      <c r="VBB119" s="199"/>
      <c r="VBC119" s="198"/>
      <c r="VBD119" s="199"/>
      <c r="VBE119" s="198"/>
      <c r="VBF119" s="199"/>
      <c r="VBG119" s="198"/>
      <c r="VBH119" s="199"/>
      <c r="VBI119" s="198"/>
      <c r="VBJ119" s="199"/>
      <c r="VBK119" s="198"/>
      <c r="VBL119" s="199"/>
      <c r="VBM119" s="198"/>
      <c r="VBN119" s="199"/>
      <c r="VBO119" s="198"/>
      <c r="VBP119" s="199"/>
      <c r="VBQ119" s="198"/>
      <c r="VBR119" s="199"/>
      <c r="VBS119" s="198"/>
      <c r="VBT119" s="199"/>
      <c r="VBU119" s="198"/>
      <c r="VBV119" s="199"/>
      <c r="VBW119" s="198"/>
      <c r="VBX119" s="199"/>
      <c r="VBY119" s="198"/>
      <c r="VBZ119" s="199"/>
      <c r="VCA119" s="198"/>
      <c r="VCB119" s="199"/>
      <c r="VCC119" s="198"/>
      <c r="VCD119" s="199"/>
      <c r="VCE119" s="198"/>
      <c r="VCF119" s="199"/>
      <c r="VCG119" s="198"/>
      <c r="VCH119" s="199"/>
      <c r="VCI119" s="198"/>
      <c r="VCJ119" s="199"/>
      <c r="VCK119" s="198"/>
      <c r="VCL119" s="199"/>
      <c r="VCM119" s="198"/>
      <c r="VCN119" s="199"/>
      <c r="VCO119" s="198"/>
      <c r="VCP119" s="199"/>
      <c r="VCQ119" s="198"/>
      <c r="VCR119" s="199"/>
      <c r="VCS119" s="198"/>
      <c r="VCT119" s="199"/>
      <c r="VCU119" s="198"/>
      <c r="VCV119" s="199"/>
      <c r="VCW119" s="198"/>
      <c r="VCX119" s="199"/>
      <c r="VCY119" s="198"/>
      <c r="VCZ119" s="199"/>
      <c r="VDA119" s="198"/>
      <c r="VDB119" s="199"/>
      <c r="VDC119" s="198"/>
      <c r="VDD119" s="199"/>
      <c r="VDE119" s="198"/>
      <c r="VDF119" s="199"/>
      <c r="VDG119" s="198"/>
      <c r="VDH119" s="199"/>
      <c r="VDI119" s="198"/>
      <c r="VDJ119" s="199"/>
      <c r="VDK119" s="198"/>
      <c r="VDL119" s="199"/>
      <c r="VDM119" s="198"/>
      <c r="VDN119" s="199"/>
      <c r="VDO119" s="198"/>
      <c r="VDP119" s="199"/>
      <c r="VDQ119" s="198"/>
      <c r="VDR119" s="199"/>
      <c r="VDS119" s="198"/>
      <c r="VDT119" s="199"/>
      <c r="VDU119" s="198"/>
      <c r="VDV119" s="199"/>
      <c r="VDW119" s="198"/>
      <c r="VDX119" s="199"/>
      <c r="VDY119" s="198"/>
      <c r="VDZ119" s="199"/>
      <c r="VEA119" s="198"/>
      <c r="VEB119" s="199"/>
      <c r="VEC119" s="198"/>
      <c r="VED119" s="199"/>
      <c r="VEE119" s="198"/>
      <c r="VEF119" s="199"/>
      <c r="VEG119" s="198"/>
      <c r="VEH119" s="199"/>
      <c r="VEI119" s="198"/>
      <c r="VEJ119" s="199"/>
      <c r="VEK119" s="198"/>
      <c r="VEL119" s="199"/>
      <c r="VEM119" s="198"/>
      <c r="VEN119" s="199"/>
      <c r="VEO119" s="198"/>
      <c r="VEP119" s="199"/>
      <c r="VEQ119" s="198"/>
      <c r="VER119" s="199"/>
      <c r="VES119" s="198"/>
      <c r="VET119" s="199"/>
      <c r="VEU119" s="198"/>
      <c r="VEV119" s="199"/>
      <c r="VEW119" s="198"/>
      <c r="VEX119" s="199"/>
      <c r="VEY119" s="198"/>
      <c r="VEZ119" s="199"/>
      <c r="VFA119" s="198"/>
      <c r="VFB119" s="199"/>
      <c r="VFC119" s="198"/>
      <c r="VFD119" s="199"/>
      <c r="VFE119" s="198"/>
      <c r="VFF119" s="199"/>
      <c r="VFG119" s="198"/>
      <c r="VFH119" s="199"/>
      <c r="VFI119" s="198"/>
      <c r="VFJ119" s="199"/>
      <c r="VFK119" s="198"/>
      <c r="VFL119" s="199"/>
      <c r="VFM119" s="198"/>
      <c r="VFN119" s="199"/>
      <c r="VFO119" s="198"/>
      <c r="VFP119" s="199"/>
      <c r="VFQ119" s="198"/>
      <c r="VFR119" s="199"/>
      <c r="VFS119" s="198"/>
      <c r="VFT119" s="199"/>
      <c r="VFU119" s="198"/>
      <c r="VFV119" s="199"/>
      <c r="VFW119" s="198"/>
      <c r="VFX119" s="199"/>
      <c r="VFY119" s="198"/>
      <c r="VFZ119" s="199"/>
      <c r="VGA119" s="198"/>
      <c r="VGB119" s="199"/>
      <c r="VGC119" s="198"/>
      <c r="VGD119" s="199"/>
      <c r="VGE119" s="198"/>
      <c r="VGF119" s="199"/>
      <c r="VGG119" s="198"/>
      <c r="VGH119" s="199"/>
      <c r="VGI119" s="198"/>
      <c r="VGJ119" s="199"/>
      <c r="VGK119" s="198"/>
      <c r="VGL119" s="199"/>
      <c r="VGM119" s="198"/>
      <c r="VGN119" s="199"/>
      <c r="VGO119" s="198"/>
      <c r="VGP119" s="199"/>
      <c r="VGQ119" s="198"/>
      <c r="VGR119" s="199"/>
      <c r="VGS119" s="198"/>
      <c r="VGT119" s="199"/>
      <c r="VGU119" s="198"/>
      <c r="VGV119" s="199"/>
      <c r="VGW119" s="198"/>
      <c r="VGX119" s="199"/>
      <c r="VGY119" s="198"/>
      <c r="VGZ119" s="199"/>
      <c r="VHA119" s="198"/>
      <c r="VHB119" s="199"/>
      <c r="VHC119" s="198"/>
      <c r="VHD119" s="199"/>
      <c r="VHE119" s="198"/>
      <c r="VHF119" s="199"/>
      <c r="VHG119" s="198"/>
      <c r="VHH119" s="199"/>
      <c r="VHI119" s="198"/>
      <c r="VHJ119" s="199"/>
      <c r="VHK119" s="198"/>
      <c r="VHL119" s="199"/>
      <c r="VHM119" s="198"/>
      <c r="VHN119" s="199"/>
      <c r="VHO119" s="198"/>
      <c r="VHP119" s="199"/>
      <c r="VHQ119" s="198"/>
      <c r="VHR119" s="199"/>
      <c r="VHS119" s="198"/>
      <c r="VHT119" s="199"/>
      <c r="VHU119" s="198"/>
      <c r="VHV119" s="199"/>
      <c r="VHW119" s="198"/>
      <c r="VHX119" s="199"/>
      <c r="VHY119" s="198"/>
      <c r="VHZ119" s="199"/>
      <c r="VIA119" s="198"/>
      <c r="VIB119" s="199"/>
      <c r="VIC119" s="198"/>
      <c r="VID119" s="199"/>
      <c r="VIE119" s="198"/>
      <c r="VIF119" s="199"/>
      <c r="VIG119" s="198"/>
      <c r="VIH119" s="199"/>
      <c r="VII119" s="198"/>
      <c r="VIJ119" s="199"/>
      <c r="VIK119" s="198"/>
      <c r="VIL119" s="199"/>
      <c r="VIM119" s="198"/>
      <c r="VIN119" s="199"/>
      <c r="VIO119" s="198"/>
      <c r="VIP119" s="199"/>
      <c r="VIQ119" s="198"/>
      <c r="VIR119" s="199"/>
      <c r="VIS119" s="198"/>
      <c r="VIT119" s="199"/>
      <c r="VIU119" s="198"/>
      <c r="VIV119" s="199"/>
      <c r="VIW119" s="198"/>
      <c r="VIX119" s="199"/>
      <c r="VIY119" s="198"/>
      <c r="VIZ119" s="199"/>
      <c r="VJA119" s="198"/>
      <c r="VJB119" s="199"/>
      <c r="VJC119" s="198"/>
      <c r="VJD119" s="199"/>
      <c r="VJE119" s="198"/>
      <c r="VJF119" s="199"/>
      <c r="VJG119" s="198"/>
      <c r="VJH119" s="199"/>
      <c r="VJI119" s="198"/>
      <c r="VJJ119" s="199"/>
      <c r="VJK119" s="198"/>
      <c r="VJL119" s="199"/>
      <c r="VJM119" s="198"/>
      <c r="VJN119" s="199"/>
      <c r="VJO119" s="198"/>
      <c r="VJP119" s="199"/>
      <c r="VJQ119" s="198"/>
      <c r="VJR119" s="199"/>
      <c r="VJS119" s="198"/>
      <c r="VJT119" s="199"/>
      <c r="VJU119" s="198"/>
      <c r="VJV119" s="199"/>
      <c r="VJW119" s="198"/>
      <c r="VJX119" s="199"/>
      <c r="VJY119" s="198"/>
      <c r="VJZ119" s="199"/>
      <c r="VKA119" s="198"/>
      <c r="VKB119" s="199"/>
      <c r="VKC119" s="198"/>
      <c r="VKD119" s="199"/>
      <c r="VKE119" s="198"/>
      <c r="VKF119" s="199"/>
      <c r="VKG119" s="198"/>
      <c r="VKH119" s="199"/>
      <c r="VKI119" s="198"/>
      <c r="VKJ119" s="199"/>
      <c r="VKK119" s="198"/>
      <c r="VKL119" s="199"/>
      <c r="VKM119" s="198"/>
      <c r="VKN119" s="199"/>
      <c r="VKO119" s="198"/>
      <c r="VKP119" s="199"/>
      <c r="VKQ119" s="198"/>
      <c r="VKR119" s="199"/>
      <c r="VKS119" s="198"/>
      <c r="VKT119" s="199"/>
      <c r="VKU119" s="198"/>
      <c r="VKV119" s="199"/>
      <c r="VKW119" s="198"/>
      <c r="VKX119" s="199"/>
      <c r="VKY119" s="198"/>
      <c r="VKZ119" s="199"/>
      <c r="VLA119" s="198"/>
      <c r="VLB119" s="199"/>
      <c r="VLC119" s="198"/>
      <c r="VLD119" s="199"/>
      <c r="VLE119" s="198"/>
      <c r="VLF119" s="199"/>
      <c r="VLG119" s="198"/>
      <c r="VLH119" s="199"/>
      <c r="VLI119" s="198"/>
      <c r="VLJ119" s="199"/>
      <c r="VLK119" s="198"/>
      <c r="VLL119" s="199"/>
      <c r="VLM119" s="198"/>
      <c r="VLN119" s="199"/>
      <c r="VLO119" s="198"/>
      <c r="VLP119" s="199"/>
      <c r="VLQ119" s="198"/>
      <c r="VLR119" s="199"/>
      <c r="VLS119" s="198"/>
      <c r="VLT119" s="199"/>
      <c r="VLU119" s="198"/>
      <c r="VLV119" s="199"/>
      <c r="VLW119" s="198"/>
      <c r="VLX119" s="199"/>
      <c r="VLY119" s="198"/>
      <c r="VLZ119" s="199"/>
      <c r="VMA119" s="198"/>
      <c r="VMB119" s="199"/>
      <c r="VMC119" s="198"/>
      <c r="VMD119" s="199"/>
      <c r="VME119" s="198"/>
      <c r="VMF119" s="199"/>
      <c r="VMG119" s="198"/>
      <c r="VMH119" s="199"/>
      <c r="VMI119" s="198"/>
      <c r="VMJ119" s="199"/>
      <c r="VMK119" s="198"/>
      <c r="VML119" s="199"/>
      <c r="VMM119" s="198"/>
      <c r="VMN119" s="199"/>
      <c r="VMO119" s="198"/>
      <c r="VMP119" s="199"/>
      <c r="VMQ119" s="198"/>
      <c r="VMR119" s="199"/>
      <c r="VMS119" s="198"/>
      <c r="VMT119" s="199"/>
      <c r="VMU119" s="198"/>
      <c r="VMV119" s="199"/>
      <c r="VMW119" s="198"/>
      <c r="VMX119" s="199"/>
      <c r="VMY119" s="198"/>
      <c r="VMZ119" s="199"/>
      <c r="VNA119" s="198"/>
      <c r="VNB119" s="199"/>
      <c r="VNC119" s="198"/>
      <c r="VND119" s="199"/>
      <c r="VNE119" s="198"/>
      <c r="VNF119" s="199"/>
      <c r="VNG119" s="198"/>
      <c r="VNH119" s="199"/>
      <c r="VNI119" s="198"/>
      <c r="VNJ119" s="199"/>
      <c r="VNK119" s="198"/>
      <c r="VNL119" s="199"/>
      <c r="VNM119" s="198"/>
      <c r="VNN119" s="199"/>
      <c r="VNO119" s="198"/>
      <c r="VNP119" s="199"/>
      <c r="VNQ119" s="198"/>
      <c r="VNR119" s="199"/>
      <c r="VNS119" s="198"/>
      <c r="VNT119" s="199"/>
      <c r="VNU119" s="198"/>
      <c r="VNV119" s="199"/>
      <c r="VNW119" s="198"/>
      <c r="VNX119" s="199"/>
      <c r="VNY119" s="198"/>
      <c r="VNZ119" s="199"/>
      <c r="VOA119" s="198"/>
      <c r="VOB119" s="199"/>
      <c r="VOC119" s="198"/>
      <c r="VOD119" s="199"/>
      <c r="VOE119" s="198"/>
      <c r="VOF119" s="199"/>
      <c r="VOG119" s="198"/>
      <c r="VOH119" s="199"/>
      <c r="VOI119" s="198"/>
      <c r="VOJ119" s="199"/>
      <c r="VOK119" s="198"/>
      <c r="VOL119" s="199"/>
      <c r="VOM119" s="198"/>
      <c r="VON119" s="199"/>
      <c r="VOO119" s="198"/>
      <c r="VOP119" s="199"/>
      <c r="VOQ119" s="198"/>
      <c r="VOR119" s="199"/>
      <c r="VOS119" s="198"/>
      <c r="VOT119" s="199"/>
      <c r="VOU119" s="198"/>
      <c r="VOV119" s="199"/>
      <c r="VOW119" s="198"/>
      <c r="VOX119" s="199"/>
      <c r="VOY119" s="198"/>
      <c r="VOZ119" s="199"/>
      <c r="VPA119" s="198"/>
      <c r="VPB119" s="199"/>
      <c r="VPC119" s="198"/>
      <c r="VPD119" s="199"/>
      <c r="VPE119" s="198"/>
      <c r="VPF119" s="199"/>
      <c r="VPG119" s="198"/>
      <c r="VPH119" s="199"/>
      <c r="VPI119" s="198"/>
      <c r="VPJ119" s="199"/>
      <c r="VPK119" s="198"/>
      <c r="VPL119" s="199"/>
      <c r="VPM119" s="198"/>
      <c r="VPN119" s="199"/>
      <c r="VPO119" s="198"/>
      <c r="VPP119" s="199"/>
      <c r="VPQ119" s="198"/>
      <c r="VPR119" s="199"/>
      <c r="VPS119" s="198"/>
      <c r="VPT119" s="199"/>
      <c r="VPU119" s="198"/>
      <c r="VPV119" s="199"/>
      <c r="VPW119" s="198"/>
      <c r="VPX119" s="199"/>
      <c r="VPY119" s="198"/>
      <c r="VPZ119" s="199"/>
      <c r="VQA119" s="198"/>
      <c r="VQB119" s="199"/>
      <c r="VQC119" s="198"/>
      <c r="VQD119" s="199"/>
      <c r="VQE119" s="198"/>
      <c r="VQF119" s="199"/>
      <c r="VQG119" s="198"/>
      <c r="VQH119" s="199"/>
      <c r="VQI119" s="198"/>
      <c r="VQJ119" s="199"/>
      <c r="VQK119" s="198"/>
      <c r="VQL119" s="199"/>
      <c r="VQM119" s="198"/>
      <c r="VQN119" s="199"/>
      <c r="VQO119" s="198"/>
      <c r="VQP119" s="199"/>
      <c r="VQQ119" s="198"/>
      <c r="VQR119" s="199"/>
      <c r="VQS119" s="198"/>
      <c r="VQT119" s="199"/>
      <c r="VQU119" s="198"/>
      <c r="VQV119" s="199"/>
      <c r="VQW119" s="198"/>
      <c r="VQX119" s="199"/>
      <c r="VQY119" s="198"/>
      <c r="VQZ119" s="199"/>
      <c r="VRA119" s="198"/>
      <c r="VRB119" s="199"/>
      <c r="VRC119" s="198"/>
      <c r="VRD119" s="199"/>
      <c r="VRE119" s="198"/>
      <c r="VRF119" s="199"/>
      <c r="VRG119" s="198"/>
      <c r="VRH119" s="199"/>
      <c r="VRI119" s="198"/>
      <c r="VRJ119" s="199"/>
      <c r="VRK119" s="198"/>
      <c r="VRL119" s="199"/>
      <c r="VRM119" s="198"/>
      <c r="VRN119" s="199"/>
      <c r="VRO119" s="198"/>
      <c r="VRP119" s="199"/>
      <c r="VRQ119" s="198"/>
      <c r="VRR119" s="199"/>
      <c r="VRS119" s="198"/>
      <c r="VRT119" s="199"/>
      <c r="VRU119" s="198"/>
      <c r="VRV119" s="199"/>
      <c r="VRW119" s="198"/>
      <c r="VRX119" s="199"/>
      <c r="VRY119" s="198"/>
      <c r="VRZ119" s="199"/>
      <c r="VSA119" s="198"/>
      <c r="VSB119" s="199"/>
      <c r="VSC119" s="198"/>
      <c r="VSD119" s="199"/>
      <c r="VSE119" s="198"/>
      <c r="VSF119" s="199"/>
      <c r="VSG119" s="198"/>
      <c r="VSH119" s="199"/>
      <c r="VSI119" s="198"/>
      <c r="VSJ119" s="199"/>
      <c r="VSK119" s="198"/>
      <c r="VSL119" s="199"/>
      <c r="VSM119" s="198"/>
      <c r="VSN119" s="199"/>
      <c r="VSO119" s="198"/>
      <c r="VSP119" s="199"/>
      <c r="VSQ119" s="198"/>
      <c r="VSR119" s="199"/>
      <c r="VSS119" s="198"/>
      <c r="VST119" s="199"/>
      <c r="VSU119" s="198"/>
      <c r="VSV119" s="199"/>
      <c r="VSW119" s="198"/>
      <c r="VSX119" s="199"/>
      <c r="VSY119" s="198"/>
      <c r="VSZ119" s="199"/>
      <c r="VTA119" s="198"/>
      <c r="VTB119" s="199"/>
      <c r="VTC119" s="198"/>
      <c r="VTD119" s="199"/>
      <c r="VTE119" s="198"/>
      <c r="VTF119" s="199"/>
      <c r="VTG119" s="198"/>
      <c r="VTH119" s="199"/>
      <c r="VTI119" s="198"/>
      <c r="VTJ119" s="199"/>
      <c r="VTK119" s="198"/>
      <c r="VTL119" s="199"/>
      <c r="VTM119" s="198"/>
      <c r="VTN119" s="199"/>
      <c r="VTO119" s="198"/>
      <c r="VTP119" s="199"/>
      <c r="VTQ119" s="198"/>
      <c r="VTR119" s="199"/>
      <c r="VTS119" s="198"/>
      <c r="VTT119" s="199"/>
      <c r="VTU119" s="198"/>
      <c r="VTV119" s="199"/>
      <c r="VTW119" s="198"/>
      <c r="VTX119" s="199"/>
      <c r="VTY119" s="198"/>
      <c r="VTZ119" s="199"/>
      <c r="VUA119" s="198"/>
      <c r="VUB119" s="199"/>
      <c r="VUC119" s="198"/>
      <c r="VUD119" s="199"/>
      <c r="VUE119" s="198"/>
      <c r="VUF119" s="199"/>
      <c r="VUG119" s="198"/>
      <c r="VUH119" s="199"/>
      <c r="VUI119" s="198"/>
      <c r="VUJ119" s="199"/>
      <c r="VUK119" s="198"/>
      <c r="VUL119" s="199"/>
      <c r="VUM119" s="198"/>
      <c r="VUN119" s="199"/>
      <c r="VUO119" s="198"/>
      <c r="VUP119" s="199"/>
      <c r="VUQ119" s="198"/>
      <c r="VUR119" s="199"/>
      <c r="VUS119" s="198"/>
      <c r="VUT119" s="199"/>
      <c r="VUU119" s="198"/>
      <c r="VUV119" s="199"/>
      <c r="VUW119" s="198"/>
      <c r="VUX119" s="199"/>
      <c r="VUY119" s="198"/>
      <c r="VUZ119" s="199"/>
      <c r="VVA119" s="198"/>
      <c r="VVB119" s="199"/>
      <c r="VVC119" s="198"/>
      <c r="VVD119" s="199"/>
      <c r="VVE119" s="198"/>
      <c r="VVF119" s="199"/>
      <c r="VVG119" s="198"/>
      <c r="VVH119" s="199"/>
      <c r="VVI119" s="198"/>
      <c r="VVJ119" s="199"/>
      <c r="VVK119" s="198"/>
      <c r="VVL119" s="199"/>
      <c r="VVM119" s="198"/>
      <c r="VVN119" s="199"/>
      <c r="VVO119" s="198"/>
      <c r="VVP119" s="199"/>
      <c r="VVQ119" s="198"/>
      <c r="VVR119" s="199"/>
      <c r="VVS119" s="198"/>
      <c r="VVT119" s="199"/>
      <c r="VVU119" s="198"/>
      <c r="VVV119" s="199"/>
      <c r="VVW119" s="198"/>
      <c r="VVX119" s="199"/>
      <c r="VVY119" s="198"/>
      <c r="VVZ119" s="199"/>
      <c r="VWA119" s="198"/>
      <c r="VWB119" s="199"/>
      <c r="VWC119" s="198"/>
      <c r="VWD119" s="199"/>
      <c r="VWE119" s="198"/>
      <c r="VWF119" s="199"/>
      <c r="VWG119" s="198"/>
      <c r="VWH119" s="199"/>
      <c r="VWI119" s="198"/>
      <c r="VWJ119" s="199"/>
      <c r="VWK119" s="198"/>
      <c r="VWL119" s="199"/>
      <c r="VWM119" s="198"/>
      <c r="VWN119" s="199"/>
      <c r="VWO119" s="198"/>
      <c r="VWP119" s="199"/>
      <c r="VWQ119" s="198"/>
      <c r="VWR119" s="199"/>
      <c r="VWS119" s="198"/>
      <c r="VWT119" s="199"/>
      <c r="VWU119" s="198"/>
      <c r="VWV119" s="199"/>
      <c r="VWW119" s="198"/>
      <c r="VWX119" s="199"/>
      <c r="VWY119" s="198"/>
      <c r="VWZ119" s="199"/>
      <c r="VXA119" s="198"/>
      <c r="VXB119" s="199"/>
      <c r="VXC119" s="198"/>
      <c r="VXD119" s="199"/>
      <c r="VXE119" s="198"/>
      <c r="VXF119" s="199"/>
      <c r="VXG119" s="198"/>
      <c r="VXH119" s="199"/>
      <c r="VXI119" s="198"/>
      <c r="VXJ119" s="199"/>
      <c r="VXK119" s="198"/>
      <c r="VXL119" s="199"/>
      <c r="VXM119" s="198"/>
      <c r="VXN119" s="199"/>
      <c r="VXO119" s="198"/>
      <c r="VXP119" s="199"/>
      <c r="VXQ119" s="198"/>
      <c r="VXR119" s="199"/>
      <c r="VXS119" s="198"/>
      <c r="VXT119" s="199"/>
      <c r="VXU119" s="198"/>
      <c r="VXV119" s="199"/>
      <c r="VXW119" s="198"/>
      <c r="VXX119" s="199"/>
      <c r="VXY119" s="198"/>
      <c r="VXZ119" s="199"/>
      <c r="VYA119" s="198"/>
      <c r="VYB119" s="199"/>
      <c r="VYC119" s="198"/>
      <c r="VYD119" s="199"/>
      <c r="VYE119" s="198"/>
      <c r="VYF119" s="199"/>
      <c r="VYG119" s="198"/>
      <c r="VYH119" s="199"/>
      <c r="VYI119" s="198"/>
      <c r="VYJ119" s="199"/>
      <c r="VYK119" s="198"/>
      <c r="VYL119" s="199"/>
      <c r="VYM119" s="198"/>
      <c r="VYN119" s="199"/>
      <c r="VYO119" s="198"/>
      <c r="VYP119" s="199"/>
      <c r="VYQ119" s="198"/>
      <c r="VYR119" s="199"/>
      <c r="VYS119" s="198"/>
      <c r="VYT119" s="199"/>
      <c r="VYU119" s="198"/>
      <c r="VYV119" s="199"/>
      <c r="VYW119" s="198"/>
      <c r="VYX119" s="199"/>
      <c r="VYY119" s="198"/>
      <c r="VYZ119" s="199"/>
      <c r="VZA119" s="198"/>
      <c r="VZB119" s="199"/>
      <c r="VZC119" s="198"/>
      <c r="VZD119" s="199"/>
      <c r="VZE119" s="198"/>
      <c r="VZF119" s="199"/>
      <c r="VZG119" s="198"/>
      <c r="VZH119" s="199"/>
      <c r="VZI119" s="198"/>
      <c r="VZJ119" s="199"/>
      <c r="VZK119" s="198"/>
      <c r="VZL119" s="199"/>
      <c r="VZM119" s="198"/>
      <c r="VZN119" s="199"/>
      <c r="VZO119" s="198"/>
      <c r="VZP119" s="199"/>
      <c r="VZQ119" s="198"/>
      <c r="VZR119" s="199"/>
      <c r="VZS119" s="198"/>
      <c r="VZT119" s="199"/>
      <c r="VZU119" s="198"/>
      <c r="VZV119" s="199"/>
      <c r="VZW119" s="198"/>
      <c r="VZX119" s="199"/>
      <c r="VZY119" s="198"/>
      <c r="VZZ119" s="199"/>
      <c r="WAA119" s="198"/>
      <c r="WAB119" s="199"/>
      <c r="WAC119" s="198"/>
      <c r="WAD119" s="199"/>
      <c r="WAE119" s="198"/>
      <c r="WAF119" s="199"/>
      <c r="WAG119" s="198"/>
      <c r="WAH119" s="199"/>
      <c r="WAI119" s="198"/>
      <c r="WAJ119" s="199"/>
      <c r="WAK119" s="198"/>
      <c r="WAL119" s="199"/>
      <c r="WAM119" s="198"/>
      <c r="WAN119" s="199"/>
      <c r="WAO119" s="198"/>
      <c r="WAP119" s="199"/>
      <c r="WAQ119" s="198"/>
      <c r="WAR119" s="199"/>
      <c r="WAS119" s="198"/>
      <c r="WAT119" s="199"/>
      <c r="WAU119" s="198"/>
      <c r="WAV119" s="199"/>
      <c r="WAW119" s="198"/>
      <c r="WAX119" s="199"/>
      <c r="WAY119" s="198"/>
      <c r="WAZ119" s="199"/>
      <c r="WBA119" s="198"/>
      <c r="WBB119" s="199"/>
      <c r="WBC119" s="198"/>
      <c r="WBD119" s="199"/>
      <c r="WBE119" s="198"/>
      <c r="WBF119" s="199"/>
      <c r="WBG119" s="198"/>
      <c r="WBH119" s="199"/>
      <c r="WBI119" s="198"/>
      <c r="WBJ119" s="199"/>
      <c r="WBK119" s="198"/>
      <c r="WBL119" s="199"/>
      <c r="WBM119" s="198"/>
      <c r="WBN119" s="199"/>
      <c r="WBO119" s="198"/>
      <c r="WBP119" s="199"/>
      <c r="WBQ119" s="198"/>
      <c r="WBR119" s="199"/>
      <c r="WBS119" s="198"/>
      <c r="WBT119" s="199"/>
      <c r="WBU119" s="198"/>
      <c r="WBV119" s="199"/>
      <c r="WBW119" s="198"/>
      <c r="WBX119" s="199"/>
      <c r="WBY119" s="198"/>
      <c r="WBZ119" s="199"/>
      <c r="WCA119" s="198"/>
      <c r="WCB119" s="199"/>
      <c r="WCC119" s="198"/>
      <c r="WCD119" s="199"/>
      <c r="WCE119" s="198"/>
      <c r="WCF119" s="199"/>
      <c r="WCG119" s="198"/>
      <c r="WCH119" s="199"/>
      <c r="WCI119" s="198"/>
      <c r="WCJ119" s="199"/>
      <c r="WCK119" s="198"/>
      <c r="WCL119" s="199"/>
      <c r="WCM119" s="198"/>
      <c r="WCN119" s="199"/>
      <c r="WCO119" s="198"/>
      <c r="WCP119" s="199"/>
      <c r="WCQ119" s="198"/>
      <c r="WCR119" s="199"/>
      <c r="WCS119" s="198"/>
      <c r="WCT119" s="199"/>
      <c r="WCU119" s="198"/>
      <c r="WCV119" s="199"/>
      <c r="WCW119" s="198"/>
      <c r="WCX119" s="199"/>
      <c r="WCY119" s="198"/>
      <c r="WCZ119" s="199"/>
      <c r="WDA119" s="198"/>
      <c r="WDB119" s="199"/>
      <c r="WDC119" s="198"/>
      <c r="WDD119" s="199"/>
      <c r="WDE119" s="198"/>
      <c r="WDF119" s="199"/>
      <c r="WDG119" s="198"/>
      <c r="WDH119" s="199"/>
      <c r="WDI119" s="198"/>
      <c r="WDJ119" s="199"/>
      <c r="WDK119" s="198"/>
      <c r="WDL119" s="199"/>
      <c r="WDM119" s="198"/>
      <c r="WDN119" s="199"/>
      <c r="WDO119" s="198"/>
      <c r="WDP119" s="199"/>
      <c r="WDQ119" s="198"/>
      <c r="WDR119" s="199"/>
      <c r="WDS119" s="198"/>
      <c r="WDT119" s="199"/>
      <c r="WDU119" s="198"/>
      <c r="WDV119" s="199"/>
      <c r="WDW119" s="198"/>
      <c r="WDX119" s="199"/>
      <c r="WDY119" s="198"/>
      <c r="WDZ119" s="199"/>
      <c r="WEA119" s="198"/>
      <c r="WEB119" s="199"/>
      <c r="WEC119" s="198"/>
      <c r="WED119" s="199"/>
      <c r="WEE119" s="198"/>
      <c r="WEF119" s="199"/>
      <c r="WEG119" s="198"/>
      <c r="WEH119" s="199"/>
      <c r="WEI119" s="198"/>
      <c r="WEJ119" s="199"/>
      <c r="WEK119" s="198"/>
      <c r="WEL119" s="199"/>
      <c r="WEM119" s="198"/>
      <c r="WEN119" s="199"/>
      <c r="WEO119" s="198"/>
      <c r="WEP119" s="199"/>
      <c r="WEQ119" s="198"/>
      <c r="WER119" s="199"/>
      <c r="WES119" s="198"/>
      <c r="WET119" s="199"/>
      <c r="WEU119" s="198"/>
      <c r="WEV119" s="199"/>
      <c r="WEW119" s="198"/>
      <c r="WEX119" s="199"/>
      <c r="WEY119" s="198"/>
      <c r="WEZ119" s="199"/>
      <c r="WFA119" s="198"/>
      <c r="WFB119" s="199"/>
      <c r="WFC119" s="198"/>
      <c r="WFD119" s="199"/>
      <c r="WFE119" s="198"/>
      <c r="WFF119" s="199"/>
      <c r="WFG119" s="198"/>
      <c r="WFH119" s="199"/>
      <c r="WFI119" s="198"/>
      <c r="WFJ119" s="199"/>
      <c r="WFK119" s="198"/>
      <c r="WFL119" s="199"/>
      <c r="WFM119" s="198"/>
      <c r="WFN119" s="199"/>
      <c r="WFO119" s="198"/>
      <c r="WFP119" s="199"/>
      <c r="WFQ119" s="198"/>
      <c r="WFR119" s="199"/>
      <c r="WFS119" s="198"/>
      <c r="WFT119" s="199"/>
      <c r="WFU119" s="198"/>
      <c r="WFV119" s="199"/>
      <c r="WFW119" s="198"/>
      <c r="WFX119" s="199"/>
      <c r="WFY119" s="198"/>
      <c r="WFZ119" s="199"/>
      <c r="WGA119" s="198"/>
      <c r="WGB119" s="199"/>
      <c r="WGC119" s="198"/>
      <c r="WGD119" s="199"/>
      <c r="WGE119" s="198"/>
      <c r="WGF119" s="199"/>
      <c r="WGG119" s="198"/>
      <c r="WGH119" s="199"/>
      <c r="WGI119" s="198"/>
      <c r="WGJ119" s="199"/>
      <c r="WGK119" s="198"/>
      <c r="WGL119" s="199"/>
      <c r="WGM119" s="198"/>
      <c r="WGN119" s="199"/>
      <c r="WGO119" s="198"/>
      <c r="WGP119" s="199"/>
      <c r="WGQ119" s="198"/>
      <c r="WGR119" s="199"/>
      <c r="WGS119" s="198"/>
      <c r="WGT119" s="199"/>
      <c r="WGU119" s="198"/>
      <c r="WGV119" s="199"/>
      <c r="WGW119" s="198"/>
      <c r="WGX119" s="199"/>
      <c r="WGY119" s="198"/>
      <c r="WGZ119" s="199"/>
      <c r="WHA119" s="198"/>
      <c r="WHB119" s="199"/>
      <c r="WHC119" s="198"/>
      <c r="WHD119" s="199"/>
      <c r="WHE119" s="198"/>
      <c r="WHF119" s="199"/>
      <c r="WHG119" s="198"/>
      <c r="WHH119" s="199"/>
      <c r="WHI119" s="198"/>
      <c r="WHJ119" s="199"/>
      <c r="WHK119" s="198"/>
      <c r="WHL119" s="199"/>
      <c r="WHM119" s="198"/>
      <c r="WHN119" s="199"/>
      <c r="WHO119" s="198"/>
      <c r="WHP119" s="199"/>
      <c r="WHQ119" s="198"/>
      <c r="WHR119" s="199"/>
      <c r="WHS119" s="198"/>
      <c r="WHT119" s="199"/>
      <c r="WHU119" s="198"/>
      <c r="WHV119" s="199"/>
      <c r="WHW119" s="198"/>
      <c r="WHX119" s="199"/>
      <c r="WHY119" s="198"/>
      <c r="WHZ119" s="199"/>
      <c r="WIA119" s="198"/>
      <c r="WIB119" s="199"/>
      <c r="WIC119" s="198"/>
      <c r="WID119" s="199"/>
      <c r="WIE119" s="198"/>
      <c r="WIF119" s="199"/>
      <c r="WIG119" s="198"/>
      <c r="WIH119" s="199"/>
      <c r="WII119" s="198"/>
      <c r="WIJ119" s="199"/>
      <c r="WIK119" s="198"/>
      <c r="WIL119" s="199"/>
      <c r="WIM119" s="198"/>
      <c r="WIN119" s="199"/>
      <c r="WIO119" s="198"/>
      <c r="WIP119" s="199"/>
      <c r="WIQ119" s="198"/>
      <c r="WIR119" s="199"/>
      <c r="WIS119" s="198"/>
      <c r="WIT119" s="199"/>
      <c r="WIU119" s="198"/>
      <c r="WIV119" s="199"/>
      <c r="WIW119" s="198"/>
      <c r="WIX119" s="199"/>
      <c r="WIY119" s="198"/>
      <c r="WIZ119" s="199"/>
      <c r="WJA119" s="198"/>
      <c r="WJB119" s="199"/>
      <c r="WJC119" s="198"/>
      <c r="WJD119" s="199"/>
      <c r="WJE119" s="198"/>
      <c r="WJF119" s="199"/>
      <c r="WJG119" s="198"/>
      <c r="WJH119" s="199"/>
      <c r="WJI119" s="198"/>
      <c r="WJJ119" s="199"/>
      <c r="WJK119" s="198"/>
      <c r="WJL119" s="199"/>
      <c r="WJM119" s="198"/>
      <c r="WJN119" s="199"/>
      <c r="WJO119" s="198"/>
      <c r="WJP119" s="199"/>
      <c r="WJQ119" s="198"/>
      <c r="WJR119" s="199"/>
      <c r="WJS119" s="198"/>
      <c r="WJT119" s="199"/>
      <c r="WJU119" s="198"/>
      <c r="WJV119" s="199"/>
      <c r="WJW119" s="198"/>
      <c r="WJX119" s="199"/>
      <c r="WJY119" s="198"/>
      <c r="WJZ119" s="199"/>
      <c r="WKA119" s="198"/>
      <c r="WKB119" s="199"/>
      <c r="WKC119" s="198"/>
      <c r="WKD119" s="199"/>
      <c r="WKE119" s="198"/>
      <c r="WKF119" s="199"/>
      <c r="WKG119" s="198"/>
      <c r="WKH119" s="199"/>
      <c r="WKI119" s="198"/>
      <c r="WKJ119" s="199"/>
      <c r="WKK119" s="198"/>
      <c r="WKL119" s="199"/>
      <c r="WKM119" s="198"/>
      <c r="WKN119" s="199"/>
      <c r="WKO119" s="198"/>
      <c r="WKP119" s="199"/>
      <c r="WKQ119" s="198"/>
      <c r="WKR119" s="199"/>
      <c r="WKS119" s="198"/>
      <c r="WKT119" s="199"/>
      <c r="WKU119" s="198"/>
      <c r="WKV119" s="199"/>
      <c r="WKW119" s="198"/>
      <c r="WKX119" s="199"/>
      <c r="WKY119" s="198"/>
      <c r="WKZ119" s="199"/>
      <c r="WLA119" s="198"/>
      <c r="WLB119" s="199"/>
      <c r="WLC119" s="198"/>
      <c r="WLD119" s="199"/>
      <c r="WLE119" s="198"/>
      <c r="WLF119" s="199"/>
      <c r="WLG119" s="198"/>
      <c r="WLH119" s="199"/>
      <c r="WLI119" s="198"/>
      <c r="WLJ119" s="199"/>
      <c r="WLK119" s="198"/>
      <c r="WLL119" s="199"/>
      <c r="WLM119" s="198"/>
      <c r="WLN119" s="199"/>
      <c r="WLO119" s="198"/>
      <c r="WLP119" s="199"/>
      <c r="WLQ119" s="198"/>
      <c r="WLR119" s="199"/>
      <c r="WLS119" s="198"/>
      <c r="WLT119" s="199"/>
      <c r="WLU119" s="198"/>
      <c r="WLV119" s="199"/>
      <c r="WLW119" s="198"/>
      <c r="WLX119" s="199"/>
      <c r="WLY119" s="198"/>
      <c r="WLZ119" s="199"/>
      <c r="WMA119" s="198"/>
      <c r="WMB119" s="199"/>
      <c r="WMC119" s="198"/>
      <c r="WMD119" s="199"/>
      <c r="WME119" s="198"/>
      <c r="WMF119" s="199"/>
      <c r="WMG119" s="198"/>
      <c r="WMH119" s="199"/>
      <c r="WMI119" s="198"/>
      <c r="WMJ119" s="199"/>
      <c r="WMK119" s="198"/>
      <c r="WML119" s="199"/>
      <c r="WMM119" s="198"/>
      <c r="WMN119" s="199"/>
      <c r="WMO119" s="198"/>
      <c r="WMP119" s="199"/>
      <c r="WMQ119" s="198"/>
      <c r="WMR119" s="199"/>
      <c r="WMS119" s="198"/>
      <c r="WMT119" s="199"/>
      <c r="WMU119" s="198"/>
      <c r="WMV119" s="199"/>
      <c r="WMW119" s="198"/>
      <c r="WMX119" s="199"/>
      <c r="WMY119" s="198"/>
      <c r="WMZ119" s="199"/>
      <c r="WNA119" s="198"/>
      <c r="WNB119" s="199"/>
      <c r="WNC119" s="198"/>
      <c r="WND119" s="199"/>
      <c r="WNE119" s="198"/>
      <c r="WNF119" s="199"/>
      <c r="WNG119" s="198"/>
      <c r="WNH119" s="199"/>
      <c r="WNI119" s="198"/>
      <c r="WNJ119" s="199"/>
      <c r="WNK119" s="198"/>
      <c r="WNL119" s="199"/>
      <c r="WNM119" s="198"/>
      <c r="WNN119" s="199"/>
      <c r="WNO119" s="198"/>
      <c r="WNP119" s="199"/>
      <c r="WNQ119" s="198"/>
      <c r="WNR119" s="199"/>
      <c r="WNS119" s="198"/>
      <c r="WNT119" s="199"/>
      <c r="WNU119" s="198"/>
      <c r="WNV119" s="199"/>
      <c r="WNW119" s="198"/>
      <c r="WNX119" s="199"/>
      <c r="WNY119" s="198"/>
      <c r="WNZ119" s="199"/>
      <c r="WOA119" s="198"/>
      <c r="WOB119" s="199"/>
      <c r="WOC119" s="198"/>
      <c r="WOD119" s="199"/>
      <c r="WOE119" s="198"/>
      <c r="WOF119" s="199"/>
      <c r="WOG119" s="198"/>
      <c r="WOH119" s="199"/>
      <c r="WOI119" s="198"/>
      <c r="WOJ119" s="199"/>
      <c r="WOK119" s="198"/>
      <c r="WOL119" s="199"/>
      <c r="WOM119" s="198"/>
      <c r="WON119" s="199"/>
      <c r="WOO119" s="198"/>
      <c r="WOP119" s="199"/>
      <c r="WOQ119" s="198"/>
      <c r="WOR119" s="199"/>
      <c r="WOS119" s="198"/>
      <c r="WOT119" s="199"/>
      <c r="WOU119" s="198"/>
      <c r="WOV119" s="199"/>
      <c r="WOW119" s="198"/>
      <c r="WOX119" s="199"/>
      <c r="WOY119" s="198"/>
      <c r="WOZ119" s="199"/>
      <c r="WPA119" s="198"/>
      <c r="WPB119" s="199"/>
      <c r="WPC119" s="198"/>
      <c r="WPD119" s="199"/>
      <c r="WPE119" s="198"/>
      <c r="WPF119" s="199"/>
      <c r="WPG119" s="198"/>
      <c r="WPH119" s="199"/>
      <c r="WPI119" s="198"/>
      <c r="WPJ119" s="199"/>
      <c r="WPK119" s="198"/>
      <c r="WPL119" s="199"/>
      <c r="WPM119" s="198"/>
      <c r="WPN119" s="199"/>
      <c r="WPO119" s="198"/>
      <c r="WPP119" s="199"/>
      <c r="WPQ119" s="198"/>
      <c r="WPR119" s="199"/>
      <c r="WPS119" s="198"/>
      <c r="WPT119" s="199"/>
      <c r="WPU119" s="198"/>
      <c r="WPV119" s="199"/>
      <c r="WPW119" s="198"/>
      <c r="WPX119" s="199"/>
      <c r="WPY119" s="198"/>
      <c r="WPZ119" s="199"/>
      <c r="WQA119" s="198"/>
      <c r="WQB119" s="199"/>
      <c r="WQC119" s="198"/>
      <c r="WQD119" s="199"/>
      <c r="WQE119" s="198"/>
      <c r="WQF119" s="199"/>
      <c r="WQG119" s="198"/>
      <c r="WQH119" s="199"/>
      <c r="WQI119" s="198"/>
      <c r="WQJ119" s="199"/>
      <c r="WQK119" s="198"/>
      <c r="WQL119" s="199"/>
      <c r="WQM119" s="198"/>
      <c r="WQN119" s="199"/>
      <c r="WQO119" s="198"/>
      <c r="WQP119" s="199"/>
      <c r="WQQ119" s="198"/>
      <c r="WQR119" s="199"/>
      <c r="WQS119" s="198"/>
      <c r="WQT119" s="199"/>
      <c r="WQU119" s="198"/>
      <c r="WQV119" s="199"/>
      <c r="WQW119" s="198"/>
      <c r="WQX119" s="199"/>
      <c r="WQY119" s="198"/>
      <c r="WQZ119" s="199"/>
      <c r="WRA119" s="198"/>
      <c r="WRB119" s="199"/>
      <c r="WRC119" s="198"/>
      <c r="WRD119" s="199"/>
      <c r="WRE119" s="198"/>
      <c r="WRF119" s="199"/>
      <c r="WRG119" s="198"/>
      <c r="WRH119" s="199"/>
      <c r="WRI119" s="198"/>
      <c r="WRJ119" s="199"/>
      <c r="WRK119" s="198"/>
      <c r="WRL119" s="199"/>
      <c r="WRM119" s="198"/>
      <c r="WRN119" s="199"/>
      <c r="WRO119" s="198"/>
      <c r="WRP119" s="199"/>
      <c r="WRQ119" s="198"/>
      <c r="WRR119" s="199"/>
      <c r="WRS119" s="198"/>
      <c r="WRT119" s="199"/>
      <c r="WRU119" s="198"/>
      <c r="WRV119" s="199"/>
      <c r="WRW119" s="198"/>
      <c r="WRX119" s="199"/>
      <c r="WRY119" s="198"/>
      <c r="WRZ119" s="199"/>
      <c r="WSA119" s="198"/>
      <c r="WSB119" s="199"/>
      <c r="WSC119" s="198"/>
      <c r="WSD119" s="199"/>
      <c r="WSE119" s="198"/>
      <c r="WSF119" s="199"/>
      <c r="WSG119" s="198"/>
      <c r="WSH119" s="199"/>
      <c r="WSI119" s="198"/>
      <c r="WSJ119" s="199"/>
      <c r="WSK119" s="198"/>
      <c r="WSL119" s="199"/>
      <c r="WSM119" s="198"/>
      <c r="WSN119" s="199"/>
      <c r="WSO119" s="198"/>
      <c r="WSP119" s="199"/>
      <c r="WSQ119" s="198"/>
      <c r="WSR119" s="199"/>
      <c r="WSS119" s="198"/>
      <c r="WST119" s="199"/>
      <c r="WSU119" s="198"/>
      <c r="WSV119" s="199"/>
      <c r="WSW119" s="198"/>
      <c r="WSX119" s="199"/>
      <c r="WSY119" s="198"/>
      <c r="WSZ119" s="199"/>
      <c r="WTA119" s="198"/>
      <c r="WTB119" s="199"/>
      <c r="WTC119" s="198"/>
      <c r="WTD119" s="199"/>
      <c r="WTE119" s="198"/>
      <c r="WTF119" s="199"/>
      <c r="WTG119" s="198"/>
      <c r="WTH119" s="199"/>
      <c r="WTI119" s="198"/>
      <c r="WTJ119" s="199"/>
      <c r="WTK119" s="198"/>
      <c r="WTL119" s="199"/>
      <c r="WTM119" s="198"/>
      <c r="WTN119" s="199"/>
      <c r="WTO119" s="198"/>
      <c r="WTP119" s="199"/>
      <c r="WTQ119" s="198"/>
      <c r="WTR119" s="199"/>
      <c r="WTS119" s="198"/>
      <c r="WTT119" s="199"/>
      <c r="WTU119" s="198"/>
      <c r="WTV119" s="199"/>
      <c r="WTW119" s="198"/>
      <c r="WTX119" s="199"/>
      <c r="WTY119" s="198"/>
      <c r="WTZ119" s="199"/>
      <c r="WUA119" s="198"/>
      <c r="WUB119" s="199"/>
      <c r="WUC119" s="198"/>
      <c r="WUD119" s="199"/>
      <c r="WUE119" s="198"/>
      <c r="WUF119" s="199"/>
      <c r="WUG119" s="198"/>
      <c r="WUH119" s="199"/>
      <c r="WUI119" s="198"/>
      <c r="WUJ119" s="199"/>
      <c r="WUK119" s="198"/>
      <c r="WUL119" s="199"/>
      <c r="WUM119" s="198"/>
      <c r="WUN119" s="199"/>
      <c r="WUO119" s="198"/>
      <c r="WUP119" s="199"/>
      <c r="WUQ119" s="198"/>
      <c r="WUR119" s="199"/>
      <c r="WUS119" s="198"/>
      <c r="WUT119" s="199"/>
      <c r="WUU119" s="198"/>
      <c r="WUV119" s="199"/>
      <c r="WUW119" s="198"/>
      <c r="WUX119" s="199"/>
      <c r="WUY119" s="198"/>
      <c r="WUZ119" s="199"/>
      <c r="WVA119" s="198"/>
      <c r="WVB119" s="199"/>
      <c r="WVC119" s="198"/>
      <c r="WVD119" s="199"/>
      <c r="WVE119" s="198"/>
      <c r="WVF119" s="199"/>
      <c r="WVG119" s="198"/>
      <c r="WVH119" s="199"/>
      <c r="WVI119" s="198"/>
      <c r="WVJ119" s="199"/>
      <c r="WVK119" s="198"/>
      <c r="WVL119" s="199"/>
      <c r="WVM119" s="198"/>
      <c r="WVN119" s="199"/>
      <c r="WVO119" s="198"/>
      <c r="WVP119" s="199"/>
      <c r="WVQ119" s="198"/>
      <c r="WVR119" s="199"/>
      <c r="WVS119" s="198"/>
      <c r="WVT119" s="199"/>
      <c r="WVU119" s="198"/>
      <c r="WVV119" s="199"/>
      <c r="WVW119" s="198"/>
      <c r="WVX119" s="199"/>
      <c r="WVY119" s="198"/>
      <c r="WVZ119" s="199"/>
      <c r="WWA119" s="198"/>
      <c r="WWB119" s="199"/>
      <c r="WWC119" s="198"/>
      <c r="WWD119" s="199"/>
      <c r="WWE119" s="198"/>
      <c r="WWF119" s="199"/>
      <c r="WWG119" s="198"/>
      <c r="WWH119" s="199"/>
      <c r="WWI119" s="198"/>
      <c r="WWJ119" s="199"/>
      <c r="WWK119" s="198"/>
      <c r="WWL119" s="199"/>
      <c r="WWM119" s="198"/>
      <c r="WWN119" s="199"/>
      <c r="WWO119" s="198"/>
      <c r="WWP119" s="199"/>
      <c r="WWQ119" s="198"/>
      <c r="WWR119" s="199"/>
      <c r="WWS119" s="198"/>
      <c r="WWT119" s="199"/>
      <c r="WWU119" s="198"/>
      <c r="WWV119" s="199"/>
      <c r="WWW119" s="198"/>
      <c r="WWX119" s="199"/>
      <c r="WWY119" s="198"/>
      <c r="WWZ119" s="199"/>
      <c r="WXA119" s="198"/>
      <c r="WXB119" s="199"/>
      <c r="WXC119" s="198"/>
      <c r="WXD119" s="199"/>
      <c r="WXE119" s="198"/>
      <c r="WXF119" s="199"/>
      <c r="WXG119" s="198"/>
      <c r="WXH119" s="199"/>
      <c r="WXI119" s="198"/>
      <c r="WXJ119" s="199"/>
      <c r="WXK119" s="198"/>
      <c r="WXL119" s="199"/>
      <c r="WXM119" s="198"/>
      <c r="WXN119" s="199"/>
      <c r="WXO119" s="198"/>
      <c r="WXP119" s="199"/>
      <c r="WXQ119" s="198"/>
      <c r="WXR119" s="199"/>
      <c r="WXS119" s="198"/>
      <c r="WXT119" s="199"/>
      <c r="WXU119" s="198"/>
      <c r="WXV119" s="199"/>
      <c r="WXW119" s="198"/>
      <c r="WXX119" s="199"/>
      <c r="WXY119" s="198"/>
      <c r="WXZ119" s="199"/>
      <c r="WYA119" s="198"/>
      <c r="WYB119" s="199"/>
      <c r="WYC119" s="198"/>
      <c r="WYD119" s="199"/>
      <c r="WYE119" s="198"/>
      <c r="WYF119" s="199"/>
      <c r="WYG119" s="198"/>
      <c r="WYH119" s="199"/>
      <c r="WYI119" s="198"/>
      <c r="WYJ119" s="199"/>
      <c r="WYK119" s="198"/>
      <c r="WYL119" s="199"/>
      <c r="WYM119" s="198"/>
      <c r="WYN119" s="199"/>
      <c r="WYO119" s="198"/>
      <c r="WYP119" s="199"/>
      <c r="WYQ119" s="198"/>
      <c r="WYR119" s="199"/>
      <c r="WYS119" s="198"/>
      <c r="WYT119" s="199"/>
      <c r="WYU119" s="198"/>
      <c r="WYV119" s="199"/>
      <c r="WYW119" s="198"/>
      <c r="WYX119" s="199"/>
      <c r="WYY119" s="198"/>
      <c r="WYZ119" s="199"/>
      <c r="WZA119" s="198"/>
      <c r="WZB119" s="199"/>
      <c r="WZC119" s="198"/>
      <c r="WZD119" s="199"/>
      <c r="WZE119" s="198"/>
      <c r="WZF119" s="199"/>
      <c r="WZG119" s="198"/>
      <c r="WZH119" s="199"/>
      <c r="WZI119" s="198"/>
      <c r="WZJ119" s="199"/>
      <c r="WZK119" s="198"/>
      <c r="WZL119" s="199"/>
      <c r="WZM119" s="198"/>
      <c r="WZN119" s="199"/>
      <c r="WZO119" s="198"/>
      <c r="WZP119" s="199"/>
      <c r="WZQ119" s="198"/>
      <c r="WZR119" s="199"/>
      <c r="WZS119" s="198"/>
      <c r="WZT119" s="199"/>
      <c r="WZU119" s="198"/>
      <c r="WZV119" s="199"/>
      <c r="WZW119" s="198"/>
      <c r="WZX119" s="199"/>
      <c r="WZY119" s="198"/>
      <c r="WZZ119" s="199"/>
      <c r="XAA119" s="198"/>
      <c r="XAB119" s="199"/>
      <c r="XAC119" s="198"/>
      <c r="XAD119" s="199"/>
      <c r="XAE119" s="198"/>
      <c r="XAF119" s="199"/>
      <c r="XAG119" s="198"/>
      <c r="XAH119" s="199"/>
      <c r="XAI119" s="198"/>
      <c r="XAJ119" s="199"/>
      <c r="XAK119" s="198"/>
      <c r="XAL119" s="199"/>
      <c r="XAM119" s="198"/>
      <c r="XAN119" s="199"/>
      <c r="XAO119" s="198"/>
      <c r="XAP119" s="199"/>
      <c r="XAQ119" s="198"/>
      <c r="XAR119" s="199"/>
      <c r="XAS119" s="198"/>
      <c r="XAT119" s="199"/>
      <c r="XAU119" s="198"/>
      <c r="XAV119" s="199"/>
      <c r="XAW119" s="198"/>
      <c r="XAX119" s="199"/>
      <c r="XAY119" s="198"/>
      <c r="XAZ119" s="199"/>
      <c r="XBA119" s="198"/>
      <c r="XBB119" s="199"/>
      <c r="XBC119" s="198"/>
      <c r="XBD119" s="199"/>
      <c r="XBE119" s="198"/>
      <c r="XBF119" s="199"/>
      <c r="XBG119" s="198"/>
      <c r="XBH119" s="199"/>
      <c r="XBI119" s="198"/>
      <c r="XBJ119" s="199"/>
      <c r="XBK119" s="198"/>
      <c r="XBL119" s="199"/>
      <c r="XBM119" s="198"/>
      <c r="XBN119" s="199"/>
      <c r="XBO119" s="198"/>
      <c r="XBP119" s="199"/>
      <c r="XBQ119" s="198"/>
      <c r="XBR119" s="199"/>
      <c r="XBS119" s="198"/>
      <c r="XBT119" s="199"/>
      <c r="XBU119" s="198"/>
      <c r="XBV119" s="199"/>
      <c r="XBW119" s="198"/>
      <c r="XBX119" s="199"/>
      <c r="XBY119" s="198"/>
      <c r="XBZ119" s="199"/>
      <c r="XCA119" s="198"/>
      <c r="XCB119" s="199"/>
      <c r="XCC119" s="198"/>
      <c r="XCD119" s="199"/>
      <c r="XCE119" s="198"/>
      <c r="XCF119" s="199"/>
      <c r="XCG119" s="198"/>
      <c r="XCH119" s="199"/>
      <c r="XCI119" s="198"/>
      <c r="XCJ119" s="199"/>
      <c r="XCK119" s="198"/>
      <c r="XCL119" s="199"/>
      <c r="XCM119" s="198"/>
      <c r="XCN119" s="199"/>
      <c r="XCO119" s="198"/>
      <c r="XCP119" s="199"/>
      <c r="XCQ119" s="198"/>
      <c r="XCR119" s="199"/>
      <c r="XCS119" s="198"/>
      <c r="XCT119" s="199"/>
      <c r="XCU119" s="198"/>
      <c r="XCV119" s="199"/>
      <c r="XCW119" s="198"/>
      <c r="XCX119" s="199"/>
      <c r="XCY119" s="198"/>
      <c r="XCZ119" s="199"/>
      <c r="XDA119" s="198"/>
      <c r="XDB119" s="199"/>
      <c r="XDC119" s="198"/>
      <c r="XDD119" s="199"/>
      <c r="XDE119" s="198"/>
      <c r="XDF119" s="199"/>
      <c r="XDG119" s="198"/>
      <c r="XDH119" s="199"/>
      <c r="XDI119" s="198"/>
      <c r="XDJ119" s="199"/>
      <c r="XDK119" s="198"/>
      <c r="XDL119" s="199"/>
      <c r="XDM119" s="198"/>
      <c r="XDN119" s="199"/>
      <c r="XDO119" s="198"/>
      <c r="XDP119" s="199"/>
      <c r="XDQ119" s="198"/>
      <c r="XDR119" s="199"/>
      <c r="XDS119" s="198"/>
      <c r="XDT119" s="199"/>
      <c r="XDU119" s="198"/>
      <c r="XDV119" s="199"/>
      <c r="XDW119" s="198"/>
      <c r="XDX119" s="199"/>
      <c r="XDY119" s="198"/>
      <c r="XDZ119" s="199"/>
      <c r="XEA119" s="198"/>
      <c r="XEB119" s="199"/>
      <c r="XEC119" s="198"/>
      <c r="XED119" s="199"/>
      <c r="XEE119" s="198"/>
      <c r="XEF119" s="199"/>
      <c r="XEG119" s="198"/>
      <c r="XEH119" s="199"/>
      <c r="XEI119" s="198"/>
      <c r="XEJ119" s="199"/>
      <c r="XEK119" s="198"/>
      <c r="XEL119" s="199"/>
      <c r="XEM119" s="198"/>
      <c r="XEN119" s="199"/>
      <c r="XEO119" s="198"/>
      <c r="XEP119" s="199"/>
      <c r="XEQ119" s="198"/>
      <c r="XER119" s="199"/>
      <c r="XES119" s="198"/>
      <c r="XET119" s="199"/>
      <c r="XEU119" s="198"/>
      <c r="XEV119" s="199"/>
      <c r="XEW119" s="198"/>
      <c r="XEX119" s="199"/>
      <c r="XEY119" s="198"/>
      <c r="XEZ119" s="199"/>
      <c r="XFA119" s="198"/>
      <c r="XFB119" s="199"/>
      <c r="XFC119" s="198"/>
      <c r="XFD119" s="199"/>
    </row>
    <row r="120" spans="1:16384" s="112" customFormat="1" ht="65.099999999999994" customHeight="1">
      <c r="A120" s="115"/>
      <c r="B120" s="115"/>
      <c r="C120" s="116"/>
      <c r="D120" s="115"/>
      <c r="E120" s="116"/>
      <c r="F120" s="115"/>
      <c r="G120" s="116"/>
      <c r="H120" s="116"/>
      <c r="I120" s="117"/>
      <c r="J120" s="117"/>
      <c r="K120" s="116"/>
      <c r="L120" s="116"/>
      <c r="M120" s="116"/>
      <c r="N120" s="116"/>
      <c r="O120" s="116"/>
      <c r="P120" s="116"/>
      <c r="Q120" s="116"/>
      <c r="R120" s="116"/>
      <c r="S120" s="116"/>
      <c r="T120" s="116"/>
      <c r="U120" s="116"/>
      <c r="V120" s="116"/>
      <c r="W120" s="116"/>
      <c r="X120" s="116"/>
      <c r="Y120" s="116"/>
      <c r="Z120" s="116"/>
      <c r="AA120" s="118"/>
      <c r="AB120" s="115"/>
      <c r="AC120" s="198"/>
      <c r="AD120" s="199"/>
      <c r="AE120" s="198"/>
      <c r="AF120" s="199"/>
      <c r="AG120" s="198"/>
      <c r="AH120" s="199"/>
      <c r="AI120" s="198"/>
      <c r="AJ120" s="199"/>
      <c r="AK120" s="198"/>
      <c r="AL120" s="199"/>
      <c r="AM120" s="198"/>
      <c r="AN120" s="199"/>
      <c r="AO120" s="198"/>
      <c r="AP120" s="199"/>
      <c r="AQ120" s="198"/>
      <c r="AR120" s="199"/>
      <c r="AS120" s="198"/>
      <c r="AT120" s="199"/>
      <c r="AU120" s="198"/>
      <c r="AV120" s="199"/>
      <c r="AW120" s="198"/>
      <c r="AX120" s="199"/>
      <c r="AY120" s="198"/>
      <c r="AZ120" s="199"/>
      <c r="BA120" s="198"/>
      <c r="BB120" s="199"/>
      <c r="BC120" s="198"/>
      <c r="BD120" s="199"/>
      <c r="BE120" s="198"/>
      <c r="BF120" s="199"/>
      <c r="BG120" s="198"/>
      <c r="BH120" s="199"/>
      <c r="BI120" s="198"/>
      <c r="BJ120" s="199"/>
      <c r="BK120" s="198"/>
      <c r="BL120" s="199"/>
      <c r="BM120" s="198"/>
      <c r="BN120" s="199"/>
      <c r="BO120" s="198"/>
      <c r="BP120" s="199"/>
      <c r="BQ120" s="198"/>
      <c r="BR120" s="199"/>
      <c r="BS120" s="198"/>
      <c r="BT120" s="199"/>
      <c r="BU120" s="198"/>
      <c r="BV120" s="199"/>
      <c r="BW120" s="198"/>
      <c r="BX120" s="199"/>
      <c r="BY120" s="198"/>
      <c r="BZ120" s="199"/>
      <c r="CA120" s="198"/>
      <c r="CB120" s="199"/>
      <c r="CC120" s="198"/>
      <c r="CD120" s="199"/>
      <c r="CE120" s="198"/>
      <c r="CF120" s="199"/>
      <c r="CG120" s="198"/>
      <c r="CH120" s="199"/>
      <c r="CI120" s="198"/>
      <c r="CJ120" s="199"/>
      <c r="CK120" s="198"/>
      <c r="CL120" s="199"/>
      <c r="CM120" s="198"/>
      <c r="CN120" s="199"/>
      <c r="CO120" s="198"/>
      <c r="CP120" s="199"/>
      <c r="CQ120" s="198"/>
      <c r="CR120" s="199"/>
      <c r="CS120" s="198"/>
      <c r="CT120" s="199"/>
      <c r="CU120" s="198"/>
      <c r="CV120" s="199"/>
      <c r="CW120" s="198"/>
      <c r="CX120" s="199"/>
      <c r="CY120" s="198"/>
      <c r="CZ120" s="199"/>
      <c r="DA120" s="198"/>
      <c r="DB120" s="199"/>
      <c r="DC120" s="198"/>
      <c r="DD120" s="199"/>
      <c r="DE120" s="198"/>
      <c r="DF120" s="199"/>
      <c r="DG120" s="198"/>
      <c r="DH120" s="199"/>
      <c r="DI120" s="198"/>
      <c r="DJ120" s="199"/>
      <c r="DK120" s="198"/>
      <c r="DL120" s="199"/>
      <c r="DM120" s="198"/>
      <c r="DN120" s="199"/>
      <c r="DO120" s="198"/>
      <c r="DP120" s="199"/>
      <c r="DQ120" s="198"/>
      <c r="DR120" s="199"/>
      <c r="DS120" s="198"/>
      <c r="DT120" s="199"/>
      <c r="DU120" s="198"/>
      <c r="DV120" s="199"/>
      <c r="DW120" s="198"/>
      <c r="DX120" s="199"/>
      <c r="DY120" s="198"/>
      <c r="DZ120" s="199"/>
      <c r="EA120" s="198"/>
      <c r="EB120" s="199"/>
      <c r="EC120" s="198"/>
      <c r="ED120" s="199"/>
      <c r="EE120" s="198"/>
      <c r="EF120" s="199"/>
      <c r="EG120" s="198"/>
      <c r="EH120" s="199"/>
      <c r="EI120" s="198"/>
      <c r="EJ120" s="199"/>
      <c r="EK120" s="198"/>
      <c r="EL120" s="199"/>
      <c r="EM120" s="198"/>
      <c r="EN120" s="199"/>
      <c r="EO120" s="198"/>
      <c r="EP120" s="199"/>
      <c r="EQ120" s="198"/>
      <c r="ER120" s="199"/>
      <c r="ES120" s="198"/>
      <c r="ET120" s="199"/>
      <c r="EU120" s="198"/>
      <c r="EV120" s="199"/>
      <c r="EW120" s="198"/>
      <c r="EX120" s="199"/>
      <c r="EY120" s="198"/>
      <c r="EZ120" s="199"/>
      <c r="FA120" s="198"/>
      <c r="FB120" s="199"/>
      <c r="FC120" s="198"/>
      <c r="FD120" s="199"/>
      <c r="FE120" s="198"/>
      <c r="FF120" s="199"/>
      <c r="FG120" s="198"/>
      <c r="FH120" s="199"/>
      <c r="FI120" s="198"/>
      <c r="FJ120" s="199"/>
      <c r="FK120" s="198"/>
      <c r="FL120" s="199"/>
      <c r="FM120" s="198"/>
      <c r="FN120" s="199"/>
      <c r="FO120" s="198"/>
      <c r="FP120" s="199"/>
      <c r="FQ120" s="198"/>
      <c r="FR120" s="199"/>
      <c r="FS120" s="198"/>
      <c r="FT120" s="199"/>
      <c r="FU120" s="198"/>
      <c r="FV120" s="199"/>
      <c r="FW120" s="198"/>
      <c r="FX120" s="199"/>
      <c r="FY120" s="198"/>
      <c r="FZ120" s="199"/>
      <c r="GA120" s="198"/>
      <c r="GB120" s="199"/>
      <c r="GC120" s="198"/>
      <c r="GD120" s="199"/>
      <c r="GE120" s="198"/>
      <c r="GF120" s="199"/>
      <c r="GG120" s="198"/>
      <c r="GH120" s="199"/>
      <c r="GI120" s="198"/>
      <c r="GJ120" s="199"/>
      <c r="GK120" s="198"/>
      <c r="GL120" s="199"/>
      <c r="GM120" s="198"/>
      <c r="GN120" s="199"/>
      <c r="GO120" s="198"/>
      <c r="GP120" s="199"/>
      <c r="GQ120" s="198"/>
      <c r="GR120" s="199"/>
      <c r="GS120" s="198"/>
      <c r="GT120" s="199"/>
      <c r="GU120" s="198"/>
      <c r="GV120" s="199"/>
      <c r="GW120" s="198"/>
      <c r="GX120" s="199"/>
      <c r="GY120" s="198"/>
      <c r="GZ120" s="199"/>
      <c r="HA120" s="198"/>
      <c r="HB120" s="199"/>
      <c r="HC120" s="198"/>
      <c r="HD120" s="199"/>
      <c r="HE120" s="198"/>
      <c r="HF120" s="199"/>
      <c r="HG120" s="198"/>
      <c r="HH120" s="199"/>
      <c r="HI120" s="198"/>
      <c r="HJ120" s="199"/>
      <c r="HK120" s="198"/>
      <c r="HL120" s="199"/>
      <c r="HM120" s="198"/>
      <c r="HN120" s="199"/>
      <c r="HO120" s="198"/>
      <c r="HP120" s="199"/>
      <c r="HQ120" s="198"/>
      <c r="HR120" s="199"/>
      <c r="HS120" s="198"/>
      <c r="HT120" s="199"/>
      <c r="HU120" s="198"/>
      <c r="HV120" s="199"/>
      <c r="HW120" s="198"/>
      <c r="HX120" s="199"/>
      <c r="HY120" s="198"/>
      <c r="HZ120" s="199"/>
      <c r="IA120" s="198"/>
      <c r="IB120" s="199"/>
      <c r="IC120" s="198"/>
      <c r="ID120" s="199"/>
      <c r="IE120" s="198"/>
      <c r="IF120" s="199"/>
      <c r="IG120" s="198"/>
      <c r="IH120" s="199"/>
      <c r="II120" s="198"/>
      <c r="IJ120" s="199"/>
      <c r="IK120" s="198"/>
      <c r="IL120" s="199"/>
      <c r="IM120" s="198"/>
      <c r="IN120" s="199"/>
      <c r="IO120" s="198"/>
      <c r="IP120" s="199"/>
      <c r="IQ120" s="198"/>
      <c r="IR120" s="199"/>
      <c r="IS120" s="198"/>
      <c r="IT120" s="199"/>
      <c r="IU120" s="198"/>
      <c r="IV120" s="199"/>
      <c r="IW120" s="198"/>
      <c r="IX120" s="199"/>
      <c r="IY120" s="198"/>
      <c r="IZ120" s="199"/>
      <c r="JA120" s="198"/>
      <c r="JB120" s="199"/>
      <c r="JC120" s="198"/>
      <c r="JD120" s="199"/>
      <c r="JE120" s="198"/>
      <c r="JF120" s="199"/>
      <c r="JG120" s="198"/>
      <c r="JH120" s="199"/>
      <c r="JI120" s="198"/>
      <c r="JJ120" s="199"/>
      <c r="JK120" s="198"/>
      <c r="JL120" s="199"/>
      <c r="JM120" s="198"/>
      <c r="JN120" s="199"/>
      <c r="JO120" s="198"/>
      <c r="JP120" s="199"/>
      <c r="JQ120" s="198"/>
      <c r="JR120" s="199"/>
      <c r="JS120" s="198"/>
      <c r="JT120" s="199"/>
      <c r="JU120" s="198"/>
      <c r="JV120" s="199"/>
      <c r="JW120" s="198"/>
      <c r="JX120" s="199"/>
      <c r="JY120" s="198"/>
      <c r="JZ120" s="199"/>
      <c r="KA120" s="198"/>
      <c r="KB120" s="199"/>
      <c r="KC120" s="198"/>
      <c r="KD120" s="199"/>
      <c r="KE120" s="198"/>
      <c r="KF120" s="199"/>
      <c r="KG120" s="198"/>
      <c r="KH120" s="199"/>
      <c r="KI120" s="198"/>
      <c r="KJ120" s="199"/>
      <c r="KK120" s="198"/>
      <c r="KL120" s="199"/>
      <c r="KM120" s="198"/>
      <c r="KN120" s="199"/>
      <c r="KO120" s="198"/>
      <c r="KP120" s="199"/>
      <c r="KQ120" s="198"/>
      <c r="KR120" s="199"/>
      <c r="KS120" s="198"/>
      <c r="KT120" s="199"/>
      <c r="KU120" s="198"/>
      <c r="KV120" s="199"/>
      <c r="KW120" s="198"/>
      <c r="KX120" s="199"/>
      <c r="KY120" s="198"/>
      <c r="KZ120" s="199"/>
      <c r="LA120" s="198"/>
      <c r="LB120" s="199"/>
      <c r="LC120" s="198"/>
      <c r="LD120" s="199"/>
      <c r="LE120" s="198"/>
      <c r="LF120" s="199"/>
      <c r="LG120" s="198"/>
      <c r="LH120" s="199"/>
      <c r="LI120" s="198"/>
      <c r="LJ120" s="199"/>
      <c r="LK120" s="198"/>
      <c r="LL120" s="199"/>
      <c r="LM120" s="198"/>
      <c r="LN120" s="199"/>
      <c r="LO120" s="198"/>
      <c r="LP120" s="199"/>
      <c r="LQ120" s="198"/>
      <c r="LR120" s="199"/>
      <c r="LS120" s="198"/>
      <c r="LT120" s="199"/>
      <c r="LU120" s="198"/>
      <c r="LV120" s="199"/>
      <c r="LW120" s="198"/>
      <c r="LX120" s="199"/>
      <c r="LY120" s="198"/>
      <c r="LZ120" s="199"/>
      <c r="MA120" s="198"/>
      <c r="MB120" s="199"/>
      <c r="MC120" s="198"/>
      <c r="MD120" s="199"/>
      <c r="ME120" s="198"/>
      <c r="MF120" s="199"/>
      <c r="MG120" s="198"/>
      <c r="MH120" s="199"/>
      <c r="MI120" s="198"/>
      <c r="MJ120" s="199"/>
      <c r="MK120" s="198"/>
      <c r="ML120" s="199"/>
      <c r="MM120" s="198"/>
      <c r="MN120" s="199"/>
      <c r="MO120" s="198"/>
      <c r="MP120" s="199"/>
      <c r="MQ120" s="198"/>
      <c r="MR120" s="199"/>
      <c r="MS120" s="198"/>
      <c r="MT120" s="199"/>
      <c r="MU120" s="198"/>
      <c r="MV120" s="199"/>
      <c r="MW120" s="198"/>
      <c r="MX120" s="199"/>
      <c r="MY120" s="198"/>
      <c r="MZ120" s="199"/>
      <c r="NA120" s="198"/>
      <c r="NB120" s="199"/>
      <c r="NC120" s="198"/>
      <c r="ND120" s="199"/>
      <c r="NE120" s="198"/>
      <c r="NF120" s="199"/>
      <c r="NG120" s="198"/>
      <c r="NH120" s="199"/>
      <c r="NI120" s="198"/>
      <c r="NJ120" s="199"/>
      <c r="NK120" s="198"/>
      <c r="NL120" s="199"/>
      <c r="NM120" s="198"/>
      <c r="NN120" s="199"/>
      <c r="NO120" s="198"/>
      <c r="NP120" s="199"/>
      <c r="NQ120" s="198"/>
      <c r="NR120" s="199"/>
      <c r="NS120" s="198"/>
      <c r="NT120" s="199"/>
      <c r="NU120" s="198"/>
      <c r="NV120" s="199"/>
      <c r="NW120" s="198"/>
      <c r="NX120" s="199"/>
      <c r="NY120" s="198"/>
      <c r="NZ120" s="199"/>
      <c r="OA120" s="198"/>
      <c r="OB120" s="199"/>
      <c r="OC120" s="198"/>
      <c r="OD120" s="199"/>
      <c r="OE120" s="198"/>
      <c r="OF120" s="199"/>
      <c r="OG120" s="198"/>
      <c r="OH120" s="199"/>
      <c r="OI120" s="198"/>
      <c r="OJ120" s="199"/>
      <c r="OK120" s="198"/>
      <c r="OL120" s="199"/>
      <c r="OM120" s="198"/>
      <c r="ON120" s="199"/>
      <c r="OO120" s="198"/>
      <c r="OP120" s="199"/>
      <c r="OQ120" s="198"/>
      <c r="OR120" s="199"/>
      <c r="OS120" s="198"/>
      <c r="OT120" s="199"/>
      <c r="OU120" s="198"/>
      <c r="OV120" s="199"/>
      <c r="OW120" s="198"/>
      <c r="OX120" s="199"/>
      <c r="OY120" s="198"/>
      <c r="OZ120" s="199"/>
      <c r="PA120" s="198"/>
      <c r="PB120" s="199"/>
      <c r="PC120" s="198"/>
      <c r="PD120" s="199"/>
      <c r="PE120" s="198"/>
      <c r="PF120" s="199"/>
      <c r="PG120" s="198"/>
      <c r="PH120" s="199"/>
      <c r="PI120" s="198"/>
      <c r="PJ120" s="199"/>
      <c r="PK120" s="198"/>
      <c r="PL120" s="199"/>
      <c r="PM120" s="198"/>
      <c r="PN120" s="199"/>
      <c r="PO120" s="198"/>
      <c r="PP120" s="199"/>
      <c r="PQ120" s="198"/>
      <c r="PR120" s="199"/>
      <c r="PS120" s="198"/>
      <c r="PT120" s="199"/>
      <c r="PU120" s="198"/>
      <c r="PV120" s="199"/>
      <c r="PW120" s="198"/>
      <c r="PX120" s="199"/>
      <c r="PY120" s="198"/>
      <c r="PZ120" s="199"/>
      <c r="QA120" s="198"/>
      <c r="QB120" s="199"/>
      <c r="QC120" s="198"/>
      <c r="QD120" s="199"/>
      <c r="QE120" s="198"/>
      <c r="QF120" s="199"/>
      <c r="QG120" s="198"/>
      <c r="QH120" s="199"/>
      <c r="QI120" s="198"/>
      <c r="QJ120" s="199"/>
      <c r="QK120" s="198"/>
      <c r="QL120" s="199"/>
      <c r="QM120" s="198"/>
      <c r="QN120" s="199"/>
      <c r="QO120" s="198"/>
      <c r="QP120" s="199"/>
      <c r="QQ120" s="198"/>
      <c r="QR120" s="199"/>
      <c r="QS120" s="198"/>
      <c r="QT120" s="199"/>
      <c r="QU120" s="198"/>
      <c r="QV120" s="199"/>
      <c r="QW120" s="198"/>
      <c r="QX120" s="199"/>
      <c r="QY120" s="198"/>
      <c r="QZ120" s="199"/>
      <c r="RA120" s="198"/>
      <c r="RB120" s="199"/>
      <c r="RC120" s="198"/>
      <c r="RD120" s="199"/>
      <c r="RE120" s="198"/>
      <c r="RF120" s="199"/>
      <c r="RG120" s="198"/>
      <c r="RH120" s="199"/>
      <c r="RI120" s="198"/>
      <c r="RJ120" s="199"/>
      <c r="RK120" s="198"/>
      <c r="RL120" s="199"/>
      <c r="RM120" s="198"/>
      <c r="RN120" s="199"/>
      <c r="RO120" s="198"/>
      <c r="RP120" s="199"/>
      <c r="RQ120" s="198"/>
      <c r="RR120" s="199"/>
      <c r="RS120" s="198"/>
      <c r="RT120" s="199"/>
      <c r="RU120" s="198"/>
      <c r="RV120" s="199"/>
      <c r="RW120" s="198"/>
      <c r="RX120" s="199"/>
      <c r="RY120" s="198"/>
      <c r="RZ120" s="199"/>
      <c r="SA120" s="198"/>
      <c r="SB120" s="199"/>
      <c r="SC120" s="198"/>
      <c r="SD120" s="199"/>
      <c r="SE120" s="198"/>
      <c r="SF120" s="199"/>
      <c r="SG120" s="198"/>
      <c r="SH120" s="199"/>
      <c r="SI120" s="198"/>
      <c r="SJ120" s="199"/>
      <c r="SK120" s="198"/>
      <c r="SL120" s="199"/>
      <c r="SM120" s="198"/>
      <c r="SN120" s="199"/>
      <c r="SO120" s="198"/>
      <c r="SP120" s="199"/>
      <c r="SQ120" s="198"/>
      <c r="SR120" s="199"/>
      <c r="SS120" s="198"/>
      <c r="ST120" s="199"/>
      <c r="SU120" s="198"/>
      <c r="SV120" s="199"/>
      <c r="SW120" s="198"/>
      <c r="SX120" s="199"/>
      <c r="SY120" s="198"/>
      <c r="SZ120" s="199"/>
      <c r="TA120" s="198"/>
      <c r="TB120" s="199"/>
      <c r="TC120" s="198"/>
      <c r="TD120" s="199"/>
      <c r="TE120" s="198"/>
      <c r="TF120" s="199"/>
      <c r="TG120" s="198"/>
      <c r="TH120" s="199"/>
      <c r="TI120" s="198"/>
      <c r="TJ120" s="199"/>
      <c r="TK120" s="198"/>
      <c r="TL120" s="199"/>
      <c r="TM120" s="198"/>
      <c r="TN120" s="199"/>
      <c r="TO120" s="198"/>
      <c r="TP120" s="199"/>
      <c r="TQ120" s="198"/>
      <c r="TR120" s="199"/>
      <c r="TS120" s="198"/>
      <c r="TT120" s="199"/>
      <c r="TU120" s="198"/>
      <c r="TV120" s="199"/>
      <c r="TW120" s="198"/>
      <c r="TX120" s="199"/>
      <c r="TY120" s="198"/>
      <c r="TZ120" s="199"/>
      <c r="UA120" s="198"/>
      <c r="UB120" s="199"/>
      <c r="UC120" s="198"/>
      <c r="UD120" s="199"/>
      <c r="UE120" s="198"/>
      <c r="UF120" s="199"/>
      <c r="UG120" s="198"/>
      <c r="UH120" s="199"/>
      <c r="UI120" s="198"/>
      <c r="UJ120" s="199"/>
      <c r="UK120" s="198"/>
      <c r="UL120" s="199"/>
      <c r="UM120" s="198"/>
      <c r="UN120" s="199"/>
      <c r="UO120" s="198"/>
      <c r="UP120" s="199"/>
      <c r="UQ120" s="198"/>
      <c r="UR120" s="199"/>
      <c r="US120" s="198"/>
      <c r="UT120" s="199"/>
      <c r="UU120" s="198"/>
      <c r="UV120" s="199"/>
      <c r="UW120" s="198"/>
      <c r="UX120" s="199"/>
      <c r="UY120" s="198"/>
      <c r="UZ120" s="199"/>
      <c r="VA120" s="198"/>
      <c r="VB120" s="199"/>
      <c r="VC120" s="198"/>
      <c r="VD120" s="199"/>
      <c r="VE120" s="198"/>
      <c r="VF120" s="199"/>
      <c r="VG120" s="198"/>
      <c r="VH120" s="199"/>
      <c r="VI120" s="198"/>
      <c r="VJ120" s="199"/>
      <c r="VK120" s="198"/>
      <c r="VL120" s="199"/>
      <c r="VM120" s="198"/>
      <c r="VN120" s="199"/>
      <c r="VO120" s="198"/>
      <c r="VP120" s="199"/>
      <c r="VQ120" s="198"/>
      <c r="VR120" s="199"/>
      <c r="VS120" s="198"/>
      <c r="VT120" s="199"/>
      <c r="VU120" s="198"/>
      <c r="VV120" s="199"/>
      <c r="VW120" s="198"/>
      <c r="VX120" s="199"/>
      <c r="VY120" s="198"/>
      <c r="VZ120" s="199"/>
      <c r="WA120" s="198"/>
      <c r="WB120" s="199"/>
      <c r="WC120" s="198"/>
      <c r="WD120" s="199"/>
      <c r="WE120" s="198"/>
      <c r="WF120" s="199"/>
      <c r="WG120" s="198"/>
      <c r="WH120" s="199"/>
      <c r="WI120" s="198"/>
      <c r="WJ120" s="199"/>
      <c r="WK120" s="198"/>
      <c r="WL120" s="199"/>
      <c r="WM120" s="198"/>
      <c r="WN120" s="199"/>
      <c r="WO120" s="198"/>
      <c r="WP120" s="199"/>
      <c r="WQ120" s="198"/>
      <c r="WR120" s="199"/>
      <c r="WS120" s="198"/>
      <c r="WT120" s="199"/>
      <c r="WU120" s="198"/>
      <c r="WV120" s="199"/>
      <c r="WW120" s="198"/>
      <c r="WX120" s="199"/>
      <c r="WY120" s="198"/>
      <c r="WZ120" s="199"/>
      <c r="XA120" s="198"/>
      <c r="XB120" s="199"/>
      <c r="XC120" s="198"/>
      <c r="XD120" s="199"/>
      <c r="XE120" s="198"/>
      <c r="XF120" s="199"/>
      <c r="XG120" s="198"/>
      <c r="XH120" s="199"/>
      <c r="XI120" s="198"/>
      <c r="XJ120" s="199"/>
      <c r="XK120" s="198"/>
      <c r="XL120" s="199"/>
      <c r="XM120" s="198"/>
      <c r="XN120" s="199"/>
      <c r="XO120" s="198"/>
      <c r="XP120" s="199"/>
      <c r="XQ120" s="198"/>
      <c r="XR120" s="199"/>
      <c r="XS120" s="198"/>
      <c r="XT120" s="199"/>
      <c r="XU120" s="198"/>
      <c r="XV120" s="199"/>
      <c r="XW120" s="198"/>
      <c r="XX120" s="199"/>
      <c r="XY120" s="198"/>
      <c r="XZ120" s="199"/>
      <c r="YA120" s="198"/>
      <c r="YB120" s="199"/>
      <c r="YC120" s="198"/>
      <c r="YD120" s="199"/>
      <c r="YE120" s="198"/>
      <c r="YF120" s="199"/>
      <c r="YG120" s="198"/>
      <c r="YH120" s="199"/>
      <c r="YI120" s="198"/>
      <c r="YJ120" s="199"/>
      <c r="YK120" s="198"/>
      <c r="YL120" s="199"/>
      <c r="YM120" s="198"/>
      <c r="YN120" s="199"/>
      <c r="YO120" s="198"/>
      <c r="YP120" s="199"/>
      <c r="YQ120" s="198"/>
      <c r="YR120" s="199"/>
      <c r="YS120" s="198"/>
      <c r="YT120" s="199"/>
      <c r="YU120" s="198"/>
      <c r="YV120" s="199"/>
      <c r="YW120" s="198"/>
      <c r="YX120" s="199"/>
      <c r="YY120" s="198"/>
      <c r="YZ120" s="199"/>
      <c r="ZA120" s="198"/>
      <c r="ZB120" s="199"/>
      <c r="ZC120" s="198"/>
      <c r="ZD120" s="199"/>
      <c r="ZE120" s="198"/>
      <c r="ZF120" s="199"/>
      <c r="ZG120" s="198"/>
      <c r="ZH120" s="199"/>
      <c r="ZI120" s="198"/>
      <c r="ZJ120" s="199"/>
      <c r="ZK120" s="198"/>
      <c r="ZL120" s="199"/>
      <c r="ZM120" s="198"/>
      <c r="ZN120" s="199"/>
      <c r="ZO120" s="198"/>
      <c r="ZP120" s="199"/>
      <c r="ZQ120" s="198"/>
      <c r="ZR120" s="199"/>
      <c r="ZS120" s="198"/>
      <c r="ZT120" s="199"/>
      <c r="ZU120" s="198"/>
      <c r="ZV120" s="199"/>
      <c r="ZW120" s="198"/>
      <c r="ZX120" s="199"/>
      <c r="ZY120" s="198"/>
      <c r="ZZ120" s="199"/>
      <c r="AAA120" s="198"/>
      <c r="AAB120" s="199"/>
      <c r="AAC120" s="198"/>
      <c r="AAD120" s="199"/>
      <c r="AAE120" s="198"/>
      <c r="AAF120" s="199"/>
      <c r="AAG120" s="198"/>
      <c r="AAH120" s="199"/>
      <c r="AAI120" s="198"/>
      <c r="AAJ120" s="199"/>
      <c r="AAK120" s="198"/>
      <c r="AAL120" s="199"/>
      <c r="AAM120" s="198"/>
      <c r="AAN120" s="199"/>
      <c r="AAO120" s="198"/>
      <c r="AAP120" s="199"/>
      <c r="AAQ120" s="198"/>
      <c r="AAR120" s="199"/>
      <c r="AAS120" s="198"/>
      <c r="AAT120" s="199"/>
      <c r="AAU120" s="198"/>
      <c r="AAV120" s="199"/>
      <c r="AAW120" s="198"/>
      <c r="AAX120" s="199"/>
      <c r="AAY120" s="198"/>
      <c r="AAZ120" s="199"/>
      <c r="ABA120" s="198"/>
      <c r="ABB120" s="199"/>
      <c r="ABC120" s="198"/>
      <c r="ABD120" s="199"/>
      <c r="ABE120" s="198"/>
      <c r="ABF120" s="199"/>
      <c r="ABG120" s="198"/>
      <c r="ABH120" s="199"/>
      <c r="ABI120" s="198"/>
      <c r="ABJ120" s="199"/>
      <c r="ABK120" s="198"/>
      <c r="ABL120" s="199"/>
      <c r="ABM120" s="198"/>
      <c r="ABN120" s="199"/>
      <c r="ABO120" s="198"/>
      <c r="ABP120" s="199"/>
      <c r="ABQ120" s="198"/>
      <c r="ABR120" s="199"/>
      <c r="ABS120" s="198"/>
      <c r="ABT120" s="199"/>
      <c r="ABU120" s="198"/>
      <c r="ABV120" s="199"/>
      <c r="ABW120" s="198"/>
      <c r="ABX120" s="199"/>
      <c r="ABY120" s="198"/>
      <c r="ABZ120" s="199"/>
      <c r="ACA120" s="198"/>
      <c r="ACB120" s="199"/>
      <c r="ACC120" s="198"/>
      <c r="ACD120" s="199"/>
      <c r="ACE120" s="198"/>
      <c r="ACF120" s="199"/>
      <c r="ACG120" s="198"/>
      <c r="ACH120" s="199"/>
      <c r="ACI120" s="198"/>
      <c r="ACJ120" s="199"/>
      <c r="ACK120" s="198"/>
      <c r="ACL120" s="199"/>
      <c r="ACM120" s="198"/>
      <c r="ACN120" s="199"/>
      <c r="ACO120" s="198"/>
      <c r="ACP120" s="199"/>
      <c r="ACQ120" s="198"/>
      <c r="ACR120" s="199"/>
      <c r="ACS120" s="198"/>
      <c r="ACT120" s="199"/>
      <c r="ACU120" s="198"/>
      <c r="ACV120" s="199"/>
      <c r="ACW120" s="198"/>
      <c r="ACX120" s="199"/>
      <c r="ACY120" s="198"/>
      <c r="ACZ120" s="199"/>
      <c r="ADA120" s="198"/>
      <c r="ADB120" s="199"/>
      <c r="ADC120" s="198"/>
      <c r="ADD120" s="199"/>
      <c r="ADE120" s="198"/>
      <c r="ADF120" s="199"/>
      <c r="ADG120" s="198"/>
      <c r="ADH120" s="199"/>
      <c r="ADI120" s="198"/>
      <c r="ADJ120" s="199"/>
      <c r="ADK120" s="198"/>
      <c r="ADL120" s="199"/>
      <c r="ADM120" s="198"/>
      <c r="ADN120" s="199"/>
      <c r="ADO120" s="198"/>
      <c r="ADP120" s="199"/>
      <c r="ADQ120" s="198"/>
      <c r="ADR120" s="199"/>
      <c r="ADS120" s="198"/>
      <c r="ADT120" s="199"/>
      <c r="ADU120" s="198"/>
      <c r="ADV120" s="199"/>
      <c r="ADW120" s="198"/>
      <c r="ADX120" s="199"/>
      <c r="ADY120" s="198"/>
      <c r="ADZ120" s="199"/>
      <c r="AEA120" s="198"/>
      <c r="AEB120" s="199"/>
      <c r="AEC120" s="198"/>
      <c r="AED120" s="199"/>
      <c r="AEE120" s="198"/>
      <c r="AEF120" s="199"/>
      <c r="AEG120" s="198"/>
      <c r="AEH120" s="199"/>
      <c r="AEI120" s="198"/>
      <c r="AEJ120" s="199"/>
      <c r="AEK120" s="198"/>
      <c r="AEL120" s="199"/>
      <c r="AEM120" s="198"/>
      <c r="AEN120" s="199"/>
      <c r="AEO120" s="198"/>
      <c r="AEP120" s="199"/>
      <c r="AEQ120" s="198"/>
      <c r="AER120" s="199"/>
      <c r="AES120" s="198"/>
      <c r="AET120" s="199"/>
      <c r="AEU120" s="198"/>
      <c r="AEV120" s="199"/>
      <c r="AEW120" s="198"/>
      <c r="AEX120" s="199"/>
      <c r="AEY120" s="198"/>
      <c r="AEZ120" s="199"/>
      <c r="AFA120" s="198"/>
      <c r="AFB120" s="199"/>
      <c r="AFC120" s="198"/>
      <c r="AFD120" s="199"/>
      <c r="AFE120" s="198"/>
      <c r="AFF120" s="199"/>
      <c r="AFG120" s="198"/>
      <c r="AFH120" s="199"/>
      <c r="AFI120" s="198"/>
      <c r="AFJ120" s="199"/>
      <c r="AFK120" s="198"/>
      <c r="AFL120" s="199"/>
      <c r="AFM120" s="198"/>
      <c r="AFN120" s="199"/>
      <c r="AFO120" s="198"/>
      <c r="AFP120" s="199"/>
      <c r="AFQ120" s="198"/>
      <c r="AFR120" s="199"/>
      <c r="AFS120" s="198"/>
      <c r="AFT120" s="199"/>
      <c r="AFU120" s="198"/>
      <c r="AFV120" s="199"/>
      <c r="AFW120" s="198"/>
      <c r="AFX120" s="199"/>
      <c r="AFY120" s="198"/>
      <c r="AFZ120" s="199"/>
      <c r="AGA120" s="198"/>
      <c r="AGB120" s="199"/>
      <c r="AGC120" s="198"/>
      <c r="AGD120" s="199"/>
      <c r="AGE120" s="198"/>
      <c r="AGF120" s="199"/>
      <c r="AGG120" s="198"/>
      <c r="AGH120" s="199"/>
      <c r="AGI120" s="198"/>
      <c r="AGJ120" s="199"/>
      <c r="AGK120" s="198"/>
      <c r="AGL120" s="199"/>
      <c r="AGM120" s="198"/>
      <c r="AGN120" s="199"/>
      <c r="AGO120" s="198"/>
      <c r="AGP120" s="199"/>
      <c r="AGQ120" s="198"/>
      <c r="AGR120" s="199"/>
      <c r="AGS120" s="198"/>
      <c r="AGT120" s="199"/>
      <c r="AGU120" s="198"/>
      <c r="AGV120" s="199"/>
      <c r="AGW120" s="198"/>
      <c r="AGX120" s="199"/>
      <c r="AGY120" s="198"/>
      <c r="AGZ120" s="199"/>
      <c r="AHA120" s="198"/>
      <c r="AHB120" s="199"/>
      <c r="AHC120" s="198"/>
      <c r="AHD120" s="199"/>
      <c r="AHE120" s="198"/>
      <c r="AHF120" s="199"/>
      <c r="AHG120" s="198"/>
      <c r="AHH120" s="199"/>
      <c r="AHI120" s="198"/>
      <c r="AHJ120" s="199"/>
      <c r="AHK120" s="198"/>
      <c r="AHL120" s="199"/>
      <c r="AHM120" s="198"/>
      <c r="AHN120" s="199"/>
      <c r="AHO120" s="198"/>
      <c r="AHP120" s="199"/>
      <c r="AHQ120" s="198"/>
      <c r="AHR120" s="199"/>
      <c r="AHS120" s="198"/>
      <c r="AHT120" s="199"/>
      <c r="AHU120" s="198"/>
      <c r="AHV120" s="199"/>
      <c r="AHW120" s="198"/>
      <c r="AHX120" s="199"/>
      <c r="AHY120" s="198"/>
      <c r="AHZ120" s="199"/>
      <c r="AIA120" s="198"/>
      <c r="AIB120" s="199"/>
      <c r="AIC120" s="198"/>
      <c r="AID120" s="199"/>
      <c r="AIE120" s="198"/>
      <c r="AIF120" s="199"/>
      <c r="AIG120" s="198"/>
      <c r="AIH120" s="199"/>
      <c r="AII120" s="198"/>
      <c r="AIJ120" s="199"/>
      <c r="AIK120" s="198"/>
      <c r="AIL120" s="199"/>
      <c r="AIM120" s="198"/>
      <c r="AIN120" s="199"/>
      <c r="AIO120" s="198"/>
      <c r="AIP120" s="199"/>
      <c r="AIQ120" s="198"/>
      <c r="AIR120" s="199"/>
      <c r="AIS120" s="198"/>
      <c r="AIT120" s="199"/>
      <c r="AIU120" s="198"/>
      <c r="AIV120" s="199"/>
      <c r="AIW120" s="198"/>
      <c r="AIX120" s="199"/>
      <c r="AIY120" s="198"/>
      <c r="AIZ120" s="199"/>
      <c r="AJA120" s="198"/>
      <c r="AJB120" s="199"/>
      <c r="AJC120" s="198"/>
      <c r="AJD120" s="199"/>
      <c r="AJE120" s="198"/>
      <c r="AJF120" s="199"/>
      <c r="AJG120" s="198"/>
      <c r="AJH120" s="199"/>
      <c r="AJI120" s="198"/>
      <c r="AJJ120" s="199"/>
      <c r="AJK120" s="198"/>
      <c r="AJL120" s="199"/>
      <c r="AJM120" s="198"/>
      <c r="AJN120" s="199"/>
      <c r="AJO120" s="198"/>
      <c r="AJP120" s="199"/>
      <c r="AJQ120" s="198"/>
      <c r="AJR120" s="199"/>
      <c r="AJS120" s="198"/>
      <c r="AJT120" s="199"/>
      <c r="AJU120" s="198"/>
      <c r="AJV120" s="199"/>
      <c r="AJW120" s="198"/>
      <c r="AJX120" s="199"/>
      <c r="AJY120" s="198"/>
      <c r="AJZ120" s="199"/>
      <c r="AKA120" s="198"/>
      <c r="AKB120" s="199"/>
      <c r="AKC120" s="198"/>
      <c r="AKD120" s="199"/>
      <c r="AKE120" s="198"/>
      <c r="AKF120" s="199"/>
      <c r="AKG120" s="198"/>
      <c r="AKH120" s="199"/>
      <c r="AKI120" s="198"/>
      <c r="AKJ120" s="199"/>
      <c r="AKK120" s="198"/>
      <c r="AKL120" s="199"/>
      <c r="AKM120" s="198"/>
      <c r="AKN120" s="199"/>
      <c r="AKO120" s="198"/>
      <c r="AKP120" s="199"/>
      <c r="AKQ120" s="198"/>
      <c r="AKR120" s="199"/>
      <c r="AKS120" s="198"/>
      <c r="AKT120" s="199"/>
      <c r="AKU120" s="198"/>
      <c r="AKV120" s="199"/>
      <c r="AKW120" s="198"/>
      <c r="AKX120" s="199"/>
      <c r="AKY120" s="198"/>
      <c r="AKZ120" s="199"/>
      <c r="ALA120" s="198"/>
      <c r="ALB120" s="199"/>
      <c r="ALC120" s="198"/>
      <c r="ALD120" s="199"/>
      <c r="ALE120" s="198"/>
      <c r="ALF120" s="199"/>
      <c r="ALG120" s="198"/>
      <c r="ALH120" s="199"/>
      <c r="ALI120" s="198"/>
      <c r="ALJ120" s="199"/>
      <c r="ALK120" s="198"/>
      <c r="ALL120" s="199"/>
      <c r="ALM120" s="198"/>
      <c r="ALN120" s="199"/>
      <c r="ALO120" s="198"/>
      <c r="ALP120" s="199"/>
      <c r="ALQ120" s="198"/>
      <c r="ALR120" s="199"/>
      <c r="ALS120" s="198"/>
      <c r="ALT120" s="199"/>
      <c r="ALU120" s="198"/>
      <c r="ALV120" s="199"/>
      <c r="ALW120" s="198"/>
      <c r="ALX120" s="199"/>
      <c r="ALY120" s="198"/>
      <c r="ALZ120" s="199"/>
      <c r="AMA120" s="198"/>
      <c r="AMB120" s="199"/>
      <c r="AMC120" s="198"/>
      <c r="AMD120" s="199"/>
      <c r="AME120" s="198"/>
      <c r="AMF120" s="199"/>
      <c r="AMG120" s="198"/>
      <c r="AMH120" s="199"/>
      <c r="AMI120" s="198"/>
      <c r="AMJ120" s="199"/>
      <c r="AMK120" s="198"/>
      <c r="AML120" s="199"/>
      <c r="AMM120" s="198"/>
      <c r="AMN120" s="199"/>
      <c r="AMO120" s="198"/>
      <c r="AMP120" s="199"/>
      <c r="AMQ120" s="198"/>
      <c r="AMR120" s="199"/>
      <c r="AMS120" s="198"/>
      <c r="AMT120" s="199"/>
      <c r="AMU120" s="198"/>
      <c r="AMV120" s="199"/>
      <c r="AMW120" s="198"/>
      <c r="AMX120" s="199"/>
      <c r="AMY120" s="198"/>
      <c r="AMZ120" s="199"/>
      <c r="ANA120" s="198"/>
      <c r="ANB120" s="199"/>
      <c r="ANC120" s="198"/>
      <c r="AND120" s="199"/>
      <c r="ANE120" s="198"/>
      <c r="ANF120" s="199"/>
      <c r="ANG120" s="198"/>
      <c r="ANH120" s="199"/>
      <c r="ANI120" s="198"/>
      <c r="ANJ120" s="199"/>
      <c r="ANK120" s="198"/>
      <c r="ANL120" s="199"/>
      <c r="ANM120" s="198"/>
      <c r="ANN120" s="199"/>
      <c r="ANO120" s="198"/>
      <c r="ANP120" s="199"/>
      <c r="ANQ120" s="198"/>
      <c r="ANR120" s="199"/>
      <c r="ANS120" s="198"/>
      <c r="ANT120" s="199"/>
      <c r="ANU120" s="198"/>
      <c r="ANV120" s="199"/>
      <c r="ANW120" s="198"/>
      <c r="ANX120" s="199"/>
      <c r="ANY120" s="198"/>
      <c r="ANZ120" s="199"/>
      <c r="AOA120" s="198"/>
      <c r="AOB120" s="199"/>
      <c r="AOC120" s="198"/>
      <c r="AOD120" s="199"/>
      <c r="AOE120" s="198"/>
      <c r="AOF120" s="199"/>
      <c r="AOG120" s="198"/>
      <c r="AOH120" s="199"/>
      <c r="AOI120" s="198"/>
      <c r="AOJ120" s="199"/>
      <c r="AOK120" s="198"/>
      <c r="AOL120" s="199"/>
      <c r="AOM120" s="198"/>
      <c r="AON120" s="199"/>
      <c r="AOO120" s="198"/>
      <c r="AOP120" s="199"/>
      <c r="AOQ120" s="198"/>
      <c r="AOR120" s="199"/>
      <c r="AOS120" s="198"/>
      <c r="AOT120" s="199"/>
      <c r="AOU120" s="198"/>
      <c r="AOV120" s="199"/>
      <c r="AOW120" s="198"/>
      <c r="AOX120" s="199"/>
      <c r="AOY120" s="198"/>
      <c r="AOZ120" s="199"/>
      <c r="APA120" s="198"/>
      <c r="APB120" s="199"/>
      <c r="APC120" s="198"/>
      <c r="APD120" s="199"/>
      <c r="APE120" s="198"/>
      <c r="APF120" s="199"/>
      <c r="APG120" s="198"/>
      <c r="APH120" s="199"/>
      <c r="API120" s="198"/>
      <c r="APJ120" s="199"/>
      <c r="APK120" s="198"/>
      <c r="APL120" s="199"/>
      <c r="APM120" s="198"/>
      <c r="APN120" s="199"/>
      <c r="APO120" s="198"/>
      <c r="APP120" s="199"/>
      <c r="APQ120" s="198"/>
      <c r="APR120" s="199"/>
      <c r="APS120" s="198"/>
      <c r="APT120" s="199"/>
      <c r="APU120" s="198"/>
      <c r="APV120" s="199"/>
      <c r="APW120" s="198"/>
      <c r="APX120" s="199"/>
      <c r="APY120" s="198"/>
      <c r="APZ120" s="199"/>
      <c r="AQA120" s="198"/>
      <c r="AQB120" s="199"/>
      <c r="AQC120" s="198"/>
      <c r="AQD120" s="199"/>
      <c r="AQE120" s="198"/>
      <c r="AQF120" s="199"/>
      <c r="AQG120" s="198"/>
      <c r="AQH120" s="199"/>
      <c r="AQI120" s="198"/>
      <c r="AQJ120" s="199"/>
      <c r="AQK120" s="198"/>
      <c r="AQL120" s="199"/>
      <c r="AQM120" s="198"/>
      <c r="AQN120" s="199"/>
      <c r="AQO120" s="198"/>
      <c r="AQP120" s="199"/>
      <c r="AQQ120" s="198"/>
      <c r="AQR120" s="199"/>
      <c r="AQS120" s="198"/>
      <c r="AQT120" s="199"/>
      <c r="AQU120" s="198"/>
      <c r="AQV120" s="199"/>
      <c r="AQW120" s="198"/>
      <c r="AQX120" s="199"/>
      <c r="AQY120" s="198"/>
      <c r="AQZ120" s="199"/>
      <c r="ARA120" s="198"/>
      <c r="ARB120" s="199"/>
      <c r="ARC120" s="198"/>
      <c r="ARD120" s="199"/>
      <c r="ARE120" s="198"/>
      <c r="ARF120" s="199"/>
      <c r="ARG120" s="198"/>
      <c r="ARH120" s="199"/>
      <c r="ARI120" s="198"/>
      <c r="ARJ120" s="199"/>
      <c r="ARK120" s="198"/>
      <c r="ARL120" s="199"/>
      <c r="ARM120" s="198"/>
      <c r="ARN120" s="199"/>
      <c r="ARO120" s="198"/>
      <c r="ARP120" s="199"/>
      <c r="ARQ120" s="198"/>
      <c r="ARR120" s="199"/>
      <c r="ARS120" s="198"/>
      <c r="ART120" s="199"/>
      <c r="ARU120" s="198"/>
      <c r="ARV120" s="199"/>
      <c r="ARW120" s="198"/>
      <c r="ARX120" s="199"/>
      <c r="ARY120" s="198"/>
      <c r="ARZ120" s="199"/>
      <c r="ASA120" s="198"/>
      <c r="ASB120" s="199"/>
      <c r="ASC120" s="198"/>
      <c r="ASD120" s="199"/>
      <c r="ASE120" s="198"/>
      <c r="ASF120" s="199"/>
      <c r="ASG120" s="198"/>
      <c r="ASH120" s="199"/>
      <c r="ASI120" s="198"/>
      <c r="ASJ120" s="199"/>
      <c r="ASK120" s="198"/>
      <c r="ASL120" s="199"/>
      <c r="ASM120" s="198"/>
      <c r="ASN120" s="199"/>
      <c r="ASO120" s="198"/>
      <c r="ASP120" s="199"/>
      <c r="ASQ120" s="198"/>
      <c r="ASR120" s="199"/>
      <c r="ASS120" s="198"/>
      <c r="AST120" s="199"/>
      <c r="ASU120" s="198"/>
      <c r="ASV120" s="199"/>
      <c r="ASW120" s="198"/>
      <c r="ASX120" s="199"/>
      <c r="ASY120" s="198"/>
      <c r="ASZ120" s="199"/>
      <c r="ATA120" s="198"/>
      <c r="ATB120" s="199"/>
      <c r="ATC120" s="198"/>
      <c r="ATD120" s="199"/>
      <c r="ATE120" s="198"/>
      <c r="ATF120" s="199"/>
      <c r="ATG120" s="198"/>
      <c r="ATH120" s="199"/>
      <c r="ATI120" s="198"/>
      <c r="ATJ120" s="199"/>
      <c r="ATK120" s="198"/>
      <c r="ATL120" s="199"/>
      <c r="ATM120" s="198"/>
      <c r="ATN120" s="199"/>
      <c r="ATO120" s="198"/>
      <c r="ATP120" s="199"/>
      <c r="ATQ120" s="198"/>
      <c r="ATR120" s="199"/>
      <c r="ATS120" s="198"/>
      <c r="ATT120" s="199"/>
      <c r="ATU120" s="198"/>
      <c r="ATV120" s="199"/>
      <c r="ATW120" s="198"/>
      <c r="ATX120" s="199"/>
      <c r="ATY120" s="198"/>
      <c r="ATZ120" s="199"/>
      <c r="AUA120" s="198"/>
      <c r="AUB120" s="199"/>
      <c r="AUC120" s="198"/>
      <c r="AUD120" s="199"/>
      <c r="AUE120" s="198"/>
      <c r="AUF120" s="199"/>
      <c r="AUG120" s="198"/>
      <c r="AUH120" s="199"/>
      <c r="AUI120" s="198"/>
      <c r="AUJ120" s="199"/>
      <c r="AUK120" s="198"/>
      <c r="AUL120" s="199"/>
      <c r="AUM120" s="198"/>
      <c r="AUN120" s="199"/>
      <c r="AUO120" s="198"/>
      <c r="AUP120" s="199"/>
      <c r="AUQ120" s="198"/>
      <c r="AUR120" s="199"/>
      <c r="AUS120" s="198"/>
      <c r="AUT120" s="199"/>
      <c r="AUU120" s="198"/>
      <c r="AUV120" s="199"/>
      <c r="AUW120" s="198"/>
      <c r="AUX120" s="199"/>
      <c r="AUY120" s="198"/>
      <c r="AUZ120" s="199"/>
      <c r="AVA120" s="198"/>
      <c r="AVB120" s="199"/>
      <c r="AVC120" s="198"/>
      <c r="AVD120" s="199"/>
      <c r="AVE120" s="198"/>
      <c r="AVF120" s="199"/>
      <c r="AVG120" s="198"/>
      <c r="AVH120" s="199"/>
      <c r="AVI120" s="198"/>
      <c r="AVJ120" s="199"/>
      <c r="AVK120" s="198"/>
      <c r="AVL120" s="199"/>
      <c r="AVM120" s="198"/>
      <c r="AVN120" s="199"/>
      <c r="AVO120" s="198"/>
      <c r="AVP120" s="199"/>
      <c r="AVQ120" s="198"/>
      <c r="AVR120" s="199"/>
      <c r="AVS120" s="198"/>
      <c r="AVT120" s="199"/>
      <c r="AVU120" s="198"/>
      <c r="AVV120" s="199"/>
      <c r="AVW120" s="198"/>
      <c r="AVX120" s="199"/>
      <c r="AVY120" s="198"/>
      <c r="AVZ120" s="199"/>
      <c r="AWA120" s="198"/>
      <c r="AWB120" s="199"/>
      <c r="AWC120" s="198"/>
      <c r="AWD120" s="199"/>
      <c r="AWE120" s="198"/>
      <c r="AWF120" s="199"/>
      <c r="AWG120" s="198"/>
      <c r="AWH120" s="199"/>
      <c r="AWI120" s="198"/>
      <c r="AWJ120" s="199"/>
      <c r="AWK120" s="198"/>
      <c r="AWL120" s="199"/>
      <c r="AWM120" s="198"/>
      <c r="AWN120" s="199"/>
      <c r="AWO120" s="198"/>
      <c r="AWP120" s="199"/>
      <c r="AWQ120" s="198"/>
      <c r="AWR120" s="199"/>
      <c r="AWS120" s="198"/>
      <c r="AWT120" s="199"/>
      <c r="AWU120" s="198"/>
      <c r="AWV120" s="199"/>
      <c r="AWW120" s="198"/>
      <c r="AWX120" s="199"/>
      <c r="AWY120" s="198"/>
      <c r="AWZ120" s="199"/>
      <c r="AXA120" s="198"/>
      <c r="AXB120" s="199"/>
      <c r="AXC120" s="198"/>
      <c r="AXD120" s="199"/>
      <c r="AXE120" s="198"/>
      <c r="AXF120" s="199"/>
      <c r="AXG120" s="198"/>
      <c r="AXH120" s="199"/>
      <c r="AXI120" s="198"/>
      <c r="AXJ120" s="199"/>
      <c r="AXK120" s="198"/>
      <c r="AXL120" s="199"/>
      <c r="AXM120" s="198"/>
      <c r="AXN120" s="199"/>
      <c r="AXO120" s="198"/>
      <c r="AXP120" s="199"/>
      <c r="AXQ120" s="198"/>
      <c r="AXR120" s="199"/>
      <c r="AXS120" s="198"/>
      <c r="AXT120" s="199"/>
      <c r="AXU120" s="198"/>
      <c r="AXV120" s="199"/>
      <c r="AXW120" s="198"/>
      <c r="AXX120" s="199"/>
      <c r="AXY120" s="198"/>
      <c r="AXZ120" s="199"/>
      <c r="AYA120" s="198"/>
      <c r="AYB120" s="199"/>
      <c r="AYC120" s="198"/>
      <c r="AYD120" s="199"/>
      <c r="AYE120" s="198"/>
      <c r="AYF120" s="199"/>
      <c r="AYG120" s="198"/>
      <c r="AYH120" s="199"/>
      <c r="AYI120" s="198"/>
      <c r="AYJ120" s="199"/>
      <c r="AYK120" s="198"/>
      <c r="AYL120" s="199"/>
      <c r="AYM120" s="198"/>
      <c r="AYN120" s="199"/>
      <c r="AYO120" s="198"/>
      <c r="AYP120" s="199"/>
      <c r="AYQ120" s="198"/>
      <c r="AYR120" s="199"/>
      <c r="AYS120" s="198"/>
      <c r="AYT120" s="199"/>
      <c r="AYU120" s="198"/>
      <c r="AYV120" s="199"/>
      <c r="AYW120" s="198"/>
      <c r="AYX120" s="199"/>
      <c r="AYY120" s="198"/>
      <c r="AYZ120" s="199"/>
      <c r="AZA120" s="198"/>
      <c r="AZB120" s="199"/>
      <c r="AZC120" s="198"/>
      <c r="AZD120" s="199"/>
      <c r="AZE120" s="198"/>
      <c r="AZF120" s="199"/>
      <c r="AZG120" s="198"/>
      <c r="AZH120" s="199"/>
      <c r="AZI120" s="198"/>
      <c r="AZJ120" s="199"/>
      <c r="AZK120" s="198"/>
      <c r="AZL120" s="199"/>
      <c r="AZM120" s="198"/>
      <c r="AZN120" s="199"/>
      <c r="AZO120" s="198"/>
      <c r="AZP120" s="199"/>
      <c r="AZQ120" s="198"/>
      <c r="AZR120" s="199"/>
      <c r="AZS120" s="198"/>
      <c r="AZT120" s="199"/>
      <c r="AZU120" s="198"/>
      <c r="AZV120" s="199"/>
      <c r="AZW120" s="198"/>
      <c r="AZX120" s="199"/>
      <c r="AZY120" s="198"/>
      <c r="AZZ120" s="199"/>
      <c r="BAA120" s="198"/>
      <c r="BAB120" s="199"/>
      <c r="BAC120" s="198"/>
      <c r="BAD120" s="199"/>
      <c r="BAE120" s="198"/>
      <c r="BAF120" s="199"/>
      <c r="BAG120" s="198"/>
      <c r="BAH120" s="199"/>
      <c r="BAI120" s="198"/>
      <c r="BAJ120" s="199"/>
      <c r="BAK120" s="198"/>
      <c r="BAL120" s="199"/>
      <c r="BAM120" s="198"/>
      <c r="BAN120" s="199"/>
      <c r="BAO120" s="198"/>
      <c r="BAP120" s="199"/>
      <c r="BAQ120" s="198"/>
      <c r="BAR120" s="199"/>
      <c r="BAS120" s="198"/>
      <c r="BAT120" s="199"/>
      <c r="BAU120" s="198"/>
      <c r="BAV120" s="199"/>
      <c r="BAW120" s="198"/>
      <c r="BAX120" s="199"/>
      <c r="BAY120" s="198"/>
      <c r="BAZ120" s="199"/>
      <c r="BBA120" s="198"/>
      <c r="BBB120" s="199"/>
      <c r="BBC120" s="198"/>
      <c r="BBD120" s="199"/>
      <c r="BBE120" s="198"/>
      <c r="BBF120" s="199"/>
      <c r="BBG120" s="198"/>
      <c r="BBH120" s="199"/>
      <c r="BBI120" s="198"/>
      <c r="BBJ120" s="199"/>
      <c r="BBK120" s="198"/>
      <c r="BBL120" s="199"/>
      <c r="BBM120" s="198"/>
      <c r="BBN120" s="199"/>
      <c r="BBO120" s="198"/>
      <c r="BBP120" s="199"/>
      <c r="BBQ120" s="198"/>
      <c r="BBR120" s="199"/>
      <c r="BBS120" s="198"/>
      <c r="BBT120" s="199"/>
      <c r="BBU120" s="198"/>
      <c r="BBV120" s="199"/>
      <c r="BBW120" s="198"/>
      <c r="BBX120" s="199"/>
      <c r="BBY120" s="198"/>
      <c r="BBZ120" s="199"/>
      <c r="BCA120" s="198"/>
      <c r="BCB120" s="199"/>
      <c r="BCC120" s="198"/>
      <c r="BCD120" s="199"/>
      <c r="BCE120" s="198"/>
      <c r="BCF120" s="199"/>
      <c r="BCG120" s="198"/>
      <c r="BCH120" s="199"/>
      <c r="BCI120" s="198"/>
      <c r="BCJ120" s="199"/>
      <c r="BCK120" s="198"/>
      <c r="BCL120" s="199"/>
      <c r="BCM120" s="198"/>
      <c r="BCN120" s="199"/>
      <c r="BCO120" s="198"/>
      <c r="BCP120" s="199"/>
      <c r="BCQ120" s="198"/>
      <c r="BCR120" s="199"/>
      <c r="BCS120" s="198"/>
      <c r="BCT120" s="199"/>
      <c r="BCU120" s="198"/>
      <c r="BCV120" s="199"/>
      <c r="BCW120" s="198"/>
      <c r="BCX120" s="199"/>
      <c r="BCY120" s="198"/>
      <c r="BCZ120" s="199"/>
      <c r="BDA120" s="198"/>
      <c r="BDB120" s="199"/>
      <c r="BDC120" s="198"/>
      <c r="BDD120" s="199"/>
      <c r="BDE120" s="198"/>
      <c r="BDF120" s="199"/>
      <c r="BDG120" s="198"/>
      <c r="BDH120" s="199"/>
      <c r="BDI120" s="198"/>
      <c r="BDJ120" s="199"/>
      <c r="BDK120" s="198"/>
      <c r="BDL120" s="199"/>
      <c r="BDM120" s="198"/>
      <c r="BDN120" s="199"/>
      <c r="BDO120" s="198"/>
      <c r="BDP120" s="199"/>
      <c r="BDQ120" s="198"/>
      <c r="BDR120" s="199"/>
      <c r="BDS120" s="198"/>
      <c r="BDT120" s="199"/>
      <c r="BDU120" s="198"/>
      <c r="BDV120" s="199"/>
      <c r="BDW120" s="198"/>
      <c r="BDX120" s="199"/>
      <c r="BDY120" s="198"/>
      <c r="BDZ120" s="199"/>
      <c r="BEA120" s="198"/>
      <c r="BEB120" s="199"/>
      <c r="BEC120" s="198"/>
      <c r="BED120" s="199"/>
      <c r="BEE120" s="198"/>
      <c r="BEF120" s="199"/>
      <c r="BEG120" s="198"/>
      <c r="BEH120" s="199"/>
      <c r="BEI120" s="198"/>
      <c r="BEJ120" s="199"/>
      <c r="BEK120" s="198"/>
      <c r="BEL120" s="199"/>
      <c r="BEM120" s="198"/>
      <c r="BEN120" s="199"/>
      <c r="BEO120" s="198"/>
      <c r="BEP120" s="199"/>
      <c r="BEQ120" s="198"/>
      <c r="BER120" s="199"/>
      <c r="BES120" s="198"/>
      <c r="BET120" s="199"/>
      <c r="BEU120" s="198"/>
      <c r="BEV120" s="199"/>
      <c r="BEW120" s="198"/>
      <c r="BEX120" s="199"/>
      <c r="BEY120" s="198"/>
      <c r="BEZ120" s="199"/>
      <c r="BFA120" s="198"/>
      <c r="BFB120" s="199"/>
      <c r="BFC120" s="198"/>
      <c r="BFD120" s="199"/>
      <c r="BFE120" s="198"/>
      <c r="BFF120" s="199"/>
      <c r="BFG120" s="198"/>
      <c r="BFH120" s="199"/>
      <c r="BFI120" s="198"/>
      <c r="BFJ120" s="199"/>
      <c r="BFK120" s="198"/>
      <c r="BFL120" s="199"/>
      <c r="BFM120" s="198"/>
      <c r="BFN120" s="199"/>
      <c r="BFO120" s="198"/>
      <c r="BFP120" s="199"/>
      <c r="BFQ120" s="198"/>
      <c r="BFR120" s="199"/>
      <c r="BFS120" s="198"/>
      <c r="BFT120" s="199"/>
      <c r="BFU120" s="198"/>
      <c r="BFV120" s="199"/>
      <c r="BFW120" s="198"/>
      <c r="BFX120" s="199"/>
      <c r="BFY120" s="198"/>
      <c r="BFZ120" s="199"/>
      <c r="BGA120" s="198"/>
      <c r="BGB120" s="199"/>
      <c r="BGC120" s="198"/>
      <c r="BGD120" s="199"/>
      <c r="BGE120" s="198"/>
      <c r="BGF120" s="199"/>
      <c r="BGG120" s="198"/>
      <c r="BGH120" s="199"/>
      <c r="BGI120" s="198"/>
      <c r="BGJ120" s="199"/>
      <c r="BGK120" s="198"/>
      <c r="BGL120" s="199"/>
      <c r="BGM120" s="198"/>
      <c r="BGN120" s="199"/>
      <c r="BGO120" s="198"/>
      <c r="BGP120" s="199"/>
      <c r="BGQ120" s="198"/>
      <c r="BGR120" s="199"/>
      <c r="BGS120" s="198"/>
      <c r="BGT120" s="199"/>
      <c r="BGU120" s="198"/>
      <c r="BGV120" s="199"/>
      <c r="BGW120" s="198"/>
      <c r="BGX120" s="199"/>
      <c r="BGY120" s="198"/>
      <c r="BGZ120" s="199"/>
      <c r="BHA120" s="198"/>
      <c r="BHB120" s="199"/>
      <c r="BHC120" s="198"/>
      <c r="BHD120" s="199"/>
      <c r="BHE120" s="198"/>
      <c r="BHF120" s="199"/>
      <c r="BHG120" s="198"/>
      <c r="BHH120" s="199"/>
      <c r="BHI120" s="198"/>
      <c r="BHJ120" s="199"/>
      <c r="BHK120" s="198"/>
      <c r="BHL120" s="199"/>
      <c r="BHM120" s="198"/>
      <c r="BHN120" s="199"/>
      <c r="BHO120" s="198"/>
      <c r="BHP120" s="199"/>
      <c r="BHQ120" s="198"/>
      <c r="BHR120" s="199"/>
      <c r="BHS120" s="198"/>
      <c r="BHT120" s="199"/>
      <c r="BHU120" s="198"/>
      <c r="BHV120" s="199"/>
      <c r="BHW120" s="198"/>
      <c r="BHX120" s="199"/>
      <c r="BHY120" s="198"/>
      <c r="BHZ120" s="199"/>
      <c r="BIA120" s="198"/>
      <c r="BIB120" s="199"/>
      <c r="BIC120" s="198"/>
      <c r="BID120" s="199"/>
      <c r="BIE120" s="198"/>
      <c r="BIF120" s="199"/>
      <c r="BIG120" s="198"/>
      <c r="BIH120" s="199"/>
      <c r="BII120" s="198"/>
      <c r="BIJ120" s="199"/>
      <c r="BIK120" s="198"/>
      <c r="BIL120" s="199"/>
      <c r="BIM120" s="198"/>
      <c r="BIN120" s="199"/>
      <c r="BIO120" s="198"/>
      <c r="BIP120" s="199"/>
      <c r="BIQ120" s="198"/>
      <c r="BIR120" s="199"/>
      <c r="BIS120" s="198"/>
      <c r="BIT120" s="199"/>
      <c r="BIU120" s="198"/>
      <c r="BIV120" s="199"/>
      <c r="BIW120" s="198"/>
      <c r="BIX120" s="199"/>
      <c r="BIY120" s="198"/>
      <c r="BIZ120" s="199"/>
      <c r="BJA120" s="198"/>
      <c r="BJB120" s="199"/>
      <c r="BJC120" s="198"/>
      <c r="BJD120" s="199"/>
      <c r="BJE120" s="198"/>
      <c r="BJF120" s="199"/>
      <c r="BJG120" s="198"/>
      <c r="BJH120" s="199"/>
      <c r="BJI120" s="198"/>
      <c r="BJJ120" s="199"/>
      <c r="BJK120" s="198"/>
      <c r="BJL120" s="199"/>
      <c r="BJM120" s="198"/>
      <c r="BJN120" s="199"/>
      <c r="BJO120" s="198"/>
      <c r="BJP120" s="199"/>
      <c r="BJQ120" s="198"/>
      <c r="BJR120" s="199"/>
      <c r="BJS120" s="198"/>
      <c r="BJT120" s="199"/>
      <c r="BJU120" s="198"/>
      <c r="BJV120" s="199"/>
      <c r="BJW120" s="198"/>
      <c r="BJX120" s="199"/>
      <c r="BJY120" s="198"/>
      <c r="BJZ120" s="199"/>
      <c r="BKA120" s="198"/>
      <c r="BKB120" s="199"/>
      <c r="BKC120" s="198"/>
      <c r="BKD120" s="199"/>
      <c r="BKE120" s="198"/>
      <c r="BKF120" s="199"/>
      <c r="BKG120" s="198"/>
      <c r="BKH120" s="199"/>
      <c r="BKI120" s="198"/>
      <c r="BKJ120" s="199"/>
      <c r="BKK120" s="198"/>
      <c r="BKL120" s="199"/>
      <c r="BKM120" s="198"/>
      <c r="BKN120" s="199"/>
      <c r="BKO120" s="198"/>
      <c r="BKP120" s="199"/>
      <c r="BKQ120" s="198"/>
      <c r="BKR120" s="199"/>
      <c r="BKS120" s="198"/>
      <c r="BKT120" s="199"/>
      <c r="BKU120" s="198"/>
      <c r="BKV120" s="199"/>
      <c r="BKW120" s="198"/>
      <c r="BKX120" s="199"/>
      <c r="BKY120" s="198"/>
      <c r="BKZ120" s="199"/>
      <c r="BLA120" s="198"/>
      <c r="BLB120" s="199"/>
      <c r="BLC120" s="198"/>
      <c r="BLD120" s="199"/>
      <c r="BLE120" s="198"/>
      <c r="BLF120" s="199"/>
      <c r="BLG120" s="198"/>
      <c r="BLH120" s="199"/>
      <c r="BLI120" s="198"/>
      <c r="BLJ120" s="199"/>
      <c r="BLK120" s="198"/>
      <c r="BLL120" s="199"/>
      <c r="BLM120" s="198"/>
      <c r="BLN120" s="199"/>
      <c r="BLO120" s="198"/>
      <c r="BLP120" s="199"/>
      <c r="BLQ120" s="198"/>
      <c r="BLR120" s="199"/>
      <c r="BLS120" s="198"/>
      <c r="BLT120" s="199"/>
      <c r="BLU120" s="198"/>
      <c r="BLV120" s="199"/>
      <c r="BLW120" s="198"/>
      <c r="BLX120" s="199"/>
      <c r="BLY120" s="198"/>
      <c r="BLZ120" s="199"/>
      <c r="BMA120" s="198"/>
      <c r="BMB120" s="199"/>
      <c r="BMC120" s="198"/>
      <c r="BMD120" s="199"/>
      <c r="BME120" s="198"/>
      <c r="BMF120" s="199"/>
      <c r="BMG120" s="198"/>
      <c r="BMH120" s="199"/>
      <c r="BMI120" s="198"/>
      <c r="BMJ120" s="199"/>
      <c r="BMK120" s="198"/>
      <c r="BML120" s="199"/>
      <c r="BMM120" s="198"/>
      <c r="BMN120" s="199"/>
      <c r="BMO120" s="198"/>
      <c r="BMP120" s="199"/>
      <c r="BMQ120" s="198"/>
      <c r="BMR120" s="199"/>
      <c r="BMS120" s="198"/>
      <c r="BMT120" s="199"/>
      <c r="BMU120" s="198"/>
      <c r="BMV120" s="199"/>
      <c r="BMW120" s="198"/>
      <c r="BMX120" s="199"/>
      <c r="BMY120" s="198"/>
      <c r="BMZ120" s="199"/>
      <c r="BNA120" s="198"/>
      <c r="BNB120" s="199"/>
      <c r="BNC120" s="198"/>
      <c r="BND120" s="199"/>
      <c r="BNE120" s="198"/>
      <c r="BNF120" s="199"/>
      <c r="BNG120" s="198"/>
      <c r="BNH120" s="199"/>
      <c r="BNI120" s="198"/>
      <c r="BNJ120" s="199"/>
      <c r="BNK120" s="198"/>
      <c r="BNL120" s="199"/>
      <c r="BNM120" s="198"/>
      <c r="BNN120" s="199"/>
      <c r="BNO120" s="198"/>
      <c r="BNP120" s="199"/>
      <c r="BNQ120" s="198"/>
      <c r="BNR120" s="199"/>
      <c r="BNS120" s="198"/>
      <c r="BNT120" s="199"/>
      <c r="BNU120" s="198"/>
      <c r="BNV120" s="199"/>
      <c r="BNW120" s="198"/>
      <c r="BNX120" s="199"/>
      <c r="BNY120" s="198"/>
      <c r="BNZ120" s="199"/>
      <c r="BOA120" s="198"/>
      <c r="BOB120" s="199"/>
      <c r="BOC120" s="198"/>
      <c r="BOD120" s="199"/>
      <c r="BOE120" s="198"/>
      <c r="BOF120" s="199"/>
      <c r="BOG120" s="198"/>
      <c r="BOH120" s="199"/>
      <c r="BOI120" s="198"/>
      <c r="BOJ120" s="199"/>
      <c r="BOK120" s="198"/>
      <c r="BOL120" s="199"/>
      <c r="BOM120" s="198"/>
      <c r="BON120" s="199"/>
      <c r="BOO120" s="198"/>
      <c r="BOP120" s="199"/>
      <c r="BOQ120" s="198"/>
      <c r="BOR120" s="199"/>
      <c r="BOS120" s="198"/>
      <c r="BOT120" s="199"/>
      <c r="BOU120" s="198"/>
      <c r="BOV120" s="199"/>
      <c r="BOW120" s="198"/>
      <c r="BOX120" s="199"/>
      <c r="BOY120" s="198"/>
      <c r="BOZ120" s="199"/>
      <c r="BPA120" s="198"/>
      <c r="BPB120" s="199"/>
      <c r="BPC120" s="198"/>
      <c r="BPD120" s="199"/>
      <c r="BPE120" s="198"/>
      <c r="BPF120" s="199"/>
      <c r="BPG120" s="198"/>
      <c r="BPH120" s="199"/>
      <c r="BPI120" s="198"/>
      <c r="BPJ120" s="199"/>
      <c r="BPK120" s="198"/>
      <c r="BPL120" s="199"/>
      <c r="BPM120" s="198"/>
      <c r="BPN120" s="199"/>
      <c r="BPO120" s="198"/>
      <c r="BPP120" s="199"/>
      <c r="BPQ120" s="198"/>
      <c r="BPR120" s="199"/>
      <c r="BPS120" s="198"/>
      <c r="BPT120" s="199"/>
      <c r="BPU120" s="198"/>
      <c r="BPV120" s="199"/>
      <c r="BPW120" s="198"/>
      <c r="BPX120" s="199"/>
      <c r="BPY120" s="198"/>
      <c r="BPZ120" s="199"/>
      <c r="BQA120" s="198"/>
      <c r="BQB120" s="199"/>
      <c r="BQC120" s="198"/>
      <c r="BQD120" s="199"/>
      <c r="BQE120" s="198"/>
      <c r="BQF120" s="199"/>
      <c r="BQG120" s="198"/>
      <c r="BQH120" s="199"/>
      <c r="BQI120" s="198"/>
      <c r="BQJ120" s="199"/>
      <c r="BQK120" s="198"/>
      <c r="BQL120" s="199"/>
      <c r="BQM120" s="198"/>
      <c r="BQN120" s="199"/>
      <c r="BQO120" s="198"/>
      <c r="BQP120" s="199"/>
      <c r="BQQ120" s="198"/>
      <c r="BQR120" s="199"/>
      <c r="BQS120" s="198"/>
      <c r="BQT120" s="199"/>
      <c r="BQU120" s="198"/>
      <c r="BQV120" s="199"/>
      <c r="BQW120" s="198"/>
      <c r="BQX120" s="199"/>
      <c r="BQY120" s="198"/>
      <c r="BQZ120" s="199"/>
      <c r="BRA120" s="198"/>
      <c r="BRB120" s="199"/>
      <c r="BRC120" s="198"/>
      <c r="BRD120" s="199"/>
      <c r="BRE120" s="198"/>
      <c r="BRF120" s="199"/>
      <c r="BRG120" s="198"/>
      <c r="BRH120" s="199"/>
      <c r="BRI120" s="198"/>
      <c r="BRJ120" s="199"/>
      <c r="BRK120" s="198"/>
      <c r="BRL120" s="199"/>
      <c r="BRM120" s="198"/>
      <c r="BRN120" s="199"/>
      <c r="BRO120" s="198"/>
      <c r="BRP120" s="199"/>
      <c r="BRQ120" s="198"/>
      <c r="BRR120" s="199"/>
      <c r="BRS120" s="198"/>
      <c r="BRT120" s="199"/>
      <c r="BRU120" s="198"/>
      <c r="BRV120" s="199"/>
      <c r="BRW120" s="198"/>
      <c r="BRX120" s="199"/>
      <c r="BRY120" s="198"/>
      <c r="BRZ120" s="199"/>
      <c r="BSA120" s="198"/>
      <c r="BSB120" s="199"/>
      <c r="BSC120" s="198"/>
      <c r="BSD120" s="199"/>
      <c r="BSE120" s="198"/>
      <c r="BSF120" s="199"/>
      <c r="BSG120" s="198"/>
      <c r="BSH120" s="199"/>
      <c r="BSI120" s="198"/>
      <c r="BSJ120" s="199"/>
      <c r="BSK120" s="198"/>
      <c r="BSL120" s="199"/>
      <c r="BSM120" s="198"/>
      <c r="BSN120" s="199"/>
      <c r="BSO120" s="198"/>
      <c r="BSP120" s="199"/>
      <c r="BSQ120" s="198"/>
      <c r="BSR120" s="199"/>
      <c r="BSS120" s="198"/>
      <c r="BST120" s="199"/>
      <c r="BSU120" s="198"/>
      <c r="BSV120" s="199"/>
      <c r="BSW120" s="198"/>
      <c r="BSX120" s="199"/>
      <c r="BSY120" s="198"/>
      <c r="BSZ120" s="199"/>
      <c r="BTA120" s="198"/>
      <c r="BTB120" s="199"/>
      <c r="BTC120" s="198"/>
      <c r="BTD120" s="199"/>
      <c r="BTE120" s="198"/>
      <c r="BTF120" s="199"/>
      <c r="BTG120" s="198"/>
      <c r="BTH120" s="199"/>
      <c r="BTI120" s="198"/>
      <c r="BTJ120" s="199"/>
      <c r="BTK120" s="198"/>
      <c r="BTL120" s="199"/>
      <c r="BTM120" s="198"/>
      <c r="BTN120" s="199"/>
      <c r="BTO120" s="198"/>
      <c r="BTP120" s="199"/>
      <c r="BTQ120" s="198"/>
      <c r="BTR120" s="199"/>
      <c r="BTS120" s="198"/>
      <c r="BTT120" s="199"/>
      <c r="BTU120" s="198"/>
      <c r="BTV120" s="199"/>
      <c r="BTW120" s="198"/>
      <c r="BTX120" s="199"/>
      <c r="BTY120" s="198"/>
      <c r="BTZ120" s="199"/>
      <c r="BUA120" s="198"/>
      <c r="BUB120" s="199"/>
      <c r="BUC120" s="198"/>
      <c r="BUD120" s="199"/>
      <c r="BUE120" s="198"/>
      <c r="BUF120" s="199"/>
      <c r="BUG120" s="198"/>
      <c r="BUH120" s="199"/>
      <c r="BUI120" s="198"/>
      <c r="BUJ120" s="199"/>
      <c r="BUK120" s="198"/>
      <c r="BUL120" s="199"/>
      <c r="BUM120" s="198"/>
      <c r="BUN120" s="199"/>
      <c r="BUO120" s="198"/>
      <c r="BUP120" s="199"/>
      <c r="BUQ120" s="198"/>
      <c r="BUR120" s="199"/>
      <c r="BUS120" s="198"/>
      <c r="BUT120" s="199"/>
      <c r="BUU120" s="198"/>
      <c r="BUV120" s="199"/>
      <c r="BUW120" s="198"/>
      <c r="BUX120" s="199"/>
      <c r="BUY120" s="198"/>
      <c r="BUZ120" s="199"/>
      <c r="BVA120" s="198"/>
      <c r="BVB120" s="199"/>
      <c r="BVC120" s="198"/>
      <c r="BVD120" s="199"/>
      <c r="BVE120" s="198"/>
      <c r="BVF120" s="199"/>
      <c r="BVG120" s="198"/>
      <c r="BVH120" s="199"/>
      <c r="BVI120" s="198"/>
      <c r="BVJ120" s="199"/>
      <c r="BVK120" s="198"/>
      <c r="BVL120" s="199"/>
      <c r="BVM120" s="198"/>
      <c r="BVN120" s="199"/>
      <c r="BVO120" s="198"/>
      <c r="BVP120" s="199"/>
      <c r="BVQ120" s="198"/>
      <c r="BVR120" s="199"/>
      <c r="BVS120" s="198"/>
      <c r="BVT120" s="199"/>
      <c r="BVU120" s="198"/>
      <c r="BVV120" s="199"/>
      <c r="BVW120" s="198"/>
      <c r="BVX120" s="199"/>
      <c r="BVY120" s="198"/>
      <c r="BVZ120" s="199"/>
      <c r="BWA120" s="198"/>
      <c r="BWB120" s="199"/>
      <c r="BWC120" s="198"/>
      <c r="BWD120" s="199"/>
      <c r="BWE120" s="198"/>
      <c r="BWF120" s="199"/>
      <c r="BWG120" s="198"/>
      <c r="BWH120" s="199"/>
      <c r="BWI120" s="198"/>
      <c r="BWJ120" s="199"/>
      <c r="BWK120" s="198"/>
      <c r="BWL120" s="199"/>
      <c r="BWM120" s="198"/>
      <c r="BWN120" s="199"/>
      <c r="BWO120" s="198"/>
      <c r="BWP120" s="199"/>
      <c r="BWQ120" s="198"/>
      <c r="BWR120" s="199"/>
      <c r="BWS120" s="198"/>
      <c r="BWT120" s="199"/>
      <c r="BWU120" s="198"/>
      <c r="BWV120" s="199"/>
      <c r="BWW120" s="198"/>
      <c r="BWX120" s="199"/>
      <c r="BWY120" s="198"/>
      <c r="BWZ120" s="199"/>
      <c r="BXA120" s="198"/>
      <c r="BXB120" s="199"/>
      <c r="BXC120" s="198"/>
      <c r="BXD120" s="199"/>
      <c r="BXE120" s="198"/>
      <c r="BXF120" s="199"/>
      <c r="BXG120" s="198"/>
      <c r="BXH120" s="199"/>
      <c r="BXI120" s="198"/>
      <c r="BXJ120" s="199"/>
      <c r="BXK120" s="198"/>
      <c r="BXL120" s="199"/>
      <c r="BXM120" s="198"/>
      <c r="BXN120" s="199"/>
      <c r="BXO120" s="198"/>
      <c r="BXP120" s="199"/>
      <c r="BXQ120" s="198"/>
      <c r="BXR120" s="199"/>
      <c r="BXS120" s="198"/>
      <c r="BXT120" s="199"/>
      <c r="BXU120" s="198"/>
      <c r="BXV120" s="199"/>
      <c r="BXW120" s="198"/>
      <c r="BXX120" s="199"/>
      <c r="BXY120" s="198"/>
      <c r="BXZ120" s="199"/>
      <c r="BYA120" s="198"/>
      <c r="BYB120" s="199"/>
      <c r="BYC120" s="198"/>
      <c r="BYD120" s="199"/>
      <c r="BYE120" s="198"/>
      <c r="BYF120" s="199"/>
      <c r="BYG120" s="198"/>
      <c r="BYH120" s="199"/>
      <c r="BYI120" s="198"/>
      <c r="BYJ120" s="199"/>
      <c r="BYK120" s="198"/>
      <c r="BYL120" s="199"/>
      <c r="BYM120" s="198"/>
      <c r="BYN120" s="199"/>
      <c r="BYO120" s="198"/>
      <c r="BYP120" s="199"/>
      <c r="BYQ120" s="198"/>
      <c r="BYR120" s="199"/>
      <c r="BYS120" s="198"/>
      <c r="BYT120" s="199"/>
      <c r="BYU120" s="198"/>
      <c r="BYV120" s="199"/>
      <c r="BYW120" s="198"/>
      <c r="BYX120" s="199"/>
      <c r="BYY120" s="198"/>
      <c r="BYZ120" s="199"/>
      <c r="BZA120" s="198"/>
      <c r="BZB120" s="199"/>
      <c r="BZC120" s="198"/>
      <c r="BZD120" s="199"/>
      <c r="BZE120" s="198"/>
      <c r="BZF120" s="199"/>
      <c r="BZG120" s="198"/>
      <c r="BZH120" s="199"/>
      <c r="BZI120" s="198"/>
      <c r="BZJ120" s="199"/>
      <c r="BZK120" s="198"/>
      <c r="BZL120" s="199"/>
      <c r="BZM120" s="198"/>
      <c r="BZN120" s="199"/>
      <c r="BZO120" s="198"/>
      <c r="BZP120" s="199"/>
      <c r="BZQ120" s="198"/>
      <c r="BZR120" s="199"/>
      <c r="BZS120" s="198"/>
      <c r="BZT120" s="199"/>
      <c r="BZU120" s="198"/>
      <c r="BZV120" s="199"/>
      <c r="BZW120" s="198"/>
      <c r="BZX120" s="199"/>
      <c r="BZY120" s="198"/>
      <c r="BZZ120" s="199"/>
      <c r="CAA120" s="198"/>
      <c r="CAB120" s="199"/>
      <c r="CAC120" s="198"/>
      <c r="CAD120" s="199"/>
      <c r="CAE120" s="198"/>
      <c r="CAF120" s="199"/>
      <c r="CAG120" s="198"/>
      <c r="CAH120" s="199"/>
      <c r="CAI120" s="198"/>
      <c r="CAJ120" s="199"/>
      <c r="CAK120" s="198"/>
      <c r="CAL120" s="199"/>
      <c r="CAM120" s="198"/>
      <c r="CAN120" s="199"/>
      <c r="CAO120" s="198"/>
      <c r="CAP120" s="199"/>
      <c r="CAQ120" s="198"/>
      <c r="CAR120" s="199"/>
      <c r="CAS120" s="198"/>
      <c r="CAT120" s="199"/>
      <c r="CAU120" s="198"/>
      <c r="CAV120" s="199"/>
      <c r="CAW120" s="198"/>
      <c r="CAX120" s="199"/>
      <c r="CAY120" s="198"/>
      <c r="CAZ120" s="199"/>
      <c r="CBA120" s="198"/>
      <c r="CBB120" s="199"/>
      <c r="CBC120" s="198"/>
      <c r="CBD120" s="199"/>
      <c r="CBE120" s="198"/>
      <c r="CBF120" s="199"/>
      <c r="CBG120" s="198"/>
      <c r="CBH120" s="199"/>
      <c r="CBI120" s="198"/>
      <c r="CBJ120" s="199"/>
      <c r="CBK120" s="198"/>
      <c r="CBL120" s="199"/>
      <c r="CBM120" s="198"/>
      <c r="CBN120" s="199"/>
      <c r="CBO120" s="198"/>
      <c r="CBP120" s="199"/>
      <c r="CBQ120" s="198"/>
      <c r="CBR120" s="199"/>
      <c r="CBS120" s="198"/>
      <c r="CBT120" s="199"/>
      <c r="CBU120" s="198"/>
      <c r="CBV120" s="199"/>
      <c r="CBW120" s="198"/>
      <c r="CBX120" s="199"/>
      <c r="CBY120" s="198"/>
      <c r="CBZ120" s="199"/>
      <c r="CCA120" s="198"/>
      <c r="CCB120" s="199"/>
      <c r="CCC120" s="198"/>
      <c r="CCD120" s="199"/>
      <c r="CCE120" s="198"/>
      <c r="CCF120" s="199"/>
      <c r="CCG120" s="198"/>
      <c r="CCH120" s="199"/>
      <c r="CCI120" s="198"/>
      <c r="CCJ120" s="199"/>
      <c r="CCK120" s="198"/>
      <c r="CCL120" s="199"/>
      <c r="CCM120" s="198"/>
      <c r="CCN120" s="199"/>
      <c r="CCO120" s="198"/>
      <c r="CCP120" s="199"/>
      <c r="CCQ120" s="198"/>
      <c r="CCR120" s="199"/>
      <c r="CCS120" s="198"/>
      <c r="CCT120" s="199"/>
      <c r="CCU120" s="198"/>
      <c r="CCV120" s="199"/>
      <c r="CCW120" s="198"/>
      <c r="CCX120" s="199"/>
      <c r="CCY120" s="198"/>
      <c r="CCZ120" s="199"/>
      <c r="CDA120" s="198"/>
      <c r="CDB120" s="199"/>
      <c r="CDC120" s="198"/>
      <c r="CDD120" s="199"/>
      <c r="CDE120" s="198"/>
      <c r="CDF120" s="199"/>
      <c r="CDG120" s="198"/>
      <c r="CDH120" s="199"/>
      <c r="CDI120" s="198"/>
      <c r="CDJ120" s="199"/>
      <c r="CDK120" s="198"/>
      <c r="CDL120" s="199"/>
      <c r="CDM120" s="198"/>
      <c r="CDN120" s="199"/>
      <c r="CDO120" s="198"/>
      <c r="CDP120" s="199"/>
      <c r="CDQ120" s="198"/>
      <c r="CDR120" s="199"/>
      <c r="CDS120" s="198"/>
      <c r="CDT120" s="199"/>
      <c r="CDU120" s="198"/>
      <c r="CDV120" s="199"/>
      <c r="CDW120" s="198"/>
      <c r="CDX120" s="199"/>
      <c r="CDY120" s="198"/>
      <c r="CDZ120" s="199"/>
      <c r="CEA120" s="198"/>
      <c r="CEB120" s="199"/>
      <c r="CEC120" s="198"/>
      <c r="CED120" s="199"/>
      <c r="CEE120" s="198"/>
      <c r="CEF120" s="199"/>
      <c r="CEG120" s="198"/>
      <c r="CEH120" s="199"/>
      <c r="CEI120" s="198"/>
      <c r="CEJ120" s="199"/>
      <c r="CEK120" s="198"/>
      <c r="CEL120" s="199"/>
      <c r="CEM120" s="198"/>
      <c r="CEN120" s="199"/>
      <c r="CEO120" s="198"/>
      <c r="CEP120" s="199"/>
      <c r="CEQ120" s="198"/>
      <c r="CER120" s="199"/>
      <c r="CES120" s="198"/>
      <c r="CET120" s="199"/>
      <c r="CEU120" s="198"/>
      <c r="CEV120" s="199"/>
      <c r="CEW120" s="198"/>
      <c r="CEX120" s="199"/>
      <c r="CEY120" s="198"/>
      <c r="CEZ120" s="199"/>
      <c r="CFA120" s="198"/>
      <c r="CFB120" s="199"/>
      <c r="CFC120" s="198"/>
      <c r="CFD120" s="199"/>
      <c r="CFE120" s="198"/>
      <c r="CFF120" s="199"/>
      <c r="CFG120" s="198"/>
      <c r="CFH120" s="199"/>
      <c r="CFI120" s="198"/>
      <c r="CFJ120" s="199"/>
      <c r="CFK120" s="198"/>
      <c r="CFL120" s="199"/>
      <c r="CFM120" s="198"/>
      <c r="CFN120" s="199"/>
      <c r="CFO120" s="198"/>
      <c r="CFP120" s="199"/>
      <c r="CFQ120" s="198"/>
      <c r="CFR120" s="199"/>
      <c r="CFS120" s="198"/>
      <c r="CFT120" s="199"/>
      <c r="CFU120" s="198"/>
      <c r="CFV120" s="199"/>
      <c r="CFW120" s="198"/>
      <c r="CFX120" s="199"/>
      <c r="CFY120" s="198"/>
      <c r="CFZ120" s="199"/>
      <c r="CGA120" s="198"/>
      <c r="CGB120" s="199"/>
      <c r="CGC120" s="198"/>
      <c r="CGD120" s="199"/>
      <c r="CGE120" s="198"/>
      <c r="CGF120" s="199"/>
      <c r="CGG120" s="198"/>
      <c r="CGH120" s="199"/>
      <c r="CGI120" s="198"/>
      <c r="CGJ120" s="199"/>
      <c r="CGK120" s="198"/>
      <c r="CGL120" s="199"/>
      <c r="CGM120" s="198"/>
      <c r="CGN120" s="199"/>
      <c r="CGO120" s="198"/>
      <c r="CGP120" s="199"/>
      <c r="CGQ120" s="198"/>
      <c r="CGR120" s="199"/>
      <c r="CGS120" s="198"/>
      <c r="CGT120" s="199"/>
      <c r="CGU120" s="198"/>
      <c r="CGV120" s="199"/>
      <c r="CGW120" s="198"/>
      <c r="CGX120" s="199"/>
      <c r="CGY120" s="198"/>
      <c r="CGZ120" s="199"/>
      <c r="CHA120" s="198"/>
      <c r="CHB120" s="199"/>
      <c r="CHC120" s="198"/>
      <c r="CHD120" s="199"/>
      <c r="CHE120" s="198"/>
      <c r="CHF120" s="199"/>
      <c r="CHG120" s="198"/>
      <c r="CHH120" s="199"/>
      <c r="CHI120" s="198"/>
      <c r="CHJ120" s="199"/>
      <c r="CHK120" s="198"/>
      <c r="CHL120" s="199"/>
      <c r="CHM120" s="198"/>
      <c r="CHN120" s="199"/>
      <c r="CHO120" s="198"/>
      <c r="CHP120" s="199"/>
      <c r="CHQ120" s="198"/>
      <c r="CHR120" s="199"/>
      <c r="CHS120" s="198"/>
      <c r="CHT120" s="199"/>
      <c r="CHU120" s="198"/>
      <c r="CHV120" s="199"/>
      <c r="CHW120" s="198"/>
      <c r="CHX120" s="199"/>
      <c r="CHY120" s="198"/>
      <c r="CHZ120" s="199"/>
      <c r="CIA120" s="198"/>
      <c r="CIB120" s="199"/>
      <c r="CIC120" s="198"/>
      <c r="CID120" s="199"/>
      <c r="CIE120" s="198"/>
      <c r="CIF120" s="199"/>
      <c r="CIG120" s="198"/>
      <c r="CIH120" s="199"/>
      <c r="CII120" s="198"/>
      <c r="CIJ120" s="199"/>
      <c r="CIK120" s="198"/>
      <c r="CIL120" s="199"/>
      <c r="CIM120" s="198"/>
      <c r="CIN120" s="199"/>
      <c r="CIO120" s="198"/>
      <c r="CIP120" s="199"/>
      <c r="CIQ120" s="198"/>
      <c r="CIR120" s="199"/>
      <c r="CIS120" s="198"/>
      <c r="CIT120" s="199"/>
      <c r="CIU120" s="198"/>
      <c r="CIV120" s="199"/>
      <c r="CIW120" s="198"/>
      <c r="CIX120" s="199"/>
      <c r="CIY120" s="198"/>
      <c r="CIZ120" s="199"/>
      <c r="CJA120" s="198"/>
      <c r="CJB120" s="199"/>
      <c r="CJC120" s="198"/>
      <c r="CJD120" s="199"/>
      <c r="CJE120" s="198"/>
      <c r="CJF120" s="199"/>
      <c r="CJG120" s="198"/>
      <c r="CJH120" s="199"/>
      <c r="CJI120" s="198"/>
      <c r="CJJ120" s="199"/>
      <c r="CJK120" s="198"/>
      <c r="CJL120" s="199"/>
      <c r="CJM120" s="198"/>
      <c r="CJN120" s="199"/>
      <c r="CJO120" s="198"/>
      <c r="CJP120" s="199"/>
      <c r="CJQ120" s="198"/>
      <c r="CJR120" s="199"/>
      <c r="CJS120" s="198"/>
      <c r="CJT120" s="199"/>
      <c r="CJU120" s="198"/>
      <c r="CJV120" s="199"/>
      <c r="CJW120" s="198"/>
      <c r="CJX120" s="199"/>
      <c r="CJY120" s="198"/>
      <c r="CJZ120" s="199"/>
      <c r="CKA120" s="198"/>
      <c r="CKB120" s="199"/>
      <c r="CKC120" s="198"/>
      <c r="CKD120" s="199"/>
      <c r="CKE120" s="198"/>
      <c r="CKF120" s="199"/>
      <c r="CKG120" s="198"/>
      <c r="CKH120" s="199"/>
      <c r="CKI120" s="198"/>
      <c r="CKJ120" s="199"/>
      <c r="CKK120" s="198"/>
      <c r="CKL120" s="199"/>
      <c r="CKM120" s="198"/>
      <c r="CKN120" s="199"/>
      <c r="CKO120" s="198"/>
      <c r="CKP120" s="199"/>
      <c r="CKQ120" s="198"/>
      <c r="CKR120" s="199"/>
      <c r="CKS120" s="198"/>
      <c r="CKT120" s="199"/>
      <c r="CKU120" s="198"/>
      <c r="CKV120" s="199"/>
      <c r="CKW120" s="198"/>
      <c r="CKX120" s="199"/>
      <c r="CKY120" s="198"/>
      <c r="CKZ120" s="199"/>
      <c r="CLA120" s="198"/>
      <c r="CLB120" s="199"/>
      <c r="CLC120" s="198"/>
      <c r="CLD120" s="199"/>
      <c r="CLE120" s="198"/>
      <c r="CLF120" s="199"/>
      <c r="CLG120" s="198"/>
      <c r="CLH120" s="199"/>
      <c r="CLI120" s="198"/>
      <c r="CLJ120" s="199"/>
      <c r="CLK120" s="198"/>
      <c r="CLL120" s="199"/>
      <c r="CLM120" s="198"/>
      <c r="CLN120" s="199"/>
      <c r="CLO120" s="198"/>
      <c r="CLP120" s="199"/>
      <c r="CLQ120" s="198"/>
      <c r="CLR120" s="199"/>
      <c r="CLS120" s="198"/>
      <c r="CLT120" s="199"/>
      <c r="CLU120" s="198"/>
      <c r="CLV120" s="199"/>
      <c r="CLW120" s="198"/>
      <c r="CLX120" s="199"/>
      <c r="CLY120" s="198"/>
      <c r="CLZ120" s="199"/>
      <c r="CMA120" s="198"/>
      <c r="CMB120" s="199"/>
      <c r="CMC120" s="198"/>
      <c r="CMD120" s="199"/>
      <c r="CME120" s="198"/>
      <c r="CMF120" s="199"/>
      <c r="CMG120" s="198"/>
      <c r="CMH120" s="199"/>
      <c r="CMI120" s="198"/>
      <c r="CMJ120" s="199"/>
      <c r="CMK120" s="198"/>
      <c r="CML120" s="199"/>
      <c r="CMM120" s="198"/>
      <c r="CMN120" s="199"/>
      <c r="CMO120" s="198"/>
      <c r="CMP120" s="199"/>
      <c r="CMQ120" s="198"/>
      <c r="CMR120" s="199"/>
      <c r="CMS120" s="198"/>
      <c r="CMT120" s="199"/>
      <c r="CMU120" s="198"/>
      <c r="CMV120" s="199"/>
      <c r="CMW120" s="198"/>
      <c r="CMX120" s="199"/>
      <c r="CMY120" s="198"/>
      <c r="CMZ120" s="199"/>
      <c r="CNA120" s="198"/>
      <c r="CNB120" s="199"/>
      <c r="CNC120" s="198"/>
      <c r="CND120" s="199"/>
      <c r="CNE120" s="198"/>
      <c r="CNF120" s="199"/>
      <c r="CNG120" s="198"/>
      <c r="CNH120" s="199"/>
      <c r="CNI120" s="198"/>
      <c r="CNJ120" s="199"/>
      <c r="CNK120" s="198"/>
      <c r="CNL120" s="199"/>
      <c r="CNM120" s="198"/>
      <c r="CNN120" s="199"/>
      <c r="CNO120" s="198"/>
      <c r="CNP120" s="199"/>
      <c r="CNQ120" s="198"/>
      <c r="CNR120" s="199"/>
      <c r="CNS120" s="198"/>
      <c r="CNT120" s="199"/>
      <c r="CNU120" s="198"/>
      <c r="CNV120" s="199"/>
      <c r="CNW120" s="198"/>
      <c r="CNX120" s="199"/>
      <c r="CNY120" s="198"/>
      <c r="CNZ120" s="199"/>
      <c r="COA120" s="198"/>
      <c r="COB120" s="199"/>
      <c r="COC120" s="198"/>
      <c r="COD120" s="199"/>
      <c r="COE120" s="198"/>
      <c r="COF120" s="199"/>
      <c r="COG120" s="198"/>
      <c r="COH120" s="199"/>
      <c r="COI120" s="198"/>
      <c r="COJ120" s="199"/>
      <c r="COK120" s="198"/>
      <c r="COL120" s="199"/>
      <c r="COM120" s="198"/>
      <c r="CON120" s="199"/>
      <c r="COO120" s="198"/>
      <c r="COP120" s="199"/>
      <c r="COQ120" s="198"/>
      <c r="COR120" s="199"/>
      <c r="COS120" s="198"/>
      <c r="COT120" s="199"/>
      <c r="COU120" s="198"/>
      <c r="COV120" s="199"/>
      <c r="COW120" s="198"/>
      <c r="COX120" s="199"/>
      <c r="COY120" s="198"/>
      <c r="COZ120" s="199"/>
      <c r="CPA120" s="198"/>
      <c r="CPB120" s="199"/>
      <c r="CPC120" s="198"/>
      <c r="CPD120" s="199"/>
      <c r="CPE120" s="198"/>
      <c r="CPF120" s="199"/>
      <c r="CPG120" s="198"/>
      <c r="CPH120" s="199"/>
      <c r="CPI120" s="198"/>
      <c r="CPJ120" s="199"/>
      <c r="CPK120" s="198"/>
      <c r="CPL120" s="199"/>
      <c r="CPM120" s="198"/>
      <c r="CPN120" s="199"/>
      <c r="CPO120" s="198"/>
      <c r="CPP120" s="199"/>
      <c r="CPQ120" s="198"/>
      <c r="CPR120" s="199"/>
      <c r="CPS120" s="198"/>
      <c r="CPT120" s="199"/>
      <c r="CPU120" s="198"/>
      <c r="CPV120" s="199"/>
      <c r="CPW120" s="198"/>
      <c r="CPX120" s="199"/>
      <c r="CPY120" s="198"/>
      <c r="CPZ120" s="199"/>
      <c r="CQA120" s="198"/>
      <c r="CQB120" s="199"/>
      <c r="CQC120" s="198"/>
      <c r="CQD120" s="199"/>
      <c r="CQE120" s="198"/>
      <c r="CQF120" s="199"/>
      <c r="CQG120" s="198"/>
      <c r="CQH120" s="199"/>
      <c r="CQI120" s="198"/>
      <c r="CQJ120" s="199"/>
      <c r="CQK120" s="198"/>
      <c r="CQL120" s="199"/>
      <c r="CQM120" s="198"/>
      <c r="CQN120" s="199"/>
      <c r="CQO120" s="198"/>
      <c r="CQP120" s="199"/>
      <c r="CQQ120" s="198"/>
      <c r="CQR120" s="199"/>
      <c r="CQS120" s="198"/>
      <c r="CQT120" s="199"/>
      <c r="CQU120" s="198"/>
      <c r="CQV120" s="199"/>
      <c r="CQW120" s="198"/>
      <c r="CQX120" s="199"/>
      <c r="CQY120" s="198"/>
      <c r="CQZ120" s="199"/>
      <c r="CRA120" s="198"/>
      <c r="CRB120" s="199"/>
      <c r="CRC120" s="198"/>
      <c r="CRD120" s="199"/>
      <c r="CRE120" s="198"/>
      <c r="CRF120" s="199"/>
      <c r="CRG120" s="198"/>
      <c r="CRH120" s="199"/>
      <c r="CRI120" s="198"/>
      <c r="CRJ120" s="199"/>
      <c r="CRK120" s="198"/>
      <c r="CRL120" s="199"/>
      <c r="CRM120" s="198"/>
      <c r="CRN120" s="199"/>
      <c r="CRO120" s="198"/>
      <c r="CRP120" s="199"/>
      <c r="CRQ120" s="198"/>
      <c r="CRR120" s="199"/>
      <c r="CRS120" s="198"/>
      <c r="CRT120" s="199"/>
      <c r="CRU120" s="198"/>
      <c r="CRV120" s="199"/>
      <c r="CRW120" s="198"/>
      <c r="CRX120" s="199"/>
      <c r="CRY120" s="198"/>
      <c r="CRZ120" s="199"/>
      <c r="CSA120" s="198"/>
      <c r="CSB120" s="199"/>
      <c r="CSC120" s="198"/>
      <c r="CSD120" s="199"/>
      <c r="CSE120" s="198"/>
      <c r="CSF120" s="199"/>
      <c r="CSG120" s="198"/>
      <c r="CSH120" s="199"/>
      <c r="CSI120" s="198"/>
      <c r="CSJ120" s="199"/>
      <c r="CSK120" s="198"/>
      <c r="CSL120" s="199"/>
      <c r="CSM120" s="198"/>
      <c r="CSN120" s="199"/>
      <c r="CSO120" s="198"/>
      <c r="CSP120" s="199"/>
      <c r="CSQ120" s="198"/>
      <c r="CSR120" s="199"/>
      <c r="CSS120" s="198"/>
      <c r="CST120" s="199"/>
      <c r="CSU120" s="198"/>
      <c r="CSV120" s="199"/>
      <c r="CSW120" s="198"/>
      <c r="CSX120" s="199"/>
      <c r="CSY120" s="198"/>
      <c r="CSZ120" s="199"/>
      <c r="CTA120" s="198"/>
      <c r="CTB120" s="199"/>
      <c r="CTC120" s="198"/>
      <c r="CTD120" s="199"/>
      <c r="CTE120" s="198"/>
      <c r="CTF120" s="199"/>
      <c r="CTG120" s="198"/>
      <c r="CTH120" s="199"/>
      <c r="CTI120" s="198"/>
      <c r="CTJ120" s="199"/>
      <c r="CTK120" s="198"/>
      <c r="CTL120" s="199"/>
      <c r="CTM120" s="198"/>
      <c r="CTN120" s="199"/>
      <c r="CTO120" s="198"/>
      <c r="CTP120" s="199"/>
      <c r="CTQ120" s="198"/>
      <c r="CTR120" s="199"/>
      <c r="CTS120" s="198"/>
      <c r="CTT120" s="199"/>
      <c r="CTU120" s="198"/>
      <c r="CTV120" s="199"/>
      <c r="CTW120" s="198"/>
      <c r="CTX120" s="199"/>
      <c r="CTY120" s="198"/>
      <c r="CTZ120" s="199"/>
      <c r="CUA120" s="198"/>
      <c r="CUB120" s="199"/>
      <c r="CUC120" s="198"/>
      <c r="CUD120" s="199"/>
      <c r="CUE120" s="198"/>
      <c r="CUF120" s="199"/>
      <c r="CUG120" s="198"/>
      <c r="CUH120" s="199"/>
      <c r="CUI120" s="198"/>
      <c r="CUJ120" s="199"/>
      <c r="CUK120" s="198"/>
      <c r="CUL120" s="199"/>
      <c r="CUM120" s="198"/>
      <c r="CUN120" s="199"/>
      <c r="CUO120" s="198"/>
      <c r="CUP120" s="199"/>
      <c r="CUQ120" s="198"/>
      <c r="CUR120" s="199"/>
      <c r="CUS120" s="198"/>
      <c r="CUT120" s="199"/>
      <c r="CUU120" s="198"/>
      <c r="CUV120" s="199"/>
      <c r="CUW120" s="198"/>
      <c r="CUX120" s="199"/>
      <c r="CUY120" s="198"/>
      <c r="CUZ120" s="199"/>
      <c r="CVA120" s="198"/>
      <c r="CVB120" s="199"/>
      <c r="CVC120" s="198"/>
      <c r="CVD120" s="199"/>
      <c r="CVE120" s="198"/>
      <c r="CVF120" s="199"/>
      <c r="CVG120" s="198"/>
      <c r="CVH120" s="199"/>
      <c r="CVI120" s="198"/>
      <c r="CVJ120" s="199"/>
      <c r="CVK120" s="198"/>
      <c r="CVL120" s="199"/>
      <c r="CVM120" s="198"/>
      <c r="CVN120" s="199"/>
      <c r="CVO120" s="198"/>
      <c r="CVP120" s="199"/>
      <c r="CVQ120" s="198"/>
      <c r="CVR120" s="199"/>
      <c r="CVS120" s="198"/>
      <c r="CVT120" s="199"/>
      <c r="CVU120" s="198"/>
      <c r="CVV120" s="199"/>
      <c r="CVW120" s="198"/>
      <c r="CVX120" s="199"/>
      <c r="CVY120" s="198"/>
      <c r="CVZ120" s="199"/>
      <c r="CWA120" s="198"/>
      <c r="CWB120" s="199"/>
      <c r="CWC120" s="198"/>
      <c r="CWD120" s="199"/>
      <c r="CWE120" s="198"/>
      <c r="CWF120" s="199"/>
      <c r="CWG120" s="198"/>
      <c r="CWH120" s="199"/>
      <c r="CWI120" s="198"/>
      <c r="CWJ120" s="199"/>
      <c r="CWK120" s="198"/>
      <c r="CWL120" s="199"/>
      <c r="CWM120" s="198"/>
      <c r="CWN120" s="199"/>
      <c r="CWO120" s="198"/>
      <c r="CWP120" s="199"/>
      <c r="CWQ120" s="198"/>
      <c r="CWR120" s="199"/>
      <c r="CWS120" s="198"/>
      <c r="CWT120" s="199"/>
      <c r="CWU120" s="198"/>
      <c r="CWV120" s="199"/>
      <c r="CWW120" s="198"/>
      <c r="CWX120" s="199"/>
      <c r="CWY120" s="198"/>
      <c r="CWZ120" s="199"/>
      <c r="CXA120" s="198"/>
      <c r="CXB120" s="199"/>
      <c r="CXC120" s="198"/>
      <c r="CXD120" s="199"/>
      <c r="CXE120" s="198"/>
      <c r="CXF120" s="199"/>
      <c r="CXG120" s="198"/>
      <c r="CXH120" s="199"/>
      <c r="CXI120" s="198"/>
      <c r="CXJ120" s="199"/>
      <c r="CXK120" s="198"/>
      <c r="CXL120" s="199"/>
      <c r="CXM120" s="198"/>
      <c r="CXN120" s="199"/>
      <c r="CXO120" s="198"/>
      <c r="CXP120" s="199"/>
      <c r="CXQ120" s="198"/>
      <c r="CXR120" s="199"/>
      <c r="CXS120" s="198"/>
      <c r="CXT120" s="199"/>
      <c r="CXU120" s="198"/>
      <c r="CXV120" s="199"/>
      <c r="CXW120" s="198"/>
      <c r="CXX120" s="199"/>
      <c r="CXY120" s="198"/>
      <c r="CXZ120" s="199"/>
      <c r="CYA120" s="198"/>
      <c r="CYB120" s="199"/>
      <c r="CYC120" s="198"/>
      <c r="CYD120" s="199"/>
      <c r="CYE120" s="198"/>
      <c r="CYF120" s="199"/>
      <c r="CYG120" s="198"/>
      <c r="CYH120" s="199"/>
      <c r="CYI120" s="198"/>
      <c r="CYJ120" s="199"/>
      <c r="CYK120" s="198"/>
      <c r="CYL120" s="199"/>
      <c r="CYM120" s="198"/>
      <c r="CYN120" s="199"/>
      <c r="CYO120" s="198"/>
      <c r="CYP120" s="199"/>
      <c r="CYQ120" s="198"/>
      <c r="CYR120" s="199"/>
      <c r="CYS120" s="198"/>
      <c r="CYT120" s="199"/>
      <c r="CYU120" s="198"/>
      <c r="CYV120" s="199"/>
      <c r="CYW120" s="198"/>
      <c r="CYX120" s="199"/>
      <c r="CYY120" s="198"/>
      <c r="CYZ120" s="199"/>
      <c r="CZA120" s="198"/>
      <c r="CZB120" s="199"/>
      <c r="CZC120" s="198"/>
      <c r="CZD120" s="199"/>
      <c r="CZE120" s="198"/>
      <c r="CZF120" s="199"/>
      <c r="CZG120" s="198"/>
      <c r="CZH120" s="199"/>
      <c r="CZI120" s="198"/>
      <c r="CZJ120" s="199"/>
      <c r="CZK120" s="198"/>
      <c r="CZL120" s="199"/>
      <c r="CZM120" s="198"/>
      <c r="CZN120" s="199"/>
      <c r="CZO120" s="198"/>
      <c r="CZP120" s="199"/>
      <c r="CZQ120" s="198"/>
      <c r="CZR120" s="199"/>
      <c r="CZS120" s="198"/>
      <c r="CZT120" s="199"/>
      <c r="CZU120" s="198"/>
      <c r="CZV120" s="199"/>
      <c r="CZW120" s="198"/>
      <c r="CZX120" s="199"/>
      <c r="CZY120" s="198"/>
      <c r="CZZ120" s="199"/>
      <c r="DAA120" s="198"/>
      <c r="DAB120" s="199"/>
      <c r="DAC120" s="198"/>
      <c r="DAD120" s="199"/>
      <c r="DAE120" s="198"/>
      <c r="DAF120" s="199"/>
      <c r="DAG120" s="198"/>
      <c r="DAH120" s="199"/>
      <c r="DAI120" s="198"/>
      <c r="DAJ120" s="199"/>
      <c r="DAK120" s="198"/>
      <c r="DAL120" s="199"/>
      <c r="DAM120" s="198"/>
      <c r="DAN120" s="199"/>
      <c r="DAO120" s="198"/>
      <c r="DAP120" s="199"/>
      <c r="DAQ120" s="198"/>
      <c r="DAR120" s="199"/>
      <c r="DAS120" s="198"/>
      <c r="DAT120" s="199"/>
      <c r="DAU120" s="198"/>
      <c r="DAV120" s="199"/>
      <c r="DAW120" s="198"/>
      <c r="DAX120" s="199"/>
      <c r="DAY120" s="198"/>
      <c r="DAZ120" s="199"/>
      <c r="DBA120" s="198"/>
      <c r="DBB120" s="199"/>
      <c r="DBC120" s="198"/>
      <c r="DBD120" s="199"/>
      <c r="DBE120" s="198"/>
      <c r="DBF120" s="199"/>
      <c r="DBG120" s="198"/>
      <c r="DBH120" s="199"/>
      <c r="DBI120" s="198"/>
      <c r="DBJ120" s="199"/>
      <c r="DBK120" s="198"/>
      <c r="DBL120" s="199"/>
      <c r="DBM120" s="198"/>
      <c r="DBN120" s="199"/>
      <c r="DBO120" s="198"/>
      <c r="DBP120" s="199"/>
      <c r="DBQ120" s="198"/>
      <c r="DBR120" s="199"/>
      <c r="DBS120" s="198"/>
      <c r="DBT120" s="199"/>
      <c r="DBU120" s="198"/>
      <c r="DBV120" s="199"/>
      <c r="DBW120" s="198"/>
      <c r="DBX120" s="199"/>
      <c r="DBY120" s="198"/>
      <c r="DBZ120" s="199"/>
      <c r="DCA120" s="198"/>
      <c r="DCB120" s="199"/>
      <c r="DCC120" s="198"/>
      <c r="DCD120" s="199"/>
      <c r="DCE120" s="198"/>
      <c r="DCF120" s="199"/>
      <c r="DCG120" s="198"/>
      <c r="DCH120" s="199"/>
      <c r="DCI120" s="198"/>
      <c r="DCJ120" s="199"/>
      <c r="DCK120" s="198"/>
      <c r="DCL120" s="199"/>
      <c r="DCM120" s="198"/>
      <c r="DCN120" s="199"/>
      <c r="DCO120" s="198"/>
      <c r="DCP120" s="199"/>
      <c r="DCQ120" s="198"/>
      <c r="DCR120" s="199"/>
      <c r="DCS120" s="198"/>
      <c r="DCT120" s="199"/>
      <c r="DCU120" s="198"/>
      <c r="DCV120" s="199"/>
      <c r="DCW120" s="198"/>
      <c r="DCX120" s="199"/>
      <c r="DCY120" s="198"/>
      <c r="DCZ120" s="199"/>
      <c r="DDA120" s="198"/>
      <c r="DDB120" s="199"/>
      <c r="DDC120" s="198"/>
      <c r="DDD120" s="199"/>
      <c r="DDE120" s="198"/>
      <c r="DDF120" s="199"/>
      <c r="DDG120" s="198"/>
      <c r="DDH120" s="199"/>
      <c r="DDI120" s="198"/>
      <c r="DDJ120" s="199"/>
      <c r="DDK120" s="198"/>
      <c r="DDL120" s="199"/>
      <c r="DDM120" s="198"/>
      <c r="DDN120" s="199"/>
      <c r="DDO120" s="198"/>
      <c r="DDP120" s="199"/>
      <c r="DDQ120" s="198"/>
      <c r="DDR120" s="199"/>
      <c r="DDS120" s="198"/>
      <c r="DDT120" s="199"/>
      <c r="DDU120" s="198"/>
      <c r="DDV120" s="199"/>
      <c r="DDW120" s="198"/>
      <c r="DDX120" s="199"/>
      <c r="DDY120" s="198"/>
      <c r="DDZ120" s="199"/>
      <c r="DEA120" s="198"/>
      <c r="DEB120" s="199"/>
      <c r="DEC120" s="198"/>
      <c r="DED120" s="199"/>
      <c r="DEE120" s="198"/>
      <c r="DEF120" s="199"/>
      <c r="DEG120" s="198"/>
      <c r="DEH120" s="199"/>
      <c r="DEI120" s="198"/>
      <c r="DEJ120" s="199"/>
      <c r="DEK120" s="198"/>
      <c r="DEL120" s="199"/>
      <c r="DEM120" s="198"/>
      <c r="DEN120" s="199"/>
      <c r="DEO120" s="198"/>
      <c r="DEP120" s="199"/>
      <c r="DEQ120" s="198"/>
      <c r="DER120" s="199"/>
      <c r="DES120" s="198"/>
      <c r="DET120" s="199"/>
      <c r="DEU120" s="198"/>
      <c r="DEV120" s="199"/>
      <c r="DEW120" s="198"/>
      <c r="DEX120" s="199"/>
      <c r="DEY120" s="198"/>
      <c r="DEZ120" s="199"/>
      <c r="DFA120" s="198"/>
      <c r="DFB120" s="199"/>
      <c r="DFC120" s="198"/>
      <c r="DFD120" s="199"/>
      <c r="DFE120" s="198"/>
      <c r="DFF120" s="199"/>
      <c r="DFG120" s="198"/>
      <c r="DFH120" s="199"/>
      <c r="DFI120" s="198"/>
      <c r="DFJ120" s="199"/>
      <c r="DFK120" s="198"/>
      <c r="DFL120" s="199"/>
      <c r="DFM120" s="198"/>
      <c r="DFN120" s="199"/>
      <c r="DFO120" s="198"/>
      <c r="DFP120" s="199"/>
      <c r="DFQ120" s="198"/>
      <c r="DFR120" s="199"/>
      <c r="DFS120" s="198"/>
      <c r="DFT120" s="199"/>
      <c r="DFU120" s="198"/>
      <c r="DFV120" s="199"/>
      <c r="DFW120" s="198"/>
      <c r="DFX120" s="199"/>
      <c r="DFY120" s="198"/>
      <c r="DFZ120" s="199"/>
      <c r="DGA120" s="198"/>
      <c r="DGB120" s="199"/>
      <c r="DGC120" s="198"/>
      <c r="DGD120" s="199"/>
      <c r="DGE120" s="198"/>
      <c r="DGF120" s="199"/>
      <c r="DGG120" s="198"/>
      <c r="DGH120" s="199"/>
      <c r="DGI120" s="198"/>
      <c r="DGJ120" s="199"/>
      <c r="DGK120" s="198"/>
      <c r="DGL120" s="199"/>
      <c r="DGM120" s="198"/>
      <c r="DGN120" s="199"/>
      <c r="DGO120" s="198"/>
      <c r="DGP120" s="199"/>
      <c r="DGQ120" s="198"/>
      <c r="DGR120" s="199"/>
      <c r="DGS120" s="198"/>
      <c r="DGT120" s="199"/>
      <c r="DGU120" s="198"/>
      <c r="DGV120" s="199"/>
      <c r="DGW120" s="198"/>
      <c r="DGX120" s="199"/>
      <c r="DGY120" s="198"/>
      <c r="DGZ120" s="199"/>
      <c r="DHA120" s="198"/>
      <c r="DHB120" s="199"/>
      <c r="DHC120" s="198"/>
      <c r="DHD120" s="199"/>
      <c r="DHE120" s="198"/>
      <c r="DHF120" s="199"/>
      <c r="DHG120" s="198"/>
      <c r="DHH120" s="199"/>
      <c r="DHI120" s="198"/>
      <c r="DHJ120" s="199"/>
      <c r="DHK120" s="198"/>
      <c r="DHL120" s="199"/>
      <c r="DHM120" s="198"/>
      <c r="DHN120" s="199"/>
      <c r="DHO120" s="198"/>
      <c r="DHP120" s="199"/>
      <c r="DHQ120" s="198"/>
      <c r="DHR120" s="199"/>
      <c r="DHS120" s="198"/>
      <c r="DHT120" s="199"/>
      <c r="DHU120" s="198"/>
      <c r="DHV120" s="199"/>
      <c r="DHW120" s="198"/>
      <c r="DHX120" s="199"/>
      <c r="DHY120" s="198"/>
      <c r="DHZ120" s="199"/>
      <c r="DIA120" s="198"/>
      <c r="DIB120" s="199"/>
      <c r="DIC120" s="198"/>
      <c r="DID120" s="199"/>
      <c r="DIE120" s="198"/>
      <c r="DIF120" s="199"/>
      <c r="DIG120" s="198"/>
      <c r="DIH120" s="199"/>
      <c r="DII120" s="198"/>
      <c r="DIJ120" s="199"/>
      <c r="DIK120" s="198"/>
      <c r="DIL120" s="199"/>
      <c r="DIM120" s="198"/>
      <c r="DIN120" s="199"/>
      <c r="DIO120" s="198"/>
      <c r="DIP120" s="199"/>
      <c r="DIQ120" s="198"/>
      <c r="DIR120" s="199"/>
      <c r="DIS120" s="198"/>
      <c r="DIT120" s="199"/>
      <c r="DIU120" s="198"/>
      <c r="DIV120" s="199"/>
      <c r="DIW120" s="198"/>
      <c r="DIX120" s="199"/>
      <c r="DIY120" s="198"/>
      <c r="DIZ120" s="199"/>
      <c r="DJA120" s="198"/>
      <c r="DJB120" s="199"/>
      <c r="DJC120" s="198"/>
      <c r="DJD120" s="199"/>
      <c r="DJE120" s="198"/>
      <c r="DJF120" s="199"/>
      <c r="DJG120" s="198"/>
      <c r="DJH120" s="199"/>
      <c r="DJI120" s="198"/>
      <c r="DJJ120" s="199"/>
      <c r="DJK120" s="198"/>
      <c r="DJL120" s="199"/>
      <c r="DJM120" s="198"/>
      <c r="DJN120" s="199"/>
      <c r="DJO120" s="198"/>
      <c r="DJP120" s="199"/>
      <c r="DJQ120" s="198"/>
      <c r="DJR120" s="199"/>
      <c r="DJS120" s="198"/>
      <c r="DJT120" s="199"/>
      <c r="DJU120" s="198"/>
      <c r="DJV120" s="199"/>
      <c r="DJW120" s="198"/>
      <c r="DJX120" s="199"/>
      <c r="DJY120" s="198"/>
      <c r="DJZ120" s="199"/>
      <c r="DKA120" s="198"/>
      <c r="DKB120" s="199"/>
      <c r="DKC120" s="198"/>
      <c r="DKD120" s="199"/>
      <c r="DKE120" s="198"/>
      <c r="DKF120" s="199"/>
      <c r="DKG120" s="198"/>
      <c r="DKH120" s="199"/>
      <c r="DKI120" s="198"/>
      <c r="DKJ120" s="199"/>
      <c r="DKK120" s="198"/>
      <c r="DKL120" s="199"/>
      <c r="DKM120" s="198"/>
      <c r="DKN120" s="199"/>
      <c r="DKO120" s="198"/>
      <c r="DKP120" s="199"/>
      <c r="DKQ120" s="198"/>
      <c r="DKR120" s="199"/>
      <c r="DKS120" s="198"/>
      <c r="DKT120" s="199"/>
      <c r="DKU120" s="198"/>
      <c r="DKV120" s="199"/>
      <c r="DKW120" s="198"/>
      <c r="DKX120" s="199"/>
      <c r="DKY120" s="198"/>
      <c r="DKZ120" s="199"/>
      <c r="DLA120" s="198"/>
      <c r="DLB120" s="199"/>
      <c r="DLC120" s="198"/>
      <c r="DLD120" s="199"/>
      <c r="DLE120" s="198"/>
      <c r="DLF120" s="199"/>
      <c r="DLG120" s="198"/>
      <c r="DLH120" s="199"/>
      <c r="DLI120" s="198"/>
      <c r="DLJ120" s="199"/>
      <c r="DLK120" s="198"/>
      <c r="DLL120" s="199"/>
      <c r="DLM120" s="198"/>
      <c r="DLN120" s="199"/>
      <c r="DLO120" s="198"/>
      <c r="DLP120" s="199"/>
      <c r="DLQ120" s="198"/>
      <c r="DLR120" s="199"/>
      <c r="DLS120" s="198"/>
      <c r="DLT120" s="199"/>
      <c r="DLU120" s="198"/>
      <c r="DLV120" s="199"/>
      <c r="DLW120" s="198"/>
      <c r="DLX120" s="199"/>
      <c r="DLY120" s="198"/>
      <c r="DLZ120" s="199"/>
      <c r="DMA120" s="198"/>
      <c r="DMB120" s="199"/>
      <c r="DMC120" s="198"/>
      <c r="DMD120" s="199"/>
      <c r="DME120" s="198"/>
      <c r="DMF120" s="199"/>
      <c r="DMG120" s="198"/>
      <c r="DMH120" s="199"/>
      <c r="DMI120" s="198"/>
      <c r="DMJ120" s="199"/>
      <c r="DMK120" s="198"/>
      <c r="DML120" s="199"/>
      <c r="DMM120" s="198"/>
      <c r="DMN120" s="199"/>
      <c r="DMO120" s="198"/>
      <c r="DMP120" s="199"/>
      <c r="DMQ120" s="198"/>
      <c r="DMR120" s="199"/>
      <c r="DMS120" s="198"/>
      <c r="DMT120" s="199"/>
      <c r="DMU120" s="198"/>
      <c r="DMV120" s="199"/>
      <c r="DMW120" s="198"/>
      <c r="DMX120" s="199"/>
      <c r="DMY120" s="198"/>
      <c r="DMZ120" s="199"/>
      <c r="DNA120" s="198"/>
      <c r="DNB120" s="199"/>
      <c r="DNC120" s="198"/>
      <c r="DND120" s="199"/>
      <c r="DNE120" s="198"/>
      <c r="DNF120" s="199"/>
      <c r="DNG120" s="198"/>
      <c r="DNH120" s="199"/>
      <c r="DNI120" s="198"/>
      <c r="DNJ120" s="199"/>
      <c r="DNK120" s="198"/>
      <c r="DNL120" s="199"/>
      <c r="DNM120" s="198"/>
      <c r="DNN120" s="199"/>
      <c r="DNO120" s="198"/>
      <c r="DNP120" s="199"/>
      <c r="DNQ120" s="198"/>
      <c r="DNR120" s="199"/>
      <c r="DNS120" s="198"/>
      <c r="DNT120" s="199"/>
      <c r="DNU120" s="198"/>
      <c r="DNV120" s="199"/>
      <c r="DNW120" s="198"/>
      <c r="DNX120" s="199"/>
      <c r="DNY120" s="198"/>
      <c r="DNZ120" s="199"/>
      <c r="DOA120" s="198"/>
      <c r="DOB120" s="199"/>
      <c r="DOC120" s="198"/>
      <c r="DOD120" s="199"/>
      <c r="DOE120" s="198"/>
      <c r="DOF120" s="199"/>
      <c r="DOG120" s="198"/>
      <c r="DOH120" s="199"/>
      <c r="DOI120" s="198"/>
      <c r="DOJ120" s="199"/>
      <c r="DOK120" s="198"/>
      <c r="DOL120" s="199"/>
      <c r="DOM120" s="198"/>
      <c r="DON120" s="199"/>
      <c r="DOO120" s="198"/>
      <c r="DOP120" s="199"/>
      <c r="DOQ120" s="198"/>
      <c r="DOR120" s="199"/>
      <c r="DOS120" s="198"/>
      <c r="DOT120" s="199"/>
      <c r="DOU120" s="198"/>
      <c r="DOV120" s="199"/>
      <c r="DOW120" s="198"/>
      <c r="DOX120" s="199"/>
      <c r="DOY120" s="198"/>
      <c r="DOZ120" s="199"/>
      <c r="DPA120" s="198"/>
      <c r="DPB120" s="199"/>
      <c r="DPC120" s="198"/>
      <c r="DPD120" s="199"/>
      <c r="DPE120" s="198"/>
      <c r="DPF120" s="199"/>
      <c r="DPG120" s="198"/>
      <c r="DPH120" s="199"/>
      <c r="DPI120" s="198"/>
      <c r="DPJ120" s="199"/>
      <c r="DPK120" s="198"/>
      <c r="DPL120" s="199"/>
      <c r="DPM120" s="198"/>
      <c r="DPN120" s="199"/>
      <c r="DPO120" s="198"/>
      <c r="DPP120" s="199"/>
      <c r="DPQ120" s="198"/>
      <c r="DPR120" s="199"/>
      <c r="DPS120" s="198"/>
      <c r="DPT120" s="199"/>
      <c r="DPU120" s="198"/>
      <c r="DPV120" s="199"/>
      <c r="DPW120" s="198"/>
      <c r="DPX120" s="199"/>
      <c r="DPY120" s="198"/>
      <c r="DPZ120" s="199"/>
      <c r="DQA120" s="198"/>
      <c r="DQB120" s="199"/>
      <c r="DQC120" s="198"/>
      <c r="DQD120" s="199"/>
      <c r="DQE120" s="198"/>
      <c r="DQF120" s="199"/>
      <c r="DQG120" s="198"/>
      <c r="DQH120" s="199"/>
      <c r="DQI120" s="198"/>
      <c r="DQJ120" s="199"/>
      <c r="DQK120" s="198"/>
      <c r="DQL120" s="199"/>
      <c r="DQM120" s="198"/>
      <c r="DQN120" s="199"/>
      <c r="DQO120" s="198"/>
      <c r="DQP120" s="199"/>
      <c r="DQQ120" s="198"/>
      <c r="DQR120" s="199"/>
      <c r="DQS120" s="198"/>
      <c r="DQT120" s="199"/>
      <c r="DQU120" s="198"/>
      <c r="DQV120" s="199"/>
      <c r="DQW120" s="198"/>
      <c r="DQX120" s="199"/>
      <c r="DQY120" s="198"/>
      <c r="DQZ120" s="199"/>
      <c r="DRA120" s="198"/>
      <c r="DRB120" s="199"/>
      <c r="DRC120" s="198"/>
      <c r="DRD120" s="199"/>
      <c r="DRE120" s="198"/>
      <c r="DRF120" s="199"/>
      <c r="DRG120" s="198"/>
      <c r="DRH120" s="199"/>
      <c r="DRI120" s="198"/>
      <c r="DRJ120" s="199"/>
      <c r="DRK120" s="198"/>
      <c r="DRL120" s="199"/>
      <c r="DRM120" s="198"/>
      <c r="DRN120" s="199"/>
      <c r="DRO120" s="198"/>
      <c r="DRP120" s="199"/>
      <c r="DRQ120" s="198"/>
      <c r="DRR120" s="199"/>
      <c r="DRS120" s="198"/>
      <c r="DRT120" s="199"/>
      <c r="DRU120" s="198"/>
      <c r="DRV120" s="199"/>
      <c r="DRW120" s="198"/>
      <c r="DRX120" s="199"/>
      <c r="DRY120" s="198"/>
      <c r="DRZ120" s="199"/>
      <c r="DSA120" s="198"/>
      <c r="DSB120" s="199"/>
      <c r="DSC120" s="198"/>
      <c r="DSD120" s="199"/>
      <c r="DSE120" s="198"/>
      <c r="DSF120" s="199"/>
      <c r="DSG120" s="198"/>
      <c r="DSH120" s="199"/>
      <c r="DSI120" s="198"/>
      <c r="DSJ120" s="199"/>
      <c r="DSK120" s="198"/>
      <c r="DSL120" s="199"/>
      <c r="DSM120" s="198"/>
      <c r="DSN120" s="199"/>
      <c r="DSO120" s="198"/>
      <c r="DSP120" s="199"/>
      <c r="DSQ120" s="198"/>
      <c r="DSR120" s="199"/>
      <c r="DSS120" s="198"/>
      <c r="DST120" s="199"/>
      <c r="DSU120" s="198"/>
      <c r="DSV120" s="199"/>
      <c r="DSW120" s="198"/>
      <c r="DSX120" s="199"/>
      <c r="DSY120" s="198"/>
      <c r="DSZ120" s="199"/>
      <c r="DTA120" s="198"/>
      <c r="DTB120" s="199"/>
      <c r="DTC120" s="198"/>
      <c r="DTD120" s="199"/>
      <c r="DTE120" s="198"/>
      <c r="DTF120" s="199"/>
      <c r="DTG120" s="198"/>
      <c r="DTH120" s="199"/>
      <c r="DTI120" s="198"/>
      <c r="DTJ120" s="199"/>
      <c r="DTK120" s="198"/>
      <c r="DTL120" s="199"/>
      <c r="DTM120" s="198"/>
      <c r="DTN120" s="199"/>
      <c r="DTO120" s="198"/>
      <c r="DTP120" s="199"/>
      <c r="DTQ120" s="198"/>
      <c r="DTR120" s="199"/>
      <c r="DTS120" s="198"/>
      <c r="DTT120" s="199"/>
      <c r="DTU120" s="198"/>
      <c r="DTV120" s="199"/>
      <c r="DTW120" s="198"/>
      <c r="DTX120" s="199"/>
      <c r="DTY120" s="198"/>
      <c r="DTZ120" s="199"/>
      <c r="DUA120" s="198"/>
      <c r="DUB120" s="199"/>
      <c r="DUC120" s="198"/>
      <c r="DUD120" s="199"/>
      <c r="DUE120" s="198"/>
      <c r="DUF120" s="199"/>
      <c r="DUG120" s="198"/>
      <c r="DUH120" s="199"/>
      <c r="DUI120" s="198"/>
      <c r="DUJ120" s="199"/>
      <c r="DUK120" s="198"/>
      <c r="DUL120" s="199"/>
      <c r="DUM120" s="198"/>
      <c r="DUN120" s="199"/>
      <c r="DUO120" s="198"/>
      <c r="DUP120" s="199"/>
      <c r="DUQ120" s="198"/>
      <c r="DUR120" s="199"/>
      <c r="DUS120" s="198"/>
      <c r="DUT120" s="199"/>
      <c r="DUU120" s="198"/>
      <c r="DUV120" s="199"/>
      <c r="DUW120" s="198"/>
      <c r="DUX120" s="199"/>
      <c r="DUY120" s="198"/>
      <c r="DUZ120" s="199"/>
      <c r="DVA120" s="198"/>
      <c r="DVB120" s="199"/>
      <c r="DVC120" s="198"/>
      <c r="DVD120" s="199"/>
      <c r="DVE120" s="198"/>
      <c r="DVF120" s="199"/>
      <c r="DVG120" s="198"/>
      <c r="DVH120" s="199"/>
      <c r="DVI120" s="198"/>
      <c r="DVJ120" s="199"/>
      <c r="DVK120" s="198"/>
      <c r="DVL120" s="199"/>
      <c r="DVM120" s="198"/>
      <c r="DVN120" s="199"/>
      <c r="DVO120" s="198"/>
      <c r="DVP120" s="199"/>
      <c r="DVQ120" s="198"/>
      <c r="DVR120" s="199"/>
      <c r="DVS120" s="198"/>
      <c r="DVT120" s="199"/>
      <c r="DVU120" s="198"/>
      <c r="DVV120" s="199"/>
      <c r="DVW120" s="198"/>
      <c r="DVX120" s="199"/>
      <c r="DVY120" s="198"/>
      <c r="DVZ120" s="199"/>
      <c r="DWA120" s="198"/>
      <c r="DWB120" s="199"/>
      <c r="DWC120" s="198"/>
      <c r="DWD120" s="199"/>
      <c r="DWE120" s="198"/>
      <c r="DWF120" s="199"/>
      <c r="DWG120" s="198"/>
      <c r="DWH120" s="199"/>
      <c r="DWI120" s="198"/>
      <c r="DWJ120" s="199"/>
      <c r="DWK120" s="198"/>
      <c r="DWL120" s="199"/>
      <c r="DWM120" s="198"/>
      <c r="DWN120" s="199"/>
      <c r="DWO120" s="198"/>
      <c r="DWP120" s="199"/>
      <c r="DWQ120" s="198"/>
      <c r="DWR120" s="199"/>
      <c r="DWS120" s="198"/>
      <c r="DWT120" s="199"/>
      <c r="DWU120" s="198"/>
      <c r="DWV120" s="199"/>
      <c r="DWW120" s="198"/>
      <c r="DWX120" s="199"/>
      <c r="DWY120" s="198"/>
      <c r="DWZ120" s="199"/>
      <c r="DXA120" s="198"/>
      <c r="DXB120" s="199"/>
      <c r="DXC120" s="198"/>
      <c r="DXD120" s="199"/>
      <c r="DXE120" s="198"/>
      <c r="DXF120" s="199"/>
      <c r="DXG120" s="198"/>
      <c r="DXH120" s="199"/>
      <c r="DXI120" s="198"/>
      <c r="DXJ120" s="199"/>
      <c r="DXK120" s="198"/>
      <c r="DXL120" s="199"/>
      <c r="DXM120" s="198"/>
      <c r="DXN120" s="199"/>
      <c r="DXO120" s="198"/>
      <c r="DXP120" s="199"/>
      <c r="DXQ120" s="198"/>
      <c r="DXR120" s="199"/>
      <c r="DXS120" s="198"/>
      <c r="DXT120" s="199"/>
      <c r="DXU120" s="198"/>
      <c r="DXV120" s="199"/>
      <c r="DXW120" s="198"/>
      <c r="DXX120" s="199"/>
      <c r="DXY120" s="198"/>
      <c r="DXZ120" s="199"/>
      <c r="DYA120" s="198"/>
      <c r="DYB120" s="199"/>
      <c r="DYC120" s="198"/>
      <c r="DYD120" s="199"/>
      <c r="DYE120" s="198"/>
      <c r="DYF120" s="199"/>
      <c r="DYG120" s="198"/>
      <c r="DYH120" s="199"/>
      <c r="DYI120" s="198"/>
      <c r="DYJ120" s="199"/>
      <c r="DYK120" s="198"/>
      <c r="DYL120" s="199"/>
      <c r="DYM120" s="198"/>
      <c r="DYN120" s="199"/>
      <c r="DYO120" s="198"/>
      <c r="DYP120" s="199"/>
      <c r="DYQ120" s="198"/>
      <c r="DYR120" s="199"/>
      <c r="DYS120" s="198"/>
      <c r="DYT120" s="199"/>
      <c r="DYU120" s="198"/>
      <c r="DYV120" s="199"/>
      <c r="DYW120" s="198"/>
      <c r="DYX120" s="199"/>
      <c r="DYY120" s="198"/>
      <c r="DYZ120" s="199"/>
      <c r="DZA120" s="198"/>
      <c r="DZB120" s="199"/>
      <c r="DZC120" s="198"/>
      <c r="DZD120" s="199"/>
      <c r="DZE120" s="198"/>
      <c r="DZF120" s="199"/>
      <c r="DZG120" s="198"/>
      <c r="DZH120" s="199"/>
      <c r="DZI120" s="198"/>
      <c r="DZJ120" s="199"/>
      <c r="DZK120" s="198"/>
      <c r="DZL120" s="199"/>
      <c r="DZM120" s="198"/>
      <c r="DZN120" s="199"/>
      <c r="DZO120" s="198"/>
      <c r="DZP120" s="199"/>
      <c r="DZQ120" s="198"/>
      <c r="DZR120" s="199"/>
      <c r="DZS120" s="198"/>
      <c r="DZT120" s="199"/>
      <c r="DZU120" s="198"/>
      <c r="DZV120" s="199"/>
      <c r="DZW120" s="198"/>
      <c r="DZX120" s="199"/>
      <c r="DZY120" s="198"/>
      <c r="DZZ120" s="199"/>
      <c r="EAA120" s="198"/>
      <c r="EAB120" s="199"/>
      <c r="EAC120" s="198"/>
      <c r="EAD120" s="199"/>
      <c r="EAE120" s="198"/>
      <c r="EAF120" s="199"/>
      <c r="EAG120" s="198"/>
      <c r="EAH120" s="199"/>
      <c r="EAI120" s="198"/>
      <c r="EAJ120" s="199"/>
      <c r="EAK120" s="198"/>
      <c r="EAL120" s="199"/>
      <c r="EAM120" s="198"/>
      <c r="EAN120" s="199"/>
      <c r="EAO120" s="198"/>
      <c r="EAP120" s="199"/>
      <c r="EAQ120" s="198"/>
      <c r="EAR120" s="199"/>
      <c r="EAS120" s="198"/>
      <c r="EAT120" s="199"/>
      <c r="EAU120" s="198"/>
      <c r="EAV120" s="199"/>
      <c r="EAW120" s="198"/>
      <c r="EAX120" s="199"/>
      <c r="EAY120" s="198"/>
      <c r="EAZ120" s="199"/>
      <c r="EBA120" s="198"/>
      <c r="EBB120" s="199"/>
      <c r="EBC120" s="198"/>
      <c r="EBD120" s="199"/>
      <c r="EBE120" s="198"/>
      <c r="EBF120" s="199"/>
      <c r="EBG120" s="198"/>
      <c r="EBH120" s="199"/>
      <c r="EBI120" s="198"/>
      <c r="EBJ120" s="199"/>
      <c r="EBK120" s="198"/>
      <c r="EBL120" s="199"/>
      <c r="EBM120" s="198"/>
      <c r="EBN120" s="199"/>
      <c r="EBO120" s="198"/>
      <c r="EBP120" s="199"/>
      <c r="EBQ120" s="198"/>
      <c r="EBR120" s="199"/>
      <c r="EBS120" s="198"/>
      <c r="EBT120" s="199"/>
      <c r="EBU120" s="198"/>
      <c r="EBV120" s="199"/>
      <c r="EBW120" s="198"/>
      <c r="EBX120" s="199"/>
      <c r="EBY120" s="198"/>
      <c r="EBZ120" s="199"/>
      <c r="ECA120" s="198"/>
      <c r="ECB120" s="199"/>
      <c r="ECC120" s="198"/>
      <c r="ECD120" s="199"/>
      <c r="ECE120" s="198"/>
      <c r="ECF120" s="199"/>
      <c r="ECG120" s="198"/>
      <c r="ECH120" s="199"/>
      <c r="ECI120" s="198"/>
      <c r="ECJ120" s="199"/>
      <c r="ECK120" s="198"/>
      <c r="ECL120" s="199"/>
      <c r="ECM120" s="198"/>
      <c r="ECN120" s="199"/>
      <c r="ECO120" s="198"/>
      <c r="ECP120" s="199"/>
      <c r="ECQ120" s="198"/>
      <c r="ECR120" s="199"/>
      <c r="ECS120" s="198"/>
      <c r="ECT120" s="199"/>
      <c r="ECU120" s="198"/>
      <c r="ECV120" s="199"/>
      <c r="ECW120" s="198"/>
      <c r="ECX120" s="199"/>
      <c r="ECY120" s="198"/>
      <c r="ECZ120" s="199"/>
      <c r="EDA120" s="198"/>
      <c r="EDB120" s="199"/>
      <c r="EDC120" s="198"/>
      <c r="EDD120" s="199"/>
      <c r="EDE120" s="198"/>
      <c r="EDF120" s="199"/>
      <c r="EDG120" s="198"/>
      <c r="EDH120" s="199"/>
      <c r="EDI120" s="198"/>
      <c r="EDJ120" s="199"/>
      <c r="EDK120" s="198"/>
      <c r="EDL120" s="199"/>
      <c r="EDM120" s="198"/>
      <c r="EDN120" s="199"/>
      <c r="EDO120" s="198"/>
      <c r="EDP120" s="199"/>
      <c r="EDQ120" s="198"/>
      <c r="EDR120" s="199"/>
      <c r="EDS120" s="198"/>
      <c r="EDT120" s="199"/>
      <c r="EDU120" s="198"/>
      <c r="EDV120" s="199"/>
      <c r="EDW120" s="198"/>
      <c r="EDX120" s="199"/>
      <c r="EDY120" s="198"/>
      <c r="EDZ120" s="199"/>
      <c r="EEA120" s="198"/>
      <c r="EEB120" s="199"/>
      <c r="EEC120" s="198"/>
      <c r="EED120" s="199"/>
      <c r="EEE120" s="198"/>
      <c r="EEF120" s="199"/>
      <c r="EEG120" s="198"/>
      <c r="EEH120" s="199"/>
      <c r="EEI120" s="198"/>
      <c r="EEJ120" s="199"/>
      <c r="EEK120" s="198"/>
      <c r="EEL120" s="199"/>
      <c r="EEM120" s="198"/>
      <c r="EEN120" s="199"/>
      <c r="EEO120" s="198"/>
      <c r="EEP120" s="199"/>
      <c r="EEQ120" s="198"/>
      <c r="EER120" s="199"/>
      <c r="EES120" s="198"/>
      <c r="EET120" s="199"/>
      <c r="EEU120" s="198"/>
      <c r="EEV120" s="199"/>
      <c r="EEW120" s="198"/>
      <c r="EEX120" s="199"/>
      <c r="EEY120" s="198"/>
      <c r="EEZ120" s="199"/>
      <c r="EFA120" s="198"/>
      <c r="EFB120" s="199"/>
      <c r="EFC120" s="198"/>
      <c r="EFD120" s="199"/>
      <c r="EFE120" s="198"/>
      <c r="EFF120" s="199"/>
      <c r="EFG120" s="198"/>
      <c r="EFH120" s="199"/>
      <c r="EFI120" s="198"/>
      <c r="EFJ120" s="199"/>
      <c r="EFK120" s="198"/>
      <c r="EFL120" s="199"/>
      <c r="EFM120" s="198"/>
      <c r="EFN120" s="199"/>
      <c r="EFO120" s="198"/>
      <c r="EFP120" s="199"/>
      <c r="EFQ120" s="198"/>
      <c r="EFR120" s="199"/>
      <c r="EFS120" s="198"/>
      <c r="EFT120" s="199"/>
      <c r="EFU120" s="198"/>
      <c r="EFV120" s="199"/>
      <c r="EFW120" s="198"/>
      <c r="EFX120" s="199"/>
      <c r="EFY120" s="198"/>
      <c r="EFZ120" s="199"/>
      <c r="EGA120" s="198"/>
      <c r="EGB120" s="199"/>
      <c r="EGC120" s="198"/>
      <c r="EGD120" s="199"/>
      <c r="EGE120" s="198"/>
      <c r="EGF120" s="199"/>
      <c r="EGG120" s="198"/>
      <c r="EGH120" s="199"/>
      <c r="EGI120" s="198"/>
      <c r="EGJ120" s="199"/>
      <c r="EGK120" s="198"/>
      <c r="EGL120" s="199"/>
      <c r="EGM120" s="198"/>
      <c r="EGN120" s="199"/>
      <c r="EGO120" s="198"/>
      <c r="EGP120" s="199"/>
      <c r="EGQ120" s="198"/>
      <c r="EGR120" s="199"/>
      <c r="EGS120" s="198"/>
      <c r="EGT120" s="199"/>
      <c r="EGU120" s="198"/>
      <c r="EGV120" s="199"/>
      <c r="EGW120" s="198"/>
      <c r="EGX120" s="199"/>
      <c r="EGY120" s="198"/>
      <c r="EGZ120" s="199"/>
      <c r="EHA120" s="198"/>
      <c r="EHB120" s="199"/>
      <c r="EHC120" s="198"/>
      <c r="EHD120" s="199"/>
      <c r="EHE120" s="198"/>
      <c r="EHF120" s="199"/>
      <c r="EHG120" s="198"/>
      <c r="EHH120" s="199"/>
      <c r="EHI120" s="198"/>
      <c r="EHJ120" s="199"/>
      <c r="EHK120" s="198"/>
      <c r="EHL120" s="199"/>
      <c r="EHM120" s="198"/>
      <c r="EHN120" s="199"/>
      <c r="EHO120" s="198"/>
      <c r="EHP120" s="199"/>
      <c r="EHQ120" s="198"/>
      <c r="EHR120" s="199"/>
      <c r="EHS120" s="198"/>
      <c r="EHT120" s="199"/>
      <c r="EHU120" s="198"/>
      <c r="EHV120" s="199"/>
      <c r="EHW120" s="198"/>
      <c r="EHX120" s="199"/>
      <c r="EHY120" s="198"/>
      <c r="EHZ120" s="199"/>
      <c r="EIA120" s="198"/>
      <c r="EIB120" s="199"/>
      <c r="EIC120" s="198"/>
      <c r="EID120" s="199"/>
      <c r="EIE120" s="198"/>
      <c r="EIF120" s="199"/>
      <c r="EIG120" s="198"/>
      <c r="EIH120" s="199"/>
      <c r="EII120" s="198"/>
      <c r="EIJ120" s="199"/>
      <c r="EIK120" s="198"/>
      <c r="EIL120" s="199"/>
      <c r="EIM120" s="198"/>
      <c r="EIN120" s="199"/>
      <c r="EIO120" s="198"/>
      <c r="EIP120" s="199"/>
      <c r="EIQ120" s="198"/>
      <c r="EIR120" s="199"/>
      <c r="EIS120" s="198"/>
      <c r="EIT120" s="199"/>
      <c r="EIU120" s="198"/>
      <c r="EIV120" s="199"/>
      <c r="EIW120" s="198"/>
      <c r="EIX120" s="199"/>
      <c r="EIY120" s="198"/>
      <c r="EIZ120" s="199"/>
      <c r="EJA120" s="198"/>
      <c r="EJB120" s="199"/>
      <c r="EJC120" s="198"/>
      <c r="EJD120" s="199"/>
      <c r="EJE120" s="198"/>
      <c r="EJF120" s="199"/>
      <c r="EJG120" s="198"/>
      <c r="EJH120" s="199"/>
      <c r="EJI120" s="198"/>
      <c r="EJJ120" s="199"/>
      <c r="EJK120" s="198"/>
      <c r="EJL120" s="199"/>
      <c r="EJM120" s="198"/>
      <c r="EJN120" s="199"/>
      <c r="EJO120" s="198"/>
      <c r="EJP120" s="199"/>
      <c r="EJQ120" s="198"/>
      <c r="EJR120" s="199"/>
      <c r="EJS120" s="198"/>
      <c r="EJT120" s="199"/>
      <c r="EJU120" s="198"/>
      <c r="EJV120" s="199"/>
      <c r="EJW120" s="198"/>
      <c r="EJX120" s="199"/>
      <c r="EJY120" s="198"/>
      <c r="EJZ120" s="199"/>
      <c r="EKA120" s="198"/>
      <c r="EKB120" s="199"/>
      <c r="EKC120" s="198"/>
      <c r="EKD120" s="199"/>
      <c r="EKE120" s="198"/>
      <c r="EKF120" s="199"/>
      <c r="EKG120" s="198"/>
      <c r="EKH120" s="199"/>
      <c r="EKI120" s="198"/>
      <c r="EKJ120" s="199"/>
      <c r="EKK120" s="198"/>
      <c r="EKL120" s="199"/>
      <c r="EKM120" s="198"/>
      <c r="EKN120" s="199"/>
      <c r="EKO120" s="198"/>
      <c r="EKP120" s="199"/>
      <c r="EKQ120" s="198"/>
      <c r="EKR120" s="199"/>
      <c r="EKS120" s="198"/>
      <c r="EKT120" s="199"/>
      <c r="EKU120" s="198"/>
      <c r="EKV120" s="199"/>
      <c r="EKW120" s="198"/>
      <c r="EKX120" s="199"/>
      <c r="EKY120" s="198"/>
      <c r="EKZ120" s="199"/>
      <c r="ELA120" s="198"/>
      <c r="ELB120" s="199"/>
      <c r="ELC120" s="198"/>
      <c r="ELD120" s="199"/>
      <c r="ELE120" s="198"/>
      <c r="ELF120" s="199"/>
      <c r="ELG120" s="198"/>
      <c r="ELH120" s="199"/>
      <c r="ELI120" s="198"/>
      <c r="ELJ120" s="199"/>
      <c r="ELK120" s="198"/>
      <c r="ELL120" s="199"/>
      <c r="ELM120" s="198"/>
      <c r="ELN120" s="199"/>
      <c r="ELO120" s="198"/>
      <c r="ELP120" s="199"/>
      <c r="ELQ120" s="198"/>
      <c r="ELR120" s="199"/>
      <c r="ELS120" s="198"/>
      <c r="ELT120" s="199"/>
      <c r="ELU120" s="198"/>
      <c r="ELV120" s="199"/>
      <c r="ELW120" s="198"/>
      <c r="ELX120" s="199"/>
      <c r="ELY120" s="198"/>
      <c r="ELZ120" s="199"/>
      <c r="EMA120" s="198"/>
      <c r="EMB120" s="199"/>
      <c r="EMC120" s="198"/>
      <c r="EMD120" s="199"/>
      <c r="EME120" s="198"/>
      <c r="EMF120" s="199"/>
      <c r="EMG120" s="198"/>
      <c r="EMH120" s="199"/>
      <c r="EMI120" s="198"/>
      <c r="EMJ120" s="199"/>
      <c r="EMK120" s="198"/>
      <c r="EML120" s="199"/>
      <c r="EMM120" s="198"/>
      <c r="EMN120" s="199"/>
      <c r="EMO120" s="198"/>
      <c r="EMP120" s="199"/>
      <c r="EMQ120" s="198"/>
      <c r="EMR120" s="199"/>
      <c r="EMS120" s="198"/>
      <c r="EMT120" s="199"/>
      <c r="EMU120" s="198"/>
      <c r="EMV120" s="199"/>
      <c r="EMW120" s="198"/>
      <c r="EMX120" s="199"/>
      <c r="EMY120" s="198"/>
      <c r="EMZ120" s="199"/>
      <c r="ENA120" s="198"/>
      <c r="ENB120" s="199"/>
      <c r="ENC120" s="198"/>
      <c r="END120" s="199"/>
      <c r="ENE120" s="198"/>
      <c r="ENF120" s="199"/>
      <c r="ENG120" s="198"/>
      <c r="ENH120" s="199"/>
      <c r="ENI120" s="198"/>
      <c r="ENJ120" s="199"/>
      <c r="ENK120" s="198"/>
      <c r="ENL120" s="199"/>
      <c r="ENM120" s="198"/>
      <c r="ENN120" s="199"/>
      <c r="ENO120" s="198"/>
      <c r="ENP120" s="199"/>
      <c r="ENQ120" s="198"/>
      <c r="ENR120" s="199"/>
      <c r="ENS120" s="198"/>
      <c r="ENT120" s="199"/>
      <c r="ENU120" s="198"/>
      <c r="ENV120" s="199"/>
      <c r="ENW120" s="198"/>
      <c r="ENX120" s="199"/>
      <c r="ENY120" s="198"/>
      <c r="ENZ120" s="199"/>
      <c r="EOA120" s="198"/>
      <c r="EOB120" s="199"/>
      <c r="EOC120" s="198"/>
      <c r="EOD120" s="199"/>
      <c r="EOE120" s="198"/>
      <c r="EOF120" s="199"/>
      <c r="EOG120" s="198"/>
      <c r="EOH120" s="199"/>
      <c r="EOI120" s="198"/>
      <c r="EOJ120" s="199"/>
      <c r="EOK120" s="198"/>
      <c r="EOL120" s="199"/>
      <c r="EOM120" s="198"/>
      <c r="EON120" s="199"/>
      <c r="EOO120" s="198"/>
      <c r="EOP120" s="199"/>
      <c r="EOQ120" s="198"/>
      <c r="EOR120" s="199"/>
      <c r="EOS120" s="198"/>
      <c r="EOT120" s="199"/>
      <c r="EOU120" s="198"/>
      <c r="EOV120" s="199"/>
      <c r="EOW120" s="198"/>
      <c r="EOX120" s="199"/>
      <c r="EOY120" s="198"/>
      <c r="EOZ120" s="199"/>
      <c r="EPA120" s="198"/>
      <c r="EPB120" s="199"/>
      <c r="EPC120" s="198"/>
      <c r="EPD120" s="199"/>
      <c r="EPE120" s="198"/>
      <c r="EPF120" s="199"/>
      <c r="EPG120" s="198"/>
      <c r="EPH120" s="199"/>
      <c r="EPI120" s="198"/>
      <c r="EPJ120" s="199"/>
      <c r="EPK120" s="198"/>
      <c r="EPL120" s="199"/>
      <c r="EPM120" s="198"/>
      <c r="EPN120" s="199"/>
      <c r="EPO120" s="198"/>
      <c r="EPP120" s="199"/>
      <c r="EPQ120" s="198"/>
      <c r="EPR120" s="199"/>
      <c r="EPS120" s="198"/>
      <c r="EPT120" s="199"/>
      <c r="EPU120" s="198"/>
      <c r="EPV120" s="199"/>
      <c r="EPW120" s="198"/>
      <c r="EPX120" s="199"/>
      <c r="EPY120" s="198"/>
      <c r="EPZ120" s="199"/>
      <c r="EQA120" s="198"/>
      <c r="EQB120" s="199"/>
      <c r="EQC120" s="198"/>
      <c r="EQD120" s="199"/>
      <c r="EQE120" s="198"/>
      <c r="EQF120" s="199"/>
      <c r="EQG120" s="198"/>
      <c r="EQH120" s="199"/>
      <c r="EQI120" s="198"/>
      <c r="EQJ120" s="199"/>
      <c r="EQK120" s="198"/>
      <c r="EQL120" s="199"/>
      <c r="EQM120" s="198"/>
      <c r="EQN120" s="199"/>
      <c r="EQO120" s="198"/>
      <c r="EQP120" s="199"/>
      <c r="EQQ120" s="198"/>
      <c r="EQR120" s="199"/>
      <c r="EQS120" s="198"/>
      <c r="EQT120" s="199"/>
      <c r="EQU120" s="198"/>
      <c r="EQV120" s="199"/>
      <c r="EQW120" s="198"/>
      <c r="EQX120" s="199"/>
      <c r="EQY120" s="198"/>
      <c r="EQZ120" s="199"/>
      <c r="ERA120" s="198"/>
      <c r="ERB120" s="199"/>
      <c r="ERC120" s="198"/>
      <c r="ERD120" s="199"/>
      <c r="ERE120" s="198"/>
      <c r="ERF120" s="199"/>
      <c r="ERG120" s="198"/>
      <c r="ERH120" s="199"/>
      <c r="ERI120" s="198"/>
      <c r="ERJ120" s="199"/>
      <c r="ERK120" s="198"/>
      <c r="ERL120" s="199"/>
      <c r="ERM120" s="198"/>
      <c r="ERN120" s="199"/>
      <c r="ERO120" s="198"/>
      <c r="ERP120" s="199"/>
      <c r="ERQ120" s="198"/>
      <c r="ERR120" s="199"/>
      <c r="ERS120" s="198"/>
      <c r="ERT120" s="199"/>
      <c r="ERU120" s="198"/>
      <c r="ERV120" s="199"/>
      <c r="ERW120" s="198"/>
      <c r="ERX120" s="199"/>
      <c r="ERY120" s="198"/>
      <c r="ERZ120" s="199"/>
      <c r="ESA120" s="198"/>
      <c r="ESB120" s="199"/>
      <c r="ESC120" s="198"/>
      <c r="ESD120" s="199"/>
      <c r="ESE120" s="198"/>
      <c r="ESF120" s="199"/>
      <c r="ESG120" s="198"/>
      <c r="ESH120" s="199"/>
      <c r="ESI120" s="198"/>
      <c r="ESJ120" s="199"/>
      <c r="ESK120" s="198"/>
      <c r="ESL120" s="199"/>
      <c r="ESM120" s="198"/>
      <c r="ESN120" s="199"/>
      <c r="ESO120" s="198"/>
      <c r="ESP120" s="199"/>
      <c r="ESQ120" s="198"/>
      <c r="ESR120" s="199"/>
      <c r="ESS120" s="198"/>
      <c r="EST120" s="199"/>
      <c r="ESU120" s="198"/>
      <c r="ESV120" s="199"/>
      <c r="ESW120" s="198"/>
      <c r="ESX120" s="199"/>
      <c r="ESY120" s="198"/>
      <c r="ESZ120" s="199"/>
      <c r="ETA120" s="198"/>
      <c r="ETB120" s="199"/>
      <c r="ETC120" s="198"/>
      <c r="ETD120" s="199"/>
      <c r="ETE120" s="198"/>
      <c r="ETF120" s="199"/>
      <c r="ETG120" s="198"/>
      <c r="ETH120" s="199"/>
      <c r="ETI120" s="198"/>
      <c r="ETJ120" s="199"/>
      <c r="ETK120" s="198"/>
      <c r="ETL120" s="199"/>
      <c r="ETM120" s="198"/>
      <c r="ETN120" s="199"/>
      <c r="ETO120" s="198"/>
      <c r="ETP120" s="199"/>
      <c r="ETQ120" s="198"/>
      <c r="ETR120" s="199"/>
      <c r="ETS120" s="198"/>
      <c r="ETT120" s="199"/>
      <c r="ETU120" s="198"/>
      <c r="ETV120" s="199"/>
      <c r="ETW120" s="198"/>
      <c r="ETX120" s="199"/>
      <c r="ETY120" s="198"/>
      <c r="ETZ120" s="199"/>
      <c r="EUA120" s="198"/>
      <c r="EUB120" s="199"/>
      <c r="EUC120" s="198"/>
      <c r="EUD120" s="199"/>
      <c r="EUE120" s="198"/>
      <c r="EUF120" s="199"/>
      <c r="EUG120" s="198"/>
      <c r="EUH120" s="199"/>
      <c r="EUI120" s="198"/>
      <c r="EUJ120" s="199"/>
      <c r="EUK120" s="198"/>
      <c r="EUL120" s="199"/>
      <c r="EUM120" s="198"/>
      <c r="EUN120" s="199"/>
      <c r="EUO120" s="198"/>
      <c r="EUP120" s="199"/>
      <c r="EUQ120" s="198"/>
      <c r="EUR120" s="199"/>
      <c r="EUS120" s="198"/>
      <c r="EUT120" s="199"/>
      <c r="EUU120" s="198"/>
      <c r="EUV120" s="199"/>
      <c r="EUW120" s="198"/>
      <c r="EUX120" s="199"/>
      <c r="EUY120" s="198"/>
      <c r="EUZ120" s="199"/>
      <c r="EVA120" s="198"/>
      <c r="EVB120" s="199"/>
      <c r="EVC120" s="198"/>
      <c r="EVD120" s="199"/>
      <c r="EVE120" s="198"/>
      <c r="EVF120" s="199"/>
      <c r="EVG120" s="198"/>
      <c r="EVH120" s="199"/>
      <c r="EVI120" s="198"/>
      <c r="EVJ120" s="199"/>
      <c r="EVK120" s="198"/>
      <c r="EVL120" s="199"/>
      <c r="EVM120" s="198"/>
      <c r="EVN120" s="199"/>
      <c r="EVO120" s="198"/>
      <c r="EVP120" s="199"/>
      <c r="EVQ120" s="198"/>
      <c r="EVR120" s="199"/>
      <c r="EVS120" s="198"/>
      <c r="EVT120" s="199"/>
      <c r="EVU120" s="198"/>
      <c r="EVV120" s="199"/>
      <c r="EVW120" s="198"/>
      <c r="EVX120" s="199"/>
      <c r="EVY120" s="198"/>
      <c r="EVZ120" s="199"/>
      <c r="EWA120" s="198"/>
      <c r="EWB120" s="199"/>
      <c r="EWC120" s="198"/>
      <c r="EWD120" s="199"/>
      <c r="EWE120" s="198"/>
      <c r="EWF120" s="199"/>
      <c r="EWG120" s="198"/>
      <c r="EWH120" s="199"/>
      <c r="EWI120" s="198"/>
      <c r="EWJ120" s="199"/>
      <c r="EWK120" s="198"/>
      <c r="EWL120" s="199"/>
      <c r="EWM120" s="198"/>
      <c r="EWN120" s="199"/>
      <c r="EWO120" s="198"/>
      <c r="EWP120" s="199"/>
      <c r="EWQ120" s="198"/>
      <c r="EWR120" s="199"/>
      <c r="EWS120" s="198"/>
      <c r="EWT120" s="199"/>
      <c r="EWU120" s="198"/>
      <c r="EWV120" s="199"/>
      <c r="EWW120" s="198"/>
      <c r="EWX120" s="199"/>
      <c r="EWY120" s="198"/>
      <c r="EWZ120" s="199"/>
      <c r="EXA120" s="198"/>
      <c r="EXB120" s="199"/>
      <c r="EXC120" s="198"/>
      <c r="EXD120" s="199"/>
      <c r="EXE120" s="198"/>
      <c r="EXF120" s="199"/>
      <c r="EXG120" s="198"/>
      <c r="EXH120" s="199"/>
      <c r="EXI120" s="198"/>
      <c r="EXJ120" s="199"/>
      <c r="EXK120" s="198"/>
      <c r="EXL120" s="199"/>
      <c r="EXM120" s="198"/>
      <c r="EXN120" s="199"/>
      <c r="EXO120" s="198"/>
      <c r="EXP120" s="199"/>
      <c r="EXQ120" s="198"/>
      <c r="EXR120" s="199"/>
      <c r="EXS120" s="198"/>
      <c r="EXT120" s="199"/>
      <c r="EXU120" s="198"/>
      <c r="EXV120" s="199"/>
      <c r="EXW120" s="198"/>
      <c r="EXX120" s="199"/>
      <c r="EXY120" s="198"/>
      <c r="EXZ120" s="199"/>
      <c r="EYA120" s="198"/>
      <c r="EYB120" s="199"/>
      <c r="EYC120" s="198"/>
      <c r="EYD120" s="199"/>
      <c r="EYE120" s="198"/>
      <c r="EYF120" s="199"/>
      <c r="EYG120" s="198"/>
      <c r="EYH120" s="199"/>
      <c r="EYI120" s="198"/>
      <c r="EYJ120" s="199"/>
      <c r="EYK120" s="198"/>
      <c r="EYL120" s="199"/>
      <c r="EYM120" s="198"/>
      <c r="EYN120" s="199"/>
      <c r="EYO120" s="198"/>
      <c r="EYP120" s="199"/>
      <c r="EYQ120" s="198"/>
      <c r="EYR120" s="199"/>
      <c r="EYS120" s="198"/>
      <c r="EYT120" s="199"/>
      <c r="EYU120" s="198"/>
      <c r="EYV120" s="199"/>
      <c r="EYW120" s="198"/>
      <c r="EYX120" s="199"/>
      <c r="EYY120" s="198"/>
      <c r="EYZ120" s="199"/>
      <c r="EZA120" s="198"/>
      <c r="EZB120" s="199"/>
      <c r="EZC120" s="198"/>
      <c r="EZD120" s="199"/>
      <c r="EZE120" s="198"/>
      <c r="EZF120" s="199"/>
      <c r="EZG120" s="198"/>
      <c r="EZH120" s="199"/>
      <c r="EZI120" s="198"/>
      <c r="EZJ120" s="199"/>
      <c r="EZK120" s="198"/>
      <c r="EZL120" s="199"/>
      <c r="EZM120" s="198"/>
      <c r="EZN120" s="199"/>
      <c r="EZO120" s="198"/>
      <c r="EZP120" s="199"/>
      <c r="EZQ120" s="198"/>
      <c r="EZR120" s="199"/>
      <c r="EZS120" s="198"/>
      <c r="EZT120" s="199"/>
      <c r="EZU120" s="198"/>
      <c r="EZV120" s="199"/>
      <c r="EZW120" s="198"/>
      <c r="EZX120" s="199"/>
      <c r="EZY120" s="198"/>
      <c r="EZZ120" s="199"/>
      <c r="FAA120" s="198"/>
      <c r="FAB120" s="199"/>
      <c r="FAC120" s="198"/>
      <c r="FAD120" s="199"/>
      <c r="FAE120" s="198"/>
      <c r="FAF120" s="199"/>
      <c r="FAG120" s="198"/>
      <c r="FAH120" s="199"/>
      <c r="FAI120" s="198"/>
      <c r="FAJ120" s="199"/>
      <c r="FAK120" s="198"/>
      <c r="FAL120" s="199"/>
      <c r="FAM120" s="198"/>
      <c r="FAN120" s="199"/>
      <c r="FAO120" s="198"/>
      <c r="FAP120" s="199"/>
      <c r="FAQ120" s="198"/>
      <c r="FAR120" s="199"/>
      <c r="FAS120" s="198"/>
      <c r="FAT120" s="199"/>
      <c r="FAU120" s="198"/>
      <c r="FAV120" s="199"/>
      <c r="FAW120" s="198"/>
      <c r="FAX120" s="199"/>
      <c r="FAY120" s="198"/>
      <c r="FAZ120" s="199"/>
      <c r="FBA120" s="198"/>
      <c r="FBB120" s="199"/>
      <c r="FBC120" s="198"/>
      <c r="FBD120" s="199"/>
      <c r="FBE120" s="198"/>
      <c r="FBF120" s="199"/>
      <c r="FBG120" s="198"/>
      <c r="FBH120" s="199"/>
      <c r="FBI120" s="198"/>
      <c r="FBJ120" s="199"/>
      <c r="FBK120" s="198"/>
      <c r="FBL120" s="199"/>
      <c r="FBM120" s="198"/>
      <c r="FBN120" s="199"/>
      <c r="FBO120" s="198"/>
      <c r="FBP120" s="199"/>
      <c r="FBQ120" s="198"/>
      <c r="FBR120" s="199"/>
      <c r="FBS120" s="198"/>
      <c r="FBT120" s="199"/>
      <c r="FBU120" s="198"/>
      <c r="FBV120" s="199"/>
      <c r="FBW120" s="198"/>
      <c r="FBX120" s="199"/>
      <c r="FBY120" s="198"/>
      <c r="FBZ120" s="199"/>
      <c r="FCA120" s="198"/>
      <c r="FCB120" s="199"/>
      <c r="FCC120" s="198"/>
      <c r="FCD120" s="199"/>
      <c r="FCE120" s="198"/>
      <c r="FCF120" s="199"/>
      <c r="FCG120" s="198"/>
      <c r="FCH120" s="199"/>
      <c r="FCI120" s="198"/>
      <c r="FCJ120" s="199"/>
      <c r="FCK120" s="198"/>
      <c r="FCL120" s="199"/>
      <c r="FCM120" s="198"/>
      <c r="FCN120" s="199"/>
      <c r="FCO120" s="198"/>
      <c r="FCP120" s="199"/>
      <c r="FCQ120" s="198"/>
      <c r="FCR120" s="199"/>
      <c r="FCS120" s="198"/>
      <c r="FCT120" s="199"/>
      <c r="FCU120" s="198"/>
      <c r="FCV120" s="199"/>
      <c r="FCW120" s="198"/>
      <c r="FCX120" s="199"/>
      <c r="FCY120" s="198"/>
      <c r="FCZ120" s="199"/>
      <c r="FDA120" s="198"/>
      <c r="FDB120" s="199"/>
      <c r="FDC120" s="198"/>
      <c r="FDD120" s="199"/>
      <c r="FDE120" s="198"/>
      <c r="FDF120" s="199"/>
      <c r="FDG120" s="198"/>
      <c r="FDH120" s="199"/>
      <c r="FDI120" s="198"/>
      <c r="FDJ120" s="199"/>
      <c r="FDK120" s="198"/>
      <c r="FDL120" s="199"/>
      <c r="FDM120" s="198"/>
      <c r="FDN120" s="199"/>
      <c r="FDO120" s="198"/>
      <c r="FDP120" s="199"/>
      <c r="FDQ120" s="198"/>
      <c r="FDR120" s="199"/>
      <c r="FDS120" s="198"/>
      <c r="FDT120" s="199"/>
      <c r="FDU120" s="198"/>
      <c r="FDV120" s="199"/>
      <c r="FDW120" s="198"/>
      <c r="FDX120" s="199"/>
      <c r="FDY120" s="198"/>
      <c r="FDZ120" s="199"/>
      <c r="FEA120" s="198"/>
      <c r="FEB120" s="199"/>
      <c r="FEC120" s="198"/>
      <c r="FED120" s="199"/>
      <c r="FEE120" s="198"/>
      <c r="FEF120" s="199"/>
      <c r="FEG120" s="198"/>
      <c r="FEH120" s="199"/>
      <c r="FEI120" s="198"/>
      <c r="FEJ120" s="199"/>
      <c r="FEK120" s="198"/>
      <c r="FEL120" s="199"/>
      <c r="FEM120" s="198"/>
      <c r="FEN120" s="199"/>
      <c r="FEO120" s="198"/>
      <c r="FEP120" s="199"/>
      <c r="FEQ120" s="198"/>
      <c r="FER120" s="199"/>
      <c r="FES120" s="198"/>
      <c r="FET120" s="199"/>
      <c r="FEU120" s="198"/>
      <c r="FEV120" s="199"/>
      <c r="FEW120" s="198"/>
      <c r="FEX120" s="199"/>
      <c r="FEY120" s="198"/>
      <c r="FEZ120" s="199"/>
      <c r="FFA120" s="198"/>
      <c r="FFB120" s="199"/>
      <c r="FFC120" s="198"/>
      <c r="FFD120" s="199"/>
      <c r="FFE120" s="198"/>
      <c r="FFF120" s="199"/>
      <c r="FFG120" s="198"/>
      <c r="FFH120" s="199"/>
      <c r="FFI120" s="198"/>
      <c r="FFJ120" s="199"/>
      <c r="FFK120" s="198"/>
      <c r="FFL120" s="199"/>
      <c r="FFM120" s="198"/>
      <c r="FFN120" s="199"/>
      <c r="FFO120" s="198"/>
      <c r="FFP120" s="199"/>
      <c r="FFQ120" s="198"/>
      <c r="FFR120" s="199"/>
      <c r="FFS120" s="198"/>
      <c r="FFT120" s="199"/>
      <c r="FFU120" s="198"/>
      <c r="FFV120" s="199"/>
      <c r="FFW120" s="198"/>
      <c r="FFX120" s="199"/>
      <c r="FFY120" s="198"/>
      <c r="FFZ120" s="199"/>
      <c r="FGA120" s="198"/>
      <c r="FGB120" s="199"/>
      <c r="FGC120" s="198"/>
      <c r="FGD120" s="199"/>
      <c r="FGE120" s="198"/>
      <c r="FGF120" s="199"/>
      <c r="FGG120" s="198"/>
      <c r="FGH120" s="199"/>
      <c r="FGI120" s="198"/>
      <c r="FGJ120" s="199"/>
      <c r="FGK120" s="198"/>
      <c r="FGL120" s="199"/>
      <c r="FGM120" s="198"/>
      <c r="FGN120" s="199"/>
      <c r="FGO120" s="198"/>
      <c r="FGP120" s="199"/>
      <c r="FGQ120" s="198"/>
      <c r="FGR120" s="199"/>
      <c r="FGS120" s="198"/>
      <c r="FGT120" s="199"/>
      <c r="FGU120" s="198"/>
      <c r="FGV120" s="199"/>
      <c r="FGW120" s="198"/>
      <c r="FGX120" s="199"/>
      <c r="FGY120" s="198"/>
      <c r="FGZ120" s="199"/>
      <c r="FHA120" s="198"/>
      <c r="FHB120" s="199"/>
      <c r="FHC120" s="198"/>
      <c r="FHD120" s="199"/>
      <c r="FHE120" s="198"/>
      <c r="FHF120" s="199"/>
      <c r="FHG120" s="198"/>
      <c r="FHH120" s="199"/>
      <c r="FHI120" s="198"/>
      <c r="FHJ120" s="199"/>
      <c r="FHK120" s="198"/>
      <c r="FHL120" s="199"/>
      <c r="FHM120" s="198"/>
      <c r="FHN120" s="199"/>
      <c r="FHO120" s="198"/>
      <c r="FHP120" s="199"/>
      <c r="FHQ120" s="198"/>
      <c r="FHR120" s="199"/>
      <c r="FHS120" s="198"/>
      <c r="FHT120" s="199"/>
      <c r="FHU120" s="198"/>
      <c r="FHV120" s="199"/>
      <c r="FHW120" s="198"/>
      <c r="FHX120" s="199"/>
      <c r="FHY120" s="198"/>
      <c r="FHZ120" s="199"/>
      <c r="FIA120" s="198"/>
      <c r="FIB120" s="199"/>
      <c r="FIC120" s="198"/>
      <c r="FID120" s="199"/>
      <c r="FIE120" s="198"/>
      <c r="FIF120" s="199"/>
      <c r="FIG120" s="198"/>
      <c r="FIH120" s="199"/>
      <c r="FII120" s="198"/>
      <c r="FIJ120" s="199"/>
      <c r="FIK120" s="198"/>
      <c r="FIL120" s="199"/>
      <c r="FIM120" s="198"/>
      <c r="FIN120" s="199"/>
      <c r="FIO120" s="198"/>
      <c r="FIP120" s="199"/>
      <c r="FIQ120" s="198"/>
      <c r="FIR120" s="199"/>
      <c r="FIS120" s="198"/>
      <c r="FIT120" s="199"/>
      <c r="FIU120" s="198"/>
      <c r="FIV120" s="199"/>
      <c r="FIW120" s="198"/>
      <c r="FIX120" s="199"/>
      <c r="FIY120" s="198"/>
      <c r="FIZ120" s="199"/>
      <c r="FJA120" s="198"/>
      <c r="FJB120" s="199"/>
      <c r="FJC120" s="198"/>
      <c r="FJD120" s="199"/>
      <c r="FJE120" s="198"/>
      <c r="FJF120" s="199"/>
      <c r="FJG120" s="198"/>
      <c r="FJH120" s="199"/>
      <c r="FJI120" s="198"/>
      <c r="FJJ120" s="199"/>
      <c r="FJK120" s="198"/>
      <c r="FJL120" s="199"/>
      <c r="FJM120" s="198"/>
      <c r="FJN120" s="199"/>
      <c r="FJO120" s="198"/>
      <c r="FJP120" s="199"/>
      <c r="FJQ120" s="198"/>
      <c r="FJR120" s="199"/>
      <c r="FJS120" s="198"/>
      <c r="FJT120" s="199"/>
      <c r="FJU120" s="198"/>
      <c r="FJV120" s="199"/>
      <c r="FJW120" s="198"/>
      <c r="FJX120" s="199"/>
      <c r="FJY120" s="198"/>
      <c r="FJZ120" s="199"/>
      <c r="FKA120" s="198"/>
      <c r="FKB120" s="199"/>
      <c r="FKC120" s="198"/>
      <c r="FKD120" s="199"/>
      <c r="FKE120" s="198"/>
      <c r="FKF120" s="199"/>
      <c r="FKG120" s="198"/>
      <c r="FKH120" s="199"/>
      <c r="FKI120" s="198"/>
      <c r="FKJ120" s="199"/>
      <c r="FKK120" s="198"/>
      <c r="FKL120" s="199"/>
      <c r="FKM120" s="198"/>
      <c r="FKN120" s="199"/>
      <c r="FKO120" s="198"/>
      <c r="FKP120" s="199"/>
      <c r="FKQ120" s="198"/>
      <c r="FKR120" s="199"/>
      <c r="FKS120" s="198"/>
      <c r="FKT120" s="199"/>
      <c r="FKU120" s="198"/>
      <c r="FKV120" s="199"/>
      <c r="FKW120" s="198"/>
      <c r="FKX120" s="199"/>
      <c r="FKY120" s="198"/>
      <c r="FKZ120" s="199"/>
      <c r="FLA120" s="198"/>
      <c r="FLB120" s="199"/>
      <c r="FLC120" s="198"/>
      <c r="FLD120" s="199"/>
      <c r="FLE120" s="198"/>
      <c r="FLF120" s="199"/>
      <c r="FLG120" s="198"/>
      <c r="FLH120" s="199"/>
      <c r="FLI120" s="198"/>
      <c r="FLJ120" s="199"/>
      <c r="FLK120" s="198"/>
      <c r="FLL120" s="199"/>
      <c r="FLM120" s="198"/>
      <c r="FLN120" s="199"/>
      <c r="FLO120" s="198"/>
      <c r="FLP120" s="199"/>
      <c r="FLQ120" s="198"/>
      <c r="FLR120" s="199"/>
      <c r="FLS120" s="198"/>
      <c r="FLT120" s="199"/>
      <c r="FLU120" s="198"/>
      <c r="FLV120" s="199"/>
      <c r="FLW120" s="198"/>
      <c r="FLX120" s="199"/>
      <c r="FLY120" s="198"/>
      <c r="FLZ120" s="199"/>
      <c r="FMA120" s="198"/>
      <c r="FMB120" s="199"/>
      <c r="FMC120" s="198"/>
      <c r="FMD120" s="199"/>
      <c r="FME120" s="198"/>
      <c r="FMF120" s="199"/>
      <c r="FMG120" s="198"/>
      <c r="FMH120" s="199"/>
      <c r="FMI120" s="198"/>
      <c r="FMJ120" s="199"/>
      <c r="FMK120" s="198"/>
      <c r="FML120" s="199"/>
      <c r="FMM120" s="198"/>
      <c r="FMN120" s="199"/>
      <c r="FMO120" s="198"/>
      <c r="FMP120" s="199"/>
      <c r="FMQ120" s="198"/>
      <c r="FMR120" s="199"/>
      <c r="FMS120" s="198"/>
      <c r="FMT120" s="199"/>
      <c r="FMU120" s="198"/>
      <c r="FMV120" s="199"/>
      <c r="FMW120" s="198"/>
      <c r="FMX120" s="199"/>
      <c r="FMY120" s="198"/>
      <c r="FMZ120" s="199"/>
      <c r="FNA120" s="198"/>
      <c r="FNB120" s="199"/>
      <c r="FNC120" s="198"/>
      <c r="FND120" s="199"/>
      <c r="FNE120" s="198"/>
      <c r="FNF120" s="199"/>
      <c r="FNG120" s="198"/>
      <c r="FNH120" s="199"/>
      <c r="FNI120" s="198"/>
      <c r="FNJ120" s="199"/>
      <c r="FNK120" s="198"/>
      <c r="FNL120" s="199"/>
      <c r="FNM120" s="198"/>
      <c r="FNN120" s="199"/>
      <c r="FNO120" s="198"/>
      <c r="FNP120" s="199"/>
      <c r="FNQ120" s="198"/>
      <c r="FNR120" s="199"/>
      <c r="FNS120" s="198"/>
      <c r="FNT120" s="199"/>
      <c r="FNU120" s="198"/>
      <c r="FNV120" s="199"/>
      <c r="FNW120" s="198"/>
      <c r="FNX120" s="199"/>
      <c r="FNY120" s="198"/>
      <c r="FNZ120" s="199"/>
      <c r="FOA120" s="198"/>
      <c r="FOB120" s="199"/>
      <c r="FOC120" s="198"/>
      <c r="FOD120" s="199"/>
      <c r="FOE120" s="198"/>
      <c r="FOF120" s="199"/>
      <c r="FOG120" s="198"/>
      <c r="FOH120" s="199"/>
      <c r="FOI120" s="198"/>
      <c r="FOJ120" s="199"/>
      <c r="FOK120" s="198"/>
      <c r="FOL120" s="199"/>
      <c r="FOM120" s="198"/>
      <c r="FON120" s="199"/>
      <c r="FOO120" s="198"/>
      <c r="FOP120" s="199"/>
      <c r="FOQ120" s="198"/>
      <c r="FOR120" s="199"/>
      <c r="FOS120" s="198"/>
      <c r="FOT120" s="199"/>
      <c r="FOU120" s="198"/>
      <c r="FOV120" s="199"/>
      <c r="FOW120" s="198"/>
      <c r="FOX120" s="199"/>
      <c r="FOY120" s="198"/>
      <c r="FOZ120" s="199"/>
      <c r="FPA120" s="198"/>
      <c r="FPB120" s="199"/>
      <c r="FPC120" s="198"/>
      <c r="FPD120" s="199"/>
      <c r="FPE120" s="198"/>
      <c r="FPF120" s="199"/>
      <c r="FPG120" s="198"/>
      <c r="FPH120" s="199"/>
      <c r="FPI120" s="198"/>
      <c r="FPJ120" s="199"/>
      <c r="FPK120" s="198"/>
      <c r="FPL120" s="199"/>
      <c r="FPM120" s="198"/>
      <c r="FPN120" s="199"/>
      <c r="FPO120" s="198"/>
      <c r="FPP120" s="199"/>
      <c r="FPQ120" s="198"/>
      <c r="FPR120" s="199"/>
      <c r="FPS120" s="198"/>
      <c r="FPT120" s="199"/>
      <c r="FPU120" s="198"/>
      <c r="FPV120" s="199"/>
      <c r="FPW120" s="198"/>
      <c r="FPX120" s="199"/>
      <c r="FPY120" s="198"/>
      <c r="FPZ120" s="199"/>
      <c r="FQA120" s="198"/>
      <c r="FQB120" s="199"/>
      <c r="FQC120" s="198"/>
      <c r="FQD120" s="199"/>
      <c r="FQE120" s="198"/>
      <c r="FQF120" s="199"/>
      <c r="FQG120" s="198"/>
      <c r="FQH120" s="199"/>
      <c r="FQI120" s="198"/>
      <c r="FQJ120" s="199"/>
      <c r="FQK120" s="198"/>
      <c r="FQL120" s="199"/>
      <c r="FQM120" s="198"/>
      <c r="FQN120" s="199"/>
      <c r="FQO120" s="198"/>
      <c r="FQP120" s="199"/>
      <c r="FQQ120" s="198"/>
      <c r="FQR120" s="199"/>
      <c r="FQS120" s="198"/>
      <c r="FQT120" s="199"/>
      <c r="FQU120" s="198"/>
      <c r="FQV120" s="199"/>
      <c r="FQW120" s="198"/>
      <c r="FQX120" s="199"/>
      <c r="FQY120" s="198"/>
      <c r="FQZ120" s="199"/>
      <c r="FRA120" s="198"/>
      <c r="FRB120" s="199"/>
      <c r="FRC120" s="198"/>
      <c r="FRD120" s="199"/>
      <c r="FRE120" s="198"/>
      <c r="FRF120" s="199"/>
      <c r="FRG120" s="198"/>
      <c r="FRH120" s="199"/>
      <c r="FRI120" s="198"/>
      <c r="FRJ120" s="199"/>
      <c r="FRK120" s="198"/>
      <c r="FRL120" s="199"/>
      <c r="FRM120" s="198"/>
      <c r="FRN120" s="199"/>
      <c r="FRO120" s="198"/>
      <c r="FRP120" s="199"/>
      <c r="FRQ120" s="198"/>
      <c r="FRR120" s="199"/>
      <c r="FRS120" s="198"/>
      <c r="FRT120" s="199"/>
      <c r="FRU120" s="198"/>
      <c r="FRV120" s="199"/>
      <c r="FRW120" s="198"/>
      <c r="FRX120" s="199"/>
      <c r="FRY120" s="198"/>
      <c r="FRZ120" s="199"/>
      <c r="FSA120" s="198"/>
      <c r="FSB120" s="199"/>
      <c r="FSC120" s="198"/>
      <c r="FSD120" s="199"/>
      <c r="FSE120" s="198"/>
      <c r="FSF120" s="199"/>
      <c r="FSG120" s="198"/>
      <c r="FSH120" s="199"/>
      <c r="FSI120" s="198"/>
      <c r="FSJ120" s="199"/>
      <c r="FSK120" s="198"/>
      <c r="FSL120" s="199"/>
      <c r="FSM120" s="198"/>
      <c r="FSN120" s="199"/>
      <c r="FSO120" s="198"/>
      <c r="FSP120" s="199"/>
      <c r="FSQ120" s="198"/>
      <c r="FSR120" s="199"/>
      <c r="FSS120" s="198"/>
      <c r="FST120" s="199"/>
      <c r="FSU120" s="198"/>
      <c r="FSV120" s="199"/>
      <c r="FSW120" s="198"/>
      <c r="FSX120" s="199"/>
      <c r="FSY120" s="198"/>
      <c r="FSZ120" s="199"/>
      <c r="FTA120" s="198"/>
      <c r="FTB120" s="199"/>
      <c r="FTC120" s="198"/>
      <c r="FTD120" s="199"/>
      <c r="FTE120" s="198"/>
      <c r="FTF120" s="199"/>
      <c r="FTG120" s="198"/>
      <c r="FTH120" s="199"/>
      <c r="FTI120" s="198"/>
      <c r="FTJ120" s="199"/>
      <c r="FTK120" s="198"/>
      <c r="FTL120" s="199"/>
      <c r="FTM120" s="198"/>
      <c r="FTN120" s="199"/>
      <c r="FTO120" s="198"/>
      <c r="FTP120" s="199"/>
      <c r="FTQ120" s="198"/>
      <c r="FTR120" s="199"/>
      <c r="FTS120" s="198"/>
      <c r="FTT120" s="199"/>
      <c r="FTU120" s="198"/>
      <c r="FTV120" s="199"/>
      <c r="FTW120" s="198"/>
      <c r="FTX120" s="199"/>
      <c r="FTY120" s="198"/>
      <c r="FTZ120" s="199"/>
      <c r="FUA120" s="198"/>
      <c r="FUB120" s="199"/>
      <c r="FUC120" s="198"/>
      <c r="FUD120" s="199"/>
      <c r="FUE120" s="198"/>
      <c r="FUF120" s="199"/>
      <c r="FUG120" s="198"/>
      <c r="FUH120" s="199"/>
      <c r="FUI120" s="198"/>
      <c r="FUJ120" s="199"/>
      <c r="FUK120" s="198"/>
      <c r="FUL120" s="199"/>
      <c r="FUM120" s="198"/>
      <c r="FUN120" s="199"/>
      <c r="FUO120" s="198"/>
      <c r="FUP120" s="199"/>
      <c r="FUQ120" s="198"/>
      <c r="FUR120" s="199"/>
      <c r="FUS120" s="198"/>
      <c r="FUT120" s="199"/>
      <c r="FUU120" s="198"/>
      <c r="FUV120" s="199"/>
      <c r="FUW120" s="198"/>
      <c r="FUX120" s="199"/>
      <c r="FUY120" s="198"/>
      <c r="FUZ120" s="199"/>
      <c r="FVA120" s="198"/>
      <c r="FVB120" s="199"/>
      <c r="FVC120" s="198"/>
      <c r="FVD120" s="199"/>
      <c r="FVE120" s="198"/>
      <c r="FVF120" s="199"/>
      <c r="FVG120" s="198"/>
      <c r="FVH120" s="199"/>
      <c r="FVI120" s="198"/>
      <c r="FVJ120" s="199"/>
      <c r="FVK120" s="198"/>
      <c r="FVL120" s="199"/>
      <c r="FVM120" s="198"/>
      <c r="FVN120" s="199"/>
      <c r="FVO120" s="198"/>
      <c r="FVP120" s="199"/>
      <c r="FVQ120" s="198"/>
      <c r="FVR120" s="199"/>
      <c r="FVS120" s="198"/>
      <c r="FVT120" s="199"/>
      <c r="FVU120" s="198"/>
      <c r="FVV120" s="199"/>
      <c r="FVW120" s="198"/>
      <c r="FVX120" s="199"/>
      <c r="FVY120" s="198"/>
      <c r="FVZ120" s="199"/>
      <c r="FWA120" s="198"/>
      <c r="FWB120" s="199"/>
      <c r="FWC120" s="198"/>
      <c r="FWD120" s="199"/>
      <c r="FWE120" s="198"/>
      <c r="FWF120" s="199"/>
      <c r="FWG120" s="198"/>
      <c r="FWH120" s="199"/>
      <c r="FWI120" s="198"/>
      <c r="FWJ120" s="199"/>
      <c r="FWK120" s="198"/>
      <c r="FWL120" s="199"/>
      <c r="FWM120" s="198"/>
      <c r="FWN120" s="199"/>
      <c r="FWO120" s="198"/>
      <c r="FWP120" s="199"/>
      <c r="FWQ120" s="198"/>
      <c r="FWR120" s="199"/>
      <c r="FWS120" s="198"/>
      <c r="FWT120" s="199"/>
      <c r="FWU120" s="198"/>
      <c r="FWV120" s="199"/>
      <c r="FWW120" s="198"/>
      <c r="FWX120" s="199"/>
      <c r="FWY120" s="198"/>
      <c r="FWZ120" s="199"/>
      <c r="FXA120" s="198"/>
      <c r="FXB120" s="199"/>
      <c r="FXC120" s="198"/>
      <c r="FXD120" s="199"/>
      <c r="FXE120" s="198"/>
      <c r="FXF120" s="199"/>
      <c r="FXG120" s="198"/>
      <c r="FXH120" s="199"/>
      <c r="FXI120" s="198"/>
      <c r="FXJ120" s="199"/>
      <c r="FXK120" s="198"/>
      <c r="FXL120" s="199"/>
      <c r="FXM120" s="198"/>
      <c r="FXN120" s="199"/>
      <c r="FXO120" s="198"/>
      <c r="FXP120" s="199"/>
      <c r="FXQ120" s="198"/>
      <c r="FXR120" s="199"/>
      <c r="FXS120" s="198"/>
      <c r="FXT120" s="199"/>
      <c r="FXU120" s="198"/>
      <c r="FXV120" s="199"/>
      <c r="FXW120" s="198"/>
      <c r="FXX120" s="199"/>
      <c r="FXY120" s="198"/>
      <c r="FXZ120" s="199"/>
      <c r="FYA120" s="198"/>
      <c r="FYB120" s="199"/>
      <c r="FYC120" s="198"/>
      <c r="FYD120" s="199"/>
      <c r="FYE120" s="198"/>
      <c r="FYF120" s="199"/>
      <c r="FYG120" s="198"/>
      <c r="FYH120" s="199"/>
      <c r="FYI120" s="198"/>
      <c r="FYJ120" s="199"/>
      <c r="FYK120" s="198"/>
      <c r="FYL120" s="199"/>
      <c r="FYM120" s="198"/>
      <c r="FYN120" s="199"/>
      <c r="FYO120" s="198"/>
      <c r="FYP120" s="199"/>
      <c r="FYQ120" s="198"/>
      <c r="FYR120" s="199"/>
      <c r="FYS120" s="198"/>
      <c r="FYT120" s="199"/>
      <c r="FYU120" s="198"/>
      <c r="FYV120" s="199"/>
      <c r="FYW120" s="198"/>
      <c r="FYX120" s="199"/>
      <c r="FYY120" s="198"/>
      <c r="FYZ120" s="199"/>
      <c r="FZA120" s="198"/>
      <c r="FZB120" s="199"/>
      <c r="FZC120" s="198"/>
      <c r="FZD120" s="199"/>
      <c r="FZE120" s="198"/>
      <c r="FZF120" s="199"/>
      <c r="FZG120" s="198"/>
      <c r="FZH120" s="199"/>
      <c r="FZI120" s="198"/>
      <c r="FZJ120" s="199"/>
      <c r="FZK120" s="198"/>
      <c r="FZL120" s="199"/>
      <c r="FZM120" s="198"/>
      <c r="FZN120" s="199"/>
      <c r="FZO120" s="198"/>
      <c r="FZP120" s="199"/>
      <c r="FZQ120" s="198"/>
      <c r="FZR120" s="199"/>
      <c r="FZS120" s="198"/>
      <c r="FZT120" s="199"/>
      <c r="FZU120" s="198"/>
      <c r="FZV120" s="199"/>
      <c r="FZW120" s="198"/>
      <c r="FZX120" s="199"/>
      <c r="FZY120" s="198"/>
      <c r="FZZ120" s="199"/>
      <c r="GAA120" s="198"/>
      <c r="GAB120" s="199"/>
      <c r="GAC120" s="198"/>
      <c r="GAD120" s="199"/>
      <c r="GAE120" s="198"/>
      <c r="GAF120" s="199"/>
      <c r="GAG120" s="198"/>
      <c r="GAH120" s="199"/>
      <c r="GAI120" s="198"/>
      <c r="GAJ120" s="199"/>
      <c r="GAK120" s="198"/>
      <c r="GAL120" s="199"/>
      <c r="GAM120" s="198"/>
      <c r="GAN120" s="199"/>
      <c r="GAO120" s="198"/>
      <c r="GAP120" s="199"/>
      <c r="GAQ120" s="198"/>
      <c r="GAR120" s="199"/>
      <c r="GAS120" s="198"/>
      <c r="GAT120" s="199"/>
      <c r="GAU120" s="198"/>
      <c r="GAV120" s="199"/>
      <c r="GAW120" s="198"/>
      <c r="GAX120" s="199"/>
      <c r="GAY120" s="198"/>
      <c r="GAZ120" s="199"/>
      <c r="GBA120" s="198"/>
      <c r="GBB120" s="199"/>
      <c r="GBC120" s="198"/>
      <c r="GBD120" s="199"/>
      <c r="GBE120" s="198"/>
      <c r="GBF120" s="199"/>
      <c r="GBG120" s="198"/>
      <c r="GBH120" s="199"/>
      <c r="GBI120" s="198"/>
      <c r="GBJ120" s="199"/>
      <c r="GBK120" s="198"/>
      <c r="GBL120" s="199"/>
      <c r="GBM120" s="198"/>
      <c r="GBN120" s="199"/>
      <c r="GBO120" s="198"/>
      <c r="GBP120" s="199"/>
      <c r="GBQ120" s="198"/>
      <c r="GBR120" s="199"/>
      <c r="GBS120" s="198"/>
      <c r="GBT120" s="199"/>
      <c r="GBU120" s="198"/>
      <c r="GBV120" s="199"/>
      <c r="GBW120" s="198"/>
      <c r="GBX120" s="199"/>
      <c r="GBY120" s="198"/>
      <c r="GBZ120" s="199"/>
      <c r="GCA120" s="198"/>
      <c r="GCB120" s="199"/>
      <c r="GCC120" s="198"/>
      <c r="GCD120" s="199"/>
      <c r="GCE120" s="198"/>
      <c r="GCF120" s="199"/>
      <c r="GCG120" s="198"/>
      <c r="GCH120" s="199"/>
      <c r="GCI120" s="198"/>
      <c r="GCJ120" s="199"/>
      <c r="GCK120" s="198"/>
      <c r="GCL120" s="199"/>
      <c r="GCM120" s="198"/>
      <c r="GCN120" s="199"/>
      <c r="GCO120" s="198"/>
      <c r="GCP120" s="199"/>
      <c r="GCQ120" s="198"/>
      <c r="GCR120" s="199"/>
      <c r="GCS120" s="198"/>
      <c r="GCT120" s="199"/>
      <c r="GCU120" s="198"/>
      <c r="GCV120" s="199"/>
      <c r="GCW120" s="198"/>
      <c r="GCX120" s="199"/>
      <c r="GCY120" s="198"/>
      <c r="GCZ120" s="199"/>
      <c r="GDA120" s="198"/>
      <c r="GDB120" s="199"/>
      <c r="GDC120" s="198"/>
      <c r="GDD120" s="199"/>
      <c r="GDE120" s="198"/>
      <c r="GDF120" s="199"/>
      <c r="GDG120" s="198"/>
      <c r="GDH120" s="199"/>
      <c r="GDI120" s="198"/>
      <c r="GDJ120" s="199"/>
      <c r="GDK120" s="198"/>
      <c r="GDL120" s="199"/>
      <c r="GDM120" s="198"/>
      <c r="GDN120" s="199"/>
      <c r="GDO120" s="198"/>
      <c r="GDP120" s="199"/>
      <c r="GDQ120" s="198"/>
      <c r="GDR120" s="199"/>
      <c r="GDS120" s="198"/>
      <c r="GDT120" s="199"/>
      <c r="GDU120" s="198"/>
      <c r="GDV120" s="199"/>
      <c r="GDW120" s="198"/>
      <c r="GDX120" s="199"/>
      <c r="GDY120" s="198"/>
      <c r="GDZ120" s="199"/>
      <c r="GEA120" s="198"/>
      <c r="GEB120" s="199"/>
      <c r="GEC120" s="198"/>
      <c r="GED120" s="199"/>
      <c r="GEE120" s="198"/>
      <c r="GEF120" s="199"/>
      <c r="GEG120" s="198"/>
      <c r="GEH120" s="199"/>
      <c r="GEI120" s="198"/>
      <c r="GEJ120" s="199"/>
      <c r="GEK120" s="198"/>
      <c r="GEL120" s="199"/>
      <c r="GEM120" s="198"/>
      <c r="GEN120" s="199"/>
      <c r="GEO120" s="198"/>
      <c r="GEP120" s="199"/>
      <c r="GEQ120" s="198"/>
      <c r="GER120" s="199"/>
      <c r="GES120" s="198"/>
      <c r="GET120" s="199"/>
      <c r="GEU120" s="198"/>
      <c r="GEV120" s="199"/>
      <c r="GEW120" s="198"/>
      <c r="GEX120" s="199"/>
      <c r="GEY120" s="198"/>
      <c r="GEZ120" s="199"/>
      <c r="GFA120" s="198"/>
      <c r="GFB120" s="199"/>
      <c r="GFC120" s="198"/>
      <c r="GFD120" s="199"/>
      <c r="GFE120" s="198"/>
      <c r="GFF120" s="199"/>
      <c r="GFG120" s="198"/>
      <c r="GFH120" s="199"/>
      <c r="GFI120" s="198"/>
      <c r="GFJ120" s="199"/>
      <c r="GFK120" s="198"/>
      <c r="GFL120" s="199"/>
      <c r="GFM120" s="198"/>
      <c r="GFN120" s="199"/>
      <c r="GFO120" s="198"/>
      <c r="GFP120" s="199"/>
      <c r="GFQ120" s="198"/>
      <c r="GFR120" s="199"/>
      <c r="GFS120" s="198"/>
      <c r="GFT120" s="199"/>
      <c r="GFU120" s="198"/>
      <c r="GFV120" s="199"/>
      <c r="GFW120" s="198"/>
      <c r="GFX120" s="199"/>
      <c r="GFY120" s="198"/>
      <c r="GFZ120" s="199"/>
      <c r="GGA120" s="198"/>
      <c r="GGB120" s="199"/>
      <c r="GGC120" s="198"/>
      <c r="GGD120" s="199"/>
      <c r="GGE120" s="198"/>
      <c r="GGF120" s="199"/>
      <c r="GGG120" s="198"/>
      <c r="GGH120" s="199"/>
      <c r="GGI120" s="198"/>
      <c r="GGJ120" s="199"/>
      <c r="GGK120" s="198"/>
      <c r="GGL120" s="199"/>
      <c r="GGM120" s="198"/>
      <c r="GGN120" s="199"/>
      <c r="GGO120" s="198"/>
      <c r="GGP120" s="199"/>
      <c r="GGQ120" s="198"/>
      <c r="GGR120" s="199"/>
      <c r="GGS120" s="198"/>
      <c r="GGT120" s="199"/>
      <c r="GGU120" s="198"/>
      <c r="GGV120" s="199"/>
      <c r="GGW120" s="198"/>
      <c r="GGX120" s="199"/>
      <c r="GGY120" s="198"/>
      <c r="GGZ120" s="199"/>
      <c r="GHA120" s="198"/>
      <c r="GHB120" s="199"/>
      <c r="GHC120" s="198"/>
      <c r="GHD120" s="199"/>
      <c r="GHE120" s="198"/>
      <c r="GHF120" s="199"/>
      <c r="GHG120" s="198"/>
      <c r="GHH120" s="199"/>
      <c r="GHI120" s="198"/>
      <c r="GHJ120" s="199"/>
      <c r="GHK120" s="198"/>
      <c r="GHL120" s="199"/>
      <c r="GHM120" s="198"/>
      <c r="GHN120" s="199"/>
      <c r="GHO120" s="198"/>
      <c r="GHP120" s="199"/>
      <c r="GHQ120" s="198"/>
      <c r="GHR120" s="199"/>
      <c r="GHS120" s="198"/>
      <c r="GHT120" s="199"/>
      <c r="GHU120" s="198"/>
      <c r="GHV120" s="199"/>
      <c r="GHW120" s="198"/>
      <c r="GHX120" s="199"/>
      <c r="GHY120" s="198"/>
      <c r="GHZ120" s="199"/>
      <c r="GIA120" s="198"/>
      <c r="GIB120" s="199"/>
      <c r="GIC120" s="198"/>
      <c r="GID120" s="199"/>
      <c r="GIE120" s="198"/>
      <c r="GIF120" s="199"/>
      <c r="GIG120" s="198"/>
      <c r="GIH120" s="199"/>
      <c r="GII120" s="198"/>
      <c r="GIJ120" s="199"/>
      <c r="GIK120" s="198"/>
      <c r="GIL120" s="199"/>
      <c r="GIM120" s="198"/>
      <c r="GIN120" s="199"/>
      <c r="GIO120" s="198"/>
      <c r="GIP120" s="199"/>
      <c r="GIQ120" s="198"/>
      <c r="GIR120" s="199"/>
      <c r="GIS120" s="198"/>
      <c r="GIT120" s="199"/>
      <c r="GIU120" s="198"/>
      <c r="GIV120" s="199"/>
      <c r="GIW120" s="198"/>
      <c r="GIX120" s="199"/>
      <c r="GIY120" s="198"/>
      <c r="GIZ120" s="199"/>
      <c r="GJA120" s="198"/>
      <c r="GJB120" s="199"/>
      <c r="GJC120" s="198"/>
      <c r="GJD120" s="199"/>
      <c r="GJE120" s="198"/>
      <c r="GJF120" s="199"/>
      <c r="GJG120" s="198"/>
      <c r="GJH120" s="199"/>
      <c r="GJI120" s="198"/>
      <c r="GJJ120" s="199"/>
      <c r="GJK120" s="198"/>
      <c r="GJL120" s="199"/>
      <c r="GJM120" s="198"/>
      <c r="GJN120" s="199"/>
      <c r="GJO120" s="198"/>
      <c r="GJP120" s="199"/>
      <c r="GJQ120" s="198"/>
      <c r="GJR120" s="199"/>
      <c r="GJS120" s="198"/>
      <c r="GJT120" s="199"/>
      <c r="GJU120" s="198"/>
      <c r="GJV120" s="199"/>
      <c r="GJW120" s="198"/>
      <c r="GJX120" s="199"/>
      <c r="GJY120" s="198"/>
      <c r="GJZ120" s="199"/>
      <c r="GKA120" s="198"/>
      <c r="GKB120" s="199"/>
      <c r="GKC120" s="198"/>
      <c r="GKD120" s="199"/>
      <c r="GKE120" s="198"/>
      <c r="GKF120" s="199"/>
      <c r="GKG120" s="198"/>
      <c r="GKH120" s="199"/>
      <c r="GKI120" s="198"/>
      <c r="GKJ120" s="199"/>
      <c r="GKK120" s="198"/>
      <c r="GKL120" s="199"/>
      <c r="GKM120" s="198"/>
      <c r="GKN120" s="199"/>
      <c r="GKO120" s="198"/>
      <c r="GKP120" s="199"/>
      <c r="GKQ120" s="198"/>
      <c r="GKR120" s="199"/>
      <c r="GKS120" s="198"/>
      <c r="GKT120" s="199"/>
      <c r="GKU120" s="198"/>
      <c r="GKV120" s="199"/>
      <c r="GKW120" s="198"/>
      <c r="GKX120" s="199"/>
      <c r="GKY120" s="198"/>
      <c r="GKZ120" s="199"/>
      <c r="GLA120" s="198"/>
      <c r="GLB120" s="199"/>
      <c r="GLC120" s="198"/>
      <c r="GLD120" s="199"/>
      <c r="GLE120" s="198"/>
      <c r="GLF120" s="199"/>
      <c r="GLG120" s="198"/>
      <c r="GLH120" s="199"/>
      <c r="GLI120" s="198"/>
      <c r="GLJ120" s="199"/>
      <c r="GLK120" s="198"/>
      <c r="GLL120" s="199"/>
      <c r="GLM120" s="198"/>
      <c r="GLN120" s="199"/>
      <c r="GLO120" s="198"/>
      <c r="GLP120" s="199"/>
      <c r="GLQ120" s="198"/>
      <c r="GLR120" s="199"/>
      <c r="GLS120" s="198"/>
      <c r="GLT120" s="199"/>
      <c r="GLU120" s="198"/>
      <c r="GLV120" s="199"/>
      <c r="GLW120" s="198"/>
      <c r="GLX120" s="199"/>
      <c r="GLY120" s="198"/>
      <c r="GLZ120" s="199"/>
      <c r="GMA120" s="198"/>
      <c r="GMB120" s="199"/>
      <c r="GMC120" s="198"/>
      <c r="GMD120" s="199"/>
      <c r="GME120" s="198"/>
      <c r="GMF120" s="199"/>
      <c r="GMG120" s="198"/>
      <c r="GMH120" s="199"/>
      <c r="GMI120" s="198"/>
      <c r="GMJ120" s="199"/>
      <c r="GMK120" s="198"/>
      <c r="GML120" s="199"/>
      <c r="GMM120" s="198"/>
      <c r="GMN120" s="199"/>
      <c r="GMO120" s="198"/>
      <c r="GMP120" s="199"/>
      <c r="GMQ120" s="198"/>
      <c r="GMR120" s="199"/>
      <c r="GMS120" s="198"/>
      <c r="GMT120" s="199"/>
      <c r="GMU120" s="198"/>
      <c r="GMV120" s="199"/>
      <c r="GMW120" s="198"/>
      <c r="GMX120" s="199"/>
      <c r="GMY120" s="198"/>
      <c r="GMZ120" s="199"/>
      <c r="GNA120" s="198"/>
      <c r="GNB120" s="199"/>
      <c r="GNC120" s="198"/>
      <c r="GND120" s="199"/>
      <c r="GNE120" s="198"/>
      <c r="GNF120" s="199"/>
      <c r="GNG120" s="198"/>
      <c r="GNH120" s="199"/>
      <c r="GNI120" s="198"/>
      <c r="GNJ120" s="199"/>
      <c r="GNK120" s="198"/>
      <c r="GNL120" s="199"/>
      <c r="GNM120" s="198"/>
      <c r="GNN120" s="199"/>
      <c r="GNO120" s="198"/>
      <c r="GNP120" s="199"/>
      <c r="GNQ120" s="198"/>
      <c r="GNR120" s="199"/>
      <c r="GNS120" s="198"/>
      <c r="GNT120" s="199"/>
      <c r="GNU120" s="198"/>
      <c r="GNV120" s="199"/>
      <c r="GNW120" s="198"/>
      <c r="GNX120" s="199"/>
      <c r="GNY120" s="198"/>
      <c r="GNZ120" s="199"/>
      <c r="GOA120" s="198"/>
      <c r="GOB120" s="199"/>
      <c r="GOC120" s="198"/>
      <c r="GOD120" s="199"/>
      <c r="GOE120" s="198"/>
      <c r="GOF120" s="199"/>
      <c r="GOG120" s="198"/>
      <c r="GOH120" s="199"/>
      <c r="GOI120" s="198"/>
      <c r="GOJ120" s="199"/>
      <c r="GOK120" s="198"/>
      <c r="GOL120" s="199"/>
      <c r="GOM120" s="198"/>
      <c r="GON120" s="199"/>
      <c r="GOO120" s="198"/>
      <c r="GOP120" s="199"/>
      <c r="GOQ120" s="198"/>
      <c r="GOR120" s="199"/>
      <c r="GOS120" s="198"/>
      <c r="GOT120" s="199"/>
      <c r="GOU120" s="198"/>
      <c r="GOV120" s="199"/>
      <c r="GOW120" s="198"/>
      <c r="GOX120" s="199"/>
      <c r="GOY120" s="198"/>
      <c r="GOZ120" s="199"/>
      <c r="GPA120" s="198"/>
      <c r="GPB120" s="199"/>
      <c r="GPC120" s="198"/>
      <c r="GPD120" s="199"/>
      <c r="GPE120" s="198"/>
      <c r="GPF120" s="199"/>
      <c r="GPG120" s="198"/>
      <c r="GPH120" s="199"/>
      <c r="GPI120" s="198"/>
      <c r="GPJ120" s="199"/>
      <c r="GPK120" s="198"/>
      <c r="GPL120" s="199"/>
      <c r="GPM120" s="198"/>
      <c r="GPN120" s="199"/>
      <c r="GPO120" s="198"/>
      <c r="GPP120" s="199"/>
      <c r="GPQ120" s="198"/>
      <c r="GPR120" s="199"/>
      <c r="GPS120" s="198"/>
      <c r="GPT120" s="199"/>
      <c r="GPU120" s="198"/>
      <c r="GPV120" s="199"/>
      <c r="GPW120" s="198"/>
      <c r="GPX120" s="199"/>
      <c r="GPY120" s="198"/>
      <c r="GPZ120" s="199"/>
      <c r="GQA120" s="198"/>
      <c r="GQB120" s="199"/>
      <c r="GQC120" s="198"/>
      <c r="GQD120" s="199"/>
      <c r="GQE120" s="198"/>
      <c r="GQF120" s="199"/>
      <c r="GQG120" s="198"/>
      <c r="GQH120" s="199"/>
      <c r="GQI120" s="198"/>
      <c r="GQJ120" s="199"/>
      <c r="GQK120" s="198"/>
      <c r="GQL120" s="199"/>
      <c r="GQM120" s="198"/>
      <c r="GQN120" s="199"/>
      <c r="GQO120" s="198"/>
      <c r="GQP120" s="199"/>
      <c r="GQQ120" s="198"/>
      <c r="GQR120" s="199"/>
      <c r="GQS120" s="198"/>
      <c r="GQT120" s="199"/>
      <c r="GQU120" s="198"/>
      <c r="GQV120" s="199"/>
      <c r="GQW120" s="198"/>
      <c r="GQX120" s="199"/>
      <c r="GQY120" s="198"/>
      <c r="GQZ120" s="199"/>
      <c r="GRA120" s="198"/>
      <c r="GRB120" s="199"/>
      <c r="GRC120" s="198"/>
      <c r="GRD120" s="199"/>
      <c r="GRE120" s="198"/>
      <c r="GRF120" s="199"/>
      <c r="GRG120" s="198"/>
      <c r="GRH120" s="199"/>
      <c r="GRI120" s="198"/>
      <c r="GRJ120" s="199"/>
      <c r="GRK120" s="198"/>
      <c r="GRL120" s="199"/>
      <c r="GRM120" s="198"/>
      <c r="GRN120" s="199"/>
      <c r="GRO120" s="198"/>
      <c r="GRP120" s="199"/>
      <c r="GRQ120" s="198"/>
      <c r="GRR120" s="199"/>
      <c r="GRS120" s="198"/>
      <c r="GRT120" s="199"/>
      <c r="GRU120" s="198"/>
      <c r="GRV120" s="199"/>
      <c r="GRW120" s="198"/>
      <c r="GRX120" s="199"/>
      <c r="GRY120" s="198"/>
      <c r="GRZ120" s="199"/>
      <c r="GSA120" s="198"/>
      <c r="GSB120" s="199"/>
      <c r="GSC120" s="198"/>
      <c r="GSD120" s="199"/>
      <c r="GSE120" s="198"/>
      <c r="GSF120" s="199"/>
      <c r="GSG120" s="198"/>
      <c r="GSH120" s="199"/>
      <c r="GSI120" s="198"/>
      <c r="GSJ120" s="199"/>
      <c r="GSK120" s="198"/>
      <c r="GSL120" s="199"/>
      <c r="GSM120" s="198"/>
      <c r="GSN120" s="199"/>
      <c r="GSO120" s="198"/>
      <c r="GSP120" s="199"/>
      <c r="GSQ120" s="198"/>
      <c r="GSR120" s="199"/>
      <c r="GSS120" s="198"/>
      <c r="GST120" s="199"/>
      <c r="GSU120" s="198"/>
      <c r="GSV120" s="199"/>
      <c r="GSW120" s="198"/>
      <c r="GSX120" s="199"/>
      <c r="GSY120" s="198"/>
      <c r="GSZ120" s="199"/>
      <c r="GTA120" s="198"/>
      <c r="GTB120" s="199"/>
      <c r="GTC120" s="198"/>
      <c r="GTD120" s="199"/>
      <c r="GTE120" s="198"/>
      <c r="GTF120" s="199"/>
      <c r="GTG120" s="198"/>
      <c r="GTH120" s="199"/>
      <c r="GTI120" s="198"/>
      <c r="GTJ120" s="199"/>
      <c r="GTK120" s="198"/>
      <c r="GTL120" s="199"/>
      <c r="GTM120" s="198"/>
      <c r="GTN120" s="199"/>
      <c r="GTO120" s="198"/>
      <c r="GTP120" s="199"/>
      <c r="GTQ120" s="198"/>
      <c r="GTR120" s="199"/>
      <c r="GTS120" s="198"/>
      <c r="GTT120" s="199"/>
      <c r="GTU120" s="198"/>
      <c r="GTV120" s="199"/>
      <c r="GTW120" s="198"/>
      <c r="GTX120" s="199"/>
      <c r="GTY120" s="198"/>
      <c r="GTZ120" s="199"/>
      <c r="GUA120" s="198"/>
      <c r="GUB120" s="199"/>
      <c r="GUC120" s="198"/>
      <c r="GUD120" s="199"/>
      <c r="GUE120" s="198"/>
      <c r="GUF120" s="199"/>
      <c r="GUG120" s="198"/>
      <c r="GUH120" s="199"/>
      <c r="GUI120" s="198"/>
      <c r="GUJ120" s="199"/>
      <c r="GUK120" s="198"/>
      <c r="GUL120" s="199"/>
      <c r="GUM120" s="198"/>
      <c r="GUN120" s="199"/>
      <c r="GUO120" s="198"/>
      <c r="GUP120" s="199"/>
      <c r="GUQ120" s="198"/>
      <c r="GUR120" s="199"/>
      <c r="GUS120" s="198"/>
      <c r="GUT120" s="199"/>
      <c r="GUU120" s="198"/>
      <c r="GUV120" s="199"/>
      <c r="GUW120" s="198"/>
      <c r="GUX120" s="199"/>
      <c r="GUY120" s="198"/>
      <c r="GUZ120" s="199"/>
      <c r="GVA120" s="198"/>
      <c r="GVB120" s="199"/>
      <c r="GVC120" s="198"/>
      <c r="GVD120" s="199"/>
      <c r="GVE120" s="198"/>
      <c r="GVF120" s="199"/>
      <c r="GVG120" s="198"/>
      <c r="GVH120" s="199"/>
      <c r="GVI120" s="198"/>
      <c r="GVJ120" s="199"/>
      <c r="GVK120" s="198"/>
      <c r="GVL120" s="199"/>
      <c r="GVM120" s="198"/>
      <c r="GVN120" s="199"/>
      <c r="GVO120" s="198"/>
      <c r="GVP120" s="199"/>
      <c r="GVQ120" s="198"/>
      <c r="GVR120" s="199"/>
      <c r="GVS120" s="198"/>
      <c r="GVT120" s="199"/>
      <c r="GVU120" s="198"/>
      <c r="GVV120" s="199"/>
      <c r="GVW120" s="198"/>
      <c r="GVX120" s="199"/>
      <c r="GVY120" s="198"/>
      <c r="GVZ120" s="199"/>
      <c r="GWA120" s="198"/>
      <c r="GWB120" s="199"/>
      <c r="GWC120" s="198"/>
      <c r="GWD120" s="199"/>
      <c r="GWE120" s="198"/>
      <c r="GWF120" s="199"/>
      <c r="GWG120" s="198"/>
      <c r="GWH120" s="199"/>
      <c r="GWI120" s="198"/>
      <c r="GWJ120" s="199"/>
      <c r="GWK120" s="198"/>
      <c r="GWL120" s="199"/>
      <c r="GWM120" s="198"/>
      <c r="GWN120" s="199"/>
      <c r="GWO120" s="198"/>
      <c r="GWP120" s="199"/>
      <c r="GWQ120" s="198"/>
      <c r="GWR120" s="199"/>
      <c r="GWS120" s="198"/>
      <c r="GWT120" s="199"/>
      <c r="GWU120" s="198"/>
      <c r="GWV120" s="199"/>
      <c r="GWW120" s="198"/>
      <c r="GWX120" s="199"/>
      <c r="GWY120" s="198"/>
      <c r="GWZ120" s="199"/>
      <c r="GXA120" s="198"/>
      <c r="GXB120" s="199"/>
      <c r="GXC120" s="198"/>
      <c r="GXD120" s="199"/>
      <c r="GXE120" s="198"/>
      <c r="GXF120" s="199"/>
      <c r="GXG120" s="198"/>
      <c r="GXH120" s="199"/>
      <c r="GXI120" s="198"/>
      <c r="GXJ120" s="199"/>
      <c r="GXK120" s="198"/>
      <c r="GXL120" s="199"/>
      <c r="GXM120" s="198"/>
      <c r="GXN120" s="199"/>
      <c r="GXO120" s="198"/>
      <c r="GXP120" s="199"/>
      <c r="GXQ120" s="198"/>
      <c r="GXR120" s="199"/>
      <c r="GXS120" s="198"/>
      <c r="GXT120" s="199"/>
      <c r="GXU120" s="198"/>
      <c r="GXV120" s="199"/>
      <c r="GXW120" s="198"/>
      <c r="GXX120" s="199"/>
      <c r="GXY120" s="198"/>
      <c r="GXZ120" s="199"/>
      <c r="GYA120" s="198"/>
      <c r="GYB120" s="199"/>
      <c r="GYC120" s="198"/>
      <c r="GYD120" s="199"/>
      <c r="GYE120" s="198"/>
      <c r="GYF120" s="199"/>
      <c r="GYG120" s="198"/>
      <c r="GYH120" s="199"/>
      <c r="GYI120" s="198"/>
      <c r="GYJ120" s="199"/>
      <c r="GYK120" s="198"/>
      <c r="GYL120" s="199"/>
      <c r="GYM120" s="198"/>
      <c r="GYN120" s="199"/>
      <c r="GYO120" s="198"/>
      <c r="GYP120" s="199"/>
      <c r="GYQ120" s="198"/>
      <c r="GYR120" s="199"/>
      <c r="GYS120" s="198"/>
      <c r="GYT120" s="199"/>
      <c r="GYU120" s="198"/>
      <c r="GYV120" s="199"/>
      <c r="GYW120" s="198"/>
      <c r="GYX120" s="199"/>
      <c r="GYY120" s="198"/>
      <c r="GYZ120" s="199"/>
      <c r="GZA120" s="198"/>
      <c r="GZB120" s="199"/>
      <c r="GZC120" s="198"/>
      <c r="GZD120" s="199"/>
      <c r="GZE120" s="198"/>
      <c r="GZF120" s="199"/>
      <c r="GZG120" s="198"/>
      <c r="GZH120" s="199"/>
      <c r="GZI120" s="198"/>
      <c r="GZJ120" s="199"/>
      <c r="GZK120" s="198"/>
      <c r="GZL120" s="199"/>
      <c r="GZM120" s="198"/>
      <c r="GZN120" s="199"/>
      <c r="GZO120" s="198"/>
      <c r="GZP120" s="199"/>
      <c r="GZQ120" s="198"/>
      <c r="GZR120" s="199"/>
      <c r="GZS120" s="198"/>
      <c r="GZT120" s="199"/>
      <c r="GZU120" s="198"/>
      <c r="GZV120" s="199"/>
      <c r="GZW120" s="198"/>
      <c r="GZX120" s="199"/>
      <c r="GZY120" s="198"/>
      <c r="GZZ120" s="199"/>
      <c r="HAA120" s="198"/>
      <c r="HAB120" s="199"/>
      <c r="HAC120" s="198"/>
      <c r="HAD120" s="199"/>
      <c r="HAE120" s="198"/>
      <c r="HAF120" s="199"/>
      <c r="HAG120" s="198"/>
      <c r="HAH120" s="199"/>
      <c r="HAI120" s="198"/>
      <c r="HAJ120" s="199"/>
      <c r="HAK120" s="198"/>
      <c r="HAL120" s="199"/>
      <c r="HAM120" s="198"/>
      <c r="HAN120" s="199"/>
      <c r="HAO120" s="198"/>
      <c r="HAP120" s="199"/>
      <c r="HAQ120" s="198"/>
      <c r="HAR120" s="199"/>
      <c r="HAS120" s="198"/>
      <c r="HAT120" s="199"/>
      <c r="HAU120" s="198"/>
      <c r="HAV120" s="199"/>
      <c r="HAW120" s="198"/>
      <c r="HAX120" s="199"/>
      <c r="HAY120" s="198"/>
      <c r="HAZ120" s="199"/>
      <c r="HBA120" s="198"/>
      <c r="HBB120" s="199"/>
      <c r="HBC120" s="198"/>
      <c r="HBD120" s="199"/>
      <c r="HBE120" s="198"/>
      <c r="HBF120" s="199"/>
      <c r="HBG120" s="198"/>
      <c r="HBH120" s="199"/>
      <c r="HBI120" s="198"/>
      <c r="HBJ120" s="199"/>
      <c r="HBK120" s="198"/>
      <c r="HBL120" s="199"/>
      <c r="HBM120" s="198"/>
      <c r="HBN120" s="199"/>
      <c r="HBO120" s="198"/>
      <c r="HBP120" s="199"/>
      <c r="HBQ120" s="198"/>
      <c r="HBR120" s="199"/>
      <c r="HBS120" s="198"/>
      <c r="HBT120" s="199"/>
      <c r="HBU120" s="198"/>
      <c r="HBV120" s="199"/>
      <c r="HBW120" s="198"/>
      <c r="HBX120" s="199"/>
      <c r="HBY120" s="198"/>
      <c r="HBZ120" s="199"/>
      <c r="HCA120" s="198"/>
      <c r="HCB120" s="199"/>
      <c r="HCC120" s="198"/>
      <c r="HCD120" s="199"/>
      <c r="HCE120" s="198"/>
      <c r="HCF120" s="199"/>
      <c r="HCG120" s="198"/>
      <c r="HCH120" s="199"/>
      <c r="HCI120" s="198"/>
      <c r="HCJ120" s="199"/>
      <c r="HCK120" s="198"/>
      <c r="HCL120" s="199"/>
      <c r="HCM120" s="198"/>
      <c r="HCN120" s="199"/>
      <c r="HCO120" s="198"/>
      <c r="HCP120" s="199"/>
      <c r="HCQ120" s="198"/>
      <c r="HCR120" s="199"/>
      <c r="HCS120" s="198"/>
      <c r="HCT120" s="199"/>
      <c r="HCU120" s="198"/>
      <c r="HCV120" s="199"/>
      <c r="HCW120" s="198"/>
      <c r="HCX120" s="199"/>
      <c r="HCY120" s="198"/>
      <c r="HCZ120" s="199"/>
      <c r="HDA120" s="198"/>
      <c r="HDB120" s="199"/>
      <c r="HDC120" s="198"/>
      <c r="HDD120" s="199"/>
      <c r="HDE120" s="198"/>
      <c r="HDF120" s="199"/>
      <c r="HDG120" s="198"/>
      <c r="HDH120" s="199"/>
      <c r="HDI120" s="198"/>
      <c r="HDJ120" s="199"/>
      <c r="HDK120" s="198"/>
      <c r="HDL120" s="199"/>
      <c r="HDM120" s="198"/>
      <c r="HDN120" s="199"/>
      <c r="HDO120" s="198"/>
      <c r="HDP120" s="199"/>
      <c r="HDQ120" s="198"/>
      <c r="HDR120" s="199"/>
      <c r="HDS120" s="198"/>
      <c r="HDT120" s="199"/>
      <c r="HDU120" s="198"/>
      <c r="HDV120" s="199"/>
      <c r="HDW120" s="198"/>
      <c r="HDX120" s="199"/>
      <c r="HDY120" s="198"/>
      <c r="HDZ120" s="199"/>
      <c r="HEA120" s="198"/>
      <c r="HEB120" s="199"/>
      <c r="HEC120" s="198"/>
      <c r="HED120" s="199"/>
      <c r="HEE120" s="198"/>
      <c r="HEF120" s="199"/>
      <c r="HEG120" s="198"/>
      <c r="HEH120" s="199"/>
      <c r="HEI120" s="198"/>
      <c r="HEJ120" s="199"/>
      <c r="HEK120" s="198"/>
      <c r="HEL120" s="199"/>
      <c r="HEM120" s="198"/>
      <c r="HEN120" s="199"/>
      <c r="HEO120" s="198"/>
      <c r="HEP120" s="199"/>
      <c r="HEQ120" s="198"/>
      <c r="HER120" s="199"/>
      <c r="HES120" s="198"/>
      <c r="HET120" s="199"/>
      <c r="HEU120" s="198"/>
      <c r="HEV120" s="199"/>
      <c r="HEW120" s="198"/>
      <c r="HEX120" s="199"/>
      <c r="HEY120" s="198"/>
      <c r="HEZ120" s="199"/>
      <c r="HFA120" s="198"/>
      <c r="HFB120" s="199"/>
      <c r="HFC120" s="198"/>
      <c r="HFD120" s="199"/>
      <c r="HFE120" s="198"/>
      <c r="HFF120" s="199"/>
      <c r="HFG120" s="198"/>
      <c r="HFH120" s="199"/>
      <c r="HFI120" s="198"/>
      <c r="HFJ120" s="199"/>
      <c r="HFK120" s="198"/>
      <c r="HFL120" s="199"/>
      <c r="HFM120" s="198"/>
      <c r="HFN120" s="199"/>
      <c r="HFO120" s="198"/>
      <c r="HFP120" s="199"/>
      <c r="HFQ120" s="198"/>
      <c r="HFR120" s="199"/>
      <c r="HFS120" s="198"/>
      <c r="HFT120" s="199"/>
      <c r="HFU120" s="198"/>
      <c r="HFV120" s="199"/>
      <c r="HFW120" s="198"/>
      <c r="HFX120" s="199"/>
      <c r="HFY120" s="198"/>
      <c r="HFZ120" s="199"/>
      <c r="HGA120" s="198"/>
      <c r="HGB120" s="199"/>
      <c r="HGC120" s="198"/>
      <c r="HGD120" s="199"/>
      <c r="HGE120" s="198"/>
      <c r="HGF120" s="199"/>
      <c r="HGG120" s="198"/>
      <c r="HGH120" s="199"/>
      <c r="HGI120" s="198"/>
      <c r="HGJ120" s="199"/>
      <c r="HGK120" s="198"/>
      <c r="HGL120" s="199"/>
      <c r="HGM120" s="198"/>
      <c r="HGN120" s="199"/>
      <c r="HGO120" s="198"/>
      <c r="HGP120" s="199"/>
      <c r="HGQ120" s="198"/>
      <c r="HGR120" s="199"/>
      <c r="HGS120" s="198"/>
      <c r="HGT120" s="199"/>
      <c r="HGU120" s="198"/>
      <c r="HGV120" s="199"/>
      <c r="HGW120" s="198"/>
      <c r="HGX120" s="199"/>
      <c r="HGY120" s="198"/>
      <c r="HGZ120" s="199"/>
      <c r="HHA120" s="198"/>
      <c r="HHB120" s="199"/>
      <c r="HHC120" s="198"/>
      <c r="HHD120" s="199"/>
      <c r="HHE120" s="198"/>
      <c r="HHF120" s="199"/>
      <c r="HHG120" s="198"/>
      <c r="HHH120" s="199"/>
      <c r="HHI120" s="198"/>
      <c r="HHJ120" s="199"/>
      <c r="HHK120" s="198"/>
      <c r="HHL120" s="199"/>
      <c r="HHM120" s="198"/>
      <c r="HHN120" s="199"/>
      <c r="HHO120" s="198"/>
      <c r="HHP120" s="199"/>
      <c r="HHQ120" s="198"/>
      <c r="HHR120" s="199"/>
      <c r="HHS120" s="198"/>
      <c r="HHT120" s="199"/>
      <c r="HHU120" s="198"/>
      <c r="HHV120" s="199"/>
      <c r="HHW120" s="198"/>
      <c r="HHX120" s="199"/>
      <c r="HHY120" s="198"/>
      <c r="HHZ120" s="199"/>
      <c r="HIA120" s="198"/>
      <c r="HIB120" s="199"/>
      <c r="HIC120" s="198"/>
      <c r="HID120" s="199"/>
      <c r="HIE120" s="198"/>
      <c r="HIF120" s="199"/>
      <c r="HIG120" s="198"/>
      <c r="HIH120" s="199"/>
      <c r="HII120" s="198"/>
      <c r="HIJ120" s="199"/>
      <c r="HIK120" s="198"/>
      <c r="HIL120" s="199"/>
      <c r="HIM120" s="198"/>
      <c r="HIN120" s="199"/>
      <c r="HIO120" s="198"/>
      <c r="HIP120" s="199"/>
      <c r="HIQ120" s="198"/>
      <c r="HIR120" s="199"/>
      <c r="HIS120" s="198"/>
      <c r="HIT120" s="199"/>
      <c r="HIU120" s="198"/>
      <c r="HIV120" s="199"/>
      <c r="HIW120" s="198"/>
      <c r="HIX120" s="199"/>
      <c r="HIY120" s="198"/>
      <c r="HIZ120" s="199"/>
      <c r="HJA120" s="198"/>
      <c r="HJB120" s="199"/>
      <c r="HJC120" s="198"/>
      <c r="HJD120" s="199"/>
      <c r="HJE120" s="198"/>
      <c r="HJF120" s="199"/>
      <c r="HJG120" s="198"/>
      <c r="HJH120" s="199"/>
      <c r="HJI120" s="198"/>
      <c r="HJJ120" s="199"/>
      <c r="HJK120" s="198"/>
      <c r="HJL120" s="199"/>
      <c r="HJM120" s="198"/>
      <c r="HJN120" s="199"/>
      <c r="HJO120" s="198"/>
      <c r="HJP120" s="199"/>
      <c r="HJQ120" s="198"/>
      <c r="HJR120" s="199"/>
      <c r="HJS120" s="198"/>
      <c r="HJT120" s="199"/>
      <c r="HJU120" s="198"/>
      <c r="HJV120" s="199"/>
      <c r="HJW120" s="198"/>
      <c r="HJX120" s="199"/>
      <c r="HJY120" s="198"/>
      <c r="HJZ120" s="199"/>
      <c r="HKA120" s="198"/>
      <c r="HKB120" s="199"/>
      <c r="HKC120" s="198"/>
      <c r="HKD120" s="199"/>
      <c r="HKE120" s="198"/>
      <c r="HKF120" s="199"/>
      <c r="HKG120" s="198"/>
      <c r="HKH120" s="199"/>
      <c r="HKI120" s="198"/>
      <c r="HKJ120" s="199"/>
      <c r="HKK120" s="198"/>
      <c r="HKL120" s="199"/>
      <c r="HKM120" s="198"/>
      <c r="HKN120" s="199"/>
      <c r="HKO120" s="198"/>
      <c r="HKP120" s="199"/>
      <c r="HKQ120" s="198"/>
      <c r="HKR120" s="199"/>
      <c r="HKS120" s="198"/>
      <c r="HKT120" s="199"/>
      <c r="HKU120" s="198"/>
      <c r="HKV120" s="199"/>
      <c r="HKW120" s="198"/>
      <c r="HKX120" s="199"/>
      <c r="HKY120" s="198"/>
      <c r="HKZ120" s="199"/>
      <c r="HLA120" s="198"/>
      <c r="HLB120" s="199"/>
      <c r="HLC120" s="198"/>
      <c r="HLD120" s="199"/>
      <c r="HLE120" s="198"/>
      <c r="HLF120" s="199"/>
      <c r="HLG120" s="198"/>
      <c r="HLH120" s="199"/>
      <c r="HLI120" s="198"/>
      <c r="HLJ120" s="199"/>
      <c r="HLK120" s="198"/>
      <c r="HLL120" s="199"/>
      <c r="HLM120" s="198"/>
      <c r="HLN120" s="199"/>
      <c r="HLO120" s="198"/>
      <c r="HLP120" s="199"/>
      <c r="HLQ120" s="198"/>
      <c r="HLR120" s="199"/>
      <c r="HLS120" s="198"/>
      <c r="HLT120" s="199"/>
      <c r="HLU120" s="198"/>
      <c r="HLV120" s="199"/>
      <c r="HLW120" s="198"/>
      <c r="HLX120" s="199"/>
      <c r="HLY120" s="198"/>
      <c r="HLZ120" s="199"/>
      <c r="HMA120" s="198"/>
      <c r="HMB120" s="199"/>
      <c r="HMC120" s="198"/>
      <c r="HMD120" s="199"/>
      <c r="HME120" s="198"/>
      <c r="HMF120" s="199"/>
      <c r="HMG120" s="198"/>
      <c r="HMH120" s="199"/>
      <c r="HMI120" s="198"/>
      <c r="HMJ120" s="199"/>
      <c r="HMK120" s="198"/>
      <c r="HML120" s="199"/>
      <c r="HMM120" s="198"/>
      <c r="HMN120" s="199"/>
      <c r="HMO120" s="198"/>
      <c r="HMP120" s="199"/>
      <c r="HMQ120" s="198"/>
      <c r="HMR120" s="199"/>
      <c r="HMS120" s="198"/>
      <c r="HMT120" s="199"/>
      <c r="HMU120" s="198"/>
      <c r="HMV120" s="199"/>
      <c r="HMW120" s="198"/>
      <c r="HMX120" s="199"/>
      <c r="HMY120" s="198"/>
      <c r="HMZ120" s="199"/>
      <c r="HNA120" s="198"/>
      <c r="HNB120" s="199"/>
      <c r="HNC120" s="198"/>
      <c r="HND120" s="199"/>
      <c r="HNE120" s="198"/>
      <c r="HNF120" s="199"/>
      <c r="HNG120" s="198"/>
      <c r="HNH120" s="199"/>
      <c r="HNI120" s="198"/>
      <c r="HNJ120" s="199"/>
      <c r="HNK120" s="198"/>
      <c r="HNL120" s="199"/>
      <c r="HNM120" s="198"/>
      <c r="HNN120" s="199"/>
      <c r="HNO120" s="198"/>
      <c r="HNP120" s="199"/>
      <c r="HNQ120" s="198"/>
      <c r="HNR120" s="199"/>
      <c r="HNS120" s="198"/>
      <c r="HNT120" s="199"/>
      <c r="HNU120" s="198"/>
      <c r="HNV120" s="199"/>
      <c r="HNW120" s="198"/>
      <c r="HNX120" s="199"/>
      <c r="HNY120" s="198"/>
      <c r="HNZ120" s="199"/>
      <c r="HOA120" s="198"/>
      <c r="HOB120" s="199"/>
      <c r="HOC120" s="198"/>
      <c r="HOD120" s="199"/>
      <c r="HOE120" s="198"/>
      <c r="HOF120" s="199"/>
      <c r="HOG120" s="198"/>
      <c r="HOH120" s="199"/>
      <c r="HOI120" s="198"/>
      <c r="HOJ120" s="199"/>
      <c r="HOK120" s="198"/>
      <c r="HOL120" s="199"/>
      <c r="HOM120" s="198"/>
      <c r="HON120" s="199"/>
      <c r="HOO120" s="198"/>
      <c r="HOP120" s="199"/>
      <c r="HOQ120" s="198"/>
      <c r="HOR120" s="199"/>
      <c r="HOS120" s="198"/>
      <c r="HOT120" s="199"/>
      <c r="HOU120" s="198"/>
      <c r="HOV120" s="199"/>
      <c r="HOW120" s="198"/>
      <c r="HOX120" s="199"/>
      <c r="HOY120" s="198"/>
      <c r="HOZ120" s="199"/>
      <c r="HPA120" s="198"/>
      <c r="HPB120" s="199"/>
      <c r="HPC120" s="198"/>
      <c r="HPD120" s="199"/>
      <c r="HPE120" s="198"/>
      <c r="HPF120" s="199"/>
      <c r="HPG120" s="198"/>
      <c r="HPH120" s="199"/>
      <c r="HPI120" s="198"/>
      <c r="HPJ120" s="199"/>
      <c r="HPK120" s="198"/>
      <c r="HPL120" s="199"/>
      <c r="HPM120" s="198"/>
      <c r="HPN120" s="199"/>
      <c r="HPO120" s="198"/>
      <c r="HPP120" s="199"/>
      <c r="HPQ120" s="198"/>
      <c r="HPR120" s="199"/>
      <c r="HPS120" s="198"/>
      <c r="HPT120" s="199"/>
      <c r="HPU120" s="198"/>
      <c r="HPV120" s="199"/>
      <c r="HPW120" s="198"/>
      <c r="HPX120" s="199"/>
      <c r="HPY120" s="198"/>
      <c r="HPZ120" s="199"/>
      <c r="HQA120" s="198"/>
      <c r="HQB120" s="199"/>
      <c r="HQC120" s="198"/>
      <c r="HQD120" s="199"/>
      <c r="HQE120" s="198"/>
      <c r="HQF120" s="199"/>
      <c r="HQG120" s="198"/>
      <c r="HQH120" s="199"/>
      <c r="HQI120" s="198"/>
      <c r="HQJ120" s="199"/>
      <c r="HQK120" s="198"/>
      <c r="HQL120" s="199"/>
      <c r="HQM120" s="198"/>
      <c r="HQN120" s="199"/>
      <c r="HQO120" s="198"/>
      <c r="HQP120" s="199"/>
      <c r="HQQ120" s="198"/>
      <c r="HQR120" s="199"/>
      <c r="HQS120" s="198"/>
      <c r="HQT120" s="199"/>
      <c r="HQU120" s="198"/>
      <c r="HQV120" s="199"/>
      <c r="HQW120" s="198"/>
      <c r="HQX120" s="199"/>
      <c r="HQY120" s="198"/>
      <c r="HQZ120" s="199"/>
      <c r="HRA120" s="198"/>
      <c r="HRB120" s="199"/>
      <c r="HRC120" s="198"/>
      <c r="HRD120" s="199"/>
      <c r="HRE120" s="198"/>
      <c r="HRF120" s="199"/>
      <c r="HRG120" s="198"/>
      <c r="HRH120" s="199"/>
      <c r="HRI120" s="198"/>
      <c r="HRJ120" s="199"/>
      <c r="HRK120" s="198"/>
      <c r="HRL120" s="199"/>
      <c r="HRM120" s="198"/>
      <c r="HRN120" s="199"/>
      <c r="HRO120" s="198"/>
      <c r="HRP120" s="199"/>
      <c r="HRQ120" s="198"/>
      <c r="HRR120" s="199"/>
      <c r="HRS120" s="198"/>
      <c r="HRT120" s="199"/>
      <c r="HRU120" s="198"/>
      <c r="HRV120" s="199"/>
      <c r="HRW120" s="198"/>
      <c r="HRX120" s="199"/>
      <c r="HRY120" s="198"/>
      <c r="HRZ120" s="199"/>
      <c r="HSA120" s="198"/>
      <c r="HSB120" s="199"/>
      <c r="HSC120" s="198"/>
      <c r="HSD120" s="199"/>
      <c r="HSE120" s="198"/>
      <c r="HSF120" s="199"/>
      <c r="HSG120" s="198"/>
      <c r="HSH120" s="199"/>
      <c r="HSI120" s="198"/>
      <c r="HSJ120" s="199"/>
      <c r="HSK120" s="198"/>
      <c r="HSL120" s="199"/>
      <c r="HSM120" s="198"/>
      <c r="HSN120" s="199"/>
      <c r="HSO120" s="198"/>
      <c r="HSP120" s="199"/>
      <c r="HSQ120" s="198"/>
      <c r="HSR120" s="199"/>
      <c r="HSS120" s="198"/>
      <c r="HST120" s="199"/>
      <c r="HSU120" s="198"/>
      <c r="HSV120" s="199"/>
      <c r="HSW120" s="198"/>
      <c r="HSX120" s="199"/>
      <c r="HSY120" s="198"/>
      <c r="HSZ120" s="199"/>
      <c r="HTA120" s="198"/>
      <c r="HTB120" s="199"/>
      <c r="HTC120" s="198"/>
      <c r="HTD120" s="199"/>
      <c r="HTE120" s="198"/>
      <c r="HTF120" s="199"/>
      <c r="HTG120" s="198"/>
      <c r="HTH120" s="199"/>
      <c r="HTI120" s="198"/>
      <c r="HTJ120" s="199"/>
      <c r="HTK120" s="198"/>
      <c r="HTL120" s="199"/>
      <c r="HTM120" s="198"/>
      <c r="HTN120" s="199"/>
      <c r="HTO120" s="198"/>
      <c r="HTP120" s="199"/>
      <c r="HTQ120" s="198"/>
      <c r="HTR120" s="199"/>
      <c r="HTS120" s="198"/>
      <c r="HTT120" s="199"/>
      <c r="HTU120" s="198"/>
      <c r="HTV120" s="199"/>
      <c r="HTW120" s="198"/>
      <c r="HTX120" s="199"/>
      <c r="HTY120" s="198"/>
      <c r="HTZ120" s="199"/>
      <c r="HUA120" s="198"/>
      <c r="HUB120" s="199"/>
      <c r="HUC120" s="198"/>
      <c r="HUD120" s="199"/>
      <c r="HUE120" s="198"/>
      <c r="HUF120" s="199"/>
      <c r="HUG120" s="198"/>
      <c r="HUH120" s="199"/>
      <c r="HUI120" s="198"/>
      <c r="HUJ120" s="199"/>
      <c r="HUK120" s="198"/>
      <c r="HUL120" s="199"/>
      <c r="HUM120" s="198"/>
      <c r="HUN120" s="199"/>
      <c r="HUO120" s="198"/>
      <c r="HUP120" s="199"/>
      <c r="HUQ120" s="198"/>
      <c r="HUR120" s="199"/>
      <c r="HUS120" s="198"/>
      <c r="HUT120" s="199"/>
      <c r="HUU120" s="198"/>
      <c r="HUV120" s="199"/>
      <c r="HUW120" s="198"/>
      <c r="HUX120" s="199"/>
      <c r="HUY120" s="198"/>
      <c r="HUZ120" s="199"/>
      <c r="HVA120" s="198"/>
      <c r="HVB120" s="199"/>
      <c r="HVC120" s="198"/>
      <c r="HVD120" s="199"/>
      <c r="HVE120" s="198"/>
      <c r="HVF120" s="199"/>
      <c r="HVG120" s="198"/>
      <c r="HVH120" s="199"/>
      <c r="HVI120" s="198"/>
      <c r="HVJ120" s="199"/>
      <c r="HVK120" s="198"/>
      <c r="HVL120" s="199"/>
      <c r="HVM120" s="198"/>
      <c r="HVN120" s="199"/>
      <c r="HVO120" s="198"/>
      <c r="HVP120" s="199"/>
      <c r="HVQ120" s="198"/>
      <c r="HVR120" s="199"/>
      <c r="HVS120" s="198"/>
      <c r="HVT120" s="199"/>
      <c r="HVU120" s="198"/>
      <c r="HVV120" s="199"/>
      <c r="HVW120" s="198"/>
      <c r="HVX120" s="199"/>
      <c r="HVY120" s="198"/>
      <c r="HVZ120" s="199"/>
      <c r="HWA120" s="198"/>
      <c r="HWB120" s="199"/>
      <c r="HWC120" s="198"/>
      <c r="HWD120" s="199"/>
      <c r="HWE120" s="198"/>
      <c r="HWF120" s="199"/>
      <c r="HWG120" s="198"/>
      <c r="HWH120" s="199"/>
      <c r="HWI120" s="198"/>
      <c r="HWJ120" s="199"/>
      <c r="HWK120" s="198"/>
      <c r="HWL120" s="199"/>
      <c r="HWM120" s="198"/>
      <c r="HWN120" s="199"/>
      <c r="HWO120" s="198"/>
      <c r="HWP120" s="199"/>
      <c r="HWQ120" s="198"/>
      <c r="HWR120" s="199"/>
      <c r="HWS120" s="198"/>
      <c r="HWT120" s="199"/>
      <c r="HWU120" s="198"/>
      <c r="HWV120" s="199"/>
      <c r="HWW120" s="198"/>
      <c r="HWX120" s="199"/>
      <c r="HWY120" s="198"/>
      <c r="HWZ120" s="199"/>
      <c r="HXA120" s="198"/>
      <c r="HXB120" s="199"/>
      <c r="HXC120" s="198"/>
      <c r="HXD120" s="199"/>
      <c r="HXE120" s="198"/>
      <c r="HXF120" s="199"/>
      <c r="HXG120" s="198"/>
      <c r="HXH120" s="199"/>
      <c r="HXI120" s="198"/>
      <c r="HXJ120" s="199"/>
      <c r="HXK120" s="198"/>
      <c r="HXL120" s="199"/>
      <c r="HXM120" s="198"/>
      <c r="HXN120" s="199"/>
      <c r="HXO120" s="198"/>
      <c r="HXP120" s="199"/>
      <c r="HXQ120" s="198"/>
      <c r="HXR120" s="199"/>
      <c r="HXS120" s="198"/>
      <c r="HXT120" s="199"/>
      <c r="HXU120" s="198"/>
      <c r="HXV120" s="199"/>
      <c r="HXW120" s="198"/>
      <c r="HXX120" s="199"/>
      <c r="HXY120" s="198"/>
      <c r="HXZ120" s="199"/>
      <c r="HYA120" s="198"/>
      <c r="HYB120" s="199"/>
      <c r="HYC120" s="198"/>
      <c r="HYD120" s="199"/>
      <c r="HYE120" s="198"/>
      <c r="HYF120" s="199"/>
      <c r="HYG120" s="198"/>
      <c r="HYH120" s="199"/>
      <c r="HYI120" s="198"/>
      <c r="HYJ120" s="199"/>
      <c r="HYK120" s="198"/>
      <c r="HYL120" s="199"/>
      <c r="HYM120" s="198"/>
      <c r="HYN120" s="199"/>
      <c r="HYO120" s="198"/>
      <c r="HYP120" s="199"/>
      <c r="HYQ120" s="198"/>
      <c r="HYR120" s="199"/>
      <c r="HYS120" s="198"/>
      <c r="HYT120" s="199"/>
      <c r="HYU120" s="198"/>
      <c r="HYV120" s="199"/>
      <c r="HYW120" s="198"/>
      <c r="HYX120" s="199"/>
      <c r="HYY120" s="198"/>
      <c r="HYZ120" s="199"/>
      <c r="HZA120" s="198"/>
      <c r="HZB120" s="199"/>
      <c r="HZC120" s="198"/>
      <c r="HZD120" s="199"/>
      <c r="HZE120" s="198"/>
      <c r="HZF120" s="199"/>
      <c r="HZG120" s="198"/>
      <c r="HZH120" s="199"/>
      <c r="HZI120" s="198"/>
      <c r="HZJ120" s="199"/>
      <c r="HZK120" s="198"/>
      <c r="HZL120" s="199"/>
      <c r="HZM120" s="198"/>
      <c r="HZN120" s="199"/>
      <c r="HZO120" s="198"/>
      <c r="HZP120" s="199"/>
      <c r="HZQ120" s="198"/>
      <c r="HZR120" s="199"/>
      <c r="HZS120" s="198"/>
      <c r="HZT120" s="199"/>
      <c r="HZU120" s="198"/>
      <c r="HZV120" s="199"/>
      <c r="HZW120" s="198"/>
      <c r="HZX120" s="199"/>
      <c r="HZY120" s="198"/>
      <c r="HZZ120" s="199"/>
      <c r="IAA120" s="198"/>
      <c r="IAB120" s="199"/>
      <c r="IAC120" s="198"/>
      <c r="IAD120" s="199"/>
      <c r="IAE120" s="198"/>
      <c r="IAF120" s="199"/>
      <c r="IAG120" s="198"/>
      <c r="IAH120" s="199"/>
      <c r="IAI120" s="198"/>
      <c r="IAJ120" s="199"/>
      <c r="IAK120" s="198"/>
      <c r="IAL120" s="199"/>
      <c r="IAM120" s="198"/>
      <c r="IAN120" s="199"/>
      <c r="IAO120" s="198"/>
      <c r="IAP120" s="199"/>
      <c r="IAQ120" s="198"/>
      <c r="IAR120" s="199"/>
      <c r="IAS120" s="198"/>
      <c r="IAT120" s="199"/>
      <c r="IAU120" s="198"/>
      <c r="IAV120" s="199"/>
      <c r="IAW120" s="198"/>
      <c r="IAX120" s="199"/>
      <c r="IAY120" s="198"/>
      <c r="IAZ120" s="199"/>
      <c r="IBA120" s="198"/>
      <c r="IBB120" s="199"/>
      <c r="IBC120" s="198"/>
      <c r="IBD120" s="199"/>
      <c r="IBE120" s="198"/>
      <c r="IBF120" s="199"/>
      <c r="IBG120" s="198"/>
      <c r="IBH120" s="199"/>
      <c r="IBI120" s="198"/>
      <c r="IBJ120" s="199"/>
      <c r="IBK120" s="198"/>
      <c r="IBL120" s="199"/>
      <c r="IBM120" s="198"/>
      <c r="IBN120" s="199"/>
      <c r="IBO120" s="198"/>
      <c r="IBP120" s="199"/>
      <c r="IBQ120" s="198"/>
      <c r="IBR120" s="199"/>
      <c r="IBS120" s="198"/>
      <c r="IBT120" s="199"/>
      <c r="IBU120" s="198"/>
      <c r="IBV120" s="199"/>
      <c r="IBW120" s="198"/>
      <c r="IBX120" s="199"/>
      <c r="IBY120" s="198"/>
      <c r="IBZ120" s="199"/>
      <c r="ICA120" s="198"/>
      <c r="ICB120" s="199"/>
      <c r="ICC120" s="198"/>
      <c r="ICD120" s="199"/>
      <c r="ICE120" s="198"/>
      <c r="ICF120" s="199"/>
      <c r="ICG120" s="198"/>
      <c r="ICH120" s="199"/>
      <c r="ICI120" s="198"/>
      <c r="ICJ120" s="199"/>
      <c r="ICK120" s="198"/>
      <c r="ICL120" s="199"/>
      <c r="ICM120" s="198"/>
      <c r="ICN120" s="199"/>
      <c r="ICO120" s="198"/>
      <c r="ICP120" s="199"/>
      <c r="ICQ120" s="198"/>
      <c r="ICR120" s="199"/>
      <c r="ICS120" s="198"/>
      <c r="ICT120" s="199"/>
      <c r="ICU120" s="198"/>
      <c r="ICV120" s="199"/>
      <c r="ICW120" s="198"/>
      <c r="ICX120" s="199"/>
      <c r="ICY120" s="198"/>
      <c r="ICZ120" s="199"/>
      <c r="IDA120" s="198"/>
      <c r="IDB120" s="199"/>
      <c r="IDC120" s="198"/>
      <c r="IDD120" s="199"/>
      <c r="IDE120" s="198"/>
      <c r="IDF120" s="199"/>
      <c r="IDG120" s="198"/>
      <c r="IDH120" s="199"/>
      <c r="IDI120" s="198"/>
      <c r="IDJ120" s="199"/>
      <c r="IDK120" s="198"/>
      <c r="IDL120" s="199"/>
      <c r="IDM120" s="198"/>
      <c r="IDN120" s="199"/>
      <c r="IDO120" s="198"/>
      <c r="IDP120" s="199"/>
      <c r="IDQ120" s="198"/>
      <c r="IDR120" s="199"/>
      <c r="IDS120" s="198"/>
      <c r="IDT120" s="199"/>
      <c r="IDU120" s="198"/>
      <c r="IDV120" s="199"/>
      <c r="IDW120" s="198"/>
      <c r="IDX120" s="199"/>
      <c r="IDY120" s="198"/>
      <c r="IDZ120" s="199"/>
      <c r="IEA120" s="198"/>
      <c r="IEB120" s="199"/>
      <c r="IEC120" s="198"/>
      <c r="IED120" s="199"/>
      <c r="IEE120" s="198"/>
      <c r="IEF120" s="199"/>
      <c r="IEG120" s="198"/>
      <c r="IEH120" s="199"/>
      <c r="IEI120" s="198"/>
      <c r="IEJ120" s="199"/>
      <c r="IEK120" s="198"/>
      <c r="IEL120" s="199"/>
      <c r="IEM120" s="198"/>
      <c r="IEN120" s="199"/>
      <c r="IEO120" s="198"/>
      <c r="IEP120" s="199"/>
      <c r="IEQ120" s="198"/>
      <c r="IER120" s="199"/>
      <c r="IES120" s="198"/>
      <c r="IET120" s="199"/>
      <c r="IEU120" s="198"/>
      <c r="IEV120" s="199"/>
      <c r="IEW120" s="198"/>
      <c r="IEX120" s="199"/>
      <c r="IEY120" s="198"/>
      <c r="IEZ120" s="199"/>
      <c r="IFA120" s="198"/>
      <c r="IFB120" s="199"/>
      <c r="IFC120" s="198"/>
      <c r="IFD120" s="199"/>
      <c r="IFE120" s="198"/>
      <c r="IFF120" s="199"/>
      <c r="IFG120" s="198"/>
      <c r="IFH120" s="199"/>
      <c r="IFI120" s="198"/>
      <c r="IFJ120" s="199"/>
      <c r="IFK120" s="198"/>
      <c r="IFL120" s="199"/>
      <c r="IFM120" s="198"/>
      <c r="IFN120" s="199"/>
      <c r="IFO120" s="198"/>
      <c r="IFP120" s="199"/>
      <c r="IFQ120" s="198"/>
      <c r="IFR120" s="199"/>
      <c r="IFS120" s="198"/>
      <c r="IFT120" s="199"/>
      <c r="IFU120" s="198"/>
      <c r="IFV120" s="199"/>
      <c r="IFW120" s="198"/>
      <c r="IFX120" s="199"/>
      <c r="IFY120" s="198"/>
      <c r="IFZ120" s="199"/>
      <c r="IGA120" s="198"/>
      <c r="IGB120" s="199"/>
      <c r="IGC120" s="198"/>
      <c r="IGD120" s="199"/>
      <c r="IGE120" s="198"/>
      <c r="IGF120" s="199"/>
      <c r="IGG120" s="198"/>
      <c r="IGH120" s="199"/>
      <c r="IGI120" s="198"/>
      <c r="IGJ120" s="199"/>
      <c r="IGK120" s="198"/>
      <c r="IGL120" s="199"/>
      <c r="IGM120" s="198"/>
      <c r="IGN120" s="199"/>
      <c r="IGO120" s="198"/>
      <c r="IGP120" s="199"/>
      <c r="IGQ120" s="198"/>
      <c r="IGR120" s="199"/>
      <c r="IGS120" s="198"/>
      <c r="IGT120" s="199"/>
      <c r="IGU120" s="198"/>
      <c r="IGV120" s="199"/>
      <c r="IGW120" s="198"/>
      <c r="IGX120" s="199"/>
      <c r="IGY120" s="198"/>
      <c r="IGZ120" s="199"/>
      <c r="IHA120" s="198"/>
      <c r="IHB120" s="199"/>
      <c r="IHC120" s="198"/>
      <c r="IHD120" s="199"/>
      <c r="IHE120" s="198"/>
      <c r="IHF120" s="199"/>
      <c r="IHG120" s="198"/>
      <c r="IHH120" s="199"/>
      <c r="IHI120" s="198"/>
      <c r="IHJ120" s="199"/>
      <c r="IHK120" s="198"/>
      <c r="IHL120" s="199"/>
      <c r="IHM120" s="198"/>
      <c r="IHN120" s="199"/>
      <c r="IHO120" s="198"/>
      <c r="IHP120" s="199"/>
      <c r="IHQ120" s="198"/>
      <c r="IHR120" s="199"/>
      <c r="IHS120" s="198"/>
      <c r="IHT120" s="199"/>
      <c r="IHU120" s="198"/>
      <c r="IHV120" s="199"/>
      <c r="IHW120" s="198"/>
      <c r="IHX120" s="199"/>
      <c r="IHY120" s="198"/>
      <c r="IHZ120" s="199"/>
      <c r="IIA120" s="198"/>
      <c r="IIB120" s="199"/>
      <c r="IIC120" s="198"/>
      <c r="IID120" s="199"/>
      <c r="IIE120" s="198"/>
      <c r="IIF120" s="199"/>
      <c r="IIG120" s="198"/>
      <c r="IIH120" s="199"/>
      <c r="III120" s="198"/>
      <c r="IIJ120" s="199"/>
      <c r="IIK120" s="198"/>
      <c r="IIL120" s="199"/>
      <c r="IIM120" s="198"/>
      <c r="IIN120" s="199"/>
      <c r="IIO120" s="198"/>
      <c r="IIP120" s="199"/>
      <c r="IIQ120" s="198"/>
      <c r="IIR120" s="199"/>
      <c r="IIS120" s="198"/>
      <c r="IIT120" s="199"/>
      <c r="IIU120" s="198"/>
      <c r="IIV120" s="199"/>
      <c r="IIW120" s="198"/>
      <c r="IIX120" s="199"/>
      <c r="IIY120" s="198"/>
      <c r="IIZ120" s="199"/>
      <c r="IJA120" s="198"/>
      <c r="IJB120" s="199"/>
      <c r="IJC120" s="198"/>
      <c r="IJD120" s="199"/>
      <c r="IJE120" s="198"/>
      <c r="IJF120" s="199"/>
      <c r="IJG120" s="198"/>
      <c r="IJH120" s="199"/>
      <c r="IJI120" s="198"/>
      <c r="IJJ120" s="199"/>
      <c r="IJK120" s="198"/>
      <c r="IJL120" s="199"/>
      <c r="IJM120" s="198"/>
      <c r="IJN120" s="199"/>
      <c r="IJO120" s="198"/>
      <c r="IJP120" s="199"/>
      <c r="IJQ120" s="198"/>
      <c r="IJR120" s="199"/>
      <c r="IJS120" s="198"/>
      <c r="IJT120" s="199"/>
      <c r="IJU120" s="198"/>
      <c r="IJV120" s="199"/>
      <c r="IJW120" s="198"/>
      <c r="IJX120" s="199"/>
      <c r="IJY120" s="198"/>
      <c r="IJZ120" s="199"/>
      <c r="IKA120" s="198"/>
      <c r="IKB120" s="199"/>
      <c r="IKC120" s="198"/>
      <c r="IKD120" s="199"/>
      <c r="IKE120" s="198"/>
      <c r="IKF120" s="199"/>
      <c r="IKG120" s="198"/>
      <c r="IKH120" s="199"/>
      <c r="IKI120" s="198"/>
      <c r="IKJ120" s="199"/>
      <c r="IKK120" s="198"/>
      <c r="IKL120" s="199"/>
      <c r="IKM120" s="198"/>
      <c r="IKN120" s="199"/>
      <c r="IKO120" s="198"/>
      <c r="IKP120" s="199"/>
      <c r="IKQ120" s="198"/>
      <c r="IKR120" s="199"/>
      <c r="IKS120" s="198"/>
      <c r="IKT120" s="199"/>
      <c r="IKU120" s="198"/>
      <c r="IKV120" s="199"/>
      <c r="IKW120" s="198"/>
      <c r="IKX120" s="199"/>
      <c r="IKY120" s="198"/>
      <c r="IKZ120" s="199"/>
      <c r="ILA120" s="198"/>
      <c r="ILB120" s="199"/>
      <c r="ILC120" s="198"/>
      <c r="ILD120" s="199"/>
      <c r="ILE120" s="198"/>
      <c r="ILF120" s="199"/>
      <c r="ILG120" s="198"/>
      <c r="ILH120" s="199"/>
      <c r="ILI120" s="198"/>
      <c r="ILJ120" s="199"/>
      <c r="ILK120" s="198"/>
      <c r="ILL120" s="199"/>
      <c r="ILM120" s="198"/>
      <c r="ILN120" s="199"/>
      <c r="ILO120" s="198"/>
      <c r="ILP120" s="199"/>
      <c r="ILQ120" s="198"/>
      <c r="ILR120" s="199"/>
      <c r="ILS120" s="198"/>
      <c r="ILT120" s="199"/>
      <c r="ILU120" s="198"/>
      <c r="ILV120" s="199"/>
      <c r="ILW120" s="198"/>
      <c r="ILX120" s="199"/>
      <c r="ILY120" s="198"/>
      <c r="ILZ120" s="199"/>
      <c r="IMA120" s="198"/>
      <c r="IMB120" s="199"/>
      <c r="IMC120" s="198"/>
      <c r="IMD120" s="199"/>
      <c r="IME120" s="198"/>
      <c r="IMF120" s="199"/>
      <c r="IMG120" s="198"/>
      <c r="IMH120" s="199"/>
      <c r="IMI120" s="198"/>
      <c r="IMJ120" s="199"/>
      <c r="IMK120" s="198"/>
      <c r="IML120" s="199"/>
      <c r="IMM120" s="198"/>
      <c r="IMN120" s="199"/>
      <c r="IMO120" s="198"/>
      <c r="IMP120" s="199"/>
      <c r="IMQ120" s="198"/>
      <c r="IMR120" s="199"/>
      <c r="IMS120" s="198"/>
      <c r="IMT120" s="199"/>
      <c r="IMU120" s="198"/>
      <c r="IMV120" s="199"/>
      <c r="IMW120" s="198"/>
      <c r="IMX120" s="199"/>
      <c r="IMY120" s="198"/>
      <c r="IMZ120" s="199"/>
      <c r="INA120" s="198"/>
      <c r="INB120" s="199"/>
      <c r="INC120" s="198"/>
      <c r="IND120" s="199"/>
      <c r="INE120" s="198"/>
      <c r="INF120" s="199"/>
      <c r="ING120" s="198"/>
      <c r="INH120" s="199"/>
      <c r="INI120" s="198"/>
      <c r="INJ120" s="199"/>
      <c r="INK120" s="198"/>
      <c r="INL120" s="199"/>
      <c r="INM120" s="198"/>
      <c r="INN120" s="199"/>
      <c r="INO120" s="198"/>
      <c r="INP120" s="199"/>
      <c r="INQ120" s="198"/>
      <c r="INR120" s="199"/>
      <c r="INS120" s="198"/>
      <c r="INT120" s="199"/>
      <c r="INU120" s="198"/>
      <c r="INV120" s="199"/>
      <c r="INW120" s="198"/>
      <c r="INX120" s="199"/>
      <c r="INY120" s="198"/>
      <c r="INZ120" s="199"/>
      <c r="IOA120" s="198"/>
      <c r="IOB120" s="199"/>
      <c r="IOC120" s="198"/>
      <c r="IOD120" s="199"/>
      <c r="IOE120" s="198"/>
      <c r="IOF120" s="199"/>
      <c r="IOG120" s="198"/>
      <c r="IOH120" s="199"/>
      <c r="IOI120" s="198"/>
      <c r="IOJ120" s="199"/>
      <c r="IOK120" s="198"/>
      <c r="IOL120" s="199"/>
      <c r="IOM120" s="198"/>
      <c r="ION120" s="199"/>
      <c r="IOO120" s="198"/>
      <c r="IOP120" s="199"/>
      <c r="IOQ120" s="198"/>
      <c r="IOR120" s="199"/>
      <c r="IOS120" s="198"/>
      <c r="IOT120" s="199"/>
      <c r="IOU120" s="198"/>
      <c r="IOV120" s="199"/>
      <c r="IOW120" s="198"/>
      <c r="IOX120" s="199"/>
      <c r="IOY120" s="198"/>
      <c r="IOZ120" s="199"/>
      <c r="IPA120" s="198"/>
      <c r="IPB120" s="199"/>
      <c r="IPC120" s="198"/>
      <c r="IPD120" s="199"/>
      <c r="IPE120" s="198"/>
      <c r="IPF120" s="199"/>
      <c r="IPG120" s="198"/>
      <c r="IPH120" s="199"/>
      <c r="IPI120" s="198"/>
      <c r="IPJ120" s="199"/>
      <c r="IPK120" s="198"/>
      <c r="IPL120" s="199"/>
      <c r="IPM120" s="198"/>
      <c r="IPN120" s="199"/>
      <c r="IPO120" s="198"/>
      <c r="IPP120" s="199"/>
      <c r="IPQ120" s="198"/>
      <c r="IPR120" s="199"/>
      <c r="IPS120" s="198"/>
      <c r="IPT120" s="199"/>
      <c r="IPU120" s="198"/>
      <c r="IPV120" s="199"/>
      <c r="IPW120" s="198"/>
      <c r="IPX120" s="199"/>
      <c r="IPY120" s="198"/>
      <c r="IPZ120" s="199"/>
      <c r="IQA120" s="198"/>
      <c r="IQB120" s="199"/>
      <c r="IQC120" s="198"/>
      <c r="IQD120" s="199"/>
      <c r="IQE120" s="198"/>
      <c r="IQF120" s="199"/>
      <c r="IQG120" s="198"/>
      <c r="IQH120" s="199"/>
      <c r="IQI120" s="198"/>
      <c r="IQJ120" s="199"/>
      <c r="IQK120" s="198"/>
      <c r="IQL120" s="199"/>
      <c r="IQM120" s="198"/>
      <c r="IQN120" s="199"/>
      <c r="IQO120" s="198"/>
      <c r="IQP120" s="199"/>
      <c r="IQQ120" s="198"/>
      <c r="IQR120" s="199"/>
      <c r="IQS120" s="198"/>
      <c r="IQT120" s="199"/>
      <c r="IQU120" s="198"/>
      <c r="IQV120" s="199"/>
      <c r="IQW120" s="198"/>
      <c r="IQX120" s="199"/>
      <c r="IQY120" s="198"/>
      <c r="IQZ120" s="199"/>
      <c r="IRA120" s="198"/>
      <c r="IRB120" s="199"/>
      <c r="IRC120" s="198"/>
      <c r="IRD120" s="199"/>
      <c r="IRE120" s="198"/>
      <c r="IRF120" s="199"/>
      <c r="IRG120" s="198"/>
      <c r="IRH120" s="199"/>
      <c r="IRI120" s="198"/>
      <c r="IRJ120" s="199"/>
      <c r="IRK120" s="198"/>
      <c r="IRL120" s="199"/>
      <c r="IRM120" s="198"/>
      <c r="IRN120" s="199"/>
      <c r="IRO120" s="198"/>
      <c r="IRP120" s="199"/>
      <c r="IRQ120" s="198"/>
      <c r="IRR120" s="199"/>
      <c r="IRS120" s="198"/>
      <c r="IRT120" s="199"/>
      <c r="IRU120" s="198"/>
      <c r="IRV120" s="199"/>
      <c r="IRW120" s="198"/>
      <c r="IRX120" s="199"/>
      <c r="IRY120" s="198"/>
      <c r="IRZ120" s="199"/>
      <c r="ISA120" s="198"/>
      <c r="ISB120" s="199"/>
      <c r="ISC120" s="198"/>
      <c r="ISD120" s="199"/>
      <c r="ISE120" s="198"/>
      <c r="ISF120" s="199"/>
      <c r="ISG120" s="198"/>
      <c r="ISH120" s="199"/>
      <c r="ISI120" s="198"/>
      <c r="ISJ120" s="199"/>
      <c r="ISK120" s="198"/>
      <c r="ISL120" s="199"/>
      <c r="ISM120" s="198"/>
      <c r="ISN120" s="199"/>
      <c r="ISO120" s="198"/>
      <c r="ISP120" s="199"/>
      <c r="ISQ120" s="198"/>
      <c r="ISR120" s="199"/>
      <c r="ISS120" s="198"/>
      <c r="IST120" s="199"/>
      <c r="ISU120" s="198"/>
      <c r="ISV120" s="199"/>
      <c r="ISW120" s="198"/>
      <c r="ISX120" s="199"/>
      <c r="ISY120" s="198"/>
      <c r="ISZ120" s="199"/>
      <c r="ITA120" s="198"/>
      <c r="ITB120" s="199"/>
      <c r="ITC120" s="198"/>
      <c r="ITD120" s="199"/>
      <c r="ITE120" s="198"/>
      <c r="ITF120" s="199"/>
      <c r="ITG120" s="198"/>
      <c r="ITH120" s="199"/>
      <c r="ITI120" s="198"/>
      <c r="ITJ120" s="199"/>
      <c r="ITK120" s="198"/>
      <c r="ITL120" s="199"/>
      <c r="ITM120" s="198"/>
      <c r="ITN120" s="199"/>
      <c r="ITO120" s="198"/>
      <c r="ITP120" s="199"/>
      <c r="ITQ120" s="198"/>
      <c r="ITR120" s="199"/>
      <c r="ITS120" s="198"/>
      <c r="ITT120" s="199"/>
      <c r="ITU120" s="198"/>
      <c r="ITV120" s="199"/>
      <c r="ITW120" s="198"/>
      <c r="ITX120" s="199"/>
      <c r="ITY120" s="198"/>
      <c r="ITZ120" s="199"/>
      <c r="IUA120" s="198"/>
      <c r="IUB120" s="199"/>
      <c r="IUC120" s="198"/>
      <c r="IUD120" s="199"/>
      <c r="IUE120" s="198"/>
      <c r="IUF120" s="199"/>
      <c r="IUG120" s="198"/>
      <c r="IUH120" s="199"/>
      <c r="IUI120" s="198"/>
      <c r="IUJ120" s="199"/>
      <c r="IUK120" s="198"/>
      <c r="IUL120" s="199"/>
      <c r="IUM120" s="198"/>
      <c r="IUN120" s="199"/>
      <c r="IUO120" s="198"/>
      <c r="IUP120" s="199"/>
      <c r="IUQ120" s="198"/>
      <c r="IUR120" s="199"/>
      <c r="IUS120" s="198"/>
      <c r="IUT120" s="199"/>
      <c r="IUU120" s="198"/>
      <c r="IUV120" s="199"/>
      <c r="IUW120" s="198"/>
      <c r="IUX120" s="199"/>
      <c r="IUY120" s="198"/>
      <c r="IUZ120" s="199"/>
      <c r="IVA120" s="198"/>
      <c r="IVB120" s="199"/>
      <c r="IVC120" s="198"/>
      <c r="IVD120" s="199"/>
      <c r="IVE120" s="198"/>
      <c r="IVF120" s="199"/>
      <c r="IVG120" s="198"/>
      <c r="IVH120" s="199"/>
      <c r="IVI120" s="198"/>
      <c r="IVJ120" s="199"/>
      <c r="IVK120" s="198"/>
      <c r="IVL120" s="199"/>
      <c r="IVM120" s="198"/>
      <c r="IVN120" s="199"/>
      <c r="IVO120" s="198"/>
      <c r="IVP120" s="199"/>
      <c r="IVQ120" s="198"/>
      <c r="IVR120" s="199"/>
      <c r="IVS120" s="198"/>
      <c r="IVT120" s="199"/>
      <c r="IVU120" s="198"/>
      <c r="IVV120" s="199"/>
      <c r="IVW120" s="198"/>
      <c r="IVX120" s="199"/>
      <c r="IVY120" s="198"/>
      <c r="IVZ120" s="199"/>
      <c r="IWA120" s="198"/>
      <c r="IWB120" s="199"/>
      <c r="IWC120" s="198"/>
      <c r="IWD120" s="199"/>
      <c r="IWE120" s="198"/>
      <c r="IWF120" s="199"/>
      <c r="IWG120" s="198"/>
      <c r="IWH120" s="199"/>
      <c r="IWI120" s="198"/>
      <c r="IWJ120" s="199"/>
      <c r="IWK120" s="198"/>
      <c r="IWL120" s="199"/>
      <c r="IWM120" s="198"/>
      <c r="IWN120" s="199"/>
      <c r="IWO120" s="198"/>
      <c r="IWP120" s="199"/>
      <c r="IWQ120" s="198"/>
      <c r="IWR120" s="199"/>
      <c r="IWS120" s="198"/>
      <c r="IWT120" s="199"/>
      <c r="IWU120" s="198"/>
      <c r="IWV120" s="199"/>
      <c r="IWW120" s="198"/>
      <c r="IWX120" s="199"/>
      <c r="IWY120" s="198"/>
      <c r="IWZ120" s="199"/>
      <c r="IXA120" s="198"/>
      <c r="IXB120" s="199"/>
      <c r="IXC120" s="198"/>
      <c r="IXD120" s="199"/>
      <c r="IXE120" s="198"/>
      <c r="IXF120" s="199"/>
      <c r="IXG120" s="198"/>
      <c r="IXH120" s="199"/>
      <c r="IXI120" s="198"/>
      <c r="IXJ120" s="199"/>
      <c r="IXK120" s="198"/>
      <c r="IXL120" s="199"/>
      <c r="IXM120" s="198"/>
      <c r="IXN120" s="199"/>
      <c r="IXO120" s="198"/>
      <c r="IXP120" s="199"/>
      <c r="IXQ120" s="198"/>
      <c r="IXR120" s="199"/>
      <c r="IXS120" s="198"/>
      <c r="IXT120" s="199"/>
      <c r="IXU120" s="198"/>
      <c r="IXV120" s="199"/>
      <c r="IXW120" s="198"/>
      <c r="IXX120" s="199"/>
      <c r="IXY120" s="198"/>
      <c r="IXZ120" s="199"/>
      <c r="IYA120" s="198"/>
      <c r="IYB120" s="199"/>
      <c r="IYC120" s="198"/>
      <c r="IYD120" s="199"/>
      <c r="IYE120" s="198"/>
      <c r="IYF120" s="199"/>
      <c r="IYG120" s="198"/>
      <c r="IYH120" s="199"/>
      <c r="IYI120" s="198"/>
      <c r="IYJ120" s="199"/>
      <c r="IYK120" s="198"/>
      <c r="IYL120" s="199"/>
      <c r="IYM120" s="198"/>
      <c r="IYN120" s="199"/>
      <c r="IYO120" s="198"/>
      <c r="IYP120" s="199"/>
      <c r="IYQ120" s="198"/>
      <c r="IYR120" s="199"/>
      <c r="IYS120" s="198"/>
      <c r="IYT120" s="199"/>
      <c r="IYU120" s="198"/>
      <c r="IYV120" s="199"/>
      <c r="IYW120" s="198"/>
      <c r="IYX120" s="199"/>
      <c r="IYY120" s="198"/>
      <c r="IYZ120" s="199"/>
      <c r="IZA120" s="198"/>
      <c r="IZB120" s="199"/>
      <c r="IZC120" s="198"/>
      <c r="IZD120" s="199"/>
      <c r="IZE120" s="198"/>
      <c r="IZF120" s="199"/>
      <c r="IZG120" s="198"/>
      <c r="IZH120" s="199"/>
      <c r="IZI120" s="198"/>
      <c r="IZJ120" s="199"/>
      <c r="IZK120" s="198"/>
      <c r="IZL120" s="199"/>
      <c r="IZM120" s="198"/>
      <c r="IZN120" s="199"/>
      <c r="IZO120" s="198"/>
      <c r="IZP120" s="199"/>
      <c r="IZQ120" s="198"/>
      <c r="IZR120" s="199"/>
      <c r="IZS120" s="198"/>
      <c r="IZT120" s="199"/>
      <c r="IZU120" s="198"/>
      <c r="IZV120" s="199"/>
      <c r="IZW120" s="198"/>
      <c r="IZX120" s="199"/>
      <c r="IZY120" s="198"/>
      <c r="IZZ120" s="199"/>
      <c r="JAA120" s="198"/>
      <c r="JAB120" s="199"/>
      <c r="JAC120" s="198"/>
      <c r="JAD120" s="199"/>
      <c r="JAE120" s="198"/>
      <c r="JAF120" s="199"/>
      <c r="JAG120" s="198"/>
      <c r="JAH120" s="199"/>
      <c r="JAI120" s="198"/>
      <c r="JAJ120" s="199"/>
      <c r="JAK120" s="198"/>
      <c r="JAL120" s="199"/>
      <c r="JAM120" s="198"/>
      <c r="JAN120" s="199"/>
      <c r="JAO120" s="198"/>
      <c r="JAP120" s="199"/>
      <c r="JAQ120" s="198"/>
      <c r="JAR120" s="199"/>
      <c r="JAS120" s="198"/>
      <c r="JAT120" s="199"/>
      <c r="JAU120" s="198"/>
      <c r="JAV120" s="199"/>
      <c r="JAW120" s="198"/>
      <c r="JAX120" s="199"/>
      <c r="JAY120" s="198"/>
      <c r="JAZ120" s="199"/>
      <c r="JBA120" s="198"/>
      <c r="JBB120" s="199"/>
      <c r="JBC120" s="198"/>
      <c r="JBD120" s="199"/>
      <c r="JBE120" s="198"/>
      <c r="JBF120" s="199"/>
      <c r="JBG120" s="198"/>
      <c r="JBH120" s="199"/>
      <c r="JBI120" s="198"/>
      <c r="JBJ120" s="199"/>
      <c r="JBK120" s="198"/>
      <c r="JBL120" s="199"/>
      <c r="JBM120" s="198"/>
      <c r="JBN120" s="199"/>
      <c r="JBO120" s="198"/>
      <c r="JBP120" s="199"/>
      <c r="JBQ120" s="198"/>
      <c r="JBR120" s="199"/>
      <c r="JBS120" s="198"/>
      <c r="JBT120" s="199"/>
      <c r="JBU120" s="198"/>
      <c r="JBV120" s="199"/>
      <c r="JBW120" s="198"/>
      <c r="JBX120" s="199"/>
      <c r="JBY120" s="198"/>
      <c r="JBZ120" s="199"/>
      <c r="JCA120" s="198"/>
      <c r="JCB120" s="199"/>
      <c r="JCC120" s="198"/>
      <c r="JCD120" s="199"/>
      <c r="JCE120" s="198"/>
      <c r="JCF120" s="199"/>
      <c r="JCG120" s="198"/>
      <c r="JCH120" s="199"/>
      <c r="JCI120" s="198"/>
      <c r="JCJ120" s="199"/>
      <c r="JCK120" s="198"/>
      <c r="JCL120" s="199"/>
      <c r="JCM120" s="198"/>
      <c r="JCN120" s="199"/>
      <c r="JCO120" s="198"/>
      <c r="JCP120" s="199"/>
      <c r="JCQ120" s="198"/>
      <c r="JCR120" s="199"/>
      <c r="JCS120" s="198"/>
      <c r="JCT120" s="199"/>
      <c r="JCU120" s="198"/>
      <c r="JCV120" s="199"/>
      <c r="JCW120" s="198"/>
      <c r="JCX120" s="199"/>
      <c r="JCY120" s="198"/>
      <c r="JCZ120" s="199"/>
      <c r="JDA120" s="198"/>
      <c r="JDB120" s="199"/>
      <c r="JDC120" s="198"/>
      <c r="JDD120" s="199"/>
      <c r="JDE120" s="198"/>
      <c r="JDF120" s="199"/>
      <c r="JDG120" s="198"/>
      <c r="JDH120" s="199"/>
      <c r="JDI120" s="198"/>
      <c r="JDJ120" s="199"/>
      <c r="JDK120" s="198"/>
      <c r="JDL120" s="199"/>
      <c r="JDM120" s="198"/>
      <c r="JDN120" s="199"/>
      <c r="JDO120" s="198"/>
      <c r="JDP120" s="199"/>
      <c r="JDQ120" s="198"/>
      <c r="JDR120" s="199"/>
      <c r="JDS120" s="198"/>
      <c r="JDT120" s="199"/>
      <c r="JDU120" s="198"/>
      <c r="JDV120" s="199"/>
      <c r="JDW120" s="198"/>
      <c r="JDX120" s="199"/>
      <c r="JDY120" s="198"/>
      <c r="JDZ120" s="199"/>
      <c r="JEA120" s="198"/>
      <c r="JEB120" s="199"/>
      <c r="JEC120" s="198"/>
      <c r="JED120" s="199"/>
      <c r="JEE120" s="198"/>
      <c r="JEF120" s="199"/>
      <c r="JEG120" s="198"/>
      <c r="JEH120" s="199"/>
      <c r="JEI120" s="198"/>
      <c r="JEJ120" s="199"/>
      <c r="JEK120" s="198"/>
      <c r="JEL120" s="199"/>
      <c r="JEM120" s="198"/>
      <c r="JEN120" s="199"/>
      <c r="JEO120" s="198"/>
      <c r="JEP120" s="199"/>
      <c r="JEQ120" s="198"/>
      <c r="JER120" s="199"/>
      <c r="JES120" s="198"/>
      <c r="JET120" s="199"/>
      <c r="JEU120" s="198"/>
      <c r="JEV120" s="199"/>
      <c r="JEW120" s="198"/>
      <c r="JEX120" s="199"/>
      <c r="JEY120" s="198"/>
      <c r="JEZ120" s="199"/>
      <c r="JFA120" s="198"/>
      <c r="JFB120" s="199"/>
      <c r="JFC120" s="198"/>
      <c r="JFD120" s="199"/>
      <c r="JFE120" s="198"/>
      <c r="JFF120" s="199"/>
      <c r="JFG120" s="198"/>
      <c r="JFH120" s="199"/>
      <c r="JFI120" s="198"/>
      <c r="JFJ120" s="199"/>
      <c r="JFK120" s="198"/>
      <c r="JFL120" s="199"/>
      <c r="JFM120" s="198"/>
      <c r="JFN120" s="199"/>
      <c r="JFO120" s="198"/>
      <c r="JFP120" s="199"/>
      <c r="JFQ120" s="198"/>
      <c r="JFR120" s="199"/>
      <c r="JFS120" s="198"/>
      <c r="JFT120" s="199"/>
      <c r="JFU120" s="198"/>
      <c r="JFV120" s="199"/>
      <c r="JFW120" s="198"/>
      <c r="JFX120" s="199"/>
      <c r="JFY120" s="198"/>
      <c r="JFZ120" s="199"/>
      <c r="JGA120" s="198"/>
      <c r="JGB120" s="199"/>
      <c r="JGC120" s="198"/>
      <c r="JGD120" s="199"/>
      <c r="JGE120" s="198"/>
      <c r="JGF120" s="199"/>
      <c r="JGG120" s="198"/>
      <c r="JGH120" s="199"/>
      <c r="JGI120" s="198"/>
      <c r="JGJ120" s="199"/>
      <c r="JGK120" s="198"/>
      <c r="JGL120" s="199"/>
      <c r="JGM120" s="198"/>
      <c r="JGN120" s="199"/>
      <c r="JGO120" s="198"/>
      <c r="JGP120" s="199"/>
      <c r="JGQ120" s="198"/>
      <c r="JGR120" s="199"/>
      <c r="JGS120" s="198"/>
      <c r="JGT120" s="199"/>
      <c r="JGU120" s="198"/>
      <c r="JGV120" s="199"/>
      <c r="JGW120" s="198"/>
      <c r="JGX120" s="199"/>
      <c r="JGY120" s="198"/>
      <c r="JGZ120" s="199"/>
      <c r="JHA120" s="198"/>
      <c r="JHB120" s="199"/>
      <c r="JHC120" s="198"/>
      <c r="JHD120" s="199"/>
      <c r="JHE120" s="198"/>
      <c r="JHF120" s="199"/>
      <c r="JHG120" s="198"/>
      <c r="JHH120" s="199"/>
      <c r="JHI120" s="198"/>
      <c r="JHJ120" s="199"/>
      <c r="JHK120" s="198"/>
      <c r="JHL120" s="199"/>
      <c r="JHM120" s="198"/>
      <c r="JHN120" s="199"/>
      <c r="JHO120" s="198"/>
      <c r="JHP120" s="199"/>
      <c r="JHQ120" s="198"/>
      <c r="JHR120" s="199"/>
      <c r="JHS120" s="198"/>
      <c r="JHT120" s="199"/>
      <c r="JHU120" s="198"/>
      <c r="JHV120" s="199"/>
      <c r="JHW120" s="198"/>
      <c r="JHX120" s="199"/>
      <c r="JHY120" s="198"/>
      <c r="JHZ120" s="199"/>
      <c r="JIA120" s="198"/>
      <c r="JIB120" s="199"/>
      <c r="JIC120" s="198"/>
      <c r="JID120" s="199"/>
      <c r="JIE120" s="198"/>
      <c r="JIF120" s="199"/>
      <c r="JIG120" s="198"/>
      <c r="JIH120" s="199"/>
      <c r="JII120" s="198"/>
      <c r="JIJ120" s="199"/>
      <c r="JIK120" s="198"/>
      <c r="JIL120" s="199"/>
      <c r="JIM120" s="198"/>
      <c r="JIN120" s="199"/>
      <c r="JIO120" s="198"/>
      <c r="JIP120" s="199"/>
      <c r="JIQ120" s="198"/>
      <c r="JIR120" s="199"/>
      <c r="JIS120" s="198"/>
      <c r="JIT120" s="199"/>
      <c r="JIU120" s="198"/>
      <c r="JIV120" s="199"/>
      <c r="JIW120" s="198"/>
      <c r="JIX120" s="199"/>
      <c r="JIY120" s="198"/>
      <c r="JIZ120" s="199"/>
      <c r="JJA120" s="198"/>
      <c r="JJB120" s="199"/>
      <c r="JJC120" s="198"/>
      <c r="JJD120" s="199"/>
      <c r="JJE120" s="198"/>
      <c r="JJF120" s="199"/>
      <c r="JJG120" s="198"/>
      <c r="JJH120" s="199"/>
      <c r="JJI120" s="198"/>
      <c r="JJJ120" s="199"/>
      <c r="JJK120" s="198"/>
      <c r="JJL120" s="199"/>
      <c r="JJM120" s="198"/>
      <c r="JJN120" s="199"/>
      <c r="JJO120" s="198"/>
      <c r="JJP120" s="199"/>
      <c r="JJQ120" s="198"/>
      <c r="JJR120" s="199"/>
      <c r="JJS120" s="198"/>
      <c r="JJT120" s="199"/>
      <c r="JJU120" s="198"/>
      <c r="JJV120" s="199"/>
      <c r="JJW120" s="198"/>
      <c r="JJX120" s="199"/>
      <c r="JJY120" s="198"/>
      <c r="JJZ120" s="199"/>
      <c r="JKA120" s="198"/>
      <c r="JKB120" s="199"/>
      <c r="JKC120" s="198"/>
      <c r="JKD120" s="199"/>
      <c r="JKE120" s="198"/>
      <c r="JKF120" s="199"/>
      <c r="JKG120" s="198"/>
      <c r="JKH120" s="199"/>
      <c r="JKI120" s="198"/>
      <c r="JKJ120" s="199"/>
      <c r="JKK120" s="198"/>
      <c r="JKL120" s="199"/>
      <c r="JKM120" s="198"/>
      <c r="JKN120" s="199"/>
      <c r="JKO120" s="198"/>
      <c r="JKP120" s="199"/>
      <c r="JKQ120" s="198"/>
      <c r="JKR120" s="199"/>
      <c r="JKS120" s="198"/>
      <c r="JKT120" s="199"/>
      <c r="JKU120" s="198"/>
      <c r="JKV120" s="199"/>
      <c r="JKW120" s="198"/>
      <c r="JKX120" s="199"/>
      <c r="JKY120" s="198"/>
      <c r="JKZ120" s="199"/>
      <c r="JLA120" s="198"/>
      <c r="JLB120" s="199"/>
      <c r="JLC120" s="198"/>
      <c r="JLD120" s="199"/>
      <c r="JLE120" s="198"/>
      <c r="JLF120" s="199"/>
      <c r="JLG120" s="198"/>
      <c r="JLH120" s="199"/>
      <c r="JLI120" s="198"/>
      <c r="JLJ120" s="199"/>
      <c r="JLK120" s="198"/>
      <c r="JLL120" s="199"/>
      <c r="JLM120" s="198"/>
      <c r="JLN120" s="199"/>
      <c r="JLO120" s="198"/>
      <c r="JLP120" s="199"/>
      <c r="JLQ120" s="198"/>
      <c r="JLR120" s="199"/>
      <c r="JLS120" s="198"/>
      <c r="JLT120" s="199"/>
      <c r="JLU120" s="198"/>
      <c r="JLV120" s="199"/>
      <c r="JLW120" s="198"/>
      <c r="JLX120" s="199"/>
      <c r="JLY120" s="198"/>
      <c r="JLZ120" s="199"/>
      <c r="JMA120" s="198"/>
      <c r="JMB120" s="199"/>
      <c r="JMC120" s="198"/>
      <c r="JMD120" s="199"/>
      <c r="JME120" s="198"/>
      <c r="JMF120" s="199"/>
      <c r="JMG120" s="198"/>
      <c r="JMH120" s="199"/>
      <c r="JMI120" s="198"/>
      <c r="JMJ120" s="199"/>
      <c r="JMK120" s="198"/>
      <c r="JML120" s="199"/>
      <c r="JMM120" s="198"/>
      <c r="JMN120" s="199"/>
      <c r="JMO120" s="198"/>
      <c r="JMP120" s="199"/>
      <c r="JMQ120" s="198"/>
      <c r="JMR120" s="199"/>
      <c r="JMS120" s="198"/>
      <c r="JMT120" s="199"/>
      <c r="JMU120" s="198"/>
      <c r="JMV120" s="199"/>
      <c r="JMW120" s="198"/>
      <c r="JMX120" s="199"/>
      <c r="JMY120" s="198"/>
      <c r="JMZ120" s="199"/>
      <c r="JNA120" s="198"/>
      <c r="JNB120" s="199"/>
      <c r="JNC120" s="198"/>
      <c r="JND120" s="199"/>
      <c r="JNE120" s="198"/>
      <c r="JNF120" s="199"/>
      <c r="JNG120" s="198"/>
      <c r="JNH120" s="199"/>
      <c r="JNI120" s="198"/>
      <c r="JNJ120" s="199"/>
      <c r="JNK120" s="198"/>
      <c r="JNL120" s="199"/>
      <c r="JNM120" s="198"/>
      <c r="JNN120" s="199"/>
      <c r="JNO120" s="198"/>
      <c r="JNP120" s="199"/>
      <c r="JNQ120" s="198"/>
      <c r="JNR120" s="199"/>
      <c r="JNS120" s="198"/>
      <c r="JNT120" s="199"/>
      <c r="JNU120" s="198"/>
      <c r="JNV120" s="199"/>
      <c r="JNW120" s="198"/>
      <c r="JNX120" s="199"/>
      <c r="JNY120" s="198"/>
      <c r="JNZ120" s="199"/>
      <c r="JOA120" s="198"/>
      <c r="JOB120" s="199"/>
      <c r="JOC120" s="198"/>
      <c r="JOD120" s="199"/>
      <c r="JOE120" s="198"/>
      <c r="JOF120" s="199"/>
      <c r="JOG120" s="198"/>
      <c r="JOH120" s="199"/>
      <c r="JOI120" s="198"/>
      <c r="JOJ120" s="199"/>
      <c r="JOK120" s="198"/>
      <c r="JOL120" s="199"/>
      <c r="JOM120" s="198"/>
      <c r="JON120" s="199"/>
      <c r="JOO120" s="198"/>
      <c r="JOP120" s="199"/>
      <c r="JOQ120" s="198"/>
      <c r="JOR120" s="199"/>
      <c r="JOS120" s="198"/>
      <c r="JOT120" s="199"/>
      <c r="JOU120" s="198"/>
      <c r="JOV120" s="199"/>
      <c r="JOW120" s="198"/>
      <c r="JOX120" s="199"/>
      <c r="JOY120" s="198"/>
      <c r="JOZ120" s="199"/>
      <c r="JPA120" s="198"/>
      <c r="JPB120" s="199"/>
      <c r="JPC120" s="198"/>
      <c r="JPD120" s="199"/>
      <c r="JPE120" s="198"/>
      <c r="JPF120" s="199"/>
      <c r="JPG120" s="198"/>
      <c r="JPH120" s="199"/>
      <c r="JPI120" s="198"/>
      <c r="JPJ120" s="199"/>
      <c r="JPK120" s="198"/>
      <c r="JPL120" s="199"/>
      <c r="JPM120" s="198"/>
      <c r="JPN120" s="199"/>
      <c r="JPO120" s="198"/>
      <c r="JPP120" s="199"/>
      <c r="JPQ120" s="198"/>
      <c r="JPR120" s="199"/>
      <c r="JPS120" s="198"/>
      <c r="JPT120" s="199"/>
      <c r="JPU120" s="198"/>
      <c r="JPV120" s="199"/>
      <c r="JPW120" s="198"/>
      <c r="JPX120" s="199"/>
      <c r="JPY120" s="198"/>
      <c r="JPZ120" s="199"/>
      <c r="JQA120" s="198"/>
      <c r="JQB120" s="199"/>
      <c r="JQC120" s="198"/>
      <c r="JQD120" s="199"/>
      <c r="JQE120" s="198"/>
      <c r="JQF120" s="199"/>
      <c r="JQG120" s="198"/>
      <c r="JQH120" s="199"/>
      <c r="JQI120" s="198"/>
      <c r="JQJ120" s="199"/>
      <c r="JQK120" s="198"/>
      <c r="JQL120" s="199"/>
      <c r="JQM120" s="198"/>
      <c r="JQN120" s="199"/>
      <c r="JQO120" s="198"/>
      <c r="JQP120" s="199"/>
      <c r="JQQ120" s="198"/>
      <c r="JQR120" s="199"/>
      <c r="JQS120" s="198"/>
      <c r="JQT120" s="199"/>
      <c r="JQU120" s="198"/>
      <c r="JQV120" s="199"/>
      <c r="JQW120" s="198"/>
      <c r="JQX120" s="199"/>
      <c r="JQY120" s="198"/>
      <c r="JQZ120" s="199"/>
      <c r="JRA120" s="198"/>
      <c r="JRB120" s="199"/>
      <c r="JRC120" s="198"/>
      <c r="JRD120" s="199"/>
      <c r="JRE120" s="198"/>
      <c r="JRF120" s="199"/>
      <c r="JRG120" s="198"/>
      <c r="JRH120" s="199"/>
      <c r="JRI120" s="198"/>
      <c r="JRJ120" s="199"/>
      <c r="JRK120" s="198"/>
      <c r="JRL120" s="199"/>
      <c r="JRM120" s="198"/>
      <c r="JRN120" s="199"/>
      <c r="JRO120" s="198"/>
      <c r="JRP120" s="199"/>
      <c r="JRQ120" s="198"/>
      <c r="JRR120" s="199"/>
      <c r="JRS120" s="198"/>
      <c r="JRT120" s="199"/>
      <c r="JRU120" s="198"/>
      <c r="JRV120" s="199"/>
      <c r="JRW120" s="198"/>
      <c r="JRX120" s="199"/>
      <c r="JRY120" s="198"/>
      <c r="JRZ120" s="199"/>
      <c r="JSA120" s="198"/>
      <c r="JSB120" s="199"/>
      <c r="JSC120" s="198"/>
      <c r="JSD120" s="199"/>
      <c r="JSE120" s="198"/>
      <c r="JSF120" s="199"/>
      <c r="JSG120" s="198"/>
      <c r="JSH120" s="199"/>
      <c r="JSI120" s="198"/>
      <c r="JSJ120" s="199"/>
      <c r="JSK120" s="198"/>
      <c r="JSL120" s="199"/>
      <c r="JSM120" s="198"/>
      <c r="JSN120" s="199"/>
      <c r="JSO120" s="198"/>
      <c r="JSP120" s="199"/>
      <c r="JSQ120" s="198"/>
      <c r="JSR120" s="199"/>
      <c r="JSS120" s="198"/>
      <c r="JST120" s="199"/>
      <c r="JSU120" s="198"/>
      <c r="JSV120" s="199"/>
      <c r="JSW120" s="198"/>
      <c r="JSX120" s="199"/>
      <c r="JSY120" s="198"/>
      <c r="JSZ120" s="199"/>
      <c r="JTA120" s="198"/>
      <c r="JTB120" s="199"/>
      <c r="JTC120" s="198"/>
      <c r="JTD120" s="199"/>
      <c r="JTE120" s="198"/>
      <c r="JTF120" s="199"/>
      <c r="JTG120" s="198"/>
      <c r="JTH120" s="199"/>
      <c r="JTI120" s="198"/>
      <c r="JTJ120" s="199"/>
      <c r="JTK120" s="198"/>
      <c r="JTL120" s="199"/>
      <c r="JTM120" s="198"/>
      <c r="JTN120" s="199"/>
      <c r="JTO120" s="198"/>
      <c r="JTP120" s="199"/>
      <c r="JTQ120" s="198"/>
      <c r="JTR120" s="199"/>
      <c r="JTS120" s="198"/>
      <c r="JTT120" s="199"/>
      <c r="JTU120" s="198"/>
      <c r="JTV120" s="199"/>
      <c r="JTW120" s="198"/>
      <c r="JTX120" s="199"/>
      <c r="JTY120" s="198"/>
      <c r="JTZ120" s="199"/>
      <c r="JUA120" s="198"/>
      <c r="JUB120" s="199"/>
      <c r="JUC120" s="198"/>
      <c r="JUD120" s="199"/>
      <c r="JUE120" s="198"/>
      <c r="JUF120" s="199"/>
      <c r="JUG120" s="198"/>
      <c r="JUH120" s="199"/>
      <c r="JUI120" s="198"/>
      <c r="JUJ120" s="199"/>
      <c r="JUK120" s="198"/>
      <c r="JUL120" s="199"/>
      <c r="JUM120" s="198"/>
      <c r="JUN120" s="199"/>
      <c r="JUO120" s="198"/>
      <c r="JUP120" s="199"/>
      <c r="JUQ120" s="198"/>
      <c r="JUR120" s="199"/>
      <c r="JUS120" s="198"/>
      <c r="JUT120" s="199"/>
      <c r="JUU120" s="198"/>
      <c r="JUV120" s="199"/>
      <c r="JUW120" s="198"/>
      <c r="JUX120" s="199"/>
      <c r="JUY120" s="198"/>
      <c r="JUZ120" s="199"/>
      <c r="JVA120" s="198"/>
      <c r="JVB120" s="199"/>
      <c r="JVC120" s="198"/>
      <c r="JVD120" s="199"/>
      <c r="JVE120" s="198"/>
      <c r="JVF120" s="199"/>
      <c r="JVG120" s="198"/>
      <c r="JVH120" s="199"/>
      <c r="JVI120" s="198"/>
      <c r="JVJ120" s="199"/>
      <c r="JVK120" s="198"/>
      <c r="JVL120" s="199"/>
      <c r="JVM120" s="198"/>
      <c r="JVN120" s="199"/>
      <c r="JVO120" s="198"/>
      <c r="JVP120" s="199"/>
      <c r="JVQ120" s="198"/>
      <c r="JVR120" s="199"/>
      <c r="JVS120" s="198"/>
      <c r="JVT120" s="199"/>
      <c r="JVU120" s="198"/>
      <c r="JVV120" s="199"/>
      <c r="JVW120" s="198"/>
      <c r="JVX120" s="199"/>
      <c r="JVY120" s="198"/>
      <c r="JVZ120" s="199"/>
      <c r="JWA120" s="198"/>
      <c r="JWB120" s="199"/>
      <c r="JWC120" s="198"/>
      <c r="JWD120" s="199"/>
      <c r="JWE120" s="198"/>
      <c r="JWF120" s="199"/>
      <c r="JWG120" s="198"/>
      <c r="JWH120" s="199"/>
      <c r="JWI120" s="198"/>
      <c r="JWJ120" s="199"/>
      <c r="JWK120" s="198"/>
      <c r="JWL120" s="199"/>
      <c r="JWM120" s="198"/>
      <c r="JWN120" s="199"/>
      <c r="JWO120" s="198"/>
      <c r="JWP120" s="199"/>
      <c r="JWQ120" s="198"/>
      <c r="JWR120" s="199"/>
      <c r="JWS120" s="198"/>
      <c r="JWT120" s="199"/>
      <c r="JWU120" s="198"/>
      <c r="JWV120" s="199"/>
      <c r="JWW120" s="198"/>
      <c r="JWX120" s="199"/>
      <c r="JWY120" s="198"/>
      <c r="JWZ120" s="199"/>
      <c r="JXA120" s="198"/>
      <c r="JXB120" s="199"/>
      <c r="JXC120" s="198"/>
      <c r="JXD120" s="199"/>
      <c r="JXE120" s="198"/>
      <c r="JXF120" s="199"/>
      <c r="JXG120" s="198"/>
      <c r="JXH120" s="199"/>
      <c r="JXI120" s="198"/>
      <c r="JXJ120" s="199"/>
      <c r="JXK120" s="198"/>
      <c r="JXL120" s="199"/>
      <c r="JXM120" s="198"/>
      <c r="JXN120" s="199"/>
      <c r="JXO120" s="198"/>
      <c r="JXP120" s="199"/>
      <c r="JXQ120" s="198"/>
      <c r="JXR120" s="199"/>
      <c r="JXS120" s="198"/>
      <c r="JXT120" s="199"/>
      <c r="JXU120" s="198"/>
      <c r="JXV120" s="199"/>
      <c r="JXW120" s="198"/>
      <c r="JXX120" s="199"/>
      <c r="JXY120" s="198"/>
      <c r="JXZ120" s="199"/>
      <c r="JYA120" s="198"/>
      <c r="JYB120" s="199"/>
      <c r="JYC120" s="198"/>
      <c r="JYD120" s="199"/>
      <c r="JYE120" s="198"/>
      <c r="JYF120" s="199"/>
      <c r="JYG120" s="198"/>
      <c r="JYH120" s="199"/>
      <c r="JYI120" s="198"/>
      <c r="JYJ120" s="199"/>
      <c r="JYK120" s="198"/>
      <c r="JYL120" s="199"/>
      <c r="JYM120" s="198"/>
      <c r="JYN120" s="199"/>
      <c r="JYO120" s="198"/>
      <c r="JYP120" s="199"/>
      <c r="JYQ120" s="198"/>
      <c r="JYR120" s="199"/>
      <c r="JYS120" s="198"/>
      <c r="JYT120" s="199"/>
      <c r="JYU120" s="198"/>
      <c r="JYV120" s="199"/>
      <c r="JYW120" s="198"/>
      <c r="JYX120" s="199"/>
      <c r="JYY120" s="198"/>
      <c r="JYZ120" s="199"/>
      <c r="JZA120" s="198"/>
      <c r="JZB120" s="199"/>
      <c r="JZC120" s="198"/>
      <c r="JZD120" s="199"/>
      <c r="JZE120" s="198"/>
      <c r="JZF120" s="199"/>
      <c r="JZG120" s="198"/>
      <c r="JZH120" s="199"/>
      <c r="JZI120" s="198"/>
      <c r="JZJ120" s="199"/>
      <c r="JZK120" s="198"/>
      <c r="JZL120" s="199"/>
      <c r="JZM120" s="198"/>
      <c r="JZN120" s="199"/>
      <c r="JZO120" s="198"/>
      <c r="JZP120" s="199"/>
      <c r="JZQ120" s="198"/>
      <c r="JZR120" s="199"/>
      <c r="JZS120" s="198"/>
      <c r="JZT120" s="199"/>
      <c r="JZU120" s="198"/>
      <c r="JZV120" s="199"/>
      <c r="JZW120" s="198"/>
      <c r="JZX120" s="199"/>
      <c r="JZY120" s="198"/>
      <c r="JZZ120" s="199"/>
      <c r="KAA120" s="198"/>
      <c r="KAB120" s="199"/>
      <c r="KAC120" s="198"/>
      <c r="KAD120" s="199"/>
      <c r="KAE120" s="198"/>
      <c r="KAF120" s="199"/>
      <c r="KAG120" s="198"/>
      <c r="KAH120" s="199"/>
      <c r="KAI120" s="198"/>
      <c r="KAJ120" s="199"/>
      <c r="KAK120" s="198"/>
      <c r="KAL120" s="199"/>
      <c r="KAM120" s="198"/>
      <c r="KAN120" s="199"/>
      <c r="KAO120" s="198"/>
      <c r="KAP120" s="199"/>
      <c r="KAQ120" s="198"/>
      <c r="KAR120" s="199"/>
      <c r="KAS120" s="198"/>
      <c r="KAT120" s="199"/>
      <c r="KAU120" s="198"/>
      <c r="KAV120" s="199"/>
      <c r="KAW120" s="198"/>
      <c r="KAX120" s="199"/>
      <c r="KAY120" s="198"/>
      <c r="KAZ120" s="199"/>
      <c r="KBA120" s="198"/>
      <c r="KBB120" s="199"/>
      <c r="KBC120" s="198"/>
      <c r="KBD120" s="199"/>
      <c r="KBE120" s="198"/>
      <c r="KBF120" s="199"/>
      <c r="KBG120" s="198"/>
      <c r="KBH120" s="199"/>
      <c r="KBI120" s="198"/>
      <c r="KBJ120" s="199"/>
      <c r="KBK120" s="198"/>
      <c r="KBL120" s="199"/>
      <c r="KBM120" s="198"/>
      <c r="KBN120" s="199"/>
      <c r="KBO120" s="198"/>
      <c r="KBP120" s="199"/>
      <c r="KBQ120" s="198"/>
      <c r="KBR120" s="199"/>
      <c r="KBS120" s="198"/>
      <c r="KBT120" s="199"/>
      <c r="KBU120" s="198"/>
      <c r="KBV120" s="199"/>
      <c r="KBW120" s="198"/>
      <c r="KBX120" s="199"/>
      <c r="KBY120" s="198"/>
      <c r="KBZ120" s="199"/>
      <c r="KCA120" s="198"/>
      <c r="KCB120" s="199"/>
      <c r="KCC120" s="198"/>
      <c r="KCD120" s="199"/>
      <c r="KCE120" s="198"/>
      <c r="KCF120" s="199"/>
      <c r="KCG120" s="198"/>
      <c r="KCH120" s="199"/>
      <c r="KCI120" s="198"/>
      <c r="KCJ120" s="199"/>
      <c r="KCK120" s="198"/>
      <c r="KCL120" s="199"/>
      <c r="KCM120" s="198"/>
      <c r="KCN120" s="199"/>
      <c r="KCO120" s="198"/>
      <c r="KCP120" s="199"/>
      <c r="KCQ120" s="198"/>
      <c r="KCR120" s="199"/>
      <c r="KCS120" s="198"/>
      <c r="KCT120" s="199"/>
      <c r="KCU120" s="198"/>
      <c r="KCV120" s="199"/>
      <c r="KCW120" s="198"/>
      <c r="KCX120" s="199"/>
      <c r="KCY120" s="198"/>
      <c r="KCZ120" s="199"/>
      <c r="KDA120" s="198"/>
      <c r="KDB120" s="199"/>
      <c r="KDC120" s="198"/>
      <c r="KDD120" s="199"/>
      <c r="KDE120" s="198"/>
      <c r="KDF120" s="199"/>
      <c r="KDG120" s="198"/>
      <c r="KDH120" s="199"/>
      <c r="KDI120" s="198"/>
      <c r="KDJ120" s="199"/>
      <c r="KDK120" s="198"/>
      <c r="KDL120" s="199"/>
      <c r="KDM120" s="198"/>
      <c r="KDN120" s="199"/>
      <c r="KDO120" s="198"/>
      <c r="KDP120" s="199"/>
      <c r="KDQ120" s="198"/>
      <c r="KDR120" s="199"/>
      <c r="KDS120" s="198"/>
      <c r="KDT120" s="199"/>
      <c r="KDU120" s="198"/>
      <c r="KDV120" s="199"/>
      <c r="KDW120" s="198"/>
      <c r="KDX120" s="199"/>
      <c r="KDY120" s="198"/>
      <c r="KDZ120" s="199"/>
      <c r="KEA120" s="198"/>
      <c r="KEB120" s="199"/>
      <c r="KEC120" s="198"/>
      <c r="KED120" s="199"/>
      <c r="KEE120" s="198"/>
      <c r="KEF120" s="199"/>
      <c r="KEG120" s="198"/>
      <c r="KEH120" s="199"/>
      <c r="KEI120" s="198"/>
      <c r="KEJ120" s="199"/>
      <c r="KEK120" s="198"/>
      <c r="KEL120" s="199"/>
      <c r="KEM120" s="198"/>
      <c r="KEN120" s="199"/>
      <c r="KEO120" s="198"/>
      <c r="KEP120" s="199"/>
      <c r="KEQ120" s="198"/>
      <c r="KER120" s="199"/>
      <c r="KES120" s="198"/>
      <c r="KET120" s="199"/>
      <c r="KEU120" s="198"/>
      <c r="KEV120" s="199"/>
      <c r="KEW120" s="198"/>
      <c r="KEX120" s="199"/>
      <c r="KEY120" s="198"/>
      <c r="KEZ120" s="199"/>
      <c r="KFA120" s="198"/>
      <c r="KFB120" s="199"/>
      <c r="KFC120" s="198"/>
      <c r="KFD120" s="199"/>
      <c r="KFE120" s="198"/>
      <c r="KFF120" s="199"/>
      <c r="KFG120" s="198"/>
      <c r="KFH120" s="199"/>
      <c r="KFI120" s="198"/>
      <c r="KFJ120" s="199"/>
      <c r="KFK120" s="198"/>
      <c r="KFL120" s="199"/>
      <c r="KFM120" s="198"/>
      <c r="KFN120" s="199"/>
      <c r="KFO120" s="198"/>
      <c r="KFP120" s="199"/>
      <c r="KFQ120" s="198"/>
      <c r="KFR120" s="199"/>
      <c r="KFS120" s="198"/>
      <c r="KFT120" s="199"/>
      <c r="KFU120" s="198"/>
      <c r="KFV120" s="199"/>
      <c r="KFW120" s="198"/>
      <c r="KFX120" s="199"/>
      <c r="KFY120" s="198"/>
      <c r="KFZ120" s="199"/>
      <c r="KGA120" s="198"/>
      <c r="KGB120" s="199"/>
      <c r="KGC120" s="198"/>
      <c r="KGD120" s="199"/>
      <c r="KGE120" s="198"/>
      <c r="KGF120" s="199"/>
      <c r="KGG120" s="198"/>
      <c r="KGH120" s="199"/>
      <c r="KGI120" s="198"/>
      <c r="KGJ120" s="199"/>
      <c r="KGK120" s="198"/>
      <c r="KGL120" s="199"/>
      <c r="KGM120" s="198"/>
      <c r="KGN120" s="199"/>
      <c r="KGO120" s="198"/>
      <c r="KGP120" s="199"/>
      <c r="KGQ120" s="198"/>
      <c r="KGR120" s="199"/>
      <c r="KGS120" s="198"/>
      <c r="KGT120" s="199"/>
      <c r="KGU120" s="198"/>
      <c r="KGV120" s="199"/>
      <c r="KGW120" s="198"/>
      <c r="KGX120" s="199"/>
      <c r="KGY120" s="198"/>
      <c r="KGZ120" s="199"/>
      <c r="KHA120" s="198"/>
      <c r="KHB120" s="199"/>
      <c r="KHC120" s="198"/>
      <c r="KHD120" s="199"/>
      <c r="KHE120" s="198"/>
      <c r="KHF120" s="199"/>
      <c r="KHG120" s="198"/>
      <c r="KHH120" s="199"/>
      <c r="KHI120" s="198"/>
      <c r="KHJ120" s="199"/>
      <c r="KHK120" s="198"/>
      <c r="KHL120" s="199"/>
      <c r="KHM120" s="198"/>
      <c r="KHN120" s="199"/>
      <c r="KHO120" s="198"/>
      <c r="KHP120" s="199"/>
      <c r="KHQ120" s="198"/>
      <c r="KHR120" s="199"/>
      <c r="KHS120" s="198"/>
      <c r="KHT120" s="199"/>
      <c r="KHU120" s="198"/>
      <c r="KHV120" s="199"/>
      <c r="KHW120" s="198"/>
      <c r="KHX120" s="199"/>
      <c r="KHY120" s="198"/>
      <c r="KHZ120" s="199"/>
      <c r="KIA120" s="198"/>
      <c r="KIB120" s="199"/>
      <c r="KIC120" s="198"/>
      <c r="KID120" s="199"/>
      <c r="KIE120" s="198"/>
      <c r="KIF120" s="199"/>
      <c r="KIG120" s="198"/>
      <c r="KIH120" s="199"/>
      <c r="KII120" s="198"/>
      <c r="KIJ120" s="199"/>
      <c r="KIK120" s="198"/>
      <c r="KIL120" s="199"/>
      <c r="KIM120" s="198"/>
      <c r="KIN120" s="199"/>
      <c r="KIO120" s="198"/>
      <c r="KIP120" s="199"/>
      <c r="KIQ120" s="198"/>
      <c r="KIR120" s="199"/>
      <c r="KIS120" s="198"/>
      <c r="KIT120" s="199"/>
      <c r="KIU120" s="198"/>
      <c r="KIV120" s="199"/>
      <c r="KIW120" s="198"/>
      <c r="KIX120" s="199"/>
      <c r="KIY120" s="198"/>
      <c r="KIZ120" s="199"/>
      <c r="KJA120" s="198"/>
      <c r="KJB120" s="199"/>
      <c r="KJC120" s="198"/>
      <c r="KJD120" s="199"/>
      <c r="KJE120" s="198"/>
      <c r="KJF120" s="199"/>
      <c r="KJG120" s="198"/>
      <c r="KJH120" s="199"/>
      <c r="KJI120" s="198"/>
      <c r="KJJ120" s="199"/>
      <c r="KJK120" s="198"/>
      <c r="KJL120" s="199"/>
      <c r="KJM120" s="198"/>
      <c r="KJN120" s="199"/>
      <c r="KJO120" s="198"/>
      <c r="KJP120" s="199"/>
      <c r="KJQ120" s="198"/>
      <c r="KJR120" s="199"/>
      <c r="KJS120" s="198"/>
      <c r="KJT120" s="199"/>
      <c r="KJU120" s="198"/>
      <c r="KJV120" s="199"/>
      <c r="KJW120" s="198"/>
      <c r="KJX120" s="199"/>
      <c r="KJY120" s="198"/>
      <c r="KJZ120" s="199"/>
      <c r="KKA120" s="198"/>
      <c r="KKB120" s="199"/>
      <c r="KKC120" s="198"/>
      <c r="KKD120" s="199"/>
      <c r="KKE120" s="198"/>
      <c r="KKF120" s="199"/>
      <c r="KKG120" s="198"/>
      <c r="KKH120" s="199"/>
      <c r="KKI120" s="198"/>
      <c r="KKJ120" s="199"/>
      <c r="KKK120" s="198"/>
      <c r="KKL120" s="199"/>
      <c r="KKM120" s="198"/>
      <c r="KKN120" s="199"/>
      <c r="KKO120" s="198"/>
      <c r="KKP120" s="199"/>
      <c r="KKQ120" s="198"/>
      <c r="KKR120" s="199"/>
      <c r="KKS120" s="198"/>
      <c r="KKT120" s="199"/>
      <c r="KKU120" s="198"/>
      <c r="KKV120" s="199"/>
      <c r="KKW120" s="198"/>
      <c r="KKX120" s="199"/>
      <c r="KKY120" s="198"/>
      <c r="KKZ120" s="199"/>
      <c r="KLA120" s="198"/>
      <c r="KLB120" s="199"/>
      <c r="KLC120" s="198"/>
      <c r="KLD120" s="199"/>
      <c r="KLE120" s="198"/>
      <c r="KLF120" s="199"/>
      <c r="KLG120" s="198"/>
      <c r="KLH120" s="199"/>
      <c r="KLI120" s="198"/>
      <c r="KLJ120" s="199"/>
      <c r="KLK120" s="198"/>
      <c r="KLL120" s="199"/>
      <c r="KLM120" s="198"/>
      <c r="KLN120" s="199"/>
      <c r="KLO120" s="198"/>
      <c r="KLP120" s="199"/>
      <c r="KLQ120" s="198"/>
      <c r="KLR120" s="199"/>
      <c r="KLS120" s="198"/>
      <c r="KLT120" s="199"/>
      <c r="KLU120" s="198"/>
      <c r="KLV120" s="199"/>
      <c r="KLW120" s="198"/>
      <c r="KLX120" s="199"/>
      <c r="KLY120" s="198"/>
      <c r="KLZ120" s="199"/>
      <c r="KMA120" s="198"/>
      <c r="KMB120" s="199"/>
      <c r="KMC120" s="198"/>
      <c r="KMD120" s="199"/>
      <c r="KME120" s="198"/>
      <c r="KMF120" s="199"/>
      <c r="KMG120" s="198"/>
      <c r="KMH120" s="199"/>
      <c r="KMI120" s="198"/>
      <c r="KMJ120" s="199"/>
      <c r="KMK120" s="198"/>
      <c r="KML120" s="199"/>
      <c r="KMM120" s="198"/>
      <c r="KMN120" s="199"/>
      <c r="KMO120" s="198"/>
      <c r="KMP120" s="199"/>
      <c r="KMQ120" s="198"/>
      <c r="KMR120" s="199"/>
      <c r="KMS120" s="198"/>
      <c r="KMT120" s="199"/>
      <c r="KMU120" s="198"/>
      <c r="KMV120" s="199"/>
      <c r="KMW120" s="198"/>
      <c r="KMX120" s="199"/>
      <c r="KMY120" s="198"/>
      <c r="KMZ120" s="199"/>
      <c r="KNA120" s="198"/>
      <c r="KNB120" s="199"/>
      <c r="KNC120" s="198"/>
      <c r="KND120" s="199"/>
      <c r="KNE120" s="198"/>
      <c r="KNF120" s="199"/>
      <c r="KNG120" s="198"/>
      <c r="KNH120" s="199"/>
      <c r="KNI120" s="198"/>
      <c r="KNJ120" s="199"/>
      <c r="KNK120" s="198"/>
      <c r="KNL120" s="199"/>
      <c r="KNM120" s="198"/>
      <c r="KNN120" s="199"/>
      <c r="KNO120" s="198"/>
      <c r="KNP120" s="199"/>
      <c r="KNQ120" s="198"/>
      <c r="KNR120" s="199"/>
      <c r="KNS120" s="198"/>
      <c r="KNT120" s="199"/>
      <c r="KNU120" s="198"/>
      <c r="KNV120" s="199"/>
      <c r="KNW120" s="198"/>
      <c r="KNX120" s="199"/>
      <c r="KNY120" s="198"/>
      <c r="KNZ120" s="199"/>
      <c r="KOA120" s="198"/>
      <c r="KOB120" s="199"/>
      <c r="KOC120" s="198"/>
      <c r="KOD120" s="199"/>
      <c r="KOE120" s="198"/>
      <c r="KOF120" s="199"/>
      <c r="KOG120" s="198"/>
      <c r="KOH120" s="199"/>
      <c r="KOI120" s="198"/>
      <c r="KOJ120" s="199"/>
      <c r="KOK120" s="198"/>
      <c r="KOL120" s="199"/>
      <c r="KOM120" s="198"/>
      <c r="KON120" s="199"/>
      <c r="KOO120" s="198"/>
      <c r="KOP120" s="199"/>
      <c r="KOQ120" s="198"/>
      <c r="KOR120" s="199"/>
      <c r="KOS120" s="198"/>
      <c r="KOT120" s="199"/>
      <c r="KOU120" s="198"/>
      <c r="KOV120" s="199"/>
      <c r="KOW120" s="198"/>
      <c r="KOX120" s="199"/>
      <c r="KOY120" s="198"/>
      <c r="KOZ120" s="199"/>
      <c r="KPA120" s="198"/>
      <c r="KPB120" s="199"/>
      <c r="KPC120" s="198"/>
      <c r="KPD120" s="199"/>
      <c r="KPE120" s="198"/>
      <c r="KPF120" s="199"/>
      <c r="KPG120" s="198"/>
      <c r="KPH120" s="199"/>
      <c r="KPI120" s="198"/>
      <c r="KPJ120" s="199"/>
      <c r="KPK120" s="198"/>
      <c r="KPL120" s="199"/>
      <c r="KPM120" s="198"/>
      <c r="KPN120" s="199"/>
      <c r="KPO120" s="198"/>
      <c r="KPP120" s="199"/>
      <c r="KPQ120" s="198"/>
      <c r="KPR120" s="199"/>
      <c r="KPS120" s="198"/>
      <c r="KPT120" s="199"/>
      <c r="KPU120" s="198"/>
      <c r="KPV120" s="199"/>
      <c r="KPW120" s="198"/>
      <c r="KPX120" s="199"/>
      <c r="KPY120" s="198"/>
      <c r="KPZ120" s="199"/>
      <c r="KQA120" s="198"/>
      <c r="KQB120" s="199"/>
      <c r="KQC120" s="198"/>
      <c r="KQD120" s="199"/>
      <c r="KQE120" s="198"/>
      <c r="KQF120" s="199"/>
      <c r="KQG120" s="198"/>
      <c r="KQH120" s="199"/>
      <c r="KQI120" s="198"/>
      <c r="KQJ120" s="199"/>
      <c r="KQK120" s="198"/>
      <c r="KQL120" s="199"/>
      <c r="KQM120" s="198"/>
      <c r="KQN120" s="199"/>
      <c r="KQO120" s="198"/>
      <c r="KQP120" s="199"/>
      <c r="KQQ120" s="198"/>
      <c r="KQR120" s="199"/>
      <c r="KQS120" s="198"/>
      <c r="KQT120" s="199"/>
      <c r="KQU120" s="198"/>
      <c r="KQV120" s="199"/>
      <c r="KQW120" s="198"/>
      <c r="KQX120" s="199"/>
      <c r="KQY120" s="198"/>
      <c r="KQZ120" s="199"/>
      <c r="KRA120" s="198"/>
      <c r="KRB120" s="199"/>
      <c r="KRC120" s="198"/>
      <c r="KRD120" s="199"/>
      <c r="KRE120" s="198"/>
      <c r="KRF120" s="199"/>
      <c r="KRG120" s="198"/>
      <c r="KRH120" s="199"/>
      <c r="KRI120" s="198"/>
      <c r="KRJ120" s="199"/>
      <c r="KRK120" s="198"/>
      <c r="KRL120" s="199"/>
      <c r="KRM120" s="198"/>
      <c r="KRN120" s="199"/>
      <c r="KRO120" s="198"/>
      <c r="KRP120" s="199"/>
      <c r="KRQ120" s="198"/>
      <c r="KRR120" s="199"/>
      <c r="KRS120" s="198"/>
      <c r="KRT120" s="199"/>
      <c r="KRU120" s="198"/>
      <c r="KRV120" s="199"/>
      <c r="KRW120" s="198"/>
      <c r="KRX120" s="199"/>
      <c r="KRY120" s="198"/>
      <c r="KRZ120" s="199"/>
      <c r="KSA120" s="198"/>
      <c r="KSB120" s="199"/>
      <c r="KSC120" s="198"/>
      <c r="KSD120" s="199"/>
      <c r="KSE120" s="198"/>
      <c r="KSF120" s="199"/>
      <c r="KSG120" s="198"/>
      <c r="KSH120" s="199"/>
      <c r="KSI120" s="198"/>
      <c r="KSJ120" s="199"/>
      <c r="KSK120" s="198"/>
      <c r="KSL120" s="199"/>
      <c r="KSM120" s="198"/>
      <c r="KSN120" s="199"/>
      <c r="KSO120" s="198"/>
      <c r="KSP120" s="199"/>
      <c r="KSQ120" s="198"/>
      <c r="KSR120" s="199"/>
      <c r="KSS120" s="198"/>
      <c r="KST120" s="199"/>
      <c r="KSU120" s="198"/>
      <c r="KSV120" s="199"/>
      <c r="KSW120" s="198"/>
      <c r="KSX120" s="199"/>
      <c r="KSY120" s="198"/>
      <c r="KSZ120" s="199"/>
      <c r="KTA120" s="198"/>
      <c r="KTB120" s="199"/>
      <c r="KTC120" s="198"/>
      <c r="KTD120" s="199"/>
      <c r="KTE120" s="198"/>
      <c r="KTF120" s="199"/>
      <c r="KTG120" s="198"/>
      <c r="KTH120" s="199"/>
      <c r="KTI120" s="198"/>
      <c r="KTJ120" s="199"/>
      <c r="KTK120" s="198"/>
      <c r="KTL120" s="199"/>
      <c r="KTM120" s="198"/>
      <c r="KTN120" s="199"/>
      <c r="KTO120" s="198"/>
      <c r="KTP120" s="199"/>
      <c r="KTQ120" s="198"/>
      <c r="KTR120" s="199"/>
      <c r="KTS120" s="198"/>
      <c r="KTT120" s="199"/>
      <c r="KTU120" s="198"/>
      <c r="KTV120" s="199"/>
      <c r="KTW120" s="198"/>
      <c r="KTX120" s="199"/>
      <c r="KTY120" s="198"/>
      <c r="KTZ120" s="199"/>
      <c r="KUA120" s="198"/>
      <c r="KUB120" s="199"/>
      <c r="KUC120" s="198"/>
      <c r="KUD120" s="199"/>
      <c r="KUE120" s="198"/>
      <c r="KUF120" s="199"/>
      <c r="KUG120" s="198"/>
      <c r="KUH120" s="199"/>
      <c r="KUI120" s="198"/>
      <c r="KUJ120" s="199"/>
      <c r="KUK120" s="198"/>
      <c r="KUL120" s="199"/>
      <c r="KUM120" s="198"/>
      <c r="KUN120" s="199"/>
      <c r="KUO120" s="198"/>
      <c r="KUP120" s="199"/>
      <c r="KUQ120" s="198"/>
      <c r="KUR120" s="199"/>
      <c r="KUS120" s="198"/>
      <c r="KUT120" s="199"/>
      <c r="KUU120" s="198"/>
      <c r="KUV120" s="199"/>
      <c r="KUW120" s="198"/>
      <c r="KUX120" s="199"/>
      <c r="KUY120" s="198"/>
      <c r="KUZ120" s="199"/>
      <c r="KVA120" s="198"/>
      <c r="KVB120" s="199"/>
      <c r="KVC120" s="198"/>
      <c r="KVD120" s="199"/>
      <c r="KVE120" s="198"/>
      <c r="KVF120" s="199"/>
      <c r="KVG120" s="198"/>
      <c r="KVH120" s="199"/>
      <c r="KVI120" s="198"/>
      <c r="KVJ120" s="199"/>
      <c r="KVK120" s="198"/>
      <c r="KVL120" s="199"/>
      <c r="KVM120" s="198"/>
      <c r="KVN120" s="199"/>
      <c r="KVO120" s="198"/>
      <c r="KVP120" s="199"/>
      <c r="KVQ120" s="198"/>
      <c r="KVR120" s="199"/>
      <c r="KVS120" s="198"/>
      <c r="KVT120" s="199"/>
      <c r="KVU120" s="198"/>
      <c r="KVV120" s="199"/>
      <c r="KVW120" s="198"/>
      <c r="KVX120" s="199"/>
      <c r="KVY120" s="198"/>
      <c r="KVZ120" s="199"/>
      <c r="KWA120" s="198"/>
      <c r="KWB120" s="199"/>
      <c r="KWC120" s="198"/>
      <c r="KWD120" s="199"/>
      <c r="KWE120" s="198"/>
      <c r="KWF120" s="199"/>
      <c r="KWG120" s="198"/>
      <c r="KWH120" s="199"/>
      <c r="KWI120" s="198"/>
      <c r="KWJ120" s="199"/>
      <c r="KWK120" s="198"/>
      <c r="KWL120" s="199"/>
      <c r="KWM120" s="198"/>
      <c r="KWN120" s="199"/>
      <c r="KWO120" s="198"/>
      <c r="KWP120" s="199"/>
      <c r="KWQ120" s="198"/>
      <c r="KWR120" s="199"/>
      <c r="KWS120" s="198"/>
      <c r="KWT120" s="199"/>
      <c r="KWU120" s="198"/>
      <c r="KWV120" s="199"/>
      <c r="KWW120" s="198"/>
      <c r="KWX120" s="199"/>
      <c r="KWY120" s="198"/>
      <c r="KWZ120" s="199"/>
      <c r="KXA120" s="198"/>
      <c r="KXB120" s="199"/>
      <c r="KXC120" s="198"/>
      <c r="KXD120" s="199"/>
      <c r="KXE120" s="198"/>
      <c r="KXF120" s="199"/>
      <c r="KXG120" s="198"/>
      <c r="KXH120" s="199"/>
      <c r="KXI120" s="198"/>
      <c r="KXJ120" s="199"/>
      <c r="KXK120" s="198"/>
      <c r="KXL120" s="199"/>
      <c r="KXM120" s="198"/>
      <c r="KXN120" s="199"/>
      <c r="KXO120" s="198"/>
      <c r="KXP120" s="199"/>
      <c r="KXQ120" s="198"/>
      <c r="KXR120" s="199"/>
      <c r="KXS120" s="198"/>
      <c r="KXT120" s="199"/>
      <c r="KXU120" s="198"/>
      <c r="KXV120" s="199"/>
      <c r="KXW120" s="198"/>
      <c r="KXX120" s="199"/>
      <c r="KXY120" s="198"/>
      <c r="KXZ120" s="199"/>
      <c r="KYA120" s="198"/>
      <c r="KYB120" s="199"/>
      <c r="KYC120" s="198"/>
      <c r="KYD120" s="199"/>
      <c r="KYE120" s="198"/>
      <c r="KYF120" s="199"/>
      <c r="KYG120" s="198"/>
      <c r="KYH120" s="199"/>
      <c r="KYI120" s="198"/>
      <c r="KYJ120" s="199"/>
      <c r="KYK120" s="198"/>
      <c r="KYL120" s="199"/>
      <c r="KYM120" s="198"/>
      <c r="KYN120" s="199"/>
      <c r="KYO120" s="198"/>
      <c r="KYP120" s="199"/>
      <c r="KYQ120" s="198"/>
      <c r="KYR120" s="199"/>
      <c r="KYS120" s="198"/>
      <c r="KYT120" s="199"/>
      <c r="KYU120" s="198"/>
      <c r="KYV120" s="199"/>
      <c r="KYW120" s="198"/>
      <c r="KYX120" s="199"/>
      <c r="KYY120" s="198"/>
      <c r="KYZ120" s="199"/>
      <c r="KZA120" s="198"/>
      <c r="KZB120" s="199"/>
      <c r="KZC120" s="198"/>
      <c r="KZD120" s="199"/>
      <c r="KZE120" s="198"/>
      <c r="KZF120" s="199"/>
      <c r="KZG120" s="198"/>
      <c r="KZH120" s="199"/>
      <c r="KZI120" s="198"/>
      <c r="KZJ120" s="199"/>
      <c r="KZK120" s="198"/>
      <c r="KZL120" s="199"/>
      <c r="KZM120" s="198"/>
      <c r="KZN120" s="199"/>
      <c r="KZO120" s="198"/>
      <c r="KZP120" s="199"/>
      <c r="KZQ120" s="198"/>
      <c r="KZR120" s="199"/>
      <c r="KZS120" s="198"/>
      <c r="KZT120" s="199"/>
      <c r="KZU120" s="198"/>
      <c r="KZV120" s="199"/>
      <c r="KZW120" s="198"/>
      <c r="KZX120" s="199"/>
      <c r="KZY120" s="198"/>
      <c r="KZZ120" s="199"/>
      <c r="LAA120" s="198"/>
      <c r="LAB120" s="199"/>
      <c r="LAC120" s="198"/>
      <c r="LAD120" s="199"/>
      <c r="LAE120" s="198"/>
      <c r="LAF120" s="199"/>
      <c r="LAG120" s="198"/>
      <c r="LAH120" s="199"/>
      <c r="LAI120" s="198"/>
      <c r="LAJ120" s="199"/>
      <c r="LAK120" s="198"/>
      <c r="LAL120" s="199"/>
      <c r="LAM120" s="198"/>
      <c r="LAN120" s="199"/>
      <c r="LAO120" s="198"/>
      <c r="LAP120" s="199"/>
      <c r="LAQ120" s="198"/>
      <c r="LAR120" s="199"/>
      <c r="LAS120" s="198"/>
      <c r="LAT120" s="199"/>
      <c r="LAU120" s="198"/>
      <c r="LAV120" s="199"/>
      <c r="LAW120" s="198"/>
      <c r="LAX120" s="199"/>
      <c r="LAY120" s="198"/>
      <c r="LAZ120" s="199"/>
      <c r="LBA120" s="198"/>
      <c r="LBB120" s="199"/>
      <c r="LBC120" s="198"/>
      <c r="LBD120" s="199"/>
      <c r="LBE120" s="198"/>
      <c r="LBF120" s="199"/>
      <c r="LBG120" s="198"/>
      <c r="LBH120" s="199"/>
      <c r="LBI120" s="198"/>
      <c r="LBJ120" s="199"/>
      <c r="LBK120" s="198"/>
      <c r="LBL120" s="199"/>
      <c r="LBM120" s="198"/>
      <c r="LBN120" s="199"/>
      <c r="LBO120" s="198"/>
      <c r="LBP120" s="199"/>
      <c r="LBQ120" s="198"/>
      <c r="LBR120" s="199"/>
      <c r="LBS120" s="198"/>
      <c r="LBT120" s="199"/>
      <c r="LBU120" s="198"/>
      <c r="LBV120" s="199"/>
      <c r="LBW120" s="198"/>
      <c r="LBX120" s="199"/>
      <c r="LBY120" s="198"/>
      <c r="LBZ120" s="199"/>
      <c r="LCA120" s="198"/>
      <c r="LCB120" s="199"/>
      <c r="LCC120" s="198"/>
      <c r="LCD120" s="199"/>
      <c r="LCE120" s="198"/>
      <c r="LCF120" s="199"/>
      <c r="LCG120" s="198"/>
      <c r="LCH120" s="199"/>
      <c r="LCI120" s="198"/>
      <c r="LCJ120" s="199"/>
      <c r="LCK120" s="198"/>
      <c r="LCL120" s="199"/>
      <c r="LCM120" s="198"/>
      <c r="LCN120" s="199"/>
      <c r="LCO120" s="198"/>
      <c r="LCP120" s="199"/>
      <c r="LCQ120" s="198"/>
      <c r="LCR120" s="199"/>
      <c r="LCS120" s="198"/>
      <c r="LCT120" s="199"/>
      <c r="LCU120" s="198"/>
      <c r="LCV120" s="199"/>
      <c r="LCW120" s="198"/>
      <c r="LCX120" s="199"/>
      <c r="LCY120" s="198"/>
      <c r="LCZ120" s="199"/>
      <c r="LDA120" s="198"/>
      <c r="LDB120" s="199"/>
      <c r="LDC120" s="198"/>
      <c r="LDD120" s="199"/>
      <c r="LDE120" s="198"/>
      <c r="LDF120" s="199"/>
      <c r="LDG120" s="198"/>
      <c r="LDH120" s="199"/>
      <c r="LDI120" s="198"/>
      <c r="LDJ120" s="199"/>
      <c r="LDK120" s="198"/>
      <c r="LDL120" s="199"/>
      <c r="LDM120" s="198"/>
      <c r="LDN120" s="199"/>
      <c r="LDO120" s="198"/>
      <c r="LDP120" s="199"/>
      <c r="LDQ120" s="198"/>
      <c r="LDR120" s="199"/>
      <c r="LDS120" s="198"/>
      <c r="LDT120" s="199"/>
      <c r="LDU120" s="198"/>
      <c r="LDV120" s="199"/>
      <c r="LDW120" s="198"/>
      <c r="LDX120" s="199"/>
      <c r="LDY120" s="198"/>
      <c r="LDZ120" s="199"/>
      <c r="LEA120" s="198"/>
      <c r="LEB120" s="199"/>
      <c r="LEC120" s="198"/>
      <c r="LED120" s="199"/>
      <c r="LEE120" s="198"/>
      <c r="LEF120" s="199"/>
      <c r="LEG120" s="198"/>
      <c r="LEH120" s="199"/>
      <c r="LEI120" s="198"/>
      <c r="LEJ120" s="199"/>
      <c r="LEK120" s="198"/>
      <c r="LEL120" s="199"/>
      <c r="LEM120" s="198"/>
      <c r="LEN120" s="199"/>
      <c r="LEO120" s="198"/>
      <c r="LEP120" s="199"/>
      <c r="LEQ120" s="198"/>
      <c r="LER120" s="199"/>
      <c r="LES120" s="198"/>
      <c r="LET120" s="199"/>
      <c r="LEU120" s="198"/>
      <c r="LEV120" s="199"/>
      <c r="LEW120" s="198"/>
      <c r="LEX120" s="199"/>
      <c r="LEY120" s="198"/>
      <c r="LEZ120" s="199"/>
      <c r="LFA120" s="198"/>
      <c r="LFB120" s="199"/>
      <c r="LFC120" s="198"/>
      <c r="LFD120" s="199"/>
      <c r="LFE120" s="198"/>
      <c r="LFF120" s="199"/>
      <c r="LFG120" s="198"/>
      <c r="LFH120" s="199"/>
      <c r="LFI120" s="198"/>
      <c r="LFJ120" s="199"/>
      <c r="LFK120" s="198"/>
      <c r="LFL120" s="199"/>
      <c r="LFM120" s="198"/>
      <c r="LFN120" s="199"/>
      <c r="LFO120" s="198"/>
      <c r="LFP120" s="199"/>
      <c r="LFQ120" s="198"/>
      <c r="LFR120" s="199"/>
      <c r="LFS120" s="198"/>
      <c r="LFT120" s="199"/>
      <c r="LFU120" s="198"/>
      <c r="LFV120" s="199"/>
      <c r="LFW120" s="198"/>
      <c r="LFX120" s="199"/>
      <c r="LFY120" s="198"/>
      <c r="LFZ120" s="199"/>
      <c r="LGA120" s="198"/>
      <c r="LGB120" s="199"/>
      <c r="LGC120" s="198"/>
      <c r="LGD120" s="199"/>
      <c r="LGE120" s="198"/>
      <c r="LGF120" s="199"/>
      <c r="LGG120" s="198"/>
      <c r="LGH120" s="199"/>
      <c r="LGI120" s="198"/>
      <c r="LGJ120" s="199"/>
      <c r="LGK120" s="198"/>
      <c r="LGL120" s="199"/>
      <c r="LGM120" s="198"/>
      <c r="LGN120" s="199"/>
      <c r="LGO120" s="198"/>
      <c r="LGP120" s="199"/>
      <c r="LGQ120" s="198"/>
      <c r="LGR120" s="199"/>
      <c r="LGS120" s="198"/>
      <c r="LGT120" s="199"/>
      <c r="LGU120" s="198"/>
      <c r="LGV120" s="199"/>
      <c r="LGW120" s="198"/>
      <c r="LGX120" s="199"/>
      <c r="LGY120" s="198"/>
      <c r="LGZ120" s="199"/>
      <c r="LHA120" s="198"/>
      <c r="LHB120" s="199"/>
      <c r="LHC120" s="198"/>
      <c r="LHD120" s="199"/>
      <c r="LHE120" s="198"/>
      <c r="LHF120" s="199"/>
      <c r="LHG120" s="198"/>
      <c r="LHH120" s="199"/>
      <c r="LHI120" s="198"/>
      <c r="LHJ120" s="199"/>
      <c r="LHK120" s="198"/>
      <c r="LHL120" s="199"/>
      <c r="LHM120" s="198"/>
      <c r="LHN120" s="199"/>
      <c r="LHO120" s="198"/>
      <c r="LHP120" s="199"/>
      <c r="LHQ120" s="198"/>
      <c r="LHR120" s="199"/>
      <c r="LHS120" s="198"/>
      <c r="LHT120" s="199"/>
      <c r="LHU120" s="198"/>
      <c r="LHV120" s="199"/>
      <c r="LHW120" s="198"/>
      <c r="LHX120" s="199"/>
      <c r="LHY120" s="198"/>
      <c r="LHZ120" s="199"/>
      <c r="LIA120" s="198"/>
      <c r="LIB120" s="199"/>
      <c r="LIC120" s="198"/>
      <c r="LID120" s="199"/>
      <c r="LIE120" s="198"/>
      <c r="LIF120" s="199"/>
      <c r="LIG120" s="198"/>
      <c r="LIH120" s="199"/>
      <c r="LII120" s="198"/>
      <c r="LIJ120" s="199"/>
      <c r="LIK120" s="198"/>
      <c r="LIL120" s="199"/>
      <c r="LIM120" s="198"/>
      <c r="LIN120" s="199"/>
      <c r="LIO120" s="198"/>
      <c r="LIP120" s="199"/>
      <c r="LIQ120" s="198"/>
      <c r="LIR120" s="199"/>
      <c r="LIS120" s="198"/>
      <c r="LIT120" s="199"/>
      <c r="LIU120" s="198"/>
      <c r="LIV120" s="199"/>
      <c r="LIW120" s="198"/>
      <c r="LIX120" s="199"/>
      <c r="LIY120" s="198"/>
      <c r="LIZ120" s="199"/>
      <c r="LJA120" s="198"/>
      <c r="LJB120" s="199"/>
      <c r="LJC120" s="198"/>
      <c r="LJD120" s="199"/>
      <c r="LJE120" s="198"/>
      <c r="LJF120" s="199"/>
      <c r="LJG120" s="198"/>
      <c r="LJH120" s="199"/>
      <c r="LJI120" s="198"/>
      <c r="LJJ120" s="199"/>
      <c r="LJK120" s="198"/>
      <c r="LJL120" s="199"/>
      <c r="LJM120" s="198"/>
      <c r="LJN120" s="199"/>
      <c r="LJO120" s="198"/>
      <c r="LJP120" s="199"/>
      <c r="LJQ120" s="198"/>
      <c r="LJR120" s="199"/>
      <c r="LJS120" s="198"/>
      <c r="LJT120" s="199"/>
      <c r="LJU120" s="198"/>
      <c r="LJV120" s="199"/>
      <c r="LJW120" s="198"/>
      <c r="LJX120" s="199"/>
      <c r="LJY120" s="198"/>
      <c r="LJZ120" s="199"/>
      <c r="LKA120" s="198"/>
      <c r="LKB120" s="199"/>
      <c r="LKC120" s="198"/>
      <c r="LKD120" s="199"/>
      <c r="LKE120" s="198"/>
      <c r="LKF120" s="199"/>
      <c r="LKG120" s="198"/>
      <c r="LKH120" s="199"/>
      <c r="LKI120" s="198"/>
      <c r="LKJ120" s="199"/>
      <c r="LKK120" s="198"/>
      <c r="LKL120" s="199"/>
      <c r="LKM120" s="198"/>
      <c r="LKN120" s="199"/>
      <c r="LKO120" s="198"/>
      <c r="LKP120" s="199"/>
      <c r="LKQ120" s="198"/>
      <c r="LKR120" s="199"/>
      <c r="LKS120" s="198"/>
      <c r="LKT120" s="199"/>
      <c r="LKU120" s="198"/>
      <c r="LKV120" s="199"/>
      <c r="LKW120" s="198"/>
      <c r="LKX120" s="199"/>
      <c r="LKY120" s="198"/>
      <c r="LKZ120" s="199"/>
      <c r="LLA120" s="198"/>
      <c r="LLB120" s="199"/>
      <c r="LLC120" s="198"/>
      <c r="LLD120" s="199"/>
      <c r="LLE120" s="198"/>
      <c r="LLF120" s="199"/>
      <c r="LLG120" s="198"/>
      <c r="LLH120" s="199"/>
      <c r="LLI120" s="198"/>
      <c r="LLJ120" s="199"/>
      <c r="LLK120" s="198"/>
      <c r="LLL120" s="199"/>
      <c r="LLM120" s="198"/>
      <c r="LLN120" s="199"/>
      <c r="LLO120" s="198"/>
      <c r="LLP120" s="199"/>
      <c r="LLQ120" s="198"/>
      <c r="LLR120" s="199"/>
      <c r="LLS120" s="198"/>
      <c r="LLT120" s="199"/>
      <c r="LLU120" s="198"/>
      <c r="LLV120" s="199"/>
      <c r="LLW120" s="198"/>
      <c r="LLX120" s="199"/>
      <c r="LLY120" s="198"/>
      <c r="LLZ120" s="199"/>
      <c r="LMA120" s="198"/>
      <c r="LMB120" s="199"/>
      <c r="LMC120" s="198"/>
      <c r="LMD120" s="199"/>
      <c r="LME120" s="198"/>
      <c r="LMF120" s="199"/>
      <c r="LMG120" s="198"/>
      <c r="LMH120" s="199"/>
      <c r="LMI120" s="198"/>
      <c r="LMJ120" s="199"/>
      <c r="LMK120" s="198"/>
      <c r="LML120" s="199"/>
      <c r="LMM120" s="198"/>
      <c r="LMN120" s="199"/>
      <c r="LMO120" s="198"/>
      <c r="LMP120" s="199"/>
      <c r="LMQ120" s="198"/>
      <c r="LMR120" s="199"/>
      <c r="LMS120" s="198"/>
      <c r="LMT120" s="199"/>
      <c r="LMU120" s="198"/>
      <c r="LMV120" s="199"/>
      <c r="LMW120" s="198"/>
      <c r="LMX120" s="199"/>
      <c r="LMY120" s="198"/>
      <c r="LMZ120" s="199"/>
      <c r="LNA120" s="198"/>
      <c r="LNB120" s="199"/>
      <c r="LNC120" s="198"/>
      <c r="LND120" s="199"/>
      <c r="LNE120" s="198"/>
      <c r="LNF120" s="199"/>
      <c r="LNG120" s="198"/>
      <c r="LNH120" s="199"/>
      <c r="LNI120" s="198"/>
      <c r="LNJ120" s="199"/>
      <c r="LNK120" s="198"/>
      <c r="LNL120" s="199"/>
      <c r="LNM120" s="198"/>
      <c r="LNN120" s="199"/>
      <c r="LNO120" s="198"/>
      <c r="LNP120" s="199"/>
      <c r="LNQ120" s="198"/>
      <c r="LNR120" s="199"/>
      <c r="LNS120" s="198"/>
      <c r="LNT120" s="199"/>
      <c r="LNU120" s="198"/>
      <c r="LNV120" s="199"/>
      <c r="LNW120" s="198"/>
      <c r="LNX120" s="199"/>
      <c r="LNY120" s="198"/>
      <c r="LNZ120" s="199"/>
      <c r="LOA120" s="198"/>
      <c r="LOB120" s="199"/>
      <c r="LOC120" s="198"/>
      <c r="LOD120" s="199"/>
      <c r="LOE120" s="198"/>
      <c r="LOF120" s="199"/>
      <c r="LOG120" s="198"/>
      <c r="LOH120" s="199"/>
      <c r="LOI120" s="198"/>
      <c r="LOJ120" s="199"/>
      <c r="LOK120" s="198"/>
      <c r="LOL120" s="199"/>
      <c r="LOM120" s="198"/>
      <c r="LON120" s="199"/>
      <c r="LOO120" s="198"/>
      <c r="LOP120" s="199"/>
      <c r="LOQ120" s="198"/>
      <c r="LOR120" s="199"/>
      <c r="LOS120" s="198"/>
      <c r="LOT120" s="199"/>
      <c r="LOU120" s="198"/>
      <c r="LOV120" s="199"/>
      <c r="LOW120" s="198"/>
      <c r="LOX120" s="199"/>
      <c r="LOY120" s="198"/>
      <c r="LOZ120" s="199"/>
      <c r="LPA120" s="198"/>
      <c r="LPB120" s="199"/>
      <c r="LPC120" s="198"/>
      <c r="LPD120" s="199"/>
      <c r="LPE120" s="198"/>
      <c r="LPF120" s="199"/>
      <c r="LPG120" s="198"/>
      <c r="LPH120" s="199"/>
      <c r="LPI120" s="198"/>
      <c r="LPJ120" s="199"/>
      <c r="LPK120" s="198"/>
      <c r="LPL120" s="199"/>
      <c r="LPM120" s="198"/>
      <c r="LPN120" s="199"/>
      <c r="LPO120" s="198"/>
      <c r="LPP120" s="199"/>
      <c r="LPQ120" s="198"/>
      <c r="LPR120" s="199"/>
      <c r="LPS120" s="198"/>
      <c r="LPT120" s="199"/>
      <c r="LPU120" s="198"/>
      <c r="LPV120" s="199"/>
      <c r="LPW120" s="198"/>
      <c r="LPX120" s="199"/>
      <c r="LPY120" s="198"/>
      <c r="LPZ120" s="199"/>
      <c r="LQA120" s="198"/>
      <c r="LQB120" s="199"/>
      <c r="LQC120" s="198"/>
      <c r="LQD120" s="199"/>
      <c r="LQE120" s="198"/>
      <c r="LQF120" s="199"/>
      <c r="LQG120" s="198"/>
      <c r="LQH120" s="199"/>
      <c r="LQI120" s="198"/>
      <c r="LQJ120" s="199"/>
      <c r="LQK120" s="198"/>
      <c r="LQL120" s="199"/>
      <c r="LQM120" s="198"/>
      <c r="LQN120" s="199"/>
      <c r="LQO120" s="198"/>
      <c r="LQP120" s="199"/>
      <c r="LQQ120" s="198"/>
      <c r="LQR120" s="199"/>
      <c r="LQS120" s="198"/>
      <c r="LQT120" s="199"/>
      <c r="LQU120" s="198"/>
      <c r="LQV120" s="199"/>
      <c r="LQW120" s="198"/>
      <c r="LQX120" s="199"/>
      <c r="LQY120" s="198"/>
      <c r="LQZ120" s="199"/>
      <c r="LRA120" s="198"/>
      <c r="LRB120" s="199"/>
      <c r="LRC120" s="198"/>
      <c r="LRD120" s="199"/>
      <c r="LRE120" s="198"/>
      <c r="LRF120" s="199"/>
      <c r="LRG120" s="198"/>
      <c r="LRH120" s="199"/>
      <c r="LRI120" s="198"/>
      <c r="LRJ120" s="199"/>
      <c r="LRK120" s="198"/>
      <c r="LRL120" s="199"/>
      <c r="LRM120" s="198"/>
      <c r="LRN120" s="199"/>
      <c r="LRO120" s="198"/>
      <c r="LRP120" s="199"/>
      <c r="LRQ120" s="198"/>
      <c r="LRR120" s="199"/>
      <c r="LRS120" s="198"/>
      <c r="LRT120" s="199"/>
      <c r="LRU120" s="198"/>
      <c r="LRV120" s="199"/>
      <c r="LRW120" s="198"/>
      <c r="LRX120" s="199"/>
      <c r="LRY120" s="198"/>
      <c r="LRZ120" s="199"/>
      <c r="LSA120" s="198"/>
      <c r="LSB120" s="199"/>
      <c r="LSC120" s="198"/>
      <c r="LSD120" s="199"/>
      <c r="LSE120" s="198"/>
      <c r="LSF120" s="199"/>
      <c r="LSG120" s="198"/>
      <c r="LSH120" s="199"/>
      <c r="LSI120" s="198"/>
      <c r="LSJ120" s="199"/>
      <c r="LSK120" s="198"/>
      <c r="LSL120" s="199"/>
      <c r="LSM120" s="198"/>
      <c r="LSN120" s="199"/>
      <c r="LSO120" s="198"/>
      <c r="LSP120" s="199"/>
      <c r="LSQ120" s="198"/>
      <c r="LSR120" s="199"/>
      <c r="LSS120" s="198"/>
      <c r="LST120" s="199"/>
      <c r="LSU120" s="198"/>
      <c r="LSV120" s="199"/>
      <c r="LSW120" s="198"/>
      <c r="LSX120" s="199"/>
      <c r="LSY120" s="198"/>
      <c r="LSZ120" s="199"/>
      <c r="LTA120" s="198"/>
      <c r="LTB120" s="199"/>
      <c r="LTC120" s="198"/>
      <c r="LTD120" s="199"/>
      <c r="LTE120" s="198"/>
      <c r="LTF120" s="199"/>
      <c r="LTG120" s="198"/>
      <c r="LTH120" s="199"/>
      <c r="LTI120" s="198"/>
      <c r="LTJ120" s="199"/>
      <c r="LTK120" s="198"/>
      <c r="LTL120" s="199"/>
      <c r="LTM120" s="198"/>
      <c r="LTN120" s="199"/>
      <c r="LTO120" s="198"/>
      <c r="LTP120" s="199"/>
      <c r="LTQ120" s="198"/>
      <c r="LTR120" s="199"/>
      <c r="LTS120" s="198"/>
      <c r="LTT120" s="199"/>
      <c r="LTU120" s="198"/>
      <c r="LTV120" s="199"/>
      <c r="LTW120" s="198"/>
      <c r="LTX120" s="199"/>
      <c r="LTY120" s="198"/>
      <c r="LTZ120" s="199"/>
      <c r="LUA120" s="198"/>
      <c r="LUB120" s="199"/>
      <c r="LUC120" s="198"/>
      <c r="LUD120" s="199"/>
      <c r="LUE120" s="198"/>
      <c r="LUF120" s="199"/>
      <c r="LUG120" s="198"/>
      <c r="LUH120" s="199"/>
      <c r="LUI120" s="198"/>
      <c r="LUJ120" s="199"/>
      <c r="LUK120" s="198"/>
      <c r="LUL120" s="199"/>
      <c r="LUM120" s="198"/>
      <c r="LUN120" s="199"/>
      <c r="LUO120" s="198"/>
      <c r="LUP120" s="199"/>
      <c r="LUQ120" s="198"/>
      <c r="LUR120" s="199"/>
      <c r="LUS120" s="198"/>
      <c r="LUT120" s="199"/>
      <c r="LUU120" s="198"/>
      <c r="LUV120" s="199"/>
      <c r="LUW120" s="198"/>
      <c r="LUX120" s="199"/>
      <c r="LUY120" s="198"/>
      <c r="LUZ120" s="199"/>
      <c r="LVA120" s="198"/>
      <c r="LVB120" s="199"/>
      <c r="LVC120" s="198"/>
      <c r="LVD120" s="199"/>
      <c r="LVE120" s="198"/>
      <c r="LVF120" s="199"/>
      <c r="LVG120" s="198"/>
      <c r="LVH120" s="199"/>
      <c r="LVI120" s="198"/>
      <c r="LVJ120" s="199"/>
      <c r="LVK120" s="198"/>
      <c r="LVL120" s="199"/>
      <c r="LVM120" s="198"/>
      <c r="LVN120" s="199"/>
      <c r="LVO120" s="198"/>
      <c r="LVP120" s="199"/>
      <c r="LVQ120" s="198"/>
      <c r="LVR120" s="199"/>
      <c r="LVS120" s="198"/>
      <c r="LVT120" s="199"/>
      <c r="LVU120" s="198"/>
      <c r="LVV120" s="199"/>
      <c r="LVW120" s="198"/>
      <c r="LVX120" s="199"/>
      <c r="LVY120" s="198"/>
      <c r="LVZ120" s="199"/>
      <c r="LWA120" s="198"/>
      <c r="LWB120" s="199"/>
      <c r="LWC120" s="198"/>
      <c r="LWD120" s="199"/>
      <c r="LWE120" s="198"/>
      <c r="LWF120" s="199"/>
      <c r="LWG120" s="198"/>
      <c r="LWH120" s="199"/>
      <c r="LWI120" s="198"/>
      <c r="LWJ120" s="199"/>
      <c r="LWK120" s="198"/>
      <c r="LWL120" s="199"/>
      <c r="LWM120" s="198"/>
      <c r="LWN120" s="199"/>
      <c r="LWO120" s="198"/>
      <c r="LWP120" s="199"/>
      <c r="LWQ120" s="198"/>
      <c r="LWR120" s="199"/>
      <c r="LWS120" s="198"/>
      <c r="LWT120" s="199"/>
      <c r="LWU120" s="198"/>
      <c r="LWV120" s="199"/>
      <c r="LWW120" s="198"/>
      <c r="LWX120" s="199"/>
      <c r="LWY120" s="198"/>
      <c r="LWZ120" s="199"/>
      <c r="LXA120" s="198"/>
      <c r="LXB120" s="199"/>
      <c r="LXC120" s="198"/>
      <c r="LXD120" s="199"/>
      <c r="LXE120" s="198"/>
      <c r="LXF120" s="199"/>
      <c r="LXG120" s="198"/>
      <c r="LXH120" s="199"/>
      <c r="LXI120" s="198"/>
      <c r="LXJ120" s="199"/>
      <c r="LXK120" s="198"/>
      <c r="LXL120" s="199"/>
      <c r="LXM120" s="198"/>
      <c r="LXN120" s="199"/>
      <c r="LXO120" s="198"/>
      <c r="LXP120" s="199"/>
      <c r="LXQ120" s="198"/>
      <c r="LXR120" s="199"/>
      <c r="LXS120" s="198"/>
      <c r="LXT120" s="199"/>
      <c r="LXU120" s="198"/>
      <c r="LXV120" s="199"/>
      <c r="LXW120" s="198"/>
      <c r="LXX120" s="199"/>
      <c r="LXY120" s="198"/>
      <c r="LXZ120" s="199"/>
      <c r="LYA120" s="198"/>
      <c r="LYB120" s="199"/>
      <c r="LYC120" s="198"/>
      <c r="LYD120" s="199"/>
      <c r="LYE120" s="198"/>
      <c r="LYF120" s="199"/>
      <c r="LYG120" s="198"/>
      <c r="LYH120" s="199"/>
      <c r="LYI120" s="198"/>
      <c r="LYJ120" s="199"/>
      <c r="LYK120" s="198"/>
      <c r="LYL120" s="199"/>
      <c r="LYM120" s="198"/>
      <c r="LYN120" s="199"/>
      <c r="LYO120" s="198"/>
      <c r="LYP120" s="199"/>
      <c r="LYQ120" s="198"/>
      <c r="LYR120" s="199"/>
      <c r="LYS120" s="198"/>
      <c r="LYT120" s="199"/>
      <c r="LYU120" s="198"/>
      <c r="LYV120" s="199"/>
      <c r="LYW120" s="198"/>
      <c r="LYX120" s="199"/>
      <c r="LYY120" s="198"/>
      <c r="LYZ120" s="199"/>
      <c r="LZA120" s="198"/>
      <c r="LZB120" s="199"/>
      <c r="LZC120" s="198"/>
      <c r="LZD120" s="199"/>
      <c r="LZE120" s="198"/>
      <c r="LZF120" s="199"/>
      <c r="LZG120" s="198"/>
      <c r="LZH120" s="199"/>
      <c r="LZI120" s="198"/>
      <c r="LZJ120" s="199"/>
      <c r="LZK120" s="198"/>
      <c r="LZL120" s="199"/>
      <c r="LZM120" s="198"/>
      <c r="LZN120" s="199"/>
      <c r="LZO120" s="198"/>
      <c r="LZP120" s="199"/>
      <c r="LZQ120" s="198"/>
      <c r="LZR120" s="199"/>
      <c r="LZS120" s="198"/>
      <c r="LZT120" s="199"/>
      <c r="LZU120" s="198"/>
      <c r="LZV120" s="199"/>
      <c r="LZW120" s="198"/>
      <c r="LZX120" s="199"/>
      <c r="LZY120" s="198"/>
      <c r="LZZ120" s="199"/>
      <c r="MAA120" s="198"/>
      <c r="MAB120" s="199"/>
      <c r="MAC120" s="198"/>
      <c r="MAD120" s="199"/>
      <c r="MAE120" s="198"/>
      <c r="MAF120" s="199"/>
      <c r="MAG120" s="198"/>
      <c r="MAH120" s="199"/>
      <c r="MAI120" s="198"/>
      <c r="MAJ120" s="199"/>
      <c r="MAK120" s="198"/>
      <c r="MAL120" s="199"/>
      <c r="MAM120" s="198"/>
      <c r="MAN120" s="199"/>
      <c r="MAO120" s="198"/>
      <c r="MAP120" s="199"/>
      <c r="MAQ120" s="198"/>
      <c r="MAR120" s="199"/>
      <c r="MAS120" s="198"/>
      <c r="MAT120" s="199"/>
      <c r="MAU120" s="198"/>
      <c r="MAV120" s="199"/>
      <c r="MAW120" s="198"/>
      <c r="MAX120" s="199"/>
      <c r="MAY120" s="198"/>
      <c r="MAZ120" s="199"/>
      <c r="MBA120" s="198"/>
      <c r="MBB120" s="199"/>
      <c r="MBC120" s="198"/>
      <c r="MBD120" s="199"/>
      <c r="MBE120" s="198"/>
      <c r="MBF120" s="199"/>
      <c r="MBG120" s="198"/>
      <c r="MBH120" s="199"/>
      <c r="MBI120" s="198"/>
      <c r="MBJ120" s="199"/>
      <c r="MBK120" s="198"/>
      <c r="MBL120" s="199"/>
      <c r="MBM120" s="198"/>
      <c r="MBN120" s="199"/>
      <c r="MBO120" s="198"/>
      <c r="MBP120" s="199"/>
      <c r="MBQ120" s="198"/>
      <c r="MBR120" s="199"/>
      <c r="MBS120" s="198"/>
      <c r="MBT120" s="199"/>
      <c r="MBU120" s="198"/>
      <c r="MBV120" s="199"/>
      <c r="MBW120" s="198"/>
      <c r="MBX120" s="199"/>
      <c r="MBY120" s="198"/>
      <c r="MBZ120" s="199"/>
      <c r="MCA120" s="198"/>
      <c r="MCB120" s="199"/>
      <c r="MCC120" s="198"/>
      <c r="MCD120" s="199"/>
      <c r="MCE120" s="198"/>
      <c r="MCF120" s="199"/>
      <c r="MCG120" s="198"/>
      <c r="MCH120" s="199"/>
      <c r="MCI120" s="198"/>
      <c r="MCJ120" s="199"/>
      <c r="MCK120" s="198"/>
      <c r="MCL120" s="199"/>
      <c r="MCM120" s="198"/>
      <c r="MCN120" s="199"/>
      <c r="MCO120" s="198"/>
      <c r="MCP120" s="199"/>
      <c r="MCQ120" s="198"/>
      <c r="MCR120" s="199"/>
      <c r="MCS120" s="198"/>
      <c r="MCT120" s="199"/>
      <c r="MCU120" s="198"/>
      <c r="MCV120" s="199"/>
      <c r="MCW120" s="198"/>
      <c r="MCX120" s="199"/>
      <c r="MCY120" s="198"/>
      <c r="MCZ120" s="199"/>
      <c r="MDA120" s="198"/>
      <c r="MDB120" s="199"/>
      <c r="MDC120" s="198"/>
      <c r="MDD120" s="199"/>
      <c r="MDE120" s="198"/>
      <c r="MDF120" s="199"/>
      <c r="MDG120" s="198"/>
      <c r="MDH120" s="199"/>
      <c r="MDI120" s="198"/>
      <c r="MDJ120" s="199"/>
      <c r="MDK120" s="198"/>
      <c r="MDL120" s="199"/>
      <c r="MDM120" s="198"/>
      <c r="MDN120" s="199"/>
      <c r="MDO120" s="198"/>
      <c r="MDP120" s="199"/>
      <c r="MDQ120" s="198"/>
      <c r="MDR120" s="199"/>
      <c r="MDS120" s="198"/>
      <c r="MDT120" s="199"/>
      <c r="MDU120" s="198"/>
      <c r="MDV120" s="199"/>
      <c r="MDW120" s="198"/>
      <c r="MDX120" s="199"/>
      <c r="MDY120" s="198"/>
      <c r="MDZ120" s="199"/>
      <c r="MEA120" s="198"/>
      <c r="MEB120" s="199"/>
      <c r="MEC120" s="198"/>
      <c r="MED120" s="199"/>
      <c r="MEE120" s="198"/>
      <c r="MEF120" s="199"/>
      <c r="MEG120" s="198"/>
      <c r="MEH120" s="199"/>
      <c r="MEI120" s="198"/>
      <c r="MEJ120" s="199"/>
      <c r="MEK120" s="198"/>
      <c r="MEL120" s="199"/>
      <c r="MEM120" s="198"/>
      <c r="MEN120" s="199"/>
      <c r="MEO120" s="198"/>
      <c r="MEP120" s="199"/>
      <c r="MEQ120" s="198"/>
      <c r="MER120" s="199"/>
      <c r="MES120" s="198"/>
      <c r="MET120" s="199"/>
      <c r="MEU120" s="198"/>
      <c r="MEV120" s="199"/>
      <c r="MEW120" s="198"/>
      <c r="MEX120" s="199"/>
      <c r="MEY120" s="198"/>
      <c r="MEZ120" s="199"/>
      <c r="MFA120" s="198"/>
      <c r="MFB120" s="199"/>
      <c r="MFC120" s="198"/>
      <c r="MFD120" s="199"/>
      <c r="MFE120" s="198"/>
      <c r="MFF120" s="199"/>
      <c r="MFG120" s="198"/>
      <c r="MFH120" s="199"/>
      <c r="MFI120" s="198"/>
      <c r="MFJ120" s="199"/>
      <c r="MFK120" s="198"/>
      <c r="MFL120" s="199"/>
      <c r="MFM120" s="198"/>
      <c r="MFN120" s="199"/>
      <c r="MFO120" s="198"/>
      <c r="MFP120" s="199"/>
      <c r="MFQ120" s="198"/>
      <c r="MFR120" s="199"/>
      <c r="MFS120" s="198"/>
      <c r="MFT120" s="199"/>
      <c r="MFU120" s="198"/>
      <c r="MFV120" s="199"/>
      <c r="MFW120" s="198"/>
      <c r="MFX120" s="199"/>
      <c r="MFY120" s="198"/>
      <c r="MFZ120" s="199"/>
      <c r="MGA120" s="198"/>
      <c r="MGB120" s="199"/>
      <c r="MGC120" s="198"/>
      <c r="MGD120" s="199"/>
      <c r="MGE120" s="198"/>
      <c r="MGF120" s="199"/>
      <c r="MGG120" s="198"/>
      <c r="MGH120" s="199"/>
      <c r="MGI120" s="198"/>
      <c r="MGJ120" s="199"/>
      <c r="MGK120" s="198"/>
      <c r="MGL120" s="199"/>
      <c r="MGM120" s="198"/>
      <c r="MGN120" s="199"/>
      <c r="MGO120" s="198"/>
      <c r="MGP120" s="199"/>
      <c r="MGQ120" s="198"/>
      <c r="MGR120" s="199"/>
      <c r="MGS120" s="198"/>
      <c r="MGT120" s="199"/>
      <c r="MGU120" s="198"/>
      <c r="MGV120" s="199"/>
      <c r="MGW120" s="198"/>
      <c r="MGX120" s="199"/>
      <c r="MGY120" s="198"/>
      <c r="MGZ120" s="199"/>
      <c r="MHA120" s="198"/>
      <c r="MHB120" s="199"/>
      <c r="MHC120" s="198"/>
      <c r="MHD120" s="199"/>
      <c r="MHE120" s="198"/>
      <c r="MHF120" s="199"/>
      <c r="MHG120" s="198"/>
      <c r="MHH120" s="199"/>
      <c r="MHI120" s="198"/>
      <c r="MHJ120" s="199"/>
      <c r="MHK120" s="198"/>
      <c r="MHL120" s="199"/>
      <c r="MHM120" s="198"/>
      <c r="MHN120" s="199"/>
      <c r="MHO120" s="198"/>
      <c r="MHP120" s="199"/>
      <c r="MHQ120" s="198"/>
      <c r="MHR120" s="199"/>
      <c r="MHS120" s="198"/>
      <c r="MHT120" s="199"/>
      <c r="MHU120" s="198"/>
      <c r="MHV120" s="199"/>
      <c r="MHW120" s="198"/>
      <c r="MHX120" s="199"/>
      <c r="MHY120" s="198"/>
      <c r="MHZ120" s="199"/>
      <c r="MIA120" s="198"/>
      <c r="MIB120" s="199"/>
      <c r="MIC120" s="198"/>
      <c r="MID120" s="199"/>
      <c r="MIE120" s="198"/>
      <c r="MIF120" s="199"/>
      <c r="MIG120" s="198"/>
      <c r="MIH120" s="199"/>
      <c r="MII120" s="198"/>
      <c r="MIJ120" s="199"/>
      <c r="MIK120" s="198"/>
      <c r="MIL120" s="199"/>
      <c r="MIM120" s="198"/>
      <c r="MIN120" s="199"/>
      <c r="MIO120" s="198"/>
      <c r="MIP120" s="199"/>
      <c r="MIQ120" s="198"/>
      <c r="MIR120" s="199"/>
      <c r="MIS120" s="198"/>
      <c r="MIT120" s="199"/>
      <c r="MIU120" s="198"/>
      <c r="MIV120" s="199"/>
      <c r="MIW120" s="198"/>
      <c r="MIX120" s="199"/>
      <c r="MIY120" s="198"/>
      <c r="MIZ120" s="199"/>
      <c r="MJA120" s="198"/>
      <c r="MJB120" s="199"/>
      <c r="MJC120" s="198"/>
      <c r="MJD120" s="199"/>
      <c r="MJE120" s="198"/>
      <c r="MJF120" s="199"/>
      <c r="MJG120" s="198"/>
      <c r="MJH120" s="199"/>
      <c r="MJI120" s="198"/>
      <c r="MJJ120" s="199"/>
      <c r="MJK120" s="198"/>
      <c r="MJL120" s="199"/>
      <c r="MJM120" s="198"/>
      <c r="MJN120" s="199"/>
      <c r="MJO120" s="198"/>
      <c r="MJP120" s="199"/>
      <c r="MJQ120" s="198"/>
      <c r="MJR120" s="199"/>
      <c r="MJS120" s="198"/>
      <c r="MJT120" s="199"/>
      <c r="MJU120" s="198"/>
      <c r="MJV120" s="199"/>
      <c r="MJW120" s="198"/>
      <c r="MJX120" s="199"/>
      <c r="MJY120" s="198"/>
      <c r="MJZ120" s="199"/>
      <c r="MKA120" s="198"/>
      <c r="MKB120" s="199"/>
      <c r="MKC120" s="198"/>
      <c r="MKD120" s="199"/>
      <c r="MKE120" s="198"/>
      <c r="MKF120" s="199"/>
      <c r="MKG120" s="198"/>
      <c r="MKH120" s="199"/>
      <c r="MKI120" s="198"/>
      <c r="MKJ120" s="199"/>
      <c r="MKK120" s="198"/>
      <c r="MKL120" s="199"/>
      <c r="MKM120" s="198"/>
      <c r="MKN120" s="199"/>
      <c r="MKO120" s="198"/>
      <c r="MKP120" s="199"/>
      <c r="MKQ120" s="198"/>
      <c r="MKR120" s="199"/>
      <c r="MKS120" s="198"/>
      <c r="MKT120" s="199"/>
      <c r="MKU120" s="198"/>
      <c r="MKV120" s="199"/>
      <c r="MKW120" s="198"/>
      <c r="MKX120" s="199"/>
      <c r="MKY120" s="198"/>
      <c r="MKZ120" s="199"/>
      <c r="MLA120" s="198"/>
      <c r="MLB120" s="199"/>
      <c r="MLC120" s="198"/>
      <c r="MLD120" s="199"/>
      <c r="MLE120" s="198"/>
      <c r="MLF120" s="199"/>
      <c r="MLG120" s="198"/>
      <c r="MLH120" s="199"/>
      <c r="MLI120" s="198"/>
      <c r="MLJ120" s="199"/>
      <c r="MLK120" s="198"/>
      <c r="MLL120" s="199"/>
      <c r="MLM120" s="198"/>
      <c r="MLN120" s="199"/>
      <c r="MLO120" s="198"/>
      <c r="MLP120" s="199"/>
      <c r="MLQ120" s="198"/>
      <c r="MLR120" s="199"/>
      <c r="MLS120" s="198"/>
      <c r="MLT120" s="199"/>
      <c r="MLU120" s="198"/>
      <c r="MLV120" s="199"/>
      <c r="MLW120" s="198"/>
      <c r="MLX120" s="199"/>
      <c r="MLY120" s="198"/>
      <c r="MLZ120" s="199"/>
      <c r="MMA120" s="198"/>
      <c r="MMB120" s="199"/>
      <c r="MMC120" s="198"/>
      <c r="MMD120" s="199"/>
      <c r="MME120" s="198"/>
      <c r="MMF120" s="199"/>
      <c r="MMG120" s="198"/>
      <c r="MMH120" s="199"/>
      <c r="MMI120" s="198"/>
      <c r="MMJ120" s="199"/>
      <c r="MMK120" s="198"/>
      <c r="MML120" s="199"/>
      <c r="MMM120" s="198"/>
      <c r="MMN120" s="199"/>
      <c r="MMO120" s="198"/>
      <c r="MMP120" s="199"/>
      <c r="MMQ120" s="198"/>
      <c r="MMR120" s="199"/>
      <c r="MMS120" s="198"/>
      <c r="MMT120" s="199"/>
      <c r="MMU120" s="198"/>
      <c r="MMV120" s="199"/>
      <c r="MMW120" s="198"/>
      <c r="MMX120" s="199"/>
      <c r="MMY120" s="198"/>
      <c r="MMZ120" s="199"/>
      <c r="MNA120" s="198"/>
      <c r="MNB120" s="199"/>
      <c r="MNC120" s="198"/>
      <c r="MND120" s="199"/>
      <c r="MNE120" s="198"/>
      <c r="MNF120" s="199"/>
      <c r="MNG120" s="198"/>
      <c r="MNH120" s="199"/>
      <c r="MNI120" s="198"/>
      <c r="MNJ120" s="199"/>
      <c r="MNK120" s="198"/>
      <c r="MNL120" s="199"/>
      <c r="MNM120" s="198"/>
      <c r="MNN120" s="199"/>
      <c r="MNO120" s="198"/>
      <c r="MNP120" s="199"/>
      <c r="MNQ120" s="198"/>
      <c r="MNR120" s="199"/>
      <c r="MNS120" s="198"/>
      <c r="MNT120" s="199"/>
      <c r="MNU120" s="198"/>
      <c r="MNV120" s="199"/>
      <c r="MNW120" s="198"/>
      <c r="MNX120" s="199"/>
      <c r="MNY120" s="198"/>
      <c r="MNZ120" s="199"/>
      <c r="MOA120" s="198"/>
      <c r="MOB120" s="199"/>
      <c r="MOC120" s="198"/>
      <c r="MOD120" s="199"/>
      <c r="MOE120" s="198"/>
      <c r="MOF120" s="199"/>
      <c r="MOG120" s="198"/>
      <c r="MOH120" s="199"/>
      <c r="MOI120" s="198"/>
      <c r="MOJ120" s="199"/>
      <c r="MOK120" s="198"/>
      <c r="MOL120" s="199"/>
      <c r="MOM120" s="198"/>
      <c r="MON120" s="199"/>
      <c r="MOO120" s="198"/>
      <c r="MOP120" s="199"/>
      <c r="MOQ120" s="198"/>
      <c r="MOR120" s="199"/>
      <c r="MOS120" s="198"/>
      <c r="MOT120" s="199"/>
      <c r="MOU120" s="198"/>
      <c r="MOV120" s="199"/>
      <c r="MOW120" s="198"/>
      <c r="MOX120" s="199"/>
      <c r="MOY120" s="198"/>
      <c r="MOZ120" s="199"/>
      <c r="MPA120" s="198"/>
      <c r="MPB120" s="199"/>
      <c r="MPC120" s="198"/>
      <c r="MPD120" s="199"/>
      <c r="MPE120" s="198"/>
      <c r="MPF120" s="199"/>
      <c r="MPG120" s="198"/>
      <c r="MPH120" s="199"/>
      <c r="MPI120" s="198"/>
      <c r="MPJ120" s="199"/>
      <c r="MPK120" s="198"/>
      <c r="MPL120" s="199"/>
      <c r="MPM120" s="198"/>
      <c r="MPN120" s="199"/>
      <c r="MPO120" s="198"/>
      <c r="MPP120" s="199"/>
      <c r="MPQ120" s="198"/>
      <c r="MPR120" s="199"/>
      <c r="MPS120" s="198"/>
      <c r="MPT120" s="199"/>
      <c r="MPU120" s="198"/>
      <c r="MPV120" s="199"/>
      <c r="MPW120" s="198"/>
      <c r="MPX120" s="199"/>
      <c r="MPY120" s="198"/>
      <c r="MPZ120" s="199"/>
      <c r="MQA120" s="198"/>
      <c r="MQB120" s="199"/>
      <c r="MQC120" s="198"/>
      <c r="MQD120" s="199"/>
      <c r="MQE120" s="198"/>
      <c r="MQF120" s="199"/>
      <c r="MQG120" s="198"/>
      <c r="MQH120" s="199"/>
      <c r="MQI120" s="198"/>
      <c r="MQJ120" s="199"/>
      <c r="MQK120" s="198"/>
      <c r="MQL120" s="199"/>
      <c r="MQM120" s="198"/>
      <c r="MQN120" s="199"/>
      <c r="MQO120" s="198"/>
      <c r="MQP120" s="199"/>
      <c r="MQQ120" s="198"/>
      <c r="MQR120" s="199"/>
      <c r="MQS120" s="198"/>
      <c r="MQT120" s="199"/>
      <c r="MQU120" s="198"/>
      <c r="MQV120" s="199"/>
      <c r="MQW120" s="198"/>
      <c r="MQX120" s="199"/>
      <c r="MQY120" s="198"/>
      <c r="MQZ120" s="199"/>
      <c r="MRA120" s="198"/>
      <c r="MRB120" s="199"/>
      <c r="MRC120" s="198"/>
      <c r="MRD120" s="199"/>
      <c r="MRE120" s="198"/>
      <c r="MRF120" s="199"/>
      <c r="MRG120" s="198"/>
      <c r="MRH120" s="199"/>
      <c r="MRI120" s="198"/>
      <c r="MRJ120" s="199"/>
      <c r="MRK120" s="198"/>
      <c r="MRL120" s="199"/>
      <c r="MRM120" s="198"/>
      <c r="MRN120" s="199"/>
      <c r="MRO120" s="198"/>
      <c r="MRP120" s="199"/>
      <c r="MRQ120" s="198"/>
      <c r="MRR120" s="199"/>
      <c r="MRS120" s="198"/>
      <c r="MRT120" s="199"/>
      <c r="MRU120" s="198"/>
      <c r="MRV120" s="199"/>
      <c r="MRW120" s="198"/>
      <c r="MRX120" s="199"/>
      <c r="MRY120" s="198"/>
      <c r="MRZ120" s="199"/>
      <c r="MSA120" s="198"/>
      <c r="MSB120" s="199"/>
      <c r="MSC120" s="198"/>
      <c r="MSD120" s="199"/>
      <c r="MSE120" s="198"/>
      <c r="MSF120" s="199"/>
      <c r="MSG120" s="198"/>
      <c r="MSH120" s="199"/>
      <c r="MSI120" s="198"/>
      <c r="MSJ120" s="199"/>
      <c r="MSK120" s="198"/>
      <c r="MSL120" s="199"/>
      <c r="MSM120" s="198"/>
      <c r="MSN120" s="199"/>
      <c r="MSO120" s="198"/>
      <c r="MSP120" s="199"/>
      <c r="MSQ120" s="198"/>
      <c r="MSR120" s="199"/>
      <c r="MSS120" s="198"/>
      <c r="MST120" s="199"/>
      <c r="MSU120" s="198"/>
      <c r="MSV120" s="199"/>
      <c r="MSW120" s="198"/>
      <c r="MSX120" s="199"/>
      <c r="MSY120" s="198"/>
      <c r="MSZ120" s="199"/>
      <c r="MTA120" s="198"/>
      <c r="MTB120" s="199"/>
      <c r="MTC120" s="198"/>
      <c r="MTD120" s="199"/>
      <c r="MTE120" s="198"/>
      <c r="MTF120" s="199"/>
      <c r="MTG120" s="198"/>
      <c r="MTH120" s="199"/>
      <c r="MTI120" s="198"/>
      <c r="MTJ120" s="199"/>
      <c r="MTK120" s="198"/>
      <c r="MTL120" s="199"/>
      <c r="MTM120" s="198"/>
      <c r="MTN120" s="199"/>
      <c r="MTO120" s="198"/>
      <c r="MTP120" s="199"/>
      <c r="MTQ120" s="198"/>
      <c r="MTR120" s="199"/>
      <c r="MTS120" s="198"/>
      <c r="MTT120" s="199"/>
      <c r="MTU120" s="198"/>
      <c r="MTV120" s="199"/>
      <c r="MTW120" s="198"/>
      <c r="MTX120" s="199"/>
      <c r="MTY120" s="198"/>
      <c r="MTZ120" s="199"/>
      <c r="MUA120" s="198"/>
      <c r="MUB120" s="199"/>
      <c r="MUC120" s="198"/>
      <c r="MUD120" s="199"/>
      <c r="MUE120" s="198"/>
      <c r="MUF120" s="199"/>
      <c r="MUG120" s="198"/>
      <c r="MUH120" s="199"/>
      <c r="MUI120" s="198"/>
      <c r="MUJ120" s="199"/>
      <c r="MUK120" s="198"/>
      <c r="MUL120" s="199"/>
      <c r="MUM120" s="198"/>
      <c r="MUN120" s="199"/>
      <c r="MUO120" s="198"/>
      <c r="MUP120" s="199"/>
      <c r="MUQ120" s="198"/>
      <c r="MUR120" s="199"/>
      <c r="MUS120" s="198"/>
      <c r="MUT120" s="199"/>
      <c r="MUU120" s="198"/>
      <c r="MUV120" s="199"/>
      <c r="MUW120" s="198"/>
      <c r="MUX120" s="199"/>
      <c r="MUY120" s="198"/>
      <c r="MUZ120" s="199"/>
      <c r="MVA120" s="198"/>
      <c r="MVB120" s="199"/>
      <c r="MVC120" s="198"/>
      <c r="MVD120" s="199"/>
      <c r="MVE120" s="198"/>
      <c r="MVF120" s="199"/>
      <c r="MVG120" s="198"/>
      <c r="MVH120" s="199"/>
      <c r="MVI120" s="198"/>
      <c r="MVJ120" s="199"/>
      <c r="MVK120" s="198"/>
      <c r="MVL120" s="199"/>
      <c r="MVM120" s="198"/>
      <c r="MVN120" s="199"/>
      <c r="MVO120" s="198"/>
      <c r="MVP120" s="199"/>
      <c r="MVQ120" s="198"/>
      <c r="MVR120" s="199"/>
      <c r="MVS120" s="198"/>
      <c r="MVT120" s="199"/>
      <c r="MVU120" s="198"/>
      <c r="MVV120" s="199"/>
      <c r="MVW120" s="198"/>
      <c r="MVX120" s="199"/>
      <c r="MVY120" s="198"/>
      <c r="MVZ120" s="199"/>
      <c r="MWA120" s="198"/>
      <c r="MWB120" s="199"/>
      <c r="MWC120" s="198"/>
      <c r="MWD120" s="199"/>
      <c r="MWE120" s="198"/>
      <c r="MWF120" s="199"/>
      <c r="MWG120" s="198"/>
      <c r="MWH120" s="199"/>
      <c r="MWI120" s="198"/>
      <c r="MWJ120" s="199"/>
      <c r="MWK120" s="198"/>
      <c r="MWL120" s="199"/>
      <c r="MWM120" s="198"/>
      <c r="MWN120" s="199"/>
      <c r="MWO120" s="198"/>
      <c r="MWP120" s="199"/>
      <c r="MWQ120" s="198"/>
      <c r="MWR120" s="199"/>
      <c r="MWS120" s="198"/>
      <c r="MWT120" s="199"/>
      <c r="MWU120" s="198"/>
      <c r="MWV120" s="199"/>
      <c r="MWW120" s="198"/>
      <c r="MWX120" s="199"/>
      <c r="MWY120" s="198"/>
      <c r="MWZ120" s="199"/>
      <c r="MXA120" s="198"/>
      <c r="MXB120" s="199"/>
      <c r="MXC120" s="198"/>
      <c r="MXD120" s="199"/>
      <c r="MXE120" s="198"/>
      <c r="MXF120" s="199"/>
      <c r="MXG120" s="198"/>
      <c r="MXH120" s="199"/>
      <c r="MXI120" s="198"/>
      <c r="MXJ120" s="199"/>
      <c r="MXK120" s="198"/>
      <c r="MXL120" s="199"/>
      <c r="MXM120" s="198"/>
      <c r="MXN120" s="199"/>
      <c r="MXO120" s="198"/>
      <c r="MXP120" s="199"/>
      <c r="MXQ120" s="198"/>
      <c r="MXR120" s="199"/>
      <c r="MXS120" s="198"/>
      <c r="MXT120" s="199"/>
      <c r="MXU120" s="198"/>
      <c r="MXV120" s="199"/>
      <c r="MXW120" s="198"/>
      <c r="MXX120" s="199"/>
      <c r="MXY120" s="198"/>
      <c r="MXZ120" s="199"/>
      <c r="MYA120" s="198"/>
      <c r="MYB120" s="199"/>
      <c r="MYC120" s="198"/>
      <c r="MYD120" s="199"/>
      <c r="MYE120" s="198"/>
      <c r="MYF120" s="199"/>
      <c r="MYG120" s="198"/>
      <c r="MYH120" s="199"/>
      <c r="MYI120" s="198"/>
      <c r="MYJ120" s="199"/>
      <c r="MYK120" s="198"/>
      <c r="MYL120" s="199"/>
      <c r="MYM120" s="198"/>
      <c r="MYN120" s="199"/>
      <c r="MYO120" s="198"/>
      <c r="MYP120" s="199"/>
      <c r="MYQ120" s="198"/>
      <c r="MYR120" s="199"/>
      <c r="MYS120" s="198"/>
      <c r="MYT120" s="199"/>
      <c r="MYU120" s="198"/>
      <c r="MYV120" s="199"/>
      <c r="MYW120" s="198"/>
      <c r="MYX120" s="199"/>
      <c r="MYY120" s="198"/>
      <c r="MYZ120" s="199"/>
      <c r="MZA120" s="198"/>
      <c r="MZB120" s="199"/>
      <c r="MZC120" s="198"/>
      <c r="MZD120" s="199"/>
      <c r="MZE120" s="198"/>
      <c r="MZF120" s="199"/>
      <c r="MZG120" s="198"/>
      <c r="MZH120" s="199"/>
      <c r="MZI120" s="198"/>
      <c r="MZJ120" s="199"/>
      <c r="MZK120" s="198"/>
      <c r="MZL120" s="199"/>
      <c r="MZM120" s="198"/>
      <c r="MZN120" s="199"/>
      <c r="MZO120" s="198"/>
      <c r="MZP120" s="199"/>
      <c r="MZQ120" s="198"/>
      <c r="MZR120" s="199"/>
      <c r="MZS120" s="198"/>
      <c r="MZT120" s="199"/>
      <c r="MZU120" s="198"/>
      <c r="MZV120" s="199"/>
      <c r="MZW120" s="198"/>
      <c r="MZX120" s="199"/>
      <c r="MZY120" s="198"/>
      <c r="MZZ120" s="199"/>
      <c r="NAA120" s="198"/>
      <c r="NAB120" s="199"/>
      <c r="NAC120" s="198"/>
      <c r="NAD120" s="199"/>
      <c r="NAE120" s="198"/>
      <c r="NAF120" s="199"/>
      <c r="NAG120" s="198"/>
      <c r="NAH120" s="199"/>
      <c r="NAI120" s="198"/>
      <c r="NAJ120" s="199"/>
      <c r="NAK120" s="198"/>
      <c r="NAL120" s="199"/>
      <c r="NAM120" s="198"/>
      <c r="NAN120" s="199"/>
      <c r="NAO120" s="198"/>
      <c r="NAP120" s="199"/>
      <c r="NAQ120" s="198"/>
      <c r="NAR120" s="199"/>
      <c r="NAS120" s="198"/>
      <c r="NAT120" s="199"/>
      <c r="NAU120" s="198"/>
      <c r="NAV120" s="199"/>
      <c r="NAW120" s="198"/>
      <c r="NAX120" s="199"/>
      <c r="NAY120" s="198"/>
      <c r="NAZ120" s="199"/>
      <c r="NBA120" s="198"/>
      <c r="NBB120" s="199"/>
      <c r="NBC120" s="198"/>
      <c r="NBD120" s="199"/>
      <c r="NBE120" s="198"/>
      <c r="NBF120" s="199"/>
      <c r="NBG120" s="198"/>
      <c r="NBH120" s="199"/>
      <c r="NBI120" s="198"/>
      <c r="NBJ120" s="199"/>
      <c r="NBK120" s="198"/>
      <c r="NBL120" s="199"/>
      <c r="NBM120" s="198"/>
      <c r="NBN120" s="199"/>
      <c r="NBO120" s="198"/>
      <c r="NBP120" s="199"/>
      <c r="NBQ120" s="198"/>
      <c r="NBR120" s="199"/>
      <c r="NBS120" s="198"/>
      <c r="NBT120" s="199"/>
      <c r="NBU120" s="198"/>
      <c r="NBV120" s="199"/>
      <c r="NBW120" s="198"/>
      <c r="NBX120" s="199"/>
      <c r="NBY120" s="198"/>
      <c r="NBZ120" s="199"/>
      <c r="NCA120" s="198"/>
      <c r="NCB120" s="199"/>
      <c r="NCC120" s="198"/>
      <c r="NCD120" s="199"/>
      <c r="NCE120" s="198"/>
      <c r="NCF120" s="199"/>
      <c r="NCG120" s="198"/>
      <c r="NCH120" s="199"/>
      <c r="NCI120" s="198"/>
      <c r="NCJ120" s="199"/>
      <c r="NCK120" s="198"/>
      <c r="NCL120" s="199"/>
      <c r="NCM120" s="198"/>
      <c r="NCN120" s="199"/>
      <c r="NCO120" s="198"/>
      <c r="NCP120" s="199"/>
      <c r="NCQ120" s="198"/>
      <c r="NCR120" s="199"/>
      <c r="NCS120" s="198"/>
      <c r="NCT120" s="199"/>
      <c r="NCU120" s="198"/>
      <c r="NCV120" s="199"/>
      <c r="NCW120" s="198"/>
      <c r="NCX120" s="199"/>
      <c r="NCY120" s="198"/>
      <c r="NCZ120" s="199"/>
      <c r="NDA120" s="198"/>
      <c r="NDB120" s="199"/>
      <c r="NDC120" s="198"/>
      <c r="NDD120" s="199"/>
      <c r="NDE120" s="198"/>
      <c r="NDF120" s="199"/>
      <c r="NDG120" s="198"/>
      <c r="NDH120" s="199"/>
      <c r="NDI120" s="198"/>
      <c r="NDJ120" s="199"/>
      <c r="NDK120" s="198"/>
      <c r="NDL120" s="199"/>
      <c r="NDM120" s="198"/>
      <c r="NDN120" s="199"/>
      <c r="NDO120" s="198"/>
      <c r="NDP120" s="199"/>
      <c r="NDQ120" s="198"/>
      <c r="NDR120" s="199"/>
      <c r="NDS120" s="198"/>
      <c r="NDT120" s="199"/>
      <c r="NDU120" s="198"/>
      <c r="NDV120" s="199"/>
      <c r="NDW120" s="198"/>
      <c r="NDX120" s="199"/>
      <c r="NDY120" s="198"/>
      <c r="NDZ120" s="199"/>
      <c r="NEA120" s="198"/>
      <c r="NEB120" s="199"/>
      <c r="NEC120" s="198"/>
      <c r="NED120" s="199"/>
      <c r="NEE120" s="198"/>
      <c r="NEF120" s="199"/>
      <c r="NEG120" s="198"/>
      <c r="NEH120" s="199"/>
      <c r="NEI120" s="198"/>
      <c r="NEJ120" s="199"/>
      <c r="NEK120" s="198"/>
      <c r="NEL120" s="199"/>
      <c r="NEM120" s="198"/>
      <c r="NEN120" s="199"/>
      <c r="NEO120" s="198"/>
      <c r="NEP120" s="199"/>
      <c r="NEQ120" s="198"/>
      <c r="NER120" s="199"/>
      <c r="NES120" s="198"/>
      <c r="NET120" s="199"/>
      <c r="NEU120" s="198"/>
      <c r="NEV120" s="199"/>
      <c r="NEW120" s="198"/>
      <c r="NEX120" s="199"/>
      <c r="NEY120" s="198"/>
      <c r="NEZ120" s="199"/>
      <c r="NFA120" s="198"/>
      <c r="NFB120" s="199"/>
      <c r="NFC120" s="198"/>
      <c r="NFD120" s="199"/>
      <c r="NFE120" s="198"/>
      <c r="NFF120" s="199"/>
      <c r="NFG120" s="198"/>
      <c r="NFH120" s="199"/>
      <c r="NFI120" s="198"/>
      <c r="NFJ120" s="199"/>
      <c r="NFK120" s="198"/>
      <c r="NFL120" s="199"/>
      <c r="NFM120" s="198"/>
      <c r="NFN120" s="199"/>
      <c r="NFO120" s="198"/>
      <c r="NFP120" s="199"/>
      <c r="NFQ120" s="198"/>
      <c r="NFR120" s="199"/>
      <c r="NFS120" s="198"/>
      <c r="NFT120" s="199"/>
      <c r="NFU120" s="198"/>
      <c r="NFV120" s="199"/>
      <c r="NFW120" s="198"/>
      <c r="NFX120" s="199"/>
      <c r="NFY120" s="198"/>
      <c r="NFZ120" s="199"/>
      <c r="NGA120" s="198"/>
      <c r="NGB120" s="199"/>
      <c r="NGC120" s="198"/>
      <c r="NGD120" s="199"/>
      <c r="NGE120" s="198"/>
      <c r="NGF120" s="199"/>
      <c r="NGG120" s="198"/>
      <c r="NGH120" s="199"/>
      <c r="NGI120" s="198"/>
      <c r="NGJ120" s="199"/>
      <c r="NGK120" s="198"/>
      <c r="NGL120" s="199"/>
      <c r="NGM120" s="198"/>
      <c r="NGN120" s="199"/>
      <c r="NGO120" s="198"/>
      <c r="NGP120" s="199"/>
      <c r="NGQ120" s="198"/>
      <c r="NGR120" s="199"/>
      <c r="NGS120" s="198"/>
      <c r="NGT120" s="199"/>
      <c r="NGU120" s="198"/>
      <c r="NGV120" s="199"/>
      <c r="NGW120" s="198"/>
      <c r="NGX120" s="199"/>
      <c r="NGY120" s="198"/>
      <c r="NGZ120" s="199"/>
      <c r="NHA120" s="198"/>
      <c r="NHB120" s="199"/>
      <c r="NHC120" s="198"/>
      <c r="NHD120" s="199"/>
      <c r="NHE120" s="198"/>
      <c r="NHF120" s="199"/>
      <c r="NHG120" s="198"/>
      <c r="NHH120" s="199"/>
      <c r="NHI120" s="198"/>
      <c r="NHJ120" s="199"/>
      <c r="NHK120" s="198"/>
      <c r="NHL120" s="199"/>
      <c r="NHM120" s="198"/>
      <c r="NHN120" s="199"/>
      <c r="NHO120" s="198"/>
      <c r="NHP120" s="199"/>
      <c r="NHQ120" s="198"/>
      <c r="NHR120" s="199"/>
      <c r="NHS120" s="198"/>
      <c r="NHT120" s="199"/>
      <c r="NHU120" s="198"/>
      <c r="NHV120" s="199"/>
      <c r="NHW120" s="198"/>
      <c r="NHX120" s="199"/>
      <c r="NHY120" s="198"/>
      <c r="NHZ120" s="199"/>
      <c r="NIA120" s="198"/>
      <c r="NIB120" s="199"/>
      <c r="NIC120" s="198"/>
      <c r="NID120" s="199"/>
      <c r="NIE120" s="198"/>
      <c r="NIF120" s="199"/>
      <c r="NIG120" s="198"/>
      <c r="NIH120" s="199"/>
      <c r="NII120" s="198"/>
      <c r="NIJ120" s="199"/>
      <c r="NIK120" s="198"/>
      <c r="NIL120" s="199"/>
      <c r="NIM120" s="198"/>
      <c r="NIN120" s="199"/>
      <c r="NIO120" s="198"/>
      <c r="NIP120" s="199"/>
      <c r="NIQ120" s="198"/>
      <c r="NIR120" s="199"/>
      <c r="NIS120" s="198"/>
      <c r="NIT120" s="199"/>
      <c r="NIU120" s="198"/>
      <c r="NIV120" s="199"/>
      <c r="NIW120" s="198"/>
      <c r="NIX120" s="199"/>
      <c r="NIY120" s="198"/>
      <c r="NIZ120" s="199"/>
      <c r="NJA120" s="198"/>
      <c r="NJB120" s="199"/>
      <c r="NJC120" s="198"/>
      <c r="NJD120" s="199"/>
      <c r="NJE120" s="198"/>
      <c r="NJF120" s="199"/>
      <c r="NJG120" s="198"/>
      <c r="NJH120" s="199"/>
      <c r="NJI120" s="198"/>
      <c r="NJJ120" s="199"/>
      <c r="NJK120" s="198"/>
      <c r="NJL120" s="199"/>
      <c r="NJM120" s="198"/>
      <c r="NJN120" s="199"/>
      <c r="NJO120" s="198"/>
      <c r="NJP120" s="199"/>
      <c r="NJQ120" s="198"/>
      <c r="NJR120" s="199"/>
      <c r="NJS120" s="198"/>
      <c r="NJT120" s="199"/>
      <c r="NJU120" s="198"/>
      <c r="NJV120" s="199"/>
      <c r="NJW120" s="198"/>
      <c r="NJX120" s="199"/>
      <c r="NJY120" s="198"/>
      <c r="NJZ120" s="199"/>
      <c r="NKA120" s="198"/>
      <c r="NKB120" s="199"/>
      <c r="NKC120" s="198"/>
      <c r="NKD120" s="199"/>
      <c r="NKE120" s="198"/>
      <c r="NKF120" s="199"/>
      <c r="NKG120" s="198"/>
      <c r="NKH120" s="199"/>
      <c r="NKI120" s="198"/>
      <c r="NKJ120" s="199"/>
      <c r="NKK120" s="198"/>
      <c r="NKL120" s="199"/>
      <c r="NKM120" s="198"/>
      <c r="NKN120" s="199"/>
      <c r="NKO120" s="198"/>
      <c r="NKP120" s="199"/>
      <c r="NKQ120" s="198"/>
      <c r="NKR120" s="199"/>
      <c r="NKS120" s="198"/>
      <c r="NKT120" s="199"/>
      <c r="NKU120" s="198"/>
      <c r="NKV120" s="199"/>
      <c r="NKW120" s="198"/>
      <c r="NKX120" s="199"/>
      <c r="NKY120" s="198"/>
      <c r="NKZ120" s="199"/>
      <c r="NLA120" s="198"/>
      <c r="NLB120" s="199"/>
      <c r="NLC120" s="198"/>
      <c r="NLD120" s="199"/>
      <c r="NLE120" s="198"/>
      <c r="NLF120" s="199"/>
      <c r="NLG120" s="198"/>
      <c r="NLH120" s="199"/>
      <c r="NLI120" s="198"/>
      <c r="NLJ120" s="199"/>
      <c r="NLK120" s="198"/>
      <c r="NLL120" s="199"/>
      <c r="NLM120" s="198"/>
      <c r="NLN120" s="199"/>
      <c r="NLO120" s="198"/>
      <c r="NLP120" s="199"/>
      <c r="NLQ120" s="198"/>
      <c r="NLR120" s="199"/>
      <c r="NLS120" s="198"/>
      <c r="NLT120" s="199"/>
      <c r="NLU120" s="198"/>
      <c r="NLV120" s="199"/>
      <c r="NLW120" s="198"/>
      <c r="NLX120" s="199"/>
      <c r="NLY120" s="198"/>
      <c r="NLZ120" s="199"/>
      <c r="NMA120" s="198"/>
      <c r="NMB120" s="199"/>
      <c r="NMC120" s="198"/>
      <c r="NMD120" s="199"/>
      <c r="NME120" s="198"/>
      <c r="NMF120" s="199"/>
      <c r="NMG120" s="198"/>
      <c r="NMH120" s="199"/>
      <c r="NMI120" s="198"/>
      <c r="NMJ120" s="199"/>
      <c r="NMK120" s="198"/>
      <c r="NML120" s="199"/>
      <c r="NMM120" s="198"/>
      <c r="NMN120" s="199"/>
      <c r="NMO120" s="198"/>
      <c r="NMP120" s="199"/>
      <c r="NMQ120" s="198"/>
      <c r="NMR120" s="199"/>
      <c r="NMS120" s="198"/>
      <c r="NMT120" s="199"/>
      <c r="NMU120" s="198"/>
      <c r="NMV120" s="199"/>
      <c r="NMW120" s="198"/>
      <c r="NMX120" s="199"/>
      <c r="NMY120" s="198"/>
      <c r="NMZ120" s="199"/>
      <c r="NNA120" s="198"/>
      <c r="NNB120" s="199"/>
      <c r="NNC120" s="198"/>
      <c r="NND120" s="199"/>
      <c r="NNE120" s="198"/>
      <c r="NNF120" s="199"/>
      <c r="NNG120" s="198"/>
      <c r="NNH120" s="199"/>
      <c r="NNI120" s="198"/>
      <c r="NNJ120" s="199"/>
      <c r="NNK120" s="198"/>
      <c r="NNL120" s="199"/>
      <c r="NNM120" s="198"/>
      <c r="NNN120" s="199"/>
      <c r="NNO120" s="198"/>
      <c r="NNP120" s="199"/>
      <c r="NNQ120" s="198"/>
      <c r="NNR120" s="199"/>
      <c r="NNS120" s="198"/>
      <c r="NNT120" s="199"/>
      <c r="NNU120" s="198"/>
      <c r="NNV120" s="199"/>
      <c r="NNW120" s="198"/>
      <c r="NNX120" s="199"/>
      <c r="NNY120" s="198"/>
      <c r="NNZ120" s="199"/>
      <c r="NOA120" s="198"/>
      <c r="NOB120" s="199"/>
      <c r="NOC120" s="198"/>
      <c r="NOD120" s="199"/>
      <c r="NOE120" s="198"/>
      <c r="NOF120" s="199"/>
      <c r="NOG120" s="198"/>
      <c r="NOH120" s="199"/>
      <c r="NOI120" s="198"/>
      <c r="NOJ120" s="199"/>
      <c r="NOK120" s="198"/>
      <c r="NOL120" s="199"/>
      <c r="NOM120" s="198"/>
      <c r="NON120" s="199"/>
      <c r="NOO120" s="198"/>
      <c r="NOP120" s="199"/>
      <c r="NOQ120" s="198"/>
      <c r="NOR120" s="199"/>
      <c r="NOS120" s="198"/>
      <c r="NOT120" s="199"/>
      <c r="NOU120" s="198"/>
      <c r="NOV120" s="199"/>
      <c r="NOW120" s="198"/>
      <c r="NOX120" s="199"/>
      <c r="NOY120" s="198"/>
      <c r="NOZ120" s="199"/>
      <c r="NPA120" s="198"/>
      <c r="NPB120" s="199"/>
      <c r="NPC120" s="198"/>
      <c r="NPD120" s="199"/>
      <c r="NPE120" s="198"/>
      <c r="NPF120" s="199"/>
      <c r="NPG120" s="198"/>
      <c r="NPH120" s="199"/>
      <c r="NPI120" s="198"/>
      <c r="NPJ120" s="199"/>
      <c r="NPK120" s="198"/>
      <c r="NPL120" s="199"/>
      <c r="NPM120" s="198"/>
      <c r="NPN120" s="199"/>
      <c r="NPO120" s="198"/>
      <c r="NPP120" s="199"/>
      <c r="NPQ120" s="198"/>
      <c r="NPR120" s="199"/>
      <c r="NPS120" s="198"/>
      <c r="NPT120" s="199"/>
      <c r="NPU120" s="198"/>
      <c r="NPV120" s="199"/>
      <c r="NPW120" s="198"/>
      <c r="NPX120" s="199"/>
      <c r="NPY120" s="198"/>
      <c r="NPZ120" s="199"/>
      <c r="NQA120" s="198"/>
      <c r="NQB120" s="199"/>
      <c r="NQC120" s="198"/>
      <c r="NQD120" s="199"/>
      <c r="NQE120" s="198"/>
      <c r="NQF120" s="199"/>
      <c r="NQG120" s="198"/>
      <c r="NQH120" s="199"/>
      <c r="NQI120" s="198"/>
      <c r="NQJ120" s="199"/>
      <c r="NQK120" s="198"/>
      <c r="NQL120" s="199"/>
      <c r="NQM120" s="198"/>
      <c r="NQN120" s="199"/>
      <c r="NQO120" s="198"/>
      <c r="NQP120" s="199"/>
      <c r="NQQ120" s="198"/>
      <c r="NQR120" s="199"/>
      <c r="NQS120" s="198"/>
      <c r="NQT120" s="199"/>
      <c r="NQU120" s="198"/>
      <c r="NQV120" s="199"/>
      <c r="NQW120" s="198"/>
      <c r="NQX120" s="199"/>
      <c r="NQY120" s="198"/>
      <c r="NQZ120" s="199"/>
      <c r="NRA120" s="198"/>
      <c r="NRB120" s="199"/>
      <c r="NRC120" s="198"/>
      <c r="NRD120" s="199"/>
      <c r="NRE120" s="198"/>
      <c r="NRF120" s="199"/>
      <c r="NRG120" s="198"/>
      <c r="NRH120" s="199"/>
      <c r="NRI120" s="198"/>
      <c r="NRJ120" s="199"/>
      <c r="NRK120" s="198"/>
      <c r="NRL120" s="199"/>
      <c r="NRM120" s="198"/>
      <c r="NRN120" s="199"/>
      <c r="NRO120" s="198"/>
      <c r="NRP120" s="199"/>
      <c r="NRQ120" s="198"/>
      <c r="NRR120" s="199"/>
      <c r="NRS120" s="198"/>
      <c r="NRT120" s="199"/>
      <c r="NRU120" s="198"/>
      <c r="NRV120" s="199"/>
      <c r="NRW120" s="198"/>
      <c r="NRX120" s="199"/>
      <c r="NRY120" s="198"/>
      <c r="NRZ120" s="199"/>
      <c r="NSA120" s="198"/>
      <c r="NSB120" s="199"/>
      <c r="NSC120" s="198"/>
      <c r="NSD120" s="199"/>
      <c r="NSE120" s="198"/>
      <c r="NSF120" s="199"/>
      <c r="NSG120" s="198"/>
      <c r="NSH120" s="199"/>
      <c r="NSI120" s="198"/>
      <c r="NSJ120" s="199"/>
      <c r="NSK120" s="198"/>
      <c r="NSL120" s="199"/>
      <c r="NSM120" s="198"/>
      <c r="NSN120" s="199"/>
      <c r="NSO120" s="198"/>
      <c r="NSP120" s="199"/>
      <c r="NSQ120" s="198"/>
      <c r="NSR120" s="199"/>
      <c r="NSS120" s="198"/>
      <c r="NST120" s="199"/>
      <c r="NSU120" s="198"/>
      <c r="NSV120" s="199"/>
      <c r="NSW120" s="198"/>
      <c r="NSX120" s="199"/>
      <c r="NSY120" s="198"/>
      <c r="NSZ120" s="199"/>
      <c r="NTA120" s="198"/>
      <c r="NTB120" s="199"/>
      <c r="NTC120" s="198"/>
      <c r="NTD120" s="199"/>
      <c r="NTE120" s="198"/>
      <c r="NTF120" s="199"/>
      <c r="NTG120" s="198"/>
      <c r="NTH120" s="199"/>
      <c r="NTI120" s="198"/>
      <c r="NTJ120" s="199"/>
      <c r="NTK120" s="198"/>
      <c r="NTL120" s="199"/>
      <c r="NTM120" s="198"/>
      <c r="NTN120" s="199"/>
      <c r="NTO120" s="198"/>
      <c r="NTP120" s="199"/>
      <c r="NTQ120" s="198"/>
      <c r="NTR120" s="199"/>
      <c r="NTS120" s="198"/>
      <c r="NTT120" s="199"/>
      <c r="NTU120" s="198"/>
      <c r="NTV120" s="199"/>
      <c r="NTW120" s="198"/>
      <c r="NTX120" s="199"/>
      <c r="NTY120" s="198"/>
      <c r="NTZ120" s="199"/>
      <c r="NUA120" s="198"/>
      <c r="NUB120" s="199"/>
      <c r="NUC120" s="198"/>
      <c r="NUD120" s="199"/>
      <c r="NUE120" s="198"/>
      <c r="NUF120" s="199"/>
      <c r="NUG120" s="198"/>
      <c r="NUH120" s="199"/>
      <c r="NUI120" s="198"/>
      <c r="NUJ120" s="199"/>
      <c r="NUK120" s="198"/>
      <c r="NUL120" s="199"/>
      <c r="NUM120" s="198"/>
      <c r="NUN120" s="199"/>
      <c r="NUO120" s="198"/>
      <c r="NUP120" s="199"/>
      <c r="NUQ120" s="198"/>
      <c r="NUR120" s="199"/>
      <c r="NUS120" s="198"/>
      <c r="NUT120" s="199"/>
      <c r="NUU120" s="198"/>
      <c r="NUV120" s="199"/>
      <c r="NUW120" s="198"/>
      <c r="NUX120" s="199"/>
      <c r="NUY120" s="198"/>
      <c r="NUZ120" s="199"/>
      <c r="NVA120" s="198"/>
      <c r="NVB120" s="199"/>
      <c r="NVC120" s="198"/>
      <c r="NVD120" s="199"/>
      <c r="NVE120" s="198"/>
      <c r="NVF120" s="199"/>
      <c r="NVG120" s="198"/>
      <c r="NVH120" s="199"/>
      <c r="NVI120" s="198"/>
      <c r="NVJ120" s="199"/>
      <c r="NVK120" s="198"/>
      <c r="NVL120" s="199"/>
      <c r="NVM120" s="198"/>
      <c r="NVN120" s="199"/>
      <c r="NVO120" s="198"/>
      <c r="NVP120" s="199"/>
      <c r="NVQ120" s="198"/>
      <c r="NVR120" s="199"/>
      <c r="NVS120" s="198"/>
      <c r="NVT120" s="199"/>
      <c r="NVU120" s="198"/>
      <c r="NVV120" s="199"/>
      <c r="NVW120" s="198"/>
      <c r="NVX120" s="199"/>
      <c r="NVY120" s="198"/>
      <c r="NVZ120" s="199"/>
      <c r="NWA120" s="198"/>
      <c r="NWB120" s="199"/>
      <c r="NWC120" s="198"/>
      <c r="NWD120" s="199"/>
      <c r="NWE120" s="198"/>
      <c r="NWF120" s="199"/>
      <c r="NWG120" s="198"/>
      <c r="NWH120" s="199"/>
      <c r="NWI120" s="198"/>
      <c r="NWJ120" s="199"/>
      <c r="NWK120" s="198"/>
      <c r="NWL120" s="199"/>
      <c r="NWM120" s="198"/>
      <c r="NWN120" s="199"/>
      <c r="NWO120" s="198"/>
      <c r="NWP120" s="199"/>
      <c r="NWQ120" s="198"/>
      <c r="NWR120" s="199"/>
      <c r="NWS120" s="198"/>
      <c r="NWT120" s="199"/>
      <c r="NWU120" s="198"/>
      <c r="NWV120" s="199"/>
      <c r="NWW120" s="198"/>
      <c r="NWX120" s="199"/>
      <c r="NWY120" s="198"/>
      <c r="NWZ120" s="199"/>
      <c r="NXA120" s="198"/>
      <c r="NXB120" s="199"/>
      <c r="NXC120" s="198"/>
      <c r="NXD120" s="199"/>
      <c r="NXE120" s="198"/>
      <c r="NXF120" s="199"/>
      <c r="NXG120" s="198"/>
      <c r="NXH120" s="199"/>
      <c r="NXI120" s="198"/>
      <c r="NXJ120" s="199"/>
      <c r="NXK120" s="198"/>
      <c r="NXL120" s="199"/>
      <c r="NXM120" s="198"/>
      <c r="NXN120" s="199"/>
      <c r="NXO120" s="198"/>
      <c r="NXP120" s="199"/>
      <c r="NXQ120" s="198"/>
      <c r="NXR120" s="199"/>
      <c r="NXS120" s="198"/>
      <c r="NXT120" s="199"/>
      <c r="NXU120" s="198"/>
      <c r="NXV120" s="199"/>
      <c r="NXW120" s="198"/>
      <c r="NXX120" s="199"/>
      <c r="NXY120" s="198"/>
      <c r="NXZ120" s="199"/>
      <c r="NYA120" s="198"/>
      <c r="NYB120" s="199"/>
      <c r="NYC120" s="198"/>
      <c r="NYD120" s="199"/>
      <c r="NYE120" s="198"/>
      <c r="NYF120" s="199"/>
      <c r="NYG120" s="198"/>
      <c r="NYH120" s="199"/>
      <c r="NYI120" s="198"/>
      <c r="NYJ120" s="199"/>
      <c r="NYK120" s="198"/>
      <c r="NYL120" s="199"/>
      <c r="NYM120" s="198"/>
      <c r="NYN120" s="199"/>
      <c r="NYO120" s="198"/>
      <c r="NYP120" s="199"/>
      <c r="NYQ120" s="198"/>
      <c r="NYR120" s="199"/>
      <c r="NYS120" s="198"/>
      <c r="NYT120" s="199"/>
      <c r="NYU120" s="198"/>
      <c r="NYV120" s="199"/>
      <c r="NYW120" s="198"/>
      <c r="NYX120" s="199"/>
      <c r="NYY120" s="198"/>
      <c r="NYZ120" s="199"/>
      <c r="NZA120" s="198"/>
      <c r="NZB120" s="199"/>
      <c r="NZC120" s="198"/>
      <c r="NZD120" s="199"/>
      <c r="NZE120" s="198"/>
      <c r="NZF120" s="199"/>
      <c r="NZG120" s="198"/>
      <c r="NZH120" s="199"/>
      <c r="NZI120" s="198"/>
      <c r="NZJ120" s="199"/>
      <c r="NZK120" s="198"/>
      <c r="NZL120" s="199"/>
      <c r="NZM120" s="198"/>
      <c r="NZN120" s="199"/>
      <c r="NZO120" s="198"/>
      <c r="NZP120" s="199"/>
      <c r="NZQ120" s="198"/>
      <c r="NZR120" s="199"/>
      <c r="NZS120" s="198"/>
      <c r="NZT120" s="199"/>
      <c r="NZU120" s="198"/>
      <c r="NZV120" s="199"/>
      <c r="NZW120" s="198"/>
      <c r="NZX120" s="199"/>
      <c r="NZY120" s="198"/>
      <c r="NZZ120" s="199"/>
      <c r="OAA120" s="198"/>
      <c r="OAB120" s="199"/>
      <c r="OAC120" s="198"/>
      <c r="OAD120" s="199"/>
      <c r="OAE120" s="198"/>
      <c r="OAF120" s="199"/>
      <c r="OAG120" s="198"/>
      <c r="OAH120" s="199"/>
      <c r="OAI120" s="198"/>
      <c r="OAJ120" s="199"/>
      <c r="OAK120" s="198"/>
      <c r="OAL120" s="199"/>
      <c r="OAM120" s="198"/>
      <c r="OAN120" s="199"/>
      <c r="OAO120" s="198"/>
      <c r="OAP120" s="199"/>
      <c r="OAQ120" s="198"/>
      <c r="OAR120" s="199"/>
      <c r="OAS120" s="198"/>
      <c r="OAT120" s="199"/>
      <c r="OAU120" s="198"/>
      <c r="OAV120" s="199"/>
      <c r="OAW120" s="198"/>
      <c r="OAX120" s="199"/>
      <c r="OAY120" s="198"/>
      <c r="OAZ120" s="199"/>
      <c r="OBA120" s="198"/>
      <c r="OBB120" s="199"/>
      <c r="OBC120" s="198"/>
      <c r="OBD120" s="199"/>
      <c r="OBE120" s="198"/>
      <c r="OBF120" s="199"/>
      <c r="OBG120" s="198"/>
      <c r="OBH120" s="199"/>
      <c r="OBI120" s="198"/>
      <c r="OBJ120" s="199"/>
      <c r="OBK120" s="198"/>
      <c r="OBL120" s="199"/>
      <c r="OBM120" s="198"/>
      <c r="OBN120" s="199"/>
      <c r="OBO120" s="198"/>
      <c r="OBP120" s="199"/>
      <c r="OBQ120" s="198"/>
      <c r="OBR120" s="199"/>
      <c r="OBS120" s="198"/>
      <c r="OBT120" s="199"/>
      <c r="OBU120" s="198"/>
      <c r="OBV120" s="199"/>
      <c r="OBW120" s="198"/>
      <c r="OBX120" s="199"/>
      <c r="OBY120" s="198"/>
      <c r="OBZ120" s="199"/>
      <c r="OCA120" s="198"/>
      <c r="OCB120" s="199"/>
      <c r="OCC120" s="198"/>
      <c r="OCD120" s="199"/>
      <c r="OCE120" s="198"/>
      <c r="OCF120" s="199"/>
      <c r="OCG120" s="198"/>
      <c r="OCH120" s="199"/>
      <c r="OCI120" s="198"/>
      <c r="OCJ120" s="199"/>
      <c r="OCK120" s="198"/>
      <c r="OCL120" s="199"/>
      <c r="OCM120" s="198"/>
      <c r="OCN120" s="199"/>
      <c r="OCO120" s="198"/>
      <c r="OCP120" s="199"/>
      <c r="OCQ120" s="198"/>
      <c r="OCR120" s="199"/>
      <c r="OCS120" s="198"/>
      <c r="OCT120" s="199"/>
      <c r="OCU120" s="198"/>
      <c r="OCV120" s="199"/>
      <c r="OCW120" s="198"/>
      <c r="OCX120" s="199"/>
      <c r="OCY120" s="198"/>
      <c r="OCZ120" s="199"/>
      <c r="ODA120" s="198"/>
      <c r="ODB120" s="199"/>
      <c r="ODC120" s="198"/>
      <c r="ODD120" s="199"/>
      <c r="ODE120" s="198"/>
      <c r="ODF120" s="199"/>
      <c r="ODG120" s="198"/>
      <c r="ODH120" s="199"/>
      <c r="ODI120" s="198"/>
      <c r="ODJ120" s="199"/>
      <c r="ODK120" s="198"/>
      <c r="ODL120" s="199"/>
      <c r="ODM120" s="198"/>
      <c r="ODN120" s="199"/>
      <c r="ODO120" s="198"/>
      <c r="ODP120" s="199"/>
      <c r="ODQ120" s="198"/>
      <c r="ODR120" s="199"/>
      <c r="ODS120" s="198"/>
      <c r="ODT120" s="199"/>
      <c r="ODU120" s="198"/>
      <c r="ODV120" s="199"/>
      <c r="ODW120" s="198"/>
      <c r="ODX120" s="199"/>
      <c r="ODY120" s="198"/>
      <c r="ODZ120" s="199"/>
      <c r="OEA120" s="198"/>
      <c r="OEB120" s="199"/>
      <c r="OEC120" s="198"/>
      <c r="OED120" s="199"/>
      <c r="OEE120" s="198"/>
      <c r="OEF120" s="199"/>
      <c r="OEG120" s="198"/>
      <c r="OEH120" s="199"/>
      <c r="OEI120" s="198"/>
      <c r="OEJ120" s="199"/>
      <c r="OEK120" s="198"/>
      <c r="OEL120" s="199"/>
      <c r="OEM120" s="198"/>
      <c r="OEN120" s="199"/>
      <c r="OEO120" s="198"/>
      <c r="OEP120" s="199"/>
      <c r="OEQ120" s="198"/>
      <c r="OER120" s="199"/>
      <c r="OES120" s="198"/>
      <c r="OET120" s="199"/>
      <c r="OEU120" s="198"/>
      <c r="OEV120" s="199"/>
      <c r="OEW120" s="198"/>
      <c r="OEX120" s="199"/>
      <c r="OEY120" s="198"/>
      <c r="OEZ120" s="199"/>
      <c r="OFA120" s="198"/>
      <c r="OFB120" s="199"/>
      <c r="OFC120" s="198"/>
      <c r="OFD120" s="199"/>
      <c r="OFE120" s="198"/>
      <c r="OFF120" s="199"/>
      <c r="OFG120" s="198"/>
      <c r="OFH120" s="199"/>
      <c r="OFI120" s="198"/>
      <c r="OFJ120" s="199"/>
      <c r="OFK120" s="198"/>
      <c r="OFL120" s="199"/>
      <c r="OFM120" s="198"/>
      <c r="OFN120" s="199"/>
      <c r="OFO120" s="198"/>
      <c r="OFP120" s="199"/>
      <c r="OFQ120" s="198"/>
      <c r="OFR120" s="199"/>
      <c r="OFS120" s="198"/>
      <c r="OFT120" s="199"/>
      <c r="OFU120" s="198"/>
      <c r="OFV120" s="199"/>
      <c r="OFW120" s="198"/>
      <c r="OFX120" s="199"/>
      <c r="OFY120" s="198"/>
      <c r="OFZ120" s="199"/>
      <c r="OGA120" s="198"/>
      <c r="OGB120" s="199"/>
      <c r="OGC120" s="198"/>
      <c r="OGD120" s="199"/>
      <c r="OGE120" s="198"/>
      <c r="OGF120" s="199"/>
      <c r="OGG120" s="198"/>
      <c r="OGH120" s="199"/>
      <c r="OGI120" s="198"/>
      <c r="OGJ120" s="199"/>
      <c r="OGK120" s="198"/>
      <c r="OGL120" s="199"/>
      <c r="OGM120" s="198"/>
      <c r="OGN120" s="199"/>
      <c r="OGO120" s="198"/>
      <c r="OGP120" s="199"/>
      <c r="OGQ120" s="198"/>
      <c r="OGR120" s="199"/>
      <c r="OGS120" s="198"/>
      <c r="OGT120" s="199"/>
      <c r="OGU120" s="198"/>
      <c r="OGV120" s="199"/>
      <c r="OGW120" s="198"/>
      <c r="OGX120" s="199"/>
      <c r="OGY120" s="198"/>
      <c r="OGZ120" s="199"/>
      <c r="OHA120" s="198"/>
      <c r="OHB120" s="199"/>
      <c r="OHC120" s="198"/>
      <c r="OHD120" s="199"/>
      <c r="OHE120" s="198"/>
      <c r="OHF120" s="199"/>
      <c r="OHG120" s="198"/>
      <c r="OHH120" s="199"/>
      <c r="OHI120" s="198"/>
      <c r="OHJ120" s="199"/>
      <c r="OHK120" s="198"/>
      <c r="OHL120" s="199"/>
      <c r="OHM120" s="198"/>
      <c r="OHN120" s="199"/>
      <c r="OHO120" s="198"/>
      <c r="OHP120" s="199"/>
      <c r="OHQ120" s="198"/>
      <c r="OHR120" s="199"/>
      <c r="OHS120" s="198"/>
      <c r="OHT120" s="199"/>
      <c r="OHU120" s="198"/>
      <c r="OHV120" s="199"/>
      <c r="OHW120" s="198"/>
      <c r="OHX120" s="199"/>
      <c r="OHY120" s="198"/>
      <c r="OHZ120" s="199"/>
      <c r="OIA120" s="198"/>
      <c r="OIB120" s="199"/>
      <c r="OIC120" s="198"/>
      <c r="OID120" s="199"/>
      <c r="OIE120" s="198"/>
      <c r="OIF120" s="199"/>
      <c r="OIG120" s="198"/>
      <c r="OIH120" s="199"/>
      <c r="OII120" s="198"/>
      <c r="OIJ120" s="199"/>
      <c r="OIK120" s="198"/>
      <c r="OIL120" s="199"/>
      <c r="OIM120" s="198"/>
      <c r="OIN120" s="199"/>
      <c r="OIO120" s="198"/>
      <c r="OIP120" s="199"/>
      <c r="OIQ120" s="198"/>
      <c r="OIR120" s="199"/>
      <c r="OIS120" s="198"/>
      <c r="OIT120" s="199"/>
      <c r="OIU120" s="198"/>
      <c r="OIV120" s="199"/>
      <c r="OIW120" s="198"/>
      <c r="OIX120" s="199"/>
      <c r="OIY120" s="198"/>
      <c r="OIZ120" s="199"/>
      <c r="OJA120" s="198"/>
      <c r="OJB120" s="199"/>
      <c r="OJC120" s="198"/>
      <c r="OJD120" s="199"/>
      <c r="OJE120" s="198"/>
      <c r="OJF120" s="199"/>
      <c r="OJG120" s="198"/>
      <c r="OJH120" s="199"/>
      <c r="OJI120" s="198"/>
      <c r="OJJ120" s="199"/>
      <c r="OJK120" s="198"/>
      <c r="OJL120" s="199"/>
      <c r="OJM120" s="198"/>
      <c r="OJN120" s="199"/>
      <c r="OJO120" s="198"/>
      <c r="OJP120" s="199"/>
      <c r="OJQ120" s="198"/>
      <c r="OJR120" s="199"/>
      <c r="OJS120" s="198"/>
      <c r="OJT120" s="199"/>
      <c r="OJU120" s="198"/>
      <c r="OJV120" s="199"/>
      <c r="OJW120" s="198"/>
      <c r="OJX120" s="199"/>
      <c r="OJY120" s="198"/>
      <c r="OJZ120" s="199"/>
      <c r="OKA120" s="198"/>
      <c r="OKB120" s="199"/>
      <c r="OKC120" s="198"/>
      <c r="OKD120" s="199"/>
      <c r="OKE120" s="198"/>
      <c r="OKF120" s="199"/>
      <c r="OKG120" s="198"/>
      <c r="OKH120" s="199"/>
      <c r="OKI120" s="198"/>
      <c r="OKJ120" s="199"/>
      <c r="OKK120" s="198"/>
      <c r="OKL120" s="199"/>
      <c r="OKM120" s="198"/>
      <c r="OKN120" s="199"/>
      <c r="OKO120" s="198"/>
      <c r="OKP120" s="199"/>
      <c r="OKQ120" s="198"/>
      <c r="OKR120" s="199"/>
      <c r="OKS120" s="198"/>
      <c r="OKT120" s="199"/>
      <c r="OKU120" s="198"/>
      <c r="OKV120" s="199"/>
      <c r="OKW120" s="198"/>
      <c r="OKX120" s="199"/>
      <c r="OKY120" s="198"/>
      <c r="OKZ120" s="199"/>
      <c r="OLA120" s="198"/>
      <c r="OLB120" s="199"/>
      <c r="OLC120" s="198"/>
      <c r="OLD120" s="199"/>
      <c r="OLE120" s="198"/>
      <c r="OLF120" s="199"/>
      <c r="OLG120" s="198"/>
      <c r="OLH120" s="199"/>
      <c r="OLI120" s="198"/>
      <c r="OLJ120" s="199"/>
      <c r="OLK120" s="198"/>
      <c r="OLL120" s="199"/>
      <c r="OLM120" s="198"/>
      <c r="OLN120" s="199"/>
      <c r="OLO120" s="198"/>
      <c r="OLP120" s="199"/>
      <c r="OLQ120" s="198"/>
      <c r="OLR120" s="199"/>
      <c r="OLS120" s="198"/>
      <c r="OLT120" s="199"/>
      <c r="OLU120" s="198"/>
      <c r="OLV120" s="199"/>
      <c r="OLW120" s="198"/>
      <c r="OLX120" s="199"/>
      <c r="OLY120" s="198"/>
      <c r="OLZ120" s="199"/>
      <c r="OMA120" s="198"/>
      <c r="OMB120" s="199"/>
      <c r="OMC120" s="198"/>
      <c r="OMD120" s="199"/>
      <c r="OME120" s="198"/>
      <c r="OMF120" s="199"/>
      <c r="OMG120" s="198"/>
      <c r="OMH120" s="199"/>
      <c r="OMI120" s="198"/>
      <c r="OMJ120" s="199"/>
      <c r="OMK120" s="198"/>
      <c r="OML120" s="199"/>
      <c r="OMM120" s="198"/>
      <c r="OMN120" s="199"/>
      <c r="OMO120" s="198"/>
      <c r="OMP120" s="199"/>
      <c r="OMQ120" s="198"/>
      <c r="OMR120" s="199"/>
      <c r="OMS120" s="198"/>
      <c r="OMT120" s="199"/>
      <c r="OMU120" s="198"/>
      <c r="OMV120" s="199"/>
      <c r="OMW120" s="198"/>
      <c r="OMX120" s="199"/>
      <c r="OMY120" s="198"/>
      <c r="OMZ120" s="199"/>
      <c r="ONA120" s="198"/>
      <c r="ONB120" s="199"/>
      <c r="ONC120" s="198"/>
      <c r="OND120" s="199"/>
      <c r="ONE120" s="198"/>
      <c r="ONF120" s="199"/>
      <c r="ONG120" s="198"/>
      <c r="ONH120" s="199"/>
      <c r="ONI120" s="198"/>
      <c r="ONJ120" s="199"/>
      <c r="ONK120" s="198"/>
      <c r="ONL120" s="199"/>
      <c r="ONM120" s="198"/>
      <c r="ONN120" s="199"/>
      <c r="ONO120" s="198"/>
      <c r="ONP120" s="199"/>
      <c r="ONQ120" s="198"/>
      <c r="ONR120" s="199"/>
      <c r="ONS120" s="198"/>
      <c r="ONT120" s="199"/>
      <c r="ONU120" s="198"/>
      <c r="ONV120" s="199"/>
      <c r="ONW120" s="198"/>
      <c r="ONX120" s="199"/>
      <c r="ONY120" s="198"/>
      <c r="ONZ120" s="199"/>
      <c r="OOA120" s="198"/>
      <c r="OOB120" s="199"/>
      <c r="OOC120" s="198"/>
      <c r="OOD120" s="199"/>
      <c r="OOE120" s="198"/>
      <c r="OOF120" s="199"/>
      <c r="OOG120" s="198"/>
      <c r="OOH120" s="199"/>
      <c r="OOI120" s="198"/>
      <c r="OOJ120" s="199"/>
      <c r="OOK120" s="198"/>
      <c r="OOL120" s="199"/>
      <c r="OOM120" s="198"/>
      <c r="OON120" s="199"/>
      <c r="OOO120" s="198"/>
      <c r="OOP120" s="199"/>
      <c r="OOQ120" s="198"/>
      <c r="OOR120" s="199"/>
      <c r="OOS120" s="198"/>
      <c r="OOT120" s="199"/>
      <c r="OOU120" s="198"/>
      <c r="OOV120" s="199"/>
      <c r="OOW120" s="198"/>
      <c r="OOX120" s="199"/>
      <c r="OOY120" s="198"/>
      <c r="OOZ120" s="199"/>
      <c r="OPA120" s="198"/>
      <c r="OPB120" s="199"/>
      <c r="OPC120" s="198"/>
      <c r="OPD120" s="199"/>
      <c r="OPE120" s="198"/>
      <c r="OPF120" s="199"/>
      <c r="OPG120" s="198"/>
      <c r="OPH120" s="199"/>
      <c r="OPI120" s="198"/>
      <c r="OPJ120" s="199"/>
      <c r="OPK120" s="198"/>
      <c r="OPL120" s="199"/>
      <c r="OPM120" s="198"/>
      <c r="OPN120" s="199"/>
      <c r="OPO120" s="198"/>
      <c r="OPP120" s="199"/>
      <c r="OPQ120" s="198"/>
      <c r="OPR120" s="199"/>
      <c r="OPS120" s="198"/>
      <c r="OPT120" s="199"/>
      <c r="OPU120" s="198"/>
      <c r="OPV120" s="199"/>
      <c r="OPW120" s="198"/>
      <c r="OPX120" s="199"/>
      <c r="OPY120" s="198"/>
      <c r="OPZ120" s="199"/>
      <c r="OQA120" s="198"/>
      <c r="OQB120" s="199"/>
      <c r="OQC120" s="198"/>
      <c r="OQD120" s="199"/>
      <c r="OQE120" s="198"/>
      <c r="OQF120" s="199"/>
      <c r="OQG120" s="198"/>
      <c r="OQH120" s="199"/>
      <c r="OQI120" s="198"/>
      <c r="OQJ120" s="199"/>
      <c r="OQK120" s="198"/>
      <c r="OQL120" s="199"/>
      <c r="OQM120" s="198"/>
      <c r="OQN120" s="199"/>
      <c r="OQO120" s="198"/>
      <c r="OQP120" s="199"/>
      <c r="OQQ120" s="198"/>
      <c r="OQR120" s="199"/>
      <c r="OQS120" s="198"/>
      <c r="OQT120" s="199"/>
      <c r="OQU120" s="198"/>
      <c r="OQV120" s="199"/>
      <c r="OQW120" s="198"/>
      <c r="OQX120" s="199"/>
      <c r="OQY120" s="198"/>
      <c r="OQZ120" s="199"/>
      <c r="ORA120" s="198"/>
      <c r="ORB120" s="199"/>
      <c r="ORC120" s="198"/>
      <c r="ORD120" s="199"/>
      <c r="ORE120" s="198"/>
      <c r="ORF120" s="199"/>
      <c r="ORG120" s="198"/>
      <c r="ORH120" s="199"/>
      <c r="ORI120" s="198"/>
      <c r="ORJ120" s="199"/>
      <c r="ORK120" s="198"/>
      <c r="ORL120" s="199"/>
      <c r="ORM120" s="198"/>
      <c r="ORN120" s="199"/>
      <c r="ORO120" s="198"/>
      <c r="ORP120" s="199"/>
      <c r="ORQ120" s="198"/>
      <c r="ORR120" s="199"/>
      <c r="ORS120" s="198"/>
      <c r="ORT120" s="199"/>
      <c r="ORU120" s="198"/>
      <c r="ORV120" s="199"/>
      <c r="ORW120" s="198"/>
      <c r="ORX120" s="199"/>
      <c r="ORY120" s="198"/>
      <c r="ORZ120" s="199"/>
      <c r="OSA120" s="198"/>
      <c r="OSB120" s="199"/>
      <c r="OSC120" s="198"/>
      <c r="OSD120" s="199"/>
      <c r="OSE120" s="198"/>
      <c r="OSF120" s="199"/>
      <c r="OSG120" s="198"/>
      <c r="OSH120" s="199"/>
      <c r="OSI120" s="198"/>
      <c r="OSJ120" s="199"/>
      <c r="OSK120" s="198"/>
      <c r="OSL120" s="199"/>
      <c r="OSM120" s="198"/>
      <c r="OSN120" s="199"/>
      <c r="OSO120" s="198"/>
      <c r="OSP120" s="199"/>
      <c r="OSQ120" s="198"/>
      <c r="OSR120" s="199"/>
      <c r="OSS120" s="198"/>
      <c r="OST120" s="199"/>
      <c r="OSU120" s="198"/>
      <c r="OSV120" s="199"/>
      <c r="OSW120" s="198"/>
      <c r="OSX120" s="199"/>
      <c r="OSY120" s="198"/>
      <c r="OSZ120" s="199"/>
      <c r="OTA120" s="198"/>
      <c r="OTB120" s="199"/>
      <c r="OTC120" s="198"/>
      <c r="OTD120" s="199"/>
      <c r="OTE120" s="198"/>
      <c r="OTF120" s="199"/>
      <c r="OTG120" s="198"/>
      <c r="OTH120" s="199"/>
      <c r="OTI120" s="198"/>
      <c r="OTJ120" s="199"/>
      <c r="OTK120" s="198"/>
      <c r="OTL120" s="199"/>
      <c r="OTM120" s="198"/>
      <c r="OTN120" s="199"/>
      <c r="OTO120" s="198"/>
      <c r="OTP120" s="199"/>
      <c r="OTQ120" s="198"/>
      <c r="OTR120" s="199"/>
      <c r="OTS120" s="198"/>
      <c r="OTT120" s="199"/>
      <c r="OTU120" s="198"/>
      <c r="OTV120" s="199"/>
      <c r="OTW120" s="198"/>
      <c r="OTX120" s="199"/>
      <c r="OTY120" s="198"/>
      <c r="OTZ120" s="199"/>
      <c r="OUA120" s="198"/>
      <c r="OUB120" s="199"/>
      <c r="OUC120" s="198"/>
      <c r="OUD120" s="199"/>
      <c r="OUE120" s="198"/>
      <c r="OUF120" s="199"/>
      <c r="OUG120" s="198"/>
      <c r="OUH120" s="199"/>
      <c r="OUI120" s="198"/>
      <c r="OUJ120" s="199"/>
      <c r="OUK120" s="198"/>
      <c r="OUL120" s="199"/>
      <c r="OUM120" s="198"/>
      <c r="OUN120" s="199"/>
      <c r="OUO120" s="198"/>
      <c r="OUP120" s="199"/>
      <c r="OUQ120" s="198"/>
      <c r="OUR120" s="199"/>
      <c r="OUS120" s="198"/>
      <c r="OUT120" s="199"/>
      <c r="OUU120" s="198"/>
      <c r="OUV120" s="199"/>
      <c r="OUW120" s="198"/>
      <c r="OUX120" s="199"/>
      <c r="OUY120" s="198"/>
      <c r="OUZ120" s="199"/>
      <c r="OVA120" s="198"/>
      <c r="OVB120" s="199"/>
      <c r="OVC120" s="198"/>
      <c r="OVD120" s="199"/>
      <c r="OVE120" s="198"/>
      <c r="OVF120" s="199"/>
      <c r="OVG120" s="198"/>
      <c r="OVH120" s="199"/>
      <c r="OVI120" s="198"/>
      <c r="OVJ120" s="199"/>
      <c r="OVK120" s="198"/>
      <c r="OVL120" s="199"/>
      <c r="OVM120" s="198"/>
      <c r="OVN120" s="199"/>
      <c r="OVO120" s="198"/>
      <c r="OVP120" s="199"/>
      <c r="OVQ120" s="198"/>
      <c r="OVR120" s="199"/>
      <c r="OVS120" s="198"/>
      <c r="OVT120" s="199"/>
      <c r="OVU120" s="198"/>
      <c r="OVV120" s="199"/>
      <c r="OVW120" s="198"/>
      <c r="OVX120" s="199"/>
      <c r="OVY120" s="198"/>
      <c r="OVZ120" s="199"/>
      <c r="OWA120" s="198"/>
      <c r="OWB120" s="199"/>
      <c r="OWC120" s="198"/>
      <c r="OWD120" s="199"/>
      <c r="OWE120" s="198"/>
      <c r="OWF120" s="199"/>
      <c r="OWG120" s="198"/>
      <c r="OWH120" s="199"/>
      <c r="OWI120" s="198"/>
      <c r="OWJ120" s="199"/>
      <c r="OWK120" s="198"/>
      <c r="OWL120" s="199"/>
      <c r="OWM120" s="198"/>
      <c r="OWN120" s="199"/>
      <c r="OWO120" s="198"/>
      <c r="OWP120" s="199"/>
      <c r="OWQ120" s="198"/>
      <c r="OWR120" s="199"/>
      <c r="OWS120" s="198"/>
      <c r="OWT120" s="199"/>
      <c r="OWU120" s="198"/>
      <c r="OWV120" s="199"/>
      <c r="OWW120" s="198"/>
      <c r="OWX120" s="199"/>
      <c r="OWY120" s="198"/>
      <c r="OWZ120" s="199"/>
      <c r="OXA120" s="198"/>
      <c r="OXB120" s="199"/>
      <c r="OXC120" s="198"/>
      <c r="OXD120" s="199"/>
      <c r="OXE120" s="198"/>
      <c r="OXF120" s="199"/>
      <c r="OXG120" s="198"/>
      <c r="OXH120" s="199"/>
      <c r="OXI120" s="198"/>
      <c r="OXJ120" s="199"/>
      <c r="OXK120" s="198"/>
      <c r="OXL120" s="199"/>
      <c r="OXM120" s="198"/>
      <c r="OXN120" s="199"/>
      <c r="OXO120" s="198"/>
      <c r="OXP120" s="199"/>
      <c r="OXQ120" s="198"/>
      <c r="OXR120" s="199"/>
      <c r="OXS120" s="198"/>
      <c r="OXT120" s="199"/>
      <c r="OXU120" s="198"/>
      <c r="OXV120" s="199"/>
      <c r="OXW120" s="198"/>
      <c r="OXX120" s="199"/>
      <c r="OXY120" s="198"/>
      <c r="OXZ120" s="199"/>
      <c r="OYA120" s="198"/>
      <c r="OYB120" s="199"/>
      <c r="OYC120" s="198"/>
      <c r="OYD120" s="199"/>
      <c r="OYE120" s="198"/>
      <c r="OYF120" s="199"/>
      <c r="OYG120" s="198"/>
      <c r="OYH120" s="199"/>
      <c r="OYI120" s="198"/>
      <c r="OYJ120" s="199"/>
      <c r="OYK120" s="198"/>
      <c r="OYL120" s="199"/>
      <c r="OYM120" s="198"/>
      <c r="OYN120" s="199"/>
      <c r="OYO120" s="198"/>
      <c r="OYP120" s="199"/>
      <c r="OYQ120" s="198"/>
      <c r="OYR120" s="199"/>
      <c r="OYS120" s="198"/>
      <c r="OYT120" s="199"/>
      <c r="OYU120" s="198"/>
      <c r="OYV120" s="199"/>
      <c r="OYW120" s="198"/>
      <c r="OYX120" s="199"/>
      <c r="OYY120" s="198"/>
      <c r="OYZ120" s="199"/>
      <c r="OZA120" s="198"/>
      <c r="OZB120" s="199"/>
      <c r="OZC120" s="198"/>
      <c r="OZD120" s="199"/>
      <c r="OZE120" s="198"/>
      <c r="OZF120" s="199"/>
      <c r="OZG120" s="198"/>
      <c r="OZH120" s="199"/>
      <c r="OZI120" s="198"/>
      <c r="OZJ120" s="199"/>
      <c r="OZK120" s="198"/>
      <c r="OZL120" s="199"/>
      <c r="OZM120" s="198"/>
      <c r="OZN120" s="199"/>
      <c r="OZO120" s="198"/>
      <c r="OZP120" s="199"/>
      <c r="OZQ120" s="198"/>
      <c r="OZR120" s="199"/>
      <c r="OZS120" s="198"/>
      <c r="OZT120" s="199"/>
      <c r="OZU120" s="198"/>
      <c r="OZV120" s="199"/>
      <c r="OZW120" s="198"/>
      <c r="OZX120" s="199"/>
      <c r="OZY120" s="198"/>
      <c r="OZZ120" s="199"/>
      <c r="PAA120" s="198"/>
      <c r="PAB120" s="199"/>
      <c r="PAC120" s="198"/>
      <c r="PAD120" s="199"/>
      <c r="PAE120" s="198"/>
      <c r="PAF120" s="199"/>
      <c r="PAG120" s="198"/>
      <c r="PAH120" s="199"/>
      <c r="PAI120" s="198"/>
      <c r="PAJ120" s="199"/>
      <c r="PAK120" s="198"/>
      <c r="PAL120" s="199"/>
      <c r="PAM120" s="198"/>
      <c r="PAN120" s="199"/>
      <c r="PAO120" s="198"/>
      <c r="PAP120" s="199"/>
      <c r="PAQ120" s="198"/>
      <c r="PAR120" s="199"/>
      <c r="PAS120" s="198"/>
      <c r="PAT120" s="199"/>
      <c r="PAU120" s="198"/>
      <c r="PAV120" s="199"/>
      <c r="PAW120" s="198"/>
      <c r="PAX120" s="199"/>
      <c r="PAY120" s="198"/>
      <c r="PAZ120" s="199"/>
      <c r="PBA120" s="198"/>
      <c r="PBB120" s="199"/>
      <c r="PBC120" s="198"/>
      <c r="PBD120" s="199"/>
      <c r="PBE120" s="198"/>
      <c r="PBF120" s="199"/>
      <c r="PBG120" s="198"/>
      <c r="PBH120" s="199"/>
      <c r="PBI120" s="198"/>
      <c r="PBJ120" s="199"/>
      <c r="PBK120" s="198"/>
      <c r="PBL120" s="199"/>
      <c r="PBM120" s="198"/>
      <c r="PBN120" s="199"/>
      <c r="PBO120" s="198"/>
      <c r="PBP120" s="199"/>
      <c r="PBQ120" s="198"/>
      <c r="PBR120" s="199"/>
      <c r="PBS120" s="198"/>
      <c r="PBT120" s="199"/>
      <c r="PBU120" s="198"/>
      <c r="PBV120" s="199"/>
      <c r="PBW120" s="198"/>
      <c r="PBX120" s="199"/>
      <c r="PBY120" s="198"/>
      <c r="PBZ120" s="199"/>
      <c r="PCA120" s="198"/>
      <c r="PCB120" s="199"/>
      <c r="PCC120" s="198"/>
      <c r="PCD120" s="199"/>
      <c r="PCE120" s="198"/>
      <c r="PCF120" s="199"/>
      <c r="PCG120" s="198"/>
      <c r="PCH120" s="199"/>
      <c r="PCI120" s="198"/>
      <c r="PCJ120" s="199"/>
      <c r="PCK120" s="198"/>
      <c r="PCL120" s="199"/>
      <c r="PCM120" s="198"/>
      <c r="PCN120" s="199"/>
      <c r="PCO120" s="198"/>
      <c r="PCP120" s="199"/>
      <c r="PCQ120" s="198"/>
      <c r="PCR120" s="199"/>
      <c r="PCS120" s="198"/>
      <c r="PCT120" s="199"/>
      <c r="PCU120" s="198"/>
      <c r="PCV120" s="199"/>
      <c r="PCW120" s="198"/>
      <c r="PCX120" s="199"/>
      <c r="PCY120" s="198"/>
      <c r="PCZ120" s="199"/>
      <c r="PDA120" s="198"/>
      <c r="PDB120" s="199"/>
      <c r="PDC120" s="198"/>
      <c r="PDD120" s="199"/>
      <c r="PDE120" s="198"/>
      <c r="PDF120" s="199"/>
      <c r="PDG120" s="198"/>
      <c r="PDH120" s="199"/>
      <c r="PDI120" s="198"/>
      <c r="PDJ120" s="199"/>
      <c r="PDK120" s="198"/>
      <c r="PDL120" s="199"/>
      <c r="PDM120" s="198"/>
      <c r="PDN120" s="199"/>
      <c r="PDO120" s="198"/>
      <c r="PDP120" s="199"/>
      <c r="PDQ120" s="198"/>
      <c r="PDR120" s="199"/>
      <c r="PDS120" s="198"/>
      <c r="PDT120" s="199"/>
      <c r="PDU120" s="198"/>
      <c r="PDV120" s="199"/>
      <c r="PDW120" s="198"/>
      <c r="PDX120" s="199"/>
      <c r="PDY120" s="198"/>
      <c r="PDZ120" s="199"/>
      <c r="PEA120" s="198"/>
      <c r="PEB120" s="199"/>
      <c r="PEC120" s="198"/>
      <c r="PED120" s="199"/>
      <c r="PEE120" s="198"/>
      <c r="PEF120" s="199"/>
      <c r="PEG120" s="198"/>
      <c r="PEH120" s="199"/>
      <c r="PEI120" s="198"/>
      <c r="PEJ120" s="199"/>
      <c r="PEK120" s="198"/>
      <c r="PEL120" s="199"/>
      <c r="PEM120" s="198"/>
      <c r="PEN120" s="199"/>
      <c r="PEO120" s="198"/>
      <c r="PEP120" s="199"/>
      <c r="PEQ120" s="198"/>
      <c r="PER120" s="199"/>
      <c r="PES120" s="198"/>
      <c r="PET120" s="199"/>
      <c r="PEU120" s="198"/>
      <c r="PEV120" s="199"/>
      <c r="PEW120" s="198"/>
      <c r="PEX120" s="199"/>
      <c r="PEY120" s="198"/>
      <c r="PEZ120" s="199"/>
      <c r="PFA120" s="198"/>
      <c r="PFB120" s="199"/>
      <c r="PFC120" s="198"/>
      <c r="PFD120" s="199"/>
      <c r="PFE120" s="198"/>
      <c r="PFF120" s="199"/>
      <c r="PFG120" s="198"/>
      <c r="PFH120" s="199"/>
      <c r="PFI120" s="198"/>
      <c r="PFJ120" s="199"/>
      <c r="PFK120" s="198"/>
      <c r="PFL120" s="199"/>
      <c r="PFM120" s="198"/>
      <c r="PFN120" s="199"/>
      <c r="PFO120" s="198"/>
      <c r="PFP120" s="199"/>
      <c r="PFQ120" s="198"/>
      <c r="PFR120" s="199"/>
      <c r="PFS120" s="198"/>
      <c r="PFT120" s="199"/>
      <c r="PFU120" s="198"/>
      <c r="PFV120" s="199"/>
      <c r="PFW120" s="198"/>
      <c r="PFX120" s="199"/>
      <c r="PFY120" s="198"/>
      <c r="PFZ120" s="199"/>
      <c r="PGA120" s="198"/>
      <c r="PGB120" s="199"/>
      <c r="PGC120" s="198"/>
      <c r="PGD120" s="199"/>
      <c r="PGE120" s="198"/>
      <c r="PGF120" s="199"/>
      <c r="PGG120" s="198"/>
      <c r="PGH120" s="199"/>
      <c r="PGI120" s="198"/>
      <c r="PGJ120" s="199"/>
      <c r="PGK120" s="198"/>
      <c r="PGL120" s="199"/>
      <c r="PGM120" s="198"/>
      <c r="PGN120" s="199"/>
      <c r="PGO120" s="198"/>
      <c r="PGP120" s="199"/>
      <c r="PGQ120" s="198"/>
      <c r="PGR120" s="199"/>
      <c r="PGS120" s="198"/>
      <c r="PGT120" s="199"/>
      <c r="PGU120" s="198"/>
      <c r="PGV120" s="199"/>
      <c r="PGW120" s="198"/>
      <c r="PGX120" s="199"/>
      <c r="PGY120" s="198"/>
      <c r="PGZ120" s="199"/>
      <c r="PHA120" s="198"/>
      <c r="PHB120" s="199"/>
      <c r="PHC120" s="198"/>
      <c r="PHD120" s="199"/>
      <c r="PHE120" s="198"/>
      <c r="PHF120" s="199"/>
      <c r="PHG120" s="198"/>
      <c r="PHH120" s="199"/>
      <c r="PHI120" s="198"/>
      <c r="PHJ120" s="199"/>
      <c r="PHK120" s="198"/>
      <c r="PHL120" s="199"/>
      <c r="PHM120" s="198"/>
      <c r="PHN120" s="199"/>
      <c r="PHO120" s="198"/>
      <c r="PHP120" s="199"/>
      <c r="PHQ120" s="198"/>
      <c r="PHR120" s="199"/>
      <c r="PHS120" s="198"/>
      <c r="PHT120" s="199"/>
      <c r="PHU120" s="198"/>
      <c r="PHV120" s="199"/>
      <c r="PHW120" s="198"/>
      <c r="PHX120" s="199"/>
      <c r="PHY120" s="198"/>
      <c r="PHZ120" s="199"/>
      <c r="PIA120" s="198"/>
      <c r="PIB120" s="199"/>
      <c r="PIC120" s="198"/>
      <c r="PID120" s="199"/>
      <c r="PIE120" s="198"/>
      <c r="PIF120" s="199"/>
      <c r="PIG120" s="198"/>
      <c r="PIH120" s="199"/>
      <c r="PII120" s="198"/>
      <c r="PIJ120" s="199"/>
      <c r="PIK120" s="198"/>
      <c r="PIL120" s="199"/>
      <c r="PIM120" s="198"/>
      <c r="PIN120" s="199"/>
      <c r="PIO120" s="198"/>
      <c r="PIP120" s="199"/>
      <c r="PIQ120" s="198"/>
      <c r="PIR120" s="199"/>
      <c r="PIS120" s="198"/>
      <c r="PIT120" s="199"/>
      <c r="PIU120" s="198"/>
      <c r="PIV120" s="199"/>
      <c r="PIW120" s="198"/>
      <c r="PIX120" s="199"/>
      <c r="PIY120" s="198"/>
      <c r="PIZ120" s="199"/>
      <c r="PJA120" s="198"/>
      <c r="PJB120" s="199"/>
      <c r="PJC120" s="198"/>
      <c r="PJD120" s="199"/>
      <c r="PJE120" s="198"/>
      <c r="PJF120" s="199"/>
      <c r="PJG120" s="198"/>
      <c r="PJH120" s="199"/>
      <c r="PJI120" s="198"/>
      <c r="PJJ120" s="199"/>
      <c r="PJK120" s="198"/>
      <c r="PJL120" s="199"/>
      <c r="PJM120" s="198"/>
      <c r="PJN120" s="199"/>
      <c r="PJO120" s="198"/>
      <c r="PJP120" s="199"/>
      <c r="PJQ120" s="198"/>
      <c r="PJR120" s="199"/>
      <c r="PJS120" s="198"/>
      <c r="PJT120" s="199"/>
      <c r="PJU120" s="198"/>
      <c r="PJV120" s="199"/>
      <c r="PJW120" s="198"/>
      <c r="PJX120" s="199"/>
      <c r="PJY120" s="198"/>
      <c r="PJZ120" s="199"/>
      <c r="PKA120" s="198"/>
      <c r="PKB120" s="199"/>
      <c r="PKC120" s="198"/>
      <c r="PKD120" s="199"/>
      <c r="PKE120" s="198"/>
      <c r="PKF120" s="199"/>
      <c r="PKG120" s="198"/>
      <c r="PKH120" s="199"/>
      <c r="PKI120" s="198"/>
      <c r="PKJ120" s="199"/>
      <c r="PKK120" s="198"/>
      <c r="PKL120" s="199"/>
      <c r="PKM120" s="198"/>
      <c r="PKN120" s="199"/>
      <c r="PKO120" s="198"/>
      <c r="PKP120" s="199"/>
      <c r="PKQ120" s="198"/>
      <c r="PKR120" s="199"/>
      <c r="PKS120" s="198"/>
      <c r="PKT120" s="199"/>
      <c r="PKU120" s="198"/>
      <c r="PKV120" s="199"/>
      <c r="PKW120" s="198"/>
      <c r="PKX120" s="199"/>
      <c r="PKY120" s="198"/>
      <c r="PKZ120" s="199"/>
      <c r="PLA120" s="198"/>
      <c r="PLB120" s="199"/>
      <c r="PLC120" s="198"/>
      <c r="PLD120" s="199"/>
      <c r="PLE120" s="198"/>
      <c r="PLF120" s="199"/>
      <c r="PLG120" s="198"/>
      <c r="PLH120" s="199"/>
      <c r="PLI120" s="198"/>
      <c r="PLJ120" s="199"/>
      <c r="PLK120" s="198"/>
      <c r="PLL120" s="199"/>
      <c r="PLM120" s="198"/>
      <c r="PLN120" s="199"/>
      <c r="PLO120" s="198"/>
      <c r="PLP120" s="199"/>
      <c r="PLQ120" s="198"/>
      <c r="PLR120" s="199"/>
      <c r="PLS120" s="198"/>
      <c r="PLT120" s="199"/>
      <c r="PLU120" s="198"/>
      <c r="PLV120" s="199"/>
      <c r="PLW120" s="198"/>
      <c r="PLX120" s="199"/>
      <c r="PLY120" s="198"/>
      <c r="PLZ120" s="199"/>
      <c r="PMA120" s="198"/>
      <c r="PMB120" s="199"/>
      <c r="PMC120" s="198"/>
      <c r="PMD120" s="199"/>
      <c r="PME120" s="198"/>
      <c r="PMF120" s="199"/>
      <c r="PMG120" s="198"/>
      <c r="PMH120" s="199"/>
      <c r="PMI120" s="198"/>
      <c r="PMJ120" s="199"/>
      <c r="PMK120" s="198"/>
      <c r="PML120" s="199"/>
      <c r="PMM120" s="198"/>
      <c r="PMN120" s="199"/>
      <c r="PMO120" s="198"/>
      <c r="PMP120" s="199"/>
      <c r="PMQ120" s="198"/>
      <c r="PMR120" s="199"/>
      <c r="PMS120" s="198"/>
      <c r="PMT120" s="199"/>
      <c r="PMU120" s="198"/>
      <c r="PMV120" s="199"/>
      <c r="PMW120" s="198"/>
      <c r="PMX120" s="199"/>
      <c r="PMY120" s="198"/>
      <c r="PMZ120" s="199"/>
      <c r="PNA120" s="198"/>
      <c r="PNB120" s="199"/>
      <c r="PNC120" s="198"/>
      <c r="PND120" s="199"/>
      <c r="PNE120" s="198"/>
      <c r="PNF120" s="199"/>
      <c r="PNG120" s="198"/>
      <c r="PNH120" s="199"/>
      <c r="PNI120" s="198"/>
      <c r="PNJ120" s="199"/>
      <c r="PNK120" s="198"/>
      <c r="PNL120" s="199"/>
      <c r="PNM120" s="198"/>
      <c r="PNN120" s="199"/>
      <c r="PNO120" s="198"/>
      <c r="PNP120" s="199"/>
      <c r="PNQ120" s="198"/>
      <c r="PNR120" s="199"/>
      <c r="PNS120" s="198"/>
      <c r="PNT120" s="199"/>
      <c r="PNU120" s="198"/>
      <c r="PNV120" s="199"/>
      <c r="PNW120" s="198"/>
      <c r="PNX120" s="199"/>
      <c r="PNY120" s="198"/>
      <c r="PNZ120" s="199"/>
      <c r="POA120" s="198"/>
      <c r="POB120" s="199"/>
      <c r="POC120" s="198"/>
      <c r="POD120" s="199"/>
      <c r="POE120" s="198"/>
      <c r="POF120" s="199"/>
      <c r="POG120" s="198"/>
      <c r="POH120" s="199"/>
      <c r="POI120" s="198"/>
      <c r="POJ120" s="199"/>
      <c r="POK120" s="198"/>
      <c r="POL120" s="199"/>
      <c r="POM120" s="198"/>
      <c r="PON120" s="199"/>
      <c r="POO120" s="198"/>
      <c r="POP120" s="199"/>
      <c r="POQ120" s="198"/>
      <c r="POR120" s="199"/>
      <c r="POS120" s="198"/>
      <c r="POT120" s="199"/>
      <c r="POU120" s="198"/>
      <c r="POV120" s="199"/>
      <c r="POW120" s="198"/>
      <c r="POX120" s="199"/>
      <c r="POY120" s="198"/>
      <c r="POZ120" s="199"/>
      <c r="PPA120" s="198"/>
      <c r="PPB120" s="199"/>
      <c r="PPC120" s="198"/>
      <c r="PPD120" s="199"/>
      <c r="PPE120" s="198"/>
      <c r="PPF120" s="199"/>
      <c r="PPG120" s="198"/>
      <c r="PPH120" s="199"/>
      <c r="PPI120" s="198"/>
      <c r="PPJ120" s="199"/>
      <c r="PPK120" s="198"/>
      <c r="PPL120" s="199"/>
      <c r="PPM120" s="198"/>
      <c r="PPN120" s="199"/>
      <c r="PPO120" s="198"/>
      <c r="PPP120" s="199"/>
      <c r="PPQ120" s="198"/>
      <c r="PPR120" s="199"/>
      <c r="PPS120" s="198"/>
      <c r="PPT120" s="199"/>
      <c r="PPU120" s="198"/>
      <c r="PPV120" s="199"/>
      <c r="PPW120" s="198"/>
      <c r="PPX120" s="199"/>
      <c r="PPY120" s="198"/>
      <c r="PPZ120" s="199"/>
      <c r="PQA120" s="198"/>
      <c r="PQB120" s="199"/>
      <c r="PQC120" s="198"/>
      <c r="PQD120" s="199"/>
      <c r="PQE120" s="198"/>
      <c r="PQF120" s="199"/>
      <c r="PQG120" s="198"/>
      <c r="PQH120" s="199"/>
      <c r="PQI120" s="198"/>
      <c r="PQJ120" s="199"/>
      <c r="PQK120" s="198"/>
      <c r="PQL120" s="199"/>
      <c r="PQM120" s="198"/>
      <c r="PQN120" s="199"/>
      <c r="PQO120" s="198"/>
      <c r="PQP120" s="199"/>
      <c r="PQQ120" s="198"/>
      <c r="PQR120" s="199"/>
      <c r="PQS120" s="198"/>
      <c r="PQT120" s="199"/>
      <c r="PQU120" s="198"/>
      <c r="PQV120" s="199"/>
      <c r="PQW120" s="198"/>
      <c r="PQX120" s="199"/>
      <c r="PQY120" s="198"/>
      <c r="PQZ120" s="199"/>
      <c r="PRA120" s="198"/>
      <c r="PRB120" s="199"/>
      <c r="PRC120" s="198"/>
      <c r="PRD120" s="199"/>
      <c r="PRE120" s="198"/>
      <c r="PRF120" s="199"/>
      <c r="PRG120" s="198"/>
      <c r="PRH120" s="199"/>
      <c r="PRI120" s="198"/>
      <c r="PRJ120" s="199"/>
      <c r="PRK120" s="198"/>
      <c r="PRL120" s="199"/>
      <c r="PRM120" s="198"/>
      <c r="PRN120" s="199"/>
      <c r="PRO120" s="198"/>
      <c r="PRP120" s="199"/>
      <c r="PRQ120" s="198"/>
      <c r="PRR120" s="199"/>
      <c r="PRS120" s="198"/>
      <c r="PRT120" s="199"/>
      <c r="PRU120" s="198"/>
      <c r="PRV120" s="199"/>
      <c r="PRW120" s="198"/>
      <c r="PRX120" s="199"/>
      <c r="PRY120" s="198"/>
      <c r="PRZ120" s="199"/>
      <c r="PSA120" s="198"/>
      <c r="PSB120" s="199"/>
      <c r="PSC120" s="198"/>
      <c r="PSD120" s="199"/>
      <c r="PSE120" s="198"/>
      <c r="PSF120" s="199"/>
      <c r="PSG120" s="198"/>
      <c r="PSH120" s="199"/>
      <c r="PSI120" s="198"/>
      <c r="PSJ120" s="199"/>
      <c r="PSK120" s="198"/>
      <c r="PSL120" s="199"/>
      <c r="PSM120" s="198"/>
      <c r="PSN120" s="199"/>
      <c r="PSO120" s="198"/>
      <c r="PSP120" s="199"/>
      <c r="PSQ120" s="198"/>
      <c r="PSR120" s="199"/>
      <c r="PSS120" s="198"/>
      <c r="PST120" s="199"/>
      <c r="PSU120" s="198"/>
      <c r="PSV120" s="199"/>
      <c r="PSW120" s="198"/>
      <c r="PSX120" s="199"/>
      <c r="PSY120" s="198"/>
      <c r="PSZ120" s="199"/>
      <c r="PTA120" s="198"/>
      <c r="PTB120" s="199"/>
      <c r="PTC120" s="198"/>
      <c r="PTD120" s="199"/>
      <c r="PTE120" s="198"/>
      <c r="PTF120" s="199"/>
      <c r="PTG120" s="198"/>
      <c r="PTH120" s="199"/>
      <c r="PTI120" s="198"/>
      <c r="PTJ120" s="199"/>
      <c r="PTK120" s="198"/>
      <c r="PTL120" s="199"/>
      <c r="PTM120" s="198"/>
      <c r="PTN120" s="199"/>
      <c r="PTO120" s="198"/>
      <c r="PTP120" s="199"/>
      <c r="PTQ120" s="198"/>
      <c r="PTR120" s="199"/>
      <c r="PTS120" s="198"/>
      <c r="PTT120" s="199"/>
      <c r="PTU120" s="198"/>
      <c r="PTV120" s="199"/>
      <c r="PTW120" s="198"/>
      <c r="PTX120" s="199"/>
      <c r="PTY120" s="198"/>
      <c r="PTZ120" s="199"/>
      <c r="PUA120" s="198"/>
      <c r="PUB120" s="199"/>
      <c r="PUC120" s="198"/>
      <c r="PUD120" s="199"/>
      <c r="PUE120" s="198"/>
      <c r="PUF120" s="199"/>
      <c r="PUG120" s="198"/>
      <c r="PUH120" s="199"/>
      <c r="PUI120" s="198"/>
      <c r="PUJ120" s="199"/>
      <c r="PUK120" s="198"/>
      <c r="PUL120" s="199"/>
      <c r="PUM120" s="198"/>
      <c r="PUN120" s="199"/>
      <c r="PUO120" s="198"/>
      <c r="PUP120" s="199"/>
      <c r="PUQ120" s="198"/>
      <c r="PUR120" s="199"/>
      <c r="PUS120" s="198"/>
      <c r="PUT120" s="199"/>
      <c r="PUU120" s="198"/>
      <c r="PUV120" s="199"/>
      <c r="PUW120" s="198"/>
      <c r="PUX120" s="199"/>
      <c r="PUY120" s="198"/>
      <c r="PUZ120" s="199"/>
      <c r="PVA120" s="198"/>
      <c r="PVB120" s="199"/>
      <c r="PVC120" s="198"/>
      <c r="PVD120" s="199"/>
      <c r="PVE120" s="198"/>
      <c r="PVF120" s="199"/>
      <c r="PVG120" s="198"/>
      <c r="PVH120" s="199"/>
      <c r="PVI120" s="198"/>
      <c r="PVJ120" s="199"/>
      <c r="PVK120" s="198"/>
      <c r="PVL120" s="199"/>
      <c r="PVM120" s="198"/>
      <c r="PVN120" s="199"/>
      <c r="PVO120" s="198"/>
      <c r="PVP120" s="199"/>
      <c r="PVQ120" s="198"/>
      <c r="PVR120" s="199"/>
      <c r="PVS120" s="198"/>
      <c r="PVT120" s="199"/>
      <c r="PVU120" s="198"/>
      <c r="PVV120" s="199"/>
      <c r="PVW120" s="198"/>
      <c r="PVX120" s="199"/>
      <c r="PVY120" s="198"/>
      <c r="PVZ120" s="199"/>
      <c r="PWA120" s="198"/>
      <c r="PWB120" s="199"/>
      <c r="PWC120" s="198"/>
      <c r="PWD120" s="199"/>
      <c r="PWE120" s="198"/>
      <c r="PWF120" s="199"/>
      <c r="PWG120" s="198"/>
      <c r="PWH120" s="199"/>
      <c r="PWI120" s="198"/>
      <c r="PWJ120" s="199"/>
      <c r="PWK120" s="198"/>
      <c r="PWL120" s="199"/>
      <c r="PWM120" s="198"/>
      <c r="PWN120" s="199"/>
      <c r="PWO120" s="198"/>
      <c r="PWP120" s="199"/>
      <c r="PWQ120" s="198"/>
      <c r="PWR120" s="199"/>
      <c r="PWS120" s="198"/>
      <c r="PWT120" s="199"/>
      <c r="PWU120" s="198"/>
      <c r="PWV120" s="199"/>
      <c r="PWW120" s="198"/>
      <c r="PWX120" s="199"/>
      <c r="PWY120" s="198"/>
      <c r="PWZ120" s="199"/>
      <c r="PXA120" s="198"/>
      <c r="PXB120" s="199"/>
      <c r="PXC120" s="198"/>
      <c r="PXD120" s="199"/>
      <c r="PXE120" s="198"/>
      <c r="PXF120" s="199"/>
      <c r="PXG120" s="198"/>
      <c r="PXH120" s="199"/>
      <c r="PXI120" s="198"/>
      <c r="PXJ120" s="199"/>
      <c r="PXK120" s="198"/>
      <c r="PXL120" s="199"/>
      <c r="PXM120" s="198"/>
      <c r="PXN120" s="199"/>
      <c r="PXO120" s="198"/>
      <c r="PXP120" s="199"/>
      <c r="PXQ120" s="198"/>
      <c r="PXR120" s="199"/>
      <c r="PXS120" s="198"/>
      <c r="PXT120" s="199"/>
      <c r="PXU120" s="198"/>
      <c r="PXV120" s="199"/>
      <c r="PXW120" s="198"/>
      <c r="PXX120" s="199"/>
      <c r="PXY120" s="198"/>
      <c r="PXZ120" s="199"/>
      <c r="PYA120" s="198"/>
      <c r="PYB120" s="199"/>
      <c r="PYC120" s="198"/>
      <c r="PYD120" s="199"/>
      <c r="PYE120" s="198"/>
      <c r="PYF120" s="199"/>
      <c r="PYG120" s="198"/>
      <c r="PYH120" s="199"/>
      <c r="PYI120" s="198"/>
      <c r="PYJ120" s="199"/>
      <c r="PYK120" s="198"/>
      <c r="PYL120" s="199"/>
      <c r="PYM120" s="198"/>
      <c r="PYN120" s="199"/>
      <c r="PYO120" s="198"/>
      <c r="PYP120" s="199"/>
      <c r="PYQ120" s="198"/>
      <c r="PYR120" s="199"/>
      <c r="PYS120" s="198"/>
      <c r="PYT120" s="199"/>
      <c r="PYU120" s="198"/>
      <c r="PYV120" s="199"/>
      <c r="PYW120" s="198"/>
      <c r="PYX120" s="199"/>
      <c r="PYY120" s="198"/>
      <c r="PYZ120" s="199"/>
      <c r="PZA120" s="198"/>
      <c r="PZB120" s="199"/>
      <c r="PZC120" s="198"/>
      <c r="PZD120" s="199"/>
      <c r="PZE120" s="198"/>
      <c r="PZF120" s="199"/>
      <c r="PZG120" s="198"/>
      <c r="PZH120" s="199"/>
      <c r="PZI120" s="198"/>
      <c r="PZJ120" s="199"/>
      <c r="PZK120" s="198"/>
      <c r="PZL120" s="199"/>
      <c r="PZM120" s="198"/>
      <c r="PZN120" s="199"/>
      <c r="PZO120" s="198"/>
      <c r="PZP120" s="199"/>
      <c r="PZQ120" s="198"/>
      <c r="PZR120" s="199"/>
      <c r="PZS120" s="198"/>
      <c r="PZT120" s="199"/>
      <c r="PZU120" s="198"/>
      <c r="PZV120" s="199"/>
      <c r="PZW120" s="198"/>
      <c r="PZX120" s="199"/>
      <c r="PZY120" s="198"/>
      <c r="PZZ120" s="199"/>
      <c r="QAA120" s="198"/>
      <c r="QAB120" s="199"/>
      <c r="QAC120" s="198"/>
      <c r="QAD120" s="199"/>
      <c r="QAE120" s="198"/>
      <c r="QAF120" s="199"/>
      <c r="QAG120" s="198"/>
      <c r="QAH120" s="199"/>
      <c r="QAI120" s="198"/>
      <c r="QAJ120" s="199"/>
      <c r="QAK120" s="198"/>
      <c r="QAL120" s="199"/>
      <c r="QAM120" s="198"/>
      <c r="QAN120" s="199"/>
      <c r="QAO120" s="198"/>
      <c r="QAP120" s="199"/>
      <c r="QAQ120" s="198"/>
      <c r="QAR120" s="199"/>
      <c r="QAS120" s="198"/>
      <c r="QAT120" s="199"/>
      <c r="QAU120" s="198"/>
      <c r="QAV120" s="199"/>
      <c r="QAW120" s="198"/>
      <c r="QAX120" s="199"/>
      <c r="QAY120" s="198"/>
      <c r="QAZ120" s="199"/>
      <c r="QBA120" s="198"/>
      <c r="QBB120" s="199"/>
      <c r="QBC120" s="198"/>
      <c r="QBD120" s="199"/>
      <c r="QBE120" s="198"/>
      <c r="QBF120" s="199"/>
      <c r="QBG120" s="198"/>
      <c r="QBH120" s="199"/>
      <c r="QBI120" s="198"/>
      <c r="QBJ120" s="199"/>
      <c r="QBK120" s="198"/>
      <c r="QBL120" s="199"/>
      <c r="QBM120" s="198"/>
      <c r="QBN120" s="199"/>
      <c r="QBO120" s="198"/>
      <c r="QBP120" s="199"/>
      <c r="QBQ120" s="198"/>
      <c r="QBR120" s="199"/>
      <c r="QBS120" s="198"/>
      <c r="QBT120" s="199"/>
      <c r="QBU120" s="198"/>
      <c r="QBV120" s="199"/>
      <c r="QBW120" s="198"/>
      <c r="QBX120" s="199"/>
      <c r="QBY120" s="198"/>
      <c r="QBZ120" s="199"/>
      <c r="QCA120" s="198"/>
      <c r="QCB120" s="199"/>
      <c r="QCC120" s="198"/>
      <c r="QCD120" s="199"/>
      <c r="QCE120" s="198"/>
      <c r="QCF120" s="199"/>
      <c r="QCG120" s="198"/>
      <c r="QCH120" s="199"/>
      <c r="QCI120" s="198"/>
      <c r="QCJ120" s="199"/>
      <c r="QCK120" s="198"/>
      <c r="QCL120" s="199"/>
      <c r="QCM120" s="198"/>
      <c r="QCN120" s="199"/>
      <c r="QCO120" s="198"/>
      <c r="QCP120" s="199"/>
      <c r="QCQ120" s="198"/>
      <c r="QCR120" s="199"/>
      <c r="QCS120" s="198"/>
      <c r="QCT120" s="199"/>
      <c r="QCU120" s="198"/>
      <c r="QCV120" s="199"/>
      <c r="QCW120" s="198"/>
      <c r="QCX120" s="199"/>
      <c r="QCY120" s="198"/>
      <c r="QCZ120" s="199"/>
      <c r="QDA120" s="198"/>
      <c r="QDB120" s="199"/>
      <c r="QDC120" s="198"/>
      <c r="QDD120" s="199"/>
      <c r="QDE120" s="198"/>
      <c r="QDF120" s="199"/>
      <c r="QDG120" s="198"/>
      <c r="QDH120" s="199"/>
      <c r="QDI120" s="198"/>
      <c r="QDJ120" s="199"/>
      <c r="QDK120" s="198"/>
      <c r="QDL120" s="199"/>
      <c r="QDM120" s="198"/>
      <c r="QDN120" s="199"/>
      <c r="QDO120" s="198"/>
      <c r="QDP120" s="199"/>
      <c r="QDQ120" s="198"/>
      <c r="QDR120" s="199"/>
      <c r="QDS120" s="198"/>
      <c r="QDT120" s="199"/>
      <c r="QDU120" s="198"/>
      <c r="QDV120" s="199"/>
      <c r="QDW120" s="198"/>
      <c r="QDX120" s="199"/>
      <c r="QDY120" s="198"/>
      <c r="QDZ120" s="199"/>
      <c r="QEA120" s="198"/>
      <c r="QEB120" s="199"/>
      <c r="QEC120" s="198"/>
      <c r="QED120" s="199"/>
      <c r="QEE120" s="198"/>
      <c r="QEF120" s="199"/>
      <c r="QEG120" s="198"/>
      <c r="QEH120" s="199"/>
      <c r="QEI120" s="198"/>
      <c r="QEJ120" s="199"/>
      <c r="QEK120" s="198"/>
      <c r="QEL120" s="199"/>
      <c r="QEM120" s="198"/>
      <c r="QEN120" s="199"/>
      <c r="QEO120" s="198"/>
      <c r="QEP120" s="199"/>
      <c r="QEQ120" s="198"/>
      <c r="QER120" s="199"/>
      <c r="QES120" s="198"/>
      <c r="QET120" s="199"/>
      <c r="QEU120" s="198"/>
      <c r="QEV120" s="199"/>
      <c r="QEW120" s="198"/>
      <c r="QEX120" s="199"/>
      <c r="QEY120" s="198"/>
      <c r="QEZ120" s="199"/>
      <c r="QFA120" s="198"/>
      <c r="QFB120" s="199"/>
      <c r="QFC120" s="198"/>
      <c r="QFD120" s="199"/>
      <c r="QFE120" s="198"/>
      <c r="QFF120" s="199"/>
      <c r="QFG120" s="198"/>
      <c r="QFH120" s="199"/>
      <c r="QFI120" s="198"/>
      <c r="QFJ120" s="199"/>
      <c r="QFK120" s="198"/>
      <c r="QFL120" s="199"/>
      <c r="QFM120" s="198"/>
      <c r="QFN120" s="199"/>
      <c r="QFO120" s="198"/>
      <c r="QFP120" s="199"/>
      <c r="QFQ120" s="198"/>
      <c r="QFR120" s="199"/>
      <c r="QFS120" s="198"/>
      <c r="QFT120" s="199"/>
      <c r="QFU120" s="198"/>
      <c r="QFV120" s="199"/>
      <c r="QFW120" s="198"/>
      <c r="QFX120" s="199"/>
      <c r="QFY120" s="198"/>
      <c r="QFZ120" s="199"/>
      <c r="QGA120" s="198"/>
      <c r="QGB120" s="199"/>
      <c r="QGC120" s="198"/>
      <c r="QGD120" s="199"/>
      <c r="QGE120" s="198"/>
      <c r="QGF120" s="199"/>
      <c r="QGG120" s="198"/>
      <c r="QGH120" s="199"/>
      <c r="QGI120" s="198"/>
      <c r="QGJ120" s="199"/>
      <c r="QGK120" s="198"/>
      <c r="QGL120" s="199"/>
      <c r="QGM120" s="198"/>
      <c r="QGN120" s="199"/>
      <c r="QGO120" s="198"/>
      <c r="QGP120" s="199"/>
      <c r="QGQ120" s="198"/>
      <c r="QGR120" s="199"/>
      <c r="QGS120" s="198"/>
      <c r="QGT120" s="199"/>
      <c r="QGU120" s="198"/>
      <c r="QGV120" s="199"/>
      <c r="QGW120" s="198"/>
      <c r="QGX120" s="199"/>
      <c r="QGY120" s="198"/>
      <c r="QGZ120" s="199"/>
      <c r="QHA120" s="198"/>
      <c r="QHB120" s="199"/>
      <c r="QHC120" s="198"/>
      <c r="QHD120" s="199"/>
      <c r="QHE120" s="198"/>
      <c r="QHF120" s="199"/>
      <c r="QHG120" s="198"/>
      <c r="QHH120" s="199"/>
      <c r="QHI120" s="198"/>
      <c r="QHJ120" s="199"/>
      <c r="QHK120" s="198"/>
      <c r="QHL120" s="199"/>
      <c r="QHM120" s="198"/>
      <c r="QHN120" s="199"/>
      <c r="QHO120" s="198"/>
      <c r="QHP120" s="199"/>
      <c r="QHQ120" s="198"/>
      <c r="QHR120" s="199"/>
      <c r="QHS120" s="198"/>
      <c r="QHT120" s="199"/>
      <c r="QHU120" s="198"/>
      <c r="QHV120" s="199"/>
      <c r="QHW120" s="198"/>
      <c r="QHX120" s="199"/>
      <c r="QHY120" s="198"/>
      <c r="QHZ120" s="199"/>
      <c r="QIA120" s="198"/>
      <c r="QIB120" s="199"/>
      <c r="QIC120" s="198"/>
      <c r="QID120" s="199"/>
      <c r="QIE120" s="198"/>
      <c r="QIF120" s="199"/>
      <c r="QIG120" s="198"/>
      <c r="QIH120" s="199"/>
      <c r="QII120" s="198"/>
      <c r="QIJ120" s="199"/>
      <c r="QIK120" s="198"/>
      <c r="QIL120" s="199"/>
      <c r="QIM120" s="198"/>
      <c r="QIN120" s="199"/>
      <c r="QIO120" s="198"/>
      <c r="QIP120" s="199"/>
      <c r="QIQ120" s="198"/>
      <c r="QIR120" s="199"/>
      <c r="QIS120" s="198"/>
      <c r="QIT120" s="199"/>
      <c r="QIU120" s="198"/>
      <c r="QIV120" s="199"/>
      <c r="QIW120" s="198"/>
      <c r="QIX120" s="199"/>
      <c r="QIY120" s="198"/>
      <c r="QIZ120" s="199"/>
      <c r="QJA120" s="198"/>
      <c r="QJB120" s="199"/>
      <c r="QJC120" s="198"/>
      <c r="QJD120" s="199"/>
      <c r="QJE120" s="198"/>
      <c r="QJF120" s="199"/>
      <c r="QJG120" s="198"/>
      <c r="QJH120" s="199"/>
      <c r="QJI120" s="198"/>
      <c r="QJJ120" s="199"/>
      <c r="QJK120" s="198"/>
      <c r="QJL120" s="199"/>
      <c r="QJM120" s="198"/>
      <c r="QJN120" s="199"/>
      <c r="QJO120" s="198"/>
      <c r="QJP120" s="199"/>
      <c r="QJQ120" s="198"/>
      <c r="QJR120" s="199"/>
      <c r="QJS120" s="198"/>
      <c r="QJT120" s="199"/>
      <c r="QJU120" s="198"/>
      <c r="QJV120" s="199"/>
      <c r="QJW120" s="198"/>
      <c r="QJX120" s="199"/>
      <c r="QJY120" s="198"/>
      <c r="QJZ120" s="199"/>
      <c r="QKA120" s="198"/>
      <c r="QKB120" s="199"/>
      <c r="QKC120" s="198"/>
      <c r="QKD120" s="199"/>
      <c r="QKE120" s="198"/>
      <c r="QKF120" s="199"/>
      <c r="QKG120" s="198"/>
      <c r="QKH120" s="199"/>
      <c r="QKI120" s="198"/>
      <c r="QKJ120" s="199"/>
      <c r="QKK120" s="198"/>
      <c r="QKL120" s="199"/>
      <c r="QKM120" s="198"/>
      <c r="QKN120" s="199"/>
      <c r="QKO120" s="198"/>
      <c r="QKP120" s="199"/>
      <c r="QKQ120" s="198"/>
      <c r="QKR120" s="199"/>
      <c r="QKS120" s="198"/>
      <c r="QKT120" s="199"/>
      <c r="QKU120" s="198"/>
      <c r="QKV120" s="199"/>
      <c r="QKW120" s="198"/>
      <c r="QKX120" s="199"/>
      <c r="QKY120" s="198"/>
      <c r="QKZ120" s="199"/>
      <c r="QLA120" s="198"/>
      <c r="QLB120" s="199"/>
      <c r="QLC120" s="198"/>
      <c r="QLD120" s="199"/>
      <c r="QLE120" s="198"/>
      <c r="QLF120" s="199"/>
      <c r="QLG120" s="198"/>
      <c r="QLH120" s="199"/>
      <c r="QLI120" s="198"/>
      <c r="QLJ120" s="199"/>
      <c r="QLK120" s="198"/>
      <c r="QLL120" s="199"/>
      <c r="QLM120" s="198"/>
      <c r="QLN120" s="199"/>
      <c r="QLO120" s="198"/>
      <c r="QLP120" s="199"/>
      <c r="QLQ120" s="198"/>
      <c r="QLR120" s="199"/>
      <c r="QLS120" s="198"/>
      <c r="QLT120" s="199"/>
      <c r="QLU120" s="198"/>
      <c r="QLV120" s="199"/>
      <c r="QLW120" s="198"/>
      <c r="QLX120" s="199"/>
      <c r="QLY120" s="198"/>
      <c r="QLZ120" s="199"/>
      <c r="QMA120" s="198"/>
      <c r="QMB120" s="199"/>
      <c r="QMC120" s="198"/>
      <c r="QMD120" s="199"/>
      <c r="QME120" s="198"/>
      <c r="QMF120" s="199"/>
      <c r="QMG120" s="198"/>
      <c r="QMH120" s="199"/>
      <c r="QMI120" s="198"/>
      <c r="QMJ120" s="199"/>
      <c r="QMK120" s="198"/>
      <c r="QML120" s="199"/>
      <c r="QMM120" s="198"/>
      <c r="QMN120" s="199"/>
      <c r="QMO120" s="198"/>
      <c r="QMP120" s="199"/>
      <c r="QMQ120" s="198"/>
      <c r="QMR120" s="199"/>
      <c r="QMS120" s="198"/>
      <c r="QMT120" s="199"/>
      <c r="QMU120" s="198"/>
      <c r="QMV120" s="199"/>
      <c r="QMW120" s="198"/>
      <c r="QMX120" s="199"/>
      <c r="QMY120" s="198"/>
      <c r="QMZ120" s="199"/>
      <c r="QNA120" s="198"/>
      <c r="QNB120" s="199"/>
      <c r="QNC120" s="198"/>
      <c r="QND120" s="199"/>
      <c r="QNE120" s="198"/>
      <c r="QNF120" s="199"/>
      <c r="QNG120" s="198"/>
      <c r="QNH120" s="199"/>
      <c r="QNI120" s="198"/>
      <c r="QNJ120" s="199"/>
      <c r="QNK120" s="198"/>
      <c r="QNL120" s="199"/>
      <c r="QNM120" s="198"/>
      <c r="QNN120" s="199"/>
      <c r="QNO120" s="198"/>
      <c r="QNP120" s="199"/>
      <c r="QNQ120" s="198"/>
      <c r="QNR120" s="199"/>
      <c r="QNS120" s="198"/>
      <c r="QNT120" s="199"/>
      <c r="QNU120" s="198"/>
      <c r="QNV120" s="199"/>
      <c r="QNW120" s="198"/>
      <c r="QNX120" s="199"/>
      <c r="QNY120" s="198"/>
      <c r="QNZ120" s="199"/>
      <c r="QOA120" s="198"/>
      <c r="QOB120" s="199"/>
      <c r="QOC120" s="198"/>
      <c r="QOD120" s="199"/>
      <c r="QOE120" s="198"/>
      <c r="QOF120" s="199"/>
      <c r="QOG120" s="198"/>
      <c r="QOH120" s="199"/>
      <c r="QOI120" s="198"/>
      <c r="QOJ120" s="199"/>
      <c r="QOK120" s="198"/>
      <c r="QOL120" s="199"/>
      <c r="QOM120" s="198"/>
      <c r="QON120" s="199"/>
      <c r="QOO120" s="198"/>
      <c r="QOP120" s="199"/>
      <c r="QOQ120" s="198"/>
      <c r="QOR120" s="199"/>
      <c r="QOS120" s="198"/>
      <c r="QOT120" s="199"/>
      <c r="QOU120" s="198"/>
      <c r="QOV120" s="199"/>
      <c r="QOW120" s="198"/>
      <c r="QOX120" s="199"/>
      <c r="QOY120" s="198"/>
      <c r="QOZ120" s="199"/>
      <c r="QPA120" s="198"/>
      <c r="QPB120" s="199"/>
      <c r="QPC120" s="198"/>
      <c r="QPD120" s="199"/>
      <c r="QPE120" s="198"/>
      <c r="QPF120" s="199"/>
      <c r="QPG120" s="198"/>
      <c r="QPH120" s="199"/>
      <c r="QPI120" s="198"/>
      <c r="QPJ120" s="199"/>
      <c r="QPK120" s="198"/>
      <c r="QPL120" s="199"/>
      <c r="QPM120" s="198"/>
      <c r="QPN120" s="199"/>
      <c r="QPO120" s="198"/>
      <c r="QPP120" s="199"/>
      <c r="QPQ120" s="198"/>
      <c r="QPR120" s="199"/>
      <c r="QPS120" s="198"/>
      <c r="QPT120" s="199"/>
      <c r="QPU120" s="198"/>
      <c r="QPV120" s="199"/>
      <c r="QPW120" s="198"/>
      <c r="QPX120" s="199"/>
      <c r="QPY120" s="198"/>
      <c r="QPZ120" s="199"/>
      <c r="QQA120" s="198"/>
      <c r="QQB120" s="199"/>
      <c r="QQC120" s="198"/>
      <c r="QQD120" s="199"/>
      <c r="QQE120" s="198"/>
      <c r="QQF120" s="199"/>
      <c r="QQG120" s="198"/>
      <c r="QQH120" s="199"/>
      <c r="QQI120" s="198"/>
      <c r="QQJ120" s="199"/>
      <c r="QQK120" s="198"/>
      <c r="QQL120" s="199"/>
      <c r="QQM120" s="198"/>
      <c r="QQN120" s="199"/>
      <c r="QQO120" s="198"/>
      <c r="QQP120" s="199"/>
      <c r="QQQ120" s="198"/>
      <c r="QQR120" s="199"/>
      <c r="QQS120" s="198"/>
      <c r="QQT120" s="199"/>
      <c r="QQU120" s="198"/>
      <c r="QQV120" s="199"/>
      <c r="QQW120" s="198"/>
      <c r="QQX120" s="199"/>
      <c r="QQY120" s="198"/>
      <c r="QQZ120" s="199"/>
      <c r="QRA120" s="198"/>
      <c r="QRB120" s="199"/>
      <c r="QRC120" s="198"/>
      <c r="QRD120" s="199"/>
      <c r="QRE120" s="198"/>
      <c r="QRF120" s="199"/>
      <c r="QRG120" s="198"/>
      <c r="QRH120" s="199"/>
      <c r="QRI120" s="198"/>
      <c r="QRJ120" s="199"/>
      <c r="QRK120" s="198"/>
      <c r="QRL120" s="199"/>
      <c r="QRM120" s="198"/>
      <c r="QRN120" s="199"/>
      <c r="QRO120" s="198"/>
      <c r="QRP120" s="199"/>
      <c r="QRQ120" s="198"/>
      <c r="QRR120" s="199"/>
      <c r="QRS120" s="198"/>
      <c r="QRT120" s="199"/>
      <c r="QRU120" s="198"/>
      <c r="QRV120" s="199"/>
      <c r="QRW120" s="198"/>
      <c r="QRX120" s="199"/>
      <c r="QRY120" s="198"/>
      <c r="QRZ120" s="199"/>
      <c r="QSA120" s="198"/>
      <c r="QSB120" s="199"/>
      <c r="QSC120" s="198"/>
      <c r="QSD120" s="199"/>
      <c r="QSE120" s="198"/>
      <c r="QSF120" s="199"/>
      <c r="QSG120" s="198"/>
      <c r="QSH120" s="199"/>
      <c r="QSI120" s="198"/>
      <c r="QSJ120" s="199"/>
      <c r="QSK120" s="198"/>
      <c r="QSL120" s="199"/>
      <c r="QSM120" s="198"/>
      <c r="QSN120" s="199"/>
      <c r="QSO120" s="198"/>
      <c r="QSP120" s="199"/>
      <c r="QSQ120" s="198"/>
      <c r="QSR120" s="199"/>
      <c r="QSS120" s="198"/>
      <c r="QST120" s="199"/>
      <c r="QSU120" s="198"/>
      <c r="QSV120" s="199"/>
      <c r="QSW120" s="198"/>
      <c r="QSX120" s="199"/>
      <c r="QSY120" s="198"/>
      <c r="QSZ120" s="199"/>
      <c r="QTA120" s="198"/>
      <c r="QTB120" s="199"/>
      <c r="QTC120" s="198"/>
      <c r="QTD120" s="199"/>
      <c r="QTE120" s="198"/>
      <c r="QTF120" s="199"/>
      <c r="QTG120" s="198"/>
      <c r="QTH120" s="199"/>
      <c r="QTI120" s="198"/>
      <c r="QTJ120" s="199"/>
      <c r="QTK120" s="198"/>
      <c r="QTL120" s="199"/>
      <c r="QTM120" s="198"/>
      <c r="QTN120" s="199"/>
      <c r="QTO120" s="198"/>
      <c r="QTP120" s="199"/>
      <c r="QTQ120" s="198"/>
      <c r="QTR120" s="199"/>
      <c r="QTS120" s="198"/>
      <c r="QTT120" s="199"/>
      <c r="QTU120" s="198"/>
      <c r="QTV120" s="199"/>
      <c r="QTW120" s="198"/>
      <c r="QTX120" s="199"/>
      <c r="QTY120" s="198"/>
      <c r="QTZ120" s="199"/>
      <c r="QUA120" s="198"/>
      <c r="QUB120" s="199"/>
      <c r="QUC120" s="198"/>
      <c r="QUD120" s="199"/>
      <c r="QUE120" s="198"/>
      <c r="QUF120" s="199"/>
      <c r="QUG120" s="198"/>
      <c r="QUH120" s="199"/>
      <c r="QUI120" s="198"/>
      <c r="QUJ120" s="199"/>
      <c r="QUK120" s="198"/>
      <c r="QUL120" s="199"/>
      <c r="QUM120" s="198"/>
      <c r="QUN120" s="199"/>
      <c r="QUO120" s="198"/>
      <c r="QUP120" s="199"/>
      <c r="QUQ120" s="198"/>
      <c r="QUR120" s="199"/>
      <c r="QUS120" s="198"/>
      <c r="QUT120" s="199"/>
      <c r="QUU120" s="198"/>
      <c r="QUV120" s="199"/>
      <c r="QUW120" s="198"/>
      <c r="QUX120" s="199"/>
      <c r="QUY120" s="198"/>
      <c r="QUZ120" s="199"/>
      <c r="QVA120" s="198"/>
      <c r="QVB120" s="199"/>
      <c r="QVC120" s="198"/>
      <c r="QVD120" s="199"/>
      <c r="QVE120" s="198"/>
      <c r="QVF120" s="199"/>
      <c r="QVG120" s="198"/>
      <c r="QVH120" s="199"/>
      <c r="QVI120" s="198"/>
      <c r="QVJ120" s="199"/>
      <c r="QVK120" s="198"/>
      <c r="QVL120" s="199"/>
      <c r="QVM120" s="198"/>
      <c r="QVN120" s="199"/>
      <c r="QVO120" s="198"/>
      <c r="QVP120" s="199"/>
      <c r="QVQ120" s="198"/>
      <c r="QVR120" s="199"/>
      <c r="QVS120" s="198"/>
      <c r="QVT120" s="199"/>
      <c r="QVU120" s="198"/>
      <c r="QVV120" s="199"/>
      <c r="QVW120" s="198"/>
      <c r="QVX120" s="199"/>
      <c r="QVY120" s="198"/>
      <c r="QVZ120" s="199"/>
      <c r="QWA120" s="198"/>
      <c r="QWB120" s="199"/>
      <c r="QWC120" s="198"/>
      <c r="QWD120" s="199"/>
      <c r="QWE120" s="198"/>
      <c r="QWF120" s="199"/>
      <c r="QWG120" s="198"/>
      <c r="QWH120" s="199"/>
      <c r="QWI120" s="198"/>
      <c r="QWJ120" s="199"/>
      <c r="QWK120" s="198"/>
      <c r="QWL120" s="199"/>
      <c r="QWM120" s="198"/>
      <c r="QWN120" s="199"/>
      <c r="QWO120" s="198"/>
      <c r="QWP120" s="199"/>
      <c r="QWQ120" s="198"/>
      <c r="QWR120" s="199"/>
      <c r="QWS120" s="198"/>
      <c r="QWT120" s="199"/>
      <c r="QWU120" s="198"/>
      <c r="QWV120" s="199"/>
      <c r="QWW120" s="198"/>
      <c r="QWX120" s="199"/>
      <c r="QWY120" s="198"/>
      <c r="QWZ120" s="199"/>
      <c r="QXA120" s="198"/>
      <c r="QXB120" s="199"/>
      <c r="QXC120" s="198"/>
      <c r="QXD120" s="199"/>
      <c r="QXE120" s="198"/>
      <c r="QXF120" s="199"/>
      <c r="QXG120" s="198"/>
      <c r="QXH120" s="199"/>
      <c r="QXI120" s="198"/>
      <c r="QXJ120" s="199"/>
      <c r="QXK120" s="198"/>
      <c r="QXL120" s="199"/>
      <c r="QXM120" s="198"/>
      <c r="QXN120" s="199"/>
      <c r="QXO120" s="198"/>
      <c r="QXP120" s="199"/>
      <c r="QXQ120" s="198"/>
      <c r="QXR120" s="199"/>
      <c r="QXS120" s="198"/>
      <c r="QXT120" s="199"/>
      <c r="QXU120" s="198"/>
      <c r="QXV120" s="199"/>
      <c r="QXW120" s="198"/>
      <c r="QXX120" s="199"/>
      <c r="QXY120" s="198"/>
      <c r="QXZ120" s="199"/>
      <c r="QYA120" s="198"/>
      <c r="QYB120" s="199"/>
      <c r="QYC120" s="198"/>
      <c r="QYD120" s="199"/>
      <c r="QYE120" s="198"/>
      <c r="QYF120" s="199"/>
      <c r="QYG120" s="198"/>
      <c r="QYH120" s="199"/>
      <c r="QYI120" s="198"/>
      <c r="QYJ120" s="199"/>
      <c r="QYK120" s="198"/>
      <c r="QYL120" s="199"/>
      <c r="QYM120" s="198"/>
      <c r="QYN120" s="199"/>
      <c r="QYO120" s="198"/>
      <c r="QYP120" s="199"/>
      <c r="QYQ120" s="198"/>
      <c r="QYR120" s="199"/>
      <c r="QYS120" s="198"/>
      <c r="QYT120" s="199"/>
      <c r="QYU120" s="198"/>
      <c r="QYV120" s="199"/>
      <c r="QYW120" s="198"/>
      <c r="QYX120" s="199"/>
      <c r="QYY120" s="198"/>
      <c r="QYZ120" s="199"/>
      <c r="QZA120" s="198"/>
      <c r="QZB120" s="199"/>
      <c r="QZC120" s="198"/>
      <c r="QZD120" s="199"/>
      <c r="QZE120" s="198"/>
      <c r="QZF120" s="199"/>
      <c r="QZG120" s="198"/>
      <c r="QZH120" s="199"/>
      <c r="QZI120" s="198"/>
      <c r="QZJ120" s="199"/>
      <c r="QZK120" s="198"/>
      <c r="QZL120" s="199"/>
      <c r="QZM120" s="198"/>
      <c r="QZN120" s="199"/>
      <c r="QZO120" s="198"/>
      <c r="QZP120" s="199"/>
      <c r="QZQ120" s="198"/>
      <c r="QZR120" s="199"/>
      <c r="QZS120" s="198"/>
      <c r="QZT120" s="199"/>
      <c r="QZU120" s="198"/>
      <c r="QZV120" s="199"/>
      <c r="QZW120" s="198"/>
      <c r="QZX120" s="199"/>
      <c r="QZY120" s="198"/>
      <c r="QZZ120" s="199"/>
      <c r="RAA120" s="198"/>
      <c r="RAB120" s="199"/>
      <c r="RAC120" s="198"/>
      <c r="RAD120" s="199"/>
      <c r="RAE120" s="198"/>
      <c r="RAF120" s="199"/>
      <c r="RAG120" s="198"/>
      <c r="RAH120" s="199"/>
      <c r="RAI120" s="198"/>
      <c r="RAJ120" s="199"/>
      <c r="RAK120" s="198"/>
      <c r="RAL120" s="199"/>
      <c r="RAM120" s="198"/>
      <c r="RAN120" s="199"/>
      <c r="RAO120" s="198"/>
      <c r="RAP120" s="199"/>
      <c r="RAQ120" s="198"/>
      <c r="RAR120" s="199"/>
      <c r="RAS120" s="198"/>
      <c r="RAT120" s="199"/>
      <c r="RAU120" s="198"/>
      <c r="RAV120" s="199"/>
      <c r="RAW120" s="198"/>
      <c r="RAX120" s="199"/>
      <c r="RAY120" s="198"/>
      <c r="RAZ120" s="199"/>
      <c r="RBA120" s="198"/>
      <c r="RBB120" s="199"/>
      <c r="RBC120" s="198"/>
      <c r="RBD120" s="199"/>
      <c r="RBE120" s="198"/>
      <c r="RBF120" s="199"/>
      <c r="RBG120" s="198"/>
      <c r="RBH120" s="199"/>
      <c r="RBI120" s="198"/>
      <c r="RBJ120" s="199"/>
      <c r="RBK120" s="198"/>
      <c r="RBL120" s="199"/>
      <c r="RBM120" s="198"/>
      <c r="RBN120" s="199"/>
      <c r="RBO120" s="198"/>
      <c r="RBP120" s="199"/>
      <c r="RBQ120" s="198"/>
      <c r="RBR120" s="199"/>
      <c r="RBS120" s="198"/>
      <c r="RBT120" s="199"/>
      <c r="RBU120" s="198"/>
      <c r="RBV120" s="199"/>
      <c r="RBW120" s="198"/>
      <c r="RBX120" s="199"/>
      <c r="RBY120" s="198"/>
      <c r="RBZ120" s="199"/>
      <c r="RCA120" s="198"/>
      <c r="RCB120" s="199"/>
      <c r="RCC120" s="198"/>
      <c r="RCD120" s="199"/>
      <c r="RCE120" s="198"/>
      <c r="RCF120" s="199"/>
      <c r="RCG120" s="198"/>
      <c r="RCH120" s="199"/>
      <c r="RCI120" s="198"/>
      <c r="RCJ120" s="199"/>
      <c r="RCK120" s="198"/>
      <c r="RCL120" s="199"/>
      <c r="RCM120" s="198"/>
      <c r="RCN120" s="199"/>
      <c r="RCO120" s="198"/>
      <c r="RCP120" s="199"/>
      <c r="RCQ120" s="198"/>
      <c r="RCR120" s="199"/>
      <c r="RCS120" s="198"/>
      <c r="RCT120" s="199"/>
      <c r="RCU120" s="198"/>
      <c r="RCV120" s="199"/>
      <c r="RCW120" s="198"/>
      <c r="RCX120" s="199"/>
      <c r="RCY120" s="198"/>
      <c r="RCZ120" s="199"/>
      <c r="RDA120" s="198"/>
      <c r="RDB120" s="199"/>
      <c r="RDC120" s="198"/>
      <c r="RDD120" s="199"/>
      <c r="RDE120" s="198"/>
      <c r="RDF120" s="199"/>
      <c r="RDG120" s="198"/>
      <c r="RDH120" s="199"/>
      <c r="RDI120" s="198"/>
      <c r="RDJ120" s="199"/>
      <c r="RDK120" s="198"/>
      <c r="RDL120" s="199"/>
      <c r="RDM120" s="198"/>
      <c r="RDN120" s="199"/>
      <c r="RDO120" s="198"/>
      <c r="RDP120" s="199"/>
      <c r="RDQ120" s="198"/>
      <c r="RDR120" s="199"/>
      <c r="RDS120" s="198"/>
      <c r="RDT120" s="199"/>
      <c r="RDU120" s="198"/>
      <c r="RDV120" s="199"/>
      <c r="RDW120" s="198"/>
      <c r="RDX120" s="199"/>
      <c r="RDY120" s="198"/>
      <c r="RDZ120" s="199"/>
      <c r="REA120" s="198"/>
      <c r="REB120" s="199"/>
      <c r="REC120" s="198"/>
      <c r="RED120" s="199"/>
      <c r="REE120" s="198"/>
      <c r="REF120" s="199"/>
      <c r="REG120" s="198"/>
      <c r="REH120" s="199"/>
      <c r="REI120" s="198"/>
      <c r="REJ120" s="199"/>
      <c r="REK120" s="198"/>
      <c r="REL120" s="199"/>
      <c r="REM120" s="198"/>
      <c r="REN120" s="199"/>
      <c r="REO120" s="198"/>
      <c r="REP120" s="199"/>
      <c r="REQ120" s="198"/>
      <c r="RER120" s="199"/>
      <c r="RES120" s="198"/>
      <c r="RET120" s="199"/>
      <c r="REU120" s="198"/>
      <c r="REV120" s="199"/>
      <c r="REW120" s="198"/>
      <c r="REX120" s="199"/>
      <c r="REY120" s="198"/>
      <c r="REZ120" s="199"/>
      <c r="RFA120" s="198"/>
      <c r="RFB120" s="199"/>
      <c r="RFC120" s="198"/>
      <c r="RFD120" s="199"/>
      <c r="RFE120" s="198"/>
      <c r="RFF120" s="199"/>
      <c r="RFG120" s="198"/>
      <c r="RFH120" s="199"/>
      <c r="RFI120" s="198"/>
      <c r="RFJ120" s="199"/>
      <c r="RFK120" s="198"/>
      <c r="RFL120" s="199"/>
      <c r="RFM120" s="198"/>
      <c r="RFN120" s="199"/>
      <c r="RFO120" s="198"/>
      <c r="RFP120" s="199"/>
      <c r="RFQ120" s="198"/>
      <c r="RFR120" s="199"/>
      <c r="RFS120" s="198"/>
      <c r="RFT120" s="199"/>
      <c r="RFU120" s="198"/>
      <c r="RFV120" s="199"/>
      <c r="RFW120" s="198"/>
      <c r="RFX120" s="199"/>
      <c r="RFY120" s="198"/>
      <c r="RFZ120" s="199"/>
      <c r="RGA120" s="198"/>
      <c r="RGB120" s="199"/>
      <c r="RGC120" s="198"/>
      <c r="RGD120" s="199"/>
      <c r="RGE120" s="198"/>
      <c r="RGF120" s="199"/>
      <c r="RGG120" s="198"/>
      <c r="RGH120" s="199"/>
      <c r="RGI120" s="198"/>
      <c r="RGJ120" s="199"/>
      <c r="RGK120" s="198"/>
      <c r="RGL120" s="199"/>
      <c r="RGM120" s="198"/>
      <c r="RGN120" s="199"/>
      <c r="RGO120" s="198"/>
      <c r="RGP120" s="199"/>
      <c r="RGQ120" s="198"/>
      <c r="RGR120" s="199"/>
      <c r="RGS120" s="198"/>
      <c r="RGT120" s="199"/>
      <c r="RGU120" s="198"/>
      <c r="RGV120" s="199"/>
      <c r="RGW120" s="198"/>
      <c r="RGX120" s="199"/>
      <c r="RGY120" s="198"/>
      <c r="RGZ120" s="199"/>
      <c r="RHA120" s="198"/>
      <c r="RHB120" s="199"/>
      <c r="RHC120" s="198"/>
      <c r="RHD120" s="199"/>
      <c r="RHE120" s="198"/>
      <c r="RHF120" s="199"/>
      <c r="RHG120" s="198"/>
      <c r="RHH120" s="199"/>
      <c r="RHI120" s="198"/>
      <c r="RHJ120" s="199"/>
      <c r="RHK120" s="198"/>
      <c r="RHL120" s="199"/>
      <c r="RHM120" s="198"/>
      <c r="RHN120" s="199"/>
      <c r="RHO120" s="198"/>
      <c r="RHP120" s="199"/>
      <c r="RHQ120" s="198"/>
      <c r="RHR120" s="199"/>
      <c r="RHS120" s="198"/>
      <c r="RHT120" s="199"/>
      <c r="RHU120" s="198"/>
      <c r="RHV120" s="199"/>
      <c r="RHW120" s="198"/>
      <c r="RHX120" s="199"/>
      <c r="RHY120" s="198"/>
      <c r="RHZ120" s="199"/>
      <c r="RIA120" s="198"/>
      <c r="RIB120" s="199"/>
      <c r="RIC120" s="198"/>
      <c r="RID120" s="199"/>
      <c r="RIE120" s="198"/>
      <c r="RIF120" s="199"/>
      <c r="RIG120" s="198"/>
      <c r="RIH120" s="199"/>
      <c r="RII120" s="198"/>
      <c r="RIJ120" s="199"/>
      <c r="RIK120" s="198"/>
      <c r="RIL120" s="199"/>
      <c r="RIM120" s="198"/>
      <c r="RIN120" s="199"/>
      <c r="RIO120" s="198"/>
      <c r="RIP120" s="199"/>
      <c r="RIQ120" s="198"/>
      <c r="RIR120" s="199"/>
      <c r="RIS120" s="198"/>
      <c r="RIT120" s="199"/>
      <c r="RIU120" s="198"/>
      <c r="RIV120" s="199"/>
      <c r="RIW120" s="198"/>
      <c r="RIX120" s="199"/>
      <c r="RIY120" s="198"/>
      <c r="RIZ120" s="199"/>
      <c r="RJA120" s="198"/>
      <c r="RJB120" s="199"/>
      <c r="RJC120" s="198"/>
      <c r="RJD120" s="199"/>
      <c r="RJE120" s="198"/>
      <c r="RJF120" s="199"/>
      <c r="RJG120" s="198"/>
      <c r="RJH120" s="199"/>
      <c r="RJI120" s="198"/>
      <c r="RJJ120" s="199"/>
      <c r="RJK120" s="198"/>
      <c r="RJL120" s="199"/>
      <c r="RJM120" s="198"/>
      <c r="RJN120" s="199"/>
      <c r="RJO120" s="198"/>
      <c r="RJP120" s="199"/>
      <c r="RJQ120" s="198"/>
      <c r="RJR120" s="199"/>
      <c r="RJS120" s="198"/>
      <c r="RJT120" s="199"/>
      <c r="RJU120" s="198"/>
      <c r="RJV120" s="199"/>
      <c r="RJW120" s="198"/>
      <c r="RJX120" s="199"/>
      <c r="RJY120" s="198"/>
      <c r="RJZ120" s="199"/>
      <c r="RKA120" s="198"/>
      <c r="RKB120" s="199"/>
      <c r="RKC120" s="198"/>
      <c r="RKD120" s="199"/>
      <c r="RKE120" s="198"/>
      <c r="RKF120" s="199"/>
      <c r="RKG120" s="198"/>
      <c r="RKH120" s="199"/>
      <c r="RKI120" s="198"/>
      <c r="RKJ120" s="199"/>
      <c r="RKK120" s="198"/>
      <c r="RKL120" s="199"/>
      <c r="RKM120" s="198"/>
      <c r="RKN120" s="199"/>
      <c r="RKO120" s="198"/>
      <c r="RKP120" s="199"/>
      <c r="RKQ120" s="198"/>
      <c r="RKR120" s="199"/>
      <c r="RKS120" s="198"/>
      <c r="RKT120" s="199"/>
      <c r="RKU120" s="198"/>
      <c r="RKV120" s="199"/>
      <c r="RKW120" s="198"/>
      <c r="RKX120" s="199"/>
      <c r="RKY120" s="198"/>
      <c r="RKZ120" s="199"/>
      <c r="RLA120" s="198"/>
      <c r="RLB120" s="199"/>
      <c r="RLC120" s="198"/>
      <c r="RLD120" s="199"/>
      <c r="RLE120" s="198"/>
      <c r="RLF120" s="199"/>
      <c r="RLG120" s="198"/>
      <c r="RLH120" s="199"/>
      <c r="RLI120" s="198"/>
      <c r="RLJ120" s="199"/>
      <c r="RLK120" s="198"/>
      <c r="RLL120" s="199"/>
      <c r="RLM120" s="198"/>
      <c r="RLN120" s="199"/>
      <c r="RLO120" s="198"/>
      <c r="RLP120" s="199"/>
      <c r="RLQ120" s="198"/>
      <c r="RLR120" s="199"/>
      <c r="RLS120" s="198"/>
      <c r="RLT120" s="199"/>
      <c r="RLU120" s="198"/>
      <c r="RLV120" s="199"/>
      <c r="RLW120" s="198"/>
      <c r="RLX120" s="199"/>
      <c r="RLY120" s="198"/>
      <c r="RLZ120" s="199"/>
      <c r="RMA120" s="198"/>
      <c r="RMB120" s="199"/>
      <c r="RMC120" s="198"/>
      <c r="RMD120" s="199"/>
      <c r="RME120" s="198"/>
      <c r="RMF120" s="199"/>
      <c r="RMG120" s="198"/>
      <c r="RMH120" s="199"/>
      <c r="RMI120" s="198"/>
      <c r="RMJ120" s="199"/>
      <c r="RMK120" s="198"/>
      <c r="RML120" s="199"/>
      <c r="RMM120" s="198"/>
      <c r="RMN120" s="199"/>
      <c r="RMO120" s="198"/>
      <c r="RMP120" s="199"/>
      <c r="RMQ120" s="198"/>
      <c r="RMR120" s="199"/>
      <c r="RMS120" s="198"/>
      <c r="RMT120" s="199"/>
      <c r="RMU120" s="198"/>
      <c r="RMV120" s="199"/>
      <c r="RMW120" s="198"/>
      <c r="RMX120" s="199"/>
      <c r="RMY120" s="198"/>
      <c r="RMZ120" s="199"/>
      <c r="RNA120" s="198"/>
      <c r="RNB120" s="199"/>
      <c r="RNC120" s="198"/>
      <c r="RND120" s="199"/>
      <c r="RNE120" s="198"/>
      <c r="RNF120" s="199"/>
      <c r="RNG120" s="198"/>
      <c r="RNH120" s="199"/>
      <c r="RNI120" s="198"/>
      <c r="RNJ120" s="199"/>
      <c r="RNK120" s="198"/>
      <c r="RNL120" s="199"/>
      <c r="RNM120" s="198"/>
      <c r="RNN120" s="199"/>
      <c r="RNO120" s="198"/>
      <c r="RNP120" s="199"/>
      <c r="RNQ120" s="198"/>
      <c r="RNR120" s="199"/>
      <c r="RNS120" s="198"/>
      <c r="RNT120" s="199"/>
      <c r="RNU120" s="198"/>
      <c r="RNV120" s="199"/>
      <c r="RNW120" s="198"/>
      <c r="RNX120" s="199"/>
      <c r="RNY120" s="198"/>
      <c r="RNZ120" s="199"/>
      <c r="ROA120" s="198"/>
      <c r="ROB120" s="199"/>
      <c r="ROC120" s="198"/>
      <c r="ROD120" s="199"/>
      <c r="ROE120" s="198"/>
      <c r="ROF120" s="199"/>
      <c r="ROG120" s="198"/>
      <c r="ROH120" s="199"/>
      <c r="ROI120" s="198"/>
      <c r="ROJ120" s="199"/>
      <c r="ROK120" s="198"/>
      <c r="ROL120" s="199"/>
      <c r="ROM120" s="198"/>
      <c r="RON120" s="199"/>
      <c r="ROO120" s="198"/>
      <c r="ROP120" s="199"/>
      <c r="ROQ120" s="198"/>
      <c r="ROR120" s="199"/>
      <c r="ROS120" s="198"/>
      <c r="ROT120" s="199"/>
      <c r="ROU120" s="198"/>
      <c r="ROV120" s="199"/>
      <c r="ROW120" s="198"/>
      <c r="ROX120" s="199"/>
      <c r="ROY120" s="198"/>
      <c r="ROZ120" s="199"/>
      <c r="RPA120" s="198"/>
      <c r="RPB120" s="199"/>
      <c r="RPC120" s="198"/>
      <c r="RPD120" s="199"/>
      <c r="RPE120" s="198"/>
      <c r="RPF120" s="199"/>
      <c r="RPG120" s="198"/>
      <c r="RPH120" s="199"/>
      <c r="RPI120" s="198"/>
      <c r="RPJ120" s="199"/>
      <c r="RPK120" s="198"/>
      <c r="RPL120" s="199"/>
      <c r="RPM120" s="198"/>
      <c r="RPN120" s="199"/>
      <c r="RPO120" s="198"/>
      <c r="RPP120" s="199"/>
      <c r="RPQ120" s="198"/>
      <c r="RPR120" s="199"/>
      <c r="RPS120" s="198"/>
      <c r="RPT120" s="199"/>
      <c r="RPU120" s="198"/>
      <c r="RPV120" s="199"/>
      <c r="RPW120" s="198"/>
      <c r="RPX120" s="199"/>
      <c r="RPY120" s="198"/>
      <c r="RPZ120" s="199"/>
      <c r="RQA120" s="198"/>
      <c r="RQB120" s="199"/>
      <c r="RQC120" s="198"/>
      <c r="RQD120" s="199"/>
      <c r="RQE120" s="198"/>
      <c r="RQF120" s="199"/>
      <c r="RQG120" s="198"/>
      <c r="RQH120" s="199"/>
      <c r="RQI120" s="198"/>
      <c r="RQJ120" s="199"/>
      <c r="RQK120" s="198"/>
      <c r="RQL120" s="199"/>
      <c r="RQM120" s="198"/>
      <c r="RQN120" s="199"/>
      <c r="RQO120" s="198"/>
      <c r="RQP120" s="199"/>
      <c r="RQQ120" s="198"/>
      <c r="RQR120" s="199"/>
      <c r="RQS120" s="198"/>
      <c r="RQT120" s="199"/>
      <c r="RQU120" s="198"/>
      <c r="RQV120" s="199"/>
      <c r="RQW120" s="198"/>
      <c r="RQX120" s="199"/>
      <c r="RQY120" s="198"/>
      <c r="RQZ120" s="199"/>
      <c r="RRA120" s="198"/>
      <c r="RRB120" s="199"/>
      <c r="RRC120" s="198"/>
      <c r="RRD120" s="199"/>
      <c r="RRE120" s="198"/>
      <c r="RRF120" s="199"/>
      <c r="RRG120" s="198"/>
      <c r="RRH120" s="199"/>
      <c r="RRI120" s="198"/>
      <c r="RRJ120" s="199"/>
      <c r="RRK120" s="198"/>
      <c r="RRL120" s="199"/>
      <c r="RRM120" s="198"/>
      <c r="RRN120" s="199"/>
      <c r="RRO120" s="198"/>
      <c r="RRP120" s="199"/>
      <c r="RRQ120" s="198"/>
      <c r="RRR120" s="199"/>
      <c r="RRS120" s="198"/>
      <c r="RRT120" s="199"/>
      <c r="RRU120" s="198"/>
      <c r="RRV120" s="199"/>
      <c r="RRW120" s="198"/>
      <c r="RRX120" s="199"/>
      <c r="RRY120" s="198"/>
      <c r="RRZ120" s="199"/>
      <c r="RSA120" s="198"/>
      <c r="RSB120" s="199"/>
      <c r="RSC120" s="198"/>
      <c r="RSD120" s="199"/>
      <c r="RSE120" s="198"/>
      <c r="RSF120" s="199"/>
      <c r="RSG120" s="198"/>
      <c r="RSH120" s="199"/>
      <c r="RSI120" s="198"/>
      <c r="RSJ120" s="199"/>
      <c r="RSK120" s="198"/>
      <c r="RSL120" s="199"/>
      <c r="RSM120" s="198"/>
      <c r="RSN120" s="199"/>
      <c r="RSO120" s="198"/>
      <c r="RSP120" s="199"/>
      <c r="RSQ120" s="198"/>
      <c r="RSR120" s="199"/>
      <c r="RSS120" s="198"/>
      <c r="RST120" s="199"/>
      <c r="RSU120" s="198"/>
      <c r="RSV120" s="199"/>
      <c r="RSW120" s="198"/>
      <c r="RSX120" s="199"/>
      <c r="RSY120" s="198"/>
      <c r="RSZ120" s="199"/>
      <c r="RTA120" s="198"/>
      <c r="RTB120" s="199"/>
      <c r="RTC120" s="198"/>
      <c r="RTD120" s="199"/>
      <c r="RTE120" s="198"/>
      <c r="RTF120" s="199"/>
      <c r="RTG120" s="198"/>
      <c r="RTH120" s="199"/>
      <c r="RTI120" s="198"/>
      <c r="RTJ120" s="199"/>
      <c r="RTK120" s="198"/>
      <c r="RTL120" s="199"/>
      <c r="RTM120" s="198"/>
      <c r="RTN120" s="199"/>
      <c r="RTO120" s="198"/>
      <c r="RTP120" s="199"/>
      <c r="RTQ120" s="198"/>
      <c r="RTR120" s="199"/>
      <c r="RTS120" s="198"/>
      <c r="RTT120" s="199"/>
      <c r="RTU120" s="198"/>
      <c r="RTV120" s="199"/>
      <c r="RTW120" s="198"/>
      <c r="RTX120" s="199"/>
      <c r="RTY120" s="198"/>
      <c r="RTZ120" s="199"/>
      <c r="RUA120" s="198"/>
      <c r="RUB120" s="199"/>
      <c r="RUC120" s="198"/>
      <c r="RUD120" s="199"/>
      <c r="RUE120" s="198"/>
      <c r="RUF120" s="199"/>
      <c r="RUG120" s="198"/>
      <c r="RUH120" s="199"/>
      <c r="RUI120" s="198"/>
      <c r="RUJ120" s="199"/>
      <c r="RUK120" s="198"/>
      <c r="RUL120" s="199"/>
      <c r="RUM120" s="198"/>
      <c r="RUN120" s="199"/>
      <c r="RUO120" s="198"/>
      <c r="RUP120" s="199"/>
      <c r="RUQ120" s="198"/>
      <c r="RUR120" s="199"/>
      <c r="RUS120" s="198"/>
      <c r="RUT120" s="199"/>
      <c r="RUU120" s="198"/>
      <c r="RUV120" s="199"/>
      <c r="RUW120" s="198"/>
      <c r="RUX120" s="199"/>
      <c r="RUY120" s="198"/>
      <c r="RUZ120" s="199"/>
      <c r="RVA120" s="198"/>
      <c r="RVB120" s="199"/>
      <c r="RVC120" s="198"/>
      <c r="RVD120" s="199"/>
      <c r="RVE120" s="198"/>
      <c r="RVF120" s="199"/>
      <c r="RVG120" s="198"/>
      <c r="RVH120" s="199"/>
      <c r="RVI120" s="198"/>
      <c r="RVJ120" s="199"/>
      <c r="RVK120" s="198"/>
      <c r="RVL120" s="199"/>
      <c r="RVM120" s="198"/>
      <c r="RVN120" s="199"/>
      <c r="RVO120" s="198"/>
      <c r="RVP120" s="199"/>
      <c r="RVQ120" s="198"/>
      <c r="RVR120" s="199"/>
      <c r="RVS120" s="198"/>
      <c r="RVT120" s="199"/>
      <c r="RVU120" s="198"/>
      <c r="RVV120" s="199"/>
      <c r="RVW120" s="198"/>
      <c r="RVX120" s="199"/>
      <c r="RVY120" s="198"/>
      <c r="RVZ120" s="199"/>
      <c r="RWA120" s="198"/>
      <c r="RWB120" s="199"/>
      <c r="RWC120" s="198"/>
      <c r="RWD120" s="199"/>
      <c r="RWE120" s="198"/>
      <c r="RWF120" s="199"/>
      <c r="RWG120" s="198"/>
      <c r="RWH120" s="199"/>
      <c r="RWI120" s="198"/>
      <c r="RWJ120" s="199"/>
      <c r="RWK120" s="198"/>
      <c r="RWL120" s="199"/>
      <c r="RWM120" s="198"/>
      <c r="RWN120" s="199"/>
      <c r="RWO120" s="198"/>
      <c r="RWP120" s="199"/>
      <c r="RWQ120" s="198"/>
      <c r="RWR120" s="199"/>
      <c r="RWS120" s="198"/>
      <c r="RWT120" s="199"/>
      <c r="RWU120" s="198"/>
      <c r="RWV120" s="199"/>
      <c r="RWW120" s="198"/>
      <c r="RWX120" s="199"/>
      <c r="RWY120" s="198"/>
      <c r="RWZ120" s="199"/>
      <c r="RXA120" s="198"/>
      <c r="RXB120" s="199"/>
      <c r="RXC120" s="198"/>
      <c r="RXD120" s="199"/>
      <c r="RXE120" s="198"/>
      <c r="RXF120" s="199"/>
      <c r="RXG120" s="198"/>
      <c r="RXH120" s="199"/>
      <c r="RXI120" s="198"/>
      <c r="RXJ120" s="199"/>
      <c r="RXK120" s="198"/>
      <c r="RXL120" s="199"/>
      <c r="RXM120" s="198"/>
      <c r="RXN120" s="199"/>
      <c r="RXO120" s="198"/>
      <c r="RXP120" s="199"/>
      <c r="RXQ120" s="198"/>
      <c r="RXR120" s="199"/>
      <c r="RXS120" s="198"/>
      <c r="RXT120" s="199"/>
      <c r="RXU120" s="198"/>
      <c r="RXV120" s="199"/>
      <c r="RXW120" s="198"/>
      <c r="RXX120" s="199"/>
      <c r="RXY120" s="198"/>
      <c r="RXZ120" s="199"/>
      <c r="RYA120" s="198"/>
      <c r="RYB120" s="199"/>
      <c r="RYC120" s="198"/>
      <c r="RYD120" s="199"/>
      <c r="RYE120" s="198"/>
      <c r="RYF120" s="199"/>
      <c r="RYG120" s="198"/>
      <c r="RYH120" s="199"/>
      <c r="RYI120" s="198"/>
      <c r="RYJ120" s="199"/>
      <c r="RYK120" s="198"/>
      <c r="RYL120" s="199"/>
      <c r="RYM120" s="198"/>
      <c r="RYN120" s="199"/>
      <c r="RYO120" s="198"/>
      <c r="RYP120" s="199"/>
      <c r="RYQ120" s="198"/>
      <c r="RYR120" s="199"/>
      <c r="RYS120" s="198"/>
      <c r="RYT120" s="199"/>
      <c r="RYU120" s="198"/>
      <c r="RYV120" s="199"/>
      <c r="RYW120" s="198"/>
      <c r="RYX120" s="199"/>
      <c r="RYY120" s="198"/>
      <c r="RYZ120" s="199"/>
      <c r="RZA120" s="198"/>
      <c r="RZB120" s="199"/>
      <c r="RZC120" s="198"/>
      <c r="RZD120" s="199"/>
      <c r="RZE120" s="198"/>
      <c r="RZF120" s="199"/>
      <c r="RZG120" s="198"/>
      <c r="RZH120" s="199"/>
      <c r="RZI120" s="198"/>
      <c r="RZJ120" s="199"/>
      <c r="RZK120" s="198"/>
      <c r="RZL120" s="199"/>
      <c r="RZM120" s="198"/>
      <c r="RZN120" s="199"/>
      <c r="RZO120" s="198"/>
      <c r="RZP120" s="199"/>
      <c r="RZQ120" s="198"/>
      <c r="RZR120" s="199"/>
      <c r="RZS120" s="198"/>
      <c r="RZT120" s="199"/>
      <c r="RZU120" s="198"/>
      <c r="RZV120" s="199"/>
      <c r="RZW120" s="198"/>
      <c r="RZX120" s="199"/>
      <c r="RZY120" s="198"/>
      <c r="RZZ120" s="199"/>
      <c r="SAA120" s="198"/>
      <c r="SAB120" s="199"/>
      <c r="SAC120" s="198"/>
      <c r="SAD120" s="199"/>
      <c r="SAE120" s="198"/>
      <c r="SAF120" s="199"/>
      <c r="SAG120" s="198"/>
      <c r="SAH120" s="199"/>
      <c r="SAI120" s="198"/>
      <c r="SAJ120" s="199"/>
      <c r="SAK120" s="198"/>
      <c r="SAL120" s="199"/>
      <c r="SAM120" s="198"/>
      <c r="SAN120" s="199"/>
      <c r="SAO120" s="198"/>
      <c r="SAP120" s="199"/>
      <c r="SAQ120" s="198"/>
      <c r="SAR120" s="199"/>
      <c r="SAS120" s="198"/>
      <c r="SAT120" s="199"/>
      <c r="SAU120" s="198"/>
      <c r="SAV120" s="199"/>
      <c r="SAW120" s="198"/>
      <c r="SAX120" s="199"/>
      <c r="SAY120" s="198"/>
      <c r="SAZ120" s="199"/>
      <c r="SBA120" s="198"/>
      <c r="SBB120" s="199"/>
      <c r="SBC120" s="198"/>
      <c r="SBD120" s="199"/>
      <c r="SBE120" s="198"/>
      <c r="SBF120" s="199"/>
      <c r="SBG120" s="198"/>
      <c r="SBH120" s="199"/>
      <c r="SBI120" s="198"/>
      <c r="SBJ120" s="199"/>
      <c r="SBK120" s="198"/>
      <c r="SBL120" s="199"/>
      <c r="SBM120" s="198"/>
      <c r="SBN120" s="199"/>
      <c r="SBO120" s="198"/>
      <c r="SBP120" s="199"/>
      <c r="SBQ120" s="198"/>
      <c r="SBR120" s="199"/>
      <c r="SBS120" s="198"/>
      <c r="SBT120" s="199"/>
      <c r="SBU120" s="198"/>
      <c r="SBV120" s="199"/>
      <c r="SBW120" s="198"/>
      <c r="SBX120" s="199"/>
      <c r="SBY120" s="198"/>
      <c r="SBZ120" s="199"/>
      <c r="SCA120" s="198"/>
      <c r="SCB120" s="199"/>
      <c r="SCC120" s="198"/>
      <c r="SCD120" s="199"/>
      <c r="SCE120" s="198"/>
      <c r="SCF120" s="199"/>
      <c r="SCG120" s="198"/>
      <c r="SCH120" s="199"/>
      <c r="SCI120" s="198"/>
      <c r="SCJ120" s="199"/>
      <c r="SCK120" s="198"/>
      <c r="SCL120" s="199"/>
      <c r="SCM120" s="198"/>
      <c r="SCN120" s="199"/>
      <c r="SCO120" s="198"/>
      <c r="SCP120" s="199"/>
      <c r="SCQ120" s="198"/>
      <c r="SCR120" s="199"/>
      <c r="SCS120" s="198"/>
      <c r="SCT120" s="199"/>
      <c r="SCU120" s="198"/>
      <c r="SCV120" s="199"/>
      <c r="SCW120" s="198"/>
      <c r="SCX120" s="199"/>
      <c r="SCY120" s="198"/>
      <c r="SCZ120" s="199"/>
      <c r="SDA120" s="198"/>
      <c r="SDB120" s="199"/>
      <c r="SDC120" s="198"/>
      <c r="SDD120" s="199"/>
      <c r="SDE120" s="198"/>
      <c r="SDF120" s="199"/>
      <c r="SDG120" s="198"/>
      <c r="SDH120" s="199"/>
      <c r="SDI120" s="198"/>
      <c r="SDJ120" s="199"/>
      <c r="SDK120" s="198"/>
      <c r="SDL120" s="199"/>
      <c r="SDM120" s="198"/>
      <c r="SDN120" s="199"/>
      <c r="SDO120" s="198"/>
      <c r="SDP120" s="199"/>
      <c r="SDQ120" s="198"/>
      <c r="SDR120" s="199"/>
      <c r="SDS120" s="198"/>
      <c r="SDT120" s="199"/>
      <c r="SDU120" s="198"/>
      <c r="SDV120" s="199"/>
      <c r="SDW120" s="198"/>
      <c r="SDX120" s="199"/>
      <c r="SDY120" s="198"/>
      <c r="SDZ120" s="199"/>
      <c r="SEA120" s="198"/>
      <c r="SEB120" s="199"/>
      <c r="SEC120" s="198"/>
      <c r="SED120" s="199"/>
      <c r="SEE120" s="198"/>
      <c r="SEF120" s="199"/>
      <c r="SEG120" s="198"/>
      <c r="SEH120" s="199"/>
      <c r="SEI120" s="198"/>
      <c r="SEJ120" s="199"/>
      <c r="SEK120" s="198"/>
      <c r="SEL120" s="199"/>
      <c r="SEM120" s="198"/>
      <c r="SEN120" s="199"/>
      <c r="SEO120" s="198"/>
      <c r="SEP120" s="199"/>
      <c r="SEQ120" s="198"/>
      <c r="SER120" s="199"/>
      <c r="SES120" s="198"/>
      <c r="SET120" s="199"/>
      <c r="SEU120" s="198"/>
      <c r="SEV120" s="199"/>
      <c r="SEW120" s="198"/>
      <c r="SEX120" s="199"/>
      <c r="SEY120" s="198"/>
      <c r="SEZ120" s="199"/>
      <c r="SFA120" s="198"/>
      <c r="SFB120" s="199"/>
      <c r="SFC120" s="198"/>
      <c r="SFD120" s="199"/>
      <c r="SFE120" s="198"/>
      <c r="SFF120" s="199"/>
      <c r="SFG120" s="198"/>
      <c r="SFH120" s="199"/>
      <c r="SFI120" s="198"/>
      <c r="SFJ120" s="199"/>
      <c r="SFK120" s="198"/>
      <c r="SFL120" s="199"/>
      <c r="SFM120" s="198"/>
      <c r="SFN120" s="199"/>
      <c r="SFO120" s="198"/>
      <c r="SFP120" s="199"/>
      <c r="SFQ120" s="198"/>
      <c r="SFR120" s="199"/>
      <c r="SFS120" s="198"/>
      <c r="SFT120" s="199"/>
      <c r="SFU120" s="198"/>
      <c r="SFV120" s="199"/>
      <c r="SFW120" s="198"/>
      <c r="SFX120" s="199"/>
      <c r="SFY120" s="198"/>
      <c r="SFZ120" s="199"/>
      <c r="SGA120" s="198"/>
      <c r="SGB120" s="199"/>
      <c r="SGC120" s="198"/>
      <c r="SGD120" s="199"/>
      <c r="SGE120" s="198"/>
      <c r="SGF120" s="199"/>
      <c r="SGG120" s="198"/>
      <c r="SGH120" s="199"/>
      <c r="SGI120" s="198"/>
      <c r="SGJ120" s="199"/>
      <c r="SGK120" s="198"/>
      <c r="SGL120" s="199"/>
      <c r="SGM120" s="198"/>
      <c r="SGN120" s="199"/>
      <c r="SGO120" s="198"/>
      <c r="SGP120" s="199"/>
      <c r="SGQ120" s="198"/>
      <c r="SGR120" s="199"/>
      <c r="SGS120" s="198"/>
      <c r="SGT120" s="199"/>
      <c r="SGU120" s="198"/>
      <c r="SGV120" s="199"/>
      <c r="SGW120" s="198"/>
      <c r="SGX120" s="199"/>
      <c r="SGY120" s="198"/>
      <c r="SGZ120" s="199"/>
      <c r="SHA120" s="198"/>
      <c r="SHB120" s="199"/>
      <c r="SHC120" s="198"/>
      <c r="SHD120" s="199"/>
      <c r="SHE120" s="198"/>
      <c r="SHF120" s="199"/>
      <c r="SHG120" s="198"/>
      <c r="SHH120" s="199"/>
      <c r="SHI120" s="198"/>
      <c r="SHJ120" s="199"/>
      <c r="SHK120" s="198"/>
      <c r="SHL120" s="199"/>
      <c r="SHM120" s="198"/>
      <c r="SHN120" s="199"/>
      <c r="SHO120" s="198"/>
      <c r="SHP120" s="199"/>
      <c r="SHQ120" s="198"/>
      <c r="SHR120" s="199"/>
      <c r="SHS120" s="198"/>
      <c r="SHT120" s="199"/>
      <c r="SHU120" s="198"/>
      <c r="SHV120" s="199"/>
      <c r="SHW120" s="198"/>
      <c r="SHX120" s="199"/>
      <c r="SHY120" s="198"/>
      <c r="SHZ120" s="199"/>
      <c r="SIA120" s="198"/>
      <c r="SIB120" s="199"/>
      <c r="SIC120" s="198"/>
      <c r="SID120" s="199"/>
      <c r="SIE120" s="198"/>
      <c r="SIF120" s="199"/>
      <c r="SIG120" s="198"/>
      <c r="SIH120" s="199"/>
      <c r="SII120" s="198"/>
      <c r="SIJ120" s="199"/>
      <c r="SIK120" s="198"/>
      <c r="SIL120" s="199"/>
      <c r="SIM120" s="198"/>
      <c r="SIN120" s="199"/>
      <c r="SIO120" s="198"/>
      <c r="SIP120" s="199"/>
      <c r="SIQ120" s="198"/>
      <c r="SIR120" s="199"/>
      <c r="SIS120" s="198"/>
      <c r="SIT120" s="199"/>
      <c r="SIU120" s="198"/>
      <c r="SIV120" s="199"/>
      <c r="SIW120" s="198"/>
      <c r="SIX120" s="199"/>
      <c r="SIY120" s="198"/>
      <c r="SIZ120" s="199"/>
      <c r="SJA120" s="198"/>
      <c r="SJB120" s="199"/>
      <c r="SJC120" s="198"/>
      <c r="SJD120" s="199"/>
      <c r="SJE120" s="198"/>
      <c r="SJF120" s="199"/>
      <c r="SJG120" s="198"/>
      <c r="SJH120" s="199"/>
      <c r="SJI120" s="198"/>
      <c r="SJJ120" s="199"/>
      <c r="SJK120" s="198"/>
      <c r="SJL120" s="199"/>
      <c r="SJM120" s="198"/>
      <c r="SJN120" s="199"/>
      <c r="SJO120" s="198"/>
      <c r="SJP120" s="199"/>
      <c r="SJQ120" s="198"/>
      <c r="SJR120" s="199"/>
      <c r="SJS120" s="198"/>
      <c r="SJT120" s="199"/>
      <c r="SJU120" s="198"/>
      <c r="SJV120" s="199"/>
      <c r="SJW120" s="198"/>
      <c r="SJX120" s="199"/>
      <c r="SJY120" s="198"/>
      <c r="SJZ120" s="199"/>
      <c r="SKA120" s="198"/>
      <c r="SKB120" s="199"/>
      <c r="SKC120" s="198"/>
      <c r="SKD120" s="199"/>
      <c r="SKE120" s="198"/>
      <c r="SKF120" s="199"/>
      <c r="SKG120" s="198"/>
      <c r="SKH120" s="199"/>
      <c r="SKI120" s="198"/>
      <c r="SKJ120" s="199"/>
      <c r="SKK120" s="198"/>
      <c r="SKL120" s="199"/>
      <c r="SKM120" s="198"/>
      <c r="SKN120" s="199"/>
      <c r="SKO120" s="198"/>
      <c r="SKP120" s="199"/>
      <c r="SKQ120" s="198"/>
      <c r="SKR120" s="199"/>
      <c r="SKS120" s="198"/>
      <c r="SKT120" s="199"/>
      <c r="SKU120" s="198"/>
      <c r="SKV120" s="199"/>
      <c r="SKW120" s="198"/>
      <c r="SKX120" s="199"/>
      <c r="SKY120" s="198"/>
      <c r="SKZ120" s="199"/>
      <c r="SLA120" s="198"/>
      <c r="SLB120" s="199"/>
      <c r="SLC120" s="198"/>
      <c r="SLD120" s="199"/>
      <c r="SLE120" s="198"/>
      <c r="SLF120" s="199"/>
      <c r="SLG120" s="198"/>
      <c r="SLH120" s="199"/>
      <c r="SLI120" s="198"/>
      <c r="SLJ120" s="199"/>
      <c r="SLK120" s="198"/>
      <c r="SLL120" s="199"/>
      <c r="SLM120" s="198"/>
      <c r="SLN120" s="199"/>
      <c r="SLO120" s="198"/>
      <c r="SLP120" s="199"/>
      <c r="SLQ120" s="198"/>
      <c r="SLR120" s="199"/>
      <c r="SLS120" s="198"/>
      <c r="SLT120" s="199"/>
      <c r="SLU120" s="198"/>
      <c r="SLV120" s="199"/>
      <c r="SLW120" s="198"/>
      <c r="SLX120" s="199"/>
      <c r="SLY120" s="198"/>
      <c r="SLZ120" s="199"/>
      <c r="SMA120" s="198"/>
      <c r="SMB120" s="199"/>
      <c r="SMC120" s="198"/>
      <c r="SMD120" s="199"/>
      <c r="SME120" s="198"/>
      <c r="SMF120" s="199"/>
      <c r="SMG120" s="198"/>
      <c r="SMH120" s="199"/>
      <c r="SMI120" s="198"/>
      <c r="SMJ120" s="199"/>
      <c r="SMK120" s="198"/>
      <c r="SML120" s="199"/>
      <c r="SMM120" s="198"/>
      <c r="SMN120" s="199"/>
      <c r="SMO120" s="198"/>
      <c r="SMP120" s="199"/>
      <c r="SMQ120" s="198"/>
      <c r="SMR120" s="199"/>
      <c r="SMS120" s="198"/>
      <c r="SMT120" s="199"/>
      <c r="SMU120" s="198"/>
      <c r="SMV120" s="199"/>
      <c r="SMW120" s="198"/>
      <c r="SMX120" s="199"/>
      <c r="SMY120" s="198"/>
      <c r="SMZ120" s="199"/>
      <c r="SNA120" s="198"/>
      <c r="SNB120" s="199"/>
      <c r="SNC120" s="198"/>
      <c r="SND120" s="199"/>
      <c r="SNE120" s="198"/>
      <c r="SNF120" s="199"/>
      <c r="SNG120" s="198"/>
      <c r="SNH120" s="199"/>
      <c r="SNI120" s="198"/>
      <c r="SNJ120" s="199"/>
      <c r="SNK120" s="198"/>
      <c r="SNL120" s="199"/>
      <c r="SNM120" s="198"/>
      <c r="SNN120" s="199"/>
      <c r="SNO120" s="198"/>
      <c r="SNP120" s="199"/>
      <c r="SNQ120" s="198"/>
      <c r="SNR120" s="199"/>
      <c r="SNS120" s="198"/>
      <c r="SNT120" s="199"/>
      <c r="SNU120" s="198"/>
      <c r="SNV120" s="199"/>
      <c r="SNW120" s="198"/>
      <c r="SNX120" s="199"/>
      <c r="SNY120" s="198"/>
      <c r="SNZ120" s="199"/>
      <c r="SOA120" s="198"/>
      <c r="SOB120" s="199"/>
      <c r="SOC120" s="198"/>
      <c r="SOD120" s="199"/>
      <c r="SOE120" s="198"/>
      <c r="SOF120" s="199"/>
      <c r="SOG120" s="198"/>
      <c r="SOH120" s="199"/>
      <c r="SOI120" s="198"/>
      <c r="SOJ120" s="199"/>
      <c r="SOK120" s="198"/>
      <c r="SOL120" s="199"/>
      <c r="SOM120" s="198"/>
      <c r="SON120" s="199"/>
      <c r="SOO120" s="198"/>
      <c r="SOP120" s="199"/>
      <c r="SOQ120" s="198"/>
      <c r="SOR120" s="199"/>
      <c r="SOS120" s="198"/>
      <c r="SOT120" s="199"/>
      <c r="SOU120" s="198"/>
      <c r="SOV120" s="199"/>
      <c r="SOW120" s="198"/>
      <c r="SOX120" s="199"/>
      <c r="SOY120" s="198"/>
      <c r="SOZ120" s="199"/>
      <c r="SPA120" s="198"/>
      <c r="SPB120" s="199"/>
      <c r="SPC120" s="198"/>
      <c r="SPD120" s="199"/>
      <c r="SPE120" s="198"/>
      <c r="SPF120" s="199"/>
      <c r="SPG120" s="198"/>
      <c r="SPH120" s="199"/>
      <c r="SPI120" s="198"/>
      <c r="SPJ120" s="199"/>
      <c r="SPK120" s="198"/>
      <c r="SPL120" s="199"/>
      <c r="SPM120" s="198"/>
      <c r="SPN120" s="199"/>
      <c r="SPO120" s="198"/>
      <c r="SPP120" s="199"/>
      <c r="SPQ120" s="198"/>
      <c r="SPR120" s="199"/>
      <c r="SPS120" s="198"/>
      <c r="SPT120" s="199"/>
      <c r="SPU120" s="198"/>
      <c r="SPV120" s="199"/>
      <c r="SPW120" s="198"/>
      <c r="SPX120" s="199"/>
      <c r="SPY120" s="198"/>
      <c r="SPZ120" s="199"/>
      <c r="SQA120" s="198"/>
      <c r="SQB120" s="199"/>
      <c r="SQC120" s="198"/>
      <c r="SQD120" s="199"/>
      <c r="SQE120" s="198"/>
      <c r="SQF120" s="199"/>
      <c r="SQG120" s="198"/>
      <c r="SQH120" s="199"/>
      <c r="SQI120" s="198"/>
      <c r="SQJ120" s="199"/>
      <c r="SQK120" s="198"/>
      <c r="SQL120" s="199"/>
      <c r="SQM120" s="198"/>
      <c r="SQN120" s="199"/>
      <c r="SQO120" s="198"/>
      <c r="SQP120" s="199"/>
      <c r="SQQ120" s="198"/>
      <c r="SQR120" s="199"/>
      <c r="SQS120" s="198"/>
      <c r="SQT120" s="199"/>
      <c r="SQU120" s="198"/>
      <c r="SQV120" s="199"/>
      <c r="SQW120" s="198"/>
      <c r="SQX120" s="199"/>
      <c r="SQY120" s="198"/>
      <c r="SQZ120" s="199"/>
      <c r="SRA120" s="198"/>
      <c r="SRB120" s="199"/>
      <c r="SRC120" s="198"/>
      <c r="SRD120" s="199"/>
      <c r="SRE120" s="198"/>
      <c r="SRF120" s="199"/>
      <c r="SRG120" s="198"/>
      <c r="SRH120" s="199"/>
      <c r="SRI120" s="198"/>
      <c r="SRJ120" s="199"/>
      <c r="SRK120" s="198"/>
      <c r="SRL120" s="199"/>
      <c r="SRM120" s="198"/>
      <c r="SRN120" s="199"/>
      <c r="SRO120" s="198"/>
      <c r="SRP120" s="199"/>
      <c r="SRQ120" s="198"/>
      <c r="SRR120" s="199"/>
      <c r="SRS120" s="198"/>
      <c r="SRT120" s="199"/>
      <c r="SRU120" s="198"/>
      <c r="SRV120" s="199"/>
      <c r="SRW120" s="198"/>
      <c r="SRX120" s="199"/>
      <c r="SRY120" s="198"/>
      <c r="SRZ120" s="199"/>
      <c r="SSA120" s="198"/>
      <c r="SSB120" s="199"/>
      <c r="SSC120" s="198"/>
      <c r="SSD120" s="199"/>
      <c r="SSE120" s="198"/>
      <c r="SSF120" s="199"/>
      <c r="SSG120" s="198"/>
      <c r="SSH120" s="199"/>
      <c r="SSI120" s="198"/>
      <c r="SSJ120" s="199"/>
      <c r="SSK120" s="198"/>
      <c r="SSL120" s="199"/>
      <c r="SSM120" s="198"/>
      <c r="SSN120" s="199"/>
      <c r="SSO120" s="198"/>
      <c r="SSP120" s="199"/>
      <c r="SSQ120" s="198"/>
      <c r="SSR120" s="199"/>
      <c r="SSS120" s="198"/>
      <c r="SST120" s="199"/>
      <c r="SSU120" s="198"/>
      <c r="SSV120" s="199"/>
      <c r="SSW120" s="198"/>
      <c r="SSX120" s="199"/>
      <c r="SSY120" s="198"/>
      <c r="SSZ120" s="199"/>
      <c r="STA120" s="198"/>
      <c r="STB120" s="199"/>
      <c r="STC120" s="198"/>
      <c r="STD120" s="199"/>
      <c r="STE120" s="198"/>
      <c r="STF120" s="199"/>
      <c r="STG120" s="198"/>
      <c r="STH120" s="199"/>
      <c r="STI120" s="198"/>
      <c r="STJ120" s="199"/>
      <c r="STK120" s="198"/>
      <c r="STL120" s="199"/>
      <c r="STM120" s="198"/>
      <c r="STN120" s="199"/>
      <c r="STO120" s="198"/>
      <c r="STP120" s="199"/>
      <c r="STQ120" s="198"/>
      <c r="STR120" s="199"/>
      <c r="STS120" s="198"/>
      <c r="STT120" s="199"/>
      <c r="STU120" s="198"/>
      <c r="STV120" s="199"/>
      <c r="STW120" s="198"/>
      <c r="STX120" s="199"/>
      <c r="STY120" s="198"/>
      <c r="STZ120" s="199"/>
      <c r="SUA120" s="198"/>
      <c r="SUB120" s="199"/>
      <c r="SUC120" s="198"/>
      <c r="SUD120" s="199"/>
      <c r="SUE120" s="198"/>
      <c r="SUF120" s="199"/>
      <c r="SUG120" s="198"/>
      <c r="SUH120" s="199"/>
      <c r="SUI120" s="198"/>
      <c r="SUJ120" s="199"/>
      <c r="SUK120" s="198"/>
      <c r="SUL120" s="199"/>
      <c r="SUM120" s="198"/>
      <c r="SUN120" s="199"/>
      <c r="SUO120" s="198"/>
      <c r="SUP120" s="199"/>
      <c r="SUQ120" s="198"/>
      <c r="SUR120" s="199"/>
      <c r="SUS120" s="198"/>
      <c r="SUT120" s="199"/>
      <c r="SUU120" s="198"/>
      <c r="SUV120" s="199"/>
      <c r="SUW120" s="198"/>
      <c r="SUX120" s="199"/>
      <c r="SUY120" s="198"/>
      <c r="SUZ120" s="199"/>
      <c r="SVA120" s="198"/>
      <c r="SVB120" s="199"/>
      <c r="SVC120" s="198"/>
      <c r="SVD120" s="199"/>
      <c r="SVE120" s="198"/>
      <c r="SVF120" s="199"/>
      <c r="SVG120" s="198"/>
      <c r="SVH120" s="199"/>
      <c r="SVI120" s="198"/>
      <c r="SVJ120" s="199"/>
      <c r="SVK120" s="198"/>
      <c r="SVL120" s="199"/>
      <c r="SVM120" s="198"/>
      <c r="SVN120" s="199"/>
      <c r="SVO120" s="198"/>
      <c r="SVP120" s="199"/>
      <c r="SVQ120" s="198"/>
      <c r="SVR120" s="199"/>
      <c r="SVS120" s="198"/>
      <c r="SVT120" s="199"/>
      <c r="SVU120" s="198"/>
      <c r="SVV120" s="199"/>
      <c r="SVW120" s="198"/>
      <c r="SVX120" s="199"/>
      <c r="SVY120" s="198"/>
      <c r="SVZ120" s="199"/>
      <c r="SWA120" s="198"/>
      <c r="SWB120" s="199"/>
      <c r="SWC120" s="198"/>
      <c r="SWD120" s="199"/>
      <c r="SWE120" s="198"/>
      <c r="SWF120" s="199"/>
      <c r="SWG120" s="198"/>
      <c r="SWH120" s="199"/>
      <c r="SWI120" s="198"/>
      <c r="SWJ120" s="199"/>
      <c r="SWK120" s="198"/>
      <c r="SWL120" s="199"/>
      <c r="SWM120" s="198"/>
      <c r="SWN120" s="199"/>
      <c r="SWO120" s="198"/>
      <c r="SWP120" s="199"/>
      <c r="SWQ120" s="198"/>
      <c r="SWR120" s="199"/>
      <c r="SWS120" s="198"/>
      <c r="SWT120" s="199"/>
      <c r="SWU120" s="198"/>
      <c r="SWV120" s="199"/>
      <c r="SWW120" s="198"/>
      <c r="SWX120" s="199"/>
      <c r="SWY120" s="198"/>
      <c r="SWZ120" s="199"/>
      <c r="SXA120" s="198"/>
      <c r="SXB120" s="199"/>
      <c r="SXC120" s="198"/>
      <c r="SXD120" s="199"/>
      <c r="SXE120" s="198"/>
      <c r="SXF120" s="199"/>
      <c r="SXG120" s="198"/>
      <c r="SXH120" s="199"/>
      <c r="SXI120" s="198"/>
      <c r="SXJ120" s="199"/>
      <c r="SXK120" s="198"/>
      <c r="SXL120" s="199"/>
      <c r="SXM120" s="198"/>
      <c r="SXN120" s="199"/>
      <c r="SXO120" s="198"/>
      <c r="SXP120" s="199"/>
      <c r="SXQ120" s="198"/>
      <c r="SXR120" s="199"/>
      <c r="SXS120" s="198"/>
      <c r="SXT120" s="199"/>
      <c r="SXU120" s="198"/>
      <c r="SXV120" s="199"/>
      <c r="SXW120" s="198"/>
      <c r="SXX120" s="199"/>
      <c r="SXY120" s="198"/>
      <c r="SXZ120" s="199"/>
      <c r="SYA120" s="198"/>
      <c r="SYB120" s="199"/>
      <c r="SYC120" s="198"/>
      <c r="SYD120" s="199"/>
      <c r="SYE120" s="198"/>
      <c r="SYF120" s="199"/>
      <c r="SYG120" s="198"/>
      <c r="SYH120" s="199"/>
      <c r="SYI120" s="198"/>
      <c r="SYJ120" s="199"/>
      <c r="SYK120" s="198"/>
      <c r="SYL120" s="199"/>
      <c r="SYM120" s="198"/>
      <c r="SYN120" s="199"/>
      <c r="SYO120" s="198"/>
      <c r="SYP120" s="199"/>
      <c r="SYQ120" s="198"/>
      <c r="SYR120" s="199"/>
      <c r="SYS120" s="198"/>
      <c r="SYT120" s="199"/>
      <c r="SYU120" s="198"/>
      <c r="SYV120" s="199"/>
      <c r="SYW120" s="198"/>
      <c r="SYX120" s="199"/>
      <c r="SYY120" s="198"/>
      <c r="SYZ120" s="199"/>
      <c r="SZA120" s="198"/>
      <c r="SZB120" s="199"/>
      <c r="SZC120" s="198"/>
      <c r="SZD120" s="199"/>
      <c r="SZE120" s="198"/>
      <c r="SZF120" s="199"/>
      <c r="SZG120" s="198"/>
      <c r="SZH120" s="199"/>
      <c r="SZI120" s="198"/>
      <c r="SZJ120" s="199"/>
      <c r="SZK120" s="198"/>
      <c r="SZL120" s="199"/>
      <c r="SZM120" s="198"/>
      <c r="SZN120" s="199"/>
      <c r="SZO120" s="198"/>
      <c r="SZP120" s="199"/>
      <c r="SZQ120" s="198"/>
      <c r="SZR120" s="199"/>
      <c r="SZS120" s="198"/>
      <c r="SZT120" s="199"/>
      <c r="SZU120" s="198"/>
      <c r="SZV120" s="199"/>
      <c r="SZW120" s="198"/>
      <c r="SZX120" s="199"/>
      <c r="SZY120" s="198"/>
      <c r="SZZ120" s="199"/>
      <c r="TAA120" s="198"/>
      <c r="TAB120" s="199"/>
      <c r="TAC120" s="198"/>
      <c r="TAD120" s="199"/>
      <c r="TAE120" s="198"/>
      <c r="TAF120" s="199"/>
      <c r="TAG120" s="198"/>
      <c r="TAH120" s="199"/>
      <c r="TAI120" s="198"/>
      <c r="TAJ120" s="199"/>
      <c r="TAK120" s="198"/>
      <c r="TAL120" s="199"/>
      <c r="TAM120" s="198"/>
      <c r="TAN120" s="199"/>
      <c r="TAO120" s="198"/>
      <c r="TAP120" s="199"/>
      <c r="TAQ120" s="198"/>
      <c r="TAR120" s="199"/>
      <c r="TAS120" s="198"/>
      <c r="TAT120" s="199"/>
      <c r="TAU120" s="198"/>
      <c r="TAV120" s="199"/>
      <c r="TAW120" s="198"/>
      <c r="TAX120" s="199"/>
      <c r="TAY120" s="198"/>
      <c r="TAZ120" s="199"/>
      <c r="TBA120" s="198"/>
      <c r="TBB120" s="199"/>
      <c r="TBC120" s="198"/>
      <c r="TBD120" s="199"/>
      <c r="TBE120" s="198"/>
      <c r="TBF120" s="199"/>
      <c r="TBG120" s="198"/>
      <c r="TBH120" s="199"/>
      <c r="TBI120" s="198"/>
      <c r="TBJ120" s="199"/>
      <c r="TBK120" s="198"/>
      <c r="TBL120" s="199"/>
      <c r="TBM120" s="198"/>
      <c r="TBN120" s="199"/>
      <c r="TBO120" s="198"/>
      <c r="TBP120" s="199"/>
      <c r="TBQ120" s="198"/>
      <c r="TBR120" s="199"/>
      <c r="TBS120" s="198"/>
      <c r="TBT120" s="199"/>
      <c r="TBU120" s="198"/>
      <c r="TBV120" s="199"/>
      <c r="TBW120" s="198"/>
      <c r="TBX120" s="199"/>
      <c r="TBY120" s="198"/>
      <c r="TBZ120" s="199"/>
      <c r="TCA120" s="198"/>
      <c r="TCB120" s="199"/>
      <c r="TCC120" s="198"/>
      <c r="TCD120" s="199"/>
      <c r="TCE120" s="198"/>
      <c r="TCF120" s="199"/>
      <c r="TCG120" s="198"/>
      <c r="TCH120" s="199"/>
      <c r="TCI120" s="198"/>
      <c r="TCJ120" s="199"/>
      <c r="TCK120" s="198"/>
      <c r="TCL120" s="199"/>
      <c r="TCM120" s="198"/>
      <c r="TCN120" s="199"/>
      <c r="TCO120" s="198"/>
      <c r="TCP120" s="199"/>
      <c r="TCQ120" s="198"/>
      <c r="TCR120" s="199"/>
      <c r="TCS120" s="198"/>
      <c r="TCT120" s="199"/>
      <c r="TCU120" s="198"/>
      <c r="TCV120" s="199"/>
      <c r="TCW120" s="198"/>
      <c r="TCX120" s="199"/>
      <c r="TCY120" s="198"/>
      <c r="TCZ120" s="199"/>
      <c r="TDA120" s="198"/>
      <c r="TDB120" s="199"/>
      <c r="TDC120" s="198"/>
      <c r="TDD120" s="199"/>
      <c r="TDE120" s="198"/>
      <c r="TDF120" s="199"/>
      <c r="TDG120" s="198"/>
      <c r="TDH120" s="199"/>
      <c r="TDI120" s="198"/>
      <c r="TDJ120" s="199"/>
      <c r="TDK120" s="198"/>
      <c r="TDL120" s="199"/>
      <c r="TDM120" s="198"/>
      <c r="TDN120" s="199"/>
      <c r="TDO120" s="198"/>
      <c r="TDP120" s="199"/>
      <c r="TDQ120" s="198"/>
      <c r="TDR120" s="199"/>
      <c r="TDS120" s="198"/>
      <c r="TDT120" s="199"/>
      <c r="TDU120" s="198"/>
      <c r="TDV120" s="199"/>
      <c r="TDW120" s="198"/>
      <c r="TDX120" s="199"/>
      <c r="TDY120" s="198"/>
      <c r="TDZ120" s="199"/>
      <c r="TEA120" s="198"/>
      <c r="TEB120" s="199"/>
      <c r="TEC120" s="198"/>
      <c r="TED120" s="199"/>
      <c r="TEE120" s="198"/>
      <c r="TEF120" s="199"/>
      <c r="TEG120" s="198"/>
      <c r="TEH120" s="199"/>
      <c r="TEI120" s="198"/>
      <c r="TEJ120" s="199"/>
      <c r="TEK120" s="198"/>
      <c r="TEL120" s="199"/>
      <c r="TEM120" s="198"/>
      <c r="TEN120" s="199"/>
      <c r="TEO120" s="198"/>
      <c r="TEP120" s="199"/>
      <c r="TEQ120" s="198"/>
      <c r="TER120" s="199"/>
      <c r="TES120" s="198"/>
      <c r="TET120" s="199"/>
      <c r="TEU120" s="198"/>
      <c r="TEV120" s="199"/>
      <c r="TEW120" s="198"/>
      <c r="TEX120" s="199"/>
      <c r="TEY120" s="198"/>
      <c r="TEZ120" s="199"/>
      <c r="TFA120" s="198"/>
      <c r="TFB120" s="199"/>
      <c r="TFC120" s="198"/>
      <c r="TFD120" s="199"/>
      <c r="TFE120" s="198"/>
      <c r="TFF120" s="199"/>
      <c r="TFG120" s="198"/>
      <c r="TFH120" s="199"/>
      <c r="TFI120" s="198"/>
      <c r="TFJ120" s="199"/>
      <c r="TFK120" s="198"/>
      <c r="TFL120" s="199"/>
      <c r="TFM120" s="198"/>
      <c r="TFN120" s="199"/>
      <c r="TFO120" s="198"/>
      <c r="TFP120" s="199"/>
      <c r="TFQ120" s="198"/>
      <c r="TFR120" s="199"/>
      <c r="TFS120" s="198"/>
      <c r="TFT120" s="199"/>
      <c r="TFU120" s="198"/>
      <c r="TFV120" s="199"/>
      <c r="TFW120" s="198"/>
      <c r="TFX120" s="199"/>
      <c r="TFY120" s="198"/>
      <c r="TFZ120" s="199"/>
      <c r="TGA120" s="198"/>
      <c r="TGB120" s="199"/>
      <c r="TGC120" s="198"/>
      <c r="TGD120" s="199"/>
      <c r="TGE120" s="198"/>
      <c r="TGF120" s="199"/>
      <c r="TGG120" s="198"/>
      <c r="TGH120" s="199"/>
      <c r="TGI120" s="198"/>
      <c r="TGJ120" s="199"/>
      <c r="TGK120" s="198"/>
      <c r="TGL120" s="199"/>
      <c r="TGM120" s="198"/>
      <c r="TGN120" s="199"/>
      <c r="TGO120" s="198"/>
      <c r="TGP120" s="199"/>
      <c r="TGQ120" s="198"/>
      <c r="TGR120" s="199"/>
      <c r="TGS120" s="198"/>
      <c r="TGT120" s="199"/>
      <c r="TGU120" s="198"/>
      <c r="TGV120" s="199"/>
      <c r="TGW120" s="198"/>
      <c r="TGX120" s="199"/>
      <c r="TGY120" s="198"/>
      <c r="TGZ120" s="199"/>
      <c r="THA120" s="198"/>
      <c r="THB120" s="199"/>
      <c r="THC120" s="198"/>
      <c r="THD120" s="199"/>
      <c r="THE120" s="198"/>
      <c r="THF120" s="199"/>
      <c r="THG120" s="198"/>
      <c r="THH120" s="199"/>
      <c r="THI120" s="198"/>
      <c r="THJ120" s="199"/>
      <c r="THK120" s="198"/>
      <c r="THL120" s="199"/>
      <c r="THM120" s="198"/>
      <c r="THN120" s="199"/>
      <c r="THO120" s="198"/>
      <c r="THP120" s="199"/>
      <c r="THQ120" s="198"/>
      <c r="THR120" s="199"/>
      <c r="THS120" s="198"/>
      <c r="THT120" s="199"/>
      <c r="THU120" s="198"/>
      <c r="THV120" s="199"/>
      <c r="THW120" s="198"/>
      <c r="THX120" s="199"/>
      <c r="THY120" s="198"/>
      <c r="THZ120" s="199"/>
      <c r="TIA120" s="198"/>
      <c r="TIB120" s="199"/>
      <c r="TIC120" s="198"/>
      <c r="TID120" s="199"/>
      <c r="TIE120" s="198"/>
      <c r="TIF120" s="199"/>
      <c r="TIG120" s="198"/>
      <c r="TIH120" s="199"/>
      <c r="TII120" s="198"/>
      <c r="TIJ120" s="199"/>
      <c r="TIK120" s="198"/>
      <c r="TIL120" s="199"/>
      <c r="TIM120" s="198"/>
      <c r="TIN120" s="199"/>
      <c r="TIO120" s="198"/>
      <c r="TIP120" s="199"/>
      <c r="TIQ120" s="198"/>
      <c r="TIR120" s="199"/>
      <c r="TIS120" s="198"/>
      <c r="TIT120" s="199"/>
      <c r="TIU120" s="198"/>
      <c r="TIV120" s="199"/>
      <c r="TIW120" s="198"/>
      <c r="TIX120" s="199"/>
      <c r="TIY120" s="198"/>
      <c r="TIZ120" s="199"/>
      <c r="TJA120" s="198"/>
      <c r="TJB120" s="199"/>
      <c r="TJC120" s="198"/>
      <c r="TJD120" s="199"/>
      <c r="TJE120" s="198"/>
      <c r="TJF120" s="199"/>
      <c r="TJG120" s="198"/>
      <c r="TJH120" s="199"/>
      <c r="TJI120" s="198"/>
      <c r="TJJ120" s="199"/>
      <c r="TJK120" s="198"/>
      <c r="TJL120" s="199"/>
      <c r="TJM120" s="198"/>
      <c r="TJN120" s="199"/>
      <c r="TJO120" s="198"/>
      <c r="TJP120" s="199"/>
      <c r="TJQ120" s="198"/>
      <c r="TJR120" s="199"/>
      <c r="TJS120" s="198"/>
      <c r="TJT120" s="199"/>
      <c r="TJU120" s="198"/>
      <c r="TJV120" s="199"/>
      <c r="TJW120" s="198"/>
      <c r="TJX120" s="199"/>
      <c r="TJY120" s="198"/>
      <c r="TJZ120" s="199"/>
      <c r="TKA120" s="198"/>
      <c r="TKB120" s="199"/>
      <c r="TKC120" s="198"/>
      <c r="TKD120" s="199"/>
      <c r="TKE120" s="198"/>
      <c r="TKF120" s="199"/>
      <c r="TKG120" s="198"/>
      <c r="TKH120" s="199"/>
      <c r="TKI120" s="198"/>
      <c r="TKJ120" s="199"/>
      <c r="TKK120" s="198"/>
      <c r="TKL120" s="199"/>
      <c r="TKM120" s="198"/>
      <c r="TKN120" s="199"/>
      <c r="TKO120" s="198"/>
      <c r="TKP120" s="199"/>
      <c r="TKQ120" s="198"/>
      <c r="TKR120" s="199"/>
      <c r="TKS120" s="198"/>
      <c r="TKT120" s="199"/>
      <c r="TKU120" s="198"/>
      <c r="TKV120" s="199"/>
      <c r="TKW120" s="198"/>
      <c r="TKX120" s="199"/>
      <c r="TKY120" s="198"/>
      <c r="TKZ120" s="199"/>
      <c r="TLA120" s="198"/>
      <c r="TLB120" s="199"/>
      <c r="TLC120" s="198"/>
      <c r="TLD120" s="199"/>
      <c r="TLE120" s="198"/>
      <c r="TLF120" s="199"/>
      <c r="TLG120" s="198"/>
      <c r="TLH120" s="199"/>
      <c r="TLI120" s="198"/>
      <c r="TLJ120" s="199"/>
      <c r="TLK120" s="198"/>
      <c r="TLL120" s="199"/>
      <c r="TLM120" s="198"/>
      <c r="TLN120" s="199"/>
      <c r="TLO120" s="198"/>
      <c r="TLP120" s="199"/>
      <c r="TLQ120" s="198"/>
      <c r="TLR120" s="199"/>
      <c r="TLS120" s="198"/>
      <c r="TLT120" s="199"/>
      <c r="TLU120" s="198"/>
      <c r="TLV120" s="199"/>
      <c r="TLW120" s="198"/>
      <c r="TLX120" s="199"/>
      <c r="TLY120" s="198"/>
      <c r="TLZ120" s="199"/>
      <c r="TMA120" s="198"/>
      <c r="TMB120" s="199"/>
      <c r="TMC120" s="198"/>
      <c r="TMD120" s="199"/>
      <c r="TME120" s="198"/>
      <c r="TMF120" s="199"/>
      <c r="TMG120" s="198"/>
      <c r="TMH120" s="199"/>
      <c r="TMI120" s="198"/>
      <c r="TMJ120" s="199"/>
      <c r="TMK120" s="198"/>
      <c r="TML120" s="199"/>
      <c r="TMM120" s="198"/>
      <c r="TMN120" s="199"/>
      <c r="TMO120" s="198"/>
      <c r="TMP120" s="199"/>
      <c r="TMQ120" s="198"/>
      <c r="TMR120" s="199"/>
      <c r="TMS120" s="198"/>
      <c r="TMT120" s="199"/>
      <c r="TMU120" s="198"/>
      <c r="TMV120" s="199"/>
      <c r="TMW120" s="198"/>
      <c r="TMX120" s="199"/>
      <c r="TMY120" s="198"/>
      <c r="TMZ120" s="199"/>
      <c r="TNA120" s="198"/>
      <c r="TNB120" s="199"/>
      <c r="TNC120" s="198"/>
      <c r="TND120" s="199"/>
      <c r="TNE120" s="198"/>
      <c r="TNF120" s="199"/>
      <c r="TNG120" s="198"/>
      <c r="TNH120" s="199"/>
      <c r="TNI120" s="198"/>
      <c r="TNJ120" s="199"/>
      <c r="TNK120" s="198"/>
      <c r="TNL120" s="199"/>
      <c r="TNM120" s="198"/>
      <c r="TNN120" s="199"/>
      <c r="TNO120" s="198"/>
      <c r="TNP120" s="199"/>
      <c r="TNQ120" s="198"/>
      <c r="TNR120" s="199"/>
      <c r="TNS120" s="198"/>
      <c r="TNT120" s="199"/>
      <c r="TNU120" s="198"/>
      <c r="TNV120" s="199"/>
      <c r="TNW120" s="198"/>
      <c r="TNX120" s="199"/>
      <c r="TNY120" s="198"/>
      <c r="TNZ120" s="199"/>
      <c r="TOA120" s="198"/>
      <c r="TOB120" s="199"/>
      <c r="TOC120" s="198"/>
      <c r="TOD120" s="199"/>
      <c r="TOE120" s="198"/>
      <c r="TOF120" s="199"/>
      <c r="TOG120" s="198"/>
      <c r="TOH120" s="199"/>
      <c r="TOI120" s="198"/>
      <c r="TOJ120" s="199"/>
      <c r="TOK120" s="198"/>
      <c r="TOL120" s="199"/>
      <c r="TOM120" s="198"/>
      <c r="TON120" s="199"/>
      <c r="TOO120" s="198"/>
      <c r="TOP120" s="199"/>
      <c r="TOQ120" s="198"/>
      <c r="TOR120" s="199"/>
      <c r="TOS120" s="198"/>
      <c r="TOT120" s="199"/>
      <c r="TOU120" s="198"/>
      <c r="TOV120" s="199"/>
      <c r="TOW120" s="198"/>
      <c r="TOX120" s="199"/>
      <c r="TOY120" s="198"/>
      <c r="TOZ120" s="199"/>
      <c r="TPA120" s="198"/>
      <c r="TPB120" s="199"/>
      <c r="TPC120" s="198"/>
      <c r="TPD120" s="199"/>
      <c r="TPE120" s="198"/>
      <c r="TPF120" s="199"/>
      <c r="TPG120" s="198"/>
      <c r="TPH120" s="199"/>
      <c r="TPI120" s="198"/>
      <c r="TPJ120" s="199"/>
      <c r="TPK120" s="198"/>
      <c r="TPL120" s="199"/>
      <c r="TPM120" s="198"/>
      <c r="TPN120" s="199"/>
      <c r="TPO120" s="198"/>
      <c r="TPP120" s="199"/>
      <c r="TPQ120" s="198"/>
      <c r="TPR120" s="199"/>
      <c r="TPS120" s="198"/>
      <c r="TPT120" s="199"/>
      <c r="TPU120" s="198"/>
      <c r="TPV120" s="199"/>
      <c r="TPW120" s="198"/>
      <c r="TPX120" s="199"/>
      <c r="TPY120" s="198"/>
      <c r="TPZ120" s="199"/>
      <c r="TQA120" s="198"/>
      <c r="TQB120" s="199"/>
      <c r="TQC120" s="198"/>
      <c r="TQD120" s="199"/>
      <c r="TQE120" s="198"/>
      <c r="TQF120" s="199"/>
      <c r="TQG120" s="198"/>
      <c r="TQH120" s="199"/>
      <c r="TQI120" s="198"/>
      <c r="TQJ120" s="199"/>
      <c r="TQK120" s="198"/>
      <c r="TQL120" s="199"/>
      <c r="TQM120" s="198"/>
      <c r="TQN120" s="199"/>
      <c r="TQO120" s="198"/>
      <c r="TQP120" s="199"/>
      <c r="TQQ120" s="198"/>
      <c r="TQR120" s="199"/>
      <c r="TQS120" s="198"/>
      <c r="TQT120" s="199"/>
      <c r="TQU120" s="198"/>
      <c r="TQV120" s="199"/>
      <c r="TQW120" s="198"/>
      <c r="TQX120" s="199"/>
      <c r="TQY120" s="198"/>
      <c r="TQZ120" s="199"/>
      <c r="TRA120" s="198"/>
      <c r="TRB120" s="199"/>
      <c r="TRC120" s="198"/>
      <c r="TRD120" s="199"/>
      <c r="TRE120" s="198"/>
      <c r="TRF120" s="199"/>
      <c r="TRG120" s="198"/>
      <c r="TRH120" s="199"/>
      <c r="TRI120" s="198"/>
      <c r="TRJ120" s="199"/>
      <c r="TRK120" s="198"/>
      <c r="TRL120" s="199"/>
      <c r="TRM120" s="198"/>
      <c r="TRN120" s="199"/>
      <c r="TRO120" s="198"/>
      <c r="TRP120" s="199"/>
      <c r="TRQ120" s="198"/>
      <c r="TRR120" s="199"/>
      <c r="TRS120" s="198"/>
      <c r="TRT120" s="199"/>
      <c r="TRU120" s="198"/>
      <c r="TRV120" s="199"/>
      <c r="TRW120" s="198"/>
      <c r="TRX120" s="199"/>
      <c r="TRY120" s="198"/>
      <c r="TRZ120" s="199"/>
      <c r="TSA120" s="198"/>
      <c r="TSB120" s="199"/>
      <c r="TSC120" s="198"/>
      <c r="TSD120" s="199"/>
      <c r="TSE120" s="198"/>
      <c r="TSF120" s="199"/>
      <c r="TSG120" s="198"/>
      <c r="TSH120" s="199"/>
      <c r="TSI120" s="198"/>
      <c r="TSJ120" s="199"/>
      <c r="TSK120" s="198"/>
      <c r="TSL120" s="199"/>
      <c r="TSM120" s="198"/>
      <c r="TSN120" s="199"/>
      <c r="TSO120" s="198"/>
      <c r="TSP120" s="199"/>
      <c r="TSQ120" s="198"/>
      <c r="TSR120" s="199"/>
      <c r="TSS120" s="198"/>
      <c r="TST120" s="199"/>
      <c r="TSU120" s="198"/>
      <c r="TSV120" s="199"/>
      <c r="TSW120" s="198"/>
      <c r="TSX120" s="199"/>
      <c r="TSY120" s="198"/>
      <c r="TSZ120" s="199"/>
      <c r="TTA120" s="198"/>
      <c r="TTB120" s="199"/>
      <c r="TTC120" s="198"/>
      <c r="TTD120" s="199"/>
      <c r="TTE120" s="198"/>
      <c r="TTF120" s="199"/>
      <c r="TTG120" s="198"/>
      <c r="TTH120" s="199"/>
      <c r="TTI120" s="198"/>
      <c r="TTJ120" s="199"/>
      <c r="TTK120" s="198"/>
      <c r="TTL120" s="199"/>
      <c r="TTM120" s="198"/>
      <c r="TTN120" s="199"/>
      <c r="TTO120" s="198"/>
      <c r="TTP120" s="199"/>
      <c r="TTQ120" s="198"/>
      <c r="TTR120" s="199"/>
      <c r="TTS120" s="198"/>
      <c r="TTT120" s="199"/>
      <c r="TTU120" s="198"/>
      <c r="TTV120" s="199"/>
      <c r="TTW120" s="198"/>
      <c r="TTX120" s="199"/>
      <c r="TTY120" s="198"/>
      <c r="TTZ120" s="199"/>
      <c r="TUA120" s="198"/>
      <c r="TUB120" s="199"/>
      <c r="TUC120" s="198"/>
      <c r="TUD120" s="199"/>
      <c r="TUE120" s="198"/>
      <c r="TUF120" s="199"/>
      <c r="TUG120" s="198"/>
      <c r="TUH120" s="199"/>
      <c r="TUI120" s="198"/>
      <c r="TUJ120" s="199"/>
      <c r="TUK120" s="198"/>
      <c r="TUL120" s="199"/>
      <c r="TUM120" s="198"/>
      <c r="TUN120" s="199"/>
      <c r="TUO120" s="198"/>
      <c r="TUP120" s="199"/>
      <c r="TUQ120" s="198"/>
      <c r="TUR120" s="199"/>
      <c r="TUS120" s="198"/>
      <c r="TUT120" s="199"/>
      <c r="TUU120" s="198"/>
      <c r="TUV120" s="199"/>
      <c r="TUW120" s="198"/>
      <c r="TUX120" s="199"/>
      <c r="TUY120" s="198"/>
      <c r="TUZ120" s="199"/>
      <c r="TVA120" s="198"/>
      <c r="TVB120" s="199"/>
      <c r="TVC120" s="198"/>
      <c r="TVD120" s="199"/>
      <c r="TVE120" s="198"/>
      <c r="TVF120" s="199"/>
      <c r="TVG120" s="198"/>
      <c r="TVH120" s="199"/>
      <c r="TVI120" s="198"/>
      <c r="TVJ120" s="199"/>
      <c r="TVK120" s="198"/>
      <c r="TVL120" s="199"/>
      <c r="TVM120" s="198"/>
      <c r="TVN120" s="199"/>
      <c r="TVO120" s="198"/>
      <c r="TVP120" s="199"/>
      <c r="TVQ120" s="198"/>
      <c r="TVR120" s="199"/>
      <c r="TVS120" s="198"/>
      <c r="TVT120" s="199"/>
      <c r="TVU120" s="198"/>
      <c r="TVV120" s="199"/>
      <c r="TVW120" s="198"/>
      <c r="TVX120" s="199"/>
      <c r="TVY120" s="198"/>
      <c r="TVZ120" s="199"/>
      <c r="TWA120" s="198"/>
      <c r="TWB120" s="199"/>
      <c r="TWC120" s="198"/>
      <c r="TWD120" s="199"/>
      <c r="TWE120" s="198"/>
      <c r="TWF120" s="199"/>
      <c r="TWG120" s="198"/>
      <c r="TWH120" s="199"/>
      <c r="TWI120" s="198"/>
      <c r="TWJ120" s="199"/>
      <c r="TWK120" s="198"/>
      <c r="TWL120" s="199"/>
      <c r="TWM120" s="198"/>
      <c r="TWN120" s="199"/>
      <c r="TWO120" s="198"/>
      <c r="TWP120" s="199"/>
      <c r="TWQ120" s="198"/>
      <c r="TWR120" s="199"/>
      <c r="TWS120" s="198"/>
      <c r="TWT120" s="199"/>
      <c r="TWU120" s="198"/>
      <c r="TWV120" s="199"/>
      <c r="TWW120" s="198"/>
      <c r="TWX120" s="199"/>
      <c r="TWY120" s="198"/>
      <c r="TWZ120" s="199"/>
      <c r="TXA120" s="198"/>
      <c r="TXB120" s="199"/>
      <c r="TXC120" s="198"/>
      <c r="TXD120" s="199"/>
      <c r="TXE120" s="198"/>
      <c r="TXF120" s="199"/>
      <c r="TXG120" s="198"/>
      <c r="TXH120" s="199"/>
      <c r="TXI120" s="198"/>
      <c r="TXJ120" s="199"/>
      <c r="TXK120" s="198"/>
      <c r="TXL120" s="199"/>
      <c r="TXM120" s="198"/>
      <c r="TXN120" s="199"/>
      <c r="TXO120" s="198"/>
      <c r="TXP120" s="199"/>
      <c r="TXQ120" s="198"/>
      <c r="TXR120" s="199"/>
      <c r="TXS120" s="198"/>
      <c r="TXT120" s="199"/>
      <c r="TXU120" s="198"/>
      <c r="TXV120" s="199"/>
      <c r="TXW120" s="198"/>
      <c r="TXX120" s="199"/>
      <c r="TXY120" s="198"/>
      <c r="TXZ120" s="199"/>
      <c r="TYA120" s="198"/>
      <c r="TYB120" s="199"/>
      <c r="TYC120" s="198"/>
      <c r="TYD120" s="199"/>
      <c r="TYE120" s="198"/>
      <c r="TYF120" s="199"/>
      <c r="TYG120" s="198"/>
      <c r="TYH120" s="199"/>
      <c r="TYI120" s="198"/>
      <c r="TYJ120" s="199"/>
      <c r="TYK120" s="198"/>
      <c r="TYL120" s="199"/>
      <c r="TYM120" s="198"/>
      <c r="TYN120" s="199"/>
      <c r="TYO120" s="198"/>
      <c r="TYP120" s="199"/>
      <c r="TYQ120" s="198"/>
      <c r="TYR120" s="199"/>
      <c r="TYS120" s="198"/>
      <c r="TYT120" s="199"/>
      <c r="TYU120" s="198"/>
      <c r="TYV120" s="199"/>
      <c r="TYW120" s="198"/>
      <c r="TYX120" s="199"/>
      <c r="TYY120" s="198"/>
      <c r="TYZ120" s="199"/>
      <c r="TZA120" s="198"/>
      <c r="TZB120" s="199"/>
      <c r="TZC120" s="198"/>
      <c r="TZD120" s="199"/>
      <c r="TZE120" s="198"/>
      <c r="TZF120" s="199"/>
      <c r="TZG120" s="198"/>
      <c r="TZH120" s="199"/>
      <c r="TZI120" s="198"/>
      <c r="TZJ120" s="199"/>
      <c r="TZK120" s="198"/>
      <c r="TZL120" s="199"/>
      <c r="TZM120" s="198"/>
      <c r="TZN120" s="199"/>
      <c r="TZO120" s="198"/>
      <c r="TZP120" s="199"/>
      <c r="TZQ120" s="198"/>
      <c r="TZR120" s="199"/>
      <c r="TZS120" s="198"/>
      <c r="TZT120" s="199"/>
      <c r="TZU120" s="198"/>
      <c r="TZV120" s="199"/>
      <c r="TZW120" s="198"/>
      <c r="TZX120" s="199"/>
      <c r="TZY120" s="198"/>
      <c r="TZZ120" s="199"/>
      <c r="UAA120" s="198"/>
      <c r="UAB120" s="199"/>
      <c r="UAC120" s="198"/>
      <c r="UAD120" s="199"/>
      <c r="UAE120" s="198"/>
      <c r="UAF120" s="199"/>
      <c r="UAG120" s="198"/>
      <c r="UAH120" s="199"/>
      <c r="UAI120" s="198"/>
      <c r="UAJ120" s="199"/>
      <c r="UAK120" s="198"/>
      <c r="UAL120" s="199"/>
      <c r="UAM120" s="198"/>
      <c r="UAN120" s="199"/>
      <c r="UAO120" s="198"/>
      <c r="UAP120" s="199"/>
      <c r="UAQ120" s="198"/>
      <c r="UAR120" s="199"/>
      <c r="UAS120" s="198"/>
      <c r="UAT120" s="199"/>
      <c r="UAU120" s="198"/>
      <c r="UAV120" s="199"/>
      <c r="UAW120" s="198"/>
      <c r="UAX120" s="199"/>
      <c r="UAY120" s="198"/>
      <c r="UAZ120" s="199"/>
      <c r="UBA120" s="198"/>
      <c r="UBB120" s="199"/>
      <c r="UBC120" s="198"/>
      <c r="UBD120" s="199"/>
      <c r="UBE120" s="198"/>
      <c r="UBF120" s="199"/>
      <c r="UBG120" s="198"/>
      <c r="UBH120" s="199"/>
      <c r="UBI120" s="198"/>
      <c r="UBJ120" s="199"/>
      <c r="UBK120" s="198"/>
      <c r="UBL120" s="199"/>
      <c r="UBM120" s="198"/>
      <c r="UBN120" s="199"/>
      <c r="UBO120" s="198"/>
      <c r="UBP120" s="199"/>
      <c r="UBQ120" s="198"/>
      <c r="UBR120" s="199"/>
      <c r="UBS120" s="198"/>
      <c r="UBT120" s="199"/>
      <c r="UBU120" s="198"/>
      <c r="UBV120" s="199"/>
      <c r="UBW120" s="198"/>
      <c r="UBX120" s="199"/>
      <c r="UBY120" s="198"/>
      <c r="UBZ120" s="199"/>
      <c r="UCA120" s="198"/>
      <c r="UCB120" s="199"/>
      <c r="UCC120" s="198"/>
      <c r="UCD120" s="199"/>
      <c r="UCE120" s="198"/>
      <c r="UCF120" s="199"/>
      <c r="UCG120" s="198"/>
      <c r="UCH120" s="199"/>
      <c r="UCI120" s="198"/>
      <c r="UCJ120" s="199"/>
      <c r="UCK120" s="198"/>
      <c r="UCL120" s="199"/>
      <c r="UCM120" s="198"/>
      <c r="UCN120" s="199"/>
      <c r="UCO120" s="198"/>
      <c r="UCP120" s="199"/>
      <c r="UCQ120" s="198"/>
      <c r="UCR120" s="199"/>
      <c r="UCS120" s="198"/>
      <c r="UCT120" s="199"/>
      <c r="UCU120" s="198"/>
      <c r="UCV120" s="199"/>
      <c r="UCW120" s="198"/>
      <c r="UCX120" s="199"/>
      <c r="UCY120" s="198"/>
      <c r="UCZ120" s="199"/>
      <c r="UDA120" s="198"/>
      <c r="UDB120" s="199"/>
      <c r="UDC120" s="198"/>
      <c r="UDD120" s="199"/>
      <c r="UDE120" s="198"/>
      <c r="UDF120" s="199"/>
      <c r="UDG120" s="198"/>
      <c r="UDH120" s="199"/>
      <c r="UDI120" s="198"/>
      <c r="UDJ120" s="199"/>
      <c r="UDK120" s="198"/>
      <c r="UDL120" s="199"/>
      <c r="UDM120" s="198"/>
      <c r="UDN120" s="199"/>
      <c r="UDO120" s="198"/>
      <c r="UDP120" s="199"/>
      <c r="UDQ120" s="198"/>
      <c r="UDR120" s="199"/>
      <c r="UDS120" s="198"/>
      <c r="UDT120" s="199"/>
      <c r="UDU120" s="198"/>
      <c r="UDV120" s="199"/>
      <c r="UDW120" s="198"/>
      <c r="UDX120" s="199"/>
      <c r="UDY120" s="198"/>
      <c r="UDZ120" s="199"/>
      <c r="UEA120" s="198"/>
      <c r="UEB120" s="199"/>
      <c r="UEC120" s="198"/>
      <c r="UED120" s="199"/>
      <c r="UEE120" s="198"/>
      <c r="UEF120" s="199"/>
      <c r="UEG120" s="198"/>
      <c r="UEH120" s="199"/>
      <c r="UEI120" s="198"/>
      <c r="UEJ120" s="199"/>
      <c r="UEK120" s="198"/>
      <c r="UEL120" s="199"/>
      <c r="UEM120" s="198"/>
      <c r="UEN120" s="199"/>
      <c r="UEO120" s="198"/>
      <c r="UEP120" s="199"/>
      <c r="UEQ120" s="198"/>
      <c r="UER120" s="199"/>
      <c r="UES120" s="198"/>
      <c r="UET120" s="199"/>
      <c r="UEU120" s="198"/>
      <c r="UEV120" s="199"/>
      <c r="UEW120" s="198"/>
      <c r="UEX120" s="199"/>
      <c r="UEY120" s="198"/>
      <c r="UEZ120" s="199"/>
      <c r="UFA120" s="198"/>
      <c r="UFB120" s="199"/>
      <c r="UFC120" s="198"/>
      <c r="UFD120" s="199"/>
      <c r="UFE120" s="198"/>
      <c r="UFF120" s="199"/>
      <c r="UFG120" s="198"/>
      <c r="UFH120" s="199"/>
      <c r="UFI120" s="198"/>
      <c r="UFJ120" s="199"/>
      <c r="UFK120" s="198"/>
      <c r="UFL120" s="199"/>
      <c r="UFM120" s="198"/>
      <c r="UFN120" s="199"/>
      <c r="UFO120" s="198"/>
      <c r="UFP120" s="199"/>
      <c r="UFQ120" s="198"/>
      <c r="UFR120" s="199"/>
      <c r="UFS120" s="198"/>
      <c r="UFT120" s="199"/>
      <c r="UFU120" s="198"/>
      <c r="UFV120" s="199"/>
      <c r="UFW120" s="198"/>
      <c r="UFX120" s="199"/>
      <c r="UFY120" s="198"/>
      <c r="UFZ120" s="199"/>
      <c r="UGA120" s="198"/>
      <c r="UGB120" s="199"/>
      <c r="UGC120" s="198"/>
      <c r="UGD120" s="199"/>
      <c r="UGE120" s="198"/>
      <c r="UGF120" s="199"/>
      <c r="UGG120" s="198"/>
      <c r="UGH120" s="199"/>
      <c r="UGI120" s="198"/>
      <c r="UGJ120" s="199"/>
      <c r="UGK120" s="198"/>
      <c r="UGL120" s="199"/>
      <c r="UGM120" s="198"/>
      <c r="UGN120" s="199"/>
      <c r="UGO120" s="198"/>
      <c r="UGP120" s="199"/>
      <c r="UGQ120" s="198"/>
      <c r="UGR120" s="199"/>
      <c r="UGS120" s="198"/>
      <c r="UGT120" s="199"/>
      <c r="UGU120" s="198"/>
      <c r="UGV120" s="199"/>
      <c r="UGW120" s="198"/>
      <c r="UGX120" s="199"/>
      <c r="UGY120" s="198"/>
      <c r="UGZ120" s="199"/>
      <c r="UHA120" s="198"/>
      <c r="UHB120" s="199"/>
      <c r="UHC120" s="198"/>
      <c r="UHD120" s="199"/>
      <c r="UHE120" s="198"/>
      <c r="UHF120" s="199"/>
      <c r="UHG120" s="198"/>
      <c r="UHH120" s="199"/>
      <c r="UHI120" s="198"/>
      <c r="UHJ120" s="199"/>
      <c r="UHK120" s="198"/>
      <c r="UHL120" s="199"/>
      <c r="UHM120" s="198"/>
      <c r="UHN120" s="199"/>
      <c r="UHO120" s="198"/>
      <c r="UHP120" s="199"/>
      <c r="UHQ120" s="198"/>
      <c r="UHR120" s="199"/>
      <c r="UHS120" s="198"/>
      <c r="UHT120" s="199"/>
      <c r="UHU120" s="198"/>
      <c r="UHV120" s="199"/>
      <c r="UHW120" s="198"/>
      <c r="UHX120" s="199"/>
      <c r="UHY120" s="198"/>
      <c r="UHZ120" s="199"/>
      <c r="UIA120" s="198"/>
      <c r="UIB120" s="199"/>
      <c r="UIC120" s="198"/>
      <c r="UID120" s="199"/>
      <c r="UIE120" s="198"/>
      <c r="UIF120" s="199"/>
      <c r="UIG120" s="198"/>
      <c r="UIH120" s="199"/>
      <c r="UII120" s="198"/>
      <c r="UIJ120" s="199"/>
      <c r="UIK120" s="198"/>
      <c r="UIL120" s="199"/>
      <c r="UIM120" s="198"/>
      <c r="UIN120" s="199"/>
      <c r="UIO120" s="198"/>
      <c r="UIP120" s="199"/>
      <c r="UIQ120" s="198"/>
      <c r="UIR120" s="199"/>
      <c r="UIS120" s="198"/>
      <c r="UIT120" s="199"/>
      <c r="UIU120" s="198"/>
      <c r="UIV120" s="199"/>
      <c r="UIW120" s="198"/>
      <c r="UIX120" s="199"/>
      <c r="UIY120" s="198"/>
      <c r="UIZ120" s="199"/>
      <c r="UJA120" s="198"/>
      <c r="UJB120" s="199"/>
      <c r="UJC120" s="198"/>
      <c r="UJD120" s="199"/>
      <c r="UJE120" s="198"/>
      <c r="UJF120" s="199"/>
      <c r="UJG120" s="198"/>
      <c r="UJH120" s="199"/>
      <c r="UJI120" s="198"/>
      <c r="UJJ120" s="199"/>
      <c r="UJK120" s="198"/>
      <c r="UJL120" s="199"/>
      <c r="UJM120" s="198"/>
      <c r="UJN120" s="199"/>
      <c r="UJO120" s="198"/>
      <c r="UJP120" s="199"/>
      <c r="UJQ120" s="198"/>
      <c r="UJR120" s="199"/>
      <c r="UJS120" s="198"/>
      <c r="UJT120" s="199"/>
      <c r="UJU120" s="198"/>
      <c r="UJV120" s="199"/>
      <c r="UJW120" s="198"/>
      <c r="UJX120" s="199"/>
      <c r="UJY120" s="198"/>
      <c r="UJZ120" s="199"/>
      <c r="UKA120" s="198"/>
      <c r="UKB120" s="199"/>
      <c r="UKC120" s="198"/>
      <c r="UKD120" s="199"/>
      <c r="UKE120" s="198"/>
      <c r="UKF120" s="199"/>
      <c r="UKG120" s="198"/>
      <c r="UKH120" s="199"/>
      <c r="UKI120" s="198"/>
      <c r="UKJ120" s="199"/>
      <c r="UKK120" s="198"/>
      <c r="UKL120" s="199"/>
      <c r="UKM120" s="198"/>
      <c r="UKN120" s="199"/>
      <c r="UKO120" s="198"/>
      <c r="UKP120" s="199"/>
      <c r="UKQ120" s="198"/>
      <c r="UKR120" s="199"/>
      <c r="UKS120" s="198"/>
      <c r="UKT120" s="199"/>
      <c r="UKU120" s="198"/>
      <c r="UKV120" s="199"/>
      <c r="UKW120" s="198"/>
      <c r="UKX120" s="199"/>
      <c r="UKY120" s="198"/>
      <c r="UKZ120" s="199"/>
      <c r="ULA120" s="198"/>
      <c r="ULB120" s="199"/>
      <c r="ULC120" s="198"/>
      <c r="ULD120" s="199"/>
      <c r="ULE120" s="198"/>
      <c r="ULF120" s="199"/>
      <c r="ULG120" s="198"/>
      <c r="ULH120" s="199"/>
      <c r="ULI120" s="198"/>
      <c r="ULJ120" s="199"/>
      <c r="ULK120" s="198"/>
      <c r="ULL120" s="199"/>
      <c r="ULM120" s="198"/>
      <c r="ULN120" s="199"/>
      <c r="ULO120" s="198"/>
      <c r="ULP120" s="199"/>
      <c r="ULQ120" s="198"/>
      <c r="ULR120" s="199"/>
      <c r="ULS120" s="198"/>
      <c r="ULT120" s="199"/>
      <c r="ULU120" s="198"/>
      <c r="ULV120" s="199"/>
      <c r="ULW120" s="198"/>
      <c r="ULX120" s="199"/>
      <c r="ULY120" s="198"/>
      <c r="ULZ120" s="199"/>
      <c r="UMA120" s="198"/>
      <c r="UMB120" s="199"/>
      <c r="UMC120" s="198"/>
      <c r="UMD120" s="199"/>
      <c r="UME120" s="198"/>
      <c r="UMF120" s="199"/>
      <c r="UMG120" s="198"/>
      <c r="UMH120" s="199"/>
      <c r="UMI120" s="198"/>
      <c r="UMJ120" s="199"/>
      <c r="UMK120" s="198"/>
      <c r="UML120" s="199"/>
      <c r="UMM120" s="198"/>
      <c r="UMN120" s="199"/>
      <c r="UMO120" s="198"/>
      <c r="UMP120" s="199"/>
      <c r="UMQ120" s="198"/>
      <c r="UMR120" s="199"/>
      <c r="UMS120" s="198"/>
      <c r="UMT120" s="199"/>
      <c r="UMU120" s="198"/>
      <c r="UMV120" s="199"/>
      <c r="UMW120" s="198"/>
      <c r="UMX120" s="199"/>
      <c r="UMY120" s="198"/>
      <c r="UMZ120" s="199"/>
      <c r="UNA120" s="198"/>
      <c r="UNB120" s="199"/>
      <c r="UNC120" s="198"/>
      <c r="UND120" s="199"/>
      <c r="UNE120" s="198"/>
      <c r="UNF120" s="199"/>
      <c r="UNG120" s="198"/>
      <c r="UNH120" s="199"/>
      <c r="UNI120" s="198"/>
      <c r="UNJ120" s="199"/>
      <c r="UNK120" s="198"/>
      <c r="UNL120" s="199"/>
      <c r="UNM120" s="198"/>
      <c r="UNN120" s="199"/>
      <c r="UNO120" s="198"/>
      <c r="UNP120" s="199"/>
      <c r="UNQ120" s="198"/>
      <c r="UNR120" s="199"/>
      <c r="UNS120" s="198"/>
      <c r="UNT120" s="199"/>
      <c r="UNU120" s="198"/>
      <c r="UNV120" s="199"/>
      <c r="UNW120" s="198"/>
      <c r="UNX120" s="199"/>
      <c r="UNY120" s="198"/>
      <c r="UNZ120" s="199"/>
      <c r="UOA120" s="198"/>
      <c r="UOB120" s="199"/>
      <c r="UOC120" s="198"/>
      <c r="UOD120" s="199"/>
      <c r="UOE120" s="198"/>
      <c r="UOF120" s="199"/>
      <c r="UOG120" s="198"/>
      <c r="UOH120" s="199"/>
      <c r="UOI120" s="198"/>
      <c r="UOJ120" s="199"/>
      <c r="UOK120" s="198"/>
      <c r="UOL120" s="199"/>
      <c r="UOM120" s="198"/>
      <c r="UON120" s="199"/>
      <c r="UOO120" s="198"/>
      <c r="UOP120" s="199"/>
      <c r="UOQ120" s="198"/>
      <c r="UOR120" s="199"/>
      <c r="UOS120" s="198"/>
      <c r="UOT120" s="199"/>
      <c r="UOU120" s="198"/>
      <c r="UOV120" s="199"/>
      <c r="UOW120" s="198"/>
      <c r="UOX120" s="199"/>
      <c r="UOY120" s="198"/>
      <c r="UOZ120" s="199"/>
      <c r="UPA120" s="198"/>
      <c r="UPB120" s="199"/>
      <c r="UPC120" s="198"/>
      <c r="UPD120" s="199"/>
      <c r="UPE120" s="198"/>
      <c r="UPF120" s="199"/>
      <c r="UPG120" s="198"/>
      <c r="UPH120" s="199"/>
      <c r="UPI120" s="198"/>
      <c r="UPJ120" s="199"/>
      <c r="UPK120" s="198"/>
      <c r="UPL120" s="199"/>
      <c r="UPM120" s="198"/>
      <c r="UPN120" s="199"/>
      <c r="UPO120" s="198"/>
      <c r="UPP120" s="199"/>
      <c r="UPQ120" s="198"/>
      <c r="UPR120" s="199"/>
      <c r="UPS120" s="198"/>
      <c r="UPT120" s="199"/>
      <c r="UPU120" s="198"/>
      <c r="UPV120" s="199"/>
      <c r="UPW120" s="198"/>
      <c r="UPX120" s="199"/>
      <c r="UPY120" s="198"/>
      <c r="UPZ120" s="199"/>
      <c r="UQA120" s="198"/>
      <c r="UQB120" s="199"/>
      <c r="UQC120" s="198"/>
      <c r="UQD120" s="199"/>
      <c r="UQE120" s="198"/>
      <c r="UQF120" s="199"/>
      <c r="UQG120" s="198"/>
      <c r="UQH120" s="199"/>
      <c r="UQI120" s="198"/>
      <c r="UQJ120" s="199"/>
      <c r="UQK120" s="198"/>
      <c r="UQL120" s="199"/>
      <c r="UQM120" s="198"/>
      <c r="UQN120" s="199"/>
      <c r="UQO120" s="198"/>
      <c r="UQP120" s="199"/>
      <c r="UQQ120" s="198"/>
      <c r="UQR120" s="199"/>
      <c r="UQS120" s="198"/>
      <c r="UQT120" s="199"/>
      <c r="UQU120" s="198"/>
      <c r="UQV120" s="199"/>
      <c r="UQW120" s="198"/>
      <c r="UQX120" s="199"/>
      <c r="UQY120" s="198"/>
      <c r="UQZ120" s="199"/>
      <c r="URA120" s="198"/>
      <c r="URB120" s="199"/>
      <c r="URC120" s="198"/>
      <c r="URD120" s="199"/>
      <c r="URE120" s="198"/>
      <c r="URF120" s="199"/>
      <c r="URG120" s="198"/>
      <c r="URH120" s="199"/>
      <c r="URI120" s="198"/>
      <c r="URJ120" s="199"/>
      <c r="URK120" s="198"/>
      <c r="URL120" s="199"/>
      <c r="URM120" s="198"/>
      <c r="URN120" s="199"/>
      <c r="URO120" s="198"/>
      <c r="URP120" s="199"/>
      <c r="URQ120" s="198"/>
      <c r="URR120" s="199"/>
      <c r="URS120" s="198"/>
      <c r="URT120" s="199"/>
      <c r="URU120" s="198"/>
      <c r="URV120" s="199"/>
      <c r="URW120" s="198"/>
      <c r="URX120" s="199"/>
      <c r="URY120" s="198"/>
      <c r="URZ120" s="199"/>
      <c r="USA120" s="198"/>
      <c r="USB120" s="199"/>
      <c r="USC120" s="198"/>
      <c r="USD120" s="199"/>
      <c r="USE120" s="198"/>
      <c r="USF120" s="199"/>
      <c r="USG120" s="198"/>
      <c r="USH120" s="199"/>
      <c r="USI120" s="198"/>
      <c r="USJ120" s="199"/>
      <c r="USK120" s="198"/>
      <c r="USL120" s="199"/>
      <c r="USM120" s="198"/>
      <c r="USN120" s="199"/>
      <c r="USO120" s="198"/>
      <c r="USP120" s="199"/>
      <c r="USQ120" s="198"/>
      <c r="USR120" s="199"/>
      <c r="USS120" s="198"/>
      <c r="UST120" s="199"/>
      <c r="USU120" s="198"/>
      <c r="USV120" s="199"/>
      <c r="USW120" s="198"/>
      <c r="USX120" s="199"/>
      <c r="USY120" s="198"/>
      <c r="USZ120" s="199"/>
      <c r="UTA120" s="198"/>
      <c r="UTB120" s="199"/>
      <c r="UTC120" s="198"/>
      <c r="UTD120" s="199"/>
      <c r="UTE120" s="198"/>
      <c r="UTF120" s="199"/>
      <c r="UTG120" s="198"/>
      <c r="UTH120" s="199"/>
      <c r="UTI120" s="198"/>
      <c r="UTJ120" s="199"/>
      <c r="UTK120" s="198"/>
      <c r="UTL120" s="199"/>
      <c r="UTM120" s="198"/>
      <c r="UTN120" s="199"/>
      <c r="UTO120" s="198"/>
      <c r="UTP120" s="199"/>
      <c r="UTQ120" s="198"/>
      <c r="UTR120" s="199"/>
      <c r="UTS120" s="198"/>
      <c r="UTT120" s="199"/>
      <c r="UTU120" s="198"/>
      <c r="UTV120" s="199"/>
      <c r="UTW120" s="198"/>
      <c r="UTX120" s="199"/>
      <c r="UTY120" s="198"/>
      <c r="UTZ120" s="199"/>
      <c r="UUA120" s="198"/>
      <c r="UUB120" s="199"/>
      <c r="UUC120" s="198"/>
      <c r="UUD120" s="199"/>
      <c r="UUE120" s="198"/>
      <c r="UUF120" s="199"/>
      <c r="UUG120" s="198"/>
      <c r="UUH120" s="199"/>
      <c r="UUI120" s="198"/>
      <c r="UUJ120" s="199"/>
      <c r="UUK120" s="198"/>
      <c r="UUL120" s="199"/>
      <c r="UUM120" s="198"/>
      <c r="UUN120" s="199"/>
      <c r="UUO120" s="198"/>
      <c r="UUP120" s="199"/>
      <c r="UUQ120" s="198"/>
      <c r="UUR120" s="199"/>
      <c r="UUS120" s="198"/>
      <c r="UUT120" s="199"/>
      <c r="UUU120" s="198"/>
      <c r="UUV120" s="199"/>
      <c r="UUW120" s="198"/>
      <c r="UUX120" s="199"/>
      <c r="UUY120" s="198"/>
      <c r="UUZ120" s="199"/>
      <c r="UVA120" s="198"/>
      <c r="UVB120" s="199"/>
      <c r="UVC120" s="198"/>
      <c r="UVD120" s="199"/>
      <c r="UVE120" s="198"/>
      <c r="UVF120" s="199"/>
      <c r="UVG120" s="198"/>
      <c r="UVH120" s="199"/>
      <c r="UVI120" s="198"/>
      <c r="UVJ120" s="199"/>
      <c r="UVK120" s="198"/>
      <c r="UVL120" s="199"/>
      <c r="UVM120" s="198"/>
      <c r="UVN120" s="199"/>
      <c r="UVO120" s="198"/>
      <c r="UVP120" s="199"/>
      <c r="UVQ120" s="198"/>
      <c r="UVR120" s="199"/>
      <c r="UVS120" s="198"/>
      <c r="UVT120" s="199"/>
      <c r="UVU120" s="198"/>
      <c r="UVV120" s="199"/>
      <c r="UVW120" s="198"/>
      <c r="UVX120" s="199"/>
      <c r="UVY120" s="198"/>
      <c r="UVZ120" s="199"/>
      <c r="UWA120" s="198"/>
      <c r="UWB120" s="199"/>
      <c r="UWC120" s="198"/>
      <c r="UWD120" s="199"/>
      <c r="UWE120" s="198"/>
      <c r="UWF120" s="199"/>
      <c r="UWG120" s="198"/>
      <c r="UWH120" s="199"/>
      <c r="UWI120" s="198"/>
      <c r="UWJ120" s="199"/>
      <c r="UWK120" s="198"/>
      <c r="UWL120" s="199"/>
      <c r="UWM120" s="198"/>
      <c r="UWN120" s="199"/>
      <c r="UWO120" s="198"/>
      <c r="UWP120" s="199"/>
      <c r="UWQ120" s="198"/>
      <c r="UWR120" s="199"/>
      <c r="UWS120" s="198"/>
      <c r="UWT120" s="199"/>
      <c r="UWU120" s="198"/>
      <c r="UWV120" s="199"/>
      <c r="UWW120" s="198"/>
      <c r="UWX120" s="199"/>
      <c r="UWY120" s="198"/>
      <c r="UWZ120" s="199"/>
      <c r="UXA120" s="198"/>
      <c r="UXB120" s="199"/>
      <c r="UXC120" s="198"/>
      <c r="UXD120" s="199"/>
      <c r="UXE120" s="198"/>
      <c r="UXF120" s="199"/>
      <c r="UXG120" s="198"/>
      <c r="UXH120" s="199"/>
      <c r="UXI120" s="198"/>
      <c r="UXJ120" s="199"/>
      <c r="UXK120" s="198"/>
      <c r="UXL120" s="199"/>
      <c r="UXM120" s="198"/>
      <c r="UXN120" s="199"/>
      <c r="UXO120" s="198"/>
      <c r="UXP120" s="199"/>
      <c r="UXQ120" s="198"/>
      <c r="UXR120" s="199"/>
      <c r="UXS120" s="198"/>
      <c r="UXT120" s="199"/>
      <c r="UXU120" s="198"/>
      <c r="UXV120" s="199"/>
      <c r="UXW120" s="198"/>
      <c r="UXX120" s="199"/>
      <c r="UXY120" s="198"/>
      <c r="UXZ120" s="199"/>
      <c r="UYA120" s="198"/>
      <c r="UYB120" s="199"/>
      <c r="UYC120" s="198"/>
      <c r="UYD120" s="199"/>
      <c r="UYE120" s="198"/>
      <c r="UYF120" s="199"/>
      <c r="UYG120" s="198"/>
      <c r="UYH120" s="199"/>
      <c r="UYI120" s="198"/>
      <c r="UYJ120" s="199"/>
      <c r="UYK120" s="198"/>
      <c r="UYL120" s="199"/>
      <c r="UYM120" s="198"/>
      <c r="UYN120" s="199"/>
      <c r="UYO120" s="198"/>
      <c r="UYP120" s="199"/>
      <c r="UYQ120" s="198"/>
      <c r="UYR120" s="199"/>
      <c r="UYS120" s="198"/>
      <c r="UYT120" s="199"/>
      <c r="UYU120" s="198"/>
      <c r="UYV120" s="199"/>
      <c r="UYW120" s="198"/>
      <c r="UYX120" s="199"/>
      <c r="UYY120" s="198"/>
      <c r="UYZ120" s="199"/>
      <c r="UZA120" s="198"/>
      <c r="UZB120" s="199"/>
      <c r="UZC120" s="198"/>
      <c r="UZD120" s="199"/>
      <c r="UZE120" s="198"/>
      <c r="UZF120" s="199"/>
      <c r="UZG120" s="198"/>
      <c r="UZH120" s="199"/>
      <c r="UZI120" s="198"/>
      <c r="UZJ120" s="199"/>
      <c r="UZK120" s="198"/>
      <c r="UZL120" s="199"/>
      <c r="UZM120" s="198"/>
      <c r="UZN120" s="199"/>
      <c r="UZO120" s="198"/>
      <c r="UZP120" s="199"/>
      <c r="UZQ120" s="198"/>
      <c r="UZR120" s="199"/>
      <c r="UZS120" s="198"/>
      <c r="UZT120" s="199"/>
      <c r="UZU120" s="198"/>
      <c r="UZV120" s="199"/>
      <c r="UZW120" s="198"/>
      <c r="UZX120" s="199"/>
      <c r="UZY120" s="198"/>
      <c r="UZZ120" s="199"/>
      <c r="VAA120" s="198"/>
      <c r="VAB120" s="199"/>
      <c r="VAC120" s="198"/>
      <c r="VAD120" s="199"/>
      <c r="VAE120" s="198"/>
      <c r="VAF120" s="199"/>
      <c r="VAG120" s="198"/>
      <c r="VAH120" s="199"/>
      <c r="VAI120" s="198"/>
      <c r="VAJ120" s="199"/>
      <c r="VAK120" s="198"/>
      <c r="VAL120" s="199"/>
      <c r="VAM120" s="198"/>
      <c r="VAN120" s="199"/>
      <c r="VAO120" s="198"/>
      <c r="VAP120" s="199"/>
      <c r="VAQ120" s="198"/>
      <c r="VAR120" s="199"/>
      <c r="VAS120" s="198"/>
      <c r="VAT120" s="199"/>
      <c r="VAU120" s="198"/>
      <c r="VAV120" s="199"/>
      <c r="VAW120" s="198"/>
      <c r="VAX120" s="199"/>
      <c r="VAY120" s="198"/>
      <c r="VAZ120" s="199"/>
      <c r="VBA120" s="198"/>
      <c r="VBB120" s="199"/>
      <c r="VBC120" s="198"/>
      <c r="VBD120" s="199"/>
      <c r="VBE120" s="198"/>
      <c r="VBF120" s="199"/>
      <c r="VBG120" s="198"/>
      <c r="VBH120" s="199"/>
      <c r="VBI120" s="198"/>
      <c r="VBJ120" s="199"/>
      <c r="VBK120" s="198"/>
      <c r="VBL120" s="199"/>
      <c r="VBM120" s="198"/>
      <c r="VBN120" s="199"/>
      <c r="VBO120" s="198"/>
      <c r="VBP120" s="199"/>
      <c r="VBQ120" s="198"/>
      <c r="VBR120" s="199"/>
      <c r="VBS120" s="198"/>
      <c r="VBT120" s="199"/>
      <c r="VBU120" s="198"/>
      <c r="VBV120" s="199"/>
      <c r="VBW120" s="198"/>
      <c r="VBX120" s="199"/>
      <c r="VBY120" s="198"/>
      <c r="VBZ120" s="199"/>
      <c r="VCA120" s="198"/>
      <c r="VCB120" s="199"/>
      <c r="VCC120" s="198"/>
      <c r="VCD120" s="199"/>
      <c r="VCE120" s="198"/>
      <c r="VCF120" s="199"/>
      <c r="VCG120" s="198"/>
      <c r="VCH120" s="199"/>
      <c r="VCI120" s="198"/>
      <c r="VCJ120" s="199"/>
      <c r="VCK120" s="198"/>
      <c r="VCL120" s="199"/>
      <c r="VCM120" s="198"/>
      <c r="VCN120" s="199"/>
      <c r="VCO120" s="198"/>
      <c r="VCP120" s="199"/>
      <c r="VCQ120" s="198"/>
      <c r="VCR120" s="199"/>
      <c r="VCS120" s="198"/>
      <c r="VCT120" s="199"/>
      <c r="VCU120" s="198"/>
      <c r="VCV120" s="199"/>
      <c r="VCW120" s="198"/>
      <c r="VCX120" s="199"/>
      <c r="VCY120" s="198"/>
      <c r="VCZ120" s="199"/>
      <c r="VDA120" s="198"/>
      <c r="VDB120" s="199"/>
      <c r="VDC120" s="198"/>
      <c r="VDD120" s="199"/>
      <c r="VDE120" s="198"/>
      <c r="VDF120" s="199"/>
      <c r="VDG120" s="198"/>
      <c r="VDH120" s="199"/>
      <c r="VDI120" s="198"/>
      <c r="VDJ120" s="199"/>
      <c r="VDK120" s="198"/>
      <c r="VDL120" s="199"/>
      <c r="VDM120" s="198"/>
      <c r="VDN120" s="199"/>
      <c r="VDO120" s="198"/>
      <c r="VDP120" s="199"/>
      <c r="VDQ120" s="198"/>
      <c r="VDR120" s="199"/>
      <c r="VDS120" s="198"/>
      <c r="VDT120" s="199"/>
      <c r="VDU120" s="198"/>
      <c r="VDV120" s="199"/>
      <c r="VDW120" s="198"/>
      <c r="VDX120" s="199"/>
      <c r="VDY120" s="198"/>
      <c r="VDZ120" s="199"/>
      <c r="VEA120" s="198"/>
      <c r="VEB120" s="199"/>
      <c r="VEC120" s="198"/>
      <c r="VED120" s="199"/>
      <c r="VEE120" s="198"/>
      <c r="VEF120" s="199"/>
      <c r="VEG120" s="198"/>
      <c r="VEH120" s="199"/>
      <c r="VEI120" s="198"/>
      <c r="VEJ120" s="199"/>
      <c r="VEK120" s="198"/>
      <c r="VEL120" s="199"/>
      <c r="VEM120" s="198"/>
      <c r="VEN120" s="199"/>
      <c r="VEO120" s="198"/>
      <c r="VEP120" s="199"/>
      <c r="VEQ120" s="198"/>
      <c r="VER120" s="199"/>
      <c r="VES120" s="198"/>
      <c r="VET120" s="199"/>
      <c r="VEU120" s="198"/>
      <c r="VEV120" s="199"/>
      <c r="VEW120" s="198"/>
      <c r="VEX120" s="199"/>
      <c r="VEY120" s="198"/>
      <c r="VEZ120" s="199"/>
      <c r="VFA120" s="198"/>
      <c r="VFB120" s="199"/>
      <c r="VFC120" s="198"/>
      <c r="VFD120" s="199"/>
      <c r="VFE120" s="198"/>
      <c r="VFF120" s="199"/>
      <c r="VFG120" s="198"/>
      <c r="VFH120" s="199"/>
      <c r="VFI120" s="198"/>
      <c r="VFJ120" s="199"/>
      <c r="VFK120" s="198"/>
      <c r="VFL120" s="199"/>
      <c r="VFM120" s="198"/>
      <c r="VFN120" s="199"/>
      <c r="VFO120" s="198"/>
      <c r="VFP120" s="199"/>
      <c r="VFQ120" s="198"/>
      <c r="VFR120" s="199"/>
      <c r="VFS120" s="198"/>
      <c r="VFT120" s="199"/>
      <c r="VFU120" s="198"/>
      <c r="VFV120" s="199"/>
      <c r="VFW120" s="198"/>
      <c r="VFX120" s="199"/>
      <c r="VFY120" s="198"/>
      <c r="VFZ120" s="199"/>
      <c r="VGA120" s="198"/>
      <c r="VGB120" s="199"/>
      <c r="VGC120" s="198"/>
      <c r="VGD120" s="199"/>
      <c r="VGE120" s="198"/>
      <c r="VGF120" s="199"/>
      <c r="VGG120" s="198"/>
      <c r="VGH120" s="199"/>
      <c r="VGI120" s="198"/>
      <c r="VGJ120" s="199"/>
      <c r="VGK120" s="198"/>
      <c r="VGL120" s="199"/>
      <c r="VGM120" s="198"/>
      <c r="VGN120" s="199"/>
      <c r="VGO120" s="198"/>
      <c r="VGP120" s="199"/>
      <c r="VGQ120" s="198"/>
      <c r="VGR120" s="199"/>
      <c r="VGS120" s="198"/>
      <c r="VGT120" s="199"/>
      <c r="VGU120" s="198"/>
      <c r="VGV120" s="199"/>
      <c r="VGW120" s="198"/>
      <c r="VGX120" s="199"/>
      <c r="VGY120" s="198"/>
      <c r="VGZ120" s="199"/>
      <c r="VHA120" s="198"/>
      <c r="VHB120" s="199"/>
      <c r="VHC120" s="198"/>
      <c r="VHD120" s="199"/>
      <c r="VHE120" s="198"/>
      <c r="VHF120" s="199"/>
      <c r="VHG120" s="198"/>
      <c r="VHH120" s="199"/>
      <c r="VHI120" s="198"/>
      <c r="VHJ120" s="199"/>
      <c r="VHK120" s="198"/>
      <c r="VHL120" s="199"/>
      <c r="VHM120" s="198"/>
      <c r="VHN120" s="199"/>
      <c r="VHO120" s="198"/>
      <c r="VHP120" s="199"/>
      <c r="VHQ120" s="198"/>
      <c r="VHR120" s="199"/>
      <c r="VHS120" s="198"/>
      <c r="VHT120" s="199"/>
      <c r="VHU120" s="198"/>
      <c r="VHV120" s="199"/>
      <c r="VHW120" s="198"/>
      <c r="VHX120" s="199"/>
      <c r="VHY120" s="198"/>
      <c r="VHZ120" s="199"/>
      <c r="VIA120" s="198"/>
      <c r="VIB120" s="199"/>
      <c r="VIC120" s="198"/>
      <c r="VID120" s="199"/>
      <c r="VIE120" s="198"/>
      <c r="VIF120" s="199"/>
      <c r="VIG120" s="198"/>
      <c r="VIH120" s="199"/>
      <c r="VII120" s="198"/>
      <c r="VIJ120" s="199"/>
      <c r="VIK120" s="198"/>
      <c r="VIL120" s="199"/>
      <c r="VIM120" s="198"/>
      <c r="VIN120" s="199"/>
      <c r="VIO120" s="198"/>
      <c r="VIP120" s="199"/>
      <c r="VIQ120" s="198"/>
      <c r="VIR120" s="199"/>
      <c r="VIS120" s="198"/>
      <c r="VIT120" s="199"/>
      <c r="VIU120" s="198"/>
      <c r="VIV120" s="199"/>
      <c r="VIW120" s="198"/>
      <c r="VIX120" s="199"/>
      <c r="VIY120" s="198"/>
      <c r="VIZ120" s="199"/>
      <c r="VJA120" s="198"/>
      <c r="VJB120" s="199"/>
      <c r="VJC120" s="198"/>
      <c r="VJD120" s="199"/>
      <c r="VJE120" s="198"/>
      <c r="VJF120" s="199"/>
      <c r="VJG120" s="198"/>
      <c r="VJH120" s="199"/>
      <c r="VJI120" s="198"/>
      <c r="VJJ120" s="199"/>
      <c r="VJK120" s="198"/>
      <c r="VJL120" s="199"/>
      <c r="VJM120" s="198"/>
      <c r="VJN120" s="199"/>
      <c r="VJO120" s="198"/>
      <c r="VJP120" s="199"/>
      <c r="VJQ120" s="198"/>
      <c r="VJR120" s="199"/>
      <c r="VJS120" s="198"/>
      <c r="VJT120" s="199"/>
      <c r="VJU120" s="198"/>
      <c r="VJV120" s="199"/>
      <c r="VJW120" s="198"/>
      <c r="VJX120" s="199"/>
      <c r="VJY120" s="198"/>
      <c r="VJZ120" s="199"/>
      <c r="VKA120" s="198"/>
      <c r="VKB120" s="199"/>
      <c r="VKC120" s="198"/>
      <c r="VKD120" s="199"/>
      <c r="VKE120" s="198"/>
      <c r="VKF120" s="199"/>
      <c r="VKG120" s="198"/>
      <c r="VKH120" s="199"/>
      <c r="VKI120" s="198"/>
      <c r="VKJ120" s="199"/>
      <c r="VKK120" s="198"/>
      <c r="VKL120" s="199"/>
      <c r="VKM120" s="198"/>
      <c r="VKN120" s="199"/>
      <c r="VKO120" s="198"/>
      <c r="VKP120" s="199"/>
      <c r="VKQ120" s="198"/>
      <c r="VKR120" s="199"/>
      <c r="VKS120" s="198"/>
      <c r="VKT120" s="199"/>
      <c r="VKU120" s="198"/>
      <c r="VKV120" s="199"/>
      <c r="VKW120" s="198"/>
      <c r="VKX120" s="199"/>
      <c r="VKY120" s="198"/>
      <c r="VKZ120" s="199"/>
      <c r="VLA120" s="198"/>
      <c r="VLB120" s="199"/>
      <c r="VLC120" s="198"/>
      <c r="VLD120" s="199"/>
      <c r="VLE120" s="198"/>
      <c r="VLF120" s="199"/>
      <c r="VLG120" s="198"/>
      <c r="VLH120" s="199"/>
      <c r="VLI120" s="198"/>
      <c r="VLJ120" s="199"/>
      <c r="VLK120" s="198"/>
      <c r="VLL120" s="199"/>
      <c r="VLM120" s="198"/>
      <c r="VLN120" s="199"/>
      <c r="VLO120" s="198"/>
      <c r="VLP120" s="199"/>
      <c r="VLQ120" s="198"/>
      <c r="VLR120" s="199"/>
      <c r="VLS120" s="198"/>
      <c r="VLT120" s="199"/>
      <c r="VLU120" s="198"/>
      <c r="VLV120" s="199"/>
      <c r="VLW120" s="198"/>
      <c r="VLX120" s="199"/>
      <c r="VLY120" s="198"/>
      <c r="VLZ120" s="199"/>
      <c r="VMA120" s="198"/>
      <c r="VMB120" s="199"/>
      <c r="VMC120" s="198"/>
      <c r="VMD120" s="199"/>
      <c r="VME120" s="198"/>
      <c r="VMF120" s="199"/>
      <c r="VMG120" s="198"/>
      <c r="VMH120" s="199"/>
      <c r="VMI120" s="198"/>
      <c r="VMJ120" s="199"/>
      <c r="VMK120" s="198"/>
      <c r="VML120" s="199"/>
      <c r="VMM120" s="198"/>
      <c r="VMN120" s="199"/>
      <c r="VMO120" s="198"/>
      <c r="VMP120" s="199"/>
      <c r="VMQ120" s="198"/>
      <c r="VMR120" s="199"/>
      <c r="VMS120" s="198"/>
      <c r="VMT120" s="199"/>
      <c r="VMU120" s="198"/>
      <c r="VMV120" s="199"/>
      <c r="VMW120" s="198"/>
      <c r="VMX120" s="199"/>
      <c r="VMY120" s="198"/>
      <c r="VMZ120" s="199"/>
      <c r="VNA120" s="198"/>
      <c r="VNB120" s="199"/>
      <c r="VNC120" s="198"/>
      <c r="VND120" s="199"/>
      <c r="VNE120" s="198"/>
      <c r="VNF120" s="199"/>
      <c r="VNG120" s="198"/>
      <c r="VNH120" s="199"/>
      <c r="VNI120" s="198"/>
      <c r="VNJ120" s="199"/>
      <c r="VNK120" s="198"/>
      <c r="VNL120" s="199"/>
      <c r="VNM120" s="198"/>
      <c r="VNN120" s="199"/>
      <c r="VNO120" s="198"/>
      <c r="VNP120" s="199"/>
      <c r="VNQ120" s="198"/>
      <c r="VNR120" s="199"/>
      <c r="VNS120" s="198"/>
      <c r="VNT120" s="199"/>
      <c r="VNU120" s="198"/>
      <c r="VNV120" s="199"/>
      <c r="VNW120" s="198"/>
      <c r="VNX120" s="199"/>
      <c r="VNY120" s="198"/>
      <c r="VNZ120" s="199"/>
      <c r="VOA120" s="198"/>
      <c r="VOB120" s="199"/>
      <c r="VOC120" s="198"/>
      <c r="VOD120" s="199"/>
      <c r="VOE120" s="198"/>
      <c r="VOF120" s="199"/>
      <c r="VOG120" s="198"/>
      <c r="VOH120" s="199"/>
      <c r="VOI120" s="198"/>
      <c r="VOJ120" s="199"/>
      <c r="VOK120" s="198"/>
      <c r="VOL120" s="199"/>
      <c r="VOM120" s="198"/>
      <c r="VON120" s="199"/>
      <c r="VOO120" s="198"/>
      <c r="VOP120" s="199"/>
      <c r="VOQ120" s="198"/>
      <c r="VOR120" s="199"/>
      <c r="VOS120" s="198"/>
      <c r="VOT120" s="199"/>
      <c r="VOU120" s="198"/>
      <c r="VOV120" s="199"/>
      <c r="VOW120" s="198"/>
      <c r="VOX120" s="199"/>
      <c r="VOY120" s="198"/>
      <c r="VOZ120" s="199"/>
      <c r="VPA120" s="198"/>
      <c r="VPB120" s="199"/>
      <c r="VPC120" s="198"/>
      <c r="VPD120" s="199"/>
      <c r="VPE120" s="198"/>
      <c r="VPF120" s="199"/>
      <c r="VPG120" s="198"/>
      <c r="VPH120" s="199"/>
      <c r="VPI120" s="198"/>
      <c r="VPJ120" s="199"/>
      <c r="VPK120" s="198"/>
      <c r="VPL120" s="199"/>
      <c r="VPM120" s="198"/>
      <c r="VPN120" s="199"/>
      <c r="VPO120" s="198"/>
      <c r="VPP120" s="199"/>
      <c r="VPQ120" s="198"/>
      <c r="VPR120" s="199"/>
      <c r="VPS120" s="198"/>
      <c r="VPT120" s="199"/>
      <c r="VPU120" s="198"/>
      <c r="VPV120" s="199"/>
      <c r="VPW120" s="198"/>
      <c r="VPX120" s="199"/>
      <c r="VPY120" s="198"/>
      <c r="VPZ120" s="199"/>
      <c r="VQA120" s="198"/>
      <c r="VQB120" s="199"/>
      <c r="VQC120" s="198"/>
      <c r="VQD120" s="199"/>
      <c r="VQE120" s="198"/>
      <c r="VQF120" s="199"/>
      <c r="VQG120" s="198"/>
      <c r="VQH120" s="199"/>
      <c r="VQI120" s="198"/>
      <c r="VQJ120" s="199"/>
      <c r="VQK120" s="198"/>
      <c r="VQL120" s="199"/>
      <c r="VQM120" s="198"/>
      <c r="VQN120" s="199"/>
      <c r="VQO120" s="198"/>
      <c r="VQP120" s="199"/>
      <c r="VQQ120" s="198"/>
      <c r="VQR120" s="199"/>
      <c r="VQS120" s="198"/>
      <c r="VQT120" s="199"/>
      <c r="VQU120" s="198"/>
      <c r="VQV120" s="199"/>
      <c r="VQW120" s="198"/>
      <c r="VQX120" s="199"/>
      <c r="VQY120" s="198"/>
      <c r="VQZ120" s="199"/>
      <c r="VRA120" s="198"/>
      <c r="VRB120" s="199"/>
      <c r="VRC120" s="198"/>
      <c r="VRD120" s="199"/>
      <c r="VRE120" s="198"/>
      <c r="VRF120" s="199"/>
      <c r="VRG120" s="198"/>
      <c r="VRH120" s="199"/>
      <c r="VRI120" s="198"/>
      <c r="VRJ120" s="199"/>
      <c r="VRK120" s="198"/>
      <c r="VRL120" s="199"/>
      <c r="VRM120" s="198"/>
      <c r="VRN120" s="199"/>
      <c r="VRO120" s="198"/>
      <c r="VRP120" s="199"/>
      <c r="VRQ120" s="198"/>
      <c r="VRR120" s="199"/>
      <c r="VRS120" s="198"/>
      <c r="VRT120" s="199"/>
      <c r="VRU120" s="198"/>
      <c r="VRV120" s="199"/>
      <c r="VRW120" s="198"/>
      <c r="VRX120" s="199"/>
      <c r="VRY120" s="198"/>
      <c r="VRZ120" s="199"/>
      <c r="VSA120" s="198"/>
      <c r="VSB120" s="199"/>
      <c r="VSC120" s="198"/>
      <c r="VSD120" s="199"/>
      <c r="VSE120" s="198"/>
      <c r="VSF120" s="199"/>
      <c r="VSG120" s="198"/>
      <c r="VSH120" s="199"/>
      <c r="VSI120" s="198"/>
      <c r="VSJ120" s="199"/>
      <c r="VSK120" s="198"/>
      <c r="VSL120" s="199"/>
      <c r="VSM120" s="198"/>
      <c r="VSN120" s="199"/>
      <c r="VSO120" s="198"/>
      <c r="VSP120" s="199"/>
      <c r="VSQ120" s="198"/>
      <c r="VSR120" s="199"/>
      <c r="VSS120" s="198"/>
      <c r="VST120" s="199"/>
      <c r="VSU120" s="198"/>
      <c r="VSV120" s="199"/>
      <c r="VSW120" s="198"/>
      <c r="VSX120" s="199"/>
      <c r="VSY120" s="198"/>
      <c r="VSZ120" s="199"/>
      <c r="VTA120" s="198"/>
      <c r="VTB120" s="199"/>
      <c r="VTC120" s="198"/>
      <c r="VTD120" s="199"/>
      <c r="VTE120" s="198"/>
      <c r="VTF120" s="199"/>
      <c r="VTG120" s="198"/>
      <c r="VTH120" s="199"/>
      <c r="VTI120" s="198"/>
      <c r="VTJ120" s="199"/>
      <c r="VTK120" s="198"/>
      <c r="VTL120" s="199"/>
      <c r="VTM120" s="198"/>
      <c r="VTN120" s="199"/>
      <c r="VTO120" s="198"/>
      <c r="VTP120" s="199"/>
      <c r="VTQ120" s="198"/>
      <c r="VTR120" s="199"/>
      <c r="VTS120" s="198"/>
      <c r="VTT120" s="199"/>
      <c r="VTU120" s="198"/>
      <c r="VTV120" s="199"/>
      <c r="VTW120" s="198"/>
      <c r="VTX120" s="199"/>
      <c r="VTY120" s="198"/>
      <c r="VTZ120" s="199"/>
      <c r="VUA120" s="198"/>
      <c r="VUB120" s="199"/>
      <c r="VUC120" s="198"/>
      <c r="VUD120" s="199"/>
      <c r="VUE120" s="198"/>
      <c r="VUF120" s="199"/>
      <c r="VUG120" s="198"/>
      <c r="VUH120" s="199"/>
      <c r="VUI120" s="198"/>
      <c r="VUJ120" s="199"/>
      <c r="VUK120" s="198"/>
      <c r="VUL120" s="199"/>
      <c r="VUM120" s="198"/>
      <c r="VUN120" s="199"/>
      <c r="VUO120" s="198"/>
      <c r="VUP120" s="199"/>
      <c r="VUQ120" s="198"/>
      <c r="VUR120" s="199"/>
      <c r="VUS120" s="198"/>
      <c r="VUT120" s="199"/>
      <c r="VUU120" s="198"/>
      <c r="VUV120" s="199"/>
      <c r="VUW120" s="198"/>
      <c r="VUX120" s="199"/>
      <c r="VUY120" s="198"/>
      <c r="VUZ120" s="199"/>
      <c r="VVA120" s="198"/>
      <c r="VVB120" s="199"/>
      <c r="VVC120" s="198"/>
      <c r="VVD120" s="199"/>
      <c r="VVE120" s="198"/>
      <c r="VVF120" s="199"/>
      <c r="VVG120" s="198"/>
      <c r="VVH120" s="199"/>
      <c r="VVI120" s="198"/>
      <c r="VVJ120" s="199"/>
      <c r="VVK120" s="198"/>
      <c r="VVL120" s="199"/>
      <c r="VVM120" s="198"/>
      <c r="VVN120" s="199"/>
      <c r="VVO120" s="198"/>
      <c r="VVP120" s="199"/>
      <c r="VVQ120" s="198"/>
      <c r="VVR120" s="199"/>
      <c r="VVS120" s="198"/>
      <c r="VVT120" s="199"/>
      <c r="VVU120" s="198"/>
      <c r="VVV120" s="199"/>
      <c r="VVW120" s="198"/>
      <c r="VVX120" s="199"/>
      <c r="VVY120" s="198"/>
      <c r="VVZ120" s="199"/>
      <c r="VWA120" s="198"/>
      <c r="VWB120" s="199"/>
      <c r="VWC120" s="198"/>
      <c r="VWD120" s="199"/>
      <c r="VWE120" s="198"/>
      <c r="VWF120" s="199"/>
      <c r="VWG120" s="198"/>
      <c r="VWH120" s="199"/>
      <c r="VWI120" s="198"/>
      <c r="VWJ120" s="199"/>
      <c r="VWK120" s="198"/>
      <c r="VWL120" s="199"/>
      <c r="VWM120" s="198"/>
      <c r="VWN120" s="199"/>
      <c r="VWO120" s="198"/>
      <c r="VWP120" s="199"/>
      <c r="VWQ120" s="198"/>
      <c r="VWR120" s="199"/>
      <c r="VWS120" s="198"/>
      <c r="VWT120" s="199"/>
      <c r="VWU120" s="198"/>
      <c r="VWV120" s="199"/>
      <c r="VWW120" s="198"/>
      <c r="VWX120" s="199"/>
      <c r="VWY120" s="198"/>
      <c r="VWZ120" s="199"/>
      <c r="VXA120" s="198"/>
      <c r="VXB120" s="199"/>
      <c r="VXC120" s="198"/>
      <c r="VXD120" s="199"/>
      <c r="VXE120" s="198"/>
      <c r="VXF120" s="199"/>
      <c r="VXG120" s="198"/>
      <c r="VXH120" s="199"/>
      <c r="VXI120" s="198"/>
      <c r="VXJ120" s="199"/>
      <c r="VXK120" s="198"/>
      <c r="VXL120" s="199"/>
      <c r="VXM120" s="198"/>
      <c r="VXN120" s="199"/>
      <c r="VXO120" s="198"/>
      <c r="VXP120" s="199"/>
      <c r="VXQ120" s="198"/>
      <c r="VXR120" s="199"/>
      <c r="VXS120" s="198"/>
      <c r="VXT120" s="199"/>
      <c r="VXU120" s="198"/>
      <c r="VXV120" s="199"/>
      <c r="VXW120" s="198"/>
      <c r="VXX120" s="199"/>
      <c r="VXY120" s="198"/>
      <c r="VXZ120" s="199"/>
      <c r="VYA120" s="198"/>
      <c r="VYB120" s="199"/>
      <c r="VYC120" s="198"/>
      <c r="VYD120" s="199"/>
      <c r="VYE120" s="198"/>
      <c r="VYF120" s="199"/>
      <c r="VYG120" s="198"/>
      <c r="VYH120" s="199"/>
      <c r="VYI120" s="198"/>
      <c r="VYJ120" s="199"/>
      <c r="VYK120" s="198"/>
      <c r="VYL120" s="199"/>
      <c r="VYM120" s="198"/>
      <c r="VYN120" s="199"/>
      <c r="VYO120" s="198"/>
      <c r="VYP120" s="199"/>
      <c r="VYQ120" s="198"/>
      <c r="VYR120" s="199"/>
      <c r="VYS120" s="198"/>
      <c r="VYT120" s="199"/>
      <c r="VYU120" s="198"/>
      <c r="VYV120" s="199"/>
      <c r="VYW120" s="198"/>
      <c r="VYX120" s="199"/>
      <c r="VYY120" s="198"/>
      <c r="VYZ120" s="199"/>
      <c r="VZA120" s="198"/>
      <c r="VZB120" s="199"/>
      <c r="VZC120" s="198"/>
      <c r="VZD120" s="199"/>
      <c r="VZE120" s="198"/>
      <c r="VZF120" s="199"/>
      <c r="VZG120" s="198"/>
      <c r="VZH120" s="199"/>
      <c r="VZI120" s="198"/>
      <c r="VZJ120" s="199"/>
      <c r="VZK120" s="198"/>
      <c r="VZL120" s="199"/>
      <c r="VZM120" s="198"/>
      <c r="VZN120" s="199"/>
      <c r="VZO120" s="198"/>
      <c r="VZP120" s="199"/>
      <c r="VZQ120" s="198"/>
      <c r="VZR120" s="199"/>
      <c r="VZS120" s="198"/>
      <c r="VZT120" s="199"/>
      <c r="VZU120" s="198"/>
      <c r="VZV120" s="199"/>
      <c r="VZW120" s="198"/>
      <c r="VZX120" s="199"/>
      <c r="VZY120" s="198"/>
      <c r="VZZ120" s="199"/>
      <c r="WAA120" s="198"/>
      <c r="WAB120" s="199"/>
      <c r="WAC120" s="198"/>
      <c r="WAD120" s="199"/>
      <c r="WAE120" s="198"/>
      <c r="WAF120" s="199"/>
      <c r="WAG120" s="198"/>
      <c r="WAH120" s="199"/>
      <c r="WAI120" s="198"/>
      <c r="WAJ120" s="199"/>
      <c r="WAK120" s="198"/>
      <c r="WAL120" s="199"/>
      <c r="WAM120" s="198"/>
      <c r="WAN120" s="199"/>
      <c r="WAO120" s="198"/>
      <c r="WAP120" s="199"/>
      <c r="WAQ120" s="198"/>
      <c r="WAR120" s="199"/>
      <c r="WAS120" s="198"/>
      <c r="WAT120" s="199"/>
      <c r="WAU120" s="198"/>
      <c r="WAV120" s="199"/>
      <c r="WAW120" s="198"/>
      <c r="WAX120" s="199"/>
      <c r="WAY120" s="198"/>
      <c r="WAZ120" s="199"/>
      <c r="WBA120" s="198"/>
      <c r="WBB120" s="199"/>
      <c r="WBC120" s="198"/>
      <c r="WBD120" s="199"/>
      <c r="WBE120" s="198"/>
      <c r="WBF120" s="199"/>
      <c r="WBG120" s="198"/>
      <c r="WBH120" s="199"/>
      <c r="WBI120" s="198"/>
      <c r="WBJ120" s="199"/>
      <c r="WBK120" s="198"/>
      <c r="WBL120" s="199"/>
      <c r="WBM120" s="198"/>
      <c r="WBN120" s="199"/>
      <c r="WBO120" s="198"/>
      <c r="WBP120" s="199"/>
      <c r="WBQ120" s="198"/>
      <c r="WBR120" s="199"/>
      <c r="WBS120" s="198"/>
      <c r="WBT120" s="199"/>
      <c r="WBU120" s="198"/>
      <c r="WBV120" s="199"/>
      <c r="WBW120" s="198"/>
      <c r="WBX120" s="199"/>
      <c r="WBY120" s="198"/>
      <c r="WBZ120" s="199"/>
      <c r="WCA120" s="198"/>
      <c r="WCB120" s="199"/>
      <c r="WCC120" s="198"/>
      <c r="WCD120" s="199"/>
      <c r="WCE120" s="198"/>
      <c r="WCF120" s="199"/>
      <c r="WCG120" s="198"/>
      <c r="WCH120" s="199"/>
      <c r="WCI120" s="198"/>
      <c r="WCJ120" s="199"/>
      <c r="WCK120" s="198"/>
      <c r="WCL120" s="199"/>
      <c r="WCM120" s="198"/>
      <c r="WCN120" s="199"/>
      <c r="WCO120" s="198"/>
      <c r="WCP120" s="199"/>
      <c r="WCQ120" s="198"/>
      <c r="WCR120" s="199"/>
      <c r="WCS120" s="198"/>
      <c r="WCT120" s="199"/>
      <c r="WCU120" s="198"/>
      <c r="WCV120" s="199"/>
      <c r="WCW120" s="198"/>
      <c r="WCX120" s="199"/>
      <c r="WCY120" s="198"/>
      <c r="WCZ120" s="199"/>
      <c r="WDA120" s="198"/>
      <c r="WDB120" s="199"/>
      <c r="WDC120" s="198"/>
      <c r="WDD120" s="199"/>
      <c r="WDE120" s="198"/>
      <c r="WDF120" s="199"/>
      <c r="WDG120" s="198"/>
      <c r="WDH120" s="199"/>
      <c r="WDI120" s="198"/>
      <c r="WDJ120" s="199"/>
      <c r="WDK120" s="198"/>
      <c r="WDL120" s="199"/>
      <c r="WDM120" s="198"/>
      <c r="WDN120" s="199"/>
      <c r="WDO120" s="198"/>
      <c r="WDP120" s="199"/>
      <c r="WDQ120" s="198"/>
      <c r="WDR120" s="199"/>
      <c r="WDS120" s="198"/>
      <c r="WDT120" s="199"/>
      <c r="WDU120" s="198"/>
      <c r="WDV120" s="199"/>
      <c r="WDW120" s="198"/>
      <c r="WDX120" s="199"/>
      <c r="WDY120" s="198"/>
      <c r="WDZ120" s="199"/>
      <c r="WEA120" s="198"/>
      <c r="WEB120" s="199"/>
      <c r="WEC120" s="198"/>
      <c r="WED120" s="199"/>
      <c r="WEE120" s="198"/>
      <c r="WEF120" s="199"/>
      <c r="WEG120" s="198"/>
      <c r="WEH120" s="199"/>
      <c r="WEI120" s="198"/>
      <c r="WEJ120" s="199"/>
      <c r="WEK120" s="198"/>
      <c r="WEL120" s="199"/>
      <c r="WEM120" s="198"/>
      <c r="WEN120" s="199"/>
      <c r="WEO120" s="198"/>
      <c r="WEP120" s="199"/>
      <c r="WEQ120" s="198"/>
      <c r="WER120" s="199"/>
      <c r="WES120" s="198"/>
      <c r="WET120" s="199"/>
      <c r="WEU120" s="198"/>
      <c r="WEV120" s="199"/>
      <c r="WEW120" s="198"/>
      <c r="WEX120" s="199"/>
      <c r="WEY120" s="198"/>
      <c r="WEZ120" s="199"/>
      <c r="WFA120" s="198"/>
      <c r="WFB120" s="199"/>
      <c r="WFC120" s="198"/>
      <c r="WFD120" s="199"/>
      <c r="WFE120" s="198"/>
      <c r="WFF120" s="199"/>
      <c r="WFG120" s="198"/>
      <c r="WFH120" s="199"/>
      <c r="WFI120" s="198"/>
      <c r="WFJ120" s="199"/>
      <c r="WFK120" s="198"/>
      <c r="WFL120" s="199"/>
      <c r="WFM120" s="198"/>
      <c r="WFN120" s="199"/>
      <c r="WFO120" s="198"/>
      <c r="WFP120" s="199"/>
      <c r="WFQ120" s="198"/>
      <c r="WFR120" s="199"/>
      <c r="WFS120" s="198"/>
      <c r="WFT120" s="199"/>
      <c r="WFU120" s="198"/>
      <c r="WFV120" s="199"/>
      <c r="WFW120" s="198"/>
      <c r="WFX120" s="199"/>
      <c r="WFY120" s="198"/>
      <c r="WFZ120" s="199"/>
      <c r="WGA120" s="198"/>
      <c r="WGB120" s="199"/>
      <c r="WGC120" s="198"/>
      <c r="WGD120" s="199"/>
      <c r="WGE120" s="198"/>
      <c r="WGF120" s="199"/>
      <c r="WGG120" s="198"/>
      <c r="WGH120" s="199"/>
      <c r="WGI120" s="198"/>
      <c r="WGJ120" s="199"/>
      <c r="WGK120" s="198"/>
      <c r="WGL120" s="199"/>
      <c r="WGM120" s="198"/>
      <c r="WGN120" s="199"/>
      <c r="WGO120" s="198"/>
      <c r="WGP120" s="199"/>
      <c r="WGQ120" s="198"/>
      <c r="WGR120" s="199"/>
      <c r="WGS120" s="198"/>
      <c r="WGT120" s="199"/>
      <c r="WGU120" s="198"/>
      <c r="WGV120" s="199"/>
      <c r="WGW120" s="198"/>
      <c r="WGX120" s="199"/>
      <c r="WGY120" s="198"/>
      <c r="WGZ120" s="199"/>
      <c r="WHA120" s="198"/>
      <c r="WHB120" s="199"/>
      <c r="WHC120" s="198"/>
      <c r="WHD120" s="199"/>
      <c r="WHE120" s="198"/>
      <c r="WHF120" s="199"/>
      <c r="WHG120" s="198"/>
      <c r="WHH120" s="199"/>
      <c r="WHI120" s="198"/>
      <c r="WHJ120" s="199"/>
      <c r="WHK120" s="198"/>
      <c r="WHL120" s="199"/>
      <c r="WHM120" s="198"/>
      <c r="WHN120" s="199"/>
      <c r="WHO120" s="198"/>
      <c r="WHP120" s="199"/>
      <c r="WHQ120" s="198"/>
      <c r="WHR120" s="199"/>
      <c r="WHS120" s="198"/>
      <c r="WHT120" s="199"/>
      <c r="WHU120" s="198"/>
      <c r="WHV120" s="199"/>
      <c r="WHW120" s="198"/>
      <c r="WHX120" s="199"/>
      <c r="WHY120" s="198"/>
      <c r="WHZ120" s="199"/>
      <c r="WIA120" s="198"/>
      <c r="WIB120" s="199"/>
      <c r="WIC120" s="198"/>
      <c r="WID120" s="199"/>
      <c r="WIE120" s="198"/>
      <c r="WIF120" s="199"/>
      <c r="WIG120" s="198"/>
      <c r="WIH120" s="199"/>
      <c r="WII120" s="198"/>
      <c r="WIJ120" s="199"/>
      <c r="WIK120" s="198"/>
      <c r="WIL120" s="199"/>
      <c r="WIM120" s="198"/>
      <c r="WIN120" s="199"/>
      <c r="WIO120" s="198"/>
      <c r="WIP120" s="199"/>
      <c r="WIQ120" s="198"/>
      <c r="WIR120" s="199"/>
      <c r="WIS120" s="198"/>
      <c r="WIT120" s="199"/>
      <c r="WIU120" s="198"/>
      <c r="WIV120" s="199"/>
      <c r="WIW120" s="198"/>
      <c r="WIX120" s="199"/>
      <c r="WIY120" s="198"/>
      <c r="WIZ120" s="199"/>
      <c r="WJA120" s="198"/>
      <c r="WJB120" s="199"/>
      <c r="WJC120" s="198"/>
      <c r="WJD120" s="199"/>
      <c r="WJE120" s="198"/>
      <c r="WJF120" s="199"/>
      <c r="WJG120" s="198"/>
      <c r="WJH120" s="199"/>
      <c r="WJI120" s="198"/>
      <c r="WJJ120" s="199"/>
      <c r="WJK120" s="198"/>
      <c r="WJL120" s="199"/>
      <c r="WJM120" s="198"/>
      <c r="WJN120" s="199"/>
      <c r="WJO120" s="198"/>
      <c r="WJP120" s="199"/>
      <c r="WJQ120" s="198"/>
      <c r="WJR120" s="199"/>
      <c r="WJS120" s="198"/>
      <c r="WJT120" s="199"/>
      <c r="WJU120" s="198"/>
      <c r="WJV120" s="199"/>
      <c r="WJW120" s="198"/>
      <c r="WJX120" s="199"/>
      <c r="WJY120" s="198"/>
      <c r="WJZ120" s="199"/>
      <c r="WKA120" s="198"/>
      <c r="WKB120" s="199"/>
      <c r="WKC120" s="198"/>
      <c r="WKD120" s="199"/>
      <c r="WKE120" s="198"/>
      <c r="WKF120" s="199"/>
      <c r="WKG120" s="198"/>
      <c r="WKH120" s="199"/>
      <c r="WKI120" s="198"/>
      <c r="WKJ120" s="199"/>
      <c r="WKK120" s="198"/>
      <c r="WKL120" s="199"/>
      <c r="WKM120" s="198"/>
      <c r="WKN120" s="199"/>
      <c r="WKO120" s="198"/>
      <c r="WKP120" s="199"/>
      <c r="WKQ120" s="198"/>
      <c r="WKR120" s="199"/>
      <c r="WKS120" s="198"/>
      <c r="WKT120" s="199"/>
      <c r="WKU120" s="198"/>
      <c r="WKV120" s="199"/>
      <c r="WKW120" s="198"/>
      <c r="WKX120" s="199"/>
      <c r="WKY120" s="198"/>
      <c r="WKZ120" s="199"/>
      <c r="WLA120" s="198"/>
      <c r="WLB120" s="199"/>
      <c r="WLC120" s="198"/>
      <c r="WLD120" s="199"/>
      <c r="WLE120" s="198"/>
      <c r="WLF120" s="199"/>
      <c r="WLG120" s="198"/>
      <c r="WLH120" s="199"/>
      <c r="WLI120" s="198"/>
      <c r="WLJ120" s="199"/>
      <c r="WLK120" s="198"/>
      <c r="WLL120" s="199"/>
      <c r="WLM120" s="198"/>
      <c r="WLN120" s="199"/>
      <c r="WLO120" s="198"/>
      <c r="WLP120" s="199"/>
      <c r="WLQ120" s="198"/>
      <c r="WLR120" s="199"/>
      <c r="WLS120" s="198"/>
      <c r="WLT120" s="199"/>
      <c r="WLU120" s="198"/>
      <c r="WLV120" s="199"/>
      <c r="WLW120" s="198"/>
      <c r="WLX120" s="199"/>
      <c r="WLY120" s="198"/>
      <c r="WLZ120" s="199"/>
      <c r="WMA120" s="198"/>
      <c r="WMB120" s="199"/>
      <c r="WMC120" s="198"/>
      <c r="WMD120" s="199"/>
      <c r="WME120" s="198"/>
      <c r="WMF120" s="199"/>
      <c r="WMG120" s="198"/>
      <c r="WMH120" s="199"/>
      <c r="WMI120" s="198"/>
      <c r="WMJ120" s="199"/>
      <c r="WMK120" s="198"/>
      <c r="WML120" s="199"/>
      <c r="WMM120" s="198"/>
      <c r="WMN120" s="199"/>
      <c r="WMO120" s="198"/>
      <c r="WMP120" s="199"/>
      <c r="WMQ120" s="198"/>
      <c r="WMR120" s="199"/>
      <c r="WMS120" s="198"/>
      <c r="WMT120" s="199"/>
      <c r="WMU120" s="198"/>
      <c r="WMV120" s="199"/>
      <c r="WMW120" s="198"/>
      <c r="WMX120" s="199"/>
      <c r="WMY120" s="198"/>
      <c r="WMZ120" s="199"/>
      <c r="WNA120" s="198"/>
      <c r="WNB120" s="199"/>
      <c r="WNC120" s="198"/>
      <c r="WND120" s="199"/>
      <c r="WNE120" s="198"/>
      <c r="WNF120" s="199"/>
      <c r="WNG120" s="198"/>
      <c r="WNH120" s="199"/>
      <c r="WNI120" s="198"/>
      <c r="WNJ120" s="199"/>
      <c r="WNK120" s="198"/>
      <c r="WNL120" s="199"/>
      <c r="WNM120" s="198"/>
      <c r="WNN120" s="199"/>
      <c r="WNO120" s="198"/>
      <c r="WNP120" s="199"/>
      <c r="WNQ120" s="198"/>
      <c r="WNR120" s="199"/>
      <c r="WNS120" s="198"/>
      <c r="WNT120" s="199"/>
      <c r="WNU120" s="198"/>
      <c r="WNV120" s="199"/>
      <c r="WNW120" s="198"/>
      <c r="WNX120" s="199"/>
      <c r="WNY120" s="198"/>
      <c r="WNZ120" s="199"/>
      <c r="WOA120" s="198"/>
      <c r="WOB120" s="199"/>
      <c r="WOC120" s="198"/>
      <c r="WOD120" s="199"/>
      <c r="WOE120" s="198"/>
      <c r="WOF120" s="199"/>
      <c r="WOG120" s="198"/>
      <c r="WOH120" s="199"/>
      <c r="WOI120" s="198"/>
      <c r="WOJ120" s="199"/>
      <c r="WOK120" s="198"/>
      <c r="WOL120" s="199"/>
      <c r="WOM120" s="198"/>
      <c r="WON120" s="199"/>
      <c r="WOO120" s="198"/>
      <c r="WOP120" s="199"/>
      <c r="WOQ120" s="198"/>
      <c r="WOR120" s="199"/>
      <c r="WOS120" s="198"/>
      <c r="WOT120" s="199"/>
      <c r="WOU120" s="198"/>
      <c r="WOV120" s="199"/>
      <c r="WOW120" s="198"/>
      <c r="WOX120" s="199"/>
      <c r="WOY120" s="198"/>
      <c r="WOZ120" s="199"/>
      <c r="WPA120" s="198"/>
      <c r="WPB120" s="199"/>
      <c r="WPC120" s="198"/>
      <c r="WPD120" s="199"/>
      <c r="WPE120" s="198"/>
      <c r="WPF120" s="199"/>
      <c r="WPG120" s="198"/>
      <c r="WPH120" s="199"/>
      <c r="WPI120" s="198"/>
      <c r="WPJ120" s="199"/>
      <c r="WPK120" s="198"/>
      <c r="WPL120" s="199"/>
      <c r="WPM120" s="198"/>
      <c r="WPN120" s="199"/>
      <c r="WPO120" s="198"/>
      <c r="WPP120" s="199"/>
      <c r="WPQ120" s="198"/>
      <c r="WPR120" s="199"/>
      <c r="WPS120" s="198"/>
      <c r="WPT120" s="199"/>
      <c r="WPU120" s="198"/>
      <c r="WPV120" s="199"/>
      <c r="WPW120" s="198"/>
      <c r="WPX120" s="199"/>
      <c r="WPY120" s="198"/>
      <c r="WPZ120" s="199"/>
      <c r="WQA120" s="198"/>
      <c r="WQB120" s="199"/>
      <c r="WQC120" s="198"/>
      <c r="WQD120" s="199"/>
      <c r="WQE120" s="198"/>
      <c r="WQF120" s="199"/>
      <c r="WQG120" s="198"/>
      <c r="WQH120" s="199"/>
      <c r="WQI120" s="198"/>
      <c r="WQJ120" s="199"/>
      <c r="WQK120" s="198"/>
      <c r="WQL120" s="199"/>
      <c r="WQM120" s="198"/>
      <c r="WQN120" s="199"/>
      <c r="WQO120" s="198"/>
      <c r="WQP120" s="199"/>
      <c r="WQQ120" s="198"/>
      <c r="WQR120" s="199"/>
      <c r="WQS120" s="198"/>
      <c r="WQT120" s="199"/>
      <c r="WQU120" s="198"/>
      <c r="WQV120" s="199"/>
      <c r="WQW120" s="198"/>
      <c r="WQX120" s="199"/>
      <c r="WQY120" s="198"/>
      <c r="WQZ120" s="199"/>
      <c r="WRA120" s="198"/>
      <c r="WRB120" s="199"/>
      <c r="WRC120" s="198"/>
      <c r="WRD120" s="199"/>
      <c r="WRE120" s="198"/>
      <c r="WRF120" s="199"/>
      <c r="WRG120" s="198"/>
      <c r="WRH120" s="199"/>
      <c r="WRI120" s="198"/>
      <c r="WRJ120" s="199"/>
      <c r="WRK120" s="198"/>
      <c r="WRL120" s="199"/>
      <c r="WRM120" s="198"/>
      <c r="WRN120" s="199"/>
      <c r="WRO120" s="198"/>
      <c r="WRP120" s="199"/>
      <c r="WRQ120" s="198"/>
      <c r="WRR120" s="199"/>
      <c r="WRS120" s="198"/>
      <c r="WRT120" s="199"/>
      <c r="WRU120" s="198"/>
      <c r="WRV120" s="199"/>
      <c r="WRW120" s="198"/>
      <c r="WRX120" s="199"/>
      <c r="WRY120" s="198"/>
      <c r="WRZ120" s="199"/>
      <c r="WSA120" s="198"/>
      <c r="WSB120" s="199"/>
      <c r="WSC120" s="198"/>
      <c r="WSD120" s="199"/>
      <c r="WSE120" s="198"/>
      <c r="WSF120" s="199"/>
      <c r="WSG120" s="198"/>
      <c r="WSH120" s="199"/>
      <c r="WSI120" s="198"/>
      <c r="WSJ120" s="199"/>
      <c r="WSK120" s="198"/>
      <c r="WSL120" s="199"/>
      <c r="WSM120" s="198"/>
      <c r="WSN120" s="199"/>
      <c r="WSO120" s="198"/>
      <c r="WSP120" s="199"/>
      <c r="WSQ120" s="198"/>
      <c r="WSR120" s="199"/>
      <c r="WSS120" s="198"/>
      <c r="WST120" s="199"/>
      <c r="WSU120" s="198"/>
      <c r="WSV120" s="199"/>
      <c r="WSW120" s="198"/>
      <c r="WSX120" s="199"/>
      <c r="WSY120" s="198"/>
      <c r="WSZ120" s="199"/>
      <c r="WTA120" s="198"/>
      <c r="WTB120" s="199"/>
      <c r="WTC120" s="198"/>
      <c r="WTD120" s="199"/>
      <c r="WTE120" s="198"/>
      <c r="WTF120" s="199"/>
      <c r="WTG120" s="198"/>
      <c r="WTH120" s="199"/>
      <c r="WTI120" s="198"/>
      <c r="WTJ120" s="199"/>
      <c r="WTK120" s="198"/>
      <c r="WTL120" s="199"/>
      <c r="WTM120" s="198"/>
      <c r="WTN120" s="199"/>
      <c r="WTO120" s="198"/>
      <c r="WTP120" s="199"/>
      <c r="WTQ120" s="198"/>
      <c r="WTR120" s="199"/>
      <c r="WTS120" s="198"/>
      <c r="WTT120" s="199"/>
      <c r="WTU120" s="198"/>
      <c r="WTV120" s="199"/>
      <c r="WTW120" s="198"/>
      <c r="WTX120" s="199"/>
      <c r="WTY120" s="198"/>
      <c r="WTZ120" s="199"/>
      <c r="WUA120" s="198"/>
      <c r="WUB120" s="199"/>
      <c r="WUC120" s="198"/>
      <c r="WUD120" s="199"/>
      <c r="WUE120" s="198"/>
      <c r="WUF120" s="199"/>
      <c r="WUG120" s="198"/>
      <c r="WUH120" s="199"/>
      <c r="WUI120" s="198"/>
      <c r="WUJ120" s="199"/>
      <c r="WUK120" s="198"/>
      <c r="WUL120" s="199"/>
      <c r="WUM120" s="198"/>
      <c r="WUN120" s="199"/>
      <c r="WUO120" s="198"/>
      <c r="WUP120" s="199"/>
      <c r="WUQ120" s="198"/>
      <c r="WUR120" s="199"/>
      <c r="WUS120" s="198"/>
      <c r="WUT120" s="199"/>
      <c r="WUU120" s="198"/>
      <c r="WUV120" s="199"/>
      <c r="WUW120" s="198"/>
      <c r="WUX120" s="199"/>
      <c r="WUY120" s="198"/>
      <c r="WUZ120" s="199"/>
      <c r="WVA120" s="198"/>
      <c r="WVB120" s="199"/>
      <c r="WVC120" s="198"/>
      <c r="WVD120" s="199"/>
      <c r="WVE120" s="198"/>
      <c r="WVF120" s="199"/>
      <c r="WVG120" s="198"/>
      <c r="WVH120" s="199"/>
      <c r="WVI120" s="198"/>
      <c r="WVJ120" s="199"/>
      <c r="WVK120" s="198"/>
      <c r="WVL120" s="199"/>
      <c r="WVM120" s="198"/>
      <c r="WVN120" s="199"/>
      <c r="WVO120" s="198"/>
      <c r="WVP120" s="199"/>
      <c r="WVQ120" s="198"/>
      <c r="WVR120" s="199"/>
      <c r="WVS120" s="198"/>
      <c r="WVT120" s="199"/>
      <c r="WVU120" s="198"/>
      <c r="WVV120" s="199"/>
      <c r="WVW120" s="198"/>
      <c r="WVX120" s="199"/>
      <c r="WVY120" s="198"/>
      <c r="WVZ120" s="199"/>
      <c r="WWA120" s="198"/>
      <c r="WWB120" s="199"/>
      <c r="WWC120" s="198"/>
      <c r="WWD120" s="199"/>
      <c r="WWE120" s="198"/>
      <c r="WWF120" s="199"/>
      <c r="WWG120" s="198"/>
      <c r="WWH120" s="199"/>
      <c r="WWI120" s="198"/>
      <c r="WWJ120" s="199"/>
      <c r="WWK120" s="198"/>
      <c r="WWL120" s="199"/>
      <c r="WWM120" s="198"/>
      <c r="WWN120" s="199"/>
      <c r="WWO120" s="198"/>
      <c r="WWP120" s="199"/>
      <c r="WWQ120" s="198"/>
      <c r="WWR120" s="199"/>
      <c r="WWS120" s="198"/>
      <c r="WWT120" s="199"/>
      <c r="WWU120" s="198"/>
      <c r="WWV120" s="199"/>
      <c r="WWW120" s="198"/>
      <c r="WWX120" s="199"/>
      <c r="WWY120" s="198"/>
      <c r="WWZ120" s="199"/>
      <c r="WXA120" s="198"/>
      <c r="WXB120" s="199"/>
      <c r="WXC120" s="198"/>
      <c r="WXD120" s="199"/>
      <c r="WXE120" s="198"/>
      <c r="WXF120" s="199"/>
      <c r="WXG120" s="198"/>
      <c r="WXH120" s="199"/>
      <c r="WXI120" s="198"/>
      <c r="WXJ120" s="199"/>
      <c r="WXK120" s="198"/>
      <c r="WXL120" s="199"/>
      <c r="WXM120" s="198"/>
      <c r="WXN120" s="199"/>
      <c r="WXO120" s="198"/>
      <c r="WXP120" s="199"/>
      <c r="WXQ120" s="198"/>
      <c r="WXR120" s="199"/>
      <c r="WXS120" s="198"/>
      <c r="WXT120" s="199"/>
      <c r="WXU120" s="198"/>
      <c r="WXV120" s="199"/>
      <c r="WXW120" s="198"/>
      <c r="WXX120" s="199"/>
      <c r="WXY120" s="198"/>
      <c r="WXZ120" s="199"/>
      <c r="WYA120" s="198"/>
      <c r="WYB120" s="199"/>
      <c r="WYC120" s="198"/>
      <c r="WYD120" s="199"/>
      <c r="WYE120" s="198"/>
      <c r="WYF120" s="199"/>
      <c r="WYG120" s="198"/>
      <c r="WYH120" s="199"/>
      <c r="WYI120" s="198"/>
      <c r="WYJ120" s="199"/>
      <c r="WYK120" s="198"/>
      <c r="WYL120" s="199"/>
      <c r="WYM120" s="198"/>
      <c r="WYN120" s="199"/>
      <c r="WYO120" s="198"/>
      <c r="WYP120" s="199"/>
      <c r="WYQ120" s="198"/>
      <c r="WYR120" s="199"/>
      <c r="WYS120" s="198"/>
      <c r="WYT120" s="199"/>
      <c r="WYU120" s="198"/>
      <c r="WYV120" s="199"/>
      <c r="WYW120" s="198"/>
      <c r="WYX120" s="199"/>
      <c r="WYY120" s="198"/>
      <c r="WYZ120" s="199"/>
      <c r="WZA120" s="198"/>
      <c r="WZB120" s="199"/>
      <c r="WZC120" s="198"/>
      <c r="WZD120" s="199"/>
      <c r="WZE120" s="198"/>
      <c r="WZF120" s="199"/>
      <c r="WZG120" s="198"/>
      <c r="WZH120" s="199"/>
      <c r="WZI120" s="198"/>
      <c r="WZJ120" s="199"/>
      <c r="WZK120" s="198"/>
      <c r="WZL120" s="199"/>
      <c r="WZM120" s="198"/>
      <c r="WZN120" s="199"/>
      <c r="WZO120" s="198"/>
      <c r="WZP120" s="199"/>
      <c r="WZQ120" s="198"/>
      <c r="WZR120" s="199"/>
      <c r="WZS120" s="198"/>
      <c r="WZT120" s="199"/>
      <c r="WZU120" s="198"/>
      <c r="WZV120" s="199"/>
      <c r="WZW120" s="198"/>
      <c r="WZX120" s="199"/>
      <c r="WZY120" s="198"/>
      <c r="WZZ120" s="199"/>
      <c r="XAA120" s="198"/>
      <c r="XAB120" s="199"/>
      <c r="XAC120" s="198"/>
      <c r="XAD120" s="199"/>
      <c r="XAE120" s="198"/>
      <c r="XAF120" s="199"/>
      <c r="XAG120" s="198"/>
      <c r="XAH120" s="199"/>
      <c r="XAI120" s="198"/>
      <c r="XAJ120" s="199"/>
      <c r="XAK120" s="198"/>
      <c r="XAL120" s="199"/>
      <c r="XAM120" s="198"/>
      <c r="XAN120" s="199"/>
      <c r="XAO120" s="198"/>
      <c r="XAP120" s="199"/>
      <c r="XAQ120" s="198"/>
      <c r="XAR120" s="199"/>
      <c r="XAS120" s="198"/>
      <c r="XAT120" s="199"/>
      <c r="XAU120" s="198"/>
      <c r="XAV120" s="199"/>
      <c r="XAW120" s="198"/>
      <c r="XAX120" s="199"/>
      <c r="XAY120" s="198"/>
      <c r="XAZ120" s="199"/>
      <c r="XBA120" s="198"/>
      <c r="XBB120" s="199"/>
      <c r="XBC120" s="198"/>
      <c r="XBD120" s="199"/>
      <c r="XBE120" s="198"/>
      <c r="XBF120" s="199"/>
      <c r="XBG120" s="198"/>
      <c r="XBH120" s="199"/>
      <c r="XBI120" s="198"/>
      <c r="XBJ120" s="199"/>
      <c r="XBK120" s="198"/>
      <c r="XBL120" s="199"/>
      <c r="XBM120" s="198"/>
      <c r="XBN120" s="199"/>
      <c r="XBO120" s="198"/>
      <c r="XBP120" s="199"/>
      <c r="XBQ120" s="198"/>
      <c r="XBR120" s="199"/>
      <c r="XBS120" s="198"/>
      <c r="XBT120" s="199"/>
      <c r="XBU120" s="198"/>
      <c r="XBV120" s="199"/>
      <c r="XBW120" s="198"/>
      <c r="XBX120" s="199"/>
      <c r="XBY120" s="198"/>
      <c r="XBZ120" s="199"/>
      <c r="XCA120" s="198"/>
      <c r="XCB120" s="199"/>
      <c r="XCC120" s="198"/>
      <c r="XCD120" s="199"/>
      <c r="XCE120" s="198"/>
      <c r="XCF120" s="199"/>
      <c r="XCG120" s="198"/>
      <c r="XCH120" s="199"/>
      <c r="XCI120" s="198"/>
      <c r="XCJ120" s="199"/>
      <c r="XCK120" s="198"/>
      <c r="XCL120" s="199"/>
      <c r="XCM120" s="198"/>
      <c r="XCN120" s="199"/>
      <c r="XCO120" s="198"/>
      <c r="XCP120" s="199"/>
      <c r="XCQ120" s="198"/>
      <c r="XCR120" s="199"/>
      <c r="XCS120" s="198"/>
      <c r="XCT120" s="199"/>
      <c r="XCU120" s="198"/>
      <c r="XCV120" s="199"/>
      <c r="XCW120" s="198"/>
      <c r="XCX120" s="199"/>
      <c r="XCY120" s="198"/>
      <c r="XCZ120" s="199"/>
      <c r="XDA120" s="198"/>
      <c r="XDB120" s="199"/>
      <c r="XDC120" s="198"/>
      <c r="XDD120" s="199"/>
      <c r="XDE120" s="198"/>
      <c r="XDF120" s="199"/>
      <c r="XDG120" s="198"/>
      <c r="XDH120" s="199"/>
      <c r="XDI120" s="198"/>
      <c r="XDJ120" s="199"/>
      <c r="XDK120" s="198"/>
      <c r="XDL120" s="199"/>
      <c r="XDM120" s="198"/>
      <c r="XDN120" s="199"/>
      <c r="XDO120" s="198"/>
      <c r="XDP120" s="199"/>
      <c r="XDQ120" s="198"/>
      <c r="XDR120" s="199"/>
      <c r="XDS120" s="198"/>
      <c r="XDT120" s="199"/>
      <c r="XDU120" s="198"/>
      <c r="XDV120" s="199"/>
      <c r="XDW120" s="198"/>
      <c r="XDX120" s="199"/>
      <c r="XDY120" s="198"/>
      <c r="XDZ120" s="199"/>
      <c r="XEA120" s="198"/>
      <c r="XEB120" s="199"/>
      <c r="XEC120" s="198"/>
      <c r="XED120" s="199"/>
      <c r="XEE120" s="198"/>
      <c r="XEF120" s="199"/>
      <c r="XEG120" s="198"/>
      <c r="XEH120" s="199"/>
      <c r="XEI120" s="198"/>
      <c r="XEJ120" s="199"/>
      <c r="XEK120" s="198"/>
      <c r="XEL120" s="199"/>
      <c r="XEM120" s="198"/>
      <c r="XEN120" s="199"/>
      <c r="XEO120" s="198"/>
      <c r="XEP120" s="199"/>
      <c r="XEQ120" s="198"/>
      <c r="XER120" s="199"/>
      <c r="XES120" s="198"/>
      <c r="XET120" s="199"/>
      <c r="XEU120" s="198"/>
      <c r="XEV120" s="199"/>
      <c r="XEW120" s="198"/>
      <c r="XEX120" s="199"/>
      <c r="XEY120" s="198"/>
      <c r="XEZ120" s="199"/>
      <c r="XFA120" s="198"/>
      <c r="XFB120" s="199"/>
      <c r="XFC120" s="198"/>
      <c r="XFD120" s="199"/>
    </row>
    <row r="121" spans="1:16384" s="112" customFormat="1" ht="95.1" customHeight="1">
      <c r="A121" s="115"/>
      <c r="B121" s="115"/>
      <c r="C121" s="116"/>
      <c r="D121" s="115"/>
      <c r="E121" s="116"/>
      <c r="F121" s="115"/>
      <c r="G121" s="116"/>
      <c r="H121" s="116"/>
      <c r="I121" s="117"/>
      <c r="J121" s="117"/>
      <c r="K121" s="116"/>
      <c r="L121" s="116"/>
      <c r="M121" s="116"/>
      <c r="N121" s="116"/>
      <c r="O121" s="116"/>
      <c r="P121" s="116"/>
      <c r="Q121" s="116"/>
      <c r="R121" s="116"/>
      <c r="S121" s="116"/>
      <c r="T121" s="116"/>
      <c r="U121" s="116"/>
      <c r="V121" s="116"/>
      <c r="W121" s="116"/>
      <c r="X121" s="116"/>
      <c r="Y121" s="116"/>
      <c r="Z121" s="116"/>
      <c r="AA121" s="118"/>
      <c r="AB121" s="115"/>
      <c r="AC121" s="198"/>
      <c r="AD121" s="199"/>
      <c r="AE121" s="198"/>
      <c r="AF121" s="199"/>
      <c r="AG121" s="198"/>
      <c r="AH121" s="199"/>
      <c r="AI121" s="198"/>
      <c r="AJ121" s="199"/>
      <c r="AK121" s="198"/>
      <c r="AL121" s="199"/>
      <c r="AM121" s="198"/>
      <c r="AN121" s="199"/>
      <c r="AO121" s="198"/>
      <c r="AP121" s="199"/>
      <c r="AQ121" s="198"/>
      <c r="AR121" s="199"/>
      <c r="AS121" s="198"/>
      <c r="AT121" s="199"/>
      <c r="AU121" s="198"/>
      <c r="AV121" s="199"/>
      <c r="AW121" s="198"/>
      <c r="AX121" s="199"/>
      <c r="AY121" s="198"/>
      <c r="AZ121" s="199"/>
      <c r="BA121" s="198"/>
      <c r="BB121" s="199"/>
      <c r="BC121" s="198"/>
      <c r="BD121" s="199"/>
      <c r="BE121" s="198"/>
      <c r="BF121" s="199"/>
      <c r="BG121" s="198"/>
      <c r="BH121" s="199"/>
      <c r="BI121" s="198"/>
      <c r="BJ121" s="199"/>
      <c r="BK121" s="198"/>
      <c r="BL121" s="199"/>
      <c r="BM121" s="198"/>
      <c r="BN121" s="199"/>
      <c r="BO121" s="198"/>
      <c r="BP121" s="199"/>
      <c r="BQ121" s="198"/>
      <c r="BR121" s="199"/>
      <c r="BS121" s="198"/>
      <c r="BT121" s="199"/>
      <c r="BU121" s="198"/>
      <c r="BV121" s="199"/>
      <c r="BW121" s="198"/>
      <c r="BX121" s="199"/>
      <c r="BY121" s="198"/>
      <c r="BZ121" s="199"/>
      <c r="CA121" s="198"/>
      <c r="CB121" s="199"/>
      <c r="CC121" s="198"/>
      <c r="CD121" s="199"/>
      <c r="CE121" s="198"/>
      <c r="CF121" s="199"/>
      <c r="CG121" s="198"/>
      <c r="CH121" s="199"/>
      <c r="CI121" s="198"/>
      <c r="CJ121" s="199"/>
      <c r="CK121" s="198"/>
      <c r="CL121" s="199"/>
      <c r="CM121" s="198"/>
      <c r="CN121" s="199"/>
      <c r="CO121" s="198"/>
      <c r="CP121" s="199"/>
      <c r="CQ121" s="198"/>
      <c r="CR121" s="199"/>
      <c r="CS121" s="198"/>
      <c r="CT121" s="199"/>
      <c r="CU121" s="198"/>
      <c r="CV121" s="199"/>
      <c r="CW121" s="198"/>
      <c r="CX121" s="199"/>
      <c r="CY121" s="198"/>
      <c r="CZ121" s="199"/>
      <c r="DA121" s="198"/>
      <c r="DB121" s="199"/>
      <c r="DC121" s="198"/>
      <c r="DD121" s="199"/>
      <c r="DE121" s="198"/>
      <c r="DF121" s="199"/>
      <c r="DG121" s="198"/>
      <c r="DH121" s="199"/>
      <c r="DI121" s="198"/>
      <c r="DJ121" s="199"/>
      <c r="DK121" s="198"/>
      <c r="DL121" s="199"/>
      <c r="DM121" s="198"/>
      <c r="DN121" s="199"/>
      <c r="DO121" s="198"/>
      <c r="DP121" s="199"/>
      <c r="DQ121" s="198"/>
      <c r="DR121" s="199"/>
      <c r="DS121" s="198"/>
      <c r="DT121" s="199"/>
      <c r="DU121" s="198"/>
      <c r="DV121" s="199"/>
      <c r="DW121" s="198"/>
      <c r="DX121" s="199"/>
      <c r="DY121" s="198"/>
      <c r="DZ121" s="199"/>
      <c r="EA121" s="198"/>
      <c r="EB121" s="199"/>
      <c r="EC121" s="198"/>
      <c r="ED121" s="199"/>
      <c r="EE121" s="198"/>
      <c r="EF121" s="199"/>
      <c r="EG121" s="198"/>
      <c r="EH121" s="199"/>
      <c r="EI121" s="198"/>
      <c r="EJ121" s="199"/>
      <c r="EK121" s="198"/>
      <c r="EL121" s="199"/>
      <c r="EM121" s="198"/>
      <c r="EN121" s="199"/>
      <c r="EO121" s="198"/>
      <c r="EP121" s="199"/>
      <c r="EQ121" s="198"/>
      <c r="ER121" s="199"/>
      <c r="ES121" s="198"/>
      <c r="ET121" s="199"/>
      <c r="EU121" s="198"/>
      <c r="EV121" s="199"/>
      <c r="EW121" s="198"/>
      <c r="EX121" s="199"/>
      <c r="EY121" s="198"/>
      <c r="EZ121" s="199"/>
      <c r="FA121" s="198"/>
      <c r="FB121" s="199"/>
      <c r="FC121" s="198"/>
      <c r="FD121" s="199"/>
      <c r="FE121" s="198"/>
      <c r="FF121" s="199"/>
      <c r="FG121" s="198"/>
      <c r="FH121" s="199"/>
      <c r="FI121" s="198"/>
      <c r="FJ121" s="199"/>
      <c r="FK121" s="198"/>
      <c r="FL121" s="199"/>
      <c r="FM121" s="198"/>
      <c r="FN121" s="199"/>
      <c r="FO121" s="198"/>
      <c r="FP121" s="199"/>
      <c r="FQ121" s="198"/>
      <c r="FR121" s="199"/>
      <c r="FS121" s="198"/>
      <c r="FT121" s="199"/>
      <c r="FU121" s="198"/>
      <c r="FV121" s="199"/>
      <c r="FW121" s="198"/>
      <c r="FX121" s="199"/>
      <c r="FY121" s="198"/>
      <c r="FZ121" s="199"/>
      <c r="GA121" s="198"/>
      <c r="GB121" s="199"/>
      <c r="GC121" s="198"/>
      <c r="GD121" s="199"/>
      <c r="GE121" s="198"/>
      <c r="GF121" s="199"/>
      <c r="GG121" s="198"/>
      <c r="GH121" s="199"/>
      <c r="GI121" s="198"/>
      <c r="GJ121" s="199"/>
      <c r="GK121" s="198"/>
      <c r="GL121" s="199"/>
      <c r="GM121" s="198"/>
      <c r="GN121" s="199"/>
      <c r="GO121" s="198"/>
      <c r="GP121" s="199"/>
      <c r="GQ121" s="198"/>
      <c r="GR121" s="199"/>
      <c r="GS121" s="198"/>
      <c r="GT121" s="199"/>
      <c r="GU121" s="198"/>
      <c r="GV121" s="199"/>
      <c r="GW121" s="198"/>
      <c r="GX121" s="199"/>
      <c r="GY121" s="198"/>
      <c r="GZ121" s="199"/>
      <c r="HA121" s="198"/>
      <c r="HB121" s="199"/>
      <c r="HC121" s="198"/>
      <c r="HD121" s="199"/>
      <c r="HE121" s="198"/>
      <c r="HF121" s="199"/>
      <c r="HG121" s="198"/>
      <c r="HH121" s="199"/>
      <c r="HI121" s="198"/>
      <c r="HJ121" s="199"/>
      <c r="HK121" s="198"/>
      <c r="HL121" s="199"/>
      <c r="HM121" s="198"/>
      <c r="HN121" s="199"/>
      <c r="HO121" s="198"/>
      <c r="HP121" s="199"/>
      <c r="HQ121" s="198"/>
      <c r="HR121" s="199"/>
      <c r="HS121" s="198"/>
      <c r="HT121" s="199"/>
      <c r="HU121" s="198"/>
      <c r="HV121" s="199"/>
      <c r="HW121" s="198"/>
      <c r="HX121" s="199"/>
      <c r="HY121" s="198"/>
      <c r="HZ121" s="199"/>
      <c r="IA121" s="198"/>
      <c r="IB121" s="199"/>
      <c r="IC121" s="198"/>
      <c r="ID121" s="199"/>
      <c r="IE121" s="198"/>
      <c r="IF121" s="199"/>
      <c r="IG121" s="198"/>
      <c r="IH121" s="199"/>
      <c r="II121" s="198"/>
      <c r="IJ121" s="199"/>
      <c r="IK121" s="198"/>
      <c r="IL121" s="199"/>
      <c r="IM121" s="198"/>
      <c r="IN121" s="199"/>
      <c r="IO121" s="198"/>
      <c r="IP121" s="199"/>
      <c r="IQ121" s="198"/>
      <c r="IR121" s="199"/>
      <c r="IS121" s="198"/>
      <c r="IT121" s="199"/>
      <c r="IU121" s="198"/>
      <c r="IV121" s="199"/>
      <c r="IW121" s="198"/>
      <c r="IX121" s="199"/>
      <c r="IY121" s="198"/>
      <c r="IZ121" s="199"/>
      <c r="JA121" s="198"/>
      <c r="JB121" s="199"/>
      <c r="JC121" s="198"/>
      <c r="JD121" s="199"/>
      <c r="JE121" s="198"/>
      <c r="JF121" s="199"/>
      <c r="JG121" s="198"/>
      <c r="JH121" s="199"/>
      <c r="JI121" s="198"/>
      <c r="JJ121" s="199"/>
      <c r="JK121" s="198"/>
      <c r="JL121" s="199"/>
      <c r="JM121" s="198"/>
      <c r="JN121" s="199"/>
      <c r="JO121" s="198"/>
      <c r="JP121" s="199"/>
      <c r="JQ121" s="198"/>
      <c r="JR121" s="199"/>
      <c r="JS121" s="198"/>
      <c r="JT121" s="199"/>
      <c r="JU121" s="198"/>
      <c r="JV121" s="199"/>
      <c r="JW121" s="198"/>
      <c r="JX121" s="199"/>
      <c r="JY121" s="198"/>
      <c r="JZ121" s="199"/>
      <c r="KA121" s="198"/>
      <c r="KB121" s="199"/>
      <c r="KC121" s="198"/>
      <c r="KD121" s="199"/>
      <c r="KE121" s="198"/>
      <c r="KF121" s="199"/>
      <c r="KG121" s="198"/>
      <c r="KH121" s="199"/>
      <c r="KI121" s="198"/>
      <c r="KJ121" s="199"/>
      <c r="KK121" s="198"/>
      <c r="KL121" s="199"/>
      <c r="KM121" s="198"/>
      <c r="KN121" s="199"/>
      <c r="KO121" s="198"/>
      <c r="KP121" s="199"/>
      <c r="KQ121" s="198"/>
      <c r="KR121" s="199"/>
      <c r="KS121" s="198"/>
      <c r="KT121" s="199"/>
      <c r="KU121" s="198"/>
      <c r="KV121" s="199"/>
      <c r="KW121" s="198"/>
      <c r="KX121" s="199"/>
      <c r="KY121" s="198"/>
      <c r="KZ121" s="199"/>
      <c r="LA121" s="198"/>
      <c r="LB121" s="199"/>
      <c r="LC121" s="198"/>
      <c r="LD121" s="199"/>
      <c r="LE121" s="198"/>
      <c r="LF121" s="199"/>
      <c r="LG121" s="198"/>
      <c r="LH121" s="199"/>
      <c r="LI121" s="198"/>
      <c r="LJ121" s="199"/>
      <c r="LK121" s="198"/>
      <c r="LL121" s="199"/>
      <c r="LM121" s="198"/>
      <c r="LN121" s="199"/>
      <c r="LO121" s="198"/>
      <c r="LP121" s="199"/>
      <c r="LQ121" s="198"/>
      <c r="LR121" s="199"/>
      <c r="LS121" s="198"/>
      <c r="LT121" s="199"/>
      <c r="LU121" s="198"/>
      <c r="LV121" s="199"/>
      <c r="LW121" s="198"/>
      <c r="LX121" s="199"/>
      <c r="LY121" s="198"/>
      <c r="LZ121" s="199"/>
      <c r="MA121" s="198"/>
      <c r="MB121" s="199"/>
      <c r="MC121" s="198"/>
      <c r="MD121" s="199"/>
      <c r="ME121" s="198"/>
      <c r="MF121" s="199"/>
      <c r="MG121" s="198"/>
      <c r="MH121" s="199"/>
      <c r="MI121" s="198"/>
      <c r="MJ121" s="199"/>
      <c r="MK121" s="198"/>
      <c r="ML121" s="199"/>
      <c r="MM121" s="198"/>
      <c r="MN121" s="199"/>
      <c r="MO121" s="198"/>
      <c r="MP121" s="199"/>
      <c r="MQ121" s="198"/>
      <c r="MR121" s="199"/>
      <c r="MS121" s="198"/>
      <c r="MT121" s="199"/>
      <c r="MU121" s="198"/>
      <c r="MV121" s="199"/>
      <c r="MW121" s="198"/>
      <c r="MX121" s="199"/>
      <c r="MY121" s="198"/>
      <c r="MZ121" s="199"/>
      <c r="NA121" s="198"/>
      <c r="NB121" s="199"/>
      <c r="NC121" s="198"/>
      <c r="ND121" s="199"/>
      <c r="NE121" s="198"/>
      <c r="NF121" s="199"/>
      <c r="NG121" s="198"/>
      <c r="NH121" s="199"/>
      <c r="NI121" s="198"/>
      <c r="NJ121" s="199"/>
      <c r="NK121" s="198"/>
      <c r="NL121" s="199"/>
      <c r="NM121" s="198"/>
      <c r="NN121" s="199"/>
      <c r="NO121" s="198"/>
      <c r="NP121" s="199"/>
      <c r="NQ121" s="198"/>
      <c r="NR121" s="199"/>
      <c r="NS121" s="198"/>
      <c r="NT121" s="199"/>
      <c r="NU121" s="198"/>
      <c r="NV121" s="199"/>
      <c r="NW121" s="198"/>
      <c r="NX121" s="199"/>
      <c r="NY121" s="198"/>
      <c r="NZ121" s="199"/>
      <c r="OA121" s="198"/>
      <c r="OB121" s="199"/>
      <c r="OC121" s="198"/>
      <c r="OD121" s="199"/>
      <c r="OE121" s="198"/>
      <c r="OF121" s="199"/>
      <c r="OG121" s="198"/>
      <c r="OH121" s="199"/>
      <c r="OI121" s="198"/>
      <c r="OJ121" s="199"/>
      <c r="OK121" s="198"/>
      <c r="OL121" s="199"/>
      <c r="OM121" s="198"/>
      <c r="ON121" s="199"/>
      <c r="OO121" s="198"/>
      <c r="OP121" s="199"/>
      <c r="OQ121" s="198"/>
      <c r="OR121" s="199"/>
      <c r="OS121" s="198"/>
      <c r="OT121" s="199"/>
      <c r="OU121" s="198"/>
      <c r="OV121" s="199"/>
      <c r="OW121" s="198"/>
      <c r="OX121" s="199"/>
      <c r="OY121" s="198"/>
      <c r="OZ121" s="199"/>
      <c r="PA121" s="198"/>
      <c r="PB121" s="199"/>
      <c r="PC121" s="198"/>
      <c r="PD121" s="199"/>
      <c r="PE121" s="198"/>
      <c r="PF121" s="199"/>
      <c r="PG121" s="198"/>
      <c r="PH121" s="199"/>
      <c r="PI121" s="198"/>
      <c r="PJ121" s="199"/>
      <c r="PK121" s="198"/>
      <c r="PL121" s="199"/>
      <c r="PM121" s="198"/>
      <c r="PN121" s="199"/>
      <c r="PO121" s="198"/>
      <c r="PP121" s="199"/>
      <c r="PQ121" s="198"/>
      <c r="PR121" s="199"/>
      <c r="PS121" s="198"/>
      <c r="PT121" s="199"/>
      <c r="PU121" s="198"/>
      <c r="PV121" s="199"/>
      <c r="PW121" s="198"/>
      <c r="PX121" s="199"/>
      <c r="PY121" s="198"/>
      <c r="PZ121" s="199"/>
      <c r="QA121" s="198"/>
      <c r="QB121" s="199"/>
      <c r="QC121" s="198"/>
      <c r="QD121" s="199"/>
      <c r="QE121" s="198"/>
      <c r="QF121" s="199"/>
      <c r="QG121" s="198"/>
      <c r="QH121" s="199"/>
      <c r="QI121" s="198"/>
      <c r="QJ121" s="199"/>
      <c r="QK121" s="198"/>
      <c r="QL121" s="199"/>
      <c r="QM121" s="198"/>
      <c r="QN121" s="199"/>
      <c r="QO121" s="198"/>
      <c r="QP121" s="199"/>
      <c r="QQ121" s="198"/>
      <c r="QR121" s="199"/>
      <c r="QS121" s="198"/>
      <c r="QT121" s="199"/>
      <c r="QU121" s="198"/>
      <c r="QV121" s="199"/>
      <c r="QW121" s="198"/>
      <c r="QX121" s="199"/>
      <c r="QY121" s="198"/>
      <c r="QZ121" s="199"/>
      <c r="RA121" s="198"/>
      <c r="RB121" s="199"/>
      <c r="RC121" s="198"/>
      <c r="RD121" s="199"/>
      <c r="RE121" s="198"/>
      <c r="RF121" s="199"/>
      <c r="RG121" s="198"/>
      <c r="RH121" s="199"/>
      <c r="RI121" s="198"/>
      <c r="RJ121" s="199"/>
      <c r="RK121" s="198"/>
      <c r="RL121" s="199"/>
      <c r="RM121" s="198"/>
      <c r="RN121" s="199"/>
      <c r="RO121" s="198"/>
      <c r="RP121" s="199"/>
      <c r="RQ121" s="198"/>
      <c r="RR121" s="199"/>
      <c r="RS121" s="198"/>
      <c r="RT121" s="199"/>
      <c r="RU121" s="198"/>
      <c r="RV121" s="199"/>
      <c r="RW121" s="198"/>
      <c r="RX121" s="199"/>
      <c r="RY121" s="198"/>
      <c r="RZ121" s="199"/>
      <c r="SA121" s="198"/>
      <c r="SB121" s="199"/>
      <c r="SC121" s="198"/>
      <c r="SD121" s="199"/>
      <c r="SE121" s="198"/>
      <c r="SF121" s="199"/>
      <c r="SG121" s="198"/>
      <c r="SH121" s="199"/>
      <c r="SI121" s="198"/>
      <c r="SJ121" s="199"/>
      <c r="SK121" s="198"/>
      <c r="SL121" s="199"/>
      <c r="SM121" s="198"/>
      <c r="SN121" s="199"/>
      <c r="SO121" s="198"/>
      <c r="SP121" s="199"/>
      <c r="SQ121" s="198"/>
      <c r="SR121" s="199"/>
      <c r="SS121" s="198"/>
      <c r="ST121" s="199"/>
      <c r="SU121" s="198"/>
      <c r="SV121" s="199"/>
      <c r="SW121" s="198"/>
      <c r="SX121" s="199"/>
      <c r="SY121" s="198"/>
      <c r="SZ121" s="199"/>
      <c r="TA121" s="198"/>
      <c r="TB121" s="199"/>
      <c r="TC121" s="198"/>
      <c r="TD121" s="199"/>
      <c r="TE121" s="198"/>
      <c r="TF121" s="199"/>
      <c r="TG121" s="198"/>
      <c r="TH121" s="199"/>
      <c r="TI121" s="198"/>
      <c r="TJ121" s="199"/>
      <c r="TK121" s="198"/>
      <c r="TL121" s="199"/>
      <c r="TM121" s="198"/>
      <c r="TN121" s="199"/>
      <c r="TO121" s="198"/>
      <c r="TP121" s="199"/>
      <c r="TQ121" s="198"/>
      <c r="TR121" s="199"/>
      <c r="TS121" s="198"/>
      <c r="TT121" s="199"/>
      <c r="TU121" s="198"/>
      <c r="TV121" s="199"/>
      <c r="TW121" s="198"/>
      <c r="TX121" s="199"/>
      <c r="TY121" s="198"/>
      <c r="TZ121" s="199"/>
      <c r="UA121" s="198"/>
      <c r="UB121" s="199"/>
      <c r="UC121" s="198"/>
      <c r="UD121" s="199"/>
      <c r="UE121" s="198"/>
      <c r="UF121" s="199"/>
      <c r="UG121" s="198"/>
      <c r="UH121" s="199"/>
      <c r="UI121" s="198"/>
      <c r="UJ121" s="199"/>
      <c r="UK121" s="198"/>
      <c r="UL121" s="199"/>
      <c r="UM121" s="198"/>
      <c r="UN121" s="199"/>
      <c r="UO121" s="198"/>
      <c r="UP121" s="199"/>
      <c r="UQ121" s="198"/>
      <c r="UR121" s="199"/>
      <c r="US121" s="198"/>
      <c r="UT121" s="199"/>
      <c r="UU121" s="198"/>
      <c r="UV121" s="199"/>
      <c r="UW121" s="198"/>
      <c r="UX121" s="199"/>
      <c r="UY121" s="198"/>
      <c r="UZ121" s="199"/>
      <c r="VA121" s="198"/>
      <c r="VB121" s="199"/>
      <c r="VC121" s="198"/>
      <c r="VD121" s="199"/>
      <c r="VE121" s="198"/>
      <c r="VF121" s="199"/>
      <c r="VG121" s="198"/>
      <c r="VH121" s="199"/>
      <c r="VI121" s="198"/>
      <c r="VJ121" s="199"/>
      <c r="VK121" s="198"/>
      <c r="VL121" s="199"/>
      <c r="VM121" s="198"/>
      <c r="VN121" s="199"/>
      <c r="VO121" s="198"/>
      <c r="VP121" s="199"/>
      <c r="VQ121" s="198"/>
      <c r="VR121" s="199"/>
      <c r="VS121" s="198"/>
      <c r="VT121" s="199"/>
      <c r="VU121" s="198"/>
      <c r="VV121" s="199"/>
      <c r="VW121" s="198"/>
      <c r="VX121" s="199"/>
      <c r="VY121" s="198"/>
      <c r="VZ121" s="199"/>
      <c r="WA121" s="198"/>
      <c r="WB121" s="199"/>
      <c r="WC121" s="198"/>
      <c r="WD121" s="199"/>
      <c r="WE121" s="198"/>
      <c r="WF121" s="199"/>
      <c r="WG121" s="198"/>
      <c r="WH121" s="199"/>
      <c r="WI121" s="198"/>
      <c r="WJ121" s="199"/>
      <c r="WK121" s="198"/>
      <c r="WL121" s="199"/>
      <c r="WM121" s="198"/>
      <c r="WN121" s="199"/>
      <c r="WO121" s="198"/>
      <c r="WP121" s="199"/>
      <c r="WQ121" s="198"/>
      <c r="WR121" s="199"/>
      <c r="WS121" s="198"/>
      <c r="WT121" s="199"/>
      <c r="WU121" s="198"/>
      <c r="WV121" s="199"/>
      <c r="WW121" s="198"/>
      <c r="WX121" s="199"/>
      <c r="WY121" s="198"/>
      <c r="WZ121" s="199"/>
      <c r="XA121" s="198"/>
      <c r="XB121" s="199"/>
      <c r="XC121" s="198"/>
      <c r="XD121" s="199"/>
      <c r="XE121" s="198"/>
      <c r="XF121" s="199"/>
      <c r="XG121" s="198"/>
      <c r="XH121" s="199"/>
      <c r="XI121" s="198"/>
      <c r="XJ121" s="199"/>
      <c r="XK121" s="198"/>
      <c r="XL121" s="199"/>
      <c r="XM121" s="198"/>
      <c r="XN121" s="199"/>
      <c r="XO121" s="198"/>
      <c r="XP121" s="199"/>
      <c r="XQ121" s="198"/>
      <c r="XR121" s="199"/>
      <c r="XS121" s="198"/>
      <c r="XT121" s="199"/>
      <c r="XU121" s="198"/>
      <c r="XV121" s="199"/>
      <c r="XW121" s="198"/>
      <c r="XX121" s="199"/>
      <c r="XY121" s="198"/>
      <c r="XZ121" s="199"/>
      <c r="YA121" s="198"/>
      <c r="YB121" s="199"/>
      <c r="YC121" s="198"/>
      <c r="YD121" s="199"/>
      <c r="YE121" s="198"/>
      <c r="YF121" s="199"/>
      <c r="YG121" s="198"/>
      <c r="YH121" s="199"/>
      <c r="YI121" s="198"/>
      <c r="YJ121" s="199"/>
      <c r="YK121" s="198"/>
      <c r="YL121" s="199"/>
      <c r="YM121" s="198"/>
      <c r="YN121" s="199"/>
      <c r="YO121" s="198"/>
      <c r="YP121" s="199"/>
      <c r="YQ121" s="198"/>
      <c r="YR121" s="199"/>
      <c r="YS121" s="198"/>
      <c r="YT121" s="199"/>
      <c r="YU121" s="198"/>
      <c r="YV121" s="199"/>
      <c r="YW121" s="198"/>
      <c r="YX121" s="199"/>
      <c r="YY121" s="198"/>
      <c r="YZ121" s="199"/>
      <c r="ZA121" s="198"/>
      <c r="ZB121" s="199"/>
      <c r="ZC121" s="198"/>
      <c r="ZD121" s="199"/>
      <c r="ZE121" s="198"/>
      <c r="ZF121" s="199"/>
      <c r="ZG121" s="198"/>
      <c r="ZH121" s="199"/>
      <c r="ZI121" s="198"/>
      <c r="ZJ121" s="199"/>
      <c r="ZK121" s="198"/>
      <c r="ZL121" s="199"/>
      <c r="ZM121" s="198"/>
      <c r="ZN121" s="199"/>
      <c r="ZO121" s="198"/>
      <c r="ZP121" s="199"/>
      <c r="ZQ121" s="198"/>
      <c r="ZR121" s="199"/>
      <c r="ZS121" s="198"/>
      <c r="ZT121" s="199"/>
      <c r="ZU121" s="198"/>
      <c r="ZV121" s="199"/>
      <c r="ZW121" s="198"/>
      <c r="ZX121" s="199"/>
      <c r="ZY121" s="198"/>
      <c r="ZZ121" s="199"/>
      <c r="AAA121" s="198"/>
      <c r="AAB121" s="199"/>
      <c r="AAC121" s="198"/>
      <c r="AAD121" s="199"/>
      <c r="AAE121" s="198"/>
      <c r="AAF121" s="199"/>
      <c r="AAG121" s="198"/>
      <c r="AAH121" s="199"/>
      <c r="AAI121" s="198"/>
      <c r="AAJ121" s="199"/>
      <c r="AAK121" s="198"/>
      <c r="AAL121" s="199"/>
      <c r="AAM121" s="198"/>
      <c r="AAN121" s="199"/>
      <c r="AAO121" s="198"/>
      <c r="AAP121" s="199"/>
      <c r="AAQ121" s="198"/>
      <c r="AAR121" s="199"/>
      <c r="AAS121" s="198"/>
      <c r="AAT121" s="199"/>
      <c r="AAU121" s="198"/>
      <c r="AAV121" s="199"/>
      <c r="AAW121" s="198"/>
      <c r="AAX121" s="199"/>
      <c r="AAY121" s="198"/>
      <c r="AAZ121" s="199"/>
      <c r="ABA121" s="198"/>
      <c r="ABB121" s="199"/>
      <c r="ABC121" s="198"/>
      <c r="ABD121" s="199"/>
      <c r="ABE121" s="198"/>
      <c r="ABF121" s="199"/>
      <c r="ABG121" s="198"/>
      <c r="ABH121" s="199"/>
      <c r="ABI121" s="198"/>
      <c r="ABJ121" s="199"/>
      <c r="ABK121" s="198"/>
      <c r="ABL121" s="199"/>
      <c r="ABM121" s="198"/>
      <c r="ABN121" s="199"/>
      <c r="ABO121" s="198"/>
      <c r="ABP121" s="199"/>
      <c r="ABQ121" s="198"/>
      <c r="ABR121" s="199"/>
      <c r="ABS121" s="198"/>
      <c r="ABT121" s="199"/>
      <c r="ABU121" s="198"/>
      <c r="ABV121" s="199"/>
      <c r="ABW121" s="198"/>
      <c r="ABX121" s="199"/>
      <c r="ABY121" s="198"/>
      <c r="ABZ121" s="199"/>
      <c r="ACA121" s="198"/>
      <c r="ACB121" s="199"/>
      <c r="ACC121" s="198"/>
      <c r="ACD121" s="199"/>
      <c r="ACE121" s="198"/>
      <c r="ACF121" s="199"/>
      <c r="ACG121" s="198"/>
      <c r="ACH121" s="199"/>
      <c r="ACI121" s="198"/>
      <c r="ACJ121" s="199"/>
      <c r="ACK121" s="198"/>
      <c r="ACL121" s="199"/>
      <c r="ACM121" s="198"/>
      <c r="ACN121" s="199"/>
      <c r="ACO121" s="198"/>
      <c r="ACP121" s="199"/>
      <c r="ACQ121" s="198"/>
      <c r="ACR121" s="199"/>
      <c r="ACS121" s="198"/>
      <c r="ACT121" s="199"/>
      <c r="ACU121" s="198"/>
      <c r="ACV121" s="199"/>
      <c r="ACW121" s="198"/>
      <c r="ACX121" s="199"/>
      <c r="ACY121" s="198"/>
      <c r="ACZ121" s="199"/>
      <c r="ADA121" s="198"/>
      <c r="ADB121" s="199"/>
      <c r="ADC121" s="198"/>
      <c r="ADD121" s="199"/>
      <c r="ADE121" s="198"/>
      <c r="ADF121" s="199"/>
      <c r="ADG121" s="198"/>
      <c r="ADH121" s="199"/>
      <c r="ADI121" s="198"/>
      <c r="ADJ121" s="199"/>
      <c r="ADK121" s="198"/>
      <c r="ADL121" s="199"/>
      <c r="ADM121" s="198"/>
      <c r="ADN121" s="199"/>
      <c r="ADO121" s="198"/>
      <c r="ADP121" s="199"/>
      <c r="ADQ121" s="198"/>
      <c r="ADR121" s="199"/>
      <c r="ADS121" s="198"/>
      <c r="ADT121" s="199"/>
      <c r="ADU121" s="198"/>
      <c r="ADV121" s="199"/>
      <c r="ADW121" s="198"/>
      <c r="ADX121" s="199"/>
      <c r="ADY121" s="198"/>
      <c r="ADZ121" s="199"/>
      <c r="AEA121" s="198"/>
      <c r="AEB121" s="199"/>
      <c r="AEC121" s="198"/>
      <c r="AED121" s="199"/>
      <c r="AEE121" s="198"/>
      <c r="AEF121" s="199"/>
      <c r="AEG121" s="198"/>
      <c r="AEH121" s="199"/>
      <c r="AEI121" s="198"/>
      <c r="AEJ121" s="199"/>
      <c r="AEK121" s="198"/>
      <c r="AEL121" s="199"/>
      <c r="AEM121" s="198"/>
      <c r="AEN121" s="199"/>
      <c r="AEO121" s="198"/>
      <c r="AEP121" s="199"/>
      <c r="AEQ121" s="198"/>
      <c r="AER121" s="199"/>
      <c r="AES121" s="198"/>
      <c r="AET121" s="199"/>
      <c r="AEU121" s="198"/>
      <c r="AEV121" s="199"/>
      <c r="AEW121" s="198"/>
      <c r="AEX121" s="199"/>
      <c r="AEY121" s="198"/>
      <c r="AEZ121" s="199"/>
      <c r="AFA121" s="198"/>
      <c r="AFB121" s="199"/>
      <c r="AFC121" s="198"/>
      <c r="AFD121" s="199"/>
      <c r="AFE121" s="198"/>
      <c r="AFF121" s="199"/>
      <c r="AFG121" s="198"/>
      <c r="AFH121" s="199"/>
      <c r="AFI121" s="198"/>
      <c r="AFJ121" s="199"/>
      <c r="AFK121" s="198"/>
      <c r="AFL121" s="199"/>
      <c r="AFM121" s="198"/>
      <c r="AFN121" s="199"/>
      <c r="AFO121" s="198"/>
      <c r="AFP121" s="199"/>
      <c r="AFQ121" s="198"/>
      <c r="AFR121" s="199"/>
      <c r="AFS121" s="198"/>
      <c r="AFT121" s="199"/>
      <c r="AFU121" s="198"/>
      <c r="AFV121" s="199"/>
      <c r="AFW121" s="198"/>
      <c r="AFX121" s="199"/>
      <c r="AFY121" s="198"/>
      <c r="AFZ121" s="199"/>
      <c r="AGA121" s="198"/>
      <c r="AGB121" s="199"/>
      <c r="AGC121" s="198"/>
      <c r="AGD121" s="199"/>
      <c r="AGE121" s="198"/>
      <c r="AGF121" s="199"/>
      <c r="AGG121" s="198"/>
      <c r="AGH121" s="199"/>
      <c r="AGI121" s="198"/>
      <c r="AGJ121" s="199"/>
      <c r="AGK121" s="198"/>
      <c r="AGL121" s="199"/>
      <c r="AGM121" s="198"/>
      <c r="AGN121" s="199"/>
      <c r="AGO121" s="198"/>
      <c r="AGP121" s="199"/>
      <c r="AGQ121" s="198"/>
      <c r="AGR121" s="199"/>
      <c r="AGS121" s="198"/>
      <c r="AGT121" s="199"/>
      <c r="AGU121" s="198"/>
      <c r="AGV121" s="199"/>
      <c r="AGW121" s="198"/>
      <c r="AGX121" s="199"/>
      <c r="AGY121" s="198"/>
      <c r="AGZ121" s="199"/>
      <c r="AHA121" s="198"/>
      <c r="AHB121" s="199"/>
      <c r="AHC121" s="198"/>
      <c r="AHD121" s="199"/>
      <c r="AHE121" s="198"/>
      <c r="AHF121" s="199"/>
      <c r="AHG121" s="198"/>
      <c r="AHH121" s="199"/>
      <c r="AHI121" s="198"/>
      <c r="AHJ121" s="199"/>
      <c r="AHK121" s="198"/>
      <c r="AHL121" s="199"/>
      <c r="AHM121" s="198"/>
      <c r="AHN121" s="199"/>
      <c r="AHO121" s="198"/>
      <c r="AHP121" s="199"/>
      <c r="AHQ121" s="198"/>
      <c r="AHR121" s="199"/>
      <c r="AHS121" s="198"/>
      <c r="AHT121" s="199"/>
      <c r="AHU121" s="198"/>
      <c r="AHV121" s="199"/>
      <c r="AHW121" s="198"/>
      <c r="AHX121" s="199"/>
      <c r="AHY121" s="198"/>
      <c r="AHZ121" s="199"/>
      <c r="AIA121" s="198"/>
      <c r="AIB121" s="199"/>
      <c r="AIC121" s="198"/>
      <c r="AID121" s="199"/>
      <c r="AIE121" s="198"/>
      <c r="AIF121" s="199"/>
      <c r="AIG121" s="198"/>
      <c r="AIH121" s="199"/>
      <c r="AII121" s="198"/>
      <c r="AIJ121" s="199"/>
      <c r="AIK121" s="198"/>
      <c r="AIL121" s="199"/>
      <c r="AIM121" s="198"/>
      <c r="AIN121" s="199"/>
      <c r="AIO121" s="198"/>
      <c r="AIP121" s="199"/>
      <c r="AIQ121" s="198"/>
      <c r="AIR121" s="199"/>
      <c r="AIS121" s="198"/>
      <c r="AIT121" s="199"/>
      <c r="AIU121" s="198"/>
      <c r="AIV121" s="199"/>
      <c r="AIW121" s="198"/>
      <c r="AIX121" s="199"/>
      <c r="AIY121" s="198"/>
      <c r="AIZ121" s="199"/>
      <c r="AJA121" s="198"/>
      <c r="AJB121" s="199"/>
      <c r="AJC121" s="198"/>
      <c r="AJD121" s="199"/>
      <c r="AJE121" s="198"/>
      <c r="AJF121" s="199"/>
      <c r="AJG121" s="198"/>
      <c r="AJH121" s="199"/>
      <c r="AJI121" s="198"/>
      <c r="AJJ121" s="199"/>
      <c r="AJK121" s="198"/>
      <c r="AJL121" s="199"/>
      <c r="AJM121" s="198"/>
      <c r="AJN121" s="199"/>
      <c r="AJO121" s="198"/>
      <c r="AJP121" s="199"/>
      <c r="AJQ121" s="198"/>
      <c r="AJR121" s="199"/>
      <c r="AJS121" s="198"/>
      <c r="AJT121" s="199"/>
      <c r="AJU121" s="198"/>
      <c r="AJV121" s="199"/>
      <c r="AJW121" s="198"/>
      <c r="AJX121" s="199"/>
      <c r="AJY121" s="198"/>
      <c r="AJZ121" s="199"/>
      <c r="AKA121" s="198"/>
      <c r="AKB121" s="199"/>
      <c r="AKC121" s="198"/>
      <c r="AKD121" s="199"/>
      <c r="AKE121" s="198"/>
      <c r="AKF121" s="199"/>
      <c r="AKG121" s="198"/>
      <c r="AKH121" s="199"/>
      <c r="AKI121" s="198"/>
      <c r="AKJ121" s="199"/>
      <c r="AKK121" s="198"/>
      <c r="AKL121" s="199"/>
      <c r="AKM121" s="198"/>
      <c r="AKN121" s="199"/>
      <c r="AKO121" s="198"/>
      <c r="AKP121" s="199"/>
      <c r="AKQ121" s="198"/>
      <c r="AKR121" s="199"/>
      <c r="AKS121" s="198"/>
      <c r="AKT121" s="199"/>
      <c r="AKU121" s="198"/>
      <c r="AKV121" s="199"/>
      <c r="AKW121" s="198"/>
      <c r="AKX121" s="199"/>
      <c r="AKY121" s="198"/>
      <c r="AKZ121" s="199"/>
      <c r="ALA121" s="198"/>
      <c r="ALB121" s="199"/>
      <c r="ALC121" s="198"/>
      <c r="ALD121" s="199"/>
      <c r="ALE121" s="198"/>
      <c r="ALF121" s="199"/>
      <c r="ALG121" s="198"/>
      <c r="ALH121" s="199"/>
      <c r="ALI121" s="198"/>
      <c r="ALJ121" s="199"/>
      <c r="ALK121" s="198"/>
      <c r="ALL121" s="199"/>
      <c r="ALM121" s="198"/>
      <c r="ALN121" s="199"/>
      <c r="ALO121" s="198"/>
      <c r="ALP121" s="199"/>
      <c r="ALQ121" s="198"/>
      <c r="ALR121" s="199"/>
      <c r="ALS121" s="198"/>
      <c r="ALT121" s="199"/>
      <c r="ALU121" s="198"/>
      <c r="ALV121" s="199"/>
      <c r="ALW121" s="198"/>
      <c r="ALX121" s="199"/>
      <c r="ALY121" s="198"/>
      <c r="ALZ121" s="199"/>
      <c r="AMA121" s="198"/>
      <c r="AMB121" s="199"/>
      <c r="AMC121" s="198"/>
      <c r="AMD121" s="199"/>
      <c r="AME121" s="198"/>
      <c r="AMF121" s="199"/>
      <c r="AMG121" s="198"/>
      <c r="AMH121" s="199"/>
      <c r="AMI121" s="198"/>
      <c r="AMJ121" s="199"/>
      <c r="AMK121" s="198"/>
      <c r="AML121" s="199"/>
      <c r="AMM121" s="198"/>
      <c r="AMN121" s="199"/>
      <c r="AMO121" s="198"/>
      <c r="AMP121" s="199"/>
      <c r="AMQ121" s="198"/>
      <c r="AMR121" s="199"/>
      <c r="AMS121" s="198"/>
      <c r="AMT121" s="199"/>
      <c r="AMU121" s="198"/>
      <c r="AMV121" s="199"/>
      <c r="AMW121" s="198"/>
      <c r="AMX121" s="199"/>
      <c r="AMY121" s="198"/>
      <c r="AMZ121" s="199"/>
      <c r="ANA121" s="198"/>
      <c r="ANB121" s="199"/>
      <c r="ANC121" s="198"/>
      <c r="AND121" s="199"/>
      <c r="ANE121" s="198"/>
      <c r="ANF121" s="199"/>
      <c r="ANG121" s="198"/>
      <c r="ANH121" s="199"/>
      <c r="ANI121" s="198"/>
      <c r="ANJ121" s="199"/>
      <c r="ANK121" s="198"/>
      <c r="ANL121" s="199"/>
      <c r="ANM121" s="198"/>
      <c r="ANN121" s="199"/>
      <c r="ANO121" s="198"/>
      <c r="ANP121" s="199"/>
      <c r="ANQ121" s="198"/>
      <c r="ANR121" s="199"/>
      <c r="ANS121" s="198"/>
      <c r="ANT121" s="199"/>
      <c r="ANU121" s="198"/>
      <c r="ANV121" s="199"/>
      <c r="ANW121" s="198"/>
      <c r="ANX121" s="199"/>
      <c r="ANY121" s="198"/>
      <c r="ANZ121" s="199"/>
      <c r="AOA121" s="198"/>
      <c r="AOB121" s="199"/>
      <c r="AOC121" s="198"/>
      <c r="AOD121" s="199"/>
      <c r="AOE121" s="198"/>
      <c r="AOF121" s="199"/>
      <c r="AOG121" s="198"/>
      <c r="AOH121" s="199"/>
      <c r="AOI121" s="198"/>
      <c r="AOJ121" s="199"/>
      <c r="AOK121" s="198"/>
      <c r="AOL121" s="199"/>
      <c r="AOM121" s="198"/>
      <c r="AON121" s="199"/>
      <c r="AOO121" s="198"/>
      <c r="AOP121" s="199"/>
      <c r="AOQ121" s="198"/>
      <c r="AOR121" s="199"/>
      <c r="AOS121" s="198"/>
      <c r="AOT121" s="199"/>
      <c r="AOU121" s="198"/>
      <c r="AOV121" s="199"/>
      <c r="AOW121" s="198"/>
      <c r="AOX121" s="199"/>
      <c r="AOY121" s="198"/>
      <c r="AOZ121" s="199"/>
      <c r="APA121" s="198"/>
      <c r="APB121" s="199"/>
      <c r="APC121" s="198"/>
      <c r="APD121" s="199"/>
      <c r="APE121" s="198"/>
      <c r="APF121" s="199"/>
      <c r="APG121" s="198"/>
      <c r="APH121" s="199"/>
      <c r="API121" s="198"/>
      <c r="APJ121" s="199"/>
      <c r="APK121" s="198"/>
      <c r="APL121" s="199"/>
      <c r="APM121" s="198"/>
      <c r="APN121" s="199"/>
      <c r="APO121" s="198"/>
      <c r="APP121" s="199"/>
      <c r="APQ121" s="198"/>
      <c r="APR121" s="199"/>
      <c r="APS121" s="198"/>
      <c r="APT121" s="199"/>
      <c r="APU121" s="198"/>
      <c r="APV121" s="199"/>
      <c r="APW121" s="198"/>
      <c r="APX121" s="199"/>
      <c r="APY121" s="198"/>
      <c r="APZ121" s="199"/>
      <c r="AQA121" s="198"/>
      <c r="AQB121" s="199"/>
      <c r="AQC121" s="198"/>
      <c r="AQD121" s="199"/>
      <c r="AQE121" s="198"/>
      <c r="AQF121" s="199"/>
      <c r="AQG121" s="198"/>
      <c r="AQH121" s="199"/>
      <c r="AQI121" s="198"/>
      <c r="AQJ121" s="199"/>
      <c r="AQK121" s="198"/>
      <c r="AQL121" s="199"/>
      <c r="AQM121" s="198"/>
      <c r="AQN121" s="199"/>
      <c r="AQO121" s="198"/>
      <c r="AQP121" s="199"/>
      <c r="AQQ121" s="198"/>
      <c r="AQR121" s="199"/>
      <c r="AQS121" s="198"/>
      <c r="AQT121" s="199"/>
      <c r="AQU121" s="198"/>
      <c r="AQV121" s="199"/>
      <c r="AQW121" s="198"/>
      <c r="AQX121" s="199"/>
      <c r="AQY121" s="198"/>
      <c r="AQZ121" s="199"/>
      <c r="ARA121" s="198"/>
      <c r="ARB121" s="199"/>
      <c r="ARC121" s="198"/>
      <c r="ARD121" s="199"/>
      <c r="ARE121" s="198"/>
      <c r="ARF121" s="199"/>
      <c r="ARG121" s="198"/>
      <c r="ARH121" s="199"/>
      <c r="ARI121" s="198"/>
      <c r="ARJ121" s="199"/>
      <c r="ARK121" s="198"/>
      <c r="ARL121" s="199"/>
      <c r="ARM121" s="198"/>
      <c r="ARN121" s="199"/>
      <c r="ARO121" s="198"/>
      <c r="ARP121" s="199"/>
      <c r="ARQ121" s="198"/>
      <c r="ARR121" s="199"/>
      <c r="ARS121" s="198"/>
      <c r="ART121" s="199"/>
      <c r="ARU121" s="198"/>
      <c r="ARV121" s="199"/>
      <c r="ARW121" s="198"/>
      <c r="ARX121" s="199"/>
      <c r="ARY121" s="198"/>
      <c r="ARZ121" s="199"/>
      <c r="ASA121" s="198"/>
      <c r="ASB121" s="199"/>
      <c r="ASC121" s="198"/>
      <c r="ASD121" s="199"/>
      <c r="ASE121" s="198"/>
      <c r="ASF121" s="199"/>
      <c r="ASG121" s="198"/>
      <c r="ASH121" s="199"/>
      <c r="ASI121" s="198"/>
      <c r="ASJ121" s="199"/>
      <c r="ASK121" s="198"/>
      <c r="ASL121" s="199"/>
      <c r="ASM121" s="198"/>
      <c r="ASN121" s="199"/>
      <c r="ASO121" s="198"/>
      <c r="ASP121" s="199"/>
      <c r="ASQ121" s="198"/>
      <c r="ASR121" s="199"/>
      <c r="ASS121" s="198"/>
      <c r="AST121" s="199"/>
      <c r="ASU121" s="198"/>
      <c r="ASV121" s="199"/>
      <c r="ASW121" s="198"/>
      <c r="ASX121" s="199"/>
      <c r="ASY121" s="198"/>
      <c r="ASZ121" s="199"/>
      <c r="ATA121" s="198"/>
      <c r="ATB121" s="199"/>
      <c r="ATC121" s="198"/>
      <c r="ATD121" s="199"/>
      <c r="ATE121" s="198"/>
      <c r="ATF121" s="199"/>
      <c r="ATG121" s="198"/>
      <c r="ATH121" s="199"/>
      <c r="ATI121" s="198"/>
      <c r="ATJ121" s="199"/>
      <c r="ATK121" s="198"/>
      <c r="ATL121" s="199"/>
      <c r="ATM121" s="198"/>
      <c r="ATN121" s="199"/>
      <c r="ATO121" s="198"/>
      <c r="ATP121" s="199"/>
      <c r="ATQ121" s="198"/>
      <c r="ATR121" s="199"/>
      <c r="ATS121" s="198"/>
      <c r="ATT121" s="199"/>
      <c r="ATU121" s="198"/>
      <c r="ATV121" s="199"/>
      <c r="ATW121" s="198"/>
      <c r="ATX121" s="199"/>
      <c r="ATY121" s="198"/>
      <c r="ATZ121" s="199"/>
      <c r="AUA121" s="198"/>
      <c r="AUB121" s="199"/>
      <c r="AUC121" s="198"/>
      <c r="AUD121" s="199"/>
      <c r="AUE121" s="198"/>
      <c r="AUF121" s="199"/>
      <c r="AUG121" s="198"/>
      <c r="AUH121" s="199"/>
      <c r="AUI121" s="198"/>
      <c r="AUJ121" s="199"/>
      <c r="AUK121" s="198"/>
      <c r="AUL121" s="199"/>
      <c r="AUM121" s="198"/>
      <c r="AUN121" s="199"/>
      <c r="AUO121" s="198"/>
      <c r="AUP121" s="199"/>
      <c r="AUQ121" s="198"/>
      <c r="AUR121" s="199"/>
      <c r="AUS121" s="198"/>
      <c r="AUT121" s="199"/>
      <c r="AUU121" s="198"/>
      <c r="AUV121" s="199"/>
      <c r="AUW121" s="198"/>
      <c r="AUX121" s="199"/>
      <c r="AUY121" s="198"/>
      <c r="AUZ121" s="199"/>
      <c r="AVA121" s="198"/>
      <c r="AVB121" s="199"/>
      <c r="AVC121" s="198"/>
      <c r="AVD121" s="199"/>
      <c r="AVE121" s="198"/>
      <c r="AVF121" s="199"/>
      <c r="AVG121" s="198"/>
      <c r="AVH121" s="199"/>
      <c r="AVI121" s="198"/>
      <c r="AVJ121" s="199"/>
      <c r="AVK121" s="198"/>
      <c r="AVL121" s="199"/>
      <c r="AVM121" s="198"/>
      <c r="AVN121" s="199"/>
      <c r="AVO121" s="198"/>
      <c r="AVP121" s="199"/>
      <c r="AVQ121" s="198"/>
      <c r="AVR121" s="199"/>
      <c r="AVS121" s="198"/>
      <c r="AVT121" s="199"/>
      <c r="AVU121" s="198"/>
      <c r="AVV121" s="199"/>
      <c r="AVW121" s="198"/>
      <c r="AVX121" s="199"/>
      <c r="AVY121" s="198"/>
      <c r="AVZ121" s="199"/>
      <c r="AWA121" s="198"/>
      <c r="AWB121" s="199"/>
      <c r="AWC121" s="198"/>
      <c r="AWD121" s="199"/>
      <c r="AWE121" s="198"/>
      <c r="AWF121" s="199"/>
      <c r="AWG121" s="198"/>
      <c r="AWH121" s="199"/>
      <c r="AWI121" s="198"/>
      <c r="AWJ121" s="199"/>
      <c r="AWK121" s="198"/>
      <c r="AWL121" s="199"/>
      <c r="AWM121" s="198"/>
      <c r="AWN121" s="199"/>
      <c r="AWO121" s="198"/>
      <c r="AWP121" s="199"/>
      <c r="AWQ121" s="198"/>
      <c r="AWR121" s="199"/>
      <c r="AWS121" s="198"/>
      <c r="AWT121" s="199"/>
      <c r="AWU121" s="198"/>
      <c r="AWV121" s="199"/>
      <c r="AWW121" s="198"/>
      <c r="AWX121" s="199"/>
      <c r="AWY121" s="198"/>
      <c r="AWZ121" s="199"/>
      <c r="AXA121" s="198"/>
      <c r="AXB121" s="199"/>
      <c r="AXC121" s="198"/>
      <c r="AXD121" s="199"/>
      <c r="AXE121" s="198"/>
      <c r="AXF121" s="199"/>
      <c r="AXG121" s="198"/>
      <c r="AXH121" s="199"/>
      <c r="AXI121" s="198"/>
      <c r="AXJ121" s="199"/>
      <c r="AXK121" s="198"/>
      <c r="AXL121" s="199"/>
      <c r="AXM121" s="198"/>
      <c r="AXN121" s="199"/>
      <c r="AXO121" s="198"/>
      <c r="AXP121" s="199"/>
      <c r="AXQ121" s="198"/>
      <c r="AXR121" s="199"/>
      <c r="AXS121" s="198"/>
      <c r="AXT121" s="199"/>
      <c r="AXU121" s="198"/>
      <c r="AXV121" s="199"/>
      <c r="AXW121" s="198"/>
      <c r="AXX121" s="199"/>
      <c r="AXY121" s="198"/>
      <c r="AXZ121" s="199"/>
      <c r="AYA121" s="198"/>
      <c r="AYB121" s="199"/>
      <c r="AYC121" s="198"/>
      <c r="AYD121" s="199"/>
      <c r="AYE121" s="198"/>
      <c r="AYF121" s="199"/>
      <c r="AYG121" s="198"/>
      <c r="AYH121" s="199"/>
      <c r="AYI121" s="198"/>
      <c r="AYJ121" s="199"/>
      <c r="AYK121" s="198"/>
      <c r="AYL121" s="199"/>
      <c r="AYM121" s="198"/>
      <c r="AYN121" s="199"/>
      <c r="AYO121" s="198"/>
      <c r="AYP121" s="199"/>
      <c r="AYQ121" s="198"/>
      <c r="AYR121" s="199"/>
      <c r="AYS121" s="198"/>
      <c r="AYT121" s="199"/>
      <c r="AYU121" s="198"/>
      <c r="AYV121" s="199"/>
      <c r="AYW121" s="198"/>
      <c r="AYX121" s="199"/>
      <c r="AYY121" s="198"/>
      <c r="AYZ121" s="199"/>
      <c r="AZA121" s="198"/>
      <c r="AZB121" s="199"/>
      <c r="AZC121" s="198"/>
      <c r="AZD121" s="199"/>
      <c r="AZE121" s="198"/>
      <c r="AZF121" s="199"/>
      <c r="AZG121" s="198"/>
      <c r="AZH121" s="199"/>
      <c r="AZI121" s="198"/>
      <c r="AZJ121" s="199"/>
      <c r="AZK121" s="198"/>
      <c r="AZL121" s="199"/>
      <c r="AZM121" s="198"/>
      <c r="AZN121" s="199"/>
      <c r="AZO121" s="198"/>
      <c r="AZP121" s="199"/>
      <c r="AZQ121" s="198"/>
      <c r="AZR121" s="199"/>
      <c r="AZS121" s="198"/>
      <c r="AZT121" s="199"/>
      <c r="AZU121" s="198"/>
      <c r="AZV121" s="199"/>
      <c r="AZW121" s="198"/>
      <c r="AZX121" s="199"/>
      <c r="AZY121" s="198"/>
      <c r="AZZ121" s="199"/>
      <c r="BAA121" s="198"/>
      <c r="BAB121" s="199"/>
      <c r="BAC121" s="198"/>
      <c r="BAD121" s="199"/>
      <c r="BAE121" s="198"/>
      <c r="BAF121" s="199"/>
      <c r="BAG121" s="198"/>
      <c r="BAH121" s="199"/>
      <c r="BAI121" s="198"/>
      <c r="BAJ121" s="199"/>
      <c r="BAK121" s="198"/>
      <c r="BAL121" s="199"/>
      <c r="BAM121" s="198"/>
      <c r="BAN121" s="199"/>
      <c r="BAO121" s="198"/>
      <c r="BAP121" s="199"/>
      <c r="BAQ121" s="198"/>
      <c r="BAR121" s="199"/>
      <c r="BAS121" s="198"/>
      <c r="BAT121" s="199"/>
      <c r="BAU121" s="198"/>
      <c r="BAV121" s="199"/>
      <c r="BAW121" s="198"/>
      <c r="BAX121" s="199"/>
      <c r="BAY121" s="198"/>
      <c r="BAZ121" s="199"/>
      <c r="BBA121" s="198"/>
      <c r="BBB121" s="199"/>
      <c r="BBC121" s="198"/>
      <c r="BBD121" s="199"/>
      <c r="BBE121" s="198"/>
      <c r="BBF121" s="199"/>
      <c r="BBG121" s="198"/>
      <c r="BBH121" s="199"/>
      <c r="BBI121" s="198"/>
      <c r="BBJ121" s="199"/>
      <c r="BBK121" s="198"/>
      <c r="BBL121" s="199"/>
      <c r="BBM121" s="198"/>
      <c r="BBN121" s="199"/>
      <c r="BBO121" s="198"/>
      <c r="BBP121" s="199"/>
      <c r="BBQ121" s="198"/>
      <c r="BBR121" s="199"/>
      <c r="BBS121" s="198"/>
      <c r="BBT121" s="199"/>
      <c r="BBU121" s="198"/>
      <c r="BBV121" s="199"/>
      <c r="BBW121" s="198"/>
      <c r="BBX121" s="199"/>
      <c r="BBY121" s="198"/>
      <c r="BBZ121" s="199"/>
      <c r="BCA121" s="198"/>
      <c r="BCB121" s="199"/>
      <c r="BCC121" s="198"/>
      <c r="BCD121" s="199"/>
      <c r="BCE121" s="198"/>
      <c r="BCF121" s="199"/>
      <c r="BCG121" s="198"/>
      <c r="BCH121" s="199"/>
      <c r="BCI121" s="198"/>
      <c r="BCJ121" s="199"/>
      <c r="BCK121" s="198"/>
      <c r="BCL121" s="199"/>
      <c r="BCM121" s="198"/>
      <c r="BCN121" s="199"/>
      <c r="BCO121" s="198"/>
      <c r="BCP121" s="199"/>
      <c r="BCQ121" s="198"/>
      <c r="BCR121" s="199"/>
      <c r="BCS121" s="198"/>
      <c r="BCT121" s="199"/>
      <c r="BCU121" s="198"/>
      <c r="BCV121" s="199"/>
      <c r="BCW121" s="198"/>
      <c r="BCX121" s="199"/>
      <c r="BCY121" s="198"/>
      <c r="BCZ121" s="199"/>
      <c r="BDA121" s="198"/>
      <c r="BDB121" s="199"/>
      <c r="BDC121" s="198"/>
      <c r="BDD121" s="199"/>
      <c r="BDE121" s="198"/>
      <c r="BDF121" s="199"/>
      <c r="BDG121" s="198"/>
      <c r="BDH121" s="199"/>
      <c r="BDI121" s="198"/>
      <c r="BDJ121" s="199"/>
      <c r="BDK121" s="198"/>
      <c r="BDL121" s="199"/>
      <c r="BDM121" s="198"/>
      <c r="BDN121" s="199"/>
      <c r="BDO121" s="198"/>
      <c r="BDP121" s="199"/>
      <c r="BDQ121" s="198"/>
      <c r="BDR121" s="199"/>
      <c r="BDS121" s="198"/>
      <c r="BDT121" s="199"/>
      <c r="BDU121" s="198"/>
      <c r="BDV121" s="199"/>
      <c r="BDW121" s="198"/>
      <c r="BDX121" s="199"/>
      <c r="BDY121" s="198"/>
      <c r="BDZ121" s="199"/>
      <c r="BEA121" s="198"/>
      <c r="BEB121" s="199"/>
      <c r="BEC121" s="198"/>
      <c r="BED121" s="199"/>
      <c r="BEE121" s="198"/>
      <c r="BEF121" s="199"/>
      <c r="BEG121" s="198"/>
      <c r="BEH121" s="199"/>
      <c r="BEI121" s="198"/>
      <c r="BEJ121" s="199"/>
      <c r="BEK121" s="198"/>
      <c r="BEL121" s="199"/>
      <c r="BEM121" s="198"/>
      <c r="BEN121" s="199"/>
      <c r="BEO121" s="198"/>
      <c r="BEP121" s="199"/>
      <c r="BEQ121" s="198"/>
      <c r="BER121" s="199"/>
      <c r="BES121" s="198"/>
      <c r="BET121" s="199"/>
      <c r="BEU121" s="198"/>
      <c r="BEV121" s="199"/>
      <c r="BEW121" s="198"/>
      <c r="BEX121" s="199"/>
      <c r="BEY121" s="198"/>
      <c r="BEZ121" s="199"/>
      <c r="BFA121" s="198"/>
      <c r="BFB121" s="199"/>
      <c r="BFC121" s="198"/>
      <c r="BFD121" s="199"/>
      <c r="BFE121" s="198"/>
      <c r="BFF121" s="199"/>
      <c r="BFG121" s="198"/>
      <c r="BFH121" s="199"/>
      <c r="BFI121" s="198"/>
      <c r="BFJ121" s="199"/>
      <c r="BFK121" s="198"/>
      <c r="BFL121" s="199"/>
      <c r="BFM121" s="198"/>
      <c r="BFN121" s="199"/>
      <c r="BFO121" s="198"/>
      <c r="BFP121" s="199"/>
      <c r="BFQ121" s="198"/>
      <c r="BFR121" s="199"/>
      <c r="BFS121" s="198"/>
      <c r="BFT121" s="199"/>
      <c r="BFU121" s="198"/>
      <c r="BFV121" s="199"/>
      <c r="BFW121" s="198"/>
      <c r="BFX121" s="199"/>
      <c r="BFY121" s="198"/>
      <c r="BFZ121" s="199"/>
      <c r="BGA121" s="198"/>
      <c r="BGB121" s="199"/>
      <c r="BGC121" s="198"/>
      <c r="BGD121" s="199"/>
      <c r="BGE121" s="198"/>
      <c r="BGF121" s="199"/>
      <c r="BGG121" s="198"/>
      <c r="BGH121" s="199"/>
      <c r="BGI121" s="198"/>
      <c r="BGJ121" s="199"/>
      <c r="BGK121" s="198"/>
      <c r="BGL121" s="199"/>
      <c r="BGM121" s="198"/>
      <c r="BGN121" s="199"/>
      <c r="BGO121" s="198"/>
      <c r="BGP121" s="199"/>
      <c r="BGQ121" s="198"/>
      <c r="BGR121" s="199"/>
      <c r="BGS121" s="198"/>
      <c r="BGT121" s="199"/>
      <c r="BGU121" s="198"/>
      <c r="BGV121" s="199"/>
      <c r="BGW121" s="198"/>
      <c r="BGX121" s="199"/>
      <c r="BGY121" s="198"/>
      <c r="BGZ121" s="199"/>
      <c r="BHA121" s="198"/>
      <c r="BHB121" s="199"/>
      <c r="BHC121" s="198"/>
      <c r="BHD121" s="199"/>
      <c r="BHE121" s="198"/>
      <c r="BHF121" s="199"/>
      <c r="BHG121" s="198"/>
      <c r="BHH121" s="199"/>
      <c r="BHI121" s="198"/>
      <c r="BHJ121" s="199"/>
      <c r="BHK121" s="198"/>
      <c r="BHL121" s="199"/>
      <c r="BHM121" s="198"/>
      <c r="BHN121" s="199"/>
      <c r="BHO121" s="198"/>
      <c r="BHP121" s="199"/>
      <c r="BHQ121" s="198"/>
      <c r="BHR121" s="199"/>
      <c r="BHS121" s="198"/>
      <c r="BHT121" s="199"/>
      <c r="BHU121" s="198"/>
      <c r="BHV121" s="199"/>
      <c r="BHW121" s="198"/>
      <c r="BHX121" s="199"/>
      <c r="BHY121" s="198"/>
      <c r="BHZ121" s="199"/>
      <c r="BIA121" s="198"/>
      <c r="BIB121" s="199"/>
      <c r="BIC121" s="198"/>
      <c r="BID121" s="199"/>
      <c r="BIE121" s="198"/>
      <c r="BIF121" s="199"/>
      <c r="BIG121" s="198"/>
      <c r="BIH121" s="199"/>
      <c r="BII121" s="198"/>
      <c r="BIJ121" s="199"/>
      <c r="BIK121" s="198"/>
      <c r="BIL121" s="199"/>
      <c r="BIM121" s="198"/>
      <c r="BIN121" s="199"/>
      <c r="BIO121" s="198"/>
      <c r="BIP121" s="199"/>
      <c r="BIQ121" s="198"/>
      <c r="BIR121" s="199"/>
      <c r="BIS121" s="198"/>
      <c r="BIT121" s="199"/>
      <c r="BIU121" s="198"/>
      <c r="BIV121" s="199"/>
      <c r="BIW121" s="198"/>
      <c r="BIX121" s="199"/>
      <c r="BIY121" s="198"/>
      <c r="BIZ121" s="199"/>
      <c r="BJA121" s="198"/>
      <c r="BJB121" s="199"/>
      <c r="BJC121" s="198"/>
      <c r="BJD121" s="199"/>
      <c r="BJE121" s="198"/>
      <c r="BJF121" s="199"/>
      <c r="BJG121" s="198"/>
      <c r="BJH121" s="199"/>
      <c r="BJI121" s="198"/>
      <c r="BJJ121" s="199"/>
      <c r="BJK121" s="198"/>
      <c r="BJL121" s="199"/>
      <c r="BJM121" s="198"/>
      <c r="BJN121" s="199"/>
      <c r="BJO121" s="198"/>
      <c r="BJP121" s="199"/>
      <c r="BJQ121" s="198"/>
      <c r="BJR121" s="199"/>
      <c r="BJS121" s="198"/>
      <c r="BJT121" s="199"/>
      <c r="BJU121" s="198"/>
      <c r="BJV121" s="199"/>
      <c r="BJW121" s="198"/>
      <c r="BJX121" s="199"/>
      <c r="BJY121" s="198"/>
      <c r="BJZ121" s="199"/>
      <c r="BKA121" s="198"/>
      <c r="BKB121" s="199"/>
      <c r="BKC121" s="198"/>
      <c r="BKD121" s="199"/>
      <c r="BKE121" s="198"/>
      <c r="BKF121" s="199"/>
      <c r="BKG121" s="198"/>
      <c r="BKH121" s="199"/>
      <c r="BKI121" s="198"/>
      <c r="BKJ121" s="199"/>
      <c r="BKK121" s="198"/>
      <c r="BKL121" s="199"/>
      <c r="BKM121" s="198"/>
      <c r="BKN121" s="199"/>
      <c r="BKO121" s="198"/>
      <c r="BKP121" s="199"/>
      <c r="BKQ121" s="198"/>
      <c r="BKR121" s="199"/>
      <c r="BKS121" s="198"/>
      <c r="BKT121" s="199"/>
      <c r="BKU121" s="198"/>
      <c r="BKV121" s="199"/>
      <c r="BKW121" s="198"/>
      <c r="BKX121" s="199"/>
      <c r="BKY121" s="198"/>
      <c r="BKZ121" s="199"/>
      <c r="BLA121" s="198"/>
      <c r="BLB121" s="199"/>
      <c r="BLC121" s="198"/>
      <c r="BLD121" s="199"/>
      <c r="BLE121" s="198"/>
      <c r="BLF121" s="199"/>
      <c r="BLG121" s="198"/>
      <c r="BLH121" s="199"/>
      <c r="BLI121" s="198"/>
      <c r="BLJ121" s="199"/>
      <c r="BLK121" s="198"/>
      <c r="BLL121" s="199"/>
      <c r="BLM121" s="198"/>
      <c r="BLN121" s="199"/>
      <c r="BLO121" s="198"/>
      <c r="BLP121" s="199"/>
      <c r="BLQ121" s="198"/>
      <c r="BLR121" s="199"/>
      <c r="BLS121" s="198"/>
      <c r="BLT121" s="199"/>
      <c r="BLU121" s="198"/>
      <c r="BLV121" s="199"/>
      <c r="BLW121" s="198"/>
      <c r="BLX121" s="199"/>
      <c r="BLY121" s="198"/>
      <c r="BLZ121" s="199"/>
      <c r="BMA121" s="198"/>
      <c r="BMB121" s="199"/>
      <c r="BMC121" s="198"/>
      <c r="BMD121" s="199"/>
      <c r="BME121" s="198"/>
      <c r="BMF121" s="199"/>
      <c r="BMG121" s="198"/>
      <c r="BMH121" s="199"/>
      <c r="BMI121" s="198"/>
      <c r="BMJ121" s="199"/>
      <c r="BMK121" s="198"/>
      <c r="BML121" s="199"/>
      <c r="BMM121" s="198"/>
      <c r="BMN121" s="199"/>
      <c r="BMO121" s="198"/>
      <c r="BMP121" s="199"/>
      <c r="BMQ121" s="198"/>
      <c r="BMR121" s="199"/>
      <c r="BMS121" s="198"/>
      <c r="BMT121" s="199"/>
      <c r="BMU121" s="198"/>
      <c r="BMV121" s="199"/>
      <c r="BMW121" s="198"/>
      <c r="BMX121" s="199"/>
      <c r="BMY121" s="198"/>
      <c r="BMZ121" s="199"/>
      <c r="BNA121" s="198"/>
      <c r="BNB121" s="199"/>
      <c r="BNC121" s="198"/>
      <c r="BND121" s="199"/>
      <c r="BNE121" s="198"/>
      <c r="BNF121" s="199"/>
      <c r="BNG121" s="198"/>
      <c r="BNH121" s="199"/>
      <c r="BNI121" s="198"/>
      <c r="BNJ121" s="199"/>
      <c r="BNK121" s="198"/>
      <c r="BNL121" s="199"/>
      <c r="BNM121" s="198"/>
      <c r="BNN121" s="199"/>
      <c r="BNO121" s="198"/>
      <c r="BNP121" s="199"/>
      <c r="BNQ121" s="198"/>
      <c r="BNR121" s="199"/>
      <c r="BNS121" s="198"/>
      <c r="BNT121" s="199"/>
      <c r="BNU121" s="198"/>
      <c r="BNV121" s="199"/>
      <c r="BNW121" s="198"/>
      <c r="BNX121" s="199"/>
      <c r="BNY121" s="198"/>
      <c r="BNZ121" s="199"/>
      <c r="BOA121" s="198"/>
      <c r="BOB121" s="199"/>
      <c r="BOC121" s="198"/>
      <c r="BOD121" s="199"/>
      <c r="BOE121" s="198"/>
      <c r="BOF121" s="199"/>
      <c r="BOG121" s="198"/>
      <c r="BOH121" s="199"/>
      <c r="BOI121" s="198"/>
      <c r="BOJ121" s="199"/>
      <c r="BOK121" s="198"/>
      <c r="BOL121" s="199"/>
      <c r="BOM121" s="198"/>
      <c r="BON121" s="199"/>
      <c r="BOO121" s="198"/>
      <c r="BOP121" s="199"/>
      <c r="BOQ121" s="198"/>
      <c r="BOR121" s="199"/>
      <c r="BOS121" s="198"/>
      <c r="BOT121" s="199"/>
      <c r="BOU121" s="198"/>
      <c r="BOV121" s="199"/>
      <c r="BOW121" s="198"/>
      <c r="BOX121" s="199"/>
      <c r="BOY121" s="198"/>
      <c r="BOZ121" s="199"/>
      <c r="BPA121" s="198"/>
      <c r="BPB121" s="199"/>
      <c r="BPC121" s="198"/>
      <c r="BPD121" s="199"/>
      <c r="BPE121" s="198"/>
      <c r="BPF121" s="199"/>
      <c r="BPG121" s="198"/>
      <c r="BPH121" s="199"/>
      <c r="BPI121" s="198"/>
      <c r="BPJ121" s="199"/>
      <c r="BPK121" s="198"/>
      <c r="BPL121" s="199"/>
      <c r="BPM121" s="198"/>
      <c r="BPN121" s="199"/>
      <c r="BPO121" s="198"/>
      <c r="BPP121" s="199"/>
      <c r="BPQ121" s="198"/>
      <c r="BPR121" s="199"/>
      <c r="BPS121" s="198"/>
      <c r="BPT121" s="199"/>
      <c r="BPU121" s="198"/>
      <c r="BPV121" s="199"/>
      <c r="BPW121" s="198"/>
      <c r="BPX121" s="199"/>
      <c r="BPY121" s="198"/>
      <c r="BPZ121" s="199"/>
      <c r="BQA121" s="198"/>
      <c r="BQB121" s="199"/>
      <c r="BQC121" s="198"/>
      <c r="BQD121" s="199"/>
      <c r="BQE121" s="198"/>
      <c r="BQF121" s="199"/>
      <c r="BQG121" s="198"/>
      <c r="BQH121" s="199"/>
      <c r="BQI121" s="198"/>
      <c r="BQJ121" s="199"/>
      <c r="BQK121" s="198"/>
      <c r="BQL121" s="199"/>
      <c r="BQM121" s="198"/>
      <c r="BQN121" s="199"/>
      <c r="BQO121" s="198"/>
      <c r="BQP121" s="199"/>
      <c r="BQQ121" s="198"/>
      <c r="BQR121" s="199"/>
      <c r="BQS121" s="198"/>
      <c r="BQT121" s="199"/>
      <c r="BQU121" s="198"/>
      <c r="BQV121" s="199"/>
      <c r="BQW121" s="198"/>
      <c r="BQX121" s="199"/>
      <c r="BQY121" s="198"/>
      <c r="BQZ121" s="199"/>
      <c r="BRA121" s="198"/>
      <c r="BRB121" s="199"/>
      <c r="BRC121" s="198"/>
      <c r="BRD121" s="199"/>
      <c r="BRE121" s="198"/>
      <c r="BRF121" s="199"/>
      <c r="BRG121" s="198"/>
      <c r="BRH121" s="199"/>
      <c r="BRI121" s="198"/>
      <c r="BRJ121" s="199"/>
      <c r="BRK121" s="198"/>
      <c r="BRL121" s="199"/>
      <c r="BRM121" s="198"/>
      <c r="BRN121" s="199"/>
      <c r="BRO121" s="198"/>
      <c r="BRP121" s="199"/>
      <c r="BRQ121" s="198"/>
      <c r="BRR121" s="199"/>
      <c r="BRS121" s="198"/>
      <c r="BRT121" s="199"/>
      <c r="BRU121" s="198"/>
      <c r="BRV121" s="199"/>
      <c r="BRW121" s="198"/>
      <c r="BRX121" s="199"/>
      <c r="BRY121" s="198"/>
      <c r="BRZ121" s="199"/>
      <c r="BSA121" s="198"/>
      <c r="BSB121" s="199"/>
      <c r="BSC121" s="198"/>
      <c r="BSD121" s="199"/>
      <c r="BSE121" s="198"/>
      <c r="BSF121" s="199"/>
      <c r="BSG121" s="198"/>
      <c r="BSH121" s="199"/>
      <c r="BSI121" s="198"/>
      <c r="BSJ121" s="199"/>
      <c r="BSK121" s="198"/>
      <c r="BSL121" s="199"/>
      <c r="BSM121" s="198"/>
      <c r="BSN121" s="199"/>
      <c r="BSO121" s="198"/>
      <c r="BSP121" s="199"/>
      <c r="BSQ121" s="198"/>
      <c r="BSR121" s="199"/>
      <c r="BSS121" s="198"/>
      <c r="BST121" s="199"/>
      <c r="BSU121" s="198"/>
      <c r="BSV121" s="199"/>
      <c r="BSW121" s="198"/>
      <c r="BSX121" s="199"/>
      <c r="BSY121" s="198"/>
      <c r="BSZ121" s="199"/>
      <c r="BTA121" s="198"/>
      <c r="BTB121" s="199"/>
      <c r="BTC121" s="198"/>
      <c r="BTD121" s="199"/>
      <c r="BTE121" s="198"/>
      <c r="BTF121" s="199"/>
      <c r="BTG121" s="198"/>
      <c r="BTH121" s="199"/>
      <c r="BTI121" s="198"/>
      <c r="BTJ121" s="199"/>
      <c r="BTK121" s="198"/>
      <c r="BTL121" s="199"/>
      <c r="BTM121" s="198"/>
      <c r="BTN121" s="199"/>
      <c r="BTO121" s="198"/>
      <c r="BTP121" s="199"/>
      <c r="BTQ121" s="198"/>
      <c r="BTR121" s="199"/>
      <c r="BTS121" s="198"/>
      <c r="BTT121" s="199"/>
      <c r="BTU121" s="198"/>
      <c r="BTV121" s="199"/>
      <c r="BTW121" s="198"/>
      <c r="BTX121" s="199"/>
      <c r="BTY121" s="198"/>
      <c r="BTZ121" s="199"/>
      <c r="BUA121" s="198"/>
      <c r="BUB121" s="199"/>
      <c r="BUC121" s="198"/>
      <c r="BUD121" s="199"/>
      <c r="BUE121" s="198"/>
      <c r="BUF121" s="199"/>
      <c r="BUG121" s="198"/>
      <c r="BUH121" s="199"/>
      <c r="BUI121" s="198"/>
      <c r="BUJ121" s="199"/>
      <c r="BUK121" s="198"/>
      <c r="BUL121" s="199"/>
      <c r="BUM121" s="198"/>
      <c r="BUN121" s="199"/>
      <c r="BUO121" s="198"/>
      <c r="BUP121" s="199"/>
      <c r="BUQ121" s="198"/>
      <c r="BUR121" s="199"/>
      <c r="BUS121" s="198"/>
      <c r="BUT121" s="199"/>
      <c r="BUU121" s="198"/>
      <c r="BUV121" s="199"/>
      <c r="BUW121" s="198"/>
      <c r="BUX121" s="199"/>
      <c r="BUY121" s="198"/>
      <c r="BUZ121" s="199"/>
      <c r="BVA121" s="198"/>
      <c r="BVB121" s="199"/>
      <c r="BVC121" s="198"/>
      <c r="BVD121" s="199"/>
      <c r="BVE121" s="198"/>
      <c r="BVF121" s="199"/>
      <c r="BVG121" s="198"/>
      <c r="BVH121" s="199"/>
      <c r="BVI121" s="198"/>
      <c r="BVJ121" s="199"/>
      <c r="BVK121" s="198"/>
      <c r="BVL121" s="199"/>
      <c r="BVM121" s="198"/>
      <c r="BVN121" s="199"/>
      <c r="BVO121" s="198"/>
      <c r="BVP121" s="199"/>
      <c r="BVQ121" s="198"/>
      <c r="BVR121" s="199"/>
      <c r="BVS121" s="198"/>
      <c r="BVT121" s="199"/>
      <c r="BVU121" s="198"/>
      <c r="BVV121" s="199"/>
      <c r="BVW121" s="198"/>
      <c r="BVX121" s="199"/>
      <c r="BVY121" s="198"/>
      <c r="BVZ121" s="199"/>
      <c r="BWA121" s="198"/>
      <c r="BWB121" s="199"/>
      <c r="BWC121" s="198"/>
      <c r="BWD121" s="199"/>
      <c r="BWE121" s="198"/>
      <c r="BWF121" s="199"/>
      <c r="BWG121" s="198"/>
      <c r="BWH121" s="199"/>
      <c r="BWI121" s="198"/>
      <c r="BWJ121" s="199"/>
      <c r="BWK121" s="198"/>
      <c r="BWL121" s="199"/>
      <c r="BWM121" s="198"/>
      <c r="BWN121" s="199"/>
      <c r="BWO121" s="198"/>
      <c r="BWP121" s="199"/>
      <c r="BWQ121" s="198"/>
      <c r="BWR121" s="199"/>
      <c r="BWS121" s="198"/>
      <c r="BWT121" s="199"/>
      <c r="BWU121" s="198"/>
      <c r="BWV121" s="199"/>
      <c r="BWW121" s="198"/>
      <c r="BWX121" s="199"/>
      <c r="BWY121" s="198"/>
      <c r="BWZ121" s="199"/>
      <c r="BXA121" s="198"/>
      <c r="BXB121" s="199"/>
      <c r="BXC121" s="198"/>
      <c r="BXD121" s="199"/>
      <c r="BXE121" s="198"/>
      <c r="BXF121" s="199"/>
      <c r="BXG121" s="198"/>
      <c r="BXH121" s="199"/>
      <c r="BXI121" s="198"/>
      <c r="BXJ121" s="199"/>
      <c r="BXK121" s="198"/>
      <c r="BXL121" s="199"/>
      <c r="BXM121" s="198"/>
      <c r="BXN121" s="199"/>
      <c r="BXO121" s="198"/>
      <c r="BXP121" s="199"/>
      <c r="BXQ121" s="198"/>
      <c r="BXR121" s="199"/>
      <c r="BXS121" s="198"/>
      <c r="BXT121" s="199"/>
      <c r="BXU121" s="198"/>
      <c r="BXV121" s="199"/>
      <c r="BXW121" s="198"/>
      <c r="BXX121" s="199"/>
      <c r="BXY121" s="198"/>
      <c r="BXZ121" s="199"/>
      <c r="BYA121" s="198"/>
      <c r="BYB121" s="199"/>
      <c r="BYC121" s="198"/>
      <c r="BYD121" s="199"/>
      <c r="BYE121" s="198"/>
      <c r="BYF121" s="199"/>
      <c r="BYG121" s="198"/>
      <c r="BYH121" s="199"/>
      <c r="BYI121" s="198"/>
      <c r="BYJ121" s="199"/>
      <c r="BYK121" s="198"/>
      <c r="BYL121" s="199"/>
      <c r="BYM121" s="198"/>
      <c r="BYN121" s="199"/>
      <c r="BYO121" s="198"/>
      <c r="BYP121" s="199"/>
      <c r="BYQ121" s="198"/>
      <c r="BYR121" s="199"/>
      <c r="BYS121" s="198"/>
      <c r="BYT121" s="199"/>
      <c r="BYU121" s="198"/>
      <c r="BYV121" s="199"/>
      <c r="BYW121" s="198"/>
      <c r="BYX121" s="199"/>
      <c r="BYY121" s="198"/>
      <c r="BYZ121" s="199"/>
      <c r="BZA121" s="198"/>
      <c r="BZB121" s="199"/>
      <c r="BZC121" s="198"/>
      <c r="BZD121" s="199"/>
      <c r="BZE121" s="198"/>
      <c r="BZF121" s="199"/>
      <c r="BZG121" s="198"/>
      <c r="BZH121" s="199"/>
      <c r="BZI121" s="198"/>
      <c r="BZJ121" s="199"/>
      <c r="BZK121" s="198"/>
      <c r="BZL121" s="199"/>
      <c r="BZM121" s="198"/>
      <c r="BZN121" s="199"/>
      <c r="BZO121" s="198"/>
      <c r="BZP121" s="199"/>
      <c r="BZQ121" s="198"/>
      <c r="BZR121" s="199"/>
      <c r="BZS121" s="198"/>
      <c r="BZT121" s="199"/>
      <c r="BZU121" s="198"/>
      <c r="BZV121" s="199"/>
      <c r="BZW121" s="198"/>
      <c r="BZX121" s="199"/>
      <c r="BZY121" s="198"/>
      <c r="BZZ121" s="199"/>
      <c r="CAA121" s="198"/>
      <c r="CAB121" s="199"/>
      <c r="CAC121" s="198"/>
      <c r="CAD121" s="199"/>
      <c r="CAE121" s="198"/>
      <c r="CAF121" s="199"/>
      <c r="CAG121" s="198"/>
      <c r="CAH121" s="199"/>
      <c r="CAI121" s="198"/>
      <c r="CAJ121" s="199"/>
      <c r="CAK121" s="198"/>
      <c r="CAL121" s="199"/>
      <c r="CAM121" s="198"/>
      <c r="CAN121" s="199"/>
      <c r="CAO121" s="198"/>
      <c r="CAP121" s="199"/>
      <c r="CAQ121" s="198"/>
      <c r="CAR121" s="199"/>
      <c r="CAS121" s="198"/>
      <c r="CAT121" s="199"/>
      <c r="CAU121" s="198"/>
      <c r="CAV121" s="199"/>
      <c r="CAW121" s="198"/>
      <c r="CAX121" s="199"/>
      <c r="CAY121" s="198"/>
      <c r="CAZ121" s="199"/>
      <c r="CBA121" s="198"/>
      <c r="CBB121" s="199"/>
      <c r="CBC121" s="198"/>
      <c r="CBD121" s="199"/>
      <c r="CBE121" s="198"/>
      <c r="CBF121" s="199"/>
      <c r="CBG121" s="198"/>
      <c r="CBH121" s="199"/>
      <c r="CBI121" s="198"/>
      <c r="CBJ121" s="199"/>
      <c r="CBK121" s="198"/>
      <c r="CBL121" s="199"/>
      <c r="CBM121" s="198"/>
      <c r="CBN121" s="199"/>
      <c r="CBO121" s="198"/>
      <c r="CBP121" s="199"/>
      <c r="CBQ121" s="198"/>
      <c r="CBR121" s="199"/>
      <c r="CBS121" s="198"/>
      <c r="CBT121" s="199"/>
      <c r="CBU121" s="198"/>
      <c r="CBV121" s="199"/>
      <c r="CBW121" s="198"/>
      <c r="CBX121" s="199"/>
      <c r="CBY121" s="198"/>
      <c r="CBZ121" s="199"/>
      <c r="CCA121" s="198"/>
      <c r="CCB121" s="199"/>
      <c r="CCC121" s="198"/>
      <c r="CCD121" s="199"/>
      <c r="CCE121" s="198"/>
      <c r="CCF121" s="199"/>
      <c r="CCG121" s="198"/>
      <c r="CCH121" s="199"/>
      <c r="CCI121" s="198"/>
      <c r="CCJ121" s="199"/>
      <c r="CCK121" s="198"/>
      <c r="CCL121" s="199"/>
      <c r="CCM121" s="198"/>
      <c r="CCN121" s="199"/>
      <c r="CCO121" s="198"/>
      <c r="CCP121" s="199"/>
      <c r="CCQ121" s="198"/>
      <c r="CCR121" s="199"/>
      <c r="CCS121" s="198"/>
      <c r="CCT121" s="199"/>
      <c r="CCU121" s="198"/>
      <c r="CCV121" s="199"/>
      <c r="CCW121" s="198"/>
      <c r="CCX121" s="199"/>
      <c r="CCY121" s="198"/>
      <c r="CCZ121" s="199"/>
      <c r="CDA121" s="198"/>
      <c r="CDB121" s="199"/>
      <c r="CDC121" s="198"/>
      <c r="CDD121" s="199"/>
      <c r="CDE121" s="198"/>
      <c r="CDF121" s="199"/>
      <c r="CDG121" s="198"/>
      <c r="CDH121" s="199"/>
      <c r="CDI121" s="198"/>
      <c r="CDJ121" s="199"/>
      <c r="CDK121" s="198"/>
      <c r="CDL121" s="199"/>
      <c r="CDM121" s="198"/>
      <c r="CDN121" s="199"/>
      <c r="CDO121" s="198"/>
      <c r="CDP121" s="199"/>
      <c r="CDQ121" s="198"/>
      <c r="CDR121" s="199"/>
      <c r="CDS121" s="198"/>
      <c r="CDT121" s="199"/>
      <c r="CDU121" s="198"/>
      <c r="CDV121" s="199"/>
      <c r="CDW121" s="198"/>
      <c r="CDX121" s="199"/>
      <c r="CDY121" s="198"/>
      <c r="CDZ121" s="199"/>
      <c r="CEA121" s="198"/>
      <c r="CEB121" s="199"/>
      <c r="CEC121" s="198"/>
      <c r="CED121" s="199"/>
      <c r="CEE121" s="198"/>
      <c r="CEF121" s="199"/>
      <c r="CEG121" s="198"/>
      <c r="CEH121" s="199"/>
      <c r="CEI121" s="198"/>
      <c r="CEJ121" s="199"/>
      <c r="CEK121" s="198"/>
      <c r="CEL121" s="199"/>
      <c r="CEM121" s="198"/>
      <c r="CEN121" s="199"/>
      <c r="CEO121" s="198"/>
      <c r="CEP121" s="199"/>
      <c r="CEQ121" s="198"/>
      <c r="CER121" s="199"/>
      <c r="CES121" s="198"/>
      <c r="CET121" s="199"/>
      <c r="CEU121" s="198"/>
      <c r="CEV121" s="199"/>
      <c r="CEW121" s="198"/>
      <c r="CEX121" s="199"/>
      <c r="CEY121" s="198"/>
      <c r="CEZ121" s="199"/>
      <c r="CFA121" s="198"/>
      <c r="CFB121" s="199"/>
      <c r="CFC121" s="198"/>
      <c r="CFD121" s="199"/>
      <c r="CFE121" s="198"/>
      <c r="CFF121" s="199"/>
      <c r="CFG121" s="198"/>
      <c r="CFH121" s="199"/>
      <c r="CFI121" s="198"/>
      <c r="CFJ121" s="199"/>
      <c r="CFK121" s="198"/>
      <c r="CFL121" s="199"/>
      <c r="CFM121" s="198"/>
      <c r="CFN121" s="199"/>
      <c r="CFO121" s="198"/>
      <c r="CFP121" s="199"/>
      <c r="CFQ121" s="198"/>
      <c r="CFR121" s="199"/>
      <c r="CFS121" s="198"/>
      <c r="CFT121" s="199"/>
      <c r="CFU121" s="198"/>
      <c r="CFV121" s="199"/>
      <c r="CFW121" s="198"/>
      <c r="CFX121" s="199"/>
      <c r="CFY121" s="198"/>
      <c r="CFZ121" s="199"/>
      <c r="CGA121" s="198"/>
      <c r="CGB121" s="199"/>
      <c r="CGC121" s="198"/>
      <c r="CGD121" s="199"/>
      <c r="CGE121" s="198"/>
      <c r="CGF121" s="199"/>
      <c r="CGG121" s="198"/>
      <c r="CGH121" s="199"/>
      <c r="CGI121" s="198"/>
      <c r="CGJ121" s="199"/>
      <c r="CGK121" s="198"/>
      <c r="CGL121" s="199"/>
      <c r="CGM121" s="198"/>
      <c r="CGN121" s="199"/>
      <c r="CGO121" s="198"/>
      <c r="CGP121" s="199"/>
      <c r="CGQ121" s="198"/>
      <c r="CGR121" s="199"/>
      <c r="CGS121" s="198"/>
      <c r="CGT121" s="199"/>
      <c r="CGU121" s="198"/>
      <c r="CGV121" s="199"/>
      <c r="CGW121" s="198"/>
      <c r="CGX121" s="199"/>
      <c r="CGY121" s="198"/>
      <c r="CGZ121" s="199"/>
      <c r="CHA121" s="198"/>
      <c r="CHB121" s="199"/>
      <c r="CHC121" s="198"/>
      <c r="CHD121" s="199"/>
      <c r="CHE121" s="198"/>
      <c r="CHF121" s="199"/>
      <c r="CHG121" s="198"/>
      <c r="CHH121" s="199"/>
      <c r="CHI121" s="198"/>
      <c r="CHJ121" s="199"/>
      <c r="CHK121" s="198"/>
      <c r="CHL121" s="199"/>
      <c r="CHM121" s="198"/>
      <c r="CHN121" s="199"/>
      <c r="CHO121" s="198"/>
      <c r="CHP121" s="199"/>
      <c r="CHQ121" s="198"/>
      <c r="CHR121" s="199"/>
      <c r="CHS121" s="198"/>
      <c r="CHT121" s="199"/>
      <c r="CHU121" s="198"/>
      <c r="CHV121" s="199"/>
      <c r="CHW121" s="198"/>
      <c r="CHX121" s="199"/>
      <c r="CHY121" s="198"/>
      <c r="CHZ121" s="199"/>
      <c r="CIA121" s="198"/>
      <c r="CIB121" s="199"/>
      <c r="CIC121" s="198"/>
      <c r="CID121" s="199"/>
      <c r="CIE121" s="198"/>
      <c r="CIF121" s="199"/>
      <c r="CIG121" s="198"/>
      <c r="CIH121" s="199"/>
      <c r="CII121" s="198"/>
      <c r="CIJ121" s="199"/>
      <c r="CIK121" s="198"/>
      <c r="CIL121" s="199"/>
      <c r="CIM121" s="198"/>
      <c r="CIN121" s="199"/>
      <c r="CIO121" s="198"/>
      <c r="CIP121" s="199"/>
      <c r="CIQ121" s="198"/>
      <c r="CIR121" s="199"/>
      <c r="CIS121" s="198"/>
      <c r="CIT121" s="199"/>
      <c r="CIU121" s="198"/>
      <c r="CIV121" s="199"/>
      <c r="CIW121" s="198"/>
      <c r="CIX121" s="199"/>
      <c r="CIY121" s="198"/>
      <c r="CIZ121" s="199"/>
      <c r="CJA121" s="198"/>
      <c r="CJB121" s="199"/>
      <c r="CJC121" s="198"/>
      <c r="CJD121" s="199"/>
      <c r="CJE121" s="198"/>
      <c r="CJF121" s="199"/>
      <c r="CJG121" s="198"/>
      <c r="CJH121" s="199"/>
      <c r="CJI121" s="198"/>
      <c r="CJJ121" s="199"/>
      <c r="CJK121" s="198"/>
      <c r="CJL121" s="199"/>
      <c r="CJM121" s="198"/>
      <c r="CJN121" s="199"/>
      <c r="CJO121" s="198"/>
      <c r="CJP121" s="199"/>
      <c r="CJQ121" s="198"/>
      <c r="CJR121" s="199"/>
      <c r="CJS121" s="198"/>
      <c r="CJT121" s="199"/>
      <c r="CJU121" s="198"/>
      <c r="CJV121" s="199"/>
      <c r="CJW121" s="198"/>
      <c r="CJX121" s="199"/>
      <c r="CJY121" s="198"/>
      <c r="CJZ121" s="199"/>
      <c r="CKA121" s="198"/>
      <c r="CKB121" s="199"/>
      <c r="CKC121" s="198"/>
      <c r="CKD121" s="199"/>
      <c r="CKE121" s="198"/>
      <c r="CKF121" s="199"/>
      <c r="CKG121" s="198"/>
      <c r="CKH121" s="199"/>
      <c r="CKI121" s="198"/>
      <c r="CKJ121" s="199"/>
      <c r="CKK121" s="198"/>
      <c r="CKL121" s="199"/>
      <c r="CKM121" s="198"/>
      <c r="CKN121" s="199"/>
      <c r="CKO121" s="198"/>
      <c r="CKP121" s="199"/>
      <c r="CKQ121" s="198"/>
      <c r="CKR121" s="199"/>
      <c r="CKS121" s="198"/>
      <c r="CKT121" s="199"/>
      <c r="CKU121" s="198"/>
      <c r="CKV121" s="199"/>
      <c r="CKW121" s="198"/>
      <c r="CKX121" s="199"/>
      <c r="CKY121" s="198"/>
      <c r="CKZ121" s="199"/>
      <c r="CLA121" s="198"/>
      <c r="CLB121" s="199"/>
      <c r="CLC121" s="198"/>
      <c r="CLD121" s="199"/>
      <c r="CLE121" s="198"/>
      <c r="CLF121" s="199"/>
      <c r="CLG121" s="198"/>
      <c r="CLH121" s="199"/>
      <c r="CLI121" s="198"/>
      <c r="CLJ121" s="199"/>
      <c r="CLK121" s="198"/>
      <c r="CLL121" s="199"/>
      <c r="CLM121" s="198"/>
      <c r="CLN121" s="199"/>
      <c r="CLO121" s="198"/>
      <c r="CLP121" s="199"/>
      <c r="CLQ121" s="198"/>
      <c r="CLR121" s="199"/>
      <c r="CLS121" s="198"/>
      <c r="CLT121" s="199"/>
      <c r="CLU121" s="198"/>
      <c r="CLV121" s="199"/>
      <c r="CLW121" s="198"/>
      <c r="CLX121" s="199"/>
      <c r="CLY121" s="198"/>
      <c r="CLZ121" s="199"/>
      <c r="CMA121" s="198"/>
      <c r="CMB121" s="199"/>
      <c r="CMC121" s="198"/>
      <c r="CMD121" s="199"/>
      <c r="CME121" s="198"/>
      <c r="CMF121" s="199"/>
      <c r="CMG121" s="198"/>
      <c r="CMH121" s="199"/>
      <c r="CMI121" s="198"/>
      <c r="CMJ121" s="199"/>
      <c r="CMK121" s="198"/>
      <c r="CML121" s="199"/>
      <c r="CMM121" s="198"/>
      <c r="CMN121" s="199"/>
      <c r="CMO121" s="198"/>
      <c r="CMP121" s="199"/>
      <c r="CMQ121" s="198"/>
      <c r="CMR121" s="199"/>
      <c r="CMS121" s="198"/>
      <c r="CMT121" s="199"/>
      <c r="CMU121" s="198"/>
      <c r="CMV121" s="199"/>
      <c r="CMW121" s="198"/>
      <c r="CMX121" s="199"/>
      <c r="CMY121" s="198"/>
      <c r="CMZ121" s="199"/>
      <c r="CNA121" s="198"/>
      <c r="CNB121" s="199"/>
      <c r="CNC121" s="198"/>
      <c r="CND121" s="199"/>
      <c r="CNE121" s="198"/>
      <c r="CNF121" s="199"/>
      <c r="CNG121" s="198"/>
      <c r="CNH121" s="199"/>
      <c r="CNI121" s="198"/>
      <c r="CNJ121" s="199"/>
      <c r="CNK121" s="198"/>
      <c r="CNL121" s="199"/>
      <c r="CNM121" s="198"/>
      <c r="CNN121" s="199"/>
      <c r="CNO121" s="198"/>
      <c r="CNP121" s="199"/>
      <c r="CNQ121" s="198"/>
      <c r="CNR121" s="199"/>
      <c r="CNS121" s="198"/>
      <c r="CNT121" s="199"/>
      <c r="CNU121" s="198"/>
      <c r="CNV121" s="199"/>
      <c r="CNW121" s="198"/>
      <c r="CNX121" s="199"/>
      <c r="CNY121" s="198"/>
      <c r="CNZ121" s="199"/>
      <c r="COA121" s="198"/>
      <c r="COB121" s="199"/>
      <c r="COC121" s="198"/>
      <c r="COD121" s="199"/>
      <c r="COE121" s="198"/>
      <c r="COF121" s="199"/>
      <c r="COG121" s="198"/>
      <c r="COH121" s="199"/>
      <c r="COI121" s="198"/>
      <c r="COJ121" s="199"/>
      <c r="COK121" s="198"/>
      <c r="COL121" s="199"/>
      <c r="COM121" s="198"/>
      <c r="CON121" s="199"/>
      <c r="COO121" s="198"/>
      <c r="COP121" s="199"/>
      <c r="COQ121" s="198"/>
      <c r="COR121" s="199"/>
      <c r="COS121" s="198"/>
      <c r="COT121" s="199"/>
      <c r="COU121" s="198"/>
      <c r="COV121" s="199"/>
      <c r="COW121" s="198"/>
      <c r="COX121" s="199"/>
      <c r="COY121" s="198"/>
      <c r="COZ121" s="199"/>
      <c r="CPA121" s="198"/>
      <c r="CPB121" s="199"/>
      <c r="CPC121" s="198"/>
      <c r="CPD121" s="199"/>
      <c r="CPE121" s="198"/>
      <c r="CPF121" s="199"/>
      <c r="CPG121" s="198"/>
      <c r="CPH121" s="199"/>
      <c r="CPI121" s="198"/>
      <c r="CPJ121" s="199"/>
      <c r="CPK121" s="198"/>
      <c r="CPL121" s="199"/>
      <c r="CPM121" s="198"/>
      <c r="CPN121" s="199"/>
      <c r="CPO121" s="198"/>
      <c r="CPP121" s="199"/>
      <c r="CPQ121" s="198"/>
      <c r="CPR121" s="199"/>
      <c r="CPS121" s="198"/>
      <c r="CPT121" s="199"/>
      <c r="CPU121" s="198"/>
      <c r="CPV121" s="199"/>
      <c r="CPW121" s="198"/>
      <c r="CPX121" s="199"/>
      <c r="CPY121" s="198"/>
      <c r="CPZ121" s="199"/>
      <c r="CQA121" s="198"/>
      <c r="CQB121" s="199"/>
      <c r="CQC121" s="198"/>
      <c r="CQD121" s="199"/>
      <c r="CQE121" s="198"/>
      <c r="CQF121" s="199"/>
      <c r="CQG121" s="198"/>
      <c r="CQH121" s="199"/>
      <c r="CQI121" s="198"/>
      <c r="CQJ121" s="199"/>
      <c r="CQK121" s="198"/>
      <c r="CQL121" s="199"/>
      <c r="CQM121" s="198"/>
      <c r="CQN121" s="199"/>
      <c r="CQO121" s="198"/>
      <c r="CQP121" s="199"/>
      <c r="CQQ121" s="198"/>
      <c r="CQR121" s="199"/>
      <c r="CQS121" s="198"/>
      <c r="CQT121" s="199"/>
      <c r="CQU121" s="198"/>
      <c r="CQV121" s="199"/>
      <c r="CQW121" s="198"/>
      <c r="CQX121" s="199"/>
      <c r="CQY121" s="198"/>
      <c r="CQZ121" s="199"/>
      <c r="CRA121" s="198"/>
      <c r="CRB121" s="199"/>
      <c r="CRC121" s="198"/>
      <c r="CRD121" s="199"/>
      <c r="CRE121" s="198"/>
      <c r="CRF121" s="199"/>
      <c r="CRG121" s="198"/>
      <c r="CRH121" s="199"/>
      <c r="CRI121" s="198"/>
      <c r="CRJ121" s="199"/>
      <c r="CRK121" s="198"/>
      <c r="CRL121" s="199"/>
      <c r="CRM121" s="198"/>
      <c r="CRN121" s="199"/>
      <c r="CRO121" s="198"/>
      <c r="CRP121" s="199"/>
      <c r="CRQ121" s="198"/>
      <c r="CRR121" s="199"/>
      <c r="CRS121" s="198"/>
      <c r="CRT121" s="199"/>
      <c r="CRU121" s="198"/>
      <c r="CRV121" s="199"/>
      <c r="CRW121" s="198"/>
      <c r="CRX121" s="199"/>
      <c r="CRY121" s="198"/>
      <c r="CRZ121" s="199"/>
      <c r="CSA121" s="198"/>
      <c r="CSB121" s="199"/>
      <c r="CSC121" s="198"/>
      <c r="CSD121" s="199"/>
      <c r="CSE121" s="198"/>
      <c r="CSF121" s="199"/>
      <c r="CSG121" s="198"/>
      <c r="CSH121" s="199"/>
      <c r="CSI121" s="198"/>
      <c r="CSJ121" s="199"/>
      <c r="CSK121" s="198"/>
      <c r="CSL121" s="199"/>
      <c r="CSM121" s="198"/>
      <c r="CSN121" s="199"/>
      <c r="CSO121" s="198"/>
      <c r="CSP121" s="199"/>
      <c r="CSQ121" s="198"/>
      <c r="CSR121" s="199"/>
      <c r="CSS121" s="198"/>
      <c r="CST121" s="199"/>
      <c r="CSU121" s="198"/>
      <c r="CSV121" s="199"/>
      <c r="CSW121" s="198"/>
      <c r="CSX121" s="199"/>
      <c r="CSY121" s="198"/>
      <c r="CSZ121" s="199"/>
      <c r="CTA121" s="198"/>
      <c r="CTB121" s="199"/>
      <c r="CTC121" s="198"/>
      <c r="CTD121" s="199"/>
      <c r="CTE121" s="198"/>
      <c r="CTF121" s="199"/>
      <c r="CTG121" s="198"/>
      <c r="CTH121" s="199"/>
      <c r="CTI121" s="198"/>
      <c r="CTJ121" s="199"/>
      <c r="CTK121" s="198"/>
      <c r="CTL121" s="199"/>
      <c r="CTM121" s="198"/>
      <c r="CTN121" s="199"/>
      <c r="CTO121" s="198"/>
      <c r="CTP121" s="199"/>
      <c r="CTQ121" s="198"/>
      <c r="CTR121" s="199"/>
      <c r="CTS121" s="198"/>
      <c r="CTT121" s="199"/>
      <c r="CTU121" s="198"/>
      <c r="CTV121" s="199"/>
      <c r="CTW121" s="198"/>
      <c r="CTX121" s="199"/>
      <c r="CTY121" s="198"/>
      <c r="CTZ121" s="199"/>
      <c r="CUA121" s="198"/>
      <c r="CUB121" s="199"/>
      <c r="CUC121" s="198"/>
      <c r="CUD121" s="199"/>
      <c r="CUE121" s="198"/>
      <c r="CUF121" s="199"/>
      <c r="CUG121" s="198"/>
      <c r="CUH121" s="199"/>
      <c r="CUI121" s="198"/>
      <c r="CUJ121" s="199"/>
      <c r="CUK121" s="198"/>
      <c r="CUL121" s="199"/>
      <c r="CUM121" s="198"/>
      <c r="CUN121" s="199"/>
      <c r="CUO121" s="198"/>
      <c r="CUP121" s="199"/>
      <c r="CUQ121" s="198"/>
      <c r="CUR121" s="199"/>
      <c r="CUS121" s="198"/>
      <c r="CUT121" s="199"/>
      <c r="CUU121" s="198"/>
      <c r="CUV121" s="199"/>
      <c r="CUW121" s="198"/>
      <c r="CUX121" s="199"/>
      <c r="CUY121" s="198"/>
      <c r="CUZ121" s="199"/>
      <c r="CVA121" s="198"/>
      <c r="CVB121" s="199"/>
      <c r="CVC121" s="198"/>
      <c r="CVD121" s="199"/>
      <c r="CVE121" s="198"/>
      <c r="CVF121" s="199"/>
      <c r="CVG121" s="198"/>
      <c r="CVH121" s="199"/>
      <c r="CVI121" s="198"/>
      <c r="CVJ121" s="199"/>
      <c r="CVK121" s="198"/>
      <c r="CVL121" s="199"/>
      <c r="CVM121" s="198"/>
      <c r="CVN121" s="199"/>
      <c r="CVO121" s="198"/>
      <c r="CVP121" s="199"/>
      <c r="CVQ121" s="198"/>
      <c r="CVR121" s="199"/>
      <c r="CVS121" s="198"/>
      <c r="CVT121" s="199"/>
      <c r="CVU121" s="198"/>
      <c r="CVV121" s="199"/>
      <c r="CVW121" s="198"/>
      <c r="CVX121" s="199"/>
      <c r="CVY121" s="198"/>
      <c r="CVZ121" s="199"/>
      <c r="CWA121" s="198"/>
      <c r="CWB121" s="199"/>
      <c r="CWC121" s="198"/>
      <c r="CWD121" s="199"/>
      <c r="CWE121" s="198"/>
      <c r="CWF121" s="199"/>
      <c r="CWG121" s="198"/>
      <c r="CWH121" s="199"/>
      <c r="CWI121" s="198"/>
      <c r="CWJ121" s="199"/>
      <c r="CWK121" s="198"/>
      <c r="CWL121" s="199"/>
      <c r="CWM121" s="198"/>
      <c r="CWN121" s="199"/>
      <c r="CWO121" s="198"/>
      <c r="CWP121" s="199"/>
      <c r="CWQ121" s="198"/>
      <c r="CWR121" s="199"/>
      <c r="CWS121" s="198"/>
      <c r="CWT121" s="199"/>
      <c r="CWU121" s="198"/>
      <c r="CWV121" s="199"/>
      <c r="CWW121" s="198"/>
      <c r="CWX121" s="199"/>
      <c r="CWY121" s="198"/>
      <c r="CWZ121" s="199"/>
      <c r="CXA121" s="198"/>
      <c r="CXB121" s="199"/>
      <c r="CXC121" s="198"/>
      <c r="CXD121" s="199"/>
      <c r="CXE121" s="198"/>
      <c r="CXF121" s="199"/>
      <c r="CXG121" s="198"/>
      <c r="CXH121" s="199"/>
      <c r="CXI121" s="198"/>
      <c r="CXJ121" s="199"/>
      <c r="CXK121" s="198"/>
      <c r="CXL121" s="199"/>
      <c r="CXM121" s="198"/>
      <c r="CXN121" s="199"/>
      <c r="CXO121" s="198"/>
      <c r="CXP121" s="199"/>
      <c r="CXQ121" s="198"/>
      <c r="CXR121" s="199"/>
      <c r="CXS121" s="198"/>
      <c r="CXT121" s="199"/>
      <c r="CXU121" s="198"/>
      <c r="CXV121" s="199"/>
      <c r="CXW121" s="198"/>
      <c r="CXX121" s="199"/>
      <c r="CXY121" s="198"/>
      <c r="CXZ121" s="199"/>
      <c r="CYA121" s="198"/>
      <c r="CYB121" s="199"/>
      <c r="CYC121" s="198"/>
      <c r="CYD121" s="199"/>
      <c r="CYE121" s="198"/>
      <c r="CYF121" s="199"/>
      <c r="CYG121" s="198"/>
      <c r="CYH121" s="199"/>
      <c r="CYI121" s="198"/>
      <c r="CYJ121" s="199"/>
      <c r="CYK121" s="198"/>
      <c r="CYL121" s="199"/>
      <c r="CYM121" s="198"/>
      <c r="CYN121" s="199"/>
      <c r="CYO121" s="198"/>
      <c r="CYP121" s="199"/>
      <c r="CYQ121" s="198"/>
      <c r="CYR121" s="199"/>
      <c r="CYS121" s="198"/>
      <c r="CYT121" s="199"/>
      <c r="CYU121" s="198"/>
      <c r="CYV121" s="199"/>
      <c r="CYW121" s="198"/>
      <c r="CYX121" s="199"/>
      <c r="CYY121" s="198"/>
      <c r="CYZ121" s="199"/>
      <c r="CZA121" s="198"/>
      <c r="CZB121" s="199"/>
      <c r="CZC121" s="198"/>
      <c r="CZD121" s="199"/>
      <c r="CZE121" s="198"/>
      <c r="CZF121" s="199"/>
      <c r="CZG121" s="198"/>
      <c r="CZH121" s="199"/>
      <c r="CZI121" s="198"/>
      <c r="CZJ121" s="199"/>
      <c r="CZK121" s="198"/>
      <c r="CZL121" s="199"/>
      <c r="CZM121" s="198"/>
      <c r="CZN121" s="199"/>
      <c r="CZO121" s="198"/>
      <c r="CZP121" s="199"/>
      <c r="CZQ121" s="198"/>
      <c r="CZR121" s="199"/>
      <c r="CZS121" s="198"/>
      <c r="CZT121" s="199"/>
      <c r="CZU121" s="198"/>
      <c r="CZV121" s="199"/>
      <c r="CZW121" s="198"/>
      <c r="CZX121" s="199"/>
      <c r="CZY121" s="198"/>
      <c r="CZZ121" s="199"/>
      <c r="DAA121" s="198"/>
      <c r="DAB121" s="199"/>
      <c r="DAC121" s="198"/>
      <c r="DAD121" s="199"/>
      <c r="DAE121" s="198"/>
      <c r="DAF121" s="199"/>
      <c r="DAG121" s="198"/>
      <c r="DAH121" s="199"/>
      <c r="DAI121" s="198"/>
      <c r="DAJ121" s="199"/>
      <c r="DAK121" s="198"/>
      <c r="DAL121" s="199"/>
      <c r="DAM121" s="198"/>
      <c r="DAN121" s="199"/>
      <c r="DAO121" s="198"/>
      <c r="DAP121" s="199"/>
      <c r="DAQ121" s="198"/>
      <c r="DAR121" s="199"/>
      <c r="DAS121" s="198"/>
      <c r="DAT121" s="199"/>
      <c r="DAU121" s="198"/>
      <c r="DAV121" s="199"/>
      <c r="DAW121" s="198"/>
      <c r="DAX121" s="199"/>
      <c r="DAY121" s="198"/>
      <c r="DAZ121" s="199"/>
      <c r="DBA121" s="198"/>
      <c r="DBB121" s="199"/>
      <c r="DBC121" s="198"/>
      <c r="DBD121" s="199"/>
      <c r="DBE121" s="198"/>
      <c r="DBF121" s="199"/>
      <c r="DBG121" s="198"/>
      <c r="DBH121" s="199"/>
      <c r="DBI121" s="198"/>
      <c r="DBJ121" s="199"/>
      <c r="DBK121" s="198"/>
      <c r="DBL121" s="199"/>
      <c r="DBM121" s="198"/>
      <c r="DBN121" s="199"/>
      <c r="DBO121" s="198"/>
      <c r="DBP121" s="199"/>
      <c r="DBQ121" s="198"/>
      <c r="DBR121" s="199"/>
      <c r="DBS121" s="198"/>
      <c r="DBT121" s="199"/>
      <c r="DBU121" s="198"/>
      <c r="DBV121" s="199"/>
      <c r="DBW121" s="198"/>
      <c r="DBX121" s="199"/>
      <c r="DBY121" s="198"/>
      <c r="DBZ121" s="199"/>
      <c r="DCA121" s="198"/>
      <c r="DCB121" s="199"/>
      <c r="DCC121" s="198"/>
      <c r="DCD121" s="199"/>
      <c r="DCE121" s="198"/>
      <c r="DCF121" s="199"/>
      <c r="DCG121" s="198"/>
      <c r="DCH121" s="199"/>
      <c r="DCI121" s="198"/>
      <c r="DCJ121" s="199"/>
      <c r="DCK121" s="198"/>
      <c r="DCL121" s="199"/>
      <c r="DCM121" s="198"/>
      <c r="DCN121" s="199"/>
      <c r="DCO121" s="198"/>
      <c r="DCP121" s="199"/>
      <c r="DCQ121" s="198"/>
      <c r="DCR121" s="199"/>
      <c r="DCS121" s="198"/>
      <c r="DCT121" s="199"/>
      <c r="DCU121" s="198"/>
      <c r="DCV121" s="199"/>
      <c r="DCW121" s="198"/>
      <c r="DCX121" s="199"/>
      <c r="DCY121" s="198"/>
      <c r="DCZ121" s="199"/>
      <c r="DDA121" s="198"/>
      <c r="DDB121" s="199"/>
      <c r="DDC121" s="198"/>
      <c r="DDD121" s="199"/>
      <c r="DDE121" s="198"/>
      <c r="DDF121" s="199"/>
      <c r="DDG121" s="198"/>
      <c r="DDH121" s="199"/>
      <c r="DDI121" s="198"/>
      <c r="DDJ121" s="199"/>
      <c r="DDK121" s="198"/>
      <c r="DDL121" s="199"/>
      <c r="DDM121" s="198"/>
      <c r="DDN121" s="199"/>
      <c r="DDO121" s="198"/>
      <c r="DDP121" s="199"/>
      <c r="DDQ121" s="198"/>
      <c r="DDR121" s="199"/>
      <c r="DDS121" s="198"/>
      <c r="DDT121" s="199"/>
      <c r="DDU121" s="198"/>
      <c r="DDV121" s="199"/>
      <c r="DDW121" s="198"/>
      <c r="DDX121" s="199"/>
      <c r="DDY121" s="198"/>
      <c r="DDZ121" s="199"/>
      <c r="DEA121" s="198"/>
      <c r="DEB121" s="199"/>
      <c r="DEC121" s="198"/>
      <c r="DED121" s="199"/>
      <c r="DEE121" s="198"/>
      <c r="DEF121" s="199"/>
      <c r="DEG121" s="198"/>
      <c r="DEH121" s="199"/>
      <c r="DEI121" s="198"/>
      <c r="DEJ121" s="199"/>
      <c r="DEK121" s="198"/>
      <c r="DEL121" s="199"/>
      <c r="DEM121" s="198"/>
      <c r="DEN121" s="199"/>
      <c r="DEO121" s="198"/>
      <c r="DEP121" s="199"/>
      <c r="DEQ121" s="198"/>
      <c r="DER121" s="199"/>
      <c r="DES121" s="198"/>
      <c r="DET121" s="199"/>
      <c r="DEU121" s="198"/>
      <c r="DEV121" s="199"/>
      <c r="DEW121" s="198"/>
      <c r="DEX121" s="199"/>
      <c r="DEY121" s="198"/>
      <c r="DEZ121" s="199"/>
      <c r="DFA121" s="198"/>
      <c r="DFB121" s="199"/>
      <c r="DFC121" s="198"/>
      <c r="DFD121" s="199"/>
      <c r="DFE121" s="198"/>
      <c r="DFF121" s="199"/>
      <c r="DFG121" s="198"/>
      <c r="DFH121" s="199"/>
      <c r="DFI121" s="198"/>
      <c r="DFJ121" s="199"/>
      <c r="DFK121" s="198"/>
      <c r="DFL121" s="199"/>
      <c r="DFM121" s="198"/>
      <c r="DFN121" s="199"/>
      <c r="DFO121" s="198"/>
      <c r="DFP121" s="199"/>
      <c r="DFQ121" s="198"/>
      <c r="DFR121" s="199"/>
      <c r="DFS121" s="198"/>
      <c r="DFT121" s="199"/>
      <c r="DFU121" s="198"/>
      <c r="DFV121" s="199"/>
      <c r="DFW121" s="198"/>
      <c r="DFX121" s="199"/>
      <c r="DFY121" s="198"/>
      <c r="DFZ121" s="199"/>
      <c r="DGA121" s="198"/>
      <c r="DGB121" s="199"/>
      <c r="DGC121" s="198"/>
      <c r="DGD121" s="199"/>
      <c r="DGE121" s="198"/>
      <c r="DGF121" s="199"/>
      <c r="DGG121" s="198"/>
      <c r="DGH121" s="199"/>
      <c r="DGI121" s="198"/>
      <c r="DGJ121" s="199"/>
      <c r="DGK121" s="198"/>
      <c r="DGL121" s="199"/>
      <c r="DGM121" s="198"/>
      <c r="DGN121" s="199"/>
      <c r="DGO121" s="198"/>
      <c r="DGP121" s="199"/>
      <c r="DGQ121" s="198"/>
      <c r="DGR121" s="199"/>
      <c r="DGS121" s="198"/>
      <c r="DGT121" s="199"/>
      <c r="DGU121" s="198"/>
      <c r="DGV121" s="199"/>
      <c r="DGW121" s="198"/>
      <c r="DGX121" s="199"/>
      <c r="DGY121" s="198"/>
      <c r="DGZ121" s="199"/>
      <c r="DHA121" s="198"/>
      <c r="DHB121" s="199"/>
      <c r="DHC121" s="198"/>
      <c r="DHD121" s="199"/>
      <c r="DHE121" s="198"/>
      <c r="DHF121" s="199"/>
      <c r="DHG121" s="198"/>
      <c r="DHH121" s="199"/>
      <c r="DHI121" s="198"/>
      <c r="DHJ121" s="199"/>
      <c r="DHK121" s="198"/>
      <c r="DHL121" s="199"/>
      <c r="DHM121" s="198"/>
      <c r="DHN121" s="199"/>
      <c r="DHO121" s="198"/>
      <c r="DHP121" s="199"/>
      <c r="DHQ121" s="198"/>
      <c r="DHR121" s="199"/>
      <c r="DHS121" s="198"/>
      <c r="DHT121" s="199"/>
      <c r="DHU121" s="198"/>
      <c r="DHV121" s="199"/>
      <c r="DHW121" s="198"/>
      <c r="DHX121" s="199"/>
      <c r="DHY121" s="198"/>
      <c r="DHZ121" s="199"/>
      <c r="DIA121" s="198"/>
      <c r="DIB121" s="199"/>
      <c r="DIC121" s="198"/>
      <c r="DID121" s="199"/>
      <c r="DIE121" s="198"/>
      <c r="DIF121" s="199"/>
      <c r="DIG121" s="198"/>
      <c r="DIH121" s="199"/>
      <c r="DII121" s="198"/>
      <c r="DIJ121" s="199"/>
      <c r="DIK121" s="198"/>
      <c r="DIL121" s="199"/>
      <c r="DIM121" s="198"/>
      <c r="DIN121" s="199"/>
      <c r="DIO121" s="198"/>
      <c r="DIP121" s="199"/>
      <c r="DIQ121" s="198"/>
      <c r="DIR121" s="199"/>
      <c r="DIS121" s="198"/>
      <c r="DIT121" s="199"/>
      <c r="DIU121" s="198"/>
      <c r="DIV121" s="199"/>
      <c r="DIW121" s="198"/>
      <c r="DIX121" s="199"/>
      <c r="DIY121" s="198"/>
      <c r="DIZ121" s="199"/>
      <c r="DJA121" s="198"/>
      <c r="DJB121" s="199"/>
      <c r="DJC121" s="198"/>
      <c r="DJD121" s="199"/>
      <c r="DJE121" s="198"/>
      <c r="DJF121" s="199"/>
      <c r="DJG121" s="198"/>
      <c r="DJH121" s="199"/>
      <c r="DJI121" s="198"/>
      <c r="DJJ121" s="199"/>
      <c r="DJK121" s="198"/>
      <c r="DJL121" s="199"/>
      <c r="DJM121" s="198"/>
      <c r="DJN121" s="199"/>
      <c r="DJO121" s="198"/>
      <c r="DJP121" s="199"/>
      <c r="DJQ121" s="198"/>
      <c r="DJR121" s="199"/>
      <c r="DJS121" s="198"/>
      <c r="DJT121" s="199"/>
      <c r="DJU121" s="198"/>
      <c r="DJV121" s="199"/>
      <c r="DJW121" s="198"/>
      <c r="DJX121" s="199"/>
      <c r="DJY121" s="198"/>
      <c r="DJZ121" s="199"/>
      <c r="DKA121" s="198"/>
      <c r="DKB121" s="199"/>
      <c r="DKC121" s="198"/>
      <c r="DKD121" s="199"/>
      <c r="DKE121" s="198"/>
      <c r="DKF121" s="199"/>
      <c r="DKG121" s="198"/>
      <c r="DKH121" s="199"/>
      <c r="DKI121" s="198"/>
      <c r="DKJ121" s="199"/>
      <c r="DKK121" s="198"/>
      <c r="DKL121" s="199"/>
      <c r="DKM121" s="198"/>
      <c r="DKN121" s="199"/>
      <c r="DKO121" s="198"/>
      <c r="DKP121" s="199"/>
      <c r="DKQ121" s="198"/>
      <c r="DKR121" s="199"/>
      <c r="DKS121" s="198"/>
      <c r="DKT121" s="199"/>
      <c r="DKU121" s="198"/>
      <c r="DKV121" s="199"/>
      <c r="DKW121" s="198"/>
      <c r="DKX121" s="199"/>
      <c r="DKY121" s="198"/>
      <c r="DKZ121" s="199"/>
      <c r="DLA121" s="198"/>
      <c r="DLB121" s="199"/>
      <c r="DLC121" s="198"/>
      <c r="DLD121" s="199"/>
      <c r="DLE121" s="198"/>
      <c r="DLF121" s="199"/>
      <c r="DLG121" s="198"/>
      <c r="DLH121" s="199"/>
      <c r="DLI121" s="198"/>
      <c r="DLJ121" s="199"/>
      <c r="DLK121" s="198"/>
      <c r="DLL121" s="199"/>
      <c r="DLM121" s="198"/>
      <c r="DLN121" s="199"/>
      <c r="DLO121" s="198"/>
      <c r="DLP121" s="199"/>
      <c r="DLQ121" s="198"/>
      <c r="DLR121" s="199"/>
      <c r="DLS121" s="198"/>
      <c r="DLT121" s="199"/>
      <c r="DLU121" s="198"/>
      <c r="DLV121" s="199"/>
      <c r="DLW121" s="198"/>
      <c r="DLX121" s="199"/>
      <c r="DLY121" s="198"/>
      <c r="DLZ121" s="199"/>
      <c r="DMA121" s="198"/>
      <c r="DMB121" s="199"/>
      <c r="DMC121" s="198"/>
      <c r="DMD121" s="199"/>
      <c r="DME121" s="198"/>
      <c r="DMF121" s="199"/>
      <c r="DMG121" s="198"/>
      <c r="DMH121" s="199"/>
      <c r="DMI121" s="198"/>
      <c r="DMJ121" s="199"/>
      <c r="DMK121" s="198"/>
      <c r="DML121" s="199"/>
      <c r="DMM121" s="198"/>
      <c r="DMN121" s="199"/>
      <c r="DMO121" s="198"/>
      <c r="DMP121" s="199"/>
      <c r="DMQ121" s="198"/>
      <c r="DMR121" s="199"/>
      <c r="DMS121" s="198"/>
      <c r="DMT121" s="199"/>
      <c r="DMU121" s="198"/>
      <c r="DMV121" s="199"/>
      <c r="DMW121" s="198"/>
      <c r="DMX121" s="199"/>
      <c r="DMY121" s="198"/>
      <c r="DMZ121" s="199"/>
      <c r="DNA121" s="198"/>
      <c r="DNB121" s="199"/>
      <c r="DNC121" s="198"/>
      <c r="DND121" s="199"/>
      <c r="DNE121" s="198"/>
      <c r="DNF121" s="199"/>
      <c r="DNG121" s="198"/>
      <c r="DNH121" s="199"/>
      <c r="DNI121" s="198"/>
      <c r="DNJ121" s="199"/>
      <c r="DNK121" s="198"/>
      <c r="DNL121" s="199"/>
      <c r="DNM121" s="198"/>
      <c r="DNN121" s="199"/>
      <c r="DNO121" s="198"/>
      <c r="DNP121" s="199"/>
      <c r="DNQ121" s="198"/>
      <c r="DNR121" s="199"/>
      <c r="DNS121" s="198"/>
      <c r="DNT121" s="199"/>
      <c r="DNU121" s="198"/>
      <c r="DNV121" s="199"/>
      <c r="DNW121" s="198"/>
      <c r="DNX121" s="199"/>
      <c r="DNY121" s="198"/>
      <c r="DNZ121" s="199"/>
      <c r="DOA121" s="198"/>
      <c r="DOB121" s="199"/>
      <c r="DOC121" s="198"/>
      <c r="DOD121" s="199"/>
      <c r="DOE121" s="198"/>
      <c r="DOF121" s="199"/>
      <c r="DOG121" s="198"/>
      <c r="DOH121" s="199"/>
      <c r="DOI121" s="198"/>
      <c r="DOJ121" s="199"/>
      <c r="DOK121" s="198"/>
      <c r="DOL121" s="199"/>
      <c r="DOM121" s="198"/>
      <c r="DON121" s="199"/>
      <c r="DOO121" s="198"/>
      <c r="DOP121" s="199"/>
      <c r="DOQ121" s="198"/>
      <c r="DOR121" s="199"/>
      <c r="DOS121" s="198"/>
      <c r="DOT121" s="199"/>
      <c r="DOU121" s="198"/>
      <c r="DOV121" s="199"/>
      <c r="DOW121" s="198"/>
      <c r="DOX121" s="199"/>
      <c r="DOY121" s="198"/>
      <c r="DOZ121" s="199"/>
      <c r="DPA121" s="198"/>
      <c r="DPB121" s="199"/>
      <c r="DPC121" s="198"/>
      <c r="DPD121" s="199"/>
      <c r="DPE121" s="198"/>
      <c r="DPF121" s="199"/>
      <c r="DPG121" s="198"/>
      <c r="DPH121" s="199"/>
      <c r="DPI121" s="198"/>
      <c r="DPJ121" s="199"/>
      <c r="DPK121" s="198"/>
      <c r="DPL121" s="199"/>
      <c r="DPM121" s="198"/>
      <c r="DPN121" s="199"/>
      <c r="DPO121" s="198"/>
      <c r="DPP121" s="199"/>
      <c r="DPQ121" s="198"/>
      <c r="DPR121" s="199"/>
      <c r="DPS121" s="198"/>
      <c r="DPT121" s="199"/>
      <c r="DPU121" s="198"/>
      <c r="DPV121" s="199"/>
      <c r="DPW121" s="198"/>
      <c r="DPX121" s="199"/>
      <c r="DPY121" s="198"/>
      <c r="DPZ121" s="199"/>
      <c r="DQA121" s="198"/>
      <c r="DQB121" s="199"/>
      <c r="DQC121" s="198"/>
      <c r="DQD121" s="199"/>
      <c r="DQE121" s="198"/>
      <c r="DQF121" s="199"/>
      <c r="DQG121" s="198"/>
      <c r="DQH121" s="199"/>
      <c r="DQI121" s="198"/>
      <c r="DQJ121" s="199"/>
      <c r="DQK121" s="198"/>
      <c r="DQL121" s="199"/>
      <c r="DQM121" s="198"/>
      <c r="DQN121" s="199"/>
      <c r="DQO121" s="198"/>
      <c r="DQP121" s="199"/>
      <c r="DQQ121" s="198"/>
      <c r="DQR121" s="199"/>
      <c r="DQS121" s="198"/>
      <c r="DQT121" s="199"/>
      <c r="DQU121" s="198"/>
      <c r="DQV121" s="199"/>
      <c r="DQW121" s="198"/>
      <c r="DQX121" s="199"/>
      <c r="DQY121" s="198"/>
      <c r="DQZ121" s="199"/>
      <c r="DRA121" s="198"/>
      <c r="DRB121" s="199"/>
      <c r="DRC121" s="198"/>
      <c r="DRD121" s="199"/>
      <c r="DRE121" s="198"/>
      <c r="DRF121" s="199"/>
      <c r="DRG121" s="198"/>
      <c r="DRH121" s="199"/>
      <c r="DRI121" s="198"/>
      <c r="DRJ121" s="199"/>
      <c r="DRK121" s="198"/>
      <c r="DRL121" s="199"/>
      <c r="DRM121" s="198"/>
      <c r="DRN121" s="199"/>
      <c r="DRO121" s="198"/>
      <c r="DRP121" s="199"/>
      <c r="DRQ121" s="198"/>
      <c r="DRR121" s="199"/>
      <c r="DRS121" s="198"/>
      <c r="DRT121" s="199"/>
      <c r="DRU121" s="198"/>
      <c r="DRV121" s="199"/>
      <c r="DRW121" s="198"/>
      <c r="DRX121" s="199"/>
      <c r="DRY121" s="198"/>
      <c r="DRZ121" s="199"/>
      <c r="DSA121" s="198"/>
      <c r="DSB121" s="199"/>
      <c r="DSC121" s="198"/>
      <c r="DSD121" s="199"/>
      <c r="DSE121" s="198"/>
      <c r="DSF121" s="199"/>
      <c r="DSG121" s="198"/>
      <c r="DSH121" s="199"/>
      <c r="DSI121" s="198"/>
      <c r="DSJ121" s="199"/>
      <c r="DSK121" s="198"/>
      <c r="DSL121" s="199"/>
      <c r="DSM121" s="198"/>
      <c r="DSN121" s="199"/>
      <c r="DSO121" s="198"/>
      <c r="DSP121" s="199"/>
      <c r="DSQ121" s="198"/>
      <c r="DSR121" s="199"/>
      <c r="DSS121" s="198"/>
      <c r="DST121" s="199"/>
      <c r="DSU121" s="198"/>
      <c r="DSV121" s="199"/>
      <c r="DSW121" s="198"/>
      <c r="DSX121" s="199"/>
      <c r="DSY121" s="198"/>
      <c r="DSZ121" s="199"/>
      <c r="DTA121" s="198"/>
      <c r="DTB121" s="199"/>
      <c r="DTC121" s="198"/>
      <c r="DTD121" s="199"/>
      <c r="DTE121" s="198"/>
      <c r="DTF121" s="199"/>
      <c r="DTG121" s="198"/>
      <c r="DTH121" s="199"/>
      <c r="DTI121" s="198"/>
      <c r="DTJ121" s="199"/>
      <c r="DTK121" s="198"/>
      <c r="DTL121" s="199"/>
      <c r="DTM121" s="198"/>
      <c r="DTN121" s="199"/>
      <c r="DTO121" s="198"/>
      <c r="DTP121" s="199"/>
      <c r="DTQ121" s="198"/>
      <c r="DTR121" s="199"/>
      <c r="DTS121" s="198"/>
      <c r="DTT121" s="199"/>
      <c r="DTU121" s="198"/>
      <c r="DTV121" s="199"/>
      <c r="DTW121" s="198"/>
      <c r="DTX121" s="199"/>
      <c r="DTY121" s="198"/>
      <c r="DTZ121" s="199"/>
      <c r="DUA121" s="198"/>
      <c r="DUB121" s="199"/>
      <c r="DUC121" s="198"/>
      <c r="DUD121" s="199"/>
      <c r="DUE121" s="198"/>
      <c r="DUF121" s="199"/>
      <c r="DUG121" s="198"/>
      <c r="DUH121" s="199"/>
      <c r="DUI121" s="198"/>
      <c r="DUJ121" s="199"/>
      <c r="DUK121" s="198"/>
      <c r="DUL121" s="199"/>
      <c r="DUM121" s="198"/>
      <c r="DUN121" s="199"/>
      <c r="DUO121" s="198"/>
      <c r="DUP121" s="199"/>
      <c r="DUQ121" s="198"/>
      <c r="DUR121" s="199"/>
      <c r="DUS121" s="198"/>
      <c r="DUT121" s="199"/>
      <c r="DUU121" s="198"/>
      <c r="DUV121" s="199"/>
      <c r="DUW121" s="198"/>
      <c r="DUX121" s="199"/>
      <c r="DUY121" s="198"/>
      <c r="DUZ121" s="199"/>
      <c r="DVA121" s="198"/>
      <c r="DVB121" s="199"/>
      <c r="DVC121" s="198"/>
      <c r="DVD121" s="199"/>
      <c r="DVE121" s="198"/>
      <c r="DVF121" s="199"/>
      <c r="DVG121" s="198"/>
      <c r="DVH121" s="199"/>
      <c r="DVI121" s="198"/>
      <c r="DVJ121" s="199"/>
      <c r="DVK121" s="198"/>
      <c r="DVL121" s="199"/>
      <c r="DVM121" s="198"/>
      <c r="DVN121" s="199"/>
      <c r="DVO121" s="198"/>
      <c r="DVP121" s="199"/>
      <c r="DVQ121" s="198"/>
      <c r="DVR121" s="199"/>
      <c r="DVS121" s="198"/>
      <c r="DVT121" s="199"/>
      <c r="DVU121" s="198"/>
      <c r="DVV121" s="199"/>
      <c r="DVW121" s="198"/>
      <c r="DVX121" s="199"/>
      <c r="DVY121" s="198"/>
      <c r="DVZ121" s="199"/>
      <c r="DWA121" s="198"/>
      <c r="DWB121" s="199"/>
      <c r="DWC121" s="198"/>
      <c r="DWD121" s="199"/>
      <c r="DWE121" s="198"/>
      <c r="DWF121" s="199"/>
      <c r="DWG121" s="198"/>
      <c r="DWH121" s="199"/>
      <c r="DWI121" s="198"/>
      <c r="DWJ121" s="199"/>
      <c r="DWK121" s="198"/>
      <c r="DWL121" s="199"/>
      <c r="DWM121" s="198"/>
      <c r="DWN121" s="199"/>
      <c r="DWO121" s="198"/>
      <c r="DWP121" s="199"/>
      <c r="DWQ121" s="198"/>
      <c r="DWR121" s="199"/>
      <c r="DWS121" s="198"/>
      <c r="DWT121" s="199"/>
      <c r="DWU121" s="198"/>
      <c r="DWV121" s="199"/>
      <c r="DWW121" s="198"/>
      <c r="DWX121" s="199"/>
      <c r="DWY121" s="198"/>
      <c r="DWZ121" s="199"/>
      <c r="DXA121" s="198"/>
      <c r="DXB121" s="199"/>
      <c r="DXC121" s="198"/>
      <c r="DXD121" s="199"/>
      <c r="DXE121" s="198"/>
      <c r="DXF121" s="199"/>
      <c r="DXG121" s="198"/>
      <c r="DXH121" s="199"/>
      <c r="DXI121" s="198"/>
      <c r="DXJ121" s="199"/>
      <c r="DXK121" s="198"/>
      <c r="DXL121" s="199"/>
      <c r="DXM121" s="198"/>
      <c r="DXN121" s="199"/>
      <c r="DXO121" s="198"/>
      <c r="DXP121" s="199"/>
      <c r="DXQ121" s="198"/>
      <c r="DXR121" s="199"/>
      <c r="DXS121" s="198"/>
      <c r="DXT121" s="199"/>
      <c r="DXU121" s="198"/>
      <c r="DXV121" s="199"/>
      <c r="DXW121" s="198"/>
      <c r="DXX121" s="199"/>
      <c r="DXY121" s="198"/>
      <c r="DXZ121" s="199"/>
      <c r="DYA121" s="198"/>
      <c r="DYB121" s="199"/>
      <c r="DYC121" s="198"/>
      <c r="DYD121" s="199"/>
      <c r="DYE121" s="198"/>
      <c r="DYF121" s="199"/>
      <c r="DYG121" s="198"/>
      <c r="DYH121" s="199"/>
      <c r="DYI121" s="198"/>
      <c r="DYJ121" s="199"/>
      <c r="DYK121" s="198"/>
      <c r="DYL121" s="199"/>
      <c r="DYM121" s="198"/>
      <c r="DYN121" s="199"/>
      <c r="DYO121" s="198"/>
      <c r="DYP121" s="199"/>
      <c r="DYQ121" s="198"/>
      <c r="DYR121" s="199"/>
      <c r="DYS121" s="198"/>
      <c r="DYT121" s="199"/>
      <c r="DYU121" s="198"/>
      <c r="DYV121" s="199"/>
      <c r="DYW121" s="198"/>
      <c r="DYX121" s="199"/>
      <c r="DYY121" s="198"/>
      <c r="DYZ121" s="199"/>
      <c r="DZA121" s="198"/>
      <c r="DZB121" s="199"/>
      <c r="DZC121" s="198"/>
      <c r="DZD121" s="199"/>
      <c r="DZE121" s="198"/>
      <c r="DZF121" s="199"/>
      <c r="DZG121" s="198"/>
      <c r="DZH121" s="199"/>
      <c r="DZI121" s="198"/>
      <c r="DZJ121" s="199"/>
      <c r="DZK121" s="198"/>
      <c r="DZL121" s="199"/>
      <c r="DZM121" s="198"/>
      <c r="DZN121" s="199"/>
      <c r="DZO121" s="198"/>
      <c r="DZP121" s="199"/>
      <c r="DZQ121" s="198"/>
      <c r="DZR121" s="199"/>
      <c r="DZS121" s="198"/>
      <c r="DZT121" s="199"/>
      <c r="DZU121" s="198"/>
      <c r="DZV121" s="199"/>
      <c r="DZW121" s="198"/>
      <c r="DZX121" s="199"/>
      <c r="DZY121" s="198"/>
      <c r="DZZ121" s="199"/>
      <c r="EAA121" s="198"/>
      <c r="EAB121" s="199"/>
      <c r="EAC121" s="198"/>
      <c r="EAD121" s="199"/>
      <c r="EAE121" s="198"/>
      <c r="EAF121" s="199"/>
      <c r="EAG121" s="198"/>
      <c r="EAH121" s="199"/>
      <c r="EAI121" s="198"/>
      <c r="EAJ121" s="199"/>
      <c r="EAK121" s="198"/>
      <c r="EAL121" s="199"/>
      <c r="EAM121" s="198"/>
      <c r="EAN121" s="199"/>
      <c r="EAO121" s="198"/>
      <c r="EAP121" s="199"/>
      <c r="EAQ121" s="198"/>
      <c r="EAR121" s="199"/>
      <c r="EAS121" s="198"/>
      <c r="EAT121" s="199"/>
      <c r="EAU121" s="198"/>
      <c r="EAV121" s="199"/>
      <c r="EAW121" s="198"/>
      <c r="EAX121" s="199"/>
      <c r="EAY121" s="198"/>
      <c r="EAZ121" s="199"/>
      <c r="EBA121" s="198"/>
      <c r="EBB121" s="199"/>
      <c r="EBC121" s="198"/>
      <c r="EBD121" s="199"/>
      <c r="EBE121" s="198"/>
      <c r="EBF121" s="199"/>
      <c r="EBG121" s="198"/>
      <c r="EBH121" s="199"/>
      <c r="EBI121" s="198"/>
      <c r="EBJ121" s="199"/>
      <c r="EBK121" s="198"/>
      <c r="EBL121" s="199"/>
      <c r="EBM121" s="198"/>
      <c r="EBN121" s="199"/>
      <c r="EBO121" s="198"/>
      <c r="EBP121" s="199"/>
      <c r="EBQ121" s="198"/>
      <c r="EBR121" s="199"/>
      <c r="EBS121" s="198"/>
      <c r="EBT121" s="199"/>
      <c r="EBU121" s="198"/>
      <c r="EBV121" s="199"/>
      <c r="EBW121" s="198"/>
      <c r="EBX121" s="199"/>
      <c r="EBY121" s="198"/>
      <c r="EBZ121" s="199"/>
      <c r="ECA121" s="198"/>
      <c r="ECB121" s="199"/>
      <c r="ECC121" s="198"/>
      <c r="ECD121" s="199"/>
      <c r="ECE121" s="198"/>
      <c r="ECF121" s="199"/>
      <c r="ECG121" s="198"/>
      <c r="ECH121" s="199"/>
      <c r="ECI121" s="198"/>
      <c r="ECJ121" s="199"/>
      <c r="ECK121" s="198"/>
      <c r="ECL121" s="199"/>
      <c r="ECM121" s="198"/>
      <c r="ECN121" s="199"/>
      <c r="ECO121" s="198"/>
      <c r="ECP121" s="199"/>
      <c r="ECQ121" s="198"/>
      <c r="ECR121" s="199"/>
      <c r="ECS121" s="198"/>
      <c r="ECT121" s="199"/>
      <c r="ECU121" s="198"/>
      <c r="ECV121" s="199"/>
      <c r="ECW121" s="198"/>
      <c r="ECX121" s="199"/>
      <c r="ECY121" s="198"/>
      <c r="ECZ121" s="199"/>
      <c r="EDA121" s="198"/>
      <c r="EDB121" s="199"/>
      <c r="EDC121" s="198"/>
      <c r="EDD121" s="199"/>
      <c r="EDE121" s="198"/>
      <c r="EDF121" s="199"/>
      <c r="EDG121" s="198"/>
      <c r="EDH121" s="199"/>
      <c r="EDI121" s="198"/>
      <c r="EDJ121" s="199"/>
      <c r="EDK121" s="198"/>
      <c r="EDL121" s="199"/>
      <c r="EDM121" s="198"/>
      <c r="EDN121" s="199"/>
      <c r="EDO121" s="198"/>
      <c r="EDP121" s="199"/>
      <c r="EDQ121" s="198"/>
      <c r="EDR121" s="199"/>
      <c r="EDS121" s="198"/>
      <c r="EDT121" s="199"/>
      <c r="EDU121" s="198"/>
      <c r="EDV121" s="199"/>
      <c r="EDW121" s="198"/>
      <c r="EDX121" s="199"/>
      <c r="EDY121" s="198"/>
      <c r="EDZ121" s="199"/>
      <c r="EEA121" s="198"/>
      <c r="EEB121" s="199"/>
      <c r="EEC121" s="198"/>
      <c r="EED121" s="199"/>
      <c r="EEE121" s="198"/>
      <c r="EEF121" s="199"/>
      <c r="EEG121" s="198"/>
      <c r="EEH121" s="199"/>
      <c r="EEI121" s="198"/>
      <c r="EEJ121" s="199"/>
      <c r="EEK121" s="198"/>
      <c r="EEL121" s="199"/>
      <c r="EEM121" s="198"/>
      <c r="EEN121" s="199"/>
      <c r="EEO121" s="198"/>
      <c r="EEP121" s="199"/>
      <c r="EEQ121" s="198"/>
      <c r="EER121" s="199"/>
      <c r="EES121" s="198"/>
      <c r="EET121" s="199"/>
      <c r="EEU121" s="198"/>
      <c r="EEV121" s="199"/>
      <c r="EEW121" s="198"/>
      <c r="EEX121" s="199"/>
      <c r="EEY121" s="198"/>
      <c r="EEZ121" s="199"/>
      <c r="EFA121" s="198"/>
      <c r="EFB121" s="199"/>
      <c r="EFC121" s="198"/>
      <c r="EFD121" s="199"/>
      <c r="EFE121" s="198"/>
      <c r="EFF121" s="199"/>
      <c r="EFG121" s="198"/>
      <c r="EFH121" s="199"/>
      <c r="EFI121" s="198"/>
      <c r="EFJ121" s="199"/>
      <c r="EFK121" s="198"/>
      <c r="EFL121" s="199"/>
      <c r="EFM121" s="198"/>
      <c r="EFN121" s="199"/>
      <c r="EFO121" s="198"/>
      <c r="EFP121" s="199"/>
      <c r="EFQ121" s="198"/>
      <c r="EFR121" s="199"/>
      <c r="EFS121" s="198"/>
      <c r="EFT121" s="199"/>
      <c r="EFU121" s="198"/>
      <c r="EFV121" s="199"/>
      <c r="EFW121" s="198"/>
      <c r="EFX121" s="199"/>
      <c r="EFY121" s="198"/>
      <c r="EFZ121" s="199"/>
      <c r="EGA121" s="198"/>
      <c r="EGB121" s="199"/>
      <c r="EGC121" s="198"/>
      <c r="EGD121" s="199"/>
      <c r="EGE121" s="198"/>
      <c r="EGF121" s="199"/>
      <c r="EGG121" s="198"/>
      <c r="EGH121" s="199"/>
      <c r="EGI121" s="198"/>
      <c r="EGJ121" s="199"/>
      <c r="EGK121" s="198"/>
      <c r="EGL121" s="199"/>
      <c r="EGM121" s="198"/>
      <c r="EGN121" s="199"/>
      <c r="EGO121" s="198"/>
      <c r="EGP121" s="199"/>
      <c r="EGQ121" s="198"/>
      <c r="EGR121" s="199"/>
      <c r="EGS121" s="198"/>
      <c r="EGT121" s="199"/>
      <c r="EGU121" s="198"/>
      <c r="EGV121" s="199"/>
      <c r="EGW121" s="198"/>
      <c r="EGX121" s="199"/>
      <c r="EGY121" s="198"/>
      <c r="EGZ121" s="199"/>
      <c r="EHA121" s="198"/>
      <c r="EHB121" s="199"/>
      <c r="EHC121" s="198"/>
      <c r="EHD121" s="199"/>
      <c r="EHE121" s="198"/>
      <c r="EHF121" s="199"/>
      <c r="EHG121" s="198"/>
      <c r="EHH121" s="199"/>
      <c r="EHI121" s="198"/>
      <c r="EHJ121" s="199"/>
      <c r="EHK121" s="198"/>
      <c r="EHL121" s="199"/>
      <c r="EHM121" s="198"/>
      <c r="EHN121" s="199"/>
      <c r="EHO121" s="198"/>
      <c r="EHP121" s="199"/>
      <c r="EHQ121" s="198"/>
      <c r="EHR121" s="199"/>
      <c r="EHS121" s="198"/>
      <c r="EHT121" s="199"/>
      <c r="EHU121" s="198"/>
      <c r="EHV121" s="199"/>
      <c r="EHW121" s="198"/>
      <c r="EHX121" s="199"/>
      <c r="EHY121" s="198"/>
      <c r="EHZ121" s="199"/>
      <c r="EIA121" s="198"/>
      <c r="EIB121" s="199"/>
      <c r="EIC121" s="198"/>
      <c r="EID121" s="199"/>
      <c r="EIE121" s="198"/>
      <c r="EIF121" s="199"/>
      <c r="EIG121" s="198"/>
      <c r="EIH121" s="199"/>
      <c r="EII121" s="198"/>
      <c r="EIJ121" s="199"/>
      <c r="EIK121" s="198"/>
      <c r="EIL121" s="199"/>
      <c r="EIM121" s="198"/>
      <c r="EIN121" s="199"/>
      <c r="EIO121" s="198"/>
      <c r="EIP121" s="199"/>
      <c r="EIQ121" s="198"/>
      <c r="EIR121" s="199"/>
      <c r="EIS121" s="198"/>
      <c r="EIT121" s="199"/>
      <c r="EIU121" s="198"/>
      <c r="EIV121" s="199"/>
      <c r="EIW121" s="198"/>
      <c r="EIX121" s="199"/>
      <c r="EIY121" s="198"/>
      <c r="EIZ121" s="199"/>
      <c r="EJA121" s="198"/>
      <c r="EJB121" s="199"/>
      <c r="EJC121" s="198"/>
      <c r="EJD121" s="199"/>
      <c r="EJE121" s="198"/>
      <c r="EJF121" s="199"/>
      <c r="EJG121" s="198"/>
      <c r="EJH121" s="199"/>
      <c r="EJI121" s="198"/>
      <c r="EJJ121" s="199"/>
      <c r="EJK121" s="198"/>
      <c r="EJL121" s="199"/>
      <c r="EJM121" s="198"/>
      <c r="EJN121" s="199"/>
      <c r="EJO121" s="198"/>
      <c r="EJP121" s="199"/>
      <c r="EJQ121" s="198"/>
      <c r="EJR121" s="199"/>
      <c r="EJS121" s="198"/>
      <c r="EJT121" s="199"/>
      <c r="EJU121" s="198"/>
      <c r="EJV121" s="199"/>
      <c r="EJW121" s="198"/>
      <c r="EJX121" s="199"/>
      <c r="EJY121" s="198"/>
      <c r="EJZ121" s="199"/>
      <c r="EKA121" s="198"/>
      <c r="EKB121" s="199"/>
      <c r="EKC121" s="198"/>
      <c r="EKD121" s="199"/>
      <c r="EKE121" s="198"/>
      <c r="EKF121" s="199"/>
      <c r="EKG121" s="198"/>
      <c r="EKH121" s="199"/>
      <c r="EKI121" s="198"/>
      <c r="EKJ121" s="199"/>
      <c r="EKK121" s="198"/>
      <c r="EKL121" s="199"/>
      <c r="EKM121" s="198"/>
      <c r="EKN121" s="199"/>
      <c r="EKO121" s="198"/>
      <c r="EKP121" s="199"/>
      <c r="EKQ121" s="198"/>
      <c r="EKR121" s="199"/>
      <c r="EKS121" s="198"/>
      <c r="EKT121" s="199"/>
      <c r="EKU121" s="198"/>
      <c r="EKV121" s="199"/>
      <c r="EKW121" s="198"/>
      <c r="EKX121" s="199"/>
      <c r="EKY121" s="198"/>
      <c r="EKZ121" s="199"/>
      <c r="ELA121" s="198"/>
      <c r="ELB121" s="199"/>
      <c r="ELC121" s="198"/>
      <c r="ELD121" s="199"/>
      <c r="ELE121" s="198"/>
      <c r="ELF121" s="199"/>
      <c r="ELG121" s="198"/>
      <c r="ELH121" s="199"/>
      <c r="ELI121" s="198"/>
      <c r="ELJ121" s="199"/>
      <c r="ELK121" s="198"/>
      <c r="ELL121" s="199"/>
      <c r="ELM121" s="198"/>
      <c r="ELN121" s="199"/>
      <c r="ELO121" s="198"/>
      <c r="ELP121" s="199"/>
      <c r="ELQ121" s="198"/>
      <c r="ELR121" s="199"/>
      <c r="ELS121" s="198"/>
      <c r="ELT121" s="199"/>
      <c r="ELU121" s="198"/>
      <c r="ELV121" s="199"/>
      <c r="ELW121" s="198"/>
      <c r="ELX121" s="199"/>
      <c r="ELY121" s="198"/>
      <c r="ELZ121" s="199"/>
      <c r="EMA121" s="198"/>
      <c r="EMB121" s="199"/>
      <c r="EMC121" s="198"/>
      <c r="EMD121" s="199"/>
      <c r="EME121" s="198"/>
      <c r="EMF121" s="199"/>
      <c r="EMG121" s="198"/>
      <c r="EMH121" s="199"/>
      <c r="EMI121" s="198"/>
      <c r="EMJ121" s="199"/>
      <c r="EMK121" s="198"/>
      <c r="EML121" s="199"/>
      <c r="EMM121" s="198"/>
      <c r="EMN121" s="199"/>
      <c r="EMO121" s="198"/>
      <c r="EMP121" s="199"/>
      <c r="EMQ121" s="198"/>
      <c r="EMR121" s="199"/>
      <c r="EMS121" s="198"/>
      <c r="EMT121" s="199"/>
      <c r="EMU121" s="198"/>
      <c r="EMV121" s="199"/>
      <c r="EMW121" s="198"/>
      <c r="EMX121" s="199"/>
      <c r="EMY121" s="198"/>
      <c r="EMZ121" s="199"/>
      <c r="ENA121" s="198"/>
      <c r="ENB121" s="199"/>
      <c r="ENC121" s="198"/>
      <c r="END121" s="199"/>
      <c r="ENE121" s="198"/>
      <c r="ENF121" s="199"/>
      <c r="ENG121" s="198"/>
      <c r="ENH121" s="199"/>
      <c r="ENI121" s="198"/>
      <c r="ENJ121" s="199"/>
      <c r="ENK121" s="198"/>
      <c r="ENL121" s="199"/>
      <c r="ENM121" s="198"/>
      <c r="ENN121" s="199"/>
      <c r="ENO121" s="198"/>
      <c r="ENP121" s="199"/>
      <c r="ENQ121" s="198"/>
      <c r="ENR121" s="199"/>
      <c r="ENS121" s="198"/>
      <c r="ENT121" s="199"/>
      <c r="ENU121" s="198"/>
      <c r="ENV121" s="199"/>
      <c r="ENW121" s="198"/>
      <c r="ENX121" s="199"/>
      <c r="ENY121" s="198"/>
      <c r="ENZ121" s="199"/>
      <c r="EOA121" s="198"/>
      <c r="EOB121" s="199"/>
      <c r="EOC121" s="198"/>
      <c r="EOD121" s="199"/>
      <c r="EOE121" s="198"/>
      <c r="EOF121" s="199"/>
      <c r="EOG121" s="198"/>
      <c r="EOH121" s="199"/>
      <c r="EOI121" s="198"/>
      <c r="EOJ121" s="199"/>
      <c r="EOK121" s="198"/>
      <c r="EOL121" s="199"/>
      <c r="EOM121" s="198"/>
      <c r="EON121" s="199"/>
      <c r="EOO121" s="198"/>
      <c r="EOP121" s="199"/>
      <c r="EOQ121" s="198"/>
      <c r="EOR121" s="199"/>
      <c r="EOS121" s="198"/>
      <c r="EOT121" s="199"/>
      <c r="EOU121" s="198"/>
      <c r="EOV121" s="199"/>
      <c r="EOW121" s="198"/>
      <c r="EOX121" s="199"/>
      <c r="EOY121" s="198"/>
      <c r="EOZ121" s="199"/>
      <c r="EPA121" s="198"/>
      <c r="EPB121" s="199"/>
      <c r="EPC121" s="198"/>
      <c r="EPD121" s="199"/>
      <c r="EPE121" s="198"/>
      <c r="EPF121" s="199"/>
      <c r="EPG121" s="198"/>
      <c r="EPH121" s="199"/>
      <c r="EPI121" s="198"/>
      <c r="EPJ121" s="199"/>
      <c r="EPK121" s="198"/>
      <c r="EPL121" s="199"/>
      <c r="EPM121" s="198"/>
      <c r="EPN121" s="199"/>
      <c r="EPO121" s="198"/>
      <c r="EPP121" s="199"/>
      <c r="EPQ121" s="198"/>
      <c r="EPR121" s="199"/>
      <c r="EPS121" s="198"/>
      <c r="EPT121" s="199"/>
      <c r="EPU121" s="198"/>
      <c r="EPV121" s="199"/>
      <c r="EPW121" s="198"/>
      <c r="EPX121" s="199"/>
      <c r="EPY121" s="198"/>
      <c r="EPZ121" s="199"/>
      <c r="EQA121" s="198"/>
      <c r="EQB121" s="199"/>
      <c r="EQC121" s="198"/>
      <c r="EQD121" s="199"/>
      <c r="EQE121" s="198"/>
      <c r="EQF121" s="199"/>
      <c r="EQG121" s="198"/>
      <c r="EQH121" s="199"/>
      <c r="EQI121" s="198"/>
      <c r="EQJ121" s="199"/>
      <c r="EQK121" s="198"/>
      <c r="EQL121" s="199"/>
      <c r="EQM121" s="198"/>
      <c r="EQN121" s="199"/>
      <c r="EQO121" s="198"/>
      <c r="EQP121" s="199"/>
      <c r="EQQ121" s="198"/>
      <c r="EQR121" s="199"/>
      <c r="EQS121" s="198"/>
      <c r="EQT121" s="199"/>
      <c r="EQU121" s="198"/>
      <c r="EQV121" s="199"/>
      <c r="EQW121" s="198"/>
      <c r="EQX121" s="199"/>
      <c r="EQY121" s="198"/>
      <c r="EQZ121" s="199"/>
      <c r="ERA121" s="198"/>
      <c r="ERB121" s="199"/>
      <c r="ERC121" s="198"/>
      <c r="ERD121" s="199"/>
      <c r="ERE121" s="198"/>
      <c r="ERF121" s="199"/>
      <c r="ERG121" s="198"/>
      <c r="ERH121" s="199"/>
      <c r="ERI121" s="198"/>
      <c r="ERJ121" s="199"/>
      <c r="ERK121" s="198"/>
      <c r="ERL121" s="199"/>
      <c r="ERM121" s="198"/>
      <c r="ERN121" s="199"/>
      <c r="ERO121" s="198"/>
      <c r="ERP121" s="199"/>
      <c r="ERQ121" s="198"/>
      <c r="ERR121" s="199"/>
      <c r="ERS121" s="198"/>
      <c r="ERT121" s="199"/>
      <c r="ERU121" s="198"/>
      <c r="ERV121" s="199"/>
      <c r="ERW121" s="198"/>
      <c r="ERX121" s="199"/>
      <c r="ERY121" s="198"/>
      <c r="ERZ121" s="199"/>
      <c r="ESA121" s="198"/>
      <c r="ESB121" s="199"/>
      <c r="ESC121" s="198"/>
      <c r="ESD121" s="199"/>
      <c r="ESE121" s="198"/>
      <c r="ESF121" s="199"/>
      <c r="ESG121" s="198"/>
      <c r="ESH121" s="199"/>
      <c r="ESI121" s="198"/>
      <c r="ESJ121" s="199"/>
      <c r="ESK121" s="198"/>
      <c r="ESL121" s="199"/>
      <c r="ESM121" s="198"/>
      <c r="ESN121" s="199"/>
      <c r="ESO121" s="198"/>
      <c r="ESP121" s="199"/>
      <c r="ESQ121" s="198"/>
      <c r="ESR121" s="199"/>
      <c r="ESS121" s="198"/>
      <c r="EST121" s="199"/>
      <c r="ESU121" s="198"/>
      <c r="ESV121" s="199"/>
      <c r="ESW121" s="198"/>
      <c r="ESX121" s="199"/>
      <c r="ESY121" s="198"/>
      <c r="ESZ121" s="199"/>
      <c r="ETA121" s="198"/>
      <c r="ETB121" s="199"/>
      <c r="ETC121" s="198"/>
      <c r="ETD121" s="199"/>
      <c r="ETE121" s="198"/>
      <c r="ETF121" s="199"/>
      <c r="ETG121" s="198"/>
      <c r="ETH121" s="199"/>
      <c r="ETI121" s="198"/>
      <c r="ETJ121" s="199"/>
      <c r="ETK121" s="198"/>
      <c r="ETL121" s="199"/>
      <c r="ETM121" s="198"/>
      <c r="ETN121" s="199"/>
      <c r="ETO121" s="198"/>
      <c r="ETP121" s="199"/>
      <c r="ETQ121" s="198"/>
      <c r="ETR121" s="199"/>
      <c r="ETS121" s="198"/>
      <c r="ETT121" s="199"/>
      <c r="ETU121" s="198"/>
      <c r="ETV121" s="199"/>
      <c r="ETW121" s="198"/>
      <c r="ETX121" s="199"/>
      <c r="ETY121" s="198"/>
      <c r="ETZ121" s="199"/>
      <c r="EUA121" s="198"/>
      <c r="EUB121" s="199"/>
      <c r="EUC121" s="198"/>
      <c r="EUD121" s="199"/>
      <c r="EUE121" s="198"/>
      <c r="EUF121" s="199"/>
      <c r="EUG121" s="198"/>
      <c r="EUH121" s="199"/>
      <c r="EUI121" s="198"/>
      <c r="EUJ121" s="199"/>
      <c r="EUK121" s="198"/>
      <c r="EUL121" s="199"/>
      <c r="EUM121" s="198"/>
      <c r="EUN121" s="199"/>
      <c r="EUO121" s="198"/>
      <c r="EUP121" s="199"/>
      <c r="EUQ121" s="198"/>
      <c r="EUR121" s="199"/>
      <c r="EUS121" s="198"/>
      <c r="EUT121" s="199"/>
      <c r="EUU121" s="198"/>
      <c r="EUV121" s="199"/>
      <c r="EUW121" s="198"/>
      <c r="EUX121" s="199"/>
      <c r="EUY121" s="198"/>
      <c r="EUZ121" s="199"/>
      <c r="EVA121" s="198"/>
      <c r="EVB121" s="199"/>
      <c r="EVC121" s="198"/>
      <c r="EVD121" s="199"/>
      <c r="EVE121" s="198"/>
      <c r="EVF121" s="199"/>
      <c r="EVG121" s="198"/>
      <c r="EVH121" s="199"/>
      <c r="EVI121" s="198"/>
      <c r="EVJ121" s="199"/>
      <c r="EVK121" s="198"/>
      <c r="EVL121" s="199"/>
      <c r="EVM121" s="198"/>
      <c r="EVN121" s="199"/>
      <c r="EVO121" s="198"/>
      <c r="EVP121" s="199"/>
      <c r="EVQ121" s="198"/>
      <c r="EVR121" s="199"/>
      <c r="EVS121" s="198"/>
      <c r="EVT121" s="199"/>
      <c r="EVU121" s="198"/>
      <c r="EVV121" s="199"/>
      <c r="EVW121" s="198"/>
      <c r="EVX121" s="199"/>
      <c r="EVY121" s="198"/>
      <c r="EVZ121" s="199"/>
      <c r="EWA121" s="198"/>
      <c r="EWB121" s="199"/>
      <c r="EWC121" s="198"/>
      <c r="EWD121" s="199"/>
      <c r="EWE121" s="198"/>
      <c r="EWF121" s="199"/>
      <c r="EWG121" s="198"/>
      <c r="EWH121" s="199"/>
      <c r="EWI121" s="198"/>
      <c r="EWJ121" s="199"/>
      <c r="EWK121" s="198"/>
      <c r="EWL121" s="199"/>
      <c r="EWM121" s="198"/>
      <c r="EWN121" s="199"/>
      <c r="EWO121" s="198"/>
      <c r="EWP121" s="199"/>
      <c r="EWQ121" s="198"/>
      <c r="EWR121" s="199"/>
      <c r="EWS121" s="198"/>
      <c r="EWT121" s="199"/>
      <c r="EWU121" s="198"/>
      <c r="EWV121" s="199"/>
      <c r="EWW121" s="198"/>
      <c r="EWX121" s="199"/>
      <c r="EWY121" s="198"/>
      <c r="EWZ121" s="199"/>
      <c r="EXA121" s="198"/>
      <c r="EXB121" s="199"/>
      <c r="EXC121" s="198"/>
      <c r="EXD121" s="199"/>
      <c r="EXE121" s="198"/>
      <c r="EXF121" s="199"/>
      <c r="EXG121" s="198"/>
      <c r="EXH121" s="199"/>
      <c r="EXI121" s="198"/>
      <c r="EXJ121" s="199"/>
      <c r="EXK121" s="198"/>
      <c r="EXL121" s="199"/>
      <c r="EXM121" s="198"/>
      <c r="EXN121" s="199"/>
      <c r="EXO121" s="198"/>
      <c r="EXP121" s="199"/>
      <c r="EXQ121" s="198"/>
      <c r="EXR121" s="199"/>
      <c r="EXS121" s="198"/>
      <c r="EXT121" s="199"/>
      <c r="EXU121" s="198"/>
      <c r="EXV121" s="199"/>
      <c r="EXW121" s="198"/>
      <c r="EXX121" s="199"/>
      <c r="EXY121" s="198"/>
      <c r="EXZ121" s="199"/>
      <c r="EYA121" s="198"/>
      <c r="EYB121" s="199"/>
      <c r="EYC121" s="198"/>
      <c r="EYD121" s="199"/>
      <c r="EYE121" s="198"/>
      <c r="EYF121" s="199"/>
      <c r="EYG121" s="198"/>
      <c r="EYH121" s="199"/>
      <c r="EYI121" s="198"/>
      <c r="EYJ121" s="199"/>
      <c r="EYK121" s="198"/>
      <c r="EYL121" s="199"/>
      <c r="EYM121" s="198"/>
      <c r="EYN121" s="199"/>
      <c r="EYO121" s="198"/>
      <c r="EYP121" s="199"/>
      <c r="EYQ121" s="198"/>
      <c r="EYR121" s="199"/>
      <c r="EYS121" s="198"/>
      <c r="EYT121" s="199"/>
      <c r="EYU121" s="198"/>
      <c r="EYV121" s="199"/>
      <c r="EYW121" s="198"/>
      <c r="EYX121" s="199"/>
      <c r="EYY121" s="198"/>
      <c r="EYZ121" s="199"/>
      <c r="EZA121" s="198"/>
      <c r="EZB121" s="199"/>
      <c r="EZC121" s="198"/>
      <c r="EZD121" s="199"/>
      <c r="EZE121" s="198"/>
      <c r="EZF121" s="199"/>
      <c r="EZG121" s="198"/>
      <c r="EZH121" s="199"/>
      <c r="EZI121" s="198"/>
      <c r="EZJ121" s="199"/>
      <c r="EZK121" s="198"/>
      <c r="EZL121" s="199"/>
      <c r="EZM121" s="198"/>
      <c r="EZN121" s="199"/>
      <c r="EZO121" s="198"/>
      <c r="EZP121" s="199"/>
      <c r="EZQ121" s="198"/>
      <c r="EZR121" s="199"/>
      <c r="EZS121" s="198"/>
      <c r="EZT121" s="199"/>
      <c r="EZU121" s="198"/>
      <c r="EZV121" s="199"/>
      <c r="EZW121" s="198"/>
      <c r="EZX121" s="199"/>
      <c r="EZY121" s="198"/>
      <c r="EZZ121" s="199"/>
      <c r="FAA121" s="198"/>
      <c r="FAB121" s="199"/>
      <c r="FAC121" s="198"/>
      <c r="FAD121" s="199"/>
      <c r="FAE121" s="198"/>
      <c r="FAF121" s="199"/>
      <c r="FAG121" s="198"/>
      <c r="FAH121" s="199"/>
      <c r="FAI121" s="198"/>
      <c r="FAJ121" s="199"/>
      <c r="FAK121" s="198"/>
      <c r="FAL121" s="199"/>
      <c r="FAM121" s="198"/>
      <c r="FAN121" s="199"/>
      <c r="FAO121" s="198"/>
      <c r="FAP121" s="199"/>
      <c r="FAQ121" s="198"/>
      <c r="FAR121" s="199"/>
      <c r="FAS121" s="198"/>
      <c r="FAT121" s="199"/>
      <c r="FAU121" s="198"/>
      <c r="FAV121" s="199"/>
      <c r="FAW121" s="198"/>
      <c r="FAX121" s="199"/>
      <c r="FAY121" s="198"/>
      <c r="FAZ121" s="199"/>
      <c r="FBA121" s="198"/>
      <c r="FBB121" s="199"/>
      <c r="FBC121" s="198"/>
      <c r="FBD121" s="199"/>
      <c r="FBE121" s="198"/>
      <c r="FBF121" s="199"/>
      <c r="FBG121" s="198"/>
      <c r="FBH121" s="199"/>
      <c r="FBI121" s="198"/>
      <c r="FBJ121" s="199"/>
      <c r="FBK121" s="198"/>
      <c r="FBL121" s="199"/>
      <c r="FBM121" s="198"/>
      <c r="FBN121" s="199"/>
      <c r="FBO121" s="198"/>
      <c r="FBP121" s="199"/>
      <c r="FBQ121" s="198"/>
      <c r="FBR121" s="199"/>
      <c r="FBS121" s="198"/>
      <c r="FBT121" s="199"/>
      <c r="FBU121" s="198"/>
      <c r="FBV121" s="199"/>
      <c r="FBW121" s="198"/>
      <c r="FBX121" s="199"/>
      <c r="FBY121" s="198"/>
      <c r="FBZ121" s="199"/>
      <c r="FCA121" s="198"/>
      <c r="FCB121" s="199"/>
      <c r="FCC121" s="198"/>
      <c r="FCD121" s="199"/>
      <c r="FCE121" s="198"/>
      <c r="FCF121" s="199"/>
      <c r="FCG121" s="198"/>
      <c r="FCH121" s="199"/>
      <c r="FCI121" s="198"/>
      <c r="FCJ121" s="199"/>
      <c r="FCK121" s="198"/>
      <c r="FCL121" s="199"/>
      <c r="FCM121" s="198"/>
      <c r="FCN121" s="199"/>
      <c r="FCO121" s="198"/>
      <c r="FCP121" s="199"/>
      <c r="FCQ121" s="198"/>
      <c r="FCR121" s="199"/>
      <c r="FCS121" s="198"/>
      <c r="FCT121" s="199"/>
      <c r="FCU121" s="198"/>
      <c r="FCV121" s="199"/>
      <c r="FCW121" s="198"/>
      <c r="FCX121" s="199"/>
      <c r="FCY121" s="198"/>
      <c r="FCZ121" s="199"/>
      <c r="FDA121" s="198"/>
      <c r="FDB121" s="199"/>
      <c r="FDC121" s="198"/>
      <c r="FDD121" s="199"/>
      <c r="FDE121" s="198"/>
      <c r="FDF121" s="199"/>
      <c r="FDG121" s="198"/>
      <c r="FDH121" s="199"/>
      <c r="FDI121" s="198"/>
      <c r="FDJ121" s="199"/>
      <c r="FDK121" s="198"/>
      <c r="FDL121" s="199"/>
      <c r="FDM121" s="198"/>
      <c r="FDN121" s="199"/>
      <c r="FDO121" s="198"/>
      <c r="FDP121" s="199"/>
      <c r="FDQ121" s="198"/>
      <c r="FDR121" s="199"/>
      <c r="FDS121" s="198"/>
      <c r="FDT121" s="199"/>
      <c r="FDU121" s="198"/>
      <c r="FDV121" s="199"/>
      <c r="FDW121" s="198"/>
      <c r="FDX121" s="199"/>
      <c r="FDY121" s="198"/>
      <c r="FDZ121" s="199"/>
      <c r="FEA121" s="198"/>
      <c r="FEB121" s="199"/>
      <c r="FEC121" s="198"/>
      <c r="FED121" s="199"/>
      <c r="FEE121" s="198"/>
      <c r="FEF121" s="199"/>
      <c r="FEG121" s="198"/>
      <c r="FEH121" s="199"/>
      <c r="FEI121" s="198"/>
      <c r="FEJ121" s="199"/>
      <c r="FEK121" s="198"/>
      <c r="FEL121" s="199"/>
      <c r="FEM121" s="198"/>
      <c r="FEN121" s="199"/>
      <c r="FEO121" s="198"/>
      <c r="FEP121" s="199"/>
      <c r="FEQ121" s="198"/>
      <c r="FER121" s="199"/>
      <c r="FES121" s="198"/>
      <c r="FET121" s="199"/>
      <c r="FEU121" s="198"/>
      <c r="FEV121" s="199"/>
      <c r="FEW121" s="198"/>
      <c r="FEX121" s="199"/>
      <c r="FEY121" s="198"/>
      <c r="FEZ121" s="199"/>
      <c r="FFA121" s="198"/>
      <c r="FFB121" s="199"/>
      <c r="FFC121" s="198"/>
      <c r="FFD121" s="199"/>
      <c r="FFE121" s="198"/>
      <c r="FFF121" s="199"/>
      <c r="FFG121" s="198"/>
      <c r="FFH121" s="199"/>
      <c r="FFI121" s="198"/>
      <c r="FFJ121" s="199"/>
      <c r="FFK121" s="198"/>
      <c r="FFL121" s="199"/>
      <c r="FFM121" s="198"/>
      <c r="FFN121" s="199"/>
      <c r="FFO121" s="198"/>
      <c r="FFP121" s="199"/>
      <c r="FFQ121" s="198"/>
      <c r="FFR121" s="199"/>
      <c r="FFS121" s="198"/>
      <c r="FFT121" s="199"/>
      <c r="FFU121" s="198"/>
      <c r="FFV121" s="199"/>
      <c r="FFW121" s="198"/>
      <c r="FFX121" s="199"/>
      <c r="FFY121" s="198"/>
      <c r="FFZ121" s="199"/>
      <c r="FGA121" s="198"/>
      <c r="FGB121" s="199"/>
      <c r="FGC121" s="198"/>
      <c r="FGD121" s="199"/>
      <c r="FGE121" s="198"/>
      <c r="FGF121" s="199"/>
      <c r="FGG121" s="198"/>
      <c r="FGH121" s="199"/>
      <c r="FGI121" s="198"/>
      <c r="FGJ121" s="199"/>
      <c r="FGK121" s="198"/>
      <c r="FGL121" s="199"/>
      <c r="FGM121" s="198"/>
      <c r="FGN121" s="199"/>
      <c r="FGO121" s="198"/>
      <c r="FGP121" s="199"/>
      <c r="FGQ121" s="198"/>
      <c r="FGR121" s="199"/>
      <c r="FGS121" s="198"/>
      <c r="FGT121" s="199"/>
      <c r="FGU121" s="198"/>
      <c r="FGV121" s="199"/>
      <c r="FGW121" s="198"/>
      <c r="FGX121" s="199"/>
      <c r="FGY121" s="198"/>
      <c r="FGZ121" s="199"/>
      <c r="FHA121" s="198"/>
      <c r="FHB121" s="199"/>
      <c r="FHC121" s="198"/>
      <c r="FHD121" s="199"/>
      <c r="FHE121" s="198"/>
      <c r="FHF121" s="199"/>
      <c r="FHG121" s="198"/>
      <c r="FHH121" s="199"/>
      <c r="FHI121" s="198"/>
      <c r="FHJ121" s="199"/>
      <c r="FHK121" s="198"/>
      <c r="FHL121" s="199"/>
      <c r="FHM121" s="198"/>
      <c r="FHN121" s="199"/>
      <c r="FHO121" s="198"/>
      <c r="FHP121" s="199"/>
      <c r="FHQ121" s="198"/>
      <c r="FHR121" s="199"/>
      <c r="FHS121" s="198"/>
      <c r="FHT121" s="199"/>
      <c r="FHU121" s="198"/>
      <c r="FHV121" s="199"/>
      <c r="FHW121" s="198"/>
      <c r="FHX121" s="199"/>
      <c r="FHY121" s="198"/>
      <c r="FHZ121" s="199"/>
      <c r="FIA121" s="198"/>
      <c r="FIB121" s="199"/>
      <c r="FIC121" s="198"/>
      <c r="FID121" s="199"/>
      <c r="FIE121" s="198"/>
      <c r="FIF121" s="199"/>
      <c r="FIG121" s="198"/>
      <c r="FIH121" s="199"/>
      <c r="FII121" s="198"/>
      <c r="FIJ121" s="199"/>
      <c r="FIK121" s="198"/>
      <c r="FIL121" s="199"/>
      <c r="FIM121" s="198"/>
      <c r="FIN121" s="199"/>
      <c r="FIO121" s="198"/>
      <c r="FIP121" s="199"/>
      <c r="FIQ121" s="198"/>
      <c r="FIR121" s="199"/>
      <c r="FIS121" s="198"/>
      <c r="FIT121" s="199"/>
      <c r="FIU121" s="198"/>
      <c r="FIV121" s="199"/>
      <c r="FIW121" s="198"/>
      <c r="FIX121" s="199"/>
      <c r="FIY121" s="198"/>
      <c r="FIZ121" s="199"/>
      <c r="FJA121" s="198"/>
      <c r="FJB121" s="199"/>
      <c r="FJC121" s="198"/>
      <c r="FJD121" s="199"/>
      <c r="FJE121" s="198"/>
      <c r="FJF121" s="199"/>
      <c r="FJG121" s="198"/>
      <c r="FJH121" s="199"/>
      <c r="FJI121" s="198"/>
      <c r="FJJ121" s="199"/>
      <c r="FJK121" s="198"/>
      <c r="FJL121" s="199"/>
      <c r="FJM121" s="198"/>
      <c r="FJN121" s="199"/>
      <c r="FJO121" s="198"/>
      <c r="FJP121" s="199"/>
      <c r="FJQ121" s="198"/>
      <c r="FJR121" s="199"/>
      <c r="FJS121" s="198"/>
      <c r="FJT121" s="199"/>
      <c r="FJU121" s="198"/>
      <c r="FJV121" s="199"/>
      <c r="FJW121" s="198"/>
      <c r="FJX121" s="199"/>
      <c r="FJY121" s="198"/>
      <c r="FJZ121" s="199"/>
      <c r="FKA121" s="198"/>
      <c r="FKB121" s="199"/>
      <c r="FKC121" s="198"/>
      <c r="FKD121" s="199"/>
      <c r="FKE121" s="198"/>
      <c r="FKF121" s="199"/>
      <c r="FKG121" s="198"/>
      <c r="FKH121" s="199"/>
      <c r="FKI121" s="198"/>
      <c r="FKJ121" s="199"/>
      <c r="FKK121" s="198"/>
      <c r="FKL121" s="199"/>
      <c r="FKM121" s="198"/>
      <c r="FKN121" s="199"/>
      <c r="FKO121" s="198"/>
      <c r="FKP121" s="199"/>
      <c r="FKQ121" s="198"/>
      <c r="FKR121" s="199"/>
      <c r="FKS121" s="198"/>
      <c r="FKT121" s="199"/>
      <c r="FKU121" s="198"/>
      <c r="FKV121" s="199"/>
      <c r="FKW121" s="198"/>
      <c r="FKX121" s="199"/>
      <c r="FKY121" s="198"/>
      <c r="FKZ121" s="199"/>
      <c r="FLA121" s="198"/>
      <c r="FLB121" s="199"/>
      <c r="FLC121" s="198"/>
      <c r="FLD121" s="199"/>
      <c r="FLE121" s="198"/>
      <c r="FLF121" s="199"/>
      <c r="FLG121" s="198"/>
      <c r="FLH121" s="199"/>
      <c r="FLI121" s="198"/>
      <c r="FLJ121" s="199"/>
      <c r="FLK121" s="198"/>
      <c r="FLL121" s="199"/>
      <c r="FLM121" s="198"/>
      <c r="FLN121" s="199"/>
      <c r="FLO121" s="198"/>
      <c r="FLP121" s="199"/>
      <c r="FLQ121" s="198"/>
      <c r="FLR121" s="199"/>
      <c r="FLS121" s="198"/>
      <c r="FLT121" s="199"/>
      <c r="FLU121" s="198"/>
      <c r="FLV121" s="199"/>
      <c r="FLW121" s="198"/>
      <c r="FLX121" s="199"/>
      <c r="FLY121" s="198"/>
      <c r="FLZ121" s="199"/>
      <c r="FMA121" s="198"/>
      <c r="FMB121" s="199"/>
      <c r="FMC121" s="198"/>
      <c r="FMD121" s="199"/>
      <c r="FME121" s="198"/>
      <c r="FMF121" s="199"/>
      <c r="FMG121" s="198"/>
      <c r="FMH121" s="199"/>
      <c r="FMI121" s="198"/>
      <c r="FMJ121" s="199"/>
      <c r="FMK121" s="198"/>
      <c r="FML121" s="199"/>
      <c r="FMM121" s="198"/>
      <c r="FMN121" s="199"/>
      <c r="FMO121" s="198"/>
      <c r="FMP121" s="199"/>
      <c r="FMQ121" s="198"/>
      <c r="FMR121" s="199"/>
      <c r="FMS121" s="198"/>
      <c r="FMT121" s="199"/>
      <c r="FMU121" s="198"/>
      <c r="FMV121" s="199"/>
      <c r="FMW121" s="198"/>
      <c r="FMX121" s="199"/>
      <c r="FMY121" s="198"/>
      <c r="FMZ121" s="199"/>
      <c r="FNA121" s="198"/>
      <c r="FNB121" s="199"/>
      <c r="FNC121" s="198"/>
      <c r="FND121" s="199"/>
      <c r="FNE121" s="198"/>
      <c r="FNF121" s="199"/>
      <c r="FNG121" s="198"/>
      <c r="FNH121" s="199"/>
      <c r="FNI121" s="198"/>
      <c r="FNJ121" s="199"/>
      <c r="FNK121" s="198"/>
      <c r="FNL121" s="199"/>
      <c r="FNM121" s="198"/>
      <c r="FNN121" s="199"/>
      <c r="FNO121" s="198"/>
      <c r="FNP121" s="199"/>
      <c r="FNQ121" s="198"/>
      <c r="FNR121" s="199"/>
      <c r="FNS121" s="198"/>
      <c r="FNT121" s="199"/>
      <c r="FNU121" s="198"/>
      <c r="FNV121" s="199"/>
      <c r="FNW121" s="198"/>
      <c r="FNX121" s="199"/>
      <c r="FNY121" s="198"/>
      <c r="FNZ121" s="199"/>
      <c r="FOA121" s="198"/>
      <c r="FOB121" s="199"/>
      <c r="FOC121" s="198"/>
      <c r="FOD121" s="199"/>
      <c r="FOE121" s="198"/>
      <c r="FOF121" s="199"/>
      <c r="FOG121" s="198"/>
      <c r="FOH121" s="199"/>
      <c r="FOI121" s="198"/>
      <c r="FOJ121" s="199"/>
      <c r="FOK121" s="198"/>
      <c r="FOL121" s="199"/>
      <c r="FOM121" s="198"/>
      <c r="FON121" s="199"/>
      <c r="FOO121" s="198"/>
      <c r="FOP121" s="199"/>
      <c r="FOQ121" s="198"/>
      <c r="FOR121" s="199"/>
      <c r="FOS121" s="198"/>
      <c r="FOT121" s="199"/>
      <c r="FOU121" s="198"/>
      <c r="FOV121" s="199"/>
      <c r="FOW121" s="198"/>
      <c r="FOX121" s="199"/>
      <c r="FOY121" s="198"/>
      <c r="FOZ121" s="199"/>
      <c r="FPA121" s="198"/>
      <c r="FPB121" s="199"/>
      <c r="FPC121" s="198"/>
      <c r="FPD121" s="199"/>
      <c r="FPE121" s="198"/>
      <c r="FPF121" s="199"/>
      <c r="FPG121" s="198"/>
      <c r="FPH121" s="199"/>
      <c r="FPI121" s="198"/>
      <c r="FPJ121" s="199"/>
      <c r="FPK121" s="198"/>
      <c r="FPL121" s="199"/>
      <c r="FPM121" s="198"/>
      <c r="FPN121" s="199"/>
      <c r="FPO121" s="198"/>
      <c r="FPP121" s="199"/>
      <c r="FPQ121" s="198"/>
      <c r="FPR121" s="199"/>
      <c r="FPS121" s="198"/>
      <c r="FPT121" s="199"/>
      <c r="FPU121" s="198"/>
      <c r="FPV121" s="199"/>
      <c r="FPW121" s="198"/>
      <c r="FPX121" s="199"/>
      <c r="FPY121" s="198"/>
      <c r="FPZ121" s="199"/>
      <c r="FQA121" s="198"/>
      <c r="FQB121" s="199"/>
      <c r="FQC121" s="198"/>
      <c r="FQD121" s="199"/>
      <c r="FQE121" s="198"/>
      <c r="FQF121" s="199"/>
      <c r="FQG121" s="198"/>
      <c r="FQH121" s="199"/>
      <c r="FQI121" s="198"/>
      <c r="FQJ121" s="199"/>
      <c r="FQK121" s="198"/>
      <c r="FQL121" s="199"/>
      <c r="FQM121" s="198"/>
      <c r="FQN121" s="199"/>
      <c r="FQO121" s="198"/>
      <c r="FQP121" s="199"/>
      <c r="FQQ121" s="198"/>
      <c r="FQR121" s="199"/>
      <c r="FQS121" s="198"/>
      <c r="FQT121" s="199"/>
      <c r="FQU121" s="198"/>
      <c r="FQV121" s="199"/>
      <c r="FQW121" s="198"/>
      <c r="FQX121" s="199"/>
      <c r="FQY121" s="198"/>
      <c r="FQZ121" s="199"/>
      <c r="FRA121" s="198"/>
      <c r="FRB121" s="199"/>
      <c r="FRC121" s="198"/>
      <c r="FRD121" s="199"/>
      <c r="FRE121" s="198"/>
      <c r="FRF121" s="199"/>
      <c r="FRG121" s="198"/>
      <c r="FRH121" s="199"/>
      <c r="FRI121" s="198"/>
      <c r="FRJ121" s="199"/>
      <c r="FRK121" s="198"/>
      <c r="FRL121" s="199"/>
      <c r="FRM121" s="198"/>
      <c r="FRN121" s="199"/>
      <c r="FRO121" s="198"/>
      <c r="FRP121" s="199"/>
      <c r="FRQ121" s="198"/>
      <c r="FRR121" s="199"/>
      <c r="FRS121" s="198"/>
      <c r="FRT121" s="199"/>
      <c r="FRU121" s="198"/>
      <c r="FRV121" s="199"/>
      <c r="FRW121" s="198"/>
      <c r="FRX121" s="199"/>
      <c r="FRY121" s="198"/>
      <c r="FRZ121" s="199"/>
      <c r="FSA121" s="198"/>
      <c r="FSB121" s="199"/>
      <c r="FSC121" s="198"/>
      <c r="FSD121" s="199"/>
      <c r="FSE121" s="198"/>
      <c r="FSF121" s="199"/>
      <c r="FSG121" s="198"/>
      <c r="FSH121" s="199"/>
      <c r="FSI121" s="198"/>
      <c r="FSJ121" s="199"/>
      <c r="FSK121" s="198"/>
      <c r="FSL121" s="199"/>
      <c r="FSM121" s="198"/>
      <c r="FSN121" s="199"/>
      <c r="FSO121" s="198"/>
      <c r="FSP121" s="199"/>
      <c r="FSQ121" s="198"/>
      <c r="FSR121" s="199"/>
      <c r="FSS121" s="198"/>
      <c r="FST121" s="199"/>
      <c r="FSU121" s="198"/>
      <c r="FSV121" s="199"/>
      <c r="FSW121" s="198"/>
      <c r="FSX121" s="199"/>
      <c r="FSY121" s="198"/>
      <c r="FSZ121" s="199"/>
      <c r="FTA121" s="198"/>
      <c r="FTB121" s="199"/>
      <c r="FTC121" s="198"/>
      <c r="FTD121" s="199"/>
      <c r="FTE121" s="198"/>
      <c r="FTF121" s="199"/>
      <c r="FTG121" s="198"/>
      <c r="FTH121" s="199"/>
      <c r="FTI121" s="198"/>
      <c r="FTJ121" s="199"/>
      <c r="FTK121" s="198"/>
      <c r="FTL121" s="199"/>
      <c r="FTM121" s="198"/>
      <c r="FTN121" s="199"/>
      <c r="FTO121" s="198"/>
      <c r="FTP121" s="199"/>
      <c r="FTQ121" s="198"/>
      <c r="FTR121" s="199"/>
      <c r="FTS121" s="198"/>
      <c r="FTT121" s="199"/>
      <c r="FTU121" s="198"/>
      <c r="FTV121" s="199"/>
      <c r="FTW121" s="198"/>
      <c r="FTX121" s="199"/>
      <c r="FTY121" s="198"/>
      <c r="FTZ121" s="199"/>
      <c r="FUA121" s="198"/>
      <c r="FUB121" s="199"/>
      <c r="FUC121" s="198"/>
      <c r="FUD121" s="199"/>
      <c r="FUE121" s="198"/>
      <c r="FUF121" s="199"/>
      <c r="FUG121" s="198"/>
      <c r="FUH121" s="199"/>
      <c r="FUI121" s="198"/>
      <c r="FUJ121" s="199"/>
      <c r="FUK121" s="198"/>
      <c r="FUL121" s="199"/>
      <c r="FUM121" s="198"/>
      <c r="FUN121" s="199"/>
      <c r="FUO121" s="198"/>
      <c r="FUP121" s="199"/>
      <c r="FUQ121" s="198"/>
      <c r="FUR121" s="199"/>
      <c r="FUS121" s="198"/>
      <c r="FUT121" s="199"/>
      <c r="FUU121" s="198"/>
      <c r="FUV121" s="199"/>
      <c r="FUW121" s="198"/>
      <c r="FUX121" s="199"/>
      <c r="FUY121" s="198"/>
      <c r="FUZ121" s="199"/>
      <c r="FVA121" s="198"/>
      <c r="FVB121" s="199"/>
      <c r="FVC121" s="198"/>
      <c r="FVD121" s="199"/>
      <c r="FVE121" s="198"/>
      <c r="FVF121" s="199"/>
      <c r="FVG121" s="198"/>
      <c r="FVH121" s="199"/>
      <c r="FVI121" s="198"/>
      <c r="FVJ121" s="199"/>
      <c r="FVK121" s="198"/>
      <c r="FVL121" s="199"/>
      <c r="FVM121" s="198"/>
      <c r="FVN121" s="199"/>
      <c r="FVO121" s="198"/>
      <c r="FVP121" s="199"/>
      <c r="FVQ121" s="198"/>
      <c r="FVR121" s="199"/>
      <c r="FVS121" s="198"/>
      <c r="FVT121" s="199"/>
      <c r="FVU121" s="198"/>
      <c r="FVV121" s="199"/>
      <c r="FVW121" s="198"/>
      <c r="FVX121" s="199"/>
      <c r="FVY121" s="198"/>
      <c r="FVZ121" s="199"/>
      <c r="FWA121" s="198"/>
      <c r="FWB121" s="199"/>
      <c r="FWC121" s="198"/>
      <c r="FWD121" s="199"/>
      <c r="FWE121" s="198"/>
      <c r="FWF121" s="199"/>
      <c r="FWG121" s="198"/>
      <c r="FWH121" s="199"/>
      <c r="FWI121" s="198"/>
      <c r="FWJ121" s="199"/>
      <c r="FWK121" s="198"/>
      <c r="FWL121" s="199"/>
      <c r="FWM121" s="198"/>
      <c r="FWN121" s="199"/>
      <c r="FWO121" s="198"/>
      <c r="FWP121" s="199"/>
      <c r="FWQ121" s="198"/>
      <c r="FWR121" s="199"/>
      <c r="FWS121" s="198"/>
      <c r="FWT121" s="199"/>
      <c r="FWU121" s="198"/>
      <c r="FWV121" s="199"/>
      <c r="FWW121" s="198"/>
      <c r="FWX121" s="199"/>
      <c r="FWY121" s="198"/>
      <c r="FWZ121" s="199"/>
      <c r="FXA121" s="198"/>
      <c r="FXB121" s="199"/>
      <c r="FXC121" s="198"/>
      <c r="FXD121" s="199"/>
      <c r="FXE121" s="198"/>
      <c r="FXF121" s="199"/>
      <c r="FXG121" s="198"/>
      <c r="FXH121" s="199"/>
      <c r="FXI121" s="198"/>
      <c r="FXJ121" s="199"/>
      <c r="FXK121" s="198"/>
      <c r="FXL121" s="199"/>
      <c r="FXM121" s="198"/>
      <c r="FXN121" s="199"/>
      <c r="FXO121" s="198"/>
      <c r="FXP121" s="199"/>
      <c r="FXQ121" s="198"/>
      <c r="FXR121" s="199"/>
      <c r="FXS121" s="198"/>
      <c r="FXT121" s="199"/>
      <c r="FXU121" s="198"/>
      <c r="FXV121" s="199"/>
      <c r="FXW121" s="198"/>
      <c r="FXX121" s="199"/>
      <c r="FXY121" s="198"/>
      <c r="FXZ121" s="199"/>
      <c r="FYA121" s="198"/>
      <c r="FYB121" s="199"/>
      <c r="FYC121" s="198"/>
      <c r="FYD121" s="199"/>
      <c r="FYE121" s="198"/>
      <c r="FYF121" s="199"/>
      <c r="FYG121" s="198"/>
      <c r="FYH121" s="199"/>
      <c r="FYI121" s="198"/>
      <c r="FYJ121" s="199"/>
      <c r="FYK121" s="198"/>
      <c r="FYL121" s="199"/>
      <c r="FYM121" s="198"/>
      <c r="FYN121" s="199"/>
      <c r="FYO121" s="198"/>
      <c r="FYP121" s="199"/>
      <c r="FYQ121" s="198"/>
      <c r="FYR121" s="199"/>
      <c r="FYS121" s="198"/>
      <c r="FYT121" s="199"/>
      <c r="FYU121" s="198"/>
      <c r="FYV121" s="199"/>
      <c r="FYW121" s="198"/>
      <c r="FYX121" s="199"/>
      <c r="FYY121" s="198"/>
      <c r="FYZ121" s="199"/>
      <c r="FZA121" s="198"/>
      <c r="FZB121" s="199"/>
      <c r="FZC121" s="198"/>
      <c r="FZD121" s="199"/>
      <c r="FZE121" s="198"/>
      <c r="FZF121" s="199"/>
      <c r="FZG121" s="198"/>
      <c r="FZH121" s="199"/>
      <c r="FZI121" s="198"/>
      <c r="FZJ121" s="199"/>
      <c r="FZK121" s="198"/>
      <c r="FZL121" s="199"/>
      <c r="FZM121" s="198"/>
      <c r="FZN121" s="199"/>
      <c r="FZO121" s="198"/>
      <c r="FZP121" s="199"/>
      <c r="FZQ121" s="198"/>
      <c r="FZR121" s="199"/>
      <c r="FZS121" s="198"/>
      <c r="FZT121" s="199"/>
      <c r="FZU121" s="198"/>
      <c r="FZV121" s="199"/>
      <c r="FZW121" s="198"/>
      <c r="FZX121" s="199"/>
      <c r="FZY121" s="198"/>
      <c r="FZZ121" s="199"/>
      <c r="GAA121" s="198"/>
      <c r="GAB121" s="199"/>
      <c r="GAC121" s="198"/>
      <c r="GAD121" s="199"/>
      <c r="GAE121" s="198"/>
      <c r="GAF121" s="199"/>
      <c r="GAG121" s="198"/>
      <c r="GAH121" s="199"/>
      <c r="GAI121" s="198"/>
      <c r="GAJ121" s="199"/>
      <c r="GAK121" s="198"/>
      <c r="GAL121" s="199"/>
      <c r="GAM121" s="198"/>
      <c r="GAN121" s="199"/>
      <c r="GAO121" s="198"/>
      <c r="GAP121" s="199"/>
      <c r="GAQ121" s="198"/>
      <c r="GAR121" s="199"/>
      <c r="GAS121" s="198"/>
      <c r="GAT121" s="199"/>
      <c r="GAU121" s="198"/>
      <c r="GAV121" s="199"/>
      <c r="GAW121" s="198"/>
      <c r="GAX121" s="199"/>
      <c r="GAY121" s="198"/>
      <c r="GAZ121" s="199"/>
      <c r="GBA121" s="198"/>
      <c r="GBB121" s="199"/>
      <c r="GBC121" s="198"/>
      <c r="GBD121" s="199"/>
      <c r="GBE121" s="198"/>
      <c r="GBF121" s="199"/>
      <c r="GBG121" s="198"/>
      <c r="GBH121" s="199"/>
      <c r="GBI121" s="198"/>
      <c r="GBJ121" s="199"/>
      <c r="GBK121" s="198"/>
      <c r="GBL121" s="199"/>
      <c r="GBM121" s="198"/>
      <c r="GBN121" s="199"/>
      <c r="GBO121" s="198"/>
      <c r="GBP121" s="199"/>
      <c r="GBQ121" s="198"/>
      <c r="GBR121" s="199"/>
      <c r="GBS121" s="198"/>
      <c r="GBT121" s="199"/>
      <c r="GBU121" s="198"/>
      <c r="GBV121" s="199"/>
      <c r="GBW121" s="198"/>
      <c r="GBX121" s="199"/>
      <c r="GBY121" s="198"/>
      <c r="GBZ121" s="199"/>
      <c r="GCA121" s="198"/>
      <c r="GCB121" s="199"/>
      <c r="GCC121" s="198"/>
      <c r="GCD121" s="199"/>
      <c r="GCE121" s="198"/>
      <c r="GCF121" s="199"/>
      <c r="GCG121" s="198"/>
      <c r="GCH121" s="199"/>
      <c r="GCI121" s="198"/>
      <c r="GCJ121" s="199"/>
      <c r="GCK121" s="198"/>
      <c r="GCL121" s="199"/>
      <c r="GCM121" s="198"/>
      <c r="GCN121" s="199"/>
      <c r="GCO121" s="198"/>
      <c r="GCP121" s="199"/>
      <c r="GCQ121" s="198"/>
      <c r="GCR121" s="199"/>
      <c r="GCS121" s="198"/>
      <c r="GCT121" s="199"/>
      <c r="GCU121" s="198"/>
      <c r="GCV121" s="199"/>
      <c r="GCW121" s="198"/>
      <c r="GCX121" s="199"/>
      <c r="GCY121" s="198"/>
      <c r="GCZ121" s="199"/>
      <c r="GDA121" s="198"/>
      <c r="GDB121" s="199"/>
      <c r="GDC121" s="198"/>
      <c r="GDD121" s="199"/>
      <c r="GDE121" s="198"/>
      <c r="GDF121" s="199"/>
      <c r="GDG121" s="198"/>
      <c r="GDH121" s="199"/>
      <c r="GDI121" s="198"/>
      <c r="GDJ121" s="199"/>
      <c r="GDK121" s="198"/>
      <c r="GDL121" s="199"/>
      <c r="GDM121" s="198"/>
      <c r="GDN121" s="199"/>
      <c r="GDO121" s="198"/>
      <c r="GDP121" s="199"/>
      <c r="GDQ121" s="198"/>
      <c r="GDR121" s="199"/>
      <c r="GDS121" s="198"/>
      <c r="GDT121" s="199"/>
      <c r="GDU121" s="198"/>
      <c r="GDV121" s="199"/>
      <c r="GDW121" s="198"/>
      <c r="GDX121" s="199"/>
      <c r="GDY121" s="198"/>
      <c r="GDZ121" s="199"/>
      <c r="GEA121" s="198"/>
      <c r="GEB121" s="199"/>
      <c r="GEC121" s="198"/>
      <c r="GED121" s="199"/>
      <c r="GEE121" s="198"/>
      <c r="GEF121" s="199"/>
      <c r="GEG121" s="198"/>
      <c r="GEH121" s="199"/>
      <c r="GEI121" s="198"/>
      <c r="GEJ121" s="199"/>
      <c r="GEK121" s="198"/>
      <c r="GEL121" s="199"/>
      <c r="GEM121" s="198"/>
      <c r="GEN121" s="199"/>
      <c r="GEO121" s="198"/>
      <c r="GEP121" s="199"/>
      <c r="GEQ121" s="198"/>
      <c r="GER121" s="199"/>
      <c r="GES121" s="198"/>
      <c r="GET121" s="199"/>
      <c r="GEU121" s="198"/>
      <c r="GEV121" s="199"/>
      <c r="GEW121" s="198"/>
      <c r="GEX121" s="199"/>
      <c r="GEY121" s="198"/>
      <c r="GEZ121" s="199"/>
      <c r="GFA121" s="198"/>
      <c r="GFB121" s="199"/>
      <c r="GFC121" s="198"/>
      <c r="GFD121" s="199"/>
      <c r="GFE121" s="198"/>
      <c r="GFF121" s="199"/>
      <c r="GFG121" s="198"/>
      <c r="GFH121" s="199"/>
      <c r="GFI121" s="198"/>
      <c r="GFJ121" s="199"/>
      <c r="GFK121" s="198"/>
      <c r="GFL121" s="199"/>
      <c r="GFM121" s="198"/>
      <c r="GFN121" s="199"/>
      <c r="GFO121" s="198"/>
      <c r="GFP121" s="199"/>
      <c r="GFQ121" s="198"/>
      <c r="GFR121" s="199"/>
      <c r="GFS121" s="198"/>
      <c r="GFT121" s="199"/>
      <c r="GFU121" s="198"/>
      <c r="GFV121" s="199"/>
      <c r="GFW121" s="198"/>
      <c r="GFX121" s="199"/>
      <c r="GFY121" s="198"/>
      <c r="GFZ121" s="199"/>
      <c r="GGA121" s="198"/>
      <c r="GGB121" s="199"/>
      <c r="GGC121" s="198"/>
      <c r="GGD121" s="199"/>
      <c r="GGE121" s="198"/>
      <c r="GGF121" s="199"/>
      <c r="GGG121" s="198"/>
      <c r="GGH121" s="199"/>
      <c r="GGI121" s="198"/>
      <c r="GGJ121" s="199"/>
      <c r="GGK121" s="198"/>
      <c r="GGL121" s="199"/>
      <c r="GGM121" s="198"/>
      <c r="GGN121" s="199"/>
      <c r="GGO121" s="198"/>
      <c r="GGP121" s="199"/>
      <c r="GGQ121" s="198"/>
      <c r="GGR121" s="199"/>
      <c r="GGS121" s="198"/>
      <c r="GGT121" s="199"/>
      <c r="GGU121" s="198"/>
      <c r="GGV121" s="199"/>
      <c r="GGW121" s="198"/>
      <c r="GGX121" s="199"/>
      <c r="GGY121" s="198"/>
      <c r="GGZ121" s="199"/>
      <c r="GHA121" s="198"/>
      <c r="GHB121" s="199"/>
      <c r="GHC121" s="198"/>
      <c r="GHD121" s="199"/>
      <c r="GHE121" s="198"/>
      <c r="GHF121" s="199"/>
      <c r="GHG121" s="198"/>
      <c r="GHH121" s="199"/>
      <c r="GHI121" s="198"/>
      <c r="GHJ121" s="199"/>
      <c r="GHK121" s="198"/>
      <c r="GHL121" s="199"/>
      <c r="GHM121" s="198"/>
      <c r="GHN121" s="199"/>
      <c r="GHO121" s="198"/>
      <c r="GHP121" s="199"/>
      <c r="GHQ121" s="198"/>
      <c r="GHR121" s="199"/>
      <c r="GHS121" s="198"/>
      <c r="GHT121" s="199"/>
      <c r="GHU121" s="198"/>
      <c r="GHV121" s="199"/>
      <c r="GHW121" s="198"/>
      <c r="GHX121" s="199"/>
      <c r="GHY121" s="198"/>
      <c r="GHZ121" s="199"/>
      <c r="GIA121" s="198"/>
      <c r="GIB121" s="199"/>
      <c r="GIC121" s="198"/>
      <c r="GID121" s="199"/>
      <c r="GIE121" s="198"/>
      <c r="GIF121" s="199"/>
      <c r="GIG121" s="198"/>
      <c r="GIH121" s="199"/>
      <c r="GII121" s="198"/>
      <c r="GIJ121" s="199"/>
      <c r="GIK121" s="198"/>
      <c r="GIL121" s="199"/>
      <c r="GIM121" s="198"/>
      <c r="GIN121" s="199"/>
      <c r="GIO121" s="198"/>
      <c r="GIP121" s="199"/>
      <c r="GIQ121" s="198"/>
      <c r="GIR121" s="199"/>
      <c r="GIS121" s="198"/>
      <c r="GIT121" s="199"/>
      <c r="GIU121" s="198"/>
      <c r="GIV121" s="199"/>
      <c r="GIW121" s="198"/>
      <c r="GIX121" s="199"/>
      <c r="GIY121" s="198"/>
      <c r="GIZ121" s="199"/>
      <c r="GJA121" s="198"/>
      <c r="GJB121" s="199"/>
      <c r="GJC121" s="198"/>
      <c r="GJD121" s="199"/>
      <c r="GJE121" s="198"/>
      <c r="GJF121" s="199"/>
      <c r="GJG121" s="198"/>
      <c r="GJH121" s="199"/>
      <c r="GJI121" s="198"/>
      <c r="GJJ121" s="199"/>
      <c r="GJK121" s="198"/>
      <c r="GJL121" s="199"/>
      <c r="GJM121" s="198"/>
      <c r="GJN121" s="199"/>
      <c r="GJO121" s="198"/>
      <c r="GJP121" s="199"/>
      <c r="GJQ121" s="198"/>
      <c r="GJR121" s="199"/>
      <c r="GJS121" s="198"/>
      <c r="GJT121" s="199"/>
      <c r="GJU121" s="198"/>
      <c r="GJV121" s="199"/>
      <c r="GJW121" s="198"/>
      <c r="GJX121" s="199"/>
      <c r="GJY121" s="198"/>
      <c r="GJZ121" s="199"/>
      <c r="GKA121" s="198"/>
      <c r="GKB121" s="199"/>
      <c r="GKC121" s="198"/>
      <c r="GKD121" s="199"/>
      <c r="GKE121" s="198"/>
      <c r="GKF121" s="199"/>
      <c r="GKG121" s="198"/>
      <c r="GKH121" s="199"/>
      <c r="GKI121" s="198"/>
      <c r="GKJ121" s="199"/>
      <c r="GKK121" s="198"/>
      <c r="GKL121" s="199"/>
      <c r="GKM121" s="198"/>
      <c r="GKN121" s="199"/>
      <c r="GKO121" s="198"/>
      <c r="GKP121" s="199"/>
      <c r="GKQ121" s="198"/>
      <c r="GKR121" s="199"/>
      <c r="GKS121" s="198"/>
      <c r="GKT121" s="199"/>
      <c r="GKU121" s="198"/>
      <c r="GKV121" s="199"/>
      <c r="GKW121" s="198"/>
      <c r="GKX121" s="199"/>
      <c r="GKY121" s="198"/>
      <c r="GKZ121" s="199"/>
      <c r="GLA121" s="198"/>
      <c r="GLB121" s="199"/>
      <c r="GLC121" s="198"/>
      <c r="GLD121" s="199"/>
      <c r="GLE121" s="198"/>
      <c r="GLF121" s="199"/>
      <c r="GLG121" s="198"/>
      <c r="GLH121" s="199"/>
      <c r="GLI121" s="198"/>
      <c r="GLJ121" s="199"/>
      <c r="GLK121" s="198"/>
      <c r="GLL121" s="199"/>
      <c r="GLM121" s="198"/>
      <c r="GLN121" s="199"/>
      <c r="GLO121" s="198"/>
      <c r="GLP121" s="199"/>
      <c r="GLQ121" s="198"/>
      <c r="GLR121" s="199"/>
      <c r="GLS121" s="198"/>
      <c r="GLT121" s="199"/>
      <c r="GLU121" s="198"/>
      <c r="GLV121" s="199"/>
      <c r="GLW121" s="198"/>
      <c r="GLX121" s="199"/>
      <c r="GLY121" s="198"/>
      <c r="GLZ121" s="199"/>
      <c r="GMA121" s="198"/>
      <c r="GMB121" s="199"/>
      <c r="GMC121" s="198"/>
      <c r="GMD121" s="199"/>
      <c r="GME121" s="198"/>
      <c r="GMF121" s="199"/>
      <c r="GMG121" s="198"/>
      <c r="GMH121" s="199"/>
      <c r="GMI121" s="198"/>
      <c r="GMJ121" s="199"/>
      <c r="GMK121" s="198"/>
      <c r="GML121" s="199"/>
      <c r="GMM121" s="198"/>
      <c r="GMN121" s="199"/>
      <c r="GMO121" s="198"/>
      <c r="GMP121" s="199"/>
      <c r="GMQ121" s="198"/>
      <c r="GMR121" s="199"/>
      <c r="GMS121" s="198"/>
      <c r="GMT121" s="199"/>
      <c r="GMU121" s="198"/>
      <c r="GMV121" s="199"/>
      <c r="GMW121" s="198"/>
      <c r="GMX121" s="199"/>
      <c r="GMY121" s="198"/>
      <c r="GMZ121" s="199"/>
      <c r="GNA121" s="198"/>
      <c r="GNB121" s="199"/>
      <c r="GNC121" s="198"/>
      <c r="GND121" s="199"/>
      <c r="GNE121" s="198"/>
      <c r="GNF121" s="199"/>
      <c r="GNG121" s="198"/>
      <c r="GNH121" s="199"/>
      <c r="GNI121" s="198"/>
      <c r="GNJ121" s="199"/>
      <c r="GNK121" s="198"/>
      <c r="GNL121" s="199"/>
      <c r="GNM121" s="198"/>
      <c r="GNN121" s="199"/>
      <c r="GNO121" s="198"/>
      <c r="GNP121" s="199"/>
      <c r="GNQ121" s="198"/>
      <c r="GNR121" s="199"/>
      <c r="GNS121" s="198"/>
      <c r="GNT121" s="199"/>
      <c r="GNU121" s="198"/>
      <c r="GNV121" s="199"/>
      <c r="GNW121" s="198"/>
      <c r="GNX121" s="199"/>
      <c r="GNY121" s="198"/>
      <c r="GNZ121" s="199"/>
      <c r="GOA121" s="198"/>
      <c r="GOB121" s="199"/>
      <c r="GOC121" s="198"/>
      <c r="GOD121" s="199"/>
      <c r="GOE121" s="198"/>
      <c r="GOF121" s="199"/>
      <c r="GOG121" s="198"/>
      <c r="GOH121" s="199"/>
      <c r="GOI121" s="198"/>
      <c r="GOJ121" s="199"/>
      <c r="GOK121" s="198"/>
      <c r="GOL121" s="199"/>
      <c r="GOM121" s="198"/>
      <c r="GON121" s="199"/>
      <c r="GOO121" s="198"/>
      <c r="GOP121" s="199"/>
      <c r="GOQ121" s="198"/>
      <c r="GOR121" s="199"/>
      <c r="GOS121" s="198"/>
      <c r="GOT121" s="199"/>
      <c r="GOU121" s="198"/>
      <c r="GOV121" s="199"/>
      <c r="GOW121" s="198"/>
      <c r="GOX121" s="199"/>
      <c r="GOY121" s="198"/>
      <c r="GOZ121" s="199"/>
      <c r="GPA121" s="198"/>
      <c r="GPB121" s="199"/>
      <c r="GPC121" s="198"/>
      <c r="GPD121" s="199"/>
      <c r="GPE121" s="198"/>
      <c r="GPF121" s="199"/>
      <c r="GPG121" s="198"/>
      <c r="GPH121" s="199"/>
      <c r="GPI121" s="198"/>
      <c r="GPJ121" s="199"/>
      <c r="GPK121" s="198"/>
      <c r="GPL121" s="199"/>
      <c r="GPM121" s="198"/>
      <c r="GPN121" s="199"/>
      <c r="GPO121" s="198"/>
      <c r="GPP121" s="199"/>
      <c r="GPQ121" s="198"/>
      <c r="GPR121" s="199"/>
      <c r="GPS121" s="198"/>
      <c r="GPT121" s="199"/>
      <c r="GPU121" s="198"/>
      <c r="GPV121" s="199"/>
      <c r="GPW121" s="198"/>
      <c r="GPX121" s="199"/>
      <c r="GPY121" s="198"/>
      <c r="GPZ121" s="199"/>
      <c r="GQA121" s="198"/>
      <c r="GQB121" s="199"/>
      <c r="GQC121" s="198"/>
      <c r="GQD121" s="199"/>
      <c r="GQE121" s="198"/>
      <c r="GQF121" s="199"/>
      <c r="GQG121" s="198"/>
      <c r="GQH121" s="199"/>
      <c r="GQI121" s="198"/>
      <c r="GQJ121" s="199"/>
      <c r="GQK121" s="198"/>
      <c r="GQL121" s="199"/>
      <c r="GQM121" s="198"/>
      <c r="GQN121" s="199"/>
      <c r="GQO121" s="198"/>
      <c r="GQP121" s="199"/>
      <c r="GQQ121" s="198"/>
      <c r="GQR121" s="199"/>
      <c r="GQS121" s="198"/>
      <c r="GQT121" s="199"/>
      <c r="GQU121" s="198"/>
      <c r="GQV121" s="199"/>
      <c r="GQW121" s="198"/>
      <c r="GQX121" s="199"/>
      <c r="GQY121" s="198"/>
      <c r="GQZ121" s="199"/>
      <c r="GRA121" s="198"/>
      <c r="GRB121" s="199"/>
      <c r="GRC121" s="198"/>
      <c r="GRD121" s="199"/>
      <c r="GRE121" s="198"/>
      <c r="GRF121" s="199"/>
      <c r="GRG121" s="198"/>
      <c r="GRH121" s="199"/>
      <c r="GRI121" s="198"/>
      <c r="GRJ121" s="199"/>
      <c r="GRK121" s="198"/>
      <c r="GRL121" s="199"/>
      <c r="GRM121" s="198"/>
      <c r="GRN121" s="199"/>
      <c r="GRO121" s="198"/>
      <c r="GRP121" s="199"/>
      <c r="GRQ121" s="198"/>
      <c r="GRR121" s="199"/>
      <c r="GRS121" s="198"/>
      <c r="GRT121" s="199"/>
      <c r="GRU121" s="198"/>
      <c r="GRV121" s="199"/>
      <c r="GRW121" s="198"/>
      <c r="GRX121" s="199"/>
      <c r="GRY121" s="198"/>
      <c r="GRZ121" s="199"/>
      <c r="GSA121" s="198"/>
      <c r="GSB121" s="199"/>
      <c r="GSC121" s="198"/>
      <c r="GSD121" s="199"/>
      <c r="GSE121" s="198"/>
      <c r="GSF121" s="199"/>
      <c r="GSG121" s="198"/>
      <c r="GSH121" s="199"/>
      <c r="GSI121" s="198"/>
      <c r="GSJ121" s="199"/>
      <c r="GSK121" s="198"/>
      <c r="GSL121" s="199"/>
      <c r="GSM121" s="198"/>
      <c r="GSN121" s="199"/>
      <c r="GSO121" s="198"/>
      <c r="GSP121" s="199"/>
      <c r="GSQ121" s="198"/>
      <c r="GSR121" s="199"/>
      <c r="GSS121" s="198"/>
      <c r="GST121" s="199"/>
      <c r="GSU121" s="198"/>
      <c r="GSV121" s="199"/>
      <c r="GSW121" s="198"/>
      <c r="GSX121" s="199"/>
      <c r="GSY121" s="198"/>
      <c r="GSZ121" s="199"/>
      <c r="GTA121" s="198"/>
      <c r="GTB121" s="199"/>
      <c r="GTC121" s="198"/>
      <c r="GTD121" s="199"/>
      <c r="GTE121" s="198"/>
      <c r="GTF121" s="199"/>
      <c r="GTG121" s="198"/>
      <c r="GTH121" s="199"/>
      <c r="GTI121" s="198"/>
      <c r="GTJ121" s="199"/>
      <c r="GTK121" s="198"/>
      <c r="GTL121" s="199"/>
      <c r="GTM121" s="198"/>
      <c r="GTN121" s="199"/>
      <c r="GTO121" s="198"/>
      <c r="GTP121" s="199"/>
      <c r="GTQ121" s="198"/>
      <c r="GTR121" s="199"/>
      <c r="GTS121" s="198"/>
      <c r="GTT121" s="199"/>
      <c r="GTU121" s="198"/>
      <c r="GTV121" s="199"/>
      <c r="GTW121" s="198"/>
      <c r="GTX121" s="199"/>
      <c r="GTY121" s="198"/>
      <c r="GTZ121" s="199"/>
      <c r="GUA121" s="198"/>
      <c r="GUB121" s="199"/>
      <c r="GUC121" s="198"/>
      <c r="GUD121" s="199"/>
      <c r="GUE121" s="198"/>
      <c r="GUF121" s="199"/>
      <c r="GUG121" s="198"/>
      <c r="GUH121" s="199"/>
      <c r="GUI121" s="198"/>
      <c r="GUJ121" s="199"/>
      <c r="GUK121" s="198"/>
      <c r="GUL121" s="199"/>
      <c r="GUM121" s="198"/>
      <c r="GUN121" s="199"/>
      <c r="GUO121" s="198"/>
      <c r="GUP121" s="199"/>
      <c r="GUQ121" s="198"/>
      <c r="GUR121" s="199"/>
      <c r="GUS121" s="198"/>
      <c r="GUT121" s="199"/>
      <c r="GUU121" s="198"/>
      <c r="GUV121" s="199"/>
      <c r="GUW121" s="198"/>
      <c r="GUX121" s="199"/>
      <c r="GUY121" s="198"/>
      <c r="GUZ121" s="199"/>
      <c r="GVA121" s="198"/>
      <c r="GVB121" s="199"/>
      <c r="GVC121" s="198"/>
      <c r="GVD121" s="199"/>
      <c r="GVE121" s="198"/>
      <c r="GVF121" s="199"/>
      <c r="GVG121" s="198"/>
      <c r="GVH121" s="199"/>
      <c r="GVI121" s="198"/>
      <c r="GVJ121" s="199"/>
      <c r="GVK121" s="198"/>
      <c r="GVL121" s="199"/>
      <c r="GVM121" s="198"/>
      <c r="GVN121" s="199"/>
      <c r="GVO121" s="198"/>
      <c r="GVP121" s="199"/>
      <c r="GVQ121" s="198"/>
      <c r="GVR121" s="199"/>
      <c r="GVS121" s="198"/>
      <c r="GVT121" s="199"/>
      <c r="GVU121" s="198"/>
      <c r="GVV121" s="199"/>
      <c r="GVW121" s="198"/>
      <c r="GVX121" s="199"/>
      <c r="GVY121" s="198"/>
      <c r="GVZ121" s="199"/>
      <c r="GWA121" s="198"/>
      <c r="GWB121" s="199"/>
      <c r="GWC121" s="198"/>
      <c r="GWD121" s="199"/>
      <c r="GWE121" s="198"/>
      <c r="GWF121" s="199"/>
      <c r="GWG121" s="198"/>
      <c r="GWH121" s="199"/>
      <c r="GWI121" s="198"/>
      <c r="GWJ121" s="199"/>
      <c r="GWK121" s="198"/>
      <c r="GWL121" s="199"/>
      <c r="GWM121" s="198"/>
      <c r="GWN121" s="199"/>
      <c r="GWO121" s="198"/>
      <c r="GWP121" s="199"/>
      <c r="GWQ121" s="198"/>
      <c r="GWR121" s="199"/>
      <c r="GWS121" s="198"/>
      <c r="GWT121" s="199"/>
      <c r="GWU121" s="198"/>
      <c r="GWV121" s="199"/>
      <c r="GWW121" s="198"/>
      <c r="GWX121" s="199"/>
      <c r="GWY121" s="198"/>
      <c r="GWZ121" s="199"/>
      <c r="GXA121" s="198"/>
      <c r="GXB121" s="199"/>
      <c r="GXC121" s="198"/>
      <c r="GXD121" s="199"/>
      <c r="GXE121" s="198"/>
      <c r="GXF121" s="199"/>
      <c r="GXG121" s="198"/>
      <c r="GXH121" s="199"/>
      <c r="GXI121" s="198"/>
      <c r="GXJ121" s="199"/>
      <c r="GXK121" s="198"/>
      <c r="GXL121" s="199"/>
      <c r="GXM121" s="198"/>
      <c r="GXN121" s="199"/>
      <c r="GXO121" s="198"/>
      <c r="GXP121" s="199"/>
      <c r="GXQ121" s="198"/>
      <c r="GXR121" s="199"/>
      <c r="GXS121" s="198"/>
      <c r="GXT121" s="199"/>
      <c r="GXU121" s="198"/>
      <c r="GXV121" s="199"/>
      <c r="GXW121" s="198"/>
      <c r="GXX121" s="199"/>
      <c r="GXY121" s="198"/>
      <c r="GXZ121" s="199"/>
      <c r="GYA121" s="198"/>
      <c r="GYB121" s="199"/>
      <c r="GYC121" s="198"/>
      <c r="GYD121" s="199"/>
      <c r="GYE121" s="198"/>
      <c r="GYF121" s="199"/>
      <c r="GYG121" s="198"/>
      <c r="GYH121" s="199"/>
      <c r="GYI121" s="198"/>
      <c r="GYJ121" s="199"/>
      <c r="GYK121" s="198"/>
      <c r="GYL121" s="199"/>
      <c r="GYM121" s="198"/>
      <c r="GYN121" s="199"/>
      <c r="GYO121" s="198"/>
      <c r="GYP121" s="199"/>
      <c r="GYQ121" s="198"/>
      <c r="GYR121" s="199"/>
      <c r="GYS121" s="198"/>
      <c r="GYT121" s="199"/>
      <c r="GYU121" s="198"/>
      <c r="GYV121" s="199"/>
      <c r="GYW121" s="198"/>
      <c r="GYX121" s="199"/>
      <c r="GYY121" s="198"/>
      <c r="GYZ121" s="199"/>
      <c r="GZA121" s="198"/>
      <c r="GZB121" s="199"/>
      <c r="GZC121" s="198"/>
      <c r="GZD121" s="199"/>
      <c r="GZE121" s="198"/>
      <c r="GZF121" s="199"/>
      <c r="GZG121" s="198"/>
      <c r="GZH121" s="199"/>
      <c r="GZI121" s="198"/>
      <c r="GZJ121" s="199"/>
      <c r="GZK121" s="198"/>
      <c r="GZL121" s="199"/>
      <c r="GZM121" s="198"/>
      <c r="GZN121" s="199"/>
      <c r="GZO121" s="198"/>
      <c r="GZP121" s="199"/>
      <c r="GZQ121" s="198"/>
      <c r="GZR121" s="199"/>
      <c r="GZS121" s="198"/>
      <c r="GZT121" s="199"/>
      <c r="GZU121" s="198"/>
      <c r="GZV121" s="199"/>
      <c r="GZW121" s="198"/>
      <c r="GZX121" s="199"/>
      <c r="GZY121" s="198"/>
      <c r="GZZ121" s="199"/>
      <c r="HAA121" s="198"/>
      <c r="HAB121" s="199"/>
      <c r="HAC121" s="198"/>
      <c r="HAD121" s="199"/>
      <c r="HAE121" s="198"/>
      <c r="HAF121" s="199"/>
      <c r="HAG121" s="198"/>
      <c r="HAH121" s="199"/>
      <c r="HAI121" s="198"/>
      <c r="HAJ121" s="199"/>
      <c r="HAK121" s="198"/>
      <c r="HAL121" s="199"/>
      <c r="HAM121" s="198"/>
      <c r="HAN121" s="199"/>
      <c r="HAO121" s="198"/>
      <c r="HAP121" s="199"/>
      <c r="HAQ121" s="198"/>
      <c r="HAR121" s="199"/>
      <c r="HAS121" s="198"/>
      <c r="HAT121" s="199"/>
      <c r="HAU121" s="198"/>
      <c r="HAV121" s="199"/>
      <c r="HAW121" s="198"/>
      <c r="HAX121" s="199"/>
      <c r="HAY121" s="198"/>
      <c r="HAZ121" s="199"/>
      <c r="HBA121" s="198"/>
      <c r="HBB121" s="199"/>
      <c r="HBC121" s="198"/>
      <c r="HBD121" s="199"/>
      <c r="HBE121" s="198"/>
      <c r="HBF121" s="199"/>
      <c r="HBG121" s="198"/>
      <c r="HBH121" s="199"/>
      <c r="HBI121" s="198"/>
      <c r="HBJ121" s="199"/>
      <c r="HBK121" s="198"/>
      <c r="HBL121" s="199"/>
      <c r="HBM121" s="198"/>
      <c r="HBN121" s="199"/>
      <c r="HBO121" s="198"/>
      <c r="HBP121" s="199"/>
      <c r="HBQ121" s="198"/>
      <c r="HBR121" s="199"/>
      <c r="HBS121" s="198"/>
      <c r="HBT121" s="199"/>
      <c r="HBU121" s="198"/>
      <c r="HBV121" s="199"/>
      <c r="HBW121" s="198"/>
      <c r="HBX121" s="199"/>
      <c r="HBY121" s="198"/>
      <c r="HBZ121" s="199"/>
      <c r="HCA121" s="198"/>
      <c r="HCB121" s="199"/>
      <c r="HCC121" s="198"/>
      <c r="HCD121" s="199"/>
      <c r="HCE121" s="198"/>
      <c r="HCF121" s="199"/>
      <c r="HCG121" s="198"/>
      <c r="HCH121" s="199"/>
      <c r="HCI121" s="198"/>
      <c r="HCJ121" s="199"/>
      <c r="HCK121" s="198"/>
      <c r="HCL121" s="199"/>
      <c r="HCM121" s="198"/>
      <c r="HCN121" s="199"/>
      <c r="HCO121" s="198"/>
      <c r="HCP121" s="199"/>
      <c r="HCQ121" s="198"/>
      <c r="HCR121" s="199"/>
      <c r="HCS121" s="198"/>
      <c r="HCT121" s="199"/>
      <c r="HCU121" s="198"/>
      <c r="HCV121" s="199"/>
      <c r="HCW121" s="198"/>
      <c r="HCX121" s="199"/>
      <c r="HCY121" s="198"/>
      <c r="HCZ121" s="199"/>
      <c r="HDA121" s="198"/>
      <c r="HDB121" s="199"/>
      <c r="HDC121" s="198"/>
      <c r="HDD121" s="199"/>
      <c r="HDE121" s="198"/>
      <c r="HDF121" s="199"/>
      <c r="HDG121" s="198"/>
      <c r="HDH121" s="199"/>
      <c r="HDI121" s="198"/>
      <c r="HDJ121" s="199"/>
      <c r="HDK121" s="198"/>
      <c r="HDL121" s="199"/>
      <c r="HDM121" s="198"/>
      <c r="HDN121" s="199"/>
      <c r="HDO121" s="198"/>
      <c r="HDP121" s="199"/>
      <c r="HDQ121" s="198"/>
      <c r="HDR121" s="199"/>
      <c r="HDS121" s="198"/>
      <c r="HDT121" s="199"/>
      <c r="HDU121" s="198"/>
      <c r="HDV121" s="199"/>
      <c r="HDW121" s="198"/>
      <c r="HDX121" s="199"/>
      <c r="HDY121" s="198"/>
      <c r="HDZ121" s="199"/>
      <c r="HEA121" s="198"/>
      <c r="HEB121" s="199"/>
      <c r="HEC121" s="198"/>
      <c r="HED121" s="199"/>
      <c r="HEE121" s="198"/>
      <c r="HEF121" s="199"/>
      <c r="HEG121" s="198"/>
      <c r="HEH121" s="199"/>
      <c r="HEI121" s="198"/>
      <c r="HEJ121" s="199"/>
      <c r="HEK121" s="198"/>
      <c r="HEL121" s="199"/>
      <c r="HEM121" s="198"/>
      <c r="HEN121" s="199"/>
      <c r="HEO121" s="198"/>
      <c r="HEP121" s="199"/>
      <c r="HEQ121" s="198"/>
      <c r="HER121" s="199"/>
      <c r="HES121" s="198"/>
      <c r="HET121" s="199"/>
      <c r="HEU121" s="198"/>
      <c r="HEV121" s="199"/>
      <c r="HEW121" s="198"/>
      <c r="HEX121" s="199"/>
      <c r="HEY121" s="198"/>
      <c r="HEZ121" s="199"/>
      <c r="HFA121" s="198"/>
      <c r="HFB121" s="199"/>
      <c r="HFC121" s="198"/>
      <c r="HFD121" s="199"/>
      <c r="HFE121" s="198"/>
      <c r="HFF121" s="199"/>
      <c r="HFG121" s="198"/>
      <c r="HFH121" s="199"/>
      <c r="HFI121" s="198"/>
      <c r="HFJ121" s="199"/>
      <c r="HFK121" s="198"/>
      <c r="HFL121" s="199"/>
      <c r="HFM121" s="198"/>
      <c r="HFN121" s="199"/>
      <c r="HFO121" s="198"/>
      <c r="HFP121" s="199"/>
      <c r="HFQ121" s="198"/>
      <c r="HFR121" s="199"/>
      <c r="HFS121" s="198"/>
      <c r="HFT121" s="199"/>
      <c r="HFU121" s="198"/>
      <c r="HFV121" s="199"/>
      <c r="HFW121" s="198"/>
      <c r="HFX121" s="199"/>
      <c r="HFY121" s="198"/>
      <c r="HFZ121" s="199"/>
      <c r="HGA121" s="198"/>
      <c r="HGB121" s="199"/>
      <c r="HGC121" s="198"/>
      <c r="HGD121" s="199"/>
      <c r="HGE121" s="198"/>
      <c r="HGF121" s="199"/>
      <c r="HGG121" s="198"/>
      <c r="HGH121" s="199"/>
      <c r="HGI121" s="198"/>
      <c r="HGJ121" s="199"/>
      <c r="HGK121" s="198"/>
      <c r="HGL121" s="199"/>
      <c r="HGM121" s="198"/>
      <c r="HGN121" s="199"/>
      <c r="HGO121" s="198"/>
      <c r="HGP121" s="199"/>
      <c r="HGQ121" s="198"/>
      <c r="HGR121" s="199"/>
      <c r="HGS121" s="198"/>
      <c r="HGT121" s="199"/>
      <c r="HGU121" s="198"/>
      <c r="HGV121" s="199"/>
      <c r="HGW121" s="198"/>
      <c r="HGX121" s="199"/>
      <c r="HGY121" s="198"/>
      <c r="HGZ121" s="199"/>
      <c r="HHA121" s="198"/>
      <c r="HHB121" s="199"/>
      <c r="HHC121" s="198"/>
      <c r="HHD121" s="199"/>
      <c r="HHE121" s="198"/>
      <c r="HHF121" s="199"/>
      <c r="HHG121" s="198"/>
      <c r="HHH121" s="199"/>
      <c r="HHI121" s="198"/>
      <c r="HHJ121" s="199"/>
      <c r="HHK121" s="198"/>
      <c r="HHL121" s="199"/>
      <c r="HHM121" s="198"/>
      <c r="HHN121" s="199"/>
      <c r="HHO121" s="198"/>
      <c r="HHP121" s="199"/>
      <c r="HHQ121" s="198"/>
      <c r="HHR121" s="199"/>
      <c r="HHS121" s="198"/>
      <c r="HHT121" s="199"/>
      <c r="HHU121" s="198"/>
      <c r="HHV121" s="199"/>
      <c r="HHW121" s="198"/>
      <c r="HHX121" s="199"/>
      <c r="HHY121" s="198"/>
      <c r="HHZ121" s="199"/>
      <c r="HIA121" s="198"/>
      <c r="HIB121" s="199"/>
      <c r="HIC121" s="198"/>
      <c r="HID121" s="199"/>
      <c r="HIE121" s="198"/>
      <c r="HIF121" s="199"/>
      <c r="HIG121" s="198"/>
      <c r="HIH121" s="199"/>
      <c r="HII121" s="198"/>
      <c r="HIJ121" s="199"/>
      <c r="HIK121" s="198"/>
      <c r="HIL121" s="199"/>
      <c r="HIM121" s="198"/>
      <c r="HIN121" s="199"/>
      <c r="HIO121" s="198"/>
      <c r="HIP121" s="199"/>
      <c r="HIQ121" s="198"/>
      <c r="HIR121" s="199"/>
      <c r="HIS121" s="198"/>
      <c r="HIT121" s="199"/>
      <c r="HIU121" s="198"/>
      <c r="HIV121" s="199"/>
      <c r="HIW121" s="198"/>
      <c r="HIX121" s="199"/>
      <c r="HIY121" s="198"/>
      <c r="HIZ121" s="199"/>
      <c r="HJA121" s="198"/>
      <c r="HJB121" s="199"/>
      <c r="HJC121" s="198"/>
      <c r="HJD121" s="199"/>
      <c r="HJE121" s="198"/>
      <c r="HJF121" s="199"/>
      <c r="HJG121" s="198"/>
      <c r="HJH121" s="199"/>
      <c r="HJI121" s="198"/>
      <c r="HJJ121" s="199"/>
      <c r="HJK121" s="198"/>
      <c r="HJL121" s="199"/>
      <c r="HJM121" s="198"/>
      <c r="HJN121" s="199"/>
      <c r="HJO121" s="198"/>
      <c r="HJP121" s="199"/>
      <c r="HJQ121" s="198"/>
      <c r="HJR121" s="199"/>
      <c r="HJS121" s="198"/>
      <c r="HJT121" s="199"/>
      <c r="HJU121" s="198"/>
      <c r="HJV121" s="199"/>
      <c r="HJW121" s="198"/>
      <c r="HJX121" s="199"/>
      <c r="HJY121" s="198"/>
      <c r="HJZ121" s="199"/>
      <c r="HKA121" s="198"/>
      <c r="HKB121" s="199"/>
      <c r="HKC121" s="198"/>
      <c r="HKD121" s="199"/>
      <c r="HKE121" s="198"/>
      <c r="HKF121" s="199"/>
      <c r="HKG121" s="198"/>
      <c r="HKH121" s="199"/>
      <c r="HKI121" s="198"/>
      <c r="HKJ121" s="199"/>
      <c r="HKK121" s="198"/>
      <c r="HKL121" s="199"/>
      <c r="HKM121" s="198"/>
      <c r="HKN121" s="199"/>
      <c r="HKO121" s="198"/>
      <c r="HKP121" s="199"/>
      <c r="HKQ121" s="198"/>
      <c r="HKR121" s="199"/>
      <c r="HKS121" s="198"/>
      <c r="HKT121" s="199"/>
      <c r="HKU121" s="198"/>
      <c r="HKV121" s="199"/>
      <c r="HKW121" s="198"/>
      <c r="HKX121" s="199"/>
      <c r="HKY121" s="198"/>
      <c r="HKZ121" s="199"/>
      <c r="HLA121" s="198"/>
      <c r="HLB121" s="199"/>
      <c r="HLC121" s="198"/>
      <c r="HLD121" s="199"/>
      <c r="HLE121" s="198"/>
      <c r="HLF121" s="199"/>
      <c r="HLG121" s="198"/>
      <c r="HLH121" s="199"/>
      <c r="HLI121" s="198"/>
      <c r="HLJ121" s="199"/>
      <c r="HLK121" s="198"/>
      <c r="HLL121" s="199"/>
      <c r="HLM121" s="198"/>
      <c r="HLN121" s="199"/>
      <c r="HLO121" s="198"/>
      <c r="HLP121" s="199"/>
      <c r="HLQ121" s="198"/>
      <c r="HLR121" s="199"/>
      <c r="HLS121" s="198"/>
      <c r="HLT121" s="199"/>
      <c r="HLU121" s="198"/>
      <c r="HLV121" s="199"/>
      <c r="HLW121" s="198"/>
      <c r="HLX121" s="199"/>
      <c r="HLY121" s="198"/>
      <c r="HLZ121" s="199"/>
      <c r="HMA121" s="198"/>
      <c r="HMB121" s="199"/>
      <c r="HMC121" s="198"/>
      <c r="HMD121" s="199"/>
      <c r="HME121" s="198"/>
      <c r="HMF121" s="199"/>
      <c r="HMG121" s="198"/>
      <c r="HMH121" s="199"/>
      <c r="HMI121" s="198"/>
      <c r="HMJ121" s="199"/>
      <c r="HMK121" s="198"/>
      <c r="HML121" s="199"/>
      <c r="HMM121" s="198"/>
      <c r="HMN121" s="199"/>
      <c r="HMO121" s="198"/>
      <c r="HMP121" s="199"/>
      <c r="HMQ121" s="198"/>
      <c r="HMR121" s="199"/>
      <c r="HMS121" s="198"/>
      <c r="HMT121" s="199"/>
      <c r="HMU121" s="198"/>
      <c r="HMV121" s="199"/>
      <c r="HMW121" s="198"/>
      <c r="HMX121" s="199"/>
      <c r="HMY121" s="198"/>
      <c r="HMZ121" s="199"/>
      <c r="HNA121" s="198"/>
      <c r="HNB121" s="199"/>
      <c r="HNC121" s="198"/>
      <c r="HND121" s="199"/>
      <c r="HNE121" s="198"/>
      <c r="HNF121" s="199"/>
      <c r="HNG121" s="198"/>
      <c r="HNH121" s="199"/>
      <c r="HNI121" s="198"/>
      <c r="HNJ121" s="199"/>
      <c r="HNK121" s="198"/>
      <c r="HNL121" s="199"/>
      <c r="HNM121" s="198"/>
      <c r="HNN121" s="199"/>
      <c r="HNO121" s="198"/>
      <c r="HNP121" s="199"/>
      <c r="HNQ121" s="198"/>
      <c r="HNR121" s="199"/>
      <c r="HNS121" s="198"/>
      <c r="HNT121" s="199"/>
      <c r="HNU121" s="198"/>
      <c r="HNV121" s="199"/>
      <c r="HNW121" s="198"/>
      <c r="HNX121" s="199"/>
      <c r="HNY121" s="198"/>
      <c r="HNZ121" s="199"/>
      <c r="HOA121" s="198"/>
      <c r="HOB121" s="199"/>
      <c r="HOC121" s="198"/>
      <c r="HOD121" s="199"/>
      <c r="HOE121" s="198"/>
      <c r="HOF121" s="199"/>
      <c r="HOG121" s="198"/>
      <c r="HOH121" s="199"/>
      <c r="HOI121" s="198"/>
      <c r="HOJ121" s="199"/>
      <c r="HOK121" s="198"/>
      <c r="HOL121" s="199"/>
      <c r="HOM121" s="198"/>
      <c r="HON121" s="199"/>
      <c r="HOO121" s="198"/>
      <c r="HOP121" s="199"/>
      <c r="HOQ121" s="198"/>
      <c r="HOR121" s="199"/>
      <c r="HOS121" s="198"/>
      <c r="HOT121" s="199"/>
      <c r="HOU121" s="198"/>
      <c r="HOV121" s="199"/>
      <c r="HOW121" s="198"/>
      <c r="HOX121" s="199"/>
      <c r="HOY121" s="198"/>
      <c r="HOZ121" s="199"/>
      <c r="HPA121" s="198"/>
      <c r="HPB121" s="199"/>
      <c r="HPC121" s="198"/>
      <c r="HPD121" s="199"/>
      <c r="HPE121" s="198"/>
      <c r="HPF121" s="199"/>
      <c r="HPG121" s="198"/>
      <c r="HPH121" s="199"/>
      <c r="HPI121" s="198"/>
      <c r="HPJ121" s="199"/>
      <c r="HPK121" s="198"/>
      <c r="HPL121" s="199"/>
      <c r="HPM121" s="198"/>
      <c r="HPN121" s="199"/>
      <c r="HPO121" s="198"/>
      <c r="HPP121" s="199"/>
      <c r="HPQ121" s="198"/>
      <c r="HPR121" s="199"/>
      <c r="HPS121" s="198"/>
      <c r="HPT121" s="199"/>
      <c r="HPU121" s="198"/>
      <c r="HPV121" s="199"/>
      <c r="HPW121" s="198"/>
      <c r="HPX121" s="199"/>
      <c r="HPY121" s="198"/>
      <c r="HPZ121" s="199"/>
      <c r="HQA121" s="198"/>
      <c r="HQB121" s="199"/>
      <c r="HQC121" s="198"/>
      <c r="HQD121" s="199"/>
      <c r="HQE121" s="198"/>
      <c r="HQF121" s="199"/>
      <c r="HQG121" s="198"/>
      <c r="HQH121" s="199"/>
      <c r="HQI121" s="198"/>
      <c r="HQJ121" s="199"/>
      <c r="HQK121" s="198"/>
      <c r="HQL121" s="199"/>
      <c r="HQM121" s="198"/>
      <c r="HQN121" s="199"/>
      <c r="HQO121" s="198"/>
      <c r="HQP121" s="199"/>
      <c r="HQQ121" s="198"/>
      <c r="HQR121" s="199"/>
      <c r="HQS121" s="198"/>
      <c r="HQT121" s="199"/>
      <c r="HQU121" s="198"/>
      <c r="HQV121" s="199"/>
      <c r="HQW121" s="198"/>
      <c r="HQX121" s="199"/>
      <c r="HQY121" s="198"/>
      <c r="HQZ121" s="199"/>
      <c r="HRA121" s="198"/>
      <c r="HRB121" s="199"/>
      <c r="HRC121" s="198"/>
      <c r="HRD121" s="199"/>
      <c r="HRE121" s="198"/>
      <c r="HRF121" s="199"/>
      <c r="HRG121" s="198"/>
      <c r="HRH121" s="199"/>
      <c r="HRI121" s="198"/>
      <c r="HRJ121" s="199"/>
      <c r="HRK121" s="198"/>
      <c r="HRL121" s="199"/>
      <c r="HRM121" s="198"/>
      <c r="HRN121" s="199"/>
      <c r="HRO121" s="198"/>
      <c r="HRP121" s="199"/>
      <c r="HRQ121" s="198"/>
      <c r="HRR121" s="199"/>
      <c r="HRS121" s="198"/>
      <c r="HRT121" s="199"/>
      <c r="HRU121" s="198"/>
      <c r="HRV121" s="199"/>
      <c r="HRW121" s="198"/>
      <c r="HRX121" s="199"/>
      <c r="HRY121" s="198"/>
      <c r="HRZ121" s="199"/>
      <c r="HSA121" s="198"/>
      <c r="HSB121" s="199"/>
      <c r="HSC121" s="198"/>
      <c r="HSD121" s="199"/>
      <c r="HSE121" s="198"/>
      <c r="HSF121" s="199"/>
      <c r="HSG121" s="198"/>
      <c r="HSH121" s="199"/>
      <c r="HSI121" s="198"/>
      <c r="HSJ121" s="199"/>
      <c r="HSK121" s="198"/>
      <c r="HSL121" s="199"/>
      <c r="HSM121" s="198"/>
      <c r="HSN121" s="199"/>
      <c r="HSO121" s="198"/>
      <c r="HSP121" s="199"/>
      <c r="HSQ121" s="198"/>
      <c r="HSR121" s="199"/>
      <c r="HSS121" s="198"/>
      <c r="HST121" s="199"/>
      <c r="HSU121" s="198"/>
      <c r="HSV121" s="199"/>
      <c r="HSW121" s="198"/>
      <c r="HSX121" s="199"/>
      <c r="HSY121" s="198"/>
      <c r="HSZ121" s="199"/>
      <c r="HTA121" s="198"/>
      <c r="HTB121" s="199"/>
      <c r="HTC121" s="198"/>
      <c r="HTD121" s="199"/>
      <c r="HTE121" s="198"/>
      <c r="HTF121" s="199"/>
      <c r="HTG121" s="198"/>
      <c r="HTH121" s="199"/>
      <c r="HTI121" s="198"/>
      <c r="HTJ121" s="199"/>
      <c r="HTK121" s="198"/>
      <c r="HTL121" s="199"/>
      <c r="HTM121" s="198"/>
      <c r="HTN121" s="199"/>
      <c r="HTO121" s="198"/>
      <c r="HTP121" s="199"/>
      <c r="HTQ121" s="198"/>
      <c r="HTR121" s="199"/>
      <c r="HTS121" s="198"/>
      <c r="HTT121" s="199"/>
      <c r="HTU121" s="198"/>
      <c r="HTV121" s="199"/>
      <c r="HTW121" s="198"/>
      <c r="HTX121" s="199"/>
      <c r="HTY121" s="198"/>
      <c r="HTZ121" s="199"/>
      <c r="HUA121" s="198"/>
      <c r="HUB121" s="199"/>
      <c r="HUC121" s="198"/>
      <c r="HUD121" s="199"/>
      <c r="HUE121" s="198"/>
      <c r="HUF121" s="199"/>
      <c r="HUG121" s="198"/>
      <c r="HUH121" s="199"/>
      <c r="HUI121" s="198"/>
      <c r="HUJ121" s="199"/>
      <c r="HUK121" s="198"/>
      <c r="HUL121" s="199"/>
      <c r="HUM121" s="198"/>
      <c r="HUN121" s="199"/>
      <c r="HUO121" s="198"/>
      <c r="HUP121" s="199"/>
      <c r="HUQ121" s="198"/>
      <c r="HUR121" s="199"/>
      <c r="HUS121" s="198"/>
      <c r="HUT121" s="199"/>
      <c r="HUU121" s="198"/>
      <c r="HUV121" s="199"/>
      <c r="HUW121" s="198"/>
      <c r="HUX121" s="199"/>
      <c r="HUY121" s="198"/>
      <c r="HUZ121" s="199"/>
      <c r="HVA121" s="198"/>
      <c r="HVB121" s="199"/>
      <c r="HVC121" s="198"/>
      <c r="HVD121" s="199"/>
      <c r="HVE121" s="198"/>
      <c r="HVF121" s="199"/>
      <c r="HVG121" s="198"/>
      <c r="HVH121" s="199"/>
      <c r="HVI121" s="198"/>
      <c r="HVJ121" s="199"/>
      <c r="HVK121" s="198"/>
      <c r="HVL121" s="199"/>
      <c r="HVM121" s="198"/>
      <c r="HVN121" s="199"/>
      <c r="HVO121" s="198"/>
      <c r="HVP121" s="199"/>
      <c r="HVQ121" s="198"/>
      <c r="HVR121" s="199"/>
      <c r="HVS121" s="198"/>
      <c r="HVT121" s="199"/>
      <c r="HVU121" s="198"/>
      <c r="HVV121" s="199"/>
      <c r="HVW121" s="198"/>
      <c r="HVX121" s="199"/>
      <c r="HVY121" s="198"/>
      <c r="HVZ121" s="199"/>
      <c r="HWA121" s="198"/>
      <c r="HWB121" s="199"/>
      <c r="HWC121" s="198"/>
      <c r="HWD121" s="199"/>
      <c r="HWE121" s="198"/>
      <c r="HWF121" s="199"/>
      <c r="HWG121" s="198"/>
      <c r="HWH121" s="199"/>
      <c r="HWI121" s="198"/>
      <c r="HWJ121" s="199"/>
      <c r="HWK121" s="198"/>
      <c r="HWL121" s="199"/>
      <c r="HWM121" s="198"/>
      <c r="HWN121" s="199"/>
      <c r="HWO121" s="198"/>
      <c r="HWP121" s="199"/>
      <c r="HWQ121" s="198"/>
      <c r="HWR121" s="199"/>
      <c r="HWS121" s="198"/>
      <c r="HWT121" s="199"/>
      <c r="HWU121" s="198"/>
      <c r="HWV121" s="199"/>
      <c r="HWW121" s="198"/>
      <c r="HWX121" s="199"/>
      <c r="HWY121" s="198"/>
      <c r="HWZ121" s="199"/>
      <c r="HXA121" s="198"/>
      <c r="HXB121" s="199"/>
      <c r="HXC121" s="198"/>
      <c r="HXD121" s="199"/>
      <c r="HXE121" s="198"/>
      <c r="HXF121" s="199"/>
      <c r="HXG121" s="198"/>
      <c r="HXH121" s="199"/>
      <c r="HXI121" s="198"/>
      <c r="HXJ121" s="199"/>
      <c r="HXK121" s="198"/>
      <c r="HXL121" s="199"/>
      <c r="HXM121" s="198"/>
      <c r="HXN121" s="199"/>
      <c r="HXO121" s="198"/>
      <c r="HXP121" s="199"/>
      <c r="HXQ121" s="198"/>
      <c r="HXR121" s="199"/>
      <c r="HXS121" s="198"/>
      <c r="HXT121" s="199"/>
      <c r="HXU121" s="198"/>
      <c r="HXV121" s="199"/>
      <c r="HXW121" s="198"/>
      <c r="HXX121" s="199"/>
      <c r="HXY121" s="198"/>
      <c r="HXZ121" s="199"/>
      <c r="HYA121" s="198"/>
      <c r="HYB121" s="199"/>
      <c r="HYC121" s="198"/>
      <c r="HYD121" s="199"/>
      <c r="HYE121" s="198"/>
      <c r="HYF121" s="199"/>
      <c r="HYG121" s="198"/>
      <c r="HYH121" s="199"/>
      <c r="HYI121" s="198"/>
      <c r="HYJ121" s="199"/>
      <c r="HYK121" s="198"/>
      <c r="HYL121" s="199"/>
      <c r="HYM121" s="198"/>
      <c r="HYN121" s="199"/>
      <c r="HYO121" s="198"/>
      <c r="HYP121" s="199"/>
      <c r="HYQ121" s="198"/>
      <c r="HYR121" s="199"/>
      <c r="HYS121" s="198"/>
      <c r="HYT121" s="199"/>
      <c r="HYU121" s="198"/>
      <c r="HYV121" s="199"/>
      <c r="HYW121" s="198"/>
      <c r="HYX121" s="199"/>
      <c r="HYY121" s="198"/>
      <c r="HYZ121" s="199"/>
      <c r="HZA121" s="198"/>
      <c r="HZB121" s="199"/>
      <c r="HZC121" s="198"/>
      <c r="HZD121" s="199"/>
      <c r="HZE121" s="198"/>
      <c r="HZF121" s="199"/>
      <c r="HZG121" s="198"/>
      <c r="HZH121" s="199"/>
      <c r="HZI121" s="198"/>
      <c r="HZJ121" s="199"/>
      <c r="HZK121" s="198"/>
      <c r="HZL121" s="199"/>
      <c r="HZM121" s="198"/>
      <c r="HZN121" s="199"/>
      <c r="HZO121" s="198"/>
      <c r="HZP121" s="199"/>
      <c r="HZQ121" s="198"/>
      <c r="HZR121" s="199"/>
      <c r="HZS121" s="198"/>
      <c r="HZT121" s="199"/>
      <c r="HZU121" s="198"/>
      <c r="HZV121" s="199"/>
      <c r="HZW121" s="198"/>
      <c r="HZX121" s="199"/>
      <c r="HZY121" s="198"/>
      <c r="HZZ121" s="199"/>
      <c r="IAA121" s="198"/>
      <c r="IAB121" s="199"/>
      <c r="IAC121" s="198"/>
      <c r="IAD121" s="199"/>
      <c r="IAE121" s="198"/>
      <c r="IAF121" s="199"/>
      <c r="IAG121" s="198"/>
      <c r="IAH121" s="199"/>
      <c r="IAI121" s="198"/>
      <c r="IAJ121" s="199"/>
      <c r="IAK121" s="198"/>
      <c r="IAL121" s="199"/>
      <c r="IAM121" s="198"/>
      <c r="IAN121" s="199"/>
      <c r="IAO121" s="198"/>
      <c r="IAP121" s="199"/>
      <c r="IAQ121" s="198"/>
      <c r="IAR121" s="199"/>
      <c r="IAS121" s="198"/>
      <c r="IAT121" s="199"/>
      <c r="IAU121" s="198"/>
      <c r="IAV121" s="199"/>
      <c r="IAW121" s="198"/>
      <c r="IAX121" s="199"/>
      <c r="IAY121" s="198"/>
      <c r="IAZ121" s="199"/>
      <c r="IBA121" s="198"/>
      <c r="IBB121" s="199"/>
      <c r="IBC121" s="198"/>
      <c r="IBD121" s="199"/>
      <c r="IBE121" s="198"/>
      <c r="IBF121" s="199"/>
      <c r="IBG121" s="198"/>
      <c r="IBH121" s="199"/>
      <c r="IBI121" s="198"/>
      <c r="IBJ121" s="199"/>
      <c r="IBK121" s="198"/>
      <c r="IBL121" s="199"/>
      <c r="IBM121" s="198"/>
      <c r="IBN121" s="199"/>
      <c r="IBO121" s="198"/>
      <c r="IBP121" s="199"/>
      <c r="IBQ121" s="198"/>
      <c r="IBR121" s="199"/>
      <c r="IBS121" s="198"/>
      <c r="IBT121" s="199"/>
      <c r="IBU121" s="198"/>
      <c r="IBV121" s="199"/>
      <c r="IBW121" s="198"/>
      <c r="IBX121" s="199"/>
      <c r="IBY121" s="198"/>
      <c r="IBZ121" s="199"/>
      <c r="ICA121" s="198"/>
      <c r="ICB121" s="199"/>
      <c r="ICC121" s="198"/>
      <c r="ICD121" s="199"/>
      <c r="ICE121" s="198"/>
      <c r="ICF121" s="199"/>
      <c r="ICG121" s="198"/>
      <c r="ICH121" s="199"/>
      <c r="ICI121" s="198"/>
      <c r="ICJ121" s="199"/>
      <c r="ICK121" s="198"/>
      <c r="ICL121" s="199"/>
      <c r="ICM121" s="198"/>
      <c r="ICN121" s="199"/>
      <c r="ICO121" s="198"/>
      <c r="ICP121" s="199"/>
      <c r="ICQ121" s="198"/>
      <c r="ICR121" s="199"/>
      <c r="ICS121" s="198"/>
      <c r="ICT121" s="199"/>
      <c r="ICU121" s="198"/>
      <c r="ICV121" s="199"/>
      <c r="ICW121" s="198"/>
      <c r="ICX121" s="199"/>
      <c r="ICY121" s="198"/>
      <c r="ICZ121" s="199"/>
      <c r="IDA121" s="198"/>
      <c r="IDB121" s="199"/>
      <c r="IDC121" s="198"/>
      <c r="IDD121" s="199"/>
      <c r="IDE121" s="198"/>
      <c r="IDF121" s="199"/>
      <c r="IDG121" s="198"/>
      <c r="IDH121" s="199"/>
      <c r="IDI121" s="198"/>
      <c r="IDJ121" s="199"/>
      <c r="IDK121" s="198"/>
      <c r="IDL121" s="199"/>
      <c r="IDM121" s="198"/>
      <c r="IDN121" s="199"/>
      <c r="IDO121" s="198"/>
      <c r="IDP121" s="199"/>
      <c r="IDQ121" s="198"/>
      <c r="IDR121" s="199"/>
      <c r="IDS121" s="198"/>
      <c r="IDT121" s="199"/>
      <c r="IDU121" s="198"/>
      <c r="IDV121" s="199"/>
      <c r="IDW121" s="198"/>
      <c r="IDX121" s="199"/>
      <c r="IDY121" s="198"/>
      <c r="IDZ121" s="199"/>
      <c r="IEA121" s="198"/>
      <c r="IEB121" s="199"/>
      <c r="IEC121" s="198"/>
      <c r="IED121" s="199"/>
      <c r="IEE121" s="198"/>
      <c r="IEF121" s="199"/>
      <c r="IEG121" s="198"/>
      <c r="IEH121" s="199"/>
      <c r="IEI121" s="198"/>
      <c r="IEJ121" s="199"/>
      <c r="IEK121" s="198"/>
      <c r="IEL121" s="199"/>
      <c r="IEM121" s="198"/>
      <c r="IEN121" s="199"/>
      <c r="IEO121" s="198"/>
      <c r="IEP121" s="199"/>
      <c r="IEQ121" s="198"/>
      <c r="IER121" s="199"/>
      <c r="IES121" s="198"/>
      <c r="IET121" s="199"/>
      <c r="IEU121" s="198"/>
      <c r="IEV121" s="199"/>
      <c r="IEW121" s="198"/>
      <c r="IEX121" s="199"/>
      <c r="IEY121" s="198"/>
      <c r="IEZ121" s="199"/>
      <c r="IFA121" s="198"/>
      <c r="IFB121" s="199"/>
      <c r="IFC121" s="198"/>
      <c r="IFD121" s="199"/>
      <c r="IFE121" s="198"/>
      <c r="IFF121" s="199"/>
      <c r="IFG121" s="198"/>
      <c r="IFH121" s="199"/>
      <c r="IFI121" s="198"/>
      <c r="IFJ121" s="199"/>
      <c r="IFK121" s="198"/>
      <c r="IFL121" s="199"/>
      <c r="IFM121" s="198"/>
      <c r="IFN121" s="199"/>
      <c r="IFO121" s="198"/>
      <c r="IFP121" s="199"/>
      <c r="IFQ121" s="198"/>
      <c r="IFR121" s="199"/>
      <c r="IFS121" s="198"/>
      <c r="IFT121" s="199"/>
      <c r="IFU121" s="198"/>
      <c r="IFV121" s="199"/>
      <c r="IFW121" s="198"/>
      <c r="IFX121" s="199"/>
      <c r="IFY121" s="198"/>
      <c r="IFZ121" s="199"/>
      <c r="IGA121" s="198"/>
      <c r="IGB121" s="199"/>
      <c r="IGC121" s="198"/>
      <c r="IGD121" s="199"/>
      <c r="IGE121" s="198"/>
      <c r="IGF121" s="199"/>
      <c r="IGG121" s="198"/>
      <c r="IGH121" s="199"/>
      <c r="IGI121" s="198"/>
      <c r="IGJ121" s="199"/>
      <c r="IGK121" s="198"/>
      <c r="IGL121" s="199"/>
      <c r="IGM121" s="198"/>
      <c r="IGN121" s="199"/>
      <c r="IGO121" s="198"/>
      <c r="IGP121" s="199"/>
      <c r="IGQ121" s="198"/>
      <c r="IGR121" s="199"/>
      <c r="IGS121" s="198"/>
      <c r="IGT121" s="199"/>
      <c r="IGU121" s="198"/>
      <c r="IGV121" s="199"/>
      <c r="IGW121" s="198"/>
      <c r="IGX121" s="199"/>
      <c r="IGY121" s="198"/>
      <c r="IGZ121" s="199"/>
      <c r="IHA121" s="198"/>
      <c r="IHB121" s="199"/>
      <c r="IHC121" s="198"/>
      <c r="IHD121" s="199"/>
      <c r="IHE121" s="198"/>
      <c r="IHF121" s="199"/>
      <c r="IHG121" s="198"/>
      <c r="IHH121" s="199"/>
      <c r="IHI121" s="198"/>
      <c r="IHJ121" s="199"/>
      <c r="IHK121" s="198"/>
      <c r="IHL121" s="199"/>
      <c r="IHM121" s="198"/>
      <c r="IHN121" s="199"/>
      <c r="IHO121" s="198"/>
      <c r="IHP121" s="199"/>
      <c r="IHQ121" s="198"/>
      <c r="IHR121" s="199"/>
      <c r="IHS121" s="198"/>
      <c r="IHT121" s="199"/>
      <c r="IHU121" s="198"/>
      <c r="IHV121" s="199"/>
      <c r="IHW121" s="198"/>
      <c r="IHX121" s="199"/>
      <c r="IHY121" s="198"/>
      <c r="IHZ121" s="199"/>
      <c r="IIA121" s="198"/>
      <c r="IIB121" s="199"/>
      <c r="IIC121" s="198"/>
      <c r="IID121" s="199"/>
      <c r="IIE121" s="198"/>
      <c r="IIF121" s="199"/>
      <c r="IIG121" s="198"/>
      <c r="IIH121" s="199"/>
      <c r="III121" s="198"/>
      <c r="IIJ121" s="199"/>
      <c r="IIK121" s="198"/>
      <c r="IIL121" s="199"/>
      <c r="IIM121" s="198"/>
      <c r="IIN121" s="199"/>
      <c r="IIO121" s="198"/>
      <c r="IIP121" s="199"/>
      <c r="IIQ121" s="198"/>
      <c r="IIR121" s="199"/>
      <c r="IIS121" s="198"/>
      <c r="IIT121" s="199"/>
      <c r="IIU121" s="198"/>
      <c r="IIV121" s="199"/>
      <c r="IIW121" s="198"/>
      <c r="IIX121" s="199"/>
      <c r="IIY121" s="198"/>
      <c r="IIZ121" s="199"/>
      <c r="IJA121" s="198"/>
      <c r="IJB121" s="199"/>
      <c r="IJC121" s="198"/>
      <c r="IJD121" s="199"/>
      <c r="IJE121" s="198"/>
      <c r="IJF121" s="199"/>
      <c r="IJG121" s="198"/>
      <c r="IJH121" s="199"/>
      <c r="IJI121" s="198"/>
      <c r="IJJ121" s="199"/>
      <c r="IJK121" s="198"/>
      <c r="IJL121" s="199"/>
      <c r="IJM121" s="198"/>
      <c r="IJN121" s="199"/>
      <c r="IJO121" s="198"/>
      <c r="IJP121" s="199"/>
      <c r="IJQ121" s="198"/>
      <c r="IJR121" s="199"/>
      <c r="IJS121" s="198"/>
      <c r="IJT121" s="199"/>
      <c r="IJU121" s="198"/>
      <c r="IJV121" s="199"/>
      <c r="IJW121" s="198"/>
      <c r="IJX121" s="199"/>
      <c r="IJY121" s="198"/>
      <c r="IJZ121" s="199"/>
      <c r="IKA121" s="198"/>
      <c r="IKB121" s="199"/>
      <c r="IKC121" s="198"/>
      <c r="IKD121" s="199"/>
      <c r="IKE121" s="198"/>
      <c r="IKF121" s="199"/>
      <c r="IKG121" s="198"/>
      <c r="IKH121" s="199"/>
      <c r="IKI121" s="198"/>
      <c r="IKJ121" s="199"/>
      <c r="IKK121" s="198"/>
      <c r="IKL121" s="199"/>
      <c r="IKM121" s="198"/>
      <c r="IKN121" s="199"/>
      <c r="IKO121" s="198"/>
      <c r="IKP121" s="199"/>
      <c r="IKQ121" s="198"/>
      <c r="IKR121" s="199"/>
      <c r="IKS121" s="198"/>
      <c r="IKT121" s="199"/>
      <c r="IKU121" s="198"/>
      <c r="IKV121" s="199"/>
      <c r="IKW121" s="198"/>
      <c r="IKX121" s="199"/>
      <c r="IKY121" s="198"/>
      <c r="IKZ121" s="199"/>
      <c r="ILA121" s="198"/>
      <c r="ILB121" s="199"/>
      <c r="ILC121" s="198"/>
      <c r="ILD121" s="199"/>
      <c r="ILE121" s="198"/>
      <c r="ILF121" s="199"/>
      <c r="ILG121" s="198"/>
      <c r="ILH121" s="199"/>
      <c r="ILI121" s="198"/>
      <c r="ILJ121" s="199"/>
      <c r="ILK121" s="198"/>
      <c r="ILL121" s="199"/>
      <c r="ILM121" s="198"/>
      <c r="ILN121" s="199"/>
      <c r="ILO121" s="198"/>
      <c r="ILP121" s="199"/>
      <c r="ILQ121" s="198"/>
      <c r="ILR121" s="199"/>
      <c r="ILS121" s="198"/>
      <c r="ILT121" s="199"/>
      <c r="ILU121" s="198"/>
      <c r="ILV121" s="199"/>
      <c r="ILW121" s="198"/>
      <c r="ILX121" s="199"/>
      <c r="ILY121" s="198"/>
      <c r="ILZ121" s="199"/>
      <c r="IMA121" s="198"/>
      <c r="IMB121" s="199"/>
      <c r="IMC121" s="198"/>
      <c r="IMD121" s="199"/>
      <c r="IME121" s="198"/>
      <c r="IMF121" s="199"/>
      <c r="IMG121" s="198"/>
      <c r="IMH121" s="199"/>
      <c r="IMI121" s="198"/>
      <c r="IMJ121" s="199"/>
      <c r="IMK121" s="198"/>
      <c r="IML121" s="199"/>
      <c r="IMM121" s="198"/>
      <c r="IMN121" s="199"/>
      <c r="IMO121" s="198"/>
      <c r="IMP121" s="199"/>
      <c r="IMQ121" s="198"/>
      <c r="IMR121" s="199"/>
      <c r="IMS121" s="198"/>
      <c r="IMT121" s="199"/>
      <c r="IMU121" s="198"/>
      <c r="IMV121" s="199"/>
      <c r="IMW121" s="198"/>
      <c r="IMX121" s="199"/>
      <c r="IMY121" s="198"/>
      <c r="IMZ121" s="199"/>
      <c r="INA121" s="198"/>
      <c r="INB121" s="199"/>
      <c r="INC121" s="198"/>
      <c r="IND121" s="199"/>
      <c r="INE121" s="198"/>
      <c r="INF121" s="199"/>
      <c r="ING121" s="198"/>
      <c r="INH121" s="199"/>
      <c r="INI121" s="198"/>
      <c r="INJ121" s="199"/>
      <c r="INK121" s="198"/>
      <c r="INL121" s="199"/>
      <c r="INM121" s="198"/>
      <c r="INN121" s="199"/>
      <c r="INO121" s="198"/>
      <c r="INP121" s="199"/>
      <c r="INQ121" s="198"/>
      <c r="INR121" s="199"/>
      <c r="INS121" s="198"/>
      <c r="INT121" s="199"/>
      <c r="INU121" s="198"/>
      <c r="INV121" s="199"/>
      <c r="INW121" s="198"/>
      <c r="INX121" s="199"/>
      <c r="INY121" s="198"/>
      <c r="INZ121" s="199"/>
      <c r="IOA121" s="198"/>
      <c r="IOB121" s="199"/>
      <c r="IOC121" s="198"/>
      <c r="IOD121" s="199"/>
      <c r="IOE121" s="198"/>
      <c r="IOF121" s="199"/>
      <c r="IOG121" s="198"/>
      <c r="IOH121" s="199"/>
      <c r="IOI121" s="198"/>
      <c r="IOJ121" s="199"/>
      <c r="IOK121" s="198"/>
      <c r="IOL121" s="199"/>
      <c r="IOM121" s="198"/>
      <c r="ION121" s="199"/>
      <c r="IOO121" s="198"/>
      <c r="IOP121" s="199"/>
      <c r="IOQ121" s="198"/>
      <c r="IOR121" s="199"/>
      <c r="IOS121" s="198"/>
      <c r="IOT121" s="199"/>
      <c r="IOU121" s="198"/>
      <c r="IOV121" s="199"/>
      <c r="IOW121" s="198"/>
      <c r="IOX121" s="199"/>
      <c r="IOY121" s="198"/>
      <c r="IOZ121" s="199"/>
      <c r="IPA121" s="198"/>
      <c r="IPB121" s="199"/>
      <c r="IPC121" s="198"/>
      <c r="IPD121" s="199"/>
      <c r="IPE121" s="198"/>
      <c r="IPF121" s="199"/>
      <c r="IPG121" s="198"/>
      <c r="IPH121" s="199"/>
      <c r="IPI121" s="198"/>
      <c r="IPJ121" s="199"/>
      <c r="IPK121" s="198"/>
      <c r="IPL121" s="199"/>
      <c r="IPM121" s="198"/>
      <c r="IPN121" s="199"/>
      <c r="IPO121" s="198"/>
      <c r="IPP121" s="199"/>
      <c r="IPQ121" s="198"/>
      <c r="IPR121" s="199"/>
      <c r="IPS121" s="198"/>
      <c r="IPT121" s="199"/>
      <c r="IPU121" s="198"/>
      <c r="IPV121" s="199"/>
      <c r="IPW121" s="198"/>
      <c r="IPX121" s="199"/>
      <c r="IPY121" s="198"/>
      <c r="IPZ121" s="199"/>
      <c r="IQA121" s="198"/>
      <c r="IQB121" s="199"/>
      <c r="IQC121" s="198"/>
      <c r="IQD121" s="199"/>
      <c r="IQE121" s="198"/>
      <c r="IQF121" s="199"/>
      <c r="IQG121" s="198"/>
      <c r="IQH121" s="199"/>
      <c r="IQI121" s="198"/>
      <c r="IQJ121" s="199"/>
      <c r="IQK121" s="198"/>
      <c r="IQL121" s="199"/>
      <c r="IQM121" s="198"/>
      <c r="IQN121" s="199"/>
      <c r="IQO121" s="198"/>
      <c r="IQP121" s="199"/>
      <c r="IQQ121" s="198"/>
      <c r="IQR121" s="199"/>
      <c r="IQS121" s="198"/>
      <c r="IQT121" s="199"/>
      <c r="IQU121" s="198"/>
      <c r="IQV121" s="199"/>
      <c r="IQW121" s="198"/>
      <c r="IQX121" s="199"/>
      <c r="IQY121" s="198"/>
      <c r="IQZ121" s="199"/>
      <c r="IRA121" s="198"/>
      <c r="IRB121" s="199"/>
      <c r="IRC121" s="198"/>
      <c r="IRD121" s="199"/>
      <c r="IRE121" s="198"/>
      <c r="IRF121" s="199"/>
      <c r="IRG121" s="198"/>
      <c r="IRH121" s="199"/>
      <c r="IRI121" s="198"/>
      <c r="IRJ121" s="199"/>
      <c r="IRK121" s="198"/>
      <c r="IRL121" s="199"/>
      <c r="IRM121" s="198"/>
      <c r="IRN121" s="199"/>
      <c r="IRO121" s="198"/>
      <c r="IRP121" s="199"/>
      <c r="IRQ121" s="198"/>
      <c r="IRR121" s="199"/>
      <c r="IRS121" s="198"/>
      <c r="IRT121" s="199"/>
      <c r="IRU121" s="198"/>
      <c r="IRV121" s="199"/>
      <c r="IRW121" s="198"/>
      <c r="IRX121" s="199"/>
      <c r="IRY121" s="198"/>
      <c r="IRZ121" s="199"/>
      <c r="ISA121" s="198"/>
      <c r="ISB121" s="199"/>
      <c r="ISC121" s="198"/>
      <c r="ISD121" s="199"/>
      <c r="ISE121" s="198"/>
      <c r="ISF121" s="199"/>
      <c r="ISG121" s="198"/>
      <c r="ISH121" s="199"/>
      <c r="ISI121" s="198"/>
      <c r="ISJ121" s="199"/>
      <c r="ISK121" s="198"/>
      <c r="ISL121" s="199"/>
      <c r="ISM121" s="198"/>
      <c r="ISN121" s="199"/>
      <c r="ISO121" s="198"/>
      <c r="ISP121" s="199"/>
      <c r="ISQ121" s="198"/>
      <c r="ISR121" s="199"/>
      <c r="ISS121" s="198"/>
      <c r="IST121" s="199"/>
      <c r="ISU121" s="198"/>
      <c r="ISV121" s="199"/>
      <c r="ISW121" s="198"/>
      <c r="ISX121" s="199"/>
      <c r="ISY121" s="198"/>
      <c r="ISZ121" s="199"/>
      <c r="ITA121" s="198"/>
      <c r="ITB121" s="199"/>
      <c r="ITC121" s="198"/>
      <c r="ITD121" s="199"/>
      <c r="ITE121" s="198"/>
      <c r="ITF121" s="199"/>
      <c r="ITG121" s="198"/>
      <c r="ITH121" s="199"/>
      <c r="ITI121" s="198"/>
      <c r="ITJ121" s="199"/>
      <c r="ITK121" s="198"/>
      <c r="ITL121" s="199"/>
      <c r="ITM121" s="198"/>
      <c r="ITN121" s="199"/>
      <c r="ITO121" s="198"/>
      <c r="ITP121" s="199"/>
      <c r="ITQ121" s="198"/>
      <c r="ITR121" s="199"/>
      <c r="ITS121" s="198"/>
      <c r="ITT121" s="199"/>
      <c r="ITU121" s="198"/>
      <c r="ITV121" s="199"/>
      <c r="ITW121" s="198"/>
      <c r="ITX121" s="199"/>
      <c r="ITY121" s="198"/>
      <c r="ITZ121" s="199"/>
      <c r="IUA121" s="198"/>
      <c r="IUB121" s="199"/>
      <c r="IUC121" s="198"/>
      <c r="IUD121" s="199"/>
      <c r="IUE121" s="198"/>
      <c r="IUF121" s="199"/>
      <c r="IUG121" s="198"/>
      <c r="IUH121" s="199"/>
      <c r="IUI121" s="198"/>
      <c r="IUJ121" s="199"/>
      <c r="IUK121" s="198"/>
      <c r="IUL121" s="199"/>
      <c r="IUM121" s="198"/>
      <c r="IUN121" s="199"/>
      <c r="IUO121" s="198"/>
      <c r="IUP121" s="199"/>
      <c r="IUQ121" s="198"/>
      <c r="IUR121" s="199"/>
      <c r="IUS121" s="198"/>
      <c r="IUT121" s="199"/>
      <c r="IUU121" s="198"/>
      <c r="IUV121" s="199"/>
      <c r="IUW121" s="198"/>
      <c r="IUX121" s="199"/>
      <c r="IUY121" s="198"/>
      <c r="IUZ121" s="199"/>
      <c r="IVA121" s="198"/>
      <c r="IVB121" s="199"/>
      <c r="IVC121" s="198"/>
      <c r="IVD121" s="199"/>
      <c r="IVE121" s="198"/>
      <c r="IVF121" s="199"/>
      <c r="IVG121" s="198"/>
      <c r="IVH121" s="199"/>
      <c r="IVI121" s="198"/>
      <c r="IVJ121" s="199"/>
      <c r="IVK121" s="198"/>
      <c r="IVL121" s="199"/>
      <c r="IVM121" s="198"/>
      <c r="IVN121" s="199"/>
      <c r="IVO121" s="198"/>
      <c r="IVP121" s="199"/>
      <c r="IVQ121" s="198"/>
      <c r="IVR121" s="199"/>
      <c r="IVS121" s="198"/>
      <c r="IVT121" s="199"/>
      <c r="IVU121" s="198"/>
      <c r="IVV121" s="199"/>
      <c r="IVW121" s="198"/>
      <c r="IVX121" s="199"/>
      <c r="IVY121" s="198"/>
      <c r="IVZ121" s="199"/>
      <c r="IWA121" s="198"/>
      <c r="IWB121" s="199"/>
      <c r="IWC121" s="198"/>
      <c r="IWD121" s="199"/>
      <c r="IWE121" s="198"/>
      <c r="IWF121" s="199"/>
      <c r="IWG121" s="198"/>
      <c r="IWH121" s="199"/>
      <c r="IWI121" s="198"/>
      <c r="IWJ121" s="199"/>
      <c r="IWK121" s="198"/>
      <c r="IWL121" s="199"/>
      <c r="IWM121" s="198"/>
      <c r="IWN121" s="199"/>
      <c r="IWO121" s="198"/>
      <c r="IWP121" s="199"/>
      <c r="IWQ121" s="198"/>
      <c r="IWR121" s="199"/>
      <c r="IWS121" s="198"/>
      <c r="IWT121" s="199"/>
      <c r="IWU121" s="198"/>
      <c r="IWV121" s="199"/>
      <c r="IWW121" s="198"/>
      <c r="IWX121" s="199"/>
      <c r="IWY121" s="198"/>
      <c r="IWZ121" s="199"/>
      <c r="IXA121" s="198"/>
      <c r="IXB121" s="199"/>
      <c r="IXC121" s="198"/>
      <c r="IXD121" s="199"/>
      <c r="IXE121" s="198"/>
      <c r="IXF121" s="199"/>
      <c r="IXG121" s="198"/>
      <c r="IXH121" s="199"/>
      <c r="IXI121" s="198"/>
      <c r="IXJ121" s="199"/>
      <c r="IXK121" s="198"/>
      <c r="IXL121" s="199"/>
      <c r="IXM121" s="198"/>
      <c r="IXN121" s="199"/>
      <c r="IXO121" s="198"/>
      <c r="IXP121" s="199"/>
      <c r="IXQ121" s="198"/>
      <c r="IXR121" s="199"/>
      <c r="IXS121" s="198"/>
      <c r="IXT121" s="199"/>
      <c r="IXU121" s="198"/>
      <c r="IXV121" s="199"/>
      <c r="IXW121" s="198"/>
      <c r="IXX121" s="199"/>
      <c r="IXY121" s="198"/>
      <c r="IXZ121" s="199"/>
      <c r="IYA121" s="198"/>
      <c r="IYB121" s="199"/>
      <c r="IYC121" s="198"/>
      <c r="IYD121" s="199"/>
      <c r="IYE121" s="198"/>
      <c r="IYF121" s="199"/>
      <c r="IYG121" s="198"/>
      <c r="IYH121" s="199"/>
      <c r="IYI121" s="198"/>
      <c r="IYJ121" s="199"/>
      <c r="IYK121" s="198"/>
      <c r="IYL121" s="199"/>
      <c r="IYM121" s="198"/>
      <c r="IYN121" s="199"/>
      <c r="IYO121" s="198"/>
      <c r="IYP121" s="199"/>
      <c r="IYQ121" s="198"/>
      <c r="IYR121" s="199"/>
      <c r="IYS121" s="198"/>
      <c r="IYT121" s="199"/>
      <c r="IYU121" s="198"/>
      <c r="IYV121" s="199"/>
      <c r="IYW121" s="198"/>
      <c r="IYX121" s="199"/>
      <c r="IYY121" s="198"/>
      <c r="IYZ121" s="199"/>
      <c r="IZA121" s="198"/>
      <c r="IZB121" s="199"/>
      <c r="IZC121" s="198"/>
      <c r="IZD121" s="199"/>
      <c r="IZE121" s="198"/>
      <c r="IZF121" s="199"/>
      <c r="IZG121" s="198"/>
      <c r="IZH121" s="199"/>
      <c r="IZI121" s="198"/>
      <c r="IZJ121" s="199"/>
      <c r="IZK121" s="198"/>
      <c r="IZL121" s="199"/>
      <c r="IZM121" s="198"/>
      <c r="IZN121" s="199"/>
      <c r="IZO121" s="198"/>
      <c r="IZP121" s="199"/>
      <c r="IZQ121" s="198"/>
      <c r="IZR121" s="199"/>
      <c r="IZS121" s="198"/>
      <c r="IZT121" s="199"/>
      <c r="IZU121" s="198"/>
      <c r="IZV121" s="199"/>
      <c r="IZW121" s="198"/>
      <c r="IZX121" s="199"/>
      <c r="IZY121" s="198"/>
      <c r="IZZ121" s="199"/>
      <c r="JAA121" s="198"/>
      <c r="JAB121" s="199"/>
      <c r="JAC121" s="198"/>
      <c r="JAD121" s="199"/>
      <c r="JAE121" s="198"/>
      <c r="JAF121" s="199"/>
      <c r="JAG121" s="198"/>
      <c r="JAH121" s="199"/>
      <c r="JAI121" s="198"/>
      <c r="JAJ121" s="199"/>
      <c r="JAK121" s="198"/>
      <c r="JAL121" s="199"/>
      <c r="JAM121" s="198"/>
      <c r="JAN121" s="199"/>
      <c r="JAO121" s="198"/>
      <c r="JAP121" s="199"/>
      <c r="JAQ121" s="198"/>
      <c r="JAR121" s="199"/>
      <c r="JAS121" s="198"/>
      <c r="JAT121" s="199"/>
      <c r="JAU121" s="198"/>
      <c r="JAV121" s="199"/>
      <c r="JAW121" s="198"/>
      <c r="JAX121" s="199"/>
      <c r="JAY121" s="198"/>
      <c r="JAZ121" s="199"/>
      <c r="JBA121" s="198"/>
      <c r="JBB121" s="199"/>
      <c r="JBC121" s="198"/>
      <c r="JBD121" s="199"/>
      <c r="JBE121" s="198"/>
      <c r="JBF121" s="199"/>
      <c r="JBG121" s="198"/>
      <c r="JBH121" s="199"/>
      <c r="JBI121" s="198"/>
      <c r="JBJ121" s="199"/>
      <c r="JBK121" s="198"/>
      <c r="JBL121" s="199"/>
      <c r="JBM121" s="198"/>
      <c r="JBN121" s="199"/>
      <c r="JBO121" s="198"/>
      <c r="JBP121" s="199"/>
      <c r="JBQ121" s="198"/>
      <c r="JBR121" s="199"/>
      <c r="JBS121" s="198"/>
      <c r="JBT121" s="199"/>
      <c r="JBU121" s="198"/>
      <c r="JBV121" s="199"/>
      <c r="JBW121" s="198"/>
      <c r="JBX121" s="199"/>
      <c r="JBY121" s="198"/>
      <c r="JBZ121" s="199"/>
      <c r="JCA121" s="198"/>
      <c r="JCB121" s="199"/>
      <c r="JCC121" s="198"/>
      <c r="JCD121" s="199"/>
      <c r="JCE121" s="198"/>
      <c r="JCF121" s="199"/>
      <c r="JCG121" s="198"/>
      <c r="JCH121" s="199"/>
      <c r="JCI121" s="198"/>
      <c r="JCJ121" s="199"/>
      <c r="JCK121" s="198"/>
      <c r="JCL121" s="199"/>
      <c r="JCM121" s="198"/>
      <c r="JCN121" s="199"/>
      <c r="JCO121" s="198"/>
      <c r="JCP121" s="199"/>
      <c r="JCQ121" s="198"/>
      <c r="JCR121" s="199"/>
      <c r="JCS121" s="198"/>
      <c r="JCT121" s="199"/>
      <c r="JCU121" s="198"/>
      <c r="JCV121" s="199"/>
      <c r="JCW121" s="198"/>
      <c r="JCX121" s="199"/>
      <c r="JCY121" s="198"/>
      <c r="JCZ121" s="199"/>
      <c r="JDA121" s="198"/>
      <c r="JDB121" s="199"/>
      <c r="JDC121" s="198"/>
      <c r="JDD121" s="199"/>
      <c r="JDE121" s="198"/>
      <c r="JDF121" s="199"/>
      <c r="JDG121" s="198"/>
      <c r="JDH121" s="199"/>
      <c r="JDI121" s="198"/>
      <c r="JDJ121" s="199"/>
      <c r="JDK121" s="198"/>
      <c r="JDL121" s="199"/>
      <c r="JDM121" s="198"/>
      <c r="JDN121" s="199"/>
      <c r="JDO121" s="198"/>
      <c r="JDP121" s="199"/>
      <c r="JDQ121" s="198"/>
      <c r="JDR121" s="199"/>
      <c r="JDS121" s="198"/>
      <c r="JDT121" s="199"/>
      <c r="JDU121" s="198"/>
      <c r="JDV121" s="199"/>
      <c r="JDW121" s="198"/>
      <c r="JDX121" s="199"/>
      <c r="JDY121" s="198"/>
      <c r="JDZ121" s="199"/>
      <c r="JEA121" s="198"/>
      <c r="JEB121" s="199"/>
      <c r="JEC121" s="198"/>
      <c r="JED121" s="199"/>
      <c r="JEE121" s="198"/>
      <c r="JEF121" s="199"/>
      <c r="JEG121" s="198"/>
      <c r="JEH121" s="199"/>
      <c r="JEI121" s="198"/>
      <c r="JEJ121" s="199"/>
      <c r="JEK121" s="198"/>
      <c r="JEL121" s="199"/>
      <c r="JEM121" s="198"/>
      <c r="JEN121" s="199"/>
      <c r="JEO121" s="198"/>
      <c r="JEP121" s="199"/>
      <c r="JEQ121" s="198"/>
      <c r="JER121" s="199"/>
      <c r="JES121" s="198"/>
      <c r="JET121" s="199"/>
      <c r="JEU121" s="198"/>
      <c r="JEV121" s="199"/>
      <c r="JEW121" s="198"/>
      <c r="JEX121" s="199"/>
      <c r="JEY121" s="198"/>
      <c r="JEZ121" s="199"/>
      <c r="JFA121" s="198"/>
      <c r="JFB121" s="199"/>
      <c r="JFC121" s="198"/>
      <c r="JFD121" s="199"/>
      <c r="JFE121" s="198"/>
      <c r="JFF121" s="199"/>
      <c r="JFG121" s="198"/>
      <c r="JFH121" s="199"/>
      <c r="JFI121" s="198"/>
      <c r="JFJ121" s="199"/>
      <c r="JFK121" s="198"/>
      <c r="JFL121" s="199"/>
      <c r="JFM121" s="198"/>
      <c r="JFN121" s="199"/>
      <c r="JFO121" s="198"/>
      <c r="JFP121" s="199"/>
      <c r="JFQ121" s="198"/>
      <c r="JFR121" s="199"/>
      <c r="JFS121" s="198"/>
      <c r="JFT121" s="199"/>
      <c r="JFU121" s="198"/>
      <c r="JFV121" s="199"/>
      <c r="JFW121" s="198"/>
      <c r="JFX121" s="199"/>
      <c r="JFY121" s="198"/>
      <c r="JFZ121" s="199"/>
      <c r="JGA121" s="198"/>
      <c r="JGB121" s="199"/>
      <c r="JGC121" s="198"/>
      <c r="JGD121" s="199"/>
      <c r="JGE121" s="198"/>
      <c r="JGF121" s="199"/>
      <c r="JGG121" s="198"/>
      <c r="JGH121" s="199"/>
      <c r="JGI121" s="198"/>
      <c r="JGJ121" s="199"/>
      <c r="JGK121" s="198"/>
      <c r="JGL121" s="199"/>
      <c r="JGM121" s="198"/>
      <c r="JGN121" s="199"/>
      <c r="JGO121" s="198"/>
      <c r="JGP121" s="199"/>
      <c r="JGQ121" s="198"/>
      <c r="JGR121" s="199"/>
      <c r="JGS121" s="198"/>
      <c r="JGT121" s="199"/>
      <c r="JGU121" s="198"/>
      <c r="JGV121" s="199"/>
      <c r="JGW121" s="198"/>
      <c r="JGX121" s="199"/>
      <c r="JGY121" s="198"/>
      <c r="JGZ121" s="199"/>
      <c r="JHA121" s="198"/>
      <c r="JHB121" s="199"/>
      <c r="JHC121" s="198"/>
      <c r="JHD121" s="199"/>
      <c r="JHE121" s="198"/>
      <c r="JHF121" s="199"/>
      <c r="JHG121" s="198"/>
      <c r="JHH121" s="199"/>
      <c r="JHI121" s="198"/>
      <c r="JHJ121" s="199"/>
      <c r="JHK121" s="198"/>
      <c r="JHL121" s="199"/>
      <c r="JHM121" s="198"/>
      <c r="JHN121" s="199"/>
      <c r="JHO121" s="198"/>
      <c r="JHP121" s="199"/>
      <c r="JHQ121" s="198"/>
      <c r="JHR121" s="199"/>
      <c r="JHS121" s="198"/>
      <c r="JHT121" s="199"/>
      <c r="JHU121" s="198"/>
      <c r="JHV121" s="199"/>
      <c r="JHW121" s="198"/>
      <c r="JHX121" s="199"/>
      <c r="JHY121" s="198"/>
      <c r="JHZ121" s="199"/>
      <c r="JIA121" s="198"/>
      <c r="JIB121" s="199"/>
      <c r="JIC121" s="198"/>
      <c r="JID121" s="199"/>
      <c r="JIE121" s="198"/>
      <c r="JIF121" s="199"/>
      <c r="JIG121" s="198"/>
      <c r="JIH121" s="199"/>
      <c r="JII121" s="198"/>
      <c r="JIJ121" s="199"/>
      <c r="JIK121" s="198"/>
      <c r="JIL121" s="199"/>
      <c r="JIM121" s="198"/>
      <c r="JIN121" s="199"/>
      <c r="JIO121" s="198"/>
      <c r="JIP121" s="199"/>
      <c r="JIQ121" s="198"/>
      <c r="JIR121" s="199"/>
      <c r="JIS121" s="198"/>
      <c r="JIT121" s="199"/>
      <c r="JIU121" s="198"/>
      <c r="JIV121" s="199"/>
      <c r="JIW121" s="198"/>
      <c r="JIX121" s="199"/>
      <c r="JIY121" s="198"/>
      <c r="JIZ121" s="199"/>
      <c r="JJA121" s="198"/>
      <c r="JJB121" s="199"/>
      <c r="JJC121" s="198"/>
      <c r="JJD121" s="199"/>
      <c r="JJE121" s="198"/>
      <c r="JJF121" s="199"/>
      <c r="JJG121" s="198"/>
      <c r="JJH121" s="199"/>
      <c r="JJI121" s="198"/>
      <c r="JJJ121" s="199"/>
      <c r="JJK121" s="198"/>
      <c r="JJL121" s="199"/>
      <c r="JJM121" s="198"/>
      <c r="JJN121" s="199"/>
      <c r="JJO121" s="198"/>
      <c r="JJP121" s="199"/>
      <c r="JJQ121" s="198"/>
      <c r="JJR121" s="199"/>
      <c r="JJS121" s="198"/>
      <c r="JJT121" s="199"/>
      <c r="JJU121" s="198"/>
      <c r="JJV121" s="199"/>
      <c r="JJW121" s="198"/>
      <c r="JJX121" s="199"/>
      <c r="JJY121" s="198"/>
      <c r="JJZ121" s="199"/>
      <c r="JKA121" s="198"/>
      <c r="JKB121" s="199"/>
      <c r="JKC121" s="198"/>
      <c r="JKD121" s="199"/>
      <c r="JKE121" s="198"/>
      <c r="JKF121" s="199"/>
      <c r="JKG121" s="198"/>
      <c r="JKH121" s="199"/>
      <c r="JKI121" s="198"/>
      <c r="JKJ121" s="199"/>
      <c r="JKK121" s="198"/>
      <c r="JKL121" s="199"/>
      <c r="JKM121" s="198"/>
      <c r="JKN121" s="199"/>
      <c r="JKO121" s="198"/>
      <c r="JKP121" s="199"/>
      <c r="JKQ121" s="198"/>
      <c r="JKR121" s="199"/>
      <c r="JKS121" s="198"/>
      <c r="JKT121" s="199"/>
      <c r="JKU121" s="198"/>
      <c r="JKV121" s="199"/>
      <c r="JKW121" s="198"/>
      <c r="JKX121" s="199"/>
      <c r="JKY121" s="198"/>
      <c r="JKZ121" s="199"/>
      <c r="JLA121" s="198"/>
      <c r="JLB121" s="199"/>
      <c r="JLC121" s="198"/>
      <c r="JLD121" s="199"/>
      <c r="JLE121" s="198"/>
      <c r="JLF121" s="199"/>
      <c r="JLG121" s="198"/>
      <c r="JLH121" s="199"/>
      <c r="JLI121" s="198"/>
      <c r="JLJ121" s="199"/>
      <c r="JLK121" s="198"/>
      <c r="JLL121" s="199"/>
      <c r="JLM121" s="198"/>
      <c r="JLN121" s="199"/>
      <c r="JLO121" s="198"/>
      <c r="JLP121" s="199"/>
      <c r="JLQ121" s="198"/>
      <c r="JLR121" s="199"/>
      <c r="JLS121" s="198"/>
      <c r="JLT121" s="199"/>
      <c r="JLU121" s="198"/>
      <c r="JLV121" s="199"/>
      <c r="JLW121" s="198"/>
      <c r="JLX121" s="199"/>
      <c r="JLY121" s="198"/>
      <c r="JLZ121" s="199"/>
      <c r="JMA121" s="198"/>
      <c r="JMB121" s="199"/>
      <c r="JMC121" s="198"/>
      <c r="JMD121" s="199"/>
      <c r="JME121" s="198"/>
      <c r="JMF121" s="199"/>
      <c r="JMG121" s="198"/>
      <c r="JMH121" s="199"/>
      <c r="JMI121" s="198"/>
      <c r="JMJ121" s="199"/>
      <c r="JMK121" s="198"/>
      <c r="JML121" s="199"/>
      <c r="JMM121" s="198"/>
      <c r="JMN121" s="199"/>
      <c r="JMO121" s="198"/>
      <c r="JMP121" s="199"/>
      <c r="JMQ121" s="198"/>
      <c r="JMR121" s="199"/>
      <c r="JMS121" s="198"/>
      <c r="JMT121" s="199"/>
      <c r="JMU121" s="198"/>
      <c r="JMV121" s="199"/>
      <c r="JMW121" s="198"/>
      <c r="JMX121" s="199"/>
      <c r="JMY121" s="198"/>
      <c r="JMZ121" s="199"/>
      <c r="JNA121" s="198"/>
      <c r="JNB121" s="199"/>
      <c r="JNC121" s="198"/>
      <c r="JND121" s="199"/>
      <c r="JNE121" s="198"/>
      <c r="JNF121" s="199"/>
      <c r="JNG121" s="198"/>
      <c r="JNH121" s="199"/>
      <c r="JNI121" s="198"/>
      <c r="JNJ121" s="199"/>
      <c r="JNK121" s="198"/>
      <c r="JNL121" s="199"/>
      <c r="JNM121" s="198"/>
      <c r="JNN121" s="199"/>
      <c r="JNO121" s="198"/>
      <c r="JNP121" s="199"/>
      <c r="JNQ121" s="198"/>
      <c r="JNR121" s="199"/>
      <c r="JNS121" s="198"/>
      <c r="JNT121" s="199"/>
      <c r="JNU121" s="198"/>
      <c r="JNV121" s="199"/>
      <c r="JNW121" s="198"/>
      <c r="JNX121" s="199"/>
      <c r="JNY121" s="198"/>
      <c r="JNZ121" s="199"/>
      <c r="JOA121" s="198"/>
      <c r="JOB121" s="199"/>
      <c r="JOC121" s="198"/>
      <c r="JOD121" s="199"/>
      <c r="JOE121" s="198"/>
      <c r="JOF121" s="199"/>
      <c r="JOG121" s="198"/>
      <c r="JOH121" s="199"/>
      <c r="JOI121" s="198"/>
      <c r="JOJ121" s="199"/>
      <c r="JOK121" s="198"/>
      <c r="JOL121" s="199"/>
      <c r="JOM121" s="198"/>
      <c r="JON121" s="199"/>
      <c r="JOO121" s="198"/>
      <c r="JOP121" s="199"/>
      <c r="JOQ121" s="198"/>
      <c r="JOR121" s="199"/>
      <c r="JOS121" s="198"/>
      <c r="JOT121" s="199"/>
      <c r="JOU121" s="198"/>
      <c r="JOV121" s="199"/>
      <c r="JOW121" s="198"/>
      <c r="JOX121" s="199"/>
      <c r="JOY121" s="198"/>
      <c r="JOZ121" s="199"/>
      <c r="JPA121" s="198"/>
      <c r="JPB121" s="199"/>
      <c r="JPC121" s="198"/>
      <c r="JPD121" s="199"/>
      <c r="JPE121" s="198"/>
      <c r="JPF121" s="199"/>
      <c r="JPG121" s="198"/>
      <c r="JPH121" s="199"/>
      <c r="JPI121" s="198"/>
      <c r="JPJ121" s="199"/>
      <c r="JPK121" s="198"/>
      <c r="JPL121" s="199"/>
      <c r="JPM121" s="198"/>
      <c r="JPN121" s="199"/>
      <c r="JPO121" s="198"/>
      <c r="JPP121" s="199"/>
      <c r="JPQ121" s="198"/>
      <c r="JPR121" s="199"/>
      <c r="JPS121" s="198"/>
      <c r="JPT121" s="199"/>
      <c r="JPU121" s="198"/>
      <c r="JPV121" s="199"/>
      <c r="JPW121" s="198"/>
      <c r="JPX121" s="199"/>
      <c r="JPY121" s="198"/>
      <c r="JPZ121" s="199"/>
      <c r="JQA121" s="198"/>
      <c r="JQB121" s="199"/>
      <c r="JQC121" s="198"/>
      <c r="JQD121" s="199"/>
      <c r="JQE121" s="198"/>
      <c r="JQF121" s="199"/>
      <c r="JQG121" s="198"/>
      <c r="JQH121" s="199"/>
      <c r="JQI121" s="198"/>
      <c r="JQJ121" s="199"/>
      <c r="JQK121" s="198"/>
      <c r="JQL121" s="199"/>
      <c r="JQM121" s="198"/>
      <c r="JQN121" s="199"/>
      <c r="JQO121" s="198"/>
      <c r="JQP121" s="199"/>
      <c r="JQQ121" s="198"/>
      <c r="JQR121" s="199"/>
      <c r="JQS121" s="198"/>
      <c r="JQT121" s="199"/>
      <c r="JQU121" s="198"/>
      <c r="JQV121" s="199"/>
      <c r="JQW121" s="198"/>
      <c r="JQX121" s="199"/>
      <c r="JQY121" s="198"/>
      <c r="JQZ121" s="199"/>
      <c r="JRA121" s="198"/>
      <c r="JRB121" s="199"/>
      <c r="JRC121" s="198"/>
      <c r="JRD121" s="199"/>
      <c r="JRE121" s="198"/>
      <c r="JRF121" s="199"/>
      <c r="JRG121" s="198"/>
      <c r="JRH121" s="199"/>
      <c r="JRI121" s="198"/>
      <c r="JRJ121" s="199"/>
      <c r="JRK121" s="198"/>
      <c r="JRL121" s="199"/>
      <c r="JRM121" s="198"/>
      <c r="JRN121" s="199"/>
      <c r="JRO121" s="198"/>
      <c r="JRP121" s="199"/>
      <c r="JRQ121" s="198"/>
      <c r="JRR121" s="199"/>
      <c r="JRS121" s="198"/>
      <c r="JRT121" s="199"/>
      <c r="JRU121" s="198"/>
      <c r="JRV121" s="199"/>
      <c r="JRW121" s="198"/>
      <c r="JRX121" s="199"/>
      <c r="JRY121" s="198"/>
      <c r="JRZ121" s="199"/>
      <c r="JSA121" s="198"/>
      <c r="JSB121" s="199"/>
      <c r="JSC121" s="198"/>
      <c r="JSD121" s="199"/>
      <c r="JSE121" s="198"/>
      <c r="JSF121" s="199"/>
      <c r="JSG121" s="198"/>
      <c r="JSH121" s="199"/>
      <c r="JSI121" s="198"/>
      <c r="JSJ121" s="199"/>
      <c r="JSK121" s="198"/>
      <c r="JSL121" s="199"/>
      <c r="JSM121" s="198"/>
      <c r="JSN121" s="199"/>
      <c r="JSO121" s="198"/>
      <c r="JSP121" s="199"/>
      <c r="JSQ121" s="198"/>
      <c r="JSR121" s="199"/>
      <c r="JSS121" s="198"/>
      <c r="JST121" s="199"/>
      <c r="JSU121" s="198"/>
      <c r="JSV121" s="199"/>
      <c r="JSW121" s="198"/>
      <c r="JSX121" s="199"/>
      <c r="JSY121" s="198"/>
      <c r="JSZ121" s="199"/>
      <c r="JTA121" s="198"/>
      <c r="JTB121" s="199"/>
      <c r="JTC121" s="198"/>
      <c r="JTD121" s="199"/>
      <c r="JTE121" s="198"/>
      <c r="JTF121" s="199"/>
      <c r="JTG121" s="198"/>
      <c r="JTH121" s="199"/>
      <c r="JTI121" s="198"/>
      <c r="JTJ121" s="199"/>
      <c r="JTK121" s="198"/>
      <c r="JTL121" s="199"/>
      <c r="JTM121" s="198"/>
      <c r="JTN121" s="199"/>
      <c r="JTO121" s="198"/>
      <c r="JTP121" s="199"/>
      <c r="JTQ121" s="198"/>
      <c r="JTR121" s="199"/>
      <c r="JTS121" s="198"/>
      <c r="JTT121" s="199"/>
      <c r="JTU121" s="198"/>
      <c r="JTV121" s="199"/>
      <c r="JTW121" s="198"/>
      <c r="JTX121" s="199"/>
      <c r="JTY121" s="198"/>
      <c r="JTZ121" s="199"/>
      <c r="JUA121" s="198"/>
      <c r="JUB121" s="199"/>
      <c r="JUC121" s="198"/>
      <c r="JUD121" s="199"/>
      <c r="JUE121" s="198"/>
      <c r="JUF121" s="199"/>
      <c r="JUG121" s="198"/>
      <c r="JUH121" s="199"/>
      <c r="JUI121" s="198"/>
      <c r="JUJ121" s="199"/>
      <c r="JUK121" s="198"/>
      <c r="JUL121" s="199"/>
      <c r="JUM121" s="198"/>
      <c r="JUN121" s="199"/>
      <c r="JUO121" s="198"/>
      <c r="JUP121" s="199"/>
      <c r="JUQ121" s="198"/>
      <c r="JUR121" s="199"/>
      <c r="JUS121" s="198"/>
      <c r="JUT121" s="199"/>
      <c r="JUU121" s="198"/>
      <c r="JUV121" s="199"/>
      <c r="JUW121" s="198"/>
      <c r="JUX121" s="199"/>
      <c r="JUY121" s="198"/>
      <c r="JUZ121" s="199"/>
      <c r="JVA121" s="198"/>
      <c r="JVB121" s="199"/>
      <c r="JVC121" s="198"/>
      <c r="JVD121" s="199"/>
      <c r="JVE121" s="198"/>
      <c r="JVF121" s="199"/>
      <c r="JVG121" s="198"/>
      <c r="JVH121" s="199"/>
      <c r="JVI121" s="198"/>
      <c r="JVJ121" s="199"/>
      <c r="JVK121" s="198"/>
      <c r="JVL121" s="199"/>
      <c r="JVM121" s="198"/>
      <c r="JVN121" s="199"/>
      <c r="JVO121" s="198"/>
      <c r="JVP121" s="199"/>
      <c r="JVQ121" s="198"/>
      <c r="JVR121" s="199"/>
      <c r="JVS121" s="198"/>
      <c r="JVT121" s="199"/>
      <c r="JVU121" s="198"/>
      <c r="JVV121" s="199"/>
      <c r="JVW121" s="198"/>
      <c r="JVX121" s="199"/>
      <c r="JVY121" s="198"/>
      <c r="JVZ121" s="199"/>
      <c r="JWA121" s="198"/>
      <c r="JWB121" s="199"/>
      <c r="JWC121" s="198"/>
      <c r="JWD121" s="199"/>
      <c r="JWE121" s="198"/>
      <c r="JWF121" s="199"/>
      <c r="JWG121" s="198"/>
      <c r="JWH121" s="199"/>
      <c r="JWI121" s="198"/>
      <c r="JWJ121" s="199"/>
      <c r="JWK121" s="198"/>
      <c r="JWL121" s="199"/>
      <c r="JWM121" s="198"/>
      <c r="JWN121" s="199"/>
      <c r="JWO121" s="198"/>
      <c r="JWP121" s="199"/>
      <c r="JWQ121" s="198"/>
      <c r="JWR121" s="199"/>
      <c r="JWS121" s="198"/>
      <c r="JWT121" s="199"/>
      <c r="JWU121" s="198"/>
      <c r="JWV121" s="199"/>
      <c r="JWW121" s="198"/>
      <c r="JWX121" s="199"/>
      <c r="JWY121" s="198"/>
      <c r="JWZ121" s="199"/>
      <c r="JXA121" s="198"/>
      <c r="JXB121" s="199"/>
      <c r="JXC121" s="198"/>
      <c r="JXD121" s="199"/>
      <c r="JXE121" s="198"/>
      <c r="JXF121" s="199"/>
      <c r="JXG121" s="198"/>
      <c r="JXH121" s="199"/>
      <c r="JXI121" s="198"/>
      <c r="JXJ121" s="199"/>
      <c r="JXK121" s="198"/>
      <c r="JXL121" s="199"/>
      <c r="JXM121" s="198"/>
      <c r="JXN121" s="199"/>
      <c r="JXO121" s="198"/>
      <c r="JXP121" s="199"/>
      <c r="JXQ121" s="198"/>
      <c r="JXR121" s="199"/>
      <c r="JXS121" s="198"/>
      <c r="JXT121" s="199"/>
      <c r="JXU121" s="198"/>
      <c r="JXV121" s="199"/>
      <c r="JXW121" s="198"/>
      <c r="JXX121" s="199"/>
      <c r="JXY121" s="198"/>
      <c r="JXZ121" s="199"/>
      <c r="JYA121" s="198"/>
      <c r="JYB121" s="199"/>
      <c r="JYC121" s="198"/>
      <c r="JYD121" s="199"/>
      <c r="JYE121" s="198"/>
      <c r="JYF121" s="199"/>
      <c r="JYG121" s="198"/>
      <c r="JYH121" s="199"/>
      <c r="JYI121" s="198"/>
      <c r="JYJ121" s="199"/>
      <c r="JYK121" s="198"/>
      <c r="JYL121" s="199"/>
      <c r="JYM121" s="198"/>
      <c r="JYN121" s="199"/>
      <c r="JYO121" s="198"/>
      <c r="JYP121" s="199"/>
      <c r="JYQ121" s="198"/>
      <c r="JYR121" s="199"/>
      <c r="JYS121" s="198"/>
      <c r="JYT121" s="199"/>
      <c r="JYU121" s="198"/>
      <c r="JYV121" s="199"/>
      <c r="JYW121" s="198"/>
      <c r="JYX121" s="199"/>
      <c r="JYY121" s="198"/>
      <c r="JYZ121" s="199"/>
      <c r="JZA121" s="198"/>
      <c r="JZB121" s="199"/>
      <c r="JZC121" s="198"/>
      <c r="JZD121" s="199"/>
      <c r="JZE121" s="198"/>
      <c r="JZF121" s="199"/>
      <c r="JZG121" s="198"/>
      <c r="JZH121" s="199"/>
      <c r="JZI121" s="198"/>
      <c r="JZJ121" s="199"/>
      <c r="JZK121" s="198"/>
      <c r="JZL121" s="199"/>
      <c r="JZM121" s="198"/>
      <c r="JZN121" s="199"/>
      <c r="JZO121" s="198"/>
      <c r="JZP121" s="199"/>
      <c r="JZQ121" s="198"/>
      <c r="JZR121" s="199"/>
      <c r="JZS121" s="198"/>
      <c r="JZT121" s="199"/>
      <c r="JZU121" s="198"/>
      <c r="JZV121" s="199"/>
      <c r="JZW121" s="198"/>
      <c r="JZX121" s="199"/>
      <c r="JZY121" s="198"/>
      <c r="JZZ121" s="199"/>
      <c r="KAA121" s="198"/>
      <c r="KAB121" s="199"/>
      <c r="KAC121" s="198"/>
      <c r="KAD121" s="199"/>
      <c r="KAE121" s="198"/>
      <c r="KAF121" s="199"/>
      <c r="KAG121" s="198"/>
      <c r="KAH121" s="199"/>
      <c r="KAI121" s="198"/>
      <c r="KAJ121" s="199"/>
      <c r="KAK121" s="198"/>
      <c r="KAL121" s="199"/>
      <c r="KAM121" s="198"/>
      <c r="KAN121" s="199"/>
      <c r="KAO121" s="198"/>
      <c r="KAP121" s="199"/>
      <c r="KAQ121" s="198"/>
      <c r="KAR121" s="199"/>
      <c r="KAS121" s="198"/>
      <c r="KAT121" s="199"/>
      <c r="KAU121" s="198"/>
      <c r="KAV121" s="199"/>
      <c r="KAW121" s="198"/>
      <c r="KAX121" s="199"/>
      <c r="KAY121" s="198"/>
      <c r="KAZ121" s="199"/>
      <c r="KBA121" s="198"/>
      <c r="KBB121" s="199"/>
      <c r="KBC121" s="198"/>
      <c r="KBD121" s="199"/>
      <c r="KBE121" s="198"/>
      <c r="KBF121" s="199"/>
      <c r="KBG121" s="198"/>
      <c r="KBH121" s="199"/>
      <c r="KBI121" s="198"/>
      <c r="KBJ121" s="199"/>
      <c r="KBK121" s="198"/>
      <c r="KBL121" s="199"/>
      <c r="KBM121" s="198"/>
      <c r="KBN121" s="199"/>
      <c r="KBO121" s="198"/>
      <c r="KBP121" s="199"/>
      <c r="KBQ121" s="198"/>
      <c r="KBR121" s="199"/>
      <c r="KBS121" s="198"/>
      <c r="KBT121" s="199"/>
      <c r="KBU121" s="198"/>
      <c r="KBV121" s="199"/>
      <c r="KBW121" s="198"/>
      <c r="KBX121" s="199"/>
      <c r="KBY121" s="198"/>
      <c r="KBZ121" s="199"/>
      <c r="KCA121" s="198"/>
      <c r="KCB121" s="199"/>
      <c r="KCC121" s="198"/>
      <c r="KCD121" s="199"/>
      <c r="KCE121" s="198"/>
      <c r="KCF121" s="199"/>
      <c r="KCG121" s="198"/>
      <c r="KCH121" s="199"/>
      <c r="KCI121" s="198"/>
      <c r="KCJ121" s="199"/>
      <c r="KCK121" s="198"/>
      <c r="KCL121" s="199"/>
      <c r="KCM121" s="198"/>
      <c r="KCN121" s="199"/>
      <c r="KCO121" s="198"/>
      <c r="KCP121" s="199"/>
      <c r="KCQ121" s="198"/>
      <c r="KCR121" s="199"/>
      <c r="KCS121" s="198"/>
      <c r="KCT121" s="199"/>
      <c r="KCU121" s="198"/>
      <c r="KCV121" s="199"/>
      <c r="KCW121" s="198"/>
      <c r="KCX121" s="199"/>
      <c r="KCY121" s="198"/>
      <c r="KCZ121" s="199"/>
      <c r="KDA121" s="198"/>
      <c r="KDB121" s="199"/>
      <c r="KDC121" s="198"/>
      <c r="KDD121" s="199"/>
      <c r="KDE121" s="198"/>
      <c r="KDF121" s="199"/>
      <c r="KDG121" s="198"/>
      <c r="KDH121" s="199"/>
      <c r="KDI121" s="198"/>
      <c r="KDJ121" s="199"/>
      <c r="KDK121" s="198"/>
      <c r="KDL121" s="199"/>
      <c r="KDM121" s="198"/>
      <c r="KDN121" s="199"/>
      <c r="KDO121" s="198"/>
      <c r="KDP121" s="199"/>
      <c r="KDQ121" s="198"/>
      <c r="KDR121" s="199"/>
      <c r="KDS121" s="198"/>
      <c r="KDT121" s="199"/>
      <c r="KDU121" s="198"/>
      <c r="KDV121" s="199"/>
      <c r="KDW121" s="198"/>
      <c r="KDX121" s="199"/>
      <c r="KDY121" s="198"/>
      <c r="KDZ121" s="199"/>
      <c r="KEA121" s="198"/>
      <c r="KEB121" s="199"/>
      <c r="KEC121" s="198"/>
      <c r="KED121" s="199"/>
      <c r="KEE121" s="198"/>
      <c r="KEF121" s="199"/>
      <c r="KEG121" s="198"/>
      <c r="KEH121" s="199"/>
      <c r="KEI121" s="198"/>
      <c r="KEJ121" s="199"/>
      <c r="KEK121" s="198"/>
      <c r="KEL121" s="199"/>
      <c r="KEM121" s="198"/>
      <c r="KEN121" s="199"/>
      <c r="KEO121" s="198"/>
      <c r="KEP121" s="199"/>
      <c r="KEQ121" s="198"/>
      <c r="KER121" s="199"/>
      <c r="KES121" s="198"/>
      <c r="KET121" s="199"/>
      <c r="KEU121" s="198"/>
      <c r="KEV121" s="199"/>
      <c r="KEW121" s="198"/>
      <c r="KEX121" s="199"/>
      <c r="KEY121" s="198"/>
      <c r="KEZ121" s="199"/>
      <c r="KFA121" s="198"/>
      <c r="KFB121" s="199"/>
      <c r="KFC121" s="198"/>
      <c r="KFD121" s="199"/>
      <c r="KFE121" s="198"/>
      <c r="KFF121" s="199"/>
      <c r="KFG121" s="198"/>
      <c r="KFH121" s="199"/>
      <c r="KFI121" s="198"/>
      <c r="KFJ121" s="199"/>
      <c r="KFK121" s="198"/>
      <c r="KFL121" s="199"/>
      <c r="KFM121" s="198"/>
      <c r="KFN121" s="199"/>
      <c r="KFO121" s="198"/>
      <c r="KFP121" s="199"/>
      <c r="KFQ121" s="198"/>
      <c r="KFR121" s="199"/>
      <c r="KFS121" s="198"/>
      <c r="KFT121" s="199"/>
      <c r="KFU121" s="198"/>
      <c r="KFV121" s="199"/>
      <c r="KFW121" s="198"/>
      <c r="KFX121" s="199"/>
      <c r="KFY121" s="198"/>
      <c r="KFZ121" s="199"/>
      <c r="KGA121" s="198"/>
      <c r="KGB121" s="199"/>
      <c r="KGC121" s="198"/>
      <c r="KGD121" s="199"/>
      <c r="KGE121" s="198"/>
      <c r="KGF121" s="199"/>
      <c r="KGG121" s="198"/>
      <c r="KGH121" s="199"/>
      <c r="KGI121" s="198"/>
      <c r="KGJ121" s="199"/>
      <c r="KGK121" s="198"/>
      <c r="KGL121" s="199"/>
      <c r="KGM121" s="198"/>
      <c r="KGN121" s="199"/>
      <c r="KGO121" s="198"/>
      <c r="KGP121" s="199"/>
      <c r="KGQ121" s="198"/>
      <c r="KGR121" s="199"/>
      <c r="KGS121" s="198"/>
      <c r="KGT121" s="199"/>
      <c r="KGU121" s="198"/>
      <c r="KGV121" s="199"/>
      <c r="KGW121" s="198"/>
      <c r="KGX121" s="199"/>
      <c r="KGY121" s="198"/>
      <c r="KGZ121" s="199"/>
      <c r="KHA121" s="198"/>
      <c r="KHB121" s="199"/>
      <c r="KHC121" s="198"/>
      <c r="KHD121" s="199"/>
      <c r="KHE121" s="198"/>
      <c r="KHF121" s="199"/>
      <c r="KHG121" s="198"/>
      <c r="KHH121" s="199"/>
      <c r="KHI121" s="198"/>
      <c r="KHJ121" s="199"/>
      <c r="KHK121" s="198"/>
      <c r="KHL121" s="199"/>
      <c r="KHM121" s="198"/>
      <c r="KHN121" s="199"/>
      <c r="KHO121" s="198"/>
      <c r="KHP121" s="199"/>
      <c r="KHQ121" s="198"/>
      <c r="KHR121" s="199"/>
      <c r="KHS121" s="198"/>
      <c r="KHT121" s="199"/>
      <c r="KHU121" s="198"/>
      <c r="KHV121" s="199"/>
      <c r="KHW121" s="198"/>
      <c r="KHX121" s="199"/>
      <c r="KHY121" s="198"/>
      <c r="KHZ121" s="199"/>
      <c r="KIA121" s="198"/>
      <c r="KIB121" s="199"/>
      <c r="KIC121" s="198"/>
      <c r="KID121" s="199"/>
      <c r="KIE121" s="198"/>
      <c r="KIF121" s="199"/>
      <c r="KIG121" s="198"/>
      <c r="KIH121" s="199"/>
      <c r="KII121" s="198"/>
      <c r="KIJ121" s="199"/>
      <c r="KIK121" s="198"/>
      <c r="KIL121" s="199"/>
      <c r="KIM121" s="198"/>
      <c r="KIN121" s="199"/>
      <c r="KIO121" s="198"/>
      <c r="KIP121" s="199"/>
      <c r="KIQ121" s="198"/>
      <c r="KIR121" s="199"/>
      <c r="KIS121" s="198"/>
      <c r="KIT121" s="199"/>
      <c r="KIU121" s="198"/>
      <c r="KIV121" s="199"/>
      <c r="KIW121" s="198"/>
      <c r="KIX121" s="199"/>
      <c r="KIY121" s="198"/>
      <c r="KIZ121" s="199"/>
      <c r="KJA121" s="198"/>
      <c r="KJB121" s="199"/>
      <c r="KJC121" s="198"/>
      <c r="KJD121" s="199"/>
      <c r="KJE121" s="198"/>
      <c r="KJF121" s="199"/>
      <c r="KJG121" s="198"/>
      <c r="KJH121" s="199"/>
      <c r="KJI121" s="198"/>
      <c r="KJJ121" s="199"/>
      <c r="KJK121" s="198"/>
      <c r="KJL121" s="199"/>
      <c r="KJM121" s="198"/>
      <c r="KJN121" s="199"/>
      <c r="KJO121" s="198"/>
      <c r="KJP121" s="199"/>
      <c r="KJQ121" s="198"/>
      <c r="KJR121" s="199"/>
      <c r="KJS121" s="198"/>
      <c r="KJT121" s="199"/>
      <c r="KJU121" s="198"/>
      <c r="KJV121" s="199"/>
      <c r="KJW121" s="198"/>
      <c r="KJX121" s="199"/>
      <c r="KJY121" s="198"/>
      <c r="KJZ121" s="199"/>
      <c r="KKA121" s="198"/>
      <c r="KKB121" s="199"/>
      <c r="KKC121" s="198"/>
      <c r="KKD121" s="199"/>
      <c r="KKE121" s="198"/>
      <c r="KKF121" s="199"/>
      <c r="KKG121" s="198"/>
      <c r="KKH121" s="199"/>
      <c r="KKI121" s="198"/>
      <c r="KKJ121" s="199"/>
      <c r="KKK121" s="198"/>
      <c r="KKL121" s="199"/>
      <c r="KKM121" s="198"/>
      <c r="KKN121" s="199"/>
      <c r="KKO121" s="198"/>
      <c r="KKP121" s="199"/>
      <c r="KKQ121" s="198"/>
      <c r="KKR121" s="199"/>
      <c r="KKS121" s="198"/>
      <c r="KKT121" s="199"/>
      <c r="KKU121" s="198"/>
      <c r="KKV121" s="199"/>
      <c r="KKW121" s="198"/>
      <c r="KKX121" s="199"/>
      <c r="KKY121" s="198"/>
      <c r="KKZ121" s="199"/>
      <c r="KLA121" s="198"/>
      <c r="KLB121" s="199"/>
      <c r="KLC121" s="198"/>
      <c r="KLD121" s="199"/>
      <c r="KLE121" s="198"/>
      <c r="KLF121" s="199"/>
      <c r="KLG121" s="198"/>
      <c r="KLH121" s="199"/>
      <c r="KLI121" s="198"/>
      <c r="KLJ121" s="199"/>
      <c r="KLK121" s="198"/>
      <c r="KLL121" s="199"/>
      <c r="KLM121" s="198"/>
      <c r="KLN121" s="199"/>
      <c r="KLO121" s="198"/>
      <c r="KLP121" s="199"/>
      <c r="KLQ121" s="198"/>
      <c r="KLR121" s="199"/>
      <c r="KLS121" s="198"/>
      <c r="KLT121" s="199"/>
      <c r="KLU121" s="198"/>
      <c r="KLV121" s="199"/>
      <c r="KLW121" s="198"/>
      <c r="KLX121" s="199"/>
      <c r="KLY121" s="198"/>
      <c r="KLZ121" s="199"/>
      <c r="KMA121" s="198"/>
      <c r="KMB121" s="199"/>
      <c r="KMC121" s="198"/>
      <c r="KMD121" s="199"/>
      <c r="KME121" s="198"/>
      <c r="KMF121" s="199"/>
      <c r="KMG121" s="198"/>
      <c r="KMH121" s="199"/>
      <c r="KMI121" s="198"/>
      <c r="KMJ121" s="199"/>
      <c r="KMK121" s="198"/>
      <c r="KML121" s="199"/>
      <c r="KMM121" s="198"/>
      <c r="KMN121" s="199"/>
      <c r="KMO121" s="198"/>
      <c r="KMP121" s="199"/>
      <c r="KMQ121" s="198"/>
      <c r="KMR121" s="199"/>
      <c r="KMS121" s="198"/>
      <c r="KMT121" s="199"/>
      <c r="KMU121" s="198"/>
      <c r="KMV121" s="199"/>
      <c r="KMW121" s="198"/>
      <c r="KMX121" s="199"/>
      <c r="KMY121" s="198"/>
      <c r="KMZ121" s="199"/>
      <c r="KNA121" s="198"/>
      <c r="KNB121" s="199"/>
      <c r="KNC121" s="198"/>
      <c r="KND121" s="199"/>
      <c r="KNE121" s="198"/>
      <c r="KNF121" s="199"/>
      <c r="KNG121" s="198"/>
      <c r="KNH121" s="199"/>
      <c r="KNI121" s="198"/>
      <c r="KNJ121" s="199"/>
      <c r="KNK121" s="198"/>
      <c r="KNL121" s="199"/>
      <c r="KNM121" s="198"/>
      <c r="KNN121" s="199"/>
      <c r="KNO121" s="198"/>
      <c r="KNP121" s="199"/>
      <c r="KNQ121" s="198"/>
      <c r="KNR121" s="199"/>
      <c r="KNS121" s="198"/>
      <c r="KNT121" s="199"/>
      <c r="KNU121" s="198"/>
      <c r="KNV121" s="199"/>
      <c r="KNW121" s="198"/>
      <c r="KNX121" s="199"/>
      <c r="KNY121" s="198"/>
      <c r="KNZ121" s="199"/>
      <c r="KOA121" s="198"/>
      <c r="KOB121" s="199"/>
      <c r="KOC121" s="198"/>
      <c r="KOD121" s="199"/>
      <c r="KOE121" s="198"/>
      <c r="KOF121" s="199"/>
      <c r="KOG121" s="198"/>
      <c r="KOH121" s="199"/>
      <c r="KOI121" s="198"/>
      <c r="KOJ121" s="199"/>
      <c r="KOK121" s="198"/>
      <c r="KOL121" s="199"/>
      <c r="KOM121" s="198"/>
      <c r="KON121" s="199"/>
      <c r="KOO121" s="198"/>
      <c r="KOP121" s="199"/>
      <c r="KOQ121" s="198"/>
      <c r="KOR121" s="199"/>
      <c r="KOS121" s="198"/>
      <c r="KOT121" s="199"/>
      <c r="KOU121" s="198"/>
      <c r="KOV121" s="199"/>
      <c r="KOW121" s="198"/>
      <c r="KOX121" s="199"/>
      <c r="KOY121" s="198"/>
      <c r="KOZ121" s="199"/>
      <c r="KPA121" s="198"/>
      <c r="KPB121" s="199"/>
      <c r="KPC121" s="198"/>
      <c r="KPD121" s="199"/>
      <c r="KPE121" s="198"/>
      <c r="KPF121" s="199"/>
      <c r="KPG121" s="198"/>
      <c r="KPH121" s="199"/>
      <c r="KPI121" s="198"/>
      <c r="KPJ121" s="199"/>
      <c r="KPK121" s="198"/>
      <c r="KPL121" s="199"/>
      <c r="KPM121" s="198"/>
      <c r="KPN121" s="199"/>
      <c r="KPO121" s="198"/>
      <c r="KPP121" s="199"/>
      <c r="KPQ121" s="198"/>
      <c r="KPR121" s="199"/>
      <c r="KPS121" s="198"/>
      <c r="KPT121" s="199"/>
      <c r="KPU121" s="198"/>
      <c r="KPV121" s="199"/>
      <c r="KPW121" s="198"/>
      <c r="KPX121" s="199"/>
      <c r="KPY121" s="198"/>
      <c r="KPZ121" s="199"/>
      <c r="KQA121" s="198"/>
      <c r="KQB121" s="199"/>
      <c r="KQC121" s="198"/>
      <c r="KQD121" s="199"/>
      <c r="KQE121" s="198"/>
      <c r="KQF121" s="199"/>
      <c r="KQG121" s="198"/>
      <c r="KQH121" s="199"/>
      <c r="KQI121" s="198"/>
      <c r="KQJ121" s="199"/>
      <c r="KQK121" s="198"/>
      <c r="KQL121" s="199"/>
      <c r="KQM121" s="198"/>
      <c r="KQN121" s="199"/>
      <c r="KQO121" s="198"/>
      <c r="KQP121" s="199"/>
      <c r="KQQ121" s="198"/>
      <c r="KQR121" s="199"/>
      <c r="KQS121" s="198"/>
      <c r="KQT121" s="199"/>
      <c r="KQU121" s="198"/>
      <c r="KQV121" s="199"/>
      <c r="KQW121" s="198"/>
      <c r="KQX121" s="199"/>
      <c r="KQY121" s="198"/>
      <c r="KQZ121" s="199"/>
      <c r="KRA121" s="198"/>
      <c r="KRB121" s="199"/>
      <c r="KRC121" s="198"/>
      <c r="KRD121" s="199"/>
      <c r="KRE121" s="198"/>
      <c r="KRF121" s="199"/>
      <c r="KRG121" s="198"/>
      <c r="KRH121" s="199"/>
      <c r="KRI121" s="198"/>
      <c r="KRJ121" s="199"/>
      <c r="KRK121" s="198"/>
      <c r="KRL121" s="199"/>
      <c r="KRM121" s="198"/>
      <c r="KRN121" s="199"/>
      <c r="KRO121" s="198"/>
      <c r="KRP121" s="199"/>
      <c r="KRQ121" s="198"/>
      <c r="KRR121" s="199"/>
      <c r="KRS121" s="198"/>
      <c r="KRT121" s="199"/>
      <c r="KRU121" s="198"/>
      <c r="KRV121" s="199"/>
      <c r="KRW121" s="198"/>
      <c r="KRX121" s="199"/>
      <c r="KRY121" s="198"/>
      <c r="KRZ121" s="199"/>
      <c r="KSA121" s="198"/>
      <c r="KSB121" s="199"/>
      <c r="KSC121" s="198"/>
      <c r="KSD121" s="199"/>
      <c r="KSE121" s="198"/>
      <c r="KSF121" s="199"/>
      <c r="KSG121" s="198"/>
      <c r="KSH121" s="199"/>
      <c r="KSI121" s="198"/>
      <c r="KSJ121" s="199"/>
      <c r="KSK121" s="198"/>
      <c r="KSL121" s="199"/>
      <c r="KSM121" s="198"/>
      <c r="KSN121" s="199"/>
      <c r="KSO121" s="198"/>
      <c r="KSP121" s="199"/>
      <c r="KSQ121" s="198"/>
      <c r="KSR121" s="199"/>
      <c r="KSS121" s="198"/>
      <c r="KST121" s="199"/>
      <c r="KSU121" s="198"/>
      <c r="KSV121" s="199"/>
      <c r="KSW121" s="198"/>
      <c r="KSX121" s="199"/>
      <c r="KSY121" s="198"/>
      <c r="KSZ121" s="199"/>
      <c r="KTA121" s="198"/>
      <c r="KTB121" s="199"/>
      <c r="KTC121" s="198"/>
      <c r="KTD121" s="199"/>
      <c r="KTE121" s="198"/>
      <c r="KTF121" s="199"/>
      <c r="KTG121" s="198"/>
      <c r="KTH121" s="199"/>
      <c r="KTI121" s="198"/>
      <c r="KTJ121" s="199"/>
      <c r="KTK121" s="198"/>
      <c r="KTL121" s="199"/>
      <c r="KTM121" s="198"/>
      <c r="KTN121" s="199"/>
      <c r="KTO121" s="198"/>
      <c r="KTP121" s="199"/>
      <c r="KTQ121" s="198"/>
      <c r="KTR121" s="199"/>
      <c r="KTS121" s="198"/>
      <c r="KTT121" s="199"/>
      <c r="KTU121" s="198"/>
      <c r="KTV121" s="199"/>
      <c r="KTW121" s="198"/>
      <c r="KTX121" s="199"/>
      <c r="KTY121" s="198"/>
      <c r="KTZ121" s="199"/>
      <c r="KUA121" s="198"/>
      <c r="KUB121" s="199"/>
      <c r="KUC121" s="198"/>
      <c r="KUD121" s="199"/>
      <c r="KUE121" s="198"/>
      <c r="KUF121" s="199"/>
      <c r="KUG121" s="198"/>
      <c r="KUH121" s="199"/>
      <c r="KUI121" s="198"/>
      <c r="KUJ121" s="199"/>
      <c r="KUK121" s="198"/>
      <c r="KUL121" s="199"/>
      <c r="KUM121" s="198"/>
      <c r="KUN121" s="199"/>
      <c r="KUO121" s="198"/>
      <c r="KUP121" s="199"/>
      <c r="KUQ121" s="198"/>
      <c r="KUR121" s="199"/>
      <c r="KUS121" s="198"/>
      <c r="KUT121" s="199"/>
      <c r="KUU121" s="198"/>
      <c r="KUV121" s="199"/>
      <c r="KUW121" s="198"/>
      <c r="KUX121" s="199"/>
      <c r="KUY121" s="198"/>
      <c r="KUZ121" s="199"/>
      <c r="KVA121" s="198"/>
      <c r="KVB121" s="199"/>
      <c r="KVC121" s="198"/>
      <c r="KVD121" s="199"/>
      <c r="KVE121" s="198"/>
      <c r="KVF121" s="199"/>
      <c r="KVG121" s="198"/>
      <c r="KVH121" s="199"/>
      <c r="KVI121" s="198"/>
      <c r="KVJ121" s="199"/>
      <c r="KVK121" s="198"/>
      <c r="KVL121" s="199"/>
      <c r="KVM121" s="198"/>
      <c r="KVN121" s="199"/>
      <c r="KVO121" s="198"/>
      <c r="KVP121" s="199"/>
      <c r="KVQ121" s="198"/>
      <c r="KVR121" s="199"/>
      <c r="KVS121" s="198"/>
      <c r="KVT121" s="199"/>
      <c r="KVU121" s="198"/>
      <c r="KVV121" s="199"/>
      <c r="KVW121" s="198"/>
      <c r="KVX121" s="199"/>
      <c r="KVY121" s="198"/>
      <c r="KVZ121" s="199"/>
      <c r="KWA121" s="198"/>
      <c r="KWB121" s="199"/>
      <c r="KWC121" s="198"/>
      <c r="KWD121" s="199"/>
      <c r="KWE121" s="198"/>
      <c r="KWF121" s="199"/>
      <c r="KWG121" s="198"/>
      <c r="KWH121" s="199"/>
      <c r="KWI121" s="198"/>
      <c r="KWJ121" s="199"/>
      <c r="KWK121" s="198"/>
      <c r="KWL121" s="199"/>
      <c r="KWM121" s="198"/>
      <c r="KWN121" s="199"/>
      <c r="KWO121" s="198"/>
      <c r="KWP121" s="199"/>
      <c r="KWQ121" s="198"/>
      <c r="KWR121" s="199"/>
      <c r="KWS121" s="198"/>
      <c r="KWT121" s="199"/>
      <c r="KWU121" s="198"/>
      <c r="KWV121" s="199"/>
      <c r="KWW121" s="198"/>
      <c r="KWX121" s="199"/>
      <c r="KWY121" s="198"/>
      <c r="KWZ121" s="199"/>
      <c r="KXA121" s="198"/>
      <c r="KXB121" s="199"/>
      <c r="KXC121" s="198"/>
      <c r="KXD121" s="199"/>
      <c r="KXE121" s="198"/>
      <c r="KXF121" s="199"/>
      <c r="KXG121" s="198"/>
      <c r="KXH121" s="199"/>
      <c r="KXI121" s="198"/>
      <c r="KXJ121" s="199"/>
      <c r="KXK121" s="198"/>
      <c r="KXL121" s="199"/>
      <c r="KXM121" s="198"/>
      <c r="KXN121" s="199"/>
      <c r="KXO121" s="198"/>
      <c r="KXP121" s="199"/>
      <c r="KXQ121" s="198"/>
      <c r="KXR121" s="199"/>
      <c r="KXS121" s="198"/>
      <c r="KXT121" s="199"/>
      <c r="KXU121" s="198"/>
      <c r="KXV121" s="199"/>
      <c r="KXW121" s="198"/>
      <c r="KXX121" s="199"/>
      <c r="KXY121" s="198"/>
      <c r="KXZ121" s="199"/>
      <c r="KYA121" s="198"/>
      <c r="KYB121" s="199"/>
      <c r="KYC121" s="198"/>
      <c r="KYD121" s="199"/>
      <c r="KYE121" s="198"/>
      <c r="KYF121" s="199"/>
      <c r="KYG121" s="198"/>
      <c r="KYH121" s="199"/>
      <c r="KYI121" s="198"/>
      <c r="KYJ121" s="199"/>
      <c r="KYK121" s="198"/>
      <c r="KYL121" s="199"/>
      <c r="KYM121" s="198"/>
      <c r="KYN121" s="199"/>
      <c r="KYO121" s="198"/>
      <c r="KYP121" s="199"/>
      <c r="KYQ121" s="198"/>
      <c r="KYR121" s="199"/>
      <c r="KYS121" s="198"/>
      <c r="KYT121" s="199"/>
      <c r="KYU121" s="198"/>
      <c r="KYV121" s="199"/>
      <c r="KYW121" s="198"/>
      <c r="KYX121" s="199"/>
      <c r="KYY121" s="198"/>
      <c r="KYZ121" s="199"/>
      <c r="KZA121" s="198"/>
      <c r="KZB121" s="199"/>
      <c r="KZC121" s="198"/>
      <c r="KZD121" s="199"/>
      <c r="KZE121" s="198"/>
      <c r="KZF121" s="199"/>
      <c r="KZG121" s="198"/>
      <c r="KZH121" s="199"/>
      <c r="KZI121" s="198"/>
      <c r="KZJ121" s="199"/>
      <c r="KZK121" s="198"/>
      <c r="KZL121" s="199"/>
      <c r="KZM121" s="198"/>
      <c r="KZN121" s="199"/>
      <c r="KZO121" s="198"/>
      <c r="KZP121" s="199"/>
      <c r="KZQ121" s="198"/>
      <c r="KZR121" s="199"/>
      <c r="KZS121" s="198"/>
      <c r="KZT121" s="199"/>
      <c r="KZU121" s="198"/>
      <c r="KZV121" s="199"/>
      <c r="KZW121" s="198"/>
      <c r="KZX121" s="199"/>
      <c r="KZY121" s="198"/>
      <c r="KZZ121" s="199"/>
      <c r="LAA121" s="198"/>
      <c r="LAB121" s="199"/>
      <c r="LAC121" s="198"/>
      <c r="LAD121" s="199"/>
      <c r="LAE121" s="198"/>
      <c r="LAF121" s="199"/>
      <c r="LAG121" s="198"/>
      <c r="LAH121" s="199"/>
      <c r="LAI121" s="198"/>
      <c r="LAJ121" s="199"/>
      <c r="LAK121" s="198"/>
      <c r="LAL121" s="199"/>
      <c r="LAM121" s="198"/>
      <c r="LAN121" s="199"/>
      <c r="LAO121" s="198"/>
      <c r="LAP121" s="199"/>
      <c r="LAQ121" s="198"/>
      <c r="LAR121" s="199"/>
      <c r="LAS121" s="198"/>
      <c r="LAT121" s="199"/>
      <c r="LAU121" s="198"/>
      <c r="LAV121" s="199"/>
      <c r="LAW121" s="198"/>
      <c r="LAX121" s="199"/>
      <c r="LAY121" s="198"/>
      <c r="LAZ121" s="199"/>
      <c r="LBA121" s="198"/>
      <c r="LBB121" s="199"/>
      <c r="LBC121" s="198"/>
      <c r="LBD121" s="199"/>
      <c r="LBE121" s="198"/>
      <c r="LBF121" s="199"/>
      <c r="LBG121" s="198"/>
      <c r="LBH121" s="199"/>
      <c r="LBI121" s="198"/>
      <c r="LBJ121" s="199"/>
      <c r="LBK121" s="198"/>
      <c r="LBL121" s="199"/>
      <c r="LBM121" s="198"/>
      <c r="LBN121" s="199"/>
      <c r="LBO121" s="198"/>
      <c r="LBP121" s="199"/>
      <c r="LBQ121" s="198"/>
      <c r="LBR121" s="199"/>
      <c r="LBS121" s="198"/>
      <c r="LBT121" s="199"/>
      <c r="LBU121" s="198"/>
      <c r="LBV121" s="199"/>
      <c r="LBW121" s="198"/>
      <c r="LBX121" s="199"/>
      <c r="LBY121" s="198"/>
      <c r="LBZ121" s="199"/>
      <c r="LCA121" s="198"/>
      <c r="LCB121" s="199"/>
      <c r="LCC121" s="198"/>
      <c r="LCD121" s="199"/>
      <c r="LCE121" s="198"/>
      <c r="LCF121" s="199"/>
      <c r="LCG121" s="198"/>
      <c r="LCH121" s="199"/>
      <c r="LCI121" s="198"/>
      <c r="LCJ121" s="199"/>
      <c r="LCK121" s="198"/>
      <c r="LCL121" s="199"/>
      <c r="LCM121" s="198"/>
      <c r="LCN121" s="199"/>
      <c r="LCO121" s="198"/>
      <c r="LCP121" s="199"/>
      <c r="LCQ121" s="198"/>
      <c r="LCR121" s="199"/>
      <c r="LCS121" s="198"/>
      <c r="LCT121" s="199"/>
      <c r="LCU121" s="198"/>
      <c r="LCV121" s="199"/>
      <c r="LCW121" s="198"/>
      <c r="LCX121" s="199"/>
      <c r="LCY121" s="198"/>
      <c r="LCZ121" s="199"/>
      <c r="LDA121" s="198"/>
      <c r="LDB121" s="199"/>
      <c r="LDC121" s="198"/>
      <c r="LDD121" s="199"/>
      <c r="LDE121" s="198"/>
      <c r="LDF121" s="199"/>
      <c r="LDG121" s="198"/>
      <c r="LDH121" s="199"/>
      <c r="LDI121" s="198"/>
      <c r="LDJ121" s="199"/>
      <c r="LDK121" s="198"/>
      <c r="LDL121" s="199"/>
      <c r="LDM121" s="198"/>
      <c r="LDN121" s="199"/>
      <c r="LDO121" s="198"/>
      <c r="LDP121" s="199"/>
      <c r="LDQ121" s="198"/>
      <c r="LDR121" s="199"/>
      <c r="LDS121" s="198"/>
      <c r="LDT121" s="199"/>
      <c r="LDU121" s="198"/>
      <c r="LDV121" s="199"/>
      <c r="LDW121" s="198"/>
      <c r="LDX121" s="199"/>
      <c r="LDY121" s="198"/>
      <c r="LDZ121" s="199"/>
      <c r="LEA121" s="198"/>
      <c r="LEB121" s="199"/>
      <c r="LEC121" s="198"/>
      <c r="LED121" s="199"/>
      <c r="LEE121" s="198"/>
      <c r="LEF121" s="199"/>
      <c r="LEG121" s="198"/>
      <c r="LEH121" s="199"/>
      <c r="LEI121" s="198"/>
      <c r="LEJ121" s="199"/>
      <c r="LEK121" s="198"/>
      <c r="LEL121" s="199"/>
      <c r="LEM121" s="198"/>
      <c r="LEN121" s="199"/>
      <c r="LEO121" s="198"/>
      <c r="LEP121" s="199"/>
      <c r="LEQ121" s="198"/>
      <c r="LER121" s="199"/>
      <c r="LES121" s="198"/>
      <c r="LET121" s="199"/>
      <c r="LEU121" s="198"/>
      <c r="LEV121" s="199"/>
      <c r="LEW121" s="198"/>
      <c r="LEX121" s="199"/>
      <c r="LEY121" s="198"/>
      <c r="LEZ121" s="199"/>
      <c r="LFA121" s="198"/>
      <c r="LFB121" s="199"/>
      <c r="LFC121" s="198"/>
      <c r="LFD121" s="199"/>
      <c r="LFE121" s="198"/>
      <c r="LFF121" s="199"/>
      <c r="LFG121" s="198"/>
      <c r="LFH121" s="199"/>
      <c r="LFI121" s="198"/>
      <c r="LFJ121" s="199"/>
      <c r="LFK121" s="198"/>
      <c r="LFL121" s="199"/>
      <c r="LFM121" s="198"/>
      <c r="LFN121" s="199"/>
      <c r="LFO121" s="198"/>
      <c r="LFP121" s="199"/>
      <c r="LFQ121" s="198"/>
      <c r="LFR121" s="199"/>
      <c r="LFS121" s="198"/>
      <c r="LFT121" s="199"/>
      <c r="LFU121" s="198"/>
      <c r="LFV121" s="199"/>
      <c r="LFW121" s="198"/>
      <c r="LFX121" s="199"/>
      <c r="LFY121" s="198"/>
      <c r="LFZ121" s="199"/>
      <c r="LGA121" s="198"/>
      <c r="LGB121" s="199"/>
      <c r="LGC121" s="198"/>
      <c r="LGD121" s="199"/>
      <c r="LGE121" s="198"/>
      <c r="LGF121" s="199"/>
      <c r="LGG121" s="198"/>
      <c r="LGH121" s="199"/>
      <c r="LGI121" s="198"/>
      <c r="LGJ121" s="199"/>
      <c r="LGK121" s="198"/>
      <c r="LGL121" s="199"/>
      <c r="LGM121" s="198"/>
      <c r="LGN121" s="199"/>
      <c r="LGO121" s="198"/>
      <c r="LGP121" s="199"/>
      <c r="LGQ121" s="198"/>
      <c r="LGR121" s="199"/>
      <c r="LGS121" s="198"/>
      <c r="LGT121" s="199"/>
      <c r="LGU121" s="198"/>
      <c r="LGV121" s="199"/>
      <c r="LGW121" s="198"/>
      <c r="LGX121" s="199"/>
      <c r="LGY121" s="198"/>
      <c r="LGZ121" s="199"/>
      <c r="LHA121" s="198"/>
      <c r="LHB121" s="199"/>
      <c r="LHC121" s="198"/>
      <c r="LHD121" s="199"/>
      <c r="LHE121" s="198"/>
      <c r="LHF121" s="199"/>
      <c r="LHG121" s="198"/>
      <c r="LHH121" s="199"/>
      <c r="LHI121" s="198"/>
      <c r="LHJ121" s="199"/>
      <c r="LHK121" s="198"/>
      <c r="LHL121" s="199"/>
      <c r="LHM121" s="198"/>
      <c r="LHN121" s="199"/>
      <c r="LHO121" s="198"/>
      <c r="LHP121" s="199"/>
      <c r="LHQ121" s="198"/>
      <c r="LHR121" s="199"/>
      <c r="LHS121" s="198"/>
      <c r="LHT121" s="199"/>
      <c r="LHU121" s="198"/>
      <c r="LHV121" s="199"/>
      <c r="LHW121" s="198"/>
      <c r="LHX121" s="199"/>
      <c r="LHY121" s="198"/>
      <c r="LHZ121" s="199"/>
      <c r="LIA121" s="198"/>
      <c r="LIB121" s="199"/>
      <c r="LIC121" s="198"/>
      <c r="LID121" s="199"/>
      <c r="LIE121" s="198"/>
      <c r="LIF121" s="199"/>
      <c r="LIG121" s="198"/>
      <c r="LIH121" s="199"/>
      <c r="LII121" s="198"/>
      <c r="LIJ121" s="199"/>
      <c r="LIK121" s="198"/>
      <c r="LIL121" s="199"/>
      <c r="LIM121" s="198"/>
      <c r="LIN121" s="199"/>
      <c r="LIO121" s="198"/>
      <c r="LIP121" s="199"/>
      <c r="LIQ121" s="198"/>
      <c r="LIR121" s="199"/>
      <c r="LIS121" s="198"/>
      <c r="LIT121" s="199"/>
      <c r="LIU121" s="198"/>
      <c r="LIV121" s="199"/>
      <c r="LIW121" s="198"/>
      <c r="LIX121" s="199"/>
      <c r="LIY121" s="198"/>
      <c r="LIZ121" s="199"/>
      <c r="LJA121" s="198"/>
      <c r="LJB121" s="199"/>
      <c r="LJC121" s="198"/>
      <c r="LJD121" s="199"/>
      <c r="LJE121" s="198"/>
      <c r="LJF121" s="199"/>
      <c r="LJG121" s="198"/>
      <c r="LJH121" s="199"/>
      <c r="LJI121" s="198"/>
      <c r="LJJ121" s="199"/>
      <c r="LJK121" s="198"/>
      <c r="LJL121" s="199"/>
      <c r="LJM121" s="198"/>
      <c r="LJN121" s="199"/>
      <c r="LJO121" s="198"/>
      <c r="LJP121" s="199"/>
      <c r="LJQ121" s="198"/>
      <c r="LJR121" s="199"/>
      <c r="LJS121" s="198"/>
      <c r="LJT121" s="199"/>
      <c r="LJU121" s="198"/>
      <c r="LJV121" s="199"/>
      <c r="LJW121" s="198"/>
      <c r="LJX121" s="199"/>
      <c r="LJY121" s="198"/>
      <c r="LJZ121" s="199"/>
      <c r="LKA121" s="198"/>
      <c r="LKB121" s="199"/>
      <c r="LKC121" s="198"/>
      <c r="LKD121" s="199"/>
      <c r="LKE121" s="198"/>
      <c r="LKF121" s="199"/>
      <c r="LKG121" s="198"/>
      <c r="LKH121" s="199"/>
      <c r="LKI121" s="198"/>
      <c r="LKJ121" s="199"/>
      <c r="LKK121" s="198"/>
      <c r="LKL121" s="199"/>
      <c r="LKM121" s="198"/>
      <c r="LKN121" s="199"/>
      <c r="LKO121" s="198"/>
      <c r="LKP121" s="199"/>
      <c r="LKQ121" s="198"/>
      <c r="LKR121" s="199"/>
      <c r="LKS121" s="198"/>
      <c r="LKT121" s="199"/>
      <c r="LKU121" s="198"/>
      <c r="LKV121" s="199"/>
      <c r="LKW121" s="198"/>
      <c r="LKX121" s="199"/>
      <c r="LKY121" s="198"/>
      <c r="LKZ121" s="199"/>
      <c r="LLA121" s="198"/>
      <c r="LLB121" s="199"/>
      <c r="LLC121" s="198"/>
      <c r="LLD121" s="199"/>
      <c r="LLE121" s="198"/>
      <c r="LLF121" s="199"/>
      <c r="LLG121" s="198"/>
      <c r="LLH121" s="199"/>
      <c r="LLI121" s="198"/>
      <c r="LLJ121" s="199"/>
      <c r="LLK121" s="198"/>
      <c r="LLL121" s="199"/>
      <c r="LLM121" s="198"/>
      <c r="LLN121" s="199"/>
      <c r="LLO121" s="198"/>
      <c r="LLP121" s="199"/>
      <c r="LLQ121" s="198"/>
      <c r="LLR121" s="199"/>
      <c r="LLS121" s="198"/>
      <c r="LLT121" s="199"/>
      <c r="LLU121" s="198"/>
      <c r="LLV121" s="199"/>
      <c r="LLW121" s="198"/>
      <c r="LLX121" s="199"/>
      <c r="LLY121" s="198"/>
      <c r="LLZ121" s="199"/>
      <c r="LMA121" s="198"/>
      <c r="LMB121" s="199"/>
      <c r="LMC121" s="198"/>
      <c r="LMD121" s="199"/>
      <c r="LME121" s="198"/>
      <c r="LMF121" s="199"/>
      <c r="LMG121" s="198"/>
      <c r="LMH121" s="199"/>
      <c r="LMI121" s="198"/>
      <c r="LMJ121" s="199"/>
      <c r="LMK121" s="198"/>
      <c r="LML121" s="199"/>
      <c r="LMM121" s="198"/>
      <c r="LMN121" s="199"/>
      <c r="LMO121" s="198"/>
      <c r="LMP121" s="199"/>
      <c r="LMQ121" s="198"/>
      <c r="LMR121" s="199"/>
      <c r="LMS121" s="198"/>
      <c r="LMT121" s="199"/>
      <c r="LMU121" s="198"/>
      <c r="LMV121" s="199"/>
      <c r="LMW121" s="198"/>
      <c r="LMX121" s="199"/>
      <c r="LMY121" s="198"/>
      <c r="LMZ121" s="199"/>
      <c r="LNA121" s="198"/>
      <c r="LNB121" s="199"/>
      <c r="LNC121" s="198"/>
      <c r="LND121" s="199"/>
      <c r="LNE121" s="198"/>
      <c r="LNF121" s="199"/>
      <c r="LNG121" s="198"/>
      <c r="LNH121" s="199"/>
      <c r="LNI121" s="198"/>
      <c r="LNJ121" s="199"/>
      <c r="LNK121" s="198"/>
      <c r="LNL121" s="199"/>
      <c r="LNM121" s="198"/>
      <c r="LNN121" s="199"/>
      <c r="LNO121" s="198"/>
      <c r="LNP121" s="199"/>
      <c r="LNQ121" s="198"/>
      <c r="LNR121" s="199"/>
      <c r="LNS121" s="198"/>
      <c r="LNT121" s="199"/>
      <c r="LNU121" s="198"/>
      <c r="LNV121" s="199"/>
      <c r="LNW121" s="198"/>
      <c r="LNX121" s="199"/>
      <c r="LNY121" s="198"/>
      <c r="LNZ121" s="199"/>
      <c r="LOA121" s="198"/>
      <c r="LOB121" s="199"/>
      <c r="LOC121" s="198"/>
      <c r="LOD121" s="199"/>
      <c r="LOE121" s="198"/>
      <c r="LOF121" s="199"/>
      <c r="LOG121" s="198"/>
      <c r="LOH121" s="199"/>
      <c r="LOI121" s="198"/>
      <c r="LOJ121" s="199"/>
      <c r="LOK121" s="198"/>
      <c r="LOL121" s="199"/>
      <c r="LOM121" s="198"/>
      <c r="LON121" s="199"/>
      <c r="LOO121" s="198"/>
      <c r="LOP121" s="199"/>
      <c r="LOQ121" s="198"/>
      <c r="LOR121" s="199"/>
      <c r="LOS121" s="198"/>
      <c r="LOT121" s="199"/>
      <c r="LOU121" s="198"/>
      <c r="LOV121" s="199"/>
      <c r="LOW121" s="198"/>
      <c r="LOX121" s="199"/>
      <c r="LOY121" s="198"/>
      <c r="LOZ121" s="199"/>
      <c r="LPA121" s="198"/>
      <c r="LPB121" s="199"/>
      <c r="LPC121" s="198"/>
      <c r="LPD121" s="199"/>
      <c r="LPE121" s="198"/>
      <c r="LPF121" s="199"/>
      <c r="LPG121" s="198"/>
      <c r="LPH121" s="199"/>
      <c r="LPI121" s="198"/>
      <c r="LPJ121" s="199"/>
      <c r="LPK121" s="198"/>
      <c r="LPL121" s="199"/>
      <c r="LPM121" s="198"/>
      <c r="LPN121" s="199"/>
      <c r="LPO121" s="198"/>
      <c r="LPP121" s="199"/>
      <c r="LPQ121" s="198"/>
      <c r="LPR121" s="199"/>
      <c r="LPS121" s="198"/>
      <c r="LPT121" s="199"/>
      <c r="LPU121" s="198"/>
      <c r="LPV121" s="199"/>
      <c r="LPW121" s="198"/>
      <c r="LPX121" s="199"/>
      <c r="LPY121" s="198"/>
      <c r="LPZ121" s="199"/>
      <c r="LQA121" s="198"/>
      <c r="LQB121" s="199"/>
      <c r="LQC121" s="198"/>
      <c r="LQD121" s="199"/>
      <c r="LQE121" s="198"/>
      <c r="LQF121" s="199"/>
      <c r="LQG121" s="198"/>
      <c r="LQH121" s="199"/>
      <c r="LQI121" s="198"/>
      <c r="LQJ121" s="199"/>
      <c r="LQK121" s="198"/>
      <c r="LQL121" s="199"/>
      <c r="LQM121" s="198"/>
      <c r="LQN121" s="199"/>
      <c r="LQO121" s="198"/>
      <c r="LQP121" s="199"/>
      <c r="LQQ121" s="198"/>
      <c r="LQR121" s="199"/>
      <c r="LQS121" s="198"/>
      <c r="LQT121" s="199"/>
      <c r="LQU121" s="198"/>
      <c r="LQV121" s="199"/>
      <c r="LQW121" s="198"/>
      <c r="LQX121" s="199"/>
      <c r="LQY121" s="198"/>
      <c r="LQZ121" s="199"/>
      <c r="LRA121" s="198"/>
      <c r="LRB121" s="199"/>
      <c r="LRC121" s="198"/>
      <c r="LRD121" s="199"/>
      <c r="LRE121" s="198"/>
      <c r="LRF121" s="199"/>
      <c r="LRG121" s="198"/>
      <c r="LRH121" s="199"/>
      <c r="LRI121" s="198"/>
      <c r="LRJ121" s="199"/>
      <c r="LRK121" s="198"/>
      <c r="LRL121" s="199"/>
      <c r="LRM121" s="198"/>
      <c r="LRN121" s="199"/>
      <c r="LRO121" s="198"/>
      <c r="LRP121" s="199"/>
      <c r="LRQ121" s="198"/>
      <c r="LRR121" s="199"/>
      <c r="LRS121" s="198"/>
      <c r="LRT121" s="199"/>
      <c r="LRU121" s="198"/>
      <c r="LRV121" s="199"/>
      <c r="LRW121" s="198"/>
      <c r="LRX121" s="199"/>
      <c r="LRY121" s="198"/>
      <c r="LRZ121" s="199"/>
      <c r="LSA121" s="198"/>
      <c r="LSB121" s="199"/>
      <c r="LSC121" s="198"/>
      <c r="LSD121" s="199"/>
      <c r="LSE121" s="198"/>
      <c r="LSF121" s="199"/>
      <c r="LSG121" s="198"/>
      <c r="LSH121" s="199"/>
      <c r="LSI121" s="198"/>
      <c r="LSJ121" s="199"/>
      <c r="LSK121" s="198"/>
      <c r="LSL121" s="199"/>
      <c r="LSM121" s="198"/>
      <c r="LSN121" s="199"/>
      <c r="LSO121" s="198"/>
      <c r="LSP121" s="199"/>
      <c r="LSQ121" s="198"/>
      <c r="LSR121" s="199"/>
      <c r="LSS121" s="198"/>
      <c r="LST121" s="199"/>
      <c r="LSU121" s="198"/>
      <c r="LSV121" s="199"/>
      <c r="LSW121" s="198"/>
      <c r="LSX121" s="199"/>
      <c r="LSY121" s="198"/>
      <c r="LSZ121" s="199"/>
      <c r="LTA121" s="198"/>
      <c r="LTB121" s="199"/>
      <c r="LTC121" s="198"/>
      <c r="LTD121" s="199"/>
      <c r="LTE121" s="198"/>
      <c r="LTF121" s="199"/>
      <c r="LTG121" s="198"/>
      <c r="LTH121" s="199"/>
      <c r="LTI121" s="198"/>
      <c r="LTJ121" s="199"/>
      <c r="LTK121" s="198"/>
      <c r="LTL121" s="199"/>
      <c r="LTM121" s="198"/>
      <c r="LTN121" s="199"/>
      <c r="LTO121" s="198"/>
      <c r="LTP121" s="199"/>
      <c r="LTQ121" s="198"/>
      <c r="LTR121" s="199"/>
      <c r="LTS121" s="198"/>
      <c r="LTT121" s="199"/>
      <c r="LTU121" s="198"/>
      <c r="LTV121" s="199"/>
      <c r="LTW121" s="198"/>
      <c r="LTX121" s="199"/>
      <c r="LTY121" s="198"/>
      <c r="LTZ121" s="199"/>
      <c r="LUA121" s="198"/>
      <c r="LUB121" s="199"/>
      <c r="LUC121" s="198"/>
      <c r="LUD121" s="199"/>
      <c r="LUE121" s="198"/>
      <c r="LUF121" s="199"/>
      <c r="LUG121" s="198"/>
      <c r="LUH121" s="199"/>
      <c r="LUI121" s="198"/>
      <c r="LUJ121" s="199"/>
      <c r="LUK121" s="198"/>
      <c r="LUL121" s="199"/>
      <c r="LUM121" s="198"/>
      <c r="LUN121" s="199"/>
      <c r="LUO121" s="198"/>
      <c r="LUP121" s="199"/>
      <c r="LUQ121" s="198"/>
      <c r="LUR121" s="199"/>
      <c r="LUS121" s="198"/>
      <c r="LUT121" s="199"/>
      <c r="LUU121" s="198"/>
      <c r="LUV121" s="199"/>
      <c r="LUW121" s="198"/>
      <c r="LUX121" s="199"/>
      <c r="LUY121" s="198"/>
      <c r="LUZ121" s="199"/>
      <c r="LVA121" s="198"/>
      <c r="LVB121" s="199"/>
      <c r="LVC121" s="198"/>
      <c r="LVD121" s="199"/>
      <c r="LVE121" s="198"/>
      <c r="LVF121" s="199"/>
      <c r="LVG121" s="198"/>
      <c r="LVH121" s="199"/>
      <c r="LVI121" s="198"/>
      <c r="LVJ121" s="199"/>
      <c r="LVK121" s="198"/>
      <c r="LVL121" s="199"/>
      <c r="LVM121" s="198"/>
      <c r="LVN121" s="199"/>
      <c r="LVO121" s="198"/>
      <c r="LVP121" s="199"/>
      <c r="LVQ121" s="198"/>
      <c r="LVR121" s="199"/>
      <c r="LVS121" s="198"/>
      <c r="LVT121" s="199"/>
      <c r="LVU121" s="198"/>
      <c r="LVV121" s="199"/>
      <c r="LVW121" s="198"/>
      <c r="LVX121" s="199"/>
      <c r="LVY121" s="198"/>
      <c r="LVZ121" s="199"/>
      <c r="LWA121" s="198"/>
      <c r="LWB121" s="199"/>
      <c r="LWC121" s="198"/>
      <c r="LWD121" s="199"/>
      <c r="LWE121" s="198"/>
      <c r="LWF121" s="199"/>
      <c r="LWG121" s="198"/>
      <c r="LWH121" s="199"/>
      <c r="LWI121" s="198"/>
      <c r="LWJ121" s="199"/>
      <c r="LWK121" s="198"/>
      <c r="LWL121" s="199"/>
      <c r="LWM121" s="198"/>
      <c r="LWN121" s="199"/>
      <c r="LWO121" s="198"/>
      <c r="LWP121" s="199"/>
      <c r="LWQ121" s="198"/>
      <c r="LWR121" s="199"/>
      <c r="LWS121" s="198"/>
      <c r="LWT121" s="199"/>
      <c r="LWU121" s="198"/>
      <c r="LWV121" s="199"/>
      <c r="LWW121" s="198"/>
      <c r="LWX121" s="199"/>
      <c r="LWY121" s="198"/>
      <c r="LWZ121" s="199"/>
      <c r="LXA121" s="198"/>
      <c r="LXB121" s="199"/>
      <c r="LXC121" s="198"/>
      <c r="LXD121" s="199"/>
      <c r="LXE121" s="198"/>
      <c r="LXF121" s="199"/>
      <c r="LXG121" s="198"/>
      <c r="LXH121" s="199"/>
      <c r="LXI121" s="198"/>
      <c r="LXJ121" s="199"/>
      <c r="LXK121" s="198"/>
      <c r="LXL121" s="199"/>
      <c r="LXM121" s="198"/>
      <c r="LXN121" s="199"/>
      <c r="LXO121" s="198"/>
      <c r="LXP121" s="199"/>
      <c r="LXQ121" s="198"/>
      <c r="LXR121" s="199"/>
      <c r="LXS121" s="198"/>
      <c r="LXT121" s="199"/>
      <c r="LXU121" s="198"/>
      <c r="LXV121" s="199"/>
      <c r="LXW121" s="198"/>
      <c r="LXX121" s="199"/>
      <c r="LXY121" s="198"/>
      <c r="LXZ121" s="199"/>
      <c r="LYA121" s="198"/>
      <c r="LYB121" s="199"/>
      <c r="LYC121" s="198"/>
      <c r="LYD121" s="199"/>
      <c r="LYE121" s="198"/>
      <c r="LYF121" s="199"/>
      <c r="LYG121" s="198"/>
      <c r="LYH121" s="199"/>
      <c r="LYI121" s="198"/>
      <c r="LYJ121" s="199"/>
      <c r="LYK121" s="198"/>
      <c r="LYL121" s="199"/>
      <c r="LYM121" s="198"/>
      <c r="LYN121" s="199"/>
      <c r="LYO121" s="198"/>
      <c r="LYP121" s="199"/>
      <c r="LYQ121" s="198"/>
      <c r="LYR121" s="199"/>
      <c r="LYS121" s="198"/>
      <c r="LYT121" s="199"/>
      <c r="LYU121" s="198"/>
      <c r="LYV121" s="199"/>
      <c r="LYW121" s="198"/>
      <c r="LYX121" s="199"/>
      <c r="LYY121" s="198"/>
      <c r="LYZ121" s="199"/>
      <c r="LZA121" s="198"/>
      <c r="LZB121" s="199"/>
      <c r="LZC121" s="198"/>
      <c r="LZD121" s="199"/>
      <c r="LZE121" s="198"/>
      <c r="LZF121" s="199"/>
      <c r="LZG121" s="198"/>
      <c r="LZH121" s="199"/>
      <c r="LZI121" s="198"/>
      <c r="LZJ121" s="199"/>
      <c r="LZK121" s="198"/>
      <c r="LZL121" s="199"/>
      <c r="LZM121" s="198"/>
      <c r="LZN121" s="199"/>
      <c r="LZO121" s="198"/>
      <c r="LZP121" s="199"/>
      <c r="LZQ121" s="198"/>
      <c r="LZR121" s="199"/>
      <c r="LZS121" s="198"/>
      <c r="LZT121" s="199"/>
      <c r="LZU121" s="198"/>
      <c r="LZV121" s="199"/>
      <c r="LZW121" s="198"/>
      <c r="LZX121" s="199"/>
      <c r="LZY121" s="198"/>
      <c r="LZZ121" s="199"/>
      <c r="MAA121" s="198"/>
      <c r="MAB121" s="199"/>
      <c r="MAC121" s="198"/>
      <c r="MAD121" s="199"/>
      <c r="MAE121" s="198"/>
      <c r="MAF121" s="199"/>
      <c r="MAG121" s="198"/>
      <c r="MAH121" s="199"/>
      <c r="MAI121" s="198"/>
      <c r="MAJ121" s="199"/>
      <c r="MAK121" s="198"/>
      <c r="MAL121" s="199"/>
      <c r="MAM121" s="198"/>
      <c r="MAN121" s="199"/>
      <c r="MAO121" s="198"/>
      <c r="MAP121" s="199"/>
      <c r="MAQ121" s="198"/>
      <c r="MAR121" s="199"/>
      <c r="MAS121" s="198"/>
      <c r="MAT121" s="199"/>
      <c r="MAU121" s="198"/>
      <c r="MAV121" s="199"/>
      <c r="MAW121" s="198"/>
      <c r="MAX121" s="199"/>
      <c r="MAY121" s="198"/>
      <c r="MAZ121" s="199"/>
      <c r="MBA121" s="198"/>
      <c r="MBB121" s="199"/>
      <c r="MBC121" s="198"/>
      <c r="MBD121" s="199"/>
      <c r="MBE121" s="198"/>
      <c r="MBF121" s="199"/>
      <c r="MBG121" s="198"/>
      <c r="MBH121" s="199"/>
      <c r="MBI121" s="198"/>
      <c r="MBJ121" s="199"/>
      <c r="MBK121" s="198"/>
      <c r="MBL121" s="199"/>
      <c r="MBM121" s="198"/>
      <c r="MBN121" s="199"/>
      <c r="MBO121" s="198"/>
      <c r="MBP121" s="199"/>
      <c r="MBQ121" s="198"/>
      <c r="MBR121" s="199"/>
      <c r="MBS121" s="198"/>
      <c r="MBT121" s="199"/>
      <c r="MBU121" s="198"/>
      <c r="MBV121" s="199"/>
      <c r="MBW121" s="198"/>
      <c r="MBX121" s="199"/>
      <c r="MBY121" s="198"/>
      <c r="MBZ121" s="199"/>
      <c r="MCA121" s="198"/>
      <c r="MCB121" s="199"/>
      <c r="MCC121" s="198"/>
      <c r="MCD121" s="199"/>
      <c r="MCE121" s="198"/>
      <c r="MCF121" s="199"/>
      <c r="MCG121" s="198"/>
      <c r="MCH121" s="199"/>
      <c r="MCI121" s="198"/>
      <c r="MCJ121" s="199"/>
      <c r="MCK121" s="198"/>
      <c r="MCL121" s="199"/>
      <c r="MCM121" s="198"/>
      <c r="MCN121" s="199"/>
      <c r="MCO121" s="198"/>
      <c r="MCP121" s="199"/>
      <c r="MCQ121" s="198"/>
      <c r="MCR121" s="199"/>
      <c r="MCS121" s="198"/>
      <c r="MCT121" s="199"/>
      <c r="MCU121" s="198"/>
      <c r="MCV121" s="199"/>
      <c r="MCW121" s="198"/>
      <c r="MCX121" s="199"/>
      <c r="MCY121" s="198"/>
      <c r="MCZ121" s="199"/>
      <c r="MDA121" s="198"/>
      <c r="MDB121" s="199"/>
      <c r="MDC121" s="198"/>
      <c r="MDD121" s="199"/>
      <c r="MDE121" s="198"/>
      <c r="MDF121" s="199"/>
      <c r="MDG121" s="198"/>
      <c r="MDH121" s="199"/>
      <c r="MDI121" s="198"/>
      <c r="MDJ121" s="199"/>
      <c r="MDK121" s="198"/>
      <c r="MDL121" s="199"/>
      <c r="MDM121" s="198"/>
      <c r="MDN121" s="199"/>
      <c r="MDO121" s="198"/>
      <c r="MDP121" s="199"/>
      <c r="MDQ121" s="198"/>
      <c r="MDR121" s="199"/>
      <c r="MDS121" s="198"/>
      <c r="MDT121" s="199"/>
      <c r="MDU121" s="198"/>
      <c r="MDV121" s="199"/>
      <c r="MDW121" s="198"/>
      <c r="MDX121" s="199"/>
      <c r="MDY121" s="198"/>
      <c r="MDZ121" s="199"/>
      <c r="MEA121" s="198"/>
      <c r="MEB121" s="199"/>
      <c r="MEC121" s="198"/>
      <c r="MED121" s="199"/>
      <c r="MEE121" s="198"/>
      <c r="MEF121" s="199"/>
      <c r="MEG121" s="198"/>
      <c r="MEH121" s="199"/>
      <c r="MEI121" s="198"/>
      <c r="MEJ121" s="199"/>
      <c r="MEK121" s="198"/>
      <c r="MEL121" s="199"/>
      <c r="MEM121" s="198"/>
      <c r="MEN121" s="199"/>
      <c r="MEO121" s="198"/>
      <c r="MEP121" s="199"/>
      <c r="MEQ121" s="198"/>
      <c r="MER121" s="199"/>
      <c r="MES121" s="198"/>
      <c r="MET121" s="199"/>
      <c r="MEU121" s="198"/>
      <c r="MEV121" s="199"/>
      <c r="MEW121" s="198"/>
      <c r="MEX121" s="199"/>
      <c r="MEY121" s="198"/>
      <c r="MEZ121" s="199"/>
      <c r="MFA121" s="198"/>
      <c r="MFB121" s="199"/>
      <c r="MFC121" s="198"/>
      <c r="MFD121" s="199"/>
      <c r="MFE121" s="198"/>
      <c r="MFF121" s="199"/>
      <c r="MFG121" s="198"/>
      <c r="MFH121" s="199"/>
      <c r="MFI121" s="198"/>
      <c r="MFJ121" s="199"/>
      <c r="MFK121" s="198"/>
      <c r="MFL121" s="199"/>
      <c r="MFM121" s="198"/>
      <c r="MFN121" s="199"/>
      <c r="MFO121" s="198"/>
      <c r="MFP121" s="199"/>
      <c r="MFQ121" s="198"/>
      <c r="MFR121" s="199"/>
      <c r="MFS121" s="198"/>
      <c r="MFT121" s="199"/>
      <c r="MFU121" s="198"/>
      <c r="MFV121" s="199"/>
      <c r="MFW121" s="198"/>
      <c r="MFX121" s="199"/>
      <c r="MFY121" s="198"/>
      <c r="MFZ121" s="199"/>
      <c r="MGA121" s="198"/>
      <c r="MGB121" s="199"/>
      <c r="MGC121" s="198"/>
      <c r="MGD121" s="199"/>
      <c r="MGE121" s="198"/>
      <c r="MGF121" s="199"/>
      <c r="MGG121" s="198"/>
      <c r="MGH121" s="199"/>
      <c r="MGI121" s="198"/>
      <c r="MGJ121" s="199"/>
      <c r="MGK121" s="198"/>
      <c r="MGL121" s="199"/>
      <c r="MGM121" s="198"/>
      <c r="MGN121" s="199"/>
      <c r="MGO121" s="198"/>
      <c r="MGP121" s="199"/>
      <c r="MGQ121" s="198"/>
      <c r="MGR121" s="199"/>
      <c r="MGS121" s="198"/>
      <c r="MGT121" s="199"/>
      <c r="MGU121" s="198"/>
      <c r="MGV121" s="199"/>
      <c r="MGW121" s="198"/>
      <c r="MGX121" s="199"/>
      <c r="MGY121" s="198"/>
      <c r="MGZ121" s="199"/>
      <c r="MHA121" s="198"/>
      <c r="MHB121" s="199"/>
      <c r="MHC121" s="198"/>
      <c r="MHD121" s="199"/>
      <c r="MHE121" s="198"/>
      <c r="MHF121" s="199"/>
      <c r="MHG121" s="198"/>
      <c r="MHH121" s="199"/>
      <c r="MHI121" s="198"/>
      <c r="MHJ121" s="199"/>
      <c r="MHK121" s="198"/>
      <c r="MHL121" s="199"/>
      <c r="MHM121" s="198"/>
      <c r="MHN121" s="199"/>
      <c r="MHO121" s="198"/>
      <c r="MHP121" s="199"/>
      <c r="MHQ121" s="198"/>
      <c r="MHR121" s="199"/>
      <c r="MHS121" s="198"/>
      <c r="MHT121" s="199"/>
      <c r="MHU121" s="198"/>
      <c r="MHV121" s="199"/>
      <c r="MHW121" s="198"/>
      <c r="MHX121" s="199"/>
      <c r="MHY121" s="198"/>
      <c r="MHZ121" s="199"/>
      <c r="MIA121" s="198"/>
      <c r="MIB121" s="199"/>
      <c r="MIC121" s="198"/>
      <c r="MID121" s="199"/>
      <c r="MIE121" s="198"/>
      <c r="MIF121" s="199"/>
      <c r="MIG121" s="198"/>
      <c r="MIH121" s="199"/>
      <c r="MII121" s="198"/>
      <c r="MIJ121" s="199"/>
      <c r="MIK121" s="198"/>
      <c r="MIL121" s="199"/>
      <c r="MIM121" s="198"/>
      <c r="MIN121" s="199"/>
      <c r="MIO121" s="198"/>
      <c r="MIP121" s="199"/>
      <c r="MIQ121" s="198"/>
      <c r="MIR121" s="199"/>
      <c r="MIS121" s="198"/>
      <c r="MIT121" s="199"/>
      <c r="MIU121" s="198"/>
      <c r="MIV121" s="199"/>
      <c r="MIW121" s="198"/>
      <c r="MIX121" s="199"/>
      <c r="MIY121" s="198"/>
      <c r="MIZ121" s="199"/>
      <c r="MJA121" s="198"/>
      <c r="MJB121" s="199"/>
      <c r="MJC121" s="198"/>
      <c r="MJD121" s="199"/>
      <c r="MJE121" s="198"/>
      <c r="MJF121" s="199"/>
      <c r="MJG121" s="198"/>
      <c r="MJH121" s="199"/>
      <c r="MJI121" s="198"/>
      <c r="MJJ121" s="199"/>
      <c r="MJK121" s="198"/>
      <c r="MJL121" s="199"/>
      <c r="MJM121" s="198"/>
      <c r="MJN121" s="199"/>
      <c r="MJO121" s="198"/>
      <c r="MJP121" s="199"/>
      <c r="MJQ121" s="198"/>
      <c r="MJR121" s="199"/>
      <c r="MJS121" s="198"/>
      <c r="MJT121" s="199"/>
      <c r="MJU121" s="198"/>
      <c r="MJV121" s="199"/>
      <c r="MJW121" s="198"/>
      <c r="MJX121" s="199"/>
      <c r="MJY121" s="198"/>
      <c r="MJZ121" s="199"/>
      <c r="MKA121" s="198"/>
      <c r="MKB121" s="199"/>
      <c r="MKC121" s="198"/>
      <c r="MKD121" s="199"/>
      <c r="MKE121" s="198"/>
      <c r="MKF121" s="199"/>
      <c r="MKG121" s="198"/>
      <c r="MKH121" s="199"/>
      <c r="MKI121" s="198"/>
      <c r="MKJ121" s="199"/>
      <c r="MKK121" s="198"/>
      <c r="MKL121" s="199"/>
      <c r="MKM121" s="198"/>
      <c r="MKN121" s="199"/>
      <c r="MKO121" s="198"/>
      <c r="MKP121" s="199"/>
      <c r="MKQ121" s="198"/>
      <c r="MKR121" s="199"/>
      <c r="MKS121" s="198"/>
      <c r="MKT121" s="199"/>
      <c r="MKU121" s="198"/>
      <c r="MKV121" s="199"/>
      <c r="MKW121" s="198"/>
      <c r="MKX121" s="199"/>
      <c r="MKY121" s="198"/>
      <c r="MKZ121" s="199"/>
      <c r="MLA121" s="198"/>
      <c r="MLB121" s="199"/>
      <c r="MLC121" s="198"/>
      <c r="MLD121" s="199"/>
      <c r="MLE121" s="198"/>
      <c r="MLF121" s="199"/>
      <c r="MLG121" s="198"/>
      <c r="MLH121" s="199"/>
      <c r="MLI121" s="198"/>
      <c r="MLJ121" s="199"/>
      <c r="MLK121" s="198"/>
      <c r="MLL121" s="199"/>
      <c r="MLM121" s="198"/>
      <c r="MLN121" s="199"/>
      <c r="MLO121" s="198"/>
      <c r="MLP121" s="199"/>
      <c r="MLQ121" s="198"/>
      <c r="MLR121" s="199"/>
      <c r="MLS121" s="198"/>
      <c r="MLT121" s="199"/>
      <c r="MLU121" s="198"/>
      <c r="MLV121" s="199"/>
      <c r="MLW121" s="198"/>
      <c r="MLX121" s="199"/>
      <c r="MLY121" s="198"/>
      <c r="MLZ121" s="199"/>
      <c r="MMA121" s="198"/>
      <c r="MMB121" s="199"/>
      <c r="MMC121" s="198"/>
      <c r="MMD121" s="199"/>
      <c r="MME121" s="198"/>
      <c r="MMF121" s="199"/>
      <c r="MMG121" s="198"/>
      <c r="MMH121" s="199"/>
      <c r="MMI121" s="198"/>
      <c r="MMJ121" s="199"/>
      <c r="MMK121" s="198"/>
      <c r="MML121" s="199"/>
      <c r="MMM121" s="198"/>
      <c r="MMN121" s="199"/>
      <c r="MMO121" s="198"/>
      <c r="MMP121" s="199"/>
      <c r="MMQ121" s="198"/>
      <c r="MMR121" s="199"/>
      <c r="MMS121" s="198"/>
      <c r="MMT121" s="199"/>
      <c r="MMU121" s="198"/>
      <c r="MMV121" s="199"/>
      <c r="MMW121" s="198"/>
      <c r="MMX121" s="199"/>
      <c r="MMY121" s="198"/>
      <c r="MMZ121" s="199"/>
      <c r="MNA121" s="198"/>
      <c r="MNB121" s="199"/>
      <c r="MNC121" s="198"/>
      <c r="MND121" s="199"/>
      <c r="MNE121" s="198"/>
      <c r="MNF121" s="199"/>
      <c r="MNG121" s="198"/>
      <c r="MNH121" s="199"/>
      <c r="MNI121" s="198"/>
      <c r="MNJ121" s="199"/>
      <c r="MNK121" s="198"/>
      <c r="MNL121" s="199"/>
      <c r="MNM121" s="198"/>
      <c r="MNN121" s="199"/>
      <c r="MNO121" s="198"/>
      <c r="MNP121" s="199"/>
      <c r="MNQ121" s="198"/>
      <c r="MNR121" s="199"/>
      <c r="MNS121" s="198"/>
      <c r="MNT121" s="199"/>
      <c r="MNU121" s="198"/>
      <c r="MNV121" s="199"/>
      <c r="MNW121" s="198"/>
      <c r="MNX121" s="199"/>
      <c r="MNY121" s="198"/>
      <c r="MNZ121" s="199"/>
      <c r="MOA121" s="198"/>
      <c r="MOB121" s="199"/>
      <c r="MOC121" s="198"/>
      <c r="MOD121" s="199"/>
      <c r="MOE121" s="198"/>
      <c r="MOF121" s="199"/>
      <c r="MOG121" s="198"/>
      <c r="MOH121" s="199"/>
      <c r="MOI121" s="198"/>
      <c r="MOJ121" s="199"/>
      <c r="MOK121" s="198"/>
      <c r="MOL121" s="199"/>
      <c r="MOM121" s="198"/>
      <c r="MON121" s="199"/>
      <c r="MOO121" s="198"/>
      <c r="MOP121" s="199"/>
      <c r="MOQ121" s="198"/>
      <c r="MOR121" s="199"/>
      <c r="MOS121" s="198"/>
      <c r="MOT121" s="199"/>
      <c r="MOU121" s="198"/>
      <c r="MOV121" s="199"/>
      <c r="MOW121" s="198"/>
      <c r="MOX121" s="199"/>
      <c r="MOY121" s="198"/>
      <c r="MOZ121" s="199"/>
      <c r="MPA121" s="198"/>
      <c r="MPB121" s="199"/>
      <c r="MPC121" s="198"/>
      <c r="MPD121" s="199"/>
      <c r="MPE121" s="198"/>
      <c r="MPF121" s="199"/>
      <c r="MPG121" s="198"/>
      <c r="MPH121" s="199"/>
      <c r="MPI121" s="198"/>
      <c r="MPJ121" s="199"/>
      <c r="MPK121" s="198"/>
      <c r="MPL121" s="199"/>
      <c r="MPM121" s="198"/>
      <c r="MPN121" s="199"/>
      <c r="MPO121" s="198"/>
      <c r="MPP121" s="199"/>
      <c r="MPQ121" s="198"/>
      <c r="MPR121" s="199"/>
      <c r="MPS121" s="198"/>
      <c r="MPT121" s="199"/>
      <c r="MPU121" s="198"/>
      <c r="MPV121" s="199"/>
      <c r="MPW121" s="198"/>
      <c r="MPX121" s="199"/>
      <c r="MPY121" s="198"/>
      <c r="MPZ121" s="199"/>
      <c r="MQA121" s="198"/>
      <c r="MQB121" s="199"/>
      <c r="MQC121" s="198"/>
      <c r="MQD121" s="199"/>
      <c r="MQE121" s="198"/>
      <c r="MQF121" s="199"/>
      <c r="MQG121" s="198"/>
      <c r="MQH121" s="199"/>
      <c r="MQI121" s="198"/>
      <c r="MQJ121" s="199"/>
      <c r="MQK121" s="198"/>
      <c r="MQL121" s="199"/>
      <c r="MQM121" s="198"/>
      <c r="MQN121" s="199"/>
      <c r="MQO121" s="198"/>
      <c r="MQP121" s="199"/>
      <c r="MQQ121" s="198"/>
      <c r="MQR121" s="199"/>
      <c r="MQS121" s="198"/>
      <c r="MQT121" s="199"/>
      <c r="MQU121" s="198"/>
      <c r="MQV121" s="199"/>
      <c r="MQW121" s="198"/>
      <c r="MQX121" s="199"/>
      <c r="MQY121" s="198"/>
      <c r="MQZ121" s="199"/>
      <c r="MRA121" s="198"/>
      <c r="MRB121" s="199"/>
      <c r="MRC121" s="198"/>
      <c r="MRD121" s="199"/>
      <c r="MRE121" s="198"/>
      <c r="MRF121" s="199"/>
      <c r="MRG121" s="198"/>
      <c r="MRH121" s="199"/>
      <c r="MRI121" s="198"/>
      <c r="MRJ121" s="199"/>
      <c r="MRK121" s="198"/>
      <c r="MRL121" s="199"/>
      <c r="MRM121" s="198"/>
      <c r="MRN121" s="199"/>
      <c r="MRO121" s="198"/>
      <c r="MRP121" s="199"/>
      <c r="MRQ121" s="198"/>
      <c r="MRR121" s="199"/>
      <c r="MRS121" s="198"/>
      <c r="MRT121" s="199"/>
      <c r="MRU121" s="198"/>
      <c r="MRV121" s="199"/>
      <c r="MRW121" s="198"/>
      <c r="MRX121" s="199"/>
      <c r="MRY121" s="198"/>
      <c r="MRZ121" s="199"/>
      <c r="MSA121" s="198"/>
      <c r="MSB121" s="199"/>
      <c r="MSC121" s="198"/>
      <c r="MSD121" s="199"/>
      <c r="MSE121" s="198"/>
      <c r="MSF121" s="199"/>
      <c r="MSG121" s="198"/>
      <c r="MSH121" s="199"/>
      <c r="MSI121" s="198"/>
      <c r="MSJ121" s="199"/>
      <c r="MSK121" s="198"/>
      <c r="MSL121" s="199"/>
      <c r="MSM121" s="198"/>
      <c r="MSN121" s="199"/>
      <c r="MSO121" s="198"/>
      <c r="MSP121" s="199"/>
      <c r="MSQ121" s="198"/>
      <c r="MSR121" s="199"/>
      <c r="MSS121" s="198"/>
      <c r="MST121" s="199"/>
      <c r="MSU121" s="198"/>
      <c r="MSV121" s="199"/>
      <c r="MSW121" s="198"/>
      <c r="MSX121" s="199"/>
      <c r="MSY121" s="198"/>
      <c r="MSZ121" s="199"/>
      <c r="MTA121" s="198"/>
      <c r="MTB121" s="199"/>
      <c r="MTC121" s="198"/>
      <c r="MTD121" s="199"/>
      <c r="MTE121" s="198"/>
      <c r="MTF121" s="199"/>
      <c r="MTG121" s="198"/>
      <c r="MTH121" s="199"/>
      <c r="MTI121" s="198"/>
      <c r="MTJ121" s="199"/>
      <c r="MTK121" s="198"/>
      <c r="MTL121" s="199"/>
      <c r="MTM121" s="198"/>
      <c r="MTN121" s="199"/>
      <c r="MTO121" s="198"/>
      <c r="MTP121" s="199"/>
      <c r="MTQ121" s="198"/>
      <c r="MTR121" s="199"/>
      <c r="MTS121" s="198"/>
      <c r="MTT121" s="199"/>
      <c r="MTU121" s="198"/>
      <c r="MTV121" s="199"/>
      <c r="MTW121" s="198"/>
      <c r="MTX121" s="199"/>
      <c r="MTY121" s="198"/>
      <c r="MTZ121" s="199"/>
      <c r="MUA121" s="198"/>
      <c r="MUB121" s="199"/>
      <c r="MUC121" s="198"/>
      <c r="MUD121" s="199"/>
      <c r="MUE121" s="198"/>
      <c r="MUF121" s="199"/>
      <c r="MUG121" s="198"/>
      <c r="MUH121" s="199"/>
      <c r="MUI121" s="198"/>
      <c r="MUJ121" s="199"/>
      <c r="MUK121" s="198"/>
      <c r="MUL121" s="199"/>
      <c r="MUM121" s="198"/>
      <c r="MUN121" s="199"/>
      <c r="MUO121" s="198"/>
      <c r="MUP121" s="199"/>
      <c r="MUQ121" s="198"/>
      <c r="MUR121" s="199"/>
      <c r="MUS121" s="198"/>
      <c r="MUT121" s="199"/>
      <c r="MUU121" s="198"/>
      <c r="MUV121" s="199"/>
      <c r="MUW121" s="198"/>
      <c r="MUX121" s="199"/>
      <c r="MUY121" s="198"/>
      <c r="MUZ121" s="199"/>
      <c r="MVA121" s="198"/>
      <c r="MVB121" s="199"/>
      <c r="MVC121" s="198"/>
      <c r="MVD121" s="199"/>
      <c r="MVE121" s="198"/>
      <c r="MVF121" s="199"/>
      <c r="MVG121" s="198"/>
      <c r="MVH121" s="199"/>
      <c r="MVI121" s="198"/>
      <c r="MVJ121" s="199"/>
      <c r="MVK121" s="198"/>
      <c r="MVL121" s="199"/>
      <c r="MVM121" s="198"/>
      <c r="MVN121" s="199"/>
      <c r="MVO121" s="198"/>
      <c r="MVP121" s="199"/>
      <c r="MVQ121" s="198"/>
      <c r="MVR121" s="199"/>
      <c r="MVS121" s="198"/>
      <c r="MVT121" s="199"/>
      <c r="MVU121" s="198"/>
      <c r="MVV121" s="199"/>
      <c r="MVW121" s="198"/>
      <c r="MVX121" s="199"/>
      <c r="MVY121" s="198"/>
      <c r="MVZ121" s="199"/>
      <c r="MWA121" s="198"/>
      <c r="MWB121" s="199"/>
      <c r="MWC121" s="198"/>
      <c r="MWD121" s="199"/>
      <c r="MWE121" s="198"/>
      <c r="MWF121" s="199"/>
      <c r="MWG121" s="198"/>
      <c r="MWH121" s="199"/>
      <c r="MWI121" s="198"/>
      <c r="MWJ121" s="199"/>
      <c r="MWK121" s="198"/>
      <c r="MWL121" s="199"/>
      <c r="MWM121" s="198"/>
      <c r="MWN121" s="199"/>
      <c r="MWO121" s="198"/>
      <c r="MWP121" s="199"/>
      <c r="MWQ121" s="198"/>
      <c r="MWR121" s="199"/>
      <c r="MWS121" s="198"/>
      <c r="MWT121" s="199"/>
      <c r="MWU121" s="198"/>
      <c r="MWV121" s="199"/>
      <c r="MWW121" s="198"/>
      <c r="MWX121" s="199"/>
      <c r="MWY121" s="198"/>
      <c r="MWZ121" s="199"/>
      <c r="MXA121" s="198"/>
      <c r="MXB121" s="199"/>
      <c r="MXC121" s="198"/>
      <c r="MXD121" s="199"/>
      <c r="MXE121" s="198"/>
      <c r="MXF121" s="199"/>
      <c r="MXG121" s="198"/>
      <c r="MXH121" s="199"/>
      <c r="MXI121" s="198"/>
      <c r="MXJ121" s="199"/>
      <c r="MXK121" s="198"/>
      <c r="MXL121" s="199"/>
      <c r="MXM121" s="198"/>
      <c r="MXN121" s="199"/>
      <c r="MXO121" s="198"/>
      <c r="MXP121" s="199"/>
      <c r="MXQ121" s="198"/>
      <c r="MXR121" s="199"/>
      <c r="MXS121" s="198"/>
      <c r="MXT121" s="199"/>
      <c r="MXU121" s="198"/>
      <c r="MXV121" s="199"/>
      <c r="MXW121" s="198"/>
      <c r="MXX121" s="199"/>
      <c r="MXY121" s="198"/>
      <c r="MXZ121" s="199"/>
      <c r="MYA121" s="198"/>
      <c r="MYB121" s="199"/>
      <c r="MYC121" s="198"/>
      <c r="MYD121" s="199"/>
      <c r="MYE121" s="198"/>
      <c r="MYF121" s="199"/>
      <c r="MYG121" s="198"/>
      <c r="MYH121" s="199"/>
      <c r="MYI121" s="198"/>
      <c r="MYJ121" s="199"/>
      <c r="MYK121" s="198"/>
      <c r="MYL121" s="199"/>
      <c r="MYM121" s="198"/>
      <c r="MYN121" s="199"/>
      <c r="MYO121" s="198"/>
      <c r="MYP121" s="199"/>
      <c r="MYQ121" s="198"/>
      <c r="MYR121" s="199"/>
      <c r="MYS121" s="198"/>
      <c r="MYT121" s="199"/>
      <c r="MYU121" s="198"/>
      <c r="MYV121" s="199"/>
      <c r="MYW121" s="198"/>
      <c r="MYX121" s="199"/>
      <c r="MYY121" s="198"/>
      <c r="MYZ121" s="199"/>
      <c r="MZA121" s="198"/>
      <c r="MZB121" s="199"/>
      <c r="MZC121" s="198"/>
      <c r="MZD121" s="199"/>
      <c r="MZE121" s="198"/>
      <c r="MZF121" s="199"/>
      <c r="MZG121" s="198"/>
      <c r="MZH121" s="199"/>
      <c r="MZI121" s="198"/>
      <c r="MZJ121" s="199"/>
      <c r="MZK121" s="198"/>
      <c r="MZL121" s="199"/>
      <c r="MZM121" s="198"/>
      <c r="MZN121" s="199"/>
      <c r="MZO121" s="198"/>
      <c r="MZP121" s="199"/>
      <c r="MZQ121" s="198"/>
      <c r="MZR121" s="199"/>
      <c r="MZS121" s="198"/>
      <c r="MZT121" s="199"/>
      <c r="MZU121" s="198"/>
      <c r="MZV121" s="199"/>
      <c r="MZW121" s="198"/>
      <c r="MZX121" s="199"/>
      <c r="MZY121" s="198"/>
      <c r="MZZ121" s="199"/>
      <c r="NAA121" s="198"/>
      <c r="NAB121" s="199"/>
      <c r="NAC121" s="198"/>
      <c r="NAD121" s="199"/>
      <c r="NAE121" s="198"/>
      <c r="NAF121" s="199"/>
      <c r="NAG121" s="198"/>
      <c r="NAH121" s="199"/>
      <c r="NAI121" s="198"/>
      <c r="NAJ121" s="199"/>
      <c r="NAK121" s="198"/>
      <c r="NAL121" s="199"/>
      <c r="NAM121" s="198"/>
      <c r="NAN121" s="199"/>
      <c r="NAO121" s="198"/>
      <c r="NAP121" s="199"/>
      <c r="NAQ121" s="198"/>
      <c r="NAR121" s="199"/>
      <c r="NAS121" s="198"/>
      <c r="NAT121" s="199"/>
      <c r="NAU121" s="198"/>
      <c r="NAV121" s="199"/>
      <c r="NAW121" s="198"/>
      <c r="NAX121" s="199"/>
      <c r="NAY121" s="198"/>
      <c r="NAZ121" s="199"/>
      <c r="NBA121" s="198"/>
      <c r="NBB121" s="199"/>
      <c r="NBC121" s="198"/>
      <c r="NBD121" s="199"/>
      <c r="NBE121" s="198"/>
      <c r="NBF121" s="199"/>
      <c r="NBG121" s="198"/>
      <c r="NBH121" s="199"/>
      <c r="NBI121" s="198"/>
      <c r="NBJ121" s="199"/>
      <c r="NBK121" s="198"/>
      <c r="NBL121" s="199"/>
      <c r="NBM121" s="198"/>
      <c r="NBN121" s="199"/>
      <c r="NBO121" s="198"/>
      <c r="NBP121" s="199"/>
      <c r="NBQ121" s="198"/>
      <c r="NBR121" s="199"/>
      <c r="NBS121" s="198"/>
      <c r="NBT121" s="199"/>
      <c r="NBU121" s="198"/>
      <c r="NBV121" s="199"/>
      <c r="NBW121" s="198"/>
      <c r="NBX121" s="199"/>
      <c r="NBY121" s="198"/>
      <c r="NBZ121" s="199"/>
      <c r="NCA121" s="198"/>
      <c r="NCB121" s="199"/>
      <c r="NCC121" s="198"/>
      <c r="NCD121" s="199"/>
      <c r="NCE121" s="198"/>
      <c r="NCF121" s="199"/>
      <c r="NCG121" s="198"/>
      <c r="NCH121" s="199"/>
      <c r="NCI121" s="198"/>
      <c r="NCJ121" s="199"/>
      <c r="NCK121" s="198"/>
      <c r="NCL121" s="199"/>
      <c r="NCM121" s="198"/>
      <c r="NCN121" s="199"/>
      <c r="NCO121" s="198"/>
      <c r="NCP121" s="199"/>
      <c r="NCQ121" s="198"/>
      <c r="NCR121" s="199"/>
      <c r="NCS121" s="198"/>
      <c r="NCT121" s="199"/>
      <c r="NCU121" s="198"/>
      <c r="NCV121" s="199"/>
      <c r="NCW121" s="198"/>
      <c r="NCX121" s="199"/>
      <c r="NCY121" s="198"/>
      <c r="NCZ121" s="199"/>
      <c r="NDA121" s="198"/>
      <c r="NDB121" s="199"/>
      <c r="NDC121" s="198"/>
      <c r="NDD121" s="199"/>
      <c r="NDE121" s="198"/>
      <c r="NDF121" s="199"/>
      <c r="NDG121" s="198"/>
      <c r="NDH121" s="199"/>
      <c r="NDI121" s="198"/>
      <c r="NDJ121" s="199"/>
      <c r="NDK121" s="198"/>
      <c r="NDL121" s="199"/>
      <c r="NDM121" s="198"/>
      <c r="NDN121" s="199"/>
      <c r="NDO121" s="198"/>
      <c r="NDP121" s="199"/>
      <c r="NDQ121" s="198"/>
      <c r="NDR121" s="199"/>
      <c r="NDS121" s="198"/>
      <c r="NDT121" s="199"/>
      <c r="NDU121" s="198"/>
      <c r="NDV121" s="199"/>
      <c r="NDW121" s="198"/>
      <c r="NDX121" s="199"/>
      <c r="NDY121" s="198"/>
      <c r="NDZ121" s="199"/>
      <c r="NEA121" s="198"/>
      <c r="NEB121" s="199"/>
      <c r="NEC121" s="198"/>
      <c r="NED121" s="199"/>
      <c r="NEE121" s="198"/>
      <c r="NEF121" s="199"/>
      <c r="NEG121" s="198"/>
      <c r="NEH121" s="199"/>
      <c r="NEI121" s="198"/>
      <c r="NEJ121" s="199"/>
      <c r="NEK121" s="198"/>
      <c r="NEL121" s="199"/>
      <c r="NEM121" s="198"/>
      <c r="NEN121" s="199"/>
      <c r="NEO121" s="198"/>
      <c r="NEP121" s="199"/>
      <c r="NEQ121" s="198"/>
      <c r="NER121" s="199"/>
      <c r="NES121" s="198"/>
      <c r="NET121" s="199"/>
      <c r="NEU121" s="198"/>
      <c r="NEV121" s="199"/>
      <c r="NEW121" s="198"/>
      <c r="NEX121" s="199"/>
      <c r="NEY121" s="198"/>
      <c r="NEZ121" s="199"/>
      <c r="NFA121" s="198"/>
      <c r="NFB121" s="199"/>
      <c r="NFC121" s="198"/>
      <c r="NFD121" s="199"/>
      <c r="NFE121" s="198"/>
      <c r="NFF121" s="199"/>
      <c r="NFG121" s="198"/>
      <c r="NFH121" s="199"/>
      <c r="NFI121" s="198"/>
      <c r="NFJ121" s="199"/>
      <c r="NFK121" s="198"/>
      <c r="NFL121" s="199"/>
      <c r="NFM121" s="198"/>
      <c r="NFN121" s="199"/>
      <c r="NFO121" s="198"/>
      <c r="NFP121" s="199"/>
      <c r="NFQ121" s="198"/>
      <c r="NFR121" s="199"/>
      <c r="NFS121" s="198"/>
      <c r="NFT121" s="199"/>
      <c r="NFU121" s="198"/>
      <c r="NFV121" s="199"/>
      <c r="NFW121" s="198"/>
      <c r="NFX121" s="199"/>
      <c r="NFY121" s="198"/>
      <c r="NFZ121" s="199"/>
      <c r="NGA121" s="198"/>
      <c r="NGB121" s="199"/>
      <c r="NGC121" s="198"/>
      <c r="NGD121" s="199"/>
      <c r="NGE121" s="198"/>
      <c r="NGF121" s="199"/>
      <c r="NGG121" s="198"/>
      <c r="NGH121" s="199"/>
      <c r="NGI121" s="198"/>
      <c r="NGJ121" s="199"/>
      <c r="NGK121" s="198"/>
      <c r="NGL121" s="199"/>
      <c r="NGM121" s="198"/>
      <c r="NGN121" s="199"/>
      <c r="NGO121" s="198"/>
      <c r="NGP121" s="199"/>
      <c r="NGQ121" s="198"/>
      <c r="NGR121" s="199"/>
      <c r="NGS121" s="198"/>
      <c r="NGT121" s="199"/>
      <c r="NGU121" s="198"/>
      <c r="NGV121" s="199"/>
      <c r="NGW121" s="198"/>
      <c r="NGX121" s="199"/>
      <c r="NGY121" s="198"/>
      <c r="NGZ121" s="199"/>
      <c r="NHA121" s="198"/>
      <c r="NHB121" s="199"/>
      <c r="NHC121" s="198"/>
      <c r="NHD121" s="199"/>
      <c r="NHE121" s="198"/>
      <c r="NHF121" s="199"/>
      <c r="NHG121" s="198"/>
      <c r="NHH121" s="199"/>
      <c r="NHI121" s="198"/>
      <c r="NHJ121" s="199"/>
      <c r="NHK121" s="198"/>
      <c r="NHL121" s="199"/>
      <c r="NHM121" s="198"/>
      <c r="NHN121" s="199"/>
      <c r="NHO121" s="198"/>
      <c r="NHP121" s="199"/>
      <c r="NHQ121" s="198"/>
      <c r="NHR121" s="199"/>
      <c r="NHS121" s="198"/>
      <c r="NHT121" s="199"/>
      <c r="NHU121" s="198"/>
      <c r="NHV121" s="199"/>
      <c r="NHW121" s="198"/>
      <c r="NHX121" s="199"/>
      <c r="NHY121" s="198"/>
      <c r="NHZ121" s="199"/>
      <c r="NIA121" s="198"/>
      <c r="NIB121" s="199"/>
      <c r="NIC121" s="198"/>
      <c r="NID121" s="199"/>
      <c r="NIE121" s="198"/>
      <c r="NIF121" s="199"/>
      <c r="NIG121" s="198"/>
      <c r="NIH121" s="199"/>
      <c r="NII121" s="198"/>
      <c r="NIJ121" s="199"/>
      <c r="NIK121" s="198"/>
      <c r="NIL121" s="199"/>
      <c r="NIM121" s="198"/>
      <c r="NIN121" s="199"/>
      <c r="NIO121" s="198"/>
      <c r="NIP121" s="199"/>
      <c r="NIQ121" s="198"/>
      <c r="NIR121" s="199"/>
      <c r="NIS121" s="198"/>
      <c r="NIT121" s="199"/>
      <c r="NIU121" s="198"/>
      <c r="NIV121" s="199"/>
      <c r="NIW121" s="198"/>
      <c r="NIX121" s="199"/>
      <c r="NIY121" s="198"/>
      <c r="NIZ121" s="199"/>
      <c r="NJA121" s="198"/>
      <c r="NJB121" s="199"/>
      <c r="NJC121" s="198"/>
      <c r="NJD121" s="199"/>
      <c r="NJE121" s="198"/>
      <c r="NJF121" s="199"/>
      <c r="NJG121" s="198"/>
      <c r="NJH121" s="199"/>
      <c r="NJI121" s="198"/>
      <c r="NJJ121" s="199"/>
      <c r="NJK121" s="198"/>
      <c r="NJL121" s="199"/>
      <c r="NJM121" s="198"/>
      <c r="NJN121" s="199"/>
      <c r="NJO121" s="198"/>
      <c r="NJP121" s="199"/>
      <c r="NJQ121" s="198"/>
      <c r="NJR121" s="199"/>
      <c r="NJS121" s="198"/>
      <c r="NJT121" s="199"/>
      <c r="NJU121" s="198"/>
      <c r="NJV121" s="199"/>
      <c r="NJW121" s="198"/>
      <c r="NJX121" s="199"/>
      <c r="NJY121" s="198"/>
      <c r="NJZ121" s="199"/>
      <c r="NKA121" s="198"/>
      <c r="NKB121" s="199"/>
      <c r="NKC121" s="198"/>
      <c r="NKD121" s="199"/>
      <c r="NKE121" s="198"/>
      <c r="NKF121" s="199"/>
      <c r="NKG121" s="198"/>
      <c r="NKH121" s="199"/>
      <c r="NKI121" s="198"/>
      <c r="NKJ121" s="199"/>
      <c r="NKK121" s="198"/>
      <c r="NKL121" s="199"/>
      <c r="NKM121" s="198"/>
      <c r="NKN121" s="199"/>
      <c r="NKO121" s="198"/>
      <c r="NKP121" s="199"/>
      <c r="NKQ121" s="198"/>
      <c r="NKR121" s="199"/>
      <c r="NKS121" s="198"/>
      <c r="NKT121" s="199"/>
      <c r="NKU121" s="198"/>
      <c r="NKV121" s="199"/>
      <c r="NKW121" s="198"/>
      <c r="NKX121" s="199"/>
      <c r="NKY121" s="198"/>
      <c r="NKZ121" s="199"/>
      <c r="NLA121" s="198"/>
      <c r="NLB121" s="199"/>
      <c r="NLC121" s="198"/>
      <c r="NLD121" s="199"/>
      <c r="NLE121" s="198"/>
      <c r="NLF121" s="199"/>
      <c r="NLG121" s="198"/>
      <c r="NLH121" s="199"/>
      <c r="NLI121" s="198"/>
      <c r="NLJ121" s="199"/>
      <c r="NLK121" s="198"/>
      <c r="NLL121" s="199"/>
      <c r="NLM121" s="198"/>
      <c r="NLN121" s="199"/>
      <c r="NLO121" s="198"/>
      <c r="NLP121" s="199"/>
      <c r="NLQ121" s="198"/>
      <c r="NLR121" s="199"/>
      <c r="NLS121" s="198"/>
      <c r="NLT121" s="199"/>
      <c r="NLU121" s="198"/>
      <c r="NLV121" s="199"/>
      <c r="NLW121" s="198"/>
      <c r="NLX121" s="199"/>
      <c r="NLY121" s="198"/>
      <c r="NLZ121" s="199"/>
      <c r="NMA121" s="198"/>
      <c r="NMB121" s="199"/>
      <c r="NMC121" s="198"/>
      <c r="NMD121" s="199"/>
      <c r="NME121" s="198"/>
      <c r="NMF121" s="199"/>
      <c r="NMG121" s="198"/>
      <c r="NMH121" s="199"/>
      <c r="NMI121" s="198"/>
      <c r="NMJ121" s="199"/>
      <c r="NMK121" s="198"/>
      <c r="NML121" s="199"/>
      <c r="NMM121" s="198"/>
      <c r="NMN121" s="199"/>
      <c r="NMO121" s="198"/>
      <c r="NMP121" s="199"/>
      <c r="NMQ121" s="198"/>
      <c r="NMR121" s="199"/>
      <c r="NMS121" s="198"/>
      <c r="NMT121" s="199"/>
      <c r="NMU121" s="198"/>
      <c r="NMV121" s="199"/>
      <c r="NMW121" s="198"/>
      <c r="NMX121" s="199"/>
      <c r="NMY121" s="198"/>
      <c r="NMZ121" s="199"/>
      <c r="NNA121" s="198"/>
      <c r="NNB121" s="199"/>
      <c r="NNC121" s="198"/>
      <c r="NND121" s="199"/>
      <c r="NNE121" s="198"/>
      <c r="NNF121" s="199"/>
      <c r="NNG121" s="198"/>
      <c r="NNH121" s="199"/>
      <c r="NNI121" s="198"/>
      <c r="NNJ121" s="199"/>
      <c r="NNK121" s="198"/>
      <c r="NNL121" s="199"/>
      <c r="NNM121" s="198"/>
      <c r="NNN121" s="199"/>
      <c r="NNO121" s="198"/>
      <c r="NNP121" s="199"/>
      <c r="NNQ121" s="198"/>
      <c r="NNR121" s="199"/>
      <c r="NNS121" s="198"/>
      <c r="NNT121" s="199"/>
      <c r="NNU121" s="198"/>
      <c r="NNV121" s="199"/>
      <c r="NNW121" s="198"/>
      <c r="NNX121" s="199"/>
      <c r="NNY121" s="198"/>
      <c r="NNZ121" s="199"/>
      <c r="NOA121" s="198"/>
      <c r="NOB121" s="199"/>
      <c r="NOC121" s="198"/>
      <c r="NOD121" s="199"/>
      <c r="NOE121" s="198"/>
      <c r="NOF121" s="199"/>
      <c r="NOG121" s="198"/>
      <c r="NOH121" s="199"/>
      <c r="NOI121" s="198"/>
      <c r="NOJ121" s="199"/>
      <c r="NOK121" s="198"/>
      <c r="NOL121" s="199"/>
      <c r="NOM121" s="198"/>
      <c r="NON121" s="199"/>
      <c r="NOO121" s="198"/>
      <c r="NOP121" s="199"/>
      <c r="NOQ121" s="198"/>
      <c r="NOR121" s="199"/>
      <c r="NOS121" s="198"/>
      <c r="NOT121" s="199"/>
      <c r="NOU121" s="198"/>
      <c r="NOV121" s="199"/>
      <c r="NOW121" s="198"/>
      <c r="NOX121" s="199"/>
      <c r="NOY121" s="198"/>
      <c r="NOZ121" s="199"/>
      <c r="NPA121" s="198"/>
      <c r="NPB121" s="199"/>
      <c r="NPC121" s="198"/>
      <c r="NPD121" s="199"/>
      <c r="NPE121" s="198"/>
      <c r="NPF121" s="199"/>
      <c r="NPG121" s="198"/>
      <c r="NPH121" s="199"/>
      <c r="NPI121" s="198"/>
      <c r="NPJ121" s="199"/>
      <c r="NPK121" s="198"/>
      <c r="NPL121" s="199"/>
      <c r="NPM121" s="198"/>
      <c r="NPN121" s="199"/>
      <c r="NPO121" s="198"/>
      <c r="NPP121" s="199"/>
      <c r="NPQ121" s="198"/>
      <c r="NPR121" s="199"/>
      <c r="NPS121" s="198"/>
      <c r="NPT121" s="199"/>
      <c r="NPU121" s="198"/>
      <c r="NPV121" s="199"/>
      <c r="NPW121" s="198"/>
      <c r="NPX121" s="199"/>
      <c r="NPY121" s="198"/>
      <c r="NPZ121" s="199"/>
      <c r="NQA121" s="198"/>
      <c r="NQB121" s="199"/>
      <c r="NQC121" s="198"/>
      <c r="NQD121" s="199"/>
      <c r="NQE121" s="198"/>
      <c r="NQF121" s="199"/>
      <c r="NQG121" s="198"/>
      <c r="NQH121" s="199"/>
      <c r="NQI121" s="198"/>
      <c r="NQJ121" s="199"/>
      <c r="NQK121" s="198"/>
      <c r="NQL121" s="199"/>
      <c r="NQM121" s="198"/>
      <c r="NQN121" s="199"/>
      <c r="NQO121" s="198"/>
      <c r="NQP121" s="199"/>
      <c r="NQQ121" s="198"/>
      <c r="NQR121" s="199"/>
      <c r="NQS121" s="198"/>
      <c r="NQT121" s="199"/>
      <c r="NQU121" s="198"/>
      <c r="NQV121" s="199"/>
      <c r="NQW121" s="198"/>
      <c r="NQX121" s="199"/>
      <c r="NQY121" s="198"/>
      <c r="NQZ121" s="199"/>
      <c r="NRA121" s="198"/>
      <c r="NRB121" s="199"/>
      <c r="NRC121" s="198"/>
      <c r="NRD121" s="199"/>
      <c r="NRE121" s="198"/>
      <c r="NRF121" s="199"/>
      <c r="NRG121" s="198"/>
      <c r="NRH121" s="199"/>
      <c r="NRI121" s="198"/>
      <c r="NRJ121" s="199"/>
      <c r="NRK121" s="198"/>
      <c r="NRL121" s="199"/>
      <c r="NRM121" s="198"/>
      <c r="NRN121" s="199"/>
      <c r="NRO121" s="198"/>
      <c r="NRP121" s="199"/>
      <c r="NRQ121" s="198"/>
      <c r="NRR121" s="199"/>
      <c r="NRS121" s="198"/>
      <c r="NRT121" s="199"/>
      <c r="NRU121" s="198"/>
      <c r="NRV121" s="199"/>
      <c r="NRW121" s="198"/>
      <c r="NRX121" s="199"/>
      <c r="NRY121" s="198"/>
      <c r="NRZ121" s="199"/>
      <c r="NSA121" s="198"/>
      <c r="NSB121" s="199"/>
      <c r="NSC121" s="198"/>
      <c r="NSD121" s="199"/>
      <c r="NSE121" s="198"/>
      <c r="NSF121" s="199"/>
      <c r="NSG121" s="198"/>
      <c r="NSH121" s="199"/>
      <c r="NSI121" s="198"/>
      <c r="NSJ121" s="199"/>
      <c r="NSK121" s="198"/>
      <c r="NSL121" s="199"/>
      <c r="NSM121" s="198"/>
      <c r="NSN121" s="199"/>
      <c r="NSO121" s="198"/>
      <c r="NSP121" s="199"/>
      <c r="NSQ121" s="198"/>
      <c r="NSR121" s="199"/>
      <c r="NSS121" s="198"/>
      <c r="NST121" s="199"/>
      <c r="NSU121" s="198"/>
      <c r="NSV121" s="199"/>
      <c r="NSW121" s="198"/>
      <c r="NSX121" s="199"/>
      <c r="NSY121" s="198"/>
      <c r="NSZ121" s="199"/>
      <c r="NTA121" s="198"/>
      <c r="NTB121" s="199"/>
      <c r="NTC121" s="198"/>
      <c r="NTD121" s="199"/>
      <c r="NTE121" s="198"/>
      <c r="NTF121" s="199"/>
      <c r="NTG121" s="198"/>
      <c r="NTH121" s="199"/>
      <c r="NTI121" s="198"/>
      <c r="NTJ121" s="199"/>
      <c r="NTK121" s="198"/>
      <c r="NTL121" s="199"/>
      <c r="NTM121" s="198"/>
      <c r="NTN121" s="199"/>
      <c r="NTO121" s="198"/>
      <c r="NTP121" s="199"/>
      <c r="NTQ121" s="198"/>
      <c r="NTR121" s="199"/>
      <c r="NTS121" s="198"/>
      <c r="NTT121" s="199"/>
      <c r="NTU121" s="198"/>
      <c r="NTV121" s="199"/>
      <c r="NTW121" s="198"/>
      <c r="NTX121" s="199"/>
      <c r="NTY121" s="198"/>
      <c r="NTZ121" s="199"/>
      <c r="NUA121" s="198"/>
      <c r="NUB121" s="199"/>
      <c r="NUC121" s="198"/>
      <c r="NUD121" s="199"/>
      <c r="NUE121" s="198"/>
      <c r="NUF121" s="199"/>
      <c r="NUG121" s="198"/>
      <c r="NUH121" s="199"/>
      <c r="NUI121" s="198"/>
      <c r="NUJ121" s="199"/>
      <c r="NUK121" s="198"/>
      <c r="NUL121" s="199"/>
      <c r="NUM121" s="198"/>
      <c r="NUN121" s="199"/>
      <c r="NUO121" s="198"/>
      <c r="NUP121" s="199"/>
      <c r="NUQ121" s="198"/>
      <c r="NUR121" s="199"/>
      <c r="NUS121" s="198"/>
      <c r="NUT121" s="199"/>
      <c r="NUU121" s="198"/>
      <c r="NUV121" s="199"/>
      <c r="NUW121" s="198"/>
      <c r="NUX121" s="199"/>
      <c r="NUY121" s="198"/>
      <c r="NUZ121" s="199"/>
      <c r="NVA121" s="198"/>
      <c r="NVB121" s="199"/>
      <c r="NVC121" s="198"/>
      <c r="NVD121" s="199"/>
      <c r="NVE121" s="198"/>
      <c r="NVF121" s="199"/>
      <c r="NVG121" s="198"/>
      <c r="NVH121" s="199"/>
      <c r="NVI121" s="198"/>
      <c r="NVJ121" s="199"/>
      <c r="NVK121" s="198"/>
      <c r="NVL121" s="199"/>
      <c r="NVM121" s="198"/>
      <c r="NVN121" s="199"/>
      <c r="NVO121" s="198"/>
      <c r="NVP121" s="199"/>
      <c r="NVQ121" s="198"/>
      <c r="NVR121" s="199"/>
      <c r="NVS121" s="198"/>
      <c r="NVT121" s="199"/>
      <c r="NVU121" s="198"/>
      <c r="NVV121" s="199"/>
      <c r="NVW121" s="198"/>
      <c r="NVX121" s="199"/>
      <c r="NVY121" s="198"/>
      <c r="NVZ121" s="199"/>
      <c r="NWA121" s="198"/>
      <c r="NWB121" s="199"/>
      <c r="NWC121" s="198"/>
      <c r="NWD121" s="199"/>
      <c r="NWE121" s="198"/>
      <c r="NWF121" s="199"/>
      <c r="NWG121" s="198"/>
      <c r="NWH121" s="199"/>
      <c r="NWI121" s="198"/>
      <c r="NWJ121" s="199"/>
      <c r="NWK121" s="198"/>
      <c r="NWL121" s="199"/>
      <c r="NWM121" s="198"/>
      <c r="NWN121" s="199"/>
      <c r="NWO121" s="198"/>
      <c r="NWP121" s="199"/>
      <c r="NWQ121" s="198"/>
      <c r="NWR121" s="199"/>
      <c r="NWS121" s="198"/>
      <c r="NWT121" s="199"/>
      <c r="NWU121" s="198"/>
      <c r="NWV121" s="199"/>
      <c r="NWW121" s="198"/>
      <c r="NWX121" s="199"/>
      <c r="NWY121" s="198"/>
      <c r="NWZ121" s="199"/>
      <c r="NXA121" s="198"/>
      <c r="NXB121" s="199"/>
      <c r="NXC121" s="198"/>
      <c r="NXD121" s="199"/>
      <c r="NXE121" s="198"/>
      <c r="NXF121" s="199"/>
      <c r="NXG121" s="198"/>
      <c r="NXH121" s="199"/>
      <c r="NXI121" s="198"/>
      <c r="NXJ121" s="199"/>
      <c r="NXK121" s="198"/>
      <c r="NXL121" s="199"/>
      <c r="NXM121" s="198"/>
      <c r="NXN121" s="199"/>
      <c r="NXO121" s="198"/>
      <c r="NXP121" s="199"/>
      <c r="NXQ121" s="198"/>
      <c r="NXR121" s="199"/>
      <c r="NXS121" s="198"/>
      <c r="NXT121" s="199"/>
      <c r="NXU121" s="198"/>
      <c r="NXV121" s="199"/>
      <c r="NXW121" s="198"/>
      <c r="NXX121" s="199"/>
      <c r="NXY121" s="198"/>
      <c r="NXZ121" s="199"/>
      <c r="NYA121" s="198"/>
      <c r="NYB121" s="199"/>
      <c r="NYC121" s="198"/>
      <c r="NYD121" s="199"/>
      <c r="NYE121" s="198"/>
      <c r="NYF121" s="199"/>
      <c r="NYG121" s="198"/>
      <c r="NYH121" s="199"/>
      <c r="NYI121" s="198"/>
      <c r="NYJ121" s="199"/>
      <c r="NYK121" s="198"/>
      <c r="NYL121" s="199"/>
      <c r="NYM121" s="198"/>
      <c r="NYN121" s="199"/>
      <c r="NYO121" s="198"/>
      <c r="NYP121" s="199"/>
      <c r="NYQ121" s="198"/>
      <c r="NYR121" s="199"/>
      <c r="NYS121" s="198"/>
      <c r="NYT121" s="199"/>
      <c r="NYU121" s="198"/>
      <c r="NYV121" s="199"/>
      <c r="NYW121" s="198"/>
      <c r="NYX121" s="199"/>
      <c r="NYY121" s="198"/>
      <c r="NYZ121" s="199"/>
      <c r="NZA121" s="198"/>
      <c r="NZB121" s="199"/>
      <c r="NZC121" s="198"/>
      <c r="NZD121" s="199"/>
      <c r="NZE121" s="198"/>
      <c r="NZF121" s="199"/>
      <c r="NZG121" s="198"/>
      <c r="NZH121" s="199"/>
      <c r="NZI121" s="198"/>
      <c r="NZJ121" s="199"/>
      <c r="NZK121" s="198"/>
      <c r="NZL121" s="199"/>
      <c r="NZM121" s="198"/>
      <c r="NZN121" s="199"/>
      <c r="NZO121" s="198"/>
      <c r="NZP121" s="199"/>
      <c r="NZQ121" s="198"/>
      <c r="NZR121" s="199"/>
      <c r="NZS121" s="198"/>
      <c r="NZT121" s="199"/>
      <c r="NZU121" s="198"/>
      <c r="NZV121" s="199"/>
      <c r="NZW121" s="198"/>
      <c r="NZX121" s="199"/>
      <c r="NZY121" s="198"/>
      <c r="NZZ121" s="199"/>
      <c r="OAA121" s="198"/>
      <c r="OAB121" s="199"/>
      <c r="OAC121" s="198"/>
      <c r="OAD121" s="199"/>
      <c r="OAE121" s="198"/>
      <c r="OAF121" s="199"/>
      <c r="OAG121" s="198"/>
      <c r="OAH121" s="199"/>
      <c r="OAI121" s="198"/>
      <c r="OAJ121" s="199"/>
      <c r="OAK121" s="198"/>
      <c r="OAL121" s="199"/>
      <c r="OAM121" s="198"/>
      <c r="OAN121" s="199"/>
      <c r="OAO121" s="198"/>
      <c r="OAP121" s="199"/>
      <c r="OAQ121" s="198"/>
      <c r="OAR121" s="199"/>
      <c r="OAS121" s="198"/>
      <c r="OAT121" s="199"/>
      <c r="OAU121" s="198"/>
      <c r="OAV121" s="199"/>
      <c r="OAW121" s="198"/>
      <c r="OAX121" s="199"/>
      <c r="OAY121" s="198"/>
      <c r="OAZ121" s="199"/>
      <c r="OBA121" s="198"/>
      <c r="OBB121" s="199"/>
      <c r="OBC121" s="198"/>
      <c r="OBD121" s="199"/>
      <c r="OBE121" s="198"/>
      <c r="OBF121" s="199"/>
      <c r="OBG121" s="198"/>
      <c r="OBH121" s="199"/>
      <c r="OBI121" s="198"/>
      <c r="OBJ121" s="199"/>
      <c r="OBK121" s="198"/>
      <c r="OBL121" s="199"/>
      <c r="OBM121" s="198"/>
      <c r="OBN121" s="199"/>
      <c r="OBO121" s="198"/>
      <c r="OBP121" s="199"/>
      <c r="OBQ121" s="198"/>
      <c r="OBR121" s="199"/>
      <c r="OBS121" s="198"/>
      <c r="OBT121" s="199"/>
      <c r="OBU121" s="198"/>
      <c r="OBV121" s="199"/>
      <c r="OBW121" s="198"/>
      <c r="OBX121" s="199"/>
      <c r="OBY121" s="198"/>
      <c r="OBZ121" s="199"/>
      <c r="OCA121" s="198"/>
      <c r="OCB121" s="199"/>
      <c r="OCC121" s="198"/>
      <c r="OCD121" s="199"/>
      <c r="OCE121" s="198"/>
      <c r="OCF121" s="199"/>
      <c r="OCG121" s="198"/>
      <c r="OCH121" s="199"/>
      <c r="OCI121" s="198"/>
      <c r="OCJ121" s="199"/>
      <c r="OCK121" s="198"/>
      <c r="OCL121" s="199"/>
      <c r="OCM121" s="198"/>
      <c r="OCN121" s="199"/>
      <c r="OCO121" s="198"/>
      <c r="OCP121" s="199"/>
      <c r="OCQ121" s="198"/>
      <c r="OCR121" s="199"/>
      <c r="OCS121" s="198"/>
      <c r="OCT121" s="199"/>
      <c r="OCU121" s="198"/>
      <c r="OCV121" s="199"/>
      <c r="OCW121" s="198"/>
      <c r="OCX121" s="199"/>
      <c r="OCY121" s="198"/>
      <c r="OCZ121" s="199"/>
      <c r="ODA121" s="198"/>
      <c r="ODB121" s="199"/>
      <c r="ODC121" s="198"/>
      <c r="ODD121" s="199"/>
      <c r="ODE121" s="198"/>
      <c r="ODF121" s="199"/>
      <c r="ODG121" s="198"/>
      <c r="ODH121" s="199"/>
      <c r="ODI121" s="198"/>
      <c r="ODJ121" s="199"/>
      <c r="ODK121" s="198"/>
      <c r="ODL121" s="199"/>
      <c r="ODM121" s="198"/>
      <c r="ODN121" s="199"/>
      <c r="ODO121" s="198"/>
      <c r="ODP121" s="199"/>
      <c r="ODQ121" s="198"/>
      <c r="ODR121" s="199"/>
      <c r="ODS121" s="198"/>
      <c r="ODT121" s="199"/>
      <c r="ODU121" s="198"/>
      <c r="ODV121" s="199"/>
      <c r="ODW121" s="198"/>
      <c r="ODX121" s="199"/>
      <c r="ODY121" s="198"/>
      <c r="ODZ121" s="199"/>
      <c r="OEA121" s="198"/>
      <c r="OEB121" s="199"/>
      <c r="OEC121" s="198"/>
      <c r="OED121" s="199"/>
      <c r="OEE121" s="198"/>
      <c r="OEF121" s="199"/>
      <c r="OEG121" s="198"/>
      <c r="OEH121" s="199"/>
      <c r="OEI121" s="198"/>
      <c r="OEJ121" s="199"/>
      <c r="OEK121" s="198"/>
      <c r="OEL121" s="199"/>
      <c r="OEM121" s="198"/>
      <c r="OEN121" s="199"/>
      <c r="OEO121" s="198"/>
      <c r="OEP121" s="199"/>
      <c r="OEQ121" s="198"/>
      <c r="OER121" s="199"/>
      <c r="OES121" s="198"/>
      <c r="OET121" s="199"/>
      <c r="OEU121" s="198"/>
      <c r="OEV121" s="199"/>
      <c r="OEW121" s="198"/>
      <c r="OEX121" s="199"/>
      <c r="OEY121" s="198"/>
      <c r="OEZ121" s="199"/>
      <c r="OFA121" s="198"/>
      <c r="OFB121" s="199"/>
      <c r="OFC121" s="198"/>
      <c r="OFD121" s="199"/>
      <c r="OFE121" s="198"/>
      <c r="OFF121" s="199"/>
      <c r="OFG121" s="198"/>
      <c r="OFH121" s="199"/>
      <c r="OFI121" s="198"/>
      <c r="OFJ121" s="199"/>
      <c r="OFK121" s="198"/>
      <c r="OFL121" s="199"/>
      <c r="OFM121" s="198"/>
      <c r="OFN121" s="199"/>
      <c r="OFO121" s="198"/>
      <c r="OFP121" s="199"/>
      <c r="OFQ121" s="198"/>
      <c r="OFR121" s="199"/>
      <c r="OFS121" s="198"/>
      <c r="OFT121" s="199"/>
      <c r="OFU121" s="198"/>
      <c r="OFV121" s="199"/>
      <c r="OFW121" s="198"/>
      <c r="OFX121" s="199"/>
      <c r="OFY121" s="198"/>
      <c r="OFZ121" s="199"/>
      <c r="OGA121" s="198"/>
      <c r="OGB121" s="199"/>
      <c r="OGC121" s="198"/>
      <c r="OGD121" s="199"/>
      <c r="OGE121" s="198"/>
      <c r="OGF121" s="199"/>
      <c r="OGG121" s="198"/>
      <c r="OGH121" s="199"/>
      <c r="OGI121" s="198"/>
      <c r="OGJ121" s="199"/>
      <c r="OGK121" s="198"/>
      <c r="OGL121" s="199"/>
      <c r="OGM121" s="198"/>
      <c r="OGN121" s="199"/>
      <c r="OGO121" s="198"/>
      <c r="OGP121" s="199"/>
      <c r="OGQ121" s="198"/>
      <c r="OGR121" s="199"/>
      <c r="OGS121" s="198"/>
      <c r="OGT121" s="199"/>
      <c r="OGU121" s="198"/>
      <c r="OGV121" s="199"/>
      <c r="OGW121" s="198"/>
      <c r="OGX121" s="199"/>
      <c r="OGY121" s="198"/>
      <c r="OGZ121" s="199"/>
      <c r="OHA121" s="198"/>
      <c r="OHB121" s="199"/>
      <c r="OHC121" s="198"/>
      <c r="OHD121" s="199"/>
      <c r="OHE121" s="198"/>
      <c r="OHF121" s="199"/>
      <c r="OHG121" s="198"/>
      <c r="OHH121" s="199"/>
      <c r="OHI121" s="198"/>
      <c r="OHJ121" s="199"/>
      <c r="OHK121" s="198"/>
      <c r="OHL121" s="199"/>
      <c r="OHM121" s="198"/>
      <c r="OHN121" s="199"/>
      <c r="OHO121" s="198"/>
      <c r="OHP121" s="199"/>
      <c r="OHQ121" s="198"/>
      <c r="OHR121" s="199"/>
      <c r="OHS121" s="198"/>
      <c r="OHT121" s="199"/>
      <c r="OHU121" s="198"/>
      <c r="OHV121" s="199"/>
      <c r="OHW121" s="198"/>
      <c r="OHX121" s="199"/>
      <c r="OHY121" s="198"/>
      <c r="OHZ121" s="199"/>
      <c r="OIA121" s="198"/>
      <c r="OIB121" s="199"/>
      <c r="OIC121" s="198"/>
      <c r="OID121" s="199"/>
      <c r="OIE121" s="198"/>
      <c r="OIF121" s="199"/>
      <c r="OIG121" s="198"/>
      <c r="OIH121" s="199"/>
      <c r="OII121" s="198"/>
      <c r="OIJ121" s="199"/>
      <c r="OIK121" s="198"/>
      <c r="OIL121" s="199"/>
      <c r="OIM121" s="198"/>
      <c r="OIN121" s="199"/>
      <c r="OIO121" s="198"/>
      <c r="OIP121" s="199"/>
      <c r="OIQ121" s="198"/>
      <c r="OIR121" s="199"/>
      <c r="OIS121" s="198"/>
      <c r="OIT121" s="199"/>
      <c r="OIU121" s="198"/>
      <c r="OIV121" s="199"/>
      <c r="OIW121" s="198"/>
      <c r="OIX121" s="199"/>
      <c r="OIY121" s="198"/>
      <c r="OIZ121" s="199"/>
      <c r="OJA121" s="198"/>
      <c r="OJB121" s="199"/>
      <c r="OJC121" s="198"/>
      <c r="OJD121" s="199"/>
      <c r="OJE121" s="198"/>
      <c r="OJF121" s="199"/>
      <c r="OJG121" s="198"/>
      <c r="OJH121" s="199"/>
      <c r="OJI121" s="198"/>
      <c r="OJJ121" s="199"/>
      <c r="OJK121" s="198"/>
      <c r="OJL121" s="199"/>
      <c r="OJM121" s="198"/>
      <c r="OJN121" s="199"/>
      <c r="OJO121" s="198"/>
      <c r="OJP121" s="199"/>
      <c r="OJQ121" s="198"/>
      <c r="OJR121" s="199"/>
      <c r="OJS121" s="198"/>
      <c r="OJT121" s="199"/>
      <c r="OJU121" s="198"/>
      <c r="OJV121" s="199"/>
      <c r="OJW121" s="198"/>
      <c r="OJX121" s="199"/>
      <c r="OJY121" s="198"/>
      <c r="OJZ121" s="199"/>
      <c r="OKA121" s="198"/>
      <c r="OKB121" s="199"/>
      <c r="OKC121" s="198"/>
      <c r="OKD121" s="199"/>
      <c r="OKE121" s="198"/>
      <c r="OKF121" s="199"/>
      <c r="OKG121" s="198"/>
      <c r="OKH121" s="199"/>
      <c r="OKI121" s="198"/>
      <c r="OKJ121" s="199"/>
      <c r="OKK121" s="198"/>
      <c r="OKL121" s="199"/>
      <c r="OKM121" s="198"/>
      <c r="OKN121" s="199"/>
      <c r="OKO121" s="198"/>
      <c r="OKP121" s="199"/>
      <c r="OKQ121" s="198"/>
      <c r="OKR121" s="199"/>
      <c r="OKS121" s="198"/>
      <c r="OKT121" s="199"/>
      <c r="OKU121" s="198"/>
      <c r="OKV121" s="199"/>
      <c r="OKW121" s="198"/>
      <c r="OKX121" s="199"/>
      <c r="OKY121" s="198"/>
      <c r="OKZ121" s="199"/>
      <c r="OLA121" s="198"/>
      <c r="OLB121" s="199"/>
      <c r="OLC121" s="198"/>
      <c r="OLD121" s="199"/>
      <c r="OLE121" s="198"/>
      <c r="OLF121" s="199"/>
      <c r="OLG121" s="198"/>
      <c r="OLH121" s="199"/>
      <c r="OLI121" s="198"/>
      <c r="OLJ121" s="199"/>
      <c r="OLK121" s="198"/>
      <c r="OLL121" s="199"/>
      <c r="OLM121" s="198"/>
      <c r="OLN121" s="199"/>
      <c r="OLO121" s="198"/>
      <c r="OLP121" s="199"/>
      <c r="OLQ121" s="198"/>
      <c r="OLR121" s="199"/>
      <c r="OLS121" s="198"/>
      <c r="OLT121" s="199"/>
      <c r="OLU121" s="198"/>
      <c r="OLV121" s="199"/>
      <c r="OLW121" s="198"/>
      <c r="OLX121" s="199"/>
      <c r="OLY121" s="198"/>
      <c r="OLZ121" s="199"/>
      <c r="OMA121" s="198"/>
      <c r="OMB121" s="199"/>
      <c r="OMC121" s="198"/>
      <c r="OMD121" s="199"/>
      <c r="OME121" s="198"/>
      <c r="OMF121" s="199"/>
      <c r="OMG121" s="198"/>
      <c r="OMH121" s="199"/>
      <c r="OMI121" s="198"/>
      <c r="OMJ121" s="199"/>
      <c r="OMK121" s="198"/>
      <c r="OML121" s="199"/>
      <c r="OMM121" s="198"/>
      <c r="OMN121" s="199"/>
      <c r="OMO121" s="198"/>
      <c r="OMP121" s="199"/>
      <c r="OMQ121" s="198"/>
      <c r="OMR121" s="199"/>
      <c r="OMS121" s="198"/>
      <c r="OMT121" s="199"/>
      <c r="OMU121" s="198"/>
      <c r="OMV121" s="199"/>
      <c r="OMW121" s="198"/>
      <c r="OMX121" s="199"/>
      <c r="OMY121" s="198"/>
      <c r="OMZ121" s="199"/>
      <c r="ONA121" s="198"/>
      <c r="ONB121" s="199"/>
      <c r="ONC121" s="198"/>
      <c r="OND121" s="199"/>
      <c r="ONE121" s="198"/>
      <c r="ONF121" s="199"/>
      <c r="ONG121" s="198"/>
      <c r="ONH121" s="199"/>
      <c r="ONI121" s="198"/>
      <c r="ONJ121" s="199"/>
      <c r="ONK121" s="198"/>
      <c r="ONL121" s="199"/>
      <c r="ONM121" s="198"/>
      <c r="ONN121" s="199"/>
      <c r="ONO121" s="198"/>
      <c r="ONP121" s="199"/>
      <c r="ONQ121" s="198"/>
      <c r="ONR121" s="199"/>
      <c r="ONS121" s="198"/>
      <c r="ONT121" s="199"/>
      <c r="ONU121" s="198"/>
      <c r="ONV121" s="199"/>
      <c r="ONW121" s="198"/>
      <c r="ONX121" s="199"/>
      <c r="ONY121" s="198"/>
      <c r="ONZ121" s="199"/>
      <c r="OOA121" s="198"/>
      <c r="OOB121" s="199"/>
      <c r="OOC121" s="198"/>
      <c r="OOD121" s="199"/>
      <c r="OOE121" s="198"/>
      <c r="OOF121" s="199"/>
      <c r="OOG121" s="198"/>
      <c r="OOH121" s="199"/>
      <c r="OOI121" s="198"/>
      <c r="OOJ121" s="199"/>
      <c r="OOK121" s="198"/>
      <c r="OOL121" s="199"/>
      <c r="OOM121" s="198"/>
      <c r="OON121" s="199"/>
      <c r="OOO121" s="198"/>
      <c r="OOP121" s="199"/>
      <c r="OOQ121" s="198"/>
      <c r="OOR121" s="199"/>
      <c r="OOS121" s="198"/>
      <c r="OOT121" s="199"/>
      <c r="OOU121" s="198"/>
      <c r="OOV121" s="199"/>
      <c r="OOW121" s="198"/>
      <c r="OOX121" s="199"/>
      <c r="OOY121" s="198"/>
      <c r="OOZ121" s="199"/>
      <c r="OPA121" s="198"/>
      <c r="OPB121" s="199"/>
      <c r="OPC121" s="198"/>
      <c r="OPD121" s="199"/>
      <c r="OPE121" s="198"/>
      <c r="OPF121" s="199"/>
      <c r="OPG121" s="198"/>
      <c r="OPH121" s="199"/>
      <c r="OPI121" s="198"/>
      <c r="OPJ121" s="199"/>
      <c r="OPK121" s="198"/>
      <c r="OPL121" s="199"/>
      <c r="OPM121" s="198"/>
      <c r="OPN121" s="199"/>
      <c r="OPO121" s="198"/>
      <c r="OPP121" s="199"/>
      <c r="OPQ121" s="198"/>
      <c r="OPR121" s="199"/>
      <c r="OPS121" s="198"/>
      <c r="OPT121" s="199"/>
      <c r="OPU121" s="198"/>
      <c r="OPV121" s="199"/>
      <c r="OPW121" s="198"/>
      <c r="OPX121" s="199"/>
      <c r="OPY121" s="198"/>
      <c r="OPZ121" s="199"/>
      <c r="OQA121" s="198"/>
      <c r="OQB121" s="199"/>
      <c r="OQC121" s="198"/>
      <c r="OQD121" s="199"/>
      <c r="OQE121" s="198"/>
      <c r="OQF121" s="199"/>
      <c r="OQG121" s="198"/>
      <c r="OQH121" s="199"/>
      <c r="OQI121" s="198"/>
      <c r="OQJ121" s="199"/>
      <c r="OQK121" s="198"/>
      <c r="OQL121" s="199"/>
      <c r="OQM121" s="198"/>
      <c r="OQN121" s="199"/>
      <c r="OQO121" s="198"/>
      <c r="OQP121" s="199"/>
      <c r="OQQ121" s="198"/>
      <c r="OQR121" s="199"/>
      <c r="OQS121" s="198"/>
      <c r="OQT121" s="199"/>
      <c r="OQU121" s="198"/>
      <c r="OQV121" s="199"/>
      <c r="OQW121" s="198"/>
      <c r="OQX121" s="199"/>
      <c r="OQY121" s="198"/>
      <c r="OQZ121" s="199"/>
      <c r="ORA121" s="198"/>
      <c r="ORB121" s="199"/>
      <c r="ORC121" s="198"/>
      <c r="ORD121" s="199"/>
      <c r="ORE121" s="198"/>
      <c r="ORF121" s="199"/>
      <c r="ORG121" s="198"/>
      <c r="ORH121" s="199"/>
      <c r="ORI121" s="198"/>
      <c r="ORJ121" s="199"/>
      <c r="ORK121" s="198"/>
      <c r="ORL121" s="199"/>
      <c r="ORM121" s="198"/>
      <c r="ORN121" s="199"/>
      <c r="ORO121" s="198"/>
      <c r="ORP121" s="199"/>
      <c r="ORQ121" s="198"/>
      <c r="ORR121" s="199"/>
      <c r="ORS121" s="198"/>
      <c r="ORT121" s="199"/>
      <c r="ORU121" s="198"/>
      <c r="ORV121" s="199"/>
      <c r="ORW121" s="198"/>
      <c r="ORX121" s="199"/>
      <c r="ORY121" s="198"/>
      <c r="ORZ121" s="199"/>
      <c r="OSA121" s="198"/>
      <c r="OSB121" s="199"/>
      <c r="OSC121" s="198"/>
      <c r="OSD121" s="199"/>
      <c r="OSE121" s="198"/>
      <c r="OSF121" s="199"/>
      <c r="OSG121" s="198"/>
      <c r="OSH121" s="199"/>
      <c r="OSI121" s="198"/>
      <c r="OSJ121" s="199"/>
      <c r="OSK121" s="198"/>
      <c r="OSL121" s="199"/>
      <c r="OSM121" s="198"/>
      <c r="OSN121" s="199"/>
      <c r="OSO121" s="198"/>
      <c r="OSP121" s="199"/>
      <c r="OSQ121" s="198"/>
      <c r="OSR121" s="199"/>
      <c r="OSS121" s="198"/>
      <c r="OST121" s="199"/>
      <c r="OSU121" s="198"/>
      <c r="OSV121" s="199"/>
      <c r="OSW121" s="198"/>
      <c r="OSX121" s="199"/>
      <c r="OSY121" s="198"/>
      <c r="OSZ121" s="199"/>
      <c r="OTA121" s="198"/>
      <c r="OTB121" s="199"/>
      <c r="OTC121" s="198"/>
      <c r="OTD121" s="199"/>
      <c r="OTE121" s="198"/>
      <c r="OTF121" s="199"/>
      <c r="OTG121" s="198"/>
      <c r="OTH121" s="199"/>
      <c r="OTI121" s="198"/>
      <c r="OTJ121" s="199"/>
      <c r="OTK121" s="198"/>
      <c r="OTL121" s="199"/>
      <c r="OTM121" s="198"/>
      <c r="OTN121" s="199"/>
      <c r="OTO121" s="198"/>
      <c r="OTP121" s="199"/>
      <c r="OTQ121" s="198"/>
      <c r="OTR121" s="199"/>
      <c r="OTS121" s="198"/>
      <c r="OTT121" s="199"/>
      <c r="OTU121" s="198"/>
      <c r="OTV121" s="199"/>
      <c r="OTW121" s="198"/>
      <c r="OTX121" s="199"/>
      <c r="OTY121" s="198"/>
      <c r="OTZ121" s="199"/>
      <c r="OUA121" s="198"/>
      <c r="OUB121" s="199"/>
      <c r="OUC121" s="198"/>
      <c r="OUD121" s="199"/>
      <c r="OUE121" s="198"/>
      <c r="OUF121" s="199"/>
      <c r="OUG121" s="198"/>
      <c r="OUH121" s="199"/>
      <c r="OUI121" s="198"/>
      <c r="OUJ121" s="199"/>
      <c r="OUK121" s="198"/>
      <c r="OUL121" s="199"/>
      <c r="OUM121" s="198"/>
      <c r="OUN121" s="199"/>
      <c r="OUO121" s="198"/>
      <c r="OUP121" s="199"/>
      <c r="OUQ121" s="198"/>
      <c r="OUR121" s="199"/>
      <c r="OUS121" s="198"/>
      <c r="OUT121" s="199"/>
      <c r="OUU121" s="198"/>
      <c r="OUV121" s="199"/>
      <c r="OUW121" s="198"/>
      <c r="OUX121" s="199"/>
      <c r="OUY121" s="198"/>
      <c r="OUZ121" s="199"/>
      <c r="OVA121" s="198"/>
      <c r="OVB121" s="199"/>
      <c r="OVC121" s="198"/>
      <c r="OVD121" s="199"/>
      <c r="OVE121" s="198"/>
      <c r="OVF121" s="199"/>
      <c r="OVG121" s="198"/>
      <c r="OVH121" s="199"/>
      <c r="OVI121" s="198"/>
      <c r="OVJ121" s="199"/>
      <c r="OVK121" s="198"/>
      <c r="OVL121" s="199"/>
      <c r="OVM121" s="198"/>
      <c r="OVN121" s="199"/>
      <c r="OVO121" s="198"/>
      <c r="OVP121" s="199"/>
      <c r="OVQ121" s="198"/>
      <c r="OVR121" s="199"/>
      <c r="OVS121" s="198"/>
      <c r="OVT121" s="199"/>
      <c r="OVU121" s="198"/>
      <c r="OVV121" s="199"/>
      <c r="OVW121" s="198"/>
      <c r="OVX121" s="199"/>
      <c r="OVY121" s="198"/>
      <c r="OVZ121" s="199"/>
      <c r="OWA121" s="198"/>
      <c r="OWB121" s="199"/>
      <c r="OWC121" s="198"/>
      <c r="OWD121" s="199"/>
      <c r="OWE121" s="198"/>
      <c r="OWF121" s="199"/>
      <c r="OWG121" s="198"/>
      <c r="OWH121" s="199"/>
      <c r="OWI121" s="198"/>
      <c r="OWJ121" s="199"/>
      <c r="OWK121" s="198"/>
      <c r="OWL121" s="199"/>
      <c r="OWM121" s="198"/>
      <c r="OWN121" s="199"/>
      <c r="OWO121" s="198"/>
      <c r="OWP121" s="199"/>
      <c r="OWQ121" s="198"/>
      <c r="OWR121" s="199"/>
      <c r="OWS121" s="198"/>
      <c r="OWT121" s="199"/>
      <c r="OWU121" s="198"/>
      <c r="OWV121" s="199"/>
      <c r="OWW121" s="198"/>
      <c r="OWX121" s="199"/>
      <c r="OWY121" s="198"/>
      <c r="OWZ121" s="199"/>
      <c r="OXA121" s="198"/>
      <c r="OXB121" s="199"/>
      <c r="OXC121" s="198"/>
      <c r="OXD121" s="199"/>
      <c r="OXE121" s="198"/>
      <c r="OXF121" s="199"/>
      <c r="OXG121" s="198"/>
      <c r="OXH121" s="199"/>
      <c r="OXI121" s="198"/>
      <c r="OXJ121" s="199"/>
      <c r="OXK121" s="198"/>
      <c r="OXL121" s="199"/>
      <c r="OXM121" s="198"/>
      <c r="OXN121" s="199"/>
      <c r="OXO121" s="198"/>
      <c r="OXP121" s="199"/>
      <c r="OXQ121" s="198"/>
      <c r="OXR121" s="199"/>
      <c r="OXS121" s="198"/>
      <c r="OXT121" s="199"/>
      <c r="OXU121" s="198"/>
      <c r="OXV121" s="199"/>
      <c r="OXW121" s="198"/>
      <c r="OXX121" s="199"/>
      <c r="OXY121" s="198"/>
      <c r="OXZ121" s="199"/>
      <c r="OYA121" s="198"/>
      <c r="OYB121" s="199"/>
      <c r="OYC121" s="198"/>
      <c r="OYD121" s="199"/>
      <c r="OYE121" s="198"/>
      <c r="OYF121" s="199"/>
      <c r="OYG121" s="198"/>
      <c r="OYH121" s="199"/>
      <c r="OYI121" s="198"/>
      <c r="OYJ121" s="199"/>
      <c r="OYK121" s="198"/>
      <c r="OYL121" s="199"/>
      <c r="OYM121" s="198"/>
      <c r="OYN121" s="199"/>
      <c r="OYO121" s="198"/>
      <c r="OYP121" s="199"/>
      <c r="OYQ121" s="198"/>
      <c r="OYR121" s="199"/>
      <c r="OYS121" s="198"/>
      <c r="OYT121" s="199"/>
      <c r="OYU121" s="198"/>
      <c r="OYV121" s="199"/>
      <c r="OYW121" s="198"/>
      <c r="OYX121" s="199"/>
      <c r="OYY121" s="198"/>
      <c r="OYZ121" s="199"/>
      <c r="OZA121" s="198"/>
      <c r="OZB121" s="199"/>
      <c r="OZC121" s="198"/>
      <c r="OZD121" s="199"/>
      <c r="OZE121" s="198"/>
      <c r="OZF121" s="199"/>
      <c r="OZG121" s="198"/>
      <c r="OZH121" s="199"/>
      <c r="OZI121" s="198"/>
      <c r="OZJ121" s="199"/>
      <c r="OZK121" s="198"/>
      <c r="OZL121" s="199"/>
      <c r="OZM121" s="198"/>
      <c r="OZN121" s="199"/>
      <c r="OZO121" s="198"/>
      <c r="OZP121" s="199"/>
      <c r="OZQ121" s="198"/>
      <c r="OZR121" s="199"/>
      <c r="OZS121" s="198"/>
      <c r="OZT121" s="199"/>
      <c r="OZU121" s="198"/>
      <c r="OZV121" s="199"/>
      <c r="OZW121" s="198"/>
      <c r="OZX121" s="199"/>
      <c r="OZY121" s="198"/>
      <c r="OZZ121" s="199"/>
      <c r="PAA121" s="198"/>
      <c r="PAB121" s="199"/>
      <c r="PAC121" s="198"/>
      <c r="PAD121" s="199"/>
      <c r="PAE121" s="198"/>
      <c r="PAF121" s="199"/>
      <c r="PAG121" s="198"/>
      <c r="PAH121" s="199"/>
      <c r="PAI121" s="198"/>
      <c r="PAJ121" s="199"/>
      <c r="PAK121" s="198"/>
      <c r="PAL121" s="199"/>
      <c r="PAM121" s="198"/>
      <c r="PAN121" s="199"/>
      <c r="PAO121" s="198"/>
      <c r="PAP121" s="199"/>
      <c r="PAQ121" s="198"/>
      <c r="PAR121" s="199"/>
      <c r="PAS121" s="198"/>
      <c r="PAT121" s="199"/>
      <c r="PAU121" s="198"/>
      <c r="PAV121" s="199"/>
      <c r="PAW121" s="198"/>
      <c r="PAX121" s="199"/>
      <c r="PAY121" s="198"/>
      <c r="PAZ121" s="199"/>
      <c r="PBA121" s="198"/>
      <c r="PBB121" s="199"/>
      <c r="PBC121" s="198"/>
      <c r="PBD121" s="199"/>
      <c r="PBE121" s="198"/>
      <c r="PBF121" s="199"/>
      <c r="PBG121" s="198"/>
      <c r="PBH121" s="199"/>
      <c r="PBI121" s="198"/>
      <c r="PBJ121" s="199"/>
      <c r="PBK121" s="198"/>
      <c r="PBL121" s="199"/>
      <c r="PBM121" s="198"/>
      <c r="PBN121" s="199"/>
      <c r="PBO121" s="198"/>
      <c r="PBP121" s="199"/>
      <c r="PBQ121" s="198"/>
      <c r="PBR121" s="199"/>
      <c r="PBS121" s="198"/>
      <c r="PBT121" s="199"/>
      <c r="PBU121" s="198"/>
      <c r="PBV121" s="199"/>
      <c r="PBW121" s="198"/>
      <c r="PBX121" s="199"/>
      <c r="PBY121" s="198"/>
      <c r="PBZ121" s="199"/>
      <c r="PCA121" s="198"/>
      <c r="PCB121" s="199"/>
      <c r="PCC121" s="198"/>
      <c r="PCD121" s="199"/>
      <c r="PCE121" s="198"/>
      <c r="PCF121" s="199"/>
      <c r="PCG121" s="198"/>
      <c r="PCH121" s="199"/>
      <c r="PCI121" s="198"/>
      <c r="PCJ121" s="199"/>
      <c r="PCK121" s="198"/>
      <c r="PCL121" s="199"/>
      <c r="PCM121" s="198"/>
      <c r="PCN121" s="199"/>
      <c r="PCO121" s="198"/>
      <c r="PCP121" s="199"/>
      <c r="PCQ121" s="198"/>
      <c r="PCR121" s="199"/>
      <c r="PCS121" s="198"/>
      <c r="PCT121" s="199"/>
      <c r="PCU121" s="198"/>
      <c r="PCV121" s="199"/>
      <c r="PCW121" s="198"/>
      <c r="PCX121" s="199"/>
      <c r="PCY121" s="198"/>
      <c r="PCZ121" s="199"/>
      <c r="PDA121" s="198"/>
      <c r="PDB121" s="199"/>
      <c r="PDC121" s="198"/>
      <c r="PDD121" s="199"/>
      <c r="PDE121" s="198"/>
      <c r="PDF121" s="199"/>
      <c r="PDG121" s="198"/>
      <c r="PDH121" s="199"/>
      <c r="PDI121" s="198"/>
      <c r="PDJ121" s="199"/>
      <c r="PDK121" s="198"/>
      <c r="PDL121" s="199"/>
      <c r="PDM121" s="198"/>
      <c r="PDN121" s="199"/>
      <c r="PDO121" s="198"/>
      <c r="PDP121" s="199"/>
      <c r="PDQ121" s="198"/>
      <c r="PDR121" s="199"/>
      <c r="PDS121" s="198"/>
      <c r="PDT121" s="199"/>
      <c r="PDU121" s="198"/>
      <c r="PDV121" s="199"/>
      <c r="PDW121" s="198"/>
      <c r="PDX121" s="199"/>
      <c r="PDY121" s="198"/>
      <c r="PDZ121" s="199"/>
      <c r="PEA121" s="198"/>
      <c r="PEB121" s="199"/>
      <c r="PEC121" s="198"/>
      <c r="PED121" s="199"/>
      <c r="PEE121" s="198"/>
      <c r="PEF121" s="199"/>
      <c r="PEG121" s="198"/>
      <c r="PEH121" s="199"/>
      <c r="PEI121" s="198"/>
      <c r="PEJ121" s="199"/>
      <c r="PEK121" s="198"/>
      <c r="PEL121" s="199"/>
      <c r="PEM121" s="198"/>
      <c r="PEN121" s="199"/>
      <c r="PEO121" s="198"/>
      <c r="PEP121" s="199"/>
      <c r="PEQ121" s="198"/>
      <c r="PER121" s="199"/>
      <c r="PES121" s="198"/>
      <c r="PET121" s="199"/>
      <c r="PEU121" s="198"/>
      <c r="PEV121" s="199"/>
      <c r="PEW121" s="198"/>
      <c r="PEX121" s="199"/>
      <c r="PEY121" s="198"/>
      <c r="PEZ121" s="199"/>
      <c r="PFA121" s="198"/>
      <c r="PFB121" s="199"/>
      <c r="PFC121" s="198"/>
      <c r="PFD121" s="199"/>
      <c r="PFE121" s="198"/>
      <c r="PFF121" s="199"/>
      <c r="PFG121" s="198"/>
      <c r="PFH121" s="199"/>
      <c r="PFI121" s="198"/>
      <c r="PFJ121" s="199"/>
      <c r="PFK121" s="198"/>
      <c r="PFL121" s="199"/>
      <c r="PFM121" s="198"/>
      <c r="PFN121" s="199"/>
      <c r="PFO121" s="198"/>
      <c r="PFP121" s="199"/>
      <c r="PFQ121" s="198"/>
      <c r="PFR121" s="199"/>
      <c r="PFS121" s="198"/>
      <c r="PFT121" s="199"/>
      <c r="PFU121" s="198"/>
      <c r="PFV121" s="199"/>
      <c r="PFW121" s="198"/>
      <c r="PFX121" s="199"/>
      <c r="PFY121" s="198"/>
      <c r="PFZ121" s="199"/>
      <c r="PGA121" s="198"/>
      <c r="PGB121" s="199"/>
      <c r="PGC121" s="198"/>
      <c r="PGD121" s="199"/>
      <c r="PGE121" s="198"/>
      <c r="PGF121" s="199"/>
      <c r="PGG121" s="198"/>
      <c r="PGH121" s="199"/>
      <c r="PGI121" s="198"/>
      <c r="PGJ121" s="199"/>
      <c r="PGK121" s="198"/>
      <c r="PGL121" s="199"/>
      <c r="PGM121" s="198"/>
      <c r="PGN121" s="199"/>
      <c r="PGO121" s="198"/>
      <c r="PGP121" s="199"/>
      <c r="PGQ121" s="198"/>
      <c r="PGR121" s="199"/>
      <c r="PGS121" s="198"/>
      <c r="PGT121" s="199"/>
      <c r="PGU121" s="198"/>
      <c r="PGV121" s="199"/>
      <c r="PGW121" s="198"/>
      <c r="PGX121" s="199"/>
      <c r="PGY121" s="198"/>
      <c r="PGZ121" s="199"/>
      <c r="PHA121" s="198"/>
      <c r="PHB121" s="199"/>
      <c r="PHC121" s="198"/>
      <c r="PHD121" s="199"/>
      <c r="PHE121" s="198"/>
      <c r="PHF121" s="199"/>
      <c r="PHG121" s="198"/>
      <c r="PHH121" s="199"/>
      <c r="PHI121" s="198"/>
      <c r="PHJ121" s="199"/>
      <c r="PHK121" s="198"/>
      <c r="PHL121" s="199"/>
      <c r="PHM121" s="198"/>
      <c r="PHN121" s="199"/>
      <c r="PHO121" s="198"/>
      <c r="PHP121" s="199"/>
      <c r="PHQ121" s="198"/>
      <c r="PHR121" s="199"/>
      <c r="PHS121" s="198"/>
      <c r="PHT121" s="199"/>
      <c r="PHU121" s="198"/>
      <c r="PHV121" s="199"/>
      <c r="PHW121" s="198"/>
      <c r="PHX121" s="199"/>
      <c r="PHY121" s="198"/>
      <c r="PHZ121" s="199"/>
      <c r="PIA121" s="198"/>
      <c r="PIB121" s="199"/>
      <c r="PIC121" s="198"/>
      <c r="PID121" s="199"/>
      <c r="PIE121" s="198"/>
      <c r="PIF121" s="199"/>
      <c r="PIG121" s="198"/>
      <c r="PIH121" s="199"/>
      <c r="PII121" s="198"/>
      <c r="PIJ121" s="199"/>
      <c r="PIK121" s="198"/>
      <c r="PIL121" s="199"/>
      <c r="PIM121" s="198"/>
      <c r="PIN121" s="199"/>
      <c r="PIO121" s="198"/>
      <c r="PIP121" s="199"/>
      <c r="PIQ121" s="198"/>
      <c r="PIR121" s="199"/>
      <c r="PIS121" s="198"/>
      <c r="PIT121" s="199"/>
      <c r="PIU121" s="198"/>
      <c r="PIV121" s="199"/>
      <c r="PIW121" s="198"/>
      <c r="PIX121" s="199"/>
      <c r="PIY121" s="198"/>
      <c r="PIZ121" s="199"/>
      <c r="PJA121" s="198"/>
      <c r="PJB121" s="199"/>
      <c r="PJC121" s="198"/>
      <c r="PJD121" s="199"/>
      <c r="PJE121" s="198"/>
      <c r="PJF121" s="199"/>
      <c r="PJG121" s="198"/>
      <c r="PJH121" s="199"/>
      <c r="PJI121" s="198"/>
      <c r="PJJ121" s="199"/>
      <c r="PJK121" s="198"/>
      <c r="PJL121" s="199"/>
      <c r="PJM121" s="198"/>
      <c r="PJN121" s="199"/>
      <c r="PJO121" s="198"/>
      <c r="PJP121" s="199"/>
      <c r="PJQ121" s="198"/>
      <c r="PJR121" s="199"/>
      <c r="PJS121" s="198"/>
      <c r="PJT121" s="199"/>
      <c r="PJU121" s="198"/>
      <c r="PJV121" s="199"/>
      <c r="PJW121" s="198"/>
      <c r="PJX121" s="199"/>
      <c r="PJY121" s="198"/>
      <c r="PJZ121" s="199"/>
      <c r="PKA121" s="198"/>
      <c r="PKB121" s="199"/>
      <c r="PKC121" s="198"/>
      <c r="PKD121" s="199"/>
      <c r="PKE121" s="198"/>
      <c r="PKF121" s="199"/>
      <c r="PKG121" s="198"/>
      <c r="PKH121" s="199"/>
      <c r="PKI121" s="198"/>
      <c r="PKJ121" s="199"/>
      <c r="PKK121" s="198"/>
      <c r="PKL121" s="199"/>
      <c r="PKM121" s="198"/>
      <c r="PKN121" s="199"/>
      <c r="PKO121" s="198"/>
      <c r="PKP121" s="199"/>
      <c r="PKQ121" s="198"/>
      <c r="PKR121" s="199"/>
      <c r="PKS121" s="198"/>
      <c r="PKT121" s="199"/>
      <c r="PKU121" s="198"/>
      <c r="PKV121" s="199"/>
      <c r="PKW121" s="198"/>
      <c r="PKX121" s="199"/>
      <c r="PKY121" s="198"/>
      <c r="PKZ121" s="199"/>
      <c r="PLA121" s="198"/>
      <c r="PLB121" s="199"/>
      <c r="PLC121" s="198"/>
      <c r="PLD121" s="199"/>
      <c r="PLE121" s="198"/>
      <c r="PLF121" s="199"/>
      <c r="PLG121" s="198"/>
      <c r="PLH121" s="199"/>
      <c r="PLI121" s="198"/>
      <c r="PLJ121" s="199"/>
      <c r="PLK121" s="198"/>
      <c r="PLL121" s="199"/>
      <c r="PLM121" s="198"/>
      <c r="PLN121" s="199"/>
      <c r="PLO121" s="198"/>
      <c r="PLP121" s="199"/>
      <c r="PLQ121" s="198"/>
      <c r="PLR121" s="199"/>
      <c r="PLS121" s="198"/>
      <c r="PLT121" s="199"/>
      <c r="PLU121" s="198"/>
      <c r="PLV121" s="199"/>
      <c r="PLW121" s="198"/>
      <c r="PLX121" s="199"/>
      <c r="PLY121" s="198"/>
      <c r="PLZ121" s="199"/>
      <c r="PMA121" s="198"/>
      <c r="PMB121" s="199"/>
      <c r="PMC121" s="198"/>
      <c r="PMD121" s="199"/>
      <c r="PME121" s="198"/>
      <c r="PMF121" s="199"/>
      <c r="PMG121" s="198"/>
      <c r="PMH121" s="199"/>
      <c r="PMI121" s="198"/>
      <c r="PMJ121" s="199"/>
      <c r="PMK121" s="198"/>
      <c r="PML121" s="199"/>
      <c r="PMM121" s="198"/>
      <c r="PMN121" s="199"/>
      <c r="PMO121" s="198"/>
      <c r="PMP121" s="199"/>
      <c r="PMQ121" s="198"/>
      <c r="PMR121" s="199"/>
      <c r="PMS121" s="198"/>
      <c r="PMT121" s="199"/>
      <c r="PMU121" s="198"/>
      <c r="PMV121" s="199"/>
      <c r="PMW121" s="198"/>
      <c r="PMX121" s="199"/>
      <c r="PMY121" s="198"/>
      <c r="PMZ121" s="199"/>
      <c r="PNA121" s="198"/>
      <c r="PNB121" s="199"/>
      <c r="PNC121" s="198"/>
      <c r="PND121" s="199"/>
      <c r="PNE121" s="198"/>
      <c r="PNF121" s="199"/>
      <c r="PNG121" s="198"/>
      <c r="PNH121" s="199"/>
      <c r="PNI121" s="198"/>
      <c r="PNJ121" s="199"/>
      <c r="PNK121" s="198"/>
      <c r="PNL121" s="199"/>
      <c r="PNM121" s="198"/>
      <c r="PNN121" s="199"/>
      <c r="PNO121" s="198"/>
      <c r="PNP121" s="199"/>
      <c r="PNQ121" s="198"/>
      <c r="PNR121" s="199"/>
      <c r="PNS121" s="198"/>
      <c r="PNT121" s="199"/>
      <c r="PNU121" s="198"/>
      <c r="PNV121" s="199"/>
      <c r="PNW121" s="198"/>
      <c r="PNX121" s="199"/>
      <c r="PNY121" s="198"/>
      <c r="PNZ121" s="199"/>
      <c r="POA121" s="198"/>
      <c r="POB121" s="199"/>
      <c r="POC121" s="198"/>
      <c r="POD121" s="199"/>
      <c r="POE121" s="198"/>
      <c r="POF121" s="199"/>
      <c r="POG121" s="198"/>
      <c r="POH121" s="199"/>
      <c r="POI121" s="198"/>
      <c r="POJ121" s="199"/>
      <c r="POK121" s="198"/>
      <c r="POL121" s="199"/>
      <c r="POM121" s="198"/>
      <c r="PON121" s="199"/>
      <c r="POO121" s="198"/>
      <c r="POP121" s="199"/>
      <c r="POQ121" s="198"/>
      <c r="POR121" s="199"/>
      <c r="POS121" s="198"/>
      <c r="POT121" s="199"/>
      <c r="POU121" s="198"/>
      <c r="POV121" s="199"/>
      <c r="POW121" s="198"/>
      <c r="POX121" s="199"/>
      <c r="POY121" s="198"/>
      <c r="POZ121" s="199"/>
      <c r="PPA121" s="198"/>
      <c r="PPB121" s="199"/>
      <c r="PPC121" s="198"/>
      <c r="PPD121" s="199"/>
      <c r="PPE121" s="198"/>
      <c r="PPF121" s="199"/>
      <c r="PPG121" s="198"/>
      <c r="PPH121" s="199"/>
      <c r="PPI121" s="198"/>
      <c r="PPJ121" s="199"/>
      <c r="PPK121" s="198"/>
      <c r="PPL121" s="199"/>
      <c r="PPM121" s="198"/>
      <c r="PPN121" s="199"/>
      <c r="PPO121" s="198"/>
      <c r="PPP121" s="199"/>
      <c r="PPQ121" s="198"/>
      <c r="PPR121" s="199"/>
      <c r="PPS121" s="198"/>
      <c r="PPT121" s="199"/>
      <c r="PPU121" s="198"/>
      <c r="PPV121" s="199"/>
      <c r="PPW121" s="198"/>
      <c r="PPX121" s="199"/>
      <c r="PPY121" s="198"/>
      <c r="PPZ121" s="199"/>
      <c r="PQA121" s="198"/>
      <c r="PQB121" s="199"/>
      <c r="PQC121" s="198"/>
      <c r="PQD121" s="199"/>
      <c r="PQE121" s="198"/>
      <c r="PQF121" s="199"/>
      <c r="PQG121" s="198"/>
      <c r="PQH121" s="199"/>
      <c r="PQI121" s="198"/>
      <c r="PQJ121" s="199"/>
      <c r="PQK121" s="198"/>
      <c r="PQL121" s="199"/>
      <c r="PQM121" s="198"/>
      <c r="PQN121" s="199"/>
      <c r="PQO121" s="198"/>
      <c r="PQP121" s="199"/>
      <c r="PQQ121" s="198"/>
      <c r="PQR121" s="199"/>
      <c r="PQS121" s="198"/>
      <c r="PQT121" s="199"/>
      <c r="PQU121" s="198"/>
      <c r="PQV121" s="199"/>
      <c r="PQW121" s="198"/>
      <c r="PQX121" s="199"/>
      <c r="PQY121" s="198"/>
      <c r="PQZ121" s="199"/>
      <c r="PRA121" s="198"/>
      <c r="PRB121" s="199"/>
      <c r="PRC121" s="198"/>
      <c r="PRD121" s="199"/>
      <c r="PRE121" s="198"/>
      <c r="PRF121" s="199"/>
      <c r="PRG121" s="198"/>
      <c r="PRH121" s="199"/>
      <c r="PRI121" s="198"/>
      <c r="PRJ121" s="199"/>
      <c r="PRK121" s="198"/>
      <c r="PRL121" s="199"/>
      <c r="PRM121" s="198"/>
      <c r="PRN121" s="199"/>
      <c r="PRO121" s="198"/>
      <c r="PRP121" s="199"/>
      <c r="PRQ121" s="198"/>
      <c r="PRR121" s="199"/>
      <c r="PRS121" s="198"/>
      <c r="PRT121" s="199"/>
      <c r="PRU121" s="198"/>
      <c r="PRV121" s="199"/>
      <c r="PRW121" s="198"/>
      <c r="PRX121" s="199"/>
      <c r="PRY121" s="198"/>
      <c r="PRZ121" s="199"/>
      <c r="PSA121" s="198"/>
      <c r="PSB121" s="199"/>
      <c r="PSC121" s="198"/>
      <c r="PSD121" s="199"/>
      <c r="PSE121" s="198"/>
      <c r="PSF121" s="199"/>
      <c r="PSG121" s="198"/>
      <c r="PSH121" s="199"/>
      <c r="PSI121" s="198"/>
      <c r="PSJ121" s="199"/>
      <c r="PSK121" s="198"/>
      <c r="PSL121" s="199"/>
      <c r="PSM121" s="198"/>
      <c r="PSN121" s="199"/>
      <c r="PSO121" s="198"/>
      <c r="PSP121" s="199"/>
      <c r="PSQ121" s="198"/>
      <c r="PSR121" s="199"/>
      <c r="PSS121" s="198"/>
      <c r="PST121" s="199"/>
      <c r="PSU121" s="198"/>
      <c r="PSV121" s="199"/>
      <c r="PSW121" s="198"/>
      <c r="PSX121" s="199"/>
      <c r="PSY121" s="198"/>
      <c r="PSZ121" s="199"/>
      <c r="PTA121" s="198"/>
      <c r="PTB121" s="199"/>
      <c r="PTC121" s="198"/>
      <c r="PTD121" s="199"/>
      <c r="PTE121" s="198"/>
      <c r="PTF121" s="199"/>
      <c r="PTG121" s="198"/>
      <c r="PTH121" s="199"/>
      <c r="PTI121" s="198"/>
      <c r="PTJ121" s="199"/>
      <c r="PTK121" s="198"/>
      <c r="PTL121" s="199"/>
      <c r="PTM121" s="198"/>
      <c r="PTN121" s="199"/>
      <c r="PTO121" s="198"/>
      <c r="PTP121" s="199"/>
      <c r="PTQ121" s="198"/>
      <c r="PTR121" s="199"/>
      <c r="PTS121" s="198"/>
      <c r="PTT121" s="199"/>
      <c r="PTU121" s="198"/>
      <c r="PTV121" s="199"/>
      <c r="PTW121" s="198"/>
      <c r="PTX121" s="199"/>
      <c r="PTY121" s="198"/>
      <c r="PTZ121" s="199"/>
      <c r="PUA121" s="198"/>
      <c r="PUB121" s="199"/>
      <c r="PUC121" s="198"/>
      <c r="PUD121" s="199"/>
      <c r="PUE121" s="198"/>
      <c r="PUF121" s="199"/>
      <c r="PUG121" s="198"/>
      <c r="PUH121" s="199"/>
      <c r="PUI121" s="198"/>
      <c r="PUJ121" s="199"/>
      <c r="PUK121" s="198"/>
      <c r="PUL121" s="199"/>
      <c r="PUM121" s="198"/>
      <c r="PUN121" s="199"/>
      <c r="PUO121" s="198"/>
      <c r="PUP121" s="199"/>
      <c r="PUQ121" s="198"/>
      <c r="PUR121" s="199"/>
      <c r="PUS121" s="198"/>
      <c r="PUT121" s="199"/>
      <c r="PUU121" s="198"/>
      <c r="PUV121" s="199"/>
      <c r="PUW121" s="198"/>
      <c r="PUX121" s="199"/>
      <c r="PUY121" s="198"/>
      <c r="PUZ121" s="199"/>
      <c r="PVA121" s="198"/>
      <c r="PVB121" s="199"/>
      <c r="PVC121" s="198"/>
      <c r="PVD121" s="199"/>
      <c r="PVE121" s="198"/>
      <c r="PVF121" s="199"/>
      <c r="PVG121" s="198"/>
      <c r="PVH121" s="199"/>
      <c r="PVI121" s="198"/>
      <c r="PVJ121" s="199"/>
      <c r="PVK121" s="198"/>
      <c r="PVL121" s="199"/>
      <c r="PVM121" s="198"/>
      <c r="PVN121" s="199"/>
      <c r="PVO121" s="198"/>
      <c r="PVP121" s="199"/>
      <c r="PVQ121" s="198"/>
      <c r="PVR121" s="199"/>
      <c r="PVS121" s="198"/>
      <c r="PVT121" s="199"/>
      <c r="PVU121" s="198"/>
      <c r="PVV121" s="199"/>
      <c r="PVW121" s="198"/>
      <c r="PVX121" s="199"/>
      <c r="PVY121" s="198"/>
      <c r="PVZ121" s="199"/>
      <c r="PWA121" s="198"/>
      <c r="PWB121" s="199"/>
      <c r="PWC121" s="198"/>
      <c r="PWD121" s="199"/>
      <c r="PWE121" s="198"/>
      <c r="PWF121" s="199"/>
      <c r="PWG121" s="198"/>
      <c r="PWH121" s="199"/>
      <c r="PWI121" s="198"/>
      <c r="PWJ121" s="199"/>
      <c r="PWK121" s="198"/>
      <c r="PWL121" s="199"/>
      <c r="PWM121" s="198"/>
      <c r="PWN121" s="199"/>
      <c r="PWO121" s="198"/>
      <c r="PWP121" s="199"/>
      <c r="PWQ121" s="198"/>
      <c r="PWR121" s="199"/>
      <c r="PWS121" s="198"/>
      <c r="PWT121" s="199"/>
      <c r="PWU121" s="198"/>
      <c r="PWV121" s="199"/>
      <c r="PWW121" s="198"/>
      <c r="PWX121" s="199"/>
      <c r="PWY121" s="198"/>
      <c r="PWZ121" s="199"/>
      <c r="PXA121" s="198"/>
      <c r="PXB121" s="199"/>
      <c r="PXC121" s="198"/>
      <c r="PXD121" s="199"/>
      <c r="PXE121" s="198"/>
      <c r="PXF121" s="199"/>
      <c r="PXG121" s="198"/>
      <c r="PXH121" s="199"/>
      <c r="PXI121" s="198"/>
      <c r="PXJ121" s="199"/>
      <c r="PXK121" s="198"/>
      <c r="PXL121" s="199"/>
      <c r="PXM121" s="198"/>
      <c r="PXN121" s="199"/>
      <c r="PXO121" s="198"/>
      <c r="PXP121" s="199"/>
      <c r="PXQ121" s="198"/>
      <c r="PXR121" s="199"/>
      <c r="PXS121" s="198"/>
      <c r="PXT121" s="199"/>
      <c r="PXU121" s="198"/>
      <c r="PXV121" s="199"/>
      <c r="PXW121" s="198"/>
      <c r="PXX121" s="199"/>
      <c r="PXY121" s="198"/>
      <c r="PXZ121" s="199"/>
      <c r="PYA121" s="198"/>
      <c r="PYB121" s="199"/>
      <c r="PYC121" s="198"/>
      <c r="PYD121" s="199"/>
      <c r="PYE121" s="198"/>
      <c r="PYF121" s="199"/>
      <c r="PYG121" s="198"/>
      <c r="PYH121" s="199"/>
      <c r="PYI121" s="198"/>
      <c r="PYJ121" s="199"/>
      <c r="PYK121" s="198"/>
      <c r="PYL121" s="199"/>
      <c r="PYM121" s="198"/>
      <c r="PYN121" s="199"/>
      <c r="PYO121" s="198"/>
      <c r="PYP121" s="199"/>
      <c r="PYQ121" s="198"/>
      <c r="PYR121" s="199"/>
      <c r="PYS121" s="198"/>
      <c r="PYT121" s="199"/>
      <c r="PYU121" s="198"/>
      <c r="PYV121" s="199"/>
      <c r="PYW121" s="198"/>
      <c r="PYX121" s="199"/>
      <c r="PYY121" s="198"/>
      <c r="PYZ121" s="199"/>
      <c r="PZA121" s="198"/>
      <c r="PZB121" s="199"/>
      <c r="PZC121" s="198"/>
      <c r="PZD121" s="199"/>
      <c r="PZE121" s="198"/>
      <c r="PZF121" s="199"/>
      <c r="PZG121" s="198"/>
      <c r="PZH121" s="199"/>
      <c r="PZI121" s="198"/>
      <c r="PZJ121" s="199"/>
      <c r="PZK121" s="198"/>
      <c r="PZL121" s="199"/>
      <c r="PZM121" s="198"/>
      <c r="PZN121" s="199"/>
      <c r="PZO121" s="198"/>
      <c r="PZP121" s="199"/>
      <c r="PZQ121" s="198"/>
      <c r="PZR121" s="199"/>
      <c r="PZS121" s="198"/>
      <c r="PZT121" s="199"/>
      <c r="PZU121" s="198"/>
      <c r="PZV121" s="199"/>
      <c r="PZW121" s="198"/>
      <c r="PZX121" s="199"/>
      <c r="PZY121" s="198"/>
      <c r="PZZ121" s="199"/>
      <c r="QAA121" s="198"/>
      <c r="QAB121" s="199"/>
      <c r="QAC121" s="198"/>
      <c r="QAD121" s="199"/>
      <c r="QAE121" s="198"/>
      <c r="QAF121" s="199"/>
      <c r="QAG121" s="198"/>
      <c r="QAH121" s="199"/>
      <c r="QAI121" s="198"/>
      <c r="QAJ121" s="199"/>
      <c r="QAK121" s="198"/>
      <c r="QAL121" s="199"/>
      <c r="QAM121" s="198"/>
      <c r="QAN121" s="199"/>
      <c r="QAO121" s="198"/>
      <c r="QAP121" s="199"/>
      <c r="QAQ121" s="198"/>
      <c r="QAR121" s="199"/>
      <c r="QAS121" s="198"/>
      <c r="QAT121" s="199"/>
      <c r="QAU121" s="198"/>
      <c r="QAV121" s="199"/>
      <c r="QAW121" s="198"/>
      <c r="QAX121" s="199"/>
      <c r="QAY121" s="198"/>
      <c r="QAZ121" s="199"/>
      <c r="QBA121" s="198"/>
      <c r="QBB121" s="199"/>
      <c r="QBC121" s="198"/>
      <c r="QBD121" s="199"/>
      <c r="QBE121" s="198"/>
      <c r="QBF121" s="199"/>
      <c r="QBG121" s="198"/>
      <c r="QBH121" s="199"/>
      <c r="QBI121" s="198"/>
      <c r="QBJ121" s="199"/>
      <c r="QBK121" s="198"/>
      <c r="QBL121" s="199"/>
      <c r="QBM121" s="198"/>
      <c r="QBN121" s="199"/>
      <c r="QBO121" s="198"/>
      <c r="QBP121" s="199"/>
      <c r="QBQ121" s="198"/>
      <c r="QBR121" s="199"/>
      <c r="QBS121" s="198"/>
      <c r="QBT121" s="199"/>
      <c r="QBU121" s="198"/>
      <c r="QBV121" s="199"/>
      <c r="QBW121" s="198"/>
      <c r="QBX121" s="199"/>
      <c r="QBY121" s="198"/>
      <c r="QBZ121" s="199"/>
      <c r="QCA121" s="198"/>
      <c r="QCB121" s="199"/>
      <c r="QCC121" s="198"/>
      <c r="QCD121" s="199"/>
      <c r="QCE121" s="198"/>
      <c r="QCF121" s="199"/>
      <c r="QCG121" s="198"/>
      <c r="QCH121" s="199"/>
      <c r="QCI121" s="198"/>
      <c r="QCJ121" s="199"/>
      <c r="QCK121" s="198"/>
      <c r="QCL121" s="199"/>
      <c r="QCM121" s="198"/>
      <c r="QCN121" s="199"/>
      <c r="QCO121" s="198"/>
      <c r="QCP121" s="199"/>
      <c r="QCQ121" s="198"/>
      <c r="QCR121" s="199"/>
      <c r="QCS121" s="198"/>
      <c r="QCT121" s="199"/>
      <c r="QCU121" s="198"/>
      <c r="QCV121" s="199"/>
      <c r="QCW121" s="198"/>
      <c r="QCX121" s="199"/>
      <c r="QCY121" s="198"/>
      <c r="QCZ121" s="199"/>
      <c r="QDA121" s="198"/>
      <c r="QDB121" s="199"/>
      <c r="QDC121" s="198"/>
      <c r="QDD121" s="199"/>
      <c r="QDE121" s="198"/>
      <c r="QDF121" s="199"/>
      <c r="QDG121" s="198"/>
      <c r="QDH121" s="199"/>
      <c r="QDI121" s="198"/>
      <c r="QDJ121" s="199"/>
      <c r="QDK121" s="198"/>
      <c r="QDL121" s="199"/>
      <c r="QDM121" s="198"/>
      <c r="QDN121" s="199"/>
      <c r="QDO121" s="198"/>
      <c r="QDP121" s="199"/>
      <c r="QDQ121" s="198"/>
      <c r="QDR121" s="199"/>
      <c r="QDS121" s="198"/>
      <c r="QDT121" s="199"/>
      <c r="QDU121" s="198"/>
      <c r="QDV121" s="199"/>
      <c r="QDW121" s="198"/>
      <c r="QDX121" s="199"/>
      <c r="QDY121" s="198"/>
      <c r="QDZ121" s="199"/>
      <c r="QEA121" s="198"/>
      <c r="QEB121" s="199"/>
      <c r="QEC121" s="198"/>
      <c r="QED121" s="199"/>
      <c r="QEE121" s="198"/>
      <c r="QEF121" s="199"/>
      <c r="QEG121" s="198"/>
      <c r="QEH121" s="199"/>
      <c r="QEI121" s="198"/>
      <c r="QEJ121" s="199"/>
      <c r="QEK121" s="198"/>
      <c r="QEL121" s="199"/>
      <c r="QEM121" s="198"/>
      <c r="QEN121" s="199"/>
      <c r="QEO121" s="198"/>
      <c r="QEP121" s="199"/>
      <c r="QEQ121" s="198"/>
      <c r="QER121" s="199"/>
      <c r="QES121" s="198"/>
      <c r="QET121" s="199"/>
      <c r="QEU121" s="198"/>
      <c r="QEV121" s="199"/>
      <c r="QEW121" s="198"/>
      <c r="QEX121" s="199"/>
      <c r="QEY121" s="198"/>
      <c r="QEZ121" s="199"/>
      <c r="QFA121" s="198"/>
      <c r="QFB121" s="199"/>
      <c r="QFC121" s="198"/>
      <c r="QFD121" s="199"/>
      <c r="QFE121" s="198"/>
      <c r="QFF121" s="199"/>
      <c r="QFG121" s="198"/>
      <c r="QFH121" s="199"/>
      <c r="QFI121" s="198"/>
      <c r="QFJ121" s="199"/>
      <c r="QFK121" s="198"/>
      <c r="QFL121" s="199"/>
      <c r="QFM121" s="198"/>
      <c r="QFN121" s="199"/>
      <c r="QFO121" s="198"/>
      <c r="QFP121" s="199"/>
      <c r="QFQ121" s="198"/>
      <c r="QFR121" s="199"/>
      <c r="QFS121" s="198"/>
      <c r="QFT121" s="199"/>
      <c r="QFU121" s="198"/>
      <c r="QFV121" s="199"/>
      <c r="QFW121" s="198"/>
      <c r="QFX121" s="199"/>
      <c r="QFY121" s="198"/>
      <c r="QFZ121" s="199"/>
      <c r="QGA121" s="198"/>
      <c r="QGB121" s="199"/>
      <c r="QGC121" s="198"/>
      <c r="QGD121" s="199"/>
      <c r="QGE121" s="198"/>
      <c r="QGF121" s="199"/>
      <c r="QGG121" s="198"/>
      <c r="QGH121" s="199"/>
      <c r="QGI121" s="198"/>
      <c r="QGJ121" s="199"/>
      <c r="QGK121" s="198"/>
      <c r="QGL121" s="199"/>
      <c r="QGM121" s="198"/>
      <c r="QGN121" s="199"/>
      <c r="QGO121" s="198"/>
      <c r="QGP121" s="199"/>
      <c r="QGQ121" s="198"/>
      <c r="QGR121" s="199"/>
      <c r="QGS121" s="198"/>
      <c r="QGT121" s="199"/>
      <c r="QGU121" s="198"/>
      <c r="QGV121" s="199"/>
      <c r="QGW121" s="198"/>
      <c r="QGX121" s="199"/>
      <c r="QGY121" s="198"/>
      <c r="QGZ121" s="199"/>
      <c r="QHA121" s="198"/>
      <c r="QHB121" s="199"/>
      <c r="QHC121" s="198"/>
      <c r="QHD121" s="199"/>
      <c r="QHE121" s="198"/>
      <c r="QHF121" s="199"/>
      <c r="QHG121" s="198"/>
      <c r="QHH121" s="199"/>
      <c r="QHI121" s="198"/>
      <c r="QHJ121" s="199"/>
      <c r="QHK121" s="198"/>
      <c r="QHL121" s="199"/>
      <c r="QHM121" s="198"/>
      <c r="QHN121" s="199"/>
      <c r="QHO121" s="198"/>
      <c r="QHP121" s="199"/>
      <c r="QHQ121" s="198"/>
      <c r="QHR121" s="199"/>
      <c r="QHS121" s="198"/>
      <c r="QHT121" s="199"/>
      <c r="QHU121" s="198"/>
      <c r="QHV121" s="199"/>
      <c r="QHW121" s="198"/>
      <c r="QHX121" s="199"/>
      <c r="QHY121" s="198"/>
      <c r="QHZ121" s="199"/>
      <c r="QIA121" s="198"/>
      <c r="QIB121" s="199"/>
      <c r="QIC121" s="198"/>
      <c r="QID121" s="199"/>
      <c r="QIE121" s="198"/>
      <c r="QIF121" s="199"/>
      <c r="QIG121" s="198"/>
      <c r="QIH121" s="199"/>
      <c r="QII121" s="198"/>
      <c r="QIJ121" s="199"/>
      <c r="QIK121" s="198"/>
      <c r="QIL121" s="199"/>
      <c r="QIM121" s="198"/>
      <c r="QIN121" s="199"/>
      <c r="QIO121" s="198"/>
      <c r="QIP121" s="199"/>
      <c r="QIQ121" s="198"/>
      <c r="QIR121" s="199"/>
      <c r="QIS121" s="198"/>
      <c r="QIT121" s="199"/>
      <c r="QIU121" s="198"/>
      <c r="QIV121" s="199"/>
      <c r="QIW121" s="198"/>
      <c r="QIX121" s="199"/>
      <c r="QIY121" s="198"/>
      <c r="QIZ121" s="199"/>
      <c r="QJA121" s="198"/>
      <c r="QJB121" s="199"/>
      <c r="QJC121" s="198"/>
      <c r="QJD121" s="199"/>
      <c r="QJE121" s="198"/>
      <c r="QJF121" s="199"/>
      <c r="QJG121" s="198"/>
      <c r="QJH121" s="199"/>
      <c r="QJI121" s="198"/>
      <c r="QJJ121" s="199"/>
      <c r="QJK121" s="198"/>
      <c r="QJL121" s="199"/>
      <c r="QJM121" s="198"/>
      <c r="QJN121" s="199"/>
      <c r="QJO121" s="198"/>
      <c r="QJP121" s="199"/>
      <c r="QJQ121" s="198"/>
      <c r="QJR121" s="199"/>
      <c r="QJS121" s="198"/>
      <c r="QJT121" s="199"/>
      <c r="QJU121" s="198"/>
      <c r="QJV121" s="199"/>
      <c r="QJW121" s="198"/>
      <c r="QJX121" s="199"/>
      <c r="QJY121" s="198"/>
      <c r="QJZ121" s="199"/>
      <c r="QKA121" s="198"/>
      <c r="QKB121" s="199"/>
      <c r="QKC121" s="198"/>
      <c r="QKD121" s="199"/>
      <c r="QKE121" s="198"/>
      <c r="QKF121" s="199"/>
      <c r="QKG121" s="198"/>
      <c r="QKH121" s="199"/>
      <c r="QKI121" s="198"/>
      <c r="QKJ121" s="199"/>
      <c r="QKK121" s="198"/>
      <c r="QKL121" s="199"/>
      <c r="QKM121" s="198"/>
      <c r="QKN121" s="199"/>
      <c r="QKO121" s="198"/>
      <c r="QKP121" s="199"/>
      <c r="QKQ121" s="198"/>
      <c r="QKR121" s="199"/>
      <c r="QKS121" s="198"/>
      <c r="QKT121" s="199"/>
      <c r="QKU121" s="198"/>
      <c r="QKV121" s="199"/>
      <c r="QKW121" s="198"/>
      <c r="QKX121" s="199"/>
      <c r="QKY121" s="198"/>
      <c r="QKZ121" s="199"/>
      <c r="QLA121" s="198"/>
      <c r="QLB121" s="199"/>
      <c r="QLC121" s="198"/>
      <c r="QLD121" s="199"/>
      <c r="QLE121" s="198"/>
      <c r="QLF121" s="199"/>
      <c r="QLG121" s="198"/>
      <c r="QLH121" s="199"/>
      <c r="QLI121" s="198"/>
      <c r="QLJ121" s="199"/>
      <c r="QLK121" s="198"/>
      <c r="QLL121" s="199"/>
      <c r="QLM121" s="198"/>
      <c r="QLN121" s="199"/>
      <c r="QLO121" s="198"/>
      <c r="QLP121" s="199"/>
      <c r="QLQ121" s="198"/>
      <c r="QLR121" s="199"/>
      <c r="QLS121" s="198"/>
      <c r="QLT121" s="199"/>
      <c r="QLU121" s="198"/>
      <c r="QLV121" s="199"/>
      <c r="QLW121" s="198"/>
      <c r="QLX121" s="199"/>
      <c r="QLY121" s="198"/>
      <c r="QLZ121" s="199"/>
      <c r="QMA121" s="198"/>
      <c r="QMB121" s="199"/>
      <c r="QMC121" s="198"/>
      <c r="QMD121" s="199"/>
      <c r="QME121" s="198"/>
      <c r="QMF121" s="199"/>
      <c r="QMG121" s="198"/>
      <c r="QMH121" s="199"/>
      <c r="QMI121" s="198"/>
      <c r="QMJ121" s="199"/>
      <c r="QMK121" s="198"/>
      <c r="QML121" s="199"/>
      <c r="QMM121" s="198"/>
      <c r="QMN121" s="199"/>
      <c r="QMO121" s="198"/>
      <c r="QMP121" s="199"/>
      <c r="QMQ121" s="198"/>
      <c r="QMR121" s="199"/>
      <c r="QMS121" s="198"/>
      <c r="QMT121" s="199"/>
      <c r="QMU121" s="198"/>
      <c r="QMV121" s="199"/>
      <c r="QMW121" s="198"/>
      <c r="QMX121" s="199"/>
      <c r="QMY121" s="198"/>
      <c r="QMZ121" s="199"/>
      <c r="QNA121" s="198"/>
      <c r="QNB121" s="199"/>
      <c r="QNC121" s="198"/>
      <c r="QND121" s="199"/>
      <c r="QNE121" s="198"/>
      <c r="QNF121" s="199"/>
      <c r="QNG121" s="198"/>
      <c r="QNH121" s="199"/>
      <c r="QNI121" s="198"/>
      <c r="QNJ121" s="199"/>
      <c r="QNK121" s="198"/>
      <c r="QNL121" s="199"/>
      <c r="QNM121" s="198"/>
      <c r="QNN121" s="199"/>
      <c r="QNO121" s="198"/>
      <c r="QNP121" s="199"/>
      <c r="QNQ121" s="198"/>
      <c r="QNR121" s="199"/>
      <c r="QNS121" s="198"/>
      <c r="QNT121" s="199"/>
      <c r="QNU121" s="198"/>
      <c r="QNV121" s="199"/>
      <c r="QNW121" s="198"/>
      <c r="QNX121" s="199"/>
      <c r="QNY121" s="198"/>
      <c r="QNZ121" s="199"/>
      <c r="QOA121" s="198"/>
      <c r="QOB121" s="199"/>
      <c r="QOC121" s="198"/>
      <c r="QOD121" s="199"/>
      <c r="QOE121" s="198"/>
      <c r="QOF121" s="199"/>
      <c r="QOG121" s="198"/>
      <c r="QOH121" s="199"/>
      <c r="QOI121" s="198"/>
      <c r="QOJ121" s="199"/>
      <c r="QOK121" s="198"/>
      <c r="QOL121" s="199"/>
      <c r="QOM121" s="198"/>
      <c r="QON121" s="199"/>
      <c r="QOO121" s="198"/>
      <c r="QOP121" s="199"/>
      <c r="QOQ121" s="198"/>
      <c r="QOR121" s="199"/>
      <c r="QOS121" s="198"/>
      <c r="QOT121" s="199"/>
      <c r="QOU121" s="198"/>
      <c r="QOV121" s="199"/>
      <c r="QOW121" s="198"/>
      <c r="QOX121" s="199"/>
      <c r="QOY121" s="198"/>
      <c r="QOZ121" s="199"/>
      <c r="QPA121" s="198"/>
      <c r="QPB121" s="199"/>
      <c r="QPC121" s="198"/>
      <c r="QPD121" s="199"/>
      <c r="QPE121" s="198"/>
      <c r="QPF121" s="199"/>
      <c r="QPG121" s="198"/>
      <c r="QPH121" s="199"/>
      <c r="QPI121" s="198"/>
      <c r="QPJ121" s="199"/>
      <c r="QPK121" s="198"/>
      <c r="QPL121" s="199"/>
      <c r="QPM121" s="198"/>
      <c r="QPN121" s="199"/>
      <c r="QPO121" s="198"/>
      <c r="QPP121" s="199"/>
      <c r="QPQ121" s="198"/>
      <c r="QPR121" s="199"/>
      <c r="QPS121" s="198"/>
      <c r="QPT121" s="199"/>
      <c r="QPU121" s="198"/>
      <c r="QPV121" s="199"/>
      <c r="QPW121" s="198"/>
      <c r="QPX121" s="199"/>
      <c r="QPY121" s="198"/>
      <c r="QPZ121" s="199"/>
      <c r="QQA121" s="198"/>
      <c r="QQB121" s="199"/>
      <c r="QQC121" s="198"/>
      <c r="QQD121" s="199"/>
      <c r="QQE121" s="198"/>
      <c r="QQF121" s="199"/>
      <c r="QQG121" s="198"/>
      <c r="QQH121" s="199"/>
      <c r="QQI121" s="198"/>
      <c r="QQJ121" s="199"/>
      <c r="QQK121" s="198"/>
      <c r="QQL121" s="199"/>
      <c r="QQM121" s="198"/>
      <c r="QQN121" s="199"/>
      <c r="QQO121" s="198"/>
      <c r="QQP121" s="199"/>
      <c r="QQQ121" s="198"/>
      <c r="QQR121" s="199"/>
      <c r="QQS121" s="198"/>
      <c r="QQT121" s="199"/>
      <c r="QQU121" s="198"/>
      <c r="QQV121" s="199"/>
      <c r="QQW121" s="198"/>
      <c r="QQX121" s="199"/>
      <c r="QQY121" s="198"/>
      <c r="QQZ121" s="199"/>
      <c r="QRA121" s="198"/>
      <c r="QRB121" s="199"/>
      <c r="QRC121" s="198"/>
      <c r="QRD121" s="199"/>
      <c r="QRE121" s="198"/>
      <c r="QRF121" s="199"/>
      <c r="QRG121" s="198"/>
      <c r="QRH121" s="199"/>
      <c r="QRI121" s="198"/>
      <c r="QRJ121" s="199"/>
      <c r="QRK121" s="198"/>
      <c r="QRL121" s="199"/>
      <c r="QRM121" s="198"/>
      <c r="QRN121" s="199"/>
      <c r="QRO121" s="198"/>
      <c r="QRP121" s="199"/>
      <c r="QRQ121" s="198"/>
      <c r="QRR121" s="199"/>
      <c r="QRS121" s="198"/>
      <c r="QRT121" s="199"/>
      <c r="QRU121" s="198"/>
      <c r="QRV121" s="199"/>
      <c r="QRW121" s="198"/>
      <c r="QRX121" s="199"/>
      <c r="QRY121" s="198"/>
      <c r="QRZ121" s="199"/>
      <c r="QSA121" s="198"/>
      <c r="QSB121" s="199"/>
      <c r="QSC121" s="198"/>
      <c r="QSD121" s="199"/>
      <c r="QSE121" s="198"/>
      <c r="QSF121" s="199"/>
      <c r="QSG121" s="198"/>
      <c r="QSH121" s="199"/>
      <c r="QSI121" s="198"/>
      <c r="QSJ121" s="199"/>
      <c r="QSK121" s="198"/>
      <c r="QSL121" s="199"/>
      <c r="QSM121" s="198"/>
      <c r="QSN121" s="199"/>
      <c r="QSO121" s="198"/>
      <c r="QSP121" s="199"/>
      <c r="QSQ121" s="198"/>
      <c r="QSR121" s="199"/>
      <c r="QSS121" s="198"/>
      <c r="QST121" s="199"/>
      <c r="QSU121" s="198"/>
      <c r="QSV121" s="199"/>
      <c r="QSW121" s="198"/>
      <c r="QSX121" s="199"/>
      <c r="QSY121" s="198"/>
      <c r="QSZ121" s="199"/>
      <c r="QTA121" s="198"/>
      <c r="QTB121" s="199"/>
      <c r="QTC121" s="198"/>
      <c r="QTD121" s="199"/>
      <c r="QTE121" s="198"/>
      <c r="QTF121" s="199"/>
      <c r="QTG121" s="198"/>
      <c r="QTH121" s="199"/>
      <c r="QTI121" s="198"/>
      <c r="QTJ121" s="199"/>
      <c r="QTK121" s="198"/>
      <c r="QTL121" s="199"/>
      <c r="QTM121" s="198"/>
      <c r="QTN121" s="199"/>
      <c r="QTO121" s="198"/>
      <c r="QTP121" s="199"/>
      <c r="QTQ121" s="198"/>
      <c r="QTR121" s="199"/>
      <c r="QTS121" s="198"/>
      <c r="QTT121" s="199"/>
      <c r="QTU121" s="198"/>
      <c r="QTV121" s="199"/>
      <c r="QTW121" s="198"/>
      <c r="QTX121" s="199"/>
      <c r="QTY121" s="198"/>
      <c r="QTZ121" s="199"/>
      <c r="QUA121" s="198"/>
      <c r="QUB121" s="199"/>
      <c r="QUC121" s="198"/>
      <c r="QUD121" s="199"/>
      <c r="QUE121" s="198"/>
      <c r="QUF121" s="199"/>
      <c r="QUG121" s="198"/>
      <c r="QUH121" s="199"/>
      <c r="QUI121" s="198"/>
      <c r="QUJ121" s="199"/>
      <c r="QUK121" s="198"/>
      <c r="QUL121" s="199"/>
      <c r="QUM121" s="198"/>
      <c r="QUN121" s="199"/>
      <c r="QUO121" s="198"/>
      <c r="QUP121" s="199"/>
      <c r="QUQ121" s="198"/>
      <c r="QUR121" s="199"/>
      <c r="QUS121" s="198"/>
      <c r="QUT121" s="199"/>
      <c r="QUU121" s="198"/>
      <c r="QUV121" s="199"/>
      <c r="QUW121" s="198"/>
      <c r="QUX121" s="199"/>
      <c r="QUY121" s="198"/>
      <c r="QUZ121" s="199"/>
      <c r="QVA121" s="198"/>
      <c r="QVB121" s="199"/>
      <c r="QVC121" s="198"/>
      <c r="QVD121" s="199"/>
      <c r="QVE121" s="198"/>
      <c r="QVF121" s="199"/>
      <c r="QVG121" s="198"/>
      <c r="QVH121" s="199"/>
      <c r="QVI121" s="198"/>
      <c r="QVJ121" s="199"/>
      <c r="QVK121" s="198"/>
      <c r="QVL121" s="199"/>
      <c r="QVM121" s="198"/>
      <c r="QVN121" s="199"/>
      <c r="QVO121" s="198"/>
      <c r="QVP121" s="199"/>
      <c r="QVQ121" s="198"/>
      <c r="QVR121" s="199"/>
      <c r="QVS121" s="198"/>
      <c r="QVT121" s="199"/>
      <c r="QVU121" s="198"/>
      <c r="QVV121" s="199"/>
      <c r="QVW121" s="198"/>
      <c r="QVX121" s="199"/>
      <c r="QVY121" s="198"/>
      <c r="QVZ121" s="199"/>
      <c r="QWA121" s="198"/>
      <c r="QWB121" s="199"/>
      <c r="QWC121" s="198"/>
      <c r="QWD121" s="199"/>
      <c r="QWE121" s="198"/>
      <c r="QWF121" s="199"/>
      <c r="QWG121" s="198"/>
      <c r="QWH121" s="199"/>
      <c r="QWI121" s="198"/>
      <c r="QWJ121" s="199"/>
      <c r="QWK121" s="198"/>
      <c r="QWL121" s="199"/>
      <c r="QWM121" s="198"/>
      <c r="QWN121" s="199"/>
      <c r="QWO121" s="198"/>
      <c r="QWP121" s="199"/>
      <c r="QWQ121" s="198"/>
      <c r="QWR121" s="199"/>
      <c r="QWS121" s="198"/>
      <c r="QWT121" s="199"/>
      <c r="QWU121" s="198"/>
      <c r="QWV121" s="199"/>
      <c r="QWW121" s="198"/>
      <c r="QWX121" s="199"/>
      <c r="QWY121" s="198"/>
      <c r="QWZ121" s="199"/>
      <c r="QXA121" s="198"/>
      <c r="QXB121" s="199"/>
      <c r="QXC121" s="198"/>
      <c r="QXD121" s="199"/>
      <c r="QXE121" s="198"/>
      <c r="QXF121" s="199"/>
      <c r="QXG121" s="198"/>
      <c r="QXH121" s="199"/>
      <c r="QXI121" s="198"/>
      <c r="QXJ121" s="199"/>
      <c r="QXK121" s="198"/>
      <c r="QXL121" s="199"/>
      <c r="QXM121" s="198"/>
      <c r="QXN121" s="199"/>
      <c r="QXO121" s="198"/>
      <c r="QXP121" s="199"/>
      <c r="QXQ121" s="198"/>
      <c r="QXR121" s="199"/>
      <c r="QXS121" s="198"/>
      <c r="QXT121" s="199"/>
      <c r="QXU121" s="198"/>
      <c r="QXV121" s="199"/>
      <c r="QXW121" s="198"/>
      <c r="QXX121" s="199"/>
      <c r="QXY121" s="198"/>
      <c r="QXZ121" s="199"/>
      <c r="QYA121" s="198"/>
      <c r="QYB121" s="199"/>
      <c r="QYC121" s="198"/>
      <c r="QYD121" s="199"/>
      <c r="QYE121" s="198"/>
      <c r="QYF121" s="199"/>
      <c r="QYG121" s="198"/>
      <c r="QYH121" s="199"/>
      <c r="QYI121" s="198"/>
      <c r="QYJ121" s="199"/>
      <c r="QYK121" s="198"/>
      <c r="QYL121" s="199"/>
      <c r="QYM121" s="198"/>
      <c r="QYN121" s="199"/>
      <c r="QYO121" s="198"/>
      <c r="QYP121" s="199"/>
      <c r="QYQ121" s="198"/>
      <c r="QYR121" s="199"/>
      <c r="QYS121" s="198"/>
      <c r="QYT121" s="199"/>
      <c r="QYU121" s="198"/>
      <c r="QYV121" s="199"/>
      <c r="QYW121" s="198"/>
      <c r="QYX121" s="199"/>
      <c r="QYY121" s="198"/>
      <c r="QYZ121" s="199"/>
      <c r="QZA121" s="198"/>
      <c r="QZB121" s="199"/>
      <c r="QZC121" s="198"/>
      <c r="QZD121" s="199"/>
      <c r="QZE121" s="198"/>
      <c r="QZF121" s="199"/>
      <c r="QZG121" s="198"/>
      <c r="QZH121" s="199"/>
      <c r="QZI121" s="198"/>
      <c r="QZJ121" s="199"/>
      <c r="QZK121" s="198"/>
      <c r="QZL121" s="199"/>
      <c r="QZM121" s="198"/>
      <c r="QZN121" s="199"/>
      <c r="QZO121" s="198"/>
      <c r="QZP121" s="199"/>
      <c r="QZQ121" s="198"/>
      <c r="QZR121" s="199"/>
      <c r="QZS121" s="198"/>
      <c r="QZT121" s="199"/>
      <c r="QZU121" s="198"/>
      <c r="QZV121" s="199"/>
      <c r="QZW121" s="198"/>
      <c r="QZX121" s="199"/>
      <c r="QZY121" s="198"/>
      <c r="QZZ121" s="199"/>
      <c r="RAA121" s="198"/>
      <c r="RAB121" s="199"/>
      <c r="RAC121" s="198"/>
      <c r="RAD121" s="199"/>
      <c r="RAE121" s="198"/>
      <c r="RAF121" s="199"/>
      <c r="RAG121" s="198"/>
      <c r="RAH121" s="199"/>
      <c r="RAI121" s="198"/>
      <c r="RAJ121" s="199"/>
      <c r="RAK121" s="198"/>
      <c r="RAL121" s="199"/>
      <c r="RAM121" s="198"/>
      <c r="RAN121" s="199"/>
      <c r="RAO121" s="198"/>
      <c r="RAP121" s="199"/>
      <c r="RAQ121" s="198"/>
      <c r="RAR121" s="199"/>
      <c r="RAS121" s="198"/>
      <c r="RAT121" s="199"/>
      <c r="RAU121" s="198"/>
      <c r="RAV121" s="199"/>
      <c r="RAW121" s="198"/>
      <c r="RAX121" s="199"/>
      <c r="RAY121" s="198"/>
      <c r="RAZ121" s="199"/>
      <c r="RBA121" s="198"/>
      <c r="RBB121" s="199"/>
      <c r="RBC121" s="198"/>
      <c r="RBD121" s="199"/>
      <c r="RBE121" s="198"/>
      <c r="RBF121" s="199"/>
      <c r="RBG121" s="198"/>
      <c r="RBH121" s="199"/>
      <c r="RBI121" s="198"/>
      <c r="RBJ121" s="199"/>
      <c r="RBK121" s="198"/>
      <c r="RBL121" s="199"/>
      <c r="RBM121" s="198"/>
      <c r="RBN121" s="199"/>
      <c r="RBO121" s="198"/>
      <c r="RBP121" s="199"/>
      <c r="RBQ121" s="198"/>
      <c r="RBR121" s="199"/>
      <c r="RBS121" s="198"/>
      <c r="RBT121" s="199"/>
      <c r="RBU121" s="198"/>
      <c r="RBV121" s="199"/>
      <c r="RBW121" s="198"/>
      <c r="RBX121" s="199"/>
      <c r="RBY121" s="198"/>
      <c r="RBZ121" s="199"/>
      <c r="RCA121" s="198"/>
      <c r="RCB121" s="199"/>
      <c r="RCC121" s="198"/>
      <c r="RCD121" s="199"/>
      <c r="RCE121" s="198"/>
      <c r="RCF121" s="199"/>
      <c r="RCG121" s="198"/>
      <c r="RCH121" s="199"/>
      <c r="RCI121" s="198"/>
      <c r="RCJ121" s="199"/>
      <c r="RCK121" s="198"/>
      <c r="RCL121" s="199"/>
      <c r="RCM121" s="198"/>
      <c r="RCN121" s="199"/>
      <c r="RCO121" s="198"/>
      <c r="RCP121" s="199"/>
      <c r="RCQ121" s="198"/>
      <c r="RCR121" s="199"/>
      <c r="RCS121" s="198"/>
      <c r="RCT121" s="199"/>
      <c r="RCU121" s="198"/>
      <c r="RCV121" s="199"/>
      <c r="RCW121" s="198"/>
      <c r="RCX121" s="199"/>
      <c r="RCY121" s="198"/>
      <c r="RCZ121" s="199"/>
      <c r="RDA121" s="198"/>
      <c r="RDB121" s="199"/>
      <c r="RDC121" s="198"/>
      <c r="RDD121" s="199"/>
      <c r="RDE121" s="198"/>
      <c r="RDF121" s="199"/>
      <c r="RDG121" s="198"/>
      <c r="RDH121" s="199"/>
      <c r="RDI121" s="198"/>
      <c r="RDJ121" s="199"/>
      <c r="RDK121" s="198"/>
      <c r="RDL121" s="199"/>
      <c r="RDM121" s="198"/>
      <c r="RDN121" s="199"/>
      <c r="RDO121" s="198"/>
      <c r="RDP121" s="199"/>
      <c r="RDQ121" s="198"/>
      <c r="RDR121" s="199"/>
      <c r="RDS121" s="198"/>
      <c r="RDT121" s="199"/>
      <c r="RDU121" s="198"/>
      <c r="RDV121" s="199"/>
      <c r="RDW121" s="198"/>
      <c r="RDX121" s="199"/>
      <c r="RDY121" s="198"/>
      <c r="RDZ121" s="199"/>
      <c r="REA121" s="198"/>
      <c r="REB121" s="199"/>
      <c r="REC121" s="198"/>
      <c r="RED121" s="199"/>
      <c r="REE121" s="198"/>
      <c r="REF121" s="199"/>
      <c r="REG121" s="198"/>
      <c r="REH121" s="199"/>
      <c r="REI121" s="198"/>
      <c r="REJ121" s="199"/>
      <c r="REK121" s="198"/>
      <c r="REL121" s="199"/>
      <c r="REM121" s="198"/>
      <c r="REN121" s="199"/>
      <c r="REO121" s="198"/>
      <c r="REP121" s="199"/>
      <c r="REQ121" s="198"/>
      <c r="RER121" s="199"/>
      <c r="RES121" s="198"/>
      <c r="RET121" s="199"/>
      <c r="REU121" s="198"/>
      <c r="REV121" s="199"/>
      <c r="REW121" s="198"/>
      <c r="REX121" s="199"/>
      <c r="REY121" s="198"/>
      <c r="REZ121" s="199"/>
      <c r="RFA121" s="198"/>
      <c r="RFB121" s="199"/>
      <c r="RFC121" s="198"/>
      <c r="RFD121" s="199"/>
      <c r="RFE121" s="198"/>
      <c r="RFF121" s="199"/>
      <c r="RFG121" s="198"/>
      <c r="RFH121" s="199"/>
      <c r="RFI121" s="198"/>
      <c r="RFJ121" s="199"/>
      <c r="RFK121" s="198"/>
      <c r="RFL121" s="199"/>
      <c r="RFM121" s="198"/>
      <c r="RFN121" s="199"/>
      <c r="RFO121" s="198"/>
      <c r="RFP121" s="199"/>
      <c r="RFQ121" s="198"/>
      <c r="RFR121" s="199"/>
      <c r="RFS121" s="198"/>
      <c r="RFT121" s="199"/>
      <c r="RFU121" s="198"/>
      <c r="RFV121" s="199"/>
      <c r="RFW121" s="198"/>
      <c r="RFX121" s="199"/>
      <c r="RFY121" s="198"/>
      <c r="RFZ121" s="199"/>
      <c r="RGA121" s="198"/>
      <c r="RGB121" s="199"/>
      <c r="RGC121" s="198"/>
      <c r="RGD121" s="199"/>
      <c r="RGE121" s="198"/>
      <c r="RGF121" s="199"/>
      <c r="RGG121" s="198"/>
      <c r="RGH121" s="199"/>
      <c r="RGI121" s="198"/>
      <c r="RGJ121" s="199"/>
      <c r="RGK121" s="198"/>
      <c r="RGL121" s="199"/>
      <c r="RGM121" s="198"/>
      <c r="RGN121" s="199"/>
      <c r="RGO121" s="198"/>
      <c r="RGP121" s="199"/>
      <c r="RGQ121" s="198"/>
      <c r="RGR121" s="199"/>
      <c r="RGS121" s="198"/>
      <c r="RGT121" s="199"/>
      <c r="RGU121" s="198"/>
      <c r="RGV121" s="199"/>
      <c r="RGW121" s="198"/>
      <c r="RGX121" s="199"/>
      <c r="RGY121" s="198"/>
      <c r="RGZ121" s="199"/>
      <c r="RHA121" s="198"/>
      <c r="RHB121" s="199"/>
      <c r="RHC121" s="198"/>
      <c r="RHD121" s="199"/>
      <c r="RHE121" s="198"/>
      <c r="RHF121" s="199"/>
      <c r="RHG121" s="198"/>
      <c r="RHH121" s="199"/>
      <c r="RHI121" s="198"/>
      <c r="RHJ121" s="199"/>
      <c r="RHK121" s="198"/>
      <c r="RHL121" s="199"/>
      <c r="RHM121" s="198"/>
      <c r="RHN121" s="199"/>
      <c r="RHO121" s="198"/>
      <c r="RHP121" s="199"/>
      <c r="RHQ121" s="198"/>
      <c r="RHR121" s="199"/>
      <c r="RHS121" s="198"/>
      <c r="RHT121" s="199"/>
      <c r="RHU121" s="198"/>
      <c r="RHV121" s="199"/>
      <c r="RHW121" s="198"/>
      <c r="RHX121" s="199"/>
      <c r="RHY121" s="198"/>
      <c r="RHZ121" s="199"/>
      <c r="RIA121" s="198"/>
      <c r="RIB121" s="199"/>
      <c r="RIC121" s="198"/>
      <c r="RID121" s="199"/>
      <c r="RIE121" s="198"/>
      <c r="RIF121" s="199"/>
      <c r="RIG121" s="198"/>
      <c r="RIH121" s="199"/>
      <c r="RII121" s="198"/>
      <c r="RIJ121" s="199"/>
      <c r="RIK121" s="198"/>
      <c r="RIL121" s="199"/>
      <c r="RIM121" s="198"/>
      <c r="RIN121" s="199"/>
      <c r="RIO121" s="198"/>
      <c r="RIP121" s="199"/>
      <c r="RIQ121" s="198"/>
      <c r="RIR121" s="199"/>
      <c r="RIS121" s="198"/>
      <c r="RIT121" s="199"/>
      <c r="RIU121" s="198"/>
      <c r="RIV121" s="199"/>
      <c r="RIW121" s="198"/>
      <c r="RIX121" s="199"/>
      <c r="RIY121" s="198"/>
      <c r="RIZ121" s="199"/>
      <c r="RJA121" s="198"/>
      <c r="RJB121" s="199"/>
      <c r="RJC121" s="198"/>
      <c r="RJD121" s="199"/>
      <c r="RJE121" s="198"/>
      <c r="RJF121" s="199"/>
      <c r="RJG121" s="198"/>
      <c r="RJH121" s="199"/>
      <c r="RJI121" s="198"/>
      <c r="RJJ121" s="199"/>
      <c r="RJK121" s="198"/>
      <c r="RJL121" s="199"/>
      <c r="RJM121" s="198"/>
      <c r="RJN121" s="199"/>
      <c r="RJO121" s="198"/>
      <c r="RJP121" s="199"/>
      <c r="RJQ121" s="198"/>
      <c r="RJR121" s="199"/>
      <c r="RJS121" s="198"/>
      <c r="RJT121" s="199"/>
      <c r="RJU121" s="198"/>
      <c r="RJV121" s="199"/>
      <c r="RJW121" s="198"/>
      <c r="RJX121" s="199"/>
      <c r="RJY121" s="198"/>
      <c r="RJZ121" s="199"/>
      <c r="RKA121" s="198"/>
      <c r="RKB121" s="199"/>
      <c r="RKC121" s="198"/>
      <c r="RKD121" s="199"/>
      <c r="RKE121" s="198"/>
      <c r="RKF121" s="199"/>
      <c r="RKG121" s="198"/>
      <c r="RKH121" s="199"/>
      <c r="RKI121" s="198"/>
      <c r="RKJ121" s="199"/>
      <c r="RKK121" s="198"/>
      <c r="RKL121" s="199"/>
      <c r="RKM121" s="198"/>
      <c r="RKN121" s="199"/>
      <c r="RKO121" s="198"/>
      <c r="RKP121" s="199"/>
      <c r="RKQ121" s="198"/>
      <c r="RKR121" s="199"/>
      <c r="RKS121" s="198"/>
      <c r="RKT121" s="199"/>
      <c r="RKU121" s="198"/>
      <c r="RKV121" s="199"/>
      <c r="RKW121" s="198"/>
      <c r="RKX121" s="199"/>
      <c r="RKY121" s="198"/>
      <c r="RKZ121" s="199"/>
      <c r="RLA121" s="198"/>
      <c r="RLB121" s="199"/>
      <c r="RLC121" s="198"/>
      <c r="RLD121" s="199"/>
      <c r="RLE121" s="198"/>
      <c r="RLF121" s="199"/>
      <c r="RLG121" s="198"/>
      <c r="RLH121" s="199"/>
      <c r="RLI121" s="198"/>
      <c r="RLJ121" s="199"/>
      <c r="RLK121" s="198"/>
      <c r="RLL121" s="199"/>
      <c r="RLM121" s="198"/>
      <c r="RLN121" s="199"/>
      <c r="RLO121" s="198"/>
      <c r="RLP121" s="199"/>
      <c r="RLQ121" s="198"/>
      <c r="RLR121" s="199"/>
      <c r="RLS121" s="198"/>
      <c r="RLT121" s="199"/>
      <c r="RLU121" s="198"/>
      <c r="RLV121" s="199"/>
      <c r="RLW121" s="198"/>
      <c r="RLX121" s="199"/>
      <c r="RLY121" s="198"/>
      <c r="RLZ121" s="199"/>
      <c r="RMA121" s="198"/>
      <c r="RMB121" s="199"/>
      <c r="RMC121" s="198"/>
      <c r="RMD121" s="199"/>
      <c r="RME121" s="198"/>
      <c r="RMF121" s="199"/>
      <c r="RMG121" s="198"/>
      <c r="RMH121" s="199"/>
      <c r="RMI121" s="198"/>
      <c r="RMJ121" s="199"/>
      <c r="RMK121" s="198"/>
      <c r="RML121" s="199"/>
      <c r="RMM121" s="198"/>
      <c r="RMN121" s="199"/>
      <c r="RMO121" s="198"/>
      <c r="RMP121" s="199"/>
      <c r="RMQ121" s="198"/>
      <c r="RMR121" s="199"/>
      <c r="RMS121" s="198"/>
      <c r="RMT121" s="199"/>
      <c r="RMU121" s="198"/>
      <c r="RMV121" s="199"/>
      <c r="RMW121" s="198"/>
      <c r="RMX121" s="199"/>
      <c r="RMY121" s="198"/>
      <c r="RMZ121" s="199"/>
      <c r="RNA121" s="198"/>
      <c r="RNB121" s="199"/>
      <c r="RNC121" s="198"/>
      <c r="RND121" s="199"/>
      <c r="RNE121" s="198"/>
      <c r="RNF121" s="199"/>
      <c r="RNG121" s="198"/>
      <c r="RNH121" s="199"/>
      <c r="RNI121" s="198"/>
      <c r="RNJ121" s="199"/>
      <c r="RNK121" s="198"/>
      <c r="RNL121" s="199"/>
      <c r="RNM121" s="198"/>
      <c r="RNN121" s="199"/>
      <c r="RNO121" s="198"/>
      <c r="RNP121" s="199"/>
      <c r="RNQ121" s="198"/>
      <c r="RNR121" s="199"/>
      <c r="RNS121" s="198"/>
      <c r="RNT121" s="199"/>
      <c r="RNU121" s="198"/>
      <c r="RNV121" s="199"/>
      <c r="RNW121" s="198"/>
      <c r="RNX121" s="199"/>
      <c r="RNY121" s="198"/>
      <c r="RNZ121" s="199"/>
      <c r="ROA121" s="198"/>
      <c r="ROB121" s="199"/>
      <c r="ROC121" s="198"/>
      <c r="ROD121" s="199"/>
      <c r="ROE121" s="198"/>
      <c r="ROF121" s="199"/>
      <c r="ROG121" s="198"/>
      <c r="ROH121" s="199"/>
      <c r="ROI121" s="198"/>
      <c r="ROJ121" s="199"/>
      <c r="ROK121" s="198"/>
      <c r="ROL121" s="199"/>
      <c r="ROM121" s="198"/>
      <c r="RON121" s="199"/>
      <c r="ROO121" s="198"/>
      <c r="ROP121" s="199"/>
      <c r="ROQ121" s="198"/>
      <c r="ROR121" s="199"/>
      <c r="ROS121" s="198"/>
      <c r="ROT121" s="199"/>
      <c r="ROU121" s="198"/>
      <c r="ROV121" s="199"/>
      <c r="ROW121" s="198"/>
      <c r="ROX121" s="199"/>
      <c r="ROY121" s="198"/>
      <c r="ROZ121" s="199"/>
      <c r="RPA121" s="198"/>
      <c r="RPB121" s="199"/>
      <c r="RPC121" s="198"/>
      <c r="RPD121" s="199"/>
      <c r="RPE121" s="198"/>
      <c r="RPF121" s="199"/>
      <c r="RPG121" s="198"/>
      <c r="RPH121" s="199"/>
      <c r="RPI121" s="198"/>
      <c r="RPJ121" s="199"/>
      <c r="RPK121" s="198"/>
      <c r="RPL121" s="199"/>
      <c r="RPM121" s="198"/>
      <c r="RPN121" s="199"/>
      <c r="RPO121" s="198"/>
      <c r="RPP121" s="199"/>
      <c r="RPQ121" s="198"/>
      <c r="RPR121" s="199"/>
      <c r="RPS121" s="198"/>
      <c r="RPT121" s="199"/>
      <c r="RPU121" s="198"/>
      <c r="RPV121" s="199"/>
      <c r="RPW121" s="198"/>
      <c r="RPX121" s="199"/>
      <c r="RPY121" s="198"/>
      <c r="RPZ121" s="199"/>
      <c r="RQA121" s="198"/>
      <c r="RQB121" s="199"/>
      <c r="RQC121" s="198"/>
      <c r="RQD121" s="199"/>
      <c r="RQE121" s="198"/>
      <c r="RQF121" s="199"/>
      <c r="RQG121" s="198"/>
      <c r="RQH121" s="199"/>
      <c r="RQI121" s="198"/>
      <c r="RQJ121" s="199"/>
      <c r="RQK121" s="198"/>
      <c r="RQL121" s="199"/>
      <c r="RQM121" s="198"/>
      <c r="RQN121" s="199"/>
      <c r="RQO121" s="198"/>
      <c r="RQP121" s="199"/>
      <c r="RQQ121" s="198"/>
      <c r="RQR121" s="199"/>
      <c r="RQS121" s="198"/>
      <c r="RQT121" s="199"/>
      <c r="RQU121" s="198"/>
      <c r="RQV121" s="199"/>
      <c r="RQW121" s="198"/>
      <c r="RQX121" s="199"/>
      <c r="RQY121" s="198"/>
      <c r="RQZ121" s="199"/>
      <c r="RRA121" s="198"/>
      <c r="RRB121" s="199"/>
      <c r="RRC121" s="198"/>
      <c r="RRD121" s="199"/>
      <c r="RRE121" s="198"/>
      <c r="RRF121" s="199"/>
      <c r="RRG121" s="198"/>
      <c r="RRH121" s="199"/>
      <c r="RRI121" s="198"/>
      <c r="RRJ121" s="199"/>
      <c r="RRK121" s="198"/>
      <c r="RRL121" s="199"/>
      <c r="RRM121" s="198"/>
      <c r="RRN121" s="199"/>
      <c r="RRO121" s="198"/>
      <c r="RRP121" s="199"/>
      <c r="RRQ121" s="198"/>
      <c r="RRR121" s="199"/>
      <c r="RRS121" s="198"/>
      <c r="RRT121" s="199"/>
      <c r="RRU121" s="198"/>
      <c r="RRV121" s="199"/>
      <c r="RRW121" s="198"/>
      <c r="RRX121" s="199"/>
      <c r="RRY121" s="198"/>
      <c r="RRZ121" s="199"/>
      <c r="RSA121" s="198"/>
      <c r="RSB121" s="199"/>
      <c r="RSC121" s="198"/>
      <c r="RSD121" s="199"/>
      <c r="RSE121" s="198"/>
      <c r="RSF121" s="199"/>
      <c r="RSG121" s="198"/>
      <c r="RSH121" s="199"/>
      <c r="RSI121" s="198"/>
      <c r="RSJ121" s="199"/>
      <c r="RSK121" s="198"/>
      <c r="RSL121" s="199"/>
      <c r="RSM121" s="198"/>
      <c r="RSN121" s="199"/>
      <c r="RSO121" s="198"/>
      <c r="RSP121" s="199"/>
      <c r="RSQ121" s="198"/>
      <c r="RSR121" s="199"/>
      <c r="RSS121" s="198"/>
      <c r="RST121" s="199"/>
      <c r="RSU121" s="198"/>
      <c r="RSV121" s="199"/>
      <c r="RSW121" s="198"/>
      <c r="RSX121" s="199"/>
      <c r="RSY121" s="198"/>
      <c r="RSZ121" s="199"/>
      <c r="RTA121" s="198"/>
      <c r="RTB121" s="199"/>
      <c r="RTC121" s="198"/>
      <c r="RTD121" s="199"/>
      <c r="RTE121" s="198"/>
      <c r="RTF121" s="199"/>
      <c r="RTG121" s="198"/>
      <c r="RTH121" s="199"/>
      <c r="RTI121" s="198"/>
      <c r="RTJ121" s="199"/>
      <c r="RTK121" s="198"/>
      <c r="RTL121" s="199"/>
      <c r="RTM121" s="198"/>
      <c r="RTN121" s="199"/>
      <c r="RTO121" s="198"/>
      <c r="RTP121" s="199"/>
      <c r="RTQ121" s="198"/>
      <c r="RTR121" s="199"/>
      <c r="RTS121" s="198"/>
      <c r="RTT121" s="199"/>
      <c r="RTU121" s="198"/>
      <c r="RTV121" s="199"/>
      <c r="RTW121" s="198"/>
      <c r="RTX121" s="199"/>
      <c r="RTY121" s="198"/>
      <c r="RTZ121" s="199"/>
      <c r="RUA121" s="198"/>
      <c r="RUB121" s="199"/>
      <c r="RUC121" s="198"/>
      <c r="RUD121" s="199"/>
      <c r="RUE121" s="198"/>
      <c r="RUF121" s="199"/>
      <c r="RUG121" s="198"/>
      <c r="RUH121" s="199"/>
      <c r="RUI121" s="198"/>
      <c r="RUJ121" s="199"/>
      <c r="RUK121" s="198"/>
      <c r="RUL121" s="199"/>
      <c r="RUM121" s="198"/>
      <c r="RUN121" s="199"/>
      <c r="RUO121" s="198"/>
      <c r="RUP121" s="199"/>
      <c r="RUQ121" s="198"/>
      <c r="RUR121" s="199"/>
      <c r="RUS121" s="198"/>
      <c r="RUT121" s="199"/>
      <c r="RUU121" s="198"/>
      <c r="RUV121" s="199"/>
      <c r="RUW121" s="198"/>
      <c r="RUX121" s="199"/>
      <c r="RUY121" s="198"/>
      <c r="RUZ121" s="199"/>
      <c r="RVA121" s="198"/>
      <c r="RVB121" s="199"/>
      <c r="RVC121" s="198"/>
      <c r="RVD121" s="199"/>
      <c r="RVE121" s="198"/>
      <c r="RVF121" s="199"/>
      <c r="RVG121" s="198"/>
      <c r="RVH121" s="199"/>
      <c r="RVI121" s="198"/>
      <c r="RVJ121" s="199"/>
      <c r="RVK121" s="198"/>
      <c r="RVL121" s="199"/>
      <c r="RVM121" s="198"/>
      <c r="RVN121" s="199"/>
      <c r="RVO121" s="198"/>
      <c r="RVP121" s="199"/>
      <c r="RVQ121" s="198"/>
      <c r="RVR121" s="199"/>
      <c r="RVS121" s="198"/>
      <c r="RVT121" s="199"/>
      <c r="RVU121" s="198"/>
      <c r="RVV121" s="199"/>
      <c r="RVW121" s="198"/>
      <c r="RVX121" s="199"/>
      <c r="RVY121" s="198"/>
      <c r="RVZ121" s="199"/>
      <c r="RWA121" s="198"/>
      <c r="RWB121" s="199"/>
      <c r="RWC121" s="198"/>
      <c r="RWD121" s="199"/>
      <c r="RWE121" s="198"/>
      <c r="RWF121" s="199"/>
      <c r="RWG121" s="198"/>
      <c r="RWH121" s="199"/>
      <c r="RWI121" s="198"/>
      <c r="RWJ121" s="199"/>
      <c r="RWK121" s="198"/>
      <c r="RWL121" s="199"/>
      <c r="RWM121" s="198"/>
      <c r="RWN121" s="199"/>
      <c r="RWO121" s="198"/>
      <c r="RWP121" s="199"/>
      <c r="RWQ121" s="198"/>
      <c r="RWR121" s="199"/>
      <c r="RWS121" s="198"/>
      <c r="RWT121" s="199"/>
      <c r="RWU121" s="198"/>
      <c r="RWV121" s="199"/>
      <c r="RWW121" s="198"/>
      <c r="RWX121" s="199"/>
      <c r="RWY121" s="198"/>
      <c r="RWZ121" s="199"/>
      <c r="RXA121" s="198"/>
      <c r="RXB121" s="199"/>
      <c r="RXC121" s="198"/>
      <c r="RXD121" s="199"/>
      <c r="RXE121" s="198"/>
      <c r="RXF121" s="199"/>
      <c r="RXG121" s="198"/>
      <c r="RXH121" s="199"/>
      <c r="RXI121" s="198"/>
      <c r="RXJ121" s="199"/>
      <c r="RXK121" s="198"/>
      <c r="RXL121" s="199"/>
      <c r="RXM121" s="198"/>
      <c r="RXN121" s="199"/>
      <c r="RXO121" s="198"/>
      <c r="RXP121" s="199"/>
      <c r="RXQ121" s="198"/>
      <c r="RXR121" s="199"/>
      <c r="RXS121" s="198"/>
      <c r="RXT121" s="199"/>
      <c r="RXU121" s="198"/>
      <c r="RXV121" s="199"/>
      <c r="RXW121" s="198"/>
      <c r="RXX121" s="199"/>
      <c r="RXY121" s="198"/>
      <c r="RXZ121" s="199"/>
      <c r="RYA121" s="198"/>
      <c r="RYB121" s="199"/>
      <c r="RYC121" s="198"/>
      <c r="RYD121" s="199"/>
      <c r="RYE121" s="198"/>
      <c r="RYF121" s="199"/>
      <c r="RYG121" s="198"/>
      <c r="RYH121" s="199"/>
      <c r="RYI121" s="198"/>
      <c r="RYJ121" s="199"/>
      <c r="RYK121" s="198"/>
      <c r="RYL121" s="199"/>
      <c r="RYM121" s="198"/>
      <c r="RYN121" s="199"/>
      <c r="RYO121" s="198"/>
      <c r="RYP121" s="199"/>
      <c r="RYQ121" s="198"/>
      <c r="RYR121" s="199"/>
      <c r="RYS121" s="198"/>
      <c r="RYT121" s="199"/>
      <c r="RYU121" s="198"/>
      <c r="RYV121" s="199"/>
      <c r="RYW121" s="198"/>
      <c r="RYX121" s="199"/>
      <c r="RYY121" s="198"/>
      <c r="RYZ121" s="199"/>
      <c r="RZA121" s="198"/>
      <c r="RZB121" s="199"/>
      <c r="RZC121" s="198"/>
      <c r="RZD121" s="199"/>
      <c r="RZE121" s="198"/>
      <c r="RZF121" s="199"/>
      <c r="RZG121" s="198"/>
      <c r="RZH121" s="199"/>
      <c r="RZI121" s="198"/>
      <c r="RZJ121" s="199"/>
      <c r="RZK121" s="198"/>
      <c r="RZL121" s="199"/>
      <c r="RZM121" s="198"/>
      <c r="RZN121" s="199"/>
      <c r="RZO121" s="198"/>
      <c r="RZP121" s="199"/>
      <c r="RZQ121" s="198"/>
      <c r="RZR121" s="199"/>
      <c r="RZS121" s="198"/>
      <c r="RZT121" s="199"/>
      <c r="RZU121" s="198"/>
      <c r="RZV121" s="199"/>
      <c r="RZW121" s="198"/>
      <c r="RZX121" s="199"/>
      <c r="RZY121" s="198"/>
      <c r="RZZ121" s="199"/>
      <c r="SAA121" s="198"/>
      <c r="SAB121" s="199"/>
      <c r="SAC121" s="198"/>
      <c r="SAD121" s="199"/>
      <c r="SAE121" s="198"/>
      <c r="SAF121" s="199"/>
      <c r="SAG121" s="198"/>
      <c r="SAH121" s="199"/>
      <c r="SAI121" s="198"/>
      <c r="SAJ121" s="199"/>
      <c r="SAK121" s="198"/>
      <c r="SAL121" s="199"/>
      <c r="SAM121" s="198"/>
      <c r="SAN121" s="199"/>
      <c r="SAO121" s="198"/>
      <c r="SAP121" s="199"/>
      <c r="SAQ121" s="198"/>
      <c r="SAR121" s="199"/>
      <c r="SAS121" s="198"/>
      <c r="SAT121" s="199"/>
      <c r="SAU121" s="198"/>
      <c r="SAV121" s="199"/>
      <c r="SAW121" s="198"/>
      <c r="SAX121" s="199"/>
      <c r="SAY121" s="198"/>
      <c r="SAZ121" s="199"/>
      <c r="SBA121" s="198"/>
      <c r="SBB121" s="199"/>
      <c r="SBC121" s="198"/>
      <c r="SBD121" s="199"/>
      <c r="SBE121" s="198"/>
      <c r="SBF121" s="199"/>
      <c r="SBG121" s="198"/>
      <c r="SBH121" s="199"/>
      <c r="SBI121" s="198"/>
      <c r="SBJ121" s="199"/>
      <c r="SBK121" s="198"/>
      <c r="SBL121" s="199"/>
      <c r="SBM121" s="198"/>
      <c r="SBN121" s="199"/>
      <c r="SBO121" s="198"/>
      <c r="SBP121" s="199"/>
      <c r="SBQ121" s="198"/>
      <c r="SBR121" s="199"/>
      <c r="SBS121" s="198"/>
      <c r="SBT121" s="199"/>
      <c r="SBU121" s="198"/>
      <c r="SBV121" s="199"/>
      <c r="SBW121" s="198"/>
      <c r="SBX121" s="199"/>
      <c r="SBY121" s="198"/>
      <c r="SBZ121" s="199"/>
      <c r="SCA121" s="198"/>
      <c r="SCB121" s="199"/>
      <c r="SCC121" s="198"/>
      <c r="SCD121" s="199"/>
      <c r="SCE121" s="198"/>
      <c r="SCF121" s="199"/>
      <c r="SCG121" s="198"/>
      <c r="SCH121" s="199"/>
      <c r="SCI121" s="198"/>
      <c r="SCJ121" s="199"/>
      <c r="SCK121" s="198"/>
      <c r="SCL121" s="199"/>
      <c r="SCM121" s="198"/>
      <c r="SCN121" s="199"/>
      <c r="SCO121" s="198"/>
      <c r="SCP121" s="199"/>
      <c r="SCQ121" s="198"/>
      <c r="SCR121" s="199"/>
      <c r="SCS121" s="198"/>
      <c r="SCT121" s="199"/>
      <c r="SCU121" s="198"/>
      <c r="SCV121" s="199"/>
      <c r="SCW121" s="198"/>
      <c r="SCX121" s="199"/>
      <c r="SCY121" s="198"/>
      <c r="SCZ121" s="199"/>
      <c r="SDA121" s="198"/>
      <c r="SDB121" s="199"/>
      <c r="SDC121" s="198"/>
      <c r="SDD121" s="199"/>
      <c r="SDE121" s="198"/>
      <c r="SDF121" s="199"/>
      <c r="SDG121" s="198"/>
      <c r="SDH121" s="199"/>
      <c r="SDI121" s="198"/>
      <c r="SDJ121" s="199"/>
      <c r="SDK121" s="198"/>
      <c r="SDL121" s="199"/>
      <c r="SDM121" s="198"/>
      <c r="SDN121" s="199"/>
      <c r="SDO121" s="198"/>
      <c r="SDP121" s="199"/>
      <c r="SDQ121" s="198"/>
      <c r="SDR121" s="199"/>
      <c r="SDS121" s="198"/>
      <c r="SDT121" s="199"/>
      <c r="SDU121" s="198"/>
      <c r="SDV121" s="199"/>
      <c r="SDW121" s="198"/>
      <c r="SDX121" s="199"/>
      <c r="SDY121" s="198"/>
      <c r="SDZ121" s="199"/>
      <c r="SEA121" s="198"/>
      <c r="SEB121" s="199"/>
      <c r="SEC121" s="198"/>
      <c r="SED121" s="199"/>
      <c r="SEE121" s="198"/>
      <c r="SEF121" s="199"/>
      <c r="SEG121" s="198"/>
      <c r="SEH121" s="199"/>
      <c r="SEI121" s="198"/>
      <c r="SEJ121" s="199"/>
      <c r="SEK121" s="198"/>
      <c r="SEL121" s="199"/>
      <c r="SEM121" s="198"/>
      <c r="SEN121" s="199"/>
      <c r="SEO121" s="198"/>
      <c r="SEP121" s="199"/>
      <c r="SEQ121" s="198"/>
      <c r="SER121" s="199"/>
      <c r="SES121" s="198"/>
      <c r="SET121" s="199"/>
      <c r="SEU121" s="198"/>
      <c r="SEV121" s="199"/>
      <c r="SEW121" s="198"/>
      <c r="SEX121" s="199"/>
      <c r="SEY121" s="198"/>
      <c r="SEZ121" s="199"/>
      <c r="SFA121" s="198"/>
      <c r="SFB121" s="199"/>
      <c r="SFC121" s="198"/>
      <c r="SFD121" s="199"/>
      <c r="SFE121" s="198"/>
      <c r="SFF121" s="199"/>
      <c r="SFG121" s="198"/>
      <c r="SFH121" s="199"/>
      <c r="SFI121" s="198"/>
      <c r="SFJ121" s="199"/>
      <c r="SFK121" s="198"/>
      <c r="SFL121" s="199"/>
      <c r="SFM121" s="198"/>
      <c r="SFN121" s="199"/>
      <c r="SFO121" s="198"/>
      <c r="SFP121" s="199"/>
      <c r="SFQ121" s="198"/>
      <c r="SFR121" s="199"/>
      <c r="SFS121" s="198"/>
      <c r="SFT121" s="199"/>
      <c r="SFU121" s="198"/>
      <c r="SFV121" s="199"/>
      <c r="SFW121" s="198"/>
      <c r="SFX121" s="199"/>
      <c r="SFY121" s="198"/>
      <c r="SFZ121" s="199"/>
      <c r="SGA121" s="198"/>
      <c r="SGB121" s="199"/>
      <c r="SGC121" s="198"/>
      <c r="SGD121" s="199"/>
      <c r="SGE121" s="198"/>
      <c r="SGF121" s="199"/>
      <c r="SGG121" s="198"/>
      <c r="SGH121" s="199"/>
      <c r="SGI121" s="198"/>
      <c r="SGJ121" s="199"/>
      <c r="SGK121" s="198"/>
      <c r="SGL121" s="199"/>
      <c r="SGM121" s="198"/>
      <c r="SGN121" s="199"/>
      <c r="SGO121" s="198"/>
      <c r="SGP121" s="199"/>
      <c r="SGQ121" s="198"/>
      <c r="SGR121" s="199"/>
      <c r="SGS121" s="198"/>
      <c r="SGT121" s="199"/>
      <c r="SGU121" s="198"/>
      <c r="SGV121" s="199"/>
      <c r="SGW121" s="198"/>
      <c r="SGX121" s="199"/>
      <c r="SGY121" s="198"/>
      <c r="SGZ121" s="199"/>
      <c r="SHA121" s="198"/>
      <c r="SHB121" s="199"/>
      <c r="SHC121" s="198"/>
      <c r="SHD121" s="199"/>
      <c r="SHE121" s="198"/>
      <c r="SHF121" s="199"/>
      <c r="SHG121" s="198"/>
      <c r="SHH121" s="199"/>
      <c r="SHI121" s="198"/>
      <c r="SHJ121" s="199"/>
      <c r="SHK121" s="198"/>
      <c r="SHL121" s="199"/>
      <c r="SHM121" s="198"/>
      <c r="SHN121" s="199"/>
      <c r="SHO121" s="198"/>
      <c r="SHP121" s="199"/>
      <c r="SHQ121" s="198"/>
      <c r="SHR121" s="199"/>
      <c r="SHS121" s="198"/>
      <c r="SHT121" s="199"/>
      <c r="SHU121" s="198"/>
      <c r="SHV121" s="199"/>
      <c r="SHW121" s="198"/>
      <c r="SHX121" s="199"/>
      <c r="SHY121" s="198"/>
      <c r="SHZ121" s="199"/>
      <c r="SIA121" s="198"/>
      <c r="SIB121" s="199"/>
      <c r="SIC121" s="198"/>
      <c r="SID121" s="199"/>
      <c r="SIE121" s="198"/>
      <c r="SIF121" s="199"/>
      <c r="SIG121" s="198"/>
      <c r="SIH121" s="199"/>
      <c r="SII121" s="198"/>
      <c r="SIJ121" s="199"/>
      <c r="SIK121" s="198"/>
      <c r="SIL121" s="199"/>
      <c r="SIM121" s="198"/>
      <c r="SIN121" s="199"/>
      <c r="SIO121" s="198"/>
      <c r="SIP121" s="199"/>
      <c r="SIQ121" s="198"/>
      <c r="SIR121" s="199"/>
      <c r="SIS121" s="198"/>
      <c r="SIT121" s="199"/>
      <c r="SIU121" s="198"/>
      <c r="SIV121" s="199"/>
      <c r="SIW121" s="198"/>
      <c r="SIX121" s="199"/>
      <c r="SIY121" s="198"/>
      <c r="SIZ121" s="199"/>
      <c r="SJA121" s="198"/>
      <c r="SJB121" s="199"/>
      <c r="SJC121" s="198"/>
      <c r="SJD121" s="199"/>
      <c r="SJE121" s="198"/>
      <c r="SJF121" s="199"/>
      <c r="SJG121" s="198"/>
      <c r="SJH121" s="199"/>
      <c r="SJI121" s="198"/>
      <c r="SJJ121" s="199"/>
      <c r="SJK121" s="198"/>
      <c r="SJL121" s="199"/>
      <c r="SJM121" s="198"/>
      <c r="SJN121" s="199"/>
      <c r="SJO121" s="198"/>
      <c r="SJP121" s="199"/>
      <c r="SJQ121" s="198"/>
      <c r="SJR121" s="199"/>
      <c r="SJS121" s="198"/>
      <c r="SJT121" s="199"/>
      <c r="SJU121" s="198"/>
      <c r="SJV121" s="199"/>
      <c r="SJW121" s="198"/>
      <c r="SJX121" s="199"/>
      <c r="SJY121" s="198"/>
      <c r="SJZ121" s="199"/>
      <c r="SKA121" s="198"/>
      <c r="SKB121" s="199"/>
      <c r="SKC121" s="198"/>
      <c r="SKD121" s="199"/>
      <c r="SKE121" s="198"/>
      <c r="SKF121" s="199"/>
      <c r="SKG121" s="198"/>
      <c r="SKH121" s="199"/>
      <c r="SKI121" s="198"/>
      <c r="SKJ121" s="199"/>
      <c r="SKK121" s="198"/>
      <c r="SKL121" s="199"/>
      <c r="SKM121" s="198"/>
      <c r="SKN121" s="199"/>
      <c r="SKO121" s="198"/>
      <c r="SKP121" s="199"/>
      <c r="SKQ121" s="198"/>
      <c r="SKR121" s="199"/>
      <c r="SKS121" s="198"/>
      <c r="SKT121" s="199"/>
      <c r="SKU121" s="198"/>
      <c r="SKV121" s="199"/>
      <c r="SKW121" s="198"/>
      <c r="SKX121" s="199"/>
      <c r="SKY121" s="198"/>
      <c r="SKZ121" s="199"/>
      <c r="SLA121" s="198"/>
      <c r="SLB121" s="199"/>
      <c r="SLC121" s="198"/>
      <c r="SLD121" s="199"/>
      <c r="SLE121" s="198"/>
      <c r="SLF121" s="199"/>
      <c r="SLG121" s="198"/>
      <c r="SLH121" s="199"/>
      <c r="SLI121" s="198"/>
      <c r="SLJ121" s="199"/>
      <c r="SLK121" s="198"/>
      <c r="SLL121" s="199"/>
      <c r="SLM121" s="198"/>
      <c r="SLN121" s="199"/>
      <c r="SLO121" s="198"/>
      <c r="SLP121" s="199"/>
      <c r="SLQ121" s="198"/>
      <c r="SLR121" s="199"/>
      <c r="SLS121" s="198"/>
      <c r="SLT121" s="199"/>
      <c r="SLU121" s="198"/>
      <c r="SLV121" s="199"/>
      <c r="SLW121" s="198"/>
      <c r="SLX121" s="199"/>
      <c r="SLY121" s="198"/>
      <c r="SLZ121" s="199"/>
      <c r="SMA121" s="198"/>
      <c r="SMB121" s="199"/>
      <c r="SMC121" s="198"/>
      <c r="SMD121" s="199"/>
      <c r="SME121" s="198"/>
      <c r="SMF121" s="199"/>
      <c r="SMG121" s="198"/>
      <c r="SMH121" s="199"/>
      <c r="SMI121" s="198"/>
      <c r="SMJ121" s="199"/>
      <c r="SMK121" s="198"/>
      <c r="SML121" s="199"/>
      <c r="SMM121" s="198"/>
      <c r="SMN121" s="199"/>
      <c r="SMO121" s="198"/>
      <c r="SMP121" s="199"/>
      <c r="SMQ121" s="198"/>
      <c r="SMR121" s="199"/>
      <c r="SMS121" s="198"/>
      <c r="SMT121" s="199"/>
      <c r="SMU121" s="198"/>
      <c r="SMV121" s="199"/>
      <c r="SMW121" s="198"/>
      <c r="SMX121" s="199"/>
      <c r="SMY121" s="198"/>
      <c r="SMZ121" s="199"/>
      <c r="SNA121" s="198"/>
      <c r="SNB121" s="199"/>
      <c r="SNC121" s="198"/>
      <c r="SND121" s="199"/>
      <c r="SNE121" s="198"/>
      <c r="SNF121" s="199"/>
      <c r="SNG121" s="198"/>
      <c r="SNH121" s="199"/>
      <c r="SNI121" s="198"/>
      <c r="SNJ121" s="199"/>
      <c r="SNK121" s="198"/>
      <c r="SNL121" s="199"/>
      <c r="SNM121" s="198"/>
      <c r="SNN121" s="199"/>
      <c r="SNO121" s="198"/>
      <c r="SNP121" s="199"/>
      <c r="SNQ121" s="198"/>
      <c r="SNR121" s="199"/>
      <c r="SNS121" s="198"/>
      <c r="SNT121" s="199"/>
      <c r="SNU121" s="198"/>
      <c r="SNV121" s="199"/>
      <c r="SNW121" s="198"/>
      <c r="SNX121" s="199"/>
      <c r="SNY121" s="198"/>
      <c r="SNZ121" s="199"/>
      <c r="SOA121" s="198"/>
      <c r="SOB121" s="199"/>
      <c r="SOC121" s="198"/>
      <c r="SOD121" s="199"/>
      <c r="SOE121" s="198"/>
      <c r="SOF121" s="199"/>
      <c r="SOG121" s="198"/>
      <c r="SOH121" s="199"/>
      <c r="SOI121" s="198"/>
      <c r="SOJ121" s="199"/>
      <c r="SOK121" s="198"/>
      <c r="SOL121" s="199"/>
      <c r="SOM121" s="198"/>
      <c r="SON121" s="199"/>
      <c r="SOO121" s="198"/>
      <c r="SOP121" s="199"/>
      <c r="SOQ121" s="198"/>
      <c r="SOR121" s="199"/>
      <c r="SOS121" s="198"/>
      <c r="SOT121" s="199"/>
      <c r="SOU121" s="198"/>
      <c r="SOV121" s="199"/>
      <c r="SOW121" s="198"/>
      <c r="SOX121" s="199"/>
      <c r="SOY121" s="198"/>
      <c r="SOZ121" s="199"/>
      <c r="SPA121" s="198"/>
      <c r="SPB121" s="199"/>
      <c r="SPC121" s="198"/>
      <c r="SPD121" s="199"/>
      <c r="SPE121" s="198"/>
      <c r="SPF121" s="199"/>
      <c r="SPG121" s="198"/>
      <c r="SPH121" s="199"/>
      <c r="SPI121" s="198"/>
      <c r="SPJ121" s="199"/>
      <c r="SPK121" s="198"/>
      <c r="SPL121" s="199"/>
      <c r="SPM121" s="198"/>
      <c r="SPN121" s="199"/>
      <c r="SPO121" s="198"/>
      <c r="SPP121" s="199"/>
      <c r="SPQ121" s="198"/>
      <c r="SPR121" s="199"/>
      <c r="SPS121" s="198"/>
      <c r="SPT121" s="199"/>
      <c r="SPU121" s="198"/>
      <c r="SPV121" s="199"/>
      <c r="SPW121" s="198"/>
      <c r="SPX121" s="199"/>
      <c r="SPY121" s="198"/>
      <c r="SPZ121" s="199"/>
      <c r="SQA121" s="198"/>
      <c r="SQB121" s="199"/>
      <c r="SQC121" s="198"/>
      <c r="SQD121" s="199"/>
      <c r="SQE121" s="198"/>
      <c r="SQF121" s="199"/>
      <c r="SQG121" s="198"/>
      <c r="SQH121" s="199"/>
      <c r="SQI121" s="198"/>
      <c r="SQJ121" s="199"/>
      <c r="SQK121" s="198"/>
      <c r="SQL121" s="199"/>
      <c r="SQM121" s="198"/>
      <c r="SQN121" s="199"/>
      <c r="SQO121" s="198"/>
      <c r="SQP121" s="199"/>
      <c r="SQQ121" s="198"/>
      <c r="SQR121" s="199"/>
      <c r="SQS121" s="198"/>
      <c r="SQT121" s="199"/>
      <c r="SQU121" s="198"/>
      <c r="SQV121" s="199"/>
      <c r="SQW121" s="198"/>
      <c r="SQX121" s="199"/>
      <c r="SQY121" s="198"/>
      <c r="SQZ121" s="199"/>
      <c r="SRA121" s="198"/>
      <c r="SRB121" s="199"/>
      <c r="SRC121" s="198"/>
      <c r="SRD121" s="199"/>
      <c r="SRE121" s="198"/>
      <c r="SRF121" s="199"/>
      <c r="SRG121" s="198"/>
      <c r="SRH121" s="199"/>
      <c r="SRI121" s="198"/>
      <c r="SRJ121" s="199"/>
      <c r="SRK121" s="198"/>
      <c r="SRL121" s="199"/>
      <c r="SRM121" s="198"/>
      <c r="SRN121" s="199"/>
      <c r="SRO121" s="198"/>
      <c r="SRP121" s="199"/>
      <c r="SRQ121" s="198"/>
      <c r="SRR121" s="199"/>
      <c r="SRS121" s="198"/>
      <c r="SRT121" s="199"/>
      <c r="SRU121" s="198"/>
      <c r="SRV121" s="199"/>
      <c r="SRW121" s="198"/>
      <c r="SRX121" s="199"/>
      <c r="SRY121" s="198"/>
      <c r="SRZ121" s="199"/>
      <c r="SSA121" s="198"/>
      <c r="SSB121" s="199"/>
      <c r="SSC121" s="198"/>
      <c r="SSD121" s="199"/>
      <c r="SSE121" s="198"/>
      <c r="SSF121" s="199"/>
      <c r="SSG121" s="198"/>
      <c r="SSH121" s="199"/>
      <c r="SSI121" s="198"/>
      <c r="SSJ121" s="199"/>
      <c r="SSK121" s="198"/>
      <c r="SSL121" s="199"/>
      <c r="SSM121" s="198"/>
      <c r="SSN121" s="199"/>
      <c r="SSO121" s="198"/>
      <c r="SSP121" s="199"/>
      <c r="SSQ121" s="198"/>
      <c r="SSR121" s="199"/>
      <c r="SSS121" s="198"/>
      <c r="SST121" s="199"/>
      <c r="SSU121" s="198"/>
      <c r="SSV121" s="199"/>
      <c r="SSW121" s="198"/>
      <c r="SSX121" s="199"/>
      <c r="SSY121" s="198"/>
      <c r="SSZ121" s="199"/>
      <c r="STA121" s="198"/>
      <c r="STB121" s="199"/>
      <c r="STC121" s="198"/>
      <c r="STD121" s="199"/>
      <c r="STE121" s="198"/>
      <c r="STF121" s="199"/>
      <c r="STG121" s="198"/>
      <c r="STH121" s="199"/>
      <c r="STI121" s="198"/>
      <c r="STJ121" s="199"/>
      <c r="STK121" s="198"/>
      <c r="STL121" s="199"/>
      <c r="STM121" s="198"/>
      <c r="STN121" s="199"/>
      <c r="STO121" s="198"/>
      <c r="STP121" s="199"/>
      <c r="STQ121" s="198"/>
      <c r="STR121" s="199"/>
      <c r="STS121" s="198"/>
      <c r="STT121" s="199"/>
      <c r="STU121" s="198"/>
      <c r="STV121" s="199"/>
      <c r="STW121" s="198"/>
      <c r="STX121" s="199"/>
      <c r="STY121" s="198"/>
      <c r="STZ121" s="199"/>
      <c r="SUA121" s="198"/>
      <c r="SUB121" s="199"/>
      <c r="SUC121" s="198"/>
      <c r="SUD121" s="199"/>
      <c r="SUE121" s="198"/>
      <c r="SUF121" s="199"/>
      <c r="SUG121" s="198"/>
      <c r="SUH121" s="199"/>
      <c r="SUI121" s="198"/>
      <c r="SUJ121" s="199"/>
      <c r="SUK121" s="198"/>
      <c r="SUL121" s="199"/>
      <c r="SUM121" s="198"/>
      <c r="SUN121" s="199"/>
      <c r="SUO121" s="198"/>
      <c r="SUP121" s="199"/>
      <c r="SUQ121" s="198"/>
      <c r="SUR121" s="199"/>
      <c r="SUS121" s="198"/>
      <c r="SUT121" s="199"/>
      <c r="SUU121" s="198"/>
      <c r="SUV121" s="199"/>
      <c r="SUW121" s="198"/>
      <c r="SUX121" s="199"/>
      <c r="SUY121" s="198"/>
      <c r="SUZ121" s="199"/>
      <c r="SVA121" s="198"/>
      <c r="SVB121" s="199"/>
      <c r="SVC121" s="198"/>
      <c r="SVD121" s="199"/>
      <c r="SVE121" s="198"/>
      <c r="SVF121" s="199"/>
      <c r="SVG121" s="198"/>
      <c r="SVH121" s="199"/>
      <c r="SVI121" s="198"/>
      <c r="SVJ121" s="199"/>
      <c r="SVK121" s="198"/>
      <c r="SVL121" s="199"/>
      <c r="SVM121" s="198"/>
      <c r="SVN121" s="199"/>
      <c r="SVO121" s="198"/>
      <c r="SVP121" s="199"/>
      <c r="SVQ121" s="198"/>
      <c r="SVR121" s="199"/>
      <c r="SVS121" s="198"/>
      <c r="SVT121" s="199"/>
      <c r="SVU121" s="198"/>
      <c r="SVV121" s="199"/>
      <c r="SVW121" s="198"/>
      <c r="SVX121" s="199"/>
      <c r="SVY121" s="198"/>
      <c r="SVZ121" s="199"/>
      <c r="SWA121" s="198"/>
      <c r="SWB121" s="199"/>
      <c r="SWC121" s="198"/>
      <c r="SWD121" s="199"/>
      <c r="SWE121" s="198"/>
      <c r="SWF121" s="199"/>
      <c r="SWG121" s="198"/>
      <c r="SWH121" s="199"/>
      <c r="SWI121" s="198"/>
      <c r="SWJ121" s="199"/>
      <c r="SWK121" s="198"/>
      <c r="SWL121" s="199"/>
      <c r="SWM121" s="198"/>
      <c r="SWN121" s="199"/>
      <c r="SWO121" s="198"/>
      <c r="SWP121" s="199"/>
      <c r="SWQ121" s="198"/>
      <c r="SWR121" s="199"/>
      <c r="SWS121" s="198"/>
      <c r="SWT121" s="199"/>
      <c r="SWU121" s="198"/>
      <c r="SWV121" s="199"/>
      <c r="SWW121" s="198"/>
      <c r="SWX121" s="199"/>
      <c r="SWY121" s="198"/>
      <c r="SWZ121" s="199"/>
      <c r="SXA121" s="198"/>
      <c r="SXB121" s="199"/>
      <c r="SXC121" s="198"/>
      <c r="SXD121" s="199"/>
      <c r="SXE121" s="198"/>
      <c r="SXF121" s="199"/>
      <c r="SXG121" s="198"/>
      <c r="SXH121" s="199"/>
      <c r="SXI121" s="198"/>
      <c r="SXJ121" s="199"/>
      <c r="SXK121" s="198"/>
      <c r="SXL121" s="199"/>
      <c r="SXM121" s="198"/>
      <c r="SXN121" s="199"/>
      <c r="SXO121" s="198"/>
      <c r="SXP121" s="199"/>
      <c r="SXQ121" s="198"/>
      <c r="SXR121" s="199"/>
      <c r="SXS121" s="198"/>
      <c r="SXT121" s="199"/>
      <c r="SXU121" s="198"/>
      <c r="SXV121" s="199"/>
      <c r="SXW121" s="198"/>
      <c r="SXX121" s="199"/>
      <c r="SXY121" s="198"/>
      <c r="SXZ121" s="199"/>
      <c r="SYA121" s="198"/>
      <c r="SYB121" s="199"/>
      <c r="SYC121" s="198"/>
      <c r="SYD121" s="199"/>
      <c r="SYE121" s="198"/>
      <c r="SYF121" s="199"/>
      <c r="SYG121" s="198"/>
      <c r="SYH121" s="199"/>
      <c r="SYI121" s="198"/>
      <c r="SYJ121" s="199"/>
      <c r="SYK121" s="198"/>
      <c r="SYL121" s="199"/>
      <c r="SYM121" s="198"/>
      <c r="SYN121" s="199"/>
      <c r="SYO121" s="198"/>
      <c r="SYP121" s="199"/>
      <c r="SYQ121" s="198"/>
      <c r="SYR121" s="199"/>
      <c r="SYS121" s="198"/>
      <c r="SYT121" s="199"/>
      <c r="SYU121" s="198"/>
      <c r="SYV121" s="199"/>
      <c r="SYW121" s="198"/>
      <c r="SYX121" s="199"/>
      <c r="SYY121" s="198"/>
      <c r="SYZ121" s="199"/>
      <c r="SZA121" s="198"/>
      <c r="SZB121" s="199"/>
      <c r="SZC121" s="198"/>
      <c r="SZD121" s="199"/>
      <c r="SZE121" s="198"/>
      <c r="SZF121" s="199"/>
      <c r="SZG121" s="198"/>
      <c r="SZH121" s="199"/>
      <c r="SZI121" s="198"/>
      <c r="SZJ121" s="199"/>
      <c r="SZK121" s="198"/>
      <c r="SZL121" s="199"/>
      <c r="SZM121" s="198"/>
      <c r="SZN121" s="199"/>
      <c r="SZO121" s="198"/>
      <c r="SZP121" s="199"/>
      <c r="SZQ121" s="198"/>
      <c r="SZR121" s="199"/>
      <c r="SZS121" s="198"/>
      <c r="SZT121" s="199"/>
      <c r="SZU121" s="198"/>
      <c r="SZV121" s="199"/>
      <c r="SZW121" s="198"/>
      <c r="SZX121" s="199"/>
      <c r="SZY121" s="198"/>
      <c r="SZZ121" s="199"/>
      <c r="TAA121" s="198"/>
      <c r="TAB121" s="199"/>
      <c r="TAC121" s="198"/>
      <c r="TAD121" s="199"/>
      <c r="TAE121" s="198"/>
      <c r="TAF121" s="199"/>
      <c r="TAG121" s="198"/>
      <c r="TAH121" s="199"/>
      <c r="TAI121" s="198"/>
      <c r="TAJ121" s="199"/>
      <c r="TAK121" s="198"/>
      <c r="TAL121" s="199"/>
      <c r="TAM121" s="198"/>
      <c r="TAN121" s="199"/>
      <c r="TAO121" s="198"/>
      <c r="TAP121" s="199"/>
      <c r="TAQ121" s="198"/>
      <c r="TAR121" s="199"/>
      <c r="TAS121" s="198"/>
      <c r="TAT121" s="199"/>
      <c r="TAU121" s="198"/>
      <c r="TAV121" s="199"/>
      <c r="TAW121" s="198"/>
      <c r="TAX121" s="199"/>
      <c r="TAY121" s="198"/>
      <c r="TAZ121" s="199"/>
      <c r="TBA121" s="198"/>
      <c r="TBB121" s="199"/>
      <c r="TBC121" s="198"/>
      <c r="TBD121" s="199"/>
      <c r="TBE121" s="198"/>
      <c r="TBF121" s="199"/>
      <c r="TBG121" s="198"/>
      <c r="TBH121" s="199"/>
      <c r="TBI121" s="198"/>
      <c r="TBJ121" s="199"/>
      <c r="TBK121" s="198"/>
      <c r="TBL121" s="199"/>
      <c r="TBM121" s="198"/>
      <c r="TBN121" s="199"/>
      <c r="TBO121" s="198"/>
      <c r="TBP121" s="199"/>
      <c r="TBQ121" s="198"/>
      <c r="TBR121" s="199"/>
      <c r="TBS121" s="198"/>
      <c r="TBT121" s="199"/>
      <c r="TBU121" s="198"/>
      <c r="TBV121" s="199"/>
      <c r="TBW121" s="198"/>
      <c r="TBX121" s="199"/>
      <c r="TBY121" s="198"/>
      <c r="TBZ121" s="199"/>
      <c r="TCA121" s="198"/>
      <c r="TCB121" s="199"/>
      <c r="TCC121" s="198"/>
      <c r="TCD121" s="199"/>
      <c r="TCE121" s="198"/>
      <c r="TCF121" s="199"/>
      <c r="TCG121" s="198"/>
      <c r="TCH121" s="199"/>
      <c r="TCI121" s="198"/>
      <c r="TCJ121" s="199"/>
      <c r="TCK121" s="198"/>
      <c r="TCL121" s="199"/>
      <c r="TCM121" s="198"/>
      <c r="TCN121" s="199"/>
      <c r="TCO121" s="198"/>
      <c r="TCP121" s="199"/>
      <c r="TCQ121" s="198"/>
      <c r="TCR121" s="199"/>
      <c r="TCS121" s="198"/>
      <c r="TCT121" s="199"/>
      <c r="TCU121" s="198"/>
      <c r="TCV121" s="199"/>
      <c r="TCW121" s="198"/>
      <c r="TCX121" s="199"/>
      <c r="TCY121" s="198"/>
      <c r="TCZ121" s="199"/>
      <c r="TDA121" s="198"/>
      <c r="TDB121" s="199"/>
      <c r="TDC121" s="198"/>
      <c r="TDD121" s="199"/>
      <c r="TDE121" s="198"/>
      <c r="TDF121" s="199"/>
      <c r="TDG121" s="198"/>
      <c r="TDH121" s="199"/>
      <c r="TDI121" s="198"/>
      <c r="TDJ121" s="199"/>
      <c r="TDK121" s="198"/>
      <c r="TDL121" s="199"/>
      <c r="TDM121" s="198"/>
      <c r="TDN121" s="199"/>
      <c r="TDO121" s="198"/>
      <c r="TDP121" s="199"/>
      <c r="TDQ121" s="198"/>
      <c r="TDR121" s="199"/>
      <c r="TDS121" s="198"/>
      <c r="TDT121" s="199"/>
      <c r="TDU121" s="198"/>
      <c r="TDV121" s="199"/>
      <c r="TDW121" s="198"/>
      <c r="TDX121" s="199"/>
      <c r="TDY121" s="198"/>
      <c r="TDZ121" s="199"/>
      <c r="TEA121" s="198"/>
      <c r="TEB121" s="199"/>
      <c r="TEC121" s="198"/>
      <c r="TED121" s="199"/>
      <c r="TEE121" s="198"/>
      <c r="TEF121" s="199"/>
      <c r="TEG121" s="198"/>
      <c r="TEH121" s="199"/>
      <c r="TEI121" s="198"/>
      <c r="TEJ121" s="199"/>
      <c r="TEK121" s="198"/>
      <c r="TEL121" s="199"/>
      <c r="TEM121" s="198"/>
      <c r="TEN121" s="199"/>
      <c r="TEO121" s="198"/>
      <c r="TEP121" s="199"/>
      <c r="TEQ121" s="198"/>
      <c r="TER121" s="199"/>
      <c r="TES121" s="198"/>
      <c r="TET121" s="199"/>
      <c r="TEU121" s="198"/>
      <c r="TEV121" s="199"/>
      <c r="TEW121" s="198"/>
      <c r="TEX121" s="199"/>
      <c r="TEY121" s="198"/>
      <c r="TEZ121" s="199"/>
      <c r="TFA121" s="198"/>
      <c r="TFB121" s="199"/>
      <c r="TFC121" s="198"/>
      <c r="TFD121" s="199"/>
      <c r="TFE121" s="198"/>
      <c r="TFF121" s="199"/>
      <c r="TFG121" s="198"/>
      <c r="TFH121" s="199"/>
      <c r="TFI121" s="198"/>
      <c r="TFJ121" s="199"/>
      <c r="TFK121" s="198"/>
      <c r="TFL121" s="199"/>
      <c r="TFM121" s="198"/>
      <c r="TFN121" s="199"/>
      <c r="TFO121" s="198"/>
      <c r="TFP121" s="199"/>
      <c r="TFQ121" s="198"/>
      <c r="TFR121" s="199"/>
      <c r="TFS121" s="198"/>
      <c r="TFT121" s="199"/>
      <c r="TFU121" s="198"/>
      <c r="TFV121" s="199"/>
      <c r="TFW121" s="198"/>
      <c r="TFX121" s="199"/>
      <c r="TFY121" s="198"/>
      <c r="TFZ121" s="199"/>
      <c r="TGA121" s="198"/>
      <c r="TGB121" s="199"/>
      <c r="TGC121" s="198"/>
      <c r="TGD121" s="199"/>
      <c r="TGE121" s="198"/>
      <c r="TGF121" s="199"/>
      <c r="TGG121" s="198"/>
      <c r="TGH121" s="199"/>
      <c r="TGI121" s="198"/>
      <c r="TGJ121" s="199"/>
      <c r="TGK121" s="198"/>
      <c r="TGL121" s="199"/>
      <c r="TGM121" s="198"/>
      <c r="TGN121" s="199"/>
      <c r="TGO121" s="198"/>
      <c r="TGP121" s="199"/>
      <c r="TGQ121" s="198"/>
      <c r="TGR121" s="199"/>
      <c r="TGS121" s="198"/>
      <c r="TGT121" s="199"/>
      <c r="TGU121" s="198"/>
      <c r="TGV121" s="199"/>
      <c r="TGW121" s="198"/>
      <c r="TGX121" s="199"/>
      <c r="TGY121" s="198"/>
      <c r="TGZ121" s="199"/>
      <c r="THA121" s="198"/>
      <c r="THB121" s="199"/>
      <c r="THC121" s="198"/>
      <c r="THD121" s="199"/>
      <c r="THE121" s="198"/>
      <c r="THF121" s="199"/>
      <c r="THG121" s="198"/>
      <c r="THH121" s="199"/>
      <c r="THI121" s="198"/>
      <c r="THJ121" s="199"/>
      <c r="THK121" s="198"/>
      <c r="THL121" s="199"/>
      <c r="THM121" s="198"/>
      <c r="THN121" s="199"/>
      <c r="THO121" s="198"/>
      <c r="THP121" s="199"/>
      <c r="THQ121" s="198"/>
      <c r="THR121" s="199"/>
      <c r="THS121" s="198"/>
      <c r="THT121" s="199"/>
      <c r="THU121" s="198"/>
      <c r="THV121" s="199"/>
      <c r="THW121" s="198"/>
      <c r="THX121" s="199"/>
      <c r="THY121" s="198"/>
      <c r="THZ121" s="199"/>
      <c r="TIA121" s="198"/>
      <c r="TIB121" s="199"/>
      <c r="TIC121" s="198"/>
      <c r="TID121" s="199"/>
      <c r="TIE121" s="198"/>
      <c r="TIF121" s="199"/>
      <c r="TIG121" s="198"/>
      <c r="TIH121" s="199"/>
      <c r="TII121" s="198"/>
      <c r="TIJ121" s="199"/>
      <c r="TIK121" s="198"/>
      <c r="TIL121" s="199"/>
      <c r="TIM121" s="198"/>
      <c r="TIN121" s="199"/>
      <c r="TIO121" s="198"/>
      <c r="TIP121" s="199"/>
      <c r="TIQ121" s="198"/>
      <c r="TIR121" s="199"/>
      <c r="TIS121" s="198"/>
      <c r="TIT121" s="199"/>
      <c r="TIU121" s="198"/>
      <c r="TIV121" s="199"/>
      <c r="TIW121" s="198"/>
      <c r="TIX121" s="199"/>
      <c r="TIY121" s="198"/>
      <c r="TIZ121" s="199"/>
      <c r="TJA121" s="198"/>
      <c r="TJB121" s="199"/>
      <c r="TJC121" s="198"/>
      <c r="TJD121" s="199"/>
      <c r="TJE121" s="198"/>
      <c r="TJF121" s="199"/>
      <c r="TJG121" s="198"/>
      <c r="TJH121" s="199"/>
      <c r="TJI121" s="198"/>
      <c r="TJJ121" s="199"/>
      <c r="TJK121" s="198"/>
      <c r="TJL121" s="199"/>
      <c r="TJM121" s="198"/>
      <c r="TJN121" s="199"/>
      <c r="TJO121" s="198"/>
      <c r="TJP121" s="199"/>
      <c r="TJQ121" s="198"/>
      <c r="TJR121" s="199"/>
      <c r="TJS121" s="198"/>
      <c r="TJT121" s="199"/>
      <c r="TJU121" s="198"/>
      <c r="TJV121" s="199"/>
      <c r="TJW121" s="198"/>
      <c r="TJX121" s="199"/>
      <c r="TJY121" s="198"/>
      <c r="TJZ121" s="199"/>
      <c r="TKA121" s="198"/>
      <c r="TKB121" s="199"/>
      <c r="TKC121" s="198"/>
      <c r="TKD121" s="199"/>
      <c r="TKE121" s="198"/>
      <c r="TKF121" s="199"/>
      <c r="TKG121" s="198"/>
      <c r="TKH121" s="199"/>
      <c r="TKI121" s="198"/>
      <c r="TKJ121" s="199"/>
      <c r="TKK121" s="198"/>
      <c r="TKL121" s="199"/>
      <c r="TKM121" s="198"/>
      <c r="TKN121" s="199"/>
      <c r="TKO121" s="198"/>
      <c r="TKP121" s="199"/>
      <c r="TKQ121" s="198"/>
      <c r="TKR121" s="199"/>
      <c r="TKS121" s="198"/>
      <c r="TKT121" s="199"/>
      <c r="TKU121" s="198"/>
      <c r="TKV121" s="199"/>
      <c r="TKW121" s="198"/>
      <c r="TKX121" s="199"/>
      <c r="TKY121" s="198"/>
      <c r="TKZ121" s="199"/>
      <c r="TLA121" s="198"/>
      <c r="TLB121" s="199"/>
      <c r="TLC121" s="198"/>
      <c r="TLD121" s="199"/>
      <c r="TLE121" s="198"/>
      <c r="TLF121" s="199"/>
      <c r="TLG121" s="198"/>
      <c r="TLH121" s="199"/>
      <c r="TLI121" s="198"/>
      <c r="TLJ121" s="199"/>
      <c r="TLK121" s="198"/>
      <c r="TLL121" s="199"/>
      <c r="TLM121" s="198"/>
      <c r="TLN121" s="199"/>
      <c r="TLO121" s="198"/>
      <c r="TLP121" s="199"/>
      <c r="TLQ121" s="198"/>
      <c r="TLR121" s="199"/>
      <c r="TLS121" s="198"/>
      <c r="TLT121" s="199"/>
      <c r="TLU121" s="198"/>
      <c r="TLV121" s="199"/>
      <c r="TLW121" s="198"/>
      <c r="TLX121" s="199"/>
      <c r="TLY121" s="198"/>
      <c r="TLZ121" s="199"/>
      <c r="TMA121" s="198"/>
      <c r="TMB121" s="199"/>
      <c r="TMC121" s="198"/>
      <c r="TMD121" s="199"/>
      <c r="TME121" s="198"/>
      <c r="TMF121" s="199"/>
      <c r="TMG121" s="198"/>
      <c r="TMH121" s="199"/>
      <c r="TMI121" s="198"/>
      <c r="TMJ121" s="199"/>
      <c r="TMK121" s="198"/>
      <c r="TML121" s="199"/>
      <c r="TMM121" s="198"/>
      <c r="TMN121" s="199"/>
      <c r="TMO121" s="198"/>
      <c r="TMP121" s="199"/>
      <c r="TMQ121" s="198"/>
      <c r="TMR121" s="199"/>
      <c r="TMS121" s="198"/>
      <c r="TMT121" s="199"/>
      <c r="TMU121" s="198"/>
      <c r="TMV121" s="199"/>
      <c r="TMW121" s="198"/>
      <c r="TMX121" s="199"/>
      <c r="TMY121" s="198"/>
      <c r="TMZ121" s="199"/>
      <c r="TNA121" s="198"/>
      <c r="TNB121" s="199"/>
      <c r="TNC121" s="198"/>
      <c r="TND121" s="199"/>
      <c r="TNE121" s="198"/>
      <c r="TNF121" s="199"/>
      <c r="TNG121" s="198"/>
      <c r="TNH121" s="199"/>
      <c r="TNI121" s="198"/>
      <c r="TNJ121" s="199"/>
      <c r="TNK121" s="198"/>
      <c r="TNL121" s="199"/>
      <c r="TNM121" s="198"/>
      <c r="TNN121" s="199"/>
      <c r="TNO121" s="198"/>
      <c r="TNP121" s="199"/>
      <c r="TNQ121" s="198"/>
      <c r="TNR121" s="199"/>
      <c r="TNS121" s="198"/>
      <c r="TNT121" s="199"/>
      <c r="TNU121" s="198"/>
      <c r="TNV121" s="199"/>
      <c r="TNW121" s="198"/>
      <c r="TNX121" s="199"/>
      <c r="TNY121" s="198"/>
      <c r="TNZ121" s="199"/>
      <c r="TOA121" s="198"/>
      <c r="TOB121" s="199"/>
      <c r="TOC121" s="198"/>
      <c r="TOD121" s="199"/>
      <c r="TOE121" s="198"/>
      <c r="TOF121" s="199"/>
      <c r="TOG121" s="198"/>
      <c r="TOH121" s="199"/>
      <c r="TOI121" s="198"/>
      <c r="TOJ121" s="199"/>
      <c r="TOK121" s="198"/>
      <c r="TOL121" s="199"/>
      <c r="TOM121" s="198"/>
      <c r="TON121" s="199"/>
      <c r="TOO121" s="198"/>
      <c r="TOP121" s="199"/>
      <c r="TOQ121" s="198"/>
      <c r="TOR121" s="199"/>
      <c r="TOS121" s="198"/>
      <c r="TOT121" s="199"/>
      <c r="TOU121" s="198"/>
      <c r="TOV121" s="199"/>
      <c r="TOW121" s="198"/>
      <c r="TOX121" s="199"/>
      <c r="TOY121" s="198"/>
      <c r="TOZ121" s="199"/>
      <c r="TPA121" s="198"/>
      <c r="TPB121" s="199"/>
      <c r="TPC121" s="198"/>
      <c r="TPD121" s="199"/>
      <c r="TPE121" s="198"/>
      <c r="TPF121" s="199"/>
      <c r="TPG121" s="198"/>
      <c r="TPH121" s="199"/>
      <c r="TPI121" s="198"/>
      <c r="TPJ121" s="199"/>
      <c r="TPK121" s="198"/>
      <c r="TPL121" s="199"/>
      <c r="TPM121" s="198"/>
      <c r="TPN121" s="199"/>
      <c r="TPO121" s="198"/>
      <c r="TPP121" s="199"/>
      <c r="TPQ121" s="198"/>
      <c r="TPR121" s="199"/>
      <c r="TPS121" s="198"/>
      <c r="TPT121" s="199"/>
      <c r="TPU121" s="198"/>
      <c r="TPV121" s="199"/>
      <c r="TPW121" s="198"/>
      <c r="TPX121" s="199"/>
      <c r="TPY121" s="198"/>
      <c r="TPZ121" s="199"/>
      <c r="TQA121" s="198"/>
      <c r="TQB121" s="199"/>
      <c r="TQC121" s="198"/>
      <c r="TQD121" s="199"/>
      <c r="TQE121" s="198"/>
      <c r="TQF121" s="199"/>
      <c r="TQG121" s="198"/>
      <c r="TQH121" s="199"/>
      <c r="TQI121" s="198"/>
      <c r="TQJ121" s="199"/>
      <c r="TQK121" s="198"/>
      <c r="TQL121" s="199"/>
      <c r="TQM121" s="198"/>
      <c r="TQN121" s="199"/>
      <c r="TQO121" s="198"/>
      <c r="TQP121" s="199"/>
      <c r="TQQ121" s="198"/>
      <c r="TQR121" s="199"/>
      <c r="TQS121" s="198"/>
      <c r="TQT121" s="199"/>
      <c r="TQU121" s="198"/>
      <c r="TQV121" s="199"/>
      <c r="TQW121" s="198"/>
      <c r="TQX121" s="199"/>
      <c r="TQY121" s="198"/>
      <c r="TQZ121" s="199"/>
      <c r="TRA121" s="198"/>
      <c r="TRB121" s="199"/>
      <c r="TRC121" s="198"/>
      <c r="TRD121" s="199"/>
      <c r="TRE121" s="198"/>
      <c r="TRF121" s="199"/>
      <c r="TRG121" s="198"/>
      <c r="TRH121" s="199"/>
      <c r="TRI121" s="198"/>
      <c r="TRJ121" s="199"/>
      <c r="TRK121" s="198"/>
      <c r="TRL121" s="199"/>
      <c r="TRM121" s="198"/>
      <c r="TRN121" s="199"/>
      <c r="TRO121" s="198"/>
      <c r="TRP121" s="199"/>
      <c r="TRQ121" s="198"/>
      <c r="TRR121" s="199"/>
      <c r="TRS121" s="198"/>
      <c r="TRT121" s="199"/>
      <c r="TRU121" s="198"/>
      <c r="TRV121" s="199"/>
      <c r="TRW121" s="198"/>
      <c r="TRX121" s="199"/>
      <c r="TRY121" s="198"/>
      <c r="TRZ121" s="199"/>
      <c r="TSA121" s="198"/>
      <c r="TSB121" s="199"/>
      <c r="TSC121" s="198"/>
      <c r="TSD121" s="199"/>
      <c r="TSE121" s="198"/>
      <c r="TSF121" s="199"/>
      <c r="TSG121" s="198"/>
      <c r="TSH121" s="199"/>
      <c r="TSI121" s="198"/>
      <c r="TSJ121" s="199"/>
      <c r="TSK121" s="198"/>
      <c r="TSL121" s="199"/>
      <c r="TSM121" s="198"/>
      <c r="TSN121" s="199"/>
      <c r="TSO121" s="198"/>
      <c r="TSP121" s="199"/>
      <c r="TSQ121" s="198"/>
      <c r="TSR121" s="199"/>
      <c r="TSS121" s="198"/>
      <c r="TST121" s="199"/>
      <c r="TSU121" s="198"/>
      <c r="TSV121" s="199"/>
      <c r="TSW121" s="198"/>
      <c r="TSX121" s="199"/>
      <c r="TSY121" s="198"/>
      <c r="TSZ121" s="199"/>
      <c r="TTA121" s="198"/>
      <c r="TTB121" s="199"/>
      <c r="TTC121" s="198"/>
      <c r="TTD121" s="199"/>
      <c r="TTE121" s="198"/>
      <c r="TTF121" s="199"/>
      <c r="TTG121" s="198"/>
      <c r="TTH121" s="199"/>
      <c r="TTI121" s="198"/>
      <c r="TTJ121" s="199"/>
      <c r="TTK121" s="198"/>
      <c r="TTL121" s="199"/>
      <c r="TTM121" s="198"/>
      <c r="TTN121" s="199"/>
      <c r="TTO121" s="198"/>
      <c r="TTP121" s="199"/>
      <c r="TTQ121" s="198"/>
      <c r="TTR121" s="199"/>
      <c r="TTS121" s="198"/>
      <c r="TTT121" s="199"/>
      <c r="TTU121" s="198"/>
      <c r="TTV121" s="199"/>
      <c r="TTW121" s="198"/>
      <c r="TTX121" s="199"/>
      <c r="TTY121" s="198"/>
      <c r="TTZ121" s="199"/>
      <c r="TUA121" s="198"/>
      <c r="TUB121" s="199"/>
      <c r="TUC121" s="198"/>
      <c r="TUD121" s="199"/>
      <c r="TUE121" s="198"/>
      <c r="TUF121" s="199"/>
      <c r="TUG121" s="198"/>
      <c r="TUH121" s="199"/>
      <c r="TUI121" s="198"/>
      <c r="TUJ121" s="199"/>
      <c r="TUK121" s="198"/>
      <c r="TUL121" s="199"/>
      <c r="TUM121" s="198"/>
      <c r="TUN121" s="199"/>
      <c r="TUO121" s="198"/>
      <c r="TUP121" s="199"/>
      <c r="TUQ121" s="198"/>
      <c r="TUR121" s="199"/>
      <c r="TUS121" s="198"/>
      <c r="TUT121" s="199"/>
      <c r="TUU121" s="198"/>
      <c r="TUV121" s="199"/>
      <c r="TUW121" s="198"/>
      <c r="TUX121" s="199"/>
      <c r="TUY121" s="198"/>
      <c r="TUZ121" s="199"/>
      <c r="TVA121" s="198"/>
      <c r="TVB121" s="199"/>
      <c r="TVC121" s="198"/>
      <c r="TVD121" s="199"/>
      <c r="TVE121" s="198"/>
      <c r="TVF121" s="199"/>
      <c r="TVG121" s="198"/>
      <c r="TVH121" s="199"/>
      <c r="TVI121" s="198"/>
      <c r="TVJ121" s="199"/>
      <c r="TVK121" s="198"/>
      <c r="TVL121" s="199"/>
      <c r="TVM121" s="198"/>
      <c r="TVN121" s="199"/>
      <c r="TVO121" s="198"/>
      <c r="TVP121" s="199"/>
      <c r="TVQ121" s="198"/>
      <c r="TVR121" s="199"/>
      <c r="TVS121" s="198"/>
      <c r="TVT121" s="199"/>
      <c r="TVU121" s="198"/>
      <c r="TVV121" s="199"/>
      <c r="TVW121" s="198"/>
      <c r="TVX121" s="199"/>
      <c r="TVY121" s="198"/>
      <c r="TVZ121" s="199"/>
      <c r="TWA121" s="198"/>
      <c r="TWB121" s="199"/>
      <c r="TWC121" s="198"/>
      <c r="TWD121" s="199"/>
      <c r="TWE121" s="198"/>
      <c r="TWF121" s="199"/>
      <c r="TWG121" s="198"/>
      <c r="TWH121" s="199"/>
      <c r="TWI121" s="198"/>
      <c r="TWJ121" s="199"/>
      <c r="TWK121" s="198"/>
      <c r="TWL121" s="199"/>
      <c r="TWM121" s="198"/>
      <c r="TWN121" s="199"/>
      <c r="TWO121" s="198"/>
      <c r="TWP121" s="199"/>
      <c r="TWQ121" s="198"/>
      <c r="TWR121" s="199"/>
      <c r="TWS121" s="198"/>
      <c r="TWT121" s="199"/>
      <c r="TWU121" s="198"/>
      <c r="TWV121" s="199"/>
      <c r="TWW121" s="198"/>
      <c r="TWX121" s="199"/>
      <c r="TWY121" s="198"/>
      <c r="TWZ121" s="199"/>
      <c r="TXA121" s="198"/>
      <c r="TXB121" s="199"/>
      <c r="TXC121" s="198"/>
      <c r="TXD121" s="199"/>
      <c r="TXE121" s="198"/>
      <c r="TXF121" s="199"/>
      <c r="TXG121" s="198"/>
      <c r="TXH121" s="199"/>
      <c r="TXI121" s="198"/>
      <c r="TXJ121" s="199"/>
      <c r="TXK121" s="198"/>
      <c r="TXL121" s="199"/>
      <c r="TXM121" s="198"/>
      <c r="TXN121" s="199"/>
      <c r="TXO121" s="198"/>
      <c r="TXP121" s="199"/>
      <c r="TXQ121" s="198"/>
      <c r="TXR121" s="199"/>
      <c r="TXS121" s="198"/>
      <c r="TXT121" s="199"/>
      <c r="TXU121" s="198"/>
      <c r="TXV121" s="199"/>
      <c r="TXW121" s="198"/>
      <c r="TXX121" s="199"/>
      <c r="TXY121" s="198"/>
      <c r="TXZ121" s="199"/>
      <c r="TYA121" s="198"/>
      <c r="TYB121" s="199"/>
      <c r="TYC121" s="198"/>
      <c r="TYD121" s="199"/>
      <c r="TYE121" s="198"/>
      <c r="TYF121" s="199"/>
      <c r="TYG121" s="198"/>
      <c r="TYH121" s="199"/>
      <c r="TYI121" s="198"/>
      <c r="TYJ121" s="199"/>
      <c r="TYK121" s="198"/>
      <c r="TYL121" s="199"/>
      <c r="TYM121" s="198"/>
      <c r="TYN121" s="199"/>
      <c r="TYO121" s="198"/>
      <c r="TYP121" s="199"/>
      <c r="TYQ121" s="198"/>
      <c r="TYR121" s="199"/>
      <c r="TYS121" s="198"/>
      <c r="TYT121" s="199"/>
      <c r="TYU121" s="198"/>
      <c r="TYV121" s="199"/>
      <c r="TYW121" s="198"/>
      <c r="TYX121" s="199"/>
      <c r="TYY121" s="198"/>
      <c r="TYZ121" s="199"/>
      <c r="TZA121" s="198"/>
      <c r="TZB121" s="199"/>
      <c r="TZC121" s="198"/>
      <c r="TZD121" s="199"/>
      <c r="TZE121" s="198"/>
      <c r="TZF121" s="199"/>
      <c r="TZG121" s="198"/>
      <c r="TZH121" s="199"/>
      <c r="TZI121" s="198"/>
      <c r="TZJ121" s="199"/>
      <c r="TZK121" s="198"/>
      <c r="TZL121" s="199"/>
      <c r="TZM121" s="198"/>
      <c r="TZN121" s="199"/>
      <c r="TZO121" s="198"/>
      <c r="TZP121" s="199"/>
      <c r="TZQ121" s="198"/>
      <c r="TZR121" s="199"/>
      <c r="TZS121" s="198"/>
      <c r="TZT121" s="199"/>
      <c r="TZU121" s="198"/>
      <c r="TZV121" s="199"/>
      <c r="TZW121" s="198"/>
      <c r="TZX121" s="199"/>
      <c r="TZY121" s="198"/>
      <c r="TZZ121" s="199"/>
      <c r="UAA121" s="198"/>
      <c r="UAB121" s="199"/>
      <c r="UAC121" s="198"/>
      <c r="UAD121" s="199"/>
      <c r="UAE121" s="198"/>
      <c r="UAF121" s="199"/>
      <c r="UAG121" s="198"/>
      <c r="UAH121" s="199"/>
      <c r="UAI121" s="198"/>
      <c r="UAJ121" s="199"/>
      <c r="UAK121" s="198"/>
      <c r="UAL121" s="199"/>
      <c r="UAM121" s="198"/>
      <c r="UAN121" s="199"/>
      <c r="UAO121" s="198"/>
      <c r="UAP121" s="199"/>
      <c r="UAQ121" s="198"/>
      <c r="UAR121" s="199"/>
      <c r="UAS121" s="198"/>
      <c r="UAT121" s="199"/>
      <c r="UAU121" s="198"/>
      <c r="UAV121" s="199"/>
      <c r="UAW121" s="198"/>
      <c r="UAX121" s="199"/>
      <c r="UAY121" s="198"/>
      <c r="UAZ121" s="199"/>
      <c r="UBA121" s="198"/>
      <c r="UBB121" s="199"/>
      <c r="UBC121" s="198"/>
      <c r="UBD121" s="199"/>
      <c r="UBE121" s="198"/>
      <c r="UBF121" s="199"/>
      <c r="UBG121" s="198"/>
      <c r="UBH121" s="199"/>
      <c r="UBI121" s="198"/>
      <c r="UBJ121" s="199"/>
      <c r="UBK121" s="198"/>
      <c r="UBL121" s="199"/>
      <c r="UBM121" s="198"/>
      <c r="UBN121" s="199"/>
      <c r="UBO121" s="198"/>
      <c r="UBP121" s="199"/>
      <c r="UBQ121" s="198"/>
      <c r="UBR121" s="199"/>
      <c r="UBS121" s="198"/>
      <c r="UBT121" s="199"/>
      <c r="UBU121" s="198"/>
      <c r="UBV121" s="199"/>
      <c r="UBW121" s="198"/>
      <c r="UBX121" s="199"/>
      <c r="UBY121" s="198"/>
      <c r="UBZ121" s="199"/>
      <c r="UCA121" s="198"/>
      <c r="UCB121" s="199"/>
      <c r="UCC121" s="198"/>
      <c r="UCD121" s="199"/>
      <c r="UCE121" s="198"/>
      <c r="UCF121" s="199"/>
      <c r="UCG121" s="198"/>
      <c r="UCH121" s="199"/>
      <c r="UCI121" s="198"/>
      <c r="UCJ121" s="199"/>
      <c r="UCK121" s="198"/>
      <c r="UCL121" s="199"/>
      <c r="UCM121" s="198"/>
      <c r="UCN121" s="199"/>
      <c r="UCO121" s="198"/>
      <c r="UCP121" s="199"/>
      <c r="UCQ121" s="198"/>
      <c r="UCR121" s="199"/>
      <c r="UCS121" s="198"/>
      <c r="UCT121" s="199"/>
      <c r="UCU121" s="198"/>
      <c r="UCV121" s="199"/>
      <c r="UCW121" s="198"/>
      <c r="UCX121" s="199"/>
      <c r="UCY121" s="198"/>
      <c r="UCZ121" s="199"/>
      <c r="UDA121" s="198"/>
      <c r="UDB121" s="199"/>
      <c r="UDC121" s="198"/>
      <c r="UDD121" s="199"/>
      <c r="UDE121" s="198"/>
      <c r="UDF121" s="199"/>
      <c r="UDG121" s="198"/>
      <c r="UDH121" s="199"/>
      <c r="UDI121" s="198"/>
      <c r="UDJ121" s="199"/>
      <c r="UDK121" s="198"/>
      <c r="UDL121" s="199"/>
      <c r="UDM121" s="198"/>
      <c r="UDN121" s="199"/>
      <c r="UDO121" s="198"/>
      <c r="UDP121" s="199"/>
      <c r="UDQ121" s="198"/>
      <c r="UDR121" s="199"/>
      <c r="UDS121" s="198"/>
      <c r="UDT121" s="199"/>
      <c r="UDU121" s="198"/>
      <c r="UDV121" s="199"/>
      <c r="UDW121" s="198"/>
      <c r="UDX121" s="199"/>
      <c r="UDY121" s="198"/>
      <c r="UDZ121" s="199"/>
      <c r="UEA121" s="198"/>
      <c r="UEB121" s="199"/>
      <c r="UEC121" s="198"/>
      <c r="UED121" s="199"/>
      <c r="UEE121" s="198"/>
      <c r="UEF121" s="199"/>
      <c r="UEG121" s="198"/>
      <c r="UEH121" s="199"/>
      <c r="UEI121" s="198"/>
      <c r="UEJ121" s="199"/>
      <c r="UEK121" s="198"/>
      <c r="UEL121" s="199"/>
      <c r="UEM121" s="198"/>
      <c r="UEN121" s="199"/>
      <c r="UEO121" s="198"/>
      <c r="UEP121" s="199"/>
      <c r="UEQ121" s="198"/>
      <c r="UER121" s="199"/>
      <c r="UES121" s="198"/>
      <c r="UET121" s="199"/>
      <c r="UEU121" s="198"/>
      <c r="UEV121" s="199"/>
      <c r="UEW121" s="198"/>
      <c r="UEX121" s="199"/>
      <c r="UEY121" s="198"/>
      <c r="UEZ121" s="199"/>
      <c r="UFA121" s="198"/>
      <c r="UFB121" s="199"/>
      <c r="UFC121" s="198"/>
      <c r="UFD121" s="199"/>
      <c r="UFE121" s="198"/>
      <c r="UFF121" s="199"/>
      <c r="UFG121" s="198"/>
      <c r="UFH121" s="199"/>
      <c r="UFI121" s="198"/>
      <c r="UFJ121" s="199"/>
      <c r="UFK121" s="198"/>
      <c r="UFL121" s="199"/>
      <c r="UFM121" s="198"/>
      <c r="UFN121" s="199"/>
      <c r="UFO121" s="198"/>
      <c r="UFP121" s="199"/>
      <c r="UFQ121" s="198"/>
      <c r="UFR121" s="199"/>
      <c r="UFS121" s="198"/>
      <c r="UFT121" s="199"/>
      <c r="UFU121" s="198"/>
      <c r="UFV121" s="199"/>
      <c r="UFW121" s="198"/>
      <c r="UFX121" s="199"/>
      <c r="UFY121" s="198"/>
      <c r="UFZ121" s="199"/>
      <c r="UGA121" s="198"/>
      <c r="UGB121" s="199"/>
      <c r="UGC121" s="198"/>
      <c r="UGD121" s="199"/>
      <c r="UGE121" s="198"/>
      <c r="UGF121" s="199"/>
      <c r="UGG121" s="198"/>
      <c r="UGH121" s="199"/>
      <c r="UGI121" s="198"/>
      <c r="UGJ121" s="199"/>
      <c r="UGK121" s="198"/>
      <c r="UGL121" s="199"/>
      <c r="UGM121" s="198"/>
      <c r="UGN121" s="199"/>
      <c r="UGO121" s="198"/>
      <c r="UGP121" s="199"/>
      <c r="UGQ121" s="198"/>
      <c r="UGR121" s="199"/>
      <c r="UGS121" s="198"/>
      <c r="UGT121" s="199"/>
      <c r="UGU121" s="198"/>
      <c r="UGV121" s="199"/>
      <c r="UGW121" s="198"/>
      <c r="UGX121" s="199"/>
      <c r="UGY121" s="198"/>
      <c r="UGZ121" s="199"/>
      <c r="UHA121" s="198"/>
      <c r="UHB121" s="199"/>
      <c r="UHC121" s="198"/>
      <c r="UHD121" s="199"/>
      <c r="UHE121" s="198"/>
      <c r="UHF121" s="199"/>
      <c r="UHG121" s="198"/>
      <c r="UHH121" s="199"/>
      <c r="UHI121" s="198"/>
      <c r="UHJ121" s="199"/>
      <c r="UHK121" s="198"/>
      <c r="UHL121" s="199"/>
      <c r="UHM121" s="198"/>
      <c r="UHN121" s="199"/>
      <c r="UHO121" s="198"/>
      <c r="UHP121" s="199"/>
      <c r="UHQ121" s="198"/>
      <c r="UHR121" s="199"/>
      <c r="UHS121" s="198"/>
      <c r="UHT121" s="199"/>
      <c r="UHU121" s="198"/>
      <c r="UHV121" s="199"/>
      <c r="UHW121" s="198"/>
      <c r="UHX121" s="199"/>
      <c r="UHY121" s="198"/>
      <c r="UHZ121" s="199"/>
      <c r="UIA121" s="198"/>
      <c r="UIB121" s="199"/>
      <c r="UIC121" s="198"/>
      <c r="UID121" s="199"/>
      <c r="UIE121" s="198"/>
      <c r="UIF121" s="199"/>
      <c r="UIG121" s="198"/>
      <c r="UIH121" s="199"/>
      <c r="UII121" s="198"/>
      <c r="UIJ121" s="199"/>
      <c r="UIK121" s="198"/>
      <c r="UIL121" s="199"/>
      <c r="UIM121" s="198"/>
      <c r="UIN121" s="199"/>
      <c r="UIO121" s="198"/>
      <c r="UIP121" s="199"/>
      <c r="UIQ121" s="198"/>
      <c r="UIR121" s="199"/>
      <c r="UIS121" s="198"/>
      <c r="UIT121" s="199"/>
      <c r="UIU121" s="198"/>
      <c r="UIV121" s="199"/>
      <c r="UIW121" s="198"/>
      <c r="UIX121" s="199"/>
      <c r="UIY121" s="198"/>
      <c r="UIZ121" s="199"/>
      <c r="UJA121" s="198"/>
      <c r="UJB121" s="199"/>
      <c r="UJC121" s="198"/>
      <c r="UJD121" s="199"/>
      <c r="UJE121" s="198"/>
      <c r="UJF121" s="199"/>
      <c r="UJG121" s="198"/>
      <c r="UJH121" s="199"/>
      <c r="UJI121" s="198"/>
      <c r="UJJ121" s="199"/>
      <c r="UJK121" s="198"/>
      <c r="UJL121" s="199"/>
      <c r="UJM121" s="198"/>
      <c r="UJN121" s="199"/>
      <c r="UJO121" s="198"/>
      <c r="UJP121" s="199"/>
      <c r="UJQ121" s="198"/>
      <c r="UJR121" s="199"/>
      <c r="UJS121" s="198"/>
      <c r="UJT121" s="199"/>
      <c r="UJU121" s="198"/>
      <c r="UJV121" s="199"/>
      <c r="UJW121" s="198"/>
      <c r="UJX121" s="199"/>
      <c r="UJY121" s="198"/>
      <c r="UJZ121" s="199"/>
      <c r="UKA121" s="198"/>
      <c r="UKB121" s="199"/>
      <c r="UKC121" s="198"/>
      <c r="UKD121" s="199"/>
      <c r="UKE121" s="198"/>
      <c r="UKF121" s="199"/>
      <c r="UKG121" s="198"/>
      <c r="UKH121" s="199"/>
      <c r="UKI121" s="198"/>
      <c r="UKJ121" s="199"/>
      <c r="UKK121" s="198"/>
      <c r="UKL121" s="199"/>
      <c r="UKM121" s="198"/>
      <c r="UKN121" s="199"/>
      <c r="UKO121" s="198"/>
      <c r="UKP121" s="199"/>
      <c r="UKQ121" s="198"/>
      <c r="UKR121" s="199"/>
      <c r="UKS121" s="198"/>
      <c r="UKT121" s="199"/>
      <c r="UKU121" s="198"/>
      <c r="UKV121" s="199"/>
      <c r="UKW121" s="198"/>
      <c r="UKX121" s="199"/>
      <c r="UKY121" s="198"/>
      <c r="UKZ121" s="199"/>
      <c r="ULA121" s="198"/>
      <c r="ULB121" s="199"/>
      <c r="ULC121" s="198"/>
      <c r="ULD121" s="199"/>
      <c r="ULE121" s="198"/>
      <c r="ULF121" s="199"/>
      <c r="ULG121" s="198"/>
      <c r="ULH121" s="199"/>
      <c r="ULI121" s="198"/>
      <c r="ULJ121" s="199"/>
      <c r="ULK121" s="198"/>
      <c r="ULL121" s="199"/>
      <c r="ULM121" s="198"/>
      <c r="ULN121" s="199"/>
      <c r="ULO121" s="198"/>
      <c r="ULP121" s="199"/>
      <c r="ULQ121" s="198"/>
      <c r="ULR121" s="199"/>
      <c r="ULS121" s="198"/>
      <c r="ULT121" s="199"/>
      <c r="ULU121" s="198"/>
      <c r="ULV121" s="199"/>
      <c r="ULW121" s="198"/>
      <c r="ULX121" s="199"/>
      <c r="ULY121" s="198"/>
      <c r="ULZ121" s="199"/>
      <c r="UMA121" s="198"/>
      <c r="UMB121" s="199"/>
      <c r="UMC121" s="198"/>
      <c r="UMD121" s="199"/>
      <c r="UME121" s="198"/>
      <c r="UMF121" s="199"/>
      <c r="UMG121" s="198"/>
      <c r="UMH121" s="199"/>
      <c r="UMI121" s="198"/>
      <c r="UMJ121" s="199"/>
      <c r="UMK121" s="198"/>
      <c r="UML121" s="199"/>
      <c r="UMM121" s="198"/>
      <c r="UMN121" s="199"/>
      <c r="UMO121" s="198"/>
      <c r="UMP121" s="199"/>
      <c r="UMQ121" s="198"/>
      <c r="UMR121" s="199"/>
      <c r="UMS121" s="198"/>
      <c r="UMT121" s="199"/>
      <c r="UMU121" s="198"/>
      <c r="UMV121" s="199"/>
      <c r="UMW121" s="198"/>
      <c r="UMX121" s="199"/>
      <c r="UMY121" s="198"/>
      <c r="UMZ121" s="199"/>
      <c r="UNA121" s="198"/>
      <c r="UNB121" s="199"/>
      <c r="UNC121" s="198"/>
      <c r="UND121" s="199"/>
      <c r="UNE121" s="198"/>
      <c r="UNF121" s="199"/>
      <c r="UNG121" s="198"/>
      <c r="UNH121" s="199"/>
      <c r="UNI121" s="198"/>
      <c r="UNJ121" s="199"/>
      <c r="UNK121" s="198"/>
      <c r="UNL121" s="199"/>
      <c r="UNM121" s="198"/>
      <c r="UNN121" s="199"/>
      <c r="UNO121" s="198"/>
      <c r="UNP121" s="199"/>
      <c r="UNQ121" s="198"/>
      <c r="UNR121" s="199"/>
      <c r="UNS121" s="198"/>
      <c r="UNT121" s="199"/>
      <c r="UNU121" s="198"/>
      <c r="UNV121" s="199"/>
      <c r="UNW121" s="198"/>
      <c r="UNX121" s="199"/>
      <c r="UNY121" s="198"/>
      <c r="UNZ121" s="199"/>
      <c r="UOA121" s="198"/>
      <c r="UOB121" s="199"/>
      <c r="UOC121" s="198"/>
      <c r="UOD121" s="199"/>
      <c r="UOE121" s="198"/>
      <c r="UOF121" s="199"/>
      <c r="UOG121" s="198"/>
      <c r="UOH121" s="199"/>
      <c r="UOI121" s="198"/>
      <c r="UOJ121" s="199"/>
      <c r="UOK121" s="198"/>
      <c r="UOL121" s="199"/>
      <c r="UOM121" s="198"/>
      <c r="UON121" s="199"/>
      <c r="UOO121" s="198"/>
      <c r="UOP121" s="199"/>
      <c r="UOQ121" s="198"/>
      <c r="UOR121" s="199"/>
      <c r="UOS121" s="198"/>
      <c r="UOT121" s="199"/>
      <c r="UOU121" s="198"/>
      <c r="UOV121" s="199"/>
      <c r="UOW121" s="198"/>
      <c r="UOX121" s="199"/>
      <c r="UOY121" s="198"/>
      <c r="UOZ121" s="199"/>
      <c r="UPA121" s="198"/>
      <c r="UPB121" s="199"/>
      <c r="UPC121" s="198"/>
      <c r="UPD121" s="199"/>
      <c r="UPE121" s="198"/>
      <c r="UPF121" s="199"/>
      <c r="UPG121" s="198"/>
      <c r="UPH121" s="199"/>
      <c r="UPI121" s="198"/>
      <c r="UPJ121" s="199"/>
      <c r="UPK121" s="198"/>
      <c r="UPL121" s="199"/>
      <c r="UPM121" s="198"/>
      <c r="UPN121" s="199"/>
      <c r="UPO121" s="198"/>
      <c r="UPP121" s="199"/>
      <c r="UPQ121" s="198"/>
      <c r="UPR121" s="199"/>
      <c r="UPS121" s="198"/>
      <c r="UPT121" s="199"/>
      <c r="UPU121" s="198"/>
      <c r="UPV121" s="199"/>
      <c r="UPW121" s="198"/>
      <c r="UPX121" s="199"/>
      <c r="UPY121" s="198"/>
      <c r="UPZ121" s="199"/>
      <c r="UQA121" s="198"/>
      <c r="UQB121" s="199"/>
      <c r="UQC121" s="198"/>
      <c r="UQD121" s="199"/>
      <c r="UQE121" s="198"/>
      <c r="UQF121" s="199"/>
      <c r="UQG121" s="198"/>
      <c r="UQH121" s="199"/>
      <c r="UQI121" s="198"/>
      <c r="UQJ121" s="199"/>
      <c r="UQK121" s="198"/>
      <c r="UQL121" s="199"/>
      <c r="UQM121" s="198"/>
      <c r="UQN121" s="199"/>
      <c r="UQO121" s="198"/>
      <c r="UQP121" s="199"/>
      <c r="UQQ121" s="198"/>
      <c r="UQR121" s="199"/>
      <c r="UQS121" s="198"/>
      <c r="UQT121" s="199"/>
      <c r="UQU121" s="198"/>
      <c r="UQV121" s="199"/>
      <c r="UQW121" s="198"/>
      <c r="UQX121" s="199"/>
      <c r="UQY121" s="198"/>
      <c r="UQZ121" s="199"/>
      <c r="URA121" s="198"/>
      <c r="URB121" s="199"/>
      <c r="URC121" s="198"/>
      <c r="URD121" s="199"/>
      <c r="URE121" s="198"/>
      <c r="URF121" s="199"/>
      <c r="URG121" s="198"/>
      <c r="URH121" s="199"/>
      <c r="URI121" s="198"/>
      <c r="URJ121" s="199"/>
      <c r="URK121" s="198"/>
      <c r="URL121" s="199"/>
      <c r="URM121" s="198"/>
      <c r="URN121" s="199"/>
      <c r="URO121" s="198"/>
      <c r="URP121" s="199"/>
      <c r="URQ121" s="198"/>
      <c r="URR121" s="199"/>
      <c r="URS121" s="198"/>
      <c r="URT121" s="199"/>
      <c r="URU121" s="198"/>
      <c r="URV121" s="199"/>
      <c r="URW121" s="198"/>
      <c r="URX121" s="199"/>
      <c r="URY121" s="198"/>
      <c r="URZ121" s="199"/>
      <c r="USA121" s="198"/>
      <c r="USB121" s="199"/>
      <c r="USC121" s="198"/>
      <c r="USD121" s="199"/>
      <c r="USE121" s="198"/>
      <c r="USF121" s="199"/>
      <c r="USG121" s="198"/>
      <c r="USH121" s="199"/>
      <c r="USI121" s="198"/>
      <c r="USJ121" s="199"/>
      <c r="USK121" s="198"/>
      <c r="USL121" s="199"/>
      <c r="USM121" s="198"/>
      <c r="USN121" s="199"/>
      <c r="USO121" s="198"/>
      <c r="USP121" s="199"/>
      <c r="USQ121" s="198"/>
      <c r="USR121" s="199"/>
      <c r="USS121" s="198"/>
      <c r="UST121" s="199"/>
      <c r="USU121" s="198"/>
      <c r="USV121" s="199"/>
      <c r="USW121" s="198"/>
      <c r="USX121" s="199"/>
      <c r="USY121" s="198"/>
      <c r="USZ121" s="199"/>
      <c r="UTA121" s="198"/>
      <c r="UTB121" s="199"/>
      <c r="UTC121" s="198"/>
      <c r="UTD121" s="199"/>
      <c r="UTE121" s="198"/>
      <c r="UTF121" s="199"/>
      <c r="UTG121" s="198"/>
      <c r="UTH121" s="199"/>
      <c r="UTI121" s="198"/>
      <c r="UTJ121" s="199"/>
      <c r="UTK121" s="198"/>
      <c r="UTL121" s="199"/>
      <c r="UTM121" s="198"/>
      <c r="UTN121" s="199"/>
      <c r="UTO121" s="198"/>
      <c r="UTP121" s="199"/>
      <c r="UTQ121" s="198"/>
      <c r="UTR121" s="199"/>
      <c r="UTS121" s="198"/>
      <c r="UTT121" s="199"/>
      <c r="UTU121" s="198"/>
      <c r="UTV121" s="199"/>
      <c r="UTW121" s="198"/>
      <c r="UTX121" s="199"/>
      <c r="UTY121" s="198"/>
      <c r="UTZ121" s="199"/>
      <c r="UUA121" s="198"/>
      <c r="UUB121" s="199"/>
      <c r="UUC121" s="198"/>
      <c r="UUD121" s="199"/>
      <c r="UUE121" s="198"/>
      <c r="UUF121" s="199"/>
      <c r="UUG121" s="198"/>
      <c r="UUH121" s="199"/>
      <c r="UUI121" s="198"/>
      <c r="UUJ121" s="199"/>
      <c r="UUK121" s="198"/>
      <c r="UUL121" s="199"/>
      <c r="UUM121" s="198"/>
      <c r="UUN121" s="199"/>
      <c r="UUO121" s="198"/>
      <c r="UUP121" s="199"/>
      <c r="UUQ121" s="198"/>
      <c r="UUR121" s="199"/>
      <c r="UUS121" s="198"/>
      <c r="UUT121" s="199"/>
      <c r="UUU121" s="198"/>
      <c r="UUV121" s="199"/>
      <c r="UUW121" s="198"/>
      <c r="UUX121" s="199"/>
      <c r="UUY121" s="198"/>
      <c r="UUZ121" s="199"/>
      <c r="UVA121" s="198"/>
      <c r="UVB121" s="199"/>
      <c r="UVC121" s="198"/>
      <c r="UVD121" s="199"/>
      <c r="UVE121" s="198"/>
      <c r="UVF121" s="199"/>
      <c r="UVG121" s="198"/>
      <c r="UVH121" s="199"/>
      <c r="UVI121" s="198"/>
      <c r="UVJ121" s="199"/>
      <c r="UVK121" s="198"/>
      <c r="UVL121" s="199"/>
      <c r="UVM121" s="198"/>
      <c r="UVN121" s="199"/>
      <c r="UVO121" s="198"/>
      <c r="UVP121" s="199"/>
      <c r="UVQ121" s="198"/>
      <c r="UVR121" s="199"/>
      <c r="UVS121" s="198"/>
      <c r="UVT121" s="199"/>
      <c r="UVU121" s="198"/>
      <c r="UVV121" s="199"/>
      <c r="UVW121" s="198"/>
      <c r="UVX121" s="199"/>
      <c r="UVY121" s="198"/>
      <c r="UVZ121" s="199"/>
      <c r="UWA121" s="198"/>
      <c r="UWB121" s="199"/>
      <c r="UWC121" s="198"/>
      <c r="UWD121" s="199"/>
      <c r="UWE121" s="198"/>
      <c r="UWF121" s="199"/>
      <c r="UWG121" s="198"/>
      <c r="UWH121" s="199"/>
      <c r="UWI121" s="198"/>
      <c r="UWJ121" s="199"/>
      <c r="UWK121" s="198"/>
      <c r="UWL121" s="199"/>
      <c r="UWM121" s="198"/>
      <c r="UWN121" s="199"/>
      <c r="UWO121" s="198"/>
      <c r="UWP121" s="199"/>
      <c r="UWQ121" s="198"/>
      <c r="UWR121" s="199"/>
      <c r="UWS121" s="198"/>
      <c r="UWT121" s="199"/>
      <c r="UWU121" s="198"/>
      <c r="UWV121" s="199"/>
      <c r="UWW121" s="198"/>
      <c r="UWX121" s="199"/>
      <c r="UWY121" s="198"/>
      <c r="UWZ121" s="199"/>
      <c r="UXA121" s="198"/>
      <c r="UXB121" s="199"/>
      <c r="UXC121" s="198"/>
      <c r="UXD121" s="199"/>
      <c r="UXE121" s="198"/>
      <c r="UXF121" s="199"/>
      <c r="UXG121" s="198"/>
      <c r="UXH121" s="199"/>
      <c r="UXI121" s="198"/>
      <c r="UXJ121" s="199"/>
      <c r="UXK121" s="198"/>
      <c r="UXL121" s="199"/>
      <c r="UXM121" s="198"/>
      <c r="UXN121" s="199"/>
      <c r="UXO121" s="198"/>
      <c r="UXP121" s="199"/>
      <c r="UXQ121" s="198"/>
      <c r="UXR121" s="199"/>
      <c r="UXS121" s="198"/>
      <c r="UXT121" s="199"/>
      <c r="UXU121" s="198"/>
      <c r="UXV121" s="199"/>
      <c r="UXW121" s="198"/>
      <c r="UXX121" s="199"/>
      <c r="UXY121" s="198"/>
      <c r="UXZ121" s="199"/>
      <c r="UYA121" s="198"/>
      <c r="UYB121" s="199"/>
      <c r="UYC121" s="198"/>
      <c r="UYD121" s="199"/>
      <c r="UYE121" s="198"/>
      <c r="UYF121" s="199"/>
      <c r="UYG121" s="198"/>
      <c r="UYH121" s="199"/>
      <c r="UYI121" s="198"/>
      <c r="UYJ121" s="199"/>
      <c r="UYK121" s="198"/>
      <c r="UYL121" s="199"/>
      <c r="UYM121" s="198"/>
      <c r="UYN121" s="199"/>
      <c r="UYO121" s="198"/>
      <c r="UYP121" s="199"/>
      <c r="UYQ121" s="198"/>
      <c r="UYR121" s="199"/>
      <c r="UYS121" s="198"/>
      <c r="UYT121" s="199"/>
      <c r="UYU121" s="198"/>
      <c r="UYV121" s="199"/>
      <c r="UYW121" s="198"/>
      <c r="UYX121" s="199"/>
      <c r="UYY121" s="198"/>
      <c r="UYZ121" s="199"/>
      <c r="UZA121" s="198"/>
      <c r="UZB121" s="199"/>
      <c r="UZC121" s="198"/>
      <c r="UZD121" s="199"/>
      <c r="UZE121" s="198"/>
      <c r="UZF121" s="199"/>
      <c r="UZG121" s="198"/>
      <c r="UZH121" s="199"/>
      <c r="UZI121" s="198"/>
      <c r="UZJ121" s="199"/>
      <c r="UZK121" s="198"/>
      <c r="UZL121" s="199"/>
      <c r="UZM121" s="198"/>
      <c r="UZN121" s="199"/>
      <c r="UZO121" s="198"/>
      <c r="UZP121" s="199"/>
      <c r="UZQ121" s="198"/>
      <c r="UZR121" s="199"/>
      <c r="UZS121" s="198"/>
      <c r="UZT121" s="199"/>
      <c r="UZU121" s="198"/>
      <c r="UZV121" s="199"/>
      <c r="UZW121" s="198"/>
      <c r="UZX121" s="199"/>
      <c r="UZY121" s="198"/>
      <c r="UZZ121" s="199"/>
      <c r="VAA121" s="198"/>
      <c r="VAB121" s="199"/>
      <c r="VAC121" s="198"/>
      <c r="VAD121" s="199"/>
      <c r="VAE121" s="198"/>
      <c r="VAF121" s="199"/>
      <c r="VAG121" s="198"/>
      <c r="VAH121" s="199"/>
      <c r="VAI121" s="198"/>
      <c r="VAJ121" s="199"/>
      <c r="VAK121" s="198"/>
      <c r="VAL121" s="199"/>
      <c r="VAM121" s="198"/>
      <c r="VAN121" s="199"/>
      <c r="VAO121" s="198"/>
      <c r="VAP121" s="199"/>
      <c r="VAQ121" s="198"/>
      <c r="VAR121" s="199"/>
      <c r="VAS121" s="198"/>
      <c r="VAT121" s="199"/>
      <c r="VAU121" s="198"/>
      <c r="VAV121" s="199"/>
      <c r="VAW121" s="198"/>
      <c r="VAX121" s="199"/>
      <c r="VAY121" s="198"/>
      <c r="VAZ121" s="199"/>
      <c r="VBA121" s="198"/>
      <c r="VBB121" s="199"/>
      <c r="VBC121" s="198"/>
      <c r="VBD121" s="199"/>
      <c r="VBE121" s="198"/>
      <c r="VBF121" s="199"/>
      <c r="VBG121" s="198"/>
      <c r="VBH121" s="199"/>
      <c r="VBI121" s="198"/>
      <c r="VBJ121" s="199"/>
      <c r="VBK121" s="198"/>
      <c r="VBL121" s="199"/>
      <c r="VBM121" s="198"/>
      <c r="VBN121" s="199"/>
      <c r="VBO121" s="198"/>
      <c r="VBP121" s="199"/>
      <c r="VBQ121" s="198"/>
      <c r="VBR121" s="199"/>
      <c r="VBS121" s="198"/>
      <c r="VBT121" s="199"/>
      <c r="VBU121" s="198"/>
      <c r="VBV121" s="199"/>
      <c r="VBW121" s="198"/>
      <c r="VBX121" s="199"/>
      <c r="VBY121" s="198"/>
      <c r="VBZ121" s="199"/>
      <c r="VCA121" s="198"/>
      <c r="VCB121" s="199"/>
      <c r="VCC121" s="198"/>
      <c r="VCD121" s="199"/>
      <c r="VCE121" s="198"/>
      <c r="VCF121" s="199"/>
      <c r="VCG121" s="198"/>
      <c r="VCH121" s="199"/>
      <c r="VCI121" s="198"/>
      <c r="VCJ121" s="199"/>
      <c r="VCK121" s="198"/>
      <c r="VCL121" s="199"/>
      <c r="VCM121" s="198"/>
      <c r="VCN121" s="199"/>
      <c r="VCO121" s="198"/>
      <c r="VCP121" s="199"/>
      <c r="VCQ121" s="198"/>
      <c r="VCR121" s="199"/>
      <c r="VCS121" s="198"/>
      <c r="VCT121" s="199"/>
      <c r="VCU121" s="198"/>
      <c r="VCV121" s="199"/>
      <c r="VCW121" s="198"/>
      <c r="VCX121" s="199"/>
      <c r="VCY121" s="198"/>
      <c r="VCZ121" s="199"/>
      <c r="VDA121" s="198"/>
      <c r="VDB121" s="199"/>
      <c r="VDC121" s="198"/>
      <c r="VDD121" s="199"/>
      <c r="VDE121" s="198"/>
      <c r="VDF121" s="199"/>
      <c r="VDG121" s="198"/>
      <c r="VDH121" s="199"/>
      <c r="VDI121" s="198"/>
      <c r="VDJ121" s="199"/>
      <c r="VDK121" s="198"/>
      <c r="VDL121" s="199"/>
      <c r="VDM121" s="198"/>
      <c r="VDN121" s="199"/>
      <c r="VDO121" s="198"/>
      <c r="VDP121" s="199"/>
      <c r="VDQ121" s="198"/>
      <c r="VDR121" s="199"/>
      <c r="VDS121" s="198"/>
      <c r="VDT121" s="199"/>
      <c r="VDU121" s="198"/>
      <c r="VDV121" s="199"/>
      <c r="VDW121" s="198"/>
      <c r="VDX121" s="199"/>
      <c r="VDY121" s="198"/>
      <c r="VDZ121" s="199"/>
      <c r="VEA121" s="198"/>
      <c r="VEB121" s="199"/>
      <c r="VEC121" s="198"/>
      <c r="VED121" s="199"/>
      <c r="VEE121" s="198"/>
      <c r="VEF121" s="199"/>
      <c r="VEG121" s="198"/>
      <c r="VEH121" s="199"/>
      <c r="VEI121" s="198"/>
      <c r="VEJ121" s="199"/>
      <c r="VEK121" s="198"/>
      <c r="VEL121" s="199"/>
      <c r="VEM121" s="198"/>
      <c r="VEN121" s="199"/>
      <c r="VEO121" s="198"/>
      <c r="VEP121" s="199"/>
      <c r="VEQ121" s="198"/>
      <c r="VER121" s="199"/>
      <c r="VES121" s="198"/>
      <c r="VET121" s="199"/>
      <c r="VEU121" s="198"/>
      <c r="VEV121" s="199"/>
      <c r="VEW121" s="198"/>
      <c r="VEX121" s="199"/>
      <c r="VEY121" s="198"/>
      <c r="VEZ121" s="199"/>
      <c r="VFA121" s="198"/>
      <c r="VFB121" s="199"/>
      <c r="VFC121" s="198"/>
      <c r="VFD121" s="199"/>
      <c r="VFE121" s="198"/>
      <c r="VFF121" s="199"/>
      <c r="VFG121" s="198"/>
      <c r="VFH121" s="199"/>
      <c r="VFI121" s="198"/>
      <c r="VFJ121" s="199"/>
      <c r="VFK121" s="198"/>
      <c r="VFL121" s="199"/>
      <c r="VFM121" s="198"/>
      <c r="VFN121" s="199"/>
      <c r="VFO121" s="198"/>
      <c r="VFP121" s="199"/>
      <c r="VFQ121" s="198"/>
      <c r="VFR121" s="199"/>
      <c r="VFS121" s="198"/>
      <c r="VFT121" s="199"/>
      <c r="VFU121" s="198"/>
      <c r="VFV121" s="199"/>
      <c r="VFW121" s="198"/>
      <c r="VFX121" s="199"/>
      <c r="VFY121" s="198"/>
      <c r="VFZ121" s="199"/>
      <c r="VGA121" s="198"/>
      <c r="VGB121" s="199"/>
      <c r="VGC121" s="198"/>
      <c r="VGD121" s="199"/>
      <c r="VGE121" s="198"/>
      <c r="VGF121" s="199"/>
      <c r="VGG121" s="198"/>
      <c r="VGH121" s="199"/>
      <c r="VGI121" s="198"/>
      <c r="VGJ121" s="199"/>
      <c r="VGK121" s="198"/>
      <c r="VGL121" s="199"/>
      <c r="VGM121" s="198"/>
      <c r="VGN121" s="199"/>
      <c r="VGO121" s="198"/>
      <c r="VGP121" s="199"/>
      <c r="VGQ121" s="198"/>
      <c r="VGR121" s="199"/>
      <c r="VGS121" s="198"/>
      <c r="VGT121" s="199"/>
      <c r="VGU121" s="198"/>
      <c r="VGV121" s="199"/>
      <c r="VGW121" s="198"/>
      <c r="VGX121" s="199"/>
      <c r="VGY121" s="198"/>
      <c r="VGZ121" s="199"/>
      <c r="VHA121" s="198"/>
      <c r="VHB121" s="199"/>
      <c r="VHC121" s="198"/>
      <c r="VHD121" s="199"/>
      <c r="VHE121" s="198"/>
      <c r="VHF121" s="199"/>
      <c r="VHG121" s="198"/>
      <c r="VHH121" s="199"/>
      <c r="VHI121" s="198"/>
      <c r="VHJ121" s="199"/>
      <c r="VHK121" s="198"/>
      <c r="VHL121" s="199"/>
      <c r="VHM121" s="198"/>
      <c r="VHN121" s="199"/>
      <c r="VHO121" s="198"/>
      <c r="VHP121" s="199"/>
      <c r="VHQ121" s="198"/>
      <c r="VHR121" s="199"/>
      <c r="VHS121" s="198"/>
      <c r="VHT121" s="199"/>
      <c r="VHU121" s="198"/>
      <c r="VHV121" s="199"/>
      <c r="VHW121" s="198"/>
      <c r="VHX121" s="199"/>
      <c r="VHY121" s="198"/>
      <c r="VHZ121" s="199"/>
      <c r="VIA121" s="198"/>
      <c r="VIB121" s="199"/>
      <c r="VIC121" s="198"/>
      <c r="VID121" s="199"/>
      <c r="VIE121" s="198"/>
      <c r="VIF121" s="199"/>
      <c r="VIG121" s="198"/>
      <c r="VIH121" s="199"/>
      <c r="VII121" s="198"/>
      <c r="VIJ121" s="199"/>
      <c r="VIK121" s="198"/>
      <c r="VIL121" s="199"/>
      <c r="VIM121" s="198"/>
      <c r="VIN121" s="199"/>
      <c r="VIO121" s="198"/>
      <c r="VIP121" s="199"/>
      <c r="VIQ121" s="198"/>
      <c r="VIR121" s="199"/>
      <c r="VIS121" s="198"/>
      <c r="VIT121" s="199"/>
      <c r="VIU121" s="198"/>
      <c r="VIV121" s="199"/>
      <c r="VIW121" s="198"/>
      <c r="VIX121" s="199"/>
      <c r="VIY121" s="198"/>
      <c r="VIZ121" s="199"/>
      <c r="VJA121" s="198"/>
      <c r="VJB121" s="199"/>
      <c r="VJC121" s="198"/>
      <c r="VJD121" s="199"/>
      <c r="VJE121" s="198"/>
      <c r="VJF121" s="199"/>
      <c r="VJG121" s="198"/>
      <c r="VJH121" s="199"/>
      <c r="VJI121" s="198"/>
      <c r="VJJ121" s="199"/>
      <c r="VJK121" s="198"/>
      <c r="VJL121" s="199"/>
      <c r="VJM121" s="198"/>
      <c r="VJN121" s="199"/>
      <c r="VJO121" s="198"/>
      <c r="VJP121" s="199"/>
      <c r="VJQ121" s="198"/>
      <c r="VJR121" s="199"/>
      <c r="VJS121" s="198"/>
      <c r="VJT121" s="199"/>
      <c r="VJU121" s="198"/>
      <c r="VJV121" s="199"/>
      <c r="VJW121" s="198"/>
      <c r="VJX121" s="199"/>
      <c r="VJY121" s="198"/>
      <c r="VJZ121" s="199"/>
      <c r="VKA121" s="198"/>
      <c r="VKB121" s="199"/>
      <c r="VKC121" s="198"/>
      <c r="VKD121" s="199"/>
      <c r="VKE121" s="198"/>
      <c r="VKF121" s="199"/>
      <c r="VKG121" s="198"/>
      <c r="VKH121" s="199"/>
      <c r="VKI121" s="198"/>
      <c r="VKJ121" s="199"/>
      <c r="VKK121" s="198"/>
      <c r="VKL121" s="199"/>
      <c r="VKM121" s="198"/>
      <c r="VKN121" s="199"/>
      <c r="VKO121" s="198"/>
      <c r="VKP121" s="199"/>
      <c r="VKQ121" s="198"/>
      <c r="VKR121" s="199"/>
      <c r="VKS121" s="198"/>
      <c r="VKT121" s="199"/>
      <c r="VKU121" s="198"/>
      <c r="VKV121" s="199"/>
      <c r="VKW121" s="198"/>
      <c r="VKX121" s="199"/>
      <c r="VKY121" s="198"/>
      <c r="VKZ121" s="199"/>
      <c r="VLA121" s="198"/>
      <c r="VLB121" s="199"/>
      <c r="VLC121" s="198"/>
      <c r="VLD121" s="199"/>
      <c r="VLE121" s="198"/>
      <c r="VLF121" s="199"/>
      <c r="VLG121" s="198"/>
      <c r="VLH121" s="199"/>
      <c r="VLI121" s="198"/>
      <c r="VLJ121" s="199"/>
      <c r="VLK121" s="198"/>
      <c r="VLL121" s="199"/>
      <c r="VLM121" s="198"/>
      <c r="VLN121" s="199"/>
      <c r="VLO121" s="198"/>
      <c r="VLP121" s="199"/>
      <c r="VLQ121" s="198"/>
      <c r="VLR121" s="199"/>
      <c r="VLS121" s="198"/>
      <c r="VLT121" s="199"/>
      <c r="VLU121" s="198"/>
      <c r="VLV121" s="199"/>
      <c r="VLW121" s="198"/>
      <c r="VLX121" s="199"/>
      <c r="VLY121" s="198"/>
      <c r="VLZ121" s="199"/>
      <c r="VMA121" s="198"/>
      <c r="VMB121" s="199"/>
      <c r="VMC121" s="198"/>
      <c r="VMD121" s="199"/>
      <c r="VME121" s="198"/>
      <c r="VMF121" s="199"/>
      <c r="VMG121" s="198"/>
      <c r="VMH121" s="199"/>
      <c r="VMI121" s="198"/>
      <c r="VMJ121" s="199"/>
      <c r="VMK121" s="198"/>
      <c r="VML121" s="199"/>
      <c r="VMM121" s="198"/>
      <c r="VMN121" s="199"/>
      <c r="VMO121" s="198"/>
      <c r="VMP121" s="199"/>
      <c r="VMQ121" s="198"/>
      <c r="VMR121" s="199"/>
      <c r="VMS121" s="198"/>
      <c r="VMT121" s="199"/>
      <c r="VMU121" s="198"/>
      <c r="VMV121" s="199"/>
      <c r="VMW121" s="198"/>
      <c r="VMX121" s="199"/>
      <c r="VMY121" s="198"/>
      <c r="VMZ121" s="199"/>
      <c r="VNA121" s="198"/>
      <c r="VNB121" s="199"/>
      <c r="VNC121" s="198"/>
      <c r="VND121" s="199"/>
      <c r="VNE121" s="198"/>
      <c r="VNF121" s="199"/>
      <c r="VNG121" s="198"/>
      <c r="VNH121" s="199"/>
      <c r="VNI121" s="198"/>
      <c r="VNJ121" s="199"/>
      <c r="VNK121" s="198"/>
      <c r="VNL121" s="199"/>
      <c r="VNM121" s="198"/>
      <c r="VNN121" s="199"/>
      <c r="VNO121" s="198"/>
      <c r="VNP121" s="199"/>
      <c r="VNQ121" s="198"/>
      <c r="VNR121" s="199"/>
      <c r="VNS121" s="198"/>
      <c r="VNT121" s="199"/>
      <c r="VNU121" s="198"/>
      <c r="VNV121" s="199"/>
      <c r="VNW121" s="198"/>
      <c r="VNX121" s="199"/>
      <c r="VNY121" s="198"/>
      <c r="VNZ121" s="199"/>
      <c r="VOA121" s="198"/>
      <c r="VOB121" s="199"/>
      <c r="VOC121" s="198"/>
      <c r="VOD121" s="199"/>
      <c r="VOE121" s="198"/>
      <c r="VOF121" s="199"/>
      <c r="VOG121" s="198"/>
      <c r="VOH121" s="199"/>
      <c r="VOI121" s="198"/>
      <c r="VOJ121" s="199"/>
      <c r="VOK121" s="198"/>
      <c r="VOL121" s="199"/>
      <c r="VOM121" s="198"/>
      <c r="VON121" s="199"/>
      <c r="VOO121" s="198"/>
      <c r="VOP121" s="199"/>
      <c r="VOQ121" s="198"/>
      <c r="VOR121" s="199"/>
      <c r="VOS121" s="198"/>
      <c r="VOT121" s="199"/>
      <c r="VOU121" s="198"/>
      <c r="VOV121" s="199"/>
      <c r="VOW121" s="198"/>
      <c r="VOX121" s="199"/>
      <c r="VOY121" s="198"/>
      <c r="VOZ121" s="199"/>
      <c r="VPA121" s="198"/>
      <c r="VPB121" s="199"/>
      <c r="VPC121" s="198"/>
      <c r="VPD121" s="199"/>
      <c r="VPE121" s="198"/>
      <c r="VPF121" s="199"/>
      <c r="VPG121" s="198"/>
      <c r="VPH121" s="199"/>
      <c r="VPI121" s="198"/>
      <c r="VPJ121" s="199"/>
      <c r="VPK121" s="198"/>
      <c r="VPL121" s="199"/>
      <c r="VPM121" s="198"/>
      <c r="VPN121" s="199"/>
      <c r="VPO121" s="198"/>
      <c r="VPP121" s="199"/>
      <c r="VPQ121" s="198"/>
      <c r="VPR121" s="199"/>
      <c r="VPS121" s="198"/>
      <c r="VPT121" s="199"/>
      <c r="VPU121" s="198"/>
      <c r="VPV121" s="199"/>
      <c r="VPW121" s="198"/>
      <c r="VPX121" s="199"/>
      <c r="VPY121" s="198"/>
      <c r="VPZ121" s="199"/>
      <c r="VQA121" s="198"/>
      <c r="VQB121" s="199"/>
      <c r="VQC121" s="198"/>
      <c r="VQD121" s="199"/>
      <c r="VQE121" s="198"/>
      <c r="VQF121" s="199"/>
      <c r="VQG121" s="198"/>
      <c r="VQH121" s="199"/>
      <c r="VQI121" s="198"/>
      <c r="VQJ121" s="199"/>
      <c r="VQK121" s="198"/>
      <c r="VQL121" s="199"/>
      <c r="VQM121" s="198"/>
      <c r="VQN121" s="199"/>
      <c r="VQO121" s="198"/>
      <c r="VQP121" s="199"/>
      <c r="VQQ121" s="198"/>
      <c r="VQR121" s="199"/>
      <c r="VQS121" s="198"/>
      <c r="VQT121" s="199"/>
      <c r="VQU121" s="198"/>
      <c r="VQV121" s="199"/>
      <c r="VQW121" s="198"/>
      <c r="VQX121" s="199"/>
      <c r="VQY121" s="198"/>
      <c r="VQZ121" s="199"/>
      <c r="VRA121" s="198"/>
      <c r="VRB121" s="199"/>
      <c r="VRC121" s="198"/>
      <c r="VRD121" s="199"/>
      <c r="VRE121" s="198"/>
      <c r="VRF121" s="199"/>
      <c r="VRG121" s="198"/>
      <c r="VRH121" s="199"/>
      <c r="VRI121" s="198"/>
      <c r="VRJ121" s="199"/>
      <c r="VRK121" s="198"/>
      <c r="VRL121" s="199"/>
      <c r="VRM121" s="198"/>
      <c r="VRN121" s="199"/>
      <c r="VRO121" s="198"/>
      <c r="VRP121" s="199"/>
      <c r="VRQ121" s="198"/>
      <c r="VRR121" s="199"/>
      <c r="VRS121" s="198"/>
      <c r="VRT121" s="199"/>
      <c r="VRU121" s="198"/>
      <c r="VRV121" s="199"/>
      <c r="VRW121" s="198"/>
      <c r="VRX121" s="199"/>
      <c r="VRY121" s="198"/>
      <c r="VRZ121" s="199"/>
      <c r="VSA121" s="198"/>
      <c r="VSB121" s="199"/>
      <c r="VSC121" s="198"/>
      <c r="VSD121" s="199"/>
      <c r="VSE121" s="198"/>
      <c r="VSF121" s="199"/>
      <c r="VSG121" s="198"/>
      <c r="VSH121" s="199"/>
      <c r="VSI121" s="198"/>
      <c r="VSJ121" s="199"/>
      <c r="VSK121" s="198"/>
      <c r="VSL121" s="199"/>
      <c r="VSM121" s="198"/>
      <c r="VSN121" s="199"/>
      <c r="VSO121" s="198"/>
      <c r="VSP121" s="199"/>
      <c r="VSQ121" s="198"/>
      <c r="VSR121" s="199"/>
      <c r="VSS121" s="198"/>
      <c r="VST121" s="199"/>
      <c r="VSU121" s="198"/>
      <c r="VSV121" s="199"/>
      <c r="VSW121" s="198"/>
      <c r="VSX121" s="199"/>
      <c r="VSY121" s="198"/>
      <c r="VSZ121" s="199"/>
      <c r="VTA121" s="198"/>
      <c r="VTB121" s="199"/>
      <c r="VTC121" s="198"/>
      <c r="VTD121" s="199"/>
      <c r="VTE121" s="198"/>
      <c r="VTF121" s="199"/>
      <c r="VTG121" s="198"/>
      <c r="VTH121" s="199"/>
      <c r="VTI121" s="198"/>
      <c r="VTJ121" s="199"/>
      <c r="VTK121" s="198"/>
      <c r="VTL121" s="199"/>
      <c r="VTM121" s="198"/>
      <c r="VTN121" s="199"/>
      <c r="VTO121" s="198"/>
      <c r="VTP121" s="199"/>
      <c r="VTQ121" s="198"/>
      <c r="VTR121" s="199"/>
      <c r="VTS121" s="198"/>
      <c r="VTT121" s="199"/>
      <c r="VTU121" s="198"/>
      <c r="VTV121" s="199"/>
      <c r="VTW121" s="198"/>
      <c r="VTX121" s="199"/>
      <c r="VTY121" s="198"/>
      <c r="VTZ121" s="199"/>
      <c r="VUA121" s="198"/>
      <c r="VUB121" s="199"/>
      <c r="VUC121" s="198"/>
      <c r="VUD121" s="199"/>
      <c r="VUE121" s="198"/>
      <c r="VUF121" s="199"/>
      <c r="VUG121" s="198"/>
      <c r="VUH121" s="199"/>
      <c r="VUI121" s="198"/>
      <c r="VUJ121" s="199"/>
      <c r="VUK121" s="198"/>
      <c r="VUL121" s="199"/>
      <c r="VUM121" s="198"/>
      <c r="VUN121" s="199"/>
      <c r="VUO121" s="198"/>
      <c r="VUP121" s="199"/>
      <c r="VUQ121" s="198"/>
      <c r="VUR121" s="199"/>
      <c r="VUS121" s="198"/>
      <c r="VUT121" s="199"/>
      <c r="VUU121" s="198"/>
      <c r="VUV121" s="199"/>
      <c r="VUW121" s="198"/>
      <c r="VUX121" s="199"/>
      <c r="VUY121" s="198"/>
      <c r="VUZ121" s="199"/>
      <c r="VVA121" s="198"/>
      <c r="VVB121" s="199"/>
      <c r="VVC121" s="198"/>
      <c r="VVD121" s="199"/>
      <c r="VVE121" s="198"/>
      <c r="VVF121" s="199"/>
      <c r="VVG121" s="198"/>
      <c r="VVH121" s="199"/>
      <c r="VVI121" s="198"/>
      <c r="VVJ121" s="199"/>
      <c r="VVK121" s="198"/>
      <c r="VVL121" s="199"/>
      <c r="VVM121" s="198"/>
      <c r="VVN121" s="199"/>
      <c r="VVO121" s="198"/>
      <c r="VVP121" s="199"/>
      <c r="VVQ121" s="198"/>
      <c r="VVR121" s="199"/>
      <c r="VVS121" s="198"/>
      <c r="VVT121" s="199"/>
      <c r="VVU121" s="198"/>
      <c r="VVV121" s="199"/>
      <c r="VVW121" s="198"/>
      <c r="VVX121" s="199"/>
      <c r="VVY121" s="198"/>
      <c r="VVZ121" s="199"/>
      <c r="VWA121" s="198"/>
      <c r="VWB121" s="199"/>
      <c r="VWC121" s="198"/>
      <c r="VWD121" s="199"/>
      <c r="VWE121" s="198"/>
      <c r="VWF121" s="199"/>
      <c r="VWG121" s="198"/>
      <c r="VWH121" s="199"/>
      <c r="VWI121" s="198"/>
      <c r="VWJ121" s="199"/>
      <c r="VWK121" s="198"/>
      <c r="VWL121" s="199"/>
      <c r="VWM121" s="198"/>
      <c r="VWN121" s="199"/>
      <c r="VWO121" s="198"/>
      <c r="VWP121" s="199"/>
      <c r="VWQ121" s="198"/>
      <c r="VWR121" s="199"/>
      <c r="VWS121" s="198"/>
      <c r="VWT121" s="199"/>
      <c r="VWU121" s="198"/>
      <c r="VWV121" s="199"/>
      <c r="VWW121" s="198"/>
      <c r="VWX121" s="199"/>
      <c r="VWY121" s="198"/>
      <c r="VWZ121" s="199"/>
      <c r="VXA121" s="198"/>
      <c r="VXB121" s="199"/>
      <c r="VXC121" s="198"/>
      <c r="VXD121" s="199"/>
      <c r="VXE121" s="198"/>
      <c r="VXF121" s="199"/>
      <c r="VXG121" s="198"/>
      <c r="VXH121" s="199"/>
      <c r="VXI121" s="198"/>
      <c r="VXJ121" s="199"/>
      <c r="VXK121" s="198"/>
      <c r="VXL121" s="199"/>
      <c r="VXM121" s="198"/>
      <c r="VXN121" s="199"/>
      <c r="VXO121" s="198"/>
      <c r="VXP121" s="199"/>
      <c r="VXQ121" s="198"/>
      <c r="VXR121" s="199"/>
      <c r="VXS121" s="198"/>
      <c r="VXT121" s="199"/>
      <c r="VXU121" s="198"/>
      <c r="VXV121" s="199"/>
      <c r="VXW121" s="198"/>
      <c r="VXX121" s="199"/>
      <c r="VXY121" s="198"/>
      <c r="VXZ121" s="199"/>
      <c r="VYA121" s="198"/>
      <c r="VYB121" s="199"/>
      <c r="VYC121" s="198"/>
      <c r="VYD121" s="199"/>
      <c r="VYE121" s="198"/>
      <c r="VYF121" s="199"/>
      <c r="VYG121" s="198"/>
      <c r="VYH121" s="199"/>
      <c r="VYI121" s="198"/>
      <c r="VYJ121" s="199"/>
      <c r="VYK121" s="198"/>
      <c r="VYL121" s="199"/>
      <c r="VYM121" s="198"/>
      <c r="VYN121" s="199"/>
      <c r="VYO121" s="198"/>
      <c r="VYP121" s="199"/>
      <c r="VYQ121" s="198"/>
      <c r="VYR121" s="199"/>
      <c r="VYS121" s="198"/>
      <c r="VYT121" s="199"/>
      <c r="VYU121" s="198"/>
      <c r="VYV121" s="199"/>
      <c r="VYW121" s="198"/>
      <c r="VYX121" s="199"/>
      <c r="VYY121" s="198"/>
      <c r="VYZ121" s="199"/>
      <c r="VZA121" s="198"/>
      <c r="VZB121" s="199"/>
      <c r="VZC121" s="198"/>
      <c r="VZD121" s="199"/>
      <c r="VZE121" s="198"/>
      <c r="VZF121" s="199"/>
      <c r="VZG121" s="198"/>
      <c r="VZH121" s="199"/>
      <c r="VZI121" s="198"/>
      <c r="VZJ121" s="199"/>
      <c r="VZK121" s="198"/>
      <c r="VZL121" s="199"/>
      <c r="VZM121" s="198"/>
      <c r="VZN121" s="199"/>
      <c r="VZO121" s="198"/>
      <c r="VZP121" s="199"/>
      <c r="VZQ121" s="198"/>
      <c r="VZR121" s="199"/>
      <c r="VZS121" s="198"/>
      <c r="VZT121" s="199"/>
      <c r="VZU121" s="198"/>
      <c r="VZV121" s="199"/>
      <c r="VZW121" s="198"/>
      <c r="VZX121" s="199"/>
      <c r="VZY121" s="198"/>
      <c r="VZZ121" s="199"/>
      <c r="WAA121" s="198"/>
      <c r="WAB121" s="199"/>
      <c r="WAC121" s="198"/>
      <c r="WAD121" s="199"/>
      <c r="WAE121" s="198"/>
      <c r="WAF121" s="199"/>
      <c r="WAG121" s="198"/>
      <c r="WAH121" s="199"/>
      <c r="WAI121" s="198"/>
      <c r="WAJ121" s="199"/>
      <c r="WAK121" s="198"/>
      <c r="WAL121" s="199"/>
      <c r="WAM121" s="198"/>
      <c r="WAN121" s="199"/>
      <c r="WAO121" s="198"/>
      <c r="WAP121" s="199"/>
      <c r="WAQ121" s="198"/>
      <c r="WAR121" s="199"/>
      <c r="WAS121" s="198"/>
      <c r="WAT121" s="199"/>
      <c r="WAU121" s="198"/>
      <c r="WAV121" s="199"/>
      <c r="WAW121" s="198"/>
      <c r="WAX121" s="199"/>
      <c r="WAY121" s="198"/>
      <c r="WAZ121" s="199"/>
      <c r="WBA121" s="198"/>
      <c r="WBB121" s="199"/>
      <c r="WBC121" s="198"/>
      <c r="WBD121" s="199"/>
      <c r="WBE121" s="198"/>
      <c r="WBF121" s="199"/>
      <c r="WBG121" s="198"/>
      <c r="WBH121" s="199"/>
      <c r="WBI121" s="198"/>
      <c r="WBJ121" s="199"/>
      <c r="WBK121" s="198"/>
      <c r="WBL121" s="199"/>
      <c r="WBM121" s="198"/>
      <c r="WBN121" s="199"/>
      <c r="WBO121" s="198"/>
      <c r="WBP121" s="199"/>
      <c r="WBQ121" s="198"/>
      <c r="WBR121" s="199"/>
      <c r="WBS121" s="198"/>
      <c r="WBT121" s="199"/>
      <c r="WBU121" s="198"/>
      <c r="WBV121" s="199"/>
      <c r="WBW121" s="198"/>
      <c r="WBX121" s="199"/>
      <c r="WBY121" s="198"/>
      <c r="WBZ121" s="199"/>
      <c r="WCA121" s="198"/>
      <c r="WCB121" s="199"/>
      <c r="WCC121" s="198"/>
      <c r="WCD121" s="199"/>
      <c r="WCE121" s="198"/>
      <c r="WCF121" s="199"/>
      <c r="WCG121" s="198"/>
      <c r="WCH121" s="199"/>
      <c r="WCI121" s="198"/>
      <c r="WCJ121" s="199"/>
      <c r="WCK121" s="198"/>
      <c r="WCL121" s="199"/>
      <c r="WCM121" s="198"/>
      <c r="WCN121" s="199"/>
      <c r="WCO121" s="198"/>
      <c r="WCP121" s="199"/>
      <c r="WCQ121" s="198"/>
      <c r="WCR121" s="199"/>
      <c r="WCS121" s="198"/>
      <c r="WCT121" s="199"/>
      <c r="WCU121" s="198"/>
      <c r="WCV121" s="199"/>
      <c r="WCW121" s="198"/>
      <c r="WCX121" s="199"/>
      <c r="WCY121" s="198"/>
      <c r="WCZ121" s="199"/>
      <c r="WDA121" s="198"/>
      <c r="WDB121" s="199"/>
      <c r="WDC121" s="198"/>
      <c r="WDD121" s="199"/>
      <c r="WDE121" s="198"/>
      <c r="WDF121" s="199"/>
      <c r="WDG121" s="198"/>
      <c r="WDH121" s="199"/>
      <c r="WDI121" s="198"/>
      <c r="WDJ121" s="199"/>
      <c r="WDK121" s="198"/>
      <c r="WDL121" s="199"/>
      <c r="WDM121" s="198"/>
      <c r="WDN121" s="199"/>
      <c r="WDO121" s="198"/>
      <c r="WDP121" s="199"/>
      <c r="WDQ121" s="198"/>
      <c r="WDR121" s="199"/>
      <c r="WDS121" s="198"/>
      <c r="WDT121" s="199"/>
      <c r="WDU121" s="198"/>
      <c r="WDV121" s="199"/>
      <c r="WDW121" s="198"/>
      <c r="WDX121" s="199"/>
      <c r="WDY121" s="198"/>
      <c r="WDZ121" s="199"/>
      <c r="WEA121" s="198"/>
      <c r="WEB121" s="199"/>
      <c r="WEC121" s="198"/>
      <c r="WED121" s="199"/>
      <c r="WEE121" s="198"/>
      <c r="WEF121" s="199"/>
      <c r="WEG121" s="198"/>
      <c r="WEH121" s="199"/>
      <c r="WEI121" s="198"/>
      <c r="WEJ121" s="199"/>
      <c r="WEK121" s="198"/>
      <c r="WEL121" s="199"/>
      <c r="WEM121" s="198"/>
      <c r="WEN121" s="199"/>
      <c r="WEO121" s="198"/>
      <c r="WEP121" s="199"/>
      <c r="WEQ121" s="198"/>
      <c r="WER121" s="199"/>
      <c r="WES121" s="198"/>
      <c r="WET121" s="199"/>
      <c r="WEU121" s="198"/>
      <c r="WEV121" s="199"/>
      <c r="WEW121" s="198"/>
      <c r="WEX121" s="199"/>
      <c r="WEY121" s="198"/>
      <c r="WEZ121" s="199"/>
      <c r="WFA121" s="198"/>
      <c r="WFB121" s="199"/>
      <c r="WFC121" s="198"/>
      <c r="WFD121" s="199"/>
      <c r="WFE121" s="198"/>
      <c r="WFF121" s="199"/>
      <c r="WFG121" s="198"/>
      <c r="WFH121" s="199"/>
      <c r="WFI121" s="198"/>
      <c r="WFJ121" s="199"/>
      <c r="WFK121" s="198"/>
      <c r="WFL121" s="199"/>
      <c r="WFM121" s="198"/>
      <c r="WFN121" s="199"/>
      <c r="WFO121" s="198"/>
      <c r="WFP121" s="199"/>
      <c r="WFQ121" s="198"/>
      <c r="WFR121" s="199"/>
      <c r="WFS121" s="198"/>
      <c r="WFT121" s="199"/>
      <c r="WFU121" s="198"/>
      <c r="WFV121" s="199"/>
      <c r="WFW121" s="198"/>
      <c r="WFX121" s="199"/>
      <c r="WFY121" s="198"/>
      <c r="WFZ121" s="199"/>
      <c r="WGA121" s="198"/>
      <c r="WGB121" s="199"/>
      <c r="WGC121" s="198"/>
      <c r="WGD121" s="199"/>
      <c r="WGE121" s="198"/>
      <c r="WGF121" s="199"/>
      <c r="WGG121" s="198"/>
      <c r="WGH121" s="199"/>
      <c r="WGI121" s="198"/>
      <c r="WGJ121" s="199"/>
      <c r="WGK121" s="198"/>
      <c r="WGL121" s="199"/>
      <c r="WGM121" s="198"/>
      <c r="WGN121" s="199"/>
      <c r="WGO121" s="198"/>
      <c r="WGP121" s="199"/>
      <c r="WGQ121" s="198"/>
      <c r="WGR121" s="199"/>
      <c r="WGS121" s="198"/>
      <c r="WGT121" s="199"/>
      <c r="WGU121" s="198"/>
      <c r="WGV121" s="199"/>
      <c r="WGW121" s="198"/>
      <c r="WGX121" s="199"/>
      <c r="WGY121" s="198"/>
      <c r="WGZ121" s="199"/>
      <c r="WHA121" s="198"/>
      <c r="WHB121" s="199"/>
      <c r="WHC121" s="198"/>
      <c r="WHD121" s="199"/>
      <c r="WHE121" s="198"/>
      <c r="WHF121" s="199"/>
      <c r="WHG121" s="198"/>
      <c r="WHH121" s="199"/>
      <c r="WHI121" s="198"/>
      <c r="WHJ121" s="199"/>
      <c r="WHK121" s="198"/>
      <c r="WHL121" s="199"/>
      <c r="WHM121" s="198"/>
      <c r="WHN121" s="199"/>
      <c r="WHO121" s="198"/>
      <c r="WHP121" s="199"/>
      <c r="WHQ121" s="198"/>
      <c r="WHR121" s="199"/>
      <c r="WHS121" s="198"/>
      <c r="WHT121" s="199"/>
      <c r="WHU121" s="198"/>
      <c r="WHV121" s="199"/>
      <c r="WHW121" s="198"/>
      <c r="WHX121" s="199"/>
      <c r="WHY121" s="198"/>
      <c r="WHZ121" s="199"/>
      <c r="WIA121" s="198"/>
      <c r="WIB121" s="199"/>
      <c r="WIC121" s="198"/>
      <c r="WID121" s="199"/>
      <c r="WIE121" s="198"/>
      <c r="WIF121" s="199"/>
      <c r="WIG121" s="198"/>
      <c r="WIH121" s="199"/>
      <c r="WII121" s="198"/>
      <c r="WIJ121" s="199"/>
      <c r="WIK121" s="198"/>
      <c r="WIL121" s="199"/>
      <c r="WIM121" s="198"/>
      <c r="WIN121" s="199"/>
      <c r="WIO121" s="198"/>
      <c r="WIP121" s="199"/>
      <c r="WIQ121" s="198"/>
      <c r="WIR121" s="199"/>
      <c r="WIS121" s="198"/>
      <c r="WIT121" s="199"/>
      <c r="WIU121" s="198"/>
      <c r="WIV121" s="199"/>
      <c r="WIW121" s="198"/>
      <c r="WIX121" s="199"/>
      <c r="WIY121" s="198"/>
      <c r="WIZ121" s="199"/>
      <c r="WJA121" s="198"/>
      <c r="WJB121" s="199"/>
      <c r="WJC121" s="198"/>
      <c r="WJD121" s="199"/>
      <c r="WJE121" s="198"/>
      <c r="WJF121" s="199"/>
      <c r="WJG121" s="198"/>
      <c r="WJH121" s="199"/>
      <c r="WJI121" s="198"/>
      <c r="WJJ121" s="199"/>
      <c r="WJK121" s="198"/>
      <c r="WJL121" s="199"/>
      <c r="WJM121" s="198"/>
      <c r="WJN121" s="199"/>
      <c r="WJO121" s="198"/>
      <c r="WJP121" s="199"/>
      <c r="WJQ121" s="198"/>
      <c r="WJR121" s="199"/>
      <c r="WJS121" s="198"/>
      <c r="WJT121" s="199"/>
      <c r="WJU121" s="198"/>
      <c r="WJV121" s="199"/>
      <c r="WJW121" s="198"/>
      <c r="WJX121" s="199"/>
      <c r="WJY121" s="198"/>
      <c r="WJZ121" s="199"/>
      <c r="WKA121" s="198"/>
      <c r="WKB121" s="199"/>
      <c r="WKC121" s="198"/>
      <c r="WKD121" s="199"/>
      <c r="WKE121" s="198"/>
      <c r="WKF121" s="199"/>
      <c r="WKG121" s="198"/>
      <c r="WKH121" s="199"/>
      <c r="WKI121" s="198"/>
      <c r="WKJ121" s="199"/>
      <c r="WKK121" s="198"/>
      <c r="WKL121" s="199"/>
      <c r="WKM121" s="198"/>
      <c r="WKN121" s="199"/>
      <c r="WKO121" s="198"/>
      <c r="WKP121" s="199"/>
      <c r="WKQ121" s="198"/>
      <c r="WKR121" s="199"/>
      <c r="WKS121" s="198"/>
      <c r="WKT121" s="199"/>
      <c r="WKU121" s="198"/>
      <c r="WKV121" s="199"/>
      <c r="WKW121" s="198"/>
      <c r="WKX121" s="199"/>
      <c r="WKY121" s="198"/>
      <c r="WKZ121" s="199"/>
      <c r="WLA121" s="198"/>
      <c r="WLB121" s="199"/>
      <c r="WLC121" s="198"/>
      <c r="WLD121" s="199"/>
      <c r="WLE121" s="198"/>
      <c r="WLF121" s="199"/>
      <c r="WLG121" s="198"/>
      <c r="WLH121" s="199"/>
      <c r="WLI121" s="198"/>
      <c r="WLJ121" s="199"/>
      <c r="WLK121" s="198"/>
      <c r="WLL121" s="199"/>
      <c r="WLM121" s="198"/>
      <c r="WLN121" s="199"/>
      <c r="WLO121" s="198"/>
      <c r="WLP121" s="199"/>
      <c r="WLQ121" s="198"/>
      <c r="WLR121" s="199"/>
      <c r="WLS121" s="198"/>
      <c r="WLT121" s="199"/>
      <c r="WLU121" s="198"/>
      <c r="WLV121" s="199"/>
      <c r="WLW121" s="198"/>
      <c r="WLX121" s="199"/>
      <c r="WLY121" s="198"/>
      <c r="WLZ121" s="199"/>
      <c r="WMA121" s="198"/>
      <c r="WMB121" s="199"/>
      <c r="WMC121" s="198"/>
      <c r="WMD121" s="199"/>
      <c r="WME121" s="198"/>
      <c r="WMF121" s="199"/>
      <c r="WMG121" s="198"/>
      <c r="WMH121" s="199"/>
      <c r="WMI121" s="198"/>
      <c r="WMJ121" s="199"/>
      <c r="WMK121" s="198"/>
      <c r="WML121" s="199"/>
      <c r="WMM121" s="198"/>
      <c r="WMN121" s="199"/>
      <c r="WMO121" s="198"/>
      <c r="WMP121" s="199"/>
      <c r="WMQ121" s="198"/>
      <c r="WMR121" s="199"/>
      <c r="WMS121" s="198"/>
      <c r="WMT121" s="199"/>
      <c r="WMU121" s="198"/>
      <c r="WMV121" s="199"/>
      <c r="WMW121" s="198"/>
      <c r="WMX121" s="199"/>
      <c r="WMY121" s="198"/>
      <c r="WMZ121" s="199"/>
      <c r="WNA121" s="198"/>
      <c r="WNB121" s="199"/>
      <c r="WNC121" s="198"/>
      <c r="WND121" s="199"/>
      <c r="WNE121" s="198"/>
      <c r="WNF121" s="199"/>
      <c r="WNG121" s="198"/>
      <c r="WNH121" s="199"/>
      <c r="WNI121" s="198"/>
      <c r="WNJ121" s="199"/>
      <c r="WNK121" s="198"/>
      <c r="WNL121" s="199"/>
      <c r="WNM121" s="198"/>
      <c r="WNN121" s="199"/>
      <c r="WNO121" s="198"/>
      <c r="WNP121" s="199"/>
      <c r="WNQ121" s="198"/>
      <c r="WNR121" s="199"/>
      <c r="WNS121" s="198"/>
      <c r="WNT121" s="199"/>
      <c r="WNU121" s="198"/>
      <c r="WNV121" s="199"/>
      <c r="WNW121" s="198"/>
      <c r="WNX121" s="199"/>
      <c r="WNY121" s="198"/>
      <c r="WNZ121" s="199"/>
      <c r="WOA121" s="198"/>
      <c r="WOB121" s="199"/>
      <c r="WOC121" s="198"/>
      <c r="WOD121" s="199"/>
      <c r="WOE121" s="198"/>
      <c r="WOF121" s="199"/>
      <c r="WOG121" s="198"/>
      <c r="WOH121" s="199"/>
      <c r="WOI121" s="198"/>
      <c r="WOJ121" s="199"/>
      <c r="WOK121" s="198"/>
      <c r="WOL121" s="199"/>
      <c r="WOM121" s="198"/>
      <c r="WON121" s="199"/>
      <c r="WOO121" s="198"/>
      <c r="WOP121" s="199"/>
      <c r="WOQ121" s="198"/>
      <c r="WOR121" s="199"/>
      <c r="WOS121" s="198"/>
      <c r="WOT121" s="199"/>
      <c r="WOU121" s="198"/>
      <c r="WOV121" s="199"/>
      <c r="WOW121" s="198"/>
      <c r="WOX121" s="199"/>
      <c r="WOY121" s="198"/>
      <c r="WOZ121" s="199"/>
      <c r="WPA121" s="198"/>
      <c r="WPB121" s="199"/>
      <c r="WPC121" s="198"/>
      <c r="WPD121" s="199"/>
      <c r="WPE121" s="198"/>
      <c r="WPF121" s="199"/>
      <c r="WPG121" s="198"/>
      <c r="WPH121" s="199"/>
      <c r="WPI121" s="198"/>
      <c r="WPJ121" s="199"/>
      <c r="WPK121" s="198"/>
      <c r="WPL121" s="199"/>
      <c r="WPM121" s="198"/>
      <c r="WPN121" s="199"/>
      <c r="WPO121" s="198"/>
      <c r="WPP121" s="199"/>
      <c r="WPQ121" s="198"/>
      <c r="WPR121" s="199"/>
      <c r="WPS121" s="198"/>
      <c r="WPT121" s="199"/>
      <c r="WPU121" s="198"/>
      <c r="WPV121" s="199"/>
      <c r="WPW121" s="198"/>
      <c r="WPX121" s="199"/>
      <c r="WPY121" s="198"/>
      <c r="WPZ121" s="199"/>
      <c r="WQA121" s="198"/>
      <c r="WQB121" s="199"/>
      <c r="WQC121" s="198"/>
      <c r="WQD121" s="199"/>
      <c r="WQE121" s="198"/>
      <c r="WQF121" s="199"/>
      <c r="WQG121" s="198"/>
      <c r="WQH121" s="199"/>
      <c r="WQI121" s="198"/>
      <c r="WQJ121" s="199"/>
      <c r="WQK121" s="198"/>
      <c r="WQL121" s="199"/>
      <c r="WQM121" s="198"/>
      <c r="WQN121" s="199"/>
      <c r="WQO121" s="198"/>
      <c r="WQP121" s="199"/>
      <c r="WQQ121" s="198"/>
      <c r="WQR121" s="199"/>
      <c r="WQS121" s="198"/>
      <c r="WQT121" s="199"/>
      <c r="WQU121" s="198"/>
      <c r="WQV121" s="199"/>
      <c r="WQW121" s="198"/>
      <c r="WQX121" s="199"/>
      <c r="WQY121" s="198"/>
      <c r="WQZ121" s="199"/>
      <c r="WRA121" s="198"/>
      <c r="WRB121" s="199"/>
      <c r="WRC121" s="198"/>
      <c r="WRD121" s="199"/>
      <c r="WRE121" s="198"/>
      <c r="WRF121" s="199"/>
      <c r="WRG121" s="198"/>
      <c r="WRH121" s="199"/>
      <c r="WRI121" s="198"/>
      <c r="WRJ121" s="199"/>
      <c r="WRK121" s="198"/>
      <c r="WRL121" s="199"/>
      <c r="WRM121" s="198"/>
      <c r="WRN121" s="199"/>
      <c r="WRO121" s="198"/>
      <c r="WRP121" s="199"/>
      <c r="WRQ121" s="198"/>
      <c r="WRR121" s="199"/>
      <c r="WRS121" s="198"/>
      <c r="WRT121" s="199"/>
      <c r="WRU121" s="198"/>
      <c r="WRV121" s="199"/>
      <c r="WRW121" s="198"/>
      <c r="WRX121" s="199"/>
      <c r="WRY121" s="198"/>
      <c r="WRZ121" s="199"/>
      <c r="WSA121" s="198"/>
      <c r="WSB121" s="199"/>
      <c r="WSC121" s="198"/>
      <c r="WSD121" s="199"/>
      <c r="WSE121" s="198"/>
      <c r="WSF121" s="199"/>
      <c r="WSG121" s="198"/>
      <c r="WSH121" s="199"/>
      <c r="WSI121" s="198"/>
      <c r="WSJ121" s="199"/>
      <c r="WSK121" s="198"/>
      <c r="WSL121" s="199"/>
      <c r="WSM121" s="198"/>
      <c r="WSN121" s="199"/>
      <c r="WSO121" s="198"/>
      <c r="WSP121" s="199"/>
      <c r="WSQ121" s="198"/>
      <c r="WSR121" s="199"/>
      <c r="WSS121" s="198"/>
      <c r="WST121" s="199"/>
      <c r="WSU121" s="198"/>
      <c r="WSV121" s="199"/>
      <c r="WSW121" s="198"/>
      <c r="WSX121" s="199"/>
      <c r="WSY121" s="198"/>
      <c r="WSZ121" s="199"/>
      <c r="WTA121" s="198"/>
      <c r="WTB121" s="199"/>
      <c r="WTC121" s="198"/>
      <c r="WTD121" s="199"/>
      <c r="WTE121" s="198"/>
      <c r="WTF121" s="199"/>
      <c r="WTG121" s="198"/>
      <c r="WTH121" s="199"/>
      <c r="WTI121" s="198"/>
      <c r="WTJ121" s="199"/>
      <c r="WTK121" s="198"/>
      <c r="WTL121" s="199"/>
      <c r="WTM121" s="198"/>
      <c r="WTN121" s="199"/>
      <c r="WTO121" s="198"/>
      <c r="WTP121" s="199"/>
      <c r="WTQ121" s="198"/>
      <c r="WTR121" s="199"/>
      <c r="WTS121" s="198"/>
      <c r="WTT121" s="199"/>
      <c r="WTU121" s="198"/>
      <c r="WTV121" s="199"/>
      <c r="WTW121" s="198"/>
      <c r="WTX121" s="199"/>
      <c r="WTY121" s="198"/>
      <c r="WTZ121" s="199"/>
      <c r="WUA121" s="198"/>
      <c r="WUB121" s="199"/>
      <c r="WUC121" s="198"/>
      <c r="WUD121" s="199"/>
      <c r="WUE121" s="198"/>
      <c r="WUF121" s="199"/>
      <c r="WUG121" s="198"/>
      <c r="WUH121" s="199"/>
      <c r="WUI121" s="198"/>
      <c r="WUJ121" s="199"/>
      <c r="WUK121" s="198"/>
      <c r="WUL121" s="199"/>
      <c r="WUM121" s="198"/>
      <c r="WUN121" s="199"/>
      <c r="WUO121" s="198"/>
      <c r="WUP121" s="199"/>
      <c r="WUQ121" s="198"/>
      <c r="WUR121" s="199"/>
      <c r="WUS121" s="198"/>
      <c r="WUT121" s="199"/>
      <c r="WUU121" s="198"/>
      <c r="WUV121" s="199"/>
      <c r="WUW121" s="198"/>
      <c r="WUX121" s="199"/>
      <c r="WUY121" s="198"/>
      <c r="WUZ121" s="199"/>
      <c r="WVA121" s="198"/>
      <c r="WVB121" s="199"/>
      <c r="WVC121" s="198"/>
      <c r="WVD121" s="199"/>
      <c r="WVE121" s="198"/>
      <c r="WVF121" s="199"/>
      <c r="WVG121" s="198"/>
      <c r="WVH121" s="199"/>
      <c r="WVI121" s="198"/>
      <c r="WVJ121" s="199"/>
      <c r="WVK121" s="198"/>
      <c r="WVL121" s="199"/>
      <c r="WVM121" s="198"/>
      <c r="WVN121" s="199"/>
      <c r="WVO121" s="198"/>
      <c r="WVP121" s="199"/>
      <c r="WVQ121" s="198"/>
      <c r="WVR121" s="199"/>
      <c r="WVS121" s="198"/>
      <c r="WVT121" s="199"/>
      <c r="WVU121" s="198"/>
      <c r="WVV121" s="199"/>
      <c r="WVW121" s="198"/>
      <c r="WVX121" s="199"/>
      <c r="WVY121" s="198"/>
      <c r="WVZ121" s="199"/>
      <c r="WWA121" s="198"/>
      <c r="WWB121" s="199"/>
      <c r="WWC121" s="198"/>
      <c r="WWD121" s="199"/>
      <c r="WWE121" s="198"/>
      <c r="WWF121" s="199"/>
      <c r="WWG121" s="198"/>
      <c r="WWH121" s="199"/>
      <c r="WWI121" s="198"/>
      <c r="WWJ121" s="199"/>
      <c r="WWK121" s="198"/>
      <c r="WWL121" s="199"/>
      <c r="WWM121" s="198"/>
      <c r="WWN121" s="199"/>
      <c r="WWO121" s="198"/>
      <c r="WWP121" s="199"/>
      <c r="WWQ121" s="198"/>
      <c r="WWR121" s="199"/>
      <c r="WWS121" s="198"/>
      <c r="WWT121" s="199"/>
      <c r="WWU121" s="198"/>
      <c r="WWV121" s="199"/>
      <c r="WWW121" s="198"/>
      <c r="WWX121" s="199"/>
      <c r="WWY121" s="198"/>
      <c r="WWZ121" s="199"/>
      <c r="WXA121" s="198"/>
      <c r="WXB121" s="199"/>
      <c r="WXC121" s="198"/>
      <c r="WXD121" s="199"/>
      <c r="WXE121" s="198"/>
      <c r="WXF121" s="199"/>
      <c r="WXG121" s="198"/>
      <c r="WXH121" s="199"/>
      <c r="WXI121" s="198"/>
      <c r="WXJ121" s="199"/>
      <c r="WXK121" s="198"/>
      <c r="WXL121" s="199"/>
      <c r="WXM121" s="198"/>
      <c r="WXN121" s="199"/>
      <c r="WXO121" s="198"/>
      <c r="WXP121" s="199"/>
      <c r="WXQ121" s="198"/>
      <c r="WXR121" s="199"/>
      <c r="WXS121" s="198"/>
      <c r="WXT121" s="199"/>
      <c r="WXU121" s="198"/>
      <c r="WXV121" s="199"/>
      <c r="WXW121" s="198"/>
      <c r="WXX121" s="199"/>
      <c r="WXY121" s="198"/>
      <c r="WXZ121" s="199"/>
      <c r="WYA121" s="198"/>
      <c r="WYB121" s="199"/>
      <c r="WYC121" s="198"/>
      <c r="WYD121" s="199"/>
      <c r="WYE121" s="198"/>
      <c r="WYF121" s="199"/>
      <c r="WYG121" s="198"/>
      <c r="WYH121" s="199"/>
      <c r="WYI121" s="198"/>
      <c r="WYJ121" s="199"/>
      <c r="WYK121" s="198"/>
      <c r="WYL121" s="199"/>
      <c r="WYM121" s="198"/>
      <c r="WYN121" s="199"/>
      <c r="WYO121" s="198"/>
      <c r="WYP121" s="199"/>
      <c r="WYQ121" s="198"/>
      <c r="WYR121" s="199"/>
      <c r="WYS121" s="198"/>
      <c r="WYT121" s="199"/>
      <c r="WYU121" s="198"/>
      <c r="WYV121" s="199"/>
      <c r="WYW121" s="198"/>
      <c r="WYX121" s="199"/>
      <c r="WYY121" s="198"/>
      <c r="WYZ121" s="199"/>
      <c r="WZA121" s="198"/>
      <c r="WZB121" s="199"/>
      <c r="WZC121" s="198"/>
      <c r="WZD121" s="199"/>
      <c r="WZE121" s="198"/>
      <c r="WZF121" s="199"/>
      <c r="WZG121" s="198"/>
      <c r="WZH121" s="199"/>
      <c r="WZI121" s="198"/>
      <c r="WZJ121" s="199"/>
      <c r="WZK121" s="198"/>
      <c r="WZL121" s="199"/>
      <c r="WZM121" s="198"/>
      <c r="WZN121" s="199"/>
      <c r="WZO121" s="198"/>
      <c r="WZP121" s="199"/>
      <c r="WZQ121" s="198"/>
      <c r="WZR121" s="199"/>
      <c r="WZS121" s="198"/>
      <c r="WZT121" s="199"/>
      <c r="WZU121" s="198"/>
      <c r="WZV121" s="199"/>
      <c r="WZW121" s="198"/>
      <c r="WZX121" s="199"/>
      <c r="WZY121" s="198"/>
      <c r="WZZ121" s="199"/>
      <c r="XAA121" s="198"/>
      <c r="XAB121" s="199"/>
      <c r="XAC121" s="198"/>
      <c r="XAD121" s="199"/>
      <c r="XAE121" s="198"/>
      <c r="XAF121" s="199"/>
      <c r="XAG121" s="198"/>
      <c r="XAH121" s="199"/>
      <c r="XAI121" s="198"/>
      <c r="XAJ121" s="199"/>
      <c r="XAK121" s="198"/>
      <c r="XAL121" s="199"/>
      <c r="XAM121" s="198"/>
      <c r="XAN121" s="199"/>
      <c r="XAO121" s="198"/>
      <c r="XAP121" s="199"/>
      <c r="XAQ121" s="198"/>
      <c r="XAR121" s="199"/>
      <c r="XAS121" s="198"/>
      <c r="XAT121" s="199"/>
      <c r="XAU121" s="198"/>
      <c r="XAV121" s="199"/>
      <c r="XAW121" s="198"/>
      <c r="XAX121" s="199"/>
      <c r="XAY121" s="198"/>
      <c r="XAZ121" s="199"/>
      <c r="XBA121" s="198"/>
      <c r="XBB121" s="199"/>
      <c r="XBC121" s="198"/>
      <c r="XBD121" s="199"/>
      <c r="XBE121" s="198"/>
      <c r="XBF121" s="199"/>
      <c r="XBG121" s="198"/>
      <c r="XBH121" s="199"/>
      <c r="XBI121" s="198"/>
      <c r="XBJ121" s="199"/>
      <c r="XBK121" s="198"/>
      <c r="XBL121" s="199"/>
      <c r="XBM121" s="198"/>
      <c r="XBN121" s="199"/>
      <c r="XBO121" s="198"/>
      <c r="XBP121" s="199"/>
      <c r="XBQ121" s="198"/>
      <c r="XBR121" s="199"/>
      <c r="XBS121" s="198"/>
      <c r="XBT121" s="199"/>
      <c r="XBU121" s="198"/>
      <c r="XBV121" s="199"/>
      <c r="XBW121" s="198"/>
      <c r="XBX121" s="199"/>
      <c r="XBY121" s="198"/>
      <c r="XBZ121" s="199"/>
      <c r="XCA121" s="198"/>
      <c r="XCB121" s="199"/>
      <c r="XCC121" s="198"/>
      <c r="XCD121" s="199"/>
      <c r="XCE121" s="198"/>
      <c r="XCF121" s="199"/>
      <c r="XCG121" s="198"/>
      <c r="XCH121" s="199"/>
      <c r="XCI121" s="198"/>
      <c r="XCJ121" s="199"/>
      <c r="XCK121" s="198"/>
      <c r="XCL121" s="199"/>
      <c r="XCM121" s="198"/>
      <c r="XCN121" s="199"/>
      <c r="XCO121" s="198"/>
      <c r="XCP121" s="199"/>
      <c r="XCQ121" s="198"/>
      <c r="XCR121" s="199"/>
      <c r="XCS121" s="198"/>
      <c r="XCT121" s="199"/>
      <c r="XCU121" s="198"/>
      <c r="XCV121" s="199"/>
      <c r="XCW121" s="198"/>
      <c r="XCX121" s="199"/>
      <c r="XCY121" s="198"/>
      <c r="XCZ121" s="199"/>
      <c r="XDA121" s="198"/>
      <c r="XDB121" s="199"/>
      <c r="XDC121" s="198"/>
      <c r="XDD121" s="199"/>
      <c r="XDE121" s="198"/>
      <c r="XDF121" s="199"/>
      <c r="XDG121" s="198"/>
      <c r="XDH121" s="199"/>
      <c r="XDI121" s="198"/>
      <c r="XDJ121" s="199"/>
      <c r="XDK121" s="198"/>
      <c r="XDL121" s="199"/>
      <c r="XDM121" s="198"/>
      <c r="XDN121" s="199"/>
      <c r="XDO121" s="198"/>
      <c r="XDP121" s="199"/>
      <c r="XDQ121" s="198"/>
      <c r="XDR121" s="199"/>
      <c r="XDS121" s="198"/>
      <c r="XDT121" s="199"/>
      <c r="XDU121" s="198"/>
      <c r="XDV121" s="199"/>
      <c r="XDW121" s="198"/>
      <c r="XDX121" s="199"/>
      <c r="XDY121" s="198"/>
      <c r="XDZ121" s="199"/>
      <c r="XEA121" s="198"/>
      <c r="XEB121" s="199"/>
      <c r="XEC121" s="198"/>
      <c r="XED121" s="199"/>
      <c r="XEE121" s="198"/>
      <c r="XEF121" s="199"/>
      <c r="XEG121" s="198"/>
      <c r="XEH121" s="199"/>
      <c r="XEI121" s="198"/>
      <c r="XEJ121" s="199"/>
      <c r="XEK121" s="198"/>
      <c r="XEL121" s="199"/>
      <c r="XEM121" s="198"/>
      <c r="XEN121" s="199"/>
      <c r="XEO121" s="198"/>
      <c r="XEP121" s="199"/>
      <c r="XEQ121" s="198"/>
      <c r="XER121" s="199"/>
      <c r="XES121" s="198"/>
      <c r="XET121" s="199"/>
      <c r="XEU121" s="198"/>
      <c r="XEV121" s="199"/>
      <c r="XEW121" s="198"/>
      <c r="XEX121" s="199"/>
      <c r="XEY121" s="198"/>
      <c r="XEZ121" s="199"/>
      <c r="XFA121" s="198"/>
      <c r="XFB121" s="199"/>
      <c r="XFC121" s="198"/>
      <c r="XFD121" s="199"/>
    </row>
    <row r="122" spans="1:16384" s="112" customFormat="1" ht="95.1" customHeight="1">
      <c r="A122" s="115"/>
      <c r="B122" s="115"/>
      <c r="C122" s="116"/>
      <c r="D122" s="115"/>
      <c r="E122" s="116"/>
      <c r="F122" s="115"/>
      <c r="G122" s="116"/>
      <c r="H122" s="116"/>
      <c r="I122" s="117"/>
      <c r="J122" s="117"/>
      <c r="K122" s="116"/>
      <c r="L122" s="116"/>
      <c r="M122" s="116"/>
      <c r="N122" s="116"/>
      <c r="O122" s="116"/>
      <c r="P122" s="116"/>
      <c r="Q122" s="116"/>
      <c r="R122" s="116"/>
      <c r="S122" s="116"/>
      <c r="T122" s="116"/>
      <c r="U122" s="116"/>
      <c r="V122" s="116"/>
      <c r="W122" s="116"/>
      <c r="X122" s="116"/>
      <c r="Y122" s="116"/>
      <c r="Z122" s="116"/>
      <c r="AA122" s="118"/>
      <c r="AB122" s="115"/>
      <c r="AC122" s="198"/>
      <c r="AD122" s="199"/>
      <c r="AE122" s="198"/>
      <c r="AF122" s="199"/>
      <c r="AG122" s="198"/>
      <c r="AH122" s="199"/>
      <c r="AI122" s="198"/>
      <c r="AJ122" s="199"/>
      <c r="AK122" s="198"/>
      <c r="AL122" s="199"/>
      <c r="AM122" s="198"/>
      <c r="AN122" s="199"/>
      <c r="AO122" s="198"/>
      <c r="AP122" s="199"/>
      <c r="AQ122" s="198"/>
      <c r="AR122" s="199"/>
      <c r="AS122" s="198"/>
      <c r="AT122" s="199"/>
      <c r="AU122" s="198"/>
      <c r="AV122" s="199"/>
      <c r="AW122" s="198"/>
      <c r="AX122" s="199"/>
      <c r="AY122" s="198"/>
      <c r="AZ122" s="199"/>
      <c r="BA122" s="198"/>
      <c r="BB122" s="199"/>
      <c r="BC122" s="198"/>
      <c r="BD122" s="199"/>
      <c r="BE122" s="198"/>
      <c r="BF122" s="199"/>
      <c r="BG122" s="198"/>
      <c r="BH122" s="199"/>
      <c r="BI122" s="198"/>
      <c r="BJ122" s="199"/>
      <c r="BK122" s="198"/>
      <c r="BL122" s="199"/>
      <c r="BM122" s="198"/>
      <c r="BN122" s="199"/>
      <c r="BO122" s="198"/>
      <c r="BP122" s="199"/>
      <c r="BQ122" s="198"/>
      <c r="BR122" s="199"/>
      <c r="BS122" s="198"/>
      <c r="BT122" s="199"/>
      <c r="BU122" s="198"/>
      <c r="BV122" s="199"/>
      <c r="BW122" s="198"/>
      <c r="BX122" s="199"/>
      <c r="BY122" s="198"/>
      <c r="BZ122" s="199"/>
      <c r="CA122" s="198"/>
      <c r="CB122" s="199"/>
      <c r="CC122" s="198"/>
      <c r="CD122" s="199"/>
      <c r="CE122" s="198"/>
      <c r="CF122" s="199"/>
      <c r="CG122" s="198"/>
      <c r="CH122" s="199"/>
      <c r="CI122" s="198"/>
      <c r="CJ122" s="199"/>
      <c r="CK122" s="198"/>
      <c r="CL122" s="199"/>
      <c r="CM122" s="198"/>
      <c r="CN122" s="199"/>
      <c r="CO122" s="198"/>
      <c r="CP122" s="199"/>
      <c r="CQ122" s="198"/>
      <c r="CR122" s="199"/>
      <c r="CS122" s="198"/>
      <c r="CT122" s="199"/>
      <c r="CU122" s="198"/>
      <c r="CV122" s="199"/>
      <c r="CW122" s="198"/>
      <c r="CX122" s="199"/>
      <c r="CY122" s="198"/>
      <c r="CZ122" s="199"/>
      <c r="DA122" s="198"/>
      <c r="DB122" s="199"/>
      <c r="DC122" s="198"/>
      <c r="DD122" s="199"/>
      <c r="DE122" s="198"/>
      <c r="DF122" s="199"/>
      <c r="DG122" s="198"/>
      <c r="DH122" s="199"/>
      <c r="DI122" s="198"/>
      <c r="DJ122" s="199"/>
      <c r="DK122" s="198"/>
      <c r="DL122" s="199"/>
      <c r="DM122" s="198"/>
      <c r="DN122" s="199"/>
      <c r="DO122" s="198"/>
      <c r="DP122" s="199"/>
      <c r="DQ122" s="198"/>
      <c r="DR122" s="199"/>
      <c r="DS122" s="198"/>
      <c r="DT122" s="199"/>
      <c r="DU122" s="198"/>
      <c r="DV122" s="199"/>
      <c r="DW122" s="198"/>
      <c r="DX122" s="199"/>
      <c r="DY122" s="198"/>
      <c r="DZ122" s="199"/>
      <c r="EA122" s="198"/>
      <c r="EB122" s="199"/>
      <c r="EC122" s="198"/>
      <c r="ED122" s="199"/>
      <c r="EE122" s="198"/>
      <c r="EF122" s="199"/>
      <c r="EG122" s="198"/>
      <c r="EH122" s="199"/>
      <c r="EI122" s="198"/>
      <c r="EJ122" s="199"/>
      <c r="EK122" s="198"/>
      <c r="EL122" s="199"/>
      <c r="EM122" s="198"/>
      <c r="EN122" s="199"/>
      <c r="EO122" s="198"/>
      <c r="EP122" s="199"/>
      <c r="EQ122" s="198"/>
      <c r="ER122" s="199"/>
      <c r="ES122" s="198"/>
      <c r="ET122" s="199"/>
      <c r="EU122" s="198"/>
      <c r="EV122" s="199"/>
      <c r="EW122" s="198"/>
      <c r="EX122" s="199"/>
      <c r="EY122" s="198"/>
      <c r="EZ122" s="199"/>
      <c r="FA122" s="198"/>
      <c r="FB122" s="199"/>
      <c r="FC122" s="198"/>
      <c r="FD122" s="199"/>
      <c r="FE122" s="198"/>
      <c r="FF122" s="199"/>
      <c r="FG122" s="198"/>
      <c r="FH122" s="199"/>
      <c r="FI122" s="198"/>
      <c r="FJ122" s="199"/>
      <c r="FK122" s="198"/>
      <c r="FL122" s="199"/>
      <c r="FM122" s="198"/>
      <c r="FN122" s="199"/>
      <c r="FO122" s="198"/>
      <c r="FP122" s="199"/>
      <c r="FQ122" s="198"/>
      <c r="FR122" s="199"/>
      <c r="FS122" s="198"/>
      <c r="FT122" s="199"/>
      <c r="FU122" s="198"/>
      <c r="FV122" s="199"/>
      <c r="FW122" s="198"/>
      <c r="FX122" s="199"/>
      <c r="FY122" s="198"/>
      <c r="FZ122" s="199"/>
      <c r="GA122" s="198"/>
      <c r="GB122" s="199"/>
      <c r="GC122" s="198"/>
      <c r="GD122" s="199"/>
      <c r="GE122" s="198"/>
      <c r="GF122" s="199"/>
      <c r="GG122" s="198"/>
      <c r="GH122" s="199"/>
      <c r="GI122" s="198"/>
      <c r="GJ122" s="199"/>
      <c r="GK122" s="198"/>
      <c r="GL122" s="199"/>
      <c r="GM122" s="198"/>
      <c r="GN122" s="199"/>
      <c r="GO122" s="198"/>
      <c r="GP122" s="199"/>
      <c r="GQ122" s="198"/>
      <c r="GR122" s="199"/>
      <c r="GS122" s="198"/>
      <c r="GT122" s="199"/>
      <c r="GU122" s="198"/>
      <c r="GV122" s="199"/>
      <c r="GW122" s="198"/>
      <c r="GX122" s="199"/>
      <c r="GY122" s="198"/>
      <c r="GZ122" s="199"/>
      <c r="HA122" s="198"/>
      <c r="HB122" s="199"/>
      <c r="HC122" s="198"/>
      <c r="HD122" s="199"/>
      <c r="HE122" s="198"/>
      <c r="HF122" s="199"/>
      <c r="HG122" s="198"/>
      <c r="HH122" s="199"/>
      <c r="HI122" s="198"/>
      <c r="HJ122" s="199"/>
      <c r="HK122" s="198"/>
      <c r="HL122" s="199"/>
      <c r="HM122" s="198"/>
      <c r="HN122" s="199"/>
      <c r="HO122" s="198"/>
      <c r="HP122" s="199"/>
      <c r="HQ122" s="198"/>
      <c r="HR122" s="199"/>
      <c r="HS122" s="198"/>
      <c r="HT122" s="199"/>
      <c r="HU122" s="198"/>
      <c r="HV122" s="199"/>
      <c r="HW122" s="198"/>
      <c r="HX122" s="199"/>
      <c r="HY122" s="198"/>
      <c r="HZ122" s="199"/>
      <c r="IA122" s="198"/>
      <c r="IB122" s="199"/>
      <c r="IC122" s="198"/>
      <c r="ID122" s="199"/>
      <c r="IE122" s="198"/>
      <c r="IF122" s="199"/>
      <c r="IG122" s="198"/>
      <c r="IH122" s="199"/>
      <c r="II122" s="198"/>
      <c r="IJ122" s="199"/>
      <c r="IK122" s="198"/>
      <c r="IL122" s="199"/>
      <c r="IM122" s="198"/>
      <c r="IN122" s="199"/>
      <c r="IO122" s="198"/>
      <c r="IP122" s="199"/>
      <c r="IQ122" s="198"/>
      <c r="IR122" s="199"/>
      <c r="IS122" s="198"/>
      <c r="IT122" s="199"/>
      <c r="IU122" s="198"/>
      <c r="IV122" s="199"/>
      <c r="IW122" s="198"/>
      <c r="IX122" s="199"/>
      <c r="IY122" s="198"/>
      <c r="IZ122" s="199"/>
      <c r="JA122" s="198"/>
      <c r="JB122" s="199"/>
      <c r="JC122" s="198"/>
      <c r="JD122" s="199"/>
      <c r="JE122" s="198"/>
      <c r="JF122" s="199"/>
      <c r="JG122" s="198"/>
      <c r="JH122" s="199"/>
      <c r="JI122" s="198"/>
      <c r="JJ122" s="199"/>
      <c r="JK122" s="198"/>
      <c r="JL122" s="199"/>
      <c r="JM122" s="198"/>
      <c r="JN122" s="199"/>
      <c r="JO122" s="198"/>
      <c r="JP122" s="199"/>
      <c r="JQ122" s="198"/>
      <c r="JR122" s="199"/>
      <c r="JS122" s="198"/>
      <c r="JT122" s="199"/>
      <c r="JU122" s="198"/>
      <c r="JV122" s="199"/>
      <c r="JW122" s="198"/>
      <c r="JX122" s="199"/>
      <c r="JY122" s="198"/>
      <c r="JZ122" s="199"/>
      <c r="KA122" s="198"/>
      <c r="KB122" s="199"/>
      <c r="KC122" s="198"/>
      <c r="KD122" s="199"/>
      <c r="KE122" s="198"/>
      <c r="KF122" s="199"/>
      <c r="KG122" s="198"/>
      <c r="KH122" s="199"/>
      <c r="KI122" s="198"/>
      <c r="KJ122" s="199"/>
      <c r="KK122" s="198"/>
      <c r="KL122" s="199"/>
      <c r="KM122" s="198"/>
      <c r="KN122" s="199"/>
      <c r="KO122" s="198"/>
      <c r="KP122" s="199"/>
      <c r="KQ122" s="198"/>
      <c r="KR122" s="199"/>
      <c r="KS122" s="198"/>
      <c r="KT122" s="199"/>
      <c r="KU122" s="198"/>
      <c r="KV122" s="199"/>
      <c r="KW122" s="198"/>
      <c r="KX122" s="199"/>
      <c r="KY122" s="198"/>
      <c r="KZ122" s="199"/>
      <c r="LA122" s="198"/>
      <c r="LB122" s="199"/>
      <c r="LC122" s="198"/>
      <c r="LD122" s="199"/>
      <c r="LE122" s="198"/>
      <c r="LF122" s="199"/>
      <c r="LG122" s="198"/>
      <c r="LH122" s="199"/>
      <c r="LI122" s="198"/>
      <c r="LJ122" s="199"/>
      <c r="LK122" s="198"/>
      <c r="LL122" s="199"/>
      <c r="LM122" s="198"/>
      <c r="LN122" s="199"/>
      <c r="LO122" s="198"/>
      <c r="LP122" s="199"/>
      <c r="LQ122" s="198"/>
      <c r="LR122" s="199"/>
      <c r="LS122" s="198"/>
      <c r="LT122" s="199"/>
      <c r="LU122" s="198"/>
      <c r="LV122" s="199"/>
      <c r="LW122" s="198"/>
      <c r="LX122" s="199"/>
      <c r="LY122" s="198"/>
      <c r="LZ122" s="199"/>
      <c r="MA122" s="198"/>
      <c r="MB122" s="199"/>
      <c r="MC122" s="198"/>
      <c r="MD122" s="199"/>
      <c r="ME122" s="198"/>
      <c r="MF122" s="199"/>
      <c r="MG122" s="198"/>
      <c r="MH122" s="199"/>
      <c r="MI122" s="198"/>
      <c r="MJ122" s="199"/>
      <c r="MK122" s="198"/>
      <c r="ML122" s="199"/>
      <c r="MM122" s="198"/>
      <c r="MN122" s="199"/>
      <c r="MO122" s="198"/>
      <c r="MP122" s="199"/>
      <c r="MQ122" s="198"/>
      <c r="MR122" s="199"/>
      <c r="MS122" s="198"/>
      <c r="MT122" s="199"/>
      <c r="MU122" s="198"/>
      <c r="MV122" s="199"/>
      <c r="MW122" s="198"/>
      <c r="MX122" s="199"/>
      <c r="MY122" s="198"/>
      <c r="MZ122" s="199"/>
      <c r="NA122" s="198"/>
      <c r="NB122" s="199"/>
      <c r="NC122" s="198"/>
      <c r="ND122" s="199"/>
      <c r="NE122" s="198"/>
      <c r="NF122" s="199"/>
      <c r="NG122" s="198"/>
      <c r="NH122" s="199"/>
      <c r="NI122" s="198"/>
      <c r="NJ122" s="199"/>
      <c r="NK122" s="198"/>
      <c r="NL122" s="199"/>
      <c r="NM122" s="198"/>
      <c r="NN122" s="199"/>
      <c r="NO122" s="198"/>
      <c r="NP122" s="199"/>
      <c r="NQ122" s="198"/>
      <c r="NR122" s="199"/>
      <c r="NS122" s="198"/>
      <c r="NT122" s="199"/>
      <c r="NU122" s="198"/>
      <c r="NV122" s="199"/>
      <c r="NW122" s="198"/>
      <c r="NX122" s="199"/>
      <c r="NY122" s="198"/>
      <c r="NZ122" s="199"/>
      <c r="OA122" s="198"/>
      <c r="OB122" s="199"/>
      <c r="OC122" s="198"/>
      <c r="OD122" s="199"/>
      <c r="OE122" s="198"/>
      <c r="OF122" s="199"/>
      <c r="OG122" s="198"/>
      <c r="OH122" s="199"/>
      <c r="OI122" s="198"/>
      <c r="OJ122" s="199"/>
      <c r="OK122" s="198"/>
      <c r="OL122" s="199"/>
      <c r="OM122" s="198"/>
      <c r="ON122" s="199"/>
      <c r="OO122" s="198"/>
      <c r="OP122" s="199"/>
      <c r="OQ122" s="198"/>
      <c r="OR122" s="199"/>
      <c r="OS122" s="198"/>
      <c r="OT122" s="199"/>
      <c r="OU122" s="198"/>
      <c r="OV122" s="199"/>
      <c r="OW122" s="198"/>
      <c r="OX122" s="199"/>
      <c r="OY122" s="198"/>
      <c r="OZ122" s="199"/>
      <c r="PA122" s="198"/>
      <c r="PB122" s="199"/>
      <c r="PC122" s="198"/>
      <c r="PD122" s="199"/>
      <c r="PE122" s="198"/>
      <c r="PF122" s="199"/>
      <c r="PG122" s="198"/>
      <c r="PH122" s="199"/>
      <c r="PI122" s="198"/>
      <c r="PJ122" s="199"/>
      <c r="PK122" s="198"/>
      <c r="PL122" s="199"/>
      <c r="PM122" s="198"/>
      <c r="PN122" s="199"/>
      <c r="PO122" s="198"/>
      <c r="PP122" s="199"/>
      <c r="PQ122" s="198"/>
      <c r="PR122" s="199"/>
      <c r="PS122" s="198"/>
      <c r="PT122" s="199"/>
      <c r="PU122" s="198"/>
      <c r="PV122" s="199"/>
      <c r="PW122" s="198"/>
      <c r="PX122" s="199"/>
      <c r="PY122" s="198"/>
      <c r="PZ122" s="199"/>
      <c r="QA122" s="198"/>
      <c r="QB122" s="199"/>
      <c r="QC122" s="198"/>
      <c r="QD122" s="199"/>
      <c r="QE122" s="198"/>
      <c r="QF122" s="199"/>
      <c r="QG122" s="198"/>
      <c r="QH122" s="199"/>
      <c r="QI122" s="198"/>
      <c r="QJ122" s="199"/>
      <c r="QK122" s="198"/>
      <c r="QL122" s="199"/>
      <c r="QM122" s="198"/>
      <c r="QN122" s="199"/>
      <c r="QO122" s="198"/>
      <c r="QP122" s="199"/>
      <c r="QQ122" s="198"/>
      <c r="QR122" s="199"/>
      <c r="QS122" s="198"/>
      <c r="QT122" s="199"/>
      <c r="QU122" s="198"/>
      <c r="QV122" s="199"/>
      <c r="QW122" s="198"/>
      <c r="QX122" s="199"/>
      <c r="QY122" s="198"/>
      <c r="QZ122" s="199"/>
      <c r="RA122" s="198"/>
      <c r="RB122" s="199"/>
      <c r="RC122" s="198"/>
      <c r="RD122" s="199"/>
      <c r="RE122" s="198"/>
      <c r="RF122" s="199"/>
      <c r="RG122" s="198"/>
      <c r="RH122" s="199"/>
      <c r="RI122" s="198"/>
      <c r="RJ122" s="199"/>
      <c r="RK122" s="198"/>
      <c r="RL122" s="199"/>
      <c r="RM122" s="198"/>
      <c r="RN122" s="199"/>
      <c r="RO122" s="198"/>
      <c r="RP122" s="199"/>
      <c r="RQ122" s="198"/>
      <c r="RR122" s="199"/>
      <c r="RS122" s="198"/>
      <c r="RT122" s="199"/>
      <c r="RU122" s="198"/>
      <c r="RV122" s="199"/>
      <c r="RW122" s="198"/>
      <c r="RX122" s="199"/>
      <c r="RY122" s="198"/>
      <c r="RZ122" s="199"/>
      <c r="SA122" s="198"/>
      <c r="SB122" s="199"/>
      <c r="SC122" s="198"/>
      <c r="SD122" s="199"/>
      <c r="SE122" s="198"/>
      <c r="SF122" s="199"/>
      <c r="SG122" s="198"/>
      <c r="SH122" s="199"/>
      <c r="SI122" s="198"/>
      <c r="SJ122" s="199"/>
      <c r="SK122" s="198"/>
      <c r="SL122" s="199"/>
      <c r="SM122" s="198"/>
      <c r="SN122" s="199"/>
      <c r="SO122" s="198"/>
      <c r="SP122" s="199"/>
      <c r="SQ122" s="198"/>
      <c r="SR122" s="199"/>
      <c r="SS122" s="198"/>
      <c r="ST122" s="199"/>
      <c r="SU122" s="198"/>
      <c r="SV122" s="199"/>
      <c r="SW122" s="198"/>
      <c r="SX122" s="199"/>
      <c r="SY122" s="198"/>
      <c r="SZ122" s="199"/>
      <c r="TA122" s="198"/>
      <c r="TB122" s="199"/>
      <c r="TC122" s="198"/>
      <c r="TD122" s="199"/>
      <c r="TE122" s="198"/>
      <c r="TF122" s="199"/>
      <c r="TG122" s="198"/>
      <c r="TH122" s="199"/>
      <c r="TI122" s="198"/>
      <c r="TJ122" s="199"/>
      <c r="TK122" s="198"/>
      <c r="TL122" s="199"/>
      <c r="TM122" s="198"/>
      <c r="TN122" s="199"/>
      <c r="TO122" s="198"/>
      <c r="TP122" s="199"/>
      <c r="TQ122" s="198"/>
      <c r="TR122" s="199"/>
      <c r="TS122" s="198"/>
      <c r="TT122" s="199"/>
      <c r="TU122" s="198"/>
      <c r="TV122" s="199"/>
      <c r="TW122" s="198"/>
      <c r="TX122" s="199"/>
      <c r="TY122" s="198"/>
      <c r="TZ122" s="199"/>
      <c r="UA122" s="198"/>
      <c r="UB122" s="199"/>
      <c r="UC122" s="198"/>
      <c r="UD122" s="199"/>
      <c r="UE122" s="198"/>
      <c r="UF122" s="199"/>
      <c r="UG122" s="198"/>
      <c r="UH122" s="199"/>
      <c r="UI122" s="198"/>
      <c r="UJ122" s="199"/>
      <c r="UK122" s="198"/>
      <c r="UL122" s="199"/>
      <c r="UM122" s="198"/>
      <c r="UN122" s="199"/>
      <c r="UO122" s="198"/>
      <c r="UP122" s="199"/>
      <c r="UQ122" s="198"/>
      <c r="UR122" s="199"/>
      <c r="US122" s="198"/>
      <c r="UT122" s="199"/>
      <c r="UU122" s="198"/>
      <c r="UV122" s="199"/>
      <c r="UW122" s="198"/>
      <c r="UX122" s="199"/>
      <c r="UY122" s="198"/>
      <c r="UZ122" s="199"/>
      <c r="VA122" s="198"/>
      <c r="VB122" s="199"/>
      <c r="VC122" s="198"/>
      <c r="VD122" s="199"/>
      <c r="VE122" s="198"/>
      <c r="VF122" s="199"/>
      <c r="VG122" s="198"/>
      <c r="VH122" s="199"/>
      <c r="VI122" s="198"/>
      <c r="VJ122" s="199"/>
      <c r="VK122" s="198"/>
      <c r="VL122" s="199"/>
      <c r="VM122" s="198"/>
      <c r="VN122" s="199"/>
      <c r="VO122" s="198"/>
      <c r="VP122" s="199"/>
      <c r="VQ122" s="198"/>
      <c r="VR122" s="199"/>
      <c r="VS122" s="198"/>
      <c r="VT122" s="199"/>
      <c r="VU122" s="198"/>
      <c r="VV122" s="199"/>
      <c r="VW122" s="198"/>
      <c r="VX122" s="199"/>
      <c r="VY122" s="198"/>
      <c r="VZ122" s="199"/>
      <c r="WA122" s="198"/>
      <c r="WB122" s="199"/>
      <c r="WC122" s="198"/>
      <c r="WD122" s="199"/>
      <c r="WE122" s="198"/>
      <c r="WF122" s="199"/>
      <c r="WG122" s="198"/>
      <c r="WH122" s="199"/>
      <c r="WI122" s="198"/>
      <c r="WJ122" s="199"/>
      <c r="WK122" s="198"/>
      <c r="WL122" s="199"/>
      <c r="WM122" s="198"/>
      <c r="WN122" s="199"/>
      <c r="WO122" s="198"/>
      <c r="WP122" s="199"/>
      <c r="WQ122" s="198"/>
      <c r="WR122" s="199"/>
      <c r="WS122" s="198"/>
      <c r="WT122" s="199"/>
      <c r="WU122" s="198"/>
      <c r="WV122" s="199"/>
      <c r="WW122" s="198"/>
      <c r="WX122" s="199"/>
      <c r="WY122" s="198"/>
      <c r="WZ122" s="199"/>
      <c r="XA122" s="198"/>
      <c r="XB122" s="199"/>
      <c r="XC122" s="198"/>
      <c r="XD122" s="199"/>
      <c r="XE122" s="198"/>
      <c r="XF122" s="199"/>
      <c r="XG122" s="198"/>
      <c r="XH122" s="199"/>
      <c r="XI122" s="198"/>
      <c r="XJ122" s="199"/>
      <c r="XK122" s="198"/>
      <c r="XL122" s="199"/>
      <c r="XM122" s="198"/>
      <c r="XN122" s="199"/>
      <c r="XO122" s="198"/>
      <c r="XP122" s="199"/>
      <c r="XQ122" s="198"/>
      <c r="XR122" s="199"/>
      <c r="XS122" s="198"/>
      <c r="XT122" s="199"/>
      <c r="XU122" s="198"/>
      <c r="XV122" s="199"/>
      <c r="XW122" s="198"/>
      <c r="XX122" s="199"/>
      <c r="XY122" s="198"/>
      <c r="XZ122" s="199"/>
      <c r="YA122" s="198"/>
      <c r="YB122" s="199"/>
      <c r="YC122" s="198"/>
      <c r="YD122" s="199"/>
      <c r="YE122" s="198"/>
      <c r="YF122" s="199"/>
      <c r="YG122" s="198"/>
      <c r="YH122" s="199"/>
      <c r="YI122" s="198"/>
      <c r="YJ122" s="199"/>
      <c r="YK122" s="198"/>
      <c r="YL122" s="199"/>
      <c r="YM122" s="198"/>
      <c r="YN122" s="199"/>
      <c r="YO122" s="198"/>
      <c r="YP122" s="199"/>
      <c r="YQ122" s="198"/>
      <c r="YR122" s="199"/>
      <c r="YS122" s="198"/>
      <c r="YT122" s="199"/>
      <c r="YU122" s="198"/>
      <c r="YV122" s="199"/>
      <c r="YW122" s="198"/>
      <c r="YX122" s="199"/>
      <c r="YY122" s="198"/>
      <c r="YZ122" s="199"/>
      <c r="ZA122" s="198"/>
      <c r="ZB122" s="199"/>
      <c r="ZC122" s="198"/>
      <c r="ZD122" s="199"/>
      <c r="ZE122" s="198"/>
      <c r="ZF122" s="199"/>
      <c r="ZG122" s="198"/>
      <c r="ZH122" s="199"/>
      <c r="ZI122" s="198"/>
      <c r="ZJ122" s="199"/>
      <c r="ZK122" s="198"/>
      <c r="ZL122" s="199"/>
      <c r="ZM122" s="198"/>
      <c r="ZN122" s="199"/>
      <c r="ZO122" s="198"/>
      <c r="ZP122" s="199"/>
      <c r="ZQ122" s="198"/>
      <c r="ZR122" s="199"/>
      <c r="ZS122" s="198"/>
      <c r="ZT122" s="199"/>
      <c r="ZU122" s="198"/>
      <c r="ZV122" s="199"/>
      <c r="ZW122" s="198"/>
      <c r="ZX122" s="199"/>
      <c r="ZY122" s="198"/>
      <c r="ZZ122" s="199"/>
      <c r="AAA122" s="198"/>
      <c r="AAB122" s="199"/>
      <c r="AAC122" s="198"/>
      <c r="AAD122" s="199"/>
      <c r="AAE122" s="198"/>
      <c r="AAF122" s="199"/>
      <c r="AAG122" s="198"/>
      <c r="AAH122" s="199"/>
      <c r="AAI122" s="198"/>
      <c r="AAJ122" s="199"/>
      <c r="AAK122" s="198"/>
      <c r="AAL122" s="199"/>
      <c r="AAM122" s="198"/>
      <c r="AAN122" s="199"/>
      <c r="AAO122" s="198"/>
      <c r="AAP122" s="199"/>
      <c r="AAQ122" s="198"/>
      <c r="AAR122" s="199"/>
      <c r="AAS122" s="198"/>
      <c r="AAT122" s="199"/>
      <c r="AAU122" s="198"/>
      <c r="AAV122" s="199"/>
      <c r="AAW122" s="198"/>
      <c r="AAX122" s="199"/>
      <c r="AAY122" s="198"/>
      <c r="AAZ122" s="199"/>
      <c r="ABA122" s="198"/>
      <c r="ABB122" s="199"/>
      <c r="ABC122" s="198"/>
      <c r="ABD122" s="199"/>
      <c r="ABE122" s="198"/>
      <c r="ABF122" s="199"/>
      <c r="ABG122" s="198"/>
      <c r="ABH122" s="199"/>
      <c r="ABI122" s="198"/>
      <c r="ABJ122" s="199"/>
      <c r="ABK122" s="198"/>
      <c r="ABL122" s="199"/>
      <c r="ABM122" s="198"/>
      <c r="ABN122" s="199"/>
      <c r="ABO122" s="198"/>
      <c r="ABP122" s="199"/>
      <c r="ABQ122" s="198"/>
      <c r="ABR122" s="199"/>
      <c r="ABS122" s="198"/>
      <c r="ABT122" s="199"/>
      <c r="ABU122" s="198"/>
      <c r="ABV122" s="199"/>
      <c r="ABW122" s="198"/>
      <c r="ABX122" s="199"/>
      <c r="ABY122" s="198"/>
      <c r="ABZ122" s="199"/>
      <c r="ACA122" s="198"/>
      <c r="ACB122" s="199"/>
      <c r="ACC122" s="198"/>
      <c r="ACD122" s="199"/>
      <c r="ACE122" s="198"/>
      <c r="ACF122" s="199"/>
      <c r="ACG122" s="198"/>
      <c r="ACH122" s="199"/>
      <c r="ACI122" s="198"/>
      <c r="ACJ122" s="199"/>
      <c r="ACK122" s="198"/>
      <c r="ACL122" s="199"/>
      <c r="ACM122" s="198"/>
      <c r="ACN122" s="199"/>
      <c r="ACO122" s="198"/>
      <c r="ACP122" s="199"/>
      <c r="ACQ122" s="198"/>
      <c r="ACR122" s="199"/>
      <c r="ACS122" s="198"/>
      <c r="ACT122" s="199"/>
      <c r="ACU122" s="198"/>
      <c r="ACV122" s="199"/>
      <c r="ACW122" s="198"/>
      <c r="ACX122" s="199"/>
      <c r="ACY122" s="198"/>
      <c r="ACZ122" s="199"/>
      <c r="ADA122" s="198"/>
      <c r="ADB122" s="199"/>
      <c r="ADC122" s="198"/>
      <c r="ADD122" s="199"/>
      <c r="ADE122" s="198"/>
      <c r="ADF122" s="199"/>
      <c r="ADG122" s="198"/>
      <c r="ADH122" s="199"/>
      <c r="ADI122" s="198"/>
      <c r="ADJ122" s="199"/>
      <c r="ADK122" s="198"/>
      <c r="ADL122" s="199"/>
      <c r="ADM122" s="198"/>
      <c r="ADN122" s="199"/>
      <c r="ADO122" s="198"/>
      <c r="ADP122" s="199"/>
      <c r="ADQ122" s="198"/>
      <c r="ADR122" s="199"/>
      <c r="ADS122" s="198"/>
      <c r="ADT122" s="199"/>
      <c r="ADU122" s="198"/>
      <c r="ADV122" s="199"/>
      <c r="ADW122" s="198"/>
      <c r="ADX122" s="199"/>
      <c r="ADY122" s="198"/>
      <c r="ADZ122" s="199"/>
      <c r="AEA122" s="198"/>
      <c r="AEB122" s="199"/>
      <c r="AEC122" s="198"/>
      <c r="AED122" s="199"/>
      <c r="AEE122" s="198"/>
      <c r="AEF122" s="199"/>
      <c r="AEG122" s="198"/>
      <c r="AEH122" s="199"/>
      <c r="AEI122" s="198"/>
      <c r="AEJ122" s="199"/>
      <c r="AEK122" s="198"/>
      <c r="AEL122" s="199"/>
      <c r="AEM122" s="198"/>
      <c r="AEN122" s="199"/>
      <c r="AEO122" s="198"/>
      <c r="AEP122" s="199"/>
      <c r="AEQ122" s="198"/>
      <c r="AER122" s="199"/>
      <c r="AES122" s="198"/>
      <c r="AET122" s="199"/>
      <c r="AEU122" s="198"/>
      <c r="AEV122" s="199"/>
      <c r="AEW122" s="198"/>
      <c r="AEX122" s="199"/>
      <c r="AEY122" s="198"/>
      <c r="AEZ122" s="199"/>
      <c r="AFA122" s="198"/>
      <c r="AFB122" s="199"/>
      <c r="AFC122" s="198"/>
      <c r="AFD122" s="199"/>
      <c r="AFE122" s="198"/>
      <c r="AFF122" s="199"/>
      <c r="AFG122" s="198"/>
      <c r="AFH122" s="199"/>
      <c r="AFI122" s="198"/>
      <c r="AFJ122" s="199"/>
      <c r="AFK122" s="198"/>
      <c r="AFL122" s="199"/>
      <c r="AFM122" s="198"/>
      <c r="AFN122" s="199"/>
      <c r="AFO122" s="198"/>
      <c r="AFP122" s="199"/>
      <c r="AFQ122" s="198"/>
      <c r="AFR122" s="199"/>
      <c r="AFS122" s="198"/>
      <c r="AFT122" s="199"/>
      <c r="AFU122" s="198"/>
      <c r="AFV122" s="199"/>
      <c r="AFW122" s="198"/>
      <c r="AFX122" s="199"/>
      <c r="AFY122" s="198"/>
      <c r="AFZ122" s="199"/>
      <c r="AGA122" s="198"/>
      <c r="AGB122" s="199"/>
      <c r="AGC122" s="198"/>
      <c r="AGD122" s="199"/>
      <c r="AGE122" s="198"/>
      <c r="AGF122" s="199"/>
      <c r="AGG122" s="198"/>
      <c r="AGH122" s="199"/>
      <c r="AGI122" s="198"/>
      <c r="AGJ122" s="199"/>
      <c r="AGK122" s="198"/>
      <c r="AGL122" s="199"/>
      <c r="AGM122" s="198"/>
      <c r="AGN122" s="199"/>
      <c r="AGO122" s="198"/>
      <c r="AGP122" s="199"/>
      <c r="AGQ122" s="198"/>
      <c r="AGR122" s="199"/>
      <c r="AGS122" s="198"/>
      <c r="AGT122" s="199"/>
      <c r="AGU122" s="198"/>
      <c r="AGV122" s="199"/>
      <c r="AGW122" s="198"/>
      <c r="AGX122" s="199"/>
      <c r="AGY122" s="198"/>
      <c r="AGZ122" s="199"/>
      <c r="AHA122" s="198"/>
      <c r="AHB122" s="199"/>
      <c r="AHC122" s="198"/>
      <c r="AHD122" s="199"/>
      <c r="AHE122" s="198"/>
      <c r="AHF122" s="199"/>
      <c r="AHG122" s="198"/>
      <c r="AHH122" s="199"/>
      <c r="AHI122" s="198"/>
      <c r="AHJ122" s="199"/>
      <c r="AHK122" s="198"/>
      <c r="AHL122" s="199"/>
      <c r="AHM122" s="198"/>
      <c r="AHN122" s="199"/>
      <c r="AHO122" s="198"/>
      <c r="AHP122" s="199"/>
      <c r="AHQ122" s="198"/>
      <c r="AHR122" s="199"/>
      <c r="AHS122" s="198"/>
      <c r="AHT122" s="199"/>
      <c r="AHU122" s="198"/>
      <c r="AHV122" s="199"/>
      <c r="AHW122" s="198"/>
      <c r="AHX122" s="199"/>
      <c r="AHY122" s="198"/>
      <c r="AHZ122" s="199"/>
      <c r="AIA122" s="198"/>
      <c r="AIB122" s="199"/>
      <c r="AIC122" s="198"/>
      <c r="AID122" s="199"/>
      <c r="AIE122" s="198"/>
      <c r="AIF122" s="199"/>
      <c r="AIG122" s="198"/>
      <c r="AIH122" s="199"/>
      <c r="AII122" s="198"/>
      <c r="AIJ122" s="199"/>
      <c r="AIK122" s="198"/>
      <c r="AIL122" s="199"/>
      <c r="AIM122" s="198"/>
      <c r="AIN122" s="199"/>
      <c r="AIO122" s="198"/>
      <c r="AIP122" s="199"/>
      <c r="AIQ122" s="198"/>
      <c r="AIR122" s="199"/>
      <c r="AIS122" s="198"/>
      <c r="AIT122" s="199"/>
      <c r="AIU122" s="198"/>
      <c r="AIV122" s="199"/>
      <c r="AIW122" s="198"/>
      <c r="AIX122" s="199"/>
      <c r="AIY122" s="198"/>
      <c r="AIZ122" s="199"/>
      <c r="AJA122" s="198"/>
      <c r="AJB122" s="199"/>
      <c r="AJC122" s="198"/>
      <c r="AJD122" s="199"/>
      <c r="AJE122" s="198"/>
      <c r="AJF122" s="199"/>
      <c r="AJG122" s="198"/>
      <c r="AJH122" s="199"/>
      <c r="AJI122" s="198"/>
      <c r="AJJ122" s="199"/>
      <c r="AJK122" s="198"/>
      <c r="AJL122" s="199"/>
      <c r="AJM122" s="198"/>
      <c r="AJN122" s="199"/>
      <c r="AJO122" s="198"/>
      <c r="AJP122" s="199"/>
      <c r="AJQ122" s="198"/>
      <c r="AJR122" s="199"/>
      <c r="AJS122" s="198"/>
      <c r="AJT122" s="199"/>
      <c r="AJU122" s="198"/>
      <c r="AJV122" s="199"/>
      <c r="AJW122" s="198"/>
      <c r="AJX122" s="199"/>
      <c r="AJY122" s="198"/>
      <c r="AJZ122" s="199"/>
      <c r="AKA122" s="198"/>
      <c r="AKB122" s="199"/>
      <c r="AKC122" s="198"/>
      <c r="AKD122" s="199"/>
      <c r="AKE122" s="198"/>
      <c r="AKF122" s="199"/>
      <c r="AKG122" s="198"/>
      <c r="AKH122" s="199"/>
      <c r="AKI122" s="198"/>
      <c r="AKJ122" s="199"/>
      <c r="AKK122" s="198"/>
      <c r="AKL122" s="199"/>
      <c r="AKM122" s="198"/>
      <c r="AKN122" s="199"/>
      <c r="AKO122" s="198"/>
      <c r="AKP122" s="199"/>
      <c r="AKQ122" s="198"/>
      <c r="AKR122" s="199"/>
      <c r="AKS122" s="198"/>
      <c r="AKT122" s="199"/>
      <c r="AKU122" s="198"/>
      <c r="AKV122" s="199"/>
      <c r="AKW122" s="198"/>
      <c r="AKX122" s="199"/>
      <c r="AKY122" s="198"/>
      <c r="AKZ122" s="199"/>
      <c r="ALA122" s="198"/>
      <c r="ALB122" s="199"/>
      <c r="ALC122" s="198"/>
      <c r="ALD122" s="199"/>
      <c r="ALE122" s="198"/>
      <c r="ALF122" s="199"/>
      <c r="ALG122" s="198"/>
      <c r="ALH122" s="199"/>
      <c r="ALI122" s="198"/>
      <c r="ALJ122" s="199"/>
      <c r="ALK122" s="198"/>
      <c r="ALL122" s="199"/>
      <c r="ALM122" s="198"/>
      <c r="ALN122" s="199"/>
      <c r="ALO122" s="198"/>
      <c r="ALP122" s="199"/>
      <c r="ALQ122" s="198"/>
      <c r="ALR122" s="199"/>
      <c r="ALS122" s="198"/>
      <c r="ALT122" s="199"/>
      <c r="ALU122" s="198"/>
      <c r="ALV122" s="199"/>
      <c r="ALW122" s="198"/>
      <c r="ALX122" s="199"/>
      <c r="ALY122" s="198"/>
      <c r="ALZ122" s="199"/>
      <c r="AMA122" s="198"/>
      <c r="AMB122" s="199"/>
      <c r="AMC122" s="198"/>
      <c r="AMD122" s="199"/>
      <c r="AME122" s="198"/>
      <c r="AMF122" s="199"/>
      <c r="AMG122" s="198"/>
      <c r="AMH122" s="199"/>
      <c r="AMI122" s="198"/>
      <c r="AMJ122" s="199"/>
      <c r="AMK122" s="198"/>
      <c r="AML122" s="199"/>
      <c r="AMM122" s="198"/>
      <c r="AMN122" s="199"/>
      <c r="AMO122" s="198"/>
      <c r="AMP122" s="199"/>
      <c r="AMQ122" s="198"/>
      <c r="AMR122" s="199"/>
      <c r="AMS122" s="198"/>
      <c r="AMT122" s="199"/>
      <c r="AMU122" s="198"/>
      <c r="AMV122" s="199"/>
      <c r="AMW122" s="198"/>
      <c r="AMX122" s="199"/>
      <c r="AMY122" s="198"/>
      <c r="AMZ122" s="199"/>
      <c r="ANA122" s="198"/>
      <c r="ANB122" s="199"/>
      <c r="ANC122" s="198"/>
      <c r="AND122" s="199"/>
      <c r="ANE122" s="198"/>
      <c r="ANF122" s="199"/>
      <c r="ANG122" s="198"/>
      <c r="ANH122" s="199"/>
      <c r="ANI122" s="198"/>
      <c r="ANJ122" s="199"/>
      <c r="ANK122" s="198"/>
      <c r="ANL122" s="199"/>
      <c r="ANM122" s="198"/>
      <c r="ANN122" s="199"/>
      <c r="ANO122" s="198"/>
      <c r="ANP122" s="199"/>
      <c r="ANQ122" s="198"/>
      <c r="ANR122" s="199"/>
      <c r="ANS122" s="198"/>
      <c r="ANT122" s="199"/>
      <c r="ANU122" s="198"/>
      <c r="ANV122" s="199"/>
      <c r="ANW122" s="198"/>
      <c r="ANX122" s="199"/>
      <c r="ANY122" s="198"/>
      <c r="ANZ122" s="199"/>
      <c r="AOA122" s="198"/>
      <c r="AOB122" s="199"/>
      <c r="AOC122" s="198"/>
      <c r="AOD122" s="199"/>
      <c r="AOE122" s="198"/>
      <c r="AOF122" s="199"/>
      <c r="AOG122" s="198"/>
      <c r="AOH122" s="199"/>
      <c r="AOI122" s="198"/>
      <c r="AOJ122" s="199"/>
      <c r="AOK122" s="198"/>
      <c r="AOL122" s="199"/>
      <c r="AOM122" s="198"/>
      <c r="AON122" s="199"/>
      <c r="AOO122" s="198"/>
      <c r="AOP122" s="199"/>
      <c r="AOQ122" s="198"/>
      <c r="AOR122" s="199"/>
      <c r="AOS122" s="198"/>
      <c r="AOT122" s="199"/>
      <c r="AOU122" s="198"/>
      <c r="AOV122" s="199"/>
      <c r="AOW122" s="198"/>
      <c r="AOX122" s="199"/>
      <c r="AOY122" s="198"/>
      <c r="AOZ122" s="199"/>
      <c r="APA122" s="198"/>
      <c r="APB122" s="199"/>
      <c r="APC122" s="198"/>
      <c r="APD122" s="199"/>
      <c r="APE122" s="198"/>
      <c r="APF122" s="199"/>
      <c r="APG122" s="198"/>
      <c r="APH122" s="199"/>
      <c r="API122" s="198"/>
      <c r="APJ122" s="199"/>
      <c r="APK122" s="198"/>
      <c r="APL122" s="199"/>
      <c r="APM122" s="198"/>
      <c r="APN122" s="199"/>
      <c r="APO122" s="198"/>
      <c r="APP122" s="199"/>
      <c r="APQ122" s="198"/>
      <c r="APR122" s="199"/>
      <c r="APS122" s="198"/>
      <c r="APT122" s="199"/>
      <c r="APU122" s="198"/>
      <c r="APV122" s="199"/>
      <c r="APW122" s="198"/>
      <c r="APX122" s="199"/>
      <c r="APY122" s="198"/>
      <c r="APZ122" s="199"/>
      <c r="AQA122" s="198"/>
      <c r="AQB122" s="199"/>
      <c r="AQC122" s="198"/>
      <c r="AQD122" s="199"/>
      <c r="AQE122" s="198"/>
      <c r="AQF122" s="199"/>
      <c r="AQG122" s="198"/>
      <c r="AQH122" s="199"/>
      <c r="AQI122" s="198"/>
      <c r="AQJ122" s="199"/>
      <c r="AQK122" s="198"/>
      <c r="AQL122" s="199"/>
      <c r="AQM122" s="198"/>
      <c r="AQN122" s="199"/>
      <c r="AQO122" s="198"/>
      <c r="AQP122" s="199"/>
      <c r="AQQ122" s="198"/>
      <c r="AQR122" s="199"/>
      <c r="AQS122" s="198"/>
      <c r="AQT122" s="199"/>
      <c r="AQU122" s="198"/>
      <c r="AQV122" s="199"/>
      <c r="AQW122" s="198"/>
      <c r="AQX122" s="199"/>
      <c r="AQY122" s="198"/>
      <c r="AQZ122" s="199"/>
      <c r="ARA122" s="198"/>
      <c r="ARB122" s="199"/>
      <c r="ARC122" s="198"/>
      <c r="ARD122" s="199"/>
      <c r="ARE122" s="198"/>
      <c r="ARF122" s="199"/>
      <c r="ARG122" s="198"/>
      <c r="ARH122" s="199"/>
      <c r="ARI122" s="198"/>
      <c r="ARJ122" s="199"/>
      <c r="ARK122" s="198"/>
      <c r="ARL122" s="199"/>
      <c r="ARM122" s="198"/>
      <c r="ARN122" s="199"/>
      <c r="ARO122" s="198"/>
      <c r="ARP122" s="199"/>
      <c r="ARQ122" s="198"/>
      <c r="ARR122" s="199"/>
      <c r="ARS122" s="198"/>
      <c r="ART122" s="199"/>
      <c r="ARU122" s="198"/>
      <c r="ARV122" s="199"/>
      <c r="ARW122" s="198"/>
      <c r="ARX122" s="199"/>
      <c r="ARY122" s="198"/>
      <c r="ARZ122" s="199"/>
      <c r="ASA122" s="198"/>
      <c r="ASB122" s="199"/>
      <c r="ASC122" s="198"/>
      <c r="ASD122" s="199"/>
      <c r="ASE122" s="198"/>
      <c r="ASF122" s="199"/>
      <c r="ASG122" s="198"/>
      <c r="ASH122" s="199"/>
      <c r="ASI122" s="198"/>
      <c r="ASJ122" s="199"/>
      <c r="ASK122" s="198"/>
      <c r="ASL122" s="199"/>
      <c r="ASM122" s="198"/>
      <c r="ASN122" s="199"/>
      <c r="ASO122" s="198"/>
      <c r="ASP122" s="199"/>
      <c r="ASQ122" s="198"/>
      <c r="ASR122" s="199"/>
      <c r="ASS122" s="198"/>
      <c r="AST122" s="199"/>
      <c r="ASU122" s="198"/>
      <c r="ASV122" s="199"/>
      <c r="ASW122" s="198"/>
      <c r="ASX122" s="199"/>
      <c r="ASY122" s="198"/>
      <c r="ASZ122" s="199"/>
      <c r="ATA122" s="198"/>
      <c r="ATB122" s="199"/>
      <c r="ATC122" s="198"/>
      <c r="ATD122" s="199"/>
      <c r="ATE122" s="198"/>
      <c r="ATF122" s="199"/>
      <c r="ATG122" s="198"/>
      <c r="ATH122" s="199"/>
      <c r="ATI122" s="198"/>
      <c r="ATJ122" s="199"/>
      <c r="ATK122" s="198"/>
      <c r="ATL122" s="199"/>
      <c r="ATM122" s="198"/>
      <c r="ATN122" s="199"/>
      <c r="ATO122" s="198"/>
      <c r="ATP122" s="199"/>
      <c r="ATQ122" s="198"/>
      <c r="ATR122" s="199"/>
      <c r="ATS122" s="198"/>
      <c r="ATT122" s="199"/>
      <c r="ATU122" s="198"/>
      <c r="ATV122" s="199"/>
      <c r="ATW122" s="198"/>
      <c r="ATX122" s="199"/>
      <c r="ATY122" s="198"/>
      <c r="ATZ122" s="199"/>
      <c r="AUA122" s="198"/>
      <c r="AUB122" s="199"/>
      <c r="AUC122" s="198"/>
      <c r="AUD122" s="199"/>
      <c r="AUE122" s="198"/>
      <c r="AUF122" s="199"/>
      <c r="AUG122" s="198"/>
      <c r="AUH122" s="199"/>
      <c r="AUI122" s="198"/>
      <c r="AUJ122" s="199"/>
      <c r="AUK122" s="198"/>
      <c r="AUL122" s="199"/>
      <c r="AUM122" s="198"/>
      <c r="AUN122" s="199"/>
      <c r="AUO122" s="198"/>
      <c r="AUP122" s="199"/>
      <c r="AUQ122" s="198"/>
      <c r="AUR122" s="199"/>
      <c r="AUS122" s="198"/>
      <c r="AUT122" s="199"/>
      <c r="AUU122" s="198"/>
      <c r="AUV122" s="199"/>
      <c r="AUW122" s="198"/>
      <c r="AUX122" s="199"/>
      <c r="AUY122" s="198"/>
      <c r="AUZ122" s="199"/>
      <c r="AVA122" s="198"/>
      <c r="AVB122" s="199"/>
      <c r="AVC122" s="198"/>
      <c r="AVD122" s="199"/>
      <c r="AVE122" s="198"/>
      <c r="AVF122" s="199"/>
      <c r="AVG122" s="198"/>
      <c r="AVH122" s="199"/>
      <c r="AVI122" s="198"/>
      <c r="AVJ122" s="199"/>
      <c r="AVK122" s="198"/>
      <c r="AVL122" s="199"/>
      <c r="AVM122" s="198"/>
      <c r="AVN122" s="199"/>
      <c r="AVO122" s="198"/>
      <c r="AVP122" s="199"/>
      <c r="AVQ122" s="198"/>
      <c r="AVR122" s="199"/>
      <c r="AVS122" s="198"/>
      <c r="AVT122" s="199"/>
      <c r="AVU122" s="198"/>
      <c r="AVV122" s="199"/>
      <c r="AVW122" s="198"/>
      <c r="AVX122" s="199"/>
      <c r="AVY122" s="198"/>
      <c r="AVZ122" s="199"/>
      <c r="AWA122" s="198"/>
      <c r="AWB122" s="199"/>
      <c r="AWC122" s="198"/>
      <c r="AWD122" s="199"/>
      <c r="AWE122" s="198"/>
      <c r="AWF122" s="199"/>
      <c r="AWG122" s="198"/>
      <c r="AWH122" s="199"/>
      <c r="AWI122" s="198"/>
      <c r="AWJ122" s="199"/>
      <c r="AWK122" s="198"/>
      <c r="AWL122" s="199"/>
      <c r="AWM122" s="198"/>
      <c r="AWN122" s="199"/>
      <c r="AWO122" s="198"/>
      <c r="AWP122" s="199"/>
      <c r="AWQ122" s="198"/>
      <c r="AWR122" s="199"/>
      <c r="AWS122" s="198"/>
      <c r="AWT122" s="199"/>
      <c r="AWU122" s="198"/>
      <c r="AWV122" s="199"/>
      <c r="AWW122" s="198"/>
      <c r="AWX122" s="199"/>
      <c r="AWY122" s="198"/>
      <c r="AWZ122" s="199"/>
      <c r="AXA122" s="198"/>
      <c r="AXB122" s="199"/>
      <c r="AXC122" s="198"/>
      <c r="AXD122" s="199"/>
      <c r="AXE122" s="198"/>
      <c r="AXF122" s="199"/>
      <c r="AXG122" s="198"/>
      <c r="AXH122" s="199"/>
      <c r="AXI122" s="198"/>
      <c r="AXJ122" s="199"/>
      <c r="AXK122" s="198"/>
      <c r="AXL122" s="199"/>
      <c r="AXM122" s="198"/>
      <c r="AXN122" s="199"/>
      <c r="AXO122" s="198"/>
      <c r="AXP122" s="199"/>
      <c r="AXQ122" s="198"/>
      <c r="AXR122" s="199"/>
      <c r="AXS122" s="198"/>
      <c r="AXT122" s="199"/>
      <c r="AXU122" s="198"/>
      <c r="AXV122" s="199"/>
      <c r="AXW122" s="198"/>
      <c r="AXX122" s="199"/>
      <c r="AXY122" s="198"/>
      <c r="AXZ122" s="199"/>
      <c r="AYA122" s="198"/>
      <c r="AYB122" s="199"/>
      <c r="AYC122" s="198"/>
      <c r="AYD122" s="199"/>
      <c r="AYE122" s="198"/>
      <c r="AYF122" s="199"/>
      <c r="AYG122" s="198"/>
      <c r="AYH122" s="199"/>
      <c r="AYI122" s="198"/>
      <c r="AYJ122" s="199"/>
      <c r="AYK122" s="198"/>
      <c r="AYL122" s="199"/>
      <c r="AYM122" s="198"/>
      <c r="AYN122" s="199"/>
      <c r="AYO122" s="198"/>
      <c r="AYP122" s="199"/>
      <c r="AYQ122" s="198"/>
      <c r="AYR122" s="199"/>
      <c r="AYS122" s="198"/>
      <c r="AYT122" s="199"/>
      <c r="AYU122" s="198"/>
      <c r="AYV122" s="199"/>
      <c r="AYW122" s="198"/>
      <c r="AYX122" s="199"/>
      <c r="AYY122" s="198"/>
      <c r="AYZ122" s="199"/>
      <c r="AZA122" s="198"/>
      <c r="AZB122" s="199"/>
      <c r="AZC122" s="198"/>
      <c r="AZD122" s="199"/>
      <c r="AZE122" s="198"/>
      <c r="AZF122" s="199"/>
      <c r="AZG122" s="198"/>
      <c r="AZH122" s="199"/>
      <c r="AZI122" s="198"/>
      <c r="AZJ122" s="199"/>
      <c r="AZK122" s="198"/>
      <c r="AZL122" s="199"/>
      <c r="AZM122" s="198"/>
      <c r="AZN122" s="199"/>
      <c r="AZO122" s="198"/>
      <c r="AZP122" s="199"/>
      <c r="AZQ122" s="198"/>
      <c r="AZR122" s="199"/>
      <c r="AZS122" s="198"/>
      <c r="AZT122" s="199"/>
      <c r="AZU122" s="198"/>
      <c r="AZV122" s="199"/>
      <c r="AZW122" s="198"/>
      <c r="AZX122" s="199"/>
      <c r="AZY122" s="198"/>
      <c r="AZZ122" s="199"/>
      <c r="BAA122" s="198"/>
      <c r="BAB122" s="199"/>
      <c r="BAC122" s="198"/>
      <c r="BAD122" s="199"/>
      <c r="BAE122" s="198"/>
      <c r="BAF122" s="199"/>
      <c r="BAG122" s="198"/>
      <c r="BAH122" s="199"/>
      <c r="BAI122" s="198"/>
      <c r="BAJ122" s="199"/>
      <c r="BAK122" s="198"/>
      <c r="BAL122" s="199"/>
      <c r="BAM122" s="198"/>
      <c r="BAN122" s="199"/>
      <c r="BAO122" s="198"/>
      <c r="BAP122" s="199"/>
      <c r="BAQ122" s="198"/>
      <c r="BAR122" s="199"/>
      <c r="BAS122" s="198"/>
      <c r="BAT122" s="199"/>
      <c r="BAU122" s="198"/>
      <c r="BAV122" s="199"/>
      <c r="BAW122" s="198"/>
      <c r="BAX122" s="199"/>
      <c r="BAY122" s="198"/>
      <c r="BAZ122" s="199"/>
      <c r="BBA122" s="198"/>
      <c r="BBB122" s="199"/>
      <c r="BBC122" s="198"/>
      <c r="BBD122" s="199"/>
      <c r="BBE122" s="198"/>
      <c r="BBF122" s="199"/>
      <c r="BBG122" s="198"/>
      <c r="BBH122" s="199"/>
      <c r="BBI122" s="198"/>
      <c r="BBJ122" s="199"/>
      <c r="BBK122" s="198"/>
      <c r="BBL122" s="199"/>
      <c r="BBM122" s="198"/>
      <c r="BBN122" s="199"/>
      <c r="BBO122" s="198"/>
      <c r="BBP122" s="199"/>
      <c r="BBQ122" s="198"/>
      <c r="BBR122" s="199"/>
      <c r="BBS122" s="198"/>
      <c r="BBT122" s="199"/>
      <c r="BBU122" s="198"/>
      <c r="BBV122" s="199"/>
      <c r="BBW122" s="198"/>
      <c r="BBX122" s="199"/>
      <c r="BBY122" s="198"/>
      <c r="BBZ122" s="199"/>
      <c r="BCA122" s="198"/>
      <c r="BCB122" s="199"/>
      <c r="BCC122" s="198"/>
      <c r="BCD122" s="199"/>
      <c r="BCE122" s="198"/>
      <c r="BCF122" s="199"/>
      <c r="BCG122" s="198"/>
      <c r="BCH122" s="199"/>
      <c r="BCI122" s="198"/>
      <c r="BCJ122" s="199"/>
      <c r="BCK122" s="198"/>
      <c r="BCL122" s="199"/>
      <c r="BCM122" s="198"/>
      <c r="BCN122" s="199"/>
      <c r="BCO122" s="198"/>
      <c r="BCP122" s="199"/>
      <c r="BCQ122" s="198"/>
      <c r="BCR122" s="199"/>
      <c r="BCS122" s="198"/>
      <c r="BCT122" s="199"/>
      <c r="BCU122" s="198"/>
      <c r="BCV122" s="199"/>
      <c r="BCW122" s="198"/>
      <c r="BCX122" s="199"/>
      <c r="BCY122" s="198"/>
      <c r="BCZ122" s="199"/>
      <c r="BDA122" s="198"/>
      <c r="BDB122" s="199"/>
      <c r="BDC122" s="198"/>
      <c r="BDD122" s="199"/>
      <c r="BDE122" s="198"/>
      <c r="BDF122" s="199"/>
      <c r="BDG122" s="198"/>
      <c r="BDH122" s="199"/>
      <c r="BDI122" s="198"/>
      <c r="BDJ122" s="199"/>
      <c r="BDK122" s="198"/>
      <c r="BDL122" s="199"/>
      <c r="BDM122" s="198"/>
      <c r="BDN122" s="199"/>
      <c r="BDO122" s="198"/>
      <c r="BDP122" s="199"/>
      <c r="BDQ122" s="198"/>
      <c r="BDR122" s="199"/>
      <c r="BDS122" s="198"/>
      <c r="BDT122" s="199"/>
      <c r="BDU122" s="198"/>
      <c r="BDV122" s="199"/>
      <c r="BDW122" s="198"/>
      <c r="BDX122" s="199"/>
      <c r="BDY122" s="198"/>
      <c r="BDZ122" s="199"/>
      <c r="BEA122" s="198"/>
      <c r="BEB122" s="199"/>
      <c r="BEC122" s="198"/>
      <c r="BED122" s="199"/>
      <c r="BEE122" s="198"/>
      <c r="BEF122" s="199"/>
      <c r="BEG122" s="198"/>
      <c r="BEH122" s="199"/>
      <c r="BEI122" s="198"/>
      <c r="BEJ122" s="199"/>
      <c r="BEK122" s="198"/>
      <c r="BEL122" s="199"/>
      <c r="BEM122" s="198"/>
      <c r="BEN122" s="199"/>
      <c r="BEO122" s="198"/>
      <c r="BEP122" s="199"/>
      <c r="BEQ122" s="198"/>
      <c r="BER122" s="199"/>
      <c r="BES122" s="198"/>
      <c r="BET122" s="199"/>
      <c r="BEU122" s="198"/>
      <c r="BEV122" s="199"/>
      <c r="BEW122" s="198"/>
      <c r="BEX122" s="199"/>
      <c r="BEY122" s="198"/>
      <c r="BEZ122" s="199"/>
      <c r="BFA122" s="198"/>
      <c r="BFB122" s="199"/>
      <c r="BFC122" s="198"/>
      <c r="BFD122" s="199"/>
      <c r="BFE122" s="198"/>
      <c r="BFF122" s="199"/>
      <c r="BFG122" s="198"/>
      <c r="BFH122" s="199"/>
      <c r="BFI122" s="198"/>
      <c r="BFJ122" s="199"/>
      <c r="BFK122" s="198"/>
      <c r="BFL122" s="199"/>
      <c r="BFM122" s="198"/>
      <c r="BFN122" s="199"/>
      <c r="BFO122" s="198"/>
      <c r="BFP122" s="199"/>
      <c r="BFQ122" s="198"/>
      <c r="BFR122" s="199"/>
      <c r="BFS122" s="198"/>
      <c r="BFT122" s="199"/>
      <c r="BFU122" s="198"/>
      <c r="BFV122" s="199"/>
      <c r="BFW122" s="198"/>
      <c r="BFX122" s="199"/>
      <c r="BFY122" s="198"/>
      <c r="BFZ122" s="199"/>
      <c r="BGA122" s="198"/>
      <c r="BGB122" s="199"/>
      <c r="BGC122" s="198"/>
      <c r="BGD122" s="199"/>
      <c r="BGE122" s="198"/>
      <c r="BGF122" s="199"/>
      <c r="BGG122" s="198"/>
      <c r="BGH122" s="199"/>
      <c r="BGI122" s="198"/>
      <c r="BGJ122" s="199"/>
      <c r="BGK122" s="198"/>
      <c r="BGL122" s="199"/>
      <c r="BGM122" s="198"/>
      <c r="BGN122" s="199"/>
      <c r="BGO122" s="198"/>
      <c r="BGP122" s="199"/>
      <c r="BGQ122" s="198"/>
      <c r="BGR122" s="199"/>
      <c r="BGS122" s="198"/>
      <c r="BGT122" s="199"/>
      <c r="BGU122" s="198"/>
      <c r="BGV122" s="199"/>
      <c r="BGW122" s="198"/>
      <c r="BGX122" s="199"/>
      <c r="BGY122" s="198"/>
      <c r="BGZ122" s="199"/>
      <c r="BHA122" s="198"/>
      <c r="BHB122" s="199"/>
      <c r="BHC122" s="198"/>
      <c r="BHD122" s="199"/>
      <c r="BHE122" s="198"/>
      <c r="BHF122" s="199"/>
      <c r="BHG122" s="198"/>
      <c r="BHH122" s="199"/>
      <c r="BHI122" s="198"/>
      <c r="BHJ122" s="199"/>
      <c r="BHK122" s="198"/>
      <c r="BHL122" s="199"/>
      <c r="BHM122" s="198"/>
      <c r="BHN122" s="199"/>
      <c r="BHO122" s="198"/>
      <c r="BHP122" s="199"/>
      <c r="BHQ122" s="198"/>
      <c r="BHR122" s="199"/>
      <c r="BHS122" s="198"/>
      <c r="BHT122" s="199"/>
      <c r="BHU122" s="198"/>
      <c r="BHV122" s="199"/>
      <c r="BHW122" s="198"/>
      <c r="BHX122" s="199"/>
      <c r="BHY122" s="198"/>
      <c r="BHZ122" s="199"/>
      <c r="BIA122" s="198"/>
      <c r="BIB122" s="199"/>
      <c r="BIC122" s="198"/>
      <c r="BID122" s="199"/>
      <c r="BIE122" s="198"/>
      <c r="BIF122" s="199"/>
      <c r="BIG122" s="198"/>
      <c r="BIH122" s="199"/>
      <c r="BII122" s="198"/>
      <c r="BIJ122" s="199"/>
      <c r="BIK122" s="198"/>
      <c r="BIL122" s="199"/>
      <c r="BIM122" s="198"/>
      <c r="BIN122" s="199"/>
      <c r="BIO122" s="198"/>
      <c r="BIP122" s="199"/>
      <c r="BIQ122" s="198"/>
      <c r="BIR122" s="199"/>
      <c r="BIS122" s="198"/>
      <c r="BIT122" s="199"/>
      <c r="BIU122" s="198"/>
      <c r="BIV122" s="199"/>
      <c r="BIW122" s="198"/>
      <c r="BIX122" s="199"/>
      <c r="BIY122" s="198"/>
      <c r="BIZ122" s="199"/>
      <c r="BJA122" s="198"/>
      <c r="BJB122" s="199"/>
      <c r="BJC122" s="198"/>
      <c r="BJD122" s="199"/>
      <c r="BJE122" s="198"/>
      <c r="BJF122" s="199"/>
      <c r="BJG122" s="198"/>
      <c r="BJH122" s="199"/>
      <c r="BJI122" s="198"/>
      <c r="BJJ122" s="199"/>
      <c r="BJK122" s="198"/>
      <c r="BJL122" s="199"/>
      <c r="BJM122" s="198"/>
      <c r="BJN122" s="199"/>
      <c r="BJO122" s="198"/>
      <c r="BJP122" s="199"/>
      <c r="BJQ122" s="198"/>
      <c r="BJR122" s="199"/>
      <c r="BJS122" s="198"/>
      <c r="BJT122" s="199"/>
      <c r="BJU122" s="198"/>
      <c r="BJV122" s="199"/>
      <c r="BJW122" s="198"/>
      <c r="BJX122" s="199"/>
      <c r="BJY122" s="198"/>
      <c r="BJZ122" s="199"/>
      <c r="BKA122" s="198"/>
      <c r="BKB122" s="199"/>
      <c r="BKC122" s="198"/>
      <c r="BKD122" s="199"/>
      <c r="BKE122" s="198"/>
      <c r="BKF122" s="199"/>
      <c r="BKG122" s="198"/>
      <c r="BKH122" s="199"/>
      <c r="BKI122" s="198"/>
      <c r="BKJ122" s="199"/>
      <c r="BKK122" s="198"/>
      <c r="BKL122" s="199"/>
      <c r="BKM122" s="198"/>
      <c r="BKN122" s="199"/>
      <c r="BKO122" s="198"/>
      <c r="BKP122" s="199"/>
      <c r="BKQ122" s="198"/>
      <c r="BKR122" s="199"/>
      <c r="BKS122" s="198"/>
      <c r="BKT122" s="199"/>
      <c r="BKU122" s="198"/>
      <c r="BKV122" s="199"/>
      <c r="BKW122" s="198"/>
      <c r="BKX122" s="199"/>
      <c r="BKY122" s="198"/>
      <c r="BKZ122" s="199"/>
      <c r="BLA122" s="198"/>
      <c r="BLB122" s="199"/>
      <c r="BLC122" s="198"/>
      <c r="BLD122" s="199"/>
      <c r="BLE122" s="198"/>
      <c r="BLF122" s="199"/>
      <c r="BLG122" s="198"/>
      <c r="BLH122" s="199"/>
      <c r="BLI122" s="198"/>
      <c r="BLJ122" s="199"/>
      <c r="BLK122" s="198"/>
      <c r="BLL122" s="199"/>
      <c r="BLM122" s="198"/>
      <c r="BLN122" s="199"/>
      <c r="BLO122" s="198"/>
      <c r="BLP122" s="199"/>
      <c r="BLQ122" s="198"/>
      <c r="BLR122" s="199"/>
      <c r="BLS122" s="198"/>
      <c r="BLT122" s="199"/>
      <c r="BLU122" s="198"/>
      <c r="BLV122" s="199"/>
      <c r="BLW122" s="198"/>
      <c r="BLX122" s="199"/>
      <c r="BLY122" s="198"/>
      <c r="BLZ122" s="199"/>
      <c r="BMA122" s="198"/>
      <c r="BMB122" s="199"/>
      <c r="BMC122" s="198"/>
      <c r="BMD122" s="199"/>
      <c r="BME122" s="198"/>
      <c r="BMF122" s="199"/>
      <c r="BMG122" s="198"/>
      <c r="BMH122" s="199"/>
      <c r="BMI122" s="198"/>
      <c r="BMJ122" s="199"/>
      <c r="BMK122" s="198"/>
      <c r="BML122" s="199"/>
      <c r="BMM122" s="198"/>
      <c r="BMN122" s="199"/>
      <c r="BMO122" s="198"/>
      <c r="BMP122" s="199"/>
      <c r="BMQ122" s="198"/>
      <c r="BMR122" s="199"/>
      <c r="BMS122" s="198"/>
      <c r="BMT122" s="199"/>
      <c r="BMU122" s="198"/>
      <c r="BMV122" s="199"/>
      <c r="BMW122" s="198"/>
      <c r="BMX122" s="199"/>
      <c r="BMY122" s="198"/>
      <c r="BMZ122" s="199"/>
      <c r="BNA122" s="198"/>
      <c r="BNB122" s="199"/>
      <c r="BNC122" s="198"/>
      <c r="BND122" s="199"/>
      <c r="BNE122" s="198"/>
      <c r="BNF122" s="199"/>
      <c r="BNG122" s="198"/>
      <c r="BNH122" s="199"/>
      <c r="BNI122" s="198"/>
      <c r="BNJ122" s="199"/>
      <c r="BNK122" s="198"/>
      <c r="BNL122" s="199"/>
      <c r="BNM122" s="198"/>
      <c r="BNN122" s="199"/>
      <c r="BNO122" s="198"/>
      <c r="BNP122" s="199"/>
      <c r="BNQ122" s="198"/>
      <c r="BNR122" s="199"/>
      <c r="BNS122" s="198"/>
      <c r="BNT122" s="199"/>
      <c r="BNU122" s="198"/>
      <c r="BNV122" s="199"/>
      <c r="BNW122" s="198"/>
      <c r="BNX122" s="199"/>
      <c r="BNY122" s="198"/>
      <c r="BNZ122" s="199"/>
      <c r="BOA122" s="198"/>
      <c r="BOB122" s="199"/>
      <c r="BOC122" s="198"/>
      <c r="BOD122" s="199"/>
      <c r="BOE122" s="198"/>
      <c r="BOF122" s="199"/>
      <c r="BOG122" s="198"/>
      <c r="BOH122" s="199"/>
      <c r="BOI122" s="198"/>
      <c r="BOJ122" s="199"/>
      <c r="BOK122" s="198"/>
      <c r="BOL122" s="199"/>
      <c r="BOM122" s="198"/>
      <c r="BON122" s="199"/>
      <c r="BOO122" s="198"/>
      <c r="BOP122" s="199"/>
      <c r="BOQ122" s="198"/>
      <c r="BOR122" s="199"/>
      <c r="BOS122" s="198"/>
      <c r="BOT122" s="199"/>
      <c r="BOU122" s="198"/>
      <c r="BOV122" s="199"/>
      <c r="BOW122" s="198"/>
      <c r="BOX122" s="199"/>
      <c r="BOY122" s="198"/>
      <c r="BOZ122" s="199"/>
      <c r="BPA122" s="198"/>
      <c r="BPB122" s="199"/>
      <c r="BPC122" s="198"/>
      <c r="BPD122" s="199"/>
      <c r="BPE122" s="198"/>
      <c r="BPF122" s="199"/>
      <c r="BPG122" s="198"/>
      <c r="BPH122" s="199"/>
      <c r="BPI122" s="198"/>
      <c r="BPJ122" s="199"/>
      <c r="BPK122" s="198"/>
      <c r="BPL122" s="199"/>
      <c r="BPM122" s="198"/>
      <c r="BPN122" s="199"/>
      <c r="BPO122" s="198"/>
      <c r="BPP122" s="199"/>
      <c r="BPQ122" s="198"/>
      <c r="BPR122" s="199"/>
      <c r="BPS122" s="198"/>
      <c r="BPT122" s="199"/>
      <c r="BPU122" s="198"/>
      <c r="BPV122" s="199"/>
      <c r="BPW122" s="198"/>
      <c r="BPX122" s="199"/>
      <c r="BPY122" s="198"/>
      <c r="BPZ122" s="199"/>
      <c r="BQA122" s="198"/>
      <c r="BQB122" s="199"/>
      <c r="BQC122" s="198"/>
      <c r="BQD122" s="199"/>
      <c r="BQE122" s="198"/>
      <c r="BQF122" s="199"/>
      <c r="BQG122" s="198"/>
      <c r="BQH122" s="199"/>
      <c r="BQI122" s="198"/>
      <c r="BQJ122" s="199"/>
      <c r="BQK122" s="198"/>
      <c r="BQL122" s="199"/>
      <c r="BQM122" s="198"/>
      <c r="BQN122" s="199"/>
      <c r="BQO122" s="198"/>
      <c r="BQP122" s="199"/>
      <c r="BQQ122" s="198"/>
      <c r="BQR122" s="199"/>
      <c r="BQS122" s="198"/>
      <c r="BQT122" s="199"/>
      <c r="BQU122" s="198"/>
      <c r="BQV122" s="199"/>
      <c r="BQW122" s="198"/>
      <c r="BQX122" s="199"/>
      <c r="BQY122" s="198"/>
      <c r="BQZ122" s="199"/>
      <c r="BRA122" s="198"/>
      <c r="BRB122" s="199"/>
      <c r="BRC122" s="198"/>
      <c r="BRD122" s="199"/>
      <c r="BRE122" s="198"/>
      <c r="BRF122" s="199"/>
      <c r="BRG122" s="198"/>
      <c r="BRH122" s="199"/>
      <c r="BRI122" s="198"/>
      <c r="BRJ122" s="199"/>
      <c r="BRK122" s="198"/>
      <c r="BRL122" s="199"/>
      <c r="BRM122" s="198"/>
      <c r="BRN122" s="199"/>
      <c r="BRO122" s="198"/>
      <c r="BRP122" s="199"/>
      <c r="BRQ122" s="198"/>
      <c r="BRR122" s="199"/>
      <c r="BRS122" s="198"/>
      <c r="BRT122" s="199"/>
      <c r="BRU122" s="198"/>
      <c r="BRV122" s="199"/>
      <c r="BRW122" s="198"/>
      <c r="BRX122" s="199"/>
      <c r="BRY122" s="198"/>
      <c r="BRZ122" s="199"/>
      <c r="BSA122" s="198"/>
      <c r="BSB122" s="199"/>
      <c r="BSC122" s="198"/>
      <c r="BSD122" s="199"/>
      <c r="BSE122" s="198"/>
      <c r="BSF122" s="199"/>
      <c r="BSG122" s="198"/>
      <c r="BSH122" s="199"/>
      <c r="BSI122" s="198"/>
      <c r="BSJ122" s="199"/>
      <c r="BSK122" s="198"/>
      <c r="BSL122" s="199"/>
      <c r="BSM122" s="198"/>
      <c r="BSN122" s="199"/>
      <c r="BSO122" s="198"/>
      <c r="BSP122" s="199"/>
      <c r="BSQ122" s="198"/>
      <c r="BSR122" s="199"/>
      <c r="BSS122" s="198"/>
      <c r="BST122" s="199"/>
      <c r="BSU122" s="198"/>
      <c r="BSV122" s="199"/>
      <c r="BSW122" s="198"/>
      <c r="BSX122" s="199"/>
      <c r="BSY122" s="198"/>
      <c r="BSZ122" s="199"/>
      <c r="BTA122" s="198"/>
      <c r="BTB122" s="199"/>
      <c r="BTC122" s="198"/>
      <c r="BTD122" s="199"/>
      <c r="BTE122" s="198"/>
      <c r="BTF122" s="199"/>
      <c r="BTG122" s="198"/>
      <c r="BTH122" s="199"/>
      <c r="BTI122" s="198"/>
      <c r="BTJ122" s="199"/>
      <c r="BTK122" s="198"/>
      <c r="BTL122" s="199"/>
      <c r="BTM122" s="198"/>
      <c r="BTN122" s="199"/>
      <c r="BTO122" s="198"/>
      <c r="BTP122" s="199"/>
      <c r="BTQ122" s="198"/>
      <c r="BTR122" s="199"/>
      <c r="BTS122" s="198"/>
      <c r="BTT122" s="199"/>
      <c r="BTU122" s="198"/>
      <c r="BTV122" s="199"/>
      <c r="BTW122" s="198"/>
      <c r="BTX122" s="199"/>
      <c r="BTY122" s="198"/>
      <c r="BTZ122" s="199"/>
      <c r="BUA122" s="198"/>
      <c r="BUB122" s="199"/>
      <c r="BUC122" s="198"/>
      <c r="BUD122" s="199"/>
      <c r="BUE122" s="198"/>
      <c r="BUF122" s="199"/>
      <c r="BUG122" s="198"/>
      <c r="BUH122" s="199"/>
      <c r="BUI122" s="198"/>
      <c r="BUJ122" s="199"/>
      <c r="BUK122" s="198"/>
      <c r="BUL122" s="199"/>
      <c r="BUM122" s="198"/>
      <c r="BUN122" s="199"/>
      <c r="BUO122" s="198"/>
      <c r="BUP122" s="199"/>
      <c r="BUQ122" s="198"/>
      <c r="BUR122" s="199"/>
      <c r="BUS122" s="198"/>
      <c r="BUT122" s="199"/>
      <c r="BUU122" s="198"/>
      <c r="BUV122" s="199"/>
      <c r="BUW122" s="198"/>
      <c r="BUX122" s="199"/>
      <c r="BUY122" s="198"/>
      <c r="BUZ122" s="199"/>
      <c r="BVA122" s="198"/>
      <c r="BVB122" s="199"/>
      <c r="BVC122" s="198"/>
      <c r="BVD122" s="199"/>
      <c r="BVE122" s="198"/>
      <c r="BVF122" s="199"/>
      <c r="BVG122" s="198"/>
      <c r="BVH122" s="199"/>
      <c r="BVI122" s="198"/>
      <c r="BVJ122" s="199"/>
      <c r="BVK122" s="198"/>
      <c r="BVL122" s="199"/>
      <c r="BVM122" s="198"/>
      <c r="BVN122" s="199"/>
      <c r="BVO122" s="198"/>
      <c r="BVP122" s="199"/>
      <c r="BVQ122" s="198"/>
      <c r="BVR122" s="199"/>
      <c r="BVS122" s="198"/>
      <c r="BVT122" s="199"/>
      <c r="BVU122" s="198"/>
      <c r="BVV122" s="199"/>
      <c r="BVW122" s="198"/>
      <c r="BVX122" s="199"/>
      <c r="BVY122" s="198"/>
      <c r="BVZ122" s="199"/>
      <c r="BWA122" s="198"/>
      <c r="BWB122" s="199"/>
      <c r="BWC122" s="198"/>
      <c r="BWD122" s="199"/>
      <c r="BWE122" s="198"/>
      <c r="BWF122" s="199"/>
      <c r="BWG122" s="198"/>
      <c r="BWH122" s="199"/>
      <c r="BWI122" s="198"/>
      <c r="BWJ122" s="199"/>
      <c r="BWK122" s="198"/>
      <c r="BWL122" s="199"/>
      <c r="BWM122" s="198"/>
      <c r="BWN122" s="199"/>
      <c r="BWO122" s="198"/>
      <c r="BWP122" s="199"/>
      <c r="BWQ122" s="198"/>
      <c r="BWR122" s="199"/>
      <c r="BWS122" s="198"/>
      <c r="BWT122" s="199"/>
      <c r="BWU122" s="198"/>
      <c r="BWV122" s="199"/>
      <c r="BWW122" s="198"/>
      <c r="BWX122" s="199"/>
      <c r="BWY122" s="198"/>
      <c r="BWZ122" s="199"/>
      <c r="BXA122" s="198"/>
      <c r="BXB122" s="199"/>
      <c r="BXC122" s="198"/>
      <c r="BXD122" s="199"/>
      <c r="BXE122" s="198"/>
      <c r="BXF122" s="199"/>
      <c r="BXG122" s="198"/>
      <c r="BXH122" s="199"/>
      <c r="BXI122" s="198"/>
      <c r="BXJ122" s="199"/>
      <c r="BXK122" s="198"/>
      <c r="BXL122" s="199"/>
      <c r="BXM122" s="198"/>
      <c r="BXN122" s="199"/>
      <c r="BXO122" s="198"/>
      <c r="BXP122" s="199"/>
      <c r="BXQ122" s="198"/>
      <c r="BXR122" s="199"/>
      <c r="BXS122" s="198"/>
      <c r="BXT122" s="199"/>
      <c r="BXU122" s="198"/>
      <c r="BXV122" s="199"/>
      <c r="BXW122" s="198"/>
      <c r="BXX122" s="199"/>
      <c r="BXY122" s="198"/>
      <c r="BXZ122" s="199"/>
      <c r="BYA122" s="198"/>
      <c r="BYB122" s="199"/>
      <c r="BYC122" s="198"/>
      <c r="BYD122" s="199"/>
      <c r="BYE122" s="198"/>
      <c r="BYF122" s="199"/>
      <c r="BYG122" s="198"/>
      <c r="BYH122" s="199"/>
      <c r="BYI122" s="198"/>
      <c r="BYJ122" s="199"/>
      <c r="BYK122" s="198"/>
      <c r="BYL122" s="199"/>
      <c r="BYM122" s="198"/>
      <c r="BYN122" s="199"/>
      <c r="BYO122" s="198"/>
      <c r="BYP122" s="199"/>
      <c r="BYQ122" s="198"/>
      <c r="BYR122" s="199"/>
      <c r="BYS122" s="198"/>
      <c r="BYT122" s="199"/>
      <c r="BYU122" s="198"/>
      <c r="BYV122" s="199"/>
      <c r="BYW122" s="198"/>
      <c r="BYX122" s="199"/>
      <c r="BYY122" s="198"/>
      <c r="BYZ122" s="199"/>
      <c r="BZA122" s="198"/>
      <c r="BZB122" s="199"/>
      <c r="BZC122" s="198"/>
      <c r="BZD122" s="199"/>
      <c r="BZE122" s="198"/>
      <c r="BZF122" s="199"/>
      <c r="BZG122" s="198"/>
      <c r="BZH122" s="199"/>
      <c r="BZI122" s="198"/>
      <c r="BZJ122" s="199"/>
      <c r="BZK122" s="198"/>
      <c r="BZL122" s="199"/>
      <c r="BZM122" s="198"/>
      <c r="BZN122" s="199"/>
      <c r="BZO122" s="198"/>
      <c r="BZP122" s="199"/>
      <c r="BZQ122" s="198"/>
      <c r="BZR122" s="199"/>
      <c r="BZS122" s="198"/>
      <c r="BZT122" s="199"/>
      <c r="BZU122" s="198"/>
      <c r="BZV122" s="199"/>
      <c r="BZW122" s="198"/>
      <c r="BZX122" s="199"/>
      <c r="BZY122" s="198"/>
      <c r="BZZ122" s="199"/>
      <c r="CAA122" s="198"/>
      <c r="CAB122" s="199"/>
      <c r="CAC122" s="198"/>
      <c r="CAD122" s="199"/>
      <c r="CAE122" s="198"/>
      <c r="CAF122" s="199"/>
      <c r="CAG122" s="198"/>
      <c r="CAH122" s="199"/>
      <c r="CAI122" s="198"/>
      <c r="CAJ122" s="199"/>
      <c r="CAK122" s="198"/>
      <c r="CAL122" s="199"/>
      <c r="CAM122" s="198"/>
      <c r="CAN122" s="199"/>
      <c r="CAO122" s="198"/>
      <c r="CAP122" s="199"/>
      <c r="CAQ122" s="198"/>
      <c r="CAR122" s="199"/>
      <c r="CAS122" s="198"/>
      <c r="CAT122" s="199"/>
      <c r="CAU122" s="198"/>
      <c r="CAV122" s="199"/>
      <c r="CAW122" s="198"/>
      <c r="CAX122" s="199"/>
      <c r="CAY122" s="198"/>
      <c r="CAZ122" s="199"/>
      <c r="CBA122" s="198"/>
      <c r="CBB122" s="199"/>
      <c r="CBC122" s="198"/>
      <c r="CBD122" s="199"/>
      <c r="CBE122" s="198"/>
      <c r="CBF122" s="199"/>
      <c r="CBG122" s="198"/>
      <c r="CBH122" s="199"/>
      <c r="CBI122" s="198"/>
      <c r="CBJ122" s="199"/>
      <c r="CBK122" s="198"/>
      <c r="CBL122" s="199"/>
      <c r="CBM122" s="198"/>
      <c r="CBN122" s="199"/>
      <c r="CBO122" s="198"/>
      <c r="CBP122" s="199"/>
      <c r="CBQ122" s="198"/>
      <c r="CBR122" s="199"/>
      <c r="CBS122" s="198"/>
      <c r="CBT122" s="199"/>
      <c r="CBU122" s="198"/>
      <c r="CBV122" s="199"/>
      <c r="CBW122" s="198"/>
      <c r="CBX122" s="199"/>
      <c r="CBY122" s="198"/>
      <c r="CBZ122" s="199"/>
      <c r="CCA122" s="198"/>
      <c r="CCB122" s="199"/>
      <c r="CCC122" s="198"/>
      <c r="CCD122" s="199"/>
      <c r="CCE122" s="198"/>
      <c r="CCF122" s="199"/>
      <c r="CCG122" s="198"/>
      <c r="CCH122" s="199"/>
      <c r="CCI122" s="198"/>
      <c r="CCJ122" s="199"/>
      <c r="CCK122" s="198"/>
      <c r="CCL122" s="199"/>
      <c r="CCM122" s="198"/>
      <c r="CCN122" s="199"/>
      <c r="CCO122" s="198"/>
      <c r="CCP122" s="199"/>
      <c r="CCQ122" s="198"/>
      <c r="CCR122" s="199"/>
      <c r="CCS122" s="198"/>
      <c r="CCT122" s="199"/>
      <c r="CCU122" s="198"/>
      <c r="CCV122" s="199"/>
      <c r="CCW122" s="198"/>
      <c r="CCX122" s="199"/>
      <c r="CCY122" s="198"/>
      <c r="CCZ122" s="199"/>
      <c r="CDA122" s="198"/>
      <c r="CDB122" s="199"/>
      <c r="CDC122" s="198"/>
      <c r="CDD122" s="199"/>
      <c r="CDE122" s="198"/>
      <c r="CDF122" s="199"/>
      <c r="CDG122" s="198"/>
      <c r="CDH122" s="199"/>
      <c r="CDI122" s="198"/>
      <c r="CDJ122" s="199"/>
      <c r="CDK122" s="198"/>
      <c r="CDL122" s="199"/>
      <c r="CDM122" s="198"/>
      <c r="CDN122" s="199"/>
      <c r="CDO122" s="198"/>
      <c r="CDP122" s="199"/>
      <c r="CDQ122" s="198"/>
      <c r="CDR122" s="199"/>
      <c r="CDS122" s="198"/>
      <c r="CDT122" s="199"/>
      <c r="CDU122" s="198"/>
      <c r="CDV122" s="199"/>
      <c r="CDW122" s="198"/>
      <c r="CDX122" s="199"/>
      <c r="CDY122" s="198"/>
      <c r="CDZ122" s="199"/>
      <c r="CEA122" s="198"/>
      <c r="CEB122" s="199"/>
      <c r="CEC122" s="198"/>
      <c r="CED122" s="199"/>
      <c r="CEE122" s="198"/>
      <c r="CEF122" s="199"/>
      <c r="CEG122" s="198"/>
      <c r="CEH122" s="199"/>
      <c r="CEI122" s="198"/>
      <c r="CEJ122" s="199"/>
      <c r="CEK122" s="198"/>
      <c r="CEL122" s="199"/>
      <c r="CEM122" s="198"/>
      <c r="CEN122" s="199"/>
      <c r="CEO122" s="198"/>
      <c r="CEP122" s="199"/>
      <c r="CEQ122" s="198"/>
      <c r="CER122" s="199"/>
      <c r="CES122" s="198"/>
      <c r="CET122" s="199"/>
      <c r="CEU122" s="198"/>
      <c r="CEV122" s="199"/>
      <c r="CEW122" s="198"/>
      <c r="CEX122" s="199"/>
      <c r="CEY122" s="198"/>
      <c r="CEZ122" s="199"/>
      <c r="CFA122" s="198"/>
      <c r="CFB122" s="199"/>
      <c r="CFC122" s="198"/>
      <c r="CFD122" s="199"/>
      <c r="CFE122" s="198"/>
      <c r="CFF122" s="199"/>
      <c r="CFG122" s="198"/>
      <c r="CFH122" s="199"/>
      <c r="CFI122" s="198"/>
      <c r="CFJ122" s="199"/>
      <c r="CFK122" s="198"/>
      <c r="CFL122" s="199"/>
      <c r="CFM122" s="198"/>
      <c r="CFN122" s="199"/>
      <c r="CFO122" s="198"/>
      <c r="CFP122" s="199"/>
      <c r="CFQ122" s="198"/>
      <c r="CFR122" s="199"/>
      <c r="CFS122" s="198"/>
      <c r="CFT122" s="199"/>
      <c r="CFU122" s="198"/>
      <c r="CFV122" s="199"/>
      <c r="CFW122" s="198"/>
      <c r="CFX122" s="199"/>
      <c r="CFY122" s="198"/>
      <c r="CFZ122" s="199"/>
      <c r="CGA122" s="198"/>
      <c r="CGB122" s="199"/>
      <c r="CGC122" s="198"/>
      <c r="CGD122" s="199"/>
      <c r="CGE122" s="198"/>
      <c r="CGF122" s="199"/>
      <c r="CGG122" s="198"/>
      <c r="CGH122" s="199"/>
      <c r="CGI122" s="198"/>
      <c r="CGJ122" s="199"/>
      <c r="CGK122" s="198"/>
      <c r="CGL122" s="199"/>
      <c r="CGM122" s="198"/>
      <c r="CGN122" s="199"/>
      <c r="CGO122" s="198"/>
      <c r="CGP122" s="199"/>
      <c r="CGQ122" s="198"/>
      <c r="CGR122" s="199"/>
      <c r="CGS122" s="198"/>
      <c r="CGT122" s="199"/>
      <c r="CGU122" s="198"/>
      <c r="CGV122" s="199"/>
      <c r="CGW122" s="198"/>
      <c r="CGX122" s="199"/>
      <c r="CGY122" s="198"/>
      <c r="CGZ122" s="199"/>
      <c r="CHA122" s="198"/>
      <c r="CHB122" s="199"/>
      <c r="CHC122" s="198"/>
      <c r="CHD122" s="199"/>
      <c r="CHE122" s="198"/>
      <c r="CHF122" s="199"/>
      <c r="CHG122" s="198"/>
      <c r="CHH122" s="199"/>
      <c r="CHI122" s="198"/>
      <c r="CHJ122" s="199"/>
      <c r="CHK122" s="198"/>
      <c r="CHL122" s="199"/>
      <c r="CHM122" s="198"/>
      <c r="CHN122" s="199"/>
      <c r="CHO122" s="198"/>
      <c r="CHP122" s="199"/>
      <c r="CHQ122" s="198"/>
      <c r="CHR122" s="199"/>
      <c r="CHS122" s="198"/>
      <c r="CHT122" s="199"/>
      <c r="CHU122" s="198"/>
      <c r="CHV122" s="199"/>
      <c r="CHW122" s="198"/>
      <c r="CHX122" s="199"/>
      <c r="CHY122" s="198"/>
      <c r="CHZ122" s="199"/>
      <c r="CIA122" s="198"/>
      <c r="CIB122" s="199"/>
      <c r="CIC122" s="198"/>
      <c r="CID122" s="199"/>
      <c r="CIE122" s="198"/>
      <c r="CIF122" s="199"/>
      <c r="CIG122" s="198"/>
      <c r="CIH122" s="199"/>
      <c r="CII122" s="198"/>
      <c r="CIJ122" s="199"/>
      <c r="CIK122" s="198"/>
      <c r="CIL122" s="199"/>
      <c r="CIM122" s="198"/>
      <c r="CIN122" s="199"/>
      <c r="CIO122" s="198"/>
      <c r="CIP122" s="199"/>
      <c r="CIQ122" s="198"/>
      <c r="CIR122" s="199"/>
      <c r="CIS122" s="198"/>
      <c r="CIT122" s="199"/>
      <c r="CIU122" s="198"/>
      <c r="CIV122" s="199"/>
      <c r="CIW122" s="198"/>
      <c r="CIX122" s="199"/>
      <c r="CIY122" s="198"/>
      <c r="CIZ122" s="199"/>
      <c r="CJA122" s="198"/>
      <c r="CJB122" s="199"/>
      <c r="CJC122" s="198"/>
      <c r="CJD122" s="199"/>
      <c r="CJE122" s="198"/>
      <c r="CJF122" s="199"/>
      <c r="CJG122" s="198"/>
      <c r="CJH122" s="199"/>
      <c r="CJI122" s="198"/>
      <c r="CJJ122" s="199"/>
      <c r="CJK122" s="198"/>
      <c r="CJL122" s="199"/>
      <c r="CJM122" s="198"/>
      <c r="CJN122" s="199"/>
      <c r="CJO122" s="198"/>
      <c r="CJP122" s="199"/>
      <c r="CJQ122" s="198"/>
      <c r="CJR122" s="199"/>
      <c r="CJS122" s="198"/>
      <c r="CJT122" s="199"/>
      <c r="CJU122" s="198"/>
      <c r="CJV122" s="199"/>
      <c r="CJW122" s="198"/>
      <c r="CJX122" s="199"/>
      <c r="CJY122" s="198"/>
      <c r="CJZ122" s="199"/>
      <c r="CKA122" s="198"/>
      <c r="CKB122" s="199"/>
      <c r="CKC122" s="198"/>
      <c r="CKD122" s="199"/>
      <c r="CKE122" s="198"/>
      <c r="CKF122" s="199"/>
      <c r="CKG122" s="198"/>
      <c r="CKH122" s="199"/>
      <c r="CKI122" s="198"/>
      <c r="CKJ122" s="199"/>
      <c r="CKK122" s="198"/>
      <c r="CKL122" s="199"/>
      <c r="CKM122" s="198"/>
      <c r="CKN122" s="199"/>
      <c r="CKO122" s="198"/>
      <c r="CKP122" s="199"/>
      <c r="CKQ122" s="198"/>
      <c r="CKR122" s="199"/>
      <c r="CKS122" s="198"/>
      <c r="CKT122" s="199"/>
      <c r="CKU122" s="198"/>
      <c r="CKV122" s="199"/>
      <c r="CKW122" s="198"/>
      <c r="CKX122" s="199"/>
      <c r="CKY122" s="198"/>
      <c r="CKZ122" s="199"/>
      <c r="CLA122" s="198"/>
      <c r="CLB122" s="199"/>
      <c r="CLC122" s="198"/>
      <c r="CLD122" s="199"/>
      <c r="CLE122" s="198"/>
      <c r="CLF122" s="199"/>
      <c r="CLG122" s="198"/>
      <c r="CLH122" s="199"/>
      <c r="CLI122" s="198"/>
      <c r="CLJ122" s="199"/>
      <c r="CLK122" s="198"/>
      <c r="CLL122" s="199"/>
      <c r="CLM122" s="198"/>
      <c r="CLN122" s="199"/>
      <c r="CLO122" s="198"/>
      <c r="CLP122" s="199"/>
      <c r="CLQ122" s="198"/>
      <c r="CLR122" s="199"/>
      <c r="CLS122" s="198"/>
      <c r="CLT122" s="199"/>
      <c r="CLU122" s="198"/>
      <c r="CLV122" s="199"/>
      <c r="CLW122" s="198"/>
      <c r="CLX122" s="199"/>
      <c r="CLY122" s="198"/>
      <c r="CLZ122" s="199"/>
      <c r="CMA122" s="198"/>
      <c r="CMB122" s="199"/>
      <c r="CMC122" s="198"/>
      <c r="CMD122" s="199"/>
      <c r="CME122" s="198"/>
      <c r="CMF122" s="199"/>
      <c r="CMG122" s="198"/>
      <c r="CMH122" s="199"/>
      <c r="CMI122" s="198"/>
      <c r="CMJ122" s="199"/>
      <c r="CMK122" s="198"/>
      <c r="CML122" s="199"/>
      <c r="CMM122" s="198"/>
      <c r="CMN122" s="199"/>
      <c r="CMO122" s="198"/>
      <c r="CMP122" s="199"/>
      <c r="CMQ122" s="198"/>
      <c r="CMR122" s="199"/>
      <c r="CMS122" s="198"/>
      <c r="CMT122" s="199"/>
      <c r="CMU122" s="198"/>
      <c r="CMV122" s="199"/>
      <c r="CMW122" s="198"/>
      <c r="CMX122" s="199"/>
      <c r="CMY122" s="198"/>
      <c r="CMZ122" s="199"/>
      <c r="CNA122" s="198"/>
      <c r="CNB122" s="199"/>
      <c r="CNC122" s="198"/>
      <c r="CND122" s="199"/>
      <c r="CNE122" s="198"/>
      <c r="CNF122" s="199"/>
      <c r="CNG122" s="198"/>
      <c r="CNH122" s="199"/>
      <c r="CNI122" s="198"/>
      <c r="CNJ122" s="199"/>
      <c r="CNK122" s="198"/>
      <c r="CNL122" s="199"/>
      <c r="CNM122" s="198"/>
      <c r="CNN122" s="199"/>
      <c r="CNO122" s="198"/>
      <c r="CNP122" s="199"/>
      <c r="CNQ122" s="198"/>
      <c r="CNR122" s="199"/>
      <c r="CNS122" s="198"/>
      <c r="CNT122" s="199"/>
      <c r="CNU122" s="198"/>
      <c r="CNV122" s="199"/>
      <c r="CNW122" s="198"/>
      <c r="CNX122" s="199"/>
      <c r="CNY122" s="198"/>
      <c r="CNZ122" s="199"/>
      <c r="COA122" s="198"/>
      <c r="COB122" s="199"/>
      <c r="COC122" s="198"/>
      <c r="COD122" s="199"/>
      <c r="COE122" s="198"/>
      <c r="COF122" s="199"/>
      <c r="COG122" s="198"/>
      <c r="COH122" s="199"/>
      <c r="COI122" s="198"/>
      <c r="COJ122" s="199"/>
      <c r="COK122" s="198"/>
      <c r="COL122" s="199"/>
      <c r="COM122" s="198"/>
      <c r="CON122" s="199"/>
      <c r="COO122" s="198"/>
      <c r="COP122" s="199"/>
      <c r="COQ122" s="198"/>
      <c r="COR122" s="199"/>
      <c r="COS122" s="198"/>
      <c r="COT122" s="199"/>
      <c r="COU122" s="198"/>
      <c r="COV122" s="199"/>
      <c r="COW122" s="198"/>
      <c r="COX122" s="199"/>
      <c r="COY122" s="198"/>
      <c r="COZ122" s="199"/>
      <c r="CPA122" s="198"/>
      <c r="CPB122" s="199"/>
      <c r="CPC122" s="198"/>
      <c r="CPD122" s="199"/>
      <c r="CPE122" s="198"/>
      <c r="CPF122" s="199"/>
      <c r="CPG122" s="198"/>
      <c r="CPH122" s="199"/>
      <c r="CPI122" s="198"/>
      <c r="CPJ122" s="199"/>
      <c r="CPK122" s="198"/>
      <c r="CPL122" s="199"/>
      <c r="CPM122" s="198"/>
      <c r="CPN122" s="199"/>
      <c r="CPO122" s="198"/>
      <c r="CPP122" s="199"/>
      <c r="CPQ122" s="198"/>
      <c r="CPR122" s="199"/>
      <c r="CPS122" s="198"/>
      <c r="CPT122" s="199"/>
      <c r="CPU122" s="198"/>
      <c r="CPV122" s="199"/>
      <c r="CPW122" s="198"/>
      <c r="CPX122" s="199"/>
      <c r="CPY122" s="198"/>
      <c r="CPZ122" s="199"/>
      <c r="CQA122" s="198"/>
      <c r="CQB122" s="199"/>
      <c r="CQC122" s="198"/>
      <c r="CQD122" s="199"/>
      <c r="CQE122" s="198"/>
      <c r="CQF122" s="199"/>
      <c r="CQG122" s="198"/>
      <c r="CQH122" s="199"/>
      <c r="CQI122" s="198"/>
      <c r="CQJ122" s="199"/>
      <c r="CQK122" s="198"/>
      <c r="CQL122" s="199"/>
      <c r="CQM122" s="198"/>
      <c r="CQN122" s="199"/>
      <c r="CQO122" s="198"/>
      <c r="CQP122" s="199"/>
      <c r="CQQ122" s="198"/>
      <c r="CQR122" s="199"/>
      <c r="CQS122" s="198"/>
      <c r="CQT122" s="199"/>
      <c r="CQU122" s="198"/>
      <c r="CQV122" s="199"/>
      <c r="CQW122" s="198"/>
      <c r="CQX122" s="199"/>
      <c r="CQY122" s="198"/>
      <c r="CQZ122" s="199"/>
      <c r="CRA122" s="198"/>
      <c r="CRB122" s="199"/>
      <c r="CRC122" s="198"/>
      <c r="CRD122" s="199"/>
      <c r="CRE122" s="198"/>
      <c r="CRF122" s="199"/>
      <c r="CRG122" s="198"/>
      <c r="CRH122" s="199"/>
      <c r="CRI122" s="198"/>
      <c r="CRJ122" s="199"/>
      <c r="CRK122" s="198"/>
      <c r="CRL122" s="199"/>
      <c r="CRM122" s="198"/>
      <c r="CRN122" s="199"/>
      <c r="CRO122" s="198"/>
      <c r="CRP122" s="199"/>
      <c r="CRQ122" s="198"/>
      <c r="CRR122" s="199"/>
      <c r="CRS122" s="198"/>
      <c r="CRT122" s="199"/>
      <c r="CRU122" s="198"/>
      <c r="CRV122" s="199"/>
      <c r="CRW122" s="198"/>
      <c r="CRX122" s="199"/>
      <c r="CRY122" s="198"/>
      <c r="CRZ122" s="199"/>
      <c r="CSA122" s="198"/>
      <c r="CSB122" s="199"/>
      <c r="CSC122" s="198"/>
      <c r="CSD122" s="199"/>
      <c r="CSE122" s="198"/>
      <c r="CSF122" s="199"/>
      <c r="CSG122" s="198"/>
      <c r="CSH122" s="199"/>
      <c r="CSI122" s="198"/>
      <c r="CSJ122" s="199"/>
      <c r="CSK122" s="198"/>
      <c r="CSL122" s="199"/>
      <c r="CSM122" s="198"/>
      <c r="CSN122" s="199"/>
      <c r="CSO122" s="198"/>
      <c r="CSP122" s="199"/>
      <c r="CSQ122" s="198"/>
      <c r="CSR122" s="199"/>
      <c r="CSS122" s="198"/>
      <c r="CST122" s="199"/>
      <c r="CSU122" s="198"/>
      <c r="CSV122" s="199"/>
      <c r="CSW122" s="198"/>
      <c r="CSX122" s="199"/>
      <c r="CSY122" s="198"/>
      <c r="CSZ122" s="199"/>
      <c r="CTA122" s="198"/>
      <c r="CTB122" s="199"/>
      <c r="CTC122" s="198"/>
      <c r="CTD122" s="199"/>
      <c r="CTE122" s="198"/>
      <c r="CTF122" s="199"/>
      <c r="CTG122" s="198"/>
      <c r="CTH122" s="199"/>
      <c r="CTI122" s="198"/>
      <c r="CTJ122" s="199"/>
      <c r="CTK122" s="198"/>
      <c r="CTL122" s="199"/>
      <c r="CTM122" s="198"/>
      <c r="CTN122" s="199"/>
      <c r="CTO122" s="198"/>
      <c r="CTP122" s="199"/>
      <c r="CTQ122" s="198"/>
      <c r="CTR122" s="199"/>
      <c r="CTS122" s="198"/>
      <c r="CTT122" s="199"/>
      <c r="CTU122" s="198"/>
      <c r="CTV122" s="199"/>
      <c r="CTW122" s="198"/>
      <c r="CTX122" s="199"/>
      <c r="CTY122" s="198"/>
      <c r="CTZ122" s="199"/>
      <c r="CUA122" s="198"/>
      <c r="CUB122" s="199"/>
      <c r="CUC122" s="198"/>
      <c r="CUD122" s="199"/>
      <c r="CUE122" s="198"/>
      <c r="CUF122" s="199"/>
      <c r="CUG122" s="198"/>
      <c r="CUH122" s="199"/>
      <c r="CUI122" s="198"/>
      <c r="CUJ122" s="199"/>
      <c r="CUK122" s="198"/>
      <c r="CUL122" s="199"/>
      <c r="CUM122" s="198"/>
      <c r="CUN122" s="199"/>
      <c r="CUO122" s="198"/>
      <c r="CUP122" s="199"/>
      <c r="CUQ122" s="198"/>
      <c r="CUR122" s="199"/>
      <c r="CUS122" s="198"/>
      <c r="CUT122" s="199"/>
      <c r="CUU122" s="198"/>
      <c r="CUV122" s="199"/>
      <c r="CUW122" s="198"/>
      <c r="CUX122" s="199"/>
      <c r="CUY122" s="198"/>
      <c r="CUZ122" s="199"/>
      <c r="CVA122" s="198"/>
      <c r="CVB122" s="199"/>
      <c r="CVC122" s="198"/>
      <c r="CVD122" s="199"/>
      <c r="CVE122" s="198"/>
      <c r="CVF122" s="199"/>
      <c r="CVG122" s="198"/>
      <c r="CVH122" s="199"/>
      <c r="CVI122" s="198"/>
      <c r="CVJ122" s="199"/>
      <c r="CVK122" s="198"/>
      <c r="CVL122" s="199"/>
      <c r="CVM122" s="198"/>
      <c r="CVN122" s="199"/>
      <c r="CVO122" s="198"/>
      <c r="CVP122" s="199"/>
      <c r="CVQ122" s="198"/>
      <c r="CVR122" s="199"/>
      <c r="CVS122" s="198"/>
      <c r="CVT122" s="199"/>
      <c r="CVU122" s="198"/>
      <c r="CVV122" s="199"/>
      <c r="CVW122" s="198"/>
      <c r="CVX122" s="199"/>
      <c r="CVY122" s="198"/>
      <c r="CVZ122" s="199"/>
      <c r="CWA122" s="198"/>
      <c r="CWB122" s="199"/>
      <c r="CWC122" s="198"/>
      <c r="CWD122" s="199"/>
      <c r="CWE122" s="198"/>
      <c r="CWF122" s="199"/>
      <c r="CWG122" s="198"/>
      <c r="CWH122" s="199"/>
      <c r="CWI122" s="198"/>
      <c r="CWJ122" s="199"/>
      <c r="CWK122" s="198"/>
      <c r="CWL122" s="199"/>
      <c r="CWM122" s="198"/>
      <c r="CWN122" s="199"/>
      <c r="CWO122" s="198"/>
      <c r="CWP122" s="199"/>
      <c r="CWQ122" s="198"/>
      <c r="CWR122" s="199"/>
      <c r="CWS122" s="198"/>
      <c r="CWT122" s="199"/>
      <c r="CWU122" s="198"/>
      <c r="CWV122" s="199"/>
      <c r="CWW122" s="198"/>
      <c r="CWX122" s="199"/>
      <c r="CWY122" s="198"/>
      <c r="CWZ122" s="199"/>
      <c r="CXA122" s="198"/>
      <c r="CXB122" s="199"/>
      <c r="CXC122" s="198"/>
      <c r="CXD122" s="199"/>
      <c r="CXE122" s="198"/>
      <c r="CXF122" s="199"/>
      <c r="CXG122" s="198"/>
      <c r="CXH122" s="199"/>
      <c r="CXI122" s="198"/>
      <c r="CXJ122" s="199"/>
      <c r="CXK122" s="198"/>
      <c r="CXL122" s="199"/>
      <c r="CXM122" s="198"/>
      <c r="CXN122" s="199"/>
      <c r="CXO122" s="198"/>
      <c r="CXP122" s="199"/>
      <c r="CXQ122" s="198"/>
      <c r="CXR122" s="199"/>
      <c r="CXS122" s="198"/>
      <c r="CXT122" s="199"/>
      <c r="CXU122" s="198"/>
      <c r="CXV122" s="199"/>
      <c r="CXW122" s="198"/>
      <c r="CXX122" s="199"/>
      <c r="CXY122" s="198"/>
      <c r="CXZ122" s="199"/>
      <c r="CYA122" s="198"/>
      <c r="CYB122" s="199"/>
      <c r="CYC122" s="198"/>
      <c r="CYD122" s="199"/>
      <c r="CYE122" s="198"/>
      <c r="CYF122" s="199"/>
      <c r="CYG122" s="198"/>
      <c r="CYH122" s="199"/>
      <c r="CYI122" s="198"/>
      <c r="CYJ122" s="199"/>
      <c r="CYK122" s="198"/>
      <c r="CYL122" s="199"/>
      <c r="CYM122" s="198"/>
      <c r="CYN122" s="199"/>
      <c r="CYO122" s="198"/>
      <c r="CYP122" s="199"/>
      <c r="CYQ122" s="198"/>
      <c r="CYR122" s="199"/>
      <c r="CYS122" s="198"/>
      <c r="CYT122" s="199"/>
      <c r="CYU122" s="198"/>
      <c r="CYV122" s="199"/>
      <c r="CYW122" s="198"/>
      <c r="CYX122" s="199"/>
      <c r="CYY122" s="198"/>
      <c r="CYZ122" s="199"/>
      <c r="CZA122" s="198"/>
      <c r="CZB122" s="199"/>
      <c r="CZC122" s="198"/>
      <c r="CZD122" s="199"/>
      <c r="CZE122" s="198"/>
      <c r="CZF122" s="199"/>
      <c r="CZG122" s="198"/>
      <c r="CZH122" s="199"/>
      <c r="CZI122" s="198"/>
      <c r="CZJ122" s="199"/>
      <c r="CZK122" s="198"/>
      <c r="CZL122" s="199"/>
      <c r="CZM122" s="198"/>
      <c r="CZN122" s="199"/>
      <c r="CZO122" s="198"/>
      <c r="CZP122" s="199"/>
      <c r="CZQ122" s="198"/>
      <c r="CZR122" s="199"/>
      <c r="CZS122" s="198"/>
      <c r="CZT122" s="199"/>
      <c r="CZU122" s="198"/>
      <c r="CZV122" s="199"/>
      <c r="CZW122" s="198"/>
      <c r="CZX122" s="199"/>
      <c r="CZY122" s="198"/>
      <c r="CZZ122" s="199"/>
      <c r="DAA122" s="198"/>
      <c r="DAB122" s="199"/>
      <c r="DAC122" s="198"/>
      <c r="DAD122" s="199"/>
      <c r="DAE122" s="198"/>
      <c r="DAF122" s="199"/>
      <c r="DAG122" s="198"/>
      <c r="DAH122" s="199"/>
      <c r="DAI122" s="198"/>
      <c r="DAJ122" s="199"/>
      <c r="DAK122" s="198"/>
      <c r="DAL122" s="199"/>
      <c r="DAM122" s="198"/>
      <c r="DAN122" s="199"/>
      <c r="DAO122" s="198"/>
      <c r="DAP122" s="199"/>
      <c r="DAQ122" s="198"/>
      <c r="DAR122" s="199"/>
      <c r="DAS122" s="198"/>
      <c r="DAT122" s="199"/>
      <c r="DAU122" s="198"/>
      <c r="DAV122" s="199"/>
      <c r="DAW122" s="198"/>
      <c r="DAX122" s="199"/>
      <c r="DAY122" s="198"/>
      <c r="DAZ122" s="199"/>
      <c r="DBA122" s="198"/>
      <c r="DBB122" s="199"/>
      <c r="DBC122" s="198"/>
      <c r="DBD122" s="199"/>
      <c r="DBE122" s="198"/>
      <c r="DBF122" s="199"/>
      <c r="DBG122" s="198"/>
      <c r="DBH122" s="199"/>
      <c r="DBI122" s="198"/>
      <c r="DBJ122" s="199"/>
      <c r="DBK122" s="198"/>
      <c r="DBL122" s="199"/>
      <c r="DBM122" s="198"/>
      <c r="DBN122" s="199"/>
      <c r="DBO122" s="198"/>
      <c r="DBP122" s="199"/>
      <c r="DBQ122" s="198"/>
      <c r="DBR122" s="199"/>
      <c r="DBS122" s="198"/>
      <c r="DBT122" s="199"/>
      <c r="DBU122" s="198"/>
      <c r="DBV122" s="199"/>
      <c r="DBW122" s="198"/>
      <c r="DBX122" s="199"/>
      <c r="DBY122" s="198"/>
      <c r="DBZ122" s="199"/>
      <c r="DCA122" s="198"/>
      <c r="DCB122" s="199"/>
      <c r="DCC122" s="198"/>
      <c r="DCD122" s="199"/>
      <c r="DCE122" s="198"/>
      <c r="DCF122" s="199"/>
      <c r="DCG122" s="198"/>
      <c r="DCH122" s="199"/>
      <c r="DCI122" s="198"/>
      <c r="DCJ122" s="199"/>
      <c r="DCK122" s="198"/>
      <c r="DCL122" s="199"/>
      <c r="DCM122" s="198"/>
      <c r="DCN122" s="199"/>
      <c r="DCO122" s="198"/>
      <c r="DCP122" s="199"/>
      <c r="DCQ122" s="198"/>
      <c r="DCR122" s="199"/>
      <c r="DCS122" s="198"/>
      <c r="DCT122" s="199"/>
      <c r="DCU122" s="198"/>
      <c r="DCV122" s="199"/>
      <c r="DCW122" s="198"/>
      <c r="DCX122" s="199"/>
      <c r="DCY122" s="198"/>
      <c r="DCZ122" s="199"/>
      <c r="DDA122" s="198"/>
      <c r="DDB122" s="199"/>
      <c r="DDC122" s="198"/>
      <c r="DDD122" s="199"/>
      <c r="DDE122" s="198"/>
      <c r="DDF122" s="199"/>
      <c r="DDG122" s="198"/>
      <c r="DDH122" s="199"/>
      <c r="DDI122" s="198"/>
      <c r="DDJ122" s="199"/>
      <c r="DDK122" s="198"/>
      <c r="DDL122" s="199"/>
      <c r="DDM122" s="198"/>
      <c r="DDN122" s="199"/>
      <c r="DDO122" s="198"/>
      <c r="DDP122" s="199"/>
      <c r="DDQ122" s="198"/>
      <c r="DDR122" s="199"/>
      <c r="DDS122" s="198"/>
      <c r="DDT122" s="199"/>
      <c r="DDU122" s="198"/>
      <c r="DDV122" s="199"/>
      <c r="DDW122" s="198"/>
      <c r="DDX122" s="199"/>
      <c r="DDY122" s="198"/>
      <c r="DDZ122" s="199"/>
      <c r="DEA122" s="198"/>
      <c r="DEB122" s="199"/>
      <c r="DEC122" s="198"/>
      <c r="DED122" s="199"/>
      <c r="DEE122" s="198"/>
      <c r="DEF122" s="199"/>
      <c r="DEG122" s="198"/>
      <c r="DEH122" s="199"/>
      <c r="DEI122" s="198"/>
      <c r="DEJ122" s="199"/>
      <c r="DEK122" s="198"/>
      <c r="DEL122" s="199"/>
      <c r="DEM122" s="198"/>
      <c r="DEN122" s="199"/>
      <c r="DEO122" s="198"/>
      <c r="DEP122" s="199"/>
      <c r="DEQ122" s="198"/>
      <c r="DER122" s="199"/>
      <c r="DES122" s="198"/>
      <c r="DET122" s="199"/>
      <c r="DEU122" s="198"/>
      <c r="DEV122" s="199"/>
      <c r="DEW122" s="198"/>
      <c r="DEX122" s="199"/>
      <c r="DEY122" s="198"/>
      <c r="DEZ122" s="199"/>
      <c r="DFA122" s="198"/>
      <c r="DFB122" s="199"/>
      <c r="DFC122" s="198"/>
      <c r="DFD122" s="199"/>
      <c r="DFE122" s="198"/>
      <c r="DFF122" s="199"/>
      <c r="DFG122" s="198"/>
      <c r="DFH122" s="199"/>
      <c r="DFI122" s="198"/>
      <c r="DFJ122" s="199"/>
      <c r="DFK122" s="198"/>
      <c r="DFL122" s="199"/>
      <c r="DFM122" s="198"/>
      <c r="DFN122" s="199"/>
      <c r="DFO122" s="198"/>
      <c r="DFP122" s="199"/>
      <c r="DFQ122" s="198"/>
      <c r="DFR122" s="199"/>
      <c r="DFS122" s="198"/>
      <c r="DFT122" s="199"/>
      <c r="DFU122" s="198"/>
      <c r="DFV122" s="199"/>
      <c r="DFW122" s="198"/>
      <c r="DFX122" s="199"/>
      <c r="DFY122" s="198"/>
      <c r="DFZ122" s="199"/>
      <c r="DGA122" s="198"/>
      <c r="DGB122" s="199"/>
      <c r="DGC122" s="198"/>
      <c r="DGD122" s="199"/>
      <c r="DGE122" s="198"/>
      <c r="DGF122" s="199"/>
      <c r="DGG122" s="198"/>
      <c r="DGH122" s="199"/>
      <c r="DGI122" s="198"/>
      <c r="DGJ122" s="199"/>
      <c r="DGK122" s="198"/>
      <c r="DGL122" s="199"/>
      <c r="DGM122" s="198"/>
      <c r="DGN122" s="199"/>
      <c r="DGO122" s="198"/>
      <c r="DGP122" s="199"/>
      <c r="DGQ122" s="198"/>
      <c r="DGR122" s="199"/>
      <c r="DGS122" s="198"/>
      <c r="DGT122" s="199"/>
      <c r="DGU122" s="198"/>
      <c r="DGV122" s="199"/>
      <c r="DGW122" s="198"/>
      <c r="DGX122" s="199"/>
      <c r="DGY122" s="198"/>
      <c r="DGZ122" s="199"/>
      <c r="DHA122" s="198"/>
      <c r="DHB122" s="199"/>
      <c r="DHC122" s="198"/>
      <c r="DHD122" s="199"/>
      <c r="DHE122" s="198"/>
      <c r="DHF122" s="199"/>
      <c r="DHG122" s="198"/>
      <c r="DHH122" s="199"/>
      <c r="DHI122" s="198"/>
      <c r="DHJ122" s="199"/>
      <c r="DHK122" s="198"/>
      <c r="DHL122" s="199"/>
      <c r="DHM122" s="198"/>
      <c r="DHN122" s="199"/>
      <c r="DHO122" s="198"/>
      <c r="DHP122" s="199"/>
      <c r="DHQ122" s="198"/>
      <c r="DHR122" s="199"/>
      <c r="DHS122" s="198"/>
      <c r="DHT122" s="199"/>
      <c r="DHU122" s="198"/>
      <c r="DHV122" s="199"/>
      <c r="DHW122" s="198"/>
      <c r="DHX122" s="199"/>
      <c r="DHY122" s="198"/>
      <c r="DHZ122" s="199"/>
      <c r="DIA122" s="198"/>
      <c r="DIB122" s="199"/>
      <c r="DIC122" s="198"/>
      <c r="DID122" s="199"/>
      <c r="DIE122" s="198"/>
      <c r="DIF122" s="199"/>
      <c r="DIG122" s="198"/>
      <c r="DIH122" s="199"/>
      <c r="DII122" s="198"/>
      <c r="DIJ122" s="199"/>
      <c r="DIK122" s="198"/>
      <c r="DIL122" s="199"/>
      <c r="DIM122" s="198"/>
      <c r="DIN122" s="199"/>
      <c r="DIO122" s="198"/>
      <c r="DIP122" s="199"/>
      <c r="DIQ122" s="198"/>
      <c r="DIR122" s="199"/>
      <c r="DIS122" s="198"/>
      <c r="DIT122" s="199"/>
      <c r="DIU122" s="198"/>
      <c r="DIV122" s="199"/>
      <c r="DIW122" s="198"/>
      <c r="DIX122" s="199"/>
      <c r="DIY122" s="198"/>
      <c r="DIZ122" s="199"/>
      <c r="DJA122" s="198"/>
      <c r="DJB122" s="199"/>
      <c r="DJC122" s="198"/>
      <c r="DJD122" s="199"/>
      <c r="DJE122" s="198"/>
      <c r="DJF122" s="199"/>
      <c r="DJG122" s="198"/>
      <c r="DJH122" s="199"/>
      <c r="DJI122" s="198"/>
      <c r="DJJ122" s="199"/>
      <c r="DJK122" s="198"/>
      <c r="DJL122" s="199"/>
      <c r="DJM122" s="198"/>
      <c r="DJN122" s="199"/>
      <c r="DJO122" s="198"/>
      <c r="DJP122" s="199"/>
      <c r="DJQ122" s="198"/>
      <c r="DJR122" s="199"/>
      <c r="DJS122" s="198"/>
      <c r="DJT122" s="199"/>
      <c r="DJU122" s="198"/>
      <c r="DJV122" s="199"/>
      <c r="DJW122" s="198"/>
      <c r="DJX122" s="199"/>
      <c r="DJY122" s="198"/>
      <c r="DJZ122" s="199"/>
      <c r="DKA122" s="198"/>
      <c r="DKB122" s="199"/>
      <c r="DKC122" s="198"/>
      <c r="DKD122" s="199"/>
      <c r="DKE122" s="198"/>
      <c r="DKF122" s="199"/>
      <c r="DKG122" s="198"/>
      <c r="DKH122" s="199"/>
      <c r="DKI122" s="198"/>
      <c r="DKJ122" s="199"/>
      <c r="DKK122" s="198"/>
      <c r="DKL122" s="199"/>
      <c r="DKM122" s="198"/>
      <c r="DKN122" s="199"/>
      <c r="DKO122" s="198"/>
      <c r="DKP122" s="199"/>
      <c r="DKQ122" s="198"/>
      <c r="DKR122" s="199"/>
      <c r="DKS122" s="198"/>
      <c r="DKT122" s="199"/>
      <c r="DKU122" s="198"/>
      <c r="DKV122" s="199"/>
      <c r="DKW122" s="198"/>
      <c r="DKX122" s="199"/>
      <c r="DKY122" s="198"/>
      <c r="DKZ122" s="199"/>
      <c r="DLA122" s="198"/>
      <c r="DLB122" s="199"/>
      <c r="DLC122" s="198"/>
      <c r="DLD122" s="199"/>
      <c r="DLE122" s="198"/>
      <c r="DLF122" s="199"/>
      <c r="DLG122" s="198"/>
      <c r="DLH122" s="199"/>
      <c r="DLI122" s="198"/>
      <c r="DLJ122" s="199"/>
      <c r="DLK122" s="198"/>
      <c r="DLL122" s="199"/>
      <c r="DLM122" s="198"/>
      <c r="DLN122" s="199"/>
      <c r="DLO122" s="198"/>
      <c r="DLP122" s="199"/>
      <c r="DLQ122" s="198"/>
      <c r="DLR122" s="199"/>
      <c r="DLS122" s="198"/>
      <c r="DLT122" s="199"/>
      <c r="DLU122" s="198"/>
      <c r="DLV122" s="199"/>
      <c r="DLW122" s="198"/>
      <c r="DLX122" s="199"/>
      <c r="DLY122" s="198"/>
      <c r="DLZ122" s="199"/>
      <c r="DMA122" s="198"/>
      <c r="DMB122" s="199"/>
      <c r="DMC122" s="198"/>
      <c r="DMD122" s="199"/>
      <c r="DME122" s="198"/>
      <c r="DMF122" s="199"/>
      <c r="DMG122" s="198"/>
      <c r="DMH122" s="199"/>
      <c r="DMI122" s="198"/>
      <c r="DMJ122" s="199"/>
      <c r="DMK122" s="198"/>
      <c r="DML122" s="199"/>
      <c r="DMM122" s="198"/>
      <c r="DMN122" s="199"/>
      <c r="DMO122" s="198"/>
      <c r="DMP122" s="199"/>
      <c r="DMQ122" s="198"/>
      <c r="DMR122" s="199"/>
      <c r="DMS122" s="198"/>
      <c r="DMT122" s="199"/>
      <c r="DMU122" s="198"/>
      <c r="DMV122" s="199"/>
      <c r="DMW122" s="198"/>
      <c r="DMX122" s="199"/>
      <c r="DMY122" s="198"/>
      <c r="DMZ122" s="199"/>
      <c r="DNA122" s="198"/>
      <c r="DNB122" s="199"/>
      <c r="DNC122" s="198"/>
      <c r="DND122" s="199"/>
      <c r="DNE122" s="198"/>
      <c r="DNF122" s="199"/>
      <c r="DNG122" s="198"/>
      <c r="DNH122" s="199"/>
      <c r="DNI122" s="198"/>
      <c r="DNJ122" s="199"/>
      <c r="DNK122" s="198"/>
      <c r="DNL122" s="199"/>
      <c r="DNM122" s="198"/>
      <c r="DNN122" s="199"/>
      <c r="DNO122" s="198"/>
      <c r="DNP122" s="199"/>
      <c r="DNQ122" s="198"/>
      <c r="DNR122" s="199"/>
      <c r="DNS122" s="198"/>
      <c r="DNT122" s="199"/>
      <c r="DNU122" s="198"/>
      <c r="DNV122" s="199"/>
      <c r="DNW122" s="198"/>
      <c r="DNX122" s="199"/>
      <c r="DNY122" s="198"/>
      <c r="DNZ122" s="199"/>
      <c r="DOA122" s="198"/>
      <c r="DOB122" s="199"/>
      <c r="DOC122" s="198"/>
      <c r="DOD122" s="199"/>
      <c r="DOE122" s="198"/>
      <c r="DOF122" s="199"/>
      <c r="DOG122" s="198"/>
      <c r="DOH122" s="199"/>
      <c r="DOI122" s="198"/>
      <c r="DOJ122" s="199"/>
      <c r="DOK122" s="198"/>
      <c r="DOL122" s="199"/>
      <c r="DOM122" s="198"/>
      <c r="DON122" s="199"/>
      <c r="DOO122" s="198"/>
      <c r="DOP122" s="199"/>
      <c r="DOQ122" s="198"/>
      <c r="DOR122" s="199"/>
      <c r="DOS122" s="198"/>
      <c r="DOT122" s="199"/>
      <c r="DOU122" s="198"/>
      <c r="DOV122" s="199"/>
      <c r="DOW122" s="198"/>
      <c r="DOX122" s="199"/>
      <c r="DOY122" s="198"/>
      <c r="DOZ122" s="199"/>
      <c r="DPA122" s="198"/>
      <c r="DPB122" s="199"/>
      <c r="DPC122" s="198"/>
      <c r="DPD122" s="199"/>
      <c r="DPE122" s="198"/>
      <c r="DPF122" s="199"/>
      <c r="DPG122" s="198"/>
      <c r="DPH122" s="199"/>
      <c r="DPI122" s="198"/>
      <c r="DPJ122" s="199"/>
      <c r="DPK122" s="198"/>
      <c r="DPL122" s="199"/>
      <c r="DPM122" s="198"/>
      <c r="DPN122" s="199"/>
      <c r="DPO122" s="198"/>
      <c r="DPP122" s="199"/>
      <c r="DPQ122" s="198"/>
      <c r="DPR122" s="199"/>
      <c r="DPS122" s="198"/>
      <c r="DPT122" s="199"/>
      <c r="DPU122" s="198"/>
      <c r="DPV122" s="199"/>
      <c r="DPW122" s="198"/>
      <c r="DPX122" s="199"/>
      <c r="DPY122" s="198"/>
      <c r="DPZ122" s="199"/>
      <c r="DQA122" s="198"/>
      <c r="DQB122" s="199"/>
      <c r="DQC122" s="198"/>
      <c r="DQD122" s="199"/>
      <c r="DQE122" s="198"/>
      <c r="DQF122" s="199"/>
      <c r="DQG122" s="198"/>
      <c r="DQH122" s="199"/>
      <c r="DQI122" s="198"/>
      <c r="DQJ122" s="199"/>
      <c r="DQK122" s="198"/>
      <c r="DQL122" s="199"/>
      <c r="DQM122" s="198"/>
      <c r="DQN122" s="199"/>
      <c r="DQO122" s="198"/>
      <c r="DQP122" s="199"/>
      <c r="DQQ122" s="198"/>
      <c r="DQR122" s="199"/>
      <c r="DQS122" s="198"/>
      <c r="DQT122" s="199"/>
      <c r="DQU122" s="198"/>
      <c r="DQV122" s="199"/>
      <c r="DQW122" s="198"/>
      <c r="DQX122" s="199"/>
      <c r="DQY122" s="198"/>
      <c r="DQZ122" s="199"/>
      <c r="DRA122" s="198"/>
      <c r="DRB122" s="199"/>
      <c r="DRC122" s="198"/>
      <c r="DRD122" s="199"/>
      <c r="DRE122" s="198"/>
      <c r="DRF122" s="199"/>
      <c r="DRG122" s="198"/>
      <c r="DRH122" s="199"/>
      <c r="DRI122" s="198"/>
      <c r="DRJ122" s="199"/>
      <c r="DRK122" s="198"/>
      <c r="DRL122" s="199"/>
      <c r="DRM122" s="198"/>
      <c r="DRN122" s="199"/>
      <c r="DRO122" s="198"/>
      <c r="DRP122" s="199"/>
      <c r="DRQ122" s="198"/>
      <c r="DRR122" s="199"/>
      <c r="DRS122" s="198"/>
      <c r="DRT122" s="199"/>
      <c r="DRU122" s="198"/>
      <c r="DRV122" s="199"/>
      <c r="DRW122" s="198"/>
      <c r="DRX122" s="199"/>
      <c r="DRY122" s="198"/>
      <c r="DRZ122" s="199"/>
      <c r="DSA122" s="198"/>
      <c r="DSB122" s="199"/>
      <c r="DSC122" s="198"/>
      <c r="DSD122" s="199"/>
      <c r="DSE122" s="198"/>
      <c r="DSF122" s="199"/>
      <c r="DSG122" s="198"/>
      <c r="DSH122" s="199"/>
      <c r="DSI122" s="198"/>
      <c r="DSJ122" s="199"/>
      <c r="DSK122" s="198"/>
      <c r="DSL122" s="199"/>
      <c r="DSM122" s="198"/>
      <c r="DSN122" s="199"/>
      <c r="DSO122" s="198"/>
      <c r="DSP122" s="199"/>
      <c r="DSQ122" s="198"/>
      <c r="DSR122" s="199"/>
      <c r="DSS122" s="198"/>
      <c r="DST122" s="199"/>
      <c r="DSU122" s="198"/>
      <c r="DSV122" s="199"/>
      <c r="DSW122" s="198"/>
      <c r="DSX122" s="199"/>
      <c r="DSY122" s="198"/>
      <c r="DSZ122" s="199"/>
      <c r="DTA122" s="198"/>
      <c r="DTB122" s="199"/>
      <c r="DTC122" s="198"/>
      <c r="DTD122" s="199"/>
      <c r="DTE122" s="198"/>
      <c r="DTF122" s="199"/>
      <c r="DTG122" s="198"/>
      <c r="DTH122" s="199"/>
      <c r="DTI122" s="198"/>
      <c r="DTJ122" s="199"/>
      <c r="DTK122" s="198"/>
      <c r="DTL122" s="199"/>
      <c r="DTM122" s="198"/>
      <c r="DTN122" s="199"/>
      <c r="DTO122" s="198"/>
      <c r="DTP122" s="199"/>
      <c r="DTQ122" s="198"/>
      <c r="DTR122" s="199"/>
      <c r="DTS122" s="198"/>
      <c r="DTT122" s="199"/>
      <c r="DTU122" s="198"/>
      <c r="DTV122" s="199"/>
      <c r="DTW122" s="198"/>
      <c r="DTX122" s="199"/>
      <c r="DTY122" s="198"/>
      <c r="DTZ122" s="199"/>
      <c r="DUA122" s="198"/>
      <c r="DUB122" s="199"/>
      <c r="DUC122" s="198"/>
      <c r="DUD122" s="199"/>
      <c r="DUE122" s="198"/>
      <c r="DUF122" s="199"/>
      <c r="DUG122" s="198"/>
      <c r="DUH122" s="199"/>
      <c r="DUI122" s="198"/>
      <c r="DUJ122" s="199"/>
      <c r="DUK122" s="198"/>
      <c r="DUL122" s="199"/>
      <c r="DUM122" s="198"/>
      <c r="DUN122" s="199"/>
      <c r="DUO122" s="198"/>
      <c r="DUP122" s="199"/>
      <c r="DUQ122" s="198"/>
      <c r="DUR122" s="199"/>
      <c r="DUS122" s="198"/>
      <c r="DUT122" s="199"/>
      <c r="DUU122" s="198"/>
      <c r="DUV122" s="199"/>
      <c r="DUW122" s="198"/>
      <c r="DUX122" s="199"/>
      <c r="DUY122" s="198"/>
      <c r="DUZ122" s="199"/>
      <c r="DVA122" s="198"/>
      <c r="DVB122" s="199"/>
      <c r="DVC122" s="198"/>
      <c r="DVD122" s="199"/>
      <c r="DVE122" s="198"/>
      <c r="DVF122" s="199"/>
      <c r="DVG122" s="198"/>
      <c r="DVH122" s="199"/>
      <c r="DVI122" s="198"/>
      <c r="DVJ122" s="199"/>
      <c r="DVK122" s="198"/>
      <c r="DVL122" s="199"/>
      <c r="DVM122" s="198"/>
      <c r="DVN122" s="199"/>
      <c r="DVO122" s="198"/>
      <c r="DVP122" s="199"/>
      <c r="DVQ122" s="198"/>
      <c r="DVR122" s="199"/>
      <c r="DVS122" s="198"/>
      <c r="DVT122" s="199"/>
      <c r="DVU122" s="198"/>
      <c r="DVV122" s="199"/>
      <c r="DVW122" s="198"/>
      <c r="DVX122" s="199"/>
      <c r="DVY122" s="198"/>
      <c r="DVZ122" s="199"/>
      <c r="DWA122" s="198"/>
      <c r="DWB122" s="199"/>
      <c r="DWC122" s="198"/>
      <c r="DWD122" s="199"/>
      <c r="DWE122" s="198"/>
      <c r="DWF122" s="199"/>
      <c r="DWG122" s="198"/>
      <c r="DWH122" s="199"/>
      <c r="DWI122" s="198"/>
      <c r="DWJ122" s="199"/>
      <c r="DWK122" s="198"/>
      <c r="DWL122" s="199"/>
      <c r="DWM122" s="198"/>
      <c r="DWN122" s="199"/>
      <c r="DWO122" s="198"/>
      <c r="DWP122" s="199"/>
      <c r="DWQ122" s="198"/>
      <c r="DWR122" s="199"/>
      <c r="DWS122" s="198"/>
      <c r="DWT122" s="199"/>
      <c r="DWU122" s="198"/>
      <c r="DWV122" s="199"/>
      <c r="DWW122" s="198"/>
      <c r="DWX122" s="199"/>
      <c r="DWY122" s="198"/>
      <c r="DWZ122" s="199"/>
      <c r="DXA122" s="198"/>
      <c r="DXB122" s="199"/>
      <c r="DXC122" s="198"/>
      <c r="DXD122" s="199"/>
      <c r="DXE122" s="198"/>
      <c r="DXF122" s="199"/>
      <c r="DXG122" s="198"/>
      <c r="DXH122" s="199"/>
      <c r="DXI122" s="198"/>
      <c r="DXJ122" s="199"/>
      <c r="DXK122" s="198"/>
      <c r="DXL122" s="199"/>
      <c r="DXM122" s="198"/>
      <c r="DXN122" s="199"/>
      <c r="DXO122" s="198"/>
      <c r="DXP122" s="199"/>
      <c r="DXQ122" s="198"/>
      <c r="DXR122" s="199"/>
      <c r="DXS122" s="198"/>
      <c r="DXT122" s="199"/>
      <c r="DXU122" s="198"/>
      <c r="DXV122" s="199"/>
      <c r="DXW122" s="198"/>
      <c r="DXX122" s="199"/>
      <c r="DXY122" s="198"/>
      <c r="DXZ122" s="199"/>
      <c r="DYA122" s="198"/>
      <c r="DYB122" s="199"/>
      <c r="DYC122" s="198"/>
      <c r="DYD122" s="199"/>
      <c r="DYE122" s="198"/>
      <c r="DYF122" s="199"/>
      <c r="DYG122" s="198"/>
      <c r="DYH122" s="199"/>
      <c r="DYI122" s="198"/>
      <c r="DYJ122" s="199"/>
      <c r="DYK122" s="198"/>
      <c r="DYL122" s="199"/>
      <c r="DYM122" s="198"/>
      <c r="DYN122" s="199"/>
      <c r="DYO122" s="198"/>
      <c r="DYP122" s="199"/>
      <c r="DYQ122" s="198"/>
      <c r="DYR122" s="199"/>
      <c r="DYS122" s="198"/>
      <c r="DYT122" s="199"/>
      <c r="DYU122" s="198"/>
      <c r="DYV122" s="199"/>
      <c r="DYW122" s="198"/>
      <c r="DYX122" s="199"/>
      <c r="DYY122" s="198"/>
      <c r="DYZ122" s="199"/>
      <c r="DZA122" s="198"/>
      <c r="DZB122" s="199"/>
      <c r="DZC122" s="198"/>
      <c r="DZD122" s="199"/>
      <c r="DZE122" s="198"/>
      <c r="DZF122" s="199"/>
      <c r="DZG122" s="198"/>
      <c r="DZH122" s="199"/>
      <c r="DZI122" s="198"/>
      <c r="DZJ122" s="199"/>
      <c r="DZK122" s="198"/>
      <c r="DZL122" s="199"/>
      <c r="DZM122" s="198"/>
      <c r="DZN122" s="199"/>
      <c r="DZO122" s="198"/>
      <c r="DZP122" s="199"/>
      <c r="DZQ122" s="198"/>
      <c r="DZR122" s="199"/>
      <c r="DZS122" s="198"/>
      <c r="DZT122" s="199"/>
      <c r="DZU122" s="198"/>
      <c r="DZV122" s="199"/>
      <c r="DZW122" s="198"/>
      <c r="DZX122" s="199"/>
      <c r="DZY122" s="198"/>
      <c r="DZZ122" s="199"/>
      <c r="EAA122" s="198"/>
      <c r="EAB122" s="199"/>
      <c r="EAC122" s="198"/>
      <c r="EAD122" s="199"/>
      <c r="EAE122" s="198"/>
      <c r="EAF122" s="199"/>
      <c r="EAG122" s="198"/>
      <c r="EAH122" s="199"/>
      <c r="EAI122" s="198"/>
      <c r="EAJ122" s="199"/>
      <c r="EAK122" s="198"/>
      <c r="EAL122" s="199"/>
      <c r="EAM122" s="198"/>
      <c r="EAN122" s="199"/>
      <c r="EAO122" s="198"/>
      <c r="EAP122" s="199"/>
      <c r="EAQ122" s="198"/>
      <c r="EAR122" s="199"/>
      <c r="EAS122" s="198"/>
      <c r="EAT122" s="199"/>
      <c r="EAU122" s="198"/>
      <c r="EAV122" s="199"/>
      <c r="EAW122" s="198"/>
      <c r="EAX122" s="199"/>
      <c r="EAY122" s="198"/>
      <c r="EAZ122" s="199"/>
      <c r="EBA122" s="198"/>
      <c r="EBB122" s="199"/>
      <c r="EBC122" s="198"/>
      <c r="EBD122" s="199"/>
      <c r="EBE122" s="198"/>
      <c r="EBF122" s="199"/>
      <c r="EBG122" s="198"/>
      <c r="EBH122" s="199"/>
      <c r="EBI122" s="198"/>
      <c r="EBJ122" s="199"/>
      <c r="EBK122" s="198"/>
      <c r="EBL122" s="199"/>
      <c r="EBM122" s="198"/>
      <c r="EBN122" s="199"/>
      <c r="EBO122" s="198"/>
      <c r="EBP122" s="199"/>
      <c r="EBQ122" s="198"/>
      <c r="EBR122" s="199"/>
      <c r="EBS122" s="198"/>
      <c r="EBT122" s="199"/>
      <c r="EBU122" s="198"/>
      <c r="EBV122" s="199"/>
      <c r="EBW122" s="198"/>
      <c r="EBX122" s="199"/>
      <c r="EBY122" s="198"/>
      <c r="EBZ122" s="199"/>
      <c r="ECA122" s="198"/>
      <c r="ECB122" s="199"/>
      <c r="ECC122" s="198"/>
      <c r="ECD122" s="199"/>
      <c r="ECE122" s="198"/>
      <c r="ECF122" s="199"/>
      <c r="ECG122" s="198"/>
      <c r="ECH122" s="199"/>
      <c r="ECI122" s="198"/>
      <c r="ECJ122" s="199"/>
      <c r="ECK122" s="198"/>
      <c r="ECL122" s="199"/>
      <c r="ECM122" s="198"/>
      <c r="ECN122" s="199"/>
      <c r="ECO122" s="198"/>
      <c r="ECP122" s="199"/>
      <c r="ECQ122" s="198"/>
      <c r="ECR122" s="199"/>
      <c r="ECS122" s="198"/>
      <c r="ECT122" s="199"/>
      <c r="ECU122" s="198"/>
      <c r="ECV122" s="199"/>
      <c r="ECW122" s="198"/>
      <c r="ECX122" s="199"/>
      <c r="ECY122" s="198"/>
      <c r="ECZ122" s="199"/>
      <c r="EDA122" s="198"/>
      <c r="EDB122" s="199"/>
      <c r="EDC122" s="198"/>
      <c r="EDD122" s="199"/>
      <c r="EDE122" s="198"/>
      <c r="EDF122" s="199"/>
      <c r="EDG122" s="198"/>
      <c r="EDH122" s="199"/>
      <c r="EDI122" s="198"/>
      <c r="EDJ122" s="199"/>
      <c r="EDK122" s="198"/>
      <c r="EDL122" s="199"/>
      <c r="EDM122" s="198"/>
      <c r="EDN122" s="199"/>
      <c r="EDO122" s="198"/>
      <c r="EDP122" s="199"/>
      <c r="EDQ122" s="198"/>
      <c r="EDR122" s="199"/>
      <c r="EDS122" s="198"/>
      <c r="EDT122" s="199"/>
      <c r="EDU122" s="198"/>
      <c r="EDV122" s="199"/>
      <c r="EDW122" s="198"/>
      <c r="EDX122" s="199"/>
      <c r="EDY122" s="198"/>
      <c r="EDZ122" s="199"/>
      <c r="EEA122" s="198"/>
      <c r="EEB122" s="199"/>
      <c r="EEC122" s="198"/>
      <c r="EED122" s="199"/>
      <c r="EEE122" s="198"/>
      <c r="EEF122" s="199"/>
      <c r="EEG122" s="198"/>
      <c r="EEH122" s="199"/>
      <c r="EEI122" s="198"/>
      <c r="EEJ122" s="199"/>
      <c r="EEK122" s="198"/>
      <c r="EEL122" s="199"/>
      <c r="EEM122" s="198"/>
      <c r="EEN122" s="199"/>
      <c r="EEO122" s="198"/>
      <c r="EEP122" s="199"/>
      <c r="EEQ122" s="198"/>
      <c r="EER122" s="199"/>
      <c r="EES122" s="198"/>
      <c r="EET122" s="199"/>
      <c r="EEU122" s="198"/>
      <c r="EEV122" s="199"/>
      <c r="EEW122" s="198"/>
      <c r="EEX122" s="199"/>
      <c r="EEY122" s="198"/>
      <c r="EEZ122" s="199"/>
      <c r="EFA122" s="198"/>
      <c r="EFB122" s="199"/>
      <c r="EFC122" s="198"/>
      <c r="EFD122" s="199"/>
      <c r="EFE122" s="198"/>
      <c r="EFF122" s="199"/>
      <c r="EFG122" s="198"/>
      <c r="EFH122" s="199"/>
      <c r="EFI122" s="198"/>
      <c r="EFJ122" s="199"/>
      <c r="EFK122" s="198"/>
      <c r="EFL122" s="199"/>
      <c r="EFM122" s="198"/>
      <c r="EFN122" s="199"/>
      <c r="EFO122" s="198"/>
      <c r="EFP122" s="199"/>
      <c r="EFQ122" s="198"/>
      <c r="EFR122" s="199"/>
      <c r="EFS122" s="198"/>
      <c r="EFT122" s="199"/>
      <c r="EFU122" s="198"/>
      <c r="EFV122" s="199"/>
      <c r="EFW122" s="198"/>
      <c r="EFX122" s="199"/>
      <c r="EFY122" s="198"/>
      <c r="EFZ122" s="199"/>
      <c r="EGA122" s="198"/>
      <c r="EGB122" s="199"/>
      <c r="EGC122" s="198"/>
      <c r="EGD122" s="199"/>
      <c r="EGE122" s="198"/>
      <c r="EGF122" s="199"/>
      <c r="EGG122" s="198"/>
      <c r="EGH122" s="199"/>
      <c r="EGI122" s="198"/>
      <c r="EGJ122" s="199"/>
      <c r="EGK122" s="198"/>
      <c r="EGL122" s="199"/>
      <c r="EGM122" s="198"/>
      <c r="EGN122" s="199"/>
      <c r="EGO122" s="198"/>
      <c r="EGP122" s="199"/>
      <c r="EGQ122" s="198"/>
      <c r="EGR122" s="199"/>
      <c r="EGS122" s="198"/>
      <c r="EGT122" s="199"/>
      <c r="EGU122" s="198"/>
      <c r="EGV122" s="199"/>
      <c r="EGW122" s="198"/>
      <c r="EGX122" s="199"/>
      <c r="EGY122" s="198"/>
      <c r="EGZ122" s="199"/>
      <c r="EHA122" s="198"/>
      <c r="EHB122" s="199"/>
      <c r="EHC122" s="198"/>
      <c r="EHD122" s="199"/>
      <c r="EHE122" s="198"/>
      <c r="EHF122" s="199"/>
      <c r="EHG122" s="198"/>
      <c r="EHH122" s="199"/>
      <c r="EHI122" s="198"/>
      <c r="EHJ122" s="199"/>
      <c r="EHK122" s="198"/>
      <c r="EHL122" s="199"/>
      <c r="EHM122" s="198"/>
      <c r="EHN122" s="199"/>
      <c r="EHO122" s="198"/>
      <c r="EHP122" s="199"/>
      <c r="EHQ122" s="198"/>
      <c r="EHR122" s="199"/>
      <c r="EHS122" s="198"/>
      <c r="EHT122" s="199"/>
      <c r="EHU122" s="198"/>
      <c r="EHV122" s="199"/>
      <c r="EHW122" s="198"/>
      <c r="EHX122" s="199"/>
      <c r="EHY122" s="198"/>
      <c r="EHZ122" s="199"/>
      <c r="EIA122" s="198"/>
      <c r="EIB122" s="199"/>
      <c r="EIC122" s="198"/>
      <c r="EID122" s="199"/>
      <c r="EIE122" s="198"/>
      <c r="EIF122" s="199"/>
      <c r="EIG122" s="198"/>
      <c r="EIH122" s="199"/>
      <c r="EII122" s="198"/>
      <c r="EIJ122" s="199"/>
      <c r="EIK122" s="198"/>
      <c r="EIL122" s="199"/>
      <c r="EIM122" s="198"/>
      <c r="EIN122" s="199"/>
      <c r="EIO122" s="198"/>
      <c r="EIP122" s="199"/>
      <c r="EIQ122" s="198"/>
      <c r="EIR122" s="199"/>
      <c r="EIS122" s="198"/>
      <c r="EIT122" s="199"/>
      <c r="EIU122" s="198"/>
      <c r="EIV122" s="199"/>
      <c r="EIW122" s="198"/>
      <c r="EIX122" s="199"/>
      <c r="EIY122" s="198"/>
      <c r="EIZ122" s="199"/>
      <c r="EJA122" s="198"/>
      <c r="EJB122" s="199"/>
      <c r="EJC122" s="198"/>
      <c r="EJD122" s="199"/>
      <c r="EJE122" s="198"/>
      <c r="EJF122" s="199"/>
      <c r="EJG122" s="198"/>
      <c r="EJH122" s="199"/>
      <c r="EJI122" s="198"/>
      <c r="EJJ122" s="199"/>
      <c r="EJK122" s="198"/>
      <c r="EJL122" s="199"/>
      <c r="EJM122" s="198"/>
      <c r="EJN122" s="199"/>
      <c r="EJO122" s="198"/>
      <c r="EJP122" s="199"/>
      <c r="EJQ122" s="198"/>
      <c r="EJR122" s="199"/>
      <c r="EJS122" s="198"/>
      <c r="EJT122" s="199"/>
      <c r="EJU122" s="198"/>
      <c r="EJV122" s="199"/>
      <c r="EJW122" s="198"/>
      <c r="EJX122" s="199"/>
      <c r="EJY122" s="198"/>
      <c r="EJZ122" s="199"/>
      <c r="EKA122" s="198"/>
      <c r="EKB122" s="199"/>
      <c r="EKC122" s="198"/>
      <c r="EKD122" s="199"/>
      <c r="EKE122" s="198"/>
      <c r="EKF122" s="199"/>
      <c r="EKG122" s="198"/>
      <c r="EKH122" s="199"/>
      <c r="EKI122" s="198"/>
      <c r="EKJ122" s="199"/>
      <c r="EKK122" s="198"/>
      <c r="EKL122" s="199"/>
      <c r="EKM122" s="198"/>
      <c r="EKN122" s="199"/>
      <c r="EKO122" s="198"/>
      <c r="EKP122" s="199"/>
      <c r="EKQ122" s="198"/>
      <c r="EKR122" s="199"/>
      <c r="EKS122" s="198"/>
      <c r="EKT122" s="199"/>
      <c r="EKU122" s="198"/>
      <c r="EKV122" s="199"/>
      <c r="EKW122" s="198"/>
      <c r="EKX122" s="199"/>
      <c r="EKY122" s="198"/>
      <c r="EKZ122" s="199"/>
      <c r="ELA122" s="198"/>
      <c r="ELB122" s="199"/>
      <c r="ELC122" s="198"/>
      <c r="ELD122" s="199"/>
      <c r="ELE122" s="198"/>
      <c r="ELF122" s="199"/>
      <c r="ELG122" s="198"/>
      <c r="ELH122" s="199"/>
      <c r="ELI122" s="198"/>
      <c r="ELJ122" s="199"/>
      <c r="ELK122" s="198"/>
      <c r="ELL122" s="199"/>
      <c r="ELM122" s="198"/>
      <c r="ELN122" s="199"/>
      <c r="ELO122" s="198"/>
      <c r="ELP122" s="199"/>
      <c r="ELQ122" s="198"/>
      <c r="ELR122" s="199"/>
      <c r="ELS122" s="198"/>
      <c r="ELT122" s="199"/>
      <c r="ELU122" s="198"/>
      <c r="ELV122" s="199"/>
      <c r="ELW122" s="198"/>
      <c r="ELX122" s="199"/>
      <c r="ELY122" s="198"/>
      <c r="ELZ122" s="199"/>
      <c r="EMA122" s="198"/>
      <c r="EMB122" s="199"/>
      <c r="EMC122" s="198"/>
      <c r="EMD122" s="199"/>
      <c r="EME122" s="198"/>
      <c r="EMF122" s="199"/>
      <c r="EMG122" s="198"/>
      <c r="EMH122" s="199"/>
      <c r="EMI122" s="198"/>
      <c r="EMJ122" s="199"/>
      <c r="EMK122" s="198"/>
      <c r="EML122" s="199"/>
      <c r="EMM122" s="198"/>
      <c r="EMN122" s="199"/>
      <c r="EMO122" s="198"/>
      <c r="EMP122" s="199"/>
      <c r="EMQ122" s="198"/>
      <c r="EMR122" s="199"/>
      <c r="EMS122" s="198"/>
      <c r="EMT122" s="199"/>
      <c r="EMU122" s="198"/>
      <c r="EMV122" s="199"/>
      <c r="EMW122" s="198"/>
      <c r="EMX122" s="199"/>
      <c r="EMY122" s="198"/>
      <c r="EMZ122" s="199"/>
      <c r="ENA122" s="198"/>
      <c r="ENB122" s="199"/>
      <c r="ENC122" s="198"/>
      <c r="END122" s="199"/>
      <c r="ENE122" s="198"/>
      <c r="ENF122" s="199"/>
      <c r="ENG122" s="198"/>
      <c r="ENH122" s="199"/>
      <c r="ENI122" s="198"/>
      <c r="ENJ122" s="199"/>
      <c r="ENK122" s="198"/>
      <c r="ENL122" s="199"/>
      <c r="ENM122" s="198"/>
      <c r="ENN122" s="199"/>
      <c r="ENO122" s="198"/>
      <c r="ENP122" s="199"/>
      <c r="ENQ122" s="198"/>
      <c r="ENR122" s="199"/>
      <c r="ENS122" s="198"/>
      <c r="ENT122" s="199"/>
      <c r="ENU122" s="198"/>
      <c r="ENV122" s="199"/>
      <c r="ENW122" s="198"/>
      <c r="ENX122" s="199"/>
      <c r="ENY122" s="198"/>
      <c r="ENZ122" s="199"/>
      <c r="EOA122" s="198"/>
      <c r="EOB122" s="199"/>
      <c r="EOC122" s="198"/>
      <c r="EOD122" s="199"/>
      <c r="EOE122" s="198"/>
      <c r="EOF122" s="199"/>
      <c r="EOG122" s="198"/>
      <c r="EOH122" s="199"/>
      <c r="EOI122" s="198"/>
      <c r="EOJ122" s="199"/>
      <c r="EOK122" s="198"/>
      <c r="EOL122" s="199"/>
      <c r="EOM122" s="198"/>
      <c r="EON122" s="199"/>
      <c r="EOO122" s="198"/>
      <c r="EOP122" s="199"/>
      <c r="EOQ122" s="198"/>
      <c r="EOR122" s="199"/>
      <c r="EOS122" s="198"/>
      <c r="EOT122" s="199"/>
      <c r="EOU122" s="198"/>
      <c r="EOV122" s="199"/>
      <c r="EOW122" s="198"/>
      <c r="EOX122" s="199"/>
      <c r="EOY122" s="198"/>
      <c r="EOZ122" s="199"/>
      <c r="EPA122" s="198"/>
      <c r="EPB122" s="199"/>
      <c r="EPC122" s="198"/>
      <c r="EPD122" s="199"/>
      <c r="EPE122" s="198"/>
      <c r="EPF122" s="199"/>
      <c r="EPG122" s="198"/>
      <c r="EPH122" s="199"/>
      <c r="EPI122" s="198"/>
      <c r="EPJ122" s="199"/>
      <c r="EPK122" s="198"/>
      <c r="EPL122" s="199"/>
      <c r="EPM122" s="198"/>
      <c r="EPN122" s="199"/>
      <c r="EPO122" s="198"/>
      <c r="EPP122" s="199"/>
      <c r="EPQ122" s="198"/>
      <c r="EPR122" s="199"/>
      <c r="EPS122" s="198"/>
      <c r="EPT122" s="199"/>
      <c r="EPU122" s="198"/>
      <c r="EPV122" s="199"/>
      <c r="EPW122" s="198"/>
      <c r="EPX122" s="199"/>
      <c r="EPY122" s="198"/>
      <c r="EPZ122" s="199"/>
      <c r="EQA122" s="198"/>
      <c r="EQB122" s="199"/>
      <c r="EQC122" s="198"/>
      <c r="EQD122" s="199"/>
      <c r="EQE122" s="198"/>
      <c r="EQF122" s="199"/>
      <c r="EQG122" s="198"/>
      <c r="EQH122" s="199"/>
      <c r="EQI122" s="198"/>
      <c r="EQJ122" s="199"/>
      <c r="EQK122" s="198"/>
      <c r="EQL122" s="199"/>
      <c r="EQM122" s="198"/>
      <c r="EQN122" s="199"/>
      <c r="EQO122" s="198"/>
      <c r="EQP122" s="199"/>
      <c r="EQQ122" s="198"/>
      <c r="EQR122" s="199"/>
      <c r="EQS122" s="198"/>
      <c r="EQT122" s="199"/>
      <c r="EQU122" s="198"/>
      <c r="EQV122" s="199"/>
      <c r="EQW122" s="198"/>
      <c r="EQX122" s="199"/>
      <c r="EQY122" s="198"/>
      <c r="EQZ122" s="199"/>
      <c r="ERA122" s="198"/>
      <c r="ERB122" s="199"/>
      <c r="ERC122" s="198"/>
      <c r="ERD122" s="199"/>
      <c r="ERE122" s="198"/>
      <c r="ERF122" s="199"/>
      <c r="ERG122" s="198"/>
      <c r="ERH122" s="199"/>
      <c r="ERI122" s="198"/>
      <c r="ERJ122" s="199"/>
      <c r="ERK122" s="198"/>
      <c r="ERL122" s="199"/>
      <c r="ERM122" s="198"/>
      <c r="ERN122" s="199"/>
      <c r="ERO122" s="198"/>
      <c r="ERP122" s="199"/>
      <c r="ERQ122" s="198"/>
      <c r="ERR122" s="199"/>
      <c r="ERS122" s="198"/>
      <c r="ERT122" s="199"/>
      <c r="ERU122" s="198"/>
      <c r="ERV122" s="199"/>
      <c r="ERW122" s="198"/>
      <c r="ERX122" s="199"/>
      <c r="ERY122" s="198"/>
      <c r="ERZ122" s="199"/>
      <c r="ESA122" s="198"/>
      <c r="ESB122" s="199"/>
      <c r="ESC122" s="198"/>
      <c r="ESD122" s="199"/>
      <c r="ESE122" s="198"/>
      <c r="ESF122" s="199"/>
      <c r="ESG122" s="198"/>
      <c r="ESH122" s="199"/>
      <c r="ESI122" s="198"/>
      <c r="ESJ122" s="199"/>
      <c r="ESK122" s="198"/>
      <c r="ESL122" s="199"/>
      <c r="ESM122" s="198"/>
      <c r="ESN122" s="199"/>
      <c r="ESO122" s="198"/>
      <c r="ESP122" s="199"/>
      <c r="ESQ122" s="198"/>
      <c r="ESR122" s="199"/>
      <c r="ESS122" s="198"/>
      <c r="EST122" s="199"/>
      <c r="ESU122" s="198"/>
      <c r="ESV122" s="199"/>
      <c r="ESW122" s="198"/>
      <c r="ESX122" s="199"/>
      <c r="ESY122" s="198"/>
      <c r="ESZ122" s="199"/>
      <c r="ETA122" s="198"/>
      <c r="ETB122" s="199"/>
      <c r="ETC122" s="198"/>
      <c r="ETD122" s="199"/>
      <c r="ETE122" s="198"/>
      <c r="ETF122" s="199"/>
      <c r="ETG122" s="198"/>
      <c r="ETH122" s="199"/>
      <c r="ETI122" s="198"/>
      <c r="ETJ122" s="199"/>
      <c r="ETK122" s="198"/>
      <c r="ETL122" s="199"/>
      <c r="ETM122" s="198"/>
      <c r="ETN122" s="199"/>
      <c r="ETO122" s="198"/>
      <c r="ETP122" s="199"/>
      <c r="ETQ122" s="198"/>
      <c r="ETR122" s="199"/>
      <c r="ETS122" s="198"/>
      <c r="ETT122" s="199"/>
      <c r="ETU122" s="198"/>
      <c r="ETV122" s="199"/>
      <c r="ETW122" s="198"/>
      <c r="ETX122" s="199"/>
      <c r="ETY122" s="198"/>
      <c r="ETZ122" s="199"/>
      <c r="EUA122" s="198"/>
      <c r="EUB122" s="199"/>
      <c r="EUC122" s="198"/>
      <c r="EUD122" s="199"/>
      <c r="EUE122" s="198"/>
      <c r="EUF122" s="199"/>
      <c r="EUG122" s="198"/>
      <c r="EUH122" s="199"/>
      <c r="EUI122" s="198"/>
      <c r="EUJ122" s="199"/>
      <c r="EUK122" s="198"/>
      <c r="EUL122" s="199"/>
      <c r="EUM122" s="198"/>
      <c r="EUN122" s="199"/>
      <c r="EUO122" s="198"/>
      <c r="EUP122" s="199"/>
      <c r="EUQ122" s="198"/>
      <c r="EUR122" s="199"/>
      <c r="EUS122" s="198"/>
      <c r="EUT122" s="199"/>
      <c r="EUU122" s="198"/>
      <c r="EUV122" s="199"/>
      <c r="EUW122" s="198"/>
      <c r="EUX122" s="199"/>
      <c r="EUY122" s="198"/>
      <c r="EUZ122" s="199"/>
      <c r="EVA122" s="198"/>
      <c r="EVB122" s="199"/>
      <c r="EVC122" s="198"/>
      <c r="EVD122" s="199"/>
      <c r="EVE122" s="198"/>
      <c r="EVF122" s="199"/>
      <c r="EVG122" s="198"/>
      <c r="EVH122" s="199"/>
      <c r="EVI122" s="198"/>
      <c r="EVJ122" s="199"/>
      <c r="EVK122" s="198"/>
      <c r="EVL122" s="199"/>
      <c r="EVM122" s="198"/>
      <c r="EVN122" s="199"/>
      <c r="EVO122" s="198"/>
      <c r="EVP122" s="199"/>
      <c r="EVQ122" s="198"/>
      <c r="EVR122" s="199"/>
      <c r="EVS122" s="198"/>
      <c r="EVT122" s="199"/>
      <c r="EVU122" s="198"/>
      <c r="EVV122" s="199"/>
      <c r="EVW122" s="198"/>
      <c r="EVX122" s="199"/>
      <c r="EVY122" s="198"/>
      <c r="EVZ122" s="199"/>
      <c r="EWA122" s="198"/>
      <c r="EWB122" s="199"/>
      <c r="EWC122" s="198"/>
      <c r="EWD122" s="199"/>
      <c r="EWE122" s="198"/>
      <c r="EWF122" s="199"/>
      <c r="EWG122" s="198"/>
      <c r="EWH122" s="199"/>
      <c r="EWI122" s="198"/>
      <c r="EWJ122" s="199"/>
      <c r="EWK122" s="198"/>
      <c r="EWL122" s="199"/>
      <c r="EWM122" s="198"/>
      <c r="EWN122" s="199"/>
      <c r="EWO122" s="198"/>
      <c r="EWP122" s="199"/>
      <c r="EWQ122" s="198"/>
      <c r="EWR122" s="199"/>
      <c r="EWS122" s="198"/>
      <c r="EWT122" s="199"/>
      <c r="EWU122" s="198"/>
      <c r="EWV122" s="199"/>
      <c r="EWW122" s="198"/>
      <c r="EWX122" s="199"/>
      <c r="EWY122" s="198"/>
      <c r="EWZ122" s="199"/>
      <c r="EXA122" s="198"/>
      <c r="EXB122" s="199"/>
      <c r="EXC122" s="198"/>
      <c r="EXD122" s="199"/>
      <c r="EXE122" s="198"/>
      <c r="EXF122" s="199"/>
      <c r="EXG122" s="198"/>
      <c r="EXH122" s="199"/>
      <c r="EXI122" s="198"/>
      <c r="EXJ122" s="199"/>
      <c r="EXK122" s="198"/>
      <c r="EXL122" s="199"/>
      <c r="EXM122" s="198"/>
      <c r="EXN122" s="199"/>
      <c r="EXO122" s="198"/>
      <c r="EXP122" s="199"/>
      <c r="EXQ122" s="198"/>
      <c r="EXR122" s="199"/>
      <c r="EXS122" s="198"/>
      <c r="EXT122" s="199"/>
      <c r="EXU122" s="198"/>
      <c r="EXV122" s="199"/>
      <c r="EXW122" s="198"/>
      <c r="EXX122" s="199"/>
      <c r="EXY122" s="198"/>
      <c r="EXZ122" s="199"/>
      <c r="EYA122" s="198"/>
      <c r="EYB122" s="199"/>
      <c r="EYC122" s="198"/>
      <c r="EYD122" s="199"/>
      <c r="EYE122" s="198"/>
      <c r="EYF122" s="199"/>
      <c r="EYG122" s="198"/>
      <c r="EYH122" s="199"/>
      <c r="EYI122" s="198"/>
      <c r="EYJ122" s="199"/>
      <c r="EYK122" s="198"/>
      <c r="EYL122" s="199"/>
      <c r="EYM122" s="198"/>
      <c r="EYN122" s="199"/>
      <c r="EYO122" s="198"/>
      <c r="EYP122" s="199"/>
      <c r="EYQ122" s="198"/>
      <c r="EYR122" s="199"/>
      <c r="EYS122" s="198"/>
      <c r="EYT122" s="199"/>
      <c r="EYU122" s="198"/>
      <c r="EYV122" s="199"/>
      <c r="EYW122" s="198"/>
      <c r="EYX122" s="199"/>
      <c r="EYY122" s="198"/>
      <c r="EYZ122" s="199"/>
      <c r="EZA122" s="198"/>
      <c r="EZB122" s="199"/>
      <c r="EZC122" s="198"/>
      <c r="EZD122" s="199"/>
      <c r="EZE122" s="198"/>
      <c r="EZF122" s="199"/>
      <c r="EZG122" s="198"/>
      <c r="EZH122" s="199"/>
      <c r="EZI122" s="198"/>
      <c r="EZJ122" s="199"/>
      <c r="EZK122" s="198"/>
      <c r="EZL122" s="199"/>
      <c r="EZM122" s="198"/>
      <c r="EZN122" s="199"/>
      <c r="EZO122" s="198"/>
      <c r="EZP122" s="199"/>
      <c r="EZQ122" s="198"/>
      <c r="EZR122" s="199"/>
      <c r="EZS122" s="198"/>
      <c r="EZT122" s="199"/>
      <c r="EZU122" s="198"/>
      <c r="EZV122" s="199"/>
      <c r="EZW122" s="198"/>
      <c r="EZX122" s="199"/>
      <c r="EZY122" s="198"/>
      <c r="EZZ122" s="199"/>
      <c r="FAA122" s="198"/>
      <c r="FAB122" s="199"/>
      <c r="FAC122" s="198"/>
      <c r="FAD122" s="199"/>
      <c r="FAE122" s="198"/>
      <c r="FAF122" s="199"/>
      <c r="FAG122" s="198"/>
      <c r="FAH122" s="199"/>
      <c r="FAI122" s="198"/>
      <c r="FAJ122" s="199"/>
      <c r="FAK122" s="198"/>
      <c r="FAL122" s="199"/>
      <c r="FAM122" s="198"/>
      <c r="FAN122" s="199"/>
      <c r="FAO122" s="198"/>
      <c r="FAP122" s="199"/>
      <c r="FAQ122" s="198"/>
      <c r="FAR122" s="199"/>
      <c r="FAS122" s="198"/>
      <c r="FAT122" s="199"/>
      <c r="FAU122" s="198"/>
      <c r="FAV122" s="199"/>
      <c r="FAW122" s="198"/>
      <c r="FAX122" s="199"/>
      <c r="FAY122" s="198"/>
      <c r="FAZ122" s="199"/>
      <c r="FBA122" s="198"/>
      <c r="FBB122" s="199"/>
      <c r="FBC122" s="198"/>
      <c r="FBD122" s="199"/>
      <c r="FBE122" s="198"/>
      <c r="FBF122" s="199"/>
      <c r="FBG122" s="198"/>
      <c r="FBH122" s="199"/>
      <c r="FBI122" s="198"/>
      <c r="FBJ122" s="199"/>
      <c r="FBK122" s="198"/>
      <c r="FBL122" s="199"/>
      <c r="FBM122" s="198"/>
      <c r="FBN122" s="199"/>
      <c r="FBO122" s="198"/>
      <c r="FBP122" s="199"/>
      <c r="FBQ122" s="198"/>
      <c r="FBR122" s="199"/>
      <c r="FBS122" s="198"/>
      <c r="FBT122" s="199"/>
      <c r="FBU122" s="198"/>
      <c r="FBV122" s="199"/>
      <c r="FBW122" s="198"/>
      <c r="FBX122" s="199"/>
      <c r="FBY122" s="198"/>
      <c r="FBZ122" s="199"/>
      <c r="FCA122" s="198"/>
      <c r="FCB122" s="199"/>
      <c r="FCC122" s="198"/>
      <c r="FCD122" s="199"/>
      <c r="FCE122" s="198"/>
      <c r="FCF122" s="199"/>
      <c r="FCG122" s="198"/>
      <c r="FCH122" s="199"/>
      <c r="FCI122" s="198"/>
      <c r="FCJ122" s="199"/>
      <c r="FCK122" s="198"/>
      <c r="FCL122" s="199"/>
      <c r="FCM122" s="198"/>
      <c r="FCN122" s="199"/>
      <c r="FCO122" s="198"/>
      <c r="FCP122" s="199"/>
      <c r="FCQ122" s="198"/>
      <c r="FCR122" s="199"/>
      <c r="FCS122" s="198"/>
      <c r="FCT122" s="199"/>
      <c r="FCU122" s="198"/>
      <c r="FCV122" s="199"/>
      <c r="FCW122" s="198"/>
      <c r="FCX122" s="199"/>
      <c r="FCY122" s="198"/>
      <c r="FCZ122" s="199"/>
      <c r="FDA122" s="198"/>
      <c r="FDB122" s="199"/>
      <c r="FDC122" s="198"/>
      <c r="FDD122" s="199"/>
      <c r="FDE122" s="198"/>
      <c r="FDF122" s="199"/>
      <c r="FDG122" s="198"/>
      <c r="FDH122" s="199"/>
      <c r="FDI122" s="198"/>
      <c r="FDJ122" s="199"/>
      <c r="FDK122" s="198"/>
      <c r="FDL122" s="199"/>
      <c r="FDM122" s="198"/>
      <c r="FDN122" s="199"/>
      <c r="FDO122" s="198"/>
      <c r="FDP122" s="199"/>
      <c r="FDQ122" s="198"/>
      <c r="FDR122" s="199"/>
      <c r="FDS122" s="198"/>
      <c r="FDT122" s="199"/>
      <c r="FDU122" s="198"/>
      <c r="FDV122" s="199"/>
      <c r="FDW122" s="198"/>
      <c r="FDX122" s="199"/>
      <c r="FDY122" s="198"/>
      <c r="FDZ122" s="199"/>
      <c r="FEA122" s="198"/>
      <c r="FEB122" s="199"/>
      <c r="FEC122" s="198"/>
      <c r="FED122" s="199"/>
      <c r="FEE122" s="198"/>
      <c r="FEF122" s="199"/>
      <c r="FEG122" s="198"/>
      <c r="FEH122" s="199"/>
      <c r="FEI122" s="198"/>
      <c r="FEJ122" s="199"/>
      <c r="FEK122" s="198"/>
      <c r="FEL122" s="199"/>
      <c r="FEM122" s="198"/>
      <c r="FEN122" s="199"/>
      <c r="FEO122" s="198"/>
      <c r="FEP122" s="199"/>
      <c r="FEQ122" s="198"/>
      <c r="FER122" s="199"/>
      <c r="FES122" s="198"/>
      <c r="FET122" s="199"/>
      <c r="FEU122" s="198"/>
      <c r="FEV122" s="199"/>
      <c r="FEW122" s="198"/>
      <c r="FEX122" s="199"/>
      <c r="FEY122" s="198"/>
      <c r="FEZ122" s="199"/>
      <c r="FFA122" s="198"/>
      <c r="FFB122" s="199"/>
      <c r="FFC122" s="198"/>
      <c r="FFD122" s="199"/>
      <c r="FFE122" s="198"/>
      <c r="FFF122" s="199"/>
      <c r="FFG122" s="198"/>
      <c r="FFH122" s="199"/>
      <c r="FFI122" s="198"/>
      <c r="FFJ122" s="199"/>
      <c r="FFK122" s="198"/>
      <c r="FFL122" s="199"/>
      <c r="FFM122" s="198"/>
      <c r="FFN122" s="199"/>
      <c r="FFO122" s="198"/>
      <c r="FFP122" s="199"/>
      <c r="FFQ122" s="198"/>
      <c r="FFR122" s="199"/>
      <c r="FFS122" s="198"/>
      <c r="FFT122" s="199"/>
      <c r="FFU122" s="198"/>
      <c r="FFV122" s="199"/>
      <c r="FFW122" s="198"/>
      <c r="FFX122" s="199"/>
      <c r="FFY122" s="198"/>
      <c r="FFZ122" s="199"/>
      <c r="FGA122" s="198"/>
      <c r="FGB122" s="199"/>
      <c r="FGC122" s="198"/>
      <c r="FGD122" s="199"/>
      <c r="FGE122" s="198"/>
      <c r="FGF122" s="199"/>
      <c r="FGG122" s="198"/>
      <c r="FGH122" s="199"/>
      <c r="FGI122" s="198"/>
      <c r="FGJ122" s="199"/>
      <c r="FGK122" s="198"/>
      <c r="FGL122" s="199"/>
      <c r="FGM122" s="198"/>
      <c r="FGN122" s="199"/>
      <c r="FGO122" s="198"/>
      <c r="FGP122" s="199"/>
      <c r="FGQ122" s="198"/>
      <c r="FGR122" s="199"/>
      <c r="FGS122" s="198"/>
      <c r="FGT122" s="199"/>
      <c r="FGU122" s="198"/>
      <c r="FGV122" s="199"/>
      <c r="FGW122" s="198"/>
      <c r="FGX122" s="199"/>
      <c r="FGY122" s="198"/>
      <c r="FGZ122" s="199"/>
      <c r="FHA122" s="198"/>
      <c r="FHB122" s="199"/>
      <c r="FHC122" s="198"/>
      <c r="FHD122" s="199"/>
      <c r="FHE122" s="198"/>
      <c r="FHF122" s="199"/>
      <c r="FHG122" s="198"/>
      <c r="FHH122" s="199"/>
      <c r="FHI122" s="198"/>
      <c r="FHJ122" s="199"/>
      <c r="FHK122" s="198"/>
      <c r="FHL122" s="199"/>
      <c r="FHM122" s="198"/>
      <c r="FHN122" s="199"/>
      <c r="FHO122" s="198"/>
      <c r="FHP122" s="199"/>
      <c r="FHQ122" s="198"/>
      <c r="FHR122" s="199"/>
      <c r="FHS122" s="198"/>
      <c r="FHT122" s="199"/>
      <c r="FHU122" s="198"/>
      <c r="FHV122" s="199"/>
      <c r="FHW122" s="198"/>
      <c r="FHX122" s="199"/>
      <c r="FHY122" s="198"/>
      <c r="FHZ122" s="199"/>
      <c r="FIA122" s="198"/>
      <c r="FIB122" s="199"/>
      <c r="FIC122" s="198"/>
      <c r="FID122" s="199"/>
      <c r="FIE122" s="198"/>
      <c r="FIF122" s="199"/>
      <c r="FIG122" s="198"/>
      <c r="FIH122" s="199"/>
      <c r="FII122" s="198"/>
      <c r="FIJ122" s="199"/>
      <c r="FIK122" s="198"/>
      <c r="FIL122" s="199"/>
      <c r="FIM122" s="198"/>
      <c r="FIN122" s="199"/>
      <c r="FIO122" s="198"/>
      <c r="FIP122" s="199"/>
      <c r="FIQ122" s="198"/>
      <c r="FIR122" s="199"/>
      <c r="FIS122" s="198"/>
      <c r="FIT122" s="199"/>
      <c r="FIU122" s="198"/>
      <c r="FIV122" s="199"/>
      <c r="FIW122" s="198"/>
      <c r="FIX122" s="199"/>
      <c r="FIY122" s="198"/>
      <c r="FIZ122" s="199"/>
      <c r="FJA122" s="198"/>
      <c r="FJB122" s="199"/>
      <c r="FJC122" s="198"/>
      <c r="FJD122" s="199"/>
      <c r="FJE122" s="198"/>
      <c r="FJF122" s="199"/>
      <c r="FJG122" s="198"/>
      <c r="FJH122" s="199"/>
      <c r="FJI122" s="198"/>
      <c r="FJJ122" s="199"/>
      <c r="FJK122" s="198"/>
      <c r="FJL122" s="199"/>
      <c r="FJM122" s="198"/>
      <c r="FJN122" s="199"/>
      <c r="FJO122" s="198"/>
      <c r="FJP122" s="199"/>
      <c r="FJQ122" s="198"/>
      <c r="FJR122" s="199"/>
      <c r="FJS122" s="198"/>
      <c r="FJT122" s="199"/>
      <c r="FJU122" s="198"/>
      <c r="FJV122" s="199"/>
      <c r="FJW122" s="198"/>
      <c r="FJX122" s="199"/>
      <c r="FJY122" s="198"/>
      <c r="FJZ122" s="199"/>
      <c r="FKA122" s="198"/>
      <c r="FKB122" s="199"/>
      <c r="FKC122" s="198"/>
      <c r="FKD122" s="199"/>
      <c r="FKE122" s="198"/>
      <c r="FKF122" s="199"/>
      <c r="FKG122" s="198"/>
      <c r="FKH122" s="199"/>
      <c r="FKI122" s="198"/>
      <c r="FKJ122" s="199"/>
      <c r="FKK122" s="198"/>
      <c r="FKL122" s="199"/>
      <c r="FKM122" s="198"/>
      <c r="FKN122" s="199"/>
      <c r="FKO122" s="198"/>
      <c r="FKP122" s="199"/>
      <c r="FKQ122" s="198"/>
      <c r="FKR122" s="199"/>
      <c r="FKS122" s="198"/>
      <c r="FKT122" s="199"/>
      <c r="FKU122" s="198"/>
      <c r="FKV122" s="199"/>
      <c r="FKW122" s="198"/>
      <c r="FKX122" s="199"/>
      <c r="FKY122" s="198"/>
      <c r="FKZ122" s="199"/>
      <c r="FLA122" s="198"/>
      <c r="FLB122" s="199"/>
      <c r="FLC122" s="198"/>
      <c r="FLD122" s="199"/>
      <c r="FLE122" s="198"/>
      <c r="FLF122" s="199"/>
      <c r="FLG122" s="198"/>
      <c r="FLH122" s="199"/>
      <c r="FLI122" s="198"/>
      <c r="FLJ122" s="199"/>
      <c r="FLK122" s="198"/>
      <c r="FLL122" s="199"/>
      <c r="FLM122" s="198"/>
      <c r="FLN122" s="199"/>
      <c r="FLO122" s="198"/>
      <c r="FLP122" s="199"/>
      <c r="FLQ122" s="198"/>
      <c r="FLR122" s="199"/>
      <c r="FLS122" s="198"/>
      <c r="FLT122" s="199"/>
      <c r="FLU122" s="198"/>
      <c r="FLV122" s="199"/>
      <c r="FLW122" s="198"/>
      <c r="FLX122" s="199"/>
      <c r="FLY122" s="198"/>
      <c r="FLZ122" s="199"/>
      <c r="FMA122" s="198"/>
      <c r="FMB122" s="199"/>
      <c r="FMC122" s="198"/>
      <c r="FMD122" s="199"/>
      <c r="FME122" s="198"/>
      <c r="FMF122" s="199"/>
      <c r="FMG122" s="198"/>
      <c r="FMH122" s="199"/>
      <c r="FMI122" s="198"/>
      <c r="FMJ122" s="199"/>
      <c r="FMK122" s="198"/>
      <c r="FML122" s="199"/>
      <c r="FMM122" s="198"/>
      <c r="FMN122" s="199"/>
      <c r="FMO122" s="198"/>
      <c r="FMP122" s="199"/>
      <c r="FMQ122" s="198"/>
      <c r="FMR122" s="199"/>
      <c r="FMS122" s="198"/>
      <c r="FMT122" s="199"/>
      <c r="FMU122" s="198"/>
      <c r="FMV122" s="199"/>
      <c r="FMW122" s="198"/>
      <c r="FMX122" s="199"/>
      <c r="FMY122" s="198"/>
      <c r="FMZ122" s="199"/>
      <c r="FNA122" s="198"/>
      <c r="FNB122" s="199"/>
      <c r="FNC122" s="198"/>
      <c r="FND122" s="199"/>
      <c r="FNE122" s="198"/>
      <c r="FNF122" s="199"/>
      <c r="FNG122" s="198"/>
      <c r="FNH122" s="199"/>
      <c r="FNI122" s="198"/>
      <c r="FNJ122" s="199"/>
      <c r="FNK122" s="198"/>
      <c r="FNL122" s="199"/>
      <c r="FNM122" s="198"/>
      <c r="FNN122" s="199"/>
      <c r="FNO122" s="198"/>
      <c r="FNP122" s="199"/>
      <c r="FNQ122" s="198"/>
      <c r="FNR122" s="199"/>
      <c r="FNS122" s="198"/>
      <c r="FNT122" s="199"/>
      <c r="FNU122" s="198"/>
      <c r="FNV122" s="199"/>
      <c r="FNW122" s="198"/>
      <c r="FNX122" s="199"/>
      <c r="FNY122" s="198"/>
      <c r="FNZ122" s="199"/>
      <c r="FOA122" s="198"/>
      <c r="FOB122" s="199"/>
      <c r="FOC122" s="198"/>
      <c r="FOD122" s="199"/>
      <c r="FOE122" s="198"/>
      <c r="FOF122" s="199"/>
      <c r="FOG122" s="198"/>
      <c r="FOH122" s="199"/>
      <c r="FOI122" s="198"/>
      <c r="FOJ122" s="199"/>
      <c r="FOK122" s="198"/>
      <c r="FOL122" s="199"/>
      <c r="FOM122" s="198"/>
      <c r="FON122" s="199"/>
      <c r="FOO122" s="198"/>
      <c r="FOP122" s="199"/>
      <c r="FOQ122" s="198"/>
      <c r="FOR122" s="199"/>
      <c r="FOS122" s="198"/>
      <c r="FOT122" s="199"/>
      <c r="FOU122" s="198"/>
      <c r="FOV122" s="199"/>
      <c r="FOW122" s="198"/>
      <c r="FOX122" s="199"/>
      <c r="FOY122" s="198"/>
      <c r="FOZ122" s="199"/>
      <c r="FPA122" s="198"/>
      <c r="FPB122" s="199"/>
      <c r="FPC122" s="198"/>
      <c r="FPD122" s="199"/>
      <c r="FPE122" s="198"/>
      <c r="FPF122" s="199"/>
      <c r="FPG122" s="198"/>
      <c r="FPH122" s="199"/>
      <c r="FPI122" s="198"/>
      <c r="FPJ122" s="199"/>
      <c r="FPK122" s="198"/>
      <c r="FPL122" s="199"/>
      <c r="FPM122" s="198"/>
      <c r="FPN122" s="199"/>
      <c r="FPO122" s="198"/>
      <c r="FPP122" s="199"/>
      <c r="FPQ122" s="198"/>
      <c r="FPR122" s="199"/>
      <c r="FPS122" s="198"/>
      <c r="FPT122" s="199"/>
      <c r="FPU122" s="198"/>
      <c r="FPV122" s="199"/>
      <c r="FPW122" s="198"/>
      <c r="FPX122" s="199"/>
      <c r="FPY122" s="198"/>
      <c r="FPZ122" s="199"/>
      <c r="FQA122" s="198"/>
      <c r="FQB122" s="199"/>
      <c r="FQC122" s="198"/>
      <c r="FQD122" s="199"/>
      <c r="FQE122" s="198"/>
      <c r="FQF122" s="199"/>
      <c r="FQG122" s="198"/>
      <c r="FQH122" s="199"/>
      <c r="FQI122" s="198"/>
      <c r="FQJ122" s="199"/>
      <c r="FQK122" s="198"/>
      <c r="FQL122" s="199"/>
      <c r="FQM122" s="198"/>
      <c r="FQN122" s="199"/>
      <c r="FQO122" s="198"/>
      <c r="FQP122" s="199"/>
      <c r="FQQ122" s="198"/>
      <c r="FQR122" s="199"/>
      <c r="FQS122" s="198"/>
      <c r="FQT122" s="199"/>
      <c r="FQU122" s="198"/>
      <c r="FQV122" s="199"/>
      <c r="FQW122" s="198"/>
      <c r="FQX122" s="199"/>
      <c r="FQY122" s="198"/>
      <c r="FQZ122" s="199"/>
      <c r="FRA122" s="198"/>
      <c r="FRB122" s="199"/>
      <c r="FRC122" s="198"/>
      <c r="FRD122" s="199"/>
      <c r="FRE122" s="198"/>
      <c r="FRF122" s="199"/>
      <c r="FRG122" s="198"/>
      <c r="FRH122" s="199"/>
      <c r="FRI122" s="198"/>
      <c r="FRJ122" s="199"/>
      <c r="FRK122" s="198"/>
      <c r="FRL122" s="199"/>
      <c r="FRM122" s="198"/>
      <c r="FRN122" s="199"/>
      <c r="FRO122" s="198"/>
      <c r="FRP122" s="199"/>
      <c r="FRQ122" s="198"/>
      <c r="FRR122" s="199"/>
      <c r="FRS122" s="198"/>
      <c r="FRT122" s="199"/>
      <c r="FRU122" s="198"/>
      <c r="FRV122" s="199"/>
      <c r="FRW122" s="198"/>
      <c r="FRX122" s="199"/>
      <c r="FRY122" s="198"/>
      <c r="FRZ122" s="199"/>
      <c r="FSA122" s="198"/>
      <c r="FSB122" s="199"/>
      <c r="FSC122" s="198"/>
      <c r="FSD122" s="199"/>
      <c r="FSE122" s="198"/>
      <c r="FSF122" s="199"/>
      <c r="FSG122" s="198"/>
      <c r="FSH122" s="199"/>
      <c r="FSI122" s="198"/>
      <c r="FSJ122" s="199"/>
      <c r="FSK122" s="198"/>
      <c r="FSL122" s="199"/>
      <c r="FSM122" s="198"/>
      <c r="FSN122" s="199"/>
      <c r="FSO122" s="198"/>
      <c r="FSP122" s="199"/>
      <c r="FSQ122" s="198"/>
      <c r="FSR122" s="199"/>
      <c r="FSS122" s="198"/>
      <c r="FST122" s="199"/>
      <c r="FSU122" s="198"/>
      <c r="FSV122" s="199"/>
      <c r="FSW122" s="198"/>
      <c r="FSX122" s="199"/>
      <c r="FSY122" s="198"/>
      <c r="FSZ122" s="199"/>
      <c r="FTA122" s="198"/>
      <c r="FTB122" s="199"/>
      <c r="FTC122" s="198"/>
      <c r="FTD122" s="199"/>
      <c r="FTE122" s="198"/>
      <c r="FTF122" s="199"/>
      <c r="FTG122" s="198"/>
      <c r="FTH122" s="199"/>
      <c r="FTI122" s="198"/>
      <c r="FTJ122" s="199"/>
      <c r="FTK122" s="198"/>
      <c r="FTL122" s="199"/>
      <c r="FTM122" s="198"/>
      <c r="FTN122" s="199"/>
      <c r="FTO122" s="198"/>
      <c r="FTP122" s="199"/>
      <c r="FTQ122" s="198"/>
      <c r="FTR122" s="199"/>
      <c r="FTS122" s="198"/>
      <c r="FTT122" s="199"/>
      <c r="FTU122" s="198"/>
      <c r="FTV122" s="199"/>
      <c r="FTW122" s="198"/>
      <c r="FTX122" s="199"/>
      <c r="FTY122" s="198"/>
      <c r="FTZ122" s="199"/>
      <c r="FUA122" s="198"/>
      <c r="FUB122" s="199"/>
      <c r="FUC122" s="198"/>
      <c r="FUD122" s="199"/>
      <c r="FUE122" s="198"/>
      <c r="FUF122" s="199"/>
      <c r="FUG122" s="198"/>
      <c r="FUH122" s="199"/>
      <c r="FUI122" s="198"/>
      <c r="FUJ122" s="199"/>
      <c r="FUK122" s="198"/>
      <c r="FUL122" s="199"/>
      <c r="FUM122" s="198"/>
      <c r="FUN122" s="199"/>
      <c r="FUO122" s="198"/>
      <c r="FUP122" s="199"/>
      <c r="FUQ122" s="198"/>
      <c r="FUR122" s="199"/>
      <c r="FUS122" s="198"/>
      <c r="FUT122" s="199"/>
      <c r="FUU122" s="198"/>
      <c r="FUV122" s="199"/>
      <c r="FUW122" s="198"/>
      <c r="FUX122" s="199"/>
      <c r="FUY122" s="198"/>
      <c r="FUZ122" s="199"/>
      <c r="FVA122" s="198"/>
      <c r="FVB122" s="199"/>
      <c r="FVC122" s="198"/>
      <c r="FVD122" s="199"/>
      <c r="FVE122" s="198"/>
      <c r="FVF122" s="199"/>
      <c r="FVG122" s="198"/>
      <c r="FVH122" s="199"/>
      <c r="FVI122" s="198"/>
      <c r="FVJ122" s="199"/>
      <c r="FVK122" s="198"/>
      <c r="FVL122" s="199"/>
      <c r="FVM122" s="198"/>
      <c r="FVN122" s="199"/>
      <c r="FVO122" s="198"/>
      <c r="FVP122" s="199"/>
      <c r="FVQ122" s="198"/>
      <c r="FVR122" s="199"/>
      <c r="FVS122" s="198"/>
      <c r="FVT122" s="199"/>
      <c r="FVU122" s="198"/>
      <c r="FVV122" s="199"/>
      <c r="FVW122" s="198"/>
      <c r="FVX122" s="199"/>
      <c r="FVY122" s="198"/>
      <c r="FVZ122" s="199"/>
      <c r="FWA122" s="198"/>
      <c r="FWB122" s="199"/>
      <c r="FWC122" s="198"/>
      <c r="FWD122" s="199"/>
      <c r="FWE122" s="198"/>
      <c r="FWF122" s="199"/>
      <c r="FWG122" s="198"/>
      <c r="FWH122" s="199"/>
      <c r="FWI122" s="198"/>
      <c r="FWJ122" s="199"/>
      <c r="FWK122" s="198"/>
      <c r="FWL122" s="199"/>
      <c r="FWM122" s="198"/>
      <c r="FWN122" s="199"/>
      <c r="FWO122" s="198"/>
      <c r="FWP122" s="199"/>
      <c r="FWQ122" s="198"/>
      <c r="FWR122" s="199"/>
      <c r="FWS122" s="198"/>
      <c r="FWT122" s="199"/>
      <c r="FWU122" s="198"/>
      <c r="FWV122" s="199"/>
      <c r="FWW122" s="198"/>
      <c r="FWX122" s="199"/>
      <c r="FWY122" s="198"/>
      <c r="FWZ122" s="199"/>
      <c r="FXA122" s="198"/>
      <c r="FXB122" s="199"/>
      <c r="FXC122" s="198"/>
      <c r="FXD122" s="199"/>
      <c r="FXE122" s="198"/>
      <c r="FXF122" s="199"/>
      <c r="FXG122" s="198"/>
      <c r="FXH122" s="199"/>
      <c r="FXI122" s="198"/>
      <c r="FXJ122" s="199"/>
      <c r="FXK122" s="198"/>
      <c r="FXL122" s="199"/>
      <c r="FXM122" s="198"/>
      <c r="FXN122" s="199"/>
      <c r="FXO122" s="198"/>
      <c r="FXP122" s="199"/>
      <c r="FXQ122" s="198"/>
      <c r="FXR122" s="199"/>
      <c r="FXS122" s="198"/>
      <c r="FXT122" s="199"/>
      <c r="FXU122" s="198"/>
      <c r="FXV122" s="199"/>
      <c r="FXW122" s="198"/>
      <c r="FXX122" s="199"/>
      <c r="FXY122" s="198"/>
      <c r="FXZ122" s="199"/>
      <c r="FYA122" s="198"/>
      <c r="FYB122" s="199"/>
      <c r="FYC122" s="198"/>
      <c r="FYD122" s="199"/>
      <c r="FYE122" s="198"/>
      <c r="FYF122" s="199"/>
      <c r="FYG122" s="198"/>
      <c r="FYH122" s="199"/>
      <c r="FYI122" s="198"/>
      <c r="FYJ122" s="199"/>
      <c r="FYK122" s="198"/>
      <c r="FYL122" s="199"/>
      <c r="FYM122" s="198"/>
      <c r="FYN122" s="199"/>
      <c r="FYO122" s="198"/>
      <c r="FYP122" s="199"/>
      <c r="FYQ122" s="198"/>
      <c r="FYR122" s="199"/>
      <c r="FYS122" s="198"/>
      <c r="FYT122" s="199"/>
      <c r="FYU122" s="198"/>
      <c r="FYV122" s="199"/>
      <c r="FYW122" s="198"/>
      <c r="FYX122" s="199"/>
      <c r="FYY122" s="198"/>
      <c r="FYZ122" s="199"/>
      <c r="FZA122" s="198"/>
      <c r="FZB122" s="199"/>
      <c r="FZC122" s="198"/>
      <c r="FZD122" s="199"/>
      <c r="FZE122" s="198"/>
      <c r="FZF122" s="199"/>
      <c r="FZG122" s="198"/>
      <c r="FZH122" s="199"/>
      <c r="FZI122" s="198"/>
      <c r="FZJ122" s="199"/>
      <c r="FZK122" s="198"/>
      <c r="FZL122" s="199"/>
      <c r="FZM122" s="198"/>
      <c r="FZN122" s="199"/>
      <c r="FZO122" s="198"/>
      <c r="FZP122" s="199"/>
      <c r="FZQ122" s="198"/>
      <c r="FZR122" s="199"/>
      <c r="FZS122" s="198"/>
      <c r="FZT122" s="199"/>
      <c r="FZU122" s="198"/>
      <c r="FZV122" s="199"/>
      <c r="FZW122" s="198"/>
      <c r="FZX122" s="199"/>
      <c r="FZY122" s="198"/>
      <c r="FZZ122" s="199"/>
      <c r="GAA122" s="198"/>
      <c r="GAB122" s="199"/>
      <c r="GAC122" s="198"/>
      <c r="GAD122" s="199"/>
      <c r="GAE122" s="198"/>
      <c r="GAF122" s="199"/>
      <c r="GAG122" s="198"/>
      <c r="GAH122" s="199"/>
      <c r="GAI122" s="198"/>
      <c r="GAJ122" s="199"/>
      <c r="GAK122" s="198"/>
      <c r="GAL122" s="199"/>
      <c r="GAM122" s="198"/>
      <c r="GAN122" s="199"/>
      <c r="GAO122" s="198"/>
      <c r="GAP122" s="199"/>
      <c r="GAQ122" s="198"/>
      <c r="GAR122" s="199"/>
      <c r="GAS122" s="198"/>
      <c r="GAT122" s="199"/>
      <c r="GAU122" s="198"/>
      <c r="GAV122" s="199"/>
      <c r="GAW122" s="198"/>
      <c r="GAX122" s="199"/>
      <c r="GAY122" s="198"/>
      <c r="GAZ122" s="199"/>
      <c r="GBA122" s="198"/>
      <c r="GBB122" s="199"/>
      <c r="GBC122" s="198"/>
      <c r="GBD122" s="199"/>
      <c r="GBE122" s="198"/>
      <c r="GBF122" s="199"/>
      <c r="GBG122" s="198"/>
      <c r="GBH122" s="199"/>
      <c r="GBI122" s="198"/>
      <c r="GBJ122" s="199"/>
      <c r="GBK122" s="198"/>
      <c r="GBL122" s="199"/>
      <c r="GBM122" s="198"/>
      <c r="GBN122" s="199"/>
      <c r="GBO122" s="198"/>
      <c r="GBP122" s="199"/>
      <c r="GBQ122" s="198"/>
      <c r="GBR122" s="199"/>
      <c r="GBS122" s="198"/>
      <c r="GBT122" s="199"/>
      <c r="GBU122" s="198"/>
      <c r="GBV122" s="199"/>
      <c r="GBW122" s="198"/>
      <c r="GBX122" s="199"/>
      <c r="GBY122" s="198"/>
      <c r="GBZ122" s="199"/>
      <c r="GCA122" s="198"/>
      <c r="GCB122" s="199"/>
      <c r="GCC122" s="198"/>
      <c r="GCD122" s="199"/>
      <c r="GCE122" s="198"/>
      <c r="GCF122" s="199"/>
      <c r="GCG122" s="198"/>
      <c r="GCH122" s="199"/>
      <c r="GCI122" s="198"/>
      <c r="GCJ122" s="199"/>
      <c r="GCK122" s="198"/>
      <c r="GCL122" s="199"/>
      <c r="GCM122" s="198"/>
      <c r="GCN122" s="199"/>
      <c r="GCO122" s="198"/>
      <c r="GCP122" s="199"/>
      <c r="GCQ122" s="198"/>
      <c r="GCR122" s="199"/>
      <c r="GCS122" s="198"/>
      <c r="GCT122" s="199"/>
      <c r="GCU122" s="198"/>
      <c r="GCV122" s="199"/>
      <c r="GCW122" s="198"/>
      <c r="GCX122" s="199"/>
      <c r="GCY122" s="198"/>
      <c r="GCZ122" s="199"/>
      <c r="GDA122" s="198"/>
      <c r="GDB122" s="199"/>
      <c r="GDC122" s="198"/>
      <c r="GDD122" s="199"/>
      <c r="GDE122" s="198"/>
      <c r="GDF122" s="199"/>
      <c r="GDG122" s="198"/>
      <c r="GDH122" s="199"/>
      <c r="GDI122" s="198"/>
      <c r="GDJ122" s="199"/>
      <c r="GDK122" s="198"/>
      <c r="GDL122" s="199"/>
      <c r="GDM122" s="198"/>
      <c r="GDN122" s="199"/>
      <c r="GDO122" s="198"/>
      <c r="GDP122" s="199"/>
      <c r="GDQ122" s="198"/>
      <c r="GDR122" s="199"/>
      <c r="GDS122" s="198"/>
      <c r="GDT122" s="199"/>
      <c r="GDU122" s="198"/>
      <c r="GDV122" s="199"/>
      <c r="GDW122" s="198"/>
      <c r="GDX122" s="199"/>
      <c r="GDY122" s="198"/>
      <c r="GDZ122" s="199"/>
      <c r="GEA122" s="198"/>
      <c r="GEB122" s="199"/>
      <c r="GEC122" s="198"/>
      <c r="GED122" s="199"/>
      <c r="GEE122" s="198"/>
      <c r="GEF122" s="199"/>
      <c r="GEG122" s="198"/>
      <c r="GEH122" s="199"/>
      <c r="GEI122" s="198"/>
      <c r="GEJ122" s="199"/>
      <c r="GEK122" s="198"/>
      <c r="GEL122" s="199"/>
      <c r="GEM122" s="198"/>
      <c r="GEN122" s="199"/>
      <c r="GEO122" s="198"/>
      <c r="GEP122" s="199"/>
      <c r="GEQ122" s="198"/>
      <c r="GER122" s="199"/>
      <c r="GES122" s="198"/>
      <c r="GET122" s="199"/>
      <c r="GEU122" s="198"/>
      <c r="GEV122" s="199"/>
      <c r="GEW122" s="198"/>
      <c r="GEX122" s="199"/>
      <c r="GEY122" s="198"/>
      <c r="GEZ122" s="199"/>
      <c r="GFA122" s="198"/>
      <c r="GFB122" s="199"/>
      <c r="GFC122" s="198"/>
      <c r="GFD122" s="199"/>
      <c r="GFE122" s="198"/>
      <c r="GFF122" s="199"/>
      <c r="GFG122" s="198"/>
      <c r="GFH122" s="199"/>
      <c r="GFI122" s="198"/>
      <c r="GFJ122" s="199"/>
      <c r="GFK122" s="198"/>
      <c r="GFL122" s="199"/>
      <c r="GFM122" s="198"/>
      <c r="GFN122" s="199"/>
      <c r="GFO122" s="198"/>
      <c r="GFP122" s="199"/>
      <c r="GFQ122" s="198"/>
      <c r="GFR122" s="199"/>
      <c r="GFS122" s="198"/>
      <c r="GFT122" s="199"/>
      <c r="GFU122" s="198"/>
      <c r="GFV122" s="199"/>
      <c r="GFW122" s="198"/>
      <c r="GFX122" s="199"/>
      <c r="GFY122" s="198"/>
      <c r="GFZ122" s="199"/>
      <c r="GGA122" s="198"/>
      <c r="GGB122" s="199"/>
      <c r="GGC122" s="198"/>
      <c r="GGD122" s="199"/>
      <c r="GGE122" s="198"/>
      <c r="GGF122" s="199"/>
      <c r="GGG122" s="198"/>
      <c r="GGH122" s="199"/>
      <c r="GGI122" s="198"/>
      <c r="GGJ122" s="199"/>
      <c r="GGK122" s="198"/>
      <c r="GGL122" s="199"/>
      <c r="GGM122" s="198"/>
      <c r="GGN122" s="199"/>
      <c r="GGO122" s="198"/>
      <c r="GGP122" s="199"/>
      <c r="GGQ122" s="198"/>
      <c r="GGR122" s="199"/>
      <c r="GGS122" s="198"/>
      <c r="GGT122" s="199"/>
      <c r="GGU122" s="198"/>
      <c r="GGV122" s="199"/>
      <c r="GGW122" s="198"/>
      <c r="GGX122" s="199"/>
      <c r="GGY122" s="198"/>
      <c r="GGZ122" s="199"/>
      <c r="GHA122" s="198"/>
      <c r="GHB122" s="199"/>
      <c r="GHC122" s="198"/>
      <c r="GHD122" s="199"/>
      <c r="GHE122" s="198"/>
      <c r="GHF122" s="199"/>
      <c r="GHG122" s="198"/>
      <c r="GHH122" s="199"/>
      <c r="GHI122" s="198"/>
      <c r="GHJ122" s="199"/>
      <c r="GHK122" s="198"/>
      <c r="GHL122" s="199"/>
      <c r="GHM122" s="198"/>
      <c r="GHN122" s="199"/>
      <c r="GHO122" s="198"/>
      <c r="GHP122" s="199"/>
      <c r="GHQ122" s="198"/>
      <c r="GHR122" s="199"/>
      <c r="GHS122" s="198"/>
      <c r="GHT122" s="199"/>
      <c r="GHU122" s="198"/>
      <c r="GHV122" s="199"/>
      <c r="GHW122" s="198"/>
      <c r="GHX122" s="199"/>
      <c r="GHY122" s="198"/>
      <c r="GHZ122" s="199"/>
      <c r="GIA122" s="198"/>
      <c r="GIB122" s="199"/>
      <c r="GIC122" s="198"/>
      <c r="GID122" s="199"/>
      <c r="GIE122" s="198"/>
      <c r="GIF122" s="199"/>
      <c r="GIG122" s="198"/>
      <c r="GIH122" s="199"/>
      <c r="GII122" s="198"/>
      <c r="GIJ122" s="199"/>
      <c r="GIK122" s="198"/>
      <c r="GIL122" s="199"/>
      <c r="GIM122" s="198"/>
      <c r="GIN122" s="199"/>
      <c r="GIO122" s="198"/>
      <c r="GIP122" s="199"/>
      <c r="GIQ122" s="198"/>
      <c r="GIR122" s="199"/>
      <c r="GIS122" s="198"/>
      <c r="GIT122" s="199"/>
      <c r="GIU122" s="198"/>
      <c r="GIV122" s="199"/>
      <c r="GIW122" s="198"/>
      <c r="GIX122" s="199"/>
      <c r="GIY122" s="198"/>
      <c r="GIZ122" s="199"/>
      <c r="GJA122" s="198"/>
      <c r="GJB122" s="199"/>
      <c r="GJC122" s="198"/>
      <c r="GJD122" s="199"/>
      <c r="GJE122" s="198"/>
      <c r="GJF122" s="199"/>
      <c r="GJG122" s="198"/>
      <c r="GJH122" s="199"/>
      <c r="GJI122" s="198"/>
      <c r="GJJ122" s="199"/>
      <c r="GJK122" s="198"/>
      <c r="GJL122" s="199"/>
      <c r="GJM122" s="198"/>
      <c r="GJN122" s="199"/>
      <c r="GJO122" s="198"/>
      <c r="GJP122" s="199"/>
      <c r="GJQ122" s="198"/>
      <c r="GJR122" s="199"/>
      <c r="GJS122" s="198"/>
      <c r="GJT122" s="199"/>
      <c r="GJU122" s="198"/>
      <c r="GJV122" s="199"/>
      <c r="GJW122" s="198"/>
      <c r="GJX122" s="199"/>
      <c r="GJY122" s="198"/>
      <c r="GJZ122" s="199"/>
      <c r="GKA122" s="198"/>
      <c r="GKB122" s="199"/>
      <c r="GKC122" s="198"/>
      <c r="GKD122" s="199"/>
      <c r="GKE122" s="198"/>
      <c r="GKF122" s="199"/>
      <c r="GKG122" s="198"/>
      <c r="GKH122" s="199"/>
      <c r="GKI122" s="198"/>
      <c r="GKJ122" s="199"/>
      <c r="GKK122" s="198"/>
      <c r="GKL122" s="199"/>
      <c r="GKM122" s="198"/>
      <c r="GKN122" s="199"/>
      <c r="GKO122" s="198"/>
      <c r="GKP122" s="199"/>
      <c r="GKQ122" s="198"/>
      <c r="GKR122" s="199"/>
      <c r="GKS122" s="198"/>
      <c r="GKT122" s="199"/>
      <c r="GKU122" s="198"/>
      <c r="GKV122" s="199"/>
      <c r="GKW122" s="198"/>
      <c r="GKX122" s="199"/>
      <c r="GKY122" s="198"/>
      <c r="GKZ122" s="199"/>
      <c r="GLA122" s="198"/>
      <c r="GLB122" s="199"/>
      <c r="GLC122" s="198"/>
      <c r="GLD122" s="199"/>
      <c r="GLE122" s="198"/>
      <c r="GLF122" s="199"/>
      <c r="GLG122" s="198"/>
      <c r="GLH122" s="199"/>
      <c r="GLI122" s="198"/>
      <c r="GLJ122" s="199"/>
      <c r="GLK122" s="198"/>
      <c r="GLL122" s="199"/>
      <c r="GLM122" s="198"/>
      <c r="GLN122" s="199"/>
      <c r="GLO122" s="198"/>
      <c r="GLP122" s="199"/>
      <c r="GLQ122" s="198"/>
      <c r="GLR122" s="199"/>
      <c r="GLS122" s="198"/>
      <c r="GLT122" s="199"/>
      <c r="GLU122" s="198"/>
      <c r="GLV122" s="199"/>
      <c r="GLW122" s="198"/>
      <c r="GLX122" s="199"/>
      <c r="GLY122" s="198"/>
      <c r="GLZ122" s="199"/>
      <c r="GMA122" s="198"/>
      <c r="GMB122" s="199"/>
      <c r="GMC122" s="198"/>
      <c r="GMD122" s="199"/>
      <c r="GME122" s="198"/>
      <c r="GMF122" s="199"/>
      <c r="GMG122" s="198"/>
      <c r="GMH122" s="199"/>
      <c r="GMI122" s="198"/>
      <c r="GMJ122" s="199"/>
      <c r="GMK122" s="198"/>
      <c r="GML122" s="199"/>
      <c r="GMM122" s="198"/>
      <c r="GMN122" s="199"/>
      <c r="GMO122" s="198"/>
      <c r="GMP122" s="199"/>
      <c r="GMQ122" s="198"/>
      <c r="GMR122" s="199"/>
      <c r="GMS122" s="198"/>
      <c r="GMT122" s="199"/>
      <c r="GMU122" s="198"/>
      <c r="GMV122" s="199"/>
      <c r="GMW122" s="198"/>
      <c r="GMX122" s="199"/>
      <c r="GMY122" s="198"/>
      <c r="GMZ122" s="199"/>
      <c r="GNA122" s="198"/>
      <c r="GNB122" s="199"/>
      <c r="GNC122" s="198"/>
      <c r="GND122" s="199"/>
      <c r="GNE122" s="198"/>
      <c r="GNF122" s="199"/>
      <c r="GNG122" s="198"/>
      <c r="GNH122" s="199"/>
      <c r="GNI122" s="198"/>
      <c r="GNJ122" s="199"/>
      <c r="GNK122" s="198"/>
      <c r="GNL122" s="199"/>
      <c r="GNM122" s="198"/>
      <c r="GNN122" s="199"/>
      <c r="GNO122" s="198"/>
      <c r="GNP122" s="199"/>
      <c r="GNQ122" s="198"/>
      <c r="GNR122" s="199"/>
      <c r="GNS122" s="198"/>
      <c r="GNT122" s="199"/>
      <c r="GNU122" s="198"/>
      <c r="GNV122" s="199"/>
      <c r="GNW122" s="198"/>
      <c r="GNX122" s="199"/>
      <c r="GNY122" s="198"/>
      <c r="GNZ122" s="199"/>
      <c r="GOA122" s="198"/>
      <c r="GOB122" s="199"/>
      <c r="GOC122" s="198"/>
      <c r="GOD122" s="199"/>
      <c r="GOE122" s="198"/>
      <c r="GOF122" s="199"/>
      <c r="GOG122" s="198"/>
      <c r="GOH122" s="199"/>
      <c r="GOI122" s="198"/>
      <c r="GOJ122" s="199"/>
      <c r="GOK122" s="198"/>
      <c r="GOL122" s="199"/>
      <c r="GOM122" s="198"/>
      <c r="GON122" s="199"/>
      <c r="GOO122" s="198"/>
      <c r="GOP122" s="199"/>
      <c r="GOQ122" s="198"/>
      <c r="GOR122" s="199"/>
      <c r="GOS122" s="198"/>
      <c r="GOT122" s="199"/>
      <c r="GOU122" s="198"/>
      <c r="GOV122" s="199"/>
      <c r="GOW122" s="198"/>
      <c r="GOX122" s="199"/>
      <c r="GOY122" s="198"/>
      <c r="GOZ122" s="199"/>
      <c r="GPA122" s="198"/>
      <c r="GPB122" s="199"/>
      <c r="GPC122" s="198"/>
      <c r="GPD122" s="199"/>
      <c r="GPE122" s="198"/>
      <c r="GPF122" s="199"/>
      <c r="GPG122" s="198"/>
      <c r="GPH122" s="199"/>
      <c r="GPI122" s="198"/>
      <c r="GPJ122" s="199"/>
      <c r="GPK122" s="198"/>
      <c r="GPL122" s="199"/>
      <c r="GPM122" s="198"/>
      <c r="GPN122" s="199"/>
      <c r="GPO122" s="198"/>
      <c r="GPP122" s="199"/>
      <c r="GPQ122" s="198"/>
      <c r="GPR122" s="199"/>
      <c r="GPS122" s="198"/>
      <c r="GPT122" s="199"/>
      <c r="GPU122" s="198"/>
      <c r="GPV122" s="199"/>
      <c r="GPW122" s="198"/>
      <c r="GPX122" s="199"/>
      <c r="GPY122" s="198"/>
      <c r="GPZ122" s="199"/>
      <c r="GQA122" s="198"/>
      <c r="GQB122" s="199"/>
      <c r="GQC122" s="198"/>
      <c r="GQD122" s="199"/>
      <c r="GQE122" s="198"/>
      <c r="GQF122" s="199"/>
      <c r="GQG122" s="198"/>
      <c r="GQH122" s="199"/>
      <c r="GQI122" s="198"/>
      <c r="GQJ122" s="199"/>
      <c r="GQK122" s="198"/>
      <c r="GQL122" s="199"/>
      <c r="GQM122" s="198"/>
      <c r="GQN122" s="199"/>
      <c r="GQO122" s="198"/>
      <c r="GQP122" s="199"/>
      <c r="GQQ122" s="198"/>
      <c r="GQR122" s="199"/>
      <c r="GQS122" s="198"/>
      <c r="GQT122" s="199"/>
      <c r="GQU122" s="198"/>
      <c r="GQV122" s="199"/>
      <c r="GQW122" s="198"/>
      <c r="GQX122" s="199"/>
      <c r="GQY122" s="198"/>
      <c r="GQZ122" s="199"/>
      <c r="GRA122" s="198"/>
      <c r="GRB122" s="199"/>
      <c r="GRC122" s="198"/>
      <c r="GRD122" s="199"/>
      <c r="GRE122" s="198"/>
      <c r="GRF122" s="199"/>
      <c r="GRG122" s="198"/>
      <c r="GRH122" s="199"/>
      <c r="GRI122" s="198"/>
      <c r="GRJ122" s="199"/>
      <c r="GRK122" s="198"/>
      <c r="GRL122" s="199"/>
      <c r="GRM122" s="198"/>
      <c r="GRN122" s="199"/>
      <c r="GRO122" s="198"/>
      <c r="GRP122" s="199"/>
      <c r="GRQ122" s="198"/>
      <c r="GRR122" s="199"/>
      <c r="GRS122" s="198"/>
      <c r="GRT122" s="199"/>
      <c r="GRU122" s="198"/>
      <c r="GRV122" s="199"/>
      <c r="GRW122" s="198"/>
      <c r="GRX122" s="199"/>
      <c r="GRY122" s="198"/>
      <c r="GRZ122" s="199"/>
      <c r="GSA122" s="198"/>
      <c r="GSB122" s="199"/>
      <c r="GSC122" s="198"/>
      <c r="GSD122" s="199"/>
      <c r="GSE122" s="198"/>
      <c r="GSF122" s="199"/>
      <c r="GSG122" s="198"/>
      <c r="GSH122" s="199"/>
      <c r="GSI122" s="198"/>
      <c r="GSJ122" s="199"/>
      <c r="GSK122" s="198"/>
      <c r="GSL122" s="199"/>
      <c r="GSM122" s="198"/>
      <c r="GSN122" s="199"/>
      <c r="GSO122" s="198"/>
      <c r="GSP122" s="199"/>
      <c r="GSQ122" s="198"/>
      <c r="GSR122" s="199"/>
      <c r="GSS122" s="198"/>
      <c r="GST122" s="199"/>
      <c r="GSU122" s="198"/>
      <c r="GSV122" s="199"/>
      <c r="GSW122" s="198"/>
      <c r="GSX122" s="199"/>
      <c r="GSY122" s="198"/>
      <c r="GSZ122" s="199"/>
      <c r="GTA122" s="198"/>
      <c r="GTB122" s="199"/>
      <c r="GTC122" s="198"/>
      <c r="GTD122" s="199"/>
      <c r="GTE122" s="198"/>
      <c r="GTF122" s="199"/>
      <c r="GTG122" s="198"/>
      <c r="GTH122" s="199"/>
      <c r="GTI122" s="198"/>
      <c r="GTJ122" s="199"/>
      <c r="GTK122" s="198"/>
      <c r="GTL122" s="199"/>
      <c r="GTM122" s="198"/>
      <c r="GTN122" s="199"/>
      <c r="GTO122" s="198"/>
      <c r="GTP122" s="199"/>
      <c r="GTQ122" s="198"/>
      <c r="GTR122" s="199"/>
      <c r="GTS122" s="198"/>
      <c r="GTT122" s="199"/>
      <c r="GTU122" s="198"/>
      <c r="GTV122" s="199"/>
      <c r="GTW122" s="198"/>
      <c r="GTX122" s="199"/>
      <c r="GTY122" s="198"/>
      <c r="GTZ122" s="199"/>
      <c r="GUA122" s="198"/>
      <c r="GUB122" s="199"/>
      <c r="GUC122" s="198"/>
      <c r="GUD122" s="199"/>
      <c r="GUE122" s="198"/>
      <c r="GUF122" s="199"/>
      <c r="GUG122" s="198"/>
      <c r="GUH122" s="199"/>
      <c r="GUI122" s="198"/>
      <c r="GUJ122" s="199"/>
      <c r="GUK122" s="198"/>
      <c r="GUL122" s="199"/>
      <c r="GUM122" s="198"/>
      <c r="GUN122" s="199"/>
      <c r="GUO122" s="198"/>
      <c r="GUP122" s="199"/>
      <c r="GUQ122" s="198"/>
      <c r="GUR122" s="199"/>
      <c r="GUS122" s="198"/>
      <c r="GUT122" s="199"/>
      <c r="GUU122" s="198"/>
      <c r="GUV122" s="199"/>
      <c r="GUW122" s="198"/>
      <c r="GUX122" s="199"/>
      <c r="GUY122" s="198"/>
      <c r="GUZ122" s="199"/>
      <c r="GVA122" s="198"/>
      <c r="GVB122" s="199"/>
      <c r="GVC122" s="198"/>
      <c r="GVD122" s="199"/>
      <c r="GVE122" s="198"/>
      <c r="GVF122" s="199"/>
      <c r="GVG122" s="198"/>
      <c r="GVH122" s="199"/>
      <c r="GVI122" s="198"/>
      <c r="GVJ122" s="199"/>
      <c r="GVK122" s="198"/>
      <c r="GVL122" s="199"/>
      <c r="GVM122" s="198"/>
      <c r="GVN122" s="199"/>
      <c r="GVO122" s="198"/>
      <c r="GVP122" s="199"/>
      <c r="GVQ122" s="198"/>
      <c r="GVR122" s="199"/>
      <c r="GVS122" s="198"/>
      <c r="GVT122" s="199"/>
      <c r="GVU122" s="198"/>
      <c r="GVV122" s="199"/>
      <c r="GVW122" s="198"/>
      <c r="GVX122" s="199"/>
      <c r="GVY122" s="198"/>
      <c r="GVZ122" s="199"/>
      <c r="GWA122" s="198"/>
      <c r="GWB122" s="199"/>
      <c r="GWC122" s="198"/>
      <c r="GWD122" s="199"/>
      <c r="GWE122" s="198"/>
      <c r="GWF122" s="199"/>
      <c r="GWG122" s="198"/>
      <c r="GWH122" s="199"/>
      <c r="GWI122" s="198"/>
      <c r="GWJ122" s="199"/>
      <c r="GWK122" s="198"/>
      <c r="GWL122" s="199"/>
      <c r="GWM122" s="198"/>
      <c r="GWN122" s="199"/>
      <c r="GWO122" s="198"/>
      <c r="GWP122" s="199"/>
      <c r="GWQ122" s="198"/>
      <c r="GWR122" s="199"/>
      <c r="GWS122" s="198"/>
      <c r="GWT122" s="199"/>
      <c r="GWU122" s="198"/>
      <c r="GWV122" s="199"/>
      <c r="GWW122" s="198"/>
      <c r="GWX122" s="199"/>
      <c r="GWY122" s="198"/>
      <c r="GWZ122" s="199"/>
      <c r="GXA122" s="198"/>
      <c r="GXB122" s="199"/>
      <c r="GXC122" s="198"/>
      <c r="GXD122" s="199"/>
      <c r="GXE122" s="198"/>
      <c r="GXF122" s="199"/>
      <c r="GXG122" s="198"/>
      <c r="GXH122" s="199"/>
      <c r="GXI122" s="198"/>
      <c r="GXJ122" s="199"/>
      <c r="GXK122" s="198"/>
      <c r="GXL122" s="199"/>
      <c r="GXM122" s="198"/>
      <c r="GXN122" s="199"/>
      <c r="GXO122" s="198"/>
      <c r="GXP122" s="199"/>
      <c r="GXQ122" s="198"/>
      <c r="GXR122" s="199"/>
      <c r="GXS122" s="198"/>
      <c r="GXT122" s="199"/>
      <c r="GXU122" s="198"/>
      <c r="GXV122" s="199"/>
      <c r="GXW122" s="198"/>
      <c r="GXX122" s="199"/>
      <c r="GXY122" s="198"/>
      <c r="GXZ122" s="199"/>
      <c r="GYA122" s="198"/>
      <c r="GYB122" s="199"/>
      <c r="GYC122" s="198"/>
      <c r="GYD122" s="199"/>
      <c r="GYE122" s="198"/>
      <c r="GYF122" s="199"/>
      <c r="GYG122" s="198"/>
      <c r="GYH122" s="199"/>
      <c r="GYI122" s="198"/>
      <c r="GYJ122" s="199"/>
      <c r="GYK122" s="198"/>
      <c r="GYL122" s="199"/>
      <c r="GYM122" s="198"/>
      <c r="GYN122" s="199"/>
      <c r="GYO122" s="198"/>
      <c r="GYP122" s="199"/>
      <c r="GYQ122" s="198"/>
      <c r="GYR122" s="199"/>
      <c r="GYS122" s="198"/>
      <c r="GYT122" s="199"/>
      <c r="GYU122" s="198"/>
      <c r="GYV122" s="199"/>
      <c r="GYW122" s="198"/>
      <c r="GYX122" s="199"/>
      <c r="GYY122" s="198"/>
      <c r="GYZ122" s="199"/>
      <c r="GZA122" s="198"/>
      <c r="GZB122" s="199"/>
      <c r="GZC122" s="198"/>
      <c r="GZD122" s="199"/>
      <c r="GZE122" s="198"/>
      <c r="GZF122" s="199"/>
      <c r="GZG122" s="198"/>
      <c r="GZH122" s="199"/>
      <c r="GZI122" s="198"/>
      <c r="GZJ122" s="199"/>
      <c r="GZK122" s="198"/>
      <c r="GZL122" s="199"/>
      <c r="GZM122" s="198"/>
      <c r="GZN122" s="199"/>
      <c r="GZO122" s="198"/>
      <c r="GZP122" s="199"/>
      <c r="GZQ122" s="198"/>
      <c r="GZR122" s="199"/>
      <c r="GZS122" s="198"/>
      <c r="GZT122" s="199"/>
      <c r="GZU122" s="198"/>
      <c r="GZV122" s="199"/>
      <c r="GZW122" s="198"/>
      <c r="GZX122" s="199"/>
      <c r="GZY122" s="198"/>
      <c r="GZZ122" s="199"/>
      <c r="HAA122" s="198"/>
      <c r="HAB122" s="199"/>
      <c r="HAC122" s="198"/>
      <c r="HAD122" s="199"/>
      <c r="HAE122" s="198"/>
      <c r="HAF122" s="199"/>
      <c r="HAG122" s="198"/>
      <c r="HAH122" s="199"/>
      <c r="HAI122" s="198"/>
      <c r="HAJ122" s="199"/>
      <c r="HAK122" s="198"/>
      <c r="HAL122" s="199"/>
      <c r="HAM122" s="198"/>
      <c r="HAN122" s="199"/>
      <c r="HAO122" s="198"/>
      <c r="HAP122" s="199"/>
      <c r="HAQ122" s="198"/>
      <c r="HAR122" s="199"/>
      <c r="HAS122" s="198"/>
      <c r="HAT122" s="199"/>
      <c r="HAU122" s="198"/>
      <c r="HAV122" s="199"/>
      <c r="HAW122" s="198"/>
      <c r="HAX122" s="199"/>
      <c r="HAY122" s="198"/>
      <c r="HAZ122" s="199"/>
      <c r="HBA122" s="198"/>
      <c r="HBB122" s="199"/>
      <c r="HBC122" s="198"/>
      <c r="HBD122" s="199"/>
      <c r="HBE122" s="198"/>
      <c r="HBF122" s="199"/>
      <c r="HBG122" s="198"/>
      <c r="HBH122" s="199"/>
      <c r="HBI122" s="198"/>
      <c r="HBJ122" s="199"/>
      <c r="HBK122" s="198"/>
      <c r="HBL122" s="199"/>
      <c r="HBM122" s="198"/>
      <c r="HBN122" s="199"/>
      <c r="HBO122" s="198"/>
      <c r="HBP122" s="199"/>
      <c r="HBQ122" s="198"/>
      <c r="HBR122" s="199"/>
      <c r="HBS122" s="198"/>
      <c r="HBT122" s="199"/>
      <c r="HBU122" s="198"/>
      <c r="HBV122" s="199"/>
      <c r="HBW122" s="198"/>
      <c r="HBX122" s="199"/>
      <c r="HBY122" s="198"/>
      <c r="HBZ122" s="199"/>
      <c r="HCA122" s="198"/>
      <c r="HCB122" s="199"/>
      <c r="HCC122" s="198"/>
      <c r="HCD122" s="199"/>
      <c r="HCE122" s="198"/>
      <c r="HCF122" s="199"/>
      <c r="HCG122" s="198"/>
      <c r="HCH122" s="199"/>
      <c r="HCI122" s="198"/>
      <c r="HCJ122" s="199"/>
      <c r="HCK122" s="198"/>
      <c r="HCL122" s="199"/>
      <c r="HCM122" s="198"/>
      <c r="HCN122" s="199"/>
      <c r="HCO122" s="198"/>
      <c r="HCP122" s="199"/>
      <c r="HCQ122" s="198"/>
      <c r="HCR122" s="199"/>
      <c r="HCS122" s="198"/>
      <c r="HCT122" s="199"/>
      <c r="HCU122" s="198"/>
      <c r="HCV122" s="199"/>
      <c r="HCW122" s="198"/>
      <c r="HCX122" s="199"/>
      <c r="HCY122" s="198"/>
      <c r="HCZ122" s="199"/>
      <c r="HDA122" s="198"/>
      <c r="HDB122" s="199"/>
      <c r="HDC122" s="198"/>
      <c r="HDD122" s="199"/>
      <c r="HDE122" s="198"/>
      <c r="HDF122" s="199"/>
      <c r="HDG122" s="198"/>
      <c r="HDH122" s="199"/>
      <c r="HDI122" s="198"/>
      <c r="HDJ122" s="199"/>
      <c r="HDK122" s="198"/>
      <c r="HDL122" s="199"/>
      <c r="HDM122" s="198"/>
      <c r="HDN122" s="199"/>
      <c r="HDO122" s="198"/>
      <c r="HDP122" s="199"/>
      <c r="HDQ122" s="198"/>
      <c r="HDR122" s="199"/>
      <c r="HDS122" s="198"/>
      <c r="HDT122" s="199"/>
      <c r="HDU122" s="198"/>
      <c r="HDV122" s="199"/>
      <c r="HDW122" s="198"/>
      <c r="HDX122" s="199"/>
      <c r="HDY122" s="198"/>
      <c r="HDZ122" s="199"/>
      <c r="HEA122" s="198"/>
      <c r="HEB122" s="199"/>
      <c r="HEC122" s="198"/>
      <c r="HED122" s="199"/>
      <c r="HEE122" s="198"/>
      <c r="HEF122" s="199"/>
      <c r="HEG122" s="198"/>
      <c r="HEH122" s="199"/>
      <c r="HEI122" s="198"/>
      <c r="HEJ122" s="199"/>
      <c r="HEK122" s="198"/>
      <c r="HEL122" s="199"/>
      <c r="HEM122" s="198"/>
      <c r="HEN122" s="199"/>
      <c r="HEO122" s="198"/>
      <c r="HEP122" s="199"/>
      <c r="HEQ122" s="198"/>
      <c r="HER122" s="199"/>
      <c r="HES122" s="198"/>
      <c r="HET122" s="199"/>
      <c r="HEU122" s="198"/>
      <c r="HEV122" s="199"/>
      <c r="HEW122" s="198"/>
      <c r="HEX122" s="199"/>
      <c r="HEY122" s="198"/>
      <c r="HEZ122" s="199"/>
      <c r="HFA122" s="198"/>
      <c r="HFB122" s="199"/>
      <c r="HFC122" s="198"/>
      <c r="HFD122" s="199"/>
      <c r="HFE122" s="198"/>
      <c r="HFF122" s="199"/>
      <c r="HFG122" s="198"/>
      <c r="HFH122" s="199"/>
      <c r="HFI122" s="198"/>
      <c r="HFJ122" s="199"/>
      <c r="HFK122" s="198"/>
      <c r="HFL122" s="199"/>
      <c r="HFM122" s="198"/>
      <c r="HFN122" s="199"/>
      <c r="HFO122" s="198"/>
      <c r="HFP122" s="199"/>
      <c r="HFQ122" s="198"/>
      <c r="HFR122" s="199"/>
      <c r="HFS122" s="198"/>
      <c r="HFT122" s="199"/>
      <c r="HFU122" s="198"/>
      <c r="HFV122" s="199"/>
      <c r="HFW122" s="198"/>
      <c r="HFX122" s="199"/>
      <c r="HFY122" s="198"/>
      <c r="HFZ122" s="199"/>
      <c r="HGA122" s="198"/>
      <c r="HGB122" s="199"/>
      <c r="HGC122" s="198"/>
      <c r="HGD122" s="199"/>
      <c r="HGE122" s="198"/>
      <c r="HGF122" s="199"/>
      <c r="HGG122" s="198"/>
      <c r="HGH122" s="199"/>
      <c r="HGI122" s="198"/>
      <c r="HGJ122" s="199"/>
      <c r="HGK122" s="198"/>
      <c r="HGL122" s="199"/>
      <c r="HGM122" s="198"/>
      <c r="HGN122" s="199"/>
      <c r="HGO122" s="198"/>
      <c r="HGP122" s="199"/>
      <c r="HGQ122" s="198"/>
      <c r="HGR122" s="199"/>
      <c r="HGS122" s="198"/>
      <c r="HGT122" s="199"/>
      <c r="HGU122" s="198"/>
      <c r="HGV122" s="199"/>
      <c r="HGW122" s="198"/>
      <c r="HGX122" s="199"/>
      <c r="HGY122" s="198"/>
      <c r="HGZ122" s="199"/>
      <c r="HHA122" s="198"/>
      <c r="HHB122" s="199"/>
      <c r="HHC122" s="198"/>
      <c r="HHD122" s="199"/>
      <c r="HHE122" s="198"/>
      <c r="HHF122" s="199"/>
      <c r="HHG122" s="198"/>
      <c r="HHH122" s="199"/>
      <c r="HHI122" s="198"/>
      <c r="HHJ122" s="199"/>
      <c r="HHK122" s="198"/>
      <c r="HHL122" s="199"/>
      <c r="HHM122" s="198"/>
      <c r="HHN122" s="199"/>
      <c r="HHO122" s="198"/>
      <c r="HHP122" s="199"/>
      <c r="HHQ122" s="198"/>
      <c r="HHR122" s="199"/>
      <c r="HHS122" s="198"/>
      <c r="HHT122" s="199"/>
      <c r="HHU122" s="198"/>
      <c r="HHV122" s="199"/>
      <c r="HHW122" s="198"/>
      <c r="HHX122" s="199"/>
      <c r="HHY122" s="198"/>
      <c r="HHZ122" s="199"/>
      <c r="HIA122" s="198"/>
      <c r="HIB122" s="199"/>
      <c r="HIC122" s="198"/>
      <c r="HID122" s="199"/>
      <c r="HIE122" s="198"/>
      <c r="HIF122" s="199"/>
      <c r="HIG122" s="198"/>
      <c r="HIH122" s="199"/>
      <c r="HII122" s="198"/>
      <c r="HIJ122" s="199"/>
      <c r="HIK122" s="198"/>
      <c r="HIL122" s="199"/>
      <c r="HIM122" s="198"/>
      <c r="HIN122" s="199"/>
      <c r="HIO122" s="198"/>
      <c r="HIP122" s="199"/>
      <c r="HIQ122" s="198"/>
      <c r="HIR122" s="199"/>
      <c r="HIS122" s="198"/>
      <c r="HIT122" s="199"/>
      <c r="HIU122" s="198"/>
      <c r="HIV122" s="199"/>
      <c r="HIW122" s="198"/>
      <c r="HIX122" s="199"/>
      <c r="HIY122" s="198"/>
      <c r="HIZ122" s="199"/>
      <c r="HJA122" s="198"/>
      <c r="HJB122" s="199"/>
      <c r="HJC122" s="198"/>
      <c r="HJD122" s="199"/>
      <c r="HJE122" s="198"/>
      <c r="HJF122" s="199"/>
      <c r="HJG122" s="198"/>
      <c r="HJH122" s="199"/>
      <c r="HJI122" s="198"/>
      <c r="HJJ122" s="199"/>
      <c r="HJK122" s="198"/>
      <c r="HJL122" s="199"/>
      <c r="HJM122" s="198"/>
      <c r="HJN122" s="199"/>
      <c r="HJO122" s="198"/>
      <c r="HJP122" s="199"/>
      <c r="HJQ122" s="198"/>
      <c r="HJR122" s="199"/>
      <c r="HJS122" s="198"/>
      <c r="HJT122" s="199"/>
      <c r="HJU122" s="198"/>
      <c r="HJV122" s="199"/>
      <c r="HJW122" s="198"/>
      <c r="HJX122" s="199"/>
      <c r="HJY122" s="198"/>
      <c r="HJZ122" s="199"/>
      <c r="HKA122" s="198"/>
      <c r="HKB122" s="199"/>
      <c r="HKC122" s="198"/>
      <c r="HKD122" s="199"/>
      <c r="HKE122" s="198"/>
      <c r="HKF122" s="199"/>
      <c r="HKG122" s="198"/>
      <c r="HKH122" s="199"/>
      <c r="HKI122" s="198"/>
      <c r="HKJ122" s="199"/>
      <c r="HKK122" s="198"/>
      <c r="HKL122" s="199"/>
      <c r="HKM122" s="198"/>
      <c r="HKN122" s="199"/>
      <c r="HKO122" s="198"/>
      <c r="HKP122" s="199"/>
      <c r="HKQ122" s="198"/>
      <c r="HKR122" s="199"/>
      <c r="HKS122" s="198"/>
      <c r="HKT122" s="199"/>
      <c r="HKU122" s="198"/>
      <c r="HKV122" s="199"/>
      <c r="HKW122" s="198"/>
      <c r="HKX122" s="199"/>
      <c r="HKY122" s="198"/>
      <c r="HKZ122" s="199"/>
      <c r="HLA122" s="198"/>
      <c r="HLB122" s="199"/>
      <c r="HLC122" s="198"/>
      <c r="HLD122" s="199"/>
      <c r="HLE122" s="198"/>
      <c r="HLF122" s="199"/>
      <c r="HLG122" s="198"/>
      <c r="HLH122" s="199"/>
      <c r="HLI122" s="198"/>
      <c r="HLJ122" s="199"/>
      <c r="HLK122" s="198"/>
      <c r="HLL122" s="199"/>
      <c r="HLM122" s="198"/>
      <c r="HLN122" s="199"/>
      <c r="HLO122" s="198"/>
      <c r="HLP122" s="199"/>
      <c r="HLQ122" s="198"/>
      <c r="HLR122" s="199"/>
      <c r="HLS122" s="198"/>
      <c r="HLT122" s="199"/>
      <c r="HLU122" s="198"/>
      <c r="HLV122" s="199"/>
      <c r="HLW122" s="198"/>
      <c r="HLX122" s="199"/>
      <c r="HLY122" s="198"/>
      <c r="HLZ122" s="199"/>
      <c r="HMA122" s="198"/>
      <c r="HMB122" s="199"/>
      <c r="HMC122" s="198"/>
      <c r="HMD122" s="199"/>
      <c r="HME122" s="198"/>
      <c r="HMF122" s="199"/>
      <c r="HMG122" s="198"/>
      <c r="HMH122" s="199"/>
      <c r="HMI122" s="198"/>
      <c r="HMJ122" s="199"/>
      <c r="HMK122" s="198"/>
      <c r="HML122" s="199"/>
      <c r="HMM122" s="198"/>
      <c r="HMN122" s="199"/>
      <c r="HMO122" s="198"/>
      <c r="HMP122" s="199"/>
      <c r="HMQ122" s="198"/>
      <c r="HMR122" s="199"/>
      <c r="HMS122" s="198"/>
      <c r="HMT122" s="199"/>
      <c r="HMU122" s="198"/>
      <c r="HMV122" s="199"/>
      <c r="HMW122" s="198"/>
      <c r="HMX122" s="199"/>
      <c r="HMY122" s="198"/>
      <c r="HMZ122" s="199"/>
      <c r="HNA122" s="198"/>
      <c r="HNB122" s="199"/>
      <c r="HNC122" s="198"/>
      <c r="HND122" s="199"/>
      <c r="HNE122" s="198"/>
      <c r="HNF122" s="199"/>
      <c r="HNG122" s="198"/>
      <c r="HNH122" s="199"/>
      <c r="HNI122" s="198"/>
      <c r="HNJ122" s="199"/>
      <c r="HNK122" s="198"/>
      <c r="HNL122" s="199"/>
      <c r="HNM122" s="198"/>
      <c r="HNN122" s="199"/>
      <c r="HNO122" s="198"/>
      <c r="HNP122" s="199"/>
      <c r="HNQ122" s="198"/>
      <c r="HNR122" s="199"/>
      <c r="HNS122" s="198"/>
      <c r="HNT122" s="199"/>
      <c r="HNU122" s="198"/>
      <c r="HNV122" s="199"/>
      <c r="HNW122" s="198"/>
      <c r="HNX122" s="199"/>
      <c r="HNY122" s="198"/>
      <c r="HNZ122" s="199"/>
      <c r="HOA122" s="198"/>
      <c r="HOB122" s="199"/>
      <c r="HOC122" s="198"/>
      <c r="HOD122" s="199"/>
      <c r="HOE122" s="198"/>
      <c r="HOF122" s="199"/>
      <c r="HOG122" s="198"/>
      <c r="HOH122" s="199"/>
      <c r="HOI122" s="198"/>
      <c r="HOJ122" s="199"/>
      <c r="HOK122" s="198"/>
      <c r="HOL122" s="199"/>
      <c r="HOM122" s="198"/>
      <c r="HON122" s="199"/>
      <c r="HOO122" s="198"/>
      <c r="HOP122" s="199"/>
      <c r="HOQ122" s="198"/>
      <c r="HOR122" s="199"/>
      <c r="HOS122" s="198"/>
      <c r="HOT122" s="199"/>
      <c r="HOU122" s="198"/>
      <c r="HOV122" s="199"/>
      <c r="HOW122" s="198"/>
      <c r="HOX122" s="199"/>
      <c r="HOY122" s="198"/>
      <c r="HOZ122" s="199"/>
      <c r="HPA122" s="198"/>
      <c r="HPB122" s="199"/>
      <c r="HPC122" s="198"/>
      <c r="HPD122" s="199"/>
      <c r="HPE122" s="198"/>
      <c r="HPF122" s="199"/>
      <c r="HPG122" s="198"/>
      <c r="HPH122" s="199"/>
      <c r="HPI122" s="198"/>
      <c r="HPJ122" s="199"/>
      <c r="HPK122" s="198"/>
      <c r="HPL122" s="199"/>
      <c r="HPM122" s="198"/>
      <c r="HPN122" s="199"/>
      <c r="HPO122" s="198"/>
      <c r="HPP122" s="199"/>
      <c r="HPQ122" s="198"/>
      <c r="HPR122" s="199"/>
      <c r="HPS122" s="198"/>
      <c r="HPT122" s="199"/>
      <c r="HPU122" s="198"/>
      <c r="HPV122" s="199"/>
      <c r="HPW122" s="198"/>
      <c r="HPX122" s="199"/>
      <c r="HPY122" s="198"/>
      <c r="HPZ122" s="199"/>
      <c r="HQA122" s="198"/>
      <c r="HQB122" s="199"/>
      <c r="HQC122" s="198"/>
      <c r="HQD122" s="199"/>
      <c r="HQE122" s="198"/>
      <c r="HQF122" s="199"/>
      <c r="HQG122" s="198"/>
      <c r="HQH122" s="199"/>
      <c r="HQI122" s="198"/>
      <c r="HQJ122" s="199"/>
      <c r="HQK122" s="198"/>
      <c r="HQL122" s="199"/>
      <c r="HQM122" s="198"/>
      <c r="HQN122" s="199"/>
      <c r="HQO122" s="198"/>
      <c r="HQP122" s="199"/>
      <c r="HQQ122" s="198"/>
      <c r="HQR122" s="199"/>
      <c r="HQS122" s="198"/>
      <c r="HQT122" s="199"/>
      <c r="HQU122" s="198"/>
      <c r="HQV122" s="199"/>
      <c r="HQW122" s="198"/>
      <c r="HQX122" s="199"/>
      <c r="HQY122" s="198"/>
      <c r="HQZ122" s="199"/>
      <c r="HRA122" s="198"/>
      <c r="HRB122" s="199"/>
      <c r="HRC122" s="198"/>
      <c r="HRD122" s="199"/>
      <c r="HRE122" s="198"/>
      <c r="HRF122" s="199"/>
      <c r="HRG122" s="198"/>
      <c r="HRH122" s="199"/>
      <c r="HRI122" s="198"/>
      <c r="HRJ122" s="199"/>
      <c r="HRK122" s="198"/>
      <c r="HRL122" s="199"/>
      <c r="HRM122" s="198"/>
      <c r="HRN122" s="199"/>
      <c r="HRO122" s="198"/>
      <c r="HRP122" s="199"/>
      <c r="HRQ122" s="198"/>
      <c r="HRR122" s="199"/>
      <c r="HRS122" s="198"/>
      <c r="HRT122" s="199"/>
      <c r="HRU122" s="198"/>
      <c r="HRV122" s="199"/>
      <c r="HRW122" s="198"/>
      <c r="HRX122" s="199"/>
      <c r="HRY122" s="198"/>
      <c r="HRZ122" s="199"/>
      <c r="HSA122" s="198"/>
      <c r="HSB122" s="199"/>
      <c r="HSC122" s="198"/>
      <c r="HSD122" s="199"/>
      <c r="HSE122" s="198"/>
      <c r="HSF122" s="199"/>
      <c r="HSG122" s="198"/>
      <c r="HSH122" s="199"/>
      <c r="HSI122" s="198"/>
      <c r="HSJ122" s="199"/>
      <c r="HSK122" s="198"/>
      <c r="HSL122" s="199"/>
      <c r="HSM122" s="198"/>
      <c r="HSN122" s="199"/>
      <c r="HSO122" s="198"/>
      <c r="HSP122" s="199"/>
      <c r="HSQ122" s="198"/>
      <c r="HSR122" s="199"/>
      <c r="HSS122" s="198"/>
      <c r="HST122" s="199"/>
      <c r="HSU122" s="198"/>
      <c r="HSV122" s="199"/>
      <c r="HSW122" s="198"/>
      <c r="HSX122" s="199"/>
      <c r="HSY122" s="198"/>
      <c r="HSZ122" s="199"/>
      <c r="HTA122" s="198"/>
      <c r="HTB122" s="199"/>
      <c r="HTC122" s="198"/>
      <c r="HTD122" s="199"/>
      <c r="HTE122" s="198"/>
      <c r="HTF122" s="199"/>
      <c r="HTG122" s="198"/>
      <c r="HTH122" s="199"/>
      <c r="HTI122" s="198"/>
      <c r="HTJ122" s="199"/>
      <c r="HTK122" s="198"/>
      <c r="HTL122" s="199"/>
      <c r="HTM122" s="198"/>
      <c r="HTN122" s="199"/>
      <c r="HTO122" s="198"/>
      <c r="HTP122" s="199"/>
      <c r="HTQ122" s="198"/>
      <c r="HTR122" s="199"/>
      <c r="HTS122" s="198"/>
      <c r="HTT122" s="199"/>
      <c r="HTU122" s="198"/>
      <c r="HTV122" s="199"/>
      <c r="HTW122" s="198"/>
      <c r="HTX122" s="199"/>
      <c r="HTY122" s="198"/>
      <c r="HTZ122" s="199"/>
      <c r="HUA122" s="198"/>
      <c r="HUB122" s="199"/>
      <c r="HUC122" s="198"/>
      <c r="HUD122" s="199"/>
      <c r="HUE122" s="198"/>
      <c r="HUF122" s="199"/>
      <c r="HUG122" s="198"/>
      <c r="HUH122" s="199"/>
      <c r="HUI122" s="198"/>
      <c r="HUJ122" s="199"/>
      <c r="HUK122" s="198"/>
      <c r="HUL122" s="199"/>
      <c r="HUM122" s="198"/>
      <c r="HUN122" s="199"/>
      <c r="HUO122" s="198"/>
      <c r="HUP122" s="199"/>
      <c r="HUQ122" s="198"/>
      <c r="HUR122" s="199"/>
      <c r="HUS122" s="198"/>
      <c r="HUT122" s="199"/>
      <c r="HUU122" s="198"/>
      <c r="HUV122" s="199"/>
      <c r="HUW122" s="198"/>
      <c r="HUX122" s="199"/>
      <c r="HUY122" s="198"/>
      <c r="HUZ122" s="199"/>
      <c r="HVA122" s="198"/>
      <c r="HVB122" s="199"/>
      <c r="HVC122" s="198"/>
      <c r="HVD122" s="199"/>
      <c r="HVE122" s="198"/>
      <c r="HVF122" s="199"/>
      <c r="HVG122" s="198"/>
      <c r="HVH122" s="199"/>
      <c r="HVI122" s="198"/>
      <c r="HVJ122" s="199"/>
      <c r="HVK122" s="198"/>
      <c r="HVL122" s="199"/>
      <c r="HVM122" s="198"/>
      <c r="HVN122" s="199"/>
      <c r="HVO122" s="198"/>
      <c r="HVP122" s="199"/>
      <c r="HVQ122" s="198"/>
      <c r="HVR122" s="199"/>
      <c r="HVS122" s="198"/>
      <c r="HVT122" s="199"/>
      <c r="HVU122" s="198"/>
      <c r="HVV122" s="199"/>
      <c r="HVW122" s="198"/>
      <c r="HVX122" s="199"/>
      <c r="HVY122" s="198"/>
      <c r="HVZ122" s="199"/>
      <c r="HWA122" s="198"/>
      <c r="HWB122" s="199"/>
      <c r="HWC122" s="198"/>
      <c r="HWD122" s="199"/>
      <c r="HWE122" s="198"/>
      <c r="HWF122" s="199"/>
      <c r="HWG122" s="198"/>
      <c r="HWH122" s="199"/>
      <c r="HWI122" s="198"/>
      <c r="HWJ122" s="199"/>
      <c r="HWK122" s="198"/>
      <c r="HWL122" s="199"/>
      <c r="HWM122" s="198"/>
      <c r="HWN122" s="199"/>
      <c r="HWO122" s="198"/>
      <c r="HWP122" s="199"/>
      <c r="HWQ122" s="198"/>
      <c r="HWR122" s="199"/>
      <c r="HWS122" s="198"/>
      <c r="HWT122" s="199"/>
      <c r="HWU122" s="198"/>
      <c r="HWV122" s="199"/>
      <c r="HWW122" s="198"/>
      <c r="HWX122" s="199"/>
      <c r="HWY122" s="198"/>
      <c r="HWZ122" s="199"/>
      <c r="HXA122" s="198"/>
      <c r="HXB122" s="199"/>
      <c r="HXC122" s="198"/>
      <c r="HXD122" s="199"/>
      <c r="HXE122" s="198"/>
      <c r="HXF122" s="199"/>
      <c r="HXG122" s="198"/>
      <c r="HXH122" s="199"/>
      <c r="HXI122" s="198"/>
      <c r="HXJ122" s="199"/>
      <c r="HXK122" s="198"/>
      <c r="HXL122" s="199"/>
      <c r="HXM122" s="198"/>
      <c r="HXN122" s="199"/>
      <c r="HXO122" s="198"/>
      <c r="HXP122" s="199"/>
      <c r="HXQ122" s="198"/>
      <c r="HXR122" s="199"/>
      <c r="HXS122" s="198"/>
      <c r="HXT122" s="199"/>
      <c r="HXU122" s="198"/>
      <c r="HXV122" s="199"/>
      <c r="HXW122" s="198"/>
      <c r="HXX122" s="199"/>
      <c r="HXY122" s="198"/>
      <c r="HXZ122" s="199"/>
      <c r="HYA122" s="198"/>
      <c r="HYB122" s="199"/>
      <c r="HYC122" s="198"/>
      <c r="HYD122" s="199"/>
      <c r="HYE122" s="198"/>
      <c r="HYF122" s="199"/>
      <c r="HYG122" s="198"/>
      <c r="HYH122" s="199"/>
      <c r="HYI122" s="198"/>
      <c r="HYJ122" s="199"/>
      <c r="HYK122" s="198"/>
      <c r="HYL122" s="199"/>
      <c r="HYM122" s="198"/>
      <c r="HYN122" s="199"/>
      <c r="HYO122" s="198"/>
      <c r="HYP122" s="199"/>
      <c r="HYQ122" s="198"/>
      <c r="HYR122" s="199"/>
      <c r="HYS122" s="198"/>
      <c r="HYT122" s="199"/>
      <c r="HYU122" s="198"/>
      <c r="HYV122" s="199"/>
      <c r="HYW122" s="198"/>
      <c r="HYX122" s="199"/>
      <c r="HYY122" s="198"/>
      <c r="HYZ122" s="199"/>
      <c r="HZA122" s="198"/>
      <c r="HZB122" s="199"/>
      <c r="HZC122" s="198"/>
      <c r="HZD122" s="199"/>
      <c r="HZE122" s="198"/>
      <c r="HZF122" s="199"/>
      <c r="HZG122" s="198"/>
      <c r="HZH122" s="199"/>
      <c r="HZI122" s="198"/>
      <c r="HZJ122" s="199"/>
      <c r="HZK122" s="198"/>
      <c r="HZL122" s="199"/>
      <c r="HZM122" s="198"/>
      <c r="HZN122" s="199"/>
      <c r="HZO122" s="198"/>
      <c r="HZP122" s="199"/>
      <c r="HZQ122" s="198"/>
      <c r="HZR122" s="199"/>
      <c r="HZS122" s="198"/>
      <c r="HZT122" s="199"/>
      <c r="HZU122" s="198"/>
      <c r="HZV122" s="199"/>
      <c r="HZW122" s="198"/>
      <c r="HZX122" s="199"/>
      <c r="HZY122" s="198"/>
      <c r="HZZ122" s="199"/>
      <c r="IAA122" s="198"/>
      <c r="IAB122" s="199"/>
      <c r="IAC122" s="198"/>
      <c r="IAD122" s="199"/>
      <c r="IAE122" s="198"/>
      <c r="IAF122" s="199"/>
      <c r="IAG122" s="198"/>
      <c r="IAH122" s="199"/>
      <c r="IAI122" s="198"/>
      <c r="IAJ122" s="199"/>
      <c r="IAK122" s="198"/>
      <c r="IAL122" s="199"/>
      <c r="IAM122" s="198"/>
      <c r="IAN122" s="199"/>
      <c r="IAO122" s="198"/>
      <c r="IAP122" s="199"/>
      <c r="IAQ122" s="198"/>
      <c r="IAR122" s="199"/>
      <c r="IAS122" s="198"/>
      <c r="IAT122" s="199"/>
      <c r="IAU122" s="198"/>
      <c r="IAV122" s="199"/>
      <c r="IAW122" s="198"/>
      <c r="IAX122" s="199"/>
      <c r="IAY122" s="198"/>
      <c r="IAZ122" s="199"/>
      <c r="IBA122" s="198"/>
      <c r="IBB122" s="199"/>
      <c r="IBC122" s="198"/>
      <c r="IBD122" s="199"/>
      <c r="IBE122" s="198"/>
      <c r="IBF122" s="199"/>
      <c r="IBG122" s="198"/>
      <c r="IBH122" s="199"/>
      <c r="IBI122" s="198"/>
      <c r="IBJ122" s="199"/>
      <c r="IBK122" s="198"/>
      <c r="IBL122" s="199"/>
      <c r="IBM122" s="198"/>
      <c r="IBN122" s="199"/>
      <c r="IBO122" s="198"/>
      <c r="IBP122" s="199"/>
      <c r="IBQ122" s="198"/>
      <c r="IBR122" s="199"/>
      <c r="IBS122" s="198"/>
      <c r="IBT122" s="199"/>
      <c r="IBU122" s="198"/>
      <c r="IBV122" s="199"/>
      <c r="IBW122" s="198"/>
      <c r="IBX122" s="199"/>
      <c r="IBY122" s="198"/>
      <c r="IBZ122" s="199"/>
      <c r="ICA122" s="198"/>
      <c r="ICB122" s="199"/>
      <c r="ICC122" s="198"/>
      <c r="ICD122" s="199"/>
      <c r="ICE122" s="198"/>
      <c r="ICF122" s="199"/>
      <c r="ICG122" s="198"/>
      <c r="ICH122" s="199"/>
      <c r="ICI122" s="198"/>
      <c r="ICJ122" s="199"/>
      <c r="ICK122" s="198"/>
      <c r="ICL122" s="199"/>
      <c r="ICM122" s="198"/>
      <c r="ICN122" s="199"/>
      <c r="ICO122" s="198"/>
      <c r="ICP122" s="199"/>
      <c r="ICQ122" s="198"/>
      <c r="ICR122" s="199"/>
      <c r="ICS122" s="198"/>
      <c r="ICT122" s="199"/>
      <c r="ICU122" s="198"/>
      <c r="ICV122" s="199"/>
      <c r="ICW122" s="198"/>
      <c r="ICX122" s="199"/>
      <c r="ICY122" s="198"/>
      <c r="ICZ122" s="199"/>
      <c r="IDA122" s="198"/>
      <c r="IDB122" s="199"/>
      <c r="IDC122" s="198"/>
      <c r="IDD122" s="199"/>
      <c r="IDE122" s="198"/>
      <c r="IDF122" s="199"/>
      <c r="IDG122" s="198"/>
      <c r="IDH122" s="199"/>
      <c r="IDI122" s="198"/>
      <c r="IDJ122" s="199"/>
      <c r="IDK122" s="198"/>
      <c r="IDL122" s="199"/>
      <c r="IDM122" s="198"/>
      <c r="IDN122" s="199"/>
      <c r="IDO122" s="198"/>
      <c r="IDP122" s="199"/>
      <c r="IDQ122" s="198"/>
      <c r="IDR122" s="199"/>
      <c r="IDS122" s="198"/>
      <c r="IDT122" s="199"/>
      <c r="IDU122" s="198"/>
      <c r="IDV122" s="199"/>
      <c r="IDW122" s="198"/>
      <c r="IDX122" s="199"/>
      <c r="IDY122" s="198"/>
      <c r="IDZ122" s="199"/>
      <c r="IEA122" s="198"/>
      <c r="IEB122" s="199"/>
      <c r="IEC122" s="198"/>
      <c r="IED122" s="199"/>
      <c r="IEE122" s="198"/>
      <c r="IEF122" s="199"/>
      <c r="IEG122" s="198"/>
      <c r="IEH122" s="199"/>
      <c r="IEI122" s="198"/>
      <c r="IEJ122" s="199"/>
      <c r="IEK122" s="198"/>
      <c r="IEL122" s="199"/>
      <c r="IEM122" s="198"/>
      <c r="IEN122" s="199"/>
      <c r="IEO122" s="198"/>
      <c r="IEP122" s="199"/>
      <c r="IEQ122" s="198"/>
      <c r="IER122" s="199"/>
      <c r="IES122" s="198"/>
      <c r="IET122" s="199"/>
      <c r="IEU122" s="198"/>
      <c r="IEV122" s="199"/>
      <c r="IEW122" s="198"/>
      <c r="IEX122" s="199"/>
      <c r="IEY122" s="198"/>
      <c r="IEZ122" s="199"/>
      <c r="IFA122" s="198"/>
      <c r="IFB122" s="199"/>
      <c r="IFC122" s="198"/>
      <c r="IFD122" s="199"/>
      <c r="IFE122" s="198"/>
      <c r="IFF122" s="199"/>
      <c r="IFG122" s="198"/>
      <c r="IFH122" s="199"/>
      <c r="IFI122" s="198"/>
      <c r="IFJ122" s="199"/>
      <c r="IFK122" s="198"/>
      <c r="IFL122" s="199"/>
      <c r="IFM122" s="198"/>
      <c r="IFN122" s="199"/>
      <c r="IFO122" s="198"/>
      <c r="IFP122" s="199"/>
      <c r="IFQ122" s="198"/>
      <c r="IFR122" s="199"/>
      <c r="IFS122" s="198"/>
      <c r="IFT122" s="199"/>
      <c r="IFU122" s="198"/>
      <c r="IFV122" s="199"/>
      <c r="IFW122" s="198"/>
      <c r="IFX122" s="199"/>
      <c r="IFY122" s="198"/>
      <c r="IFZ122" s="199"/>
      <c r="IGA122" s="198"/>
      <c r="IGB122" s="199"/>
      <c r="IGC122" s="198"/>
      <c r="IGD122" s="199"/>
      <c r="IGE122" s="198"/>
      <c r="IGF122" s="199"/>
      <c r="IGG122" s="198"/>
      <c r="IGH122" s="199"/>
      <c r="IGI122" s="198"/>
      <c r="IGJ122" s="199"/>
      <c r="IGK122" s="198"/>
      <c r="IGL122" s="199"/>
      <c r="IGM122" s="198"/>
      <c r="IGN122" s="199"/>
      <c r="IGO122" s="198"/>
      <c r="IGP122" s="199"/>
      <c r="IGQ122" s="198"/>
      <c r="IGR122" s="199"/>
      <c r="IGS122" s="198"/>
      <c r="IGT122" s="199"/>
      <c r="IGU122" s="198"/>
      <c r="IGV122" s="199"/>
      <c r="IGW122" s="198"/>
      <c r="IGX122" s="199"/>
      <c r="IGY122" s="198"/>
      <c r="IGZ122" s="199"/>
      <c r="IHA122" s="198"/>
      <c r="IHB122" s="199"/>
      <c r="IHC122" s="198"/>
      <c r="IHD122" s="199"/>
      <c r="IHE122" s="198"/>
      <c r="IHF122" s="199"/>
      <c r="IHG122" s="198"/>
      <c r="IHH122" s="199"/>
      <c r="IHI122" s="198"/>
      <c r="IHJ122" s="199"/>
      <c r="IHK122" s="198"/>
      <c r="IHL122" s="199"/>
      <c r="IHM122" s="198"/>
      <c r="IHN122" s="199"/>
      <c r="IHO122" s="198"/>
      <c r="IHP122" s="199"/>
      <c r="IHQ122" s="198"/>
      <c r="IHR122" s="199"/>
      <c r="IHS122" s="198"/>
      <c r="IHT122" s="199"/>
      <c r="IHU122" s="198"/>
      <c r="IHV122" s="199"/>
      <c r="IHW122" s="198"/>
      <c r="IHX122" s="199"/>
      <c r="IHY122" s="198"/>
      <c r="IHZ122" s="199"/>
      <c r="IIA122" s="198"/>
      <c r="IIB122" s="199"/>
      <c r="IIC122" s="198"/>
      <c r="IID122" s="199"/>
      <c r="IIE122" s="198"/>
      <c r="IIF122" s="199"/>
      <c r="IIG122" s="198"/>
      <c r="IIH122" s="199"/>
      <c r="III122" s="198"/>
      <c r="IIJ122" s="199"/>
      <c r="IIK122" s="198"/>
      <c r="IIL122" s="199"/>
      <c r="IIM122" s="198"/>
      <c r="IIN122" s="199"/>
      <c r="IIO122" s="198"/>
      <c r="IIP122" s="199"/>
      <c r="IIQ122" s="198"/>
      <c r="IIR122" s="199"/>
      <c r="IIS122" s="198"/>
      <c r="IIT122" s="199"/>
      <c r="IIU122" s="198"/>
      <c r="IIV122" s="199"/>
      <c r="IIW122" s="198"/>
      <c r="IIX122" s="199"/>
      <c r="IIY122" s="198"/>
      <c r="IIZ122" s="199"/>
      <c r="IJA122" s="198"/>
      <c r="IJB122" s="199"/>
      <c r="IJC122" s="198"/>
      <c r="IJD122" s="199"/>
      <c r="IJE122" s="198"/>
      <c r="IJF122" s="199"/>
      <c r="IJG122" s="198"/>
      <c r="IJH122" s="199"/>
      <c r="IJI122" s="198"/>
      <c r="IJJ122" s="199"/>
      <c r="IJK122" s="198"/>
      <c r="IJL122" s="199"/>
      <c r="IJM122" s="198"/>
      <c r="IJN122" s="199"/>
      <c r="IJO122" s="198"/>
      <c r="IJP122" s="199"/>
      <c r="IJQ122" s="198"/>
      <c r="IJR122" s="199"/>
      <c r="IJS122" s="198"/>
      <c r="IJT122" s="199"/>
      <c r="IJU122" s="198"/>
      <c r="IJV122" s="199"/>
      <c r="IJW122" s="198"/>
      <c r="IJX122" s="199"/>
      <c r="IJY122" s="198"/>
      <c r="IJZ122" s="199"/>
      <c r="IKA122" s="198"/>
      <c r="IKB122" s="199"/>
      <c r="IKC122" s="198"/>
      <c r="IKD122" s="199"/>
      <c r="IKE122" s="198"/>
      <c r="IKF122" s="199"/>
      <c r="IKG122" s="198"/>
      <c r="IKH122" s="199"/>
      <c r="IKI122" s="198"/>
      <c r="IKJ122" s="199"/>
      <c r="IKK122" s="198"/>
      <c r="IKL122" s="199"/>
      <c r="IKM122" s="198"/>
      <c r="IKN122" s="199"/>
      <c r="IKO122" s="198"/>
      <c r="IKP122" s="199"/>
      <c r="IKQ122" s="198"/>
      <c r="IKR122" s="199"/>
      <c r="IKS122" s="198"/>
      <c r="IKT122" s="199"/>
      <c r="IKU122" s="198"/>
      <c r="IKV122" s="199"/>
      <c r="IKW122" s="198"/>
      <c r="IKX122" s="199"/>
      <c r="IKY122" s="198"/>
      <c r="IKZ122" s="199"/>
      <c r="ILA122" s="198"/>
      <c r="ILB122" s="199"/>
      <c r="ILC122" s="198"/>
      <c r="ILD122" s="199"/>
      <c r="ILE122" s="198"/>
      <c r="ILF122" s="199"/>
      <c r="ILG122" s="198"/>
      <c r="ILH122" s="199"/>
      <c r="ILI122" s="198"/>
      <c r="ILJ122" s="199"/>
      <c r="ILK122" s="198"/>
      <c r="ILL122" s="199"/>
      <c r="ILM122" s="198"/>
      <c r="ILN122" s="199"/>
      <c r="ILO122" s="198"/>
      <c r="ILP122" s="199"/>
      <c r="ILQ122" s="198"/>
      <c r="ILR122" s="199"/>
      <c r="ILS122" s="198"/>
      <c r="ILT122" s="199"/>
      <c r="ILU122" s="198"/>
      <c r="ILV122" s="199"/>
      <c r="ILW122" s="198"/>
      <c r="ILX122" s="199"/>
      <c r="ILY122" s="198"/>
      <c r="ILZ122" s="199"/>
      <c r="IMA122" s="198"/>
      <c r="IMB122" s="199"/>
      <c r="IMC122" s="198"/>
      <c r="IMD122" s="199"/>
      <c r="IME122" s="198"/>
      <c r="IMF122" s="199"/>
      <c r="IMG122" s="198"/>
      <c r="IMH122" s="199"/>
      <c r="IMI122" s="198"/>
      <c r="IMJ122" s="199"/>
      <c r="IMK122" s="198"/>
      <c r="IML122" s="199"/>
      <c r="IMM122" s="198"/>
      <c r="IMN122" s="199"/>
      <c r="IMO122" s="198"/>
      <c r="IMP122" s="199"/>
      <c r="IMQ122" s="198"/>
      <c r="IMR122" s="199"/>
      <c r="IMS122" s="198"/>
      <c r="IMT122" s="199"/>
      <c r="IMU122" s="198"/>
      <c r="IMV122" s="199"/>
      <c r="IMW122" s="198"/>
      <c r="IMX122" s="199"/>
      <c r="IMY122" s="198"/>
      <c r="IMZ122" s="199"/>
      <c r="INA122" s="198"/>
      <c r="INB122" s="199"/>
      <c r="INC122" s="198"/>
      <c r="IND122" s="199"/>
      <c r="INE122" s="198"/>
      <c r="INF122" s="199"/>
      <c r="ING122" s="198"/>
      <c r="INH122" s="199"/>
      <c r="INI122" s="198"/>
      <c r="INJ122" s="199"/>
      <c r="INK122" s="198"/>
      <c r="INL122" s="199"/>
      <c r="INM122" s="198"/>
      <c r="INN122" s="199"/>
      <c r="INO122" s="198"/>
      <c r="INP122" s="199"/>
      <c r="INQ122" s="198"/>
      <c r="INR122" s="199"/>
      <c r="INS122" s="198"/>
      <c r="INT122" s="199"/>
      <c r="INU122" s="198"/>
      <c r="INV122" s="199"/>
      <c r="INW122" s="198"/>
      <c r="INX122" s="199"/>
      <c r="INY122" s="198"/>
      <c r="INZ122" s="199"/>
      <c r="IOA122" s="198"/>
      <c r="IOB122" s="199"/>
      <c r="IOC122" s="198"/>
      <c r="IOD122" s="199"/>
      <c r="IOE122" s="198"/>
      <c r="IOF122" s="199"/>
      <c r="IOG122" s="198"/>
      <c r="IOH122" s="199"/>
      <c r="IOI122" s="198"/>
      <c r="IOJ122" s="199"/>
      <c r="IOK122" s="198"/>
      <c r="IOL122" s="199"/>
      <c r="IOM122" s="198"/>
      <c r="ION122" s="199"/>
      <c r="IOO122" s="198"/>
      <c r="IOP122" s="199"/>
      <c r="IOQ122" s="198"/>
      <c r="IOR122" s="199"/>
      <c r="IOS122" s="198"/>
      <c r="IOT122" s="199"/>
      <c r="IOU122" s="198"/>
      <c r="IOV122" s="199"/>
      <c r="IOW122" s="198"/>
      <c r="IOX122" s="199"/>
      <c r="IOY122" s="198"/>
      <c r="IOZ122" s="199"/>
      <c r="IPA122" s="198"/>
      <c r="IPB122" s="199"/>
      <c r="IPC122" s="198"/>
      <c r="IPD122" s="199"/>
      <c r="IPE122" s="198"/>
      <c r="IPF122" s="199"/>
      <c r="IPG122" s="198"/>
      <c r="IPH122" s="199"/>
      <c r="IPI122" s="198"/>
      <c r="IPJ122" s="199"/>
      <c r="IPK122" s="198"/>
      <c r="IPL122" s="199"/>
      <c r="IPM122" s="198"/>
      <c r="IPN122" s="199"/>
      <c r="IPO122" s="198"/>
      <c r="IPP122" s="199"/>
      <c r="IPQ122" s="198"/>
      <c r="IPR122" s="199"/>
      <c r="IPS122" s="198"/>
      <c r="IPT122" s="199"/>
      <c r="IPU122" s="198"/>
      <c r="IPV122" s="199"/>
      <c r="IPW122" s="198"/>
      <c r="IPX122" s="199"/>
      <c r="IPY122" s="198"/>
      <c r="IPZ122" s="199"/>
      <c r="IQA122" s="198"/>
      <c r="IQB122" s="199"/>
      <c r="IQC122" s="198"/>
      <c r="IQD122" s="199"/>
      <c r="IQE122" s="198"/>
      <c r="IQF122" s="199"/>
      <c r="IQG122" s="198"/>
      <c r="IQH122" s="199"/>
      <c r="IQI122" s="198"/>
      <c r="IQJ122" s="199"/>
      <c r="IQK122" s="198"/>
      <c r="IQL122" s="199"/>
      <c r="IQM122" s="198"/>
      <c r="IQN122" s="199"/>
      <c r="IQO122" s="198"/>
      <c r="IQP122" s="199"/>
      <c r="IQQ122" s="198"/>
      <c r="IQR122" s="199"/>
      <c r="IQS122" s="198"/>
      <c r="IQT122" s="199"/>
      <c r="IQU122" s="198"/>
      <c r="IQV122" s="199"/>
      <c r="IQW122" s="198"/>
      <c r="IQX122" s="199"/>
      <c r="IQY122" s="198"/>
      <c r="IQZ122" s="199"/>
      <c r="IRA122" s="198"/>
      <c r="IRB122" s="199"/>
      <c r="IRC122" s="198"/>
      <c r="IRD122" s="199"/>
      <c r="IRE122" s="198"/>
      <c r="IRF122" s="199"/>
      <c r="IRG122" s="198"/>
      <c r="IRH122" s="199"/>
      <c r="IRI122" s="198"/>
      <c r="IRJ122" s="199"/>
      <c r="IRK122" s="198"/>
      <c r="IRL122" s="199"/>
      <c r="IRM122" s="198"/>
      <c r="IRN122" s="199"/>
      <c r="IRO122" s="198"/>
      <c r="IRP122" s="199"/>
      <c r="IRQ122" s="198"/>
      <c r="IRR122" s="199"/>
      <c r="IRS122" s="198"/>
      <c r="IRT122" s="199"/>
      <c r="IRU122" s="198"/>
      <c r="IRV122" s="199"/>
      <c r="IRW122" s="198"/>
      <c r="IRX122" s="199"/>
      <c r="IRY122" s="198"/>
      <c r="IRZ122" s="199"/>
      <c r="ISA122" s="198"/>
      <c r="ISB122" s="199"/>
      <c r="ISC122" s="198"/>
      <c r="ISD122" s="199"/>
      <c r="ISE122" s="198"/>
      <c r="ISF122" s="199"/>
      <c r="ISG122" s="198"/>
      <c r="ISH122" s="199"/>
      <c r="ISI122" s="198"/>
      <c r="ISJ122" s="199"/>
      <c r="ISK122" s="198"/>
      <c r="ISL122" s="199"/>
      <c r="ISM122" s="198"/>
      <c r="ISN122" s="199"/>
      <c r="ISO122" s="198"/>
      <c r="ISP122" s="199"/>
      <c r="ISQ122" s="198"/>
      <c r="ISR122" s="199"/>
      <c r="ISS122" s="198"/>
      <c r="IST122" s="199"/>
      <c r="ISU122" s="198"/>
      <c r="ISV122" s="199"/>
      <c r="ISW122" s="198"/>
      <c r="ISX122" s="199"/>
      <c r="ISY122" s="198"/>
      <c r="ISZ122" s="199"/>
      <c r="ITA122" s="198"/>
      <c r="ITB122" s="199"/>
      <c r="ITC122" s="198"/>
      <c r="ITD122" s="199"/>
      <c r="ITE122" s="198"/>
      <c r="ITF122" s="199"/>
      <c r="ITG122" s="198"/>
      <c r="ITH122" s="199"/>
      <c r="ITI122" s="198"/>
      <c r="ITJ122" s="199"/>
      <c r="ITK122" s="198"/>
      <c r="ITL122" s="199"/>
      <c r="ITM122" s="198"/>
      <c r="ITN122" s="199"/>
      <c r="ITO122" s="198"/>
      <c r="ITP122" s="199"/>
      <c r="ITQ122" s="198"/>
      <c r="ITR122" s="199"/>
      <c r="ITS122" s="198"/>
      <c r="ITT122" s="199"/>
      <c r="ITU122" s="198"/>
      <c r="ITV122" s="199"/>
      <c r="ITW122" s="198"/>
      <c r="ITX122" s="199"/>
      <c r="ITY122" s="198"/>
      <c r="ITZ122" s="199"/>
      <c r="IUA122" s="198"/>
      <c r="IUB122" s="199"/>
      <c r="IUC122" s="198"/>
      <c r="IUD122" s="199"/>
      <c r="IUE122" s="198"/>
      <c r="IUF122" s="199"/>
      <c r="IUG122" s="198"/>
      <c r="IUH122" s="199"/>
      <c r="IUI122" s="198"/>
      <c r="IUJ122" s="199"/>
      <c r="IUK122" s="198"/>
      <c r="IUL122" s="199"/>
      <c r="IUM122" s="198"/>
      <c r="IUN122" s="199"/>
      <c r="IUO122" s="198"/>
      <c r="IUP122" s="199"/>
      <c r="IUQ122" s="198"/>
      <c r="IUR122" s="199"/>
      <c r="IUS122" s="198"/>
      <c r="IUT122" s="199"/>
      <c r="IUU122" s="198"/>
      <c r="IUV122" s="199"/>
      <c r="IUW122" s="198"/>
      <c r="IUX122" s="199"/>
      <c r="IUY122" s="198"/>
      <c r="IUZ122" s="199"/>
      <c r="IVA122" s="198"/>
      <c r="IVB122" s="199"/>
      <c r="IVC122" s="198"/>
      <c r="IVD122" s="199"/>
      <c r="IVE122" s="198"/>
      <c r="IVF122" s="199"/>
      <c r="IVG122" s="198"/>
      <c r="IVH122" s="199"/>
      <c r="IVI122" s="198"/>
      <c r="IVJ122" s="199"/>
      <c r="IVK122" s="198"/>
      <c r="IVL122" s="199"/>
      <c r="IVM122" s="198"/>
      <c r="IVN122" s="199"/>
      <c r="IVO122" s="198"/>
      <c r="IVP122" s="199"/>
      <c r="IVQ122" s="198"/>
      <c r="IVR122" s="199"/>
      <c r="IVS122" s="198"/>
      <c r="IVT122" s="199"/>
      <c r="IVU122" s="198"/>
      <c r="IVV122" s="199"/>
      <c r="IVW122" s="198"/>
      <c r="IVX122" s="199"/>
      <c r="IVY122" s="198"/>
      <c r="IVZ122" s="199"/>
      <c r="IWA122" s="198"/>
      <c r="IWB122" s="199"/>
      <c r="IWC122" s="198"/>
      <c r="IWD122" s="199"/>
      <c r="IWE122" s="198"/>
      <c r="IWF122" s="199"/>
      <c r="IWG122" s="198"/>
      <c r="IWH122" s="199"/>
      <c r="IWI122" s="198"/>
      <c r="IWJ122" s="199"/>
      <c r="IWK122" s="198"/>
      <c r="IWL122" s="199"/>
      <c r="IWM122" s="198"/>
      <c r="IWN122" s="199"/>
      <c r="IWO122" s="198"/>
      <c r="IWP122" s="199"/>
      <c r="IWQ122" s="198"/>
      <c r="IWR122" s="199"/>
      <c r="IWS122" s="198"/>
      <c r="IWT122" s="199"/>
      <c r="IWU122" s="198"/>
      <c r="IWV122" s="199"/>
      <c r="IWW122" s="198"/>
      <c r="IWX122" s="199"/>
      <c r="IWY122" s="198"/>
      <c r="IWZ122" s="199"/>
      <c r="IXA122" s="198"/>
      <c r="IXB122" s="199"/>
      <c r="IXC122" s="198"/>
      <c r="IXD122" s="199"/>
      <c r="IXE122" s="198"/>
      <c r="IXF122" s="199"/>
      <c r="IXG122" s="198"/>
      <c r="IXH122" s="199"/>
      <c r="IXI122" s="198"/>
      <c r="IXJ122" s="199"/>
      <c r="IXK122" s="198"/>
      <c r="IXL122" s="199"/>
      <c r="IXM122" s="198"/>
      <c r="IXN122" s="199"/>
      <c r="IXO122" s="198"/>
      <c r="IXP122" s="199"/>
      <c r="IXQ122" s="198"/>
      <c r="IXR122" s="199"/>
      <c r="IXS122" s="198"/>
      <c r="IXT122" s="199"/>
      <c r="IXU122" s="198"/>
      <c r="IXV122" s="199"/>
      <c r="IXW122" s="198"/>
      <c r="IXX122" s="199"/>
      <c r="IXY122" s="198"/>
      <c r="IXZ122" s="199"/>
      <c r="IYA122" s="198"/>
      <c r="IYB122" s="199"/>
      <c r="IYC122" s="198"/>
      <c r="IYD122" s="199"/>
      <c r="IYE122" s="198"/>
      <c r="IYF122" s="199"/>
      <c r="IYG122" s="198"/>
      <c r="IYH122" s="199"/>
      <c r="IYI122" s="198"/>
      <c r="IYJ122" s="199"/>
      <c r="IYK122" s="198"/>
      <c r="IYL122" s="199"/>
      <c r="IYM122" s="198"/>
      <c r="IYN122" s="199"/>
      <c r="IYO122" s="198"/>
      <c r="IYP122" s="199"/>
      <c r="IYQ122" s="198"/>
      <c r="IYR122" s="199"/>
      <c r="IYS122" s="198"/>
      <c r="IYT122" s="199"/>
      <c r="IYU122" s="198"/>
      <c r="IYV122" s="199"/>
      <c r="IYW122" s="198"/>
      <c r="IYX122" s="199"/>
      <c r="IYY122" s="198"/>
      <c r="IYZ122" s="199"/>
      <c r="IZA122" s="198"/>
      <c r="IZB122" s="199"/>
      <c r="IZC122" s="198"/>
      <c r="IZD122" s="199"/>
      <c r="IZE122" s="198"/>
      <c r="IZF122" s="199"/>
      <c r="IZG122" s="198"/>
      <c r="IZH122" s="199"/>
      <c r="IZI122" s="198"/>
      <c r="IZJ122" s="199"/>
      <c r="IZK122" s="198"/>
      <c r="IZL122" s="199"/>
      <c r="IZM122" s="198"/>
      <c r="IZN122" s="199"/>
      <c r="IZO122" s="198"/>
      <c r="IZP122" s="199"/>
      <c r="IZQ122" s="198"/>
      <c r="IZR122" s="199"/>
      <c r="IZS122" s="198"/>
      <c r="IZT122" s="199"/>
      <c r="IZU122" s="198"/>
      <c r="IZV122" s="199"/>
      <c r="IZW122" s="198"/>
      <c r="IZX122" s="199"/>
      <c r="IZY122" s="198"/>
      <c r="IZZ122" s="199"/>
      <c r="JAA122" s="198"/>
      <c r="JAB122" s="199"/>
      <c r="JAC122" s="198"/>
      <c r="JAD122" s="199"/>
      <c r="JAE122" s="198"/>
      <c r="JAF122" s="199"/>
      <c r="JAG122" s="198"/>
      <c r="JAH122" s="199"/>
      <c r="JAI122" s="198"/>
      <c r="JAJ122" s="199"/>
      <c r="JAK122" s="198"/>
      <c r="JAL122" s="199"/>
      <c r="JAM122" s="198"/>
      <c r="JAN122" s="199"/>
      <c r="JAO122" s="198"/>
      <c r="JAP122" s="199"/>
      <c r="JAQ122" s="198"/>
      <c r="JAR122" s="199"/>
      <c r="JAS122" s="198"/>
      <c r="JAT122" s="199"/>
      <c r="JAU122" s="198"/>
      <c r="JAV122" s="199"/>
      <c r="JAW122" s="198"/>
      <c r="JAX122" s="199"/>
      <c r="JAY122" s="198"/>
      <c r="JAZ122" s="199"/>
      <c r="JBA122" s="198"/>
      <c r="JBB122" s="199"/>
      <c r="JBC122" s="198"/>
      <c r="JBD122" s="199"/>
      <c r="JBE122" s="198"/>
      <c r="JBF122" s="199"/>
      <c r="JBG122" s="198"/>
      <c r="JBH122" s="199"/>
      <c r="JBI122" s="198"/>
      <c r="JBJ122" s="199"/>
      <c r="JBK122" s="198"/>
      <c r="JBL122" s="199"/>
      <c r="JBM122" s="198"/>
      <c r="JBN122" s="199"/>
      <c r="JBO122" s="198"/>
      <c r="JBP122" s="199"/>
      <c r="JBQ122" s="198"/>
      <c r="JBR122" s="199"/>
      <c r="JBS122" s="198"/>
      <c r="JBT122" s="199"/>
      <c r="JBU122" s="198"/>
      <c r="JBV122" s="199"/>
      <c r="JBW122" s="198"/>
      <c r="JBX122" s="199"/>
      <c r="JBY122" s="198"/>
      <c r="JBZ122" s="199"/>
      <c r="JCA122" s="198"/>
      <c r="JCB122" s="199"/>
      <c r="JCC122" s="198"/>
      <c r="JCD122" s="199"/>
      <c r="JCE122" s="198"/>
      <c r="JCF122" s="199"/>
      <c r="JCG122" s="198"/>
      <c r="JCH122" s="199"/>
      <c r="JCI122" s="198"/>
      <c r="JCJ122" s="199"/>
      <c r="JCK122" s="198"/>
      <c r="JCL122" s="199"/>
      <c r="JCM122" s="198"/>
      <c r="JCN122" s="199"/>
      <c r="JCO122" s="198"/>
      <c r="JCP122" s="199"/>
      <c r="JCQ122" s="198"/>
      <c r="JCR122" s="199"/>
      <c r="JCS122" s="198"/>
      <c r="JCT122" s="199"/>
      <c r="JCU122" s="198"/>
      <c r="JCV122" s="199"/>
      <c r="JCW122" s="198"/>
      <c r="JCX122" s="199"/>
      <c r="JCY122" s="198"/>
      <c r="JCZ122" s="199"/>
      <c r="JDA122" s="198"/>
      <c r="JDB122" s="199"/>
      <c r="JDC122" s="198"/>
      <c r="JDD122" s="199"/>
      <c r="JDE122" s="198"/>
      <c r="JDF122" s="199"/>
      <c r="JDG122" s="198"/>
      <c r="JDH122" s="199"/>
      <c r="JDI122" s="198"/>
      <c r="JDJ122" s="199"/>
      <c r="JDK122" s="198"/>
      <c r="JDL122" s="199"/>
      <c r="JDM122" s="198"/>
      <c r="JDN122" s="199"/>
      <c r="JDO122" s="198"/>
      <c r="JDP122" s="199"/>
      <c r="JDQ122" s="198"/>
      <c r="JDR122" s="199"/>
      <c r="JDS122" s="198"/>
      <c r="JDT122" s="199"/>
      <c r="JDU122" s="198"/>
      <c r="JDV122" s="199"/>
      <c r="JDW122" s="198"/>
      <c r="JDX122" s="199"/>
      <c r="JDY122" s="198"/>
      <c r="JDZ122" s="199"/>
      <c r="JEA122" s="198"/>
      <c r="JEB122" s="199"/>
      <c r="JEC122" s="198"/>
      <c r="JED122" s="199"/>
      <c r="JEE122" s="198"/>
      <c r="JEF122" s="199"/>
      <c r="JEG122" s="198"/>
      <c r="JEH122" s="199"/>
      <c r="JEI122" s="198"/>
      <c r="JEJ122" s="199"/>
      <c r="JEK122" s="198"/>
      <c r="JEL122" s="199"/>
      <c r="JEM122" s="198"/>
      <c r="JEN122" s="199"/>
      <c r="JEO122" s="198"/>
      <c r="JEP122" s="199"/>
      <c r="JEQ122" s="198"/>
      <c r="JER122" s="199"/>
      <c r="JES122" s="198"/>
      <c r="JET122" s="199"/>
      <c r="JEU122" s="198"/>
      <c r="JEV122" s="199"/>
      <c r="JEW122" s="198"/>
      <c r="JEX122" s="199"/>
      <c r="JEY122" s="198"/>
      <c r="JEZ122" s="199"/>
      <c r="JFA122" s="198"/>
      <c r="JFB122" s="199"/>
      <c r="JFC122" s="198"/>
      <c r="JFD122" s="199"/>
      <c r="JFE122" s="198"/>
      <c r="JFF122" s="199"/>
      <c r="JFG122" s="198"/>
      <c r="JFH122" s="199"/>
      <c r="JFI122" s="198"/>
      <c r="JFJ122" s="199"/>
      <c r="JFK122" s="198"/>
      <c r="JFL122" s="199"/>
      <c r="JFM122" s="198"/>
      <c r="JFN122" s="199"/>
      <c r="JFO122" s="198"/>
      <c r="JFP122" s="199"/>
      <c r="JFQ122" s="198"/>
      <c r="JFR122" s="199"/>
      <c r="JFS122" s="198"/>
      <c r="JFT122" s="199"/>
      <c r="JFU122" s="198"/>
      <c r="JFV122" s="199"/>
      <c r="JFW122" s="198"/>
      <c r="JFX122" s="199"/>
      <c r="JFY122" s="198"/>
      <c r="JFZ122" s="199"/>
      <c r="JGA122" s="198"/>
      <c r="JGB122" s="199"/>
      <c r="JGC122" s="198"/>
      <c r="JGD122" s="199"/>
      <c r="JGE122" s="198"/>
      <c r="JGF122" s="199"/>
      <c r="JGG122" s="198"/>
      <c r="JGH122" s="199"/>
      <c r="JGI122" s="198"/>
      <c r="JGJ122" s="199"/>
      <c r="JGK122" s="198"/>
      <c r="JGL122" s="199"/>
      <c r="JGM122" s="198"/>
      <c r="JGN122" s="199"/>
      <c r="JGO122" s="198"/>
      <c r="JGP122" s="199"/>
      <c r="JGQ122" s="198"/>
      <c r="JGR122" s="199"/>
      <c r="JGS122" s="198"/>
      <c r="JGT122" s="199"/>
      <c r="JGU122" s="198"/>
      <c r="JGV122" s="199"/>
      <c r="JGW122" s="198"/>
      <c r="JGX122" s="199"/>
      <c r="JGY122" s="198"/>
      <c r="JGZ122" s="199"/>
      <c r="JHA122" s="198"/>
      <c r="JHB122" s="199"/>
      <c r="JHC122" s="198"/>
      <c r="JHD122" s="199"/>
      <c r="JHE122" s="198"/>
      <c r="JHF122" s="199"/>
      <c r="JHG122" s="198"/>
      <c r="JHH122" s="199"/>
      <c r="JHI122" s="198"/>
      <c r="JHJ122" s="199"/>
      <c r="JHK122" s="198"/>
      <c r="JHL122" s="199"/>
      <c r="JHM122" s="198"/>
      <c r="JHN122" s="199"/>
      <c r="JHO122" s="198"/>
      <c r="JHP122" s="199"/>
      <c r="JHQ122" s="198"/>
      <c r="JHR122" s="199"/>
      <c r="JHS122" s="198"/>
      <c r="JHT122" s="199"/>
      <c r="JHU122" s="198"/>
      <c r="JHV122" s="199"/>
      <c r="JHW122" s="198"/>
      <c r="JHX122" s="199"/>
      <c r="JHY122" s="198"/>
      <c r="JHZ122" s="199"/>
      <c r="JIA122" s="198"/>
      <c r="JIB122" s="199"/>
      <c r="JIC122" s="198"/>
      <c r="JID122" s="199"/>
      <c r="JIE122" s="198"/>
      <c r="JIF122" s="199"/>
      <c r="JIG122" s="198"/>
      <c r="JIH122" s="199"/>
      <c r="JII122" s="198"/>
      <c r="JIJ122" s="199"/>
      <c r="JIK122" s="198"/>
      <c r="JIL122" s="199"/>
      <c r="JIM122" s="198"/>
      <c r="JIN122" s="199"/>
      <c r="JIO122" s="198"/>
      <c r="JIP122" s="199"/>
      <c r="JIQ122" s="198"/>
      <c r="JIR122" s="199"/>
      <c r="JIS122" s="198"/>
      <c r="JIT122" s="199"/>
      <c r="JIU122" s="198"/>
      <c r="JIV122" s="199"/>
      <c r="JIW122" s="198"/>
      <c r="JIX122" s="199"/>
      <c r="JIY122" s="198"/>
      <c r="JIZ122" s="199"/>
      <c r="JJA122" s="198"/>
      <c r="JJB122" s="199"/>
      <c r="JJC122" s="198"/>
      <c r="JJD122" s="199"/>
      <c r="JJE122" s="198"/>
      <c r="JJF122" s="199"/>
      <c r="JJG122" s="198"/>
      <c r="JJH122" s="199"/>
      <c r="JJI122" s="198"/>
      <c r="JJJ122" s="199"/>
      <c r="JJK122" s="198"/>
      <c r="JJL122" s="199"/>
      <c r="JJM122" s="198"/>
      <c r="JJN122" s="199"/>
      <c r="JJO122" s="198"/>
      <c r="JJP122" s="199"/>
      <c r="JJQ122" s="198"/>
      <c r="JJR122" s="199"/>
      <c r="JJS122" s="198"/>
      <c r="JJT122" s="199"/>
      <c r="JJU122" s="198"/>
      <c r="JJV122" s="199"/>
      <c r="JJW122" s="198"/>
      <c r="JJX122" s="199"/>
      <c r="JJY122" s="198"/>
      <c r="JJZ122" s="199"/>
      <c r="JKA122" s="198"/>
      <c r="JKB122" s="199"/>
      <c r="JKC122" s="198"/>
      <c r="JKD122" s="199"/>
      <c r="JKE122" s="198"/>
      <c r="JKF122" s="199"/>
      <c r="JKG122" s="198"/>
      <c r="JKH122" s="199"/>
      <c r="JKI122" s="198"/>
      <c r="JKJ122" s="199"/>
      <c r="JKK122" s="198"/>
      <c r="JKL122" s="199"/>
      <c r="JKM122" s="198"/>
      <c r="JKN122" s="199"/>
      <c r="JKO122" s="198"/>
      <c r="JKP122" s="199"/>
      <c r="JKQ122" s="198"/>
      <c r="JKR122" s="199"/>
      <c r="JKS122" s="198"/>
      <c r="JKT122" s="199"/>
      <c r="JKU122" s="198"/>
      <c r="JKV122" s="199"/>
      <c r="JKW122" s="198"/>
      <c r="JKX122" s="199"/>
      <c r="JKY122" s="198"/>
      <c r="JKZ122" s="199"/>
      <c r="JLA122" s="198"/>
      <c r="JLB122" s="199"/>
      <c r="JLC122" s="198"/>
      <c r="JLD122" s="199"/>
      <c r="JLE122" s="198"/>
      <c r="JLF122" s="199"/>
      <c r="JLG122" s="198"/>
      <c r="JLH122" s="199"/>
      <c r="JLI122" s="198"/>
      <c r="JLJ122" s="199"/>
      <c r="JLK122" s="198"/>
      <c r="JLL122" s="199"/>
      <c r="JLM122" s="198"/>
      <c r="JLN122" s="199"/>
      <c r="JLO122" s="198"/>
      <c r="JLP122" s="199"/>
      <c r="JLQ122" s="198"/>
      <c r="JLR122" s="199"/>
      <c r="JLS122" s="198"/>
      <c r="JLT122" s="199"/>
      <c r="JLU122" s="198"/>
      <c r="JLV122" s="199"/>
      <c r="JLW122" s="198"/>
      <c r="JLX122" s="199"/>
      <c r="JLY122" s="198"/>
      <c r="JLZ122" s="199"/>
      <c r="JMA122" s="198"/>
      <c r="JMB122" s="199"/>
      <c r="JMC122" s="198"/>
      <c r="JMD122" s="199"/>
      <c r="JME122" s="198"/>
      <c r="JMF122" s="199"/>
      <c r="JMG122" s="198"/>
      <c r="JMH122" s="199"/>
      <c r="JMI122" s="198"/>
      <c r="JMJ122" s="199"/>
      <c r="JMK122" s="198"/>
      <c r="JML122" s="199"/>
      <c r="JMM122" s="198"/>
      <c r="JMN122" s="199"/>
      <c r="JMO122" s="198"/>
      <c r="JMP122" s="199"/>
      <c r="JMQ122" s="198"/>
      <c r="JMR122" s="199"/>
      <c r="JMS122" s="198"/>
      <c r="JMT122" s="199"/>
      <c r="JMU122" s="198"/>
      <c r="JMV122" s="199"/>
      <c r="JMW122" s="198"/>
      <c r="JMX122" s="199"/>
      <c r="JMY122" s="198"/>
      <c r="JMZ122" s="199"/>
      <c r="JNA122" s="198"/>
      <c r="JNB122" s="199"/>
      <c r="JNC122" s="198"/>
      <c r="JND122" s="199"/>
      <c r="JNE122" s="198"/>
      <c r="JNF122" s="199"/>
      <c r="JNG122" s="198"/>
      <c r="JNH122" s="199"/>
      <c r="JNI122" s="198"/>
      <c r="JNJ122" s="199"/>
      <c r="JNK122" s="198"/>
      <c r="JNL122" s="199"/>
      <c r="JNM122" s="198"/>
      <c r="JNN122" s="199"/>
      <c r="JNO122" s="198"/>
      <c r="JNP122" s="199"/>
      <c r="JNQ122" s="198"/>
      <c r="JNR122" s="199"/>
      <c r="JNS122" s="198"/>
      <c r="JNT122" s="199"/>
      <c r="JNU122" s="198"/>
      <c r="JNV122" s="199"/>
      <c r="JNW122" s="198"/>
      <c r="JNX122" s="199"/>
      <c r="JNY122" s="198"/>
      <c r="JNZ122" s="199"/>
      <c r="JOA122" s="198"/>
      <c r="JOB122" s="199"/>
      <c r="JOC122" s="198"/>
      <c r="JOD122" s="199"/>
      <c r="JOE122" s="198"/>
      <c r="JOF122" s="199"/>
      <c r="JOG122" s="198"/>
      <c r="JOH122" s="199"/>
      <c r="JOI122" s="198"/>
      <c r="JOJ122" s="199"/>
      <c r="JOK122" s="198"/>
      <c r="JOL122" s="199"/>
      <c r="JOM122" s="198"/>
      <c r="JON122" s="199"/>
      <c r="JOO122" s="198"/>
      <c r="JOP122" s="199"/>
      <c r="JOQ122" s="198"/>
      <c r="JOR122" s="199"/>
      <c r="JOS122" s="198"/>
      <c r="JOT122" s="199"/>
      <c r="JOU122" s="198"/>
      <c r="JOV122" s="199"/>
      <c r="JOW122" s="198"/>
      <c r="JOX122" s="199"/>
      <c r="JOY122" s="198"/>
      <c r="JOZ122" s="199"/>
      <c r="JPA122" s="198"/>
      <c r="JPB122" s="199"/>
      <c r="JPC122" s="198"/>
      <c r="JPD122" s="199"/>
      <c r="JPE122" s="198"/>
      <c r="JPF122" s="199"/>
      <c r="JPG122" s="198"/>
      <c r="JPH122" s="199"/>
      <c r="JPI122" s="198"/>
      <c r="JPJ122" s="199"/>
      <c r="JPK122" s="198"/>
      <c r="JPL122" s="199"/>
      <c r="JPM122" s="198"/>
      <c r="JPN122" s="199"/>
      <c r="JPO122" s="198"/>
      <c r="JPP122" s="199"/>
      <c r="JPQ122" s="198"/>
      <c r="JPR122" s="199"/>
      <c r="JPS122" s="198"/>
      <c r="JPT122" s="199"/>
      <c r="JPU122" s="198"/>
      <c r="JPV122" s="199"/>
      <c r="JPW122" s="198"/>
      <c r="JPX122" s="199"/>
      <c r="JPY122" s="198"/>
      <c r="JPZ122" s="199"/>
      <c r="JQA122" s="198"/>
      <c r="JQB122" s="199"/>
      <c r="JQC122" s="198"/>
      <c r="JQD122" s="199"/>
      <c r="JQE122" s="198"/>
      <c r="JQF122" s="199"/>
      <c r="JQG122" s="198"/>
      <c r="JQH122" s="199"/>
      <c r="JQI122" s="198"/>
      <c r="JQJ122" s="199"/>
      <c r="JQK122" s="198"/>
      <c r="JQL122" s="199"/>
      <c r="JQM122" s="198"/>
      <c r="JQN122" s="199"/>
      <c r="JQO122" s="198"/>
      <c r="JQP122" s="199"/>
      <c r="JQQ122" s="198"/>
      <c r="JQR122" s="199"/>
      <c r="JQS122" s="198"/>
      <c r="JQT122" s="199"/>
      <c r="JQU122" s="198"/>
      <c r="JQV122" s="199"/>
      <c r="JQW122" s="198"/>
      <c r="JQX122" s="199"/>
      <c r="JQY122" s="198"/>
      <c r="JQZ122" s="199"/>
      <c r="JRA122" s="198"/>
      <c r="JRB122" s="199"/>
      <c r="JRC122" s="198"/>
      <c r="JRD122" s="199"/>
      <c r="JRE122" s="198"/>
      <c r="JRF122" s="199"/>
      <c r="JRG122" s="198"/>
      <c r="JRH122" s="199"/>
      <c r="JRI122" s="198"/>
      <c r="JRJ122" s="199"/>
      <c r="JRK122" s="198"/>
      <c r="JRL122" s="199"/>
      <c r="JRM122" s="198"/>
      <c r="JRN122" s="199"/>
      <c r="JRO122" s="198"/>
      <c r="JRP122" s="199"/>
      <c r="JRQ122" s="198"/>
      <c r="JRR122" s="199"/>
      <c r="JRS122" s="198"/>
      <c r="JRT122" s="199"/>
      <c r="JRU122" s="198"/>
      <c r="JRV122" s="199"/>
      <c r="JRW122" s="198"/>
      <c r="JRX122" s="199"/>
      <c r="JRY122" s="198"/>
      <c r="JRZ122" s="199"/>
      <c r="JSA122" s="198"/>
      <c r="JSB122" s="199"/>
      <c r="JSC122" s="198"/>
      <c r="JSD122" s="199"/>
      <c r="JSE122" s="198"/>
      <c r="JSF122" s="199"/>
      <c r="JSG122" s="198"/>
      <c r="JSH122" s="199"/>
      <c r="JSI122" s="198"/>
      <c r="JSJ122" s="199"/>
      <c r="JSK122" s="198"/>
      <c r="JSL122" s="199"/>
      <c r="JSM122" s="198"/>
      <c r="JSN122" s="199"/>
      <c r="JSO122" s="198"/>
      <c r="JSP122" s="199"/>
      <c r="JSQ122" s="198"/>
      <c r="JSR122" s="199"/>
      <c r="JSS122" s="198"/>
      <c r="JST122" s="199"/>
      <c r="JSU122" s="198"/>
      <c r="JSV122" s="199"/>
      <c r="JSW122" s="198"/>
      <c r="JSX122" s="199"/>
      <c r="JSY122" s="198"/>
      <c r="JSZ122" s="199"/>
      <c r="JTA122" s="198"/>
      <c r="JTB122" s="199"/>
      <c r="JTC122" s="198"/>
      <c r="JTD122" s="199"/>
      <c r="JTE122" s="198"/>
      <c r="JTF122" s="199"/>
      <c r="JTG122" s="198"/>
      <c r="JTH122" s="199"/>
      <c r="JTI122" s="198"/>
      <c r="JTJ122" s="199"/>
      <c r="JTK122" s="198"/>
      <c r="JTL122" s="199"/>
      <c r="JTM122" s="198"/>
      <c r="JTN122" s="199"/>
      <c r="JTO122" s="198"/>
      <c r="JTP122" s="199"/>
      <c r="JTQ122" s="198"/>
      <c r="JTR122" s="199"/>
      <c r="JTS122" s="198"/>
      <c r="JTT122" s="199"/>
      <c r="JTU122" s="198"/>
      <c r="JTV122" s="199"/>
      <c r="JTW122" s="198"/>
      <c r="JTX122" s="199"/>
      <c r="JTY122" s="198"/>
      <c r="JTZ122" s="199"/>
      <c r="JUA122" s="198"/>
      <c r="JUB122" s="199"/>
      <c r="JUC122" s="198"/>
      <c r="JUD122" s="199"/>
      <c r="JUE122" s="198"/>
      <c r="JUF122" s="199"/>
      <c r="JUG122" s="198"/>
      <c r="JUH122" s="199"/>
      <c r="JUI122" s="198"/>
      <c r="JUJ122" s="199"/>
      <c r="JUK122" s="198"/>
      <c r="JUL122" s="199"/>
      <c r="JUM122" s="198"/>
      <c r="JUN122" s="199"/>
      <c r="JUO122" s="198"/>
      <c r="JUP122" s="199"/>
      <c r="JUQ122" s="198"/>
      <c r="JUR122" s="199"/>
      <c r="JUS122" s="198"/>
      <c r="JUT122" s="199"/>
      <c r="JUU122" s="198"/>
      <c r="JUV122" s="199"/>
      <c r="JUW122" s="198"/>
      <c r="JUX122" s="199"/>
      <c r="JUY122" s="198"/>
      <c r="JUZ122" s="199"/>
      <c r="JVA122" s="198"/>
      <c r="JVB122" s="199"/>
      <c r="JVC122" s="198"/>
      <c r="JVD122" s="199"/>
      <c r="JVE122" s="198"/>
      <c r="JVF122" s="199"/>
      <c r="JVG122" s="198"/>
      <c r="JVH122" s="199"/>
      <c r="JVI122" s="198"/>
      <c r="JVJ122" s="199"/>
      <c r="JVK122" s="198"/>
      <c r="JVL122" s="199"/>
      <c r="JVM122" s="198"/>
      <c r="JVN122" s="199"/>
      <c r="JVO122" s="198"/>
      <c r="JVP122" s="199"/>
      <c r="JVQ122" s="198"/>
      <c r="JVR122" s="199"/>
      <c r="JVS122" s="198"/>
      <c r="JVT122" s="199"/>
      <c r="JVU122" s="198"/>
      <c r="JVV122" s="199"/>
      <c r="JVW122" s="198"/>
      <c r="JVX122" s="199"/>
      <c r="JVY122" s="198"/>
      <c r="JVZ122" s="199"/>
      <c r="JWA122" s="198"/>
      <c r="JWB122" s="199"/>
      <c r="JWC122" s="198"/>
      <c r="JWD122" s="199"/>
      <c r="JWE122" s="198"/>
      <c r="JWF122" s="199"/>
      <c r="JWG122" s="198"/>
      <c r="JWH122" s="199"/>
      <c r="JWI122" s="198"/>
      <c r="JWJ122" s="199"/>
      <c r="JWK122" s="198"/>
      <c r="JWL122" s="199"/>
      <c r="JWM122" s="198"/>
      <c r="JWN122" s="199"/>
      <c r="JWO122" s="198"/>
      <c r="JWP122" s="199"/>
      <c r="JWQ122" s="198"/>
      <c r="JWR122" s="199"/>
      <c r="JWS122" s="198"/>
      <c r="JWT122" s="199"/>
      <c r="JWU122" s="198"/>
      <c r="JWV122" s="199"/>
      <c r="JWW122" s="198"/>
      <c r="JWX122" s="199"/>
      <c r="JWY122" s="198"/>
      <c r="JWZ122" s="199"/>
      <c r="JXA122" s="198"/>
      <c r="JXB122" s="199"/>
      <c r="JXC122" s="198"/>
      <c r="JXD122" s="199"/>
      <c r="JXE122" s="198"/>
      <c r="JXF122" s="199"/>
      <c r="JXG122" s="198"/>
      <c r="JXH122" s="199"/>
      <c r="JXI122" s="198"/>
      <c r="JXJ122" s="199"/>
      <c r="JXK122" s="198"/>
      <c r="JXL122" s="199"/>
      <c r="JXM122" s="198"/>
      <c r="JXN122" s="199"/>
      <c r="JXO122" s="198"/>
      <c r="JXP122" s="199"/>
      <c r="JXQ122" s="198"/>
      <c r="JXR122" s="199"/>
      <c r="JXS122" s="198"/>
      <c r="JXT122" s="199"/>
      <c r="JXU122" s="198"/>
      <c r="JXV122" s="199"/>
      <c r="JXW122" s="198"/>
      <c r="JXX122" s="199"/>
      <c r="JXY122" s="198"/>
      <c r="JXZ122" s="199"/>
      <c r="JYA122" s="198"/>
      <c r="JYB122" s="199"/>
      <c r="JYC122" s="198"/>
      <c r="JYD122" s="199"/>
      <c r="JYE122" s="198"/>
      <c r="JYF122" s="199"/>
      <c r="JYG122" s="198"/>
      <c r="JYH122" s="199"/>
      <c r="JYI122" s="198"/>
      <c r="JYJ122" s="199"/>
      <c r="JYK122" s="198"/>
      <c r="JYL122" s="199"/>
      <c r="JYM122" s="198"/>
      <c r="JYN122" s="199"/>
      <c r="JYO122" s="198"/>
      <c r="JYP122" s="199"/>
      <c r="JYQ122" s="198"/>
      <c r="JYR122" s="199"/>
      <c r="JYS122" s="198"/>
      <c r="JYT122" s="199"/>
      <c r="JYU122" s="198"/>
      <c r="JYV122" s="199"/>
      <c r="JYW122" s="198"/>
      <c r="JYX122" s="199"/>
      <c r="JYY122" s="198"/>
      <c r="JYZ122" s="199"/>
      <c r="JZA122" s="198"/>
      <c r="JZB122" s="199"/>
      <c r="JZC122" s="198"/>
      <c r="JZD122" s="199"/>
      <c r="JZE122" s="198"/>
      <c r="JZF122" s="199"/>
      <c r="JZG122" s="198"/>
      <c r="JZH122" s="199"/>
      <c r="JZI122" s="198"/>
      <c r="JZJ122" s="199"/>
      <c r="JZK122" s="198"/>
      <c r="JZL122" s="199"/>
      <c r="JZM122" s="198"/>
      <c r="JZN122" s="199"/>
      <c r="JZO122" s="198"/>
      <c r="JZP122" s="199"/>
      <c r="JZQ122" s="198"/>
      <c r="JZR122" s="199"/>
      <c r="JZS122" s="198"/>
      <c r="JZT122" s="199"/>
      <c r="JZU122" s="198"/>
      <c r="JZV122" s="199"/>
      <c r="JZW122" s="198"/>
      <c r="JZX122" s="199"/>
      <c r="JZY122" s="198"/>
      <c r="JZZ122" s="199"/>
      <c r="KAA122" s="198"/>
      <c r="KAB122" s="199"/>
      <c r="KAC122" s="198"/>
      <c r="KAD122" s="199"/>
      <c r="KAE122" s="198"/>
      <c r="KAF122" s="199"/>
      <c r="KAG122" s="198"/>
      <c r="KAH122" s="199"/>
      <c r="KAI122" s="198"/>
      <c r="KAJ122" s="199"/>
      <c r="KAK122" s="198"/>
      <c r="KAL122" s="199"/>
      <c r="KAM122" s="198"/>
      <c r="KAN122" s="199"/>
      <c r="KAO122" s="198"/>
      <c r="KAP122" s="199"/>
      <c r="KAQ122" s="198"/>
      <c r="KAR122" s="199"/>
      <c r="KAS122" s="198"/>
      <c r="KAT122" s="199"/>
      <c r="KAU122" s="198"/>
      <c r="KAV122" s="199"/>
      <c r="KAW122" s="198"/>
      <c r="KAX122" s="199"/>
      <c r="KAY122" s="198"/>
      <c r="KAZ122" s="199"/>
      <c r="KBA122" s="198"/>
      <c r="KBB122" s="199"/>
      <c r="KBC122" s="198"/>
      <c r="KBD122" s="199"/>
      <c r="KBE122" s="198"/>
      <c r="KBF122" s="199"/>
      <c r="KBG122" s="198"/>
      <c r="KBH122" s="199"/>
      <c r="KBI122" s="198"/>
      <c r="KBJ122" s="199"/>
      <c r="KBK122" s="198"/>
      <c r="KBL122" s="199"/>
      <c r="KBM122" s="198"/>
      <c r="KBN122" s="199"/>
      <c r="KBO122" s="198"/>
      <c r="KBP122" s="199"/>
      <c r="KBQ122" s="198"/>
      <c r="KBR122" s="199"/>
      <c r="KBS122" s="198"/>
      <c r="KBT122" s="199"/>
      <c r="KBU122" s="198"/>
      <c r="KBV122" s="199"/>
      <c r="KBW122" s="198"/>
      <c r="KBX122" s="199"/>
      <c r="KBY122" s="198"/>
      <c r="KBZ122" s="199"/>
      <c r="KCA122" s="198"/>
      <c r="KCB122" s="199"/>
      <c r="KCC122" s="198"/>
      <c r="KCD122" s="199"/>
      <c r="KCE122" s="198"/>
      <c r="KCF122" s="199"/>
      <c r="KCG122" s="198"/>
      <c r="KCH122" s="199"/>
      <c r="KCI122" s="198"/>
      <c r="KCJ122" s="199"/>
      <c r="KCK122" s="198"/>
      <c r="KCL122" s="199"/>
      <c r="KCM122" s="198"/>
      <c r="KCN122" s="199"/>
      <c r="KCO122" s="198"/>
      <c r="KCP122" s="199"/>
      <c r="KCQ122" s="198"/>
      <c r="KCR122" s="199"/>
      <c r="KCS122" s="198"/>
      <c r="KCT122" s="199"/>
      <c r="KCU122" s="198"/>
      <c r="KCV122" s="199"/>
      <c r="KCW122" s="198"/>
      <c r="KCX122" s="199"/>
      <c r="KCY122" s="198"/>
      <c r="KCZ122" s="199"/>
      <c r="KDA122" s="198"/>
      <c r="KDB122" s="199"/>
      <c r="KDC122" s="198"/>
      <c r="KDD122" s="199"/>
      <c r="KDE122" s="198"/>
      <c r="KDF122" s="199"/>
      <c r="KDG122" s="198"/>
      <c r="KDH122" s="199"/>
      <c r="KDI122" s="198"/>
      <c r="KDJ122" s="199"/>
      <c r="KDK122" s="198"/>
      <c r="KDL122" s="199"/>
      <c r="KDM122" s="198"/>
      <c r="KDN122" s="199"/>
      <c r="KDO122" s="198"/>
      <c r="KDP122" s="199"/>
      <c r="KDQ122" s="198"/>
      <c r="KDR122" s="199"/>
      <c r="KDS122" s="198"/>
      <c r="KDT122" s="199"/>
      <c r="KDU122" s="198"/>
      <c r="KDV122" s="199"/>
      <c r="KDW122" s="198"/>
      <c r="KDX122" s="199"/>
      <c r="KDY122" s="198"/>
      <c r="KDZ122" s="199"/>
      <c r="KEA122" s="198"/>
      <c r="KEB122" s="199"/>
      <c r="KEC122" s="198"/>
      <c r="KED122" s="199"/>
      <c r="KEE122" s="198"/>
      <c r="KEF122" s="199"/>
      <c r="KEG122" s="198"/>
      <c r="KEH122" s="199"/>
      <c r="KEI122" s="198"/>
      <c r="KEJ122" s="199"/>
      <c r="KEK122" s="198"/>
      <c r="KEL122" s="199"/>
      <c r="KEM122" s="198"/>
      <c r="KEN122" s="199"/>
      <c r="KEO122" s="198"/>
      <c r="KEP122" s="199"/>
      <c r="KEQ122" s="198"/>
      <c r="KER122" s="199"/>
      <c r="KES122" s="198"/>
      <c r="KET122" s="199"/>
      <c r="KEU122" s="198"/>
      <c r="KEV122" s="199"/>
      <c r="KEW122" s="198"/>
      <c r="KEX122" s="199"/>
      <c r="KEY122" s="198"/>
      <c r="KEZ122" s="199"/>
      <c r="KFA122" s="198"/>
      <c r="KFB122" s="199"/>
      <c r="KFC122" s="198"/>
      <c r="KFD122" s="199"/>
      <c r="KFE122" s="198"/>
      <c r="KFF122" s="199"/>
      <c r="KFG122" s="198"/>
      <c r="KFH122" s="199"/>
      <c r="KFI122" s="198"/>
      <c r="KFJ122" s="199"/>
      <c r="KFK122" s="198"/>
      <c r="KFL122" s="199"/>
      <c r="KFM122" s="198"/>
      <c r="KFN122" s="199"/>
      <c r="KFO122" s="198"/>
      <c r="KFP122" s="199"/>
      <c r="KFQ122" s="198"/>
      <c r="KFR122" s="199"/>
      <c r="KFS122" s="198"/>
      <c r="KFT122" s="199"/>
      <c r="KFU122" s="198"/>
      <c r="KFV122" s="199"/>
      <c r="KFW122" s="198"/>
      <c r="KFX122" s="199"/>
      <c r="KFY122" s="198"/>
      <c r="KFZ122" s="199"/>
      <c r="KGA122" s="198"/>
      <c r="KGB122" s="199"/>
      <c r="KGC122" s="198"/>
      <c r="KGD122" s="199"/>
      <c r="KGE122" s="198"/>
      <c r="KGF122" s="199"/>
      <c r="KGG122" s="198"/>
      <c r="KGH122" s="199"/>
      <c r="KGI122" s="198"/>
      <c r="KGJ122" s="199"/>
      <c r="KGK122" s="198"/>
      <c r="KGL122" s="199"/>
      <c r="KGM122" s="198"/>
      <c r="KGN122" s="199"/>
      <c r="KGO122" s="198"/>
      <c r="KGP122" s="199"/>
      <c r="KGQ122" s="198"/>
      <c r="KGR122" s="199"/>
      <c r="KGS122" s="198"/>
      <c r="KGT122" s="199"/>
      <c r="KGU122" s="198"/>
      <c r="KGV122" s="199"/>
      <c r="KGW122" s="198"/>
      <c r="KGX122" s="199"/>
      <c r="KGY122" s="198"/>
      <c r="KGZ122" s="199"/>
      <c r="KHA122" s="198"/>
      <c r="KHB122" s="199"/>
      <c r="KHC122" s="198"/>
      <c r="KHD122" s="199"/>
      <c r="KHE122" s="198"/>
      <c r="KHF122" s="199"/>
      <c r="KHG122" s="198"/>
      <c r="KHH122" s="199"/>
      <c r="KHI122" s="198"/>
      <c r="KHJ122" s="199"/>
      <c r="KHK122" s="198"/>
      <c r="KHL122" s="199"/>
      <c r="KHM122" s="198"/>
      <c r="KHN122" s="199"/>
      <c r="KHO122" s="198"/>
      <c r="KHP122" s="199"/>
      <c r="KHQ122" s="198"/>
      <c r="KHR122" s="199"/>
      <c r="KHS122" s="198"/>
      <c r="KHT122" s="199"/>
      <c r="KHU122" s="198"/>
      <c r="KHV122" s="199"/>
      <c r="KHW122" s="198"/>
      <c r="KHX122" s="199"/>
      <c r="KHY122" s="198"/>
      <c r="KHZ122" s="199"/>
      <c r="KIA122" s="198"/>
      <c r="KIB122" s="199"/>
      <c r="KIC122" s="198"/>
      <c r="KID122" s="199"/>
      <c r="KIE122" s="198"/>
      <c r="KIF122" s="199"/>
      <c r="KIG122" s="198"/>
      <c r="KIH122" s="199"/>
      <c r="KII122" s="198"/>
      <c r="KIJ122" s="199"/>
      <c r="KIK122" s="198"/>
      <c r="KIL122" s="199"/>
      <c r="KIM122" s="198"/>
      <c r="KIN122" s="199"/>
      <c r="KIO122" s="198"/>
      <c r="KIP122" s="199"/>
      <c r="KIQ122" s="198"/>
      <c r="KIR122" s="199"/>
      <c r="KIS122" s="198"/>
      <c r="KIT122" s="199"/>
      <c r="KIU122" s="198"/>
      <c r="KIV122" s="199"/>
      <c r="KIW122" s="198"/>
      <c r="KIX122" s="199"/>
      <c r="KIY122" s="198"/>
      <c r="KIZ122" s="199"/>
      <c r="KJA122" s="198"/>
      <c r="KJB122" s="199"/>
      <c r="KJC122" s="198"/>
      <c r="KJD122" s="199"/>
      <c r="KJE122" s="198"/>
      <c r="KJF122" s="199"/>
      <c r="KJG122" s="198"/>
      <c r="KJH122" s="199"/>
      <c r="KJI122" s="198"/>
      <c r="KJJ122" s="199"/>
      <c r="KJK122" s="198"/>
      <c r="KJL122" s="199"/>
      <c r="KJM122" s="198"/>
      <c r="KJN122" s="199"/>
      <c r="KJO122" s="198"/>
      <c r="KJP122" s="199"/>
      <c r="KJQ122" s="198"/>
      <c r="KJR122" s="199"/>
      <c r="KJS122" s="198"/>
      <c r="KJT122" s="199"/>
      <c r="KJU122" s="198"/>
      <c r="KJV122" s="199"/>
      <c r="KJW122" s="198"/>
      <c r="KJX122" s="199"/>
      <c r="KJY122" s="198"/>
      <c r="KJZ122" s="199"/>
      <c r="KKA122" s="198"/>
      <c r="KKB122" s="199"/>
      <c r="KKC122" s="198"/>
      <c r="KKD122" s="199"/>
      <c r="KKE122" s="198"/>
      <c r="KKF122" s="199"/>
      <c r="KKG122" s="198"/>
      <c r="KKH122" s="199"/>
      <c r="KKI122" s="198"/>
      <c r="KKJ122" s="199"/>
      <c r="KKK122" s="198"/>
      <c r="KKL122" s="199"/>
      <c r="KKM122" s="198"/>
      <c r="KKN122" s="199"/>
      <c r="KKO122" s="198"/>
      <c r="KKP122" s="199"/>
      <c r="KKQ122" s="198"/>
      <c r="KKR122" s="199"/>
      <c r="KKS122" s="198"/>
      <c r="KKT122" s="199"/>
      <c r="KKU122" s="198"/>
      <c r="KKV122" s="199"/>
      <c r="KKW122" s="198"/>
      <c r="KKX122" s="199"/>
      <c r="KKY122" s="198"/>
      <c r="KKZ122" s="199"/>
      <c r="KLA122" s="198"/>
      <c r="KLB122" s="199"/>
      <c r="KLC122" s="198"/>
      <c r="KLD122" s="199"/>
      <c r="KLE122" s="198"/>
      <c r="KLF122" s="199"/>
      <c r="KLG122" s="198"/>
      <c r="KLH122" s="199"/>
      <c r="KLI122" s="198"/>
      <c r="KLJ122" s="199"/>
      <c r="KLK122" s="198"/>
      <c r="KLL122" s="199"/>
      <c r="KLM122" s="198"/>
      <c r="KLN122" s="199"/>
      <c r="KLO122" s="198"/>
      <c r="KLP122" s="199"/>
      <c r="KLQ122" s="198"/>
      <c r="KLR122" s="199"/>
      <c r="KLS122" s="198"/>
      <c r="KLT122" s="199"/>
      <c r="KLU122" s="198"/>
      <c r="KLV122" s="199"/>
      <c r="KLW122" s="198"/>
      <c r="KLX122" s="199"/>
      <c r="KLY122" s="198"/>
      <c r="KLZ122" s="199"/>
      <c r="KMA122" s="198"/>
      <c r="KMB122" s="199"/>
      <c r="KMC122" s="198"/>
      <c r="KMD122" s="199"/>
      <c r="KME122" s="198"/>
      <c r="KMF122" s="199"/>
      <c r="KMG122" s="198"/>
      <c r="KMH122" s="199"/>
      <c r="KMI122" s="198"/>
      <c r="KMJ122" s="199"/>
      <c r="KMK122" s="198"/>
      <c r="KML122" s="199"/>
      <c r="KMM122" s="198"/>
      <c r="KMN122" s="199"/>
      <c r="KMO122" s="198"/>
      <c r="KMP122" s="199"/>
      <c r="KMQ122" s="198"/>
      <c r="KMR122" s="199"/>
      <c r="KMS122" s="198"/>
      <c r="KMT122" s="199"/>
      <c r="KMU122" s="198"/>
      <c r="KMV122" s="199"/>
      <c r="KMW122" s="198"/>
      <c r="KMX122" s="199"/>
      <c r="KMY122" s="198"/>
      <c r="KMZ122" s="199"/>
      <c r="KNA122" s="198"/>
      <c r="KNB122" s="199"/>
      <c r="KNC122" s="198"/>
      <c r="KND122" s="199"/>
      <c r="KNE122" s="198"/>
      <c r="KNF122" s="199"/>
      <c r="KNG122" s="198"/>
      <c r="KNH122" s="199"/>
      <c r="KNI122" s="198"/>
      <c r="KNJ122" s="199"/>
      <c r="KNK122" s="198"/>
      <c r="KNL122" s="199"/>
      <c r="KNM122" s="198"/>
      <c r="KNN122" s="199"/>
      <c r="KNO122" s="198"/>
      <c r="KNP122" s="199"/>
      <c r="KNQ122" s="198"/>
      <c r="KNR122" s="199"/>
      <c r="KNS122" s="198"/>
      <c r="KNT122" s="199"/>
      <c r="KNU122" s="198"/>
      <c r="KNV122" s="199"/>
      <c r="KNW122" s="198"/>
      <c r="KNX122" s="199"/>
      <c r="KNY122" s="198"/>
      <c r="KNZ122" s="199"/>
      <c r="KOA122" s="198"/>
      <c r="KOB122" s="199"/>
      <c r="KOC122" s="198"/>
      <c r="KOD122" s="199"/>
      <c r="KOE122" s="198"/>
      <c r="KOF122" s="199"/>
      <c r="KOG122" s="198"/>
      <c r="KOH122" s="199"/>
      <c r="KOI122" s="198"/>
      <c r="KOJ122" s="199"/>
      <c r="KOK122" s="198"/>
      <c r="KOL122" s="199"/>
      <c r="KOM122" s="198"/>
      <c r="KON122" s="199"/>
      <c r="KOO122" s="198"/>
      <c r="KOP122" s="199"/>
      <c r="KOQ122" s="198"/>
      <c r="KOR122" s="199"/>
      <c r="KOS122" s="198"/>
      <c r="KOT122" s="199"/>
      <c r="KOU122" s="198"/>
      <c r="KOV122" s="199"/>
      <c r="KOW122" s="198"/>
      <c r="KOX122" s="199"/>
      <c r="KOY122" s="198"/>
      <c r="KOZ122" s="199"/>
      <c r="KPA122" s="198"/>
      <c r="KPB122" s="199"/>
      <c r="KPC122" s="198"/>
      <c r="KPD122" s="199"/>
      <c r="KPE122" s="198"/>
      <c r="KPF122" s="199"/>
      <c r="KPG122" s="198"/>
      <c r="KPH122" s="199"/>
      <c r="KPI122" s="198"/>
      <c r="KPJ122" s="199"/>
      <c r="KPK122" s="198"/>
      <c r="KPL122" s="199"/>
      <c r="KPM122" s="198"/>
      <c r="KPN122" s="199"/>
      <c r="KPO122" s="198"/>
      <c r="KPP122" s="199"/>
      <c r="KPQ122" s="198"/>
      <c r="KPR122" s="199"/>
      <c r="KPS122" s="198"/>
      <c r="KPT122" s="199"/>
      <c r="KPU122" s="198"/>
      <c r="KPV122" s="199"/>
      <c r="KPW122" s="198"/>
      <c r="KPX122" s="199"/>
      <c r="KPY122" s="198"/>
      <c r="KPZ122" s="199"/>
      <c r="KQA122" s="198"/>
      <c r="KQB122" s="199"/>
      <c r="KQC122" s="198"/>
      <c r="KQD122" s="199"/>
      <c r="KQE122" s="198"/>
      <c r="KQF122" s="199"/>
      <c r="KQG122" s="198"/>
      <c r="KQH122" s="199"/>
      <c r="KQI122" s="198"/>
      <c r="KQJ122" s="199"/>
      <c r="KQK122" s="198"/>
      <c r="KQL122" s="199"/>
      <c r="KQM122" s="198"/>
      <c r="KQN122" s="199"/>
      <c r="KQO122" s="198"/>
      <c r="KQP122" s="199"/>
      <c r="KQQ122" s="198"/>
      <c r="KQR122" s="199"/>
      <c r="KQS122" s="198"/>
      <c r="KQT122" s="199"/>
      <c r="KQU122" s="198"/>
      <c r="KQV122" s="199"/>
      <c r="KQW122" s="198"/>
      <c r="KQX122" s="199"/>
      <c r="KQY122" s="198"/>
      <c r="KQZ122" s="199"/>
      <c r="KRA122" s="198"/>
      <c r="KRB122" s="199"/>
      <c r="KRC122" s="198"/>
      <c r="KRD122" s="199"/>
      <c r="KRE122" s="198"/>
      <c r="KRF122" s="199"/>
      <c r="KRG122" s="198"/>
      <c r="KRH122" s="199"/>
      <c r="KRI122" s="198"/>
      <c r="KRJ122" s="199"/>
      <c r="KRK122" s="198"/>
      <c r="KRL122" s="199"/>
      <c r="KRM122" s="198"/>
      <c r="KRN122" s="199"/>
      <c r="KRO122" s="198"/>
      <c r="KRP122" s="199"/>
      <c r="KRQ122" s="198"/>
      <c r="KRR122" s="199"/>
      <c r="KRS122" s="198"/>
      <c r="KRT122" s="199"/>
      <c r="KRU122" s="198"/>
      <c r="KRV122" s="199"/>
      <c r="KRW122" s="198"/>
      <c r="KRX122" s="199"/>
      <c r="KRY122" s="198"/>
      <c r="KRZ122" s="199"/>
      <c r="KSA122" s="198"/>
      <c r="KSB122" s="199"/>
      <c r="KSC122" s="198"/>
      <c r="KSD122" s="199"/>
      <c r="KSE122" s="198"/>
      <c r="KSF122" s="199"/>
      <c r="KSG122" s="198"/>
      <c r="KSH122" s="199"/>
      <c r="KSI122" s="198"/>
      <c r="KSJ122" s="199"/>
      <c r="KSK122" s="198"/>
      <c r="KSL122" s="199"/>
      <c r="KSM122" s="198"/>
      <c r="KSN122" s="199"/>
      <c r="KSO122" s="198"/>
      <c r="KSP122" s="199"/>
      <c r="KSQ122" s="198"/>
      <c r="KSR122" s="199"/>
      <c r="KSS122" s="198"/>
      <c r="KST122" s="199"/>
      <c r="KSU122" s="198"/>
      <c r="KSV122" s="199"/>
      <c r="KSW122" s="198"/>
      <c r="KSX122" s="199"/>
      <c r="KSY122" s="198"/>
      <c r="KSZ122" s="199"/>
      <c r="KTA122" s="198"/>
      <c r="KTB122" s="199"/>
      <c r="KTC122" s="198"/>
      <c r="KTD122" s="199"/>
      <c r="KTE122" s="198"/>
      <c r="KTF122" s="199"/>
      <c r="KTG122" s="198"/>
      <c r="KTH122" s="199"/>
      <c r="KTI122" s="198"/>
      <c r="KTJ122" s="199"/>
      <c r="KTK122" s="198"/>
      <c r="KTL122" s="199"/>
      <c r="KTM122" s="198"/>
      <c r="KTN122" s="199"/>
      <c r="KTO122" s="198"/>
      <c r="KTP122" s="199"/>
      <c r="KTQ122" s="198"/>
      <c r="KTR122" s="199"/>
      <c r="KTS122" s="198"/>
      <c r="KTT122" s="199"/>
      <c r="KTU122" s="198"/>
      <c r="KTV122" s="199"/>
      <c r="KTW122" s="198"/>
      <c r="KTX122" s="199"/>
      <c r="KTY122" s="198"/>
      <c r="KTZ122" s="199"/>
      <c r="KUA122" s="198"/>
      <c r="KUB122" s="199"/>
      <c r="KUC122" s="198"/>
      <c r="KUD122" s="199"/>
      <c r="KUE122" s="198"/>
      <c r="KUF122" s="199"/>
      <c r="KUG122" s="198"/>
      <c r="KUH122" s="199"/>
      <c r="KUI122" s="198"/>
      <c r="KUJ122" s="199"/>
      <c r="KUK122" s="198"/>
      <c r="KUL122" s="199"/>
      <c r="KUM122" s="198"/>
      <c r="KUN122" s="199"/>
      <c r="KUO122" s="198"/>
      <c r="KUP122" s="199"/>
      <c r="KUQ122" s="198"/>
      <c r="KUR122" s="199"/>
      <c r="KUS122" s="198"/>
      <c r="KUT122" s="199"/>
      <c r="KUU122" s="198"/>
      <c r="KUV122" s="199"/>
      <c r="KUW122" s="198"/>
      <c r="KUX122" s="199"/>
      <c r="KUY122" s="198"/>
      <c r="KUZ122" s="199"/>
      <c r="KVA122" s="198"/>
      <c r="KVB122" s="199"/>
      <c r="KVC122" s="198"/>
      <c r="KVD122" s="199"/>
      <c r="KVE122" s="198"/>
      <c r="KVF122" s="199"/>
      <c r="KVG122" s="198"/>
      <c r="KVH122" s="199"/>
      <c r="KVI122" s="198"/>
      <c r="KVJ122" s="199"/>
      <c r="KVK122" s="198"/>
      <c r="KVL122" s="199"/>
      <c r="KVM122" s="198"/>
      <c r="KVN122" s="199"/>
      <c r="KVO122" s="198"/>
      <c r="KVP122" s="199"/>
      <c r="KVQ122" s="198"/>
      <c r="KVR122" s="199"/>
      <c r="KVS122" s="198"/>
      <c r="KVT122" s="199"/>
      <c r="KVU122" s="198"/>
      <c r="KVV122" s="199"/>
      <c r="KVW122" s="198"/>
      <c r="KVX122" s="199"/>
      <c r="KVY122" s="198"/>
      <c r="KVZ122" s="199"/>
      <c r="KWA122" s="198"/>
      <c r="KWB122" s="199"/>
      <c r="KWC122" s="198"/>
      <c r="KWD122" s="199"/>
      <c r="KWE122" s="198"/>
      <c r="KWF122" s="199"/>
      <c r="KWG122" s="198"/>
      <c r="KWH122" s="199"/>
      <c r="KWI122" s="198"/>
      <c r="KWJ122" s="199"/>
      <c r="KWK122" s="198"/>
      <c r="KWL122" s="199"/>
      <c r="KWM122" s="198"/>
      <c r="KWN122" s="199"/>
      <c r="KWO122" s="198"/>
      <c r="KWP122" s="199"/>
      <c r="KWQ122" s="198"/>
      <c r="KWR122" s="199"/>
      <c r="KWS122" s="198"/>
      <c r="KWT122" s="199"/>
      <c r="KWU122" s="198"/>
      <c r="KWV122" s="199"/>
      <c r="KWW122" s="198"/>
      <c r="KWX122" s="199"/>
      <c r="KWY122" s="198"/>
      <c r="KWZ122" s="199"/>
      <c r="KXA122" s="198"/>
      <c r="KXB122" s="199"/>
      <c r="KXC122" s="198"/>
      <c r="KXD122" s="199"/>
      <c r="KXE122" s="198"/>
      <c r="KXF122" s="199"/>
      <c r="KXG122" s="198"/>
      <c r="KXH122" s="199"/>
      <c r="KXI122" s="198"/>
      <c r="KXJ122" s="199"/>
      <c r="KXK122" s="198"/>
      <c r="KXL122" s="199"/>
      <c r="KXM122" s="198"/>
      <c r="KXN122" s="199"/>
      <c r="KXO122" s="198"/>
      <c r="KXP122" s="199"/>
      <c r="KXQ122" s="198"/>
      <c r="KXR122" s="199"/>
      <c r="KXS122" s="198"/>
      <c r="KXT122" s="199"/>
      <c r="KXU122" s="198"/>
      <c r="KXV122" s="199"/>
      <c r="KXW122" s="198"/>
      <c r="KXX122" s="199"/>
      <c r="KXY122" s="198"/>
      <c r="KXZ122" s="199"/>
      <c r="KYA122" s="198"/>
      <c r="KYB122" s="199"/>
      <c r="KYC122" s="198"/>
      <c r="KYD122" s="199"/>
      <c r="KYE122" s="198"/>
      <c r="KYF122" s="199"/>
      <c r="KYG122" s="198"/>
      <c r="KYH122" s="199"/>
      <c r="KYI122" s="198"/>
      <c r="KYJ122" s="199"/>
      <c r="KYK122" s="198"/>
      <c r="KYL122" s="199"/>
      <c r="KYM122" s="198"/>
      <c r="KYN122" s="199"/>
      <c r="KYO122" s="198"/>
      <c r="KYP122" s="199"/>
      <c r="KYQ122" s="198"/>
      <c r="KYR122" s="199"/>
      <c r="KYS122" s="198"/>
      <c r="KYT122" s="199"/>
      <c r="KYU122" s="198"/>
      <c r="KYV122" s="199"/>
      <c r="KYW122" s="198"/>
      <c r="KYX122" s="199"/>
      <c r="KYY122" s="198"/>
      <c r="KYZ122" s="199"/>
      <c r="KZA122" s="198"/>
      <c r="KZB122" s="199"/>
      <c r="KZC122" s="198"/>
      <c r="KZD122" s="199"/>
      <c r="KZE122" s="198"/>
      <c r="KZF122" s="199"/>
      <c r="KZG122" s="198"/>
      <c r="KZH122" s="199"/>
      <c r="KZI122" s="198"/>
      <c r="KZJ122" s="199"/>
      <c r="KZK122" s="198"/>
      <c r="KZL122" s="199"/>
      <c r="KZM122" s="198"/>
      <c r="KZN122" s="199"/>
      <c r="KZO122" s="198"/>
      <c r="KZP122" s="199"/>
      <c r="KZQ122" s="198"/>
      <c r="KZR122" s="199"/>
      <c r="KZS122" s="198"/>
      <c r="KZT122" s="199"/>
      <c r="KZU122" s="198"/>
      <c r="KZV122" s="199"/>
      <c r="KZW122" s="198"/>
      <c r="KZX122" s="199"/>
      <c r="KZY122" s="198"/>
      <c r="KZZ122" s="199"/>
      <c r="LAA122" s="198"/>
      <c r="LAB122" s="199"/>
      <c r="LAC122" s="198"/>
      <c r="LAD122" s="199"/>
      <c r="LAE122" s="198"/>
      <c r="LAF122" s="199"/>
      <c r="LAG122" s="198"/>
      <c r="LAH122" s="199"/>
      <c r="LAI122" s="198"/>
      <c r="LAJ122" s="199"/>
      <c r="LAK122" s="198"/>
      <c r="LAL122" s="199"/>
      <c r="LAM122" s="198"/>
      <c r="LAN122" s="199"/>
      <c r="LAO122" s="198"/>
      <c r="LAP122" s="199"/>
      <c r="LAQ122" s="198"/>
      <c r="LAR122" s="199"/>
      <c r="LAS122" s="198"/>
      <c r="LAT122" s="199"/>
      <c r="LAU122" s="198"/>
      <c r="LAV122" s="199"/>
      <c r="LAW122" s="198"/>
      <c r="LAX122" s="199"/>
      <c r="LAY122" s="198"/>
      <c r="LAZ122" s="199"/>
      <c r="LBA122" s="198"/>
      <c r="LBB122" s="199"/>
      <c r="LBC122" s="198"/>
      <c r="LBD122" s="199"/>
      <c r="LBE122" s="198"/>
      <c r="LBF122" s="199"/>
      <c r="LBG122" s="198"/>
      <c r="LBH122" s="199"/>
      <c r="LBI122" s="198"/>
      <c r="LBJ122" s="199"/>
      <c r="LBK122" s="198"/>
      <c r="LBL122" s="199"/>
      <c r="LBM122" s="198"/>
      <c r="LBN122" s="199"/>
      <c r="LBO122" s="198"/>
      <c r="LBP122" s="199"/>
      <c r="LBQ122" s="198"/>
      <c r="LBR122" s="199"/>
      <c r="LBS122" s="198"/>
      <c r="LBT122" s="199"/>
      <c r="LBU122" s="198"/>
      <c r="LBV122" s="199"/>
      <c r="LBW122" s="198"/>
      <c r="LBX122" s="199"/>
      <c r="LBY122" s="198"/>
      <c r="LBZ122" s="199"/>
      <c r="LCA122" s="198"/>
      <c r="LCB122" s="199"/>
      <c r="LCC122" s="198"/>
      <c r="LCD122" s="199"/>
      <c r="LCE122" s="198"/>
      <c r="LCF122" s="199"/>
      <c r="LCG122" s="198"/>
      <c r="LCH122" s="199"/>
      <c r="LCI122" s="198"/>
      <c r="LCJ122" s="199"/>
      <c r="LCK122" s="198"/>
      <c r="LCL122" s="199"/>
      <c r="LCM122" s="198"/>
      <c r="LCN122" s="199"/>
      <c r="LCO122" s="198"/>
      <c r="LCP122" s="199"/>
      <c r="LCQ122" s="198"/>
      <c r="LCR122" s="199"/>
      <c r="LCS122" s="198"/>
      <c r="LCT122" s="199"/>
      <c r="LCU122" s="198"/>
      <c r="LCV122" s="199"/>
      <c r="LCW122" s="198"/>
      <c r="LCX122" s="199"/>
      <c r="LCY122" s="198"/>
      <c r="LCZ122" s="199"/>
      <c r="LDA122" s="198"/>
      <c r="LDB122" s="199"/>
      <c r="LDC122" s="198"/>
      <c r="LDD122" s="199"/>
      <c r="LDE122" s="198"/>
      <c r="LDF122" s="199"/>
      <c r="LDG122" s="198"/>
      <c r="LDH122" s="199"/>
      <c r="LDI122" s="198"/>
      <c r="LDJ122" s="199"/>
      <c r="LDK122" s="198"/>
      <c r="LDL122" s="199"/>
      <c r="LDM122" s="198"/>
      <c r="LDN122" s="199"/>
      <c r="LDO122" s="198"/>
      <c r="LDP122" s="199"/>
      <c r="LDQ122" s="198"/>
      <c r="LDR122" s="199"/>
      <c r="LDS122" s="198"/>
      <c r="LDT122" s="199"/>
      <c r="LDU122" s="198"/>
      <c r="LDV122" s="199"/>
      <c r="LDW122" s="198"/>
      <c r="LDX122" s="199"/>
      <c r="LDY122" s="198"/>
      <c r="LDZ122" s="199"/>
      <c r="LEA122" s="198"/>
      <c r="LEB122" s="199"/>
      <c r="LEC122" s="198"/>
      <c r="LED122" s="199"/>
      <c r="LEE122" s="198"/>
      <c r="LEF122" s="199"/>
      <c r="LEG122" s="198"/>
      <c r="LEH122" s="199"/>
      <c r="LEI122" s="198"/>
      <c r="LEJ122" s="199"/>
      <c r="LEK122" s="198"/>
      <c r="LEL122" s="199"/>
      <c r="LEM122" s="198"/>
      <c r="LEN122" s="199"/>
      <c r="LEO122" s="198"/>
      <c r="LEP122" s="199"/>
      <c r="LEQ122" s="198"/>
      <c r="LER122" s="199"/>
      <c r="LES122" s="198"/>
      <c r="LET122" s="199"/>
      <c r="LEU122" s="198"/>
      <c r="LEV122" s="199"/>
      <c r="LEW122" s="198"/>
      <c r="LEX122" s="199"/>
      <c r="LEY122" s="198"/>
      <c r="LEZ122" s="199"/>
      <c r="LFA122" s="198"/>
      <c r="LFB122" s="199"/>
      <c r="LFC122" s="198"/>
      <c r="LFD122" s="199"/>
      <c r="LFE122" s="198"/>
      <c r="LFF122" s="199"/>
      <c r="LFG122" s="198"/>
      <c r="LFH122" s="199"/>
      <c r="LFI122" s="198"/>
      <c r="LFJ122" s="199"/>
      <c r="LFK122" s="198"/>
      <c r="LFL122" s="199"/>
      <c r="LFM122" s="198"/>
      <c r="LFN122" s="199"/>
      <c r="LFO122" s="198"/>
      <c r="LFP122" s="199"/>
      <c r="LFQ122" s="198"/>
      <c r="LFR122" s="199"/>
      <c r="LFS122" s="198"/>
      <c r="LFT122" s="199"/>
      <c r="LFU122" s="198"/>
      <c r="LFV122" s="199"/>
      <c r="LFW122" s="198"/>
      <c r="LFX122" s="199"/>
      <c r="LFY122" s="198"/>
      <c r="LFZ122" s="199"/>
      <c r="LGA122" s="198"/>
      <c r="LGB122" s="199"/>
      <c r="LGC122" s="198"/>
      <c r="LGD122" s="199"/>
      <c r="LGE122" s="198"/>
      <c r="LGF122" s="199"/>
      <c r="LGG122" s="198"/>
      <c r="LGH122" s="199"/>
      <c r="LGI122" s="198"/>
      <c r="LGJ122" s="199"/>
      <c r="LGK122" s="198"/>
      <c r="LGL122" s="199"/>
      <c r="LGM122" s="198"/>
      <c r="LGN122" s="199"/>
      <c r="LGO122" s="198"/>
      <c r="LGP122" s="199"/>
      <c r="LGQ122" s="198"/>
      <c r="LGR122" s="199"/>
      <c r="LGS122" s="198"/>
      <c r="LGT122" s="199"/>
      <c r="LGU122" s="198"/>
      <c r="LGV122" s="199"/>
      <c r="LGW122" s="198"/>
      <c r="LGX122" s="199"/>
      <c r="LGY122" s="198"/>
      <c r="LGZ122" s="199"/>
      <c r="LHA122" s="198"/>
      <c r="LHB122" s="199"/>
      <c r="LHC122" s="198"/>
      <c r="LHD122" s="199"/>
      <c r="LHE122" s="198"/>
      <c r="LHF122" s="199"/>
      <c r="LHG122" s="198"/>
      <c r="LHH122" s="199"/>
      <c r="LHI122" s="198"/>
      <c r="LHJ122" s="199"/>
      <c r="LHK122" s="198"/>
      <c r="LHL122" s="199"/>
      <c r="LHM122" s="198"/>
      <c r="LHN122" s="199"/>
      <c r="LHO122" s="198"/>
      <c r="LHP122" s="199"/>
      <c r="LHQ122" s="198"/>
      <c r="LHR122" s="199"/>
      <c r="LHS122" s="198"/>
      <c r="LHT122" s="199"/>
      <c r="LHU122" s="198"/>
      <c r="LHV122" s="199"/>
      <c r="LHW122" s="198"/>
      <c r="LHX122" s="199"/>
      <c r="LHY122" s="198"/>
      <c r="LHZ122" s="199"/>
      <c r="LIA122" s="198"/>
      <c r="LIB122" s="199"/>
      <c r="LIC122" s="198"/>
      <c r="LID122" s="199"/>
      <c r="LIE122" s="198"/>
      <c r="LIF122" s="199"/>
      <c r="LIG122" s="198"/>
      <c r="LIH122" s="199"/>
      <c r="LII122" s="198"/>
      <c r="LIJ122" s="199"/>
      <c r="LIK122" s="198"/>
      <c r="LIL122" s="199"/>
      <c r="LIM122" s="198"/>
      <c r="LIN122" s="199"/>
      <c r="LIO122" s="198"/>
      <c r="LIP122" s="199"/>
      <c r="LIQ122" s="198"/>
      <c r="LIR122" s="199"/>
      <c r="LIS122" s="198"/>
      <c r="LIT122" s="199"/>
      <c r="LIU122" s="198"/>
      <c r="LIV122" s="199"/>
      <c r="LIW122" s="198"/>
      <c r="LIX122" s="199"/>
      <c r="LIY122" s="198"/>
      <c r="LIZ122" s="199"/>
      <c r="LJA122" s="198"/>
      <c r="LJB122" s="199"/>
      <c r="LJC122" s="198"/>
      <c r="LJD122" s="199"/>
      <c r="LJE122" s="198"/>
      <c r="LJF122" s="199"/>
      <c r="LJG122" s="198"/>
      <c r="LJH122" s="199"/>
      <c r="LJI122" s="198"/>
      <c r="LJJ122" s="199"/>
      <c r="LJK122" s="198"/>
      <c r="LJL122" s="199"/>
      <c r="LJM122" s="198"/>
      <c r="LJN122" s="199"/>
      <c r="LJO122" s="198"/>
      <c r="LJP122" s="199"/>
      <c r="LJQ122" s="198"/>
      <c r="LJR122" s="199"/>
      <c r="LJS122" s="198"/>
      <c r="LJT122" s="199"/>
      <c r="LJU122" s="198"/>
      <c r="LJV122" s="199"/>
      <c r="LJW122" s="198"/>
      <c r="LJX122" s="199"/>
      <c r="LJY122" s="198"/>
      <c r="LJZ122" s="199"/>
      <c r="LKA122" s="198"/>
      <c r="LKB122" s="199"/>
      <c r="LKC122" s="198"/>
      <c r="LKD122" s="199"/>
      <c r="LKE122" s="198"/>
      <c r="LKF122" s="199"/>
      <c r="LKG122" s="198"/>
      <c r="LKH122" s="199"/>
      <c r="LKI122" s="198"/>
      <c r="LKJ122" s="199"/>
      <c r="LKK122" s="198"/>
      <c r="LKL122" s="199"/>
      <c r="LKM122" s="198"/>
      <c r="LKN122" s="199"/>
      <c r="LKO122" s="198"/>
      <c r="LKP122" s="199"/>
      <c r="LKQ122" s="198"/>
      <c r="LKR122" s="199"/>
      <c r="LKS122" s="198"/>
      <c r="LKT122" s="199"/>
      <c r="LKU122" s="198"/>
      <c r="LKV122" s="199"/>
      <c r="LKW122" s="198"/>
      <c r="LKX122" s="199"/>
      <c r="LKY122" s="198"/>
      <c r="LKZ122" s="199"/>
      <c r="LLA122" s="198"/>
      <c r="LLB122" s="199"/>
      <c r="LLC122" s="198"/>
      <c r="LLD122" s="199"/>
      <c r="LLE122" s="198"/>
      <c r="LLF122" s="199"/>
      <c r="LLG122" s="198"/>
      <c r="LLH122" s="199"/>
      <c r="LLI122" s="198"/>
      <c r="LLJ122" s="199"/>
      <c r="LLK122" s="198"/>
      <c r="LLL122" s="199"/>
      <c r="LLM122" s="198"/>
      <c r="LLN122" s="199"/>
      <c r="LLO122" s="198"/>
      <c r="LLP122" s="199"/>
      <c r="LLQ122" s="198"/>
      <c r="LLR122" s="199"/>
      <c r="LLS122" s="198"/>
      <c r="LLT122" s="199"/>
      <c r="LLU122" s="198"/>
      <c r="LLV122" s="199"/>
      <c r="LLW122" s="198"/>
      <c r="LLX122" s="199"/>
      <c r="LLY122" s="198"/>
      <c r="LLZ122" s="199"/>
      <c r="LMA122" s="198"/>
      <c r="LMB122" s="199"/>
      <c r="LMC122" s="198"/>
      <c r="LMD122" s="199"/>
      <c r="LME122" s="198"/>
      <c r="LMF122" s="199"/>
      <c r="LMG122" s="198"/>
      <c r="LMH122" s="199"/>
      <c r="LMI122" s="198"/>
      <c r="LMJ122" s="199"/>
      <c r="LMK122" s="198"/>
      <c r="LML122" s="199"/>
      <c r="LMM122" s="198"/>
      <c r="LMN122" s="199"/>
      <c r="LMO122" s="198"/>
      <c r="LMP122" s="199"/>
      <c r="LMQ122" s="198"/>
      <c r="LMR122" s="199"/>
      <c r="LMS122" s="198"/>
      <c r="LMT122" s="199"/>
      <c r="LMU122" s="198"/>
      <c r="LMV122" s="199"/>
      <c r="LMW122" s="198"/>
      <c r="LMX122" s="199"/>
      <c r="LMY122" s="198"/>
      <c r="LMZ122" s="199"/>
      <c r="LNA122" s="198"/>
      <c r="LNB122" s="199"/>
      <c r="LNC122" s="198"/>
      <c r="LND122" s="199"/>
      <c r="LNE122" s="198"/>
      <c r="LNF122" s="199"/>
      <c r="LNG122" s="198"/>
      <c r="LNH122" s="199"/>
      <c r="LNI122" s="198"/>
      <c r="LNJ122" s="199"/>
      <c r="LNK122" s="198"/>
      <c r="LNL122" s="199"/>
      <c r="LNM122" s="198"/>
      <c r="LNN122" s="199"/>
      <c r="LNO122" s="198"/>
      <c r="LNP122" s="199"/>
      <c r="LNQ122" s="198"/>
      <c r="LNR122" s="199"/>
      <c r="LNS122" s="198"/>
      <c r="LNT122" s="199"/>
      <c r="LNU122" s="198"/>
      <c r="LNV122" s="199"/>
      <c r="LNW122" s="198"/>
      <c r="LNX122" s="199"/>
      <c r="LNY122" s="198"/>
      <c r="LNZ122" s="199"/>
      <c r="LOA122" s="198"/>
      <c r="LOB122" s="199"/>
      <c r="LOC122" s="198"/>
      <c r="LOD122" s="199"/>
      <c r="LOE122" s="198"/>
      <c r="LOF122" s="199"/>
      <c r="LOG122" s="198"/>
      <c r="LOH122" s="199"/>
      <c r="LOI122" s="198"/>
      <c r="LOJ122" s="199"/>
      <c r="LOK122" s="198"/>
      <c r="LOL122" s="199"/>
      <c r="LOM122" s="198"/>
      <c r="LON122" s="199"/>
      <c r="LOO122" s="198"/>
      <c r="LOP122" s="199"/>
      <c r="LOQ122" s="198"/>
      <c r="LOR122" s="199"/>
      <c r="LOS122" s="198"/>
      <c r="LOT122" s="199"/>
      <c r="LOU122" s="198"/>
      <c r="LOV122" s="199"/>
      <c r="LOW122" s="198"/>
      <c r="LOX122" s="199"/>
      <c r="LOY122" s="198"/>
      <c r="LOZ122" s="199"/>
      <c r="LPA122" s="198"/>
      <c r="LPB122" s="199"/>
      <c r="LPC122" s="198"/>
      <c r="LPD122" s="199"/>
      <c r="LPE122" s="198"/>
      <c r="LPF122" s="199"/>
      <c r="LPG122" s="198"/>
      <c r="LPH122" s="199"/>
      <c r="LPI122" s="198"/>
      <c r="LPJ122" s="199"/>
      <c r="LPK122" s="198"/>
      <c r="LPL122" s="199"/>
      <c r="LPM122" s="198"/>
      <c r="LPN122" s="199"/>
      <c r="LPO122" s="198"/>
      <c r="LPP122" s="199"/>
      <c r="LPQ122" s="198"/>
      <c r="LPR122" s="199"/>
      <c r="LPS122" s="198"/>
      <c r="LPT122" s="199"/>
      <c r="LPU122" s="198"/>
      <c r="LPV122" s="199"/>
      <c r="LPW122" s="198"/>
      <c r="LPX122" s="199"/>
      <c r="LPY122" s="198"/>
      <c r="LPZ122" s="199"/>
      <c r="LQA122" s="198"/>
      <c r="LQB122" s="199"/>
      <c r="LQC122" s="198"/>
      <c r="LQD122" s="199"/>
      <c r="LQE122" s="198"/>
      <c r="LQF122" s="199"/>
      <c r="LQG122" s="198"/>
      <c r="LQH122" s="199"/>
      <c r="LQI122" s="198"/>
      <c r="LQJ122" s="199"/>
      <c r="LQK122" s="198"/>
      <c r="LQL122" s="199"/>
      <c r="LQM122" s="198"/>
      <c r="LQN122" s="199"/>
      <c r="LQO122" s="198"/>
      <c r="LQP122" s="199"/>
      <c r="LQQ122" s="198"/>
      <c r="LQR122" s="199"/>
      <c r="LQS122" s="198"/>
      <c r="LQT122" s="199"/>
      <c r="LQU122" s="198"/>
      <c r="LQV122" s="199"/>
      <c r="LQW122" s="198"/>
      <c r="LQX122" s="199"/>
      <c r="LQY122" s="198"/>
      <c r="LQZ122" s="199"/>
      <c r="LRA122" s="198"/>
      <c r="LRB122" s="199"/>
      <c r="LRC122" s="198"/>
      <c r="LRD122" s="199"/>
      <c r="LRE122" s="198"/>
      <c r="LRF122" s="199"/>
      <c r="LRG122" s="198"/>
      <c r="LRH122" s="199"/>
      <c r="LRI122" s="198"/>
      <c r="LRJ122" s="199"/>
      <c r="LRK122" s="198"/>
      <c r="LRL122" s="199"/>
      <c r="LRM122" s="198"/>
      <c r="LRN122" s="199"/>
      <c r="LRO122" s="198"/>
      <c r="LRP122" s="199"/>
      <c r="LRQ122" s="198"/>
      <c r="LRR122" s="199"/>
      <c r="LRS122" s="198"/>
      <c r="LRT122" s="199"/>
      <c r="LRU122" s="198"/>
      <c r="LRV122" s="199"/>
      <c r="LRW122" s="198"/>
      <c r="LRX122" s="199"/>
      <c r="LRY122" s="198"/>
      <c r="LRZ122" s="199"/>
      <c r="LSA122" s="198"/>
      <c r="LSB122" s="199"/>
      <c r="LSC122" s="198"/>
      <c r="LSD122" s="199"/>
      <c r="LSE122" s="198"/>
      <c r="LSF122" s="199"/>
      <c r="LSG122" s="198"/>
      <c r="LSH122" s="199"/>
      <c r="LSI122" s="198"/>
      <c r="LSJ122" s="199"/>
      <c r="LSK122" s="198"/>
      <c r="LSL122" s="199"/>
      <c r="LSM122" s="198"/>
      <c r="LSN122" s="199"/>
      <c r="LSO122" s="198"/>
      <c r="LSP122" s="199"/>
      <c r="LSQ122" s="198"/>
      <c r="LSR122" s="199"/>
      <c r="LSS122" s="198"/>
      <c r="LST122" s="199"/>
      <c r="LSU122" s="198"/>
      <c r="LSV122" s="199"/>
      <c r="LSW122" s="198"/>
      <c r="LSX122" s="199"/>
      <c r="LSY122" s="198"/>
      <c r="LSZ122" s="199"/>
      <c r="LTA122" s="198"/>
      <c r="LTB122" s="199"/>
      <c r="LTC122" s="198"/>
      <c r="LTD122" s="199"/>
      <c r="LTE122" s="198"/>
      <c r="LTF122" s="199"/>
      <c r="LTG122" s="198"/>
      <c r="LTH122" s="199"/>
      <c r="LTI122" s="198"/>
      <c r="LTJ122" s="199"/>
      <c r="LTK122" s="198"/>
      <c r="LTL122" s="199"/>
      <c r="LTM122" s="198"/>
      <c r="LTN122" s="199"/>
      <c r="LTO122" s="198"/>
      <c r="LTP122" s="199"/>
      <c r="LTQ122" s="198"/>
      <c r="LTR122" s="199"/>
      <c r="LTS122" s="198"/>
      <c r="LTT122" s="199"/>
      <c r="LTU122" s="198"/>
      <c r="LTV122" s="199"/>
      <c r="LTW122" s="198"/>
      <c r="LTX122" s="199"/>
      <c r="LTY122" s="198"/>
      <c r="LTZ122" s="199"/>
      <c r="LUA122" s="198"/>
      <c r="LUB122" s="199"/>
      <c r="LUC122" s="198"/>
      <c r="LUD122" s="199"/>
      <c r="LUE122" s="198"/>
      <c r="LUF122" s="199"/>
      <c r="LUG122" s="198"/>
      <c r="LUH122" s="199"/>
      <c r="LUI122" s="198"/>
      <c r="LUJ122" s="199"/>
      <c r="LUK122" s="198"/>
      <c r="LUL122" s="199"/>
      <c r="LUM122" s="198"/>
      <c r="LUN122" s="199"/>
      <c r="LUO122" s="198"/>
      <c r="LUP122" s="199"/>
      <c r="LUQ122" s="198"/>
      <c r="LUR122" s="199"/>
      <c r="LUS122" s="198"/>
      <c r="LUT122" s="199"/>
      <c r="LUU122" s="198"/>
      <c r="LUV122" s="199"/>
      <c r="LUW122" s="198"/>
      <c r="LUX122" s="199"/>
      <c r="LUY122" s="198"/>
      <c r="LUZ122" s="199"/>
      <c r="LVA122" s="198"/>
      <c r="LVB122" s="199"/>
      <c r="LVC122" s="198"/>
      <c r="LVD122" s="199"/>
      <c r="LVE122" s="198"/>
      <c r="LVF122" s="199"/>
      <c r="LVG122" s="198"/>
      <c r="LVH122" s="199"/>
      <c r="LVI122" s="198"/>
      <c r="LVJ122" s="199"/>
      <c r="LVK122" s="198"/>
      <c r="LVL122" s="199"/>
      <c r="LVM122" s="198"/>
      <c r="LVN122" s="199"/>
      <c r="LVO122" s="198"/>
      <c r="LVP122" s="199"/>
      <c r="LVQ122" s="198"/>
      <c r="LVR122" s="199"/>
      <c r="LVS122" s="198"/>
      <c r="LVT122" s="199"/>
      <c r="LVU122" s="198"/>
      <c r="LVV122" s="199"/>
      <c r="LVW122" s="198"/>
      <c r="LVX122" s="199"/>
      <c r="LVY122" s="198"/>
      <c r="LVZ122" s="199"/>
      <c r="LWA122" s="198"/>
      <c r="LWB122" s="199"/>
      <c r="LWC122" s="198"/>
      <c r="LWD122" s="199"/>
      <c r="LWE122" s="198"/>
      <c r="LWF122" s="199"/>
      <c r="LWG122" s="198"/>
      <c r="LWH122" s="199"/>
      <c r="LWI122" s="198"/>
      <c r="LWJ122" s="199"/>
      <c r="LWK122" s="198"/>
      <c r="LWL122" s="199"/>
      <c r="LWM122" s="198"/>
      <c r="LWN122" s="199"/>
      <c r="LWO122" s="198"/>
      <c r="LWP122" s="199"/>
      <c r="LWQ122" s="198"/>
      <c r="LWR122" s="199"/>
      <c r="LWS122" s="198"/>
      <c r="LWT122" s="199"/>
      <c r="LWU122" s="198"/>
      <c r="LWV122" s="199"/>
      <c r="LWW122" s="198"/>
      <c r="LWX122" s="199"/>
      <c r="LWY122" s="198"/>
      <c r="LWZ122" s="199"/>
      <c r="LXA122" s="198"/>
      <c r="LXB122" s="199"/>
      <c r="LXC122" s="198"/>
      <c r="LXD122" s="199"/>
      <c r="LXE122" s="198"/>
      <c r="LXF122" s="199"/>
      <c r="LXG122" s="198"/>
      <c r="LXH122" s="199"/>
      <c r="LXI122" s="198"/>
      <c r="LXJ122" s="199"/>
      <c r="LXK122" s="198"/>
      <c r="LXL122" s="199"/>
      <c r="LXM122" s="198"/>
      <c r="LXN122" s="199"/>
      <c r="LXO122" s="198"/>
      <c r="LXP122" s="199"/>
      <c r="LXQ122" s="198"/>
      <c r="LXR122" s="199"/>
      <c r="LXS122" s="198"/>
      <c r="LXT122" s="199"/>
      <c r="LXU122" s="198"/>
      <c r="LXV122" s="199"/>
      <c r="LXW122" s="198"/>
      <c r="LXX122" s="199"/>
      <c r="LXY122" s="198"/>
      <c r="LXZ122" s="199"/>
      <c r="LYA122" s="198"/>
      <c r="LYB122" s="199"/>
      <c r="LYC122" s="198"/>
      <c r="LYD122" s="199"/>
      <c r="LYE122" s="198"/>
      <c r="LYF122" s="199"/>
      <c r="LYG122" s="198"/>
      <c r="LYH122" s="199"/>
      <c r="LYI122" s="198"/>
      <c r="LYJ122" s="199"/>
      <c r="LYK122" s="198"/>
      <c r="LYL122" s="199"/>
      <c r="LYM122" s="198"/>
      <c r="LYN122" s="199"/>
      <c r="LYO122" s="198"/>
      <c r="LYP122" s="199"/>
      <c r="LYQ122" s="198"/>
      <c r="LYR122" s="199"/>
      <c r="LYS122" s="198"/>
      <c r="LYT122" s="199"/>
      <c r="LYU122" s="198"/>
      <c r="LYV122" s="199"/>
      <c r="LYW122" s="198"/>
      <c r="LYX122" s="199"/>
      <c r="LYY122" s="198"/>
      <c r="LYZ122" s="199"/>
      <c r="LZA122" s="198"/>
      <c r="LZB122" s="199"/>
      <c r="LZC122" s="198"/>
      <c r="LZD122" s="199"/>
      <c r="LZE122" s="198"/>
      <c r="LZF122" s="199"/>
      <c r="LZG122" s="198"/>
      <c r="LZH122" s="199"/>
      <c r="LZI122" s="198"/>
      <c r="LZJ122" s="199"/>
      <c r="LZK122" s="198"/>
      <c r="LZL122" s="199"/>
      <c r="LZM122" s="198"/>
      <c r="LZN122" s="199"/>
      <c r="LZO122" s="198"/>
      <c r="LZP122" s="199"/>
      <c r="LZQ122" s="198"/>
      <c r="LZR122" s="199"/>
      <c r="LZS122" s="198"/>
      <c r="LZT122" s="199"/>
      <c r="LZU122" s="198"/>
      <c r="LZV122" s="199"/>
      <c r="LZW122" s="198"/>
      <c r="LZX122" s="199"/>
      <c r="LZY122" s="198"/>
      <c r="LZZ122" s="199"/>
      <c r="MAA122" s="198"/>
      <c r="MAB122" s="199"/>
      <c r="MAC122" s="198"/>
      <c r="MAD122" s="199"/>
      <c r="MAE122" s="198"/>
      <c r="MAF122" s="199"/>
      <c r="MAG122" s="198"/>
      <c r="MAH122" s="199"/>
      <c r="MAI122" s="198"/>
      <c r="MAJ122" s="199"/>
      <c r="MAK122" s="198"/>
      <c r="MAL122" s="199"/>
      <c r="MAM122" s="198"/>
      <c r="MAN122" s="199"/>
      <c r="MAO122" s="198"/>
      <c r="MAP122" s="199"/>
      <c r="MAQ122" s="198"/>
      <c r="MAR122" s="199"/>
      <c r="MAS122" s="198"/>
      <c r="MAT122" s="199"/>
      <c r="MAU122" s="198"/>
      <c r="MAV122" s="199"/>
      <c r="MAW122" s="198"/>
      <c r="MAX122" s="199"/>
      <c r="MAY122" s="198"/>
      <c r="MAZ122" s="199"/>
      <c r="MBA122" s="198"/>
      <c r="MBB122" s="199"/>
      <c r="MBC122" s="198"/>
      <c r="MBD122" s="199"/>
      <c r="MBE122" s="198"/>
      <c r="MBF122" s="199"/>
      <c r="MBG122" s="198"/>
      <c r="MBH122" s="199"/>
      <c r="MBI122" s="198"/>
      <c r="MBJ122" s="199"/>
      <c r="MBK122" s="198"/>
      <c r="MBL122" s="199"/>
      <c r="MBM122" s="198"/>
      <c r="MBN122" s="199"/>
      <c r="MBO122" s="198"/>
      <c r="MBP122" s="199"/>
      <c r="MBQ122" s="198"/>
      <c r="MBR122" s="199"/>
      <c r="MBS122" s="198"/>
      <c r="MBT122" s="199"/>
      <c r="MBU122" s="198"/>
      <c r="MBV122" s="199"/>
      <c r="MBW122" s="198"/>
      <c r="MBX122" s="199"/>
      <c r="MBY122" s="198"/>
      <c r="MBZ122" s="199"/>
      <c r="MCA122" s="198"/>
      <c r="MCB122" s="199"/>
      <c r="MCC122" s="198"/>
      <c r="MCD122" s="199"/>
      <c r="MCE122" s="198"/>
      <c r="MCF122" s="199"/>
      <c r="MCG122" s="198"/>
      <c r="MCH122" s="199"/>
      <c r="MCI122" s="198"/>
      <c r="MCJ122" s="199"/>
      <c r="MCK122" s="198"/>
      <c r="MCL122" s="199"/>
      <c r="MCM122" s="198"/>
      <c r="MCN122" s="199"/>
      <c r="MCO122" s="198"/>
      <c r="MCP122" s="199"/>
      <c r="MCQ122" s="198"/>
      <c r="MCR122" s="199"/>
      <c r="MCS122" s="198"/>
      <c r="MCT122" s="199"/>
      <c r="MCU122" s="198"/>
      <c r="MCV122" s="199"/>
      <c r="MCW122" s="198"/>
      <c r="MCX122" s="199"/>
      <c r="MCY122" s="198"/>
      <c r="MCZ122" s="199"/>
      <c r="MDA122" s="198"/>
      <c r="MDB122" s="199"/>
      <c r="MDC122" s="198"/>
      <c r="MDD122" s="199"/>
      <c r="MDE122" s="198"/>
      <c r="MDF122" s="199"/>
      <c r="MDG122" s="198"/>
      <c r="MDH122" s="199"/>
      <c r="MDI122" s="198"/>
      <c r="MDJ122" s="199"/>
      <c r="MDK122" s="198"/>
      <c r="MDL122" s="199"/>
      <c r="MDM122" s="198"/>
      <c r="MDN122" s="199"/>
      <c r="MDO122" s="198"/>
      <c r="MDP122" s="199"/>
      <c r="MDQ122" s="198"/>
      <c r="MDR122" s="199"/>
      <c r="MDS122" s="198"/>
      <c r="MDT122" s="199"/>
      <c r="MDU122" s="198"/>
      <c r="MDV122" s="199"/>
      <c r="MDW122" s="198"/>
      <c r="MDX122" s="199"/>
      <c r="MDY122" s="198"/>
      <c r="MDZ122" s="199"/>
      <c r="MEA122" s="198"/>
      <c r="MEB122" s="199"/>
      <c r="MEC122" s="198"/>
      <c r="MED122" s="199"/>
      <c r="MEE122" s="198"/>
      <c r="MEF122" s="199"/>
      <c r="MEG122" s="198"/>
      <c r="MEH122" s="199"/>
      <c r="MEI122" s="198"/>
      <c r="MEJ122" s="199"/>
      <c r="MEK122" s="198"/>
      <c r="MEL122" s="199"/>
      <c r="MEM122" s="198"/>
      <c r="MEN122" s="199"/>
      <c r="MEO122" s="198"/>
      <c r="MEP122" s="199"/>
      <c r="MEQ122" s="198"/>
      <c r="MER122" s="199"/>
      <c r="MES122" s="198"/>
      <c r="MET122" s="199"/>
      <c r="MEU122" s="198"/>
      <c r="MEV122" s="199"/>
      <c r="MEW122" s="198"/>
      <c r="MEX122" s="199"/>
      <c r="MEY122" s="198"/>
      <c r="MEZ122" s="199"/>
      <c r="MFA122" s="198"/>
      <c r="MFB122" s="199"/>
      <c r="MFC122" s="198"/>
      <c r="MFD122" s="199"/>
      <c r="MFE122" s="198"/>
      <c r="MFF122" s="199"/>
      <c r="MFG122" s="198"/>
      <c r="MFH122" s="199"/>
      <c r="MFI122" s="198"/>
      <c r="MFJ122" s="199"/>
      <c r="MFK122" s="198"/>
      <c r="MFL122" s="199"/>
      <c r="MFM122" s="198"/>
      <c r="MFN122" s="199"/>
      <c r="MFO122" s="198"/>
      <c r="MFP122" s="199"/>
      <c r="MFQ122" s="198"/>
      <c r="MFR122" s="199"/>
      <c r="MFS122" s="198"/>
      <c r="MFT122" s="199"/>
      <c r="MFU122" s="198"/>
      <c r="MFV122" s="199"/>
      <c r="MFW122" s="198"/>
      <c r="MFX122" s="199"/>
      <c r="MFY122" s="198"/>
      <c r="MFZ122" s="199"/>
      <c r="MGA122" s="198"/>
      <c r="MGB122" s="199"/>
      <c r="MGC122" s="198"/>
      <c r="MGD122" s="199"/>
      <c r="MGE122" s="198"/>
      <c r="MGF122" s="199"/>
      <c r="MGG122" s="198"/>
      <c r="MGH122" s="199"/>
      <c r="MGI122" s="198"/>
      <c r="MGJ122" s="199"/>
      <c r="MGK122" s="198"/>
      <c r="MGL122" s="199"/>
      <c r="MGM122" s="198"/>
      <c r="MGN122" s="199"/>
      <c r="MGO122" s="198"/>
      <c r="MGP122" s="199"/>
      <c r="MGQ122" s="198"/>
      <c r="MGR122" s="199"/>
      <c r="MGS122" s="198"/>
      <c r="MGT122" s="199"/>
      <c r="MGU122" s="198"/>
      <c r="MGV122" s="199"/>
      <c r="MGW122" s="198"/>
      <c r="MGX122" s="199"/>
      <c r="MGY122" s="198"/>
      <c r="MGZ122" s="199"/>
      <c r="MHA122" s="198"/>
      <c r="MHB122" s="199"/>
      <c r="MHC122" s="198"/>
      <c r="MHD122" s="199"/>
      <c r="MHE122" s="198"/>
      <c r="MHF122" s="199"/>
      <c r="MHG122" s="198"/>
      <c r="MHH122" s="199"/>
      <c r="MHI122" s="198"/>
      <c r="MHJ122" s="199"/>
      <c r="MHK122" s="198"/>
      <c r="MHL122" s="199"/>
      <c r="MHM122" s="198"/>
      <c r="MHN122" s="199"/>
      <c r="MHO122" s="198"/>
      <c r="MHP122" s="199"/>
      <c r="MHQ122" s="198"/>
      <c r="MHR122" s="199"/>
      <c r="MHS122" s="198"/>
      <c r="MHT122" s="199"/>
      <c r="MHU122" s="198"/>
      <c r="MHV122" s="199"/>
      <c r="MHW122" s="198"/>
      <c r="MHX122" s="199"/>
      <c r="MHY122" s="198"/>
      <c r="MHZ122" s="199"/>
      <c r="MIA122" s="198"/>
      <c r="MIB122" s="199"/>
      <c r="MIC122" s="198"/>
      <c r="MID122" s="199"/>
      <c r="MIE122" s="198"/>
      <c r="MIF122" s="199"/>
      <c r="MIG122" s="198"/>
      <c r="MIH122" s="199"/>
      <c r="MII122" s="198"/>
      <c r="MIJ122" s="199"/>
      <c r="MIK122" s="198"/>
      <c r="MIL122" s="199"/>
      <c r="MIM122" s="198"/>
      <c r="MIN122" s="199"/>
      <c r="MIO122" s="198"/>
      <c r="MIP122" s="199"/>
      <c r="MIQ122" s="198"/>
      <c r="MIR122" s="199"/>
      <c r="MIS122" s="198"/>
      <c r="MIT122" s="199"/>
      <c r="MIU122" s="198"/>
      <c r="MIV122" s="199"/>
      <c r="MIW122" s="198"/>
      <c r="MIX122" s="199"/>
      <c r="MIY122" s="198"/>
      <c r="MIZ122" s="199"/>
      <c r="MJA122" s="198"/>
      <c r="MJB122" s="199"/>
      <c r="MJC122" s="198"/>
      <c r="MJD122" s="199"/>
      <c r="MJE122" s="198"/>
      <c r="MJF122" s="199"/>
      <c r="MJG122" s="198"/>
      <c r="MJH122" s="199"/>
      <c r="MJI122" s="198"/>
      <c r="MJJ122" s="199"/>
      <c r="MJK122" s="198"/>
      <c r="MJL122" s="199"/>
      <c r="MJM122" s="198"/>
      <c r="MJN122" s="199"/>
      <c r="MJO122" s="198"/>
      <c r="MJP122" s="199"/>
      <c r="MJQ122" s="198"/>
      <c r="MJR122" s="199"/>
      <c r="MJS122" s="198"/>
      <c r="MJT122" s="199"/>
      <c r="MJU122" s="198"/>
      <c r="MJV122" s="199"/>
      <c r="MJW122" s="198"/>
      <c r="MJX122" s="199"/>
      <c r="MJY122" s="198"/>
      <c r="MJZ122" s="199"/>
      <c r="MKA122" s="198"/>
      <c r="MKB122" s="199"/>
      <c r="MKC122" s="198"/>
      <c r="MKD122" s="199"/>
      <c r="MKE122" s="198"/>
      <c r="MKF122" s="199"/>
      <c r="MKG122" s="198"/>
      <c r="MKH122" s="199"/>
      <c r="MKI122" s="198"/>
      <c r="MKJ122" s="199"/>
      <c r="MKK122" s="198"/>
      <c r="MKL122" s="199"/>
      <c r="MKM122" s="198"/>
      <c r="MKN122" s="199"/>
      <c r="MKO122" s="198"/>
      <c r="MKP122" s="199"/>
      <c r="MKQ122" s="198"/>
      <c r="MKR122" s="199"/>
      <c r="MKS122" s="198"/>
      <c r="MKT122" s="199"/>
      <c r="MKU122" s="198"/>
      <c r="MKV122" s="199"/>
      <c r="MKW122" s="198"/>
      <c r="MKX122" s="199"/>
      <c r="MKY122" s="198"/>
      <c r="MKZ122" s="199"/>
      <c r="MLA122" s="198"/>
      <c r="MLB122" s="199"/>
      <c r="MLC122" s="198"/>
      <c r="MLD122" s="199"/>
      <c r="MLE122" s="198"/>
      <c r="MLF122" s="199"/>
      <c r="MLG122" s="198"/>
      <c r="MLH122" s="199"/>
      <c r="MLI122" s="198"/>
      <c r="MLJ122" s="199"/>
      <c r="MLK122" s="198"/>
      <c r="MLL122" s="199"/>
      <c r="MLM122" s="198"/>
      <c r="MLN122" s="199"/>
      <c r="MLO122" s="198"/>
      <c r="MLP122" s="199"/>
      <c r="MLQ122" s="198"/>
      <c r="MLR122" s="199"/>
      <c r="MLS122" s="198"/>
      <c r="MLT122" s="199"/>
      <c r="MLU122" s="198"/>
      <c r="MLV122" s="199"/>
      <c r="MLW122" s="198"/>
      <c r="MLX122" s="199"/>
      <c r="MLY122" s="198"/>
      <c r="MLZ122" s="199"/>
      <c r="MMA122" s="198"/>
      <c r="MMB122" s="199"/>
      <c r="MMC122" s="198"/>
      <c r="MMD122" s="199"/>
      <c r="MME122" s="198"/>
      <c r="MMF122" s="199"/>
      <c r="MMG122" s="198"/>
      <c r="MMH122" s="199"/>
      <c r="MMI122" s="198"/>
      <c r="MMJ122" s="199"/>
      <c r="MMK122" s="198"/>
      <c r="MML122" s="199"/>
      <c r="MMM122" s="198"/>
      <c r="MMN122" s="199"/>
      <c r="MMO122" s="198"/>
      <c r="MMP122" s="199"/>
      <c r="MMQ122" s="198"/>
      <c r="MMR122" s="199"/>
      <c r="MMS122" s="198"/>
      <c r="MMT122" s="199"/>
      <c r="MMU122" s="198"/>
      <c r="MMV122" s="199"/>
      <c r="MMW122" s="198"/>
      <c r="MMX122" s="199"/>
      <c r="MMY122" s="198"/>
      <c r="MMZ122" s="199"/>
      <c r="MNA122" s="198"/>
      <c r="MNB122" s="199"/>
      <c r="MNC122" s="198"/>
      <c r="MND122" s="199"/>
      <c r="MNE122" s="198"/>
      <c r="MNF122" s="199"/>
      <c r="MNG122" s="198"/>
      <c r="MNH122" s="199"/>
      <c r="MNI122" s="198"/>
      <c r="MNJ122" s="199"/>
      <c r="MNK122" s="198"/>
      <c r="MNL122" s="199"/>
      <c r="MNM122" s="198"/>
      <c r="MNN122" s="199"/>
      <c r="MNO122" s="198"/>
      <c r="MNP122" s="199"/>
      <c r="MNQ122" s="198"/>
      <c r="MNR122" s="199"/>
      <c r="MNS122" s="198"/>
      <c r="MNT122" s="199"/>
      <c r="MNU122" s="198"/>
      <c r="MNV122" s="199"/>
      <c r="MNW122" s="198"/>
      <c r="MNX122" s="199"/>
      <c r="MNY122" s="198"/>
      <c r="MNZ122" s="199"/>
      <c r="MOA122" s="198"/>
      <c r="MOB122" s="199"/>
      <c r="MOC122" s="198"/>
      <c r="MOD122" s="199"/>
      <c r="MOE122" s="198"/>
      <c r="MOF122" s="199"/>
      <c r="MOG122" s="198"/>
      <c r="MOH122" s="199"/>
      <c r="MOI122" s="198"/>
      <c r="MOJ122" s="199"/>
      <c r="MOK122" s="198"/>
      <c r="MOL122" s="199"/>
      <c r="MOM122" s="198"/>
      <c r="MON122" s="199"/>
      <c r="MOO122" s="198"/>
      <c r="MOP122" s="199"/>
      <c r="MOQ122" s="198"/>
      <c r="MOR122" s="199"/>
      <c r="MOS122" s="198"/>
      <c r="MOT122" s="199"/>
      <c r="MOU122" s="198"/>
      <c r="MOV122" s="199"/>
      <c r="MOW122" s="198"/>
      <c r="MOX122" s="199"/>
      <c r="MOY122" s="198"/>
      <c r="MOZ122" s="199"/>
      <c r="MPA122" s="198"/>
      <c r="MPB122" s="199"/>
      <c r="MPC122" s="198"/>
      <c r="MPD122" s="199"/>
      <c r="MPE122" s="198"/>
      <c r="MPF122" s="199"/>
      <c r="MPG122" s="198"/>
      <c r="MPH122" s="199"/>
      <c r="MPI122" s="198"/>
      <c r="MPJ122" s="199"/>
      <c r="MPK122" s="198"/>
      <c r="MPL122" s="199"/>
      <c r="MPM122" s="198"/>
      <c r="MPN122" s="199"/>
      <c r="MPO122" s="198"/>
      <c r="MPP122" s="199"/>
      <c r="MPQ122" s="198"/>
      <c r="MPR122" s="199"/>
      <c r="MPS122" s="198"/>
      <c r="MPT122" s="199"/>
      <c r="MPU122" s="198"/>
      <c r="MPV122" s="199"/>
      <c r="MPW122" s="198"/>
      <c r="MPX122" s="199"/>
      <c r="MPY122" s="198"/>
      <c r="MPZ122" s="199"/>
      <c r="MQA122" s="198"/>
      <c r="MQB122" s="199"/>
      <c r="MQC122" s="198"/>
      <c r="MQD122" s="199"/>
      <c r="MQE122" s="198"/>
      <c r="MQF122" s="199"/>
      <c r="MQG122" s="198"/>
      <c r="MQH122" s="199"/>
      <c r="MQI122" s="198"/>
      <c r="MQJ122" s="199"/>
      <c r="MQK122" s="198"/>
      <c r="MQL122" s="199"/>
      <c r="MQM122" s="198"/>
      <c r="MQN122" s="199"/>
      <c r="MQO122" s="198"/>
      <c r="MQP122" s="199"/>
      <c r="MQQ122" s="198"/>
      <c r="MQR122" s="199"/>
      <c r="MQS122" s="198"/>
      <c r="MQT122" s="199"/>
      <c r="MQU122" s="198"/>
      <c r="MQV122" s="199"/>
      <c r="MQW122" s="198"/>
      <c r="MQX122" s="199"/>
      <c r="MQY122" s="198"/>
      <c r="MQZ122" s="199"/>
      <c r="MRA122" s="198"/>
      <c r="MRB122" s="199"/>
      <c r="MRC122" s="198"/>
      <c r="MRD122" s="199"/>
      <c r="MRE122" s="198"/>
      <c r="MRF122" s="199"/>
      <c r="MRG122" s="198"/>
      <c r="MRH122" s="199"/>
      <c r="MRI122" s="198"/>
      <c r="MRJ122" s="199"/>
      <c r="MRK122" s="198"/>
      <c r="MRL122" s="199"/>
      <c r="MRM122" s="198"/>
      <c r="MRN122" s="199"/>
      <c r="MRO122" s="198"/>
      <c r="MRP122" s="199"/>
      <c r="MRQ122" s="198"/>
      <c r="MRR122" s="199"/>
      <c r="MRS122" s="198"/>
      <c r="MRT122" s="199"/>
      <c r="MRU122" s="198"/>
      <c r="MRV122" s="199"/>
      <c r="MRW122" s="198"/>
      <c r="MRX122" s="199"/>
      <c r="MRY122" s="198"/>
      <c r="MRZ122" s="199"/>
      <c r="MSA122" s="198"/>
      <c r="MSB122" s="199"/>
      <c r="MSC122" s="198"/>
      <c r="MSD122" s="199"/>
      <c r="MSE122" s="198"/>
      <c r="MSF122" s="199"/>
      <c r="MSG122" s="198"/>
      <c r="MSH122" s="199"/>
      <c r="MSI122" s="198"/>
      <c r="MSJ122" s="199"/>
      <c r="MSK122" s="198"/>
      <c r="MSL122" s="199"/>
      <c r="MSM122" s="198"/>
      <c r="MSN122" s="199"/>
      <c r="MSO122" s="198"/>
      <c r="MSP122" s="199"/>
      <c r="MSQ122" s="198"/>
      <c r="MSR122" s="199"/>
      <c r="MSS122" s="198"/>
      <c r="MST122" s="199"/>
      <c r="MSU122" s="198"/>
      <c r="MSV122" s="199"/>
      <c r="MSW122" s="198"/>
      <c r="MSX122" s="199"/>
      <c r="MSY122" s="198"/>
      <c r="MSZ122" s="199"/>
      <c r="MTA122" s="198"/>
      <c r="MTB122" s="199"/>
      <c r="MTC122" s="198"/>
      <c r="MTD122" s="199"/>
      <c r="MTE122" s="198"/>
      <c r="MTF122" s="199"/>
      <c r="MTG122" s="198"/>
      <c r="MTH122" s="199"/>
      <c r="MTI122" s="198"/>
      <c r="MTJ122" s="199"/>
      <c r="MTK122" s="198"/>
      <c r="MTL122" s="199"/>
      <c r="MTM122" s="198"/>
      <c r="MTN122" s="199"/>
      <c r="MTO122" s="198"/>
      <c r="MTP122" s="199"/>
      <c r="MTQ122" s="198"/>
      <c r="MTR122" s="199"/>
      <c r="MTS122" s="198"/>
      <c r="MTT122" s="199"/>
      <c r="MTU122" s="198"/>
      <c r="MTV122" s="199"/>
      <c r="MTW122" s="198"/>
      <c r="MTX122" s="199"/>
      <c r="MTY122" s="198"/>
      <c r="MTZ122" s="199"/>
      <c r="MUA122" s="198"/>
      <c r="MUB122" s="199"/>
      <c r="MUC122" s="198"/>
      <c r="MUD122" s="199"/>
      <c r="MUE122" s="198"/>
      <c r="MUF122" s="199"/>
      <c r="MUG122" s="198"/>
      <c r="MUH122" s="199"/>
      <c r="MUI122" s="198"/>
      <c r="MUJ122" s="199"/>
      <c r="MUK122" s="198"/>
      <c r="MUL122" s="199"/>
      <c r="MUM122" s="198"/>
      <c r="MUN122" s="199"/>
      <c r="MUO122" s="198"/>
      <c r="MUP122" s="199"/>
      <c r="MUQ122" s="198"/>
      <c r="MUR122" s="199"/>
      <c r="MUS122" s="198"/>
      <c r="MUT122" s="199"/>
      <c r="MUU122" s="198"/>
      <c r="MUV122" s="199"/>
      <c r="MUW122" s="198"/>
      <c r="MUX122" s="199"/>
      <c r="MUY122" s="198"/>
      <c r="MUZ122" s="199"/>
      <c r="MVA122" s="198"/>
      <c r="MVB122" s="199"/>
      <c r="MVC122" s="198"/>
      <c r="MVD122" s="199"/>
      <c r="MVE122" s="198"/>
      <c r="MVF122" s="199"/>
      <c r="MVG122" s="198"/>
      <c r="MVH122" s="199"/>
      <c r="MVI122" s="198"/>
      <c r="MVJ122" s="199"/>
      <c r="MVK122" s="198"/>
      <c r="MVL122" s="199"/>
      <c r="MVM122" s="198"/>
      <c r="MVN122" s="199"/>
      <c r="MVO122" s="198"/>
      <c r="MVP122" s="199"/>
      <c r="MVQ122" s="198"/>
      <c r="MVR122" s="199"/>
      <c r="MVS122" s="198"/>
      <c r="MVT122" s="199"/>
      <c r="MVU122" s="198"/>
      <c r="MVV122" s="199"/>
      <c r="MVW122" s="198"/>
      <c r="MVX122" s="199"/>
      <c r="MVY122" s="198"/>
      <c r="MVZ122" s="199"/>
      <c r="MWA122" s="198"/>
      <c r="MWB122" s="199"/>
      <c r="MWC122" s="198"/>
      <c r="MWD122" s="199"/>
      <c r="MWE122" s="198"/>
      <c r="MWF122" s="199"/>
      <c r="MWG122" s="198"/>
      <c r="MWH122" s="199"/>
      <c r="MWI122" s="198"/>
      <c r="MWJ122" s="199"/>
      <c r="MWK122" s="198"/>
      <c r="MWL122" s="199"/>
      <c r="MWM122" s="198"/>
      <c r="MWN122" s="199"/>
      <c r="MWO122" s="198"/>
      <c r="MWP122" s="199"/>
      <c r="MWQ122" s="198"/>
      <c r="MWR122" s="199"/>
      <c r="MWS122" s="198"/>
      <c r="MWT122" s="199"/>
      <c r="MWU122" s="198"/>
      <c r="MWV122" s="199"/>
      <c r="MWW122" s="198"/>
      <c r="MWX122" s="199"/>
      <c r="MWY122" s="198"/>
      <c r="MWZ122" s="199"/>
      <c r="MXA122" s="198"/>
      <c r="MXB122" s="199"/>
      <c r="MXC122" s="198"/>
      <c r="MXD122" s="199"/>
      <c r="MXE122" s="198"/>
      <c r="MXF122" s="199"/>
      <c r="MXG122" s="198"/>
      <c r="MXH122" s="199"/>
      <c r="MXI122" s="198"/>
      <c r="MXJ122" s="199"/>
      <c r="MXK122" s="198"/>
      <c r="MXL122" s="199"/>
      <c r="MXM122" s="198"/>
      <c r="MXN122" s="199"/>
      <c r="MXO122" s="198"/>
      <c r="MXP122" s="199"/>
      <c r="MXQ122" s="198"/>
      <c r="MXR122" s="199"/>
      <c r="MXS122" s="198"/>
      <c r="MXT122" s="199"/>
      <c r="MXU122" s="198"/>
      <c r="MXV122" s="199"/>
      <c r="MXW122" s="198"/>
      <c r="MXX122" s="199"/>
      <c r="MXY122" s="198"/>
      <c r="MXZ122" s="199"/>
      <c r="MYA122" s="198"/>
      <c r="MYB122" s="199"/>
      <c r="MYC122" s="198"/>
      <c r="MYD122" s="199"/>
      <c r="MYE122" s="198"/>
      <c r="MYF122" s="199"/>
      <c r="MYG122" s="198"/>
      <c r="MYH122" s="199"/>
      <c r="MYI122" s="198"/>
      <c r="MYJ122" s="199"/>
      <c r="MYK122" s="198"/>
      <c r="MYL122" s="199"/>
      <c r="MYM122" s="198"/>
      <c r="MYN122" s="199"/>
      <c r="MYO122" s="198"/>
      <c r="MYP122" s="199"/>
      <c r="MYQ122" s="198"/>
      <c r="MYR122" s="199"/>
      <c r="MYS122" s="198"/>
      <c r="MYT122" s="199"/>
      <c r="MYU122" s="198"/>
      <c r="MYV122" s="199"/>
      <c r="MYW122" s="198"/>
      <c r="MYX122" s="199"/>
      <c r="MYY122" s="198"/>
      <c r="MYZ122" s="199"/>
      <c r="MZA122" s="198"/>
      <c r="MZB122" s="199"/>
      <c r="MZC122" s="198"/>
      <c r="MZD122" s="199"/>
      <c r="MZE122" s="198"/>
      <c r="MZF122" s="199"/>
      <c r="MZG122" s="198"/>
      <c r="MZH122" s="199"/>
      <c r="MZI122" s="198"/>
      <c r="MZJ122" s="199"/>
      <c r="MZK122" s="198"/>
      <c r="MZL122" s="199"/>
      <c r="MZM122" s="198"/>
      <c r="MZN122" s="199"/>
      <c r="MZO122" s="198"/>
      <c r="MZP122" s="199"/>
      <c r="MZQ122" s="198"/>
      <c r="MZR122" s="199"/>
      <c r="MZS122" s="198"/>
      <c r="MZT122" s="199"/>
      <c r="MZU122" s="198"/>
      <c r="MZV122" s="199"/>
      <c r="MZW122" s="198"/>
      <c r="MZX122" s="199"/>
      <c r="MZY122" s="198"/>
      <c r="MZZ122" s="199"/>
      <c r="NAA122" s="198"/>
      <c r="NAB122" s="199"/>
      <c r="NAC122" s="198"/>
      <c r="NAD122" s="199"/>
      <c r="NAE122" s="198"/>
      <c r="NAF122" s="199"/>
      <c r="NAG122" s="198"/>
      <c r="NAH122" s="199"/>
      <c r="NAI122" s="198"/>
      <c r="NAJ122" s="199"/>
      <c r="NAK122" s="198"/>
      <c r="NAL122" s="199"/>
      <c r="NAM122" s="198"/>
      <c r="NAN122" s="199"/>
      <c r="NAO122" s="198"/>
      <c r="NAP122" s="199"/>
      <c r="NAQ122" s="198"/>
      <c r="NAR122" s="199"/>
      <c r="NAS122" s="198"/>
      <c r="NAT122" s="199"/>
      <c r="NAU122" s="198"/>
      <c r="NAV122" s="199"/>
      <c r="NAW122" s="198"/>
      <c r="NAX122" s="199"/>
      <c r="NAY122" s="198"/>
      <c r="NAZ122" s="199"/>
      <c r="NBA122" s="198"/>
      <c r="NBB122" s="199"/>
      <c r="NBC122" s="198"/>
      <c r="NBD122" s="199"/>
      <c r="NBE122" s="198"/>
      <c r="NBF122" s="199"/>
      <c r="NBG122" s="198"/>
      <c r="NBH122" s="199"/>
      <c r="NBI122" s="198"/>
      <c r="NBJ122" s="199"/>
      <c r="NBK122" s="198"/>
      <c r="NBL122" s="199"/>
      <c r="NBM122" s="198"/>
      <c r="NBN122" s="199"/>
      <c r="NBO122" s="198"/>
      <c r="NBP122" s="199"/>
      <c r="NBQ122" s="198"/>
      <c r="NBR122" s="199"/>
      <c r="NBS122" s="198"/>
      <c r="NBT122" s="199"/>
      <c r="NBU122" s="198"/>
      <c r="NBV122" s="199"/>
      <c r="NBW122" s="198"/>
      <c r="NBX122" s="199"/>
      <c r="NBY122" s="198"/>
      <c r="NBZ122" s="199"/>
      <c r="NCA122" s="198"/>
      <c r="NCB122" s="199"/>
      <c r="NCC122" s="198"/>
      <c r="NCD122" s="199"/>
      <c r="NCE122" s="198"/>
      <c r="NCF122" s="199"/>
      <c r="NCG122" s="198"/>
      <c r="NCH122" s="199"/>
      <c r="NCI122" s="198"/>
      <c r="NCJ122" s="199"/>
      <c r="NCK122" s="198"/>
      <c r="NCL122" s="199"/>
      <c r="NCM122" s="198"/>
      <c r="NCN122" s="199"/>
      <c r="NCO122" s="198"/>
      <c r="NCP122" s="199"/>
      <c r="NCQ122" s="198"/>
      <c r="NCR122" s="199"/>
      <c r="NCS122" s="198"/>
      <c r="NCT122" s="199"/>
      <c r="NCU122" s="198"/>
      <c r="NCV122" s="199"/>
      <c r="NCW122" s="198"/>
      <c r="NCX122" s="199"/>
      <c r="NCY122" s="198"/>
      <c r="NCZ122" s="199"/>
      <c r="NDA122" s="198"/>
      <c r="NDB122" s="199"/>
      <c r="NDC122" s="198"/>
      <c r="NDD122" s="199"/>
      <c r="NDE122" s="198"/>
      <c r="NDF122" s="199"/>
      <c r="NDG122" s="198"/>
      <c r="NDH122" s="199"/>
      <c r="NDI122" s="198"/>
      <c r="NDJ122" s="199"/>
      <c r="NDK122" s="198"/>
      <c r="NDL122" s="199"/>
      <c r="NDM122" s="198"/>
      <c r="NDN122" s="199"/>
      <c r="NDO122" s="198"/>
      <c r="NDP122" s="199"/>
      <c r="NDQ122" s="198"/>
      <c r="NDR122" s="199"/>
      <c r="NDS122" s="198"/>
      <c r="NDT122" s="199"/>
      <c r="NDU122" s="198"/>
      <c r="NDV122" s="199"/>
      <c r="NDW122" s="198"/>
      <c r="NDX122" s="199"/>
      <c r="NDY122" s="198"/>
      <c r="NDZ122" s="199"/>
      <c r="NEA122" s="198"/>
      <c r="NEB122" s="199"/>
      <c r="NEC122" s="198"/>
      <c r="NED122" s="199"/>
      <c r="NEE122" s="198"/>
      <c r="NEF122" s="199"/>
      <c r="NEG122" s="198"/>
      <c r="NEH122" s="199"/>
      <c r="NEI122" s="198"/>
      <c r="NEJ122" s="199"/>
      <c r="NEK122" s="198"/>
      <c r="NEL122" s="199"/>
      <c r="NEM122" s="198"/>
      <c r="NEN122" s="199"/>
      <c r="NEO122" s="198"/>
      <c r="NEP122" s="199"/>
      <c r="NEQ122" s="198"/>
      <c r="NER122" s="199"/>
      <c r="NES122" s="198"/>
      <c r="NET122" s="199"/>
      <c r="NEU122" s="198"/>
      <c r="NEV122" s="199"/>
      <c r="NEW122" s="198"/>
      <c r="NEX122" s="199"/>
      <c r="NEY122" s="198"/>
      <c r="NEZ122" s="199"/>
      <c r="NFA122" s="198"/>
      <c r="NFB122" s="199"/>
      <c r="NFC122" s="198"/>
      <c r="NFD122" s="199"/>
      <c r="NFE122" s="198"/>
      <c r="NFF122" s="199"/>
      <c r="NFG122" s="198"/>
      <c r="NFH122" s="199"/>
      <c r="NFI122" s="198"/>
      <c r="NFJ122" s="199"/>
      <c r="NFK122" s="198"/>
      <c r="NFL122" s="199"/>
      <c r="NFM122" s="198"/>
      <c r="NFN122" s="199"/>
      <c r="NFO122" s="198"/>
      <c r="NFP122" s="199"/>
      <c r="NFQ122" s="198"/>
      <c r="NFR122" s="199"/>
      <c r="NFS122" s="198"/>
      <c r="NFT122" s="199"/>
      <c r="NFU122" s="198"/>
      <c r="NFV122" s="199"/>
      <c r="NFW122" s="198"/>
      <c r="NFX122" s="199"/>
      <c r="NFY122" s="198"/>
      <c r="NFZ122" s="199"/>
      <c r="NGA122" s="198"/>
      <c r="NGB122" s="199"/>
      <c r="NGC122" s="198"/>
      <c r="NGD122" s="199"/>
      <c r="NGE122" s="198"/>
      <c r="NGF122" s="199"/>
      <c r="NGG122" s="198"/>
      <c r="NGH122" s="199"/>
      <c r="NGI122" s="198"/>
      <c r="NGJ122" s="199"/>
      <c r="NGK122" s="198"/>
      <c r="NGL122" s="199"/>
      <c r="NGM122" s="198"/>
      <c r="NGN122" s="199"/>
      <c r="NGO122" s="198"/>
      <c r="NGP122" s="199"/>
      <c r="NGQ122" s="198"/>
      <c r="NGR122" s="199"/>
      <c r="NGS122" s="198"/>
      <c r="NGT122" s="199"/>
      <c r="NGU122" s="198"/>
      <c r="NGV122" s="199"/>
      <c r="NGW122" s="198"/>
      <c r="NGX122" s="199"/>
      <c r="NGY122" s="198"/>
      <c r="NGZ122" s="199"/>
      <c r="NHA122" s="198"/>
      <c r="NHB122" s="199"/>
      <c r="NHC122" s="198"/>
      <c r="NHD122" s="199"/>
      <c r="NHE122" s="198"/>
      <c r="NHF122" s="199"/>
      <c r="NHG122" s="198"/>
      <c r="NHH122" s="199"/>
      <c r="NHI122" s="198"/>
      <c r="NHJ122" s="199"/>
      <c r="NHK122" s="198"/>
      <c r="NHL122" s="199"/>
      <c r="NHM122" s="198"/>
      <c r="NHN122" s="199"/>
      <c r="NHO122" s="198"/>
      <c r="NHP122" s="199"/>
      <c r="NHQ122" s="198"/>
      <c r="NHR122" s="199"/>
      <c r="NHS122" s="198"/>
      <c r="NHT122" s="199"/>
      <c r="NHU122" s="198"/>
      <c r="NHV122" s="199"/>
      <c r="NHW122" s="198"/>
      <c r="NHX122" s="199"/>
      <c r="NHY122" s="198"/>
      <c r="NHZ122" s="199"/>
      <c r="NIA122" s="198"/>
      <c r="NIB122" s="199"/>
      <c r="NIC122" s="198"/>
      <c r="NID122" s="199"/>
      <c r="NIE122" s="198"/>
      <c r="NIF122" s="199"/>
      <c r="NIG122" s="198"/>
      <c r="NIH122" s="199"/>
      <c r="NII122" s="198"/>
      <c r="NIJ122" s="199"/>
      <c r="NIK122" s="198"/>
      <c r="NIL122" s="199"/>
      <c r="NIM122" s="198"/>
      <c r="NIN122" s="199"/>
      <c r="NIO122" s="198"/>
      <c r="NIP122" s="199"/>
      <c r="NIQ122" s="198"/>
      <c r="NIR122" s="199"/>
      <c r="NIS122" s="198"/>
      <c r="NIT122" s="199"/>
      <c r="NIU122" s="198"/>
      <c r="NIV122" s="199"/>
      <c r="NIW122" s="198"/>
      <c r="NIX122" s="199"/>
      <c r="NIY122" s="198"/>
      <c r="NIZ122" s="199"/>
      <c r="NJA122" s="198"/>
      <c r="NJB122" s="199"/>
      <c r="NJC122" s="198"/>
      <c r="NJD122" s="199"/>
      <c r="NJE122" s="198"/>
      <c r="NJF122" s="199"/>
      <c r="NJG122" s="198"/>
      <c r="NJH122" s="199"/>
      <c r="NJI122" s="198"/>
      <c r="NJJ122" s="199"/>
      <c r="NJK122" s="198"/>
      <c r="NJL122" s="199"/>
      <c r="NJM122" s="198"/>
      <c r="NJN122" s="199"/>
      <c r="NJO122" s="198"/>
      <c r="NJP122" s="199"/>
      <c r="NJQ122" s="198"/>
      <c r="NJR122" s="199"/>
      <c r="NJS122" s="198"/>
      <c r="NJT122" s="199"/>
      <c r="NJU122" s="198"/>
      <c r="NJV122" s="199"/>
      <c r="NJW122" s="198"/>
      <c r="NJX122" s="199"/>
      <c r="NJY122" s="198"/>
      <c r="NJZ122" s="199"/>
      <c r="NKA122" s="198"/>
      <c r="NKB122" s="199"/>
      <c r="NKC122" s="198"/>
      <c r="NKD122" s="199"/>
      <c r="NKE122" s="198"/>
      <c r="NKF122" s="199"/>
      <c r="NKG122" s="198"/>
      <c r="NKH122" s="199"/>
      <c r="NKI122" s="198"/>
      <c r="NKJ122" s="199"/>
      <c r="NKK122" s="198"/>
      <c r="NKL122" s="199"/>
      <c r="NKM122" s="198"/>
      <c r="NKN122" s="199"/>
      <c r="NKO122" s="198"/>
      <c r="NKP122" s="199"/>
      <c r="NKQ122" s="198"/>
      <c r="NKR122" s="199"/>
      <c r="NKS122" s="198"/>
      <c r="NKT122" s="199"/>
      <c r="NKU122" s="198"/>
      <c r="NKV122" s="199"/>
      <c r="NKW122" s="198"/>
      <c r="NKX122" s="199"/>
      <c r="NKY122" s="198"/>
      <c r="NKZ122" s="199"/>
      <c r="NLA122" s="198"/>
      <c r="NLB122" s="199"/>
      <c r="NLC122" s="198"/>
      <c r="NLD122" s="199"/>
      <c r="NLE122" s="198"/>
      <c r="NLF122" s="199"/>
      <c r="NLG122" s="198"/>
      <c r="NLH122" s="199"/>
      <c r="NLI122" s="198"/>
      <c r="NLJ122" s="199"/>
      <c r="NLK122" s="198"/>
      <c r="NLL122" s="199"/>
      <c r="NLM122" s="198"/>
      <c r="NLN122" s="199"/>
      <c r="NLO122" s="198"/>
      <c r="NLP122" s="199"/>
      <c r="NLQ122" s="198"/>
      <c r="NLR122" s="199"/>
      <c r="NLS122" s="198"/>
      <c r="NLT122" s="199"/>
      <c r="NLU122" s="198"/>
      <c r="NLV122" s="199"/>
      <c r="NLW122" s="198"/>
      <c r="NLX122" s="199"/>
      <c r="NLY122" s="198"/>
      <c r="NLZ122" s="199"/>
      <c r="NMA122" s="198"/>
      <c r="NMB122" s="199"/>
      <c r="NMC122" s="198"/>
      <c r="NMD122" s="199"/>
      <c r="NME122" s="198"/>
      <c r="NMF122" s="199"/>
      <c r="NMG122" s="198"/>
      <c r="NMH122" s="199"/>
      <c r="NMI122" s="198"/>
      <c r="NMJ122" s="199"/>
      <c r="NMK122" s="198"/>
      <c r="NML122" s="199"/>
      <c r="NMM122" s="198"/>
      <c r="NMN122" s="199"/>
      <c r="NMO122" s="198"/>
      <c r="NMP122" s="199"/>
      <c r="NMQ122" s="198"/>
      <c r="NMR122" s="199"/>
      <c r="NMS122" s="198"/>
      <c r="NMT122" s="199"/>
      <c r="NMU122" s="198"/>
      <c r="NMV122" s="199"/>
      <c r="NMW122" s="198"/>
      <c r="NMX122" s="199"/>
      <c r="NMY122" s="198"/>
      <c r="NMZ122" s="199"/>
      <c r="NNA122" s="198"/>
      <c r="NNB122" s="199"/>
      <c r="NNC122" s="198"/>
      <c r="NND122" s="199"/>
      <c r="NNE122" s="198"/>
      <c r="NNF122" s="199"/>
      <c r="NNG122" s="198"/>
      <c r="NNH122" s="199"/>
      <c r="NNI122" s="198"/>
      <c r="NNJ122" s="199"/>
      <c r="NNK122" s="198"/>
      <c r="NNL122" s="199"/>
      <c r="NNM122" s="198"/>
      <c r="NNN122" s="199"/>
      <c r="NNO122" s="198"/>
      <c r="NNP122" s="199"/>
      <c r="NNQ122" s="198"/>
      <c r="NNR122" s="199"/>
      <c r="NNS122" s="198"/>
      <c r="NNT122" s="199"/>
      <c r="NNU122" s="198"/>
      <c r="NNV122" s="199"/>
      <c r="NNW122" s="198"/>
      <c r="NNX122" s="199"/>
      <c r="NNY122" s="198"/>
      <c r="NNZ122" s="199"/>
      <c r="NOA122" s="198"/>
      <c r="NOB122" s="199"/>
      <c r="NOC122" s="198"/>
      <c r="NOD122" s="199"/>
      <c r="NOE122" s="198"/>
      <c r="NOF122" s="199"/>
      <c r="NOG122" s="198"/>
      <c r="NOH122" s="199"/>
      <c r="NOI122" s="198"/>
      <c r="NOJ122" s="199"/>
      <c r="NOK122" s="198"/>
      <c r="NOL122" s="199"/>
      <c r="NOM122" s="198"/>
      <c r="NON122" s="199"/>
      <c r="NOO122" s="198"/>
      <c r="NOP122" s="199"/>
      <c r="NOQ122" s="198"/>
      <c r="NOR122" s="199"/>
      <c r="NOS122" s="198"/>
      <c r="NOT122" s="199"/>
      <c r="NOU122" s="198"/>
      <c r="NOV122" s="199"/>
      <c r="NOW122" s="198"/>
      <c r="NOX122" s="199"/>
      <c r="NOY122" s="198"/>
      <c r="NOZ122" s="199"/>
      <c r="NPA122" s="198"/>
      <c r="NPB122" s="199"/>
      <c r="NPC122" s="198"/>
      <c r="NPD122" s="199"/>
      <c r="NPE122" s="198"/>
      <c r="NPF122" s="199"/>
      <c r="NPG122" s="198"/>
      <c r="NPH122" s="199"/>
      <c r="NPI122" s="198"/>
      <c r="NPJ122" s="199"/>
      <c r="NPK122" s="198"/>
      <c r="NPL122" s="199"/>
      <c r="NPM122" s="198"/>
      <c r="NPN122" s="199"/>
      <c r="NPO122" s="198"/>
      <c r="NPP122" s="199"/>
      <c r="NPQ122" s="198"/>
      <c r="NPR122" s="199"/>
      <c r="NPS122" s="198"/>
      <c r="NPT122" s="199"/>
      <c r="NPU122" s="198"/>
      <c r="NPV122" s="199"/>
      <c r="NPW122" s="198"/>
      <c r="NPX122" s="199"/>
      <c r="NPY122" s="198"/>
      <c r="NPZ122" s="199"/>
      <c r="NQA122" s="198"/>
      <c r="NQB122" s="199"/>
      <c r="NQC122" s="198"/>
      <c r="NQD122" s="199"/>
      <c r="NQE122" s="198"/>
      <c r="NQF122" s="199"/>
      <c r="NQG122" s="198"/>
      <c r="NQH122" s="199"/>
      <c r="NQI122" s="198"/>
      <c r="NQJ122" s="199"/>
      <c r="NQK122" s="198"/>
      <c r="NQL122" s="199"/>
      <c r="NQM122" s="198"/>
      <c r="NQN122" s="199"/>
      <c r="NQO122" s="198"/>
      <c r="NQP122" s="199"/>
      <c r="NQQ122" s="198"/>
      <c r="NQR122" s="199"/>
      <c r="NQS122" s="198"/>
      <c r="NQT122" s="199"/>
      <c r="NQU122" s="198"/>
      <c r="NQV122" s="199"/>
      <c r="NQW122" s="198"/>
      <c r="NQX122" s="199"/>
      <c r="NQY122" s="198"/>
      <c r="NQZ122" s="199"/>
      <c r="NRA122" s="198"/>
      <c r="NRB122" s="199"/>
      <c r="NRC122" s="198"/>
      <c r="NRD122" s="199"/>
      <c r="NRE122" s="198"/>
      <c r="NRF122" s="199"/>
      <c r="NRG122" s="198"/>
      <c r="NRH122" s="199"/>
      <c r="NRI122" s="198"/>
      <c r="NRJ122" s="199"/>
      <c r="NRK122" s="198"/>
      <c r="NRL122" s="199"/>
      <c r="NRM122" s="198"/>
      <c r="NRN122" s="199"/>
      <c r="NRO122" s="198"/>
      <c r="NRP122" s="199"/>
      <c r="NRQ122" s="198"/>
      <c r="NRR122" s="199"/>
      <c r="NRS122" s="198"/>
      <c r="NRT122" s="199"/>
      <c r="NRU122" s="198"/>
      <c r="NRV122" s="199"/>
      <c r="NRW122" s="198"/>
      <c r="NRX122" s="199"/>
      <c r="NRY122" s="198"/>
      <c r="NRZ122" s="199"/>
      <c r="NSA122" s="198"/>
      <c r="NSB122" s="199"/>
      <c r="NSC122" s="198"/>
      <c r="NSD122" s="199"/>
      <c r="NSE122" s="198"/>
      <c r="NSF122" s="199"/>
      <c r="NSG122" s="198"/>
      <c r="NSH122" s="199"/>
      <c r="NSI122" s="198"/>
      <c r="NSJ122" s="199"/>
      <c r="NSK122" s="198"/>
      <c r="NSL122" s="199"/>
      <c r="NSM122" s="198"/>
      <c r="NSN122" s="199"/>
      <c r="NSO122" s="198"/>
      <c r="NSP122" s="199"/>
      <c r="NSQ122" s="198"/>
      <c r="NSR122" s="199"/>
      <c r="NSS122" s="198"/>
      <c r="NST122" s="199"/>
      <c r="NSU122" s="198"/>
      <c r="NSV122" s="199"/>
      <c r="NSW122" s="198"/>
      <c r="NSX122" s="199"/>
      <c r="NSY122" s="198"/>
      <c r="NSZ122" s="199"/>
      <c r="NTA122" s="198"/>
      <c r="NTB122" s="199"/>
      <c r="NTC122" s="198"/>
      <c r="NTD122" s="199"/>
      <c r="NTE122" s="198"/>
      <c r="NTF122" s="199"/>
      <c r="NTG122" s="198"/>
      <c r="NTH122" s="199"/>
      <c r="NTI122" s="198"/>
      <c r="NTJ122" s="199"/>
      <c r="NTK122" s="198"/>
      <c r="NTL122" s="199"/>
      <c r="NTM122" s="198"/>
      <c r="NTN122" s="199"/>
      <c r="NTO122" s="198"/>
      <c r="NTP122" s="199"/>
      <c r="NTQ122" s="198"/>
      <c r="NTR122" s="199"/>
      <c r="NTS122" s="198"/>
      <c r="NTT122" s="199"/>
      <c r="NTU122" s="198"/>
      <c r="NTV122" s="199"/>
      <c r="NTW122" s="198"/>
      <c r="NTX122" s="199"/>
      <c r="NTY122" s="198"/>
      <c r="NTZ122" s="199"/>
      <c r="NUA122" s="198"/>
      <c r="NUB122" s="199"/>
      <c r="NUC122" s="198"/>
      <c r="NUD122" s="199"/>
      <c r="NUE122" s="198"/>
      <c r="NUF122" s="199"/>
      <c r="NUG122" s="198"/>
      <c r="NUH122" s="199"/>
      <c r="NUI122" s="198"/>
      <c r="NUJ122" s="199"/>
      <c r="NUK122" s="198"/>
      <c r="NUL122" s="199"/>
      <c r="NUM122" s="198"/>
      <c r="NUN122" s="199"/>
      <c r="NUO122" s="198"/>
      <c r="NUP122" s="199"/>
      <c r="NUQ122" s="198"/>
      <c r="NUR122" s="199"/>
      <c r="NUS122" s="198"/>
      <c r="NUT122" s="199"/>
      <c r="NUU122" s="198"/>
      <c r="NUV122" s="199"/>
      <c r="NUW122" s="198"/>
      <c r="NUX122" s="199"/>
      <c r="NUY122" s="198"/>
      <c r="NUZ122" s="199"/>
      <c r="NVA122" s="198"/>
      <c r="NVB122" s="199"/>
      <c r="NVC122" s="198"/>
      <c r="NVD122" s="199"/>
      <c r="NVE122" s="198"/>
      <c r="NVF122" s="199"/>
      <c r="NVG122" s="198"/>
      <c r="NVH122" s="199"/>
      <c r="NVI122" s="198"/>
      <c r="NVJ122" s="199"/>
      <c r="NVK122" s="198"/>
      <c r="NVL122" s="199"/>
      <c r="NVM122" s="198"/>
      <c r="NVN122" s="199"/>
      <c r="NVO122" s="198"/>
      <c r="NVP122" s="199"/>
      <c r="NVQ122" s="198"/>
      <c r="NVR122" s="199"/>
      <c r="NVS122" s="198"/>
      <c r="NVT122" s="199"/>
      <c r="NVU122" s="198"/>
      <c r="NVV122" s="199"/>
      <c r="NVW122" s="198"/>
      <c r="NVX122" s="199"/>
      <c r="NVY122" s="198"/>
      <c r="NVZ122" s="199"/>
      <c r="NWA122" s="198"/>
      <c r="NWB122" s="199"/>
      <c r="NWC122" s="198"/>
      <c r="NWD122" s="199"/>
      <c r="NWE122" s="198"/>
      <c r="NWF122" s="199"/>
      <c r="NWG122" s="198"/>
      <c r="NWH122" s="199"/>
      <c r="NWI122" s="198"/>
      <c r="NWJ122" s="199"/>
      <c r="NWK122" s="198"/>
      <c r="NWL122" s="199"/>
      <c r="NWM122" s="198"/>
      <c r="NWN122" s="199"/>
      <c r="NWO122" s="198"/>
      <c r="NWP122" s="199"/>
      <c r="NWQ122" s="198"/>
      <c r="NWR122" s="199"/>
      <c r="NWS122" s="198"/>
      <c r="NWT122" s="199"/>
      <c r="NWU122" s="198"/>
      <c r="NWV122" s="199"/>
      <c r="NWW122" s="198"/>
      <c r="NWX122" s="199"/>
      <c r="NWY122" s="198"/>
      <c r="NWZ122" s="199"/>
      <c r="NXA122" s="198"/>
      <c r="NXB122" s="199"/>
      <c r="NXC122" s="198"/>
      <c r="NXD122" s="199"/>
      <c r="NXE122" s="198"/>
      <c r="NXF122" s="199"/>
      <c r="NXG122" s="198"/>
      <c r="NXH122" s="199"/>
      <c r="NXI122" s="198"/>
      <c r="NXJ122" s="199"/>
      <c r="NXK122" s="198"/>
      <c r="NXL122" s="199"/>
      <c r="NXM122" s="198"/>
      <c r="NXN122" s="199"/>
      <c r="NXO122" s="198"/>
      <c r="NXP122" s="199"/>
      <c r="NXQ122" s="198"/>
      <c r="NXR122" s="199"/>
      <c r="NXS122" s="198"/>
      <c r="NXT122" s="199"/>
      <c r="NXU122" s="198"/>
      <c r="NXV122" s="199"/>
      <c r="NXW122" s="198"/>
      <c r="NXX122" s="199"/>
      <c r="NXY122" s="198"/>
      <c r="NXZ122" s="199"/>
      <c r="NYA122" s="198"/>
      <c r="NYB122" s="199"/>
      <c r="NYC122" s="198"/>
      <c r="NYD122" s="199"/>
      <c r="NYE122" s="198"/>
      <c r="NYF122" s="199"/>
      <c r="NYG122" s="198"/>
      <c r="NYH122" s="199"/>
      <c r="NYI122" s="198"/>
      <c r="NYJ122" s="199"/>
      <c r="NYK122" s="198"/>
      <c r="NYL122" s="199"/>
      <c r="NYM122" s="198"/>
      <c r="NYN122" s="199"/>
      <c r="NYO122" s="198"/>
      <c r="NYP122" s="199"/>
      <c r="NYQ122" s="198"/>
      <c r="NYR122" s="199"/>
      <c r="NYS122" s="198"/>
      <c r="NYT122" s="199"/>
      <c r="NYU122" s="198"/>
      <c r="NYV122" s="199"/>
      <c r="NYW122" s="198"/>
      <c r="NYX122" s="199"/>
      <c r="NYY122" s="198"/>
      <c r="NYZ122" s="199"/>
      <c r="NZA122" s="198"/>
      <c r="NZB122" s="199"/>
      <c r="NZC122" s="198"/>
      <c r="NZD122" s="199"/>
      <c r="NZE122" s="198"/>
      <c r="NZF122" s="199"/>
      <c r="NZG122" s="198"/>
      <c r="NZH122" s="199"/>
      <c r="NZI122" s="198"/>
      <c r="NZJ122" s="199"/>
      <c r="NZK122" s="198"/>
      <c r="NZL122" s="199"/>
      <c r="NZM122" s="198"/>
      <c r="NZN122" s="199"/>
      <c r="NZO122" s="198"/>
      <c r="NZP122" s="199"/>
      <c r="NZQ122" s="198"/>
      <c r="NZR122" s="199"/>
      <c r="NZS122" s="198"/>
      <c r="NZT122" s="199"/>
      <c r="NZU122" s="198"/>
      <c r="NZV122" s="199"/>
      <c r="NZW122" s="198"/>
      <c r="NZX122" s="199"/>
      <c r="NZY122" s="198"/>
      <c r="NZZ122" s="199"/>
      <c r="OAA122" s="198"/>
      <c r="OAB122" s="199"/>
      <c r="OAC122" s="198"/>
      <c r="OAD122" s="199"/>
      <c r="OAE122" s="198"/>
      <c r="OAF122" s="199"/>
      <c r="OAG122" s="198"/>
      <c r="OAH122" s="199"/>
      <c r="OAI122" s="198"/>
      <c r="OAJ122" s="199"/>
      <c r="OAK122" s="198"/>
      <c r="OAL122" s="199"/>
      <c r="OAM122" s="198"/>
      <c r="OAN122" s="199"/>
      <c r="OAO122" s="198"/>
      <c r="OAP122" s="199"/>
      <c r="OAQ122" s="198"/>
      <c r="OAR122" s="199"/>
      <c r="OAS122" s="198"/>
      <c r="OAT122" s="199"/>
      <c r="OAU122" s="198"/>
      <c r="OAV122" s="199"/>
      <c r="OAW122" s="198"/>
      <c r="OAX122" s="199"/>
      <c r="OAY122" s="198"/>
      <c r="OAZ122" s="199"/>
      <c r="OBA122" s="198"/>
      <c r="OBB122" s="199"/>
      <c r="OBC122" s="198"/>
      <c r="OBD122" s="199"/>
      <c r="OBE122" s="198"/>
      <c r="OBF122" s="199"/>
      <c r="OBG122" s="198"/>
      <c r="OBH122" s="199"/>
      <c r="OBI122" s="198"/>
      <c r="OBJ122" s="199"/>
      <c r="OBK122" s="198"/>
      <c r="OBL122" s="199"/>
      <c r="OBM122" s="198"/>
      <c r="OBN122" s="199"/>
      <c r="OBO122" s="198"/>
      <c r="OBP122" s="199"/>
      <c r="OBQ122" s="198"/>
      <c r="OBR122" s="199"/>
      <c r="OBS122" s="198"/>
      <c r="OBT122" s="199"/>
      <c r="OBU122" s="198"/>
      <c r="OBV122" s="199"/>
      <c r="OBW122" s="198"/>
      <c r="OBX122" s="199"/>
      <c r="OBY122" s="198"/>
      <c r="OBZ122" s="199"/>
      <c r="OCA122" s="198"/>
      <c r="OCB122" s="199"/>
      <c r="OCC122" s="198"/>
      <c r="OCD122" s="199"/>
      <c r="OCE122" s="198"/>
      <c r="OCF122" s="199"/>
      <c r="OCG122" s="198"/>
      <c r="OCH122" s="199"/>
      <c r="OCI122" s="198"/>
      <c r="OCJ122" s="199"/>
      <c r="OCK122" s="198"/>
      <c r="OCL122" s="199"/>
      <c r="OCM122" s="198"/>
      <c r="OCN122" s="199"/>
      <c r="OCO122" s="198"/>
      <c r="OCP122" s="199"/>
      <c r="OCQ122" s="198"/>
      <c r="OCR122" s="199"/>
      <c r="OCS122" s="198"/>
      <c r="OCT122" s="199"/>
      <c r="OCU122" s="198"/>
      <c r="OCV122" s="199"/>
      <c r="OCW122" s="198"/>
      <c r="OCX122" s="199"/>
      <c r="OCY122" s="198"/>
      <c r="OCZ122" s="199"/>
      <c r="ODA122" s="198"/>
      <c r="ODB122" s="199"/>
      <c r="ODC122" s="198"/>
      <c r="ODD122" s="199"/>
      <c r="ODE122" s="198"/>
      <c r="ODF122" s="199"/>
      <c r="ODG122" s="198"/>
      <c r="ODH122" s="199"/>
      <c r="ODI122" s="198"/>
      <c r="ODJ122" s="199"/>
      <c r="ODK122" s="198"/>
      <c r="ODL122" s="199"/>
      <c r="ODM122" s="198"/>
      <c r="ODN122" s="199"/>
      <c r="ODO122" s="198"/>
      <c r="ODP122" s="199"/>
      <c r="ODQ122" s="198"/>
      <c r="ODR122" s="199"/>
      <c r="ODS122" s="198"/>
      <c r="ODT122" s="199"/>
      <c r="ODU122" s="198"/>
      <c r="ODV122" s="199"/>
      <c r="ODW122" s="198"/>
      <c r="ODX122" s="199"/>
      <c r="ODY122" s="198"/>
      <c r="ODZ122" s="199"/>
      <c r="OEA122" s="198"/>
      <c r="OEB122" s="199"/>
      <c r="OEC122" s="198"/>
      <c r="OED122" s="199"/>
      <c r="OEE122" s="198"/>
      <c r="OEF122" s="199"/>
      <c r="OEG122" s="198"/>
      <c r="OEH122" s="199"/>
      <c r="OEI122" s="198"/>
      <c r="OEJ122" s="199"/>
      <c r="OEK122" s="198"/>
      <c r="OEL122" s="199"/>
      <c r="OEM122" s="198"/>
      <c r="OEN122" s="199"/>
      <c r="OEO122" s="198"/>
      <c r="OEP122" s="199"/>
      <c r="OEQ122" s="198"/>
      <c r="OER122" s="199"/>
      <c r="OES122" s="198"/>
      <c r="OET122" s="199"/>
      <c r="OEU122" s="198"/>
      <c r="OEV122" s="199"/>
      <c r="OEW122" s="198"/>
      <c r="OEX122" s="199"/>
      <c r="OEY122" s="198"/>
      <c r="OEZ122" s="199"/>
      <c r="OFA122" s="198"/>
      <c r="OFB122" s="199"/>
      <c r="OFC122" s="198"/>
      <c r="OFD122" s="199"/>
      <c r="OFE122" s="198"/>
      <c r="OFF122" s="199"/>
      <c r="OFG122" s="198"/>
      <c r="OFH122" s="199"/>
      <c r="OFI122" s="198"/>
      <c r="OFJ122" s="199"/>
      <c r="OFK122" s="198"/>
      <c r="OFL122" s="199"/>
      <c r="OFM122" s="198"/>
      <c r="OFN122" s="199"/>
      <c r="OFO122" s="198"/>
      <c r="OFP122" s="199"/>
      <c r="OFQ122" s="198"/>
      <c r="OFR122" s="199"/>
      <c r="OFS122" s="198"/>
      <c r="OFT122" s="199"/>
      <c r="OFU122" s="198"/>
      <c r="OFV122" s="199"/>
      <c r="OFW122" s="198"/>
      <c r="OFX122" s="199"/>
      <c r="OFY122" s="198"/>
      <c r="OFZ122" s="199"/>
      <c r="OGA122" s="198"/>
      <c r="OGB122" s="199"/>
      <c r="OGC122" s="198"/>
      <c r="OGD122" s="199"/>
      <c r="OGE122" s="198"/>
      <c r="OGF122" s="199"/>
      <c r="OGG122" s="198"/>
      <c r="OGH122" s="199"/>
      <c r="OGI122" s="198"/>
      <c r="OGJ122" s="199"/>
      <c r="OGK122" s="198"/>
      <c r="OGL122" s="199"/>
      <c r="OGM122" s="198"/>
      <c r="OGN122" s="199"/>
      <c r="OGO122" s="198"/>
      <c r="OGP122" s="199"/>
      <c r="OGQ122" s="198"/>
      <c r="OGR122" s="199"/>
      <c r="OGS122" s="198"/>
      <c r="OGT122" s="199"/>
      <c r="OGU122" s="198"/>
      <c r="OGV122" s="199"/>
      <c r="OGW122" s="198"/>
      <c r="OGX122" s="199"/>
      <c r="OGY122" s="198"/>
      <c r="OGZ122" s="199"/>
      <c r="OHA122" s="198"/>
      <c r="OHB122" s="199"/>
      <c r="OHC122" s="198"/>
      <c r="OHD122" s="199"/>
      <c r="OHE122" s="198"/>
      <c r="OHF122" s="199"/>
      <c r="OHG122" s="198"/>
      <c r="OHH122" s="199"/>
      <c r="OHI122" s="198"/>
      <c r="OHJ122" s="199"/>
      <c r="OHK122" s="198"/>
      <c r="OHL122" s="199"/>
      <c r="OHM122" s="198"/>
      <c r="OHN122" s="199"/>
      <c r="OHO122" s="198"/>
      <c r="OHP122" s="199"/>
      <c r="OHQ122" s="198"/>
      <c r="OHR122" s="199"/>
      <c r="OHS122" s="198"/>
      <c r="OHT122" s="199"/>
      <c r="OHU122" s="198"/>
      <c r="OHV122" s="199"/>
      <c r="OHW122" s="198"/>
      <c r="OHX122" s="199"/>
      <c r="OHY122" s="198"/>
      <c r="OHZ122" s="199"/>
      <c r="OIA122" s="198"/>
      <c r="OIB122" s="199"/>
      <c r="OIC122" s="198"/>
      <c r="OID122" s="199"/>
      <c r="OIE122" s="198"/>
      <c r="OIF122" s="199"/>
      <c r="OIG122" s="198"/>
      <c r="OIH122" s="199"/>
      <c r="OII122" s="198"/>
      <c r="OIJ122" s="199"/>
      <c r="OIK122" s="198"/>
      <c r="OIL122" s="199"/>
      <c r="OIM122" s="198"/>
      <c r="OIN122" s="199"/>
      <c r="OIO122" s="198"/>
      <c r="OIP122" s="199"/>
      <c r="OIQ122" s="198"/>
      <c r="OIR122" s="199"/>
      <c r="OIS122" s="198"/>
      <c r="OIT122" s="199"/>
      <c r="OIU122" s="198"/>
      <c r="OIV122" s="199"/>
      <c r="OIW122" s="198"/>
      <c r="OIX122" s="199"/>
      <c r="OIY122" s="198"/>
      <c r="OIZ122" s="199"/>
      <c r="OJA122" s="198"/>
      <c r="OJB122" s="199"/>
      <c r="OJC122" s="198"/>
      <c r="OJD122" s="199"/>
      <c r="OJE122" s="198"/>
      <c r="OJF122" s="199"/>
      <c r="OJG122" s="198"/>
      <c r="OJH122" s="199"/>
      <c r="OJI122" s="198"/>
      <c r="OJJ122" s="199"/>
      <c r="OJK122" s="198"/>
      <c r="OJL122" s="199"/>
      <c r="OJM122" s="198"/>
      <c r="OJN122" s="199"/>
      <c r="OJO122" s="198"/>
      <c r="OJP122" s="199"/>
      <c r="OJQ122" s="198"/>
      <c r="OJR122" s="199"/>
      <c r="OJS122" s="198"/>
      <c r="OJT122" s="199"/>
      <c r="OJU122" s="198"/>
      <c r="OJV122" s="199"/>
      <c r="OJW122" s="198"/>
      <c r="OJX122" s="199"/>
      <c r="OJY122" s="198"/>
      <c r="OJZ122" s="199"/>
      <c r="OKA122" s="198"/>
      <c r="OKB122" s="199"/>
      <c r="OKC122" s="198"/>
      <c r="OKD122" s="199"/>
      <c r="OKE122" s="198"/>
      <c r="OKF122" s="199"/>
      <c r="OKG122" s="198"/>
      <c r="OKH122" s="199"/>
      <c r="OKI122" s="198"/>
      <c r="OKJ122" s="199"/>
      <c r="OKK122" s="198"/>
      <c r="OKL122" s="199"/>
      <c r="OKM122" s="198"/>
      <c r="OKN122" s="199"/>
      <c r="OKO122" s="198"/>
      <c r="OKP122" s="199"/>
      <c r="OKQ122" s="198"/>
      <c r="OKR122" s="199"/>
      <c r="OKS122" s="198"/>
      <c r="OKT122" s="199"/>
      <c r="OKU122" s="198"/>
      <c r="OKV122" s="199"/>
      <c r="OKW122" s="198"/>
      <c r="OKX122" s="199"/>
      <c r="OKY122" s="198"/>
      <c r="OKZ122" s="199"/>
      <c r="OLA122" s="198"/>
      <c r="OLB122" s="199"/>
      <c r="OLC122" s="198"/>
      <c r="OLD122" s="199"/>
      <c r="OLE122" s="198"/>
      <c r="OLF122" s="199"/>
      <c r="OLG122" s="198"/>
      <c r="OLH122" s="199"/>
      <c r="OLI122" s="198"/>
      <c r="OLJ122" s="199"/>
      <c r="OLK122" s="198"/>
      <c r="OLL122" s="199"/>
      <c r="OLM122" s="198"/>
      <c r="OLN122" s="199"/>
      <c r="OLO122" s="198"/>
      <c r="OLP122" s="199"/>
      <c r="OLQ122" s="198"/>
      <c r="OLR122" s="199"/>
      <c r="OLS122" s="198"/>
      <c r="OLT122" s="199"/>
      <c r="OLU122" s="198"/>
      <c r="OLV122" s="199"/>
      <c r="OLW122" s="198"/>
      <c r="OLX122" s="199"/>
      <c r="OLY122" s="198"/>
      <c r="OLZ122" s="199"/>
      <c r="OMA122" s="198"/>
      <c r="OMB122" s="199"/>
      <c r="OMC122" s="198"/>
      <c r="OMD122" s="199"/>
      <c r="OME122" s="198"/>
      <c r="OMF122" s="199"/>
      <c r="OMG122" s="198"/>
      <c r="OMH122" s="199"/>
      <c r="OMI122" s="198"/>
      <c r="OMJ122" s="199"/>
      <c r="OMK122" s="198"/>
      <c r="OML122" s="199"/>
      <c r="OMM122" s="198"/>
      <c r="OMN122" s="199"/>
      <c r="OMO122" s="198"/>
      <c r="OMP122" s="199"/>
      <c r="OMQ122" s="198"/>
      <c r="OMR122" s="199"/>
      <c r="OMS122" s="198"/>
      <c r="OMT122" s="199"/>
      <c r="OMU122" s="198"/>
      <c r="OMV122" s="199"/>
      <c r="OMW122" s="198"/>
      <c r="OMX122" s="199"/>
      <c r="OMY122" s="198"/>
      <c r="OMZ122" s="199"/>
      <c r="ONA122" s="198"/>
      <c r="ONB122" s="199"/>
      <c r="ONC122" s="198"/>
      <c r="OND122" s="199"/>
      <c r="ONE122" s="198"/>
      <c r="ONF122" s="199"/>
      <c r="ONG122" s="198"/>
      <c r="ONH122" s="199"/>
      <c r="ONI122" s="198"/>
      <c r="ONJ122" s="199"/>
      <c r="ONK122" s="198"/>
      <c r="ONL122" s="199"/>
      <c r="ONM122" s="198"/>
      <c r="ONN122" s="199"/>
      <c r="ONO122" s="198"/>
      <c r="ONP122" s="199"/>
      <c r="ONQ122" s="198"/>
      <c r="ONR122" s="199"/>
      <c r="ONS122" s="198"/>
      <c r="ONT122" s="199"/>
      <c r="ONU122" s="198"/>
      <c r="ONV122" s="199"/>
      <c r="ONW122" s="198"/>
      <c r="ONX122" s="199"/>
      <c r="ONY122" s="198"/>
      <c r="ONZ122" s="199"/>
      <c r="OOA122" s="198"/>
      <c r="OOB122" s="199"/>
      <c r="OOC122" s="198"/>
      <c r="OOD122" s="199"/>
      <c r="OOE122" s="198"/>
      <c r="OOF122" s="199"/>
      <c r="OOG122" s="198"/>
      <c r="OOH122" s="199"/>
      <c r="OOI122" s="198"/>
      <c r="OOJ122" s="199"/>
      <c r="OOK122" s="198"/>
      <c r="OOL122" s="199"/>
      <c r="OOM122" s="198"/>
      <c r="OON122" s="199"/>
      <c r="OOO122" s="198"/>
      <c r="OOP122" s="199"/>
      <c r="OOQ122" s="198"/>
      <c r="OOR122" s="199"/>
      <c r="OOS122" s="198"/>
      <c r="OOT122" s="199"/>
      <c r="OOU122" s="198"/>
      <c r="OOV122" s="199"/>
      <c r="OOW122" s="198"/>
      <c r="OOX122" s="199"/>
      <c r="OOY122" s="198"/>
      <c r="OOZ122" s="199"/>
      <c r="OPA122" s="198"/>
      <c r="OPB122" s="199"/>
      <c r="OPC122" s="198"/>
      <c r="OPD122" s="199"/>
      <c r="OPE122" s="198"/>
      <c r="OPF122" s="199"/>
      <c r="OPG122" s="198"/>
      <c r="OPH122" s="199"/>
      <c r="OPI122" s="198"/>
      <c r="OPJ122" s="199"/>
      <c r="OPK122" s="198"/>
      <c r="OPL122" s="199"/>
      <c r="OPM122" s="198"/>
      <c r="OPN122" s="199"/>
      <c r="OPO122" s="198"/>
      <c r="OPP122" s="199"/>
      <c r="OPQ122" s="198"/>
      <c r="OPR122" s="199"/>
      <c r="OPS122" s="198"/>
      <c r="OPT122" s="199"/>
      <c r="OPU122" s="198"/>
      <c r="OPV122" s="199"/>
      <c r="OPW122" s="198"/>
      <c r="OPX122" s="199"/>
      <c r="OPY122" s="198"/>
      <c r="OPZ122" s="199"/>
      <c r="OQA122" s="198"/>
      <c r="OQB122" s="199"/>
      <c r="OQC122" s="198"/>
      <c r="OQD122" s="199"/>
      <c r="OQE122" s="198"/>
      <c r="OQF122" s="199"/>
      <c r="OQG122" s="198"/>
      <c r="OQH122" s="199"/>
      <c r="OQI122" s="198"/>
      <c r="OQJ122" s="199"/>
      <c r="OQK122" s="198"/>
      <c r="OQL122" s="199"/>
      <c r="OQM122" s="198"/>
      <c r="OQN122" s="199"/>
      <c r="OQO122" s="198"/>
      <c r="OQP122" s="199"/>
      <c r="OQQ122" s="198"/>
      <c r="OQR122" s="199"/>
      <c r="OQS122" s="198"/>
      <c r="OQT122" s="199"/>
      <c r="OQU122" s="198"/>
      <c r="OQV122" s="199"/>
      <c r="OQW122" s="198"/>
      <c r="OQX122" s="199"/>
      <c r="OQY122" s="198"/>
      <c r="OQZ122" s="199"/>
      <c r="ORA122" s="198"/>
      <c r="ORB122" s="199"/>
      <c r="ORC122" s="198"/>
      <c r="ORD122" s="199"/>
      <c r="ORE122" s="198"/>
      <c r="ORF122" s="199"/>
      <c r="ORG122" s="198"/>
      <c r="ORH122" s="199"/>
      <c r="ORI122" s="198"/>
      <c r="ORJ122" s="199"/>
      <c r="ORK122" s="198"/>
      <c r="ORL122" s="199"/>
      <c r="ORM122" s="198"/>
      <c r="ORN122" s="199"/>
      <c r="ORO122" s="198"/>
      <c r="ORP122" s="199"/>
      <c r="ORQ122" s="198"/>
      <c r="ORR122" s="199"/>
      <c r="ORS122" s="198"/>
      <c r="ORT122" s="199"/>
      <c r="ORU122" s="198"/>
      <c r="ORV122" s="199"/>
      <c r="ORW122" s="198"/>
      <c r="ORX122" s="199"/>
      <c r="ORY122" s="198"/>
      <c r="ORZ122" s="199"/>
      <c r="OSA122" s="198"/>
      <c r="OSB122" s="199"/>
      <c r="OSC122" s="198"/>
      <c r="OSD122" s="199"/>
      <c r="OSE122" s="198"/>
      <c r="OSF122" s="199"/>
      <c r="OSG122" s="198"/>
      <c r="OSH122" s="199"/>
      <c r="OSI122" s="198"/>
      <c r="OSJ122" s="199"/>
      <c r="OSK122" s="198"/>
      <c r="OSL122" s="199"/>
      <c r="OSM122" s="198"/>
      <c r="OSN122" s="199"/>
      <c r="OSO122" s="198"/>
      <c r="OSP122" s="199"/>
      <c r="OSQ122" s="198"/>
      <c r="OSR122" s="199"/>
      <c r="OSS122" s="198"/>
      <c r="OST122" s="199"/>
      <c r="OSU122" s="198"/>
      <c r="OSV122" s="199"/>
      <c r="OSW122" s="198"/>
      <c r="OSX122" s="199"/>
      <c r="OSY122" s="198"/>
      <c r="OSZ122" s="199"/>
      <c r="OTA122" s="198"/>
      <c r="OTB122" s="199"/>
      <c r="OTC122" s="198"/>
      <c r="OTD122" s="199"/>
      <c r="OTE122" s="198"/>
      <c r="OTF122" s="199"/>
      <c r="OTG122" s="198"/>
      <c r="OTH122" s="199"/>
      <c r="OTI122" s="198"/>
      <c r="OTJ122" s="199"/>
      <c r="OTK122" s="198"/>
      <c r="OTL122" s="199"/>
      <c r="OTM122" s="198"/>
      <c r="OTN122" s="199"/>
      <c r="OTO122" s="198"/>
      <c r="OTP122" s="199"/>
      <c r="OTQ122" s="198"/>
      <c r="OTR122" s="199"/>
      <c r="OTS122" s="198"/>
      <c r="OTT122" s="199"/>
      <c r="OTU122" s="198"/>
      <c r="OTV122" s="199"/>
      <c r="OTW122" s="198"/>
      <c r="OTX122" s="199"/>
      <c r="OTY122" s="198"/>
      <c r="OTZ122" s="199"/>
      <c r="OUA122" s="198"/>
      <c r="OUB122" s="199"/>
      <c r="OUC122" s="198"/>
      <c r="OUD122" s="199"/>
      <c r="OUE122" s="198"/>
      <c r="OUF122" s="199"/>
      <c r="OUG122" s="198"/>
      <c r="OUH122" s="199"/>
      <c r="OUI122" s="198"/>
      <c r="OUJ122" s="199"/>
      <c r="OUK122" s="198"/>
      <c r="OUL122" s="199"/>
      <c r="OUM122" s="198"/>
      <c r="OUN122" s="199"/>
      <c r="OUO122" s="198"/>
      <c r="OUP122" s="199"/>
      <c r="OUQ122" s="198"/>
      <c r="OUR122" s="199"/>
      <c r="OUS122" s="198"/>
      <c r="OUT122" s="199"/>
      <c r="OUU122" s="198"/>
      <c r="OUV122" s="199"/>
      <c r="OUW122" s="198"/>
      <c r="OUX122" s="199"/>
      <c r="OUY122" s="198"/>
      <c r="OUZ122" s="199"/>
      <c r="OVA122" s="198"/>
      <c r="OVB122" s="199"/>
      <c r="OVC122" s="198"/>
      <c r="OVD122" s="199"/>
      <c r="OVE122" s="198"/>
      <c r="OVF122" s="199"/>
      <c r="OVG122" s="198"/>
      <c r="OVH122" s="199"/>
      <c r="OVI122" s="198"/>
      <c r="OVJ122" s="199"/>
      <c r="OVK122" s="198"/>
      <c r="OVL122" s="199"/>
      <c r="OVM122" s="198"/>
      <c r="OVN122" s="199"/>
      <c r="OVO122" s="198"/>
      <c r="OVP122" s="199"/>
      <c r="OVQ122" s="198"/>
      <c r="OVR122" s="199"/>
      <c r="OVS122" s="198"/>
      <c r="OVT122" s="199"/>
      <c r="OVU122" s="198"/>
      <c r="OVV122" s="199"/>
      <c r="OVW122" s="198"/>
      <c r="OVX122" s="199"/>
      <c r="OVY122" s="198"/>
      <c r="OVZ122" s="199"/>
      <c r="OWA122" s="198"/>
      <c r="OWB122" s="199"/>
      <c r="OWC122" s="198"/>
      <c r="OWD122" s="199"/>
      <c r="OWE122" s="198"/>
      <c r="OWF122" s="199"/>
      <c r="OWG122" s="198"/>
      <c r="OWH122" s="199"/>
      <c r="OWI122" s="198"/>
      <c r="OWJ122" s="199"/>
      <c r="OWK122" s="198"/>
      <c r="OWL122" s="199"/>
      <c r="OWM122" s="198"/>
      <c r="OWN122" s="199"/>
      <c r="OWO122" s="198"/>
      <c r="OWP122" s="199"/>
      <c r="OWQ122" s="198"/>
      <c r="OWR122" s="199"/>
      <c r="OWS122" s="198"/>
      <c r="OWT122" s="199"/>
      <c r="OWU122" s="198"/>
      <c r="OWV122" s="199"/>
      <c r="OWW122" s="198"/>
      <c r="OWX122" s="199"/>
      <c r="OWY122" s="198"/>
      <c r="OWZ122" s="199"/>
      <c r="OXA122" s="198"/>
      <c r="OXB122" s="199"/>
      <c r="OXC122" s="198"/>
      <c r="OXD122" s="199"/>
      <c r="OXE122" s="198"/>
      <c r="OXF122" s="199"/>
      <c r="OXG122" s="198"/>
      <c r="OXH122" s="199"/>
      <c r="OXI122" s="198"/>
      <c r="OXJ122" s="199"/>
      <c r="OXK122" s="198"/>
      <c r="OXL122" s="199"/>
      <c r="OXM122" s="198"/>
      <c r="OXN122" s="199"/>
      <c r="OXO122" s="198"/>
      <c r="OXP122" s="199"/>
      <c r="OXQ122" s="198"/>
      <c r="OXR122" s="199"/>
      <c r="OXS122" s="198"/>
      <c r="OXT122" s="199"/>
      <c r="OXU122" s="198"/>
      <c r="OXV122" s="199"/>
      <c r="OXW122" s="198"/>
      <c r="OXX122" s="199"/>
      <c r="OXY122" s="198"/>
      <c r="OXZ122" s="199"/>
      <c r="OYA122" s="198"/>
      <c r="OYB122" s="199"/>
      <c r="OYC122" s="198"/>
      <c r="OYD122" s="199"/>
      <c r="OYE122" s="198"/>
      <c r="OYF122" s="199"/>
      <c r="OYG122" s="198"/>
      <c r="OYH122" s="199"/>
      <c r="OYI122" s="198"/>
      <c r="OYJ122" s="199"/>
      <c r="OYK122" s="198"/>
      <c r="OYL122" s="199"/>
      <c r="OYM122" s="198"/>
      <c r="OYN122" s="199"/>
      <c r="OYO122" s="198"/>
      <c r="OYP122" s="199"/>
      <c r="OYQ122" s="198"/>
      <c r="OYR122" s="199"/>
      <c r="OYS122" s="198"/>
      <c r="OYT122" s="199"/>
      <c r="OYU122" s="198"/>
      <c r="OYV122" s="199"/>
      <c r="OYW122" s="198"/>
      <c r="OYX122" s="199"/>
      <c r="OYY122" s="198"/>
      <c r="OYZ122" s="199"/>
      <c r="OZA122" s="198"/>
      <c r="OZB122" s="199"/>
      <c r="OZC122" s="198"/>
      <c r="OZD122" s="199"/>
      <c r="OZE122" s="198"/>
      <c r="OZF122" s="199"/>
      <c r="OZG122" s="198"/>
      <c r="OZH122" s="199"/>
      <c r="OZI122" s="198"/>
      <c r="OZJ122" s="199"/>
      <c r="OZK122" s="198"/>
      <c r="OZL122" s="199"/>
      <c r="OZM122" s="198"/>
      <c r="OZN122" s="199"/>
      <c r="OZO122" s="198"/>
      <c r="OZP122" s="199"/>
      <c r="OZQ122" s="198"/>
      <c r="OZR122" s="199"/>
      <c r="OZS122" s="198"/>
      <c r="OZT122" s="199"/>
      <c r="OZU122" s="198"/>
      <c r="OZV122" s="199"/>
      <c r="OZW122" s="198"/>
      <c r="OZX122" s="199"/>
      <c r="OZY122" s="198"/>
      <c r="OZZ122" s="199"/>
      <c r="PAA122" s="198"/>
      <c r="PAB122" s="199"/>
      <c r="PAC122" s="198"/>
      <c r="PAD122" s="199"/>
      <c r="PAE122" s="198"/>
      <c r="PAF122" s="199"/>
      <c r="PAG122" s="198"/>
      <c r="PAH122" s="199"/>
      <c r="PAI122" s="198"/>
      <c r="PAJ122" s="199"/>
      <c r="PAK122" s="198"/>
      <c r="PAL122" s="199"/>
      <c r="PAM122" s="198"/>
      <c r="PAN122" s="199"/>
      <c r="PAO122" s="198"/>
      <c r="PAP122" s="199"/>
      <c r="PAQ122" s="198"/>
      <c r="PAR122" s="199"/>
      <c r="PAS122" s="198"/>
      <c r="PAT122" s="199"/>
      <c r="PAU122" s="198"/>
      <c r="PAV122" s="199"/>
      <c r="PAW122" s="198"/>
      <c r="PAX122" s="199"/>
      <c r="PAY122" s="198"/>
      <c r="PAZ122" s="199"/>
      <c r="PBA122" s="198"/>
      <c r="PBB122" s="199"/>
      <c r="PBC122" s="198"/>
      <c r="PBD122" s="199"/>
      <c r="PBE122" s="198"/>
      <c r="PBF122" s="199"/>
      <c r="PBG122" s="198"/>
      <c r="PBH122" s="199"/>
      <c r="PBI122" s="198"/>
      <c r="PBJ122" s="199"/>
      <c r="PBK122" s="198"/>
      <c r="PBL122" s="199"/>
      <c r="PBM122" s="198"/>
      <c r="PBN122" s="199"/>
      <c r="PBO122" s="198"/>
      <c r="PBP122" s="199"/>
      <c r="PBQ122" s="198"/>
      <c r="PBR122" s="199"/>
      <c r="PBS122" s="198"/>
      <c r="PBT122" s="199"/>
      <c r="PBU122" s="198"/>
      <c r="PBV122" s="199"/>
      <c r="PBW122" s="198"/>
      <c r="PBX122" s="199"/>
      <c r="PBY122" s="198"/>
      <c r="PBZ122" s="199"/>
      <c r="PCA122" s="198"/>
      <c r="PCB122" s="199"/>
      <c r="PCC122" s="198"/>
      <c r="PCD122" s="199"/>
      <c r="PCE122" s="198"/>
      <c r="PCF122" s="199"/>
      <c r="PCG122" s="198"/>
      <c r="PCH122" s="199"/>
      <c r="PCI122" s="198"/>
      <c r="PCJ122" s="199"/>
      <c r="PCK122" s="198"/>
      <c r="PCL122" s="199"/>
      <c r="PCM122" s="198"/>
      <c r="PCN122" s="199"/>
      <c r="PCO122" s="198"/>
      <c r="PCP122" s="199"/>
      <c r="PCQ122" s="198"/>
      <c r="PCR122" s="199"/>
      <c r="PCS122" s="198"/>
      <c r="PCT122" s="199"/>
      <c r="PCU122" s="198"/>
      <c r="PCV122" s="199"/>
      <c r="PCW122" s="198"/>
      <c r="PCX122" s="199"/>
      <c r="PCY122" s="198"/>
      <c r="PCZ122" s="199"/>
      <c r="PDA122" s="198"/>
      <c r="PDB122" s="199"/>
      <c r="PDC122" s="198"/>
      <c r="PDD122" s="199"/>
      <c r="PDE122" s="198"/>
      <c r="PDF122" s="199"/>
      <c r="PDG122" s="198"/>
      <c r="PDH122" s="199"/>
      <c r="PDI122" s="198"/>
      <c r="PDJ122" s="199"/>
      <c r="PDK122" s="198"/>
      <c r="PDL122" s="199"/>
      <c r="PDM122" s="198"/>
      <c r="PDN122" s="199"/>
      <c r="PDO122" s="198"/>
      <c r="PDP122" s="199"/>
      <c r="PDQ122" s="198"/>
      <c r="PDR122" s="199"/>
      <c r="PDS122" s="198"/>
      <c r="PDT122" s="199"/>
      <c r="PDU122" s="198"/>
      <c r="PDV122" s="199"/>
      <c r="PDW122" s="198"/>
      <c r="PDX122" s="199"/>
      <c r="PDY122" s="198"/>
      <c r="PDZ122" s="199"/>
      <c r="PEA122" s="198"/>
      <c r="PEB122" s="199"/>
      <c r="PEC122" s="198"/>
      <c r="PED122" s="199"/>
      <c r="PEE122" s="198"/>
      <c r="PEF122" s="199"/>
      <c r="PEG122" s="198"/>
      <c r="PEH122" s="199"/>
      <c r="PEI122" s="198"/>
      <c r="PEJ122" s="199"/>
      <c r="PEK122" s="198"/>
      <c r="PEL122" s="199"/>
      <c r="PEM122" s="198"/>
      <c r="PEN122" s="199"/>
      <c r="PEO122" s="198"/>
      <c r="PEP122" s="199"/>
      <c r="PEQ122" s="198"/>
      <c r="PER122" s="199"/>
      <c r="PES122" s="198"/>
      <c r="PET122" s="199"/>
      <c r="PEU122" s="198"/>
      <c r="PEV122" s="199"/>
      <c r="PEW122" s="198"/>
      <c r="PEX122" s="199"/>
      <c r="PEY122" s="198"/>
      <c r="PEZ122" s="199"/>
      <c r="PFA122" s="198"/>
      <c r="PFB122" s="199"/>
      <c r="PFC122" s="198"/>
      <c r="PFD122" s="199"/>
      <c r="PFE122" s="198"/>
      <c r="PFF122" s="199"/>
      <c r="PFG122" s="198"/>
      <c r="PFH122" s="199"/>
      <c r="PFI122" s="198"/>
      <c r="PFJ122" s="199"/>
      <c r="PFK122" s="198"/>
      <c r="PFL122" s="199"/>
      <c r="PFM122" s="198"/>
      <c r="PFN122" s="199"/>
      <c r="PFO122" s="198"/>
      <c r="PFP122" s="199"/>
      <c r="PFQ122" s="198"/>
      <c r="PFR122" s="199"/>
      <c r="PFS122" s="198"/>
      <c r="PFT122" s="199"/>
      <c r="PFU122" s="198"/>
      <c r="PFV122" s="199"/>
      <c r="PFW122" s="198"/>
      <c r="PFX122" s="199"/>
      <c r="PFY122" s="198"/>
      <c r="PFZ122" s="199"/>
      <c r="PGA122" s="198"/>
      <c r="PGB122" s="199"/>
      <c r="PGC122" s="198"/>
      <c r="PGD122" s="199"/>
      <c r="PGE122" s="198"/>
      <c r="PGF122" s="199"/>
      <c r="PGG122" s="198"/>
      <c r="PGH122" s="199"/>
      <c r="PGI122" s="198"/>
      <c r="PGJ122" s="199"/>
      <c r="PGK122" s="198"/>
      <c r="PGL122" s="199"/>
      <c r="PGM122" s="198"/>
      <c r="PGN122" s="199"/>
      <c r="PGO122" s="198"/>
      <c r="PGP122" s="199"/>
      <c r="PGQ122" s="198"/>
      <c r="PGR122" s="199"/>
      <c r="PGS122" s="198"/>
      <c r="PGT122" s="199"/>
      <c r="PGU122" s="198"/>
      <c r="PGV122" s="199"/>
      <c r="PGW122" s="198"/>
      <c r="PGX122" s="199"/>
      <c r="PGY122" s="198"/>
      <c r="PGZ122" s="199"/>
      <c r="PHA122" s="198"/>
      <c r="PHB122" s="199"/>
      <c r="PHC122" s="198"/>
      <c r="PHD122" s="199"/>
      <c r="PHE122" s="198"/>
      <c r="PHF122" s="199"/>
      <c r="PHG122" s="198"/>
      <c r="PHH122" s="199"/>
      <c r="PHI122" s="198"/>
      <c r="PHJ122" s="199"/>
      <c r="PHK122" s="198"/>
      <c r="PHL122" s="199"/>
      <c r="PHM122" s="198"/>
      <c r="PHN122" s="199"/>
      <c r="PHO122" s="198"/>
      <c r="PHP122" s="199"/>
      <c r="PHQ122" s="198"/>
      <c r="PHR122" s="199"/>
      <c r="PHS122" s="198"/>
      <c r="PHT122" s="199"/>
      <c r="PHU122" s="198"/>
      <c r="PHV122" s="199"/>
      <c r="PHW122" s="198"/>
      <c r="PHX122" s="199"/>
      <c r="PHY122" s="198"/>
      <c r="PHZ122" s="199"/>
      <c r="PIA122" s="198"/>
      <c r="PIB122" s="199"/>
      <c r="PIC122" s="198"/>
      <c r="PID122" s="199"/>
      <c r="PIE122" s="198"/>
      <c r="PIF122" s="199"/>
      <c r="PIG122" s="198"/>
      <c r="PIH122" s="199"/>
      <c r="PII122" s="198"/>
      <c r="PIJ122" s="199"/>
      <c r="PIK122" s="198"/>
      <c r="PIL122" s="199"/>
      <c r="PIM122" s="198"/>
      <c r="PIN122" s="199"/>
      <c r="PIO122" s="198"/>
      <c r="PIP122" s="199"/>
      <c r="PIQ122" s="198"/>
      <c r="PIR122" s="199"/>
      <c r="PIS122" s="198"/>
      <c r="PIT122" s="199"/>
      <c r="PIU122" s="198"/>
      <c r="PIV122" s="199"/>
      <c r="PIW122" s="198"/>
      <c r="PIX122" s="199"/>
      <c r="PIY122" s="198"/>
      <c r="PIZ122" s="199"/>
      <c r="PJA122" s="198"/>
      <c r="PJB122" s="199"/>
      <c r="PJC122" s="198"/>
      <c r="PJD122" s="199"/>
      <c r="PJE122" s="198"/>
      <c r="PJF122" s="199"/>
      <c r="PJG122" s="198"/>
      <c r="PJH122" s="199"/>
      <c r="PJI122" s="198"/>
      <c r="PJJ122" s="199"/>
      <c r="PJK122" s="198"/>
      <c r="PJL122" s="199"/>
      <c r="PJM122" s="198"/>
      <c r="PJN122" s="199"/>
      <c r="PJO122" s="198"/>
      <c r="PJP122" s="199"/>
      <c r="PJQ122" s="198"/>
      <c r="PJR122" s="199"/>
      <c r="PJS122" s="198"/>
      <c r="PJT122" s="199"/>
      <c r="PJU122" s="198"/>
      <c r="PJV122" s="199"/>
      <c r="PJW122" s="198"/>
      <c r="PJX122" s="199"/>
      <c r="PJY122" s="198"/>
      <c r="PJZ122" s="199"/>
      <c r="PKA122" s="198"/>
      <c r="PKB122" s="199"/>
      <c r="PKC122" s="198"/>
      <c r="PKD122" s="199"/>
      <c r="PKE122" s="198"/>
      <c r="PKF122" s="199"/>
      <c r="PKG122" s="198"/>
      <c r="PKH122" s="199"/>
      <c r="PKI122" s="198"/>
      <c r="PKJ122" s="199"/>
      <c r="PKK122" s="198"/>
      <c r="PKL122" s="199"/>
      <c r="PKM122" s="198"/>
      <c r="PKN122" s="199"/>
      <c r="PKO122" s="198"/>
      <c r="PKP122" s="199"/>
      <c r="PKQ122" s="198"/>
      <c r="PKR122" s="199"/>
      <c r="PKS122" s="198"/>
      <c r="PKT122" s="199"/>
      <c r="PKU122" s="198"/>
      <c r="PKV122" s="199"/>
      <c r="PKW122" s="198"/>
      <c r="PKX122" s="199"/>
      <c r="PKY122" s="198"/>
      <c r="PKZ122" s="199"/>
      <c r="PLA122" s="198"/>
      <c r="PLB122" s="199"/>
      <c r="PLC122" s="198"/>
      <c r="PLD122" s="199"/>
      <c r="PLE122" s="198"/>
      <c r="PLF122" s="199"/>
      <c r="PLG122" s="198"/>
      <c r="PLH122" s="199"/>
      <c r="PLI122" s="198"/>
      <c r="PLJ122" s="199"/>
      <c r="PLK122" s="198"/>
      <c r="PLL122" s="199"/>
      <c r="PLM122" s="198"/>
      <c r="PLN122" s="199"/>
      <c r="PLO122" s="198"/>
      <c r="PLP122" s="199"/>
      <c r="PLQ122" s="198"/>
      <c r="PLR122" s="199"/>
      <c r="PLS122" s="198"/>
      <c r="PLT122" s="199"/>
      <c r="PLU122" s="198"/>
      <c r="PLV122" s="199"/>
      <c r="PLW122" s="198"/>
      <c r="PLX122" s="199"/>
      <c r="PLY122" s="198"/>
      <c r="PLZ122" s="199"/>
      <c r="PMA122" s="198"/>
      <c r="PMB122" s="199"/>
      <c r="PMC122" s="198"/>
      <c r="PMD122" s="199"/>
      <c r="PME122" s="198"/>
      <c r="PMF122" s="199"/>
      <c r="PMG122" s="198"/>
      <c r="PMH122" s="199"/>
      <c r="PMI122" s="198"/>
      <c r="PMJ122" s="199"/>
      <c r="PMK122" s="198"/>
      <c r="PML122" s="199"/>
      <c r="PMM122" s="198"/>
      <c r="PMN122" s="199"/>
      <c r="PMO122" s="198"/>
      <c r="PMP122" s="199"/>
      <c r="PMQ122" s="198"/>
      <c r="PMR122" s="199"/>
      <c r="PMS122" s="198"/>
      <c r="PMT122" s="199"/>
      <c r="PMU122" s="198"/>
      <c r="PMV122" s="199"/>
      <c r="PMW122" s="198"/>
      <c r="PMX122" s="199"/>
      <c r="PMY122" s="198"/>
      <c r="PMZ122" s="199"/>
      <c r="PNA122" s="198"/>
      <c r="PNB122" s="199"/>
      <c r="PNC122" s="198"/>
      <c r="PND122" s="199"/>
      <c r="PNE122" s="198"/>
      <c r="PNF122" s="199"/>
      <c r="PNG122" s="198"/>
      <c r="PNH122" s="199"/>
      <c r="PNI122" s="198"/>
      <c r="PNJ122" s="199"/>
      <c r="PNK122" s="198"/>
      <c r="PNL122" s="199"/>
      <c r="PNM122" s="198"/>
      <c r="PNN122" s="199"/>
      <c r="PNO122" s="198"/>
      <c r="PNP122" s="199"/>
      <c r="PNQ122" s="198"/>
      <c r="PNR122" s="199"/>
      <c r="PNS122" s="198"/>
      <c r="PNT122" s="199"/>
      <c r="PNU122" s="198"/>
      <c r="PNV122" s="199"/>
      <c r="PNW122" s="198"/>
      <c r="PNX122" s="199"/>
      <c r="PNY122" s="198"/>
      <c r="PNZ122" s="199"/>
      <c r="POA122" s="198"/>
      <c r="POB122" s="199"/>
      <c r="POC122" s="198"/>
      <c r="POD122" s="199"/>
      <c r="POE122" s="198"/>
      <c r="POF122" s="199"/>
      <c r="POG122" s="198"/>
      <c r="POH122" s="199"/>
      <c r="POI122" s="198"/>
      <c r="POJ122" s="199"/>
      <c r="POK122" s="198"/>
      <c r="POL122" s="199"/>
      <c r="POM122" s="198"/>
      <c r="PON122" s="199"/>
      <c r="POO122" s="198"/>
      <c r="POP122" s="199"/>
      <c r="POQ122" s="198"/>
      <c r="POR122" s="199"/>
      <c r="POS122" s="198"/>
      <c r="POT122" s="199"/>
      <c r="POU122" s="198"/>
      <c r="POV122" s="199"/>
      <c r="POW122" s="198"/>
      <c r="POX122" s="199"/>
      <c r="POY122" s="198"/>
      <c r="POZ122" s="199"/>
      <c r="PPA122" s="198"/>
      <c r="PPB122" s="199"/>
      <c r="PPC122" s="198"/>
      <c r="PPD122" s="199"/>
      <c r="PPE122" s="198"/>
      <c r="PPF122" s="199"/>
      <c r="PPG122" s="198"/>
      <c r="PPH122" s="199"/>
      <c r="PPI122" s="198"/>
      <c r="PPJ122" s="199"/>
      <c r="PPK122" s="198"/>
      <c r="PPL122" s="199"/>
      <c r="PPM122" s="198"/>
      <c r="PPN122" s="199"/>
      <c r="PPO122" s="198"/>
      <c r="PPP122" s="199"/>
      <c r="PPQ122" s="198"/>
      <c r="PPR122" s="199"/>
      <c r="PPS122" s="198"/>
      <c r="PPT122" s="199"/>
      <c r="PPU122" s="198"/>
      <c r="PPV122" s="199"/>
      <c r="PPW122" s="198"/>
      <c r="PPX122" s="199"/>
      <c r="PPY122" s="198"/>
      <c r="PPZ122" s="199"/>
      <c r="PQA122" s="198"/>
      <c r="PQB122" s="199"/>
      <c r="PQC122" s="198"/>
      <c r="PQD122" s="199"/>
      <c r="PQE122" s="198"/>
      <c r="PQF122" s="199"/>
      <c r="PQG122" s="198"/>
      <c r="PQH122" s="199"/>
      <c r="PQI122" s="198"/>
      <c r="PQJ122" s="199"/>
      <c r="PQK122" s="198"/>
      <c r="PQL122" s="199"/>
      <c r="PQM122" s="198"/>
      <c r="PQN122" s="199"/>
      <c r="PQO122" s="198"/>
      <c r="PQP122" s="199"/>
      <c r="PQQ122" s="198"/>
      <c r="PQR122" s="199"/>
      <c r="PQS122" s="198"/>
      <c r="PQT122" s="199"/>
      <c r="PQU122" s="198"/>
      <c r="PQV122" s="199"/>
      <c r="PQW122" s="198"/>
      <c r="PQX122" s="199"/>
      <c r="PQY122" s="198"/>
      <c r="PQZ122" s="199"/>
      <c r="PRA122" s="198"/>
      <c r="PRB122" s="199"/>
      <c r="PRC122" s="198"/>
      <c r="PRD122" s="199"/>
      <c r="PRE122" s="198"/>
      <c r="PRF122" s="199"/>
      <c r="PRG122" s="198"/>
      <c r="PRH122" s="199"/>
      <c r="PRI122" s="198"/>
      <c r="PRJ122" s="199"/>
      <c r="PRK122" s="198"/>
      <c r="PRL122" s="199"/>
      <c r="PRM122" s="198"/>
      <c r="PRN122" s="199"/>
      <c r="PRO122" s="198"/>
      <c r="PRP122" s="199"/>
      <c r="PRQ122" s="198"/>
      <c r="PRR122" s="199"/>
      <c r="PRS122" s="198"/>
      <c r="PRT122" s="199"/>
      <c r="PRU122" s="198"/>
      <c r="PRV122" s="199"/>
      <c r="PRW122" s="198"/>
      <c r="PRX122" s="199"/>
      <c r="PRY122" s="198"/>
      <c r="PRZ122" s="199"/>
      <c r="PSA122" s="198"/>
      <c r="PSB122" s="199"/>
      <c r="PSC122" s="198"/>
      <c r="PSD122" s="199"/>
      <c r="PSE122" s="198"/>
      <c r="PSF122" s="199"/>
      <c r="PSG122" s="198"/>
      <c r="PSH122" s="199"/>
      <c r="PSI122" s="198"/>
      <c r="PSJ122" s="199"/>
      <c r="PSK122" s="198"/>
      <c r="PSL122" s="199"/>
      <c r="PSM122" s="198"/>
      <c r="PSN122" s="199"/>
      <c r="PSO122" s="198"/>
      <c r="PSP122" s="199"/>
      <c r="PSQ122" s="198"/>
      <c r="PSR122" s="199"/>
      <c r="PSS122" s="198"/>
      <c r="PST122" s="199"/>
      <c r="PSU122" s="198"/>
      <c r="PSV122" s="199"/>
      <c r="PSW122" s="198"/>
      <c r="PSX122" s="199"/>
      <c r="PSY122" s="198"/>
      <c r="PSZ122" s="199"/>
      <c r="PTA122" s="198"/>
      <c r="PTB122" s="199"/>
      <c r="PTC122" s="198"/>
      <c r="PTD122" s="199"/>
      <c r="PTE122" s="198"/>
      <c r="PTF122" s="199"/>
      <c r="PTG122" s="198"/>
      <c r="PTH122" s="199"/>
      <c r="PTI122" s="198"/>
      <c r="PTJ122" s="199"/>
      <c r="PTK122" s="198"/>
      <c r="PTL122" s="199"/>
      <c r="PTM122" s="198"/>
      <c r="PTN122" s="199"/>
      <c r="PTO122" s="198"/>
      <c r="PTP122" s="199"/>
      <c r="PTQ122" s="198"/>
      <c r="PTR122" s="199"/>
      <c r="PTS122" s="198"/>
      <c r="PTT122" s="199"/>
      <c r="PTU122" s="198"/>
      <c r="PTV122" s="199"/>
      <c r="PTW122" s="198"/>
      <c r="PTX122" s="199"/>
      <c r="PTY122" s="198"/>
      <c r="PTZ122" s="199"/>
      <c r="PUA122" s="198"/>
      <c r="PUB122" s="199"/>
      <c r="PUC122" s="198"/>
      <c r="PUD122" s="199"/>
      <c r="PUE122" s="198"/>
      <c r="PUF122" s="199"/>
      <c r="PUG122" s="198"/>
      <c r="PUH122" s="199"/>
      <c r="PUI122" s="198"/>
      <c r="PUJ122" s="199"/>
      <c r="PUK122" s="198"/>
      <c r="PUL122" s="199"/>
      <c r="PUM122" s="198"/>
      <c r="PUN122" s="199"/>
      <c r="PUO122" s="198"/>
      <c r="PUP122" s="199"/>
      <c r="PUQ122" s="198"/>
      <c r="PUR122" s="199"/>
      <c r="PUS122" s="198"/>
      <c r="PUT122" s="199"/>
      <c r="PUU122" s="198"/>
      <c r="PUV122" s="199"/>
      <c r="PUW122" s="198"/>
      <c r="PUX122" s="199"/>
      <c r="PUY122" s="198"/>
      <c r="PUZ122" s="199"/>
      <c r="PVA122" s="198"/>
      <c r="PVB122" s="199"/>
      <c r="PVC122" s="198"/>
      <c r="PVD122" s="199"/>
      <c r="PVE122" s="198"/>
      <c r="PVF122" s="199"/>
      <c r="PVG122" s="198"/>
      <c r="PVH122" s="199"/>
      <c r="PVI122" s="198"/>
      <c r="PVJ122" s="199"/>
      <c r="PVK122" s="198"/>
      <c r="PVL122" s="199"/>
      <c r="PVM122" s="198"/>
      <c r="PVN122" s="199"/>
      <c r="PVO122" s="198"/>
      <c r="PVP122" s="199"/>
      <c r="PVQ122" s="198"/>
      <c r="PVR122" s="199"/>
      <c r="PVS122" s="198"/>
      <c r="PVT122" s="199"/>
      <c r="PVU122" s="198"/>
      <c r="PVV122" s="199"/>
      <c r="PVW122" s="198"/>
      <c r="PVX122" s="199"/>
      <c r="PVY122" s="198"/>
      <c r="PVZ122" s="199"/>
      <c r="PWA122" s="198"/>
      <c r="PWB122" s="199"/>
      <c r="PWC122" s="198"/>
      <c r="PWD122" s="199"/>
      <c r="PWE122" s="198"/>
      <c r="PWF122" s="199"/>
      <c r="PWG122" s="198"/>
      <c r="PWH122" s="199"/>
      <c r="PWI122" s="198"/>
      <c r="PWJ122" s="199"/>
      <c r="PWK122" s="198"/>
      <c r="PWL122" s="199"/>
      <c r="PWM122" s="198"/>
      <c r="PWN122" s="199"/>
      <c r="PWO122" s="198"/>
      <c r="PWP122" s="199"/>
      <c r="PWQ122" s="198"/>
      <c r="PWR122" s="199"/>
      <c r="PWS122" s="198"/>
      <c r="PWT122" s="199"/>
      <c r="PWU122" s="198"/>
      <c r="PWV122" s="199"/>
      <c r="PWW122" s="198"/>
      <c r="PWX122" s="199"/>
      <c r="PWY122" s="198"/>
      <c r="PWZ122" s="199"/>
      <c r="PXA122" s="198"/>
      <c r="PXB122" s="199"/>
      <c r="PXC122" s="198"/>
      <c r="PXD122" s="199"/>
      <c r="PXE122" s="198"/>
      <c r="PXF122" s="199"/>
      <c r="PXG122" s="198"/>
      <c r="PXH122" s="199"/>
      <c r="PXI122" s="198"/>
      <c r="PXJ122" s="199"/>
      <c r="PXK122" s="198"/>
      <c r="PXL122" s="199"/>
      <c r="PXM122" s="198"/>
      <c r="PXN122" s="199"/>
      <c r="PXO122" s="198"/>
      <c r="PXP122" s="199"/>
      <c r="PXQ122" s="198"/>
      <c r="PXR122" s="199"/>
      <c r="PXS122" s="198"/>
      <c r="PXT122" s="199"/>
      <c r="PXU122" s="198"/>
      <c r="PXV122" s="199"/>
      <c r="PXW122" s="198"/>
      <c r="PXX122" s="199"/>
      <c r="PXY122" s="198"/>
      <c r="PXZ122" s="199"/>
      <c r="PYA122" s="198"/>
      <c r="PYB122" s="199"/>
      <c r="PYC122" s="198"/>
      <c r="PYD122" s="199"/>
      <c r="PYE122" s="198"/>
      <c r="PYF122" s="199"/>
      <c r="PYG122" s="198"/>
      <c r="PYH122" s="199"/>
      <c r="PYI122" s="198"/>
      <c r="PYJ122" s="199"/>
      <c r="PYK122" s="198"/>
      <c r="PYL122" s="199"/>
      <c r="PYM122" s="198"/>
      <c r="PYN122" s="199"/>
      <c r="PYO122" s="198"/>
      <c r="PYP122" s="199"/>
      <c r="PYQ122" s="198"/>
      <c r="PYR122" s="199"/>
      <c r="PYS122" s="198"/>
      <c r="PYT122" s="199"/>
      <c r="PYU122" s="198"/>
      <c r="PYV122" s="199"/>
      <c r="PYW122" s="198"/>
      <c r="PYX122" s="199"/>
      <c r="PYY122" s="198"/>
      <c r="PYZ122" s="199"/>
      <c r="PZA122" s="198"/>
      <c r="PZB122" s="199"/>
      <c r="PZC122" s="198"/>
      <c r="PZD122" s="199"/>
      <c r="PZE122" s="198"/>
      <c r="PZF122" s="199"/>
      <c r="PZG122" s="198"/>
      <c r="PZH122" s="199"/>
      <c r="PZI122" s="198"/>
      <c r="PZJ122" s="199"/>
      <c r="PZK122" s="198"/>
      <c r="PZL122" s="199"/>
      <c r="PZM122" s="198"/>
      <c r="PZN122" s="199"/>
      <c r="PZO122" s="198"/>
      <c r="PZP122" s="199"/>
      <c r="PZQ122" s="198"/>
      <c r="PZR122" s="199"/>
      <c r="PZS122" s="198"/>
      <c r="PZT122" s="199"/>
      <c r="PZU122" s="198"/>
      <c r="PZV122" s="199"/>
      <c r="PZW122" s="198"/>
      <c r="PZX122" s="199"/>
      <c r="PZY122" s="198"/>
      <c r="PZZ122" s="199"/>
      <c r="QAA122" s="198"/>
      <c r="QAB122" s="199"/>
      <c r="QAC122" s="198"/>
      <c r="QAD122" s="199"/>
      <c r="QAE122" s="198"/>
      <c r="QAF122" s="199"/>
      <c r="QAG122" s="198"/>
      <c r="QAH122" s="199"/>
      <c r="QAI122" s="198"/>
      <c r="QAJ122" s="199"/>
      <c r="QAK122" s="198"/>
      <c r="QAL122" s="199"/>
      <c r="QAM122" s="198"/>
      <c r="QAN122" s="199"/>
      <c r="QAO122" s="198"/>
      <c r="QAP122" s="199"/>
      <c r="QAQ122" s="198"/>
      <c r="QAR122" s="199"/>
      <c r="QAS122" s="198"/>
      <c r="QAT122" s="199"/>
      <c r="QAU122" s="198"/>
      <c r="QAV122" s="199"/>
      <c r="QAW122" s="198"/>
      <c r="QAX122" s="199"/>
      <c r="QAY122" s="198"/>
      <c r="QAZ122" s="199"/>
      <c r="QBA122" s="198"/>
      <c r="QBB122" s="199"/>
      <c r="QBC122" s="198"/>
      <c r="QBD122" s="199"/>
      <c r="QBE122" s="198"/>
      <c r="QBF122" s="199"/>
      <c r="QBG122" s="198"/>
      <c r="QBH122" s="199"/>
      <c r="QBI122" s="198"/>
      <c r="QBJ122" s="199"/>
      <c r="QBK122" s="198"/>
      <c r="QBL122" s="199"/>
      <c r="QBM122" s="198"/>
      <c r="QBN122" s="199"/>
      <c r="QBO122" s="198"/>
      <c r="QBP122" s="199"/>
      <c r="QBQ122" s="198"/>
      <c r="QBR122" s="199"/>
      <c r="QBS122" s="198"/>
      <c r="QBT122" s="199"/>
      <c r="QBU122" s="198"/>
      <c r="QBV122" s="199"/>
      <c r="QBW122" s="198"/>
      <c r="QBX122" s="199"/>
      <c r="QBY122" s="198"/>
      <c r="QBZ122" s="199"/>
      <c r="QCA122" s="198"/>
      <c r="QCB122" s="199"/>
      <c r="QCC122" s="198"/>
      <c r="QCD122" s="199"/>
      <c r="QCE122" s="198"/>
      <c r="QCF122" s="199"/>
      <c r="QCG122" s="198"/>
      <c r="QCH122" s="199"/>
      <c r="QCI122" s="198"/>
      <c r="QCJ122" s="199"/>
      <c r="QCK122" s="198"/>
      <c r="QCL122" s="199"/>
      <c r="QCM122" s="198"/>
      <c r="QCN122" s="199"/>
      <c r="QCO122" s="198"/>
      <c r="QCP122" s="199"/>
      <c r="QCQ122" s="198"/>
      <c r="QCR122" s="199"/>
      <c r="QCS122" s="198"/>
      <c r="QCT122" s="199"/>
      <c r="QCU122" s="198"/>
      <c r="QCV122" s="199"/>
      <c r="QCW122" s="198"/>
      <c r="QCX122" s="199"/>
      <c r="QCY122" s="198"/>
      <c r="QCZ122" s="199"/>
      <c r="QDA122" s="198"/>
      <c r="QDB122" s="199"/>
      <c r="QDC122" s="198"/>
      <c r="QDD122" s="199"/>
      <c r="QDE122" s="198"/>
      <c r="QDF122" s="199"/>
      <c r="QDG122" s="198"/>
      <c r="QDH122" s="199"/>
      <c r="QDI122" s="198"/>
      <c r="QDJ122" s="199"/>
      <c r="QDK122" s="198"/>
      <c r="QDL122" s="199"/>
      <c r="QDM122" s="198"/>
      <c r="QDN122" s="199"/>
      <c r="QDO122" s="198"/>
      <c r="QDP122" s="199"/>
      <c r="QDQ122" s="198"/>
      <c r="QDR122" s="199"/>
      <c r="QDS122" s="198"/>
      <c r="QDT122" s="199"/>
      <c r="QDU122" s="198"/>
      <c r="QDV122" s="199"/>
      <c r="QDW122" s="198"/>
      <c r="QDX122" s="199"/>
      <c r="QDY122" s="198"/>
      <c r="QDZ122" s="199"/>
      <c r="QEA122" s="198"/>
      <c r="QEB122" s="199"/>
      <c r="QEC122" s="198"/>
      <c r="QED122" s="199"/>
      <c r="QEE122" s="198"/>
      <c r="QEF122" s="199"/>
      <c r="QEG122" s="198"/>
      <c r="QEH122" s="199"/>
      <c r="QEI122" s="198"/>
      <c r="QEJ122" s="199"/>
      <c r="QEK122" s="198"/>
      <c r="QEL122" s="199"/>
      <c r="QEM122" s="198"/>
      <c r="QEN122" s="199"/>
      <c r="QEO122" s="198"/>
      <c r="QEP122" s="199"/>
      <c r="QEQ122" s="198"/>
      <c r="QER122" s="199"/>
      <c r="QES122" s="198"/>
      <c r="QET122" s="199"/>
      <c r="QEU122" s="198"/>
      <c r="QEV122" s="199"/>
      <c r="QEW122" s="198"/>
      <c r="QEX122" s="199"/>
      <c r="QEY122" s="198"/>
      <c r="QEZ122" s="199"/>
      <c r="QFA122" s="198"/>
      <c r="QFB122" s="199"/>
      <c r="QFC122" s="198"/>
      <c r="QFD122" s="199"/>
      <c r="QFE122" s="198"/>
      <c r="QFF122" s="199"/>
      <c r="QFG122" s="198"/>
      <c r="QFH122" s="199"/>
      <c r="QFI122" s="198"/>
      <c r="QFJ122" s="199"/>
      <c r="QFK122" s="198"/>
      <c r="QFL122" s="199"/>
      <c r="QFM122" s="198"/>
      <c r="QFN122" s="199"/>
      <c r="QFO122" s="198"/>
      <c r="QFP122" s="199"/>
      <c r="QFQ122" s="198"/>
      <c r="QFR122" s="199"/>
      <c r="QFS122" s="198"/>
      <c r="QFT122" s="199"/>
      <c r="QFU122" s="198"/>
      <c r="QFV122" s="199"/>
      <c r="QFW122" s="198"/>
      <c r="QFX122" s="199"/>
      <c r="QFY122" s="198"/>
      <c r="QFZ122" s="199"/>
      <c r="QGA122" s="198"/>
      <c r="QGB122" s="199"/>
      <c r="QGC122" s="198"/>
      <c r="QGD122" s="199"/>
      <c r="QGE122" s="198"/>
      <c r="QGF122" s="199"/>
      <c r="QGG122" s="198"/>
      <c r="QGH122" s="199"/>
      <c r="QGI122" s="198"/>
      <c r="QGJ122" s="199"/>
      <c r="QGK122" s="198"/>
      <c r="QGL122" s="199"/>
      <c r="QGM122" s="198"/>
      <c r="QGN122" s="199"/>
      <c r="QGO122" s="198"/>
      <c r="QGP122" s="199"/>
      <c r="QGQ122" s="198"/>
      <c r="QGR122" s="199"/>
      <c r="QGS122" s="198"/>
      <c r="QGT122" s="199"/>
      <c r="QGU122" s="198"/>
      <c r="QGV122" s="199"/>
      <c r="QGW122" s="198"/>
      <c r="QGX122" s="199"/>
      <c r="QGY122" s="198"/>
      <c r="QGZ122" s="199"/>
      <c r="QHA122" s="198"/>
      <c r="QHB122" s="199"/>
      <c r="QHC122" s="198"/>
      <c r="QHD122" s="199"/>
      <c r="QHE122" s="198"/>
      <c r="QHF122" s="199"/>
      <c r="QHG122" s="198"/>
      <c r="QHH122" s="199"/>
      <c r="QHI122" s="198"/>
      <c r="QHJ122" s="199"/>
      <c r="QHK122" s="198"/>
      <c r="QHL122" s="199"/>
      <c r="QHM122" s="198"/>
      <c r="QHN122" s="199"/>
      <c r="QHO122" s="198"/>
      <c r="QHP122" s="199"/>
      <c r="QHQ122" s="198"/>
      <c r="QHR122" s="199"/>
      <c r="QHS122" s="198"/>
      <c r="QHT122" s="199"/>
      <c r="QHU122" s="198"/>
      <c r="QHV122" s="199"/>
      <c r="QHW122" s="198"/>
      <c r="QHX122" s="199"/>
      <c r="QHY122" s="198"/>
      <c r="QHZ122" s="199"/>
      <c r="QIA122" s="198"/>
      <c r="QIB122" s="199"/>
      <c r="QIC122" s="198"/>
      <c r="QID122" s="199"/>
      <c r="QIE122" s="198"/>
      <c r="QIF122" s="199"/>
      <c r="QIG122" s="198"/>
      <c r="QIH122" s="199"/>
      <c r="QII122" s="198"/>
      <c r="QIJ122" s="199"/>
      <c r="QIK122" s="198"/>
      <c r="QIL122" s="199"/>
      <c r="QIM122" s="198"/>
      <c r="QIN122" s="199"/>
      <c r="QIO122" s="198"/>
      <c r="QIP122" s="199"/>
      <c r="QIQ122" s="198"/>
      <c r="QIR122" s="199"/>
      <c r="QIS122" s="198"/>
      <c r="QIT122" s="199"/>
      <c r="QIU122" s="198"/>
      <c r="QIV122" s="199"/>
      <c r="QIW122" s="198"/>
      <c r="QIX122" s="199"/>
      <c r="QIY122" s="198"/>
      <c r="QIZ122" s="199"/>
      <c r="QJA122" s="198"/>
      <c r="QJB122" s="199"/>
      <c r="QJC122" s="198"/>
      <c r="QJD122" s="199"/>
      <c r="QJE122" s="198"/>
      <c r="QJF122" s="199"/>
      <c r="QJG122" s="198"/>
      <c r="QJH122" s="199"/>
      <c r="QJI122" s="198"/>
      <c r="QJJ122" s="199"/>
      <c r="QJK122" s="198"/>
      <c r="QJL122" s="199"/>
      <c r="QJM122" s="198"/>
      <c r="QJN122" s="199"/>
      <c r="QJO122" s="198"/>
      <c r="QJP122" s="199"/>
      <c r="QJQ122" s="198"/>
      <c r="QJR122" s="199"/>
      <c r="QJS122" s="198"/>
      <c r="QJT122" s="199"/>
      <c r="QJU122" s="198"/>
      <c r="QJV122" s="199"/>
      <c r="QJW122" s="198"/>
      <c r="QJX122" s="199"/>
      <c r="QJY122" s="198"/>
      <c r="QJZ122" s="199"/>
      <c r="QKA122" s="198"/>
      <c r="QKB122" s="199"/>
      <c r="QKC122" s="198"/>
      <c r="QKD122" s="199"/>
      <c r="QKE122" s="198"/>
      <c r="QKF122" s="199"/>
      <c r="QKG122" s="198"/>
      <c r="QKH122" s="199"/>
      <c r="QKI122" s="198"/>
      <c r="QKJ122" s="199"/>
      <c r="QKK122" s="198"/>
      <c r="QKL122" s="199"/>
      <c r="QKM122" s="198"/>
      <c r="QKN122" s="199"/>
      <c r="QKO122" s="198"/>
      <c r="QKP122" s="199"/>
      <c r="QKQ122" s="198"/>
      <c r="QKR122" s="199"/>
      <c r="QKS122" s="198"/>
      <c r="QKT122" s="199"/>
      <c r="QKU122" s="198"/>
      <c r="QKV122" s="199"/>
      <c r="QKW122" s="198"/>
      <c r="QKX122" s="199"/>
      <c r="QKY122" s="198"/>
      <c r="QKZ122" s="199"/>
      <c r="QLA122" s="198"/>
      <c r="QLB122" s="199"/>
      <c r="QLC122" s="198"/>
      <c r="QLD122" s="199"/>
      <c r="QLE122" s="198"/>
      <c r="QLF122" s="199"/>
      <c r="QLG122" s="198"/>
      <c r="QLH122" s="199"/>
      <c r="QLI122" s="198"/>
      <c r="QLJ122" s="199"/>
      <c r="QLK122" s="198"/>
      <c r="QLL122" s="199"/>
      <c r="QLM122" s="198"/>
      <c r="QLN122" s="199"/>
      <c r="QLO122" s="198"/>
      <c r="QLP122" s="199"/>
      <c r="QLQ122" s="198"/>
      <c r="QLR122" s="199"/>
      <c r="QLS122" s="198"/>
      <c r="QLT122" s="199"/>
      <c r="QLU122" s="198"/>
      <c r="QLV122" s="199"/>
      <c r="QLW122" s="198"/>
      <c r="QLX122" s="199"/>
      <c r="QLY122" s="198"/>
      <c r="QLZ122" s="199"/>
      <c r="QMA122" s="198"/>
      <c r="QMB122" s="199"/>
      <c r="QMC122" s="198"/>
      <c r="QMD122" s="199"/>
      <c r="QME122" s="198"/>
      <c r="QMF122" s="199"/>
      <c r="QMG122" s="198"/>
      <c r="QMH122" s="199"/>
      <c r="QMI122" s="198"/>
      <c r="QMJ122" s="199"/>
      <c r="QMK122" s="198"/>
      <c r="QML122" s="199"/>
      <c r="QMM122" s="198"/>
      <c r="QMN122" s="199"/>
      <c r="QMO122" s="198"/>
      <c r="QMP122" s="199"/>
      <c r="QMQ122" s="198"/>
      <c r="QMR122" s="199"/>
      <c r="QMS122" s="198"/>
      <c r="QMT122" s="199"/>
      <c r="QMU122" s="198"/>
      <c r="QMV122" s="199"/>
      <c r="QMW122" s="198"/>
      <c r="QMX122" s="199"/>
      <c r="QMY122" s="198"/>
      <c r="QMZ122" s="199"/>
      <c r="QNA122" s="198"/>
      <c r="QNB122" s="199"/>
      <c r="QNC122" s="198"/>
      <c r="QND122" s="199"/>
      <c r="QNE122" s="198"/>
      <c r="QNF122" s="199"/>
      <c r="QNG122" s="198"/>
      <c r="QNH122" s="199"/>
      <c r="QNI122" s="198"/>
      <c r="QNJ122" s="199"/>
      <c r="QNK122" s="198"/>
      <c r="QNL122" s="199"/>
      <c r="QNM122" s="198"/>
      <c r="QNN122" s="199"/>
      <c r="QNO122" s="198"/>
      <c r="QNP122" s="199"/>
      <c r="QNQ122" s="198"/>
      <c r="QNR122" s="199"/>
      <c r="QNS122" s="198"/>
      <c r="QNT122" s="199"/>
      <c r="QNU122" s="198"/>
      <c r="QNV122" s="199"/>
      <c r="QNW122" s="198"/>
      <c r="QNX122" s="199"/>
      <c r="QNY122" s="198"/>
      <c r="QNZ122" s="199"/>
      <c r="QOA122" s="198"/>
      <c r="QOB122" s="199"/>
      <c r="QOC122" s="198"/>
      <c r="QOD122" s="199"/>
      <c r="QOE122" s="198"/>
      <c r="QOF122" s="199"/>
      <c r="QOG122" s="198"/>
      <c r="QOH122" s="199"/>
      <c r="QOI122" s="198"/>
      <c r="QOJ122" s="199"/>
      <c r="QOK122" s="198"/>
      <c r="QOL122" s="199"/>
      <c r="QOM122" s="198"/>
      <c r="QON122" s="199"/>
      <c r="QOO122" s="198"/>
      <c r="QOP122" s="199"/>
      <c r="QOQ122" s="198"/>
      <c r="QOR122" s="199"/>
      <c r="QOS122" s="198"/>
      <c r="QOT122" s="199"/>
      <c r="QOU122" s="198"/>
      <c r="QOV122" s="199"/>
      <c r="QOW122" s="198"/>
      <c r="QOX122" s="199"/>
      <c r="QOY122" s="198"/>
      <c r="QOZ122" s="199"/>
      <c r="QPA122" s="198"/>
      <c r="QPB122" s="199"/>
      <c r="QPC122" s="198"/>
      <c r="QPD122" s="199"/>
      <c r="QPE122" s="198"/>
      <c r="QPF122" s="199"/>
      <c r="QPG122" s="198"/>
      <c r="QPH122" s="199"/>
      <c r="QPI122" s="198"/>
      <c r="QPJ122" s="199"/>
      <c r="QPK122" s="198"/>
      <c r="QPL122" s="199"/>
      <c r="QPM122" s="198"/>
      <c r="QPN122" s="199"/>
      <c r="QPO122" s="198"/>
      <c r="QPP122" s="199"/>
      <c r="QPQ122" s="198"/>
      <c r="QPR122" s="199"/>
      <c r="QPS122" s="198"/>
      <c r="QPT122" s="199"/>
      <c r="QPU122" s="198"/>
      <c r="QPV122" s="199"/>
      <c r="QPW122" s="198"/>
      <c r="QPX122" s="199"/>
      <c r="QPY122" s="198"/>
      <c r="QPZ122" s="199"/>
      <c r="QQA122" s="198"/>
      <c r="QQB122" s="199"/>
      <c r="QQC122" s="198"/>
      <c r="QQD122" s="199"/>
      <c r="QQE122" s="198"/>
      <c r="QQF122" s="199"/>
      <c r="QQG122" s="198"/>
      <c r="QQH122" s="199"/>
      <c r="QQI122" s="198"/>
      <c r="QQJ122" s="199"/>
      <c r="QQK122" s="198"/>
      <c r="QQL122" s="199"/>
      <c r="QQM122" s="198"/>
      <c r="QQN122" s="199"/>
      <c r="QQO122" s="198"/>
      <c r="QQP122" s="199"/>
      <c r="QQQ122" s="198"/>
      <c r="QQR122" s="199"/>
      <c r="QQS122" s="198"/>
      <c r="QQT122" s="199"/>
      <c r="QQU122" s="198"/>
      <c r="QQV122" s="199"/>
      <c r="QQW122" s="198"/>
      <c r="QQX122" s="199"/>
      <c r="QQY122" s="198"/>
      <c r="QQZ122" s="199"/>
      <c r="QRA122" s="198"/>
      <c r="QRB122" s="199"/>
      <c r="QRC122" s="198"/>
      <c r="QRD122" s="199"/>
      <c r="QRE122" s="198"/>
      <c r="QRF122" s="199"/>
      <c r="QRG122" s="198"/>
      <c r="QRH122" s="199"/>
      <c r="QRI122" s="198"/>
      <c r="QRJ122" s="199"/>
      <c r="QRK122" s="198"/>
      <c r="QRL122" s="199"/>
      <c r="QRM122" s="198"/>
      <c r="QRN122" s="199"/>
      <c r="QRO122" s="198"/>
      <c r="QRP122" s="199"/>
      <c r="QRQ122" s="198"/>
      <c r="QRR122" s="199"/>
      <c r="QRS122" s="198"/>
      <c r="QRT122" s="199"/>
      <c r="QRU122" s="198"/>
      <c r="QRV122" s="199"/>
      <c r="QRW122" s="198"/>
      <c r="QRX122" s="199"/>
      <c r="QRY122" s="198"/>
      <c r="QRZ122" s="199"/>
      <c r="QSA122" s="198"/>
      <c r="QSB122" s="199"/>
      <c r="QSC122" s="198"/>
      <c r="QSD122" s="199"/>
      <c r="QSE122" s="198"/>
      <c r="QSF122" s="199"/>
      <c r="QSG122" s="198"/>
      <c r="QSH122" s="199"/>
      <c r="QSI122" s="198"/>
      <c r="QSJ122" s="199"/>
      <c r="QSK122" s="198"/>
      <c r="QSL122" s="199"/>
      <c r="QSM122" s="198"/>
      <c r="QSN122" s="199"/>
      <c r="QSO122" s="198"/>
      <c r="QSP122" s="199"/>
      <c r="QSQ122" s="198"/>
      <c r="QSR122" s="199"/>
      <c r="QSS122" s="198"/>
      <c r="QST122" s="199"/>
      <c r="QSU122" s="198"/>
      <c r="QSV122" s="199"/>
      <c r="QSW122" s="198"/>
      <c r="QSX122" s="199"/>
      <c r="QSY122" s="198"/>
      <c r="QSZ122" s="199"/>
      <c r="QTA122" s="198"/>
      <c r="QTB122" s="199"/>
      <c r="QTC122" s="198"/>
      <c r="QTD122" s="199"/>
      <c r="QTE122" s="198"/>
      <c r="QTF122" s="199"/>
      <c r="QTG122" s="198"/>
      <c r="QTH122" s="199"/>
      <c r="QTI122" s="198"/>
      <c r="QTJ122" s="199"/>
      <c r="QTK122" s="198"/>
      <c r="QTL122" s="199"/>
      <c r="QTM122" s="198"/>
      <c r="QTN122" s="199"/>
      <c r="QTO122" s="198"/>
      <c r="QTP122" s="199"/>
      <c r="QTQ122" s="198"/>
      <c r="QTR122" s="199"/>
      <c r="QTS122" s="198"/>
      <c r="QTT122" s="199"/>
      <c r="QTU122" s="198"/>
      <c r="QTV122" s="199"/>
      <c r="QTW122" s="198"/>
      <c r="QTX122" s="199"/>
      <c r="QTY122" s="198"/>
      <c r="QTZ122" s="199"/>
      <c r="QUA122" s="198"/>
      <c r="QUB122" s="199"/>
      <c r="QUC122" s="198"/>
      <c r="QUD122" s="199"/>
      <c r="QUE122" s="198"/>
      <c r="QUF122" s="199"/>
      <c r="QUG122" s="198"/>
      <c r="QUH122" s="199"/>
      <c r="QUI122" s="198"/>
      <c r="QUJ122" s="199"/>
      <c r="QUK122" s="198"/>
      <c r="QUL122" s="199"/>
      <c r="QUM122" s="198"/>
      <c r="QUN122" s="199"/>
      <c r="QUO122" s="198"/>
      <c r="QUP122" s="199"/>
      <c r="QUQ122" s="198"/>
      <c r="QUR122" s="199"/>
      <c r="QUS122" s="198"/>
      <c r="QUT122" s="199"/>
      <c r="QUU122" s="198"/>
      <c r="QUV122" s="199"/>
      <c r="QUW122" s="198"/>
      <c r="QUX122" s="199"/>
      <c r="QUY122" s="198"/>
      <c r="QUZ122" s="199"/>
      <c r="QVA122" s="198"/>
      <c r="QVB122" s="199"/>
      <c r="QVC122" s="198"/>
      <c r="QVD122" s="199"/>
      <c r="QVE122" s="198"/>
      <c r="QVF122" s="199"/>
      <c r="QVG122" s="198"/>
      <c r="QVH122" s="199"/>
      <c r="QVI122" s="198"/>
      <c r="QVJ122" s="199"/>
      <c r="QVK122" s="198"/>
      <c r="QVL122" s="199"/>
      <c r="QVM122" s="198"/>
      <c r="QVN122" s="199"/>
      <c r="QVO122" s="198"/>
      <c r="QVP122" s="199"/>
      <c r="QVQ122" s="198"/>
      <c r="QVR122" s="199"/>
      <c r="QVS122" s="198"/>
      <c r="QVT122" s="199"/>
      <c r="QVU122" s="198"/>
      <c r="QVV122" s="199"/>
      <c r="QVW122" s="198"/>
      <c r="QVX122" s="199"/>
      <c r="QVY122" s="198"/>
      <c r="QVZ122" s="199"/>
      <c r="QWA122" s="198"/>
      <c r="QWB122" s="199"/>
      <c r="QWC122" s="198"/>
      <c r="QWD122" s="199"/>
      <c r="QWE122" s="198"/>
      <c r="QWF122" s="199"/>
      <c r="QWG122" s="198"/>
      <c r="QWH122" s="199"/>
      <c r="QWI122" s="198"/>
      <c r="QWJ122" s="199"/>
      <c r="QWK122" s="198"/>
      <c r="QWL122" s="199"/>
      <c r="QWM122" s="198"/>
      <c r="QWN122" s="199"/>
      <c r="QWO122" s="198"/>
      <c r="QWP122" s="199"/>
      <c r="QWQ122" s="198"/>
      <c r="QWR122" s="199"/>
      <c r="QWS122" s="198"/>
      <c r="QWT122" s="199"/>
      <c r="QWU122" s="198"/>
      <c r="QWV122" s="199"/>
      <c r="QWW122" s="198"/>
      <c r="QWX122" s="199"/>
      <c r="QWY122" s="198"/>
      <c r="QWZ122" s="199"/>
      <c r="QXA122" s="198"/>
      <c r="QXB122" s="199"/>
      <c r="QXC122" s="198"/>
      <c r="QXD122" s="199"/>
      <c r="QXE122" s="198"/>
      <c r="QXF122" s="199"/>
      <c r="QXG122" s="198"/>
      <c r="QXH122" s="199"/>
      <c r="QXI122" s="198"/>
      <c r="QXJ122" s="199"/>
      <c r="QXK122" s="198"/>
      <c r="QXL122" s="199"/>
      <c r="QXM122" s="198"/>
      <c r="QXN122" s="199"/>
      <c r="QXO122" s="198"/>
      <c r="QXP122" s="199"/>
      <c r="QXQ122" s="198"/>
      <c r="QXR122" s="199"/>
      <c r="QXS122" s="198"/>
      <c r="QXT122" s="199"/>
      <c r="QXU122" s="198"/>
      <c r="QXV122" s="199"/>
      <c r="QXW122" s="198"/>
      <c r="QXX122" s="199"/>
      <c r="QXY122" s="198"/>
      <c r="QXZ122" s="199"/>
      <c r="QYA122" s="198"/>
      <c r="QYB122" s="199"/>
      <c r="QYC122" s="198"/>
      <c r="QYD122" s="199"/>
      <c r="QYE122" s="198"/>
      <c r="QYF122" s="199"/>
      <c r="QYG122" s="198"/>
      <c r="QYH122" s="199"/>
      <c r="QYI122" s="198"/>
      <c r="QYJ122" s="199"/>
      <c r="QYK122" s="198"/>
      <c r="QYL122" s="199"/>
      <c r="QYM122" s="198"/>
      <c r="QYN122" s="199"/>
      <c r="QYO122" s="198"/>
      <c r="QYP122" s="199"/>
      <c r="QYQ122" s="198"/>
      <c r="QYR122" s="199"/>
      <c r="QYS122" s="198"/>
      <c r="QYT122" s="199"/>
      <c r="QYU122" s="198"/>
      <c r="QYV122" s="199"/>
      <c r="QYW122" s="198"/>
      <c r="QYX122" s="199"/>
      <c r="QYY122" s="198"/>
      <c r="QYZ122" s="199"/>
      <c r="QZA122" s="198"/>
      <c r="QZB122" s="199"/>
      <c r="QZC122" s="198"/>
      <c r="QZD122" s="199"/>
      <c r="QZE122" s="198"/>
      <c r="QZF122" s="199"/>
      <c r="QZG122" s="198"/>
      <c r="QZH122" s="199"/>
      <c r="QZI122" s="198"/>
      <c r="QZJ122" s="199"/>
      <c r="QZK122" s="198"/>
      <c r="QZL122" s="199"/>
      <c r="QZM122" s="198"/>
      <c r="QZN122" s="199"/>
      <c r="QZO122" s="198"/>
      <c r="QZP122" s="199"/>
      <c r="QZQ122" s="198"/>
      <c r="QZR122" s="199"/>
      <c r="QZS122" s="198"/>
      <c r="QZT122" s="199"/>
      <c r="QZU122" s="198"/>
      <c r="QZV122" s="199"/>
      <c r="QZW122" s="198"/>
      <c r="QZX122" s="199"/>
      <c r="QZY122" s="198"/>
      <c r="QZZ122" s="199"/>
      <c r="RAA122" s="198"/>
      <c r="RAB122" s="199"/>
      <c r="RAC122" s="198"/>
      <c r="RAD122" s="199"/>
      <c r="RAE122" s="198"/>
      <c r="RAF122" s="199"/>
      <c r="RAG122" s="198"/>
      <c r="RAH122" s="199"/>
      <c r="RAI122" s="198"/>
      <c r="RAJ122" s="199"/>
      <c r="RAK122" s="198"/>
      <c r="RAL122" s="199"/>
      <c r="RAM122" s="198"/>
      <c r="RAN122" s="199"/>
      <c r="RAO122" s="198"/>
      <c r="RAP122" s="199"/>
      <c r="RAQ122" s="198"/>
      <c r="RAR122" s="199"/>
      <c r="RAS122" s="198"/>
      <c r="RAT122" s="199"/>
      <c r="RAU122" s="198"/>
      <c r="RAV122" s="199"/>
      <c r="RAW122" s="198"/>
      <c r="RAX122" s="199"/>
      <c r="RAY122" s="198"/>
      <c r="RAZ122" s="199"/>
      <c r="RBA122" s="198"/>
      <c r="RBB122" s="199"/>
      <c r="RBC122" s="198"/>
      <c r="RBD122" s="199"/>
      <c r="RBE122" s="198"/>
      <c r="RBF122" s="199"/>
      <c r="RBG122" s="198"/>
      <c r="RBH122" s="199"/>
      <c r="RBI122" s="198"/>
      <c r="RBJ122" s="199"/>
      <c r="RBK122" s="198"/>
      <c r="RBL122" s="199"/>
      <c r="RBM122" s="198"/>
      <c r="RBN122" s="199"/>
      <c r="RBO122" s="198"/>
      <c r="RBP122" s="199"/>
      <c r="RBQ122" s="198"/>
      <c r="RBR122" s="199"/>
      <c r="RBS122" s="198"/>
      <c r="RBT122" s="199"/>
      <c r="RBU122" s="198"/>
      <c r="RBV122" s="199"/>
      <c r="RBW122" s="198"/>
      <c r="RBX122" s="199"/>
      <c r="RBY122" s="198"/>
      <c r="RBZ122" s="199"/>
      <c r="RCA122" s="198"/>
      <c r="RCB122" s="199"/>
      <c r="RCC122" s="198"/>
      <c r="RCD122" s="199"/>
      <c r="RCE122" s="198"/>
      <c r="RCF122" s="199"/>
      <c r="RCG122" s="198"/>
      <c r="RCH122" s="199"/>
      <c r="RCI122" s="198"/>
      <c r="RCJ122" s="199"/>
      <c r="RCK122" s="198"/>
      <c r="RCL122" s="199"/>
      <c r="RCM122" s="198"/>
      <c r="RCN122" s="199"/>
      <c r="RCO122" s="198"/>
      <c r="RCP122" s="199"/>
      <c r="RCQ122" s="198"/>
      <c r="RCR122" s="199"/>
      <c r="RCS122" s="198"/>
      <c r="RCT122" s="199"/>
      <c r="RCU122" s="198"/>
      <c r="RCV122" s="199"/>
      <c r="RCW122" s="198"/>
      <c r="RCX122" s="199"/>
      <c r="RCY122" s="198"/>
      <c r="RCZ122" s="199"/>
      <c r="RDA122" s="198"/>
      <c r="RDB122" s="199"/>
      <c r="RDC122" s="198"/>
      <c r="RDD122" s="199"/>
      <c r="RDE122" s="198"/>
      <c r="RDF122" s="199"/>
      <c r="RDG122" s="198"/>
      <c r="RDH122" s="199"/>
      <c r="RDI122" s="198"/>
      <c r="RDJ122" s="199"/>
      <c r="RDK122" s="198"/>
      <c r="RDL122" s="199"/>
      <c r="RDM122" s="198"/>
      <c r="RDN122" s="199"/>
      <c r="RDO122" s="198"/>
      <c r="RDP122" s="199"/>
      <c r="RDQ122" s="198"/>
      <c r="RDR122" s="199"/>
      <c r="RDS122" s="198"/>
      <c r="RDT122" s="199"/>
      <c r="RDU122" s="198"/>
      <c r="RDV122" s="199"/>
      <c r="RDW122" s="198"/>
      <c r="RDX122" s="199"/>
      <c r="RDY122" s="198"/>
      <c r="RDZ122" s="199"/>
      <c r="REA122" s="198"/>
      <c r="REB122" s="199"/>
      <c r="REC122" s="198"/>
      <c r="RED122" s="199"/>
      <c r="REE122" s="198"/>
      <c r="REF122" s="199"/>
      <c r="REG122" s="198"/>
      <c r="REH122" s="199"/>
      <c r="REI122" s="198"/>
      <c r="REJ122" s="199"/>
      <c r="REK122" s="198"/>
      <c r="REL122" s="199"/>
      <c r="REM122" s="198"/>
      <c r="REN122" s="199"/>
      <c r="REO122" s="198"/>
      <c r="REP122" s="199"/>
      <c r="REQ122" s="198"/>
      <c r="RER122" s="199"/>
      <c r="RES122" s="198"/>
      <c r="RET122" s="199"/>
      <c r="REU122" s="198"/>
      <c r="REV122" s="199"/>
      <c r="REW122" s="198"/>
      <c r="REX122" s="199"/>
      <c r="REY122" s="198"/>
      <c r="REZ122" s="199"/>
      <c r="RFA122" s="198"/>
      <c r="RFB122" s="199"/>
      <c r="RFC122" s="198"/>
      <c r="RFD122" s="199"/>
      <c r="RFE122" s="198"/>
      <c r="RFF122" s="199"/>
      <c r="RFG122" s="198"/>
      <c r="RFH122" s="199"/>
      <c r="RFI122" s="198"/>
      <c r="RFJ122" s="199"/>
      <c r="RFK122" s="198"/>
      <c r="RFL122" s="199"/>
      <c r="RFM122" s="198"/>
      <c r="RFN122" s="199"/>
      <c r="RFO122" s="198"/>
      <c r="RFP122" s="199"/>
      <c r="RFQ122" s="198"/>
      <c r="RFR122" s="199"/>
      <c r="RFS122" s="198"/>
      <c r="RFT122" s="199"/>
      <c r="RFU122" s="198"/>
      <c r="RFV122" s="199"/>
      <c r="RFW122" s="198"/>
      <c r="RFX122" s="199"/>
      <c r="RFY122" s="198"/>
      <c r="RFZ122" s="199"/>
      <c r="RGA122" s="198"/>
      <c r="RGB122" s="199"/>
      <c r="RGC122" s="198"/>
      <c r="RGD122" s="199"/>
      <c r="RGE122" s="198"/>
      <c r="RGF122" s="199"/>
      <c r="RGG122" s="198"/>
      <c r="RGH122" s="199"/>
      <c r="RGI122" s="198"/>
      <c r="RGJ122" s="199"/>
      <c r="RGK122" s="198"/>
      <c r="RGL122" s="199"/>
      <c r="RGM122" s="198"/>
      <c r="RGN122" s="199"/>
      <c r="RGO122" s="198"/>
      <c r="RGP122" s="199"/>
      <c r="RGQ122" s="198"/>
      <c r="RGR122" s="199"/>
      <c r="RGS122" s="198"/>
      <c r="RGT122" s="199"/>
      <c r="RGU122" s="198"/>
      <c r="RGV122" s="199"/>
      <c r="RGW122" s="198"/>
      <c r="RGX122" s="199"/>
      <c r="RGY122" s="198"/>
      <c r="RGZ122" s="199"/>
      <c r="RHA122" s="198"/>
      <c r="RHB122" s="199"/>
      <c r="RHC122" s="198"/>
      <c r="RHD122" s="199"/>
      <c r="RHE122" s="198"/>
      <c r="RHF122" s="199"/>
      <c r="RHG122" s="198"/>
      <c r="RHH122" s="199"/>
      <c r="RHI122" s="198"/>
      <c r="RHJ122" s="199"/>
      <c r="RHK122" s="198"/>
      <c r="RHL122" s="199"/>
      <c r="RHM122" s="198"/>
      <c r="RHN122" s="199"/>
      <c r="RHO122" s="198"/>
      <c r="RHP122" s="199"/>
      <c r="RHQ122" s="198"/>
      <c r="RHR122" s="199"/>
      <c r="RHS122" s="198"/>
      <c r="RHT122" s="199"/>
      <c r="RHU122" s="198"/>
      <c r="RHV122" s="199"/>
      <c r="RHW122" s="198"/>
      <c r="RHX122" s="199"/>
      <c r="RHY122" s="198"/>
      <c r="RHZ122" s="199"/>
      <c r="RIA122" s="198"/>
      <c r="RIB122" s="199"/>
      <c r="RIC122" s="198"/>
      <c r="RID122" s="199"/>
      <c r="RIE122" s="198"/>
      <c r="RIF122" s="199"/>
      <c r="RIG122" s="198"/>
      <c r="RIH122" s="199"/>
      <c r="RII122" s="198"/>
      <c r="RIJ122" s="199"/>
      <c r="RIK122" s="198"/>
      <c r="RIL122" s="199"/>
      <c r="RIM122" s="198"/>
      <c r="RIN122" s="199"/>
      <c r="RIO122" s="198"/>
      <c r="RIP122" s="199"/>
      <c r="RIQ122" s="198"/>
      <c r="RIR122" s="199"/>
      <c r="RIS122" s="198"/>
      <c r="RIT122" s="199"/>
      <c r="RIU122" s="198"/>
      <c r="RIV122" s="199"/>
      <c r="RIW122" s="198"/>
      <c r="RIX122" s="199"/>
      <c r="RIY122" s="198"/>
      <c r="RIZ122" s="199"/>
      <c r="RJA122" s="198"/>
      <c r="RJB122" s="199"/>
      <c r="RJC122" s="198"/>
      <c r="RJD122" s="199"/>
      <c r="RJE122" s="198"/>
      <c r="RJF122" s="199"/>
      <c r="RJG122" s="198"/>
      <c r="RJH122" s="199"/>
      <c r="RJI122" s="198"/>
      <c r="RJJ122" s="199"/>
      <c r="RJK122" s="198"/>
      <c r="RJL122" s="199"/>
      <c r="RJM122" s="198"/>
      <c r="RJN122" s="199"/>
      <c r="RJO122" s="198"/>
      <c r="RJP122" s="199"/>
      <c r="RJQ122" s="198"/>
      <c r="RJR122" s="199"/>
      <c r="RJS122" s="198"/>
      <c r="RJT122" s="199"/>
      <c r="RJU122" s="198"/>
      <c r="RJV122" s="199"/>
      <c r="RJW122" s="198"/>
      <c r="RJX122" s="199"/>
      <c r="RJY122" s="198"/>
      <c r="RJZ122" s="199"/>
      <c r="RKA122" s="198"/>
      <c r="RKB122" s="199"/>
      <c r="RKC122" s="198"/>
      <c r="RKD122" s="199"/>
      <c r="RKE122" s="198"/>
      <c r="RKF122" s="199"/>
      <c r="RKG122" s="198"/>
      <c r="RKH122" s="199"/>
      <c r="RKI122" s="198"/>
      <c r="RKJ122" s="199"/>
      <c r="RKK122" s="198"/>
      <c r="RKL122" s="199"/>
      <c r="RKM122" s="198"/>
      <c r="RKN122" s="199"/>
      <c r="RKO122" s="198"/>
      <c r="RKP122" s="199"/>
      <c r="RKQ122" s="198"/>
      <c r="RKR122" s="199"/>
      <c r="RKS122" s="198"/>
      <c r="RKT122" s="199"/>
      <c r="RKU122" s="198"/>
      <c r="RKV122" s="199"/>
      <c r="RKW122" s="198"/>
      <c r="RKX122" s="199"/>
      <c r="RKY122" s="198"/>
      <c r="RKZ122" s="199"/>
      <c r="RLA122" s="198"/>
      <c r="RLB122" s="199"/>
      <c r="RLC122" s="198"/>
      <c r="RLD122" s="199"/>
      <c r="RLE122" s="198"/>
      <c r="RLF122" s="199"/>
      <c r="RLG122" s="198"/>
      <c r="RLH122" s="199"/>
      <c r="RLI122" s="198"/>
      <c r="RLJ122" s="199"/>
      <c r="RLK122" s="198"/>
      <c r="RLL122" s="199"/>
      <c r="RLM122" s="198"/>
      <c r="RLN122" s="199"/>
      <c r="RLO122" s="198"/>
      <c r="RLP122" s="199"/>
      <c r="RLQ122" s="198"/>
      <c r="RLR122" s="199"/>
      <c r="RLS122" s="198"/>
      <c r="RLT122" s="199"/>
      <c r="RLU122" s="198"/>
      <c r="RLV122" s="199"/>
      <c r="RLW122" s="198"/>
      <c r="RLX122" s="199"/>
      <c r="RLY122" s="198"/>
      <c r="RLZ122" s="199"/>
      <c r="RMA122" s="198"/>
      <c r="RMB122" s="199"/>
      <c r="RMC122" s="198"/>
      <c r="RMD122" s="199"/>
      <c r="RME122" s="198"/>
      <c r="RMF122" s="199"/>
      <c r="RMG122" s="198"/>
      <c r="RMH122" s="199"/>
      <c r="RMI122" s="198"/>
      <c r="RMJ122" s="199"/>
      <c r="RMK122" s="198"/>
      <c r="RML122" s="199"/>
      <c r="RMM122" s="198"/>
      <c r="RMN122" s="199"/>
      <c r="RMO122" s="198"/>
      <c r="RMP122" s="199"/>
      <c r="RMQ122" s="198"/>
      <c r="RMR122" s="199"/>
      <c r="RMS122" s="198"/>
      <c r="RMT122" s="199"/>
      <c r="RMU122" s="198"/>
      <c r="RMV122" s="199"/>
      <c r="RMW122" s="198"/>
      <c r="RMX122" s="199"/>
      <c r="RMY122" s="198"/>
      <c r="RMZ122" s="199"/>
      <c r="RNA122" s="198"/>
      <c r="RNB122" s="199"/>
      <c r="RNC122" s="198"/>
      <c r="RND122" s="199"/>
      <c r="RNE122" s="198"/>
      <c r="RNF122" s="199"/>
      <c r="RNG122" s="198"/>
      <c r="RNH122" s="199"/>
      <c r="RNI122" s="198"/>
      <c r="RNJ122" s="199"/>
      <c r="RNK122" s="198"/>
      <c r="RNL122" s="199"/>
      <c r="RNM122" s="198"/>
      <c r="RNN122" s="199"/>
      <c r="RNO122" s="198"/>
      <c r="RNP122" s="199"/>
      <c r="RNQ122" s="198"/>
      <c r="RNR122" s="199"/>
      <c r="RNS122" s="198"/>
      <c r="RNT122" s="199"/>
      <c r="RNU122" s="198"/>
      <c r="RNV122" s="199"/>
      <c r="RNW122" s="198"/>
      <c r="RNX122" s="199"/>
      <c r="RNY122" s="198"/>
      <c r="RNZ122" s="199"/>
      <c r="ROA122" s="198"/>
      <c r="ROB122" s="199"/>
      <c r="ROC122" s="198"/>
      <c r="ROD122" s="199"/>
      <c r="ROE122" s="198"/>
      <c r="ROF122" s="199"/>
      <c r="ROG122" s="198"/>
      <c r="ROH122" s="199"/>
      <c r="ROI122" s="198"/>
      <c r="ROJ122" s="199"/>
      <c r="ROK122" s="198"/>
      <c r="ROL122" s="199"/>
      <c r="ROM122" s="198"/>
      <c r="RON122" s="199"/>
      <c r="ROO122" s="198"/>
      <c r="ROP122" s="199"/>
      <c r="ROQ122" s="198"/>
      <c r="ROR122" s="199"/>
      <c r="ROS122" s="198"/>
      <c r="ROT122" s="199"/>
      <c r="ROU122" s="198"/>
      <c r="ROV122" s="199"/>
      <c r="ROW122" s="198"/>
      <c r="ROX122" s="199"/>
      <c r="ROY122" s="198"/>
      <c r="ROZ122" s="199"/>
      <c r="RPA122" s="198"/>
      <c r="RPB122" s="199"/>
      <c r="RPC122" s="198"/>
      <c r="RPD122" s="199"/>
      <c r="RPE122" s="198"/>
      <c r="RPF122" s="199"/>
      <c r="RPG122" s="198"/>
      <c r="RPH122" s="199"/>
      <c r="RPI122" s="198"/>
      <c r="RPJ122" s="199"/>
      <c r="RPK122" s="198"/>
      <c r="RPL122" s="199"/>
      <c r="RPM122" s="198"/>
      <c r="RPN122" s="199"/>
      <c r="RPO122" s="198"/>
      <c r="RPP122" s="199"/>
      <c r="RPQ122" s="198"/>
      <c r="RPR122" s="199"/>
      <c r="RPS122" s="198"/>
      <c r="RPT122" s="199"/>
      <c r="RPU122" s="198"/>
      <c r="RPV122" s="199"/>
      <c r="RPW122" s="198"/>
      <c r="RPX122" s="199"/>
      <c r="RPY122" s="198"/>
      <c r="RPZ122" s="199"/>
      <c r="RQA122" s="198"/>
      <c r="RQB122" s="199"/>
      <c r="RQC122" s="198"/>
      <c r="RQD122" s="199"/>
      <c r="RQE122" s="198"/>
      <c r="RQF122" s="199"/>
      <c r="RQG122" s="198"/>
      <c r="RQH122" s="199"/>
      <c r="RQI122" s="198"/>
      <c r="RQJ122" s="199"/>
      <c r="RQK122" s="198"/>
      <c r="RQL122" s="199"/>
      <c r="RQM122" s="198"/>
      <c r="RQN122" s="199"/>
      <c r="RQO122" s="198"/>
      <c r="RQP122" s="199"/>
      <c r="RQQ122" s="198"/>
      <c r="RQR122" s="199"/>
      <c r="RQS122" s="198"/>
      <c r="RQT122" s="199"/>
      <c r="RQU122" s="198"/>
      <c r="RQV122" s="199"/>
      <c r="RQW122" s="198"/>
      <c r="RQX122" s="199"/>
      <c r="RQY122" s="198"/>
      <c r="RQZ122" s="199"/>
      <c r="RRA122" s="198"/>
      <c r="RRB122" s="199"/>
      <c r="RRC122" s="198"/>
      <c r="RRD122" s="199"/>
      <c r="RRE122" s="198"/>
      <c r="RRF122" s="199"/>
      <c r="RRG122" s="198"/>
      <c r="RRH122" s="199"/>
      <c r="RRI122" s="198"/>
      <c r="RRJ122" s="199"/>
      <c r="RRK122" s="198"/>
      <c r="RRL122" s="199"/>
      <c r="RRM122" s="198"/>
      <c r="RRN122" s="199"/>
      <c r="RRO122" s="198"/>
      <c r="RRP122" s="199"/>
      <c r="RRQ122" s="198"/>
      <c r="RRR122" s="199"/>
      <c r="RRS122" s="198"/>
      <c r="RRT122" s="199"/>
      <c r="RRU122" s="198"/>
      <c r="RRV122" s="199"/>
      <c r="RRW122" s="198"/>
      <c r="RRX122" s="199"/>
      <c r="RRY122" s="198"/>
      <c r="RRZ122" s="199"/>
      <c r="RSA122" s="198"/>
      <c r="RSB122" s="199"/>
      <c r="RSC122" s="198"/>
      <c r="RSD122" s="199"/>
      <c r="RSE122" s="198"/>
      <c r="RSF122" s="199"/>
      <c r="RSG122" s="198"/>
      <c r="RSH122" s="199"/>
      <c r="RSI122" s="198"/>
      <c r="RSJ122" s="199"/>
      <c r="RSK122" s="198"/>
      <c r="RSL122" s="199"/>
      <c r="RSM122" s="198"/>
      <c r="RSN122" s="199"/>
      <c r="RSO122" s="198"/>
      <c r="RSP122" s="199"/>
      <c r="RSQ122" s="198"/>
      <c r="RSR122" s="199"/>
      <c r="RSS122" s="198"/>
      <c r="RST122" s="199"/>
      <c r="RSU122" s="198"/>
      <c r="RSV122" s="199"/>
      <c r="RSW122" s="198"/>
      <c r="RSX122" s="199"/>
      <c r="RSY122" s="198"/>
      <c r="RSZ122" s="199"/>
      <c r="RTA122" s="198"/>
      <c r="RTB122" s="199"/>
      <c r="RTC122" s="198"/>
      <c r="RTD122" s="199"/>
      <c r="RTE122" s="198"/>
      <c r="RTF122" s="199"/>
      <c r="RTG122" s="198"/>
      <c r="RTH122" s="199"/>
      <c r="RTI122" s="198"/>
      <c r="RTJ122" s="199"/>
      <c r="RTK122" s="198"/>
      <c r="RTL122" s="199"/>
      <c r="RTM122" s="198"/>
      <c r="RTN122" s="199"/>
      <c r="RTO122" s="198"/>
      <c r="RTP122" s="199"/>
      <c r="RTQ122" s="198"/>
      <c r="RTR122" s="199"/>
      <c r="RTS122" s="198"/>
      <c r="RTT122" s="199"/>
      <c r="RTU122" s="198"/>
      <c r="RTV122" s="199"/>
      <c r="RTW122" s="198"/>
      <c r="RTX122" s="199"/>
      <c r="RTY122" s="198"/>
      <c r="RTZ122" s="199"/>
      <c r="RUA122" s="198"/>
      <c r="RUB122" s="199"/>
      <c r="RUC122" s="198"/>
      <c r="RUD122" s="199"/>
      <c r="RUE122" s="198"/>
      <c r="RUF122" s="199"/>
      <c r="RUG122" s="198"/>
      <c r="RUH122" s="199"/>
      <c r="RUI122" s="198"/>
      <c r="RUJ122" s="199"/>
      <c r="RUK122" s="198"/>
      <c r="RUL122" s="199"/>
      <c r="RUM122" s="198"/>
      <c r="RUN122" s="199"/>
      <c r="RUO122" s="198"/>
      <c r="RUP122" s="199"/>
      <c r="RUQ122" s="198"/>
      <c r="RUR122" s="199"/>
      <c r="RUS122" s="198"/>
      <c r="RUT122" s="199"/>
      <c r="RUU122" s="198"/>
      <c r="RUV122" s="199"/>
      <c r="RUW122" s="198"/>
      <c r="RUX122" s="199"/>
      <c r="RUY122" s="198"/>
      <c r="RUZ122" s="199"/>
      <c r="RVA122" s="198"/>
      <c r="RVB122" s="199"/>
      <c r="RVC122" s="198"/>
      <c r="RVD122" s="199"/>
      <c r="RVE122" s="198"/>
      <c r="RVF122" s="199"/>
      <c r="RVG122" s="198"/>
      <c r="RVH122" s="199"/>
      <c r="RVI122" s="198"/>
      <c r="RVJ122" s="199"/>
      <c r="RVK122" s="198"/>
      <c r="RVL122" s="199"/>
      <c r="RVM122" s="198"/>
      <c r="RVN122" s="199"/>
      <c r="RVO122" s="198"/>
      <c r="RVP122" s="199"/>
      <c r="RVQ122" s="198"/>
      <c r="RVR122" s="199"/>
      <c r="RVS122" s="198"/>
      <c r="RVT122" s="199"/>
      <c r="RVU122" s="198"/>
      <c r="RVV122" s="199"/>
      <c r="RVW122" s="198"/>
      <c r="RVX122" s="199"/>
      <c r="RVY122" s="198"/>
      <c r="RVZ122" s="199"/>
      <c r="RWA122" s="198"/>
      <c r="RWB122" s="199"/>
      <c r="RWC122" s="198"/>
      <c r="RWD122" s="199"/>
      <c r="RWE122" s="198"/>
      <c r="RWF122" s="199"/>
      <c r="RWG122" s="198"/>
      <c r="RWH122" s="199"/>
      <c r="RWI122" s="198"/>
      <c r="RWJ122" s="199"/>
      <c r="RWK122" s="198"/>
      <c r="RWL122" s="199"/>
      <c r="RWM122" s="198"/>
      <c r="RWN122" s="199"/>
      <c r="RWO122" s="198"/>
      <c r="RWP122" s="199"/>
      <c r="RWQ122" s="198"/>
      <c r="RWR122" s="199"/>
      <c r="RWS122" s="198"/>
      <c r="RWT122" s="199"/>
      <c r="RWU122" s="198"/>
      <c r="RWV122" s="199"/>
      <c r="RWW122" s="198"/>
      <c r="RWX122" s="199"/>
      <c r="RWY122" s="198"/>
      <c r="RWZ122" s="199"/>
      <c r="RXA122" s="198"/>
      <c r="RXB122" s="199"/>
      <c r="RXC122" s="198"/>
      <c r="RXD122" s="199"/>
      <c r="RXE122" s="198"/>
      <c r="RXF122" s="199"/>
      <c r="RXG122" s="198"/>
      <c r="RXH122" s="199"/>
      <c r="RXI122" s="198"/>
      <c r="RXJ122" s="199"/>
      <c r="RXK122" s="198"/>
      <c r="RXL122" s="199"/>
      <c r="RXM122" s="198"/>
      <c r="RXN122" s="199"/>
      <c r="RXO122" s="198"/>
      <c r="RXP122" s="199"/>
      <c r="RXQ122" s="198"/>
      <c r="RXR122" s="199"/>
      <c r="RXS122" s="198"/>
      <c r="RXT122" s="199"/>
      <c r="RXU122" s="198"/>
      <c r="RXV122" s="199"/>
      <c r="RXW122" s="198"/>
      <c r="RXX122" s="199"/>
      <c r="RXY122" s="198"/>
      <c r="RXZ122" s="199"/>
      <c r="RYA122" s="198"/>
      <c r="RYB122" s="199"/>
      <c r="RYC122" s="198"/>
      <c r="RYD122" s="199"/>
      <c r="RYE122" s="198"/>
      <c r="RYF122" s="199"/>
      <c r="RYG122" s="198"/>
      <c r="RYH122" s="199"/>
      <c r="RYI122" s="198"/>
      <c r="RYJ122" s="199"/>
      <c r="RYK122" s="198"/>
      <c r="RYL122" s="199"/>
      <c r="RYM122" s="198"/>
      <c r="RYN122" s="199"/>
      <c r="RYO122" s="198"/>
      <c r="RYP122" s="199"/>
      <c r="RYQ122" s="198"/>
      <c r="RYR122" s="199"/>
      <c r="RYS122" s="198"/>
      <c r="RYT122" s="199"/>
      <c r="RYU122" s="198"/>
      <c r="RYV122" s="199"/>
      <c r="RYW122" s="198"/>
      <c r="RYX122" s="199"/>
      <c r="RYY122" s="198"/>
      <c r="RYZ122" s="199"/>
      <c r="RZA122" s="198"/>
      <c r="RZB122" s="199"/>
      <c r="RZC122" s="198"/>
      <c r="RZD122" s="199"/>
      <c r="RZE122" s="198"/>
      <c r="RZF122" s="199"/>
      <c r="RZG122" s="198"/>
      <c r="RZH122" s="199"/>
      <c r="RZI122" s="198"/>
      <c r="RZJ122" s="199"/>
      <c r="RZK122" s="198"/>
      <c r="RZL122" s="199"/>
      <c r="RZM122" s="198"/>
      <c r="RZN122" s="199"/>
      <c r="RZO122" s="198"/>
      <c r="RZP122" s="199"/>
      <c r="RZQ122" s="198"/>
      <c r="RZR122" s="199"/>
      <c r="RZS122" s="198"/>
      <c r="RZT122" s="199"/>
      <c r="RZU122" s="198"/>
      <c r="RZV122" s="199"/>
      <c r="RZW122" s="198"/>
      <c r="RZX122" s="199"/>
      <c r="RZY122" s="198"/>
      <c r="RZZ122" s="199"/>
      <c r="SAA122" s="198"/>
      <c r="SAB122" s="199"/>
      <c r="SAC122" s="198"/>
      <c r="SAD122" s="199"/>
      <c r="SAE122" s="198"/>
      <c r="SAF122" s="199"/>
      <c r="SAG122" s="198"/>
      <c r="SAH122" s="199"/>
      <c r="SAI122" s="198"/>
      <c r="SAJ122" s="199"/>
      <c r="SAK122" s="198"/>
      <c r="SAL122" s="199"/>
      <c r="SAM122" s="198"/>
      <c r="SAN122" s="199"/>
      <c r="SAO122" s="198"/>
      <c r="SAP122" s="199"/>
      <c r="SAQ122" s="198"/>
      <c r="SAR122" s="199"/>
      <c r="SAS122" s="198"/>
      <c r="SAT122" s="199"/>
      <c r="SAU122" s="198"/>
      <c r="SAV122" s="199"/>
      <c r="SAW122" s="198"/>
      <c r="SAX122" s="199"/>
      <c r="SAY122" s="198"/>
      <c r="SAZ122" s="199"/>
      <c r="SBA122" s="198"/>
      <c r="SBB122" s="199"/>
      <c r="SBC122" s="198"/>
      <c r="SBD122" s="199"/>
      <c r="SBE122" s="198"/>
      <c r="SBF122" s="199"/>
      <c r="SBG122" s="198"/>
      <c r="SBH122" s="199"/>
      <c r="SBI122" s="198"/>
      <c r="SBJ122" s="199"/>
      <c r="SBK122" s="198"/>
      <c r="SBL122" s="199"/>
      <c r="SBM122" s="198"/>
      <c r="SBN122" s="199"/>
      <c r="SBO122" s="198"/>
      <c r="SBP122" s="199"/>
      <c r="SBQ122" s="198"/>
      <c r="SBR122" s="199"/>
      <c r="SBS122" s="198"/>
      <c r="SBT122" s="199"/>
      <c r="SBU122" s="198"/>
      <c r="SBV122" s="199"/>
      <c r="SBW122" s="198"/>
      <c r="SBX122" s="199"/>
      <c r="SBY122" s="198"/>
      <c r="SBZ122" s="199"/>
      <c r="SCA122" s="198"/>
      <c r="SCB122" s="199"/>
      <c r="SCC122" s="198"/>
      <c r="SCD122" s="199"/>
      <c r="SCE122" s="198"/>
      <c r="SCF122" s="199"/>
      <c r="SCG122" s="198"/>
      <c r="SCH122" s="199"/>
      <c r="SCI122" s="198"/>
      <c r="SCJ122" s="199"/>
      <c r="SCK122" s="198"/>
      <c r="SCL122" s="199"/>
      <c r="SCM122" s="198"/>
      <c r="SCN122" s="199"/>
      <c r="SCO122" s="198"/>
      <c r="SCP122" s="199"/>
      <c r="SCQ122" s="198"/>
      <c r="SCR122" s="199"/>
      <c r="SCS122" s="198"/>
      <c r="SCT122" s="199"/>
      <c r="SCU122" s="198"/>
      <c r="SCV122" s="199"/>
      <c r="SCW122" s="198"/>
      <c r="SCX122" s="199"/>
      <c r="SCY122" s="198"/>
      <c r="SCZ122" s="199"/>
      <c r="SDA122" s="198"/>
      <c r="SDB122" s="199"/>
      <c r="SDC122" s="198"/>
      <c r="SDD122" s="199"/>
      <c r="SDE122" s="198"/>
      <c r="SDF122" s="199"/>
      <c r="SDG122" s="198"/>
      <c r="SDH122" s="199"/>
      <c r="SDI122" s="198"/>
      <c r="SDJ122" s="199"/>
      <c r="SDK122" s="198"/>
      <c r="SDL122" s="199"/>
      <c r="SDM122" s="198"/>
      <c r="SDN122" s="199"/>
      <c r="SDO122" s="198"/>
      <c r="SDP122" s="199"/>
      <c r="SDQ122" s="198"/>
      <c r="SDR122" s="199"/>
      <c r="SDS122" s="198"/>
      <c r="SDT122" s="199"/>
      <c r="SDU122" s="198"/>
      <c r="SDV122" s="199"/>
      <c r="SDW122" s="198"/>
      <c r="SDX122" s="199"/>
      <c r="SDY122" s="198"/>
      <c r="SDZ122" s="199"/>
      <c r="SEA122" s="198"/>
      <c r="SEB122" s="199"/>
      <c r="SEC122" s="198"/>
      <c r="SED122" s="199"/>
      <c r="SEE122" s="198"/>
      <c r="SEF122" s="199"/>
      <c r="SEG122" s="198"/>
      <c r="SEH122" s="199"/>
      <c r="SEI122" s="198"/>
      <c r="SEJ122" s="199"/>
      <c r="SEK122" s="198"/>
      <c r="SEL122" s="199"/>
      <c r="SEM122" s="198"/>
      <c r="SEN122" s="199"/>
      <c r="SEO122" s="198"/>
      <c r="SEP122" s="199"/>
      <c r="SEQ122" s="198"/>
      <c r="SER122" s="199"/>
      <c r="SES122" s="198"/>
      <c r="SET122" s="199"/>
      <c r="SEU122" s="198"/>
      <c r="SEV122" s="199"/>
      <c r="SEW122" s="198"/>
      <c r="SEX122" s="199"/>
      <c r="SEY122" s="198"/>
      <c r="SEZ122" s="199"/>
      <c r="SFA122" s="198"/>
      <c r="SFB122" s="199"/>
      <c r="SFC122" s="198"/>
      <c r="SFD122" s="199"/>
      <c r="SFE122" s="198"/>
      <c r="SFF122" s="199"/>
      <c r="SFG122" s="198"/>
      <c r="SFH122" s="199"/>
      <c r="SFI122" s="198"/>
      <c r="SFJ122" s="199"/>
      <c r="SFK122" s="198"/>
      <c r="SFL122" s="199"/>
      <c r="SFM122" s="198"/>
      <c r="SFN122" s="199"/>
      <c r="SFO122" s="198"/>
      <c r="SFP122" s="199"/>
      <c r="SFQ122" s="198"/>
      <c r="SFR122" s="199"/>
      <c r="SFS122" s="198"/>
      <c r="SFT122" s="199"/>
      <c r="SFU122" s="198"/>
      <c r="SFV122" s="199"/>
      <c r="SFW122" s="198"/>
      <c r="SFX122" s="199"/>
      <c r="SFY122" s="198"/>
      <c r="SFZ122" s="199"/>
      <c r="SGA122" s="198"/>
      <c r="SGB122" s="199"/>
      <c r="SGC122" s="198"/>
      <c r="SGD122" s="199"/>
      <c r="SGE122" s="198"/>
      <c r="SGF122" s="199"/>
      <c r="SGG122" s="198"/>
      <c r="SGH122" s="199"/>
      <c r="SGI122" s="198"/>
      <c r="SGJ122" s="199"/>
      <c r="SGK122" s="198"/>
      <c r="SGL122" s="199"/>
      <c r="SGM122" s="198"/>
      <c r="SGN122" s="199"/>
      <c r="SGO122" s="198"/>
      <c r="SGP122" s="199"/>
      <c r="SGQ122" s="198"/>
      <c r="SGR122" s="199"/>
      <c r="SGS122" s="198"/>
      <c r="SGT122" s="199"/>
      <c r="SGU122" s="198"/>
      <c r="SGV122" s="199"/>
      <c r="SGW122" s="198"/>
      <c r="SGX122" s="199"/>
      <c r="SGY122" s="198"/>
      <c r="SGZ122" s="199"/>
      <c r="SHA122" s="198"/>
      <c r="SHB122" s="199"/>
      <c r="SHC122" s="198"/>
      <c r="SHD122" s="199"/>
      <c r="SHE122" s="198"/>
      <c r="SHF122" s="199"/>
      <c r="SHG122" s="198"/>
      <c r="SHH122" s="199"/>
      <c r="SHI122" s="198"/>
      <c r="SHJ122" s="199"/>
      <c r="SHK122" s="198"/>
      <c r="SHL122" s="199"/>
      <c r="SHM122" s="198"/>
      <c r="SHN122" s="199"/>
      <c r="SHO122" s="198"/>
      <c r="SHP122" s="199"/>
      <c r="SHQ122" s="198"/>
      <c r="SHR122" s="199"/>
      <c r="SHS122" s="198"/>
      <c r="SHT122" s="199"/>
      <c r="SHU122" s="198"/>
      <c r="SHV122" s="199"/>
      <c r="SHW122" s="198"/>
      <c r="SHX122" s="199"/>
      <c r="SHY122" s="198"/>
      <c r="SHZ122" s="199"/>
      <c r="SIA122" s="198"/>
      <c r="SIB122" s="199"/>
      <c r="SIC122" s="198"/>
      <c r="SID122" s="199"/>
      <c r="SIE122" s="198"/>
      <c r="SIF122" s="199"/>
      <c r="SIG122" s="198"/>
      <c r="SIH122" s="199"/>
      <c r="SII122" s="198"/>
      <c r="SIJ122" s="199"/>
      <c r="SIK122" s="198"/>
      <c r="SIL122" s="199"/>
      <c r="SIM122" s="198"/>
      <c r="SIN122" s="199"/>
      <c r="SIO122" s="198"/>
      <c r="SIP122" s="199"/>
      <c r="SIQ122" s="198"/>
      <c r="SIR122" s="199"/>
      <c r="SIS122" s="198"/>
      <c r="SIT122" s="199"/>
      <c r="SIU122" s="198"/>
      <c r="SIV122" s="199"/>
      <c r="SIW122" s="198"/>
      <c r="SIX122" s="199"/>
      <c r="SIY122" s="198"/>
      <c r="SIZ122" s="199"/>
      <c r="SJA122" s="198"/>
      <c r="SJB122" s="199"/>
      <c r="SJC122" s="198"/>
      <c r="SJD122" s="199"/>
      <c r="SJE122" s="198"/>
      <c r="SJF122" s="199"/>
      <c r="SJG122" s="198"/>
      <c r="SJH122" s="199"/>
      <c r="SJI122" s="198"/>
      <c r="SJJ122" s="199"/>
      <c r="SJK122" s="198"/>
      <c r="SJL122" s="199"/>
      <c r="SJM122" s="198"/>
      <c r="SJN122" s="199"/>
      <c r="SJO122" s="198"/>
      <c r="SJP122" s="199"/>
      <c r="SJQ122" s="198"/>
      <c r="SJR122" s="199"/>
      <c r="SJS122" s="198"/>
      <c r="SJT122" s="199"/>
      <c r="SJU122" s="198"/>
      <c r="SJV122" s="199"/>
      <c r="SJW122" s="198"/>
      <c r="SJX122" s="199"/>
      <c r="SJY122" s="198"/>
      <c r="SJZ122" s="199"/>
      <c r="SKA122" s="198"/>
      <c r="SKB122" s="199"/>
      <c r="SKC122" s="198"/>
      <c r="SKD122" s="199"/>
      <c r="SKE122" s="198"/>
      <c r="SKF122" s="199"/>
      <c r="SKG122" s="198"/>
      <c r="SKH122" s="199"/>
      <c r="SKI122" s="198"/>
      <c r="SKJ122" s="199"/>
      <c r="SKK122" s="198"/>
      <c r="SKL122" s="199"/>
      <c r="SKM122" s="198"/>
      <c r="SKN122" s="199"/>
      <c r="SKO122" s="198"/>
      <c r="SKP122" s="199"/>
      <c r="SKQ122" s="198"/>
      <c r="SKR122" s="199"/>
      <c r="SKS122" s="198"/>
      <c r="SKT122" s="199"/>
      <c r="SKU122" s="198"/>
      <c r="SKV122" s="199"/>
      <c r="SKW122" s="198"/>
      <c r="SKX122" s="199"/>
      <c r="SKY122" s="198"/>
      <c r="SKZ122" s="199"/>
      <c r="SLA122" s="198"/>
      <c r="SLB122" s="199"/>
      <c r="SLC122" s="198"/>
      <c r="SLD122" s="199"/>
      <c r="SLE122" s="198"/>
      <c r="SLF122" s="199"/>
      <c r="SLG122" s="198"/>
      <c r="SLH122" s="199"/>
      <c r="SLI122" s="198"/>
      <c r="SLJ122" s="199"/>
      <c r="SLK122" s="198"/>
      <c r="SLL122" s="199"/>
      <c r="SLM122" s="198"/>
      <c r="SLN122" s="199"/>
      <c r="SLO122" s="198"/>
      <c r="SLP122" s="199"/>
      <c r="SLQ122" s="198"/>
      <c r="SLR122" s="199"/>
      <c r="SLS122" s="198"/>
      <c r="SLT122" s="199"/>
      <c r="SLU122" s="198"/>
      <c r="SLV122" s="199"/>
      <c r="SLW122" s="198"/>
      <c r="SLX122" s="199"/>
      <c r="SLY122" s="198"/>
      <c r="SLZ122" s="199"/>
      <c r="SMA122" s="198"/>
      <c r="SMB122" s="199"/>
      <c r="SMC122" s="198"/>
      <c r="SMD122" s="199"/>
      <c r="SME122" s="198"/>
      <c r="SMF122" s="199"/>
      <c r="SMG122" s="198"/>
      <c r="SMH122" s="199"/>
      <c r="SMI122" s="198"/>
      <c r="SMJ122" s="199"/>
      <c r="SMK122" s="198"/>
      <c r="SML122" s="199"/>
      <c r="SMM122" s="198"/>
      <c r="SMN122" s="199"/>
      <c r="SMO122" s="198"/>
      <c r="SMP122" s="199"/>
      <c r="SMQ122" s="198"/>
      <c r="SMR122" s="199"/>
      <c r="SMS122" s="198"/>
      <c r="SMT122" s="199"/>
      <c r="SMU122" s="198"/>
      <c r="SMV122" s="199"/>
      <c r="SMW122" s="198"/>
      <c r="SMX122" s="199"/>
      <c r="SMY122" s="198"/>
      <c r="SMZ122" s="199"/>
      <c r="SNA122" s="198"/>
      <c r="SNB122" s="199"/>
      <c r="SNC122" s="198"/>
      <c r="SND122" s="199"/>
      <c r="SNE122" s="198"/>
      <c r="SNF122" s="199"/>
      <c r="SNG122" s="198"/>
      <c r="SNH122" s="199"/>
      <c r="SNI122" s="198"/>
      <c r="SNJ122" s="199"/>
      <c r="SNK122" s="198"/>
      <c r="SNL122" s="199"/>
      <c r="SNM122" s="198"/>
      <c r="SNN122" s="199"/>
      <c r="SNO122" s="198"/>
      <c r="SNP122" s="199"/>
      <c r="SNQ122" s="198"/>
      <c r="SNR122" s="199"/>
      <c r="SNS122" s="198"/>
      <c r="SNT122" s="199"/>
      <c r="SNU122" s="198"/>
      <c r="SNV122" s="199"/>
      <c r="SNW122" s="198"/>
      <c r="SNX122" s="199"/>
      <c r="SNY122" s="198"/>
      <c r="SNZ122" s="199"/>
      <c r="SOA122" s="198"/>
      <c r="SOB122" s="199"/>
      <c r="SOC122" s="198"/>
      <c r="SOD122" s="199"/>
      <c r="SOE122" s="198"/>
      <c r="SOF122" s="199"/>
      <c r="SOG122" s="198"/>
      <c r="SOH122" s="199"/>
      <c r="SOI122" s="198"/>
      <c r="SOJ122" s="199"/>
      <c r="SOK122" s="198"/>
      <c r="SOL122" s="199"/>
      <c r="SOM122" s="198"/>
      <c r="SON122" s="199"/>
      <c r="SOO122" s="198"/>
      <c r="SOP122" s="199"/>
      <c r="SOQ122" s="198"/>
      <c r="SOR122" s="199"/>
      <c r="SOS122" s="198"/>
      <c r="SOT122" s="199"/>
      <c r="SOU122" s="198"/>
      <c r="SOV122" s="199"/>
      <c r="SOW122" s="198"/>
      <c r="SOX122" s="199"/>
      <c r="SOY122" s="198"/>
      <c r="SOZ122" s="199"/>
      <c r="SPA122" s="198"/>
      <c r="SPB122" s="199"/>
      <c r="SPC122" s="198"/>
      <c r="SPD122" s="199"/>
      <c r="SPE122" s="198"/>
      <c r="SPF122" s="199"/>
      <c r="SPG122" s="198"/>
      <c r="SPH122" s="199"/>
      <c r="SPI122" s="198"/>
      <c r="SPJ122" s="199"/>
      <c r="SPK122" s="198"/>
      <c r="SPL122" s="199"/>
      <c r="SPM122" s="198"/>
      <c r="SPN122" s="199"/>
      <c r="SPO122" s="198"/>
      <c r="SPP122" s="199"/>
      <c r="SPQ122" s="198"/>
      <c r="SPR122" s="199"/>
      <c r="SPS122" s="198"/>
      <c r="SPT122" s="199"/>
      <c r="SPU122" s="198"/>
      <c r="SPV122" s="199"/>
      <c r="SPW122" s="198"/>
      <c r="SPX122" s="199"/>
      <c r="SPY122" s="198"/>
      <c r="SPZ122" s="199"/>
      <c r="SQA122" s="198"/>
      <c r="SQB122" s="199"/>
      <c r="SQC122" s="198"/>
      <c r="SQD122" s="199"/>
      <c r="SQE122" s="198"/>
      <c r="SQF122" s="199"/>
      <c r="SQG122" s="198"/>
      <c r="SQH122" s="199"/>
      <c r="SQI122" s="198"/>
      <c r="SQJ122" s="199"/>
      <c r="SQK122" s="198"/>
      <c r="SQL122" s="199"/>
      <c r="SQM122" s="198"/>
      <c r="SQN122" s="199"/>
      <c r="SQO122" s="198"/>
      <c r="SQP122" s="199"/>
      <c r="SQQ122" s="198"/>
      <c r="SQR122" s="199"/>
      <c r="SQS122" s="198"/>
      <c r="SQT122" s="199"/>
      <c r="SQU122" s="198"/>
      <c r="SQV122" s="199"/>
      <c r="SQW122" s="198"/>
      <c r="SQX122" s="199"/>
      <c r="SQY122" s="198"/>
      <c r="SQZ122" s="199"/>
      <c r="SRA122" s="198"/>
      <c r="SRB122" s="199"/>
      <c r="SRC122" s="198"/>
      <c r="SRD122" s="199"/>
      <c r="SRE122" s="198"/>
      <c r="SRF122" s="199"/>
      <c r="SRG122" s="198"/>
      <c r="SRH122" s="199"/>
      <c r="SRI122" s="198"/>
      <c r="SRJ122" s="199"/>
      <c r="SRK122" s="198"/>
      <c r="SRL122" s="199"/>
      <c r="SRM122" s="198"/>
      <c r="SRN122" s="199"/>
      <c r="SRO122" s="198"/>
      <c r="SRP122" s="199"/>
      <c r="SRQ122" s="198"/>
      <c r="SRR122" s="199"/>
      <c r="SRS122" s="198"/>
      <c r="SRT122" s="199"/>
      <c r="SRU122" s="198"/>
      <c r="SRV122" s="199"/>
      <c r="SRW122" s="198"/>
      <c r="SRX122" s="199"/>
      <c r="SRY122" s="198"/>
      <c r="SRZ122" s="199"/>
      <c r="SSA122" s="198"/>
      <c r="SSB122" s="199"/>
      <c r="SSC122" s="198"/>
      <c r="SSD122" s="199"/>
      <c r="SSE122" s="198"/>
      <c r="SSF122" s="199"/>
      <c r="SSG122" s="198"/>
      <c r="SSH122" s="199"/>
      <c r="SSI122" s="198"/>
      <c r="SSJ122" s="199"/>
      <c r="SSK122" s="198"/>
      <c r="SSL122" s="199"/>
      <c r="SSM122" s="198"/>
      <c r="SSN122" s="199"/>
      <c r="SSO122" s="198"/>
      <c r="SSP122" s="199"/>
      <c r="SSQ122" s="198"/>
      <c r="SSR122" s="199"/>
      <c r="SSS122" s="198"/>
      <c r="SST122" s="199"/>
      <c r="SSU122" s="198"/>
      <c r="SSV122" s="199"/>
      <c r="SSW122" s="198"/>
      <c r="SSX122" s="199"/>
      <c r="SSY122" s="198"/>
      <c r="SSZ122" s="199"/>
      <c r="STA122" s="198"/>
      <c r="STB122" s="199"/>
      <c r="STC122" s="198"/>
      <c r="STD122" s="199"/>
      <c r="STE122" s="198"/>
      <c r="STF122" s="199"/>
      <c r="STG122" s="198"/>
      <c r="STH122" s="199"/>
      <c r="STI122" s="198"/>
      <c r="STJ122" s="199"/>
      <c r="STK122" s="198"/>
      <c r="STL122" s="199"/>
      <c r="STM122" s="198"/>
      <c r="STN122" s="199"/>
      <c r="STO122" s="198"/>
      <c r="STP122" s="199"/>
      <c r="STQ122" s="198"/>
      <c r="STR122" s="199"/>
      <c r="STS122" s="198"/>
      <c r="STT122" s="199"/>
      <c r="STU122" s="198"/>
      <c r="STV122" s="199"/>
      <c r="STW122" s="198"/>
      <c r="STX122" s="199"/>
      <c r="STY122" s="198"/>
      <c r="STZ122" s="199"/>
      <c r="SUA122" s="198"/>
      <c r="SUB122" s="199"/>
      <c r="SUC122" s="198"/>
      <c r="SUD122" s="199"/>
      <c r="SUE122" s="198"/>
      <c r="SUF122" s="199"/>
      <c r="SUG122" s="198"/>
      <c r="SUH122" s="199"/>
      <c r="SUI122" s="198"/>
      <c r="SUJ122" s="199"/>
      <c r="SUK122" s="198"/>
      <c r="SUL122" s="199"/>
      <c r="SUM122" s="198"/>
      <c r="SUN122" s="199"/>
      <c r="SUO122" s="198"/>
      <c r="SUP122" s="199"/>
      <c r="SUQ122" s="198"/>
      <c r="SUR122" s="199"/>
      <c r="SUS122" s="198"/>
      <c r="SUT122" s="199"/>
      <c r="SUU122" s="198"/>
      <c r="SUV122" s="199"/>
      <c r="SUW122" s="198"/>
      <c r="SUX122" s="199"/>
      <c r="SUY122" s="198"/>
      <c r="SUZ122" s="199"/>
      <c r="SVA122" s="198"/>
      <c r="SVB122" s="199"/>
      <c r="SVC122" s="198"/>
      <c r="SVD122" s="199"/>
      <c r="SVE122" s="198"/>
      <c r="SVF122" s="199"/>
      <c r="SVG122" s="198"/>
      <c r="SVH122" s="199"/>
      <c r="SVI122" s="198"/>
      <c r="SVJ122" s="199"/>
      <c r="SVK122" s="198"/>
      <c r="SVL122" s="199"/>
      <c r="SVM122" s="198"/>
      <c r="SVN122" s="199"/>
      <c r="SVO122" s="198"/>
      <c r="SVP122" s="199"/>
      <c r="SVQ122" s="198"/>
      <c r="SVR122" s="199"/>
      <c r="SVS122" s="198"/>
      <c r="SVT122" s="199"/>
      <c r="SVU122" s="198"/>
      <c r="SVV122" s="199"/>
      <c r="SVW122" s="198"/>
      <c r="SVX122" s="199"/>
      <c r="SVY122" s="198"/>
      <c r="SVZ122" s="199"/>
      <c r="SWA122" s="198"/>
      <c r="SWB122" s="199"/>
      <c r="SWC122" s="198"/>
      <c r="SWD122" s="199"/>
      <c r="SWE122" s="198"/>
      <c r="SWF122" s="199"/>
      <c r="SWG122" s="198"/>
      <c r="SWH122" s="199"/>
      <c r="SWI122" s="198"/>
      <c r="SWJ122" s="199"/>
      <c r="SWK122" s="198"/>
      <c r="SWL122" s="199"/>
      <c r="SWM122" s="198"/>
      <c r="SWN122" s="199"/>
      <c r="SWO122" s="198"/>
      <c r="SWP122" s="199"/>
      <c r="SWQ122" s="198"/>
      <c r="SWR122" s="199"/>
      <c r="SWS122" s="198"/>
      <c r="SWT122" s="199"/>
      <c r="SWU122" s="198"/>
      <c r="SWV122" s="199"/>
      <c r="SWW122" s="198"/>
      <c r="SWX122" s="199"/>
      <c r="SWY122" s="198"/>
      <c r="SWZ122" s="199"/>
      <c r="SXA122" s="198"/>
      <c r="SXB122" s="199"/>
      <c r="SXC122" s="198"/>
      <c r="SXD122" s="199"/>
      <c r="SXE122" s="198"/>
      <c r="SXF122" s="199"/>
      <c r="SXG122" s="198"/>
      <c r="SXH122" s="199"/>
      <c r="SXI122" s="198"/>
      <c r="SXJ122" s="199"/>
      <c r="SXK122" s="198"/>
      <c r="SXL122" s="199"/>
      <c r="SXM122" s="198"/>
      <c r="SXN122" s="199"/>
      <c r="SXO122" s="198"/>
      <c r="SXP122" s="199"/>
      <c r="SXQ122" s="198"/>
      <c r="SXR122" s="199"/>
      <c r="SXS122" s="198"/>
      <c r="SXT122" s="199"/>
      <c r="SXU122" s="198"/>
      <c r="SXV122" s="199"/>
      <c r="SXW122" s="198"/>
      <c r="SXX122" s="199"/>
      <c r="SXY122" s="198"/>
      <c r="SXZ122" s="199"/>
      <c r="SYA122" s="198"/>
      <c r="SYB122" s="199"/>
      <c r="SYC122" s="198"/>
      <c r="SYD122" s="199"/>
      <c r="SYE122" s="198"/>
      <c r="SYF122" s="199"/>
      <c r="SYG122" s="198"/>
      <c r="SYH122" s="199"/>
      <c r="SYI122" s="198"/>
      <c r="SYJ122" s="199"/>
      <c r="SYK122" s="198"/>
      <c r="SYL122" s="199"/>
      <c r="SYM122" s="198"/>
      <c r="SYN122" s="199"/>
      <c r="SYO122" s="198"/>
      <c r="SYP122" s="199"/>
      <c r="SYQ122" s="198"/>
      <c r="SYR122" s="199"/>
      <c r="SYS122" s="198"/>
      <c r="SYT122" s="199"/>
      <c r="SYU122" s="198"/>
      <c r="SYV122" s="199"/>
      <c r="SYW122" s="198"/>
      <c r="SYX122" s="199"/>
      <c r="SYY122" s="198"/>
      <c r="SYZ122" s="199"/>
      <c r="SZA122" s="198"/>
      <c r="SZB122" s="199"/>
      <c r="SZC122" s="198"/>
      <c r="SZD122" s="199"/>
      <c r="SZE122" s="198"/>
      <c r="SZF122" s="199"/>
      <c r="SZG122" s="198"/>
      <c r="SZH122" s="199"/>
      <c r="SZI122" s="198"/>
      <c r="SZJ122" s="199"/>
      <c r="SZK122" s="198"/>
      <c r="SZL122" s="199"/>
      <c r="SZM122" s="198"/>
      <c r="SZN122" s="199"/>
      <c r="SZO122" s="198"/>
      <c r="SZP122" s="199"/>
      <c r="SZQ122" s="198"/>
      <c r="SZR122" s="199"/>
      <c r="SZS122" s="198"/>
      <c r="SZT122" s="199"/>
      <c r="SZU122" s="198"/>
      <c r="SZV122" s="199"/>
      <c r="SZW122" s="198"/>
      <c r="SZX122" s="199"/>
      <c r="SZY122" s="198"/>
      <c r="SZZ122" s="199"/>
      <c r="TAA122" s="198"/>
      <c r="TAB122" s="199"/>
      <c r="TAC122" s="198"/>
      <c r="TAD122" s="199"/>
      <c r="TAE122" s="198"/>
      <c r="TAF122" s="199"/>
      <c r="TAG122" s="198"/>
      <c r="TAH122" s="199"/>
      <c r="TAI122" s="198"/>
      <c r="TAJ122" s="199"/>
      <c r="TAK122" s="198"/>
      <c r="TAL122" s="199"/>
      <c r="TAM122" s="198"/>
      <c r="TAN122" s="199"/>
      <c r="TAO122" s="198"/>
      <c r="TAP122" s="199"/>
      <c r="TAQ122" s="198"/>
      <c r="TAR122" s="199"/>
      <c r="TAS122" s="198"/>
      <c r="TAT122" s="199"/>
      <c r="TAU122" s="198"/>
      <c r="TAV122" s="199"/>
      <c r="TAW122" s="198"/>
      <c r="TAX122" s="199"/>
      <c r="TAY122" s="198"/>
      <c r="TAZ122" s="199"/>
      <c r="TBA122" s="198"/>
      <c r="TBB122" s="199"/>
      <c r="TBC122" s="198"/>
      <c r="TBD122" s="199"/>
      <c r="TBE122" s="198"/>
      <c r="TBF122" s="199"/>
      <c r="TBG122" s="198"/>
      <c r="TBH122" s="199"/>
      <c r="TBI122" s="198"/>
      <c r="TBJ122" s="199"/>
      <c r="TBK122" s="198"/>
      <c r="TBL122" s="199"/>
      <c r="TBM122" s="198"/>
      <c r="TBN122" s="199"/>
      <c r="TBO122" s="198"/>
      <c r="TBP122" s="199"/>
      <c r="TBQ122" s="198"/>
      <c r="TBR122" s="199"/>
      <c r="TBS122" s="198"/>
      <c r="TBT122" s="199"/>
      <c r="TBU122" s="198"/>
      <c r="TBV122" s="199"/>
      <c r="TBW122" s="198"/>
      <c r="TBX122" s="199"/>
      <c r="TBY122" s="198"/>
      <c r="TBZ122" s="199"/>
      <c r="TCA122" s="198"/>
      <c r="TCB122" s="199"/>
      <c r="TCC122" s="198"/>
      <c r="TCD122" s="199"/>
      <c r="TCE122" s="198"/>
      <c r="TCF122" s="199"/>
      <c r="TCG122" s="198"/>
      <c r="TCH122" s="199"/>
      <c r="TCI122" s="198"/>
      <c r="TCJ122" s="199"/>
      <c r="TCK122" s="198"/>
      <c r="TCL122" s="199"/>
      <c r="TCM122" s="198"/>
      <c r="TCN122" s="199"/>
      <c r="TCO122" s="198"/>
      <c r="TCP122" s="199"/>
      <c r="TCQ122" s="198"/>
      <c r="TCR122" s="199"/>
      <c r="TCS122" s="198"/>
      <c r="TCT122" s="199"/>
      <c r="TCU122" s="198"/>
      <c r="TCV122" s="199"/>
      <c r="TCW122" s="198"/>
      <c r="TCX122" s="199"/>
      <c r="TCY122" s="198"/>
      <c r="TCZ122" s="199"/>
      <c r="TDA122" s="198"/>
      <c r="TDB122" s="199"/>
      <c r="TDC122" s="198"/>
      <c r="TDD122" s="199"/>
      <c r="TDE122" s="198"/>
      <c r="TDF122" s="199"/>
      <c r="TDG122" s="198"/>
      <c r="TDH122" s="199"/>
      <c r="TDI122" s="198"/>
      <c r="TDJ122" s="199"/>
      <c r="TDK122" s="198"/>
      <c r="TDL122" s="199"/>
      <c r="TDM122" s="198"/>
      <c r="TDN122" s="199"/>
      <c r="TDO122" s="198"/>
      <c r="TDP122" s="199"/>
      <c r="TDQ122" s="198"/>
      <c r="TDR122" s="199"/>
      <c r="TDS122" s="198"/>
      <c r="TDT122" s="199"/>
      <c r="TDU122" s="198"/>
      <c r="TDV122" s="199"/>
      <c r="TDW122" s="198"/>
      <c r="TDX122" s="199"/>
      <c r="TDY122" s="198"/>
      <c r="TDZ122" s="199"/>
      <c r="TEA122" s="198"/>
      <c r="TEB122" s="199"/>
      <c r="TEC122" s="198"/>
      <c r="TED122" s="199"/>
      <c r="TEE122" s="198"/>
      <c r="TEF122" s="199"/>
      <c r="TEG122" s="198"/>
      <c r="TEH122" s="199"/>
      <c r="TEI122" s="198"/>
      <c r="TEJ122" s="199"/>
      <c r="TEK122" s="198"/>
      <c r="TEL122" s="199"/>
      <c r="TEM122" s="198"/>
      <c r="TEN122" s="199"/>
      <c r="TEO122" s="198"/>
      <c r="TEP122" s="199"/>
      <c r="TEQ122" s="198"/>
      <c r="TER122" s="199"/>
      <c r="TES122" s="198"/>
      <c r="TET122" s="199"/>
      <c r="TEU122" s="198"/>
      <c r="TEV122" s="199"/>
      <c r="TEW122" s="198"/>
      <c r="TEX122" s="199"/>
      <c r="TEY122" s="198"/>
      <c r="TEZ122" s="199"/>
      <c r="TFA122" s="198"/>
      <c r="TFB122" s="199"/>
      <c r="TFC122" s="198"/>
      <c r="TFD122" s="199"/>
      <c r="TFE122" s="198"/>
      <c r="TFF122" s="199"/>
      <c r="TFG122" s="198"/>
      <c r="TFH122" s="199"/>
      <c r="TFI122" s="198"/>
      <c r="TFJ122" s="199"/>
      <c r="TFK122" s="198"/>
      <c r="TFL122" s="199"/>
      <c r="TFM122" s="198"/>
      <c r="TFN122" s="199"/>
      <c r="TFO122" s="198"/>
      <c r="TFP122" s="199"/>
      <c r="TFQ122" s="198"/>
      <c r="TFR122" s="199"/>
      <c r="TFS122" s="198"/>
      <c r="TFT122" s="199"/>
      <c r="TFU122" s="198"/>
      <c r="TFV122" s="199"/>
      <c r="TFW122" s="198"/>
      <c r="TFX122" s="199"/>
      <c r="TFY122" s="198"/>
      <c r="TFZ122" s="199"/>
      <c r="TGA122" s="198"/>
      <c r="TGB122" s="199"/>
      <c r="TGC122" s="198"/>
      <c r="TGD122" s="199"/>
      <c r="TGE122" s="198"/>
      <c r="TGF122" s="199"/>
      <c r="TGG122" s="198"/>
      <c r="TGH122" s="199"/>
      <c r="TGI122" s="198"/>
      <c r="TGJ122" s="199"/>
      <c r="TGK122" s="198"/>
      <c r="TGL122" s="199"/>
      <c r="TGM122" s="198"/>
      <c r="TGN122" s="199"/>
      <c r="TGO122" s="198"/>
      <c r="TGP122" s="199"/>
      <c r="TGQ122" s="198"/>
      <c r="TGR122" s="199"/>
      <c r="TGS122" s="198"/>
      <c r="TGT122" s="199"/>
      <c r="TGU122" s="198"/>
      <c r="TGV122" s="199"/>
      <c r="TGW122" s="198"/>
      <c r="TGX122" s="199"/>
      <c r="TGY122" s="198"/>
      <c r="TGZ122" s="199"/>
      <c r="THA122" s="198"/>
      <c r="THB122" s="199"/>
      <c r="THC122" s="198"/>
      <c r="THD122" s="199"/>
      <c r="THE122" s="198"/>
      <c r="THF122" s="199"/>
      <c r="THG122" s="198"/>
      <c r="THH122" s="199"/>
      <c r="THI122" s="198"/>
      <c r="THJ122" s="199"/>
      <c r="THK122" s="198"/>
      <c r="THL122" s="199"/>
      <c r="THM122" s="198"/>
      <c r="THN122" s="199"/>
      <c r="THO122" s="198"/>
      <c r="THP122" s="199"/>
      <c r="THQ122" s="198"/>
      <c r="THR122" s="199"/>
      <c r="THS122" s="198"/>
      <c r="THT122" s="199"/>
      <c r="THU122" s="198"/>
      <c r="THV122" s="199"/>
      <c r="THW122" s="198"/>
      <c r="THX122" s="199"/>
      <c r="THY122" s="198"/>
      <c r="THZ122" s="199"/>
      <c r="TIA122" s="198"/>
      <c r="TIB122" s="199"/>
      <c r="TIC122" s="198"/>
      <c r="TID122" s="199"/>
      <c r="TIE122" s="198"/>
      <c r="TIF122" s="199"/>
      <c r="TIG122" s="198"/>
      <c r="TIH122" s="199"/>
      <c r="TII122" s="198"/>
      <c r="TIJ122" s="199"/>
      <c r="TIK122" s="198"/>
      <c r="TIL122" s="199"/>
      <c r="TIM122" s="198"/>
      <c r="TIN122" s="199"/>
      <c r="TIO122" s="198"/>
      <c r="TIP122" s="199"/>
      <c r="TIQ122" s="198"/>
      <c r="TIR122" s="199"/>
      <c r="TIS122" s="198"/>
      <c r="TIT122" s="199"/>
      <c r="TIU122" s="198"/>
      <c r="TIV122" s="199"/>
      <c r="TIW122" s="198"/>
      <c r="TIX122" s="199"/>
      <c r="TIY122" s="198"/>
      <c r="TIZ122" s="199"/>
      <c r="TJA122" s="198"/>
      <c r="TJB122" s="199"/>
      <c r="TJC122" s="198"/>
      <c r="TJD122" s="199"/>
      <c r="TJE122" s="198"/>
      <c r="TJF122" s="199"/>
      <c r="TJG122" s="198"/>
      <c r="TJH122" s="199"/>
      <c r="TJI122" s="198"/>
      <c r="TJJ122" s="199"/>
      <c r="TJK122" s="198"/>
      <c r="TJL122" s="199"/>
      <c r="TJM122" s="198"/>
      <c r="TJN122" s="199"/>
      <c r="TJO122" s="198"/>
      <c r="TJP122" s="199"/>
      <c r="TJQ122" s="198"/>
      <c r="TJR122" s="199"/>
      <c r="TJS122" s="198"/>
      <c r="TJT122" s="199"/>
      <c r="TJU122" s="198"/>
      <c r="TJV122" s="199"/>
      <c r="TJW122" s="198"/>
      <c r="TJX122" s="199"/>
      <c r="TJY122" s="198"/>
      <c r="TJZ122" s="199"/>
      <c r="TKA122" s="198"/>
      <c r="TKB122" s="199"/>
      <c r="TKC122" s="198"/>
      <c r="TKD122" s="199"/>
      <c r="TKE122" s="198"/>
      <c r="TKF122" s="199"/>
      <c r="TKG122" s="198"/>
      <c r="TKH122" s="199"/>
      <c r="TKI122" s="198"/>
      <c r="TKJ122" s="199"/>
      <c r="TKK122" s="198"/>
      <c r="TKL122" s="199"/>
      <c r="TKM122" s="198"/>
      <c r="TKN122" s="199"/>
      <c r="TKO122" s="198"/>
      <c r="TKP122" s="199"/>
      <c r="TKQ122" s="198"/>
      <c r="TKR122" s="199"/>
      <c r="TKS122" s="198"/>
      <c r="TKT122" s="199"/>
      <c r="TKU122" s="198"/>
      <c r="TKV122" s="199"/>
      <c r="TKW122" s="198"/>
      <c r="TKX122" s="199"/>
      <c r="TKY122" s="198"/>
      <c r="TKZ122" s="199"/>
      <c r="TLA122" s="198"/>
      <c r="TLB122" s="199"/>
      <c r="TLC122" s="198"/>
      <c r="TLD122" s="199"/>
      <c r="TLE122" s="198"/>
      <c r="TLF122" s="199"/>
      <c r="TLG122" s="198"/>
      <c r="TLH122" s="199"/>
      <c r="TLI122" s="198"/>
      <c r="TLJ122" s="199"/>
      <c r="TLK122" s="198"/>
      <c r="TLL122" s="199"/>
      <c r="TLM122" s="198"/>
      <c r="TLN122" s="199"/>
      <c r="TLO122" s="198"/>
      <c r="TLP122" s="199"/>
      <c r="TLQ122" s="198"/>
      <c r="TLR122" s="199"/>
      <c r="TLS122" s="198"/>
      <c r="TLT122" s="199"/>
      <c r="TLU122" s="198"/>
      <c r="TLV122" s="199"/>
      <c r="TLW122" s="198"/>
      <c r="TLX122" s="199"/>
      <c r="TLY122" s="198"/>
      <c r="TLZ122" s="199"/>
      <c r="TMA122" s="198"/>
      <c r="TMB122" s="199"/>
      <c r="TMC122" s="198"/>
      <c r="TMD122" s="199"/>
      <c r="TME122" s="198"/>
      <c r="TMF122" s="199"/>
      <c r="TMG122" s="198"/>
      <c r="TMH122" s="199"/>
      <c r="TMI122" s="198"/>
      <c r="TMJ122" s="199"/>
      <c r="TMK122" s="198"/>
      <c r="TML122" s="199"/>
      <c r="TMM122" s="198"/>
      <c r="TMN122" s="199"/>
      <c r="TMO122" s="198"/>
      <c r="TMP122" s="199"/>
      <c r="TMQ122" s="198"/>
      <c r="TMR122" s="199"/>
      <c r="TMS122" s="198"/>
      <c r="TMT122" s="199"/>
      <c r="TMU122" s="198"/>
      <c r="TMV122" s="199"/>
      <c r="TMW122" s="198"/>
      <c r="TMX122" s="199"/>
      <c r="TMY122" s="198"/>
      <c r="TMZ122" s="199"/>
      <c r="TNA122" s="198"/>
      <c r="TNB122" s="199"/>
      <c r="TNC122" s="198"/>
      <c r="TND122" s="199"/>
      <c r="TNE122" s="198"/>
      <c r="TNF122" s="199"/>
      <c r="TNG122" s="198"/>
      <c r="TNH122" s="199"/>
      <c r="TNI122" s="198"/>
      <c r="TNJ122" s="199"/>
      <c r="TNK122" s="198"/>
      <c r="TNL122" s="199"/>
      <c r="TNM122" s="198"/>
      <c r="TNN122" s="199"/>
      <c r="TNO122" s="198"/>
      <c r="TNP122" s="199"/>
      <c r="TNQ122" s="198"/>
      <c r="TNR122" s="199"/>
      <c r="TNS122" s="198"/>
      <c r="TNT122" s="199"/>
      <c r="TNU122" s="198"/>
      <c r="TNV122" s="199"/>
      <c r="TNW122" s="198"/>
      <c r="TNX122" s="199"/>
      <c r="TNY122" s="198"/>
      <c r="TNZ122" s="199"/>
      <c r="TOA122" s="198"/>
      <c r="TOB122" s="199"/>
      <c r="TOC122" s="198"/>
      <c r="TOD122" s="199"/>
      <c r="TOE122" s="198"/>
      <c r="TOF122" s="199"/>
      <c r="TOG122" s="198"/>
      <c r="TOH122" s="199"/>
      <c r="TOI122" s="198"/>
      <c r="TOJ122" s="199"/>
      <c r="TOK122" s="198"/>
      <c r="TOL122" s="199"/>
      <c r="TOM122" s="198"/>
      <c r="TON122" s="199"/>
      <c r="TOO122" s="198"/>
      <c r="TOP122" s="199"/>
      <c r="TOQ122" s="198"/>
      <c r="TOR122" s="199"/>
      <c r="TOS122" s="198"/>
      <c r="TOT122" s="199"/>
      <c r="TOU122" s="198"/>
      <c r="TOV122" s="199"/>
      <c r="TOW122" s="198"/>
      <c r="TOX122" s="199"/>
      <c r="TOY122" s="198"/>
      <c r="TOZ122" s="199"/>
      <c r="TPA122" s="198"/>
      <c r="TPB122" s="199"/>
      <c r="TPC122" s="198"/>
      <c r="TPD122" s="199"/>
      <c r="TPE122" s="198"/>
      <c r="TPF122" s="199"/>
      <c r="TPG122" s="198"/>
      <c r="TPH122" s="199"/>
      <c r="TPI122" s="198"/>
      <c r="TPJ122" s="199"/>
      <c r="TPK122" s="198"/>
      <c r="TPL122" s="199"/>
      <c r="TPM122" s="198"/>
      <c r="TPN122" s="199"/>
      <c r="TPO122" s="198"/>
      <c r="TPP122" s="199"/>
      <c r="TPQ122" s="198"/>
      <c r="TPR122" s="199"/>
      <c r="TPS122" s="198"/>
      <c r="TPT122" s="199"/>
      <c r="TPU122" s="198"/>
      <c r="TPV122" s="199"/>
      <c r="TPW122" s="198"/>
      <c r="TPX122" s="199"/>
      <c r="TPY122" s="198"/>
      <c r="TPZ122" s="199"/>
      <c r="TQA122" s="198"/>
      <c r="TQB122" s="199"/>
      <c r="TQC122" s="198"/>
      <c r="TQD122" s="199"/>
      <c r="TQE122" s="198"/>
      <c r="TQF122" s="199"/>
      <c r="TQG122" s="198"/>
      <c r="TQH122" s="199"/>
      <c r="TQI122" s="198"/>
      <c r="TQJ122" s="199"/>
      <c r="TQK122" s="198"/>
      <c r="TQL122" s="199"/>
      <c r="TQM122" s="198"/>
      <c r="TQN122" s="199"/>
      <c r="TQO122" s="198"/>
      <c r="TQP122" s="199"/>
      <c r="TQQ122" s="198"/>
      <c r="TQR122" s="199"/>
      <c r="TQS122" s="198"/>
      <c r="TQT122" s="199"/>
      <c r="TQU122" s="198"/>
      <c r="TQV122" s="199"/>
      <c r="TQW122" s="198"/>
      <c r="TQX122" s="199"/>
      <c r="TQY122" s="198"/>
      <c r="TQZ122" s="199"/>
      <c r="TRA122" s="198"/>
      <c r="TRB122" s="199"/>
      <c r="TRC122" s="198"/>
      <c r="TRD122" s="199"/>
      <c r="TRE122" s="198"/>
      <c r="TRF122" s="199"/>
      <c r="TRG122" s="198"/>
      <c r="TRH122" s="199"/>
      <c r="TRI122" s="198"/>
      <c r="TRJ122" s="199"/>
      <c r="TRK122" s="198"/>
      <c r="TRL122" s="199"/>
      <c r="TRM122" s="198"/>
      <c r="TRN122" s="199"/>
      <c r="TRO122" s="198"/>
      <c r="TRP122" s="199"/>
      <c r="TRQ122" s="198"/>
      <c r="TRR122" s="199"/>
      <c r="TRS122" s="198"/>
      <c r="TRT122" s="199"/>
      <c r="TRU122" s="198"/>
      <c r="TRV122" s="199"/>
      <c r="TRW122" s="198"/>
      <c r="TRX122" s="199"/>
      <c r="TRY122" s="198"/>
      <c r="TRZ122" s="199"/>
      <c r="TSA122" s="198"/>
      <c r="TSB122" s="199"/>
      <c r="TSC122" s="198"/>
      <c r="TSD122" s="199"/>
      <c r="TSE122" s="198"/>
      <c r="TSF122" s="199"/>
      <c r="TSG122" s="198"/>
      <c r="TSH122" s="199"/>
      <c r="TSI122" s="198"/>
      <c r="TSJ122" s="199"/>
      <c r="TSK122" s="198"/>
      <c r="TSL122" s="199"/>
      <c r="TSM122" s="198"/>
      <c r="TSN122" s="199"/>
      <c r="TSO122" s="198"/>
      <c r="TSP122" s="199"/>
      <c r="TSQ122" s="198"/>
      <c r="TSR122" s="199"/>
      <c r="TSS122" s="198"/>
      <c r="TST122" s="199"/>
      <c r="TSU122" s="198"/>
      <c r="TSV122" s="199"/>
      <c r="TSW122" s="198"/>
      <c r="TSX122" s="199"/>
      <c r="TSY122" s="198"/>
      <c r="TSZ122" s="199"/>
      <c r="TTA122" s="198"/>
      <c r="TTB122" s="199"/>
      <c r="TTC122" s="198"/>
      <c r="TTD122" s="199"/>
      <c r="TTE122" s="198"/>
      <c r="TTF122" s="199"/>
      <c r="TTG122" s="198"/>
      <c r="TTH122" s="199"/>
      <c r="TTI122" s="198"/>
      <c r="TTJ122" s="199"/>
      <c r="TTK122" s="198"/>
      <c r="TTL122" s="199"/>
      <c r="TTM122" s="198"/>
      <c r="TTN122" s="199"/>
      <c r="TTO122" s="198"/>
      <c r="TTP122" s="199"/>
      <c r="TTQ122" s="198"/>
      <c r="TTR122" s="199"/>
      <c r="TTS122" s="198"/>
      <c r="TTT122" s="199"/>
      <c r="TTU122" s="198"/>
      <c r="TTV122" s="199"/>
      <c r="TTW122" s="198"/>
      <c r="TTX122" s="199"/>
      <c r="TTY122" s="198"/>
      <c r="TTZ122" s="199"/>
      <c r="TUA122" s="198"/>
      <c r="TUB122" s="199"/>
      <c r="TUC122" s="198"/>
      <c r="TUD122" s="199"/>
      <c r="TUE122" s="198"/>
      <c r="TUF122" s="199"/>
      <c r="TUG122" s="198"/>
      <c r="TUH122" s="199"/>
      <c r="TUI122" s="198"/>
      <c r="TUJ122" s="199"/>
      <c r="TUK122" s="198"/>
      <c r="TUL122" s="199"/>
      <c r="TUM122" s="198"/>
      <c r="TUN122" s="199"/>
      <c r="TUO122" s="198"/>
      <c r="TUP122" s="199"/>
      <c r="TUQ122" s="198"/>
      <c r="TUR122" s="199"/>
      <c r="TUS122" s="198"/>
      <c r="TUT122" s="199"/>
      <c r="TUU122" s="198"/>
      <c r="TUV122" s="199"/>
      <c r="TUW122" s="198"/>
      <c r="TUX122" s="199"/>
      <c r="TUY122" s="198"/>
      <c r="TUZ122" s="199"/>
      <c r="TVA122" s="198"/>
      <c r="TVB122" s="199"/>
      <c r="TVC122" s="198"/>
      <c r="TVD122" s="199"/>
      <c r="TVE122" s="198"/>
      <c r="TVF122" s="199"/>
      <c r="TVG122" s="198"/>
      <c r="TVH122" s="199"/>
      <c r="TVI122" s="198"/>
      <c r="TVJ122" s="199"/>
      <c r="TVK122" s="198"/>
      <c r="TVL122" s="199"/>
      <c r="TVM122" s="198"/>
      <c r="TVN122" s="199"/>
      <c r="TVO122" s="198"/>
      <c r="TVP122" s="199"/>
      <c r="TVQ122" s="198"/>
      <c r="TVR122" s="199"/>
      <c r="TVS122" s="198"/>
      <c r="TVT122" s="199"/>
      <c r="TVU122" s="198"/>
      <c r="TVV122" s="199"/>
      <c r="TVW122" s="198"/>
      <c r="TVX122" s="199"/>
      <c r="TVY122" s="198"/>
      <c r="TVZ122" s="199"/>
      <c r="TWA122" s="198"/>
      <c r="TWB122" s="199"/>
      <c r="TWC122" s="198"/>
      <c r="TWD122" s="199"/>
      <c r="TWE122" s="198"/>
      <c r="TWF122" s="199"/>
      <c r="TWG122" s="198"/>
      <c r="TWH122" s="199"/>
      <c r="TWI122" s="198"/>
      <c r="TWJ122" s="199"/>
      <c r="TWK122" s="198"/>
      <c r="TWL122" s="199"/>
      <c r="TWM122" s="198"/>
      <c r="TWN122" s="199"/>
      <c r="TWO122" s="198"/>
      <c r="TWP122" s="199"/>
      <c r="TWQ122" s="198"/>
      <c r="TWR122" s="199"/>
      <c r="TWS122" s="198"/>
      <c r="TWT122" s="199"/>
      <c r="TWU122" s="198"/>
      <c r="TWV122" s="199"/>
      <c r="TWW122" s="198"/>
      <c r="TWX122" s="199"/>
      <c r="TWY122" s="198"/>
      <c r="TWZ122" s="199"/>
      <c r="TXA122" s="198"/>
      <c r="TXB122" s="199"/>
      <c r="TXC122" s="198"/>
      <c r="TXD122" s="199"/>
      <c r="TXE122" s="198"/>
      <c r="TXF122" s="199"/>
      <c r="TXG122" s="198"/>
      <c r="TXH122" s="199"/>
      <c r="TXI122" s="198"/>
      <c r="TXJ122" s="199"/>
      <c r="TXK122" s="198"/>
      <c r="TXL122" s="199"/>
      <c r="TXM122" s="198"/>
      <c r="TXN122" s="199"/>
      <c r="TXO122" s="198"/>
      <c r="TXP122" s="199"/>
      <c r="TXQ122" s="198"/>
      <c r="TXR122" s="199"/>
      <c r="TXS122" s="198"/>
      <c r="TXT122" s="199"/>
      <c r="TXU122" s="198"/>
      <c r="TXV122" s="199"/>
      <c r="TXW122" s="198"/>
      <c r="TXX122" s="199"/>
      <c r="TXY122" s="198"/>
      <c r="TXZ122" s="199"/>
      <c r="TYA122" s="198"/>
      <c r="TYB122" s="199"/>
      <c r="TYC122" s="198"/>
      <c r="TYD122" s="199"/>
      <c r="TYE122" s="198"/>
      <c r="TYF122" s="199"/>
      <c r="TYG122" s="198"/>
      <c r="TYH122" s="199"/>
      <c r="TYI122" s="198"/>
      <c r="TYJ122" s="199"/>
      <c r="TYK122" s="198"/>
      <c r="TYL122" s="199"/>
      <c r="TYM122" s="198"/>
      <c r="TYN122" s="199"/>
      <c r="TYO122" s="198"/>
      <c r="TYP122" s="199"/>
      <c r="TYQ122" s="198"/>
      <c r="TYR122" s="199"/>
      <c r="TYS122" s="198"/>
      <c r="TYT122" s="199"/>
      <c r="TYU122" s="198"/>
      <c r="TYV122" s="199"/>
      <c r="TYW122" s="198"/>
      <c r="TYX122" s="199"/>
      <c r="TYY122" s="198"/>
      <c r="TYZ122" s="199"/>
      <c r="TZA122" s="198"/>
      <c r="TZB122" s="199"/>
      <c r="TZC122" s="198"/>
      <c r="TZD122" s="199"/>
      <c r="TZE122" s="198"/>
      <c r="TZF122" s="199"/>
      <c r="TZG122" s="198"/>
      <c r="TZH122" s="199"/>
      <c r="TZI122" s="198"/>
      <c r="TZJ122" s="199"/>
      <c r="TZK122" s="198"/>
      <c r="TZL122" s="199"/>
      <c r="TZM122" s="198"/>
      <c r="TZN122" s="199"/>
      <c r="TZO122" s="198"/>
      <c r="TZP122" s="199"/>
      <c r="TZQ122" s="198"/>
      <c r="TZR122" s="199"/>
      <c r="TZS122" s="198"/>
      <c r="TZT122" s="199"/>
      <c r="TZU122" s="198"/>
      <c r="TZV122" s="199"/>
      <c r="TZW122" s="198"/>
      <c r="TZX122" s="199"/>
      <c r="TZY122" s="198"/>
      <c r="TZZ122" s="199"/>
      <c r="UAA122" s="198"/>
      <c r="UAB122" s="199"/>
      <c r="UAC122" s="198"/>
      <c r="UAD122" s="199"/>
      <c r="UAE122" s="198"/>
      <c r="UAF122" s="199"/>
      <c r="UAG122" s="198"/>
      <c r="UAH122" s="199"/>
      <c r="UAI122" s="198"/>
      <c r="UAJ122" s="199"/>
      <c r="UAK122" s="198"/>
      <c r="UAL122" s="199"/>
      <c r="UAM122" s="198"/>
      <c r="UAN122" s="199"/>
      <c r="UAO122" s="198"/>
      <c r="UAP122" s="199"/>
      <c r="UAQ122" s="198"/>
      <c r="UAR122" s="199"/>
      <c r="UAS122" s="198"/>
      <c r="UAT122" s="199"/>
      <c r="UAU122" s="198"/>
      <c r="UAV122" s="199"/>
      <c r="UAW122" s="198"/>
      <c r="UAX122" s="199"/>
      <c r="UAY122" s="198"/>
      <c r="UAZ122" s="199"/>
      <c r="UBA122" s="198"/>
      <c r="UBB122" s="199"/>
      <c r="UBC122" s="198"/>
      <c r="UBD122" s="199"/>
      <c r="UBE122" s="198"/>
      <c r="UBF122" s="199"/>
      <c r="UBG122" s="198"/>
      <c r="UBH122" s="199"/>
      <c r="UBI122" s="198"/>
      <c r="UBJ122" s="199"/>
      <c r="UBK122" s="198"/>
      <c r="UBL122" s="199"/>
      <c r="UBM122" s="198"/>
      <c r="UBN122" s="199"/>
      <c r="UBO122" s="198"/>
      <c r="UBP122" s="199"/>
      <c r="UBQ122" s="198"/>
      <c r="UBR122" s="199"/>
      <c r="UBS122" s="198"/>
      <c r="UBT122" s="199"/>
      <c r="UBU122" s="198"/>
      <c r="UBV122" s="199"/>
      <c r="UBW122" s="198"/>
      <c r="UBX122" s="199"/>
      <c r="UBY122" s="198"/>
      <c r="UBZ122" s="199"/>
      <c r="UCA122" s="198"/>
      <c r="UCB122" s="199"/>
      <c r="UCC122" s="198"/>
      <c r="UCD122" s="199"/>
      <c r="UCE122" s="198"/>
      <c r="UCF122" s="199"/>
      <c r="UCG122" s="198"/>
      <c r="UCH122" s="199"/>
      <c r="UCI122" s="198"/>
      <c r="UCJ122" s="199"/>
      <c r="UCK122" s="198"/>
      <c r="UCL122" s="199"/>
      <c r="UCM122" s="198"/>
      <c r="UCN122" s="199"/>
      <c r="UCO122" s="198"/>
      <c r="UCP122" s="199"/>
      <c r="UCQ122" s="198"/>
      <c r="UCR122" s="199"/>
      <c r="UCS122" s="198"/>
      <c r="UCT122" s="199"/>
      <c r="UCU122" s="198"/>
      <c r="UCV122" s="199"/>
      <c r="UCW122" s="198"/>
      <c r="UCX122" s="199"/>
      <c r="UCY122" s="198"/>
      <c r="UCZ122" s="199"/>
      <c r="UDA122" s="198"/>
      <c r="UDB122" s="199"/>
      <c r="UDC122" s="198"/>
      <c r="UDD122" s="199"/>
      <c r="UDE122" s="198"/>
      <c r="UDF122" s="199"/>
      <c r="UDG122" s="198"/>
      <c r="UDH122" s="199"/>
      <c r="UDI122" s="198"/>
      <c r="UDJ122" s="199"/>
      <c r="UDK122" s="198"/>
      <c r="UDL122" s="199"/>
      <c r="UDM122" s="198"/>
      <c r="UDN122" s="199"/>
      <c r="UDO122" s="198"/>
      <c r="UDP122" s="199"/>
      <c r="UDQ122" s="198"/>
      <c r="UDR122" s="199"/>
      <c r="UDS122" s="198"/>
      <c r="UDT122" s="199"/>
      <c r="UDU122" s="198"/>
      <c r="UDV122" s="199"/>
      <c r="UDW122" s="198"/>
      <c r="UDX122" s="199"/>
      <c r="UDY122" s="198"/>
      <c r="UDZ122" s="199"/>
      <c r="UEA122" s="198"/>
      <c r="UEB122" s="199"/>
      <c r="UEC122" s="198"/>
      <c r="UED122" s="199"/>
      <c r="UEE122" s="198"/>
      <c r="UEF122" s="199"/>
      <c r="UEG122" s="198"/>
      <c r="UEH122" s="199"/>
      <c r="UEI122" s="198"/>
      <c r="UEJ122" s="199"/>
      <c r="UEK122" s="198"/>
      <c r="UEL122" s="199"/>
      <c r="UEM122" s="198"/>
      <c r="UEN122" s="199"/>
      <c r="UEO122" s="198"/>
      <c r="UEP122" s="199"/>
      <c r="UEQ122" s="198"/>
      <c r="UER122" s="199"/>
      <c r="UES122" s="198"/>
      <c r="UET122" s="199"/>
      <c r="UEU122" s="198"/>
      <c r="UEV122" s="199"/>
      <c r="UEW122" s="198"/>
      <c r="UEX122" s="199"/>
      <c r="UEY122" s="198"/>
      <c r="UEZ122" s="199"/>
      <c r="UFA122" s="198"/>
      <c r="UFB122" s="199"/>
      <c r="UFC122" s="198"/>
      <c r="UFD122" s="199"/>
      <c r="UFE122" s="198"/>
      <c r="UFF122" s="199"/>
      <c r="UFG122" s="198"/>
      <c r="UFH122" s="199"/>
      <c r="UFI122" s="198"/>
      <c r="UFJ122" s="199"/>
      <c r="UFK122" s="198"/>
      <c r="UFL122" s="199"/>
      <c r="UFM122" s="198"/>
      <c r="UFN122" s="199"/>
      <c r="UFO122" s="198"/>
      <c r="UFP122" s="199"/>
      <c r="UFQ122" s="198"/>
      <c r="UFR122" s="199"/>
      <c r="UFS122" s="198"/>
      <c r="UFT122" s="199"/>
      <c r="UFU122" s="198"/>
      <c r="UFV122" s="199"/>
      <c r="UFW122" s="198"/>
      <c r="UFX122" s="199"/>
      <c r="UFY122" s="198"/>
      <c r="UFZ122" s="199"/>
      <c r="UGA122" s="198"/>
      <c r="UGB122" s="199"/>
      <c r="UGC122" s="198"/>
      <c r="UGD122" s="199"/>
      <c r="UGE122" s="198"/>
      <c r="UGF122" s="199"/>
      <c r="UGG122" s="198"/>
      <c r="UGH122" s="199"/>
      <c r="UGI122" s="198"/>
      <c r="UGJ122" s="199"/>
      <c r="UGK122" s="198"/>
      <c r="UGL122" s="199"/>
      <c r="UGM122" s="198"/>
      <c r="UGN122" s="199"/>
      <c r="UGO122" s="198"/>
      <c r="UGP122" s="199"/>
      <c r="UGQ122" s="198"/>
      <c r="UGR122" s="199"/>
      <c r="UGS122" s="198"/>
      <c r="UGT122" s="199"/>
      <c r="UGU122" s="198"/>
      <c r="UGV122" s="199"/>
      <c r="UGW122" s="198"/>
      <c r="UGX122" s="199"/>
      <c r="UGY122" s="198"/>
      <c r="UGZ122" s="199"/>
      <c r="UHA122" s="198"/>
      <c r="UHB122" s="199"/>
      <c r="UHC122" s="198"/>
      <c r="UHD122" s="199"/>
      <c r="UHE122" s="198"/>
      <c r="UHF122" s="199"/>
      <c r="UHG122" s="198"/>
      <c r="UHH122" s="199"/>
      <c r="UHI122" s="198"/>
      <c r="UHJ122" s="199"/>
      <c r="UHK122" s="198"/>
      <c r="UHL122" s="199"/>
      <c r="UHM122" s="198"/>
      <c r="UHN122" s="199"/>
      <c r="UHO122" s="198"/>
      <c r="UHP122" s="199"/>
      <c r="UHQ122" s="198"/>
      <c r="UHR122" s="199"/>
      <c r="UHS122" s="198"/>
      <c r="UHT122" s="199"/>
      <c r="UHU122" s="198"/>
      <c r="UHV122" s="199"/>
      <c r="UHW122" s="198"/>
      <c r="UHX122" s="199"/>
      <c r="UHY122" s="198"/>
      <c r="UHZ122" s="199"/>
      <c r="UIA122" s="198"/>
      <c r="UIB122" s="199"/>
      <c r="UIC122" s="198"/>
      <c r="UID122" s="199"/>
      <c r="UIE122" s="198"/>
      <c r="UIF122" s="199"/>
      <c r="UIG122" s="198"/>
      <c r="UIH122" s="199"/>
      <c r="UII122" s="198"/>
      <c r="UIJ122" s="199"/>
      <c r="UIK122" s="198"/>
      <c r="UIL122" s="199"/>
      <c r="UIM122" s="198"/>
      <c r="UIN122" s="199"/>
      <c r="UIO122" s="198"/>
      <c r="UIP122" s="199"/>
      <c r="UIQ122" s="198"/>
      <c r="UIR122" s="199"/>
      <c r="UIS122" s="198"/>
      <c r="UIT122" s="199"/>
      <c r="UIU122" s="198"/>
      <c r="UIV122" s="199"/>
      <c r="UIW122" s="198"/>
      <c r="UIX122" s="199"/>
      <c r="UIY122" s="198"/>
      <c r="UIZ122" s="199"/>
      <c r="UJA122" s="198"/>
      <c r="UJB122" s="199"/>
      <c r="UJC122" s="198"/>
      <c r="UJD122" s="199"/>
      <c r="UJE122" s="198"/>
      <c r="UJF122" s="199"/>
      <c r="UJG122" s="198"/>
      <c r="UJH122" s="199"/>
      <c r="UJI122" s="198"/>
      <c r="UJJ122" s="199"/>
      <c r="UJK122" s="198"/>
      <c r="UJL122" s="199"/>
      <c r="UJM122" s="198"/>
      <c r="UJN122" s="199"/>
      <c r="UJO122" s="198"/>
      <c r="UJP122" s="199"/>
      <c r="UJQ122" s="198"/>
      <c r="UJR122" s="199"/>
      <c r="UJS122" s="198"/>
      <c r="UJT122" s="199"/>
      <c r="UJU122" s="198"/>
      <c r="UJV122" s="199"/>
      <c r="UJW122" s="198"/>
      <c r="UJX122" s="199"/>
      <c r="UJY122" s="198"/>
      <c r="UJZ122" s="199"/>
      <c r="UKA122" s="198"/>
      <c r="UKB122" s="199"/>
      <c r="UKC122" s="198"/>
      <c r="UKD122" s="199"/>
      <c r="UKE122" s="198"/>
      <c r="UKF122" s="199"/>
      <c r="UKG122" s="198"/>
      <c r="UKH122" s="199"/>
      <c r="UKI122" s="198"/>
      <c r="UKJ122" s="199"/>
      <c r="UKK122" s="198"/>
      <c r="UKL122" s="199"/>
      <c r="UKM122" s="198"/>
      <c r="UKN122" s="199"/>
      <c r="UKO122" s="198"/>
      <c r="UKP122" s="199"/>
      <c r="UKQ122" s="198"/>
      <c r="UKR122" s="199"/>
      <c r="UKS122" s="198"/>
      <c r="UKT122" s="199"/>
      <c r="UKU122" s="198"/>
      <c r="UKV122" s="199"/>
      <c r="UKW122" s="198"/>
      <c r="UKX122" s="199"/>
      <c r="UKY122" s="198"/>
      <c r="UKZ122" s="199"/>
      <c r="ULA122" s="198"/>
      <c r="ULB122" s="199"/>
      <c r="ULC122" s="198"/>
      <c r="ULD122" s="199"/>
      <c r="ULE122" s="198"/>
      <c r="ULF122" s="199"/>
      <c r="ULG122" s="198"/>
      <c r="ULH122" s="199"/>
      <c r="ULI122" s="198"/>
      <c r="ULJ122" s="199"/>
      <c r="ULK122" s="198"/>
      <c r="ULL122" s="199"/>
      <c r="ULM122" s="198"/>
      <c r="ULN122" s="199"/>
      <c r="ULO122" s="198"/>
      <c r="ULP122" s="199"/>
      <c r="ULQ122" s="198"/>
      <c r="ULR122" s="199"/>
      <c r="ULS122" s="198"/>
      <c r="ULT122" s="199"/>
      <c r="ULU122" s="198"/>
      <c r="ULV122" s="199"/>
      <c r="ULW122" s="198"/>
      <c r="ULX122" s="199"/>
      <c r="ULY122" s="198"/>
      <c r="ULZ122" s="199"/>
      <c r="UMA122" s="198"/>
      <c r="UMB122" s="199"/>
      <c r="UMC122" s="198"/>
      <c r="UMD122" s="199"/>
      <c r="UME122" s="198"/>
      <c r="UMF122" s="199"/>
      <c r="UMG122" s="198"/>
      <c r="UMH122" s="199"/>
      <c r="UMI122" s="198"/>
      <c r="UMJ122" s="199"/>
      <c r="UMK122" s="198"/>
      <c r="UML122" s="199"/>
      <c r="UMM122" s="198"/>
      <c r="UMN122" s="199"/>
      <c r="UMO122" s="198"/>
      <c r="UMP122" s="199"/>
      <c r="UMQ122" s="198"/>
      <c r="UMR122" s="199"/>
      <c r="UMS122" s="198"/>
      <c r="UMT122" s="199"/>
      <c r="UMU122" s="198"/>
      <c r="UMV122" s="199"/>
      <c r="UMW122" s="198"/>
      <c r="UMX122" s="199"/>
      <c r="UMY122" s="198"/>
      <c r="UMZ122" s="199"/>
      <c r="UNA122" s="198"/>
      <c r="UNB122" s="199"/>
      <c r="UNC122" s="198"/>
      <c r="UND122" s="199"/>
      <c r="UNE122" s="198"/>
      <c r="UNF122" s="199"/>
      <c r="UNG122" s="198"/>
      <c r="UNH122" s="199"/>
      <c r="UNI122" s="198"/>
      <c r="UNJ122" s="199"/>
      <c r="UNK122" s="198"/>
      <c r="UNL122" s="199"/>
      <c r="UNM122" s="198"/>
      <c r="UNN122" s="199"/>
      <c r="UNO122" s="198"/>
      <c r="UNP122" s="199"/>
      <c r="UNQ122" s="198"/>
      <c r="UNR122" s="199"/>
      <c r="UNS122" s="198"/>
      <c r="UNT122" s="199"/>
      <c r="UNU122" s="198"/>
      <c r="UNV122" s="199"/>
      <c r="UNW122" s="198"/>
      <c r="UNX122" s="199"/>
      <c r="UNY122" s="198"/>
      <c r="UNZ122" s="199"/>
      <c r="UOA122" s="198"/>
      <c r="UOB122" s="199"/>
      <c r="UOC122" s="198"/>
      <c r="UOD122" s="199"/>
      <c r="UOE122" s="198"/>
      <c r="UOF122" s="199"/>
      <c r="UOG122" s="198"/>
      <c r="UOH122" s="199"/>
      <c r="UOI122" s="198"/>
      <c r="UOJ122" s="199"/>
      <c r="UOK122" s="198"/>
      <c r="UOL122" s="199"/>
      <c r="UOM122" s="198"/>
      <c r="UON122" s="199"/>
      <c r="UOO122" s="198"/>
      <c r="UOP122" s="199"/>
      <c r="UOQ122" s="198"/>
      <c r="UOR122" s="199"/>
      <c r="UOS122" s="198"/>
      <c r="UOT122" s="199"/>
      <c r="UOU122" s="198"/>
      <c r="UOV122" s="199"/>
      <c r="UOW122" s="198"/>
      <c r="UOX122" s="199"/>
      <c r="UOY122" s="198"/>
      <c r="UOZ122" s="199"/>
      <c r="UPA122" s="198"/>
      <c r="UPB122" s="199"/>
      <c r="UPC122" s="198"/>
      <c r="UPD122" s="199"/>
      <c r="UPE122" s="198"/>
      <c r="UPF122" s="199"/>
      <c r="UPG122" s="198"/>
      <c r="UPH122" s="199"/>
      <c r="UPI122" s="198"/>
      <c r="UPJ122" s="199"/>
      <c r="UPK122" s="198"/>
      <c r="UPL122" s="199"/>
      <c r="UPM122" s="198"/>
      <c r="UPN122" s="199"/>
      <c r="UPO122" s="198"/>
      <c r="UPP122" s="199"/>
      <c r="UPQ122" s="198"/>
      <c r="UPR122" s="199"/>
      <c r="UPS122" s="198"/>
      <c r="UPT122" s="199"/>
      <c r="UPU122" s="198"/>
      <c r="UPV122" s="199"/>
      <c r="UPW122" s="198"/>
      <c r="UPX122" s="199"/>
      <c r="UPY122" s="198"/>
      <c r="UPZ122" s="199"/>
      <c r="UQA122" s="198"/>
      <c r="UQB122" s="199"/>
      <c r="UQC122" s="198"/>
      <c r="UQD122" s="199"/>
      <c r="UQE122" s="198"/>
      <c r="UQF122" s="199"/>
      <c r="UQG122" s="198"/>
      <c r="UQH122" s="199"/>
      <c r="UQI122" s="198"/>
      <c r="UQJ122" s="199"/>
      <c r="UQK122" s="198"/>
      <c r="UQL122" s="199"/>
      <c r="UQM122" s="198"/>
      <c r="UQN122" s="199"/>
      <c r="UQO122" s="198"/>
      <c r="UQP122" s="199"/>
      <c r="UQQ122" s="198"/>
      <c r="UQR122" s="199"/>
      <c r="UQS122" s="198"/>
      <c r="UQT122" s="199"/>
      <c r="UQU122" s="198"/>
      <c r="UQV122" s="199"/>
      <c r="UQW122" s="198"/>
      <c r="UQX122" s="199"/>
      <c r="UQY122" s="198"/>
      <c r="UQZ122" s="199"/>
      <c r="URA122" s="198"/>
      <c r="URB122" s="199"/>
      <c r="URC122" s="198"/>
      <c r="URD122" s="199"/>
      <c r="URE122" s="198"/>
      <c r="URF122" s="199"/>
      <c r="URG122" s="198"/>
      <c r="URH122" s="199"/>
      <c r="URI122" s="198"/>
      <c r="URJ122" s="199"/>
      <c r="URK122" s="198"/>
      <c r="URL122" s="199"/>
      <c r="URM122" s="198"/>
      <c r="URN122" s="199"/>
      <c r="URO122" s="198"/>
      <c r="URP122" s="199"/>
      <c r="URQ122" s="198"/>
      <c r="URR122" s="199"/>
      <c r="URS122" s="198"/>
      <c r="URT122" s="199"/>
      <c r="URU122" s="198"/>
      <c r="URV122" s="199"/>
      <c r="URW122" s="198"/>
      <c r="URX122" s="199"/>
      <c r="URY122" s="198"/>
      <c r="URZ122" s="199"/>
      <c r="USA122" s="198"/>
      <c r="USB122" s="199"/>
      <c r="USC122" s="198"/>
      <c r="USD122" s="199"/>
      <c r="USE122" s="198"/>
      <c r="USF122" s="199"/>
      <c r="USG122" s="198"/>
      <c r="USH122" s="199"/>
      <c r="USI122" s="198"/>
      <c r="USJ122" s="199"/>
      <c r="USK122" s="198"/>
      <c r="USL122" s="199"/>
      <c r="USM122" s="198"/>
      <c r="USN122" s="199"/>
      <c r="USO122" s="198"/>
      <c r="USP122" s="199"/>
      <c r="USQ122" s="198"/>
      <c r="USR122" s="199"/>
      <c r="USS122" s="198"/>
      <c r="UST122" s="199"/>
      <c r="USU122" s="198"/>
      <c r="USV122" s="199"/>
      <c r="USW122" s="198"/>
      <c r="USX122" s="199"/>
      <c r="USY122" s="198"/>
      <c r="USZ122" s="199"/>
      <c r="UTA122" s="198"/>
      <c r="UTB122" s="199"/>
      <c r="UTC122" s="198"/>
      <c r="UTD122" s="199"/>
      <c r="UTE122" s="198"/>
      <c r="UTF122" s="199"/>
      <c r="UTG122" s="198"/>
      <c r="UTH122" s="199"/>
      <c r="UTI122" s="198"/>
      <c r="UTJ122" s="199"/>
      <c r="UTK122" s="198"/>
      <c r="UTL122" s="199"/>
      <c r="UTM122" s="198"/>
      <c r="UTN122" s="199"/>
      <c r="UTO122" s="198"/>
      <c r="UTP122" s="199"/>
      <c r="UTQ122" s="198"/>
      <c r="UTR122" s="199"/>
      <c r="UTS122" s="198"/>
      <c r="UTT122" s="199"/>
      <c r="UTU122" s="198"/>
      <c r="UTV122" s="199"/>
      <c r="UTW122" s="198"/>
      <c r="UTX122" s="199"/>
      <c r="UTY122" s="198"/>
      <c r="UTZ122" s="199"/>
      <c r="UUA122" s="198"/>
      <c r="UUB122" s="199"/>
      <c r="UUC122" s="198"/>
      <c r="UUD122" s="199"/>
      <c r="UUE122" s="198"/>
      <c r="UUF122" s="199"/>
      <c r="UUG122" s="198"/>
      <c r="UUH122" s="199"/>
      <c r="UUI122" s="198"/>
      <c r="UUJ122" s="199"/>
      <c r="UUK122" s="198"/>
      <c r="UUL122" s="199"/>
      <c r="UUM122" s="198"/>
      <c r="UUN122" s="199"/>
      <c r="UUO122" s="198"/>
      <c r="UUP122" s="199"/>
      <c r="UUQ122" s="198"/>
      <c r="UUR122" s="199"/>
      <c r="UUS122" s="198"/>
      <c r="UUT122" s="199"/>
      <c r="UUU122" s="198"/>
      <c r="UUV122" s="199"/>
      <c r="UUW122" s="198"/>
      <c r="UUX122" s="199"/>
      <c r="UUY122" s="198"/>
      <c r="UUZ122" s="199"/>
      <c r="UVA122" s="198"/>
      <c r="UVB122" s="199"/>
      <c r="UVC122" s="198"/>
      <c r="UVD122" s="199"/>
      <c r="UVE122" s="198"/>
      <c r="UVF122" s="199"/>
      <c r="UVG122" s="198"/>
      <c r="UVH122" s="199"/>
      <c r="UVI122" s="198"/>
      <c r="UVJ122" s="199"/>
      <c r="UVK122" s="198"/>
      <c r="UVL122" s="199"/>
      <c r="UVM122" s="198"/>
      <c r="UVN122" s="199"/>
      <c r="UVO122" s="198"/>
      <c r="UVP122" s="199"/>
      <c r="UVQ122" s="198"/>
      <c r="UVR122" s="199"/>
      <c r="UVS122" s="198"/>
      <c r="UVT122" s="199"/>
      <c r="UVU122" s="198"/>
      <c r="UVV122" s="199"/>
      <c r="UVW122" s="198"/>
      <c r="UVX122" s="199"/>
      <c r="UVY122" s="198"/>
      <c r="UVZ122" s="199"/>
      <c r="UWA122" s="198"/>
      <c r="UWB122" s="199"/>
      <c r="UWC122" s="198"/>
      <c r="UWD122" s="199"/>
      <c r="UWE122" s="198"/>
      <c r="UWF122" s="199"/>
      <c r="UWG122" s="198"/>
      <c r="UWH122" s="199"/>
      <c r="UWI122" s="198"/>
      <c r="UWJ122" s="199"/>
      <c r="UWK122" s="198"/>
      <c r="UWL122" s="199"/>
      <c r="UWM122" s="198"/>
      <c r="UWN122" s="199"/>
      <c r="UWO122" s="198"/>
      <c r="UWP122" s="199"/>
      <c r="UWQ122" s="198"/>
      <c r="UWR122" s="199"/>
      <c r="UWS122" s="198"/>
      <c r="UWT122" s="199"/>
      <c r="UWU122" s="198"/>
      <c r="UWV122" s="199"/>
      <c r="UWW122" s="198"/>
      <c r="UWX122" s="199"/>
      <c r="UWY122" s="198"/>
      <c r="UWZ122" s="199"/>
      <c r="UXA122" s="198"/>
      <c r="UXB122" s="199"/>
      <c r="UXC122" s="198"/>
      <c r="UXD122" s="199"/>
      <c r="UXE122" s="198"/>
      <c r="UXF122" s="199"/>
      <c r="UXG122" s="198"/>
      <c r="UXH122" s="199"/>
      <c r="UXI122" s="198"/>
      <c r="UXJ122" s="199"/>
      <c r="UXK122" s="198"/>
      <c r="UXL122" s="199"/>
      <c r="UXM122" s="198"/>
      <c r="UXN122" s="199"/>
      <c r="UXO122" s="198"/>
      <c r="UXP122" s="199"/>
      <c r="UXQ122" s="198"/>
      <c r="UXR122" s="199"/>
      <c r="UXS122" s="198"/>
      <c r="UXT122" s="199"/>
      <c r="UXU122" s="198"/>
      <c r="UXV122" s="199"/>
      <c r="UXW122" s="198"/>
      <c r="UXX122" s="199"/>
      <c r="UXY122" s="198"/>
      <c r="UXZ122" s="199"/>
      <c r="UYA122" s="198"/>
      <c r="UYB122" s="199"/>
      <c r="UYC122" s="198"/>
      <c r="UYD122" s="199"/>
      <c r="UYE122" s="198"/>
      <c r="UYF122" s="199"/>
      <c r="UYG122" s="198"/>
      <c r="UYH122" s="199"/>
      <c r="UYI122" s="198"/>
      <c r="UYJ122" s="199"/>
      <c r="UYK122" s="198"/>
      <c r="UYL122" s="199"/>
      <c r="UYM122" s="198"/>
      <c r="UYN122" s="199"/>
      <c r="UYO122" s="198"/>
      <c r="UYP122" s="199"/>
      <c r="UYQ122" s="198"/>
      <c r="UYR122" s="199"/>
      <c r="UYS122" s="198"/>
      <c r="UYT122" s="199"/>
      <c r="UYU122" s="198"/>
      <c r="UYV122" s="199"/>
      <c r="UYW122" s="198"/>
      <c r="UYX122" s="199"/>
      <c r="UYY122" s="198"/>
      <c r="UYZ122" s="199"/>
      <c r="UZA122" s="198"/>
      <c r="UZB122" s="199"/>
      <c r="UZC122" s="198"/>
      <c r="UZD122" s="199"/>
      <c r="UZE122" s="198"/>
      <c r="UZF122" s="199"/>
      <c r="UZG122" s="198"/>
      <c r="UZH122" s="199"/>
      <c r="UZI122" s="198"/>
      <c r="UZJ122" s="199"/>
      <c r="UZK122" s="198"/>
      <c r="UZL122" s="199"/>
      <c r="UZM122" s="198"/>
      <c r="UZN122" s="199"/>
      <c r="UZO122" s="198"/>
      <c r="UZP122" s="199"/>
      <c r="UZQ122" s="198"/>
      <c r="UZR122" s="199"/>
      <c r="UZS122" s="198"/>
      <c r="UZT122" s="199"/>
      <c r="UZU122" s="198"/>
      <c r="UZV122" s="199"/>
      <c r="UZW122" s="198"/>
      <c r="UZX122" s="199"/>
      <c r="UZY122" s="198"/>
      <c r="UZZ122" s="199"/>
      <c r="VAA122" s="198"/>
      <c r="VAB122" s="199"/>
      <c r="VAC122" s="198"/>
      <c r="VAD122" s="199"/>
      <c r="VAE122" s="198"/>
      <c r="VAF122" s="199"/>
      <c r="VAG122" s="198"/>
      <c r="VAH122" s="199"/>
      <c r="VAI122" s="198"/>
      <c r="VAJ122" s="199"/>
      <c r="VAK122" s="198"/>
      <c r="VAL122" s="199"/>
      <c r="VAM122" s="198"/>
      <c r="VAN122" s="199"/>
      <c r="VAO122" s="198"/>
      <c r="VAP122" s="199"/>
      <c r="VAQ122" s="198"/>
      <c r="VAR122" s="199"/>
      <c r="VAS122" s="198"/>
      <c r="VAT122" s="199"/>
      <c r="VAU122" s="198"/>
      <c r="VAV122" s="199"/>
      <c r="VAW122" s="198"/>
      <c r="VAX122" s="199"/>
      <c r="VAY122" s="198"/>
      <c r="VAZ122" s="199"/>
      <c r="VBA122" s="198"/>
      <c r="VBB122" s="199"/>
      <c r="VBC122" s="198"/>
      <c r="VBD122" s="199"/>
      <c r="VBE122" s="198"/>
      <c r="VBF122" s="199"/>
      <c r="VBG122" s="198"/>
      <c r="VBH122" s="199"/>
      <c r="VBI122" s="198"/>
      <c r="VBJ122" s="199"/>
      <c r="VBK122" s="198"/>
      <c r="VBL122" s="199"/>
      <c r="VBM122" s="198"/>
      <c r="VBN122" s="199"/>
      <c r="VBO122" s="198"/>
      <c r="VBP122" s="199"/>
      <c r="VBQ122" s="198"/>
      <c r="VBR122" s="199"/>
      <c r="VBS122" s="198"/>
      <c r="VBT122" s="199"/>
      <c r="VBU122" s="198"/>
      <c r="VBV122" s="199"/>
      <c r="VBW122" s="198"/>
      <c r="VBX122" s="199"/>
      <c r="VBY122" s="198"/>
      <c r="VBZ122" s="199"/>
      <c r="VCA122" s="198"/>
      <c r="VCB122" s="199"/>
      <c r="VCC122" s="198"/>
      <c r="VCD122" s="199"/>
      <c r="VCE122" s="198"/>
      <c r="VCF122" s="199"/>
      <c r="VCG122" s="198"/>
      <c r="VCH122" s="199"/>
      <c r="VCI122" s="198"/>
      <c r="VCJ122" s="199"/>
      <c r="VCK122" s="198"/>
      <c r="VCL122" s="199"/>
      <c r="VCM122" s="198"/>
      <c r="VCN122" s="199"/>
      <c r="VCO122" s="198"/>
      <c r="VCP122" s="199"/>
      <c r="VCQ122" s="198"/>
      <c r="VCR122" s="199"/>
      <c r="VCS122" s="198"/>
      <c r="VCT122" s="199"/>
      <c r="VCU122" s="198"/>
      <c r="VCV122" s="199"/>
      <c r="VCW122" s="198"/>
      <c r="VCX122" s="199"/>
      <c r="VCY122" s="198"/>
      <c r="VCZ122" s="199"/>
      <c r="VDA122" s="198"/>
      <c r="VDB122" s="199"/>
      <c r="VDC122" s="198"/>
      <c r="VDD122" s="199"/>
      <c r="VDE122" s="198"/>
      <c r="VDF122" s="199"/>
      <c r="VDG122" s="198"/>
      <c r="VDH122" s="199"/>
      <c r="VDI122" s="198"/>
      <c r="VDJ122" s="199"/>
      <c r="VDK122" s="198"/>
      <c r="VDL122" s="199"/>
      <c r="VDM122" s="198"/>
      <c r="VDN122" s="199"/>
      <c r="VDO122" s="198"/>
      <c r="VDP122" s="199"/>
      <c r="VDQ122" s="198"/>
      <c r="VDR122" s="199"/>
      <c r="VDS122" s="198"/>
      <c r="VDT122" s="199"/>
      <c r="VDU122" s="198"/>
      <c r="VDV122" s="199"/>
      <c r="VDW122" s="198"/>
      <c r="VDX122" s="199"/>
      <c r="VDY122" s="198"/>
      <c r="VDZ122" s="199"/>
      <c r="VEA122" s="198"/>
      <c r="VEB122" s="199"/>
      <c r="VEC122" s="198"/>
      <c r="VED122" s="199"/>
      <c r="VEE122" s="198"/>
      <c r="VEF122" s="199"/>
      <c r="VEG122" s="198"/>
      <c r="VEH122" s="199"/>
      <c r="VEI122" s="198"/>
      <c r="VEJ122" s="199"/>
      <c r="VEK122" s="198"/>
      <c r="VEL122" s="199"/>
      <c r="VEM122" s="198"/>
      <c r="VEN122" s="199"/>
      <c r="VEO122" s="198"/>
      <c r="VEP122" s="199"/>
      <c r="VEQ122" s="198"/>
      <c r="VER122" s="199"/>
      <c r="VES122" s="198"/>
      <c r="VET122" s="199"/>
      <c r="VEU122" s="198"/>
      <c r="VEV122" s="199"/>
      <c r="VEW122" s="198"/>
      <c r="VEX122" s="199"/>
      <c r="VEY122" s="198"/>
      <c r="VEZ122" s="199"/>
      <c r="VFA122" s="198"/>
      <c r="VFB122" s="199"/>
      <c r="VFC122" s="198"/>
      <c r="VFD122" s="199"/>
      <c r="VFE122" s="198"/>
      <c r="VFF122" s="199"/>
      <c r="VFG122" s="198"/>
      <c r="VFH122" s="199"/>
      <c r="VFI122" s="198"/>
      <c r="VFJ122" s="199"/>
      <c r="VFK122" s="198"/>
      <c r="VFL122" s="199"/>
      <c r="VFM122" s="198"/>
      <c r="VFN122" s="199"/>
      <c r="VFO122" s="198"/>
      <c r="VFP122" s="199"/>
      <c r="VFQ122" s="198"/>
      <c r="VFR122" s="199"/>
      <c r="VFS122" s="198"/>
      <c r="VFT122" s="199"/>
      <c r="VFU122" s="198"/>
      <c r="VFV122" s="199"/>
      <c r="VFW122" s="198"/>
      <c r="VFX122" s="199"/>
      <c r="VFY122" s="198"/>
      <c r="VFZ122" s="199"/>
      <c r="VGA122" s="198"/>
      <c r="VGB122" s="199"/>
      <c r="VGC122" s="198"/>
      <c r="VGD122" s="199"/>
      <c r="VGE122" s="198"/>
      <c r="VGF122" s="199"/>
      <c r="VGG122" s="198"/>
      <c r="VGH122" s="199"/>
      <c r="VGI122" s="198"/>
      <c r="VGJ122" s="199"/>
      <c r="VGK122" s="198"/>
      <c r="VGL122" s="199"/>
      <c r="VGM122" s="198"/>
      <c r="VGN122" s="199"/>
      <c r="VGO122" s="198"/>
      <c r="VGP122" s="199"/>
      <c r="VGQ122" s="198"/>
      <c r="VGR122" s="199"/>
      <c r="VGS122" s="198"/>
      <c r="VGT122" s="199"/>
      <c r="VGU122" s="198"/>
      <c r="VGV122" s="199"/>
      <c r="VGW122" s="198"/>
      <c r="VGX122" s="199"/>
      <c r="VGY122" s="198"/>
      <c r="VGZ122" s="199"/>
      <c r="VHA122" s="198"/>
      <c r="VHB122" s="199"/>
      <c r="VHC122" s="198"/>
      <c r="VHD122" s="199"/>
      <c r="VHE122" s="198"/>
      <c r="VHF122" s="199"/>
      <c r="VHG122" s="198"/>
      <c r="VHH122" s="199"/>
      <c r="VHI122" s="198"/>
      <c r="VHJ122" s="199"/>
      <c r="VHK122" s="198"/>
      <c r="VHL122" s="199"/>
      <c r="VHM122" s="198"/>
      <c r="VHN122" s="199"/>
      <c r="VHO122" s="198"/>
      <c r="VHP122" s="199"/>
      <c r="VHQ122" s="198"/>
      <c r="VHR122" s="199"/>
      <c r="VHS122" s="198"/>
      <c r="VHT122" s="199"/>
      <c r="VHU122" s="198"/>
      <c r="VHV122" s="199"/>
      <c r="VHW122" s="198"/>
      <c r="VHX122" s="199"/>
      <c r="VHY122" s="198"/>
      <c r="VHZ122" s="199"/>
      <c r="VIA122" s="198"/>
      <c r="VIB122" s="199"/>
      <c r="VIC122" s="198"/>
      <c r="VID122" s="199"/>
      <c r="VIE122" s="198"/>
      <c r="VIF122" s="199"/>
      <c r="VIG122" s="198"/>
      <c r="VIH122" s="199"/>
      <c r="VII122" s="198"/>
      <c r="VIJ122" s="199"/>
      <c r="VIK122" s="198"/>
      <c r="VIL122" s="199"/>
      <c r="VIM122" s="198"/>
      <c r="VIN122" s="199"/>
      <c r="VIO122" s="198"/>
      <c r="VIP122" s="199"/>
      <c r="VIQ122" s="198"/>
      <c r="VIR122" s="199"/>
      <c r="VIS122" s="198"/>
      <c r="VIT122" s="199"/>
      <c r="VIU122" s="198"/>
      <c r="VIV122" s="199"/>
      <c r="VIW122" s="198"/>
      <c r="VIX122" s="199"/>
      <c r="VIY122" s="198"/>
      <c r="VIZ122" s="199"/>
      <c r="VJA122" s="198"/>
      <c r="VJB122" s="199"/>
      <c r="VJC122" s="198"/>
      <c r="VJD122" s="199"/>
      <c r="VJE122" s="198"/>
      <c r="VJF122" s="199"/>
      <c r="VJG122" s="198"/>
      <c r="VJH122" s="199"/>
      <c r="VJI122" s="198"/>
      <c r="VJJ122" s="199"/>
      <c r="VJK122" s="198"/>
      <c r="VJL122" s="199"/>
      <c r="VJM122" s="198"/>
      <c r="VJN122" s="199"/>
      <c r="VJO122" s="198"/>
      <c r="VJP122" s="199"/>
      <c r="VJQ122" s="198"/>
      <c r="VJR122" s="199"/>
      <c r="VJS122" s="198"/>
      <c r="VJT122" s="199"/>
      <c r="VJU122" s="198"/>
      <c r="VJV122" s="199"/>
      <c r="VJW122" s="198"/>
      <c r="VJX122" s="199"/>
      <c r="VJY122" s="198"/>
      <c r="VJZ122" s="199"/>
      <c r="VKA122" s="198"/>
      <c r="VKB122" s="199"/>
      <c r="VKC122" s="198"/>
      <c r="VKD122" s="199"/>
      <c r="VKE122" s="198"/>
      <c r="VKF122" s="199"/>
      <c r="VKG122" s="198"/>
      <c r="VKH122" s="199"/>
      <c r="VKI122" s="198"/>
      <c r="VKJ122" s="199"/>
      <c r="VKK122" s="198"/>
      <c r="VKL122" s="199"/>
      <c r="VKM122" s="198"/>
      <c r="VKN122" s="199"/>
      <c r="VKO122" s="198"/>
      <c r="VKP122" s="199"/>
      <c r="VKQ122" s="198"/>
      <c r="VKR122" s="199"/>
      <c r="VKS122" s="198"/>
      <c r="VKT122" s="199"/>
      <c r="VKU122" s="198"/>
      <c r="VKV122" s="199"/>
      <c r="VKW122" s="198"/>
      <c r="VKX122" s="199"/>
      <c r="VKY122" s="198"/>
      <c r="VKZ122" s="199"/>
      <c r="VLA122" s="198"/>
      <c r="VLB122" s="199"/>
      <c r="VLC122" s="198"/>
      <c r="VLD122" s="199"/>
      <c r="VLE122" s="198"/>
      <c r="VLF122" s="199"/>
      <c r="VLG122" s="198"/>
      <c r="VLH122" s="199"/>
      <c r="VLI122" s="198"/>
      <c r="VLJ122" s="199"/>
      <c r="VLK122" s="198"/>
      <c r="VLL122" s="199"/>
      <c r="VLM122" s="198"/>
      <c r="VLN122" s="199"/>
      <c r="VLO122" s="198"/>
      <c r="VLP122" s="199"/>
      <c r="VLQ122" s="198"/>
      <c r="VLR122" s="199"/>
      <c r="VLS122" s="198"/>
      <c r="VLT122" s="199"/>
      <c r="VLU122" s="198"/>
      <c r="VLV122" s="199"/>
      <c r="VLW122" s="198"/>
      <c r="VLX122" s="199"/>
      <c r="VLY122" s="198"/>
      <c r="VLZ122" s="199"/>
      <c r="VMA122" s="198"/>
      <c r="VMB122" s="199"/>
      <c r="VMC122" s="198"/>
      <c r="VMD122" s="199"/>
      <c r="VME122" s="198"/>
      <c r="VMF122" s="199"/>
      <c r="VMG122" s="198"/>
      <c r="VMH122" s="199"/>
      <c r="VMI122" s="198"/>
      <c r="VMJ122" s="199"/>
      <c r="VMK122" s="198"/>
      <c r="VML122" s="199"/>
      <c r="VMM122" s="198"/>
      <c r="VMN122" s="199"/>
      <c r="VMO122" s="198"/>
      <c r="VMP122" s="199"/>
      <c r="VMQ122" s="198"/>
      <c r="VMR122" s="199"/>
      <c r="VMS122" s="198"/>
      <c r="VMT122" s="199"/>
      <c r="VMU122" s="198"/>
      <c r="VMV122" s="199"/>
      <c r="VMW122" s="198"/>
      <c r="VMX122" s="199"/>
      <c r="VMY122" s="198"/>
      <c r="VMZ122" s="199"/>
      <c r="VNA122" s="198"/>
      <c r="VNB122" s="199"/>
      <c r="VNC122" s="198"/>
      <c r="VND122" s="199"/>
      <c r="VNE122" s="198"/>
      <c r="VNF122" s="199"/>
      <c r="VNG122" s="198"/>
      <c r="VNH122" s="199"/>
      <c r="VNI122" s="198"/>
      <c r="VNJ122" s="199"/>
      <c r="VNK122" s="198"/>
      <c r="VNL122" s="199"/>
      <c r="VNM122" s="198"/>
      <c r="VNN122" s="199"/>
      <c r="VNO122" s="198"/>
      <c r="VNP122" s="199"/>
      <c r="VNQ122" s="198"/>
      <c r="VNR122" s="199"/>
      <c r="VNS122" s="198"/>
      <c r="VNT122" s="199"/>
      <c r="VNU122" s="198"/>
      <c r="VNV122" s="199"/>
      <c r="VNW122" s="198"/>
      <c r="VNX122" s="199"/>
      <c r="VNY122" s="198"/>
      <c r="VNZ122" s="199"/>
      <c r="VOA122" s="198"/>
      <c r="VOB122" s="199"/>
      <c r="VOC122" s="198"/>
      <c r="VOD122" s="199"/>
      <c r="VOE122" s="198"/>
      <c r="VOF122" s="199"/>
      <c r="VOG122" s="198"/>
      <c r="VOH122" s="199"/>
      <c r="VOI122" s="198"/>
      <c r="VOJ122" s="199"/>
      <c r="VOK122" s="198"/>
      <c r="VOL122" s="199"/>
      <c r="VOM122" s="198"/>
      <c r="VON122" s="199"/>
      <c r="VOO122" s="198"/>
      <c r="VOP122" s="199"/>
      <c r="VOQ122" s="198"/>
      <c r="VOR122" s="199"/>
      <c r="VOS122" s="198"/>
      <c r="VOT122" s="199"/>
      <c r="VOU122" s="198"/>
      <c r="VOV122" s="199"/>
      <c r="VOW122" s="198"/>
      <c r="VOX122" s="199"/>
      <c r="VOY122" s="198"/>
      <c r="VOZ122" s="199"/>
      <c r="VPA122" s="198"/>
      <c r="VPB122" s="199"/>
      <c r="VPC122" s="198"/>
      <c r="VPD122" s="199"/>
      <c r="VPE122" s="198"/>
      <c r="VPF122" s="199"/>
      <c r="VPG122" s="198"/>
      <c r="VPH122" s="199"/>
      <c r="VPI122" s="198"/>
      <c r="VPJ122" s="199"/>
      <c r="VPK122" s="198"/>
      <c r="VPL122" s="199"/>
      <c r="VPM122" s="198"/>
      <c r="VPN122" s="199"/>
      <c r="VPO122" s="198"/>
      <c r="VPP122" s="199"/>
      <c r="VPQ122" s="198"/>
      <c r="VPR122" s="199"/>
      <c r="VPS122" s="198"/>
      <c r="VPT122" s="199"/>
      <c r="VPU122" s="198"/>
      <c r="VPV122" s="199"/>
      <c r="VPW122" s="198"/>
      <c r="VPX122" s="199"/>
      <c r="VPY122" s="198"/>
      <c r="VPZ122" s="199"/>
      <c r="VQA122" s="198"/>
      <c r="VQB122" s="199"/>
      <c r="VQC122" s="198"/>
      <c r="VQD122" s="199"/>
      <c r="VQE122" s="198"/>
      <c r="VQF122" s="199"/>
      <c r="VQG122" s="198"/>
      <c r="VQH122" s="199"/>
      <c r="VQI122" s="198"/>
      <c r="VQJ122" s="199"/>
      <c r="VQK122" s="198"/>
      <c r="VQL122" s="199"/>
      <c r="VQM122" s="198"/>
      <c r="VQN122" s="199"/>
      <c r="VQO122" s="198"/>
      <c r="VQP122" s="199"/>
      <c r="VQQ122" s="198"/>
      <c r="VQR122" s="199"/>
      <c r="VQS122" s="198"/>
      <c r="VQT122" s="199"/>
      <c r="VQU122" s="198"/>
      <c r="VQV122" s="199"/>
      <c r="VQW122" s="198"/>
      <c r="VQX122" s="199"/>
      <c r="VQY122" s="198"/>
      <c r="VQZ122" s="199"/>
      <c r="VRA122" s="198"/>
      <c r="VRB122" s="199"/>
      <c r="VRC122" s="198"/>
      <c r="VRD122" s="199"/>
      <c r="VRE122" s="198"/>
      <c r="VRF122" s="199"/>
      <c r="VRG122" s="198"/>
      <c r="VRH122" s="199"/>
      <c r="VRI122" s="198"/>
      <c r="VRJ122" s="199"/>
      <c r="VRK122" s="198"/>
      <c r="VRL122" s="199"/>
      <c r="VRM122" s="198"/>
      <c r="VRN122" s="199"/>
      <c r="VRO122" s="198"/>
      <c r="VRP122" s="199"/>
      <c r="VRQ122" s="198"/>
      <c r="VRR122" s="199"/>
      <c r="VRS122" s="198"/>
      <c r="VRT122" s="199"/>
      <c r="VRU122" s="198"/>
      <c r="VRV122" s="199"/>
      <c r="VRW122" s="198"/>
      <c r="VRX122" s="199"/>
      <c r="VRY122" s="198"/>
      <c r="VRZ122" s="199"/>
      <c r="VSA122" s="198"/>
      <c r="VSB122" s="199"/>
      <c r="VSC122" s="198"/>
      <c r="VSD122" s="199"/>
      <c r="VSE122" s="198"/>
      <c r="VSF122" s="199"/>
      <c r="VSG122" s="198"/>
      <c r="VSH122" s="199"/>
      <c r="VSI122" s="198"/>
      <c r="VSJ122" s="199"/>
      <c r="VSK122" s="198"/>
      <c r="VSL122" s="199"/>
      <c r="VSM122" s="198"/>
      <c r="VSN122" s="199"/>
      <c r="VSO122" s="198"/>
      <c r="VSP122" s="199"/>
      <c r="VSQ122" s="198"/>
      <c r="VSR122" s="199"/>
      <c r="VSS122" s="198"/>
      <c r="VST122" s="199"/>
      <c r="VSU122" s="198"/>
      <c r="VSV122" s="199"/>
      <c r="VSW122" s="198"/>
      <c r="VSX122" s="199"/>
      <c r="VSY122" s="198"/>
      <c r="VSZ122" s="199"/>
      <c r="VTA122" s="198"/>
      <c r="VTB122" s="199"/>
      <c r="VTC122" s="198"/>
      <c r="VTD122" s="199"/>
      <c r="VTE122" s="198"/>
      <c r="VTF122" s="199"/>
      <c r="VTG122" s="198"/>
      <c r="VTH122" s="199"/>
      <c r="VTI122" s="198"/>
      <c r="VTJ122" s="199"/>
      <c r="VTK122" s="198"/>
      <c r="VTL122" s="199"/>
      <c r="VTM122" s="198"/>
      <c r="VTN122" s="199"/>
      <c r="VTO122" s="198"/>
      <c r="VTP122" s="199"/>
      <c r="VTQ122" s="198"/>
      <c r="VTR122" s="199"/>
      <c r="VTS122" s="198"/>
      <c r="VTT122" s="199"/>
      <c r="VTU122" s="198"/>
      <c r="VTV122" s="199"/>
      <c r="VTW122" s="198"/>
      <c r="VTX122" s="199"/>
      <c r="VTY122" s="198"/>
      <c r="VTZ122" s="199"/>
      <c r="VUA122" s="198"/>
      <c r="VUB122" s="199"/>
      <c r="VUC122" s="198"/>
      <c r="VUD122" s="199"/>
      <c r="VUE122" s="198"/>
      <c r="VUF122" s="199"/>
      <c r="VUG122" s="198"/>
      <c r="VUH122" s="199"/>
      <c r="VUI122" s="198"/>
      <c r="VUJ122" s="199"/>
      <c r="VUK122" s="198"/>
      <c r="VUL122" s="199"/>
      <c r="VUM122" s="198"/>
      <c r="VUN122" s="199"/>
      <c r="VUO122" s="198"/>
      <c r="VUP122" s="199"/>
      <c r="VUQ122" s="198"/>
      <c r="VUR122" s="199"/>
      <c r="VUS122" s="198"/>
      <c r="VUT122" s="199"/>
      <c r="VUU122" s="198"/>
      <c r="VUV122" s="199"/>
      <c r="VUW122" s="198"/>
      <c r="VUX122" s="199"/>
      <c r="VUY122" s="198"/>
      <c r="VUZ122" s="199"/>
      <c r="VVA122" s="198"/>
      <c r="VVB122" s="199"/>
      <c r="VVC122" s="198"/>
      <c r="VVD122" s="199"/>
      <c r="VVE122" s="198"/>
      <c r="VVF122" s="199"/>
      <c r="VVG122" s="198"/>
      <c r="VVH122" s="199"/>
      <c r="VVI122" s="198"/>
      <c r="VVJ122" s="199"/>
      <c r="VVK122" s="198"/>
      <c r="VVL122" s="199"/>
      <c r="VVM122" s="198"/>
      <c r="VVN122" s="199"/>
      <c r="VVO122" s="198"/>
      <c r="VVP122" s="199"/>
      <c r="VVQ122" s="198"/>
      <c r="VVR122" s="199"/>
      <c r="VVS122" s="198"/>
      <c r="VVT122" s="199"/>
      <c r="VVU122" s="198"/>
      <c r="VVV122" s="199"/>
      <c r="VVW122" s="198"/>
      <c r="VVX122" s="199"/>
      <c r="VVY122" s="198"/>
      <c r="VVZ122" s="199"/>
      <c r="VWA122" s="198"/>
      <c r="VWB122" s="199"/>
      <c r="VWC122" s="198"/>
      <c r="VWD122" s="199"/>
      <c r="VWE122" s="198"/>
      <c r="VWF122" s="199"/>
      <c r="VWG122" s="198"/>
      <c r="VWH122" s="199"/>
      <c r="VWI122" s="198"/>
      <c r="VWJ122" s="199"/>
      <c r="VWK122" s="198"/>
      <c r="VWL122" s="199"/>
      <c r="VWM122" s="198"/>
      <c r="VWN122" s="199"/>
      <c r="VWO122" s="198"/>
      <c r="VWP122" s="199"/>
      <c r="VWQ122" s="198"/>
      <c r="VWR122" s="199"/>
      <c r="VWS122" s="198"/>
      <c r="VWT122" s="199"/>
      <c r="VWU122" s="198"/>
      <c r="VWV122" s="199"/>
      <c r="VWW122" s="198"/>
      <c r="VWX122" s="199"/>
      <c r="VWY122" s="198"/>
      <c r="VWZ122" s="199"/>
      <c r="VXA122" s="198"/>
      <c r="VXB122" s="199"/>
      <c r="VXC122" s="198"/>
      <c r="VXD122" s="199"/>
      <c r="VXE122" s="198"/>
      <c r="VXF122" s="199"/>
      <c r="VXG122" s="198"/>
      <c r="VXH122" s="199"/>
      <c r="VXI122" s="198"/>
      <c r="VXJ122" s="199"/>
      <c r="VXK122" s="198"/>
      <c r="VXL122" s="199"/>
      <c r="VXM122" s="198"/>
      <c r="VXN122" s="199"/>
      <c r="VXO122" s="198"/>
      <c r="VXP122" s="199"/>
      <c r="VXQ122" s="198"/>
      <c r="VXR122" s="199"/>
      <c r="VXS122" s="198"/>
      <c r="VXT122" s="199"/>
      <c r="VXU122" s="198"/>
      <c r="VXV122" s="199"/>
      <c r="VXW122" s="198"/>
      <c r="VXX122" s="199"/>
      <c r="VXY122" s="198"/>
      <c r="VXZ122" s="199"/>
      <c r="VYA122" s="198"/>
      <c r="VYB122" s="199"/>
      <c r="VYC122" s="198"/>
      <c r="VYD122" s="199"/>
      <c r="VYE122" s="198"/>
      <c r="VYF122" s="199"/>
      <c r="VYG122" s="198"/>
      <c r="VYH122" s="199"/>
      <c r="VYI122" s="198"/>
      <c r="VYJ122" s="199"/>
      <c r="VYK122" s="198"/>
      <c r="VYL122" s="199"/>
      <c r="VYM122" s="198"/>
      <c r="VYN122" s="199"/>
      <c r="VYO122" s="198"/>
      <c r="VYP122" s="199"/>
      <c r="VYQ122" s="198"/>
      <c r="VYR122" s="199"/>
      <c r="VYS122" s="198"/>
      <c r="VYT122" s="199"/>
      <c r="VYU122" s="198"/>
      <c r="VYV122" s="199"/>
      <c r="VYW122" s="198"/>
      <c r="VYX122" s="199"/>
      <c r="VYY122" s="198"/>
      <c r="VYZ122" s="199"/>
      <c r="VZA122" s="198"/>
      <c r="VZB122" s="199"/>
      <c r="VZC122" s="198"/>
      <c r="VZD122" s="199"/>
      <c r="VZE122" s="198"/>
      <c r="VZF122" s="199"/>
      <c r="VZG122" s="198"/>
      <c r="VZH122" s="199"/>
      <c r="VZI122" s="198"/>
      <c r="VZJ122" s="199"/>
      <c r="VZK122" s="198"/>
      <c r="VZL122" s="199"/>
      <c r="VZM122" s="198"/>
      <c r="VZN122" s="199"/>
      <c r="VZO122" s="198"/>
      <c r="VZP122" s="199"/>
      <c r="VZQ122" s="198"/>
      <c r="VZR122" s="199"/>
      <c r="VZS122" s="198"/>
      <c r="VZT122" s="199"/>
      <c r="VZU122" s="198"/>
      <c r="VZV122" s="199"/>
      <c r="VZW122" s="198"/>
      <c r="VZX122" s="199"/>
      <c r="VZY122" s="198"/>
      <c r="VZZ122" s="199"/>
      <c r="WAA122" s="198"/>
      <c r="WAB122" s="199"/>
      <c r="WAC122" s="198"/>
      <c r="WAD122" s="199"/>
      <c r="WAE122" s="198"/>
      <c r="WAF122" s="199"/>
      <c r="WAG122" s="198"/>
      <c r="WAH122" s="199"/>
      <c r="WAI122" s="198"/>
      <c r="WAJ122" s="199"/>
      <c r="WAK122" s="198"/>
      <c r="WAL122" s="199"/>
      <c r="WAM122" s="198"/>
      <c r="WAN122" s="199"/>
      <c r="WAO122" s="198"/>
      <c r="WAP122" s="199"/>
      <c r="WAQ122" s="198"/>
      <c r="WAR122" s="199"/>
      <c r="WAS122" s="198"/>
      <c r="WAT122" s="199"/>
      <c r="WAU122" s="198"/>
      <c r="WAV122" s="199"/>
      <c r="WAW122" s="198"/>
      <c r="WAX122" s="199"/>
      <c r="WAY122" s="198"/>
      <c r="WAZ122" s="199"/>
      <c r="WBA122" s="198"/>
      <c r="WBB122" s="199"/>
      <c r="WBC122" s="198"/>
      <c r="WBD122" s="199"/>
      <c r="WBE122" s="198"/>
      <c r="WBF122" s="199"/>
      <c r="WBG122" s="198"/>
      <c r="WBH122" s="199"/>
      <c r="WBI122" s="198"/>
      <c r="WBJ122" s="199"/>
      <c r="WBK122" s="198"/>
      <c r="WBL122" s="199"/>
      <c r="WBM122" s="198"/>
      <c r="WBN122" s="199"/>
      <c r="WBO122" s="198"/>
      <c r="WBP122" s="199"/>
      <c r="WBQ122" s="198"/>
      <c r="WBR122" s="199"/>
      <c r="WBS122" s="198"/>
      <c r="WBT122" s="199"/>
      <c r="WBU122" s="198"/>
      <c r="WBV122" s="199"/>
      <c r="WBW122" s="198"/>
      <c r="WBX122" s="199"/>
      <c r="WBY122" s="198"/>
      <c r="WBZ122" s="199"/>
      <c r="WCA122" s="198"/>
      <c r="WCB122" s="199"/>
      <c r="WCC122" s="198"/>
      <c r="WCD122" s="199"/>
      <c r="WCE122" s="198"/>
      <c r="WCF122" s="199"/>
      <c r="WCG122" s="198"/>
      <c r="WCH122" s="199"/>
      <c r="WCI122" s="198"/>
      <c r="WCJ122" s="199"/>
      <c r="WCK122" s="198"/>
      <c r="WCL122" s="199"/>
      <c r="WCM122" s="198"/>
      <c r="WCN122" s="199"/>
      <c r="WCO122" s="198"/>
      <c r="WCP122" s="199"/>
      <c r="WCQ122" s="198"/>
      <c r="WCR122" s="199"/>
      <c r="WCS122" s="198"/>
      <c r="WCT122" s="199"/>
      <c r="WCU122" s="198"/>
      <c r="WCV122" s="199"/>
      <c r="WCW122" s="198"/>
      <c r="WCX122" s="199"/>
      <c r="WCY122" s="198"/>
      <c r="WCZ122" s="199"/>
      <c r="WDA122" s="198"/>
      <c r="WDB122" s="199"/>
      <c r="WDC122" s="198"/>
      <c r="WDD122" s="199"/>
      <c r="WDE122" s="198"/>
      <c r="WDF122" s="199"/>
      <c r="WDG122" s="198"/>
      <c r="WDH122" s="199"/>
      <c r="WDI122" s="198"/>
      <c r="WDJ122" s="199"/>
      <c r="WDK122" s="198"/>
      <c r="WDL122" s="199"/>
      <c r="WDM122" s="198"/>
      <c r="WDN122" s="199"/>
      <c r="WDO122" s="198"/>
      <c r="WDP122" s="199"/>
      <c r="WDQ122" s="198"/>
      <c r="WDR122" s="199"/>
      <c r="WDS122" s="198"/>
      <c r="WDT122" s="199"/>
      <c r="WDU122" s="198"/>
      <c r="WDV122" s="199"/>
      <c r="WDW122" s="198"/>
      <c r="WDX122" s="199"/>
      <c r="WDY122" s="198"/>
      <c r="WDZ122" s="199"/>
      <c r="WEA122" s="198"/>
      <c r="WEB122" s="199"/>
      <c r="WEC122" s="198"/>
      <c r="WED122" s="199"/>
      <c r="WEE122" s="198"/>
      <c r="WEF122" s="199"/>
      <c r="WEG122" s="198"/>
      <c r="WEH122" s="199"/>
      <c r="WEI122" s="198"/>
      <c r="WEJ122" s="199"/>
      <c r="WEK122" s="198"/>
      <c r="WEL122" s="199"/>
      <c r="WEM122" s="198"/>
      <c r="WEN122" s="199"/>
      <c r="WEO122" s="198"/>
      <c r="WEP122" s="199"/>
      <c r="WEQ122" s="198"/>
      <c r="WER122" s="199"/>
      <c r="WES122" s="198"/>
      <c r="WET122" s="199"/>
      <c r="WEU122" s="198"/>
      <c r="WEV122" s="199"/>
      <c r="WEW122" s="198"/>
      <c r="WEX122" s="199"/>
      <c r="WEY122" s="198"/>
      <c r="WEZ122" s="199"/>
      <c r="WFA122" s="198"/>
      <c r="WFB122" s="199"/>
      <c r="WFC122" s="198"/>
      <c r="WFD122" s="199"/>
      <c r="WFE122" s="198"/>
      <c r="WFF122" s="199"/>
      <c r="WFG122" s="198"/>
      <c r="WFH122" s="199"/>
      <c r="WFI122" s="198"/>
      <c r="WFJ122" s="199"/>
      <c r="WFK122" s="198"/>
      <c r="WFL122" s="199"/>
      <c r="WFM122" s="198"/>
      <c r="WFN122" s="199"/>
      <c r="WFO122" s="198"/>
      <c r="WFP122" s="199"/>
      <c r="WFQ122" s="198"/>
      <c r="WFR122" s="199"/>
      <c r="WFS122" s="198"/>
      <c r="WFT122" s="199"/>
      <c r="WFU122" s="198"/>
      <c r="WFV122" s="199"/>
      <c r="WFW122" s="198"/>
      <c r="WFX122" s="199"/>
      <c r="WFY122" s="198"/>
      <c r="WFZ122" s="199"/>
      <c r="WGA122" s="198"/>
      <c r="WGB122" s="199"/>
      <c r="WGC122" s="198"/>
      <c r="WGD122" s="199"/>
      <c r="WGE122" s="198"/>
      <c r="WGF122" s="199"/>
      <c r="WGG122" s="198"/>
      <c r="WGH122" s="199"/>
      <c r="WGI122" s="198"/>
      <c r="WGJ122" s="199"/>
      <c r="WGK122" s="198"/>
      <c r="WGL122" s="199"/>
      <c r="WGM122" s="198"/>
      <c r="WGN122" s="199"/>
      <c r="WGO122" s="198"/>
      <c r="WGP122" s="199"/>
      <c r="WGQ122" s="198"/>
      <c r="WGR122" s="199"/>
      <c r="WGS122" s="198"/>
      <c r="WGT122" s="199"/>
      <c r="WGU122" s="198"/>
      <c r="WGV122" s="199"/>
      <c r="WGW122" s="198"/>
      <c r="WGX122" s="199"/>
      <c r="WGY122" s="198"/>
      <c r="WGZ122" s="199"/>
      <c r="WHA122" s="198"/>
      <c r="WHB122" s="199"/>
      <c r="WHC122" s="198"/>
      <c r="WHD122" s="199"/>
      <c r="WHE122" s="198"/>
      <c r="WHF122" s="199"/>
      <c r="WHG122" s="198"/>
      <c r="WHH122" s="199"/>
      <c r="WHI122" s="198"/>
      <c r="WHJ122" s="199"/>
      <c r="WHK122" s="198"/>
      <c r="WHL122" s="199"/>
      <c r="WHM122" s="198"/>
      <c r="WHN122" s="199"/>
      <c r="WHO122" s="198"/>
      <c r="WHP122" s="199"/>
      <c r="WHQ122" s="198"/>
      <c r="WHR122" s="199"/>
      <c r="WHS122" s="198"/>
      <c r="WHT122" s="199"/>
      <c r="WHU122" s="198"/>
      <c r="WHV122" s="199"/>
      <c r="WHW122" s="198"/>
      <c r="WHX122" s="199"/>
      <c r="WHY122" s="198"/>
      <c r="WHZ122" s="199"/>
      <c r="WIA122" s="198"/>
      <c r="WIB122" s="199"/>
      <c r="WIC122" s="198"/>
      <c r="WID122" s="199"/>
      <c r="WIE122" s="198"/>
      <c r="WIF122" s="199"/>
      <c r="WIG122" s="198"/>
      <c r="WIH122" s="199"/>
      <c r="WII122" s="198"/>
      <c r="WIJ122" s="199"/>
      <c r="WIK122" s="198"/>
      <c r="WIL122" s="199"/>
      <c r="WIM122" s="198"/>
      <c r="WIN122" s="199"/>
      <c r="WIO122" s="198"/>
      <c r="WIP122" s="199"/>
      <c r="WIQ122" s="198"/>
      <c r="WIR122" s="199"/>
      <c r="WIS122" s="198"/>
      <c r="WIT122" s="199"/>
      <c r="WIU122" s="198"/>
      <c r="WIV122" s="199"/>
      <c r="WIW122" s="198"/>
      <c r="WIX122" s="199"/>
      <c r="WIY122" s="198"/>
      <c r="WIZ122" s="199"/>
      <c r="WJA122" s="198"/>
      <c r="WJB122" s="199"/>
      <c r="WJC122" s="198"/>
      <c r="WJD122" s="199"/>
      <c r="WJE122" s="198"/>
      <c r="WJF122" s="199"/>
      <c r="WJG122" s="198"/>
      <c r="WJH122" s="199"/>
      <c r="WJI122" s="198"/>
      <c r="WJJ122" s="199"/>
      <c r="WJK122" s="198"/>
      <c r="WJL122" s="199"/>
      <c r="WJM122" s="198"/>
      <c r="WJN122" s="199"/>
      <c r="WJO122" s="198"/>
      <c r="WJP122" s="199"/>
      <c r="WJQ122" s="198"/>
      <c r="WJR122" s="199"/>
      <c r="WJS122" s="198"/>
      <c r="WJT122" s="199"/>
      <c r="WJU122" s="198"/>
      <c r="WJV122" s="199"/>
      <c r="WJW122" s="198"/>
      <c r="WJX122" s="199"/>
      <c r="WJY122" s="198"/>
      <c r="WJZ122" s="199"/>
      <c r="WKA122" s="198"/>
      <c r="WKB122" s="199"/>
      <c r="WKC122" s="198"/>
      <c r="WKD122" s="199"/>
      <c r="WKE122" s="198"/>
      <c r="WKF122" s="199"/>
      <c r="WKG122" s="198"/>
      <c r="WKH122" s="199"/>
      <c r="WKI122" s="198"/>
      <c r="WKJ122" s="199"/>
      <c r="WKK122" s="198"/>
      <c r="WKL122" s="199"/>
      <c r="WKM122" s="198"/>
      <c r="WKN122" s="199"/>
      <c r="WKO122" s="198"/>
      <c r="WKP122" s="199"/>
      <c r="WKQ122" s="198"/>
      <c r="WKR122" s="199"/>
      <c r="WKS122" s="198"/>
      <c r="WKT122" s="199"/>
      <c r="WKU122" s="198"/>
      <c r="WKV122" s="199"/>
      <c r="WKW122" s="198"/>
      <c r="WKX122" s="199"/>
      <c r="WKY122" s="198"/>
      <c r="WKZ122" s="199"/>
      <c r="WLA122" s="198"/>
      <c r="WLB122" s="199"/>
      <c r="WLC122" s="198"/>
      <c r="WLD122" s="199"/>
      <c r="WLE122" s="198"/>
      <c r="WLF122" s="199"/>
      <c r="WLG122" s="198"/>
      <c r="WLH122" s="199"/>
      <c r="WLI122" s="198"/>
      <c r="WLJ122" s="199"/>
      <c r="WLK122" s="198"/>
      <c r="WLL122" s="199"/>
      <c r="WLM122" s="198"/>
      <c r="WLN122" s="199"/>
      <c r="WLO122" s="198"/>
      <c r="WLP122" s="199"/>
      <c r="WLQ122" s="198"/>
      <c r="WLR122" s="199"/>
      <c r="WLS122" s="198"/>
      <c r="WLT122" s="199"/>
      <c r="WLU122" s="198"/>
      <c r="WLV122" s="199"/>
      <c r="WLW122" s="198"/>
      <c r="WLX122" s="199"/>
      <c r="WLY122" s="198"/>
      <c r="WLZ122" s="199"/>
      <c r="WMA122" s="198"/>
      <c r="WMB122" s="199"/>
      <c r="WMC122" s="198"/>
      <c r="WMD122" s="199"/>
      <c r="WME122" s="198"/>
      <c r="WMF122" s="199"/>
      <c r="WMG122" s="198"/>
      <c r="WMH122" s="199"/>
      <c r="WMI122" s="198"/>
      <c r="WMJ122" s="199"/>
      <c r="WMK122" s="198"/>
      <c r="WML122" s="199"/>
      <c r="WMM122" s="198"/>
      <c r="WMN122" s="199"/>
      <c r="WMO122" s="198"/>
      <c r="WMP122" s="199"/>
      <c r="WMQ122" s="198"/>
      <c r="WMR122" s="199"/>
      <c r="WMS122" s="198"/>
      <c r="WMT122" s="199"/>
      <c r="WMU122" s="198"/>
      <c r="WMV122" s="199"/>
      <c r="WMW122" s="198"/>
      <c r="WMX122" s="199"/>
      <c r="WMY122" s="198"/>
      <c r="WMZ122" s="199"/>
      <c r="WNA122" s="198"/>
      <c r="WNB122" s="199"/>
      <c r="WNC122" s="198"/>
      <c r="WND122" s="199"/>
      <c r="WNE122" s="198"/>
      <c r="WNF122" s="199"/>
      <c r="WNG122" s="198"/>
      <c r="WNH122" s="199"/>
      <c r="WNI122" s="198"/>
      <c r="WNJ122" s="199"/>
      <c r="WNK122" s="198"/>
      <c r="WNL122" s="199"/>
      <c r="WNM122" s="198"/>
      <c r="WNN122" s="199"/>
      <c r="WNO122" s="198"/>
      <c r="WNP122" s="199"/>
      <c r="WNQ122" s="198"/>
      <c r="WNR122" s="199"/>
      <c r="WNS122" s="198"/>
      <c r="WNT122" s="199"/>
      <c r="WNU122" s="198"/>
      <c r="WNV122" s="199"/>
      <c r="WNW122" s="198"/>
      <c r="WNX122" s="199"/>
      <c r="WNY122" s="198"/>
      <c r="WNZ122" s="199"/>
      <c r="WOA122" s="198"/>
      <c r="WOB122" s="199"/>
      <c r="WOC122" s="198"/>
      <c r="WOD122" s="199"/>
      <c r="WOE122" s="198"/>
      <c r="WOF122" s="199"/>
      <c r="WOG122" s="198"/>
      <c r="WOH122" s="199"/>
      <c r="WOI122" s="198"/>
      <c r="WOJ122" s="199"/>
      <c r="WOK122" s="198"/>
      <c r="WOL122" s="199"/>
      <c r="WOM122" s="198"/>
      <c r="WON122" s="199"/>
      <c r="WOO122" s="198"/>
      <c r="WOP122" s="199"/>
      <c r="WOQ122" s="198"/>
      <c r="WOR122" s="199"/>
      <c r="WOS122" s="198"/>
      <c r="WOT122" s="199"/>
      <c r="WOU122" s="198"/>
      <c r="WOV122" s="199"/>
      <c r="WOW122" s="198"/>
      <c r="WOX122" s="199"/>
      <c r="WOY122" s="198"/>
      <c r="WOZ122" s="199"/>
      <c r="WPA122" s="198"/>
      <c r="WPB122" s="199"/>
      <c r="WPC122" s="198"/>
      <c r="WPD122" s="199"/>
      <c r="WPE122" s="198"/>
      <c r="WPF122" s="199"/>
      <c r="WPG122" s="198"/>
      <c r="WPH122" s="199"/>
      <c r="WPI122" s="198"/>
      <c r="WPJ122" s="199"/>
      <c r="WPK122" s="198"/>
      <c r="WPL122" s="199"/>
      <c r="WPM122" s="198"/>
      <c r="WPN122" s="199"/>
      <c r="WPO122" s="198"/>
      <c r="WPP122" s="199"/>
      <c r="WPQ122" s="198"/>
      <c r="WPR122" s="199"/>
      <c r="WPS122" s="198"/>
      <c r="WPT122" s="199"/>
      <c r="WPU122" s="198"/>
      <c r="WPV122" s="199"/>
      <c r="WPW122" s="198"/>
      <c r="WPX122" s="199"/>
      <c r="WPY122" s="198"/>
      <c r="WPZ122" s="199"/>
      <c r="WQA122" s="198"/>
      <c r="WQB122" s="199"/>
      <c r="WQC122" s="198"/>
      <c r="WQD122" s="199"/>
      <c r="WQE122" s="198"/>
      <c r="WQF122" s="199"/>
      <c r="WQG122" s="198"/>
      <c r="WQH122" s="199"/>
      <c r="WQI122" s="198"/>
      <c r="WQJ122" s="199"/>
      <c r="WQK122" s="198"/>
      <c r="WQL122" s="199"/>
      <c r="WQM122" s="198"/>
      <c r="WQN122" s="199"/>
      <c r="WQO122" s="198"/>
      <c r="WQP122" s="199"/>
      <c r="WQQ122" s="198"/>
      <c r="WQR122" s="199"/>
      <c r="WQS122" s="198"/>
      <c r="WQT122" s="199"/>
      <c r="WQU122" s="198"/>
      <c r="WQV122" s="199"/>
      <c r="WQW122" s="198"/>
      <c r="WQX122" s="199"/>
      <c r="WQY122" s="198"/>
      <c r="WQZ122" s="199"/>
      <c r="WRA122" s="198"/>
      <c r="WRB122" s="199"/>
      <c r="WRC122" s="198"/>
      <c r="WRD122" s="199"/>
      <c r="WRE122" s="198"/>
      <c r="WRF122" s="199"/>
      <c r="WRG122" s="198"/>
      <c r="WRH122" s="199"/>
      <c r="WRI122" s="198"/>
      <c r="WRJ122" s="199"/>
      <c r="WRK122" s="198"/>
      <c r="WRL122" s="199"/>
      <c r="WRM122" s="198"/>
      <c r="WRN122" s="199"/>
      <c r="WRO122" s="198"/>
      <c r="WRP122" s="199"/>
      <c r="WRQ122" s="198"/>
      <c r="WRR122" s="199"/>
      <c r="WRS122" s="198"/>
      <c r="WRT122" s="199"/>
      <c r="WRU122" s="198"/>
      <c r="WRV122" s="199"/>
      <c r="WRW122" s="198"/>
      <c r="WRX122" s="199"/>
      <c r="WRY122" s="198"/>
      <c r="WRZ122" s="199"/>
      <c r="WSA122" s="198"/>
      <c r="WSB122" s="199"/>
      <c r="WSC122" s="198"/>
      <c r="WSD122" s="199"/>
      <c r="WSE122" s="198"/>
      <c r="WSF122" s="199"/>
      <c r="WSG122" s="198"/>
      <c r="WSH122" s="199"/>
      <c r="WSI122" s="198"/>
      <c r="WSJ122" s="199"/>
      <c r="WSK122" s="198"/>
      <c r="WSL122" s="199"/>
      <c r="WSM122" s="198"/>
      <c r="WSN122" s="199"/>
      <c r="WSO122" s="198"/>
      <c r="WSP122" s="199"/>
      <c r="WSQ122" s="198"/>
      <c r="WSR122" s="199"/>
      <c r="WSS122" s="198"/>
      <c r="WST122" s="199"/>
      <c r="WSU122" s="198"/>
      <c r="WSV122" s="199"/>
      <c r="WSW122" s="198"/>
      <c r="WSX122" s="199"/>
      <c r="WSY122" s="198"/>
      <c r="WSZ122" s="199"/>
      <c r="WTA122" s="198"/>
      <c r="WTB122" s="199"/>
      <c r="WTC122" s="198"/>
      <c r="WTD122" s="199"/>
      <c r="WTE122" s="198"/>
      <c r="WTF122" s="199"/>
      <c r="WTG122" s="198"/>
      <c r="WTH122" s="199"/>
      <c r="WTI122" s="198"/>
      <c r="WTJ122" s="199"/>
      <c r="WTK122" s="198"/>
      <c r="WTL122" s="199"/>
      <c r="WTM122" s="198"/>
      <c r="WTN122" s="199"/>
      <c r="WTO122" s="198"/>
      <c r="WTP122" s="199"/>
      <c r="WTQ122" s="198"/>
      <c r="WTR122" s="199"/>
      <c r="WTS122" s="198"/>
      <c r="WTT122" s="199"/>
      <c r="WTU122" s="198"/>
      <c r="WTV122" s="199"/>
      <c r="WTW122" s="198"/>
      <c r="WTX122" s="199"/>
      <c r="WTY122" s="198"/>
      <c r="WTZ122" s="199"/>
      <c r="WUA122" s="198"/>
      <c r="WUB122" s="199"/>
      <c r="WUC122" s="198"/>
      <c r="WUD122" s="199"/>
      <c r="WUE122" s="198"/>
      <c r="WUF122" s="199"/>
      <c r="WUG122" s="198"/>
      <c r="WUH122" s="199"/>
      <c r="WUI122" s="198"/>
      <c r="WUJ122" s="199"/>
      <c r="WUK122" s="198"/>
      <c r="WUL122" s="199"/>
      <c r="WUM122" s="198"/>
      <c r="WUN122" s="199"/>
      <c r="WUO122" s="198"/>
      <c r="WUP122" s="199"/>
      <c r="WUQ122" s="198"/>
      <c r="WUR122" s="199"/>
      <c r="WUS122" s="198"/>
      <c r="WUT122" s="199"/>
      <c r="WUU122" s="198"/>
      <c r="WUV122" s="199"/>
      <c r="WUW122" s="198"/>
      <c r="WUX122" s="199"/>
      <c r="WUY122" s="198"/>
      <c r="WUZ122" s="199"/>
      <c r="WVA122" s="198"/>
      <c r="WVB122" s="199"/>
      <c r="WVC122" s="198"/>
      <c r="WVD122" s="199"/>
      <c r="WVE122" s="198"/>
      <c r="WVF122" s="199"/>
      <c r="WVG122" s="198"/>
      <c r="WVH122" s="199"/>
      <c r="WVI122" s="198"/>
      <c r="WVJ122" s="199"/>
      <c r="WVK122" s="198"/>
      <c r="WVL122" s="199"/>
      <c r="WVM122" s="198"/>
      <c r="WVN122" s="199"/>
      <c r="WVO122" s="198"/>
      <c r="WVP122" s="199"/>
      <c r="WVQ122" s="198"/>
      <c r="WVR122" s="199"/>
      <c r="WVS122" s="198"/>
      <c r="WVT122" s="199"/>
      <c r="WVU122" s="198"/>
      <c r="WVV122" s="199"/>
      <c r="WVW122" s="198"/>
      <c r="WVX122" s="199"/>
      <c r="WVY122" s="198"/>
      <c r="WVZ122" s="199"/>
      <c r="WWA122" s="198"/>
      <c r="WWB122" s="199"/>
      <c r="WWC122" s="198"/>
      <c r="WWD122" s="199"/>
      <c r="WWE122" s="198"/>
      <c r="WWF122" s="199"/>
      <c r="WWG122" s="198"/>
      <c r="WWH122" s="199"/>
      <c r="WWI122" s="198"/>
      <c r="WWJ122" s="199"/>
      <c r="WWK122" s="198"/>
      <c r="WWL122" s="199"/>
      <c r="WWM122" s="198"/>
      <c r="WWN122" s="199"/>
      <c r="WWO122" s="198"/>
      <c r="WWP122" s="199"/>
      <c r="WWQ122" s="198"/>
      <c r="WWR122" s="199"/>
      <c r="WWS122" s="198"/>
      <c r="WWT122" s="199"/>
      <c r="WWU122" s="198"/>
      <c r="WWV122" s="199"/>
      <c r="WWW122" s="198"/>
      <c r="WWX122" s="199"/>
      <c r="WWY122" s="198"/>
      <c r="WWZ122" s="199"/>
      <c r="WXA122" s="198"/>
      <c r="WXB122" s="199"/>
      <c r="WXC122" s="198"/>
      <c r="WXD122" s="199"/>
      <c r="WXE122" s="198"/>
      <c r="WXF122" s="199"/>
      <c r="WXG122" s="198"/>
      <c r="WXH122" s="199"/>
      <c r="WXI122" s="198"/>
      <c r="WXJ122" s="199"/>
      <c r="WXK122" s="198"/>
      <c r="WXL122" s="199"/>
      <c r="WXM122" s="198"/>
      <c r="WXN122" s="199"/>
      <c r="WXO122" s="198"/>
      <c r="WXP122" s="199"/>
      <c r="WXQ122" s="198"/>
      <c r="WXR122" s="199"/>
      <c r="WXS122" s="198"/>
      <c r="WXT122" s="199"/>
      <c r="WXU122" s="198"/>
      <c r="WXV122" s="199"/>
      <c r="WXW122" s="198"/>
      <c r="WXX122" s="199"/>
      <c r="WXY122" s="198"/>
      <c r="WXZ122" s="199"/>
      <c r="WYA122" s="198"/>
      <c r="WYB122" s="199"/>
      <c r="WYC122" s="198"/>
      <c r="WYD122" s="199"/>
      <c r="WYE122" s="198"/>
      <c r="WYF122" s="199"/>
      <c r="WYG122" s="198"/>
      <c r="WYH122" s="199"/>
      <c r="WYI122" s="198"/>
      <c r="WYJ122" s="199"/>
      <c r="WYK122" s="198"/>
      <c r="WYL122" s="199"/>
      <c r="WYM122" s="198"/>
      <c r="WYN122" s="199"/>
      <c r="WYO122" s="198"/>
      <c r="WYP122" s="199"/>
      <c r="WYQ122" s="198"/>
      <c r="WYR122" s="199"/>
      <c r="WYS122" s="198"/>
      <c r="WYT122" s="199"/>
      <c r="WYU122" s="198"/>
      <c r="WYV122" s="199"/>
      <c r="WYW122" s="198"/>
      <c r="WYX122" s="199"/>
      <c r="WYY122" s="198"/>
      <c r="WYZ122" s="199"/>
      <c r="WZA122" s="198"/>
      <c r="WZB122" s="199"/>
      <c r="WZC122" s="198"/>
      <c r="WZD122" s="199"/>
      <c r="WZE122" s="198"/>
      <c r="WZF122" s="199"/>
      <c r="WZG122" s="198"/>
      <c r="WZH122" s="199"/>
      <c r="WZI122" s="198"/>
      <c r="WZJ122" s="199"/>
      <c r="WZK122" s="198"/>
      <c r="WZL122" s="199"/>
      <c r="WZM122" s="198"/>
      <c r="WZN122" s="199"/>
      <c r="WZO122" s="198"/>
      <c r="WZP122" s="199"/>
      <c r="WZQ122" s="198"/>
      <c r="WZR122" s="199"/>
      <c r="WZS122" s="198"/>
      <c r="WZT122" s="199"/>
      <c r="WZU122" s="198"/>
      <c r="WZV122" s="199"/>
      <c r="WZW122" s="198"/>
      <c r="WZX122" s="199"/>
      <c r="WZY122" s="198"/>
      <c r="WZZ122" s="199"/>
      <c r="XAA122" s="198"/>
      <c r="XAB122" s="199"/>
      <c r="XAC122" s="198"/>
      <c r="XAD122" s="199"/>
      <c r="XAE122" s="198"/>
      <c r="XAF122" s="199"/>
      <c r="XAG122" s="198"/>
      <c r="XAH122" s="199"/>
      <c r="XAI122" s="198"/>
      <c r="XAJ122" s="199"/>
      <c r="XAK122" s="198"/>
      <c r="XAL122" s="199"/>
      <c r="XAM122" s="198"/>
      <c r="XAN122" s="199"/>
      <c r="XAO122" s="198"/>
      <c r="XAP122" s="199"/>
      <c r="XAQ122" s="198"/>
      <c r="XAR122" s="199"/>
      <c r="XAS122" s="198"/>
      <c r="XAT122" s="199"/>
      <c r="XAU122" s="198"/>
      <c r="XAV122" s="199"/>
      <c r="XAW122" s="198"/>
      <c r="XAX122" s="199"/>
      <c r="XAY122" s="198"/>
      <c r="XAZ122" s="199"/>
      <c r="XBA122" s="198"/>
      <c r="XBB122" s="199"/>
      <c r="XBC122" s="198"/>
      <c r="XBD122" s="199"/>
      <c r="XBE122" s="198"/>
      <c r="XBF122" s="199"/>
      <c r="XBG122" s="198"/>
      <c r="XBH122" s="199"/>
      <c r="XBI122" s="198"/>
      <c r="XBJ122" s="199"/>
      <c r="XBK122" s="198"/>
      <c r="XBL122" s="199"/>
      <c r="XBM122" s="198"/>
      <c r="XBN122" s="199"/>
      <c r="XBO122" s="198"/>
      <c r="XBP122" s="199"/>
      <c r="XBQ122" s="198"/>
      <c r="XBR122" s="199"/>
      <c r="XBS122" s="198"/>
      <c r="XBT122" s="199"/>
      <c r="XBU122" s="198"/>
      <c r="XBV122" s="199"/>
      <c r="XBW122" s="198"/>
      <c r="XBX122" s="199"/>
      <c r="XBY122" s="198"/>
      <c r="XBZ122" s="199"/>
      <c r="XCA122" s="198"/>
      <c r="XCB122" s="199"/>
      <c r="XCC122" s="198"/>
      <c r="XCD122" s="199"/>
      <c r="XCE122" s="198"/>
      <c r="XCF122" s="199"/>
      <c r="XCG122" s="198"/>
      <c r="XCH122" s="199"/>
      <c r="XCI122" s="198"/>
      <c r="XCJ122" s="199"/>
      <c r="XCK122" s="198"/>
      <c r="XCL122" s="199"/>
      <c r="XCM122" s="198"/>
      <c r="XCN122" s="199"/>
      <c r="XCO122" s="198"/>
      <c r="XCP122" s="199"/>
      <c r="XCQ122" s="198"/>
      <c r="XCR122" s="199"/>
      <c r="XCS122" s="198"/>
      <c r="XCT122" s="199"/>
      <c r="XCU122" s="198"/>
      <c r="XCV122" s="199"/>
      <c r="XCW122" s="198"/>
      <c r="XCX122" s="199"/>
      <c r="XCY122" s="198"/>
      <c r="XCZ122" s="199"/>
      <c r="XDA122" s="198"/>
      <c r="XDB122" s="199"/>
      <c r="XDC122" s="198"/>
      <c r="XDD122" s="199"/>
      <c r="XDE122" s="198"/>
      <c r="XDF122" s="199"/>
      <c r="XDG122" s="198"/>
      <c r="XDH122" s="199"/>
      <c r="XDI122" s="198"/>
      <c r="XDJ122" s="199"/>
      <c r="XDK122" s="198"/>
      <c r="XDL122" s="199"/>
      <c r="XDM122" s="198"/>
      <c r="XDN122" s="199"/>
      <c r="XDO122" s="198"/>
      <c r="XDP122" s="199"/>
      <c r="XDQ122" s="198"/>
      <c r="XDR122" s="199"/>
      <c r="XDS122" s="198"/>
      <c r="XDT122" s="199"/>
      <c r="XDU122" s="198"/>
      <c r="XDV122" s="199"/>
      <c r="XDW122" s="198"/>
      <c r="XDX122" s="199"/>
      <c r="XDY122" s="198"/>
      <c r="XDZ122" s="199"/>
      <c r="XEA122" s="198"/>
      <c r="XEB122" s="199"/>
      <c r="XEC122" s="198"/>
      <c r="XED122" s="199"/>
      <c r="XEE122" s="198"/>
      <c r="XEF122" s="199"/>
      <c r="XEG122" s="198"/>
      <c r="XEH122" s="199"/>
      <c r="XEI122" s="198"/>
      <c r="XEJ122" s="199"/>
      <c r="XEK122" s="198"/>
      <c r="XEL122" s="199"/>
      <c r="XEM122" s="198"/>
      <c r="XEN122" s="199"/>
      <c r="XEO122" s="198"/>
      <c r="XEP122" s="199"/>
      <c r="XEQ122" s="198"/>
      <c r="XER122" s="199"/>
      <c r="XES122" s="198"/>
      <c r="XET122" s="199"/>
      <c r="XEU122" s="198"/>
      <c r="XEV122" s="199"/>
      <c r="XEW122" s="198"/>
      <c r="XEX122" s="199"/>
      <c r="XEY122" s="198"/>
      <c r="XEZ122" s="199"/>
      <c r="XFA122" s="198"/>
      <c r="XFB122" s="199"/>
      <c r="XFC122" s="198"/>
      <c r="XFD122" s="199"/>
    </row>
    <row r="123" spans="1:16384" s="112" customFormat="1" ht="95.1" customHeight="1">
      <c r="A123" s="115"/>
      <c r="B123" s="115"/>
      <c r="C123" s="116"/>
      <c r="D123" s="115"/>
      <c r="E123" s="116"/>
      <c r="F123" s="115"/>
      <c r="G123" s="116"/>
      <c r="H123" s="116"/>
      <c r="I123" s="117"/>
      <c r="J123" s="117"/>
      <c r="K123" s="116"/>
      <c r="L123" s="116"/>
      <c r="M123" s="116"/>
      <c r="N123" s="116"/>
      <c r="O123" s="116"/>
      <c r="P123" s="116"/>
      <c r="Q123" s="116"/>
      <c r="R123" s="116"/>
      <c r="S123" s="116"/>
      <c r="T123" s="116"/>
      <c r="U123" s="116"/>
      <c r="V123" s="116"/>
      <c r="W123" s="116"/>
      <c r="X123" s="116"/>
      <c r="Y123" s="116"/>
      <c r="Z123" s="116"/>
      <c r="AA123" s="118"/>
      <c r="AB123" s="115"/>
    </row>
    <row r="124" spans="1:16384" s="112" customFormat="1" ht="95.1" customHeight="1">
      <c r="A124" s="115"/>
      <c r="B124" s="115"/>
      <c r="C124" s="116"/>
      <c r="D124" s="115"/>
      <c r="E124" s="116"/>
      <c r="F124" s="115"/>
      <c r="G124" s="116"/>
      <c r="H124" s="116"/>
      <c r="I124" s="117"/>
      <c r="J124" s="117"/>
      <c r="K124" s="116"/>
      <c r="L124" s="116"/>
      <c r="M124" s="116"/>
      <c r="N124" s="116"/>
      <c r="O124" s="116"/>
      <c r="P124" s="116"/>
      <c r="Q124" s="116"/>
      <c r="R124" s="116"/>
      <c r="S124" s="116"/>
      <c r="T124" s="116"/>
      <c r="U124" s="116"/>
      <c r="V124" s="116"/>
      <c r="W124" s="116"/>
      <c r="X124" s="116"/>
      <c r="Y124" s="116"/>
      <c r="Z124" s="116"/>
      <c r="AA124" s="118"/>
      <c r="AB124" s="115"/>
    </row>
    <row r="125" spans="1:16384" s="112" customFormat="1" ht="95.1" customHeight="1">
      <c r="A125" s="115"/>
      <c r="B125" s="115"/>
      <c r="C125" s="116"/>
      <c r="D125" s="115"/>
      <c r="E125" s="116"/>
      <c r="F125" s="115"/>
      <c r="G125" s="116"/>
      <c r="H125" s="116"/>
      <c r="I125" s="117"/>
      <c r="J125" s="117"/>
      <c r="K125" s="116"/>
      <c r="L125" s="116"/>
      <c r="M125" s="116"/>
      <c r="N125" s="116"/>
      <c r="O125" s="116"/>
      <c r="P125" s="116"/>
      <c r="Q125" s="116"/>
      <c r="R125" s="116"/>
      <c r="S125" s="116"/>
      <c r="T125" s="116"/>
      <c r="U125" s="116"/>
      <c r="V125" s="116"/>
      <c r="W125" s="116"/>
      <c r="X125" s="116"/>
      <c r="Y125" s="116"/>
      <c r="Z125" s="116"/>
      <c r="AA125" s="118"/>
      <c r="AB125" s="115"/>
    </row>
    <row r="126" spans="1:16384" s="112" customFormat="1" ht="95.1" customHeight="1">
      <c r="A126" s="115"/>
      <c r="B126" s="115"/>
      <c r="C126" s="116"/>
      <c r="D126" s="115"/>
      <c r="E126" s="116"/>
      <c r="F126" s="115"/>
      <c r="G126" s="116"/>
      <c r="H126" s="116"/>
      <c r="I126" s="117"/>
      <c r="J126" s="117"/>
      <c r="K126" s="116"/>
      <c r="L126" s="116"/>
      <c r="M126" s="116"/>
      <c r="N126" s="116"/>
      <c r="O126" s="116"/>
      <c r="P126" s="116"/>
      <c r="Q126" s="116"/>
      <c r="R126" s="116"/>
      <c r="S126" s="116"/>
      <c r="T126" s="116"/>
      <c r="U126" s="116"/>
      <c r="V126" s="116"/>
      <c r="W126" s="116"/>
      <c r="X126" s="116"/>
      <c r="Y126" s="116"/>
      <c r="Z126" s="116"/>
      <c r="AA126" s="118"/>
      <c r="AB126" s="115"/>
    </row>
    <row r="127" spans="1:16384" s="112" customFormat="1" ht="95.1" customHeight="1">
      <c r="A127" s="115"/>
      <c r="B127" s="115"/>
      <c r="C127" s="116"/>
      <c r="D127" s="115"/>
      <c r="E127" s="116"/>
      <c r="F127" s="115"/>
      <c r="G127" s="116"/>
      <c r="H127" s="116"/>
      <c r="I127" s="117"/>
      <c r="J127" s="117"/>
      <c r="K127" s="116"/>
      <c r="L127" s="116"/>
      <c r="M127" s="116"/>
      <c r="N127" s="116"/>
      <c r="O127" s="116"/>
      <c r="P127" s="116"/>
      <c r="Q127" s="116"/>
      <c r="R127" s="116"/>
      <c r="S127" s="116"/>
      <c r="T127" s="116"/>
      <c r="U127" s="116"/>
      <c r="V127" s="116"/>
      <c r="W127" s="116"/>
      <c r="X127" s="116"/>
      <c r="Y127" s="116"/>
      <c r="Z127" s="116"/>
      <c r="AA127" s="118"/>
      <c r="AB127" s="115"/>
    </row>
    <row r="128" spans="1:16384" s="112" customFormat="1" ht="95.1" customHeight="1">
      <c r="A128" s="115"/>
      <c r="B128" s="115"/>
      <c r="C128" s="116"/>
      <c r="D128" s="115"/>
      <c r="E128" s="116"/>
      <c r="F128" s="115"/>
      <c r="G128" s="116"/>
      <c r="H128" s="116"/>
      <c r="I128" s="117"/>
      <c r="J128" s="117"/>
      <c r="K128" s="116"/>
      <c r="L128" s="116"/>
      <c r="M128" s="116"/>
      <c r="N128" s="116"/>
      <c r="O128" s="116"/>
      <c r="P128" s="116"/>
      <c r="Q128" s="116"/>
      <c r="R128" s="116"/>
      <c r="S128" s="116"/>
      <c r="T128" s="116"/>
      <c r="U128" s="116"/>
      <c r="V128" s="116"/>
      <c r="W128" s="116"/>
      <c r="X128" s="116"/>
      <c r="Y128" s="116"/>
      <c r="Z128" s="116"/>
      <c r="AA128" s="118"/>
      <c r="AB128" s="115"/>
    </row>
    <row r="129" spans="1:28" s="112" customFormat="1" ht="95.1" customHeight="1">
      <c r="A129" s="115"/>
      <c r="B129" s="115"/>
      <c r="C129" s="116"/>
      <c r="D129" s="115"/>
      <c r="E129" s="116"/>
      <c r="F129" s="115"/>
      <c r="G129" s="116"/>
      <c r="H129" s="116"/>
      <c r="I129" s="117"/>
      <c r="J129" s="117"/>
      <c r="K129" s="116"/>
      <c r="L129" s="116"/>
      <c r="M129" s="116"/>
      <c r="N129" s="116"/>
      <c r="O129" s="116"/>
      <c r="P129" s="116"/>
      <c r="Q129" s="116"/>
      <c r="R129" s="116"/>
      <c r="S129" s="116"/>
      <c r="T129" s="116"/>
      <c r="U129" s="116"/>
      <c r="V129" s="116"/>
      <c r="W129" s="116"/>
      <c r="X129" s="116"/>
      <c r="Y129" s="116"/>
      <c r="Z129" s="116"/>
      <c r="AA129" s="118"/>
      <c r="AB129" s="115"/>
    </row>
    <row r="130" spans="1:28" s="112" customFormat="1" ht="95.1" customHeight="1">
      <c r="A130" s="115"/>
      <c r="B130" s="115"/>
      <c r="C130" s="116"/>
      <c r="D130" s="115"/>
      <c r="E130" s="116"/>
      <c r="F130" s="115"/>
      <c r="G130" s="116"/>
      <c r="H130" s="116"/>
      <c r="I130" s="117"/>
      <c r="J130" s="117"/>
      <c r="K130" s="116"/>
      <c r="L130" s="116"/>
      <c r="M130" s="116"/>
      <c r="N130" s="116"/>
      <c r="O130" s="116"/>
      <c r="P130" s="116"/>
      <c r="Q130" s="116"/>
      <c r="R130" s="116"/>
      <c r="S130" s="116"/>
      <c r="T130" s="116"/>
      <c r="U130" s="116"/>
      <c r="V130" s="116"/>
      <c r="W130" s="116"/>
      <c r="X130" s="116"/>
      <c r="Y130" s="116"/>
      <c r="Z130" s="116"/>
      <c r="AA130" s="118"/>
      <c r="AB130" s="115"/>
    </row>
    <row r="131" spans="1:28" s="112" customFormat="1" ht="95.1" customHeight="1">
      <c r="A131" s="115"/>
      <c r="B131" s="115"/>
      <c r="C131" s="116"/>
      <c r="D131" s="115"/>
      <c r="E131" s="116"/>
      <c r="F131" s="115"/>
      <c r="G131" s="116"/>
      <c r="H131" s="116"/>
      <c r="I131" s="117"/>
      <c r="J131" s="117"/>
      <c r="K131" s="116"/>
      <c r="L131" s="116"/>
      <c r="M131" s="116"/>
      <c r="N131" s="116"/>
      <c r="O131" s="116"/>
      <c r="P131" s="116"/>
      <c r="Q131" s="116"/>
      <c r="R131" s="116"/>
      <c r="S131" s="116"/>
      <c r="T131" s="116"/>
      <c r="U131" s="116"/>
      <c r="V131" s="116"/>
      <c r="W131" s="116"/>
      <c r="X131" s="116"/>
      <c r="Y131" s="116"/>
      <c r="Z131" s="116"/>
      <c r="AA131" s="118"/>
      <c r="AB131" s="115"/>
    </row>
    <row r="132" spans="1:28" s="112" customFormat="1" ht="95.1" customHeight="1">
      <c r="A132" s="115"/>
      <c r="B132" s="115"/>
      <c r="C132" s="116"/>
      <c r="D132" s="115"/>
      <c r="E132" s="116"/>
      <c r="F132" s="115"/>
      <c r="G132" s="116"/>
      <c r="H132" s="116"/>
      <c r="I132" s="117"/>
      <c r="J132" s="117"/>
      <c r="K132" s="116"/>
      <c r="L132" s="116"/>
      <c r="M132" s="116"/>
      <c r="N132" s="116"/>
      <c r="O132" s="116"/>
      <c r="P132" s="116"/>
      <c r="Q132" s="116"/>
      <c r="R132" s="116"/>
      <c r="S132" s="116"/>
      <c r="T132" s="116"/>
      <c r="U132" s="116"/>
      <c r="V132" s="116"/>
      <c r="W132" s="116"/>
      <c r="X132" s="116"/>
      <c r="Y132" s="116"/>
      <c r="Z132" s="116"/>
      <c r="AA132" s="118"/>
      <c r="AB132" s="115"/>
    </row>
    <row r="133" spans="1:28" s="112" customFormat="1" ht="95.1" customHeight="1">
      <c r="A133" s="115"/>
      <c r="B133" s="115"/>
      <c r="C133" s="116"/>
      <c r="D133" s="115"/>
      <c r="E133" s="116"/>
      <c r="F133" s="115"/>
      <c r="G133" s="116"/>
      <c r="H133" s="116"/>
      <c r="I133" s="117"/>
      <c r="J133" s="117"/>
      <c r="K133" s="116"/>
      <c r="L133" s="116"/>
      <c r="M133" s="116"/>
      <c r="N133" s="116"/>
      <c r="O133" s="116"/>
      <c r="P133" s="116"/>
      <c r="Q133" s="116"/>
      <c r="R133" s="116"/>
      <c r="S133" s="116"/>
      <c r="T133" s="116"/>
      <c r="U133" s="116"/>
      <c r="V133" s="116"/>
      <c r="W133" s="116"/>
      <c r="X133" s="116"/>
      <c r="Y133" s="116"/>
      <c r="Z133" s="116"/>
      <c r="AA133" s="118"/>
      <c r="AB133" s="115"/>
    </row>
    <row r="134" spans="1:28" s="112" customFormat="1" ht="95.1" customHeight="1">
      <c r="A134" s="115"/>
      <c r="B134" s="115"/>
      <c r="C134" s="116"/>
      <c r="D134" s="115"/>
      <c r="E134" s="116"/>
      <c r="F134" s="115"/>
      <c r="G134" s="116"/>
      <c r="H134" s="116"/>
      <c r="I134" s="117"/>
      <c r="J134" s="117"/>
      <c r="K134" s="116"/>
      <c r="L134" s="116"/>
      <c r="M134" s="116"/>
      <c r="N134" s="116"/>
      <c r="O134" s="116"/>
      <c r="P134" s="116"/>
      <c r="Q134" s="116"/>
      <c r="R134" s="116"/>
      <c r="S134" s="116"/>
      <c r="T134" s="116"/>
      <c r="U134" s="116"/>
      <c r="V134" s="116"/>
      <c r="W134" s="116"/>
      <c r="X134" s="116"/>
      <c r="Y134" s="116"/>
      <c r="Z134" s="116"/>
      <c r="AA134" s="118"/>
      <c r="AB134" s="115"/>
    </row>
    <row r="135" spans="1:28" s="112" customFormat="1" ht="95.1" customHeight="1">
      <c r="A135" s="115"/>
      <c r="B135" s="115"/>
      <c r="C135" s="116"/>
      <c r="D135" s="115"/>
      <c r="E135" s="116"/>
      <c r="F135" s="115"/>
      <c r="G135" s="116"/>
      <c r="H135" s="116"/>
      <c r="I135" s="117"/>
      <c r="J135" s="117"/>
      <c r="K135" s="116"/>
      <c r="L135" s="116"/>
      <c r="M135" s="116"/>
      <c r="N135" s="116"/>
      <c r="O135" s="116"/>
      <c r="P135" s="116"/>
      <c r="Q135" s="116"/>
      <c r="R135" s="116"/>
      <c r="S135" s="116"/>
      <c r="T135" s="116"/>
      <c r="U135" s="116"/>
      <c r="V135" s="116"/>
      <c r="W135" s="116"/>
      <c r="X135" s="116"/>
      <c r="Y135" s="116"/>
      <c r="Z135" s="116"/>
      <c r="AA135" s="118"/>
      <c r="AB135" s="115"/>
    </row>
    <row r="136" spans="1:28" s="112" customFormat="1" ht="95.1" customHeight="1">
      <c r="A136" s="115"/>
      <c r="B136" s="115"/>
      <c r="C136" s="116"/>
      <c r="D136" s="115"/>
      <c r="E136" s="116"/>
      <c r="F136" s="115"/>
      <c r="G136" s="116"/>
      <c r="H136" s="116"/>
      <c r="I136" s="117"/>
      <c r="J136" s="117"/>
      <c r="K136" s="116"/>
      <c r="L136" s="116"/>
      <c r="M136" s="116"/>
      <c r="N136" s="116"/>
      <c r="O136" s="116"/>
      <c r="P136" s="116"/>
      <c r="Q136" s="116"/>
      <c r="R136" s="116"/>
      <c r="S136" s="116"/>
      <c r="T136" s="116"/>
      <c r="U136" s="116"/>
      <c r="V136" s="116"/>
      <c r="W136" s="116"/>
      <c r="X136" s="116"/>
      <c r="Y136" s="116"/>
      <c r="Z136" s="116"/>
      <c r="AA136" s="118"/>
      <c r="AB136" s="115"/>
    </row>
    <row r="137" spans="1:28" s="107" customFormat="1" ht="27" customHeight="1">
      <c r="A137" s="115"/>
      <c r="B137" s="115"/>
      <c r="C137" s="116"/>
      <c r="D137" s="115"/>
      <c r="E137" s="116"/>
      <c r="F137" s="115"/>
      <c r="G137" s="116"/>
      <c r="H137" s="116"/>
      <c r="I137" s="117"/>
      <c r="J137" s="117"/>
      <c r="K137" s="116"/>
      <c r="L137" s="116"/>
      <c r="M137" s="116"/>
      <c r="N137" s="116"/>
      <c r="O137" s="116"/>
      <c r="P137" s="116"/>
      <c r="Q137" s="116"/>
      <c r="R137" s="116"/>
      <c r="S137" s="116"/>
      <c r="T137" s="116"/>
      <c r="U137" s="116"/>
      <c r="V137" s="116"/>
      <c r="W137" s="116"/>
      <c r="X137" s="116"/>
      <c r="Y137" s="116"/>
      <c r="Z137" s="116"/>
      <c r="AA137" s="118"/>
      <c r="AB137" s="115"/>
    </row>
  </sheetData>
  <mergeCells count="35">
    <mergeCell ref="AA17:AA18"/>
    <mergeCell ref="AB17:AB18"/>
    <mergeCell ref="H17:S17"/>
    <mergeCell ref="U17:V17"/>
    <mergeCell ref="W17:X17"/>
    <mergeCell ref="Y17:Z17"/>
    <mergeCell ref="A58:Z58"/>
    <mergeCell ref="A17:A18"/>
    <mergeCell ref="B17:B18"/>
    <mergeCell ref="C17:C18"/>
    <mergeCell ref="D17:D18"/>
    <mergeCell ref="E17:E18"/>
    <mergeCell ref="F17:F18"/>
    <mergeCell ref="G17:G18"/>
    <mergeCell ref="T17:T18"/>
    <mergeCell ref="A11:M11"/>
    <mergeCell ref="A12:M12"/>
    <mergeCell ref="A13:M13"/>
    <mergeCell ref="A14:M14"/>
    <mergeCell ref="A15:M15"/>
    <mergeCell ref="C7:H7"/>
    <mergeCell ref="J7:M7"/>
    <mergeCell ref="N7:T7"/>
    <mergeCell ref="U7:AA7"/>
    <mergeCell ref="C9:H9"/>
    <mergeCell ref="J9:M9"/>
    <mergeCell ref="N9:T9"/>
    <mergeCell ref="U9:AA9"/>
    <mergeCell ref="A1:AB1"/>
    <mergeCell ref="A2:AB2"/>
    <mergeCell ref="A3:AB3"/>
    <mergeCell ref="C5:H5"/>
    <mergeCell ref="J5:M5"/>
    <mergeCell ref="N5:T5"/>
    <mergeCell ref="U5:AA5"/>
  </mergeCells>
  <conditionalFormatting sqref="B19:B34">
    <cfRule type="duplicateValues" dxfId="4" priority="57"/>
  </conditionalFormatting>
  <conditionalFormatting sqref="B35:B57">
    <cfRule type="duplicateValues" dxfId="3" priority="60"/>
  </conditionalFormatting>
  <conditionalFormatting sqref="H19:L30 N19:S57 H31:H32 J31:L32 H33:L57 G54">
    <cfRule type="expression" dxfId="2" priority="3">
      <formula>$F19&gt;=$E19</formula>
    </cfRule>
  </conditionalFormatting>
  <conditionalFormatting sqref="I32">
    <cfRule type="expression" dxfId="1" priority="56">
      <formula>$F31&gt;=$E31</formula>
    </cfRule>
  </conditionalFormatting>
  <conditionalFormatting sqref="N84">
    <cfRule type="expression" dxfId="0" priority="4">
      <formula>$F19&gt;=$E19</formula>
    </cfRule>
  </conditionalFormatting>
  <pageMargins left="0.70866141732283505" right="0.70866141732283505" top="0.74803149606299202" bottom="0.74803149606299202" header="0.31496062992126" footer="0.31496062992126"/>
  <pageSetup scale="32" fitToHeight="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24"/>
  <sheetViews>
    <sheetView topLeftCell="F2" zoomScale="60" zoomScaleNormal="60" workbookViewId="0">
      <selection activeCell="L28" sqref="L28"/>
    </sheetView>
  </sheetViews>
  <sheetFormatPr defaultColWidth="9.21875" defaultRowHeight="14.4"/>
  <cols>
    <col min="1" max="1" width="5.21875" style="67" customWidth="1"/>
    <col min="2" max="2" width="22.21875" style="67" customWidth="1"/>
    <col min="3" max="3" width="32" style="68" customWidth="1"/>
    <col min="4" max="4" width="28.77734375" style="67" customWidth="1"/>
    <col min="5" max="5" width="88.77734375" style="67" customWidth="1"/>
    <col min="6" max="6" width="16.77734375" style="69" customWidth="1"/>
    <col min="7" max="8" width="32" style="70" customWidth="1"/>
    <col min="9" max="9" width="23.21875" style="67" customWidth="1"/>
    <col min="10" max="10" width="40.44140625" style="67" customWidth="1"/>
    <col min="11" max="11" width="17.21875" style="67" customWidth="1"/>
    <col min="12" max="12" width="22.21875" style="67" customWidth="1"/>
    <col min="13" max="13" width="13" style="67" customWidth="1"/>
    <col min="14" max="14" width="15.77734375" style="67" customWidth="1"/>
    <col min="15" max="15" width="13" style="67" customWidth="1"/>
    <col min="16" max="16" width="24.21875" style="67" customWidth="1"/>
    <col min="17" max="16384" width="9.21875" style="67"/>
  </cols>
  <sheetData>
    <row r="1" spans="1:17" s="62" customFormat="1" ht="114" customHeight="1">
      <c r="A1" s="715" t="s">
        <v>65</v>
      </c>
      <c r="B1" s="715"/>
      <c r="C1" s="715"/>
      <c r="D1" s="715"/>
      <c r="E1" s="715"/>
      <c r="F1" s="715"/>
      <c r="G1" s="715"/>
      <c r="H1" s="715"/>
      <c r="I1" s="715"/>
      <c r="J1" s="715"/>
      <c r="K1" s="715"/>
      <c r="L1" s="715"/>
      <c r="M1" s="715"/>
      <c r="N1" s="715"/>
      <c r="O1" s="715"/>
      <c r="P1" s="715"/>
      <c r="Q1" s="104"/>
    </row>
    <row r="2" spans="1:17" s="62" customFormat="1" ht="36.75" customHeight="1">
      <c r="A2" s="715" t="s">
        <v>762</v>
      </c>
      <c r="B2" s="715"/>
      <c r="C2" s="715"/>
      <c r="D2" s="715"/>
      <c r="E2" s="715"/>
      <c r="F2" s="715"/>
      <c r="G2" s="715"/>
      <c r="H2" s="715"/>
      <c r="I2" s="715"/>
      <c r="J2" s="715"/>
      <c r="K2" s="715"/>
      <c r="L2" s="715"/>
      <c r="M2" s="715"/>
      <c r="N2" s="715"/>
      <c r="O2" s="715"/>
      <c r="P2" s="715"/>
      <c r="Q2" s="105"/>
    </row>
    <row r="3" spans="1:17" s="62" customFormat="1" ht="36.75" customHeight="1">
      <c r="A3" s="717" t="s">
        <v>763</v>
      </c>
      <c r="B3" s="717"/>
      <c r="C3" s="717"/>
      <c r="D3" s="717"/>
      <c r="E3" s="717"/>
      <c r="F3" s="717"/>
      <c r="G3" s="717"/>
      <c r="H3" s="717"/>
      <c r="I3" s="717"/>
      <c r="J3" s="717"/>
      <c r="K3" s="717"/>
      <c r="L3" s="717"/>
      <c r="M3" s="717"/>
      <c r="N3" s="717"/>
      <c r="O3" s="717"/>
      <c r="P3" s="717"/>
      <c r="Q3" s="104"/>
    </row>
    <row r="4" spans="1:17" s="63" customFormat="1" ht="17.25" customHeight="1">
      <c r="A4" s="72"/>
      <c r="B4" s="73"/>
      <c r="C4" s="73"/>
      <c r="D4" s="73"/>
      <c r="E4" s="73"/>
      <c r="F4" s="90"/>
      <c r="G4" s="73"/>
      <c r="H4" s="73"/>
      <c r="I4" s="73"/>
      <c r="J4" s="73"/>
      <c r="K4" s="73"/>
      <c r="L4" s="73"/>
      <c r="M4" s="73"/>
      <c r="N4" s="73"/>
      <c r="O4" s="73"/>
      <c r="P4" s="73"/>
    </row>
    <row r="5" spans="1:17" s="63" customFormat="1" ht="33" customHeight="1">
      <c r="A5" s="74"/>
      <c r="B5" s="75" t="s">
        <v>67</v>
      </c>
      <c r="C5" s="821" t="s">
        <v>100</v>
      </c>
      <c r="D5" s="821"/>
      <c r="E5" s="821"/>
      <c r="F5" s="90"/>
      <c r="G5" s="73"/>
      <c r="H5" s="73"/>
      <c r="I5" s="822" t="s">
        <v>71</v>
      </c>
      <c r="J5" s="823"/>
      <c r="K5" s="824">
        <v>46143</v>
      </c>
      <c r="L5" s="825"/>
      <c r="M5" s="825"/>
      <c r="N5" s="826"/>
      <c r="O5" s="73"/>
      <c r="P5" s="73"/>
    </row>
    <row r="6" spans="1:17" s="63" customFormat="1" ht="9" customHeight="1">
      <c r="A6" s="74"/>
      <c r="B6" s="75"/>
      <c r="C6" s="76"/>
      <c r="D6" s="77"/>
      <c r="E6" s="77"/>
      <c r="F6" s="90"/>
      <c r="G6" s="73"/>
      <c r="H6" s="73"/>
      <c r="I6" s="75"/>
      <c r="J6" s="75"/>
      <c r="K6" s="74"/>
      <c r="L6" s="74"/>
      <c r="M6" s="74"/>
      <c r="N6" s="73"/>
      <c r="O6" s="73"/>
      <c r="P6" s="73"/>
    </row>
    <row r="7" spans="1:17" s="63" customFormat="1" ht="39.75" customHeight="1">
      <c r="A7" s="74"/>
      <c r="B7" s="75" t="s">
        <v>599</v>
      </c>
      <c r="C7" s="821" t="s">
        <v>104</v>
      </c>
      <c r="D7" s="821"/>
      <c r="E7" s="821"/>
      <c r="F7" s="91"/>
      <c r="G7" s="91"/>
      <c r="H7" s="91"/>
      <c r="I7" s="833" t="s">
        <v>764</v>
      </c>
      <c r="J7" s="834"/>
      <c r="K7" s="835">
        <f>BEMSdar!E11</f>
        <v>1329813.1567500001</v>
      </c>
      <c r="L7" s="836"/>
      <c r="M7" s="836"/>
      <c r="N7" s="837"/>
      <c r="O7" s="73"/>
      <c r="P7" s="73"/>
    </row>
    <row r="8" spans="1:17" s="63" customFormat="1" ht="9" customHeight="1">
      <c r="A8" s="74"/>
      <c r="B8" s="75"/>
      <c r="C8" s="76"/>
      <c r="D8" s="77"/>
      <c r="E8" s="77"/>
      <c r="F8" s="92"/>
      <c r="G8" s="93"/>
      <c r="H8" s="93"/>
      <c r="I8" s="75"/>
      <c r="J8" s="75"/>
      <c r="K8" s="74"/>
      <c r="L8" s="74"/>
      <c r="M8" s="74"/>
      <c r="N8" s="73"/>
      <c r="O8" s="73"/>
      <c r="P8" s="73"/>
    </row>
    <row r="9" spans="1:17" s="63" customFormat="1" ht="40.5" customHeight="1">
      <c r="A9" s="74"/>
      <c r="B9" s="75" t="s">
        <v>600</v>
      </c>
      <c r="C9" s="821" t="s">
        <v>107</v>
      </c>
      <c r="D9" s="821"/>
      <c r="E9" s="821"/>
      <c r="F9" s="91"/>
      <c r="G9" s="91"/>
      <c r="H9" s="91"/>
      <c r="I9" s="833" t="s">
        <v>77</v>
      </c>
      <c r="J9" s="834"/>
      <c r="K9" s="838">
        <f>BEMSdar!E13</f>
        <v>34097.773249999998</v>
      </c>
      <c r="L9" s="839"/>
      <c r="M9" s="839"/>
      <c r="N9" s="840"/>
      <c r="O9" s="73"/>
      <c r="P9" s="73"/>
    </row>
    <row r="10" spans="1:17" s="64" customFormat="1" ht="12.75" customHeight="1">
      <c r="A10" s="78"/>
      <c r="B10" s="78"/>
      <c r="C10" s="79"/>
      <c r="D10" s="80"/>
      <c r="E10" s="94"/>
      <c r="F10" s="90"/>
      <c r="G10" s="73"/>
      <c r="H10" s="73"/>
      <c r="I10" s="98"/>
      <c r="J10" s="78"/>
      <c r="K10" s="99"/>
      <c r="L10" s="100"/>
      <c r="M10" s="78"/>
      <c r="N10" s="73"/>
      <c r="O10" s="73"/>
      <c r="P10" s="73"/>
    </row>
    <row r="11" spans="1:17" s="63" customFormat="1" ht="15.6">
      <c r="A11" s="74" t="s">
        <v>111</v>
      </c>
      <c r="B11" s="74"/>
      <c r="C11" s="81"/>
      <c r="D11" s="74"/>
      <c r="E11" s="74"/>
      <c r="F11" s="90"/>
      <c r="G11" s="73"/>
      <c r="H11" s="73"/>
      <c r="I11" s="74"/>
      <c r="J11" s="74"/>
      <c r="K11" s="74"/>
      <c r="L11" s="74"/>
      <c r="M11" s="74"/>
      <c r="N11" s="73"/>
      <c r="O11" s="73"/>
      <c r="P11" s="73"/>
    </row>
    <row r="12" spans="1:17" s="63" customFormat="1" ht="15.6">
      <c r="A12" s="74" t="s">
        <v>112</v>
      </c>
      <c r="B12" s="74"/>
      <c r="C12" s="81"/>
      <c r="D12" s="74"/>
      <c r="E12" s="74"/>
      <c r="F12" s="92"/>
      <c r="G12" s="93"/>
      <c r="H12" s="93"/>
      <c r="I12" s="74"/>
      <c r="J12" s="74"/>
      <c r="K12" s="74"/>
      <c r="L12" s="74"/>
      <c r="M12" s="74"/>
      <c r="N12" s="73"/>
      <c r="O12" s="73"/>
      <c r="P12" s="73"/>
    </row>
    <row r="13" spans="1:17" s="63" customFormat="1" ht="15.6">
      <c r="A13" s="74" t="s">
        <v>765</v>
      </c>
      <c r="B13" s="74"/>
      <c r="C13" s="81"/>
      <c r="D13" s="74"/>
      <c r="E13" s="74"/>
      <c r="F13" s="92"/>
      <c r="G13" s="93"/>
      <c r="H13" s="93"/>
      <c r="I13" s="74"/>
      <c r="J13" s="74"/>
      <c r="K13" s="74"/>
      <c r="L13" s="74"/>
      <c r="M13" s="74"/>
      <c r="N13" s="73"/>
      <c r="O13" s="73"/>
      <c r="P13" s="73"/>
    </row>
    <row r="14" spans="1:17" s="63" customFormat="1" ht="15">
      <c r="A14" s="74" t="s">
        <v>766</v>
      </c>
      <c r="B14" s="74"/>
      <c r="C14" s="81"/>
      <c r="D14" s="74"/>
      <c r="E14" s="74"/>
      <c r="F14" s="92"/>
      <c r="G14" s="93"/>
      <c r="H14" s="93"/>
      <c r="I14" s="74"/>
      <c r="J14" s="74"/>
      <c r="K14" s="74"/>
      <c r="L14" s="74"/>
      <c r="M14" s="74"/>
      <c r="N14" s="74"/>
      <c r="O14" s="74"/>
      <c r="P14" s="74"/>
    </row>
    <row r="15" spans="1:17" s="63" customFormat="1" ht="15">
      <c r="A15" s="74" t="s">
        <v>767</v>
      </c>
      <c r="B15" s="74"/>
      <c r="C15" s="81"/>
      <c r="D15" s="74"/>
      <c r="E15" s="74"/>
      <c r="F15" s="92"/>
      <c r="G15" s="93"/>
      <c r="H15" s="93"/>
      <c r="I15" s="74"/>
      <c r="J15" s="74"/>
      <c r="K15" s="74"/>
      <c r="L15" s="74"/>
      <c r="M15" s="74"/>
      <c r="N15" s="74"/>
      <c r="O15" s="74"/>
      <c r="P15" s="74"/>
    </row>
    <row r="16" spans="1:17" s="63" customFormat="1" ht="15">
      <c r="A16" s="74" t="s">
        <v>768</v>
      </c>
      <c r="B16" s="74"/>
      <c r="C16" s="81"/>
      <c r="D16" s="74"/>
      <c r="E16" s="74"/>
      <c r="F16" s="92"/>
      <c r="G16" s="93"/>
      <c r="H16" s="93"/>
      <c r="I16" s="74"/>
      <c r="J16" s="74"/>
      <c r="K16" s="74"/>
      <c r="L16" s="74"/>
      <c r="M16" s="74"/>
      <c r="N16" s="74"/>
      <c r="O16" s="74"/>
      <c r="P16" s="74"/>
    </row>
    <row r="17" spans="1:16" s="63" customFormat="1" ht="10.5" customHeight="1">
      <c r="A17" s="74"/>
      <c r="B17" s="74"/>
      <c r="C17" s="81"/>
      <c r="D17" s="74"/>
      <c r="E17" s="74"/>
      <c r="F17" s="92"/>
      <c r="G17" s="93"/>
      <c r="H17" s="93"/>
      <c r="I17" s="74"/>
      <c r="J17" s="74"/>
      <c r="K17" s="74"/>
      <c r="L17" s="74"/>
      <c r="M17" s="74"/>
      <c r="N17" s="74"/>
      <c r="O17" s="74"/>
      <c r="P17" s="74"/>
    </row>
    <row r="18" spans="1:16" s="65" customFormat="1" ht="102">
      <c r="A18" s="82" t="s">
        <v>78</v>
      </c>
      <c r="B18" s="83" t="s">
        <v>769</v>
      </c>
      <c r="C18" s="84" t="s">
        <v>770</v>
      </c>
      <c r="D18" s="85" t="s">
        <v>771</v>
      </c>
      <c r="E18" s="85" t="s">
        <v>772</v>
      </c>
      <c r="F18" s="83" t="s">
        <v>121</v>
      </c>
      <c r="G18" s="95" t="s">
        <v>773</v>
      </c>
      <c r="H18" s="95" t="s">
        <v>774</v>
      </c>
      <c r="I18" s="83" t="s">
        <v>775</v>
      </c>
      <c r="J18" s="83" t="s">
        <v>118</v>
      </c>
      <c r="K18" s="95" t="s">
        <v>776</v>
      </c>
      <c r="L18" s="83" t="s">
        <v>119</v>
      </c>
      <c r="M18" s="102" t="s">
        <v>680</v>
      </c>
      <c r="N18" s="83" t="s">
        <v>777</v>
      </c>
      <c r="O18" s="83" t="s">
        <v>132</v>
      </c>
      <c r="P18" s="83" t="s">
        <v>684</v>
      </c>
    </row>
    <row r="19" spans="1:16" s="65" customFormat="1" ht="27" customHeight="1">
      <c r="A19" s="827" t="s">
        <v>778</v>
      </c>
      <c r="B19" s="828"/>
      <c r="C19" s="828"/>
      <c r="D19" s="828"/>
      <c r="E19" s="828"/>
      <c r="F19" s="828"/>
      <c r="G19" s="828"/>
      <c r="H19" s="828"/>
      <c r="I19" s="828"/>
      <c r="J19" s="828"/>
      <c r="K19" s="828"/>
      <c r="L19" s="828"/>
      <c r="M19" s="828"/>
      <c r="N19" s="828"/>
      <c r="O19" s="828"/>
      <c r="P19" s="829"/>
    </row>
    <row r="20" spans="1:16" s="66" customFormat="1" ht="88.05" customHeight="1">
      <c r="A20" s="86">
        <v>1</v>
      </c>
      <c r="B20" s="87" t="s">
        <v>779</v>
      </c>
      <c r="C20" s="88">
        <v>46156</v>
      </c>
      <c r="D20" s="89" t="s">
        <v>780</v>
      </c>
      <c r="E20" s="96" t="s">
        <v>781</v>
      </c>
      <c r="F20" s="89" t="s">
        <v>520</v>
      </c>
      <c r="G20" s="97" t="s">
        <v>782</v>
      </c>
      <c r="H20" s="97" t="s">
        <v>783</v>
      </c>
      <c r="I20" s="97" t="s">
        <v>784</v>
      </c>
      <c r="J20" s="525" t="s">
        <v>1546</v>
      </c>
      <c r="K20" s="526" t="s">
        <v>1547</v>
      </c>
      <c r="L20" s="101">
        <v>8000</v>
      </c>
      <c r="M20" s="498" t="s">
        <v>593</v>
      </c>
      <c r="N20" s="498" t="s">
        <v>147</v>
      </c>
      <c r="O20" s="498" t="s">
        <v>593</v>
      </c>
      <c r="P20" s="527" t="s">
        <v>1548</v>
      </c>
    </row>
    <row r="21" spans="1:16" s="66" customFormat="1" ht="88.05" customHeight="1">
      <c r="A21" s="86">
        <v>2</v>
      </c>
      <c r="B21" s="87" t="s">
        <v>779</v>
      </c>
      <c r="C21" s="88">
        <v>46156</v>
      </c>
      <c r="D21" s="89" t="s">
        <v>785</v>
      </c>
      <c r="E21" s="96" t="s">
        <v>781</v>
      </c>
      <c r="F21" s="89" t="s">
        <v>520</v>
      </c>
      <c r="G21" s="97" t="s">
        <v>782</v>
      </c>
      <c r="H21" s="97" t="s">
        <v>783</v>
      </c>
      <c r="I21" s="97" t="s">
        <v>786</v>
      </c>
      <c r="J21" s="525" t="s">
        <v>1546</v>
      </c>
      <c r="K21" s="526" t="s">
        <v>1547</v>
      </c>
      <c r="L21" s="101">
        <v>8000</v>
      </c>
      <c r="M21" s="498" t="s">
        <v>593</v>
      </c>
      <c r="N21" s="498" t="s">
        <v>147</v>
      </c>
      <c r="O21" s="498" t="s">
        <v>593</v>
      </c>
      <c r="P21" s="527" t="s">
        <v>1548</v>
      </c>
    </row>
    <row r="22" spans="1:16" s="66" customFormat="1" ht="88.05" customHeight="1">
      <c r="A22" s="86">
        <v>3</v>
      </c>
      <c r="B22" s="87" t="s">
        <v>779</v>
      </c>
      <c r="C22" s="88">
        <v>46156</v>
      </c>
      <c r="D22" s="89" t="s">
        <v>787</v>
      </c>
      <c r="E22" s="96" t="s">
        <v>781</v>
      </c>
      <c r="F22" s="89" t="s">
        <v>520</v>
      </c>
      <c r="G22" s="97" t="s">
        <v>782</v>
      </c>
      <c r="H22" s="97" t="s">
        <v>783</v>
      </c>
      <c r="I22" s="97" t="s">
        <v>788</v>
      </c>
      <c r="J22" s="525" t="s">
        <v>1546</v>
      </c>
      <c r="K22" s="526" t="s">
        <v>1547</v>
      </c>
      <c r="L22" s="101">
        <v>8000</v>
      </c>
      <c r="M22" s="499" t="s">
        <v>593</v>
      </c>
      <c r="N22" s="499" t="s">
        <v>147</v>
      </c>
      <c r="O22" s="499" t="s">
        <v>593</v>
      </c>
      <c r="P22" s="527" t="s">
        <v>1548</v>
      </c>
    </row>
    <row r="23" spans="1:16" s="66" customFormat="1" ht="88.05" customHeight="1">
      <c r="A23" s="86">
        <v>4</v>
      </c>
      <c r="B23" s="87" t="s">
        <v>779</v>
      </c>
      <c r="C23" s="88">
        <v>46156</v>
      </c>
      <c r="D23" s="89" t="s">
        <v>789</v>
      </c>
      <c r="E23" s="96" t="s">
        <v>781</v>
      </c>
      <c r="F23" s="89" t="s">
        <v>520</v>
      </c>
      <c r="G23" s="97" t="s">
        <v>782</v>
      </c>
      <c r="H23" s="97" t="s">
        <v>783</v>
      </c>
      <c r="I23" s="89" t="s">
        <v>790</v>
      </c>
      <c r="J23" s="525" t="s">
        <v>1546</v>
      </c>
      <c r="K23" s="526" t="s">
        <v>1547</v>
      </c>
      <c r="L23" s="101">
        <v>8000</v>
      </c>
      <c r="M23" s="498" t="s">
        <v>593</v>
      </c>
      <c r="N23" s="498" t="s">
        <v>147</v>
      </c>
      <c r="O23" s="498" t="s">
        <v>593</v>
      </c>
      <c r="P23" s="527" t="s">
        <v>1548</v>
      </c>
    </row>
    <row r="24" spans="1:16" ht="54" customHeight="1">
      <c r="A24" s="830" t="s">
        <v>791</v>
      </c>
      <c r="B24" s="831"/>
      <c r="C24" s="831"/>
      <c r="D24" s="831"/>
      <c r="E24" s="831"/>
      <c r="F24" s="831"/>
      <c r="G24" s="831"/>
      <c r="H24" s="831"/>
      <c r="I24" s="831"/>
      <c r="J24" s="831"/>
      <c r="K24" s="831"/>
      <c r="L24" s="831"/>
      <c r="M24" s="831"/>
      <c r="N24" s="832"/>
      <c r="O24" s="103">
        <f>SUM(O20:O20)</f>
        <v>0</v>
      </c>
      <c r="P24" s="500" t="s">
        <v>593</v>
      </c>
    </row>
  </sheetData>
  <mergeCells count="14">
    <mergeCell ref="A19:P19"/>
    <mergeCell ref="A24:N24"/>
    <mergeCell ref="C7:E7"/>
    <mergeCell ref="I7:J7"/>
    <mergeCell ref="K7:N7"/>
    <mergeCell ref="C9:E9"/>
    <mergeCell ref="I9:J9"/>
    <mergeCell ref="K9:N9"/>
    <mergeCell ref="A1:P1"/>
    <mergeCell ref="A2:P2"/>
    <mergeCell ref="A3:P3"/>
    <mergeCell ref="C5:E5"/>
    <mergeCell ref="I5:J5"/>
    <mergeCell ref="K5:N5"/>
  </mergeCells>
  <phoneticPr fontId="124" type="noConversion"/>
  <pageMargins left="0.43307086614173201" right="0.2" top="0.31" bottom="0.17" header="0.31496062992126" footer="0.5"/>
  <pageSetup paperSize="9" scale="33"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D49"/>
  <sheetViews>
    <sheetView topLeftCell="A40" workbookViewId="0">
      <selection activeCell="B22" sqref="B22"/>
    </sheetView>
  </sheetViews>
  <sheetFormatPr defaultColWidth="9.5546875" defaultRowHeight="13.2"/>
  <cols>
    <col min="1" max="1" width="17.5546875" style="472" customWidth="1"/>
    <col min="2" max="2" width="8.77734375" style="473" customWidth="1"/>
    <col min="3" max="3" width="51" style="473" customWidth="1"/>
    <col min="4" max="4" width="33.21875" style="473" customWidth="1"/>
    <col min="5" max="16384" width="9.5546875" style="473"/>
  </cols>
  <sheetData>
    <row r="1" spans="1:4">
      <c r="A1" s="472" t="s">
        <v>31</v>
      </c>
    </row>
    <row r="2" spans="1:4">
      <c r="A2" s="474" t="s">
        <v>32</v>
      </c>
      <c r="B2" s="475" t="s">
        <v>33</v>
      </c>
      <c r="C2" s="475" t="s">
        <v>34</v>
      </c>
      <c r="D2" s="475" t="s">
        <v>35</v>
      </c>
    </row>
    <row r="3" spans="1:4">
      <c r="A3" s="474"/>
      <c r="B3" s="475"/>
      <c r="C3" s="475"/>
      <c r="D3" s="475"/>
    </row>
    <row r="4" spans="1:4">
      <c r="A4" s="474">
        <v>46023</v>
      </c>
      <c r="B4" s="475" t="s">
        <v>36</v>
      </c>
      <c r="C4" s="475" t="s">
        <v>37</v>
      </c>
      <c r="D4" s="475" t="s">
        <v>38</v>
      </c>
    </row>
    <row r="5" spans="1:4">
      <c r="A5" s="474"/>
      <c r="B5" s="475"/>
      <c r="C5" s="475"/>
      <c r="D5" s="475"/>
    </row>
    <row r="6" spans="1:4">
      <c r="A6" s="474">
        <v>46070</v>
      </c>
      <c r="B6" s="475" t="s">
        <v>39</v>
      </c>
      <c r="C6" s="475" t="s">
        <v>40</v>
      </c>
      <c r="D6" s="475" t="s">
        <v>38</v>
      </c>
    </row>
    <row r="7" spans="1:4">
      <c r="A7" s="474"/>
      <c r="B7" s="475"/>
      <c r="C7" s="475"/>
      <c r="D7" s="475"/>
    </row>
    <row r="8" spans="1:4">
      <c r="A8" s="474">
        <v>46071</v>
      </c>
      <c r="B8" s="475" t="s">
        <v>41</v>
      </c>
      <c r="C8" s="475" t="s">
        <v>42</v>
      </c>
      <c r="D8" s="475" t="s">
        <v>38</v>
      </c>
    </row>
    <row r="9" spans="1:4">
      <c r="A9" s="474"/>
      <c r="B9" s="475"/>
      <c r="C9" s="475"/>
      <c r="D9" s="475"/>
    </row>
    <row r="10" spans="1:4">
      <c r="A10" s="474">
        <v>46055</v>
      </c>
      <c r="B10" s="475" t="s">
        <v>43</v>
      </c>
      <c r="C10" s="475" t="s">
        <v>44</v>
      </c>
      <c r="D10" s="475" t="s">
        <v>38</v>
      </c>
    </row>
    <row r="11" spans="1:4">
      <c r="A11" s="474"/>
      <c r="B11" s="475"/>
      <c r="C11" s="475"/>
      <c r="D11" s="475"/>
    </row>
    <row r="12" spans="1:4">
      <c r="A12" s="474">
        <v>46055</v>
      </c>
      <c r="B12" s="475" t="s">
        <v>43</v>
      </c>
      <c r="C12" s="475" t="s">
        <v>45</v>
      </c>
      <c r="D12" s="475" t="s">
        <v>38</v>
      </c>
    </row>
    <row r="13" spans="1:4">
      <c r="A13" s="474"/>
      <c r="B13" s="475"/>
      <c r="C13" s="475"/>
      <c r="D13" s="475"/>
    </row>
    <row r="14" spans="1:4">
      <c r="A14" s="474">
        <v>46088</v>
      </c>
      <c r="B14" s="475" t="s">
        <v>46</v>
      </c>
      <c r="C14" s="475" t="s">
        <v>47</v>
      </c>
      <c r="D14" s="475" t="s">
        <v>38</v>
      </c>
    </row>
    <row r="15" spans="1:4">
      <c r="A15" s="474"/>
      <c r="B15" s="475"/>
      <c r="C15" s="475"/>
      <c r="D15" s="475"/>
    </row>
    <row r="16" spans="1:4">
      <c r="A16" s="474">
        <v>46101</v>
      </c>
      <c r="B16" s="475" t="s">
        <v>46</v>
      </c>
      <c r="C16" s="475" t="s">
        <v>48</v>
      </c>
      <c r="D16" s="475" t="s">
        <v>38</v>
      </c>
    </row>
    <row r="17" spans="1:4">
      <c r="A17" s="474"/>
      <c r="B17" s="475"/>
      <c r="C17" s="475"/>
      <c r="D17" s="475"/>
    </row>
    <row r="18" spans="1:4">
      <c r="A18" s="474">
        <v>46102</v>
      </c>
      <c r="B18" s="475" t="s">
        <v>46</v>
      </c>
      <c r="C18" s="475" t="s">
        <v>48</v>
      </c>
      <c r="D18" s="475" t="s">
        <v>38</v>
      </c>
    </row>
    <row r="19" spans="1:4">
      <c r="A19" s="474"/>
      <c r="B19" s="475"/>
      <c r="C19" s="475"/>
      <c r="D19" s="475"/>
    </row>
    <row r="20" spans="1:4">
      <c r="A20" s="474">
        <v>46103</v>
      </c>
      <c r="B20" s="475" t="s">
        <v>49</v>
      </c>
      <c r="C20" s="475" t="s">
        <v>50</v>
      </c>
      <c r="D20" s="475" t="s">
        <v>38</v>
      </c>
    </row>
    <row r="21" spans="1:4">
      <c r="A21" s="474"/>
      <c r="B21" s="475"/>
      <c r="C21" s="475"/>
      <c r="D21" s="475"/>
    </row>
    <row r="22" spans="1:4">
      <c r="A22" s="474">
        <v>46104</v>
      </c>
      <c r="B22" s="475" t="s">
        <v>49</v>
      </c>
      <c r="C22" s="475" t="s">
        <v>50</v>
      </c>
      <c r="D22" s="475" t="s">
        <v>38</v>
      </c>
    </row>
    <row r="23" spans="1:4">
      <c r="A23" s="474"/>
      <c r="B23" s="475"/>
      <c r="C23" s="475"/>
      <c r="D23" s="475"/>
    </row>
    <row r="24" spans="1:4">
      <c r="A24" s="474">
        <v>46143</v>
      </c>
      <c r="B24" s="475" t="s">
        <v>51</v>
      </c>
      <c r="C24" s="475" t="s">
        <v>52</v>
      </c>
      <c r="D24" s="475" t="s">
        <v>38</v>
      </c>
    </row>
    <row r="25" spans="1:4">
      <c r="A25" s="474"/>
      <c r="B25" s="475"/>
      <c r="C25" s="475"/>
      <c r="D25" s="475"/>
    </row>
    <row r="26" spans="1:4">
      <c r="A26" s="474">
        <v>46173</v>
      </c>
      <c r="B26" s="475" t="s">
        <v>49</v>
      </c>
      <c r="C26" s="475" t="s">
        <v>53</v>
      </c>
      <c r="D26" s="475" t="s">
        <v>38</v>
      </c>
    </row>
    <row r="27" spans="1:4">
      <c r="A27" s="474"/>
      <c r="B27" s="475"/>
      <c r="C27" s="475"/>
      <c r="D27" s="475"/>
    </row>
    <row r="28" spans="1:4">
      <c r="A28" s="474">
        <v>46174</v>
      </c>
      <c r="B28" s="475" t="s">
        <v>43</v>
      </c>
      <c r="C28" s="475" t="s">
        <v>54</v>
      </c>
      <c r="D28" s="475" t="s">
        <v>38</v>
      </c>
    </row>
    <row r="29" spans="1:4">
      <c r="A29" s="474"/>
      <c r="B29" s="475"/>
      <c r="C29" s="475"/>
      <c r="D29" s="475"/>
    </row>
    <row r="30" spans="1:4">
      <c r="A30" s="474">
        <v>46169</v>
      </c>
      <c r="B30" s="475" t="s">
        <v>41</v>
      </c>
      <c r="C30" s="475" t="s">
        <v>55</v>
      </c>
      <c r="D30" s="475" t="s">
        <v>38</v>
      </c>
    </row>
    <row r="31" spans="1:4">
      <c r="A31" s="474"/>
      <c r="B31" s="475"/>
      <c r="C31" s="475"/>
      <c r="D31" s="475"/>
    </row>
    <row r="32" spans="1:4">
      <c r="A32" s="474">
        <v>46170</v>
      </c>
      <c r="B32" s="475" t="s">
        <v>36</v>
      </c>
      <c r="C32" s="475" t="s">
        <v>56</v>
      </c>
      <c r="D32" s="475" t="s">
        <v>38</v>
      </c>
    </row>
    <row r="33" spans="1:4">
      <c r="A33" s="474"/>
      <c r="B33" s="475"/>
      <c r="C33" s="475"/>
      <c r="D33" s="475"/>
    </row>
    <row r="34" spans="1:4">
      <c r="A34" s="474">
        <v>46190</v>
      </c>
      <c r="B34" s="475" t="s">
        <v>41</v>
      </c>
      <c r="C34" s="475" t="s">
        <v>57</v>
      </c>
      <c r="D34" s="475" t="s">
        <v>38</v>
      </c>
    </row>
    <row r="35" spans="1:4">
      <c r="A35" s="474"/>
      <c r="B35" s="475"/>
      <c r="C35" s="475"/>
      <c r="D35" s="475"/>
    </row>
    <row r="36" spans="1:4">
      <c r="A36" s="474">
        <v>46265</v>
      </c>
      <c r="B36" s="475" t="s">
        <v>43</v>
      </c>
      <c r="C36" s="475" t="s">
        <v>58</v>
      </c>
      <c r="D36" s="475" t="s">
        <v>38</v>
      </c>
    </row>
    <row r="37" spans="1:4">
      <c r="A37" s="474"/>
      <c r="B37" s="475"/>
      <c r="C37" s="475"/>
      <c r="D37" s="475"/>
    </row>
    <row r="38" spans="1:4">
      <c r="A38" s="474">
        <v>46259</v>
      </c>
      <c r="B38" s="475" t="s">
        <v>39</v>
      </c>
      <c r="C38" s="475" t="s">
        <v>59</v>
      </c>
      <c r="D38" s="475" t="s">
        <v>38</v>
      </c>
    </row>
    <row r="39" spans="1:4">
      <c r="A39" s="474"/>
      <c r="B39" s="475"/>
      <c r="C39" s="475"/>
      <c r="D39" s="475"/>
    </row>
    <row r="40" spans="1:4">
      <c r="A40" s="474">
        <v>46281</v>
      </c>
      <c r="B40" s="475" t="s">
        <v>41</v>
      </c>
      <c r="C40" s="475" t="s">
        <v>60</v>
      </c>
      <c r="D40" s="475" t="s">
        <v>38</v>
      </c>
    </row>
    <row r="41" spans="1:4">
      <c r="A41" s="474"/>
      <c r="B41" s="475"/>
      <c r="C41" s="475"/>
      <c r="D41" s="475"/>
    </row>
    <row r="42" spans="1:4">
      <c r="A42" s="474">
        <v>46334</v>
      </c>
      <c r="B42" s="475" t="s">
        <v>49</v>
      </c>
      <c r="C42" s="475" t="s">
        <v>61</v>
      </c>
      <c r="D42" s="475" t="s">
        <v>38</v>
      </c>
    </row>
    <row r="43" spans="1:4">
      <c r="A43" s="474"/>
      <c r="B43" s="475"/>
      <c r="C43" s="475"/>
      <c r="D43" s="475"/>
    </row>
    <row r="44" spans="1:4">
      <c r="A44" s="474">
        <v>46335</v>
      </c>
      <c r="B44" s="475" t="s">
        <v>43</v>
      </c>
      <c r="C44" s="475" t="s">
        <v>62</v>
      </c>
      <c r="D44" s="475" t="s">
        <v>38</v>
      </c>
    </row>
    <row r="45" spans="1:4">
      <c r="A45" s="474"/>
      <c r="B45" s="475"/>
      <c r="C45" s="475"/>
      <c r="D45" s="475"/>
    </row>
    <row r="46" spans="1:4">
      <c r="A46" s="474">
        <v>46381</v>
      </c>
      <c r="B46" s="475" t="s">
        <v>51</v>
      </c>
      <c r="C46" s="475" t="s">
        <v>63</v>
      </c>
      <c r="D46" s="475" t="s">
        <v>38</v>
      </c>
    </row>
    <row r="47" spans="1:4">
      <c r="A47" s="474"/>
      <c r="B47" s="475"/>
      <c r="C47" s="475"/>
      <c r="D47" s="475"/>
    </row>
    <row r="49" spans="1:1">
      <c r="A49" s="476" t="s">
        <v>64</v>
      </c>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11"/>
  <sheetViews>
    <sheetView showGridLines="0" tabSelected="1" zoomScale="70" zoomScaleNormal="70" workbookViewId="0">
      <selection activeCell="L5" sqref="L5"/>
    </sheetView>
  </sheetViews>
  <sheetFormatPr defaultColWidth="9.21875" defaultRowHeight="13.8"/>
  <cols>
    <col min="1" max="1" width="15.5546875" style="478" customWidth="1"/>
    <col min="2" max="2" width="21.21875" style="478" customWidth="1"/>
    <col min="3" max="3" width="23" style="478" customWidth="1"/>
    <col min="4" max="4" width="3" style="478" customWidth="1"/>
    <col min="5" max="5" width="15.77734375" style="478" customWidth="1"/>
    <col min="6" max="6" width="17.21875" style="478" customWidth="1"/>
    <col min="7" max="7" width="17.5546875" style="478" customWidth="1"/>
    <col min="8" max="8" width="13" style="478" customWidth="1"/>
    <col min="9" max="9" width="12.5546875" style="478" customWidth="1"/>
    <col min="10" max="10" width="15.77734375" style="478" customWidth="1"/>
    <col min="11" max="14" width="20" style="478" customWidth="1"/>
    <col min="15" max="16384" width="9.21875" style="478"/>
  </cols>
  <sheetData>
    <row r="1" spans="1:15" s="477" customFormat="1" ht="31.5" customHeight="1">
      <c r="A1" s="671" t="s">
        <v>0</v>
      </c>
      <c r="B1" s="688" t="s">
        <v>1</v>
      </c>
      <c r="C1" s="689"/>
      <c r="D1" s="690"/>
      <c r="E1" s="679" t="s">
        <v>2</v>
      </c>
      <c r="F1" s="679" t="s">
        <v>3</v>
      </c>
      <c r="G1" s="679"/>
      <c r="H1" s="688" t="s">
        <v>4</v>
      </c>
      <c r="I1" s="690"/>
      <c r="J1" s="679" t="s">
        <v>5</v>
      </c>
    </row>
    <row r="2" spans="1:15" s="477" customFormat="1" ht="26.25" customHeight="1">
      <c r="A2" s="672"/>
      <c r="B2" s="691"/>
      <c r="C2" s="692"/>
      <c r="D2" s="693"/>
      <c r="E2" s="680"/>
      <c r="F2" s="481" t="s">
        <v>6</v>
      </c>
      <c r="G2" s="481" t="s">
        <v>7</v>
      </c>
      <c r="H2" s="694"/>
      <c r="I2" s="695"/>
      <c r="J2" s="680"/>
    </row>
    <row r="3" spans="1:15" ht="138">
      <c r="A3" s="479" t="s">
        <v>8</v>
      </c>
      <c r="B3" s="685" t="s">
        <v>9</v>
      </c>
      <c r="C3" s="686"/>
      <c r="D3" s="687"/>
      <c r="E3" s="482" t="s">
        <v>10</v>
      </c>
      <c r="F3" s="482" t="s">
        <v>11</v>
      </c>
      <c r="G3" s="482" t="s">
        <v>12</v>
      </c>
      <c r="H3" s="713" t="s">
        <v>13</v>
      </c>
      <c r="I3" s="714"/>
      <c r="J3" s="482">
        <v>1</v>
      </c>
    </row>
    <row r="4" spans="1:15" ht="138">
      <c r="A4" s="480" t="s">
        <v>14</v>
      </c>
      <c r="B4" s="685" t="s">
        <v>15</v>
      </c>
      <c r="C4" s="686"/>
      <c r="D4" s="687"/>
      <c r="E4" s="482" t="s">
        <v>16</v>
      </c>
      <c r="F4" s="483" t="s">
        <v>11</v>
      </c>
      <c r="G4" s="483" t="s">
        <v>12</v>
      </c>
      <c r="H4" s="669" t="s">
        <v>13</v>
      </c>
      <c r="I4" s="670"/>
      <c r="J4" s="482" t="s">
        <v>17</v>
      </c>
    </row>
    <row r="5" spans="1:15" ht="138">
      <c r="A5" s="673" t="s">
        <v>18</v>
      </c>
      <c r="B5" s="696" t="s">
        <v>19</v>
      </c>
      <c r="C5" s="697"/>
      <c r="D5" s="698"/>
      <c r="E5" s="681" t="s">
        <v>10</v>
      </c>
      <c r="F5" s="485" t="s">
        <v>20</v>
      </c>
      <c r="G5" s="485" t="s">
        <v>21</v>
      </c>
      <c r="H5" s="681" t="s">
        <v>13</v>
      </c>
      <c r="I5" s="681"/>
      <c r="J5" s="681">
        <v>1</v>
      </c>
    </row>
    <row r="6" spans="1:15" ht="35.25" customHeight="1">
      <c r="A6" s="674"/>
      <c r="B6" s="699"/>
      <c r="C6" s="700"/>
      <c r="D6" s="701"/>
      <c r="E6" s="682"/>
      <c r="F6" s="682" t="s">
        <v>22</v>
      </c>
      <c r="G6" s="682"/>
      <c r="H6" s="682"/>
      <c r="I6" s="682"/>
      <c r="J6" s="682"/>
    </row>
    <row r="7" spans="1:15" ht="57">
      <c r="A7" s="675" t="s">
        <v>23</v>
      </c>
      <c r="B7" s="702" t="s">
        <v>24</v>
      </c>
      <c r="C7" s="703"/>
      <c r="D7" s="704"/>
      <c r="E7" s="683" t="s">
        <v>10</v>
      </c>
      <c r="F7" s="486"/>
      <c r="G7" s="487"/>
      <c r="H7" s="488" t="s">
        <v>25</v>
      </c>
      <c r="I7" s="491" t="s">
        <v>26</v>
      </c>
      <c r="J7" s="683">
        <v>2</v>
      </c>
    </row>
    <row r="8" spans="1:15" ht="144.75" customHeight="1">
      <c r="A8" s="676"/>
      <c r="B8" s="699"/>
      <c r="C8" s="700"/>
      <c r="D8" s="701"/>
      <c r="E8" s="683"/>
      <c r="F8" s="484" t="s">
        <v>20</v>
      </c>
      <c r="G8" s="489" t="s">
        <v>21</v>
      </c>
      <c r="H8" s="483" t="s">
        <v>13</v>
      </c>
      <c r="I8" s="483" t="s">
        <v>27</v>
      </c>
      <c r="J8" s="683"/>
      <c r="K8" s="492"/>
      <c r="L8" s="492"/>
      <c r="M8" s="492"/>
      <c r="N8" s="492"/>
      <c r="O8" s="493"/>
    </row>
    <row r="9" spans="1:15" ht="55.5" customHeight="1">
      <c r="A9" s="677"/>
      <c r="B9" s="705"/>
      <c r="C9" s="706"/>
      <c r="D9" s="707"/>
      <c r="E9" s="683"/>
      <c r="F9" s="708" t="s">
        <v>28</v>
      </c>
      <c r="G9" s="709"/>
      <c r="H9" s="709"/>
      <c r="I9" s="710"/>
      <c r="J9" s="683"/>
    </row>
    <row r="10" spans="1:15" ht="138">
      <c r="A10" s="678" t="s">
        <v>29</v>
      </c>
      <c r="B10" s="702" t="s">
        <v>30</v>
      </c>
      <c r="C10" s="703"/>
      <c r="D10" s="704"/>
      <c r="E10" s="682" t="s">
        <v>10</v>
      </c>
      <c r="F10" s="486" t="s">
        <v>20</v>
      </c>
      <c r="G10" s="490" t="s">
        <v>21</v>
      </c>
      <c r="H10" s="711" t="s">
        <v>13</v>
      </c>
      <c r="I10" s="712"/>
      <c r="J10" s="682">
        <v>1</v>
      </c>
    </row>
    <row r="11" spans="1:15" ht="36.75" customHeight="1">
      <c r="A11" s="678"/>
      <c r="B11" s="705"/>
      <c r="C11" s="706"/>
      <c r="D11" s="707"/>
      <c r="E11" s="684"/>
      <c r="F11" s="683" t="s">
        <v>22</v>
      </c>
      <c r="G11" s="683"/>
      <c r="H11" s="683"/>
      <c r="I11" s="683"/>
      <c r="J11" s="684"/>
    </row>
  </sheetData>
  <mergeCells count="27">
    <mergeCell ref="J1:J2"/>
    <mergeCell ref="J5:J6"/>
    <mergeCell ref="J7:J9"/>
    <mergeCell ref="J10:J11"/>
    <mergeCell ref="B1:D2"/>
    <mergeCell ref="H1:I2"/>
    <mergeCell ref="B5:D6"/>
    <mergeCell ref="B7:D9"/>
    <mergeCell ref="B10:D11"/>
    <mergeCell ref="H5:I5"/>
    <mergeCell ref="F6:I6"/>
    <mergeCell ref="F9:I9"/>
    <mergeCell ref="H10:I10"/>
    <mergeCell ref="F11:I11"/>
    <mergeCell ref="F1:G1"/>
    <mergeCell ref="H3:I3"/>
    <mergeCell ref="H4:I4"/>
    <mergeCell ref="A1:A2"/>
    <mergeCell ref="A5:A6"/>
    <mergeCell ref="A7:A9"/>
    <mergeCell ref="A10:A11"/>
    <mergeCell ref="E1:E2"/>
    <mergeCell ref="E5:E6"/>
    <mergeCell ref="E7:E9"/>
    <mergeCell ref="E10:E11"/>
    <mergeCell ref="B3:D3"/>
    <mergeCell ref="B4:D4"/>
  </mergeCells>
  <pageMargins left="0.61" right="0.38" top="0.85" bottom="0.28000000000000003" header="0.71" footer="0.23"/>
  <pageSetup paperSize="9" scale="55" orientation="portrait"/>
  <drawing r:id="rId1"/>
  <legacyDrawing r:id="rId2"/>
  <oleObjects>
    <mc:AlternateContent xmlns:mc="http://schemas.openxmlformats.org/markup-compatibility/2006">
      <mc:Choice Requires="x14">
        <oleObject progId="PBrush" shapeId="1025" r:id="rId3">
          <objectPr defaultSize="0" altText="" r:id="rId4">
            <anchor moveWithCells="1" sizeWithCells="1">
              <from>
                <xdr:col>0</xdr:col>
                <xdr:colOff>30480</xdr:colOff>
                <xdr:row>0</xdr:row>
                <xdr:rowOff>0</xdr:rowOff>
              </from>
              <to>
                <xdr:col>1</xdr:col>
                <xdr:colOff>876300</xdr:colOff>
                <xdr:row>0</xdr:row>
                <xdr:rowOff>0</xdr:rowOff>
              </to>
            </anchor>
          </objectPr>
        </oleObject>
      </mc:Choice>
      <mc:Fallback>
        <oleObject progId="PBrush" shapeId="1025" r:id="rId3"/>
      </mc:Fallback>
    </mc:AlternateContent>
  </oleObjec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3:G84"/>
  <sheetViews>
    <sheetView workbookViewId="0">
      <selection activeCell="D8" sqref="D8"/>
    </sheetView>
  </sheetViews>
  <sheetFormatPr defaultColWidth="22.21875" defaultRowHeight="14.4"/>
  <cols>
    <col min="1" max="1" width="22" style="57" customWidth="1"/>
    <col min="2" max="2" width="5.21875" customWidth="1"/>
    <col min="3" max="3" width="12.21875" customWidth="1"/>
    <col min="4" max="4" width="20.5546875" customWidth="1"/>
    <col min="5" max="7" width="13.21875" customWidth="1"/>
  </cols>
  <sheetData>
    <row r="3" spans="1:7">
      <c r="A3" s="844" t="s">
        <v>792</v>
      </c>
      <c r="B3" s="846" t="s">
        <v>793</v>
      </c>
      <c r="C3" s="846" t="s">
        <v>794</v>
      </c>
      <c r="D3" s="846" t="s">
        <v>795</v>
      </c>
      <c r="E3" s="60" t="s">
        <v>796</v>
      </c>
      <c r="F3" s="60" t="s">
        <v>796</v>
      </c>
      <c r="G3" s="60" t="s">
        <v>797</v>
      </c>
    </row>
    <row r="4" spans="1:7">
      <c r="A4" s="845"/>
      <c r="B4" s="847"/>
      <c r="C4" s="847"/>
      <c r="D4" s="847"/>
      <c r="E4" s="59" t="s">
        <v>798</v>
      </c>
      <c r="F4" s="59" t="s">
        <v>799</v>
      </c>
      <c r="G4" s="59" t="s">
        <v>800</v>
      </c>
    </row>
    <row r="5" spans="1:7">
      <c r="A5" s="841" t="s">
        <v>801</v>
      </c>
      <c r="B5" s="842"/>
      <c r="C5" s="842"/>
      <c r="D5" s="842"/>
      <c r="E5" s="842"/>
      <c r="F5" s="842"/>
      <c r="G5" s="843"/>
    </row>
    <row r="6" spans="1:7">
      <c r="A6" s="58" t="s">
        <v>802</v>
      </c>
      <c r="B6" s="59" t="s">
        <v>803</v>
      </c>
      <c r="C6" s="59">
        <v>12</v>
      </c>
      <c r="D6" s="59">
        <v>6</v>
      </c>
      <c r="E6" s="61">
        <v>0.96</v>
      </c>
      <c r="F6" s="61">
        <v>0.92</v>
      </c>
      <c r="G6" s="61">
        <v>0.85</v>
      </c>
    </row>
    <row r="7" spans="1:7" ht="20.399999999999999">
      <c r="A7" s="58" t="s">
        <v>804</v>
      </c>
      <c r="B7" s="59" t="s">
        <v>805</v>
      </c>
      <c r="C7" s="59">
        <v>24</v>
      </c>
      <c r="D7" s="59">
        <v>7</v>
      </c>
      <c r="E7" s="61">
        <v>0.99</v>
      </c>
      <c r="F7" s="61">
        <v>0.95</v>
      </c>
      <c r="G7" s="61">
        <v>0.88</v>
      </c>
    </row>
    <row r="8" spans="1:7">
      <c r="A8" s="58" t="s">
        <v>806</v>
      </c>
      <c r="B8" s="59" t="s">
        <v>805</v>
      </c>
      <c r="C8" s="59">
        <v>24</v>
      </c>
      <c r="D8" s="59">
        <v>7</v>
      </c>
      <c r="E8" s="61">
        <v>0.99</v>
      </c>
      <c r="F8" s="61">
        <v>0.95</v>
      </c>
      <c r="G8" s="61">
        <v>0.88</v>
      </c>
    </row>
    <row r="9" spans="1:7">
      <c r="A9" s="58" t="s">
        <v>807</v>
      </c>
      <c r="B9" s="59" t="s">
        <v>805</v>
      </c>
      <c r="C9" s="59">
        <v>24</v>
      </c>
      <c r="D9" s="59">
        <v>7</v>
      </c>
      <c r="E9" s="61">
        <v>0.99</v>
      </c>
      <c r="F9" s="61">
        <v>0.95</v>
      </c>
      <c r="G9" s="61">
        <v>0.88</v>
      </c>
    </row>
    <row r="10" spans="1:7">
      <c r="A10" s="58" t="s">
        <v>808</v>
      </c>
      <c r="B10" s="59" t="s">
        <v>805</v>
      </c>
      <c r="C10" s="59">
        <v>24</v>
      </c>
      <c r="D10" s="59">
        <v>7</v>
      </c>
      <c r="E10" s="61">
        <v>0.99</v>
      </c>
      <c r="F10" s="61">
        <v>0.95</v>
      </c>
      <c r="G10" s="61">
        <v>0.88</v>
      </c>
    </row>
    <row r="11" spans="1:7">
      <c r="A11" s="58" t="s">
        <v>809</v>
      </c>
      <c r="B11" s="59" t="s">
        <v>803</v>
      </c>
      <c r="C11" s="59">
        <v>24</v>
      </c>
      <c r="D11" s="59">
        <v>7</v>
      </c>
      <c r="E11" s="61">
        <v>0.96</v>
      </c>
      <c r="F11" s="61">
        <v>0.92</v>
      </c>
      <c r="G11" s="61">
        <v>0.85</v>
      </c>
    </row>
    <row r="12" spans="1:7">
      <c r="A12" s="58" t="s">
        <v>810</v>
      </c>
      <c r="B12" s="59" t="s">
        <v>805</v>
      </c>
      <c r="C12" s="59">
        <v>24</v>
      </c>
      <c r="D12" s="59">
        <v>7</v>
      </c>
      <c r="E12" s="61">
        <v>0.99</v>
      </c>
      <c r="F12" s="61">
        <v>0.95</v>
      </c>
      <c r="G12" s="61">
        <v>0.88</v>
      </c>
    </row>
    <row r="13" spans="1:7">
      <c r="A13" s="58" t="s">
        <v>811</v>
      </c>
      <c r="B13" s="59" t="s">
        <v>805</v>
      </c>
      <c r="C13" s="59">
        <v>24</v>
      </c>
      <c r="D13" s="59">
        <v>7</v>
      </c>
      <c r="E13" s="61">
        <v>0.99</v>
      </c>
      <c r="F13" s="61">
        <v>0.95</v>
      </c>
      <c r="G13" s="61">
        <v>0.88</v>
      </c>
    </row>
    <row r="14" spans="1:7">
      <c r="A14" s="58" t="s">
        <v>812</v>
      </c>
      <c r="B14" s="59" t="s">
        <v>805</v>
      </c>
      <c r="C14" s="59">
        <v>24</v>
      </c>
      <c r="D14" s="59">
        <v>7</v>
      </c>
      <c r="E14" s="61">
        <v>0.99</v>
      </c>
      <c r="F14" s="61">
        <v>0.95</v>
      </c>
      <c r="G14" s="61">
        <v>0.88</v>
      </c>
    </row>
    <row r="15" spans="1:7">
      <c r="A15" s="58" t="s">
        <v>813</v>
      </c>
      <c r="B15" s="59" t="s">
        <v>805</v>
      </c>
      <c r="C15" s="59">
        <v>24</v>
      </c>
      <c r="D15" s="59">
        <v>7</v>
      </c>
      <c r="E15" s="61">
        <v>0.99</v>
      </c>
      <c r="F15" s="61">
        <v>0.95</v>
      </c>
      <c r="G15" s="61">
        <v>0.88</v>
      </c>
    </row>
    <row r="16" spans="1:7">
      <c r="A16" s="58" t="s">
        <v>814</v>
      </c>
      <c r="B16" s="59" t="s">
        <v>805</v>
      </c>
      <c r="C16" s="59">
        <v>24</v>
      </c>
      <c r="D16" s="59">
        <v>7</v>
      </c>
      <c r="E16" s="61">
        <v>0.99</v>
      </c>
      <c r="F16" s="61">
        <v>0.95</v>
      </c>
      <c r="G16" s="61">
        <v>0.88</v>
      </c>
    </row>
    <row r="17" spans="1:7">
      <c r="A17" s="58" t="s">
        <v>815</v>
      </c>
      <c r="B17" s="59" t="s">
        <v>805</v>
      </c>
      <c r="C17" s="59">
        <v>24</v>
      </c>
      <c r="D17" s="59">
        <v>7</v>
      </c>
      <c r="E17" s="61">
        <v>0.99</v>
      </c>
      <c r="F17" s="61">
        <v>0.95</v>
      </c>
      <c r="G17" s="61">
        <v>0.88</v>
      </c>
    </row>
    <row r="18" spans="1:7">
      <c r="A18" s="58" t="s">
        <v>816</v>
      </c>
      <c r="B18" s="59" t="s">
        <v>805</v>
      </c>
      <c r="C18" s="59">
        <v>24</v>
      </c>
      <c r="D18" s="59">
        <v>7</v>
      </c>
      <c r="E18" s="61">
        <v>0.99</v>
      </c>
      <c r="F18" s="61">
        <v>0.95</v>
      </c>
      <c r="G18" s="61">
        <v>0.88</v>
      </c>
    </row>
    <row r="19" spans="1:7">
      <c r="A19" s="58" t="s">
        <v>817</v>
      </c>
      <c r="B19" s="59" t="s">
        <v>805</v>
      </c>
      <c r="C19" s="59">
        <v>24</v>
      </c>
      <c r="D19" s="59">
        <v>7</v>
      </c>
      <c r="E19" s="61">
        <v>0.99</v>
      </c>
      <c r="F19" s="61">
        <v>0.95</v>
      </c>
      <c r="G19" s="61">
        <v>0.88</v>
      </c>
    </row>
    <row r="20" spans="1:7">
      <c r="A20" s="58" t="s">
        <v>818</v>
      </c>
      <c r="B20" s="59" t="s">
        <v>805</v>
      </c>
      <c r="C20" s="59">
        <v>12</v>
      </c>
      <c r="D20" s="59">
        <v>6</v>
      </c>
      <c r="E20" s="61">
        <v>0.99</v>
      </c>
      <c r="F20" s="61">
        <v>0.95</v>
      </c>
      <c r="G20" s="61">
        <v>0.88</v>
      </c>
    </row>
    <row r="21" spans="1:7">
      <c r="A21" s="58" t="s">
        <v>819</v>
      </c>
      <c r="B21" s="59" t="s">
        <v>805</v>
      </c>
      <c r="C21" s="59">
        <v>24</v>
      </c>
      <c r="D21" s="59">
        <v>7</v>
      </c>
      <c r="E21" s="61">
        <v>0.99</v>
      </c>
      <c r="F21" s="61">
        <v>0.95</v>
      </c>
      <c r="G21" s="61">
        <v>0.88</v>
      </c>
    </row>
    <row r="22" spans="1:7">
      <c r="A22" s="58" t="s">
        <v>820</v>
      </c>
      <c r="B22" s="59" t="s">
        <v>805</v>
      </c>
      <c r="C22" s="59">
        <v>24</v>
      </c>
      <c r="D22" s="59">
        <v>7</v>
      </c>
      <c r="E22" s="61">
        <v>0.99</v>
      </c>
      <c r="F22" s="61">
        <v>0.95</v>
      </c>
      <c r="G22" s="61">
        <v>0.88</v>
      </c>
    </row>
    <row r="23" spans="1:7">
      <c r="A23" s="58" t="s">
        <v>821</v>
      </c>
      <c r="B23" s="59" t="s">
        <v>805</v>
      </c>
      <c r="C23" s="59">
        <v>24</v>
      </c>
      <c r="D23" s="59">
        <v>7</v>
      </c>
      <c r="E23" s="61">
        <v>0.99</v>
      </c>
      <c r="F23" s="61">
        <v>0.95</v>
      </c>
      <c r="G23" s="61">
        <v>0.88</v>
      </c>
    </row>
    <row r="24" spans="1:7">
      <c r="A24" s="58" t="s">
        <v>822</v>
      </c>
      <c r="B24" s="59" t="s">
        <v>803</v>
      </c>
      <c r="C24" s="59">
        <v>24</v>
      </c>
      <c r="D24" s="59">
        <v>7</v>
      </c>
      <c r="E24" s="61">
        <v>0.96</v>
      </c>
      <c r="F24" s="61">
        <v>0.92</v>
      </c>
      <c r="G24" s="61">
        <v>0.85</v>
      </c>
    </row>
    <row r="25" spans="1:7">
      <c r="A25" s="58" t="s">
        <v>823</v>
      </c>
      <c r="B25" s="59" t="s">
        <v>805</v>
      </c>
      <c r="C25" s="59">
        <v>24</v>
      </c>
      <c r="D25" s="59">
        <v>7</v>
      </c>
      <c r="E25" s="61">
        <v>0.99</v>
      </c>
      <c r="F25" s="61">
        <v>0.95</v>
      </c>
      <c r="G25" s="61">
        <v>0.88</v>
      </c>
    </row>
    <row r="26" spans="1:7">
      <c r="A26" s="58" t="s">
        <v>824</v>
      </c>
      <c r="B26" s="59" t="s">
        <v>803</v>
      </c>
      <c r="C26" s="59">
        <v>12</v>
      </c>
      <c r="D26" s="59">
        <v>6</v>
      </c>
      <c r="E26" s="61">
        <v>0.96</v>
      </c>
      <c r="F26" s="61">
        <v>0.92</v>
      </c>
      <c r="G26" s="61">
        <v>0.85</v>
      </c>
    </row>
    <row r="27" spans="1:7">
      <c r="A27" s="58" t="s">
        <v>825</v>
      </c>
      <c r="B27" s="59" t="s">
        <v>805</v>
      </c>
      <c r="C27" s="59">
        <v>24</v>
      </c>
      <c r="D27" s="59">
        <v>7</v>
      </c>
      <c r="E27" s="61">
        <v>0.99</v>
      </c>
      <c r="F27" s="61">
        <v>0.95</v>
      </c>
      <c r="G27" s="61">
        <v>0.88</v>
      </c>
    </row>
    <row r="28" spans="1:7">
      <c r="A28" s="58" t="s">
        <v>826</v>
      </c>
      <c r="B28" s="59" t="s">
        <v>803</v>
      </c>
      <c r="C28" s="59">
        <v>12</v>
      </c>
      <c r="D28" s="59">
        <v>6</v>
      </c>
      <c r="E28" s="61">
        <v>0.96</v>
      </c>
      <c r="F28" s="61">
        <v>0.92</v>
      </c>
      <c r="G28" s="61">
        <v>0.85</v>
      </c>
    </row>
    <row r="29" spans="1:7">
      <c r="A29" s="58" t="s">
        <v>827</v>
      </c>
      <c r="B29" s="59" t="s">
        <v>805</v>
      </c>
      <c r="C29" s="59">
        <v>24</v>
      </c>
      <c r="D29" s="59">
        <v>7</v>
      </c>
      <c r="E29" s="61">
        <v>0.99</v>
      </c>
      <c r="F29" s="61">
        <v>0.95</v>
      </c>
      <c r="G29" s="61">
        <v>0.88</v>
      </c>
    </row>
    <row r="30" spans="1:7">
      <c r="A30" s="58" t="s">
        <v>828</v>
      </c>
      <c r="B30" s="59" t="s">
        <v>805</v>
      </c>
      <c r="C30" s="59">
        <v>24</v>
      </c>
      <c r="D30" s="59">
        <v>7</v>
      </c>
      <c r="E30" s="61">
        <v>0.99</v>
      </c>
      <c r="F30" s="61">
        <v>0.95</v>
      </c>
      <c r="G30" s="61">
        <v>0.88</v>
      </c>
    </row>
    <row r="31" spans="1:7">
      <c r="A31" s="58" t="s">
        <v>829</v>
      </c>
      <c r="B31" s="59" t="s">
        <v>803</v>
      </c>
      <c r="C31" s="59">
        <v>12</v>
      </c>
      <c r="D31" s="59">
        <v>6</v>
      </c>
      <c r="E31" s="61">
        <v>0.96</v>
      </c>
      <c r="F31" s="61">
        <v>0.92</v>
      </c>
      <c r="G31" s="61">
        <v>0.85</v>
      </c>
    </row>
    <row r="32" spans="1:7">
      <c r="A32" s="58" t="s">
        <v>830</v>
      </c>
      <c r="B32" s="59" t="s">
        <v>803</v>
      </c>
      <c r="C32" s="59">
        <v>12</v>
      </c>
      <c r="D32" s="59">
        <v>7</v>
      </c>
      <c r="E32" s="61">
        <v>0.96</v>
      </c>
      <c r="F32" s="61">
        <v>0.92</v>
      </c>
      <c r="G32" s="61">
        <v>0.85</v>
      </c>
    </row>
    <row r="33" spans="1:7">
      <c r="A33" s="58" t="s">
        <v>831</v>
      </c>
      <c r="B33" s="59" t="s">
        <v>803</v>
      </c>
      <c r="C33" s="59">
        <v>12</v>
      </c>
      <c r="D33" s="59">
        <v>6</v>
      </c>
      <c r="E33" s="61">
        <v>0.96</v>
      </c>
      <c r="F33" s="61">
        <v>0.92</v>
      </c>
      <c r="G33" s="61">
        <v>0.85</v>
      </c>
    </row>
    <row r="34" spans="1:7">
      <c r="A34" s="58" t="s">
        <v>832</v>
      </c>
      <c r="B34" s="59" t="s">
        <v>805</v>
      </c>
      <c r="C34" s="59">
        <v>24</v>
      </c>
      <c r="D34" s="59">
        <v>7</v>
      </c>
      <c r="E34" s="61">
        <v>0.99</v>
      </c>
      <c r="F34" s="61">
        <v>0.95</v>
      </c>
      <c r="G34" s="61">
        <v>0.88</v>
      </c>
    </row>
    <row r="35" spans="1:7" ht="20.399999999999999">
      <c r="A35" s="58" t="s">
        <v>833</v>
      </c>
      <c r="B35" s="59" t="s">
        <v>803</v>
      </c>
      <c r="C35" s="59">
        <v>24</v>
      </c>
      <c r="D35" s="59">
        <v>7</v>
      </c>
      <c r="E35" s="61">
        <v>0.96</v>
      </c>
      <c r="F35" s="61">
        <v>0.92</v>
      </c>
      <c r="G35" s="61">
        <v>0.85</v>
      </c>
    </row>
    <row r="36" spans="1:7">
      <c r="A36" s="58" t="s">
        <v>834</v>
      </c>
      <c r="B36" s="59" t="s">
        <v>805</v>
      </c>
      <c r="C36" s="59">
        <v>24</v>
      </c>
      <c r="D36" s="59">
        <v>7</v>
      </c>
      <c r="E36" s="61">
        <v>0.99</v>
      </c>
      <c r="F36" s="61">
        <v>0.95</v>
      </c>
      <c r="G36" s="61">
        <v>0.88</v>
      </c>
    </row>
    <row r="37" spans="1:7" ht="30.6">
      <c r="A37" s="58" t="s">
        <v>835</v>
      </c>
      <c r="B37" s="59" t="s">
        <v>805</v>
      </c>
      <c r="C37" s="59">
        <v>12</v>
      </c>
      <c r="D37" s="59">
        <v>6</v>
      </c>
      <c r="E37" s="61">
        <v>0.96</v>
      </c>
      <c r="F37" s="61">
        <v>0.92</v>
      </c>
      <c r="G37" s="61">
        <v>0.88</v>
      </c>
    </row>
    <row r="38" spans="1:7">
      <c r="A38" s="58" t="s">
        <v>836</v>
      </c>
      <c r="B38" s="59" t="s">
        <v>805</v>
      </c>
      <c r="C38" s="59">
        <v>24</v>
      </c>
      <c r="D38" s="59">
        <v>7</v>
      </c>
      <c r="E38" s="61">
        <v>0.99</v>
      </c>
      <c r="F38" s="61">
        <v>0.95</v>
      </c>
      <c r="G38" s="61">
        <v>0.88</v>
      </c>
    </row>
    <row r="39" spans="1:7">
      <c r="A39" s="58" t="s">
        <v>837</v>
      </c>
      <c r="B39" s="59" t="s">
        <v>803</v>
      </c>
      <c r="C39" s="59">
        <v>24</v>
      </c>
      <c r="D39" s="59">
        <v>7</v>
      </c>
      <c r="E39" s="61">
        <v>0.96</v>
      </c>
      <c r="F39" s="61">
        <v>0.92</v>
      </c>
      <c r="G39" s="61">
        <v>0.85</v>
      </c>
    </row>
    <row r="40" spans="1:7" ht="20.399999999999999">
      <c r="A40" s="58" t="s">
        <v>838</v>
      </c>
      <c r="B40" s="59" t="s">
        <v>805</v>
      </c>
      <c r="C40" s="59">
        <v>24</v>
      </c>
      <c r="D40" s="59">
        <v>7</v>
      </c>
      <c r="E40" s="61">
        <v>0.99</v>
      </c>
      <c r="F40" s="61">
        <v>0.95</v>
      </c>
      <c r="G40" s="61">
        <v>0.88</v>
      </c>
    </row>
    <row r="41" spans="1:7">
      <c r="A41" s="58" t="s">
        <v>839</v>
      </c>
      <c r="B41" s="59" t="s">
        <v>803</v>
      </c>
      <c r="C41" s="59">
        <v>12</v>
      </c>
      <c r="D41" s="59">
        <v>6</v>
      </c>
      <c r="E41" s="61">
        <v>0.96</v>
      </c>
      <c r="F41" s="61">
        <v>0.92</v>
      </c>
      <c r="G41" s="61">
        <v>0.85</v>
      </c>
    </row>
    <row r="42" spans="1:7">
      <c r="A42" s="58" t="s">
        <v>840</v>
      </c>
      <c r="B42" s="59" t="s">
        <v>803</v>
      </c>
      <c r="C42" s="59">
        <v>12</v>
      </c>
      <c r="D42" s="59">
        <v>6</v>
      </c>
      <c r="E42" s="61">
        <v>0.96</v>
      </c>
      <c r="F42" s="61">
        <v>0.92</v>
      </c>
      <c r="G42" s="61">
        <v>0.85</v>
      </c>
    </row>
    <row r="43" spans="1:7">
      <c r="A43" s="58" t="s">
        <v>841</v>
      </c>
      <c r="B43" s="59" t="s">
        <v>803</v>
      </c>
      <c r="C43" s="59">
        <v>12</v>
      </c>
      <c r="D43" s="59">
        <v>6</v>
      </c>
      <c r="E43" s="61">
        <v>0.96</v>
      </c>
      <c r="F43" s="61">
        <v>0.92</v>
      </c>
      <c r="G43" s="61">
        <v>0.85</v>
      </c>
    </row>
    <row r="44" spans="1:7">
      <c r="A44" s="58" t="s">
        <v>842</v>
      </c>
      <c r="B44" s="59" t="s">
        <v>803</v>
      </c>
      <c r="C44" s="59">
        <v>12</v>
      </c>
      <c r="D44" s="59">
        <v>6</v>
      </c>
      <c r="E44" s="61">
        <v>0.96</v>
      </c>
      <c r="F44" s="61">
        <v>0.92</v>
      </c>
      <c r="G44" s="61">
        <v>0.85</v>
      </c>
    </row>
    <row r="45" spans="1:7" ht="20.399999999999999">
      <c r="A45" s="58" t="s">
        <v>843</v>
      </c>
      <c r="B45" s="59" t="s">
        <v>805</v>
      </c>
      <c r="C45" s="59">
        <v>24</v>
      </c>
      <c r="D45" s="59">
        <v>7</v>
      </c>
      <c r="E45" s="61">
        <v>0.96</v>
      </c>
      <c r="F45" s="61">
        <v>0.92</v>
      </c>
      <c r="G45" s="61">
        <v>0.88</v>
      </c>
    </row>
    <row r="46" spans="1:7">
      <c r="A46" s="58" t="s">
        <v>844</v>
      </c>
      <c r="B46" s="59" t="s">
        <v>803</v>
      </c>
      <c r="C46" s="59">
        <v>12</v>
      </c>
      <c r="D46" s="59">
        <v>6</v>
      </c>
      <c r="E46" s="61">
        <v>0.96</v>
      </c>
      <c r="F46" s="61">
        <v>0.92</v>
      </c>
      <c r="G46" s="61">
        <v>0.85</v>
      </c>
    </row>
    <row r="47" spans="1:7">
      <c r="A47" s="58" t="s">
        <v>845</v>
      </c>
      <c r="B47" s="59" t="s">
        <v>805</v>
      </c>
      <c r="C47" s="59">
        <v>24</v>
      </c>
      <c r="D47" s="59">
        <v>7</v>
      </c>
      <c r="E47" s="61">
        <v>0.99</v>
      </c>
      <c r="F47" s="61">
        <v>0.95</v>
      </c>
      <c r="G47" s="61">
        <v>0.88</v>
      </c>
    </row>
    <row r="48" spans="1:7">
      <c r="A48" s="58" t="s">
        <v>846</v>
      </c>
      <c r="B48" s="59" t="s">
        <v>803</v>
      </c>
      <c r="C48" s="59">
        <v>24</v>
      </c>
      <c r="D48" s="59">
        <v>7</v>
      </c>
      <c r="E48" s="61">
        <v>0.96</v>
      </c>
      <c r="F48" s="61">
        <v>0.92</v>
      </c>
      <c r="G48" s="61">
        <v>0.85</v>
      </c>
    </row>
    <row r="49" spans="1:7">
      <c r="A49" s="58" t="s">
        <v>847</v>
      </c>
      <c r="B49" s="59" t="s">
        <v>805</v>
      </c>
      <c r="C49" s="59">
        <v>24</v>
      </c>
      <c r="D49" s="59">
        <v>7</v>
      </c>
      <c r="E49" s="61">
        <v>0.99</v>
      </c>
      <c r="F49" s="61">
        <v>0.95</v>
      </c>
      <c r="G49" s="61">
        <v>0.88</v>
      </c>
    </row>
    <row r="50" spans="1:7">
      <c r="A50" s="58" t="s">
        <v>848</v>
      </c>
      <c r="B50" s="59" t="s">
        <v>805</v>
      </c>
      <c r="C50" s="59">
        <v>24</v>
      </c>
      <c r="D50" s="59">
        <v>7</v>
      </c>
      <c r="E50" s="61">
        <v>0.99</v>
      </c>
      <c r="F50" s="61">
        <v>0.95</v>
      </c>
      <c r="G50" s="61">
        <v>0.88</v>
      </c>
    </row>
    <row r="51" spans="1:7">
      <c r="A51" s="58" t="s">
        <v>849</v>
      </c>
      <c r="B51" s="59" t="s">
        <v>803</v>
      </c>
      <c r="C51" s="59">
        <v>12</v>
      </c>
      <c r="D51" s="59">
        <v>6</v>
      </c>
      <c r="E51" s="61">
        <v>0.96</v>
      </c>
      <c r="F51" s="61">
        <v>0.92</v>
      </c>
      <c r="G51" s="61">
        <v>0.85</v>
      </c>
    </row>
    <row r="52" spans="1:7" ht="20.399999999999999">
      <c r="A52" s="58" t="s">
        <v>850</v>
      </c>
      <c r="B52" s="59" t="s">
        <v>805</v>
      </c>
      <c r="C52" s="59">
        <v>24</v>
      </c>
      <c r="D52" s="59">
        <v>7</v>
      </c>
      <c r="E52" s="61">
        <v>0.99</v>
      </c>
      <c r="F52" s="61">
        <v>0.95</v>
      </c>
      <c r="G52" s="61">
        <v>0.88</v>
      </c>
    </row>
    <row r="53" spans="1:7">
      <c r="A53" s="58" t="s">
        <v>851</v>
      </c>
      <c r="B53" s="59" t="s">
        <v>803</v>
      </c>
      <c r="C53" s="59">
        <v>12</v>
      </c>
      <c r="D53" s="59">
        <v>6</v>
      </c>
      <c r="E53" s="61">
        <v>0.99</v>
      </c>
      <c r="F53" s="61">
        <v>0.92</v>
      </c>
      <c r="G53" s="61">
        <v>0.85</v>
      </c>
    </row>
    <row r="54" spans="1:7">
      <c r="A54" s="58" t="s">
        <v>852</v>
      </c>
      <c r="B54" s="59" t="s">
        <v>805</v>
      </c>
      <c r="C54" s="59">
        <v>12</v>
      </c>
      <c r="D54" s="59">
        <v>6</v>
      </c>
      <c r="E54" s="61">
        <v>0.99</v>
      </c>
      <c r="F54" s="61">
        <v>0.95</v>
      </c>
      <c r="G54" s="61">
        <v>0.88</v>
      </c>
    </row>
    <row r="55" spans="1:7">
      <c r="A55" s="58" t="s">
        <v>853</v>
      </c>
      <c r="B55" s="59" t="s">
        <v>805</v>
      </c>
      <c r="C55" s="59">
        <v>24</v>
      </c>
      <c r="D55" s="59">
        <v>7</v>
      </c>
      <c r="E55" s="61">
        <v>0.99</v>
      </c>
      <c r="F55" s="61">
        <v>0.95</v>
      </c>
      <c r="G55" s="61">
        <v>0.88</v>
      </c>
    </row>
    <row r="56" spans="1:7" ht="21.6">
      <c r="A56" s="58" t="s">
        <v>854</v>
      </c>
      <c r="B56" s="59" t="s">
        <v>805</v>
      </c>
      <c r="C56" s="59">
        <v>24</v>
      </c>
      <c r="D56" s="59">
        <v>7</v>
      </c>
      <c r="E56" s="61">
        <v>0.99</v>
      </c>
      <c r="F56" s="61">
        <v>0.95</v>
      </c>
      <c r="G56" s="61">
        <v>0.88</v>
      </c>
    </row>
    <row r="57" spans="1:7">
      <c r="A57" s="58" t="s">
        <v>855</v>
      </c>
      <c r="B57" s="59" t="s">
        <v>803</v>
      </c>
      <c r="C57" s="59">
        <v>12</v>
      </c>
      <c r="D57" s="59">
        <v>6</v>
      </c>
      <c r="E57" s="61">
        <v>0.96</v>
      </c>
      <c r="F57" s="61">
        <v>0.92</v>
      </c>
      <c r="G57" s="61">
        <v>0.85</v>
      </c>
    </row>
    <row r="58" spans="1:7" ht="20.399999999999999">
      <c r="A58" s="58" t="s">
        <v>856</v>
      </c>
      <c r="B58" s="59" t="s">
        <v>803</v>
      </c>
      <c r="C58" s="59">
        <v>12</v>
      </c>
      <c r="D58" s="59">
        <v>6</v>
      </c>
      <c r="E58" s="61">
        <v>0.96</v>
      </c>
      <c r="F58" s="61">
        <v>0.92</v>
      </c>
      <c r="G58" s="61">
        <v>0.85</v>
      </c>
    </row>
    <row r="59" spans="1:7">
      <c r="A59" s="58" t="s">
        <v>857</v>
      </c>
      <c r="B59" s="59" t="s">
        <v>803</v>
      </c>
      <c r="C59" s="59">
        <v>12</v>
      </c>
      <c r="D59" s="59">
        <v>6</v>
      </c>
      <c r="E59" s="61">
        <v>0.96</v>
      </c>
      <c r="F59" s="61">
        <v>0.92</v>
      </c>
      <c r="G59" s="61">
        <v>0.85</v>
      </c>
    </row>
    <row r="60" spans="1:7">
      <c r="A60" s="58" t="s">
        <v>858</v>
      </c>
      <c r="B60" s="59"/>
      <c r="C60" s="59"/>
      <c r="D60" s="59"/>
      <c r="E60" s="59"/>
      <c r="F60" s="59"/>
      <c r="G60" s="59"/>
    </row>
    <row r="61" spans="1:7">
      <c r="A61" s="58" t="s">
        <v>859</v>
      </c>
      <c r="B61" s="59" t="s">
        <v>803</v>
      </c>
      <c r="C61" s="59">
        <v>12</v>
      </c>
      <c r="D61" s="59">
        <v>6</v>
      </c>
      <c r="E61" s="61">
        <v>0.96</v>
      </c>
      <c r="F61" s="61">
        <v>0.92</v>
      </c>
      <c r="G61" s="61">
        <v>0.85</v>
      </c>
    </row>
    <row r="62" spans="1:7">
      <c r="A62" s="58" t="s">
        <v>860</v>
      </c>
      <c r="B62" s="59" t="s">
        <v>803</v>
      </c>
      <c r="C62" s="59">
        <v>12</v>
      </c>
      <c r="D62" s="59">
        <v>6</v>
      </c>
      <c r="E62" s="61">
        <v>0.96</v>
      </c>
      <c r="F62" s="61">
        <v>0.92</v>
      </c>
      <c r="G62" s="61">
        <v>0.85</v>
      </c>
    </row>
    <row r="63" spans="1:7">
      <c r="A63" s="58" t="s">
        <v>861</v>
      </c>
      <c r="B63" s="59" t="s">
        <v>803</v>
      </c>
      <c r="C63" s="59">
        <v>12</v>
      </c>
      <c r="D63" s="59">
        <v>6</v>
      </c>
      <c r="E63" s="61">
        <v>0.96</v>
      </c>
      <c r="F63" s="61">
        <v>0.92</v>
      </c>
      <c r="G63" s="61">
        <v>0.85</v>
      </c>
    </row>
    <row r="64" spans="1:7">
      <c r="A64" s="58" t="s">
        <v>862</v>
      </c>
      <c r="B64" s="59" t="s">
        <v>803</v>
      </c>
      <c r="C64" s="59">
        <v>12</v>
      </c>
      <c r="D64" s="59">
        <v>6</v>
      </c>
      <c r="E64" s="61">
        <v>0.96</v>
      </c>
      <c r="F64" s="61">
        <v>0.92</v>
      </c>
      <c r="G64" s="61">
        <v>0.85</v>
      </c>
    </row>
    <row r="65" spans="1:7">
      <c r="A65" s="58" t="s">
        <v>863</v>
      </c>
      <c r="B65" s="59" t="s">
        <v>803</v>
      </c>
      <c r="C65" s="59">
        <v>12</v>
      </c>
      <c r="D65" s="59">
        <v>6</v>
      </c>
      <c r="E65" s="61">
        <v>0.96</v>
      </c>
      <c r="F65" s="61">
        <v>0.92</v>
      </c>
      <c r="G65" s="61">
        <v>0.85</v>
      </c>
    </row>
    <row r="66" spans="1:7">
      <c r="A66" s="58" t="s">
        <v>864</v>
      </c>
      <c r="B66" s="59" t="s">
        <v>803</v>
      </c>
      <c r="C66" s="59">
        <v>12</v>
      </c>
      <c r="D66" s="59">
        <v>6</v>
      </c>
      <c r="E66" s="61">
        <v>0.96</v>
      </c>
      <c r="F66" s="61">
        <v>0.92</v>
      </c>
      <c r="G66" s="61">
        <v>0.85</v>
      </c>
    </row>
    <row r="67" spans="1:7">
      <c r="A67" s="58" t="s">
        <v>865</v>
      </c>
      <c r="B67" s="59" t="s">
        <v>803</v>
      </c>
      <c r="C67" s="59">
        <v>12</v>
      </c>
      <c r="D67" s="59">
        <v>6</v>
      </c>
      <c r="E67" s="61">
        <v>0.96</v>
      </c>
      <c r="F67" s="61">
        <v>0.92</v>
      </c>
      <c r="G67" s="61">
        <v>0.85</v>
      </c>
    </row>
    <row r="68" spans="1:7">
      <c r="A68" s="58" t="s">
        <v>866</v>
      </c>
      <c r="B68" s="59" t="s">
        <v>803</v>
      </c>
      <c r="C68" s="59">
        <v>12</v>
      </c>
      <c r="D68" s="59">
        <v>6</v>
      </c>
      <c r="E68" s="61">
        <v>0.96</v>
      </c>
      <c r="F68" s="61">
        <v>0.92</v>
      </c>
      <c r="G68" s="61">
        <v>0.85</v>
      </c>
    </row>
    <row r="69" spans="1:7">
      <c r="A69" s="58" t="s">
        <v>867</v>
      </c>
      <c r="B69" s="59" t="s">
        <v>803</v>
      </c>
      <c r="C69" s="59">
        <v>12</v>
      </c>
      <c r="D69" s="59">
        <v>6</v>
      </c>
      <c r="E69" s="61">
        <v>0.96</v>
      </c>
      <c r="F69" s="61">
        <v>0.92</v>
      </c>
      <c r="G69" s="61">
        <v>0.85</v>
      </c>
    </row>
    <row r="70" spans="1:7">
      <c r="A70" s="58" t="s">
        <v>868</v>
      </c>
      <c r="B70" s="59" t="s">
        <v>803</v>
      </c>
      <c r="C70" s="59">
        <v>12</v>
      </c>
      <c r="D70" s="59">
        <v>6</v>
      </c>
      <c r="E70" s="61">
        <v>0.96</v>
      </c>
      <c r="F70" s="61">
        <v>0.92</v>
      </c>
      <c r="G70" s="61">
        <v>0.85</v>
      </c>
    </row>
    <row r="71" spans="1:7">
      <c r="A71" s="58" t="s">
        <v>869</v>
      </c>
      <c r="B71" s="59" t="s">
        <v>803</v>
      </c>
      <c r="C71" s="59">
        <v>12</v>
      </c>
      <c r="D71" s="59">
        <v>6</v>
      </c>
      <c r="E71" s="61">
        <v>0.96</v>
      </c>
      <c r="F71" s="61">
        <v>0.92</v>
      </c>
      <c r="G71" s="61">
        <v>0.85</v>
      </c>
    </row>
    <row r="72" spans="1:7">
      <c r="A72" s="58" t="s">
        <v>870</v>
      </c>
      <c r="B72" s="59" t="s">
        <v>803</v>
      </c>
      <c r="C72" s="59">
        <v>12</v>
      </c>
      <c r="D72" s="59">
        <v>6</v>
      </c>
      <c r="E72" s="61">
        <v>0.96</v>
      </c>
      <c r="F72" s="61">
        <v>0.92</v>
      </c>
      <c r="G72" s="61">
        <v>0.85</v>
      </c>
    </row>
    <row r="73" spans="1:7">
      <c r="A73" s="58" t="s">
        <v>871</v>
      </c>
      <c r="B73" s="59" t="s">
        <v>803</v>
      </c>
      <c r="C73" s="59">
        <v>12</v>
      </c>
      <c r="D73" s="59">
        <v>6</v>
      </c>
      <c r="E73" s="61">
        <v>0.96</v>
      </c>
      <c r="F73" s="61">
        <v>0.92</v>
      </c>
      <c r="G73" s="61">
        <v>0.85</v>
      </c>
    </row>
    <row r="74" spans="1:7" ht="20.399999999999999">
      <c r="A74" s="58" t="s">
        <v>872</v>
      </c>
      <c r="B74" s="59" t="s">
        <v>803</v>
      </c>
      <c r="C74" s="59">
        <v>12</v>
      </c>
      <c r="D74" s="59">
        <v>6</v>
      </c>
      <c r="E74" s="61">
        <v>0.96</v>
      </c>
      <c r="F74" s="61">
        <v>0.92</v>
      </c>
      <c r="G74" s="61">
        <v>0.85</v>
      </c>
    </row>
    <row r="75" spans="1:7" ht="20.399999999999999">
      <c r="A75" s="58" t="s">
        <v>873</v>
      </c>
      <c r="B75" s="59" t="s">
        <v>803</v>
      </c>
      <c r="C75" s="59">
        <v>12</v>
      </c>
      <c r="D75" s="59">
        <v>6</v>
      </c>
      <c r="E75" s="61">
        <v>0.96</v>
      </c>
      <c r="F75" s="61">
        <v>0.92</v>
      </c>
      <c r="G75" s="61">
        <v>0.85</v>
      </c>
    </row>
    <row r="76" spans="1:7">
      <c r="A76" s="58" t="s">
        <v>874</v>
      </c>
      <c r="B76" s="59" t="s">
        <v>803</v>
      </c>
      <c r="C76" s="59">
        <v>12</v>
      </c>
      <c r="D76" s="59">
        <v>6</v>
      </c>
      <c r="E76" s="61">
        <v>0.96</v>
      </c>
      <c r="F76" s="61">
        <v>0.92</v>
      </c>
      <c r="G76" s="61">
        <v>0.85</v>
      </c>
    </row>
    <row r="77" spans="1:7">
      <c r="A77" s="58" t="s">
        <v>875</v>
      </c>
      <c r="B77" s="59" t="s">
        <v>803</v>
      </c>
      <c r="C77" s="59">
        <v>12</v>
      </c>
      <c r="D77" s="59">
        <v>6</v>
      </c>
      <c r="E77" s="61">
        <v>0.96</v>
      </c>
      <c r="F77" s="61">
        <v>0.92</v>
      </c>
      <c r="G77" s="61">
        <v>0.85</v>
      </c>
    </row>
    <row r="78" spans="1:7">
      <c r="A78" s="58" t="s">
        <v>876</v>
      </c>
      <c r="B78" s="59" t="s">
        <v>803</v>
      </c>
      <c r="C78" s="59">
        <v>12</v>
      </c>
      <c r="D78" s="59">
        <v>6</v>
      </c>
      <c r="E78" s="61">
        <v>0.96</v>
      </c>
      <c r="F78" s="61">
        <v>0.92</v>
      </c>
      <c r="G78" s="61">
        <v>0.85</v>
      </c>
    </row>
    <row r="79" spans="1:7">
      <c r="A79" s="58" t="s">
        <v>877</v>
      </c>
      <c r="B79" s="59" t="s">
        <v>803</v>
      </c>
      <c r="C79" s="59">
        <v>12</v>
      </c>
      <c r="D79" s="59">
        <v>6</v>
      </c>
      <c r="E79" s="61">
        <v>0.96</v>
      </c>
      <c r="F79" s="61">
        <v>0.92</v>
      </c>
      <c r="G79" s="61">
        <v>0.85</v>
      </c>
    </row>
    <row r="80" spans="1:7">
      <c r="A80" s="58" t="s">
        <v>878</v>
      </c>
      <c r="B80" s="59" t="s">
        <v>803</v>
      </c>
      <c r="C80" s="59">
        <v>12</v>
      </c>
      <c r="D80" s="59">
        <v>6</v>
      </c>
      <c r="E80" s="61">
        <v>0.96</v>
      </c>
      <c r="F80" s="61">
        <v>0.92</v>
      </c>
      <c r="G80" s="61">
        <v>0.85</v>
      </c>
    </row>
    <row r="81" spans="1:7">
      <c r="A81" s="58" t="s">
        <v>879</v>
      </c>
      <c r="B81" s="59" t="s">
        <v>803</v>
      </c>
      <c r="C81" s="59">
        <v>12</v>
      </c>
      <c r="D81" s="59">
        <v>6</v>
      </c>
      <c r="E81" s="61">
        <v>0.96</v>
      </c>
      <c r="F81" s="61">
        <v>0.92</v>
      </c>
      <c r="G81" s="61">
        <v>0.85</v>
      </c>
    </row>
    <row r="82" spans="1:7">
      <c r="A82" s="58" t="s">
        <v>880</v>
      </c>
      <c r="B82" s="59" t="s">
        <v>803</v>
      </c>
      <c r="C82" s="59">
        <v>12</v>
      </c>
      <c r="D82" s="59">
        <v>6</v>
      </c>
      <c r="E82" s="61">
        <v>0.96</v>
      </c>
      <c r="F82" s="61">
        <v>0.92</v>
      </c>
      <c r="G82" s="61">
        <v>0.85</v>
      </c>
    </row>
    <row r="83" spans="1:7">
      <c r="A83" s="58" t="s">
        <v>881</v>
      </c>
      <c r="B83" s="59" t="s">
        <v>803</v>
      </c>
      <c r="C83" s="59">
        <v>12</v>
      </c>
      <c r="D83" s="59">
        <v>6</v>
      </c>
      <c r="E83" s="61">
        <v>0.96</v>
      </c>
      <c r="F83" s="61">
        <v>0.92</v>
      </c>
      <c r="G83" s="61">
        <v>0.85</v>
      </c>
    </row>
    <row r="84" spans="1:7">
      <c r="A84" s="58" t="s">
        <v>882</v>
      </c>
      <c r="B84" s="59" t="s">
        <v>803</v>
      </c>
      <c r="C84" s="59">
        <v>12</v>
      </c>
      <c r="D84" s="59">
        <v>6</v>
      </c>
      <c r="E84" s="61">
        <v>0.96</v>
      </c>
      <c r="F84" s="61">
        <v>0.92</v>
      </c>
      <c r="G84" s="61">
        <v>0.85</v>
      </c>
    </row>
  </sheetData>
  <autoFilter ref="A3:G84" xr:uid="{00000000-0009-0000-0000-000007000000}"/>
  <mergeCells count="5">
    <mergeCell ref="A5:G5"/>
    <mergeCell ref="A3:A4"/>
    <mergeCell ref="B3:B4"/>
    <mergeCell ref="C3:C4"/>
    <mergeCell ref="D3:D4"/>
  </mergeCells>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E6" sqref="AE6"/>
    </sheetView>
  </sheetViews>
  <sheetFormatPr defaultColWidth="12.77734375" defaultRowHeight="13.8"/>
  <cols>
    <col min="1" max="1" width="3.44140625" style="4" customWidth="1"/>
    <col min="2" max="2" width="10.77734375" style="4" customWidth="1"/>
    <col min="3" max="3" width="15.77734375" style="4" customWidth="1"/>
    <col min="4" max="4" width="14.77734375" style="4" customWidth="1"/>
    <col min="5" max="5" width="5.5546875" style="4" customWidth="1"/>
    <col min="6" max="6" width="12.77734375" style="4"/>
    <col min="7" max="7" width="8.77734375" style="4" customWidth="1"/>
    <col min="8" max="8" width="18.21875" style="4" customWidth="1"/>
    <col min="9" max="9" width="7.21875" style="4" customWidth="1"/>
    <col min="10" max="10" width="8.77734375" style="4" customWidth="1"/>
    <col min="11" max="12" width="10.77734375" style="4" customWidth="1"/>
    <col min="13" max="13" width="8.21875" style="4" customWidth="1"/>
    <col min="14" max="14" width="8" style="4" customWidth="1"/>
    <col min="15" max="15" width="9.44140625" style="4" customWidth="1"/>
    <col min="16" max="16" width="10" style="4" customWidth="1"/>
    <col min="17" max="18" width="8.77734375" style="4" customWidth="1"/>
    <col min="19" max="19" width="12.21875" style="4" customWidth="1"/>
    <col min="20" max="20" width="4.21875" style="4" customWidth="1"/>
    <col min="21" max="21" width="10.21875" style="4" customWidth="1"/>
    <col min="22" max="22" width="9.77734375" style="4" customWidth="1"/>
    <col min="23" max="23" width="10.21875" style="4" customWidth="1"/>
    <col min="24" max="24" width="16.77734375" style="4" customWidth="1"/>
    <col min="25" max="25" width="7.21875" style="5" customWidth="1"/>
    <col min="26" max="27" width="12.77734375" style="5" customWidth="1"/>
    <col min="28" max="28" width="11" style="5" customWidth="1"/>
    <col min="29" max="29" width="13.21875" style="6" customWidth="1"/>
    <col min="30" max="30" width="13.21875" style="7" customWidth="1"/>
    <col min="31" max="31" width="12.77734375" style="5"/>
    <col min="32" max="16384" width="12.77734375" style="4"/>
  </cols>
  <sheetData>
    <row r="4" spans="1:31" s="1" customFormat="1" ht="33" customHeight="1">
      <c r="A4" s="855" t="s">
        <v>883</v>
      </c>
      <c r="B4" s="856" t="s">
        <v>117</v>
      </c>
      <c r="C4" s="857" t="s">
        <v>118</v>
      </c>
      <c r="D4" s="857" t="s">
        <v>119</v>
      </c>
      <c r="E4" s="856" t="s">
        <v>120</v>
      </c>
      <c r="F4" s="9"/>
      <c r="G4" s="855" t="s">
        <v>121</v>
      </c>
      <c r="H4" s="855" t="s">
        <v>122</v>
      </c>
      <c r="I4" s="859" t="s">
        <v>123</v>
      </c>
      <c r="J4" s="860" t="s">
        <v>124</v>
      </c>
      <c r="K4" s="861" t="s">
        <v>125</v>
      </c>
      <c r="L4" s="861" t="s">
        <v>127</v>
      </c>
      <c r="M4" s="862" t="s">
        <v>128</v>
      </c>
      <c r="N4" s="850" t="s">
        <v>129</v>
      </c>
      <c r="O4" s="851"/>
      <c r="P4" s="852"/>
      <c r="Q4" s="850" t="s">
        <v>130</v>
      </c>
      <c r="R4" s="853"/>
      <c r="S4" s="853"/>
      <c r="T4" s="853"/>
      <c r="U4" s="853"/>
      <c r="V4" s="854"/>
      <c r="W4" s="848" t="s">
        <v>884</v>
      </c>
      <c r="X4" s="42"/>
      <c r="Y4" s="42"/>
      <c r="Z4" s="42"/>
      <c r="AA4" s="42"/>
      <c r="AB4" s="42"/>
      <c r="AC4" s="53"/>
      <c r="AD4" s="54"/>
      <c r="AE4" s="42"/>
    </row>
    <row r="5" spans="1:31" s="1" customFormat="1" ht="60.75" customHeight="1">
      <c r="A5" s="855"/>
      <c r="B5" s="856"/>
      <c r="C5" s="858"/>
      <c r="D5" s="858"/>
      <c r="E5" s="856"/>
      <c r="F5" s="9" t="s">
        <v>885</v>
      </c>
      <c r="G5" s="855"/>
      <c r="H5" s="855"/>
      <c r="I5" s="859"/>
      <c r="J5" s="860"/>
      <c r="K5" s="861"/>
      <c r="L5" s="861"/>
      <c r="M5" s="862"/>
      <c r="N5" s="8" t="s">
        <v>131</v>
      </c>
      <c r="O5" s="34" t="s">
        <v>132</v>
      </c>
      <c r="P5" s="8" t="s">
        <v>133</v>
      </c>
      <c r="Q5" s="8" t="s">
        <v>131</v>
      </c>
      <c r="R5" s="8" t="s">
        <v>134</v>
      </c>
      <c r="S5" s="38" t="s">
        <v>135</v>
      </c>
      <c r="T5" s="33" t="s">
        <v>136</v>
      </c>
      <c r="U5" s="8" t="s">
        <v>132</v>
      </c>
      <c r="V5" s="43" t="s">
        <v>133</v>
      </c>
      <c r="W5" s="849"/>
      <c r="X5" s="44" t="s">
        <v>134</v>
      </c>
      <c r="Y5" s="42" t="s">
        <v>886</v>
      </c>
      <c r="Z5" s="42" t="s">
        <v>887</v>
      </c>
      <c r="AA5" s="42" t="s">
        <v>888</v>
      </c>
      <c r="AB5" s="42" t="s">
        <v>889</v>
      </c>
      <c r="AC5" s="53" t="s">
        <v>890</v>
      </c>
      <c r="AD5" s="54" t="s">
        <v>891</v>
      </c>
      <c r="AE5" s="42" t="s">
        <v>892</v>
      </c>
    </row>
    <row r="6" spans="1:31" s="2" customFormat="1" ht="26.4">
      <c r="A6" s="10">
        <v>23</v>
      </c>
      <c r="B6" s="11" t="s">
        <v>893</v>
      </c>
      <c r="C6" s="12" t="s">
        <v>894</v>
      </c>
      <c r="D6" s="13">
        <v>12049370</v>
      </c>
      <c r="E6" s="19">
        <v>1811</v>
      </c>
      <c r="F6" s="20"/>
      <c r="G6" s="11" t="s">
        <v>895</v>
      </c>
      <c r="H6" s="21" t="s">
        <v>896</v>
      </c>
      <c r="I6" s="24" t="s">
        <v>142</v>
      </c>
      <c r="J6" s="28">
        <v>1.0416666666666701E-2</v>
      </c>
      <c r="K6" s="29">
        <v>43781</v>
      </c>
      <c r="L6" s="29">
        <v>43795</v>
      </c>
      <c r="M6" s="35">
        <f t="shared" ref="M6:M16" si="0">IF(D6&gt;44999.99,100,ROUNDUP((D6/4999.99)*10,-1))</f>
        <v>100</v>
      </c>
      <c r="N6" s="10" t="s">
        <v>147</v>
      </c>
      <c r="O6" s="36">
        <f t="shared" ref="O6:O16" si="1">IF(N6="Y",M6,0)</f>
        <v>0</v>
      </c>
      <c r="P6" s="10" t="s">
        <v>897</v>
      </c>
      <c r="Q6" s="14" t="s">
        <v>147</v>
      </c>
      <c r="R6" s="39">
        <f t="shared" ref="R6:R16" si="2">L6-K6+1</f>
        <v>15</v>
      </c>
      <c r="S6" s="40">
        <f t="shared" ref="S6:S7" si="3">WORKDAY(K6,6,tarikhcuti)</f>
        <v>43789</v>
      </c>
      <c r="T6" s="39">
        <f t="shared" ref="T6:T7" si="4">IF(L6&gt;S6,L6-S6,0)</f>
        <v>6</v>
      </c>
      <c r="U6" s="45">
        <f t="shared" ref="U6:U16" si="5">M6*T6</f>
        <v>600</v>
      </c>
      <c r="V6" s="46"/>
      <c r="W6" s="47" t="s">
        <v>898</v>
      </c>
      <c r="X6" s="39">
        <f>R6</f>
        <v>15</v>
      </c>
      <c r="Y6" s="51">
        <v>24</v>
      </c>
      <c r="Z6" s="51">
        <f>X6*Y6</f>
        <v>360</v>
      </c>
      <c r="AA6" s="51">
        <v>8072</v>
      </c>
      <c r="AB6" s="51">
        <f>AA6-Z6</f>
        <v>7712</v>
      </c>
      <c r="AC6" s="55">
        <f>AB6/8072</f>
        <v>0.95540138751238801</v>
      </c>
      <c r="AD6" s="56">
        <v>0.92</v>
      </c>
      <c r="AE6" s="51" t="s">
        <v>78</v>
      </c>
    </row>
    <row r="7" spans="1:31" s="3" customFormat="1" ht="26.4">
      <c r="A7" s="14">
        <v>1</v>
      </c>
      <c r="B7" s="15" t="s">
        <v>899</v>
      </c>
      <c r="C7" s="16" t="s">
        <v>703</v>
      </c>
      <c r="D7" s="13">
        <v>10825</v>
      </c>
      <c r="E7" s="22">
        <v>1655</v>
      </c>
      <c r="F7" s="23"/>
      <c r="G7" s="16" t="s">
        <v>900</v>
      </c>
      <c r="H7" s="16" t="s">
        <v>901</v>
      </c>
      <c r="I7" s="15" t="s">
        <v>142</v>
      </c>
      <c r="J7" s="30">
        <v>2.5694444444444499E-2</v>
      </c>
      <c r="K7" s="31">
        <v>43774</v>
      </c>
      <c r="L7" s="31">
        <v>43799</v>
      </c>
      <c r="M7" s="35">
        <f t="shared" si="0"/>
        <v>30</v>
      </c>
      <c r="N7" s="14" t="s">
        <v>147</v>
      </c>
      <c r="O7" s="36">
        <f t="shared" si="1"/>
        <v>0</v>
      </c>
      <c r="P7" s="14" t="s">
        <v>897</v>
      </c>
      <c r="Q7" s="14" t="s">
        <v>373</v>
      </c>
      <c r="R7" s="39">
        <f t="shared" si="2"/>
        <v>26</v>
      </c>
      <c r="S7" s="41">
        <f t="shared" si="3"/>
        <v>43782</v>
      </c>
      <c r="T7" s="39">
        <f t="shared" si="4"/>
        <v>17</v>
      </c>
      <c r="U7" s="45">
        <f t="shared" si="5"/>
        <v>510</v>
      </c>
      <c r="V7" s="48"/>
      <c r="W7" s="49" t="s">
        <v>898</v>
      </c>
      <c r="X7" s="39">
        <f t="shared" ref="X7:X16" si="6">R7</f>
        <v>26</v>
      </c>
      <c r="Y7" s="51">
        <v>24</v>
      </c>
      <c r="Z7" s="51">
        <f t="shared" ref="Z7:Z16" si="7">X7*Y7</f>
        <v>624</v>
      </c>
      <c r="AA7" s="52">
        <v>8072</v>
      </c>
      <c r="AB7" s="51">
        <f t="shared" ref="AB7:AB16" si="8">AA7-Z7</f>
        <v>7448</v>
      </c>
      <c r="AC7" s="55">
        <f t="shared" ref="AC7:AC16" si="9">AB7/8072</f>
        <v>0.922695738354807</v>
      </c>
      <c r="AD7" s="56">
        <v>0.95</v>
      </c>
      <c r="AE7" s="52" t="s">
        <v>902</v>
      </c>
    </row>
    <row r="8" spans="1:31" s="3" customFormat="1" ht="52.8">
      <c r="A8" s="14">
        <f>A7+1</f>
        <v>2</v>
      </c>
      <c r="B8" s="17" t="s">
        <v>396</v>
      </c>
      <c r="C8" s="17" t="s">
        <v>748</v>
      </c>
      <c r="D8" s="18">
        <v>3557530</v>
      </c>
      <c r="E8" s="24">
        <v>1172</v>
      </c>
      <c r="F8" s="25"/>
      <c r="G8" s="26" t="s">
        <v>903</v>
      </c>
      <c r="H8" s="27" t="s">
        <v>904</v>
      </c>
      <c r="I8" s="24" t="s">
        <v>142</v>
      </c>
      <c r="J8" s="32">
        <v>2.0833333333333402E-2</v>
      </c>
      <c r="K8" s="31">
        <v>43770</v>
      </c>
      <c r="L8" s="29">
        <v>43782</v>
      </c>
      <c r="M8" s="35">
        <f t="shared" si="0"/>
        <v>100</v>
      </c>
      <c r="N8" s="10" t="s">
        <v>147</v>
      </c>
      <c r="O8" s="37">
        <f t="shared" si="1"/>
        <v>0</v>
      </c>
      <c r="P8" s="10" t="s">
        <v>897</v>
      </c>
      <c r="Q8" s="14" t="s">
        <v>147</v>
      </c>
      <c r="R8" s="39">
        <f t="shared" si="2"/>
        <v>13</v>
      </c>
      <c r="S8" s="40">
        <v>43763</v>
      </c>
      <c r="T8" s="39">
        <f>R8</f>
        <v>13</v>
      </c>
      <c r="U8" s="45">
        <f t="shared" si="5"/>
        <v>1300</v>
      </c>
      <c r="V8" s="46"/>
      <c r="W8" s="49" t="s">
        <v>898</v>
      </c>
      <c r="X8" s="39">
        <f t="shared" si="6"/>
        <v>13</v>
      </c>
      <c r="Y8" s="51">
        <v>24</v>
      </c>
      <c r="Z8" s="51">
        <f t="shared" si="7"/>
        <v>312</v>
      </c>
      <c r="AA8" s="52">
        <v>8072</v>
      </c>
      <c r="AB8" s="51">
        <f t="shared" si="8"/>
        <v>7760</v>
      </c>
      <c r="AC8" s="55">
        <f t="shared" si="9"/>
        <v>0.961347869177403</v>
      </c>
      <c r="AD8" s="56">
        <v>0.95</v>
      </c>
      <c r="AE8" s="52" t="s">
        <v>78</v>
      </c>
    </row>
    <row r="9" spans="1:31" s="3" customFormat="1" ht="52.8">
      <c r="A9" s="14">
        <f t="shared" ref="A9:A16" si="10">A8+1</f>
        <v>3</v>
      </c>
      <c r="B9" s="17" t="s">
        <v>572</v>
      </c>
      <c r="C9" s="17" t="s">
        <v>748</v>
      </c>
      <c r="D9" s="18">
        <v>3557530</v>
      </c>
      <c r="E9" s="24">
        <v>1173</v>
      </c>
      <c r="F9" s="25"/>
      <c r="G9" s="26" t="s">
        <v>903</v>
      </c>
      <c r="H9" s="27" t="s">
        <v>904</v>
      </c>
      <c r="I9" s="24" t="s">
        <v>142</v>
      </c>
      <c r="J9" s="32">
        <v>1.3888888888888999E-2</v>
      </c>
      <c r="K9" s="31">
        <v>43770</v>
      </c>
      <c r="L9" s="29">
        <v>43782</v>
      </c>
      <c r="M9" s="35">
        <f t="shared" si="0"/>
        <v>100</v>
      </c>
      <c r="N9" s="10" t="s">
        <v>147</v>
      </c>
      <c r="O9" s="37">
        <f t="shared" si="1"/>
        <v>0</v>
      </c>
      <c r="P9" s="10" t="s">
        <v>897</v>
      </c>
      <c r="Q9" s="14" t="s">
        <v>147</v>
      </c>
      <c r="R9" s="39">
        <f t="shared" si="2"/>
        <v>13</v>
      </c>
      <c r="S9" s="40">
        <v>43763</v>
      </c>
      <c r="T9" s="39">
        <f t="shared" ref="T9:T16" si="11">R9</f>
        <v>13</v>
      </c>
      <c r="U9" s="45">
        <f t="shared" si="5"/>
        <v>1300</v>
      </c>
      <c r="V9" s="46"/>
      <c r="W9" s="49" t="s">
        <v>898</v>
      </c>
      <c r="X9" s="39">
        <f t="shared" si="6"/>
        <v>13</v>
      </c>
      <c r="Y9" s="51">
        <v>24</v>
      </c>
      <c r="Z9" s="51">
        <f t="shared" si="7"/>
        <v>312</v>
      </c>
      <c r="AA9" s="52">
        <v>8072</v>
      </c>
      <c r="AB9" s="51">
        <f t="shared" si="8"/>
        <v>7760</v>
      </c>
      <c r="AC9" s="55">
        <f t="shared" si="9"/>
        <v>0.961347869177403</v>
      </c>
      <c r="AD9" s="56">
        <v>0.95</v>
      </c>
      <c r="AE9" s="52" t="s">
        <v>78</v>
      </c>
    </row>
    <row r="10" spans="1:31" s="3" customFormat="1" ht="52.8">
      <c r="A10" s="14">
        <f t="shared" si="10"/>
        <v>4</v>
      </c>
      <c r="B10" s="17" t="s">
        <v>905</v>
      </c>
      <c r="C10" s="17" t="s">
        <v>743</v>
      </c>
      <c r="D10" s="18">
        <v>28630</v>
      </c>
      <c r="E10" s="24">
        <v>1449</v>
      </c>
      <c r="F10" s="25"/>
      <c r="G10" s="26" t="s">
        <v>906</v>
      </c>
      <c r="H10" s="27" t="s">
        <v>907</v>
      </c>
      <c r="I10" s="24" t="s">
        <v>142</v>
      </c>
      <c r="J10" s="32">
        <v>2.7777777777777801E-2</v>
      </c>
      <c r="K10" s="31">
        <v>43770</v>
      </c>
      <c r="L10" s="29">
        <v>43775</v>
      </c>
      <c r="M10" s="35">
        <f t="shared" si="0"/>
        <v>60</v>
      </c>
      <c r="N10" s="10" t="s">
        <v>147</v>
      </c>
      <c r="O10" s="37">
        <f t="shared" si="1"/>
        <v>0</v>
      </c>
      <c r="P10" s="10" t="s">
        <v>897</v>
      </c>
      <c r="Q10" s="14" t="s">
        <v>147</v>
      </c>
      <c r="R10" s="39">
        <f t="shared" si="2"/>
        <v>6</v>
      </c>
      <c r="S10" s="40">
        <v>43774</v>
      </c>
      <c r="T10" s="39">
        <f t="shared" si="11"/>
        <v>6</v>
      </c>
      <c r="U10" s="45">
        <f t="shared" si="5"/>
        <v>360</v>
      </c>
      <c r="V10" s="46"/>
      <c r="W10" s="49" t="s">
        <v>898</v>
      </c>
      <c r="X10" s="39">
        <f t="shared" si="6"/>
        <v>6</v>
      </c>
      <c r="Y10" s="51">
        <v>24</v>
      </c>
      <c r="Z10" s="51">
        <f t="shared" si="7"/>
        <v>144</v>
      </c>
      <c r="AA10" s="52">
        <v>8072</v>
      </c>
      <c r="AB10" s="51">
        <f t="shared" si="8"/>
        <v>7928</v>
      </c>
      <c r="AC10" s="55">
        <f t="shared" si="9"/>
        <v>0.98216055500495503</v>
      </c>
      <c r="AD10" s="56">
        <v>0.92</v>
      </c>
      <c r="AE10" s="52" t="s">
        <v>78</v>
      </c>
    </row>
    <row r="11" spans="1:31" s="3" customFormat="1" ht="26.4">
      <c r="A11" s="14">
        <f t="shared" si="10"/>
        <v>5</v>
      </c>
      <c r="B11" s="17" t="s">
        <v>322</v>
      </c>
      <c r="C11" s="17" t="s">
        <v>908</v>
      </c>
      <c r="D11" s="18">
        <v>12049370</v>
      </c>
      <c r="E11" s="24">
        <v>1471</v>
      </c>
      <c r="F11" s="25"/>
      <c r="G11" s="26" t="s">
        <v>903</v>
      </c>
      <c r="H11" s="27" t="s">
        <v>909</v>
      </c>
      <c r="I11" s="24" t="s">
        <v>142</v>
      </c>
      <c r="J11" s="32">
        <v>6.5972222222222196E-2</v>
      </c>
      <c r="K11" s="31">
        <v>43770</v>
      </c>
      <c r="L11" s="29">
        <v>43773</v>
      </c>
      <c r="M11" s="35">
        <f t="shared" si="0"/>
        <v>100</v>
      </c>
      <c r="N11" s="10" t="s">
        <v>147</v>
      </c>
      <c r="O11" s="37">
        <f t="shared" si="1"/>
        <v>0</v>
      </c>
      <c r="P11" s="10" t="s">
        <v>897</v>
      </c>
      <c r="Q11" s="14" t="s">
        <v>147</v>
      </c>
      <c r="R11" s="39">
        <f t="shared" si="2"/>
        <v>4</v>
      </c>
      <c r="S11" s="40">
        <v>43775</v>
      </c>
      <c r="T11" s="39">
        <f t="shared" si="11"/>
        <v>4</v>
      </c>
      <c r="U11" s="45">
        <f t="shared" si="5"/>
        <v>400</v>
      </c>
      <c r="V11" s="46"/>
      <c r="W11" s="49" t="s">
        <v>898</v>
      </c>
      <c r="X11" s="39">
        <f t="shared" si="6"/>
        <v>4</v>
      </c>
      <c r="Y11" s="51">
        <v>24</v>
      </c>
      <c r="Z11" s="51">
        <f t="shared" si="7"/>
        <v>96</v>
      </c>
      <c r="AA11" s="52">
        <v>8072</v>
      </c>
      <c r="AB11" s="51">
        <f t="shared" si="8"/>
        <v>7976</v>
      </c>
      <c r="AC11" s="55">
        <f t="shared" si="9"/>
        <v>0.98810703666997002</v>
      </c>
      <c r="AD11" s="56">
        <v>0.92</v>
      </c>
      <c r="AE11" s="52" t="s">
        <v>78</v>
      </c>
    </row>
    <row r="12" spans="1:31" s="3" customFormat="1" ht="52.8">
      <c r="A12" s="14">
        <f t="shared" si="10"/>
        <v>6</v>
      </c>
      <c r="B12" s="17" t="s">
        <v>910</v>
      </c>
      <c r="C12" s="17" t="s">
        <v>743</v>
      </c>
      <c r="D12" s="18">
        <v>28630</v>
      </c>
      <c r="E12" s="24">
        <v>1476</v>
      </c>
      <c r="F12" s="25"/>
      <c r="G12" s="26" t="s">
        <v>911</v>
      </c>
      <c r="H12" s="27" t="s">
        <v>912</v>
      </c>
      <c r="I12" s="24" t="s">
        <v>142</v>
      </c>
      <c r="J12" s="32">
        <v>2.36111111111111E-2</v>
      </c>
      <c r="K12" s="31">
        <v>43770</v>
      </c>
      <c r="L12" s="29">
        <v>43775</v>
      </c>
      <c r="M12" s="35">
        <f t="shared" si="0"/>
        <v>60</v>
      </c>
      <c r="N12" s="10" t="s">
        <v>147</v>
      </c>
      <c r="O12" s="37">
        <f t="shared" si="1"/>
        <v>0</v>
      </c>
      <c r="P12" s="10" t="s">
        <v>897</v>
      </c>
      <c r="Q12" s="14" t="s">
        <v>147</v>
      </c>
      <c r="R12" s="39">
        <f t="shared" si="2"/>
        <v>6</v>
      </c>
      <c r="S12" s="40">
        <v>43775</v>
      </c>
      <c r="T12" s="39">
        <f t="shared" si="11"/>
        <v>6</v>
      </c>
      <c r="U12" s="45">
        <f t="shared" si="5"/>
        <v>360</v>
      </c>
      <c r="V12" s="46"/>
      <c r="W12" s="49" t="e">
        <v>#N/A</v>
      </c>
      <c r="X12" s="39">
        <f t="shared" si="6"/>
        <v>6</v>
      </c>
      <c r="Y12" s="51">
        <v>24</v>
      </c>
      <c r="Z12" s="51">
        <f t="shared" si="7"/>
        <v>144</v>
      </c>
      <c r="AA12" s="52">
        <v>8072</v>
      </c>
      <c r="AB12" s="51">
        <f t="shared" si="8"/>
        <v>7928</v>
      </c>
      <c r="AC12" s="55">
        <f t="shared" si="9"/>
        <v>0.98216055500495503</v>
      </c>
      <c r="AD12" s="56">
        <v>0.92</v>
      </c>
      <c r="AE12" s="52" t="s">
        <v>78</v>
      </c>
    </row>
    <row r="13" spans="1:31" s="3" customFormat="1" ht="39.6">
      <c r="A13" s="14">
        <f t="shared" si="10"/>
        <v>7</v>
      </c>
      <c r="B13" s="17" t="s">
        <v>913</v>
      </c>
      <c r="C13" s="17" t="s">
        <v>663</v>
      </c>
      <c r="D13" s="18">
        <v>4510</v>
      </c>
      <c r="E13" s="24">
        <v>1496</v>
      </c>
      <c r="F13" s="25"/>
      <c r="G13" s="26" t="s">
        <v>911</v>
      </c>
      <c r="H13" s="27" t="s">
        <v>914</v>
      </c>
      <c r="I13" s="24" t="s">
        <v>142</v>
      </c>
      <c r="J13" s="32">
        <v>1.04166666666666E-2</v>
      </c>
      <c r="K13" s="31">
        <v>43770</v>
      </c>
      <c r="L13" s="29">
        <v>43775</v>
      </c>
      <c r="M13" s="35">
        <f t="shared" si="0"/>
        <v>10</v>
      </c>
      <c r="N13" s="10" t="s">
        <v>147</v>
      </c>
      <c r="O13" s="37">
        <f t="shared" si="1"/>
        <v>0</v>
      </c>
      <c r="P13" s="10" t="s">
        <v>897</v>
      </c>
      <c r="Q13" s="14" t="s">
        <v>147</v>
      </c>
      <c r="R13" s="39">
        <f t="shared" si="2"/>
        <v>6</v>
      </c>
      <c r="S13" s="40">
        <v>43775</v>
      </c>
      <c r="T13" s="39">
        <f t="shared" si="11"/>
        <v>6</v>
      </c>
      <c r="U13" s="45">
        <f t="shared" si="5"/>
        <v>60</v>
      </c>
      <c r="V13" s="46"/>
      <c r="W13" s="49" t="s">
        <v>898</v>
      </c>
      <c r="X13" s="39">
        <f t="shared" si="6"/>
        <v>6</v>
      </c>
      <c r="Y13" s="51">
        <v>24</v>
      </c>
      <c r="Z13" s="51">
        <f t="shared" si="7"/>
        <v>144</v>
      </c>
      <c r="AA13" s="52">
        <v>8072</v>
      </c>
      <c r="AB13" s="51">
        <f t="shared" si="8"/>
        <v>7928</v>
      </c>
      <c r="AC13" s="55">
        <f t="shared" si="9"/>
        <v>0.98216055500495503</v>
      </c>
      <c r="AD13" s="56">
        <v>0.92</v>
      </c>
      <c r="AE13" s="52" t="s">
        <v>78</v>
      </c>
    </row>
    <row r="14" spans="1:31" s="3" customFormat="1" ht="52.8">
      <c r="A14" s="14">
        <f t="shared" si="10"/>
        <v>8</v>
      </c>
      <c r="B14" s="17" t="s">
        <v>915</v>
      </c>
      <c r="C14" s="17" t="s">
        <v>916</v>
      </c>
      <c r="D14" s="18">
        <v>1044560</v>
      </c>
      <c r="E14" s="24">
        <v>1535</v>
      </c>
      <c r="F14" s="25"/>
      <c r="G14" s="26" t="s">
        <v>917</v>
      </c>
      <c r="H14" s="27" t="s">
        <v>918</v>
      </c>
      <c r="I14" s="24" t="s">
        <v>142</v>
      </c>
      <c r="J14" s="32">
        <v>1.7361111111111199E-2</v>
      </c>
      <c r="K14" s="31">
        <v>43770</v>
      </c>
      <c r="L14" s="29">
        <v>43773</v>
      </c>
      <c r="M14" s="35">
        <f t="shared" si="0"/>
        <v>100</v>
      </c>
      <c r="N14" s="10" t="s">
        <v>147</v>
      </c>
      <c r="O14" s="37">
        <f t="shared" si="1"/>
        <v>0</v>
      </c>
      <c r="P14" s="10" t="s">
        <v>897</v>
      </c>
      <c r="Q14" s="14" t="s">
        <v>147</v>
      </c>
      <c r="R14" s="39">
        <f t="shared" si="2"/>
        <v>4</v>
      </c>
      <c r="S14" s="40">
        <v>43776</v>
      </c>
      <c r="T14" s="39">
        <f t="shared" si="11"/>
        <v>4</v>
      </c>
      <c r="U14" s="45">
        <f t="shared" si="5"/>
        <v>400</v>
      </c>
      <c r="V14" s="46"/>
      <c r="W14" s="49" t="s">
        <v>898</v>
      </c>
      <c r="X14" s="39">
        <f t="shared" si="6"/>
        <v>4</v>
      </c>
      <c r="Y14" s="51">
        <v>24</v>
      </c>
      <c r="Z14" s="51">
        <f t="shared" si="7"/>
        <v>96</v>
      </c>
      <c r="AA14" s="52">
        <v>8072</v>
      </c>
      <c r="AB14" s="51">
        <f t="shared" si="8"/>
        <v>7976</v>
      </c>
      <c r="AC14" s="55">
        <f t="shared" si="9"/>
        <v>0.98810703666997002</v>
      </c>
      <c r="AD14" s="56">
        <v>0.95</v>
      </c>
      <c r="AE14" s="52" t="s">
        <v>78</v>
      </c>
    </row>
    <row r="15" spans="1:31" s="3" customFormat="1" ht="26.4">
      <c r="A15" s="14">
        <f t="shared" si="10"/>
        <v>9</v>
      </c>
      <c r="B15" s="17" t="s">
        <v>919</v>
      </c>
      <c r="C15" s="17" t="s">
        <v>920</v>
      </c>
      <c r="D15" s="18">
        <v>3191750</v>
      </c>
      <c r="E15" s="24">
        <v>1550</v>
      </c>
      <c r="F15" s="25"/>
      <c r="G15" s="26" t="s">
        <v>921</v>
      </c>
      <c r="H15" s="27" t="s">
        <v>922</v>
      </c>
      <c r="I15" s="24" t="s">
        <v>142</v>
      </c>
      <c r="J15" s="32">
        <v>3.4722222222222099E-3</v>
      </c>
      <c r="K15" s="31">
        <v>43770</v>
      </c>
      <c r="L15" s="29">
        <v>43773</v>
      </c>
      <c r="M15" s="35">
        <f t="shared" si="0"/>
        <v>100</v>
      </c>
      <c r="N15" s="10" t="s">
        <v>147</v>
      </c>
      <c r="O15" s="37">
        <f t="shared" si="1"/>
        <v>0</v>
      </c>
      <c r="P15" s="10" t="s">
        <v>897</v>
      </c>
      <c r="Q15" s="14" t="s">
        <v>147</v>
      </c>
      <c r="R15" s="39">
        <f t="shared" si="2"/>
        <v>4</v>
      </c>
      <c r="S15" s="40">
        <v>43777</v>
      </c>
      <c r="T15" s="39">
        <f t="shared" si="11"/>
        <v>4</v>
      </c>
      <c r="U15" s="45">
        <f t="shared" si="5"/>
        <v>400</v>
      </c>
      <c r="V15" s="46"/>
      <c r="W15" s="49" t="s">
        <v>898</v>
      </c>
      <c r="X15" s="39">
        <f t="shared" si="6"/>
        <v>4</v>
      </c>
      <c r="Y15" s="51">
        <v>24</v>
      </c>
      <c r="Z15" s="51">
        <f t="shared" si="7"/>
        <v>96</v>
      </c>
      <c r="AA15" s="52">
        <v>8072</v>
      </c>
      <c r="AB15" s="51">
        <f t="shared" si="8"/>
        <v>7976</v>
      </c>
      <c r="AC15" s="55">
        <f t="shared" si="9"/>
        <v>0.98810703666997002</v>
      </c>
      <c r="AD15" s="56">
        <v>0.92</v>
      </c>
      <c r="AE15" s="52" t="s">
        <v>78</v>
      </c>
    </row>
    <row r="16" spans="1:31" s="3" customFormat="1" ht="66">
      <c r="A16" s="14">
        <f t="shared" si="10"/>
        <v>10</v>
      </c>
      <c r="B16" s="17" t="s">
        <v>923</v>
      </c>
      <c r="C16" s="17" t="s">
        <v>924</v>
      </c>
      <c r="D16" s="18">
        <v>3191750</v>
      </c>
      <c r="E16" s="24">
        <v>1565</v>
      </c>
      <c r="F16" s="24"/>
      <c r="G16" s="26" t="s">
        <v>917</v>
      </c>
      <c r="H16" s="27" t="s">
        <v>925</v>
      </c>
      <c r="I16" s="24" t="s">
        <v>142</v>
      </c>
      <c r="J16" s="32">
        <v>0</v>
      </c>
      <c r="K16" s="31">
        <v>43770</v>
      </c>
      <c r="L16" s="29">
        <v>43773</v>
      </c>
      <c r="M16" s="35">
        <f t="shared" si="0"/>
        <v>100</v>
      </c>
      <c r="N16" s="10" t="s">
        <v>147</v>
      </c>
      <c r="O16" s="37">
        <f t="shared" si="1"/>
        <v>0</v>
      </c>
      <c r="P16" s="10" t="s">
        <v>897</v>
      </c>
      <c r="Q16" s="14" t="s">
        <v>147</v>
      </c>
      <c r="R16" s="39">
        <f t="shared" si="2"/>
        <v>4</v>
      </c>
      <c r="S16" s="40">
        <v>43777</v>
      </c>
      <c r="T16" s="39">
        <f t="shared" si="11"/>
        <v>4</v>
      </c>
      <c r="U16" s="45">
        <f t="shared" si="5"/>
        <v>400</v>
      </c>
      <c r="V16" s="46"/>
      <c r="W16" s="49" t="s">
        <v>898</v>
      </c>
      <c r="X16" s="39">
        <f t="shared" si="6"/>
        <v>4</v>
      </c>
      <c r="Y16" s="51">
        <v>24</v>
      </c>
      <c r="Z16" s="51">
        <f t="shared" si="7"/>
        <v>96</v>
      </c>
      <c r="AA16" s="52">
        <v>8072</v>
      </c>
      <c r="AB16" s="51">
        <f t="shared" si="8"/>
        <v>7976</v>
      </c>
      <c r="AC16" s="55">
        <f t="shared" si="9"/>
        <v>0.98810703666997002</v>
      </c>
      <c r="AD16" s="56">
        <v>0.92</v>
      </c>
      <c r="AE16" s="52" t="s">
        <v>78</v>
      </c>
    </row>
    <row r="17" spans="21:21">
      <c r="U17" s="50">
        <f>SUM(U6:U16)</f>
        <v>6090</v>
      </c>
    </row>
  </sheetData>
  <mergeCells count="15">
    <mergeCell ref="W4:W5"/>
    <mergeCell ref="N4:P4"/>
    <mergeCell ref="Q4:V4"/>
    <mergeCell ref="A4:A5"/>
    <mergeCell ref="B4:B5"/>
    <mergeCell ref="C4:C5"/>
    <mergeCell ref="D4:D5"/>
    <mergeCell ref="E4:E5"/>
    <mergeCell ref="G4:G5"/>
    <mergeCell ref="H4:H5"/>
    <mergeCell ref="I4:I5"/>
    <mergeCell ref="J4:J5"/>
    <mergeCell ref="K4:K5"/>
    <mergeCell ref="L4:L5"/>
    <mergeCell ref="M4:M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BEMSdar</vt:lpstr>
      <vt:lpstr>B1&amp;B2 UNSCHEDULED</vt:lpstr>
      <vt:lpstr>B3-SCHEDULED</vt:lpstr>
      <vt:lpstr>B4-UPTIME</vt:lpstr>
      <vt:lpstr>B5-T&amp;C</vt:lpstr>
      <vt:lpstr>Public Holiday</vt:lpstr>
      <vt:lpstr>KDI</vt:lpstr>
      <vt:lpstr>Sheet1</vt:lpstr>
      <vt:lpstr>Sheet2</vt:lpstr>
      <vt:lpstr>'B1&amp;B2 UNSCHEDULED'!AKHIR</vt:lpstr>
      <vt:lpstr>'B1&amp;B2 UNSCHEDULED'!AWAL</vt:lpstr>
      <vt:lpstr>cuti</vt:lpstr>
      <vt:lpstr>'B1&amp;B2 UNSCHEDULED'!hujung</vt:lpstr>
      <vt:lpstr>Sheet1!OLE_LINK2</vt:lpstr>
      <vt:lpstr>'B1&amp;B2 UNSCHEDULED'!Print_Area</vt:lpstr>
      <vt:lpstr>'B3-SCHEDULED'!Print_Area</vt:lpstr>
      <vt:lpstr>'B4-UPTIME'!Print_Area</vt:lpstr>
      <vt:lpstr>'B5-T&amp;C'!Print_Area</vt:lpstr>
      <vt:lpstr>BEMSdar!Print_Area</vt:lpstr>
      <vt:lpstr>KDI!Print_Area</vt:lpstr>
      <vt:lpstr>'B1&amp;B2 UNSCHEDULED'!Print_Titles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AWC Healthcare</cp:lastModifiedBy>
  <cp:lastPrinted>2026-06-08T09:27:21Z</cp:lastPrinted>
  <dcterms:created xsi:type="dcterms:W3CDTF">2016-04-17T19:55:00Z</dcterms:created>
  <dcterms:modified xsi:type="dcterms:W3CDTF">2026-06-09T03:10:51Z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D5CA3DA5F187A319CA10866907F8FFC9_42</vt:lpwstr>
  </property>
  <property fmtid="{D5CDD505-2E9C-101B-9397-08002B2CF9AE}" pid="3" name="KSOProductBuildVer">
    <vt:lpwstr>1033-12.8.2.22595</vt:lpwstr>
  </property>
</Properties>
</file>